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360" yWindow="60" windowWidth="11295" windowHeight="5580"/>
  </bookViews>
  <sheets>
    <sheet name="Arkusz1" sheetId="1" r:id="rId1"/>
    <sheet name="Arkusz2" sheetId="2" r:id="rId2"/>
    <sheet name="Arkusz3" sheetId="3" r:id="rId3"/>
  </sheets>
  <calcPr calcId="124519"/>
</workbook>
</file>

<file path=xl/calcChain.xml><?xml version="1.0" encoding="utf-8"?>
<calcChain xmlns="http://schemas.openxmlformats.org/spreadsheetml/2006/main">
  <c r="L3" i="1"/>
  <c r="L4"/>
  <c r="L5"/>
  <c r="N2"/>
  <c r="C3"/>
  <c r="E3" s="1"/>
  <c r="C2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E48" s="1"/>
  <c r="C49"/>
  <c r="E49" s="1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E120" s="1"/>
  <c r="C121"/>
  <c r="E121" s="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E192" s="1"/>
  <c r="C193"/>
  <c r="E193" s="1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E264" s="1"/>
  <c r="C265"/>
  <c r="E265" s="1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E336" s="1"/>
  <c r="C337"/>
  <c r="E337" s="1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E408" s="1"/>
  <c r="C409"/>
  <c r="E409" s="1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444"/>
  <c r="C445"/>
  <c r="C446"/>
  <c r="C447"/>
  <c r="C448"/>
  <c r="C449"/>
  <c r="C450"/>
  <c r="C451"/>
  <c r="C452"/>
  <c r="C453"/>
  <c r="C454"/>
  <c r="C455"/>
  <c r="C456"/>
  <c r="C457"/>
  <c r="C458"/>
  <c r="C459"/>
  <c r="C460"/>
  <c r="C461"/>
  <c r="C462"/>
  <c r="C463"/>
  <c r="C464"/>
  <c r="C465"/>
  <c r="C466"/>
  <c r="C467"/>
  <c r="C468"/>
  <c r="C469"/>
  <c r="C470"/>
  <c r="C471"/>
  <c r="C472"/>
  <c r="C473"/>
  <c r="C474"/>
  <c r="C475"/>
  <c r="C476"/>
  <c r="C477"/>
  <c r="C478"/>
  <c r="C479"/>
  <c r="C480"/>
  <c r="E480" s="1"/>
  <c r="C481"/>
  <c r="E481" s="1"/>
  <c r="C482"/>
  <c r="C483"/>
  <c r="C484"/>
  <c r="C485"/>
  <c r="C486"/>
  <c r="C487"/>
  <c r="C488"/>
  <c r="C489"/>
  <c r="C490"/>
  <c r="C491"/>
  <c r="C492"/>
  <c r="C493"/>
  <c r="C494"/>
  <c r="C495"/>
  <c r="C496"/>
  <c r="C497"/>
  <c r="C498"/>
  <c r="C499"/>
  <c r="C500"/>
  <c r="C501"/>
  <c r="C502"/>
  <c r="C503"/>
  <c r="C504"/>
  <c r="C505"/>
  <c r="C506"/>
  <c r="C507"/>
  <c r="C508"/>
  <c r="C509"/>
  <c r="C510"/>
  <c r="C511"/>
  <c r="C512"/>
  <c r="C513"/>
  <c r="C514"/>
  <c r="C515"/>
  <c r="C516"/>
  <c r="C517"/>
  <c r="C518"/>
  <c r="C519"/>
  <c r="C520"/>
  <c r="C521"/>
  <c r="C522"/>
  <c r="C523"/>
  <c r="C524"/>
  <c r="C525"/>
  <c r="C526"/>
  <c r="C527"/>
  <c r="C528"/>
  <c r="C529"/>
  <c r="C530"/>
  <c r="C531"/>
  <c r="C532"/>
  <c r="C533"/>
  <c r="C534"/>
  <c r="C535"/>
  <c r="C536"/>
  <c r="C537"/>
  <c r="C538"/>
  <c r="C539"/>
  <c r="C540"/>
  <c r="C541"/>
  <c r="C542"/>
  <c r="C543"/>
  <c r="C544"/>
  <c r="C545"/>
  <c r="C546"/>
  <c r="C547"/>
  <c r="C548"/>
  <c r="C549"/>
  <c r="C550"/>
  <c r="C551"/>
  <c r="C552"/>
  <c r="E552" s="1"/>
  <c r="C553"/>
  <c r="E553" s="1"/>
  <c r="C554"/>
  <c r="C555"/>
  <c r="C556"/>
  <c r="C557"/>
  <c r="C558"/>
  <c r="C559"/>
  <c r="C560"/>
  <c r="C561"/>
  <c r="C562"/>
  <c r="C563"/>
  <c r="C564"/>
  <c r="C565"/>
  <c r="C566"/>
  <c r="C567"/>
  <c r="C568"/>
  <c r="C569"/>
  <c r="C570"/>
  <c r="C571"/>
  <c r="C572"/>
  <c r="C573"/>
  <c r="C574"/>
  <c r="C575"/>
  <c r="C576"/>
  <c r="C577"/>
  <c r="C578"/>
  <c r="C579"/>
  <c r="C580"/>
  <c r="C581"/>
  <c r="C582"/>
  <c r="C583"/>
  <c r="C584"/>
  <c r="C585"/>
  <c r="C586"/>
  <c r="C587"/>
  <c r="C588"/>
  <c r="C589"/>
  <c r="C590"/>
  <c r="C591"/>
  <c r="C592"/>
  <c r="C593"/>
  <c r="C594"/>
  <c r="C595"/>
  <c r="C596"/>
  <c r="C597"/>
  <c r="C598"/>
  <c r="C599"/>
  <c r="C600"/>
  <c r="C601"/>
  <c r="C602"/>
  <c r="C603"/>
  <c r="C604"/>
  <c r="C605"/>
  <c r="C606"/>
  <c r="C607"/>
  <c r="C608"/>
  <c r="C609"/>
  <c r="C610"/>
  <c r="C611"/>
  <c r="C612"/>
  <c r="C613"/>
  <c r="C614"/>
  <c r="C615"/>
  <c r="C616"/>
  <c r="C617"/>
  <c r="C618"/>
  <c r="C619"/>
  <c r="C620"/>
  <c r="C621"/>
  <c r="C622"/>
  <c r="C623"/>
  <c r="C624"/>
  <c r="E624" s="1"/>
  <c r="C625"/>
  <c r="E625" s="1"/>
  <c r="C626"/>
  <c r="C627"/>
  <c r="C628"/>
  <c r="C629"/>
  <c r="C630"/>
  <c r="C631"/>
  <c r="C632"/>
  <c r="C633"/>
  <c r="C634"/>
  <c r="C635"/>
  <c r="C636"/>
  <c r="C637"/>
  <c r="C638"/>
  <c r="C639"/>
  <c r="C640"/>
  <c r="C641"/>
  <c r="C642"/>
  <c r="C643"/>
  <c r="C644"/>
  <c r="C645"/>
  <c r="C646"/>
  <c r="C647"/>
  <c r="C648"/>
  <c r="C649"/>
  <c r="C650"/>
  <c r="C651"/>
  <c r="C652"/>
  <c r="C653"/>
  <c r="C654"/>
  <c r="C655"/>
  <c r="C656"/>
  <c r="C657"/>
  <c r="C658"/>
  <c r="C659"/>
  <c r="C660"/>
  <c r="C661"/>
  <c r="C662"/>
  <c r="C663"/>
  <c r="C664"/>
  <c r="C665"/>
  <c r="C666"/>
  <c r="C667"/>
  <c r="C668"/>
  <c r="C669"/>
  <c r="C670"/>
  <c r="C671"/>
  <c r="C672"/>
  <c r="C673"/>
  <c r="C674"/>
  <c r="C675"/>
  <c r="C676"/>
  <c r="C677"/>
  <c r="C678"/>
  <c r="C679"/>
  <c r="C680"/>
  <c r="C681"/>
  <c r="C682"/>
  <c r="C683"/>
  <c r="C684"/>
  <c r="C685"/>
  <c r="C686"/>
  <c r="C687"/>
  <c r="C688"/>
  <c r="C689"/>
  <c r="C690"/>
  <c r="C691"/>
  <c r="C692"/>
  <c r="C693"/>
  <c r="C694"/>
  <c r="C695"/>
  <c r="C696"/>
  <c r="E696" s="1"/>
  <c r="C697"/>
  <c r="E697" s="1"/>
  <c r="C698"/>
  <c r="C699"/>
  <c r="C700"/>
  <c r="C701"/>
  <c r="C702"/>
  <c r="C703"/>
  <c r="C704"/>
  <c r="C705"/>
  <c r="C706"/>
  <c r="C707"/>
  <c r="C708"/>
  <c r="C709"/>
  <c r="C710"/>
  <c r="C711"/>
  <c r="C712"/>
  <c r="C713"/>
  <c r="C714"/>
  <c r="C715"/>
  <c r="C716"/>
  <c r="C717"/>
  <c r="C718"/>
  <c r="C719"/>
  <c r="C720"/>
  <c r="C721"/>
  <c r="C722"/>
  <c r="C723"/>
  <c r="C724"/>
  <c r="C725"/>
  <c r="C726"/>
  <c r="C727"/>
  <c r="C728"/>
  <c r="C729"/>
  <c r="C730"/>
  <c r="C731"/>
  <c r="C732"/>
  <c r="C733"/>
  <c r="C734"/>
  <c r="C735"/>
  <c r="C736"/>
  <c r="C737"/>
  <c r="C738"/>
  <c r="C739"/>
  <c r="C740"/>
  <c r="C741"/>
  <c r="C742"/>
  <c r="C743"/>
  <c r="C744"/>
  <c r="C745"/>
  <c r="C746"/>
  <c r="C747"/>
  <c r="C748"/>
  <c r="C749"/>
  <c r="C750"/>
  <c r="C751"/>
  <c r="C752"/>
  <c r="C753"/>
  <c r="C754"/>
  <c r="C755"/>
  <c r="C756"/>
  <c r="C757"/>
  <c r="C758"/>
  <c r="C759"/>
  <c r="C760"/>
  <c r="C761"/>
  <c r="C762"/>
  <c r="C763"/>
  <c r="C764"/>
  <c r="C765"/>
  <c r="C766"/>
  <c r="C767"/>
  <c r="C768"/>
  <c r="E768" s="1"/>
  <c r="C769"/>
  <c r="E769" s="1"/>
  <c r="C770"/>
  <c r="C771"/>
  <c r="C772"/>
  <c r="C773"/>
  <c r="C774"/>
  <c r="C775"/>
  <c r="C776"/>
  <c r="C777"/>
  <c r="C778"/>
  <c r="C779"/>
  <c r="C780"/>
  <c r="C781"/>
  <c r="C782"/>
  <c r="C783"/>
  <c r="C784"/>
  <c r="C785"/>
  <c r="C786"/>
  <c r="C787"/>
  <c r="C788"/>
  <c r="C789"/>
  <c r="C790"/>
  <c r="C791"/>
  <c r="C792"/>
  <c r="C793"/>
  <c r="C794"/>
  <c r="C795"/>
  <c r="C796"/>
  <c r="C797"/>
  <c r="C798"/>
  <c r="C799"/>
  <c r="C800"/>
  <c r="C801"/>
  <c r="C802"/>
  <c r="C803"/>
  <c r="C804"/>
  <c r="C805"/>
  <c r="C806"/>
  <c r="C807"/>
  <c r="C808"/>
  <c r="C809"/>
  <c r="C810"/>
  <c r="C811"/>
  <c r="C812"/>
  <c r="C813"/>
  <c r="C814"/>
  <c r="C815"/>
  <c r="C816"/>
  <c r="C817"/>
  <c r="C818"/>
  <c r="C819"/>
  <c r="C820"/>
  <c r="C821"/>
  <c r="C822"/>
  <c r="C823"/>
  <c r="C824"/>
  <c r="C825"/>
  <c r="C826"/>
  <c r="C827"/>
  <c r="C828"/>
  <c r="C829"/>
  <c r="C830"/>
  <c r="C831"/>
  <c r="C832"/>
  <c r="C833"/>
  <c r="C834"/>
  <c r="C835"/>
  <c r="C836"/>
  <c r="C837"/>
  <c r="C838"/>
  <c r="C839"/>
  <c r="C840"/>
  <c r="E840" s="1"/>
  <c r="C841"/>
  <c r="E841" s="1"/>
  <c r="C842"/>
  <c r="C843"/>
  <c r="C844"/>
  <c r="C845"/>
  <c r="C846"/>
  <c r="C847"/>
  <c r="C848"/>
  <c r="C849"/>
  <c r="C850"/>
  <c r="C851"/>
  <c r="C852"/>
  <c r="C853"/>
  <c r="C854"/>
  <c r="C855"/>
  <c r="C856"/>
  <c r="C857"/>
  <c r="C858"/>
  <c r="C859"/>
  <c r="C860"/>
  <c r="C861"/>
  <c r="C862"/>
  <c r="C863"/>
  <c r="C864"/>
  <c r="C865"/>
  <c r="C866"/>
  <c r="C867"/>
  <c r="C868"/>
  <c r="C869"/>
  <c r="C870"/>
  <c r="C871"/>
  <c r="C872"/>
  <c r="C873"/>
  <c r="C874"/>
  <c r="C875"/>
  <c r="C876"/>
  <c r="C877"/>
  <c r="C878"/>
  <c r="C879"/>
  <c r="C880"/>
  <c r="C881"/>
  <c r="C882"/>
  <c r="C883"/>
  <c r="C884"/>
  <c r="C885"/>
  <c r="C886"/>
  <c r="C887"/>
  <c r="C888"/>
  <c r="C889"/>
  <c r="C890"/>
  <c r="C891"/>
  <c r="C892"/>
  <c r="C893"/>
  <c r="C894"/>
  <c r="C895"/>
  <c r="C896"/>
  <c r="C897"/>
  <c r="C898"/>
  <c r="C899"/>
  <c r="C900"/>
  <c r="C901"/>
  <c r="C902"/>
  <c r="C903"/>
  <c r="C904"/>
  <c r="C905"/>
  <c r="C906"/>
  <c r="C907"/>
  <c r="C908"/>
  <c r="C909"/>
  <c r="C910"/>
  <c r="C911"/>
  <c r="C912"/>
  <c r="E912" s="1"/>
  <c r="C913"/>
  <c r="E913" s="1"/>
  <c r="C914"/>
  <c r="C915"/>
  <c r="C916"/>
  <c r="C917"/>
  <c r="C918"/>
  <c r="C919"/>
  <c r="C920"/>
  <c r="C921"/>
  <c r="C922"/>
  <c r="C923"/>
  <c r="C924"/>
  <c r="C925"/>
  <c r="C926"/>
  <c r="C927"/>
  <c r="C928"/>
  <c r="C929"/>
  <c r="C930"/>
  <c r="C931"/>
  <c r="C932"/>
  <c r="C933"/>
  <c r="C934"/>
  <c r="C935"/>
  <c r="C936"/>
  <c r="C937"/>
  <c r="C938"/>
  <c r="C939"/>
  <c r="C940"/>
  <c r="C941"/>
  <c r="C942"/>
  <c r="C943"/>
  <c r="C944"/>
  <c r="C945"/>
  <c r="C946"/>
  <c r="C947"/>
  <c r="C948"/>
  <c r="C949"/>
  <c r="C950"/>
  <c r="C951"/>
  <c r="C952"/>
  <c r="C953"/>
  <c r="C954"/>
  <c r="C955"/>
  <c r="C956"/>
  <c r="C957"/>
  <c r="C958"/>
  <c r="C959"/>
  <c r="C960"/>
  <c r="C961"/>
  <c r="C962"/>
  <c r="C963"/>
  <c r="C964"/>
  <c r="C965"/>
  <c r="C966"/>
  <c r="C967"/>
  <c r="C968"/>
  <c r="C969"/>
  <c r="C970"/>
  <c r="C971"/>
  <c r="C972"/>
  <c r="C973"/>
  <c r="C974"/>
  <c r="C975"/>
  <c r="C976"/>
  <c r="C977"/>
  <c r="C978"/>
  <c r="C979"/>
  <c r="C980"/>
  <c r="C981"/>
  <c r="C982"/>
  <c r="C983"/>
  <c r="C984"/>
  <c r="E984" s="1"/>
  <c r="C985"/>
  <c r="E985" s="1"/>
  <c r="C986"/>
  <c r="C987"/>
  <c r="C988"/>
  <c r="C989"/>
  <c r="C990"/>
  <c r="C991"/>
  <c r="C992"/>
  <c r="C993"/>
  <c r="C994"/>
  <c r="C995"/>
  <c r="C996"/>
  <c r="C997"/>
  <c r="C998"/>
  <c r="C999"/>
  <c r="C1000"/>
  <c r="C1001"/>
  <c r="C1002"/>
  <c r="C1003"/>
  <c r="C1004"/>
  <c r="C1005"/>
  <c r="C1006"/>
  <c r="C1007"/>
  <c r="C1008"/>
  <c r="C1009"/>
  <c r="C1010"/>
  <c r="C1011"/>
  <c r="C1012"/>
  <c r="C1013"/>
  <c r="C1014"/>
  <c r="C1015"/>
  <c r="C1016"/>
  <c r="C1017"/>
  <c r="C1018"/>
  <c r="C1019"/>
  <c r="C1020"/>
  <c r="C1021"/>
  <c r="C1022"/>
  <c r="C1023"/>
  <c r="C1024"/>
  <c r="C1025"/>
  <c r="C1026"/>
  <c r="C1027"/>
  <c r="C1028"/>
  <c r="C1029"/>
  <c r="C1030"/>
  <c r="C1031"/>
  <c r="C1032"/>
  <c r="C1033"/>
  <c r="C1034"/>
  <c r="C1035"/>
  <c r="C1036"/>
  <c r="C1037"/>
  <c r="C1038"/>
  <c r="C1039"/>
  <c r="C1040"/>
  <c r="C1041"/>
  <c r="C1042"/>
  <c r="C1043"/>
  <c r="C1044"/>
  <c r="C1045"/>
  <c r="C1046"/>
  <c r="C1047"/>
  <c r="C1048"/>
  <c r="C1049"/>
  <c r="C1050"/>
  <c r="C1051"/>
  <c r="C1052"/>
  <c r="C1053"/>
  <c r="C1054"/>
  <c r="C1055"/>
  <c r="C1056"/>
  <c r="E1056" s="1"/>
  <c r="C1057"/>
  <c r="E1057" s="1"/>
  <c r="C1058"/>
  <c r="C1059"/>
  <c r="C1060"/>
  <c r="C1061"/>
  <c r="C1062"/>
  <c r="C1063"/>
  <c r="C1064"/>
  <c r="C1065"/>
  <c r="C1066"/>
  <c r="C1067"/>
  <c r="C1068"/>
  <c r="C1069"/>
  <c r="C1070"/>
  <c r="C1071"/>
  <c r="C1072"/>
  <c r="C1073"/>
  <c r="C1074"/>
  <c r="C1075"/>
  <c r="C1076"/>
  <c r="C1077"/>
  <c r="C1078"/>
  <c r="C1079"/>
  <c r="C1080"/>
  <c r="C1081"/>
  <c r="C1082"/>
  <c r="C1083"/>
  <c r="C1084"/>
  <c r="C1085"/>
  <c r="C1086"/>
  <c r="C1087"/>
  <c r="C1088"/>
  <c r="C1089"/>
  <c r="C1090"/>
  <c r="C1091"/>
  <c r="C1092"/>
  <c r="C1093"/>
  <c r="C1094"/>
  <c r="C1095"/>
  <c r="C1096"/>
  <c r="C1097"/>
  <c r="C1098"/>
  <c r="C1099"/>
  <c r="C1100"/>
  <c r="C1101"/>
  <c r="C1102"/>
  <c r="C1103"/>
  <c r="C1104"/>
  <c r="C1105"/>
  <c r="C1106"/>
  <c r="C1107"/>
  <c r="C1108"/>
  <c r="C1109"/>
  <c r="C1110"/>
  <c r="C1111"/>
  <c r="C1112"/>
  <c r="C1113"/>
  <c r="C1114"/>
  <c r="C1115"/>
  <c r="C1116"/>
  <c r="C1117"/>
  <c r="C1118"/>
  <c r="C1119"/>
  <c r="C1120"/>
  <c r="C1121"/>
  <c r="C1122"/>
  <c r="C1123"/>
  <c r="C1124"/>
  <c r="C1125"/>
  <c r="C1126"/>
  <c r="C1127"/>
  <c r="C1128"/>
  <c r="E1128" s="1"/>
  <c r="C1129"/>
  <c r="E1129" s="1"/>
  <c r="C1130"/>
  <c r="C1131"/>
  <c r="C1132"/>
  <c r="C1133"/>
  <c r="C1134"/>
  <c r="C1135"/>
  <c r="C1136"/>
  <c r="C1137"/>
  <c r="C1138"/>
  <c r="C1139"/>
  <c r="C1140"/>
  <c r="C1141"/>
  <c r="C1142"/>
  <c r="C1143"/>
  <c r="C1144"/>
  <c r="C1145"/>
  <c r="C1146"/>
  <c r="C1147"/>
  <c r="C1148"/>
  <c r="C1149"/>
  <c r="C1150"/>
  <c r="C1151"/>
  <c r="C1152"/>
  <c r="C1153"/>
  <c r="C1154"/>
  <c r="C1155"/>
  <c r="C1156"/>
  <c r="C1157"/>
  <c r="C1158"/>
  <c r="C1159"/>
  <c r="C1160"/>
  <c r="C1161"/>
  <c r="C1162"/>
  <c r="C1163"/>
  <c r="C1164"/>
  <c r="C1165"/>
  <c r="C1166"/>
  <c r="C1167"/>
  <c r="C1168"/>
  <c r="C1169"/>
  <c r="C1170"/>
  <c r="C1171"/>
  <c r="C1172"/>
  <c r="C1173"/>
  <c r="C1174"/>
  <c r="C1175"/>
  <c r="C1176"/>
  <c r="C1177"/>
  <c r="C1178"/>
  <c r="C1179"/>
  <c r="C1180"/>
  <c r="C1181"/>
  <c r="C1182"/>
  <c r="C1183"/>
  <c r="C1184"/>
  <c r="C1185"/>
  <c r="C1186"/>
  <c r="C1187"/>
  <c r="C1188"/>
  <c r="C1189"/>
  <c r="C1190"/>
  <c r="C1191"/>
  <c r="C1192"/>
  <c r="C1193"/>
  <c r="C1194"/>
  <c r="C1195"/>
  <c r="C1196"/>
  <c r="C1197"/>
  <c r="C1198"/>
  <c r="C1199"/>
  <c r="C1200"/>
  <c r="E1200" s="1"/>
  <c r="C1201"/>
  <c r="E1201" s="1"/>
  <c r="C1202"/>
  <c r="C1203"/>
  <c r="C1204"/>
  <c r="C1205"/>
  <c r="C1206"/>
  <c r="C1207"/>
  <c r="C1208"/>
  <c r="C1209"/>
  <c r="C1210"/>
  <c r="C1211"/>
  <c r="C1212"/>
  <c r="C1213"/>
  <c r="C1214"/>
  <c r="C1215"/>
  <c r="C1216"/>
  <c r="C1217"/>
  <c r="C1218"/>
  <c r="C1219"/>
  <c r="C1220"/>
  <c r="C1221"/>
  <c r="C1222"/>
  <c r="C1223"/>
  <c r="C1224"/>
  <c r="C1225"/>
  <c r="C1226"/>
  <c r="C1227"/>
  <c r="C1228"/>
  <c r="C1229"/>
  <c r="C1230"/>
  <c r="C1231"/>
  <c r="C1232"/>
  <c r="C1233"/>
  <c r="C1234"/>
  <c r="C1235"/>
  <c r="C1236"/>
  <c r="C1237"/>
  <c r="C1238"/>
  <c r="C1239"/>
  <c r="C1240"/>
  <c r="C1241"/>
  <c r="C1242"/>
  <c r="C1243"/>
  <c r="C1244"/>
  <c r="C1245"/>
  <c r="C1246"/>
  <c r="C1247"/>
  <c r="C1248"/>
  <c r="C1249"/>
  <c r="C1250"/>
  <c r="C1251"/>
  <c r="C1252"/>
  <c r="C1253"/>
  <c r="C1254"/>
  <c r="C1255"/>
  <c r="C1256"/>
  <c r="C1257"/>
  <c r="C1258"/>
  <c r="C1259"/>
  <c r="C1260"/>
  <c r="C1261"/>
  <c r="C1262"/>
  <c r="C1263"/>
  <c r="C1264"/>
  <c r="C1265"/>
  <c r="C1266"/>
  <c r="C1267"/>
  <c r="C1268"/>
  <c r="C1269"/>
  <c r="C1270"/>
  <c r="C1271"/>
  <c r="C1272"/>
  <c r="E1272" s="1"/>
  <c r="C1273"/>
  <c r="E1273" s="1"/>
  <c r="C1274"/>
  <c r="C1275"/>
  <c r="C1276"/>
  <c r="C1277"/>
  <c r="C1278"/>
  <c r="C1279"/>
  <c r="C1280"/>
  <c r="C1281"/>
  <c r="C1282"/>
  <c r="C1283"/>
  <c r="C1284"/>
  <c r="C1285"/>
  <c r="C1286"/>
  <c r="C1287"/>
  <c r="C1288"/>
  <c r="C1289"/>
  <c r="C1290"/>
  <c r="C1291"/>
  <c r="C1292"/>
  <c r="C1293"/>
  <c r="C1294"/>
  <c r="C1295"/>
  <c r="C1296"/>
  <c r="C1297"/>
  <c r="C1298"/>
  <c r="C1299"/>
  <c r="C1300"/>
  <c r="C1301"/>
  <c r="C1302"/>
  <c r="C1303"/>
  <c r="C1304"/>
  <c r="C1305"/>
  <c r="C1306"/>
  <c r="C1307"/>
  <c r="C1308"/>
  <c r="C1309"/>
  <c r="C1310"/>
  <c r="C1311"/>
  <c r="C1312"/>
  <c r="C1313"/>
  <c r="C1314"/>
  <c r="C1315"/>
  <c r="C1316"/>
  <c r="C1317"/>
  <c r="C1318"/>
  <c r="C1319"/>
  <c r="C1320"/>
  <c r="C1321"/>
  <c r="C1322"/>
  <c r="C1323"/>
  <c r="C1324"/>
  <c r="C1325"/>
  <c r="C1326"/>
  <c r="C1327"/>
  <c r="C1328"/>
  <c r="C1329"/>
  <c r="C1330"/>
  <c r="C1331"/>
  <c r="C1332"/>
  <c r="C1333"/>
  <c r="C1334"/>
  <c r="C1335"/>
  <c r="C1336"/>
  <c r="C1337"/>
  <c r="C1338"/>
  <c r="C1339"/>
  <c r="C1340"/>
  <c r="C1341"/>
  <c r="C1342"/>
  <c r="C1343"/>
  <c r="C1344"/>
  <c r="E1344" s="1"/>
  <c r="C1345"/>
  <c r="E1345" s="1"/>
  <c r="C1346"/>
  <c r="C1347"/>
  <c r="C1348"/>
  <c r="C1349"/>
  <c r="C1350"/>
  <c r="C1351"/>
  <c r="C1352"/>
  <c r="C1353"/>
  <c r="C1354"/>
  <c r="C1355"/>
  <c r="C1356"/>
  <c r="C1357"/>
  <c r="C1358"/>
  <c r="C1359"/>
  <c r="C1360"/>
  <c r="C1361"/>
  <c r="C1362"/>
  <c r="C1363"/>
  <c r="C1364"/>
  <c r="C1365"/>
  <c r="C1366"/>
  <c r="C1367"/>
  <c r="C1368"/>
  <c r="C1369"/>
  <c r="C1370"/>
  <c r="C1371"/>
  <c r="C1372"/>
  <c r="C1373"/>
  <c r="C1374"/>
  <c r="C1375"/>
  <c r="C1376"/>
  <c r="C1377"/>
  <c r="C1378"/>
  <c r="C1379"/>
  <c r="C1380"/>
  <c r="C1381"/>
  <c r="C1382"/>
  <c r="C1383"/>
  <c r="C1384"/>
  <c r="C1385"/>
  <c r="C1386"/>
  <c r="C1387"/>
  <c r="C1388"/>
  <c r="C1389"/>
  <c r="C1390"/>
  <c r="C1391"/>
  <c r="C1392"/>
  <c r="C1393"/>
  <c r="C1394"/>
  <c r="C1395"/>
  <c r="C1396"/>
  <c r="C1397"/>
  <c r="C1398"/>
  <c r="C1399"/>
  <c r="C1400"/>
  <c r="C1401"/>
  <c r="C1402"/>
  <c r="C1403"/>
  <c r="C1404"/>
  <c r="C1405"/>
  <c r="C1406"/>
  <c r="C1407"/>
  <c r="C1408"/>
  <c r="C1409"/>
  <c r="C1410"/>
  <c r="C1411"/>
  <c r="C1412"/>
  <c r="C1413"/>
  <c r="C1414"/>
  <c r="C1415"/>
  <c r="C1416"/>
  <c r="E1416" s="1"/>
  <c r="C1417"/>
  <c r="E1417" s="1"/>
  <c r="C1418"/>
  <c r="C1419"/>
  <c r="C1420"/>
  <c r="C1421"/>
  <c r="C1422"/>
  <c r="C1423"/>
  <c r="C1424"/>
  <c r="C1425"/>
  <c r="C1426"/>
  <c r="C1427"/>
  <c r="C1428"/>
  <c r="C1429"/>
  <c r="C1430"/>
  <c r="C1431"/>
  <c r="C1432"/>
  <c r="C1433"/>
  <c r="C1434"/>
  <c r="C1435"/>
  <c r="C1436"/>
  <c r="C1437"/>
  <c r="C1438"/>
  <c r="C1439"/>
  <c r="C1440"/>
  <c r="C1441"/>
  <c r="C1442"/>
  <c r="C1443"/>
  <c r="C1444"/>
  <c r="C1445"/>
  <c r="C1446"/>
  <c r="C1447"/>
  <c r="C1448"/>
  <c r="C1449"/>
  <c r="C1450"/>
  <c r="C1451"/>
  <c r="C1452"/>
  <c r="C1453"/>
  <c r="C1454"/>
  <c r="C1455"/>
  <c r="C1456"/>
  <c r="C1457"/>
  <c r="C1458"/>
  <c r="C1459"/>
  <c r="C1460"/>
  <c r="C1461"/>
  <c r="C1462"/>
  <c r="C1463"/>
  <c r="C1464"/>
  <c r="C1465"/>
  <c r="C1466"/>
  <c r="C1467"/>
  <c r="C1468"/>
  <c r="C1469"/>
  <c r="C1470"/>
  <c r="C1471"/>
  <c r="C1472"/>
  <c r="C1473"/>
  <c r="C1474"/>
  <c r="C1475"/>
  <c r="C1476"/>
  <c r="C1477"/>
  <c r="C1478"/>
  <c r="C1479"/>
  <c r="C1480"/>
  <c r="C1481"/>
  <c r="C1482"/>
  <c r="C1483"/>
  <c r="C1484"/>
  <c r="C1485"/>
  <c r="C1486"/>
  <c r="C1487"/>
  <c r="C1488"/>
  <c r="E1488" s="1"/>
  <c r="C1489"/>
  <c r="E1489" s="1"/>
  <c r="C1490"/>
  <c r="C1491"/>
  <c r="C1492"/>
  <c r="C1493"/>
  <c r="C1494"/>
  <c r="C1495"/>
  <c r="C1496"/>
  <c r="C1497"/>
  <c r="C1498"/>
  <c r="C1499"/>
  <c r="C1500"/>
  <c r="C1501"/>
  <c r="C1502"/>
  <c r="C1503"/>
  <c r="C1504"/>
  <c r="C1505"/>
  <c r="C1506"/>
  <c r="C1507"/>
  <c r="C1508"/>
  <c r="C1509"/>
  <c r="C1510"/>
  <c r="C1511"/>
  <c r="C1512"/>
  <c r="C1513"/>
  <c r="C1514"/>
  <c r="C1515"/>
  <c r="C1516"/>
  <c r="C1517"/>
  <c r="C1518"/>
  <c r="C1519"/>
  <c r="C1520"/>
  <c r="C1521"/>
  <c r="C1522"/>
  <c r="C1523"/>
  <c r="C1524"/>
  <c r="C1525"/>
  <c r="C1526"/>
  <c r="C1527"/>
  <c r="C1528"/>
  <c r="C1529"/>
  <c r="C1530"/>
  <c r="C1531"/>
  <c r="C1532"/>
  <c r="C1533"/>
  <c r="C1534"/>
  <c r="C1535"/>
  <c r="C1536"/>
  <c r="C1537"/>
  <c r="C1538"/>
  <c r="C1539"/>
  <c r="C1540"/>
  <c r="C1541"/>
  <c r="C1542"/>
  <c r="C1543"/>
  <c r="C1544"/>
  <c r="C1545"/>
  <c r="C1546"/>
  <c r="C1547"/>
  <c r="C1548"/>
  <c r="C1549"/>
  <c r="C1550"/>
  <c r="C1551"/>
  <c r="C1552"/>
  <c r="C1553"/>
  <c r="C1554"/>
  <c r="C1555"/>
  <c r="C1556"/>
  <c r="C1557"/>
  <c r="C1558"/>
  <c r="C1559"/>
  <c r="C1560"/>
  <c r="E1560" s="1"/>
  <c r="C1561"/>
  <c r="E1561" s="1"/>
  <c r="C1562"/>
  <c r="C1563"/>
  <c r="C1564"/>
  <c r="C1565"/>
  <c r="C1566"/>
  <c r="C1567"/>
  <c r="C1568"/>
  <c r="C1569"/>
  <c r="C1570"/>
  <c r="C1571"/>
  <c r="C1572"/>
  <c r="C1573"/>
  <c r="C1574"/>
  <c r="C1575"/>
  <c r="C1576"/>
  <c r="C1577"/>
  <c r="C1578"/>
  <c r="C1579"/>
  <c r="C1580"/>
  <c r="C1581"/>
  <c r="C1582"/>
  <c r="C1583"/>
  <c r="C1584"/>
  <c r="C1585"/>
  <c r="C1586"/>
  <c r="C1587"/>
  <c r="C1588"/>
  <c r="C1589"/>
  <c r="C1590"/>
  <c r="C1591"/>
  <c r="C1592"/>
  <c r="C1593"/>
  <c r="C1594"/>
  <c r="C1595"/>
  <c r="C1596"/>
  <c r="C1597"/>
  <c r="C1598"/>
  <c r="C1599"/>
  <c r="C1600"/>
  <c r="C1601"/>
  <c r="C1602"/>
  <c r="C1603"/>
  <c r="C1604"/>
  <c r="C1605"/>
  <c r="C1606"/>
  <c r="C1607"/>
  <c r="C1608"/>
  <c r="C1609"/>
  <c r="C1610"/>
  <c r="C1611"/>
  <c r="C1612"/>
  <c r="C1613"/>
  <c r="C1614"/>
  <c r="C1615"/>
  <c r="C1616"/>
  <c r="C1617"/>
  <c r="C1618"/>
  <c r="C1619"/>
  <c r="C1620"/>
  <c r="C1621"/>
  <c r="E1621" s="1"/>
  <c r="C1622"/>
  <c r="C1623"/>
  <c r="C1624"/>
  <c r="C1625"/>
  <c r="C1626"/>
  <c r="C1627"/>
  <c r="C1628"/>
  <c r="E1628" s="1"/>
  <c r="C1629"/>
  <c r="C1630"/>
  <c r="C1631"/>
  <c r="C1632"/>
  <c r="C1633"/>
  <c r="C1634"/>
  <c r="C1635"/>
  <c r="C1636"/>
  <c r="C1637"/>
  <c r="C1638"/>
  <c r="C1639"/>
  <c r="C1640"/>
  <c r="C1641"/>
  <c r="C1642"/>
  <c r="C1643"/>
  <c r="C1644"/>
  <c r="C1645"/>
  <c r="C1646"/>
  <c r="C1647"/>
  <c r="C1648"/>
  <c r="C1649"/>
  <c r="C1650"/>
  <c r="C1651"/>
  <c r="C1652"/>
  <c r="C1653"/>
  <c r="C1654"/>
  <c r="C1655"/>
  <c r="C1656"/>
  <c r="C1657"/>
  <c r="C1658"/>
  <c r="C1659"/>
  <c r="C1660"/>
  <c r="C1661"/>
  <c r="C1662"/>
  <c r="C1663"/>
  <c r="C1664"/>
  <c r="C1665"/>
  <c r="C1666"/>
  <c r="C1667"/>
  <c r="C1668"/>
  <c r="C1669"/>
  <c r="E1669" s="1"/>
  <c r="C1670"/>
  <c r="C1671"/>
  <c r="C1672"/>
  <c r="C1673"/>
  <c r="C1674"/>
  <c r="C1675"/>
  <c r="C1676"/>
  <c r="E1676" s="1"/>
  <c r="C1677"/>
  <c r="C1678"/>
  <c r="C1679"/>
  <c r="C1680"/>
  <c r="C1681"/>
  <c r="C1682"/>
  <c r="C1683"/>
  <c r="C1684"/>
  <c r="C1685"/>
  <c r="C1686"/>
  <c r="C1687"/>
  <c r="C1688"/>
  <c r="C1689"/>
  <c r="C1690"/>
  <c r="C1691"/>
  <c r="C1692"/>
  <c r="C1693"/>
  <c r="C1694"/>
  <c r="C1695"/>
  <c r="C1696"/>
  <c r="C1697"/>
  <c r="C1698"/>
  <c r="C1699"/>
  <c r="C1700"/>
  <c r="C1701"/>
  <c r="C1702"/>
  <c r="C1703"/>
  <c r="C1704"/>
  <c r="C1705"/>
  <c r="C1706"/>
  <c r="C1707"/>
  <c r="C1708"/>
  <c r="C1709"/>
  <c r="C1710"/>
  <c r="C1711"/>
  <c r="C1712"/>
  <c r="C1713"/>
  <c r="C1714"/>
  <c r="C1715"/>
  <c r="C1716"/>
  <c r="C1717"/>
  <c r="E1717" s="1"/>
  <c r="C1718"/>
  <c r="C1719"/>
  <c r="C1720"/>
  <c r="C1721"/>
  <c r="C1722"/>
  <c r="C1723"/>
  <c r="C1724"/>
  <c r="E1724" s="1"/>
  <c r="C1725"/>
  <c r="C1726"/>
  <c r="C1727"/>
  <c r="C1728"/>
  <c r="C1729"/>
  <c r="C1730"/>
  <c r="C1731"/>
  <c r="C1732"/>
  <c r="C1733"/>
  <c r="C1734"/>
  <c r="C1735"/>
  <c r="C1736"/>
  <c r="C1737"/>
  <c r="C1738"/>
  <c r="C1739"/>
  <c r="C1740"/>
  <c r="C1741"/>
  <c r="C1742"/>
  <c r="C1743"/>
  <c r="C1744"/>
  <c r="C1745"/>
  <c r="C1746"/>
  <c r="C1747"/>
  <c r="C1748"/>
  <c r="C1749"/>
  <c r="C1750"/>
  <c r="C1751"/>
  <c r="C1752"/>
  <c r="C1753"/>
  <c r="C1754"/>
  <c r="C1755"/>
  <c r="C1756"/>
  <c r="C1757"/>
  <c r="C1758"/>
  <c r="C1759"/>
  <c r="C1760"/>
  <c r="C1761"/>
  <c r="C1762"/>
  <c r="C1763"/>
  <c r="C1764"/>
  <c r="C1765"/>
  <c r="C1766"/>
  <c r="C1767"/>
  <c r="C1768"/>
  <c r="C1769"/>
  <c r="C1770"/>
  <c r="C1771"/>
  <c r="C1772"/>
  <c r="E1772" s="1"/>
  <c r="C1773"/>
  <c r="C1774"/>
  <c r="C1775"/>
  <c r="C1776"/>
  <c r="C1777"/>
  <c r="C1778"/>
  <c r="C1779"/>
  <c r="C1780"/>
  <c r="C1781"/>
  <c r="C1782"/>
  <c r="C1783"/>
  <c r="C1784"/>
  <c r="C1785"/>
  <c r="C1786"/>
  <c r="C1787"/>
  <c r="C1788"/>
  <c r="C1789"/>
  <c r="C1790"/>
  <c r="C1791"/>
  <c r="C1792"/>
  <c r="C1793"/>
  <c r="C1794"/>
  <c r="C1795"/>
  <c r="C1796"/>
  <c r="C1797"/>
  <c r="C1798"/>
  <c r="C1799"/>
  <c r="C1800"/>
  <c r="C1801"/>
  <c r="C1802"/>
  <c r="C1803"/>
  <c r="C1804"/>
  <c r="C1805"/>
  <c r="C1806"/>
  <c r="C1807"/>
  <c r="C1808"/>
  <c r="C1809"/>
  <c r="C1810"/>
  <c r="C1811"/>
  <c r="C1812"/>
  <c r="C1813"/>
  <c r="C1814"/>
  <c r="C1815"/>
  <c r="C1816"/>
  <c r="C1817"/>
  <c r="C1818"/>
  <c r="C1819"/>
  <c r="C1820"/>
  <c r="E1820" s="1"/>
  <c r="C1821"/>
  <c r="C1822"/>
  <c r="C1823"/>
  <c r="C1824"/>
  <c r="C1825"/>
  <c r="C1826"/>
  <c r="C1827"/>
  <c r="C1828"/>
  <c r="C1829"/>
  <c r="C1830"/>
  <c r="C1831"/>
  <c r="C1832"/>
  <c r="C1833"/>
  <c r="C1834"/>
  <c r="C1835"/>
  <c r="C1836"/>
  <c r="C1837"/>
  <c r="C1838"/>
  <c r="C1839"/>
  <c r="C1840"/>
  <c r="C1841"/>
  <c r="C1842"/>
  <c r="C1843"/>
  <c r="C1844"/>
  <c r="C1845"/>
  <c r="C1846"/>
  <c r="C1847"/>
  <c r="C1848"/>
  <c r="C1849"/>
  <c r="C1850"/>
  <c r="C1851"/>
  <c r="C1852"/>
  <c r="C1853"/>
  <c r="C1854"/>
  <c r="C1855"/>
  <c r="C1856"/>
  <c r="C1857"/>
  <c r="C1858"/>
  <c r="C1859"/>
  <c r="C1860"/>
  <c r="C1861"/>
  <c r="C1862"/>
  <c r="C1863"/>
  <c r="C1864"/>
  <c r="C1865"/>
  <c r="C1866"/>
  <c r="C1867"/>
  <c r="C1868"/>
  <c r="E1868" s="1"/>
  <c r="C1869"/>
  <c r="C1870"/>
  <c r="C1871"/>
  <c r="C1872"/>
  <c r="C1873"/>
  <c r="C1874"/>
  <c r="C1875"/>
  <c r="C1876"/>
  <c r="C1877"/>
  <c r="C1878"/>
  <c r="C1879"/>
  <c r="C1880"/>
  <c r="C1881"/>
  <c r="C1882"/>
  <c r="C1883"/>
  <c r="C1884"/>
  <c r="C1885"/>
  <c r="C1886"/>
  <c r="C1887"/>
  <c r="C1888"/>
  <c r="C1889"/>
  <c r="C1890"/>
  <c r="C1891"/>
  <c r="C1892"/>
  <c r="C1893"/>
  <c r="C1894"/>
  <c r="C1895"/>
  <c r="C1896"/>
  <c r="C1897"/>
  <c r="C1898"/>
  <c r="C1899"/>
  <c r="C1900"/>
  <c r="C1901"/>
  <c r="C1902"/>
  <c r="C1903"/>
  <c r="C1904"/>
  <c r="C1905"/>
  <c r="C1906"/>
  <c r="C1907"/>
  <c r="C1908"/>
  <c r="C1909"/>
  <c r="E1909" s="1"/>
  <c r="C1910"/>
  <c r="C1911"/>
  <c r="C1912"/>
  <c r="C1913"/>
  <c r="C1914"/>
  <c r="C1915"/>
  <c r="C1916"/>
  <c r="E1916" s="1"/>
  <c r="C1917"/>
  <c r="C1918"/>
  <c r="C1919"/>
  <c r="C1920"/>
  <c r="C1921"/>
  <c r="C1922"/>
  <c r="C1923"/>
  <c r="C1924"/>
  <c r="C1925"/>
  <c r="C1926"/>
  <c r="C1927"/>
  <c r="C1928"/>
  <c r="C1929"/>
  <c r="C1930"/>
  <c r="C1931"/>
  <c r="C1932"/>
  <c r="C1933"/>
  <c r="C1934"/>
  <c r="C1935"/>
  <c r="C1936"/>
  <c r="C1937"/>
  <c r="C1938"/>
  <c r="C1939"/>
  <c r="C1940"/>
  <c r="C1941"/>
  <c r="C1942"/>
  <c r="C1943"/>
  <c r="C1944"/>
  <c r="C1945"/>
  <c r="C1946"/>
  <c r="C1947"/>
  <c r="C1948"/>
  <c r="C1949"/>
  <c r="C1950"/>
  <c r="C1951"/>
  <c r="C1952"/>
  <c r="C1953"/>
  <c r="C1954"/>
  <c r="C1955"/>
  <c r="C1956"/>
  <c r="C1957"/>
  <c r="C1958"/>
  <c r="C1959"/>
  <c r="C1960"/>
  <c r="C1961"/>
  <c r="C1962"/>
  <c r="C1963"/>
  <c r="C1964"/>
  <c r="E1964" s="1"/>
  <c r="C1965"/>
  <c r="C1966"/>
  <c r="C1967"/>
  <c r="C1968"/>
  <c r="C1969"/>
  <c r="C1970"/>
  <c r="C1971"/>
  <c r="C1972"/>
  <c r="C1973"/>
  <c r="C1974"/>
  <c r="C1975"/>
  <c r="C1976"/>
  <c r="C1977"/>
  <c r="C1978"/>
  <c r="C1979"/>
  <c r="C1980"/>
  <c r="C1981"/>
  <c r="C1982"/>
  <c r="C1983"/>
  <c r="C1984"/>
  <c r="C1985"/>
  <c r="C1986"/>
  <c r="C1987"/>
  <c r="C1988"/>
  <c r="C1989"/>
  <c r="C1990"/>
  <c r="C1991"/>
  <c r="C1992"/>
  <c r="C1993"/>
  <c r="C1994"/>
  <c r="C1995"/>
  <c r="C1996"/>
  <c r="C1997"/>
  <c r="C1998"/>
  <c r="C1999"/>
  <c r="C2000"/>
  <c r="C2001"/>
  <c r="C2002"/>
  <c r="C2003"/>
  <c r="C2004"/>
  <c r="C2005"/>
  <c r="C2006"/>
  <c r="C2007"/>
  <c r="C2008"/>
  <c r="C2009"/>
  <c r="C2010"/>
  <c r="C2011"/>
  <c r="C2012"/>
  <c r="E2012" s="1"/>
  <c r="C2013"/>
  <c r="C2014"/>
  <c r="C2015"/>
  <c r="C2016"/>
  <c r="C2017"/>
  <c r="C2018"/>
  <c r="C2019"/>
  <c r="C2020"/>
  <c r="C2021"/>
  <c r="C2022"/>
  <c r="C2023"/>
  <c r="C2024"/>
  <c r="C2025"/>
  <c r="C2026"/>
  <c r="C2027"/>
  <c r="C2028"/>
  <c r="C2029"/>
  <c r="C2030"/>
  <c r="C2031"/>
  <c r="C2032"/>
  <c r="C2033"/>
  <c r="C2034"/>
  <c r="C2035"/>
  <c r="C2036"/>
  <c r="C2037"/>
  <c r="C2038"/>
  <c r="C2039"/>
  <c r="C2040"/>
  <c r="C2041"/>
  <c r="C2042"/>
  <c r="C2043"/>
  <c r="C2044"/>
  <c r="C2045"/>
  <c r="C2046"/>
  <c r="C2047"/>
  <c r="C2048"/>
  <c r="C2049"/>
  <c r="C2050"/>
  <c r="C2051"/>
  <c r="C2052"/>
  <c r="C2053"/>
  <c r="C2054"/>
  <c r="C2055"/>
  <c r="C2056"/>
  <c r="C2057"/>
  <c r="C2058"/>
  <c r="C2059"/>
  <c r="C2060"/>
  <c r="E2060" s="1"/>
  <c r="C2061"/>
  <c r="C2062"/>
  <c r="C2063"/>
  <c r="C2064"/>
  <c r="C2065"/>
  <c r="C2066"/>
  <c r="C2067"/>
  <c r="C2068"/>
  <c r="C2069"/>
  <c r="C2070"/>
  <c r="C2071"/>
  <c r="C2072"/>
  <c r="C2073"/>
  <c r="C2074"/>
  <c r="C2075"/>
  <c r="C2076"/>
  <c r="C2077"/>
  <c r="C2078"/>
  <c r="C2079"/>
  <c r="C2080"/>
  <c r="C2081"/>
  <c r="C2082"/>
  <c r="C2083"/>
  <c r="C2084"/>
  <c r="C2085"/>
  <c r="C2086"/>
  <c r="C2087"/>
  <c r="C2088"/>
  <c r="C2089"/>
  <c r="C2090"/>
  <c r="C2091"/>
  <c r="C2092"/>
  <c r="C2093"/>
  <c r="C2094"/>
  <c r="C2095"/>
  <c r="C2096"/>
  <c r="C2097"/>
  <c r="C2098"/>
  <c r="C2099"/>
  <c r="C2100"/>
  <c r="C2101"/>
  <c r="C2102"/>
  <c r="C2103"/>
  <c r="C2104"/>
  <c r="C2105"/>
  <c r="C2106"/>
  <c r="C2107"/>
  <c r="C2108"/>
  <c r="E2108" s="1"/>
  <c r="C2109"/>
  <c r="C2110"/>
  <c r="C2111"/>
  <c r="C2112"/>
  <c r="C2113"/>
  <c r="C2114"/>
  <c r="C2115"/>
  <c r="C2116"/>
  <c r="C2117"/>
  <c r="C2118"/>
  <c r="C2119"/>
  <c r="C2120"/>
  <c r="C2121"/>
  <c r="C2122"/>
  <c r="C2123"/>
  <c r="C2124"/>
  <c r="C2125"/>
  <c r="C2126"/>
  <c r="C2127"/>
  <c r="C2128"/>
  <c r="C2129"/>
  <c r="C2130"/>
  <c r="C2131"/>
  <c r="C2132"/>
  <c r="C2133"/>
  <c r="C2134"/>
  <c r="C2135"/>
  <c r="C2136"/>
  <c r="C2137"/>
  <c r="C2138"/>
  <c r="C2139"/>
  <c r="C2140"/>
  <c r="C2141"/>
  <c r="C2142"/>
  <c r="C2143"/>
  <c r="C2144"/>
  <c r="C2145"/>
  <c r="C2146"/>
  <c r="C2147"/>
  <c r="C2148"/>
  <c r="C2149"/>
  <c r="C2150"/>
  <c r="C2151"/>
  <c r="C2152"/>
  <c r="C2153"/>
  <c r="C2154"/>
  <c r="C2155"/>
  <c r="C2156"/>
  <c r="E2156" s="1"/>
  <c r="C2157"/>
  <c r="C2158"/>
  <c r="C2159"/>
  <c r="C2160"/>
  <c r="C2161"/>
  <c r="C2162"/>
  <c r="C2163"/>
  <c r="C2164"/>
  <c r="C2165"/>
  <c r="C2166"/>
  <c r="C2167"/>
  <c r="C2168"/>
  <c r="C2169"/>
  <c r="C2170"/>
  <c r="C2171"/>
  <c r="C2172"/>
  <c r="C2173"/>
  <c r="C2174"/>
  <c r="C2175"/>
  <c r="C2176"/>
  <c r="C2177"/>
  <c r="C2178"/>
  <c r="C2179"/>
  <c r="C2180"/>
  <c r="C2181"/>
  <c r="C2182"/>
  <c r="C2183"/>
  <c r="C2184"/>
  <c r="C2185"/>
  <c r="C2186"/>
  <c r="C2187"/>
  <c r="C2188"/>
  <c r="C2189"/>
  <c r="C2190"/>
  <c r="C2191"/>
  <c r="C2192"/>
  <c r="C2193"/>
  <c r="C2194"/>
  <c r="C2195"/>
  <c r="C2196"/>
  <c r="C2197"/>
  <c r="E2197" s="1"/>
  <c r="C2198"/>
  <c r="C2199"/>
  <c r="C2200"/>
  <c r="C2201"/>
  <c r="C2202"/>
  <c r="C2203"/>
  <c r="C2204"/>
  <c r="E2204" s="1"/>
  <c r="C2205"/>
  <c r="C2206"/>
  <c r="C2207"/>
  <c r="C2208"/>
  <c r="C2209"/>
  <c r="C2210"/>
  <c r="C2211"/>
  <c r="C2212"/>
  <c r="C2213"/>
  <c r="C2214"/>
  <c r="C2215"/>
  <c r="C2216"/>
  <c r="C2217"/>
  <c r="C2218"/>
  <c r="C2219"/>
  <c r="C2220"/>
  <c r="C2221"/>
  <c r="C2222"/>
  <c r="C2223"/>
  <c r="C2224"/>
  <c r="C2225"/>
  <c r="C2226"/>
  <c r="C2227"/>
  <c r="C2228"/>
  <c r="C2229"/>
  <c r="C2230"/>
  <c r="C2231"/>
  <c r="C2232"/>
  <c r="C2233"/>
  <c r="C2234"/>
  <c r="C2235"/>
  <c r="C2236"/>
  <c r="C2237"/>
  <c r="C2238"/>
  <c r="C2239"/>
  <c r="C2240"/>
  <c r="C2241"/>
  <c r="C2242"/>
  <c r="C2243"/>
  <c r="C2244"/>
  <c r="C2245"/>
  <c r="C2246"/>
  <c r="C2247"/>
  <c r="C2248"/>
  <c r="C2249"/>
  <c r="C2250"/>
  <c r="C2251"/>
  <c r="C2252"/>
  <c r="E2252" s="1"/>
  <c r="C2253"/>
  <c r="C2254"/>
  <c r="C2255"/>
  <c r="C2256"/>
  <c r="C2257"/>
  <c r="C2258"/>
  <c r="C2259"/>
  <c r="C2260"/>
  <c r="C2261"/>
  <c r="C2262"/>
  <c r="C2263"/>
  <c r="C2264"/>
  <c r="C2265"/>
  <c r="C2266"/>
  <c r="C2267"/>
  <c r="C2268"/>
  <c r="C2269"/>
  <c r="C2270"/>
  <c r="C2271"/>
  <c r="C2272"/>
  <c r="C2273"/>
  <c r="C2274"/>
  <c r="C2275"/>
  <c r="C2276"/>
  <c r="C2277"/>
  <c r="C2278"/>
  <c r="C2279"/>
  <c r="C2280"/>
  <c r="C2281"/>
  <c r="C2282"/>
  <c r="C2283"/>
  <c r="C2284"/>
  <c r="C2285"/>
  <c r="C2286"/>
  <c r="C2287"/>
  <c r="C2288"/>
  <c r="C2289"/>
  <c r="C2290"/>
  <c r="C2291"/>
  <c r="C2292"/>
  <c r="C2293"/>
  <c r="C2294"/>
  <c r="C2295"/>
  <c r="C2296"/>
  <c r="C2297"/>
  <c r="C2298"/>
  <c r="C2299"/>
  <c r="C2300"/>
  <c r="E2300" s="1"/>
  <c r="C2301"/>
  <c r="C2302"/>
  <c r="C2303"/>
  <c r="C2304"/>
  <c r="C2305"/>
  <c r="C2306"/>
  <c r="C2307"/>
  <c r="C2308"/>
  <c r="C2309"/>
  <c r="C2310"/>
  <c r="C2311"/>
  <c r="C2312"/>
  <c r="C2313"/>
  <c r="C2314"/>
  <c r="C2315"/>
  <c r="C2316"/>
  <c r="C2317"/>
  <c r="C2318"/>
  <c r="C2319"/>
  <c r="C2320"/>
  <c r="C2321"/>
  <c r="C2322"/>
  <c r="C2323"/>
  <c r="C2324"/>
  <c r="C2325"/>
  <c r="C2326"/>
  <c r="C2327"/>
  <c r="C2328"/>
  <c r="C2329"/>
  <c r="C2330"/>
  <c r="C2331"/>
  <c r="C2332"/>
  <c r="C2333"/>
  <c r="C2334"/>
  <c r="C2335"/>
  <c r="C2336"/>
  <c r="C2337"/>
  <c r="C2338"/>
  <c r="C2339"/>
  <c r="C2340"/>
  <c r="C2341"/>
  <c r="C2342"/>
  <c r="C2343"/>
  <c r="C2344"/>
  <c r="C2345"/>
  <c r="C2346"/>
  <c r="C2347"/>
  <c r="C2348"/>
  <c r="E2348" s="1"/>
  <c r="C2349"/>
  <c r="C2350"/>
  <c r="C2351"/>
  <c r="C2352"/>
  <c r="C2353"/>
  <c r="C2354"/>
  <c r="C2355"/>
  <c r="C2356"/>
  <c r="C2357"/>
  <c r="C2358"/>
  <c r="C2359"/>
  <c r="C2360"/>
  <c r="C2361"/>
  <c r="C2362"/>
  <c r="C2363"/>
  <c r="C2364"/>
  <c r="C2365"/>
  <c r="C2366"/>
  <c r="C2367"/>
  <c r="C2368"/>
  <c r="C2369"/>
  <c r="C2370"/>
  <c r="C2371"/>
  <c r="C2372"/>
  <c r="C2373"/>
  <c r="C2374"/>
  <c r="C2375"/>
  <c r="C2376"/>
  <c r="C2377"/>
  <c r="C2378"/>
  <c r="C2379"/>
  <c r="C2380"/>
  <c r="C2381"/>
  <c r="C2382"/>
  <c r="C2383"/>
  <c r="C2384"/>
  <c r="C2385"/>
  <c r="C2386"/>
  <c r="C2387"/>
  <c r="C2388"/>
  <c r="C2389"/>
  <c r="C2390"/>
  <c r="C2391"/>
  <c r="C2392"/>
  <c r="C2393"/>
  <c r="C2394"/>
  <c r="C2395"/>
  <c r="C2396"/>
  <c r="E2396" s="1"/>
  <c r="C2397"/>
  <c r="C2398"/>
  <c r="C2399"/>
  <c r="C2400"/>
  <c r="C2401"/>
  <c r="C2402"/>
  <c r="C2403"/>
  <c r="C2404"/>
  <c r="C2405"/>
  <c r="C2406"/>
  <c r="C2407"/>
  <c r="C2408"/>
  <c r="C2409"/>
  <c r="C2410"/>
  <c r="C2411"/>
  <c r="C2412"/>
  <c r="C2413"/>
  <c r="C2414"/>
  <c r="C2415"/>
  <c r="C2416"/>
  <c r="C2417"/>
  <c r="C2418"/>
  <c r="C2419"/>
  <c r="C2420"/>
  <c r="C2421"/>
  <c r="C2422"/>
  <c r="C2423"/>
  <c r="C2424"/>
  <c r="C2425"/>
  <c r="C2426"/>
  <c r="C2427"/>
  <c r="C2428"/>
  <c r="C2429"/>
  <c r="C2430"/>
  <c r="C2431"/>
  <c r="C2432"/>
  <c r="C2433"/>
  <c r="C2434"/>
  <c r="C2435"/>
  <c r="C2436"/>
  <c r="C2437"/>
  <c r="C2438"/>
  <c r="C2439"/>
  <c r="C2440"/>
  <c r="C2441"/>
  <c r="C2442"/>
  <c r="C2443"/>
  <c r="C2444"/>
  <c r="E2444" s="1"/>
  <c r="C2445"/>
  <c r="C2446"/>
  <c r="C2447"/>
  <c r="C2448"/>
  <c r="C2449"/>
  <c r="C2450"/>
  <c r="C2451"/>
  <c r="C2452"/>
  <c r="C2453"/>
  <c r="C2454"/>
  <c r="C2455"/>
  <c r="C2456"/>
  <c r="C2457"/>
  <c r="C2458"/>
  <c r="C2459"/>
  <c r="C2460"/>
  <c r="C2461"/>
  <c r="C2462"/>
  <c r="C2463"/>
  <c r="C2464"/>
  <c r="C2465"/>
  <c r="C2466"/>
  <c r="C2467"/>
  <c r="C2468"/>
  <c r="C2469"/>
  <c r="C2470"/>
  <c r="C2471"/>
  <c r="C2472"/>
  <c r="C2473"/>
  <c r="C2474"/>
  <c r="C2475"/>
  <c r="C2476"/>
  <c r="C2477"/>
  <c r="C2478"/>
  <c r="C2479"/>
  <c r="C2480"/>
  <c r="C2481"/>
  <c r="C2482"/>
  <c r="C2483"/>
  <c r="C2484"/>
  <c r="C2485"/>
  <c r="E2485" s="1"/>
  <c r="C2486"/>
  <c r="C2487"/>
  <c r="C2488"/>
  <c r="C2489"/>
  <c r="C2490"/>
  <c r="C2491"/>
  <c r="C2492"/>
  <c r="E2492" s="1"/>
  <c r="C2493"/>
  <c r="C2494"/>
  <c r="C2495"/>
  <c r="C2496"/>
  <c r="C2497"/>
  <c r="C2498"/>
  <c r="C2499"/>
  <c r="C2500"/>
  <c r="C2501"/>
  <c r="C2502"/>
  <c r="C2503"/>
  <c r="C2504"/>
  <c r="C2505"/>
  <c r="C2506"/>
  <c r="C2507"/>
  <c r="C2508"/>
  <c r="C2509"/>
  <c r="C2510"/>
  <c r="C2511"/>
  <c r="C2512"/>
  <c r="C2513"/>
  <c r="C2514"/>
  <c r="C2515"/>
  <c r="C2516"/>
  <c r="C2517"/>
  <c r="C2518"/>
  <c r="C2519"/>
  <c r="C2520"/>
  <c r="C2521"/>
  <c r="C2522"/>
  <c r="C2523"/>
  <c r="C2524"/>
  <c r="C2525"/>
  <c r="C2526"/>
  <c r="C2527"/>
  <c r="C2528"/>
  <c r="C2529"/>
  <c r="C2530"/>
  <c r="C2531"/>
  <c r="C2532"/>
  <c r="C2533"/>
  <c r="C2534"/>
  <c r="C2535"/>
  <c r="C2536"/>
  <c r="C2537"/>
  <c r="C2538"/>
  <c r="C2539"/>
  <c r="C2540"/>
  <c r="E2540" s="1"/>
  <c r="C2541"/>
  <c r="C2542"/>
  <c r="C2543"/>
  <c r="C2544"/>
  <c r="C2545"/>
  <c r="C2546"/>
  <c r="C2547"/>
  <c r="C2548"/>
  <c r="C2549"/>
  <c r="C2550"/>
  <c r="C2551"/>
  <c r="C2552"/>
  <c r="C2553"/>
  <c r="C2554"/>
  <c r="C2555"/>
  <c r="C2556"/>
  <c r="C2557"/>
  <c r="C2558"/>
  <c r="C2559"/>
  <c r="C2560"/>
  <c r="C2561"/>
  <c r="C2562"/>
  <c r="C2563"/>
  <c r="C2564"/>
  <c r="C2565"/>
  <c r="C2566"/>
  <c r="C2567"/>
  <c r="C2568"/>
  <c r="C2569"/>
  <c r="C2570"/>
  <c r="C2571"/>
  <c r="C2572"/>
  <c r="C2573"/>
  <c r="C2574"/>
  <c r="C2575"/>
  <c r="C2576"/>
  <c r="C2577"/>
  <c r="C2578"/>
  <c r="C2579"/>
  <c r="C2580"/>
  <c r="C2581"/>
  <c r="C2582"/>
  <c r="C2583"/>
  <c r="C2584"/>
  <c r="C2585"/>
  <c r="C2586"/>
  <c r="C2587"/>
  <c r="C2588"/>
  <c r="E2588" s="1"/>
  <c r="C2589"/>
  <c r="C2590"/>
  <c r="C2591"/>
  <c r="C2592"/>
  <c r="C2593"/>
  <c r="C2594"/>
  <c r="C2595"/>
  <c r="C2596"/>
  <c r="C2597"/>
  <c r="C2598"/>
  <c r="C2599"/>
  <c r="C2600"/>
  <c r="C2601"/>
  <c r="C2602"/>
  <c r="C2603"/>
  <c r="C2604"/>
  <c r="C2605"/>
  <c r="C2606"/>
  <c r="C2607"/>
  <c r="C2608"/>
  <c r="C2609"/>
  <c r="C2610"/>
  <c r="C2611"/>
  <c r="C2612"/>
  <c r="C2613"/>
  <c r="C2614"/>
  <c r="C2615"/>
  <c r="C2616"/>
  <c r="C2617"/>
  <c r="C2618"/>
  <c r="C2619"/>
  <c r="C2620"/>
  <c r="C2621"/>
  <c r="C2622"/>
  <c r="C2623"/>
  <c r="C2624"/>
  <c r="C2625"/>
  <c r="C2626"/>
  <c r="C2627"/>
  <c r="C2628"/>
  <c r="C2629"/>
  <c r="C2630"/>
  <c r="C2631"/>
  <c r="C2632"/>
  <c r="C2633"/>
  <c r="C2634"/>
  <c r="C2635"/>
  <c r="C2636"/>
  <c r="E2636" s="1"/>
  <c r="C2637"/>
  <c r="C2638"/>
  <c r="C2639"/>
  <c r="C2640"/>
  <c r="C2641"/>
  <c r="C2642"/>
  <c r="C2643"/>
  <c r="C2644"/>
  <c r="C2645"/>
  <c r="C2646"/>
  <c r="C2647"/>
  <c r="C2648"/>
  <c r="C2649"/>
  <c r="C2650"/>
  <c r="C2651"/>
  <c r="C2652"/>
  <c r="C2653"/>
  <c r="C2654"/>
  <c r="C2655"/>
  <c r="C2656"/>
  <c r="C2657"/>
  <c r="C2658"/>
  <c r="C2659"/>
  <c r="C2660"/>
  <c r="C2661"/>
  <c r="C2662"/>
  <c r="C2663"/>
  <c r="C2664"/>
  <c r="C2665"/>
  <c r="C2666"/>
  <c r="C2667"/>
  <c r="C2668"/>
  <c r="C2669"/>
  <c r="C2670"/>
  <c r="C2671"/>
  <c r="C2672"/>
  <c r="C2673"/>
  <c r="C2674"/>
  <c r="C2675"/>
  <c r="C2676"/>
  <c r="C2677"/>
  <c r="C2678"/>
  <c r="C2679"/>
  <c r="C2680"/>
  <c r="C2681"/>
  <c r="C2682"/>
  <c r="C2683"/>
  <c r="C2684"/>
  <c r="E2684" s="1"/>
  <c r="C2685"/>
  <c r="C2686"/>
  <c r="C2687"/>
  <c r="C2688"/>
  <c r="C2689"/>
  <c r="C2690"/>
  <c r="C2691"/>
  <c r="C2692"/>
  <c r="C2693"/>
  <c r="C2694"/>
  <c r="C2695"/>
  <c r="C2696"/>
  <c r="C2697"/>
  <c r="C2698"/>
  <c r="C2699"/>
  <c r="C2700"/>
  <c r="C2701"/>
  <c r="C2702"/>
  <c r="C2703"/>
  <c r="C2704"/>
  <c r="C2705"/>
  <c r="C2706"/>
  <c r="C2707"/>
  <c r="C2708"/>
  <c r="C2709"/>
  <c r="C2710"/>
  <c r="C2711"/>
  <c r="C2712"/>
  <c r="C2713"/>
  <c r="C2714"/>
  <c r="C2715"/>
  <c r="C2716"/>
  <c r="C2717"/>
  <c r="C2718"/>
  <c r="C2719"/>
  <c r="C2720"/>
  <c r="C2721"/>
  <c r="C2722"/>
  <c r="C2723"/>
  <c r="C2724"/>
  <c r="C2725"/>
  <c r="C2726"/>
  <c r="C2727"/>
  <c r="C2728"/>
  <c r="C2729"/>
  <c r="C2730"/>
  <c r="C2731"/>
  <c r="C2732"/>
  <c r="E2732" s="1"/>
  <c r="C2733"/>
  <c r="C2734"/>
  <c r="C2735"/>
  <c r="C2736"/>
  <c r="C2737"/>
  <c r="C2738"/>
  <c r="C2739"/>
  <c r="C2740"/>
  <c r="C2741"/>
  <c r="C2742"/>
  <c r="C2743"/>
  <c r="C2744"/>
  <c r="C2745"/>
  <c r="C2746"/>
  <c r="C2747"/>
  <c r="C2748"/>
  <c r="C2749"/>
  <c r="C2750"/>
  <c r="C2751"/>
  <c r="C2752"/>
  <c r="C2753"/>
  <c r="C2754"/>
  <c r="C2755"/>
  <c r="C2756"/>
  <c r="C2757"/>
  <c r="C2758"/>
  <c r="C2759"/>
  <c r="C2760"/>
  <c r="C2761"/>
  <c r="C2762"/>
  <c r="C2763"/>
  <c r="C2764"/>
  <c r="C2765"/>
  <c r="C2766"/>
  <c r="C2767"/>
  <c r="C2768"/>
  <c r="C2769"/>
  <c r="C2770"/>
  <c r="C2771"/>
  <c r="C2772"/>
  <c r="C2773"/>
  <c r="E2773" s="1"/>
  <c r="C2774"/>
  <c r="C2775"/>
  <c r="C2776"/>
  <c r="C2777"/>
  <c r="C2778"/>
  <c r="C2779"/>
  <c r="C2780"/>
  <c r="E2780" s="1"/>
  <c r="C2781"/>
  <c r="C2782"/>
  <c r="C2783"/>
  <c r="C2784"/>
  <c r="C2785"/>
  <c r="C2786"/>
  <c r="C2787"/>
  <c r="C2788"/>
  <c r="C2789"/>
  <c r="C2790"/>
  <c r="C2791"/>
  <c r="C2792"/>
  <c r="C2793"/>
  <c r="C2794"/>
  <c r="C2795"/>
  <c r="C2796"/>
  <c r="C2797"/>
  <c r="C2798"/>
  <c r="C2799"/>
  <c r="C2800"/>
  <c r="C2801"/>
  <c r="C2802"/>
  <c r="C2803"/>
  <c r="C2804"/>
  <c r="C2805"/>
  <c r="C2806"/>
  <c r="C2807"/>
  <c r="C2808"/>
  <c r="C2809"/>
  <c r="C2810"/>
  <c r="C2811"/>
  <c r="C2812"/>
  <c r="C2813"/>
  <c r="C2814"/>
  <c r="C2815"/>
  <c r="C2816"/>
  <c r="C2817"/>
  <c r="C2818"/>
  <c r="C2819"/>
  <c r="C2820"/>
  <c r="C2821"/>
  <c r="C2822"/>
  <c r="C2823"/>
  <c r="C2824"/>
  <c r="C2825"/>
  <c r="C2826"/>
  <c r="C2827"/>
  <c r="C2828"/>
  <c r="E2828" s="1"/>
  <c r="C2829"/>
  <c r="C2830"/>
  <c r="C2831"/>
  <c r="C2832"/>
  <c r="C2833"/>
  <c r="C2834"/>
  <c r="C2835"/>
  <c r="C2836"/>
  <c r="C2837"/>
  <c r="C2838"/>
  <c r="C2839"/>
  <c r="C2840"/>
  <c r="C2841"/>
  <c r="C2842"/>
  <c r="C2843"/>
  <c r="C2844"/>
  <c r="C2845"/>
  <c r="C2846"/>
  <c r="C2847"/>
  <c r="C2848"/>
  <c r="C2849"/>
  <c r="C2850"/>
  <c r="C2851"/>
  <c r="C2852"/>
  <c r="C2853"/>
  <c r="C2854"/>
  <c r="C2855"/>
  <c r="C2856"/>
  <c r="C2857"/>
  <c r="C2858"/>
  <c r="C2859"/>
  <c r="C2860"/>
  <c r="C2861"/>
  <c r="C2862"/>
  <c r="C2863"/>
  <c r="C2864"/>
  <c r="C2865"/>
  <c r="C2866"/>
  <c r="C2867"/>
  <c r="C2868"/>
  <c r="C2869"/>
  <c r="C2870"/>
  <c r="C2871"/>
  <c r="C2872"/>
  <c r="C2873"/>
  <c r="C2874"/>
  <c r="C2875"/>
  <c r="C2876"/>
  <c r="E2876" s="1"/>
  <c r="C2877"/>
  <c r="C2878"/>
  <c r="C2879"/>
  <c r="C2880"/>
  <c r="C2881"/>
  <c r="C2882"/>
  <c r="C2883"/>
  <c r="C2884"/>
  <c r="C2885"/>
  <c r="C2886"/>
  <c r="C2887"/>
  <c r="C2888"/>
  <c r="C2889"/>
  <c r="C2890"/>
  <c r="C2891"/>
  <c r="C2892"/>
  <c r="C2893"/>
  <c r="C2894"/>
  <c r="C2895"/>
  <c r="C2896"/>
  <c r="C2897"/>
  <c r="C2898"/>
  <c r="C2899"/>
  <c r="C2900"/>
  <c r="C2901"/>
  <c r="C2902"/>
  <c r="C2903"/>
  <c r="C2904"/>
  <c r="C2905"/>
  <c r="C2906"/>
  <c r="C2907"/>
  <c r="C2908"/>
  <c r="C2909"/>
  <c r="C2910"/>
  <c r="C2911"/>
  <c r="C2912"/>
  <c r="C2913"/>
  <c r="C2914"/>
  <c r="C2915"/>
  <c r="C2916"/>
  <c r="C2917"/>
  <c r="C2918"/>
  <c r="C2919"/>
  <c r="C2920"/>
  <c r="C2921"/>
  <c r="C2922"/>
  <c r="C2923"/>
  <c r="C2924"/>
  <c r="C2925"/>
  <c r="C2926"/>
  <c r="C2927"/>
  <c r="C2928"/>
  <c r="C2929"/>
  <c r="C2930"/>
  <c r="C2931"/>
  <c r="C2932"/>
  <c r="C2933"/>
  <c r="C2934"/>
  <c r="C2935"/>
  <c r="C2936"/>
  <c r="C2937"/>
  <c r="C2938"/>
  <c r="C2939"/>
  <c r="C2940"/>
  <c r="C2941"/>
  <c r="C2942"/>
  <c r="C2943"/>
  <c r="C2944"/>
  <c r="C2945"/>
  <c r="C2946"/>
  <c r="C2947"/>
  <c r="C2948"/>
  <c r="C2949"/>
  <c r="C2950"/>
  <c r="C2951"/>
  <c r="C2952"/>
  <c r="C2953"/>
  <c r="C2954"/>
  <c r="C2955"/>
  <c r="C2956"/>
  <c r="C2957"/>
  <c r="C2958"/>
  <c r="C2959"/>
  <c r="C2960"/>
  <c r="C2961"/>
  <c r="C2962"/>
  <c r="C2963"/>
  <c r="C2964"/>
  <c r="C2965"/>
  <c r="C2966"/>
  <c r="C2967"/>
  <c r="C2968"/>
  <c r="C2969"/>
  <c r="C2970"/>
  <c r="C2971"/>
  <c r="C2972"/>
  <c r="C2973"/>
  <c r="C2974"/>
  <c r="C2975"/>
  <c r="C2976"/>
  <c r="C2977"/>
  <c r="C2978"/>
  <c r="C2979"/>
  <c r="C2980"/>
  <c r="C2981"/>
  <c r="C2982"/>
  <c r="C2983"/>
  <c r="C2984"/>
  <c r="C2985"/>
  <c r="C2986"/>
  <c r="C2987"/>
  <c r="C2988"/>
  <c r="C2989"/>
  <c r="C2990"/>
  <c r="C2991"/>
  <c r="C2992"/>
  <c r="C2993"/>
  <c r="C2994"/>
  <c r="C2995"/>
  <c r="C2996"/>
  <c r="C2997"/>
  <c r="C2998"/>
  <c r="C2999"/>
  <c r="C3000"/>
  <c r="C3001"/>
  <c r="C3002"/>
  <c r="C3003"/>
  <c r="C3004"/>
  <c r="C3005"/>
  <c r="C3006"/>
  <c r="C3007"/>
  <c r="C3008"/>
  <c r="C3009"/>
  <c r="C3010"/>
  <c r="C3011"/>
  <c r="C3012"/>
  <c r="C3013"/>
  <c r="C3014"/>
  <c r="C3015"/>
  <c r="C3016"/>
  <c r="C3017"/>
  <c r="C3018"/>
  <c r="C3019"/>
  <c r="C3020"/>
  <c r="C3021"/>
  <c r="C3022"/>
  <c r="C3023"/>
  <c r="C3024"/>
  <c r="C3025"/>
  <c r="C3026"/>
  <c r="C3027"/>
  <c r="C3028"/>
  <c r="C3029"/>
  <c r="C3030"/>
  <c r="C3031"/>
  <c r="C3032"/>
  <c r="C3033"/>
  <c r="C3034"/>
  <c r="C3035"/>
  <c r="C3036"/>
  <c r="C3037"/>
  <c r="C3038"/>
  <c r="C3039"/>
  <c r="C3040"/>
  <c r="C3041"/>
  <c r="C3042"/>
  <c r="C3043"/>
  <c r="C3044"/>
  <c r="C3045"/>
  <c r="C3046"/>
  <c r="C3047"/>
  <c r="C3048"/>
  <c r="C3049"/>
  <c r="C3050"/>
  <c r="C3051"/>
  <c r="C3052"/>
  <c r="C3053"/>
  <c r="C3054"/>
  <c r="C3055"/>
  <c r="C3056"/>
  <c r="C3057"/>
  <c r="C3058"/>
  <c r="C3059"/>
  <c r="C3060"/>
  <c r="C3061"/>
  <c r="E3061" s="1"/>
  <c r="C3062"/>
  <c r="C3063"/>
  <c r="C3064"/>
  <c r="C3065"/>
  <c r="C3066"/>
  <c r="C3067"/>
  <c r="C3068"/>
  <c r="C3069"/>
  <c r="C3070"/>
  <c r="C3071"/>
  <c r="C3072"/>
  <c r="C3073"/>
  <c r="C3074"/>
  <c r="C3075"/>
  <c r="C3076"/>
  <c r="C3077"/>
  <c r="C3078"/>
  <c r="C3079"/>
  <c r="C3080"/>
  <c r="C3081"/>
  <c r="C3082"/>
  <c r="C3083"/>
  <c r="C3084"/>
  <c r="C3085"/>
  <c r="C3086"/>
  <c r="C3087"/>
  <c r="C3088"/>
  <c r="C3089"/>
  <c r="C3090"/>
  <c r="C3091"/>
  <c r="C3092"/>
  <c r="C3093"/>
  <c r="C3094"/>
  <c r="C3095"/>
  <c r="C3096"/>
  <c r="C3097"/>
  <c r="C3098"/>
  <c r="C3099"/>
  <c r="C3100"/>
  <c r="C3101"/>
  <c r="C3102"/>
  <c r="C3103"/>
  <c r="C3104"/>
  <c r="C3105"/>
  <c r="C3106"/>
  <c r="C3107"/>
  <c r="C3108"/>
  <c r="C3109"/>
  <c r="C3110"/>
  <c r="C3111"/>
  <c r="C3112"/>
  <c r="C3113"/>
  <c r="C3114"/>
  <c r="C3115"/>
  <c r="C3116"/>
  <c r="C3117"/>
  <c r="C3118"/>
  <c r="C3119"/>
  <c r="C3120"/>
  <c r="C3121"/>
  <c r="C3122"/>
  <c r="C3123"/>
  <c r="C3124"/>
  <c r="C3125"/>
  <c r="C3126"/>
  <c r="C3127"/>
  <c r="C3128"/>
  <c r="C3129"/>
  <c r="C3130"/>
  <c r="C3131"/>
  <c r="C3132"/>
  <c r="C3133"/>
  <c r="C3134"/>
  <c r="C3135"/>
  <c r="C3136"/>
  <c r="C3137"/>
  <c r="C3138"/>
  <c r="C3139"/>
  <c r="C3140"/>
  <c r="C3141"/>
  <c r="C3142"/>
  <c r="C3143"/>
  <c r="C3144"/>
  <c r="C3145"/>
  <c r="C3146"/>
  <c r="C3147"/>
  <c r="C3148"/>
  <c r="C3149"/>
  <c r="C3150"/>
  <c r="C3151"/>
  <c r="C3152"/>
  <c r="C3153"/>
  <c r="C3154"/>
  <c r="C3155"/>
  <c r="C3156"/>
  <c r="C3157"/>
  <c r="C3158"/>
  <c r="C3159"/>
  <c r="C3160"/>
  <c r="C3161"/>
  <c r="C3162"/>
  <c r="C3163"/>
  <c r="C3164"/>
  <c r="C3165"/>
  <c r="C3166"/>
  <c r="C3167"/>
  <c r="C3168"/>
  <c r="C3169"/>
  <c r="C3170"/>
  <c r="C3171"/>
  <c r="C3172"/>
  <c r="C3173"/>
  <c r="C3174"/>
  <c r="C3175"/>
  <c r="C3176"/>
  <c r="C3177"/>
  <c r="C3178"/>
  <c r="C3179"/>
  <c r="C3180"/>
  <c r="C3181"/>
  <c r="C3182"/>
  <c r="C3183"/>
  <c r="C3184"/>
  <c r="C3185"/>
  <c r="C3186"/>
  <c r="C3187"/>
  <c r="C3188"/>
  <c r="C3189"/>
  <c r="C3190"/>
  <c r="C3191"/>
  <c r="C3192"/>
  <c r="C3193"/>
  <c r="C3194"/>
  <c r="C3195"/>
  <c r="C3196"/>
  <c r="C3197"/>
  <c r="C3198"/>
  <c r="C3199"/>
  <c r="C3200"/>
  <c r="C3201"/>
  <c r="C3202"/>
  <c r="C3203"/>
  <c r="C3204"/>
  <c r="C3205"/>
  <c r="C3206"/>
  <c r="C3207"/>
  <c r="C3208"/>
  <c r="C3209"/>
  <c r="C3210"/>
  <c r="C3211"/>
  <c r="C3212"/>
  <c r="C3213"/>
  <c r="C3214"/>
  <c r="C3215"/>
  <c r="C3216"/>
  <c r="C3217"/>
  <c r="C3218"/>
  <c r="C3219"/>
  <c r="C3220"/>
  <c r="C3221"/>
  <c r="C3222"/>
  <c r="C3223"/>
  <c r="C3224"/>
  <c r="C3225"/>
  <c r="C3226"/>
  <c r="C3227"/>
  <c r="C3228"/>
  <c r="C3229"/>
  <c r="C3230"/>
  <c r="C3231"/>
  <c r="C3232"/>
  <c r="C3233"/>
  <c r="C3234"/>
  <c r="C3235"/>
  <c r="C3236"/>
  <c r="C3237"/>
  <c r="C3238"/>
  <c r="C3239"/>
  <c r="C3240"/>
  <c r="C3241"/>
  <c r="C3242"/>
  <c r="C3243"/>
  <c r="C3244"/>
  <c r="C3245"/>
  <c r="C3246"/>
  <c r="C3247"/>
  <c r="C3248"/>
  <c r="C3249"/>
  <c r="C3250"/>
  <c r="C3251"/>
  <c r="C3252"/>
  <c r="C3253"/>
  <c r="C3254"/>
  <c r="C3255"/>
  <c r="C3256"/>
  <c r="C3257"/>
  <c r="C3258"/>
  <c r="C3259"/>
  <c r="C3260"/>
  <c r="C3261"/>
  <c r="C3262"/>
  <c r="C3263"/>
  <c r="C3264"/>
  <c r="C3265"/>
  <c r="C3266"/>
  <c r="C3267"/>
  <c r="C3268"/>
  <c r="C3269"/>
  <c r="C3270"/>
  <c r="C3271"/>
  <c r="C3272"/>
  <c r="C3273"/>
  <c r="C3274"/>
  <c r="C3275"/>
  <c r="C3276"/>
  <c r="C3277"/>
  <c r="C3278"/>
  <c r="C3279"/>
  <c r="C3280"/>
  <c r="C3281"/>
  <c r="C3282"/>
  <c r="C3283"/>
  <c r="C3284"/>
  <c r="C3285"/>
  <c r="C3286"/>
  <c r="C3287"/>
  <c r="C3288"/>
  <c r="C3289"/>
  <c r="C3290"/>
  <c r="C3291"/>
  <c r="C3292"/>
  <c r="C3293"/>
  <c r="C3294"/>
  <c r="C3295"/>
  <c r="C3296"/>
  <c r="C3297"/>
  <c r="C3298"/>
  <c r="C3299"/>
  <c r="C3300"/>
  <c r="C3301"/>
  <c r="C3302"/>
  <c r="C3303"/>
  <c r="C3304"/>
  <c r="C3305"/>
  <c r="C3306"/>
  <c r="C3307"/>
  <c r="C3308"/>
  <c r="C3309"/>
  <c r="C3310"/>
  <c r="C3311"/>
  <c r="C3312"/>
  <c r="C3313"/>
  <c r="C3314"/>
  <c r="C3315"/>
  <c r="C3316"/>
  <c r="C3317"/>
  <c r="C3318"/>
  <c r="C3319"/>
  <c r="C3320"/>
  <c r="C3321"/>
  <c r="C3322"/>
  <c r="C3323"/>
  <c r="C3324"/>
  <c r="C3325"/>
  <c r="C3326"/>
  <c r="C3327"/>
  <c r="C3328"/>
  <c r="C3329"/>
  <c r="C3330"/>
  <c r="C3331"/>
  <c r="C3332"/>
  <c r="C3333"/>
  <c r="C3334"/>
  <c r="C3335"/>
  <c r="C3336"/>
  <c r="C3337"/>
  <c r="C3338"/>
  <c r="C3339"/>
  <c r="C3340"/>
  <c r="C3341"/>
  <c r="C3342"/>
  <c r="C3343"/>
  <c r="C3344"/>
  <c r="C3345"/>
  <c r="C3346"/>
  <c r="C3347"/>
  <c r="C3348"/>
  <c r="C3349"/>
  <c r="E3349" s="1"/>
  <c r="C3350"/>
  <c r="C3351"/>
  <c r="C3352"/>
  <c r="C3353"/>
  <c r="C3354"/>
  <c r="C3355"/>
  <c r="C3356"/>
  <c r="C3357"/>
  <c r="C3358"/>
  <c r="C3359"/>
  <c r="C3360"/>
  <c r="C3361"/>
  <c r="C3362"/>
  <c r="C3363"/>
  <c r="C3364"/>
  <c r="C3365"/>
  <c r="C3366"/>
  <c r="C3367"/>
  <c r="C3368"/>
  <c r="C3369"/>
  <c r="C3370"/>
  <c r="C3371"/>
  <c r="C3372"/>
  <c r="C3373"/>
  <c r="C3374"/>
  <c r="C3375"/>
  <c r="C3376"/>
  <c r="C3377"/>
  <c r="C3378"/>
  <c r="C3379"/>
  <c r="C3380"/>
  <c r="C3381"/>
  <c r="C3382"/>
  <c r="C3383"/>
  <c r="C3384"/>
  <c r="C3385"/>
  <c r="C3386"/>
  <c r="C3387"/>
  <c r="C3388"/>
  <c r="C3389"/>
  <c r="C3390"/>
  <c r="C3391"/>
  <c r="C3392"/>
  <c r="C3393"/>
  <c r="C3394"/>
  <c r="C3395"/>
  <c r="C3396"/>
  <c r="C3397"/>
  <c r="C3398"/>
  <c r="C3399"/>
  <c r="C3400"/>
  <c r="C3401"/>
  <c r="C3402"/>
  <c r="C3403"/>
  <c r="C3404"/>
  <c r="C3405"/>
  <c r="C3406"/>
  <c r="C3407"/>
  <c r="C3408"/>
  <c r="C3409"/>
  <c r="C3410"/>
  <c r="C3411"/>
  <c r="C3412"/>
  <c r="C3413"/>
  <c r="C3414"/>
  <c r="C3415"/>
  <c r="C3416"/>
  <c r="C3417"/>
  <c r="C3418"/>
  <c r="C3419"/>
  <c r="C3420"/>
  <c r="C3421"/>
  <c r="C3422"/>
  <c r="C3423"/>
  <c r="C3424"/>
  <c r="C3425"/>
  <c r="C3426"/>
  <c r="C3427"/>
  <c r="C3428"/>
  <c r="C3429"/>
  <c r="C3430"/>
  <c r="C3431"/>
  <c r="C3432"/>
  <c r="C3433"/>
  <c r="C3434"/>
  <c r="C3435"/>
  <c r="C3436"/>
  <c r="C3437"/>
  <c r="C3438"/>
  <c r="C3439"/>
  <c r="C3440"/>
  <c r="C3441"/>
  <c r="C3442"/>
  <c r="C3443"/>
  <c r="C3444"/>
  <c r="C3445"/>
  <c r="C3446"/>
  <c r="C3447"/>
  <c r="C3448"/>
  <c r="C3449"/>
  <c r="C3450"/>
  <c r="C3451"/>
  <c r="C3452"/>
  <c r="C3453"/>
  <c r="C3454"/>
  <c r="C3455"/>
  <c r="C3456"/>
  <c r="C3457"/>
  <c r="C3458"/>
  <c r="C3459"/>
  <c r="C3460"/>
  <c r="C3461"/>
  <c r="C3462"/>
  <c r="C3463"/>
  <c r="C3464"/>
  <c r="C3465"/>
  <c r="C3466"/>
  <c r="C3467"/>
  <c r="C3468"/>
  <c r="C3469"/>
  <c r="C3470"/>
  <c r="C3471"/>
  <c r="C3472"/>
  <c r="C3473"/>
  <c r="C3474"/>
  <c r="C3475"/>
  <c r="C3476"/>
  <c r="C3477"/>
  <c r="C3478"/>
  <c r="C3479"/>
  <c r="C3480"/>
  <c r="C3481"/>
  <c r="C3482"/>
  <c r="C3483"/>
  <c r="C3484"/>
  <c r="C3485"/>
  <c r="C3486"/>
  <c r="C3487"/>
  <c r="C3488"/>
  <c r="C3489"/>
  <c r="C3490"/>
  <c r="C3491"/>
  <c r="C3492"/>
  <c r="C3493"/>
  <c r="C3494"/>
  <c r="C3495"/>
  <c r="C3496"/>
  <c r="C3497"/>
  <c r="C3498"/>
  <c r="C3499"/>
  <c r="C3500"/>
  <c r="C3501"/>
  <c r="C3502"/>
  <c r="C3503"/>
  <c r="C3504"/>
  <c r="C3505"/>
  <c r="C3506"/>
  <c r="C3507"/>
  <c r="C3508"/>
  <c r="C3509"/>
  <c r="C3510"/>
  <c r="C3511"/>
  <c r="C3512"/>
  <c r="C3513"/>
  <c r="C3514"/>
  <c r="C3515"/>
  <c r="C3516"/>
  <c r="C3517"/>
  <c r="C3518"/>
  <c r="C3519"/>
  <c r="C3520"/>
  <c r="C3521"/>
  <c r="C3522"/>
  <c r="C3523"/>
  <c r="C3524"/>
  <c r="C3525"/>
  <c r="C3526"/>
  <c r="C3527"/>
  <c r="C3528"/>
  <c r="C3529"/>
  <c r="C3530"/>
  <c r="C3531"/>
  <c r="C3532"/>
  <c r="C3533"/>
  <c r="C3534"/>
  <c r="C3535"/>
  <c r="C3536"/>
  <c r="C3537"/>
  <c r="C3538"/>
  <c r="C3539"/>
  <c r="C3540"/>
  <c r="C3541"/>
  <c r="C3542"/>
  <c r="C3543"/>
  <c r="C3544"/>
  <c r="C3545"/>
  <c r="C3546"/>
  <c r="C3547"/>
  <c r="C3548"/>
  <c r="C3549"/>
  <c r="C3550"/>
  <c r="C3551"/>
  <c r="C3552"/>
  <c r="C3553"/>
  <c r="C3554"/>
  <c r="C3555"/>
  <c r="C3556"/>
  <c r="C3557"/>
  <c r="C3558"/>
  <c r="C3559"/>
  <c r="C3560"/>
  <c r="C3561"/>
  <c r="C3562"/>
  <c r="C3563"/>
  <c r="C3564"/>
  <c r="C3565"/>
  <c r="C3566"/>
  <c r="C3567"/>
  <c r="C3568"/>
  <c r="C3569"/>
  <c r="C3570"/>
  <c r="C3571"/>
  <c r="C3572"/>
  <c r="C3573"/>
  <c r="C3574"/>
  <c r="C3575"/>
  <c r="C3576"/>
  <c r="C3577"/>
  <c r="C3578"/>
  <c r="C3579"/>
  <c r="C3580"/>
  <c r="C3581"/>
  <c r="C3582"/>
  <c r="C3583"/>
  <c r="C3584"/>
  <c r="C3585"/>
  <c r="C3586"/>
  <c r="C3587"/>
  <c r="C3588"/>
  <c r="C3589"/>
  <c r="C3590"/>
  <c r="C3591"/>
  <c r="C3592"/>
  <c r="C3593"/>
  <c r="C3594"/>
  <c r="C3595"/>
  <c r="C3596"/>
  <c r="C3597"/>
  <c r="C3598"/>
  <c r="C3599"/>
  <c r="C3600"/>
  <c r="C3601"/>
  <c r="C3602"/>
  <c r="C3603"/>
  <c r="C3604"/>
  <c r="C3605"/>
  <c r="C3606"/>
  <c r="C3607"/>
  <c r="C3608"/>
  <c r="C3609"/>
  <c r="C3610"/>
  <c r="C3611"/>
  <c r="C3612"/>
  <c r="C3613"/>
  <c r="C3614"/>
  <c r="C3615"/>
  <c r="C3616"/>
  <c r="C3617"/>
  <c r="C3618"/>
  <c r="C3619"/>
  <c r="C3620"/>
  <c r="C3621"/>
  <c r="C3622"/>
  <c r="C3623"/>
  <c r="C3624"/>
  <c r="C3625"/>
  <c r="C3626"/>
  <c r="C3627"/>
  <c r="C3628"/>
  <c r="C3629"/>
  <c r="C3630"/>
  <c r="C3631"/>
  <c r="C3632"/>
  <c r="C3633"/>
  <c r="C3634"/>
  <c r="C3635"/>
  <c r="C3636"/>
  <c r="C3637"/>
  <c r="E3637" s="1"/>
  <c r="C3638"/>
  <c r="C3639"/>
  <c r="C3640"/>
  <c r="C3641"/>
  <c r="C3642"/>
  <c r="C3643"/>
  <c r="C3644"/>
  <c r="C3645"/>
  <c r="C3646"/>
  <c r="C3647"/>
  <c r="C3648"/>
  <c r="C3649"/>
  <c r="C3650"/>
  <c r="C3651"/>
  <c r="C3652"/>
  <c r="C3653"/>
  <c r="C3654"/>
  <c r="C3655"/>
  <c r="C3656"/>
  <c r="C3657"/>
  <c r="C3658"/>
  <c r="C3659"/>
  <c r="C3660"/>
  <c r="C3661"/>
  <c r="C3662"/>
  <c r="C3663"/>
  <c r="C3664"/>
  <c r="C3665"/>
  <c r="C3666"/>
  <c r="C3667"/>
  <c r="C3668"/>
  <c r="C3669"/>
  <c r="C3670"/>
  <c r="C3671"/>
  <c r="C3672"/>
  <c r="C3673"/>
  <c r="C3674"/>
  <c r="C3675"/>
  <c r="C3676"/>
  <c r="C3677"/>
  <c r="C3678"/>
  <c r="C3679"/>
  <c r="C3680"/>
  <c r="C3681"/>
  <c r="C3682"/>
  <c r="C3683"/>
  <c r="C3684"/>
  <c r="C3685"/>
  <c r="C3686"/>
  <c r="C3687"/>
  <c r="C3688"/>
  <c r="C3689"/>
  <c r="C3690"/>
  <c r="C3691"/>
  <c r="C3692"/>
  <c r="C3693"/>
  <c r="C3694"/>
  <c r="C3695"/>
  <c r="C3696"/>
  <c r="C3697"/>
  <c r="C3698"/>
  <c r="C3699"/>
  <c r="C3700"/>
  <c r="C3701"/>
  <c r="C3702"/>
  <c r="C3703"/>
  <c r="C3704"/>
  <c r="C3705"/>
  <c r="C3706"/>
  <c r="C3707"/>
  <c r="C3708"/>
  <c r="C3709"/>
  <c r="C3710"/>
  <c r="C3711"/>
  <c r="C3712"/>
  <c r="C3713"/>
  <c r="C3714"/>
  <c r="C3715"/>
  <c r="C3716"/>
  <c r="C3717"/>
  <c r="C3718"/>
  <c r="C3719"/>
  <c r="C3720"/>
  <c r="C3721"/>
  <c r="C3722"/>
  <c r="C3723"/>
  <c r="C3724"/>
  <c r="C3725"/>
  <c r="C3726"/>
  <c r="C3727"/>
  <c r="C3728"/>
  <c r="C3729"/>
  <c r="C3730"/>
  <c r="C3731"/>
  <c r="C3732"/>
  <c r="C3733"/>
  <c r="C3734"/>
  <c r="C3735"/>
  <c r="C3736"/>
  <c r="C3737"/>
  <c r="C3738"/>
  <c r="C3739"/>
  <c r="C3740"/>
  <c r="C3741"/>
  <c r="C3742"/>
  <c r="C3743"/>
  <c r="C3744"/>
  <c r="C3745"/>
  <c r="C3746"/>
  <c r="C3747"/>
  <c r="C3748"/>
  <c r="C3749"/>
  <c r="C3750"/>
  <c r="C3751"/>
  <c r="C3752"/>
  <c r="C3753"/>
  <c r="C3754"/>
  <c r="C3755"/>
  <c r="C3756"/>
  <c r="C3757"/>
  <c r="C3758"/>
  <c r="C3759"/>
  <c r="C3760"/>
  <c r="C3761"/>
  <c r="C3762"/>
  <c r="C3763"/>
  <c r="C3764"/>
  <c r="C3765"/>
  <c r="C3766"/>
  <c r="C3767"/>
  <c r="C3768"/>
  <c r="C3769"/>
  <c r="C3770"/>
  <c r="C3771"/>
  <c r="C3772"/>
  <c r="C3773"/>
  <c r="C3774"/>
  <c r="C3775"/>
  <c r="C3776"/>
  <c r="C3777"/>
  <c r="C3778"/>
  <c r="C3779"/>
  <c r="C3780"/>
  <c r="C3781"/>
  <c r="C3782"/>
  <c r="C3783"/>
  <c r="C3784"/>
  <c r="C3785"/>
  <c r="C3786"/>
  <c r="C3787"/>
  <c r="C3788"/>
  <c r="C3789"/>
  <c r="C3790"/>
  <c r="C3791"/>
  <c r="C3792"/>
  <c r="C3793"/>
  <c r="C3794"/>
  <c r="C3795"/>
  <c r="C3796"/>
  <c r="C3797"/>
  <c r="C3798"/>
  <c r="C3799"/>
  <c r="C3800"/>
  <c r="C3801"/>
  <c r="C3802"/>
  <c r="C3803"/>
  <c r="C3804"/>
  <c r="C3805"/>
  <c r="C3806"/>
  <c r="C3807"/>
  <c r="C3808"/>
  <c r="C3809"/>
  <c r="C3810"/>
  <c r="C3811"/>
  <c r="C3812"/>
  <c r="C3813"/>
  <c r="C3814"/>
  <c r="C3815"/>
  <c r="C3816"/>
  <c r="C3817"/>
  <c r="C3818"/>
  <c r="C3819"/>
  <c r="C3820"/>
  <c r="C3821"/>
  <c r="C3822"/>
  <c r="C3823"/>
  <c r="C3824"/>
  <c r="C3825"/>
  <c r="C3826"/>
  <c r="C3827"/>
  <c r="C3828"/>
  <c r="C3829"/>
  <c r="C3830"/>
  <c r="C3831"/>
  <c r="C3832"/>
  <c r="C3833"/>
  <c r="C3834"/>
  <c r="C3835"/>
  <c r="C3836"/>
  <c r="C3837"/>
  <c r="C3838"/>
  <c r="C3839"/>
  <c r="C3840"/>
  <c r="C3841"/>
  <c r="C3842"/>
  <c r="C3843"/>
  <c r="C3844"/>
  <c r="C3845"/>
  <c r="C3846"/>
  <c r="C3847"/>
  <c r="C3848"/>
  <c r="C3849"/>
  <c r="C3850"/>
  <c r="C3851"/>
  <c r="C3852"/>
  <c r="C3853"/>
  <c r="C3854"/>
  <c r="C3855"/>
  <c r="C3856"/>
  <c r="C3857"/>
  <c r="C3858"/>
  <c r="C3859"/>
  <c r="C3860"/>
  <c r="C3861"/>
  <c r="C3862"/>
  <c r="C3863"/>
  <c r="C3864"/>
  <c r="C3865"/>
  <c r="C3866"/>
  <c r="C3867"/>
  <c r="C3868"/>
  <c r="C3869"/>
  <c r="C3870"/>
  <c r="C3871"/>
  <c r="C3872"/>
  <c r="C3873"/>
  <c r="C3874"/>
  <c r="C3875"/>
  <c r="C3876"/>
  <c r="C3877"/>
  <c r="C3878"/>
  <c r="C3879"/>
  <c r="C3880"/>
  <c r="C3881"/>
  <c r="C3882"/>
  <c r="C3883"/>
  <c r="C3884"/>
  <c r="C3885"/>
  <c r="C3886"/>
  <c r="C3887"/>
  <c r="C3888"/>
  <c r="C3889"/>
  <c r="C3890"/>
  <c r="C3891"/>
  <c r="C3892"/>
  <c r="C3893"/>
  <c r="C3894"/>
  <c r="C3895"/>
  <c r="C3896"/>
  <c r="C3897"/>
  <c r="C3898"/>
  <c r="C3899"/>
  <c r="C3900"/>
  <c r="C3901"/>
  <c r="C3902"/>
  <c r="C3903"/>
  <c r="C3904"/>
  <c r="C3905"/>
  <c r="C3906"/>
  <c r="C3907"/>
  <c r="C3908"/>
  <c r="C3909"/>
  <c r="C3910"/>
  <c r="C3911"/>
  <c r="C3912"/>
  <c r="C3913"/>
  <c r="C3914"/>
  <c r="C3915"/>
  <c r="C3916"/>
  <c r="C3917"/>
  <c r="C3918"/>
  <c r="C3919"/>
  <c r="C3920"/>
  <c r="C3921"/>
  <c r="C3922"/>
  <c r="C3923"/>
  <c r="C3924"/>
  <c r="C3925"/>
  <c r="C3926"/>
  <c r="C3927"/>
  <c r="C3928"/>
  <c r="C3929"/>
  <c r="C3930"/>
  <c r="C3931"/>
  <c r="C3932"/>
  <c r="C3933"/>
  <c r="C3934"/>
  <c r="C3935"/>
  <c r="C3936"/>
  <c r="C3937"/>
  <c r="C3938"/>
  <c r="C3939"/>
  <c r="C3940"/>
  <c r="C3941"/>
  <c r="C3942"/>
  <c r="C3943"/>
  <c r="C3944"/>
  <c r="C3945"/>
  <c r="C3946"/>
  <c r="C3947"/>
  <c r="C3948"/>
  <c r="C3949"/>
  <c r="C3950"/>
  <c r="C3951"/>
  <c r="C3952"/>
  <c r="C3953"/>
  <c r="C3954"/>
  <c r="C3955"/>
  <c r="C3956"/>
  <c r="C3957"/>
  <c r="C3958"/>
  <c r="C3959"/>
  <c r="C3960"/>
  <c r="C3961"/>
  <c r="C3962"/>
  <c r="C3963"/>
  <c r="C3964"/>
  <c r="C3965"/>
  <c r="C3966"/>
  <c r="C3967"/>
  <c r="C3968"/>
  <c r="C3969"/>
  <c r="C3970"/>
  <c r="C3971"/>
  <c r="C3972"/>
  <c r="C3973"/>
  <c r="C3974"/>
  <c r="C3975"/>
  <c r="C3976"/>
  <c r="C3977"/>
  <c r="C3978"/>
  <c r="C3979"/>
  <c r="C3980"/>
  <c r="C3981"/>
  <c r="C3982"/>
  <c r="C3983"/>
  <c r="C3984"/>
  <c r="C3985"/>
  <c r="C3986"/>
  <c r="C3987"/>
  <c r="C3988"/>
  <c r="C3989"/>
  <c r="C3990"/>
  <c r="C3991"/>
  <c r="C3992"/>
  <c r="C3993"/>
  <c r="C3994"/>
  <c r="C3995"/>
  <c r="C3996"/>
  <c r="C3997"/>
  <c r="C3998"/>
  <c r="C3999"/>
  <c r="C4000"/>
  <c r="C4001"/>
  <c r="C4002"/>
  <c r="C4003"/>
  <c r="C4004"/>
  <c r="C4005"/>
  <c r="C4006"/>
  <c r="C4007"/>
  <c r="C4008"/>
  <c r="C4009"/>
  <c r="C4010"/>
  <c r="C4011"/>
  <c r="C4012"/>
  <c r="C4013"/>
  <c r="C4014"/>
  <c r="C4015"/>
  <c r="C4016"/>
  <c r="C4017"/>
  <c r="C4018"/>
  <c r="C4019"/>
  <c r="C4020"/>
  <c r="C4021"/>
  <c r="C4022"/>
  <c r="C4023"/>
  <c r="C4024"/>
  <c r="C4025"/>
  <c r="C4026"/>
  <c r="C4027"/>
  <c r="C4028"/>
  <c r="C4029"/>
  <c r="C4030"/>
  <c r="C4031"/>
  <c r="C4032"/>
  <c r="C4033"/>
  <c r="C4034"/>
  <c r="C4035"/>
  <c r="C4036"/>
  <c r="C4037"/>
  <c r="C4038"/>
  <c r="C4039"/>
  <c r="C4040"/>
  <c r="C4041"/>
  <c r="C4042"/>
  <c r="C4043"/>
  <c r="C4044"/>
  <c r="C4045"/>
  <c r="C4046"/>
  <c r="C4047"/>
  <c r="C4048"/>
  <c r="C4049"/>
  <c r="C4050"/>
  <c r="C4051"/>
  <c r="C4052"/>
  <c r="C4053"/>
  <c r="C4054"/>
  <c r="C4055"/>
  <c r="C4056"/>
  <c r="C4057"/>
  <c r="C4058"/>
  <c r="C4059"/>
  <c r="C4060"/>
  <c r="C4061"/>
  <c r="C4062"/>
  <c r="C4063"/>
  <c r="C4064"/>
  <c r="C4065"/>
  <c r="C4066"/>
  <c r="C4067"/>
  <c r="C4068"/>
  <c r="C4069"/>
  <c r="C4070"/>
  <c r="C4071"/>
  <c r="C4072"/>
  <c r="C4073"/>
  <c r="C4074"/>
  <c r="C4075"/>
  <c r="C4076"/>
  <c r="C4077"/>
  <c r="C4078"/>
  <c r="C4079"/>
  <c r="C4080"/>
  <c r="C4081"/>
  <c r="C4082"/>
  <c r="C4083"/>
  <c r="C4084"/>
  <c r="C4085"/>
  <c r="C4086"/>
  <c r="C4087"/>
  <c r="C4088"/>
  <c r="C4089"/>
  <c r="C4090"/>
  <c r="C4091"/>
  <c r="C4092"/>
  <c r="C4093"/>
  <c r="C4094"/>
  <c r="C4095"/>
  <c r="C4096"/>
  <c r="C4097"/>
  <c r="C4098"/>
  <c r="C4099"/>
  <c r="C4100"/>
  <c r="C4101"/>
  <c r="C4102"/>
  <c r="C4103"/>
  <c r="C4104"/>
  <c r="C4105"/>
  <c r="C4106"/>
  <c r="C4107"/>
  <c r="C4108"/>
  <c r="C4109"/>
  <c r="C4110"/>
  <c r="C4111"/>
  <c r="C4112"/>
  <c r="C4113"/>
  <c r="C4114"/>
  <c r="C4115"/>
  <c r="C4116"/>
  <c r="C4117"/>
  <c r="C4118"/>
  <c r="C4119"/>
  <c r="C4120"/>
  <c r="C4121"/>
  <c r="C4122"/>
  <c r="C4123"/>
  <c r="C4124"/>
  <c r="C4125"/>
  <c r="C4126"/>
  <c r="C4127"/>
  <c r="C4128"/>
  <c r="C4129"/>
  <c r="C4130"/>
  <c r="C4131"/>
  <c r="C4132"/>
  <c r="C4133"/>
  <c r="C4134"/>
  <c r="C4135"/>
  <c r="C4136"/>
  <c r="C4137"/>
  <c r="C4138"/>
  <c r="C4139"/>
  <c r="C4140"/>
  <c r="C4141"/>
  <c r="C4142"/>
  <c r="C4143"/>
  <c r="C4144"/>
  <c r="C4145"/>
  <c r="C4146"/>
  <c r="C4147"/>
  <c r="C4148"/>
  <c r="C4149"/>
  <c r="C4150"/>
  <c r="C4151"/>
  <c r="C4152"/>
  <c r="C4153"/>
  <c r="C4154"/>
  <c r="C4155"/>
  <c r="C4156"/>
  <c r="C4157"/>
  <c r="C4158"/>
  <c r="C4159"/>
  <c r="C4160"/>
  <c r="C4161"/>
  <c r="C4162"/>
  <c r="C4163"/>
  <c r="C4164"/>
  <c r="C4165"/>
  <c r="C4166"/>
  <c r="C4167"/>
  <c r="C4168"/>
  <c r="C4169"/>
  <c r="C4170"/>
  <c r="C4171"/>
  <c r="C4172"/>
  <c r="C4173"/>
  <c r="C4174"/>
  <c r="C4175"/>
  <c r="C4176"/>
  <c r="C4177"/>
  <c r="C4178"/>
  <c r="C4179"/>
  <c r="C4180"/>
  <c r="C4181"/>
  <c r="C4182"/>
  <c r="C4183"/>
  <c r="C4184"/>
  <c r="C4185"/>
  <c r="C4186"/>
  <c r="C4187"/>
  <c r="C4188"/>
  <c r="C4189"/>
  <c r="C4190"/>
  <c r="C4191"/>
  <c r="C4192"/>
  <c r="C4193"/>
  <c r="C4194"/>
  <c r="C4195"/>
  <c r="C4196"/>
  <c r="C4197"/>
  <c r="C4198"/>
  <c r="C4199"/>
  <c r="C4200"/>
  <c r="C4201"/>
  <c r="C4202"/>
  <c r="C4203"/>
  <c r="C4204"/>
  <c r="C4205"/>
  <c r="C4206"/>
  <c r="C4207"/>
  <c r="C4208"/>
  <c r="C4209"/>
  <c r="E4209" s="1"/>
  <c r="C4210"/>
  <c r="C4211"/>
  <c r="C4212"/>
  <c r="C4213"/>
  <c r="C4214"/>
  <c r="C4215"/>
  <c r="C4216"/>
  <c r="C4217"/>
  <c r="C4218"/>
  <c r="C4219"/>
  <c r="C4220"/>
  <c r="C4221"/>
  <c r="C4222"/>
  <c r="C4223"/>
  <c r="C4224"/>
  <c r="C4225"/>
  <c r="C4226"/>
  <c r="C4227"/>
  <c r="C4228"/>
  <c r="C4229"/>
  <c r="C4230"/>
  <c r="C4231"/>
  <c r="C4232"/>
  <c r="C4233"/>
  <c r="C4234"/>
  <c r="C4235"/>
  <c r="C4236"/>
  <c r="C4237"/>
  <c r="C4238"/>
  <c r="C4239"/>
  <c r="C4240"/>
  <c r="C4241"/>
  <c r="C4242"/>
  <c r="C4243"/>
  <c r="C4244"/>
  <c r="C4245"/>
  <c r="C4246"/>
  <c r="C4247"/>
  <c r="C4248"/>
  <c r="C4249"/>
  <c r="C4250"/>
  <c r="C4251"/>
  <c r="C4252"/>
  <c r="C4253"/>
  <c r="C4254"/>
  <c r="C4255"/>
  <c r="C4256"/>
  <c r="C4257"/>
  <c r="C4258"/>
  <c r="C4259"/>
  <c r="C4260"/>
  <c r="C4261"/>
  <c r="C4262"/>
  <c r="C4263"/>
  <c r="C4264"/>
  <c r="C4265"/>
  <c r="C4266"/>
  <c r="C4267"/>
  <c r="C4268"/>
  <c r="C4269"/>
  <c r="C4270"/>
  <c r="C4271"/>
  <c r="C4272"/>
  <c r="C4273"/>
  <c r="C4274"/>
  <c r="C4275"/>
  <c r="C4276"/>
  <c r="C4277"/>
  <c r="C4278"/>
  <c r="C4279"/>
  <c r="C4280"/>
  <c r="C4281"/>
  <c r="C4282"/>
  <c r="C4283"/>
  <c r="C4284"/>
  <c r="C4285"/>
  <c r="C4286"/>
  <c r="C4287"/>
  <c r="C4288"/>
  <c r="C4289"/>
  <c r="C4290"/>
  <c r="C4291"/>
  <c r="C4292"/>
  <c r="C4293"/>
  <c r="C4294"/>
  <c r="C4295"/>
  <c r="C4296"/>
  <c r="C4297"/>
  <c r="C4298"/>
  <c r="C4299"/>
  <c r="C4300"/>
  <c r="C4301"/>
  <c r="C4302"/>
  <c r="C4303"/>
  <c r="C4304"/>
  <c r="C4305"/>
  <c r="C4306"/>
  <c r="C4307"/>
  <c r="C4308"/>
  <c r="C4309"/>
  <c r="C4310"/>
  <c r="C4311"/>
  <c r="C4312"/>
  <c r="C4313"/>
  <c r="C4314"/>
  <c r="C4315"/>
  <c r="C4316"/>
  <c r="C4317"/>
  <c r="C4318"/>
  <c r="C4319"/>
  <c r="C4320"/>
  <c r="C4321"/>
  <c r="C4322"/>
  <c r="C4323"/>
  <c r="C4324"/>
  <c r="C4325"/>
  <c r="C4326"/>
  <c r="C4327"/>
  <c r="C4328"/>
  <c r="C4329"/>
  <c r="C4330"/>
  <c r="C4331"/>
  <c r="C4332"/>
  <c r="C4333"/>
  <c r="C4334"/>
  <c r="C4335"/>
  <c r="C4336"/>
  <c r="C4337"/>
  <c r="C4338"/>
  <c r="C4339"/>
  <c r="C4340"/>
  <c r="C4341"/>
  <c r="C4342"/>
  <c r="C4343"/>
  <c r="C4344"/>
  <c r="C4345"/>
  <c r="C4346"/>
  <c r="C4347"/>
  <c r="C4348"/>
  <c r="C4349"/>
  <c r="C4350"/>
  <c r="C4351"/>
  <c r="C4352"/>
  <c r="C4353"/>
  <c r="C4354"/>
  <c r="C4355"/>
  <c r="C4356"/>
  <c r="C4357"/>
  <c r="C4358"/>
  <c r="C4359"/>
  <c r="C4360"/>
  <c r="C4361"/>
  <c r="C4362"/>
  <c r="C4363"/>
  <c r="C4364"/>
  <c r="C4365"/>
  <c r="C4366"/>
  <c r="C4367"/>
  <c r="C4368"/>
  <c r="C4369"/>
  <c r="C4370"/>
  <c r="C4371"/>
  <c r="C4372"/>
  <c r="C4373"/>
  <c r="C4374"/>
  <c r="C4375"/>
  <c r="C4376"/>
  <c r="C4377"/>
  <c r="C4378"/>
  <c r="C4379"/>
  <c r="C4380"/>
  <c r="C4381"/>
  <c r="C4382"/>
  <c r="C4383"/>
  <c r="C4384"/>
  <c r="C4385"/>
  <c r="C4386"/>
  <c r="C4387"/>
  <c r="C4388"/>
  <c r="C4389"/>
  <c r="C4390"/>
  <c r="C4391"/>
  <c r="C4392"/>
  <c r="C4393"/>
  <c r="C4394"/>
  <c r="C4395"/>
  <c r="C4396"/>
  <c r="C4397"/>
  <c r="C4398"/>
  <c r="C4399"/>
  <c r="C4400"/>
  <c r="C4401"/>
  <c r="C4402"/>
  <c r="C4403"/>
  <c r="C4404"/>
  <c r="C4405"/>
  <c r="C4406"/>
  <c r="C4407"/>
  <c r="C4408"/>
  <c r="C4409"/>
  <c r="C4410"/>
  <c r="C4411"/>
  <c r="C4412"/>
  <c r="C4413"/>
  <c r="C4414"/>
  <c r="C4415"/>
  <c r="C4416"/>
  <c r="C4417"/>
  <c r="C4418"/>
  <c r="C4419"/>
  <c r="C4420"/>
  <c r="C4421"/>
  <c r="C4422"/>
  <c r="C4423"/>
  <c r="C4424"/>
  <c r="C4425"/>
  <c r="E4425" s="1"/>
  <c r="C4426"/>
  <c r="C4427"/>
  <c r="C4428"/>
  <c r="C4429"/>
  <c r="C4430"/>
  <c r="C4431"/>
  <c r="C4432"/>
  <c r="C4433"/>
  <c r="C4434"/>
  <c r="C4435"/>
  <c r="C4436"/>
  <c r="C4437"/>
  <c r="C4438"/>
  <c r="C4439"/>
  <c r="C4440"/>
  <c r="C4441"/>
  <c r="C4442"/>
  <c r="C4443"/>
  <c r="C4444"/>
  <c r="C4445"/>
  <c r="C4446"/>
  <c r="C4447"/>
  <c r="C4448"/>
  <c r="C4449"/>
  <c r="C4450"/>
  <c r="C4451"/>
  <c r="C4452"/>
  <c r="C4453"/>
  <c r="C4454"/>
  <c r="C4455"/>
  <c r="C4456"/>
  <c r="C4457"/>
  <c r="C4458"/>
  <c r="C4459"/>
  <c r="C4460"/>
  <c r="C4461"/>
  <c r="C4462"/>
  <c r="C4463"/>
  <c r="C4464"/>
  <c r="C4465"/>
  <c r="C4466"/>
  <c r="C4467"/>
  <c r="C4468"/>
  <c r="C4469"/>
  <c r="C4470"/>
  <c r="C4471"/>
  <c r="C4472"/>
  <c r="C4473"/>
  <c r="C4474"/>
  <c r="C4475"/>
  <c r="C4476"/>
  <c r="C4477"/>
  <c r="C4478"/>
  <c r="C4479"/>
  <c r="C4480"/>
  <c r="C4481"/>
  <c r="C4482"/>
  <c r="C4483"/>
  <c r="C4484"/>
  <c r="C4485"/>
  <c r="C4486"/>
  <c r="C4487"/>
  <c r="C4488"/>
  <c r="C4489"/>
  <c r="C4490"/>
  <c r="C4491"/>
  <c r="C4492"/>
  <c r="C4493"/>
  <c r="C4494"/>
  <c r="C4495"/>
  <c r="C4496"/>
  <c r="C4497"/>
  <c r="C4498"/>
  <c r="C4499"/>
  <c r="C4500"/>
  <c r="C4501"/>
  <c r="C4502"/>
  <c r="C4503"/>
  <c r="C4504"/>
  <c r="C4505"/>
  <c r="C4506"/>
  <c r="C4507"/>
  <c r="C4508"/>
  <c r="C4509"/>
  <c r="C4510"/>
  <c r="C4511"/>
  <c r="C4512"/>
  <c r="C4513"/>
  <c r="C4514"/>
  <c r="C4515"/>
  <c r="C4516"/>
  <c r="C4517"/>
  <c r="C4518"/>
  <c r="C4519"/>
  <c r="C4520"/>
  <c r="C4521"/>
  <c r="C4522"/>
  <c r="C4523"/>
  <c r="C4524"/>
  <c r="C4525"/>
  <c r="C4526"/>
  <c r="C4527"/>
  <c r="C4528"/>
  <c r="C4529"/>
  <c r="C4530"/>
  <c r="C4531"/>
  <c r="C4532"/>
  <c r="C4533"/>
  <c r="C4534"/>
  <c r="C4535"/>
  <c r="C4536"/>
  <c r="C4537"/>
  <c r="C4538"/>
  <c r="C4539"/>
  <c r="C4540"/>
  <c r="C4541"/>
  <c r="C4542"/>
  <c r="C4543"/>
  <c r="C4544"/>
  <c r="C4545"/>
  <c r="C4546"/>
  <c r="C4547"/>
  <c r="C4548"/>
  <c r="C4549"/>
  <c r="C4550"/>
  <c r="C4551"/>
  <c r="C4552"/>
  <c r="C4553"/>
  <c r="C4554"/>
  <c r="C4555"/>
  <c r="C4556"/>
  <c r="C4557"/>
  <c r="C4558"/>
  <c r="C4559"/>
  <c r="C4560"/>
  <c r="C4561"/>
  <c r="C4562"/>
  <c r="C4563"/>
  <c r="C4564"/>
  <c r="C4565"/>
  <c r="C4566"/>
  <c r="C4567"/>
  <c r="C4568"/>
  <c r="C4569"/>
  <c r="C4570"/>
  <c r="C4571"/>
  <c r="C4572"/>
  <c r="C4573"/>
  <c r="C4574"/>
  <c r="C4575"/>
  <c r="C4576"/>
  <c r="C4577"/>
  <c r="C4578"/>
  <c r="C4579"/>
  <c r="C4580"/>
  <c r="C4581"/>
  <c r="C4582"/>
  <c r="C4583"/>
  <c r="C4584"/>
  <c r="C4585"/>
  <c r="C4586"/>
  <c r="C4587"/>
  <c r="C4588"/>
  <c r="C4589"/>
  <c r="C4590"/>
  <c r="C4591"/>
  <c r="C4592"/>
  <c r="E4592" s="1"/>
  <c r="C4593"/>
  <c r="C4594"/>
  <c r="C4595"/>
  <c r="C4596"/>
  <c r="C4597"/>
  <c r="C4598"/>
  <c r="C4599"/>
  <c r="C4600"/>
  <c r="C4601"/>
  <c r="C4602"/>
  <c r="C4603"/>
  <c r="C4604"/>
  <c r="C4605"/>
  <c r="C4606"/>
  <c r="C4607"/>
  <c r="C4608"/>
  <c r="C4609"/>
  <c r="C4610"/>
  <c r="C4611"/>
  <c r="C4612"/>
  <c r="C4613"/>
  <c r="C4614"/>
  <c r="C4615"/>
  <c r="C4616"/>
  <c r="C4617"/>
  <c r="C4618"/>
  <c r="C4619"/>
  <c r="C4620"/>
  <c r="C4621"/>
  <c r="C4622"/>
  <c r="C4623"/>
  <c r="C4624"/>
  <c r="C4625"/>
  <c r="C4626"/>
  <c r="C4627"/>
  <c r="C4628"/>
  <c r="C4629"/>
  <c r="C4630"/>
  <c r="C4631"/>
  <c r="C4632"/>
  <c r="C4633"/>
  <c r="C4634"/>
  <c r="C4635"/>
  <c r="C4636"/>
  <c r="C4637"/>
  <c r="C4638"/>
  <c r="C4639"/>
  <c r="C4640"/>
  <c r="C4641"/>
  <c r="C4642"/>
  <c r="C4643"/>
  <c r="C4644"/>
  <c r="C4645"/>
  <c r="C4646"/>
  <c r="C4647"/>
  <c r="C4648"/>
  <c r="C4649"/>
  <c r="C4650"/>
  <c r="C4651"/>
  <c r="C4652"/>
  <c r="C4653"/>
  <c r="C4654"/>
  <c r="C4655"/>
  <c r="C4656"/>
  <c r="C4657"/>
  <c r="C4658"/>
  <c r="C4659"/>
  <c r="C4660"/>
  <c r="C4661"/>
  <c r="C4662"/>
  <c r="C4663"/>
  <c r="C4664"/>
  <c r="C4665"/>
  <c r="C4666"/>
  <c r="C4667"/>
  <c r="C4668"/>
  <c r="C4669"/>
  <c r="C4670"/>
  <c r="C4671"/>
  <c r="C4672"/>
  <c r="C4673"/>
  <c r="C4674"/>
  <c r="C4675"/>
  <c r="C4676"/>
  <c r="C4677"/>
  <c r="C4678"/>
  <c r="C4679"/>
  <c r="C4680"/>
  <c r="C4681"/>
  <c r="C4682"/>
  <c r="C4683"/>
  <c r="C4684"/>
  <c r="C4685"/>
  <c r="C4686"/>
  <c r="C4687"/>
  <c r="C4688"/>
  <c r="C4689"/>
  <c r="C4690"/>
  <c r="C4691"/>
  <c r="C4692"/>
  <c r="C4693"/>
  <c r="C4694"/>
  <c r="C4695"/>
  <c r="C4696"/>
  <c r="C4697"/>
  <c r="C4698"/>
  <c r="C4699"/>
  <c r="C4700"/>
  <c r="C4701"/>
  <c r="C4702"/>
  <c r="C4703"/>
  <c r="C4704"/>
  <c r="C4705"/>
  <c r="C4706"/>
  <c r="C4707"/>
  <c r="C4708"/>
  <c r="C4709"/>
  <c r="C4710"/>
  <c r="C4711"/>
  <c r="C4712"/>
  <c r="C4713"/>
  <c r="C4714"/>
  <c r="C4715"/>
  <c r="C4716"/>
  <c r="C4717"/>
  <c r="C4718"/>
  <c r="C4719"/>
  <c r="C4720"/>
  <c r="C4721"/>
  <c r="C4722"/>
  <c r="C4723"/>
  <c r="C4724"/>
  <c r="C4725"/>
  <c r="C4726"/>
  <c r="C4727"/>
  <c r="C4728"/>
  <c r="C4729"/>
  <c r="C4730"/>
  <c r="C4731"/>
  <c r="C4732"/>
  <c r="C4733"/>
  <c r="C4734"/>
  <c r="C4735"/>
  <c r="C4736"/>
  <c r="C4737"/>
  <c r="C4738"/>
  <c r="C4739"/>
  <c r="C4740"/>
  <c r="C4741"/>
  <c r="C4742"/>
  <c r="C4743"/>
  <c r="C4744"/>
  <c r="C4745"/>
  <c r="C4746"/>
  <c r="C4747"/>
  <c r="C4748"/>
  <c r="C4749"/>
  <c r="C4750"/>
  <c r="C4751"/>
  <c r="C4752"/>
  <c r="C4753"/>
  <c r="C4754"/>
  <c r="C4755"/>
  <c r="C4756"/>
  <c r="C4757"/>
  <c r="C4758"/>
  <c r="C4759"/>
  <c r="C4760"/>
  <c r="C4761"/>
  <c r="C4762"/>
  <c r="C4763"/>
  <c r="C4764"/>
  <c r="C4765"/>
  <c r="C4766"/>
  <c r="C4767"/>
  <c r="C4768"/>
  <c r="C4769"/>
  <c r="C4770"/>
  <c r="C4771"/>
  <c r="C4772"/>
  <c r="C4773"/>
  <c r="C4774"/>
  <c r="C4775"/>
  <c r="C4776"/>
  <c r="C4777"/>
  <c r="C4778"/>
  <c r="C4779"/>
  <c r="C4780"/>
  <c r="C4781"/>
  <c r="C4782"/>
  <c r="C4783"/>
  <c r="C4784"/>
  <c r="C4785"/>
  <c r="C4786"/>
  <c r="C4787"/>
  <c r="C4788"/>
  <c r="C4789"/>
  <c r="C4790"/>
  <c r="C4791"/>
  <c r="C4792"/>
  <c r="C4793"/>
  <c r="C4794"/>
  <c r="C4795"/>
  <c r="C4796"/>
  <c r="C4797"/>
  <c r="E4797" s="1"/>
  <c r="C4798"/>
  <c r="C4799"/>
  <c r="C4800"/>
  <c r="C4801"/>
  <c r="C4802"/>
  <c r="C4803"/>
  <c r="C4804"/>
  <c r="C4805"/>
  <c r="C4806"/>
  <c r="C4807"/>
  <c r="C4808"/>
  <c r="C4809"/>
  <c r="C4810"/>
  <c r="C4811"/>
  <c r="C4812"/>
  <c r="C4813"/>
  <c r="C4814"/>
  <c r="C4815"/>
  <c r="C4816"/>
  <c r="C4817"/>
  <c r="C4818"/>
  <c r="C4819"/>
  <c r="C4820"/>
  <c r="C4821"/>
  <c r="C4822"/>
  <c r="C4823"/>
  <c r="C4824"/>
  <c r="C4825"/>
  <c r="C4826"/>
  <c r="C4827"/>
  <c r="C4828"/>
  <c r="C4829"/>
  <c r="C4830"/>
  <c r="C4831"/>
  <c r="C4832"/>
  <c r="C4833"/>
  <c r="C4834"/>
  <c r="C4835"/>
  <c r="C4836"/>
  <c r="C4837"/>
  <c r="C4838"/>
  <c r="C4839"/>
  <c r="C4840"/>
  <c r="C4841"/>
  <c r="C4842"/>
  <c r="C4843"/>
  <c r="C4844"/>
  <c r="C4845"/>
  <c r="C4846"/>
  <c r="C4847"/>
  <c r="C4848"/>
  <c r="C4849"/>
  <c r="C4850"/>
  <c r="C4851"/>
  <c r="C4852"/>
  <c r="C4853"/>
  <c r="C4854"/>
  <c r="C4855"/>
  <c r="C4856"/>
  <c r="C4857"/>
  <c r="C4858"/>
  <c r="C4859"/>
  <c r="C4860"/>
  <c r="C4861"/>
  <c r="C4862"/>
  <c r="C4863"/>
  <c r="C4864"/>
  <c r="C4865"/>
  <c r="C4866"/>
  <c r="C4867"/>
  <c r="C4868"/>
  <c r="C4869"/>
  <c r="E4869" s="1"/>
  <c r="C4870"/>
  <c r="C4871"/>
  <c r="C4872"/>
  <c r="C4873"/>
  <c r="C4874"/>
  <c r="C4875"/>
  <c r="C4876"/>
  <c r="C4877"/>
  <c r="C4878"/>
  <c r="C4879"/>
  <c r="C4880"/>
  <c r="C4881"/>
  <c r="C4882"/>
  <c r="C4883"/>
  <c r="C4884"/>
  <c r="C4885"/>
  <c r="C4886"/>
  <c r="C4887"/>
  <c r="C4888"/>
  <c r="C4889"/>
  <c r="C4890"/>
  <c r="C4891"/>
  <c r="C4892"/>
  <c r="C4893"/>
  <c r="C4894"/>
  <c r="C4895"/>
  <c r="C4896"/>
  <c r="C4897"/>
  <c r="C4898"/>
  <c r="C4899"/>
  <c r="C4900"/>
  <c r="C4901"/>
  <c r="C4902"/>
  <c r="C4903"/>
  <c r="C4904"/>
  <c r="C4905"/>
  <c r="C4906"/>
  <c r="C4907"/>
  <c r="C4908"/>
  <c r="C4909"/>
  <c r="C4910"/>
  <c r="C4911"/>
  <c r="C4912"/>
  <c r="C4913"/>
  <c r="C4914"/>
  <c r="C4915"/>
  <c r="C4916"/>
  <c r="C4917"/>
  <c r="C4918"/>
  <c r="C4919"/>
  <c r="C4920"/>
  <c r="C4921"/>
  <c r="C4922"/>
  <c r="C4923"/>
  <c r="C4924"/>
  <c r="C4925"/>
  <c r="C4926"/>
  <c r="C4927"/>
  <c r="C4928"/>
  <c r="C4929"/>
  <c r="C4930"/>
  <c r="C4931"/>
  <c r="C4932"/>
  <c r="C4933"/>
  <c r="C4934"/>
  <c r="C4935"/>
  <c r="C4936"/>
  <c r="C4937"/>
  <c r="C4938"/>
  <c r="C4939"/>
  <c r="C4940"/>
  <c r="C4941"/>
  <c r="E4941" s="1"/>
  <c r="C4942"/>
  <c r="C4943"/>
  <c r="C4944"/>
  <c r="C4945"/>
  <c r="C4946"/>
  <c r="C4947"/>
  <c r="C4948"/>
  <c r="C4949"/>
  <c r="C4950"/>
  <c r="C4951"/>
  <c r="C4952"/>
  <c r="C4953"/>
  <c r="C4954"/>
  <c r="C4955"/>
  <c r="C4956"/>
  <c r="C4957"/>
  <c r="C4958"/>
  <c r="C4959"/>
  <c r="C4960"/>
  <c r="C4961"/>
  <c r="C4962"/>
  <c r="C4963"/>
  <c r="C4964"/>
  <c r="C4965"/>
  <c r="C4966"/>
  <c r="C4967"/>
  <c r="C4968"/>
  <c r="C4969"/>
  <c r="C4970"/>
  <c r="C4971"/>
  <c r="C4972"/>
  <c r="C4973"/>
  <c r="C4974"/>
  <c r="C4975"/>
  <c r="C4976"/>
  <c r="C4977"/>
  <c r="C4978"/>
  <c r="C4979"/>
  <c r="C4980"/>
  <c r="C4981"/>
  <c r="C4982"/>
  <c r="C4983"/>
  <c r="C4984"/>
  <c r="C4985"/>
  <c r="C4986"/>
  <c r="C4987"/>
  <c r="C4988"/>
  <c r="C4989"/>
  <c r="C4990"/>
  <c r="C4991"/>
  <c r="C4992"/>
  <c r="C4993"/>
  <c r="C4994"/>
  <c r="C4995"/>
  <c r="C4996"/>
  <c r="C4997"/>
  <c r="C4998"/>
  <c r="C4999"/>
  <c r="C5000"/>
  <c r="C5001"/>
  <c r="C5002"/>
  <c r="C5003"/>
  <c r="C5004"/>
  <c r="C5005"/>
  <c r="C5006"/>
  <c r="C5007"/>
  <c r="C5008"/>
  <c r="C5009"/>
  <c r="C5010"/>
  <c r="C5011"/>
  <c r="C5012"/>
  <c r="C5013"/>
  <c r="E5013" s="1"/>
  <c r="C5014"/>
  <c r="C5015"/>
  <c r="C5016"/>
  <c r="C5017"/>
  <c r="C5018"/>
  <c r="C5019"/>
  <c r="C5020"/>
  <c r="C5021"/>
  <c r="C5022"/>
  <c r="C5023"/>
  <c r="C5024"/>
  <c r="C5025"/>
  <c r="C5026"/>
  <c r="C5027"/>
  <c r="C5028"/>
  <c r="C5029"/>
  <c r="C5030"/>
  <c r="C5031"/>
  <c r="C5032"/>
  <c r="C5033"/>
  <c r="C5034"/>
  <c r="C5035"/>
  <c r="C5036"/>
  <c r="C5037"/>
  <c r="C5038"/>
  <c r="C5039"/>
  <c r="C5040"/>
  <c r="C5041"/>
  <c r="C5042"/>
  <c r="C5043"/>
  <c r="C5044"/>
  <c r="C5045"/>
  <c r="C5046"/>
  <c r="C5047"/>
  <c r="C5048"/>
  <c r="C5049"/>
  <c r="C5050"/>
  <c r="C5051"/>
  <c r="C5052"/>
  <c r="C5053"/>
  <c r="C5054"/>
  <c r="C5055"/>
  <c r="C5056"/>
  <c r="C5057"/>
  <c r="C5058"/>
  <c r="C5059"/>
  <c r="C5060"/>
  <c r="C5061"/>
  <c r="C5062"/>
  <c r="C5063"/>
  <c r="C5064"/>
  <c r="C5065"/>
  <c r="C5066"/>
  <c r="C5067"/>
  <c r="C5068"/>
  <c r="C5069"/>
  <c r="C5070"/>
  <c r="C5071"/>
  <c r="C5072"/>
  <c r="C5073"/>
  <c r="C5074"/>
  <c r="C5075"/>
  <c r="C5076"/>
  <c r="C5077"/>
  <c r="C5078"/>
  <c r="C5079"/>
  <c r="C5080"/>
  <c r="C5081"/>
  <c r="C5082"/>
  <c r="C5083"/>
  <c r="C5084"/>
  <c r="C5085"/>
  <c r="E5085" s="1"/>
  <c r="C5086"/>
  <c r="C5087"/>
  <c r="C5088"/>
  <c r="C5089"/>
  <c r="C5090"/>
  <c r="C5091"/>
  <c r="C5092"/>
  <c r="C5093"/>
  <c r="C5094"/>
  <c r="C5095"/>
  <c r="C5096"/>
  <c r="C5097"/>
  <c r="C5098"/>
  <c r="C5099"/>
  <c r="C5100"/>
  <c r="C5101"/>
  <c r="C5102"/>
  <c r="C5103"/>
  <c r="C5104"/>
  <c r="C5105"/>
  <c r="C5106"/>
  <c r="C5107"/>
  <c r="C5108"/>
  <c r="C5109"/>
  <c r="C5110"/>
  <c r="C5111"/>
  <c r="C5112"/>
  <c r="C5113"/>
  <c r="C5114"/>
  <c r="C5115"/>
  <c r="C5116"/>
  <c r="C5117"/>
  <c r="C5118"/>
  <c r="C5119"/>
  <c r="C5120"/>
  <c r="C5121"/>
  <c r="C5122"/>
  <c r="C5123"/>
  <c r="C5124"/>
  <c r="C5125"/>
  <c r="C5126"/>
  <c r="C5127"/>
  <c r="C5128"/>
  <c r="C5129"/>
  <c r="C5130"/>
  <c r="C5131"/>
  <c r="C5132"/>
  <c r="C5133"/>
  <c r="C5134"/>
  <c r="C5135"/>
  <c r="C5136"/>
  <c r="C5137"/>
  <c r="C5138"/>
  <c r="C5139"/>
  <c r="C5140"/>
  <c r="C5141"/>
  <c r="C5142"/>
  <c r="C5143"/>
  <c r="C5144"/>
  <c r="C5145"/>
  <c r="C5146"/>
  <c r="C5147"/>
  <c r="C5148"/>
  <c r="C5149"/>
  <c r="C5150"/>
  <c r="C5151"/>
  <c r="C5152"/>
  <c r="C5153"/>
  <c r="C5154"/>
  <c r="C5155"/>
  <c r="C5156"/>
  <c r="C5157"/>
  <c r="E5157" s="1"/>
  <c r="C5158"/>
  <c r="C5159"/>
  <c r="C5160"/>
  <c r="C5161"/>
  <c r="C5162"/>
  <c r="C5163"/>
  <c r="C5164"/>
  <c r="C5165"/>
  <c r="C5166"/>
  <c r="C5167"/>
  <c r="C5168"/>
  <c r="C5169"/>
  <c r="C5170"/>
  <c r="C5171"/>
  <c r="C5172"/>
  <c r="C5173"/>
  <c r="C5174"/>
  <c r="C5175"/>
  <c r="C5176"/>
  <c r="C5177"/>
  <c r="C5178"/>
  <c r="C5179"/>
  <c r="C5180"/>
  <c r="C5181"/>
  <c r="C5182"/>
  <c r="C5183"/>
  <c r="C5184"/>
  <c r="C5185"/>
  <c r="C5186"/>
  <c r="C5187"/>
  <c r="C5188"/>
  <c r="C5189"/>
  <c r="C5190"/>
  <c r="C5191"/>
  <c r="C5192"/>
  <c r="C5193"/>
  <c r="C5194"/>
  <c r="C5195"/>
  <c r="C5196"/>
  <c r="C5197"/>
  <c r="C5198"/>
  <c r="C5199"/>
  <c r="C5200"/>
  <c r="C5201"/>
  <c r="C5202"/>
  <c r="C5203"/>
  <c r="C5204"/>
  <c r="C5205"/>
  <c r="C5206"/>
  <c r="C5207"/>
  <c r="C5208"/>
  <c r="C5209"/>
  <c r="C5210"/>
  <c r="C5211"/>
  <c r="C5212"/>
  <c r="C5213"/>
  <c r="C5214"/>
  <c r="C5215"/>
  <c r="C5216"/>
  <c r="C5217"/>
  <c r="C5218"/>
  <c r="C5219"/>
  <c r="C5220"/>
  <c r="C5221"/>
  <c r="C5222"/>
  <c r="C5223"/>
  <c r="C5224"/>
  <c r="C5225"/>
  <c r="C5226"/>
  <c r="C5227"/>
  <c r="C5228"/>
  <c r="C5229"/>
  <c r="E5229" s="1"/>
  <c r="C5230"/>
  <c r="C5231"/>
  <c r="C5232"/>
  <c r="C5233"/>
  <c r="C5234"/>
  <c r="C5235"/>
  <c r="C5236"/>
  <c r="C5237"/>
  <c r="C5238"/>
  <c r="C5239"/>
  <c r="C5240"/>
  <c r="C5241"/>
  <c r="C5242"/>
  <c r="C5243"/>
  <c r="C5244"/>
  <c r="C5245"/>
  <c r="C5246"/>
  <c r="C5247"/>
  <c r="C5248"/>
  <c r="C5249"/>
  <c r="C5250"/>
  <c r="C5251"/>
  <c r="C5252"/>
  <c r="C5253"/>
  <c r="C5254"/>
  <c r="C5255"/>
  <c r="C5256"/>
  <c r="C5257"/>
  <c r="C5258"/>
  <c r="C5259"/>
  <c r="C5260"/>
  <c r="C5261"/>
  <c r="C5262"/>
  <c r="C5263"/>
  <c r="C5264"/>
  <c r="C5265"/>
  <c r="C5266"/>
  <c r="C5267"/>
  <c r="C5268"/>
  <c r="C5269"/>
  <c r="C5270"/>
  <c r="C5271"/>
  <c r="C5272"/>
  <c r="C5273"/>
  <c r="C5274"/>
  <c r="C5275"/>
  <c r="C5276"/>
  <c r="C5277"/>
  <c r="C5278"/>
  <c r="C5279"/>
  <c r="C5280"/>
  <c r="C5281"/>
  <c r="C5282"/>
  <c r="C5283"/>
  <c r="C5284"/>
  <c r="C5285"/>
  <c r="C5286"/>
  <c r="C5287"/>
  <c r="C5288"/>
  <c r="C5289"/>
  <c r="C5290"/>
  <c r="C5291"/>
  <c r="C5292"/>
  <c r="C5293"/>
  <c r="C5294"/>
  <c r="C5295"/>
  <c r="C5296"/>
  <c r="C5297"/>
  <c r="C5298"/>
  <c r="C5299"/>
  <c r="C5300"/>
  <c r="C5301"/>
  <c r="E5301" s="1"/>
  <c r="C5302"/>
  <c r="C5303"/>
  <c r="C5304"/>
  <c r="C5305"/>
  <c r="C5306"/>
  <c r="C5307"/>
  <c r="C5308"/>
  <c r="C5309"/>
  <c r="C5310"/>
  <c r="C5311"/>
  <c r="C5312"/>
  <c r="C5313"/>
  <c r="C5314"/>
  <c r="C5315"/>
  <c r="C5316"/>
  <c r="C5317"/>
  <c r="C5318"/>
  <c r="C5319"/>
  <c r="C5320"/>
  <c r="C5321"/>
  <c r="C5322"/>
  <c r="C5323"/>
  <c r="C5324"/>
  <c r="C5325"/>
  <c r="C5326"/>
  <c r="C5327"/>
  <c r="C5328"/>
  <c r="C5329"/>
  <c r="C5330"/>
  <c r="C5331"/>
  <c r="C5332"/>
  <c r="C5333"/>
  <c r="C5334"/>
  <c r="C5335"/>
  <c r="C5336"/>
  <c r="C5337"/>
  <c r="C5338"/>
  <c r="C5339"/>
  <c r="C5340"/>
  <c r="C5341"/>
  <c r="C5342"/>
  <c r="C5343"/>
  <c r="C5344"/>
  <c r="C5345"/>
  <c r="C5346"/>
  <c r="C5347"/>
  <c r="C5348"/>
  <c r="C5349"/>
  <c r="C5350"/>
  <c r="C5351"/>
  <c r="C5352"/>
  <c r="C5353"/>
  <c r="C5354"/>
  <c r="C5355"/>
  <c r="C5356"/>
  <c r="C5357"/>
  <c r="C5358"/>
  <c r="C5359"/>
  <c r="C5360"/>
  <c r="C5361"/>
  <c r="C5362"/>
  <c r="C5363"/>
  <c r="C5364"/>
  <c r="C5365"/>
  <c r="C5366"/>
  <c r="C5367"/>
  <c r="C5368"/>
  <c r="C5369"/>
  <c r="C5370"/>
  <c r="C5371"/>
  <c r="C5372"/>
  <c r="C5373"/>
  <c r="E5373" s="1"/>
  <c r="C5374"/>
  <c r="C5375"/>
  <c r="C5376"/>
  <c r="C5377"/>
  <c r="C5378"/>
  <c r="C5379"/>
  <c r="C5380"/>
  <c r="C5381"/>
  <c r="C5382"/>
  <c r="C5383"/>
  <c r="C5384"/>
  <c r="C5385"/>
  <c r="C5386"/>
  <c r="C5387"/>
  <c r="C5388"/>
  <c r="C5389"/>
  <c r="C5390"/>
  <c r="C5391"/>
  <c r="C5392"/>
  <c r="C5393"/>
  <c r="C5394"/>
  <c r="C5395"/>
  <c r="C5396"/>
  <c r="C5397"/>
  <c r="C5398"/>
  <c r="C5399"/>
  <c r="C5400"/>
  <c r="C5401"/>
  <c r="C5402"/>
  <c r="C5403"/>
  <c r="C5404"/>
  <c r="C5405"/>
  <c r="C5406"/>
  <c r="C5407"/>
  <c r="C5408"/>
  <c r="C5409"/>
  <c r="C5410"/>
  <c r="C5411"/>
  <c r="C5412"/>
  <c r="C5413"/>
  <c r="C5414"/>
  <c r="C5415"/>
  <c r="C5416"/>
  <c r="C5417"/>
  <c r="C5418"/>
  <c r="C5419"/>
  <c r="C5420"/>
  <c r="C5421"/>
  <c r="C5422"/>
  <c r="C5423"/>
  <c r="C5424"/>
  <c r="C5425"/>
  <c r="C5426"/>
  <c r="C5427"/>
  <c r="C5428"/>
  <c r="C5429"/>
  <c r="C5430"/>
  <c r="C5431"/>
  <c r="C5432"/>
  <c r="C5433"/>
  <c r="C5434"/>
  <c r="C5435"/>
  <c r="C5436"/>
  <c r="C5437"/>
  <c r="C5438"/>
  <c r="C5439"/>
  <c r="C5440"/>
  <c r="C5441"/>
  <c r="C5442"/>
  <c r="C5443"/>
  <c r="C5444"/>
  <c r="C5445"/>
  <c r="E5445" s="1"/>
  <c r="C5446"/>
  <c r="C5447"/>
  <c r="C5448"/>
  <c r="C5449"/>
  <c r="C5450"/>
  <c r="C5451"/>
  <c r="C5452"/>
  <c r="C5453"/>
  <c r="C5454"/>
  <c r="C5455"/>
  <c r="C5456"/>
  <c r="C5457"/>
  <c r="C5458"/>
  <c r="C5459"/>
  <c r="C5460"/>
  <c r="C5461"/>
  <c r="C5462"/>
  <c r="C5463"/>
  <c r="C5464"/>
  <c r="C5465"/>
  <c r="C5466"/>
  <c r="C5467"/>
  <c r="C5468"/>
  <c r="C5469"/>
  <c r="C5470"/>
  <c r="C5471"/>
  <c r="C5472"/>
  <c r="C5473"/>
  <c r="C5474"/>
  <c r="C5475"/>
  <c r="C5476"/>
  <c r="C5477"/>
  <c r="C5478"/>
  <c r="C5479"/>
  <c r="C5480"/>
  <c r="C5481"/>
  <c r="C5482"/>
  <c r="C5483"/>
  <c r="C5484"/>
  <c r="C5485"/>
  <c r="C5486"/>
  <c r="C5487"/>
  <c r="C5488"/>
  <c r="C5489"/>
  <c r="C5490"/>
  <c r="C5491"/>
  <c r="C5492"/>
  <c r="C5493"/>
  <c r="C5494"/>
  <c r="C5495"/>
  <c r="C5496"/>
  <c r="C5497"/>
  <c r="C5498"/>
  <c r="C5499"/>
  <c r="C5500"/>
  <c r="C5501"/>
  <c r="C5502"/>
  <c r="C5503"/>
  <c r="C5504"/>
  <c r="C5505"/>
  <c r="C5506"/>
  <c r="C5507"/>
  <c r="C5508"/>
  <c r="C5509"/>
  <c r="C5510"/>
  <c r="C5511"/>
  <c r="C5512"/>
  <c r="C5513"/>
  <c r="C5514"/>
  <c r="C5515"/>
  <c r="C5516"/>
  <c r="C5517"/>
  <c r="E5517" s="1"/>
  <c r="C5518"/>
  <c r="C5519"/>
  <c r="C5520"/>
  <c r="C5521"/>
  <c r="C5522"/>
  <c r="C5523"/>
  <c r="C5524"/>
  <c r="C5525"/>
  <c r="C5526"/>
  <c r="C5527"/>
  <c r="C5528"/>
  <c r="C5529"/>
  <c r="C5530"/>
  <c r="C5531"/>
  <c r="C5532"/>
  <c r="C5533"/>
  <c r="C5534"/>
  <c r="C5535"/>
  <c r="C5536"/>
  <c r="C5537"/>
  <c r="C5538"/>
  <c r="C5539"/>
  <c r="C5540"/>
  <c r="C5541"/>
  <c r="C5542"/>
  <c r="C5543"/>
  <c r="C5544"/>
  <c r="C5545"/>
  <c r="C5546"/>
  <c r="C5547"/>
  <c r="C5548"/>
  <c r="C5549"/>
  <c r="C5550"/>
  <c r="C5551"/>
  <c r="C5552"/>
  <c r="C5553"/>
  <c r="C5554"/>
  <c r="C5555"/>
  <c r="C5556"/>
  <c r="C5557"/>
  <c r="C5558"/>
  <c r="C5559"/>
  <c r="C5560"/>
  <c r="C5561"/>
  <c r="C5562"/>
  <c r="C5563"/>
  <c r="C5564"/>
  <c r="C5565"/>
  <c r="C5566"/>
  <c r="C5567"/>
  <c r="C5568"/>
  <c r="C5569"/>
  <c r="C5570"/>
  <c r="C5571"/>
  <c r="C5572"/>
  <c r="C5573"/>
  <c r="C5574"/>
  <c r="C5575"/>
  <c r="C5576"/>
  <c r="C5577"/>
  <c r="C5578"/>
  <c r="C5579"/>
  <c r="C5580"/>
  <c r="C5581"/>
  <c r="C5582"/>
  <c r="C5583"/>
  <c r="C5584"/>
  <c r="C5585"/>
  <c r="C5586"/>
  <c r="C5587"/>
  <c r="C5588"/>
  <c r="C5589"/>
  <c r="E5589" s="1"/>
  <c r="C5590"/>
  <c r="C5591"/>
  <c r="C5592"/>
  <c r="C5593"/>
  <c r="C5594"/>
  <c r="C5595"/>
  <c r="C5596"/>
  <c r="C5597"/>
  <c r="C5598"/>
  <c r="C5599"/>
  <c r="C5600"/>
  <c r="C5601"/>
  <c r="C5602"/>
  <c r="C5603"/>
  <c r="C5604"/>
  <c r="C5605"/>
  <c r="C5606"/>
  <c r="C5607"/>
  <c r="C5608"/>
  <c r="C5609"/>
  <c r="C5610"/>
  <c r="C5611"/>
  <c r="C5612"/>
  <c r="C5613"/>
  <c r="C5614"/>
  <c r="C5615"/>
  <c r="C5616"/>
  <c r="C5617"/>
  <c r="C5618"/>
  <c r="C5619"/>
  <c r="C5620"/>
  <c r="C5621"/>
  <c r="C5622"/>
  <c r="C5623"/>
  <c r="C5624"/>
  <c r="C5625"/>
  <c r="C5626"/>
  <c r="C5627"/>
  <c r="C5628"/>
  <c r="C5629"/>
  <c r="C5630"/>
  <c r="C5631"/>
  <c r="C5632"/>
  <c r="C5633"/>
  <c r="C5634"/>
  <c r="C5635"/>
  <c r="C5636"/>
  <c r="C5637"/>
  <c r="C5638"/>
  <c r="C5639"/>
  <c r="C5640"/>
  <c r="C5641"/>
  <c r="C5642"/>
  <c r="C5643"/>
  <c r="C5644"/>
  <c r="C5645"/>
  <c r="C5646"/>
  <c r="C5647"/>
  <c r="C5648"/>
  <c r="C5649"/>
  <c r="C5650"/>
  <c r="C5651"/>
  <c r="C5652"/>
  <c r="C5653"/>
  <c r="C5654"/>
  <c r="C5655"/>
  <c r="C5656"/>
  <c r="C5657"/>
  <c r="C5658"/>
  <c r="C5659"/>
  <c r="C5660"/>
  <c r="C5661"/>
  <c r="E5661" s="1"/>
  <c r="C5662"/>
  <c r="C5663"/>
  <c r="C5664"/>
  <c r="C5665"/>
  <c r="C5666"/>
  <c r="C5667"/>
  <c r="C5668"/>
  <c r="C5669"/>
  <c r="C5670"/>
  <c r="C5671"/>
  <c r="C5672"/>
  <c r="C5673"/>
  <c r="C5674"/>
  <c r="C5675"/>
  <c r="C5676"/>
  <c r="C5677"/>
  <c r="C5678"/>
  <c r="C5679"/>
  <c r="C5680"/>
  <c r="C5681"/>
  <c r="C5682"/>
  <c r="C5683"/>
  <c r="C5684"/>
  <c r="C5685"/>
  <c r="C5686"/>
  <c r="C5687"/>
  <c r="C5688"/>
  <c r="C5689"/>
  <c r="C5690"/>
  <c r="C5691"/>
  <c r="C5692"/>
  <c r="C5693"/>
  <c r="C5694"/>
  <c r="C5695"/>
  <c r="C5696"/>
  <c r="C5697"/>
  <c r="C5698"/>
  <c r="C5699"/>
  <c r="C5700"/>
  <c r="C5701"/>
  <c r="C5702"/>
  <c r="C5703"/>
  <c r="C5704"/>
  <c r="C5705"/>
  <c r="C5706"/>
  <c r="C5707"/>
  <c r="C5708"/>
  <c r="C5709"/>
  <c r="C5710"/>
  <c r="C5711"/>
  <c r="C5712"/>
  <c r="C5713"/>
  <c r="C5714"/>
  <c r="C5715"/>
  <c r="C5716"/>
  <c r="C5717"/>
  <c r="C5718"/>
  <c r="C5719"/>
  <c r="C5720"/>
  <c r="C5721"/>
  <c r="C5722"/>
  <c r="C5723"/>
  <c r="C5724"/>
  <c r="C5725"/>
  <c r="C5726"/>
  <c r="C5727"/>
  <c r="C5728"/>
  <c r="C5729"/>
  <c r="C5730"/>
  <c r="C5731"/>
  <c r="C5732"/>
  <c r="C5733"/>
  <c r="E5733" s="1"/>
  <c r="C5734"/>
  <c r="C5735"/>
  <c r="C5736"/>
  <c r="C5737"/>
  <c r="C5738"/>
  <c r="C5739"/>
  <c r="C5740"/>
  <c r="C5741"/>
  <c r="C5742"/>
  <c r="C5743"/>
  <c r="C5744"/>
  <c r="C5745"/>
  <c r="C5746"/>
  <c r="C5747"/>
  <c r="C5748"/>
  <c r="C5749"/>
  <c r="C5750"/>
  <c r="C5751"/>
  <c r="C5752"/>
  <c r="C5753"/>
  <c r="C5754"/>
  <c r="C5755"/>
  <c r="C5756"/>
  <c r="C5757"/>
  <c r="C5758"/>
  <c r="C5759"/>
  <c r="C5760"/>
  <c r="C5761"/>
  <c r="C5762"/>
  <c r="C5763"/>
  <c r="C5764"/>
  <c r="C5765"/>
  <c r="C5766"/>
  <c r="C5767"/>
  <c r="C5768"/>
  <c r="C5769"/>
  <c r="C5770"/>
  <c r="C5771"/>
  <c r="C5772"/>
  <c r="C5773"/>
  <c r="C5774"/>
  <c r="C5775"/>
  <c r="C5776"/>
  <c r="C5777"/>
  <c r="C5778"/>
  <c r="C5779"/>
  <c r="C5780"/>
  <c r="C5781"/>
  <c r="C5782"/>
  <c r="C5783"/>
  <c r="C5784"/>
  <c r="C5785"/>
  <c r="C5786"/>
  <c r="C5787"/>
  <c r="C5788"/>
  <c r="C5789"/>
  <c r="C5790"/>
  <c r="C5791"/>
  <c r="C5792"/>
  <c r="C5793"/>
  <c r="C5794"/>
  <c r="C5795"/>
  <c r="C5796"/>
  <c r="C5797"/>
  <c r="C5798"/>
  <c r="C5799"/>
  <c r="C5800"/>
  <c r="C5801"/>
  <c r="C5802"/>
  <c r="C5803"/>
  <c r="C5804"/>
  <c r="C5805"/>
  <c r="C5806"/>
  <c r="C5807"/>
  <c r="C5808"/>
  <c r="C5809"/>
  <c r="C5810"/>
  <c r="C5811"/>
  <c r="C5812"/>
  <c r="C5813"/>
  <c r="C5814"/>
  <c r="C5815"/>
  <c r="C5816"/>
  <c r="C5817"/>
  <c r="C5818"/>
  <c r="C5819"/>
  <c r="C5820"/>
  <c r="C5821"/>
  <c r="C5822"/>
  <c r="C5823"/>
  <c r="C5824"/>
  <c r="C5825"/>
  <c r="C5826"/>
  <c r="C5827"/>
  <c r="C5828"/>
  <c r="C5829"/>
  <c r="C5830"/>
  <c r="C5831"/>
  <c r="C5832"/>
  <c r="C5833"/>
  <c r="C5834"/>
  <c r="C5835"/>
  <c r="C5836"/>
  <c r="C5837"/>
  <c r="C5838"/>
  <c r="C5839"/>
  <c r="C5840"/>
  <c r="C5841"/>
  <c r="C5842"/>
  <c r="C5843"/>
  <c r="C5844"/>
  <c r="C5845"/>
  <c r="C5846"/>
  <c r="C5847"/>
  <c r="C5848"/>
  <c r="C5849"/>
  <c r="C5850"/>
  <c r="C5851"/>
  <c r="C5852"/>
  <c r="C5853"/>
  <c r="C5854"/>
  <c r="C5855"/>
  <c r="C5856"/>
  <c r="C5857"/>
  <c r="C5858"/>
  <c r="C5859"/>
  <c r="C5860"/>
  <c r="C5861"/>
  <c r="C5862"/>
  <c r="C5863"/>
  <c r="C5864"/>
  <c r="C5865"/>
  <c r="C5866"/>
  <c r="C5867"/>
  <c r="C5868"/>
  <c r="C5869"/>
  <c r="C5870"/>
  <c r="C5871"/>
  <c r="C5872"/>
  <c r="C5873"/>
  <c r="C5874"/>
  <c r="C5875"/>
  <c r="C5876"/>
  <c r="C5877"/>
  <c r="C5878"/>
  <c r="C5879"/>
  <c r="C5880"/>
  <c r="C5881"/>
  <c r="C5882"/>
  <c r="C5883"/>
  <c r="C5884"/>
  <c r="C5885"/>
  <c r="C5886"/>
  <c r="C5887"/>
  <c r="C5888"/>
  <c r="C5889"/>
  <c r="C5890"/>
  <c r="C5891"/>
  <c r="C5892"/>
  <c r="C5893"/>
  <c r="C5894"/>
  <c r="C5895"/>
  <c r="C5896"/>
  <c r="C5897"/>
  <c r="C5898"/>
  <c r="C5899"/>
  <c r="C5900"/>
  <c r="C5901"/>
  <c r="C5902"/>
  <c r="C5903"/>
  <c r="C5904"/>
  <c r="C5905"/>
  <c r="C5906"/>
  <c r="C5907"/>
  <c r="C5908"/>
  <c r="C5909"/>
  <c r="C5910"/>
  <c r="C5911"/>
  <c r="C5912"/>
  <c r="C5913"/>
  <c r="C5914"/>
  <c r="C5915"/>
  <c r="C5916"/>
  <c r="C5917"/>
  <c r="C5918"/>
  <c r="C5919"/>
  <c r="C5920"/>
  <c r="C5921"/>
  <c r="C5922"/>
  <c r="C5923"/>
  <c r="C5924"/>
  <c r="C5925"/>
  <c r="C5926"/>
  <c r="C5927"/>
  <c r="C5928"/>
  <c r="C5929"/>
  <c r="C5930"/>
  <c r="C5931"/>
  <c r="C5932"/>
  <c r="C5933"/>
  <c r="C5934"/>
  <c r="C5935"/>
  <c r="C5936"/>
  <c r="C5937"/>
  <c r="C5938"/>
  <c r="C5939"/>
  <c r="C5940"/>
  <c r="C5941"/>
  <c r="C5942"/>
  <c r="C5943"/>
  <c r="C5944"/>
  <c r="C5945"/>
  <c r="C5946"/>
  <c r="C5947"/>
  <c r="C5948"/>
  <c r="C5949"/>
  <c r="E5949" s="1"/>
  <c r="C5950"/>
  <c r="C5951"/>
  <c r="C5952"/>
  <c r="C5953"/>
  <c r="C5954"/>
  <c r="C5955"/>
  <c r="C5956"/>
  <c r="C5957"/>
  <c r="C5958"/>
  <c r="C5959"/>
  <c r="C5960"/>
  <c r="C5961"/>
  <c r="C5962"/>
  <c r="C5963"/>
  <c r="C5964"/>
  <c r="C5965"/>
  <c r="C5966"/>
  <c r="C5967"/>
  <c r="C5968"/>
  <c r="C5969"/>
  <c r="C5970"/>
  <c r="C5971"/>
  <c r="C5972"/>
  <c r="C5973"/>
  <c r="C5974"/>
  <c r="C5975"/>
  <c r="C5976"/>
  <c r="C5977"/>
  <c r="C5978"/>
  <c r="C5979"/>
  <c r="C5980"/>
  <c r="C5981"/>
  <c r="C5982"/>
  <c r="C5983"/>
  <c r="C5984"/>
  <c r="C5985"/>
  <c r="C5986"/>
  <c r="C5987"/>
  <c r="C5988"/>
  <c r="C5989"/>
  <c r="C5990"/>
  <c r="C5991"/>
  <c r="C5992"/>
  <c r="C5993"/>
  <c r="C5994"/>
  <c r="C5995"/>
  <c r="C5996"/>
  <c r="C5997"/>
  <c r="C5998"/>
  <c r="C5999"/>
  <c r="C6000"/>
  <c r="C6001"/>
  <c r="C6002"/>
  <c r="C6003"/>
  <c r="C6004"/>
  <c r="C6005"/>
  <c r="C6006"/>
  <c r="C6007"/>
  <c r="C6008"/>
  <c r="C6009"/>
  <c r="C6010"/>
  <c r="C6011"/>
  <c r="C6012"/>
  <c r="C6013"/>
  <c r="C6014"/>
  <c r="C6015"/>
  <c r="C6016"/>
  <c r="C6017"/>
  <c r="C6018"/>
  <c r="C6019"/>
  <c r="C6020"/>
  <c r="C6021"/>
  <c r="E6021" s="1"/>
  <c r="C6022"/>
  <c r="C6023"/>
  <c r="C6024"/>
  <c r="C6025"/>
  <c r="C6026"/>
  <c r="C6027"/>
  <c r="C6028"/>
  <c r="C6029"/>
  <c r="C6030"/>
  <c r="C6031"/>
  <c r="C6032"/>
  <c r="C6033"/>
  <c r="C6034"/>
  <c r="C6035"/>
  <c r="C6036"/>
  <c r="C6037"/>
  <c r="C6038"/>
  <c r="C6039"/>
  <c r="C6040"/>
  <c r="C6041"/>
  <c r="C6042"/>
  <c r="C6043"/>
  <c r="C6044"/>
  <c r="C6045"/>
  <c r="C6046"/>
  <c r="C6047"/>
  <c r="C6048"/>
  <c r="C6049"/>
  <c r="C6050"/>
  <c r="C6051"/>
  <c r="C6052"/>
  <c r="C6053"/>
  <c r="C6054"/>
  <c r="C6055"/>
  <c r="C6056"/>
  <c r="C6057"/>
  <c r="C6058"/>
  <c r="C6059"/>
  <c r="C6060"/>
  <c r="C6061"/>
  <c r="C6062"/>
  <c r="C6063"/>
  <c r="C6064"/>
  <c r="C6065"/>
  <c r="C6066"/>
  <c r="C6067"/>
  <c r="C6068"/>
  <c r="C6069"/>
  <c r="C6070"/>
  <c r="C6071"/>
  <c r="C6072"/>
  <c r="C6073"/>
  <c r="C6074"/>
  <c r="C6075"/>
  <c r="C6076"/>
  <c r="C6077"/>
  <c r="C6078"/>
  <c r="C6079"/>
  <c r="C6080"/>
  <c r="C6081"/>
  <c r="C6082"/>
  <c r="C6083"/>
  <c r="C6084"/>
  <c r="C6085"/>
  <c r="C6086"/>
  <c r="C6087"/>
  <c r="C6088"/>
  <c r="C6089"/>
  <c r="C6090"/>
  <c r="C6091"/>
  <c r="C6092"/>
  <c r="C6093"/>
  <c r="C6094"/>
  <c r="C6095"/>
  <c r="C6096"/>
  <c r="C6097"/>
  <c r="C6098"/>
  <c r="C6099"/>
  <c r="C6100"/>
  <c r="C6101"/>
  <c r="C6102"/>
  <c r="C6103"/>
  <c r="C6104"/>
  <c r="C6105"/>
  <c r="C6106"/>
  <c r="C6107"/>
  <c r="C6108"/>
  <c r="C6109"/>
  <c r="C6110"/>
  <c r="C6111"/>
  <c r="C6112"/>
  <c r="C6113"/>
  <c r="C6114"/>
  <c r="C6115"/>
  <c r="C6116"/>
  <c r="C6117"/>
  <c r="C6118"/>
  <c r="C6119"/>
  <c r="C6120"/>
  <c r="C6121"/>
  <c r="C6122"/>
  <c r="C6123"/>
  <c r="C6124"/>
  <c r="C6125"/>
  <c r="C6126"/>
  <c r="C6127"/>
  <c r="C6128"/>
  <c r="C6129"/>
  <c r="C6130"/>
  <c r="C6131"/>
  <c r="C6132"/>
  <c r="C6133"/>
  <c r="C6134"/>
  <c r="C6135"/>
  <c r="C6136"/>
  <c r="C6137"/>
  <c r="C6138"/>
  <c r="C6139"/>
  <c r="C6140"/>
  <c r="C6141"/>
  <c r="C6142"/>
  <c r="C6143"/>
  <c r="C6144"/>
  <c r="C6145"/>
  <c r="C6146"/>
  <c r="C6147"/>
  <c r="C6148"/>
  <c r="C6149"/>
  <c r="C6150"/>
  <c r="C6151"/>
  <c r="C6152"/>
  <c r="C6153"/>
  <c r="C6154"/>
  <c r="C6155"/>
  <c r="C6156"/>
  <c r="C6157"/>
  <c r="C6158"/>
  <c r="C6159"/>
  <c r="C6160"/>
  <c r="C6161"/>
  <c r="C6162"/>
  <c r="C6163"/>
  <c r="C6164"/>
  <c r="C6165"/>
  <c r="C6166"/>
  <c r="C6167"/>
  <c r="C6168"/>
  <c r="C6169"/>
  <c r="C6170"/>
  <c r="C6171"/>
  <c r="C6172"/>
  <c r="C6173"/>
  <c r="C6174"/>
  <c r="C6175"/>
  <c r="C6176"/>
  <c r="C6177"/>
  <c r="C6178"/>
  <c r="C6179"/>
  <c r="C6180"/>
  <c r="C6181"/>
  <c r="C6182"/>
  <c r="C6183"/>
  <c r="C6184"/>
  <c r="C6185"/>
  <c r="C6186"/>
  <c r="C6187"/>
  <c r="C6188"/>
  <c r="C6189"/>
  <c r="C6190"/>
  <c r="C6191"/>
  <c r="C6192"/>
  <c r="C6193"/>
  <c r="C6194"/>
  <c r="C6195"/>
  <c r="C6196"/>
  <c r="C6197"/>
  <c r="C6198"/>
  <c r="C6199"/>
  <c r="C6200"/>
  <c r="C6201"/>
  <c r="C6202"/>
  <c r="C6203"/>
  <c r="C6204"/>
  <c r="C6205"/>
  <c r="C6206"/>
  <c r="C6207"/>
  <c r="C6208"/>
  <c r="C6209"/>
  <c r="C6210"/>
  <c r="C6211"/>
  <c r="C6212"/>
  <c r="C6213"/>
  <c r="C6214"/>
  <c r="C6215"/>
  <c r="C6216"/>
  <c r="C6217"/>
  <c r="C6218"/>
  <c r="C6219"/>
  <c r="C6220"/>
  <c r="C6221"/>
  <c r="C6222"/>
  <c r="C6223"/>
  <c r="C6224"/>
  <c r="C6225"/>
  <c r="C6226"/>
  <c r="C6227"/>
  <c r="C6228"/>
  <c r="C6229"/>
  <c r="C6230"/>
  <c r="C6231"/>
  <c r="C6232"/>
  <c r="C6233"/>
  <c r="C6234"/>
  <c r="C6235"/>
  <c r="C6236"/>
  <c r="C6237"/>
  <c r="C6238"/>
  <c r="C6239"/>
  <c r="C6240"/>
  <c r="C6241"/>
  <c r="C6242"/>
  <c r="C6243"/>
  <c r="C6244"/>
  <c r="C6245"/>
  <c r="C6246"/>
  <c r="C6247"/>
  <c r="C6248"/>
  <c r="C6249"/>
  <c r="C6250"/>
  <c r="C6251"/>
  <c r="C6252"/>
  <c r="C6253"/>
  <c r="C6254"/>
  <c r="C6255"/>
  <c r="C6256"/>
  <c r="C6257"/>
  <c r="C6258"/>
  <c r="C6259"/>
  <c r="C6260"/>
  <c r="C6261"/>
  <c r="C6262"/>
  <c r="C6263"/>
  <c r="C6264"/>
  <c r="C6265"/>
  <c r="C6266"/>
  <c r="C6267"/>
  <c r="C6268"/>
  <c r="C6269"/>
  <c r="C6270"/>
  <c r="C6271"/>
  <c r="C6272"/>
  <c r="C6273"/>
  <c r="C6274"/>
  <c r="C6275"/>
  <c r="C6276"/>
  <c r="C6277"/>
  <c r="C6278"/>
  <c r="C6279"/>
  <c r="C6280"/>
  <c r="C6281"/>
  <c r="C6282"/>
  <c r="C6283"/>
  <c r="C6284"/>
  <c r="C6285"/>
  <c r="C6286"/>
  <c r="C6287"/>
  <c r="C6288"/>
  <c r="C6289"/>
  <c r="C6290"/>
  <c r="C6291"/>
  <c r="C6292"/>
  <c r="C6293"/>
  <c r="C6294"/>
  <c r="C6295"/>
  <c r="C6296"/>
  <c r="C6297"/>
  <c r="C6298"/>
  <c r="C6299"/>
  <c r="C6300"/>
  <c r="C6301"/>
  <c r="C6302"/>
  <c r="C6303"/>
  <c r="C6304"/>
  <c r="C6305"/>
  <c r="C6306"/>
  <c r="C6307"/>
  <c r="C6308"/>
  <c r="C6309"/>
  <c r="C6310"/>
  <c r="C6311"/>
  <c r="C6312"/>
  <c r="C6313"/>
  <c r="C6314"/>
  <c r="C6315"/>
  <c r="C6316"/>
  <c r="C6317"/>
  <c r="C6318"/>
  <c r="C6319"/>
  <c r="C6320"/>
  <c r="C6321"/>
  <c r="C6322"/>
  <c r="C6323"/>
  <c r="C6324"/>
  <c r="C6325"/>
  <c r="C6326"/>
  <c r="C6327"/>
  <c r="C6328"/>
  <c r="C6329"/>
  <c r="C6330"/>
  <c r="C6331"/>
  <c r="C6332"/>
  <c r="C6333"/>
  <c r="C6334"/>
  <c r="C6335"/>
  <c r="C6336"/>
  <c r="C6337"/>
  <c r="C6338"/>
  <c r="C6339"/>
  <c r="C6340"/>
  <c r="C6341"/>
  <c r="C6342"/>
  <c r="C6343"/>
  <c r="C6344"/>
  <c r="C6345"/>
  <c r="C6346"/>
  <c r="C6347"/>
  <c r="C6348"/>
  <c r="C6349"/>
  <c r="C6350"/>
  <c r="C6351"/>
  <c r="C6352"/>
  <c r="C6353"/>
  <c r="C6354"/>
  <c r="C6355"/>
  <c r="C6356"/>
  <c r="C6357"/>
  <c r="C6358"/>
  <c r="C6359"/>
  <c r="C6360"/>
  <c r="C6361"/>
  <c r="C6362"/>
  <c r="C6363"/>
  <c r="C6364"/>
  <c r="C6365"/>
  <c r="C6366"/>
  <c r="C6367"/>
  <c r="C6368"/>
  <c r="C6369"/>
  <c r="C6370"/>
  <c r="C6371"/>
  <c r="C6372"/>
  <c r="C6373"/>
  <c r="C6374"/>
  <c r="C6375"/>
  <c r="C6376"/>
  <c r="C6377"/>
  <c r="C6378"/>
  <c r="C6379"/>
  <c r="C6380"/>
  <c r="C6381"/>
  <c r="C6382"/>
  <c r="C6383"/>
  <c r="C6384"/>
  <c r="C6385"/>
  <c r="C6386"/>
  <c r="C6387"/>
  <c r="C6388"/>
  <c r="C6389"/>
  <c r="C6390"/>
  <c r="C6391"/>
  <c r="C6392"/>
  <c r="C6393"/>
  <c r="C6394"/>
  <c r="C6395"/>
  <c r="C6396"/>
  <c r="C6397"/>
  <c r="C6398"/>
  <c r="C6399"/>
  <c r="C6400"/>
  <c r="C6401"/>
  <c r="C6402"/>
  <c r="C6403"/>
  <c r="C6404"/>
  <c r="C6405"/>
  <c r="C6406"/>
  <c r="C6407"/>
  <c r="C6408"/>
  <c r="C6409"/>
  <c r="C6410"/>
  <c r="C6411"/>
  <c r="C6412"/>
  <c r="C6413"/>
  <c r="C6414"/>
  <c r="C6415"/>
  <c r="C6416"/>
  <c r="C6417"/>
  <c r="C6418"/>
  <c r="C6419"/>
  <c r="C6420"/>
  <c r="C6421"/>
  <c r="C6422"/>
  <c r="C6423"/>
  <c r="C6424"/>
  <c r="C6425"/>
  <c r="C6426"/>
  <c r="C6427"/>
  <c r="C6428"/>
  <c r="C6429"/>
  <c r="C6430"/>
  <c r="C6431"/>
  <c r="C6432"/>
  <c r="C6433"/>
  <c r="C6434"/>
  <c r="C6435"/>
  <c r="C6436"/>
  <c r="C6437"/>
  <c r="C6438"/>
  <c r="C6439"/>
  <c r="C6440"/>
  <c r="C6441"/>
  <c r="C6442"/>
  <c r="C6443"/>
  <c r="C6444"/>
  <c r="C6445"/>
  <c r="C6446"/>
  <c r="C6447"/>
  <c r="C6448"/>
  <c r="C6449"/>
  <c r="C6450"/>
  <c r="C6451"/>
  <c r="C6452"/>
  <c r="C6453"/>
  <c r="C6454"/>
  <c r="C6455"/>
  <c r="C6456"/>
  <c r="C6457"/>
  <c r="C6458"/>
  <c r="C6459"/>
  <c r="C6460"/>
  <c r="C6461"/>
  <c r="C6462"/>
  <c r="C6463"/>
  <c r="C6464"/>
  <c r="C6465"/>
  <c r="C6466"/>
  <c r="C6467"/>
  <c r="C6468"/>
  <c r="C6469"/>
  <c r="C6470"/>
  <c r="C6471"/>
  <c r="C6472"/>
  <c r="C6473"/>
  <c r="C6474"/>
  <c r="C6475"/>
  <c r="C6476"/>
  <c r="C6477"/>
  <c r="C6478"/>
  <c r="C6479"/>
  <c r="C6480"/>
  <c r="C6481"/>
  <c r="C6482"/>
  <c r="C6483"/>
  <c r="C6484"/>
  <c r="C6485"/>
  <c r="C6486"/>
  <c r="C6487"/>
  <c r="C6488"/>
  <c r="C6489"/>
  <c r="C6490"/>
  <c r="C6491"/>
  <c r="C6492"/>
  <c r="C6493"/>
  <c r="C6494"/>
  <c r="C6495"/>
  <c r="C6496"/>
  <c r="C6497"/>
  <c r="C6498"/>
  <c r="C6499"/>
  <c r="C6500"/>
  <c r="C6501"/>
  <c r="C6502"/>
  <c r="C6503"/>
  <c r="C6504"/>
  <c r="C6505"/>
  <c r="C6506"/>
  <c r="C6507"/>
  <c r="C6508"/>
  <c r="C6509"/>
  <c r="C6510"/>
  <c r="C6511"/>
  <c r="C6512"/>
  <c r="C6513"/>
  <c r="C6514"/>
  <c r="C6515"/>
  <c r="C6516"/>
  <c r="C6517"/>
  <c r="C6518"/>
  <c r="C6519"/>
  <c r="C6520"/>
  <c r="C6521"/>
  <c r="C6522"/>
  <c r="C6523"/>
  <c r="C6524"/>
  <c r="C6525"/>
  <c r="C6526"/>
  <c r="C6527"/>
  <c r="C6528"/>
  <c r="C6529"/>
  <c r="C6530"/>
  <c r="C6531"/>
  <c r="C6532"/>
  <c r="C6533"/>
  <c r="C6534"/>
  <c r="C6535"/>
  <c r="C6536"/>
  <c r="C6537"/>
  <c r="C6538"/>
  <c r="C6539"/>
  <c r="C6540"/>
  <c r="C6541"/>
  <c r="C6542"/>
  <c r="C6543"/>
  <c r="C6544"/>
  <c r="C6545"/>
  <c r="C6546"/>
  <c r="C6547"/>
  <c r="C6548"/>
  <c r="C6549"/>
  <c r="C6550"/>
  <c r="C6551"/>
  <c r="C6552"/>
  <c r="C6553"/>
  <c r="C6554"/>
  <c r="C6555"/>
  <c r="C6556"/>
  <c r="C6557"/>
  <c r="C6558"/>
  <c r="C6559"/>
  <c r="C6560"/>
  <c r="C6561"/>
  <c r="C6562"/>
  <c r="C6563"/>
  <c r="C6564"/>
  <c r="C6565"/>
  <c r="C6566"/>
  <c r="C6567"/>
  <c r="C6568"/>
  <c r="C6569"/>
  <c r="C6570"/>
  <c r="C6571"/>
  <c r="C6572"/>
  <c r="C6573"/>
  <c r="C6574"/>
  <c r="C6575"/>
  <c r="C6576"/>
  <c r="C6577"/>
  <c r="C6578"/>
  <c r="C6579"/>
  <c r="C6580"/>
  <c r="C6581"/>
  <c r="C6582"/>
  <c r="C6583"/>
  <c r="C6584"/>
  <c r="C6585"/>
  <c r="C6586"/>
  <c r="C6587"/>
  <c r="C6588"/>
  <c r="C6589"/>
  <c r="C6590"/>
  <c r="C6591"/>
  <c r="C6592"/>
  <c r="C6593"/>
  <c r="C6594"/>
  <c r="C6595"/>
  <c r="C6596"/>
  <c r="C6597"/>
  <c r="C6598"/>
  <c r="C6599"/>
  <c r="C6600"/>
  <c r="C6601"/>
  <c r="C6602"/>
  <c r="C6603"/>
  <c r="C6604"/>
  <c r="C6605"/>
  <c r="C6606"/>
  <c r="C6607"/>
  <c r="C6608"/>
  <c r="C6609"/>
  <c r="C6610"/>
  <c r="C6611"/>
  <c r="C6612"/>
  <c r="C6613"/>
  <c r="C6614"/>
  <c r="C6615"/>
  <c r="C6616"/>
  <c r="C6617"/>
  <c r="C6618"/>
  <c r="C6619"/>
  <c r="C6620"/>
  <c r="C6621"/>
  <c r="C6622"/>
  <c r="C6623"/>
  <c r="C6624"/>
  <c r="C6625"/>
  <c r="C6626"/>
  <c r="C6627"/>
  <c r="C6628"/>
  <c r="C6629"/>
  <c r="C6630"/>
  <c r="C6631"/>
  <c r="C6632"/>
  <c r="C6633"/>
  <c r="C6634"/>
  <c r="C6635"/>
  <c r="C6636"/>
  <c r="C6637"/>
  <c r="C6638"/>
  <c r="C6639"/>
  <c r="C6640"/>
  <c r="C6641"/>
  <c r="C6642"/>
  <c r="C6643"/>
  <c r="C6644"/>
  <c r="C6645"/>
  <c r="C6646"/>
  <c r="C6647"/>
  <c r="C6648"/>
  <c r="C6649"/>
  <c r="C6650"/>
  <c r="C6651"/>
  <c r="C6652"/>
  <c r="C6653"/>
  <c r="C6654"/>
  <c r="C6655"/>
  <c r="C6656"/>
  <c r="C6657"/>
  <c r="C6658"/>
  <c r="C6659"/>
  <c r="C6660"/>
  <c r="C6661"/>
  <c r="C6662"/>
  <c r="C6663"/>
  <c r="C6664"/>
  <c r="C6665"/>
  <c r="C6666"/>
  <c r="C6667"/>
  <c r="C6668"/>
  <c r="C6669"/>
  <c r="E6669" s="1"/>
  <c r="C6670"/>
  <c r="C6671"/>
  <c r="C6672"/>
  <c r="C6673"/>
  <c r="C6674"/>
  <c r="C6675"/>
  <c r="C6676"/>
  <c r="C6677"/>
  <c r="C6678"/>
  <c r="C6679"/>
  <c r="C6680"/>
  <c r="C6681"/>
  <c r="C6682"/>
  <c r="C6683"/>
  <c r="C6684"/>
  <c r="C6685"/>
  <c r="C6686"/>
  <c r="C6687"/>
  <c r="C6688"/>
  <c r="C6689"/>
  <c r="C6690"/>
  <c r="C6691"/>
  <c r="C6692"/>
  <c r="C6693"/>
  <c r="C6694"/>
  <c r="C6695"/>
  <c r="C6696"/>
  <c r="C6697"/>
  <c r="C6698"/>
  <c r="C6699"/>
  <c r="C6700"/>
  <c r="C6701"/>
  <c r="C6702"/>
  <c r="C6703"/>
  <c r="C6704"/>
  <c r="C6705"/>
  <c r="C6706"/>
  <c r="C6707"/>
  <c r="C6708"/>
  <c r="C6709"/>
  <c r="C6710"/>
  <c r="C6711"/>
  <c r="C6712"/>
  <c r="C6713"/>
  <c r="C6714"/>
  <c r="C6715"/>
  <c r="C6716"/>
  <c r="C6717"/>
  <c r="E6717" s="1"/>
  <c r="C6718"/>
  <c r="C6719"/>
  <c r="C6720"/>
  <c r="C6721"/>
  <c r="C6722"/>
  <c r="C6723"/>
  <c r="C6724"/>
  <c r="C6725"/>
  <c r="C6726"/>
  <c r="C6727"/>
  <c r="C6728"/>
  <c r="C6729"/>
  <c r="C6730"/>
  <c r="C6731"/>
  <c r="C6732"/>
  <c r="C6733"/>
  <c r="C6734"/>
  <c r="C6735"/>
  <c r="C6736"/>
  <c r="C6737"/>
  <c r="C6738"/>
  <c r="C6739"/>
  <c r="C6740"/>
  <c r="C6741"/>
  <c r="C6742"/>
  <c r="C6743"/>
  <c r="C6744"/>
  <c r="C6745"/>
  <c r="C6746"/>
  <c r="C6747"/>
  <c r="C6748"/>
  <c r="C6749"/>
  <c r="C6750"/>
  <c r="C6751"/>
  <c r="C6752"/>
  <c r="C6753"/>
  <c r="C6754"/>
  <c r="C6755"/>
  <c r="C6756"/>
  <c r="C6757"/>
  <c r="C6758"/>
  <c r="C6759"/>
  <c r="C6760"/>
  <c r="C6761"/>
  <c r="C6762"/>
  <c r="C6763"/>
  <c r="C6764"/>
  <c r="C6765"/>
  <c r="C6766"/>
  <c r="C6767"/>
  <c r="C6768"/>
  <c r="C6769"/>
  <c r="C6770"/>
  <c r="C6771"/>
  <c r="C6772"/>
  <c r="C6773"/>
  <c r="C6774"/>
  <c r="C6775"/>
  <c r="C6776"/>
  <c r="C6777"/>
  <c r="C6778"/>
  <c r="C6779"/>
  <c r="C6780"/>
  <c r="C6781"/>
  <c r="C6782"/>
  <c r="C6783"/>
  <c r="C6784"/>
  <c r="C6785"/>
  <c r="C6786"/>
  <c r="C6787"/>
  <c r="C6788"/>
  <c r="C6789"/>
  <c r="C6790"/>
  <c r="C6791"/>
  <c r="C6792"/>
  <c r="C6793"/>
  <c r="C6794"/>
  <c r="C6795"/>
  <c r="C6796"/>
  <c r="C6797"/>
  <c r="C6798"/>
  <c r="C6799"/>
  <c r="C6800"/>
  <c r="C6801"/>
  <c r="C6802"/>
  <c r="C6803"/>
  <c r="C6804"/>
  <c r="C6805"/>
  <c r="C6806"/>
  <c r="C6807"/>
  <c r="C6808"/>
  <c r="C6809"/>
  <c r="C6810"/>
  <c r="C6811"/>
  <c r="C6812"/>
  <c r="C6813"/>
  <c r="C6814"/>
  <c r="C6815"/>
  <c r="C6816"/>
  <c r="C6817"/>
  <c r="C6818"/>
  <c r="C6819"/>
  <c r="C6820"/>
  <c r="C6821"/>
  <c r="C6822"/>
  <c r="C6823"/>
  <c r="C6824"/>
  <c r="C6825"/>
  <c r="C6826"/>
  <c r="C6827"/>
  <c r="C6828"/>
  <c r="C6829"/>
  <c r="C6830"/>
  <c r="C6831"/>
  <c r="C6832"/>
  <c r="C6833"/>
  <c r="C6834"/>
  <c r="C6835"/>
  <c r="C6836"/>
  <c r="C6837"/>
  <c r="C6838"/>
  <c r="C6839"/>
  <c r="C6840"/>
  <c r="C6841"/>
  <c r="C6842"/>
  <c r="C6843"/>
  <c r="C6844"/>
  <c r="C6845"/>
  <c r="C6846"/>
  <c r="C6847"/>
  <c r="C6848"/>
  <c r="C6849"/>
  <c r="C6850"/>
  <c r="C6851"/>
  <c r="C6852"/>
  <c r="C6853"/>
  <c r="C6854"/>
  <c r="C6855"/>
  <c r="C6856"/>
  <c r="C6857"/>
  <c r="C6858"/>
  <c r="C6859"/>
  <c r="C6860"/>
  <c r="C6861"/>
  <c r="C6862"/>
  <c r="C6863"/>
  <c r="C6864"/>
  <c r="C6865"/>
  <c r="C6866"/>
  <c r="C6867"/>
  <c r="C6868"/>
  <c r="C6869"/>
  <c r="C6870"/>
  <c r="C6871"/>
  <c r="C6872"/>
  <c r="C6873"/>
  <c r="C6874"/>
  <c r="C6875"/>
  <c r="C6876"/>
  <c r="C6877"/>
  <c r="C6878"/>
  <c r="C6879"/>
  <c r="C6880"/>
  <c r="C6881"/>
  <c r="C6882"/>
  <c r="C6883"/>
  <c r="C6884"/>
  <c r="C6885"/>
  <c r="C6886"/>
  <c r="C6887"/>
  <c r="C6888"/>
  <c r="C6889"/>
  <c r="C6890"/>
  <c r="C6891"/>
  <c r="C6892"/>
  <c r="C6893"/>
  <c r="C6894"/>
  <c r="C6895"/>
  <c r="C6896"/>
  <c r="C6897"/>
  <c r="C6898"/>
  <c r="C6899"/>
  <c r="C6900"/>
  <c r="C6901"/>
  <c r="C6902"/>
  <c r="C6903"/>
  <c r="C6904"/>
  <c r="C6905"/>
  <c r="C6906"/>
  <c r="C6907"/>
  <c r="C6908"/>
  <c r="C6909"/>
  <c r="C6910"/>
  <c r="C6911"/>
  <c r="C6912"/>
  <c r="C6913"/>
  <c r="C6914"/>
  <c r="C6915"/>
  <c r="C6916"/>
  <c r="C6917"/>
  <c r="C6918"/>
  <c r="C6919"/>
  <c r="C6920"/>
  <c r="C6921"/>
  <c r="C6922"/>
  <c r="C6923"/>
  <c r="C6924"/>
  <c r="C6925"/>
  <c r="C6926"/>
  <c r="C6927"/>
  <c r="C6928"/>
  <c r="C6929"/>
  <c r="C6930"/>
  <c r="C6931"/>
  <c r="C6932"/>
  <c r="C6933"/>
  <c r="C6934"/>
  <c r="C6935"/>
  <c r="C6936"/>
  <c r="C6937"/>
  <c r="C6938"/>
  <c r="C6939"/>
  <c r="C6940"/>
  <c r="C6941"/>
  <c r="C6942"/>
  <c r="C6943"/>
  <c r="C6944"/>
  <c r="C6945"/>
  <c r="C6946"/>
  <c r="C6947"/>
  <c r="C6948"/>
  <c r="C6949"/>
  <c r="C6950"/>
  <c r="C6951"/>
  <c r="C6952"/>
  <c r="C6953"/>
  <c r="C6954"/>
  <c r="C6955"/>
  <c r="C6956"/>
  <c r="C6957"/>
  <c r="C6958"/>
  <c r="C6959"/>
  <c r="C6960"/>
  <c r="C6961"/>
  <c r="C6962"/>
  <c r="C6963"/>
  <c r="C6964"/>
  <c r="C6965"/>
  <c r="C6966"/>
  <c r="C6967"/>
  <c r="C6968"/>
  <c r="C6969"/>
  <c r="C6970"/>
  <c r="C6971"/>
  <c r="C6972"/>
  <c r="C6973"/>
  <c r="C6974"/>
  <c r="C6975"/>
  <c r="C6976"/>
  <c r="C6977"/>
  <c r="C6978"/>
  <c r="C6979"/>
  <c r="C6980"/>
  <c r="C6981"/>
  <c r="C6982"/>
  <c r="C6983"/>
  <c r="C6984"/>
  <c r="C6985"/>
  <c r="C6986"/>
  <c r="C6987"/>
  <c r="C6988"/>
  <c r="C6989"/>
  <c r="C6990"/>
  <c r="C6991"/>
  <c r="C6992"/>
  <c r="C6993"/>
  <c r="C6994"/>
  <c r="C6995"/>
  <c r="C6996"/>
  <c r="C6997"/>
  <c r="C6998"/>
  <c r="C6999"/>
  <c r="C7000"/>
  <c r="C7001"/>
  <c r="C7002"/>
  <c r="C7003"/>
  <c r="C7004"/>
  <c r="C7005"/>
  <c r="C7006"/>
  <c r="C7007"/>
  <c r="C7008"/>
  <c r="C7009"/>
  <c r="C7010"/>
  <c r="C7011"/>
  <c r="C7012"/>
  <c r="C7013"/>
  <c r="C7014"/>
  <c r="C7015"/>
  <c r="C7016"/>
  <c r="C7017"/>
  <c r="C7018"/>
  <c r="C7019"/>
  <c r="C7020"/>
  <c r="C7021"/>
  <c r="C7022"/>
  <c r="C7023"/>
  <c r="C7024"/>
  <c r="C7025"/>
  <c r="C7026"/>
  <c r="C7027"/>
  <c r="C7028"/>
  <c r="C7029"/>
  <c r="C7030"/>
  <c r="C7031"/>
  <c r="C7032"/>
  <c r="C7033"/>
  <c r="C7034"/>
  <c r="C7035"/>
  <c r="C7036"/>
  <c r="C7037"/>
  <c r="C7038"/>
  <c r="C7039"/>
  <c r="C7040"/>
  <c r="C7041"/>
  <c r="C7042"/>
  <c r="C7043"/>
  <c r="C7044"/>
  <c r="C7045"/>
  <c r="C7046"/>
  <c r="C7047"/>
  <c r="C7048"/>
  <c r="C7049"/>
  <c r="C7050"/>
  <c r="C7051"/>
  <c r="C7052"/>
  <c r="C7053"/>
  <c r="C7054"/>
  <c r="C7055"/>
  <c r="C7056"/>
  <c r="C7057"/>
  <c r="C7058"/>
  <c r="C7059"/>
  <c r="C7060"/>
  <c r="C7061"/>
  <c r="C7062"/>
  <c r="C7063"/>
  <c r="C7064"/>
  <c r="C7065"/>
  <c r="C7066"/>
  <c r="C7067"/>
  <c r="C7068"/>
  <c r="C7069"/>
  <c r="C7070"/>
  <c r="C7071"/>
  <c r="C7072"/>
  <c r="C7073"/>
  <c r="C7074"/>
  <c r="C7075"/>
  <c r="C7076"/>
  <c r="C7077"/>
  <c r="C7078"/>
  <c r="C7079"/>
  <c r="C7080"/>
  <c r="C7081"/>
  <c r="C7082"/>
  <c r="C7083"/>
  <c r="C7084"/>
  <c r="C7085"/>
  <c r="C7086"/>
  <c r="C7087"/>
  <c r="C7088"/>
  <c r="C7089"/>
  <c r="C7090"/>
  <c r="C7091"/>
  <c r="C7092"/>
  <c r="C7093"/>
  <c r="C7094"/>
  <c r="C7095"/>
  <c r="C7096"/>
  <c r="C7097"/>
  <c r="C7098"/>
  <c r="C7099"/>
  <c r="C7100"/>
  <c r="C7101"/>
  <c r="C7102"/>
  <c r="C7103"/>
  <c r="C7104"/>
  <c r="C7105"/>
  <c r="C7106"/>
  <c r="C7107"/>
  <c r="C7108"/>
  <c r="C7109"/>
  <c r="C7110"/>
  <c r="C7111"/>
  <c r="C7112"/>
  <c r="C7113"/>
  <c r="C7114"/>
  <c r="C7115"/>
  <c r="C7116"/>
  <c r="C7117"/>
  <c r="C7118"/>
  <c r="C7119"/>
  <c r="C7120"/>
  <c r="C7121"/>
  <c r="C7122"/>
  <c r="C7123"/>
  <c r="C7124"/>
  <c r="C7125"/>
  <c r="C7126"/>
  <c r="C7127"/>
  <c r="C7128"/>
  <c r="C7129"/>
  <c r="C7130"/>
  <c r="C7131"/>
  <c r="C7132"/>
  <c r="C7133"/>
  <c r="C7134"/>
  <c r="C7135"/>
  <c r="C7136"/>
  <c r="C7137"/>
  <c r="C7138"/>
  <c r="C7139"/>
  <c r="C7140"/>
  <c r="C7141"/>
  <c r="C7142"/>
  <c r="C7143"/>
  <c r="C7144"/>
  <c r="C7145"/>
  <c r="C7146"/>
  <c r="C7147"/>
  <c r="C7148"/>
  <c r="C7149"/>
  <c r="C7150"/>
  <c r="C7151"/>
  <c r="C7152"/>
  <c r="C7153"/>
  <c r="C7154"/>
  <c r="C7155"/>
  <c r="C7156"/>
  <c r="C7157"/>
  <c r="C7158"/>
  <c r="C7159"/>
  <c r="C7160"/>
  <c r="C7161"/>
  <c r="C7162"/>
  <c r="C7163"/>
  <c r="C7164"/>
  <c r="C7165"/>
  <c r="C7166"/>
  <c r="C7167"/>
  <c r="C7168"/>
  <c r="C7169"/>
  <c r="C7170"/>
  <c r="C7171"/>
  <c r="C7172"/>
  <c r="C7173"/>
  <c r="C7174"/>
  <c r="C7175"/>
  <c r="C7176"/>
  <c r="C7177"/>
  <c r="C7178"/>
  <c r="C7179"/>
  <c r="C7180"/>
  <c r="C7181"/>
  <c r="C7182"/>
  <c r="C7183"/>
  <c r="C7184"/>
  <c r="C7185"/>
  <c r="C7186"/>
  <c r="C7187"/>
  <c r="C7188"/>
  <c r="C7189"/>
  <c r="C7190"/>
  <c r="C7191"/>
  <c r="C7192"/>
  <c r="C7193"/>
  <c r="C7194"/>
  <c r="C7195"/>
  <c r="C7196"/>
  <c r="C7197"/>
  <c r="C7198"/>
  <c r="C7199"/>
  <c r="C7200"/>
  <c r="C7201"/>
  <c r="C7202"/>
  <c r="C7203"/>
  <c r="C7204"/>
  <c r="C7205"/>
  <c r="C7206"/>
  <c r="C7207"/>
  <c r="C7208"/>
  <c r="C7209"/>
  <c r="C7210"/>
  <c r="C7211"/>
  <c r="C7212"/>
  <c r="C7213"/>
  <c r="C7214"/>
  <c r="C7215"/>
  <c r="C7216"/>
  <c r="C7217"/>
  <c r="C7218"/>
  <c r="C7219"/>
  <c r="C7220"/>
  <c r="C7221"/>
  <c r="C7222"/>
  <c r="C7223"/>
  <c r="C7224"/>
  <c r="C7225"/>
  <c r="C7226"/>
  <c r="C7227"/>
  <c r="C7228"/>
  <c r="C7229"/>
  <c r="C7230"/>
  <c r="C7231"/>
  <c r="C7232"/>
  <c r="C7233"/>
  <c r="C7234"/>
  <c r="C7235"/>
  <c r="C7236"/>
  <c r="C7237"/>
  <c r="C7238"/>
  <c r="C7239"/>
  <c r="C7240"/>
  <c r="C7241"/>
  <c r="C7242"/>
  <c r="C7243"/>
  <c r="C7244"/>
  <c r="C7245"/>
  <c r="E7245" s="1"/>
  <c r="C7246"/>
  <c r="C7247"/>
  <c r="C7248"/>
  <c r="C7249"/>
  <c r="C7250"/>
  <c r="C7251"/>
  <c r="C7252"/>
  <c r="C7253"/>
  <c r="C7254"/>
  <c r="C7255"/>
  <c r="C7256"/>
  <c r="C7257"/>
  <c r="C7258"/>
  <c r="C7259"/>
  <c r="C7260"/>
  <c r="C7261"/>
  <c r="C7262"/>
  <c r="C7263"/>
  <c r="C7264"/>
  <c r="C7265"/>
  <c r="C7266"/>
  <c r="C7267"/>
  <c r="C7268"/>
  <c r="C7269"/>
  <c r="C7270"/>
  <c r="C7271"/>
  <c r="C7272"/>
  <c r="C7273"/>
  <c r="C7274"/>
  <c r="C7275"/>
  <c r="C7276"/>
  <c r="C7277"/>
  <c r="C7278"/>
  <c r="C7279"/>
  <c r="C7280"/>
  <c r="C7281"/>
  <c r="C7282"/>
  <c r="C7283"/>
  <c r="C7284"/>
  <c r="C7285"/>
  <c r="C7286"/>
  <c r="C7287"/>
  <c r="C7288"/>
  <c r="C7289"/>
  <c r="C7290"/>
  <c r="C7291"/>
  <c r="C7292"/>
  <c r="C7293"/>
  <c r="E7293" s="1"/>
  <c r="C7294"/>
  <c r="C7295"/>
  <c r="C7296"/>
  <c r="C7297"/>
  <c r="C7298"/>
  <c r="C7299"/>
  <c r="C7300"/>
  <c r="C7301"/>
  <c r="C7302"/>
  <c r="C7303"/>
  <c r="C7304"/>
  <c r="C7305"/>
  <c r="C7306"/>
  <c r="C7307"/>
  <c r="C7308"/>
  <c r="C7309"/>
  <c r="C7310"/>
  <c r="C7311"/>
  <c r="C7312"/>
  <c r="C7313"/>
  <c r="C7314"/>
  <c r="C7315"/>
  <c r="C7316"/>
  <c r="C7317"/>
  <c r="C7318"/>
  <c r="C7319"/>
  <c r="C7320"/>
  <c r="C7321"/>
  <c r="C7322"/>
  <c r="C7323"/>
  <c r="C7324"/>
  <c r="C7325"/>
  <c r="C7326"/>
  <c r="C7327"/>
  <c r="C7328"/>
  <c r="C7329"/>
  <c r="C7330"/>
  <c r="C7331"/>
  <c r="C7332"/>
  <c r="C7333"/>
  <c r="C7334"/>
  <c r="C7335"/>
  <c r="C7336"/>
  <c r="C7337"/>
  <c r="C7338"/>
  <c r="C7339"/>
  <c r="C7340"/>
  <c r="C7341"/>
  <c r="C7342"/>
  <c r="C7343"/>
  <c r="C7344"/>
  <c r="C7345"/>
  <c r="C7346"/>
  <c r="C7347"/>
  <c r="C7348"/>
  <c r="C7349"/>
  <c r="C7350"/>
  <c r="C7351"/>
  <c r="C7352"/>
  <c r="C7353"/>
  <c r="C7354"/>
  <c r="C7355"/>
  <c r="C7356"/>
  <c r="C7357"/>
  <c r="C7358"/>
  <c r="C7359"/>
  <c r="C7360"/>
  <c r="C7361"/>
  <c r="C7362"/>
  <c r="C7363"/>
  <c r="C7364"/>
  <c r="C7365"/>
  <c r="C7366"/>
  <c r="C7367"/>
  <c r="C7368"/>
  <c r="C7369"/>
  <c r="C7370"/>
  <c r="C7371"/>
  <c r="C7372"/>
  <c r="C7373"/>
  <c r="C7374"/>
  <c r="C7375"/>
  <c r="C7376"/>
  <c r="C7377"/>
  <c r="C7378"/>
  <c r="C7379"/>
  <c r="C7380"/>
  <c r="C7381"/>
  <c r="C7382"/>
  <c r="C7383"/>
  <c r="C7384"/>
  <c r="C7385"/>
  <c r="C7386"/>
  <c r="C7387"/>
  <c r="C7388"/>
  <c r="C7389"/>
  <c r="C7390"/>
  <c r="C7391"/>
  <c r="C7392"/>
  <c r="C7393"/>
  <c r="C7394"/>
  <c r="C7395"/>
  <c r="C7396"/>
  <c r="C7397"/>
  <c r="C7398"/>
  <c r="C7399"/>
  <c r="C7400"/>
  <c r="C7401"/>
  <c r="C7402"/>
  <c r="C7403"/>
  <c r="C7404"/>
  <c r="C7405"/>
  <c r="C7406"/>
  <c r="C7407"/>
  <c r="C7408"/>
  <c r="C7409"/>
  <c r="C7410"/>
  <c r="C7411"/>
  <c r="C7412"/>
  <c r="C7413"/>
  <c r="C7414"/>
  <c r="C7415"/>
  <c r="C7416"/>
  <c r="C7417"/>
  <c r="C7418"/>
  <c r="C7419"/>
  <c r="C7420"/>
  <c r="C7421"/>
  <c r="C7422"/>
  <c r="C7423"/>
  <c r="C7424"/>
  <c r="C7425"/>
  <c r="C7426"/>
  <c r="C7427"/>
  <c r="C7428"/>
  <c r="C7429"/>
  <c r="C7430"/>
  <c r="C7431"/>
  <c r="C7432"/>
  <c r="C7433"/>
  <c r="C7434"/>
  <c r="C7435"/>
  <c r="C7436"/>
  <c r="C7437"/>
  <c r="C7438"/>
  <c r="C7439"/>
  <c r="C7440"/>
  <c r="C7441"/>
  <c r="C7442"/>
  <c r="C7443"/>
  <c r="C7444"/>
  <c r="C7445"/>
  <c r="C7446"/>
  <c r="C7447"/>
  <c r="C7448"/>
  <c r="C7449"/>
  <c r="C7450"/>
  <c r="C7451"/>
  <c r="C7452"/>
  <c r="C7453"/>
  <c r="C7454"/>
  <c r="C7455"/>
  <c r="C7456"/>
  <c r="C7457"/>
  <c r="C7458"/>
  <c r="C7459"/>
  <c r="C7460"/>
  <c r="C7461"/>
  <c r="C7462"/>
  <c r="C7463"/>
  <c r="C7464"/>
  <c r="C7465"/>
  <c r="C7466"/>
  <c r="C7467"/>
  <c r="C7468"/>
  <c r="C7469"/>
  <c r="C7470"/>
  <c r="C7471"/>
  <c r="C7472"/>
  <c r="C7473"/>
  <c r="C7474"/>
  <c r="C7475"/>
  <c r="C7476"/>
  <c r="C7477"/>
  <c r="C7478"/>
  <c r="C7479"/>
  <c r="C7480"/>
  <c r="C7481"/>
  <c r="C7482"/>
  <c r="C7483"/>
  <c r="C7484"/>
  <c r="C7485"/>
  <c r="C7486"/>
  <c r="C7487"/>
  <c r="C7488"/>
  <c r="C7489"/>
  <c r="C7490"/>
  <c r="C7491"/>
  <c r="C7492"/>
  <c r="C7493"/>
  <c r="C7494"/>
  <c r="C7495"/>
  <c r="C7496"/>
  <c r="C7497"/>
  <c r="C7498"/>
  <c r="C7499"/>
  <c r="C7500"/>
  <c r="C7501"/>
  <c r="C7502"/>
  <c r="C7503"/>
  <c r="C7504"/>
  <c r="C7505"/>
  <c r="C7506"/>
  <c r="C7507"/>
  <c r="C7508"/>
  <c r="C7509"/>
  <c r="C7510"/>
  <c r="C7511"/>
  <c r="C7512"/>
  <c r="C7513"/>
  <c r="C7514"/>
  <c r="C7515"/>
  <c r="C7516"/>
  <c r="C7517"/>
  <c r="C7518"/>
  <c r="C7519"/>
  <c r="C7520"/>
  <c r="C7521"/>
  <c r="C7522"/>
  <c r="C7523"/>
  <c r="C7524"/>
  <c r="C7525"/>
  <c r="C7526"/>
  <c r="C7527"/>
  <c r="C7528"/>
  <c r="C7529"/>
  <c r="C7530"/>
  <c r="C7531"/>
  <c r="C7532"/>
  <c r="C7533"/>
  <c r="C7534"/>
  <c r="C7535"/>
  <c r="C7536"/>
  <c r="C7537"/>
  <c r="C7538"/>
  <c r="C7539"/>
  <c r="C7540"/>
  <c r="C7541"/>
  <c r="C7542"/>
  <c r="C7543"/>
  <c r="C7544"/>
  <c r="C7545"/>
  <c r="C7546"/>
  <c r="C7547"/>
  <c r="C7548"/>
  <c r="C7549"/>
  <c r="C7550"/>
  <c r="C7551"/>
  <c r="C7552"/>
  <c r="C7553"/>
  <c r="C7554"/>
  <c r="C7555"/>
  <c r="C7556"/>
  <c r="C7557"/>
  <c r="C7558"/>
  <c r="C7559"/>
  <c r="C7560"/>
  <c r="C7561"/>
  <c r="C7562"/>
  <c r="C7563"/>
  <c r="C7564"/>
  <c r="C7565"/>
  <c r="C7566"/>
  <c r="C7567"/>
  <c r="C7568"/>
  <c r="C7569"/>
  <c r="C7570"/>
  <c r="C7571"/>
  <c r="C7572"/>
  <c r="C7573"/>
  <c r="C7574"/>
  <c r="C7575"/>
  <c r="C7576"/>
  <c r="C7577"/>
  <c r="C7578"/>
  <c r="C7579"/>
  <c r="C7580"/>
  <c r="C7581"/>
  <c r="C7582"/>
  <c r="C7583"/>
  <c r="C7584"/>
  <c r="C7585"/>
  <c r="C7586"/>
  <c r="C7587"/>
  <c r="C7588"/>
  <c r="C7589"/>
  <c r="C7590"/>
  <c r="C7591"/>
  <c r="C7592"/>
  <c r="C7593"/>
  <c r="C7594"/>
  <c r="C7595"/>
  <c r="C7596"/>
  <c r="C7597"/>
  <c r="C7598"/>
  <c r="C7599"/>
  <c r="C7600"/>
  <c r="C7601"/>
  <c r="C7602"/>
  <c r="C7603"/>
  <c r="C7604"/>
  <c r="C7605"/>
  <c r="C7606"/>
  <c r="C7607"/>
  <c r="C7608"/>
  <c r="C7609"/>
  <c r="C7610"/>
  <c r="C7611"/>
  <c r="C7612"/>
  <c r="C7613"/>
  <c r="C7614"/>
  <c r="C7615"/>
  <c r="C7616"/>
  <c r="C7617"/>
  <c r="C7618"/>
  <c r="C7619"/>
  <c r="C7620"/>
  <c r="C7621"/>
  <c r="C7622"/>
  <c r="C7623"/>
  <c r="C7624"/>
  <c r="C7625"/>
  <c r="C7626"/>
  <c r="C7627"/>
  <c r="C7628"/>
  <c r="C7629"/>
  <c r="C7630"/>
  <c r="C7631"/>
  <c r="C7632"/>
  <c r="C7633"/>
  <c r="C7634"/>
  <c r="C7635"/>
  <c r="C7636"/>
  <c r="C7637"/>
  <c r="C7638"/>
  <c r="C7639"/>
  <c r="C7640"/>
  <c r="C7641"/>
  <c r="C7642"/>
  <c r="C7643"/>
  <c r="C7644"/>
  <c r="C7645"/>
  <c r="C7646"/>
  <c r="C7647"/>
  <c r="C7648"/>
  <c r="C7649"/>
  <c r="C7650"/>
  <c r="C7651"/>
  <c r="C7652"/>
  <c r="C7653"/>
  <c r="C7654"/>
  <c r="C7655"/>
  <c r="C7656"/>
  <c r="C7657"/>
  <c r="C7658"/>
  <c r="C7659"/>
  <c r="C7660"/>
  <c r="C7661"/>
  <c r="C7662"/>
  <c r="C7663"/>
  <c r="C7664"/>
  <c r="C7665"/>
  <c r="C7666"/>
  <c r="C7667"/>
  <c r="C7668"/>
  <c r="C7669"/>
  <c r="C7670"/>
  <c r="C7671"/>
  <c r="C7672"/>
  <c r="C7673"/>
  <c r="C7674"/>
  <c r="C7675"/>
  <c r="C7676"/>
  <c r="C7677"/>
  <c r="C7678"/>
  <c r="C7679"/>
  <c r="C7680"/>
  <c r="C7681"/>
  <c r="C7682"/>
  <c r="C7683"/>
  <c r="C7684"/>
  <c r="C7685"/>
  <c r="C7686"/>
  <c r="C7687"/>
  <c r="C7688"/>
  <c r="C7689"/>
  <c r="C7690"/>
  <c r="C7691"/>
  <c r="C7692"/>
  <c r="C7693"/>
  <c r="C7694"/>
  <c r="C7695"/>
  <c r="C7696"/>
  <c r="C7697"/>
  <c r="C7698"/>
  <c r="C7699"/>
  <c r="C7700"/>
  <c r="C7701"/>
  <c r="C7702"/>
  <c r="C7703"/>
  <c r="C7704"/>
  <c r="C7705"/>
  <c r="C7706"/>
  <c r="C7707"/>
  <c r="C7708"/>
  <c r="C7709"/>
  <c r="C7710"/>
  <c r="C7711"/>
  <c r="C7712"/>
  <c r="C7713"/>
  <c r="C7714"/>
  <c r="C7715"/>
  <c r="C7716"/>
  <c r="C7717"/>
  <c r="C7718"/>
  <c r="C7719"/>
  <c r="C7720"/>
  <c r="C7721"/>
  <c r="C7722"/>
  <c r="C7723"/>
  <c r="C7724"/>
  <c r="C7725"/>
  <c r="C7726"/>
  <c r="C7727"/>
  <c r="C7728"/>
  <c r="C7729"/>
  <c r="C7730"/>
  <c r="C7731"/>
  <c r="C7732"/>
  <c r="C7733"/>
  <c r="C7734"/>
  <c r="C7735"/>
  <c r="C7736"/>
  <c r="C7737"/>
  <c r="C7738"/>
  <c r="C7739"/>
  <c r="C7740"/>
  <c r="C7741"/>
  <c r="C7742"/>
  <c r="C7743"/>
  <c r="C7744"/>
  <c r="C7745"/>
  <c r="C7746"/>
  <c r="C7747"/>
  <c r="C7748"/>
  <c r="C7749"/>
  <c r="C7750"/>
  <c r="C7751"/>
  <c r="C7752"/>
  <c r="C7753"/>
  <c r="C7754"/>
  <c r="C7755"/>
  <c r="C7756"/>
  <c r="C7757"/>
  <c r="C7758"/>
  <c r="C7759"/>
  <c r="C7760"/>
  <c r="C7761"/>
  <c r="C7762"/>
  <c r="C7763"/>
  <c r="C7764"/>
  <c r="C7765"/>
  <c r="C7766"/>
  <c r="C7767"/>
  <c r="C7768"/>
  <c r="C7769"/>
  <c r="C7770"/>
  <c r="C7771"/>
  <c r="C7772"/>
  <c r="C7773"/>
  <c r="C7774"/>
  <c r="C7775"/>
  <c r="C7776"/>
  <c r="C7777"/>
  <c r="C7778"/>
  <c r="C7779"/>
  <c r="C7780"/>
  <c r="C7781"/>
  <c r="C7782"/>
  <c r="C7783"/>
  <c r="C7784"/>
  <c r="C7785"/>
  <c r="C7786"/>
  <c r="C7787"/>
  <c r="C7788"/>
  <c r="C7789"/>
  <c r="C7790"/>
  <c r="C7791"/>
  <c r="C7792"/>
  <c r="C7793"/>
  <c r="C7794"/>
  <c r="C7795"/>
  <c r="C7796"/>
  <c r="C7797"/>
  <c r="C7798"/>
  <c r="C7799"/>
  <c r="C7800"/>
  <c r="C7801"/>
  <c r="C7802"/>
  <c r="C7803"/>
  <c r="C7804"/>
  <c r="C7805"/>
  <c r="C7806"/>
  <c r="C7807"/>
  <c r="C7808"/>
  <c r="C7809"/>
  <c r="C7810"/>
  <c r="C7811"/>
  <c r="C7812"/>
  <c r="C7813"/>
  <c r="C7814"/>
  <c r="C7815"/>
  <c r="C7816"/>
  <c r="C7817"/>
  <c r="C7818"/>
  <c r="C7819"/>
  <c r="C7820"/>
  <c r="C7821"/>
  <c r="E7821" s="1"/>
  <c r="C7822"/>
  <c r="C7823"/>
  <c r="C7824"/>
  <c r="C7825"/>
  <c r="C7826"/>
  <c r="C7827"/>
  <c r="C7828"/>
  <c r="C7829"/>
  <c r="C7830"/>
  <c r="C7831"/>
  <c r="C7832"/>
  <c r="C7833"/>
  <c r="C7834"/>
  <c r="C7835"/>
  <c r="C7836"/>
  <c r="C7837"/>
  <c r="C7838"/>
  <c r="C7839"/>
  <c r="C7840"/>
  <c r="C7841"/>
  <c r="C7842"/>
  <c r="C7843"/>
  <c r="C7844"/>
  <c r="C7845"/>
  <c r="C7846"/>
  <c r="C7847"/>
  <c r="C7848"/>
  <c r="C7849"/>
  <c r="C7850"/>
  <c r="C7851"/>
  <c r="C7852"/>
  <c r="C7853"/>
  <c r="C7854"/>
  <c r="C7855"/>
  <c r="C7856"/>
  <c r="C7857"/>
  <c r="C7858"/>
  <c r="C7859"/>
  <c r="C7860"/>
  <c r="C7861"/>
  <c r="C7862"/>
  <c r="C7863"/>
  <c r="C7864"/>
  <c r="C7865"/>
  <c r="C7866"/>
  <c r="C7867"/>
  <c r="C7868"/>
  <c r="C7869"/>
  <c r="E7869" s="1"/>
  <c r="C7870"/>
  <c r="C7871"/>
  <c r="C7872"/>
  <c r="C7873"/>
  <c r="C7874"/>
  <c r="C7875"/>
  <c r="C7876"/>
  <c r="C7877"/>
  <c r="C7878"/>
  <c r="C7879"/>
  <c r="C7880"/>
  <c r="C7881"/>
  <c r="C7882"/>
  <c r="C7883"/>
  <c r="C7884"/>
  <c r="C7885"/>
  <c r="C7886"/>
  <c r="C7887"/>
  <c r="C7888"/>
  <c r="C7889"/>
  <c r="C7890"/>
  <c r="C7891"/>
  <c r="C7892"/>
  <c r="C7893"/>
  <c r="C7894"/>
  <c r="C7895"/>
  <c r="C7896"/>
  <c r="C7897"/>
  <c r="C7898"/>
  <c r="C7899"/>
  <c r="C7900"/>
  <c r="C7901"/>
  <c r="C7902"/>
  <c r="C7903"/>
  <c r="C7904"/>
  <c r="C7905"/>
  <c r="C7906"/>
  <c r="C7907"/>
  <c r="C7908"/>
  <c r="C7909"/>
  <c r="C7910"/>
  <c r="C7911"/>
  <c r="C7912"/>
  <c r="C7913"/>
  <c r="C7914"/>
  <c r="C7915"/>
  <c r="C7916"/>
  <c r="C7917"/>
  <c r="C7918"/>
  <c r="C7919"/>
  <c r="C7920"/>
  <c r="C7921"/>
  <c r="C7922"/>
  <c r="C7923"/>
  <c r="C7924"/>
  <c r="C7925"/>
  <c r="C7926"/>
  <c r="C7927"/>
  <c r="C7928"/>
  <c r="C7929"/>
  <c r="C7930"/>
  <c r="C7931"/>
  <c r="C7932"/>
  <c r="C7933"/>
  <c r="C7934"/>
  <c r="C7935"/>
  <c r="C7936"/>
  <c r="C7937"/>
  <c r="C7938"/>
  <c r="C7939"/>
  <c r="C7940"/>
  <c r="C7941"/>
  <c r="C7942"/>
  <c r="C7943"/>
  <c r="C7944"/>
  <c r="C7945"/>
  <c r="C7946"/>
  <c r="C7947"/>
  <c r="C7948"/>
  <c r="C7949"/>
  <c r="C7950"/>
  <c r="C7951"/>
  <c r="C7952"/>
  <c r="C7953"/>
  <c r="C7954"/>
  <c r="C7955"/>
  <c r="C7956"/>
  <c r="C7957"/>
  <c r="C7958"/>
  <c r="C7959"/>
  <c r="C7960"/>
  <c r="C7961"/>
  <c r="C7962"/>
  <c r="C7963"/>
  <c r="C7964"/>
  <c r="C7965"/>
  <c r="C7966"/>
  <c r="C7967"/>
  <c r="C7968"/>
  <c r="C7969"/>
  <c r="C7970"/>
  <c r="C7971"/>
  <c r="C7972"/>
  <c r="C7973"/>
  <c r="C7974"/>
  <c r="C7975"/>
  <c r="C7976"/>
  <c r="C7977"/>
  <c r="C7978"/>
  <c r="C7979"/>
  <c r="C7980"/>
  <c r="C7981"/>
  <c r="C7982"/>
  <c r="C7983"/>
  <c r="C7984"/>
  <c r="C7985"/>
  <c r="C7986"/>
  <c r="C7987"/>
  <c r="C7988"/>
  <c r="C7989"/>
  <c r="C7990"/>
  <c r="C7991"/>
  <c r="C7992"/>
  <c r="C7993"/>
  <c r="C7994"/>
  <c r="C7995"/>
  <c r="C7996"/>
  <c r="C7997"/>
  <c r="C7998"/>
  <c r="C7999"/>
  <c r="C8000"/>
  <c r="C8001"/>
  <c r="C8002"/>
  <c r="C8003"/>
  <c r="C8004"/>
  <c r="C8005"/>
  <c r="C8006"/>
  <c r="C8007"/>
  <c r="C8008"/>
  <c r="C8009"/>
  <c r="C8010"/>
  <c r="C8011"/>
  <c r="C8012"/>
  <c r="C8013"/>
  <c r="C8014"/>
  <c r="C8015"/>
  <c r="C8016"/>
  <c r="C8017"/>
  <c r="C8018"/>
  <c r="C8019"/>
  <c r="C8020"/>
  <c r="C8021"/>
  <c r="C8022"/>
  <c r="C8023"/>
  <c r="C8024"/>
  <c r="C8025"/>
  <c r="C8026"/>
  <c r="C8027"/>
  <c r="C8028"/>
  <c r="C8029"/>
  <c r="C8030"/>
  <c r="C8031"/>
  <c r="C8032"/>
  <c r="C8033"/>
  <c r="C8034"/>
  <c r="C8035"/>
  <c r="C8036"/>
  <c r="C8037"/>
  <c r="C8038"/>
  <c r="C8039"/>
  <c r="C8040"/>
  <c r="C8041"/>
  <c r="C8042"/>
  <c r="C8043"/>
  <c r="C8044"/>
  <c r="C8045"/>
  <c r="C8046"/>
  <c r="C8047"/>
  <c r="C8048"/>
  <c r="C8049"/>
  <c r="C8050"/>
  <c r="C8051"/>
  <c r="C8052"/>
  <c r="C8053"/>
  <c r="C8054"/>
  <c r="C8055"/>
  <c r="C8056"/>
  <c r="C8057"/>
  <c r="C8058"/>
  <c r="C8059"/>
  <c r="C8060"/>
  <c r="C8061"/>
  <c r="C8062"/>
  <c r="C8063"/>
  <c r="C8064"/>
  <c r="C8065"/>
  <c r="C8066"/>
  <c r="C8067"/>
  <c r="C8068"/>
  <c r="C8069"/>
  <c r="C8070"/>
  <c r="C8071"/>
  <c r="C8072"/>
  <c r="C8073"/>
  <c r="C8074"/>
  <c r="C8075"/>
  <c r="C8076"/>
  <c r="C8077"/>
  <c r="C8078"/>
  <c r="C8079"/>
  <c r="C8080"/>
  <c r="C8081"/>
  <c r="C8082"/>
  <c r="C8083"/>
  <c r="C8084"/>
  <c r="C8085"/>
  <c r="C8086"/>
  <c r="C8087"/>
  <c r="C8088"/>
  <c r="C8089"/>
  <c r="C8090"/>
  <c r="C8091"/>
  <c r="C8092"/>
  <c r="C8093"/>
  <c r="C8094"/>
  <c r="C8095"/>
  <c r="C8096"/>
  <c r="C8097"/>
  <c r="C8098"/>
  <c r="C8099"/>
  <c r="C8100"/>
  <c r="C8101"/>
  <c r="C8102"/>
  <c r="C8103"/>
  <c r="C8104"/>
  <c r="C8105"/>
  <c r="C8106"/>
  <c r="C8107"/>
  <c r="C8108"/>
  <c r="C8109"/>
  <c r="C8110"/>
  <c r="C8111"/>
  <c r="C8112"/>
  <c r="C8113"/>
  <c r="C8114"/>
  <c r="C8115"/>
  <c r="C8116"/>
  <c r="C8117"/>
  <c r="C8118"/>
  <c r="C8119"/>
  <c r="C8120"/>
  <c r="C8121"/>
  <c r="C8122"/>
  <c r="C8123"/>
  <c r="C8124"/>
  <c r="C8125"/>
  <c r="C8126"/>
  <c r="C8127"/>
  <c r="C8128"/>
  <c r="C8129"/>
  <c r="C8130"/>
  <c r="C8131"/>
  <c r="C8132"/>
  <c r="C8133"/>
  <c r="C8134"/>
  <c r="C8135"/>
  <c r="C8136"/>
  <c r="C8137"/>
  <c r="C8138"/>
  <c r="C8139"/>
  <c r="C8140"/>
  <c r="C8141"/>
  <c r="C8142"/>
  <c r="C8143"/>
  <c r="C8144"/>
  <c r="C8145"/>
  <c r="C8146"/>
  <c r="C8147"/>
  <c r="C8148"/>
  <c r="C8149"/>
  <c r="C8150"/>
  <c r="C8151"/>
  <c r="C8152"/>
  <c r="C8153"/>
  <c r="C8154"/>
  <c r="C8155"/>
  <c r="C8156"/>
  <c r="C8157"/>
  <c r="C8158"/>
  <c r="C8159"/>
  <c r="C8160"/>
  <c r="C8161"/>
  <c r="C8162"/>
  <c r="C8163"/>
  <c r="C8164"/>
  <c r="C8165"/>
  <c r="C8166"/>
  <c r="C8167"/>
  <c r="C8168"/>
  <c r="C8169"/>
  <c r="C8170"/>
  <c r="C8171"/>
  <c r="C8172"/>
  <c r="C8173"/>
  <c r="C8174"/>
  <c r="C8175"/>
  <c r="C8176"/>
  <c r="C8177"/>
  <c r="C8178"/>
  <c r="C8179"/>
  <c r="C8180"/>
  <c r="C8181"/>
  <c r="C8182"/>
  <c r="C8183"/>
  <c r="C8184"/>
  <c r="C8185"/>
  <c r="C8186"/>
  <c r="C8187"/>
  <c r="C8188"/>
  <c r="C8189"/>
  <c r="C8190"/>
  <c r="C8191"/>
  <c r="C8192"/>
  <c r="C8193"/>
  <c r="C8194"/>
  <c r="C8195"/>
  <c r="C8196"/>
  <c r="C8197"/>
  <c r="C8198"/>
  <c r="C8199"/>
  <c r="C8200"/>
  <c r="C8201"/>
  <c r="C8202"/>
  <c r="C8203"/>
  <c r="C8204"/>
  <c r="C8205"/>
  <c r="C8206"/>
  <c r="C8207"/>
  <c r="C8208"/>
  <c r="C8209"/>
  <c r="C8210"/>
  <c r="C8211"/>
  <c r="C8212"/>
  <c r="C8213"/>
  <c r="C8214"/>
  <c r="C8215"/>
  <c r="C8216"/>
  <c r="C8217"/>
  <c r="C8218"/>
  <c r="C8219"/>
  <c r="C8220"/>
  <c r="C8221"/>
  <c r="C8222"/>
  <c r="C8223"/>
  <c r="C8224"/>
  <c r="C8225"/>
  <c r="C8226"/>
  <c r="C8227"/>
  <c r="C8228"/>
  <c r="C8229"/>
  <c r="C8230"/>
  <c r="C8231"/>
  <c r="C8232"/>
  <c r="C8233"/>
  <c r="C8234"/>
  <c r="C8235"/>
  <c r="C8236"/>
  <c r="C8237"/>
  <c r="C8238"/>
  <c r="C8239"/>
  <c r="C8240"/>
  <c r="C8241"/>
  <c r="C8242"/>
  <c r="C8243"/>
  <c r="C8244"/>
  <c r="C8245"/>
  <c r="C8246"/>
  <c r="C8247"/>
  <c r="C8248"/>
  <c r="C8249"/>
  <c r="C8250"/>
  <c r="C8251"/>
  <c r="C8252"/>
  <c r="C8253"/>
  <c r="C8254"/>
  <c r="C8255"/>
  <c r="C8256"/>
  <c r="C8257"/>
  <c r="C8258"/>
  <c r="C8259"/>
  <c r="C8260"/>
  <c r="C8261"/>
  <c r="C8262"/>
  <c r="C8263"/>
  <c r="C8264"/>
  <c r="C8265"/>
  <c r="C8266"/>
  <c r="C8267"/>
  <c r="C8268"/>
  <c r="C8269"/>
  <c r="C8270"/>
  <c r="C8271"/>
  <c r="C8272"/>
  <c r="C8273"/>
  <c r="C8274"/>
  <c r="C8275"/>
  <c r="C8276"/>
  <c r="C8277"/>
  <c r="C8278"/>
  <c r="C8279"/>
  <c r="C8280"/>
  <c r="C8281"/>
  <c r="C8282"/>
  <c r="C8283"/>
  <c r="C8284"/>
  <c r="C8285"/>
  <c r="C8286"/>
  <c r="C8287"/>
  <c r="C8288"/>
  <c r="C8289"/>
  <c r="C8290"/>
  <c r="C8291"/>
  <c r="C8292"/>
  <c r="C8293"/>
  <c r="C8294"/>
  <c r="C8295"/>
  <c r="C8296"/>
  <c r="C8297"/>
  <c r="C8298"/>
  <c r="C8299"/>
  <c r="C8300"/>
  <c r="C8301"/>
  <c r="C8302"/>
  <c r="C8303"/>
  <c r="C8304"/>
  <c r="C8305"/>
  <c r="C8306"/>
  <c r="C8307"/>
  <c r="C8308"/>
  <c r="C8309"/>
  <c r="C8310"/>
  <c r="C8311"/>
  <c r="C8312"/>
  <c r="C8313"/>
  <c r="C8314"/>
  <c r="C8315"/>
  <c r="C8316"/>
  <c r="C8317"/>
  <c r="C8318"/>
  <c r="C8319"/>
  <c r="C8320"/>
  <c r="C8321"/>
  <c r="C8322"/>
  <c r="C8323"/>
  <c r="C8324"/>
  <c r="C8325"/>
  <c r="C8326"/>
  <c r="C8327"/>
  <c r="C8328"/>
  <c r="C8329"/>
  <c r="C8330"/>
  <c r="C8331"/>
  <c r="C8332"/>
  <c r="C8333"/>
  <c r="C8334"/>
  <c r="C8335"/>
  <c r="C8336"/>
  <c r="C8337"/>
  <c r="C8338"/>
  <c r="C8339"/>
  <c r="C8340"/>
  <c r="C8341"/>
  <c r="C8342"/>
  <c r="C8343"/>
  <c r="C8344"/>
  <c r="C8345"/>
  <c r="C8346"/>
  <c r="C8347"/>
  <c r="C8348"/>
  <c r="C8349"/>
  <c r="C8350"/>
  <c r="C8351"/>
  <c r="C8352"/>
  <c r="C8353"/>
  <c r="C8354"/>
  <c r="C8355"/>
  <c r="C8356"/>
  <c r="C8357"/>
  <c r="C8358"/>
  <c r="C8359"/>
  <c r="C8360"/>
  <c r="C8361"/>
  <c r="C8362"/>
  <c r="C8363"/>
  <c r="C8364"/>
  <c r="C8365"/>
  <c r="C8366"/>
  <c r="C8367"/>
  <c r="C8368"/>
  <c r="C8369"/>
  <c r="C8370"/>
  <c r="C8371"/>
  <c r="C8372"/>
  <c r="C8373"/>
  <c r="C8374"/>
  <c r="C8375"/>
  <c r="C8376"/>
  <c r="C8377"/>
  <c r="C8378"/>
  <c r="C8379"/>
  <c r="C8380"/>
  <c r="C8381"/>
  <c r="C8382"/>
  <c r="C8383"/>
  <c r="C8384"/>
  <c r="C8385"/>
  <c r="C8386"/>
  <c r="C8387"/>
  <c r="C8388"/>
  <c r="C8389"/>
  <c r="C8390"/>
  <c r="C8391"/>
  <c r="C8392"/>
  <c r="C8393"/>
  <c r="C8394"/>
  <c r="C8395"/>
  <c r="C8396"/>
  <c r="C8397"/>
  <c r="E8397" s="1"/>
  <c r="C8398"/>
  <c r="C8399"/>
  <c r="C8400"/>
  <c r="C8401"/>
  <c r="C8402"/>
  <c r="C8403"/>
  <c r="C8404"/>
  <c r="C8405"/>
  <c r="C8406"/>
  <c r="C8407"/>
  <c r="C8408"/>
  <c r="C8409"/>
  <c r="C8410"/>
  <c r="C8411"/>
  <c r="C8412"/>
  <c r="C8413"/>
  <c r="C8414"/>
  <c r="C8415"/>
  <c r="C8416"/>
  <c r="C8417"/>
  <c r="C8418"/>
  <c r="C8419"/>
  <c r="C8420"/>
  <c r="C8421"/>
  <c r="C8422"/>
  <c r="C8423"/>
  <c r="C8424"/>
  <c r="C8425"/>
  <c r="C8426"/>
  <c r="C8427"/>
  <c r="C8428"/>
  <c r="C8429"/>
  <c r="C8430"/>
  <c r="C8431"/>
  <c r="C8432"/>
  <c r="C8433"/>
  <c r="C8434"/>
  <c r="E8434" s="1"/>
  <c r="C8435"/>
  <c r="C8436"/>
  <c r="C8437"/>
  <c r="C8438"/>
  <c r="C8439"/>
  <c r="C8440"/>
  <c r="C8441"/>
  <c r="C8442"/>
  <c r="C8443"/>
  <c r="C8444"/>
  <c r="C8445"/>
  <c r="C8446"/>
  <c r="C8447"/>
  <c r="C8448"/>
  <c r="C8449"/>
  <c r="C8450"/>
  <c r="C8451"/>
  <c r="C8452"/>
  <c r="C8453"/>
  <c r="C8454"/>
  <c r="C8455"/>
  <c r="C8456"/>
  <c r="C8457"/>
  <c r="C8458"/>
  <c r="C8459"/>
  <c r="C8460"/>
  <c r="C8461"/>
  <c r="C8462"/>
  <c r="C8463"/>
  <c r="C8464"/>
  <c r="C8465"/>
  <c r="C8466"/>
  <c r="C8467"/>
  <c r="C8468"/>
  <c r="C8469"/>
  <c r="C8470"/>
  <c r="C8471"/>
  <c r="C8472"/>
  <c r="C8473"/>
  <c r="C8474"/>
  <c r="C8475"/>
  <c r="C8476"/>
  <c r="C8477"/>
  <c r="C8478"/>
  <c r="C8479"/>
  <c r="C8480"/>
  <c r="C8481"/>
  <c r="C8482"/>
  <c r="C8483"/>
  <c r="C8484"/>
  <c r="C8485"/>
  <c r="C8486"/>
  <c r="C8487"/>
  <c r="C8488"/>
  <c r="C8489"/>
  <c r="C8490"/>
  <c r="C8491"/>
  <c r="C8492"/>
  <c r="C8493"/>
  <c r="C8494"/>
  <c r="C8495"/>
  <c r="C8496"/>
  <c r="C8497"/>
  <c r="C8498"/>
  <c r="C8499"/>
  <c r="C8500"/>
  <c r="C8501"/>
  <c r="C8502"/>
  <c r="C8503"/>
  <c r="C8504"/>
  <c r="C8505"/>
  <c r="C8506"/>
  <c r="C8507"/>
  <c r="C8508"/>
  <c r="C8509"/>
  <c r="C8510"/>
  <c r="C8511"/>
  <c r="C8512"/>
  <c r="C8513"/>
  <c r="C8514"/>
  <c r="C8515"/>
  <c r="C8516"/>
  <c r="C8517"/>
  <c r="C8518"/>
  <c r="C8519"/>
  <c r="C8520"/>
  <c r="C8521"/>
  <c r="C8522"/>
  <c r="C8523"/>
  <c r="C8524"/>
  <c r="C8525"/>
  <c r="C8526"/>
  <c r="C8527"/>
  <c r="C8528"/>
  <c r="C8529"/>
  <c r="C8530"/>
  <c r="C8531"/>
  <c r="C8532"/>
  <c r="C8533"/>
  <c r="C8534"/>
  <c r="C8535"/>
  <c r="C8536"/>
  <c r="C8537"/>
  <c r="C8538"/>
  <c r="C8539"/>
  <c r="C8540"/>
  <c r="C8541"/>
  <c r="C8542"/>
  <c r="C8543"/>
  <c r="C8544"/>
  <c r="C8545"/>
  <c r="C8546"/>
  <c r="C8547"/>
  <c r="C8548"/>
  <c r="C8549"/>
  <c r="C8550"/>
  <c r="C8551"/>
  <c r="C8552"/>
  <c r="C8553"/>
  <c r="C8554"/>
  <c r="C8555"/>
  <c r="C8556"/>
  <c r="C8557"/>
  <c r="C8558"/>
  <c r="C8559"/>
  <c r="C8560"/>
  <c r="C8561"/>
  <c r="C8562"/>
  <c r="C8563"/>
  <c r="C8564"/>
  <c r="C8565"/>
  <c r="C8566"/>
  <c r="C8567"/>
  <c r="C8568"/>
  <c r="C8569"/>
  <c r="C8570"/>
  <c r="C8571"/>
  <c r="C8572"/>
  <c r="C8573"/>
  <c r="C8574"/>
  <c r="C8575"/>
  <c r="C8576"/>
  <c r="C8577"/>
  <c r="C8578"/>
  <c r="C8579"/>
  <c r="C8580"/>
  <c r="C8581"/>
  <c r="C8582"/>
  <c r="C8583"/>
  <c r="C8584"/>
  <c r="C8585"/>
  <c r="C8586"/>
  <c r="C8587"/>
  <c r="C8588"/>
  <c r="C8589"/>
  <c r="C8590"/>
  <c r="C8591"/>
  <c r="C8592"/>
  <c r="C8593"/>
  <c r="C8594"/>
  <c r="C8595"/>
  <c r="C8596"/>
  <c r="C8597"/>
  <c r="C8598"/>
  <c r="C8599"/>
  <c r="C8600"/>
  <c r="C8601"/>
  <c r="C8602"/>
  <c r="C8603"/>
  <c r="C8604"/>
  <c r="C8605"/>
  <c r="C8606"/>
  <c r="C8607"/>
  <c r="C8608"/>
  <c r="C8609"/>
  <c r="C8610"/>
  <c r="C8611"/>
  <c r="C8612"/>
  <c r="C8613"/>
  <c r="C8614"/>
  <c r="C8615"/>
  <c r="C8616"/>
  <c r="C8617"/>
  <c r="C8618"/>
  <c r="C8619"/>
  <c r="C8620"/>
  <c r="C8621"/>
  <c r="C8622"/>
  <c r="C8623"/>
  <c r="C8624"/>
  <c r="C8625"/>
  <c r="C8626"/>
  <c r="C8627"/>
  <c r="C8628"/>
  <c r="C8629"/>
  <c r="C8630"/>
  <c r="C8631"/>
  <c r="C8632"/>
  <c r="C8633"/>
  <c r="C8634"/>
  <c r="C8635"/>
  <c r="C8636"/>
  <c r="C8637"/>
  <c r="C8638"/>
  <c r="C8639"/>
  <c r="C8640"/>
  <c r="C8641"/>
  <c r="C8642"/>
  <c r="C8643"/>
  <c r="C8644"/>
  <c r="C8645"/>
  <c r="C8646"/>
  <c r="C8647"/>
  <c r="C8648"/>
  <c r="C8649"/>
  <c r="C8650"/>
  <c r="C8651"/>
  <c r="C8652"/>
  <c r="C8653"/>
  <c r="C8654"/>
  <c r="C8655"/>
  <c r="C8656"/>
  <c r="C8657"/>
  <c r="C8658"/>
  <c r="C8659"/>
  <c r="C8660"/>
  <c r="C8661"/>
  <c r="C8662"/>
  <c r="C8663"/>
  <c r="C8664"/>
  <c r="C8665"/>
  <c r="C8666"/>
  <c r="C8667"/>
  <c r="C8668"/>
  <c r="C8669"/>
  <c r="C8670"/>
  <c r="C8671"/>
  <c r="C8672"/>
  <c r="C8673"/>
  <c r="C8674"/>
  <c r="C8675"/>
  <c r="C8676"/>
  <c r="C8677"/>
  <c r="C8678"/>
  <c r="C8679"/>
  <c r="C8680"/>
  <c r="C8681"/>
  <c r="C8682"/>
  <c r="C8683"/>
  <c r="C8684"/>
  <c r="C8685"/>
  <c r="C8686"/>
  <c r="C8687"/>
  <c r="C8688"/>
  <c r="C8689"/>
  <c r="C8690"/>
  <c r="C8691"/>
  <c r="C8692"/>
  <c r="C8693"/>
  <c r="C8694"/>
  <c r="C8695"/>
  <c r="C8696"/>
  <c r="C8697"/>
  <c r="C8698"/>
  <c r="C8699"/>
  <c r="C8700"/>
  <c r="C8701"/>
  <c r="C8702"/>
  <c r="C8703"/>
  <c r="C8704"/>
  <c r="C8705"/>
  <c r="C8706"/>
  <c r="C8707"/>
  <c r="C8708"/>
  <c r="C8709"/>
  <c r="C8710"/>
  <c r="C8711"/>
  <c r="C8712"/>
  <c r="C8713"/>
  <c r="C8714"/>
  <c r="C8715"/>
  <c r="C8716"/>
  <c r="C8717"/>
  <c r="C8718"/>
  <c r="C8719"/>
  <c r="C8720"/>
  <c r="C8721"/>
  <c r="C8722"/>
  <c r="C8723"/>
  <c r="C8724"/>
  <c r="C8725"/>
  <c r="C8726"/>
  <c r="C8727"/>
  <c r="C8728"/>
  <c r="C8729"/>
  <c r="C8730"/>
  <c r="C8731"/>
  <c r="C8732"/>
  <c r="C8733"/>
  <c r="C8734"/>
  <c r="C8735"/>
  <c r="C8736"/>
  <c r="C8737"/>
  <c r="C8738"/>
  <c r="C8739"/>
  <c r="C8740"/>
  <c r="C8741"/>
  <c r="C8742"/>
  <c r="C8743"/>
  <c r="C8744"/>
  <c r="C8745"/>
  <c r="C8746"/>
  <c r="C8747"/>
  <c r="C8748"/>
  <c r="C8749"/>
  <c r="C8750"/>
  <c r="C8751"/>
  <c r="C8752"/>
  <c r="C8753"/>
  <c r="C8754"/>
  <c r="C8755"/>
  <c r="C8756"/>
  <c r="C8757"/>
  <c r="C8758"/>
  <c r="C8759"/>
  <c r="C8760"/>
  <c r="C8761"/>
  <c r="C8762"/>
  <c r="C8763"/>
  <c r="C8764"/>
  <c r="C8765"/>
  <c r="C8766"/>
  <c r="C8767"/>
  <c r="C8768"/>
  <c r="C8769"/>
  <c r="C8770"/>
  <c r="C8771"/>
  <c r="C8772"/>
  <c r="C8773"/>
  <c r="C8774"/>
  <c r="C8775"/>
  <c r="C8776"/>
  <c r="C8777"/>
  <c r="C8778"/>
  <c r="C8779"/>
  <c r="C8780"/>
  <c r="C8781"/>
  <c r="C8782"/>
  <c r="C8783"/>
  <c r="C8784"/>
  <c r="C8785"/>
  <c r="C8786"/>
  <c r="C8787"/>
  <c r="C8788"/>
  <c r="C8789"/>
  <c r="C8790"/>
  <c r="C8791"/>
  <c r="C8792"/>
  <c r="C8793"/>
  <c r="C8794"/>
  <c r="C8795"/>
  <c r="C8796"/>
  <c r="C8797"/>
  <c r="C8798"/>
  <c r="C8799"/>
  <c r="C8800"/>
  <c r="C8801"/>
  <c r="C8802"/>
  <c r="C8803"/>
  <c r="C8804"/>
  <c r="C8805"/>
  <c r="C8806"/>
  <c r="C8807"/>
  <c r="C8808"/>
  <c r="C8809"/>
  <c r="C8810"/>
  <c r="C8811"/>
  <c r="C8812"/>
  <c r="C8813"/>
  <c r="C8814"/>
  <c r="C8815"/>
  <c r="C8816"/>
  <c r="C8817"/>
  <c r="C8818"/>
  <c r="C8819"/>
  <c r="C8820"/>
  <c r="C8821"/>
  <c r="C8822"/>
  <c r="C8823"/>
  <c r="C8824"/>
  <c r="C8825"/>
  <c r="C8826"/>
  <c r="C8827"/>
  <c r="C8828"/>
  <c r="C8829"/>
  <c r="C8830"/>
  <c r="C8831"/>
  <c r="C8832"/>
  <c r="C8833"/>
  <c r="C8834"/>
  <c r="C8835"/>
  <c r="C8836"/>
  <c r="C8837"/>
  <c r="C8838"/>
  <c r="C8839"/>
  <c r="C8840"/>
  <c r="C8841"/>
  <c r="C8842"/>
  <c r="C8843"/>
  <c r="C8844"/>
  <c r="C8845"/>
  <c r="C8846"/>
  <c r="C8847"/>
  <c r="C8848"/>
  <c r="C8849"/>
  <c r="C8850"/>
  <c r="C8851"/>
  <c r="C8852"/>
  <c r="C8853"/>
  <c r="C8854"/>
  <c r="C8855"/>
  <c r="C8856"/>
  <c r="C8857"/>
  <c r="C8858"/>
  <c r="C8859"/>
  <c r="C8860"/>
  <c r="C8861"/>
  <c r="C8862"/>
  <c r="C8863"/>
  <c r="C8864"/>
  <c r="C8865"/>
  <c r="C8866"/>
  <c r="C8867"/>
  <c r="C8868"/>
  <c r="C8869"/>
  <c r="C8870"/>
  <c r="C8871"/>
  <c r="C8872"/>
  <c r="C8873"/>
  <c r="C8874"/>
  <c r="C8875"/>
  <c r="C8876"/>
  <c r="C8877"/>
  <c r="C8878"/>
  <c r="C8879"/>
  <c r="C8880"/>
  <c r="C8881"/>
  <c r="C8882"/>
  <c r="C8883"/>
  <c r="C8884"/>
  <c r="C8885"/>
  <c r="C8886"/>
  <c r="C8887"/>
  <c r="C8888"/>
  <c r="C8889"/>
  <c r="C8890"/>
  <c r="C8891"/>
  <c r="C8892"/>
  <c r="C8893"/>
  <c r="C8894"/>
  <c r="C8895"/>
  <c r="C8896"/>
  <c r="C8897"/>
  <c r="C8898"/>
  <c r="C8899"/>
  <c r="C8900"/>
  <c r="C8901"/>
  <c r="C8902"/>
  <c r="C8903"/>
  <c r="C8904"/>
  <c r="C8905"/>
  <c r="C8906"/>
  <c r="C8907"/>
  <c r="C8908"/>
  <c r="C8909"/>
  <c r="C8910"/>
  <c r="C8911"/>
  <c r="C8912"/>
  <c r="C8913"/>
  <c r="C8914"/>
  <c r="C8915"/>
  <c r="C8916"/>
  <c r="C8917"/>
  <c r="C8918"/>
  <c r="C8919"/>
  <c r="C8920"/>
  <c r="C8921"/>
  <c r="C8922"/>
  <c r="C8923"/>
  <c r="C8924"/>
  <c r="C8925"/>
  <c r="C8926"/>
  <c r="C8927"/>
  <c r="C8928"/>
  <c r="C8929"/>
  <c r="C8930"/>
  <c r="C8931"/>
  <c r="C8932"/>
  <c r="C8933"/>
  <c r="C8934"/>
  <c r="C8935"/>
  <c r="C8936"/>
  <c r="C8937"/>
  <c r="C8938"/>
  <c r="C8939"/>
  <c r="C8940"/>
  <c r="C8941"/>
  <c r="C8942"/>
  <c r="C8943"/>
  <c r="C8944"/>
  <c r="C8945"/>
  <c r="C8946"/>
  <c r="C8947"/>
  <c r="C8948"/>
  <c r="C8949"/>
  <c r="C8950"/>
  <c r="C8951"/>
  <c r="C8952"/>
  <c r="C8953"/>
  <c r="C8954"/>
  <c r="C8955"/>
  <c r="C8956"/>
  <c r="C8957"/>
  <c r="C8958"/>
  <c r="C8959"/>
  <c r="C8960"/>
  <c r="C8961"/>
  <c r="C8962"/>
  <c r="C8963"/>
  <c r="C8964"/>
  <c r="C8965"/>
  <c r="C8966"/>
  <c r="C8967"/>
  <c r="C8968"/>
  <c r="C8969"/>
  <c r="C8970"/>
  <c r="C8971"/>
  <c r="C8972"/>
  <c r="C8973"/>
  <c r="C8974"/>
  <c r="C8975"/>
  <c r="C8976"/>
  <c r="C8977"/>
  <c r="C8978"/>
  <c r="C8979"/>
  <c r="C8980"/>
  <c r="C8981"/>
  <c r="C8982"/>
  <c r="C8983"/>
  <c r="C8984"/>
  <c r="C8985"/>
  <c r="C8986"/>
  <c r="C8987"/>
  <c r="C8988"/>
  <c r="C8989"/>
  <c r="C8990"/>
  <c r="C8991"/>
  <c r="C8992"/>
  <c r="C8993"/>
  <c r="C8994"/>
  <c r="C8995"/>
  <c r="C8996"/>
  <c r="C8997"/>
  <c r="C8998"/>
  <c r="C8999"/>
  <c r="C9000"/>
  <c r="C9001"/>
  <c r="C9002"/>
  <c r="C9003"/>
  <c r="C9004"/>
  <c r="C9005"/>
  <c r="C9006"/>
  <c r="C9007"/>
  <c r="C9008"/>
  <c r="C9009"/>
  <c r="C9010"/>
  <c r="C9011"/>
  <c r="C9012"/>
  <c r="C9013"/>
  <c r="C9014"/>
  <c r="C9015"/>
  <c r="C9016"/>
  <c r="C9017"/>
  <c r="C9018"/>
  <c r="C9019"/>
  <c r="C9020"/>
  <c r="C9021"/>
  <c r="C9022"/>
  <c r="C9023"/>
  <c r="C9024"/>
  <c r="C9025"/>
  <c r="C9026"/>
  <c r="C9027"/>
  <c r="C9028"/>
  <c r="C9029"/>
  <c r="C9030"/>
  <c r="C9031"/>
  <c r="C9032"/>
  <c r="C9033"/>
  <c r="C9034"/>
  <c r="C9035"/>
  <c r="C9036"/>
  <c r="C9037"/>
  <c r="C9038"/>
  <c r="C9039"/>
  <c r="C9040"/>
  <c r="C9041"/>
  <c r="C9042"/>
  <c r="C9043"/>
  <c r="C9044"/>
  <c r="C9045"/>
  <c r="C9046"/>
  <c r="C9047"/>
  <c r="C9048"/>
  <c r="C9049"/>
  <c r="C9050"/>
  <c r="C9051"/>
  <c r="C9052"/>
  <c r="C9053"/>
  <c r="C9054"/>
  <c r="C9055"/>
  <c r="C9056"/>
  <c r="C9057"/>
  <c r="C9058"/>
  <c r="C9059"/>
  <c r="C9060"/>
  <c r="C9061"/>
  <c r="C9062"/>
  <c r="C9063"/>
  <c r="C9064"/>
  <c r="C9065"/>
  <c r="C9066"/>
  <c r="C9067"/>
  <c r="C9068"/>
  <c r="C9069"/>
  <c r="C9070"/>
  <c r="C9071"/>
  <c r="C9072"/>
  <c r="C9073"/>
  <c r="C9074"/>
  <c r="C9075"/>
  <c r="C9076"/>
  <c r="C9077"/>
  <c r="C9078"/>
  <c r="C9079"/>
  <c r="C9080"/>
  <c r="C9081"/>
  <c r="C9082"/>
  <c r="C9083"/>
  <c r="C9084"/>
  <c r="C9085"/>
  <c r="C9086"/>
  <c r="C9087"/>
  <c r="C9088"/>
  <c r="C9089"/>
  <c r="C9090"/>
  <c r="C9091"/>
  <c r="C9092"/>
  <c r="C9093"/>
  <c r="C9094"/>
  <c r="C9095"/>
  <c r="C9096"/>
  <c r="C9097"/>
  <c r="C9098"/>
  <c r="C9099"/>
  <c r="C9100"/>
  <c r="C9101"/>
  <c r="C9102"/>
  <c r="C9103"/>
  <c r="C9104"/>
  <c r="C9105"/>
  <c r="C9106"/>
  <c r="C9107"/>
  <c r="C9108"/>
  <c r="C9109"/>
  <c r="C9110"/>
  <c r="C9111"/>
  <c r="C9112"/>
  <c r="C9113"/>
  <c r="C9114"/>
  <c r="C9115"/>
  <c r="C9116"/>
  <c r="C9117"/>
  <c r="C9118"/>
  <c r="C9119"/>
  <c r="C9120"/>
  <c r="C9121"/>
  <c r="C9122"/>
  <c r="C9123"/>
  <c r="C9124"/>
  <c r="C9125"/>
  <c r="C9126"/>
  <c r="C9127"/>
  <c r="C9128"/>
  <c r="C9129"/>
  <c r="C9130"/>
  <c r="C9131"/>
  <c r="C9132"/>
  <c r="C9133"/>
  <c r="C9134"/>
  <c r="C9135"/>
  <c r="C9136"/>
  <c r="C9137"/>
  <c r="C9138"/>
  <c r="C9139"/>
  <c r="C9140"/>
  <c r="C9141"/>
  <c r="C9142"/>
  <c r="C9143"/>
  <c r="C9144"/>
  <c r="C9145"/>
  <c r="C9146"/>
  <c r="C9147"/>
  <c r="C9148"/>
  <c r="C9149"/>
  <c r="C9150"/>
  <c r="C9151"/>
  <c r="C9152"/>
  <c r="C9153"/>
  <c r="C9154"/>
  <c r="C9155"/>
  <c r="C9156"/>
  <c r="C9157"/>
  <c r="C9158"/>
  <c r="C9159"/>
  <c r="C9160"/>
  <c r="C9161"/>
  <c r="C9162"/>
  <c r="C9163"/>
  <c r="C9164"/>
  <c r="C9165"/>
  <c r="C9166"/>
  <c r="C9167"/>
  <c r="C9168"/>
  <c r="C9169"/>
  <c r="C9170"/>
  <c r="C9171"/>
  <c r="C9172"/>
  <c r="C9173"/>
  <c r="C9174"/>
  <c r="C9175"/>
  <c r="C9176"/>
  <c r="C9177"/>
  <c r="C9178"/>
  <c r="C9179"/>
  <c r="C9180"/>
  <c r="C9181"/>
  <c r="C9182"/>
  <c r="C9183"/>
  <c r="C9184"/>
  <c r="C9185"/>
  <c r="C9186"/>
  <c r="C9187"/>
  <c r="C9188"/>
  <c r="C9189"/>
  <c r="C9190"/>
  <c r="C9191"/>
  <c r="C9192"/>
  <c r="C9193"/>
  <c r="C9194"/>
  <c r="C9195"/>
  <c r="C9196"/>
  <c r="C9197"/>
  <c r="C9198"/>
  <c r="C9199"/>
  <c r="C9200"/>
  <c r="C9201"/>
  <c r="C9202"/>
  <c r="C9203"/>
  <c r="C9204"/>
  <c r="C9205"/>
  <c r="C9206"/>
  <c r="C9207"/>
  <c r="C9208"/>
  <c r="C9209"/>
  <c r="C9210"/>
  <c r="C9211"/>
  <c r="C9212"/>
  <c r="C9213"/>
  <c r="C9214"/>
  <c r="C9215"/>
  <c r="C9216"/>
  <c r="C9217"/>
  <c r="C9218"/>
  <c r="C9219"/>
  <c r="C9220"/>
  <c r="C9221"/>
  <c r="C9222"/>
  <c r="C9223"/>
  <c r="C9224"/>
  <c r="C9225"/>
  <c r="C9226"/>
  <c r="C9227"/>
  <c r="C9228"/>
  <c r="C9229"/>
  <c r="C9230"/>
  <c r="C9231"/>
  <c r="C9232"/>
  <c r="C9233"/>
  <c r="C9234"/>
  <c r="C9235"/>
  <c r="C9236"/>
  <c r="C9237"/>
  <c r="C9238"/>
  <c r="C9239"/>
  <c r="C9240"/>
  <c r="C9241"/>
  <c r="C9242"/>
  <c r="C9243"/>
  <c r="C9244"/>
  <c r="C9245"/>
  <c r="C9246"/>
  <c r="C9247"/>
  <c r="C9248"/>
  <c r="C9249"/>
  <c r="C9250"/>
  <c r="C9251"/>
  <c r="C9252"/>
  <c r="C9253"/>
  <c r="C9254"/>
  <c r="C9255"/>
  <c r="C9256"/>
  <c r="C9257"/>
  <c r="C9258"/>
  <c r="C9259"/>
  <c r="C9260"/>
  <c r="C9261"/>
  <c r="C9262"/>
  <c r="C9263"/>
  <c r="C9264"/>
  <c r="C9265"/>
  <c r="C9266"/>
  <c r="C9267"/>
  <c r="C9268"/>
  <c r="C9269"/>
  <c r="C9270"/>
  <c r="C9271"/>
  <c r="C9272"/>
  <c r="C9273"/>
  <c r="C9274"/>
  <c r="C9275"/>
  <c r="C9276"/>
  <c r="C9277"/>
  <c r="C9278"/>
  <c r="C9279"/>
  <c r="C9280"/>
  <c r="C9281"/>
  <c r="C9282"/>
  <c r="C9283"/>
  <c r="C9284"/>
  <c r="C9285"/>
  <c r="C9286"/>
  <c r="C9287"/>
  <c r="C9288"/>
  <c r="C9289"/>
  <c r="C9290"/>
  <c r="C9291"/>
  <c r="C9292"/>
  <c r="C9293"/>
  <c r="C9294"/>
  <c r="C9295"/>
  <c r="C9296"/>
  <c r="C9297"/>
  <c r="C9298"/>
  <c r="C9299"/>
  <c r="C9300"/>
  <c r="C9301"/>
  <c r="C9302"/>
  <c r="C9303"/>
  <c r="C9304"/>
  <c r="C9305"/>
  <c r="C9306"/>
  <c r="C9307"/>
  <c r="C9308"/>
  <c r="C9309"/>
  <c r="C9310"/>
  <c r="C9311"/>
  <c r="C9312"/>
  <c r="C9313"/>
  <c r="C9314"/>
  <c r="C9315"/>
  <c r="C9316"/>
  <c r="C9317"/>
  <c r="C9318"/>
  <c r="C9319"/>
  <c r="C9320"/>
  <c r="C9321"/>
  <c r="C9322"/>
  <c r="C9323"/>
  <c r="C9324"/>
  <c r="C9325"/>
  <c r="C9326"/>
  <c r="C9327"/>
  <c r="C9328"/>
  <c r="C9329"/>
  <c r="C9330"/>
  <c r="C9331"/>
  <c r="C9332"/>
  <c r="C9333"/>
  <c r="C9334"/>
  <c r="C9335"/>
  <c r="C9336"/>
  <c r="C9337"/>
  <c r="C9338"/>
  <c r="C9339"/>
  <c r="C9340"/>
  <c r="C9341"/>
  <c r="C9342"/>
  <c r="C9343"/>
  <c r="C9344"/>
  <c r="C9345"/>
  <c r="C9346"/>
  <c r="C9347"/>
  <c r="C9348"/>
  <c r="C9349"/>
  <c r="C9350"/>
  <c r="C9351"/>
  <c r="C9352"/>
  <c r="C9353"/>
  <c r="C9354"/>
  <c r="C9355"/>
  <c r="C9356"/>
  <c r="C9357"/>
  <c r="C9358"/>
  <c r="C9359"/>
  <c r="C9360"/>
  <c r="C9361"/>
  <c r="C9362"/>
  <c r="C9363"/>
  <c r="C9364"/>
  <c r="C9365"/>
  <c r="C9366"/>
  <c r="C9367"/>
  <c r="C9368"/>
  <c r="C9369"/>
  <c r="C9370"/>
  <c r="C9371"/>
  <c r="C9372"/>
  <c r="C9373"/>
  <c r="C9374"/>
  <c r="C9375"/>
  <c r="C9376"/>
  <c r="C9377"/>
  <c r="C9378"/>
  <c r="C9379"/>
  <c r="C9380"/>
  <c r="C9381"/>
  <c r="C9382"/>
  <c r="C9383"/>
  <c r="C9384"/>
  <c r="C9385"/>
  <c r="C9386"/>
  <c r="C9387"/>
  <c r="C9388"/>
  <c r="C9389"/>
  <c r="C9390"/>
  <c r="C9391"/>
  <c r="C9392"/>
  <c r="C9393"/>
  <c r="C9394"/>
  <c r="C9395"/>
  <c r="C9396"/>
  <c r="C9397"/>
  <c r="C9398"/>
  <c r="C9399"/>
  <c r="C9400"/>
  <c r="C9401"/>
  <c r="C9402"/>
  <c r="C9403"/>
  <c r="C9404"/>
  <c r="C9405"/>
  <c r="C9406"/>
  <c r="C9407"/>
  <c r="C9408"/>
  <c r="C9409"/>
  <c r="C9410"/>
  <c r="C9411"/>
  <c r="C9412"/>
  <c r="C9413"/>
  <c r="C9414"/>
  <c r="C9415"/>
  <c r="C9416"/>
  <c r="C9417"/>
  <c r="C9418"/>
  <c r="C9419"/>
  <c r="C9420"/>
  <c r="C9421"/>
  <c r="C9422"/>
  <c r="C9423"/>
  <c r="C9424"/>
  <c r="C9425"/>
  <c r="C9426"/>
  <c r="C9427"/>
  <c r="E9427" s="1"/>
  <c r="C9428"/>
  <c r="C9429"/>
  <c r="C9430"/>
  <c r="C9431"/>
  <c r="C9432"/>
  <c r="C9433"/>
  <c r="C9434"/>
  <c r="C9435"/>
  <c r="C9436"/>
  <c r="C9437"/>
  <c r="C9438"/>
  <c r="C9439"/>
  <c r="C9440"/>
  <c r="C9441"/>
  <c r="C9442"/>
  <c r="C9443"/>
  <c r="C9444"/>
  <c r="C9445"/>
  <c r="C9446"/>
  <c r="C9447"/>
  <c r="C9448"/>
  <c r="C9449"/>
  <c r="C9450"/>
  <c r="C9451"/>
  <c r="C9452"/>
  <c r="C9453"/>
  <c r="C9454"/>
  <c r="C9455"/>
  <c r="C9456"/>
  <c r="C9457"/>
  <c r="C9458"/>
  <c r="C9459"/>
  <c r="C9460"/>
  <c r="C9461"/>
  <c r="C9462"/>
  <c r="C9463"/>
  <c r="C9464"/>
  <c r="C9465"/>
  <c r="C9466"/>
  <c r="C9467"/>
  <c r="C9468"/>
  <c r="C9469"/>
  <c r="C9470"/>
  <c r="C9471"/>
  <c r="C9472"/>
  <c r="C9473"/>
  <c r="C9474"/>
  <c r="C9475"/>
  <c r="C9476"/>
  <c r="C9477"/>
  <c r="C9478"/>
  <c r="C9479"/>
  <c r="C9480"/>
  <c r="C9481"/>
  <c r="C9482"/>
  <c r="C9483"/>
  <c r="C9484"/>
  <c r="C9485"/>
  <c r="C9486"/>
  <c r="C9487"/>
  <c r="C9488"/>
  <c r="C9489"/>
  <c r="C9490"/>
  <c r="C9491"/>
  <c r="C9492"/>
  <c r="C9493"/>
  <c r="C9494"/>
  <c r="C9495"/>
  <c r="C9496"/>
  <c r="C9497"/>
  <c r="C9498"/>
  <c r="C9499"/>
  <c r="C9500"/>
  <c r="C9501"/>
  <c r="C9502"/>
  <c r="C9503"/>
  <c r="C9504"/>
  <c r="C9505"/>
  <c r="C9506"/>
  <c r="C9507"/>
  <c r="C9508"/>
  <c r="C9509"/>
  <c r="C9510"/>
  <c r="C9511"/>
  <c r="C9512"/>
  <c r="C9513"/>
  <c r="C9514"/>
  <c r="C9515"/>
  <c r="C9516"/>
  <c r="C9517"/>
  <c r="C9518"/>
  <c r="C9519"/>
  <c r="C9520"/>
  <c r="C9521"/>
  <c r="C9522"/>
  <c r="C9523"/>
  <c r="C9524"/>
  <c r="C9525"/>
  <c r="C9526"/>
  <c r="C9527"/>
  <c r="C9528"/>
  <c r="C9529"/>
  <c r="C9530"/>
  <c r="C9531"/>
  <c r="C9532"/>
  <c r="C9533"/>
  <c r="C9534"/>
  <c r="C9535"/>
  <c r="C9536"/>
  <c r="C9537"/>
  <c r="C9538"/>
  <c r="C9539"/>
  <c r="C9540"/>
  <c r="C9541"/>
  <c r="C9542"/>
  <c r="C9543"/>
  <c r="C9544"/>
  <c r="C9545"/>
  <c r="C9546"/>
  <c r="C9547"/>
  <c r="C9548"/>
  <c r="C9549"/>
  <c r="C9550"/>
  <c r="C9551"/>
  <c r="C9552"/>
  <c r="C9553"/>
  <c r="C9554"/>
  <c r="C9555"/>
  <c r="C9556"/>
  <c r="C9557"/>
  <c r="C9558"/>
  <c r="C9559"/>
  <c r="C9560"/>
  <c r="C9561"/>
  <c r="C9562"/>
  <c r="C9563"/>
  <c r="C9564"/>
  <c r="C9565"/>
  <c r="C9566"/>
  <c r="C9567"/>
  <c r="C9568"/>
  <c r="C9569"/>
  <c r="C9570"/>
  <c r="C9571"/>
  <c r="C9572"/>
  <c r="C9573"/>
  <c r="C9574"/>
  <c r="C9575"/>
  <c r="C9576"/>
  <c r="C9577"/>
  <c r="C9578"/>
  <c r="C9579"/>
  <c r="C9580"/>
  <c r="C9581"/>
  <c r="C9582"/>
  <c r="C9583"/>
  <c r="C9584"/>
  <c r="C9585"/>
  <c r="C9586"/>
  <c r="C9587"/>
  <c r="C9588"/>
  <c r="C9589"/>
  <c r="C9590"/>
  <c r="C9591"/>
  <c r="C9592"/>
  <c r="C9593"/>
  <c r="C9594"/>
  <c r="C9595"/>
  <c r="C9596"/>
  <c r="C9597"/>
  <c r="C9598"/>
  <c r="C9599"/>
  <c r="C9600"/>
  <c r="C9601"/>
  <c r="C9602"/>
  <c r="C9603"/>
  <c r="C9604"/>
  <c r="C9605"/>
  <c r="C9606"/>
  <c r="C9607"/>
  <c r="C9608"/>
  <c r="C9609"/>
  <c r="C9610"/>
  <c r="C9611"/>
  <c r="C9612"/>
  <c r="C9613"/>
  <c r="C9614"/>
  <c r="C9615"/>
  <c r="C9616"/>
  <c r="C9617"/>
  <c r="C9618"/>
  <c r="C9619"/>
  <c r="C9620"/>
  <c r="C9621"/>
  <c r="C9622"/>
  <c r="C9623"/>
  <c r="C9624"/>
  <c r="C9625"/>
  <c r="C9626"/>
  <c r="C9627"/>
  <c r="C9628"/>
  <c r="C9629"/>
  <c r="C9630"/>
  <c r="C9631"/>
  <c r="C9632"/>
  <c r="C9633"/>
  <c r="C9634"/>
  <c r="C9635"/>
  <c r="C9636"/>
  <c r="C9637"/>
  <c r="C9638"/>
  <c r="C9639"/>
  <c r="C9640"/>
  <c r="C9641"/>
  <c r="C9642"/>
  <c r="C9643"/>
  <c r="C9644"/>
  <c r="C9645"/>
  <c r="C9646"/>
  <c r="C9647"/>
  <c r="C9648"/>
  <c r="C9649"/>
  <c r="C9650"/>
  <c r="C9651"/>
  <c r="C9652"/>
  <c r="C9653"/>
  <c r="C9654"/>
  <c r="C9655"/>
  <c r="C9656"/>
  <c r="C9657"/>
  <c r="C9658"/>
  <c r="C9659"/>
  <c r="C9660"/>
  <c r="C9661"/>
  <c r="C9662"/>
  <c r="C9663"/>
  <c r="C9664"/>
  <c r="C9665"/>
  <c r="C9666"/>
  <c r="C9667"/>
  <c r="C9668"/>
  <c r="C9669"/>
  <c r="C9670"/>
  <c r="C9671"/>
  <c r="C9672"/>
  <c r="C9673"/>
  <c r="C9674"/>
  <c r="C9675"/>
  <c r="C9676"/>
  <c r="C9677"/>
  <c r="C9678"/>
  <c r="C9679"/>
  <c r="C9680"/>
  <c r="C9681"/>
  <c r="C9682"/>
  <c r="C9683"/>
  <c r="C9684"/>
  <c r="C9685"/>
  <c r="C9686"/>
  <c r="C9687"/>
  <c r="C9688"/>
  <c r="C9689"/>
  <c r="C9690"/>
  <c r="C9691"/>
  <c r="C9692"/>
  <c r="C9693"/>
  <c r="C9694"/>
  <c r="C9695"/>
  <c r="C9696"/>
  <c r="C9697"/>
  <c r="C9698"/>
  <c r="C9699"/>
  <c r="C9700"/>
  <c r="C9701"/>
  <c r="C9702"/>
  <c r="C9703"/>
  <c r="C9704"/>
  <c r="C9705"/>
  <c r="C9706"/>
  <c r="C9707"/>
  <c r="C9708"/>
  <c r="C9709"/>
  <c r="C9710"/>
  <c r="C9711"/>
  <c r="C9712"/>
  <c r="C9713"/>
  <c r="C9714"/>
  <c r="C9715"/>
  <c r="C9716"/>
  <c r="C9717"/>
  <c r="C9718"/>
  <c r="C9719"/>
  <c r="C9720"/>
  <c r="C9721"/>
  <c r="C9722"/>
  <c r="C9723"/>
  <c r="C9724"/>
  <c r="C9725"/>
  <c r="C9726"/>
  <c r="C9727"/>
  <c r="C9728"/>
  <c r="C9729"/>
  <c r="C9730"/>
  <c r="C9731"/>
  <c r="C9732"/>
  <c r="C9733"/>
  <c r="C9734"/>
  <c r="C9735"/>
  <c r="C9736"/>
  <c r="C9737"/>
  <c r="C9738"/>
  <c r="C9739"/>
  <c r="C9740"/>
  <c r="C9741"/>
  <c r="C9742"/>
  <c r="C9743"/>
  <c r="C9744"/>
  <c r="C9745"/>
  <c r="C9746"/>
  <c r="C9747"/>
  <c r="C9748"/>
  <c r="C9749"/>
  <c r="C9750"/>
  <c r="C9751"/>
  <c r="C9752"/>
  <c r="C9753"/>
  <c r="C9754"/>
  <c r="C9755"/>
  <c r="C9756"/>
  <c r="C9757"/>
  <c r="C9758"/>
  <c r="C9759"/>
  <c r="C9760"/>
  <c r="C9761"/>
  <c r="C9762"/>
  <c r="C9763"/>
  <c r="C9764"/>
  <c r="C9765"/>
  <c r="C9766"/>
  <c r="C9767"/>
  <c r="C9768"/>
  <c r="C9769"/>
  <c r="C9770"/>
  <c r="C9771"/>
  <c r="C9772"/>
  <c r="C9773"/>
  <c r="C9774"/>
  <c r="C9775"/>
  <c r="C9776"/>
  <c r="C9777"/>
  <c r="C9778"/>
  <c r="C9779"/>
  <c r="C9780"/>
  <c r="C9781"/>
  <c r="C9782"/>
  <c r="C9783"/>
  <c r="C9784"/>
  <c r="C9785"/>
  <c r="C9786"/>
  <c r="C9787"/>
  <c r="C9788"/>
  <c r="C9789"/>
  <c r="C9790"/>
  <c r="C9791"/>
  <c r="C9792"/>
  <c r="C9793"/>
  <c r="C9794"/>
  <c r="C9795"/>
  <c r="C9796"/>
  <c r="C9797"/>
  <c r="C9798"/>
  <c r="C9799"/>
  <c r="C9800"/>
  <c r="C9801"/>
  <c r="C9802"/>
  <c r="C9803"/>
  <c r="C9804"/>
  <c r="C9805"/>
  <c r="C9806"/>
  <c r="C9807"/>
  <c r="C9808"/>
  <c r="C9809"/>
  <c r="C9810"/>
  <c r="C9811"/>
  <c r="C9812"/>
  <c r="C9813"/>
  <c r="C9814"/>
  <c r="C9815"/>
  <c r="C9816"/>
  <c r="C9817"/>
  <c r="C9818"/>
  <c r="C9819"/>
  <c r="C9820"/>
  <c r="C9821"/>
  <c r="C9822"/>
  <c r="C9823"/>
  <c r="C9824"/>
  <c r="C9825"/>
  <c r="C9826"/>
  <c r="C9827"/>
  <c r="C9828"/>
  <c r="C9829"/>
  <c r="C9830"/>
  <c r="C9831"/>
  <c r="C9832"/>
  <c r="C9833"/>
  <c r="C9834"/>
  <c r="C9835"/>
  <c r="C9836"/>
  <c r="C9837"/>
  <c r="C9838"/>
  <c r="C9839"/>
  <c r="C9840"/>
  <c r="C9841"/>
  <c r="C9842"/>
  <c r="C9843"/>
  <c r="C9844"/>
  <c r="C9845"/>
  <c r="C9846"/>
  <c r="C9847"/>
  <c r="C9848"/>
  <c r="C9849"/>
  <c r="C9850"/>
  <c r="C9851"/>
  <c r="C9852"/>
  <c r="C9853"/>
  <c r="C9854"/>
  <c r="C9855"/>
  <c r="C9856"/>
  <c r="C9857"/>
  <c r="C9858"/>
  <c r="C9859"/>
  <c r="C9860"/>
  <c r="C9861"/>
  <c r="C9862"/>
  <c r="C9863"/>
  <c r="C9864"/>
  <c r="C9865"/>
  <c r="C9866"/>
  <c r="C9867"/>
  <c r="C9868"/>
  <c r="C9869"/>
  <c r="C9870"/>
  <c r="C9871"/>
  <c r="C9872"/>
  <c r="C9873"/>
  <c r="C9874"/>
  <c r="C9875"/>
  <c r="C9876"/>
  <c r="C9877"/>
  <c r="C9878"/>
  <c r="C9879"/>
  <c r="C9880"/>
  <c r="C9881"/>
  <c r="C9882"/>
  <c r="C9883"/>
  <c r="C9884"/>
  <c r="C9885"/>
  <c r="C9886"/>
  <c r="C9887"/>
  <c r="C9888"/>
  <c r="C9889"/>
  <c r="C9890"/>
  <c r="C9891"/>
  <c r="C9892"/>
  <c r="C9893"/>
  <c r="C9894"/>
  <c r="C9895"/>
  <c r="C9896"/>
  <c r="C9897"/>
  <c r="C9898"/>
  <c r="C9899"/>
  <c r="C9900"/>
  <c r="C9901"/>
  <c r="C9902"/>
  <c r="C9903"/>
  <c r="C9904"/>
  <c r="C9905"/>
  <c r="C9906"/>
  <c r="C9907"/>
  <c r="C9908"/>
  <c r="C9909"/>
  <c r="C9910"/>
  <c r="C9911"/>
  <c r="C9912"/>
  <c r="C9913"/>
  <c r="C9914"/>
  <c r="C9915"/>
  <c r="C9916"/>
  <c r="C9917"/>
  <c r="C9918"/>
  <c r="C9919"/>
  <c r="C9920"/>
  <c r="C9921"/>
  <c r="C9922"/>
  <c r="C9923"/>
  <c r="C9924"/>
  <c r="C9925"/>
  <c r="C9926"/>
  <c r="C9927"/>
  <c r="C9928"/>
  <c r="C9929"/>
  <c r="C9930"/>
  <c r="C9931"/>
  <c r="C9932"/>
  <c r="C9933"/>
  <c r="C9934"/>
  <c r="C9935"/>
  <c r="C9936"/>
  <c r="C9937"/>
  <c r="C9938"/>
  <c r="C9939"/>
  <c r="C9940"/>
  <c r="C9941"/>
  <c r="C9942"/>
  <c r="C9943"/>
  <c r="C9944"/>
  <c r="C9945"/>
  <c r="C9946"/>
  <c r="C9947"/>
  <c r="C9948"/>
  <c r="C9949"/>
  <c r="C9950"/>
  <c r="C9951"/>
  <c r="C9952"/>
  <c r="C9953"/>
  <c r="C9954"/>
  <c r="C9955"/>
  <c r="C9956"/>
  <c r="C9957"/>
  <c r="C9958"/>
  <c r="C9959"/>
  <c r="C9960"/>
  <c r="C9961"/>
  <c r="C9962"/>
  <c r="C9963"/>
  <c r="C9964"/>
  <c r="C9965"/>
  <c r="C9966"/>
  <c r="C9967"/>
  <c r="C9968"/>
  <c r="C9969"/>
  <c r="C9970"/>
  <c r="C9971"/>
  <c r="C9972"/>
  <c r="C9973"/>
  <c r="C9974"/>
  <c r="C9975"/>
  <c r="C9976"/>
  <c r="C9977"/>
  <c r="C9978"/>
  <c r="C9979"/>
  <c r="C9980"/>
  <c r="C9981"/>
  <c r="C9982"/>
  <c r="C9983"/>
  <c r="C9984"/>
  <c r="C9985"/>
  <c r="C9986"/>
  <c r="C9987"/>
  <c r="C9988"/>
  <c r="C9989"/>
  <c r="C9990"/>
  <c r="C9991"/>
  <c r="C9992"/>
  <c r="C9993"/>
  <c r="C9994"/>
  <c r="C9995"/>
  <c r="C9996"/>
  <c r="C9997"/>
  <c r="C9998"/>
  <c r="C9999"/>
  <c r="C10000"/>
  <c r="C10001"/>
  <c r="J3" l="1"/>
  <c r="J5"/>
  <c r="K2"/>
  <c r="J2"/>
  <c r="J4"/>
  <c r="D336"/>
  <c r="D768"/>
  <c r="D1200"/>
  <c r="D1621"/>
  <c r="D3061"/>
  <c r="D3349"/>
  <c r="D5085"/>
  <c r="D5157"/>
  <c r="D6669"/>
  <c r="E9989"/>
  <c r="D9989"/>
  <c r="E9821"/>
  <c r="D9821"/>
  <c r="E9401"/>
  <c r="D9401"/>
  <c r="E9906"/>
  <c r="D9906"/>
  <c r="E9834"/>
  <c r="D9834"/>
  <c r="E9738"/>
  <c r="D9738"/>
  <c r="E9678"/>
  <c r="D9678"/>
  <c r="E9594"/>
  <c r="D9594"/>
  <c r="E9534"/>
  <c r="D9534"/>
  <c r="E9462"/>
  <c r="D9462"/>
  <c r="E9378"/>
  <c r="D9378"/>
  <c r="E9282"/>
  <c r="D9282"/>
  <c r="E9222"/>
  <c r="D9222"/>
  <c r="E9150"/>
  <c r="D9150"/>
  <c r="E9054"/>
  <c r="D9054"/>
  <c r="E8946"/>
  <c r="D8946"/>
  <c r="E8850"/>
  <c r="D8850"/>
  <c r="E8766"/>
  <c r="D8766"/>
  <c r="E8682"/>
  <c r="D8682"/>
  <c r="E8586"/>
  <c r="D8586"/>
  <c r="E8514"/>
  <c r="D8514"/>
  <c r="E8406"/>
  <c r="D8406"/>
  <c r="E8310"/>
  <c r="D8310"/>
  <c r="E8262"/>
  <c r="D8262"/>
  <c r="E8202"/>
  <c r="D8202"/>
  <c r="E8142"/>
  <c r="D8142"/>
  <c r="E8070"/>
  <c r="D8070"/>
  <c r="E8022"/>
  <c r="D8022"/>
  <c r="E7974"/>
  <c r="D7974"/>
  <c r="E7914"/>
  <c r="D7914"/>
  <c r="E7854"/>
  <c r="D7854"/>
  <c r="E7818"/>
  <c r="D7818"/>
  <c r="E7734"/>
  <c r="D7734"/>
  <c r="E7650"/>
  <c r="D7650"/>
  <c r="E7602"/>
  <c r="D7602"/>
  <c r="E7542"/>
  <c r="D7542"/>
  <c r="E7494"/>
  <c r="D7494"/>
  <c r="E7434"/>
  <c r="D7434"/>
  <c r="E7374"/>
  <c r="D7374"/>
  <c r="E7326"/>
  <c r="D7326"/>
  <c r="E7278"/>
  <c r="D7278"/>
  <c r="E7218"/>
  <c r="D7218"/>
  <c r="E7182"/>
  <c r="D7182"/>
  <c r="E7146"/>
  <c r="D7146"/>
  <c r="E7098"/>
  <c r="D7098"/>
  <c r="E7086"/>
  <c r="D7086"/>
  <c r="E7026"/>
  <c r="D7026"/>
  <c r="E6978"/>
  <c r="D6978"/>
  <c r="E6930"/>
  <c r="D6930"/>
  <c r="E6882"/>
  <c r="D6882"/>
  <c r="E6846"/>
  <c r="D6846"/>
  <c r="E6774"/>
  <c r="D6774"/>
  <c r="E6714"/>
  <c r="D6714"/>
  <c r="E6642"/>
  <c r="D6642"/>
  <c r="E6594"/>
  <c r="D6594"/>
  <c r="E6546"/>
  <c r="D6546"/>
  <c r="E6498"/>
  <c r="D6498"/>
  <c r="E6450"/>
  <c r="D6450"/>
  <c r="E6390"/>
  <c r="D6390"/>
  <c r="E6318"/>
  <c r="D6318"/>
  <c r="E6042"/>
  <c r="D6042"/>
  <c r="E10001"/>
  <c r="D10001"/>
  <c r="E9941"/>
  <c r="D9941"/>
  <c r="E9917"/>
  <c r="D9917"/>
  <c r="E9869"/>
  <c r="D9869"/>
  <c r="E9833"/>
  <c r="D9833"/>
  <c r="E9797"/>
  <c r="D9797"/>
  <c r="E9761"/>
  <c r="D9761"/>
  <c r="E9737"/>
  <c r="D9737"/>
  <c r="E9701"/>
  <c r="D9701"/>
  <c r="E9665"/>
  <c r="D9665"/>
  <c r="E9641"/>
  <c r="D9641"/>
  <c r="E9617"/>
  <c r="D9617"/>
  <c r="E9593"/>
  <c r="D9593"/>
  <c r="E9569"/>
  <c r="D9569"/>
  <c r="E9545"/>
  <c r="D9545"/>
  <c r="E9521"/>
  <c r="D9521"/>
  <c r="E9497"/>
  <c r="D9497"/>
  <c r="E9473"/>
  <c r="D9473"/>
  <c r="E9449"/>
  <c r="D9449"/>
  <c r="E9425"/>
  <c r="D9425"/>
  <c r="E9377"/>
  <c r="D9377"/>
  <c r="E9353"/>
  <c r="D9353"/>
  <c r="E9329"/>
  <c r="D9329"/>
  <c r="E9305"/>
  <c r="D9305"/>
  <c r="E9293"/>
  <c r="D9293"/>
  <c r="E9269"/>
  <c r="D9269"/>
  <c r="E9233"/>
  <c r="D9233"/>
  <c r="E9197"/>
  <c r="D9197"/>
  <c r="E9173"/>
  <c r="D9173"/>
  <c r="E9149"/>
  <c r="D9149"/>
  <c r="E9125"/>
  <c r="D9125"/>
  <c r="E9089"/>
  <c r="D9089"/>
  <c r="E9065"/>
  <c r="D9065"/>
  <c r="E9041"/>
  <c r="D9041"/>
  <c r="E9930"/>
  <c r="D9930"/>
  <c r="E9846"/>
  <c r="D9846"/>
  <c r="E9762"/>
  <c r="D9762"/>
  <c r="E9714"/>
  <c r="D9714"/>
  <c r="E9618"/>
  <c r="D9618"/>
  <c r="E9546"/>
  <c r="D9546"/>
  <c r="E9450"/>
  <c r="D9450"/>
  <c r="E9366"/>
  <c r="D9366"/>
  <c r="E9270"/>
  <c r="D9270"/>
  <c r="D9186"/>
  <c r="E9186"/>
  <c r="E9114"/>
  <c r="D9114"/>
  <c r="E9030"/>
  <c r="D9030"/>
  <c r="E8958"/>
  <c r="D8958"/>
  <c r="E8886"/>
  <c r="D8886"/>
  <c r="E8790"/>
  <c r="D8790"/>
  <c r="E8706"/>
  <c r="D8706"/>
  <c r="E8610"/>
  <c r="D8610"/>
  <c r="E8526"/>
  <c r="D8526"/>
  <c r="E8418"/>
  <c r="D8418"/>
  <c r="E8250"/>
  <c r="D8250"/>
  <c r="E7746"/>
  <c r="D7746"/>
  <c r="E9857"/>
  <c r="D9857"/>
  <c r="E9245"/>
  <c r="D9245"/>
  <c r="E9954"/>
  <c r="D9954"/>
  <c r="E9786"/>
  <c r="D9786"/>
  <c r="E9630"/>
  <c r="D9630"/>
  <c r="E9486"/>
  <c r="D9486"/>
  <c r="E9354"/>
  <c r="D9354"/>
  <c r="E9258"/>
  <c r="D9258"/>
  <c r="E9174"/>
  <c r="D9174"/>
  <c r="E9102"/>
  <c r="D9102"/>
  <c r="E9006"/>
  <c r="D9006"/>
  <c r="E8910"/>
  <c r="D8910"/>
  <c r="E8826"/>
  <c r="D8826"/>
  <c r="E8730"/>
  <c r="D8730"/>
  <c r="E8658"/>
  <c r="D8658"/>
  <c r="E8550"/>
  <c r="D8550"/>
  <c r="E8370"/>
  <c r="D8370"/>
  <c r="E8154"/>
  <c r="D8154"/>
  <c r="E7566"/>
  <c r="D7566"/>
  <c r="E5982"/>
  <c r="D5982"/>
  <c r="E9990"/>
  <c r="D9990"/>
  <c r="E9894"/>
  <c r="D9894"/>
  <c r="E9822"/>
  <c r="D9822"/>
  <c r="E9726"/>
  <c r="D9726"/>
  <c r="E9666"/>
  <c r="D9666"/>
  <c r="E9570"/>
  <c r="D9570"/>
  <c r="E9510"/>
  <c r="D9510"/>
  <c r="E9438"/>
  <c r="D9438"/>
  <c r="E9390"/>
  <c r="D9390"/>
  <c r="E9306"/>
  <c r="D9306"/>
  <c r="E9234"/>
  <c r="D9234"/>
  <c r="D9138"/>
  <c r="E9138"/>
  <c r="E9042"/>
  <c r="D9042"/>
  <c r="E8922"/>
  <c r="D8922"/>
  <c r="E8838"/>
  <c r="D8838"/>
  <c r="E8742"/>
  <c r="D8742"/>
  <c r="E8634"/>
  <c r="D8634"/>
  <c r="E8478"/>
  <c r="D8478"/>
  <c r="E8238"/>
  <c r="D8238"/>
  <c r="E8190"/>
  <c r="D8190"/>
  <c r="E8118"/>
  <c r="D8118"/>
  <c r="E8058"/>
  <c r="D8058"/>
  <c r="E8010"/>
  <c r="D8010"/>
  <c r="E7962"/>
  <c r="D7962"/>
  <c r="E7902"/>
  <c r="D7902"/>
  <c r="E7842"/>
  <c r="D7842"/>
  <c r="E7782"/>
  <c r="D7782"/>
  <c r="E7722"/>
  <c r="D7722"/>
  <c r="E7662"/>
  <c r="D7662"/>
  <c r="E7614"/>
  <c r="D7614"/>
  <c r="E7554"/>
  <c r="D7554"/>
  <c r="E7482"/>
  <c r="D7482"/>
  <c r="E7422"/>
  <c r="D7422"/>
  <c r="E7386"/>
  <c r="D7386"/>
  <c r="E7338"/>
  <c r="D7338"/>
  <c r="E7290"/>
  <c r="D7290"/>
  <c r="E7230"/>
  <c r="D7230"/>
  <c r="E7194"/>
  <c r="D7194"/>
  <c r="E7158"/>
  <c r="D7158"/>
  <c r="E7110"/>
  <c r="D7110"/>
  <c r="E7074"/>
  <c r="D7074"/>
  <c r="E7038"/>
  <c r="D7038"/>
  <c r="E6990"/>
  <c r="D6990"/>
  <c r="E6942"/>
  <c r="D6942"/>
  <c r="E6894"/>
  <c r="D6894"/>
  <c r="E6834"/>
  <c r="D6834"/>
  <c r="E6786"/>
  <c r="D6786"/>
  <c r="E6690"/>
  <c r="D6690"/>
  <c r="E6534"/>
  <c r="D6534"/>
  <c r="E6018"/>
  <c r="D6018"/>
  <c r="E9953"/>
  <c r="D9953"/>
  <c r="E9929"/>
  <c r="D9929"/>
  <c r="E9893"/>
  <c r="D9893"/>
  <c r="E9845"/>
  <c r="D9845"/>
  <c r="E9809"/>
  <c r="D9809"/>
  <c r="E9773"/>
  <c r="D9773"/>
  <c r="E9749"/>
  <c r="D9749"/>
  <c r="E9725"/>
  <c r="D9725"/>
  <c r="E9677"/>
  <c r="D9677"/>
  <c r="E9653"/>
  <c r="D9653"/>
  <c r="E9629"/>
  <c r="D9629"/>
  <c r="E9605"/>
  <c r="D9605"/>
  <c r="E9581"/>
  <c r="D9581"/>
  <c r="E9557"/>
  <c r="D9557"/>
  <c r="E9533"/>
  <c r="D9533"/>
  <c r="E9509"/>
  <c r="D9509"/>
  <c r="E9485"/>
  <c r="D9485"/>
  <c r="E9461"/>
  <c r="D9461"/>
  <c r="E9437"/>
  <c r="D9437"/>
  <c r="E9389"/>
  <c r="D9389"/>
  <c r="E9365"/>
  <c r="D9365"/>
  <c r="E9341"/>
  <c r="D9341"/>
  <c r="E9317"/>
  <c r="D9317"/>
  <c r="E9281"/>
  <c r="D9281"/>
  <c r="E9257"/>
  <c r="D9257"/>
  <c r="E9221"/>
  <c r="D9221"/>
  <c r="E9185"/>
  <c r="D9185"/>
  <c r="E9161"/>
  <c r="D9161"/>
  <c r="E9137"/>
  <c r="D9137"/>
  <c r="E9101"/>
  <c r="D9101"/>
  <c r="E9077"/>
  <c r="D9077"/>
  <c r="E9053"/>
  <c r="D9053"/>
  <c r="E9918"/>
  <c r="D9918"/>
  <c r="E9858"/>
  <c r="D9858"/>
  <c r="E9774"/>
  <c r="D9774"/>
  <c r="E9702"/>
  <c r="D9702"/>
  <c r="E9606"/>
  <c r="D9606"/>
  <c r="E9522"/>
  <c r="D9522"/>
  <c r="E9414"/>
  <c r="D9414"/>
  <c r="E9342"/>
  <c r="D9342"/>
  <c r="E9246"/>
  <c r="D9246"/>
  <c r="E9162"/>
  <c r="D9162"/>
  <c r="D9090"/>
  <c r="E9090"/>
  <c r="E9018"/>
  <c r="D9018"/>
  <c r="E8934"/>
  <c r="D8934"/>
  <c r="E8862"/>
  <c r="D8862"/>
  <c r="E8778"/>
  <c r="D8778"/>
  <c r="E8718"/>
  <c r="D8718"/>
  <c r="E8622"/>
  <c r="D8622"/>
  <c r="E8562"/>
  <c r="D8562"/>
  <c r="E8466"/>
  <c r="D8466"/>
  <c r="E8442"/>
  <c r="D8442"/>
  <c r="E8382"/>
  <c r="D8382"/>
  <c r="E8346"/>
  <c r="D8346"/>
  <c r="E8286"/>
  <c r="D8286"/>
  <c r="E8226"/>
  <c r="D8226"/>
  <c r="E8166"/>
  <c r="D8166"/>
  <c r="E8106"/>
  <c r="D8106"/>
  <c r="E8034"/>
  <c r="D8034"/>
  <c r="E7950"/>
  <c r="D7950"/>
  <c r="E7890"/>
  <c r="D7890"/>
  <c r="E7830"/>
  <c r="D7830"/>
  <c r="E7770"/>
  <c r="D7770"/>
  <c r="E7674"/>
  <c r="D7674"/>
  <c r="E7590"/>
  <c r="D7590"/>
  <c r="E7518"/>
  <c r="D7518"/>
  <c r="E7470"/>
  <c r="D7470"/>
  <c r="E7410"/>
  <c r="D7410"/>
  <c r="E7350"/>
  <c r="D7350"/>
  <c r="E7302"/>
  <c r="D7302"/>
  <c r="E7254"/>
  <c r="D7254"/>
  <c r="E7206"/>
  <c r="D7206"/>
  <c r="E7170"/>
  <c r="D7170"/>
  <c r="E7122"/>
  <c r="D7122"/>
  <c r="E7062"/>
  <c r="D7062"/>
  <c r="E7014"/>
  <c r="D7014"/>
  <c r="E6966"/>
  <c r="D6966"/>
  <c r="E6918"/>
  <c r="D6918"/>
  <c r="E6858"/>
  <c r="D6858"/>
  <c r="E6798"/>
  <c r="D6798"/>
  <c r="E6750"/>
  <c r="D6750"/>
  <c r="E6702"/>
  <c r="D6702"/>
  <c r="E6654"/>
  <c r="D6654"/>
  <c r="E6606"/>
  <c r="D6606"/>
  <c r="E6558"/>
  <c r="D6558"/>
  <c r="E6510"/>
  <c r="D6510"/>
  <c r="E6462"/>
  <c r="D6462"/>
  <c r="E6414"/>
  <c r="D6414"/>
  <c r="E6330"/>
  <c r="D6330"/>
  <c r="E6066"/>
  <c r="D6066"/>
  <c r="E9785"/>
  <c r="D9785"/>
  <c r="E9942"/>
  <c r="D9942"/>
  <c r="E9810"/>
  <c r="D9810"/>
  <c r="E9642"/>
  <c r="D9642"/>
  <c r="E9474"/>
  <c r="D9474"/>
  <c r="E9294"/>
  <c r="D9294"/>
  <c r="E9126"/>
  <c r="D9126"/>
  <c r="E8970"/>
  <c r="D8970"/>
  <c r="E8814"/>
  <c r="D8814"/>
  <c r="E8646"/>
  <c r="D8646"/>
  <c r="E8502"/>
  <c r="D8502"/>
  <c r="E8322"/>
  <c r="D8322"/>
  <c r="E8082"/>
  <c r="D8082"/>
  <c r="E7698"/>
  <c r="D7698"/>
  <c r="E7002"/>
  <c r="D7002"/>
  <c r="E9965"/>
  <c r="D9965"/>
  <c r="E9881"/>
  <c r="D9881"/>
  <c r="E9689"/>
  <c r="D9689"/>
  <c r="E9113"/>
  <c r="D9113"/>
  <c r="E9978"/>
  <c r="D9978"/>
  <c r="E9882"/>
  <c r="D9882"/>
  <c r="E9798"/>
  <c r="D9798"/>
  <c r="E9690"/>
  <c r="D9690"/>
  <c r="E9582"/>
  <c r="D9582"/>
  <c r="E9498"/>
  <c r="D9498"/>
  <c r="E9402"/>
  <c r="D9402"/>
  <c r="E9318"/>
  <c r="D9318"/>
  <c r="E9210"/>
  <c r="D9210"/>
  <c r="E9078"/>
  <c r="D9078"/>
  <c r="E8994"/>
  <c r="D8994"/>
  <c r="E8898"/>
  <c r="D8898"/>
  <c r="E8802"/>
  <c r="D8802"/>
  <c r="E8694"/>
  <c r="D8694"/>
  <c r="E8598"/>
  <c r="D8598"/>
  <c r="E8538"/>
  <c r="D8538"/>
  <c r="E8454"/>
  <c r="D8454"/>
  <c r="E8394"/>
  <c r="D8394"/>
  <c r="E8334"/>
  <c r="D8334"/>
  <c r="E8274"/>
  <c r="D8274"/>
  <c r="E8178"/>
  <c r="D8178"/>
  <c r="E8094"/>
  <c r="D8094"/>
  <c r="E7998"/>
  <c r="D7998"/>
  <c r="E7938"/>
  <c r="D7938"/>
  <c r="E7878"/>
  <c r="D7878"/>
  <c r="E7806"/>
  <c r="D7806"/>
  <c r="E7710"/>
  <c r="D7710"/>
  <c r="E7638"/>
  <c r="D7638"/>
  <c r="E7578"/>
  <c r="D7578"/>
  <c r="E7506"/>
  <c r="D7506"/>
  <c r="E7458"/>
  <c r="D7458"/>
  <c r="E7398"/>
  <c r="D7398"/>
  <c r="E7314"/>
  <c r="D7314"/>
  <c r="E7242"/>
  <c r="D7242"/>
  <c r="E7134"/>
  <c r="D7134"/>
  <c r="E6906"/>
  <c r="D6906"/>
  <c r="E6822"/>
  <c r="D6822"/>
  <c r="E6762"/>
  <c r="D6762"/>
  <c r="E6726"/>
  <c r="D6726"/>
  <c r="E6666"/>
  <c r="D6666"/>
  <c r="E6618"/>
  <c r="D6618"/>
  <c r="E6582"/>
  <c r="D6582"/>
  <c r="E6522"/>
  <c r="D6522"/>
  <c r="E6474"/>
  <c r="D6474"/>
  <c r="E6426"/>
  <c r="D6426"/>
  <c r="E6378"/>
  <c r="D6378"/>
  <c r="E6366"/>
  <c r="D6366"/>
  <c r="E6342"/>
  <c r="D6342"/>
  <c r="E6294"/>
  <c r="D6294"/>
  <c r="E6078"/>
  <c r="D6078"/>
  <c r="E6054"/>
  <c r="D6054"/>
  <c r="E6030"/>
  <c r="D6030"/>
  <c r="E5970"/>
  <c r="D5970"/>
  <c r="E9977"/>
  <c r="D9977"/>
  <c r="E9905"/>
  <c r="D9905"/>
  <c r="E9713"/>
  <c r="D9713"/>
  <c r="E9209"/>
  <c r="D9209"/>
  <c r="E9966"/>
  <c r="D9966"/>
  <c r="E9870"/>
  <c r="D9870"/>
  <c r="E9750"/>
  <c r="D9750"/>
  <c r="E9654"/>
  <c r="D9654"/>
  <c r="E9558"/>
  <c r="D9558"/>
  <c r="E9426"/>
  <c r="D9426"/>
  <c r="E9330"/>
  <c r="D9330"/>
  <c r="E9198"/>
  <c r="D9198"/>
  <c r="E9066"/>
  <c r="D9066"/>
  <c r="E8982"/>
  <c r="D8982"/>
  <c r="E8874"/>
  <c r="D8874"/>
  <c r="E8754"/>
  <c r="D8754"/>
  <c r="E8670"/>
  <c r="D8670"/>
  <c r="E8574"/>
  <c r="D8574"/>
  <c r="E8490"/>
  <c r="D8490"/>
  <c r="E8430"/>
  <c r="D8430"/>
  <c r="E8358"/>
  <c r="D8358"/>
  <c r="E8298"/>
  <c r="D8298"/>
  <c r="E8214"/>
  <c r="D8214"/>
  <c r="E8130"/>
  <c r="D8130"/>
  <c r="E8046"/>
  <c r="D8046"/>
  <c r="E7986"/>
  <c r="D7986"/>
  <c r="E7926"/>
  <c r="D7926"/>
  <c r="E7866"/>
  <c r="D7866"/>
  <c r="E7794"/>
  <c r="D7794"/>
  <c r="E7686"/>
  <c r="D7686"/>
  <c r="E7626"/>
  <c r="D7626"/>
  <c r="E7530"/>
  <c r="D7530"/>
  <c r="E7446"/>
  <c r="D7446"/>
  <c r="E7362"/>
  <c r="D7362"/>
  <c r="E7266"/>
  <c r="D7266"/>
  <c r="E7050"/>
  <c r="D7050"/>
  <c r="E6954"/>
  <c r="D6954"/>
  <c r="E6870"/>
  <c r="D6870"/>
  <c r="E6810"/>
  <c r="D6810"/>
  <c r="E6738"/>
  <c r="D6738"/>
  <c r="E6678"/>
  <c r="D6678"/>
  <c r="E6630"/>
  <c r="D6630"/>
  <c r="E6570"/>
  <c r="D6570"/>
  <c r="E6486"/>
  <c r="D6486"/>
  <c r="E6438"/>
  <c r="D6438"/>
  <c r="E6402"/>
  <c r="D6402"/>
  <c r="E6354"/>
  <c r="D6354"/>
  <c r="E6306"/>
  <c r="D6306"/>
  <c r="E5994"/>
  <c r="D5994"/>
  <c r="E9413"/>
  <c r="D9413"/>
  <c r="E7758"/>
  <c r="D7758"/>
  <c r="E10000"/>
  <c r="D10000"/>
  <c r="E9988"/>
  <c r="D9988"/>
  <c r="D9976"/>
  <c r="E9976"/>
  <c r="E9964"/>
  <c r="D9964"/>
  <c r="E9952"/>
  <c r="D9952"/>
  <c r="E9940"/>
  <c r="D9940"/>
  <c r="E9928"/>
  <c r="D9928"/>
  <c r="E9916"/>
  <c r="D9916"/>
  <c r="D9904"/>
  <c r="E9904"/>
  <c r="E9892"/>
  <c r="D9892"/>
  <c r="E9880"/>
  <c r="D9880"/>
  <c r="E9868"/>
  <c r="D9868"/>
  <c r="E9856"/>
  <c r="D9856"/>
  <c r="E9844"/>
  <c r="D9844"/>
  <c r="E9832"/>
  <c r="D9832"/>
  <c r="E9820"/>
  <c r="D9820"/>
  <c r="E9808"/>
  <c r="D9808"/>
  <c r="E9796"/>
  <c r="D9796"/>
  <c r="E9784"/>
  <c r="D9784"/>
  <c r="E9772"/>
  <c r="D9772"/>
  <c r="E9760"/>
  <c r="D9760"/>
  <c r="E9748"/>
  <c r="D9748"/>
  <c r="E9736"/>
  <c r="D9736"/>
  <c r="E9724"/>
  <c r="D9724"/>
  <c r="E9712"/>
  <c r="D9712"/>
  <c r="E9700"/>
  <c r="D9700"/>
  <c r="E9688"/>
  <c r="D9688"/>
  <c r="E9676"/>
  <c r="D9676"/>
  <c r="E9664"/>
  <c r="D9664"/>
  <c r="E9652"/>
  <c r="D9652"/>
  <c r="E9640"/>
  <c r="D9640"/>
  <c r="E9628"/>
  <c r="D9628"/>
  <c r="D9616"/>
  <c r="E9616"/>
  <c r="E9604"/>
  <c r="D9604"/>
  <c r="E9592"/>
  <c r="D9592"/>
  <c r="E9580"/>
  <c r="D9580"/>
  <c r="E9568"/>
  <c r="D9568"/>
  <c r="E9556"/>
  <c r="D9556"/>
  <c r="D9544"/>
  <c r="E9544"/>
  <c r="E9532"/>
  <c r="D9532"/>
  <c r="E9520"/>
  <c r="D9520"/>
  <c r="E9508"/>
  <c r="D9508"/>
  <c r="E9496"/>
  <c r="D9496"/>
  <c r="E9484"/>
  <c r="D9484"/>
  <c r="D9472"/>
  <c r="E9472"/>
  <c r="E9460"/>
  <c r="D9460"/>
  <c r="E9448"/>
  <c r="D9448"/>
  <c r="E9436"/>
  <c r="D9436"/>
  <c r="E9424"/>
  <c r="D9424"/>
  <c r="E9412"/>
  <c r="D9412"/>
  <c r="E9400"/>
  <c r="D9400"/>
  <c r="E9388"/>
  <c r="D9388"/>
  <c r="E9376"/>
  <c r="D9376"/>
  <c r="E9364"/>
  <c r="D9364"/>
  <c r="E9352"/>
  <c r="D9352"/>
  <c r="E9340"/>
  <c r="D9340"/>
  <c r="E9328"/>
  <c r="D9328"/>
  <c r="E9316"/>
  <c r="D9316"/>
  <c r="E9304"/>
  <c r="D9304"/>
  <c r="E9292"/>
  <c r="D9292"/>
  <c r="E9280"/>
  <c r="D9280"/>
  <c r="D9268"/>
  <c r="E9268"/>
  <c r="D9256"/>
  <c r="E9256"/>
  <c r="E9244"/>
  <c r="D9244"/>
  <c r="E9232"/>
  <c r="D9232"/>
  <c r="E9220"/>
  <c r="D9220"/>
  <c r="E9208"/>
  <c r="D9208"/>
  <c r="E9196"/>
  <c r="D9196"/>
  <c r="E9184"/>
  <c r="D9184"/>
  <c r="E9172"/>
  <c r="D9172"/>
  <c r="E9160"/>
  <c r="D9160"/>
  <c r="E9148"/>
  <c r="D9148"/>
  <c r="E9136"/>
  <c r="D9136"/>
  <c r="E9124"/>
  <c r="D9124"/>
  <c r="E9112"/>
  <c r="D9112"/>
  <c r="E9100"/>
  <c r="D9100"/>
  <c r="E9088"/>
  <c r="D9088"/>
  <c r="E9076"/>
  <c r="D9076"/>
  <c r="E9064"/>
  <c r="D9064"/>
  <c r="E9052"/>
  <c r="D9052"/>
  <c r="E9040"/>
  <c r="D9040"/>
  <c r="E9028"/>
  <c r="D9028"/>
  <c r="E9016"/>
  <c r="D9016"/>
  <c r="E9004"/>
  <c r="D9004"/>
  <c r="E8992"/>
  <c r="D8992"/>
  <c r="E8980"/>
  <c r="D8980"/>
  <c r="E8968"/>
  <c r="D8968"/>
  <c r="E8956"/>
  <c r="D8956"/>
  <c r="E8944"/>
  <c r="D8944"/>
  <c r="E8932"/>
  <c r="D8932"/>
  <c r="E8920"/>
  <c r="D8920"/>
  <c r="E8908"/>
  <c r="D8908"/>
  <c r="E8896"/>
  <c r="D8896"/>
  <c r="E8884"/>
  <c r="D8884"/>
  <c r="E8872"/>
  <c r="D8872"/>
  <c r="E8860"/>
  <c r="D8860"/>
  <c r="E8848"/>
  <c r="D8848"/>
  <c r="E8836"/>
  <c r="D8836"/>
  <c r="E8824"/>
  <c r="D8824"/>
  <c r="E8812"/>
  <c r="D8812"/>
  <c r="E8800"/>
  <c r="D8800"/>
  <c r="E8788"/>
  <c r="D8788"/>
  <c r="E8776"/>
  <c r="D8776"/>
  <c r="E8764"/>
  <c r="D8764"/>
  <c r="E8752"/>
  <c r="D8752"/>
  <c r="E8740"/>
  <c r="D8740"/>
  <c r="E8728"/>
  <c r="D8728"/>
  <c r="E8716"/>
  <c r="D8716"/>
  <c r="E8704"/>
  <c r="D8704"/>
  <c r="E8692"/>
  <c r="D8692"/>
  <c r="E8680"/>
  <c r="D8680"/>
  <c r="E8668"/>
  <c r="D8668"/>
  <c r="E8656"/>
  <c r="D8656"/>
  <c r="E8644"/>
  <c r="D8644"/>
  <c r="E8632"/>
  <c r="D8632"/>
  <c r="E8620"/>
  <c r="D8620"/>
  <c r="E8608"/>
  <c r="D8608"/>
  <c r="E8596"/>
  <c r="D8596"/>
  <c r="E8584"/>
  <c r="D8584"/>
  <c r="E8572"/>
  <c r="D8572"/>
  <c r="E8560"/>
  <c r="D8560"/>
  <c r="E8548"/>
  <c r="D8548"/>
  <c r="E9029"/>
  <c r="D9029"/>
  <c r="E9017"/>
  <c r="D9017"/>
  <c r="E9005"/>
  <c r="D9005"/>
  <c r="E8993"/>
  <c r="D8993"/>
  <c r="E8981"/>
  <c r="D8981"/>
  <c r="E8969"/>
  <c r="D8969"/>
  <c r="E8957"/>
  <c r="D8957"/>
  <c r="E8945"/>
  <c r="D8945"/>
  <c r="E8933"/>
  <c r="D8933"/>
  <c r="E8921"/>
  <c r="D8921"/>
  <c r="E8909"/>
  <c r="D8909"/>
  <c r="E8897"/>
  <c r="D8897"/>
  <c r="E8885"/>
  <c r="D8885"/>
  <c r="E8873"/>
  <c r="D8873"/>
  <c r="E8861"/>
  <c r="D8861"/>
  <c r="E8849"/>
  <c r="D8849"/>
  <c r="E8837"/>
  <c r="D8837"/>
  <c r="E8825"/>
  <c r="D8825"/>
  <c r="E8813"/>
  <c r="D8813"/>
  <c r="E8801"/>
  <c r="D8801"/>
  <c r="E8789"/>
  <c r="D8789"/>
  <c r="E8777"/>
  <c r="D8777"/>
  <c r="E8765"/>
  <c r="D8765"/>
  <c r="E8753"/>
  <c r="D8753"/>
  <c r="E8741"/>
  <c r="D8741"/>
  <c r="E8729"/>
  <c r="D8729"/>
  <c r="E8717"/>
  <c r="D8717"/>
  <c r="E8705"/>
  <c r="D8705"/>
  <c r="E8693"/>
  <c r="D8693"/>
  <c r="E8681"/>
  <c r="D8681"/>
  <c r="E8669"/>
  <c r="D8669"/>
  <c r="E8657"/>
  <c r="D8657"/>
  <c r="E8645"/>
  <c r="D8645"/>
  <c r="E8633"/>
  <c r="D8633"/>
  <c r="E8621"/>
  <c r="D8621"/>
  <c r="E8609"/>
  <c r="D8609"/>
  <c r="E8597"/>
  <c r="D8597"/>
  <c r="E8585"/>
  <c r="D8585"/>
  <c r="E8573"/>
  <c r="D8573"/>
  <c r="E8561"/>
  <c r="D8561"/>
  <c r="E8549"/>
  <c r="D8549"/>
  <c r="E8537"/>
  <c r="D8537"/>
  <c r="E8525"/>
  <c r="D8525"/>
  <c r="E8513"/>
  <c r="D8513"/>
  <c r="E8501"/>
  <c r="D8501"/>
  <c r="E8489"/>
  <c r="D8489"/>
  <c r="E8477"/>
  <c r="D8477"/>
  <c r="E8465"/>
  <c r="D8465"/>
  <c r="E8453"/>
  <c r="D8453"/>
  <c r="E8441"/>
  <c r="D8441"/>
  <c r="E8429"/>
  <c r="D8429"/>
  <c r="E8417"/>
  <c r="D8417"/>
  <c r="E8405"/>
  <c r="D8405"/>
  <c r="E8393"/>
  <c r="D8393"/>
  <c r="E8381"/>
  <c r="D8381"/>
  <c r="E8369"/>
  <c r="D8369"/>
  <c r="E8357"/>
  <c r="D8357"/>
  <c r="E8345"/>
  <c r="D8345"/>
  <c r="E8333"/>
  <c r="D8333"/>
  <c r="E8321"/>
  <c r="D8321"/>
  <c r="E8309"/>
  <c r="D8309"/>
  <c r="E8297"/>
  <c r="D8297"/>
  <c r="E8285"/>
  <c r="D8285"/>
  <c r="E8273"/>
  <c r="D8273"/>
  <c r="E8261"/>
  <c r="D8261"/>
  <c r="E8249"/>
  <c r="D8249"/>
  <c r="E8237"/>
  <c r="D8237"/>
  <c r="E8225"/>
  <c r="D8225"/>
  <c r="E8213"/>
  <c r="D8213"/>
  <c r="E8201"/>
  <c r="D8201"/>
  <c r="E8189"/>
  <c r="D8189"/>
  <c r="E8177"/>
  <c r="D8177"/>
  <c r="E8165"/>
  <c r="D8165"/>
  <c r="E8153"/>
  <c r="D8153"/>
  <c r="E8141"/>
  <c r="D8141"/>
  <c r="E8129"/>
  <c r="D8129"/>
  <c r="E8117"/>
  <c r="D8117"/>
  <c r="E8105"/>
  <c r="D8105"/>
  <c r="E8093"/>
  <c r="D8093"/>
  <c r="E8081"/>
  <c r="D8081"/>
  <c r="E8069"/>
  <c r="D8069"/>
  <c r="E8057"/>
  <c r="D8057"/>
  <c r="E8045"/>
  <c r="D8045"/>
  <c r="E8033"/>
  <c r="D8033"/>
  <c r="E8021"/>
  <c r="D8021"/>
  <c r="E8009"/>
  <c r="D8009"/>
  <c r="E7997"/>
  <c r="D7997"/>
  <c r="E7985"/>
  <c r="D7985"/>
  <c r="E7973"/>
  <c r="D7973"/>
  <c r="E7961"/>
  <c r="D7961"/>
  <c r="E7949"/>
  <c r="D7949"/>
  <c r="E7937"/>
  <c r="D7937"/>
  <c r="E7925"/>
  <c r="D7925"/>
  <c r="E7913"/>
  <c r="D7913"/>
  <c r="E7901"/>
  <c r="D7901"/>
  <c r="E7889"/>
  <c r="D7889"/>
  <c r="E7877"/>
  <c r="D7877"/>
  <c r="E7865"/>
  <c r="D7865"/>
  <c r="E7853"/>
  <c r="D7853"/>
  <c r="E7841"/>
  <c r="D7841"/>
  <c r="E7829"/>
  <c r="D7829"/>
  <c r="E7817"/>
  <c r="D7817"/>
  <c r="E7805"/>
  <c r="D7805"/>
  <c r="E7793"/>
  <c r="D7793"/>
  <c r="E7781"/>
  <c r="D7781"/>
  <c r="E7769"/>
  <c r="D7769"/>
  <c r="E7757"/>
  <c r="D7757"/>
  <c r="E7745"/>
  <c r="D7745"/>
  <c r="E7733"/>
  <c r="D7733"/>
  <c r="E7721"/>
  <c r="D7721"/>
  <c r="E7709"/>
  <c r="D7709"/>
  <c r="E7697"/>
  <c r="D7697"/>
  <c r="E7685"/>
  <c r="D7685"/>
  <c r="E7673"/>
  <c r="D7673"/>
  <c r="E7661"/>
  <c r="D7661"/>
  <c r="E7649"/>
  <c r="D7649"/>
  <c r="E7637"/>
  <c r="D7637"/>
  <c r="E7625"/>
  <c r="D7625"/>
  <c r="E7613"/>
  <c r="D7613"/>
  <c r="E7601"/>
  <c r="D7601"/>
  <c r="E7589"/>
  <c r="D7589"/>
  <c r="E7577"/>
  <c r="D7577"/>
  <c r="E7565"/>
  <c r="D7565"/>
  <c r="E7553"/>
  <c r="D7553"/>
  <c r="E7541"/>
  <c r="D7541"/>
  <c r="E7529"/>
  <c r="D7529"/>
  <c r="E7517"/>
  <c r="D7517"/>
  <c r="E7505"/>
  <c r="D7505"/>
  <c r="E7493"/>
  <c r="D7493"/>
  <c r="E7481"/>
  <c r="D7481"/>
  <c r="E7469"/>
  <c r="D7469"/>
  <c r="E7457"/>
  <c r="D7457"/>
  <c r="E7445"/>
  <c r="D7445"/>
  <c r="E7433"/>
  <c r="D7433"/>
  <c r="E7421"/>
  <c r="D7421"/>
  <c r="E7409"/>
  <c r="D7409"/>
  <c r="E7397"/>
  <c r="D7397"/>
  <c r="E7385"/>
  <c r="D7385"/>
  <c r="E7373"/>
  <c r="D7373"/>
  <c r="E7361"/>
  <c r="D7361"/>
  <c r="E7349"/>
  <c r="D7349"/>
  <c r="E7337"/>
  <c r="D7337"/>
  <c r="E7325"/>
  <c r="D7325"/>
  <c r="E7313"/>
  <c r="D7313"/>
  <c r="E7301"/>
  <c r="D7301"/>
  <c r="E7289"/>
  <c r="D7289"/>
  <c r="E7277"/>
  <c r="D7277"/>
  <c r="E7265"/>
  <c r="D7265"/>
  <c r="E7253"/>
  <c r="D7253"/>
  <c r="E7241"/>
  <c r="D7241"/>
  <c r="E7229"/>
  <c r="D7229"/>
  <c r="E7217"/>
  <c r="D7217"/>
  <c r="E7205"/>
  <c r="D7205"/>
  <c r="E7193"/>
  <c r="D7193"/>
  <c r="E7181"/>
  <c r="D7181"/>
  <c r="E7169"/>
  <c r="D7169"/>
  <c r="E7157"/>
  <c r="D7157"/>
  <c r="E7145"/>
  <c r="D7145"/>
  <c r="E7133"/>
  <c r="D7133"/>
  <c r="E7121"/>
  <c r="D7121"/>
  <c r="E7109"/>
  <c r="D7109"/>
  <c r="E7097"/>
  <c r="D7097"/>
  <c r="E7085"/>
  <c r="D7085"/>
  <c r="E7073"/>
  <c r="D7073"/>
  <c r="E7061"/>
  <c r="D7061"/>
  <c r="E7049"/>
  <c r="D7049"/>
  <c r="E7037"/>
  <c r="D7037"/>
  <c r="E7025"/>
  <c r="D7025"/>
  <c r="E7013"/>
  <c r="D7013"/>
  <c r="E7001"/>
  <c r="D7001"/>
  <c r="E6989"/>
  <c r="D6989"/>
  <c r="E6977"/>
  <c r="D6977"/>
  <c r="E6965"/>
  <c r="D6965"/>
  <c r="E6953"/>
  <c r="D6953"/>
  <c r="E6941"/>
  <c r="D6941"/>
  <c r="E6929"/>
  <c r="D6929"/>
  <c r="E6917"/>
  <c r="D6917"/>
  <c r="E6905"/>
  <c r="D6905"/>
  <c r="E6893"/>
  <c r="D6893"/>
  <c r="E6881"/>
  <c r="D6881"/>
  <c r="E6869"/>
  <c r="D6869"/>
  <c r="E6857"/>
  <c r="D6857"/>
  <c r="E6845"/>
  <c r="D6845"/>
  <c r="E6833"/>
  <c r="D6833"/>
  <c r="E6821"/>
  <c r="D6821"/>
  <c r="E6809"/>
  <c r="D6809"/>
  <c r="E6797"/>
  <c r="D6797"/>
  <c r="E6785"/>
  <c r="D6785"/>
  <c r="E6773"/>
  <c r="D6773"/>
  <c r="E6761"/>
  <c r="D6761"/>
  <c r="E6749"/>
  <c r="D6749"/>
  <c r="E6737"/>
  <c r="D6737"/>
  <c r="E6725"/>
  <c r="D6725"/>
  <c r="E6713"/>
  <c r="D6713"/>
  <c r="E6701"/>
  <c r="D6701"/>
  <c r="E6689"/>
  <c r="D6689"/>
  <c r="E6677"/>
  <c r="D6677"/>
  <c r="E6665"/>
  <c r="D6665"/>
  <c r="E6653"/>
  <c r="D6653"/>
  <c r="E6641"/>
  <c r="D6641"/>
  <c r="E6629"/>
  <c r="D6629"/>
  <c r="E6617"/>
  <c r="D6617"/>
  <c r="E6605"/>
  <c r="D6605"/>
  <c r="E6593"/>
  <c r="D6593"/>
  <c r="E6581"/>
  <c r="D6581"/>
  <c r="E6569"/>
  <c r="D6569"/>
  <c r="E6557"/>
  <c r="D6557"/>
  <c r="E6545"/>
  <c r="D6545"/>
  <c r="E6533"/>
  <c r="D6533"/>
  <c r="E6521"/>
  <c r="D6521"/>
  <c r="E6509"/>
  <c r="D6509"/>
  <c r="E6497"/>
  <c r="D6497"/>
  <c r="E6485"/>
  <c r="D6485"/>
  <c r="E6473"/>
  <c r="D6473"/>
  <c r="E6461"/>
  <c r="D6461"/>
  <c r="E6449"/>
  <c r="D6449"/>
  <c r="E6437"/>
  <c r="D6437"/>
  <c r="E6425"/>
  <c r="D6425"/>
  <c r="E6413"/>
  <c r="D6413"/>
  <c r="E6401"/>
  <c r="D6401"/>
  <c r="E6389"/>
  <c r="D6389"/>
  <c r="E6377"/>
  <c r="D6377"/>
  <c r="E6365"/>
  <c r="D6365"/>
  <c r="E6353"/>
  <c r="D6353"/>
  <c r="E6341"/>
  <c r="D6341"/>
  <c r="E6329"/>
  <c r="D6329"/>
  <c r="E6317"/>
  <c r="D6317"/>
  <c r="E6305"/>
  <c r="D6305"/>
  <c r="E6293"/>
  <c r="D6293"/>
  <c r="E6281"/>
  <c r="D6281"/>
  <c r="E6269"/>
  <c r="D6269"/>
  <c r="E6257"/>
  <c r="D6257"/>
  <c r="E6245"/>
  <c r="D6245"/>
  <c r="E6233"/>
  <c r="D6233"/>
  <c r="E6221"/>
  <c r="D6221"/>
  <c r="E6209"/>
  <c r="D6209"/>
  <c r="E6197"/>
  <c r="D6197"/>
  <c r="E6185"/>
  <c r="D6185"/>
  <c r="E6173"/>
  <c r="D6173"/>
  <c r="E6161"/>
  <c r="D6161"/>
  <c r="E6149"/>
  <c r="D6149"/>
  <c r="E6137"/>
  <c r="D6137"/>
  <c r="E6125"/>
  <c r="D6125"/>
  <c r="E6113"/>
  <c r="D6113"/>
  <c r="E6101"/>
  <c r="D6101"/>
  <c r="E6089"/>
  <c r="D6089"/>
  <c r="E6282"/>
  <c r="D6282"/>
  <c r="E6270"/>
  <c r="D6270"/>
  <c r="E6258"/>
  <c r="D6258"/>
  <c r="E6246"/>
  <c r="D6246"/>
  <c r="E6234"/>
  <c r="D6234"/>
  <c r="E6222"/>
  <c r="D6222"/>
  <c r="E6210"/>
  <c r="D6210"/>
  <c r="E6198"/>
  <c r="D6198"/>
  <c r="E6186"/>
  <c r="D6186"/>
  <c r="E6174"/>
  <c r="D6174"/>
  <c r="E6162"/>
  <c r="D6162"/>
  <c r="E6150"/>
  <c r="D6150"/>
  <c r="E6138"/>
  <c r="D6138"/>
  <c r="E6126"/>
  <c r="D6126"/>
  <c r="E6114"/>
  <c r="D6114"/>
  <c r="E6102"/>
  <c r="D6102"/>
  <c r="E6090"/>
  <c r="D6090"/>
  <c r="E6006"/>
  <c r="D6006"/>
  <c r="E5958"/>
  <c r="D5958"/>
  <c r="E5946"/>
  <c r="D5946"/>
  <c r="E5934"/>
  <c r="D5934"/>
  <c r="E5922"/>
  <c r="D5922"/>
  <c r="E5910"/>
  <c r="D5910"/>
  <c r="E5898"/>
  <c r="D5898"/>
  <c r="E5886"/>
  <c r="D5886"/>
  <c r="E5874"/>
  <c r="D5874"/>
  <c r="E5862"/>
  <c r="D5862"/>
  <c r="E5850"/>
  <c r="D5850"/>
  <c r="E5838"/>
  <c r="D5838"/>
  <c r="E5826"/>
  <c r="D5826"/>
  <c r="E5814"/>
  <c r="D5814"/>
  <c r="E5802"/>
  <c r="D5802"/>
  <c r="E5790"/>
  <c r="D5790"/>
  <c r="E5778"/>
  <c r="D5778"/>
  <c r="E5766"/>
  <c r="D5766"/>
  <c r="E5754"/>
  <c r="D5754"/>
  <c r="E5742"/>
  <c r="D5742"/>
  <c r="E5730"/>
  <c r="D5730"/>
  <c r="E5718"/>
  <c r="D5718"/>
  <c r="E5706"/>
  <c r="D5706"/>
  <c r="E5694"/>
  <c r="D5694"/>
  <c r="E5682"/>
  <c r="D5682"/>
  <c r="E5670"/>
  <c r="D5670"/>
  <c r="E5658"/>
  <c r="D5658"/>
  <c r="E5646"/>
  <c r="D5646"/>
  <c r="E5634"/>
  <c r="D5634"/>
  <c r="E5622"/>
  <c r="D5622"/>
  <c r="E5610"/>
  <c r="D5610"/>
  <c r="E5598"/>
  <c r="D5598"/>
  <c r="E5586"/>
  <c r="D5586"/>
  <c r="E5574"/>
  <c r="D5574"/>
  <c r="E5562"/>
  <c r="D5562"/>
  <c r="E5550"/>
  <c r="D5550"/>
  <c r="E5538"/>
  <c r="D5538"/>
  <c r="E5526"/>
  <c r="D5526"/>
  <c r="E5514"/>
  <c r="D5514"/>
  <c r="E5502"/>
  <c r="D5502"/>
  <c r="E5490"/>
  <c r="D5490"/>
  <c r="E5478"/>
  <c r="D5478"/>
  <c r="E5466"/>
  <c r="D5466"/>
  <c r="E5454"/>
  <c r="D5454"/>
  <c r="E5442"/>
  <c r="D5442"/>
  <c r="E5430"/>
  <c r="D5430"/>
  <c r="E5418"/>
  <c r="D5418"/>
  <c r="E5406"/>
  <c r="D5406"/>
  <c r="E5394"/>
  <c r="D5394"/>
  <c r="E5382"/>
  <c r="D5382"/>
  <c r="E5370"/>
  <c r="D5370"/>
  <c r="E5358"/>
  <c r="D5358"/>
  <c r="E5346"/>
  <c r="D5346"/>
  <c r="E5334"/>
  <c r="D5334"/>
  <c r="E5322"/>
  <c r="D5322"/>
  <c r="E5310"/>
  <c r="D5310"/>
  <c r="E5298"/>
  <c r="D5298"/>
  <c r="E5286"/>
  <c r="D5286"/>
  <c r="E5274"/>
  <c r="D5274"/>
  <c r="E5262"/>
  <c r="D5262"/>
  <c r="E5250"/>
  <c r="D5250"/>
  <c r="E5238"/>
  <c r="D5238"/>
  <c r="E5226"/>
  <c r="D5226"/>
  <c r="E5214"/>
  <c r="D5214"/>
  <c r="E5202"/>
  <c r="D5202"/>
  <c r="E5190"/>
  <c r="D5190"/>
  <c r="E5178"/>
  <c r="D5178"/>
  <c r="E5166"/>
  <c r="D5166"/>
  <c r="E5154"/>
  <c r="D5154"/>
  <c r="E5142"/>
  <c r="D5142"/>
  <c r="E5130"/>
  <c r="D5130"/>
  <c r="E5118"/>
  <c r="D5118"/>
  <c r="E5106"/>
  <c r="D5106"/>
  <c r="E5094"/>
  <c r="D5094"/>
  <c r="E5082"/>
  <c r="D5082"/>
  <c r="E5070"/>
  <c r="D5070"/>
  <c r="E5058"/>
  <c r="D5058"/>
  <c r="E5046"/>
  <c r="D5046"/>
  <c r="E5034"/>
  <c r="D5034"/>
  <c r="E5022"/>
  <c r="D5022"/>
  <c r="E5010"/>
  <c r="D5010"/>
  <c r="E4998"/>
  <c r="D4998"/>
  <c r="E4986"/>
  <c r="D4986"/>
  <c r="E4974"/>
  <c r="D4974"/>
  <c r="E4962"/>
  <c r="D4962"/>
  <c r="E4950"/>
  <c r="D4950"/>
  <c r="E4938"/>
  <c r="D4938"/>
  <c r="E4926"/>
  <c r="D4926"/>
  <c r="E4914"/>
  <c r="D4914"/>
  <c r="E4902"/>
  <c r="D4902"/>
  <c r="E4890"/>
  <c r="D4890"/>
  <c r="E4878"/>
  <c r="D4878"/>
  <c r="E4866"/>
  <c r="D4866"/>
  <c r="E4854"/>
  <c r="D4854"/>
  <c r="E4842"/>
  <c r="D4842"/>
  <c r="E4830"/>
  <c r="D4830"/>
  <c r="E4818"/>
  <c r="D4818"/>
  <c r="E4806"/>
  <c r="D4806"/>
  <c r="E4794"/>
  <c r="D4794"/>
  <c r="E4782"/>
  <c r="D4782"/>
  <c r="E4770"/>
  <c r="D4770"/>
  <c r="E4758"/>
  <c r="D4758"/>
  <c r="E4746"/>
  <c r="D4746"/>
  <c r="E4734"/>
  <c r="D4734"/>
  <c r="E4722"/>
  <c r="D4722"/>
  <c r="E4710"/>
  <c r="D4710"/>
  <c r="E4698"/>
  <c r="D4698"/>
  <c r="E4686"/>
  <c r="D4686"/>
  <c r="E4674"/>
  <c r="D4674"/>
  <c r="E4662"/>
  <c r="D4662"/>
  <c r="E4650"/>
  <c r="D4650"/>
  <c r="E4638"/>
  <c r="D4638"/>
  <c r="E4626"/>
  <c r="D4626"/>
  <c r="E4614"/>
  <c r="D4614"/>
  <c r="E4602"/>
  <c r="D4602"/>
  <c r="E4590"/>
  <c r="D4590"/>
  <c r="E4578"/>
  <c r="D4578"/>
  <c r="E4566"/>
  <c r="D4566"/>
  <c r="E4554"/>
  <c r="D4554"/>
  <c r="E4542"/>
  <c r="D4542"/>
  <c r="E4530"/>
  <c r="D4530"/>
  <c r="E4518"/>
  <c r="D4518"/>
  <c r="E4506"/>
  <c r="D4506"/>
  <c r="E4494"/>
  <c r="D4494"/>
  <c r="E4482"/>
  <c r="D4482"/>
  <c r="E4470"/>
  <c r="D4470"/>
  <c r="E4458"/>
  <c r="D4458"/>
  <c r="E4446"/>
  <c r="D4446"/>
  <c r="E4434"/>
  <c r="D4434"/>
  <c r="E4422"/>
  <c r="D4422"/>
  <c r="E4410"/>
  <c r="D4410"/>
  <c r="E4398"/>
  <c r="D4398"/>
  <c r="E4386"/>
  <c r="D4386"/>
  <c r="E4374"/>
  <c r="D4374"/>
  <c r="E4362"/>
  <c r="D4362"/>
  <c r="E4350"/>
  <c r="D4350"/>
  <c r="E4338"/>
  <c r="D4338"/>
  <c r="E4326"/>
  <c r="D4326"/>
  <c r="E4314"/>
  <c r="D4314"/>
  <c r="E4302"/>
  <c r="D4302"/>
  <c r="E4290"/>
  <c r="D4290"/>
  <c r="E4278"/>
  <c r="D4278"/>
  <c r="E4266"/>
  <c r="D4266"/>
  <c r="E4254"/>
  <c r="D4254"/>
  <c r="E4242"/>
  <c r="D4242"/>
  <c r="E4230"/>
  <c r="D4230"/>
  <c r="E4218"/>
  <c r="D4218"/>
  <c r="E4206"/>
  <c r="D4206"/>
  <c r="E4194"/>
  <c r="D4194"/>
  <c r="E4182"/>
  <c r="D4182"/>
  <c r="E4170"/>
  <c r="D4170"/>
  <c r="E4158"/>
  <c r="D4158"/>
  <c r="E4146"/>
  <c r="D4146"/>
  <c r="E4134"/>
  <c r="D4134"/>
  <c r="E4122"/>
  <c r="D4122"/>
  <c r="E4110"/>
  <c r="D4110"/>
  <c r="E4098"/>
  <c r="D4098"/>
  <c r="E4086"/>
  <c r="D4086"/>
  <c r="E4074"/>
  <c r="D4074"/>
  <c r="E4062"/>
  <c r="D4062"/>
  <c r="E4050"/>
  <c r="D4050"/>
  <c r="E4038"/>
  <c r="D4038"/>
  <c r="E4026"/>
  <c r="D4026"/>
  <c r="E4014"/>
  <c r="D4014"/>
  <c r="E4002"/>
  <c r="D4002"/>
  <c r="E3990"/>
  <c r="D3990"/>
  <c r="E3978"/>
  <c r="D3978"/>
  <c r="E3966"/>
  <c r="D3966"/>
  <c r="E3954"/>
  <c r="D3954"/>
  <c r="E3942"/>
  <c r="D3942"/>
  <c r="E3930"/>
  <c r="D3930"/>
  <c r="E3918"/>
  <c r="D3918"/>
  <c r="E3906"/>
  <c r="D3906"/>
  <c r="E3894"/>
  <c r="D3894"/>
  <c r="E3882"/>
  <c r="D3882"/>
  <c r="E3870"/>
  <c r="D3870"/>
  <c r="E3858"/>
  <c r="D3858"/>
  <c r="E3846"/>
  <c r="D3846"/>
  <c r="E3834"/>
  <c r="D3834"/>
  <c r="E3822"/>
  <c r="D3822"/>
  <c r="E3810"/>
  <c r="D3810"/>
  <c r="E3798"/>
  <c r="D3798"/>
  <c r="E3786"/>
  <c r="D3786"/>
  <c r="E3774"/>
  <c r="D3774"/>
  <c r="E3762"/>
  <c r="D3762"/>
  <c r="E3750"/>
  <c r="D3750"/>
  <c r="E3738"/>
  <c r="D3738"/>
  <c r="E3726"/>
  <c r="D3726"/>
  <c r="E3714"/>
  <c r="D3714"/>
  <c r="E3702"/>
  <c r="D3702"/>
  <c r="E3690"/>
  <c r="D3690"/>
  <c r="E3678"/>
  <c r="D3678"/>
  <c r="E3666"/>
  <c r="D3666"/>
  <c r="E3654"/>
  <c r="D3654"/>
  <c r="E3642"/>
  <c r="D3642"/>
  <c r="E3630"/>
  <c r="D3630"/>
  <c r="E3618"/>
  <c r="D3618"/>
  <c r="E3606"/>
  <c r="D3606"/>
  <c r="E3594"/>
  <c r="D3594"/>
  <c r="E3582"/>
  <c r="D3582"/>
  <c r="E3570"/>
  <c r="D3570"/>
  <c r="E3558"/>
  <c r="D3558"/>
  <c r="E3546"/>
  <c r="D3546"/>
  <c r="E3534"/>
  <c r="D3534"/>
  <c r="E3522"/>
  <c r="D3522"/>
  <c r="E3510"/>
  <c r="D3510"/>
  <c r="E3498"/>
  <c r="D3498"/>
  <c r="E3486"/>
  <c r="D3486"/>
  <c r="E3474"/>
  <c r="D3474"/>
  <c r="E3462"/>
  <c r="D3462"/>
  <c r="E3450"/>
  <c r="D3450"/>
  <c r="E3438"/>
  <c r="D3438"/>
  <c r="E3426"/>
  <c r="D3426"/>
  <c r="E3414"/>
  <c r="D3414"/>
  <c r="E3402"/>
  <c r="D3402"/>
  <c r="E3390"/>
  <c r="D3390"/>
  <c r="E3378"/>
  <c r="D3378"/>
  <c r="E3366"/>
  <c r="D3366"/>
  <c r="E3354"/>
  <c r="D3354"/>
  <c r="E3342"/>
  <c r="D3342"/>
  <c r="E3330"/>
  <c r="D3330"/>
  <c r="E3318"/>
  <c r="D3318"/>
  <c r="E3306"/>
  <c r="D3306"/>
  <c r="E3294"/>
  <c r="D3294"/>
  <c r="E3282"/>
  <c r="D3282"/>
  <c r="E3270"/>
  <c r="D3270"/>
  <c r="E3258"/>
  <c r="D3258"/>
  <c r="E3246"/>
  <c r="D3246"/>
  <c r="E3234"/>
  <c r="D3234"/>
  <c r="E3222"/>
  <c r="D3222"/>
  <c r="E3210"/>
  <c r="D3210"/>
  <c r="E3198"/>
  <c r="D3198"/>
  <c r="E3186"/>
  <c r="D3186"/>
  <c r="E3174"/>
  <c r="D3174"/>
  <c r="E3162"/>
  <c r="D3162"/>
  <c r="E3150"/>
  <c r="D3150"/>
  <c r="E3138"/>
  <c r="D3138"/>
  <c r="E3126"/>
  <c r="D3126"/>
  <c r="E3114"/>
  <c r="D3114"/>
  <c r="E9955"/>
  <c r="D9955"/>
  <c r="E9859"/>
  <c r="D9859"/>
  <c r="E9775"/>
  <c r="D9775"/>
  <c r="E9691"/>
  <c r="D9691"/>
  <c r="E9595"/>
  <c r="D9595"/>
  <c r="E9535"/>
  <c r="D9535"/>
  <c r="E9451"/>
  <c r="D9451"/>
  <c r="E9355"/>
  <c r="D9355"/>
  <c r="E9295"/>
  <c r="D9295"/>
  <c r="E9259"/>
  <c r="D9259"/>
  <c r="E9187"/>
  <c r="D9187"/>
  <c r="E9151"/>
  <c r="D9151"/>
  <c r="E9103"/>
  <c r="D9103"/>
  <c r="E9067"/>
  <c r="D9067"/>
  <c r="E9031"/>
  <c r="D9031"/>
  <c r="E8983"/>
  <c r="D8983"/>
  <c r="E8947"/>
  <c r="D8947"/>
  <c r="E8899"/>
  <c r="D8899"/>
  <c r="E8851"/>
  <c r="D8851"/>
  <c r="E8803"/>
  <c r="D8803"/>
  <c r="E8755"/>
  <c r="D8755"/>
  <c r="E8707"/>
  <c r="D8707"/>
  <c r="E8671"/>
  <c r="D8671"/>
  <c r="E8623"/>
  <c r="D8623"/>
  <c r="E8575"/>
  <c r="D8575"/>
  <c r="E8527"/>
  <c r="D8527"/>
  <c r="E8467"/>
  <c r="D8467"/>
  <c r="E8419"/>
  <c r="D8419"/>
  <c r="E8371"/>
  <c r="D8371"/>
  <c r="E8323"/>
  <c r="D8323"/>
  <c r="E8275"/>
  <c r="D8275"/>
  <c r="E8215"/>
  <c r="D8215"/>
  <c r="E8167"/>
  <c r="D8167"/>
  <c r="E8119"/>
  <c r="D8119"/>
  <c r="E8071"/>
  <c r="D8071"/>
  <c r="E7999"/>
  <c r="D7999"/>
  <c r="E7951"/>
  <c r="D7951"/>
  <c r="E7915"/>
  <c r="D7915"/>
  <c r="E7867"/>
  <c r="D7867"/>
  <c r="E7819"/>
  <c r="D7819"/>
  <c r="E7771"/>
  <c r="D7771"/>
  <c r="E7723"/>
  <c r="D7723"/>
  <c r="E7687"/>
  <c r="D7687"/>
  <c r="E7663"/>
  <c r="D7663"/>
  <c r="E7603"/>
  <c r="D7603"/>
  <c r="E7579"/>
  <c r="D7579"/>
  <c r="E7555"/>
  <c r="D7555"/>
  <c r="E7531"/>
  <c r="D7531"/>
  <c r="E7519"/>
  <c r="D7519"/>
  <c r="E7495"/>
  <c r="D7495"/>
  <c r="E7483"/>
  <c r="D7483"/>
  <c r="E7471"/>
  <c r="D7471"/>
  <c r="E7447"/>
  <c r="D7447"/>
  <c r="E7435"/>
  <c r="D7435"/>
  <c r="E7423"/>
  <c r="D7423"/>
  <c r="E7411"/>
  <c r="D7411"/>
  <c r="E7399"/>
  <c r="D7399"/>
  <c r="E7387"/>
  <c r="D7387"/>
  <c r="E7375"/>
  <c r="D7375"/>
  <c r="E7363"/>
  <c r="D7363"/>
  <c r="E7351"/>
  <c r="D7351"/>
  <c r="E7339"/>
  <c r="D7339"/>
  <c r="E7327"/>
  <c r="D7327"/>
  <c r="E7315"/>
  <c r="D7315"/>
  <c r="E7303"/>
  <c r="D7303"/>
  <c r="E7291"/>
  <c r="D7291"/>
  <c r="E7279"/>
  <c r="D7279"/>
  <c r="E7267"/>
  <c r="D7267"/>
  <c r="E7255"/>
  <c r="D7255"/>
  <c r="E7243"/>
  <c r="D7243"/>
  <c r="E7231"/>
  <c r="D7231"/>
  <c r="E7207"/>
  <c r="D7207"/>
  <c r="E7183"/>
  <c r="D7183"/>
  <c r="E7171"/>
  <c r="D7171"/>
  <c r="E7159"/>
  <c r="D7159"/>
  <c r="E7147"/>
  <c r="D7147"/>
  <c r="E7135"/>
  <c r="D7135"/>
  <c r="E7123"/>
  <c r="D7123"/>
  <c r="E7111"/>
  <c r="D7111"/>
  <c r="E7099"/>
  <c r="D7099"/>
  <c r="E7087"/>
  <c r="D7087"/>
  <c r="E7075"/>
  <c r="D7075"/>
  <c r="E7063"/>
  <c r="D7063"/>
  <c r="E7051"/>
  <c r="D7051"/>
  <c r="E7039"/>
  <c r="D7039"/>
  <c r="E7027"/>
  <c r="D7027"/>
  <c r="E7015"/>
  <c r="D7015"/>
  <c r="E6991"/>
  <c r="D6991"/>
  <c r="E6979"/>
  <c r="D6979"/>
  <c r="E6967"/>
  <c r="D6967"/>
  <c r="E6955"/>
  <c r="D6955"/>
  <c r="E6943"/>
  <c r="D6943"/>
  <c r="E6931"/>
  <c r="D6931"/>
  <c r="E6919"/>
  <c r="D6919"/>
  <c r="E6907"/>
  <c r="D6907"/>
  <c r="E6895"/>
  <c r="D6895"/>
  <c r="E6883"/>
  <c r="D6883"/>
  <c r="E6871"/>
  <c r="D6871"/>
  <c r="E6859"/>
  <c r="D6859"/>
  <c r="E6847"/>
  <c r="D6847"/>
  <c r="E6835"/>
  <c r="D6835"/>
  <c r="E6823"/>
  <c r="D6823"/>
  <c r="E6811"/>
  <c r="D6811"/>
  <c r="E6799"/>
  <c r="D6799"/>
  <c r="E6787"/>
  <c r="D6787"/>
  <c r="E6775"/>
  <c r="D6775"/>
  <c r="E6763"/>
  <c r="D6763"/>
  <c r="E6751"/>
  <c r="D6751"/>
  <c r="E6739"/>
  <c r="D6739"/>
  <c r="E6727"/>
  <c r="D6727"/>
  <c r="E6715"/>
  <c r="D6715"/>
  <c r="E6703"/>
  <c r="D6703"/>
  <c r="E6691"/>
  <c r="D6691"/>
  <c r="E6679"/>
  <c r="D6679"/>
  <c r="E6667"/>
  <c r="D6667"/>
  <c r="E6655"/>
  <c r="D6655"/>
  <c r="E6643"/>
  <c r="D6643"/>
  <c r="E6631"/>
  <c r="D6631"/>
  <c r="E6619"/>
  <c r="D6619"/>
  <c r="E6607"/>
  <c r="D6607"/>
  <c r="E6595"/>
  <c r="D6595"/>
  <c r="E6583"/>
  <c r="D6583"/>
  <c r="E6571"/>
  <c r="D6571"/>
  <c r="E6559"/>
  <c r="D6559"/>
  <c r="E6547"/>
  <c r="D6547"/>
  <c r="E6535"/>
  <c r="D6535"/>
  <c r="E6523"/>
  <c r="D6523"/>
  <c r="E6511"/>
  <c r="D6511"/>
  <c r="E6499"/>
  <c r="D6499"/>
  <c r="E6487"/>
  <c r="D6487"/>
  <c r="E6475"/>
  <c r="D6475"/>
  <c r="E6463"/>
  <c r="D6463"/>
  <c r="E6451"/>
  <c r="D6451"/>
  <c r="E6439"/>
  <c r="D6439"/>
  <c r="E6427"/>
  <c r="D6427"/>
  <c r="E6415"/>
  <c r="D6415"/>
  <c r="E6403"/>
  <c r="D6403"/>
  <c r="E6391"/>
  <c r="D6391"/>
  <c r="E6379"/>
  <c r="D6379"/>
  <c r="E6367"/>
  <c r="D6367"/>
  <c r="E6355"/>
  <c r="D6355"/>
  <c r="E6343"/>
  <c r="D6343"/>
  <c r="E6331"/>
  <c r="D6331"/>
  <c r="E6319"/>
  <c r="D6319"/>
  <c r="E6307"/>
  <c r="D6307"/>
  <c r="E6295"/>
  <c r="D6295"/>
  <c r="E6283"/>
  <c r="D6283"/>
  <c r="E6271"/>
  <c r="D6271"/>
  <c r="E6259"/>
  <c r="D6259"/>
  <c r="E6247"/>
  <c r="D6247"/>
  <c r="E6235"/>
  <c r="D6235"/>
  <c r="E6223"/>
  <c r="D6223"/>
  <c r="E6211"/>
  <c r="D6211"/>
  <c r="E6199"/>
  <c r="D6199"/>
  <c r="E6187"/>
  <c r="D6187"/>
  <c r="E6175"/>
  <c r="D6175"/>
  <c r="E6163"/>
  <c r="D6163"/>
  <c r="E6151"/>
  <c r="D6151"/>
  <c r="E6139"/>
  <c r="D6139"/>
  <c r="E6127"/>
  <c r="D6127"/>
  <c r="E6115"/>
  <c r="D6115"/>
  <c r="E6103"/>
  <c r="D6103"/>
  <c r="E6091"/>
  <c r="D6091"/>
  <c r="E6079"/>
  <c r="D6079"/>
  <c r="E6067"/>
  <c r="D6067"/>
  <c r="E6055"/>
  <c r="D6055"/>
  <c r="E6043"/>
  <c r="D6043"/>
  <c r="E6031"/>
  <c r="D6031"/>
  <c r="E6019"/>
  <c r="D6019"/>
  <c r="E6007"/>
  <c r="D6007"/>
  <c r="E5995"/>
  <c r="D5995"/>
  <c r="E5983"/>
  <c r="D5983"/>
  <c r="E5971"/>
  <c r="D5971"/>
  <c r="E5959"/>
  <c r="D5959"/>
  <c r="E5947"/>
  <c r="D5947"/>
  <c r="E5935"/>
  <c r="D5935"/>
  <c r="E5923"/>
  <c r="D5923"/>
  <c r="E5911"/>
  <c r="D5911"/>
  <c r="E5899"/>
  <c r="D5899"/>
  <c r="E5887"/>
  <c r="D5887"/>
  <c r="E5875"/>
  <c r="D5875"/>
  <c r="E5863"/>
  <c r="D5863"/>
  <c r="E5851"/>
  <c r="D5851"/>
  <c r="E5839"/>
  <c r="D5839"/>
  <c r="E5827"/>
  <c r="D5827"/>
  <c r="E5815"/>
  <c r="D5815"/>
  <c r="E5803"/>
  <c r="D5803"/>
  <c r="E5791"/>
  <c r="D5791"/>
  <c r="E5779"/>
  <c r="D5779"/>
  <c r="E5767"/>
  <c r="D5767"/>
  <c r="E5755"/>
  <c r="D5755"/>
  <c r="E5743"/>
  <c r="D5743"/>
  <c r="E5731"/>
  <c r="D5731"/>
  <c r="E5719"/>
  <c r="D5719"/>
  <c r="E5707"/>
  <c r="D5707"/>
  <c r="E5695"/>
  <c r="D5695"/>
  <c r="E5683"/>
  <c r="D5683"/>
  <c r="E5671"/>
  <c r="D5671"/>
  <c r="E5659"/>
  <c r="D5659"/>
  <c r="E5647"/>
  <c r="D5647"/>
  <c r="E5635"/>
  <c r="D5635"/>
  <c r="E5623"/>
  <c r="D5623"/>
  <c r="E5611"/>
  <c r="D5611"/>
  <c r="E5599"/>
  <c r="D5599"/>
  <c r="E5587"/>
  <c r="D5587"/>
  <c r="E5575"/>
  <c r="D5575"/>
  <c r="E5563"/>
  <c r="D5563"/>
  <c r="E5551"/>
  <c r="D5551"/>
  <c r="E5539"/>
  <c r="D5539"/>
  <c r="E5527"/>
  <c r="D5527"/>
  <c r="E5515"/>
  <c r="D5515"/>
  <c r="E5503"/>
  <c r="D5503"/>
  <c r="E5491"/>
  <c r="D5491"/>
  <c r="E5479"/>
  <c r="D5479"/>
  <c r="E5467"/>
  <c r="D5467"/>
  <c r="E5455"/>
  <c r="D5455"/>
  <c r="E5443"/>
  <c r="D5443"/>
  <c r="E5431"/>
  <c r="D5431"/>
  <c r="E5419"/>
  <c r="D5419"/>
  <c r="E9919"/>
  <c r="D9919"/>
  <c r="E9847"/>
  <c r="D9847"/>
  <c r="E9763"/>
  <c r="D9763"/>
  <c r="E9679"/>
  <c r="D9679"/>
  <c r="E9607"/>
  <c r="D9607"/>
  <c r="E9547"/>
  <c r="D9547"/>
  <c r="E9487"/>
  <c r="D9487"/>
  <c r="E9403"/>
  <c r="D9403"/>
  <c r="E9331"/>
  <c r="D9331"/>
  <c r="E9271"/>
  <c r="D9271"/>
  <c r="E9211"/>
  <c r="D9211"/>
  <c r="E9163"/>
  <c r="D9163"/>
  <c r="E9115"/>
  <c r="D9115"/>
  <c r="E9079"/>
  <c r="D9079"/>
  <c r="E9043"/>
  <c r="D9043"/>
  <c r="E8995"/>
  <c r="D8995"/>
  <c r="E8959"/>
  <c r="D8959"/>
  <c r="E8911"/>
  <c r="D8911"/>
  <c r="E8863"/>
  <c r="D8863"/>
  <c r="E8827"/>
  <c r="D8827"/>
  <c r="E8779"/>
  <c r="D8779"/>
  <c r="E8731"/>
  <c r="D8731"/>
  <c r="E8683"/>
  <c r="D8683"/>
  <c r="E8635"/>
  <c r="D8635"/>
  <c r="E8587"/>
  <c r="D8587"/>
  <c r="E8539"/>
  <c r="D8539"/>
  <c r="E8491"/>
  <c r="D8491"/>
  <c r="E8443"/>
  <c r="D8443"/>
  <c r="E8395"/>
  <c r="D8395"/>
  <c r="E8359"/>
  <c r="D8359"/>
  <c r="E8311"/>
  <c r="D8311"/>
  <c r="E8263"/>
  <c r="D8263"/>
  <c r="E8227"/>
  <c r="D8227"/>
  <c r="E8179"/>
  <c r="D8179"/>
  <c r="E8131"/>
  <c r="D8131"/>
  <c r="E8083"/>
  <c r="D8083"/>
  <c r="E8011"/>
  <c r="D8011"/>
  <c r="E7963"/>
  <c r="D7963"/>
  <c r="E7927"/>
  <c r="D7927"/>
  <c r="E7879"/>
  <c r="D7879"/>
  <c r="E7831"/>
  <c r="D7831"/>
  <c r="E7783"/>
  <c r="D7783"/>
  <c r="E7747"/>
  <c r="D7747"/>
  <c r="E7711"/>
  <c r="D7711"/>
  <c r="E7675"/>
  <c r="D7675"/>
  <c r="E7651"/>
  <c r="D7651"/>
  <c r="E7615"/>
  <c r="D7615"/>
  <c r="E7591"/>
  <c r="D7591"/>
  <c r="E7567"/>
  <c r="D7567"/>
  <c r="E7543"/>
  <c r="D7543"/>
  <c r="E7507"/>
  <c r="D7507"/>
  <c r="E7459"/>
  <c r="D7459"/>
  <c r="E7003"/>
  <c r="D7003"/>
  <c r="E9992"/>
  <c r="D9992"/>
  <c r="E9980"/>
  <c r="D9980"/>
  <c r="E9968"/>
  <c r="D9968"/>
  <c r="E9956"/>
  <c r="D9956"/>
  <c r="E9944"/>
  <c r="D9944"/>
  <c r="E9932"/>
  <c r="D9932"/>
  <c r="E9920"/>
  <c r="D9920"/>
  <c r="E9908"/>
  <c r="D9908"/>
  <c r="E9896"/>
  <c r="D9896"/>
  <c r="E9884"/>
  <c r="D9884"/>
  <c r="E9872"/>
  <c r="D9872"/>
  <c r="E9860"/>
  <c r="D9860"/>
  <c r="E9848"/>
  <c r="D9848"/>
  <c r="E9836"/>
  <c r="D9836"/>
  <c r="E9824"/>
  <c r="D9824"/>
  <c r="E9812"/>
  <c r="D9812"/>
  <c r="E9800"/>
  <c r="D9800"/>
  <c r="E9788"/>
  <c r="D9788"/>
  <c r="E9776"/>
  <c r="D9776"/>
  <c r="E9764"/>
  <c r="D9764"/>
  <c r="E9752"/>
  <c r="D9752"/>
  <c r="E9740"/>
  <c r="D9740"/>
  <c r="E9728"/>
  <c r="D9728"/>
  <c r="E9716"/>
  <c r="D9716"/>
  <c r="E9704"/>
  <c r="D9704"/>
  <c r="E9692"/>
  <c r="D9692"/>
  <c r="E9680"/>
  <c r="D9680"/>
  <c r="E9668"/>
  <c r="D9668"/>
  <c r="E9656"/>
  <c r="D9656"/>
  <c r="E9644"/>
  <c r="D9644"/>
  <c r="E9632"/>
  <c r="D9632"/>
  <c r="E9620"/>
  <c r="D9620"/>
  <c r="E9608"/>
  <c r="D9608"/>
  <c r="E9596"/>
  <c r="D9596"/>
  <c r="E9584"/>
  <c r="D9584"/>
  <c r="E9572"/>
  <c r="D9572"/>
  <c r="E9560"/>
  <c r="D9560"/>
  <c r="E9548"/>
  <c r="D9548"/>
  <c r="E9536"/>
  <c r="D9536"/>
  <c r="E9524"/>
  <c r="D9524"/>
  <c r="E9512"/>
  <c r="D9512"/>
  <c r="E9500"/>
  <c r="D9500"/>
  <c r="E9488"/>
  <c r="D9488"/>
  <c r="E9476"/>
  <c r="D9476"/>
  <c r="E9464"/>
  <c r="D9464"/>
  <c r="E9452"/>
  <c r="D9452"/>
  <c r="E9440"/>
  <c r="D9440"/>
  <c r="E9428"/>
  <c r="D9428"/>
  <c r="E9416"/>
  <c r="D9416"/>
  <c r="E9404"/>
  <c r="D9404"/>
  <c r="E9392"/>
  <c r="D9392"/>
  <c r="E9380"/>
  <c r="D9380"/>
  <c r="E9368"/>
  <c r="D9368"/>
  <c r="E9356"/>
  <c r="D9356"/>
  <c r="E9344"/>
  <c r="D9344"/>
  <c r="E9332"/>
  <c r="D9332"/>
  <c r="E9320"/>
  <c r="D9320"/>
  <c r="E9308"/>
  <c r="D9308"/>
  <c r="E9296"/>
  <c r="D9296"/>
  <c r="E9284"/>
  <c r="D9284"/>
  <c r="E9272"/>
  <c r="D9272"/>
  <c r="E9260"/>
  <c r="D9260"/>
  <c r="E9248"/>
  <c r="D9248"/>
  <c r="E9236"/>
  <c r="D9236"/>
  <c r="E9224"/>
  <c r="D9224"/>
  <c r="E9212"/>
  <c r="D9212"/>
  <c r="E9200"/>
  <c r="D9200"/>
  <c r="E9188"/>
  <c r="D9188"/>
  <c r="E9176"/>
  <c r="D9176"/>
  <c r="E9164"/>
  <c r="D9164"/>
  <c r="E9152"/>
  <c r="D9152"/>
  <c r="E9140"/>
  <c r="D9140"/>
  <c r="E9128"/>
  <c r="D9128"/>
  <c r="E9116"/>
  <c r="D9116"/>
  <c r="E9104"/>
  <c r="D9104"/>
  <c r="E9092"/>
  <c r="D9092"/>
  <c r="E9080"/>
  <c r="D9080"/>
  <c r="E9068"/>
  <c r="D9068"/>
  <c r="E9056"/>
  <c r="D9056"/>
  <c r="E9044"/>
  <c r="D9044"/>
  <c r="E9032"/>
  <c r="D9032"/>
  <c r="E9020"/>
  <c r="D9020"/>
  <c r="E9008"/>
  <c r="D9008"/>
  <c r="E8996"/>
  <c r="D8996"/>
  <c r="E8984"/>
  <c r="D8984"/>
  <c r="E8972"/>
  <c r="D8972"/>
  <c r="E8960"/>
  <c r="D8960"/>
  <c r="E8948"/>
  <c r="D8948"/>
  <c r="E8936"/>
  <c r="D8936"/>
  <c r="E8924"/>
  <c r="D8924"/>
  <c r="E8912"/>
  <c r="D8912"/>
  <c r="E8900"/>
  <c r="D8900"/>
  <c r="E8888"/>
  <c r="D8888"/>
  <c r="E8876"/>
  <c r="D8876"/>
  <c r="E8864"/>
  <c r="D8864"/>
  <c r="E9967"/>
  <c r="D9967"/>
  <c r="E9883"/>
  <c r="D9883"/>
  <c r="E9811"/>
  <c r="D9811"/>
  <c r="E9727"/>
  <c r="D9727"/>
  <c r="E9643"/>
  <c r="D9643"/>
  <c r="E9583"/>
  <c r="D9583"/>
  <c r="E9523"/>
  <c r="D9523"/>
  <c r="E9475"/>
  <c r="D9475"/>
  <c r="E9391"/>
  <c r="D9391"/>
  <c r="E9319"/>
  <c r="D9319"/>
  <c r="E9247"/>
  <c r="D9247"/>
  <c r="E9139"/>
  <c r="D9139"/>
  <c r="E8935"/>
  <c r="D8935"/>
  <c r="E8875"/>
  <c r="D8875"/>
  <c r="E8815"/>
  <c r="D8815"/>
  <c r="E8767"/>
  <c r="D8767"/>
  <c r="E8719"/>
  <c r="D8719"/>
  <c r="E8659"/>
  <c r="D8659"/>
  <c r="E8611"/>
  <c r="D8611"/>
  <c r="E8563"/>
  <c r="D8563"/>
  <c r="E8503"/>
  <c r="D8503"/>
  <c r="E8455"/>
  <c r="D8455"/>
  <c r="E8407"/>
  <c r="D8407"/>
  <c r="E8347"/>
  <c r="D8347"/>
  <c r="E8299"/>
  <c r="D8299"/>
  <c r="E8251"/>
  <c r="D8251"/>
  <c r="E8203"/>
  <c r="D8203"/>
  <c r="E8155"/>
  <c r="D8155"/>
  <c r="E8095"/>
  <c r="D8095"/>
  <c r="E8023"/>
  <c r="D8023"/>
  <c r="E7975"/>
  <c r="D7975"/>
  <c r="E7903"/>
  <c r="D7903"/>
  <c r="E7855"/>
  <c r="D7855"/>
  <c r="E7795"/>
  <c r="D7795"/>
  <c r="E7735"/>
  <c r="D7735"/>
  <c r="E7639"/>
  <c r="D7639"/>
  <c r="E7195"/>
  <c r="D7195"/>
  <c r="E9981"/>
  <c r="D9981"/>
  <c r="E9957"/>
  <c r="D9957"/>
  <c r="E9933"/>
  <c r="D9933"/>
  <c r="E9909"/>
  <c r="D9909"/>
  <c r="E9897"/>
  <c r="D9897"/>
  <c r="E9885"/>
  <c r="D9885"/>
  <c r="E9873"/>
  <c r="D9873"/>
  <c r="E9861"/>
  <c r="D9861"/>
  <c r="E9849"/>
  <c r="D9849"/>
  <c r="E9837"/>
  <c r="D9837"/>
  <c r="E9825"/>
  <c r="D9825"/>
  <c r="E9813"/>
  <c r="D9813"/>
  <c r="E9801"/>
  <c r="D9801"/>
  <c r="E9789"/>
  <c r="D9789"/>
  <c r="E9777"/>
  <c r="D9777"/>
  <c r="E9765"/>
  <c r="D9765"/>
  <c r="E9753"/>
  <c r="D9753"/>
  <c r="E9741"/>
  <c r="D9741"/>
  <c r="E9729"/>
  <c r="D9729"/>
  <c r="E9717"/>
  <c r="D9717"/>
  <c r="E9705"/>
  <c r="D9705"/>
  <c r="E9693"/>
  <c r="D9693"/>
  <c r="E9681"/>
  <c r="D9681"/>
  <c r="E9669"/>
  <c r="D9669"/>
  <c r="E9657"/>
  <c r="D9657"/>
  <c r="E9645"/>
  <c r="D9645"/>
  <c r="E9633"/>
  <c r="D9633"/>
  <c r="E9621"/>
  <c r="D9621"/>
  <c r="E9609"/>
  <c r="D9609"/>
  <c r="E9597"/>
  <c r="D9597"/>
  <c r="E9585"/>
  <c r="D9585"/>
  <c r="E9573"/>
  <c r="D9573"/>
  <c r="E9561"/>
  <c r="D9561"/>
  <c r="E9549"/>
  <c r="D9549"/>
  <c r="E9537"/>
  <c r="D9537"/>
  <c r="E9525"/>
  <c r="D9525"/>
  <c r="E9513"/>
  <c r="D9513"/>
  <c r="E9501"/>
  <c r="D9501"/>
  <c r="E9489"/>
  <c r="D9489"/>
  <c r="E9477"/>
  <c r="D9477"/>
  <c r="E9465"/>
  <c r="D9465"/>
  <c r="E9453"/>
  <c r="D9453"/>
  <c r="E9441"/>
  <c r="D9441"/>
  <c r="E9429"/>
  <c r="D9429"/>
  <c r="E9417"/>
  <c r="D9417"/>
  <c r="E9405"/>
  <c r="D9405"/>
  <c r="E9393"/>
  <c r="D9393"/>
  <c r="E9381"/>
  <c r="D9381"/>
  <c r="E9369"/>
  <c r="D9369"/>
  <c r="E9357"/>
  <c r="D9357"/>
  <c r="E9345"/>
  <c r="D9345"/>
  <c r="E9333"/>
  <c r="D9333"/>
  <c r="E9321"/>
  <c r="D9321"/>
  <c r="E9309"/>
  <c r="D9309"/>
  <c r="E9297"/>
  <c r="D9297"/>
  <c r="E9285"/>
  <c r="D9285"/>
  <c r="E9273"/>
  <c r="D9273"/>
  <c r="E9261"/>
  <c r="D9261"/>
  <c r="E9249"/>
  <c r="D9249"/>
  <c r="E9237"/>
  <c r="D9237"/>
  <c r="E9225"/>
  <c r="D9225"/>
  <c r="E9213"/>
  <c r="D9213"/>
  <c r="E9201"/>
  <c r="D9201"/>
  <c r="E9189"/>
  <c r="D9189"/>
  <c r="E9177"/>
  <c r="D9177"/>
  <c r="E9165"/>
  <c r="D9165"/>
  <c r="E9153"/>
  <c r="D9153"/>
  <c r="E9141"/>
  <c r="D9141"/>
  <c r="E9129"/>
  <c r="D9129"/>
  <c r="E9117"/>
  <c r="D9117"/>
  <c r="E9105"/>
  <c r="D9105"/>
  <c r="E9093"/>
  <c r="D9093"/>
  <c r="E9081"/>
  <c r="D9081"/>
  <c r="E9069"/>
  <c r="D9069"/>
  <c r="E9057"/>
  <c r="D9057"/>
  <c r="E9045"/>
  <c r="D9045"/>
  <c r="E9033"/>
  <c r="D9033"/>
  <c r="E9021"/>
  <c r="D9021"/>
  <c r="E9009"/>
  <c r="D9009"/>
  <c r="E8997"/>
  <c r="D8997"/>
  <c r="E8985"/>
  <c r="D8985"/>
  <c r="E8973"/>
  <c r="D8973"/>
  <c r="E8961"/>
  <c r="D8961"/>
  <c r="E8949"/>
  <c r="D8949"/>
  <c r="E8937"/>
  <c r="D8937"/>
  <c r="E8925"/>
  <c r="D8925"/>
  <c r="E8913"/>
  <c r="D8913"/>
  <c r="E8901"/>
  <c r="D8901"/>
  <c r="E8889"/>
  <c r="D8889"/>
  <c r="E8877"/>
  <c r="D8877"/>
  <c r="E8865"/>
  <c r="D8865"/>
  <c r="E8853"/>
  <c r="D8853"/>
  <c r="E8841"/>
  <c r="D8841"/>
  <c r="E8829"/>
  <c r="D8829"/>
  <c r="E8817"/>
  <c r="D8817"/>
  <c r="E8805"/>
  <c r="D8805"/>
  <c r="E8793"/>
  <c r="D8793"/>
  <c r="E8781"/>
  <c r="D8781"/>
  <c r="E8769"/>
  <c r="D8769"/>
  <c r="E8757"/>
  <c r="D8757"/>
  <c r="E8745"/>
  <c r="D8745"/>
  <c r="E8733"/>
  <c r="D8733"/>
  <c r="E8721"/>
  <c r="D8721"/>
  <c r="E8709"/>
  <c r="D8709"/>
  <c r="E8697"/>
  <c r="D8697"/>
  <c r="E8685"/>
  <c r="D8685"/>
  <c r="E8673"/>
  <c r="D8673"/>
  <c r="E8661"/>
  <c r="D8661"/>
  <c r="E8649"/>
  <c r="D8649"/>
  <c r="E8637"/>
  <c r="D8637"/>
  <c r="E9991"/>
  <c r="D9991"/>
  <c r="E9895"/>
  <c r="D9895"/>
  <c r="E9799"/>
  <c r="D9799"/>
  <c r="E9703"/>
  <c r="D9703"/>
  <c r="E9619"/>
  <c r="D9619"/>
  <c r="E9559"/>
  <c r="D9559"/>
  <c r="E9499"/>
  <c r="D9499"/>
  <c r="E9415"/>
  <c r="D9415"/>
  <c r="E9343"/>
  <c r="D9343"/>
  <c r="E9283"/>
  <c r="D9283"/>
  <c r="E9223"/>
  <c r="D9223"/>
  <c r="E9175"/>
  <c r="D9175"/>
  <c r="E9127"/>
  <c r="D9127"/>
  <c r="E9091"/>
  <c r="D9091"/>
  <c r="E9055"/>
  <c r="D9055"/>
  <c r="E9019"/>
  <c r="D9019"/>
  <c r="E8971"/>
  <c r="D8971"/>
  <c r="E8923"/>
  <c r="D8923"/>
  <c r="E8887"/>
  <c r="D8887"/>
  <c r="E8839"/>
  <c r="D8839"/>
  <c r="E8791"/>
  <c r="D8791"/>
  <c r="E8743"/>
  <c r="D8743"/>
  <c r="E8695"/>
  <c r="D8695"/>
  <c r="E8647"/>
  <c r="D8647"/>
  <c r="E8599"/>
  <c r="D8599"/>
  <c r="E8551"/>
  <c r="D8551"/>
  <c r="E8515"/>
  <c r="D8515"/>
  <c r="E8479"/>
  <c r="D8479"/>
  <c r="E8431"/>
  <c r="D8431"/>
  <c r="E8383"/>
  <c r="D8383"/>
  <c r="E8335"/>
  <c r="D8335"/>
  <c r="E8287"/>
  <c r="D8287"/>
  <c r="E8239"/>
  <c r="D8239"/>
  <c r="E8191"/>
  <c r="D8191"/>
  <c r="E8143"/>
  <c r="D8143"/>
  <c r="E8107"/>
  <c r="D8107"/>
  <c r="E8035"/>
  <c r="D8035"/>
  <c r="E7987"/>
  <c r="D7987"/>
  <c r="E7939"/>
  <c r="D7939"/>
  <c r="E7891"/>
  <c r="D7891"/>
  <c r="E7843"/>
  <c r="D7843"/>
  <c r="E7807"/>
  <c r="D7807"/>
  <c r="E7759"/>
  <c r="D7759"/>
  <c r="E7699"/>
  <c r="D7699"/>
  <c r="E7627"/>
  <c r="D7627"/>
  <c r="E7219"/>
  <c r="D7219"/>
  <c r="E9993"/>
  <c r="D9993"/>
  <c r="E9969"/>
  <c r="D9969"/>
  <c r="E9945"/>
  <c r="D9945"/>
  <c r="E9921"/>
  <c r="D9921"/>
  <c r="E9994"/>
  <c r="D9994"/>
  <c r="E9982"/>
  <c r="D9982"/>
  <c r="E9970"/>
  <c r="D9970"/>
  <c r="E9958"/>
  <c r="D9958"/>
  <c r="E9946"/>
  <c r="D9946"/>
  <c r="E9934"/>
  <c r="D9934"/>
  <c r="E9922"/>
  <c r="D9922"/>
  <c r="E9910"/>
  <c r="D9910"/>
  <c r="E9898"/>
  <c r="D9898"/>
  <c r="E9886"/>
  <c r="D9886"/>
  <c r="E9874"/>
  <c r="D9874"/>
  <c r="E9862"/>
  <c r="D9862"/>
  <c r="E9850"/>
  <c r="D9850"/>
  <c r="E9838"/>
  <c r="D9838"/>
  <c r="E9826"/>
  <c r="D9826"/>
  <c r="E9814"/>
  <c r="D9814"/>
  <c r="E9802"/>
  <c r="D9802"/>
  <c r="E9790"/>
  <c r="D9790"/>
  <c r="E9778"/>
  <c r="D9778"/>
  <c r="E9766"/>
  <c r="D9766"/>
  <c r="E9754"/>
  <c r="D9754"/>
  <c r="E9742"/>
  <c r="D9742"/>
  <c r="E9730"/>
  <c r="D9730"/>
  <c r="E9718"/>
  <c r="D9718"/>
  <c r="E9706"/>
  <c r="D9706"/>
  <c r="E9694"/>
  <c r="D9694"/>
  <c r="E9682"/>
  <c r="D9682"/>
  <c r="E9670"/>
  <c r="D9670"/>
  <c r="E9658"/>
  <c r="D9658"/>
  <c r="E9646"/>
  <c r="D9646"/>
  <c r="E9634"/>
  <c r="D9634"/>
  <c r="E9622"/>
  <c r="D9622"/>
  <c r="E9610"/>
  <c r="D9610"/>
  <c r="E9598"/>
  <c r="D9598"/>
  <c r="E9586"/>
  <c r="D9586"/>
  <c r="E9574"/>
  <c r="D9574"/>
  <c r="E9562"/>
  <c r="D9562"/>
  <c r="E9550"/>
  <c r="D9550"/>
  <c r="E9538"/>
  <c r="D9538"/>
  <c r="E9526"/>
  <c r="D9526"/>
  <c r="E9514"/>
  <c r="D9514"/>
  <c r="E9502"/>
  <c r="D9502"/>
  <c r="E9490"/>
  <c r="D9490"/>
  <c r="E9478"/>
  <c r="D9478"/>
  <c r="E9466"/>
  <c r="D9466"/>
  <c r="E9454"/>
  <c r="D9454"/>
  <c r="E9442"/>
  <c r="D9442"/>
  <c r="E9430"/>
  <c r="D9430"/>
  <c r="E9418"/>
  <c r="D9418"/>
  <c r="E9406"/>
  <c r="D9406"/>
  <c r="E9394"/>
  <c r="D9394"/>
  <c r="E9382"/>
  <c r="D9382"/>
  <c r="E9370"/>
  <c r="D9370"/>
  <c r="E9358"/>
  <c r="D9358"/>
  <c r="E9346"/>
  <c r="D9346"/>
  <c r="E9334"/>
  <c r="D9334"/>
  <c r="E9322"/>
  <c r="D9322"/>
  <c r="E9310"/>
  <c r="D9310"/>
  <c r="E9298"/>
  <c r="D9298"/>
  <c r="E9286"/>
  <c r="D9286"/>
  <c r="E9274"/>
  <c r="D9274"/>
  <c r="E9262"/>
  <c r="D9262"/>
  <c r="E9250"/>
  <c r="D9250"/>
  <c r="E9238"/>
  <c r="D9238"/>
  <c r="E9226"/>
  <c r="D9226"/>
  <c r="E9214"/>
  <c r="D9214"/>
  <c r="E9202"/>
  <c r="D9202"/>
  <c r="E9190"/>
  <c r="D9190"/>
  <c r="E9178"/>
  <c r="D9178"/>
  <c r="E9166"/>
  <c r="D9166"/>
  <c r="E9154"/>
  <c r="D9154"/>
  <c r="E9142"/>
  <c r="D9142"/>
  <c r="E9130"/>
  <c r="D9130"/>
  <c r="E9118"/>
  <c r="D9118"/>
  <c r="E9106"/>
  <c r="D9106"/>
  <c r="E9094"/>
  <c r="D9094"/>
  <c r="E9082"/>
  <c r="D9082"/>
  <c r="E9070"/>
  <c r="D9070"/>
  <c r="E9058"/>
  <c r="D9058"/>
  <c r="E9046"/>
  <c r="D9046"/>
  <c r="E9034"/>
  <c r="D9034"/>
  <c r="E9022"/>
  <c r="D9022"/>
  <c r="E9010"/>
  <c r="D9010"/>
  <c r="E8998"/>
  <c r="D8998"/>
  <c r="E8986"/>
  <c r="D8986"/>
  <c r="E8974"/>
  <c r="D8974"/>
  <c r="E8962"/>
  <c r="D8962"/>
  <c r="E8950"/>
  <c r="D8950"/>
  <c r="E8938"/>
  <c r="D8938"/>
  <c r="E8926"/>
  <c r="D8926"/>
  <c r="E8914"/>
  <c r="D8914"/>
  <c r="E8902"/>
  <c r="D8902"/>
  <c r="E8890"/>
  <c r="D8890"/>
  <c r="E8878"/>
  <c r="D8878"/>
  <c r="E8866"/>
  <c r="D8866"/>
  <c r="E8854"/>
  <c r="D8854"/>
  <c r="E8842"/>
  <c r="D8842"/>
  <c r="E8830"/>
  <c r="D8830"/>
  <c r="E8818"/>
  <c r="D8818"/>
  <c r="E8806"/>
  <c r="D8806"/>
  <c r="E8794"/>
  <c r="D8794"/>
  <c r="E8782"/>
  <c r="D8782"/>
  <c r="E8770"/>
  <c r="D8770"/>
  <c r="E9739"/>
  <c r="D9739"/>
  <c r="E9235"/>
  <c r="D9235"/>
  <c r="E8047"/>
  <c r="D8047"/>
  <c r="E9971"/>
  <c r="D9971"/>
  <c r="E9947"/>
  <c r="D9947"/>
  <c r="E9911"/>
  <c r="D9911"/>
  <c r="E9875"/>
  <c r="D9875"/>
  <c r="E9839"/>
  <c r="D9839"/>
  <c r="E9803"/>
  <c r="D9803"/>
  <c r="E9779"/>
  <c r="D9779"/>
  <c r="E9743"/>
  <c r="D9743"/>
  <c r="E9719"/>
  <c r="D9719"/>
  <c r="E9695"/>
  <c r="D9695"/>
  <c r="E9659"/>
  <c r="D9659"/>
  <c r="E9623"/>
  <c r="D9623"/>
  <c r="E9587"/>
  <c r="D9587"/>
  <c r="E9563"/>
  <c r="D9563"/>
  <c r="E9527"/>
  <c r="D9527"/>
  <c r="E9491"/>
  <c r="D9491"/>
  <c r="E9455"/>
  <c r="D9455"/>
  <c r="E9431"/>
  <c r="D9431"/>
  <c r="E9407"/>
  <c r="D9407"/>
  <c r="E9383"/>
  <c r="D9383"/>
  <c r="E9371"/>
  <c r="D9371"/>
  <c r="E9359"/>
  <c r="D9359"/>
  <c r="E9335"/>
  <c r="D9335"/>
  <c r="E9323"/>
  <c r="D9323"/>
  <c r="E9311"/>
  <c r="D9311"/>
  <c r="E9299"/>
  <c r="D9299"/>
  <c r="E9287"/>
  <c r="D9287"/>
  <c r="E9275"/>
  <c r="D9275"/>
  <c r="E9263"/>
  <c r="D9263"/>
  <c r="E9251"/>
  <c r="D9251"/>
  <c r="E9239"/>
  <c r="D9239"/>
  <c r="E9227"/>
  <c r="D9227"/>
  <c r="E9215"/>
  <c r="D9215"/>
  <c r="E9203"/>
  <c r="D9203"/>
  <c r="E9191"/>
  <c r="D9191"/>
  <c r="E9179"/>
  <c r="D9179"/>
  <c r="E9167"/>
  <c r="D9167"/>
  <c r="E9155"/>
  <c r="D9155"/>
  <c r="E9143"/>
  <c r="D9143"/>
  <c r="E9131"/>
  <c r="D9131"/>
  <c r="E9119"/>
  <c r="D9119"/>
  <c r="E9107"/>
  <c r="D9107"/>
  <c r="E9095"/>
  <c r="D9095"/>
  <c r="E9083"/>
  <c r="D9083"/>
  <c r="E9071"/>
  <c r="D9071"/>
  <c r="E9059"/>
  <c r="D9059"/>
  <c r="E9047"/>
  <c r="D9047"/>
  <c r="E9035"/>
  <c r="D9035"/>
  <c r="E9023"/>
  <c r="D9023"/>
  <c r="E9011"/>
  <c r="D9011"/>
  <c r="E8999"/>
  <c r="D8999"/>
  <c r="E8987"/>
  <c r="D8987"/>
  <c r="E8975"/>
  <c r="D8975"/>
  <c r="E8963"/>
  <c r="D8963"/>
  <c r="E8951"/>
  <c r="D8951"/>
  <c r="E8939"/>
  <c r="D8939"/>
  <c r="E8927"/>
  <c r="D8927"/>
  <c r="E8915"/>
  <c r="D8915"/>
  <c r="E8903"/>
  <c r="D8903"/>
  <c r="E8891"/>
  <c r="D8891"/>
  <c r="E8879"/>
  <c r="D8879"/>
  <c r="E8867"/>
  <c r="D8867"/>
  <c r="E8855"/>
  <c r="D8855"/>
  <c r="E8843"/>
  <c r="D8843"/>
  <c r="E8831"/>
  <c r="D8831"/>
  <c r="E8819"/>
  <c r="D8819"/>
  <c r="E8807"/>
  <c r="D8807"/>
  <c r="E8795"/>
  <c r="D8795"/>
  <c r="E8783"/>
  <c r="D8783"/>
  <c r="E8771"/>
  <c r="D8771"/>
  <c r="E8759"/>
  <c r="D8759"/>
  <c r="E8747"/>
  <c r="D8747"/>
  <c r="E8735"/>
  <c r="D8735"/>
  <c r="E8723"/>
  <c r="D8723"/>
  <c r="E8711"/>
  <c r="D8711"/>
  <c r="E8699"/>
  <c r="D8699"/>
  <c r="E8687"/>
  <c r="D8687"/>
  <c r="E8675"/>
  <c r="D8675"/>
  <c r="E8663"/>
  <c r="D8663"/>
  <c r="E8651"/>
  <c r="D8651"/>
  <c r="E8639"/>
  <c r="D8639"/>
  <c r="E8627"/>
  <c r="D8627"/>
  <c r="E8615"/>
  <c r="D8615"/>
  <c r="E8603"/>
  <c r="D8603"/>
  <c r="E8591"/>
  <c r="D8591"/>
  <c r="E8579"/>
  <c r="D8579"/>
  <c r="E8567"/>
  <c r="D8567"/>
  <c r="E8555"/>
  <c r="D8555"/>
  <c r="E8543"/>
  <c r="D8543"/>
  <c r="E8531"/>
  <c r="D8531"/>
  <c r="E8519"/>
  <c r="D8519"/>
  <c r="E8507"/>
  <c r="D8507"/>
  <c r="E8495"/>
  <c r="D8495"/>
  <c r="E8483"/>
  <c r="D8483"/>
  <c r="E8471"/>
  <c r="D8471"/>
  <c r="E8459"/>
  <c r="D8459"/>
  <c r="E8447"/>
  <c r="D8447"/>
  <c r="E8435"/>
  <c r="D8435"/>
  <c r="E8423"/>
  <c r="D8423"/>
  <c r="E8411"/>
  <c r="D8411"/>
  <c r="E8399"/>
  <c r="D8399"/>
  <c r="E8387"/>
  <c r="D8387"/>
  <c r="E8375"/>
  <c r="D8375"/>
  <c r="E9979"/>
  <c r="D9979"/>
  <c r="E9871"/>
  <c r="D9871"/>
  <c r="E9787"/>
  <c r="D9787"/>
  <c r="E9715"/>
  <c r="D9715"/>
  <c r="E9631"/>
  <c r="D9631"/>
  <c r="E9571"/>
  <c r="D9571"/>
  <c r="E9511"/>
  <c r="D9511"/>
  <c r="E9463"/>
  <c r="D9463"/>
  <c r="E9379"/>
  <c r="D9379"/>
  <c r="E9307"/>
  <c r="D9307"/>
  <c r="E9199"/>
  <c r="D9199"/>
  <c r="E9007"/>
  <c r="D9007"/>
  <c r="E8059"/>
  <c r="D8059"/>
  <c r="E9995"/>
  <c r="D9995"/>
  <c r="E9983"/>
  <c r="D9983"/>
  <c r="E9959"/>
  <c r="D9959"/>
  <c r="E9935"/>
  <c r="D9935"/>
  <c r="E9923"/>
  <c r="D9923"/>
  <c r="E9899"/>
  <c r="D9899"/>
  <c r="E9887"/>
  <c r="D9887"/>
  <c r="E9863"/>
  <c r="D9863"/>
  <c r="E9851"/>
  <c r="D9851"/>
  <c r="E9827"/>
  <c r="D9827"/>
  <c r="E9815"/>
  <c r="D9815"/>
  <c r="E9791"/>
  <c r="D9791"/>
  <c r="E9767"/>
  <c r="D9767"/>
  <c r="E9755"/>
  <c r="D9755"/>
  <c r="E9731"/>
  <c r="D9731"/>
  <c r="E9707"/>
  <c r="D9707"/>
  <c r="E9683"/>
  <c r="D9683"/>
  <c r="E9671"/>
  <c r="D9671"/>
  <c r="E9647"/>
  <c r="D9647"/>
  <c r="E9635"/>
  <c r="D9635"/>
  <c r="E9611"/>
  <c r="D9611"/>
  <c r="E9599"/>
  <c r="D9599"/>
  <c r="E9575"/>
  <c r="D9575"/>
  <c r="E9551"/>
  <c r="D9551"/>
  <c r="E9539"/>
  <c r="D9539"/>
  <c r="E9515"/>
  <c r="D9515"/>
  <c r="E9503"/>
  <c r="D9503"/>
  <c r="E9479"/>
  <c r="D9479"/>
  <c r="E9467"/>
  <c r="D9467"/>
  <c r="E9443"/>
  <c r="D9443"/>
  <c r="E9419"/>
  <c r="D9419"/>
  <c r="E9395"/>
  <c r="D9395"/>
  <c r="E9347"/>
  <c r="D9347"/>
  <c r="E9996"/>
  <c r="D9996"/>
  <c r="E9984"/>
  <c r="D9984"/>
  <c r="E9972"/>
  <c r="D9972"/>
  <c r="E9960"/>
  <c r="D9960"/>
  <c r="E9948"/>
  <c r="D9948"/>
  <c r="E9936"/>
  <c r="D9936"/>
  <c r="E9924"/>
  <c r="D9924"/>
  <c r="E9912"/>
  <c r="D9912"/>
  <c r="E9900"/>
  <c r="D9900"/>
  <c r="E9888"/>
  <c r="D9888"/>
  <c r="E9876"/>
  <c r="D9876"/>
  <c r="E9864"/>
  <c r="D9864"/>
  <c r="E9852"/>
  <c r="D9852"/>
  <c r="E9840"/>
  <c r="D9840"/>
  <c r="E9828"/>
  <c r="D9828"/>
  <c r="E9816"/>
  <c r="D9816"/>
  <c r="E9804"/>
  <c r="D9804"/>
  <c r="E9792"/>
  <c r="D9792"/>
  <c r="E9780"/>
  <c r="D9780"/>
  <c r="E9768"/>
  <c r="D9768"/>
  <c r="E9756"/>
  <c r="D9756"/>
  <c r="E9744"/>
  <c r="D9744"/>
  <c r="E9732"/>
  <c r="D9732"/>
  <c r="E9720"/>
  <c r="D9720"/>
  <c r="E9708"/>
  <c r="D9708"/>
  <c r="E9696"/>
  <c r="D9696"/>
  <c r="E9684"/>
  <c r="D9684"/>
  <c r="E9672"/>
  <c r="D9672"/>
  <c r="E9660"/>
  <c r="D9660"/>
  <c r="E9648"/>
  <c r="D9648"/>
  <c r="E9636"/>
  <c r="D9636"/>
  <c r="E9624"/>
  <c r="D9624"/>
  <c r="E9612"/>
  <c r="D9612"/>
  <c r="E9600"/>
  <c r="D9600"/>
  <c r="E9588"/>
  <c r="D9588"/>
  <c r="E9576"/>
  <c r="D9576"/>
  <c r="E9564"/>
  <c r="D9564"/>
  <c r="E9552"/>
  <c r="D9552"/>
  <c r="E9540"/>
  <c r="D9540"/>
  <c r="E9528"/>
  <c r="D9528"/>
  <c r="E9516"/>
  <c r="D9516"/>
  <c r="E9504"/>
  <c r="D9504"/>
  <c r="E9492"/>
  <c r="D9492"/>
  <c r="E9480"/>
  <c r="D9480"/>
  <c r="E9468"/>
  <c r="D9468"/>
  <c r="E9456"/>
  <c r="D9456"/>
  <c r="E9444"/>
  <c r="D9444"/>
  <c r="E9432"/>
  <c r="D9432"/>
  <c r="E9420"/>
  <c r="D9420"/>
  <c r="E9408"/>
  <c r="D9408"/>
  <c r="E9396"/>
  <c r="D9396"/>
  <c r="E9384"/>
  <c r="D9384"/>
  <c r="E9372"/>
  <c r="D9372"/>
  <c r="E9360"/>
  <c r="D9360"/>
  <c r="E9348"/>
  <c r="D9348"/>
  <c r="E9336"/>
  <c r="D9336"/>
  <c r="E9324"/>
  <c r="D9324"/>
  <c r="E9312"/>
  <c r="D9312"/>
  <c r="E9300"/>
  <c r="D9300"/>
  <c r="E9288"/>
  <c r="D9288"/>
  <c r="E9276"/>
  <c r="D9276"/>
  <c r="E9264"/>
  <c r="D9264"/>
  <c r="E9252"/>
  <c r="D9252"/>
  <c r="E9240"/>
  <c r="D9240"/>
  <c r="E9228"/>
  <c r="D9228"/>
  <c r="E9216"/>
  <c r="D9216"/>
  <c r="E9204"/>
  <c r="D9204"/>
  <c r="E9192"/>
  <c r="D9192"/>
  <c r="E9180"/>
  <c r="D9180"/>
  <c r="E9168"/>
  <c r="D9168"/>
  <c r="E9156"/>
  <c r="D9156"/>
  <c r="E9144"/>
  <c r="D9144"/>
  <c r="E9132"/>
  <c r="D9132"/>
  <c r="E9120"/>
  <c r="D9120"/>
  <c r="E9108"/>
  <c r="D9108"/>
  <c r="D9096"/>
  <c r="E9096"/>
  <c r="E9084"/>
  <c r="D9084"/>
  <c r="E9072"/>
  <c r="D9072"/>
  <c r="E9060"/>
  <c r="D9060"/>
  <c r="E9048"/>
  <c r="D9048"/>
  <c r="E9036"/>
  <c r="D9036"/>
  <c r="E9024"/>
  <c r="D9024"/>
  <c r="E9012"/>
  <c r="D9012"/>
  <c r="E9000"/>
  <c r="D9000"/>
  <c r="E8988"/>
  <c r="D8988"/>
  <c r="E8976"/>
  <c r="D8976"/>
  <c r="E8964"/>
  <c r="D8964"/>
  <c r="E8952"/>
  <c r="D8952"/>
  <c r="E8940"/>
  <c r="D8940"/>
  <c r="E8928"/>
  <c r="D8928"/>
  <c r="E8916"/>
  <c r="D8916"/>
  <c r="E8904"/>
  <c r="D8904"/>
  <c r="E8892"/>
  <c r="D8892"/>
  <c r="E8880"/>
  <c r="D8880"/>
  <c r="E8868"/>
  <c r="D8868"/>
  <c r="E8856"/>
  <c r="D8856"/>
  <c r="E8844"/>
  <c r="D8844"/>
  <c r="E8832"/>
  <c r="D8832"/>
  <c r="E8820"/>
  <c r="D8820"/>
  <c r="E8808"/>
  <c r="D8808"/>
  <c r="E8796"/>
  <c r="D8796"/>
  <c r="E8784"/>
  <c r="D8784"/>
  <c r="E8772"/>
  <c r="D8772"/>
  <c r="E8760"/>
  <c r="D8760"/>
  <c r="E8748"/>
  <c r="D8748"/>
  <c r="E8736"/>
  <c r="D8736"/>
  <c r="E8724"/>
  <c r="D8724"/>
  <c r="E8712"/>
  <c r="D8712"/>
  <c r="E8700"/>
  <c r="D8700"/>
  <c r="E8688"/>
  <c r="D8688"/>
  <c r="D8676"/>
  <c r="E8676"/>
  <c r="E8664"/>
  <c r="D8664"/>
  <c r="E8652"/>
  <c r="D8652"/>
  <c r="E8640"/>
  <c r="D8640"/>
  <c r="E8628"/>
  <c r="D8628"/>
  <c r="E8616"/>
  <c r="D8616"/>
  <c r="E8604"/>
  <c r="D8604"/>
  <c r="E8592"/>
  <c r="D8592"/>
  <c r="E8580"/>
  <c r="D8580"/>
  <c r="E8568"/>
  <c r="D8568"/>
  <c r="E8556"/>
  <c r="D8556"/>
  <c r="E8544"/>
  <c r="D8544"/>
  <c r="E9931"/>
  <c r="D9931"/>
  <c r="E9751"/>
  <c r="D9751"/>
  <c r="E9985"/>
  <c r="D9985"/>
  <c r="E9949"/>
  <c r="D9949"/>
  <c r="E9913"/>
  <c r="D9913"/>
  <c r="E9877"/>
  <c r="D9877"/>
  <c r="E9853"/>
  <c r="D9853"/>
  <c r="E9805"/>
  <c r="D9805"/>
  <c r="E9769"/>
  <c r="D9769"/>
  <c r="E9733"/>
  <c r="D9733"/>
  <c r="E9697"/>
  <c r="D9697"/>
  <c r="E9673"/>
  <c r="D9673"/>
  <c r="E9637"/>
  <c r="D9637"/>
  <c r="E9613"/>
  <c r="D9613"/>
  <c r="E9589"/>
  <c r="D9589"/>
  <c r="E9553"/>
  <c r="D9553"/>
  <c r="E9529"/>
  <c r="D9529"/>
  <c r="E9493"/>
  <c r="D9493"/>
  <c r="E9469"/>
  <c r="D9469"/>
  <c r="E9445"/>
  <c r="D9445"/>
  <c r="E9421"/>
  <c r="D9421"/>
  <c r="E9397"/>
  <c r="D9397"/>
  <c r="E9373"/>
  <c r="D9373"/>
  <c r="E9349"/>
  <c r="D9349"/>
  <c r="E9325"/>
  <c r="D9325"/>
  <c r="E9301"/>
  <c r="D9301"/>
  <c r="E9277"/>
  <c r="D9277"/>
  <c r="E9253"/>
  <c r="D9253"/>
  <c r="E9229"/>
  <c r="D9229"/>
  <c r="E9205"/>
  <c r="D9205"/>
  <c r="E9181"/>
  <c r="D9181"/>
  <c r="E9157"/>
  <c r="D9157"/>
  <c r="E9133"/>
  <c r="D9133"/>
  <c r="E9109"/>
  <c r="D9109"/>
  <c r="E9085"/>
  <c r="D9085"/>
  <c r="E9061"/>
  <c r="D9061"/>
  <c r="E9025"/>
  <c r="D9025"/>
  <c r="E9001"/>
  <c r="D9001"/>
  <c r="E8977"/>
  <c r="D8977"/>
  <c r="E8953"/>
  <c r="D8953"/>
  <c r="E8929"/>
  <c r="D8929"/>
  <c r="E8905"/>
  <c r="D8905"/>
  <c r="E8881"/>
  <c r="D8881"/>
  <c r="E8857"/>
  <c r="D8857"/>
  <c r="E8833"/>
  <c r="D8833"/>
  <c r="E8809"/>
  <c r="D8809"/>
  <c r="E8797"/>
  <c r="D8797"/>
  <c r="E8773"/>
  <c r="D8773"/>
  <c r="E8749"/>
  <c r="D8749"/>
  <c r="E8725"/>
  <c r="D8725"/>
  <c r="E8713"/>
  <c r="D8713"/>
  <c r="E8689"/>
  <c r="D8689"/>
  <c r="D8665"/>
  <c r="E8665"/>
  <c r="E8641"/>
  <c r="D8641"/>
  <c r="E8617"/>
  <c r="D8617"/>
  <c r="E8593"/>
  <c r="D8593"/>
  <c r="E8569"/>
  <c r="D8569"/>
  <c r="E8545"/>
  <c r="D8545"/>
  <c r="E8521"/>
  <c r="D8521"/>
  <c r="E8497"/>
  <c r="D8497"/>
  <c r="E8473"/>
  <c r="D8473"/>
  <c r="E8449"/>
  <c r="D8449"/>
  <c r="E8425"/>
  <c r="D8425"/>
  <c r="E8401"/>
  <c r="D8401"/>
  <c r="E8377"/>
  <c r="D8377"/>
  <c r="E8353"/>
  <c r="D8353"/>
  <c r="E8329"/>
  <c r="D8329"/>
  <c r="E8305"/>
  <c r="D8305"/>
  <c r="E8293"/>
  <c r="D8293"/>
  <c r="E8269"/>
  <c r="D8269"/>
  <c r="E8257"/>
  <c r="D8257"/>
  <c r="E8245"/>
  <c r="D8245"/>
  <c r="D8233"/>
  <c r="E8233"/>
  <c r="E8221"/>
  <c r="D8221"/>
  <c r="E8209"/>
  <c r="D8209"/>
  <c r="E8197"/>
  <c r="D8197"/>
  <c r="E8185"/>
  <c r="D8185"/>
  <c r="E8173"/>
  <c r="D8173"/>
  <c r="E8161"/>
  <c r="D8161"/>
  <c r="E8149"/>
  <c r="D8149"/>
  <c r="E8137"/>
  <c r="D8137"/>
  <c r="E8125"/>
  <c r="D8125"/>
  <c r="E8113"/>
  <c r="D8113"/>
  <c r="E8101"/>
  <c r="D8101"/>
  <c r="E8089"/>
  <c r="D8089"/>
  <c r="E8077"/>
  <c r="D8077"/>
  <c r="E8065"/>
  <c r="D8065"/>
  <c r="E8053"/>
  <c r="D8053"/>
  <c r="E8041"/>
  <c r="D8041"/>
  <c r="E8029"/>
  <c r="D8029"/>
  <c r="E8017"/>
  <c r="D8017"/>
  <c r="E8005"/>
  <c r="D8005"/>
  <c r="E7993"/>
  <c r="D7993"/>
  <c r="E7981"/>
  <c r="D7981"/>
  <c r="E7969"/>
  <c r="D7969"/>
  <c r="E7957"/>
  <c r="D7957"/>
  <c r="E7933"/>
  <c r="D7933"/>
  <c r="E7921"/>
  <c r="D7921"/>
  <c r="E7909"/>
  <c r="D7909"/>
  <c r="E7897"/>
  <c r="D7897"/>
  <c r="E7885"/>
  <c r="D7885"/>
  <c r="E7873"/>
  <c r="D7873"/>
  <c r="E7861"/>
  <c r="D7861"/>
  <c r="E7849"/>
  <c r="D7849"/>
  <c r="E7837"/>
  <c r="D7837"/>
  <c r="E7825"/>
  <c r="D7825"/>
  <c r="E7813"/>
  <c r="D7813"/>
  <c r="E7801"/>
  <c r="D7801"/>
  <c r="E7789"/>
  <c r="D7789"/>
  <c r="E7777"/>
  <c r="D7777"/>
  <c r="E7765"/>
  <c r="D7765"/>
  <c r="E7753"/>
  <c r="D7753"/>
  <c r="E7741"/>
  <c r="D7741"/>
  <c r="E7729"/>
  <c r="D7729"/>
  <c r="E7717"/>
  <c r="D7717"/>
  <c r="E7705"/>
  <c r="D7705"/>
  <c r="E7693"/>
  <c r="D7693"/>
  <c r="E7681"/>
  <c r="D7681"/>
  <c r="E7669"/>
  <c r="D7669"/>
  <c r="E7657"/>
  <c r="D7657"/>
  <c r="E7645"/>
  <c r="D7645"/>
  <c r="E7633"/>
  <c r="D7633"/>
  <c r="E7621"/>
  <c r="D7621"/>
  <c r="E7609"/>
  <c r="D7609"/>
  <c r="E7597"/>
  <c r="D7597"/>
  <c r="E7585"/>
  <c r="D7585"/>
  <c r="E7573"/>
  <c r="D7573"/>
  <c r="E7561"/>
  <c r="D7561"/>
  <c r="E7549"/>
  <c r="D7549"/>
  <c r="E7537"/>
  <c r="D7537"/>
  <c r="E7525"/>
  <c r="D7525"/>
  <c r="E7513"/>
  <c r="D7513"/>
  <c r="E7501"/>
  <c r="D7501"/>
  <c r="E7489"/>
  <c r="D7489"/>
  <c r="E7477"/>
  <c r="D7477"/>
  <c r="E7465"/>
  <c r="D7465"/>
  <c r="E7453"/>
  <c r="D7453"/>
  <c r="E7441"/>
  <c r="D7441"/>
  <c r="E7429"/>
  <c r="D7429"/>
  <c r="E7417"/>
  <c r="D7417"/>
  <c r="E7405"/>
  <c r="D7405"/>
  <c r="E7393"/>
  <c r="D7393"/>
  <c r="E7381"/>
  <c r="D7381"/>
  <c r="E7369"/>
  <c r="D7369"/>
  <c r="E7357"/>
  <c r="D7357"/>
  <c r="E7345"/>
  <c r="D7345"/>
  <c r="E7333"/>
  <c r="D7333"/>
  <c r="E7321"/>
  <c r="D7321"/>
  <c r="E7309"/>
  <c r="D7309"/>
  <c r="E7297"/>
  <c r="D7297"/>
  <c r="E7285"/>
  <c r="D7285"/>
  <c r="E7273"/>
  <c r="D7273"/>
  <c r="E7261"/>
  <c r="D7261"/>
  <c r="E7249"/>
  <c r="D7249"/>
  <c r="E7237"/>
  <c r="D7237"/>
  <c r="E7225"/>
  <c r="D7225"/>
  <c r="E7213"/>
  <c r="D7213"/>
  <c r="E7201"/>
  <c r="D7201"/>
  <c r="E7189"/>
  <c r="D7189"/>
  <c r="E7177"/>
  <c r="D7177"/>
  <c r="E7165"/>
  <c r="D7165"/>
  <c r="E7153"/>
  <c r="D7153"/>
  <c r="E7141"/>
  <c r="D7141"/>
  <c r="E7129"/>
  <c r="D7129"/>
  <c r="E7117"/>
  <c r="D7117"/>
  <c r="E7105"/>
  <c r="D7105"/>
  <c r="E7093"/>
  <c r="D7093"/>
  <c r="E7081"/>
  <c r="D7081"/>
  <c r="E7069"/>
  <c r="D7069"/>
  <c r="E7057"/>
  <c r="D7057"/>
  <c r="E7045"/>
  <c r="D7045"/>
  <c r="E7033"/>
  <c r="D7033"/>
  <c r="E7021"/>
  <c r="D7021"/>
  <c r="E7009"/>
  <c r="D7009"/>
  <c r="E6997"/>
  <c r="D6997"/>
  <c r="E6985"/>
  <c r="D6985"/>
  <c r="E6973"/>
  <c r="D6973"/>
  <c r="E6961"/>
  <c r="D6961"/>
  <c r="E6949"/>
  <c r="D6949"/>
  <c r="E6937"/>
  <c r="D6937"/>
  <c r="E6925"/>
  <c r="D6925"/>
  <c r="E6913"/>
  <c r="D6913"/>
  <c r="E6901"/>
  <c r="D6901"/>
  <c r="E6889"/>
  <c r="D6889"/>
  <c r="E6877"/>
  <c r="D6877"/>
  <c r="E6865"/>
  <c r="D6865"/>
  <c r="E6853"/>
  <c r="D6853"/>
  <c r="E6841"/>
  <c r="D6841"/>
  <c r="E6829"/>
  <c r="D6829"/>
  <c r="E6817"/>
  <c r="D6817"/>
  <c r="E6805"/>
  <c r="D6805"/>
  <c r="E6793"/>
  <c r="D6793"/>
  <c r="E6781"/>
  <c r="D6781"/>
  <c r="E9907"/>
  <c r="D9907"/>
  <c r="E9823"/>
  <c r="D9823"/>
  <c r="E9667"/>
  <c r="D9667"/>
  <c r="E9439"/>
  <c r="D9439"/>
  <c r="E9997"/>
  <c r="D9997"/>
  <c r="E9961"/>
  <c r="D9961"/>
  <c r="E9925"/>
  <c r="D9925"/>
  <c r="E9889"/>
  <c r="D9889"/>
  <c r="E9841"/>
  <c r="D9841"/>
  <c r="E9793"/>
  <c r="D9793"/>
  <c r="E9757"/>
  <c r="D9757"/>
  <c r="E9721"/>
  <c r="D9721"/>
  <c r="E9685"/>
  <c r="D9685"/>
  <c r="E9649"/>
  <c r="D9649"/>
  <c r="E9625"/>
  <c r="D9625"/>
  <c r="E9601"/>
  <c r="D9601"/>
  <c r="E9577"/>
  <c r="D9577"/>
  <c r="E9541"/>
  <c r="D9541"/>
  <c r="E9517"/>
  <c r="D9517"/>
  <c r="E9505"/>
  <c r="D9505"/>
  <c r="E9481"/>
  <c r="D9481"/>
  <c r="E9457"/>
  <c r="D9457"/>
  <c r="E9433"/>
  <c r="D9433"/>
  <c r="E9409"/>
  <c r="D9409"/>
  <c r="E9385"/>
  <c r="D9385"/>
  <c r="E9361"/>
  <c r="D9361"/>
  <c r="E9337"/>
  <c r="D9337"/>
  <c r="E9313"/>
  <c r="D9313"/>
  <c r="E9289"/>
  <c r="D9289"/>
  <c r="E9265"/>
  <c r="D9265"/>
  <c r="E9241"/>
  <c r="D9241"/>
  <c r="E9217"/>
  <c r="D9217"/>
  <c r="E9193"/>
  <c r="D9193"/>
  <c r="E9169"/>
  <c r="D9169"/>
  <c r="E9145"/>
  <c r="D9145"/>
  <c r="E9121"/>
  <c r="D9121"/>
  <c r="E9097"/>
  <c r="D9097"/>
  <c r="E9073"/>
  <c r="D9073"/>
  <c r="E9049"/>
  <c r="D9049"/>
  <c r="E9037"/>
  <c r="D9037"/>
  <c r="E9013"/>
  <c r="D9013"/>
  <c r="E8989"/>
  <c r="D8989"/>
  <c r="E8965"/>
  <c r="D8965"/>
  <c r="E8941"/>
  <c r="D8941"/>
  <c r="E8917"/>
  <c r="D8917"/>
  <c r="E8893"/>
  <c r="D8893"/>
  <c r="E8869"/>
  <c r="D8869"/>
  <c r="E8845"/>
  <c r="D8845"/>
  <c r="E8821"/>
  <c r="D8821"/>
  <c r="E8785"/>
  <c r="D8785"/>
  <c r="E8761"/>
  <c r="D8761"/>
  <c r="E8737"/>
  <c r="D8737"/>
  <c r="E8701"/>
  <c r="D8701"/>
  <c r="E8677"/>
  <c r="D8677"/>
  <c r="E8653"/>
  <c r="D8653"/>
  <c r="E8629"/>
  <c r="D8629"/>
  <c r="E8605"/>
  <c r="D8605"/>
  <c r="E8581"/>
  <c r="D8581"/>
  <c r="E8557"/>
  <c r="D8557"/>
  <c r="E8533"/>
  <c r="D8533"/>
  <c r="E8509"/>
  <c r="D8509"/>
  <c r="E8485"/>
  <c r="D8485"/>
  <c r="E8461"/>
  <c r="D8461"/>
  <c r="E8437"/>
  <c r="D8437"/>
  <c r="E8413"/>
  <c r="D8413"/>
  <c r="E8389"/>
  <c r="D8389"/>
  <c r="E8365"/>
  <c r="D8365"/>
  <c r="E8341"/>
  <c r="D8341"/>
  <c r="E8317"/>
  <c r="D8317"/>
  <c r="E8281"/>
  <c r="D8281"/>
  <c r="E7945"/>
  <c r="D7945"/>
  <c r="E9998"/>
  <c r="D9998"/>
  <c r="E9986"/>
  <c r="D9986"/>
  <c r="E9974"/>
  <c r="D9974"/>
  <c r="E9962"/>
  <c r="D9962"/>
  <c r="E9950"/>
  <c r="D9950"/>
  <c r="E9938"/>
  <c r="D9938"/>
  <c r="E9926"/>
  <c r="D9926"/>
  <c r="E9914"/>
  <c r="D9914"/>
  <c r="E9902"/>
  <c r="D9902"/>
  <c r="E9890"/>
  <c r="D9890"/>
  <c r="E9878"/>
  <c r="D9878"/>
  <c r="E9866"/>
  <c r="D9866"/>
  <c r="E9854"/>
  <c r="D9854"/>
  <c r="E9842"/>
  <c r="D9842"/>
  <c r="E9830"/>
  <c r="D9830"/>
  <c r="E9818"/>
  <c r="D9818"/>
  <c r="E9806"/>
  <c r="D9806"/>
  <c r="E9794"/>
  <c r="D9794"/>
  <c r="E9782"/>
  <c r="D9782"/>
  <c r="E9770"/>
  <c r="D9770"/>
  <c r="E9758"/>
  <c r="D9758"/>
  <c r="E9746"/>
  <c r="D9746"/>
  <c r="E9734"/>
  <c r="D9734"/>
  <c r="E9722"/>
  <c r="D9722"/>
  <c r="E9710"/>
  <c r="D9710"/>
  <c r="E9698"/>
  <c r="D9698"/>
  <c r="E9686"/>
  <c r="D9686"/>
  <c r="E9674"/>
  <c r="D9674"/>
  <c r="E9662"/>
  <c r="D9662"/>
  <c r="E9650"/>
  <c r="D9650"/>
  <c r="E9638"/>
  <c r="D9638"/>
  <c r="E9626"/>
  <c r="D9626"/>
  <c r="E9614"/>
  <c r="D9614"/>
  <c r="E9602"/>
  <c r="D9602"/>
  <c r="E9590"/>
  <c r="D9590"/>
  <c r="E9578"/>
  <c r="D9578"/>
  <c r="E9566"/>
  <c r="D9566"/>
  <c r="E9554"/>
  <c r="D9554"/>
  <c r="E9542"/>
  <c r="D9542"/>
  <c r="E9530"/>
  <c r="D9530"/>
  <c r="E9518"/>
  <c r="D9518"/>
  <c r="E9506"/>
  <c r="D9506"/>
  <c r="E9494"/>
  <c r="D9494"/>
  <c r="E9482"/>
  <c r="D9482"/>
  <c r="E9470"/>
  <c r="D9470"/>
  <c r="E9458"/>
  <c r="D9458"/>
  <c r="E9446"/>
  <c r="D9446"/>
  <c r="E9434"/>
  <c r="D9434"/>
  <c r="E9422"/>
  <c r="D9422"/>
  <c r="E9410"/>
  <c r="D9410"/>
  <c r="E9398"/>
  <c r="D9398"/>
  <c r="E9386"/>
  <c r="D9386"/>
  <c r="E9374"/>
  <c r="D9374"/>
  <c r="E9362"/>
  <c r="D9362"/>
  <c r="E9350"/>
  <c r="D9350"/>
  <c r="E9338"/>
  <c r="D9338"/>
  <c r="E9326"/>
  <c r="D9326"/>
  <c r="E9314"/>
  <c r="D9314"/>
  <c r="E9302"/>
  <c r="D9302"/>
  <c r="E9290"/>
  <c r="D9290"/>
  <c r="E9278"/>
  <c r="D9278"/>
  <c r="E9266"/>
  <c r="D9266"/>
  <c r="E9254"/>
  <c r="D9254"/>
  <c r="E9242"/>
  <c r="D9242"/>
  <c r="E9230"/>
  <c r="D9230"/>
  <c r="E9218"/>
  <c r="D9218"/>
  <c r="E9206"/>
  <c r="D9206"/>
  <c r="E9194"/>
  <c r="D9194"/>
  <c r="E9182"/>
  <c r="D9182"/>
  <c r="E9170"/>
  <c r="D9170"/>
  <c r="E9158"/>
  <c r="D9158"/>
  <c r="E9146"/>
  <c r="D9146"/>
  <c r="E9134"/>
  <c r="D9134"/>
  <c r="E9122"/>
  <c r="D9122"/>
  <c r="E9110"/>
  <c r="D9110"/>
  <c r="E9098"/>
  <c r="D9098"/>
  <c r="E9086"/>
  <c r="D9086"/>
  <c r="E9074"/>
  <c r="D9074"/>
  <c r="E9062"/>
  <c r="D9062"/>
  <c r="E9050"/>
  <c r="D9050"/>
  <c r="E9038"/>
  <c r="D9038"/>
  <c r="E9026"/>
  <c r="D9026"/>
  <c r="D9427"/>
  <c r="E9943"/>
  <c r="D9943"/>
  <c r="E9835"/>
  <c r="D9835"/>
  <c r="E9655"/>
  <c r="D9655"/>
  <c r="E9367"/>
  <c r="D9367"/>
  <c r="E9973"/>
  <c r="D9973"/>
  <c r="E9937"/>
  <c r="D9937"/>
  <c r="E9901"/>
  <c r="D9901"/>
  <c r="E9865"/>
  <c r="D9865"/>
  <c r="E9829"/>
  <c r="D9829"/>
  <c r="E9817"/>
  <c r="D9817"/>
  <c r="E9781"/>
  <c r="D9781"/>
  <c r="E9745"/>
  <c r="D9745"/>
  <c r="E9709"/>
  <c r="D9709"/>
  <c r="E9661"/>
  <c r="D9661"/>
  <c r="E9565"/>
  <c r="D9565"/>
  <c r="E9999"/>
  <c r="D9999"/>
  <c r="E9987"/>
  <c r="D9987"/>
  <c r="D9975"/>
  <c r="E9975"/>
  <c r="E9963"/>
  <c r="D9963"/>
  <c r="E9951"/>
  <c r="D9951"/>
  <c r="E9939"/>
  <c r="D9939"/>
  <c r="E9927"/>
  <c r="D9927"/>
  <c r="E9915"/>
  <c r="D9915"/>
  <c r="D9903"/>
  <c r="E9903"/>
  <c r="E9891"/>
  <c r="D9891"/>
  <c r="E9879"/>
  <c r="D9879"/>
  <c r="E9867"/>
  <c r="D9867"/>
  <c r="E9855"/>
  <c r="D9855"/>
  <c r="E9843"/>
  <c r="D9843"/>
  <c r="E9831"/>
  <c r="D9831"/>
  <c r="E9819"/>
  <c r="D9819"/>
  <c r="E9807"/>
  <c r="D9807"/>
  <c r="E9795"/>
  <c r="D9795"/>
  <c r="E9783"/>
  <c r="D9783"/>
  <c r="E9771"/>
  <c r="D9771"/>
  <c r="E9759"/>
  <c r="D9759"/>
  <c r="E9747"/>
  <c r="D9747"/>
  <c r="E9735"/>
  <c r="D9735"/>
  <c r="E9723"/>
  <c r="D9723"/>
  <c r="E9711"/>
  <c r="D9711"/>
  <c r="E9699"/>
  <c r="D9699"/>
  <c r="E9687"/>
  <c r="D9687"/>
  <c r="E9675"/>
  <c r="D9675"/>
  <c r="E9663"/>
  <c r="D9663"/>
  <c r="E9651"/>
  <c r="D9651"/>
  <c r="E9639"/>
  <c r="D9639"/>
  <c r="E9627"/>
  <c r="D9627"/>
  <c r="D9615"/>
  <c r="E9615"/>
  <c r="E9603"/>
  <c r="D9603"/>
  <c r="E9591"/>
  <c r="D9591"/>
  <c r="E9579"/>
  <c r="D9579"/>
  <c r="E9567"/>
  <c r="D9567"/>
  <c r="E9555"/>
  <c r="D9555"/>
  <c r="D9543"/>
  <c r="E9543"/>
  <c r="E9531"/>
  <c r="D9531"/>
  <c r="E9519"/>
  <c r="D9519"/>
  <c r="E9507"/>
  <c r="D9507"/>
  <c r="D9495"/>
  <c r="E9495"/>
  <c r="D9483"/>
  <c r="E9483"/>
  <c r="D9471"/>
  <c r="E9471"/>
  <c r="E9459"/>
  <c r="D9459"/>
  <c r="E9447"/>
  <c r="D9447"/>
  <c r="E9435"/>
  <c r="D9435"/>
  <c r="D9423"/>
  <c r="E9423"/>
  <c r="D9411"/>
  <c r="E9411"/>
  <c r="D9399"/>
  <c r="E9399"/>
  <c r="E9387"/>
  <c r="D9387"/>
  <c r="E9375"/>
  <c r="D9375"/>
  <c r="E9363"/>
  <c r="D9363"/>
  <c r="D9351"/>
  <c r="E9351"/>
  <c r="D9339"/>
  <c r="E9339"/>
  <c r="D9327"/>
  <c r="E9327"/>
  <c r="E9315"/>
  <c r="D9315"/>
  <c r="E9303"/>
  <c r="D9303"/>
  <c r="E9291"/>
  <c r="D9291"/>
  <c r="D9279"/>
  <c r="E9279"/>
  <c r="D9267"/>
  <c r="E9267"/>
  <c r="D9255"/>
  <c r="E9255"/>
  <c r="E9243"/>
  <c r="D9243"/>
  <c r="E9231"/>
  <c r="D9231"/>
  <c r="E9219"/>
  <c r="D9219"/>
  <c r="E9207"/>
  <c r="D9207"/>
  <c r="E9195"/>
  <c r="D9195"/>
  <c r="E9183"/>
  <c r="D9183"/>
  <c r="E9171"/>
  <c r="D9171"/>
  <c r="E9159"/>
  <c r="D9159"/>
  <c r="E9147"/>
  <c r="D9147"/>
  <c r="E9135"/>
  <c r="D9135"/>
  <c r="E9123"/>
  <c r="D9123"/>
  <c r="E9111"/>
  <c r="D9111"/>
  <c r="E9099"/>
  <c r="D9099"/>
  <c r="E9087"/>
  <c r="D9087"/>
  <c r="E9075"/>
  <c r="D9075"/>
  <c r="E9063"/>
  <c r="D9063"/>
  <c r="E9051"/>
  <c r="D9051"/>
  <c r="E9039"/>
  <c r="D9039"/>
  <c r="E9027"/>
  <c r="D9027"/>
  <c r="E9015"/>
  <c r="D9015"/>
  <c r="E9003"/>
  <c r="D9003"/>
  <c r="E8991"/>
  <c r="D8991"/>
  <c r="E8979"/>
  <c r="D8979"/>
  <c r="E8967"/>
  <c r="D8967"/>
  <c r="E8955"/>
  <c r="D8955"/>
  <c r="E8943"/>
  <c r="D8943"/>
  <c r="E8931"/>
  <c r="D8931"/>
  <c r="E8919"/>
  <c r="D8919"/>
  <c r="E8907"/>
  <c r="D8907"/>
  <c r="E8895"/>
  <c r="D8895"/>
  <c r="E8883"/>
  <c r="D8883"/>
  <c r="E8871"/>
  <c r="D8871"/>
  <c r="E8859"/>
  <c r="D8859"/>
  <c r="E8847"/>
  <c r="D8847"/>
  <c r="E8835"/>
  <c r="D8835"/>
  <c r="E8823"/>
  <c r="D8823"/>
  <c r="E8811"/>
  <c r="D8811"/>
  <c r="E8799"/>
  <c r="D8799"/>
  <c r="E8787"/>
  <c r="D8787"/>
  <c r="E8775"/>
  <c r="D8775"/>
  <c r="E8763"/>
  <c r="D8763"/>
  <c r="E8751"/>
  <c r="D8751"/>
  <c r="E8739"/>
  <c r="D8739"/>
  <c r="E8727"/>
  <c r="D8727"/>
  <c r="E8715"/>
  <c r="D8715"/>
  <c r="E8703"/>
  <c r="D8703"/>
  <c r="E8691"/>
  <c r="D8691"/>
  <c r="E8679"/>
  <c r="D8679"/>
  <c r="E8667"/>
  <c r="D8667"/>
  <c r="E8655"/>
  <c r="D8655"/>
  <c r="E8643"/>
  <c r="D8643"/>
  <c r="E8631"/>
  <c r="D8631"/>
  <c r="E8619"/>
  <c r="D8619"/>
  <c r="E8607"/>
  <c r="D8607"/>
  <c r="E8595"/>
  <c r="D8595"/>
  <c r="E8583"/>
  <c r="D8583"/>
  <c r="E8571"/>
  <c r="D8571"/>
  <c r="E8559"/>
  <c r="D8559"/>
  <c r="E8547"/>
  <c r="D8547"/>
  <c r="E8535"/>
  <c r="D8535"/>
  <c r="E8523"/>
  <c r="D8523"/>
  <c r="E8511"/>
  <c r="D8511"/>
  <c r="E8499"/>
  <c r="D8499"/>
  <c r="E8487"/>
  <c r="D8487"/>
  <c r="E8475"/>
  <c r="D8475"/>
  <c r="E8463"/>
  <c r="D8463"/>
  <c r="E8451"/>
  <c r="D8451"/>
  <c r="E8439"/>
  <c r="D8439"/>
  <c r="E8427"/>
  <c r="D8427"/>
  <c r="E8415"/>
  <c r="D8415"/>
  <c r="E8403"/>
  <c r="D8403"/>
  <c r="E8391"/>
  <c r="D8391"/>
  <c r="E8379"/>
  <c r="D8379"/>
  <c r="E8367"/>
  <c r="D8367"/>
  <c r="E8355"/>
  <c r="D8355"/>
  <c r="E8343"/>
  <c r="D8343"/>
  <c r="E8331"/>
  <c r="D8331"/>
  <c r="E8319"/>
  <c r="D8319"/>
  <c r="E8307"/>
  <c r="D8307"/>
  <c r="E8295"/>
  <c r="D8295"/>
  <c r="E8283"/>
  <c r="D8283"/>
  <c r="E8271"/>
  <c r="D8271"/>
  <c r="E8259"/>
  <c r="D8259"/>
  <c r="E8247"/>
  <c r="D8247"/>
  <c r="E8235"/>
  <c r="D8235"/>
  <c r="E8223"/>
  <c r="D8223"/>
  <c r="E8211"/>
  <c r="D8211"/>
  <c r="E8199"/>
  <c r="D8199"/>
  <c r="E8187"/>
  <c r="D8187"/>
  <c r="E8175"/>
  <c r="D8175"/>
  <c r="E8163"/>
  <c r="D8163"/>
  <c r="E8151"/>
  <c r="D8151"/>
  <c r="E8139"/>
  <c r="D8139"/>
  <c r="E8127"/>
  <c r="D8127"/>
  <c r="E8115"/>
  <c r="D8115"/>
  <c r="E8103"/>
  <c r="D8103"/>
  <c r="E8091"/>
  <c r="D8091"/>
  <c r="E8079"/>
  <c r="D8079"/>
  <c r="E8067"/>
  <c r="D8067"/>
  <c r="E8055"/>
  <c r="D8055"/>
  <c r="E8043"/>
  <c r="D8043"/>
  <c r="E8031"/>
  <c r="D8031"/>
  <c r="E8019"/>
  <c r="D8019"/>
  <c r="E8007"/>
  <c r="D8007"/>
  <c r="E7995"/>
  <c r="D7995"/>
  <c r="E7983"/>
  <c r="D7983"/>
  <c r="E7971"/>
  <c r="D7971"/>
  <c r="E7959"/>
  <c r="D7959"/>
  <c r="E7947"/>
  <c r="D7947"/>
  <c r="E7935"/>
  <c r="D7935"/>
  <c r="E7923"/>
  <c r="D7923"/>
  <c r="E7911"/>
  <c r="D7911"/>
  <c r="E7899"/>
  <c r="D7899"/>
  <c r="E7887"/>
  <c r="D7887"/>
  <c r="E7875"/>
  <c r="D7875"/>
  <c r="E7863"/>
  <c r="D7863"/>
  <c r="E7851"/>
  <c r="D7851"/>
  <c r="E7839"/>
  <c r="D7839"/>
  <c r="E7827"/>
  <c r="D7827"/>
  <c r="E7815"/>
  <c r="D7815"/>
  <c r="E7803"/>
  <c r="D7803"/>
  <c r="E7791"/>
  <c r="D7791"/>
  <c r="E7779"/>
  <c r="D7779"/>
  <c r="E7767"/>
  <c r="D7767"/>
  <c r="E8852"/>
  <c r="D8852"/>
  <c r="E8840"/>
  <c r="D8840"/>
  <c r="E8828"/>
  <c r="D8828"/>
  <c r="E8816"/>
  <c r="D8816"/>
  <c r="E8804"/>
  <c r="D8804"/>
  <c r="E8792"/>
  <c r="D8792"/>
  <c r="E8780"/>
  <c r="D8780"/>
  <c r="E8768"/>
  <c r="D8768"/>
  <c r="E8756"/>
  <c r="D8756"/>
  <c r="E8744"/>
  <c r="D8744"/>
  <c r="E8732"/>
  <c r="D8732"/>
  <c r="E8720"/>
  <c r="D8720"/>
  <c r="E8708"/>
  <c r="D8708"/>
  <c r="E8696"/>
  <c r="D8696"/>
  <c r="E8684"/>
  <c r="D8684"/>
  <c r="E8672"/>
  <c r="D8672"/>
  <c r="E8660"/>
  <c r="D8660"/>
  <c r="E8648"/>
  <c r="D8648"/>
  <c r="E8636"/>
  <c r="D8636"/>
  <c r="E8624"/>
  <c r="D8624"/>
  <c r="E8612"/>
  <c r="D8612"/>
  <c r="E8600"/>
  <c r="D8600"/>
  <c r="E8588"/>
  <c r="D8588"/>
  <c r="E8576"/>
  <c r="D8576"/>
  <c r="E8564"/>
  <c r="D8564"/>
  <c r="E8552"/>
  <c r="D8552"/>
  <c r="E8540"/>
  <c r="D8540"/>
  <c r="E8528"/>
  <c r="D8528"/>
  <c r="E8516"/>
  <c r="D8516"/>
  <c r="E8504"/>
  <c r="D8504"/>
  <c r="E8492"/>
  <c r="D8492"/>
  <c r="E8480"/>
  <c r="D8480"/>
  <c r="E8468"/>
  <c r="D8468"/>
  <c r="E8456"/>
  <c r="D8456"/>
  <c r="E8444"/>
  <c r="D8444"/>
  <c r="E8432"/>
  <c r="D8432"/>
  <c r="E8420"/>
  <c r="D8420"/>
  <c r="E8408"/>
  <c r="D8408"/>
  <c r="E8396"/>
  <c r="D8396"/>
  <c r="E8384"/>
  <c r="D8384"/>
  <c r="E8372"/>
  <c r="D8372"/>
  <c r="E8360"/>
  <c r="D8360"/>
  <c r="E8348"/>
  <c r="D8348"/>
  <c r="E8336"/>
  <c r="D8336"/>
  <c r="E8324"/>
  <c r="D8324"/>
  <c r="E8312"/>
  <c r="D8312"/>
  <c r="E8300"/>
  <c r="D8300"/>
  <c r="E8288"/>
  <c r="D8288"/>
  <c r="E8276"/>
  <c r="D8276"/>
  <c r="E8264"/>
  <c r="D8264"/>
  <c r="E8252"/>
  <c r="D8252"/>
  <c r="E8240"/>
  <c r="D8240"/>
  <c r="E8228"/>
  <c r="D8228"/>
  <c r="E8216"/>
  <c r="D8216"/>
  <c r="E8204"/>
  <c r="D8204"/>
  <c r="E8192"/>
  <c r="D8192"/>
  <c r="E8180"/>
  <c r="D8180"/>
  <c r="E8168"/>
  <c r="D8168"/>
  <c r="E8156"/>
  <c r="D8156"/>
  <c r="E8144"/>
  <c r="D8144"/>
  <c r="E8132"/>
  <c r="D8132"/>
  <c r="E8120"/>
  <c r="D8120"/>
  <c r="E8108"/>
  <c r="D8108"/>
  <c r="E8096"/>
  <c r="D8096"/>
  <c r="E8084"/>
  <c r="D8084"/>
  <c r="E8072"/>
  <c r="D8072"/>
  <c r="E8060"/>
  <c r="D8060"/>
  <c r="E8048"/>
  <c r="D8048"/>
  <c r="E8036"/>
  <c r="D8036"/>
  <c r="E8024"/>
  <c r="D8024"/>
  <c r="E8012"/>
  <c r="D8012"/>
  <c r="E8000"/>
  <c r="D8000"/>
  <c r="E7988"/>
  <c r="D7988"/>
  <c r="E7976"/>
  <c r="D7976"/>
  <c r="E7964"/>
  <c r="D7964"/>
  <c r="E7952"/>
  <c r="D7952"/>
  <c r="E7940"/>
  <c r="D7940"/>
  <c r="E7928"/>
  <c r="D7928"/>
  <c r="E7916"/>
  <c r="D7916"/>
  <c r="E7904"/>
  <c r="D7904"/>
  <c r="E7892"/>
  <c r="D7892"/>
  <c r="E7880"/>
  <c r="D7880"/>
  <c r="E7868"/>
  <c r="D7868"/>
  <c r="E7856"/>
  <c r="D7856"/>
  <c r="E7844"/>
  <c r="D7844"/>
  <c r="E7832"/>
  <c r="D7832"/>
  <c r="E7820"/>
  <c r="D7820"/>
  <c r="E7808"/>
  <c r="D7808"/>
  <c r="E7796"/>
  <c r="D7796"/>
  <c r="E7784"/>
  <c r="D7784"/>
  <c r="E7772"/>
  <c r="D7772"/>
  <c r="E7760"/>
  <c r="D7760"/>
  <c r="E7748"/>
  <c r="D7748"/>
  <c r="E7736"/>
  <c r="D7736"/>
  <c r="E7724"/>
  <c r="D7724"/>
  <c r="E7712"/>
  <c r="D7712"/>
  <c r="E7700"/>
  <c r="D7700"/>
  <c r="E7688"/>
  <c r="D7688"/>
  <c r="E7676"/>
  <c r="D7676"/>
  <c r="E7664"/>
  <c r="D7664"/>
  <c r="E7652"/>
  <c r="D7652"/>
  <c r="E7640"/>
  <c r="D7640"/>
  <c r="E7628"/>
  <c r="D7628"/>
  <c r="E7616"/>
  <c r="D7616"/>
  <c r="E7604"/>
  <c r="D7604"/>
  <c r="E7592"/>
  <c r="D7592"/>
  <c r="E7580"/>
  <c r="D7580"/>
  <c r="E7568"/>
  <c r="D7568"/>
  <c r="E7556"/>
  <c r="D7556"/>
  <c r="E7544"/>
  <c r="D7544"/>
  <c r="E7532"/>
  <c r="D7532"/>
  <c r="E7520"/>
  <c r="D7520"/>
  <c r="E7508"/>
  <c r="D7508"/>
  <c r="E7496"/>
  <c r="D7496"/>
  <c r="E7484"/>
  <c r="D7484"/>
  <c r="E7472"/>
  <c r="D7472"/>
  <c r="E7460"/>
  <c r="D7460"/>
  <c r="E7448"/>
  <c r="D7448"/>
  <c r="E7436"/>
  <c r="D7436"/>
  <c r="E7424"/>
  <c r="D7424"/>
  <c r="E7412"/>
  <c r="D7412"/>
  <c r="E7400"/>
  <c r="D7400"/>
  <c r="E7388"/>
  <c r="D7388"/>
  <c r="E7376"/>
  <c r="D7376"/>
  <c r="E7364"/>
  <c r="D7364"/>
  <c r="E7352"/>
  <c r="D7352"/>
  <c r="E7340"/>
  <c r="D7340"/>
  <c r="E7328"/>
  <c r="D7328"/>
  <c r="E7316"/>
  <c r="D7316"/>
  <c r="E7304"/>
  <c r="D7304"/>
  <c r="E7292"/>
  <c r="D7292"/>
  <c r="E7280"/>
  <c r="D7280"/>
  <c r="E7268"/>
  <c r="D7268"/>
  <c r="E7256"/>
  <c r="D7256"/>
  <c r="E7244"/>
  <c r="D7244"/>
  <c r="E7232"/>
  <c r="D7232"/>
  <c r="E7220"/>
  <c r="D7220"/>
  <c r="E7208"/>
  <c r="D7208"/>
  <c r="E7196"/>
  <c r="D7196"/>
  <c r="E7184"/>
  <c r="D7184"/>
  <c r="E7172"/>
  <c r="D7172"/>
  <c r="E7160"/>
  <c r="D7160"/>
  <c r="E7148"/>
  <c r="D7148"/>
  <c r="E7136"/>
  <c r="D7136"/>
  <c r="E7124"/>
  <c r="D7124"/>
  <c r="E7112"/>
  <c r="D7112"/>
  <c r="E7100"/>
  <c r="D7100"/>
  <c r="E7088"/>
  <c r="D7088"/>
  <c r="E7076"/>
  <c r="D7076"/>
  <c r="E7064"/>
  <c r="D7064"/>
  <c r="E7052"/>
  <c r="D7052"/>
  <c r="E7040"/>
  <c r="D7040"/>
  <c r="E7028"/>
  <c r="D7028"/>
  <c r="E7016"/>
  <c r="D7016"/>
  <c r="E7004"/>
  <c r="D7004"/>
  <c r="E6992"/>
  <c r="D6992"/>
  <c r="E6980"/>
  <c r="D6980"/>
  <c r="E6968"/>
  <c r="D6968"/>
  <c r="E6956"/>
  <c r="D6956"/>
  <c r="E6944"/>
  <c r="D6944"/>
  <c r="E6932"/>
  <c r="D6932"/>
  <c r="E6920"/>
  <c r="D6920"/>
  <c r="E6908"/>
  <c r="D6908"/>
  <c r="E6896"/>
  <c r="D6896"/>
  <c r="E6884"/>
  <c r="D6884"/>
  <c r="E6872"/>
  <c r="D6872"/>
  <c r="E6860"/>
  <c r="D6860"/>
  <c r="E6848"/>
  <c r="D6848"/>
  <c r="E6836"/>
  <c r="D6836"/>
  <c r="E6824"/>
  <c r="D6824"/>
  <c r="E6812"/>
  <c r="D6812"/>
  <c r="E6800"/>
  <c r="D6800"/>
  <c r="E6788"/>
  <c r="D6788"/>
  <c r="E6776"/>
  <c r="D6776"/>
  <c r="E6764"/>
  <c r="D6764"/>
  <c r="E6752"/>
  <c r="D6752"/>
  <c r="E6740"/>
  <c r="D6740"/>
  <c r="E6728"/>
  <c r="D6728"/>
  <c r="E6716"/>
  <c r="D6716"/>
  <c r="E6704"/>
  <c r="D6704"/>
  <c r="E6692"/>
  <c r="D6692"/>
  <c r="E6680"/>
  <c r="D6680"/>
  <c r="E6668"/>
  <c r="D6668"/>
  <c r="E6656"/>
  <c r="D6656"/>
  <c r="E6644"/>
  <c r="D6644"/>
  <c r="E6632"/>
  <c r="D6632"/>
  <c r="E6620"/>
  <c r="D6620"/>
  <c r="E6608"/>
  <c r="D6608"/>
  <c r="E6596"/>
  <c r="D6596"/>
  <c r="E6584"/>
  <c r="D6584"/>
  <c r="E6572"/>
  <c r="D6572"/>
  <c r="E6560"/>
  <c r="D6560"/>
  <c r="E6548"/>
  <c r="D6548"/>
  <c r="E6536"/>
  <c r="D6536"/>
  <c r="E6524"/>
  <c r="D6524"/>
  <c r="E6512"/>
  <c r="D6512"/>
  <c r="E6500"/>
  <c r="D6500"/>
  <c r="E6488"/>
  <c r="D6488"/>
  <c r="E6476"/>
  <c r="D6476"/>
  <c r="E6464"/>
  <c r="D6464"/>
  <c r="E6452"/>
  <c r="D6452"/>
  <c r="E6440"/>
  <c r="D6440"/>
  <c r="E6428"/>
  <c r="D6428"/>
  <c r="E6416"/>
  <c r="D6416"/>
  <c r="E6404"/>
  <c r="D6404"/>
  <c r="E6392"/>
  <c r="D6392"/>
  <c r="E6380"/>
  <c r="D6380"/>
  <c r="E6368"/>
  <c r="D6368"/>
  <c r="E6356"/>
  <c r="D6356"/>
  <c r="E6344"/>
  <c r="D6344"/>
  <c r="E6332"/>
  <c r="D6332"/>
  <c r="E6320"/>
  <c r="D6320"/>
  <c r="E6308"/>
  <c r="D6308"/>
  <c r="E6296"/>
  <c r="D6296"/>
  <c r="E6284"/>
  <c r="D6284"/>
  <c r="E6272"/>
  <c r="D6272"/>
  <c r="E6260"/>
  <c r="D6260"/>
  <c r="E6248"/>
  <c r="D6248"/>
  <c r="E6236"/>
  <c r="D6236"/>
  <c r="E6224"/>
  <c r="D6224"/>
  <c r="E6212"/>
  <c r="D6212"/>
  <c r="E6200"/>
  <c r="D6200"/>
  <c r="E6188"/>
  <c r="D6188"/>
  <c r="E6176"/>
  <c r="D6176"/>
  <c r="E6164"/>
  <c r="D6164"/>
  <c r="E6152"/>
  <c r="D6152"/>
  <c r="E6140"/>
  <c r="D6140"/>
  <c r="E6128"/>
  <c r="D6128"/>
  <c r="E6116"/>
  <c r="D6116"/>
  <c r="E6104"/>
  <c r="D6104"/>
  <c r="E6092"/>
  <c r="D6092"/>
  <c r="E6080"/>
  <c r="D6080"/>
  <c r="E6068"/>
  <c r="D6068"/>
  <c r="E6056"/>
  <c r="D6056"/>
  <c r="E6044"/>
  <c r="D6044"/>
  <c r="E6032"/>
  <c r="D6032"/>
  <c r="E6020"/>
  <c r="D6020"/>
  <c r="E6008"/>
  <c r="D6008"/>
  <c r="E5996"/>
  <c r="D5996"/>
  <c r="D6717"/>
  <c r="E8625"/>
  <c r="D8625"/>
  <c r="E8613"/>
  <c r="D8613"/>
  <c r="E8601"/>
  <c r="D8601"/>
  <c r="E8589"/>
  <c r="D8589"/>
  <c r="E8577"/>
  <c r="D8577"/>
  <c r="E8565"/>
  <c r="D8565"/>
  <c r="E8553"/>
  <c r="D8553"/>
  <c r="E8541"/>
  <c r="D8541"/>
  <c r="E8529"/>
  <c r="D8529"/>
  <c r="E8517"/>
  <c r="D8517"/>
  <c r="E8505"/>
  <c r="D8505"/>
  <c r="E8493"/>
  <c r="D8493"/>
  <c r="E8481"/>
  <c r="D8481"/>
  <c r="E8469"/>
  <c r="D8469"/>
  <c r="E8457"/>
  <c r="D8457"/>
  <c r="E8445"/>
  <c r="D8445"/>
  <c r="E8433"/>
  <c r="D8433"/>
  <c r="E8421"/>
  <c r="D8421"/>
  <c r="E8409"/>
  <c r="D8409"/>
  <c r="E8385"/>
  <c r="D8385"/>
  <c r="E8373"/>
  <c r="D8373"/>
  <c r="E8361"/>
  <c r="D8361"/>
  <c r="E8349"/>
  <c r="D8349"/>
  <c r="E8337"/>
  <c r="D8337"/>
  <c r="E8325"/>
  <c r="D8325"/>
  <c r="E8313"/>
  <c r="D8313"/>
  <c r="E8301"/>
  <c r="D8301"/>
  <c r="E8289"/>
  <c r="D8289"/>
  <c r="E8277"/>
  <c r="D8277"/>
  <c r="E8265"/>
  <c r="D8265"/>
  <c r="E8253"/>
  <c r="D8253"/>
  <c r="E8241"/>
  <c r="D8241"/>
  <c r="E8229"/>
  <c r="D8229"/>
  <c r="E8217"/>
  <c r="D8217"/>
  <c r="E8205"/>
  <c r="D8205"/>
  <c r="E8193"/>
  <c r="D8193"/>
  <c r="E8181"/>
  <c r="D8181"/>
  <c r="E8169"/>
  <c r="D8169"/>
  <c r="E8157"/>
  <c r="D8157"/>
  <c r="E8145"/>
  <c r="D8145"/>
  <c r="E8133"/>
  <c r="D8133"/>
  <c r="E8121"/>
  <c r="D8121"/>
  <c r="E8109"/>
  <c r="D8109"/>
  <c r="E8097"/>
  <c r="D8097"/>
  <c r="E8085"/>
  <c r="D8085"/>
  <c r="E8073"/>
  <c r="D8073"/>
  <c r="E8061"/>
  <c r="D8061"/>
  <c r="E8049"/>
  <c r="D8049"/>
  <c r="E8037"/>
  <c r="D8037"/>
  <c r="E8025"/>
  <c r="D8025"/>
  <c r="E8013"/>
  <c r="D8013"/>
  <c r="E8001"/>
  <c r="D8001"/>
  <c r="E7989"/>
  <c r="D7989"/>
  <c r="E7977"/>
  <c r="D7977"/>
  <c r="E7965"/>
  <c r="D7965"/>
  <c r="E7953"/>
  <c r="D7953"/>
  <c r="E7941"/>
  <c r="D7941"/>
  <c r="E7929"/>
  <c r="D7929"/>
  <c r="E7917"/>
  <c r="D7917"/>
  <c r="E7905"/>
  <c r="D7905"/>
  <c r="E7893"/>
  <c r="D7893"/>
  <c r="E7881"/>
  <c r="D7881"/>
  <c r="E7857"/>
  <c r="D7857"/>
  <c r="E7845"/>
  <c r="D7845"/>
  <c r="E7833"/>
  <c r="D7833"/>
  <c r="E7809"/>
  <c r="D7809"/>
  <c r="E7797"/>
  <c r="D7797"/>
  <c r="E7785"/>
  <c r="D7785"/>
  <c r="E7773"/>
  <c r="D7773"/>
  <c r="E7761"/>
  <c r="D7761"/>
  <c r="E7749"/>
  <c r="D7749"/>
  <c r="E7737"/>
  <c r="D7737"/>
  <c r="E7725"/>
  <c r="D7725"/>
  <c r="E7713"/>
  <c r="D7713"/>
  <c r="E7701"/>
  <c r="D7701"/>
  <c r="E7689"/>
  <c r="D7689"/>
  <c r="E7677"/>
  <c r="D7677"/>
  <c r="E7665"/>
  <c r="D7665"/>
  <c r="E7653"/>
  <c r="D7653"/>
  <c r="E7641"/>
  <c r="D7641"/>
  <c r="E7629"/>
  <c r="D7629"/>
  <c r="E7617"/>
  <c r="D7617"/>
  <c r="E7605"/>
  <c r="D7605"/>
  <c r="E7593"/>
  <c r="D7593"/>
  <c r="E7581"/>
  <c r="D7581"/>
  <c r="E7569"/>
  <c r="D7569"/>
  <c r="E7557"/>
  <c r="D7557"/>
  <c r="E7545"/>
  <c r="D7545"/>
  <c r="E7533"/>
  <c r="D7533"/>
  <c r="E7521"/>
  <c r="D7521"/>
  <c r="E7509"/>
  <c r="D7509"/>
  <c r="E7497"/>
  <c r="D7497"/>
  <c r="E7485"/>
  <c r="D7485"/>
  <c r="E7473"/>
  <c r="D7473"/>
  <c r="E7461"/>
  <c r="D7461"/>
  <c r="E7449"/>
  <c r="D7449"/>
  <c r="E7437"/>
  <c r="D7437"/>
  <c r="E7425"/>
  <c r="D7425"/>
  <c r="E7413"/>
  <c r="D7413"/>
  <c r="E7401"/>
  <c r="D7401"/>
  <c r="E7389"/>
  <c r="D7389"/>
  <c r="E7377"/>
  <c r="D7377"/>
  <c r="E7365"/>
  <c r="D7365"/>
  <c r="E7353"/>
  <c r="D7353"/>
  <c r="E7341"/>
  <c r="D7341"/>
  <c r="E7329"/>
  <c r="D7329"/>
  <c r="E7317"/>
  <c r="D7317"/>
  <c r="E7305"/>
  <c r="D7305"/>
  <c r="E7281"/>
  <c r="D7281"/>
  <c r="E7269"/>
  <c r="D7269"/>
  <c r="E7257"/>
  <c r="D7257"/>
  <c r="E7233"/>
  <c r="D7233"/>
  <c r="E7221"/>
  <c r="D7221"/>
  <c r="E7209"/>
  <c r="D7209"/>
  <c r="E7197"/>
  <c r="D7197"/>
  <c r="E7185"/>
  <c r="D7185"/>
  <c r="E7173"/>
  <c r="D7173"/>
  <c r="E7161"/>
  <c r="D7161"/>
  <c r="E7149"/>
  <c r="D7149"/>
  <c r="E7137"/>
  <c r="D7137"/>
  <c r="E7125"/>
  <c r="D7125"/>
  <c r="E7113"/>
  <c r="D7113"/>
  <c r="E7101"/>
  <c r="D7101"/>
  <c r="E7089"/>
  <c r="D7089"/>
  <c r="E7077"/>
  <c r="D7077"/>
  <c r="E7065"/>
  <c r="D7065"/>
  <c r="E7053"/>
  <c r="D7053"/>
  <c r="E7041"/>
  <c r="D7041"/>
  <c r="E7029"/>
  <c r="D7029"/>
  <c r="E7017"/>
  <c r="D7017"/>
  <c r="E7005"/>
  <c r="D7005"/>
  <c r="E6993"/>
  <c r="D6993"/>
  <c r="E6981"/>
  <c r="D6981"/>
  <c r="E6969"/>
  <c r="D6969"/>
  <c r="E6957"/>
  <c r="D6957"/>
  <c r="E6945"/>
  <c r="D6945"/>
  <c r="E6933"/>
  <c r="D6933"/>
  <c r="E6921"/>
  <c r="D6921"/>
  <c r="E6909"/>
  <c r="D6909"/>
  <c r="E6897"/>
  <c r="D6897"/>
  <c r="E6885"/>
  <c r="D6885"/>
  <c r="E6873"/>
  <c r="D6873"/>
  <c r="E6861"/>
  <c r="D6861"/>
  <c r="E6849"/>
  <c r="D6849"/>
  <c r="E6837"/>
  <c r="D6837"/>
  <c r="E6825"/>
  <c r="D6825"/>
  <c r="E6813"/>
  <c r="D6813"/>
  <c r="E6801"/>
  <c r="D6801"/>
  <c r="E6789"/>
  <c r="D6789"/>
  <c r="E6777"/>
  <c r="D6777"/>
  <c r="E6765"/>
  <c r="D6765"/>
  <c r="E6753"/>
  <c r="D6753"/>
  <c r="E6741"/>
  <c r="D6741"/>
  <c r="E6729"/>
  <c r="D6729"/>
  <c r="E6705"/>
  <c r="D6705"/>
  <c r="E6693"/>
  <c r="D6693"/>
  <c r="E6681"/>
  <c r="D6681"/>
  <c r="E6657"/>
  <c r="D6657"/>
  <c r="E6645"/>
  <c r="D6645"/>
  <c r="E6633"/>
  <c r="D6633"/>
  <c r="E6621"/>
  <c r="D6621"/>
  <c r="E6609"/>
  <c r="D6609"/>
  <c r="E6597"/>
  <c r="D6597"/>
  <c r="E6585"/>
  <c r="D6585"/>
  <c r="E6573"/>
  <c r="D6573"/>
  <c r="E6561"/>
  <c r="D6561"/>
  <c r="E6549"/>
  <c r="D6549"/>
  <c r="E6537"/>
  <c r="D6537"/>
  <c r="E6525"/>
  <c r="D6525"/>
  <c r="E6513"/>
  <c r="D6513"/>
  <c r="E6501"/>
  <c r="D6501"/>
  <c r="E6489"/>
  <c r="D6489"/>
  <c r="E6477"/>
  <c r="D6477"/>
  <c r="E6465"/>
  <c r="D6465"/>
  <c r="E6453"/>
  <c r="D6453"/>
  <c r="E6441"/>
  <c r="D6441"/>
  <c r="E6429"/>
  <c r="D6429"/>
  <c r="E6417"/>
  <c r="D6417"/>
  <c r="E6405"/>
  <c r="D6405"/>
  <c r="E6393"/>
  <c r="D6393"/>
  <c r="E6381"/>
  <c r="D6381"/>
  <c r="E6369"/>
  <c r="D6369"/>
  <c r="E6357"/>
  <c r="D6357"/>
  <c r="E6345"/>
  <c r="D6345"/>
  <c r="E6333"/>
  <c r="D6333"/>
  <c r="E6321"/>
  <c r="D6321"/>
  <c r="E6309"/>
  <c r="D6309"/>
  <c r="E6297"/>
  <c r="D6297"/>
  <c r="E6285"/>
  <c r="D6285"/>
  <c r="E6273"/>
  <c r="D6273"/>
  <c r="E6261"/>
  <c r="D6261"/>
  <c r="E6249"/>
  <c r="D6249"/>
  <c r="E6237"/>
  <c r="D6237"/>
  <c r="E6225"/>
  <c r="D6225"/>
  <c r="E6213"/>
  <c r="D6213"/>
  <c r="E6201"/>
  <c r="D6201"/>
  <c r="E6189"/>
  <c r="D6189"/>
  <c r="E6177"/>
  <c r="D6177"/>
  <c r="E6165"/>
  <c r="D6165"/>
  <c r="E6153"/>
  <c r="D6153"/>
  <c r="E6141"/>
  <c r="D6141"/>
  <c r="E6129"/>
  <c r="D6129"/>
  <c r="E6117"/>
  <c r="D6117"/>
  <c r="E6105"/>
  <c r="D6105"/>
  <c r="E6093"/>
  <c r="D6093"/>
  <c r="E6081"/>
  <c r="D6081"/>
  <c r="E6069"/>
  <c r="D6069"/>
  <c r="E6057"/>
  <c r="D6057"/>
  <c r="E6045"/>
  <c r="D6045"/>
  <c r="E6033"/>
  <c r="D6033"/>
  <c r="E6009"/>
  <c r="D6009"/>
  <c r="E5997"/>
  <c r="D5997"/>
  <c r="E5985"/>
  <c r="D5985"/>
  <c r="E5973"/>
  <c r="D5973"/>
  <c r="E5961"/>
  <c r="D5961"/>
  <c r="E5937"/>
  <c r="D5937"/>
  <c r="E5925"/>
  <c r="D5925"/>
  <c r="E5913"/>
  <c r="D5913"/>
  <c r="E5901"/>
  <c r="D5901"/>
  <c r="E5889"/>
  <c r="D5889"/>
  <c r="E5877"/>
  <c r="D5877"/>
  <c r="E5865"/>
  <c r="D5865"/>
  <c r="E5853"/>
  <c r="D5853"/>
  <c r="E5841"/>
  <c r="D5841"/>
  <c r="E5829"/>
  <c r="D5829"/>
  <c r="E5817"/>
  <c r="D5817"/>
  <c r="E5805"/>
  <c r="D5805"/>
  <c r="E5793"/>
  <c r="D5793"/>
  <c r="D7245"/>
  <c r="E8758"/>
  <c r="D8758"/>
  <c r="E8746"/>
  <c r="D8746"/>
  <c r="E8734"/>
  <c r="D8734"/>
  <c r="E8722"/>
  <c r="D8722"/>
  <c r="E8710"/>
  <c r="D8710"/>
  <c r="E8698"/>
  <c r="D8698"/>
  <c r="E8686"/>
  <c r="D8686"/>
  <c r="E8674"/>
  <c r="D8674"/>
  <c r="E8662"/>
  <c r="D8662"/>
  <c r="E8650"/>
  <c r="D8650"/>
  <c r="E8638"/>
  <c r="D8638"/>
  <c r="E8626"/>
  <c r="D8626"/>
  <c r="E8614"/>
  <c r="D8614"/>
  <c r="E8602"/>
  <c r="D8602"/>
  <c r="E8590"/>
  <c r="D8590"/>
  <c r="E8578"/>
  <c r="D8578"/>
  <c r="E8566"/>
  <c r="D8566"/>
  <c r="E8554"/>
  <c r="D8554"/>
  <c r="E8542"/>
  <c r="D8542"/>
  <c r="E8530"/>
  <c r="D8530"/>
  <c r="E8518"/>
  <c r="D8518"/>
  <c r="E8506"/>
  <c r="D8506"/>
  <c r="E8494"/>
  <c r="D8494"/>
  <c r="E8482"/>
  <c r="D8482"/>
  <c r="E8470"/>
  <c r="D8470"/>
  <c r="E8458"/>
  <c r="D8458"/>
  <c r="E8446"/>
  <c r="D8446"/>
  <c r="E8422"/>
  <c r="D8422"/>
  <c r="E8410"/>
  <c r="D8410"/>
  <c r="E8398"/>
  <c r="D8398"/>
  <c r="E8386"/>
  <c r="D8386"/>
  <c r="E8374"/>
  <c r="D8374"/>
  <c r="E8362"/>
  <c r="D8362"/>
  <c r="E8350"/>
  <c r="D8350"/>
  <c r="E8338"/>
  <c r="D8338"/>
  <c r="E8326"/>
  <c r="D8326"/>
  <c r="E8314"/>
  <c r="D8314"/>
  <c r="E8302"/>
  <c r="D8302"/>
  <c r="E8290"/>
  <c r="D8290"/>
  <c r="E8278"/>
  <c r="D8278"/>
  <c r="E8266"/>
  <c r="D8266"/>
  <c r="E8254"/>
  <c r="D8254"/>
  <c r="E8242"/>
  <c r="D8242"/>
  <c r="E8230"/>
  <c r="D8230"/>
  <c r="E8218"/>
  <c r="D8218"/>
  <c r="E8206"/>
  <c r="D8206"/>
  <c r="E8194"/>
  <c r="D8194"/>
  <c r="E8182"/>
  <c r="D8182"/>
  <c r="E8170"/>
  <c r="D8170"/>
  <c r="E8158"/>
  <c r="D8158"/>
  <c r="E8146"/>
  <c r="D8146"/>
  <c r="E8134"/>
  <c r="D8134"/>
  <c r="E8122"/>
  <c r="D8122"/>
  <c r="E8110"/>
  <c r="D8110"/>
  <c r="E8098"/>
  <c r="D8098"/>
  <c r="E8086"/>
  <c r="D8086"/>
  <c r="E8074"/>
  <c r="D8074"/>
  <c r="E8062"/>
  <c r="D8062"/>
  <c r="E8050"/>
  <c r="D8050"/>
  <c r="E8038"/>
  <c r="D8038"/>
  <c r="E8026"/>
  <c r="D8026"/>
  <c r="E8014"/>
  <c r="D8014"/>
  <c r="E8002"/>
  <c r="D8002"/>
  <c r="E7990"/>
  <c r="D7990"/>
  <c r="E7978"/>
  <c r="D7978"/>
  <c r="E7966"/>
  <c r="D7966"/>
  <c r="E7954"/>
  <c r="D7954"/>
  <c r="E7942"/>
  <c r="D7942"/>
  <c r="E7930"/>
  <c r="D7930"/>
  <c r="E7918"/>
  <c r="D7918"/>
  <c r="E7906"/>
  <c r="D7906"/>
  <c r="E7894"/>
  <c r="D7894"/>
  <c r="E7882"/>
  <c r="D7882"/>
  <c r="E7870"/>
  <c r="D7870"/>
  <c r="E7858"/>
  <c r="D7858"/>
  <c r="E7846"/>
  <c r="D7846"/>
  <c r="E7834"/>
  <c r="D7834"/>
  <c r="E7822"/>
  <c r="D7822"/>
  <c r="E7810"/>
  <c r="D7810"/>
  <c r="E7798"/>
  <c r="D7798"/>
  <c r="E7786"/>
  <c r="D7786"/>
  <c r="E7774"/>
  <c r="D7774"/>
  <c r="E7762"/>
  <c r="D7762"/>
  <c r="E7750"/>
  <c r="D7750"/>
  <c r="E7738"/>
  <c r="D7738"/>
  <c r="E7726"/>
  <c r="D7726"/>
  <c r="E7714"/>
  <c r="D7714"/>
  <c r="E7702"/>
  <c r="D7702"/>
  <c r="E7690"/>
  <c r="D7690"/>
  <c r="E7678"/>
  <c r="D7678"/>
  <c r="E7666"/>
  <c r="D7666"/>
  <c r="E7654"/>
  <c r="D7654"/>
  <c r="E7642"/>
  <c r="D7642"/>
  <c r="E7630"/>
  <c r="D7630"/>
  <c r="E7618"/>
  <c r="D7618"/>
  <c r="E7606"/>
  <c r="D7606"/>
  <c r="E7594"/>
  <c r="D7594"/>
  <c r="E7582"/>
  <c r="D7582"/>
  <c r="E7570"/>
  <c r="D7570"/>
  <c r="E7558"/>
  <c r="D7558"/>
  <c r="E7546"/>
  <c r="D7546"/>
  <c r="E7534"/>
  <c r="D7534"/>
  <c r="E7522"/>
  <c r="D7522"/>
  <c r="E7510"/>
  <c r="D7510"/>
  <c r="E7498"/>
  <c r="D7498"/>
  <c r="E7486"/>
  <c r="D7486"/>
  <c r="E7474"/>
  <c r="D7474"/>
  <c r="E7462"/>
  <c r="D7462"/>
  <c r="E7450"/>
  <c r="D7450"/>
  <c r="E7438"/>
  <c r="D7438"/>
  <c r="E7426"/>
  <c r="D7426"/>
  <c r="E7414"/>
  <c r="D7414"/>
  <c r="E7402"/>
  <c r="D7402"/>
  <c r="E7390"/>
  <c r="D7390"/>
  <c r="E7378"/>
  <c r="D7378"/>
  <c r="E7366"/>
  <c r="D7366"/>
  <c r="E7354"/>
  <c r="D7354"/>
  <c r="E7342"/>
  <c r="D7342"/>
  <c r="E7330"/>
  <c r="D7330"/>
  <c r="E7318"/>
  <c r="D7318"/>
  <c r="E7306"/>
  <c r="D7306"/>
  <c r="E7294"/>
  <c r="D7294"/>
  <c r="E7282"/>
  <c r="D7282"/>
  <c r="E7270"/>
  <c r="D7270"/>
  <c r="E7258"/>
  <c r="D7258"/>
  <c r="E7246"/>
  <c r="D7246"/>
  <c r="E7234"/>
  <c r="D7234"/>
  <c r="E7222"/>
  <c r="D7222"/>
  <c r="E7210"/>
  <c r="D7210"/>
  <c r="E7198"/>
  <c r="D7198"/>
  <c r="E7186"/>
  <c r="D7186"/>
  <c r="E7174"/>
  <c r="D7174"/>
  <c r="E7162"/>
  <c r="D7162"/>
  <c r="E7150"/>
  <c r="D7150"/>
  <c r="E7138"/>
  <c r="D7138"/>
  <c r="E7126"/>
  <c r="D7126"/>
  <c r="E7114"/>
  <c r="D7114"/>
  <c r="E7102"/>
  <c r="D7102"/>
  <c r="E7090"/>
  <c r="D7090"/>
  <c r="E7078"/>
  <c r="D7078"/>
  <c r="E7066"/>
  <c r="D7066"/>
  <c r="E7054"/>
  <c r="D7054"/>
  <c r="E7042"/>
  <c r="D7042"/>
  <c r="E7030"/>
  <c r="D7030"/>
  <c r="E7018"/>
  <c r="D7018"/>
  <c r="E7006"/>
  <c r="D7006"/>
  <c r="E6994"/>
  <c r="D6994"/>
  <c r="E6982"/>
  <c r="D6982"/>
  <c r="E6970"/>
  <c r="D6970"/>
  <c r="E6958"/>
  <c r="D6958"/>
  <c r="E6946"/>
  <c r="D6946"/>
  <c r="E6934"/>
  <c r="D6934"/>
  <c r="E6922"/>
  <c r="D6922"/>
  <c r="E6910"/>
  <c r="D6910"/>
  <c r="E6898"/>
  <c r="D6898"/>
  <c r="E6886"/>
  <c r="D6886"/>
  <c r="E6874"/>
  <c r="D6874"/>
  <c r="E6862"/>
  <c r="D6862"/>
  <c r="E6850"/>
  <c r="D6850"/>
  <c r="E6838"/>
  <c r="D6838"/>
  <c r="E6826"/>
  <c r="D6826"/>
  <c r="E6814"/>
  <c r="D6814"/>
  <c r="E6802"/>
  <c r="D6802"/>
  <c r="E6790"/>
  <c r="D6790"/>
  <c r="E6778"/>
  <c r="D6778"/>
  <c r="E6766"/>
  <c r="D6766"/>
  <c r="E6754"/>
  <c r="D6754"/>
  <c r="E6742"/>
  <c r="D6742"/>
  <c r="E6730"/>
  <c r="D6730"/>
  <c r="E6718"/>
  <c r="D6718"/>
  <c r="E6706"/>
  <c r="D6706"/>
  <c r="E6694"/>
  <c r="D6694"/>
  <c r="E6682"/>
  <c r="D6682"/>
  <c r="E6670"/>
  <c r="D6670"/>
  <c r="E6658"/>
  <c r="D6658"/>
  <c r="E6646"/>
  <c r="D6646"/>
  <c r="E6634"/>
  <c r="D6634"/>
  <c r="E6622"/>
  <c r="D6622"/>
  <c r="E6610"/>
  <c r="D6610"/>
  <c r="E6598"/>
  <c r="D6598"/>
  <c r="E6586"/>
  <c r="D6586"/>
  <c r="E6574"/>
  <c r="D6574"/>
  <c r="E6562"/>
  <c r="D6562"/>
  <c r="E6550"/>
  <c r="D6550"/>
  <c r="E6538"/>
  <c r="D6538"/>
  <c r="E6526"/>
  <c r="D6526"/>
  <c r="E6514"/>
  <c r="D6514"/>
  <c r="E6502"/>
  <c r="D6502"/>
  <c r="E6490"/>
  <c r="D6490"/>
  <c r="E6478"/>
  <c r="D6478"/>
  <c r="E6466"/>
  <c r="D6466"/>
  <c r="E6454"/>
  <c r="D6454"/>
  <c r="E6442"/>
  <c r="D6442"/>
  <c r="E6430"/>
  <c r="D6430"/>
  <c r="E6418"/>
  <c r="D6418"/>
  <c r="E6406"/>
  <c r="D6406"/>
  <c r="E6394"/>
  <c r="D6394"/>
  <c r="E6382"/>
  <c r="D6382"/>
  <c r="E6370"/>
  <c r="D6370"/>
  <c r="E6358"/>
  <c r="D6358"/>
  <c r="E6346"/>
  <c r="D6346"/>
  <c r="E6334"/>
  <c r="D6334"/>
  <c r="E6322"/>
  <c r="D6322"/>
  <c r="E6310"/>
  <c r="D6310"/>
  <c r="E6298"/>
  <c r="D6298"/>
  <c r="E6286"/>
  <c r="D6286"/>
  <c r="E6274"/>
  <c r="D6274"/>
  <c r="E6262"/>
  <c r="D6262"/>
  <c r="E6250"/>
  <c r="D6250"/>
  <c r="E6238"/>
  <c r="D6238"/>
  <c r="E6226"/>
  <c r="D6226"/>
  <c r="E6214"/>
  <c r="D6214"/>
  <c r="E6202"/>
  <c r="D6202"/>
  <c r="E6190"/>
  <c r="D6190"/>
  <c r="E6178"/>
  <c r="D6178"/>
  <c r="E6166"/>
  <c r="D6166"/>
  <c r="E6154"/>
  <c r="D6154"/>
  <c r="E6142"/>
  <c r="D6142"/>
  <c r="E6130"/>
  <c r="D6130"/>
  <c r="E6118"/>
  <c r="D6118"/>
  <c r="E6106"/>
  <c r="D6106"/>
  <c r="E6094"/>
  <c r="D6094"/>
  <c r="E6082"/>
  <c r="D6082"/>
  <c r="D7293"/>
  <c r="E8363"/>
  <c r="D8363"/>
  <c r="E8351"/>
  <c r="D8351"/>
  <c r="E8339"/>
  <c r="D8339"/>
  <c r="E8327"/>
  <c r="D8327"/>
  <c r="E8315"/>
  <c r="D8315"/>
  <c r="E8303"/>
  <c r="D8303"/>
  <c r="E8291"/>
  <c r="D8291"/>
  <c r="E8279"/>
  <c r="D8279"/>
  <c r="E8267"/>
  <c r="D8267"/>
  <c r="E8255"/>
  <c r="D8255"/>
  <c r="E8243"/>
  <c r="D8243"/>
  <c r="E8231"/>
  <c r="D8231"/>
  <c r="E8219"/>
  <c r="D8219"/>
  <c r="E8207"/>
  <c r="D8207"/>
  <c r="E8195"/>
  <c r="D8195"/>
  <c r="E8183"/>
  <c r="D8183"/>
  <c r="E8171"/>
  <c r="D8171"/>
  <c r="E8159"/>
  <c r="D8159"/>
  <c r="E8147"/>
  <c r="D8147"/>
  <c r="E8135"/>
  <c r="D8135"/>
  <c r="E8123"/>
  <c r="D8123"/>
  <c r="E8111"/>
  <c r="D8111"/>
  <c r="E8099"/>
  <c r="D8099"/>
  <c r="E8087"/>
  <c r="D8087"/>
  <c r="E8075"/>
  <c r="D8075"/>
  <c r="E8063"/>
  <c r="D8063"/>
  <c r="E8051"/>
  <c r="D8051"/>
  <c r="E8039"/>
  <c r="D8039"/>
  <c r="E8027"/>
  <c r="D8027"/>
  <c r="E8015"/>
  <c r="D8015"/>
  <c r="E8003"/>
  <c r="D8003"/>
  <c r="E7991"/>
  <c r="D7991"/>
  <c r="E7979"/>
  <c r="D7979"/>
  <c r="E7967"/>
  <c r="D7967"/>
  <c r="E7955"/>
  <c r="D7955"/>
  <c r="E7943"/>
  <c r="D7943"/>
  <c r="E7931"/>
  <c r="D7931"/>
  <c r="E7919"/>
  <c r="D7919"/>
  <c r="E7907"/>
  <c r="D7907"/>
  <c r="E7895"/>
  <c r="D7895"/>
  <c r="E7883"/>
  <c r="D7883"/>
  <c r="E7871"/>
  <c r="D7871"/>
  <c r="E7859"/>
  <c r="D7859"/>
  <c r="E7847"/>
  <c r="D7847"/>
  <c r="E7835"/>
  <c r="D7835"/>
  <c r="E7823"/>
  <c r="D7823"/>
  <c r="E7811"/>
  <c r="D7811"/>
  <c r="E7799"/>
  <c r="D7799"/>
  <c r="E7787"/>
  <c r="D7787"/>
  <c r="E7775"/>
  <c r="D7775"/>
  <c r="E7763"/>
  <c r="D7763"/>
  <c r="E7751"/>
  <c r="D7751"/>
  <c r="E7739"/>
  <c r="D7739"/>
  <c r="E7727"/>
  <c r="D7727"/>
  <c r="E7715"/>
  <c r="D7715"/>
  <c r="E7703"/>
  <c r="D7703"/>
  <c r="E7691"/>
  <c r="D7691"/>
  <c r="E7679"/>
  <c r="D7679"/>
  <c r="E7667"/>
  <c r="D7667"/>
  <c r="E7655"/>
  <c r="D7655"/>
  <c r="E7643"/>
  <c r="D7643"/>
  <c r="E7631"/>
  <c r="D7631"/>
  <c r="E7619"/>
  <c r="D7619"/>
  <c r="E7607"/>
  <c r="D7607"/>
  <c r="E7595"/>
  <c r="D7595"/>
  <c r="E7583"/>
  <c r="D7583"/>
  <c r="E7571"/>
  <c r="D7571"/>
  <c r="E7559"/>
  <c r="D7559"/>
  <c r="E7547"/>
  <c r="D7547"/>
  <c r="E7535"/>
  <c r="D7535"/>
  <c r="E7523"/>
  <c r="D7523"/>
  <c r="E7511"/>
  <c r="D7511"/>
  <c r="E7499"/>
  <c r="D7499"/>
  <c r="E7487"/>
  <c r="D7487"/>
  <c r="E7475"/>
  <c r="D7475"/>
  <c r="E7463"/>
  <c r="D7463"/>
  <c r="E7451"/>
  <c r="D7451"/>
  <c r="E7439"/>
  <c r="D7439"/>
  <c r="E7427"/>
  <c r="D7427"/>
  <c r="E7415"/>
  <c r="D7415"/>
  <c r="E7403"/>
  <c r="D7403"/>
  <c r="E7391"/>
  <c r="D7391"/>
  <c r="E7379"/>
  <c r="D7379"/>
  <c r="E7367"/>
  <c r="D7367"/>
  <c r="E7355"/>
  <c r="D7355"/>
  <c r="E7343"/>
  <c r="D7343"/>
  <c r="E7331"/>
  <c r="D7331"/>
  <c r="E7319"/>
  <c r="D7319"/>
  <c r="E7307"/>
  <c r="D7307"/>
  <c r="E7295"/>
  <c r="D7295"/>
  <c r="E7283"/>
  <c r="D7283"/>
  <c r="E7271"/>
  <c r="D7271"/>
  <c r="E7259"/>
  <c r="D7259"/>
  <c r="E7247"/>
  <c r="D7247"/>
  <c r="E7235"/>
  <c r="D7235"/>
  <c r="E7223"/>
  <c r="D7223"/>
  <c r="E7211"/>
  <c r="D7211"/>
  <c r="E7199"/>
  <c r="D7199"/>
  <c r="E7187"/>
  <c r="D7187"/>
  <c r="E7175"/>
  <c r="D7175"/>
  <c r="E7163"/>
  <c r="D7163"/>
  <c r="E7151"/>
  <c r="D7151"/>
  <c r="E7139"/>
  <c r="D7139"/>
  <c r="E7127"/>
  <c r="D7127"/>
  <c r="E7115"/>
  <c r="D7115"/>
  <c r="E7103"/>
  <c r="D7103"/>
  <c r="E7091"/>
  <c r="D7091"/>
  <c r="E7079"/>
  <c r="D7079"/>
  <c r="E7067"/>
  <c r="D7067"/>
  <c r="E7055"/>
  <c r="D7055"/>
  <c r="E7043"/>
  <c r="D7043"/>
  <c r="E7031"/>
  <c r="D7031"/>
  <c r="E7019"/>
  <c r="D7019"/>
  <c r="E7007"/>
  <c r="D7007"/>
  <c r="E6995"/>
  <c r="D6995"/>
  <c r="E6983"/>
  <c r="D6983"/>
  <c r="E6971"/>
  <c r="D6971"/>
  <c r="E6959"/>
  <c r="D6959"/>
  <c r="E6947"/>
  <c r="D6947"/>
  <c r="E6935"/>
  <c r="D6935"/>
  <c r="E6923"/>
  <c r="D6923"/>
  <c r="E6911"/>
  <c r="D6911"/>
  <c r="E6899"/>
  <c r="D6899"/>
  <c r="E6887"/>
  <c r="D6887"/>
  <c r="E6875"/>
  <c r="D6875"/>
  <c r="E6863"/>
  <c r="D6863"/>
  <c r="E6851"/>
  <c r="D6851"/>
  <c r="E6839"/>
  <c r="D6839"/>
  <c r="E6827"/>
  <c r="D6827"/>
  <c r="E6815"/>
  <c r="D6815"/>
  <c r="E6803"/>
  <c r="D6803"/>
  <c r="E6791"/>
  <c r="D6791"/>
  <c r="E6779"/>
  <c r="D6779"/>
  <c r="E6767"/>
  <c r="D6767"/>
  <c r="E6755"/>
  <c r="D6755"/>
  <c r="E6743"/>
  <c r="D6743"/>
  <c r="E6731"/>
  <c r="D6731"/>
  <c r="E6719"/>
  <c r="D6719"/>
  <c r="E6707"/>
  <c r="D6707"/>
  <c r="E6695"/>
  <c r="D6695"/>
  <c r="E6683"/>
  <c r="D6683"/>
  <c r="E6671"/>
  <c r="D6671"/>
  <c r="E6659"/>
  <c r="D6659"/>
  <c r="E6647"/>
  <c r="D6647"/>
  <c r="E6635"/>
  <c r="D6635"/>
  <c r="E6623"/>
  <c r="D6623"/>
  <c r="E6611"/>
  <c r="D6611"/>
  <c r="E6599"/>
  <c r="D6599"/>
  <c r="E6587"/>
  <c r="D6587"/>
  <c r="E6575"/>
  <c r="D6575"/>
  <c r="E6563"/>
  <c r="D6563"/>
  <c r="E6551"/>
  <c r="D6551"/>
  <c r="E6539"/>
  <c r="D6539"/>
  <c r="E6527"/>
  <c r="D6527"/>
  <c r="E6515"/>
  <c r="D6515"/>
  <c r="E6503"/>
  <c r="D6503"/>
  <c r="E6491"/>
  <c r="D6491"/>
  <c r="E6479"/>
  <c r="D6479"/>
  <c r="E6467"/>
  <c r="D6467"/>
  <c r="E6455"/>
  <c r="D6455"/>
  <c r="E6443"/>
  <c r="D6443"/>
  <c r="E6431"/>
  <c r="D6431"/>
  <c r="E6419"/>
  <c r="D6419"/>
  <c r="E6407"/>
  <c r="D6407"/>
  <c r="E6395"/>
  <c r="D6395"/>
  <c r="E6383"/>
  <c r="D6383"/>
  <c r="E6371"/>
  <c r="D6371"/>
  <c r="E6359"/>
  <c r="D6359"/>
  <c r="E6347"/>
  <c r="D6347"/>
  <c r="E6335"/>
  <c r="D6335"/>
  <c r="E6323"/>
  <c r="D6323"/>
  <c r="E6311"/>
  <c r="D6311"/>
  <c r="E6299"/>
  <c r="D6299"/>
  <c r="E6287"/>
  <c r="D6287"/>
  <c r="E6275"/>
  <c r="D6275"/>
  <c r="E6263"/>
  <c r="D6263"/>
  <c r="E6251"/>
  <c r="D6251"/>
  <c r="E6239"/>
  <c r="D6239"/>
  <c r="E6227"/>
  <c r="D6227"/>
  <c r="E6215"/>
  <c r="D6215"/>
  <c r="E6203"/>
  <c r="D6203"/>
  <c r="E6191"/>
  <c r="D6191"/>
  <c r="E6179"/>
  <c r="D6179"/>
  <c r="E6167"/>
  <c r="D6167"/>
  <c r="E6155"/>
  <c r="D6155"/>
  <c r="E6143"/>
  <c r="D6143"/>
  <c r="E6131"/>
  <c r="D6131"/>
  <c r="E6119"/>
  <c r="D6119"/>
  <c r="E6107"/>
  <c r="D6107"/>
  <c r="E6095"/>
  <c r="D6095"/>
  <c r="E6083"/>
  <c r="D6083"/>
  <c r="E6071"/>
  <c r="D6071"/>
  <c r="E6059"/>
  <c r="D6059"/>
  <c r="E6047"/>
  <c r="D6047"/>
  <c r="E6035"/>
  <c r="D6035"/>
  <c r="E6023"/>
  <c r="D6023"/>
  <c r="E6011"/>
  <c r="D6011"/>
  <c r="E5999"/>
  <c r="D5999"/>
  <c r="E5987"/>
  <c r="D5987"/>
  <c r="E5975"/>
  <c r="D5975"/>
  <c r="E5963"/>
  <c r="D5963"/>
  <c r="E5951"/>
  <c r="D5951"/>
  <c r="E5939"/>
  <c r="D5939"/>
  <c r="E5927"/>
  <c r="D5927"/>
  <c r="E5915"/>
  <c r="D5915"/>
  <c r="E5903"/>
  <c r="D5903"/>
  <c r="E5891"/>
  <c r="D5891"/>
  <c r="E5879"/>
  <c r="D5879"/>
  <c r="E5867"/>
  <c r="D5867"/>
  <c r="E5855"/>
  <c r="D5855"/>
  <c r="E5843"/>
  <c r="D5843"/>
  <c r="E5831"/>
  <c r="D5831"/>
  <c r="E5819"/>
  <c r="D5819"/>
  <c r="E5807"/>
  <c r="D5807"/>
  <c r="E5795"/>
  <c r="D5795"/>
  <c r="E5783"/>
  <c r="D5783"/>
  <c r="E5771"/>
  <c r="D5771"/>
  <c r="E5759"/>
  <c r="D5759"/>
  <c r="E5747"/>
  <c r="D5747"/>
  <c r="E5735"/>
  <c r="D5735"/>
  <c r="E5723"/>
  <c r="D5723"/>
  <c r="E5711"/>
  <c r="D5711"/>
  <c r="E5699"/>
  <c r="D5699"/>
  <c r="E5687"/>
  <c r="D5687"/>
  <c r="E5675"/>
  <c r="D5675"/>
  <c r="D7821"/>
  <c r="E8532"/>
  <c r="D8532"/>
  <c r="E8520"/>
  <c r="D8520"/>
  <c r="E8508"/>
  <c r="D8508"/>
  <c r="E8496"/>
  <c r="D8496"/>
  <c r="E8484"/>
  <c r="D8484"/>
  <c r="E8472"/>
  <c r="D8472"/>
  <c r="E8460"/>
  <c r="D8460"/>
  <c r="E8448"/>
  <c r="D8448"/>
  <c r="E8436"/>
  <c r="D8436"/>
  <c r="E8424"/>
  <c r="D8424"/>
  <c r="E8412"/>
  <c r="D8412"/>
  <c r="E8400"/>
  <c r="D8400"/>
  <c r="E8388"/>
  <c r="D8388"/>
  <c r="E8376"/>
  <c r="D8376"/>
  <c r="E8364"/>
  <c r="D8364"/>
  <c r="E8352"/>
  <c r="D8352"/>
  <c r="E8340"/>
  <c r="D8340"/>
  <c r="E8328"/>
  <c r="D8328"/>
  <c r="E8316"/>
  <c r="D8316"/>
  <c r="E8304"/>
  <c r="D8304"/>
  <c r="E8292"/>
  <c r="D8292"/>
  <c r="E8280"/>
  <c r="D8280"/>
  <c r="E8268"/>
  <c r="D8268"/>
  <c r="E8256"/>
  <c r="D8256"/>
  <c r="D8244"/>
  <c r="E8244"/>
  <c r="E8232"/>
  <c r="D8232"/>
  <c r="E8220"/>
  <c r="D8220"/>
  <c r="E8208"/>
  <c r="D8208"/>
  <c r="E8196"/>
  <c r="D8196"/>
  <c r="E8184"/>
  <c r="D8184"/>
  <c r="E8172"/>
  <c r="D8172"/>
  <c r="E8160"/>
  <c r="D8160"/>
  <c r="E8148"/>
  <c r="D8148"/>
  <c r="E8136"/>
  <c r="D8136"/>
  <c r="E8124"/>
  <c r="D8124"/>
  <c r="E8112"/>
  <c r="D8112"/>
  <c r="E8100"/>
  <c r="D8100"/>
  <c r="E8088"/>
  <c r="D8088"/>
  <c r="E8076"/>
  <c r="D8076"/>
  <c r="E8064"/>
  <c r="D8064"/>
  <c r="E8052"/>
  <c r="D8052"/>
  <c r="E8040"/>
  <c r="D8040"/>
  <c r="E8028"/>
  <c r="D8028"/>
  <c r="E8016"/>
  <c r="D8016"/>
  <c r="E8004"/>
  <c r="D8004"/>
  <c r="E7992"/>
  <c r="D7992"/>
  <c r="E7980"/>
  <c r="D7980"/>
  <c r="E7968"/>
  <c r="D7968"/>
  <c r="E7956"/>
  <c r="D7956"/>
  <c r="E7944"/>
  <c r="D7944"/>
  <c r="E7932"/>
  <c r="D7932"/>
  <c r="E7920"/>
  <c r="D7920"/>
  <c r="E7908"/>
  <c r="D7908"/>
  <c r="E7896"/>
  <c r="D7896"/>
  <c r="E7884"/>
  <c r="D7884"/>
  <c r="E7872"/>
  <c r="D7872"/>
  <c r="E7860"/>
  <c r="D7860"/>
  <c r="E7848"/>
  <c r="D7848"/>
  <c r="E7836"/>
  <c r="D7836"/>
  <c r="E7824"/>
  <c r="D7824"/>
  <c r="D7812"/>
  <c r="E7812"/>
  <c r="E7800"/>
  <c r="D7800"/>
  <c r="E7788"/>
  <c r="D7788"/>
  <c r="E7776"/>
  <c r="D7776"/>
  <c r="E7764"/>
  <c r="D7764"/>
  <c r="E7752"/>
  <c r="D7752"/>
  <c r="E7740"/>
  <c r="D7740"/>
  <c r="E7728"/>
  <c r="D7728"/>
  <c r="E7716"/>
  <c r="D7716"/>
  <c r="E7704"/>
  <c r="D7704"/>
  <c r="E7692"/>
  <c r="D7692"/>
  <c r="E7680"/>
  <c r="D7680"/>
  <c r="E7668"/>
  <c r="D7668"/>
  <c r="E7656"/>
  <c r="D7656"/>
  <c r="E7644"/>
  <c r="D7644"/>
  <c r="E7632"/>
  <c r="D7632"/>
  <c r="E7620"/>
  <c r="D7620"/>
  <c r="E7608"/>
  <c r="D7608"/>
  <c r="E7596"/>
  <c r="D7596"/>
  <c r="E7584"/>
  <c r="D7584"/>
  <c r="E7572"/>
  <c r="D7572"/>
  <c r="E7560"/>
  <c r="D7560"/>
  <c r="E7548"/>
  <c r="D7548"/>
  <c r="E7536"/>
  <c r="D7536"/>
  <c r="E7524"/>
  <c r="D7524"/>
  <c r="E7512"/>
  <c r="D7512"/>
  <c r="E7500"/>
  <c r="D7500"/>
  <c r="E7488"/>
  <c r="D7488"/>
  <c r="E7476"/>
  <c r="D7476"/>
  <c r="E7464"/>
  <c r="D7464"/>
  <c r="E7452"/>
  <c r="D7452"/>
  <c r="E7440"/>
  <c r="D7440"/>
  <c r="E7428"/>
  <c r="D7428"/>
  <c r="E7416"/>
  <c r="D7416"/>
  <c r="E7404"/>
  <c r="D7404"/>
  <c r="E7392"/>
  <c r="D7392"/>
  <c r="D7380"/>
  <c r="E7380"/>
  <c r="E7368"/>
  <c r="D7368"/>
  <c r="E7356"/>
  <c r="D7356"/>
  <c r="E7344"/>
  <c r="D7344"/>
  <c r="E7332"/>
  <c r="D7332"/>
  <c r="E7320"/>
  <c r="D7320"/>
  <c r="E7308"/>
  <c r="D7308"/>
  <c r="E7296"/>
  <c r="D7296"/>
  <c r="E7284"/>
  <c r="D7284"/>
  <c r="E7272"/>
  <c r="D7272"/>
  <c r="E7260"/>
  <c r="D7260"/>
  <c r="E7248"/>
  <c r="D7248"/>
  <c r="E7236"/>
  <c r="D7236"/>
  <c r="E7224"/>
  <c r="D7224"/>
  <c r="E7212"/>
  <c r="D7212"/>
  <c r="E7200"/>
  <c r="D7200"/>
  <c r="E7188"/>
  <c r="D7188"/>
  <c r="E7176"/>
  <c r="D7176"/>
  <c r="E7164"/>
  <c r="D7164"/>
  <c r="E7152"/>
  <c r="D7152"/>
  <c r="E7140"/>
  <c r="D7140"/>
  <c r="E7128"/>
  <c r="D7128"/>
  <c r="E7116"/>
  <c r="D7116"/>
  <c r="E7104"/>
  <c r="D7104"/>
  <c r="E7092"/>
  <c r="D7092"/>
  <c r="E7080"/>
  <c r="D7080"/>
  <c r="E7068"/>
  <c r="D7068"/>
  <c r="E7056"/>
  <c r="D7056"/>
  <c r="E7044"/>
  <c r="D7044"/>
  <c r="E7032"/>
  <c r="D7032"/>
  <c r="E7020"/>
  <c r="D7020"/>
  <c r="E7008"/>
  <c r="D7008"/>
  <c r="E6996"/>
  <c r="D6996"/>
  <c r="E6984"/>
  <c r="D6984"/>
  <c r="E6972"/>
  <c r="D6972"/>
  <c r="E6960"/>
  <c r="D6960"/>
  <c r="E6948"/>
  <c r="D6948"/>
  <c r="E6936"/>
  <c r="D6936"/>
  <c r="E6924"/>
  <c r="D6924"/>
  <c r="E6912"/>
  <c r="D6912"/>
  <c r="E6900"/>
  <c r="D6900"/>
  <c r="E6888"/>
  <c r="D6888"/>
  <c r="E6876"/>
  <c r="D6876"/>
  <c r="E6864"/>
  <c r="D6864"/>
  <c r="E6852"/>
  <c r="D6852"/>
  <c r="E6840"/>
  <c r="D6840"/>
  <c r="E6828"/>
  <c r="D6828"/>
  <c r="E6816"/>
  <c r="D6816"/>
  <c r="E6804"/>
  <c r="D6804"/>
  <c r="E6792"/>
  <c r="D6792"/>
  <c r="E6780"/>
  <c r="D6780"/>
  <c r="E6768"/>
  <c r="D6768"/>
  <c r="E6756"/>
  <c r="D6756"/>
  <c r="E6744"/>
  <c r="D6744"/>
  <c r="E6732"/>
  <c r="D6732"/>
  <c r="E6720"/>
  <c r="D6720"/>
  <c r="E6708"/>
  <c r="D6708"/>
  <c r="E6696"/>
  <c r="D6696"/>
  <c r="E6684"/>
  <c r="D6684"/>
  <c r="E6672"/>
  <c r="D6672"/>
  <c r="E6660"/>
  <c r="D6660"/>
  <c r="E6648"/>
  <c r="D6648"/>
  <c r="E6636"/>
  <c r="D6636"/>
  <c r="E6624"/>
  <c r="D6624"/>
  <c r="E6612"/>
  <c r="D6612"/>
  <c r="E6600"/>
  <c r="D6600"/>
  <c r="E6588"/>
  <c r="D6588"/>
  <c r="E6576"/>
  <c r="D6576"/>
  <c r="E6564"/>
  <c r="D6564"/>
  <c r="E6552"/>
  <c r="D6552"/>
  <c r="E6540"/>
  <c r="D6540"/>
  <c r="E6528"/>
  <c r="D6528"/>
  <c r="E6516"/>
  <c r="D6516"/>
  <c r="E6504"/>
  <c r="D6504"/>
  <c r="E6492"/>
  <c r="D6492"/>
  <c r="E6480"/>
  <c r="D6480"/>
  <c r="E6468"/>
  <c r="D6468"/>
  <c r="E6456"/>
  <c r="D6456"/>
  <c r="E6444"/>
  <c r="D6444"/>
  <c r="E6432"/>
  <c r="D6432"/>
  <c r="E6420"/>
  <c r="D6420"/>
  <c r="E6408"/>
  <c r="D6408"/>
  <c r="E6396"/>
  <c r="D6396"/>
  <c r="E6384"/>
  <c r="D6384"/>
  <c r="E6372"/>
  <c r="D6372"/>
  <c r="E6360"/>
  <c r="D6360"/>
  <c r="E6348"/>
  <c r="D6348"/>
  <c r="E6336"/>
  <c r="D6336"/>
  <c r="E6324"/>
  <c r="D6324"/>
  <c r="E6312"/>
  <c r="D6312"/>
  <c r="E6300"/>
  <c r="D6300"/>
  <c r="E6288"/>
  <c r="D6288"/>
  <c r="E6276"/>
  <c r="D6276"/>
  <c r="E6264"/>
  <c r="D6264"/>
  <c r="E6252"/>
  <c r="D6252"/>
  <c r="E6240"/>
  <c r="D6240"/>
  <c r="E6228"/>
  <c r="D6228"/>
  <c r="E6216"/>
  <c r="D6216"/>
  <c r="E6204"/>
  <c r="D6204"/>
  <c r="E6192"/>
  <c r="D6192"/>
  <c r="E6180"/>
  <c r="D6180"/>
  <c r="E6168"/>
  <c r="D6168"/>
  <c r="E6156"/>
  <c r="D6156"/>
  <c r="E6144"/>
  <c r="D6144"/>
  <c r="E6132"/>
  <c r="D6132"/>
  <c r="E6120"/>
  <c r="D6120"/>
  <c r="E6108"/>
  <c r="D6108"/>
  <c r="E6096"/>
  <c r="D6096"/>
  <c r="E6084"/>
  <c r="D6084"/>
  <c r="E6072"/>
  <c r="D6072"/>
  <c r="E6060"/>
  <c r="D6060"/>
  <c r="E6048"/>
  <c r="D6048"/>
  <c r="E6036"/>
  <c r="D6036"/>
  <c r="E6024"/>
  <c r="D6024"/>
  <c r="E6012"/>
  <c r="D6012"/>
  <c r="E6000"/>
  <c r="D6000"/>
  <c r="D7869"/>
  <c r="E6769"/>
  <c r="D6769"/>
  <c r="E6757"/>
  <c r="D6757"/>
  <c r="E6745"/>
  <c r="D6745"/>
  <c r="E6733"/>
  <c r="D6733"/>
  <c r="E6721"/>
  <c r="D6721"/>
  <c r="E6709"/>
  <c r="D6709"/>
  <c r="E6697"/>
  <c r="D6697"/>
  <c r="E6685"/>
  <c r="D6685"/>
  <c r="E6673"/>
  <c r="D6673"/>
  <c r="E6661"/>
  <c r="D6661"/>
  <c r="E6649"/>
  <c r="D6649"/>
  <c r="E6637"/>
  <c r="D6637"/>
  <c r="E6625"/>
  <c r="D6625"/>
  <c r="E6613"/>
  <c r="D6613"/>
  <c r="E6601"/>
  <c r="D6601"/>
  <c r="E6589"/>
  <c r="D6589"/>
  <c r="E6577"/>
  <c r="D6577"/>
  <c r="E6565"/>
  <c r="D6565"/>
  <c r="D6553"/>
  <c r="E6553"/>
  <c r="E6541"/>
  <c r="D6541"/>
  <c r="E6529"/>
  <c r="D6529"/>
  <c r="E6517"/>
  <c r="D6517"/>
  <c r="E6505"/>
  <c r="D6505"/>
  <c r="E6493"/>
  <c r="D6493"/>
  <c r="E6481"/>
  <c r="D6481"/>
  <c r="E6469"/>
  <c r="D6469"/>
  <c r="E6457"/>
  <c r="D6457"/>
  <c r="E6445"/>
  <c r="D6445"/>
  <c r="E6433"/>
  <c r="D6433"/>
  <c r="E6421"/>
  <c r="D6421"/>
  <c r="E6409"/>
  <c r="D6409"/>
  <c r="E6397"/>
  <c r="D6397"/>
  <c r="E6385"/>
  <c r="D6385"/>
  <c r="E6373"/>
  <c r="D6373"/>
  <c r="E6361"/>
  <c r="D6361"/>
  <c r="E6349"/>
  <c r="D6349"/>
  <c r="E6337"/>
  <c r="D6337"/>
  <c r="E6325"/>
  <c r="D6325"/>
  <c r="E6313"/>
  <c r="D6313"/>
  <c r="E6301"/>
  <c r="D6301"/>
  <c r="E6289"/>
  <c r="D6289"/>
  <c r="E6277"/>
  <c r="D6277"/>
  <c r="E6265"/>
  <c r="D6265"/>
  <c r="E6253"/>
  <c r="D6253"/>
  <c r="E6241"/>
  <c r="D6241"/>
  <c r="E6229"/>
  <c r="D6229"/>
  <c r="E6217"/>
  <c r="D6217"/>
  <c r="E6205"/>
  <c r="D6205"/>
  <c r="E6193"/>
  <c r="D6193"/>
  <c r="E6181"/>
  <c r="D6181"/>
  <c r="E6169"/>
  <c r="D6169"/>
  <c r="E6157"/>
  <c r="D6157"/>
  <c r="E6145"/>
  <c r="D6145"/>
  <c r="E6133"/>
  <c r="D6133"/>
  <c r="E6121"/>
  <c r="D6121"/>
  <c r="E6109"/>
  <c r="D6109"/>
  <c r="E6097"/>
  <c r="D6097"/>
  <c r="E6085"/>
  <c r="D6085"/>
  <c r="E6073"/>
  <c r="D6073"/>
  <c r="E6061"/>
  <c r="D6061"/>
  <c r="E6049"/>
  <c r="D6049"/>
  <c r="E6037"/>
  <c r="D6037"/>
  <c r="E6025"/>
  <c r="D6025"/>
  <c r="E6013"/>
  <c r="D6013"/>
  <c r="E6001"/>
  <c r="D6001"/>
  <c r="E5989"/>
  <c r="D5989"/>
  <c r="E5977"/>
  <c r="D5977"/>
  <c r="E5965"/>
  <c r="D5965"/>
  <c r="E5953"/>
  <c r="D5953"/>
  <c r="E5941"/>
  <c r="D5941"/>
  <c r="E5929"/>
  <c r="D5929"/>
  <c r="E5917"/>
  <c r="D5917"/>
  <c r="E5905"/>
  <c r="D5905"/>
  <c r="E5893"/>
  <c r="D5893"/>
  <c r="E5881"/>
  <c r="D5881"/>
  <c r="E5869"/>
  <c r="D5869"/>
  <c r="E5857"/>
  <c r="D5857"/>
  <c r="E5845"/>
  <c r="D5845"/>
  <c r="D5833"/>
  <c r="E5833"/>
  <c r="D5821"/>
  <c r="E5821"/>
  <c r="E5809"/>
  <c r="D5809"/>
  <c r="E5797"/>
  <c r="D5797"/>
  <c r="E5785"/>
  <c r="D5785"/>
  <c r="E5773"/>
  <c r="D5773"/>
  <c r="E5761"/>
  <c r="D5761"/>
  <c r="E5749"/>
  <c r="D5749"/>
  <c r="E5737"/>
  <c r="D5737"/>
  <c r="E5725"/>
  <c r="D5725"/>
  <c r="E5713"/>
  <c r="D5713"/>
  <c r="E5701"/>
  <c r="D5701"/>
  <c r="D5689"/>
  <c r="E5689"/>
  <c r="D5677"/>
  <c r="E5677"/>
  <c r="E5665"/>
  <c r="D5665"/>
  <c r="E5653"/>
  <c r="D5653"/>
  <c r="E5641"/>
  <c r="D5641"/>
  <c r="E5629"/>
  <c r="D5629"/>
  <c r="E5617"/>
  <c r="D5617"/>
  <c r="E5605"/>
  <c r="D5605"/>
  <c r="E5593"/>
  <c r="D5593"/>
  <c r="E5581"/>
  <c r="D5581"/>
  <c r="E5569"/>
  <c r="D5569"/>
  <c r="E5557"/>
  <c r="D5557"/>
  <c r="E5545"/>
  <c r="D5545"/>
  <c r="E5533"/>
  <c r="D5533"/>
  <c r="E5521"/>
  <c r="D5521"/>
  <c r="E5509"/>
  <c r="D5509"/>
  <c r="E5497"/>
  <c r="D5497"/>
  <c r="E5485"/>
  <c r="D5485"/>
  <c r="E5473"/>
  <c r="D5473"/>
  <c r="E5461"/>
  <c r="D5461"/>
  <c r="E5449"/>
  <c r="D5449"/>
  <c r="E5437"/>
  <c r="D5437"/>
  <c r="E5425"/>
  <c r="D5425"/>
  <c r="E5413"/>
  <c r="D5413"/>
  <c r="E5401"/>
  <c r="D5401"/>
  <c r="E5389"/>
  <c r="D5389"/>
  <c r="E5377"/>
  <c r="D5377"/>
  <c r="E5365"/>
  <c r="D5365"/>
  <c r="E5353"/>
  <c r="D5353"/>
  <c r="E5341"/>
  <c r="D5341"/>
  <c r="E5329"/>
  <c r="D5329"/>
  <c r="E5317"/>
  <c r="D5317"/>
  <c r="E5305"/>
  <c r="D5305"/>
  <c r="E5293"/>
  <c r="D5293"/>
  <c r="E5281"/>
  <c r="D5281"/>
  <c r="E5269"/>
  <c r="D5269"/>
  <c r="E5257"/>
  <c r="D5257"/>
  <c r="E5245"/>
  <c r="D5245"/>
  <c r="E5233"/>
  <c r="D5233"/>
  <c r="E5221"/>
  <c r="D5221"/>
  <c r="E5209"/>
  <c r="D5209"/>
  <c r="E5197"/>
  <c r="D5197"/>
  <c r="E5185"/>
  <c r="D5185"/>
  <c r="E5173"/>
  <c r="D5173"/>
  <c r="E5161"/>
  <c r="D5161"/>
  <c r="E5149"/>
  <c r="D5149"/>
  <c r="E5137"/>
  <c r="D5137"/>
  <c r="E5125"/>
  <c r="D5125"/>
  <c r="E5113"/>
  <c r="D5113"/>
  <c r="E5101"/>
  <c r="D5101"/>
  <c r="E5089"/>
  <c r="D5089"/>
  <c r="E5077"/>
  <c r="D5077"/>
  <c r="E5065"/>
  <c r="D5065"/>
  <c r="E5053"/>
  <c r="D5053"/>
  <c r="E5041"/>
  <c r="D5041"/>
  <c r="E5029"/>
  <c r="D5029"/>
  <c r="E5017"/>
  <c r="D5017"/>
  <c r="E5005"/>
  <c r="D5005"/>
  <c r="E4993"/>
  <c r="D4993"/>
  <c r="E4981"/>
  <c r="D4981"/>
  <c r="D4969"/>
  <c r="E4969"/>
  <c r="D4957"/>
  <c r="E4957"/>
  <c r="E4945"/>
  <c r="D4945"/>
  <c r="E4933"/>
  <c r="D4933"/>
  <c r="E4921"/>
  <c r="D4921"/>
  <c r="E4909"/>
  <c r="D4909"/>
  <c r="E4897"/>
  <c r="D4897"/>
  <c r="E4885"/>
  <c r="D4885"/>
  <c r="E4873"/>
  <c r="D4873"/>
  <c r="E4861"/>
  <c r="D4861"/>
  <c r="E4849"/>
  <c r="D4849"/>
  <c r="E4837"/>
  <c r="D4837"/>
  <c r="D4825"/>
  <c r="E4825"/>
  <c r="D4813"/>
  <c r="E4813"/>
  <c r="E4801"/>
  <c r="D4801"/>
  <c r="E4789"/>
  <c r="D4789"/>
  <c r="E4777"/>
  <c r="D4777"/>
  <c r="E4765"/>
  <c r="D4765"/>
  <c r="E4753"/>
  <c r="D4753"/>
  <c r="E4741"/>
  <c r="D4741"/>
  <c r="E4729"/>
  <c r="D4729"/>
  <c r="E4717"/>
  <c r="D4717"/>
  <c r="E4705"/>
  <c r="D4705"/>
  <c r="E4693"/>
  <c r="D4693"/>
  <c r="E4681"/>
  <c r="D4681"/>
  <c r="E4669"/>
  <c r="D4669"/>
  <c r="E4657"/>
  <c r="D4657"/>
  <c r="E4645"/>
  <c r="D4645"/>
  <c r="E4633"/>
  <c r="D4633"/>
  <c r="E4621"/>
  <c r="D4621"/>
  <c r="E4609"/>
  <c r="D4609"/>
  <c r="E4597"/>
  <c r="D4597"/>
  <c r="E4585"/>
  <c r="D4585"/>
  <c r="E4573"/>
  <c r="D4573"/>
  <c r="E4561"/>
  <c r="D4561"/>
  <c r="E4549"/>
  <c r="D4549"/>
  <c r="E4537"/>
  <c r="D4537"/>
  <c r="D4525"/>
  <c r="E4525"/>
  <c r="E4513"/>
  <c r="D4513"/>
  <c r="E4501"/>
  <c r="D4501"/>
  <c r="E4489"/>
  <c r="D4489"/>
  <c r="E4477"/>
  <c r="D4477"/>
  <c r="E4465"/>
  <c r="D4465"/>
  <c r="E4453"/>
  <c r="D4453"/>
  <c r="E4441"/>
  <c r="D4441"/>
  <c r="E4429"/>
  <c r="D4429"/>
  <c r="E4417"/>
  <c r="D4417"/>
  <c r="E4405"/>
  <c r="D4405"/>
  <c r="E4393"/>
  <c r="D4393"/>
  <c r="D4381"/>
  <c r="E4381"/>
  <c r="E4369"/>
  <c r="D4369"/>
  <c r="E4357"/>
  <c r="D4357"/>
  <c r="E4345"/>
  <c r="D4345"/>
  <c r="E4333"/>
  <c r="D4333"/>
  <c r="E4321"/>
  <c r="D4321"/>
  <c r="E4309"/>
  <c r="D4309"/>
  <c r="E4297"/>
  <c r="D4297"/>
  <c r="E4285"/>
  <c r="D4285"/>
  <c r="E4273"/>
  <c r="D4273"/>
  <c r="E4261"/>
  <c r="D4261"/>
  <c r="E4249"/>
  <c r="D4249"/>
  <c r="D4237"/>
  <c r="E4237"/>
  <c r="E4225"/>
  <c r="D4225"/>
  <c r="E4213"/>
  <c r="D4213"/>
  <c r="E4201"/>
  <c r="D4201"/>
  <c r="E4189"/>
  <c r="D4189"/>
  <c r="E4177"/>
  <c r="D4177"/>
  <c r="E4165"/>
  <c r="D4165"/>
  <c r="E4153"/>
  <c r="D4153"/>
  <c r="E4141"/>
  <c r="D4141"/>
  <c r="E4129"/>
  <c r="D4129"/>
  <c r="E4117"/>
  <c r="D4117"/>
  <c r="D4105"/>
  <c r="E4105"/>
  <c r="D4093"/>
  <c r="E4093"/>
  <c r="E4081"/>
  <c r="D4081"/>
  <c r="E4069"/>
  <c r="D4069"/>
  <c r="E4057"/>
  <c r="D4057"/>
  <c r="E4045"/>
  <c r="D4045"/>
  <c r="E4033"/>
  <c r="D4033"/>
  <c r="E4021"/>
  <c r="D4021"/>
  <c r="E4009"/>
  <c r="D4009"/>
  <c r="E3997"/>
  <c r="D3997"/>
  <c r="E3985"/>
  <c r="D3985"/>
  <c r="E3973"/>
  <c r="D3973"/>
  <c r="D3961"/>
  <c r="E3961"/>
  <c r="E3949"/>
  <c r="D3949"/>
  <c r="E3937"/>
  <c r="D3937"/>
  <c r="E3925"/>
  <c r="D3925"/>
  <c r="E3913"/>
  <c r="D3913"/>
  <c r="E3901"/>
  <c r="D3901"/>
  <c r="E3889"/>
  <c r="D3889"/>
  <c r="E3877"/>
  <c r="D3877"/>
  <c r="E3865"/>
  <c r="D3865"/>
  <c r="E3853"/>
  <c r="D3853"/>
  <c r="E3841"/>
  <c r="D3841"/>
  <c r="E3829"/>
  <c r="D3829"/>
  <c r="E3817"/>
  <c r="D3817"/>
  <c r="E3805"/>
  <c r="D3805"/>
  <c r="E3793"/>
  <c r="D3793"/>
  <c r="E3781"/>
  <c r="D3781"/>
  <c r="E3769"/>
  <c r="D3769"/>
  <c r="E3757"/>
  <c r="D3757"/>
  <c r="E3745"/>
  <c r="D3745"/>
  <c r="E3733"/>
  <c r="D3733"/>
  <c r="E3721"/>
  <c r="D3721"/>
  <c r="E3709"/>
  <c r="D3709"/>
  <c r="D8397"/>
  <c r="E9014"/>
  <c r="D9014"/>
  <c r="E9002"/>
  <c r="D9002"/>
  <c r="E8990"/>
  <c r="D8990"/>
  <c r="E8978"/>
  <c r="D8978"/>
  <c r="E8966"/>
  <c r="D8966"/>
  <c r="E8954"/>
  <c r="D8954"/>
  <c r="E8942"/>
  <c r="D8942"/>
  <c r="E8930"/>
  <c r="D8930"/>
  <c r="E8918"/>
  <c r="D8918"/>
  <c r="E8906"/>
  <c r="D8906"/>
  <c r="E8894"/>
  <c r="D8894"/>
  <c r="E8882"/>
  <c r="D8882"/>
  <c r="E8870"/>
  <c r="D8870"/>
  <c r="E8858"/>
  <c r="D8858"/>
  <c r="E8846"/>
  <c r="D8846"/>
  <c r="E8834"/>
  <c r="D8834"/>
  <c r="E8822"/>
  <c r="D8822"/>
  <c r="E8810"/>
  <c r="D8810"/>
  <c r="E8798"/>
  <c r="D8798"/>
  <c r="E8786"/>
  <c r="D8786"/>
  <c r="E8774"/>
  <c r="D8774"/>
  <c r="E8762"/>
  <c r="D8762"/>
  <c r="E8750"/>
  <c r="D8750"/>
  <c r="E8738"/>
  <c r="D8738"/>
  <c r="E8726"/>
  <c r="D8726"/>
  <c r="E8714"/>
  <c r="D8714"/>
  <c r="E8702"/>
  <c r="D8702"/>
  <c r="E8690"/>
  <c r="D8690"/>
  <c r="E8678"/>
  <c r="D8678"/>
  <c r="E8666"/>
  <c r="D8666"/>
  <c r="E8654"/>
  <c r="D8654"/>
  <c r="E8642"/>
  <c r="D8642"/>
  <c r="E8630"/>
  <c r="D8630"/>
  <c r="E8618"/>
  <c r="D8618"/>
  <c r="E8606"/>
  <c r="D8606"/>
  <c r="E8594"/>
  <c r="D8594"/>
  <c r="E8582"/>
  <c r="D8582"/>
  <c r="E8570"/>
  <c r="D8570"/>
  <c r="E8558"/>
  <c r="D8558"/>
  <c r="E8546"/>
  <c r="D8546"/>
  <c r="E8534"/>
  <c r="D8534"/>
  <c r="E8522"/>
  <c r="D8522"/>
  <c r="E8510"/>
  <c r="D8510"/>
  <c r="E8498"/>
  <c r="D8498"/>
  <c r="E8486"/>
  <c r="D8486"/>
  <c r="E8474"/>
  <c r="D8474"/>
  <c r="E8462"/>
  <c r="D8462"/>
  <c r="E8450"/>
  <c r="D8450"/>
  <c r="E8438"/>
  <c r="D8438"/>
  <c r="E8426"/>
  <c r="D8426"/>
  <c r="E8414"/>
  <c r="D8414"/>
  <c r="E8402"/>
  <c r="D8402"/>
  <c r="E8390"/>
  <c r="D8390"/>
  <c r="E8378"/>
  <c r="D8378"/>
  <c r="E8366"/>
  <c r="D8366"/>
  <c r="E8354"/>
  <c r="D8354"/>
  <c r="E8342"/>
  <c r="D8342"/>
  <c r="E8330"/>
  <c r="D8330"/>
  <c r="E8318"/>
  <c r="D8318"/>
  <c r="E8306"/>
  <c r="D8306"/>
  <c r="E8294"/>
  <c r="D8294"/>
  <c r="E8282"/>
  <c r="D8282"/>
  <c r="E8270"/>
  <c r="D8270"/>
  <c r="E8258"/>
  <c r="D8258"/>
  <c r="E8246"/>
  <c r="D8246"/>
  <c r="E8234"/>
  <c r="D8234"/>
  <c r="E8222"/>
  <c r="D8222"/>
  <c r="E8210"/>
  <c r="D8210"/>
  <c r="E8198"/>
  <c r="D8198"/>
  <c r="E8186"/>
  <c r="D8186"/>
  <c r="E8174"/>
  <c r="D8174"/>
  <c r="E8162"/>
  <c r="D8162"/>
  <c r="E8150"/>
  <c r="D8150"/>
  <c r="E8138"/>
  <c r="D8138"/>
  <c r="E8126"/>
  <c r="D8126"/>
  <c r="E8114"/>
  <c r="D8114"/>
  <c r="E8102"/>
  <c r="D8102"/>
  <c r="E8090"/>
  <c r="D8090"/>
  <c r="E8078"/>
  <c r="D8078"/>
  <c r="E8066"/>
  <c r="D8066"/>
  <c r="E8054"/>
  <c r="D8054"/>
  <c r="E8042"/>
  <c r="D8042"/>
  <c r="E8030"/>
  <c r="D8030"/>
  <c r="E8018"/>
  <c r="D8018"/>
  <c r="E8006"/>
  <c r="D8006"/>
  <c r="E7994"/>
  <c r="D7994"/>
  <c r="E7982"/>
  <c r="D7982"/>
  <c r="E7970"/>
  <c r="D7970"/>
  <c r="E7958"/>
  <c r="D7958"/>
  <c r="E7946"/>
  <c r="D7946"/>
  <c r="E7934"/>
  <c r="D7934"/>
  <c r="E7922"/>
  <c r="D7922"/>
  <c r="E7910"/>
  <c r="D7910"/>
  <c r="E7898"/>
  <c r="D7898"/>
  <c r="E7886"/>
  <c r="D7886"/>
  <c r="E7874"/>
  <c r="D7874"/>
  <c r="E7862"/>
  <c r="D7862"/>
  <c r="E7850"/>
  <c r="D7850"/>
  <c r="E7838"/>
  <c r="D7838"/>
  <c r="E7826"/>
  <c r="D7826"/>
  <c r="E7814"/>
  <c r="D7814"/>
  <c r="E7802"/>
  <c r="D7802"/>
  <c r="E7790"/>
  <c r="D7790"/>
  <c r="E7778"/>
  <c r="D7778"/>
  <c r="E7766"/>
  <c r="D7766"/>
  <c r="E7754"/>
  <c r="D7754"/>
  <c r="E7742"/>
  <c r="D7742"/>
  <c r="E7730"/>
  <c r="D7730"/>
  <c r="E7718"/>
  <c r="D7718"/>
  <c r="E7706"/>
  <c r="D7706"/>
  <c r="E7694"/>
  <c r="D7694"/>
  <c r="E7682"/>
  <c r="D7682"/>
  <c r="E7670"/>
  <c r="D7670"/>
  <c r="E7658"/>
  <c r="D7658"/>
  <c r="E7646"/>
  <c r="D7646"/>
  <c r="E7634"/>
  <c r="D7634"/>
  <c r="E7622"/>
  <c r="D7622"/>
  <c r="E7610"/>
  <c r="D7610"/>
  <c r="E7598"/>
  <c r="D7598"/>
  <c r="E7586"/>
  <c r="D7586"/>
  <c r="E7574"/>
  <c r="D7574"/>
  <c r="E7562"/>
  <c r="D7562"/>
  <c r="E7550"/>
  <c r="D7550"/>
  <c r="E7538"/>
  <c r="D7538"/>
  <c r="E7526"/>
  <c r="D7526"/>
  <c r="E7514"/>
  <c r="D7514"/>
  <c r="E7502"/>
  <c r="D7502"/>
  <c r="E7490"/>
  <c r="D7490"/>
  <c r="E7478"/>
  <c r="D7478"/>
  <c r="E7466"/>
  <c r="D7466"/>
  <c r="E7454"/>
  <c r="D7454"/>
  <c r="E7442"/>
  <c r="D7442"/>
  <c r="E7430"/>
  <c r="D7430"/>
  <c r="E7418"/>
  <c r="D7418"/>
  <c r="E7406"/>
  <c r="D7406"/>
  <c r="E7394"/>
  <c r="D7394"/>
  <c r="E7382"/>
  <c r="D7382"/>
  <c r="E7370"/>
  <c r="D7370"/>
  <c r="E7358"/>
  <c r="D7358"/>
  <c r="E7346"/>
  <c r="D7346"/>
  <c r="E7334"/>
  <c r="D7334"/>
  <c r="E7322"/>
  <c r="D7322"/>
  <c r="E7310"/>
  <c r="D7310"/>
  <c r="E7298"/>
  <c r="D7298"/>
  <c r="E7286"/>
  <c r="D7286"/>
  <c r="E7274"/>
  <c r="D7274"/>
  <c r="E7262"/>
  <c r="D7262"/>
  <c r="E7250"/>
  <c r="D7250"/>
  <c r="E7238"/>
  <c r="D7238"/>
  <c r="E7226"/>
  <c r="D7226"/>
  <c r="E7214"/>
  <c r="D7214"/>
  <c r="E7202"/>
  <c r="D7202"/>
  <c r="E7190"/>
  <c r="D7190"/>
  <c r="E7178"/>
  <c r="D7178"/>
  <c r="E7166"/>
  <c r="D7166"/>
  <c r="E7154"/>
  <c r="D7154"/>
  <c r="E7142"/>
  <c r="D7142"/>
  <c r="E7130"/>
  <c r="D7130"/>
  <c r="E7118"/>
  <c r="D7118"/>
  <c r="E7106"/>
  <c r="D7106"/>
  <c r="E7094"/>
  <c r="D7094"/>
  <c r="E7082"/>
  <c r="D7082"/>
  <c r="E7070"/>
  <c r="D7070"/>
  <c r="E7058"/>
  <c r="D7058"/>
  <c r="E7046"/>
  <c r="D7046"/>
  <c r="E7034"/>
  <c r="D7034"/>
  <c r="E7022"/>
  <c r="D7022"/>
  <c r="E7010"/>
  <c r="D7010"/>
  <c r="E6998"/>
  <c r="D6998"/>
  <c r="E6986"/>
  <c r="D6986"/>
  <c r="E6974"/>
  <c r="D6974"/>
  <c r="E6962"/>
  <c r="D6962"/>
  <c r="E6950"/>
  <c r="D6950"/>
  <c r="E6938"/>
  <c r="D6938"/>
  <c r="E6926"/>
  <c r="D6926"/>
  <c r="E6914"/>
  <c r="D6914"/>
  <c r="E6902"/>
  <c r="D6902"/>
  <c r="E6890"/>
  <c r="D6890"/>
  <c r="E6878"/>
  <c r="D6878"/>
  <c r="E6866"/>
  <c r="D6866"/>
  <c r="E6854"/>
  <c r="D6854"/>
  <c r="E6842"/>
  <c r="D6842"/>
  <c r="E6830"/>
  <c r="D6830"/>
  <c r="E6818"/>
  <c r="D6818"/>
  <c r="E6806"/>
  <c r="D6806"/>
  <c r="E6794"/>
  <c r="D6794"/>
  <c r="E6782"/>
  <c r="D6782"/>
  <c r="E6770"/>
  <c r="D6770"/>
  <c r="E6758"/>
  <c r="D6758"/>
  <c r="E6746"/>
  <c r="D6746"/>
  <c r="E6734"/>
  <c r="D6734"/>
  <c r="E6722"/>
  <c r="D6722"/>
  <c r="E6710"/>
  <c r="D6710"/>
  <c r="E6698"/>
  <c r="D6698"/>
  <c r="E6686"/>
  <c r="D6686"/>
  <c r="E6674"/>
  <c r="D6674"/>
  <c r="E6662"/>
  <c r="D6662"/>
  <c r="E6650"/>
  <c r="D6650"/>
  <c r="E6638"/>
  <c r="D6638"/>
  <c r="E6626"/>
  <c r="D6626"/>
  <c r="E6614"/>
  <c r="D6614"/>
  <c r="E6602"/>
  <c r="D6602"/>
  <c r="E6590"/>
  <c r="D6590"/>
  <c r="E6578"/>
  <c r="D6578"/>
  <c r="E6566"/>
  <c r="D6566"/>
  <c r="E6554"/>
  <c r="D6554"/>
  <c r="E6542"/>
  <c r="D6542"/>
  <c r="E6530"/>
  <c r="D6530"/>
  <c r="E6518"/>
  <c r="D6518"/>
  <c r="E6506"/>
  <c r="D6506"/>
  <c r="E6494"/>
  <c r="D6494"/>
  <c r="E6482"/>
  <c r="D6482"/>
  <c r="E6470"/>
  <c r="D6470"/>
  <c r="E6458"/>
  <c r="D6458"/>
  <c r="E6446"/>
  <c r="D6446"/>
  <c r="E6434"/>
  <c r="D6434"/>
  <c r="E6422"/>
  <c r="D6422"/>
  <c r="E6410"/>
  <c r="D6410"/>
  <c r="E6398"/>
  <c r="D6398"/>
  <c r="E6386"/>
  <c r="D6386"/>
  <c r="E6374"/>
  <c r="D6374"/>
  <c r="E6362"/>
  <c r="D6362"/>
  <c r="E6350"/>
  <c r="D6350"/>
  <c r="E6338"/>
  <c r="D6338"/>
  <c r="E6326"/>
  <c r="D6326"/>
  <c r="E6314"/>
  <c r="D6314"/>
  <c r="E6302"/>
  <c r="D6302"/>
  <c r="E6290"/>
  <c r="D6290"/>
  <c r="E6278"/>
  <c r="D6278"/>
  <c r="E6266"/>
  <c r="D6266"/>
  <c r="E6254"/>
  <c r="D6254"/>
  <c r="E6242"/>
  <c r="D6242"/>
  <c r="E6230"/>
  <c r="D6230"/>
  <c r="E6218"/>
  <c r="D6218"/>
  <c r="E6206"/>
  <c r="D6206"/>
  <c r="E6194"/>
  <c r="D6194"/>
  <c r="E6182"/>
  <c r="D6182"/>
  <c r="E6170"/>
  <c r="D6170"/>
  <c r="E6158"/>
  <c r="D6158"/>
  <c r="E6146"/>
  <c r="D6146"/>
  <c r="E6134"/>
  <c r="D6134"/>
  <c r="E6122"/>
  <c r="D6122"/>
  <c r="D8434"/>
  <c r="E7755"/>
  <c r="D7755"/>
  <c r="E7743"/>
  <c r="D7743"/>
  <c r="E7731"/>
  <c r="D7731"/>
  <c r="E7719"/>
  <c r="D7719"/>
  <c r="E7707"/>
  <c r="D7707"/>
  <c r="E7695"/>
  <c r="D7695"/>
  <c r="E7683"/>
  <c r="D7683"/>
  <c r="E7671"/>
  <c r="D7671"/>
  <c r="E7659"/>
  <c r="D7659"/>
  <c r="E7647"/>
  <c r="D7647"/>
  <c r="E7635"/>
  <c r="D7635"/>
  <c r="E7623"/>
  <c r="D7623"/>
  <c r="E7611"/>
  <c r="D7611"/>
  <c r="E7599"/>
  <c r="D7599"/>
  <c r="E7587"/>
  <c r="D7587"/>
  <c r="E7575"/>
  <c r="D7575"/>
  <c r="E7563"/>
  <c r="D7563"/>
  <c r="E7551"/>
  <c r="D7551"/>
  <c r="E7539"/>
  <c r="D7539"/>
  <c r="E7527"/>
  <c r="D7527"/>
  <c r="E7515"/>
  <c r="D7515"/>
  <c r="E7503"/>
  <c r="D7503"/>
  <c r="E7491"/>
  <c r="D7491"/>
  <c r="E7479"/>
  <c r="D7479"/>
  <c r="E7467"/>
  <c r="D7467"/>
  <c r="E7455"/>
  <c r="D7455"/>
  <c r="E7443"/>
  <c r="D7443"/>
  <c r="E7431"/>
  <c r="D7431"/>
  <c r="E7419"/>
  <c r="D7419"/>
  <c r="E7407"/>
  <c r="D7407"/>
  <c r="E7395"/>
  <c r="D7395"/>
  <c r="E7383"/>
  <c r="D7383"/>
  <c r="E7371"/>
  <c r="D7371"/>
  <c r="E7359"/>
  <c r="D7359"/>
  <c r="E7347"/>
  <c r="D7347"/>
  <c r="E7335"/>
  <c r="D7335"/>
  <c r="E7323"/>
  <c r="D7323"/>
  <c r="E7311"/>
  <c r="D7311"/>
  <c r="E7299"/>
  <c r="D7299"/>
  <c r="E7287"/>
  <c r="D7287"/>
  <c r="E7275"/>
  <c r="D7275"/>
  <c r="E7263"/>
  <c r="D7263"/>
  <c r="E7251"/>
  <c r="D7251"/>
  <c r="E7239"/>
  <c r="D7239"/>
  <c r="E7227"/>
  <c r="D7227"/>
  <c r="E7215"/>
  <c r="D7215"/>
  <c r="E7203"/>
  <c r="D7203"/>
  <c r="E7191"/>
  <c r="D7191"/>
  <c r="E7179"/>
  <c r="D7179"/>
  <c r="E7167"/>
  <c r="D7167"/>
  <c r="E7155"/>
  <c r="D7155"/>
  <c r="E7143"/>
  <c r="D7143"/>
  <c r="E7131"/>
  <c r="D7131"/>
  <c r="E7119"/>
  <c r="D7119"/>
  <c r="E7107"/>
  <c r="D7107"/>
  <c r="E7095"/>
  <c r="D7095"/>
  <c r="E7083"/>
  <c r="D7083"/>
  <c r="E7071"/>
  <c r="D7071"/>
  <c r="E7059"/>
  <c r="D7059"/>
  <c r="E7047"/>
  <c r="D7047"/>
  <c r="E7035"/>
  <c r="D7035"/>
  <c r="E7023"/>
  <c r="D7023"/>
  <c r="E7011"/>
  <c r="D7011"/>
  <c r="E6999"/>
  <c r="D6999"/>
  <c r="E6987"/>
  <c r="D6987"/>
  <c r="E6975"/>
  <c r="D6975"/>
  <c r="E6963"/>
  <c r="D6963"/>
  <c r="E6951"/>
  <c r="D6951"/>
  <c r="E6939"/>
  <c r="D6939"/>
  <c r="E6927"/>
  <c r="D6927"/>
  <c r="E6915"/>
  <c r="D6915"/>
  <c r="E6903"/>
  <c r="D6903"/>
  <c r="E6891"/>
  <c r="D6891"/>
  <c r="E6879"/>
  <c r="D6879"/>
  <c r="E6867"/>
  <c r="D6867"/>
  <c r="E6855"/>
  <c r="D6855"/>
  <c r="E6843"/>
  <c r="D6843"/>
  <c r="E6831"/>
  <c r="D6831"/>
  <c r="E6819"/>
  <c r="D6819"/>
  <c r="E6807"/>
  <c r="D6807"/>
  <c r="E6795"/>
  <c r="D6795"/>
  <c r="E6783"/>
  <c r="D6783"/>
  <c r="E6771"/>
  <c r="D6771"/>
  <c r="E6759"/>
  <c r="D6759"/>
  <c r="E6747"/>
  <c r="D6747"/>
  <c r="E6735"/>
  <c r="D6735"/>
  <c r="E6723"/>
  <c r="D6723"/>
  <c r="E6711"/>
  <c r="D6711"/>
  <c r="E6699"/>
  <c r="D6699"/>
  <c r="E6687"/>
  <c r="D6687"/>
  <c r="E6675"/>
  <c r="D6675"/>
  <c r="E6663"/>
  <c r="D6663"/>
  <c r="E6651"/>
  <c r="D6651"/>
  <c r="E6639"/>
  <c r="D6639"/>
  <c r="E6627"/>
  <c r="D6627"/>
  <c r="E6615"/>
  <c r="D6615"/>
  <c r="E6603"/>
  <c r="D6603"/>
  <c r="E6591"/>
  <c r="D6591"/>
  <c r="E6579"/>
  <c r="D6579"/>
  <c r="E6567"/>
  <c r="D6567"/>
  <c r="E6555"/>
  <c r="D6555"/>
  <c r="E6543"/>
  <c r="D6543"/>
  <c r="E6531"/>
  <c r="D6531"/>
  <c r="E6519"/>
  <c r="D6519"/>
  <c r="E6507"/>
  <c r="D6507"/>
  <c r="E6495"/>
  <c r="D6495"/>
  <c r="E6483"/>
  <c r="D6483"/>
  <c r="E6471"/>
  <c r="D6471"/>
  <c r="E6459"/>
  <c r="D6459"/>
  <c r="E6447"/>
  <c r="D6447"/>
  <c r="E6435"/>
  <c r="D6435"/>
  <c r="E6423"/>
  <c r="D6423"/>
  <c r="E6411"/>
  <c r="D6411"/>
  <c r="E6399"/>
  <c r="D6399"/>
  <c r="E6387"/>
  <c r="D6387"/>
  <c r="E6375"/>
  <c r="D6375"/>
  <c r="E6363"/>
  <c r="D6363"/>
  <c r="E6351"/>
  <c r="D6351"/>
  <c r="E6339"/>
  <c r="D6339"/>
  <c r="E6327"/>
  <c r="D6327"/>
  <c r="E6315"/>
  <c r="D6315"/>
  <c r="E6303"/>
  <c r="D6303"/>
  <c r="E6291"/>
  <c r="D6291"/>
  <c r="E6279"/>
  <c r="D6279"/>
  <c r="E6267"/>
  <c r="D6267"/>
  <c r="E6255"/>
  <c r="D6255"/>
  <c r="E6243"/>
  <c r="D6243"/>
  <c r="E6231"/>
  <c r="D6231"/>
  <c r="E6219"/>
  <c r="D6219"/>
  <c r="E6207"/>
  <c r="D6207"/>
  <c r="E6195"/>
  <c r="D6195"/>
  <c r="E6183"/>
  <c r="D6183"/>
  <c r="E6171"/>
  <c r="D6171"/>
  <c r="E6159"/>
  <c r="D6159"/>
  <c r="E6147"/>
  <c r="D6147"/>
  <c r="E6135"/>
  <c r="D6135"/>
  <c r="E6123"/>
  <c r="D6123"/>
  <c r="E6111"/>
  <c r="D6111"/>
  <c r="E6099"/>
  <c r="D6099"/>
  <c r="E6087"/>
  <c r="D6087"/>
  <c r="E6075"/>
  <c r="D6075"/>
  <c r="E6063"/>
  <c r="D6063"/>
  <c r="E8536"/>
  <c r="D8536"/>
  <c r="E8524"/>
  <c r="D8524"/>
  <c r="E8512"/>
  <c r="D8512"/>
  <c r="E8500"/>
  <c r="D8500"/>
  <c r="E8488"/>
  <c r="D8488"/>
  <c r="E8476"/>
  <c r="D8476"/>
  <c r="E8464"/>
  <c r="D8464"/>
  <c r="E8452"/>
  <c r="D8452"/>
  <c r="E8440"/>
  <c r="D8440"/>
  <c r="E8428"/>
  <c r="D8428"/>
  <c r="E8416"/>
  <c r="D8416"/>
  <c r="E8404"/>
  <c r="D8404"/>
  <c r="E8392"/>
  <c r="D8392"/>
  <c r="E8380"/>
  <c r="D8380"/>
  <c r="E8368"/>
  <c r="D8368"/>
  <c r="E8356"/>
  <c r="D8356"/>
  <c r="E8344"/>
  <c r="D8344"/>
  <c r="E8332"/>
  <c r="D8332"/>
  <c r="E8320"/>
  <c r="D8320"/>
  <c r="E8308"/>
  <c r="D8308"/>
  <c r="E8296"/>
  <c r="D8296"/>
  <c r="E8284"/>
  <c r="D8284"/>
  <c r="E8272"/>
  <c r="D8272"/>
  <c r="E8260"/>
  <c r="D8260"/>
  <c r="E8248"/>
  <c r="D8248"/>
  <c r="E8236"/>
  <c r="D8236"/>
  <c r="E8224"/>
  <c r="D8224"/>
  <c r="E8212"/>
  <c r="D8212"/>
  <c r="E8200"/>
  <c r="D8200"/>
  <c r="E8188"/>
  <c r="D8188"/>
  <c r="E8176"/>
  <c r="D8176"/>
  <c r="E8164"/>
  <c r="D8164"/>
  <c r="E8152"/>
  <c r="D8152"/>
  <c r="E8140"/>
  <c r="D8140"/>
  <c r="E8128"/>
  <c r="D8128"/>
  <c r="E8116"/>
  <c r="D8116"/>
  <c r="E8104"/>
  <c r="D8104"/>
  <c r="E8092"/>
  <c r="D8092"/>
  <c r="E8080"/>
  <c r="D8080"/>
  <c r="E8068"/>
  <c r="D8068"/>
  <c r="E8056"/>
  <c r="D8056"/>
  <c r="E8044"/>
  <c r="D8044"/>
  <c r="E8032"/>
  <c r="D8032"/>
  <c r="E8020"/>
  <c r="D8020"/>
  <c r="E8008"/>
  <c r="D8008"/>
  <c r="E7996"/>
  <c r="D7996"/>
  <c r="E7984"/>
  <c r="D7984"/>
  <c r="E7972"/>
  <c r="D7972"/>
  <c r="E7960"/>
  <c r="D7960"/>
  <c r="E7948"/>
  <c r="D7948"/>
  <c r="E7936"/>
  <c r="D7936"/>
  <c r="E7924"/>
  <c r="D7924"/>
  <c r="E7912"/>
  <c r="D7912"/>
  <c r="E7900"/>
  <c r="D7900"/>
  <c r="E7888"/>
  <c r="D7888"/>
  <c r="E7876"/>
  <c r="D7876"/>
  <c r="E7864"/>
  <c r="D7864"/>
  <c r="E7852"/>
  <c r="D7852"/>
  <c r="E7840"/>
  <c r="D7840"/>
  <c r="E7828"/>
  <c r="D7828"/>
  <c r="E7816"/>
  <c r="D7816"/>
  <c r="E7804"/>
  <c r="D7804"/>
  <c r="E7792"/>
  <c r="D7792"/>
  <c r="E7780"/>
  <c r="D7780"/>
  <c r="E7768"/>
  <c r="D7768"/>
  <c r="E7756"/>
  <c r="D7756"/>
  <c r="E7744"/>
  <c r="D7744"/>
  <c r="E7732"/>
  <c r="D7732"/>
  <c r="E7720"/>
  <c r="D7720"/>
  <c r="E7708"/>
  <c r="D7708"/>
  <c r="E7696"/>
  <c r="D7696"/>
  <c r="E7684"/>
  <c r="D7684"/>
  <c r="E7672"/>
  <c r="D7672"/>
  <c r="E7660"/>
  <c r="D7660"/>
  <c r="E7648"/>
  <c r="D7648"/>
  <c r="E7636"/>
  <c r="D7636"/>
  <c r="E7624"/>
  <c r="D7624"/>
  <c r="E7612"/>
  <c r="D7612"/>
  <c r="E7600"/>
  <c r="D7600"/>
  <c r="E7588"/>
  <c r="D7588"/>
  <c r="E7576"/>
  <c r="D7576"/>
  <c r="E7564"/>
  <c r="D7564"/>
  <c r="E7552"/>
  <c r="D7552"/>
  <c r="E7540"/>
  <c r="D7540"/>
  <c r="E7528"/>
  <c r="D7528"/>
  <c r="E7516"/>
  <c r="D7516"/>
  <c r="E7504"/>
  <c r="D7504"/>
  <c r="E7492"/>
  <c r="D7492"/>
  <c r="E7480"/>
  <c r="D7480"/>
  <c r="E7468"/>
  <c r="D7468"/>
  <c r="E7456"/>
  <c r="D7456"/>
  <c r="E7444"/>
  <c r="D7444"/>
  <c r="E7432"/>
  <c r="D7432"/>
  <c r="E7420"/>
  <c r="D7420"/>
  <c r="E7408"/>
  <c r="D7408"/>
  <c r="E7396"/>
  <c r="D7396"/>
  <c r="E7384"/>
  <c r="D7384"/>
  <c r="E7372"/>
  <c r="D7372"/>
  <c r="E7360"/>
  <c r="D7360"/>
  <c r="E7348"/>
  <c r="D7348"/>
  <c r="E7336"/>
  <c r="D7336"/>
  <c r="E7324"/>
  <c r="D7324"/>
  <c r="E7312"/>
  <c r="D7312"/>
  <c r="E7300"/>
  <c r="D7300"/>
  <c r="E7288"/>
  <c r="D7288"/>
  <c r="E7276"/>
  <c r="D7276"/>
  <c r="E7264"/>
  <c r="D7264"/>
  <c r="E7252"/>
  <c r="D7252"/>
  <c r="E7240"/>
  <c r="D7240"/>
  <c r="E7228"/>
  <c r="D7228"/>
  <c r="E7216"/>
  <c r="D7216"/>
  <c r="E7204"/>
  <c r="D7204"/>
  <c r="E7192"/>
  <c r="D7192"/>
  <c r="E7180"/>
  <c r="D7180"/>
  <c r="E7168"/>
  <c r="D7168"/>
  <c r="E7156"/>
  <c r="D7156"/>
  <c r="E7144"/>
  <c r="D7144"/>
  <c r="E7132"/>
  <c r="D7132"/>
  <c r="E7120"/>
  <c r="D7120"/>
  <c r="E7108"/>
  <c r="D7108"/>
  <c r="E7096"/>
  <c r="D7096"/>
  <c r="E7084"/>
  <c r="D7084"/>
  <c r="E7072"/>
  <c r="D7072"/>
  <c r="E7060"/>
  <c r="D7060"/>
  <c r="E7048"/>
  <c r="D7048"/>
  <c r="E7036"/>
  <c r="D7036"/>
  <c r="E7024"/>
  <c r="D7024"/>
  <c r="E7012"/>
  <c r="D7012"/>
  <c r="E7000"/>
  <c r="D7000"/>
  <c r="E6988"/>
  <c r="D6988"/>
  <c r="E6976"/>
  <c r="D6976"/>
  <c r="E6964"/>
  <c r="D6964"/>
  <c r="E6952"/>
  <c r="D6952"/>
  <c r="E6940"/>
  <c r="D6940"/>
  <c r="E6928"/>
  <c r="D6928"/>
  <c r="E6916"/>
  <c r="D6916"/>
  <c r="E6904"/>
  <c r="D6904"/>
  <c r="E6892"/>
  <c r="D6892"/>
  <c r="E6880"/>
  <c r="D6880"/>
  <c r="E6868"/>
  <c r="D6868"/>
  <c r="E6856"/>
  <c r="D6856"/>
  <c r="E6844"/>
  <c r="D6844"/>
  <c r="E6832"/>
  <c r="D6832"/>
  <c r="E6820"/>
  <c r="D6820"/>
  <c r="E6808"/>
  <c r="D6808"/>
  <c r="E6796"/>
  <c r="D6796"/>
  <c r="E6784"/>
  <c r="D6784"/>
  <c r="E6772"/>
  <c r="D6772"/>
  <c r="E6760"/>
  <c r="D6760"/>
  <c r="E6748"/>
  <c r="D6748"/>
  <c r="E6736"/>
  <c r="D6736"/>
  <c r="E6724"/>
  <c r="D6724"/>
  <c r="E6712"/>
  <c r="D6712"/>
  <c r="E6700"/>
  <c r="D6700"/>
  <c r="E6688"/>
  <c r="D6688"/>
  <c r="E6676"/>
  <c r="D6676"/>
  <c r="E6664"/>
  <c r="D6664"/>
  <c r="E6652"/>
  <c r="D6652"/>
  <c r="E6640"/>
  <c r="D6640"/>
  <c r="E6628"/>
  <c r="D6628"/>
  <c r="E6616"/>
  <c r="D6616"/>
  <c r="E6604"/>
  <c r="D6604"/>
  <c r="E6592"/>
  <c r="D6592"/>
  <c r="E6580"/>
  <c r="D6580"/>
  <c r="E6568"/>
  <c r="D6568"/>
  <c r="E6556"/>
  <c r="D6556"/>
  <c r="E6544"/>
  <c r="D6544"/>
  <c r="E6532"/>
  <c r="D6532"/>
  <c r="E6520"/>
  <c r="D6520"/>
  <c r="E6508"/>
  <c r="D6508"/>
  <c r="E6496"/>
  <c r="D6496"/>
  <c r="E6484"/>
  <c r="D6484"/>
  <c r="E6472"/>
  <c r="D6472"/>
  <c r="E6460"/>
  <c r="D6460"/>
  <c r="E6448"/>
  <c r="D6448"/>
  <c r="E6436"/>
  <c r="D6436"/>
  <c r="E6424"/>
  <c r="D6424"/>
  <c r="E6412"/>
  <c r="D6412"/>
  <c r="E6400"/>
  <c r="D6400"/>
  <c r="E6388"/>
  <c r="D6388"/>
  <c r="E6376"/>
  <c r="D6376"/>
  <c r="E6364"/>
  <c r="D6364"/>
  <c r="E6352"/>
  <c r="D6352"/>
  <c r="E6340"/>
  <c r="D6340"/>
  <c r="E6328"/>
  <c r="D6328"/>
  <c r="E6316"/>
  <c r="D6316"/>
  <c r="E6304"/>
  <c r="D6304"/>
  <c r="E6292"/>
  <c r="D6292"/>
  <c r="E6280"/>
  <c r="D6280"/>
  <c r="E6268"/>
  <c r="D6268"/>
  <c r="E6256"/>
  <c r="D6256"/>
  <c r="E6244"/>
  <c r="D6244"/>
  <c r="E6232"/>
  <c r="D6232"/>
  <c r="E6220"/>
  <c r="D6220"/>
  <c r="E6208"/>
  <c r="D6208"/>
  <c r="E6196"/>
  <c r="D6196"/>
  <c r="E6184"/>
  <c r="D6184"/>
  <c r="E6172"/>
  <c r="D6172"/>
  <c r="E6160"/>
  <c r="D6160"/>
  <c r="E6148"/>
  <c r="D6148"/>
  <c r="E6136"/>
  <c r="D6136"/>
  <c r="E6124"/>
  <c r="D6124"/>
  <c r="E6112"/>
  <c r="D6112"/>
  <c r="E6100"/>
  <c r="D6100"/>
  <c r="E6088"/>
  <c r="D6088"/>
  <c r="E6076"/>
  <c r="D6076"/>
  <c r="E6064"/>
  <c r="D6064"/>
  <c r="E6052"/>
  <c r="D6052"/>
  <c r="E6040"/>
  <c r="D6040"/>
  <c r="E6028"/>
  <c r="D6028"/>
  <c r="E6016"/>
  <c r="D6016"/>
  <c r="E6004"/>
  <c r="D6004"/>
  <c r="E5992"/>
  <c r="D5992"/>
  <c r="E6077"/>
  <c r="D6077"/>
  <c r="E6065"/>
  <c r="D6065"/>
  <c r="E6053"/>
  <c r="D6053"/>
  <c r="E6041"/>
  <c r="D6041"/>
  <c r="E6029"/>
  <c r="D6029"/>
  <c r="E6017"/>
  <c r="D6017"/>
  <c r="E6005"/>
  <c r="D6005"/>
  <c r="E5993"/>
  <c r="D5993"/>
  <c r="E5981"/>
  <c r="D5981"/>
  <c r="E5969"/>
  <c r="D5969"/>
  <c r="E5957"/>
  <c r="D5957"/>
  <c r="E5945"/>
  <c r="D5945"/>
  <c r="E5933"/>
  <c r="D5933"/>
  <c r="E5921"/>
  <c r="D5921"/>
  <c r="E5909"/>
  <c r="D5909"/>
  <c r="E5897"/>
  <c r="D5897"/>
  <c r="E5885"/>
  <c r="D5885"/>
  <c r="E5873"/>
  <c r="D5873"/>
  <c r="E5861"/>
  <c r="D5861"/>
  <c r="E5849"/>
  <c r="D5849"/>
  <c r="E5837"/>
  <c r="D5837"/>
  <c r="E5825"/>
  <c r="D5825"/>
  <c r="E5813"/>
  <c r="D5813"/>
  <c r="E5801"/>
  <c r="D5801"/>
  <c r="E5789"/>
  <c r="D5789"/>
  <c r="E5777"/>
  <c r="D5777"/>
  <c r="E5765"/>
  <c r="D5765"/>
  <c r="E5753"/>
  <c r="D5753"/>
  <c r="E5741"/>
  <c r="D5741"/>
  <c r="E5729"/>
  <c r="D5729"/>
  <c r="E5717"/>
  <c r="D5717"/>
  <c r="E5705"/>
  <c r="D5705"/>
  <c r="E5693"/>
  <c r="D5693"/>
  <c r="E5681"/>
  <c r="D5681"/>
  <c r="E5669"/>
  <c r="D5669"/>
  <c r="E5657"/>
  <c r="D5657"/>
  <c r="E5645"/>
  <c r="D5645"/>
  <c r="E5633"/>
  <c r="D5633"/>
  <c r="E5621"/>
  <c r="D5621"/>
  <c r="E5609"/>
  <c r="D5609"/>
  <c r="E5597"/>
  <c r="D5597"/>
  <c r="E5585"/>
  <c r="D5585"/>
  <c r="E5573"/>
  <c r="D5573"/>
  <c r="E5561"/>
  <c r="D5561"/>
  <c r="E5549"/>
  <c r="D5549"/>
  <c r="E5537"/>
  <c r="D5537"/>
  <c r="E5525"/>
  <c r="D5525"/>
  <c r="E5513"/>
  <c r="D5513"/>
  <c r="E5501"/>
  <c r="D5501"/>
  <c r="E5489"/>
  <c r="D5489"/>
  <c r="E5477"/>
  <c r="D5477"/>
  <c r="E5465"/>
  <c r="D5465"/>
  <c r="E5453"/>
  <c r="D5453"/>
  <c r="E5441"/>
  <c r="D5441"/>
  <c r="E5429"/>
  <c r="D5429"/>
  <c r="E5417"/>
  <c r="D5417"/>
  <c r="E5405"/>
  <c r="D5405"/>
  <c r="E5393"/>
  <c r="D5393"/>
  <c r="E5381"/>
  <c r="D5381"/>
  <c r="E5369"/>
  <c r="D5369"/>
  <c r="E5357"/>
  <c r="D5357"/>
  <c r="E5345"/>
  <c r="D5345"/>
  <c r="E5333"/>
  <c r="D5333"/>
  <c r="E5321"/>
  <c r="D5321"/>
  <c r="E5309"/>
  <c r="D5309"/>
  <c r="E5297"/>
  <c r="D5297"/>
  <c r="E5285"/>
  <c r="D5285"/>
  <c r="E5273"/>
  <c r="D5273"/>
  <c r="E5261"/>
  <c r="D5261"/>
  <c r="E5249"/>
  <c r="D5249"/>
  <c r="E5237"/>
  <c r="D5237"/>
  <c r="E5225"/>
  <c r="D5225"/>
  <c r="E5213"/>
  <c r="D5213"/>
  <c r="E5201"/>
  <c r="D5201"/>
  <c r="E5189"/>
  <c r="D5189"/>
  <c r="E5177"/>
  <c r="D5177"/>
  <c r="E5165"/>
  <c r="D5165"/>
  <c r="E5153"/>
  <c r="D5153"/>
  <c r="E5141"/>
  <c r="D5141"/>
  <c r="E5129"/>
  <c r="D5129"/>
  <c r="E5117"/>
  <c r="D5117"/>
  <c r="E5105"/>
  <c r="D5105"/>
  <c r="E5093"/>
  <c r="D5093"/>
  <c r="E5081"/>
  <c r="D5081"/>
  <c r="E5069"/>
  <c r="D5069"/>
  <c r="E5057"/>
  <c r="D5057"/>
  <c r="E5045"/>
  <c r="D5045"/>
  <c r="E5033"/>
  <c r="D5033"/>
  <c r="E5021"/>
  <c r="D5021"/>
  <c r="E5009"/>
  <c r="D5009"/>
  <c r="E4997"/>
  <c r="D4997"/>
  <c r="E4985"/>
  <c r="D4985"/>
  <c r="E4973"/>
  <c r="D4973"/>
  <c r="E4961"/>
  <c r="D4961"/>
  <c r="E4949"/>
  <c r="D4949"/>
  <c r="E4937"/>
  <c r="D4937"/>
  <c r="E4925"/>
  <c r="D4925"/>
  <c r="E4913"/>
  <c r="D4913"/>
  <c r="E4901"/>
  <c r="D4901"/>
  <c r="E4889"/>
  <c r="D4889"/>
  <c r="E4877"/>
  <c r="D4877"/>
  <c r="E4865"/>
  <c r="D4865"/>
  <c r="E4853"/>
  <c r="D4853"/>
  <c r="E4841"/>
  <c r="D4841"/>
  <c r="E4829"/>
  <c r="D4829"/>
  <c r="E4817"/>
  <c r="D4817"/>
  <c r="E4805"/>
  <c r="D4805"/>
  <c r="E4793"/>
  <c r="D4793"/>
  <c r="E4781"/>
  <c r="D4781"/>
  <c r="E4769"/>
  <c r="D4769"/>
  <c r="E4757"/>
  <c r="D4757"/>
  <c r="E4745"/>
  <c r="D4745"/>
  <c r="E4733"/>
  <c r="D4733"/>
  <c r="E4721"/>
  <c r="D4721"/>
  <c r="E4709"/>
  <c r="D4709"/>
  <c r="E4697"/>
  <c r="D4697"/>
  <c r="E4685"/>
  <c r="D4685"/>
  <c r="E4673"/>
  <c r="D4673"/>
  <c r="E4661"/>
  <c r="D4661"/>
  <c r="E4649"/>
  <c r="D4649"/>
  <c r="E4637"/>
  <c r="D4637"/>
  <c r="E4625"/>
  <c r="D4625"/>
  <c r="E4613"/>
  <c r="D4613"/>
  <c r="E4601"/>
  <c r="D4601"/>
  <c r="E4589"/>
  <c r="D4589"/>
  <c r="E4577"/>
  <c r="D4577"/>
  <c r="E4565"/>
  <c r="D4565"/>
  <c r="E4553"/>
  <c r="D4553"/>
  <c r="E4541"/>
  <c r="D4541"/>
  <c r="E4529"/>
  <c r="D4529"/>
  <c r="E4517"/>
  <c r="D4517"/>
  <c r="E4505"/>
  <c r="D4505"/>
  <c r="E4493"/>
  <c r="D4493"/>
  <c r="E4481"/>
  <c r="D4481"/>
  <c r="E4469"/>
  <c r="D4469"/>
  <c r="E4457"/>
  <c r="D4457"/>
  <c r="E4445"/>
  <c r="D4445"/>
  <c r="E4433"/>
  <c r="D4433"/>
  <c r="E4421"/>
  <c r="D4421"/>
  <c r="E4409"/>
  <c r="D4409"/>
  <c r="E4397"/>
  <c r="D4397"/>
  <c r="E4385"/>
  <c r="D4385"/>
  <c r="E4373"/>
  <c r="D4373"/>
  <c r="E4361"/>
  <c r="D4361"/>
  <c r="E4349"/>
  <c r="D4349"/>
  <c r="E4337"/>
  <c r="D4337"/>
  <c r="E4325"/>
  <c r="D4325"/>
  <c r="E4313"/>
  <c r="D4313"/>
  <c r="E4301"/>
  <c r="D4301"/>
  <c r="E4289"/>
  <c r="D4289"/>
  <c r="E4277"/>
  <c r="D4277"/>
  <c r="E4265"/>
  <c r="D4265"/>
  <c r="E4253"/>
  <c r="D4253"/>
  <c r="E4241"/>
  <c r="D4241"/>
  <c r="E4229"/>
  <c r="D4229"/>
  <c r="E4217"/>
  <c r="D4217"/>
  <c r="E4205"/>
  <c r="D4205"/>
  <c r="E4193"/>
  <c r="D4193"/>
  <c r="E4181"/>
  <c r="D4181"/>
  <c r="E4169"/>
  <c r="D4169"/>
  <c r="E4157"/>
  <c r="D4157"/>
  <c r="E4145"/>
  <c r="D4145"/>
  <c r="E4133"/>
  <c r="D4133"/>
  <c r="E4121"/>
  <c r="D4121"/>
  <c r="E4109"/>
  <c r="D4109"/>
  <c r="E4097"/>
  <c r="D4097"/>
  <c r="E4085"/>
  <c r="D4085"/>
  <c r="E4073"/>
  <c r="D4073"/>
  <c r="E4061"/>
  <c r="D4061"/>
  <c r="E4049"/>
  <c r="D4049"/>
  <c r="E4037"/>
  <c r="D4037"/>
  <c r="E4025"/>
  <c r="D4025"/>
  <c r="E4013"/>
  <c r="D4013"/>
  <c r="E4001"/>
  <c r="D4001"/>
  <c r="E3989"/>
  <c r="D3989"/>
  <c r="E3977"/>
  <c r="D3977"/>
  <c r="E3965"/>
  <c r="D3965"/>
  <c r="E3953"/>
  <c r="D3953"/>
  <c r="E3941"/>
  <c r="D3941"/>
  <c r="E3929"/>
  <c r="D3929"/>
  <c r="E3917"/>
  <c r="D3917"/>
  <c r="E3905"/>
  <c r="D3905"/>
  <c r="E3893"/>
  <c r="D3893"/>
  <c r="E3881"/>
  <c r="D3881"/>
  <c r="E3869"/>
  <c r="D3869"/>
  <c r="E3857"/>
  <c r="D3857"/>
  <c r="E3845"/>
  <c r="D3845"/>
  <c r="E3833"/>
  <c r="D3833"/>
  <c r="E3821"/>
  <c r="D3821"/>
  <c r="E3809"/>
  <c r="D3809"/>
  <c r="E3797"/>
  <c r="D3797"/>
  <c r="E3785"/>
  <c r="D3785"/>
  <c r="E3773"/>
  <c r="D3773"/>
  <c r="E3761"/>
  <c r="D3761"/>
  <c r="E3749"/>
  <c r="D3749"/>
  <c r="E3737"/>
  <c r="D3737"/>
  <c r="E3725"/>
  <c r="D3725"/>
  <c r="E3713"/>
  <c r="D3713"/>
  <c r="E3701"/>
  <c r="D3701"/>
  <c r="E3689"/>
  <c r="D3689"/>
  <c r="E3677"/>
  <c r="D3677"/>
  <c r="E3665"/>
  <c r="D3665"/>
  <c r="E3653"/>
  <c r="D3653"/>
  <c r="E3641"/>
  <c r="D3641"/>
  <c r="E3629"/>
  <c r="D3629"/>
  <c r="E3617"/>
  <c r="D3617"/>
  <c r="E3605"/>
  <c r="D3605"/>
  <c r="E3593"/>
  <c r="D3593"/>
  <c r="E3581"/>
  <c r="D3581"/>
  <c r="E3569"/>
  <c r="D3569"/>
  <c r="E3557"/>
  <c r="D3557"/>
  <c r="E3545"/>
  <c r="D3545"/>
  <c r="E3533"/>
  <c r="D3533"/>
  <c r="E3521"/>
  <c r="D3521"/>
  <c r="E3509"/>
  <c r="D3509"/>
  <c r="E3497"/>
  <c r="D3497"/>
  <c r="E3485"/>
  <c r="D3485"/>
  <c r="E3473"/>
  <c r="D3473"/>
  <c r="E3461"/>
  <c r="D3461"/>
  <c r="E3449"/>
  <c r="D3449"/>
  <c r="E3437"/>
  <c r="D3437"/>
  <c r="E3425"/>
  <c r="D3425"/>
  <c r="E3413"/>
  <c r="D3413"/>
  <c r="E3401"/>
  <c r="D3401"/>
  <c r="E3389"/>
  <c r="D3389"/>
  <c r="E3377"/>
  <c r="D3377"/>
  <c r="E3365"/>
  <c r="D3365"/>
  <c r="E3353"/>
  <c r="D3353"/>
  <c r="E3341"/>
  <c r="D3341"/>
  <c r="E3329"/>
  <c r="D3329"/>
  <c r="E3317"/>
  <c r="D3317"/>
  <c r="E3305"/>
  <c r="D3305"/>
  <c r="E3293"/>
  <c r="D3293"/>
  <c r="E3281"/>
  <c r="D3281"/>
  <c r="E3269"/>
  <c r="D3269"/>
  <c r="E3257"/>
  <c r="D3257"/>
  <c r="E3245"/>
  <c r="D3245"/>
  <c r="E3233"/>
  <c r="D3233"/>
  <c r="E3221"/>
  <c r="D3221"/>
  <c r="E3209"/>
  <c r="D3209"/>
  <c r="E3197"/>
  <c r="D3197"/>
  <c r="E3185"/>
  <c r="D3185"/>
  <c r="E3173"/>
  <c r="D3173"/>
  <c r="E3161"/>
  <c r="D3161"/>
  <c r="E3149"/>
  <c r="D3149"/>
  <c r="E3137"/>
  <c r="D3137"/>
  <c r="E3125"/>
  <c r="D3125"/>
  <c r="E3113"/>
  <c r="D3113"/>
  <c r="E3101"/>
  <c r="D3101"/>
  <c r="E3089"/>
  <c r="D3089"/>
  <c r="E3077"/>
  <c r="D3077"/>
  <c r="D5949"/>
  <c r="E3102"/>
  <c r="D3102"/>
  <c r="E3090"/>
  <c r="D3090"/>
  <c r="E3078"/>
  <c r="D3078"/>
  <c r="E3066"/>
  <c r="D3066"/>
  <c r="E3054"/>
  <c r="D3054"/>
  <c r="E3042"/>
  <c r="D3042"/>
  <c r="E3030"/>
  <c r="D3030"/>
  <c r="E3018"/>
  <c r="D3018"/>
  <c r="E3006"/>
  <c r="D3006"/>
  <c r="E2994"/>
  <c r="D2994"/>
  <c r="E2982"/>
  <c r="D2982"/>
  <c r="E2970"/>
  <c r="D2970"/>
  <c r="E2958"/>
  <c r="D2958"/>
  <c r="E2946"/>
  <c r="D2946"/>
  <c r="E2934"/>
  <c r="D2934"/>
  <c r="E2922"/>
  <c r="D2922"/>
  <c r="E2910"/>
  <c r="D2910"/>
  <c r="E2898"/>
  <c r="D2898"/>
  <c r="E2886"/>
  <c r="D2886"/>
  <c r="E2874"/>
  <c r="D2874"/>
  <c r="E2862"/>
  <c r="D2862"/>
  <c r="E2850"/>
  <c r="D2850"/>
  <c r="E2838"/>
  <c r="D2838"/>
  <c r="E2826"/>
  <c r="D2826"/>
  <c r="E2814"/>
  <c r="D2814"/>
  <c r="E2802"/>
  <c r="D2802"/>
  <c r="E2790"/>
  <c r="D2790"/>
  <c r="E2778"/>
  <c r="D2778"/>
  <c r="E2766"/>
  <c r="D2766"/>
  <c r="E2754"/>
  <c r="D2754"/>
  <c r="E2742"/>
  <c r="D2742"/>
  <c r="E2730"/>
  <c r="D2730"/>
  <c r="E2718"/>
  <c r="D2718"/>
  <c r="E2706"/>
  <c r="D2706"/>
  <c r="E2694"/>
  <c r="D2694"/>
  <c r="E2682"/>
  <c r="D2682"/>
  <c r="E2670"/>
  <c r="D2670"/>
  <c r="E2658"/>
  <c r="D2658"/>
  <c r="E2646"/>
  <c r="D2646"/>
  <c r="E2634"/>
  <c r="D2634"/>
  <c r="E2622"/>
  <c r="D2622"/>
  <c r="E2610"/>
  <c r="D2610"/>
  <c r="E2598"/>
  <c r="D2598"/>
  <c r="E2586"/>
  <c r="D2586"/>
  <c r="E2574"/>
  <c r="D2574"/>
  <c r="E2562"/>
  <c r="D2562"/>
  <c r="E2550"/>
  <c r="D2550"/>
  <c r="E2538"/>
  <c r="D2538"/>
  <c r="E2526"/>
  <c r="D2526"/>
  <c r="E2514"/>
  <c r="D2514"/>
  <c r="E2502"/>
  <c r="D2502"/>
  <c r="E2490"/>
  <c r="D2490"/>
  <c r="E2478"/>
  <c r="D2478"/>
  <c r="E2466"/>
  <c r="D2466"/>
  <c r="E2454"/>
  <c r="D2454"/>
  <c r="E2442"/>
  <c r="D2442"/>
  <c r="E2430"/>
  <c r="D2430"/>
  <c r="E2418"/>
  <c r="D2418"/>
  <c r="E2406"/>
  <c r="D2406"/>
  <c r="E2394"/>
  <c r="D2394"/>
  <c r="E2382"/>
  <c r="D2382"/>
  <c r="E2370"/>
  <c r="D2370"/>
  <c r="E2358"/>
  <c r="D2358"/>
  <c r="E2346"/>
  <c r="D2346"/>
  <c r="E2334"/>
  <c r="D2334"/>
  <c r="E2322"/>
  <c r="D2322"/>
  <c r="E2310"/>
  <c r="D2310"/>
  <c r="E2298"/>
  <c r="D2298"/>
  <c r="E2286"/>
  <c r="D2286"/>
  <c r="E2274"/>
  <c r="D2274"/>
  <c r="E2262"/>
  <c r="D2262"/>
  <c r="E2250"/>
  <c r="D2250"/>
  <c r="E2238"/>
  <c r="D2238"/>
  <c r="E2226"/>
  <c r="D2226"/>
  <c r="E2214"/>
  <c r="D2214"/>
  <c r="E2202"/>
  <c r="D2202"/>
  <c r="E2190"/>
  <c r="D2190"/>
  <c r="E2178"/>
  <c r="D2178"/>
  <c r="E2166"/>
  <c r="D2166"/>
  <c r="E2154"/>
  <c r="D2154"/>
  <c r="E2142"/>
  <c r="D2142"/>
  <c r="E2130"/>
  <c r="D2130"/>
  <c r="E2118"/>
  <c r="D2118"/>
  <c r="E2106"/>
  <c r="D2106"/>
  <c r="E2094"/>
  <c r="D2094"/>
  <c r="E2082"/>
  <c r="D2082"/>
  <c r="E2070"/>
  <c r="D2070"/>
  <c r="E2058"/>
  <c r="D2058"/>
  <c r="E2046"/>
  <c r="D2046"/>
  <c r="E2034"/>
  <c r="D2034"/>
  <c r="E2022"/>
  <c r="D2022"/>
  <c r="E2010"/>
  <c r="D2010"/>
  <c r="E1998"/>
  <c r="D1998"/>
  <c r="E1986"/>
  <c r="D1986"/>
  <c r="E1974"/>
  <c r="D1974"/>
  <c r="E1962"/>
  <c r="D1962"/>
  <c r="E1950"/>
  <c r="D1950"/>
  <c r="E1938"/>
  <c r="D1938"/>
  <c r="E1926"/>
  <c r="D1926"/>
  <c r="E1914"/>
  <c r="D1914"/>
  <c r="E1902"/>
  <c r="D1902"/>
  <c r="E1890"/>
  <c r="D1890"/>
  <c r="E1878"/>
  <c r="D1878"/>
  <c r="E1866"/>
  <c r="D1866"/>
  <c r="E1854"/>
  <c r="D1854"/>
  <c r="E1842"/>
  <c r="D1842"/>
  <c r="E1830"/>
  <c r="D1830"/>
  <c r="E1818"/>
  <c r="D1818"/>
  <c r="E1806"/>
  <c r="D1806"/>
  <c r="E1794"/>
  <c r="D1794"/>
  <c r="E1782"/>
  <c r="D1782"/>
  <c r="E1770"/>
  <c r="D1770"/>
  <c r="E1758"/>
  <c r="D1758"/>
  <c r="E1746"/>
  <c r="D1746"/>
  <c r="E1734"/>
  <c r="D1734"/>
  <c r="E1722"/>
  <c r="D1722"/>
  <c r="E1710"/>
  <c r="D1710"/>
  <c r="E1698"/>
  <c r="D1698"/>
  <c r="E1686"/>
  <c r="D1686"/>
  <c r="E1674"/>
  <c r="D1674"/>
  <c r="E1662"/>
  <c r="D1662"/>
  <c r="E1650"/>
  <c r="D1650"/>
  <c r="E1638"/>
  <c r="D1638"/>
  <c r="E1626"/>
  <c r="D1626"/>
  <c r="E1614"/>
  <c r="D1614"/>
  <c r="E1602"/>
  <c r="D1602"/>
  <c r="E1590"/>
  <c r="D1590"/>
  <c r="E1578"/>
  <c r="D1578"/>
  <c r="E1566"/>
  <c r="D1566"/>
  <c r="E1554"/>
  <c r="D1554"/>
  <c r="E1542"/>
  <c r="D1542"/>
  <c r="E1530"/>
  <c r="D1530"/>
  <c r="E1518"/>
  <c r="D1518"/>
  <c r="E1506"/>
  <c r="D1506"/>
  <c r="E1494"/>
  <c r="D1494"/>
  <c r="E1482"/>
  <c r="D1482"/>
  <c r="E1470"/>
  <c r="D1470"/>
  <c r="E1458"/>
  <c r="D1458"/>
  <c r="E1446"/>
  <c r="D1446"/>
  <c r="E1434"/>
  <c r="D1434"/>
  <c r="E1422"/>
  <c r="D1422"/>
  <c r="E1410"/>
  <c r="D1410"/>
  <c r="E1398"/>
  <c r="D1398"/>
  <c r="E1386"/>
  <c r="D1386"/>
  <c r="E1374"/>
  <c r="D1374"/>
  <c r="E1362"/>
  <c r="D1362"/>
  <c r="E1350"/>
  <c r="D1350"/>
  <c r="E1338"/>
  <c r="D1338"/>
  <c r="E1326"/>
  <c r="D1326"/>
  <c r="E1314"/>
  <c r="D1314"/>
  <c r="E1302"/>
  <c r="D1302"/>
  <c r="E1290"/>
  <c r="D1290"/>
  <c r="E1278"/>
  <c r="D1278"/>
  <c r="E1266"/>
  <c r="D1266"/>
  <c r="E1254"/>
  <c r="D1254"/>
  <c r="E1242"/>
  <c r="D1242"/>
  <c r="E1230"/>
  <c r="D1230"/>
  <c r="E1218"/>
  <c r="D1218"/>
  <c r="E1206"/>
  <c r="D1206"/>
  <c r="E1194"/>
  <c r="D1194"/>
  <c r="E1182"/>
  <c r="D1182"/>
  <c r="E1170"/>
  <c r="D1170"/>
  <c r="E1158"/>
  <c r="D1158"/>
  <c r="E1146"/>
  <c r="D1146"/>
  <c r="E1134"/>
  <c r="D1134"/>
  <c r="E1122"/>
  <c r="D1122"/>
  <c r="E1110"/>
  <c r="D1110"/>
  <c r="E1098"/>
  <c r="D1098"/>
  <c r="E1086"/>
  <c r="D1086"/>
  <c r="E1074"/>
  <c r="D1074"/>
  <c r="E1062"/>
  <c r="D1062"/>
  <c r="E1050"/>
  <c r="D1050"/>
  <c r="E1038"/>
  <c r="D1038"/>
  <c r="E1026"/>
  <c r="D1026"/>
  <c r="E1014"/>
  <c r="D1014"/>
  <c r="E1002"/>
  <c r="D1002"/>
  <c r="E990"/>
  <c r="D990"/>
  <c r="E978"/>
  <c r="D978"/>
  <c r="E966"/>
  <c r="D966"/>
  <c r="E954"/>
  <c r="D954"/>
  <c r="E942"/>
  <c r="D942"/>
  <c r="E930"/>
  <c r="D930"/>
  <c r="E918"/>
  <c r="D918"/>
  <c r="E906"/>
  <c r="D906"/>
  <c r="E894"/>
  <c r="D894"/>
  <c r="E882"/>
  <c r="D882"/>
  <c r="E870"/>
  <c r="D870"/>
  <c r="E858"/>
  <c r="D858"/>
  <c r="E846"/>
  <c r="D846"/>
  <c r="E834"/>
  <c r="D834"/>
  <c r="E822"/>
  <c r="D822"/>
  <c r="E810"/>
  <c r="D810"/>
  <c r="E798"/>
  <c r="D798"/>
  <c r="E786"/>
  <c r="D786"/>
  <c r="E774"/>
  <c r="D774"/>
  <c r="E762"/>
  <c r="D762"/>
  <c r="E750"/>
  <c r="D750"/>
  <c r="E738"/>
  <c r="D738"/>
  <c r="E726"/>
  <c r="D726"/>
  <c r="E714"/>
  <c r="D714"/>
  <c r="E702"/>
  <c r="D702"/>
  <c r="E690"/>
  <c r="D690"/>
  <c r="E678"/>
  <c r="D678"/>
  <c r="E666"/>
  <c r="D666"/>
  <c r="E654"/>
  <c r="D654"/>
  <c r="E642"/>
  <c r="D642"/>
  <c r="E630"/>
  <c r="D630"/>
  <c r="E618"/>
  <c r="D618"/>
  <c r="E606"/>
  <c r="D606"/>
  <c r="E594"/>
  <c r="D594"/>
  <c r="E582"/>
  <c r="D582"/>
  <c r="E570"/>
  <c r="D570"/>
  <c r="E558"/>
  <c r="D558"/>
  <c r="E546"/>
  <c r="D546"/>
  <c r="E534"/>
  <c r="D534"/>
  <c r="E522"/>
  <c r="D522"/>
  <c r="E510"/>
  <c r="D510"/>
  <c r="E498"/>
  <c r="D498"/>
  <c r="E486"/>
  <c r="D486"/>
  <c r="E474"/>
  <c r="D474"/>
  <c r="E462"/>
  <c r="D462"/>
  <c r="E450"/>
  <c r="D450"/>
  <c r="E438"/>
  <c r="D438"/>
  <c r="E426"/>
  <c r="D426"/>
  <c r="E414"/>
  <c r="D414"/>
  <c r="E402"/>
  <c r="D402"/>
  <c r="E390"/>
  <c r="D390"/>
  <c r="E378"/>
  <c r="D378"/>
  <c r="E366"/>
  <c r="D366"/>
  <c r="E354"/>
  <c r="D354"/>
  <c r="E342"/>
  <c r="D342"/>
  <c r="E330"/>
  <c r="D330"/>
  <c r="E318"/>
  <c r="D318"/>
  <c r="E306"/>
  <c r="D306"/>
  <c r="E294"/>
  <c r="D294"/>
  <c r="E282"/>
  <c r="D282"/>
  <c r="E270"/>
  <c r="D270"/>
  <c r="E258"/>
  <c r="D258"/>
  <c r="E246"/>
  <c r="D246"/>
  <c r="E234"/>
  <c r="D234"/>
  <c r="E222"/>
  <c r="D222"/>
  <c r="E210"/>
  <c r="D210"/>
  <c r="E198"/>
  <c r="D198"/>
  <c r="E186"/>
  <c r="D186"/>
  <c r="E174"/>
  <c r="D174"/>
  <c r="E162"/>
  <c r="D162"/>
  <c r="E150"/>
  <c r="D150"/>
  <c r="E138"/>
  <c r="D138"/>
  <c r="E126"/>
  <c r="D126"/>
  <c r="E114"/>
  <c r="D114"/>
  <c r="E102"/>
  <c r="D102"/>
  <c r="E90"/>
  <c r="D90"/>
  <c r="E78"/>
  <c r="D78"/>
  <c r="E66"/>
  <c r="D66"/>
  <c r="E54"/>
  <c r="D54"/>
  <c r="E42"/>
  <c r="D42"/>
  <c r="E30"/>
  <c r="D30"/>
  <c r="E18"/>
  <c r="D18"/>
  <c r="E6"/>
  <c r="D6"/>
  <c r="D6021"/>
  <c r="E5407"/>
  <c r="D5407"/>
  <c r="E5395"/>
  <c r="D5395"/>
  <c r="E5383"/>
  <c r="D5383"/>
  <c r="E5371"/>
  <c r="D5371"/>
  <c r="E5359"/>
  <c r="D5359"/>
  <c r="E5347"/>
  <c r="D5347"/>
  <c r="E5335"/>
  <c r="D5335"/>
  <c r="E5323"/>
  <c r="D5323"/>
  <c r="E5311"/>
  <c r="D5311"/>
  <c r="E5299"/>
  <c r="D5299"/>
  <c r="E5287"/>
  <c r="D5287"/>
  <c r="E5275"/>
  <c r="D5275"/>
  <c r="E5263"/>
  <c r="D5263"/>
  <c r="E5251"/>
  <c r="D5251"/>
  <c r="E5239"/>
  <c r="D5239"/>
  <c r="E5227"/>
  <c r="D5227"/>
  <c r="E5215"/>
  <c r="D5215"/>
  <c r="E5203"/>
  <c r="D5203"/>
  <c r="E5191"/>
  <c r="D5191"/>
  <c r="E5179"/>
  <c r="D5179"/>
  <c r="E5167"/>
  <c r="D5167"/>
  <c r="E5155"/>
  <c r="D5155"/>
  <c r="E5143"/>
  <c r="D5143"/>
  <c r="E5131"/>
  <c r="D5131"/>
  <c r="E5119"/>
  <c r="D5119"/>
  <c r="E5107"/>
  <c r="D5107"/>
  <c r="E5095"/>
  <c r="D5095"/>
  <c r="E5083"/>
  <c r="D5083"/>
  <c r="E5071"/>
  <c r="D5071"/>
  <c r="E5059"/>
  <c r="D5059"/>
  <c r="E5047"/>
  <c r="D5047"/>
  <c r="E5035"/>
  <c r="D5035"/>
  <c r="E5023"/>
  <c r="D5023"/>
  <c r="E5011"/>
  <c r="D5011"/>
  <c r="E4999"/>
  <c r="D4999"/>
  <c r="E4987"/>
  <c r="D4987"/>
  <c r="E4975"/>
  <c r="D4975"/>
  <c r="E4963"/>
  <c r="D4963"/>
  <c r="E4951"/>
  <c r="D4951"/>
  <c r="E4939"/>
  <c r="D4939"/>
  <c r="E4927"/>
  <c r="D4927"/>
  <c r="E4915"/>
  <c r="D4915"/>
  <c r="E4903"/>
  <c r="D4903"/>
  <c r="E4891"/>
  <c r="D4891"/>
  <c r="E4879"/>
  <c r="D4879"/>
  <c r="E4867"/>
  <c r="D4867"/>
  <c r="E4855"/>
  <c r="D4855"/>
  <c r="E4843"/>
  <c r="D4843"/>
  <c r="E4831"/>
  <c r="D4831"/>
  <c r="E4819"/>
  <c r="D4819"/>
  <c r="E4807"/>
  <c r="D4807"/>
  <c r="E4795"/>
  <c r="D4795"/>
  <c r="E4783"/>
  <c r="D4783"/>
  <c r="E4771"/>
  <c r="D4771"/>
  <c r="E4759"/>
  <c r="D4759"/>
  <c r="E4747"/>
  <c r="D4747"/>
  <c r="E4735"/>
  <c r="D4735"/>
  <c r="E4723"/>
  <c r="D4723"/>
  <c r="E4711"/>
  <c r="D4711"/>
  <c r="E4699"/>
  <c r="D4699"/>
  <c r="E4687"/>
  <c r="D4687"/>
  <c r="E4675"/>
  <c r="D4675"/>
  <c r="E4663"/>
  <c r="D4663"/>
  <c r="E4651"/>
  <c r="D4651"/>
  <c r="E4639"/>
  <c r="D4639"/>
  <c r="E4627"/>
  <c r="D4627"/>
  <c r="E4615"/>
  <c r="D4615"/>
  <c r="E4603"/>
  <c r="D4603"/>
  <c r="E4591"/>
  <c r="D4591"/>
  <c r="E4579"/>
  <c r="D4579"/>
  <c r="E4567"/>
  <c r="D4567"/>
  <c r="E4555"/>
  <c r="D4555"/>
  <c r="E4543"/>
  <c r="D4543"/>
  <c r="E4531"/>
  <c r="D4531"/>
  <c r="E4519"/>
  <c r="D4519"/>
  <c r="E4507"/>
  <c r="D4507"/>
  <c r="E4495"/>
  <c r="D4495"/>
  <c r="E4483"/>
  <c r="D4483"/>
  <c r="E4471"/>
  <c r="D4471"/>
  <c r="E4459"/>
  <c r="D4459"/>
  <c r="E4447"/>
  <c r="D4447"/>
  <c r="E4435"/>
  <c r="D4435"/>
  <c r="E4423"/>
  <c r="D4423"/>
  <c r="E4411"/>
  <c r="D4411"/>
  <c r="E4399"/>
  <c r="D4399"/>
  <c r="E4387"/>
  <c r="D4387"/>
  <c r="E4375"/>
  <c r="D4375"/>
  <c r="E4363"/>
  <c r="D4363"/>
  <c r="E4351"/>
  <c r="D4351"/>
  <c r="E4339"/>
  <c r="D4339"/>
  <c r="E4327"/>
  <c r="D4327"/>
  <c r="E4315"/>
  <c r="D4315"/>
  <c r="E4303"/>
  <c r="D4303"/>
  <c r="E4291"/>
  <c r="D4291"/>
  <c r="E4279"/>
  <c r="D4279"/>
  <c r="E4267"/>
  <c r="D4267"/>
  <c r="E4255"/>
  <c r="D4255"/>
  <c r="E4243"/>
  <c r="D4243"/>
  <c r="E4231"/>
  <c r="D4231"/>
  <c r="E4219"/>
  <c r="D4219"/>
  <c r="E4207"/>
  <c r="D4207"/>
  <c r="E4195"/>
  <c r="D4195"/>
  <c r="E4183"/>
  <c r="D4183"/>
  <c r="E4171"/>
  <c r="D4171"/>
  <c r="E4159"/>
  <c r="D4159"/>
  <c r="E4147"/>
  <c r="D4147"/>
  <c r="E4135"/>
  <c r="D4135"/>
  <c r="E4123"/>
  <c r="D4123"/>
  <c r="E4111"/>
  <c r="D4111"/>
  <c r="E4099"/>
  <c r="D4099"/>
  <c r="E4087"/>
  <c r="D4087"/>
  <c r="E4075"/>
  <c r="D4075"/>
  <c r="E4063"/>
  <c r="D4063"/>
  <c r="E4051"/>
  <c r="D4051"/>
  <c r="E4039"/>
  <c r="D4039"/>
  <c r="E4027"/>
  <c r="D4027"/>
  <c r="E4015"/>
  <c r="D4015"/>
  <c r="E4003"/>
  <c r="D4003"/>
  <c r="E3991"/>
  <c r="D3991"/>
  <c r="E3979"/>
  <c r="D3979"/>
  <c r="E3967"/>
  <c r="D3967"/>
  <c r="E3955"/>
  <c r="D3955"/>
  <c r="E3943"/>
  <c r="D3943"/>
  <c r="E3931"/>
  <c r="D3931"/>
  <c r="E3919"/>
  <c r="D3919"/>
  <c r="E3907"/>
  <c r="D3907"/>
  <c r="E3895"/>
  <c r="D3895"/>
  <c r="E3883"/>
  <c r="D3883"/>
  <c r="E3871"/>
  <c r="D3871"/>
  <c r="E3859"/>
  <c r="D3859"/>
  <c r="E3847"/>
  <c r="D3847"/>
  <c r="E3835"/>
  <c r="D3835"/>
  <c r="E3823"/>
  <c r="D3823"/>
  <c r="E3811"/>
  <c r="D3811"/>
  <c r="E3799"/>
  <c r="D3799"/>
  <c r="E3787"/>
  <c r="D3787"/>
  <c r="E3775"/>
  <c r="D3775"/>
  <c r="E3763"/>
  <c r="D3763"/>
  <c r="E3751"/>
  <c r="D3751"/>
  <c r="E3739"/>
  <c r="D3739"/>
  <c r="E3727"/>
  <c r="D3727"/>
  <c r="E3715"/>
  <c r="D3715"/>
  <c r="E3703"/>
  <c r="D3703"/>
  <c r="E3691"/>
  <c r="D3691"/>
  <c r="E3679"/>
  <c r="D3679"/>
  <c r="E3667"/>
  <c r="D3667"/>
  <c r="E3655"/>
  <c r="D3655"/>
  <c r="E3643"/>
  <c r="D3643"/>
  <c r="E3631"/>
  <c r="D3631"/>
  <c r="E3619"/>
  <c r="D3619"/>
  <c r="E3607"/>
  <c r="D3607"/>
  <c r="E3595"/>
  <c r="D3595"/>
  <c r="E3583"/>
  <c r="D3583"/>
  <c r="E3571"/>
  <c r="D3571"/>
  <c r="E3559"/>
  <c r="D3559"/>
  <c r="E3547"/>
  <c r="D3547"/>
  <c r="E3535"/>
  <c r="D3535"/>
  <c r="E3523"/>
  <c r="D3523"/>
  <c r="E3511"/>
  <c r="D3511"/>
  <c r="E3499"/>
  <c r="D3499"/>
  <c r="E3487"/>
  <c r="D3487"/>
  <c r="E3475"/>
  <c r="D3475"/>
  <c r="E3463"/>
  <c r="D3463"/>
  <c r="E3451"/>
  <c r="D3451"/>
  <c r="E3439"/>
  <c r="D3439"/>
  <c r="E3427"/>
  <c r="D3427"/>
  <c r="E3415"/>
  <c r="D3415"/>
  <c r="E3403"/>
  <c r="D3403"/>
  <c r="E3391"/>
  <c r="D3391"/>
  <c r="E3379"/>
  <c r="D3379"/>
  <c r="E3367"/>
  <c r="D3367"/>
  <c r="E3355"/>
  <c r="D3355"/>
  <c r="E3343"/>
  <c r="D3343"/>
  <c r="E3331"/>
  <c r="D3331"/>
  <c r="E3319"/>
  <c r="D3319"/>
  <c r="E3307"/>
  <c r="D3307"/>
  <c r="E3295"/>
  <c r="D3295"/>
  <c r="E3283"/>
  <c r="D3283"/>
  <c r="E3271"/>
  <c r="D3271"/>
  <c r="E3259"/>
  <c r="D3259"/>
  <c r="E3247"/>
  <c r="D3247"/>
  <c r="E3235"/>
  <c r="D3235"/>
  <c r="E3223"/>
  <c r="D3223"/>
  <c r="E3211"/>
  <c r="D3211"/>
  <c r="E3199"/>
  <c r="D3199"/>
  <c r="E3187"/>
  <c r="D3187"/>
  <c r="E3175"/>
  <c r="D3175"/>
  <c r="E3163"/>
  <c r="D3163"/>
  <c r="E3151"/>
  <c r="D3151"/>
  <c r="E3139"/>
  <c r="D3139"/>
  <c r="E3127"/>
  <c r="D3127"/>
  <c r="E3115"/>
  <c r="D3115"/>
  <c r="E3103"/>
  <c r="D3103"/>
  <c r="E3091"/>
  <c r="D3091"/>
  <c r="E3079"/>
  <c r="D3079"/>
  <c r="D5229"/>
  <c r="D3637"/>
  <c r="E5984"/>
  <c r="D5984"/>
  <c r="E5972"/>
  <c r="D5972"/>
  <c r="E5960"/>
  <c r="D5960"/>
  <c r="E5948"/>
  <c r="D5948"/>
  <c r="E5936"/>
  <c r="D5936"/>
  <c r="E5924"/>
  <c r="D5924"/>
  <c r="E5912"/>
  <c r="D5912"/>
  <c r="E5900"/>
  <c r="D5900"/>
  <c r="E5888"/>
  <c r="D5888"/>
  <c r="E5876"/>
  <c r="D5876"/>
  <c r="E5864"/>
  <c r="D5864"/>
  <c r="E5852"/>
  <c r="D5852"/>
  <c r="E5840"/>
  <c r="D5840"/>
  <c r="E5828"/>
  <c r="D5828"/>
  <c r="E5816"/>
  <c r="D5816"/>
  <c r="E5804"/>
  <c r="D5804"/>
  <c r="E5792"/>
  <c r="D5792"/>
  <c r="E5780"/>
  <c r="D5780"/>
  <c r="E5768"/>
  <c r="D5768"/>
  <c r="E5756"/>
  <c r="D5756"/>
  <c r="E5744"/>
  <c r="D5744"/>
  <c r="E5732"/>
  <c r="D5732"/>
  <c r="E5720"/>
  <c r="D5720"/>
  <c r="E5708"/>
  <c r="D5708"/>
  <c r="E5696"/>
  <c r="D5696"/>
  <c r="E5684"/>
  <c r="D5684"/>
  <c r="E5672"/>
  <c r="D5672"/>
  <c r="E5660"/>
  <c r="D5660"/>
  <c r="E5648"/>
  <c r="D5648"/>
  <c r="E5636"/>
  <c r="D5636"/>
  <c r="E5624"/>
  <c r="D5624"/>
  <c r="E5612"/>
  <c r="D5612"/>
  <c r="E5600"/>
  <c r="D5600"/>
  <c r="E5588"/>
  <c r="D5588"/>
  <c r="E5576"/>
  <c r="D5576"/>
  <c r="E5564"/>
  <c r="D5564"/>
  <c r="E5552"/>
  <c r="D5552"/>
  <c r="E5540"/>
  <c r="D5540"/>
  <c r="E5528"/>
  <c r="D5528"/>
  <c r="E5516"/>
  <c r="D5516"/>
  <c r="E5504"/>
  <c r="D5504"/>
  <c r="E5492"/>
  <c r="D5492"/>
  <c r="E5480"/>
  <c r="D5480"/>
  <c r="E5468"/>
  <c r="D5468"/>
  <c r="E5456"/>
  <c r="D5456"/>
  <c r="E5444"/>
  <c r="D5444"/>
  <c r="E5432"/>
  <c r="D5432"/>
  <c r="E5420"/>
  <c r="D5420"/>
  <c r="E5408"/>
  <c r="D5408"/>
  <c r="E5396"/>
  <c r="D5396"/>
  <c r="E5384"/>
  <c r="D5384"/>
  <c r="E5372"/>
  <c r="D5372"/>
  <c r="E5360"/>
  <c r="D5360"/>
  <c r="E5348"/>
  <c r="D5348"/>
  <c r="E5336"/>
  <c r="D5336"/>
  <c r="E5324"/>
  <c r="D5324"/>
  <c r="E5312"/>
  <c r="D5312"/>
  <c r="E5300"/>
  <c r="D5300"/>
  <c r="E5288"/>
  <c r="D5288"/>
  <c r="E5276"/>
  <c r="D5276"/>
  <c r="E5264"/>
  <c r="D5264"/>
  <c r="E5252"/>
  <c r="D5252"/>
  <c r="E5240"/>
  <c r="D5240"/>
  <c r="E5228"/>
  <c r="D5228"/>
  <c r="E5216"/>
  <c r="D5216"/>
  <c r="E5204"/>
  <c r="D5204"/>
  <c r="E5192"/>
  <c r="D5192"/>
  <c r="E5180"/>
  <c r="D5180"/>
  <c r="E5168"/>
  <c r="D5168"/>
  <c r="E5156"/>
  <c r="D5156"/>
  <c r="E5144"/>
  <c r="D5144"/>
  <c r="E5132"/>
  <c r="D5132"/>
  <c r="E5120"/>
  <c r="D5120"/>
  <c r="E5108"/>
  <c r="D5108"/>
  <c r="E5096"/>
  <c r="D5096"/>
  <c r="E5084"/>
  <c r="D5084"/>
  <c r="E5072"/>
  <c r="D5072"/>
  <c r="E5060"/>
  <c r="D5060"/>
  <c r="E5048"/>
  <c r="D5048"/>
  <c r="E5036"/>
  <c r="D5036"/>
  <c r="E5024"/>
  <c r="D5024"/>
  <c r="E5012"/>
  <c r="D5012"/>
  <c r="E5000"/>
  <c r="D5000"/>
  <c r="E4988"/>
  <c r="D4988"/>
  <c r="E4976"/>
  <c r="D4976"/>
  <c r="E4964"/>
  <c r="D4964"/>
  <c r="E4952"/>
  <c r="D4952"/>
  <c r="E4940"/>
  <c r="D4940"/>
  <c r="E4928"/>
  <c r="D4928"/>
  <c r="E4916"/>
  <c r="D4916"/>
  <c r="E4904"/>
  <c r="D4904"/>
  <c r="E4892"/>
  <c r="D4892"/>
  <c r="E4880"/>
  <c r="D4880"/>
  <c r="E4868"/>
  <c r="D4868"/>
  <c r="E4856"/>
  <c r="D4856"/>
  <c r="E4844"/>
  <c r="D4844"/>
  <c r="E4832"/>
  <c r="D4832"/>
  <c r="E4820"/>
  <c r="D4820"/>
  <c r="E4808"/>
  <c r="D4808"/>
  <c r="E4796"/>
  <c r="D4796"/>
  <c r="E4784"/>
  <c r="D4784"/>
  <c r="E4772"/>
  <c r="D4772"/>
  <c r="E4760"/>
  <c r="D4760"/>
  <c r="E4748"/>
  <c r="D4748"/>
  <c r="E4736"/>
  <c r="D4736"/>
  <c r="E4724"/>
  <c r="D4724"/>
  <c r="E4712"/>
  <c r="D4712"/>
  <c r="E4700"/>
  <c r="D4700"/>
  <c r="E4688"/>
  <c r="D4688"/>
  <c r="E4676"/>
  <c r="D4676"/>
  <c r="E4664"/>
  <c r="D4664"/>
  <c r="E4652"/>
  <c r="D4652"/>
  <c r="E4640"/>
  <c r="D4640"/>
  <c r="E4628"/>
  <c r="D4628"/>
  <c r="E4616"/>
  <c r="D4616"/>
  <c r="E4604"/>
  <c r="D4604"/>
  <c r="E4580"/>
  <c r="D4580"/>
  <c r="E4568"/>
  <c r="D4568"/>
  <c r="E4556"/>
  <c r="D4556"/>
  <c r="E4544"/>
  <c r="D4544"/>
  <c r="E4532"/>
  <c r="D4532"/>
  <c r="E4520"/>
  <c r="D4520"/>
  <c r="E4508"/>
  <c r="D4508"/>
  <c r="E4496"/>
  <c r="D4496"/>
  <c r="E4484"/>
  <c r="D4484"/>
  <c r="E4472"/>
  <c r="D4472"/>
  <c r="E4460"/>
  <c r="D4460"/>
  <c r="E4448"/>
  <c r="D4448"/>
  <c r="E4436"/>
  <c r="D4436"/>
  <c r="E4424"/>
  <c r="D4424"/>
  <c r="E4412"/>
  <c r="D4412"/>
  <c r="E4400"/>
  <c r="D4400"/>
  <c r="E4388"/>
  <c r="D4388"/>
  <c r="E4376"/>
  <c r="D4376"/>
  <c r="E4364"/>
  <c r="D4364"/>
  <c r="E4352"/>
  <c r="D4352"/>
  <c r="E4340"/>
  <c r="D4340"/>
  <c r="E4328"/>
  <c r="D4328"/>
  <c r="E4316"/>
  <c r="D4316"/>
  <c r="E4304"/>
  <c r="D4304"/>
  <c r="E4292"/>
  <c r="D4292"/>
  <c r="E4280"/>
  <c r="D4280"/>
  <c r="E4268"/>
  <c r="D4268"/>
  <c r="E4256"/>
  <c r="D4256"/>
  <c r="E4244"/>
  <c r="D4244"/>
  <c r="E4232"/>
  <c r="D4232"/>
  <c r="E4220"/>
  <c r="D4220"/>
  <c r="E4208"/>
  <c r="D4208"/>
  <c r="E4196"/>
  <c r="D4196"/>
  <c r="E4184"/>
  <c r="D4184"/>
  <c r="E4172"/>
  <c r="D4172"/>
  <c r="E4160"/>
  <c r="D4160"/>
  <c r="E4148"/>
  <c r="D4148"/>
  <c r="E4136"/>
  <c r="D4136"/>
  <c r="E4124"/>
  <c r="D4124"/>
  <c r="E4112"/>
  <c r="D4112"/>
  <c r="E4100"/>
  <c r="D4100"/>
  <c r="E4088"/>
  <c r="D4088"/>
  <c r="E4076"/>
  <c r="D4076"/>
  <c r="E4064"/>
  <c r="D4064"/>
  <c r="E4052"/>
  <c r="D4052"/>
  <c r="E4040"/>
  <c r="D4040"/>
  <c r="E4028"/>
  <c r="D4028"/>
  <c r="E4016"/>
  <c r="D4016"/>
  <c r="E4004"/>
  <c r="D4004"/>
  <c r="E3992"/>
  <c r="D3992"/>
  <c r="E3980"/>
  <c r="D3980"/>
  <c r="E3968"/>
  <c r="D3968"/>
  <c r="E3956"/>
  <c r="D3956"/>
  <c r="E3944"/>
  <c r="D3944"/>
  <c r="E3932"/>
  <c r="D3932"/>
  <c r="E3920"/>
  <c r="D3920"/>
  <c r="E3908"/>
  <c r="D3908"/>
  <c r="E3896"/>
  <c r="D3896"/>
  <c r="E3884"/>
  <c r="D3884"/>
  <c r="E3872"/>
  <c r="D3872"/>
  <c r="E3860"/>
  <c r="D3860"/>
  <c r="E3848"/>
  <c r="D3848"/>
  <c r="E3836"/>
  <c r="D3836"/>
  <c r="E3824"/>
  <c r="D3824"/>
  <c r="E3812"/>
  <c r="D3812"/>
  <c r="E3800"/>
  <c r="D3800"/>
  <c r="E3788"/>
  <c r="D3788"/>
  <c r="E3776"/>
  <c r="D3776"/>
  <c r="E3764"/>
  <c r="D3764"/>
  <c r="E3752"/>
  <c r="D3752"/>
  <c r="E3740"/>
  <c r="D3740"/>
  <c r="E3728"/>
  <c r="D3728"/>
  <c r="E3716"/>
  <c r="D3716"/>
  <c r="E3704"/>
  <c r="D3704"/>
  <c r="E3692"/>
  <c r="D3692"/>
  <c r="E3680"/>
  <c r="D3680"/>
  <c r="E3668"/>
  <c r="D3668"/>
  <c r="E3656"/>
  <c r="D3656"/>
  <c r="E3644"/>
  <c r="D3644"/>
  <c r="E3632"/>
  <c r="D3632"/>
  <c r="E3620"/>
  <c r="D3620"/>
  <c r="E3608"/>
  <c r="D3608"/>
  <c r="E3596"/>
  <c r="D3596"/>
  <c r="E3584"/>
  <c r="D3584"/>
  <c r="E3572"/>
  <c r="D3572"/>
  <c r="E3560"/>
  <c r="D3560"/>
  <c r="E3548"/>
  <c r="D3548"/>
  <c r="E3536"/>
  <c r="D3536"/>
  <c r="E3524"/>
  <c r="D3524"/>
  <c r="E3512"/>
  <c r="D3512"/>
  <c r="E3500"/>
  <c r="D3500"/>
  <c r="E3488"/>
  <c r="D3488"/>
  <c r="E3476"/>
  <c r="D3476"/>
  <c r="E3464"/>
  <c r="D3464"/>
  <c r="E3452"/>
  <c r="D3452"/>
  <c r="E3440"/>
  <c r="D3440"/>
  <c r="E3428"/>
  <c r="D3428"/>
  <c r="E3416"/>
  <c r="D3416"/>
  <c r="E3404"/>
  <c r="D3404"/>
  <c r="E3392"/>
  <c r="D3392"/>
  <c r="E3380"/>
  <c r="D3380"/>
  <c r="E3368"/>
  <c r="D3368"/>
  <c r="E3356"/>
  <c r="D3356"/>
  <c r="E3344"/>
  <c r="D3344"/>
  <c r="E3332"/>
  <c r="D3332"/>
  <c r="E3320"/>
  <c r="D3320"/>
  <c r="E3308"/>
  <c r="D3308"/>
  <c r="E3296"/>
  <c r="D3296"/>
  <c r="E3284"/>
  <c r="D3284"/>
  <c r="E3272"/>
  <c r="D3272"/>
  <c r="E3260"/>
  <c r="D3260"/>
  <c r="E3248"/>
  <c r="D3248"/>
  <c r="E3236"/>
  <c r="D3236"/>
  <c r="E3224"/>
  <c r="D3224"/>
  <c r="E3212"/>
  <c r="D3212"/>
  <c r="E3200"/>
  <c r="D3200"/>
  <c r="E3188"/>
  <c r="D3188"/>
  <c r="E3176"/>
  <c r="D3176"/>
  <c r="E3164"/>
  <c r="D3164"/>
  <c r="E3152"/>
  <c r="D3152"/>
  <c r="E3140"/>
  <c r="D3140"/>
  <c r="E3128"/>
  <c r="D3128"/>
  <c r="E3116"/>
  <c r="D3116"/>
  <c r="E3104"/>
  <c r="D3104"/>
  <c r="E3092"/>
  <c r="D3092"/>
  <c r="E3080"/>
  <c r="D3080"/>
  <c r="E3068"/>
  <c r="D3068"/>
  <c r="E3056"/>
  <c r="D3056"/>
  <c r="E3044"/>
  <c r="D3044"/>
  <c r="E3032"/>
  <c r="D3032"/>
  <c r="E3020"/>
  <c r="D3020"/>
  <c r="E3008"/>
  <c r="D3008"/>
  <c r="E2996"/>
  <c r="D2996"/>
  <c r="E2984"/>
  <c r="D2984"/>
  <c r="E2972"/>
  <c r="D2972"/>
  <c r="E2960"/>
  <c r="D2960"/>
  <c r="E2948"/>
  <c r="D2948"/>
  <c r="E2936"/>
  <c r="D2936"/>
  <c r="E2924"/>
  <c r="D2924"/>
  <c r="E2912"/>
  <c r="D2912"/>
  <c r="D5301"/>
  <c r="E5781"/>
  <c r="D5781"/>
  <c r="E5769"/>
  <c r="D5769"/>
  <c r="E5757"/>
  <c r="D5757"/>
  <c r="E5745"/>
  <c r="D5745"/>
  <c r="E5721"/>
  <c r="D5721"/>
  <c r="E5709"/>
  <c r="D5709"/>
  <c r="E5697"/>
  <c r="D5697"/>
  <c r="E5685"/>
  <c r="D5685"/>
  <c r="E5673"/>
  <c r="D5673"/>
  <c r="E5649"/>
  <c r="D5649"/>
  <c r="E5637"/>
  <c r="D5637"/>
  <c r="E5625"/>
  <c r="D5625"/>
  <c r="E5613"/>
  <c r="D5613"/>
  <c r="E5601"/>
  <c r="D5601"/>
  <c r="E5577"/>
  <c r="D5577"/>
  <c r="E5565"/>
  <c r="D5565"/>
  <c r="E5553"/>
  <c r="D5553"/>
  <c r="E5541"/>
  <c r="D5541"/>
  <c r="E5529"/>
  <c r="D5529"/>
  <c r="E5505"/>
  <c r="D5505"/>
  <c r="E5493"/>
  <c r="D5493"/>
  <c r="E5481"/>
  <c r="D5481"/>
  <c r="E5469"/>
  <c r="D5469"/>
  <c r="E5457"/>
  <c r="D5457"/>
  <c r="E5433"/>
  <c r="D5433"/>
  <c r="E5421"/>
  <c r="D5421"/>
  <c r="E5409"/>
  <c r="D5409"/>
  <c r="E5397"/>
  <c r="D5397"/>
  <c r="E5385"/>
  <c r="D5385"/>
  <c r="E5361"/>
  <c r="D5361"/>
  <c r="E5349"/>
  <c r="D5349"/>
  <c r="E5337"/>
  <c r="D5337"/>
  <c r="E5325"/>
  <c r="D5325"/>
  <c r="E5313"/>
  <c r="D5313"/>
  <c r="E5289"/>
  <c r="D5289"/>
  <c r="E5277"/>
  <c r="D5277"/>
  <c r="E5265"/>
  <c r="D5265"/>
  <c r="E5253"/>
  <c r="D5253"/>
  <c r="E5241"/>
  <c r="D5241"/>
  <c r="E5217"/>
  <c r="D5217"/>
  <c r="E5205"/>
  <c r="D5205"/>
  <c r="E5193"/>
  <c r="D5193"/>
  <c r="E5181"/>
  <c r="D5181"/>
  <c r="E5169"/>
  <c r="D5169"/>
  <c r="E5145"/>
  <c r="D5145"/>
  <c r="E5133"/>
  <c r="D5133"/>
  <c r="E5121"/>
  <c r="D5121"/>
  <c r="E5109"/>
  <c r="D5109"/>
  <c r="E5097"/>
  <c r="D5097"/>
  <c r="E5073"/>
  <c r="D5073"/>
  <c r="E5061"/>
  <c r="D5061"/>
  <c r="E5049"/>
  <c r="D5049"/>
  <c r="E5037"/>
  <c r="D5037"/>
  <c r="E5025"/>
  <c r="D5025"/>
  <c r="E5001"/>
  <c r="D5001"/>
  <c r="E4989"/>
  <c r="D4989"/>
  <c r="E4977"/>
  <c r="D4977"/>
  <c r="E4965"/>
  <c r="D4965"/>
  <c r="E4953"/>
  <c r="D4953"/>
  <c r="E4929"/>
  <c r="D4929"/>
  <c r="E4917"/>
  <c r="D4917"/>
  <c r="E4905"/>
  <c r="D4905"/>
  <c r="E4893"/>
  <c r="D4893"/>
  <c r="E4881"/>
  <c r="D4881"/>
  <c r="E4857"/>
  <c r="D4857"/>
  <c r="E4845"/>
  <c r="D4845"/>
  <c r="E4833"/>
  <c r="D4833"/>
  <c r="E4821"/>
  <c r="D4821"/>
  <c r="E4809"/>
  <c r="D4809"/>
  <c r="E4785"/>
  <c r="D4785"/>
  <c r="E4773"/>
  <c r="D4773"/>
  <c r="E4761"/>
  <c r="D4761"/>
  <c r="E4749"/>
  <c r="D4749"/>
  <c r="E4737"/>
  <c r="D4737"/>
  <c r="E4725"/>
  <c r="D4725"/>
  <c r="E4713"/>
  <c r="D4713"/>
  <c r="E4701"/>
  <c r="D4701"/>
  <c r="E4689"/>
  <c r="D4689"/>
  <c r="E4677"/>
  <c r="D4677"/>
  <c r="E4665"/>
  <c r="D4665"/>
  <c r="E4653"/>
  <c r="D4653"/>
  <c r="E4641"/>
  <c r="D4641"/>
  <c r="E4629"/>
  <c r="D4629"/>
  <c r="E4617"/>
  <c r="D4617"/>
  <c r="E4605"/>
  <c r="D4605"/>
  <c r="E4593"/>
  <c r="D4593"/>
  <c r="E4581"/>
  <c r="D4581"/>
  <c r="E4569"/>
  <c r="D4569"/>
  <c r="E4557"/>
  <c r="D4557"/>
  <c r="E4545"/>
  <c r="D4545"/>
  <c r="E4533"/>
  <c r="D4533"/>
  <c r="E4521"/>
  <c r="D4521"/>
  <c r="E4509"/>
  <c r="D4509"/>
  <c r="E4497"/>
  <c r="D4497"/>
  <c r="E4485"/>
  <c r="D4485"/>
  <c r="E4473"/>
  <c r="D4473"/>
  <c r="E4461"/>
  <c r="D4461"/>
  <c r="E4449"/>
  <c r="D4449"/>
  <c r="E4437"/>
  <c r="D4437"/>
  <c r="E4413"/>
  <c r="D4413"/>
  <c r="E4401"/>
  <c r="D4401"/>
  <c r="E4389"/>
  <c r="D4389"/>
  <c r="E4377"/>
  <c r="D4377"/>
  <c r="E4365"/>
  <c r="D4365"/>
  <c r="E4353"/>
  <c r="D4353"/>
  <c r="E4341"/>
  <c r="D4341"/>
  <c r="E4329"/>
  <c r="D4329"/>
  <c r="E4317"/>
  <c r="D4317"/>
  <c r="E4305"/>
  <c r="D4305"/>
  <c r="E4293"/>
  <c r="D4293"/>
  <c r="E4281"/>
  <c r="D4281"/>
  <c r="E4269"/>
  <c r="D4269"/>
  <c r="E4257"/>
  <c r="D4257"/>
  <c r="E4245"/>
  <c r="D4245"/>
  <c r="E4233"/>
  <c r="D4233"/>
  <c r="E4221"/>
  <c r="D4221"/>
  <c r="E4197"/>
  <c r="D4197"/>
  <c r="E4185"/>
  <c r="D4185"/>
  <c r="E4173"/>
  <c r="D4173"/>
  <c r="E4161"/>
  <c r="D4161"/>
  <c r="E4149"/>
  <c r="D4149"/>
  <c r="E4137"/>
  <c r="D4137"/>
  <c r="E4125"/>
  <c r="D4125"/>
  <c r="E4113"/>
  <c r="D4113"/>
  <c r="E4101"/>
  <c r="D4101"/>
  <c r="E4089"/>
  <c r="D4089"/>
  <c r="E4077"/>
  <c r="D4077"/>
  <c r="E4065"/>
  <c r="D4065"/>
  <c r="E4053"/>
  <c r="D4053"/>
  <c r="E4041"/>
  <c r="D4041"/>
  <c r="E4029"/>
  <c r="D4029"/>
  <c r="E4017"/>
  <c r="D4017"/>
  <c r="E4005"/>
  <c r="D4005"/>
  <c r="E3993"/>
  <c r="D3993"/>
  <c r="E3981"/>
  <c r="D3981"/>
  <c r="E3969"/>
  <c r="D3969"/>
  <c r="E3957"/>
  <c r="D3957"/>
  <c r="E3945"/>
  <c r="D3945"/>
  <c r="E3933"/>
  <c r="D3933"/>
  <c r="E3921"/>
  <c r="D3921"/>
  <c r="E3909"/>
  <c r="D3909"/>
  <c r="E3897"/>
  <c r="D3897"/>
  <c r="E3885"/>
  <c r="D3885"/>
  <c r="E3873"/>
  <c r="D3873"/>
  <c r="E3861"/>
  <c r="D3861"/>
  <c r="E3849"/>
  <c r="D3849"/>
  <c r="E3837"/>
  <c r="D3837"/>
  <c r="E3825"/>
  <c r="D3825"/>
  <c r="E3813"/>
  <c r="D3813"/>
  <c r="E3801"/>
  <c r="D3801"/>
  <c r="E3789"/>
  <c r="D3789"/>
  <c r="E3777"/>
  <c r="D3777"/>
  <c r="E3765"/>
  <c r="D3765"/>
  <c r="E3753"/>
  <c r="D3753"/>
  <c r="E3741"/>
  <c r="D3741"/>
  <c r="E3729"/>
  <c r="D3729"/>
  <c r="E3717"/>
  <c r="D3717"/>
  <c r="E3705"/>
  <c r="D3705"/>
  <c r="E3693"/>
  <c r="D3693"/>
  <c r="E3681"/>
  <c r="D3681"/>
  <c r="E3669"/>
  <c r="D3669"/>
  <c r="E3657"/>
  <c r="D3657"/>
  <c r="E3645"/>
  <c r="D3645"/>
  <c r="E3633"/>
  <c r="D3633"/>
  <c r="E3621"/>
  <c r="D3621"/>
  <c r="E3609"/>
  <c r="D3609"/>
  <c r="E3597"/>
  <c r="D3597"/>
  <c r="E3585"/>
  <c r="D3585"/>
  <c r="E3573"/>
  <c r="D3573"/>
  <c r="E3561"/>
  <c r="D3561"/>
  <c r="E3549"/>
  <c r="D3549"/>
  <c r="E3537"/>
  <c r="D3537"/>
  <c r="E3525"/>
  <c r="D3525"/>
  <c r="E3513"/>
  <c r="D3513"/>
  <c r="E3501"/>
  <c r="D3501"/>
  <c r="E3489"/>
  <c r="D3489"/>
  <c r="E3477"/>
  <c r="D3477"/>
  <c r="E3465"/>
  <c r="D3465"/>
  <c r="E3453"/>
  <c r="D3453"/>
  <c r="E3441"/>
  <c r="D3441"/>
  <c r="E3429"/>
  <c r="D3429"/>
  <c r="E3417"/>
  <c r="D3417"/>
  <c r="E3405"/>
  <c r="D3405"/>
  <c r="E3393"/>
  <c r="D3393"/>
  <c r="E3381"/>
  <c r="D3381"/>
  <c r="E3369"/>
  <c r="D3369"/>
  <c r="E3357"/>
  <c r="D3357"/>
  <c r="E3345"/>
  <c r="D3345"/>
  <c r="E3333"/>
  <c r="D3333"/>
  <c r="E3321"/>
  <c r="D3321"/>
  <c r="E3309"/>
  <c r="D3309"/>
  <c r="E3297"/>
  <c r="D3297"/>
  <c r="E3285"/>
  <c r="D3285"/>
  <c r="E3273"/>
  <c r="D3273"/>
  <c r="E3261"/>
  <c r="D3261"/>
  <c r="E3249"/>
  <c r="D3249"/>
  <c r="E3237"/>
  <c r="D3237"/>
  <c r="E3225"/>
  <c r="D3225"/>
  <c r="E3213"/>
  <c r="D3213"/>
  <c r="E3201"/>
  <c r="D3201"/>
  <c r="E3189"/>
  <c r="D3189"/>
  <c r="E3177"/>
  <c r="D3177"/>
  <c r="E3165"/>
  <c r="D3165"/>
  <c r="E3153"/>
  <c r="D3153"/>
  <c r="E3141"/>
  <c r="D3141"/>
  <c r="E3129"/>
  <c r="D3129"/>
  <c r="E3117"/>
  <c r="D3117"/>
  <c r="E3105"/>
  <c r="D3105"/>
  <c r="E3093"/>
  <c r="D3093"/>
  <c r="E3081"/>
  <c r="D3081"/>
  <c r="E3069"/>
  <c r="D3069"/>
  <c r="E3057"/>
  <c r="D3057"/>
  <c r="E3045"/>
  <c r="D3045"/>
  <c r="E3033"/>
  <c r="D3033"/>
  <c r="E3021"/>
  <c r="D3021"/>
  <c r="E3009"/>
  <c r="D3009"/>
  <c r="E2997"/>
  <c r="D2997"/>
  <c r="E2985"/>
  <c r="D2985"/>
  <c r="E2973"/>
  <c r="D2973"/>
  <c r="E2961"/>
  <c r="D2961"/>
  <c r="E2949"/>
  <c r="D2949"/>
  <c r="D5373"/>
  <c r="D4209"/>
  <c r="E6070"/>
  <c r="D6070"/>
  <c r="E6058"/>
  <c r="D6058"/>
  <c r="E6046"/>
  <c r="D6046"/>
  <c r="E6034"/>
  <c r="D6034"/>
  <c r="E6022"/>
  <c r="D6022"/>
  <c r="E6010"/>
  <c r="D6010"/>
  <c r="E5998"/>
  <c r="D5998"/>
  <c r="E5986"/>
  <c r="D5986"/>
  <c r="E5974"/>
  <c r="D5974"/>
  <c r="E5962"/>
  <c r="D5962"/>
  <c r="E5950"/>
  <c r="D5950"/>
  <c r="E5938"/>
  <c r="D5938"/>
  <c r="E5926"/>
  <c r="D5926"/>
  <c r="E5914"/>
  <c r="D5914"/>
  <c r="E5902"/>
  <c r="D5902"/>
  <c r="E5890"/>
  <c r="D5890"/>
  <c r="E5878"/>
  <c r="D5878"/>
  <c r="E5866"/>
  <c r="D5866"/>
  <c r="E5854"/>
  <c r="D5854"/>
  <c r="E5842"/>
  <c r="D5842"/>
  <c r="E5830"/>
  <c r="D5830"/>
  <c r="E5818"/>
  <c r="D5818"/>
  <c r="E5806"/>
  <c r="D5806"/>
  <c r="E5794"/>
  <c r="D5794"/>
  <c r="E5782"/>
  <c r="D5782"/>
  <c r="E5770"/>
  <c r="D5770"/>
  <c r="E5758"/>
  <c r="D5758"/>
  <c r="E5746"/>
  <c r="D5746"/>
  <c r="E5734"/>
  <c r="D5734"/>
  <c r="E5722"/>
  <c r="D5722"/>
  <c r="E5710"/>
  <c r="D5710"/>
  <c r="E5698"/>
  <c r="D5698"/>
  <c r="E5686"/>
  <c r="D5686"/>
  <c r="E5674"/>
  <c r="D5674"/>
  <c r="E5662"/>
  <c r="D5662"/>
  <c r="E5650"/>
  <c r="D5650"/>
  <c r="E5638"/>
  <c r="D5638"/>
  <c r="E5626"/>
  <c r="D5626"/>
  <c r="E5614"/>
  <c r="D5614"/>
  <c r="E5602"/>
  <c r="D5602"/>
  <c r="E5590"/>
  <c r="D5590"/>
  <c r="E5578"/>
  <c r="D5578"/>
  <c r="E5566"/>
  <c r="D5566"/>
  <c r="E5554"/>
  <c r="D5554"/>
  <c r="E5542"/>
  <c r="D5542"/>
  <c r="E5530"/>
  <c r="D5530"/>
  <c r="E5518"/>
  <c r="D5518"/>
  <c r="E5506"/>
  <c r="D5506"/>
  <c r="E5494"/>
  <c r="D5494"/>
  <c r="E5482"/>
  <c r="D5482"/>
  <c r="E5470"/>
  <c r="D5470"/>
  <c r="E5458"/>
  <c r="D5458"/>
  <c r="E5446"/>
  <c r="D5446"/>
  <c r="E5434"/>
  <c r="D5434"/>
  <c r="E5422"/>
  <c r="D5422"/>
  <c r="E5410"/>
  <c r="D5410"/>
  <c r="E5398"/>
  <c r="D5398"/>
  <c r="E5386"/>
  <c r="D5386"/>
  <c r="E5374"/>
  <c r="D5374"/>
  <c r="E5362"/>
  <c r="D5362"/>
  <c r="E5350"/>
  <c r="D5350"/>
  <c r="E5338"/>
  <c r="D5338"/>
  <c r="E5326"/>
  <c r="D5326"/>
  <c r="E5314"/>
  <c r="D5314"/>
  <c r="E5302"/>
  <c r="D5302"/>
  <c r="E5290"/>
  <c r="D5290"/>
  <c r="E5278"/>
  <c r="D5278"/>
  <c r="E5266"/>
  <c r="D5266"/>
  <c r="E5254"/>
  <c r="D5254"/>
  <c r="E5242"/>
  <c r="D5242"/>
  <c r="E5230"/>
  <c r="D5230"/>
  <c r="E5218"/>
  <c r="D5218"/>
  <c r="E5206"/>
  <c r="D5206"/>
  <c r="E5194"/>
  <c r="D5194"/>
  <c r="E5182"/>
  <c r="D5182"/>
  <c r="E5170"/>
  <c r="D5170"/>
  <c r="E5158"/>
  <c r="D5158"/>
  <c r="E5146"/>
  <c r="D5146"/>
  <c r="E5134"/>
  <c r="D5134"/>
  <c r="E5122"/>
  <c r="D5122"/>
  <c r="E5110"/>
  <c r="D5110"/>
  <c r="E5098"/>
  <c r="D5098"/>
  <c r="E5086"/>
  <c r="D5086"/>
  <c r="E5074"/>
  <c r="D5074"/>
  <c r="E5062"/>
  <c r="D5062"/>
  <c r="E5050"/>
  <c r="D5050"/>
  <c r="E5038"/>
  <c r="D5038"/>
  <c r="E5026"/>
  <c r="D5026"/>
  <c r="E5014"/>
  <c r="D5014"/>
  <c r="E5002"/>
  <c r="D5002"/>
  <c r="E4990"/>
  <c r="D4990"/>
  <c r="E4978"/>
  <c r="D4978"/>
  <c r="E4966"/>
  <c r="D4966"/>
  <c r="E4954"/>
  <c r="D4954"/>
  <c r="E4942"/>
  <c r="D4942"/>
  <c r="E4930"/>
  <c r="D4930"/>
  <c r="E4918"/>
  <c r="D4918"/>
  <c r="E4906"/>
  <c r="D4906"/>
  <c r="E4894"/>
  <c r="D4894"/>
  <c r="E4882"/>
  <c r="D4882"/>
  <c r="E4870"/>
  <c r="D4870"/>
  <c r="E4858"/>
  <c r="D4858"/>
  <c r="E4846"/>
  <c r="D4846"/>
  <c r="E4834"/>
  <c r="D4834"/>
  <c r="E4822"/>
  <c r="D4822"/>
  <c r="E4810"/>
  <c r="D4810"/>
  <c r="E4798"/>
  <c r="D4798"/>
  <c r="E4786"/>
  <c r="D4786"/>
  <c r="E4774"/>
  <c r="D4774"/>
  <c r="E4762"/>
  <c r="D4762"/>
  <c r="E4750"/>
  <c r="D4750"/>
  <c r="E4738"/>
  <c r="D4738"/>
  <c r="E4726"/>
  <c r="D4726"/>
  <c r="E4714"/>
  <c r="D4714"/>
  <c r="E4702"/>
  <c r="D4702"/>
  <c r="E4690"/>
  <c r="D4690"/>
  <c r="E4678"/>
  <c r="D4678"/>
  <c r="E4666"/>
  <c r="D4666"/>
  <c r="E4654"/>
  <c r="D4654"/>
  <c r="E4642"/>
  <c r="D4642"/>
  <c r="E4630"/>
  <c r="D4630"/>
  <c r="E4618"/>
  <c r="D4618"/>
  <c r="E4606"/>
  <c r="D4606"/>
  <c r="E4594"/>
  <c r="D4594"/>
  <c r="E4582"/>
  <c r="D4582"/>
  <c r="E4570"/>
  <c r="D4570"/>
  <c r="E4558"/>
  <c r="D4558"/>
  <c r="E4546"/>
  <c r="D4546"/>
  <c r="E4534"/>
  <c r="D4534"/>
  <c r="E4522"/>
  <c r="D4522"/>
  <c r="E4510"/>
  <c r="D4510"/>
  <c r="E4498"/>
  <c r="D4498"/>
  <c r="E4486"/>
  <c r="D4486"/>
  <c r="E4474"/>
  <c r="D4474"/>
  <c r="E4462"/>
  <c r="D4462"/>
  <c r="E4450"/>
  <c r="D4450"/>
  <c r="E4438"/>
  <c r="D4438"/>
  <c r="E4426"/>
  <c r="D4426"/>
  <c r="E4414"/>
  <c r="D4414"/>
  <c r="E4402"/>
  <c r="D4402"/>
  <c r="E4390"/>
  <c r="D4390"/>
  <c r="E4378"/>
  <c r="D4378"/>
  <c r="E4366"/>
  <c r="D4366"/>
  <c r="E4354"/>
  <c r="D4354"/>
  <c r="E4342"/>
  <c r="D4342"/>
  <c r="E4330"/>
  <c r="D4330"/>
  <c r="E4318"/>
  <c r="D4318"/>
  <c r="E4306"/>
  <c r="D4306"/>
  <c r="E4294"/>
  <c r="D4294"/>
  <c r="E4282"/>
  <c r="D4282"/>
  <c r="E4270"/>
  <c r="D4270"/>
  <c r="E4258"/>
  <c r="D4258"/>
  <c r="E4246"/>
  <c r="D4246"/>
  <c r="E4234"/>
  <c r="D4234"/>
  <c r="E4222"/>
  <c r="D4222"/>
  <c r="E4210"/>
  <c r="D4210"/>
  <c r="E4198"/>
  <c r="D4198"/>
  <c r="E4186"/>
  <c r="D4186"/>
  <c r="E4174"/>
  <c r="D4174"/>
  <c r="E4162"/>
  <c r="D4162"/>
  <c r="E4150"/>
  <c r="D4150"/>
  <c r="E4138"/>
  <c r="D4138"/>
  <c r="E4126"/>
  <c r="D4126"/>
  <c r="E4114"/>
  <c r="D4114"/>
  <c r="E4102"/>
  <c r="D4102"/>
  <c r="E4090"/>
  <c r="D4090"/>
  <c r="E4078"/>
  <c r="D4078"/>
  <c r="E4066"/>
  <c r="D4066"/>
  <c r="E4054"/>
  <c r="D4054"/>
  <c r="E4042"/>
  <c r="D4042"/>
  <c r="E4030"/>
  <c r="D4030"/>
  <c r="E4018"/>
  <c r="D4018"/>
  <c r="E4006"/>
  <c r="D4006"/>
  <c r="E3994"/>
  <c r="D3994"/>
  <c r="E3982"/>
  <c r="D3982"/>
  <c r="E3970"/>
  <c r="D3970"/>
  <c r="E3958"/>
  <c r="D3958"/>
  <c r="E3946"/>
  <c r="D3946"/>
  <c r="E3934"/>
  <c r="D3934"/>
  <c r="E3922"/>
  <c r="D3922"/>
  <c r="E3910"/>
  <c r="D3910"/>
  <c r="E3898"/>
  <c r="D3898"/>
  <c r="E3886"/>
  <c r="D3886"/>
  <c r="E3874"/>
  <c r="D3874"/>
  <c r="E3862"/>
  <c r="D3862"/>
  <c r="E3850"/>
  <c r="D3850"/>
  <c r="E3838"/>
  <c r="D3838"/>
  <c r="E3826"/>
  <c r="D3826"/>
  <c r="E3814"/>
  <c r="D3814"/>
  <c r="E3802"/>
  <c r="D3802"/>
  <c r="E3790"/>
  <c r="D3790"/>
  <c r="E3778"/>
  <c r="D3778"/>
  <c r="E3766"/>
  <c r="D3766"/>
  <c r="E3754"/>
  <c r="D3754"/>
  <c r="E3742"/>
  <c r="D3742"/>
  <c r="E3730"/>
  <c r="D3730"/>
  <c r="E3718"/>
  <c r="D3718"/>
  <c r="E3706"/>
  <c r="D3706"/>
  <c r="E3694"/>
  <c r="D3694"/>
  <c r="E3682"/>
  <c r="D3682"/>
  <c r="E3670"/>
  <c r="D3670"/>
  <c r="E3658"/>
  <c r="D3658"/>
  <c r="E3646"/>
  <c r="D3646"/>
  <c r="E3634"/>
  <c r="D3634"/>
  <c r="E3622"/>
  <c r="D3622"/>
  <c r="E3610"/>
  <c r="D3610"/>
  <c r="E3598"/>
  <c r="D3598"/>
  <c r="E3586"/>
  <c r="D3586"/>
  <c r="E3574"/>
  <c r="D3574"/>
  <c r="E3562"/>
  <c r="D3562"/>
  <c r="E3550"/>
  <c r="D3550"/>
  <c r="E3538"/>
  <c r="D3538"/>
  <c r="E3526"/>
  <c r="D3526"/>
  <c r="E3514"/>
  <c r="D3514"/>
  <c r="E3502"/>
  <c r="D3502"/>
  <c r="E3490"/>
  <c r="D3490"/>
  <c r="E3478"/>
  <c r="D3478"/>
  <c r="E3466"/>
  <c r="D3466"/>
  <c r="E3454"/>
  <c r="D3454"/>
  <c r="E3442"/>
  <c r="D3442"/>
  <c r="E3430"/>
  <c r="D3430"/>
  <c r="E3418"/>
  <c r="D3418"/>
  <c r="E3406"/>
  <c r="D3406"/>
  <c r="E3394"/>
  <c r="D3394"/>
  <c r="E3382"/>
  <c r="D3382"/>
  <c r="E3370"/>
  <c r="D3370"/>
  <c r="E3358"/>
  <c r="D3358"/>
  <c r="E3346"/>
  <c r="D3346"/>
  <c r="E3334"/>
  <c r="D3334"/>
  <c r="E3322"/>
  <c r="D3322"/>
  <c r="E3310"/>
  <c r="D3310"/>
  <c r="E3298"/>
  <c r="D3298"/>
  <c r="E3286"/>
  <c r="D3286"/>
  <c r="E3274"/>
  <c r="D3274"/>
  <c r="E3262"/>
  <c r="D3262"/>
  <c r="E3250"/>
  <c r="D3250"/>
  <c r="E3238"/>
  <c r="D3238"/>
  <c r="E3226"/>
  <c r="D3226"/>
  <c r="E3214"/>
  <c r="D3214"/>
  <c r="E3202"/>
  <c r="D3202"/>
  <c r="E3190"/>
  <c r="D3190"/>
  <c r="E3178"/>
  <c r="D3178"/>
  <c r="E3166"/>
  <c r="D3166"/>
  <c r="E3154"/>
  <c r="D3154"/>
  <c r="E3142"/>
  <c r="D3142"/>
  <c r="E3130"/>
  <c r="D3130"/>
  <c r="E3118"/>
  <c r="D3118"/>
  <c r="E3106"/>
  <c r="D3106"/>
  <c r="E3094"/>
  <c r="D3094"/>
  <c r="E3082"/>
  <c r="D3082"/>
  <c r="E3070"/>
  <c r="D3070"/>
  <c r="E3058"/>
  <c r="D3058"/>
  <c r="E3046"/>
  <c r="D3046"/>
  <c r="E3034"/>
  <c r="D3034"/>
  <c r="E3022"/>
  <c r="D3022"/>
  <c r="E3010"/>
  <c r="D3010"/>
  <c r="D5445"/>
  <c r="D4425"/>
  <c r="E5663"/>
  <c r="D5663"/>
  <c r="E5651"/>
  <c r="D5651"/>
  <c r="E5639"/>
  <c r="D5639"/>
  <c r="E5627"/>
  <c r="D5627"/>
  <c r="E5615"/>
  <c r="D5615"/>
  <c r="E5603"/>
  <c r="D5603"/>
  <c r="E5591"/>
  <c r="D5591"/>
  <c r="E5579"/>
  <c r="D5579"/>
  <c r="E5567"/>
  <c r="D5567"/>
  <c r="E5555"/>
  <c r="D5555"/>
  <c r="E5543"/>
  <c r="D5543"/>
  <c r="E5531"/>
  <c r="D5531"/>
  <c r="E5519"/>
  <c r="D5519"/>
  <c r="E5507"/>
  <c r="D5507"/>
  <c r="E5495"/>
  <c r="D5495"/>
  <c r="E5483"/>
  <c r="D5483"/>
  <c r="E5471"/>
  <c r="D5471"/>
  <c r="E5459"/>
  <c r="D5459"/>
  <c r="E5447"/>
  <c r="D5447"/>
  <c r="E5435"/>
  <c r="D5435"/>
  <c r="E5423"/>
  <c r="D5423"/>
  <c r="E5411"/>
  <c r="D5411"/>
  <c r="E5399"/>
  <c r="D5399"/>
  <c r="E5387"/>
  <c r="D5387"/>
  <c r="E5375"/>
  <c r="D5375"/>
  <c r="E5363"/>
  <c r="D5363"/>
  <c r="E5351"/>
  <c r="D5351"/>
  <c r="E5339"/>
  <c r="D5339"/>
  <c r="E5327"/>
  <c r="D5327"/>
  <c r="E5315"/>
  <c r="D5315"/>
  <c r="E5303"/>
  <c r="D5303"/>
  <c r="E5291"/>
  <c r="D5291"/>
  <c r="E5279"/>
  <c r="D5279"/>
  <c r="E5267"/>
  <c r="D5267"/>
  <c r="E5255"/>
  <c r="D5255"/>
  <c r="E5243"/>
  <c r="D5243"/>
  <c r="E5231"/>
  <c r="D5231"/>
  <c r="E5219"/>
  <c r="D5219"/>
  <c r="E5207"/>
  <c r="D5207"/>
  <c r="E5195"/>
  <c r="D5195"/>
  <c r="E5183"/>
  <c r="D5183"/>
  <c r="E5171"/>
  <c r="D5171"/>
  <c r="E5159"/>
  <c r="D5159"/>
  <c r="E5147"/>
  <c r="D5147"/>
  <c r="E5135"/>
  <c r="D5135"/>
  <c r="E5123"/>
  <c r="D5123"/>
  <c r="E5111"/>
  <c r="D5111"/>
  <c r="E5099"/>
  <c r="D5099"/>
  <c r="E5087"/>
  <c r="D5087"/>
  <c r="E5075"/>
  <c r="D5075"/>
  <c r="E5063"/>
  <c r="D5063"/>
  <c r="E5051"/>
  <c r="D5051"/>
  <c r="E5039"/>
  <c r="D5039"/>
  <c r="E5027"/>
  <c r="D5027"/>
  <c r="E5015"/>
  <c r="D5015"/>
  <c r="E5003"/>
  <c r="D5003"/>
  <c r="E4991"/>
  <c r="D4991"/>
  <c r="E4979"/>
  <c r="D4979"/>
  <c r="E4967"/>
  <c r="D4967"/>
  <c r="E4955"/>
  <c r="D4955"/>
  <c r="E4943"/>
  <c r="D4943"/>
  <c r="E4931"/>
  <c r="D4931"/>
  <c r="E4919"/>
  <c r="D4919"/>
  <c r="E4907"/>
  <c r="D4907"/>
  <c r="E4895"/>
  <c r="D4895"/>
  <c r="E4883"/>
  <c r="D4883"/>
  <c r="E4871"/>
  <c r="D4871"/>
  <c r="E4859"/>
  <c r="D4859"/>
  <c r="E4847"/>
  <c r="D4847"/>
  <c r="E4835"/>
  <c r="D4835"/>
  <c r="E4823"/>
  <c r="D4823"/>
  <c r="E4811"/>
  <c r="D4811"/>
  <c r="E4799"/>
  <c r="D4799"/>
  <c r="E4787"/>
  <c r="D4787"/>
  <c r="E4775"/>
  <c r="D4775"/>
  <c r="E4763"/>
  <c r="D4763"/>
  <c r="E4751"/>
  <c r="D4751"/>
  <c r="E4739"/>
  <c r="D4739"/>
  <c r="E4727"/>
  <c r="D4727"/>
  <c r="E4715"/>
  <c r="D4715"/>
  <c r="E4703"/>
  <c r="D4703"/>
  <c r="E4691"/>
  <c r="D4691"/>
  <c r="E4679"/>
  <c r="D4679"/>
  <c r="E4667"/>
  <c r="D4667"/>
  <c r="E4655"/>
  <c r="D4655"/>
  <c r="E4643"/>
  <c r="D4643"/>
  <c r="E4631"/>
  <c r="D4631"/>
  <c r="E4619"/>
  <c r="D4619"/>
  <c r="E4607"/>
  <c r="D4607"/>
  <c r="E4595"/>
  <c r="D4595"/>
  <c r="E4583"/>
  <c r="D4583"/>
  <c r="E4571"/>
  <c r="D4571"/>
  <c r="E4559"/>
  <c r="D4559"/>
  <c r="E4547"/>
  <c r="D4547"/>
  <c r="E4535"/>
  <c r="D4535"/>
  <c r="E4523"/>
  <c r="D4523"/>
  <c r="E4511"/>
  <c r="D4511"/>
  <c r="E4499"/>
  <c r="D4499"/>
  <c r="E4487"/>
  <c r="D4487"/>
  <c r="E4475"/>
  <c r="D4475"/>
  <c r="E4463"/>
  <c r="D4463"/>
  <c r="E4451"/>
  <c r="D4451"/>
  <c r="E4439"/>
  <c r="D4439"/>
  <c r="E4427"/>
  <c r="D4427"/>
  <c r="E4415"/>
  <c r="D4415"/>
  <c r="E4403"/>
  <c r="D4403"/>
  <c r="E4391"/>
  <c r="D4391"/>
  <c r="E4379"/>
  <c r="D4379"/>
  <c r="E4367"/>
  <c r="D4367"/>
  <c r="E4355"/>
  <c r="D4355"/>
  <c r="E4343"/>
  <c r="D4343"/>
  <c r="E4331"/>
  <c r="D4331"/>
  <c r="E4319"/>
  <c r="D4319"/>
  <c r="E4307"/>
  <c r="D4307"/>
  <c r="E4295"/>
  <c r="D4295"/>
  <c r="E4283"/>
  <c r="D4283"/>
  <c r="E4271"/>
  <c r="D4271"/>
  <c r="E4259"/>
  <c r="D4259"/>
  <c r="E4247"/>
  <c r="D4247"/>
  <c r="E4235"/>
  <c r="D4235"/>
  <c r="E4223"/>
  <c r="D4223"/>
  <c r="E4211"/>
  <c r="D4211"/>
  <c r="E4199"/>
  <c r="D4199"/>
  <c r="E4187"/>
  <c r="D4187"/>
  <c r="E4175"/>
  <c r="D4175"/>
  <c r="E4163"/>
  <c r="D4163"/>
  <c r="E4151"/>
  <c r="D4151"/>
  <c r="E4139"/>
  <c r="D4139"/>
  <c r="E4127"/>
  <c r="D4127"/>
  <c r="E4115"/>
  <c r="D4115"/>
  <c r="E4103"/>
  <c r="D4103"/>
  <c r="E4091"/>
  <c r="D4091"/>
  <c r="E4079"/>
  <c r="D4079"/>
  <c r="E4067"/>
  <c r="D4067"/>
  <c r="E4055"/>
  <c r="D4055"/>
  <c r="E4043"/>
  <c r="D4043"/>
  <c r="E4031"/>
  <c r="D4031"/>
  <c r="E4019"/>
  <c r="D4019"/>
  <c r="E4007"/>
  <c r="D4007"/>
  <c r="E3995"/>
  <c r="D3995"/>
  <c r="E3983"/>
  <c r="D3983"/>
  <c r="E3971"/>
  <c r="D3971"/>
  <c r="E3959"/>
  <c r="D3959"/>
  <c r="E3947"/>
  <c r="D3947"/>
  <c r="E3935"/>
  <c r="D3935"/>
  <c r="E3923"/>
  <c r="D3923"/>
  <c r="E3911"/>
  <c r="D3911"/>
  <c r="E3899"/>
  <c r="D3899"/>
  <c r="E3887"/>
  <c r="D3887"/>
  <c r="E3875"/>
  <c r="D3875"/>
  <c r="E3863"/>
  <c r="D3863"/>
  <c r="E3851"/>
  <c r="D3851"/>
  <c r="E3839"/>
  <c r="D3839"/>
  <c r="E3827"/>
  <c r="D3827"/>
  <c r="E3815"/>
  <c r="D3815"/>
  <c r="E3803"/>
  <c r="D3803"/>
  <c r="E3791"/>
  <c r="D3791"/>
  <c r="E3779"/>
  <c r="D3779"/>
  <c r="E3767"/>
  <c r="D3767"/>
  <c r="E3755"/>
  <c r="D3755"/>
  <c r="E3743"/>
  <c r="D3743"/>
  <c r="E3731"/>
  <c r="D3731"/>
  <c r="E3719"/>
  <c r="D3719"/>
  <c r="E3707"/>
  <c r="D3707"/>
  <c r="E3695"/>
  <c r="D3695"/>
  <c r="E3683"/>
  <c r="D3683"/>
  <c r="E3671"/>
  <c r="D3671"/>
  <c r="E3659"/>
  <c r="D3659"/>
  <c r="E3647"/>
  <c r="D3647"/>
  <c r="E3635"/>
  <c r="D3635"/>
  <c r="E3623"/>
  <c r="D3623"/>
  <c r="E3611"/>
  <c r="D3611"/>
  <c r="E3599"/>
  <c r="D3599"/>
  <c r="E3587"/>
  <c r="D3587"/>
  <c r="E3575"/>
  <c r="D3575"/>
  <c r="E3563"/>
  <c r="D3563"/>
  <c r="E3551"/>
  <c r="D3551"/>
  <c r="E3539"/>
  <c r="D3539"/>
  <c r="E3527"/>
  <c r="D3527"/>
  <c r="E3515"/>
  <c r="D3515"/>
  <c r="E3503"/>
  <c r="D3503"/>
  <c r="E3491"/>
  <c r="D3491"/>
  <c r="E3479"/>
  <c r="D3479"/>
  <c r="E3467"/>
  <c r="D3467"/>
  <c r="E3455"/>
  <c r="D3455"/>
  <c r="E3443"/>
  <c r="D3443"/>
  <c r="E3431"/>
  <c r="D3431"/>
  <c r="E3419"/>
  <c r="D3419"/>
  <c r="E3407"/>
  <c r="D3407"/>
  <c r="E3395"/>
  <c r="D3395"/>
  <c r="E3383"/>
  <c r="D3383"/>
  <c r="E3371"/>
  <c r="D3371"/>
  <c r="E3359"/>
  <c r="D3359"/>
  <c r="E3347"/>
  <c r="D3347"/>
  <c r="E3335"/>
  <c r="D3335"/>
  <c r="E3323"/>
  <c r="D3323"/>
  <c r="E3311"/>
  <c r="D3311"/>
  <c r="E3299"/>
  <c r="D3299"/>
  <c r="E3287"/>
  <c r="D3287"/>
  <c r="E3275"/>
  <c r="D3275"/>
  <c r="E3263"/>
  <c r="D3263"/>
  <c r="E3251"/>
  <c r="D3251"/>
  <c r="E3239"/>
  <c r="D3239"/>
  <c r="E3227"/>
  <c r="D3227"/>
  <c r="E3215"/>
  <c r="D3215"/>
  <c r="E3203"/>
  <c r="D3203"/>
  <c r="E3191"/>
  <c r="D3191"/>
  <c r="E3179"/>
  <c r="D3179"/>
  <c r="E3167"/>
  <c r="D3167"/>
  <c r="E3155"/>
  <c r="D3155"/>
  <c r="E3143"/>
  <c r="D3143"/>
  <c r="E3131"/>
  <c r="D3131"/>
  <c r="E3119"/>
  <c r="D3119"/>
  <c r="E3107"/>
  <c r="D3107"/>
  <c r="E3095"/>
  <c r="D3095"/>
  <c r="E3083"/>
  <c r="D3083"/>
  <c r="E3071"/>
  <c r="D3071"/>
  <c r="E3059"/>
  <c r="D3059"/>
  <c r="E3047"/>
  <c r="D3047"/>
  <c r="E3035"/>
  <c r="D3035"/>
  <c r="E3023"/>
  <c r="D3023"/>
  <c r="E3011"/>
  <c r="D3011"/>
  <c r="E2999"/>
  <c r="D2999"/>
  <c r="E2987"/>
  <c r="D2987"/>
  <c r="E2975"/>
  <c r="D2975"/>
  <c r="E2963"/>
  <c r="D2963"/>
  <c r="E2951"/>
  <c r="D2951"/>
  <c r="D5517"/>
  <c r="D4592"/>
  <c r="E5988"/>
  <c r="D5988"/>
  <c r="E5976"/>
  <c r="D5976"/>
  <c r="E5964"/>
  <c r="D5964"/>
  <c r="E5952"/>
  <c r="D5952"/>
  <c r="E5940"/>
  <c r="D5940"/>
  <c r="E5928"/>
  <c r="D5928"/>
  <c r="E5916"/>
  <c r="D5916"/>
  <c r="E5904"/>
  <c r="D5904"/>
  <c r="E5892"/>
  <c r="D5892"/>
  <c r="E5880"/>
  <c r="D5880"/>
  <c r="E5868"/>
  <c r="D5868"/>
  <c r="E5856"/>
  <c r="D5856"/>
  <c r="E5844"/>
  <c r="D5844"/>
  <c r="E5832"/>
  <c r="D5832"/>
  <c r="E5820"/>
  <c r="D5820"/>
  <c r="E5808"/>
  <c r="D5808"/>
  <c r="E5796"/>
  <c r="D5796"/>
  <c r="E5784"/>
  <c r="D5784"/>
  <c r="E5772"/>
  <c r="D5772"/>
  <c r="E5760"/>
  <c r="D5760"/>
  <c r="E5748"/>
  <c r="D5748"/>
  <c r="E5736"/>
  <c r="D5736"/>
  <c r="E5724"/>
  <c r="D5724"/>
  <c r="E5712"/>
  <c r="D5712"/>
  <c r="E5700"/>
  <c r="D5700"/>
  <c r="E5688"/>
  <c r="D5688"/>
  <c r="E5676"/>
  <c r="D5676"/>
  <c r="E5664"/>
  <c r="D5664"/>
  <c r="E5652"/>
  <c r="D5652"/>
  <c r="E5640"/>
  <c r="D5640"/>
  <c r="E5628"/>
  <c r="D5628"/>
  <c r="E5616"/>
  <c r="D5616"/>
  <c r="E5604"/>
  <c r="D5604"/>
  <c r="E5592"/>
  <c r="D5592"/>
  <c r="E5580"/>
  <c r="D5580"/>
  <c r="E5568"/>
  <c r="D5568"/>
  <c r="E5556"/>
  <c r="D5556"/>
  <c r="E5544"/>
  <c r="D5544"/>
  <c r="E5532"/>
  <c r="D5532"/>
  <c r="E5520"/>
  <c r="D5520"/>
  <c r="E5508"/>
  <c r="D5508"/>
  <c r="E5496"/>
  <c r="D5496"/>
  <c r="E5484"/>
  <c r="D5484"/>
  <c r="E5472"/>
  <c r="D5472"/>
  <c r="E5460"/>
  <c r="D5460"/>
  <c r="E5448"/>
  <c r="D5448"/>
  <c r="E5436"/>
  <c r="D5436"/>
  <c r="E5424"/>
  <c r="D5424"/>
  <c r="E5412"/>
  <c r="D5412"/>
  <c r="E5400"/>
  <c r="D5400"/>
  <c r="E5388"/>
  <c r="D5388"/>
  <c r="E5376"/>
  <c r="D5376"/>
  <c r="E5364"/>
  <c r="D5364"/>
  <c r="E5352"/>
  <c r="D5352"/>
  <c r="E5340"/>
  <c r="D5340"/>
  <c r="E5328"/>
  <c r="D5328"/>
  <c r="E5316"/>
  <c r="D5316"/>
  <c r="E5304"/>
  <c r="D5304"/>
  <c r="E5292"/>
  <c r="D5292"/>
  <c r="E5280"/>
  <c r="D5280"/>
  <c r="E5268"/>
  <c r="D5268"/>
  <c r="E5256"/>
  <c r="D5256"/>
  <c r="E5244"/>
  <c r="D5244"/>
  <c r="E5232"/>
  <c r="D5232"/>
  <c r="E5220"/>
  <c r="D5220"/>
  <c r="E5208"/>
  <c r="D5208"/>
  <c r="E5196"/>
  <c r="D5196"/>
  <c r="E5184"/>
  <c r="D5184"/>
  <c r="E5172"/>
  <c r="D5172"/>
  <c r="E5160"/>
  <c r="D5160"/>
  <c r="E5148"/>
  <c r="D5148"/>
  <c r="E5136"/>
  <c r="D5136"/>
  <c r="E5124"/>
  <c r="D5124"/>
  <c r="E5112"/>
  <c r="D5112"/>
  <c r="E5100"/>
  <c r="D5100"/>
  <c r="E5088"/>
  <c r="D5088"/>
  <c r="E5076"/>
  <c r="D5076"/>
  <c r="E5064"/>
  <c r="D5064"/>
  <c r="E5052"/>
  <c r="D5052"/>
  <c r="E5040"/>
  <c r="D5040"/>
  <c r="E5028"/>
  <c r="D5028"/>
  <c r="E5016"/>
  <c r="D5016"/>
  <c r="E5004"/>
  <c r="D5004"/>
  <c r="E4992"/>
  <c r="D4992"/>
  <c r="E4980"/>
  <c r="D4980"/>
  <c r="E4968"/>
  <c r="D4968"/>
  <c r="E4956"/>
  <c r="D4956"/>
  <c r="E4944"/>
  <c r="D4944"/>
  <c r="E4932"/>
  <c r="D4932"/>
  <c r="E4920"/>
  <c r="D4920"/>
  <c r="E4908"/>
  <c r="D4908"/>
  <c r="E4896"/>
  <c r="D4896"/>
  <c r="E4884"/>
  <c r="D4884"/>
  <c r="E4872"/>
  <c r="D4872"/>
  <c r="E4860"/>
  <c r="D4860"/>
  <c r="E4848"/>
  <c r="D4848"/>
  <c r="E4836"/>
  <c r="D4836"/>
  <c r="E4824"/>
  <c r="D4824"/>
  <c r="E4812"/>
  <c r="D4812"/>
  <c r="E4800"/>
  <c r="D4800"/>
  <c r="E4788"/>
  <c r="D4788"/>
  <c r="E4776"/>
  <c r="D4776"/>
  <c r="E4764"/>
  <c r="D4764"/>
  <c r="E4752"/>
  <c r="D4752"/>
  <c r="E4740"/>
  <c r="D4740"/>
  <c r="E4728"/>
  <c r="D4728"/>
  <c r="E4716"/>
  <c r="D4716"/>
  <c r="E4704"/>
  <c r="D4704"/>
  <c r="E4692"/>
  <c r="D4692"/>
  <c r="E4680"/>
  <c r="D4680"/>
  <c r="E4668"/>
  <c r="D4668"/>
  <c r="E4656"/>
  <c r="D4656"/>
  <c r="E4644"/>
  <c r="D4644"/>
  <c r="E4632"/>
  <c r="D4632"/>
  <c r="E4620"/>
  <c r="D4620"/>
  <c r="E4608"/>
  <c r="D4608"/>
  <c r="E4596"/>
  <c r="D4596"/>
  <c r="E4584"/>
  <c r="D4584"/>
  <c r="E4572"/>
  <c r="D4572"/>
  <c r="E4560"/>
  <c r="D4560"/>
  <c r="E4548"/>
  <c r="D4548"/>
  <c r="E4536"/>
  <c r="D4536"/>
  <c r="E4524"/>
  <c r="D4524"/>
  <c r="E4512"/>
  <c r="D4512"/>
  <c r="E4500"/>
  <c r="D4500"/>
  <c r="E4488"/>
  <c r="D4488"/>
  <c r="E4476"/>
  <c r="D4476"/>
  <c r="E4464"/>
  <c r="D4464"/>
  <c r="E4452"/>
  <c r="D4452"/>
  <c r="E4440"/>
  <c r="D4440"/>
  <c r="E4428"/>
  <c r="D4428"/>
  <c r="E4416"/>
  <c r="D4416"/>
  <c r="E4404"/>
  <c r="D4404"/>
  <c r="E4392"/>
  <c r="D4392"/>
  <c r="E4380"/>
  <c r="D4380"/>
  <c r="E4368"/>
  <c r="D4368"/>
  <c r="E4356"/>
  <c r="D4356"/>
  <c r="E4344"/>
  <c r="D4344"/>
  <c r="E4332"/>
  <c r="D4332"/>
  <c r="E4320"/>
  <c r="D4320"/>
  <c r="E4308"/>
  <c r="D4308"/>
  <c r="E4296"/>
  <c r="D4296"/>
  <c r="E4284"/>
  <c r="D4284"/>
  <c r="E4272"/>
  <c r="D4272"/>
  <c r="E4260"/>
  <c r="D4260"/>
  <c r="E4248"/>
  <c r="D4248"/>
  <c r="E4236"/>
  <c r="D4236"/>
  <c r="E4224"/>
  <c r="D4224"/>
  <c r="E4212"/>
  <c r="D4212"/>
  <c r="E4200"/>
  <c r="D4200"/>
  <c r="E4188"/>
  <c r="D4188"/>
  <c r="E4176"/>
  <c r="D4176"/>
  <c r="E4164"/>
  <c r="D4164"/>
  <c r="E4152"/>
  <c r="D4152"/>
  <c r="E4140"/>
  <c r="D4140"/>
  <c r="E4128"/>
  <c r="D4128"/>
  <c r="E4116"/>
  <c r="D4116"/>
  <c r="E4104"/>
  <c r="D4104"/>
  <c r="E4092"/>
  <c r="D4092"/>
  <c r="E4080"/>
  <c r="D4080"/>
  <c r="E4068"/>
  <c r="D4068"/>
  <c r="E4056"/>
  <c r="D4056"/>
  <c r="E4044"/>
  <c r="D4044"/>
  <c r="E4032"/>
  <c r="D4032"/>
  <c r="E4020"/>
  <c r="D4020"/>
  <c r="E4008"/>
  <c r="D4008"/>
  <c r="E3996"/>
  <c r="D3996"/>
  <c r="E3984"/>
  <c r="D3984"/>
  <c r="E3972"/>
  <c r="D3972"/>
  <c r="E3960"/>
  <c r="D3960"/>
  <c r="E3948"/>
  <c r="D3948"/>
  <c r="E3936"/>
  <c r="D3936"/>
  <c r="E3924"/>
  <c r="D3924"/>
  <c r="E3912"/>
  <c r="D3912"/>
  <c r="E3900"/>
  <c r="D3900"/>
  <c r="E3888"/>
  <c r="D3888"/>
  <c r="E3876"/>
  <c r="D3876"/>
  <c r="E3864"/>
  <c r="D3864"/>
  <c r="E3852"/>
  <c r="D3852"/>
  <c r="E3840"/>
  <c r="D3840"/>
  <c r="E3828"/>
  <c r="D3828"/>
  <c r="E3816"/>
  <c r="D3816"/>
  <c r="E3804"/>
  <c r="D3804"/>
  <c r="E3792"/>
  <c r="D3792"/>
  <c r="E3780"/>
  <c r="D3780"/>
  <c r="E3768"/>
  <c r="D3768"/>
  <c r="E3756"/>
  <c r="D3756"/>
  <c r="E3744"/>
  <c r="D3744"/>
  <c r="E3732"/>
  <c r="D3732"/>
  <c r="E3720"/>
  <c r="D3720"/>
  <c r="E3708"/>
  <c r="D3708"/>
  <c r="E3696"/>
  <c r="D3696"/>
  <c r="E3684"/>
  <c r="D3684"/>
  <c r="E3672"/>
  <c r="D3672"/>
  <c r="E3660"/>
  <c r="D3660"/>
  <c r="E3648"/>
  <c r="D3648"/>
  <c r="E3636"/>
  <c r="D3636"/>
  <c r="E3624"/>
  <c r="D3624"/>
  <c r="E3612"/>
  <c r="D3612"/>
  <c r="E3600"/>
  <c r="D3600"/>
  <c r="E3588"/>
  <c r="D3588"/>
  <c r="E3576"/>
  <c r="D3576"/>
  <c r="E3564"/>
  <c r="D3564"/>
  <c r="E3552"/>
  <c r="D3552"/>
  <c r="E3540"/>
  <c r="D3540"/>
  <c r="E3528"/>
  <c r="D3528"/>
  <c r="E3516"/>
  <c r="D3516"/>
  <c r="E3504"/>
  <c r="D3504"/>
  <c r="E3492"/>
  <c r="D3492"/>
  <c r="E3480"/>
  <c r="D3480"/>
  <c r="E3468"/>
  <c r="D3468"/>
  <c r="E3456"/>
  <c r="D3456"/>
  <c r="E3444"/>
  <c r="D3444"/>
  <c r="E3432"/>
  <c r="D3432"/>
  <c r="E3420"/>
  <c r="D3420"/>
  <c r="E3408"/>
  <c r="D3408"/>
  <c r="E3396"/>
  <c r="D3396"/>
  <c r="E3384"/>
  <c r="D3384"/>
  <c r="E3372"/>
  <c r="D3372"/>
  <c r="E3360"/>
  <c r="D3360"/>
  <c r="E3348"/>
  <c r="D3348"/>
  <c r="E3336"/>
  <c r="D3336"/>
  <c r="E3324"/>
  <c r="D3324"/>
  <c r="E3312"/>
  <c r="D3312"/>
  <c r="E3300"/>
  <c r="D3300"/>
  <c r="E3288"/>
  <c r="D3288"/>
  <c r="E3276"/>
  <c r="D3276"/>
  <c r="E3264"/>
  <c r="D3264"/>
  <c r="E3252"/>
  <c r="D3252"/>
  <c r="E3240"/>
  <c r="D3240"/>
  <c r="E3228"/>
  <c r="D3228"/>
  <c r="E3216"/>
  <c r="D3216"/>
  <c r="E3204"/>
  <c r="D3204"/>
  <c r="E3192"/>
  <c r="D3192"/>
  <c r="E3180"/>
  <c r="D3180"/>
  <c r="E3168"/>
  <c r="D3168"/>
  <c r="E3156"/>
  <c r="D3156"/>
  <c r="E3144"/>
  <c r="D3144"/>
  <c r="E3132"/>
  <c r="D3132"/>
  <c r="E3120"/>
  <c r="D3120"/>
  <c r="E3108"/>
  <c r="D3108"/>
  <c r="E3096"/>
  <c r="D3096"/>
  <c r="E3084"/>
  <c r="D3084"/>
  <c r="E3072"/>
  <c r="D3072"/>
  <c r="E3060"/>
  <c r="D3060"/>
  <c r="E3048"/>
  <c r="D3048"/>
  <c r="E3036"/>
  <c r="D3036"/>
  <c r="E3024"/>
  <c r="D3024"/>
  <c r="E3012"/>
  <c r="D3012"/>
  <c r="E3000"/>
  <c r="D3000"/>
  <c r="E2988"/>
  <c r="D2988"/>
  <c r="E2976"/>
  <c r="D2976"/>
  <c r="E2964"/>
  <c r="D2964"/>
  <c r="E2952"/>
  <c r="D2952"/>
  <c r="D5589"/>
  <c r="E3697"/>
  <c r="D3697"/>
  <c r="E3685"/>
  <c r="D3685"/>
  <c r="E3673"/>
  <c r="D3673"/>
  <c r="E3661"/>
  <c r="D3661"/>
  <c r="E3649"/>
  <c r="D3649"/>
  <c r="E3625"/>
  <c r="D3625"/>
  <c r="E3613"/>
  <c r="D3613"/>
  <c r="E3601"/>
  <c r="D3601"/>
  <c r="E3589"/>
  <c r="D3589"/>
  <c r="E3577"/>
  <c r="D3577"/>
  <c r="E3565"/>
  <c r="D3565"/>
  <c r="E3553"/>
  <c r="D3553"/>
  <c r="E3541"/>
  <c r="D3541"/>
  <c r="E3529"/>
  <c r="D3529"/>
  <c r="E3517"/>
  <c r="D3517"/>
  <c r="E3505"/>
  <c r="D3505"/>
  <c r="E3493"/>
  <c r="D3493"/>
  <c r="E3481"/>
  <c r="D3481"/>
  <c r="E3469"/>
  <c r="D3469"/>
  <c r="E3457"/>
  <c r="D3457"/>
  <c r="E3445"/>
  <c r="D3445"/>
  <c r="E3433"/>
  <c r="D3433"/>
  <c r="E3421"/>
  <c r="D3421"/>
  <c r="E3409"/>
  <c r="D3409"/>
  <c r="E3397"/>
  <c r="D3397"/>
  <c r="E3385"/>
  <c r="D3385"/>
  <c r="E3373"/>
  <c r="D3373"/>
  <c r="E3361"/>
  <c r="D3361"/>
  <c r="E3337"/>
  <c r="D3337"/>
  <c r="E3325"/>
  <c r="D3325"/>
  <c r="E3313"/>
  <c r="D3313"/>
  <c r="E3301"/>
  <c r="D3301"/>
  <c r="E3289"/>
  <c r="D3289"/>
  <c r="E3277"/>
  <c r="D3277"/>
  <c r="E3265"/>
  <c r="D3265"/>
  <c r="E3253"/>
  <c r="D3253"/>
  <c r="E3241"/>
  <c r="D3241"/>
  <c r="E3229"/>
  <c r="D3229"/>
  <c r="E3217"/>
  <c r="D3217"/>
  <c r="E3205"/>
  <c r="D3205"/>
  <c r="E3193"/>
  <c r="D3193"/>
  <c r="E3181"/>
  <c r="D3181"/>
  <c r="E3169"/>
  <c r="D3169"/>
  <c r="E3157"/>
  <c r="D3157"/>
  <c r="E3145"/>
  <c r="D3145"/>
  <c r="E3133"/>
  <c r="D3133"/>
  <c r="E3121"/>
  <c r="D3121"/>
  <c r="E3109"/>
  <c r="D3109"/>
  <c r="E3097"/>
  <c r="D3097"/>
  <c r="E3085"/>
  <c r="D3085"/>
  <c r="E3073"/>
  <c r="D3073"/>
  <c r="E3049"/>
  <c r="D3049"/>
  <c r="E3037"/>
  <c r="D3037"/>
  <c r="E3025"/>
  <c r="D3025"/>
  <c r="E3013"/>
  <c r="D3013"/>
  <c r="E3001"/>
  <c r="D3001"/>
  <c r="E2989"/>
  <c r="D2989"/>
  <c r="E2977"/>
  <c r="D2977"/>
  <c r="E2965"/>
  <c r="D2965"/>
  <c r="E2953"/>
  <c r="D2953"/>
  <c r="E2941"/>
  <c r="D2941"/>
  <c r="E2929"/>
  <c r="D2929"/>
  <c r="E2917"/>
  <c r="D2917"/>
  <c r="E2905"/>
  <c r="D2905"/>
  <c r="E2893"/>
  <c r="D2893"/>
  <c r="E2881"/>
  <c r="D2881"/>
  <c r="E2869"/>
  <c r="D2869"/>
  <c r="E2857"/>
  <c r="D2857"/>
  <c r="E2845"/>
  <c r="D2845"/>
  <c r="E2833"/>
  <c r="D2833"/>
  <c r="E2821"/>
  <c r="D2821"/>
  <c r="E2809"/>
  <c r="D2809"/>
  <c r="E2797"/>
  <c r="D2797"/>
  <c r="E2785"/>
  <c r="D2785"/>
  <c r="E2761"/>
  <c r="D2761"/>
  <c r="E2749"/>
  <c r="D2749"/>
  <c r="E2737"/>
  <c r="D2737"/>
  <c r="E2725"/>
  <c r="D2725"/>
  <c r="E2713"/>
  <c r="D2713"/>
  <c r="E2701"/>
  <c r="D2701"/>
  <c r="E2689"/>
  <c r="D2689"/>
  <c r="E2677"/>
  <c r="D2677"/>
  <c r="E2665"/>
  <c r="D2665"/>
  <c r="E2653"/>
  <c r="D2653"/>
  <c r="E2641"/>
  <c r="D2641"/>
  <c r="E2629"/>
  <c r="D2629"/>
  <c r="E2617"/>
  <c r="D2617"/>
  <c r="E2605"/>
  <c r="D2605"/>
  <c r="E2593"/>
  <c r="D2593"/>
  <c r="E2581"/>
  <c r="D2581"/>
  <c r="E2569"/>
  <c r="D2569"/>
  <c r="E2557"/>
  <c r="D2557"/>
  <c r="E2545"/>
  <c r="D2545"/>
  <c r="E2533"/>
  <c r="D2533"/>
  <c r="E2521"/>
  <c r="D2521"/>
  <c r="E2509"/>
  <c r="D2509"/>
  <c r="E2497"/>
  <c r="D2497"/>
  <c r="E2473"/>
  <c r="D2473"/>
  <c r="E2461"/>
  <c r="D2461"/>
  <c r="E2449"/>
  <c r="D2449"/>
  <c r="E2437"/>
  <c r="D2437"/>
  <c r="E2425"/>
  <c r="D2425"/>
  <c r="E2413"/>
  <c r="D2413"/>
  <c r="E2401"/>
  <c r="D2401"/>
  <c r="E2389"/>
  <c r="D2389"/>
  <c r="E2377"/>
  <c r="D2377"/>
  <c r="E2365"/>
  <c r="D2365"/>
  <c r="E2353"/>
  <c r="D2353"/>
  <c r="E2341"/>
  <c r="D2341"/>
  <c r="E2329"/>
  <c r="D2329"/>
  <c r="E2317"/>
  <c r="D2317"/>
  <c r="E2305"/>
  <c r="D2305"/>
  <c r="E2293"/>
  <c r="D2293"/>
  <c r="E2281"/>
  <c r="D2281"/>
  <c r="E2269"/>
  <c r="D2269"/>
  <c r="E2257"/>
  <c r="D2257"/>
  <c r="E2245"/>
  <c r="D2245"/>
  <c r="E2233"/>
  <c r="D2233"/>
  <c r="E2221"/>
  <c r="D2221"/>
  <c r="E2209"/>
  <c r="D2209"/>
  <c r="E2185"/>
  <c r="D2185"/>
  <c r="E2173"/>
  <c r="D2173"/>
  <c r="E2161"/>
  <c r="D2161"/>
  <c r="E2149"/>
  <c r="D2149"/>
  <c r="E2137"/>
  <c r="D2137"/>
  <c r="E2125"/>
  <c r="D2125"/>
  <c r="E2113"/>
  <c r="D2113"/>
  <c r="E2101"/>
  <c r="D2101"/>
  <c r="E2089"/>
  <c r="D2089"/>
  <c r="E2077"/>
  <c r="D2077"/>
  <c r="E2065"/>
  <c r="D2065"/>
  <c r="E2053"/>
  <c r="D2053"/>
  <c r="E2041"/>
  <c r="D2041"/>
  <c r="E2029"/>
  <c r="D2029"/>
  <c r="E2017"/>
  <c r="D2017"/>
  <c r="E2005"/>
  <c r="D2005"/>
  <c r="E1993"/>
  <c r="D1993"/>
  <c r="E1981"/>
  <c r="D1981"/>
  <c r="E1969"/>
  <c r="D1969"/>
  <c r="E1957"/>
  <c r="D1957"/>
  <c r="E1945"/>
  <c r="D1945"/>
  <c r="E1933"/>
  <c r="D1933"/>
  <c r="E1921"/>
  <c r="D1921"/>
  <c r="E1897"/>
  <c r="D1897"/>
  <c r="E1885"/>
  <c r="D1885"/>
  <c r="E1873"/>
  <c r="D1873"/>
  <c r="E1861"/>
  <c r="D1861"/>
  <c r="E1849"/>
  <c r="D1849"/>
  <c r="E1837"/>
  <c r="D1837"/>
  <c r="E1825"/>
  <c r="D1825"/>
  <c r="E1813"/>
  <c r="D1813"/>
  <c r="E1801"/>
  <c r="D1801"/>
  <c r="E1789"/>
  <c r="D1789"/>
  <c r="E1777"/>
  <c r="D1777"/>
  <c r="E1765"/>
  <c r="D1765"/>
  <c r="E1753"/>
  <c r="D1753"/>
  <c r="E1741"/>
  <c r="D1741"/>
  <c r="D5661"/>
  <c r="D4797"/>
  <c r="D1909"/>
  <c r="E6110"/>
  <c r="D6110"/>
  <c r="E6098"/>
  <c r="D6098"/>
  <c r="E6086"/>
  <c r="D6086"/>
  <c r="E6074"/>
  <c r="D6074"/>
  <c r="E6062"/>
  <c r="D6062"/>
  <c r="E6050"/>
  <c r="D6050"/>
  <c r="E6038"/>
  <c r="D6038"/>
  <c r="E6026"/>
  <c r="D6026"/>
  <c r="E6014"/>
  <c r="D6014"/>
  <c r="E6002"/>
  <c r="D6002"/>
  <c r="E5990"/>
  <c r="D5990"/>
  <c r="E5978"/>
  <c r="D5978"/>
  <c r="E5966"/>
  <c r="D5966"/>
  <c r="E5954"/>
  <c r="D5954"/>
  <c r="E5942"/>
  <c r="D5942"/>
  <c r="E5930"/>
  <c r="D5930"/>
  <c r="E5918"/>
  <c r="D5918"/>
  <c r="E5906"/>
  <c r="D5906"/>
  <c r="E5894"/>
  <c r="D5894"/>
  <c r="E5882"/>
  <c r="D5882"/>
  <c r="E5870"/>
  <c r="D5870"/>
  <c r="E5858"/>
  <c r="D5858"/>
  <c r="E5846"/>
  <c r="D5846"/>
  <c r="E5834"/>
  <c r="D5834"/>
  <c r="E5822"/>
  <c r="D5822"/>
  <c r="E5810"/>
  <c r="D5810"/>
  <c r="E5798"/>
  <c r="D5798"/>
  <c r="E5786"/>
  <c r="D5786"/>
  <c r="E5774"/>
  <c r="D5774"/>
  <c r="E5762"/>
  <c r="D5762"/>
  <c r="E5750"/>
  <c r="D5750"/>
  <c r="E5738"/>
  <c r="D5738"/>
  <c r="E5726"/>
  <c r="D5726"/>
  <c r="E5714"/>
  <c r="D5714"/>
  <c r="E5702"/>
  <c r="D5702"/>
  <c r="E5690"/>
  <c r="D5690"/>
  <c r="E5678"/>
  <c r="D5678"/>
  <c r="E5666"/>
  <c r="D5666"/>
  <c r="E5654"/>
  <c r="D5654"/>
  <c r="E5642"/>
  <c r="D5642"/>
  <c r="E5630"/>
  <c r="D5630"/>
  <c r="E5618"/>
  <c r="D5618"/>
  <c r="E5606"/>
  <c r="D5606"/>
  <c r="E5594"/>
  <c r="D5594"/>
  <c r="E5582"/>
  <c r="D5582"/>
  <c r="E5570"/>
  <c r="D5570"/>
  <c r="E5558"/>
  <c r="D5558"/>
  <c r="E5546"/>
  <c r="D5546"/>
  <c r="E5534"/>
  <c r="D5534"/>
  <c r="E5522"/>
  <c r="D5522"/>
  <c r="E5510"/>
  <c r="D5510"/>
  <c r="E5498"/>
  <c r="D5498"/>
  <c r="E5486"/>
  <c r="D5486"/>
  <c r="E5474"/>
  <c r="D5474"/>
  <c r="E5462"/>
  <c r="D5462"/>
  <c r="E5450"/>
  <c r="D5450"/>
  <c r="E5438"/>
  <c r="D5438"/>
  <c r="E5426"/>
  <c r="D5426"/>
  <c r="E5414"/>
  <c r="D5414"/>
  <c r="E5402"/>
  <c r="D5402"/>
  <c r="E5390"/>
  <c r="D5390"/>
  <c r="E5378"/>
  <c r="D5378"/>
  <c r="E5366"/>
  <c r="D5366"/>
  <c r="E5354"/>
  <c r="D5354"/>
  <c r="E5342"/>
  <c r="D5342"/>
  <c r="E5330"/>
  <c r="D5330"/>
  <c r="E5318"/>
  <c r="D5318"/>
  <c r="E5306"/>
  <c r="D5306"/>
  <c r="E5294"/>
  <c r="D5294"/>
  <c r="E5282"/>
  <c r="D5282"/>
  <c r="E5270"/>
  <c r="D5270"/>
  <c r="E5258"/>
  <c r="D5258"/>
  <c r="E5246"/>
  <c r="D5246"/>
  <c r="E5234"/>
  <c r="D5234"/>
  <c r="E5222"/>
  <c r="D5222"/>
  <c r="E5210"/>
  <c r="D5210"/>
  <c r="E5198"/>
  <c r="D5198"/>
  <c r="E5186"/>
  <c r="D5186"/>
  <c r="E5174"/>
  <c r="D5174"/>
  <c r="E5162"/>
  <c r="D5162"/>
  <c r="E5150"/>
  <c r="D5150"/>
  <c r="E5138"/>
  <c r="D5138"/>
  <c r="E5126"/>
  <c r="D5126"/>
  <c r="E5114"/>
  <c r="D5114"/>
  <c r="E5102"/>
  <c r="D5102"/>
  <c r="E5090"/>
  <c r="D5090"/>
  <c r="E5078"/>
  <c r="D5078"/>
  <c r="E5066"/>
  <c r="D5066"/>
  <c r="E5054"/>
  <c r="D5054"/>
  <c r="E5042"/>
  <c r="D5042"/>
  <c r="E5030"/>
  <c r="D5030"/>
  <c r="E5018"/>
  <c r="D5018"/>
  <c r="E5006"/>
  <c r="D5006"/>
  <c r="E4994"/>
  <c r="D4994"/>
  <c r="E4982"/>
  <c r="D4982"/>
  <c r="E4970"/>
  <c r="D4970"/>
  <c r="E4958"/>
  <c r="D4958"/>
  <c r="E4946"/>
  <c r="D4946"/>
  <c r="E4934"/>
  <c r="D4934"/>
  <c r="E4922"/>
  <c r="D4922"/>
  <c r="E4910"/>
  <c r="D4910"/>
  <c r="E4898"/>
  <c r="D4898"/>
  <c r="E4886"/>
  <c r="D4886"/>
  <c r="E4874"/>
  <c r="D4874"/>
  <c r="E4862"/>
  <c r="D4862"/>
  <c r="E4850"/>
  <c r="D4850"/>
  <c r="E4838"/>
  <c r="D4838"/>
  <c r="E4826"/>
  <c r="D4826"/>
  <c r="E4814"/>
  <c r="D4814"/>
  <c r="E4802"/>
  <c r="D4802"/>
  <c r="E4790"/>
  <c r="D4790"/>
  <c r="E4778"/>
  <c r="D4778"/>
  <c r="E4766"/>
  <c r="D4766"/>
  <c r="E4754"/>
  <c r="D4754"/>
  <c r="E4742"/>
  <c r="D4742"/>
  <c r="E4730"/>
  <c r="D4730"/>
  <c r="E4718"/>
  <c r="D4718"/>
  <c r="E4706"/>
  <c r="D4706"/>
  <c r="E4694"/>
  <c r="D4694"/>
  <c r="E4682"/>
  <c r="D4682"/>
  <c r="E4670"/>
  <c r="D4670"/>
  <c r="E4658"/>
  <c r="D4658"/>
  <c r="E4646"/>
  <c r="D4646"/>
  <c r="E4634"/>
  <c r="D4634"/>
  <c r="E4622"/>
  <c r="D4622"/>
  <c r="E4610"/>
  <c r="D4610"/>
  <c r="E4598"/>
  <c r="D4598"/>
  <c r="E4586"/>
  <c r="D4586"/>
  <c r="E4574"/>
  <c r="D4574"/>
  <c r="E4562"/>
  <c r="D4562"/>
  <c r="E4550"/>
  <c r="D4550"/>
  <c r="E4538"/>
  <c r="D4538"/>
  <c r="E4526"/>
  <c r="D4526"/>
  <c r="E4514"/>
  <c r="D4514"/>
  <c r="E4502"/>
  <c r="D4502"/>
  <c r="E4490"/>
  <c r="D4490"/>
  <c r="E4478"/>
  <c r="D4478"/>
  <c r="E4466"/>
  <c r="D4466"/>
  <c r="E4454"/>
  <c r="D4454"/>
  <c r="E4442"/>
  <c r="D4442"/>
  <c r="E4430"/>
  <c r="D4430"/>
  <c r="E4418"/>
  <c r="D4418"/>
  <c r="E4406"/>
  <c r="D4406"/>
  <c r="E4394"/>
  <c r="D4394"/>
  <c r="E4382"/>
  <c r="D4382"/>
  <c r="E4370"/>
  <c r="D4370"/>
  <c r="E4358"/>
  <c r="D4358"/>
  <c r="E4346"/>
  <c r="D4346"/>
  <c r="E4334"/>
  <c r="D4334"/>
  <c r="E4322"/>
  <c r="D4322"/>
  <c r="E4310"/>
  <c r="D4310"/>
  <c r="E4298"/>
  <c r="D4298"/>
  <c r="E4286"/>
  <c r="D4286"/>
  <c r="E4274"/>
  <c r="D4274"/>
  <c r="E4262"/>
  <c r="D4262"/>
  <c r="E4250"/>
  <c r="D4250"/>
  <c r="E4238"/>
  <c r="D4238"/>
  <c r="E4226"/>
  <c r="D4226"/>
  <c r="E4214"/>
  <c r="D4214"/>
  <c r="E4202"/>
  <c r="D4202"/>
  <c r="E4190"/>
  <c r="D4190"/>
  <c r="E4178"/>
  <c r="D4178"/>
  <c r="E4166"/>
  <c r="D4166"/>
  <c r="E4154"/>
  <c r="D4154"/>
  <c r="E4142"/>
  <c r="D4142"/>
  <c r="E4130"/>
  <c r="D4130"/>
  <c r="E4118"/>
  <c r="D4118"/>
  <c r="E4106"/>
  <c r="D4106"/>
  <c r="E4094"/>
  <c r="D4094"/>
  <c r="E4082"/>
  <c r="D4082"/>
  <c r="E4070"/>
  <c r="D4070"/>
  <c r="E4058"/>
  <c r="D4058"/>
  <c r="E4046"/>
  <c r="D4046"/>
  <c r="E4034"/>
  <c r="D4034"/>
  <c r="E4022"/>
  <c r="D4022"/>
  <c r="E4010"/>
  <c r="D4010"/>
  <c r="E3998"/>
  <c r="D3998"/>
  <c r="E3986"/>
  <c r="D3986"/>
  <c r="E3974"/>
  <c r="D3974"/>
  <c r="E3962"/>
  <c r="D3962"/>
  <c r="E3950"/>
  <c r="D3950"/>
  <c r="E3938"/>
  <c r="D3938"/>
  <c r="E3926"/>
  <c r="D3926"/>
  <c r="E3914"/>
  <c r="D3914"/>
  <c r="E3902"/>
  <c r="D3902"/>
  <c r="E3890"/>
  <c r="D3890"/>
  <c r="E3878"/>
  <c r="D3878"/>
  <c r="E3866"/>
  <c r="D3866"/>
  <c r="E3854"/>
  <c r="D3854"/>
  <c r="E3842"/>
  <c r="D3842"/>
  <c r="E3830"/>
  <c r="D3830"/>
  <c r="E3818"/>
  <c r="D3818"/>
  <c r="E3806"/>
  <c r="D3806"/>
  <c r="E3794"/>
  <c r="D3794"/>
  <c r="E3782"/>
  <c r="D3782"/>
  <c r="E3770"/>
  <c r="D3770"/>
  <c r="E3758"/>
  <c r="D3758"/>
  <c r="E3746"/>
  <c r="D3746"/>
  <c r="E3734"/>
  <c r="D3734"/>
  <c r="E3722"/>
  <c r="D3722"/>
  <c r="E3710"/>
  <c r="D3710"/>
  <c r="E3698"/>
  <c r="D3698"/>
  <c r="E3686"/>
  <c r="D3686"/>
  <c r="E3674"/>
  <c r="D3674"/>
  <c r="E3662"/>
  <c r="D3662"/>
  <c r="E3650"/>
  <c r="D3650"/>
  <c r="E3638"/>
  <c r="D3638"/>
  <c r="E3626"/>
  <c r="D3626"/>
  <c r="E3614"/>
  <c r="D3614"/>
  <c r="E3602"/>
  <c r="D3602"/>
  <c r="E3590"/>
  <c r="D3590"/>
  <c r="E3578"/>
  <c r="D3578"/>
  <c r="E3566"/>
  <c r="D3566"/>
  <c r="E3554"/>
  <c r="D3554"/>
  <c r="E3542"/>
  <c r="D3542"/>
  <c r="E3530"/>
  <c r="D3530"/>
  <c r="E3518"/>
  <c r="D3518"/>
  <c r="E3506"/>
  <c r="D3506"/>
  <c r="E3494"/>
  <c r="D3494"/>
  <c r="E3482"/>
  <c r="D3482"/>
  <c r="E3470"/>
  <c r="D3470"/>
  <c r="E3458"/>
  <c r="D3458"/>
  <c r="E3446"/>
  <c r="D3446"/>
  <c r="E3434"/>
  <c r="D3434"/>
  <c r="E3422"/>
  <c r="D3422"/>
  <c r="E3410"/>
  <c r="D3410"/>
  <c r="E3398"/>
  <c r="D3398"/>
  <c r="E3386"/>
  <c r="D3386"/>
  <c r="E3374"/>
  <c r="D3374"/>
  <c r="E3362"/>
  <c r="D3362"/>
  <c r="E3350"/>
  <c r="D3350"/>
  <c r="E3338"/>
  <c r="D3338"/>
  <c r="E3326"/>
  <c r="D3326"/>
  <c r="E3314"/>
  <c r="D3314"/>
  <c r="E3302"/>
  <c r="D3302"/>
  <c r="E3290"/>
  <c r="D3290"/>
  <c r="E3278"/>
  <c r="D3278"/>
  <c r="E3266"/>
  <c r="D3266"/>
  <c r="E3254"/>
  <c r="D3254"/>
  <c r="E3242"/>
  <c r="D3242"/>
  <c r="E3230"/>
  <c r="D3230"/>
  <c r="E3218"/>
  <c r="D3218"/>
  <c r="E3206"/>
  <c r="D3206"/>
  <c r="E3194"/>
  <c r="D3194"/>
  <c r="E3182"/>
  <c r="D3182"/>
  <c r="E3170"/>
  <c r="D3170"/>
  <c r="E3158"/>
  <c r="D3158"/>
  <c r="E3146"/>
  <c r="D3146"/>
  <c r="E3134"/>
  <c r="D3134"/>
  <c r="E3122"/>
  <c r="D3122"/>
  <c r="E3110"/>
  <c r="D3110"/>
  <c r="E3098"/>
  <c r="D3098"/>
  <c r="E3086"/>
  <c r="D3086"/>
  <c r="D5733"/>
  <c r="D4869"/>
  <c r="D2197"/>
  <c r="E6051"/>
  <c r="D6051"/>
  <c r="E6039"/>
  <c r="D6039"/>
  <c r="E6027"/>
  <c r="D6027"/>
  <c r="E6015"/>
  <c r="D6015"/>
  <c r="E6003"/>
  <c r="D6003"/>
  <c r="E5991"/>
  <c r="D5991"/>
  <c r="E5979"/>
  <c r="D5979"/>
  <c r="E5967"/>
  <c r="D5967"/>
  <c r="E5955"/>
  <c r="D5955"/>
  <c r="E5943"/>
  <c r="D5943"/>
  <c r="E5931"/>
  <c r="D5931"/>
  <c r="E5919"/>
  <c r="D5919"/>
  <c r="E5907"/>
  <c r="D5907"/>
  <c r="E5895"/>
  <c r="D5895"/>
  <c r="E5883"/>
  <c r="D5883"/>
  <c r="E5871"/>
  <c r="D5871"/>
  <c r="E5859"/>
  <c r="D5859"/>
  <c r="E5847"/>
  <c r="D5847"/>
  <c r="E5835"/>
  <c r="D5835"/>
  <c r="E5823"/>
  <c r="D5823"/>
  <c r="E5811"/>
  <c r="D5811"/>
  <c r="E5799"/>
  <c r="D5799"/>
  <c r="E5787"/>
  <c r="D5787"/>
  <c r="E5775"/>
  <c r="D5775"/>
  <c r="E5763"/>
  <c r="D5763"/>
  <c r="E5751"/>
  <c r="D5751"/>
  <c r="E5739"/>
  <c r="D5739"/>
  <c r="E5727"/>
  <c r="D5727"/>
  <c r="E5715"/>
  <c r="D5715"/>
  <c r="E5703"/>
  <c r="D5703"/>
  <c r="E5691"/>
  <c r="D5691"/>
  <c r="E5679"/>
  <c r="D5679"/>
  <c r="E5667"/>
  <c r="D5667"/>
  <c r="E5655"/>
  <c r="D5655"/>
  <c r="E5643"/>
  <c r="D5643"/>
  <c r="E5631"/>
  <c r="D5631"/>
  <c r="E5619"/>
  <c r="D5619"/>
  <c r="E5607"/>
  <c r="D5607"/>
  <c r="E5595"/>
  <c r="D5595"/>
  <c r="E5583"/>
  <c r="D5583"/>
  <c r="E5571"/>
  <c r="D5571"/>
  <c r="E5559"/>
  <c r="D5559"/>
  <c r="E5547"/>
  <c r="D5547"/>
  <c r="E5535"/>
  <c r="D5535"/>
  <c r="E5523"/>
  <c r="D5523"/>
  <c r="E5511"/>
  <c r="D5511"/>
  <c r="E5499"/>
  <c r="D5499"/>
  <c r="E5487"/>
  <c r="D5487"/>
  <c r="E5475"/>
  <c r="D5475"/>
  <c r="E5463"/>
  <c r="D5463"/>
  <c r="E5451"/>
  <c r="D5451"/>
  <c r="E5439"/>
  <c r="D5439"/>
  <c r="E5427"/>
  <c r="D5427"/>
  <c r="E5415"/>
  <c r="D5415"/>
  <c r="E5403"/>
  <c r="D5403"/>
  <c r="E5391"/>
  <c r="D5391"/>
  <c r="E5379"/>
  <c r="D5379"/>
  <c r="E5367"/>
  <c r="D5367"/>
  <c r="E5355"/>
  <c r="D5355"/>
  <c r="E5343"/>
  <c r="D5343"/>
  <c r="E5331"/>
  <c r="D5331"/>
  <c r="E5319"/>
  <c r="D5319"/>
  <c r="E5307"/>
  <c r="D5307"/>
  <c r="E5295"/>
  <c r="D5295"/>
  <c r="E5283"/>
  <c r="D5283"/>
  <c r="E5271"/>
  <c r="D5271"/>
  <c r="E5259"/>
  <c r="D5259"/>
  <c r="E5247"/>
  <c r="D5247"/>
  <c r="E5235"/>
  <c r="D5235"/>
  <c r="E5223"/>
  <c r="D5223"/>
  <c r="E5211"/>
  <c r="D5211"/>
  <c r="E5199"/>
  <c r="D5199"/>
  <c r="E5187"/>
  <c r="D5187"/>
  <c r="E5175"/>
  <c r="D5175"/>
  <c r="E5163"/>
  <c r="D5163"/>
  <c r="E5151"/>
  <c r="D5151"/>
  <c r="E5139"/>
  <c r="D5139"/>
  <c r="E5127"/>
  <c r="D5127"/>
  <c r="E5115"/>
  <c r="D5115"/>
  <c r="E5103"/>
  <c r="D5103"/>
  <c r="E5091"/>
  <c r="D5091"/>
  <c r="E5079"/>
  <c r="D5079"/>
  <c r="E5067"/>
  <c r="D5067"/>
  <c r="E5055"/>
  <c r="D5055"/>
  <c r="E5043"/>
  <c r="D5043"/>
  <c r="E5031"/>
  <c r="D5031"/>
  <c r="E5019"/>
  <c r="D5019"/>
  <c r="E5007"/>
  <c r="D5007"/>
  <c r="E4995"/>
  <c r="D4995"/>
  <c r="E4983"/>
  <c r="D4983"/>
  <c r="E4971"/>
  <c r="D4971"/>
  <c r="E4959"/>
  <c r="D4959"/>
  <c r="E4947"/>
  <c r="D4947"/>
  <c r="E4935"/>
  <c r="D4935"/>
  <c r="E4923"/>
  <c r="D4923"/>
  <c r="E4911"/>
  <c r="D4911"/>
  <c r="E4899"/>
  <c r="D4899"/>
  <c r="E4887"/>
  <c r="D4887"/>
  <c r="E4875"/>
  <c r="D4875"/>
  <c r="E4863"/>
  <c r="D4863"/>
  <c r="E4851"/>
  <c r="D4851"/>
  <c r="E4839"/>
  <c r="D4839"/>
  <c r="E4827"/>
  <c r="D4827"/>
  <c r="E4815"/>
  <c r="D4815"/>
  <c r="E4803"/>
  <c r="D4803"/>
  <c r="E4791"/>
  <c r="D4791"/>
  <c r="E4779"/>
  <c r="D4779"/>
  <c r="E4767"/>
  <c r="D4767"/>
  <c r="E4755"/>
  <c r="D4755"/>
  <c r="E4743"/>
  <c r="D4743"/>
  <c r="E4731"/>
  <c r="D4731"/>
  <c r="E4719"/>
  <c r="D4719"/>
  <c r="E4707"/>
  <c r="D4707"/>
  <c r="E4695"/>
  <c r="D4695"/>
  <c r="E4683"/>
  <c r="D4683"/>
  <c r="E4671"/>
  <c r="D4671"/>
  <c r="E4659"/>
  <c r="D4659"/>
  <c r="E4647"/>
  <c r="D4647"/>
  <c r="E4635"/>
  <c r="D4635"/>
  <c r="E4623"/>
  <c r="D4623"/>
  <c r="E4611"/>
  <c r="D4611"/>
  <c r="E4599"/>
  <c r="D4599"/>
  <c r="E4587"/>
  <c r="D4587"/>
  <c r="E4575"/>
  <c r="D4575"/>
  <c r="E4563"/>
  <c r="D4563"/>
  <c r="E4551"/>
  <c r="D4551"/>
  <c r="E4539"/>
  <c r="D4539"/>
  <c r="E4527"/>
  <c r="D4527"/>
  <c r="E4515"/>
  <c r="D4515"/>
  <c r="E4503"/>
  <c r="D4503"/>
  <c r="E4491"/>
  <c r="D4491"/>
  <c r="E4479"/>
  <c r="D4479"/>
  <c r="E4467"/>
  <c r="D4467"/>
  <c r="E4455"/>
  <c r="D4455"/>
  <c r="E4443"/>
  <c r="D4443"/>
  <c r="E4431"/>
  <c r="D4431"/>
  <c r="E4419"/>
  <c r="D4419"/>
  <c r="E4407"/>
  <c r="D4407"/>
  <c r="E4395"/>
  <c r="D4395"/>
  <c r="E4383"/>
  <c r="D4383"/>
  <c r="E4371"/>
  <c r="D4371"/>
  <c r="E4359"/>
  <c r="D4359"/>
  <c r="E4347"/>
  <c r="D4347"/>
  <c r="E4335"/>
  <c r="D4335"/>
  <c r="E4323"/>
  <c r="D4323"/>
  <c r="E4311"/>
  <c r="D4311"/>
  <c r="E4299"/>
  <c r="D4299"/>
  <c r="E4287"/>
  <c r="D4287"/>
  <c r="E4275"/>
  <c r="D4275"/>
  <c r="E4263"/>
  <c r="D4263"/>
  <c r="E4251"/>
  <c r="D4251"/>
  <c r="E4239"/>
  <c r="D4239"/>
  <c r="E4227"/>
  <c r="D4227"/>
  <c r="E4215"/>
  <c r="D4215"/>
  <c r="E4203"/>
  <c r="D4203"/>
  <c r="E4191"/>
  <c r="D4191"/>
  <c r="E4179"/>
  <c r="D4179"/>
  <c r="E4167"/>
  <c r="D4167"/>
  <c r="E4155"/>
  <c r="D4155"/>
  <c r="E4143"/>
  <c r="D4143"/>
  <c r="E4131"/>
  <c r="D4131"/>
  <c r="E4119"/>
  <c r="D4119"/>
  <c r="E4107"/>
  <c r="D4107"/>
  <c r="E4095"/>
  <c r="D4095"/>
  <c r="E4083"/>
  <c r="D4083"/>
  <c r="E4071"/>
  <c r="D4071"/>
  <c r="E4059"/>
  <c r="D4059"/>
  <c r="E4047"/>
  <c r="D4047"/>
  <c r="E4035"/>
  <c r="D4035"/>
  <c r="E4023"/>
  <c r="D4023"/>
  <c r="E4011"/>
  <c r="D4011"/>
  <c r="E3999"/>
  <c r="D3999"/>
  <c r="E3987"/>
  <c r="D3987"/>
  <c r="E3975"/>
  <c r="D3975"/>
  <c r="E3963"/>
  <c r="D3963"/>
  <c r="E3951"/>
  <c r="D3951"/>
  <c r="E3939"/>
  <c r="D3939"/>
  <c r="E3927"/>
  <c r="D3927"/>
  <c r="E3915"/>
  <c r="D3915"/>
  <c r="E3903"/>
  <c r="D3903"/>
  <c r="E3891"/>
  <c r="D3891"/>
  <c r="E3879"/>
  <c r="D3879"/>
  <c r="E3867"/>
  <c r="D3867"/>
  <c r="E3855"/>
  <c r="D3855"/>
  <c r="E3843"/>
  <c r="D3843"/>
  <c r="E3831"/>
  <c r="D3831"/>
  <c r="E3819"/>
  <c r="D3819"/>
  <c r="E3807"/>
  <c r="D3807"/>
  <c r="E3795"/>
  <c r="D3795"/>
  <c r="E3783"/>
  <c r="D3783"/>
  <c r="E3771"/>
  <c r="D3771"/>
  <c r="E3759"/>
  <c r="D3759"/>
  <c r="E3747"/>
  <c r="D3747"/>
  <c r="E3735"/>
  <c r="D3735"/>
  <c r="E3723"/>
  <c r="D3723"/>
  <c r="E3711"/>
  <c r="D3711"/>
  <c r="E3699"/>
  <c r="D3699"/>
  <c r="E3687"/>
  <c r="D3687"/>
  <c r="E3675"/>
  <c r="D3675"/>
  <c r="E3663"/>
  <c r="D3663"/>
  <c r="E3651"/>
  <c r="D3651"/>
  <c r="E3639"/>
  <c r="D3639"/>
  <c r="E3627"/>
  <c r="D3627"/>
  <c r="E3615"/>
  <c r="D3615"/>
  <c r="E3603"/>
  <c r="D3603"/>
  <c r="E3591"/>
  <c r="D3591"/>
  <c r="E3579"/>
  <c r="D3579"/>
  <c r="E3567"/>
  <c r="D3567"/>
  <c r="E3555"/>
  <c r="D3555"/>
  <c r="E3543"/>
  <c r="D3543"/>
  <c r="E3531"/>
  <c r="D3531"/>
  <c r="E3519"/>
  <c r="D3519"/>
  <c r="E3507"/>
  <c r="D3507"/>
  <c r="E3495"/>
  <c r="D3495"/>
  <c r="E3483"/>
  <c r="D3483"/>
  <c r="E3471"/>
  <c r="D3471"/>
  <c r="E3459"/>
  <c r="D3459"/>
  <c r="E3447"/>
  <c r="D3447"/>
  <c r="E3435"/>
  <c r="D3435"/>
  <c r="E3423"/>
  <c r="D3423"/>
  <c r="E3411"/>
  <c r="D3411"/>
  <c r="E3399"/>
  <c r="D3399"/>
  <c r="E3387"/>
  <c r="D3387"/>
  <c r="E3375"/>
  <c r="D3375"/>
  <c r="E3363"/>
  <c r="D3363"/>
  <c r="E3351"/>
  <c r="D3351"/>
  <c r="E3339"/>
  <c r="D3339"/>
  <c r="E3327"/>
  <c r="D3327"/>
  <c r="E3315"/>
  <c r="D3315"/>
  <c r="E3303"/>
  <c r="D3303"/>
  <c r="E3291"/>
  <c r="D3291"/>
  <c r="E3279"/>
  <c r="D3279"/>
  <c r="E3267"/>
  <c r="D3267"/>
  <c r="E3255"/>
  <c r="D3255"/>
  <c r="E3243"/>
  <c r="D3243"/>
  <c r="E3231"/>
  <c r="D3231"/>
  <c r="E3219"/>
  <c r="D3219"/>
  <c r="E3207"/>
  <c r="D3207"/>
  <c r="E3195"/>
  <c r="D3195"/>
  <c r="E3183"/>
  <c r="D3183"/>
  <c r="E3171"/>
  <c r="D3171"/>
  <c r="E3159"/>
  <c r="D3159"/>
  <c r="E3147"/>
  <c r="D3147"/>
  <c r="E3135"/>
  <c r="D3135"/>
  <c r="E3123"/>
  <c r="D3123"/>
  <c r="E3111"/>
  <c r="D3111"/>
  <c r="E3099"/>
  <c r="D3099"/>
  <c r="E3087"/>
  <c r="D3087"/>
  <c r="E3075"/>
  <c r="D3075"/>
  <c r="E3063"/>
  <c r="D3063"/>
  <c r="E3051"/>
  <c r="D3051"/>
  <c r="E3039"/>
  <c r="D3039"/>
  <c r="E3027"/>
  <c r="D3027"/>
  <c r="D4941"/>
  <c r="D2485"/>
  <c r="E5980"/>
  <c r="D5980"/>
  <c r="E5968"/>
  <c r="D5968"/>
  <c r="E5956"/>
  <c r="D5956"/>
  <c r="E5944"/>
  <c r="D5944"/>
  <c r="E5932"/>
  <c r="D5932"/>
  <c r="E5920"/>
  <c r="D5920"/>
  <c r="E5908"/>
  <c r="D5908"/>
  <c r="E5896"/>
  <c r="D5896"/>
  <c r="E5884"/>
  <c r="D5884"/>
  <c r="E5872"/>
  <c r="D5872"/>
  <c r="E5860"/>
  <c r="D5860"/>
  <c r="E5848"/>
  <c r="D5848"/>
  <c r="E5836"/>
  <c r="D5836"/>
  <c r="E5824"/>
  <c r="D5824"/>
  <c r="E5812"/>
  <c r="D5812"/>
  <c r="E5800"/>
  <c r="D5800"/>
  <c r="E5788"/>
  <c r="D5788"/>
  <c r="E5776"/>
  <c r="D5776"/>
  <c r="E5764"/>
  <c r="D5764"/>
  <c r="E5752"/>
  <c r="D5752"/>
  <c r="E5740"/>
  <c r="D5740"/>
  <c r="E5728"/>
  <c r="D5728"/>
  <c r="E5716"/>
  <c r="D5716"/>
  <c r="E5704"/>
  <c r="D5704"/>
  <c r="E5692"/>
  <c r="D5692"/>
  <c r="E5680"/>
  <c r="D5680"/>
  <c r="E5668"/>
  <c r="D5668"/>
  <c r="E5656"/>
  <c r="D5656"/>
  <c r="E5644"/>
  <c r="D5644"/>
  <c r="E5632"/>
  <c r="D5632"/>
  <c r="E5620"/>
  <c r="D5620"/>
  <c r="E5608"/>
  <c r="D5608"/>
  <c r="E5596"/>
  <c r="D5596"/>
  <c r="E5584"/>
  <c r="D5584"/>
  <c r="E5572"/>
  <c r="D5572"/>
  <c r="E5560"/>
  <c r="D5560"/>
  <c r="E5548"/>
  <c r="D5548"/>
  <c r="E5536"/>
  <c r="D5536"/>
  <c r="E5524"/>
  <c r="D5524"/>
  <c r="E5512"/>
  <c r="D5512"/>
  <c r="E5500"/>
  <c r="D5500"/>
  <c r="E5488"/>
  <c r="D5488"/>
  <c r="E5476"/>
  <c r="D5476"/>
  <c r="E5464"/>
  <c r="D5464"/>
  <c r="E5452"/>
  <c r="D5452"/>
  <c r="E5440"/>
  <c r="D5440"/>
  <c r="E5428"/>
  <c r="D5428"/>
  <c r="E5416"/>
  <c r="D5416"/>
  <c r="E5404"/>
  <c r="D5404"/>
  <c r="E5392"/>
  <c r="D5392"/>
  <c r="E5380"/>
  <c r="D5380"/>
  <c r="E5368"/>
  <c r="D5368"/>
  <c r="E5356"/>
  <c r="D5356"/>
  <c r="E5344"/>
  <c r="D5344"/>
  <c r="E5332"/>
  <c r="D5332"/>
  <c r="E5320"/>
  <c r="D5320"/>
  <c r="E5308"/>
  <c r="D5308"/>
  <c r="E5296"/>
  <c r="D5296"/>
  <c r="E5284"/>
  <c r="D5284"/>
  <c r="E5272"/>
  <c r="D5272"/>
  <c r="E5260"/>
  <c r="D5260"/>
  <c r="E5248"/>
  <c r="D5248"/>
  <c r="E5236"/>
  <c r="D5236"/>
  <c r="E5224"/>
  <c r="D5224"/>
  <c r="E5212"/>
  <c r="D5212"/>
  <c r="E5200"/>
  <c r="D5200"/>
  <c r="E5188"/>
  <c r="D5188"/>
  <c r="E5176"/>
  <c r="D5176"/>
  <c r="E5164"/>
  <c r="D5164"/>
  <c r="E5152"/>
  <c r="D5152"/>
  <c r="E5140"/>
  <c r="D5140"/>
  <c r="E5128"/>
  <c r="D5128"/>
  <c r="E5116"/>
  <c r="D5116"/>
  <c r="E5104"/>
  <c r="D5104"/>
  <c r="E5092"/>
  <c r="D5092"/>
  <c r="E5080"/>
  <c r="D5080"/>
  <c r="E5068"/>
  <c r="D5068"/>
  <c r="E5056"/>
  <c r="D5056"/>
  <c r="E5044"/>
  <c r="D5044"/>
  <c r="E5032"/>
  <c r="D5032"/>
  <c r="E5020"/>
  <c r="D5020"/>
  <c r="E5008"/>
  <c r="D5008"/>
  <c r="E4996"/>
  <c r="D4996"/>
  <c r="E4984"/>
  <c r="D4984"/>
  <c r="E4972"/>
  <c r="D4972"/>
  <c r="E4960"/>
  <c r="D4960"/>
  <c r="E4948"/>
  <c r="D4948"/>
  <c r="E4936"/>
  <c r="D4936"/>
  <c r="E4924"/>
  <c r="D4924"/>
  <c r="E4912"/>
  <c r="D4912"/>
  <c r="E4900"/>
  <c r="D4900"/>
  <c r="E4888"/>
  <c r="D4888"/>
  <c r="E4876"/>
  <c r="D4876"/>
  <c r="E4864"/>
  <c r="D4864"/>
  <c r="E4852"/>
  <c r="D4852"/>
  <c r="E4840"/>
  <c r="D4840"/>
  <c r="E4828"/>
  <c r="D4828"/>
  <c r="E4816"/>
  <c r="D4816"/>
  <c r="E4804"/>
  <c r="D4804"/>
  <c r="E4792"/>
  <c r="D4792"/>
  <c r="E4780"/>
  <c r="D4780"/>
  <c r="E4768"/>
  <c r="D4768"/>
  <c r="E4756"/>
  <c r="D4756"/>
  <c r="E4744"/>
  <c r="D4744"/>
  <c r="E4732"/>
  <c r="D4732"/>
  <c r="E4720"/>
  <c r="D4720"/>
  <c r="E4708"/>
  <c r="D4708"/>
  <c r="E4696"/>
  <c r="D4696"/>
  <c r="E4684"/>
  <c r="D4684"/>
  <c r="E4672"/>
  <c r="D4672"/>
  <c r="E4660"/>
  <c r="D4660"/>
  <c r="E4648"/>
  <c r="D4648"/>
  <c r="E4636"/>
  <c r="D4636"/>
  <c r="E4624"/>
  <c r="D4624"/>
  <c r="E4612"/>
  <c r="D4612"/>
  <c r="E4600"/>
  <c r="D4600"/>
  <c r="E4588"/>
  <c r="D4588"/>
  <c r="E4576"/>
  <c r="D4576"/>
  <c r="E4564"/>
  <c r="D4564"/>
  <c r="E4552"/>
  <c r="D4552"/>
  <c r="E4540"/>
  <c r="D4540"/>
  <c r="E4528"/>
  <c r="D4528"/>
  <c r="E4516"/>
  <c r="D4516"/>
  <c r="E4504"/>
  <c r="D4504"/>
  <c r="E4492"/>
  <c r="D4492"/>
  <c r="E4480"/>
  <c r="D4480"/>
  <c r="E4468"/>
  <c r="D4468"/>
  <c r="E4456"/>
  <c r="D4456"/>
  <c r="E4444"/>
  <c r="D4444"/>
  <c r="E4432"/>
  <c r="D4432"/>
  <c r="E4420"/>
  <c r="D4420"/>
  <c r="E4408"/>
  <c r="D4408"/>
  <c r="E4396"/>
  <c r="D4396"/>
  <c r="E4384"/>
  <c r="D4384"/>
  <c r="E4372"/>
  <c r="D4372"/>
  <c r="E4360"/>
  <c r="D4360"/>
  <c r="E4348"/>
  <c r="D4348"/>
  <c r="E4336"/>
  <c r="D4336"/>
  <c r="E4324"/>
  <c r="D4324"/>
  <c r="E4312"/>
  <c r="D4312"/>
  <c r="E4300"/>
  <c r="D4300"/>
  <c r="E4288"/>
  <c r="D4288"/>
  <c r="E4276"/>
  <c r="D4276"/>
  <c r="E4264"/>
  <c r="D4264"/>
  <c r="E4252"/>
  <c r="D4252"/>
  <c r="E4240"/>
  <c r="D4240"/>
  <c r="E4228"/>
  <c r="D4228"/>
  <c r="E4216"/>
  <c r="D4216"/>
  <c r="E4204"/>
  <c r="D4204"/>
  <c r="E4192"/>
  <c r="D4192"/>
  <c r="E4180"/>
  <c r="D4180"/>
  <c r="E4168"/>
  <c r="D4168"/>
  <c r="E4156"/>
  <c r="D4156"/>
  <c r="E4144"/>
  <c r="D4144"/>
  <c r="E4132"/>
  <c r="D4132"/>
  <c r="E4120"/>
  <c r="D4120"/>
  <c r="E4108"/>
  <c r="D4108"/>
  <c r="E4096"/>
  <c r="D4096"/>
  <c r="E4084"/>
  <c r="D4084"/>
  <c r="E4072"/>
  <c r="D4072"/>
  <c r="E4060"/>
  <c r="D4060"/>
  <c r="E4048"/>
  <c r="D4048"/>
  <c r="E4036"/>
  <c r="D4036"/>
  <c r="E4024"/>
  <c r="D4024"/>
  <c r="E4012"/>
  <c r="D4012"/>
  <c r="E4000"/>
  <c r="D4000"/>
  <c r="E3988"/>
  <c r="D3988"/>
  <c r="E3976"/>
  <c r="D3976"/>
  <c r="E3964"/>
  <c r="D3964"/>
  <c r="E3952"/>
  <c r="D3952"/>
  <c r="E3940"/>
  <c r="D3940"/>
  <c r="E3928"/>
  <c r="D3928"/>
  <c r="E3916"/>
  <c r="D3916"/>
  <c r="E3904"/>
  <c r="D3904"/>
  <c r="E3892"/>
  <c r="D3892"/>
  <c r="E3880"/>
  <c r="D3880"/>
  <c r="E3868"/>
  <c r="D3868"/>
  <c r="E3856"/>
  <c r="D3856"/>
  <c r="E3844"/>
  <c r="D3844"/>
  <c r="E3832"/>
  <c r="D3832"/>
  <c r="E3820"/>
  <c r="D3820"/>
  <c r="E3808"/>
  <c r="D3808"/>
  <c r="E3796"/>
  <c r="D3796"/>
  <c r="E3784"/>
  <c r="D3784"/>
  <c r="E3772"/>
  <c r="D3772"/>
  <c r="E3760"/>
  <c r="D3760"/>
  <c r="E3748"/>
  <c r="D3748"/>
  <c r="E3736"/>
  <c r="D3736"/>
  <c r="E3724"/>
  <c r="D3724"/>
  <c r="E3712"/>
  <c r="D3712"/>
  <c r="E3700"/>
  <c r="D3700"/>
  <c r="E3688"/>
  <c r="D3688"/>
  <c r="E3676"/>
  <c r="D3676"/>
  <c r="E3664"/>
  <c r="D3664"/>
  <c r="E3652"/>
  <c r="D3652"/>
  <c r="E3640"/>
  <c r="D3640"/>
  <c r="E3628"/>
  <c r="D3628"/>
  <c r="E3616"/>
  <c r="D3616"/>
  <c r="E3604"/>
  <c r="D3604"/>
  <c r="E3592"/>
  <c r="D3592"/>
  <c r="E3580"/>
  <c r="D3580"/>
  <c r="E3568"/>
  <c r="D3568"/>
  <c r="E3556"/>
  <c r="D3556"/>
  <c r="E3544"/>
  <c r="D3544"/>
  <c r="E3532"/>
  <c r="D3532"/>
  <c r="E3520"/>
  <c r="D3520"/>
  <c r="E3508"/>
  <c r="D3508"/>
  <c r="E3496"/>
  <c r="D3496"/>
  <c r="E3484"/>
  <c r="D3484"/>
  <c r="E3472"/>
  <c r="D3472"/>
  <c r="E3460"/>
  <c r="D3460"/>
  <c r="E3448"/>
  <c r="D3448"/>
  <c r="E3436"/>
  <c r="D3436"/>
  <c r="E3424"/>
  <c r="D3424"/>
  <c r="E3412"/>
  <c r="D3412"/>
  <c r="E3400"/>
  <c r="D3400"/>
  <c r="E3388"/>
  <c r="D3388"/>
  <c r="E3376"/>
  <c r="D3376"/>
  <c r="E3364"/>
  <c r="D3364"/>
  <c r="E3352"/>
  <c r="D3352"/>
  <c r="E3340"/>
  <c r="D3340"/>
  <c r="E3328"/>
  <c r="D3328"/>
  <c r="E3316"/>
  <c r="D3316"/>
  <c r="E3304"/>
  <c r="D3304"/>
  <c r="E3292"/>
  <c r="D3292"/>
  <c r="E3280"/>
  <c r="D3280"/>
  <c r="E3268"/>
  <c r="D3268"/>
  <c r="E3256"/>
  <c r="D3256"/>
  <c r="E3244"/>
  <c r="D3244"/>
  <c r="E3232"/>
  <c r="D3232"/>
  <c r="E3220"/>
  <c r="D3220"/>
  <c r="E3208"/>
  <c r="D3208"/>
  <c r="E3196"/>
  <c r="D3196"/>
  <c r="E3184"/>
  <c r="D3184"/>
  <c r="E3172"/>
  <c r="D3172"/>
  <c r="E3160"/>
  <c r="D3160"/>
  <c r="E3148"/>
  <c r="D3148"/>
  <c r="E3136"/>
  <c r="D3136"/>
  <c r="E3124"/>
  <c r="D3124"/>
  <c r="E3112"/>
  <c r="D3112"/>
  <c r="E3100"/>
  <c r="D3100"/>
  <c r="E3088"/>
  <c r="D3088"/>
  <c r="E3076"/>
  <c r="D3076"/>
  <c r="E3064"/>
  <c r="D3064"/>
  <c r="E3052"/>
  <c r="D3052"/>
  <c r="D5013"/>
  <c r="D2773"/>
  <c r="E3067"/>
  <c r="D3067"/>
  <c r="E3055"/>
  <c r="D3055"/>
  <c r="E3043"/>
  <c r="D3043"/>
  <c r="E3031"/>
  <c r="D3031"/>
  <c r="E3019"/>
  <c r="D3019"/>
  <c r="E3007"/>
  <c r="D3007"/>
  <c r="E2995"/>
  <c r="D2995"/>
  <c r="E2983"/>
  <c r="D2983"/>
  <c r="E2971"/>
  <c r="D2971"/>
  <c r="E2959"/>
  <c r="D2959"/>
  <c r="E2947"/>
  <c r="D2947"/>
  <c r="E2935"/>
  <c r="D2935"/>
  <c r="E2923"/>
  <c r="D2923"/>
  <c r="E2911"/>
  <c r="D2911"/>
  <c r="E2899"/>
  <c r="D2899"/>
  <c r="E2887"/>
  <c r="D2887"/>
  <c r="E2875"/>
  <c r="D2875"/>
  <c r="E2863"/>
  <c r="D2863"/>
  <c r="E2851"/>
  <c r="D2851"/>
  <c r="E2839"/>
  <c r="D2839"/>
  <c r="E2827"/>
  <c r="D2827"/>
  <c r="E2815"/>
  <c r="D2815"/>
  <c r="E2803"/>
  <c r="D2803"/>
  <c r="E2791"/>
  <c r="D2791"/>
  <c r="E2779"/>
  <c r="D2779"/>
  <c r="E2767"/>
  <c r="D2767"/>
  <c r="E2755"/>
  <c r="D2755"/>
  <c r="E2743"/>
  <c r="D2743"/>
  <c r="E2731"/>
  <c r="D2731"/>
  <c r="E2719"/>
  <c r="D2719"/>
  <c r="E2707"/>
  <c r="D2707"/>
  <c r="E2695"/>
  <c r="D2695"/>
  <c r="E2683"/>
  <c r="D2683"/>
  <c r="E2671"/>
  <c r="D2671"/>
  <c r="E2659"/>
  <c r="D2659"/>
  <c r="E2647"/>
  <c r="D2647"/>
  <c r="E2635"/>
  <c r="D2635"/>
  <c r="E2623"/>
  <c r="D2623"/>
  <c r="E2611"/>
  <c r="D2611"/>
  <c r="E2599"/>
  <c r="D2599"/>
  <c r="E2587"/>
  <c r="D2587"/>
  <c r="E2575"/>
  <c r="D2575"/>
  <c r="E2563"/>
  <c r="D2563"/>
  <c r="E2551"/>
  <c r="D2551"/>
  <c r="E2539"/>
  <c r="D2539"/>
  <c r="E2527"/>
  <c r="D2527"/>
  <c r="E2515"/>
  <c r="D2515"/>
  <c r="E2503"/>
  <c r="D2503"/>
  <c r="E2491"/>
  <c r="D2491"/>
  <c r="E2479"/>
  <c r="D2479"/>
  <c r="E2467"/>
  <c r="D2467"/>
  <c r="E2455"/>
  <c r="D2455"/>
  <c r="E2443"/>
  <c r="D2443"/>
  <c r="E2431"/>
  <c r="D2431"/>
  <c r="E2419"/>
  <c r="D2419"/>
  <c r="E2407"/>
  <c r="D2407"/>
  <c r="E2395"/>
  <c r="D2395"/>
  <c r="E2383"/>
  <c r="D2383"/>
  <c r="E2371"/>
  <c r="D2371"/>
  <c r="E2359"/>
  <c r="D2359"/>
  <c r="E2347"/>
  <c r="D2347"/>
  <c r="E2335"/>
  <c r="D2335"/>
  <c r="E2323"/>
  <c r="D2323"/>
  <c r="E2311"/>
  <c r="D2311"/>
  <c r="E2299"/>
  <c r="D2299"/>
  <c r="E2287"/>
  <c r="D2287"/>
  <c r="E2275"/>
  <c r="D2275"/>
  <c r="E2263"/>
  <c r="D2263"/>
  <c r="E2251"/>
  <c r="D2251"/>
  <c r="E2239"/>
  <c r="D2239"/>
  <c r="E2227"/>
  <c r="D2227"/>
  <c r="E2215"/>
  <c r="D2215"/>
  <c r="E2203"/>
  <c r="D2203"/>
  <c r="E2191"/>
  <c r="D2191"/>
  <c r="E2179"/>
  <c r="D2179"/>
  <c r="E2167"/>
  <c r="D2167"/>
  <c r="E2155"/>
  <c r="D2155"/>
  <c r="E2143"/>
  <c r="D2143"/>
  <c r="E2131"/>
  <c r="D2131"/>
  <c r="E2119"/>
  <c r="D2119"/>
  <c r="E2107"/>
  <c r="D2107"/>
  <c r="E2095"/>
  <c r="D2095"/>
  <c r="E2083"/>
  <c r="D2083"/>
  <c r="E2071"/>
  <c r="D2071"/>
  <c r="E2059"/>
  <c r="D2059"/>
  <c r="E2047"/>
  <c r="D2047"/>
  <c r="E2035"/>
  <c r="D2035"/>
  <c r="E2023"/>
  <c r="D2023"/>
  <c r="E2011"/>
  <c r="D2011"/>
  <c r="E1999"/>
  <c r="D1999"/>
  <c r="E1987"/>
  <c r="D1987"/>
  <c r="E1975"/>
  <c r="D1975"/>
  <c r="E1963"/>
  <c r="D1963"/>
  <c r="E1951"/>
  <c r="D1951"/>
  <c r="E1939"/>
  <c r="D1939"/>
  <c r="E1927"/>
  <c r="D1927"/>
  <c r="E1915"/>
  <c r="D1915"/>
  <c r="E1903"/>
  <c r="D1903"/>
  <c r="E1891"/>
  <c r="D1891"/>
  <c r="E1879"/>
  <c r="D1879"/>
  <c r="E1867"/>
  <c r="D1867"/>
  <c r="E1855"/>
  <c r="D1855"/>
  <c r="E1843"/>
  <c r="D1843"/>
  <c r="E1831"/>
  <c r="D1831"/>
  <c r="E1819"/>
  <c r="D1819"/>
  <c r="E1807"/>
  <c r="D1807"/>
  <c r="E1795"/>
  <c r="D1795"/>
  <c r="E1783"/>
  <c r="D1783"/>
  <c r="E1771"/>
  <c r="D1771"/>
  <c r="E1759"/>
  <c r="D1759"/>
  <c r="E1747"/>
  <c r="D1747"/>
  <c r="E1735"/>
  <c r="D1735"/>
  <c r="E1723"/>
  <c r="D1723"/>
  <c r="E1711"/>
  <c r="D1711"/>
  <c r="E1699"/>
  <c r="D1699"/>
  <c r="E1687"/>
  <c r="D1687"/>
  <c r="E1675"/>
  <c r="D1675"/>
  <c r="E1663"/>
  <c r="D1663"/>
  <c r="E1651"/>
  <c r="D1651"/>
  <c r="E1639"/>
  <c r="D1639"/>
  <c r="E1627"/>
  <c r="D1627"/>
  <c r="E1615"/>
  <c r="D1615"/>
  <c r="E1603"/>
  <c r="D1603"/>
  <c r="E1591"/>
  <c r="D1591"/>
  <c r="E1579"/>
  <c r="D1579"/>
  <c r="E1567"/>
  <c r="D1567"/>
  <c r="E1555"/>
  <c r="D1555"/>
  <c r="E1543"/>
  <c r="D1543"/>
  <c r="E1531"/>
  <c r="D1531"/>
  <c r="E1519"/>
  <c r="D1519"/>
  <c r="E1507"/>
  <c r="D1507"/>
  <c r="E1495"/>
  <c r="D1495"/>
  <c r="E1483"/>
  <c r="D1483"/>
  <c r="E1471"/>
  <c r="D1471"/>
  <c r="E1459"/>
  <c r="D1459"/>
  <c r="E1447"/>
  <c r="D1447"/>
  <c r="E1435"/>
  <c r="D1435"/>
  <c r="E1423"/>
  <c r="D1423"/>
  <c r="E1411"/>
  <c r="D1411"/>
  <c r="E1399"/>
  <c r="D1399"/>
  <c r="E1387"/>
  <c r="D1387"/>
  <c r="E1375"/>
  <c r="D1375"/>
  <c r="E1363"/>
  <c r="D1363"/>
  <c r="E1351"/>
  <c r="D1351"/>
  <c r="E1339"/>
  <c r="D1339"/>
  <c r="E1327"/>
  <c r="D1327"/>
  <c r="E1315"/>
  <c r="D1315"/>
  <c r="E1303"/>
  <c r="D1303"/>
  <c r="E1291"/>
  <c r="D1291"/>
  <c r="E1279"/>
  <c r="D1279"/>
  <c r="E1267"/>
  <c r="D1267"/>
  <c r="E1255"/>
  <c r="D1255"/>
  <c r="E1243"/>
  <c r="D1243"/>
  <c r="E1231"/>
  <c r="D1231"/>
  <c r="E1219"/>
  <c r="D1219"/>
  <c r="E1207"/>
  <c r="D1207"/>
  <c r="E1195"/>
  <c r="D1195"/>
  <c r="E1183"/>
  <c r="D1183"/>
  <c r="E1171"/>
  <c r="D1171"/>
  <c r="E1159"/>
  <c r="D1159"/>
  <c r="E1147"/>
  <c r="D1147"/>
  <c r="E1135"/>
  <c r="D1135"/>
  <c r="E1123"/>
  <c r="D1123"/>
  <c r="E1111"/>
  <c r="D1111"/>
  <c r="E1099"/>
  <c r="D1099"/>
  <c r="E1087"/>
  <c r="D1087"/>
  <c r="E1075"/>
  <c r="D1075"/>
  <c r="E1063"/>
  <c r="D1063"/>
  <c r="E1051"/>
  <c r="D1051"/>
  <c r="E1039"/>
  <c r="D1039"/>
  <c r="E1027"/>
  <c r="D1027"/>
  <c r="E1015"/>
  <c r="D1015"/>
  <c r="E1003"/>
  <c r="D1003"/>
  <c r="E991"/>
  <c r="D991"/>
  <c r="E979"/>
  <c r="D979"/>
  <c r="E967"/>
  <c r="D967"/>
  <c r="E955"/>
  <c r="D955"/>
  <c r="E943"/>
  <c r="D943"/>
  <c r="E931"/>
  <c r="D931"/>
  <c r="E919"/>
  <c r="D919"/>
  <c r="E907"/>
  <c r="D907"/>
  <c r="E895"/>
  <c r="D895"/>
  <c r="E883"/>
  <c r="D883"/>
  <c r="E871"/>
  <c r="D871"/>
  <c r="E859"/>
  <c r="D859"/>
  <c r="E847"/>
  <c r="D847"/>
  <c r="E835"/>
  <c r="D835"/>
  <c r="E823"/>
  <c r="D823"/>
  <c r="E811"/>
  <c r="D811"/>
  <c r="E799"/>
  <c r="D799"/>
  <c r="E787"/>
  <c r="D787"/>
  <c r="E775"/>
  <c r="D775"/>
  <c r="E763"/>
  <c r="D763"/>
  <c r="E751"/>
  <c r="D751"/>
  <c r="E739"/>
  <c r="D739"/>
  <c r="E727"/>
  <c r="D727"/>
  <c r="E715"/>
  <c r="D715"/>
  <c r="E703"/>
  <c r="D703"/>
  <c r="E691"/>
  <c r="D691"/>
  <c r="E679"/>
  <c r="D679"/>
  <c r="E667"/>
  <c r="D667"/>
  <c r="E655"/>
  <c r="D655"/>
  <c r="E643"/>
  <c r="D643"/>
  <c r="E631"/>
  <c r="D631"/>
  <c r="E619"/>
  <c r="D619"/>
  <c r="E607"/>
  <c r="D607"/>
  <c r="E595"/>
  <c r="D595"/>
  <c r="E583"/>
  <c r="D583"/>
  <c r="E571"/>
  <c r="D571"/>
  <c r="E559"/>
  <c r="D559"/>
  <c r="E547"/>
  <c r="D547"/>
  <c r="E535"/>
  <c r="D535"/>
  <c r="E523"/>
  <c r="D523"/>
  <c r="E511"/>
  <c r="D511"/>
  <c r="E499"/>
  <c r="D499"/>
  <c r="E487"/>
  <c r="D487"/>
  <c r="E475"/>
  <c r="D475"/>
  <c r="E463"/>
  <c r="D463"/>
  <c r="E451"/>
  <c r="D451"/>
  <c r="E439"/>
  <c r="D439"/>
  <c r="E427"/>
  <c r="D427"/>
  <c r="E415"/>
  <c r="D415"/>
  <c r="E403"/>
  <c r="D403"/>
  <c r="E391"/>
  <c r="D391"/>
  <c r="E379"/>
  <c r="D379"/>
  <c r="E367"/>
  <c r="D367"/>
  <c r="E355"/>
  <c r="D355"/>
  <c r="E343"/>
  <c r="D343"/>
  <c r="E331"/>
  <c r="D331"/>
  <c r="E319"/>
  <c r="D319"/>
  <c r="E307"/>
  <c r="D307"/>
  <c r="E295"/>
  <c r="D295"/>
  <c r="E283"/>
  <c r="D283"/>
  <c r="E271"/>
  <c r="D271"/>
  <c r="E259"/>
  <c r="D259"/>
  <c r="E247"/>
  <c r="D247"/>
  <c r="E235"/>
  <c r="D235"/>
  <c r="E223"/>
  <c r="D223"/>
  <c r="E211"/>
  <c r="D211"/>
  <c r="E199"/>
  <c r="D199"/>
  <c r="E187"/>
  <c r="D187"/>
  <c r="E175"/>
  <c r="D175"/>
  <c r="E163"/>
  <c r="D163"/>
  <c r="E151"/>
  <c r="D151"/>
  <c r="E139"/>
  <c r="D139"/>
  <c r="E127"/>
  <c r="D127"/>
  <c r="E115"/>
  <c r="D115"/>
  <c r="E103"/>
  <c r="D103"/>
  <c r="E91"/>
  <c r="D91"/>
  <c r="E79"/>
  <c r="D79"/>
  <c r="E67"/>
  <c r="D67"/>
  <c r="E55"/>
  <c r="D55"/>
  <c r="E43"/>
  <c r="D43"/>
  <c r="E31"/>
  <c r="D31"/>
  <c r="E19"/>
  <c r="D19"/>
  <c r="E7"/>
  <c r="D7"/>
  <c r="D2780"/>
  <c r="D2492"/>
  <c r="D2204"/>
  <c r="D1916"/>
  <c r="D1628"/>
  <c r="D1201"/>
  <c r="D769"/>
  <c r="D337"/>
  <c r="E2900"/>
  <c r="D2900"/>
  <c r="E2888"/>
  <c r="D2888"/>
  <c r="E2864"/>
  <c r="D2864"/>
  <c r="E2852"/>
  <c r="D2852"/>
  <c r="E2840"/>
  <c r="D2840"/>
  <c r="E2816"/>
  <c r="D2816"/>
  <c r="E2804"/>
  <c r="D2804"/>
  <c r="E2792"/>
  <c r="D2792"/>
  <c r="E2768"/>
  <c r="D2768"/>
  <c r="E2756"/>
  <c r="D2756"/>
  <c r="E2744"/>
  <c r="D2744"/>
  <c r="E2720"/>
  <c r="D2720"/>
  <c r="E2708"/>
  <c r="D2708"/>
  <c r="E2696"/>
  <c r="D2696"/>
  <c r="E2672"/>
  <c r="D2672"/>
  <c r="E2660"/>
  <c r="D2660"/>
  <c r="E2648"/>
  <c r="D2648"/>
  <c r="E2624"/>
  <c r="D2624"/>
  <c r="E2612"/>
  <c r="D2612"/>
  <c r="E2600"/>
  <c r="D2600"/>
  <c r="E2576"/>
  <c r="D2576"/>
  <c r="E2564"/>
  <c r="D2564"/>
  <c r="E2552"/>
  <c r="D2552"/>
  <c r="E2528"/>
  <c r="D2528"/>
  <c r="E2516"/>
  <c r="D2516"/>
  <c r="E2504"/>
  <c r="D2504"/>
  <c r="E2480"/>
  <c r="D2480"/>
  <c r="E2468"/>
  <c r="D2468"/>
  <c r="E2456"/>
  <c r="D2456"/>
  <c r="E2432"/>
  <c r="D2432"/>
  <c r="E2420"/>
  <c r="D2420"/>
  <c r="E2408"/>
  <c r="D2408"/>
  <c r="E2384"/>
  <c r="D2384"/>
  <c r="E2372"/>
  <c r="D2372"/>
  <c r="E2360"/>
  <c r="D2360"/>
  <c r="E2336"/>
  <c r="D2336"/>
  <c r="E2324"/>
  <c r="D2324"/>
  <c r="E2312"/>
  <c r="D2312"/>
  <c r="E2288"/>
  <c r="D2288"/>
  <c r="E2276"/>
  <c r="D2276"/>
  <c r="E2264"/>
  <c r="D2264"/>
  <c r="E2240"/>
  <c r="D2240"/>
  <c r="E2228"/>
  <c r="D2228"/>
  <c r="E2216"/>
  <c r="D2216"/>
  <c r="E2192"/>
  <c r="D2192"/>
  <c r="E2180"/>
  <c r="D2180"/>
  <c r="E2168"/>
  <c r="D2168"/>
  <c r="E2144"/>
  <c r="D2144"/>
  <c r="E2132"/>
  <c r="D2132"/>
  <c r="E2120"/>
  <c r="D2120"/>
  <c r="E2096"/>
  <c r="D2096"/>
  <c r="E2084"/>
  <c r="D2084"/>
  <c r="E2072"/>
  <c r="D2072"/>
  <c r="E2048"/>
  <c r="D2048"/>
  <c r="E2036"/>
  <c r="D2036"/>
  <c r="E2024"/>
  <c r="D2024"/>
  <c r="E2000"/>
  <c r="D2000"/>
  <c r="E1988"/>
  <c r="D1988"/>
  <c r="E1976"/>
  <c r="D1976"/>
  <c r="E1952"/>
  <c r="D1952"/>
  <c r="E1940"/>
  <c r="D1940"/>
  <c r="E1928"/>
  <c r="D1928"/>
  <c r="E1904"/>
  <c r="D1904"/>
  <c r="E1892"/>
  <c r="D1892"/>
  <c r="E1880"/>
  <c r="D1880"/>
  <c r="E1856"/>
  <c r="D1856"/>
  <c r="E1844"/>
  <c r="D1844"/>
  <c r="E1832"/>
  <c r="D1832"/>
  <c r="E1808"/>
  <c r="D1808"/>
  <c r="E1796"/>
  <c r="D1796"/>
  <c r="E1784"/>
  <c r="D1784"/>
  <c r="E1760"/>
  <c r="D1760"/>
  <c r="E1748"/>
  <c r="D1748"/>
  <c r="E1736"/>
  <c r="D1736"/>
  <c r="E1712"/>
  <c r="D1712"/>
  <c r="E1700"/>
  <c r="D1700"/>
  <c r="E1688"/>
  <c r="D1688"/>
  <c r="E1664"/>
  <c r="D1664"/>
  <c r="E1652"/>
  <c r="D1652"/>
  <c r="E1640"/>
  <c r="D1640"/>
  <c r="E1616"/>
  <c r="D1616"/>
  <c r="E1604"/>
  <c r="D1604"/>
  <c r="E1592"/>
  <c r="D1592"/>
  <c r="E1580"/>
  <c r="D1580"/>
  <c r="E1568"/>
  <c r="D1568"/>
  <c r="E1556"/>
  <c r="D1556"/>
  <c r="E1544"/>
  <c r="D1544"/>
  <c r="E1532"/>
  <c r="D1532"/>
  <c r="E1520"/>
  <c r="D1520"/>
  <c r="E1508"/>
  <c r="D1508"/>
  <c r="E1496"/>
  <c r="D1496"/>
  <c r="E1484"/>
  <c r="D1484"/>
  <c r="E1472"/>
  <c r="D1472"/>
  <c r="E1460"/>
  <c r="D1460"/>
  <c r="E1448"/>
  <c r="D1448"/>
  <c r="E1436"/>
  <c r="D1436"/>
  <c r="E1424"/>
  <c r="D1424"/>
  <c r="E1412"/>
  <c r="D1412"/>
  <c r="E1400"/>
  <c r="D1400"/>
  <c r="E1388"/>
  <c r="D1388"/>
  <c r="E1376"/>
  <c r="D1376"/>
  <c r="E1364"/>
  <c r="D1364"/>
  <c r="E1352"/>
  <c r="D1352"/>
  <c r="E1340"/>
  <c r="D1340"/>
  <c r="E1328"/>
  <c r="D1328"/>
  <c r="E1316"/>
  <c r="D1316"/>
  <c r="E1304"/>
  <c r="D1304"/>
  <c r="E1292"/>
  <c r="D1292"/>
  <c r="E1280"/>
  <c r="D1280"/>
  <c r="E1268"/>
  <c r="D1268"/>
  <c r="E1256"/>
  <c r="D1256"/>
  <c r="E1244"/>
  <c r="D1244"/>
  <c r="E1232"/>
  <c r="D1232"/>
  <c r="E1220"/>
  <c r="D1220"/>
  <c r="E1208"/>
  <c r="D1208"/>
  <c r="E1196"/>
  <c r="D1196"/>
  <c r="E1184"/>
  <c r="D1184"/>
  <c r="E1172"/>
  <c r="D1172"/>
  <c r="E1160"/>
  <c r="D1160"/>
  <c r="E1148"/>
  <c r="D1148"/>
  <c r="E1136"/>
  <c r="D1136"/>
  <c r="E1124"/>
  <c r="D1124"/>
  <c r="E1112"/>
  <c r="D1112"/>
  <c r="E1100"/>
  <c r="D1100"/>
  <c r="E1088"/>
  <c r="D1088"/>
  <c r="E1076"/>
  <c r="D1076"/>
  <c r="E1064"/>
  <c r="D1064"/>
  <c r="E1052"/>
  <c r="D1052"/>
  <c r="E1040"/>
  <c r="D1040"/>
  <c r="E1028"/>
  <c r="D1028"/>
  <c r="E1016"/>
  <c r="D1016"/>
  <c r="E1004"/>
  <c r="D1004"/>
  <c r="E992"/>
  <c r="D992"/>
  <c r="E980"/>
  <c r="D980"/>
  <c r="E968"/>
  <c r="D968"/>
  <c r="E956"/>
  <c r="D956"/>
  <c r="E944"/>
  <c r="D944"/>
  <c r="E932"/>
  <c r="D932"/>
  <c r="E920"/>
  <c r="D920"/>
  <c r="E908"/>
  <c r="D908"/>
  <c r="E896"/>
  <c r="D896"/>
  <c r="E884"/>
  <c r="D884"/>
  <c r="E872"/>
  <c r="D872"/>
  <c r="E860"/>
  <c r="D860"/>
  <c r="E848"/>
  <c r="D848"/>
  <c r="E836"/>
  <c r="D836"/>
  <c r="E824"/>
  <c r="D824"/>
  <c r="E812"/>
  <c r="D812"/>
  <c r="E800"/>
  <c r="D800"/>
  <c r="E788"/>
  <c r="D788"/>
  <c r="E776"/>
  <c r="D776"/>
  <c r="E764"/>
  <c r="D764"/>
  <c r="E752"/>
  <c r="D752"/>
  <c r="E740"/>
  <c r="D740"/>
  <c r="E728"/>
  <c r="D728"/>
  <c r="E716"/>
  <c r="D716"/>
  <c r="E704"/>
  <c r="D704"/>
  <c r="E692"/>
  <c r="D692"/>
  <c r="E680"/>
  <c r="D680"/>
  <c r="E668"/>
  <c r="D668"/>
  <c r="E656"/>
  <c r="D656"/>
  <c r="E644"/>
  <c r="D644"/>
  <c r="E632"/>
  <c r="D632"/>
  <c r="E620"/>
  <c r="D620"/>
  <c r="E608"/>
  <c r="D608"/>
  <c r="E596"/>
  <c r="D596"/>
  <c r="E584"/>
  <c r="D584"/>
  <c r="E572"/>
  <c r="D572"/>
  <c r="E560"/>
  <c r="D560"/>
  <c r="E548"/>
  <c r="D548"/>
  <c r="E536"/>
  <c r="D536"/>
  <c r="E524"/>
  <c r="D524"/>
  <c r="E512"/>
  <c r="D512"/>
  <c r="E500"/>
  <c r="D500"/>
  <c r="E488"/>
  <c r="D488"/>
  <c r="E476"/>
  <c r="D476"/>
  <c r="E464"/>
  <c r="D464"/>
  <c r="E452"/>
  <c r="D452"/>
  <c r="E440"/>
  <c r="D440"/>
  <c r="E428"/>
  <c r="D428"/>
  <c r="E416"/>
  <c r="D416"/>
  <c r="E404"/>
  <c r="D404"/>
  <c r="E392"/>
  <c r="D392"/>
  <c r="E380"/>
  <c r="D380"/>
  <c r="E368"/>
  <c r="D368"/>
  <c r="E356"/>
  <c r="D356"/>
  <c r="E344"/>
  <c r="D344"/>
  <c r="E332"/>
  <c r="D332"/>
  <c r="E320"/>
  <c r="D320"/>
  <c r="E308"/>
  <c r="D308"/>
  <c r="E296"/>
  <c r="D296"/>
  <c r="E284"/>
  <c r="D284"/>
  <c r="E272"/>
  <c r="D272"/>
  <c r="E260"/>
  <c r="D260"/>
  <c r="E248"/>
  <c r="D248"/>
  <c r="E236"/>
  <c r="D236"/>
  <c r="E224"/>
  <c r="D224"/>
  <c r="E212"/>
  <c r="D212"/>
  <c r="E200"/>
  <c r="D200"/>
  <c r="E188"/>
  <c r="D188"/>
  <c r="E176"/>
  <c r="D176"/>
  <c r="E164"/>
  <c r="D164"/>
  <c r="E152"/>
  <c r="D152"/>
  <c r="E140"/>
  <c r="D140"/>
  <c r="E128"/>
  <c r="D128"/>
  <c r="E116"/>
  <c r="D116"/>
  <c r="E104"/>
  <c r="D104"/>
  <c r="E92"/>
  <c r="D92"/>
  <c r="E80"/>
  <c r="D80"/>
  <c r="E68"/>
  <c r="D68"/>
  <c r="E56"/>
  <c r="D56"/>
  <c r="E44"/>
  <c r="D44"/>
  <c r="E32"/>
  <c r="D32"/>
  <c r="E20"/>
  <c r="D20"/>
  <c r="E8"/>
  <c r="D8"/>
  <c r="D1669"/>
  <c r="D1272"/>
  <c r="D840"/>
  <c r="D408"/>
  <c r="E2937"/>
  <c r="D2937"/>
  <c r="E2925"/>
  <c r="D2925"/>
  <c r="E2913"/>
  <c r="D2913"/>
  <c r="E2901"/>
  <c r="D2901"/>
  <c r="E2889"/>
  <c r="D2889"/>
  <c r="E2877"/>
  <c r="D2877"/>
  <c r="E2865"/>
  <c r="D2865"/>
  <c r="E2853"/>
  <c r="D2853"/>
  <c r="E2841"/>
  <c r="D2841"/>
  <c r="E2829"/>
  <c r="D2829"/>
  <c r="E2817"/>
  <c r="D2817"/>
  <c r="E2805"/>
  <c r="D2805"/>
  <c r="E2793"/>
  <c r="D2793"/>
  <c r="E2781"/>
  <c r="D2781"/>
  <c r="E2769"/>
  <c r="D2769"/>
  <c r="E2757"/>
  <c r="D2757"/>
  <c r="E2745"/>
  <c r="D2745"/>
  <c r="E2733"/>
  <c r="D2733"/>
  <c r="E2721"/>
  <c r="D2721"/>
  <c r="E2709"/>
  <c r="D2709"/>
  <c r="E2697"/>
  <c r="D2697"/>
  <c r="E2685"/>
  <c r="D2685"/>
  <c r="E2673"/>
  <c r="D2673"/>
  <c r="E2661"/>
  <c r="D2661"/>
  <c r="E2649"/>
  <c r="D2649"/>
  <c r="E2637"/>
  <c r="D2637"/>
  <c r="E2625"/>
  <c r="D2625"/>
  <c r="E2613"/>
  <c r="D2613"/>
  <c r="E2601"/>
  <c r="D2601"/>
  <c r="E2589"/>
  <c r="D2589"/>
  <c r="E2577"/>
  <c r="D2577"/>
  <c r="E2565"/>
  <c r="D2565"/>
  <c r="E2553"/>
  <c r="D2553"/>
  <c r="E2541"/>
  <c r="D2541"/>
  <c r="E2529"/>
  <c r="D2529"/>
  <c r="E2517"/>
  <c r="D2517"/>
  <c r="E2505"/>
  <c r="D2505"/>
  <c r="E2493"/>
  <c r="D2493"/>
  <c r="E2481"/>
  <c r="D2481"/>
  <c r="E2469"/>
  <c r="D2469"/>
  <c r="E2457"/>
  <c r="D2457"/>
  <c r="E2445"/>
  <c r="D2445"/>
  <c r="E2433"/>
  <c r="D2433"/>
  <c r="E2421"/>
  <c r="D2421"/>
  <c r="E2409"/>
  <c r="D2409"/>
  <c r="E2397"/>
  <c r="D2397"/>
  <c r="E2385"/>
  <c r="D2385"/>
  <c r="E2373"/>
  <c r="D2373"/>
  <c r="E2361"/>
  <c r="D2361"/>
  <c r="E2349"/>
  <c r="D2349"/>
  <c r="E2337"/>
  <c r="D2337"/>
  <c r="E2325"/>
  <c r="D2325"/>
  <c r="E2313"/>
  <c r="D2313"/>
  <c r="E2301"/>
  <c r="D2301"/>
  <c r="E2289"/>
  <c r="D2289"/>
  <c r="E2277"/>
  <c r="D2277"/>
  <c r="E2265"/>
  <c r="D2265"/>
  <c r="E2253"/>
  <c r="D2253"/>
  <c r="E2241"/>
  <c r="D2241"/>
  <c r="E2229"/>
  <c r="D2229"/>
  <c r="E2217"/>
  <c r="D2217"/>
  <c r="E2205"/>
  <c r="D2205"/>
  <c r="E2193"/>
  <c r="D2193"/>
  <c r="E2181"/>
  <c r="D2181"/>
  <c r="E2169"/>
  <c r="D2169"/>
  <c r="E2157"/>
  <c r="D2157"/>
  <c r="E2145"/>
  <c r="D2145"/>
  <c r="E2133"/>
  <c r="D2133"/>
  <c r="E2121"/>
  <c r="D2121"/>
  <c r="E2109"/>
  <c r="D2109"/>
  <c r="E2097"/>
  <c r="D2097"/>
  <c r="E2085"/>
  <c r="D2085"/>
  <c r="E2073"/>
  <c r="D2073"/>
  <c r="E2061"/>
  <c r="D2061"/>
  <c r="E2049"/>
  <c r="D2049"/>
  <c r="E2037"/>
  <c r="D2037"/>
  <c r="E2025"/>
  <c r="D2025"/>
  <c r="E2013"/>
  <c r="D2013"/>
  <c r="E2001"/>
  <c r="D2001"/>
  <c r="E1989"/>
  <c r="D1989"/>
  <c r="E1977"/>
  <c r="D1977"/>
  <c r="E1965"/>
  <c r="D1965"/>
  <c r="E1953"/>
  <c r="D1953"/>
  <c r="E1941"/>
  <c r="D1941"/>
  <c r="E1929"/>
  <c r="D1929"/>
  <c r="E1917"/>
  <c r="D1917"/>
  <c r="E1905"/>
  <c r="D1905"/>
  <c r="E1893"/>
  <c r="D1893"/>
  <c r="E1881"/>
  <c r="D1881"/>
  <c r="E1869"/>
  <c r="D1869"/>
  <c r="E1857"/>
  <c r="D1857"/>
  <c r="E1845"/>
  <c r="D1845"/>
  <c r="E1833"/>
  <c r="D1833"/>
  <c r="E1821"/>
  <c r="D1821"/>
  <c r="E1809"/>
  <c r="D1809"/>
  <c r="E1797"/>
  <c r="D1797"/>
  <c r="E1785"/>
  <c r="D1785"/>
  <c r="E1773"/>
  <c r="D1773"/>
  <c r="E1761"/>
  <c r="D1761"/>
  <c r="E1749"/>
  <c r="D1749"/>
  <c r="E1737"/>
  <c r="D1737"/>
  <c r="E1725"/>
  <c r="D1725"/>
  <c r="E1713"/>
  <c r="D1713"/>
  <c r="E1701"/>
  <c r="D1701"/>
  <c r="E1689"/>
  <c r="D1689"/>
  <c r="E1677"/>
  <c r="D1677"/>
  <c r="E1665"/>
  <c r="D1665"/>
  <c r="E1653"/>
  <c r="D1653"/>
  <c r="E1641"/>
  <c r="D1641"/>
  <c r="E1629"/>
  <c r="D1629"/>
  <c r="E1617"/>
  <c r="D1617"/>
  <c r="E1605"/>
  <c r="D1605"/>
  <c r="E1593"/>
  <c r="D1593"/>
  <c r="E1581"/>
  <c r="D1581"/>
  <c r="E1569"/>
  <c r="D1569"/>
  <c r="E1557"/>
  <c r="D1557"/>
  <c r="E1545"/>
  <c r="D1545"/>
  <c r="E1533"/>
  <c r="D1533"/>
  <c r="E1521"/>
  <c r="D1521"/>
  <c r="E1509"/>
  <c r="D1509"/>
  <c r="E1497"/>
  <c r="D1497"/>
  <c r="E1485"/>
  <c r="D1485"/>
  <c r="E1473"/>
  <c r="D1473"/>
  <c r="E1461"/>
  <c r="D1461"/>
  <c r="E1449"/>
  <c r="D1449"/>
  <c r="E1437"/>
  <c r="D1437"/>
  <c r="E1425"/>
  <c r="D1425"/>
  <c r="E1413"/>
  <c r="D1413"/>
  <c r="E1401"/>
  <c r="D1401"/>
  <c r="E1389"/>
  <c r="D1389"/>
  <c r="E1377"/>
  <c r="D1377"/>
  <c r="E1365"/>
  <c r="D1365"/>
  <c r="E1353"/>
  <c r="D1353"/>
  <c r="E1341"/>
  <c r="D1341"/>
  <c r="E1329"/>
  <c r="D1329"/>
  <c r="E1317"/>
  <c r="D1317"/>
  <c r="E1305"/>
  <c r="D1305"/>
  <c r="E1293"/>
  <c r="D1293"/>
  <c r="E1281"/>
  <c r="D1281"/>
  <c r="E1269"/>
  <c r="D1269"/>
  <c r="E1257"/>
  <c r="D1257"/>
  <c r="E1245"/>
  <c r="D1245"/>
  <c r="E1233"/>
  <c r="D1233"/>
  <c r="E1221"/>
  <c r="D1221"/>
  <c r="E1209"/>
  <c r="D1209"/>
  <c r="E1197"/>
  <c r="D1197"/>
  <c r="E1185"/>
  <c r="D1185"/>
  <c r="E1173"/>
  <c r="D1173"/>
  <c r="E1161"/>
  <c r="D1161"/>
  <c r="E1149"/>
  <c r="D1149"/>
  <c r="E1137"/>
  <c r="D1137"/>
  <c r="E1125"/>
  <c r="D1125"/>
  <c r="E1113"/>
  <c r="D1113"/>
  <c r="E1101"/>
  <c r="D1101"/>
  <c r="E1089"/>
  <c r="D1089"/>
  <c r="E1077"/>
  <c r="D1077"/>
  <c r="E1065"/>
  <c r="D1065"/>
  <c r="E1053"/>
  <c r="D1053"/>
  <c r="E1041"/>
  <c r="D1041"/>
  <c r="E1029"/>
  <c r="D1029"/>
  <c r="E1017"/>
  <c r="D1017"/>
  <c r="E1005"/>
  <c r="D1005"/>
  <c r="E993"/>
  <c r="D993"/>
  <c r="E981"/>
  <c r="D981"/>
  <c r="E969"/>
  <c r="D969"/>
  <c r="E957"/>
  <c r="D957"/>
  <c r="E945"/>
  <c r="D945"/>
  <c r="E933"/>
  <c r="D933"/>
  <c r="E921"/>
  <c r="D921"/>
  <c r="E909"/>
  <c r="D909"/>
  <c r="E897"/>
  <c r="D897"/>
  <c r="E885"/>
  <c r="D885"/>
  <c r="E873"/>
  <c r="D873"/>
  <c r="E861"/>
  <c r="D861"/>
  <c r="E849"/>
  <c r="D849"/>
  <c r="E837"/>
  <c r="D837"/>
  <c r="E825"/>
  <c r="D825"/>
  <c r="E813"/>
  <c r="D813"/>
  <c r="E801"/>
  <c r="D801"/>
  <c r="E789"/>
  <c r="D789"/>
  <c r="E777"/>
  <c r="D777"/>
  <c r="E765"/>
  <c r="D765"/>
  <c r="E753"/>
  <c r="D753"/>
  <c r="E741"/>
  <c r="D741"/>
  <c r="E729"/>
  <c r="D729"/>
  <c r="E717"/>
  <c r="D717"/>
  <c r="E705"/>
  <c r="D705"/>
  <c r="E693"/>
  <c r="D693"/>
  <c r="E681"/>
  <c r="D681"/>
  <c r="E669"/>
  <c r="D669"/>
  <c r="E657"/>
  <c r="D657"/>
  <c r="E645"/>
  <c r="D645"/>
  <c r="E633"/>
  <c r="D633"/>
  <c r="E621"/>
  <c r="D621"/>
  <c r="E609"/>
  <c r="D609"/>
  <c r="E597"/>
  <c r="D597"/>
  <c r="E585"/>
  <c r="D585"/>
  <c r="E573"/>
  <c r="D573"/>
  <c r="E561"/>
  <c r="D561"/>
  <c r="E549"/>
  <c r="D549"/>
  <c r="E537"/>
  <c r="D537"/>
  <c r="E525"/>
  <c r="D525"/>
  <c r="E513"/>
  <c r="D513"/>
  <c r="E501"/>
  <c r="D501"/>
  <c r="E489"/>
  <c r="D489"/>
  <c r="E477"/>
  <c r="D477"/>
  <c r="E465"/>
  <c r="D465"/>
  <c r="E453"/>
  <c r="D453"/>
  <c r="E441"/>
  <c r="D441"/>
  <c r="E429"/>
  <c r="D429"/>
  <c r="E417"/>
  <c r="D417"/>
  <c r="E405"/>
  <c r="D405"/>
  <c r="E393"/>
  <c r="D393"/>
  <c r="E381"/>
  <c r="D381"/>
  <c r="E369"/>
  <c r="D369"/>
  <c r="E357"/>
  <c r="D357"/>
  <c r="E345"/>
  <c r="D345"/>
  <c r="E333"/>
  <c r="D333"/>
  <c r="E321"/>
  <c r="D321"/>
  <c r="E309"/>
  <c r="D309"/>
  <c r="E297"/>
  <c r="D297"/>
  <c r="E285"/>
  <c r="D285"/>
  <c r="E273"/>
  <c r="D273"/>
  <c r="E261"/>
  <c r="D261"/>
  <c r="E249"/>
  <c r="D249"/>
  <c r="E237"/>
  <c r="D237"/>
  <c r="E225"/>
  <c r="D225"/>
  <c r="E213"/>
  <c r="D213"/>
  <c r="E201"/>
  <c r="D201"/>
  <c r="E189"/>
  <c r="D189"/>
  <c r="E177"/>
  <c r="D177"/>
  <c r="E165"/>
  <c r="D165"/>
  <c r="E153"/>
  <c r="D153"/>
  <c r="E141"/>
  <c r="D141"/>
  <c r="E129"/>
  <c r="D129"/>
  <c r="E117"/>
  <c r="D117"/>
  <c r="E105"/>
  <c r="D105"/>
  <c r="E93"/>
  <c r="D93"/>
  <c r="E81"/>
  <c r="D81"/>
  <c r="E69"/>
  <c r="D69"/>
  <c r="E57"/>
  <c r="D57"/>
  <c r="E45"/>
  <c r="D45"/>
  <c r="E33"/>
  <c r="D33"/>
  <c r="E21"/>
  <c r="D21"/>
  <c r="E9"/>
  <c r="D9"/>
  <c r="D2828"/>
  <c r="D2540"/>
  <c r="D2252"/>
  <c r="D1964"/>
  <c r="D1676"/>
  <c r="D1273"/>
  <c r="D841"/>
  <c r="D409"/>
  <c r="E2998"/>
  <c r="D2998"/>
  <c r="E2986"/>
  <c r="D2986"/>
  <c r="E2974"/>
  <c r="D2974"/>
  <c r="E2962"/>
  <c r="D2962"/>
  <c r="E2950"/>
  <c r="D2950"/>
  <c r="E2938"/>
  <c r="D2938"/>
  <c r="E2926"/>
  <c r="D2926"/>
  <c r="E2914"/>
  <c r="D2914"/>
  <c r="E2902"/>
  <c r="D2902"/>
  <c r="E2890"/>
  <c r="D2890"/>
  <c r="E2878"/>
  <c r="D2878"/>
  <c r="E2866"/>
  <c r="D2866"/>
  <c r="E2854"/>
  <c r="D2854"/>
  <c r="E2842"/>
  <c r="D2842"/>
  <c r="E2830"/>
  <c r="D2830"/>
  <c r="E2818"/>
  <c r="D2818"/>
  <c r="E2806"/>
  <c r="D2806"/>
  <c r="E2794"/>
  <c r="D2794"/>
  <c r="E2782"/>
  <c r="D2782"/>
  <c r="E2770"/>
  <c r="D2770"/>
  <c r="E2758"/>
  <c r="D2758"/>
  <c r="E2746"/>
  <c r="D2746"/>
  <c r="E2734"/>
  <c r="D2734"/>
  <c r="E2722"/>
  <c r="D2722"/>
  <c r="E2710"/>
  <c r="D2710"/>
  <c r="E2698"/>
  <c r="D2698"/>
  <c r="E2686"/>
  <c r="D2686"/>
  <c r="E2674"/>
  <c r="D2674"/>
  <c r="E2662"/>
  <c r="D2662"/>
  <c r="E2650"/>
  <c r="D2650"/>
  <c r="E2638"/>
  <c r="D2638"/>
  <c r="E2626"/>
  <c r="D2626"/>
  <c r="E2614"/>
  <c r="D2614"/>
  <c r="E2602"/>
  <c r="D2602"/>
  <c r="E2590"/>
  <c r="D2590"/>
  <c r="E2578"/>
  <c r="D2578"/>
  <c r="E2566"/>
  <c r="D2566"/>
  <c r="E2554"/>
  <c r="D2554"/>
  <c r="E2542"/>
  <c r="D2542"/>
  <c r="E2530"/>
  <c r="D2530"/>
  <c r="E2518"/>
  <c r="D2518"/>
  <c r="E2506"/>
  <c r="D2506"/>
  <c r="E2494"/>
  <c r="D2494"/>
  <c r="E2482"/>
  <c r="D2482"/>
  <c r="E2470"/>
  <c r="D2470"/>
  <c r="E2458"/>
  <c r="D2458"/>
  <c r="E2446"/>
  <c r="D2446"/>
  <c r="E2434"/>
  <c r="D2434"/>
  <c r="E2422"/>
  <c r="D2422"/>
  <c r="E2410"/>
  <c r="D2410"/>
  <c r="E2398"/>
  <c r="D2398"/>
  <c r="E2386"/>
  <c r="D2386"/>
  <c r="E2374"/>
  <c r="D2374"/>
  <c r="E2362"/>
  <c r="D2362"/>
  <c r="E2350"/>
  <c r="D2350"/>
  <c r="E2338"/>
  <c r="D2338"/>
  <c r="E2326"/>
  <c r="D2326"/>
  <c r="E2314"/>
  <c r="D2314"/>
  <c r="E2302"/>
  <c r="D2302"/>
  <c r="E2290"/>
  <c r="D2290"/>
  <c r="E2278"/>
  <c r="D2278"/>
  <c r="E2266"/>
  <c r="D2266"/>
  <c r="E2254"/>
  <c r="D2254"/>
  <c r="E2242"/>
  <c r="D2242"/>
  <c r="E2230"/>
  <c r="D2230"/>
  <c r="E2218"/>
  <c r="D2218"/>
  <c r="E2206"/>
  <c r="D2206"/>
  <c r="E2194"/>
  <c r="D2194"/>
  <c r="E2182"/>
  <c r="D2182"/>
  <c r="E2170"/>
  <c r="D2170"/>
  <c r="E2158"/>
  <c r="D2158"/>
  <c r="E2146"/>
  <c r="D2146"/>
  <c r="E2134"/>
  <c r="D2134"/>
  <c r="E2122"/>
  <c r="D2122"/>
  <c r="E2110"/>
  <c r="D2110"/>
  <c r="E2098"/>
  <c r="D2098"/>
  <c r="E2086"/>
  <c r="D2086"/>
  <c r="E2074"/>
  <c r="D2074"/>
  <c r="E2062"/>
  <c r="D2062"/>
  <c r="E2050"/>
  <c r="D2050"/>
  <c r="E2038"/>
  <c r="D2038"/>
  <c r="E2026"/>
  <c r="D2026"/>
  <c r="E2014"/>
  <c r="D2014"/>
  <c r="E2002"/>
  <c r="D2002"/>
  <c r="E1990"/>
  <c r="D1990"/>
  <c r="E1978"/>
  <c r="D1978"/>
  <c r="E1966"/>
  <c r="D1966"/>
  <c r="E1954"/>
  <c r="D1954"/>
  <c r="E1942"/>
  <c r="D1942"/>
  <c r="E1930"/>
  <c r="D1930"/>
  <c r="E1918"/>
  <c r="D1918"/>
  <c r="E1906"/>
  <c r="D1906"/>
  <c r="E1894"/>
  <c r="D1894"/>
  <c r="E1882"/>
  <c r="D1882"/>
  <c r="E1870"/>
  <c r="D1870"/>
  <c r="E1858"/>
  <c r="D1858"/>
  <c r="E1846"/>
  <c r="D1846"/>
  <c r="E1834"/>
  <c r="D1834"/>
  <c r="E1822"/>
  <c r="D1822"/>
  <c r="E1810"/>
  <c r="D1810"/>
  <c r="E1798"/>
  <c r="D1798"/>
  <c r="E1786"/>
  <c r="D1786"/>
  <c r="E1774"/>
  <c r="D1774"/>
  <c r="E1762"/>
  <c r="D1762"/>
  <c r="E1750"/>
  <c r="D1750"/>
  <c r="E1738"/>
  <c r="D1738"/>
  <c r="E1726"/>
  <c r="D1726"/>
  <c r="E1714"/>
  <c r="D1714"/>
  <c r="E1702"/>
  <c r="D1702"/>
  <c r="E1690"/>
  <c r="D1690"/>
  <c r="E1678"/>
  <c r="D1678"/>
  <c r="E1666"/>
  <c r="D1666"/>
  <c r="E1654"/>
  <c r="D1654"/>
  <c r="E1642"/>
  <c r="D1642"/>
  <c r="E1630"/>
  <c r="D1630"/>
  <c r="E1618"/>
  <c r="D1618"/>
  <c r="E1606"/>
  <c r="D1606"/>
  <c r="E1594"/>
  <c r="D1594"/>
  <c r="E1582"/>
  <c r="D1582"/>
  <c r="E1570"/>
  <c r="D1570"/>
  <c r="E1558"/>
  <c r="D1558"/>
  <c r="E1546"/>
  <c r="D1546"/>
  <c r="E1534"/>
  <c r="D1534"/>
  <c r="E1522"/>
  <c r="D1522"/>
  <c r="E1510"/>
  <c r="D1510"/>
  <c r="E1498"/>
  <c r="D1498"/>
  <c r="E1486"/>
  <c r="D1486"/>
  <c r="E1474"/>
  <c r="D1474"/>
  <c r="E1462"/>
  <c r="D1462"/>
  <c r="E1450"/>
  <c r="D1450"/>
  <c r="E1438"/>
  <c r="D1438"/>
  <c r="E1426"/>
  <c r="D1426"/>
  <c r="E1414"/>
  <c r="D1414"/>
  <c r="E1402"/>
  <c r="D1402"/>
  <c r="E1390"/>
  <c r="D1390"/>
  <c r="E1378"/>
  <c r="D1378"/>
  <c r="E1366"/>
  <c r="D1366"/>
  <c r="E1354"/>
  <c r="D1354"/>
  <c r="E1342"/>
  <c r="D1342"/>
  <c r="E1330"/>
  <c r="D1330"/>
  <c r="E1318"/>
  <c r="D1318"/>
  <c r="E1306"/>
  <c r="D1306"/>
  <c r="E1294"/>
  <c r="D1294"/>
  <c r="E1282"/>
  <c r="D1282"/>
  <c r="E1270"/>
  <c r="D1270"/>
  <c r="E1258"/>
  <c r="D1258"/>
  <c r="E1246"/>
  <c r="D1246"/>
  <c r="E1234"/>
  <c r="D1234"/>
  <c r="E1222"/>
  <c r="D1222"/>
  <c r="E1210"/>
  <c r="D1210"/>
  <c r="E1198"/>
  <c r="D1198"/>
  <c r="E1186"/>
  <c r="D1186"/>
  <c r="E1174"/>
  <c r="D1174"/>
  <c r="E1162"/>
  <c r="D1162"/>
  <c r="E1150"/>
  <c r="D1150"/>
  <c r="E1138"/>
  <c r="D1138"/>
  <c r="E1126"/>
  <c r="D1126"/>
  <c r="E1114"/>
  <c r="D1114"/>
  <c r="E1102"/>
  <c r="D1102"/>
  <c r="E1090"/>
  <c r="D1090"/>
  <c r="E1078"/>
  <c r="D1078"/>
  <c r="E1066"/>
  <c r="D1066"/>
  <c r="E1054"/>
  <c r="D1054"/>
  <c r="E1042"/>
  <c r="D1042"/>
  <c r="E1030"/>
  <c r="D1030"/>
  <c r="E1018"/>
  <c r="D1018"/>
  <c r="E1006"/>
  <c r="D1006"/>
  <c r="E994"/>
  <c r="D994"/>
  <c r="E982"/>
  <c r="D982"/>
  <c r="E970"/>
  <c r="D970"/>
  <c r="E958"/>
  <c r="D958"/>
  <c r="E946"/>
  <c r="D946"/>
  <c r="E934"/>
  <c r="D934"/>
  <c r="E922"/>
  <c r="D922"/>
  <c r="E910"/>
  <c r="D910"/>
  <c r="E898"/>
  <c r="D898"/>
  <c r="E886"/>
  <c r="D886"/>
  <c r="E874"/>
  <c r="D874"/>
  <c r="E862"/>
  <c r="D862"/>
  <c r="E850"/>
  <c r="D850"/>
  <c r="E838"/>
  <c r="D838"/>
  <c r="E826"/>
  <c r="D826"/>
  <c r="E814"/>
  <c r="D814"/>
  <c r="E802"/>
  <c r="D802"/>
  <c r="E790"/>
  <c r="D790"/>
  <c r="E778"/>
  <c r="D778"/>
  <c r="E766"/>
  <c r="D766"/>
  <c r="E754"/>
  <c r="D754"/>
  <c r="E742"/>
  <c r="D742"/>
  <c r="E730"/>
  <c r="D730"/>
  <c r="E718"/>
  <c r="D718"/>
  <c r="E706"/>
  <c r="D706"/>
  <c r="E694"/>
  <c r="D694"/>
  <c r="E682"/>
  <c r="D682"/>
  <c r="E670"/>
  <c r="D670"/>
  <c r="E658"/>
  <c r="D658"/>
  <c r="E646"/>
  <c r="D646"/>
  <c r="E634"/>
  <c r="D634"/>
  <c r="E622"/>
  <c r="D622"/>
  <c r="E610"/>
  <c r="D610"/>
  <c r="E598"/>
  <c r="D598"/>
  <c r="E586"/>
  <c r="D586"/>
  <c r="E574"/>
  <c r="D574"/>
  <c r="E562"/>
  <c r="D562"/>
  <c r="E550"/>
  <c r="D550"/>
  <c r="E538"/>
  <c r="D538"/>
  <c r="E526"/>
  <c r="D526"/>
  <c r="E514"/>
  <c r="D514"/>
  <c r="E502"/>
  <c r="D502"/>
  <c r="E490"/>
  <c r="D490"/>
  <c r="E478"/>
  <c r="D478"/>
  <c r="E466"/>
  <c r="D466"/>
  <c r="E454"/>
  <c r="D454"/>
  <c r="E442"/>
  <c r="D442"/>
  <c r="E430"/>
  <c r="D430"/>
  <c r="E418"/>
  <c r="D418"/>
  <c r="E406"/>
  <c r="D406"/>
  <c r="E394"/>
  <c r="D394"/>
  <c r="E382"/>
  <c r="D382"/>
  <c r="E370"/>
  <c r="D370"/>
  <c r="E358"/>
  <c r="D358"/>
  <c r="E346"/>
  <c r="D346"/>
  <c r="E334"/>
  <c r="D334"/>
  <c r="E322"/>
  <c r="D322"/>
  <c r="E310"/>
  <c r="D310"/>
  <c r="E298"/>
  <c r="D298"/>
  <c r="E286"/>
  <c r="D286"/>
  <c r="E274"/>
  <c r="D274"/>
  <c r="E262"/>
  <c r="D262"/>
  <c r="E250"/>
  <c r="D250"/>
  <c r="E238"/>
  <c r="D238"/>
  <c r="E226"/>
  <c r="D226"/>
  <c r="E214"/>
  <c r="D214"/>
  <c r="E202"/>
  <c r="D202"/>
  <c r="E190"/>
  <c r="D190"/>
  <c r="E178"/>
  <c r="D178"/>
  <c r="E166"/>
  <c r="D166"/>
  <c r="E154"/>
  <c r="D154"/>
  <c r="E142"/>
  <c r="D142"/>
  <c r="E130"/>
  <c r="D130"/>
  <c r="E118"/>
  <c r="D118"/>
  <c r="E106"/>
  <c r="D106"/>
  <c r="E94"/>
  <c r="D94"/>
  <c r="E82"/>
  <c r="D82"/>
  <c r="E70"/>
  <c r="D70"/>
  <c r="E58"/>
  <c r="D58"/>
  <c r="E46"/>
  <c r="D46"/>
  <c r="E34"/>
  <c r="D34"/>
  <c r="E22"/>
  <c r="D22"/>
  <c r="E10"/>
  <c r="D10"/>
  <c r="D1717"/>
  <c r="D1344"/>
  <c r="D912"/>
  <c r="D480"/>
  <c r="D48"/>
  <c r="E2939"/>
  <c r="D2939"/>
  <c r="E2927"/>
  <c r="D2927"/>
  <c r="E2915"/>
  <c r="D2915"/>
  <c r="E2903"/>
  <c r="D2903"/>
  <c r="E2891"/>
  <c r="D2891"/>
  <c r="E2879"/>
  <c r="D2879"/>
  <c r="E2867"/>
  <c r="D2867"/>
  <c r="E2855"/>
  <c r="D2855"/>
  <c r="E2843"/>
  <c r="D2843"/>
  <c r="E2831"/>
  <c r="D2831"/>
  <c r="E2819"/>
  <c r="D2819"/>
  <c r="E2807"/>
  <c r="D2807"/>
  <c r="E2795"/>
  <c r="D2795"/>
  <c r="E2783"/>
  <c r="D2783"/>
  <c r="E2771"/>
  <c r="D2771"/>
  <c r="E2759"/>
  <c r="D2759"/>
  <c r="E2747"/>
  <c r="D2747"/>
  <c r="E2735"/>
  <c r="D2735"/>
  <c r="E2723"/>
  <c r="D2723"/>
  <c r="E2711"/>
  <c r="D2711"/>
  <c r="E2699"/>
  <c r="D2699"/>
  <c r="E2687"/>
  <c r="D2687"/>
  <c r="E2675"/>
  <c r="D2675"/>
  <c r="E2663"/>
  <c r="D2663"/>
  <c r="E2651"/>
  <c r="D2651"/>
  <c r="E2639"/>
  <c r="D2639"/>
  <c r="E2627"/>
  <c r="D2627"/>
  <c r="E2615"/>
  <c r="D2615"/>
  <c r="E2603"/>
  <c r="D2603"/>
  <c r="E2591"/>
  <c r="D2591"/>
  <c r="E2579"/>
  <c r="D2579"/>
  <c r="E2567"/>
  <c r="D2567"/>
  <c r="E2555"/>
  <c r="D2555"/>
  <c r="E2543"/>
  <c r="D2543"/>
  <c r="E2531"/>
  <c r="D2531"/>
  <c r="E2519"/>
  <c r="D2519"/>
  <c r="E2507"/>
  <c r="D2507"/>
  <c r="E2495"/>
  <c r="D2495"/>
  <c r="E2483"/>
  <c r="D2483"/>
  <c r="E2471"/>
  <c r="D2471"/>
  <c r="E2459"/>
  <c r="D2459"/>
  <c r="E2447"/>
  <c r="D2447"/>
  <c r="E2435"/>
  <c r="D2435"/>
  <c r="E2423"/>
  <c r="D2423"/>
  <c r="E2411"/>
  <c r="D2411"/>
  <c r="E2399"/>
  <c r="D2399"/>
  <c r="E2387"/>
  <c r="D2387"/>
  <c r="E2375"/>
  <c r="D2375"/>
  <c r="E2363"/>
  <c r="D2363"/>
  <c r="E2351"/>
  <c r="D2351"/>
  <c r="E2339"/>
  <c r="D2339"/>
  <c r="E2327"/>
  <c r="D2327"/>
  <c r="E2315"/>
  <c r="D2315"/>
  <c r="E2303"/>
  <c r="D2303"/>
  <c r="E2291"/>
  <c r="D2291"/>
  <c r="E2279"/>
  <c r="D2279"/>
  <c r="E2267"/>
  <c r="D2267"/>
  <c r="E2255"/>
  <c r="D2255"/>
  <c r="E2243"/>
  <c r="D2243"/>
  <c r="E2231"/>
  <c r="D2231"/>
  <c r="E2219"/>
  <c r="D2219"/>
  <c r="E2207"/>
  <c r="D2207"/>
  <c r="E2195"/>
  <c r="D2195"/>
  <c r="E2183"/>
  <c r="D2183"/>
  <c r="E2171"/>
  <c r="D2171"/>
  <c r="E2159"/>
  <c r="D2159"/>
  <c r="E2147"/>
  <c r="D2147"/>
  <c r="E2135"/>
  <c r="D2135"/>
  <c r="E2123"/>
  <c r="D2123"/>
  <c r="E2111"/>
  <c r="D2111"/>
  <c r="E2099"/>
  <c r="D2099"/>
  <c r="E2087"/>
  <c r="D2087"/>
  <c r="E2075"/>
  <c r="D2075"/>
  <c r="E2063"/>
  <c r="D2063"/>
  <c r="E2051"/>
  <c r="D2051"/>
  <c r="E2039"/>
  <c r="D2039"/>
  <c r="E2027"/>
  <c r="D2027"/>
  <c r="E2015"/>
  <c r="D2015"/>
  <c r="E2003"/>
  <c r="D2003"/>
  <c r="E1991"/>
  <c r="D1991"/>
  <c r="E1979"/>
  <c r="D1979"/>
  <c r="E1967"/>
  <c r="D1967"/>
  <c r="E1955"/>
  <c r="D1955"/>
  <c r="E1943"/>
  <c r="D1943"/>
  <c r="E1931"/>
  <c r="D1931"/>
  <c r="E1919"/>
  <c r="D1919"/>
  <c r="E1907"/>
  <c r="D1907"/>
  <c r="E1895"/>
  <c r="D1895"/>
  <c r="E1883"/>
  <c r="D1883"/>
  <c r="E1871"/>
  <c r="D1871"/>
  <c r="E1859"/>
  <c r="D1859"/>
  <c r="E1847"/>
  <c r="D1847"/>
  <c r="E1835"/>
  <c r="D1835"/>
  <c r="E1823"/>
  <c r="D1823"/>
  <c r="E1811"/>
  <c r="D1811"/>
  <c r="E1799"/>
  <c r="D1799"/>
  <c r="E1787"/>
  <c r="D1787"/>
  <c r="E1775"/>
  <c r="D1775"/>
  <c r="E1763"/>
  <c r="D1763"/>
  <c r="E1751"/>
  <c r="D1751"/>
  <c r="E1739"/>
  <c r="D1739"/>
  <c r="E1727"/>
  <c r="D1727"/>
  <c r="E1715"/>
  <c r="D1715"/>
  <c r="E1703"/>
  <c r="D1703"/>
  <c r="E1691"/>
  <c r="D1691"/>
  <c r="E1679"/>
  <c r="D1679"/>
  <c r="E1667"/>
  <c r="D1667"/>
  <c r="E1655"/>
  <c r="D1655"/>
  <c r="E1643"/>
  <c r="D1643"/>
  <c r="E1631"/>
  <c r="D1631"/>
  <c r="E1619"/>
  <c r="D1619"/>
  <c r="E1607"/>
  <c r="D1607"/>
  <c r="E1595"/>
  <c r="D1595"/>
  <c r="E1583"/>
  <c r="D1583"/>
  <c r="E1571"/>
  <c r="D1571"/>
  <c r="E1559"/>
  <c r="D1559"/>
  <c r="E1547"/>
  <c r="D1547"/>
  <c r="E1535"/>
  <c r="D1535"/>
  <c r="E1523"/>
  <c r="D1523"/>
  <c r="E1511"/>
  <c r="D1511"/>
  <c r="E1499"/>
  <c r="D1499"/>
  <c r="E1487"/>
  <c r="D1487"/>
  <c r="E1475"/>
  <c r="D1475"/>
  <c r="E1463"/>
  <c r="D1463"/>
  <c r="E1451"/>
  <c r="D1451"/>
  <c r="E1439"/>
  <c r="D1439"/>
  <c r="E1427"/>
  <c r="D1427"/>
  <c r="E1415"/>
  <c r="D1415"/>
  <c r="E1403"/>
  <c r="D1403"/>
  <c r="E1391"/>
  <c r="D1391"/>
  <c r="E1379"/>
  <c r="D1379"/>
  <c r="E1367"/>
  <c r="D1367"/>
  <c r="E1355"/>
  <c r="D1355"/>
  <c r="E1343"/>
  <c r="D1343"/>
  <c r="E1331"/>
  <c r="D1331"/>
  <c r="E1319"/>
  <c r="D1319"/>
  <c r="E1307"/>
  <c r="D1307"/>
  <c r="E1295"/>
  <c r="D1295"/>
  <c r="E1283"/>
  <c r="D1283"/>
  <c r="E1271"/>
  <c r="D1271"/>
  <c r="E1259"/>
  <c r="D1259"/>
  <c r="E1247"/>
  <c r="D1247"/>
  <c r="E1235"/>
  <c r="D1235"/>
  <c r="E1223"/>
  <c r="D1223"/>
  <c r="E1211"/>
  <c r="D1211"/>
  <c r="E1199"/>
  <c r="D1199"/>
  <c r="E1187"/>
  <c r="D1187"/>
  <c r="E1175"/>
  <c r="D1175"/>
  <c r="E1163"/>
  <c r="D1163"/>
  <c r="E1151"/>
  <c r="D1151"/>
  <c r="E1139"/>
  <c r="D1139"/>
  <c r="E1127"/>
  <c r="D1127"/>
  <c r="E1115"/>
  <c r="D1115"/>
  <c r="E1103"/>
  <c r="D1103"/>
  <c r="E1091"/>
  <c r="D1091"/>
  <c r="E1079"/>
  <c r="D1079"/>
  <c r="E1067"/>
  <c r="D1067"/>
  <c r="E1055"/>
  <c r="D1055"/>
  <c r="E1043"/>
  <c r="D1043"/>
  <c r="E1031"/>
  <c r="D1031"/>
  <c r="E1019"/>
  <c r="D1019"/>
  <c r="E1007"/>
  <c r="D1007"/>
  <c r="E995"/>
  <c r="D995"/>
  <c r="E983"/>
  <c r="D983"/>
  <c r="E971"/>
  <c r="D971"/>
  <c r="E959"/>
  <c r="D959"/>
  <c r="E947"/>
  <c r="D947"/>
  <c r="E935"/>
  <c r="D935"/>
  <c r="E923"/>
  <c r="D923"/>
  <c r="E911"/>
  <c r="D911"/>
  <c r="E899"/>
  <c r="D899"/>
  <c r="E887"/>
  <c r="D887"/>
  <c r="E875"/>
  <c r="D875"/>
  <c r="E863"/>
  <c r="D863"/>
  <c r="E851"/>
  <c r="D851"/>
  <c r="E839"/>
  <c r="D839"/>
  <c r="E827"/>
  <c r="D827"/>
  <c r="E815"/>
  <c r="D815"/>
  <c r="E803"/>
  <c r="D803"/>
  <c r="E791"/>
  <c r="D791"/>
  <c r="E779"/>
  <c r="D779"/>
  <c r="E767"/>
  <c r="D767"/>
  <c r="E755"/>
  <c r="D755"/>
  <c r="E743"/>
  <c r="D743"/>
  <c r="E731"/>
  <c r="D731"/>
  <c r="E719"/>
  <c r="D719"/>
  <c r="E707"/>
  <c r="D707"/>
  <c r="E695"/>
  <c r="D695"/>
  <c r="E683"/>
  <c r="D683"/>
  <c r="E671"/>
  <c r="D671"/>
  <c r="E659"/>
  <c r="D659"/>
  <c r="E647"/>
  <c r="D647"/>
  <c r="E635"/>
  <c r="D635"/>
  <c r="E623"/>
  <c r="D623"/>
  <c r="E611"/>
  <c r="D611"/>
  <c r="E599"/>
  <c r="D599"/>
  <c r="E587"/>
  <c r="D587"/>
  <c r="E575"/>
  <c r="D575"/>
  <c r="E563"/>
  <c r="D563"/>
  <c r="E551"/>
  <c r="D551"/>
  <c r="E539"/>
  <c r="D539"/>
  <c r="E527"/>
  <c r="D527"/>
  <c r="E515"/>
  <c r="D515"/>
  <c r="E503"/>
  <c r="D503"/>
  <c r="E491"/>
  <c r="D491"/>
  <c r="E479"/>
  <c r="D479"/>
  <c r="E467"/>
  <c r="D467"/>
  <c r="E455"/>
  <c r="D455"/>
  <c r="E443"/>
  <c r="D443"/>
  <c r="E431"/>
  <c r="D431"/>
  <c r="E419"/>
  <c r="D419"/>
  <c r="E407"/>
  <c r="D407"/>
  <c r="E395"/>
  <c r="D395"/>
  <c r="E383"/>
  <c r="D383"/>
  <c r="E371"/>
  <c r="D371"/>
  <c r="E359"/>
  <c r="D359"/>
  <c r="E347"/>
  <c r="D347"/>
  <c r="E335"/>
  <c r="D335"/>
  <c r="E323"/>
  <c r="D323"/>
  <c r="E311"/>
  <c r="D311"/>
  <c r="E299"/>
  <c r="D299"/>
  <c r="E287"/>
  <c r="D287"/>
  <c r="E275"/>
  <c r="D275"/>
  <c r="E263"/>
  <c r="D263"/>
  <c r="E251"/>
  <c r="D251"/>
  <c r="E239"/>
  <c r="D239"/>
  <c r="E227"/>
  <c r="D227"/>
  <c r="E215"/>
  <c r="D215"/>
  <c r="E203"/>
  <c r="D203"/>
  <c r="E191"/>
  <c r="D191"/>
  <c r="E179"/>
  <c r="D179"/>
  <c r="E167"/>
  <c r="D167"/>
  <c r="E155"/>
  <c r="D155"/>
  <c r="E143"/>
  <c r="D143"/>
  <c r="E131"/>
  <c r="D131"/>
  <c r="E119"/>
  <c r="D119"/>
  <c r="E107"/>
  <c r="D107"/>
  <c r="E95"/>
  <c r="D95"/>
  <c r="E83"/>
  <c r="D83"/>
  <c r="E71"/>
  <c r="D71"/>
  <c r="E59"/>
  <c r="D59"/>
  <c r="E47"/>
  <c r="D47"/>
  <c r="E35"/>
  <c r="D35"/>
  <c r="E23"/>
  <c r="D23"/>
  <c r="E11"/>
  <c r="D11"/>
  <c r="D2876"/>
  <c r="D2588"/>
  <c r="D2300"/>
  <c r="D2012"/>
  <c r="D1724"/>
  <c r="D1345"/>
  <c r="D913"/>
  <c r="D481"/>
  <c r="D49"/>
  <c r="E2940"/>
  <c r="D2940"/>
  <c r="E2928"/>
  <c r="D2928"/>
  <c r="E2916"/>
  <c r="D2916"/>
  <c r="E2904"/>
  <c r="D2904"/>
  <c r="E2892"/>
  <c r="D2892"/>
  <c r="E2880"/>
  <c r="D2880"/>
  <c r="E2868"/>
  <c r="D2868"/>
  <c r="E2856"/>
  <c r="D2856"/>
  <c r="E2844"/>
  <c r="D2844"/>
  <c r="E2832"/>
  <c r="D2832"/>
  <c r="E2820"/>
  <c r="D2820"/>
  <c r="E2808"/>
  <c r="D2808"/>
  <c r="E2796"/>
  <c r="D2796"/>
  <c r="E2784"/>
  <c r="D2784"/>
  <c r="E2772"/>
  <c r="D2772"/>
  <c r="E2760"/>
  <c r="D2760"/>
  <c r="E2748"/>
  <c r="D2748"/>
  <c r="E2736"/>
  <c r="D2736"/>
  <c r="E2724"/>
  <c r="D2724"/>
  <c r="E2712"/>
  <c r="D2712"/>
  <c r="E2700"/>
  <c r="D2700"/>
  <c r="E2688"/>
  <c r="D2688"/>
  <c r="E2676"/>
  <c r="D2676"/>
  <c r="E2664"/>
  <c r="D2664"/>
  <c r="E2652"/>
  <c r="D2652"/>
  <c r="E2640"/>
  <c r="D2640"/>
  <c r="E2628"/>
  <c r="D2628"/>
  <c r="E2616"/>
  <c r="D2616"/>
  <c r="E2604"/>
  <c r="D2604"/>
  <c r="E2592"/>
  <c r="D2592"/>
  <c r="E2580"/>
  <c r="D2580"/>
  <c r="E2568"/>
  <c r="D2568"/>
  <c r="E2556"/>
  <c r="D2556"/>
  <c r="E2544"/>
  <c r="D2544"/>
  <c r="E2532"/>
  <c r="D2532"/>
  <c r="E2520"/>
  <c r="D2520"/>
  <c r="E2508"/>
  <c r="D2508"/>
  <c r="E2496"/>
  <c r="D2496"/>
  <c r="E2484"/>
  <c r="D2484"/>
  <c r="E2472"/>
  <c r="D2472"/>
  <c r="E2460"/>
  <c r="D2460"/>
  <c r="E2448"/>
  <c r="D2448"/>
  <c r="E2436"/>
  <c r="D2436"/>
  <c r="E2424"/>
  <c r="D2424"/>
  <c r="E2412"/>
  <c r="D2412"/>
  <c r="E2400"/>
  <c r="D2400"/>
  <c r="E2388"/>
  <c r="D2388"/>
  <c r="E2376"/>
  <c r="D2376"/>
  <c r="E2364"/>
  <c r="D2364"/>
  <c r="E2352"/>
  <c r="D2352"/>
  <c r="E2340"/>
  <c r="D2340"/>
  <c r="E2328"/>
  <c r="D2328"/>
  <c r="E2316"/>
  <c r="D2316"/>
  <c r="E2304"/>
  <c r="D2304"/>
  <c r="E2292"/>
  <c r="D2292"/>
  <c r="E2280"/>
  <c r="D2280"/>
  <c r="E2268"/>
  <c r="D2268"/>
  <c r="E2256"/>
  <c r="D2256"/>
  <c r="E2244"/>
  <c r="D2244"/>
  <c r="E2232"/>
  <c r="D2232"/>
  <c r="E2220"/>
  <c r="D2220"/>
  <c r="E2208"/>
  <c r="D2208"/>
  <c r="E2196"/>
  <c r="D2196"/>
  <c r="E2184"/>
  <c r="D2184"/>
  <c r="E2172"/>
  <c r="D2172"/>
  <c r="E2160"/>
  <c r="D2160"/>
  <c r="E2148"/>
  <c r="D2148"/>
  <c r="E2136"/>
  <c r="D2136"/>
  <c r="E2124"/>
  <c r="D2124"/>
  <c r="E2112"/>
  <c r="D2112"/>
  <c r="E2100"/>
  <c r="D2100"/>
  <c r="E2088"/>
  <c r="D2088"/>
  <c r="E2076"/>
  <c r="D2076"/>
  <c r="E2064"/>
  <c r="D2064"/>
  <c r="E2052"/>
  <c r="D2052"/>
  <c r="E2040"/>
  <c r="D2040"/>
  <c r="E2028"/>
  <c r="D2028"/>
  <c r="E2016"/>
  <c r="D2016"/>
  <c r="E2004"/>
  <c r="D2004"/>
  <c r="E1992"/>
  <c r="D1992"/>
  <c r="E1980"/>
  <c r="D1980"/>
  <c r="E1968"/>
  <c r="D1968"/>
  <c r="E1956"/>
  <c r="D1956"/>
  <c r="E1944"/>
  <c r="D1944"/>
  <c r="E1932"/>
  <c r="D1932"/>
  <c r="E1920"/>
  <c r="D1920"/>
  <c r="E1908"/>
  <c r="D1908"/>
  <c r="E1896"/>
  <c r="D1896"/>
  <c r="E1884"/>
  <c r="D1884"/>
  <c r="E1872"/>
  <c r="D1872"/>
  <c r="E1860"/>
  <c r="D1860"/>
  <c r="E1848"/>
  <c r="D1848"/>
  <c r="E1836"/>
  <c r="D1836"/>
  <c r="E1824"/>
  <c r="D1824"/>
  <c r="E1812"/>
  <c r="D1812"/>
  <c r="E1800"/>
  <c r="D1800"/>
  <c r="E1788"/>
  <c r="D1788"/>
  <c r="E1776"/>
  <c r="D1776"/>
  <c r="E1764"/>
  <c r="D1764"/>
  <c r="E1752"/>
  <c r="D1752"/>
  <c r="E1740"/>
  <c r="D1740"/>
  <c r="E1728"/>
  <c r="D1728"/>
  <c r="E1716"/>
  <c r="D1716"/>
  <c r="E1704"/>
  <c r="D1704"/>
  <c r="E1692"/>
  <c r="D1692"/>
  <c r="E1680"/>
  <c r="D1680"/>
  <c r="E1668"/>
  <c r="D1668"/>
  <c r="E1656"/>
  <c r="D1656"/>
  <c r="E1644"/>
  <c r="D1644"/>
  <c r="E1632"/>
  <c r="D1632"/>
  <c r="E1620"/>
  <c r="D1620"/>
  <c r="E1608"/>
  <c r="D1608"/>
  <c r="E1596"/>
  <c r="D1596"/>
  <c r="E1584"/>
  <c r="D1584"/>
  <c r="E1572"/>
  <c r="D1572"/>
  <c r="E1548"/>
  <c r="D1548"/>
  <c r="E1536"/>
  <c r="D1536"/>
  <c r="E1524"/>
  <c r="D1524"/>
  <c r="E1512"/>
  <c r="D1512"/>
  <c r="E1500"/>
  <c r="D1500"/>
  <c r="E1476"/>
  <c r="D1476"/>
  <c r="E1464"/>
  <c r="D1464"/>
  <c r="E1452"/>
  <c r="D1452"/>
  <c r="E1440"/>
  <c r="D1440"/>
  <c r="E1428"/>
  <c r="D1428"/>
  <c r="E1404"/>
  <c r="D1404"/>
  <c r="E1392"/>
  <c r="D1392"/>
  <c r="E1380"/>
  <c r="D1380"/>
  <c r="E1368"/>
  <c r="D1368"/>
  <c r="E1356"/>
  <c r="D1356"/>
  <c r="E1332"/>
  <c r="D1332"/>
  <c r="E1320"/>
  <c r="D1320"/>
  <c r="E1308"/>
  <c r="D1308"/>
  <c r="E1296"/>
  <c r="D1296"/>
  <c r="E1284"/>
  <c r="D1284"/>
  <c r="E1260"/>
  <c r="D1260"/>
  <c r="E1248"/>
  <c r="D1248"/>
  <c r="E1236"/>
  <c r="D1236"/>
  <c r="E1224"/>
  <c r="D1224"/>
  <c r="E1212"/>
  <c r="D1212"/>
  <c r="E1188"/>
  <c r="D1188"/>
  <c r="E1176"/>
  <c r="D1176"/>
  <c r="E1164"/>
  <c r="D1164"/>
  <c r="E1152"/>
  <c r="D1152"/>
  <c r="E1140"/>
  <c r="D1140"/>
  <c r="E1116"/>
  <c r="D1116"/>
  <c r="E1104"/>
  <c r="D1104"/>
  <c r="E1092"/>
  <c r="D1092"/>
  <c r="E1080"/>
  <c r="D1080"/>
  <c r="E1068"/>
  <c r="D1068"/>
  <c r="E1044"/>
  <c r="D1044"/>
  <c r="E1032"/>
  <c r="D1032"/>
  <c r="E1020"/>
  <c r="D1020"/>
  <c r="E1008"/>
  <c r="D1008"/>
  <c r="E996"/>
  <c r="D996"/>
  <c r="E972"/>
  <c r="D972"/>
  <c r="E960"/>
  <c r="D960"/>
  <c r="E948"/>
  <c r="D948"/>
  <c r="E936"/>
  <c r="D936"/>
  <c r="E924"/>
  <c r="D924"/>
  <c r="E900"/>
  <c r="D900"/>
  <c r="E888"/>
  <c r="D888"/>
  <c r="E876"/>
  <c r="D876"/>
  <c r="E864"/>
  <c r="D864"/>
  <c r="E852"/>
  <c r="D852"/>
  <c r="E828"/>
  <c r="D828"/>
  <c r="E816"/>
  <c r="D816"/>
  <c r="E804"/>
  <c r="D804"/>
  <c r="E792"/>
  <c r="D792"/>
  <c r="E780"/>
  <c r="D780"/>
  <c r="E756"/>
  <c r="D756"/>
  <c r="E744"/>
  <c r="D744"/>
  <c r="E732"/>
  <c r="D732"/>
  <c r="E720"/>
  <c r="D720"/>
  <c r="E708"/>
  <c r="D708"/>
  <c r="E684"/>
  <c r="D684"/>
  <c r="E672"/>
  <c r="D672"/>
  <c r="E660"/>
  <c r="D660"/>
  <c r="E648"/>
  <c r="D648"/>
  <c r="E636"/>
  <c r="D636"/>
  <c r="E612"/>
  <c r="D612"/>
  <c r="E600"/>
  <c r="D600"/>
  <c r="E588"/>
  <c r="D588"/>
  <c r="E576"/>
  <c r="D576"/>
  <c r="E564"/>
  <c r="D564"/>
  <c r="E540"/>
  <c r="D540"/>
  <c r="E528"/>
  <c r="D528"/>
  <c r="E516"/>
  <c r="D516"/>
  <c r="E504"/>
  <c r="D504"/>
  <c r="E492"/>
  <c r="D492"/>
  <c r="E468"/>
  <c r="D468"/>
  <c r="E456"/>
  <c r="D456"/>
  <c r="E444"/>
  <c r="D444"/>
  <c r="E432"/>
  <c r="D432"/>
  <c r="E420"/>
  <c r="D420"/>
  <c r="E396"/>
  <c r="D396"/>
  <c r="E384"/>
  <c r="D384"/>
  <c r="E372"/>
  <c r="D372"/>
  <c r="E360"/>
  <c r="D360"/>
  <c r="E348"/>
  <c r="D348"/>
  <c r="E324"/>
  <c r="D324"/>
  <c r="E312"/>
  <c r="D312"/>
  <c r="E300"/>
  <c r="D300"/>
  <c r="E288"/>
  <c r="D288"/>
  <c r="E276"/>
  <c r="D276"/>
  <c r="E252"/>
  <c r="D252"/>
  <c r="E240"/>
  <c r="D240"/>
  <c r="E228"/>
  <c r="D228"/>
  <c r="E216"/>
  <c r="D216"/>
  <c r="E204"/>
  <c r="D204"/>
  <c r="E180"/>
  <c r="D180"/>
  <c r="E168"/>
  <c r="D168"/>
  <c r="E156"/>
  <c r="D156"/>
  <c r="E144"/>
  <c r="D144"/>
  <c r="E132"/>
  <c r="D132"/>
  <c r="E108"/>
  <c r="D108"/>
  <c r="E96"/>
  <c r="D96"/>
  <c r="E84"/>
  <c r="D84"/>
  <c r="E72"/>
  <c r="D72"/>
  <c r="E60"/>
  <c r="D60"/>
  <c r="E36"/>
  <c r="D36"/>
  <c r="E24"/>
  <c r="D24"/>
  <c r="E12"/>
  <c r="D12"/>
  <c r="D1416"/>
  <c r="D984"/>
  <c r="D552"/>
  <c r="D120"/>
  <c r="E1729"/>
  <c r="D1729"/>
  <c r="E1705"/>
  <c r="D1705"/>
  <c r="E1693"/>
  <c r="D1693"/>
  <c r="E1681"/>
  <c r="D1681"/>
  <c r="E1657"/>
  <c r="D1657"/>
  <c r="E1645"/>
  <c r="D1645"/>
  <c r="E1633"/>
  <c r="D1633"/>
  <c r="E1609"/>
  <c r="D1609"/>
  <c r="E1597"/>
  <c r="D1597"/>
  <c r="E1585"/>
  <c r="D1585"/>
  <c r="E1573"/>
  <c r="D1573"/>
  <c r="E1549"/>
  <c r="D1549"/>
  <c r="E1537"/>
  <c r="D1537"/>
  <c r="E1525"/>
  <c r="D1525"/>
  <c r="E1513"/>
  <c r="D1513"/>
  <c r="E1501"/>
  <c r="D1501"/>
  <c r="E1477"/>
  <c r="D1477"/>
  <c r="E1465"/>
  <c r="D1465"/>
  <c r="E1453"/>
  <c r="D1453"/>
  <c r="E1441"/>
  <c r="D1441"/>
  <c r="E1429"/>
  <c r="D1429"/>
  <c r="E1405"/>
  <c r="D1405"/>
  <c r="E1393"/>
  <c r="D1393"/>
  <c r="E1381"/>
  <c r="D1381"/>
  <c r="E1369"/>
  <c r="D1369"/>
  <c r="E1357"/>
  <c r="D1357"/>
  <c r="E1333"/>
  <c r="D1333"/>
  <c r="E1321"/>
  <c r="D1321"/>
  <c r="E1309"/>
  <c r="D1309"/>
  <c r="E1297"/>
  <c r="D1297"/>
  <c r="E1285"/>
  <c r="D1285"/>
  <c r="E1261"/>
  <c r="D1261"/>
  <c r="E1249"/>
  <c r="D1249"/>
  <c r="E1237"/>
  <c r="D1237"/>
  <c r="E1225"/>
  <c r="D1225"/>
  <c r="E1213"/>
  <c r="D1213"/>
  <c r="E1189"/>
  <c r="D1189"/>
  <c r="E1177"/>
  <c r="D1177"/>
  <c r="E1165"/>
  <c r="D1165"/>
  <c r="E1153"/>
  <c r="D1153"/>
  <c r="E1141"/>
  <c r="D1141"/>
  <c r="E1117"/>
  <c r="D1117"/>
  <c r="E1105"/>
  <c r="D1105"/>
  <c r="E1093"/>
  <c r="D1093"/>
  <c r="E1081"/>
  <c r="D1081"/>
  <c r="E1069"/>
  <c r="D1069"/>
  <c r="E1045"/>
  <c r="D1045"/>
  <c r="E1033"/>
  <c r="D1033"/>
  <c r="E1021"/>
  <c r="D1021"/>
  <c r="E1009"/>
  <c r="D1009"/>
  <c r="E997"/>
  <c r="D997"/>
  <c r="E973"/>
  <c r="D973"/>
  <c r="E961"/>
  <c r="D961"/>
  <c r="E949"/>
  <c r="D949"/>
  <c r="E937"/>
  <c r="D937"/>
  <c r="E925"/>
  <c r="D925"/>
  <c r="E901"/>
  <c r="D901"/>
  <c r="E889"/>
  <c r="D889"/>
  <c r="E877"/>
  <c r="D877"/>
  <c r="E865"/>
  <c r="D865"/>
  <c r="E853"/>
  <c r="D853"/>
  <c r="E829"/>
  <c r="D829"/>
  <c r="E817"/>
  <c r="D817"/>
  <c r="E805"/>
  <c r="D805"/>
  <c r="E793"/>
  <c r="D793"/>
  <c r="E781"/>
  <c r="D781"/>
  <c r="E757"/>
  <c r="D757"/>
  <c r="E745"/>
  <c r="D745"/>
  <c r="E733"/>
  <c r="D733"/>
  <c r="E721"/>
  <c r="D721"/>
  <c r="E709"/>
  <c r="D709"/>
  <c r="E685"/>
  <c r="D685"/>
  <c r="E673"/>
  <c r="D673"/>
  <c r="E661"/>
  <c r="D661"/>
  <c r="E649"/>
  <c r="D649"/>
  <c r="E637"/>
  <c r="D637"/>
  <c r="E613"/>
  <c r="D613"/>
  <c r="E601"/>
  <c r="D601"/>
  <c r="E589"/>
  <c r="D589"/>
  <c r="E577"/>
  <c r="D577"/>
  <c r="E565"/>
  <c r="D565"/>
  <c r="E541"/>
  <c r="D541"/>
  <c r="E529"/>
  <c r="D529"/>
  <c r="E517"/>
  <c r="D517"/>
  <c r="E505"/>
  <c r="D505"/>
  <c r="E493"/>
  <c r="D493"/>
  <c r="E469"/>
  <c r="D469"/>
  <c r="E457"/>
  <c r="D457"/>
  <c r="E445"/>
  <c r="D445"/>
  <c r="E433"/>
  <c r="D433"/>
  <c r="E421"/>
  <c r="D421"/>
  <c r="E397"/>
  <c r="D397"/>
  <c r="E385"/>
  <c r="D385"/>
  <c r="E373"/>
  <c r="D373"/>
  <c r="E361"/>
  <c r="D361"/>
  <c r="E349"/>
  <c r="D349"/>
  <c r="E325"/>
  <c r="D325"/>
  <c r="E313"/>
  <c r="D313"/>
  <c r="E301"/>
  <c r="D301"/>
  <c r="E289"/>
  <c r="D289"/>
  <c r="E277"/>
  <c r="D277"/>
  <c r="E253"/>
  <c r="D253"/>
  <c r="E241"/>
  <c r="D241"/>
  <c r="E229"/>
  <c r="D229"/>
  <c r="E217"/>
  <c r="D217"/>
  <c r="E205"/>
  <c r="D205"/>
  <c r="E181"/>
  <c r="D181"/>
  <c r="E169"/>
  <c r="D169"/>
  <c r="E157"/>
  <c r="D157"/>
  <c r="E145"/>
  <c r="D145"/>
  <c r="E133"/>
  <c r="D133"/>
  <c r="E109"/>
  <c r="D109"/>
  <c r="E97"/>
  <c r="D97"/>
  <c r="E85"/>
  <c r="D85"/>
  <c r="E73"/>
  <c r="D73"/>
  <c r="E61"/>
  <c r="D61"/>
  <c r="E37"/>
  <c r="D37"/>
  <c r="E25"/>
  <c r="D25"/>
  <c r="E13"/>
  <c r="D13"/>
  <c r="D2636"/>
  <c r="D2348"/>
  <c r="D2060"/>
  <c r="D1772"/>
  <c r="D1417"/>
  <c r="D985"/>
  <c r="D553"/>
  <c r="D121"/>
  <c r="E3074"/>
  <c r="D3074"/>
  <c r="E3062"/>
  <c r="D3062"/>
  <c r="E3050"/>
  <c r="D3050"/>
  <c r="E3038"/>
  <c r="D3038"/>
  <c r="E3026"/>
  <c r="D3026"/>
  <c r="E3014"/>
  <c r="D3014"/>
  <c r="E3002"/>
  <c r="D3002"/>
  <c r="E2990"/>
  <c r="D2990"/>
  <c r="E2978"/>
  <c r="D2978"/>
  <c r="E2966"/>
  <c r="D2966"/>
  <c r="E2954"/>
  <c r="D2954"/>
  <c r="E2942"/>
  <c r="D2942"/>
  <c r="E2930"/>
  <c r="D2930"/>
  <c r="E2918"/>
  <c r="D2918"/>
  <c r="E2906"/>
  <c r="D2906"/>
  <c r="E2894"/>
  <c r="D2894"/>
  <c r="E2882"/>
  <c r="D2882"/>
  <c r="E2870"/>
  <c r="D2870"/>
  <c r="E2858"/>
  <c r="D2858"/>
  <c r="E2846"/>
  <c r="D2846"/>
  <c r="E2834"/>
  <c r="D2834"/>
  <c r="E2822"/>
  <c r="D2822"/>
  <c r="E2810"/>
  <c r="D2810"/>
  <c r="E2798"/>
  <c r="D2798"/>
  <c r="E2786"/>
  <c r="D2786"/>
  <c r="E2774"/>
  <c r="D2774"/>
  <c r="E2762"/>
  <c r="D2762"/>
  <c r="E2750"/>
  <c r="D2750"/>
  <c r="E2738"/>
  <c r="D2738"/>
  <c r="E2726"/>
  <c r="D2726"/>
  <c r="E2714"/>
  <c r="D2714"/>
  <c r="E2702"/>
  <c r="D2702"/>
  <c r="E2690"/>
  <c r="D2690"/>
  <c r="E2678"/>
  <c r="D2678"/>
  <c r="E2666"/>
  <c r="D2666"/>
  <c r="E2654"/>
  <c r="D2654"/>
  <c r="E2642"/>
  <c r="D2642"/>
  <c r="E2630"/>
  <c r="D2630"/>
  <c r="E2618"/>
  <c r="D2618"/>
  <c r="E2606"/>
  <c r="D2606"/>
  <c r="E2594"/>
  <c r="D2594"/>
  <c r="E2582"/>
  <c r="D2582"/>
  <c r="E2570"/>
  <c r="D2570"/>
  <c r="E2558"/>
  <c r="D2558"/>
  <c r="E2546"/>
  <c r="D2546"/>
  <c r="E2534"/>
  <c r="D2534"/>
  <c r="E2522"/>
  <c r="D2522"/>
  <c r="E2510"/>
  <c r="D2510"/>
  <c r="E2498"/>
  <c r="D2498"/>
  <c r="E2486"/>
  <c r="D2486"/>
  <c r="E2474"/>
  <c r="D2474"/>
  <c r="E2462"/>
  <c r="D2462"/>
  <c r="E2450"/>
  <c r="D2450"/>
  <c r="E2438"/>
  <c r="D2438"/>
  <c r="E2426"/>
  <c r="D2426"/>
  <c r="E2414"/>
  <c r="D2414"/>
  <c r="E2402"/>
  <c r="D2402"/>
  <c r="E2390"/>
  <c r="D2390"/>
  <c r="E2378"/>
  <c r="D2378"/>
  <c r="E2366"/>
  <c r="D2366"/>
  <c r="E2354"/>
  <c r="D2354"/>
  <c r="E2342"/>
  <c r="D2342"/>
  <c r="E2330"/>
  <c r="D2330"/>
  <c r="E2318"/>
  <c r="D2318"/>
  <c r="E2306"/>
  <c r="D2306"/>
  <c r="E2294"/>
  <c r="D2294"/>
  <c r="E2282"/>
  <c r="D2282"/>
  <c r="E2270"/>
  <c r="D2270"/>
  <c r="E2258"/>
  <c r="D2258"/>
  <c r="E2246"/>
  <c r="D2246"/>
  <c r="E2234"/>
  <c r="D2234"/>
  <c r="E2222"/>
  <c r="D2222"/>
  <c r="E2210"/>
  <c r="D2210"/>
  <c r="E2198"/>
  <c r="D2198"/>
  <c r="E2186"/>
  <c r="D2186"/>
  <c r="E2174"/>
  <c r="D2174"/>
  <c r="E2162"/>
  <c r="D2162"/>
  <c r="E2150"/>
  <c r="D2150"/>
  <c r="E2138"/>
  <c r="D2138"/>
  <c r="E2126"/>
  <c r="D2126"/>
  <c r="E2114"/>
  <c r="D2114"/>
  <c r="E2102"/>
  <c r="D2102"/>
  <c r="E2090"/>
  <c r="D2090"/>
  <c r="E2078"/>
  <c r="D2078"/>
  <c r="E2066"/>
  <c r="D2066"/>
  <c r="E2054"/>
  <c r="D2054"/>
  <c r="E2042"/>
  <c r="D2042"/>
  <c r="E2030"/>
  <c r="D2030"/>
  <c r="E2018"/>
  <c r="D2018"/>
  <c r="E2006"/>
  <c r="D2006"/>
  <c r="E1994"/>
  <c r="D1994"/>
  <c r="E1982"/>
  <c r="D1982"/>
  <c r="E1970"/>
  <c r="D1970"/>
  <c r="E1958"/>
  <c r="D1958"/>
  <c r="E1946"/>
  <c r="D1946"/>
  <c r="E1934"/>
  <c r="D1934"/>
  <c r="E1922"/>
  <c r="D1922"/>
  <c r="E1910"/>
  <c r="D1910"/>
  <c r="E1898"/>
  <c r="D1898"/>
  <c r="E1886"/>
  <c r="D1886"/>
  <c r="E1874"/>
  <c r="D1874"/>
  <c r="E1862"/>
  <c r="D1862"/>
  <c r="E1850"/>
  <c r="D1850"/>
  <c r="E1838"/>
  <c r="D1838"/>
  <c r="E1826"/>
  <c r="D1826"/>
  <c r="E1814"/>
  <c r="D1814"/>
  <c r="E1802"/>
  <c r="D1802"/>
  <c r="E1790"/>
  <c r="D1790"/>
  <c r="E1778"/>
  <c r="D1778"/>
  <c r="E1766"/>
  <c r="D1766"/>
  <c r="E1754"/>
  <c r="D1754"/>
  <c r="E1742"/>
  <c r="D1742"/>
  <c r="E1730"/>
  <c r="D1730"/>
  <c r="E1718"/>
  <c r="D1718"/>
  <c r="E1706"/>
  <c r="D1706"/>
  <c r="E1694"/>
  <c r="D1694"/>
  <c r="E1682"/>
  <c r="D1682"/>
  <c r="E1670"/>
  <c r="D1670"/>
  <c r="E1658"/>
  <c r="D1658"/>
  <c r="E1646"/>
  <c r="D1646"/>
  <c r="E1634"/>
  <c r="D1634"/>
  <c r="E1622"/>
  <c r="D1622"/>
  <c r="E1610"/>
  <c r="D1610"/>
  <c r="E1598"/>
  <c r="D1598"/>
  <c r="E1586"/>
  <c r="D1586"/>
  <c r="E1574"/>
  <c r="D1574"/>
  <c r="E1562"/>
  <c r="D1562"/>
  <c r="E1550"/>
  <c r="D1550"/>
  <c r="E1538"/>
  <c r="D1538"/>
  <c r="E1526"/>
  <c r="D1526"/>
  <c r="E1514"/>
  <c r="D1514"/>
  <c r="E1502"/>
  <c r="D1502"/>
  <c r="E1490"/>
  <c r="D1490"/>
  <c r="E1478"/>
  <c r="D1478"/>
  <c r="E1466"/>
  <c r="D1466"/>
  <c r="E1454"/>
  <c r="D1454"/>
  <c r="E1442"/>
  <c r="D1442"/>
  <c r="E1430"/>
  <c r="D1430"/>
  <c r="E1418"/>
  <c r="D1418"/>
  <c r="E1406"/>
  <c r="D1406"/>
  <c r="E1394"/>
  <c r="D1394"/>
  <c r="E1382"/>
  <c r="D1382"/>
  <c r="E1370"/>
  <c r="D1370"/>
  <c r="E1358"/>
  <c r="D1358"/>
  <c r="E1346"/>
  <c r="D1346"/>
  <c r="E1334"/>
  <c r="D1334"/>
  <c r="E1322"/>
  <c r="D1322"/>
  <c r="E1310"/>
  <c r="D1310"/>
  <c r="E1298"/>
  <c r="D1298"/>
  <c r="E1286"/>
  <c r="D1286"/>
  <c r="E1274"/>
  <c r="D1274"/>
  <c r="E1262"/>
  <c r="D1262"/>
  <c r="E1250"/>
  <c r="D1250"/>
  <c r="E1238"/>
  <c r="D1238"/>
  <c r="E1226"/>
  <c r="D1226"/>
  <c r="E1214"/>
  <c r="D1214"/>
  <c r="E1202"/>
  <c r="D1202"/>
  <c r="E1190"/>
  <c r="D1190"/>
  <c r="E1178"/>
  <c r="D1178"/>
  <c r="E1166"/>
  <c r="D1166"/>
  <c r="E1154"/>
  <c r="D1154"/>
  <c r="E1142"/>
  <c r="D1142"/>
  <c r="E1130"/>
  <c r="D1130"/>
  <c r="E1118"/>
  <c r="D1118"/>
  <c r="E1106"/>
  <c r="D1106"/>
  <c r="E1094"/>
  <c r="D1094"/>
  <c r="E1082"/>
  <c r="D1082"/>
  <c r="E1070"/>
  <c r="D1070"/>
  <c r="E1058"/>
  <c r="D1058"/>
  <c r="E1046"/>
  <c r="D1046"/>
  <c r="E1034"/>
  <c r="D1034"/>
  <c r="E1022"/>
  <c r="D1022"/>
  <c r="E1010"/>
  <c r="D1010"/>
  <c r="E998"/>
  <c r="D998"/>
  <c r="E986"/>
  <c r="D986"/>
  <c r="E974"/>
  <c r="D974"/>
  <c r="E962"/>
  <c r="D962"/>
  <c r="E950"/>
  <c r="D950"/>
  <c r="E938"/>
  <c r="D938"/>
  <c r="E926"/>
  <c r="D926"/>
  <c r="E914"/>
  <c r="D914"/>
  <c r="E902"/>
  <c r="D902"/>
  <c r="E890"/>
  <c r="D890"/>
  <c r="E878"/>
  <c r="D878"/>
  <c r="E866"/>
  <c r="D866"/>
  <c r="E854"/>
  <c r="D854"/>
  <c r="E842"/>
  <c r="D842"/>
  <c r="E830"/>
  <c r="D830"/>
  <c r="E818"/>
  <c r="D818"/>
  <c r="E806"/>
  <c r="D806"/>
  <c r="E794"/>
  <c r="D794"/>
  <c r="E782"/>
  <c r="D782"/>
  <c r="E770"/>
  <c r="D770"/>
  <c r="E758"/>
  <c r="D758"/>
  <c r="E746"/>
  <c r="D746"/>
  <c r="E734"/>
  <c r="D734"/>
  <c r="E722"/>
  <c r="D722"/>
  <c r="E710"/>
  <c r="D710"/>
  <c r="E698"/>
  <c r="D698"/>
  <c r="E686"/>
  <c r="D686"/>
  <c r="E674"/>
  <c r="D674"/>
  <c r="E662"/>
  <c r="D662"/>
  <c r="E650"/>
  <c r="D650"/>
  <c r="E638"/>
  <c r="D638"/>
  <c r="E626"/>
  <c r="D626"/>
  <c r="E614"/>
  <c r="D614"/>
  <c r="E602"/>
  <c r="D602"/>
  <c r="E590"/>
  <c r="D590"/>
  <c r="E578"/>
  <c r="D578"/>
  <c r="E566"/>
  <c r="D566"/>
  <c r="E554"/>
  <c r="D554"/>
  <c r="E542"/>
  <c r="D542"/>
  <c r="E530"/>
  <c r="D530"/>
  <c r="E518"/>
  <c r="D518"/>
  <c r="E506"/>
  <c r="D506"/>
  <c r="E494"/>
  <c r="D494"/>
  <c r="E482"/>
  <c r="D482"/>
  <c r="E470"/>
  <c r="D470"/>
  <c r="E458"/>
  <c r="D458"/>
  <c r="E446"/>
  <c r="D446"/>
  <c r="E434"/>
  <c r="D434"/>
  <c r="E422"/>
  <c r="D422"/>
  <c r="E410"/>
  <c r="D410"/>
  <c r="E398"/>
  <c r="D398"/>
  <c r="E386"/>
  <c r="D386"/>
  <c r="E374"/>
  <c r="D374"/>
  <c r="E362"/>
  <c r="D362"/>
  <c r="E350"/>
  <c r="D350"/>
  <c r="E338"/>
  <c r="D338"/>
  <c r="E326"/>
  <c r="D326"/>
  <c r="E314"/>
  <c r="D314"/>
  <c r="E302"/>
  <c r="D302"/>
  <c r="E290"/>
  <c r="D290"/>
  <c r="E278"/>
  <c r="D278"/>
  <c r="E266"/>
  <c r="D266"/>
  <c r="E254"/>
  <c r="D254"/>
  <c r="E242"/>
  <c r="D242"/>
  <c r="E230"/>
  <c r="D230"/>
  <c r="E218"/>
  <c r="D218"/>
  <c r="E206"/>
  <c r="D206"/>
  <c r="E194"/>
  <c r="D194"/>
  <c r="E182"/>
  <c r="D182"/>
  <c r="E170"/>
  <c r="D170"/>
  <c r="E158"/>
  <c r="D158"/>
  <c r="E146"/>
  <c r="D146"/>
  <c r="E134"/>
  <c r="D134"/>
  <c r="E122"/>
  <c r="D122"/>
  <c r="E110"/>
  <c r="D110"/>
  <c r="E98"/>
  <c r="D98"/>
  <c r="E86"/>
  <c r="D86"/>
  <c r="E74"/>
  <c r="D74"/>
  <c r="E62"/>
  <c r="D62"/>
  <c r="E50"/>
  <c r="D50"/>
  <c r="E38"/>
  <c r="D38"/>
  <c r="E26"/>
  <c r="D26"/>
  <c r="E14"/>
  <c r="D14"/>
  <c r="D1488"/>
  <c r="D1056"/>
  <c r="D624"/>
  <c r="D192"/>
  <c r="E3015"/>
  <c r="D3015"/>
  <c r="E3003"/>
  <c r="D3003"/>
  <c r="E2991"/>
  <c r="D2991"/>
  <c r="E2979"/>
  <c r="D2979"/>
  <c r="E2967"/>
  <c r="D2967"/>
  <c r="E2955"/>
  <c r="D2955"/>
  <c r="E2943"/>
  <c r="D2943"/>
  <c r="E2931"/>
  <c r="D2931"/>
  <c r="E2919"/>
  <c r="D2919"/>
  <c r="E2907"/>
  <c r="D2907"/>
  <c r="E2895"/>
  <c r="D2895"/>
  <c r="E2883"/>
  <c r="D2883"/>
  <c r="E2871"/>
  <c r="D2871"/>
  <c r="E2859"/>
  <c r="D2859"/>
  <c r="E2847"/>
  <c r="D2847"/>
  <c r="E2835"/>
  <c r="D2835"/>
  <c r="E2823"/>
  <c r="D2823"/>
  <c r="E2811"/>
  <c r="D2811"/>
  <c r="E2799"/>
  <c r="D2799"/>
  <c r="E2787"/>
  <c r="D2787"/>
  <c r="E2775"/>
  <c r="D2775"/>
  <c r="E2763"/>
  <c r="D2763"/>
  <c r="E2751"/>
  <c r="D2751"/>
  <c r="E2739"/>
  <c r="D2739"/>
  <c r="E2727"/>
  <c r="D2727"/>
  <c r="E2715"/>
  <c r="D2715"/>
  <c r="E2703"/>
  <c r="D2703"/>
  <c r="E2691"/>
  <c r="D2691"/>
  <c r="E2679"/>
  <c r="D2679"/>
  <c r="E2667"/>
  <c r="D2667"/>
  <c r="E2655"/>
  <c r="D2655"/>
  <c r="E2643"/>
  <c r="D2643"/>
  <c r="E2631"/>
  <c r="D2631"/>
  <c r="E2619"/>
  <c r="D2619"/>
  <c r="E2607"/>
  <c r="D2607"/>
  <c r="E2595"/>
  <c r="D2595"/>
  <c r="E2583"/>
  <c r="D2583"/>
  <c r="E2571"/>
  <c r="D2571"/>
  <c r="E2559"/>
  <c r="D2559"/>
  <c r="E2547"/>
  <c r="D2547"/>
  <c r="E2535"/>
  <c r="D2535"/>
  <c r="E2523"/>
  <c r="D2523"/>
  <c r="E2511"/>
  <c r="D2511"/>
  <c r="E2499"/>
  <c r="D2499"/>
  <c r="E2487"/>
  <c r="D2487"/>
  <c r="E2475"/>
  <c r="D2475"/>
  <c r="E2463"/>
  <c r="D2463"/>
  <c r="E2451"/>
  <c r="D2451"/>
  <c r="E2439"/>
  <c r="D2439"/>
  <c r="E2427"/>
  <c r="D2427"/>
  <c r="E2415"/>
  <c r="D2415"/>
  <c r="E2403"/>
  <c r="D2403"/>
  <c r="E2391"/>
  <c r="D2391"/>
  <c r="E2379"/>
  <c r="D2379"/>
  <c r="E2367"/>
  <c r="D2367"/>
  <c r="E2355"/>
  <c r="D2355"/>
  <c r="E2343"/>
  <c r="D2343"/>
  <c r="E2331"/>
  <c r="D2331"/>
  <c r="E2319"/>
  <c r="D2319"/>
  <c r="E2307"/>
  <c r="D2307"/>
  <c r="E2295"/>
  <c r="D2295"/>
  <c r="E2283"/>
  <c r="D2283"/>
  <c r="E2271"/>
  <c r="D2271"/>
  <c r="E2259"/>
  <c r="D2259"/>
  <c r="E2247"/>
  <c r="D2247"/>
  <c r="E2235"/>
  <c r="D2235"/>
  <c r="E2223"/>
  <c r="D2223"/>
  <c r="E2211"/>
  <c r="D2211"/>
  <c r="E2199"/>
  <c r="D2199"/>
  <c r="E2187"/>
  <c r="D2187"/>
  <c r="E2175"/>
  <c r="D2175"/>
  <c r="E2163"/>
  <c r="D2163"/>
  <c r="E2151"/>
  <c r="D2151"/>
  <c r="E2139"/>
  <c r="D2139"/>
  <c r="E2127"/>
  <c r="D2127"/>
  <c r="E2115"/>
  <c r="D2115"/>
  <c r="E2103"/>
  <c r="D2103"/>
  <c r="E2091"/>
  <c r="D2091"/>
  <c r="E2079"/>
  <c r="D2079"/>
  <c r="E2067"/>
  <c r="D2067"/>
  <c r="E2055"/>
  <c r="D2055"/>
  <c r="E2043"/>
  <c r="D2043"/>
  <c r="E2031"/>
  <c r="D2031"/>
  <c r="E2019"/>
  <c r="D2019"/>
  <c r="E2007"/>
  <c r="D2007"/>
  <c r="E1995"/>
  <c r="D1995"/>
  <c r="E1983"/>
  <c r="D1983"/>
  <c r="E1971"/>
  <c r="D1971"/>
  <c r="E1959"/>
  <c r="D1959"/>
  <c r="E1947"/>
  <c r="D1947"/>
  <c r="E1935"/>
  <c r="D1935"/>
  <c r="E1923"/>
  <c r="D1923"/>
  <c r="E1911"/>
  <c r="D1911"/>
  <c r="E1899"/>
  <c r="D1899"/>
  <c r="E1887"/>
  <c r="D1887"/>
  <c r="E1875"/>
  <c r="D1875"/>
  <c r="E1863"/>
  <c r="D1863"/>
  <c r="E1851"/>
  <c r="D1851"/>
  <c r="E1839"/>
  <c r="D1839"/>
  <c r="E1827"/>
  <c r="D1827"/>
  <c r="E1815"/>
  <c r="D1815"/>
  <c r="E1803"/>
  <c r="D1803"/>
  <c r="E1791"/>
  <c r="D1791"/>
  <c r="E1779"/>
  <c r="D1779"/>
  <c r="E1767"/>
  <c r="D1767"/>
  <c r="E1755"/>
  <c r="D1755"/>
  <c r="E1743"/>
  <c r="D1743"/>
  <c r="E1731"/>
  <c r="D1731"/>
  <c r="E1719"/>
  <c r="D1719"/>
  <c r="E1707"/>
  <c r="D1707"/>
  <c r="E1695"/>
  <c r="D1695"/>
  <c r="E1683"/>
  <c r="D1683"/>
  <c r="E1671"/>
  <c r="D1671"/>
  <c r="E1659"/>
  <c r="D1659"/>
  <c r="E1647"/>
  <c r="D1647"/>
  <c r="E1635"/>
  <c r="D1635"/>
  <c r="E1623"/>
  <c r="D1623"/>
  <c r="E1611"/>
  <c r="D1611"/>
  <c r="E1599"/>
  <c r="D1599"/>
  <c r="E1587"/>
  <c r="D1587"/>
  <c r="E1575"/>
  <c r="D1575"/>
  <c r="E1563"/>
  <c r="D1563"/>
  <c r="E1551"/>
  <c r="D1551"/>
  <c r="E1539"/>
  <c r="D1539"/>
  <c r="E1527"/>
  <c r="D1527"/>
  <c r="E1515"/>
  <c r="D1515"/>
  <c r="E1503"/>
  <c r="D1503"/>
  <c r="E1491"/>
  <c r="D1491"/>
  <c r="E1479"/>
  <c r="D1479"/>
  <c r="E1467"/>
  <c r="D1467"/>
  <c r="E1455"/>
  <c r="D1455"/>
  <c r="E1443"/>
  <c r="D1443"/>
  <c r="E1431"/>
  <c r="D1431"/>
  <c r="E1419"/>
  <c r="D1419"/>
  <c r="E1407"/>
  <c r="D1407"/>
  <c r="E1395"/>
  <c r="D1395"/>
  <c r="E1383"/>
  <c r="D1383"/>
  <c r="E1371"/>
  <c r="D1371"/>
  <c r="E1359"/>
  <c r="D1359"/>
  <c r="E1347"/>
  <c r="D1347"/>
  <c r="E1335"/>
  <c r="D1335"/>
  <c r="E1323"/>
  <c r="D1323"/>
  <c r="E1311"/>
  <c r="D1311"/>
  <c r="E1299"/>
  <c r="D1299"/>
  <c r="E1287"/>
  <c r="D1287"/>
  <c r="E1275"/>
  <c r="D1275"/>
  <c r="E1263"/>
  <c r="D1263"/>
  <c r="E1251"/>
  <c r="D1251"/>
  <c r="E1239"/>
  <c r="D1239"/>
  <c r="E1227"/>
  <c r="D1227"/>
  <c r="E1215"/>
  <c r="D1215"/>
  <c r="E1203"/>
  <c r="D1203"/>
  <c r="E1191"/>
  <c r="D1191"/>
  <c r="E1179"/>
  <c r="D1179"/>
  <c r="E1167"/>
  <c r="D1167"/>
  <c r="E1155"/>
  <c r="D1155"/>
  <c r="E1143"/>
  <c r="D1143"/>
  <c r="E1131"/>
  <c r="D1131"/>
  <c r="E1119"/>
  <c r="D1119"/>
  <c r="E1107"/>
  <c r="D1107"/>
  <c r="E1095"/>
  <c r="D1095"/>
  <c r="E1083"/>
  <c r="D1083"/>
  <c r="E1071"/>
  <c r="D1071"/>
  <c r="E1059"/>
  <c r="D1059"/>
  <c r="E1047"/>
  <c r="D1047"/>
  <c r="E1035"/>
  <c r="D1035"/>
  <c r="E1023"/>
  <c r="D1023"/>
  <c r="E1011"/>
  <c r="D1011"/>
  <c r="E999"/>
  <c r="D999"/>
  <c r="E987"/>
  <c r="D987"/>
  <c r="E975"/>
  <c r="D975"/>
  <c r="E963"/>
  <c r="D963"/>
  <c r="E951"/>
  <c r="D951"/>
  <c r="E939"/>
  <c r="D939"/>
  <c r="E927"/>
  <c r="D927"/>
  <c r="E915"/>
  <c r="D915"/>
  <c r="E903"/>
  <c r="D903"/>
  <c r="E891"/>
  <c r="D891"/>
  <c r="E879"/>
  <c r="D879"/>
  <c r="E867"/>
  <c r="D867"/>
  <c r="E855"/>
  <c r="D855"/>
  <c r="E843"/>
  <c r="D843"/>
  <c r="E831"/>
  <c r="D831"/>
  <c r="E819"/>
  <c r="D819"/>
  <c r="E807"/>
  <c r="D807"/>
  <c r="E795"/>
  <c r="D795"/>
  <c r="E783"/>
  <c r="D783"/>
  <c r="E771"/>
  <c r="D771"/>
  <c r="E759"/>
  <c r="D759"/>
  <c r="E747"/>
  <c r="D747"/>
  <c r="E735"/>
  <c r="D735"/>
  <c r="E723"/>
  <c r="D723"/>
  <c r="E711"/>
  <c r="D711"/>
  <c r="E699"/>
  <c r="D699"/>
  <c r="E687"/>
  <c r="D687"/>
  <c r="E675"/>
  <c r="D675"/>
  <c r="E663"/>
  <c r="D663"/>
  <c r="E651"/>
  <c r="D651"/>
  <c r="E639"/>
  <c r="D639"/>
  <c r="E627"/>
  <c r="D627"/>
  <c r="E615"/>
  <c r="D615"/>
  <c r="E603"/>
  <c r="D603"/>
  <c r="E591"/>
  <c r="D591"/>
  <c r="E579"/>
  <c r="D579"/>
  <c r="E567"/>
  <c r="D567"/>
  <c r="E555"/>
  <c r="D555"/>
  <c r="E543"/>
  <c r="D543"/>
  <c r="E531"/>
  <c r="D531"/>
  <c r="E519"/>
  <c r="D519"/>
  <c r="E507"/>
  <c r="D507"/>
  <c r="E495"/>
  <c r="D495"/>
  <c r="E483"/>
  <c r="D483"/>
  <c r="E471"/>
  <c r="D471"/>
  <c r="E459"/>
  <c r="D459"/>
  <c r="E447"/>
  <c r="D447"/>
  <c r="E435"/>
  <c r="D435"/>
  <c r="E423"/>
  <c r="D423"/>
  <c r="E411"/>
  <c r="D411"/>
  <c r="E399"/>
  <c r="D399"/>
  <c r="E387"/>
  <c r="D387"/>
  <c r="E375"/>
  <c r="D375"/>
  <c r="E363"/>
  <c r="D363"/>
  <c r="E351"/>
  <c r="D351"/>
  <c r="E339"/>
  <c r="D339"/>
  <c r="E327"/>
  <c r="D327"/>
  <c r="E315"/>
  <c r="D315"/>
  <c r="E303"/>
  <c r="D303"/>
  <c r="E291"/>
  <c r="D291"/>
  <c r="E279"/>
  <c r="D279"/>
  <c r="E267"/>
  <c r="D267"/>
  <c r="E255"/>
  <c r="D255"/>
  <c r="E243"/>
  <c r="D243"/>
  <c r="E231"/>
  <c r="D231"/>
  <c r="E219"/>
  <c r="D219"/>
  <c r="E207"/>
  <c r="D207"/>
  <c r="E195"/>
  <c r="D195"/>
  <c r="E183"/>
  <c r="D183"/>
  <c r="E171"/>
  <c r="D171"/>
  <c r="E159"/>
  <c r="D159"/>
  <c r="E147"/>
  <c r="D147"/>
  <c r="E135"/>
  <c r="D135"/>
  <c r="E123"/>
  <c r="D123"/>
  <c r="E111"/>
  <c r="D111"/>
  <c r="E99"/>
  <c r="D99"/>
  <c r="E87"/>
  <c r="D87"/>
  <c r="E75"/>
  <c r="D75"/>
  <c r="E63"/>
  <c r="D63"/>
  <c r="E51"/>
  <c r="D51"/>
  <c r="E39"/>
  <c r="D39"/>
  <c r="E27"/>
  <c r="D27"/>
  <c r="E15"/>
  <c r="D15"/>
  <c r="E2"/>
  <c r="D2"/>
  <c r="D2684"/>
  <c r="D2396"/>
  <c r="D2108"/>
  <c r="D1820"/>
  <c r="D1489"/>
  <c r="D1057"/>
  <c r="D625"/>
  <c r="D193"/>
  <c r="E3040"/>
  <c r="D3040"/>
  <c r="E3028"/>
  <c r="D3028"/>
  <c r="E3016"/>
  <c r="D3016"/>
  <c r="E3004"/>
  <c r="D3004"/>
  <c r="E2992"/>
  <c r="D2992"/>
  <c r="E2980"/>
  <c r="D2980"/>
  <c r="E2968"/>
  <c r="D2968"/>
  <c r="E2956"/>
  <c r="D2956"/>
  <c r="E2944"/>
  <c r="D2944"/>
  <c r="E2932"/>
  <c r="D2932"/>
  <c r="E2920"/>
  <c r="D2920"/>
  <c r="E2908"/>
  <c r="D2908"/>
  <c r="E2896"/>
  <c r="D2896"/>
  <c r="E2884"/>
  <c r="D2884"/>
  <c r="E2872"/>
  <c r="D2872"/>
  <c r="E2860"/>
  <c r="D2860"/>
  <c r="E2848"/>
  <c r="D2848"/>
  <c r="E2836"/>
  <c r="D2836"/>
  <c r="E2824"/>
  <c r="D2824"/>
  <c r="E2812"/>
  <c r="D2812"/>
  <c r="E2800"/>
  <c r="D2800"/>
  <c r="E2788"/>
  <c r="D2788"/>
  <c r="E2776"/>
  <c r="D2776"/>
  <c r="E2764"/>
  <c r="D2764"/>
  <c r="E2752"/>
  <c r="D2752"/>
  <c r="E2740"/>
  <c r="D2740"/>
  <c r="E2728"/>
  <c r="D2728"/>
  <c r="E2716"/>
  <c r="D2716"/>
  <c r="E2704"/>
  <c r="D2704"/>
  <c r="E2692"/>
  <c r="D2692"/>
  <c r="E2680"/>
  <c r="D2680"/>
  <c r="E2668"/>
  <c r="D2668"/>
  <c r="E2656"/>
  <c r="D2656"/>
  <c r="E2644"/>
  <c r="D2644"/>
  <c r="E2632"/>
  <c r="D2632"/>
  <c r="E2620"/>
  <c r="D2620"/>
  <c r="E2608"/>
  <c r="D2608"/>
  <c r="E2596"/>
  <c r="D2596"/>
  <c r="E2584"/>
  <c r="D2584"/>
  <c r="E2572"/>
  <c r="D2572"/>
  <c r="E2560"/>
  <c r="D2560"/>
  <c r="E2548"/>
  <c r="D2548"/>
  <c r="E2536"/>
  <c r="D2536"/>
  <c r="E2524"/>
  <c r="D2524"/>
  <c r="E2512"/>
  <c r="D2512"/>
  <c r="E2500"/>
  <c r="D2500"/>
  <c r="E2488"/>
  <c r="D2488"/>
  <c r="E2476"/>
  <c r="D2476"/>
  <c r="E2464"/>
  <c r="D2464"/>
  <c r="E2452"/>
  <c r="D2452"/>
  <c r="E2440"/>
  <c r="D2440"/>
  <c r="E2428"/>
  <c r="D2428"/>
  <c r="E2416"/>
  <c r="D2416"/>
  <c r="E2404"/>
  <c r="D2404"/>
  <c r="E2392"/>
  <c r="D2392"/>
  <c r="E2380"/>
  <c r="D2380"/>
  <c r="E2368"/>
  <c r="D2368"/>
  <c r="E2356"/>
  <c r="D2356"/>
  <c r="E2344"/>
  <c r="D2344"/>
  <c r="E2332"/>
  <c r="D2332"/>
  <c r="E2320"/>
  <c r="D2320"/>
  <c r="E2308"/>
  <c r="D2308"/>
  <c r="E2296"/>
  <c r="D2296"/>
  <c r="E2284"/>
  <c r="D2284"/>
  <c r="E2272"/>
  <c r="D2272"/>
  <c r="E2260"/>
  <c r="D2260"/>
  <c r="E2248"/>
  <c r="D2248"/>
  <c r="E2236"/>
  <c r="D2236"/>
  <c r="E2224"/>
  <c r="D2224"/>
  <c r="E2212"/>
  <c r="D2212"/>
  <c r="E2200"/>
  <c r="D2200"/>
  <c r="E2188"/>
  <c r="D2188"/>
  <c r="E2176"/>
  <c r="D2176"/>
  <c r="E2164"/>
  <c r="D2164"/>
  <c r="E2152"/>
  <c r="D2152"/>
  <c r="E2140"/>
  <c r="D2140"/>
  <c r="E2128"/>
  <c r="D2128"/>
  <c r="E2116"/>
  <c r="D2116"/>
  <c r="E2104"/>
  <c r="D2104"/>
  <c r="E2092"/>
  <c r="D2092"/>
  <c r="E2080"/>
  <c r="D2080"/>
  <c r="E2068"/>
  <c r="D2068"/>
  <c r="E2056"/>
  <c r="D2056"/>
  <c r="E2044"/>
  <c r="D2044"/>
  <c r="E2032"/>
  <c r="D2032"/>
  <c r="E2020"/>
  <c r="D2020"/>
  <c r="E2008"/>
  <c r="D2008"/>
  <c r="E1996"/>
  <c r="D1996"/>
  <c r="E1984"/>
  <c r="D1984"/>
  <c r="E1972"/>
  <c r="D1972"/>
  <c r="E1960"/>
  <c r="D1960"/>
  <c r="E1948"/>
  <c r="D1948"/>
  <c r="E1936"/>
  <c r="D1936"/>
  <c r="E1924"/>
  <c r="D1924"/>
  <c r="E1912"/>
  <c r="D1912"/>
  <c r="E1900"/>
  <c r="D1900"/>
  <c r="E1888"/>
  <c r="D1888"/>
  <c r="E1876"/>
  <c r="D1876"/>
  <c r="E1864"/>
  <c r="D1864"/>
  <c r="E1852"/>
  <c r="D1852"/>
  <c r="E1840"/>
  <c r="D1840"/>
  <c r="E1828"/>
  <c r="D1828"/>
  <c r="E1816"/>
  <c r="D1816"/>
  <c r="E1804"/>
  <c r="D1804"/>
  <c r="E1792"/>
  <c r="D1792"/>
  <c r="E1780"/>
  <c r="D1780"/>
  <c r="E1768"/>
  <c r="D1768"/>
  <c r="E1756"/>
  <c r="D1756"/>
  <c r="E1744"/>
  <c r="D1744"/>
  <c r="E1732"/>
  <c r="D1732"/>
  <c r="E1720"/>
  <c r="D1720"/>
  <c r="E1708"/>
  <c r="D1708"/>
  <c r="E1696"/>
  <c r="D1696"/>
  <c r="E1684"/>
  <c r="D1684"/>
  <c r="E1672"/>
  <c r="D1672"/>
  <c r="E1660"/>
  <c r="D1660"/>
  <c r="E1648"/>
  <c r="D1648"/>
  <c r="E1636"/>
  <c r="D1636"/>
  <c r="E1624"/>
  <c r="D1624"/>
  <c r="E1612"/>
  <c r="D1612"/>
  <c r="E1600"/>
  <c r="D1600"/>
  <c r="E1588"/>
  <c r="D1588"/>
  <c r="E1576"/>
  <c r="D1576"/>
  <c r="E1564"/>
  <c r="D1564"/>
  <c r="E1552"/>
  <c r="D1552"/>
  <c r="E1540"/>
  <c r="D1540"/>
  <c r="E1528"/>
  <c r="D1528"/>
  <c r="E1516"/>
  <c r="D1516"/>
  <c r="E1504"/>
  <c r="D1504"/>
  <c r="E1492"/>
  <c r="D1492"/>
  <c r="E1480"/>
  <c r="D1480"/>
  <c r="E1468"/>
  <c r="D1468"/>
  <c r="E1456"/>
  <c r="D1456"/>
  <c r="E1444"/>
  <c r="D1444"/>
  <c r="E1432"/>
  <c r="D1432"/>
  <c r="E1420"/>
  <c r="D1420"/>
  <c r="E1408"/>
  <c r="D1408"/>
  <c r="E1396"/>
  <c r="D1396"/>
  <c r="E1384"/>
  <c r="D1384"/>
  <c r="E1372"/>
  <c r="D1372"/>
  <c r="E1360"/>
  <c r="D1360"/>
  <c r="E1348"/>
  <c r="D1348"/>
  <c r="E1336"/>
  <c r="D1336"/>
  <c r="E1324"/>
  <c r="D1324"/>
  <c r="E1312"/>
  <c r="D1312"/>
  <c r="E1300"/>
  <c r="D1300"/>
  <c r="E1288"/>
  <c r="D1288"/>
  <c r="E1276"/>
  <c r="D1276"/>
  <c r="E1264"/>
  <c r="D1264"/>
  <c r="E1252"/>
  <c r="D1252"/>
  <c r="E1240"/>
  <c r="D1240"/>
  <c r="E1228"/>
  <c r="D1228"/>
  <c r="E1216"/>
  <c r="D1216"/>
  <c r="E1204"/>
  <c r="D1204"/>
  <c r="E1192"/>
  <c r="D1192"/>
  <c r="E1180"/>
  <c r="D1180"/>
  <c r="E1168"/>
  <c r="D1168"/>
  <c r="E1156"/>
  <c r="D1156"/>
  <c r="E1144"/>
  <c r="D1144"/>
  <c r="E1132"/>
  <c r="D1132"/>
  <c r="E1120"/>
  <c r="D1120"/>
  <c r="E1108"/>
  <c r="D1108"/>
  <c r="E1096"/>
  <c r="D1096"/>
  <c r="E1084"/>
  <c r="D1084"/>
  <c r="E1072"/>
  <c r="D1072"/>
  <c r="E1060"/>
  <c r="D1060"/>
  <c r="E1048"/>
  <c r="D1048"/>
  <c r="E1036"/>
  <c r="D1036"/>
  <c r="E1024"/>
  <c r="D1024"/>
  <c r="E1012"/>
  <c r="D1012"/>
  <c r="E1000"/>
  <c r="D1000"/>
  <c r="E988"/>
  <c r="D988"/>
  <c r="E976"/>
  <c r="D976"/>
  <c r="E964"/>
  <c r="D964"/>
  <c r="E952"/>
  <c r="D952"/>
  <c r="E940"/>
  <c r="D940"/>
  <c r="E928"/>
  <c r="D928"/>
  <c r="E916"/>
  <c r="D916"/>
  <c r="E904"/>
  <c r="D904"/>
  <c r="E892"/>
  <c r="D892"/>
  <c r="E880"/>
  <c r="D880"/>
  <c r="E868"/>
  <c r="D868"/>
  <c r="E856"/>
  <c r="D856"/>
  <c r="E844"/>
  <c r="D844"/>
  <c r="E832"/>
  <c r="D832"/>
  <c r="E820"/>
  <c r="D820"/>
  <c r="E808"/>
  <c r="D808"/>
  <c r="E796"/>
  <c r="D796"/>
  <c r="E784"/>
  <c r="D784"/>
  <c r="E772"/>
  <c r="D772"/>
  <c r="E760"/>
  <c r="D760"/>
  <c r="E748"/>
  <c r="D748"/>
  <c r="E736"/>
  <c r="D736"/>
  <c r="E724"/>
  <c r="D724"/>
  <c r="E712"/>
  <c r="D712"/>
  <c r="E700"/>
  <c r="D700"/>
  <c r="E688"/>
  <c r="D688"/>
  <c r="E676"/>
  <c r="D676"/>
  <c r="E664"/>
  <c r="D664"/>
  <c r="E652"/>
  <c r="D652"/>
  <c r="E640"/>
  <c r="D640"/>
  <c r="E628"/>
  <c r="D628"/>
  <c r="E616"/>
  <c r="D616"/>
  <c r="E604"/>
  <c r="D604"/>
  <c r="E592"/>
  <c r="D592"/>
  <c r="E580"/>
  <c r="D580"/>
  <c r="E568"/>
  <c r="D568"/>
  <c r="E556"/>
  <c r="D556"/>
  <c r="E544"/>
  <c r="D544"/>
  <c r="E532"/>
  <c r="D532"/>
  <c r="E520"/>
  <c r="D520"/>
  <c r="E508"/>
  <c r="D508"/>
  <c r="E496"/>
  <c r="D496"/>
  <c r="E484"/>
  <c r="D484"/>
  <c r="E472"/>
  <c r="D472"/>
  <c r="E460"/>
  <c r="D460"/>
  <c r="E448"/>
  <c r="D448"/>
  <c r="E436"/>
  <c r="D436"/>
  <c r="E424"/>
  <c r="D424"/>
  <c r="E412"/>
  <c r="D412"/>
  <c r="E400"/>
  <c r="D400"/>
  <c r="E388"/>
  <c r="D388"/>
  <c r="E376"/>
  <c r="D376"/>
  <c r="E364"/>
  <c r="D364"/>
  <c r="E352"/>
  <c r="D352"/>
  <c r="E340"/>
  <c r="D340"/>
  <c r="E328"/>
  <c r="D328"/>
  <c r="E316"/>
  <c r="D316"/>
  <c r="E304"/>
  <c r="D304"/>
  <c r="E292"/>
  <c r="D292"/>
  <c r="E280"/>
  <c r="D280"/>
  <c r="E268"/>
  <c r="D268"/>
  <c r="E256"/>
  <c r="D256"/>
  <c r="E244"/>
  <c r="D244"/>
  <c r="E232"/>
  <c r="D232"/>
  <c r="E220"/>
  <c r="D220"/>
  <c r="E208"/>
  <c r="D208"/>
  <c r="E196"/>
  <c r="D196"/>
  <c r="E184"/>
  <c r="D184"/>
  <c r="E172"/>
  <c r="D172"/>
  <c r="E160"/>
  <c r="D160"/>
  <c r="E148"/>
  <c r="D148"/>
  <c r="E136"/>
  <c r="D136"/>
  <c r="E124"/>
  <c r="D124"/>
  <c r="E112"/>
  <c r="D112"/>
  <c r="E100"/>
  <c r="D100"/>
  <c r="E88"/>
  <c r="D88"/>
  <c r="E76"/>
  <c r="D76"/>
  <c r="E64"/>
  <c r="D64"/>
  <c r="E52"/>
  <c r="D52"/>
  <c r="E40"/>
  <c r="D40"/>
  <c r="E28"/>
  <c r="D28"/>
  <c r="E16"/>
  <c r="D16"/>
  <c r="E4"/>
  <c r="D4"/>
  <c r="D1560"/>
  <c r="D1128"/>
  <c r="D696"/>
  <c r="D264"/>
  <c r="E3065"/>
  <c r="D3065"/>
  <c r="E3053"/>
  <c r="D3053"/>
  <c r="E3041"/>
  <c r="D3041"/>
  <c r="E3029"/>
  <c r="D3029"/>
  <c r="E3017"/>
  <c r="D3017"/>
  <c r="E3005"/>
  <c r="D3005"/>
  <c r="E2993"/>
  <c r="D2993"/>
  <c r="E2981"/>
  <c r="D2981"/>
  <c r="E2969"/>
  <c r="D2969"/>
  <c r="E2957"/>
  <c r="D2957"/>
  <c r="E2945"/>
  <c r="D2945"/>
  <c r="E2933"/>
  <c r="D2933"/>
  <c r="E2921"/>
  <c r="D2921"/>
  <c r="E2909"/>
  <c r="D2909"/>
  <c r="E2897"/>
  <c r="D2897"/>
  <c r="E2885"/>
  <c r="D2885"/>
  <c r="E2873"/>
  <c r="D2873"/>
  <c r="E2861"/>
  <c r="D2861"/>
  <c r="E2849"/>
  <c r="D2849"/>
  <c r="E2837"/>
  <c r="D2837"/>
  <c r="E2825"/>
  <c r="D2825"/>
  <c r="E2813"/>
  <c r="D2813"/>
  <c r="E2801"/>
  <c r="D2801"/>
  <c r="E2789"/>
  <c r="D2789"/>
  <c r="E2777"/>
  <c r="D2777"/>
  <c r="E2765"/>
  <c r="D2765"/>
  <c r="E2753"/>
  <c r="D2753"/>
  <c r="E2741"/>
  <c r="D2741"/>
  <c r="E2729"/>
  <c r="D2729"/>
  <c r="E2717"/>
  <c r="D2717"/>
  <c r="E2705"/>
  <c r="D2705"/>
  <c r="E2693"/>
  <c r="D2693"/>
  <c r="E2681"/>
  <c r="D2681"/>
  <c r="E2669"/>
  <c r="D2669"/>
  <c r="E2657"/>
  <c r="D2657"/>
  <c r="E2645"/>
  <c r="D2645"/>
  <c r="E2633"/>
  <c r="D2633"/>
  <c r="E2621"/>
  <c r="D2621"/>
  <c r="E2609"/>
  <c r="D2609"/>
  <c r="E2597"/>
  <c r="D2597"/>
  <c r="E2585"/>
  <c r="D2585"/>
  <c r="E2573"/>
  <c r="D2573"/>
  <c r="E2561"/>
  <c r="D2561"/>
  <c r="E2549"/>
  <c r="D2549"/>
  <c r="E2537"/>
  <c r="D2537"/>
  <c r="E2525"/>
  <c r="D2525"/>
  <c r="E2513"/>
  <c r="D2513"/>
  <c r="E2501"/>
  <c r="D2501"/>
  <c r="E2489"/>
  <c r="D2489"/>
  <c r="E2477"/>
  <c r="D2477"/>
  <c r="E2465"/>
  <c r="D2465"/>
  <c r="E2453"/>
  <c r="D2453"/>
  <c r="E2441"/>
  <c r="D2441"/>
  <c r="E2429"/>
  <c r="D2429"/>
  <c r="E2417"/>
  <c r="D2417"/>
  <c r="E2405"/>
  <c r="D2405"/>
  <c r="E2393"/>
  <c r="D2393"/>
  <c r="E2381"/>
  <c r="D2381"/>
  <c r="E2369"/>
  <c r="D2369"/>
  <c r="E2357"/>
  <c r="D2357"/>
  <c r="E2345"/>
  <c r="D2345"/>
  <c r="E2333"/>
  <c r="D2333"/>
  <c r="E2321"/>
  <c r="D2321"/>
  <c r="E2309"/>
  <c r="D2309"/>
  <c r="E2297"/>
  <c r="D2297"/>
  <c r="E2285"/>
  <c r="D2285"/>
  <c r="E2273"/>
  <c r="D2273"/>
  <c r="E2261"/>
  <c r="D2261"/>
  <c r="E2249"/>
  <c r="D2249"/>
  <c r="E2237"/>
  <c r="D2237"/>
  <c r="E2225"/>
  <c r="D2225"/>
  <c r="E2213"/>
  <c r="D2213"/>
  <c r="E2201"/>
  <c r="D2201"/>
  <c r="E2189"/>
  <c r="D2189"/>
  <c r="E2177"/>
  <c r="D2177"/>
  <c r="E2165"/>
  <c r="D2165"/>
  <c r="E2153"/>
  <c r="D2153"/>
  <c r="E2141"/>
  <c r="D2141"/>
  <c r="E2129"/>
  <c r="D2129"/>
  <c r="E2117"/>
  <c r="D2117"/>
  <c r="E2105"/>
  <c r="D2105"/>
  <c r="E2093"/>
  <c r="D2093"/>
  <c r="E2081"/>
  <c r="D2081"/>
  <c r="E2069"/>
  <c r="D2069"/>
  <c r="E2057"/>
  <c r="D2057"/>
  <c r="E2045"/>
  <c r="D2045"/>
  <c r="E2033"/>
  <c r="D2033"/>
  <c r="E2021"/>
  <c r="D2021"/>
  <c r="E2009"/>
  <c r="D2009"/>
  <c r="E1997"/>
  <c r="D1997"/>
  <c r="E1985"/>
  <c r="D1985"/>
  <c r="E1973"/>
  <c r="D1973"/>
  <c r="E1961"/>
  <c r="D1961"/>
  <c r="E1949"/>
  <c r="D1949"/>
  <c r="E1937"/>
  <c r="D1937"/>
  <c r="E1925"/>
  <c r="D1925"/>
  <c r="E1913"/>
  <c r="D1913"/>
  <c r="E1901"/>
  <c r="D1901"/>
  <c r="E1889"/>
  <c r="D1889"/>
  <c r="E1877"/>
  <c r="D1877"/>
  <c r="E1865"/>
  <c r="D1865"/>
  <c r="E1853"/>
  <c r="D1853"/>
  <c r="E1841"/>
  <c r="D1841"/>
  <c r="E1829"/>
  <c r="D1829"/>
  <c r="E1817"/>
  <c r="D1817"/>
  <c r="E1805"/>
  <c r="D1805"/>
  <c r="E1793"/>
  <c r="D1793"/>
  <c r="E1781"/>
  <c r="D1781"/>
  <c r="E1769"/>
  <c r="D1769"/>
  <c r="E1757"/>
  <c r="D1757"/>
  <c r="E1745"/>
  <c r="D1745"/>
  <c r="E1733"/>
  <c r="D1733"/>
  <c r="E1721"/>
  <c r="D1721"/>
  <c r="E1709"/>
  <c r="D1709"/>
  <c r="E1697"/>
  <c r="D1697"/>
  <c r="E1685"/>
  <c r="D1685"/>
  <c r="E1673"/>
  <c r="D1673"/>
  <c r="E1661"/>
  <c r="D1661"/>
  <c r="E1649"/>
  <c r="D1649"/>
  <c r="E1637"/>
  <c r="D1637"/>
  <c r="E1625"/>
  <c r="D1625"/>
  <c r="E1613"/>
  <c r="D1613"/>
  <c r="E1601"/>
  <c r="D1601"/>
  <c r="E1589"/>
  <c r="D1589"/>
  <c r="E1577"/>
  <c r="D1577"/>
  <c r="E1565"/>
  <c r="D1565"/>
  <c r="E1553"/>
  <c r="D1553"/>
  <c r="E1541"/>
  <c r="D1541"/>
  <c r="E1529"/>
  <c r="D1529"/>
  <c r="E1517"/>
  <c r="D1517"/>
  <c r="E1505"/>
  <c r="D1505"/>
  <c r="E1493"/>
  <c r="D1493"/>
  <c r="E1481"/>
  <c r="D1481"/>
  <c r="E1469"/>
  <c r="D1469"/>
  <c r="E1457"/>
  <c r="D1457"/>
  <c r="E1445"/>
  <c r="D1445"/>
  <c r="E1433"/>
  <c r="D1433"/>
  <c r="E1421"/>
  <c r="D1421"/>
  <c r="E1409"/>
  <c r="D1409"/>
  <c r="E1397"/>
  <c r="D1397"/>
  <c r="E1385"/>
  <c r="D1385"/>
  <c r="E1373"/>
  <c r="D1373"/>
  <c r="E1361"/>
  <c r="D1361"/>
  <c r="E1349"/>
  <c r="D1349"/>
  <c r="E1337"/>
  <c r="D1337"/>
  <c r="E1325"/>
  <c r="D1325"/>
  <c r="E1313"/>
  <c r="D1313"/>
  <c r="E1301"/>
  <c r="D1301"/>
  <c r="E1289"/>
  <c r="D1289"/>
  <c r="E1277"/>
  <c r="D1277"/>
  <c r="E1265"/>
  <c r="D1265"/>
  <c r="E1253"/>
  <c r="D1253"/>
  <c r="E1241"/>
  <c r="D1241"/>
  <c r="E1229"/>
  <c r="D1229"/>
  <c r="E1217"/>
  <c r="D1217"/>
  <c r="E1205"/>
  <c r="D1205"/>
  <c r="E1193"/>
  <c r="D1193"/>
  <c r="E1181"/>
  <c r="D1181"/>
  <c r="E1169"/>
  <c r="D1169"/>
  <c r="E1157"/>
  <c r="D1157"/>
  <c r="E1145"/>
  <c r="D1145"/>
  <c r="E1133"/>
  <c r="D1133"/>
  <c r="E1121"/>
  <c r="D1121"/>
  <c r="E1109"/>
  <c r="D1109"/>
  <c r="E1097"/>
  <c r="D1097"/>
  <c r="E1085"/>
  <c r="D1085"/>
  <c r="E1073"/>
  <c r="D1073"/>
  <c r="E1061"/>
  <c r="D1061"/>
  <c r="E1049"/>
  <c r="D1049"/>
  <c r="E1037"/>
  <c r="D1037"/>
  <c r="E1025"/>
  <c r="D1025"/>
  <c r="E1013"/>
  <c r="D1013"/>
  <c r="E1001"/>
  <c r="D1001"/>
  <c r="E989"/>
  <c r="D989"/>
  <c r="E977"/>
  <c r="D977"/>
  <c r="E965"/>
  <c r="D965"/>
  <c r="E953"/>
  <c r="D953"/>
  <c r="E941"/>
  <c r="D941"/>
  <c r="E929"/>
  <c r="D929"/>
  <c r="E917"/>
  <c r="D917"/>
  <c r="E905"/>
  <c r="D905"/>
  <c r="E893"/>
  <c r="D893"/>
  <c r="E881"/>
  <c r="D881"/>
  <c r="E869"/>
  <c r="D869"/>
  <c r="E857"/>
  <c r="D857"/>
  <c r="E845"/>
  <c r="D845"/>
  <c r="E833"/>
  <c r="D833"/>
  <c r="E821"/>
  <c r="D821"/>
  <c r="E809"/>
  <c r="D809"/>
  <c r="E797"/>
  <c r="D797"/>
  <c r="E785"/>
  <c r="D785"/>
  <c r="E773"/>
  <c r="D773"/>
  <c r="E761"/>
  <c r="D761"/>
  <c r="E749"/>
  <c r="D749"/>
  <c r="E737"/>
  <c r="D737"/>
  <c r="E725"/>
  <c r="D725"/>
  <c r="E713"/>
  <c r="D713"/>
  <c r="E701"/>
  <c r="D701"/>
  <c r="E689"/>
  <c r="D689"/>
  <c r="E677"/>
  <c r="D677"/>
  <c r="E665"/>
  <c r="D665"/>
  <c r="E653"/>
  <c r="D653"/>
  <c r="E641"/>
  <c r="D641"/>
  <c r="E629"/>
  <c r="D629"/>
  <c r="E617"/>
  <c r="D617"/>
  <c r="E605"/>
  <c r="D605"/>
  <c r="E593"/>
  <c r="D593"/>
  <c r="E581"/>
  <c r="D581"/>
  <c r="E569"/>
  <c r="D569"/>
  <c r="E557"/>
  <c r="D557"/>
  <c r="E545"/>
  <c r="D545"/>
  <c r="E533"/>
  <c r="D533"/>
  <c r="E521"/>
  <c r="D521"/>
  <c r="E509"/>
  <c r="D509"/>
  <c r="E497"/>
  <c r="D497"/>
  <c r="E485"/>
  <c r="D485"/>
  <c r="E473"/>
  <c r="D473"/>
  <c r="E461"/>
  <c r="D461"/>
  <c r="E449"/>
  <c r="D449"/>
  <c r="E437"/>
  <c r="D437"/>
  <c r="E425"/>
  <c r="D425"/>
  <c r="E413"/>
  <c r="D413"/>
  <c r="E401"/>
  <c r="D401"/>
  <c r="E389"/>
  <c r="D389"/>
  <c r="E377"/>
  <c r="D377"/>
  <c r="E365"/>
  <c r="D365"/>
  <c r="E353"/>
  <c r="D353"/>
  <c r="E341"/>
  <c r="D341"/>
  <c r="E329"/>
  <c r="D329"/>
  <c r="E317"/>
  <c r="D317"/>
  <c r="E305"/>
  <c r="D305"/>
  <c r="E293"/>
  <c r="D293"/>
  <c r="E281"/>
  <c r="D281"/>
  <c r="E269"/>
  <c r="D269"/>
  <c r="E257"/>
  <c r="D257"/>
  <c r="E245"/>
  <c r="D245"/>
  <c r="E233"/>
  <c r="D233"/>
  <c r="E221"/>
  <c r="D221"/>
  <c r="E209"/>
  <c r="D209"/>
  <c r="E197"/>
  <c r="D197"/>
  <c r="E185"/>
  <c r="D185"/>
  <c r="E173"/>
  <c r="D173"/>
  <c r="E161"/>
  <c r="D161"/>
  <c r="E149"/>
  <c r="D149"/>
  <c r="E137"/>
  <c r="D137"/>
  <c r="E125"/>
  <c r="D125"/>
  <c r="E113"/>
  <c r="D113"/>
  <c r="E101"/>
  <c r="D101"/>
  <c r="E89"/>
  <c r="D89"/>
  <c r="E77"/>
  <c r="D77"/>
  <c r="E65"/>
  <c r="D65"/>
  <c r="E53"/>
  <c r="D53"/>
  <c r="E41"/>
  <c r="D41"/>
  <c r="E29"/>
  <c r="D29"/>
  <c r="E17"/>
  <c r="D17"/>
  <c r="E5"/>
  <c r="D5"/>
  <c r="D2732"/>
  <c r="D2444"/>
  <c r="D2156"/>
  <c r="D1868"/>
  <c r="D1561"/>
  <c r="D1129"/>
  <c r="D697"/>
  <c r="D265"/>
  <c r="D3"/>
  <c r="K3"/>
  <c r="K4"/>
  <c r="K5"/>
  <c r="L2" l="1"/>
  <c r="M2" s="1"/>
  <c r="M4"/>
  <c r="M3"/>
  <c r="M5"/>
</calcChain>
</file>

<file path=xl/sharedStrings.xml><?xml version="1.0" encoding="utf-8"?>
<sst xmlns="http://schemas.openxmlformats.org/spreadsheetml/2006/main" count="16" uniqueCount="11">
  <si>
    <t>x</t>
  </si>
  <si>
    <t>y</t>
  </si>
  <si>
    <t>koło</t>
  </si>
  <si>
    <t>s</t>
  </si>
  <si>
    <t>r</t>
  </si>
  <si>
    <t>promien</t>
  </si>
  <si>
    <t>okrąg</t>
  </si>
  <si>
    <t>stosunek</t>
  </si>
  <si>
    <t>pi</t>
  </si>
  <si>
    <t>błąd</t>
  </si>
  <si>
    <t>full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</si>
</sst>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ny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chart>
    <c:autoTitleDeleted val="1"/>
    <c:plotArea>
      <c:layout/>
      <c:lineChart>
        <c:grouping val="standard"/>
        <c:ser>
          <c:idx val="0"/>
          <c:order val="0"/>
          <c:tx>
            <c:strRef>
              <c:f>Arkusz1!$G$1</c:f>
              <c:strCache>
                <c:ptCount val="1"/>
                <c:pt idx="0">
                  <c:v>błąd</c:v>
                </c:pt>
              </c:strCache>
            </c:strRef>
          </c:tx>
          <c:marker>
            <c:symbol val="none"/>
          </c:marker>
          <c:val>
            <c:numRef>
              <c:f>Arkusz1!$G$2:$G$10001</c:f>
              <c:numCache>
                <c:formatCode>General</c:formatCode>
                <c:ptCount val="10000"/>
                <c:pt idx="0">
                  <c:v>1.1415926535897931</c:v>
                </c:pt>
                <c:pt idx="1">
                  <c:v>0.4749259869231266</c:v>
                </c:pt>
                <c:pt idx="2">
                  <c:v>0.14159265358979312</c:v>
                </c:pt>
                <c:pt idx="3">
                  <c:v>0.7415926535897932</c:v>
                </c:pt>
                <c:pt idx="4">
                  <c:v>0.4749259869231266</c:v>
                </c:pt>
                <c:pt idx="5">
                  <c:v>0.28444979644693591</c:v>
                </c:pt>
                <c:pt idx="6">
                  <c:v>0.14159265358979312</c:v>
                </c:pt>
                <c:pt idx="7">
                  <c:v>3.0481542478681956E-2</c:v>
                </c:pt>
                <c:pt idx="8">
                  <c:v>5.8407346410207062E-2</c:v>
                </c:pt>
                <c:pt idx="9">
                  <c:v>0.23250174449888394</c:v>
                </c:pt>
                <c:pt idx="10">
                  <c:v>0.14159265358979312</c:v>
                </c:pt>
                <c:pt idx="11">
                  <c:v>6.4669576666716022E-2</c:v>
                </c:pt>
                <c:pt idx="12">
                  <c:v>1.2644892673496777E-3</c:v>
                </c:pt>
                <c:pt idx="13">
                  <c:v>5.8407346410207062E-2</c:v>
                </c:pt>
                <c:pt idx="14">
                  <c:v>0.14159265358979312</c:v>
                </c:pt>
                <c:pt idx="15">
                  <c:v>0.31806324182508705</c:v>
                </c:pt>
                <c:pt idx="16">
                  <c:v>0.25270376470090428</c:v>
                </c:pt>
                <c:pt idx="17">
                  <c:v>0.1942242325371617</c:v>
                </c:pt>
                <c:pt idx="18">
                  <c:v>0.14159265358979312</c:v>
                </c:pt>
                <c:pt idx="19">
                  <c:v>9.3973605970745666E-2</c:v>
                </c:pt>
                <c:pt idx="20">
                  <c:v>0.23250174449888394</c:v>
                </c:pt>
                <c:pt idx="21">
                  <c:v>0.35898395793761928</c:v>
                </c:pt>
                <c:pt idx="22">
                  <c:v>0.30825932025645963</c:v>
                </c:pt>
                <c:pt idx="23">
                  <c:v>0.42159265358979292</c:v>
                </c:pt>
                <c:pt idx="24">
                  <c:v>0.37236188435902395</c:v>
                </c:pt>
                <c:pt idx="25">
                  <c:v>0.32677783877497824</c:v>
                </c:pt>
                <c:pt idx="26">
                  <c:v>0.28444979644693591</c:v>
                </c:pt>
                <c:pt idx="27">
                  <c:v>0.24504092945186207</c:v>
                </c:pt>
                <c:pt idx="28">
                  <c:v>0.34159265358979329</c:v>
                </c:pt>
                <c:pt idx="29">
                  <c:v>0.30288297617043813</c:v>
                </c:pt>
                <c:pt idx="30">
                  <c:v>0.26659265358979312</c:v>
                </c:pt>
                <c:pt idx="31">
                  <c:v>0.35371386571100505</c:v>
                </c:pt>
                <c:pt idx="32">
                  <c:v>0.31806324182508705</c:v>
                </c:pt>
                <c:pt idx="33">
                  <c:v>0.28444979644693591</c:v>
                </c:pt>
                <c:pt idx="34">
                  <c:v>0.25270376470090428</c:v>
                </c:pt>
                <c:pt idx="35">
                  <c:v>0.22267373467087426</c:v>
                </c:pt>
                <c:pt idx="36">
                  <c:v>0.1942242325371617</c:v>
                </c:pt>
                <c:pt idx="37">
                  <c:v>0.16723367923081867</c:v>
                </c:pt>
                <c:pt idx="38">
                  <c:v>0.14159265358979312</c:v>
                </c:pt>
                <c:pt idx="39">
                  <c:v>0.11720240968735407</c:v>
                </c:pt>
                <c:pt idx="40">
                  <c:v>9.3973605970745666E-2</c:v>
                </c:pt>
                <c:pt idx="41">
                  <c:v>0.16484846754328153</c:v>
                </c:pt>
                <c:pt idx="42">
                  <c:v>0.23250174449888394</c:v>
                </c:pt>
                <c:pt idx="43">
                  <c:v>0.20825932025645999</c:v>
                </c:pt>
                <c:pt idx="44">
                  <c:v>0.2720274361984889</c:v>
                </c:pt>
                <c:pt idx="45">
                  <c:v>0.24797563231319719</c:v>
                </c:pt>
                <c:pt idx="46">
                  <c:v>0.2249259869231266</c:v>
                </c:pt>
                <c:pt idx="47">
                  <c:v>0.28444979644693591</c:v>
                </c:pt>
                <c:pt idx="48">
                  <c:v>0.26159265358979322</c:v>
                </c:pt>
                <c:pt idx="49">
                  <c:v>0.23963186927606772</c:v>
                </c:pt>
                <c:pt idx="50">
                  <c:v>0.21851573051287021</c:v>
                </c:pt>
                <c:pt idx="51">
                  <c:v>0.19819642717469899</c:v>
                </c:pt>
                <c:pt idx="52">
                  <c:v>0.17862969062683032</c:v>
                </c:pt>
                <c:pt idx="53">
                  <c:v>0.23250174449888394</c:v>
                </c:pt>
                <c:pt idx="54">
                  <c:v>0.21302122501836473</c:v>
                </c:pt>
                <c:pt idx="55">
                  <c:v>0.1942242325371617</c:v>
                </c:pt>
                <c:pt idx="56">
                  <c:v>0.17607541221048262</c:v>
                </c:pt>
                <c:pt idx="57">
                  <c:v>0.15854180613216595</c:v>
                </c:pt>
                <c:pt idx="58">
                  <c:v>0.14159265358979312</c:v>
                </c:pt>
                <c:pt idx="59">
                  <c:v>0.1251992109668425</c:v>
                </c:pt>
                <c:pt idx="60">
                  <c:v>0.10933458907366411</c:v>
                </c:pt>
                <c:pt idx="61">
                  <c:v>9.3973605970745666E-2</c:v>
                </c:pt>
                <c:pt idx="62">
                  <c:v>7.9092653589793116E-2</c:v>
                </c:pt>
                <c:pt idx="63">
                  <c:v>6.4669576666716022E-2</c:v>
                </c:pt>
                <c:pt idx="64">
                  <c:v>5.0683562680702288E-2</c:v>
                </c:pt>
                <c:pt idx="65">
                  <c:v>3.7115041649494529E-2</c:v>
                </c:pt>
                <c:pt idx="66">
                  <c:v>2.3945594766263678E-2</c:v>
                </c:pt>
                <c:pt idx="67">
                  <c:v>6.9128885473851209E-2</c:v>
                </c:pt>
                <c:pt idx="68">
                  <c:v>5.5878367875507262E-2</c:v>
                </c:pt>
                <c:pt idx="69">
                  <c:v>4.3001104294018599E-2</c:v>
                </c:pt>
                <c:pt idx="70">
                  <c:v>8.6037098034237758E-2</c:v>
                </c:pt>
                <c:pt idx="71">
                  <c:v>7.3099502904861779E-2</c:v>
                </c:pt>
                <c:pt idx="72">
                  <c:v>0.11456562656276592</c:v>
                </c:pt>
                <c:pt idx="73">
                  <c:v>0.10159265358979308</c:v>
                </c:pt>
                <c:pt idx="74">
                  <c:v>8.8961074642424531E-2</c:v>
                </c:pt>
                <c:pt idx="75">
                  <c:v>7.6657588654728048E-2</c:v>
                </c:pt>
                <c:pt idx="76">
                  <c:v>6.4669576666716022E-2</c:v>
                </c:pt>
                <c:pt idx="77">
                  <c:v>5.2985058653084227E-2</c:v>
                </c:pt>
                <c:pt idx="78">
                  <c:v>4.1592653589793027E-2</c:v>
                </c:pt>
                <c:pt idx="79">
                  <c:v>3.0481542478681956E-2</c:v>
                </c:pt>
                <c:pt idx="80">
                  <c:v>6.8421921882475978E-2</c:v>
                </c:pt>
                <c:pt idx="81">
                  <c:v>5.7255304192202594E-2</c:v>
                </c:pt>
                <c:pt idx="82">
                  <c:v>4.6354558351697772E-2</c:v>
                </c:pt>
                <c:pt idx="83">
                  <c:v>3.5710300648616577E-2</c:v>
                </c:pt>
                <c:pt idx="84">
                  <c:v>2.5313583822351049E-2</c:v>
                </c:pt>
                <c:pt idx="85">
                  <c:v>1.5155871980597535E-2</c:v>
                </c:pt>
                <c:pt idx="86">
                  <c:v>5.2290172261568735E-3</c:v>
                </c:pt>
                <c:pt idx="87">
                  <c:v>4.4747621405440974E-3</c:v>
                </c:pt>
                <c:pt idx="88">
                  <c:v>1.3962901965762331E-2</c:v>
                </c:pt>
                <c:pt idx="89">
                  <c:v>2.0713532710672222E-2</c:v>
                </c:pt>
                <c:pt idx="90">
                  <c:v>1.1157870981097329E-2</c:v>
                </c:pt>
                <c:pt idx="91">
                  <c:v>1.8077073532341004E-3</c:v>
                </c:pt>
                <c:pt idx="92">
                  <c:v>7.3435166229729454E-3</c:v>
                </c:pt>
                <c:pt idx="93">
                  <c:v>1.6302083252312194E-2</c:v>
                </c:pt>
                <c:pt idx="94">
                  <c:v>2.5074013076873403E-2</c:v>
                </c:pt>
                <c:pt idx="95">
                  <c:v>3.3665078368969592E-2</c:v>
                </c:pt>
                <c:pt idx="96">
                  <c:v>1.2644892673496777E-3</c:v>
                </c:pt>
                <c:pt idx="97">
                  <c:v>9.9224979253582646E-3</c:v>
                </c:pt>
                <c:pt idx="98">
                  <c:v>1.8407346410207026E-2</c:v>
                </c:pt>
                <c:pt idx="99">
                  <c:v>2.672417809337535E-2</c:v>
                </c:pt>
                <c:pt idx="100">
                  <c:v>3.4877934645500819E-2</c:v>
                </c:pt>
                <c:pt idx="101">
                  <c:v>4.287336582768253E-2</c:v>
                </c:pt>
                <c:pt idx="102">
                  <c:v>5.0715038717899397E-2</c:v>
                </c:pt>
                <c:pt idx="103">
                  <c:v>5.8407346410207062E-2</c:v>
                </c:pt>
                <c:pt idx="104">
                  <c:v>6.5954516221527815E-2</c:v>
                </c:pt>
                <c:pt idx="105">
                  <c:v>7.336061743824418E-2</c:v>
                </c:pt>
                <c:pt idx="106">
                  <c:v>8.0629568632429205E-2</c:v>
                </c:pt>
                <c:pt idx="107">
                  <c:v>5.1067896868922436E-2</c:v>
                </c:pt>
                <c:pt idx="108">
                  <c:v>5.8407346410207062E-2</c:v>
                </c:pt>
                <c:pt idx="109">
                  <c:v>2.9578517581378083E-2</c:v>
                </c:pt>
                <c:pt idx="110">
                  <c:v>3.6978774981635265E-2</c:v>
                </c:pt>
                <c:pt idx="111">
                  <c:v>4.4248054374808721E-2</c:v>
                </c:pt>
                <c:pt idx="112">
                  <c:v>1.6302083252312194E-2</c:v>
                </c:pt>
                <c:pt idx="113">
                  <c:v>1.1157870981097329E-2</c:v>
                </c:pt>
                <c:pt idx="114">
                  <c:v>3.6616191070346638E-3</c:v>
                </c:pt>
                <c:pt idx="115">
                  <c:v>3.706491709352111E-3</c:v>
                </c:pt>
                <c:pt idx="116">
                  <c:v>1.0949719291562854E-2</c:v>
                </c:pt>
                <c:pt idx="117">
                  <c:v>1.8071211956425248E-2</c:v>
                </c:pt>
                <c:pt idx="118">
                  <c:v>8.2593202564598123E-3</c:v>
                </c:pt>
                <c:pt idx="119">
                  <c:v>1.0967858211978765E-3</c:v>
                </c:pt>
                <c:pt idx="120">
                  <c:v>5.9483300167642028E-3</c:v>
                </c:pt>
                <c:pt idx="121">
                  <c:v>1.9641434077597886E-2</c:v>
                </c:pt>
                <c:pt idx="122">
                  <c:v>1.2560395525277102E-2</c:v>
                </c:pt>
                <c:pt idx="123">
                  <c:v>3.7592653589793024E-2</c:v>
                </c:pt>
                <c:pt idx="124">
                  <c:v>6.2227574224713589E-2</c:v>
                </c:pt>
                <c:pt idx="125">
                  <c:v>5.4978480361446813E-2</c:v>
                </c:pt>
                <c:pt idx="126">
                  <c:v>4.7842653589793116E-2</c:v>
                </c:pt>
                <c:pt idx="127">
                  <c:v>7.1825211729327876E-2</c:v>
                </c:pt>
                <c:pt idx="128">
                  <c:v>6.4669576666716022E-2</c:v>
                </c:pt>
                <c:pt idx="129">
                  <c:v>5.7623187940938347E-2</c:v>
                </c:pt>
                <c:pt idx="130">
                  <c:v>5.0683562680702288E-2</c:v>
                </c:pt>
                <c:pt idx="131">
                  <c:v>4.3848292687537427E-2</c:v>
                </c:pt>
                <c:pt idx="132">
                  <c:v>3.7115041649494529E-2</c:v>
                </c:pt>
                <c:pt idx="133">
                  <c:v>3.0481542478681956E-2</c:v>
                </c:pt>
                <c:pt idx="134">
                  <c:v>5.3357359472145927E-2</c:v>
                </c:pt>
                <c:pt idx="135">
                  <c:v>4.6702142640887789E-2</c:v>
                </c:pt>
                <c:pt idx="136">
                  <c:v>4.0143378227474269E-2</c:v>
                </c:pt>
                <c:pt idx="137">
                  <c:v>3.3678984525044697E-2</c:v>
                </c:pt>
                <c:pt idx="138">
                  <c:v>2.7306939304078792E-2</c:v>
                </c:pt>
                <c:pt idx="139">
                  <c:v>2.102527770326823E-2</c:v>
                </c:pt>
                <c:pt idx="140">
                  <c:v>1.4832090209511595E-2</c:v>
                </c:pt>
                <c:pt idx="141">
                  <c:v>8.7255207226601961E-3</c:v>
                </c:pt>
                <c:pt idx="142">
                  <c:v>3.0481542478681956E-2</c:v>
                </c:pt>
                <c:pt idx="143">
                  <c:v>2.4351274279448276E-2</c:v>
                </c:pt>
                <c:pt idx="144">
                  <c:v>1.8304982356916355E-2</c:v>
                </c:pt>
                <c:pt idx="145">
                  <c:v>1.2340952909521086E-2</c:v>
                </c:pt>
                <c:pt idx="146">
                  <c:v>3.3484545481685224E-2</c:v>
                </c:pt>
                <c:pt idx="147">
                  <c:v>2.7498693858249545E-2</c:v>
                </c:pt>
                <c:pt idx="148">
                  <c:v>2.1592653589793009E-2</c:v>
                </c:pt>
                <c:pt idx="149">
                  <c:v>1.5764839020256716E-2</c:v>
                </c:pt>
                <c:pt idx="150">
                  <c:v>1.0013706221371876E-2</c:v>
                </c:pt>
                <c:pt idx="151">
                  <c:v>4.3377516290088458E-3</c:v>
                </c:pt>
                <c:pt idx="152">
                  <c:v>2.4709536706676083E-2</c:v>
                </c:pt>
                <c:pt idx="153">
                  <c:v>1.9012008428502813E-2</c:v>
                </c:pt>
                <c:pt idx="154">
                  <c:v>3.9028551025690472E-2</c:v>
                </c:pt>
                <c:pt idx="155">
                  <c:v>3.3312398812722854E-2</c:v>
                </c:pt>
                <c:pt idx="156">
                  <c:v>2.7668602956881561E-2</c:v>
                </c:pt>
                <c:pt idx="157">
                  <c:v>2.2095798243880971E-2</c:v>
                </c:pt>
                <c:pt idx="158">
                  <c:v>1.6592653589793116E-2</c:v>
                </c:pt>
                <c:pt idx="159">
                  <c:v>1.1157870981097329E-2</c:v>
                </c:pt>
                <c:pt idx="160">
                  <c:v>5.7901844539904879E-3</c:v>
                </c:pt>
                <c:pt idx="161">
                  <c:v>4.8835911126543508E-4</c:v>
                </c:pt>
                <c:pt idx="162">
                  <c:v>4.7488098248411603E-3</c:v>
                </c:pt>
                <c:pt idx="163">
                  <c:v>9.9224979253582646E-3</c:v>
                </c:pt>
                <c:pt idx="164">
                  <c:v>9.0625331078655336E-3</c:v>
                </c:pt>
                <c:pt idx="165">
                  <c:v>3.8681026915896588E-3</c:v>
                </c:pt>
                <c:pt idx="166">
                  <c:v>1.2644892673496777E-3</c:v>
                </c:pt>
                <c:pt idx="167">
                  <c:v>6.33634049304721E-3</c:v>
                </c:pt>
                <c:pt idx="168">
                  <c:v>1.134852288079502E-2</c:v>
                </c:pt>
                <c:pt idx="169">
                  <c:v>1.6302083252312194E-2</c:v>
                </c:pt>
                <c:pt idx="170">
                  <c:v>2.1198044084625334E-2</c:v>
                </c:pt>
                <c:pt idx="171">
                  <c:v>2.6037404213675064E-2</c:v>
                </c:pt>
                <c:pt idx="172">
                  <c:v>3.0821139513655282E-2</c:v>
                </c:pt>
                <c:pt idx="173">
                  <c:v>3.555020355306393E-2</c:v>
                </c:pt>
                <c:pt idx="174">
                  <c:v>4.0225528228388541E-2</c:v>
                </c:pt>
                <c:pt idx="175">
                  <c:v>2.2249154319811559E-2</c:v>
                </c:pt>
                <c:pt idx="176">
                  <c:v>2.6946672252903703E-2</c:v>
                </c:pt>
                <c:pt idx="177">
                  <c:v>3.1591703952106531E-2</c:v>
                </c:pt>
                <c:pt idx="178">
                  <c:v>3.6185124187984474E-2</c:v>
                </c:pt>
                <c:pt idx="179">
                  <c:v>4.0727788399157028E-2</c:v>
                </c:pt>
                <c:pt idx="180">
                  <c:v>2.3242511245371578E-2</c:v>
                </c:pt>
                <c:pt idx="181">
                  <c:v>2.7806253514031987E-2</c:v>
                </c:pt>
                <c:pt idx="182">
                  <c:v>3.2320389888467638E-2</c:v>
                </c:pt>
                <c:pt idx="183">
                  <c:v>3.6785724788585217E-2</c:v>
                </c:pt>
                <c:pt idx="184">
                  <c:v>1.9697668990851902E-2</c:v>
                </c:pt>
                <c:pt idx="185">
                  <c:v>2.4182747479725819E-2</c:v>
                </c:pt>
                <c:pt idx="186">
                  <c:v>2.8620112367653494E-2</c:v>
                </c:pt>
                <c:pt idx="187">
                  <c:v>3.3010521013381311E-2</c:v>
                </c:pt>
                <c:pt idx="188">
                  <c:v>3.7354714831259628E-2</c:v>
                </c:pt>
                <c:pt idx="189">
                  <c:v>4.1653419708636008E-2</c:v>
                </c:pt>
                <c:pt idx="190">
                  <c:v>4.5907346410206884E-2</c:v>
                </c:pt>
                <c:pt idx="191">
                  <c:v>5.0117190969792169E-2</c:v>
                </c:pt>
                <c:pt idx="192">
                  <c:v>5.4283635070000891E-2</c:v>
                </c:pt>
                <c:pt idx="193">
                  <c:v>5.8407346410207062E-2</c:v>
                </c:pt>
                <c:pt idx="194">
                  <c:v>6.2488979063267891E-2</c:v>
                </c:pt>
                <c:pt idx="195">
                  <c:v>6.6529173821374243E-2</c:v>
                </c:pt>
                <c:pt idx="196">
                  <c:v>7.0528558531418817E-2</c:v>
                </c:pt>
                <c:pt idx="197">
                  <c:v>7.4487748420257294E-2</c:v>
                </c:pt>
                <c:pt idx="198">
                  <c:v>7.8407346410207079E-2</c:v>
                </c:pt>
                <c:pt idx="199">
                  <c:v>8.2287943425132237E-2</c:v>
                </c:pt>
                <c:pt idx="200">
                  <c:v>6.6328138489414989E-2</c:v>
                </c:pt>
                <c:pt idx="201">
                  <c:v>7.0230006508729126E-2</c:v>
                </c:pt>
                <c:pt idx="202">
                  <c:v>7.4093620920010927E-2</c:v>
                </c:pt>
                <c:pt idx="203">
                  <c:v>7.7919541532158298E-2</c:v>
                </c:pt>
                <c:pt idx="204">
                  <c:v>8.1708317283993193E-2</c:v>
                </c:pt>
                <c:pt idx="205">
                  <c:v>8.5460486506825362E-2</c:v>
                </c:pt>
                <c:pt idx="206">
                  <c:v>8.9176577179437722E-2</c:v>
                </c:pt>
                <c:pt idx="207">
                  <c:v>7.3718351194895781E-2</c:v>
                </c:pt>
                <c:pt idx="208">
                  <c:v>7.7454965457826042E-2</c:v>
                </c:pt>
                <c:pt idx="209">
                  <c:v>8.115616157608363E-2</c:v>
                </c:pt>
                <c:pt idx="210">
                  <c:v>8.4822440749829475E-2</c:v>
                </c:pt>
                <c:pt idx="211">
                  <c:v>8.8454294767014385E-2</c:v>
                </c:pt>
                <c:pt idx="212">
                  <c:v>9.2052206223291133E-2</c:v>
                </c:pt>
                <c:pt idx="213">
                  <c:v>7.7011997572997704E-2</c:v>
                </c:pt>
                <c:pt idx="214">
                  <c:v>8.0629568632429205E-2</c:v>
                </c:pt>
                <c:pt idx="215">
                  <c:v>8.4213798023109909E-2</c:v>
                </c:pt>
                <c:pt idx="216">
                  <c:v>8.7765144575344678E-2</c:v>
                </c:pt>
                <c:pt idx="217">
                  <c:v>9.128405873897405E-2</c:v>
                </c:pt>
                <c:pt idx="218">
                  <c:v>9.4770982773843215E-2</c:v>
                </c:pt>
                <c:pt idx="219">
                  <c:v>9.8226350935093798E-2</c:v>
                </c:pt>
                <c:pt idx="220">
                  <c:v>8.3632571635432029E-2</c:v>
                </c:pt>
                <c:pt idx="221">
                  <c:v>6.9169678248771849E-2</c:v>
                </c:pt>
                <c:pt idx="222">
                  <c:v>7.2693060695921297E-2</c:v>
                </c:pt>
                <c:pt idx="223">
                  <c:v>7.618512418798451E-2</c:v>
                </c:pt>
                <c:pt idx="224">
                  <c:v>7.9646284463304351E-2</c:v>
                </c:pt>
                <c:pt idx="225">
                  <c:v>8.3076949934436151E-2</c:v>
                </c:pt>
                <c:pt idx="226">
                  <c:v>8.6477521848803196E-2</c:v>
                </c:pt>
                <c:pt idx="227">
                  <c:v>7.2381145536844382E-2</c:v>
                </c:pt>
                <c:pt idx="228">
                  <c:v>5.8407346410207062E-2</c:v>
                </c:pt>
                <c:pt idx="229">
                  <c:v>6.187054987341023E-2</c:v>
                </c:pt>
                <c:pt idx="230">
                  <c:v>6.5303898134344784E-2</c:v>
                </c:pt>
                <c:pt idx="231">
                  <c:v>6.8707775594756271E-2</c:v>
                </c:pt>
                <c:pt idx="232">
                  <c:v>5.4988542991403655E-2</c:v>
                </c:pt>
                <c:pt idx="233">
                  <c:v>5.8407346410207062E-2</c:v>
                </c:pt>
                <c:pt idx="234">
                  <c:v>6.1797176918681362E-2</c:v>
                </c:pt>
                <c:pt idx="235">
                  <c:v>6.5158401262527477E-2</c:v>
                </c:pt>
                <c:pt idx="236">
                  <c:v>6.8491380023652404E-2</c:v>
                </c:pt>
                <c:pt idx="237">
                  <c:v>7.1796467749118964E-2</c:v>
                </c:pt>
                <c:pt idx="238">
                  <c:v>5.8407346410207062E-2</c:v>
                </c:pt>
                <c:pt idx="239">
                  <c:v>4.5129338111451478E-2</c:v>
                </c:pt>
                <c:pt idx="240">
                  <c:v>4.8489991038306091E-2</c:v>
                </c:pt>
                <c:pt idx="241">
                  <c:v>5.1822984270289307E-2</c:v>
                </c:pt>
                <c:pt idx="242">
                  <c:v>5.5128657885616938E-2</c:v>
                </c:pt>
                <c:pt idx="243">
                  <c:v>5.8407346410207062E-2</c:v>
                </c:pt>
                <c:pt idx="244">
                  <c:v>6.1659378930531972E-2</c:v>
                </c:pt>
                <c:pt idx="245">
                  <c:v>6.4885079203729212E-2</c:v>
                </c:pt>
                <c:pt idx="246">
                  <c:v>6.8084765765045407E-2</c:v>
                </c:pt>
                <c:pt idx="247">
                  <c:v>7.1258752032696826E-2</c:v>
                </c:pt>
                <c:pt idx="248">
                  <c:v>7.4407346410207076E-2</c:v>
                </c:pt>
                <c:pt idx="249">
                  <c:v>6.159459740622264E-2</c:v>
                </c:pt>
                <c:pt idx="250">
                  <c:v>6.4756552759413388E-2</c:v>
                </c:pt>
                <c:pt idx="251">
                  <c:v>5.2083235738270339E-2</c:v>
                </c:pt>
                <c:pt idx="252">
                  <c:v>5.525774011099438E-2</c:v>
                </c:pt>
                <c:pt idx="253">
                  <c:v>5.8407346410207062E-2</c:v>
                </c:pt>
                <c:pt idx="254">
                  <c:v>4.5907346410206884E-2</c:v>
                </c:pt>
                <c:pt idx="255">
                  <c:v>4.9068825009428885E-2</c:v>
                </c:pt>
                <c:pt idx="256">
                  <c:v>5.2205796022609885E-2</c:v>
                </c:pt>
                <c:pt idx="257">
                  <c:v>5.5318543321403624E-2</c:v>
                </c:pt>
                <c:pt idx="258">
                  <c:v>5.8407346410207062E-2</c:v>
                </c:pt>
                <c:pt idx="259">
                  <c:v>4.6146810011739259E-2</c:v>
                </c:pt>
                <c:pt idx="260">
                  <c:v>4.924704106669564E-2</c:v>
                </c:pt>
                <c:pt idx="261">
                  <c:v>5.232369622009303E-2</c:v>
                </c:pt>
                <c:pt idx="262">
                  <c:v>5.5377043379903679E-2</c:v>
                </c:pt>
                <c:pt idx="263">
                  <c:v>5.8407346410207062E-2</c:v>
                </c:pt>
                <c:pt idx="264">
                  <c:v>6.1414865207199298E-2</c:v>
                </c:pt>
                <c:pt idx="265">
                  <c:v>6.4399855773502601E-2</c:v>
                </c:pt>
                <c:pt idx="266">
                  <c:v>6.7362570290804058E-2</c:v>
                </c:pt>
                <c:pt idx="267">
                  <c:v>7.0303257190876156E-2</c:v>
                </c:pt>
                <c:pt idx="268">
                  <c:v>7.3222161225021676E-2</c:v>
                </c:pt>
                <c:pt idx="269">
                  <c:v>7.6119523531978039E-2</c:v>
                </c:pt>
                <c:pt idx="270">
                  <c:v>7.8995581704324636E-2</c:v>
                </c:pt>
                <c:pt idx="271">
                  <c:v>6.7198555201415822E-2</c:v>
                </c:pt>
                <c:pt idx="272">
                  <c:v>7.008617852699528E-2</c:v>
                </c:pt>
                <c:pt idx="273">
                  <c:v>5.8407346410207062E-2</c:v>
                </c:pt>
                <c:pt idx="274">
                  <c:v>6.1305897134844578E-2</c:v>
                </c:pt>
                <c:pt idx="275">
                  <c:v>6.4183519695405256E-2</c:v>
                </c:pt>
                <c:pt idx="276">
                  <c:v>6.7040439935386775E-2</c:v>
                </c:pt>
                <c:pt idx="277">
                  <c:v>5.5539962897662054E-2</c:v>
                </c:pt>
                <c:pt idx="278">
                  <c:v>5.8407346410207062E-2</c:v>
                </c:pt>
                <c:pt idx="279">
                  <c:v>6.1254321499174758E-2</c:v>
                </c:pt>
                <c:pt idx="280">
                  <c:v>6.4081105275455297E-2</c:v>
                </c:pt>
                <c:pt idx="281">
                  <c:v>6.6887911781231768E-2</c:v>
                </c:pt>
                <c:pt idx="282">
                  <c:v>6.9674952044009864E-2</c:v>
                </c:pt>
                <c:pt idx="283">
                  <c:v>7.2442434129505351E-2</c:v>
                </c:pt>
                <c:pt idx="284">
                  <c:v>6.1204549207409809E-2</c:v>
                </c:pt>
                <c:pt idx="285">
                  <c:v>6.3982259302192812E-2</c:v>
                </c:pt>
                <c:pt idx="286">
                  <c:v>6.6740679743540365E-2</c:v>
                </c:pt>
                <c:pt idx="287">
                  <c:v>5.5639180320241621E-2</c:v>
                </c:pt>
                <c:pt idx="288">
                  <c:v>4.4614242961931172E-2</c:v>
                </c:pt>
                <c:pt idx="289">
                  <c:v>4.7410782836323939E-2</c:v>
                </c:pt>
                <c:pt idx="290">
                  <c:v>3.6489538191028625E-2</c:v>
                </c:pt>
                <c:pt idx="291">
                  <c:v>3.9294718423858566E-2</c:v>
                </c:pt>
                <c:pt idx="292">
                  <c:v>4.2080815797961968E-2</c:v>
                </c:pt>
                <c:pt idx="293">
                  <c:v>3.1288702342410435E-2</c:v>
                </c:pt>
                <c:pt idx="294">
                  <c:v>3.4083022085882764E-2</c:v>
                </c:pt>
                <c:pt idx="295">
                  <c:v>2.3390511393371671E-2</c:v>
                </c:pt>
                <c:pt idx="296">
                  <c:v>2.6192581309535612E-2</c:v>
                </c:pt>
                <c:pt idx="297">
                  <c:v>1.5597981861712018E-2</c:v>
                </c:pt>
                <c:pt idx="298">
                  <c:v>5.0740130768733849E-3</c:v>
                </c:pt>
                <c:pt idx="299">
                  <c:v>7.9090075397751924E-3</c:v>
                </c:pt>
                <c:pt idx="300">
                  <c:v>2.5198059076738666E-3</c:v>
                </c:pt>
                <c:pt idx="301">
                  <c:v>3.2153782934862818E-4</c:v>
                </c:pt>
                <c:pt idx="302">
                  <c:v>3.1441885154701588E-3</c:v>
                </c:pt>
                <c:pt idx="303">
                  <c:v>5.9483300167642028E-3</c:v>
                </c:pt>
                <c:pt idx="304">
                  <c:v>8.7341437958277091E-3</c:v>
                </c:pt>
                <c:pt idx="305">
                  <c:v>1.1501808950923564E-2</c:v>
                </c:pt>
                <c:pt idx="306">
                  <c:v>1.2644892673496777E-3</c:v>
                </c:pt>
                <c:pt idx="307">
                  <c:v>4.0384143713718679E-3</c:v>
                </c:pt>
                <c:pt idx="308">
                  <c:v>6.7944431844004782E-3</c:v>
                </c:pt>
                <c:pt idx="309">
                  <c:v>9.5327483394673784E-3</c:v>
                </c:pt>
                <c:pt idx="310">
                  <c:v>1.2253500256360628E-2</c:v>
                </c:pt>
                <c:pt idx="311">
                  <c:v>2.177314461325075E-3</c:v>
                </c:pt>
                <c:pt idx="312">
                  <c:v>4.9041616968312773E-3</c:v>
                </c:pt>
                <c:pt idx="313">
                  <c:v>7.6136956165560044E-3</c:v>
                </c:pt>
                <c:pt idx="314">
                  <c:v>1.0306080587421995E-2</c:v>
                </c:pt>
                <c:pt idx="315">
                  <c:v>3.6318237235200002E-4</c:v>
                </c:pt>
                <c:pt idx="316">
                  <c:v>3.0614344605215393E-3</c:v>
                </c:pt>
                <c:pt idx="317">
                  <c:v>6.7964153452790832E-3</c:v>
                </c:pt>
                <c:pt idx="318">
                  <c:v>1.6592653589793116E-2</c:v>
                </c:pt>
                <c:pt idx="319">
                  <c:v>2.6327856082005052E-2</c:v>
                </c:pt>
                <c:pt idx="320">
                  <c:v>3.6002591477991785E-2</c:v>
                </c:pt>
                <c:pt idx="321">
                  <c:v>3.3233520462858213E-2</c:v>
                </c:pt>
                <c:pt idx="322">
                  <c:v>3.0481542478681956E-2</c:v>
                </c:pt>
                <c:pt idx="323">
                  <c:v>2.7746499743639408E-2</c:v>
                </c:pt>
                <c:pt idx="324">
                  <c:v>3.7298175062185912E-2</c:v>
                </c:pt>
                <c:pt idx="325">
                  <c:v>4.67914303482031E-2</c:v>
                </c:pt>
                <c:pt idx="326">
                  <c:v>5.6226799931256455E-2</c:v>
                </c:pt>
                <c:pt idx="327">
                  <c:v>5.3446756933257955E-2</c:v>
                </c:pt>
                <c:pt idx="328">
                  <c:v>5.0683562680702288E-2</c:v>
                </c:pt>
                <c:pt idx="329">
                  <c:v>4.7937064465926049E-2</c:v>
                </c:pt>
                <c:pt idx="330">
                  <c:v>5.7255304192202594E-2</c:v>
                </c:pt>
                <c:pt idx="331">
                  <c:v>5.4505566502705882E-2</c:v>
                </c:pt>
                <c:pt idx="332">
                  <c:v>5.1772294308356059E-2</c:v>
                </c:pt>
                <c:pt idx="333">
                  <c:v>4.9055340156957339E-2</c:v>
                </c:pt>
                <c:pt idx="334">
                  <c:v>4.6354558351697772E-2</c:v>
                </c:pt>
                <c:pt idx="335">
                  <c:v>4.3669804925104749E-2</c:v>
                </c:pt>
                <c:pt idx="336">
                  <c:v>4.1000937613461907E-2</c:v>
                </c:pt>
                <c:pt idx="337">
                  <c:v>5.0147225861179479E-2</c:v>
                </c:pt>
                <c:pt idx="338">
                  <c:v>4.7475006530969477E-2</c:v>
                </c:pt>
                <c:pt idx="339">
                  <c:v>4.4818460041406105E-2</c:v>
                </c:pt>
                <c:pt idx="340">
                  <c:v>4.2177448911430382E-2</c:v>
                </c:pt>
                <c:pt idx="341">
                  <c:v>3.9551837263262613E-2</c:v>
                </c:pt>
                <c:pt idx="342">
                  <c:v>3.6941490799095256E-2</c:v>
                </c:pt>
                <c:pt idx="343">
                  <c:v>3.4346276778198792E-2</c:v>
                </c:pt>
                <c:pt idx="344">
                  <c:v>3.1766063994417504E-2</c:v>
                </c:pt>
                <c:pt idx="345">
                  <c:v>2.9200722754058273E-2</c:v>
                </c:pt>
                <c:pt idx="346">
                  <c:v>2.665012485416085E-2</c:v>
                </c:pt>
                <c:pt idx="347">
                  <c:v>2.4114143561139834E-2</c:v>
                </c:pt>
                <c:pt idx="348">
                  <c:v>2.1592653589793009E-2</c:v>
                </c:pt>
                <c:pt idx="349">
                  <c:v>1.9085531082670748E-2</c:v>
                </c:pt>
                <c:pt idx="350">
                  <c:v>1.6592653589793116E-2</c:v>
                </c:pt>
                <c:pt idx="351">
                  <c:v>1.4113900048716488E-2</c:v>
                </c:pt>
                <c:pt idx="352">
                  <c:v>1.1649150764934557E-2</c:v>
                </c:pt>
                <c:pt idx="353">
                  <c:v>9.1982873926101938E-3</c:v>
                </c:pt>
                <c:pt idx="354">
                  <c:v>1.7997147971815508E-2</c:v>
                </c:pt>
                <c:pt idx="355">
                  <c:v>1.5542233421725893E-2</c:v>
                </c:pt>
                <c:pt idx="356">
                  <c:v>1.3101033478061463E-2</c:v>
                </c:pt>
                <c:pt idx="357">
                  <c:v>1.067343353408301E-2</c:v>
                </c:pt>
                <c:pt idx="358">
                  <c:v>1.9370431367570884E-2</c:v>
                </c:pt>
                <c:pt idx="359">
                  <c:v>1.693891397760483E-2</c:v>
                </c:pt>
                <c:pt idx="360">
                  <c:v>1.452083038537344E-2</c:v>
                </c:pt>
                <c:pt idx="361">
                  <c:v>1.2116069567754462E-2</c:v>
                </c:pt>
                <c:pt idx="362">
                  <c:v>9.7245217216612723E-3</c:v>
                </c:pt>
                <c:pt idx="363">
                  <c:v>7.3460782473273589E-3</c:v>
                </c:pt>
                <c:pt idx="364">
                  <c:v>4.9806317318696891E-3</c:v>
                </c:pt>
                <c:pt idx="365">
                  <c:v>2.6280759331172021E-3</c:v>
                </c:pt>
                <c:pt idx="366">
                  <c:v>2.8830576370619809E-4</c:v>
                </c:pt>
                <c:pt idx="367">
                  <c:v>2.0387827245698098E-3</c:v>
                </c:pt>
                <c:pt idx="368">
                  <c:v>4.3532923561526715E-3</c:v>
                </c:pt>
                <c:pt idx="369">
                  <c:v>6.6553248468643744E-3</c:v>
                </c:pt>
                <c:pt idx="370">
                  <c:v>1.8077073532341004E-3</c:v>
                </c:pt>
                <c:pt idx="371">
                  <c:v>4.9849922522016143E-4</c:v>
                </c:pt>
                <c:pt idx="372">
                  <c:v>2.7923731481749314E-3</c:v>
                </c:pt>
                <c:pt idx="373">
                  <c:v>5.0740130768733849E-3</c:v>
                </c:pt>
                <c:pt idx="374">
                  <c:v>7.3435166229729454E-3</c:v>
                </c:pt>
                <c:pt idx="375">
                  <c:v>1.0090992131353005E-3</c:v>
                </c:pt>
                <c:pt idx="376">
                  <c:v>1.2644892673496777E-3</c:v>
                </c:pt>
                <c:pt idx="377">
                  <c:v>3.5260799194416492E-3</c:v>
                </c:pt>
                <c:pt idx="378">
                  <c:v>5.775767462838477E-3</c:v>
                </c:pt>
                <c:pt idx="379">
                  <c:v>8.0136456228054875E-3</c:v>
                </c:pt>
                <c:pt idx="380">
                  <c:v>1.0239807143191282E-2</c:v>
                </c:pt>
                <c:pt idx="381">
                  <c:v>1.2454343799241041E-2</c:v>
                </c:pt>
                <c:pt idx="382">
                  <c:v>1.4657346410206884E-2</c:v>
                </c:pt>
                <c:pt idx="383">
                  <c:v>6.4592944621550963E-3</c:v>
                </c:pt>
                <c:pt idx="384">
                  <c:v>8.6664137677199271E-3</c:v>
                </c:pt>
                <c:pt idx="385">
                  <c:v>1.0862126771963965E-2</c:v>
                </c:pt>
                <c:pt idx="386">
                  <c:v>1.3046521667938737E-2</c:v>
                </c:pt>
                <c:pt idx="387">
                  <c:v>4.93690939221203E-3</c:v>
                </c:pt>
                <c:pt idx="388">
                  <c:v>7.1252951281555177E-3</c:v>
                </c:pt>
                <c:pt idx="389">
                  <c:v>9.2769195296460438E-4</c:v>
                </c:pt>
                <c:pt idx="390">
                  <c:v>1.2644892673496777E-3</c:v>
                </c:pt>
                <c:pt idx="391">
                  <c:v>3.4455143491380902E-3</c:v>
                </c:pt>
                <c:pt idx="392">
                  <c:v>5.6154682376181597E-3</c:v>
                </c:pt>
                <c:pt idx="393">
                  <c:v>7.7744350178017285E-3</c:v>
                </c:pt>
                <c:pt idx="394">
                  <c:v>9.9224979253582646E-3</c:v>
                </c:pt>
                <c:pt idx="395">
                  <c:v>1.2059739357310306E-2</c:v>
                </c:pt>
                <c:pt idx="396">
                  <c:v>4.1359896262873619E-3</c:v>
                </c:pt>
                <c:pt idx="397">
                  <c:v>6.2770205956703684E-3</c:v>
                </c:pt>
                <c:pt idx="398">
                  <c:v>1.5926535897929917E-3</c:v>
                </c:pt>
                <c:pt idx="399">
                  <c:v>9.4230775299428693E-3</c:v>
                </c:pt>
                <c:pt idx="400">
                  <c:v>7.2642953808377264E-3</c:v>
                </c:pt>
                <c:pt idx="401">
                  <c:v>1.5041785103440564E-2</c:v>
                </c:pt>
                <c:pt idx="402">
                  <c:v>1.2879782302664289E-2</c:v>
                </c:pt>
                <c:pt idx="403">
                  <c:v>1.0728456058929137E-2</c:v>
                </c:pt>
                <c:pt idx="404">
                  <c:v>8.5877274814185611E-3</c:v>
                </c:pt>
                <c:pt idx="405">
                  <c:v>6.4575184546580289E-3</c:v>
                </c:pt>
                <c:pt idx="406">
                  <c:v>4.3377516290088458E-3</c:v>
                </c:pt>
                <c:pt idx="407">
                  <c:v>2.2283504113089769E-3</c:v>
                </c:pt>
                <c:pt idx="408">
                  <c:v>1.2923895564664889E-4</c:v>
                </c:pt>
                <c:pt idx="409">
                  <c:v>1.9596578457301561E-3</c:v>
                </c:pt>
                <c:pt idx="410">
                  <c:v>4.0384143713718679E-3</c:v>
                </c:pt>
                <c:pt idx="411">
                  <c:v>3.5781257447569104E-3</c:v>
                </c:pt>
                <c:pt idx="412">
                  <c:v>1.4960352323050152E-3</c:v>
                </c:pt>
                <c:pt idx="413">
                  <c:v>5.760211090022338E-4</c:v>
                </c:pt>
                <c:pt idx="414">
                  <c:v>2.6381156409760464E-3</c:v>
                </c:pt>
                <c:pt idx="415">
                  <c:v>4.6903200313099802E-3</c:v>
                </c:pt>
                <c:pt idx="416">
                  <c:v>6.732705261881744E-3</c:v>
                </c:pt>
                <c:pt idx="417">
                  <c:v>7.8119774253782026E-4</c:v>
                </c:pt>
                <c:pt idx="418">
                  <c:v>1.2644892673496777E-3</c:v>
                </c:pt>
                <c:pt idx="419">
                  <c:v>3.3004580491615698E-3</c:v>
                </c:pt>
                <c:pt idx="420">
                  <c:v>5.3267776898278107E-3</c:v>
                </c:pt>
                <c:pt idx="421">
                  <c:v>7.3435166229729454E-3</c:v>
                </c:pt>
                <c:pt idx="422">
                  <c:v>9.3507426366219448E-3</c:v>
                </c:pt>
                <c:pt idx="423">
                  <c:v>1.9367581749127893E-3</c:v>
                </c:pt>
                <c:pt idx="424">
                  <c:v>3.9472525134933711E-3</c:v>
                </c:pt>
                <c:pt idx="425">
                  <c:v>5.9483300167642028E-3</c:v>
                </c:pt>
                <c:pt idx="426">
                  <c:v>7.9400566905807324E-3</c:v>
                </c:pt>
                <c:pt idx="427">
                  <c:v>9.9224979253582646E-3</c:v>
                </c:pt>
                <c:pt idx="428">
                  <c:v>1.1895718503230235E-2</c:v>
                </c:pt>
                <c:pt idx="429">
                  <c:v>1.3859782605102566E-2</c:v>
                </c:pt>
                <c:pt idx="430">
                  <c:v>1.5814753817614324E-2</c:v>
                </c:pt>
                <c:pt idx="431">
                  <c:v>1.7760695139998894E-2</c:v>
                </c:pt>
                <c:pt idx="432">
                  <c:v>1.9697668990851902E-2</c:v>
                </c:pt>
                <c:pt idx="433">
                  <c:v>2.1625737214804541E-2</c:v>
                </c:pt>
                <c:pt idx="434">
                  <c:v>2.3544961089105865E-2</c:v>
                </c:pt>
                <c:pt idx="435">
                  <c:v>2.5455401330115368E-2</c:v>
                </c:pt>
                <c:pt idx="436">
                  <c:v>2.7357118099704536E-2</c:v>
                </c:pt>
                <c:pt idx="437">
                  <c:v>2.9250171011573567E-2</c:v>
                </c:pt>
                <c:pt idx="438">
                  <c:v>2.2043710046570464E-2</c:v>
                </c:pt>
                <c:pt idx="439">
                  <c:v>2.3940226228801098E-2</c:v>
                </c:pt>
                <c:pt idx="440">
                  <c:v>1.6778387134188666E-2</c:v>
                </c:pt>
                <c:pt idx="441">
                  <c:v>1.8678226771380757E-2</c:v>
                </c:pt>
                <c:pt idx="442">
                  <c:v>2.0569508572369166E-2</c:v>
                </c:pt>
                <c:pt idx="443">
                  <c:v>2.2452290230431604E-2</c:v>
                </c:pt>
                <c:pt idx="444">
                  <c:v>2.4326628921417459E-2</c:v>
                </c:pt>
                <c:pt idx="445">
                  <c:v>1.7244035448238382E-2</c:v>
                </c:pt>
                <c:pt idx="446">
                  <c:v>1.9121632124492471E-2</c:v>
                </c:pt>
                <c:pt idx="447">
                  <c:v>2.0990865341164788E-2</c:v>
                </c:pt>
                <c:pt idx="448">
                  <c:v>2.2851790854651277E-2</c:v>
                </c:pt>
                <c:pt idx="449">
                  <c:v>2.4704463926836784E-2</c:v>
                </c:pt>
                <c:pt idx="450">
                  <c:v>2.6548939330560906E-2</c:v>
                </c:pt>
                <c:pt idx="451">
                  <c:v>2.8385271355019448E-2</c:v>
                </c:pt>
                <c:pt idx="452">
                  <c:v>3.0213513811087722E-2</c:v>
                </c:pt>
                <c:pt idx="453">
                  <c:v>2.3242511245371578E-2</c:v>
                </c:pt>
                <c:pt idx="454">
                  <c:v>1.6302083252312194E-2</c:v>
                </c:pt>
                <c:pt idx="455">
                  <c:v>1.8144764353313914E-2</c:v>
                </c:pt>
                <c:pt idx="456">
                  <c:v>1.997939881195343E-2</c:v>
                </c:pt>
                <c:pt idx="457">
                  <c:v>2.1806039220664264E-2</c:v>
                </c:pt>
                <c:pt idx="458">
                  <c:v>1.4929085540641651E-2</c:v>
                </c:pt>
                <c:pt idx="459">
                  <c:v>1.6758756388514762E-2</c:v>
                </c:pt>
                <c:pt idx="460">
                  <c:v>1.8580506583366851E-2</c:v>
                </c:pt>
                <c:pt idx="461">
                  <c:v>2.0394387446923901E-2</c:v>
                </c:pt>
                <c:pt idx="462">
                  <c:v>2.2200449858482685E-2</c:v>
                </c:pt>
                <c:pt idx="463">
                  <c:v>2.3998744259669191E-2</c:v>
                </c:pt>
                <c:pt idx="464">
                  <c:v>2.5789320659133974E-2</c:v>
                </c:pt>
                <c:pt idx="465">
                  <c:v>2.7572228637187557E-2</c:v>
                </c:pt>
                <c:pt idx="466">
                  <c:v>2.9347517350377661E-2</c:v>
                </c:pt>
                <c:pt idx="467">
                  <c:v>3.111523553600648E-2</c:v>
                </c:pt>
                <c:pt idx="468">
                  <c:v>3.2875431516589781E-2</c:v>
                </c:pt>
                <c:pt idx="469">
                  <c:v>3.4628153204262269E-2</c:v>
                </c:pt>
                <c:pt idx="470">
                  <c:v>3.6373448105122108E-2</c:v>
                </c:pt>
                <c:pt idx="471">
                  <c:v>3.811136332352616E-2</c:v>
                </c:pt>
                <c:pt idx="472">
                  <c:v>3.984194556632481E-2</c:v>
                </c:pt>
                <c:pt idx="473">
                  <c:v>4.1565241147048848E-2</c:v>
                </c:pt>
                <c:pt idx="474">
                  <c:v>3.4877934645500819E-2</c:v>
                </c:pt>
                <c:pt idx="475">
                  <c:v>3.660441139972459E-2</c:v>
                </c:pt>
                <c:pt idx="476">
                  <c:v>2.9955463565018547E-2</c:v>
                </c:pt>
                <c:pt idx="477">
                  <c:v>3.1685008205613929E-2</c:v>
                </c:pt>
                <c:pt idx="478">
                  <c:v>3.3407346410206706E-2</c:v>
                </c:pt>
                <c:pt idx="479">
                  <c:v>3.5122523125383776E-2</c:v>
                </c:pt>
                <c:pt idx="480">
                  <c:v>2.8531827738007554E-2</c:v>
                </c:pt>
                <c:pt idx="481">
                  <c:v>3.0249996513726618E-2</c:v>
                </c:pt>
                <c:pt idx="482">
                  <c:v>3.1961065418471435E-2</c:v>
                </c:pt>
                <c:pt idx="483">
                  <c:v>3.3665078368969592E-2</c:v>
                </c:pt>
                <c:pt idx="484">
                  <c:v>3.5362078920495144E-2</c:v>
                </c:pt>
                <c:pt idx="485">
                  <c:v>3.7052110270576311E-2</c:v>
                </c:pt>
                <c:pt idx="486">
                  <c:v>3.8735215262665879E-2</c:v>
                </c:pt>
                <c:pt idx="487">
                  <c:v>4.0411436389756972E-2</c:v>
                </c:pt>
                <c:pt idx="488">
                  <c:v>3.3917550491839421E-2</c:v>
                </c:pt>
                <c:pt idx="489">
                  <c:v>3.5596755778842137E-2</c:v>
                </c:pt>
                <c:pt idx="490">
                  <c:v>3.7269135028092926E-2</c:v>
                </c:pt>
                <c:pt idx="491">
                  <c:v>3.8934729777346799E-2</c:v>
                </c:pt>
                <c:pt idx="492">
                  <c:v>4.0593581228020703E-2</c:v>
                </c:pt>
                <c:pt idx="493">
                  <c:v>4.2245730248590796E-2</c:v>
                </c:pt>
                <c:pt idx="494">
                  <c:v>4.3891217377948877E-2</c:v>
                </c:pt>
                <c:pt idx="495">
                  <c:v>3.7481793090287319E-2</c:v>
                </c:pt>
                <c:pt idx="496">
                  <c:v>3.1098109462415646E-2</c:v>
                </c:pt>
                <c:pt idx="497">
                  <c:v>3.2756043804996526E-2</c:v>
                </c:pt>
                <c:pt idx="498">
                  <c:v>3.440734641020704E-2</c:v>
                </c:pt>
                <c:pt idx="499">
                  <c:v>3.605205698904923E-2</c:v>
                </c:pt>
                <c:pt idx="500">
                  <c:v>3.7690214936103139E-2</c:v>
                </c:pt>
                <c:pt idx="501">
                  <c:v>3.9321859332672293E-2</c:v>
                </c:pt>
                <c:pt idx="502">
                  <c:v>4.0947028949889219E-2</c:v>
                </c:pt>
                <c:pt idx="503">
                  <c:v>4.2565762251791206E-2</c:v>
                </c:pt>
                <c:pt idx="504">
                  <c:v>4.4178097398348992E-2</c:v>
                </c:pt>
                <c:pt idx="505">
                  <c:v>4.5784072248471031E-2</c:v>
                </c:pt>
                <c:pt idx="506">
                  <c:v>4.7383724362962898E-2</c:v>
                </c:pt>
                <c:pt idx="507">
                  <c:v>4.8977091007456508E-2</c:v>
                </c:pt>
                <c:pt idx="508">
                  <c:v>4.2721071900402752E-2</c:v>
                </c:pt>
                <c:pt idx="509">
                  <c:v>4.4317326840735305E-2</c:v>
                </c:pt>
                <c:pt idx="510">
                  <c:v>4.5907346410206884E-2</c:v>
                </c:pt>
                <c:pt idx="511">
                  <c:v>3.9693896117809047E-2</c:v>
                </c:pt>
                <c:pt idx="512">
                  <c:v>4.1286723842113293E-2</c:v>
                </c:pt>
                <c:pt idx="513">
                  <c:v>4.287336582768253E-2</c:v>
                </c:pt>
                <c:pt idx="514">
                  <c:v>4.4453858038113747E-2</c:v>
                </c:pt>
                <c:pt idx="515">
                  <c:v>4.6028236158756286E-2</c:v>
                </c:pt>
                <c:pt idx="516">
                  <c:v>4.7596535599395917E-2</c:v>
                </c:pt>
                <c:pt idx="517">
                  <c:v>4.9158791496912269E-2</c:v>
                </c:pt>
                <c:pt idx="518">
                  <c:v>4.3022731025591288E-2</c:v>
                </c:pt>
                <c:pt idx="519">
                  <c:v>4.4587768675082184E-2</c:v>
                </c:pt>
                <c:pt idx="520">
                  <c:v>4.6146810011739259E-2</c:v>
                </c:pt>
                <c:pt idx="521">
                  <c:v>4.7699889431239484E-2</c:v>
                </c:pt>
                <c:pt idx="522">
                  <c:v>4.924704106669564E-2</c:v>
                </c:pt>
                <c:pt idx="523">
                  <c:v>5.0788298791159203E-2</c:v>
                </c:pt>
                <c:pt idx="524">
                  <c:v>5.232369622009303E-2</c:v>
                </c:pt>
                <c:pt idx="525">
                  <c:v>5.3853266713812076E-2</c:v>
                </c:pt>
                <c:pt idx="526">
                  <c:v>5.5377043379903679E-2</c:v>
                </c:pt>
                <c:pt idx="527">
                  <c:v>4.9333622402645272E-2</c:v>
                </c:pt>
                <c:pt idx="528">
                  <c:v>5.0860176598886309E-2</c:v>
                </c:pt>
                <c:pt idx="529">
                  <c:v>5.2380981061807663E-2</c:v>
                </c:pt>
                <c:pt idx="530">
                  <c:v>5.3896068214718262E-2</c:v>
                </c:pt>
                <c:pt idx="531">
                  <c:v>5.5405470237599008E-2</c:v>
                </c:pt>
                <c:pt idx="532">
                  <c:v>4.9418582365262864E-2</c:v>
                </c:pt>
                <c:pt idx="533">
                  <c:v>4.3454075382169499E-2</c:v>
                </c:pt>
                <c:pt idx="534">
                  <c:v>4.4974510589311567E-2</c:v>
                </c:pt>
                <c:pt idx="535">
                  <c:v>4.6489283095495715E-2</c:v>
                </c:pt>
                <c:pt idx="536">
                  <c:v>4.7998424477121215E-2</c:v>
                </c:pt>
                <c:pt idx="537">
                  <c:v>4.2080815797961968E-2</c:v>
                </c:pt>
                <c:pt idx="538">
                  <c:v>4.3592531595392003E-2</c:v>
                </c:pt>
                <c:pt idx="539">
                  <c:v>4.5098658794680002E-2</c:v>
                </c:pt>
                <c:pt idx="540">
                  <c:v>3.9219154528288058E-2</c:v>
                </c:pt>
                <c:pt idx="541">
                  <c:v>4.0727788399157028E-2</c:v>
                </c:pt>
                <c:pt idx="542">
                  <c:v>4.2230875821971381E-2</c:v>
                </c:pt>
                <c:pt idx="543">
                  <c:v>4.3728447327638253E-2</c:v>
                </c:pt>
                <c:pt idx="544">
                  <c:v>4.5220533223393478E-2</c:v>
                </c:pt>
                <c:pt idx="545">
                  <c:v>4.6707163594850609E-2</c:v>
                </c:pt>
                <c:pt idx="546">
                  <c:v>4.0889098235024512E-2</c:v>
                </c:pt>
                <c:pt idx="547">
                  <c:v>4.2378202512210361E-2</c:v>
                </c:pt>
                <c:pt idx="548">
                  <c:v>4.3861891864752423E-2</c:v>
                </c:pt>
                <c:pt idx="549">
                  <c:v>3.8080667644326827E-2</c:v>
                </c:pt>
                <c:pt idx="550">
                  <c:v>3.9566766700061873E-2</c:v>
                </c:pt>
                <c:pt idx="551">
                  <c:v>3.3814218019609932E-2</c:v>
                </c:pt>
                <c:pt idx="552">
                  <c:v>3.5302653269412509E-2</c:v>
                </c:pt>
                <c:pt idx="553">
                  <c:v>2.9578517581378083E-2</c:v>
                </c:pt>
                <c:pt idx="554">
                  <c:v>3.1069216913803821E-2</c:v>
                </c:pt>
                <c:pt idx="555">
                  <c:v>3.255456364539544E-2</c:v>
                </c:pt>
                <c:pt idx="556">
                  <c:v>2.6866127772214199E-2</c:v>
                </c:pt>
                <c:pt idx="557">
                  <c:v>2.8353679147237187E-2</c:v>
                </c:pt>
                <c:pt idx="558">
                  <c:v>2.9835917838778148E-2</c:v>
                </c:pt>
                <c:pt idx="559">
                  <c:v>3.1312872256909152E-2</c:v>
                </c:pt>
                <c:pt idx="560">
                  <c:v>3.2784570609495134E-2</c:v>
                </c:pt>
                <c:pt idx="561">
                  <c:v>3.4251040903990226E-2</c:v>
                </c:pt>
                <c:pt idx="562">
                  <c:v>2.8620112367653494E-2</c:v>
                </c:pt>
                <c:pt idx="563">
                  <c:v>3.008876233941038E-2</c:v>
                </c:pt>
                <c:pt idx="564">
                  <c:v>3.1552222735295121E-2</c:v>
                </c:pt>
                <c:pt idx="565">
                  <c:v>3.3010521013381311E-2</c:v>
                </c:pt>
                <c:pt idx="566">
                  <c:v>3.4463684438375886E-2</c:v>
                </c:pt>
                <c:pt idx="567">
                  <c:v>3.5911740083317767E-2</c:v>
                </c:pt>
                <c:pt idx="568">
                  <c:v>3.0337170971610483E-2</c:v>
                </c:pt>
                <c:pt idx="569">
                  <c:v>2.4782127496021378E-2</c:v>
                </c:pt>
                <c:pt idx="570">
                  <c:v>1.9246507249367717E-2</c:v>
                </c:pt>
                <c:pt idx="571">
                  <c:v>2.0711011331672857E-2</c:v>
                </c:pt>
                <c:pt idx="572">
                  <c:v>2.2170412612297685E-2</c:v>
                </c:pt>
                <c:pt idx="573">
                  <c:v>2.3624737714554644E-2</c:v>
                </c:pt>
                <c:pt idx="574">
                  <c:v>1.8129568632429205E-2</c:v>
                </c:pt>
                <c:pt idx="575">
                  <c:v>1.9585855942269248E-2</c:v>
                </c:pt>
                <c:pt idx="576">
                  <c:v>2.1037104195674061E-2</c:v>
                </c:pt>
                <c:pt idx="577">
                  <c:v>1.5574876634731893E-2</c:v>
                </c:pt>
                <c:pt idx="578">
                  <c:v>1.7028036065379393E-2</c:v>
                </c:pt>
                <c:pt idx="579">
                  <c:v>1.1591511642564889E-2</c:v>
                </c:pt>
                <c:pt idx="580">
                  <c:v>1.3046521667938737E-2</c:v>
                </c:pt>
                <c:pt idx="581">
                  <c:v>1.4496540235249711E-2</c:v>
                </c:pt>
                <c:pt idx="582">
                  <c:v>1.5941592985549313E-2</c:v>
                </c:pt>
                <c:pt idx="583">
                  <c:v>1.7381705384565738E-2</c:v>
                </c:pt>
                <c:pt idx="584">
                  <c:v>1.8816902724200002E-2</c:v>
                </c:pt>
                <c:pt idx="585">
                  <c:v>2.0247210124005655E-2</c:v>
                </c:pt>
                <c:pt idx="586">
                  <c:v>2.1672652532656045E-2</c:v>
                </c:pt>
                <c:pt idx="587">
                  <c:v>2.3093254729392054E-2</c:v>
                </c:pt>
                <c:pt idx="588">
                  <c:v>2.4509041325460945E-2</c:v>
                </c:pt>
                <c:pt idx="589">
                  <c:v>2.5920036765537002E-2</c:v>
                </c:pt>
                <c:pt idx="590">
                  <c:v>2.7326265329125743E-2</c:v>
                </c:pt>
                <c:pt idx="591">
                  <c:v>2.8727751131960577E-2</c:v>
                </c:pt>
                <c:pt idx="592">
                  <c:v>3.0124518127378597E-2</c:v>
                </c:pt>
                <c:pt idx="593">
                  <c:v>3.1516590107685705E-2</c:v>
                </c:pt>
                <c:pt idx="594">
                  <c:v>3.2903990705508868E-2</c:v>
                </c:pt>
                <c:pt idx="595">
                  <c:v>3.4286743395131491E-2</c:v>
                </c:pt>
                <c:pt idx="596">
                  <c:v>3.5664871493819028E-2</c:v>
                </c:pt>
                <c:pt idx="597">
                  <c:v>3.7038398163128594E-2</c:v>
                </c:pt>
                <c:pt idx="598">
                  <c:v>3.8407346410207044E-2</c:v>
                </c:pt>
                <c:pt idx="599">
                  <c:v>3.311616504581405E-2</c:v>
                </c:pt>
                <c:pt idx="600">
                  <c:v>3.4487080629475919E-2</c:v>
                </c:pt>
                <c:pt idx="601">
                  <c:v>2.921995005863165E-2</c:v>
                </c:pt>
                <c:pt idx="602">
                  <c:v>3.0592776873783034E-2</c:v>
                </c:pt>
                <c:pt idx="603">
                  <c:v>3.1961065418471435E-2</c:v>
                </c:pt>
                <c:pt idx="604">
                  <c:v>3.3324838159381809E-2</c:v>
                </c:pt>
                <c:pt idx="605">
                  <c:v>3.4684117415149096E-2</c:v>
                </c:pt>
                <c:pt idx="606">
                  <c:v>3.6038925357575469E-2</c:v>
                </c:pt>
                <c:pt idx="607">
                  <c:v>3.7389284012834256E-2</c:v>
                </c:pt>
                <c:pt idx="608">
                  <c:v>3.8735215262665879E-2</c:v>
                </c:pt>
                <c:pt idx="609">
                  <c:v>3.353009600104162E-2</c:v>
                </c:pt>
                <c:pt idx="610">
                  <c:v>3.4877934645500819E-2</c:v>
                </c:pt>
                <c:pt idx="611">
                  <c:v>3.622137577399176E-2</c:v>
                </c:pt>
                <c:pt idx="612">
                  <c:v>3.756044087274768E-2</c:v>
                </c:pt>
                <c:pt idx="613">
                  <c:v>3.8895151288255825E-2</c:v>
                </c:pt>
                <c:pt idx="614">
                  <c:v>4.0225528228388541E-2</c:v>
                </c:pt>
                <c:pt idx="615">
                  <c:v>3.5068610591730387E-2</c:v>
                </c:pt>
                <c:pt idx="616">
                  <c:v>3.6400873918297716E-2</c:v>
                </c:pt>
                <c:pt idx="617">
                  <c:v>3.7728832678381341E-2</c:v>
                </c:pt>
                <c:pt idx="618">
                  <c:v>3.9052507700529482E-2</c:v>
                </c:pt>
                <c:pt idx="619">
                  <c:v>4.0371919679127899E-2</c:v>
                </c:pt>
                <c:pt idx="620">
                  <c:v>4.1687089175480363E-2</c:v>
                </c:pt>
                <c:pt idx="621">
                  <c:v>4.2998036618874469E-2</c:v>
                </c:pt>
                <c:pt idx="622">
                  <c:v>4.4304782307642565E-2</c:v>
                </c:pt>
                <c:pt idx="623">
                  <c:v>4.5607346410206695E-2</c:v>
                </c:pt>
                <c:pt idx="624">
                  <c:v>4.6905748966117322E-2</c:v>
                </c:pt>
                <c:pt idx="625">
                  <c:v>4.8200009887080952E-2</c:v>
                </c:pt>
                <c:pt idx="626">
                  <c:v>4.3120722206385409E-2</c:v>
                </c:pt>
                <c:pt idx="627">
                  <c:v>4.4416885360922365E-2</c:v>
                </c:pt>
                <c:pt idx="628">
                  <c:v>3.9359727362587638E-2</c:v>
                </c:pt>
                <c:pt idx="629">
                  <c:v>4.0657742606720504E-2</c:v>
                </c:pt>
                <c:pt idx="630">
                  <c:v>4.1951650207675328E-2</c:v>
                </c:pt>
                <c:pt idx="631">
                  <c:v>4.324146963295572E-2</c:v>
                </c:pt>
                <c:pt idx="632">
                  <c:v>4.4527220227241759E-2</c:v>
                </c:pt>
                <c:pt idx="633">
                  <c:v>4.5808921213356335E-2</c:v>
                </c:pt>
                <c:pt idx="634">
                  <c:v>4.0797283517125305E-2</c:v>
                </c:pt>
                <c:pt idx="635">
                  <c:v>4.2080815797961968E-2</c:v>
                </c:pt>
                <c:pt idx="636">
                  <c:v>4.3360324466633404E-2</c:v>
                </c:pt>
                <c:pt idx="637">
                  <c:v>4.4635828413336576E-2</c:v>
                </c:pt>
                <c:pt idx="638">
                  <c:v>4.5907346410206884E-2</c:v>
                </c:pt>
                <c:pt idx="639">
                  <c:v>4.717489711223477E-2</c:v>
                </c:pt>
                <c:pt idx="640">
                  <c:v>4.8438499058181872E-2</c:v>
                </c:pt>
                <c:pt idx="641">
                  <c:v>4.9698170671482078E-2</c:v>
                </c:pt>
                <c:pt idx="642">
                  <c:v>5.0953930261138591E-2</c:v>
                </c:pt>
                <c:pt idx="643">
                  <c:v>5.2205796022609885E-2</c:v>
                </c:pt>
                <c:pt idx="644">
                  <c:v>5.3453786038689888E-2</c:v>
                </c:pt>
                <c:pt idx="645">
                  <c:v>5.4697918280377067E-2</c:v>
                </c:pt>
                <c:pt idx="646">
                  <c:v>5.5938210607737737E-2</c:v>
                </c:pt>
                <c:pt idx="647">
                  <c:v>5.7174680770761377E-2</c:v>
                </c:pt>
                <c:pt idx="648">
                  <c:v>5.2253500256360663E-2</c:v>
                </c:pt>
                <c:pt idx="649">
                  <c:v>5.3491831817273017E-2</c:v>
                </c:pt>
                <c:pt idx="650">
                  <c:v>5.4726364815115058E-2</c:v>
                </c:pt>
                <c:pt idx="651">
                  <c:v>4.9831542428583564E-2</c:v>
                </c:pt>
                <c:pt idx="652">
                  <c:v>5.1067896868922436E-2</c:v>
                </c:pt>
                <c:pt idx="653">
                  <c:v>4.6193605952191685E-2</c:v>
                </c:pt>
                <c:pt idx="654">
                  <c:v>4.7431736654109269E-2</c:v>
                </c:pt>
                <c:pt idx="655">
                  <c:v>4.2577818251911648E-2</c:v>
                </c:pt>
                <c:pt idx="656">
                  <c:v>4.3817680756711663E-2</c:v>
                </c:pt>
                <c:pt idx="657">
                  <c:v>4.5053780401102195E-2</c:v>
                </c:pt>
                <c:pt idx="658">
                  <c:v>4.6286134288994862E-2</c:v>
                </c:pt>
                <c:pt idx="659">
                  <c:v>4.751475942079697E-2</c:v>
                </c:pt>
                <c:pt idx="660">
                  <c:v>4.873967269419488E-2</c:v>
                </c:pt>
                <c:pt idx="661">
                  <c:v>4.3927708401156895E-2</c:v>
                </c:pt>
                <c:pt idx="662">
                  <c:v>4.5154334362014215E-2</c:v>
                </c:pt>
                <c:pt idx="663">
                  <c:v>4.0362233628251865E-2</c:v>
                </c:pt>
                <c:pt idx="664">
                  <c:v>3.5584523587384176E-2</c:v>
                </c:pt>
                <c:pt idx="665">
                  <c:v>3.0821139513655282E-2</c:v>
                </c:pt>
                <c:pt idx="666">
                  <c:v>2.6072017068889508E-2</c:v>
                </c:pt>
                <c:pt idx="667">
                  <c:v>2.7316165543241233E-2</c:v>
                </c:pt>
                <c:pt idx="668">
                  <c:v>2.2586450887818632E-2</c:v>
                </c:pt>
                <c:pt idx="669">
                  <c:v>2.3832085605437925E-2</c:v>
                </c:pt>
                <c:pt idx="670">
                  <c:v>1.9121632124492471E-2</c:v>
                </c:pt>
                <c:pt idx="671">
                  <c:v>2.036871342357971E-2</c:v>
                </c:pt>
                <c:pt idx="672">
                  <c:v>2.1612094184687791E-2</c:v>
                </c:pt>
                <c:pt idx="673">
                  <c:v>2.2851790854651277E-2</c:v>
                </c:pt>
                <c:pt idx="674">
                  <c:v>2.4087819782987907E-2</c:v>
                </c:pt>
                <c:pt idx="675">
                  <c:v>2.5320197222614471E-2</c:v>
                </c:pt>
                <c:pt idx="676">
                  <c:v>2.6548939330560906E-2</c:v>
                </c:pt>
                <c:pt idx="677">
                  <c:v>2.7774062168675062E-2</c:v>
                </c:pt>
                <c:pt idx="678">
                  <c:v>2.8995581704324369E-2</c:v>
                </c:pt>
                <c:pt idx="679">
                  <c:v>3.0213513811087722E-2</c:v>
                </c:pt>
                <c:pt idx="680">
                  <c:v>3.1427874269444267E-2</c:v>
                </c:pt>
                <c:pt idx="681">
                  <c:v>3.2638678767454188E-2</c:v>
                </c:pt>
                <c:pt idx="682">
                  <c:v>3.3845942901435055E-2</c:v>
                </c:pt>
                <c:pt idx="683">
                  <c:v>3.5049682176630181E-2</c:v>
                </c:pt>
                <c:pt idx="684">
                  <c:v>3.0419008217787091E-2</c:v>
                </c:pt>
                <c:pt idx="685">
                  <c:v>3.1624231417485049E-2</c:v>
                </c:pt>
                <c:pt idx="686">
                  <c:v>3.282595106136954E-2</c:v>
                </c:pt>
                <c:pt idx="687">
                  <c:v>3.4024182404401415E-2</c:v>
                </c:pt>
                <c:pt idx="688">
                  <c:v>3.5218940613105598E-2</c:v>
                </c:pt>
                <c:pt idx="689">
                  <c:v>3.0621528754635197E-2</c:v>
                </c:pt>
                <c:pt idx="690">
                  <c:v>3.1817751034484143E-2</c:v>
                </c:pt>
                <c:pt idx="691">
                  <c:v>3.3010521013381311E-2</c:v>
                </c:pt>
                <c:pt idx="692">
                  <c:v>3.4199853614818032E-2</c:v>
                </c:pt>
                <c:pt idx="693">
                  <c:v>3.53857636763939E-2</c:v>
                </c:pt>
                <c:pt idx="694">
                  <c:v>3.6568265950436718E-2</c:v>
                </c:pt>
                <c:pt idx="695">
                  <c:v>3.7747375104611347E-2</c:v>
                </c:pt>
                <c:pt idx="696">
                  <c:v>3.8923105722527662E-2</c:v>
                </c:pt>
                <c:pt idx="697">
                  <c:v>3.4373011646258167E-2</c:v>
                </c:pt>
                <c:pt idx="698">
                  <c:v>3.555020355306393E-2</c:v>
                </c:pt>
                <c:pt idx="699">
                  <c:v>3.1017902758280869E-2</c:v>
                </c:pt>
                <c:pt idx="700">
                  <c:v>3.2196520199380796E-2</c:v>
                </c:pt>
                <c:pt idx="701">
                  <c:v>2.7681884105797305E-2</c:v>
                </c:pt>
                <c:pt idx="702">
                  <c:v>2.8861891864752298E-2</c:v>
                </c:pt>
                <c:pt idx="703">
                  <c:v>3.0038552083965886E-2</c:v>
                </c:pt>
                <c:pt idx="704">
                  <c:v>3.121187898811062E-2</c:v>
                </c:pt>
                <c:pt idx="705">
                  <c:v>2.672417809337535E-2</c:v>
                </c:pt>
                <c:pt idx="706">
                  <c:v>2.789887183393569E-2</c:v>
                </c:pt>
                <c:pt idx="707">
                  <c:v>2.9070251910912059E-2</c:v>
                </c:pt>
                <c:pt idx="708">
                  <c:v>3.0238332325700057E-2</c:v>
                </c:pt>
                <c:pt idx="709">
                  <c:v>3.1403127000924069E-2</c:v>
                </c:pt>
                <c:pt idx="710">
                  <c:v>3.2564649780993271E-2</c:v>
                </c:pt>
                <c:pt idx="711">
                  <c:v>3.3722914432647411E-2</c:v>
                </c:pt>
                <c:pt idx="712">
                  <c:v>3.4877934645500819E-2</c:v>
                </c:pt>
                <c:pt idx="713">
                  <c:v>3.6029724032584642E-2</c:v>
                </c:pt>
                <c:pt idx="714">
                  <c:v>3.7178296130877087E-2</c:v>
                </c:pt>
                <c:pt idx="715">
                  <c:v>3.8323664401838542E-2</c:v>
                </c:pt>
                <c:pt idx="716">
                  <c:v>3.9465842231933834E-2</c:v>
                </c:pt>
                <c:pt idx="717">
                  <c:v>4.0604842933155361E-2</c:v>
                </c:pt>
                <c:pt idx="718">
                  <c:v>4.174067974354001E-2</c:v>
                </c:pt>
                <c:pt idx="719">
                  <c:v>4.287336582768253E-2</c:v>
                </c:pt>
                <c:pt idx="720">
                  <c:v>4.4002914277242677E-2</c:v>
                </c:pt>
                <c:pt idx="721">
                  <c:v>4.5129338111451478E-2</c:v>
                </c:pt>
                <c:pt idx="722">
                  <c:v>4.6252650277610385E-2</c:v>
                </c:pt>
                <c:pt idx="723">
                  <c:v>4.1855622272275905E-2</c:v>
                </c:pt>
                <c:pt idx="724">
                  <c:v>4.298034916502802E-2</c:v>
                </c:pt>
                <c:pt idx="725">
                  <c:v>4.4101981898514886E-2</c:v>
                </c:pt>
                <c:pt idx="726">
                  <c:v>3.9726027728888003E-2</c:v>
                </c:pt>
                <c:pt idx="727">
                  <c:v>4.0849047370426383E-2</c:v>
                </c:pt>
                <c:pt idx="728">
                  <c:v>4.1968990245823345E-2</c:v>
                </c:pt>
                <c:pt idx="729">
                  <c:v>4.3085868982026376E-2</c:v>
                </c:pt>
                <c:pt idx="730">
                  <c:v>4.4199696136983047E-2</c:v>
                </c:pt>
                <c:pt idx="731">
                  <c:v>4.5310484200111301E-2</c:v>
                </c:pt>
                <c:pt idx="732">
                  <c:v>4.641824559276797E-2</c:v>
                </c:pt>
                <c:pt idx="733">
                  <c:v>4.7522992668710184E-2</c:v>
                </c:pt>
                <c:pt idx="734">
                  <c:v>4.8624737714554556E-2</c:v>
                </c:pt>
                <c:pt idx="735">
                  <c:v>4.9723492950234149E-2</c:v>
                </c:pt>
                <c:pt idx="736">
                  <c:v>5.0819270529447902E-2</c:v>
                </c:pt>
                <c:pt idx="737">
                  <c:v>5.1912082540112259E-2</c:v>
                </c:pt>
                <c:pt idx="738">
                  <c:v>5.3001941004801267E-2</c:v>
                </c:pt>
                <c:pt idx="739">
                  <c:v>5.4088857881191998E-2</c:v>
                </c:pt>
                <c:pt idx="740">
                  <c:v>5.5172845062497977E-2</c:v>
                </c:pt>
                <c:pt idx="741">
                  <c:v>5.6253914377905279E-2</c:v>
                </c:pt>
                <c:pt idx="742">
                  <c:v>5.7332077593002406E-2</c:v>
                </c:pt>
                <c:pt idx="743">
                  <c:v>5.8407346410207062E-2</c:v>
                </c:pt>
                <c:pt idx="744">
                  <c:v>5.9479732469188029E-2</c:v>
                </c:pt>
                <c:pt idx="745">
                  <c:v>6.0549247347288393E-2</c:v>
                </c:pt>
                <c:pt idx="746">
                  <c:v>6.1615902559939428E-2</c:v>
                </c:pt>
                <c:pt idx="747">
                  <c:v>5.7339255622490093E-2</c:v>
                </c:pt>
                <c:pt idx="748">
                  <c:v>5.8407346410207062E-2</c:v>
                </c:pt>
                <c:pt idx="749">
                  <c:v>5.4146361057343828E-2</c:v>
                </c:pt>
                <c:pt idx="750">
                  <c:v>4.9896708112334487E-2</c:v>
                </c:pt>
                <c:pt idx="751">
                  <c:v>4.5658342426142973E-2</c:v>
                </c:pt>
                <c:pt idx="752">
                  <c:v>4.6736258877050574E-2</c:v>
                </c:pt>
                <c:pt idx="753">
                  <c:v>4.7811319920140871E-2</c:v>
                </c:pt>
                <c:pt idx="754">
                  <c:v>4.8883536886397572E-2</c:v>
                </c:pt>
                <c:pt idx="755">
                  <c:v>4.9952921046930943E-2</c:v>
                </c:pt>
                <c:pt idx="756">
                  <c:v>5.1019483613373051E-2</c:v>
                </c:pt>
                <c:pt idx="757">
                  <c:v>5.2083235738270339E-2</c:v>
                </c:pt>
                <c:pt idx="758">
                  <c:v>5.3144188515469981E-2</c:v>
                </c:pt>
                <c:pt idx="759">
                  <c:v>5.4202352980508905E-2</c:v>
                </c:pt>
                <c:pt idx="760">
                  <c:v>5.525774011099438E-2</c:v>
                </c:pt>
                <c:pt idx="761">
                  <c:v>5.6310360826982819E-2</c:v>
                </c:pt>
                <c:pt idx="762">
                  <c:v>5.7360225991358593E-2</c:v>
                </c:pt>
                <c:pt idx="763">
                  <c:v>5.8407346410207062E-2</c:v>
                </c:pt>
                <c:pt idx="764">
                  <c:v>5.9451732833183168E-2</c:v>
                </c:pt>
                <c:pt idx="765">
                  <c:v>6.0493395953883589E-2</c:v>
                </c:pt>
                <c:pt idx="766">
                  <c:v>6.1532346410206884E-2</c:v>
                </c:pt>
                <c:pt idx="767">
                  <c:v>6.2568594784719433E-2</c:v>
                </c:pt>
                <c:pt idx="768">
                  <c:v>6.3602151605012036E-2</c:v>
                </c:pt>
                <c:pt idx="769">
                  <c:v>6.463302734405918E-2</c:v>
                </c:pt>
                <c:pt idx="770">
                  <c:v>6.5661232420569426E-2</c:v>
                </c:pt>
                <c:pt idx="771">
                  <c:v>6.6686777199340241E-2</c:v>
                </c:pt>
                <c:pt idx="772">
                  <c:v>6.7709671991602161E-2</c:v>
                </c:pt>
                <c:pt idx="773">
                  <c:v>6.872992705536829E-2</c:v>
                </c:pt>
                <c:pt idx="774">
                  <c:v>6.9747552595774032E-2</c:v>
                </c:pt>
                <c:pt idx="775">
                  <c:v>6.5614553617414195E-2</c:v>
                </c:pt>
                <c:pt idx="776">
                  <c:v>6.6633567489898571E-2</c:v>
                </c:pt>
                <c:pt idx="777">
                  <c:v>6.76499651521838E-2</c:v>
                </c:pt>
                <c:pt idx="778">
                  <c:v>6.8663756666617282E-2</c:v>
                </c:pt>
                <c:pt idx="779">
                  <c:v>6.9674952044009864E-2</c:v>
                </c:pt>
                <c:pt idx="780">
                  <c:v>7.0683561243966686E-2</c:v>
                </c:pt>
                <c:pt idx="781">
                  <c:v>7.1689594175213145E-2</c:v>
                </c:pt>
                <c:pt idx="782">
                  <c:v>7.2693060695921297E-2</c:v>
                </c:pt>
                <c:pt idx="783">
                  <c:v>7.3693970614028714E-2</c:v>
                </c:pt>
                <c:pt idx="784">
                  <c:v>7.4692333687560453E-2</c:v>
                </c:pt>
                <c:pt idx="785">
                  <c:v>7.5688159624946572E-2</c:v>
                </c:pt>
                <c:pt idx="786">
                  <c:v>7.1605315953354065E-2</c:v>
                </c:pt>
                <c:pt idx="787">
                  <c:v>7.2602530187139802E-2</c:v>
                </c:pt>
                <c:pt idx="788">
                  <c:v>6.8533928688687684E-2</c:v>
                </c:pt>
                <c:pt idx="789">
                  <c:v>6.9532504438019949E-2</c:v>
                </c:pt>
                <c:pt idx="790">
                  <c:v>7.0528558531418817E-2</c:v>
                </c:pt>
                <c:pt idx="791">
                  <c:v>7.1522100508567554E-2</c:v>
                </c:pt>
                <c:pt idx="792">
                  <c:v>7.2513139861088316E-2</c:v>
                </c:pt>
                <c:pt idx="793">
                  <c:v>7.3501686032848568E-2</c:v>
                </c:pt>
                <c:pt idx="794">
                  <c:v>7.4487748420257294E-2</c:v>
                </c:pt>
                <c:pt idx="795">
                  <c:v>7.045251579540146E-2</c:v>
                </c:pt>
                <c:pt idx="796">
                  <c:v>7.1439927863841124E-2</c:v>
                </c:pt>
                <c:pt idx="797">
                  <c:v>7.2424868312584767E-2</c:v>
                </c:pt>
                <c:pt idx="798">
                  <c:v>6.8407346410206848E-2</c:v>
                </c:pt>
                <c:pt idx="799">
                  <c:v>6.4399855773502601E-2</c:v>
                </c:pt>
                <c:pt idx="800">
                  <c:v>6.5389890051104516E-2</c:v>
                </c:pt>
                <c:pt idx="801">
                  <c:v>6.6377458489907948E-2</c:v>
                </c:pt>
                <c:pt idx="802">
                  <c:v>6.2387445912694517E-2</c:v>
                </c:pt>
                <c:pt idx="803">
                  <c:v>6.3376290509585598E-2</c:v>
                </c:pt>
                <c:pt idx="804">
                  <c:v>6.4362681397799992E-2</c:v>
                </c:pt>
                <c:pt idx="805">
                  <c:v>6.5346627698930515E-2</c:v>
                </c:pt>
                <c:pt idx="806">
                  <c:v>6.6328138489414989E-2</c:v>
                </c:pt>
                <c:pt idx="807">
                  <c:v>6.7307222800812472E-2</c:v>
                </c:pt>
                <c:pt idx="808">
                  <c:v>6.8283889620083471E-2</c:v>
                </c:pt>
                <c:pt idx="809">
                  <c:v>6.9258147889861732E-2</c:v>
                </c:pt>
                <c:pt idx="810">
                  <c:v>6.5303898134344784E-2</c:v>
                </c:pt>
                <c:pt idx="811">
                  <c:v>6.6279425130994163E-2</c:v>
                </c:pt>
                <c:pt idx="812">
                  <c:v>6.7252555255415736E-2</c:v>
                </c:pt>
                <c:pt idx="813">
                  <c:v>6.8223297330452404E-2</c:v>
                </c:pt>
                <c:pt idx="814">
                  <c:v>6.9191660135697219E-2</c:v>
                </c:pt>
                <c:pt idx="815">
                  <c:v>6.5261691575445369E-2</c:v>
                </c:pt>
                <c:pt idx="816">
                  <c:v>6.6231307290402608E-2</c:v>
                </c:pt>
                <c:pt idx="817">
                  <c:v>6.7198555201415822E-2</c:v>
                </c:pt>
                <c:pt idx="818">
                  <c:v>6.816344397118268E-2</c:v>
                </c:pt>
                <c:pt idx="819">
                  <c:v>6.9125982220194615E-2</c:v>
                </c:pt>
                <c:pt idx="820">
                  <c:v>6.5219998478333263E-2</c:v>
                </c:pt>
                <c:pt idx="821">
                  <c:v>6.1323506799028316E-2</c:v>
                </c:pt>
                <c:pt idx="822">
                  <c:v>6.2290841555837861E-2</c:v>
                </c:pt>
                <c:pt idx="823">
                  <c:v>6.3255831258691941E-2</c:v>
                </c:pt>
                <c:pt idx="824">
                  <c:v>6.4218484424734879E-2</c:v>
                </c:pt>
                <c:pt idx="825">
                  <c:v>6.5178809529916837E-2</c:v>
                </c:pt>
                <c:pt idx="826">
                  <c:v>6.1305897134844578E-2</c:v>
                </c:pt>
                <c:pt idx="827">
                  <c:v>6.2267418786563944E-2</c:v>
                </c:pt>
                <c:pt idx="828">
                  <c:v>6.3226623518640501E-2</c:v>
                </c:pt>
                <c:pt idx="829">
                  <c:v>6.4183519695405256E-2</c:v>
                </c:pt>
                <c:pt idx="830">
                  <c:v>6.5138115640976046E-2</c:v>
                </c:pt>
                <c:pt idx="831">
                  <c:v>6.6090419639498688E-2</c:v>
                </c:pt>
                <c:pt idx="832">
                  <c:v>6.7040439935386775E-2</c:v>
                </c:pt>
                <c:pt idx="833">
                  <c:v>6.7988184733560164E-2</c:v>
                </c:pt>
                <c:pt idx="834">
                  <c:v>6.8933662199680779E-2</c:v>
                </c:pt>
                <c:pt idx="835">
                  <c:v>6.9876880460386204E-2</c:v>
                </c:pt>
                <c:pt idx="836">
                  <c:v>7.0817847603524164E-2</c:v>
                </c:pt>
                <c:pt idx="837">
                  <c:v>7.1756571678383452E-2</c:v>
                </c:pt>
                <c:pt idx="838">
                  <c:v>6.7931155934016552E-2</c:v>
                </c:pt>
                <c:pt idx="839">
                  <c:v>6.4114837492251997E-2</c:v>
                </c:pt>
                <c:pt idx="840">
                  <c:v>6.5058177764126146E-2</c:v>
                </c:pt>
                <c:pt idx="841">
                  <c:v>6.5999279980788028E-2</c:v>
                </c:pt>
                <c:pt idx="842">
                  <c:v>6.6938152097410608E-2</c:v>
                </c:pt>
                <c:pt idx="843">
                  <c:v>6.787480203150853E-2</c:v>
                </c:pt>
                <c:pt idx="844">
                  <c:v>6.8809237663161937E-2</c:v>
                </c:pt>
                <c:pt idx="845">
                  <c:v>6.9741466835236299E-2</c:v>
                </c:pt>
                <c:pt idx="846">
                  <c:v>7.0671497353603119E-2</c:v>
                </c:pt>
                <c:pt idx="847">
                  <c:v>7.1599336987356654E-2</c:v>
                </c:pt>
                <c:pt idx="848">
                  <c:v>7.252499346903063E-2</c:v>
                </c:pt>
                <c:pt idx="849">
                  <c:v>7.3448474494813176E-2</c:v>
                </c:pt>
                <c:pt idx="850">
                  <c:v>7.4369787724760883E-2</c:v>
                </c:pt>
                <c:pt idx="851">
                  <c:v>7.5288940783008851E-2</c:v>
                </c:pt>
                <c:pt idx="852">
                  <c:v>7.6205941257982079E-2</c:v>
                </c:pt>
                <c:pt idx="853">
                  <c:v>7.7120796702604633E-2</c:v>
                </c:pt>
                <c:pt idx="854">
                  <c:v>7.803351463450614E-2</c:v>
                </c:pt>
                <c:pt idx="855">
                  <c:v>7.427665796213212E-2</c:v>
                </c:pt>
                <c:pt idx="856">
                  <c:v>7.5190563193423543E-2</c:v>
                </c:pt>
                <c:pt idx="857">
                  <c:v>7.6102340589485173E-2</c:v>
                </c:pt>
                <c:pt idx="858">
                  <c:v>7.7011997572997704E-2</c:v>
                </c:pt>
                <c:pt idx="859">
                  <c:v>7.7919541532158298E-2</c:v>
                </c:pt>
                <c:pt idx="860">
                  <c:v>7.4184608591181256E-2</c:v>
                </c:pt>
                <c:pt idx="861">
                  <c:v>7.04583313464755E-2</c:v>
                </c:pt>
                <c:pt idx="862">
                  <c:v>7.1370309373169682E-2</c:v>
                </c:pt>
                <c:pt idx="863">
                  <c:v>6.7655901323501855E-2</c:v>
                </c:pt>
                <c:pt idx="864">
                  <c:v>6.8569009227758659E-2</c:v>
                </c:pt>
                <c:pt idx="865">
                  <c:v>6.9480010770068379E-2</c:v>
                </c:pt>
                <c:pt idx="866">
                  <c:v>6.5780618299607685E-2</c:v>
                </c:pt>
                <c:pt idx="867">
                  <c:v>6.2089739966018076E-2</c:v>
                </c:pt>
                <c:pt idx="868">
                  <c:v>5.8407346410207062E-2</c:v>
                </c:pt>
                <c:pt idx="869">
                  <c:v>5.9325830910780919E-2</c:v>
                </c:pt>
                <c:pt idx="870">
                  <c:v>6.0242208795528107E-2</c:v>
                </c:pt>
                <c:pt idx="871">
                  <c:v>6.1156487303677842E-2</c:v>
                </c:pt>
                <c:pt idx="872">
                  <c:v>6.2068673641328065E-2</c:v>
                </c:pt>
                <c:pt idx="873">
                  <c:v>6.297877498163551E-2</c:v>
                </c:pt>
                <c:pt idx="874">
                  <c:v>6.3886798465001338E-2</c:v>
                </c:pt>
                <c:pt idx="875">
                  <c:v>6.0231747778507927E-2</c:v>
                </c:pt>
                <c:pt idx="876">
                  <c:v>6.1140831603828882E-2</c:v>
                </c:pt>
                <c:pt idx="877">
                  <c:v>6.2047846979035093E-2</c:v>
                </c:pt>
                <c:pt idx="878">
                  <c:v>6.295280095566147E-2</c:v>
                </c:pt>
                <c:pt idx="879">
                  <c:v>6.3855700553226313E-2</c:v>
                </c:pt>
                <c:pt idx="880">
                  <c:v>6.4756552759413388E-2</c:v>
                </c:pt>
                <c:pt idx="881">
                  <c:v>6.5655364530252225E-2</c:v>
                </c:pt>
                <c:pt idx="882">
                  <c:v>6.655214279029753E-2</c:v>
                </c:pt>
                <c:pt idx="883">
                  <c:v>6.7446894432805937E-2</c:v>
                </c:pt>
                <c:pt idx="884">
                  <c:v>6.8339626319913638E-2</c:v>
                </c:pt>
                <c:pt idx="885">
                  <c:v>6.9230345282811356E-2</c:v>
                </c:pt>
                <c:pt idx="886">
                  <c:v>7.0119058121918432E-2</c:v>
                </c:pt>
                <c:pt idx="887">
                  <c:v>7.1005771607057344E-2</c:v>
                </c:pt>
                <c:pt idx="888">
                  <c:v>7.189049247762247E-2</c:v>
                </c:pt>
                <c:pt idx="889">
                  <c:v>7.2773227442754607E-2</c:v>
                </c:pt>
                <c:pt idx="890">
                  <c:v>7.365398318150751E-2</c:v>
                </c:pt>
                <c:pt idx="891">
                  <c:v>7.4532766343017531E-2</c:v>
                </c:pt>
                <c:pt idx="892">
                  <c:v>7.5409583546672376E-2</c:v>
                </c:pt>
                <c:pt idx="893">
                  <c:v>7.6284441382274082E-2</c:v>
                </c:pt>
                <c:pt idx="894">
                  <c:v>7.7157346410206884E-2</c:v>
                </c:pt>
                <c:pt idx="895">
                  <c:v>7.8028305161600198E-2</c:v>
                </c:pt>
                <c:pt idx="896">
                  <c:v>7.8897324138492042E-2</c:v>
                </c:pt>
                <c:pt idx="897">
                  <c:v>7.9764409813988912E-2</c:v>
                </c:pt>
                <c:pt idx="898">
                  <c:v>8.0629568632429205E-2</c:v>
                </c:pt>
                <c:pt idx="899">
                  <c:v>8.1492807009540869E-2</c:v>
                </c:pt>
                <c:pt idx="900">
                  <c:v>8.2354131332601721E-2</c:v>
                </c:pt>
                <c:pt idx="901">
                  <c:v>7.8783869112311056E-2</c:v>
                </c:pt>
                <c:pt idx="902">
                  <c:v>7.9646284463304351E-2</c:v>
                </c:pt>
                <c:pt idx="903">
                  <c:v>7.6086904421256651E-2</c:v>
                </c:pt>
                <c:pt idx="904">
                  <c:v>7.6950392767822784E-2</c:v>
                </c:pt>
                <c:pt idx="905">
                  <c:v>7.3401833731044697E-2</c:v>
                </c:pt>
                <c:pt idx="906">
                  <c:v>7.4266377247211413E-2</c:v>
                </c:pt>
                <c:pt idx="907">
                  <c:v>7.5129018577423601E-2</c:v>
                </c:pt>
                <c:pt idx="908">
                  <c:v>7.5989763992624582E-2</c:v>
                </c:pt>
                <c:pt idx="909">
                  <c:v>7.2457840372885052E-2</c:v>
                </c:pt>
                <c:pt idx="910">
                  <c:v>7.3319627111961161E-2</c:v>
                </c:pt>
                <c:pt idx="911">
                  <c:v>7.4179526037808419E-2</c:v>
                </c:pt>
                <c:pt idx="912">
                  <c:v>7.5037543346749391E-2</c:v>
                </c:pt>
                <c:pt idx="913">
                  <c:v>7.58936852080212E-2</c:v>
                </c:pt>
                <c:pt idx="914">
                  <c:v>7.6747957763918517E-2</c:v>
                </c:pt>
                <c:pt idx="915">
                  <c:v>7.7600367129945003E-2</c:v>
                </c:pt>
                <c:pt idx="916">
                  <c:v>7.8450919394956298E-2</c:v>
                </c:pt>
                <c:pt idx="917">
                  <c:v>7.9299620621305689E-2</c:v>
                </c:pt>
                <c:pt idx="918">
                  <c:v>8.0146476844989323E-2</c:v>
                </c:pt>
                <c:pt idx="919">
                  <c:v>8.0991494075787873E-2</c:v>
                </c:pt>
                <c:pt idx="920">
                  <c:v>8.1834678297408647E-2</c:v>
                </c:pt>
                <c:pt idx="921">
                  <c:v>8.2676035467628139E-2</c:v>
                </c:pt>
                <c:pt idx="922">
                  <c:v>7.9186567189427848E-2</c:v>
                </c:pt>
                <c:pt idx="923">
                  <c:v>8.0028968031828462E-2</c:v>
                </c:pt>
                <c:pt idx="924">
                  <c:v>8.0869549433964849E-2</c:v>
                </c:pt>
                <c:pt idx="925">
                  <c:v>8.1708317283993193E-2</c:v>
                </c:pt>
                <c:pt idx="926">
                  <c:v>8.2545277444689535E-2</c:v>
                </c:pt>
                <c:pt idx="927">
                  <c:v>8.3380435753587001E-2</c:v>
                </c:pt>
                <c:pt idx="928">
                  <c:v>8.4213798023109909E-2</c:v>
                </c:pt>
                <c:pt idx="929">
                  <c:v>8.5045370040711887E-2</c:v>
                </c:pt>
                <c:pt idx="930">
                  <c:v>8.1583312075443004E-2</c:v>
                </c:pt>
                <c:pt idx="931">
                  <c:v>8.2415920901096396E-2</c:v>
                </c:pt>
                <c:pt idx="932">
                  <c:v>7.8964091592219621E-2</c:v>
                </c:pt>
                <c:pt idx="933">
                  <c:v>7.9797720741757505E-2</c:v>
                </c:pt>
                <c:pt idx="934">
                  <c:v>8.0629568632429205E-2</c:v>
                </c:pt>
                <c:pt idx="935">
                  <c:v>8.1459640967303848E-2</c:v>
                </c:pt>
                <c:pt idx="936">
                  <c:v>7.8023551101038535E-2</c:v>
                </c:pt>
                <c:pt idx="937">
                  <c:v>7.8854630755254895E-2</c:v>
                </c:pt>
                <c:pt idx="938">
                  <c:v>7.5428623005951767E-2</c:v>
                </c:pt>
                <c:pt idx="939">
                  <c:v>7.6260693912863609E-2</c:v>
                </c:pt>
                <c:pt idx="940">
                  <c:v>7.709099821487797E-2</c:v>
                </c:pt>
                <c:pt idx="941">
                  <c:v>7.7919541532158298E-2</c:v>
                </c:pt>
                <c:pt idx="942">
                  <c:v>7.8746329461054199E-2</c:v>
                </c:pt>
                <c:pt idx="943">
                  <c:v>7.5338563341423637E-2</c:v>
                </c:pt>
                <c:pt idx="944">
                  <c:v>7.1938001801327367E-2</c:v>
                </c:pt>
                <c:pt idx="945">
                  <c:v>7.2768486853712844E-2</c:v>
                </c:pt>
                <c:pt idx="946">
                  <c:v>7.3597219827928217E-2</c:v>
                </c:pt>
                <c:pt idx="947">
                  <c:v>7.4424206262682979E-2</c:v>
                </c:pt>
                <c:pt idx="948">
                  <c:v>7.1038925357575167E-2</c:v>
                </c:pt>
                <c:pt idx="949">
                  <c:v>7.1866862708839907E-2</c:v>
                </c:pt>
                <c:pt idx="950">
                  <c:v>7.2693060695921297E-2</c:v>
                </c:pt>
                <c:pt idx="951">
                  <c:v>7.3517524794257216E-2</c:v>
                </c:pt>
                <c:pt idx="952">
                  <c:v>7.4340260456328355E-2</c:v>
                </c:pt>
                <c:pt idx="953">
                  <c:v>7.5161273111777671E-2</c:v>
                </c:pt>
                <c:pt idx="954">
                  <c:v>7.5980568167528961E-2</c:v>
                </c:pt>
                <c:pt idx="955">
                  <c:v>7.67981510079081E-2</c:v>
                </c:pt>
                <c:pt idx="956">
                  <c:v>7.7614026994758056E-2</c:v>
                </c:pt>
                <c:pt idx="957">
                  <c:v>7.8428201467558356E-2</c:v>
                </c:pt>
                <c:pt idx="958">
                  <c:v>7.9240679743540099E-2</c:v>
                </c:pt>
                <c:pt idx="959">
                  <c:v>8.0051467117803199E-2</c:v>
                </c:pt>
                <c:pt idx="960">
                  <c:v>8.0860568863429183E-2</c:v>
                </c:pt>
                <c:pt idx="961">
                  <c:v>8.1667990231598431E-2</c:v>
                </c:pt>
                <c:pt idx="962">
                  <c:v>8.2473736451700752E-2</c:v>
                </c:pt>
                <c:pt idx="963">
                  <c:v>8.3277812731450407E-2</c:v>
                </c:pt>
                <c:pt idx="964">
                  <c:v>8.4080224256997571E-2</c:v>
                </c:pt>
                <c:pt idx="965">
                  <c:v>8.4880976193040247E-2</c:v>
                </c:pt>
                <c:pt idx="966">
                  <c:v>8.5680073682933955E-2</c:v>
                </c:pt>
                <c:pt idx="967">
                  <c:v>8.6477521848803196E-2</c:v>
                </c:pt>
                <c:pt idx="968">
                  <c:v>8.7273325791650258E-2</c:v>
                </c:pt>
                <c:pt idx="969">
                  <c:v>8.8067490591463127E-2</c:v>
                </c:pt>
                <c:pt idx="970">
                  <c:v>8.8860021307326065E-2</c:v>
                </c:pt>
                <c:pt idx="971">
                  <c:v>8.9650922977524417E-2</c:v>
                </c:pt>
                <c:pt idx="972">
                  <c:v>9.0440200619652522E-2</c:v>
                </c:pt>
                <c:pt idx="973">
                  <c:v>9.1227859230719854E-2</c:v>
                </c:pt>
                <c:pt idx="974">
                  <c:v>9.2013903787256268E-2</c:v>
                </c:pt>
                <c:pt idx="975">
                  <c:v>9.2798339245416805E-2</c:v>
                </c:pt>
                <c:pt idx="976">
                  <c:v>8.9491190990984126E-2</c:v>
                </c:pt>
                <c:pt idx="977">
                  <c:v>8.6190798912760602E-2</c:v>
                </c:pt>
                <c:pt idx="978">
                  <c:v>8.6978774981635532E-2</c:v>
                </c:pt>
                <c:pt idx="979">
                  <c:v>8.7765144575344678E-2</c:v>
                </c:pt>
                <c:pt idx="980">
                  <c:v>8.8549912601652903E-2</c:v>
                </c:pt>
                <c:pt idx="981">
                  <c:v>8.9333083948355263E-2</c:v>
                </c:pt>
                <c:pt idx="982">
                  <c:v>9.0114663483377822E-2</c:v>
                </c:pt>
                <c:pt idx="983">
                  <c:v>9.0894656054877121E-2</c:v>
                </c:pt>
                <c:pt idx="984">
                  <c:v>8.7616271359496789E-2</c:v>
                </c:pt>
                <c:pt idx="985">
                  <c:v>8.8397214697947479E-2</c:v>
                </c:pt>
                <c:pt idx="986">
                  <c:v>8.9176577179437722E-2</c:v>
                </c:pt>
                <c:pt idx="987">
                  <c:v>8.5909874216071547E-2</c:v>
                </c:pt>
                <c:pt idx="988">
                  <c:v>8.6690174693035082E-2</c:v>
                </c:pt>
                <c:pt idx="989">
                  <c:v>8.3432573453597225E-2</c:v>
                </c:pt>
                <c:pt idx="990">
                  <c:v>8.4213798023109909E-2</c:v>
                </c:pt>
                <c:pt idx="991">
                  <c:v>8.4993449129239895E-2</c:v>
                </c:pt>
                <c:pt idx="992">
                  <c:v>8.1747386651655596E-2</c:v>
                </c:pt>
                <c:pt idx="993">
                  <c:v>8.2527949425282188E-2</c:v>
                </c:pt>
                <c:pt idx="994">
                  <c:v>8.3306944803781313E-2</c:v>
                </c:pt>
                <c:pt idx="995">
                  <c:v>8.4084377503486518E-2</c:v>
                </c:pt>
                <c:pt idx="996">
                  <c:v>8.0852236189766113E-2</c:v>
                </c:pt>
                <c:pt idx="997">
                  <c:v>8.1630569633430294E-2</c:v>
                </c:pt>
                <c:pt idx="998">
                  <c:v>8.2407346410207083E-2</c:v>
                </c:pt>
                <c:pt idx="999">
                  <c:v>8.3182571185431708E-2</c:v>
                </c:pt>
                <c:pt idx="1000">
                  <c:v>8.3956248605815631E-2</c:v>
                </c:pt>
                <c:pt idx="1001">
                  <c:v>8.4728383299538912E-2</c:v>
                </c:pt>
                <c:pt idx="1002">
                  <c:v>8.549897987634214E-2</c:v>
                </c:pt>
                <c:pt idx="1003">
                  <c:v>8.2287943425132237E-2</c:v>
                </c:pt>
                <c:pt idx="1004">
                  <c:v>8.3059433885356082E-2</c:v>
                </c:pt>
                <c:pt idx="1005">
                  <c:v>8.3829392090445154E-2</c:v>
                </c:pt>
                <c:pt idx="1006">
                  <c:v>8.4597822600683159E-2</c:v>
                </c:pt>
                <c:pt idx="1007">
                  <c:v>8.1400408848264494E-2</c:v>
                </c:pt>
                <c:pt idx="1008">
                  <c:v>8.2169722647830845E-2</c:v>
                </c:pt>
                <c:pt idx="1009">
                  <c:v>8.2937514560553094E-2</c:v>
                </c:pt>
                <c:pt idx="1010">
                  <c:v>8.3703789097953951E-2</c:v>
                </c:pt>
                <c:pt idx="1011">
                  <c:v>8.0519883428963102E-2</c:v>
                </c:pt>
                <c:pt idx="1012">
                  <c:v>8.1287030828352869E-2</c:v>
                </c:pt>
                <c:pt idx="1013">
                  <c:v>7.8111779907743983E-2</c:v>
                </c:pt>
                <c:pt idx="1014">
                  <c:v>7.8879787355088826E-2</c:v>
                </c:pt>
                <c:pt idx="1015">
                  <c:v>7.9646284463304351E-2</c:v>
                </c:pt>
                <c:pt idx="1016">
                  <c:v>8.0411275683291539E-2</c:v>
                </c:pt>
                <c:pt idx="1017">
                  <c:v>8.1174765448479569E-2</c:v>
                </c:pt>
                <c:pt idx="1018">
                  <c:v>8.193675817491286E-2</c:v>
                </c:pt>
                <c:pt idx="1019">
                  <c:v>8.2697258261333229E-2</c:v>
                </c:pt>
                <c:pt idx="1020">
                  <c:v>8.345627008926737E-2</c:v>
                </c:pt>
                <c:pt idx="1021">
                  <c:v>8.4213798023109909E-2</c:v>
                </c:pt>
                <c:pt idx="1022">
                  <c:v>8.4969846410206884E-2</c:v>
                </c:pt>
                <c:pt idx="1023">
                  <c:v>8.5724419580938793E-2</c:v>
                </c:pt>
                <c:pt idx="1024">
                  <c:v>8.2578886371220683E-2</c:v>
                </c:pt>
                <c:pt idx="1025">
                  <c:v>8.3334318172621824E-2</c:v>
                </c:pt>
                <c:pt idx="1026">
                  <c:v>8.4088280262347048E-2</c:v>
                </c:pt>
                <c:pt idx="1027">
                  <c:v>8.4840776925270145E-2</c:v>
                </c:pt>
                <c:pt idx="1028">
                  <c:v>8.5591812429624436E-2</c:v>
                </c:pt>
                <c:pt idx="1029">
                  <c:v>8.6341391027083603E-2</c:v>
                </c:pt>
                <c:pt idx="1030">
                  <c:v>8.7089516952842505E-2</c:v>
                </c:pt>
                <c:pt idx="1031">
                  <c:v>8.783619442569579E-2</c:v>
                </c:pt>
                <c:pt idx="1032">
                  <c:v>8.8581427648117828E-2</c:v>
                </c:pt>
                <c:pt idx="1033">
                  <c:v>8.9325220806342198E-2</c:v>
                </c:pt>
                <c:pt idx="1034">
                  <c:v>9.0067578070438525E-2</c:v>
                </c:pt>
                <c:pt idx="1035">
                  <c:v>9.0808503594391965E-2</c:v>
                </c:pt>
                <c:pt idx="1036">
                  <c:v>9.1548001516180033E-2</c:v>
                </c:pt>
                <c:pt idx="1037">
                  <c:v>9.228607595784899E-2</c:v>
                </c:pt>
                <c:pt idx="1038">
                  <c:v>9.3022731025591554E-2</c:v>
                </c:pt>
                <c:pt idx="1039">
                  <c:v>9.3757970809822844E-2</c:v>
                </c:pt>
                <c:pt idx="1040">
                  <c:v>9.4491799385254982E-2</c:v>
                </c:pt>
                <c:pt idx="1041">
                  <c:v>9.1389129727560636E-2</c:v>
                </c:pt>
                <c:pt idx="1042">
                  <c:v>9.212382150599252E-2</c:v>
                </c:pt>
                <c:pt idx="1043">
                  <c:v>8.9029355979584945E-2</c:v>
                </c:pt>
                <c:pt idx="1044">
                  <c:v>8.9764898991469E-2</c:v>
                </c:pt>
                <c:pt idx="1045">
                  <c:v>9.0499036954619694E-2</c:v>
                </c:pt>
                <c:pt idx="1046">
                  <c:v>8.7414979997993303E-2</c:v>
                </c:pt>
                <c:pt idx="1047">
                  <c:v>8.8149958421646524E-2</c:v>
                </c:pt>
                <c:pt idx="1048">
                  <c:v>8.8883536886397163E-2</c:v>
                </c:pt>
                <c:pt idx="1049">
                  <c:v>8.9615719388322912E-2</c:v>
                </c:pt>
                <c:pt idx="1050">
                  <c:v>9.0346509908305617E-2</c:v>
                </c:pt>
                <c:pt idx="1051">
                  <c:v>9.107591241210633E-2</c:v>
                </c:pt>
                <c:pt idx="1052">
                  <c:v>8.8008864436772249E-2</c:v>
                </c:pt>
                <c:pt idx="1053">
                  <c:v>8.87390999647093E-2</c:v>
                </c:pt>
                <c:pt idx="1054">
                  <c:v>8.946795247081285E-2</c:v>
                </c:pt>
                <c:pt idx="1055">
                  <c:v>9.0195425880405633E-2</c:v>
                </c:pt>
                <c:pt idx="1056">
                  <c:v>8.7140805767484952E-2</c:v>
                </c:pt>
                <c:pt idx="1057">
                  <c:v>8.7869102784144726E-2</c:v>
                </c:pt>
                <c:pt idx="1058">
                  <c:v>8.4822440749829475E-2</c:v>
                </c:pt>
                <c:pt idx="1059">
                  <c:v>8.5551549991733644E-2</c:v>
                </c:pt>
                <c:pt idx="1060">
                  <c:v>8.6279286146553336E-2</c:v>
                </c:pt>
                <c:pt idx="1061">
                  <c:v>8.7005653089416768E-2</c:v>
                </c:pt>
                <c:pt idx="1062">
                  <c:v>8.7730654680883369E-2</c:v>
                </c:pt>
                <c:pt idx="1063">
                  <c:v>8.8454294767014385E-2</c:v>
                </c:pt>
                <c:pt idx="1064">
                  <c:v>8.9176577179437722E-2</c:v>
                </c:pt>
                <c:pt idx="1065">
                  <c:v>8.989750573541766E-2</c:v>
                </c:pt>
                <c:pt idx="1066">
                  <c:v>9.0617084237922363E-2</c:v>
                </c:pt>
                <c:pt idx="1067">
                  <c:v>9.133531647568871E-2</c:v>
                </c:pt>
                <c:pt idx="1068">
                  <c:v>8.8313888466281742E-2</c:v>
                </c:pt>
                <c:pt idx="1069">
                  <c:v>8.903292997696699E-2</c:v>
                </c:pt>
                <c:pt idx="1070">
                  <c:v>8.9750629992296549E-2</c:v>
                </c:pt>
                <c:pt idx="1071">
                  <c:v>9.0466992262956403E-2</c:v>
                </c:pt>
                <c:pt idx="1072">
                  <c:v>8.7457625739815636E-2</c:v>
                </c:pt>
                <c:pt idx="1073">
                  <c:v>8.4453858038113783E-2</c:v>
                </c:pt>
                <c:pt idx="1074">
                  <c:v>8.5173145666712635E-2</c:v>
                </c:pt>
                <c:pt idx="1075">
                  <c:v>8.5891097570838237E-2</c:v>
                </c:pt>
                <c:pt idx="1076">
                  <c:v>8.2897142328574258E-2</c:v>
                </c:pt>
                <c:pt idx="1077">
                  <c:v>8.3615872823552539E-2</c:v>
                </c:pt>
                <c:pt idx="1078">
                  <c:v>8.0629568632429205E-2</c:v>
                </c:pt>
                <c:pt idx="1079">
                  <c:v>7.7648789518439898E-2</c:v>
                </c:pt>
                <c:pt idx="1080">
                  <c:v>7.8370377833496985E-2</c:v>
                </c:pt>
                <c:pt idx="1081">
                  <c:v>7.5397189438831003E-2</c:v>
                </c:pt>
                <c:pt idx="1082">
                  <c:v>7.6119523531978039E-2</c:v>
                </c:pt>
                <c:pt idx="1083">
                  <c:v>7.6840526133709286E-2</c:v>
                </c:pt>
                <c:pt idx="1084">
                  <c:v>7.7560200922177636E-2</c:v>
                </c:pt>
                <c:pt idx="1085">
                  <c:v>7.8278551562001031E-2</c:v>
                </c:pt>
                <c:pt idx="1086">
                  <c:v>7.5319111116089132E-2</c:v>
                </c:pt>
                <c:pt idx="1087">
                  <c:v>7.6038200404697331E-2</c:v>
                </c:pt>
                <c:pt idx="1088">
                  <c:v>7.6755970263417961E-2</c:v>
                </c:pt>
                <c:pt idx="1089">
                  <c:v>7.7472424320380817E-2</c:v>
                </c:pt>
                <c:pt idx="1090">
                  <c:v>7.8187566190426772E-2</c:v>
                </c:pt>
                <c:pt idx="1091">
                  <c:v>7.8901399475165501E-2</c:v>
                </c:pt>
                <c:pt idx="1092">
                  <c:v>7.9613927763040326E-2</c:v>
                </c:pt>
                <c:pt idx="1093">
                  <c:v>7.667218659285524E-2</c:v>
                </c:pt>
                <c:pt idx="1094">
                  <c:v>7.7385448599987861E-2</c:v>
                </c:pt>
                <c:pt idx="1095">
                  <c:v>7.8097410220598906E-2</c:v>
                </c:pt>
                <c:pt idx="1096">
                  <c:v>7.8808075007656964E-2</c:v>
                </c:pt>
                <c:pt idx="1097">
                  <c:v>7.9517446501198741E-2</c:v>
                </c:pt>
                <c:pt idx="1098">
                  <c:v>8.0225528228388576E-2</c:v>
                </c:pt>
                <c:pt idx="1099">
                  <c:v>8.0932323703576614E-2</c:v>
                </c:pt>
                <c:pt idx="1100">
                  <c:v>8.1637836428355648E-2</c:v>
                </c:pt>
                <c:pt idx="1101">
                  <c:v>8.2342069891621072E-2</c:v>
                </c:pt>
                <c:pt idx="1102">
                  <c:v>8.3045027569627283E-2</c:v>
                </c:pt>
                <c:pt idx="1103">
                  <c:v>8.0126803423781645E-2</c:v>
                </c:pt>
                <c:pt idx="1104">
                  <c:v>7.7213856355957233E-2</c:v>
                </c:pt>
                <c:pt idx="1105">
                  <c:v>7.7919541532158298E-2</c:v>
                </c:pt>
                <c:pt idx="1106">
                  <c:v>7.8623952908401851E-2</c:v>
                </c:pt>
                <c:pt idx="1107">
                  <c:v>7.9327093930495529E-2</c:v>
                </c:pt>
                <c:pt idx="1108">
                  <c:v>8.0028968031828462E-2</c:v>
                </c:pt>
                <c:pt idx="1109">
                  <c:v>7.7129218597425719E-2</c:v>
                </c:pt>
                <c:pt idx="1110">
                  <c:v>7.7831806841861528E-2</c:v>
                </c:pt>
                <c:pt idx="1111">
                  <c:v>7.853313257372907E-2</c:v>
                </c:pt>
                <c:pt idx="1112">
                  <c:v>7.9233199192971782E-2</c:v>
                </c:pt>
                <c:pt idx="1113">
                  <c:v>7.993201008733708E-2</c:v>
                </c:pt>
                <c:pt idx="1114">
                  <c:v>8.0629568632429205E-2</c:v>
                </c:pt>
                <c:pt idx="1115">
                  <c:v>8.1325878191764733E-2</c:v>
                </c:pt>
                <c:pt idx="1116">
                  <c:v>8.2020942116825868E-2</c:v>
                </c:pt>
                <c:pt idx="1117">
                  <c:v>8.2714763747114617E-2</c:v>
                </c:pt>
                <c:pt idx="1118">
                  <c:v>8.3407346410206973E-2</c:v>
                </c:pt>
                <c:pt idx="1119">
                  <c:v>8.4098693421803539E-2</c:v>
                </c:pt>
                <c:pt idx="1120">
                  <c:v>8.4788808085786371E-2</c:v>
                </c:pt>
                <c:pt idx="1121">
                  <c:v>8.5477693694267387E-2</c:v>
                </c:pt>
                <c:pt idx="1122">
                  <c:v>8.6165353527644761E-2</c:v>
                </c:pt>
                <c:pt idx="1123">
                  <c:v>8.6851790854651334E-2</c:v>
                </c:pt>
                <c:pt idx="1124">
                  <c:v>8.7537008932409233E-2</c:v>
                </c:pt>
                <c:pt idx="1125">
                  <c:v>8.8221011006480055E-2</c:v>
                </c:pt>
                <c:pt idx="1126">
                  <c:v>8.8903800310915937E-2</c:v>
                </c:pt>
                <c:pt idx="1127">
                  <c:v>8.9585380068311515E-2</c:v>
                </c:pt>
                <c:pt idx="1128">
                  <c:v>9.0265753489852774E-2</c:v>
                </c:pt>
                <c:pt idx="1129">
                  <c:v>9.0944923775370334E-2</c:v>
                </c:pt>
                <c:pt idx="1130">
                  <c:v>8.8089325208793312E-2</c:v>
                </c:pt>
                <c:pt idx="1131">
                  <c:v>8.8769217548776869E-2</c:v>
                </c:pt>
                <c:pt idx="1132">
                  <c:v>8.9447910784104412E-2</c:v>
                </c:pt>
                <c:pt idx="1133">
                  <c:v>8.6601179009325957E-2</c:v>
                </c:pt>
                <c:pt idx="1134">
                  <c:v>8.7280585846826408E-2</c:v>
                </c:pt>
                <c:pt idx="1135">
                  <c:v>8.4440767694287988E-2</c:v>
                </c:pt>
                <c:pt idx="1136">
                  <c:v>8.5120878923387711E-2</c:v>
                </c:pt>
                <c:pt idx="1137">
                  <c:v>8.2287943425132237E-2</c:v>
                </c:pt>
                <c:pt idx="1138">
                  <c:v>8.2968749918978624E-2</c:v>
                </c:pt>
                <c:pt idx="1139">
                  <c:v>8.364836306226664E-2</c:v>
                </c:pt>
                <c:pt idx="1140">
                  <c:v>8.4326785989891739E-2</c:v>
                </c:pt>
                <c:pt idx="1141">
                  <c:v>8.500402182577993E-2</c:v>
                </c:pt>
                <c:pt idx="1142">
                  <c:v>8.2183570186430632E-2</c:v>
                </c:pt>
                <c:pt idx="1143">
                  <c:v>8.2861494881822484E-2</c:v>
                </c:pt>
                <c:pt idx="1144">
                  <c:v>8.3538236462562754E-2</c:v>
                </c:pt>
                <c:pt idx="1145">
                  <c:v>8.4213798023109909E-2</c:v>
                </c:pt>
                <c:pt idx="1146">
                  <c:v>8.488818264714082E-2</c:v>
                </c:pt>
                <c:pt idx="1147">
                  <c:v>8.5561393407596054E-2</c:v>
                </c:pt>
                <c:pt idx="1148">
                  <c:v>8.2755172497163354E-2</c:v>
                </c:pt>
                <c:pt idx="1149">
                  <c:v>8.3429066653473605E-2</c:v>
                </c:pt>
                <c:pt idx="1150">
                  <c:v>8.0629568632429205E-2</c:v>
                </c:pt>
                <c:pt idx="1151">
                  <c:v>7.7834926635705681E-2</c:v>
                </c:pt>
                <c:pt idx="1152">
                  <c:v>7.504512803932295E-2</c:v>
                </c:pt>
                <c:pt idx="1153">
                  <c:v>7.5723363726224235E-2</c:v>
                </c:pt>
                <c:pt idx="1154">
                  <c:v>7.640042599498198E-2</c:v>
                </c:pt>
                <c:pt idx="1155">
                  <c:v>7.7076317888167267E-2</c:v>
                </c:pt>
                <c:pt idx="1156">
                  <c:v>7.7751042437840923E-2</c:v>
                </c:pt>
                <c:pt idx="1157">
                  <c:v>7.8424602665599252E-2</c:v>
                </c:pt>
                <c:pt idx="1158">
                  <c:v>7.5648725720551813E-2</c:v>
                </c:pt>
                <c:pt idx="1159">
                  <c:v>7.6322936418820042E-2</c:v>
                </c:pt>
                <c:pt idx="1160">
                  <c:v>7.3553645893855713E-2</c:v>
                </c:pt>
                <c:pt idx="1161">
                  <c:v>7.422849860281211E-2</c:v>
                </c:pt>
                <c:pt idx="1162">
                  <c:v>7.4902191771031745E-2</c:v>
                </c:pt>
                <c:pt idx="1163">
                  <c:v>7.5574728384455891E-2</c:v>
                </c:pt>
                <c:pt idx="1164">
                  <c:v>7.6246111418783347E-2</c:v>
                </c:pt>
                <c:pt idx="1165">
                  <c:v>7.3488751722974754E-2</c:v>
                </c:pt>
                <c:pt idx="1166">
                  <c:v>7.4160771067741216E-2</c:v>
                </c:pt>
                <c:pt idx="1167">
                  <c:v>7.4831640678812317E-2</c:v>
                </c:pt>
                <c:pt idx="1168">
                  <c:v>7.5501363504224095E-2</c:v>
                </c:pt>
                <c:pt idx="1169">
                  <c:v>7.6169942481940645E-2</c:v>
                </c:pt>
                <c:pt idx="1170">
                  <c:v>7.3424411256623134E-2</c:v>
                </c:pt>
                <c:pt idx="1171">
                  <c:v>7.4093620920010927E-2</c:v>
                </c:pt>
                <c:pt idx="1172">
                  <c:v>7.47616905328643E-2</c:v>
                </c:pt>
                <c:pt idx="1173">
                  <c:v>7.5428623005951767E-2</c:v>
                </c:pt>
                <c:pt idx="1174">
                  <c:v>7.6094421240138654E-2</c:v>
                </c:pt>
                <c:pt idx="1175">
                  <c:v>7.6759088126434616E-2</c:v>
                </c:pt>
                <c:pt idx="1176">
                  <c:v>7.7422626546030493E-2</c:v>
                </c:pt>
                <c:pt idx="1177">
                  <c:v>7.4692333687560453E-2</c:v>
                </c:pt>
                <c:pt idx="1178">
                  <c:v>7.1966668444105153E-2</c:v>
                </c:pt>
                <c:pt idx="1179">
                  <c:v>7.263257926372102E-2</c:v>
                </c:pt>
                <c:pt idx="1180">
                  <c:v>7.329736333068082E-2</c:v>
                </c:pt>
                <c:pt idx="1181">
                  <c:v>7.3961023502345569E-2</c:v>
                </c:pt>
                <c:pt idx="1182">
                  <c:v>7.4623562626423112E-2</c:v>
                </c:pt>
                <c:pt idx="1183">
                  <c:v>7.1909456114848336E-2</c:v>
                </c:pt>
                <c:pt idx="1184">
                  <c:v>6.91999265113874E-2</c:v>
                </c:pt>
                <c:pt idx="1185">
                  <c:v>6.6494962248454748E-2</c:v>
                </c:pt>
                <c:pt idx="1186">
                  <c:v>6.3794551797412336E-2</c:v>
                </c:pt>
                <c:pt idx="1187">
                  <c:v>6.1098683668407094E-2</c:v>
                </c:pt>
                <c:pt idx="1188">
                  <c:v>5.8407346410207062E-2</c:v>
                </c:pt>
                <c:pt idx="1189">
                  <c:v>5.5720528610038844E-2</c:v>
                </c:pt>
                <c:pt idx="1190">
                  <c:v>5.6393923591414818E-2</c:v>
                </c:pt>
                <c:pt idx="1191">
                  <c:v>5.7066189662512201E-2</c:v>
                </c:pt>
                <c:pt idx="1192">
                  <c:v>5.4387245907694393E-2</c:v>
                </c:pt>
                <c:pt idx="1193">
                  <c:v>5.5060066075478975E-2</c:v>
                </c:pt>
                <c:pt idx="1194">
                  <c:v>5.2387279520574648E-2</c:v>
                </c:pt>
                <c:pt idx="1195">
                  <c:v>5.3060646326664518E-2</c:v>
                </c:pt>
                <c:pt idx="1196">
                  <c:v>5.3732888981158577E-2</c:v>
                </c:pt>
                <c:pt idx="1197">
                  <c:v>5.4404010296778882E-2</c:v>
                </c:pt>
                <c:pt idx="1198">
                  <c:v>5.5074013076873651E-2</c:v>
                </c:pt>
                <c:pt idx="1199">
                  <c:v>5.5742900115452354E-2</c:v>
                </c:pt>
                <c:pt idx="1200">
                  <c:v>5.6410674197228339E-2</c:v>
                </c:pt>
                <c:pt idx="1201">
                  <c:v>5.7077338097654806E-2</c:v>
                </c:pt>
                <c:pt idx="1202">
                  <c:v>5.7742894582964333E-2</c:v>
                </c:pt>
                <c:pt idx="1203">
                  <c:v>5.8407346410207062E-2</c:v>
                </c:pt>
                <c:pt idx="1204">
                  <c:v>5.9070696327288008E-2</c:v>
                </c:pt>
                <c:pt idx="1205">
                  <c:v>5.6418945416006228E-2</c:v>
                </c:pt>
                <c:pt idx="1206">
                  <c:v>5.7082843098948732E-2</c:v>
                </c:pt>
                <c:pt idx="1207">
                  <c:v>5.7745642522696539E-2</c:v>
                </c:pt>
                <c:pt idx="1208">
                  <c:v>5.8407346410207062E-2</c:v>
                </c:pt>
                <c:pt idx="1209">
                  <c:v>5.9067957475442245E-2</c:v>
                </c:pt>
                <c:pt idx="1210">
                  <c:v>5.9727478423408087E-2</c:v>
                </c:pt>
                <c:pt idx="1211">
                  <c:v>6.0385911950190607E-2</c:v>
                </c:pt>
                <c:pt idx="1212">
                  <c:v>6.1043260742990935E-2</c:v>
                </c:pt>
                <c:pt idx="1213">
                  <c:v>6.1699527480165717E-2</c:v>
                </c:pt>
                <c:pt idx="1214">
                  <c:v>6.2354714831259539E-2</c:v>
                </c:pt>
                <c:pt idx="1215">
                  <c:v>6.300882545704356E-2</c:v>
                </c:pt>
                <c:pt idx="1216">
                  <c:v>6.3661862009550152E-2</c:v>
                </c:pt>
                <c:pt idx="1217">
                  <c:v>6.4313827132110202E-2</c:v>
                </c:pt>
                <c:pt idx="1218">
                  <c:v>6.1686034934797185E-2</c:v>
                </c:pt>
                <c:pt idx="1219">
                  <c:v>6.233855034141067E-2</c:v>
                </c:pt>
                <c:pt idx="1220">
                  <c:v>6.2989997801369046E-2</c:v>
                </c:pt>
                <c:pt idx="1221">
                  <c:v>6.3640379934327918E-2</c:v>
                </c:pt>
                <c:pt idx="1222">
                  <c:v>6.1021725495174373E-2</c:v>
                </c:pt>
                <c:pt idx="1223">
                  <c:v>6.167265253265608E-2</c:v>
                </c:pt>
                <c:pt idx="1224">
                  <c:v>5.9059874958330649E-2</c:v>
                </c:pt>
                <c:pt idx="1225">
                  <c:v>5.6451356190157842E-2</c:v>
                </c:pt>
                <c:pt idx="1226">
                  <c:v>5.7104414814115767E-2</c:v>
                </c:pt>
                <c:pt idx="1227">
                  <c:v>5.4501732089621058E-2</c:v>
                </c:pt>
                <c:pt idx="1228">
                  <c:v>5.5155313889881707E-2</c:v>
                </c:pt>
                <c:pt idx="1229">
                  <c:v>5.5807833818817709E-2</c:v>
                </c:pt>
                <c:pt idx="1230">
                  <c:v>5.3212541215401643E-2</c:v>
                </c:pt>
                <c:pt idx="1231">
                  <c:v>5.3865578364789002E-2</c:v>
                </c:pt>
                <c:pt idx="1232">
                  <c:v>5.4517557107127246E-2</c:v>
                </c:pt>
                <c:pt idx="1233">
                  <c:v>5.5168480013445542E-2</c:v>
                </c:pt>
                <c:pt idx="1234">
                  <c:v>5.5818349646453047E-2</c:v>
                </c:pt>
                <c:pt idx="1235">
                  <c:v>5.3233538811177095E-2</c:v>
                </c:pt>
                <c:pt idx="1236">
                  <c:v>5.3883921531370227E-2</c:v>
                </c:pt>
                <c:pt idx="1237">
                  <c:v>5.4533254400521702E-2</c:v>
                </c:pt>
                <c:pt idx="1238">
                  <c:v>5.5181539958593984E-2</c:v>
                </c:pt>
                <c:pt idx="1239">
                  <c:v>5.5828780737362305E-2</c:v>
                </c:pt>
                <c:pt idx="1240">
                  <c:v>5.6474979260448421E-2</c:v>
                </c:pt>
                <c:pt idx="1241">
                  <c:v>5.7120138043352586E-2</c:v>
                </c:pt>
                <c:pt idx="1242">
                  <c:v>5.7764259593486411E-2</c:v>
                </c:pt>
                <c:pt idx="1243">
                  <c:v>5.8407346410207062E-2</c:v>
                </c:pt>
                <c:pt idx="1244">
                  <c:v>5.5839128111651704E-2</c:v>
                </c:pt>
                <c:pt idx="1245">
                  <c:v>5.3275028848057904E-2</c:v>
                </c:pt>
                <c:pt idx="1246">
                  <c:v>5.0715038717899397E-2</c:v>
                </c:pt>
                <c:pt idx="1247">
                  <c:v>5.1361709900999308E-2</c:v>
                </c:pt>
                <c:pt idx="1248">
                  <c:v>5.2007346410206878E-2</c:v>
                </c:pt>
                <c:pt idx="1249">
                  <c:v>5.2651950726753771E-2</c:v>
                </c:pt>
                <c:pt idx="1250">
                  <c:v>5.0100637145030991E-2</c:v>
                </c:pt>
                <c:pt idx="1251">
                  <c:v>5.0745734279320942E-2</c:v>
                </c:pt>
                <c:pt idx="1252">
                  <c:v>5.1389802550557917E-2</c:v>
                </c:pt>
                <c:pt idx="1253">
                  <c:v>5.2032844418175017E-2</c:v>
                </c:pt>
                <c:pt idx="1254">
                  <c:v>5.2674862333773831E-2</c:v>
                </c:pt>
                <c:pt idx="1255">
                  <c:v>5.3315858741153743E-2</c:v>
                </c:pt>
                <c:pt idx="1256">
                  <c:v>5.3955836076343466E-2</c:v>
                </c:pt>
                <c:pt idx="1257">
                  <c:v>5.4594796767633458E-2</c:v>
                </c:pt>
                <c:pt idx="1258">
                  <c:v>5.5232743235603898E-2</c:v>
                </c:pt>
                <c:pt idx="1259">
                  <c:v>5.586967789315711E-2</c:v>
                </c:pt>
                <c:pt idx="1260">
                  <c:v>5.6505603145547756E-2</c:v>
                </c:pt>
                <c:pt idx="1261">
                  <c:v>5.7140521390412591E-2</c:v>
                </c:pt>
                <c:pt idx="1262">
                  <c:v>5.7774435017801995E-2</c:v>
                </c:pt>
                <c:pt idx="1263">
                  <c:v>5.8407346410207062E-2</c:v>
                </c:pt>
                <c:pt idx="1264">
                  <c:v>5.903925794259246E-2</c:v>
                </c:pt>
                <c:pt idx="1265">
                  <c:v>5.6513108051880145E-2</c:v>
                </c:pt>
                <c:pt idx="1266">
                  <c:v>5.7145516757210135E-2</c:v>
                </c:pt>
                <c:pt idx="1267">
                  <c:v>5.7776928758512813E-2</c:v>
                </c:pt>
                <c:pt idx="1268">
                  <c:v>5.8407346410207062E-2</c:v>
                </c:pt>
                <c:pt idx="1269">
                  <c:v>5.9036772059302134E-2</c:v>
                </c:pt>
                <c:pt idx="1270">
                  <c:v>5.9665208045426965E-2</c:v>
                </c:pt>
                <c:pt idx="1271">
                  <c:v>6.0292656700859037E-2</c:v>
                </c:pt>
                <c:pt idx="1272">
                  <c:v>6.0919120350552358E-2</c:v>
                </c:pt>
                <c:pt idx="1273">
                  <c:v>6.1544601312167657E-2</c:v>
                </c:pt>
                <c:pt idx="1274">
                  <c:v>6.2169101896100365E-2</c:v>
                </c:pt>
                <c:pt idx="1275">
                  <c:v>6.279262440550859E-2</c:v>
                </c:pt>
                <c:pt idx="1276">
                  <c:v>6.3415171136341542E-2</c:v>
                </c:pt>
                <c:pt idx="1277">
                  <c:v>6.4036744377368837E-2</c:v>
                </c:pt>
                <c:pt idx="1278">
                  <c:v>6.4657346410206706E-2</c:v>
                </c:pt>
                <c:pt idx="1279">
                  <c:v>6.5276979509348187E-2</c:v>
                </c:pt>
                <c:pt idx="1280">
                  <c:v>6.5895645942187997E-2</c:v>
                </c:pt>
                <c:pt idx="1281">
                  <c:v>6.6513347969053171E-2</c:v>
                </c:pt>
                <c:pt idx="1282">
                  <c:v>6.7130087843228825E-2</c:v>
                </c:pt>
                <c:pt idx="1283">
                  <c:v>6.463302734405918E-2</c:v>
                </c:pt>
                <c:pt idx="1284">
                  <c:v>6.2139850298231547E-2</c:v>
                </c:pt>
                <c:pt idx="1285">
                  <c:v>6.2758550761411236E-2</c:v>
                </c:pt>
                <c:pt idx="1286">
                  <c:v>6.3376290509585598E-2</c:v>
                </c:pt>
                <c:pt idx="1287">
                  <c:v>6.3993071778709609E-2</c:v>
                </c:pt>
                <c:pt idx="1288">
                  <c:v>6.4608896797803794E-2</c:v>
                </c:pt>
                <c:pt idx="1289">
                  <c:v>6.2125394434993986E-2</c:v>
                </c:pt>
                <c:pt idx="1290">
                  <c:v>6.2741711735284422E-2</c:v>
                </c:pt>
                <c:pt idx="1291">
                  <c:v>6.3357075721885092E-2</c:v>
                </c:pt>
                <c:pt idx="1292">
                  <c:v>6.3971488604952054E-2</c:v>
                </c:pt>
                <c:pt idx="1293">
                  <c:v>6.1496149499010055E-2</c:v>
                </c:pt>
                <c:pt idx="1294">
                  <c:v>6.2111050113910604E-2</c:v>
                </c:pt>
                <c:pt idx="1295">
                  <c:v>6.2725002539736785E-2</c:v>
                </c:pt>
                <c:pt idx="1296">
                  <c:v>6.3338008967988024E-2</c:v>
                </c:pt>
                <c:pt idx="1297">
                  <c:v>6.0870779820522358E-2</c:v>
                </c:pt>
                <c:pt idx="1298">
                  <c:v>6.1484269487130039E-2</c:v>
                </c:pt>
                <c:pt idx="1299">
                  <c:v>5.9022258016663276E-2</c:v>
                </c:pt>
                <c:pt idx="1300">
                  <c:v>5.6564028437856795E-2</c:v>
                </c:pt>
                <c:pt idx="1301">
                  <c:v>5.7179410876822434E-2</c:v>
                </c:pt>
                <c:pt idx="1302">
                  <c:v>5.4726364815115058E-2</c:v>
                </c:pt>
                <c:pt idx="1303">
                  <c:v>5.534221231059E-2</c:v>
                </c:pt>
                <c:pt idx="1304">
                  <c:v>5.2894329564877829E-2</c:v>
                </c:pt>
                <c:pt idx="1305">
                  <c:v>5.3510636387253729E-2</c:v>
                </c:pt>
                <c:pt idx="1306">
                  <c:v>5.4126000844457511E-2</c:v>
                </c:pt>
                <c:pt idx="1307">
                  <c:v>5.4740425096226897E-2</c:v>
                </c:pt>
                <c:pt idx="1308">
                  <c:v>5.2300476181199151E-2</c:v>
                </c:pt>
                <c:pt idx="1309">
                  <c:v>5.2915355563524891E-2</c:v>
                </c:pt>
                <c:pt idx="1310">
                  <c:v>5.3529297629719252E-2</c:v>
                </c:pt>
                <c:pt idx="1311">
                  <c:v>5.1095846029399539E-2</c:v>
                </c:pt>
                <c:pt idx="1312">
                  <c:v>5.1710238343235737E-2</c:v>
                </c:pt>
                <c:pt idx="1313">
                  <c:v>5.232369622009303E-2</c:v>
                </c:pt>
                <c:pt idx="1314">
                  <c:v>4.9896708112334487E-2</c:v>
                </c:pt>
                <c:pt idx="1315">
                  <c:v>5.0510611406410444E-2</c:v>
                </c:pt>
                <c:pt idx="1316">
                  <c:v>5.1123583132513417E-2</c:v>
                </c:pt>
                <c:pt idx="1317">
                  <c:v>4.8703024954558582E-2</c:v>
                </c:pt>
                <c:pt idx="1318">
                  <c:v>4.6286134288994862E-2</c:v>
                </c:pt>
                <c:pt idx="1319">
                  <c:v>4.3872902806876279E-2</c:v>
                </c:pt>
                <c:pt idx="1320">
                  <c:v>4.1463322204458031E-2</c:v>
                </c:pt>
                <c:pt idx="1321">
                  <c:v>4.2080815797961968E-2</c:v>
                </c:pt>
                <c:pt idx="1322">
                  <c:v>3.9676228585433293E-2</c:v>
                </c:pt>
                <c:pt idx="1323">
                  <c:v>4.0294138863036899E-2</c:v>
                </c:pt>
                <c:pt idx="1324">
                  <c:v>4.0911117149271536E-2</c:v>
                </c:pt>
                <c:pt idx="1325">
                  <c:v>4.1527165551126455E-2</c:v>
                </c:pt>
                <c:pt idx="1326">
                  <c:v>3.9130237976471971E-2</c:v>
                </c:pt>
                <c:pt idx="1327">
                  <c:v>3.9746699307122046E-2</c:v>
                </c:pt>
                <c:pt idx="1328">
                  <c:v>4.0362233628251865E-2</c:v>
                </c:pt>
                <c:pt idx="1329">
                  <c:v>3.7971583825683997E-2</c:v>
                </c:pt>
                <c:pt idx="1330">
                  <c:v>3.8587526590387E-2</c:v>
                </c:pt>
                <c:pt idx="1331">
                  <c:v>3.6201795022360095E-2</c:v>
                </c:pt>
                <c:pt idx="1332">
                  <c:v>3.3819640263280437E-2</c:v>
                </c:pt>
                <c:pt idx="1333">
                  <c:v>3.1441054275375357E-2</c:v>
                </c:pt>
                <c:pt idx="1334">
                  <c:v>3.2060041020985253E-2</c:v>
                </c:pt>
                <c:pt idx="1335">
                  <c:v>3.2678101832794848E-2</c:v>
                </c:pt>
                <c:pt idx="1336">
                  <c:v>3.3295238786888337E-2</c:v>
                </c:pt>
                <c:pt idx="1337">
                  <c:v>3.0924149994971728E-2</c:v>
                </c:pt>
                <c:pt idx="1338">
                  <c:v>2.8556600141550259E-2</c:v>
                </c:pt>
                <c:pt idx="1339">
                  <c:v>2.9175429929968466E-2</c:v>
                </c:pt>
                <c:pt idx="1340">
                  <c:v>2.9793337468329018E-2</c:v>
                </c:pt>
                <c:pt idx="1341">
                  <c:v>3.0410324816759537E-2</c:v>
                </c:pt>
                <c:pt idx="1342">
                  <c:v>2.805020355306409E-2</c:v>
                </c:pt>
                <c:pt idx="1343">
                  <c:v>2.8667569458534103E-2</c:v>
                </c:pt>
                <c:pt idx="1344">
                  <c:v>2.9284018029820391E-2</c:v>
                </c:pt>
                <c:pt idx="1345">
                  <c:v>2.9899551309984229E-2</c:v>
                </c:pt>
                <c:pt idx="1346">
                  <c:v>3.0514171336022855E-2</c:v>
                </c:pt>
                <c:pt idx="1347">
                  <c:v>3.1127880138894781E-2</c:v>
                </c:pt>
                <c:pt idx="1348">
                  <c:v>3.1740679743540223E-2</c:v>
                </c:pt>
                <c:pt idx="1349">
                  <c:v>2.939180236875627E-2</c:v>
                </c:pt>
                <c:pt idx="1350">
                  <c:v>2.7046399664644838E-2</c:v>
                </c:pt>
                <c:pt idx="1351">
                  <c:v>2.7660857127132399E-2</c:v>
                </c:pt>
                <c:pt idx="1352">
                  <c:v>2.8274406971506849E-2</c:v>
                </c:pt>
                <c:pt idx="1353">
                  <c:v>2.8887051207254988E-2</c:v>
                </c:pt>
                <c:pt idx="1354">
                  <c:v>2.9498791837935467E-2</c:v>
                </c:pt>
                <c:pt idx="1355">
                  <c:v>3.0109630861201886E-2</c:v>
                </c:pt>
                <c:pt idx="1356">
                  <c:v>3.0719570268822327E-2</c:v>
                </c:pt>
                <c:pt idx="1357">
                  <c:v>3.1328612046704229E-2</c:v>
                </c:pt>
                <c:pt idx="1358">
                  <c:v>3.1936758174912594E-2</c:v>
                </c:pt>
                <c:pt idx="1359">
                  <c:v>3.2544010627693964E-2</c:v>
                </c:pt>
                <c:pt idx="1360">
                  <c:v>3.3150371373495968E-2</c:v>
                </c:pt>
                <c:pt idx="1361">
                  <c:v>3.3755842374990408E-2</c:v>
                </c:pt>
                <c:pt idx="1362">
                  <c:v>3.4360425589092358E-2</c:v>
                </c:pt>
                <c:pt idx="1363">
                  <c:v>3.4964122966983258E-2</c:v>
                </c:pt>
                <c:pt idx="1364">
                  <c:v>3.5566936454130893E-2</c:v>
                </c:pt>
                <c:pt idx="1365">
                  <c:v>3.6168867990309383E-2</c:v>
                </c:pt>
                <c:pt idx="1366">
                  <c:v>3.6769919509622273E-2</c:v>
                </c:pt>
                <c:pt idx="1367">
                  <c:v>3.4448252180842243E-2</c:v>
                </c:pt>
                <c:pt idx="1368">
                  <c:v>3.5049682176630181E-2</c:v>
                </c:pt>
                <c:pt idx="1369">
                  <c:v>3.5650234812832693E-2</c:v>
                </c:pt>
                <c:pt idx="1370">
                  <c:v>3.6249912007874308E-2</c:v>
                </c:pt>
                <c:pt idx="1371">
                  <c:v>3.6848715674591581E-2</c:v>
                </c:pt>
                <c:pt idx="1372">
                  <c:v>3.7446647720250414E-2</c:v>
                </c:pt>
                <c:pt idx="1373">
                  <c:v>3.8043710046570478E-2</c:v>
                </c:pt>
                <c:pt idx="1374">
                  <c:v>3.8639904549741644E-2</c:v>
                </c:pt>
                <c:pt idx="1375">
                  <c:v>3.9235233120446633E-2</c:v>
                </c:pt>
                <c:pt idx="1376">
                  <c:v>3.6926940024140098E-2</c:v>
                </c:pt>
                <c:pt idx="1377">
                  <c:v>3.7522647352918881E-2</c:v>
                </c:pt>
                <c:pt idx="1378">
                  <c:v>3.8117491337743115E-2</c:v>
                </c:pt>
                <c:pt idx="1379">
                  <c:v>3.871147385408813E-2</c:v>
                </c:pt>
                <c:pt idx="1380">
                  <c:v>3.9304596772001599E-2</c:v>
                </c:pt>
                <c:pt idx="1381">
                  <c:v>3.9896861956121743E-2</c:v>
                </c:pt>
                <c:pt idx="1382">
                  <c:v>4.0488271265698206E-2</c:v>
                </c:pt>
                <c:pt idx="1383">
                  <c:v>4.1078826554611148E-2</c:v>
                </c:pt>
                <c:pt idx="1384">
                  <c:v>4.1668529671390342E-2</c:v>
                </c:pt>
                <c:pt idx="1385">
                  <c:v>4.2257382459233384E-2</c:v>
                </c:pt>
                <c:pt idx="1386">
                  <c:v>4.2845386756028336E-2</c:v>
                </c:pt>
                <c:pt idx="1387">
                  <c:v>4.055277477593755E-2</c:v>
                </c:pt>
                <c:pt idx="1388">
                  <c:v>4.114115935984719E-2</c:v>
                </c:pt>
                <c:pt idx="1389">
                  <c:v>4.1728697955857541E-2</c:v>
                </c:pt>
                <c:pt idx="1390">
                  <c:v>3.9441829168827436E-2</c:v>
                </c:pt>
                <c:pt idx="1391">
                  <c:v>4.0029744113006416E-2</c:v>
                </c:pt>
                <c:pt idx="1392">
                  <c:v>3.7747375104611347E-2</c:v>
                </c:pt>
                <c:pt idx="1393">
                  <c:v>3.8335661822393341E-2</c:v>
                </c:pt>
                <c:pt idx="1394">
                  <c:v>3.6057776209633907E-2</c:v>
                </c:pt>
                <c:pt idx="1395">
                  <c:v>3.6646430161101584E-2</c:v>
                </c:pt>
                <c:pt idx="1396">
                  <c:v>3.7234241975300009E-2</c:v>
                </c:pt>
                <c:pt idx="1397">
                  <c:v>3.7821213458098413E-2</c:v>
                </c:pt>
                <c:pt idx="1398">
                  <c:v>3.555020355306393E-2</c:v>
                </c:pt>
                <c:pt idx="1399">
                  <c:v>3.6137539129692975E-2</c:v>
                </c:pt>
                <c:pt idx="1400">
                  <c:v>3.6724036852432196E-2</c:v>
                </c:pt>
                <c:pt idx="1401">
                  <c:v>3.4458665013200385E-2</c:v>
                </c:pt>
                <c:pt idx="1402">
                  <c:v>3.5045523048383487E-2</c:v>
                </c:pt>
                <c:pt idx="1403">
                  <c:v>3.5631545698463274E-2</c:v>
                </c:pt>
                <c:pt idx="1404">
                  <c:v>3.6216734745910806E-2</c:v>
                </c:pt>
                <c:pt idx="1405">
                  <c:v>3.6801091968131416E-2</c:v>
                </c:pt>
                <c:pt idx="1406">
                  <c:v>3.4543710046570641E-2</c:v>
                </c:pt>
                <c:pt idx="1407">
                  <c:v>3.5128425189483004E-2</c:v>
                </c:pt>
                <c:pt idx="1408">
                  <c:v>3.5712310949214121E-2</c:v>
                </c:pt>
                <c:pt idx="1409">
                  <c:v>3.629536908915787E-2</c:v>
                </c:pt>
                <c:pt idx="1410">
                  <c:v>3.6877601367713897E-2</c:v>
                </c:pt>
                <c:pt idx="1411">
                  <c:v>3.7459009538303167E-2</c:v>
                </c:pt>
                <c:pt idx="1412">
                  <c:v>3.8039595349386612E-2</c:v>
                </c:pt>
                <c:pt idx="1413">
                  <c:v>3.8619360544482451E-2</c:v>
                </c:pt>
                <c:pt idx="1414">
                  <c:v>3.6373448105122108E-2</c:v>
                </c:pt>
                <c:pt idx="1415">
                  <c:v>3.6953570827991111E-2</c:v>
                </c:pt>
                <c:pt idx="1416">
                  <c:v>3.4712000853084124E-2</c:v>
                </c:pt>
                <c:pt idx="1417">
                  <c:v>3.5292476783709503E-2</c:v>
                </c:pt>
                <c:pt idx="1418">
                  <c:v>3.5872135142601458E-2</c:v>
                </c:pt>
                <c:pt idx="1419">
                  <c:v>3.6450977655808625E-2</c:v>
                </c:pt>
                <c:pt idx="1420">
                  <c:v>3.4216066522724464E-2</c:v>
                </c:pt>
                <c:pt idx="1421">
                  <c:v>3.4795259270361534E-2</c:v>
                </c:pt>
                <c:pt idx="1422">
                  <c:v>3.5373638545038499E-2</c:v>
                </c:pt>
                <c:pt idx="1423">
                  <c:v>3.5951206059329888E-2</c:v>
                </c:pt>
                <c:pt idx="1424">
                  <c:v>3.6527963521006512E-2</c:v>
                </c:pt>
                <c:pt idx="1425">
                  <c:v>3.7103912633051905E-2</c:v>
                </c:pt>
                <c:pt idx="1426">
                  <c:v>3.4877934645500819E-2</c:v>
                </c:pt>
                <c:pt idx="1427">
                  <c:v>3.5454232344426462E-2</c:v>
                </c:pt>
                <c:pt idx="1428">
                  <c:v>3.3232521235381896E-2</c:v>
                </c:pt>
                <c:pt idx="1429">
                  <c:v>3.3809163321457891E-2</c:v>
                </c:pt>
                <c:pt idx="1430">
                  <c:v>3.4385000041491587E-2</c:v>
                </c:pt>
                <c:pt idx="1431">
                  <c:v>3.216868625668301E-2</c:v>
                </c:pt>
                <c:pt idx="1432">
                  <c:v>3.2744863843958694E-2</c:v>
                </c:pt>
                <c:pt idx="1433">
                  <c:v>3.0532781950276533E-2</c:v>
                </c:pt>
                <c:pt idx="1434">
                  <c:v>3.1109296270931175E-2</c:v>
                </c:pt>
                <c:pt idx="1435">
                  <c:v>3.1685008205613929E-2</c:v>
                </c:pt>
                <c:pt idx="1436">
                  <c:v>3.2259919428287542E-2</c:v>
                </c:pt>
                <c:pt idx="1437">
                  <c:v>3.0054323477614719E-2</c:v>
                </c:pt>
                <c:pt idx="1438">
                  <c:v>3.0629568632428938E-2</c:v>
                </c:pt>
                <c:pt idx="1439">
                  <c:v>3.1204015390081885E-2</c:v>
                </c:pt>
                <c:pt idx="1440">
                  <c:v>3.177766541159377E-2</c:v>
                </c:pt>
                <c:pt idx="1441">
                  <c:v>3.2350520353380929E-2</c:v>
                </c:pt>
                <c:pt idx="1442">
                  <c:v>3.2922581867270484E-2</c:v>
                </c:pt>
                <c:pt idx="1443">
                  <c:v>3.3493851600518099E-2</c:v>
                </c:pt>
                <c:pt idx="1444">
                  <c:v>3.4064331195822195E-2</c:v>
                </c:pt>
                <c:pt idx="1445">
                  <c:v>3.4634022291340383E-2</c:v>
                </c:pt>
                <c:pt idx="1446">
                  <c:v>3.5202926520704114E-2</c:v>
                </c:pt>
                <c:pt idx="1447">
                  <c:v>3.5771045513036448E-2</c:v>
                </c:pt>
                <c:pt idx="1448">
                  <c:v>3.6338380892965372E-2</c:v>
                </c:pt>
                <c:pt idx="1449">
                  <c:v>3.4148214776850594E-2</c:v>
                </c:pt>
                <c:pt idx="1450">
                  <c:v>3.1961065418471435E-2</c:v>
                </c:pt>
                <c:pt idx="1451">
                  <c:v>3.2529851571941215E-2</c:v>
                </c:pt>
                <c:pt idx="1452">
                  <c:v>3.0346823714195725E-2</c:v>
                </c:pt>
                <c:pt idx="1453">
                  <c:v>3.0915937475498811E-2</c:v>
                </c:pt>
                <c:pt idx="1454">
                  <c:v>3.148426948712979E-2</c:v>
                </c:pt>
                <c:pt idx="1455">
                  <c:v>3.2051821358731303E-2</c:v>
                </c:pt>
                <c:pt idx="1456">
                  <c:v>2.987511047056346E-2</c:v>
                </c:pt>
                <c:pt idx="1457">
                  <c:v>3.0442987260104193E-2</c:v>
                </c:pt>
                <c:pt idx="1458">
                  <c:v>3.1010086136234349E-2</c:v>
                </c:pt>
                <c:pt idx="1459">
                  <c:v>3.1576408696312175E-2</c:v>
                </c:pt>
                <c:pt idx="1460">
                  <c:v>3.2141956533326077E-2</c:v>
                </c:pt>
                <c:pt idx="1461">
                  <c:v>3.2706731235907505E-2</c:v>
                </c:pt>
                <c:pt idx="1462">
                  <c:v>3.0538493951190571E-2</c:v>
                </c:pt>
                <c:pt idx="1463">
                  <c:v>2.8373216717374028E-2</c:v>
                </c:pt>
                <c:pt idx="1464">
                  <c:v>2.8939406437491932E-2</c:v>
                </c:pt>
                <c:pt idx="1465">
                  <c:v>2.9504824256151085E-2</c:v>
                </c:pt>
                <c:pt idx="1466">
                  <c:v>3.0069471750806542E-2</c:v>
                </c:pt>
                <c:pt idx="1467">
                  <c:v>3.0633350494618128E-2</c:v>
                </c:pt>
                <c:pt idx="1468">
                  <c:v>3.1196462056465535E-2</c:v>
                </c:pt>
                <c:pt idx="1469">
                  <c:v>3.1758808000961647E-2</c:v>
                </c:pt>
                <c:pt idx="1470">
                  <c:v>3.2320389888467638E-2</c:v>
                </c:pt>
                <c:pt idx="1471">
                  <c:v>3.2881209275108514E-2</c:v>
                </c:pt>
                <c:pt idx="1472">
                  <c:v>3.3441267712785105E-2</c:v>
                </c:pt>
                <c:pt idx="1473">
                  <c:v>3.4000566749190053E-2</c:v>
                </c:pt>
                <c:pt idx="1474">
                  <c:v>3.4559107927822019E-2</c:v>
                </c:pt>
                <c:pt idx="1475">
                  <c:v>3.5116892787999898E-2</c:v>
                </c:pt>
                <c:pt idx="1476">
                  <c:v>3.5673922864875252E-2</c:v>
                </c:pt>
                <c:pt idx="1477">
                  <c:v>3.6230199689449627E-2</c:v>
                </c:pt>
                <c:pt idx="1478">
                  <c:v>3.6785724788585217E-2</c:v>
                </c:pt>
                <c:pt idx="1479">
                  <c:v>3.4639621899740902E-2</c:v>
                </c:pt>
                <c:pt idx="1480">
                  <c:v>3.5195470566752096E-2</c:v>
                </c:pt>
                <c:pt idx="1481">
                  <c:v>3.3053334272648005E-2</c:v>
                </c:pt>
                <c:pt idx="1482">
                  <c:v>3.3609502744438746E-2</c:v>
                </c:pt>
                <c:pt idx="1483">
                  <c:v>3.4164922167782663E-2</c:v>
                </c:pt>
                <c:pt idx="1484">
                  <c:v>3.4719594054890557E-2</c:v>
                </c:pt>
                <c:pt idx="1485">
                  <c:v>3.2583540088754415E-2</c:v>
                </c:pt>
                <c:pt idx="1486">
                  <c:v>3.3138529205905876E-2</c:v>
                </c:pt>
                <c:pt idx="1487">
                  <c:v>3.3692772870918652E-2</c:v>
                </c:pt>
                <c:pt idx="1488">
                  <c:v>3.4246272584703696E-2</c:v>
                </c:pt>
                <c:pt idx="1489">
                  <c:v>3.4799029844143625E-2</c:v>
                </c:pt>
                <c:pt idx="1490">
                  <c:v>3.5351046142110487E-2</c:v>
                </c:pt>
                <c:pt idx="1491">
                  <c:v>3.3223153510006043E-2</c:v>
                </c:pt>
                <c:pt idx="1492">
                  <c:v>3.1098109462415646E-2</c:v>
                </c:pt>
                <c:pt idx="1493">
                  <c:v>3.1651493567397715E-2</c:v>
                </c:pt>
                <c:pt idx="1494">
                  <c:v>3.220413785405718E-2</c:v>
                </c:pt>
                <c:pt idx="1495">
                  <c:v>3.2756043804996526E-2</c:v>
                </c:pt>
                <c:pt idx="1496">
                  <c:v>3.3307212898858296E-2</c:v>
                </c:pt>
                <c:pt idx="1497">
                  <c:v>3.3857646610340186E-2</c:v>
                </c:pt>
                <c:pt idx="1498">
                  <c:v>3.440734641020704E-2</c:v>
                </c:pt>
                <c:pt idx="1499">
                  <c:v>3.2291423692019094E-2</c:v>
                </c:pt>
                <c:pt idx="1500">
                  <c:v>3.0178318447490415E-2</c:v>
                </c:pt>
                <c:pt idx="1501">
                  <c:v>3.0729369031630593E-2</c:v>
                </c:pt>
                <c:pt idx="1502">
                  <c:v>3.1279686835739007E-2</c:v>
                </c:pt>
                <c:pt idx="1503">
                  <c:v>3.1829273320505891E-2</c:v>
                </c:pt>
                <c:pt idx="1504">
                  <c:v>3.237812994274325E-2</c:v>
                </c:pt>
                <c:pt idx="1505">
                  <c:v>3.292625815539596E-2</c:v>
                </c:pt>
                <c:pt idx="1506">
                  <c:v>3.3473659407554202E-2</c:v>
                </c:pt>
                <c:pt idx="1507">
                  <c:v>3.4020335144468117E-2</c:v>
                </c:pt>
                <c:pt idx="1508">
                  <c:v>3.4566286807558022E-2</c:v>
                </c:pt>
                <c:pt idx="1509">
                  <c:v>3.5111515834429063E-2</c:v>
                </c:pt>
                <c:pt idx="1510">
                  <c:v>3.5656023658884095E-2</c:v>
                </c:pt>
                <c:pt idx="1511">
                  <c:v>3.6199811710933893E-2</c:v>
                </c:pt>
                <c:pt idx="1512">
                  <c:v>3.6742881416811812E-2</c:v>
                </c:pt>
                <c:pt idx="1513">
                  <c:v>3.7285234198985773E-2</c:v>
                </c:pt>
                <c:pt idx="1514">
                  <c:v>3.5188349048729251E-2</c:v>
                </c:pt>
                <c:pt idx="1515">
                  <c:v>3.3094228414161986E-2</c:v>
                </c:pt>
                <c:pt idx="1516">
                  <c:v>3.3637912945121418E-2</c:v>
                </c:pt>
                <c:pt idx="1517">
                  <c:v>3.4180881630746729E-2</c:v>
                </c:pt>
                <c:pt idx="1518">
                  <c:v>3.472313588389131E-2</c:v>
                </c:pt>
                <c:pt idx="1519">
                  <c:v>3.2634828329996424E-2</c:v>
                </c:pt>
                <c:pt idx="1520">
                  <c:v>3.3177385832020345E-2</c:v>
                </c:pt>
                <c:pt idx="1521">
                  <c:v>3.3719230848814785E-2</c:v>
                </c:pt>
                <c:pt idx="1522">
                  <c:v>3.1635692866899934E-2</c:v>
                </c:pt>
                <c:pt idx="1523">
                  <c:v>2.9554887393813623E-2</c:v>
                </c:pt>
                <c:pt idx="1524">
                  <c:v>3.0098041036681344E-2</c:v>
                </c:pt>
                <c:pt idx="1525">
                  <c:v>2.8020967890233006E-2</c:v>
                </c:pt>
                <c:pt idx="1526">
                  <c:v>2.8564414473033928E-2</c:v>
                </c:pt>
                <c:pt idx="1527">
                  <c:v>2.6491061256511461E-2</c:v>
                </c:pt>
                <c:pt idx="1528">
                  <c:v>2.7034797390598886E-2</c:v>
                </c:pt>
                <c:pt idx="1529">
                  <c:v>2.757782322274771E-2</c:v>
                </c:pt>
                <c:pt idx="1530">
                  <c:v>2.8120140143888417E-2</c:v>
                </c:pt>
                <c:pt idx="1531">
                  <c:v>2.866174954132239E-2</c:v>
                </c:pt>
                <c:pt idx="1532">
                  <c:v>2.6595090869137916E-2</c:v>
                </c:pt>
                <c:pt idx="1533">
                  <c:v>2.7136988104017767E-2</c:v>
                </c:pt>
                <c:pt idx="1534">
                  <c:v>2.5074013076873403E-2</c:v>
                </c:pt>
                <c:pt idx="1535">
                  <c:v>2.5616194816192372E-2</c:v>
                </c:pt>
                <c:pt idx="1536">
                  <c:v>2.6157671507736069E-2</c:v>
                </c:pt>
                <c:pt idx="1537">
                  <c:v>2.6698444525866449E-2</c:v>
                </c:pt>
                <c:pt idx="1538">
                  <c:v>2.4641112643973173E-2</c:v>
                </c:pt>
                <c:pt idx="1539">
                  <c:v>2.5182167954658663E-2</c:v>
                </c:pt>
                <c:pt idx="1540">
                  <c:v>2.5722521507482998E-2</c:v>
                </c:pt>
                <c:pt idx="1541">
                  <c:v>2.626217466684988E-2</c:v>
                </c:pt>
                <c:pt idx="1542">
                  <c:v>2.6801128793626727E-2</c:v>
                </c:pt>
                <c:pt idx="1543">
                  <c:v>2.7339385245158443E-2</c:v>
                </c:pt>
                <c:pt idx="1544">
                  <c:v>2.7876945375278073E-2</c:v>
                </c:pt>
                <c:pt idx="1545">
                  <c:v>2.8413810534317907E-2</c:v>
                </c:pt>
                <c:pt idx="1546">
                  <c:v>2.8949982069121472E-2</c:v>
                </c:pt>
                <c:pt idx="1547">
                  <c:v>2.690315015455802E-2</c:v>
                </c:pt>
                <c:pt idx="1548">
                  <c:v>2.7439604474722934E-2</c:v>
                </c:pt>
                <c:pt idx="1549">
                  <c:v>2.7975367042057275E-2</c:v>
                </c:pt>
                <c:pt idx="1550">
                  <c:v>2.8510439193711878E-2</c:v>
                </c:pt>
                <c:pt idx="1551">
                  <c:v>2.904482226339411E-2</c:v>
                </c:pt>
                <c:pt idx="1552">
                  <c:v>2.9578517581378083E-2</c:v>
                </c:pt>
                <c:pt idx="1553">
                  <c:v>2.753917920763449E-2</c:v>
                </c:pt>
                <c:pt idx="1554">
                  <c:v>2.5502462091441025E-2</c:v>
                </c:pt>
                <c:pt idx="1555">
                  <c:v>2.6037404213675064E-2</c:v>
                </c:pt>
                <c:pt idx="1556">
                  <c:v>2.6571659632286693E-2</c:v>
                </c:pt>
                <c:pt idx="1557">
                  <c:v>2.4539482394812406E-2</c:v>
                </c:pt>
                <c:pt idx="1558">
                  <c:v>2.5074013076873403E-2</c:v>
                </c:pt>
                <c:pt idx="1559">
                  <c:v>2.5607858902199077E-2</c:v>
                </c:pt>
                <c:pt idx="1560">
                  <c:v>2.6141021186135038E-2</c:v>
                </c:pt>
                <c:pt idx="1561">
                  <c:v>2.6673501240661146E-2</c:v>
                </c:pt>
                <c:pt idx="1562">
                  <c:v>2.7205300374401276E-2</c:v>
                </c:pt>
                <c:pt idx="1563">
                  <c:v>2.7736419892634867E-2</c:v>
                </c:pt>
                <c:pt idx="1564">
                  <c:v>2.8266861097307583E-2</c:v>
                </c:pt>
                <c:pt idx="1565">
                  <c:v>2.6243976914354761E-2</c:v>
                </c:pt>
                <c:pt idx="1566">
                  <c:v>2.6774693348982304E-2</c:v>
                </c:pt>
                <c:pt idx="1567">
                  <c:v>2.7304733280824944E-2</c:v>
                </c:pt>
                <c:pt idx="1568">
                  <c:v>2.5286327301926814E-2</c:v>
                </c:pt>
                <c:pt idx="1569">
                  <c:v>2.581663985387328E-2</c:v>
                </c:pt>
                <c:pt idx="1570">
                  <c:v>2.6346277707916865E-2</c:v>
                </c:pt>
                <c:pt idx="1571">
                  <c:v>2.6875242150830037E-2</c:v>
                </c:pt>
                <c:pt idx="1572">
                  <c:v>2.7403534466115431E-2</c:v>
                </c:pt>
                <c:pt idx="1573">
                  <c:v>2.7931155934016516E-2</c:v>
                </c:pt>
                <c:pt idx="1574">
                  <c:v>2.8458107831526469E-2</c:v>
                </c:pt>
                <c:pt idx="1575">
                  <c:v>2.8984391432401058E-2</c:v>
                </c:pt>
                <c:pt idx="1576">
                  <c:v>2.9510008007164856E-2</c:v>
                </c:pt>
                <c:pt idx="1577">
                  <c:v>3.0034958823126345E-2</c:v>
                </c:pt>
                <c:pt idx="1578">
                  <c:v>2.8027599574763862E-2</c:v>
                </c:pt>
                <c:pt idx="1579">
                  <c:v>2.6022779680288988E-2</c:v>
                </c:pt>
                <c:pt idx="1580">
                  <c:v>2.6548939330560906E-2</c:v>
                </c:pt>
                <c:pt idx="1581">
                  <c:v>2.7074434218166576E-2</c:v>
                </c:pt>
                <c:pt idx="1582">
                  <c:v>2.7599265602126E-2</c:v>
                </c:pt>
                <c:pt idx="1583">
                  <c:v>2.8123434738282604E-2</c:v>
                </c:pt>
                <c:pt idx="1584">
                  <c:v>2.8646942879311688E-2</c:v>
                </c:pt>
                <c:pt idx="1585">
                  <c:v>2.9169791274731072E-2</c:v>
                </c:pt>
                <c:pt idx="1586">
                  <c:v>2.717308948325492E-2</c:v>
                </c:pt>
                <c:pt idx="1587">
                  <c:v>2.7696207329023892E-2</c:v>
                </c:pt>
                <c:pt idx="1588">
                  <c:v>2.8218667164924049E-2</c:v>
                </c:pt>
                <c:pt idx="1589">
                  <c:v>2.8740470231702897E-2</c:v>
                </c:pt>
                <c:pt idx="1590">
                  <c:v>2.9261617766990877E-2</c:v>
                </c:pt>
                <c:pt idx="1591">
                  <c:v>2.7271125443477651E-2</c:v>
                </c:pt>
                <c:pt idx="1592">
                  <c:v>2.7792540889504114E-2</c:v>
                </c:pt>
                <c:pt idx="1593">
                  <c:v>2.8313302523059747E-2</c:v>
                </c:pt>
                <c:pt idx="1594">
                  <c:v>2.8833411573114365E-2</c:v>
                </c:pt>
                <c:pt idx="1595">
                  <c:v>2.9352869265560688E-2</c:v>
                </c:pt>
                <c:pt idx="1596">
                  <c:v>2.9871676823223225E-2</c:v>
                </c:pt>
                <c:pt idx="1597">
                  <c:v>3.038983546586671E-2</c:v>
                </c:pt>
                <c:pt idx="1598">
                  <c:v>3.090734641020676E-2</c:v>
                </c:pt>
                <c:pt idx="1599">
                  <c:v>2.8925772393967097E-2</c:v>
                </c:pt>
                <c:pt idx="1600">
                  <c:v>2.9443551154276992E-2</c:v>
                </c:pt>
                <c:pt idx="1601">
                  <c:v>2.9960683902408913E-2</c:v>
                </c:pt>
                <c:pt idx="1602">
                  <c:v>2.7983406260581045E-2</c:v>
                </c:pt>
                <c:pt idx="1603">
                  <c:v>2.6008592516125972E-2</c:v>
                </c:pt>
                <c:pt idx="1604">
                  <c:v>2.6526898091402185E-2</c:v>
                </c:pt>
                <c:pt idx="1605">
                  <c:v>2.7044558606846625E-2</c:v>
                </c:pt>
                <c:pt idx="1606">
                  <c:v>2.5074013076873403E-2</c:v>
                </c:pt>
                <c:pt idx="1607">
                  <c:v>2.3105916950915351E-2</c:v>
                </c:pt>
                <c:pt idx="1608">
                  <c:v>2.3624737714554644E-2</c:v>
                </c:pt>
                <c:pt idx="1609">
                  <c:v>2.4142914380411717E-2</c:v>
                </c:pt>
                <c:pt idx="1610">
                  <c:v>2.2179058569015808E-2</c:v>
                </c:pt>
                <c:pt idx="1611">
                  <c:v>2.0217637792724119E-2</c:v>
                </c:pt>
                <c:pt idx="1612">
                  <c:v>2.0736962271421078E-2</c:v>
                </c:pt>
                <c:pt idx="1613">
                  <c:v>2.1255643623829368E-2</c:v>
                </c:pt>
                <c:pt idx="1614">
                  <c:v>2.1773683043870395E-2</c:v>
                </c:pt>
                <c:pt idx="1615">
                  <c:v>1.9817364963082618E-2</c:v>
                </c:pt>
                <c:pt idx="1616">
                  <c:v>2.0335652961504636E-2</c:v>
                </c:pt>
                <c:pt idx="1617">
                  <c:v>1.8382639801188816E-2</c:v>
                </c:pt>
                <c:pt idx="1618">
                  <c:v>1.6432037768231655E-2</c:v>
                </c:pt>
                <c:pt idx="1619">
                  <c:v>1.44838424003364E-2</c:v>
                </c:pt>
                <c:pt idx="1620">
                  <c:v>1.5004140491587936E-2</c:v>
                </c:pt>
                <c:pt idx="1621">
                  <c:v>1.5523797426842734E-2</c:v>
                </c:pt>
                <c:pt idx="1622">
                  <c:v>1.6042814390502258E-2</c:v>
                </c:pt>
                <c:pt idx="1623">
                  <c:v>1.6561192564052973E-2</c:v>
                </c:pt>
                <c:pt idx="1624">
                  <c:v>1.7078933126073892E-2</c:v>
                </c:pt>
                <c:pt idx="1625">
                  <c:v>1.7596037252247232E-2</c:v>
                </c:pt>
                <c:pt idx="1626">
                  <c:v>1.5655503658364101E-2</c:v>
                </c:pt>
                <c:pt idx="1627">
                  <c:v>1.6172846717143585E-2</c:v>
                </c:pt>
                <c:pt idx="1628">
                  <c:v>1.4235567269102578E-2</c:v>
                </c:pt>
                <c:pt idx="1629">
                  <c:v>1.4753146532830996E-2</c:v>
                </c:pt>
                <c:pt idx="1630">
                  <c:v>1.2819111116089132E-2</c:v>
                </c:pt>
                <c:pt idx="1631">
                  <c:v>1.333692387499541E-2</c:v>
                </c:pt>
                <c:pt idx="1632">
                  <c:v>1.140612241999861E-2</c:v>
                </c:pt>
                <c:pt idx="1633">
                  <c:v>1.1924165982072132E-2</c:v>
                </c:pt>
                <c:pt idx="1634">
                  <c:v>1.2441576239057728E-2</c:v>
                </c:pt>
                <c:pt idx="1635">
                  <c:v>1.2958354351563006E-2</c:v>
                </c:pt>
                <c:pt idx="1636">
                  <c:v>1.3474501477361844E-2</c:v>
                </c:pt>
                <c:pt idx="1637">
                  <c:v>1.3990018771402823E-2</c:v>
                </c:pt>
                <c:pt idx="1638">
                  <c:v>1.2065882995572874E-2</c:v>
                </c:pt>
                <c:pt idx="1639">
                  <c:v>1.0144092296861196E-2</c:v>
                </c:pt>
                <c:pt idx="1640">
                  <c:v>1.0660695983897295E-2</c:v>
                </c:pt>
                <c:pt idx="1641">
                  <c:v>8.7420999099023788E-3</c:v>
                </c:pt>
                <c:pt idx="1642">
                  <c:v>9.2589279187227369E-3</c:v>
                </c:pt>
                <c:pt idx="1643">
                  <c:v>9.7751275652222525E-3</c:v>
                </c:pt>
                <c:pt idx="1644">
                  <c:v>1.0290699994654151E-2</c:v>
                </c:pt>
                <c:pt idx="1645">
                  <c:v>1.0805646349490328E-2</c:v>
                </c:pt>
                <c:pt idx="1646">
                  <c:v>1.1319967769430228E-2</c:v>
                </c:pt>
                <c:pt idx="1647">
                  <c:v>1.1833665391407511E-2</c:v>
                </c:pt>
                <c:pt idx="1648">
                  <c:v>1.2346740349600704E-2</c:v>
                </c:pt>
                <c:pt idx="1649">
                  <c:v>1.285919377543987E-2</c:v>
                </c:pt>
                <c:pt idx="1650">
                  <c:v>1.3371026797615926E-2</c:v>
                </c:pt>
                <c:pt idx="1651">
                  <c:v>1.3882240542088198E-2</c:v>
                </c:pt>
                <c:pt idx="1652">
                  <c:v>1.4392836132093301E-2</c:v>
                </c:pt>
                <c:pt idx="1653">
                  <c:v>1.4902814688152688E-2</c:v>
                </c:pt>
                <c:pt idx="1654">
                  <c:v>1.5412177328081089E-2</c:v>
                </c:pt>
                <c:pt idx="1655">
                  <c:v>1.3506923959995643E-2</c:v>
                </c:pt>
                <c:pt idx="1656">
                  <c:v>1.4016514082100695E-2</c:v>
                </c:pt>
                <c:pt idx="1657">
                  <c:v>1.4525489870122588E-2</c:v>
                </c:pt>
                <c:pt idx="1658">
                  <c:v>1.5033852434303441E-2</c:v>
                </c:pt>
                <c:pt idx="1659">
                  <c:v>1.5541602882211514E-2</c:v>
                </c:pt>
                <c:pt idx="1660">
                  <c:v>1.6048742318750975E-2</c:v>
                </c:pt>
                <c:pt idx="1661">
                  <c:v>1.6555271846165898E-2</c:v>
                </c:pt>
                <c:pt idx="1662">
                  <c:v>1.706119256405314E-2</c:v>
                </c:pt>
                <c:pt idx="1663">
                  <c:v>1.7566505569365898E-2</c:v>
                </c:pt>
                <c:pt idx="1664">
                  <c:v>1.8071211956425248E-2</c:v>
                </c:pt>
                <c:pt idx="1665">
                  <c:v>1.8575312816925482E-2</c:v>
                </c:pt>
                <c:pt idx="1666">
                  <c:v>1.9078809239942984E-2</c:v>
                </c:pt>
                <c:pt idx="1667">
                  <c:v>1.9581702311944671E-2</c:v>
                </c:pt>
                <c:pt idx="1668">
                  <c:v>2.0083993116793764E-2</c:v>
                </c:pt>
                <c:pt idx="1669">
                  <c:v>2.0585682735760447E-2</c:v>
                </c:pt>
                <c:pt idx="1670">
                  <c:v>1.8694427749919917E-2</c:v>
                </c:pt>
                <c:pt idx="1671">
                  <c:v>1.9196348203392777E-2</c:v>
                </c:pt>
                <c:pt idx="1672">
                  <c:v>1.9697668990851902E-2</c:v>
                </c:pt>
                <c:pt idx="1673">
                  <c:v>1.7810331484833686E-2</c:v>
                </c:pt>
                <c:pt idx="1674">
                  <c:v>1.8311881016412013E-2</c:v>
                </c:pt>
                <c:pt idx="1675">
                  <c:v>1.8812832397088197E-2</c:v>
                </c:pt>
                <c:pt idx="1676">
                  <c:v>1.9313186696261919E-2</c:v>
                </c:pt>
                <c:pt idx="1677">
                  <c:v>1.7430574522178333E-2</c:v>
                </c:pt>
                <c:pt idx="1678">
                  <c:v>1.7931155934016285E-2</c:v>
                </c:pt>
                <c:pt idx="1679">
                  <c:v>1.8431141770111736E-2</c:v>
                </c:pt>
                <c:pt idx="1680">
                  <c:v>1.6552411808542278E-2</c:v>
                </c:pt>
                <c:pt idx="1681">
                  <c:v>1.4675914443480931E-2</c:v>
                </c:pt>
                <c:pt idx="1682">
                  <c:v>1.5176942609731903E-2</c:v>
                </c:pt>
                <c:pt idx="1683">
                  <c:v>1.5677376083797601E-2</c:v>
                </c:pt>
                <c:pt idx="1684">
                  <c:v>1.3804736683042051E-2</c:v>
                </c:pt>
                <c:pt idx="1685">
                  <c:v>1.4305390275055618E-2</c:v>
                </c:pt>
                <c:pt idx="1686">
                  <c:v>1.4805450675609677E-2</c:v>
                </c:pt>
                <c:pt idx="1687">
                  <c:v>1.5304918938329859E-2</c:v>
                </c:pt>
                <c:pt idx="1688">
                  <c:v>1.5803796114348678E-2</c:v>
                </c:pt>
                <c:pt idx="1689">
                  <c:v>1.6302083252312194E-2</c:v>
                </c:pt>
                <c:pt idx="1690">
                  <c:v>1.6799781398386671E-2</c:v>
                </c:pt>
                <c:pt idx="1691">
                  <c:v>1.4934221779374202E-2</c:v>
                </c:pt>
                <c:pt idx="1692">
                  <c:v>1.5432139798636779E-2</c:v>
                </c:pt>
                <c:pt idx="1693">
                  <c:v>1.5929470304012039E-2</c:v>
                </c:pt>
                <c:pt idx="1694">
                  <c:v>1.6426214334735345E-2</c:v>
                </c:pt>
                <c:pt idx="1695">
                  <c:v>1.4565272161532583E-2</c:v>
                </c:pt>
                <c:pt idx="1696">
                  <c:v>1.5062234513858019E-2</c:v>
                </c:pt>
                <c:pt idx="1697">
                  <c:v>1.5558611860471583E-2</c:v>
                </c:pt>
                <c:pt idx="1698">
                  <c:v>1.6054405233736357E-2</c:v>
                </c:pt>
                <c:pt idx="1699">
                  <c:v>1.6549615663587147E-2</c:v>
                </c:pt>
                <c:pt idx="1700">
                  <c:v>1.7044244177539358E-2</c:v>
                </c:pt>
                <c:pt idx="1701">
                  <c:v>1.7538291800694328E-2</c:v>
                </c:pt>
                <c:pt idx="1702">
                  <c:v>1.8031759555746874E-2</c:v>
                </c:pt>
                <c:pt idx="1703">
                  <c:v>1.8524648462992843E-2</c:v>
                </c:pt>
                <c:pt idx="1704">
                  <c:v>1.9016959540335776E-2</c:v>
                </c:pt>
                <c:pt idx="1705">
                  <c:v>1.9508693803294008E-2</c:v>
                </c:pt>
                <c:pt idx="1706">
                  <c:v>1.9999852265007778E-2</c:v>
                </c:pt>
                <c:pt idx="1707">
                  <c:v>1.814988590698885E-2</c:v>
                </c:pt>
                <c:pt idx="1708">
                  <c:v>1.8641264538862057E-2</c:v>
                </c:pt>
                <c:pt idx="1709">
                  <c:v>1.6794254651001594E-2</c:v>
                </c:pt>
                <c:pt idx="1710">
                  <c:v>1.7285851083104209E-2</c:v>
                </c:pt>
                <c:pt idx="1711">
                  <c:v>1.7776873555566119E-2</c:v>
                </c:pt>
                <c:pt idx="1712">
                  <c:v>1.8267323072984176E-2</c:v>
                </c:pt>
                <c:pt idx="1713">
                  <c:v>1.8757200637612215E-2</c:v>
                </c:pt>
                <c:pt idx="1714">
                  <c:v>1.6915504918365354E-2</c:v>
                </c:pt>
                <c:pt idx="1715">
                  <c:v>1.7405599176659958E-2</c:v>
                </c:pt>
                <c:pt idx="1716">
                  <c:v>1.5566834186691025E-2</c:v>
                </c:pt>
                <c:pt idx="1717">
                  <c:v>1.6057142803458824E-2</c:v>
                </c:pt>
                <c:pt idx="1718">
                  <c:v>1.6546881293928006E-2</c:v>
                </c:pt>
                <c:pt idx="1719">
                  <c:v>1.4711820553146904E-2</c:v>
                </c:pt>
                <c:pt idx="1720">
                  <c:v>1.520177149731472E-2</c:v>
                </c:pt>
                <c:pt idx="1721">
                  <c:v>1.336962151177401E-2</c:v>
                </c:pt>
                <c:pt idx="1722">
                  <c:v>1.3859782605102566E-2</c:v>
                </c:pt>
                <c:pt idx="1723">
                  <c:v>1.4349375395714237E-2</c:v>
                </c:pt>
                <c:pt idx="1724">
                  <c:v>1.4838400871388657E-2</c:v>
                </c:pt>
                <c:pt idx="1725">
                  <c:v>1.5326860017618404E-2</c:v>
                </c:pt>
                <c:pt idx="1726">
                  <c:v>1.5814753817614324E-2</c:v>
                </c:pt>
                <c:pt idx="1727">
                  <c:v>1.6302083252312194E-2</c:v>
                </c:pt>
                <c:pt idx="1728">
                  <c:v>1.6788849300380271E-2</c:v>
                </c:pt>
                <c:pt idx="1729">
                  <c:v>1.727505293822551E-2</c:v>
                </c:pt>
                <c:pt idx="1730">
                  <c:v>1.5451226317828137E-2</c:v>
                </c:pt>
                <c:pt idx="1731">
                  <c:v>1.5937640697569755E-2</c:v>
                </c:pt>
                <c:pt idx="1732">
                  <c:v>1.6423494045731513E-2</c:v>
                </c:pt>
                <c:pt idx="1733">
                  <c:v>1.690878733239698E-2</c:v>
                </c:pt>
                <c:pt idx="1734">
                  <c:v>1.739352152541418E-2</c:v>
                </c:pt>
                <c:pt idx="1735">
                  <c:v>1.5574876634731893E-2</c:v>
                </c:pt>
                <c:pt idx="1736">
                  <c:v>1.6059820518377066E-2</c:v>
                </c:pt>
                <c:pt idx="1737">
                  <c:v>1.654420667472678E-2</c:v>
                </c:pt>
                <c:pt idx="1738">
                  <c:v>1.7028036065379393E-2</c:v>
                </c:pt>
                <c:pt idx="1739">
                  <c:v>1.751130964972436E-2</c:v>
                </c:pt>
                <c:pt idx="1740">
                  <c:v>1.7994028384948457E-2</c:v>
                </c:pt>
                <c:pt idx="1741">
                  <c:v>1.6181299364882662E-2</c:v>
                </c:pt>
                <c:pt idx="1742">
                  <c:v>1.6664227144151944E-2</c:v>
                </c:pt>
                <c:pt idx="1743">
                  <c:v>1.7146601424533614E-2</c:v>
                </c:pt>
                <c:pt idx="1744">
                  <c:v>1.7628423157056705E-2</c:v>
                </c:pt>
                <c:pt idx="1745">
                  <c:v>1.8109693290573325E-2</c:v>
                </c:pt>
                <c:pt idx="1746">
                  <c:v>1.8590412771763098E-2</c:v>
                </c:pt>
                <c:pt idx="1747">
                  <c:v>1.9070582545141157E-2</c:v>
                </c:pt>
                <c:pt idx="1748">
                  <c:v>1.9550203553063916E-2</c:v>
                </c:pt>
                <c:pt idx="1749">
                  <c:v>2.0029276735735291E-2</c:v>
                </c:pt>
                <c:pt idx="1750">
                  <c:v>1.8224698008380447E-2</c:v>
                </c:pt>
                <c:pt idx="1751">
                  <c:v>1.8703980751336502E-2</c:v>
                </c:pt>
                <c:pt idx="1752">
                  <c:v>1.9182716991734683E-2</c:v>
                </c:pt>
                <c:pt idx="1753">
                  <c:v>1.9660907663768157E-2</c:v>
                </c:pt>
                <c:pt idx="1754">
                  <c:v>1.7860649371482573E-2</c:v>
                </c:pt>
                <c:pt idx="1755">
                  <c:v>1.8339048174577766E-2</c:v>
                </c:pt>
                <c:pt idx="1756">
                  <c:v>1.8816902724200002E-2</c:v>
                </c:pt>
                <c:pt idx="1757">
                  <c:v>1.7020194619416618E-2</c:v>
                </c:pt>
                <c:pt idx="1758">
                  <c:v>1.7498255501116056E-2</c:v>
                </c:pt>
                <c:pt idx="1759">
                  <c:v>1.5704336756600767E-2</c:v>
                </c:pt>
                <c:pt idx="1760">
                  <c:v>1.6182601801807195E-2</c:v>
                </c:pt>
                <c:pt idx="1761">
                  <c:v>1.4391464390921538E-2</c:v>
                </c:pt>
                <c:pt idx="1762">
                  <c:v>1.2602357748075388E-2</c:v>
                </c:pt>
                <c:pt idx="1763">
                  <c:v>1.308156737337951E-2</c:v>
                </c:pt>
                <c:pt idx="1764">
                  <c:v>1.1295228629912391E-2</c:v>
                </c:pt>
                <c:pt idx="1765">
                  <c:v>1.177463560092562E-2</c:v>
                </c:pt>
                <c:pt idx="1766">
                  <c:v>1.2253500256360628E-2</c:v>
                </c:pt>
                <c:pt idx="1767">
                  <c:v>1.2731823515916396E-2</c:v>
                </c:pt>
                <c:pt idx="1768">
                  <c:v>1.3209606297212684E-2</c:v>
                </c:pt>
                <c:pt idx="1769">
                  <c:v>1.1428238561533632E-2</c:v>
                </c:pt>
                <c:pt idx="1770">
                  <c:v>1.1906217742035263E-2</c:v>
                </c:pt>
                <c:pt idx="1771">
                  <c:v>1.2383657746924293E-2</c:v>
                </c:pt>
                <c:pt idx="1772">
                  <c:v>1.2860559487997136E-2</c:v>
                </c:pt>
                <c:pt idx="1773">
                  <c:v>1.333692387499541E-2</c:v>
                </c:pt>
                <c:pt idx="1774">
                  <c:v>1.3812751815612145E-2</c:v>
                </c:pt>
                <c:pt idx="1775">
                  <c:v>1.4288044215496676E-2</c:v>
                </c:pt>
                <c:pt idx="1776">
                  <c:v>1.4762801978260853E-2</c:v>
                </c:pt>
                <c:pt idx="1777">
                  <c:v>1.5237026005485266E-2</c:v>
                </c:pt>
                <c:pt idx="1778">
                  <c:v>1.5710717196723678E-2</c:v>
                </c:pt>
                <c:pt idx="1779">
                  <c:v>1.3937947196282163E-2</c:v>
                </c:pt>
                <c:pt idx="1780">
                  <c:v>1.2167166836694054E-2</c:v>
                </c:pt>
                <c:pt idx="1781">
                  <c:v>1.0398372770274111E-2</c:v>
                </c:pt>
                <c:pt idx="1782">
                  <c:v>1.0873714123211364E-2</c:v>
                </c:pt>
                <c:pt idx="1783">
                  <c:v>1.134852288079502E-2</c:v>
                </c:pt>
                <c:pt idx="1784">
                  <c:v>1.1822799937642348E-2</c:v>
                </c:pt>
                <c:pt idx="1785">
                  <c:v>1.2296546186368218E-2</c:v>
                </c:pt>
                <c:pt idx="1786">
                  <c:v>1.2769762517589545E-2</c:v>
                </c:pt>
                <c:pt idx="1787">
                  <c:v>1.1006563850117335E-2</c:v>
                </c:pt>
                <c:pt idx="1788">
                  <c:v>1.1479972108531022E-2</c:v>
                </c:pt>
                <c:pt idx="1789">
                  <c:v>1.1952851714505996E-2</c:v>
                </c:pt>
                <c:pt idx="1790">
                  <c:v>1.242520355306409E-2</c:v>
                </c:pt>
                <c:pt idx="1791">
                  <c:v>1.2897028507250941E-2</c:v>
                </c:pt>
                <c:pt idx="1792">
                  <c:v>1.3368327458144424E-2</c:v>
                </c:pt>
                <c:pt idx="1793">
                  <c:v>1.3839101284858657E-2</c:v>
                </c:pt>
                <c:pt idx="1794">
                  <c:v>1.4309350864549764E-2</c:v>
                </c:pt>
                <c:pt idx="1795">
                  <c:v>1.2553144963351137E-2</c:v>
                </c:pt>
                <c:pt idx="1796">
                  <c:v>1.3023586677169963E-2</c:v>
                </c:pt>
                <c:pt idx="1797">
                  <c:v>1.3493505387416338E-2</c:v>
                </c:pt>
                <c:pt idx="1798">
                  <c:v>1.3962901965762331E-2</c:v>
                </c:pt>
                <c:pt idx="1799">
                  <c:v>1.4431777281944669E-2</c:v>
                </c:pt>
                <c:pt idx="1800">
                  <c:v>1.4900132203769623E-2</c:v>
                </c:pt>
                <c:pt idx="1801">
                  <c:v>1.5367967597117449E-2</c:v>
                </c:pt>
                <c:pt idx="1802">
                  <c:v>1.5835284325949495E-2</c:v>
                </c:pt>
                <c:pt idx="1803">
                  <c:v>1.6302083252312194E-2</c:v>
                </c:pt>
                <c:pt idx="1804">
                  <c:v>1.6768365236341953E-2</c:v>
                </c:pt>
                <c:pt idx="1805">
                  <c:v>1.502051741186694E-2</c:v>
                </c:pt>
                <c:pt idx="1806">
                  <c:v>1.5486992427906188E-2</c:v>
                </c:pt>
                <c:pt idx="1807">
                  <c:v>1.5952951717006059E-2</c:v>
                </c:pt>
                <c:pt idx="1808">
                  <c:v>1.6418396133963675E-2</c:v>
                </c:pt>
                <c:pt idx="1809">
                  <c:v>1.688332653168656E-2</c:v>
                </c:pt>
                <c:pt idx="1810">
                  <c:v>1.7347743761200185E-2</c:v>
                </c:pt>
                <c:pt idx="1811">
                  <c:v>1.5605360751078212E-2</c:v>
                </c:pt>
                <c:pt idx="1812">
                  <c:v>1.6069970445487858E-2</c:v>
                </c:pt>
                <c:pt idx="1813">
                  <c:v>1.6534068173292393E-2</c:v>
                </c:pt>
                <c:pt idx="1814">
                  <c:v>1.6997654780250837E-2</c:v>
                </c:pt>
                <c:pt idx="1815">
                  <c:v>1.7460731110261918E-2</c:v>
                </c:pt>
                <c:pt idx="1816">
                  <c:v>1.7923298005366295E-2</c:v>
                </c:pt>
                <c:pt idx="1817">
                  <c:v>1.8385356305754108E-2</c:v>
                </c:pt>
                <c:pt idx="1818">
                  <c:v>1.8846906849767198E-2</c:v>
                </c:pt>
                <c:pt idx="1819">
                  <c:v>1.7111355196588018E-2</c:v>
                </c:pt>
                <c:pt idx="1820">
                  <c:v>1.7573098331173043E-2</c:v>
                </c:pt>
                <c:pt idx="1821">
                  <c:v>1.8034334890733472E-2</c:v>
                </c:pt>
                <c:pt idx="1822">
                  <c:v>1.8495065708452607E-2</c:v>
                </c:pt>
                <c:pt idx="1823">
                  <c:v>1.895529161568632E-2</c:v>
                </c:pt>
                <c:pt idx="1824">
                  <c:v>1.9415013441970164E-2</c:v>
                </c:pt>
                <c:pt idx="1825">
                  <c:v>1.9874232015023363E-2</c:v>
                </c:pt>
                <c:pt idx="1826">
                  <c:v>2.033294816075415E-2</c:v>
                </c:pt>
                <c:pt idx="1827">
                  <c:v>1.8604175278440938E-2</c:v>
                </c:pt>
                <c:pt idx="1828">
                  <c:v>1.9063084115124695E-2</c:v>
                </c:pt>
                <c:pt idx="1829">
                  <c:v>1.9521491686012471E-2</c:v>
                </c:pt>
                <c:pt idx="1830">
                  <c:v>1.997939881195343E-2</c:v>
                </c:pt>
                <c:pt idx="1831">
                  <c:v>2.0436806312007061E-2</c:v>
                </c:pt>
                <c:pt idx="1832">
                  <c:v>2.0893715003445834E-2</c:v>
                </c:pt>
                <c:pt idx="1833">
                  <c:v>2.1350125701760092E-2</c:v>
                </c:pt>
                <c:pt idx="1834">
                  <c:v>2.1806039220664264E-2</c:v>
                </c:pt>
                <c:pt idx="1835">
                  <c:v>2.0083993116793764E-2</c:v>
                </c:pt>
                <c:pt idx="1836">
                  <c:v>2.0540099402589718E-2</c:v>
                </c:pt>
                <c:pt idx="1837">
                  <c:v>2.0995709651098871E-2</c:v>
                </c:pt>
                <c:pt idx="1838">
                  <c:v>2.1450824671076507E-2</c:v>
                </c:pt>
                <c:pt idx="1839">
                  <c:v>2.1905445269522428E-2</c:v>
                </c:pt>
                <c:pt idx="1840">
                  <c:v>2.0188019591531603E-2</c:v>
                </c:pt>
                <c:pt idx="1841">
                  <c:v>2.0642832031476654E-2</c:v>
                </c:pt>
                <c:pt idx="1842">
                  <c:v>2.1097151182441376E-2</c:v>
                </c:pt>
                <c:pt idx="1843">
                  <c:v>2.1550977846521047E-2</c:v>
                </c:pt>
                <c:pt idx="1844">
                  <c:v>2.2004312824074557E-2</c:v>
                </c:pt>
                <c:pt idx="1845">
                  <c:v>2.2457156913726184E-2</c:v>
                </c:pt>
                <c:pt idx="1846">
                  <c:v>2.2909510912371367E-2</c:v>
                </c:pt>
                <c:pt idx="1847">
                  <c:v>2.3361375615182478E-2</c:v>
                </c:pt>
                <c:pt idx="1848">
                  <c:v>2.1650589653450236E-2</c:v>
                </c:pt>
                <c:pt idx="1849">
                  <c:v>2.2102646248132185E-2</c:v>
                </c:pt>
                <c:pt idx="1850">
                  <c:v>2.0394387446923901E-2</c:v>
                </c:pt>
                <c:pt idx="1851">
                  <c:v>2.0846634051868929E-2</c:v>
                </c:pt>
                <c:pt idx="1852">
                  <c:v>2.129839279639878E-2</c:v>
                </c:pt>
                <c:pt idx="1853">
                  <c:v>2.1749664469505881E-2</c:v>
                </c:pt>
                <c:pt idx="1854">
                  <c:v>2.2200449858482685E-2</c:v>
                </c:pt>
                <c:pt idx="1855">
                  <c:v>2.2650749748925225E-2</c:v>
                </c:pt>
                <c:pt idx="1856">
                  <c:v>2.3100564924738443E-2</c:v>
                </c:pt>
                <c:pt idx="1857">
                  <c:v>2.3549896168141071E-2</c:v>
                </c:pt>
                <c:pt idx="1858">
                  <c:v>2.1848206625260769E-2</c:v>
                </c:pt>
                <c:pt idx="1859">
                  <c:v>2.0148345872861295E-2</c:v>
                </c:pt>
                <c:pt idx="1860">
                  <c:v>2.0598538676587008E-2</c:v>
                </c:pt>
                <c:pt idx="1861">
                  <c:v>2.1048248181543272E-2</c:v>
                </c:pt>
                <c:pt idx="1862">
                  <c:v>2.1497475165571878E-2</c:v>
                </c:pt>
                <c:pt idx="1863">
                  <c:v>2.1946220404844841E-2</c:v>
                </c:pt>
                <c:pt idx="1864">
                  <c:v>2.0250861951471411E-2</c:v>
                </c:pt>
                <c:pt idx="1865">
                  <c:v>2.0699794187389653E-2</c:v>
                </c:pt>
                <c:pt idx="1866">
                  <c:v>2.1148245767808493E-2</c:v>
                </c:pt>
                <c:pt idx="1867">
                  <c:v>2.1596217464246337E-2</c:v>
                </c:pt>
                <c:pt idx="1868">
                  <c:v>1.9904672613415553E-2</c:v>
                </c:pt>
                <c:pt idx="1869">
                  <c:v>1.8214935934525389E-2</c:v>
                </c:pt>
                <c:pt idx="1870">
                  <c:v>1.6527004529864886E-2</c:v>
                </c:pt>
                <c:pt idx="1871">
                  <c:v>1.6976486826651094E-2</c:v>
                </c:pt>
                <c:pt idx="1872">
                  <c:v>1.5291017701562382E-2</c:v>
                </c:pt>
                <c:pt idx="1873">
                  <c:v>1.5740679743540209E-2</c:v>
                </c:pt>
                <c:pt idx="1874">
                  <c:v>1.4057666239631228E-2</c:v>
                </c:pt>
                <c:pt idx="1875">
                  <c:v>1.450750623972219E-2</c:v>
                </c:pt>
                <c:pt idx="1876">
                  <c:v>1.4956867176980193E-2</c:v>
                </c:pt>
                <c:pt idx="1877">
                  <c:v>1.540574981627385E-2</c:v>
                </c:pt>
                <c:pt idx="1878">
                  <c:v>1.5854154920845076E-2</c:v>
                </c:pt>
                <c:pt idx="1879">
                  <c:v>1.6302083252312194E-2</c:v>
                </c:pt>
                <c:pt idx="1880">
                  <c:v>1.6749535570674379E-2</c:v>
                </c:pt>
                <c:pt idx="1881">
                  <c:v>1.5072242852054885E-2</c:v>
                </c:pt>
                <c:pt idx="1882">
                  <c:v>1.5519872949484981E-2</c:v>
                </c:pt>
                <c:pt idx="1883">
                  <c:v>1.596702810781947E-2</c:v>
                </c:pt>
                <c:pt idx="1884">
                  <c:v>1.6413709082529149E-2</c:v>
                </c:pt>
                <c:pt idx="1885">
                  <c:v>1.6859916627482985E-2</c:v>
                </c:pt>
                <c:pt idx="1886">
                  <c:v>1.5187007427155841E-2</c:v>
                </c:pt>
                <c:pt idx="1887">
                  <c:v>1.5633391936940466E-2</c:v>
                </c:pt>
                <c:pt idx="1888">
                  <c:v>1.6079304082164736E-2</c:v>
                </c:pt>
                <c:pt idx="1889">
                  <c:v>1.6524744612216313E-2</c:v>
                </c:pt>
                <c:pt idx="1890">
                  <c:v>1.6969714274900127E-2</c:v>
                </c:pt>
                <c:pt idx="1891">
                  <c:v>1.5301165744596723E-2</c:v>
                </c:pt>
                <c:pt idx="1892">
                  <c:v>1.5746311563321846E-2</c:v>
                </c:pt>
                <c:pt idx="1893">
                  <c:v>1.6190987571156779E-2</c:v>
                </c:pt>
                <c:pt idx="1894">
                  <c:v>1.6635194511472662E-2</c:v>
                </c:pt>
                <c:pt idx="1895">
                  <c:v>1.7078933126073892E-2</c:v>
                </c:pt>
                <c:pt idx="1896">
                  <c:v>1.7522204155201671E-2</c:v>
                </c:pt>
                <c:pt idx="1897">
                  <c:v>1.7965008337537114E-2</c:v>
                </c:pt>
                <c:pt idx="1898">
                  <c:v>1.8407346410207026E-2</c:v>
                </c:pt>
                <c:pt idx="1899">
                  <c:v>1.8849219108786563E-2</c:v>
                </c:pt>
                <c:pt idx="1900">
                  <c:v>1.9290627167304564E-2</c:v>
                </c:pt>
                <c:pt idx="1901">
                  <c:v>1.9731571318246655E-2</c:v>
                </c:pt>
                <c:pt idx="1902">
                  <c:v>1.8071211956425248E-2</c:v>
                </c:pt>
                <c:pt idx="1903">
                  <c:v>1.8512333286847316E-2</c:v>
                </c:pt>
                <c:pt idx="1904">
                  <c:v>1.6854355854068359E-2</c:v>
                </c:pt>
                <c:pt idx="1905">
                  <c:v>1.7295652650374471E-2</c:v>
                </c:pt>
                <c:pt idx="1906">
                  <c:v>1.773648687142293E-2</c:v>
                </c:pt>
                <c:pt idx="1907">
                  <c:v>1.8176859244151355E-2</c:v>
                </c:pt>
                <c:pt idx="1908">
                  <c:v>1.8616770493976365E-2</c:v>
                </c:pt>
                <c:pt idx="1909">
                  <c:v>1.6963076394508114E-2</c:v>
                </c:pt>
                <c:pt idx="1910">
                  <c:v>1.7403162309788556E-2</c:v>
                </c:pt>
                <c:pt idx="1911">
                  <c:v>1.784278812479112E-2</c:v>
                </c:pt>
                <c:pt idx="1912">
                  <c:v>1.8281954560677161E-2</c:v>
                </c:pt>
                <c:pt idx="1913">
                  <c:v>1.8720662337099903E-2</c:v>
                </c:pt>
                <c:pt idx="1914">
                  <c:v>1.9158912172211107E-2</c:v>
                </c:pt>
                <c:pt idx="1915">
                  <c:v>1.9596704782663732E-2</c:v>
                </c:pt>
                <c:pt idx="1916">
                  <c:v>2.0034040883616822E-2</c:v>
                </c:pt>
                <c:pt idx="1917">
                  <c:v>2.0470921188737279E-2</c:v>
                </c:pt>
                <c:pt idx="1918">
                  <c:v>2.0907346410206973E-2</c:v>
                </c:pt>
                <c:pt idx="1919">
                  <c:v>2.1343317258723182E-2</c:v>
                </c:pt>
                <c:pt idx="1920">
                  <c:v>2.1778834443505701E-2</c:v>
                </c:pt>
                <c:pt idx="1921">
                  <c:v>2.2213898672297283E-2</c:v>
                </c:pt>
                <c:pt idx="1922">
                  <c:v>2.264851065137119E-2</c:v>
                </c:pt>
                <c:pt idx="1923">
                  <c:v>2.1004749007609291E-2</c:v>
                </c:pt>
                <c:pt idx="1924">
                  <c:v>2.1439537479781112E-2</c:v>
                </c:pt>
                <c:pt idx="1925">
                  <c:v>2.1873874692511119E-2</c:v>
                </c:pt>
                <c:pt idx="1926">
                  <c:v>2.2307761347966082E-2</c:v>
                </c:pt>
                <c:pt idx="1927">
                  <c:v>2.2741198146857933E-2</c:v>
                </c:pt>
                <c:pt idx="1928">
                  <c:v>2.3174185788445101E-2</c:v>
                </c:pt>
                <c:pt idx="1929">
                  <c:v>2.1535259408653307E-2</c:v>
                </c:pt>
                <c:pt idx="1930">
                  <c:v>2.1968423014761651E-2</c:v>
                </c:pt>
                <c:pt idx="1931">
                  <c:v>2.0331816146368364E-2</c:v>
                </c:pt>
                <c:pt idx="1932">
                  <c:v>2.0765154062740709E-2</c:v>
                </c:pt>
                <c:pt idx="1933">
                  <c:v>2.1198044084625334E-2</c:v>
                </c:pt>
                <c:pt idx="1934">
                  <c:v>1.9564371203595332E-2</c:v>
                </c:pt>
                <c:pt idx="1935">
                  <c:v>1.9997434174791273E-2</c:v>
                </c:pt>
                <c:pt idx="1936">
                  <c:v>2.0430050228576135E-2</c:v>
                </c:pt>
                <c:pt idx="1937">
                  <c:v>1.8799301025988147E-2</c:v>
                </c:pt>
                <c:pt idx="1938">
                  <c:v>1.9232088678247994E-2</c:v>
                </c:pt>
                <c:pt idx="1939">
                  <c:v>1.9664430387538179E-2</c:v>
                </c:pt>
                <c:pt idx="1940">
                  <c:v>2.0096326842750756E-2</c:v>
                </c:pt>
                <c:pt idx="1941">
                  <c:v>2.0527778731359803E-2</c:v>
                </c:pt>
                <c:pt idx="1942">
                  <c:v>2.0958786739424973E-2</c:v>
                </c:pt>
                <c:pt idx="1943">
                  <c:v>2.1389351551595048E-2</c:v>
                </c:pt>
                <c:pt idx="1944">
                  <c:v>2.1819473851111493E-2</c:v>
                </c:pt>
                <c:pt idx="1945">
                  <c:v>2.0194711587402381E-2</c:v>
                </c:pt>
                <c:pt idx="1946">
                  <c:v>2.0625005547783903E-2</c:v>
                </c:pt>
                <c:pt idx="1947">
                  <c:v>2.1054857954588613E-2</c:v>
                </c:pt>
                <c:pt idx="1948">
                  <c:v>1.943298743584787E-2</c:v>
                </c:pt>
                <c:pt idx="1949">
                  <c:v>1.9863010172380235E-2</c:v>
                </c:pt>
                <c:pt idx="1950">
                  <c:v>2.0292592311846214E-2</c:v>
                </c:pt>
                <c:pt idx="1951">
                  <c:v>2.0721734531046643E-2</c:v>
                </c:pt>
                <c:pt idx="1952">
                  <c:v>2.1150437505396358E-2</c:v>
                </c:pt>
                <c:pt idx="1953">
                  <c:v>2.1578701908928188E-2</c:v>
                </c:pt>
                <c:pt idx="1954">
                  <c:v>1.9961538639245546E-2</c:v>
                </c:pt>
                <c:pt idx="1955">
                  <c:v>2.0389972879292007E-2</c:v>
                </c:pt>
                <c:pt idx="1956">
                  <c:v>2.0817969494987487E-2</c:v>
                </c:pt>
                <c:pt idx="1957">
                  <c:v>2.1245529156506127E-2</c:v>
                </c:pt>
                <c:pt idx="1958">
                  <c:v>2.1672652532656045E-2</c:v>
                </c:pt>
                <c:pt idx="1959">
                  <c:v>2.2099340290880232E-2</c:v>
                </c:pt>
                <c:pt idx="1960">
                  <c:v>2.0486857113570789E-2</c:v>
                </c:pt>
                <c:pt idx="1961">
                  <c:v>2.0913714214588097E-2</c:v>
                </c:pt>
                <c:pt idx="1962">
                  <c:v>2.1340136634239393E-2</c:v>
                </c:pt>
                <c:pt idx="1963">
                  <c:v>2.1766125036160933E-2</c:v>
                </c:pt>
                <c:pt idx="1964">
                  <c:v>2.2191680082638054E-2</c:v>
                </c:pt>
                <c:pt idx="1965">
                  <c:v>2.2616802434609617E-2</c:v>
                </c:pt>
                <c:pt idx="1966">
                  <c:v>2.3041492751670223E-2</c:v>
                </c:pt>
                <c:pt idx="1967">
                  <c:v>2.3465751692075987E-2</c:v>
                </c:pt>
                <c:pt idx="1968">
                  <c:v>2.3889579912744985E-2</c:v>
                </c:pt>
                <c:pt idx="1969">
                  <c:v>2.4312978069263025E-2</c:v>
                </c:pt>
                <c:pt idx="1970">
                  <c:v>2.4735946815886312E-2</c:v>
                </c:pt>
                <c:pt idx="1971">
                  <c:v>2.5158486805544111E-2</c:v>
                </c:pt>
                <c:pt idx="1972">
                  <c:v>2.5580598689842304E-2</c:v>
                </c:pt>
                <c:pt idx="1973">
                  <c:v>2.6002283119067826E-2</c:v>
                </c:pt>
                <c:pt idx="1974">
                  <c:v>2.6423540742190887E-2</c:v>
                </c:pt>
                <c:pt idx="1975">
                  <c:v>2.6844372206868528E-2</c:v>
                </c:pt>
                <c:pt idx="1976">
                  <c:v>2.726477815944861E-2</c:v>
                </c:pt>
                <c:pt idx="1977">
                  <c:v>2.7684759244972046E-2</c:v>
                </c:pt>
                <c:pt idx="1978">
                  <c:v>2.8104316107176786E-2</c:v>
                </c:pt>
                <c:pt idx="1979">
                  <c:v>2.8523449388500488E-2</c:v>
                </c:pt>
                <c:pt idx="1980">
                  <c:v>2.8942159730085848E-2</c:v>
                </c:pt>
                <c:pt idx="1981">
                  <c:v>2.9360447771780152E-2</c:v>
                </c:pt>
                <c:pt idx="1982">
                  <c:v>2.9778314152142382E-2</c:v>
                </c:pt>
                <c:pt idx="1983">
                  <c:v>3.0195759508443665E-2</c:v>
                </c:pt>
                <c:pt idx="1984">
                  <c:v>3.061278447667215E-2</c:v>
                </c:pt>
                <c:pt idx="1985">
                  <c:v>3.102938969153568E-2</c:v>
                </c:pt>
                <c:pt idx="1986">
                  <c:v>3.1445575786464453E-2</c:v>
                </c:pt>
                <c:pt idx="1987">
                  <c:v>3.186134339361546E-2</c:v>
                </c:pt>
                <c:pt idx="1988">
                  <c:v>3.2276693143875157E-2</c:v>
                </c:pt>
                <c:pt idx="1989">
                  <c:v>3.2691625666861679E-2</c:v>
                </c:pt>
                <c:pt idx="1990">
                  <c:v>3.3106141590929727E-2</c:v>
                </c:pt>
                <c:pt idx="1991">
                  <c:v>3.3520241543172347E-2</c:v>
                </c:pt>
                <c:pt idx="1992">
                  <c:v>3.3933926149424476E-2</c:v>
                </c:pt>
                <c:pt idx="1993">
                  <c:v>3.2342183502938493E-2</c:v>
                </c:pt>
                <c:pt idx="1994">
                  <c:v>3.2756043804996526E-2</c:v>
                </c:pt>
                <c:pt idx="1995">
                  <c:v>3.3169489625028969E-2</c:v>
                </c:pt>
                <c:pt idx="1996">
                  <c:v>3.3582521585381997E-2</c:v>
                </c:pt>
                <c:pt idx="1997">
                  <c:v>3.3995140307155225E-2</c:v>
                </c:pt>
                <c:pt idx="1998">
                  <c:v>3.440734641020704E-2</c:v>
                </c:pt>
                <c:pt idx="1999">
                  <c:v>3.4819140513155489E-2</c:v>
                </c:pt>
                <c:pt idx="2000">
                  <c:v>3.5230523233383604E-2</c:v>
                </c:pt>
                <c:pt idx="2001">
                  <c:v>3.3644490693781393E-2</c:v>
                </c:pt>
                <c:pt idx="2002">
                  <c:v>3.4056049005017464E-2</c:v>
                </c:pt>
                <c:pt idx="2003">
                  <c:v>3.4467196784271792E-2</c:v>
                </c:pt>
                <c:pt idx="2004">
                  <c:v>3.2883916699339544E-2</c:v>
                </c:pt>
                <c:pt idx="2005">
                  <c:v>3.3295238786888337E-2</c:v>
                </c:pt>
                <c:pt idx="2006">
                  <c:v>3.3706151191083222E-2</c:v>
                </c:pt>
                <c:pt idx="2007">
                  <c:v>3.4116654523696166E-2</c:v>
                </c:pt>
                <c:pt idx="2008">
                  <c:v>3.2536699644037714E-2</c:v>
                </c:pt>
                <c:pt idx="2009">
                  <c:v>3.2947376246109439E-2</c:v>
                </c:pt>
                <c:pt idx="2010">
                  <c:v>3.1369573050366029E-2</c:v>
                </c:pt>
                <c:pt idx="2011">
                  <c:v>3.1780421422626048E-2</c:v>
                </c:pt>
                <c:pt idx="2012">
                  <c:v>3.2190861802460891E-2</c:v>
                </c:pt>
                <c:pt idx="2013">
                  <c:v>3.260089479730377E-2</c:v>
                </c:pt>
                <c:pt idx="2014">
                  <c:v>3.3010521013381311E-2</c:v>
                </c:pt>
                <c:pt idx="2015">
                  <c:v>3.3419741055720209E-2</c:v>
                </c:pt>
                <c:pt idx="2016">
                  <c:v>3.3828555528145454E-2</c:v>
                </c:pt>
                <c:pt idx="2017">
                  <c:v>3.4236965033287436E-2</c:v>
                </c:pt>
                <c:pt idx="2018">
                  <c:v>3.4644970172583278E-2</c:v>
                </c:pt>
                <c:pt idx="2019">
                  <c:v>3.5052571546278166E-2</c:v>
                </c:pt>
                <c:pt idx="2020">
                  <c:v>3.5459769753431569E-2</c:v>
                </c:pt>
                <c:pt idx="2021">
                  <c:v>3.5866565391917238E-2</c:v>
                </c:pt>
                <c:pt idx="2022">
                  <c:v>3.4296674473448086E-2</c:v>
                </c:pt>
                <c:pt idx="2023">
                  <c:v>3.4703642706503057E-2</c:v>
                </c:pt>
                <c:pt idx="2024">
                  <c:v>3.5110209194017195E-2</c:v>
                </c:pt>
                <c:pt idx="2025">
                  <c:v>3.5516374530581984E-2</c:v>
                </c:pt>
                <c:pt idx="2026">
                  <c:v>3.5922139309615186E-2</c:v>
                </c:pt>
                <c:pt idx="2027">
                  <c:v>3.6327504123366161E-2</c:v>
                </c:pt>
                <c:pt idx="2028">
                  <c:v>3.6732469562916314E-2</c:v>
                </c:pt>
                <c:pt idx="2029">
                  <c:v>3.7137036218183095E-2</c:v>
                </c:pt>
                <c:pt idx="2030">
                  <c:v>3.7541204677923545E-2</c:v>
                </c:pt>
                <c:pt idx="2031">
                  <c:v>3.7944975529734748E-2</c:v>
                </c:pt>
                <c:pt idx="2032">
                  <c:v>3.8348349360059597E-2</c:v>
                </c:pt>
                <c:pt idx="2033">
                  <c:v>3.8751326754187243E-2</c:v>
                </c:pt>
                <c:pt idx="2034">
                  <c:v>3.7189271754018094E-2</c:v>
                </c:pt>
                <c:pt idx="2035">
                  <c:v>3.5628750435734435E-2</c:v>
                </c:pt>
                <c:pt idx="2036">
                  <c:v>3.6032469079490426E-2</c:v>
                </c:pt>
                <c:pt idx="2037">
                  <c:v>3.6435791726538547E-2</c:v>
                </c:pt>
                <c:pt idx="2038">
                  <c:v>3.6838718959226302E-2</c:v>
                </c:pt>
                <c:pt idx="2039">
                  <c:v>3.7241251358761662E-2</c:v>
                </c:pt>
                <c:pt idx="2040">
                  <c:v>3.7643389505211733E-2</c:v>
                </c:pt>
                <c:pt idx="2041">
                  <c:v>3.6087228935904214E-2</c:v>
                </c:pt>
                <c:pt idx="2042">
                  <c:v>3.6489538191028625E-2</c:v>
                </c:pt>
                <c:pt idx="2043">
                  <c:v>3.6891453989669198E-2</c:v>
                </c:pt>
                <c:pt idx="2044">
                  <c:v>3.7292976908740449E-2</c:v>
                </c:pt>
                <c:pt idx="2045">
                  <c:v>3.7694107524032017E-2</c:v>
                </c:pt>
                <c:pt idx="2046">
                  <c:v>3.8094846410206884E-2</c:v>
                </c:pt>
                <c:pt idx="2047">
                  <c:v>3.8495194140807154E-2</c:v>
                </c:pt>
                <c:pt idx="2048">
                  <c:v>3.8895151288255825E-2</c:v>
                </c:pt>
                <c:pt idx="2049">
                  <c:v>3.9294718423858566E-2</c:v>
                </c:pt>
                <c:pt idx="2050">
                  <c:v>3.9693896117809047E-2</c:v>
                </c:pt>
                <c:pt idx="2051">
                  <c:v>4.0092684939188938E-2</c:v>
                </c:pt>
                <c:pt idx="2052">
                  <c:v>4.0491085455971465E-2</c:v>
                </c:pt>
                <c:pt idx="2053">
                  <c:v>3.8942626215559883E-2</c:v>
                </c:pt>
                <c:pt idx="2054">
                  <c:v>3.9341198550284506E-2</c:v>
                </c:pt>
                <c:pt idx="2055">
                  <c:v>3.9739383357217051E-2</c:v>
                </c:pt>
                <c:pt idx="2056">
                  <c:v>4.0137181201266081E-2</c:v>
                </c:pt>
                <c:pt idx="2057">
                  <c:v>4.0534592646243706E-2</c:v>
                </c:pt>
                <c:pt idx="2058">
                  <c:v>4.0931618254866908E-2</c:v>
                </c:pt>
                <c:pt idx="2059">
                  <c:v>4.1328258588761102E-2</c:v>
                </c:pt>
                <c:pt idx="2060">
                  <c:v>4.1724514208461017E-2</c:v>
                </c:pt>
                <c:pt idx="2061">
                  <c:v>4.2120385673415583E-2</c:v>
                </c:pt>
                <c:pt idx="2062">
                  <c:v>4.2515873541989713E-2</c:v>
                </c:pt>
                <c:pt idx="2063">
                  <c:v>4.2910978371466069E-2</c:v>
                </c:pt>
                <c:pt idx="2064">
                  <c:v>4.3305700718048179E-2</c:v>
                </c:pt>
                <c:pt idx="2065">
                  <c:v>4.1764869390371384E-2</c:v>
                </c:pt>
                <c:pt idx="2066">
                  <c:v>4.0225528228388541E-2</c:v>
                </c:pt>
                <c:pt idx="2067">
                  <c:v>3.8687675071396033E-2</c:v>
                </c:pt>
                <c:pt idx="2068">
                  <c:v>3.9083674912622435E-2</c:v>
                </c:pt>
                <c:pt idx="2069">
                  <c:v>3.9479292330052207E-2</c:v>
                </c:pt>
                <c:pt idx="2070">
                  <c:v>3.9874527877388211E-2</c:v>
                </c:pt>
                <c:pt idx="2071">
                  <c:v>4.0269382107264384E-2</c:v>
                </c:pt>
                <c:pt idx="2072">
                  <c:v>4.0663855571248408E-2</c:v>
                </c:pt>
                <c:pt idx="2073">
                  <c:v>3.9130237976471971E-2</c:v>
                </c:pt>
                <c:pt idx="2074">
                  <c:v>3.9524880128896545E-2</c:v>
                </c:pt>
                <c:pt idx="2075">
                  <c:v>3.7993287671641784E-2</c:v>
                </c:pt>
                <c:pt idx="2076">
                  <c:v>3.838809713205471E-2</c:v>
                </c:pt>
                <c:pt idx="2077">
                  <c:v>3.8782526785387184E-2</c:v>
                </c:pt>
                <c:pt idx="2078">
                  <c:v>3.9176577179437455E-2</c:v>
                </c:pt>
                <c:pt idx="2079">
                  <c:v>3.9570248860951729E-2</c:v>
                </c:pt>
                <c:pt idx="2080">
                  <c:v>3.9963542375624606E-2</c:v>
                </c:pt>
                <c:pt idx="2081">
                  <c:v>4.0356458268103967E-2</c:v>
                </c:pt>
                <c:pt idx="2082">
                  <c:v>4.0748997081991867E-2</c:v>
                </c:pt>
                <c:pt idx="2083">
                  <c:v>4.114115935984719E-2</c:v>
                </c:pt>
                <c:pt idx="2084">
                  <c:v>3.9615400101482123E-2</c:v>
                </c:pt>
                <c:pt idx="2085">
                  <c:v>4.0007729735554332E-2</c:v>
                </c:pt>
                <c:pt idx="2086">
                  <c:v>3.8483974762697493E-2</c:v>
                </c:pt>
                <c:pt idx="2087">
                  <c:v>3.8876470392973594E-2</c:v>
                </c:pt>
                <c:pt idx="2088">
                  <c:v>3.7354714831259628E-2</c:v>
                </c:pt>
                <c:pt idx="2089">
                  <c:v>3.7747375104611347E-2</c:v>
                </c:pt>
                <c:pt idx="2090">
                  <c:v>3.6227614096631555E-2</c:v>
                </c:pt>
                <c:pt idx="2091">
                  <c:v>3.6620437666776251E-2</c:v>
                </c:pt>
                <c:pt idx="2092">
                  <c:v>3.7012886047265159E-2</c:v>
                </c:pt>
                <c:pt idx="2093">
                  <c:v>3.7404959775361846E-2</c:v>
                </c:pt>
                <c:pt idx="2094">
                  <c:v>3.7796659387306253E-2</c:v>
                </c:pt>
                <c:pt idx="2095">
                  <c:v>3.8187985418313808E-2</c:v>
                </c:pt>
                <c:pt idx="2096">
                  <c:v>3.8578938402580754E-2</c:v>
                </c:pt>
                <c:pt idx="2097">
                  <c:v>3.7063849506919766E-2</c:v>
                </c:pt>
                <c:pt idx="2098">
                  <c:v>3.7454965457826006E-2</c:v>
                </c:pt>
                <c:pt idx="2099">
                  <c:v>3.784570909464291E-2</c:v>
                </c:pt>
                <c:pt idx="2100">
                  <c:v>3.8236080948741424E-2</c:v>
                </c:pt>
                <c:pt idx="2101">
                  <c:v>3.8626081550482638E-2</c:v>
                </c:pt>
                <c:pt idx="2102">
                  <c:v>3.9015711429218225E-2</c:v>
                </c:pt>
                <c:pt idx="2103">
                  <c:v>3.75047335836034E-2</c:v>
                </c:pt>
                <c:pt idx="2104">
                  <c:v>3.7894525897386178E-2</c:v>
                </c:pt>
                <c:pt idx="2105">
                  <c:v>3.8283948213718944E-2</c:v>
                </c:pt>
                <c:pt idx="2106">
                  <c:v>3.8673001059163159E-2</c:v>
                </c:pt>
                <c:pt idx="2107">
                  <c:v>3.9061684959282417E-2</c:v>
                </c:pt>
                <c:pt idx="2108">
                  <c:v>3.9450000438642885E-2</c:v>
                </c:pt>
                <c:pt idx="2109">
                  <c:v>3.9837948020817748E-2</c:v>
                </c:pt>
                <c:pt idx="2110">
                  <c:v>4.0225528228388541E-2</c:v>
                </c:pt>
                <c:pt idx="2111">
                  <c:v>4.0612741582946921E-2</c:v>
                </c:pt>
                <c:pt idx="2112">
                  <c:v>3.9107441017586453E-2</c:v>
                </c:pt>
                <c:pt idx="2113">
                  <c:v>3.7603563904296866E-2</c:v>
                </c:pt>
                <c:pt idx="2114">
                  <c:v>3.7991467393193812E-2</c:v>
                </c:pt>
                <c:pt idx="2115">
                  <c:v>3.8379004416820184E-2</c:v>
                </c:pt>
                <c:pt idx="2116">
                  <c:v>3.8766175494248323E-2</c:v>
                </c:pt>
                <c:pt idx="2117">
                  <c:v>3.7265298274293812E-2</c:v>
                </c:pt>
                <c:pt idx="2118">
                  <c:v>3.7652629429074658E-2</c:v>
                </c:pt>
                <c:pt idx="2119">
                  <c:v>3.8039595349386612E-2</c:v>
                </c:pt>
                <c:pt idx="2120">
                  <c:v>3.8426196551582859E-2</c:v>
                </c:pt>
                <c:pt idx="2121">
                  <c:v>3.6928307314587627E-2</c:v>
                </c:pt>
                <c:pt idx="2122">
                  <c:v>3.5431828519434827E-2</c:v>
                </c:pt>
                <c:pt idx="2123">
                  <c:v>3.5819111116089264E-2</c:v>
                </c:pt>
                <c:pt idx="2124">
                  <c:v>3.4324561838240619E-2</c:v>
                </c:pt>
                <c:pt idx="2125">
                  <c:v>3.4712000853084124E-2</c:v>
                </c:pt>
                <c:pt idx="2126">
                  <c:v>3.5099075733515228E-2</c:v>
                </c:pt>
                <c:pt idx="2127">
                  <c:v>3.5485786992639934E-2</c:v>
                </c:pt>
                <c:pt idx="2128">
                  <c:v>3.3994200870300695E-2</c:v>
                </c:pt>
                <c:pt idx="2129">
                  <c:v>3.4381067667832443E-2</c:v>
                </c:pt>
                <c:pt idx="2130">
                  <c:v>3.4767571550919918E-2</c:v>
                </c:pt>
                <c:pt idx="2131">
                  <c:v>3.5153713029991263E-2</c:v>
                </c:pt>
                <c:pt idx="2132">
                  <c:v>3.5539492614518053E-2</c:v>
                </c:pt>
                <c:pt idx="2133">
                  <c:v>3.5924910813017075E-2</c:v>
                </c:pt>
                <c:pt idx="2134">
                  <c:v>3.6309968133053427E-2</c:v>
                </c:pt>
                <c:pt idx="2135">
                  <c:v>3.4822882208054295E-2</c:v>
                </c:pt>
                <c:pt idx="2136">
                  <c:v>3.5208094773163001E-2</c:v>
                </c:pt>
                <c:pt idx="2137">
                  <c:v>3.5592947158220145E-2</c:v>
                </c:pt>
                <c:pt idx="2138">
                  <c:v>3.5977439868150718E-2</c:v>
                </c:pt>
                <c:pt idx="2139">
                  <c:v>3.6361573406937353E-2</c:v>
                </c:pt>
                <c:pt idx="2140">
                  <c:v>3.6745348277620327E-2</c:v>
                </c:pt>
                <c:pt idx="2141">
                  <c:v>3.5262222751784034E-2</c:v>
                </c:pt>
                <c:pt idx="2142">
                  <c:v>3.5646152380356178E-2</c:v>
                </c:pt>
                <c:pt idx="2143">
                  <c:v>3.6029724032584642E-2</c:v>
                </c:pt>
                <c:pt idx="2144">
                  <c:v>3.6412938208902013E-2</c:v>
                </c:pt>
                <c:pt idx="2145">
                  <c:v>3.6795795408809617E-2</c:v>
                </c:pt>
                <c:pt idx="2146">
                  <c:v>3.7178296130877087E-2</c:v>
                </c:pt>
                <c:pt idx="2147">
                  <c:v>3.5699110021188751E-2</c:v>
                </c:pt>
                <c:pt idx="2148">
                  <c:v>3.6081765014857936E-2</c:v>
                </c:pt>
                <c:pt idx="2149">
                  <c:v>3.6464064215878444E-2</c:v>
                </c:pt>
                <c:pt idx="2150">
                  <c:v>3.6846008120244189E-2</c:v>
                </c:pt>
                <c:pt idx="2151">
                  <c:v>3.7227597223026265E-2</c:v>
                </c:pt>
                <c:pt idx="2152">
                  <c:v>3.7608832018377836E-2</c:v>
                </c:pt>
                <c:pt idx="2153">
                  <c:v>3.6133564507654814E-2</c:v>
                </c:pt>
                <c:pt idx="2154">
                  <c:v>3.651495308924213E-2</c:v>
                </c:pt>
                <c:pt idx="2155">
                  <c:v>3.6895988042103145E-2</c:v>
                </c:pt>
                <c:pt idx="2156">
                  <c:v>3.7276669857843725E-2</c:v>
                </c:pt>
                <c:pt idx="2157">
                  <c:v>3.7656999027159355E-2</c:v>
                </c:pt>
                <c:pt idx="2158">
                  <c:v>3.8036976039836468E-2</c:v>
                </c:pt>
                <c:pt idx="2159">
                  <c:v>3.8416601384755555E-2</c:v>
                </c:pt>
                <c:pt idx="2160">
                  <c:v>3.87958755498925E-2</c:v>
                </c:pt>
                <c:pt idx="2161">
                  <c:v>3.9174799022319906E-2</c:v>
                </c:pt>
                <c:pt idx="2162">
                  <c:v>3.9553372288210653E-2</c:v>
                </c:pt>
                <c:pt idx="2163">
                  <c:v>3.9931595832839673E-2</c:v>
                </c:pt>
                <c:pt idx="2164">
                  <c:v>4.030947014058528E-2</c:v>
                </c:pt>
                <c:pt idx="2165">
                  <c:v>4.0686995694932282E-2</c:v>
                </c:pt>
                <c:pt idx="2166">
                  <c:v>4.1064172978472424E-2</c:v>
                </c:pt>
                <c:pt idx="2167">
                  <c:v>4.1441002472908384E-2</c:v>
                </c:pt>
                <c:pt idx="2168">
                  <c:v>4.181748465905466E-2</c:v>
                </c:pt>
                <c:pt idx="2169">
                  <c:v>4.0351151108502403E-2</c:v>
                </c:pt>
                <c:pt idx="2170">
                  <c:v>3.8886167773006353E-2</c:v>
                </c:pt>
                <c:pt idx="2171">
                  <c:v>3.9263305913197932E-2</c:v>
                </c:pt>
                <c:pt idx="2172">
                  <c:v>3.964009710017935E-2</c:v>
                </c:pt>
                <c:pt idx="2173">
                  <c:v>4.0016541812505579E-2</c:v>
                </c:pt>
                <c:pt idx="2174">
                  <c:v>4.0392640527854073E-2</c:v>
                </c:pt>
                <c:pt idx="2175">
                  <c:v>3.8931002818107796E-2</c:v>
                </c:pt>
                <c:pt idx="2176">
                  <c:v>3.9307254582842344E-2</c:v>
                </c:pt>
                <c:pt idx="2177">
                  <c:v>3.9683161004057332E-2</c:v>
                </c:pt>
                <c:pt idx="2178">
                  <c:v>4.0058722556995718E-2</c:v>
                </c:pt>
                <c:pt idx="2179">
                  <c:v>4.0433939716030043E-2</c:v>
                </c:pt>
                <c:pt idx="2180">
                  <c:v>3.8975632386375469E-2</c:v>
                </c:pt>
                <c:pt idx="2181">
                  <c:v>3.9351001930133744E-2</c:v>
                </c:pt>
                <c:pt idx="2182">
                  <c:v>3.9726027728888003E-2</c:v>
                </c:pt>
                <c:pt idx="2183">
                  <c:v>4.0100710254600269E-2</c:v>
                </c:pt>
                <c:pt idx="2184">
                  <c:v>4.0475049978367927E-2</c:v>
                </c:pt>
                <c:pt idx="2185">
                  <c:v>4.0849047370426383E-2</c:v>
                </c:pt>
                <c:pt idx="2186">
                  <c:v>4.1222702900152175E-2</c:v>
                </c:pt>
                <c:pt idx="2187">
                  <c:v>4.1596017036063415E-2</c:v>
                </c:pt>
                <c:pt idx="2188">
                  <c:v>4.0142506227558439E-2</c:v>
                </c:pt>
                <c:pt idx="2189">
                  <c:v>4.0515972608289985E-2</c:v>
                </c:pt>
                <c:pt idx="2190">
                  <c:v>4.0889098235024512E-2</c:v>
                </c:pt>
                <c:pt idx="2191">
                  <c:v>4.1261883573909586E-2</c:v>
                </c:pt>
                <c:pt idx="2192">
                  <c:v>4.1634329090243227E-2</c:v>
                </c:pt>
                <c:pt idx="2193">
                  <c:v>4.0184111786061294E-2</c:v>
                </c:pt>
                <c:pt idx="2194">
                  <c:v>4.055670888743812E-2</c:v>
                </c:pt>
                <c:pt idx="2195">
                  <c:v>4.0928966801649924E-2</c:v>
                </c:pt>
                <c:pt idx="2196">
                  <c:v>4.1300885991644609E-2</c:v>
                </c:pt>
                <c:pt idx="2197">
                  <c:v>4.1672466919529416E-2</c:v>
                </c:pt>
                <c:pt idx="2198">
                  <c:v>4.2043710046570482E-2</c:v>
                </c:pt>
                <c:pt idx="2199">
                  <c:v>4.0597260085808884E-2</c:v>
                </c:pt>
                <c:pt idx="2200">
                  <c:v>4.0968654312114161E-2</c:v>
                </c:pt>
                <c:pt idx="2201">
                  <c:v>4.1339711367083698E-2</c:v>
                </c:pt>
                <c:pt idx="2202">
                  <c:v>4.1710431709662377E-2</c:v>
                </c:pt>
                <c:pt idx="2203">
                  <c:v>4.0266756841045748E-2</c:v>
                </c:pt>
                <c:pt idx="2204">
                  <c:v>3.8824390834504285E-2</c:v>
                </c:pt>
                <c:pt idx="2205">
                  <c:v>3.7383331910886497E-2</c:v>
                </c:pt>
                <c:pt idx="2206">
                  <c:v>3.7755172497163425E-2</c:v>
                </c:pt>
                <c:pt idx="2207">
                  <c:v>3.6315902317857418E-2</c:v>
                </c:pt>
                <c:pt idx="2208">
                  <c:v>3.4877934645500819E-2</c:v>
                </c:pt>
                <c:pt idx="2209">
                  <c:v>3.5250403850279444E-2</c:v>
                </c:pt>
                <c:pt idx="2210">
                  <c:v>3.3814218019609932E-2</c:v>
                </c:pt>
                <c:pt idx="2211">
                  <c:v>3.2379330142696894E-2</c:v>
                </c:pt>
                <c:pt idx="2212">
                  <c:v>3.0945738460793848E-2</c:v>
                </c:pt>
                <c:pt idx="2213">
                  <c:v>3.1319310292825531E-2</c:v>
                </c:pt>
                <c:pt idx="2214">
                  <c:v>3.1692544966163361E-2</c:v>
                </c:pt>
                <c:pt idx="2215">
                  <c:v>3.2065442937045052E-2</c:v>
                </c:pt>
                <c:pt idx="2216">
                  <c:v>3.2438004660883202E-2</c:v>
                </c:pt>
                <c:pt idx="2217">
                  <c:v>3.2810230592271061E-2</c:v>
                </c:pt>
                <c:pt idx="2218">
                  <c:v>3.318212118498165E-2</c:v>
                </c:pt>
                <c:pt idx="2219">
                  <c:v>3.3553676891971751E-2</c:v>
                </c:pt>
                <c:pt idx="2220">
                  <c:v>3.3924898165382356E-2</c:v>
                </c:pt>
                <c:pt idx="2221">
                  <c:v>3.4295785456540884E-2</c:v>
                </c:pt>
                <c:pt idx="2222">
                  <c:v>3.2867778064883169E-2</c:v>
                </c:pt>
                <c:pt idx="2223">
                  <c:v>3.1441054275375357E-2</c:v>
                </c:pt>
                <c:pt idx="2224">
                  <c:v>3.0015612358095467E-2</c:v>
                </c:pt>
                <c:pt idx="2225">
                  <c:v>3.0387588888877826E-2</c:v>
                </c:pt>
                <c:pt idx="2226">
                  <c:v>3.0759231508949991E-2</c:v>
                </c:pt>
                <c:pt idx="2227">
                  <c:v>3.1130540667721363E-2</c:v>
                </c:pt>
                <c:pt idx="2228">
                  <c:v>3.1501516813794428E-2</c:v>
                </c:pt>
                <c:pt idx="2229">
                  <c:v>3.1872160394966986E-2</c:v>
                </c:pt>
                <c:pt idx="2230">
                  <c:v>3.22424718582357E-2</c:v>
                </c:pt>
                <c:pt idx="2231">
                  <c:v>3.261245164979476E-2</c:v>
                </c:pt>
                <c:pt idx="2232">
                  <c:v>3.2982100215041221E-2</c:v>
                </c:pt>
                <c:pt idx="2233">
                  <c:v>3.3351417998573663E-2</c:v>
                </c:pt>
                <c:pt idx="2234">
                  <c:v>3.3720405444196189E-2</c:v>
                </c:pt>
                <c:pt idx="2235">
                  <c:v>3.4089062994918429E-2</c:v>
                </c:pt>
                <c:pt idx="2236">
                  <c:v>3.4457391092959533E-2</c:v>
                </c:pt>
                <c:pt idx="2237">
                  <c:v>3.482539017974684E-2</c:v>
                </c:pt>
                <c:pt idx="2238">
                  <c:v>3.3407346410206706E-2</c:v>
                </c:pt>
                <c:pt idx="2239">
                  <c:v>3.3775485633767754E-2</c:v>
                </c:pt>
                <c:pt idx="2240">
                  <c:v>3.4143296454809846E-2</c:v>
                </c:pt>
                <c:pt idx="2241">
                  <c:v>3.4510779312569628E-2</c:v>
                </c:pt>
                <c:pt idx="2242">
                  <c:v>3.4877934645500819E-2</c:v>
                </c:pt>
                <c:pt idx="2243">
                  <c:v>3.5244762891275982E-2</c:v>
                </c:pt>
                <c:pt idx="2244">
                  <c:v>3.561126448678742E-2</c:v>
                </c:pt>
                <c:pt idx="2245">
                  <c:v>3.5977439868150718E-2</c:v>
                </c:pt>
                <c:pt idx="2246">
                  <c:v>3.6343289470705198E-2</c:v>
                </c:pt>
                <c:pt idx="2247">
                  <c:v>3.6708813729015244E-2</c:v>
                </c:pt>
                <c:pt idx="2248">
                  <c:v>3.7074013076873413E-2</c:v>
                </c:pt>
                <c:pt idx="2249">
                  <c:v>3.7438887947301325E-2</c:v>
                </c:pt>
                <c:pt idx="2250">
                  <c:v>3.7803438772551434E-2</c:v>
                </c:pt>
                <c:pt idx="2251">
                  <c:v>3.6392255420415687E-2</c:v>
                </c:pt>
                <c:pt idx="2252">
                  <c:v>3.6756947120056171E-2</c:v>
                </c:pt>
                <c:pt idx="2253">
                  <c:v>3.7121315368078278E-2</c:v>
                </c:pt>
                <c:pt idx="2254">
                  <c:v>3.7485360594604167E-2</c:v>
                </c:pt>
                <c:pt idx="2255">
                  <c:v>3.7849083228993052E-2</c:v>
                </c:pt>
                <c:pt idx="2256">
                  <c:v>3.8212483699843869E-2</c:v>
                </c:pt>
                <c:pt idx="2257">
                  <c:v>3.8575562434996602E-2</c:v>
                </c:pt>
                <c:pt idx="2258">
                  <c:v>3.8938319861534509E-2</c:v>
                </c:pt>
                <c:pt idx="2259">
                  <c:v>3.9300756405784121E-2</c:v>
                </c:pt>
                <c:pt idx="2260">
                  <c:v>3.7894525897386178E-2</c:v>
                </c:pt>
                <c:pt idx="2261">
                  <c:v>3.8257103369994994E-2</c:v>
                </c:pt>
                <c:pt idx="2262">
                  <c:v>3.8619360544482451E-2</c:v>
                </c:pt>
                <c:pt idx="2263">
                  <c:v>3.8981297845085638E-2</c:v>
                </c:pt>
                <c:pt idx="2264">
                  <c:v>3.9342915695290692E-2</c:v>
                </c:pt>
                <c:pt idx="2265">
                  <c:v>3.9704214517838121E-2</c:v>
                </c:pt>
                <c:pt idx="2266">
                  <c:v>3.8301526304386879E-2</c:v>
                </c:pt>
                <c:pt idx="2267">
                  <c:v>3.8662965625720247E-2</c:v>
                </c:pt>
                <c:pt idx="2268">
                  <c:v>3.902408649831246E-2</c:v>
                </c:pt>
                <c:pt idx="2269">
                  <c:v>3.762355072548651E-2</c:v>
                </c:pt>
                <c:pt idx="2270">
                  <c:v>3.7984811198939372E-2</c:v>
                </c:pt>
                <c:pt idx="2271">
                  <c:v>3.8345753801320104E-2</c:v>
                </c:pt>
                <c:pt idx="2272">
                  <c:v>3.8706378951983478E-2</c:v>
                </c:pt>
                <c:pt idx="2273">
                  <c:v>3.9066687069547523E-2</c:v>
                </c:pt>
                <c:pt idx="2274">
                  <c:v>3.9426678571893969E-2</c:v>
                </c:pt>
                <c:pt idx="2275">
                  <c:v>3.978635387617091E-2</c:v>
                </c:pt>
                <c:pt idx="2276">
                  <c:v>3.838978714769592E-2</c:v>
                </c:pt>
                <c:pt idx="2277">
                  <c:v>3.8749601785371457E-2</c:v>
                </c:pt>
                <c:pt idx="2278">
                  <c:v>3.9109100796171692E-2</c:v>
                </c:pt>
                <c:pt idx="2279">
                  <c:v>3.9468284595213454E-2</c:v>
                </c:pt>
                <c:pt idx="2280">
                  <c:v>3.9827153596885267E-2</c:v>
                </c:pt>
                <c:pt idx="2281">
                  <c:v>4.0185708214850013E-2</c:v>
                </c:pt>
                <c:pt idx="2282">
                  <c:v>4.054394886204582E-2</c:v>
                </c:pt>
                <c:pt idx="2283">
                  <c:v>3.9151328904736271E-2</c:v>
                </c:pt>
                <c:pt idx="2284">
                  <c:v>3.9509708614931416E-2</c:v>
                </c:pt>
                <c:pt idx="2285">
                  <c:v>3.8118758740770975E-2</c:v>
                </c:pt>
                <c:pt idx="2286">
                  <c:v>3.8477276480136879E-2</c:v>
                </c:pt>
                <c:pt idx="2287">
                  <c:v>3.8835480966781688E-2</c:v>
                </c:pt>
                <c:pt idx="2288">
                  <c:v>3.9193372611080246E-2</c:v>
                </c:pt>
                <c:pt idx="2289">
                  <c:v>3.9550951822690639E-2</c:v>
                </c:pt>
                <c:pt idx="2290">
                  <c:v>3.8163018312475483E-2</c:v>
                </c:pt>
                <c:pt idx="2291">
                  <c:v>3.8520734984127447E-2</c:v>
                </c:pt>
                <c:pt idx="2292">
                  <c:v>3.887813978422594E-2</c:v>
                </c:pt>
                <c:pt idx="2293">
                  <c:v>3.9235233120446633E-2</c:v>
                </c:pt>
                <c:pt idx="2294">
                  <c:v>3.9592015399753766E-2</c:v>
                </c:pt>
                <c:pt idx="2295">
                  <c:v>3.9948487028404589E-2</c:v>
                </c:pt>
                <c:pt idx="2296">
                  <c:v>4.0304648411947586E-2</c:v>
                </c:pt>
                <c:pt idx="2297">
                  <c:v>4.066049995522647E-2</c:v>
                </c:pt>
                <c:pt idx="2298">
                  <c:v>4.1016042062380631E-2</c:v>
                </c:pt>
                <c:pt idx="2299">
                  <c:v>4.1371275136847352E-2</c:v>
                </c:pt>
                <c:pt idx="2300">
                  <c:v>3.9988580120024597E-2</c:v>
                </c:pt>
                <c:pt idx="2301">
                  <c:v>4.0343950839212717E-2</c:v>
                </c:pt>
                <c:pt idx="2302">
                  <c:v>3.8962901965762242E-2</c:v>
                </c:pt>
                <c:pt idx="2303">
                  <c:v>3.9318409316931202E-2</c:v>
                </c:pt>
                <c:pt idx="2304">
                  <c:v>3.7939002958342183E-2</c:v>
                </c:pt>
                <c:pt idx="2305">
                  <c:v>3.8294645933397042E-2</c:v>
                </c:pt>
                <c:pt idx="2306">
                  <c:v>3.6916878472598391E-2</c:v>
                </c:pt>
                <c:pt idx="2307">
                  <c:v>3.7272656068067622E-2</c:v>
                </c:pt>
                <c:pt idx="2308">
                  <c:v>3.7628125630986275E-2</c:v>
                </c:pt>
                <c:pt idx="2309">
                  <c:v>3.6252435116394643E-2</c:v>
                </c:pt>
                <c:pt idx="2310">
                  <c:v>3.6608038451729552E-2</c:v>
                </c:pt>
                <c:pt idx="2311">
                  <c:v>3.6963334304715989E-2</c:v>
                </c:pt>
                <c:pt idx="2312">
                  <c:v>3.731832307399241E-2</c:v>
                </c:pt>
                <c:pt idx="2313">
                  <c:v>3.7673005157507156E-2</c:v>
                </c:pt>
                <c:pt idx="2314">
                  <c:v>3.8027380952521117E-2</c:v>
                </c:pt>
                <c:pt idx="2315">
                  <c:v>3.8381450855610399E-2</c:v>
                </c:pt>
                <c:pt idx="2316">
                  <c:v>3.8735215262665879E-2</c:v>
                </c:pt>
                <c:pt idx="2317">
                  <c:v>3.9088674568895865E-2</c:v>
                </c:pt>
                <c:pt idx="2318">
                  <c:v>3.9441829168827436E-2</c:v>
                </c:pt>
                <c:pt idx="2319">
                  <c:v>3.9794679456307769E-2</c:v>
                </c:pt>
                <c:pt idx="2320">
                  <c:v>4.0147225824505028E-2</c:v>
                </c:pt>
                <c:pt idx="2321">
                  <c:v>4.0499468665910587E-2</c:v>
                </c:pt>
                <c:pt idx="2322">
                  <c:v>4.0851408372341247E-2</c:v>
                </c:pt>
                <c:pt idx="2323">
                  <c:v>4.1203045334937904E-2</c:v>
                </c:pt>
                <c:pt idx="2324">
                  <c:v>3.9834689488452923E-2</c:v>
                </c:pt>
                <c:pt idx="2325">
                  <c:v>4.0186461150215624E-2</c:v>
                </c:pt>
                <c:pt idx="2326">
                  <c:v>3.8819717544227306E-2</c:v>
                </c:pt>
                <c:pt idx="2327">
                  <c:v>3.9171622923732219E-2</c:v>
                </c:pt>
                <c:pt idx="2328">
                  <c:v>3.9523226238533216E-2</c:v>
                </c:pt>
                <c:pt idx="2329">
                  <c:v>3.9874527877388211E-2</c:v>
                </c:pt>
                <c:pt idx="2330">
                  <c:v>4.0225528228388541E-2</c:v>
                </c:pt>
                <c:pt idx="2331">
                  <c:v>3.8861697031724152E-2</c:v>
                </c:pt>
                <c:pt idx="2332">
                  <c:v>3.9212830557593392E-2</c:v>
                </c:pt>
                <c:pt idx="2333">
                  <c:v>3.7850601228194058E-2</c:v>
                </c:pt>
                <c:pt idx="2334">
                  <c:v>3.8201866958152308E-2</c:v>
                </c:pt>
                <c:pt idx="2335">
                  <c:v>3.6841236012260747E-2</c:v>
                </c:pt>
                <c:pt idx="2336">
                  <c:v>3.7192632979924589E-2</c:v>
                </c:pt>
                <c:pt idx="2337">
                  <c:v>3.5833596944623292E-2</c:v>
                </c:pt>
                <c:pt idx="2338">
                  <c:v>3.6185124187984474E-2</c:v>
                </c:pt>
                <c:pt idx="2339">
                  <c:v>3.6536351109053733E-2</c:v>
                </c:pt>
                <c:pt idx="2340">
                  <c:v>3.6887278092529563E-2</c:v>
                </c:pt>
                <c:pt idx="2341">
                  <c:v>3.7237905522456316E-2</c:v>
                </c:pt>
                <c:pt idx="2342">
                  <c:v>3.7588233782220648E-2</c:v>
                </c:pt>
                <c:pt idx="2343">
                  <c:v>3.7938263254556404E-2</c:v>
                </c:pt>
                <c:pt idx="2344">
                  <c:v>3.8287994321545504E-2</c:v>
                </c:pt>
                <c:pt idx="2345">
                  <c:v>3.8637427364616617E-2</c:v>
                </c:pt>
                <c:pt idx="2346">
                  <c:v>3.8986562764550925E-2</c:v>
                </c:pt>
                <c:pt idx="2347">
                  <c:v>3.9335400901479911E-2</c:v>
                </c:pt>
                <c:pt idx="2348">
                  <c:v>3.9683942154887575E-2</c:v>
                </c:pt>
                <c:pt idx="2349">
                  <c:v>4.0032186903613987E-2</c:v>
                </c:pt>
                <c:pt idx="2350">
                  <c:v>4.0380135525853067E-2</c:v>
                </c:pt>
                <c:pt idx="2351">
                  <c:v>3.9027830898094695E-2</c:v>
                </c:pt>
                <c:pt idx="2352">
                  <c:v>3.7676675212245936E-2</c:v>
                </c:pt>
                <c:pt idx="2353">
                  <c:v>3.8025180805111525E-2</c:v>
                </c:pt>
                <c:pt idx="2354">
                  <c:v>3.8373390552821629E-2</c:v>
                </c:pt>
                <c:pt idx="2355">
                  <c:v>3.872130483192926E-2</c:v>
                </c:pt>
                <c:pt idx="2356">
                  <c:v>3.737257117695858E-2</c:v>
                </c:pt>
                <c:pt idx="2357">
                  <c:v>3.7720614744246816E-2</c:v>
                </c:pt>
                <c:pt idx="2358">
                  <c:v>3.8068363359359481E-2</c:v>
                </c:pt>
                <c:pt idx="2359">
                  <c:v>3.8415817397076779E-2</c:v>
                </c:pt>
                <c:pt idx="2360">
                  <c:v>3.7069497129936124E-2</c:v>
                </c:pt>
                <c:pt idx="2361">
                  <c:v>3.741707979996578E-2</c:v>
                </c:pt>
                <c:pt idx="2362">
                  <c:v>3.7764368406822957E-2</c:v>
                </c:pt>
                <c:pt idx="2363">
                  <c:v>3.811136332352616E-2</c:v>
                </c:pt>
                <c:pt idx="2364">
                  <c:v>3.8458064922463731E-2</c:v>
                </c:pt>
                <c:pt idx="2365">
                  <c:v>3.8804473575394738E-2</c:v>
                </c:pt>
                <c:pt idx="2366">
                  <c:v>3.9150589653450307E-2</c:v>
                </c:pt>
                <c:pt idx="2367">
                  <c:v>3.9496413527134067E-2</c:v>
                </c:pt>
                <c:pt idx="2368">
                  <c:v>3.984194556632481E-2</c:v>
                </c:pt>
                <c:pt idx="2369">
                  <c:v>3.8500134263433239E-2</c:v>
                </c:pt>
                <c:pt idx="2370">
                  <c:v>3.8845794976817505E-2</c:v>
                </c:pt>
                <c:pt idx="2371">
                  <c:v>3.9191164362166298E-2</c:v>
                </c:pt>
                <c:pt idx="2372">
                  <c:v>3.9536242787629128E-2</c:v>
                </c:pt>
                <c:pt idx="2373">
                  <c:v>3.9881030620733338E-2</c:v>
                </c:pt>
                <c:pt idx="2374">
                  <c:v>4.0225528228388541E-2</c:v>
                </c:pt>
                <c:pt idx="2375">
                  <c:v>4.0569735976887511E-2</c:v>
                </c:pt>
                <c:pt idx="2376">
                  <c:v>3.9231568445530662E-2</c:v>
                </c:pt>
                <c:pt idx="2377">
                  <c:v>3.957590462794558E-2</c:v>
                </c:pt>
                <c:pt idx="2378">
                  <c:v>3.991995145222349E-2</c:v>
                </c:pt>
                <c:pt idx="2379">
                  <c:v>4.0263709282949645E-2</c:v>
                </c:pt>
                <c:pt idx="2380">
                  <c:v>3.8927917358989372E-2</c:v>
                </c:pt>
                <c:pt idx="2381">
                  <c:v>3.9271802977558945E-2</c:v>
                </c:pt>
                <c:pt idx="2382">
                  <c:v>3.9615400101482123E-2</c:v>
                </c:pt>
                <c:pt idx="2383">
                  <c:v>3.9958709093645073E-2</c:v>
                </c:pt>
                <c:pt idx="2384">
                  <c:v>3.8625284381707203E-2</c:v>
                </c:pt>
                <c:pt idx="2385">
                  <c:v>3.8968720519968247E-2</c:v>
                </c:pt>
                <c:pt idx="2386">
                  <c:v>3.9311869023272106E-2</c:v>
                </c:pt>
                <c:pt idx="2387">
                  <c:v>3.9654730252818737E-2</c:v>
                </c:pt>
                <c:pt idx="2388">
                  <c:v>3.8323664401838542E-2</c:v>
                </c:pt>
                <c:pt idx="2389">
                  <c:v>3.8666652140026958E-2</c:v>
                </c:pt>
                <c:pt idx="2390">
                  <c:v>3.7337112296494723E-2</c:v>
                </c:pt>
                <c:pt idx="2391">
                  <c:v>3.7680225641297582E-2</c:v>
                </c:pt>
                <c:pt idx="2392">
                  <c:v>3.6352208565595401E-2</c:v>
                </c:pt>
                <c:pt idx="2393">
                  <c:v>3.6695446618975058E-2</c:v>
                </c:pt>
                <c:pt idx="2394">
                  <c:v>3.5368949081325596E-2</c:v>
                </c:pt>
                <c:pt idx="2395">
                  <c:v>3.5712310949214121E-2</c:v>
                </c:pt>
                <c:pt idx="2396">
                  <c:v>3.6055386443567983E-2</c:v>
                </c:pt>
                <c:pt idx="2397">
                  <c:v>3.6398175922503828E-2</c:v>
                </c:pt>
                <c:pt idx="2398">
                  <c:v>3.5074013076873634E-2</c:v>
                </c:pt>
                <c:pt idx="2399">
                  <c:v>3.5416925752147943E-2</c:v>
                </c:pt>
                <c:pt idx="2400">
                  <c:v>3.5759552904794933E-2</c:v>
                </c:pt>
                <c:pt idx="2401">
                  <c:v>3.4437308957023571E-2</c:v>
                </c:pt>
                <c:pt idx="2402">
                  <c:v>3.4780058556629356E-2</c:v>
                </c:pt>
                <c:pt idx="2403">
                  <c:v>3.5122523125383776E-2</c:v>
                </c:pt>
                <c:pt idx="2404">
                  <c:v>3.3802192627995886E-2</c:v>
                </c:pt>
                <c:pt idx="2405">
                  <c:v>3.4144778898781869E-2</c:v>
                </c:pt>
                <c:pt idx="2406">
                  <c:v>3.4487080629475919E-2</c:v>
                </c:pt>
                <c:pt idx="2407">
                  <c:v>3.3168658157820108E-2</c:v>
                </c:pt>
                <c:pt idx="2408">
                  <c:v>3.1851329812696338E-2</c:v>
                </c:pt>
                <c:pt idx="2409">
                  <c:v>3.2194156862301426E-2</c:v>
                </c:pt>
                <c:pt idx="2410">
                  <c:v>3.2536699644037714E-2</c:v>
                </c:pt>
                <c:pt idx="2411">
                  <c:v>3.1221270985424265E-2</c:v>
                </c:pt>
                <c:pt idx="2412">
                  <c:v>3.1563932988500021E-2</c:v>
                </c:pt>
                <c:pt idx="2413">
                  <c:v>3.1906311213519611E-2</c:v>
                </c:pt>
                <c:pt idx="2414">
                  <c:v>3.2248406012855835E-2</c:v>
                </c:pt>
                <c:pt idx="2415">
                  <c:v>3.2590217738299732E-2</c:v>
                </c:pt>
                <c:pt idx="2416">
                  <c:v>3.1277487022283168E-2</c:v>
                </c:pt>
                <c:pt idx="2417">
                  <c:v>3.1619417513968795E-2</c:v>
                </c:pt>
                <c:pt idx="2418">
                  <c:v>3.1961065418471435E-2</c:v>
                </c:pt>
                <c:pt idx="2419">
                  <c:v>3.065022125531236E-2</c:v>
                </c:pt>
                <c:pt idx="2420">
                  <c:v>2.9340459539851871E-2</c:v>
                </c:pt>
                <c:pt idx="2421">
                  <c:v>2.9682624990479134E-2</c:v>
                </c:pt>
                <c:pt idx="2422">
                  <c:v>3.0024508126378358E-2</c:v>
                </c:pt>
                <c:pt idx="2423">
                  <c:v>3.0366109296804833E-2</c:v>
                </c:pt>
                <c:pt idx="2424">
                  <c:v>3.0707428850437868E-2</c:v>
                </c:pt>
                <c:pt idx="2425">
                  <c:v>3.1048467135382118E-2</c:v>
                </c:pt>
                <c:pt idx="2426">
                  <c:v>2.9741778041179057E-2</c:v>
                </c:pt>
                <c:pt idx="2427">
                  <c:v>3.0082933071384321E-2</c:v>
                </c:pt>
                <c:pt idx="2428">
                  <c:v>3.0423807315556495E-2</c:v>
                </c:pt>
                <c:pt idx="2429">
                  <c:v>3.0764401120202844E-2</c:v>
                </c:pt>
                <c:pt idx="2430">
                  <c:v>3.1104714831259539E-2</c:v>
                </c:pt>
                <c:pt idx="2431">
                  <c:v>3.1444748794095201E-2</c:v>
                </c:pt>
                <c:pt idx="2432">
                  <c:v>3.1784503353510019E-2</c:v>
                </c:pt>
                <c:pt idx="2433">
                  <c:v>3.0481268381459259E-2</c:v>
                </c:pt>
                <c:pt idx="2434">
                  <c:v>2.9179103388860206E-2</c:v>
                </c:pt>
                <c:pt idx="2435">
                  <c:v>2.9519369389279682E-2</c:v>
                </c:pt>
                <c:pt idx="2436">
                  <c:v>2.8218667164924049E-2</c:v>
                </c:pt>
                <c:pt idx="2437">
                  <c:v>2.8559047927222192E-2</c:v>
                </c:pt>
                <c:pt idx="2438">
                  <c:v>2.8899149688895509E-2</c:v>
                </c:pt>
                <c:pt idx="2439">
                  <c:v>2.9238972792836826E-2</c:v>
                </c:pt>
                <c:pt idx="2440">
                  <c:v>2.7940515943376543E-2</c:v>
                </c:pt>
                <c:pt idx="2441">
                  <c:v>2.8280453246064319E-2</c:v>
                </c:pt>
                <c:pt idx="2442">
                  <c:v>2.8620112367653494E-2</c:v>
                </c:pt>
                <c:pt idx="2443">
                  <c:v>2.8959493649470591E-2</c:v>
                </c:pt>
                <c:pt idx="2444">
                  <c:v>2.9298597432283913E-2</c:v>
                </c:pt>
                <c:pt idx="2445">
                  <c:v>2.9637424056303985E-2</c:v>
                </c:pt>
                <c:pt idx="2446">
                  <c:v>2.9975973861187111E-2</c:v>
                </c:pt>
                <c:pt idx="2447">
                  <c:v>3.0314247186033594E-2</c:v>
                </c:pt>
                <c:pt idx="2448">
                  <c:v>3.0652244369390402E-2</c:v>
                </c:pt>
                <c:pt idx="2449">
                  <c:v>3.0989965749252057E-2</c:v>
                </c:pt>
                <c:pt idx="2450">
                  <c:v>3.1327411663061522E-2</c:v>
                </c:pt>
                <c:pt idx="2451">
                  <c:v>3.1664582447711975E-2</c:v>
                </c:pt>
                <c:pt idx="2452">
                  <c:v>3.2001478439546815E-2</c:v>
                </c:pt>
                <c:pt idx="2453">
                  <c:v>3.2338099974361878E-2</c:v>
                </c:pt>
                <c:pt idx="2454">
                  <c:v>3.1045782892291651E-2</c:v>
                </c:pt>
                <c:pt idx="2455">
                  <c:v>3.1382519385379837E-2</c:v>
                </c:pt>
                <c:pt idx="2456">
                  <c:v>3.171898188620359E-2</c:v>
                </c:pt>
                <c:pt idx="2457">
                  <c:v>3.205517072903552E-2</c:v>
                </c:pt>
                <c:pt idx="2458">
                  <c:v>3.2391086247605116E-2</c:v>
                </c:pt>
                <c:pt idx="2459">
                  <c:v>3.272672877509919E-2</c:v>
                </c:pt>
                <c:pt idx="2460">
                  <c:v>3.3062098644163207E-2</c:v>
                </c:pt>
                <c:pt idx="2461">
                  <c:v>3.3397196186902178E-2</c:v>
                </c:pt>
                <c:pt idx="2462">
                  <c:v>3.373202173488199E-2</c:v>
                </c:pt>
                <c:pt idx="2463">
                  <c:v>3.4066575619131623E-2</c:v>
                </c:pt>
                <c:pt idx="2464">
                  <c:v>3.4400858170141824E-2</c:v>
                </c:pt>
                <c:pt idx="2465">
                  <c:v>3.4734869717868211E-2</c:v>
                </c:pt>
                <c:pt idx="2466">
                  <c:v>3.5068610591730387E-2</c:v>
                </c:pt>
                <c:pt idx="2467">
                  <c:v>3.5402081120615936E-2</c:v>
                </c:pt>
                <c:pt idx="2468">
                  <c:v>3.573528163287909E-2</c:v>
                </c:pt>
                <c:pt idx="2469">
                  <c:v>3.6068212456342064E-2</c:v>
                </c:pt>
                <c:pt idx="2470">
                  <c:v>3.6400873918297716E-2</c:v>
                </c:pt>
                <c:pt idx="2471">
                  <c:v>3.673326634550822E-2</c:v>
                </c:pt>
                <c:pt idx="2472">
                  <c:v>3.7065390064208614E-2</c:v>
                </c:pt>
                <c:pt idx="2473">
                  <c:v>3.7397245400105916E-2</c:v>
                </c:pt>
                <c:pt idx="2474">
                  <c:v>3.7728832678381341E-2</c:v>
                </c:pt>
                <c:pt idx="2475">
                  <c:v>3.8060152223690746E-2</c:v>
                </c:pt>
                <c:pt idx="2476">
                  <c:v>3.8391204360166409E-2</c:v>
                </c:pt>
                <c:pt idx="2477">
                  <c:v>3.8721989411417024E-2</c:v>
                </c:pt>
                <c:pt idx="2478">
                  <c:v>3.9052507700529482E-2</c:v>
                </c:pt>
                <c:pt idx="2479">
                  <c:v>3.7770506426329398E-2</c:v>
                </c:pt>
                <c:pt idx="2480">
                  <c:v>3.8101141736556432E-2</c:v>
                </c:pt>
                <c:pt idx="2481">
                  <c:v>3.8431510727564788E-2</c:v>
                </c:pt>
                <c:pt idx="2482">
                  <c:v>3.8761613720995847E-2</c:v>
                </c:pt>
                <c:pt idx="2483">
                  <c:v>3.9091451037973624E-2</c:v>
                </c:pt>
                <c:pt idx="2484">
                  <c:v>3.9421022999104771E-2</c:v>
                </c:pt>
                <c:pt idx="2485">
                  <c:v>3.8141966434332542E-2</c:v>
                </c:pt>
                <c:pt idx="2486">
                  <c:v>3.8471655091878887E-2</c:v>
                </c:pt>
                <c:pt idx="2487">
                  <c:v>3.8801078832866764E-2</c:v>
                </c:pt>
                <c:pt idx="2488">
                  <c:v>3.9130237976471971E-2</c:v>
                </c:pt>
                <c:pt idx="2489">
                  <c:v>3.7853352030439602E-2</c:v>
                </c:pt>
                <c:pt idx="2490">
                  <c:v>3.8182627309083284E-2</c:v>
                </c:pt>
                <c:pt idx="2491">
                  <c:v>3.6907145848634304E-2</c:v>
                </c:pt>
                <c:pt idx="2492">
                  <c:v>3.5632687228170035E-2</c:v>
                </c:pt>
                <c:pt idx="2493">
                  <c:v>3.5962456630647566E-2</c:v>
                </c:pt>
                <c:pt idx="2494">
                  <c:v>3.6291961794822303E-2</c:v>
                </c:pt>
                <c:pt idx="2495">
                  <c:v>3.5019280731392488E-2</c:v>
                </c:pt>
                <c:pt idx="2496">
                  <c:v>3.534889965280108E-2</c:v>
                </c:pt>
                <c:pt idx="2497">
                  <c:v>3.5678254773552354E-2</c:v>
                </c:pt>
                <c:pt idx="2498">
                  <c:v>3.6007346410206864E-2</c:v>
                </c:pt>
                <c:pt idx="2499">
                  <c:v>3.6336174878819349E-2</c:v>
                </c:pt>
                <c:pt idx="2500">
                  <c:v>3.6664740494939174E-2</c:v>
                </c:pt>
                <c:pt idx="2501">
                  <c:v>3.6993043573610773E-2</c:v>
                </c:pt>
                <c:pt idx="2502">
                  <c:v>3.7321084429376317E-2</c:v>
                </c:pt>
                <c:pt idx="2503">
                  <c:v>3.7648863376274821E-2</c:v>
                </c:pt>
                <c:pt idx="2504">
                  <c:v>3.7976380727844372E-2</c:v>
                </c:pt>
                <c:pt idx="2505">
                  <c:v>3.8303636797123453E-2</c:v>
                </c:pt>
                <c:pt idx="2506">
                  <c:v>3.8630631896650058E-2</c:v>
                </c:pt>
                <c:pt idx="2507">
                  <c:v>3.7363105676846864E-2</c:v>
                </c:pt>
                <c:pt idx="2508">
                  <c:v>3.7690214936103139E-2</c:v>
                </c:pt>
                <c:pt idx="2509">
                  <c:v>3.8017063654332883E-2</c:v>
                </c:pt>
                <c:pt idx="2510">
                  <c:v>3.8343652142690754E-2</c:v>
                </c:pt>
                <c:pt idx="2511">
                  <c:v>3.866998071183847E-2</c:v>
                </c:pt>
                <c:pt idx="2512">
                  <c:v>3.8996049671941257E-2</c:v>
                </c:pt>
                <c:pt idx="2513">
                  <c:v>3.9321859332672293E-2</c:v>
                </c:pt>
                <c:pt idx="2514">
                  <c:v>3.9647410003211814E-2</c:v>
                </c:pt>
                <c:pt idx="2515">
                  <c:v>3.8383508507942476E-2</c:v>
                </c:pt>
                <c:pt idx="2516">
                  <c:v>3.7120610905838181E-2</c:v>
                </c:pt>
                <c:pt idx="2517">
                  <c:v>3.7446647720250414E-2</c:v>
                </c:pt>
                <c:pt idx="2518">
                  <c:v>3.7772425775286056E-2</c:v>
                </c:pt>
                <c:pt idx="2519">
                  <c:v>3.8097945378869902E-2</c:v>
                </c:pt>
                <c:pt idx="2520">
                  <c:v>3.8423206838438251E-2</c:v>
                </c:pt>
                <c:pt idx="2521">
                  <c:v>3.8748210460940236E-2</c:v>
                </c:pt>
                <c:pt idx="2522">
                  <c:v>3.9072956552837823E-2</c:v>
                </c:pt>
                <c:pt idx="2523">
                  <c:v>3.9397445420108035E-2</c:v>
                </c:pt>
                <c:pt idx="2524">
                  <c:v>3.9721677368243391E-2</c:v>
                </c:pt>
                <c:pt idx="2525">
                  <c:v>3.8462748072256581E-2</c:v>
                </c:pt>
                <c:pt idx="2526">
                  <c:v>3.7204814764637106E-2</c:v>
                </c:pt>
                <c:pt idx="2527">
                  <c:v>3.7529529091108405E-2</c:v>
                </c:pt>
                <c:pt idx="2528">
                  <c:v>3.785398672641227E-2</c:v>
                </c:pt>
                <c:pt idx="2529">
                  <c:v>3.8178187974805766E-2</c:v>
                </c:pt>
                <c:pt idx="2530">
                  <c:v>3.6922354309100847E-2</c:v>
                </c:pt>
                <c:pt idx="2531">
                  <c:v>3.7246667373491693E-2</c:v>
                </c:pt>
                <c:pt idx="2532">
                  <c:v>3.7570724468612759E-2</c:v>
                </c:pt>
                <c:pt idx="2533">
                  <c:v>3.7894525897386178E-2</c:v>
                </c:pt>
                <c:pt idx="2534">
                  <c:v>3.8218071962257572E-2</c:v>
                </c:pt>
                <c:pt idx="2535">
                  <c:v>3.8541362965192949E-2</c:v>
                </c:pt>
                <c:pt idx="2536">
                  <c:v>3.8864399207685363E-2</c:v>
                </c:pt>
                <c:pt idx="2537">
                  <c:v>3.7611757595712891E-2</c:v>
                </c:pt>
                <c:pt idx="2538">
                  <c:v>3.7934905465324853E-2</c:v>
                </c:pt>
                <c:pt idx="2539">
                  <c:v>3.8257798987932023E-2</c:v>
                </c:pt>
                <c:pt idx="2540">
                  <c:v>3.8580438463708067E-2</c:v>
                </c:pt>
                <c:pt idx="2541">
                  <c:v>3.8902824192354135E-2</c:v>
                </c:pt>
                <c:pt idx="2542">
                  <c:v>3.7652629429074658E-2</c:v>
                </c:pt>
                <c:pt idx="2543">
                  <c:v>3.6403417137122585E-2</c:v>
                </c:pt>
                <c:pt idx="2544">
                  <c:v>3.6726278067708673E-2</c:v>
                </c:pt>
                <c:pt idx="2545">
                  <c:v>3.7048885475774007E-2</c:v>
                </c:pt>
                <c:pt idx="2546">
                  <c:v>3.7371239659814481E-2</c:v>
                </c:pt>
                <c:pt idx="2547">
                  <c:v>3.7693340917857032E-2</c:v>
                </c:pt>
                <c:pt idx="2548">
                  <c:v>3.8015189547461858E-2</c:v>
                </c:pt>
                <c:pt idx="2549">
                  <c:v>3.8336785845722421E-2</c:v>
                </c:pt>
                <c:pt idx="2550">
                  <c:v>3.8658130109266331E-2</c:v>
                </c:pt>
                <c:pt idx="2551">
                  <c:v>3.8979222634257127E-2</c:v>
                </c:pt>
                <c:pt idx="2552">
                  <c:v>3.7733893003785379E-2</c:v>
                </c:pt>
                <c:pt idx="2553">
                  <c:v>3.8055095920970228E-2</c:v>
                </c:pt>
                <c:pt idx="2554">
                  <c:v>3.8376047505668698E-2</c:v>
                </c:pt>
                <c:pt idx="2555">
                  <c:v>3.8696748052756913E-2</c:v>
                </c:pt>
                <c:pt idx="2556">
                  <c:v>3.9017197856649588E-2</c:v>
                </c:pt>
                <c:pt idx="2557">
                  <c:v>3.7774286621226949E-2</c:v>
                </c:pt>
                <c:pt idx="2558">
                  <c:v>3.8094846410206884E-2</c:v>
                </c:pt>
                <c:pt idx="2559">
                  <c:v>3.6853265972877747E-2</c:v>
                </c:pt>
                <c:pt idx="2560">
                  <c:v>3.5612654763056195E-2</c:v>
                </c:pt>
                <c:pt idx="2561">
                  <c:v>3.5933682734826444E-2</c:v>
                </c:pt>
                <c:pt idx="2562">
                  <c:v>3.6254460294762314E-2</c:v>
                </c:pt>
                <c:pt idx="2563">
                  <c:v>3.6574987735742859E-2</c:v>
                </c:pt>
                <c:pt idx="2564">
                  <c:v>3.6895265350191497E-2</c:v>
                </c:pt>
                <c:pt idx="2565">
                  <c:v>3.7215293430074237E-2</c:v>
                </c:pt>
                <c:pt idx="2566">
                  <c:v>3.7535072266904557E-2</c:v>
                </c:pt>
                <c:pt idx="2567">
                  <c:v>3.7854602151740746E-2</c:v>
                </c:pt>
                <c:pt idx="2568">
                  <c:v>3.8173883375187234E-2</c:v>
                </c:pt>
                <c:pt idx="2569">
                  <c:v>3.8492916227398588E-2</c:v>
                </c:pt>
                <c:pt idx="2570">
                  <c:v>3.8811700998076404E-2</c:v>
                </c:pt>
                <c:pt idx="2571">
                  <c:v>3.9130237976471971E-2</c:v>
                </c:pt>
                <c:pt idx="2572">
                  <c:v>3.9448527451388049E-2</c:v>
                </c:pt>
                <c:pt idx="2573">
                  <c:v>3.9766569711177979E-2</c:v>
                </c:pt>
                <c:pt idx="2574">
                  <c:v>4.0084365043747461E-2</c:v>
                </c:pt>
                <c:pt idx="2575">
                  <c:v>4.0401913736555439E-2</c:v>
                </c:pt>
                <c:pt idx="2576">
                  <c:v>3.9167625696475472E-2</c:v>
                </c:pt>
                <c:pt idx="2577">
                  <c:v>3.7934294839830685E-2</c:v>
                </c:pt>
                <c:pt idx="2578">
                  <c:v>3.8252307650517015E-2</c:v>
                </c:pt>
                <c:pt idx="2579">
                  <c:v>3.8570074035158441E-2</c:v>
                </c:pt>
                <c:pt idx="2580">
                  <c:v>3.8887594280075266E-2</c:v>
                </c:pt>
                <c:pt idx="2581">
                  <c:v>3.92048686711437E-2</c:v>
                </c:pt>
                <c:pt idx="2582">
                  <c:v>3.9521897493798086E-2</c:v>
                </c:pt>
                <c:pt idx="2583">
                  <c:v>3.9838681033030898E-2</c:v>
                </c:pt>
                <c:pt idx="2584">
                  <c:v>4.0155219573393186E-2</c:v>
                </c:pt>
                <c:pt idx="2585">
                  <c:v>4.0471513398996795E-2</c:v>
                </c:pt>
                <c:pt idx="2586">
                  <c:v>3.924196773941846E-2</c:v>
                </c:pt>
                <c:pt idx="2587">
                  <c:v>3.9558369971427254E-2</c:v>
                </c:pt>
                <c:pt idx="2588">
                  <c:v>3.9874527877388211E-2</c:v>
                </c:pt>
                <c:pt idx="2589">
                  <c:v>4.0190441740195482E-2</c:v>
                </c:pt>
                <c:pt idx="2590">
                  <c:v>3.8962901965762242E-2</c:v>
                </c:pt>
                <c:pt idx="2591">
                  <c:v>3.7736309001799473E-2</c:v>
                </c:pt>
                <c:pt idx="2592">
                  <c:v>3.8052681799567001E-2</c:v>
                </c:pt>
                <c:pt idx="2593">
                  <c:v>3.836881076473464E-2</c:v>
                </c:pt>
                <c:pt idx="2594">
                  <c:v>3.8684696179081879E-2</c:v>
                </c:pt>
                <c:pt idx="2595">
                  <c:v>3.9000338323953443E-2</c:v>
                </c:pt>
                <c:pt idx="2596">
                  <c:v>3.7776091598813455E-2</c:v>
                </c:pt>
                <c:pt idx="2597">
                  <c:v>3.8091840446374814E-2</c:v>
                </c:pt>
                <c:pt idx="2598">
                  <c:v>3.8407346410207044E-2</c:v>
                </c:pt>
                <c:pt idx="2599">
                  <c:v>3.8722609770453165E-2</c:v>
                </c:pt>
                <c:pt idx="2600">
                  <c:v>3.9037630806824986E-2</c:v>
                </c:pt>
                <c:pt idx="2601">
                  <c:v>3.7815721362185251E-2</c:v>
                </c:pt>
                <c:pt idx="2602">
                  <c:v>3.813084871435457E-2</c:v>
                </c:pt>
                <c:pt idx="2603">
                  <c:v>3.8445734126137943E-2</c:v>
                </c:pt>
                <c:pt idx="2604">
                  <c:v>3.8760377876054797E-2</c:v>
                </c:pt>
                <c:pt idx="2605">
                  <c:v>3.7540449593942871E-2</c:v>
                </c:pt>
                <c:pt idx="2606">
                  <c:v>3.7855199170943266E-2</c:v>
                </c:pt>
                <c:pt idx="2607">
                  <c:v>3.8169707468083569E-2</c:v>
                </c:pt>
                <c:pt idx="2608">
                  <c:v>3.8483974762697493E-2</c:v>
                </c:pt>
                <c:pt idx="2609">
                  <c:v>3.8798001331692866E-2</c:v>
                </c:pt>
                <c:pt idx="2610">
                  <c:v>3.9111787451554303E-2</c:v>
                </c:pt>
                <c:pt idx="2611">
                  <c:v>3.7894525897386178E-2</c:v>
                </c:pt>
                <c:pt idx="2612">
                  <c:v>3.6678195683351511E-2</c:v>
                </c:pt>
                <c:pt idx="2613">
                  <c:v>3.6992432452271906E-2</c:v>
                </c:pt>
                <c:pt idx="2614">
                  <c:v>3.730642897901415E-2</c:v>
                </c:pt>
                <c:pt idx="2615">
                  <c:v>3.7620185538980166E-2</c:v>
                </c:pt>
                <c:pt idx="2616">
                  <c:v>3.7933702407151326E-2</c:v>
                </c:pt>
                <c:pt idx="2617">
                  <c:v>3.824697985808756E-2</c:v>
                </c:pt>
                <c:pt idx="2618">
                  <c:v>3.7033300608680264E-2</c:v>
                </c:pt>
                <c:pt idx="2619">
                  <c:v>3.7346682541454346E-2</c:v>
                </c:pt>
                <c:pt idx="2620">
                  <c:v>3.613427242088596E-2</c:v>
                </c:pt>
                <c:pt idx="2621">
                  <c:v>3.6447758152486909E-2</c:v>
                </c:pt>
                <c:pt idx="2622">
                  <c:v>3.6761004946792131E-2</c:v>
                </c:pt>
                <c:pt idx="2623">
                  <c:v>3.7074013076873413E-2</c:v>
                </c:pt>
                <c:pt idx="2624">
                  <c:v>3.7386782815385988E-2</c:v>
                </c:pt>
                <c:pt idx="2625">
                  <c:v>3.769931443456942E-2</c:v>
                </c:pt>
                <c:pt idx="2626">
                  <c:v>3.8011608206249381E-2</c:v>
                </c:pt>
                <c:pt idx="2627">
                  <c:v>3.8323664401838542E-2</c:v>
                </c:pt>
                <c:pt idx="2628">
                  <c:v>3.8635483292336126E-2</c:v>
                </c:pt>
                <c:pt idx="2629">
                  <c:v>3.8947065148329241E-2</c:v>
                </c:pt>
                <c:pt idx="2630">
                  <c:v>3.9258410239994213E-2</c:v>
                </c:pt>
                <c:pt idx="2631">
                  <c:v>3.9569518837096584E-2</c:v>
                </c:pt>
                <c:pt idx="2632">
                  <c:v>3.9880391208992005E-2</c:v>
                </c:pt>
                <c:pt idx="2633">
                  <c:v>3.8673001059163159E-2</c:v>
                </c:pt>
                <c:pt idx="2634">
                  <c:v>3.8983977669690972E-2</c:v>
                </c:pt>
                <c:pt idx="2635">
                  <c:v>3.9294718423858566E-2</c:v>
                </c:pt>
                <c:pt idx="2636">
                  <c:v>3.9605223589888272E-2</c:v>
                </c:pt>
                <c:pt idx="2637">
                  <c:v>3.8399767781938543E-2</c:v>
                </c:pt>
                <c:pt idx="2638">
                  <c:v>3.8710376713237071E-2</c:v>
                </c:pt>
                <c:pt idx="2639">
                  <c:v>3.9020750423838013E-2</c:v>
                </c:pt>
                <c:pt idx="2640">
                  <c:v>3.9330889180835271E-2</c:v>
                </c:pt>
                <c:pt idx="2641">
                  <c:v>3.8127361544523897E-2</c:v>
                </c:pt>
                <c:pt idx="2642">
                  <c:v>3.8437603596288561E-2</c:v>
                </c:pt>
                <c:pt idx="2643">
                  <c:v>3.8747611060490517E-2</c:v>
                </c:pt>
                <c:pt idx="2644">
                  <c:v>3.9057384203101897E-2</c:v>
                </c:pt>
                <c:pt idx="2645">
                  <c:v>3.9366923289692934E-2</c:v>
                </c:pt>
                <c:pt idx="2646">
                  <c:v>3.9676228585433293E-2</c:v>
                </c:pt>
                <c:pt idx="2647">
                  <c:v>3.8475296580082308E-2</c:v>
                </c:pt>
                <c:pt idx="2648">
                  <c:v>3.8784704900773015E-2</c:v>
                </c:pt>
                <c:pt idx="2649">
                  <c:v>3.9093879793835828E-2</c:v>
                </c:pt>
                <c:pt idx="2650">
                  <c:v>3.9402821523328857E-2</c:v>
                </c:pt>
                <c:pt idx="2651">
                  <c:v>3.8203803251518398E-2</c:v>
                </c:pt>
                <c:pt idx="2652">
                  <c:v>3.8512847540576267E-2</c:v>
                </c:pt>
                <c:pt idx="2653">
                  <c:v>3.7315067690809389E-2</c:v>
                </c:pt>
                <c:pt idx="2654">
                  <c:v>3.7624213880086188E-2</c:v>
                </c:pt>
                <c:pt idx="2655">
                  <c:v>3.7933127366172048E-2</c:v>
                </c:pt>
                <c:pt idx="2656">
                  <c:v>3.8241808411711986E-2</c:v>
                </c:pt>
                <c:pt idx="2657">
                  <c:v>3.7045932344768939E-2</c:v>
                </c:pt>
                <c:pt idx="2658">
                  <c:v>3.7354714831259628E-2</c:v>
                </c:pt>
                <c:pt idx="2659">
                  <c:v>3.7663265237715127E-2</c:v>
                </c:pt>
                <c:pt idx="2660">
                  <c:v>3.7971583825683997E-2</c:v>
                </c:pt>
                <c:pt idx="2661">
                  <c:v>3.8279670856320447E-2</c:v>
                </c:pt>
                <c:pt idx="2662">
                  <c:v>3.7086025088885588E-2</c:v>
                </c:pt>
                <c:pt idx="2663">
                  <c:v>3.7394213201951576E-2</c:v>
                </c:pt>
                <c:pt idx="2664">
                  <c:v>3.7702170116133527E-2</c:v>
                </c:pt>
                <c:pt idx="2665">
                  <c:v>3.8009896091496742E-2</c:v>
                </c:pt>
                <c:pt idx="2666">
                  <c:v>3.8317391387717947E-2</c:v>
                </c:pt>
                <c:pt idx="2667">
                  <c:v>3.7125967616651323E-2</c:v>
                </c:pt>
                <c:pt idx="2668">
                  <c:v>3.7433563638671341E-2</c:v>
                </c:pt>
                <c:pt idx="2669">
                  <c:v>3.7740929337949147E-2</c:v>
                </c:pt>
                <c:pt idx="2670">
                  <c:v>3.8048064973080997E-2</c:v>
                </c:pt>
                <c:pt idx="2671">
                  <c:v>3.6858524861385522E-2</c:v>
                </c:pt>
                <c:pt idx="2672">
                  <c:v>3.716576077071565E-2</c:v>
                </c:pt>
                <c:pt idx="2673">
                  <c:v>3.7472766970954474E-2</c:v>
                </c:pt>
                <c:pt idx="2674">
                  <c:v>3.6284775408712111E-2</c:v>
                </c:pt>
                <c:pt idx="2675">
                  <c:v>3.6591881337364018E-2</c:v>
                </c:pt>
                <c:pt idx="2676">
                  <c:v>3.6898757911326907E-2</c:v>
                </c:pt>
                <c:pt idx="2677">
                  <c:v>3.5712310949214121E-2</c:v>
                </c:pt>
                <c:pt idx="2678">
                  <c:v>3.4526749395281442E-2</c:v>
                </c:pt>
                <c:pt idx="2679">
                  <c:v>3.483405286302288E-2</c:v>
                </c:pt>
                <c:pt idx="2680">
                  <c:v>3.5141127170833286E-2</c:v>
                </c:pt>
                <c:pt idx="2681">
                  <c:v>3.5447972574947695E-2</c:v>
                </c:pt>
                <c:pt idx="2682">
                  <c:v>3.575458933122011E-2</c:v>
                </c:pt>
                <c:pt idx="2683">
                  <c:v>3.6060977695123064E-2</c:v>
                </c:pt>
                <c:pt idx="2684">
                  <c:v>3.4877934645500819E-2</c:v>
                </c:pt>
                <c:pt idx="2685">
                  <c:v>3.5184421214821793E-2</c:v>
                </c:pt>
                <c:pt idx="2686">
                  <c:v>3.4002584505445022E-2</c:v>
                </c:pt>
                <c:pt idx="2687">
                  <c:v>3.4309168648957389E-2</c:v>
                </c:pt>
                <c:pt idx="2688">
                  <c:v>3.4615524848868429E-2</c:v>
                </c:pt>
                <c:pt idx="2689">
                  <c:v>3.4921653359296645E-2</c:v>
                </c:pt>
                <c:pt idx="2690">
                  <c:v>3.5227554433980846E-2</c:v>
                </c:pt>
                <c:pt idx="2691">
                  <c:v>3.4047895983174037E-2</c:v>
                </c:pt>
                <c:pt idx="2692">
                  <c:v>3.435389429439395E-2</c:v>
                </c:pt>
                <c:pt idx="2693">
                  <c:v>3.4659665519668703E-2</c:v>
                </c:pt>
                <c:pt idx="2694">
                  <c:v>3.4965209911690387E-2</c:v>
                </c:pt>
                <c:pt idx="2695">
                  <c:v>3.5270527722776279E-2</c:v>
                </c:pt>
                <c:pt idx="2696">
                  <c:v>3.4093039516211121E-2</c:v>
                </c:pt>
                <c:pt idx="2697">
                  <c:v>3.2916423846294229E-2</c:v>
                </c:pt>
                <c:pt idx="2698">
                  <c:v>3.1740679743540223E-2</c:v>
                </c:pt>
                <c:pt idx="2699">
                  <c:v>3.0565806239899462E-2</c:v>
                </c:pt>
                <c:pt idx="2700">
                  <c:v>3.0872187268830231E-2</c:v>
                </c:pt>
                <c:pt idx="2701">
                  <c:v>3.1178341600735848E-2</c:v>
                </c:pt>
                <c:pt idx="2702">
                  <c:v>3.148426948712979E-2</c:v>
                </c:pt>
                <c:pt idx="2703">
                  <c:v>3.1789971179153387E-2</c:v>
                </c:pt>
                <c:pt idx="2704">
                  <c:v>3.2095446927575821E-2</c:v>
                </c:pt>
                <c:pt idx="2705">
                  <c:v>3.0923046447147939E-2</c:v>
                </c:pt>
                <c:pt idx="2706">
                  <c:v>3.1228616720398783E-2</c:v>
                </c:pt>
                <c:pt idx="2707">
                  <c:v>3.1533961397287147E-2</c:v>
                </c:pt>
                <c:pt idx="2708">
                  <c:v>3.1839080727550151E-2</c:v>
                </c:pt>
                <c:pt idx="2709">
                  <c:v>3.2143974960557209E-2</c:v>
                </c:pt>
                <c:pt idx="2710">
                  <c:v>3.2448644345310029E-2</c:v>
                </c:pt>
                <c:pt idx="2711">
                  <c:v>3.2753089130442614E-2</c:v>
                </c:pt>
                <c:pt idx="2712">
                  <c:v>3.1583470212712239E-2</c:v>
                </c:pt>
                <c:pt idx="2713">
                  <c:v>3.0414712892711471E-2</c:v>
                </c:pt>
                <c:pt idx="2714">
                  <c:v>3.0719570268822327E-2</c:v>
                </c:pt>
                <c:pt idx="2715">
                  <c:v>2.9551991239062048E-2</c:v>
                </c:pt>
                <c:pt idx="2716">
                  <c:v>2.9856941700861839E-2</c:v>
                </c:pt>
                <c:pt idx="2717">
                  <c:v>3.0161667851913432E-2</c:v>
                </c:pt>
                <c:pt idx="2718">
                  <c:v>3.0466169939618482E-2</c:v>
                </c:pt>
                <c:pt idx="2719">
                  <c:v>3.0770448211015378E-2</c:v>
                </c:pt>
                <c:pt idx="2720">
                  <c:v>3.1074502912778357E-2</c:v>
                </c:pt>
                <c:pt idx="2721">
                  <c:v>3.1378334291220611E-2</c:v>
                </c:pt>
                <c:pt idx="2722">
                  <c:v>3.1681942592292067E-2</c:v>
                </c:pt>
                <c:pt idx="2723">
                  <c:v>3.0517438153326193E-2</c:v>
                </c:pt>
                <c:pt idx="2724">
                  <c:v>2.935378808298772E-2</c:v>
                </c:pt>
                <c:pt idx="2725">
                  <c:v>2.9657804789378073E-2</c:v>
                </c:pt>
                <c:pt idx="2726">
                  <c:v>2.8495322949796176E-2</c:v>
                </c:pt>
                <c:pt idx="2727">
                  <c:v>2.8799431423032207E-2</c:v>
                </c:pt>
                <c:pt idx="2728">
                  <c:v>2.9103317106177418E-2</c:v>
                </c:pt>
                <c:pt idx="2729">
                  <c:v>2.9406980243967595E-2</c:v>
                </c:pt>
                <c:pt idx="2730">
                  <c:v>2.9710421080777927E-2</c:v>
                </c:pt>
                <c:pt idx="2731">
                  <c:v>2.8550046739515444E-2</c:v>
                </c:pt>
                <c:pt idx="2732">
                  <c:v>2.739052124561292E-2</c:v>
                </c:pt>
                <c:pt idx="2733">
                  <c:v>2.7694366519896096E-2</c:v>
                </c:pt>
                <c:pt idx="2734">
                  <c:v>2.6536001380967011E-2</c:v>
                </c:pt>
                <c:pt idx="2735">
                  <c:v>2.6839936837682377E-2</c:v>
                </c:pt>
                <c:pt idx="2736">
                  <c:v>2.7143650281646003E-2</c:v>
                </c:pt>
                <c:pt idx="2737">
                  <c:v>2.7447141956026488E-2</c:v>
                </c:pt>
                <c:pt idx="2738">
                  <c:v>2.7750412103637601E-2</c:v>
                </c:pt>
                <c:pt idx="2739">
                  <c:v>2.6594139551396445E-2</c:v>
                </c:pt>
                <c:pt idx="2740">
                  <c:v>2.6897499583073525E-2</c:v>
                </c:pt>
                <c:pt idx="2741">
                  <c:v>2.7200638426247536E-2</c:v>
                </c:pt>
                <c:pt idx="2742">
                  <c:v>2.7503556322743261E-2</c:v>
                </c:pt>
                <c:pt idx="2743">
                  <c:v>2.7806253514031987E-2</c:v>
                </c:pt>
                <c:pt idx="2744">
                  <c:v>2.8108730241233726E-2</c:v>
                </c:pt>
                <c:pt idx="2745">
                  <c:v>2.8410986745117661E-2</c:v>
                </c:pt>
                <c:pt idx="2746">
                  <c:v>2.8713023266102145E-2</c:v>
                </c:pt>
                <c:pt idx="2747">
                  <c:v>2.9014840044255585E-2</c:v>
                </c:pt>
                <c:pt idx="2748">
                  <c:v>2.9316437319297783E-2</c:v>
                </c:pt>
                <c:pt idx="2749">
                  <c:v>2.8163798609407209E-2</c:v>
                </c:pt>
                <c:pt idx="2750">
                  <c:v>2.8465485945090574E-2</c:v>
                </c:pt>
                <c:pt idx="2751">
                  <c:v>2.8766954110897025E-2</c:v>
                </c:pt>
                <c:pt idx="2752">
                  <c:v>2.9068203345573806E-2</c:v>
                </c:pt>
                <c:pt idx="2753">
                  <c:v>2.7917328261386487E-2</c:v>
                </c:pt>
                <c:pt idx="2754">
                  <c:v>2.6767288355054486E-2</c:v>
                </c:pt>
                <c:pt idx="2755">
                  <c:v>2.5618082717787427E-2</c:v>
                </c:pt>
                <c:pt idx="2756">
                  <c:v>2.5920036765537002E-2</c:v>
                </c:pt>
                <c:pt idx="2757">
                  <c:v>2.6221771926698167E-2</c:v>
                </c:pt>
                <c:pt idx="2758">
                  <c:v>2.6523288439192605E-2</c:v>
                </c:pt>
                <c:pt idx="2759">
                  <c:v>2.537583608785976E-2</c:v>
                </c:pt>
                <c:pt idx="2760">
                  <c:v>2.5677440544892072E-2</c:v>
                </c:pt>
                <c:pt idx="2761">
                  <c:v>2.4531124911835622E-2</c:v>
                </c:pt>
                <c:pt idx="2762">
                  <c:v>2.4832816743058039E-2</c:v>
                </c:pt>
                <c:pt idx="2763">
                  <c:v>2.5134290352340827E-2</c:v>
                </c:pt>
                <c:pt idx="2764">
                  <c:v>2.5435545976367546E-2</c:v>
                </c:pt>
                <c:pt idx="2765">
                  <c:v>2.5736583851478922E-2</c:v>
                </c:pt>
                <c:pt idx="2766">
                  <c:v>2.6037404213675064E-2</c:v>
                </c:pt>
                <c:pt idx="2767">
                  <c:v>2.633800729861413E-2</c:v>
                </c:pt>
                <c:pt idx="2768">
                  <c:v>2.6638393341614997E-2</c:v>
                </c:pt>
                <c:pt idx="2769">
                  <c:v>2.6938562577655478E-2</c:v>
                </c:pt>
                <c:pt idx="2770">
                  <c:v>2.7238515241375882E-2</c:v>
                </c:pt>
                <c:pt idx="2771">
                  <c:v>2.7538251567076788E-2</c:v>
                </c:pt>
                <c:pt idx="2772">
                  <c:v>2.783777178872171E-2</c:v>
                </c:pt>
                <c:pt idx="2773">
                  <c:v>2.8137076139936656E-2</c:v>
                </c:pt>
                <c:pt idx="2774">
                  <c:v>2.8436164854011015E-2</c:v>
                </c:pt>
                <c:pt idx="2775">
                  <c:v>2.8735038163897997E-2</c:v>
                </c:pt>
                <c:pt idx="2776">
                  <c:v>2.7593811493000331E-2</c:v>
                </c:pt>
                <c:pt idx="2777">
                  <c:v>2.789277282258551E-2</c:v>
                </c:pt>
                <c:pt idx="2778">
                  <c:v>2.8191519072077398E-2</c:v>
                </c:pt>
                <c:pt idx="2779">
                  <c:v>2.8490050473493511E-2</c:v>
                </c:pt>
                <c:pt idx="2780">
                  <c:v>2.7350552736590927E-2</c:v>
                </c:pt>
                <c:pt idx="2781">
                  <c:v>2.7649171778514336E-2</c:v>
                </c:pt>
                <c:pt idx="2782">
                  <c:v>2.7947576295264565E-2</c:v>
                </c:pt>
                <c:pt idx="2783">
                  <c:v>2.8245766517926985E-2</c:v>
                </c:pt>
                <c:pt idx="2784">
                  <c:v>2.8543742677256567E-2</c:v>
                </c:pt>
                <c:pt idx="2785">
                  <c:v>2.8841505003676549E-2</c:v>
                </c:pt>
                <c:pt idx="2786">
                  <c:v>2.9139053727280206E-2</c:v>
                </c:pt>
                <c:pt idx="2787">
                  <c:v>2.8002183269296044E-2</c:v>
                </c:pt>
                <c:pt idx="2788">
                  <c:v>2.6866127772214199E-2</c:v>
                </c:pt>
                <c:pt idx="2789">
                  <c:v>2.7164064432421142E-2</c:v>
                </c:pt>
                <c:pt idx="2790">
                  <c:v>2.7461787670951754E-2</c:v>
                </c:pt>
                <c:pt idx="2791">
                  <c:v>2.7759297717045328E-2</c:v>
                </c:pt>
                <c:pt idx="2792">
                  <c:v>2.8056594799612533E-2</c:v>
                </c:pt>
                <c:pt idx="2793">
                  <c:v>2.8353679147237187E-2</c:v>
                </c:pt>
                <c:pt idx="2794">
                  <c:v>2.8650550988175372E-2</c:v>
                </c:pt>
                <c:pt idx="2795">
                  <c:v>2.7517106867839924E-2</c:v>
                </c:pt>
                <c:pt idx="2796">
                  <c:v>2.7814065495267659E-2</c:v>
                </c:pt>
                <c:pt idx="2797">
                  <c:v>2.8110811933608204E-2</c:v>
                </c:pt>
                <c:pt idx="2798">
                  <c:v>2.8407346410206813E-2</c:v>
                </c:pt>
                <c:pt idx="2799">
                  <c:v>2.727560774544413E-2</c:v>
                </c:pt>
                <c:pt idx="2800">
                  <c:v>2.7572228637187557E-2</c:v>
                </c:pt>
                <c:pt idx="2801">
                  <c:v>2.7868637883628367E-2</c:v>
                </c:pt>
                <c:pt idx="2802">
                  <c:v>2.6738302187667706E-2</c:v>
                </c:pt>
                <c:pt idx="2803">
                  <c:v>2.7034797390598886E-2</c:v>
                </c:pt>
                <c:pt idx="2804">
                  <c:v>2.7331081264091228E-2</c:v>
                </c:pt>
                <c:pt idx="2805">
                  <c:v>2.7627154034004509E-2</c:v>
                </c:pt>
                <c:pt idx="2806">
                  <c:v>2.7923015925876538E-2</c:v>
                </c:pt>
                <c:pt idx="2807">
                  <c:v>2.8218667164924049E-2</c:v>
                </c:pt>
                <c:pt idx="2808">
                  <c:v>2.7090620431559298E-2</c:v>
                </c:pt>
                <c:pt idx="2809">
                  <c:v>2.5963376292811091E-2</c:v>
                </c:pt>
                <c:pt idx="2810">
                  <c:v>2.62594089991115E-2</c:v>
                </c:pt>
                <c:pt idx="2811">
                  <c:v>2.6555231230683152E-2</c:v>
                </c:pt>
                <c:pt idx="2812">
                  <c:v>2.6850843211912778E-2</c:v>
                </c:pt>
                <c:pt idx="2813">
                  <c:v>2.7146245166867811E-2</c:v>
                </c:pt>
                <c:pt idx="2814">
                  <c:v>2.7441437319297712E-2</c:v>
                </c:pt>
                <c:pt idx="2815">
                  <c:v>2.6316469590895508E-2</c:v>
                </c:pt>
                <c:pt idx="2816">
                  <c:v>2.6611746694096272E-2</c:v>
                </c:pt>
                <c:pt idx="2817">
                  <c:v>2.6906814306624227E-2</c:v>
                </c:pt>
                <c:pt idx="2818">
                  <c:v>2.7201672651341546E-2</c:v>
                </c:pt>
                <c:pt idx="2819">
                  <c:v>2.7496321950795544E-2</c:v>
                </c:pt>
                <c:pt idx="2820">
                  <c:v>2.7790762427216009E-2</c:v>
                </c:pt>
                <c:pt idx="2821">
                  <c:v>2.8084994302520094E-2</c:v>
                </c:pt>
                <c:pt idx="2822">
                  <c:v>2.6962587203407828E-2</c:v>
                </c:pt>
                <c:pt idx="2823">
                  <c:v>2.58409747287911E-2</c:v>
                </c:pt>
                <c:pt idx="2824">
                  <c:v>2.6135584202139128E-2</c:v>
                </c:pt>
                <c:pt idx="2825">
                  <c:v>2.6429985249966315E-2</c:v>
                </c:pt>
                <c:pt idx="2826">
                  <c:v>2.672417809337535E-2</c:v>
                </c:pt>
                <c:pt idx="2827">
                  <c:v>2.7018162953154956E-2</c:v>
                </c:pt>
                <c:pt idx="2828">
                  <c:v>2.5898512487945613E-2</c:v>
                </c:pt>
                <c:pt idx="2829">
                  <c:v>2.6192581309535612E-2</c:v>
                </c:pt>
                <c:pt idx="2830">
                  <c:v>2.6486442455404546E-2</c:v>
                </c:pt>
                <c:pt idx="2831">
                  <c:v>2.6780096145469834E-2</c:v>
                </c:pt>
                <c:pt idx="2832">
                  <c:v>2.7073542599338918E-2</c:v>
                </c:pt>
                <c:pt idx="2833">
                  <c:v>2.7366782036309267E-2</c:v>
                </c:pt>
                <c:pt idx="2834">
                  <c:v>2.7659814675369265E-2</c:v>
                </c:pt>
                <c:pt idx="2835">
                  <c:v>2.7952640735198209E-2</c:v>
                </c:pt>
                <c:pt idx="2836">
                  <c:v>2.683581716425909E-2</c:v>
                </c:pt>
                <c:pt idx="2837">
                  <c:v>2.7128727178082901E-2</c:v>
                </c:pt>
                <c:pt idx="2838">
                  <c:v>2.7421430917249356E-2</c:v>
                </c:pt>
                <c:pt idx="2839">
                  <c:v>2.6305973654134895E-2</c:v>
                </c:pt>
                <c:pt idx="2840">
                  <c:v>2.6598760907039942E-2</c:v>
                </c:pt>
                <c:pt idx="2841">
                  <c:v>2.6891342189313328E-2</c:v>
                </c:pt>
                <c:pt idx="2842">
                  <c:v>2.7183717718223921E-2</c:v>
                </c:pt>
                <c:pt idx="2843">
                  <c:v>2.747588771073417E-2</c:v>
                </c:pt>
                <c:pt idx="2844">
                  <c:v>2.6362371006130925E-2</c:v>
                </c:pt>
                <c:pt idx="2845">
                  <c:v>2.5249636540168208E-2</c:v>
                </c:pt>
                <c:pt idx="2846">
                  <c:v>2.5542177870880867E-2</c:v>
                </c:pt>
                <c:pt idx="2847">
                  <c:v>2.4430512433372797E-2</c:v>
                </c:pt>
                <c:pt idx="2848">
                  <c:v>2.4723135883891079E-2</c:v>
                </c:pt>
                <c:pt idx="2849">
                  <c:v>2.5015554056646572E-2</c:v>
                </c:pt>
                <c:pt idx="2850">
                  <c:v>2.5307767167570105E-2</c:v>
                </c:pt>
                <c:pt idx="2851">
                  <c:v>2.5599775432288752E-2</c:v>
                </c:pt>
                <c:pt idx="2852">
                  <c:v>2.5891579066128489E-2</c:v>
                </c:pt>
                <c:pt idx="2853">
                  <c:v>2.4782127496021378E-2</c:v>
                </c:pt>
                <c:pt idx="2854">
                  <c:v>2.5074013076873403E-2</c:v>
                </c:pt>
                <c:pt idx="2855">
                  <c:v>2.5365694327602828E-2</c:v>
                </c:pt>
                <c:pt idx="2856">
                  <c:v>2.5657171462690975E-2</c:v>
                </c:pt>
                <c:pt idx="2857">
                  <c:v>2.5948444696320738E-2</c:v>
                </c:pt>
                <c:pt idx="2858">
                  <c:v>2.6239514242374806E-2</c:v>
                </c:pt>
                <c:pt idx="2859">
                  <c:v>2.6530380314436108E-2</c:v>
                </c:pt>
                <c:pt idx="2860">
                  <c:v>2.6821043125790478E-2</c:v>
                </c:pt>
                <c:pt idx="2861">
                  <c:v>2.7111502889424433E-2</c:v>
                </c:pt>
                <c:pt idx="2862">
                  <c:v>2.7401759818028282E-2</c:v>
                </c:pt>
                <c:pt idx="2863">
                  <c:v>2.7691814123993908E-2</c:v>
                </c:pt>
                <c:pt idx="2864">
                  <c:v>2.7981666019418316E-2</c:v>
                </c:pt>
                <c:pt idx="2865">
                  <c:v>2.8271315716101419E-2</c:v>
                </c:pt>
                <c:pt idx="2866">
                  <c:v>2.8560763425548696E-2</c:v>
                </c:pt>
                <c:pt idx="2867">
                  <c:v>2.885000935896942E-2</c:v>
                </c:pt>
                <c:pt idx="2868">
                  <c:v>2.9139053727280206E-2</c:v>
                </c:pt>
                <c:pt idx="2869">
                  <c:v>2.9427896741101911E-2</c:v>
                </c:pt>
                <c:pt idx="2870">
                  <c:v>2.9716538610764065E-2</c:v>
                </c:pt>
                <c:pt idx="2871">
                  <c:v>3.0004979546301769E-2</c:v>
                </c:pt>
                <c:pt idx="2872">
                  <c:v>3.0293219757457912E-2</c:v>
                </c:pt>
                <c:pt idx="2873">
                  <c:v>3.058125945368495E-2</c:v>
                </c:pt>
                <c:pt idx="2874">
                  <c:v>3.0869098844143128E-2</c:v>
                </c:pt>
                <c:pt idx="2875">
                  <c:v>3.1156738137700923E-2</c:v>
                </c:pt>
                <c:pt idx="2876">
                  <c:v>3.1444177542938156E-2</c:v>
                </c:pt>
                <c:pt idx="2877">
                  <c:v>3.1731417268143769E-2</c:v>
                </c:pt>
                <c:pt idx="2878">
                  <c:v>3.2018457521318044E-2</c:v>
                </c:pt>
                <c:pt idx="2879">
                  <c:v>3.0916891706978866E-2</c:v>
                </c:pt>
                <c:pt idx="2880">
                  <c:v>3.1204015390081885E-2</c:v>
                </c:pt>
                <c:pt idx="2881">
                  <c:v>3.1490939889221803E-2</c:v>
                </c:pt>
                <c:pt idx="2882">
                  <c:v>3.177766541159377E-2</c:v>
                </c:pt>
                <c:pt idx="2883">
                  <c:v>3.2064192164106498E-2</c:v>
                </c:pt>
                <c:pt idx="2884">
                  <c:v>3.0964518967379284E-2</c:v>
                </c:pt>
                <c:pt idx="2885">
                  <c:v>2.9865607580972231E-2</c:v>
                </c:pt>
                <c:pt idx="2886">
                  <c:v>3.0152498764777658E-2</c:v>
                </c:pt>
                <c:pt idx="2887">
                  <c:v>3.0439191339247884E-2</c:v>
                </c:pt>
                <c:pt idx="2888">
                  <c:v>3.0725685510553102E-2</c:v>
                </c:pt>
                <c:pt idx="2889">
                  <c:v>3.1011981484575735E-2</c:v>
                </c:pt>
                <c:pt idx="2890">
                  <c:v>3.1298079466914874E-2</c:v>
                </c:pt>
                <c:pt idx="2891">
                  <c:v>3.1583979662885842E-2</c:v>
                </c:pt>
                <c:pt idx="2892">
                  <c:v>3.1869682277518407E-2</c:v>
                </c:pt>
                <c:pt idx="2893">
                  <c:v>3.215518751556079E-2</c:v>
                </c:pt>
                <c:pt idx="2894">
                  <c:v>3.2440495581477435E-2</c:v>
                </c:pt>
                <c:pt idx="2895">
                  <c:v>3.2725606679450792E-2</c:v>
                </c:pt>
                <c:pt idx="2896">
                  <c:v>3.1630258763553964E-2</c:v>
                </c:pt>
                <c:pt idx="2897">
                  <c:v>3.1915452653739074E-2</c:v>
                </c:pt>
                <c:pt idx="2898">
                  <c:v>3.2200449858482916E-2</c:v>
                </c:pt>
                <c:pt idx="2899">
                  <c:v>3.2485250581182346E-2</c:v>
                </c:pt>
                <c:pt idx="2900">
                  <c:v>3.1391495273060066E-2</c:v>
                </c:pt>
                <c:pt idx="2901">
                  <c:v>3.1676378446031883E-2</c:v>
                </c:pt>
                <c:pt idx="2902">
                  <c:v>3.0583654950151917E-2</c:v>
                </c:pt>
                <c:pt idx="2903">
                  <c:v>3.086862007629998E-2</c:v>
                </c:pt>
                <c:pt idx="2904">
                  <c:v>3.1153389080543992E-2</c:v>
                </c:pt>
                <c:pt idx="2905">
                  <c:v>3.143796216528072E-2</c:v>
                </c:pt>
                <c:pt idx="2906">
                  <c:v>3.1722339532627597E-2</c:v>
                </c:pt>
                <c:pt idx="2907">
                  <c:v>3.0631478414332225E-2</c:v>
                </c:pt>
                <c:pt idx="2908">
                  <c:v>3.0915937475498811E-2</c:v>
                </c:pt>
                <c:pt idx="2909">
                  <c:v>2.982610285129228E-2</c:v>
                </c:pt>
                <c:pt idx="2910">
                  <c:v>3.0110643113503421E-2</c:v>
                </c:pt>
                <c:pt idx="2911">
                  <c:v>3.0394988016797964E-2</c:v>
                </c:pt>
                <c:pt idx="2912">
                  <c:v>3.0679137762300357E-2</c:v>
                </c:pt>
                <c:pt idx="2913">
                  <c:v>3.0963092550858828E-2</c:v>
                </c:pt>
                <c:pt idx="2914">
                  <c:v>2.987511047056346E-2</c:v>
                </c:pt>
                <c:pt idx="2915">
                  <c:v>3.0159146204516318E-2</c:v>
                </c:pt>
                <c:pt idx="2916">
                  <c:v>3.0442987260104193E-2</c:v>
                </c:pt>
                <c:pt idx="2917">
                  <c:v>2.9356301531823892E-2</c:v>
                </c:pt>
                <c:pt idx="2918">
                  <c:v>2.9640223122535669E-2</c:v>
                </c:pt>
                <c:pt idx="2919">
                  <c:v>2.9923950312980008E-2</c:v>
                </c:pt>
                <c:pt idx="2920">
                  <c:v>3.0207483302746141E-2</c:v>
                </c:pt>
                <c:pt idx="2921">
                  <c:v>3.0490822291151076E-2</c:v>
                </c:pt>
                <c:pt idx="2922">
                  <c:v>3.0773967477238262E-2</c:v>
                </c:pt>
                <c:pt idx="2923">
                  <c:v>3.1056919059779364E-2</c:v>
                </c:pt>
                <c:pt idx="2924">
                  <c:v>3.133967723727471E-2</c:v>
                </c:pt>
                <c:pt idx="2925">
                  <c:v>3.1622242207951956E-2</c:v>
                </c:pt>
                <c:pt idx="2926">
                  <c:v>3.1904614169769641E-2</c:v>
                </c:pt>
                <c:pt idx="2927">
                  <c:v>3.2186793320414964E-2</c:v>
                </c:pt>
                <c:pt idx="2928">
                  <c:v>3.2468779857306007E-2</c:v>
                </c:pt>
                <c:pt idx="2929">
                  <c:v>3.2750573977589958E-2</c:v>
                </c:pt>
                <c:pt idx="2930">
                  <c:v>3.3032175878146663E-2</c:v>
                </c:pt>
                <c:pt idx="2931">
                  <c:v>3.331358575558685E-2</c:v>
                </c:pt>
                <c:pt idx="2932">
                  <c:v>3.3594803806253015E-2</c:v>
                </c:pt>
                <c:pt idx="2933">
                  <c:v>3.3875830226220316E-2</c:v>
                </c:pt>
                <c:pt idx="2934">
                  <c:v>3.415666521129701E-2</c:v>
                </c:pt>
                <c:pt idx="2935">
                  <c:v>3.4437308957023571E-2</c:v>
                </c:pt>
                <c:pt idx="2936">
                  <c:v>3.471776165867535E-2</c:v>
                </c:pt>
                <c:pt idx="2937">
                  <c:v>3.4998023511261689E-2</c:v>
                </c:pt>
                <c:pt idx="2938">
                  <c:v>3.5278094709526808E-2</c:v>
                </c:pt>
                <c:pt idx="2939">
                  <c:v>3.5557975447949364E-2</c:v>
                </c:pt>
                <c:pt idx="2940">
                  <c:v>3.5837665920743778E-2</c:v>
                </c:pt>
                <c:pt idx="2941">
                  <c:v>3.6117166321861571E-2</c:v>
                </c:pt>
                <c:pt idx="2942">
                  <c:v>3.6396476844989589E-2</c:v>
                </c:pt>
                <c:pt idx="2943">
                  <c:v>3.6675597683551331E-2</c:v>
                </c:pt>
                <c:pt idx="2944">
                  <c:v>3.5596755778842137E-2</c:v>
                </c:pt>
                <c:pt idx="2945">
                  <c:v>3.5875958558154064E-2</c:v>
                </c:pt>
                <c:pt idx="2946">
                  <c:v>3.4798119815905526E-2</c:v>
                </c:pt>
                <c:pt idx="2947">
                  <c:v>3.5077404056866879E-2</c:v>
                </c:pt>
                <c:pt idx="2948">
                  <c:v>3.4000566749190053E-2</c:v>
                </c:pt>
                <c:pt idx="2949">
                  <c:v>3.4279931974422251E-2</c:v>
                </c:pt>
                <c:pt idx="2950">
                  <c:v>3.4559107927822019E-2</c:v>
                </c:pt>
                <c:pt idx="2951">
                  <c:v>3.3483540111527432E-2</c:v>
                </c:pt>
                <c:pt idx="2952">
                  <c:v>3.3762796647173854E-2</c:v>
                </c:pt>
                <c:pt idx="2953">
                  <c:v>3.4041864176704184E-2</c:v>
                </c:pt>
                <c:pt idx="2954">
                  <c:v>3.432074289193876E-2</c:v>
                </c:pt>
                <c:pt idx="2955">
                  <c:v>3.4599432984437684E-2</c:v>
                </c:pt>
                <c:pt idx="2956">
                  <c:v>3.4877934645500819E-2</c:v>
                </c:pt>
                <c:pt idx="2957">
                  <c:v>3.5156248066171791E-2</c:v>
                </c:pt>
                <c:pt idx="2958">
                  <c:v>3.543437343723399E-2</c:v>
                </c:pt>
                <c:pt idx="2959">
                  <c:v>3.4361415981297938E-2</c:v>
                </c:pt>
                <c:pt idx="2960">
                  <c:v>3.3289183007100931E-2</c:v>
                </c:pt>
                <c:pt idx="2961">
                  <c:v>3.356765690632546E-2</c:v>
                </c:pt>
                <c:pt idx="2962">
                  <c:v>3.3845942901435055E-2</c:v>
                </c:pt>
                <c:pt idx="2963">
                  <c:v>3.4124041182550968E-2</c:v>
                </c:pt>
                <c:pt idx="2964">
                  <c:v>3.3053334272648005E-2</c:v>
                </c:pt>
                <c:pt idx="2965">
                  <c:v>3.3331512234271443E-2</c:v>
                </c:pt>
                <c:pt idx="2966">
                  <c:v>3.2261793849559961E-2</c:v>
                </c:pt>
                <c:pt idx="2967">
                  <c:v>3.2540051024555261E-2</c:v>
                </c:pt>
                <c:pt idx="2968">
                  <c:v>3.2818120820981456E-2</c:v>
                </c:pt>
                <c:pt idx="2969">
                  <c:v>3.174965539708019E-2</c:v>
                </c:pt>
                <c:pt idx="2970">
                  <c:v>3.2027804014513883E-2</c:v>
                </c:pt>
                <c:pt idx="2971">
                  <c:v>3.2305765515487916E-2</c:v>
                </c:pt>
                <c:pt idx="2972">
                  <c:v>3.2583540088754415E-2</c:v>
                </c:pt>
                <c:pt idx="2973">
                  <c:v>3.1516590107685705E-2</c:v>
                </c:pt>
                <c:pt idx="2974">
                  <c:v>3.1794443184400389E-2</c:v>
                </c:pt>
                <c:pt idx="2975">
                  <c:v>3.2072109594620812E-2</c:v>
                </c:pt>
                <c:pt idx="2976">
                  <c:v>3.2349589526392108E-2</c:v>
                </c:pt>
                <c:pt idx="2977">
                  <c:v>3.2626883167508058E-2</c:v>
                </c:pt>
                <c:pt idx="2978">
                  <c:v>3.1561708826314483E-2</c:v>
                </c:pt>
                <c:pt idx="2979">
                  <c:v>3.1839080727550151E-2</c:v>
                </c:pt>
                <c:pt idx="2980">
                  <c:v>3.2116266598000376E-2</c:v>
                </c:pt>
                <c:pt idx="2981">
                  <c:v>3.2393266624755945E-2</c:v>
                </c:pt>
                <c:pt idx="2982">
                  <c:v>3.1329598420930527E-2</c:v>
                </c:pt>
                <c:pt idx="2983">
                  <c:v>3.0266642892618822E-2</c:v>
                </c:pt>
                <c:pt idx="2984">
                  <c:v>3.0543984052537887E-2</c:v>
                </c:pt>
                <c:pt idx="2985">
                  <c:v>2.9482003256541045E-2</c:v>
                </c:pt>
                <c:pt idx="2986">
                  <c:v>2.9759421376739592E-2</c:v>
                </c:pt>
                <c:pt idx="2987">
                  <c:v>3.0036653870896046E-2</c:v>
                </c:pt>
                <c:pt idx="2988">
                  <c:v>2.8975908283116691E-2</c:v>
                </c:pt>
                <c:pt idx="2989">
                  <c:v>2.9253217356378869E-2</c:v>
                </c:pt>
                <c:pt idx="2990">
                  <c:v>2.9530341062613097E-2</c:v>
                </c:pt>
                <c:pt idx="2991">
                  <c:v>2.8470827866939441E-2</c:v>
                </c:pt>
                <c:pt idx="2992">
                  <c:v>2.8748027772932172E-2</c:v>
                </c:pt>
                <c:pt idx="2993">
                  <c:v>2.9025042570474113E-2</c:v>
                </c:pt>
                <c:pt idx="2994">
                  <c:v>2.9301872444919663E-2</c:v>
                </c:pt>
                <c:pt idx="2995">
                  <c:v>2.8243849580043445E-2</c:v>
                </c:pt>
                <c:pt idx="2996">
                  <c:v>2.8520755349499716E-2</c:v>
                </c:pt>
                <c:pt idx="2997">
                  <c:v>2.746369852757935E-2</c:v>
                </c:pt>
                <c:pt idx="2998">
                  <c:v>2.774067974354022E-2</c:v>
                </c:pt>
                <c:pt idx="2999">
                  <c:v>2.8017476366887895E-2</c:v>
                </c:pt>
                <c:pt idx="3000">
                  <c:v>2.8294088582092147E-2</c:v>
                </c:pt>
                <c:pt idx="3001">
                  <c:v>2.8570516573377169E-2</c:v>
                </c:pt>
                <c:pt idx="3002">
                  <c:v>2.7515202601951394E-2</c:v>
                </c:pt>
                <c:pt idx="3003">
                  <c:v>2.7791705811205158E-2</c:v>
                </c:pt>
                <c:pt idx="3004">
                  <c:v>2.8068025052921275E-2</c:v>
                </c:pt>
                <c:pt idx="3005">
                  <c:v>2.8344160510639149E-2</c:v>
                </c:pt>
                <c:pt idx="3006">
                  <c:v>2.8620112367653494E-2</c:v>
                </c:pt>
                <c:pt idx="3007">
                  <c:v>2.889588080701655E-2</c:v>
                </c:pt>
                <c:pt idx="3008">
                  <c:v>2.9171466011535863E-2</c:v>
                </c:pt>
                <c:pt idx="3009">
                  <c:v>2.9446868163776951E-2</c:v>
                </c:pt>
                <c:pt idx="3010">
                  <c:v>2.8394066197723333E-2</c:v>
                </c:pt>
                <c:pt idx="3011">
                  <c:v>2.8669543555909005E-2</c:v>
                </c:pt>
                <c:pt idx="3012">
                  <c:v>2.8944838115581906E-2</c:v>
                </c:pt>
                <c:pt idx="3013">
                  <c:v>2.7893250224468868E-2</c:v>
                </c:pt>
                <c:pt idx="3014">
                  <c:v>2.684235967280646E-2</c:v>
                </c:pt>
                <c:pt idx="3015">
                  <c:v>2.7117986118526449E-2</c:v>
                </c:pt>
                <c:pt idx="3016">
                  <c:v>2.7393429909212674E-2</c:v>
                </c:pt>
                <c:pt idx="3017">
                  <c:v>2.7668691226371056E-2</c:v>
                </c:pt>
                <c:pt idx="3018">
                  <c:v>2.7943770251266375E-2</c:v>
                </c:pt>
                <c:pt idx="3019">
                  <c:v>2.8218667164924049E-2</c:v>
                </c:pt>
                <c:pt idx="3020">
                  <c:v>2.8493382148128799E-2</c:v>
                </c:pt>
                <c:pt idx="3021">
                  <c:v>2.8767915381427311E-2</c:v>
                </c:pt>
                <c:pt idx="3022">
                  <c:v>2.9042267045127357E-2</c:v>
                </c:pt>
                <c:pt idx="3023">
                  <c:v>2.9316437319297783E-2</c:v>
                </c:pt>
                <c:pt idx="3024">
                  <c:v>2.8268549318336333E-2</c:v>
                </c:pt>
                <c:pt idx="3025">
                  <c:v>2.8542794048132425E-2</c:v>
                </c:pt>
                <c:pt idx="3026">
                  <c:v>2.8816857638740423E-2</c:v>
                </c:pt>
                <c:pt idx="3027">
                  <c:v>2.9090740269566595E-2</c:v>
                </c:pt>
                <c:pt idx="3028">
                  <c:v>2.9364442119777845E-2</c:v>
                </c:pt>
                <c:pt idx="3029">
                  <c:v>2.9637963368306597E-2</c:v>
                </c:pt>
                <c:pt idx="3030">
                  <c:v>2.859204298012763E-2</c:v>
                </c:pt>
                <c:pt idx="3031">
                  <c:v>2.886563853021995E-2</c:v>
                </c:pt>
                <c:pt idx="3032">
                  <c:v>2.9139053727280206E-2</c:v>
                </c:pt>
                <c:pt idx="3033">
                  <c:v>2.9412288749580906E-2</c:v>
                </c:pt>
                <c:pt idx="3034">
                  <c:v>2.9685343775160966E-2</c:v>
                </c:pt>
                <c:pt idx="3035">
                  <c:v>2.8641129749027883E-2</c:v>
                </c:pt>
                <c:pt idx="3036">
                  <c:v>2.8914258852603236E-2</c:v>
                </c:pt>
                <c:pt idx="3037">
                  <c:v>2.9187208206850723E-2</c:v>
                </c:pt>
                <c:pt idx="3038">
                  <c:v>2.9459977989154229E-2</c:v>
                </c:pt>
                <c:pt idx="3039">
                  <c:v>2.973256837666538E-2</c:v>
                </c:pt>
                <c:pt idx="3040">
                  <c:v>3.0004979546301769E-2</c:v>
                </c:pt>
                <c:pt idx="3041">
                  <c:v>2.896271939739048E-2</c:v>
                </c:pt>
                <c:pt idx="3042">
                  <c:v>2.9235204491678601E-2</c:v>
                </c:pt>
                <c:pt idx="3043">
                  <c:v>2.9507510613819399E-2</c:v>
                </c:pt>
                <c:pt idx="3044">
                  <c:v>2.9779637940082093E-2</c:v>
                </c:pt>
                <c:pt idx="3045">
                  <c:v>2.8738819990778097E-2</c:v>
                </c:pt>
                <c:pt idx="3046">
                  <c:v>2.7698684992884193E-2</c:v>
                </c:pt>
                <c:pt idx="3047">
                  <c:v>2.79711378172256E-2</c:v>
                </c:pt>
                <c:pt idx="3048">
                  <c:v>2.6931936574141169E-2</c:v>
                </c:pt>
                <c:pt idx="3049">
                  <c:v>2.7204462109977623E-2</c:v>
                </c:pt>
                <c:pt idx="3050">
                  <c:v>2.7476809057651153E-2</c:v>
                </c:pt>
                <c:pt idx="3051">
                  <c:v>2.774897759265027E-2</c:v>
                </c:pt>
                <c:pt idx="3052">
                  <c:v>2.8020967890233006E-2</c:v>
                </c:pt>
                <c:pt idx="3053">
                  <c:v>2.6983451156524563E-2</c:v>
                </c:pt>
                <c:pt idx="3054">
                  <c:v>2.7255513949473897E-2</c:v>
                </c:pt>
                <c:pt idx="3055">
                  <c:v>2.7527398749101373E-2</c:v>
                </c:pt>
                <c:pt idx="3056">
                  <c:v>2.7799105730023754E-2</c:v>
                </c:pt>
                <c:pt idx="3057">
                  <c:v>2.8070635066630434E-2</c:v>
                </c:pt>
                <c:pt idx="3058">
                  <c:v>2.7034797390598886E-2</c:v>
                </c:pt>
                <c:pt idx="3059">
                  <c:v>2.7306399007397175E-2</c:v>
                </c:pt>
                <c:pt idx="3060">
                  <c:v>2.757782322274771E-2</c:v>
                </c:pt>
                <c:pt idx="3061">
                  <c:v>2.6543160971094881E-2</c:v>
                </c:pt>
                <c:pt idx="3062">
                  <c:v>2.6814657115167506E-2</c:v>
                </c:pt>
                <c:pt idx="3063">
                  <c:v>2.708597610025576E-2</c:v>
                </c:pt>
                <c:pt idx="3064">
                  <c:v>2.7357118099704536E-2</c:v>
                </c:pt>
                <c:pt idx="3065">
                  <c:v>2.7628083286633576E-2</c:v>
                </c:pt>
                <c:pt idx="3066">
                  <c:v>2.789887183393569E-2</c:v>
                </c:pt>
                <c:pt idx="3067">
                  <c:v>2.6866127772214199E-2</c:v>
                </c:pt>
                <c:pt idx="3068">
                  <c:v>2.7136988104017767E-2</c:v>
                </c:pt>
                <c:pt idx="3069">
                  <c:v>2.7407672037038644E-2</c:v>
                </c:pt>
                <c:pt idx="3070">
                  <c:v>2.7678179743540365E-2</c:v>
                </c:pt>
                <c:pt idx="3071">
                  <c:v>2.7948511395563091E-2</c:v>
                </c:pt>
                <c:pt idx="3072">
                  <c:v>2.8218667164924049E-2</c:v>
                </c:pt>
                <c:pt idx="3073">
                  <c:v>2.8488647223214869E-2</c:v>
                </c:pt>
                <c:pt idx="3074">
                  <c:v>2.8758451741806468E-2</c:v>
                </c:pt>
                <c:pt idx="3075">
                  <c:v>2.9028080891845054E-2</c:v>
                </c:pt>
                <c:pt idx="3076">
                  <c:v>2.9297534844254791E-2</c:v>
                </c:pt>
                <c:pt idx="3077">
                  <c:v>2.9566813769739131E-2</c:v>
                </c:pt>
                <c:pt idx="3078">
                  <c:v>2.9835917838778148E-2</c:v>
                </c:pt>
                <c:pt idx="3079">
                  <c:v>3.0104847221631648E-2</c:v>
                </c:pt>
                <c:pt idx="3080">
                  <c:v>3.0373602088337837E-2</c:v>
                </c:pt>
                <c:pt idx="3081">
                  <c:v>2.9344745047897636E-2</c:v>
                </c:pt>
                <c:pt idx="3082">
                  <c:v>2.8316555229921381E-2</c:v>
                </c:pt>
                <c:pt idx="3083">
                  <c:v>2.8585628419931286E-2</c:v>
                </c:pt>
                <c:pt idx="3084">
                  <c:v>2.8854527226798155E-2</c:v>
                </c:pt>
                <c:pt idx="3085">
                  <c:v>2.9123251819989981E-2</c:v>
                </c:pt>
                <c:pt idx="3086">
                  <c:v>2.939180236875627E-2</c:v>
                </c:pt>
                <c:pt idx="3087">
                  <c:v>2.96601790421267E-2</c:v>
                </c:pt>
                <c:pt idx="3088">
                  <c:v>2.8633883627035228E-2</c:v>
                </c:pt>
                <c:pt idx="3089">
                  <c:v>2.8902331851811347E-2</c:v>
                </c:pt>
                <c:pt idx="3090">
                  <c:v>2.917060643608016E-2</c:v>
                </c:pt>
                <c:pt idx="3091">
                  <c:v>2.9438707548260723E-2</c:v>
                </c:pt>
                <c:pt idx="3092">
                  <c:v>2.8413810534317907E-2</c:v>
                </c:pt>
                <c:pt idx="3093">
                  <c:v>2.8681982920707672E-2</c:v>
                </c:pt>
                <c:pt idx="3094">
                  <c:v>2.8949982069121472E-2</c:v>
                </c:pt>
                <c:pt idx="3095">
                  <c:v>2.9217808147371738E-2</c:v>
                </c:pt>
                <c:pt idx="3096">
                  <c:v>2.819430573880588E-2</c:v>
                </c:pt>
                <c:pt idx="3097">
                  <c:v>2.8462202815498827E-2</c:v>
                </c:pt>
                <c:pt idx="3098">
                  <c:v>2.8729927055368254E-2</c:v>
                </c:pt>
                <c:pt idx="3099">
                  <c:v>2.8997478625621298E-2</c:v>
                </c:pt>
                <c:pt idx="3100">
                  <c:v>2.9264857693250157E-2</c:v>
                </c:pt>
                <c:pt idx="3101">
                  <c:v>2.9532064425031201E-2</c:v>
                </c:pt>
                <c:pt idx="3102">
                  <c:v>2.9799098987526307E-2</c:v>
                </c:pt>
                <c:pt idx="3103">
                  <c:v>3.0065961547082853E-2</c:v>
                </c:pt>
                <c:pt idx="3104">
                  <c:v>3.0332652269833282E-2</c:v>
                </c:pt>
                <c:pt idx="3105">
                  <c:v>3.0599171321696872E-2</c:v>
                </c:pt>
                <c:pt idx="3106">
                  <c:v>3.0865518868379294E-2</c:v>
                </c:pt>
                <c:pt idx="3107">
                  <c:v>3.1131695075372612E-2</c:v>
                </c:pt>
                <c:pt idx="3108">
                  <c:v>3.011152647451576E-2</c:v>
                </c:pt>
                <c:pt idx="3109">
                  <c:v>3.037777392547536E-2</c:v>
                </c:pt>
                <c:pt idx="3110">
                  <c:v>2.9358503222546073E-2</c:v>
                </c:pt>
                <c:pt idx="3111">
                  <c:v>2.8339887367482941E-2</c:v>
                </c:pt>
                <c:pt idx="3112">
                  <c:v>2.8606447245145716E-2</c:v>
                </c:pt>
                <c:pt idx="3113">
                  <c:v>2.8872835976819999E-2</c:v>
                </c:pt>
                <c:pt idx="3114">
                  <c:v>2.9139053727280206E-2</c:v>
                </c:pt>
                <c:pt idx="3115">
                  <c:v>2.8121815450951271E-2</c:v>
                </c:pt>
                <c:pt idx="3116">
                  <c:v>2.8388103305652557E-2</c:v>
                </c:pt>
                <c:pt idx="3117">
                  <c:v>2.8654220408283138E-2</c:v>
                </c:pt>
                <c:pt idx="3118">
                  <c:v>2.8920166923027235E-2</c:v>
                </c:pt>
                <c:pt idx="3119">
                  <c:v>2.7904302514019985E-2</c:v>
                </c:pt>
                <c:pt idx="3120">
                  <c:v>2.6889088882980694E-2</c:v>
                </c:pt>
                <c:pt idx="3121">
                  <c:v>2.5874525404763205E-2</c:v>
                </c:pt>
                <c:pt idx="3122">
                  <c:v>2.4860611455021164E-2</c:v>
                </c:pt>
                <c:pt idx="3123">
                  <c:v>2.5127346410207085E-2</c:v>
                </c:pt>
                <c:pt idx="3124">
                  <c:v>2.539391070963104E-2</c:v>
                </c:pt>
                <c:pt idx="3125">
                  <c:v>2.5660304517018506E-2</c:v>
                </c:pt>
                <c:pt idx="3126">
                  <c:v>2.4647755617368095E-2</c:v>
                </c:pt>
                <c:pt idx="3127">
                  <c:v>2.4914217615064516E-2</c:v>
                </c:pt>
                <c:pt idx="3128">
                  <c:v>2.518050934950411E-2</c:v>
                </c:pt>
                <c:pt idx="3129">
                  <c:v>2.5446630983825713E-2</c:v>
                </c:pt>
                <c:pt idx="3130">
                  <c:v>2.5712582680960328E-2</c:v>
                </c:pt>
                <c:pt idx="3131">
                  <c:v>2.4701633036443571E-2</c:v>
                </c:pt>
                <c:pt idx="3132">
                  <c:v>2.4967652728011824E-2</c:v>
                </c:pt>
                <c:pt idx="3133">
                  <c:v>2.5233502710047429E-2</c:v>
                </c:pt>
                <c:pt idx="3134">
                  <c:v>2.5499183144900961E-2</c:v>
                </c:pt>
                <c:pt idx="3135">
                  <c:v>2.5764694194714277E-2</c:v>
                </c:pt>
                <c:pt idx="3136">
                  <c:v>2.6030036021424063E-2</c:v>
                </c:pt>
                <c:pt idx="3137">
                  <c:v>2.5020917611226157E-2</c:v>
                </c:pt>
                <c:pt idx="3138">
                  <c:v>2.4012441951608121E-2</c:v>
                </c:pt>
                <c:pt idx="3139">
                  <c:v>2.4278088212180915E-2</c:v>
                </c:pt>
                <c:pt idx="3140">
                  <c:v>2.4543565379016474E-2</c:v>
                </c:pt>
                <c:pt idx="3141">
                  <c:v>2.3536204189398724E-2</c:v>
                </c:pt>
                <c:pt idx="3142">
                  <c:v>2.3801748445830384E-2</c:v>
                </c:pt>
                <c:pt idx="3143">
                  <c:v>2.4067123834690118E-2</c:v>
                </c:pt>
                <c:pt idx="3144">
                  <c:v>2.4332330517009115E-2</c:v>
                </c:pt>
                <c:pt idx="3145">
                  <c:v>2.4597368653613394E-2</c:v>
                </c:pt>
                <c:pt idx="3146">
                  <c:v>2.4862238405124248E-2</c:v>
                </c:pt>
                <c:pt idx="3147">
                  <c:v>2.3856695409889106E-2</c:v>
                </c:pt>
                <c:pt idx="3148">
                  <c:v>2.4121632124492809E-2</c:v>
                </c:pt>
                <c:pt idx="3149">
                  <c:v>2.4386400678693132E-2</c:v>
                </c:pt>
                <c:pt idx="3150">
                  <c:v>2.4651001232542047E-2</c:v>
                </c:pt>
                <c:pt idx="3151">
                  <c:v>2.4915433945887244E-2</c:v>
                </c:pt>
                <c:pt idx="3152">
                  <c:v>2.3911468160365601E-2</c:v>
                </c:pt>
                <c:pt idx="3153">
                  <c:v>2.4175967646340002E-2</c:v>
                </c:pt>
                <c:pt idx="3154">
                  <c:v>2.4440299515403385E-2</c:v>
                </c:pt>
                <c:pt idx="3155">
                  <c:v>2.4704463926836784E-2</c:v>
                </c:pt>
                <c:pt idx="3156">
                  <c:v>2.3701836593867487E-2</c:v>
                </c:pt>
                <c:pt idx="3157">
                  <c:v>2.3966067524483492E-2</c:v>
                </c:pt>
                <c:pt idx="3158">
                  <c:v>2.4230131220333462E-2</c:v>
                </c:pt>
                <c:pt idx="3159">
                  <c:v>2.3228605505429822E-2</c:v>
                </c:pt>
                <c:pt idx="3160">
                  <c:v>2.3492735404514242E-2</c:v>
                </c:pt>
                <c:pt idx="3161">
                  <c:v>2.249207609721271E-2</c:v>
                </c:pt>
                <c:pt idx="3162">
                  <c:v>2.2756271821079199E-2</c:v>
                </c:pt>
                <c:pt idx="3163">
                  <c:v>2.3020300596620746E-2</c:v>
                </c:pt>
                <c:pt idx="3164">
                  <c:v>2.3284162582032586E-2</c:v>
                </c:pt>
                <c:pt idx="3165">
                  <c:v>2.3547857935309668E-2</c:v>
                </c:pt>
                <c:pt idx="3166">
                  <c:v>2.3811386814247104E-2</c:v>
                </c:pt>
                <c:pt idx="3167">
                  <c:v>2.4074749376442384E-2</c:v>
                </c:pt>
                <c:pt idx="3168">
                  <c:v>2.4337945779292269E-2</c:v>
                </c:pt>
                <c:pt idx="3169">
                  <c:v>2.333954445498776E-2</c:v>
                </c:pt>
                <c:pt idx="3170">
                  <c:v>2.360280668763437E-2</c:v>
                </c:pt>
                <c:pt idx="3171">
                  <c:v>2.2605266359781329E-2</c:v>
                </c:pt>
                <c:pt idx="3172">
                  <c:v>2.286859404725794E-2</c:v>
                </c:pt>
                <c:pt idx="3173">
                  <c:v>2.3131755859025827E-2</c:v>
                </c:pt>
                <c:pt idx="3174">
                  <c:v>2.3394751951768544E-2</c:v>
                </c:pt>
                <c:pt idx="3175">
                  <c:v>2.3657582481972916E-2</c:v>
                </c:pt>
                <c:pt idx="3176">
                  <c:v>2.3920247605927258E-2</c:v>
                </c:pt>
                <c:pt idx="3177">
                  <c:v>2.2924490166104761E-2</c:v>
                </c:pt>
                <c:pt idx="3178">
                  <c:v>2.3187220624043547E-2</c:v>
                </c:pt>
                <c:pt idx="3179">
                  <c:v>2.3449785894645636E-2</c:v>
                </c:pt>
                <c:pt idx="3180">
                  <c:v>2.3712186133651336E-2</c:v>
                </c:pt>
                <c:pt idx="3181">
                  <c:v>2.3974421496603338E-2</c:v>
                </c:pt>
                <c:pt idx="3182">
                  <c:v>2.2980210731815109E-2</c:v>
                </c:pt>
                <c:pt idx="3183">
                  <c:v>2.3242511245371578E-2</c:v>
                </c:pt>
                <c:pt idx="3184">
                  <c:v>2.3504647100728082E-2</c:v>
                </c:pt>
                <c:pt idx="3185">
                  <c:v>2.3766618452880195E-2</c:v>
                </c:pt>
                <c:pt idx="3186">
                  <c:v>2.2773720312339929E-2</c:v>
                </c:pt>
                <c:pt idx="3187">
                  <c:v>2.178144487367506E-2</c:v>
                </c:pt>
                <c:pt idx="3188">
                  <c:v>2.2043710046570464E-2</c:v>
                </c:pt>
                <c:pt idx="3189">
                  <c:v>2.2305810841419582E-2</c:v>
                </c:pt>
                <c:pt idx="3190">
                  <c:v>2.1314614580632885E-2</c:v>
                </c:pt>
                <c:pt idx="3191">
                  <c:v>2.1576779545189773E-2</c:v>
                </c:pt>
                <c:pt idx="3192">
                  <c:v>2.1838780348841791E-2</c:v>
                </c:pt>
                <c:pt idx="3193">
                  <c:v>2.0848660964197574E-2</c:v>
                </c:pt>
                <c:pt idx="3194">
                  <c:v>1.9859161178667595E-2</c:v>
                </c:pt>
                <c:pt idx="3195">
                  <c:v>2.0121453385496313E-2</c:v>
                </c:pt>
                <c:pt idx="3196">
                  <c:v>2.0383581557173791E-2</c:v>
                </c:pt>
                <c:pt idx="3197">
                  <c:v>2.0645545847531199E-2</c:v>
                </c:pt>
                <c:pt idx="3198">
                  <c:v>2.0907346410206973E-2</c:v>
                </c:pt>
                <c:pt idx="3199">
                  <c:v>2.1168983398648145E-2</c:v>
                </c:pt>
                <c:pt idx="3200">
                  <c:v>2.0181237728133183E-2</c:v>
                </c:pt>
                <c:pt idx="3201">
                  <c:v>2.0442938043051306E-2</c:v>
                </c:pt>
                <c:pt idx="3202">
                  <c:v>2.0704474999470257E-2</c:v>
                </c:pt>
                <c:pt idx="3203">
                  <c:v>2.0965848750300609E-2</c:v>
                </c:pt>
                <c:pt idx="3204">
                  <c:v>2.1227059448260643E-2</c:v>
                </c:pt>
                <c:pt idx="3205">
                  <c:v>2.1488107245879018E-2</c:v>
                </c:pt>
                <c:pt idx="3206">
                  <c:v>2.0502109502475996E-2</c:v>
                </c:pt>
                <c:pt idx="3207">
                  <c:v>2.0763220514289138E-2</c:v>
                </c:pt>
                <c:pt idx="3208">
                  <c:v>2.10241688401136E-2</c:v>
                </c:pt>
                <c:pt idx="3209">
                  <c:v>2.1284954631944686E-2</c:v>
                </c:pt>
                <c:pt idx="3210">
                  <c:v>2.0300248029136103E-2</c:v>
                </c:pt>
                <c:pt idx="3211">
                  <c:v>1.9316154377838402E-2</c:v>
                </c:pt>
                <c:pt idx="3212">
                  <c:v>1.9577228177475092E-2</c:v>
                </c:pt>
                <c:pt idx="3213">
                  <c:v>1.9838139567283086E-2</c:v>
                </c:pt>
                <c:pt idx="3214">
                  <c:v>2.0098888698764306E-2</c:v>
                </c:pt>
                <c:pt idx="3215">
                  <c:v>2.035947572323149E-2</c:v>
                </c:pt>
                <c:pt idx="3216">
                  <c:v>1.9376892712257732E-2</c:v>
                </c:pt>
                <c:pt idx="3217">
                  <c:v>1.8394920190884179E-2</c:v>
                </c:pt>
                <c:pt idx="3218">
                  <c:v>1.8655793615175664E-2</c:v>
                </c:pt>
                <c:pt idx="3219">
                  <c:v>1.767465469955809E-2</c:v>
                </c:pt>
                <c:pt idx="3220">
                  <c:v>1.793558973733278E-2</c:v>
                </c:pt>
                <c:pt idx="3221">
                  <c:v>1.8196362854513648E-2</c:v>
                </c:pt>
                <c:pt idx="3222">
                  <c:v>1.8456974201769949E-2</c:v>
                </c:pt>
                <c:pt idx="3223">
                  <c:v>1.7477113852067294E-2</c:v>
                </c:pt>
                <c:pt idx="3224">
                  <c:v>1.7737786583796655E-2</c:v>
                </c:pt>
                <c:pt idx="3225">
                  <c:v>1.799829775820827E-2</c:v>
                </c:pt>
                <c:pt idx="3226">
                  <c:v>1.8258647525448701E-2</c:v>
                </c:pt>
                <c:pt idx="3227">
                  <c:v>1.8518836035477992E-2</c:v>
                </c:pt>
                <c:pt idx="3228">
                  <c:v>1.8778863438070559E-2</c:v>
                </c:pt>
                <c:pt idx="3229">
                  <c:v>1.9038729882816074E-2</c:v>
                </c:pt>
                <c:pt idx="3230">
                  <c:v>1.8060811756741568E-2</c:v>
                </c:pt>
                <c:pt idx="3231">
                  <c:v>1.8320739543519426E-2</c:v>
                </c:pt>
                <c:pt idx="3232">
                  <c:v>1.7343648203651529E-2</c:v>
                </c:pt>
                <c:pt idx="3233">
                  <c:v>1.760363698207712E-2</c:v>
                </c:pt>
                <c:pt idx="3234">
                  <c:v>1.7863465075225626E-2</c:v>
                </c:pt>
                <c:pt idx="3235">
                  <c:v>1.8123132632017036E-2</c:v>
                </c:pt>
                <c:pt idx="3236">
                  <c:v>1.8382639801188816E-2</c:v>
                </c:pt>
                <c:pt idx="3237">
                  <c:v>1.8641986731293692E-2</c:v>
                </c:pt>
                <c:pt idx="3238">
                  <c:v>1.8901173570700536E-2</c:v>
                </c:pt>
                <c:pt idx="3239">
                  <c:v>1.9160200467596589E-2</c:v>
                </c:pt>
                <c:pt idx="3240">
                  <c:v>1.8185261277572806E-2</c:v>
                </c:pt>
                <c:pt idx="3241">
                  <c:v>1.8444349185414932E-2</c:v>
                </c:pt>
                <c:pt idx="3242">
                  <c:v>1.8703277359652049E-2</c:v>
                </c:pt>
                <c:pt idx="3243">
                  <c:v>1.896204594795714E-2</c:v>
                </c:pt>
                <c:pt idx="3244">
                  <c:v>1.9220655097822448E-2</c:v>
                </c:pt>
                <c:pt idx="3245">
                  <c:v>1.9479104956557247E-2</c:v>
                </c:pt>
                <c:pt idx="3246">
                  <c:v>1.9737395671290514E-2</c:v>
                </c:pt>
                <c:pt idx="3247">
                  <c:v>1.9995527388969592E-2</c:v>
                </c:pt>
                <c:pt idx="3248">
                  <c:v>2.0253500256360635E-2</c:v>
                </c:pt>
                <c:pt idx="3249">
                  <c:v>2.0511314420049942E-2</c:v>
                </c:pt>
                <c:pt idx="3250">
                  <c:v>2.0768970026443068E-2</c:v>
                </c:pt>
                <c:pt idx="3251">
                  <c:v>2.1026467221765266E-2</c:v>
                </c:pt>
                <c:pt idx="3252">
                  <c:v>2.1283806152063267E-2</c:v>
                </c:pt>
                <c:pt idx="3253">
                  <c:v>2.1540986963202169E-2</c:v>
                </c:pt>
                <c:pt idx="3254">
                  <c:v>2.1798009800870322E-2</c:v>
                </c:pt>
                <c:pt idx="3255">
                  <c:v>2.2054874810575331E-2</c:v>
                </c:pt>
                <c:pt idx="3256">
                  <c:v>2.2311582137647168E-2</c:v>
                </c:pt>
                <c:pt idx="3257">
                  <c:v>2.2568131927236834E-2</c:v>
                </c:pt>
                <c:pt idx="3258">
                  <c:v>2.2824524324317252E-2</c:v>
                </c:pt>
                <c:pt idx="3259">
                  <c:v>2.3080759473684154E-2</c:v>
                </c:pt>
                <c:pt idx="3260">
                  <c:v>2.3336837519955633E-2</c:v>
                </c:pt>
                <c:pt idx="3261">
                  <c:v>2.2366892839873032E-2</c:v>
                </c:pt>
                <c:pt idx="3262">
                  <c:v>2.2623032684716549E-2</c:v>
                </c:pt>
                <c:pt idx="3263">
                  <c:v>2.2879015629196253E-2</c:v>
                </c:pt>
                <c:pt idx="3264">
                  <c:v>2.3134841817432861E-2</c:v>
                </c:pt>
                <c:pt idx="3265">
                  <c:v>2.3390511393371671E-2</c:v>
                </c:pt>
                <c:pt idx="3266">
                  <c:v>2.3646024500782126E-2</c:v>
                </c:pt>
                <c:pt idx="3267">
                  <c:v>2.3901381283256917E-2</c:v>
                </c:pt>
                <c:pt idx="3268">
                  <c:v>2.415658188421288E-2</c:v>
                </c:pt>
                <c:pt idx="3269">
                  <c:v>2.4411626446892765E-2</c:v>
                </c:pt>
                <c:pt idx="3270">
                  <c:v>2.4666515114363463E-2</c:v>
                </c:pt>
                <c:pt idx="3271">
                  <c:v>2.4921248029516452E-2</c:v>
                </c:pt>
                <c:pt idx="3272">
                  <c:v>2.5175825335069568E-2</c:v>
                </c:pt>
                <c:pt idx="3273">
                  <c:v>2.5430247173565679E-2</c:v>
                </c:pt>
                <c:pt idx="3274">
                  <c:v>2.5684513687374011E-2</c:v>
                </c:pt>
                <c:pt idx="3275">
                  <c:v>2.4717996394949093E-2</c:v>
                </c:pt>
                <c:pt idx="3276">
                  <c:v>2.3752068801909054E-2</c:v>
                </c:pt>
                <c:pt idx="3277">
                  <c:v>2.4006614479740396E-2</c:v>
                </c:pt>
                <c:pt idx="3278">
                  <c:v>2.4261004946792397E-2</c:v>
                </c:pt>
                <c:pt idx="3279">
                  <c:v>2.4515240344982647E-2</c:v>
                </c:pt>
                <c:pt idx="3280">
                  <c:v>2.3550551772790751E-2</c:v>
                </c:pt>
                <c:pt idx="3281">
                  <c:v>2.3804848694702674E-2</c:v>
                </c:pt>
                <c:pt idx="3282">
                  <c:v>2.4058990746382403E-2</c:v>
                </c:pt>
                <c:pt idx="3283">
                  <c:v>2.4312978069263025E-2</c:v>
                </c:pt>
                <c:pt idx="3284">
                  <c:v>2.4566810804607542E-2</c:v>
                </c:pt>
                <c:pt idx="3285">
                  <c:v>2.4820489093504872E-2</c:v>
                </c:pt>
                <c:pt idx="3286">
                  <c:v>2.3857468064707898E-2</c:v>
                </c:pt>
                <c:pt idx="3287">
                  <c:v>2.4111207766241982E-2</c:v>
                </c:pt>
                <c:pt idx="3288">
                  <c:v>2.3148987747592997E-2</c:v>
                </c:pt>
                <c:pt idx="3289">
                  <c:v>2.340278852506561E-2</c:v>
                </c:pt>
                <c:pt idx="3290">
                  <c:v>2.3656435110085194E-2</c:v>
                </c:pt>
                <c:pt idx="3291">
                  <c:v>2.3909927643125162E-2</c:v>
                </c:pt>
                <c:pt idx="3292">
                  <c:v>2.2948937181305862E-2</c:v>
                </c:pt>
                <c:pt idx="3293">
                  <c:v>2.3202490568021705E-2</c:v>
                </c:pt>
                <c:pt idx="3294">
                  <c:v>2.3455890099527199E-2</c:v>
                </c:pt>
                <c:pt idx="3295">
                  <c:v>2.3709135915817914E-2</c:v>
                </c:pt>
                <c:pt idx="3296">
                  <c:v>2.3962228156719778E-2</c:v>
                </c:pt>
                <c:pt idx="3297">
                  <c:v>2.3002678328970294E-2</c:v>
                </c:pt>
                <c:pt idx="3298">
                  <c:v>2.2043710046570464E-2</c:v>
                </c:pt>
                <c:pt idx="3299">
                  <c:v>2.2297076794938864E-2</c:v>
                </c:pt>
                <c:pt idx="3300">
                  <c:v>2.2550290080709523E-2</c:v>
                </c:pt>
                <c:pt idx="3301">
                  <c:v>2.2803350043267834E-2</c:v>
                </c:pt>
                <c:pt idx="3302">
                  <c:v>2.3056256821829102E-2</c:v>
                </c:pt>
                <c:pt idx="3303">
                  <c:v>2.3309010555441212E-2</c:v>
                </c:pt>
                <c:pt idx="3304">
                  <c:v>2.3561611382983738E-2</c:v>
                </c:pt>
                <c:pt idx="3305">
                  <c:v>2.3814059443167057E-2</c:v>
                </c:pt>
                <c:pt idx="3306">
                  <c:v>2.2857165031730631E-2</c:v>
                </c:pt>
                <c:pt idx="3307">
                  <c:v>2.190084897895872E-2</c:v>
                </c:pt>
                <c:pt idx="3308">
                  <c:v>2.2153569975161602E-2</c:v>
                </c:pt>
                <c:pt idx="3309">
                  <c:v>2.240613831597571E-2</c:v>
                </c:pt>
                <c:pt idx="3310">
                  <c:v>2.2658554139675324E-2</c:v>
                </c:pt>
                <c:pt idx="3311">
                  <c:v>2.2910817584369081E-2</c:v>
                </c:pt>
                <c:pt idx="3312">
                  <c:v>2.1955928184497875E-2</c:v>
                </c:pt>
                <c:pt idx="3313">
                  <c:v>2.2208251387582312E-2</c:v>
                </c:pt>
                <c:pt idx="3314">
                  <c:v>2.246042240538193E-2</c:v>
                </c:pt>
                <c:pt idx="3315">
                  <c:v>2.2712441375536851E-2</c:v>
                </c:pt>
                <c:pt idx="3316">
                  <c:v>2.2964308435523328E-2</c:v>
                </c:pt>
                <c:pt idx="3317">
                  <c:v>2.3216023722650192E-2</c:v>
                </c:pt>
                <c:pt idx="3318">
                  <c:v>2.2262768096954044E-2</c:v>
                </c:pt>
                <c:pt idx="3319">
                  <c:v>2.2514543037728707E-2</c:v>
                </c:pt>
                <c:pt idx="3320">
                  <c:v>2.2766166398165755E-2</c:v>
                </c:pt>
                <c:pt idx="3321">
                  <c:v>2.3017638315112166E-2</c:v>
                </c:pt>
                <c:pt idx="3322">
                  <c:v>2.3268958925248828E-2</c:v>
                </c:pt>
                <c:pt idx="3323">
                  <c:v>2.3520128365094095E-2</c:v>
                </c:pt>
                <c:pt idx="3324">
                  <c:v>2.3771146771000673E-2</c:v>
                </c:pt>
                <c:pt idx="3325">
                  <c:v>2.4022014279157844E-2</c:v>
                </c:pt>
                <c:pt idx="3326">
                  <c:v>2.4272731025591465E-2</c:v>
                </c:pt>
                <c:pt idx="3327">
                  <c:v>2.4523297146163525E-2</c:v>
                </c:pt>
                <c:pt idx="3328">
                  <c:v>2.357251157537199E-2</c:v>
                </c:pt>
                <c:pt idx="3329">
                  <c:v>2.3823137463944377E-2</c:v>
                </c:pt>
                <c:pt idx="3330">
                  <c:v>2.4073612916809317E-2</c:v>
                </c:pt>
                <c:pt idx="3331">
                  <c:v>2.4323938069372719E-2</c:v>
                </c:pt>
                <c:pt idx="3332">
                  <c:v>2.4574113056877511E-2</c:v>
                </c:pt>
                <c:pt idx="3333">
                  <c:v>2.4824138014404973E-2</c:v>
                </c:pt>
                <c:pt idx="3334">
                  <c:v>2.5074013076873403E-2</c:v>
                </c:pt>
                <c:pt idx="3335">
                  <c:v>2.5323738379041227E-2</c:v>
                </c:pt>
                <c:pt idx="3336">
                  <c:v>2.5573314055503449E-2</c:v>
                </c:pt>
                <c:pt idx="3337">
                  <c:v>2.462477677858077E-2</c:v>
                </c:pt>
                <c:pt idx="3338">
                  <c:v>2.3676807488051121E-2</c:v>
                </c:pt>
                <c:pt idx="3339">
                  <c:v>2.3926652007333349E-2</c:v>
                </c:pt>
                <c:pt idx="3340">
                  <c:v>2.41763470086509E-2</c:v>
                </c:pt>
                <c:pt idx="3341">
                  <c:v>2.4425892626180445E-2</c:v>
                </c:pt>
                <c:pt idx="3342">
                  <c:v>2.4675288993938782E-2</c:v>
                </c:pt>
                <c:pt idx="3343">
                  <c:v>2.4924536245782392E-2</c:v>
                </c:pt>
                <c:pt idx="3344">
                  <c:v>2.5173634515406995E-2</c:v>
                </c:pt>
                <c:pt idx="3345">
                  <c:v>2.5422583936349774E-2</c:v>
                </c:pt>
                <c:pt idx="3346">
                  <c:v>2.44766415117601E-2</c:v>
                </c:pt>
                <c:pt idx="3347">
                  <c:v>2.3531263997546237E-2</c:v>
                </c:pt>
                <c:pt idx="3348">
                  <c:v>2.2586450887818632E-2</c:v>
                </c:pt>
                <c:pt idx="3349">
                  <c:v>2.2835875207580791E-2</c:v>
                </c:pt>
                <c:pt idx="3350">
                  <c:v>2.3085150706149804E-2</c:v>
                </c:pt>
                <c:pt idx="3351">
                  <c:v>2.3334277516678714E-2</c:v>
                </c:pt>
                <c:pt idx="3352">
                  <c:v>2.3583255772162914E-2</c:v>
                </c:pt>
                <c:pt idx="3353">
                  <c:v>2.2639835232859618E-2</c:v>
                </c:pt>
                <c:pt idx="3354">
                  <c:v>2.2888872035951913E-2</c:v>
                </c:pt>
                <c:pt idx="3355">
                  <c:v>2.1946220404844841E-2</c:v>
                </c:pt>
                <c:pt idx="3356">
                  <c:v>2.2195315439391017E-2</c:v>
                </c:pt>
                <c:pt idx="3357">
                  <c:v>2.2444262158941797E-2</c:v>
                </c:pt>
                <c:pt idx="3358">
                  <c:v>2.269306069592103E-2</c:v>
                </c:pt>
                <c:pt idx="3359">
                  <c:v>2.2941711182596247E-2</c:v>
                </c:pt>
                <c:pt idx="3360">
                  <c:v>2.319021375107555E-2</c:v>
                </c:pt>
                <c:pt idx="3361">
                  <c:v>2.3438568533311166E-2</c:v>
                </c:pt>
                <c:pt idx="3362">
                  <c:v>2.3686775661098558E-2</c:v>
                </c:pt>
                <c:pt idx="3363">
                  <c:v>2.3934835266075982E-2</c:v>
                </c:pt>
                <c:pt idx="3364">
                  <c:v>2.4182747479725819E-2</c:v>
                </c:pt>
                <c:pt idx="3365">
                  <c:v>2.3242511245371578E-2</c:v>
                </c:pt>
                <c:pt idx="3366">
                  <c:v>2.3490481802130869E-2</c:v>
                </c:pt>
                <c:pt idx="3367">
                  <c:v>2.3738305151673078E-2</c:v>
                </c:pt>
                <c:pt idx="3368">
                  <c:v>2.3985981425043601E-2</c:v>
                </c:pt>
                <c:pt idx="3369">
                  <c:v>2.4233510753131959E-2</c:v>
                </c:pt>
                <c:pt idx="3370">
                  <c:v>2.4480893266671799E-2</c:v>
                </c:pt>
                <c:pt idx="3371">
                  <c:v>2.4728129096243112E-2</c:v>
                </c:pt>
                <c:pt idx="3372">
                  <c:v>2.497521837226957E-2</c:v>
                </c:pt>
                <c:pt idx="3373">
                  <c:v>2.5222161225021633E-2</c:v>
                </c:pt>
                <c:pt idx="3374">
                  <c:v>2.5468957784614332E-2</c:v>
                </c:pt>
                <c:pt idx="3375">
                  <c:v>2.5715608181009486E-2</c:v>
                </c:pt>
                <c:pt idx="3376">
                  <c:v>2.5962112544013927E-2</c:v>
                </c:pt>
                <c:pt idx="3377">
                  <c:v>2.5024688819203611E-2</c:v>
                </c:pt>
                <c:pt idx="3378">
                  <c:v>2.5271251735650591E-2</c:v>
                </c:pt>
                <c:pt idx="3379">
                  <c:v>2.5517668800032478E-2</c:v>
                </c:pt>
                <c:pt idx="3380">
                  <c:v>2.5763940141726671E-2</c:v>
                </c:pt>
                <c:pt idx="3381">
                  <c:v>2.6010065889958689E-2</c:v>
                </c:pt>
                <c:pt idx="3382">
                  <c:v>2.6256046173800396E-2</c:v>
                </c:pt>
                <c:pt idx="3383">
                  <c:v>2.6501881122171334E-2</c:v>
                </c:pt>
                <c:pt idx="3384">
                  <c:v>2.556623595539298E-2</c:v>
                </c:pt>
                <c:pt idx="3385">
                  <c:v>2.4631143280593459E-2</c:v>
                </c:pt>
                <c:pt idx="3386">
                  <c:v>2.4877240152827884E-2</c:v>
                </c:pt>
                <c:pt idx="3387">
                  <c:v>2.5123191792325361E-2</c:v>
                </c:pt>
                <c:pt idx="3388">
                  <c:v>2.5368998327611081E-2</c:v>
                </c:pt>
                <c:pt idx="3389">
                  <c:v>2.5614659887057467E-2</c:v>
                </c:pt>
                <c:pt idx="3390">
                  <c:v>2.5860176598885953E-2</c:v>
                </c:pt>
                <c:pt idx="3391">
                  <c:v>2.6105548591167871E-2</c:v>
                </c:pt>
                <c:pt idx="3392">
                  <c:v>2.635077599182134E-2</c:v>
                </c:pt>
                <c:pt idx="3393">
                  <c:v>2.6595858928616156E-2</c:v>
                </c:pt>
                <c:pt idx="3394">
                  <c:v>2.6840797529170235E-2</c:v>
                </c:pt>
                <c:pt idx="3395">
                  <c:v>2.7085591920951835E-2</c:v>
                </c:pt>
                <c:pt idx="3396">
                  <c:v>2.6153079194197293E-2</c:v>
                </c:pt>
                <c:pt idx="3397">
                  <c:v>2.6397931876520619E-2</c:v>
                </c:pt>
                <c:pt idx="3398">
                  <c:v>2.6642640527854144E-2</c:v>
                </c:pt>
                <c:pt idx="3399">
                  <c:v>2.6887205275246462E-2</c:v>
                </c:pt>
                <c:pt idx="3400">
                  <c:v>2.5955847292041145E-2</c:v>
                </c:pt>
                <c:pt idx="3401">
                  <c:v>2.620047012457638E-2</c:v>
                </c:pt>
                <c:pt idx="3402">
                  <c:v>2.6444949230418402E-2</c:v>
                </c:pt>
                <c:pt idx="3403">
                  <c:v>2.5514541711234795E-2</c:v>
                </c:pt>
                <c:pt idx="3404">
                  <c:v>2.5759078647435096E-2</c:v>
                </c:pt>
                <c:pt idx="3405">
                  <c:v>2.6003472033922836E-2</c:v>
                </c:pt>
                <c:pt idx="3406">
                  <c:v>2.5074013076873403E-2</c:v>
                </c:pt>
                <c:pt idx="3407">
                  <c:v>2.5318464040010369E-2</c:v>
                </c:pt>
                <c:pt idx="3408">
                  <c:v>2.5562771630148085E-2</c:v>
                </c:pt>
                <c:pt idx="3409">
                  <c:v>2.5806935973384793E-2</c:v>
                </c:pt>
                <c:pt idx="3410">
                  <c:v>2.6050957195669966E-2</c:v>
                </c:pt>
                <c:pt idx="3411">
                  <c:v>2.5122845970710905E-2</c:v>
                </c:pt>
                <c:pt idx="3412">
                  <c:v>2.4195278454729241E-2</c:v>
                </c:pt>
                <c:pt idx="3413">
                  <c:v>2.4439557244760213E-2</c:v>
                </c:pt>
                <c:pt idx="3414">
                  <c:v>2.4683693014422303E-2</c:v>
                </c:pt>
                <c:pt idx="3415">
                  <c:v>2.3757068388550628E-2</c:v>
                </c:pt>
                <c:pt idx="3416">
                  <c:v>2.4001260980131001E-2</c:v>
                </c:pt>
                <c:pt idx="3417">
                  <c:v>2.4245310727258662E-2</c:v>
                </c:pt>
                <c:pt idx="3418">
                  <c:v>2.4489217755236048E-2</c:v>
                </c:pt>
                <c:pt idx="3419">
                  <c:v>2.4732982189219044E-2</c:v>
                </c:pt>
                <c:pt idx="3420">
                  <c:v>2.4976604154216098E-2</c:v>
                </c:pt>
                <c:pt idx="3421">
                  <c:v>2.5220083775091329E-2</c:v>
                </c:pt>
                <c:pt idx="3422">
                  <c:v>2.5463421176561862E-2</c:v>
                </c:pt>
                <c:pt idx="3423">
                  <c:v>2.5706616483199607E-2</c:v>
                </c:pt>
                <c:pt idx="3424">
                  <c:v>2.5949669819430365E-2</c:v>
                </c:pt>
                <c:pt idx="3425">
                  <c:v>2.6192581309535612E-2</c:v>
                </c:pt>
                <c:pt idx="3426">
                  <c:v>2.6435351077651603E-2</c:v>
                </c:pt>
                <c:pt idx="3427">
                  <c:v>2.6677979247768935E-2</c:v>
                </c:pt>
                <c:pt idx="3428">
                  <c:v>2.6920465943734762E-2</c:v>
                </c:pt>
                <c:pt idx="3429">
                  <c:v>2.5996970426528598E-2</c:v>
                </c:pt>
                <c:pt idx="3430">
                  <c:v>2.6239514242374806E-2</c:v>
                </c:pt>
                <c:pt idx="3431">
                  <c:v>2.5316755090661225E-2</c:v>
                </c:pt>
                <c:pt idx="3432">
                  <c:v>2.4394533364196391E-2</c:v>
                </c:pt>
                <c:pt idx="3433">
                  <c:v>2.4637331854166167E-2</c:v>
                </c:pt>
                <c:pt idx="3434">
                  <c:v>2.371584466399046E-2</c:v>
                </c:pt>
                <c:pt idx="3435">
                  <c:v>2.3958699334268641E-2</c:v>
                </c:pt>
                <c:pt idx="3436">
                  <c:v>2.4201412727833382E-2</c:v>
                </c:pt>
                <c:pt idx="3437">
                  <c:v>2.444398496792699E-2</c:v>
                </c:pt>
                <c:pt idx="3438">
                  <c:v>2.4686416177648773E-2</c:v>
                </c:pt>
                <c:pt idx="3439">
                  <c:v>2.4928706479954155E-2</c:v>
                </c:pt>
                <c:pt idx="3440">
                  <c:v>2.5170855997656005E-2</c:v>
                </c:pt>
                <c:pt idx="3441">
                  <c:v>2.5412864853425088E-2</c:v>
                </c:pt>
                <c:pt idx="3442">
                  <c:v>2.5654733169788724E-2</c:v>
                </c:pt>
                <c:pt idx="3443">
                  <c:v>2.5896461069133014E-2</c:v>
                </c:pt>
                <c:pt idx="3444">
                  <c:v>2.613804867370062E-2</c:v>
                </c:pt>
                <c:pt idx="3445">
                  <c:v>2.6379496105594313E-2</c:v>
                </c:pt>
                <c:pt idx="3446">
                  <c:v>2.6620803486772981E-2</c:v>
                </c:pt>
                <c:pt idx="3447">
                  <c:v>2.6861970939055624E-2</c:v>
                </c:pt>
                <c:pt idx="3448">
                  <c:v>2.7102998584120019E-2</c:v>
                </c:pt>
                <c:pt idx="3449">
                  <c:v>2.7343886543501394E-2</c:v>
                </c:pt>
                <c:pt idx="3450">
                  <c:v>2.6425886387031916E-2</c:v>
                </c:pt>
                <c:pt idx="3451">
                  <c:v>2.6666830916433515E-2</c:v>
                </c:pt>
                <c:pt idx="3452">
                  <c:v>2.5749558338405976E-2</c:v>
                </c:pt>
                <c:pt idx="3453">
                  <c:v>2.5990559145373293E-2</c:v>
                </c:pt>
                <c:pt idx="3454">
                  <c:v>2.6231420484280843E-2</c:v>
                </c:pt>
                <c:pt idx="3455">
                  <c:v>2.647214247615981E-2</c:v>
                </c:pt>
                <c:pt idx="3456">
                  <c:v>2.6712725241901492E-2</c:v>
                </c:pt>
                <c:pt idx="3457">
                  <c:v>2.6953168902256408E-2</c:v>
                </c:pt>
                <c:pt idx="3458">
                  <c:v>2.7193473577836969E-2</c:v>
                </c:pt>
                <c:pt idx="3459">
                  <c:v>2.7433639389114806E-2</c:v>
                </c:pt>
                <c:pt idx="3460">
                  <c:v>2.7673666456422996E-2</c:v>
                </c:pt>
                <c:pt idx="3461">
                  <c:v>2.6758487039718837E-2</c:v>
                </c:pt>
                <c:pt idx="3462">
                  <c:v>2.6998570428682811E-2</c:v>
                </c:pt>
                <c:pt idx="3463">
                  <c:v>2.7238515241375882E-2</c:v>
                </c:pt>
                <c:pt idx="3464">
                  <c:v>2.7478321597742994E-2</c:v>
                </c:pt>
                <c:pt idx="3465">
                  <c:v>2.6564254399823461E-2</c:v>
                </c:pt>
                <c:pt idx="3466">
                  <c:v>2.6804116883102136E-2</c:v>
                </c:pt>
                <c:pt idx="3467">
                  <c:v>2.7043841077257991E-2</c:v>
                </c:pt>
                <c:pt idx="3468">
                  <c:v>2.7283427101849611E-2</c:v>
                </c:pt>
                <c:pt idx="3469">
                  <c:v>2.7522875076297471E-2</c:v>
                </c:pt>
                <c:pt idx="3470">
                  <c:v>2.7762185119884375E-2</c:v>
                </c:pt>
                <c:pt idx="3471">
                  <c:v>2.8001357351755907E-2</c:v>
                </c:pt>
                <c:pt idx="3472">
                  <c:v>2.8240391890920868E-2</c:v>
                </c:pt>
                <c:pt idx="3473">
                  <c:v>2.8479288856249951E-2</c:v>
                </c:pt>
                <c:pt idx="3474">
                  <c:v>2.8718048366478399E-2</c:v>
                </c:pt>
                <c:pt idx="3475">
                  <c:v>2.8956670540203788E-2</c:v>
                </c:pt>
                <c:pt idx="3476">
                  <c:v>2.9195155495888248E-2</c:v>
                </c:pt>
                <c:pt idx="3477">
                  <c:v>2.9433503351856682E-2</c:v>
                </c:pt>
                <c:pt idx="3478">
                  <c:v>2.9671714226298995E-2</c:v>
                </c:pt>
                <c:pt idx="3479">
                  <c:v>2.9909788237267865E-2</c:v>
                </c:pt>
                <c:pt idx="3480">
                  <c:v>3.0147725502682299E-2</c:v>
                </c:pt>
                <c:pt idx="3481">
                  <c:v>3.0385526140324526E-2</c:v>
                </c:pt>
                <c:pt idx="3482">
                  <c:v>2.9475084642124116E-2</c:v>
                </c:pt>
                <c:pt idx="3483">
                  <c:v>2.9712941819102223E-2</c:v>
                </c:pt>
                <c:pt idx="3484">
                  <c:v>2.9950662531836425E-2</c:v>
                </c:pt>
                <c:pt idx="3485">
                  <c:v>3.0188246897731918E-2</c:v>
                </c:pt>
                <c:pt idx="3486">
                  <c:v>3.0425695034060229E-2</c:v>
                </c:pt>
                <c:pt idx="3487">
                  <c:v>2.9516546754145168E-2</c:v>
                </c:pt>
                <c:pt idx="3488">
                  <c:v>2.9754051281266847E-2</c:v>
                </c:pt>
                <c:pt idx="3489">
                  <c:v>2.8845616246929939E-2</c:v>
                </c:pt>
                <c:pt idx="3490">
                  <c:v>2.7937701507572132E-2</c:v>
                </c:pt>
                <c:pt idx="3491">
                  <c:v>2.8175454054065963E-2</c:v>
                </c:pt>
                <c:pt idx="3492">
                  <c:v>2.8413070508661598E-2</c:v>
                </c:pt>
                <c:pt idx="3493">
                  <c:v>2.8650550988175372E-2</c:v>
                </c:pt>
                <c:pt idx="3494">
                  <c:v>2.7743730849566273E-2</c:v>
                </c:pt>
                <c:pt idx="3495">
                  <c:v>2.798126691349534E-2</c:v>
                </c:pt>
                <c:pt idx="3496">
                  <c:v>2.8218667164924049E-2</c:v>
                </c:pt>
                <c:pt idx="3497">
                  <c:v>2.8455931720295702E-2</c:v>
                </c:pt>
                <c:pt idx="3498">
                  <c:v>2.8693060695921258E-2</c:v>
                </c:pt>
                <c:pt idx="3499">
                  <c:v>2.8930054207978895E-2</c:v>
                </c:pt>
                <c:pt idx="3500">
                  <c:v>2.9166912372514009E-2</c:v>
                </c:pt>
                <c:pt idx="3501">
                  <c:v>2.9403635305439657E-2</c:v>
                </c:pt>
                <c:pt idx="3502">
                  <c:v>2.9640223122535669E-2</c:v>
                </c:pt>
                <c:pt idx="3503">
                  <c:v>2.987667593945087E-2</c:v>
                </c:pt>
                <c:pt idx="3504">
                  <c:v>3.0112993871701299E-2</c:v>
                </c:pt>
                <c:pt idx="3505">
                  <c:v>2.9208601043796634E-2</c:v>
                </c:pt>
                <c:pt idx="3506">
                  <c:v>2.9444974688427994E-2</c:v>
                </c:pt>
                <c:pt idx="3507">
                  <c:v>2.968121360883913E-2</c:v>
                </c:pt>
                <c:pt idx="3508">
                  <c:v>2.8777716780577389E-2</c:v>
                </c:pt>
                <c:pt idx="3509">
                  <c:v>2.9014011178079446E-2</c:v>
                </c:pt>
                <c:pt idx="3510">
                  <c:v>2.9250171011573567E-2</c:v>
                </c:pt>
                <c:pt idx="3511">
                  <c:v>2.9486196395974051E-2</c:v>
                </c:pt>
                <c:pt idx="3512">
                  <c:v>2.9722087446063306E-2</c:v>
                </c:pt>
                <c:pt idx="3513">
                  <c:v>2.9957844276494061E-2</c:v>
                </c:pt>
                <c:pt idx="3514">
                  <c:v>2.9055810574029284E-2</c:v>
                </c:pt>
                <c:pt idx="3515">
                  <c:v>2.9291622782114946E-2</c:v>
                </c:pt>
                <c:pt idx="3516">
                  <c:v>2.9527300929820477E-2</c:v>
                </c:pt>
                <c:pt idx="3517">
                  <c:v>2.9762845131434457E-2</c:v>
                </c:pt>
                <c:pt idx="3518">
                  <c:v>2.9998255501115789E-2</c:v>
                </c:pt>
                <c:pt idx="3519">
                  <c:v>2.9097491255421382E-2</c:v>
                </c:pt>
                <c:pt idx="3520">
                  <c:v>2.9332956858815429E-2</c:v>
                </c:pt>
                <c:pt idx="3521">
                  <c:v>2.956828878886153E-2</c:v>
                </c:pt>
                <c:pt idx="3522">
                  <c:v>2.9803487159355768E-2</c:v>
                </c:pt>
                <c:pt idx="3523">
                  <c:v>2.8903800310915884E-2</c:v>
                </c:pt>
                <c:pt idx="3524">
                  <c:v>2.9139053727280206E-2</c:v>
                </c:pt>
                <c:pt idx="3525">
                  <c:v>2.9374173742217291E-2</c:v>
                </c:pt>
                <c:pt idx="3526">
                  <c:v>2.9609160469163953E-2</c:v>
                </c:pt>
                <c:pt idx="3527">
                  <c:v>2.9844014021428222E-2</c:v>
                </c:pt>
                <c:pt idx="3528">
                  <c:v>3.0078734512189786E-2</c:v>
                </c:pt>
                <c:pt idx="3529">
                  <c:v>3.0313322054500436E-2</c:v>
                </c:pt>
                <c:pt idx="3530">
                  <c:v>2.9415273930025521E-2</c:v>
                </c:pt>
                <c:pt idx="3531">
                  <c:v>2.9649916463985626E-2</c:v>
                </c:pt>
                <c:pt idx="3532">
                  <c:v>2.9884426206471915E-2</c:v>
                </c:pt>
                <c:pt idx="3533">
                  <c:v>3.0118803270178685E-2</c:v>
                </c:pt>
                <c:pt idx="3534">
                  <c:v>2.9221826048215771E-2</c:v>
                </c:pt>
                <c:pt idx="3535">
                  <c:v>2.9456257917133577E-2</c:v>
                </c:pt>
                <c:pt idx="3536">
                  <c:v>2.8559975013937589E-2</c:v>
                </c:pt>
                <c:pt idx="3537">
                  <c:v>2.8794461414445305E-2</c:v>
                </c:pt>
                <c:pt idx="3538">
                  <c:v>2.789887183393569E-2</c:v>
                </c:pt>
                <c:pt idx="3539">
                  <c:v>2.7003788093347136E-2</c:v>
                </c:pt>
                <c:pt idx="3540">
                  <c:v>2.6109209764244135E-2</c:v>
                </c:pt>
                <c:pt idx="3541">
                  <c:v>2.6344123153080101E-2</c:v>
                </c:pt>
                <c:pt idx="3542">
                  <c:v>2.6578903972283463E-2</c:v>
                </c:pt>
                <c:pt idx="3543">
                  <c:v>2.6813552334043145E-2</c:v>
                </c:pt>
                <c:pt idx="3544">
                  <c:v>2.7048068350421062E-2</c:v>
                </c:pt>
                <c:pt idx="3545">
                  <c:v>2.6154738572597758E-2</c:v>
                </c:pt>
                <c:pt idx="3546">
                  <c:v>2.6389308078752727E-2</c:v>
                </c:pt>
                <c:pt idx="3547">
                  <c:v>2.6623745395836451E-2</c:v>
                </c:pt>
                <c:pt idx="3548">
                  <c:v>2.6858050635559128E-2</c:v>
                </c:pt>
                <c:pt idx="3549">
                  <c:v>2.596578065408206E-2</c:v>
                </c:pt>
                <c:pt idx="3550">
                  <c:v>2.6200139202999573E-2</c:v>
                </c:pt>
                <c:pt idx="3551">
                  <c:v>2.6434365830415363E-2</c:v>
                </c:pt>
                <c:pt idx="3552">
                  <c:v>2.5542968244759656E-2</c:v>
                </c:pt>
                <c:pt idx="3553">
                  <c:v>2.4652072148603654E-2</c:v>
                </c:pt>
                <c:pt idx="3554">
                  <c:v>2.4886536511444124E-2</c:v>
                </c:pt>
                <c:pt idx="3555">
                  <c:v>2.399632588729439E-2</c:v>
                </c:pt>
                <c:pt idx="3556">
                  <c:v>2.4230842756468807E-2</c:v>
                </c:pt>
                <c:pt idx="3557">
                  <c:v>2.3341316626559916E-2</c:v>
                </c:pt>
                <c:pt idx="3558">
                  <c:v>2.2452290230431604E-2</c:v>
                </c:pt>
                <c:pt idx="3559">
                  <c:v>2.2687043124613115E-2</c:v>
                </c:pt>
                <c:pt idx="3560">
                  <c:v>2.292166420919628E-2</c:v>
                </c:pt>
                <c:pt idx="3561">
                  <c:v>2.3156153595163431E-2</c:v>
                </c:pt>
                <c:pt idx="3562">
                  <c:v>2.3390511393371671E-2</c:v>
                </c:pt>
                <c:pt idx="3563">
                  <c:v>2.2502718079211004E-2</c:v>
                </c:pt>
                <c:pt idx="3564">
                  <c:v>2.1615422686146246E-2</c:v>
                </c:pt>
                <c:pt idx="3565">
                  <c:v>2.1850015319654581E-2</c:v>
                </c:pt>
                <c:pt idx="3566">
                  <c:v>2.0963400221865935E-2</c:v>
                </c:pt>
                <c:pt idx="3567">
                  <c:v>2.007728196638503E-2</c:v>
                </c:pt>
                <c:pt idx="3568">
                  <c:v>2.0312108314968658E-2</c:v>
                </c:pt>
                <c:pt idx="3569">
                  <c:v>2.0546803145014891E-2</c:v>
                </c:pt>
                <c:pt idx="3570">
                  <c:v>2.0781366566981596E-2</c:v>
                </c:pt>
                <c:pt idx="3571">
                  <c:v>2.101579869120318E-2</c:v>
                </c:pt>
                <c:pt idx="3572">
                  <c:v>2.1250099627890151E-2</c:v>
                </c:pt>
                <c:pt idx="3573">
                  <c:v>2.0365388368248638E-2</c:v>
                </c:pt>
                <c:pt idx="3574">
                  <c:v>1.94811719135628E-2</c:v>
                </c:pt>
                <c:pt idx="3575">
                  <c:v>1.9715705370229042E-2</c:v>
                </c:pt>
                <c:pt idx="3576">
                  <c:v>1.9950107729379774E-2</c:v>
                </c:pt>
                <c:pt idx="3577">
                  <c:v>2.018437910090265E-2</c:v>
                </c:pt>
                <c:pt idx="3578">
                  <c:v>2.0418519594564533E-2</c:v>
                </c:pt>
                <c:pt idx="3579">
                  <c:v>2.0652529320008828E-2</c:v>
                </c:pt>
                <c:pt idx="3580">
                  <c:v>2.0886408386756372E-2</c:v>
                </c:pt>
                <c:pt idx="3581">
                  <c:v>2.1120156904206322E-2</c:v>
                </c:pt>
                <c:pt idx="3582">
                  <c:v>2.1353774981635265E-2</c:v>
                </c:pt>
                <c:pt idx="3583">
                  <c:v>2.1587262728198553E-2</c:v>
                </c:pt>
                <c:pt idx="3584">
                  <c:v>2.1820620252928524E-2</c:v>
                </c:pt>
                <c:pt idx="3585">
                  <c:v>2.0938709666409761E-2</c:v>
                </c:pt>
                <c:pt idx="3586">
                  <c:v>2.1172117870630558E-2</c:v>
                </c:pt>
                <c:pt idx="3587">
                  <c:v>2.0290879427760533E-2</c:v>
                </c:pt>
                <c:pt idx="3588">
                  <c:v>2.0524338053661051E-2</c:v>
                </c:pt>
                <c:pt idx="3589">
                  <c:v>2.0757666655264018E-2</c:v>
                </c:pt>
                <c:pt idx="3590">
                  <c:v>2.0990865341164788E-2</c:v>
                </c:pt>
                <c:pt idx="3591">
                  <c:v>2.0110658405753767E-2</c:v>
                </c:pt>
                <c:pt idx="3592">
                  <c:v>2.0343907345098167E-2</c:v>
                </c:pt>
                <c:pt idx="3593">
                  <c:v>2.0577026521472419E-2</c:v>
                </c:pt>
                <c:pt idx="3594">
                  <c:v>2.0810016043132151E-2</c:v>
                </c:pt>
                <c:pt idx="3595">
                  <c:v>1.9930838208928048E-2</c:v>
                </c:pt>
                <c:pt idx="3596">
                  <c:v>2.0163877816543607E-2</c:v>
                </c:pt>
                <c:pt idx="3597">
                  <c:v>1.9285368082893939E-2</c:v>
                </c:pt>
                <c:pt idx="3598">
                  <c:v>1.9518457521317867E-2</c:v>
                </c:pt>
                <c:pt idx="3599">
                  <c:v>1.9751417501570501E-2</c:v>
                </c:pt>
                <c:pt idx="3600">
                  <c:v>1.9984248131472704E-2</c:v>
                </c:pt>
                <c:pt idx="3601">
                  <c:v>2.0216949518727656E-2</c:v>
                </c:pt>
                <c:pt idx="3602">
                  <c:v>2.0449521770917301E-2</c:v>
                </c:pt>
                <c:pt idx="3603">
                  <c:v>2.0681964995505009E-2</c:v>
                </c:pt>
                <c:pt idx="3604">
                  <c:v>2.0914279299835137E-2</c:v>
                </c:pt>
                <c:pt idx="3605">
                  <c:v>2.1146464791133024E-2</c:v>
                </c:pt>
                <c:pt idx="3606">
                  <c:v>2.0269874126392917E-2</c:v>
                </c:pt>
                <c:pt idx="3607">
                  <c:v>2.0502109502475996E-2</c:v>
                </c:pt>
                <c:pt idx="3608">
                  <c:v>2.0734216216300894E-2</c:v>
                </c:pt>
                <c:pt idx="3609">
                  <c:v>2.0966194374759439E-2</c:v>
                </c:pt>
                <c:pt idx="3610">
                  <c:v>2.1198044084625334E-2</c:v>
                </c:pt>
                <c:pt idx="3611">
                  <c:v>2.142976545255415E-2</c:v>
                </c:pt>
                <c:pt idx="3612">
                  <c:v>2.1661358585082446E-2</c:v>
                </c:pt>
                <c:pt idx="3613">
                  <c:v>2.1892823588629984E-2</c:v>
                </c:pt>
                <c:pt idx="3614">
                  <c:v>2.1017965879233547E-2</c:v>
                </c:pt>
                <c:pt idx="3615">
                  <c:v>2.1249480775703322E-2</c:v>
                </c:pt>
                <c:pt idx="3616">
                  <c:v>2.1480867692683425E-2</c:v>
                </c:pt>
                <c:pt idx="3617">
                  <c:v>2.060684903524157E-2</c:v>
                </c:pt>
                <c:pt idx="3618">
                  <c:v>2.0838285636726184E-2</c:v>
                </c:pt>
                <c:pt idx="3619">
                  <c:v>1.996492718899745E-2</c:v>
                </c:pt>
                <c:pt idx="3620">
                  <c:v>2.0196413224121912E-2</c:v>
                </c:pt>
                <c:pt idx="3621">
                  <c:v>2.042777147231023E-2</c:v>
                </c:pt>
                <c:pt idx="3622">
                  <c:v>2.0659002039345786E-2</c:v>
                </c:pt>
                <c:pt idx="3623">
                  <c:v>2.08901050308965E-2</c:v>
                </c:pt>
                <c:pt idx="3624">
                  <c:v>2.0017936592225727E-2</c:v>
                </c:pt>
                <c:pt idx="3625">
                  <c:v>2.0249088897110745E-2</c:v>
                </c:pt>
                <c:pt idx="3626">
                  <c:v>2.0480113775146247E-2</c:v>
                </c:pt>
                <c:pt idx="3627">
                  <c:v>2.0711011331672857E-2</c:v>
                </c:pt>
                <c:pt idx="3628">
                  <c:v>2.094178167191485E-2</c:v>
                </c:pt>
                <c:pt idx="3629">
                  <c:v>2.1172424900980591E-2</c:v>
                </c:pt>
                <c:pt idx="3630">
                  <c:v>2.1402941123863428E-2</c:v>
                </c:pt>
                <c:pt idx="3631">
                  <c:v>2.1633330445439469E-2</c:v>
                </c:pt>
                <c:pt idx="3632">
                  <c:v>2.1863592970471135E-2</c:v>
                </c:pt>
                <c:pt idx="3633">
                  <c:v>2.2093728803604495E-2</c:v>
                </c:pt>
                <c:pt idx="3634">
                  <c:v>2.1223628038369746E-2</c:v>
                </c:pt>
                <c:pt idx="3635">
                  <c:v>2.1453813278505152E-2</c:v>
                </c:pt>
                <c:pt idx="3636">
                  <c:v>2.0584366751053462E-2</c:v>
                </c:pt>
                <c:pt idx="3637">
                  <c:v>2.081460115052014E-2</c:v>
                </c:pt>
                <c:pt idx="3638">
                  <c:v>2.1044709047569388E-2</c:v>
                </c:pt>
                <c:pt idx="3639">
                  <c:v>2.0176091260522888E-2</c:v>
                </c:pt>
                <c:pt idx="3640">
                  <c:v>2.0406248112568193E-2</c:v>
                </c:pt>
                <c:pt idx="3641">
                  <c:v>2.0636278608944014E-2</c:v>
                </c:pt>
                <c:pt idx="3642">
                  <c:v>2.0866182853675586E-2</c:v>
                </c:pt>
                <c:pt idx="3643">
                  <c:v>2.109596095067312E-2</c:v>
                </c:pt>
                <c:pt idx="3644">
                  <c:v>2.1325613003734034E-2</c:v>
                </c:pt>
                <c:pt idx="3645">
                  <c:v>2.1555139116540722E-2</c:v>
                </c:pt>
                <c:pt idx="3646">
                  <c:v>2.1784539392663227E-2</c:v>
                </c:pt>
                <c:pt idx="3647">
                  <c:v>2.0917623198367874E-2</c:v>
                </c:pt>
                <c:pt idx="3648">
                  <c:v>2.0051182026645353E-2</c:v>
                </c:pt>
                <c:pt idx="3649">
                  <c:v>2.0280805736418994E-2</c:v>
                </c:pt>
                <c:pt idx="3650">
                  <c:v>2.0510303693887177E-2</c:v>
                </c:pt>
                <c:pt idx="3651">
                  <c:v>2.0739676002322849E-2</c:v>
                </c:pt>
                <c:pt idx="3652">
                  <c:v>2.0968922764886599E-2</c:v>
                </c:pt>
                <c:pt idx="3653">
                  <c:v>2.1198044084625334E-2</c:v>
                </c:pt>
                <c:pt idx="3654">
                  <c:v>2.033294816075415E-2</c:v>
                </c:pt>
                <c:pt idx="3655">
                  <c:v>2.0562118080975189E-2</c:v>
                </c:pt>
                <c:pt idx="3656">
                  <c:v>1.9697668990851902E-2</c:v>
                </c:pt>
                <c:pt idx="3657">
                  <c:v>1.992688726836489E-2</c:v>
                </c:pt>
                <c:pt idx="3658">
                  <c:v>2.0155980289988218E-2</c:v>
                </c:pt>
                <c:pt idx="3659">
                  <c:v>2.0384948158363336E-2</c:v>
                </c:pt>
                <c:pt idx="3660">
                  <c:v>2.0613790976018009E-2</c:v>
                </c:pt>
                <c:pt idx="3661">
                  <c:v>2.0842508845369423E-2</c:v>
                </c:pt>
                <c:pt idx="3662">
                  <c:v>2.1071101868721964E-2</c:v>
                </c:pt>
                <c:pt idx="3663">
                  <c:v>2.1299570148269442E-2</c:v>
                </c:pt>
                <c:pt idx="3664">
                  <c:v>2.0436806312007061E-2</c:v>
                </c:pt>
                <c:pt idx="3665">
                  <c:v>2.0665322957793553E-2</c:v>
                </c:pt>
                <c:pt idx="3666">
                  <c:v>2.0893715003445834E-2</c:v>
                </c:pt>
                <c:pt idx="3667">
                  <c:v>2.1121982550844631E-2</c:v>
                </c:pt>
                <c:pt idx="3668">
                  <c:v>2.1350125701760092E-2</c:v>
                </c:pt>
                <c:pt idx="3669">
                  <c:v>2.1578144557850454E-2</c:v>
                </c:pt>
                <c:pt idx="3670">
                  <c:v>2.1806039220664264E-2</c:v>
                </c:pt>
                <c:pt idx="3671">
                  <c:v>2.2033809791639047E-2</c:v>
                </c:pt>
                <c:pt idx="3672">
                  <c:v>2.2261456372101307E-2</c:v>
                </c:pt>
                <c:pt idx="3673">
                  <c:v>2.24889790632683E-2</c:v>
                </c:pt>
                <c:pt idx="3674">
                  <c:v>2.1628238684417767E-2</c:v>
                </c:pt>
                <c:pt idx="3675">
                  <c:v>2.1855809831474282E-2</c:v>
                </c:pt>
                <c:pt idx="3676">
                  <c:v>2.2083257231305442E-2</c:v>
                </c:pt>
                <c:pt idx="3677">
                  <c:v>2.2310580984819417E-2</c:v>
                </c:pt>
                <c:pt idx="3678">
                  <c:v>2.2537781192815576E-2</c:v>
                </c:pt>
                <c:pt idx="3679">
                  <c:v>2.1678196722621834E-2</c:v>
                </c:pt>
                <c:pt idx="3680">
                  <c:v>2.1905445269522428E-2</c:v>
                </c:pt>
                <c:pt idx="3681">
                  <c:v>2.2132570412379149E-2</c:v>
                </c:pt>
                <c:pt idx="3682">
                  <c:v>2.2359572251683613E-2</c:v>
                </c:pt>
                <c:pt idx="3683">
                  <c:v>2.2586450887818632E-2</c:v>
                </c:pt>
                <c:pt idx="3684">
                  <c:v>2.1728019226267659E-2</c:v>
                </c:pt>
                <c:pt idx="3685">
                  <c:v>2.1954946084739024E-2</c:v>
                </c:pt>
                <c:pt idx="3686">
                  <c:v>2.2181749880922919E-2</c:v>
                </c:pt>
                <c:pt idx="3687">
                  <c:v>2.2408430714896621E-2</c:v>
                </c:pt>
                <c:pt idx="3688">
                  <c:v>2.2634988686629498E-2</c:v>
                </c:pt>
                <c:pt idx="3689">
                  <c:v>2.2861423895983002E-2</c:v>
                </c:pt>
                <c:pt idx="3690">
                  <c:v>2.3087736442709783E-2</c:v>
                </c:pt>
                <c:pt idx="3691">
                  <c:v>2.3313926426453691E-2</c:v>
                </c:pt>
                <c:pt idx="3692">
                  <c:v>2.2457156913726184E-2</c:v>
                </c:pt>
                <c:pt idx="3693">
                  <c:v>2.268339512468609E-2</c:v>
                </c:pt>
                <c:pt idx="3694">
                  <c:v>2.1827259830120127E-2</c:v>
                </c:pt>
                <c:pt idx="3695">
                  <c:v>2.2053546031521432E-2</c:v>
                </c:pt>
                <c:pt idx="3696">
                  <c:v>2.2279709849903906E-2</c:v>
                </c:pt>
                <c:pt idx="3697">
                  <c:v>2.2505751384524153E-2</c:v>
                </c:pt>
                <c:pt idx="3698">
                  <c:v>2.2731670734531306E-2</c:v>
                </c:pt>
                <c:pt idx="3699">
                  <c:v>2.2957467998966585E-2</c:v>
                </c:pt>
                <c:pt idx="3700">
                  <c:v>2.3183143276765517E-2</c:v>
                </c:pt>
                <c:pt idx="3701">
                  <c:v>2.3408696666755713E-2</c:v>
                </c:pt>
                <c:pt idx="3702">
                  <c:v>2.3634128267658205E-2</c:v>
                </c:pt>
                <c:pt idx="3703">
                  <c:v>2.3859438178088332E-2</c:v>
                </c:pt>
                <c:pt idx="3704">
                  <c:v>2.3005295681658655E-2</c:v>
                </c:pt>
                <c:pt idx="3705">
                  <c:v>2.3230653666748591E-2</c:v>
                </c:pt>
                <c:pt idx="3706">
                  <c:v>2.3455890099527199E-2</c:v>
                </c:pt>
                <c:pt idx="3707">
                  <c:v>2.368100507831139E-2</c:v>
                </c:pt>
                <c:pt idx="3708">
                  <c:v>2.3905998701311937E-2</c:v>
                </c:pt>
                <c:pt idx="3709">
                  <c:v>2.4130871066633919E-2</c:v>
                </c:pt>
                <c:pt idx="3710">
                  <c:v>2.4355622272275834E-2</c:v>
                </c:pt>
                <c:pt idx="3711">
                  <c:v>2.350295642905964E-2</c:v>
                </c:pt>
                <c:pt idx="3712">
                  <c:v>2.3727755672457995E-2</c:v>
                </c:pt>
                <c:pt idx="3713">
                  <c:v>2.3952433893383418E-2</c:v>
                </c:pt>
                <c:pt idx="3714">
                  <c:v>2.4176991189539532E-2</c:v>
                </c:pt>
                <c:pt idx="3715">
                  <c:v>2.4401427658525598E-2</c:v>
                </c:pt>
                <c:pt idx="3716">
                  <c:v>2.3549896168141071E-2</c:v>
                </c:pt>
                <c:pt idx="3717">
                  <c:v>2.3774380559171693E-2</c:v>
                </c:pt>
                <c:pt idx="3718">
                  <c:v>2.3998744259669191E-2</c:v>
                </c:pt>
                <c:pt idx="3719">
                  <c:v>2.4222987366938842E-2</c:v>
                </c:pt>
                <c:pt idx="3720">
                  <c:v>2.4447109978181114E-2</c:v>
                </c:pt>
                <c:pt idx="3721">
                  <c:v>2.4671112190491673E-2</c:v>
                </c:pt>
                <c:pt idx="3722">
                  <c:v>2.4894994100862267E-2</c:v>
                </c:pt>
                <c:pt idx="3723">
                  <c:v>2.5118755806179838E-2</c:v>
                </c:pt>
                <c:pt idx="3724">
                  <c:v>2.5342397403228745E-2</c:v>
                </c:pt>
                <c:pt idx="3725">
                  <c:v>2.5565918988688097E-2</c:v>
                </c:pt>
                <c:pt idx="3726">
                  <c:v>2.5789320659133974E-2</c:v>
                </c:pt>
                <c:pt idx="3727">
                  <c:v>2.6012602511038097E-2</c:v>
                </c:pt>
                <c:pt idx="3728">
                  <c:v>2.6235764640770043E-2</c:v>
                </c:pt>
                <c:pt idx="3729">
                  <c:v>2.6458807144594587E-2</c:v>
                </c:pt>
                <c:pt idx="3730">
                  <c:v>2.6681730118674363E-2</c:v>
                </c:pt>
                <c:pt idx="3731">
                  <c:v>2.5833009415832553E-2</c:v>
                </c:pt>
                <c:pt idx="3732">
                  <c:v>2.6055980582675886E-2</c:v>
                </c:pt>
                <c:pt idx="3733">
                  <c:v>2.6278832353981763E-2</c:v>
                </c:pt>
                <c:pt idx="3734">
                  <c:v>2.6501564825624602E-2</c:v>
                </c:pt>
                <c:pt idx="3735">
                  <c:v>2.672417809337535E-2</c:v>
                </c:pt>
                <c:pt idx="3736">
                  <c:v>2.6946672252903703E-2</c:v>
                </c:pt>
                <c:pt idx="3737">
                  <c:v>2.7169047399776325E-2</c:v>
                </c:pt>
                <c:pt idx="3738">
                  <c:v>2.7391303629458186E-2</c:v>
                </c:pt>
                <c:pt idx="3739">
                  <c:v>2.6544208211864095E-2</c:v>
                </c:pt>
                <c:pt idx="3740">
                  <c:v>2.6766512631478889E-2</c:v>
                </c:pt>
                <c:pt idx="3741">
                  <c:v>2.6988698267006228E-2</c:v>
                </c:pt>
                <c:pt idx="3742">
                  <c:v>2.7210765213625532E-2</c:v>
                </c:pt>
                <c:pt idx="3743">
                  <c:v>2.7432713566414968E-2</c:v>
                </c:pt>
                <c:pt idx="3744">
                  <c:v>2.7654543420351008E-2</c:v>
                </c:pt>
                <c:pt idx="3745">
                  <c:v>2.7876254870308426E-2</c:v>
                </c:pt>
                <c:pt idx="3746">
                  <c:v>2.8097848011060744E-2</c:v>
                </c:pt>
                <c:pt idx="3747">
                  <c:v>2.8319322937280678E-2</c:v>
                </c:pt>
                <c:pt idx="3748">
                  <c:v>2.8540679743540132E-2</c:v>
                </c:pt>
                <c:pt idx="3749">
                  <c:v>2.876191852430976E-2</c:v>
                </c:pt>
                <c:pt idx="3750">
                  <c:v>2.8983039373959407E-2</c:v>
                </c:pt>
                <c:pt idx="3751">
                  <c:v>2.9204042386758999E-2</c:v>
                </c:pt>
                <c:pt idx="3752">
                  <c:v>2.9424927656877209E-2</c:v>
                </c:pt>
                <c:pt idx="3753">
                  <c:v>2.9645695278382789E-2</c:v>
                </c:pt>
                <c:pt idx="3754">
                  <c:v>2.8801382618939719E-2</c:v>
                </c:pt>
                <c:pt idx="3755">
                  <c:v>2.9022198685958678E-2</c:v>
                </c:pt>
                <c:pt idx="3756">
                  <c:v>2.9242897235113752E-2</c:v>
                </c:pt>
                <c:pt idx="3757">
                  <c:v>2.9463478360193474E-2</c:v>
                </c:pt>
                <c:pt idx="3758">
                  <c:v>2.8620112367653494E-2</c:v>
                </c:pt>
                <c:pt idx="3759">
                  <c:v>2.8840741783777712E-2</c:v>
                </c:pt>
                <c:pt idx="3760">
                  <c:v>2.799798968506062E-2</c:v>
                </c:pt>
                <c:pt idx="3761">
                  <c:v>2.7155685501357496E-2</c:v>
                </c:pt>
                <c:pt idx="3762">
                  <c:v>2.7376528131779487E-2</c:v>
                </c:pt>
                <c:pt idx="3763">
                  <c:v>2.7597253448719439E-2</c:v>
                </c:pt>
                <c:pt idx="3764">
                  <c:v>2.7817861545629263E-2</c:v>
                </c:pt>
                <c:pt idx="3765">
                  <c:v>2.8038352515861398E-2</c:v>
                </c:pt>
                <c:pt idx="3766">
                  <c:v>2.8258726452669691E-2</c:v>
                </c:pt>
                <c:pt idx="3767">
                  <c:v>2.7417693982507263E-2</c:v>
                </c:pt>
                <c:pt idx="3768">
                  <c:v>2.6577107683416479E-2</c:v>
                </c:pt>
                <c:pt idx="3769">
                  <c:v>2.6797693798167543E-2</c:v>
                </c:pt>
                <c:pt idx="3770">
                  <c:v>2.7018162953154956E-2</c:v>
                </c:pt>
                <c:pt idx="3771">
                  <c:v>2.7238515241375882E-2</c:v>
                </c:pt>
                <c:pt idx="3772">
                  <c:v>2.74587507557289E-2</c:v>
                </c:pt>
                <c:pt idx="3773">
                  <c:v>2.7678869589014887E-2</c:v>
                </c:pt>
                <c:pt idx="3774">
                  <c:v>2.789887183393569E-2</c:v>
                </c:pt>
                <c:pt idx="3775">
                  <c:v>2.8118757583095455E-2</c:v>
                </c:pt>
                <c:pt idx="3776">
                  <c:v>2.8338526928999741E-2</c:v>
                </c:pt>
                <c:pt idx="3777">
                  <c:v>2.8558179964057295E-2</c:v>
                </c:pt>
                <c:pt idx="3778">
                  <c:v>2.8777716780577389E-2</c:v>
                </c:pt>
                <c:pt idx="3779">
                  <c:v>2.8997137470772927E-2</c:v>
                </c:pt>
                <c:pt idx="3780">
                  <c:v>2.9216442126759112E-2</c:v>
                </c:pt>
                <c:pt idx="3781">
                  <c:v>2.9435630840553006E-2</c:v>
                </c:pt>
                <c:pt idx="3782">
                  <c:v>2.9654703704075747E-2</c:v>
                </c:pt>
                <c:pt idx="3783">
                  <c:v>2.8816857638740423E-2</c:v>
                </c:pt>
                <c:pt idx="3784">
                  <c:v>2.9035978211580549E-2</c:v>
                </c:pt>
                <c:pt idx="3785">
                  <c:v>2.9254983061909989E-2</c:v>
                </c:pt>
                <c:pt idx="3786">
                  <c:v>2.8417906072297772E-2</c:v>
                </c:pt>
                <c:pt idx="3787">
                  <c:v>2.8636958445044769E-2</c:v>
                </c:pt>
                <c:pt idx="3788">
                  <c:v>2.8855895222871908E-2</c:v>
                </c:pt>
                <c:pt idx="3789">
                  <c:v>2.9074716497255348E-2</c:v>
                </c:pt>
                <c:pt idx="3790">
                  <c:v>2.9293422359573995E-2</c:v>
                </c:pt>
                <c:pt idx="3791">
                  <c:v>2.9512012901111273E-2</c:v>
                </c:pt>
                <c:pt idx="3792">
                  <c:v>2.9730488213053352E-2</c:v>
                </c:pt>
                <c:pt idx="3793">
                  <c:v>2.9948848386491367E-2</c:v>
                </c:pt>
                <c:pt idx="3794">
                  <c:v>3.016709351241964E-2</c:v>
                </c:pt>
                <c:pt idx="3795">
                  <c:v>3.0385223681737017E-2</c:v>
                </c:pt>
                <c:pt idx="3796">
                  <c:v>2.9550053097937123E-2</c:v>
                </c:pt>
                <c:pt idx="3797">
                  <c:v>2.9768230853481459E-2</c:v>
                </c:pt>
                <c:pt idx="3798">
                  <c:v>2.8933662199680743E-2</c:v>
                </c:pt>
                <c:pt idx="3799">
                  <c:v>2.9151887320493675E-2</c:v>
                </c:pt>
                <c:pt idx="3800">
                  <c:v>2.936999764639836E-2</c:v>
                </c:pt>
                <c:pt idx="3801">
                  <c:v>2.9587993267950807E-2</c:v>
                </c:pt>
                <c:pt idx="3802">
                  <c:v>2.8754349564780846E-2</c:v>
                </c:pt>
                <c:pt idx="3803">
                  <c:v>2.7921144044897872E-2</c:v>
                </c:pt>
                <c:pt idx="3804">
                  <c:v>2.8139348512151052E-2</c:v>
                </c:pt>
                <c:pt idx="3805">
                  <c:v>2.8357438346114261E-2</c:v>
                </c:pt>
                <c:pt idx="3806">
                  <c:v>2.857541363709748E-2</c:v>
                </c:pt>
                <c:pt idx="3807">
                  <c:v>2.8793274475315656E-2</c:v>
                </c:pt>
                <c:pt idx="3808">
                  <c:v>2.9011020950889144E-2</c:v>
                </c:pt>
                <c:pt idx="3809">
                  <c:v>2.9228653153843709E-2</c:v>
                </c:pt>
                <c:pt idx="3810">
                  <c:v>2.9446171174110525E-2</c:v>
                </c:pt>
                <c:pt idx="3811">
                  <c:v>2.9663575101526174E-2</c:v>
                </c:pt>
                <c:pt idx="3812">
                  <c:v>2.8832097327878614E-2</c:v>
                </c:pt>
                <c:pt idx="3813">
                  <c:v>2.9049548245069445E-2</c:v>
                </c:pt>
                <c:pt idx="3814">
                  <c:v>2.9266885194274117E-2</c:v>
                </c:pt>
                <c:pt idx="3815">
                  <c:v>2.9484108265066755E-2</c:v>
                </c:pt>
                <c:pt idx="3816">
                  <c:v>2.9701217546927783E-2</c:v>
                </c:pt>
                <c:pt idx="3817">
                  <c:v>2.9918213129243476E-2</c:v>
                </c:pt>
                <c:pt idx="3818">
                  <c:v>3.0135095101306408E-2</c:v>
                </c:pt>
                <c:pt idx="3819">
                  <c:v>3.0351863552316338E-2</c:v>
                </c:pt>
                <c:pt idx="3820">
                  <c:v>3.0568518571378878E-2</c:v>
                </c:pt>
                <c:pt idx="3821">
                  <c:v>2.9738761529223279E-2</c:v>
                </c:pt>
                <c:pt idx="3822">
                  <c:v>2.9955463565018547E-2</c:v>
                </c:pt>
                <c:pt idx="3823">
                  <c:v>3.0172052292559925E-2</c:v>
                </c:pt>
                <c:pt idx="3824">
                  <c:v>3.0388527800693232E-2</c:v>
                </c:pt>
                <c:pt idx="3825">
                  <c:v>3.0604890178171473E-2</c:v>
                </c:pt>
                <c:pt idx="3826">
                  <c:v>3.0821139513655282E-2</c:v>
                </c:pt>
                <c:pt idx="3827">
                  <c:v>3.1037275895712035E-2</c:v>
                </c:pt>
                <c:pt idx="3828">
                  <c:v>3.125329941281807E-2</c:v>
                </c:pt>
                <c:pt idx="3829">
                  <c:v>3.1469210153354688E-2</c:v>
                </c:pt>
                <c:pt idx="3830">
                  <c:v>3.1685008205613929E-2</c:v>
                </c:pt>
                <c:pt idx="3831">
                  <c:v>3.0857124651793022E-2</c:v>
                </c:pt>
                <c:pt idx="3832">
                  <c:v>3.1072969780055804E-2</c:v>
                </c:pt>
                <c:pt idx="3833">
                  <c:v>3.1288702342410435E-2</c:v>
                </c:pt>
                <c:pt idx="3834">
                  <c:v>3.1504322426890941E-2</c:v>
                </c:pt>
                <c:pt idx="3835">
                  <c:v>3.1719830121439418E-2</c:v>
                </c:pt>
                <c:pt idx="3836">
                  <c:v>3.0893016029800435E-2</c:v>
                </c:pt>
                <c:pt idx="3837">
                  <c:v>3.1108570687362391E-2</c:v>
                </c:pt>
                <c:pt idx="3838">
                  <c:v>3.1324013076873491E-2</c:v>
                </c:pt>
                <c:pt idx="3839">
                  <c:v>3.0497947816090942E-2</c:v>
                </c:pt>
                <c:pt idx="3840">
                  <c:v>3.0713436988031084E-2</c:v>
                </c:pt>
                <c:pt idx="3841">
                  <c:v>3.092881401364167E-2</c:v>
                </c:pt>
                <c:pt idx="3842">
                  <c:v>3.1144078980446022E-2</c:v>
                </c:pt>
                <c:pt idx="3843">
                  <c:v>3.0318919882248441E-2</c:v>
                </c:pt>
                <c:pt idx="3844">
                  <c:v>2.9494189883946031E-2</c:v>
                </c:pt>
                <c:pt idx="3845">
                  <c:v>2.8669888650914022E-2</c:v>
                </c:pt>
                <c:pt idx="3846">
                  <c:v>2.7846015848876249E-2</c:v>
                </c:pt>
                <c:pt idx="3847">
                  <c:v>2.8061802112986811E-2</c:v>
                </c:pt>
                <c:pt idx="3848">
                  <c:v>2.8277476280336611E-2</c:v>
                </c:pt>
                <c:pt idx="3849">
                  <c:v>2.849303843825135E-2</c:v>
                </c:pt>
                <c:pt idx="3850">
                  <c:v>2.8708488673966137E-2</c:v>
                </c:pt>
                <c:pt idx="3851">
                  <c:v>2.8923827074624153E-2</c:v>
                </c:pt>
                <c:pt idx="3852">
                  <c:v>2.9139053727280206E-2</c:v>
                </c:pt>
                <c:pt idx="3853">
                  <c:v>2.9354168718896734E-2</c:v>
                </c:pt>
                <c:pt idx="3854">
                  <c:v>2.8531827738007554E-2</c:v>
                </c:pt>
                <c:pt idx="3855">
                  <c:v>2.8746988619177571E-2</c:v>
                </c:pt>
                <c:pt idx="3856">
                  <c:v>2.8962037960232667E-2</c:v>
                </c:pt>
                <c:pt idx="3857">
                  <c:v>2.9176975847885256E-2</c:v>
                </c:pt>
                <c:pt idx="3858">
                  <c:v>2.8355532938704187E-2</c:v>
                </c:pt>
                <c:pt idx="3859">
                  <c:v>2.8570516573377169E-2</c:v>
                </c:pt>
                <c:pt idx="3860">
                  <c:v>2.8785388875250728E-2</c:v>
                </c:pt>
                <c:pt idx="3861">
                  <c:v>2.9000149930786812E-2</c:v>
                </c:pt>
                <c:pt idx="3862">
                  <c:v>2.9214799826355886E-2</c:v>
                </c:pt>
                <c:pt idx="3863">
                  <c:v>2.9429338648240488E-2</c:v>
                </c:pt>
                <c:pt idx="3864">
                  <c:v>2.9643766482633005E-2</c:v>
                </c:pt>
                <c:pt idx="3865">
                  <c:v>2.9858083415637449E-2</c:v>
                </c:pt>
                <c:pt idx="3866">
                  <c:v>3.0072289533267682E-2</c:v>
                </c:pt>
                <c:pt idx="3867">
                  <c:v>3.0286384921450082E-2</c:v>
                </c:pt>
                <c:pt idx="3868">
                  <c:v>3.0500369666020877E-2</c:v>
                </c:pt>
                <c:pt idx="3869">
                  <c:v>3.0714243852728362E-2</c:v>
                </c:pt>
                <c:pt idx="3870">
                  <c:v>3.0928007567231575E-2</c:v>
                </c:pt>
                <c:pt idx="3871">
                  <c:v>3.010886977710614E-2</c:v>
                </c:pt>
                <c:pt idx="3872">
                  <c:v>3.0322679399365171E-2</c:v>
                </c:pt>
                <c:pt idx="3873">
                  <c:v>3.0536378668271524E-2</c:v>
                </c:pt>
                <c:pt idx="3874">
                  <c:v>3.0749967669236877E-2</c:v>
                </c:pt>
                <c:pt idx="3875">
                  <c:v>2.993172092658547E-2</c:v>
                </c:pt>
                <c:pt idx="3876">
                  <c:v>3.0145355693342424E-2</c:v>
                </c:pt>
                <c:pt idx="3877">
                  <c:v>3.035888031069689E-2</c:v>
                </c:pt>
                <c:pt idx="3878">
                  <c:v>3.0572294863814964E-2</c:v>
                </c:pt>
                <c:pt idx="3879">
                  <c:v>3.0785599437777034E-2</c:v>
                </c:pt>
                <c:pt idx="3880">
                  <c:v>3.0998794117574224E-2</c:v>
                </c:pt>
                <c:pt idx="3881">
                  <c:v>3.121187898811062E-2</c:v>
                </c:pt>
                <c:pt idx="3882">
                  <c:v>3.1424854134202818E-2</c:v>
                </c:pt>
                <c:pt idx="3883">
                  <c:v>3.1637719640579931E-2</c:v>
                </c:pt>
                <c:pt idx="3884">
                  <c:v>3.1850475591884919E-2</c:v>
                </c:pt>
                <c:pt idx="3885">
                  <c:v>3.2063122072671479E-2</c:v>
                </c:pt>
                <c:pt idx="3886">
                  <c:v>3.2275659167408488E-2</c:v>
                </c:pt>
                <c:pt idx="3887">
                  <c:v>3.2488086960476892E-2</c:v>
                </c:pt>
                <c:pt idx="3888">
                  <c:v>3.270040553617104E-2</c:v>
                </c:pt>
                <c:pt idx="3889">
                  <c:v>3.291261497869824E-2</c:v>
                </c:pt>
                <c:pt idx="3890">
                  <c:v>3.3124715372180091E-2</c:v>
                </c:pt>
                <c:pt idx="3891">
                  <c:v>3.333670680065115E-2</c:v>
                </c:pt>
                <c:pt idx="3892">
                  <c:v>3.3548589348059821E-2</c:v>
                </c:pt>
                <c:pt idx="3893">
                  <c:v>3.3760363098268353E-2</c:v>
                </c:pt>
                <c:pt idx="3894">
                  <c:v>3.3972028135052845E-2</c:v>
                </c:pt>
                <c:pt idx="3895">
                  <c:v>3.418358454210324E-2</c:v>
                </c:pt>
                <c:pt idx="3896">
                  <c:v>3.4395032403023773E-2</c:v>
                </c:pt>
                <c:pt idx="3897">
                  <c:v>3.4606371801332969E-2</c:v>
                </c:pt>
                <c:pt idx="3898">
                  <c:v>3.48176028204632E-2</c:v>
                </c:pt>
                <c:pt idx="3899">
                  <c:v>3.5028725543762462E-2</c:v>
                </c:pt>
                <c:pt idx="3900">
                  <c:v>3.4214624729017817E-2</c:v>
                </c:pt>
                <c:pt idx="3901">
                  <c:v>3.4425793758400491E-2</c:v>
                </c:pt>
                <c:pt idx="3902">
                  <c:v>3.4636854606928225E-2</c:v>
                </c:pt>
                <c:pt idx="3903">
                  <c:v>3.4847807357710092E-2</c:v>
                </c:pt>
                <c:pt idx="3904">
                  <c:v>3.5058652093770792E-2</c:v>
                </c:pt>
                <c:pt idx="3905">
                  <c:v>3.5269388898049314E-2</c:v>
                </c:pt>
                <c:pt idx="3906">
                  <c:v>3.548001785340027E-2</c:v>
                </c:pt>
                <c:pt idx="3907">
                  <c:v>3.5690539042593894E-2</c:v>
                </c:pt>
                <c:pt idx="3908">
                  <c:v>3.4877934645500819E-2</c:v>
                </c:pt>
                <c:pt idx="3909">
                  <c:v>3.5088502124857701E-2</c:v>
                </c:pt>
                <c:pt idx="3910">
                  <c:v>3.5298961952129115E-2</c:v>
                </c:pt>
                <c:pt idx="3911">
                  <c:v>3.5509314209849041E-2</c:v>
                </c:pt>
                <c:pt idx="3912">
                  <c:v>3.5719558980467525E-2</c:v>
                </c:pt>
                <c:pt idx="3913">
                  <c:v>3.5929696346349793E-2</c:v>
                </c:pt>
                <c:pt idx="3914">
                  <c:v>3.6139726389778026E-2</c:v>
                </c:pt>
                <c:pt idx="3915">
                  <c:v>3.6349649192948696E-2</c:v>
                </c:pt>
                <c:pt idx="3916">
                  <c:v>3.6559464837976119E-2</c:v>
                </c:pt>
                <c:pt idx="3917">
                  <c:v>3.574850486899761E-2</c:v>
                </c:pt>
                <c:pt idx="3918">
                  <c:v>3.595836681837028E-2</c:v>
                </c:pt>
                <c:pt idx="3919">
                  <c:v>3.5147973801178622E-2</c:v>
                </c:pt>
                <c:pt idx="3920">
                  <c:v>3.5357881851308282E-2</c:v>
                </c:pt>
                <c:pt idx="3921">
                  <c:v>3.4548055051552673E-2</c:v>
                </c:pt>
                <c:pt idx="3922">
                  <c:v>3.4758008999401735E-2</c:v>
                </c:pt>
                <c:pt idx="3923">
                  <c:v>3.4967855964346928E-2</c:v>
                </c:pt>
                <c:pt idx="3924">
                  <c:v>3.4158747327170502E-2</c:v>
                </c:pt>
                <c:pt idx="3925">
                  <c:v>3.4368640018559216E-2</c:v>
                </c:pt>
                <c:pt idx="3926">
                  <c:v>3.4578425839942195E-2</c:v>
                </c:pt>
                <c:pt idx="3927">
                  <c:v>3.4788104872919945E-2</c:v>
                </c:pt>
                <c:pt idx="3928">
                  <c:v>3.4997677199010813E-2</c:v>
                </c:pt>
                <c:pt idx="3929">
                  <c:v>3.5207142899649657E-2</c:v>
                </c:pt>
                <c:pt idx="3930">
                  <c:v>3.5416502056188737E-2</c:v>
                </c:pt>
                <c:pt idx="3931">
                  <c:v>3.5625754749896821E-2</c:v>
                </c:pt>
                <c:pt idx="3932">
                  <c:v>3.5834901061960966E-2</c:v>
                </c:pt>
                <c:pt idx="3933">
                  <c:v>3.6043941073485186E-2</c:v>
                </c:pt>
                <c:pt idx="3934">
                  <c:v>3.6252874865491336E-2</c:v>
                </c:pt>
                <c:pt idx="3935">
                  <c:v>3.5445700486914866E-2</c:v>
                </c:pt>
                <c:pt idx="3936">
                  <c:v>3.4638936049617541E-2</c:v>
                </c:pt>
                <c:pt idx="3937">
                  <c:v>3.4848067405383265E-2</c:v>
                </c:pt>
                <c:pt idx="3938">
                  <c:v>3.4041864176704184E-2</c:v>
                </c:pt>
                <c:pt idx="3939">
                  <c:v>3.4251040903990226E-2</c:v>
                </c:pt>
                <c:pt idx="3940">
                  <c:v>3.3445398160587558E-2</c:v>
                </c:pt>
                <c:pt idx="3941">
                  <c:v>3.3654620059712315E-2</c:v>
                </c:pt>
                <c:pt idx="3942">
                  <c:v>3.2849537079578273E-2</c:v>
                </c:pt>
                <c:pt idx="3943">
                  <c:v>3.3058803951398374E-2</c:v>
                </c:pt>
                <c:pt idx="3944">
                  <c:v>3.3267964757900614E-2</c:v>
                </c:pt>
                <c:pt idx="3945">
                  <c:v>3.3477019579702727E-2</c:v>
                </c:pt>
                <c:pt idx="3946">
                  <c:v>3.3685968497339402E-2</c:v>
                </c:pt>
                <c:pt idx="3947">
                  <c:v>3.3894811591265395E-2</c:v>
                </c:pt>
                <c:pt idx="3948">
                  <c:v>3.4103548941852413E-2</c:v>
                </c:pt>
                <c:pt idx="3949">
                  <c:v>3.4312180629391786E-2</c:v>
                </c:pt>
                <c:pt idx="3950">
                  <c:v>3.4520706734093576E-2</c:v>
                </c:pt>
                <c:pt idx="3951">
                  <c:v>3.472912733608613E-2</c:v>
                </c:pt>
                <c:pt idx="3952">
                  <c:v>3.4937442515416972E-2</c:v>
                </c:pt>
                <c:pt idx="3953">
                  <c:v>3.5145652352052803E-2</c:v>
                </c:pt>
                <c:pt idx="3954">
                  <c:v>3.5353756925879498E-2</c:v>
                </c:pt>
                <c:pt idx="3955">
                  <c:v>3.5561756316701665E-2</c:v>
                </c:pt>
                <c:pt idx="3956">
                  <c:v>3.5769650604244418E-2</c:v>
                </c:pt>
                <c:pt idx="3957">
                  <c:v>3.5977439868150718E-2</c:v>
                </c:pt>
                <c:pt idx="3958">
                  <c:v>3.6185124187984474E-2</c:v>
                </c:pt>
                <c:pt idx="3959">
                  <c:v>3.6392703643228774E-2</c:v>
                </c:pt>
                <c:pt idx="3960">
                  <c:v>3.6600178313286325E-2</c:v>
                </c:pt>
                <c:pt idx="3961">
                  <c:v>3.6807548277479007E-2</c:v>
                </c:pt>
                <c:pt idx="3962">
                  <c:v>3.7014813615050546E-2</c:v>
                </c:pt>
                <c:pt idx="3963">
                  <c:v>3.621314716682722E-2</c:v>
                </c:pt>
                <c:pt idx="3964">
                  <c:v>3.6420457857508914E-2</c:v>
                </c:pt>
                <c:pt idx="3965">
                  <c:v>3.6627664030574714E-2</c:v>
                </c:pt>
                <c:pt idx="3966">
                  <c:v>3.6834765765045407E-2</c:v>
                </c:pt>
                <c:pt idx="3967">
                  <c:v>3.6033952608241826E-2</c:v>
                </c:pt>
                <c:pt idx="3968">
                  <c:v>3.6241099558821599E-2</c:v>
                </c:pt>
                <c:pt idx="3969">
                  <c:v>3.6448142179534404E-2</c:v>
                </c:pt>
                <c:pt idx="3970">
                  <c:v>3.6655080549179875E-2</c:v>
                </c:pt>
                <c:pt idx="3971">
                  <c:v>3.5855118874339897E-2</c:v>
                </c:pt>
                <c:pt idx="3972">
                  <c:v>3.6062102323644041E-2</c:v>
                </c:pt>
                <c:pt idx="3973">
                  <c:v>3.6268981630332764E-2</c:v>
                </c:pt>
                <c:pt idx="3974">
                  <c:v>3.6475756872983656E-2</c:v>
                </c:pt>
                <c:pt idx="3975">
                  <c:v>3.6682428130096145E-2</c:v>
                </c:pt>
                <c:pt idx="3976">
                  <c:v>3.6888995480091058E-2</c:v>
                </c:pt>
                <c:pt idx="3977">
                  <c:v>3.7095459001310171E-2</c:v>
                </c:pt>
                <c:pt idx="3978">
                  <c:v>3.6296793646387826E-2</c:v>
                </c:pt>
                <c:pt idx="3979">
                  <c:v>3.6503302200209475E-2</c:v>
                </c:pt>
                <c:pt idx="3980">
                  <c:v>3.5705186691472601E-2</c:v>
                </c:pt>
                <c:pt idx="3981">
                  <c:v>3.5911740083317767E-2</c:v>
                </c:pt>
                <c:pt idx="3982">
                  <c:v>3.5114173719443809E-2</c:v>
                </c:pt>
                <c:pt idx="3983">
                  <c:v>3.431700763981782E-2</c:v>
                </c:pt>
                <c:pt idx="3984">
                  <c:v>3.452375383619799E-2</c:v>
                </c:pt>
                <c:pt idx="3985">
                  <c:v>3.3727135725481361E-2</c:v>
                </c:pt>
                <c:pt idx="3986">
                  <c:v>3.2930917122343306E-2</c:v>
                </c:pt>
                <c:pt idx="3987">
                  <c:v>3.3137855309680386E-2</c:v>
                </c:pt>
                <c:pt idx="3988">
                  <c:v>3.334468976860272E-2</c:v>
                </c:pt>
                <c:pt idx="3989">
                  <c:v>3.3551420577082158E-2</c:v>
                </c:pt>
                <c:pt idx="3990">
                  <c:v>3.2756043804996526E-2</c:v>
                </c:pt>
                <c:pt idx="3991">
                  <c:v>3.1961065418471435E-2</c:v>
                </c:pt>
                <c:pt idx="3992">
                  <c:v>3.2167987371649165E-2</c:v>
                </c:pt>
                <c:pt idx="3993">
                  <c:v>3.2374805734362244E-2</c:v>
                </c:pt>
                <c:pt idx="3994">
                  <c:v>3.1580519583380262E-2</c:v>
                </c:pt>
                <c:pt idx="3995">
                  <c:v>3.0786630873554266E-2</c:v>
                </c:pt>
                <c:pt idx="3996">
                  <c:v>3.0993639556780028E-2</c:v>
                </c:pt>
                <c:pt idx="3997">
                  <c:v>3.1200544709781841E-2</c:v>
                </c:pt>
                <c:pt idx="3998">
                  <c:v>3.1407346410206927E-2</c:v>
                </c:pt>
                <c:pt idx="3999">
                  <c:v>3.1614044735625679E-2</c:v>
                </c:pt>
                <c:pt idx="4000">
                  <c:v>3.1820639763530334E-2</c:v>
                </c:pt>
                <c:pt idx="4001">
                  <c:v>3.2027131571335854E-2</c:v>
                </c:pt>
                <c:pt idx="4002">
                  <c:v>3.2233520236380819E-2</c:v>
                </c:pt>
                <c:pt idx="4003">
                  <c:v>3.2439805835924762E-2</c:v>
                </c:pt>
                <c:pt idx="4004">
                  <c:v>3.2645988447151275E-2</c:v>
                </c:pt>
                <c:pt idx="4005">
                  <c:v>3.2852068147167124E-2</c:v>
                </c:pt>
                <c:pt idx="4006">
                  <c:v>3.3058045013001358E-2</c:v>
                </c:pt>
                <c:pt idx="4007">
                  <c:v>3.32639191216062E-2</c:v>
                </c:pt>
                <c:pt idx="4008">
                  <c:v>3.3469690549857933E-2</c:v>
                </c:pt>
                <c:pt idx="4009">
                  <c:v>3.3675359374555125E-2</c:v>
                </c:pt>
                <c:pt idx="4010">
                  <c:v>3.3880925672420403E-2</c:v>
                </c:pt>
                <c:pt idx="4011">
                  <c:v>3.3089628991816777E-2</c:v>
                </c:pt>
                <c:pt idx="4012">
                  <c:v>3.3295238786888337E-2</c:v>
                </c:pt>
                <c:pt idx="4013">
                  <c:v>3.350074616114096E-2</c:v>
                </c:pt>
                <c:pt idx="4014">
                  <c:v>3.3706151191083222E-2</c:v>
                </c:pt>
                <c:pt idx="4015">
                  <c:v>3.391145395314954E-2</c:v>
                </c:pt>
                <c:pt idx="4016">
                  <c:v>3.4116654523696166E-2</c:v>
                </c:pt>
                <c:pt idx="4017">
                  <c:v>3.3326480523170332E-2</c:v>
                </c:pt>
                <c:pt idx="4018">
                  <c:v>3.2536699644037714E-2</c:v>
                </c:pt>
                <c:pt idx="4019">
                  <c:v>3.2742089011549957E-2</c:v>
                </c:pt>
                <c:pt idx="4020">
                  <c:v>3.2947376246109439E-2</c:v>
                </c:pt>
                <c:pt idx="4021">
                  <c:v>3.3152561423878346E-2</c:v>
                </c:pt>
                <c:pt idx="4022">
                  <c:v>3.3357644620942484E-2</c:v>
                </c:pt>
                <c:pt idx="4023">
                  <c:v>3.256883709343672E-2</c:v>
                </c:pt>
                <c:pt idx="4024">
                  <c:v>3.2773963399774786E-2</c:v>
                </c:pt>
                <c:pt idx="4025">
                  <c:v>3.2978987830619033E-2</c:v>
                </c:pt>
                <c:pt idx="4026">
                  <c:v>3.2190861802460891E-2</c:v>
                </c:pt>
                <c:pt idx="4027">
                  <c:v>3.2395929185089045E-2</c:v>
                </c:pt>
                <c:pt idx="4028">
                  <c:v>3.260089479730377E-2</c:v>
                </c:pt>
                <c:pt idx="4029">
                  <c:v>3.1813449114250325E-2</c:v>
                </c:pt>
                <c:pt idx="4030">
                  <c:v>3.2018457521318044E-2</c:v>
                </c:pt>
                <c:pt idx="4031">
                  <c:v>3.2223364262922161E-2</c:v>
                </c:pt>
                <c:pt idx="4032">
                  <c:v>3.2428169414668861E-2</c:v>
                </c:pt>
                <c:pt idx="4033">
                  <c:v>3.2632873052090616E-2</c:v>
                </c:pt>
                <c:pt idx="4034">
                  <c:v>3.2837475250643067E-2</c:v>
                </c:pt>
                <c:pt idx="4035">
                  <c:v>3.304197608570858E-2</c:v>
                </c:pt>
                <c:pt idx="4036">
                  <c:v>3.2255786231900618E-2</c:v>
                </c:pt>
                <c:pt idx="4037">
                  <c:v>3.1469985677352152E-2</c:v>
                </c:pt>
                <c:pt idx="4038">
                  <c:v>3.1674673142880305E-2</c:v>
                </c:pt>
                <c:pt idx="4039">
                  <c:v>3.1879259303055019E-2</c:v>
                </c:pt>
                <c:pt idx="4040">
                  <c:v>3.2083744233066813E-2</c:v>
                </c:pt>
                <c:pt idx="4041">
                  <c:v>3.1298763674614705E-2</c:v>
                </c:pt>
                <c:pt idx="4042">
                  <c:v>3.1503291019504776E-2</c:v>
                </c:pt>
                <c:pt idx="4043">
                  <c:v>3.0718842083877984E-2</c:v>
                </c:pt>
                <c:pt idx="4044">
                  <c:v>3.0923411659836031E-2</c:v>
                </c:pt>
                <c:pt idx="4045">
                  <c:v>3.1127880138894781E-2</c:v>
                </c:pt>
                <c:pt idx="4046">
                  <c:v>3.1332247595977414E-2</c:v>
                </c:pt>
                <c:pt idx="4047">
                  <c:v>3.1536514105934277E-2</c:v>
                </c:pt>
                <c:pt idx="4048">
                  <c:v>3.1740679743540223E-2</c:v>
                </c:pt>
                <c:pt idx="4049">
                  <c:v>3.0957334067575282E-2</c:v>
                </c:pt>
                <c:pt idx="4050">
                  <c:v>3.1161541869239251E-2</c:v>
                </c:pt>
                <c:pt idx="4051">
                  <c:v>3.136564890218807E-2</c:v>
                </c:pt>
                <c:pt idx="4052">
                  <c:v>3.1569655240991423E-2</c:v>
                </c:pt>
                <c:pt idx="4053">
                  <c:v>3.1773560960145275E-2</c:v>
                </c:pt>
                <c:pt idx="4054">
                  <c:v>3.197736613407276E-2</c:v>
                </c:pt>
                <c:pt idx="4055">
                  <c:v>3.2181070837123293E-2</c:v>
                </c:pt>
                <c:pt idx="4056">
                  <c:v>3.2384675143573016E-2</c:v>
                </c:pt>
                <c:pt idx="4057">
                  <c:v>3.2588179127624795E-2</c:v>
                </c:pt>
                <c:pt idx="4058">
                  <c:v>3.2791582863408664E-2</c:v>
                </c:pt>
                <c:pt idx="4059">
                  <c:v>3.2994886424981384E-2</c:v>
                </c:pt>
                <c:pt idx="4060">
                  <c:v>3.3198089886326887E-2</c:v>
                </c:pt>
                <c:pt idx="4061">
                  <c:v>3.3401193321356271E-2</c:v>
                </c:pt>
                <c:pt idx="4062">
                  <c:v>3.3604196803907804E-2</c:v>
                </c:pt>
                <c:pt idx="4063">
                  <c:v>3.2823090567648538E-2</c:v>
                </c:pt>
                <c:pt idx="4064">
                  <c:v>3.2042368544983102E-2</c:v>
                </c:pt>
                <c:pt idx="4065">
                  <c:v>3.2245556392995312E-2</c:v>
                </c:pt>
                <c:pt idx="4066">
                  <c:v>3.2448644345310029E-2</c:v>
                </c:pt>
                <c:pt idx="4067">
                  <c:v>3.1668589958990356E-2</c:v>
                </c:pt>
                <c:pt idx="4068">
                  <c:v>3.0888918891779582E-2</c:v>
                </c:pt>
                <c:pt idx="4069">
                  <c:v>3.0109630861201886E-2</c:v>
                </c:pt>
                <c:pt idx="4070">
                  <c:v>3.0313043856179167E-2</c:v>
                </c:pt>
                <c:pt idx="4071">
                  <c:v>3.0516356967535518E-2</c:v>
                </c:pt>
                <c:pt idx="4072">
                  <c:v>3.0719570268822327E-2</c:v>
                </c:pt>
                <c:pt idx="4073">
                  <c:v>3.0922683833519926E-2</c:v>
                </c:pt>
                <c:pt idx="4074">
                  <c:v>3.112569773503493E-2</c:v>
                </c:pt>
                <c:pt idx="4075">
                  <c:v>3.1328612046704229E-2</c:v>
                </c:pt>
                <c:pt idx="4076">
                  <c:v>3.1531426841790999E-2</c:v>
                </c:pt>
                <c:pt idx="4077">
                  <c:v>3.1734142193486914E-2</c:v>
                </c:pt>
                <c:pt idx="4078">
                  <c:v>3.1936758174912594E-2</c:v>
                </c:pt>
                <c:pt idx="4079">
                  <c:v>3.1159122935568107E-2</c:v>
                </c:pt>
                <c:pt idx="4080">
                  <c:v>3.0381868703200698E-2</c:v>
                </c:pt>
                <c:pt idx="4081">
                  <c:v>2.9604995197863193E-2</c:v>
                </c:pt>
                <c:pt idx="4082">
                  <c:v>2.9807934069364439E-2</c:v>
                </c:pt>
                <c:pt idx="4083">
                  <c:v>3.0010773582789696E-2</c:v>
                </c:pt>
                <c:pt idx="4084">
                  <c:v>3.0213513811087722E-2</c:v>
                </c:pt>
                <c:pt idx="4085">
                  <c:v>3.0416154827138442E-2</c:v>
                </c:pt>
                <c:pt idx="4086">
                  <c:v>3.0618696703748949E-2</c:v>
                </c:pt>
                <c:pt idx="4087">
                  <c:v>3.0821139513655282E-2</c:v>
                </c:pt>
                <c:pt idx="4088">
                  <c:v>3.004548821949804E-2</c:v>
                </c:pt>
                <c:pt idx="4089">
                  <c:v>2.92702161242131E-2</c:v>
                </c:pt>
                <c:pt idx="4090">
                  <c:v>2.8495322949796176E-2</c:v>
                </c:pt>
                <c:pt idx="4091">
                  <c:v>2.8698086698503822E-2</c:v>
                </c:pt>
                <c:pt idx="4092">
                  <c:v>2.890075139310877E-2</c:v>
                </c:pt>
                <c:pt idx="4093">
                  <c:v>2.9103317106177418E-2</c:v>
                </c:pt>
                <c:pt idx="4094">
                  <c:v>2.9305783910206884E-2</c:v>
                </c:pt>
                <c:pt idx="4095">
                  <c:v>2.9508151877621902E-2</c:v>
                </c:pt>
                <c:pt idx="4096">
                  <c:v>2.9710421080777927E-2</c:v>
                </c:pt>
                <c:pt idx="4097">
                  <c:v>2.893674382421052E-2</c:v>
                </c:pt>
                <c:pt idx="4098">
                  <c:v>2.8163443971182645E-2</c:v>
                </c:pt>
                <c:pt idx="4099">
                  <c:v>2.8365893106134799E-2</c:v>
                </c:pt>
                <c:pt idx="4100">
                  <c:v>2.8568243533561244E-2</c:v>
                </c:pt>
                <c:pt idx="4101">
                  <c:v>2.8770495325634471E-2</c:v>
                </c:pt>
                <c:pt idx="4102">
                  <c:v>2.799798968506062E-2</c:v>
                </c:pt>
                <c:pt idx="4103">
                  <c:v>2.8200281854786624E-2</c:v>
                </c:pt>
                <c:pt idx="4104">
                  <c:v>2.8402475489603063E-2</c:v>
                </c:pt>
                <c:pt idx="4105">
                  <c:v>2.8604570661485251E-2</c:v>
                </c:pt>
                <c:pt idx="4106">
                  <c:v>2.8806567442339226E-2</c:v>
                </c:pt>
                <c:pt idx="4107">
                  <c:v>2.8034993039557143E-2</c:v>
                </c:pt>
                <c:pt idx="4108">
                  <c:v>2.7263794098771221E-2</c:v>
                </c:pt>
                <c:pt idx="4109">
                  <c:v>2.7465969616239594E-2</c:v>
                </c:pt>
                <c:pt idx="4110">
                  <c:v>2.7668046799311785E-2</c:v>
                </c:pt>
                <c:pt idx="4111">
                  <c:v>2.6897499583073525E-2</c:v>
                </c:pt>
                <c:pt idx="4112">
                  <c:v>2.6127326964412223E-2</c:v>
                </c:pt>
                <c:pt idx="4113">
                  <c:v>2.6329582133171492E-2</c:v>
                </c:pt>
                <c:pt idx="4114">
                  <c:v>2.6531739024395318E-2</c:v>
                </c:pt>
                <c:pt idx="4115">
                  <c:v>2.6733797709696638E-2</c:v>
                </c:pt>
                <c:pt idx="4116">
                  <c:v>2.5964412947360849E-2</c:v>
                </c:pt>
                <c:pt idx="4117">
                  <c:v>2.5195401763447922E-2</c:v>
                </c:pt>
                <c:pt idx="4118">
                  <c:v>2.5397637672342821E-2</c:v>
                </c:pt>
                <c:pt idx="4119">
                  <c:v>2.5599775432288752E-2</c:v>
                </c:pt>
                <c:pt idx="4120">
                  <c:v>2.580181511471924E-2</c:v>
                </c:pt>
                <c:pt idx="4121">
                  <c:v>2.6003756790997645E-2</c:v>
                </c:pt>
                <c:pt idx="4122">
                  <c:v>2.5235668427665559E-2</c:v>
                </c:pt>
                <c:pt idx="4123">
                  <c:v>2.4467952470812904E-2</c:v>
                </c:pt>
                <c:pt idx="4124">
                  <c:v>2.4670070598282301E-2</c:v>
                </c:pt>
                <c:pt idx="4125">
                  <c:v>2.3902863735140389E-2</c:v>
                </c:pt>
                <c:pt idx="4126">
                  <c:v>2.4105020828811607E-2</c:v>
                </c:pt>
                <c:pt idx="4127">
                  <c:v>2.4307080001875647E-2</c:v>
                </c:pt>
                <c:pt idx="4128">
                  <c:v>2.4509041325460945E-2</c:v>
                </c:pt>
                <c:pt idx="4129">
                  <c:v>2.4710904870627992E-2</c:v>
                </c:pt>
                <c:pt idx="4130">
                  <c:v>2.4912670708367557E-2</c:v>
                </c:pt>
                <c:pt idx="4131">
                  <c:v>2.5114338909602019E-2</c:v>
                </c:pt>
                <c:pt idx="4132">
                  <c:v>2.5315909545184923E-2</c:v>
                </c:pt>
                <c:pt idx="4133">
                  <c:v>2.4550030811657741E-2</c:v>
                </c:pt>
                <c:pt idx="4134">
                  <c:v>2.3784522425680965E-2</c:v>
                </c:pt>
                <c:pt idx="4135">
                  <c:v>2.3986268334306615E-2</c:v>
                </c:pt>
                <c:pt idx="4136">
                  <c:v>2.4187916734034864E-2</c:v>
                </c:pt>
                <c:pt idx="4137">
                  <c:v>2.342305068660222E-2</c:v>
                </c:pt>
                <c:pt idx="4138">
                  <c:v>2.3624737714554644E-2</c:v>
                </c:pt>
                <c:pt idx="4139">
                  <c:v>2.3826327332689523E-2</c:v>
                </c:pt>
                <c:pt idx="4140">
                  <c:v>2.4027819611558865E-2</c:v>
                </c:pt>
                <c:pt idx="4141">
                  <c:v>2.3263730672818728E-2</c:v>
                </c:pt>
                <c:pt idx="4142">
                  <c:v>2.3465261468122112E-2</c:v>
                </c:pt>
                <c:pt idx="4143">
                  <c:v>2.2701676928904124E-2</c:v>
                </c:pt>
                <c:pt idx="4144">
                  <c:v>2.2903246072532024E-2</c:v>
                </c:pt>
                <c:pt idx="4145">
                  <c:v>2.2140165315439386E-2</c:v>
                </c:pt>
                <c:pt idx="4146">
                  <c:v>2.2341772639715263E-2</c:v>
                </c:pt>
                <c:pt idx="4147">
                  <c:v>2.2543282780416618E-2</c:v>
                </c:pt>
                <c:pt idx="4148">
                  <c:v>2.2744695807797033E-2</c:v>
                </c:pt>
                <c:pt idx="4149">
                  <c:v>2.2946011792042587E-2</c:v>
                </c:pt>
                <c:pt idx="4150">
                  <c:v>2.3147230803270524E-2</c:v>
                </c:pt>
                <c:pt idx="4151">
                  <c:v>2.3348352911531034E-2</c:v>
                </c:pt>
                <c:pt idx="4152">
                  <c:v>2.354937818680769E-2</c:v>
                </c:pt>
                <c:pt idx="4153">
                  <c:v>2.2787611151482423E-2</c:v>
                </c:pt>
                <c:pt idx="4154">
                  <c:v>2.2988674610399329E-2</c:v>
                </c:pt>
                <c:pt idx="4155">
                  <c:v>2.3189641334431244E-2</c:v>
                </c:pt>
                <c:pt idx="4156">
                  <c:v>2.2428510431371063E-2</c:v>
                </c:pt>
                <c:pt idx="4157">
                  <c:v>2.262951520078138E-2</c:v>
                </c:pt>
                <c:pt idx="4158">
                  <c:v>2.2830423333283889E-2</c:v>
                </c:pt>
                <c:pt idx="4159">
                  <c:v>2.3031234898550856E-2</c:v>
                </c:pt>
                <c:pt idx="4160">
                  <c:v>2.3231949966189713E-2</c:v>
                </c:pt>
                <c:pt idx="4161">
                  <c:v>2.2471723061660231E-2</c:v>
                </c:pt>
                <c:pt idx="4162">
                  <c:v>2.1711861299736235E-2</c:v>
                </c:pt>
                <c:pt idx="4163">
                  <c:v>2.1912748571071283E-2</c:v>
                </c:pt>
                <c:pt idx="4164">
                  <c:v>2.2113539401085625E-2</c:v>
                </c:pt>
                <c:pt idx="4165">
                  <c:v>2.231423385921083E-2</c:v>
                </c:pt>
                <c:pt idx="4166">
                  <c:v>2.2514832014813191E-2</c:v>
                </c:pt>
                <c:pt idx="4167">
                  <c:v>2.2715333937191939E-2</c:v>
                </c:pt>
                <c:pt idx="4168">
                  <c:v>2.2915739695578807E-2</c:v>
                </c:pt>
                <c:pt idx="4169">
                  <c:v>2.2157046721882789E-2</c:v>
                </c:pt>
                <c:pt idx="4170">
                  <c:v>2.2357490226122323E-2</c:v>
                </c:pt>
                <c:pt idx="4171">
                  <c:v>2.2557837663502056E-2</c:v>
                </c:pt>
                <c:pt idx="4172">
                  <c:v>2.2758089103067647E-2</c:v>
                </c:pt>
                <c:pt idx="4173">
                  <c:v>2.2958244613799916E-2</c:v>
                </c:pt>
                <c:pt idx="4174">
                  <c:v>2.3158304264613072E-2</c:v>
                </c:pt>
                <c:pt idx="4175">
                  <c:v>2.3358268124355597E-2</c:v>
                </c:pt>
                <c:pt idx="4176">
                  <c:v>2.2600740378612816E-2</c:v>
                </c:pt>
                <c:pt idx="4177">
                  <c:v>2.1843575173068785E-2</c:v>
                </c:pt>
                <c:pt idx="4178">
                  <c:v>2.2043710046570464E-2</c:v>
                </c:pt>
                <c:pt idx="4179">
                  <c:v>2.2243749184662764E-2</c:v>
                </c:pt>
                <c:pt idx="4180">
                  <c:v>2.1487212502985464E-2</c:v>
                </c:pt>
                <c:pt idx="4181">
                  <c:v>2.1687289035117185E-2</c:v>
                </c:pt>
                <c:pt idx="4182">
                  <c:v>2.18872699283712E-2</c:v>
                </c:pt>
                <c:pt idx="4183">
                  <c:v>2.2087155251306001E-2</c:v>
                </c:pt>
                <c:pt idx="4184">
                  <c:v>2.1331378899456688E-2</c:v>
                </c:pt>
                <c:pt idx="4185">
                  <c:v>2.1531301509323253E-2</c:v>
                </c:pt>
                <c:pt idx="4186">
                  <c:v>2.0776018807532548E-2</c:v>
                </c:pt>
                <c:pt idx="4187">
                  <c:v>2.0975978541980744E-2</c:v>
                </c:pt>
                <c:pt idx="4188">
                  <c:v>2.0221188892306952E-2</c:v>
                </c:pt>
                <c:pt idx="4189">
                  <c:v>2.0421185589400537E-2</c:v>
                </c:pt>
                <c:pt idx="4190">
                  <c:v>2.0621086868222172E-2</c:v>
                </c:pt>
                <c:pt idx="4191">
                  <c:v>2.0820892797042134E-2</c:v>
                </c:pt>
                <c:pt idx="4192">
                  <c:v>2.1020603444064978E-2</c:v>
                </c:pt>
                <c:pt idx="4193">
                  <c:v>2.1220218877429975E-2</c:v>
                </c:pt>
                <c:pt idx="4194">
                  <c:v>2.141973916521156E-2</c:v>
                </c:pt>
                <c:pt idx="4195">
                  <c:v>2.1619164375420219E-2</c:v>
                </c:pt>
                <c:pt idx="4196">
                  <c:v>2.1818494576000269E-2</c:v>
                </c:pt>
                <c:pt idx="4197">
                  <c:v>2.106512207107869E-2</c:v>
                </c:pt>
                <c:pt idx="4198">
                  <c:v>2.0312108314968658E-2</c:v>
                </c:pt>
                <c:pt idx="4199">
                  <c:v>2.0511607300471191E-2</c:v>
                </c:pt>
                <c:pt idx="4200">
                  <c:v>1.9759083678174694E-2</c:v>
                </c:pt>
                <c:pt idx="4201">
                  <c:v>1.9958619310516124E-2</c:v>
                </c:pt>
                <c:pt idx="4202">
                  <c:v>2.0158060016296275E-2</c:v>
                </c:pt>
                <c:pt idx="4203">
                  <c:v>2.0357405863239197E-2</c:v>
                </c:pt>
                <c:pt idx="4204">
                  <c:v>1.9605634569978658E-2</c:v>
                </c:pt>
                <c:pt idx="4205">
                  <c:v>1.9805016959291599E-2</c:v>
                </c:pt>
                <c:pt idx="4206">
                  <c:v>1.9053734242906462E-2</c:v>
                </c:pt>
                <c:pt idx="4207">
                  <c:v>1.8302808515219926E-2</c:v>
                </c:pt>
                <c:pt idx="4208">
                  <c:v>1.8502358286691223E-2</c:v>
                </c:pt>
                <c:pt idx="4209">
                  <c:v>1.8701813282683943E-2</c:v>
                </c:pt>
                <c:pt idx="4210">
                  <c:v>1.8901173570700536E-2</c:v>
                </c:pt>
                <c:pt idx="4211">
                  <c:v>1.9100439218182164E-2</c:v>
                </c:pt>
                <c:pt idx="4212">
                  <c:v>1.9299610292503822E-2</c:v>
                </c:pt>
                <c:pt idx="4213">
                  <c:v>1.9498686860977887E-2</c:v>
                </c:pt>
                <c:pt idx="4214">
                  <c:v>1.8748902387436317E-2</c:v>
                </c:pt>
                <c:pt idx="4215">
                  <c:v>1.8948015132047136E-2</c:v>
                </c:pt>
                <c:pt idx="4216">
                  <c:v>1.9147033465683361E-2</c:v>
                </c:pt>
                <c:pt idx="4217">
                  <c:v>1.9345957455478402E-2</c:v>
                </c:pt>
                <c:pt idx="4218">
                  <c:v>1.9544787168500832E-2</c:v>
                </c:pt>
                <c:pt idx="4219">
                  <c:v>1.9743522671756164E-2</c:v>
                </c:pt>
                <c:pt idx="4220">
                  <c:v>1.8994745747014097E-2</c:v>
                </c:pt>
                <c:pt idx="4221">
                  <c:v>1.9193517378712777E-2</c:v>
                </c:pt>
                <c:pt idx="4222">
                  <c:v>1.9392194895055503E-2</c:v>
                </c:pt>
                <c:pt idx="4223">
                  <c:v>1.959077836286971E-2</c:v>
                </c:pt>
                <c:pt idx="4224">
                  <c:v>1.9789267848919767E-2</c:v>
                </c:pt>
                <c:pt idx="4225">
                  <c:v>1.9987663419906543E-2</c:v>
                </c:pt>
                <c:pt idx="4226">
                  <c:v>2.0185965142467843E-2</c:v>
                </c:pt>
                <c:pt idx="4227">
                  <c:v>2.0384173083179302E-2</c:v>
                </c:pt>
                <c:pt idx="4228">
                  <c:v>2.0582287308552161E-2</c:v>
                </c:pt>
                <c:pt idx="4229">
                  <c:v>2.0780307885035487E-2</c:v>
                </c:pt>
                <c:pt idx="4230">
                  <c:v>2.0978234879016178E-2</c:v>
                </c:pt>
                <c:pt idx="4231">
                  <c:v>2.1176068356816735E-2</c:v>
                </c:pt>
                <c:pt idx="4232">
                  <c:v>2.0429075271803487E-2</c:v>
                </c:pt>
                <c:pt idx="4233">
                  <c:v>2.0626944993441754E-2</c:v>
                </c:pt>
                <c:pt idx="4234">
                  <c:v>1.9880434228903621E-2</c:v>
                </c:pt>
                <c:pt idx="4235">
                  <c:v>2.0078340037773756E-2</c:v>
                </c:pt>
                <c:pt idx="4236">
                  <c:v>2.0276152450791951E-2</c:v>
                </c:pt>
                <c:pt idx="4237">
                  <c:v>2.0473871534056887E-2</c:v>
                </c:pt>
                <c:pt idx="4238">
                  <c:v>2.0671497353603296E-2</c:v>
                </c:pt>
                <c:pt idx="4239">
                  <c:v>2.0869029975403741E-2</c:v>
                </c:pt>
                <c:pt idx="4240">
                  <c:v>2.0123518027368448E-2</c:v>
                </c:pt>
                <c:pt idx="4241">
                  <c:v>2.0321086688312118E-2</c:v>
                </c:pt>
                <c:pt idx="4242">
                  <c:v>2.05185622443258E-2</c:v>
                </c:pt>
                <c:pt idx="4243">
                  <c:v>2.0715944761207972E-2</c:v>
                </c:pt>
                <c:pt idx="4244">
                  <c:v>2.0913234304695827E-2</c:v>
                </c:pt>
                <c:pt idx="4245">
                  <c:v>2.1110430940463498E-2</c:v>
                </c:pt>
                <c:pt idx="4246">
                  <c:v>2.1307534734123834E-2</c:v>
                </c:pt>
                <c:pt idx="4247">
                  <c:v>2.0563147775233936E-2</c:v>
                </c:pt>
                <c:pt idx="4248">
                  <c:v>2.0760287586677251E-2</c:v>
                </c:pt>
                <c:pt idx="4249">
                  <c:v>2.0957334648268322E-2</c:v>
                </c:pt>
                <c:pt idx="4250">
                  <c:v>2.1154289025446804E-2</c:v>
                </c:pt>
                <c:pt idx="4251">
                  <c:v>2.1351150783590178E-2</c:v>
                </c:pt>
                <c:pt idx="4252">
                  <c:v>2.1547919988015973E-2</c:v>
                </c:pt>
                <c:pt idx="4253">
                  <c:v>2.1744596703979102E-2</c:v>
                </c:pt>
                <c:pt idx="4254">
                  <c:v>2.1941180996673193E-2</c:v>
                </c:pt>
                <c:pt idx="4255">
                  <c:v>2.2137672931231034E-2</c:v>
                </c:pt>
                <c:pt idx="4256">
                  <c:v>2.2334072572724573E-2</c:v>
                </c:pt>
                <c:pt idx="4257">
                  <c:v>2.1591192383440205E-2</c:v>
                </c:pt>
                <c:pt idx="4258">
                  <c:v>2.0848660964197574E-2</c:v>
                </c:pt>
                <c:pt idx="4259">
                  <c:v>2.104522484249971E-2</c:v>
                </c:pt>
                <c:pt idx="4260">
                  <c:v>2.1241696480596595E-2</c:v>
                </c:pt>
                <c:pt idx="4261">
                  <c:v>2.1438075943399415E-2</c:v>
                </c:pt>
                <c:pt idx="4262">
                  <c:v>2.1634363295760295E-2</c:v>
                </c:pt>
                <c:pt idx="4263">
                  <c:v>2.183055860246963E-2</c:v>
                </c:pt>
                <c:pt idx="4264">
                  <c:v>2.202666192825653E-2</c:v>
                </c:pt>
                <c:pt idx="4265">
                  <c:v>2.2222673337790599E-2</c:v>
                </c:pt>
                <c:pt idx="4266">
                  <c:v>2.2418592895680156E-2</c:v>
                </c:pt>
                <c:pt idx="4267">
                  <c:v>2.1677433081558561E-2</c:v>
                </c:pt>
                <c:pt idx="4268">
                  <c:v>2.0936620414890861E-2</c:v>
                </c:pt>
                <c:pt idx="4269">
                  <c:v>2.1132703469443737E-2</c:v>
                </c:pt>
                <c:pt idx="4270">
                  <c:v>2.132869472481369E-2</c:v>
                </c:pt>
                <c:pt idx="4271">
                  <c:v>2.1524594245451389E-2</c:v>
                </c:pt>
                <c:pt idx="4272">
                  <c:v>2.1720402095747549E-2</c:v>
                </c:pt>
                <c:pt idx="4273">
                  <c:v>2.1916118340031598E-2</c:v>
                </c:pt>
                <c:pt idx="4274">
                  <c:v>2.1176289347531352E-2</c:v>
                </c:pt>
                <c:pt idx="4275">
                  <c:v>2.1372041289795529E-2</c:v>
                </c:pt>
                <c:pt idx="4276">
                  <c:v>2.1567701716424637E-2</c:v>
                </c:pt>
                <c:pt idx="4277">
                  <c:v>2.082847284161593E-2</c:v>
                </c:pt>
                <c:pt idx="4278">
                  <c:v>2.10241688401136E-2</c:v>
                </c:pt>
                <c:pt idx="4279">
                  <c:v>2.1219773413243548E-2</c:v>
                </c:pt>
                <c:pt idx="4280">
                  <c:v>2.1415286625059871E-2</c:v>
                </c:pt>
                <c:pt idx="4281">
                  <c:v>2.1610708539555379E-2</c:v>
                </c:pt>
                <c:pt idx="4282">
                  <c:v>2.1806039220664264E-2</c:v>
                </c:pt>
                <c:pt idx="4283">
                  <c:v>2.2001278732260765E-2</c:v>
                </c:pt>
                <c:pt idx="4284">
                  <c:v>2.2196427138158281E-2</c:v>
                </c:pt>
                <c:pt idx="4285">
                  <c:v>2.1458431084804719E-2</c:v>
                </c:pt>
                <c:pt idx="4286">
                  <c:v>2.1653615066923315E-2</c:v>
                </c:pt>
                <c:pt idx="4287">
                  <c:v>2.0916089707012642E-2</c:v>
                </c:pt>
                <c:pt idx="4288">
                  <c:v>2.1111309114169696E-2</c:v>
                </c:pt>
                <c:pt idx="4289">
                  <c:v>2.1306437531157574E-2</c:v>
                </c:pt>
                <c:pt idx="4290">
                  <c:v>2.1501475021576955E-2</c:v>
                </c:pt>
                <c:pt idx="4291">
                  <c:v>2.076467228954515E-2</c:v>
                </c:pt>
                <c:pt idx="4292">
                  <c:v>2.0028212735311524E-2</c:v>
                </c:pt>
                <c:pt idx="4293">
                  <c:v>2.0223411602290575E-2</c:v>
                </c:pt>
                <c:pt idx="4294">
                  <c:v>2.0418519594564533E-2</c:v>
                </c:pt>
                <c:pt idx="4295">
                  <c:v>2.0613536775578201E-2</c:v>
                </c:pt>
                <c:pt idx="4296">
                  <c:v>2.0808463208717765E-2</c:v>
                </c:pt>
                <c:pt idx="4297">
                  <c:v>2.100329895731079E-2</c:v>
                </c:pt>
                <c:pt idx="4298">
                  <c:v>2.1198044084625334E-2</c:v>
                </c:pt>
                <c:pt idx="4299">
                  <c:v>2.1392698653871278E-2</c:v>
                </c:pt>
                <c:pt idx="4300">
                  <c:v>2.0657462635218504E-2</c:v>
                </c:pt>
                <c:pt idx="4301">
                  <c:v>2.0852152359544629E-2</c:v>
                </c:pt>
                <c:pt idx="4302">
                  <c:v>2.1046751614667958E-2</c:v>
                </c:pt>
                <c:pt idx="4303">
                  <c:v>2.1241260463633171E-2</c:v>
                </c:pt>
                <c:pt idx="4304">
                  <c:v>2.1435678969426775E-2</c:v>
                </c:pt>
                <c:pt idx="4305">
                  <c:v>2.1630007194975764E-2</c:v>
                </c:pt>
                <c:pt idx="4306">
                  <c:v>2.1824245203150294E-2</c:v>
                </c:pt>
                <c:pt idx="4307">
                  <c:v>2.2018393056760566E-2</c:v>
                </c:pt>
                <c:pt idx="4308">
                  <c:v>2.2212450818559493E-2</c:v>
                </c:pt>
                <c:pt idx="4309">
                  <c:v>2.2406418551241369E-2</c:v>
                </c:pt>
                <c:pt idx="4310">
                  <c:v>2.1672652532656045E-2</c:v>
                </c:pt>
                <c:pt idx="4311">
                  <c:v>2.1866655475822672E-2</c:v>
                </c:pt>
                <c:pt idx="4312">
                  <c:v>2.2060568477893394E-2</c:v>
                </c:pt>
                <c:pt idx="4313">
                  <c:v>2.2254391601400414E-2</c:v>
                </c:pt>
                <c:pt idx="4314">
                  <c:v>2.2448124908816869E-2</c:v>
                </c:pt>
                <c:pt idx="4315">
                  <c:v>2.2641768462558165E-2</c:v>
                </c:pt>
                <c:pt idx="4316">
                  <c:v>2.2835322324982421E-2</c:v>
                </c:pt>
                <c:pt idx="4317">
                  <c:v>2.3028786558389136E-2</c:v>
                </c:pt>
                <c:pt idx="4318">
                  <c:v>2.3222161225021853E-2</c:v>
                </c:pt>
                <c:pt idx="4319">
                  <c:v>2.3415446387064165E-2</c:v>
                </c:pt>
                <c:pt idx="4320">
                  <c:v>2.3608642106643707E-2</c:v>
                </c:pt>
                <c:pt idx="4321">
                  <c:v>2.3801748445830384E-2</c:v>
                </c:pt>
                <c:pt idx="4322">
                  <c:v>2.3069696086432501E-2</c:v>
                </c:pt>
                <c:pt idx="4323">
                  <c:v>2.3262837739686848E-2</c:v>
                </c:pt>
                <c:pt idx="4324">
                  <c:v>2.3455890099527199E-2</c:v>
                </c:pt>
                <c:pt idx="4325">
                  <c:v>2.3648853227863587E-2</c:v>
                </c:pt>
                <c:pt idx="4326">
                  <c:v>2.3841727186546979E-2</c:v>
                </c:pt>
                <c:pt idx="4327">
                  <c:v>2.4034512037372391E-2</c:v>
                </c:pt>
                <c:pt idx="4328">
                  <c:v>2.3303420313208978E-2</c:v>
                </c:pt>
                <c:pt idx="4329">
                  <c:v>2.3496240430063597E-2</c:v>
                </c:pt>
                <c:pt idx="4330">
                  <c:v>2.3688971525626989E-2</c:v>
                </c:pt>
                <c:pt idx="4331">
                  <c:v>2.3881613661533851E-2</c:v>
                </c:pt>
                <c:pt idx="4332">
                  <c:v>2.3151231966274999E-2</c:v>
                </c:pt>
                <c:pt idx="4333">
                  <c:v>2.3343909270645113E-2</c:v>
                </c:pt>
                <c:pt idx="4334">
                  <c:v>2.3536497701719838E-2</c:v>
                </c:pt>
                <c:pt idx="4335">
                  <c:v>2.280670080264402E-2</c:v>
                </c:pt>
                <c:pt idx="4336">
                  <c:v>2.2999324280192912E-2</c:v>
                </c:pt>
                <c:pt idx="4337">
                  <c:v>2.3191858970704526E-2</c:v>
                </c:pt>
                <c:pt idx="4338">
                  <c:v>2.3384304935552436E-2</c:v>
                </c:pt>
                <c:pt idx="4339">
                  <c:v>2.2655215564779674E-2</c:v>
                </c:pt>
                <c:pt idx="4340">
                  <c:v>2.2847696479299628E-2</c:v>
                </c:pt>
                <c:pt idx="4341">
                  <c:v>2.3040088754208821E-2</c:v>
                </c:pt>
                <c:pt idx="4342">
                  <c:v>2.3232392450722728E-2</c:v>
                </c:pt>
                <c:pt idx="4343">
                  <c:v>2.3424607629999539E-2</c:v>
                </c:pt>
                <c:pt idx="4344">
                  <c:v>2.3616734353142821E-2</c:v>
                </c:pt>
                <c:pt idx="4345">
                  <c:v>2.3808772681198409E-2</c:v>
                </c:pt>
                <c:pt idx="4346">
                  <c:v>2.3080759473684154E-2</c:v>
                </c:pt>
                <c:pt idx="4347">
                  <c:v>2.3272832728900905E-2</c:v>
                </c:pt>
                <c:pt idx="4348">
                  <c:v>2.3464817674574867E-2</c:v>
                </c:pt>
                <c:pt idx="4349">
                  <c:v>2.3656714371595111E-2</c:v>
                </c:pt>
                <c:pt idx="4350">
                  <c:v>2.3848522880795198E-2</c:v>
                </c:pt>
                <c:pt idx="4351">
                  <c:v>2.4040243262952288E-2</c:v>
                </c:pt>
                <c:pt idx="4352">
                  <c:v>2.4231875578787587E-2</c:v>
                </c:pt>
                <c:pt idx="4353">
                  <c:v>2.4423419888966791E-2</c:v>
                </c:pt>
                <c:pt idx="4354">
                  <c:v>2.3696602608553885E-2</c:v>
                </c:pt>
                <c:pt idx="4355">
                  <c:v>2.3888181847434353E-2</c:v>
                </c:pt>
                <c:pt idx="4356">
                  <c:v>2.4079673165599225E-2</c:v>
                </c:pt>
                <c:pt idx="4357">
                  <c:v>2.4271076623558763E-2</c:v>
                </c:pt>
                <c:pt idx="4358">
                  <c:v>2.4462392281766387E-2</c:v>
                </c:pt>
                <c:pt idx="4359">
                  <c:v>2.4653620200621784E-2</c:v>
                </c:pt>
                <c:pt idx="4360">
                  <c:v>2.4844760440468239E-2</c:v>
                </c:pt>
                <c:pt idx="4361">
                  <c:v>2.5035813061593526E-2</c:v>
                </c:pt>
                <c:pt idx="4362">
                  <c:v>2.431018784008776E-2</c:v>
                </c:pt>
                <c:pt idx="4363">
                  <c:v>2.4501275390733657E-2</c:v>
                </c:pt>
                <c:pt idx="4364">
                  <c:v>2.4692275407000253E-2</c:v>
                </c:pt>
                <c:pt idx="4365">
                  <c:v>2.488318794902078E-2</c:v>
                </c:pt>
                <c:pt idx="4366">
                  <c:v>2.5074013076873403E-2</c:v>
                </c:pt>
                <c:pt idx="4367">
                  <c:v>2.5264750850582107E-2</c:v>
                </c:pt>
                <c:pt idx="4368">
                  <c:v>2.5455401330115368E-2</c:v>
                </c:pt>
                <c:pt idx="4369">
                  <c:v>2.5645964575386593E-2</c:v>
                </c:pt>
                <c:pt idx="4370">
                  <c:v>2.4921527562997259E-2</c:v>
                </c:pt>
                <c:pt idx="4371">
                  <c:v>2.5112125737899671E-2</c:v>
                </c:pt>
                <c:pt idx="4372">
                  <c:v>2.5302636762287278E-2</c:v>
                </c:pt>
                <c:pt idx="4373">
                  <c:v>2.5493060695921166E-2</c:v>
                </c:pt>
                <c:pt idx="4374">
                  <c:v>2.4769320816056872E-2</c:v>
                </c:pt>
                <c:pt idx="4375">
                  <c:v>2.4045911637531336E-2</c:v>
                </c:pt>
                <c:pt idx="4376">
                  <c:v>2.4236492138850263E-2</c:v>
                </c:pt>
                <c:pt idx="4377">
                  <c:v>2.4426985597235884E-2</c:v>
                </c:pt>
                <c:pt idx="4378">
                  <c:v>2.4617392072307176E-2</c:v>
                </c:pt>
                <c:pt idx="4379">
                  <c:v>2.4807711623628492E-2</c:v>
                </c:pt>
                <c:pt idx="4380">
                  <c:v>2.4997944310709119E-2</c:v>
                </c:pt>
                <c:pt idx="4381">
                  <c:v>2.5188090193004165E-2</c:v>
                </c:pt>
                <c:pt idx="4382">
                  <c:v>2.5378149329915001E-2</c:v>
                </c:pt>
                <c:pt idx="4383">
                  <c:v>2.5568121780788378E-2</c:v>
                </c:pt>
                <c:pt idx="4384">
                  <c:v>2.575800760491731E-2</c:v>
                </c:pt>
                <c:pt idx="4385">
                  <c:v>2.594780686154019E-2</c:v>
                </c:pt>
                <c:pt idx="4386">
                  <c:v>2.6137519609842119E-2</c:v>
                </c:pt>
                <c:pt idx="4387">
                  <c:v>2.5415776576531712E-2</c:v>
                </c:pt>
                <c:pt idx="4388">
                  <c:v>2.5605524086744325E-2</c:v>
                </c:pt>
                <c:pt idx="4389">
                  <c:v>2.5795185171308965E-2</c:v>
                </c:pt>
                <c:pt idx="4390">
                  <c:v>2.5074013076873403E-2</c:v>
                </c:pt>
                <c:pt idx="4391">
                  <c:v>2.5263708804925677E-2</c:v>
                </c:pt>
                <c:pt idx="4392">
                  <c:v>2.5453318189906593E-2</c:v>
                </c:pt>
                <c:pt idx="4393">
                  <c:v>2.5642841290753005E-2</c:v>
                </c:pt>
                <c:pt idx="4394">
                  <c:v>2.5832278166348921E-2</c:v>
                </c:pt>
                <c:pt idx="4395">
                  <c:v>2.6021628875524172E-2</c:v>
                </c:pt>
                <c:pt idx="4396">
                  <c:v>2.6210893477055297E-2</c:v>
                </c:pt>
                <c:pt idx="4397">
                  <c:v>2.6400072029665989E-2</c:v>
                </c:pt>
                <c:pt idx="4398">
                  <c:v>2.5680073682934346E-2</c:v>
                </c:pt>
                <c:pt idx="4399">
                  <c:v>2.5869286878282161E-2</c:v>
                </c:pt>
                <c:pt idx="4400">
                  <c:v>2.6058414106708394E-2</c:v>
                </c:pt>
                <c:pt idx="4401">
                  <c:v>2.6247455426786637E-2</c:v>
                </c:pt>
                <c:pt idx="4402">
                  <c:v>2.6436410897037188E-2</c:v>
                </c:pt>
                <c:pt idx="4403">
                  <c:v>2.6625280575927501E-2</c:v>
                </c:pt>
                <c:pt idx="4404">
                  <c:v>2.6814064521872627E-2</c:v>
                </c:pt>
                <c:pt idx="4405">
                  <c:v>2.7002762793233881E-2</c:v>
                </c:pt>
                <c:pt idx="4406">
                  <c:v>2.7191375448319288E-2</c:v>
                </c:pt>
                <c:pt idx="4407">
                  <c:v>2.7379902545384915E-2</c:v>
                </c:pt>
                <c:pt idx="4408">
                  <c:v>2.7568344142633094E-2</c:v>
                </c:pt>
                <c:pt idx="4409">
                  <c:v>2.7756700298214199E-2</c:v>
                </c:pt>
                <c:pt idx="4410">
                  <c:v>2.7944971070224867E-2</c:v>
                </c:pt>
                <c:pt idx="4411">
                  <c:v>2.8133156516710223E-2</c:v>
                </c:pt>
                <c:pt idx="4412">
                  <c:v>2.83212566956621E-2</c:v>
                </c:pt>
                <c:pt idx="4413">
                  <c:v>2.7603269400014341E-2</c:v>
                </c:pt>
                <c:pt idx="4414">
                  <c:v>2.7791404381221518E-2</c:v>
                </c:pt>
                <c:pt idx="4415">
                  <c:v>2.7979454175658613E-2</c:v>
                </c:pt>
                <c:pt idx="4416">
                  <c:v>2.816741884117091E-2</c:v>
                </c:pt>
                <c:pt idx="4417">
                  <c:v>2.8355298435552179E-2</c:v>
                </c:pt>
                <c:pt idx="4418">
                  <c:v>2.8543093016541565E-2</c:v>
                </c:pt>
                <c:pt idx="4419">
                  <c:v>2.7826029965963617E-2</c:v>
                </c:pt>
                <c:pt idx="4420">
                  <c:v>2.8013859300301647E-2</c:v>
                </c:pt>
                <c:pt idx="4421">
                  <c:v>2.8201603701638156E-2</c:v>
                </c:pt>
                <c:pt idx="4422">
                  <c:v>2.7485104095559709E-2</c:v>
                </c:pt>
                <c:pt idx="4423">
                  <c:v>2.7672883133370796E-2</c:v>
                </c:pt>
                <c:pt idx="4424">
                  <c:v>2.7860577318476132E-2</c:v>
                </c:pt>
                <c:pt idx="4425">
                  <c:v>2.7144640288679689E-2</c:v>
                </c:pt>
                <c:pt idx="4426">
                  <c:v>2.7332368993766121E-2</c:v>
                </c:pt>
                <c:pt idx="4427">
                  <c:v>2.7520012926350645E-2</c:v>
                </c:pt>
                <c:pt idx="4428">
                  <c:v>2.680463760659535E-2</c:v>
                </c:pt>
                <c:pt idx="4429">
                  <c:v>2.6992315943043632E-2</c:v>
                </c:pt>
                <c:pt idx="4430">
                  <c:v>2.7179909587102369E-2</c:v>
                </c:pt>
                <c:pt idx="4431">
                  <c:v>2.7367418596085713E-2</c:v>
                </c:pt>
                <c:pt idx="4432">
                  <c:v>2.6652723045299531E-2</c:v>
                </c:pt>
                <c:pt idx="4433">
                  <c:v>2.6840266365111276E-2</c:v>
                </c:pt>
                <c:pt idx="4434">
                  <c:v>2.7027725129773916E-2</c:v>
                </c:pt>
                <c:pt idx="4435">
                  <c:v>2.6313589367159995E-2</c:v>
                </c:pt>
                <c:pt idx="4436">
                  <c:v>2.6501082327286429E-2</c:v>
                </c:pt>
                <c:pt idx="4437">
                  <c:v>2.6688490812099008E-2</c:v>
                </c:pt>
                <c:pt idx="4438">
                  <c:v>2.5974913977774516E-2</c:v>
                </c:pt>
                <c:pt idx="4439">
                  <c:v>2.6162356543059762E-2</c:v>
                </c:pt>
                <c:pt idx="4440">
                  <c:v>2.6349714712773142E-2</c:v>
                </c:pt>
                <c:pt idx="4441">
                  <c:v>2.563669594880702E-2</c:v>
                </c:pt>
                <c:pt idx="4442">
                  <c:v>2.4923998075373266E-2</c:v>
                </c:pt>
                <c:pt idx="4443">
                  <c:v>2.5111508389959347E-2</c:v>
                </c:pt>
                <c:pt idx="4444">
                  <c:v>2.5298934354426539E-2</c:v>
                </c:pt>
                <c:pt idx="4445">
                  <c:v>2.4586793228286385E-2</c:v>
                </c:pt>
                <c:pt idx="4446">
                  <c:v>2.4774252885026993E-2</c:v>
                </c:pt>
                <c:pt idx="4447">
                  <c:v>2.4961628271299219E-2</c:v>
                </c:pt>
                <c:pt idx="4448">
                  <c:v>2.5148919443914952E-2</c:v>
                </c:pt>
                <c:pt idx="4449">
                  <c:v>2.4437452004455462E-2</c:v>
                </c:pt>
                <c:pt idx="4450">
                  <c:v>2.462477677858077E-2</c:v>
                </c:pt>
                <c:pt idx="4451">
                  <c:v>2.3913746589860896E-2</c:v>
                </c:pt>
                <c:pt idx="4452">
                  <c:v>2.4101104829605369E-2</c:v>
                </c:pt>
                <c:pt idx="4453">
                  <c:v>2.4288378957906254E-2</c:v>
                </c:pt>
                <c:pt idx="4454">
                  <c:v>2.4475569031391586E-2</c:v>
                </c:pt>
                <c:pt idx="4455">
                  <c:v>2.4662675106639664E-2</c:v>
                </c:pt>
                <c:pt idx="4456">
                  <c:v>2.4849697240175495E-2</c:v>
                </c:pt>
                <c:pt idx="4457">
                  <c:v>2.5036635488475678E-2</c:v>
                </c:pt>
                <c:pt idx="4458">
                  <c:v>2.5223489907964858E-2</c:v>
                </c:pt>
                <c:pt idx="4459">
                  <c:v>2.5410260555017494E-2</c:v>
                </c:pt>
                <c:pt idx="4460">
                  <c:v>2.5596947485957866E-2</c:v>
                </c:pt>
                <c:pt idx="4461">
                  <c:v>2.5783550757058737E-2</c:v>
                </c:pt>
                <c:pt idx="4462">
                  <c:v>2.5970070424544023E-2</c:v>
                </c:pt>
                <c:pt idx="4463">
                  <c:v>2.6156506544585234E-2</c:v>
                </c:pt>
                <c:pt idx="4464">
                  <c:v>2.6342859173305921E-2</c:v>
                </c:pt>
                <c:pt idx="4465">
                  <c:v>2.6529128366777233E-2</c:v>
                </c:pt>
                <c:pt idx="4466">
                  <c:v>2.6715314181021466E-2</c:v>
                </c:pt>
                <c:pt idx="4467">
                  <c:v>2.6901416672010292E-2</c:v>
                </c:pt>
                <c:pt idx="4468">
                  <c:v>2.6192581309535612E-2</c:v>
                </c:pt>
                <c:pt idx="4469">
                  <c:v>2.6378717468135804E-2</c:v>
                </c:pt>
                <c:pt idx="4470">
                  <c:v>2.6564770381584335E-2</c:v>
                </c:pt>
                <c:pt idx="4471">
                  <c:v>2.6750740105713433E-2</c:v>
                </c:pt>
                <c:pt idx="4472">
                  <c:v>2.6042572158977428E-2</c:v>
                </c:pt>
                <c:pt idx="4473">
                  <c:v>2.622857546048607E-2</c:v>
                </c:pt>
                <c:pt idx="4474">
                  <c:v>2.6414495650600056E-2</c:v>
                </c:pt>
                <c:pt idx="4475">
                  <c:v>2.6600332785011283E-2</c:v>
                </c:pt>
                <c:pt idx="4476">
                  <c:v>2.5892831001542493E-2</c:v>
                </c:pt>
                <c:pt idx="4477">
                  <c:v>2.6078701623424294E-2</c:v>
                </c:pt>
                <c:pt idx="4478">
                  <c:v>2.6264489267349589E-2</c:v>
                </c:pt>
                <c:pt idx="4479">
                  <c:v>2.6450193988872162E-2</c:v>
                </c:pt>
                <c:pt idx="4480">
                  <c:v>2.574335711971143E-2</c:v>
                </c:pt>
                <c:pt idx="4481">
                  <c:v>2.503683559155867E-2</c:v>
                </c:pt>
                <c:pt idx="4482">
                  <c:v>2.5222689853561242E-2</c:v>
                </c:pt>
                <c:pt idx="4483">
                  <c:v>2.4516599475981504E-2</c:v>
                </c:pt>
                <c:pt idx="4484">
                  <c:v>2.470248684712173E-2</c:v>
                </c:pt>
                <c:pt idx="4485">
                  <c:v>2.4888291362290538E-2</c:v>
                </c:pt>
                <c:pt idx="4486">
                  <c:v>2.5074013076873403E-2</c:v>
                </c:pt>
                <c:pt idx="4487">
                  <c:v>2.525965204620606E-2</c:v>
                </c:pt>
                <c:pt idx="4488">
                  <c:v>2.5445208325574509E-2</c:v>
                </c:pt>
                <c:pt idx="4489">
                  <c:v>2.5630681970215896E-2</c:v>
                </c:pt>
                <c:pt idx="4490">
                  <c:v>2.4925601085184823E-2</c:v>
                </c:pt>
                <c:pt idx="4491">
                  <c:v>2.511110781683934E-2</c:v>
                </c:pt>
                <c:pt idx="4492">
                  <c:v>2.529653199098103E-2</c:v>
                </c:pt>
                <c:pt idx="4493">
                  <c:v>2.548187366270982E-2</c:v>
                </c:pt>
                <c:pt idx="4494">
                  <c:v>2.5667132887075006E-2</c:v>
                </c:pt>
                <c:pt idx="4495">
                  <c:v>2.5852309719079258E-2</c:v>
                </c:pt>
                <c:pt idx="4496">
                  <c:v>2.6037404213675064E-2</c:v>
                </c:pt>
                <c:pt idx="4497">
                  <c:v>2.622241642576606E-2</c:v>
                </c:pt>
                <c:pt idx="4498">
                  <c:v>2.6407346410207033E-2</c:v>
                </c:pt>
                <c:pt idx="4499">
                  <c:v>2.6592194221804366E-2</c:v>
                </c:pt>
                <c:pt idx="4500">
                  <c:v>2.677695991531559E-2</c:v>
                </c:pt>
                <c:pt idx="4501">
                  <c:v>2.6961643545450276E-2</c:v>
                </c:pt>
                <c:pt idx="4502">
                  <c:v>2.7146245166867811E-2</c:v>
                </c:pt>
                <c:pt idx="4503">
                  <c:v>2.7330764834180066E-2</c:v>
                </c:pt>
                <c:pt idx="4504">
                  <c:v>2.7515202601951394E-2</c:v>
                </c:pt>
                <c:pt idx="4505">
                  <c:v>2.7699558524695522E-2</c:v>
                </c:pt>
                <c:pt idx="4506">
                  <c:v>2.6996521210561841E-2</c:v>
                </c:pt>
                <c:pt idx="4507">
                  <c:v>2.7180910393351798E-2</c:v>
                </c:pt>
                <c:pt idx="4508">
                  <c:v>2.736521780710266E-2</c:v>
                </c:pt>
                <c:pt idx="4509">
                  <c:v>2.7549443506194482E-2</c:v>
                </c:pt>
                <c:pt idx="4510">
                  <c:v>2.7733587544958471E-2</c:v>
                </c:pt>
                <c:pt idx="4511">
                  <c:v>2.791764997767876E-2</c:v>
                </c:pt>
                <c:pt idx="4512">
                  <c:v>2.8101630858589743E-2</c:v>
                </c:pt>
                <c:pt idx="4513">
                  <c:v>2.8285530241879187E-2</c:v>
                </c:pt>
                <c:pt idx="4514">
                  <c:v>2.8469348181686005E-2</c:v>
                </c:pt>
                <c:pt idx="4515">
                  <c:v>2.8653084732102041E-2</c:v>
                </c:pt>
                <c:pt idx="4516">
                  <c:v>2.8836739947170287E-2</c:v>
                </c:pt>
                <c:pt idx="4517">
                  <c:v>2.9020313880886217E-2</c:v>
                </c:pt>
                <c:pt idx="4518">
                  <c:v>2.9203806587198233E-2</c:v>
                </c:pt>
                <c:pt idx="4519">
                  <c:v>2.9387218120005443E-2</c:v>
                </c:pt>
                <c:pt idx="4520">
                  <c:v>2.9570548533161212E-2</c:v>
                </c:pt>
                <c:pt idx="4521">
                  <c:v>2.8869429098687949E-2</c:v>
                </c:pt>
                <c:pt idx="4522">
                  <c:v>2.9052792917722225E-2</c:v>
                </c:pt>
                <c:pt idx="4523">
                  <c:v>2.923607569197495E-2</c:v>
                </c:pt>
                <c:pt idx="4524">
                  <c:v>2.9419277475164929E-2</c:v>
                </c:pt>
                <c:pt idx="4525">
                  <c:v>2.871881095626394E-2</c:v>
                </c:pt>
                <c:pt idx="4526">
                  <c:v>2.8902046056849873E-2</c:v>
                </c:pt>
                <c:pt idx="4527">
                  <c:v>2.9085200241074638E-2</c:v>
                </c:pt>
                <c:pt idx="4528">
                  <c:v>2.9268273562524705E-2</c:v>
                </c:pt>
                <c:pt idx="4529">
                  <c:v>2.9451266074739912E-2</c:v>
                </c:pt>
                <c:pt idx="4530">
                  <c:v>2.9634177831213027E-2</c:v>
                </c:pt>
                <c:pt idx="4531">
                  <c:v>2.9817008885388852E-2</c:v>
                </c:pt>
                <c:pt idx="4532">
                  <c:v>2.9999759290665562E-2</c:v>
                </c:pt>
                <c:pt idx="4533">
                  <c:v>3.0182429100394259E-2</c:v>
                </c:pt>
                <c:pt idx="4534">
                  <c:v>3.0365018367878971E-2</c:v>
                </c:pt>
                <c:pt idx="4535">
                  <c:v>2.9665887296254745E-2</c:v>
                </c:pt>
                <c:pt idx="4536">
                  <c:v>2.8967064347624305E-2</c:v>
                </c:pt>
                <c:pt idx="4537">
                  <c:v>2.9149800695291717E-2</c:v>
                </c:pt>
                <c:pt idx="4538">
                  <c:v>2.9332456542365382E-2</c:v>
                </c:pt>
                <c:pt idx="4539">
                  <c:v>2.9515031942028092E-2</c:v>
                </c:pt>
                <c:pt idx="4540">
                  <c:v>2.8816857638740423E-2</c:v>
                </c:pt>
                <c:pt idx="4541">
                  <c:v>2.8999466154869147E-2</c:v>
                </c:pt>
                <c:pt idx="4542">
                  <c:v>2.9181994297530878E-2</c:v>
                </c:pt>
                <c:pt idx="4543">
                  <c:v>2.8484354110977161E-2</c:v>
                </c:pt>
                <c:pt idx="4544">
                  <c:v>2.8666915261944759E-2</c:v>
                </c:pt>
                <c:pt idx="4545">
                  <c:v>2.8849396113307613E-2</c:v>
                </c:pt>
                <c:pt idx="4546">
                  <c:v>2.9031796718034464E-2</c:v>
                </c:pt>
                <c:pt idx="4547">
                  <c:v>2.8334802994071318E-2</c:v>
                </c:pt>
                <c:pt idx="4548">
                  <c:v>2.8517236520097189E-2</c:v>
                </c:pt>
                <c:pt idx="4549">
                  <c:v>2.7820662164986132E-2</c:v>
                </c:pt>
                <c:pt idx="4550">
                  <c:v>2.8003128484020756E-2</c:v>
                </c:pt>
                <c:pt idx="4551">
                  <c:v>2.8185514650927335E-2</c:v>
                </c:pt>
                <c:pt idx="4552">
                  <c:v>2.8367820718507186E-2</c:v>
                </c:pt>
                <c:pt idx="4553">
                  <c:v>2.8550046739515444E-2</c:v>
                </c:pt>
                <c:pt idx="4554">
                  <c:v>2.8732192766659725E-2</c:v>
                </c:pt>
                <c:pt idx="4555">
                  <c:v>2.8914258852603236E-2</c:v>
                </c:pt>
                <c:pt idx="4556">
                  <c:v>2.9096245049961222E-2</c:v>
                </c:pt>
                <c:pt idx="4557">
                  <c:v>2.9278151411303632E-2</c:v>
                </c:pt>
                <c:pt idx="4558">
                  <c:v>2.9459977989154229E-2</c:v>
                </c:pt>
                <c:pt idx="4559">
                  <c:v>2.964172483599059E-2</c:v>
                </c:pt>
                <c:pt idx="4560">
                  <c:v>2.9823392004244553E-2</c:v>
                </c:pt>
                <c:pt idx="4561">
                  <c:v>3.0004979546301769E-2</c:v>
                </c:pt>
                <c:pt idx="4562">
                  <c:v>3.0186487514501259E-2</c:v>
                </c:pt>
                <c:pt idx="4563">
                  <c:v>3.0367915961138081E-2</c:v>
                </c:pt>
                <c:pt idx="4564">
                  <c:v>3.0549264938459331E-2</c:v>
                </c:pt>
                <c:pt idx="4565">
                  <c:v>3.0730534498667694E-2</c:v>
                </c:pt>
                <c:pt idx="4566">
                  <c:v>3.0911724693919673E-2</c:v>
                </c:pt>
                <c:pt idx="4567">
                  <c:v>3.1092835576326472E-2</c:v>
                </c:pt>
                <c:pt idx="4568">
                  <c:v>3.1273867197953109E-2</c:v>
                </c:pt>
                <c:pt idx="4569">
                  <c:v>3.1454819610819307E-2</c:v>
                </c:pt>
                <c:pt idx="4570">
                  <c:v>3.0760802228229522E-2</c:v>
                </c:pt>
                <c:pt idx="4571">
                  <c:v>3.0067088373906703E-2</c:v>
                </c:pt>
                <c:pt idx="4572">
                  <c:v>3.0248185937972405E-2</c:v>
                </c:pt>
                <c:pt idx="4573">
                  <c:v>2.9554887393813623E-2</c:v>
                </c:pt>
                <c:pt idx="4574">
                  <c:v>2.9736017738878129E-2</c:v>
                </c:pt>
                <c:pt idx="4575">
                  <c:v>2.9917068935878532E-2</c:v>
                </c:pt>
                <c:pt idx="4576">
                  <c:v>3.0098041036681344E-2</c:v>
                </c:pt>
                <c:pt idx="4577">
                  <c:v>3.0278934093106891E-2</c:v>
                </c:pt>
                <c:pt idx="4578">
                  <c:v>3.0459748156931976E-2</c:v>
                </c:pt>
                <c:pt idx="4579">
                  <c:v>3.0640483279885888E-2</c:v>
                </c:pt>
                <c:pt idx="4580">
                  <c:v>3.0821139513655282E-2</c:v>
                </c:pt>
                <c:pt idx="4581">
                  <c:v>3.100171690987974E-2</c:v>
                </c:pt>
                <c:pt idx="4582">
                  <c:v>3.0309615171114412E-2</c:v>
                </c:pt>
                <c:pt idx="4583">
                  <c:v>3.0490225363315027E-2</c:v>
                </c:pt>
                <c:pt idx="4584">
                  <c:v>2.979853699023316E-2</c:v>
                </c:pt>
                <c:pt idx="4585">
                  <c:v>2.9979179852543947E-2</c:v>
                </c:pt>
                <c:pt idx="4586">
                  <c:v>3.0159743969055963E-2</c:v>
                </c:pt>
                <c:pt idx="4587">
                  <c:v>3.0340229391248474E-2</c:v>
                </c:pt>
                <c:pt idx="4588">
                  <c:v>3.0520636170555449E-2</c:v>
                </c:pt>
                <c:pt idx="4589">
                  <c:v>2.9829694482522484E-2</c:v>
                </c:pt>
                <c:pt idx="4590">
                  <c:v>3.0010133866652744E-2</c:v>
                </c:pt>
                <c:pt idx="4591">
                  <c:v>3.0190494679311897E-2</c:v>
                </c:pt>
                <c:pt idx="4592">
                  <c:v>3.0370776971809121E-2</c:v>
                </c:pt>
                <c:pt idx="4593">
                  <c:v>3.05509807954083E-2</c:v>
                </c:pt>
                <c:pt idx="4594">
                  <c:v>2.986078418218252E-2</c:v>
                </c:pt>
                <c:pt idx="4595">
                  <c:v>3.0041020545512609E-2</c:v>
                </c:pt>
                <c:pt idx="4596">
                  <c:v>3.0221178511120161E-2</c:v>
                </c:pt>
                <c:pt idx="4597">
                  <c:v>2.9531503835733997E-2</c:v>
                </c:pt>
                <c:pt idx="4598">
                  <c:v>2.8842129018902707E-2</c:v>
                </c:pt>
                <c:pt idx="4599">
                  <c:v>2.8153053865108024E-2</c:v>
                </c:pt>
                <c:pt idx="4600">
                  <c:v>2.8333465488868281E-2</c:v>
                </c:pt>
                <c:pt idx="4601">
                  <c:v>2.7644800244662537E-2</c:v>
                </c:pt>
                <c:pt idx="4602">
                  <c:v>2.7825243890658768E-2</c:v>
                </c:pt>
                <c:pt idx="4603">
                  <c:v>2.8005609168078927E-2</c:v>
                </c:pt>
                <c:pt idx="4604">
                  <c:v>2.8185896127966181E-2</c:v>
                </c:pt>
                <c:pt idx="4605">
                  <c:v>2.8366104821320626E-2</c:v>
                </c:pt>
                <c:pt idx="4606">
                  <c:v>2.8546235299095724E-2</c:v>
                </c:pt>
                <c:pt idx="4607">
                  <c:v>2.8726287612203194E-2</c:v>
                </c:pt>
                <c:pt idx="4608">
                  <c:v>2.8906261811508571E-2</c:v>
                </c:pt>
                <c:pt idx="4609">
                  <c:v>2.9086157947834312E-2</c:v>
                </c:pt>
                <c:pt idx="4610">
                  <c:v>2.926597607195891E-2</c:v>
                </c:pt>
                <c:pt idx="4611">
                  <c:v>2.9445716234616004E-2</c:v>
                </c:pt>
                <c:pt idx="4612">
                  <c:v>2.8758451741806468E-2</c:v>
                </c:pt>
                <c:pt idx="4613">
                  <c:v>2.8938223983337785E-2</c:v>
                </c:pt>
                <c:pt idx="4614">
                  <c:v>2.9117918333950499E-2</c:v>
                </c:pt>
                <c:pt idx="4615">
                  <c:v>2.9297534844254791E-2</c:v>
                </c:pt>
                <c:pt idx="4616">
                  <c:v>2.9477073564819101E-2</c:v>
                </c:pt>
                <c:pt idx="4617">
                  <c:v>2.9656534546167013E-2</c:v>
                </c:pt>
                <c:pt idx="4618">
                  <c:v>2.9835917838778148E-2</c:v>
                </c:pt>
                <c:pt idx="4619">
                  <c:v>3.0015223493089493E-2</c:v>
                </c:pt>
                <c:pt idx="4620">
                  <c:v>3.0194451559492741E-2</c:v>
                </c:pt>
                <c:pt idx="4621">
                  <c:v>3.0373602088337837E-2</c:v>
                </c:pt>
                <c:pt idx="4622">
                  <c:v>3.0552675129929874E-2</c:v>
                </c:pt>
                <c:pt idx="4623">
                  <c:v>3.0731670734531313E-2</c:v>
                </c:pt>
                <c:pt idx="4624">
                  <c:v>3.0910588952359763E-2</c:v>
                </c:pt>
                <c:pt idx="4625">
                  <c:v>3.1089429833591531E-2</c:v>
                </c:pt>
                <c:pt idx="4626">
                  <c:v>3.1268193428357183E-2</c:v>
                </c:pt>
                <c:pt idx="4627">
                  <c:v>3.1446879786745985E-2</c:v>
                </c:pt>
                <c:pt idx="4628">
                  <c:v>3.1625488958802794E-2</c:v>
                </c:pt>
                <c:pt idx="4629">
                  <c:v>3.1804020994529836E-2</c:v>
                </c:pt>
                <c:pt idx="4630">
                  <c:v>3.1982475943885813E-2</c:v>
                </c:pt>
                <c:pt idx="4631">
                  <c:v>3.2160853856785909E-2</c:v>
                </c:pt>
                <c:pt idx="4632">
                  <c:v>3.2339154783102675E-2</c:v>
                </c:pt>
                <c:pt idx="4633">
                  <c:v>3.2517378772666472E-2</c:v>
                </c:pt>
                <c:pt idx="4634">
                  <c:v>3.269552587526281E-2</c:v>
                </c:pt>
                <c:pt idx="4635">
                  <c:v>3.2010969442339832E-2</c:v>
                </c:pt>
                <c:pt idx="4636">
                  <c:v>3.2189148911284882E-2</c:v>
                </c:pt>
                <c:pt idx="4637">
                  <c:v>3.2367251562179344E-2</c:v>
                </c:pt>
                <c:pt idx="4638">
                  <c:v>3.1683208479172276E-2</c:v>
                </c:pt>
                <c:pt idx="4639">
                  <c:v>3.186134339361546E-2</c:v>
                </c:pt>
                <c:pt idx="4640">
                  <c:v>3.117770401468789E-2</c:v>
                </c:pt>
                <c:pt idx="4641">
                  <c:v>3.1355871070986474E-2</c:v>
                </c:pt>
                <c:pt idx="4642">
                  <c:v>3.0672634954565403E-2</c:v>
                </c:pt>
                <c:pt idx="4643">
                  <c:v>3.0850834031304952E-2</c:v>
                </c:pt>
                <c:pt idx="4644">
                  <c:v>3.1028956397292529E-2</c:v>
                </c:pt>
                <c:pt idx="4645">
                  <c:v>3.1207002102051185E-2</c:v>
                </c:pt>
                <c:pt idx="4646">
                  <c:v>3.1384971195060452E-2</c:v>
                </c:pt>
                <c:pt idx="4647">
                  <c:v>3.0702463639718403E-2</c:v>
                </c:pt>
                <c:pt idx="4648">
                  <c:v>3.002024963601313E-2</c:v>
                </c:pt>
                <c:pt idx="4649">
                  <c:v>3.019835909565094E-2</c:v>
                </c:pt>
                <c:pt idx="4650">
                  <c:v>3.0376391982004147E-2</c:v>
                </c:pt>
                <c:pt idx="4651">
                  <c:v>3.0554348344443039E-2</c:v>
                </c:pt>
                <c:pt idx="4652">
                  <c:v>3.0732228232295267E-2</c:v>
                </c:pt>
                <c:pt idx="4653">
                  <c:v>3.0050740609992133E-2</c:v>
                </c:pt>
                <c:pt idx="4654">
                  <c:v>2.9369545722921497E-2</c:v>
                </c:pt>
                <c:pt idx="4655">
                  <c:v>2.9547565435330547E-2</c:v>
                </c:pt>
                <c:pt idx="4656">
                  <c:v>2.9725508711623938E-2</c:v>
                </c:pt>
                <c:pt idx="4657">
                  <c:v>2.9903375601020521E-2</c:v>
                </c:pt>
                <c:pt idx="4658">
                  <c:v>3.0081166152696071E-2</c:v>
                </c:pt>
                <c:pt idx="4659">
                  <c:v>3.0258880415785061E-2</c:v>
                </c:pt>
                <c:pt idx="4660">
                  <c:v>3.043651843937889E-2</c:v>
                </c:pt>
                <c:pt idx="4661">
                  <c:v>2.9756263416425899E-2</c:v>
                </c:pt>
                <c:pt idx="4662">
                  <c:v>2.9933933031133009E-2</c:v>
                </c:pt>
                <c:pt idx="4663">
                  <c:v>3.011152647451576E-2</c:v>
                </c:pt>
                <c:pt idx="4664">
                  <c:v>2.9431778471929793E-2</c:v>
                </c:pt>
                <c:pt idx="4665">
                  <c:v>2.9609403406135826E-2</c:v>
                </c:pt>
                <c:pt idx="4666">
                  <c:v>2.9786952237113695E-2</c:v>
                </c:pt>
                <c:pt idx="4667">
                  <c:v>2.9964425013762064E-2</c:v>
                </c:pt>
                <c:pt idx="4668">
                  <c:v>2.928529073568864E-2</c:v>
                </c:pt>
                <c:pt idx="4669">
                  <c:v>2.9462794922302749E-2</c:v>
                </c:pt>
                <c:pt idx="4670">
                  <c:v>2.9640223122535669E-2</c:v>
                </c:pt>
                <c:pt idx="4671">
                  <c:v>2.8961594216755149E-2</c:v>
                </c:pt>
                <c:pt idx="4672">
                  <c:v>2.9139053727280206E-2</c:v>
                </c:pt>
                <c:pt idx="4673">
                  <c:v>2.9316437319297783E-2</c:v>
                </c:pt>
                <c:pt idx="4674">
                  <c:v>2.9493745041515584E-2</c:v>
                </c:pt>
                <c:pt idx="4675">
                  <c:v>2.967097694259957E-2</c:v>
                </c:pt>
                <c:pt idx="4676">
                  <c:v>2.9848133071173066E-2</c:v>
                </c:pt>
                <c:pt idx="4677">
                  <c:v>3.002521347581899E-2</c:v>
                </c:pt>
                <c:pt idx="4678">
                  <c:v>3.0202218205078513E-2</c:v>
                </c:pt>
                <c:pt idx="4679">
                  <c:v>3.037914730745106E-2</c:v>
                </c:pt>
                <c:pt idx="4680">
                  <c:v>3.0556000831394314E-2</c:v>
                </c:pt>
                <c:pt idx="4681">
                  <c:v>2.9878625504804468E-2</c:v>
                </c:pt>
                <c:pt idx="4682">
                  <c:v>2.9201539407644805E-2</c:v>
                </c:pt>
                <c:pt idx="4683">
                  <c:v>2.9378531042010714E-2</c:v>
                </c:pt>
                <c:pt idx="4684">
                  <c:v>2.9555447135772184E-2</c:v>
                </c:pt>
                <c:pt idx="4685">
                  <c:v>2.8878863372016284E-2</c:v>
                </c:pt>
                <c:pt idx="4686">
                  <c:v>2.9055810574029284E-2</c:v>
                </c:pt>
                <c:pt idx="4687">
                  <c:v>2.9232682302721358E-2</c:v>
                </c:pt>
                <c:pt idx="4688">
                  <c:v>2.8556600141550259E-2</c:v>
                </c:pt>
                <c:pt idx="4689">
                  <c:v>2.7880806226876942E-2</c:v>
                </c:pt>
                <c:pt idx="4690">
                  <c:v>2.8057815293412336E-2</c:v>
                </c:pt>
                <c:pt idx="4691">
                  <c:v>2.8234748924590214E-2</c:v>
                </c:pt>
                <c:pt idx="4692">
                  <c:v>2.8411607168621789E-2</c:v>
                </c:pt>
                <c:pt idx="4693">
                  <c:v>2.8588390073678749E-2</c:v>
                </c:pt>
                <c:pt idx="4694">
                  <c:v>2.8765097687890151E-2</c:v>
                </c:pt>
                <c:pt idx="4695">
                  <c:v>2.8090122650360261E-2</c:v>
                </c:pt>
                <c:pt idx="4696">
                  <c:v>2.8266861097307583E-2</c:v>
                </c:pt>
                <c:pt idx="4697">
                  <c:v>2.8443524320400648E-2</c:v>
                </c:pt>
                <c:pt idx="4698">
                  <c:v>2.8620112367653494E-2</c:v>
                </c:pt>
                <c:pt idx="4699">
                  <c:v>2.8796625287041522E-2</c:v>
                </c:pt>
                <c:pt idx="4700">
                  <c:v>2.8973063126497944E-2</c:v>
                </c:pt>
                <c:pt idx="4701">
                  <c:v>2.9149425933915118E-2</c:v>
                </c:pt>
                <c:pt idx="4702">
                  <c:v>2.9325713757145877E-2</c:v>
                </c:pt>
                <c:pt idx="4703">
                  <c:v>2.8651767239112225E-2</c:v>
                </c:pt>
                <c:pt idx="4704">
                  <c:v>2.8828085891719812E-2</c:v>
                </c:pt>
                <c:pt idx="4705">
                  <c:v>2.9004329626693082E-2</c:v>
                </c:pt>
                <c:pt idx="4706">
                  <c:v>2.918049849177029E-2</c:v>
                </c:pt>
                <c:pt idx="4707">
                  <c:v>2.9356592534649284E-2</c:v>
                </c:pt>
                <c:pt idx="4708">
                  <c:v>2.9532611802988384E-2</c:v>
                </c:pt>
                <c:pt idx="4709">
                  <c:v>2.9708556344403281E-2</c:v>
                </c:pt>
                <c:pt idx="4710">
                  <c:v>2.9884426206471915E-2</c:v>
                </c:pt>
                <c:pt idx="4711">
                  <c:v>3.0060221436729151E-2</c:v>
                </c:pt>
                <c:pt idx="4712">
                  <c:v>3.0235942082671663E-2</c:v>
                </c:pt>
                <c:pt idx="4713">
                  <c:v>3.0411588191755268E-2</c:v>
                </c:pt>
                <c:pt idx="4714">
                  <c:v>3.0587159811394482E-2</c:v>
                </c:pt>
                <c:pt idx="4715">
                  <c:v>3.0762656988964743E-2</c:v>
                </c:pt>
                <c:pt idx="4716">
                  <c:v>3.0938079771800631E-2</c:v>
                </c:pt>
                <c:pt idx="4717">
                  <c:v>3.1113428207197646E-2</c:v>
                </c:pt>
                <c:pt idx="4718">
                  <c:v>3.0441244715291749E-2</c:v>
                </c:pt>
                <c:pt idx="4719">
                  <c:v>2.9769345986567775E-2</c:v>
                </c:pt>
                <c:pt idx="4720">
                  <c:v>2.9944830527106614E-2</c:v>
                </c:pt>
                <c:pt idx="4721">
                  <c:v>2.9273321426086518E-2</c:v>
                </c:pt>
                <c:pt idx="4722">
                  <c:v>2.8602096621892059E-2</c:v>
                </c:pt>
                <c:pt idx="4723">
                  <c:v>2.8777716780577389E-2</c:v>
                </c:pt>
                <c:pt idx="4724">
                  <c:v>2.810688090026181E-2</c:v>
                </c:pt>
                <c:pt idx="4725">
                  <c:v>2.8282531517040077E-2</c:v>
                </c:pt>
                <c:pt idx="4726">
                  <c:v>2.8458107831526469E-2</c:v>
                </c:pt>
                <c:pt idx="4727">
                  <c:v>2.8633609890858391E-2</c:v>
                </c:pt>
                <c:pt idx="4728">
                  <c:v>2.8809037742130617E-2</c:v>
                </c:pt>
                <c:pt idx="4729">
                  <c:v>2.8984391432401058E-2</c:v>
                </c:pt>
                <c:pt idx="4730">
                  <c:v>2.9159671008685439E-2</c:v>
                </c:pt>
                <c:pt idx="4731">
                  <c:v>2.9334876517960851E-2</c:v>
                </c:pt>
                <c:pt idx="4732">
                  <c:v>2.9510008007164856E-2</c:v>
                </c:pt>
                <c:pt idx="4733">
                  <c:v>2.9685065523195053E-2</c:v>
                </c:pt>
                <c:pt idx="4734">
                  <c:v>2.9860049112909515E-2</c:v>
                </c:pt>
                <c:pt idx="4735">
                  <c:v>2.9190542525892038E-2</c:v>
                </c:pt>
                <c:pt idx="4736">
                  <c:v>2.9365556625487788E-2</c:v>
                </c:pt>
                <c:pt idx="4737">
                  <c:v>2.9540496863889043E-2</c:v>
                </c:pt>
                <c:pt idx="4738">
                  <c:v>2.8871481431303803E-2</c:v>
                </c:pt>
                <c:pt idx="4739">
                  <c:v>2.8202748224170016E-2</c:v>
                </c:pt>
                <c:pt idx="4740">
                  <c:v>2.8377823002362135E-2</c:v>
                </c:pt>
                <c:pt idx="4741">
                  <c:v>2.8552823956063733E-2</c:v>
                </c:pt>
                <c:pt idx="4742">
                  <c:v>2.8727751131960577E-2</c:v>
                </c:pt>
                <c:pt idx="4743">
                  <c:v>2.8902604576698021E-2</c:v>
                </c:pt>
                <c:pt idx="4744">
                  <c:v>2.9077384336881895E-2</c:v>
                </c:pt>
                <c:pt idx="4745">
                  <c:v>2.9252090459079838E-2</c:v>
                </c:pt>
                <c:pt idx="4746">
                  <c:v>2.942672298981952E-2</c:v>
                </c:pt>
                <c:pt idx="4747">
                  <c:v>2.9601281975589089E-2</c:v>
                </c:pt>
                <c:pt idx="4748">
                  <c:v>2.9775767462838498E-2</c:v>
                </c:pt>
                <c:pt idx="4749">
                  <c:v>2.9950179497977736E-2</c:v>
                </c:pt>
                <c:pt idx="4750">
                  <c:v>3.0124518127378597E-2</c:v>
                </c:pt>
                <c:pt idx="4751">
                  <c:v>2.9457209654473626E-2</c:v>
                </c:pt>
                <c:pt idx="4752">
                  <c:v>2.9631578635701317E-2</c:v>
                </c:pt>
                <c:pt idx="4753">
                  <c:v>2.8964654506947074E-2</c:v>
                </c:pt>
                <c:pt idx="4754">
                  <c:v>2.9139053727280206E-2</c:v>
                </c:pt>
                <c:pt idx="4755">
                  <c:v>2.8472513532342703E-2</c:v>
                </c:pt>
                <c:pt idx="4756">
                  <c:v>2.7806253514031987E-2</c:v>
                </c:pt>
                <c:pt idx="4757">
                  <c:v>2.7980786208483988E-2</c:v>
                </c:pt>
                <c:pt idx="4758">
                  <c:v>2.7314909435416812E-2</c:v>
                </c:pt>
                <c:pt idx="4759">
                  <c:v>2.7489472014071481E-2</c:v>
                </c:pt>
                <c:pt idx="4760">
                  <c:v>2.766396127790971E-2</c:v>
                </c:pt>
                <c:pt idx="4761">
                  <c:v>2.7838377273108339E-2</c:v>
                </c:pt>
                <c:pt idx="4762">
                  <c:v>2.8012720045807349E-2</c:v>
                </c:pt>
                <c:pt idx="4763">
                  <c:v>2.8186989642106308E-2</c:v>
                </c:pt>
                <c:pt idx="4764">
                  <c:v>2.8361186108066594E-2</c:v>
                </c:pt>
                <c:pt idx="4765">
                  <c:v>2.8535309489711835E-2</c:v>
                </c:pt>
                <c:pt idx="4766">
                  <c:v>2.8709359833025694E-2</c:v>
                </c:pt>
                <c:pt idx="4767">
                  <c:v>2.8044586921844417E-2</c:v>
                </c:pt>
                <c:pt idx="4768">
                  <c:v>2.7380092741443818E-2</c:v>
                </c:pt>
                <c:pt idx="4769">
                  <c:v>2.755427577511993E-2</c:v>
                </c:pt>
                <c:pt idx="4770">
                  <c:v>2.7728385806686351E-2</c:v>
                </c:pt>
                <c:pt idx="4771">
                  <c:v>2.7064375532352081E-2</c:v>
                </c:pt>
                <c:pt idx="4772">
                  <c:v>2.7238515241375882E-2</c:v>
                </c:pt>
                <c:pt idx="4773">
                  <c:v>2.657488567722277E-2</c:v>
                </c:pt>
                <c:pt idx="4774">
                  <c:v>2.674905495292057E-2</c:v>
                </c:pt>
                <c:pt idx="4775">
                  <c:v>2.692315130867895E-2</c:v>
                </c:pt>
                <c:pt idx="4776">
                  <c:v>2.6260004426112982E-2</c:v>
                </c:pt>
                <c:pt idx="4777">
                  <c:v>2.6434130256199673E-2</c:v>
                </c:pt>
                <c:pt idx="4778">
                  <c:v>2.6608183230290461E-2</c:v>
                </c:pt>
                <c:pt idx="4779">
                  <c:v>2.6782163394101666E-2</c:v>
                </c:pt>
                <c:pt idx="4780">
                  <c:v>2.6956070793310083E-2</c:v>
                </c:pt>
                <c:pt idx="4781">
                  <c:v>2.7129905473556093E-2</c:v>
                </c:pt>
                <c:pt idx="4782">
                  <c:v>2.6467547079103149E-2</c:v>
                </c:pt>
                <c:pt idx="4783">
                  <c:v>2.5805465532463767E-2</c:v>
                </c:pt>
                <c:pt idx="4784">
                  <c:v>2.597943165884864E-2</c:v>
                </c:pt>
                <c:pt idx="4785">
                  <c:v>2.615332510249857E-2</c:v>
                </c:pt>
                <c:pt idx="4786">
                  <c:v>2.5491724020900275E-2</c:v>
                </c:pt>
                <c:pt idx="4787">
                  <c:v>2.5665646681662491E-2</c:v>
                </c:pt>
                <c:pt idx="4788">
                  <c:v>2.5004423654465757E-2</c:v>
                </c:pt>
                <c:pt idx="4789">
                  <c:v>2.5178375422938881E-2</c:v>
                </c:pt>
                <c:pt idx="4790">
                  <c:v>2.5352254590507606E-2</c:v>
                </c:pt>
                <c:pt idx="4791">
                  <c:v>2.4691510816632789E-2</c:v>
                </c:pt>
                <c:pt idx="4792">
                  <c:v>2.4865419000945188E-2</c:v>
                </c:pt>
                <c:pt idx="4793">
                  <c:v>2.5039254647954756E-2</c:v>
                </c:pt>
                <c:pt idx="4794">
                  <c:v>2.5213017803034088E-2</c:v>
                </c:pt>
                <c:pt idx="4795">
                  <c:v>2.5386708511520251E-2</c:v>
                </c:pt>
                <c:pt idx="4796">
                  <c:v>2.5560326818710344E-2</c:v>
                </c:pt>
                <c:pt idx="4797">
                  <c:v>2.4900365789244372E-2</c:v>
                </c:pt>
                <c:pt idx="4798">
                  <c:v>2.5074013076873403E-2</c:v>
                </c:pt>
                <c:pt idx="4799">
                  <c:v>2.5247588026536594E-2</c:v>
                </c:pt>
                <c:pt idx="4800">
                  <c:v>2.542109068342624E-2</c:v>
                </c:pt>
                <c:pt idx="4801">
                  <c:v>2.5594521092696887E-2</c:v>
                </c:pt>
                <c:pt idx="4802">
                  <c:v>2.5767879299465779E-2</c:v>
                </c:pt>
                <c:pt idx="4803">
                  <c:v>2.5941165348812412E-2</c:v>
                </c:pt>
                <c:pt idx="4804">
                  <c:v>2.5282086318654695E-2</c:v>
                </c:pt>
                <c:pt idx="4805">
                  <c:v>2.5455401330115368E-2</c:v>
                </c:pt>
                <c:pt idx="4806">
                  <c:v>2.5628644247145171E-2</c:v>
                </c:pt>
                <c:pt idx="4807">
                  <c:v>2.580181511471924E-2</c:v>
                </c:pt>
                <c:pt idx="4808">
                  <c:v>2.5974913977774516E-2</c:v>
                </c:pt>
                <c:pt idx="4809">
                  <c:v>2.6147940881210641E-2</c:v>
                </c:pt>
                <c:pt idx="4810">
                  <c:v>2.6320895869890837E-2</c:v>
                </c:pt>
                <c:pt idx="4811">
                  <c:v>2.6493778988640138E-2</c:v>
                </c:pt>
                <c:pt idx="4812">
                  <c:v>2.6666590282246716E-2</c:v>
                </c:pt>
                <c:pt idx="4813">
                  <c:v>2.6839329795461442E-2</c:v>
                </c:pt>
                <c:pt idx="4814">
                  <c:v>2.618143278894447E-2</c:v>
                </c:pt>
                <c:pt idx="4815">
                  <c:v>2.6354201299141788E-2</c:v>
                </c:pt>
                <c:pt idx="4816">
                  <c:v>2.5696678083100277E-2</c:v>
                </c:pt>
                <c:pt idx="4817">
                  <c:v>2.5869475482628523E-2</c:v>
                </c:pt>
                <c:pt idx="4818">
                  <c:v>2.6042201181990965E-2</c:v>
                </c:pt>
                <c:pt idx="4819">
                  <c:v>2.5385151844763865E-2</c:v>
                </c:pt>
                <c:pt idx="4820">
                  <c:v>2.5557906343844472E-2</c:v>
                </c:pt>
                <c:pt idx="4821">
                  <c:v>2.5730589205147592E-2</c:v>
                </c:pt>
                <c:pt idx="4822">
                  <c:v>2.5903200473225141E-2</c:v>
                </c:pt>
                <c:pt idx="4823">
                  <c:v>2.6075740192590402E-2</c:v>
                </c:pt>
                <c:pt idx="4824">
                  <c:v>2.5419364644769793E-2</c:v>
                </c:pt>
                <c:pt idx="4825">
                  <c:v>2.5591933110020282E-2</c:v>
                </c:pt>
                <c:pt idx="4826">
                  <c:v>2.5764430088748735E-2</c:v>
                </c:pt>
                <c:pt idx="4827">
                  <c:v>2.5936855625365407E-2</c:v>
                </c:pt>
                <c:pt idx="4828">
                  <c:v>2.6109209764244135E-2</c:v>
                </c:pt>
                <c:pt idx="4829">
                  <c:v>2.6281492549722341E-2</c:v>
                </c:pt>
                <c:pt idx="4830">
                  <c:v>2.6453704026101033E-2</c:v>
                </c:pt>
                <c:pt idx="4831">
                  <c:v>2.662584423764347E-2</c:v>
                </c:pt>
                <c:pt idx="4832">
                  <c:v>2.6797913228576942E-2</c:v>
                </c:pt>
                <c:pt idx="4833">
                  <c:v>2.6969911043091876E-2</c:v>
                </c:pt>
                <c:pt idx="4834">
                  <c:v>2.6314707865955356E-2</c:v>
                </c:pt>
                <c:pt idx="4835">
                  <c:v>2.6486734460651196E-2</c:v>
                </c:pt>
                <c:pt idx="4836">
                  <c:v>2.6658689940591174E-2</c:v>
                </c:pt>
                <c:pt idx="4837">
                  <c:v>2.6830574349864023E-2</c:v>
                </c:pt>
                <c:pt idx="4838">
                  <c:v>2.6175941451529017E-2</c:v>
                </c:pt>
                <c:pt idx="4839">
                  <c:v>2.5521579006777984E-2</c:v>
                </c:pt>
                <c:pt idx="4840">
                  <c:v>2.5693591763366719E-2</c:v>
                </c:pt>
                <c:pt idx="4841">
                  <c:v>2.5039599146114533E-2</c:v>
                </c:pt>
                <c:pt idx="4842">
                  <c:v>2.5211640382130973E-2</c:v>
                </c:pt>
                <c:pt idx="4843">
                  <c:v>2.5383610600093309E-2</c:v>
                </c:pt>
                <c:pt idx="4844">
                  <c:v>2.5555509843966817E-2</c:v>
                </c:pt>
                <c:pt idx="4845">
                  <c:v>2.5727338157679469E-2</c:v>
                </c:pt>
                <c:pt idx="4846">
                  <c:v>2.5074013076873403E-2</c:v>
                </c:pt>
                <c:pt idx="4847">
                  <c:v>2.4420957464032611E-2</c:v>
                </c:pt>
                <c:pt idx="4848">
                  <c:v>2.4592913420516282E-2</c:v>
                </c:pt>
                <c:pt idx="4849">
                  <c:v>2.4764798481944794E-2</c:v>
                </c:pt>
                <c:pt idx="4850">
                  <c:v>2.4112210383826049E-2</c:v>
                </c:pt>
                <c:pt idx="4851">
                  <c:v>2.3459891227845642E-2</c:v>
                </c:pt>
                <c:pt idx="4852">
                  <c:v>2.3631903476543759E-2</c:v>
                </c:pt>
                <c:pt idx="4853">
                  <c:v>2.3803844865407875E-2</c:v>
                </c:pt>
                <c:pt idx="4854">
                  <c:v>2.3975715438213641E-2</c:v>
                </c:pt>
                <c:pt idx="4855">
                  <c:v>2.4147515238701622E-2</c:v>
                </c:pt>
                <c:pt idx="4856">
                  <c:v>2.4319244310577304E-2</c:v>
                </c:pt>
                <c:pt idx="4857">
                  <c:v>2.4490902697508865E-2</c:v>
                </c:pt>
                <c:pt idx="4858">
                  <c:v>2.4662490443128515E-2</c:v>
                </c:pt>
                <c:pt idx="4859">
                  <c:v>2.4011131639583461E-2</c:v>
                </c:pt>
                <c:pt idx="4860">
                  <c:v>2.3360040774666135E-2</c:v>
                </c:pt>
                <c:pt idx="4861">
                  <c:v>2.3531755211358529E-2</c:v>
                </c:pt>
                <c:pt idx="4862">
                  <c:v>2.3703399041785644E-2</c:v>
                </c:pt>
                <c:pt idx="4863">
                  <c:v>2.3874972309487319E-2</c:v>
                </c:pt>
                <c:pt idx="4864">
                  <c:v>2.4046475057966976E-2</c:v>
                </c:pt>
                <c:pt idx="4865">
                  <c:v>2.4217907330691624E-2</c:v>
                </c:pt>
                <c:pt idx="4866">
                  <c:v>2.4389269171094519E-2</c:v>
                </c:pt>
                <c:pt idx="4867">
                  <c:v>2.4560560622570726E-2</c:v>
                </c:pt>
                <c:pt idx="4868">
                  <c:v>2.4731781728482005E-2</c:v>
                </c:pt>
                <c:pt idx="4869">
                  <c:v>2.4902932532153255E-2</c:v>
                </c:pt>
                <c:pt idx="4870">
                  <c:v>2.5074013076873403E-2</c:v>
                </c:pt>
                <c:pt idx="4871">
                  <c:v>2.5245023405897626E-2</c:v>
                </c:pt>
                <c:pt idx="4872">
                  <c:v>2.5415963562443356E-2</c:v>
                </c:pt>
                <c:pt idx="4873">
                  <c:v>2.5586833589694269E-2</c:v>
                </c:pt>
                <c:pt idx="4874">
                  <c:v>2.575763353079763E-2</c:v>
                </c:pt>
                <c:pt idx="4875">
                  <c:v>2.5928363428866064E-2</c:v>
                </c:pt>
                <c:pt idx="4876">
                  <c:v>2.6099023326976223E-2</c:v>
                </c:pt>
                <c:pt idx="4877">
                  <c:v>2.6269613268169678E-2</c:v>
                </c:pt>
                <c:pt idx="4878">
                  <c:v>2.6440133295452917E-2</c:v>
                </c:pt>
                <c:pt idx="4879">
                  <c:v>2.6610583451796899E-2</c:v>
                </c:pt>
                <c:pt idx="4880">
                  <c:v>2.6780963780137057E-2</c:v>
                </c:pt>
                <c:pt idx="4881">
                  <c:v>2.6951274323375074E-2</c:v>
                </c:pt>
                <c:pt idx="4882">
                  <c:v>2.7121515124375772E-2</c:v>
                </c:pt>
                <c:pt idx="4883">
                  <c:v>2.7291686225969336E-2</c:v>
                </c:pt>
                <c:pt idx="4884">
                  <c:v>2.7461787670951754E-2</c:v>
                </c:pt>
                <c:pt idx="4885">
                  <c:v>2.6813321446016225E-2</c:v>
                </c:pt>
                <c:pt idx="4886">
                  <c:v>2.6983451156524563E-2</c:v>
                </c:pt>
                <c:pt idx="4887">
                  <c:v>2.7153511270096242E-2</c:v>
                </c:pt>
                <c:pt idx="4888">
                  <c:v>2.7323501829429997E-2</c:v>
                </c:pt>
                <c:pt idx="4889">
                  <c:v>2.6675594212292264E-2</c:v>
                </c:pt>
                <c:pt idx="4890">
                  <c:v>2.6845612967851817E-2</c:v>
                </c:pt>
                <c:pt idx="4891">
                  <c:v>2.7015562228723145E-2</c:v>
                </c:pt>
                <c:pt idx="4892">
                  <c:v>2.7185442037505503E-2</c:v>
                </c:pt>
                <c:pt idx="4893">
                  <c:v>2.6538092069042563E-2</c:v>
                </c:pt>
                <c:pt idx="4894">
                  <c:v>2.6708000004977972E-2</c:v>
                </c:pt>
                <c:pt idx="4895">
                  <c:v>2.6877838548250654E-2</c:v>
                </c:pt>
                <c:pt idx="4896">
                  <c:v>2.7047607741362611E-2</c:v>
                </c:pt>
                <c:pt idx="4897">
                  <c:v>2.721730762678165E-2</c:v>
                </c:pt>
                <c:pt idx="4898">
                  <c:v>2.7386938246941384E-2</c:v>
                </c:pt>
                <c:pt idx="4899">
                  <c:v>2.674033967688727E-2</c:v>
                </c:pt>
                <c:pt idx="4900">
                  <c:v>2.6909998388990886E-2</c:v>
                </c:pt>
                <c:pt idx="4901">
                  <c:v>2.6263760850345541E-2</c:v>
                </c:pt>
                <c:pt idx="4902">
                  <c:v>2.6433447552131728E-2</c:v>
                </c:pt>
                <c:pt idx="4903">
                  <c:v>2.6603065064640941E-2</c:v>
                </c:pt>
                <c:pt idx="4904">
                  <c:v>2.6772613430182446E-2</c:v>
                </c:pt>
                <c:pt idx="4905">
                  <c:v>2.6942092691029984E-2</c:v>
                </c:pt>
                <c:pt idx="4906">
                  <c:v>2.7111502889424433E-2</c:v>
                </c:pt>
                <c:pt idx="4907">
                  <c:v>2.7280844067570698E-2</c:v>
                </c:pt>
                <c:pt idx="4908">
                  <c:v>2.7450116267640823E-2</c:v>
                </c:pt>
                <c:pt idx="4909">
                  <c:v>2.6804821466203776E-2</c:v>
                </c:pt>
                <c:pt idx="4910">
                  <c:v>2.6974121654506522E-2</c:v>
                </c:pt>
                <c:pt idx="4911">
                  <c:v>2.7143352923538977E-2</c:v>
                </c:pt>
                <c:pt idx="4912">
                  <c:v>2.7312515315375929E-2</c:v>
                </c:pt>
                <c:pt idx="4913">
                  <c:v>2.7481608872058416E-2</c:v>
                </c:pt>
                <c:pt idx="4914">
                  <c:v>2.765063363559328E-2</c:v>
                </c:pt>
                <c:pt idx="4915">
                  <c:v>2.7819589647953613E-2</c:v>
                </c:pt>
                <c:pt idx="4916">
                  <c:v>2.7988476951076979E-2</c:v>
                </c:pt>
                <c:pt idx="4917">
                  <c:v>2.8157295586868969E-2</c:v>
                </c:pt>
                <c:pt idx="4918">
                  <c:v>2.8326045597198757E-2</c:v>
                </c:pt>
                <c:pt idx="4919">
                  <c:v>2.8494727023903099E-2</c:v>
                </c:pt>
                <c:pt idx="4920">
                  <c:v>2.8663339908784558E-2</c:v>
                </c:pt>
                <c:pt idx="4921">
                  <c:v>2.8831884293611498E-2</c:v>
                </c:pt>
                <c:pt idx="4922">
                  <c:v>2.8188012535308449E-2</c:v>
                </c:pt>
                <c:pt idx="4923">
                  <c:v>2.8356584988887157E-2</c:v>
                </c:pt>
                <c:pt idx="4924">
                  <c:v>2.8525089000543957E-2</c:v>
                </c:pt>
                <c:pt idx="4925">
                  <c:v>2.8693524611952181E-2</c:v>
                </c:pt>
                <c:pt idx="4926">
                  <c:v>2.8861891864752298E-2</c:v>
                </c:pt>
                <c:pt idx="4927">
                  <c:v>2.9030190800549693E-2</c:v>
                </c:pt>
                <c:pt idx="4928">
                  <c:v>2.8387062434547694E-2</c:v>
                </c:pt>
                <c:pt idx="4929">
                  <c:v>2.8555389403514653E-2</c:v>
                </c:pt>
                <c:pt idx="4930">
                  <c:v>2.8723648113369915E-2</c:v>
                </c:pt>
                <c:pt idx="4931">
                  <c:v>2.8891838605625608E-2</c:v>
                </c:pt>
                <c:pt idx="4932">
                  <c:v>2.8249259665172222E-2</c:v>
                </c:pt>
                <c:pt idx="4933">
                  <c:v>2.84174781224662E-2</c:v>
                </c:pt>
                <c:pt idx="4934">
                  <c:v>2.8585628419931286E-2</c:v>
                </c:pt>
                <c:pt idx="4935">
                  <c:v>2.875371059898546E-2</c:v>
                </c:pt>
                <c:pt idx="4936">
                  <c:v>2.8921724701012952E-2</c:v>
                </c:pt>
                <c:pt idx="4937">
                  <c:v>2.908967076736424E-2</c:v>
                </c:pt>
                <c:pt idx="4938">
                  <c:v>2.8447832240166449E-2</c:v>
                </c:pt>
                <c:pt idx="4939">
                  <c:v>2.8615806236153229E-2</c:v>
                </c:pt>
                <c:pt idx="4940">
                  <c:v>2.8783712253994675E-2</c:v>
                </c:pt>
                <c:pt idx="4941">
                  <c:v>2.8142325168046156E-2</c:v>
                </c:pt>
                <c:pt idx="4942">
                  <c:v>2.8310259031566254E-2</c:v>
                </c:pt>
                <c:pt idx="4943">
                  <c:v>2.8478124974413266E-2</c:v>
                </c:pt>
                <c:pt idx="4944">
                  <c:v>2.8645923037784904E-2</c:v>
                </c:pt>
                <c:pt idx="4945">
                  <c:v>2.8813653262844685E-2</c:v>
                </c:pt>
                <c:pt idx="4946">
                  <c:v>2.8981315690724152E-2</c:v>
                </c:pt>
                <c:pt idx="4947">
                  <c:v>2.8340666272805404E-2</c:v>
                </c:pt>
                <c:pt idx="4948">
                  <c:v>2.850835651121697E-2</c:v>
                </c:pt>
                <c:pt idx="4949">
                  <c:v>2.786806141727638E-2</c:v>
                </c:pt>
                <c:pt idx="4950">
                  <c:v>2.8035779366588187E-2</c:v>
                </c:pt>
                <c:pt idx="4951">
                  <c:v>2.8203429592116969E-2</c:v>
                </c:pt>
                <c:pt idx="4952">
                  <c:v>2.7563583794139035E-2</c:v>
                </c:pt>
                <c:pt idx="4953">
                  <c:v>2.7731261647341299E-2</c:v>
                </c:pt>
                <c:pt idx="4954">
                  <c:v>2.789887183393569E-2</c:v>
                </c:pt>
                <c:pt idx="4955">
                  <c:v>2.8066414394875228E-2</c:v>
                </c:pt>
                <c:pt idx="4956">
                  <c:v>2.742711244489815E-2</c:v>
                </c:pt>
                <c:pt idx="4957">
                  <c:v>2.7594682566689954E-2</c:v>
                </c:pt>
                <c:pt idx="4958">
                  <c:v>2.7762185119884375E-2</c:v>
                </c:pt>
                <c:pt idx="4959">
                  <c:v>2.7929620145340728E-2</c:v>
                </c:pt>
                <c:pt idx="4960">
                  <c:v>2.8096987683886798E-2</c:v>
                </c:pt>
                <c:pt idx="4961">
                  <c:v>2.7458323641720295E-2</c:v>
                </c:pt>
                <c:pt idx="4962">
                  <c:v>2.7625718690625689E-2</c:v>
                </c:pt>
                <c:pt idx="4963">
                  <c:v>2.7793046309501968E-2</c:v>
                </c:pt>
                <c:pt idx="4964">
                  <c:v>2.7154829293815297E-2</c:v>
                </c:pt>
                <c:pt idx="4965">
                  <c:v>2.6516869261022258E-2</c:v>
                </c:pt>
                <c:pt idx="4966">
                  <c:v>2.6684319035005455E-2</c:v>
                </c:pt>
                <c:pt idx="4967">
                  <c:v>2.6851701411213291E-2</c:v>
                </c:pt>
                <c:pt idx="4968">
                  <c:v>2.6214187456484517E-2</c:v>
                </c:pt>
                <c:pt idx="4969">
                  <c:v>2.5576929994998832E-2</c:v>
                </c:pt>
                <c:pt idx="4970">
                  <c:v>2.5744434101276692E-2</c:v>
                </c:pt>
                <c:pt idx="4971">
                  <c:v>2.5911870842139528E-2</c:v>
                </c:pt>
                <c:pt idx="4972">
                  <c:v>2.6079240258216618E-2</c:v>
                </c:pt>
                <c:pt idx="4973">
                  <c:v>2.6246542390106598E-2</c:v>
                </c:pt>
                <c:pt idx="4974">
                  <c:v>2.6413777278373907E-2</c:v>
                </c:pt>
                <c:pt idx="4975">
                  <c:v>2.6580944963552344E-2</c:v>
                </c:pt>
                <c:pt idx="4976">
                  <c:v>2.5944509929692661E-2</c:v>
                </c:pt>
                <c:pt idx="4977">
                  <c:v>2.6111704715087392E-2</c:v>
                </c:pt>
                <c:pt idx="4978">
                  <c:v>2.5475619502576485E-2</c:v>
                </c:pt>
                <c:pt idx="4979">
                  <c:v>2.4839789694687919E-2</c:v>
                </c:pt>
                <c:pt idx="4980">
                  <c:v>2.4204215137625607E-2</c:v>
                </c:pt>
                <c:pt idx="4981">
                  <c:v>2.3568895677716473E-2</c:v>
                </c:pt>
                <c:pt idx="4982">
                  <c:v>2.3736399379709283E-2</c:v>
                </c:pt>
                <c:pt idx="4983">
                  <c:v>2.390383587861189E-2</c:v>
                </c:pt>
                <c:pt idx="4984">
                  <c:v>2.3268958925248828E-2</c:v>
                </c:pt>
                <c:pt idx="4985">
                  <c:v>2.3436422006757773E-2</c:v>
                </c:pt>
                <c:pt idx="4986">
                  <c:v>2.360381794188271E-2</c:v>
                </c:pt>
                <c:pt idx="4987">
                  <c:v>2.3771146771000673E-2</c:v>
                </c:pt>
                <c:pt idx="4988">
                  <c:v>2.3938408534455391E-2</c:v>
                </c:pt>
                <c:pt idx="4989">
                  <c:v>2.3304160675885033E-2</c:v>
                </c:pt>
                <c:pt idx="4990">
                  <c:v>2.3471448974309528E-2</c:v>
                </c:pt>
                <c:pt idx="4991">
                  <c:v>2.3638670263601558E-2</c:v>
                </c:pt>
                <c:pt idx="4992">
                  <c:v>2.3004863430631239E-2</c:v>
                </c:pt>
                <c:pt idx="4993">
                  <c:v>2.3172111174971644E-2</c:v>
                </c:pt>
                <c:pt idx="4994">
                  <c:v>2.3339291966652187E-2</c:v>
                </c:pt>
                <c:pt idx="4995">
                  <c:v>2.3506405845868272E-2</c:v>
                </c:pt>
                <c:pt idx="4996">
                  <c:v>2.3673452852783772E-2</c:v>
                </c:pt>
                <c:pt idx="4997">
                  <c:v>2.3840433027530139E-2</c:v>
                </c:pt>
                <c:pt idx="4998">
                  <c:v>2.4007346410206853E-2</c:v>
                </c:pt>
                <c:pt idx="4999">
                  <c:v>2.3374353008887017E-2</c:v>
                </c:pt>
                <c:pt idx="5000">
                  <c:v>2.3541292831638305E-2</c:v>
                </c:pt>
                <c:pt idx="5001">
                  <c:v>2.3708165918502111E-2</c:v>
                </c:pt>
                <c:pt idx="5002">
                  <c:v>2.3075611797896745E-2</c:v>
                </c:pt>
                <c:pt idx="5003">
                  <c:v>2.3242511245371578E-2</c:v>
                </c:pt>
                <c:pt idx="5004">
                  <c:v>2.3409344013083366E-2</c:v>
                </c:pt>
                <c:pt idx="5005">
                  <c:v>2.3576110140983708E-2</c:v>
                </c:pt>
                <c:pt idx="5006">
                  <c:v>2.374280966899267E-2</c:v>
                </c:pt>
                <c:pt idx="5007">
                  <c:v>2.390944263699879E-2</c:v>
                </c:pt>
                <c:pt idx="5008">
                  <c:v>2.4076009084857741E-2</c:v>
                </c:pt>
                <c:pt idx="5009">
                  <c:v>2.4242509052394112E-2</c:v>
                </c:pt>
                <c:pt idx="5010">
                  <c:v>2.3610857982433675E-2</c:v>
                </c:pt>
                <c:pt idx="5011">
                  <c:v>2.3777384311663319E-2</c:v>
                </c:pt>
                <c:pt idx="5012">
                  <c:v>2.3943844216349763E-2</c:v>
                </c:pt>
                <c:pt idx="5013">
                  <c:v>2.3312630557764003E-2</c:v>
                </c:pt>
                <c:pt idx="5014">
                  <c:v>2.347911674513492E-2</c:v>
                </c:pt>
                <c:pt idx="5015">
                  <c:v>2.3645536563685177E-2</c:v>
                </c:pt>
                <c:pt idx="5016">
                  <c:v>2.3811890053092366E-2</c:v>
                </c:pt>
                <c:pt idx="5017">
                  <c:v>2.3978177253004329E-2</c:v>
                </c:pt>
                <c:pt idx="5018">
                  <c:v>2.41443982030356E-2</c:v>
                </c:pt>
                <c:pt idx="5019">
                  <c:v>2.431055294277007E-2</c:v>
                </c:pt>
                <c:pt idx="5020">
                  <c:v>2.44766415117601E-2</c:v>
                </c:pt>
                <c:pt idx="5021">
                  <c:v>2.3846327099038334E-2</c:v>
                </c:pt>
                <c:pt idx="5022">
                  <c:v>2.4012441951608121E-2</c:v>
                </c:pt>
                <c:pt idx="5023">
                  <c:v>2.4178490688814058E-2</c:v>
                </c:pt>
                <c:pt idx="5024">
                  <c:v>2.354861183002388E-2</c:v>
                </c:pt>
                <c:pt idx="5025">
                  <c:v>2.3714686772251969E-2</c:v>
                </c:pt>
                <c:pt idx="5026">
                  <c:v>2.3880695654439066E-2</c:v>
                </c:pt>
                <c:pt idx="5027">
                  <c:v>2.3251251759182967E-2</c:v>
                </c:pt>
                <c:pt idx="5028">
                  <c:v>2.3417286768059764E-2</c:v>
                </c:pt>
                <c:pt idx="5029">
                  <c:v>2.2788185209650536E-2</c:v>
                </c:pt>
                <c:pt idx="5030">
                  <c:v>2.295424625122422E-2</c:v>
                </c:pt>
                <c:pt idx="5031">
                  <c:v>2.312024130390844E-2</c:v>
                </c:pt>
                <c:pt idx="5032">
                  <c:v>2.3286170407028628E-2</c:v>
                </c:pt>
                <c:pt idx="5033">
                  <c:v>2.2657594672371939E-2</c:v>
                </c:pt>
                <c:pt idx="5034">
                  <c:v>2.2823549746187943E-2</c:v>
                </c:pt>
                <c:pt idx="5035">
                  <c:v>2.2989438925593131E-2</c:v>
                </c:pt>
                <c:pt idx="5036">
                  <c:v>2.3155262249825892E-2</c:v>
                </c:pt>
                <c:pt idx="5037">
                  <c:v>2.3321019758093531E-2</c:v>
                </c:pt>
                <c:pt idx="5038">
                  <c:v>2.3486711489571821E-2</c:v>
                </c:pt>
                <c:pt idx="5039">
                  <c:v>2.3652337483406782E-2</c:v>
                </c:pt>
                <c:pt idx="5040">
                  <c:v>2.3817897778711572E-2</c:v>
                </c:pt>
                <c:pt idx="5041">
                  <c:v>2.3983392414569149E-2</c:v>
                </c:pt>
                <c:pt idx="5042">
                  <c:v>2.4148821430032275E-2</c:v>
                </c:pt>
                <c:pt idx="5043">
                  <c:v>2.4314184864121735E-2</c:v>
                </c:pt>
                <c:pt idx="5044">
                  <c:v>2.4479482755827231E-2</c:v>
                </c:pt>
                <c:pt idx="5045">
                  <c:v>2.3852165114387702E-2</c:v>
                </c:pt>
                <c:pt idx="5046">
                  <c:v>2.4017489040951912E-2</c:v>
                </c:pt>
                <c:pt idx="5047">
                  <c:v>2.3390511393371671E-2</c:v>
                </c:pt>
                <c:pt idx="5048">
                  <c:v>2.3555861261692179E-2</c:v>
                </c:pt>
                <c:pt idx="5049">
                  <c:v>2.2929223266274779E-2</c:v>
                </c:pt>
                <c:pt idx="5050">
                  <c:v>2.3094598983445014E-2</c:v>
                </c:pt>
                <c:pt idx="5051">
                  <c:v>2.2468300298985611E-2</c:v>
                </c:pt>
                <c:pt idx="5052">
                  <c:v>2.2633701772296178E-2</c:v>
                </c:pt>
                <c:pt idx="5053">
                  <c:v>2.2799037804865474E-2</c:v>
                </c:pt>
                <c:pt idx="5054">
                  <c:v>2.2173169195017106E-2</c:v>
                </c:pt>
                <c:pt idx="5055">
                  <c:v>2.2338530906944154E-2</c:v>
                </c:pt>
                <c:pt idx="5056">
                  <c:v>2.1713000819064021E-2</c:v>
                </c:pt>
                <c:pt idx="5057">
                  <c:v>2.1878388118054204E-2</c:v>
                </c:pt>
                <c:pt idx="5058">
                  <c:v>2.2043710046570464E-2</c:v>
                </c:pt>
                <c:pt idx="5059">
                  <c:v>2.2208966643362249E-2</c:v>
                </c:pt>
                <c:pt idx="5060">
                  <c:v>2.1583956445765828E-2</c:v>
                </c:pt>
                <c:pt idx="5061">
                  <c:v>2.1749238569006124E-2</c:v>
                </c:pt>
                <c:pt idx="5062">
                  <c:v>2.191445541494641E-2</c:v>
                </c:pt>
                <c:pt idx="5063">
                  <c:v>2.2079607022250425E-2</c:v>
                </c:pt>
                <c:pt idx="5064">
                  <c:v>2.224469342955171E-2</c:v>
                </c:pt>
                <c:pt idx="5065">
                  <c:v>2.2409714675452719E-2</c:v>
                </c:pt>
                <c:pt idx="5066">
                  <c:v>2.2574670798525709E-2</c:v>
                </c:pt>
                <c:pt idx="5067">
                  <c:v>2.2739561837312738E-2</c:v>
                </c:pt>
                <c:pt idx="5068">
                  <c:v>2.2115433195216916E-2</c:v>
                </c:pt>
                <c:pt idx="5069">
                  <c:v>2.2280349762602736E-2</c:v>
                </c:pt>
                <c:pt idx="5070">
                  <c:v>2.2445201299796658E-2</c:v>
                </c:pt>
                <c:pt idx="5071">
                  <c:v>2.2609987845255031E-2</c:v>
                </c:pt>
                <c:pt idx="5072">
                  <c:v>2.277470943740445E-2</c:v>
                </c:pt>
                <c:pt idx="5073">
                  <c:v>2.2939366114640425E-2</c:v>
                </c:pt>
                <c:pt idx="5074">
                  <c:v>2.2315935850711011E-2</c:v>
                </c:pt>
                <c:pt idx="5075">
                  <c:v>2.248061802730339E-2</c:v>
                </c:pt>
                <c:pt idx="5076">
                  <c:v>2.264523534285745E-2</c:v>
                </c:pt>
                <c:pt idx="5077">
                  <c:v>2.2809787835684325E-2</c:v>
                </c:pt>
                <c:pt idx="5078">
                  <c:v>2.2186873969261889E-2</c:v>
                </c:pt>
                <c:pt idx="5079">
                  <c:v>2.2351451901251984E-2</c:v>
                </c:pt>
                <c:pt idx="5080">
                  <c:v>2.2515965064279886E-2</c:v>
                </c:pt>
                <c:pt idx="5081">
                  <c:v>2.2680413496573237E-2</c:v>
                </c:pt>
                <c:pt idx="5082">
                  <c:v>2.2844797236328152E-2</c:v>
                </c:pt>
                <c:pt idx="5083">
                  <c:v>2.3009116321711431E-2</c:v>
                </c:pt>
                <c:pt idx="5084">
                  <c:v>2.2386898120784871E-2</c:v>
                </c:pt>
                <c:pt idx="5085">
                  <c:v>2.1764924550564668E-2</c:v>
                </c:pt>
                <c:pt idx="5086">
                  <c:v>2.19293589888232E-2</c:v>
                </c:pt>
                <c:pt idx="5087">
                  <c:v>2.1307719764500632E-2</c:v>
                </c:pt>
                <c:pt idx="5088">
                  <c:v>2.1472179416100801E-2</c:v>
                </c:pt>
                <c:pt idx="5089">
                  <c:v>2.1636574459706015E-2</c:v>
                </c:pt>
                <c:pt idx="5090">
                  <c:v>2.1800904933380494E-2</c:v>
                </c:pt>
                <c:pt idx="5091">
                  <c:v>2.1965170875158702E-2</c:v>
                </c:pt>
                <c:pt idx="5092">
                  <c:v>2.2129372323045349E-2</c:v>
                </c:pt>
                <c:pt idx="5093">
                  <c:v>2.2293509315015392E-2</c:v>
                </c:pt>
                <c:pt idx="5094">
                  <c:v>2.2457581889013589E-2</c:v>
                </c:pt>
                <c:pt idx="5095">
                  <c:v>2.262159008295539E-2</c:v>
                </c:pt>
                <c:pt idx="5096">
                  <c:v>2.2785533934726487E-2</c:v>
                </c:pt>
                <c:pt idx="5097">
                  <c:v>2.2949413482181935E-2</c:v>
                </c:pt>
                <c:pt idx="5098">
                  <c:v>2.3113228763147919E-2</c:v>
                </c:pt>
                <c:pt idx="5099">
                  <c:v>2.3276979815421761E-2</c:v>
                </c:pt>
                <c:pt idx="5100">
                  <c:v>2.3440666676768807E-2</c:v>
                </c:pt>
                <c:pt idx="5101">
                  <c:v>2.3604289384927757E-2</c:v>
                </c:pt>
                <c:pt idx="5102">
                  <c:v>2.3767847977604895E-2</c:v>
                </c:pt>
                <c:pt idx="5103">
                  <c:v>2.3931342492478969E-2</c:v>
                </c:pt>
                <c:pt idx="5104">
                  <c:v>2.409477296719853E-2</c:v>
                </c:pt>
                <c:pt idx="5105">
                  <c:v>2.4258139439382376E-2</c:v>
                </c:pt>
                <c:pt idx="5106">
                  <c:v>2.4421441946620437E-2</c:v>
                </c:pt>
                <c:pt idx="5107">
                  <c:v>2.3801748445830384E-2</c:v>
                </c:pt>
                <c:pt idx="5108">
                  <c:v>2.318229748652767E-2</c:v>
                </c:pt>
                <c:pt idx="5109">
                  <c:v>2.3345714635603088E-2</c:v>
                </c:pt>
                <c:pt idx="5110">
                  <c:v>2.3509067849956544E-2</c:v>
                </c:pt>
                <c:pt idx="5111">
                  <c:v>2.3672357167101143E-2</c:v>
                </c:pt>
                <c:pt idx="5112">
                  <c:v>2.3053416023034234E-2</c:v>
                </c:pt>
                <c:pt idx="5113">
                  <c:v>2.3216730574429967E-2</c:v>
                </c:pt>
                <c:pt idx="5114">
                  <c:v>2.2598120452427484E-2</c:v>
                </c:pt>
                <c:pt idx="5115">
                  <c:v>2.2761460148725376E-2</c:v>
                </c:pt>
                <c:pt idx="5116">
                  <c:v>2.2924736015521585E-2</c:v>
                </c:pt>
                <c:pt idx="5117">
                  <c:v>2.3087948090222632E-2</c:v>
                </c:pt>
                <c:pt idx="5118">
                  <c:v>2.3251096410207062E-2</c:v>
                </c:pt>
                <c:pt idx="5119">
                  <c:v>2.3414181012823665E-2</c:v>
                </c:pt>
                <c:pt idx="5120">
                  <c:v>2.3577201935392367E-2</c:v>
                </c:pt>
                <c:pt idx="5121">
                  <c:v>2.2959366710812112E-2</c:v>
                </c:pt>
                <c:pt idx="5122">
                  <c:v>2.3122412764617462E-2</c:v>
                </c:pt>
                <c:pt idx="5123">
                  <c:v>2.2504907385816786E-2</c:v>
                </c:pt>
                <c:pt idx="5124">
                  <c:v>2.2667978481997864E-2</c:v>
                </c:pt>
                <c:pt idx="5125">
                  <c:v>2.2830985965502482E-2</c:v>
                </c:pt>
                <c:pt idx="5126">
                  <c:v>2.2993929873545316E-2</c:v>
                </c:pt>
                <c:pt idx="5127">
                  <c:v>2.315681024331262E-2</c:v>
                </c:pt>
                <c:pt idx="5128">
                  <c:v>2.3319627111961339E-2</c:v>
                </c:pt>
                <c:pt idx="5129">
                  <c:v>2.3482380516619106E-2</c:v>
                </c:pt>
                <c:pt idx="5130">
                  <c:v>2.364507049438469E-2</c:v>
                </c:pt>
                <c:pt idx="5131">
                  <c:v>2.3807697082328438E-2</c:v>
                </c:pt>
                <c:pt idx="5132">
                  <c:v>2.319114072263373E-2</c:v>
                </c:pt>
                <c:pt idx="5133">
                  <c:v>2.2574824501735424E-2</c:v>
                </c:pt>
                <c:pt idx="5134">
                  <c:v>2.2737564478742645E-2</c:v>
                </c:pt>
                <c:pt idx="5135">
                  <c:v>2.2121576505593321E-2</c:v>
                </c:pt>
                <c:pt idx="5136">
                  <c:v>2.2284341349872339E-2</c:v>
                </c:pt>
                <c:pt idx="5137">
                  <c:v>2.2447042849202958E-2</c:v>
                </c:pt>
                <c:pt idx="5138">
                  <c:v>2.2609681040556939E-2</c:v>
                </c:pt>
                <c:pt idx="5139">
                  <c:v>2.2772255960878063E-2</c:v>
                </c:pt>
                <c:pt idx="5140">
                  <c:v>2.2934767647079912E-2</c:v>
                </c:pt>
                <c:pt idx="5141">
                  <c:v>2.3097216136047649E-2</c:v>
                </c:pt>
                <c:pt idx="5142">
                  <c:v>2.3259601464639346E-2</c:v>
                </c:pt>
                <c:pt idx="5143">
                  <c:v>2.3421923669681988E-2</c:v>
                </c:pt>
                <c:pt idx="5144">
                  <c:v>2.3584182787975916E-2</c:v>
                </c:pt>
                <c:pt idx="5145">
                  <c:v>2.3746378856292161E-2</c:v>
                </c:pt>
                <c:pt idx="5146">
                  <c:v>2.3131511134371507E-2</c:v>
                </c:pt>
                <c:pt idx="5147">
                  <c:v>2.3293732116169252E-2</c:v>
                </c:pt>
                <c:pt idx="5148">
                  <c:v>2.267919107040095E-2</c:v>
                </c:pt>
                <c:pt idx="5149">
                  <c:v>2.2841436878077381E-2</c:v>
                </c:pt>
                <c:pt idx="5150">
                  <c:v>2.3003619702132383E-2</c:v>
                </c:pt>
                <c:pt idx="5151">
                  <c:v>2.3165739579234845E-2</c:v>
                </c:pt>
                <c:pt idx="5152">
                  <c:v>2.3327796546023905E-2</c:v>
                </c:pt>
                <c:pt idx="5153">
                  <c:v>2.3489790639110719E-2</c:v>
                </c:pt>
                <c:pt idx="5154">
                  <c:v>2.3651721895078914E-2</c:v>
                </c:pt>
                <c:pt idx="5155">
                  <c:v>2.3813590350482361E-2</c:v>
                </c:pt>
                <c:pt idx="5156">
                  <c:v>2.3975396041846952E-2</c:v>
                </c:pt>
                <c:pt idx="5157">
                  <c:v>2.336179494674484E-2</c:v>
                </c:pt>
                <c:pt idx="5158">
                  <c:v>2.3523625479974442E-2</c:v>
                </c:pt>
                <c:pt idx="5159">
                  <c:v>2.3685393300344249E-2</c:v>
                </c:pt>
                <c:pt idx="5160">
                  <c:v>2.3072204992151679E-2</c:v>
                </c:pt>
                <c:pt idx="5161">
                  <c:v>2.3233997582006172E-2</c:v>
                </c:pt>
                <c:pt idx="5162">
                  <c:v>2.3395727510129305E-2</c:v>
                </c:pt>
                <c:pt idx="5163">
                  <c:v>2.3557394812917298E-2</c:v>
                </c:pt>
                <c:pt idx="5164">
                  <c:v>2.3718999526737949E-2</c:v>
                </c:pt>
                <c:pt idx="5165">
                  <c:v>2.3880541687931078E-2</c:v>
                </c:pt>
                <c:pt idx="5166">
                  <c:v>2.4042021332807639E-2</c:v>
                </c:pt>
                <c:pt idx="5167">
                  <c:v>2.4203438497651053E-2</c:v>
                </c:pt>
                <c:pt idx="5168">
                  <c:v>2.4364793218717651E-2</c:v>
                </c:pt>
                <c:pt idx="5169">
                  <c:v>2.4526085532233566E-2</c:v>
                </c:pt>
                <c:pt idx="5170">
                  <c:v>2.468731547439873E-2</c:v>
                </c:pt>
                <c:pt idx="5171">
                  <c:v>2.4848483081384209E-2</c:v>
                </c:pt>
                <c:pt idx="5172">
                  <c:v>2.5009588389333093E-2</c:v>
                </c:pt>
                <c:pt idx="5173">
                  <c:v>2.4397684574458012E-2</c:v>
                </c:pt>
                <c:pt idx="5174">
                  <c:v>2.3786017198460296E-2</c:v>
                </c:pt>
                <c:pt idx="5175">
                  <c:v>2.3947234376210158E-2</c:v>
                </c:pt>
                <c:pt idx="5176">
                  <c:v>2.4108389283903353E-2</c:v>
                </c:pt>
                <c:pt idx="5177">
                  <c:v>2.3497132083116767E-2</c:v>
                </c:pt>
                <c:pt idx="5178">
                  <c:v>2.365831166117216E-2</c:v>
                </c:pt>
                <c:pt idx="5179">
                  <c:v>2.3819429019741545E-2</c:v>
                </c:pt>
                <c:pt idx="5180">
                  <c:v>2.3208581454591481E-2</c:v>
                </c:pt>
                <c:pt idx="5181">
                  <c:v>2.3369723411943433E-2</c:v>
                </c:pt>
                <c:pt idx="5182">
                  <c:v>2.3530803200330297E-2</c:v>
                </c:pt>
                <c:pt idx="5183">
                  <c:v>2.3691820855722856E-2</c:v>
                </c:pt>
                <c:pt idx="5184">
                  <c:v>2.385277641406347E-2</c:v>
                </c:pt>
                <c:pt idx="5185">
                  <c:v>2.401366991126741E-2</c:v>
                </c:pt>
                <c:pt idx="5186">
                  <c:v>2.4174501383221525E-2</c:v>
                </c:pt>
                <c:pt idx="5187">
                  <c:v>2.4335270865786018E-2</c:v>
                </c:pt>
                <c:pt idx="5188">
                  <c:v>2.3725265485351255E-2</c:v>
                </c:pt>
                <c:pt idx="5189">
                  <c:v>2.3115495129143682E-2</c:v>
                </c:pt>
                <c:pt idx="5190">
                  <c:v>2.3276375686015705E-2</c:v>
                </c:pt>
                <c:pt idx="5191">
                  <c:v>2.3437194282342588E-2</c:v>
                </c:pt>
                <c:pt idx="5192">
                  <c:v>2.3597950953911262E-2</c:v>
                </c:pt>
                <c:pt idx="5193">
                  <c:v>2.3758645736482009E-2</c:v>
                </c:pt>
                <c:pt idx="5194">
                  <c:v>2.3919278665788024E-2</c:v>
                </c:pt>
                <c:pt idx="5195">
                  <c:v>2.4079849777534079E-2</c:v>
                </c:pt>
                <c:pt idx="5196">
                  <c:v>2.4240359107398302E-2</c:v>
                </c:pt>
                <c:pt idx="5197">
                  <c:v>2.4400806691029953E-2</c:v>
                </c:pt>
                <c:pt idx="5198">
                  <c:v>2.456119256405298E-2</c:v>
                </c:pt>
                <c:pt idx="5199">
                  <c:v>2.4721516762062468E-2</c:v>
                </c:pt>
                <c:pt idx="5200">
                  <c:v>2.4881779320625963E-2</c:v>
                </c:pt>
                <c:pt idx="5201">
                  <c:v>2.5041980275284814E-2</c:v>
                </c:pt>
                <c:pt idx="5202">
                  <c:v>2.5202119661551947E-2</c:v>
                </c:pt>
                <c:pt idx="5203">
                  <c:v>2.5362197514914087E-2</c:v>
                </c:pt>
                <c:pt idx="5204">
                  <c:v>2.5522213870829091E-2</c:v>
                </c:pt>
                <c:pt idx="5205">
                  <c:v>2.5682168764729507E-2</c:v>
                </c:pt>
                <c:pt idx="5206">
                  <c:v>2.5842062232019458E-2</c:v>
                </c:pt>
                <c:pt idx="5207">
                  <c:v>2.6001894308075979E-2</c:v>
                </c:pt>
                <c:pt idx="5208">
                  <c:v>2.6161665028249015E-2</c:v>
                </c:pt>
                <c:pt idx="5209">
                  <c:v>2.6321374427861866E-2</c:v>
                </c:pt>
                <c:pt idx="5210">
                  <c:v>2.6481022542209853E-2</c:v>
                </c:pt>
                <c:pt idx="5211">
                  <c:v>2.6640609406562099E-2</c:v>
                </c:pt>
                <c:pt idx="5212">
                  <c:v>2.680013505616019E-2</c:v>
                </c:pt>
                <c:pt idx="5213">
                  <c:v>2.6192581309535612E-2</c:v>
                </c:pt>
                <c:pt idx="5214">
                  <c:v>2.63521316862807E-2</c:v>
                </c:pt>
                <c:pt idx="5215">
                  <c:v>2.6511620897460286E-2</c:v>
                </c:pt>
                <c:pt idx="5216">
                  <c:v>2.6671048978240464E-2</c:v>
                </c:pt>
                <c:pt idx="5217">
                  <c:v>2.6063985613119289E-2</c:v>
                </c:pt>
                <c:pt idx="5218">
                  <c:v>2.622343836422969E-2</c:v>
                </c:pt>
                <c:pt idx="5219">
                  <c:v>2.6382830034033855E-2</c:v>
                </c:pt>
                <c:pt idx="5220">
                  <c:v>2.6542160657621494E-2</c:v>
                </c:pt>
                <c:pt idx="5221">
                  <c:v>2.6701430270057447E-2</c:v>
                </c:pt>
                <c:pt idx="5222">
                  <c:v>2.6094942122304676E-2</c:v>
                </c:pt>
                <c:pt idx="5223">
                  <c:v>2.6254236362360128E-2</c:v>
                </c:pt>
                <c:pt idx="5224">
                  <c:v>2.6413469640210518E-2</c:v>
                </c:pt>
                <c:pt idx="5225">
                  <c:v>2.657264199084608E-2</c:v>
                </c:pt>
                <c:pt idx="5226">
                  <c:v>2.6731753449227735E-2</c:v>
                </c:pt>
                <c:pt idx="5227">
                  <c:v>2.6890804050291095E-2</c:v>
                </c:pt>
                <c:pt idx="5228">
                  <c:v>2.7049793828945123E-2</c:v>
                </c:pt>
                <c:pt idx="5229">
                  <c:v>2.7208722820071252E-2</c:v>
                </c:pt>
                <c:pt idx="5230">
                  <c:v>2.736759105852471E-2</c:v>
                </c:pt>
                <c:pt idx="5231">
                  <c:v>2.752639857913497E-2</c:v>
                </c:pt>
                <c:pt idx="5232">
                  <c:v>2.6920911561143068E-2</c:v>
                </c:pt>
                <c:pt idx="5233">
                  <c:v>2.7079743735899164E-2</c:v>
                </c:pt>
                <c:pt idx="5234">
                  <c:v>2.7238515241375882E-2</c:v>
                </c:pt>
                <c:pt idx="5235">
                  <c:v>2.663343004587615E-2</c:v>
                </c:pt>
                <c:pt idx="5236">
                  <c:v>2.6028575887106609E-2</c:v>
                </c:pt>
                <c:pt idx="5237">
                  <c:v>2.6187457118357127E-2</c:v>
                </c:pt>
                <c:pt idx="5238">
                  <c:v>2.6346277707916865E-2</c:v>
                </c:pt>
                <c:pt idx="5239">
                  <c:v>2.6505037690496724E-2</c:v>
                </c:pt>
                <c:pt idx="5240">
                  <c:v>2.666373710078318E-2</c:v>
                </c:pt>
                <c:pt idx="5241">
                  <c:v>2.6822375973433843E-2</c:v>
                </c:pt>
                <c:pt idx="5242">
                  <c:v>2.6218177836598855E-2</c:v>
                </c:pt>
                <c:pt idx="5243">
                  <c:v>2.5614210089901945E-2</c:v>
                </c:pt>
                <c:pt idx="5244">
                  <c:v>2.5772958304983717E-2</c:v>
                </c:pt>
                <c:pt idx="5245">
                  <c:v>2.5169305624996419E-2</c:v>
                </c:pt>
                <c:pt idx="5246">
                  <c:v>2.4565882995572608E-2</c:v>
                </c:pt>
                <c:pt idx="5247">
                  <c:v>2.4724740199499884E-2</c:v>
                </c:pt>
                <c:pt idx="5248">
                  <c:v>2.488353688639755E-2</c:v>
                </c:pt>
                <c:pt idx="5249">
                  <c:v>2.4280513426013339E-2</c:v>
                </c:pt>
                <c:pt idx="5250">
                  <c:v>2.4439334224372722E-2</c:v>
                </c:pt>
                <c:pt idx="5251">
                  <c:v>2.459809455412465E-2</c:v>
                </c:pt>
                <c:pt idx="5252">
                  <c:v>2.4756794449795727E-2</c:v>
                </c:pt>
                <c:pt idx="5253">
                  <c:v>2.4915433945887244E-2</c:v>
                </c:pt>
                <c:pt idx="5254">
                  <c:v>2.5074013076873403E-2</c:v>
                </c:pt>
                <c:pt idx="5255">
                  <c:v>2.523253187720309E-2</c:v>
                </c:pt>
                <c:pt idx="5256">
                  <c:v>2.539099038129855E-2</c:v>
                </c:pt>
                <c:pt idx="5257">
                  <c:v>2.554938862355538E-2</c:v>
                </c:pt>
                <c:pt idx="5258">
                  <c:v>2.5707726638343864E-2</c:v>
                </c:pt>
                <c:pt idx="5259">
                  <c:v>2.5866004460007197E-2</c:v>
                </c:pt>
                <c:pt idx="5260">
                  <c:v>2.6024222122863705E-2</c:v>
                </c:pt>
                <c:pt idx="5261">
                  <c:v>2.6182379661204624E-2</c:v>
                </c:pt>
                <c:pt idx="5262">
                  <c:v>2.6340477109294991E-2</c:v>
                </c:pt>
                <c:pt idx="5263">
                  <c:v>2.5738780408307349E-2</c:v>
                </c:pt>
                <c:pt idx="5264">
                  <c:v>2.5896902050161152E-2</c:v>
                </c:pt>
                <c:pt idx="5265">
                  <c:v>2.605496364962212E-2</c:v>
                </c:pt>
                <c:pt idx="5266">
                  <c:v>2.6212965240882458E-2</c:v>
                </c:pt>
                <c:pt idx="5267">
                  <c:v>2.63709068581095E-2</c:v>
                </c:pt>
                <c:pt idx="5268">
                  <c:v>2.6528788535443937E-2</c:v>
                </c:pt>
                <c:pt idx="5269">
                  <c:v>2.6686610307000702E-2</c:v>
                </c:pt>
                <c:pt idx="5270">
                  <c:v>2.6844372206868528E-2</c:v>
                </c:pt>
                <c:pt idx="5271">
                  <c:v>2.7002074269110832E-2</c:v>
                </c:pt>
                <c:pt idx="5272">
                  <c:v>2.7159716527764832E-2</c:v>
                </c:pt>
                <c:pt idx="5273">
                  <c:v>2.7317299016841989E-2</c:v>
                </c:pt>
                <c:pt idx="5274">
                  <c:v>2.7474821770328006E-2</c:v>
                </c:pt>
                <c:pt idx="5275">
                  <c:v>2.7632284822183273E-2</c:v>
                </c:pt>
                <c:pt idx="5276">
                  <c:v>2.7789688206341978E-2</c:v>
                </c:pt>
                <c:pt idx="5277">
                  <c:v>2.7947031956712109E-2</c:v>
                </c:pt>
                <c:pt idx="5278">
                  <c:v>2.8104316107176786E-2</c:v>
                </c:pt>
                <c:pt idx="5279">
                  <c:v>2.8261540691592923E-2</c:v>
                </c:pt>
                <c:pt idx="5280">
                  <c:v>2.7661416838075326E-2</c:v>
                </c:pt>
                <c:pt idx="5281">
                  <c:v>2.7818665736347281E-2</c:v>
                </c:pt>
                <c:pt idx="5282">
                  <c:v>2.7975855115732973E-2</c:v>
                </c:pt>
                <c:pt idx="5283">
                  <c:v>2.8132985010017819E-2</c:v>
                </c:pt>
                <c:pt idx="5284">
                  <c:v>2.8290055452961482E-2</c:v>
                </c:pt>
                <c:pt idx="5285">
                  <c:v>2.7690493752745127E-2</c:v>
                </c:pt>
                <c:pt idx="5286">
                  <c:v>2.7847588467695417E-2</c:v>
                </c:pt>
                <c:pt idx="5287">
                  <c:v>2.8004623778329574E-2</c:v>
                </c:pt>
                <c:pt idx="5288">
                  <c:v>2.8161599718335317E-2</c:v>
                </c:pt>
                <c:pt idx="5289">
                  <c:v>2.7562515565376255E-2</c:v>
                </c:pt>
                <c:pt idx="5290">
                  <c:v>2.7719515722376187E-2</c:v>
                </c:pt>
                <c:pt idx="5291">
                  <c:v>2.7876456555682161E-2</c:v>
                </c:pt>
                <c:pt idx="5292">
                  <c:v>2.7277765752859118E-2</c:v>
                </c:pt>
                <c:pt idx="5293">
                  <c:v>2.7434730735041768E-2</c:v>
                </c:pt>
                <c:pt idx="5294">
                  <c:v>2.7591636440418288E-2</c:v>
                </c:pt>
                <c:pt idx="5295">
                  <c:v>2.6993338481190676E-2</c:v>
                </c:pt>
                <c:pt idx="5296">
                  <c:v>2.7150268267511546E-2</c:v>
                </c:pt>
                <c:pt idx="5297">
                  <c:v>2.7307138823869703E-2</c:v>
                </c:pt>
                <c:pt idx="5298">
                  <c:v>2.6709233202659721E-2</c:v>
                </c:pt>
                <c:pt idx="5299">
                  <c:v>2.611155316364977E-2</c:v>
                </c:pt>
                <c:pt idx="5300">
                  <c:v>2.6268530868901685E-2</c:v>
                </c:pt>
                <c:pt idx="5301">
                  <c:v>2.5671159346280614E-2</c:v>
                </c:pt>
                <c:pt idx="5302">
                  <c:v>2.5074013076873403E-2</c:v>
                </c:pt>
                <c:pt idx="5303">
                  <c:v>2.5231097588340745E-2</c:v>
                </c:pt>
                <c:pt idx="5304">
                  <c:v>2.5388122889664189E-2</c:v>
                </c:pt>
                <c:pt idx="5305">
                  <c:v>2.5545089014314737E-2</c:v>
                </c:pt>
                <c:pt idx="5306">
                  <c:v>2.5701995995738081E-2</c:v>
                </c:pt>
                <c:pt idx="5307">
                  <c:v>2.5858843867355041E-2</c:v>
                </c:pt>
                <c:pt idx="5308">
                  <c:v>2.6015632662561128E-2</c:v>
                </c:pt>
                <c:pt idx="5309">
                  <c:v>2.6172362414725647E-2</c:v>
                </c:pt>
                <c:pt idx="5310">
                  <c:v>2.6329033157194814E-2</c:v>
                </c:pt>
                <c:pt idx="5311">
                  <c:v>2.5732774605200515E-2</c:v>
                </c:pt>
                <c:pt idx="5312">
                  <c:v>2.5136740463650664E-2</c:v>
                </c:pt>
                <c:pt idx="5313">
                  <c:v>2.5293517623753647E-2</c:v>
                </c:pt>
                <c:pt idx="5314">
                  <c:v>2.4697790353020999E-2</c:v>
                </c:pt>
                <c:pt idx="5315">
                  <c:v>2.4854591097060563E-2</c:v>
                </c:pt>
                <c:pt idx="5316">
                  <c:v>2.4259170404189678E-2</c:v>
                </c:pt>
                <c:pt idx="5317">
                  <c:v>2.4415994652357664E-2</c:v>
                </c:pt>
                <c:pt idx="5318">
                  <c:v>2.4572759944041511E-2</c:v>
                </c:pt>
                <c:pt idx="5319">
                  <c:v>2.4729466312480852E-2</c:v>
                </c:pt>
                <c:pt idx="5320">
                  <c:v>2.4886113790890896E-2</c:v>
                </c:pt>
                <c:pt idx="5321">
                  <c:v>2.5042702412461093E-2</c:v>
                </c:pt>
                <c:pt idx="5322">
                  <c:v>2.5199232210357358E-2</c:v>
                </c:pt>
                <c:pt idx="5323">
                  <c:v>2.5355703217718517E-2</c:v>
                </c:pt>
                <c:pt idx="5324">
                  <c:v>2.5512115467660745E-2</c:v>
                </c:pt>
                <c:pt idx="5325">
                  <c:v>2.4917577309399697E-2</c:v>
                </c:pt>
                <c:pt idx="5326">
                  <c:v>2.5074013076873403E-2</c:v>
                </c:pt>
                <c:pt idx="5327">
                  <c:v>2.5230390133232028E-2</c:v>
                </c:pt>
                <c:pt idx="5328">
                  <c:v>2.5386708511520251E-2</c:v>
                </c:pt>
                <c:pt idx="5329">
                  <c:v>2.4792639976142006E-2</c:v>
                </c:pt>
                <c:pt idx="5330">
                  <c:v>2.4948981819059135E-2</c:v>
                </c:pt>
                <c:pt idx="5331">
                  <c:v>2.5105265030120449E-2</c:v>
                </c:pt>
                <c:pt idx="5332">
                  <c:v>2.5261489642302681E-2</c:v>
                </c:pt>
                <c:pt idx="5333">
                  <c:v>2.541765568855725E-2</c:v>
                </c:pt>
                <c:pt idx="5334">
                  <c:v>2.4824138014404973E-2</c:v>
                </c:pt>
                <c:pt idx="5335">
                  <c:v>2.4980327485717435E-2</c:v>
                </c:pt>
                <c:pt idx="5336">
                  <c:v>2.5136458437183151E-2</c:v>
                </c:pt>
                <c:pt idx="5337">
                  <c:v>2.4543326930903664E-2</c:v>
                </c:pt>
                <c:pt idx="5338">
                  <c:v>2.4699481241667431E-2</c:v>
                </c:pt>
                <c:pt idx="5339">
                  <c:v>2.4855577078620961E-2</c:v>
                </c:pt>
                <c:pt idx="5340">
                  <c:v>2.5011614474602428E-2</c:v>
                </c:pt>
                <c:pt idx="5341">
                  <c:v>2.5167593462424698E-2</c:v>
                </c:pt>
                <c:pt idx="5342">
                  <c:v>2.532351407487754E-2</c:v>
                </c:pt>
                <c:pt idx="5343">
                  <c:v>2.5479376344724969E-2</c:v>
                </c:pt>
                <c:pt idx="5344">
                  <c:v>2.488695733426205E-2</c:v>
                </c:pt>
                <c:pt idx="5345">
                  <c:v>2.5042842950322886E-2</c:v>
                </c:pt>
                <c:pt idx="5346">
                  <c:v>2.5198670269593659E-2</c:v>
                </c:pt>
                <c:pt idx="5347">
                  <c:v>2.5354439324770439E-2</c:v>
                </c:pt>
                <c:pt idx="5348">
                  <c:v>2.476248659712299E-2</c:v>
                </c:pt>
                <c:pt idx="5349">
                  <c:v>2.491827894618126E-2</c:v>
                </c:pt>
                <c:pt idx="5350">
                  <c:v>2.5074013076873403E-2</c:v>
                </c:pt>
                <c:pt idx="5351">
                  <c:v>2.5229689021826651E-2</c:v>
                </c:pt>
                <c:pt idx="5352">
                  <c:v>2.5385306813643371E-2</c:v>
                </c:pt>
                <c:pt idx="5353">
                  <c:v>2.554086648490328E-2</c:v>
                </c:pt>
                <c:pt idx="5354">
                  <c:v>2.569636806816078E-2</c:v>
                </c:pt>
                <c:pt idx="5355">
                  <c:v>2.5851811595944962E-2</c:v>
                </c:pt>
                <c:pt idx="5356">
                  <c:v>2.6007197100763157E-2</c:v>
                </c:pt>
                <c:pt idx="5357">
                  <c:v>2.616252461509605E-2</c:v>
                </c:pt>
                <c:pt idx="5358">
                  <c:v>2.6317794171400788E-2</c:v>
                </c:pt>
                <c:pt idx="5359">
                  <c:v>2.5726876348651118E-2</c:v>
                </c:pt>
                <c:pt idx="5360">
                  <c:v>2.5136178935384113E-2</c:v>
                </c:pt>
                <c:pt idx="5361">
                  <c:v>2.5291553010990064E-2</c:v>
                </c:pt>
                <c:pt idx="5362">
                  <c:v>2.544686915442762E-2</c:v>
                </c:pt>
                <c:pt idx="5363">
                  <c:v>2.5602127398091312E-2</c:v>
                </c:pt>
                <c:pt idx="5364">
                  <c:v>2.575732777435169E-2</c:v>
                </c:pt>
                <c:pt idx="5365">
                  <c:v>2.5167174992282604E-2</c:v>
                </c:pt>
                <c:pt idx="5366">
                  <c:v>2.5322398571160587E-2</c:v>
                </c:pt>
                <c:pt idx="5367">
                  <c:v>2.5477564327882618E-2</c:v>
                </c:pt>
                <c:pt idx="5368">
                  <c:v>2.5632672294750858E-2</c:v>
                </c:pt>
                <c:pt idx="5369">
                  <c:v>2.5042982232213795E-2</c:v>
                </c:pt>
                <c:pt idx="5370">
                  <c:v>2.5198113349893969E-2</c:v>
                </c:pt>
                <c:pt idx="5371">
                  <c:v>2.535318672288156E-2</c:v>
                </c:pt>
                <c:pt idx="5372">
                  <c:v>2.5508202383411227E-2</c:v>
                </c:pt>
                <c:pt idx="5373">
                  <c:v>2.5663160363695425E-2</c:v>
                </c:pt>
                <c:pt idx="5374">
                  <c:v>2.5818060695921297E-2</c:v>
                </c:pt>
                <c:pt idx="5375">
                  <c:v>2.5972903412252446E-2</c:v>
                </c:pt>
                <c:pt idx="5376">
                  <c:v>2.6127688544829386E-2</c:v>
                </c:pt>
                <c:pt idx="5377">
                  <c:v>2.6282416125767316E-2</c:v>
                </c:pt>
                <c:pt idx="5378">
                  <c:v>2.6437086187158343E-2</c:v>
                </c:pt>
                <c:pt idx="5379">
                  <c:v>2.6591698761071036E-2</c:v>
                </c:pt>
                <c:pt idx="5380">
                  <c:v>2.6746253879549098E-2</c:v>
                </c:pt>
                <c:pt idx="5381">
                  <c:v>2.6900751574613135E-2</c:v>
                </c:pt>
                <c:pt idx="5382">
                  <c:v>2.7055191878260221E-2</c:v>
                </c:pt>
                <c:pt idx="5383">
                  <c:v>2.7209574822463001E-2</c:v>
                </c:pt>
                <c:pt idx="5384">
                  <c:v>2.7363900439171029E-2</c:v>
                </c:pt>
                <c:pt idx="5385">
                  <c:v>2.7518168760308992E-2</c:v>
                </c:pt>
                <c:pt idx="5386">
                  <c:v>2.7672379817779369E-2</c:v>
                </c:pt>
                <c:pt idx="5387">
                  <c:v>2.7084280906402913E-2</c:v>
                </c:pt>
                <c:pt idx="5388">
                  <c:v>2.7238515241375882E-2</c:v>
                </c:pt>
                <c:pt idx="5389">
                  <c:v>2.7392692357155468E-2</c:v>
                </c:pt>
                <c:pt idx="5390">
                  <c:v>2.680497252296643E-2</c:v>
                </c:pt>
                <c:pt idx="5391">
                  <c:v>2.6959172851890756E-2</c:v>
                </c:pt>
                <c:pt idx="5392">
                  <c:v>2.6371751304533841E-2</c:v>
                </c:pt>
                <c:pt idx="5393">
                  <c:v>2.652597476979901E-2</c:v>
                </c:pt>
                <c:pt idx="5394">
                  <c:v>2.6680141072919827E-2</c:v>
                </c:pt>
                <c:pt idx="5395">
                  <c:v>2.6834250245670876E-2</c:v>
                </c:pt>
                <c:pt idx="5396">
                  <c:v>2.6988302319803203E-2</c:v>
                </c:pt>
                <c:pt idx="5397">
                  <c:v>2.714229732704343E-2</c:v>
                </c:pt>
                <c:pt idx="5398">
                  <c:v>2.7296235299095972E-2</c:v>
                </c:pt>
                <c:pt idx="5399">
                  <c:v>2.7450116267640823E-2</c:v>
                </c:pt>
                <c:pt idx="5400">
                  <c:v>2.7603940264334881E-2</c:v>
                </c:pt>
                <c:pt idx="5401">
                  <c:v>2.7757707320811953E-2</c:v>
                </c:pt>
                <c:pt idx="5402">
                  <c:v>2.7911417468682309E-2</c:v>
                </c:pt>
                <c:pt idx="5403">
                  <c:v>2.7325015235368788E-2</c:v>
                </c:pt>
                <c:pt idx="5404">
                  <c:v>2.7478748555970878E-2</c:v>
                </c:pt>
                <c:pt idx="5405">
                  <c:v>2.7632425012019457E-2</c:v>
                </c:pt>
                <c:pt idx="5406">
                  <c:v>2.7786044635059071E-2</c:v>
                </c:pt>
                <c:pt idx="5407">
                  <c:v>2.7939607456611171E-2</c:v>
                </c:pt>
                <c:pt idx="5408">
                  <c:v>2.8093113508173673E-2</c:v>
                </c:pt>
                <c:pt idx="5409">
                  <c:v>2.8246562821221399E-2</c:v>
                </c:pt>
                <c:pt idx="5410">
                  <c:v>2.8399955427206081E-2</c:v>
                </c:pt>
                <c:pt idx="5411">
                  <c:v>2.855329135755591E-2</c:v>
                </c:pt>
                <c:pt idx="5412">
                  <c:v>2.8706570643675544E-2</c:v>
                </c:pt>
                <c:pt idx="5413">
                  <c:v>2.8121104489616133E-2</c:v>
                </c:pt>
                <c:pt idx="5414">
                  <c:v>2.8274406971506849E-2</c:v>
                </c:pt>
                <c:pt idx="5415">
                  <c:v>2.8427652852887508E-2</c:v>
                </c:pt>
                <c:pt idx="5416">
                  <c:v>2.8580842165097931E-2</c:v>
                </c:pt>
                <c:pt idx="5417">
                  <c:v>2.8733974939455731E-2</c:v>
                </c:pt>
                <c:pt idx="5418">
                  <c:v>2.8887051207254988E-2</c:v>
                </c:pt>
                <c:pt idx="5419">
                  <c:v>2.9040070999765799E-2</c:v>
                </c:pt>
                <c:pt idx="5420">
                  <c:v>2.9193034348236946E-2</c:v>
                </c:pt>
                <c:pt idx="5421">
                  <c:v>2.9345941283893229E-2</c:v>
                </c:pt>
                <c:pt idx="5422">
                  <c:v>2.8761328711091938E-2</c:v>
                </c:pt>
                <c:pt idx="5423">
                  <c:v>2.8914258852603236E-2</c:v>
                </c:pt>
                <c:pt idx="5424">
                  <c:v>2.9067132624729375E-2</c:v>
                </c:pt>
                <c:pt idx="5425">
                  <c:v>2.921995005863165E-2</c:v>
                </c:pt>
                <c:pt idx="5426">
                  <c:v>2.8635791509691089E-2</c:v>
                </c:pt>
                <c:pt idx="5427">
                  <c:v>2.8788632098178724E-2</c:v>
                </c:pt>
                <c:pt idx="5428">
                  <c:v>2.8941416391790487E-2</c:v>
                </c:pt>
                <c:pt idx="5429">
                  <c:v>2.9094144421622836E-2</c:v>
                </c:pt>
                <c:pt idx="5430">
                  <c:v>2.9246816218748695E-2</c:v>
                </c:pt>
                <c:pt idx="5431">
                  <c:v>2.8663190327011812E-2</c:v>
                </c:pt>
                <c:pt idx="5432">
                  <c:v>2.8815885239798167E-2</c:v>
                </c:pt>
                <c:pt idx="5433">
                  <c:v>2.8968523963104786E-2</c:v>
                </c:pt>
                <c:pt idx="5434">
                  <c:v>2.9121106527940643E-2</c:v>
                </c:pt>
                <c:pt idx="5435">
                  <c:v>2.9273632965292506E-2</c:v>
                </c:pt>
                <c:pt idx="5436">
                  <c:v>2.9426103306124496E-2</c:v>
                </c:pt>
                <c:pt idx="5437">
                  <c:v>2.8843088274520312E-2</c:v>
                </c:pt>
                <c:pt idx="5438">
                  <c:v>2.8995581704324369E-2</c:v>
                </c:pt>
                <c:pt idx="5439">
                  <c:v>2.9148019080671883E-2</c:v>
                </c:pt>
                <c:pt idx="5440">
                  <c:v>2.9300400434462581E-2</c:v>
                </c:pt>
                <c:pt idx="5441">
                  <c:v>2.9452725796574875E-2</c:v>
                </c:pt>
                <c:pt idx="5442">
                  <c:v>2.9604995197863193E-2</c:v>
                </c:pt>
                <c:pt idx="5443">
                  <c:v>2.9757208669160207E-2</c:v>
                </c:pt>
                <c:pt idx="5444">
                  <c:v>2.9909366241275492E-2</c:v>
                </c:pt>
                <c:pt idx="5445">
                  <c:v>3.0061467944996867E-2</c:v>
                </c:pt>
                <c:pt idx="5446">
                  <c:v>3.0213513811087722E-2</c:v>
                </c:pt>
                <c:pt idx="5447">
                  <c:v>3.0365503870291466E-2</c:v>
                </c:pt>
                <c:pt idx="5448">
                  <c:v>3.0517438153326193E-2</c:v>
                </c:pt>
                <c:pt idx="5449">
                  <c:v>3.0669316690889126E-2</c:v>
                </c:pt>
                <c:pt idx="5450">
                  <c:v>3.0087463798321501E-2</c:v>
                </c:pt>
                <c:pt idx="5451">
                  <c:v>3.0239365482277236E-2</c:v>
                </c:pt>
                <c:pt idx="5452">
                  <c:v>3.0391211463379086E-2</c:v>
                </c:pt>
                <c:pt idx="5453">
                  <c:v>2.980972954494554E-2</c:v>
                </c:pt>
                <c:pt idx="5454">
                  <c:v>2.9228460779708421E-2</c:v>
                </c:pt>
                <c:pt idx="5455">
                  <c:v>2.9380408532251767E-2</c:v>
                </c:pt>
                <c:pt idx="5456">
                  <c:v>2.8799431423032207E-2</c:v>
                </c:pt>
                <c:pt idx="5457">
                  <c:v>2.8951402098061685E-2</c:v>
                </c:pt>
                <c:pt idx="5458">
                  <c:v>2.9103317106177418E-2</c:v>
                </c:pt>
                <c:pt idx="5459">
                  <c:v>2.9255176477959832E-2</c:v>
                </c:pt>
                <c:pt idx="5460">
                  <c:v>2.9406980243967595E-2</c:v>
                </c:pt>
                <c:pt idx="5461">
                  <c:v>2.882653000896207E-2</c:v>
                </c:pt>
                <c:pt idx="5462">
                  <c:v>2.8246292237439796E-2</c:v>
                </c:pt>
                <c:pt idx="5463">
                  <c:v>2.8398197279374315E-2</c:v>
                </c:pt>
                <c:pt idx="5464">
                  <c:v>2.8550046739515444E-2</c:v>
                </c:pt>
                <c:pt idx="5465">
                  <c:v>2.870184064836323E-2</c:v>
                </c:pt>
                <c:pt idx="5466">
                  <c:v>2.812205014100444E-2</c:v>
                </c:pt>
                <c:pt idx="5467">
                  <c:v>2.8273866797846381E-2</c:v>
                </c:pt>
                <c:pt idx="5468">
                  <c:v>2.842562794585568E-2</c:v>
                </c:pt>
                <c:pt idx="5469">
                  <c:v>2.8577333615471101E-2</c:v>
                </c:pt>
                <c:pt idx="5470">
                  <c:v>2.8728983837107425E-2</c:v>
                </c:pt>
                <c:pt idx="5471">
                  <c:v>2.8880578641159005E-2</c:v>
                </c:pt>
                <c:pt idx="5472">
                  <c:v>2.9032118057996215E-2</c:v>
                </c:pt>
                <c:pt idx="5473">
                  <c:v>2.9183602117969443E-2</c:v>
                </c:pt>
                <c:pt idx="5474">
                  <c:v>2.8604570661485251E-2</c:v>
                </c:pt>
                <c:pt idx="5475">
                  <c:v>2.8756077467354757E-2</c:v>
                </c:pt>
                <c:pt idx="5476">
                  <c:v>2.8907528958582063E-2</c:v>
                </c:pt>
                <c:pt idx="5477">
                  <c:v>2.9058925165454053E-2</c:v>
                </c:pt>
                <c:pt idx="5478">
                  <c:v>2.8480339110936725E-2</c:v>
                </c:pt>
                <c:pt idx="5479">
                  <c:v>2.863175801392881E-2</c:v>
                </c:pt>
                <c:pt idx="5480">
                  <c:v>2.8053460966937838E-2</c:v>
                </c:pt>
                <c:pt idx="5481">
                  <c:v>2.8204902492643402E-2</c:v>
                </c:pt>
                <c:pt idx="5482">
                  <c:v>2.835628878803309E-2</c:v>
                </c:pt>
                <c:pt idx="5483">
                  <c:v>2.7778358260708291E-2</c:v>
                </c:pt>
                <c:pt idx="5484">
                  <c:v>2.7929767117461868E-2</c:v>
                </c:pt>
                <c:pt idx="5485">
                  <c:v>2.808112078600411E-2</c:v>
                </c:pt>
                <c:pt idx="5486">
                  <c:v>2.8232419296504219E-2</c:v>
                </c:pt>
                <c:pt idx="5487">
                  <c:v>2.7654932491460116E-2</c:v>
                </c:pt>
                <c:pt idx="5488">
                  <c:v>2.7806253514031987E-2</c:v>
                </c:pt>
                <c:pt idx="5489">
                  <c:v>2.7957519420587662E-2</c:v>
                </c:pt>
                <c:pt idx="5490">
                  <c:v>2.7380398121787497E-2</c:v>
                </c:pt>
                <c:pt idx="5491">
                  <c:v>2.7531686479385975E-2</c:v>
                </c:pt>
                <c:pt idx="5492">
                  <c:v>2.7682919762955116E-2</c:v>
                </c:pt>
                <c:pt idx="5493">
                  <c:v>2.7834098002563756E-2</c:v>
                </c:pt>
                <c:pt idx="5494">
                  <c:v>2.7985221228256307E-2</c:v>
                </c:pt>
                <c:pt idx="5495">
                  <c:v>2.813628947005764E-2</c:v>
                </c:pt>
                <c:pt idx="5496">
                  <c:v>2.8287302757969535E-2</c:v>
                </c:pt>
                <c:pt idx="5497">
                  <c:v>2.771085613924873E-2</c:v>
                </c:pt>
                <c:pt idx="5498">
                  <c:v>2.7861891864752408E-2</c:v>
                </c:pt>
                <c:pt idx="5499">
                  <c:v>2.8012872678158107E-2</c:v>
                </c:pt>
                <c:pt idx="5500">
                  <c:v>2.8163798609407209E-2</c:v>
                </c:pt>
                <c:pt idx="5501">
                  <c:v>2.8314669688418892E-2</c:v>
                </c:pt>
                <c:pt idx="5502">
                  <c:v>2.8465485945090574E-2</c:v>
                </c:pt>
                <c:pt idx="5503">
                  <c:v>2.788963523854493E-2</c:v>
                </c:pt>
                <c:pt idx="5504">
                  <c:v>2.7313993704068285E-2</c:v>
                </c:pt>
                <c:pt idx="5505">
                  <c:v>2.6738561227711788E-2</c:v>
                </c:pt>
                <c:pt idx="5506">
                  <c:v>2.6889554108100899E-2</c:v>
                </c:pt>
                <c:pt idx="5507">
                  <c:v>2.7040492171688246E-2</c:v>
                </c:pt>
                <c:pt idx="5508">
                  <c:v>2.7191375448319288E-2</c:v>
                </c:pt>
                <c:pt idx="5509">
                  <c:v>2.7342203967819056E-2</c:v>
                </c:pt>
                <c:pt idx="5510">
                  <c:v>2.7492977759989046E-2</c:v>
                </c:pt>
                <c:pt idx="5511">
                  <c:v>2.6918139082073189E-2</c:v>
                </c:pt>
                <c:pt idx="5512">
                  <c:v>2.7068935093558455E-2</c:v>
                </c:pt>
                <c:pt idx="5513">
                  <c:v>2.7219676419273142E-2</c:v>
                </c:pt>
                <c:pt idx="5514">
                  <c:v>2.7370363088959682E-2</c:v>
                </c:pt>
                <c:pt idx="5515">
                  <c:v>2.75209951323383E-2</c:v>
                </c:pt>
                <c:pt idx="5516">
                  <c:v>2.7671572579108794E-2</c:v>
                </c:pt>
                <c:pt idx="5517">
                  <c:v>2.7822095458947427E-2</c:v>
                </c:pt>
                <c:pt idx="5518">
                  <c:v>2.7972563801511363E-2</c:v>
                </c:pt>
                <c:pt idx="5519">
                  <c:v>2.8122977636434232E-2</c:v>
                </c:pt>
                <c:pt idx="5520">
                  <c:v>2.827333699332879E-2</c:v>
                </c:pt>
                <c:pt idx="5521">
                  <c:v>2.8423641901787366E-2</c:v>
                </c:pt>
                <c:pt idx="5522">
                  <c:v>2.8573892391380085E-2</c:v>
                </c:pt>
                <c:pt idx="5523">
                  <c:v>2.8724088491654864E-2</c:v>
                </c:pt>
                <c:pt idx="5524">
                  <c:v>2.8150379345422305E-2</c:v>
                </c:pt>
                <c:pt idx="5525">
                  <c:v>2.8300597721949039E-2</c:v>
                </c:pt>
                <c:pt idx="5526">
                  <c:v>2.8450761750293818E-2</c:v>
                </c:pt>
                <c:pt idx="5527">
                  <c:v>2.860087145994461E-2</c:v>
                </c:pt>
                <c:pt idx="5528">
                  <c:v>2.8027599574763862E-2</c:v>
                </c:pt>
                <c:pt idx="5529">
                  <c:v>2.8177731512358584E-2</c:v>
                </c:pt>
                <c:pt idx="5530">
                  <c:v>2.832780917231803E-2</c:v>
                </c:pt>
                <c:pt idx="5531">
                  <c:v>2.8477832584072882E-2</c:v>
                </c:pt>
                <c:pt idx="5532">
                  <c:v>2.8627801777030282E-2</c:v>
                </c:pt>
                <c:pt idx="5533">
                  <c:v>2.8055042887171755E-2</c:v>
                </c:pt>
                <c:pt idx="5534">
                  <c:v>2.7482490918877556E-2</c:v>
                </c:pt>
                <c:pt idx="5535">
                  <c:v>2.763255861898406E-2</c:v>
                </c:pt>
                <c:pt idx="5536">
                  <c:v>2.7782572123460803E-2</c:v>
                </c:pt>
                <c:pt idx="5537">
                  <c:v>2.7932531461660304E-2</c:v>
                </c:pt>
                <c:pt idx="5538">
                  <c:v>2.7360415002264826E-2</c:v>
                </c:pt>
                <c:pt idx="5539">
                  <c:v>2.6788505045832078E-2</c:v>
                </c:pt>
                <c:pt idx="5540">
                  <c:v>2.6938562577655478E-2</c:v>
                </c:pt>
                <c:pt idx="5541">
                  <c:v>2.6366935080602172E-2</c:v>
                </c:pt>
                <c:pt idx="5542">
                  <c:v>2.6517014519875204E-2</c:v>
                </c:pt>
                <c:pt idx="5543">
                  <c:v>2.6667039827700023E-2</c:v>
                </c:pt>
                <c:pt idx="5544">
                  <c:v>2.681701103335854E-2</c:v>
                </c:pt>
                <c:pt idx="5545">
                  <c:v>2.6245817655925485E-2</c:v>
                </c:pt>
                <c:pt idx="5546">
                  <c:v>2.6395810721670632E-2</c:v>
                </c:pt>
                <c:pt idx="5547">
                  <c:v>2.654574972611945E-2</c:v>
                </c:pt>
                <c:pt idx="5548">
                  <c:v>2.5974913977774516E-2</c:v>
                </c:pt>
                <c:pt idx="5549">
                  <c:v>2.6124874783473029E-2</c:v>
                </c:pt>
                <c:pt idx="5550">
                  <c:v>2.6274781568708327E-2</c:v>
                </c:pt>
                <c:pt idx="5551">
                  <c:v>2.6424634362665067E-2</c:v>
                </c:pt>
                <c:pt idx="5552">
                  <c:v>2.6574433194506586E-2</c:v>
                </c:pt>
                <c:pt idx="5553">
                  <c:v>2.6004106086174428E-2</c:v>
                </c:pt>
                <c:pt idx="5554">
                  <c:v>2.6153926683785134E-2</c:v>
                </c:pt>
                <c:pt idx="5555">
                  <c:v>2.6303693360000047E-2</c:v>
                </c:pt>
                <c:pt idx="5556">
                  <c:v>2.6453406143923885E-2</c:v>
                </c:pt>
                <c:pt idx="5557">
                  <c:v>2.6603065064640941E-2</c:v>
                </c:pt>
                <c:pt idx="5558">
                  <c:v>2.6033245690782358E-2</c:v>
                </c:pt>
                <c:pt idx="5559">
                  <c:v>2.6182926341873802E-2</c:v>
                </c:pt>
                <c:pt idx="5560">
                  <c:v>2.6332553170365092E-2</c:v>
                </c:pt>
                <c:pt idx="5561">
                  <c:v>2.5763089714179621E-2</c:v>
                </c:pt>
                <c:pt idx="5562">
                  <c:v>2.5912738214664E-2</c:v>
                </c:pt>
                <c:pt idx="5563">
                  <c:v>2.6062332933117993E-2</c:v>
                </c:pt>
                <c:pt idx="5564">
                  <c:v>2.6211873898528637E-2</c:v>
                </c:pt>
                <c:pt idx="5565">
                  <c:v>2.5642841290753005E-2</c:v>
                </c:pt>
                <c:pt idx="5566">
                  <c:v>2.5074013076873403E-2</c:v>
                </c:pt>
                <c:pt idx="5567">
                  <c:v>2.4505389146784573E-2</c:v>
                </c:pt>
                <c:pt idx="5568">
                  <c:v>2.4655102245036531E-2</c:v>
                </c:pt>
                <c:pt idx="5569">
                  <c:v>2.4086757646968771E-2</c:v>
                </c:pt>
                <c:pt idx="5570">
                  <c:v>2.4236492138850263E-2</c:v>
                </c:pt>
                <c:pt idx="5571">
                  <c:v>2.43861728950443E-2</c:v>
                </c:pt>
                <c:pt idx="5572">
                  <c:v>2.453579994447308E-2</c:v>
                </c:pt>
                <c:pt idx="5573">
                  <c:v>2.4685373316036596E-2</c:v>
                </c:pt>
                <c:pt idx="5574">
                  <c:v>2.4834893038614414E-2</c:v>
                </c:pt>
                <c:pt idx="5575">
                  <c:v>2.4267127654603371E-2</c:v>
                </c:pt>
                <c:pt idx="5576">
                  <c:v>2.3699565843695591E-2</c:v>
                </c:pt>
                <c:pt idx="5577">
                  <c:v>2.3849181864589397E-2</c:v>
                </c:pt>
                <c:pt idx="5578">
                  <c:v>2.3998744259669191E-2</c:v>
                </c:pt>
                <c:pt idx="5579">
                  <c:v>2.4148253057761249E-2</c:v>
                </c:pt>
                <c:pt idx="5580">
                  <c:v>2.4297708287670083E-2</c:v>
                </c:pt>
                <c:pt idx="5581">
                  <c:v>2.4447109978181114E-2</c:v>
                </c:pt>
                <c:pt idx="5582">
                  <c:v>2.4596458158057999E-2</c:v>
                </c:pt>
                <c:pt idx="5583">
                  <c:v>2.4745752856043968E-2</c:v>
                </c:pt>
                <c:pt idx="5584">
                  <c:v>2.417891819681639E-2</c:v>
                </c:pt>
                <c:pt idx="5585">
                  <c:v>2.43282341853992E-2</c:v>
                </c:pt>
                <c:pt idx="5586">
                  <c:v>2.4477496732325577E-2</c:v>
                </c:pt>
                <c:pt idx="5587">
                  <c:v>2.3911014329333735E-2</c:v>
                </c:pt>
                <c:pt idx="5588">
                  <c:v>2.3344734603409023E-2</c:v>
                </c:pt>
                <c:pt idx="5589">
                  <c:v>2.3494092967173419E-2</c:v>
                </c:pt>
                <c:pt idx="5590">
                  <c:v>2.3643397912352704E-2</c:v>
                </c:pt>
                <c:pt idx="5591">
                  <c:v>2.3792649467599958E-2</c:v>
                </c:pt>
                <c:pt idx="5592">
                  <c:v>2.3941847661547389E-2</c:v>
                </c:pt>
                <c:pt idx="5593">
                  <c:v>2.409099252280722E-2</c:v>
                </c:pt>
                <c:pt idx="5594">
                  <c:v>2.4240084079970803E-2</c:v>
                </c:pt>
                <c:pt idx="5595">
                  <c:v>2.4389122361609505E-2</c:v>
                </c:pt>
                <c:pt idx="5596">
                  <c:v>2.4538107396273379E-2</c:v>
                </c:pt>
                <c:pt idx="5597">
                  <c:v>2.4687039212492934E-2</c:v>
                </c:pt>
                <c:pt idx="5598">
                  <c:v>2.4835917838778254E-2</c:v>
                </c:pt>
                <c:pt idx="5599">
                  <c:v>2.4984743303618995E-2</c:v>
                </c:pt>
                <c:pt idx="5600">
                  <c:v>2.5133515635483494E-2</c:v>
                </c:pt>
                <c:pt idx="5601">
                  <c:v>2.528223486282144E-2</c:v>
                </c:pt>
                <c:pt idx="5602">
                  <c:v>2.5430901014061202E-2</c:v>
                </c:pt>
                <c:pt idx="5603">
                  <c:v>2.5579514117611168E-2</c:v>
                </c:pt>
                <c:pt idx="5604">
                  <c:v>2.50145529746022E-2</c:v>
                </c:pt>
                <c:pt idx="5605">
                  <c:v>2.5163187323351099E-2</c:v>
                </c:pt>
                <c:pt idx="5606">
                  <c:v>2.4598501902361125E-2</c:v>
                </c:pt>
                <c:pt idx="5607">
                  <c:v>2.4747157428213651E-2</c:v>
                </c:pt>
                <c:pt idx="5608">
                  <c:v>2.4895759957443975E-2</c:v>
                </c:pt>
                <c:pt idx="5609">
                  <c:v>2.5044309518387209E-2</c:v>
                </c:pt>
                <c:pt idx="5610">
                  <c:v>2.5192806139358481E-2</c:v>
                </c:pt>
                <c:pt idx="5611">
                  <c:v>2.534124984865338E-2</c:v>
                </c:pt>
                <c:pt idx="5612">
                  <c:v>2.5489640674546177E-2</c:v>
                </c:pt>
                <c:pt idx="5613">
                  <c:v>2.5637978645291604E-2</c:v>
                </c:pt>
                <c:pt idx="5614">
                  <c:v>2.5786263789124408E-2</c:v>
                </c:pt>
                <c:pt idx="5615">
                  <c:v>2.5934496134258911E-2</c:v>
                </c:pt>
                <c:pt idx="5616">
                  <c:v>2.6082675708889891E-2</c:v>
                </c:pt>
                <c:pt idx="5617">
                  <c:v>2.6230802541191256E-2</c:v>
                </c:pt>
                <c:pt idx="5618">
                  <c:v>2.5667132887075006E-2</c:v>
                </c:pt>
                <c:pt idx="5619">
                  <c:v>2.5815280941428931E-2</c:v>
                </c:pt>
                <c:pt idx="5620">
                  <c:v>2.5963376292811091E-2</c:v>
                </c:pt>
                <c:pt idx="5621">
                  <c:v>2.6111418969338995E-2</c:v>
                </c:pt>
                <c:pt idx="5622">
                  <c:v>2.62594089991115E-2</c:v>
                </c:pt>
                <c:pt idx="5623">
                  <c:v>2.6407346410207033E-2</c:v>
                </c:pt>
                <c:pt idx="5624">
                  <c:v>2.6555231230683152E-2</c:v>
                </c:pt>
                <c:pt idx="5625">
                  <c:v>2.6703063488579204E-2</c:v>
                </c:pt>
                <c:pt idx="5626">
                  <c:v>2.6850843211912778E-2</c:v>
                </c:pt>
                <c:pt idx="5627">
                  <c:v>2.6998570428682811E-2</c:v>
                </c:pt>
                <c:pt idx="5628">
                  <c:v>2.7146245166867811E-2</c:v>
                </c:pt>
                <c:pt idx="5629">
                  <c:v>2.7293867454426302E-2</c:v>
                </c:pt>
                <c:pt idx="5630">
                  <c:v>2.7441437319297712E-2</c:v>
                </c:pt>
                <c:pt idx="5631">
                  <c:v>2.7588954789401043E-2</c:v>
                </c:pt>
                <c:pt idx="5632">
                  <c:v>2.7736419892634867E-2</c:v>
                </c:pt>
                <c:pt idx="5633">
                  <c:v>2.7883832656879548E-2</c:v>
                </c:pt>
                <c:pt idx="5634">
                  <c:v>2.7321469902044981E-2</c:v>
                </c:pt>
                <c:pt idx="5635">
                  <c:v>2.7468903976288317E-2</c:v>
                </c:pt>
                <c:pt idx="5636">
                  <c:v>2.7616285750398539E-2</c:v>
                </c:pt>
                <c:pt idx="5637">
                  <c:v>2.7763615252200058E-2</c:v>
                </c:pt>
                <c:pt idx="5638">
                  <c:v>2.7201672651341546E-2</c:v>
                </c:pt>
                <c:pt idx="5639">
                  <c:v>2.7349023417829521E-2</c:v>
                </c:pt>
                <c:pt idx="5640">
                  <c:v>2.7496321950795544E-2</c:v>
                </c:pt>
                <c:pt idx="5641">
                  <c:v>2.6934725463901632E-2</c:v>
                </c:pt>
                <c:pt idx="5642">
                  <c:v>2.7082045205387484E-2</c:v>
                </c:pt>
                <c:pt idx="5643">
                  <c:v>2.7229312752102164E-2</c:v>
                </c:pt>
                <c:pt idx="5644">
                  <c:v>2.6668061961039324E-2</c:v>
                </c:pt>
                <c:pt idx="5645">
                  <c:v>2.6815350660251092E-2</c:v>
                </c:pt>
                <c:pt idx="5646">
                  <c:v>2.6962587203407828E-2</c:v>
                </c:pt>
                <c:pt idx="5647">
                  <c:v>2.7109771618208267E-2</c:v>
                </c:pt>
                <c:pt idx="5648">
                  <c:v>2.7256903932330712E-2</c:v>
                </c:pt>
                <c:pt idx="5649">
                  <c:v>2.7403984173434814E-2</c:v>
                </c:pt>
                <c:pt idx="5650">
                  <c:v>2.7551012369159356E-2</c:v>
                </c:pt>
                <c:pt idx="5651">
                  <c:v>2.7697988547125352E-2</c:v>
                </c:pt>
                <c:pt idx="5652">
                  <c:v>2.7844912734932947E-2</c:v>
                </c:pt>
                <c:pt idx="5653">
                  <c:v>2.7284446321789613E-2</c:v>
                </c:pt>
                <c:pt idx="5654">
                  <c:v>2.7431391671875804E-2</c:v>
                </c:pt>
                <c:pt idx="5655">
                  <c:v>2.7578285070274156E-2</c:v>
                </c:pt>
                <c:pt idx="5656">
                  <c:v>2.7018162953154956E-2</c:v>
                </c:pt>
                <c:pt idx="5657">
                  <c:v>2.7165077458095155E-2</c:v>
                </c:pt>
                <c:pt idx="5658">
                  <c:v>2.731194004978299E-2</c:v>
                </c:pt>
                <c:pt idx="5659">
                  <c:v>2.74587507557289E-2</c:v>
                </c:pt>
                <c:pt idx="5660">
                  <c:v>2.7605509603424672E-2</c:v>
                </c:pt>
                <c:pt idx="5661">
                  <c:v>2.7045877224263215E-2</c:v>
                </c:pt>
                <c:pt idx="5662">
                  <c:v>2.7192657144670118E-2</c:v>
                </c:pt>
                <c:pt idx="5663">
                  <c:v>2.7339385245158443E-2</c:v>
                </c:pt>
                <c:pt idx="5664">
                  <c:v>2.7486061553164909E-2</c:v>
                </c:pt>
                <c:pt idx="5665">
                  <c:v>2.7632686096107584E-2</c:v>
                </c:pt>
                <c:pt idx="5666">
                  <c:v>2.777925890138544E-2</c:v>
                </c:pt>
                <c:pt idx="5667">
                  <c:v>2.7925779996377464E-2</c:v>
                </c:pt>
                <c:pt idx="5668">
                  <c:v>2.8072249408443106E-2</c:v>
                </c:pt>
                <c:pt idx="5669">
                  <c:v>2.7513324191903443E-2</c:v>
                </c:pt>
                <c:pt idx="5670">
                  <c:v>2.7659814675369265E-2</c:v>
                </c:pt>
                <c:pt idx="5671">
                  <c:v>2.7806253514031987E-2</c:v>
                </c:pt>
                <c:pt idx="5672">
                  <c:v>2.7952640735198209E-2</c:v>
                </c:pt>
                <c:pt idx="5673">
                  <c:v>2.8098976366154105E-2</c:v>
                </c:pt>
                <c:pt idx="5674">
                  <c:v>2.8245260434167641E-2</c:v>
                </c:pt>
                <c:pt idx="5675">
                  <c:v>2.8391492966486798E-2</c:v>
                </c:pt>
                <c:pt idx="5676">
                  <c:v>2.8537673990340906E-2</c:v>
                </c:pt>
                <c:pt idx="5677">
                  <c:v>2.8683803532939756E-2</c:v>
                </c:pt>
                <c:pt idx="5678">
                  <c:v>2.8125656269361698E-2</c:v>
                </c:pt>
                <c:pt idx="5679">
                  <c:v>2.7567705501915896E-2</c:v>
                </c:pt>
                <c:pt idx="5680">
                  <c:v>2.7009951126856002E-2</c:v>
                </c:pt>
                <c:pt idx="5681">
                  <c:v>2.7156246638959214E-2</c:v>
                </c:pt>
                <c:pt idx="5682">
                  <c:v>2.6598760907039942E-2</c:v>
                </c:pt>
                <c:pt idx="5683">
                  <c:v>2.674507728091946E-2</c:v>
                </c:pt>
                <c:pt idx="5684">
                  <c:v>2.6891342189313328E-2</c:v>
                </c:pt>
                <c:pt idx="5685">
                  <c:v>2.7037555659371826E-2</c:v>
                </c:pt>
                <c:pt idx="5686">
                  <c:v>2.64804828377736E-2</c:v>
                </c:pt>
                <c:pt idx="5687">
                  <c:v>2.6626717125622701E-2</c:v>
                </c:pt>
                <c:pt idx="5688">
                  <c:v>2.6772900013019019E-2</c:v>
                </c:pt>
                <c:pt idx="5689">
                  <c:v>2.6919031527058213E-2</c:v>
                </c:pt>
                <c:pt idx="5690">
                  <c:v>2.6362371006130925E-2</c:v>
                </c:pt>
                <c:pt idx="5691">
                  <c:v>2.6508523294099362E-2</c:v>
                </c:pt>
                <c:pt idx="5692">
                  <c:v>2.665462424652576E-2</c:v>
                </c:pt>
                <c:pt idx="5693">
                  <c:v>2.6800673890452931E-2</c:v>
                </c:pt>
                <c:pt idx="5694">
                  <c:v>2.6946672252903703E-2</c:v>
                </c:pt>
                <c:pt idx="5695">
                  <c:v>2.7092619360882697E-2</c:v>
                </c:pt>
                <c:pt idx="5696">
                  <c:v>2.7238515241375882E-2</c:v>
                </c:pt>
                <c:pt idx="5697">
                  <c:v>2.7384359921349244E-2</c:v>
                </c:pt>
                <c:pt idx="5698">
                  <c:v>2.6828399041785911E-2</c:v>
                </c:pt>
                <c:pt idx="5699">
                  <c:v>2.6974264494753264E-2</c:v>
                </c:pt>
                <c:pt idx="5700">
                  <c:v>2.6418570542090514E-2</c:v>
                </c:pt>
                <c:pt idx="5701">
                  <c:v>2.6564456703035422E-2</c:v>
                </c:pt>
                <c:pt idx="5702">
                  <c:v>2.6710291711749878E-2</c:v>
                </c:pt>
                <c:pt idx="5703">
                  <c:v>2.6856075595132367E-2</c:v>
                </c:pt>
                <c:pt idx="5704">
                  <c:v>2.630079190617618E-2</c:v>
                </c:pt>
                <c:pt idx="5705">
                  <c:v>2.6446596454012816E-2</c:v>
                </c:pt>
                <c:pt idx="5706">
                  <c:v>2.6592349914061231E-2</c:v>
                </c:pt>
                <c:pt idx="5707">
                  <c:v>2.673805231316706E-2</c:v>
                </c:pt>
                <c:pt idx="5708">
                  <c:v>2.6883703678157733E-2</c:v>
                </c:pt>
                <c:pt idx="5709">
                  <c:v>2.7029304035841584E-2</c:v>
                </c:pt>
                <c:pt idx="5710">
                  <c:v>2.7174853413007849E-2</c:v>
                </c:pt>
                <c:pt idx="5711">
                  <c:v>2.7320351836428003E-2</c:v>
                </c:pt>
                <c:pt idx="5712">
                  <c:v>2.6765764331103004E-2</c:v>
                </c:pt>
                <c:pt idx="5713">
                  <c:v>2.6911283418080689E-2</c:v>
                </c:pt>
                <c:pt idx="5714">
                  <c:v>2.7056751588653505E-2</c:v>
                </c:pt>
                <c:pt idx="5715">
                  <c:v>2.7202168869538745E-2</c:v>
                </c:pt>
                <c:pt idx="5716">
                  <c:v>2.734753528743683E-2</c:v>
                </c:pt>
                <c:pt idx="5717">
                  <c:v>2.6793427892983779E-2</c:v>
                </c:pt>
                <c:pt idx="5718">
                  <c:v>2.6938814941675382E-2</c:v>
                </c:pt>
                <c:pt idx="5719">
                  <c:v>2.7084151164620263E-2</c:v>
                </c:pt>
                <c:pt idx="5720">
                  <c:v>2.7229436588466438E-2</c:v>
                </c:pt>
                <c:pt idx="5721">
                  <c:v>2.7374671239841497E-2</c:v>
                </c:pt>
                <c:pt idx="5722">
                  <c:v>2.7519855145357042E-2</c:v>
                </c:pt>
                <c:pt idx="5723">
                  <c:v>2.6966298375272313E-2</c:v>
                </c:pt>
                <c:pt idx="5724">
                  <c:v>2.7111502889424433E-2</c:v>
                </c:pt>
                <c:pt idx="5725">
                  <c:v>2.72566566948238E-2</c:v>
                </c:pt>
                <c:pt idx="5726">
                  <c:v>2.7401759818028282E-2</c:v>
                </c:pt>
                <c:pt idx="5727">
                  <c:v>2.7546812285577982E-2</c:v>
                </c:pt>
                <c:pt idx="5728">
                  <c:v>2.7691814123993908E-2</c:v>
                </c:pt>
                <c:pt idx="5729">
                  <c:v>2.7836765359779303E-2</c:v>
                </c:pt>
                <c:pt idx="5730">
                  <c:v>2.7981666019418316E-2</c:v>
                </c:pt>
                <c:pt idx="5731">
                  <c:v>2.8126516129376444E-2</c:v>
                </c:pt>
                <c:pt idx="5732">
                  <c:v>2.8271315716101419E-2</c:v>
                </c:pt>
                <c:pt idx="5733">
                  <c:v>2.7718593140808601E-2</c:v>
                </c:pt>
                <c:pt idx="5734">
                  <c:v>2.7863413355813549E-2</c:v>
                </c:pt>
                <c:pt idx="5735">
                  <c:v>2.8008183084426985E-2</c:v>
                </c:pt>
                <c:pt idx="5736">
                  <c:v>2.7455795347118617E-2</c:v>
                </c:pt>
                <c:pt idx="5737">
                  <c:v>2.7600585650492615E-2</c:v>
                </c:pt>
                <c:pt idx="5738">
                  <c:v>2.7745325504283436E-2</c:v>
                </c:pt>
                <c:pt idx="5739">
                  <c:v>2.7890014934853991E-2</c:v>
                </c:pt>
                <c:pt idx="5740">
                  <c:v>2.8034653968548984E-2</c:v>
                </c:pt>
                <c:pt idx="5741">
                  <c:v>2.8179242631694024E-2</c:v>
                </c:pt>
                <c:pt idx="5742">
                  <c:v>2.8323780950596955E-2</c:v>
                </c:pt>
                <c:pt idx="5743">
                  <c:v>2.8468268951546971E-2</c:v>
                </c:pt>
                <c:pt idx="5744">
                  <c:v>2.7916570218073034E-2</c:v>
                </c:pt>
                <c:pt idx="5745">
                  <c:v>2.7365063479982243E-2</c:v>
                </c:pt>
                <c:pt idx="5746">
                  <c:v>2.7509642861146322E-2</c:v>
                </c:pt>
                <c:pt idx="5747">
                  <c:v>2.7654171945082684E-2</c:v>
                </c:pt>
                <c:pt idx="5748">
                  <c:v>2.7798650758033006E-2</c:v>
                </c:pt>
                <c:pt idx="5749">
                  <c:v>2.7247548114258446E-2</c:v>
                </c:pt>
                <c:pt idx="5750">
                  <c:v>2.7392047383781204E-2</c:v>
                </c:pt>
                <c:pt idx="5751">
                  <c:v>2.7536496418897993E-2</c:v>
                </c:pt>
                <c:pt idx="5752">
                  <c:v>2.768089524579942E-2</c:v>
                </c:pt>
                <c:pt idx="5753">
                  <c:v>2.7130196106123439E-2</c:v>
                </c:pt>
                <c:pt idx="5754">
                  <c:v>2.7274615346968734E-2</c:v>
                </c:pt>
                <c:pt idx="5755">
                  <c:v>2.672417809337535E-2</c:v>
                </c:pt>
                <c:pt idx="5756">
                  <c:v>2.6868617684955076E-2</c:v>
                </c:pt>
                <c:pt idx="5757">
                  <c:v>2.7013007115190391E-2</c:v>
                </c:pt>
                <c:pt idx="5758">
                  <c:v>2.7157346410207062E-2</c:v>
                </c:pt>
                <c:pt idx="5759">
                  <c:v>2.7301635596112206E-2</c:v>
                </c:pt>
                <c:pt idx="5760">
                  <c:v>2.744587469899562E-2</c:v>
                </c:pt>
                <c:pt idx="5761">
                  <c:v>2.759006374492845E-2</c:v>
                </c:pt>
                <c:pt idx="5762">
                  <c:v>2.7734202759964077E-2</c:v>
                </c:pt>
                <c:pt idx="5763">
                  <c:v>2.7184449619226836E-2</c:v>
                </c:pt>
                <c:pt idx="5764">
                  <c:v>2.663488716636353E-2</c:v>
                </c:pt>
                <c:pt idx="5765">
                  <c:v>2.6779116828101746E-2</c:v>
                </c:pt>
                <c:pt idx="5766">
                  <c:v>2.6923296479555159E-2</c:v>
                </c:pt>
                <c:pt idx="5767">
                  <c:v>2.7067426146729634E-2</c:v>
                </c:pt>
                <c:pt idx="5768">
                  <c:v>2.721150585561416E-2</c:v>
                </c:pt>
                <c:pt idx="5769">
                  <c:v>2.7355535632178629E-2</c:v>
                </c:pt>
                <c:pt idx="5770">
                  <c:v>2.6806514809375237E-2</c:v>
                </c:pt>
                <c:pt idx="5771">
                  <c:v>2.6950564840832136E-2</c:v>
                </c:pt>
                <c:pt idx="5772">
                  <c:v>2.7094564976192448E-2</c:v>
                </c:pt>
                <c:pt idx="5773">
                  <c:v>2.7238515241375882E-2</c:v>
                </c:pt>
                <c:pt idx="5774">
                  <c:v>2.7382415662284387E-2</c:v>
                </c:pt>
                <c:pt idx="5775">
                  <c:v>2.752626626480259E-2</c:v>
                </c:pt>
                <c:pt idx="5776">
                  <c:v>2.7670067074796911E-2</c:v>
                </c:pt>
                <c:pt idx="5777">
                  <c:v>2.7121656844538045E-2</c:v>
                </c:pt>
                <c:pt idx="5778">
                  <c:v>2.726547789809608E-2</c:v>
                </c:pt>
                <c:pt idx="5779">
                  <c:v>2.7409249195192054E-2</c:v>
                </c:pt>
                <c:pt idx="5780">
                  <c:v>2.7552970761642204E-2</c:v>
                </c:pt>
                <c:pt idx="5781">
                  <c:v>2.7696642623245005E-2</c:v>
                </c:pt>
                <c:pt idx="5782">
                  <c:v>2.7840264805780723E-2</c:v>
                </c:pt>
                <c:pt idx="5783">
                  <c:v>2.7983837335012307E-2</c:v>
                </c:pt>
                <c:pt idx="5784">
                  <c:v>2.8127360236684495E-2</c:v>
                </c:pt>
                <c:pt idx="5785">
                  <c:v>2.7579629112816306E-2</c:v>
                </c:pt>
                <c:pt idx="5786">
                  <c:v>2.7723172256786111E-2</c:v>
                </c:pt>
                <c:pt idx="5787">
                  <c:v>2.7866665809066937E-2</c:v>
                </c:pt>
                <c:pt idx="5788">
                  <c:v>2.8010109795353788E-2</c:v>
                </c:pt>
                <c:pt idx="5789">
                  <c:v>2.8153504241324345E-2</c:v>
                </c:pt>
                <c:pt idx="5790">
                  <c:v>2.7606241437831081E-2</c:v>
                </c:pt>
                <c:pt idx="5791">
                  <c:v>2.7749656094308239E-2</c:v>
                </c:pt>
                <c:pt idx="5792">
                  <c:v>2.7893021246244043E-2</c:v>
                </c:pt>
                <c:pt idx="5793">
                  <c:v>2.8036336919266436E-2</c:v>
                </c:pt>
                <c:pt idx="5794">
                  <c:v>2.8179603138985154E-2</c:v>
                </c:pt>
                <c:pt idx="5795">
                  <c:v>2.8322819930993504E-2</c:v>
                </c:pt>
                <c:pt idx="5796">
                  <c:v>2.8465987320865693E-2</c:v>
                </c:pt>
                <c:pt idx="5797">
                  <c:v>2.8609105334159501E-2</c:v>
                </c:pt>
                <c:pt idx="5798">
                  <c:v>2.875217399641361E-2</c:v>
                </c:pt>
                <c:pt idx="5799">
                  <c:v>2.8205657046304289E-2</c:v>
                </c:pt>
                <c:pt idx="5800">
                  <c:v>2.8348745927614605E-2</c:v>
                </c:pt>
                <c:pt idx="5801">
                  <c:v>2.8491785493439892E-2</c:v>
                </c:pt>
                <c:pt idx="5802">
                  <c:v>2.8634775769269538E-2</c:v>
                </c:pt>
                <c:pt idx="5803">
                  <c:v>2.8777716780577389E-2</c:v>
                </c:pt>
                <c:pt idx="5804">
                  <c:v>2.823166607951455E-2</c:v>
                </c:pt>
                <c:pt idx="5805">
                  <c:v>2.8374627278124898E-2</c:v>
                </c:pt>
                <c:pt idx="5806">
                  <c:v>2.8517539247672641E-2</c:v>
                </c:pt>
                <c:pt idx="5807">
                  <c:v>2.7971815337733297E-2</c:v>
                </c:pt>
                <c:pt idx="5808">
                  <c:v>2.8114747442909316E-2</c:v>
                </c:pt>
                <c:pt idx="5809">
                  <c:v>2.756928067281228E-2</c:v>
                </c:pt>
                <c:pt idx="5810">
                  <c:v>2.7712232852051155E-2</c:v>
                </c:pt>
                <c:pt idx="5811">
                  <c:v>2.7167022997167223E-2</c:v>
                </c:pt>
                <c:pt idx="5812">
                  <c:v>2.7309995189016778E-2</c:v>
                </c:pt>
                <c:pt idx="5813">
                  <c:v>2.745291820728335E-2</c:v>
                </c:pt>
                <c:pt idx="5814">
                  <c:v>2.7595792077331982E-2</c:v>
                </c:pt>
                <c:pt idx="5815">
                  <c:v>2.7738616824509954E-2</c:v>
                </c:pt>
                <c:pt idx="5816">
                  <c:v>2.7881392474146338E-2</c:v>
                </c:pt>
                <c:pt idx="5817">
                  <c:v>2.8024119051554219E-2</c:v>
                </c:pt>
                <c:pt idx="5818">
                  <c:v>2.7479511358660336E-2</c:v>
                </c:pt>
                <c:pt idx="5819">
                  <c:v>2.762225793743589E-2</c:v>
                </c:pt>
                <c:pt idx="5820">
                  <c:v>2.7764955479255171E-2</c:v>
                </c:pt>
                <c:pt idx="5821">
                  <c:v>2.7907604009382414E-2</c:v>
                </c:pt>
                <c:pt idx="5822">
                  <c:v>2.805020355306409E-2</c:v>
                </c:pt>
                <c:pt idx="5823">
                  <c:v>2.750605885655899E-2</c:v>
                </c:pt>
                <c:pt idx="5824">
                  <c:v>2.7648678370385316E-2</c:v>
                </c:pt>
                <c:pt idx="5825">
                  <c:v>2.7791248932945933E-2</c:v>
                </c:pt>
                <c:pt idx="5826">
                  <c:v>2.7933770569438021E-2</c:v>
                </c:pt>
                <c:pt idx="5827">
                  <c:v>2.8076243305043214E-2</c:v>
                </c:pt>
                <c:pt idx="5828">
                  <c:v>2.8218667164924049E-2</c:v>
                </c:pt>
                <c:pt idx="5829">
                  <c:v>2.8361042174226636E-2</c:v>
                </c:pt>
                <c:pt idx="5830">
                  <c:v>2.850336835808065E-2</c:v>
                </c:pt>
                <c:pt idx="5831">
                  <c:v>2.8645645741597114E-2</c:v>
                </c:pt>
                <c:pt idx="5832">
                  <c:v>2.8102238422548442E-2</c:v>
                </c:pt>
                <c:pt idx="5833">
                  <c:v>2.7559017361363569E-2</c:v>
                </c:pt>
                <c:pt idx="5834">
                  <c:v>2.7701383421858683E-2</c:v>
                </c:pt>
                <c:pt idx="5835">
                  <c:v>2.7843700701795093E-2</c:v>
                </c:pt>
                <c:pt idx="5836">
                  <c:v>2.798596922623986E-2</c:v>
                </c:pt>
                <c:pt idx="5837">
                  <c:v>2.7443140210515082E-2</c:v>
                </c:pt>
                <c:pt idx="5838">
                  <c:v>2.7585428601987871E-2</c:v>
                </c:pt>
                <c:pt idx="5839">
                  <c:v>2.7727668272901518E-2</c:v>
                </c:pt>
                <c:pt idx="5840">
                  <c:v>2.7869859248276008E-2</c:v>
                </c:pt>
                <c:pt idx="5841">
                  <c:v>2.8012001553113119E-2</c:v>
                </c:pt>
                <c:pt idx="5842">
                  <c:v>2.8154095212397312E-2</c:v>
                </c:pt>
                <c:pt idx="5843">
                  <c:v>2.8296140251096613E-2</c:v>
                </c:pt>
                <c:pt idx="5844">
                  <c:v>2.8438136694161731E-2</c:v>
                </c:pt>
                <c:pt idx="5845">
                  <c:v>2.8580084566526498E-2</c:v>
                </c:pt>
                <c:pt idx="5846">
                  <c:v>2.8037989365063076E-2</c:v>
                </c:pt>
                <c:pt idx="5847">
                  <c:v>2.7496079526978967E-2</c:v>
                </c:pt>
                <c:pt idx="5848">
                  <c:v>2.6954354957215543E-2</c:v>
                </c:pt>
                <c:pt idx="5849">
                  <c:v>2.7096459382348392E-2</c:v>
                </c:pt>
                <c:pt idx="5850">
                  <c:v>2.7238515241375882E-2</c:v>
                </c:pt>
                <c:pt idx="5851">
                  <c:v>2.7380522559190101E-2</c:v>
                </c:pt>
                <c:pt idx="5852">
                  <c:v>2.7522481360668039E-2</c:v>
                </c:pt>
                <c:pt idx="5853">
                  <c:v>2.7664391670668032E-2</c:v>
                </c:pt>
                <c:pt idx="5854">
                  <c:v>2.7806253514031987E-2</c:v>
                </c:pt>
                <c:pt idx="5855">
                  <c:v>2.7948066915584935E-2</c:v>
                </c:pt>
                <c:pt idx="5856">
                  <c:v>2.8089831900135032E-2</c:v>
                </c:pt>
                <c:pt idx="5857">
                  <c:v>2.8231548492473557E-2</c:v>
                </c:pt>
                <c:pt idx="5858">
                  <c:v>2.8373216717374028E-2</c:v>
                </c:pt>
                <c:pt idx="5859">
                  <c:v>2.7832359206657831E-2</c:v>
                </c:pt>
                <c:pt idx="5860">
                  <c:v>2.7974047194922136E-2</c:v>
                </c:pt>
                <c:pt idx="5861">
                  <c:v>2.7433442265571095E-2</c:v>
                </c:pt>
                <c:pt idx="5862">
                  <c:v>2.7575149957273837E-2</c:v>
                </c:pt>
                <c:pt idx="5863">
                  <c:v>2.7716809325808001E-2</c:v>
                </c:pt>
                <c:pt idx="5864">
                  <c:v>2.71765247259248E-2</c:v>
                </c:pt>
                <c:pt idx="5865">
                  <c:v>2.7318203747858316E-2</c:v>
                </c:pt>
                <c:pt idx="5866">
                  <c:v>2.7459834481099676E-2</c:v>
                </c:pt>
                <c:pt idx="5867">
                  <c:v>2.7601416950333135E-2</c:v>
                </c:pt>
                <c:pt idx="5868">
                  <c:v>2.7742951180223852E-2</c:v>
                </c:pt>
                <c:pt idx="5869">
                  <c:v>2.7203122257592138E-2</c:v>
                </c:pt>
                <c:pt idx="5870">
                  <c:v>2.7344676110479416E-2</c:v>
                </c:pt>
                <c:pt idx="5871">
                  <c:v>2.7486181758410666E-2</c:v>
                </c:pt>
                <c:pt idx="5872">
                  <c:v>2.7627639226005307E-2</c:v>
                </c:pt>
                <c:pt idx="5873">
                  <c:v>2.7088197474036679E-2</c:v>
                </c:pt>
                <c:pt idx="5874">
                  <c:v>2.7229674524570591E-2</c:v>
                </c:pt>
                <c:pt idx="5875">
                  <c:v>2.7371103429094212E-2</c:v>
                </c:pt>
                <c:pt idx="5876">
                  <c:v>2.7512484212180333E-2</c:v>
                </c:pt>
                <c:pt idx="5877">
                  <c:v>2.7653816898385308E-2</c:v>
                </c:pt>
                <c:pt idx="5878">
                  <c:v>2.7795101512247733E-2</c:v>
                </c:pt>
                <c:pt idx="5879">
                  <c:v>2.7936338078290657E-2</c:v>
                </c:pt>
                <c:pt idx="5880">
                  <c:v>2.8077526621019366E-2</c:v>
                </c:pt>
                <c:pt idx="5881">
                  <c:v>2.7538741956696811E-2</c:v>
                </c:pt>
                <c:pt idx="5882">
                  <c:v>2.7679950081179072E-2</c:v>
                </c:pt>
                <c:pt idx="5883">
                  <c:v>2.7821110216494027E-2</c:v>
                </c:pt>
                <c:pt idx="5884">
                  <c:v>2.7962222387101221E-2</c:v>
                </c:pt>
                <c:pt idx="5885">
                  <c:v>2.8103286617443324E-2</c:v>
                </c:pt>
                <c:pt idx="5886">
                  <c:v>2.7564955105859212E-2</c:v>
                </c:pt>
                <c:pt idx="5887">
                  <c:v>2.7706038887707507E-2</c:v>
                </c:pt>
                <c:pt idx="5888">
                  <c:v>2.7847074763347912E-2</c:v>
                </c:pt>
                <c:pt idx="5889">
                  <c:v>2.7988062757176912E-2</c:v>
                </c:pt>
                <c:pt idx="5890">
                  <c:v>2.8129002893574118E-2</c:v>
                </c:pt>
                <c:pt idx="5891">
                  <c:v>2.7591123773179849E-2</c:v>
                </c:pt>
                <c:pt idx="5892">
                  <c:v>2.7053427170301791E-2</c:v>
                </c:pt>
                <c:pt idx="5893">
                  <c:v>2.7194454128612211E-2</c:v>
                </c:pt>
                <c:pt idx="5894">
                  <c:v>2.7335433248741658E-2</c:v>
                </c:pt>
                <c:pt idx="5895">
                  <c:v>2.7476364555026223E-2</c:v>
                </c:pt>
                <c:pt idx="5896">
                  <c:v>2.7617248071786893E-2</c:v>
                </c:pt>
                <c:pt idx="5897">
                  <c:v>2.7758083823327784E-2</c:v>
                </c:pt>
                <c:pt idx="5898">
                  <c:v>2.789887183393569E-2</c:v>
                </c:pt>
                <c:pt idx="5899">
                  <c:v>2.7361760916222888E-2</c:v>
                </c:pt>
                <c:pt idx="5900">
                  <c:v>2.7502568368864999E-2</c:v>
                </c:pt>
                <c:pt idx="5901">
                  <c:v>2.696570656606001E-2</c:v>
                </c:pt>
                <c:pt idx="5902">
                  <c:v>2.7106533402076582E-2</c:v>
                </c:pt>
                <c:pt idx="5903">
                  <c:v>2.656992049996143E-2</c:v>
                </c:pt>
                <c:pt idx="5904">
                  <c:v>2.6710766660799301E-2</c:v>
                </c:pt>
                <c:pt idx="5905">
                  <c:v>2.6174402445419354E-2</c:v>
                </c:pt>
                <c:pt idx="5906">
                  <c:v>2.631526787263061E-2</c:v>
                </c:pt>
                <c:pt idx="5907">
                  <c:v>2.6456085621579195E-2</c:v>
                </c:pt>
                <c:pt idx="5908">
                  <c:v>2.6596855716467527E-2</c:v>
                </c:pt>
                <c:pt idx="5909">
                  <c:v>2.6060873732149048E-2</c:v>
                </c:pt>
                <c:pt idx="5910">
                  <c:v>2.5525073067852233E-2</c:v>
                </c:pt>
                <c:pt idx="5911">
                  <c:v>2.5665929193903647E-2</c:v>
                </c:pt>
                <c:pt idx="5912">
                  <c:v>2.5806737685147851E-2</c:v>
                </c:pt>
                <c:pt idx="5913">
                  <c:v>2.5271251735650591E-2</c:v>
                </c:pt>
                <c:pt idx="5914">
                  <c:v>2.5412079337860494E-2</c:v>
                </c:pt>
                <c:pt idx="5915">
                  <c:v>2.5552859339056155E-2</c:v>
                </c:pt>
                <c:pt idx="5916">
                  <c:v>2.5017687741737848E-2</c:v>
                </c:pt>
                <c:pt idx="5917">
                  <c:v>2.5158486805544111E-2</c:v>
                </c:pt>
                <c:pt idx="5918">
                  <c:v>2.462356262642329E-2</c:v>
                </c:pt>
                <c:pt idx="5919">
                  <c:v>2.4764380694956234E-2</c:v>
                </c:pt>
                <c:pt idx="5920">
                  <c:v>2.4905151205884213E-2</c:v>
                </c:pt>
                <c:pt idx="5921">
                  <c:v>2.5045874183294625E-2</c:v>
                </c:pt>
                <c:pt idx="5922">
                  <c:v>2.4511330204940229E-2</c:v>
                </c:pt>
                <c:pt idx="5923">
                  <c:v>2.4652072148603654E-2</c:v>
                </c:pt>
                <c:pt idx="5924">
                  <c:v>2.4117775029849131E-2</c:v>
                </c:pt>
                <c:pt idx="5925">
                  <c:v>2.425853588211524E-2</c:v>
                </c:pt>
                <c:pt idx="5926">
                  <c:v>2.4399249244214882E-2</c:v>
                </c:pt>
                <c:pt idx="5927">
                  <c:v>2.3865265114878742E-2</c:v>
                </c:pt>
                <c:pt idx="5928">
                  <c:v>2.4005997337694041E-2</c:v>
                </c:pt>
                <c:pt idx="5929">
                  <c:v>2.4146682104019046E-2</c:v>
                </c:pt>
                <c:pt idx="5930">
                  <c:v>2.4287319437853672E-2</c:v>
                </c:pt>
                <c:pt idx="5931">
                  <c:v>2.3753714183677221E-2</c:v>
                </c:pt>
                <c:pt idx="5932">
                  <c:v>2.3220288776233389E-2</c:v>
                </c:pt>
                <c:pt idx="5933">
                  <c:v>2.2687043124613115E-2</c:v>
                </c:pt>
                <c:pt idx="5934">
                  <c:v>2.2827831585408909E-2</c:v>
                </c:pt>
                <c:pt idx="5935">
                  <c:v>2.2968572618729866E-2</c:v>
                </c:pt>
                <c:pt idx="5936">
                  <c:v>2.2435638764534804E-2</c:v>
                </c:pt>
                <c:pt idx="5937">
                  <c:v>2.2576398439167811E-2</c:v>
                </c:pt>
                <c:pt idx="5938">
                  <c:v>2.2717110719971068E-2</c:v>
                </c:pt>
                <c:pt idx="5939">
                  <c:v>2.2857775630876986E-2</c:v>
                </c:pt>
                <c:pt idx="5940">
                  <c:v>2.2998393195801103E-2</c:v>
                </c:pt>
                <c:pt idx="5941">
                  <c:v>2.3138963438643856E-2</c:v>
                </c:pt>
                <c:pt idx="5942">
                  <c:v>2.2606538873194637E-2</c:v>
                </c:pt>
                <c:pt idx="5943">
                  <c:v>2.274712773905474E-2</c:v>
                </c:pt>
                <c:pt idx="5944">
                  <c:v>2.2887669316362214E-2</c:v>
                </c:pt>
                <c:pt idx="5945">
                  <c:v>2.3028163628972642E-2</c:v>
                </c:pt>
                <c:pt idx="5946">
                  <c:v>2.2496115744436995E-2</c:v>
                </c:pt>
                <c:pt idx="5947">
                  <c:v>2.2636628642514811E-2</c:v>
                </c:pt>
                <c:pt idx="5948">
                  <c:v>2.2777094309366586E-2</c:v>
                </c:pt>
                <c:pt idx="5949">
                  <c:v>2.224535682862383E-2</c:v>
                </c:pt>
                <c:pt idx="5950">
                  <c:v>2.1713798023109909E-2</c:v>
                </c:pt>
                <c:pt idx="5951">
                  <c:v>2.1182417802782183E-2</c:v>
                </c:pt>
                <c:pt idx="5952">
                  <c:v>2.1323033343361164E-2</c:v>
                </c:pt>
                <c:pt idx="5953">
                  <c:v>2.0791897207856014E-2</c:v>
                </c:pt>
                <c:pt idx="5954">
                  <c:v>2.0932531097916929E-2</c:v>
                </c:pt>
                <c:pt idx="5955">
                  <c:v>2.0401638839282032E-2</c:v>
                </c:pt>
                <c:pt idx="5956">
                  <c:v>2.0542291022493053E-2</c:v>
                </c:pt>
                <c:pt idx="5957">
                  <c:v>2.0011642433029664E-2</c:v>
                </c:pt>
                <c:pt idx="5958">
                  <c:v>2.0152312853159771E-2</c:v>
                </c:pt>
                <c:pt idx="5959">
                  <c:v>2.0292936076370172E-2</c:v>
                </c:pt>
                <c:pt idx="5960">
                  <c:v>1.9762596326342585E-2</c:v>
                </c:pt>
                <c:pt idx="5961">
                  <c:v>1.990323774007452E-2</c:v>
                </c:pt>
                <c:pt idx="5962">
                  <c:v>1.937314117881872E-2</c:v>
                </c:pt>
                <c:pt idx="5963">
                  <c:v>1.9513800727055219E-2</c:v>
                </c:pt>
                <c:pt idx="5964">
                  <c:v>1.9654413121571235E-2</c:v>
                </c:pt>
                <c:pt idx="5965">
                  <c:v>1.9794978386074025E-2</c:v>
                </c:pt>
                <c:pt idx="5966">
                  <c:v>1.9935496544255304E-2</c:v>
                </c:pt>
                <c:pt idx="5967">
                  <c:v>2.0075967619789914E-2</c:v>
                </c:pt>
                <c:pt idx="5968">
                  <c:v>2.0216391636337594E-2</c:v>
                </c:pt>
                <c:pt idx="5969">
                  <c:v>2.0356768617542542E-2</c:v>
                </c:pt>
                <c:pt idx="5970">
                  <c:v>2.0497098587032081E-2</c:v>
                </c:pt>
                <c:pt idx="5971">
                  <c:v>2.0637381568418878E-2</c:v>
                </c:pt>
                <c:pt idx="5972">
                  <c:v>2.0777617585299168E-2</c:v>
                </c:pt>
                <c:pt idx="5973">
                  <c:v>2.0917806661252758E-2</c:v>
                </c:pt>
                <c:pt idx="5974">
                  <c:v>2.105794881984524E-2</c:v>
                </c:pt>
                <c:pt idx="5975">
                  <c:v>2.1198044084625334E-2</c:v>
                </c:pt>
                <c:pt idx="5976">
                  <c:v>2.1338092479126214E-2</c:v>
                </c:pt>
                <c:pt idx="5977">
                  <c:v>2.080908583151464E-2</c:v>
                </c:pt>
                <c:pt idx="5978">
                  <c:v>2.0949152430273621E-2</c:v>
                </c:pt>
                <c:pt idx="5979">
                  <c:v>2.1089172191848693E-2</c:v>
                </c:pt>
                <c:pt idx="5980">
                  <c:v>2.0560472455008139E-2</c:v>
                </c:pt>
                <c:pt idx="5981">
                  <c:v>2.0700510374773273E-2</c:v>
                </c:pt>
                <c:pt idx="5982">
                  <c:v>2.0840501490420937E-2</c:v>
                </c:pt>
                <c:pt idx="5983">
                  <c:v>2.0980445825411476E-2</c:v>
                </c:pt>
                <c:pt idx="5984">
                  <c:v>2.1120343403190578E-2</c:v>
                </c:pt>
                <c:pt idx="5985">
                  <c:v>2.1260194247187059E-2</c:v>
                </c:pt>
                <c:pt idx="5986">
                  <c:v>2.1399998380814633E-2</c:v>
                </c:pt>
                <c:pt idx="5987">
                  <c:v>2.1539755827471918E-2</c:v>
                </c:pt>
                <c:pt idx="5988">
                  <c:v>2.1679466610540654E-2</c:v>
                </c:pt>
                <c:pt idx="5989">
                  <c:v>2.1819130753388372E-2</c:v>
                </c:pt>
                <c:pt idx="5990">
                  <c:v>2.1958748279365725E-2</c:v>
                </c:pt>
                <c:pt idx="5991">
                  <c:v>2.2098319211808715E-2</c:v>
                </c:pt>
                <c:pt idx="5992">
                  <c:v>2.2237843574037353E-2</c:v>
                </c:pt>
                <c:pt idx="5993">
                  <c:v>2.2377321389356108E-2</c:v>
                </c:pt>
                <c:pt idx="5994">
                  <c:v>2.2516752681053909E-2</c:v>
                </c:pt>
                <c:pt idx="5995">
                  <c:v>2.2656137472404581E-2</c:v>
                </c:pt>
                <c:pt idx="5996">
                  <c:v>2.279547578666552E-2</c:v>
                </c:pt>
                <c:pt idx="5997">
                  <c:v>2.2934767647079912E-2</c:v>
                </c:pt>
                <c:pt idx="5998">
                  <c:v>2.3074013076873623E-2</c:v>
                </c:pt>
                <c:pt idx="5999">
                  <c:v>2.3213212099258751E-2</c:v>
                </c:pt>
                <c:pt idx="6000">
                  <c:v>2.3352364737430964E-2</c:v>
                </c:pt>
                <c:pt idx="6001">
                  <c:v>2.3491471014571275E-2</c:v>
                </c:pt>
                <c:pt idx="6002">
                  <c:v>2.3630530953844264E-2</c:v>
                </c:pt>
                <c:pt idx="6003">
                  <c:v>2.3769544578399859E-2</c:v>
                </c:pt>
                <c:pt idx="6004">
                  <c:v>2.3908511911372443E-2</c:v>
                </c:pt>
                <c:pt idx="6005">
                  <c:v>2.3381543180641451E-2</c:v>
                </c:pt>
                <c:pt idx="6006">
                  <c:v>2.2854749872257329E-2</c:v>
                </c:pt>
                <c:pt idx="6007">
                  <c:v>2.2328131898640802E-2</c:v>
                </c:pt>
                <c:pt idx="6008">
                  <c:v>2.2467246576596267E-2</c:v>
                </c:pt>
                <c:pt idx="6009">
                  <c:v>2.2606314967851038E-2</c:v>
                </c:pt>
                <c:pt idx="6010">
                  <c:v>2.2745337095503082E-2</c:v>
                </c:pt>
                <c:pt idx="6011">
                  <c:v>2.2884312982633492E-2</c:v>
                </c:pt>
                <c:pt idx="6012">
                  <c:v>2.3023242652308706E-2</c:v>
                </c:pt>
                <c:pt idx="6013">
                  <c:v>2.3162126127580063E-2</c:v>
                </c:pt>
                <c:pt idx="6014">
                  <c:v>2.3300963431483357E-2</c:v>
                </c:pt>
                <c:pt idx="6015">
                  <c:v>2.3439754587039285E-2</c:v>
                </c:pt>
                <c:pt idx="6016">
                  <c:v>2.3578499617252557E-2</c:v>
                </c:pt>
                <c:pt idx="6017">
                  <c:v>2.3717198545113227E-2</c:v>
                </c:pt>
                <c:pt idx="6018">
                  <c:v>2.3855851393595806E-2</c:v>
                </c:pt>
                <c:pt idx="6019">
                  <c:v>2.3994458185659262E-2</c:v>
                </c:pt>
                <c:pt idx="6020">
                  <c:v>2.4133018944248796E-2</c:v>
                </c:pt>
                <c:pt idx="6021">
                  <c:v>2.4271533692292291E-2</c:v>
                </c:pt>
                <c:pt idx="6022">
                  <c:v>2.374599182853343E-2</c:v>
                </c:pt>
                <c:pt idx="6023">
                  <c:v>2.388452483344361E-2</c:v>
                </c:pt>
                <c:pt idx="6024">
                  <c:v>2.4023011859924726E-2</c:v>
                </c:pt>
                <c:pt idx="6025">
                  <c:v>2.4161452930863803E-2</c:v>
                </c:pt>
                <c:pt idx="6026">
                  <c:v>2.3636278062496352E-2</c:v>
                </c:pt>
                <c:pt idx="6027">
                  <c:v>2.3774737353978725E-2</c:v>
                </c:pt>
                <c:pt idx="6028">
                  <c:v>2.3913150721981413E-2</c:v>
                </c:pt>
                <c:pt idx="6029">
                  <c:v>2.3388278262304496E-2</c:v>
                </c:pt>
                <c:pt idx="6030">
                  <c:v>2.3526709805432144E-2</c:v>
                </c:pt>
                <c:pt idx="6031">
                  <c:v>2.366509545711537E-2</c:v>
                </c:pt>
                <c:pt idx="6032">
                  <c:v>2.380343524017059E-2</c:v>
                </c:pt>
                <c:pt idx="6033">
                  <c:v>2.394172917739823E-2</c:v>
                </c:pt>
                <c:pt idx="6034">
                  <c:v>2.4079977291585397E-2</c:v>
                </c:pt>
                <c:pt idx="6035">
                  <c:v>2.4218179605502765E-2</c:v>
                </c:pt>
                <c:pt idx="6036">
                  <c:v>2.435633614190591E-2</c:v>
                </c:pt>
                <c:pt idx="6037">
                  <c:v>2.4494446923537083E-2</c:v>
                </c:pt>
                <c:pt idx="6038">
                  <c:v>2.3970260317491832E-2</c:v>
                </c:pt>
                <c:pt idx="6039">
                  <c:v>2.4108389283903353E-2</c:v>
                </c:pt>
                <c:pt idx="6040">
                  <c:v>2.4246472527386764E-2</c:v>
                </c:pt>
                <c:pt idx="6041">
                  <c:v>2.3722587184656696E-2</c:v>
                </c:pt>
                <c:pt idx="6042">
                  <c:v>2.3860688567718391E-2</c:v>
                </c:pt>
                <c:pt idx="6043">
                  <c:v>2.3998744259669191E-2</c:v>
                </c:pt>
                <c:pt idx="6044">
                  <c:v>2.3475159840574022E-2</c:v>
                </c:pt>
                <c:pt idx="6045">
                  <c:v>2.3613233627008512E-2</c:v>
                </c:pt>
                <c:pt idx="6046">
                  <c:v>2.3751261754122233E-2</c:v>
                </c:pt>
                <c:pt idx="6047">
                  <c:v>2.3889244244559737E-2</c:v>
                </c:pt>
                <c:pt idx="6048">
                  <c:v>2.402718112095048E-2</c:v>
                </c:pt>
                <c:pt idx="6049">
                  <c:v>2.4165072405910148E-2</c:v>
                </c:pt>
                <c:pt idx="6050">
                  <c:v>2.4302918122037553E-2</c:v>
                </c:pt>
                <c:pt idx="6051">
                  <c:v>2.4440718291918628E-2</c:v>
                </c:pt>
                <c:pt idx="6052">
                  <c:v>2.4578472938122431E-2</c:v>
                </c:pt>
                <c:pt idx="6053">
                  <c:v>2.4716182083204252E-2</c:v>
                </c:pt>
                <c:pt idx="6054">
                  <c:v>2.4853845749704728E-2</c:v>
                </c:pt>
                <c:pt idx="6055">
                  <c:v>2.4331071026353346E-2</c:v>
                </c:pt>
                <c:pt idx="6056">
                  <c:v>2.3808468892874579E-2</c:v>
                </c:pt>
                <c:pt idx="6057">
                  <c:v>2.328603926381323E-2</c:v>
                </c:pt>
                <c:pt idx="6058">
                  <c:v>2.3423848060371899E-2</c:v>
                </c:pt>
                <c:pt idx="6059">
                  <c:v>2.3561611382983738E-2</c:v>
                </c:pt>
                <c:pt idx="6060">
                  <c:v>2.303948101924691E-2</c:v>
                </c:pt>
                <c:pt idx="6061">
                  <c:v>2.3177262293433198E-2</c:v>
                </c:pt>
                <c:pt idx="6062">
                  <c:v>2.265536751838626E-2</c:v>
                </c:pt>
                <c:pt idx="6063">
                  <c:v>2.2793166690503686E-2</c:v>
                </c:pt>
                <c:pt idx="6064">
                  <c:v>2.293092042932976E-2</c:v>
                </c:pt>
                <c:pt idx="6065">
                  <c:v>2.3068628757330512E-2</c:v>
                </c:pt>
                <c:pt idx="6066">
                  <c:v>2.3206291696956871E-2</c:v>
                </c:pt>
                <c:pt idx="6067">
                  <c:v>2.3343909270645113E-2</c:v>
                </c:pt>
                <c:pt idx="6068">
                  <c:v>2.3481481500816415E-2</c:v>
                </c:pt>
                <c:pt idx="6069">
                  <c:v>2.3619008409877296E-2</c:v>
                </c:pt>
                <c:pt idx="6070">
                  <c:v>2.3756490020220067E-2</c:v>
                </c:pt>
                <c:pt idx="6071">
                  <c:v>2.3893926354221495E-2</c:v>
                </c:pt>
                <c:pt idx="6072">
                  <c:v>2.4031317434243693E-2</c:v>
                </c:pt>
                <c:pt idx="6073">
                  <c:v>2.4168663282635006E-2</c:v>
                </c:pt>
                <c:pt idx="6074">
                  <c:v>2.4305963921727791E-2</c:v>
                </c:pt>
                <c:pt idx="6075">
                  <c:v>2.4443219373840197E-2</c:v>
                </c:pt>
                <c:pt idx="6076">
                  <c:v>2.458042966127616E-2</c:v>
                </c:pt>
                <c:pt idx="6077">
                  <c:v>2.4717594806324517E-2</c:v>
                </c:pt>
                <c:pt idx="6078">
                  <c:v>2.485471483125945E-2</c:v>
                </c:pt>
                <c:pt idx="6079">
                  <c:v>2.4334003210075394E-2</c:v>
                </c:pt>
                <c:pt idx="6080">
                  <c:v>2.4471141214547742E-2</c:v>
                </c:pt>
                <c:pt idx="6081">
                  <c:v>2.460823413008173E-2</c:v>
                </c:pt>
                <c:pt idx="6082">
                  <c:v>2.4745281978911571E-2</c:v>
                </c:pt>
                <c:pt idx="6083">
                  <c:v>2.4882284783255493E-2</c:v>
                </c:pt>
                <c:pt idx="6084">
                  <c:v>2.4361996426637944E-2</c:v>
                </c:pt>
                <c:pt idx="6085">
                  <c:v>2.4499017183987171E-2</c:v>
                </c:pt>
                <c:pt idx="6086">
                  <c:v>2.4635992927946493E-2</c:v>
                </c:pt>
                <c:pt idx="6087">
                  <c:v>2.4116001361758954E-2</c:v>
                </c:pt>
                <c:pt idx="6088">
                  <c:v>2.4252995014476308E-2</c:v>
                </c:pt>
                <c:pt idx="6089">
                  <c:v>2.438994368487446E-2</c:v>
                </c:pt>
                <c:pt idx="6090">
                  <c:v>2.4526847395105023E-2</c:v>
                </c:pt>
                <c:pt idx="6091">
                  <c:v>2.4663706167305399E-2</c:v>
                </c:pt>
                <c:pt idx="6092">
                  <c:v>2.4800520023597006E-2</c:v>
                </c:pt>
                <c:pt idx="6093">
                  <c:v>2.4937288986088824E-2</c:v>
                </c:pt>
                <c:pt idx="6094">
                  <c:v>2.5074013076873403E-2</c:v>
                </c:pt>
                <c:pt idx="6095">
                  <c:v>2.5210692318030414E-2</c:v>
                </c:pt>
                <c:pt idx="6096">
                  <c:v>2.4691373960223473E-2</c:v>
                </c:pt>
                <c:pt idx="6097">
                  <c:v>2.4828071119175732E-2</c:v>
                </c:pt>
                <c:pt idx="6098">
                  <c:v>2.4964723459387272E-2</c:v>
                </c:pt>
                <c:pt idx="6099">
                  <c:v>2.5101331002896465E-2</c:v>
                </c:pt>
                <c:pt idx="6100">
                  <c:v>2.5237893771727915E-2</c:v>
                </c:pt>
                <c:pt idx="6101">
                  <c:v>2.5374411787889795E-2</c:v>
                </c:pt>
                <c:pt idx="6102">
                  <c:v>2.5510885073378731E-2</c:v>
                </c:pt>
                <c:pt idx="6103">
                  <c:v>2.5647313650174031E-2</c:v>
                </c:pt>
                <c:pt idx="6104">
                  <c:v>2.5783697540243011E-2</c:v>
                </c:pt>
                <c:pt idx="6105">
                  <c:v>2.5920036765537002E-2</c:v>
                </c:pt>
                <c:pt idx="6106">
                  <c:v>2.6056331347993567E-2</c:v>
                </c:pt>
                <c:pt idx="6107">
                  <c:v>2.6192581309535612E-2</c:v>
                </c:pt>
                <c:pt idx="6108">
                  <c:v>2.6328786672072724E-2</c:v>
                </c:pt>
                <c:pt idx="6109">
                  <c:v>2.5810390101910219E-2</c:v>
                </c:pt>
                <c:pt idx="6110">
                  <c:v>2.529216316413363E-2</c:v>
                </c:pt>
                <c:pt idx="6111">
                  <c:v>2.5428448978503937E-2</c:v>
                </c:pt>
                <c:pt idx="6112">
                  <c:v>2.5564690211318908E-2</c:v>
                </c:pt>
                <c:pt idx="6113">
                  <c:v>2.5046757693935273E-2</c:v>
                </c:pt>
                <c:pt idx="6114">
                  <c:v>2.5183016782999612E-2</c:v>
                </c:pt>
                <c:pt idx="6115">
                  <c:v>2.4665316003144699E-2</c:v>
                </c:pt>
                <c:pt idx="6116">
                  <c:v>2.4147784461857835E-2</c:v>
                </c:pt>
                <c:pt idx="6117">
                  <c:v>2.3630422076165392E-2</c:v>
                </c:pt>
                <c:pt idx="6118">
                  <c:v>2.3766823534389747E-2</c:v>
                </c:pt>
                <c:pt idx="6119">
                  <c:v>2.3903180424257098E-2</c:v>
                </c:pt>
                <c:pt idx="6120">
                  <c:v>2.4039492767606419E-2</c:v>
                </c:pt>
                <c:pt idx="6121">
                  <c:v>2.417576058626425E-2</c:v>
                </c:pt>
                <c:pt idx="6122">
                  <c:v>2.4311983902042478E-2</c:v>
                </c:pt>
                <c:pt idx="6123">
                  <c:v>2.4448162736737444E-2</c:v>
                </c:pt>
                <c:pt idx="6124">
                  <c:v>2.3931342492478969E-2</c:v>
                </c:pt>
                <c:pt idx="6125">
                  <c:v>2.4067539000381721E-2</c:v>
                </c:pt>
                <c:pt idx="6126">
                  <c:v>2.4203691057726573E-2</c:v>
                </c:pt>
                <c:pt idx="6127">
                  <c:v>2.4339798686271674E-2</c:v>
                </c:pt>
                <c:pt idx="6128">
                  <c:v>2.3823333359636045E-2</c:v>
                </c:pt>
                <c:pt idx="6129">
                  <c:v>2.3959458626810815E-2</c:v>
                </c:pt>
                <c:pt idx="6130">
                  <c:v>2.4095539495660123E-2</c:v>
                </c:pt>
                <c:pt idx="6131">
                  <c:v>2.4231575987901266E-2</c:v>
                </c:pt>
                <c:pt idx="6132">
                  <c:v>2.4367568125237771E-2</c:v>
                </c:pt>
                <c:pt idx="6133">
                  <c:v>2.4503515929359398E-2</c:v>
                </c:pt>
                <c:pt idx="6134">
                  <c:v>2.4639419421940811E-2</c:v>
                </c:pt>
                <c:pt idx="6135">
                  <c:v>2.4775278624643793E-2</c:v>
                </c:pt>
                <c:pt idx="6136">
                  <c:v>2.4911093559115471E-2</c:v>
                </c:pt>
                <c:pt idx="6137">
                  <c:v>2.5046864246988321E-2</c:v>
                </c:pt>
                <c:pt idx="6138">
                  <c:v>2.5182590709881048E-2</c:v>
                </c:pt>
                <c:pt idx="6139">
                  <c:v>2.5318272969399036E-2</c:v>
                </c:pt>
                <c:pt idx="6140">
                  <c:v>2.5453911047133015E-2</c:v>
                </c:pt>
                <c:pt idx="6141">
                  <c:v>2.558950496465906E-2</c:v>
                </c:pt>
                <c:pt idx="6142">
                  <c:v>2.5725054743540365E-2</c:v>
                </c:pt>
                <c:pt idx="6143">
                  <c:v>2.5860560405325028E-2</c:v>
                </c:pt>
                <c:pt idx="6144">
                  <c:v>2.5996021971547378E-2</c:v>
                </c:pt>
                <c:pt idx="6145">
                  <c:v>2.6131439463728867E-2</c:v>
                </c:pt>
                <c:pt idx="6146">
                  <c:v>2.5616194816192372E-2</c:v>
                </c:pt>
                <c:pt idx="6147">
                  <c:v>2.5751630033560069E-2</c:v>
                </c:pt>
                <c:pt idx="6148">
                  <c:v>2.5887021206954852E-2</c:v>
                </c:pt>
                <c:pt idx="6149">
                  <c:v>2.6022368357857761E-2</c:v>
                </c:pt>
                <c:pt idx="6150">
                  <c:v>2.6157671507736069E-2</c:v>
                </c:pt>
                <c:pt idx="6151">
                  <c:v>2.5642841290753005E-2</c:v>
                </c:pt>
                <c:pt idx="6152">
                  <c:v>2.5778162139813432E-2</c:v>
                </c:pt>
                <c:pt idx="6153">
                  <c:v>2.5263560869995594E-2</c:v>
                </c:pt>
                <c:pt idx="6154">
                  <c:v>2.5398899366672278E-2</c:v>
                </c:pt>
                <c:pt idx="6155">
                  <c:v>2.5534193900867752E-2</c:v>
                </c:pt>
                <c:pt idx="6156">
                  <c:v>2.5669444494000437E-2</c:v>
                </c:pt>
                <c:pt idx="6157">
                  <c:v>2.5155195086940196E-2</c:v>
                </c:pt>
                <c:pt idx="6158">
                  <c:v>2.5290463293323739E-2</c:v>
                </c:pt>
                <c:pt idx="6159">
                  <c:v>2.5425687588587209E-2</c:v>
                </c:pt>
                <c:pt idx="6160">
                  <c:v>2.5560867994108172E-2</c:v>
                </c:pt>
                <c:pt idx="6161">
                  <c:v>2.5696004531251759E-2</c:v>
                </c:pt>
                <c:pt idx="6162">
                  <c:v>2.5831097221368449E-2</c:v>
                </c:pt>
                <c:pt idx="6163">
                  <c:v>2.596614608579495E-2</c:v>
                </c:pt>
                <c:pt idx="6164">
                  <c:v>2.6101151145853763E-2</c:v>
                </c:pt>
                <c:pt idx="6165">
                  <c:v>2.5587498834400257E-2</c:v>
                </c:pt>
                <c:pt idx="6166">
                  <c:v>2.5722521507482998E-2</c:v>
                </c:pt>
                <c:pt idx="6167">
                  <c:v>2.585750040599244E-2</c:v>
                </c:pt>
                <c:pt idx="6168">
                  <c:v>2.5992435551211557E-2</c:v>
                </c:pt>
                <c:pt idx="6169">
                  <c:v>2.6127326964412223E-2</c:v>
                </c:pt>
                <c:pt idx="6170">
                  <c:v>2.5614086526862589E-2</c:v>
                </c:pt>
                <c:pt idx="6171">
                  <c:v>2.574899552733001E-2</c:v>
                </c:pt>
                <c:pt idx="6172">
                  <c:v>2.5883860825496985E-2</c:v>
                </c:pt>
                <c:pt idx="6173">
                  <c:v>2.601868244259542E-2</c:v>
                </c:pt>
                <c:pt idx="6174">
                  <c:v>2.6153460399844342E-2</c:v>
                </c:pt>
                <c:pt idx="6175">
                  <c:v>2.6288194718447233E-2</c:v>
                </c:pt>
                <c:pt idx="6176">
                  <c:v>2.6422885419595143E-2</c:v>
                </c:pt>
                <c:pt idx="6177">
                  <c:v>2.5910178583697707E-2</c:v>
                </c:pt>
                <c:pt idx="6178">
                  <c:v>2.6044886863281214E-2</c:v>
                </c:pt>
                <c:pt idx="6179">
                  <c:v>2.617955155500562E-2</c:v>
                </c:pt>
                <c:pt idx="6180">
                  <c:v>2.6314172680022452E-2</c:v>
                </c:pt>
                <c:pt idx="6181">
                  <c:v>2.580181511471924E-2</c:v>
                </c:pt>
                <c:pt idx="6182">
                  <c:v>2.5936453784074942E-2</c:v>
                </c:pt>
                <c:pt idx="6183">
                  <c:v>2.6071048916270101E-2</c:v>
                </c:pt>
                <c:pt idx="6184">
                  <c:v>2.6205600532418494E-2</c:v>
                </c:pt>
                <c:pt idx="6185">
                  <c:v>2.6340108653620575E-2</c:v>
                </c:pt>
                <c:pt idx="6186">
                  <c:v>2.6474573300963034E-2</c:v>
                </c:pt>
                <c:pt idx="6187">
                  <c:v>2.5962686529773737E-2</c:v>
                </c:pt>
                <c:pt idx="6188">
                  <c:v>2.609716870422929E-2</c:v>
                </c:pt>
                <c:pt idx="6189">
                  <c:v>2.6231607434274107E-2</c:v>
                </c:pt>
                <c:pt idx="6190">
                  <c:v>2.636600274095624E-2</c:v>
                </c:pt>
                <c:pt idx="6191">
                  <c:v>2.6500354645310864E-2</c:v>
                </c:pt>
                <c:pt idx="6192">
                  <c:v>2.5988876923606963E-2</c:v>
                </c:pt>
                <c:pt idx="6193">
                  <c:v>2.6123246329496475E-2</c:v>
                </c:pt>
                <c:pt idx="6194">
                  <c:v>2.625757236243409E-2</c:v>
                </c:pt>
                <c:pt idx="6195">
                  <c:v>2.6391855043416346E-2</c:v>
                </c:pt>
                <c:pt idx="6196">
                  <c:v>2.6526094393427346E-2</c:v>
                </c:pt>
                <c:pt idx="6197">
                  <c:v>2.666029043343654E-2</c:v>
                </c:pt>
                <c:pt idx="6198">
                  <c:v>2.6149281894078058E-2</c:v>
                </c:pt>
                <c:pt idx="6199">
                  <c:v>2.6283495418431446E-2</c:v>
                </c:pt>
                <c:pt idx="6200">
                  <c:v>2.6417665662060941E-2</c:v>
                </c:pt>
                <c:pt idx="6201">
                  <c:v>2.655179264589913E-2</c:v>
                </c:pt>
                <c:pt idx="6202">
                  <c:v>2.6685876390864394E-2</c:v>
                </c:pt>
                <c:pt idx="6203">
                  <c:v>2.6819916917861786E-2</c:v>
                </c:pt>
                <c:pt idx="6204">
                  <c:v>2.6309376703471443E-2</c:v>
                </c:pt>
                <c:pt idx="6205">
                  <c:v>2.6443434697624113E-2</c:v>
                </c:pt>
                <c:pt idx="6206">
                  <c:v>2.6577449502990458E-2</c:v>
                </c:pt>
                <c:pt idx="6207">
                  <c:v>2.6711421140437341E-2</c:v>
                </c:pt>
                <c:pt idx="6208">
                  <c:v>2.6845349630818749E-2</c:v>
                </c:pt>
                <c:pt idx="6209">
                  <c:v>2.6335216318434274E-2</c:v>
                </c:pt>
                <c:pt idx="6210">
                  <c:v>2.6469162250515765E-2</c:v>
                </c:pt>
                <c:pt idx="6211">
                  <c:v>2.6603065064640941E-2</c:v>
                </c:pt>
                <c:pt idx="6212">
                  <c:v>2.6736924781626481E-2</c:v>
                </c:pt>
                <c:pt idx="6213">
                  <c:v>2.6870741422274413E-2</c:v>
                </c:pt>
                <c:pt idx="6214">
                  <c:v>2.7004515007375662E-2</c:v>
                </c:pt>
                <c:pt idx="6215">
                  <c:v>2.6494848420822947E-2</c:v>
                </c:pt>
                <c:pt idx="6216">
                  <c:v>2.6628639430470447E-2</c:v>
                </c:pt>
                <c:pt idx="6217">
                  <c:v>2.6119197190074939E-2</c:v>
                </c:pt>
                <c:pt idx="6218">
                  <c:v>2.6253005574194077E-2</c:v>
                </c:pt>
                <c:pt idx="6219">
                  <c:v>2.6386770940025173E-2</c:v>
                </c:pt>
                <c:pt idx="6220">
                  <c:v>2.65204933083103E-2</c:v>
                </c:pt>
                <c:pt idx="6221">
                  <c:v>2.601139590402024E-2</c:v>
                </c:pt>
                <c:pt idx="6222">
                  <c:v>2.6145135613291792E-2</c:v>
                </c:pt>
                <c:pt idx="6223">
                  <c:v>2.6278832353981763E-2</c:v>
                </c:pt>
                <c:pt idx="6224">
                  <c:v>2.5770019073232842E-2</c:v>
                </c:pt>
                <c:pt idx="6225">
                  <c:v>2.5903733113274097E-2</c:v>
                </c:pt>
                <c:pt idx="6226">
                  <c:v>2.539514345580729E-2</c:v>
                </c:pt>
                <c:pt idx="6227">
                  <c:v>2.5528874745412988E-2</c:v>
                </c:pt>
                <c:pt idx="6228">
                  <c:v>2.5662563103626024E-2</c:v>
                </c:pt>
                <c:pt idx="6229">
                  <c:v>2.5154257018455972E-2</c:v>
                </c:pt>
                <c:pt idx="6230">
                  <c:v>2.5287962584789714E-2</c:v>
                </c:pt>
                <c:pt idx="6231">
                  <c:v>2.5421625248647661E-2</c:v>
                </c:pt>
                <c:pt idx="6232">
                  <c:v>2.5555245030675078E-2</c:v>
                </c:pt>
                <c:pt idx="6233">
                  <c:v>2.5688821951506124E-2</c:v>
                </c:pt>
                <c:pt idx="6234">
                  <c:v>2.5822356031758975E-2</c:v>
                </c:pt>
                <c:pt idx="6235">
                  <c:v>2.5314513317373777E-2</c:v>
                </c:pt>
                <c:pt idx="6236">
                  <c:v>2.4806833425275787E-2</c:v>
                </c:pt>
                <c:pt idx="6237">
                  <c:v>2.4940444663132055E-2</c:v>
                </c:pt>
                <c:pt idx="6238">
                  <c:v>2.5074013076873403E-2</c:v>
                </c:pt>
                <c:pt idx="6239">
                  <c:v>2.4566615758067734E-2</c:v>
                </c:pt>
                <c:pt idx="6240">
                  <c:v>2.4700201264420407E-2</c:v>
                </c:pt>
                <c:pt idx="6241">
                  <c:v>2.4193026371763793E-2</c:v>
                </c:pt>
                <c:pt idx="6242">
                  <c:v>2.4326628921417459E-2</c:v>
                </c:pt>
                <c:pt idx="6243">
                  <c:v>2.4460188684026107E-2</c:v>
                </c:pt>
                <c:pt idx="6244">
                  <c:v>2.4593705680139522E-2</c:v>
                </c:pt>
                <c:pt idx="6245">
                  <c:v>2.4727179930296384E-2</c:v>
                </c:pt>
                <c:pt idx="6246">
                  <c:v>2.4860611455021164E-2</c:v>
                </c:pt>
                <c:pt idx="6247">
                  <c:v>2.4994000274825012E-2</c:v>
                </c:pt>
                <c:pt idx="6248">
                  <c:v>2.5127346410207085E-2</c:v>
                </c:pt>
                <c:pt idx="6249">
                  <c:v>2.5260649881651442E-2</c:v>
                </c:pt>
                <c:pt idx="6250">
                  <c:v>2.539391070963104E-2</c:v>
                </c:pt>
                <c:pt idx="6251">
                  <c:v>2.5527128914604624E-2</c:v>
                </c:pt>
                <c:pt idx="6252">
                  <c:v>2.5660304517018506E-2</c:v>
                </c:pt>
                <c:pt idx="6253">
                  <c:v>2.579343753730523E-2</c:v>
                </c:pt>
                <c:pt idx="6254">
                  <c:v>2.5926527995884463E-2</c:v>
                </c:pt>
                <c:pt idx="6255">
                  <c:v>2.542029191124584E-2</c:v>
                </c:pt>
                <c:pt idx="6256">
                  <c:v>2.5553399462300064E-2</c:v>
                </c:pt>
                <c:pt idx="6257">
                  <c:v>2.5047384754990354E-2</c:v>
                </c:pt>
                <c:pt idx="6258">
                  <c:v>2.518050934950411E-2</c:v>
                </c:pt>
                <c:pt idx="6259">
                  <c:v>2.5313591418991255E-2</c:v>
                </c:pt>
                <c:pt idx="6260">
                  <c:v>2.5446630983825713E-2</c:v>
                </c:pt>
                <c:pt idx="6261">
                  <c:v>2.5579628064366311E-2</c:v>
                </c:pt>
                <c:pt idx="6262">
                  <c:v>2.5712582680960328E-2</c:v>
                </c:pt>
                <c:pt idx="6263">
                  <c:v>2.584549485394172E-2</c:v>
                </c:pt>
                <c:pt idx="6264">
                  <c:v>2.5978364603631565E-2</c:v>
                </c:pt>
                <c:pt idx="6265">
                  <c:v>2.611119195033762E-2</c:v>
                </c:pt>
                <c:pt idx="6266">
                  <c:v>2.6243976914354761E-2</c:v>
                </c:pt>
                <c:pt idx="6267">
                  <c:v>2.637671951596543E-2</c:v>
                </c:pt>
                <c:pt idx="6268">
                  <c:v>2.5871461242742644E-2</c:v>
                </c:pt>
                <c:pt idx="6269">
                  <c:v>2.5366364110733119E-2</c:v>
                </c:pt>
                <c:pt idx="6270">
                  <c:v>2.4861428042859846E-2</c:v>
                </c:pt>
                <c:pt idx="6271">
                  <c:v>2.4994306397454036E-2</c:v>
                </c:pt>
                <c:pt idx="6272">
                  <c:v>2.5127142393630564E-2</c:v>
                </c:pt>
                <c:pt idx="6273">
                  <c:v>2.4622485852437759E-2</c:v>
                </c:pt>
                <c:pt idx="6274">
                  <c:v>2.4755338762023182E-2</c:v>
                </c:pt>
                <c:pt idx="6275">
                  <c:v>2.4888149341543375E-2</c:v>
                </c:pt>
                <c:pt idx="6276">
                  <c:v>2.5020917611226157E-2</c:v>
                </c:pt>
                <c:pt idx="6277">
                  <c:v>2.5153643591286468E-2</c:v>
                </c:pt>
                <c:pt idx="6278">
                  <c:v>2.5286327301926814E-2</c:v>
                </c:pt>
                <c:pt idx="6279">
                  <c:v>2.5418968763335492E-2</c:v>
                </c:pt>
                <c:pt idx="6280">
                  <c:v>2.5551567995689251E-2</c:v>
                </c:pt>
                <c:pt idx="6281">
                  <c:v>2.5684125019151516E-2</c:v>
                </c:pt>
                <c:pt idx="6282">
                  <c:v>2.581663985387328E-2</c:v>
                </c:pt>
                <c:pt idx="6283">
                  <c:v>2.5949112519992212E-2</c:v>
                </c:pt>
                <c:pt idx="6284">
                  <c:v>2.5445208325574509E-2</c:v>
                </c:pt>
                <c:pt idx="6285">
                  <c:v>2.557769792921416E-2</c:v>
                </c:pt>
                <c:pt idx="6286">
                  <c:v>2.5710145392395134E-2</c:v>
                </c:pt>
                <c:pt idx="6287">
                  <c:v>2.5842550735218683E-2</c:v>
                </c:pt>
                <c:pt idx="6288">
                  <c:v>2.5974913977774516E-2</c:v>
                </c:pt>
                <c:pt idx="6289">
                  <c:v>2.6107235140138574E-2</c:v>
                </c:pt>
                <c:pt idx="6290">
                  <c:v>2.6239514242374806E-2</c:v>
                </c:pt>
                <c:pt idx="6291">
                  <c:v>2.6371751304533841E-2</c:v>
                </c:pt>
                <c:pt idx="6292">
                  <c:v>2.6503946346654317E-2</c:v>
                </c:pt>
                <c:pt idx="6293">
                  <c:v>2.6636099388761103E-2</c:v>
                </c:pt>
                <c:pt idx="6294">
                  <c:v>2.6768210450867524E-2</c:v>
                </c:pt>
                <c:pt idx="6295">
                  <c:v>2.6900279552973139E-2</c:v>
                </c:pt>
                <c:pt idx="6296">
                  <c:v>2.7032306715065513E-2</c:v>
                </c:pt>
                <c:pt idx="6297">
                  <c:v>2.7164291957118891E-2</c:v>
                </c:pt>
                <c:pt idx="6298">
                  <c:v>2.7296235299095972E-2</c:v>
                </c:pt>
                <c:pt idx="6299">
                  <c:v>2.7428136760944799E-2</c:v>
                </c:pt>
                <c:pt idx="6300">
                  <c:v>2.7559996362602757E-2</c:v>
                </c:pt>
                <c:pt idx="6301">
                  <c:v>2.7691814123993908E-2</c:v>
                </c:pt>
                <c:pt idx="6302">
                  <c:v>2.7823590065029435E-2</c:v>
                </c:pt>
                <c:pt idx="6303">
                  <c:v>2.7955324205607202E-2</c:v>
                </c:pt>
                <c:pt idx="6304">
                  <c:v>2.8087016565614409E-2</c:v>
                </c:pt>
                <c:pt idx="6305">
                  <c:v>2.8218667164924049E-2</c:v>
                </c:pt>
                <c:pt idx="6306">
                  <c:v>2.771616061439186E-2</c:v>
                </c:pt>
                <c:pt idx="6307">
                  <c:v>2.7847828261530427E-2</c:v>
                </c:pt>
                <c:pt idx="6308">
                  <c:v>2.7979454175658613E-2</c:v>
                </c:pt>
                <c:pt idx="6309">
                  <c:v>2.8111038376614772E-2</c:v>
                </c:pt>
                <c:pt idx="6310">
                  <c:v>2.760886732275436E-2</c:v>
                </c:pt>
                <c:pt idx="6311">
                  <c:v>2.7740468539147134E-2</c:v>
                </c:pt>
                <c:pt idx="6312">
                  <c:v>2.7872028070010657E-2</c:v>
                </c:pt>
                <c:pt idx="6313">
                  <c:v>2.8003545935147311E-2</c:v>
                </c:pt>
                <c:pt idx="6314">
                  <c:v>2.8135022154348821E-2</c:v>
                </c:pt>
                <c:pt idx="6315">
                  <c:v>2.8266456747392255E-2</c:v>
                </c:pt>
                <c:pt idx="6316">
                  <c:v>2.8397849734043579E-2</c:v>
                </c:pt>
                <c:pt idx="6317">
                  <c:v>2.8529201134055437E-2</c:v>
                </c:pt>
                <c:pt idx="6318">
                  <c:v>2.8660510967168928E-2</c:v>
                </c:pt>
                <c:pt idx="6319">
                  <c:v>2.8791779253111383E-2</c:v>
                </c:pt>
                <c:pt idx="6320">
                  <c:v>2.8923006011599028E-2</c:v>
                </c:pt>
                <c:pt idx="6321">
                  <c:v>2.9054191262333884E-2</c:v>
                </c:pt>
                <c:pt idx="6322">
                  <c:v>2.9185335025007753E-2</c:v>
                </c:pt>
                <c:pt idx="6323">
                  <c:v>2.86840262521042E-2</c:v>
                </c:pt>
                <c:pt idx="6324">
                  <c:v>2.8815187067810388E-2</c:v>
                </c:pt>
                <c:pt idx="6325">
                  <c:v>2.8946306422851009E-2</c:v>
                </c:pt>
                <c:pt idx="6326">
                  <c:v>2.9077384336881895E-2</c:v>
                </c:pt>
                <c:pt idx="6327">
                  <c:v>2.8576409453341611E-2</c:v>
                </c:pt>
                <c:pt idx="6328">
                  <c:v>2.8707504388089777E-2</c:v>
                </c:pt>
                <c:pt idx="6329">
                  <c:v>2.8206746189072707E-2</c:v>
                </c:pt>
                <c:pt idx="6330">
                  <c:v>2.8337858096877611E-2</c:v>
                </c:pt>
                <c:pt idx="6331">
                  <c:v>2.8468928598742949E-2</c:v>
                </c:pt>
                <c:pt idx="6332">
                  <c:v>2.8599957714280144E-2</c:v>
                </c:pt>
                <c:pt idx="6333">
                  <c:v>2.8730945463087743E-2</c:v>
                </c:pt>
                <c:pt idx="6334">
                  <c:v>2.8861891864752298E-2</c:v>
                </c:pt>
                <c:pt idx="6335">
                  <c:v>2.8992796938848375E-2</c:v>
                </c:pt>
                <c:pt idx="6336">
                  <c:v>2.8492546788875028E-2</c:v>
                </c:pt>
                <c:pt idx="6337">
                  <c:v>2.862346882699196E-2</c:v>
                </c:pt>
                <c:pt idx="6338">
                  <c:v>2.8754349564780846E-2</c:v>
                </c:pt>
                <c:pt idx="6339">
                  <c:v>2.8885189021782498E-2</c:v>
                </c:pt>
                <c:pt idx="6340">
                  <c:v>2.9015987217523076E-2</c:v>
                </c:pt>
                <c:pt idx="6341">
                  <c:v>2.9146744171518524E-2</c:v>
                </c:pt>
                <c:pt idx="6342">
                  <c:v>2.9277459903271019E-2</c:v>
                </c:pt>
                <c:pt idx="6343">
                  <c:v>2.8777716780577389E-2</c:v>
                </c:pt>
                <c:pt idx="6344">
                  <c:v>2.8908449467250907E-2</c:v>
                </c:pt>
                <c:pt idx="6345">
                  <c:v>2.8408921957709499E-2</c:v>
                </c:pt>
                <c:pt idx="6346">
                  <c:v>2.853967155198367E-2</c:v>
                </c:pt>
                <c:pt idx="6347">
                  <c:v>2.8670379958797287E-2</c:v>
                </c:pt>
                <c:pt idx="6348">
                  <c:v>2.817112593776594E-2</c:v>
                </c:pt>
                <c:pt idx="6349">
                  <c:v>2.8301851212600315E-2</c:v>
                </c:pt>
                <c:pt idx="6350">
                  <c:v>2.8432535327083563E-2</c:v>
                </c:pt>
                <c:pt idx="6351">
                  <c:v>2.8563178300652137E-2</c:v>
                </c:pt>
                <c:pt idx="6352">
                  <c:v>2.8693780152731385E-2</c:v>
                </c:pt>
                <c:pt idx="6353">
                  <c:v>2.8824340902732448E-2</c:v>
                </c:pt>
                <c:pt idx="6354">
                  <c:v>2.8954860570055807E-2</c:v>
                </c:pt>
                <c:pt idx="6355">
                  <c:v>2.9085339174089064E-2</c:v>
                </c:pt>
                <c:pt idx="6356">
                  <c:v>2.8586648077397747E-2</c:v>
                </c:pt>
                <c:pt idx="6357">
                  <c:v>2.8717143548121715E-2</c:v>
                </c:pt>
                <c:pt idx="6358">
                  <c:v>2.8847597982534001E-2</c:v>
                </c:pt>
                <c:pt idx="6359">
                  <c:v>2.8978011399988457E-2</c:v>
                </c:pt>
                <c:pt idx="6360">
                  <c:v>2.8479650717028626E-2</c:v>
                </c:pt>
                <c:pt idx="6361">
                  <c:v>2.8610080969377005E-2</c:v>
                </c:pt>
                <c:pt idx="6362">
                  <c:v>2.8740470231702897E-2</c:v>
                </c:pt>
                <c:pt idx="6363">
                  <c:v>2.8870818523325514E-2</c:v>
                </c:pt>
                <c:pt idx="6364">
                  <c:v>2.9001125863552968E-2</c:v>
                </c:pt>
                <c:pt idx="6365">
                  <c:v>2.9131392271680046E-2</c:v>
                </c:pt>
                <c:pt idx="6366">
                  <c:v>2.9261617766990877E-2</c:v>
                </c:pt>
                <c:pt idx="6367">
                  <c:v>2.939180236875627E-2</c:v>
                </c:pt>
                <c:pt idx="6368">
                  <c:v>2.8894002611148828E-2</c:v>
                </c:pt>
                <c:pt idx="6369">
                  <c:v>2.9024204046370627E-2</c:v>
                </c:pt>
                <c:pt idx="6370">
                  <c:v>2.9154364614852213E-2</c:v>
                </c:pt>
                <c:pt idx="6371">
                  <c:v>2.9284484335830641E-2</c:v>
                </c:pt>
                <c:pt idx="6372">
                  <c:v>2.9414563228531421E-2</c:v>
                </c:pt>
                <c:pt idx="6373">
                  <c:v>2.9544601312167629E-2</c:v>
                </c:pt>
                <c:pt idx="6374">
                  <c:v>2.9674598605940794E-2</c:v>
                </c:pt>
                <c:pt idx="6375">
                  <c:v>2.9804555129040011E-2</c:v>
                </c:pt>
                <c:pt idx="6376">
                  <c:v>2.9307315052414573E-2</c:v>
                </c:pt>
                <c:pt idx="6377">
                  <c:v>2.9437288407385243E-2</c:v>
                </c:pt>
                <c:pt idx="6378">
                  <c:v>2.9567221018357515E-2</c:v>
                </c:pt>
                <c:pt idx="6379">
                  <c:v>2.9697112904486733E-2</c:v>
                </c:pt>
                <c:pt idx="6380">
                  <c:v>2.982696408491714E-2</c:v>
                </c:pt>
                <c:pt idx="6381">
                  <c:v>2.9956774578779655E-2</c:v>
                </c:pt>
                <c:pt idx="6382">
                  <c:v>2.9459977989154229E-2</c:v>
                </c:pt>
                <c:pt idx="6383">
                  <c:v>2.9589805298225524E-2</c:v>
                </c:pt>
                <c:pt idx="6384">
                  <c:v>2.9093221762539923E-2</c:v>
                </c:pt>
                <c:pt idx="6385">
                  <c:v>2.9223065840299434E-2</c:v>
                </c:pt>
                <c:pt idx="6386">
                  <c:v>2.9352869265560688E-2</c:v>
                </c:pt>
                <c:pt idx="6387">
                  <c:v>2.9482632057412861E-2</c:v>
                </c:pt>
                <c:pt idx="6388">
                  <c:v>2.9612354234933136E-2</c:v>
                </c:pt>
                <c:pt idx="6389">
                  <c:v>2.9116155673233113E-2</c:v>
                </c:pt>
                <c:pt idx="6390">
                  <c:v>2.9245894595438582E-2</c:v>
                </c:pt>
                <c:pt idx="6391">
                  <c:v>2.9375592929837602E-2</c:v>
                </c:pt>
                <c:pt idx="6392">
                  <c:v>2.9505250695474494E-2</c:v>
                </c:pt>
                <c:pt idx="6393">
                  <c:v>2.9634867911379814E-2</c:v>
                </c:pt>
                <c:pt idx="6394">
                  <c:v>2.9764444596573458E-2</c:v>
                </c:pt>
                <c:pt idx="6395">
                  <c:v>2.9893980770062889E-2</c:v>
                </c:pt>
                <c:pt idx="6396">
                  <c:v>3.0023476450844466E-2</c:v>
                </c:pt>
                <c:pt idx="6397">
                  <c:v>3.0152931657901672E-2</c:v>
                </c:pt>
                <c:pt idx="6398">
                  <c:v>3.0282346410206884E-2</c:v>
                </c:pt>
                <c:pt idx="6399">
                  <c:v>3.0411720726720048E-2</c:v>
                </c:pt>
                <c:pt idx="6400">
                  <c:v>3.0541054626389119E-2</c:v>
                </c:pt>
                <c:pt idx="6401">
                  <c:v>3.0045640959636799E-2</c:v>
                </c:pt>
                <c:pt idx="6402">
                  <c:v>3.0174991631943371E-2</c:v>
                </c:pt>
                <c:pt idx="6403">
                  <c:v>2.9679789813797708E-2</c:v>
                </c:pt>
                <c:pt idx="6404">
                  <c:v>2.9809157212579596E-2</c:v>
                </c:pt>
                <c:pt idx="6405">
                  <c:v>2.9938484228218432E-2</c:v>
                </c:pt>
                <c:pt idx="6406">
                  <c:v>2.9443551154276992E-2</c:v>
                </c:pt>
                <c:pt idx="6407">
                  <c:v>2.9572894857702536E-2</c:v>
                </c:pt>
                <c:pt idx="6408">
                  <c:v>2.9702198204278663E-2</c:v>
                </c:pt>
                <c:pt idx="6409">
                  <c:v>2.983146121288982E-2</c:v>
                </c:pt>
                <c:pt idx="6410">
                  <c:v>2.9960683902408913E-2</c:v>
                </c:pt>
                <c:pt idx="6411">
                  <c:v>2.9466133249439697E-2</c:v>
                </c:pt>
                <c:pt idx="6412">
                  <c:v>2.9595372602910341E-2</c:v>
                </c:pt>
                <c:pt idx="6413">
                  <c:v>2.9724571663519495E-2</c:v>
                </c:pt>
                <c:pt idx="6414">
                  <c:v>2.9853730450107197E-2</c:v>
                </c:pt>
                <c:pt idx="6415">
                  <c:v>2.9982848981501942E-2</c:v>
                </c:pt>
                <c:pt idx="6416">
                  <c:v>3.0111927276520234E-2</c:v>
                </c:pt>
                <c:pt idx="6417">
                  <c:v>3.0240965353967475E-2</c:v>
                </c:pt>
                <c:pt idx="6418">
                  <c:v>2.9746910273135363E-2</c:v>
                </c:pt>
                <c:pt idx="6419">
                  <c:v>2.9875965005441429E-2</c:v>
                </c:pt>
                <c:pt idx="6420">
                  <c:v>3.0004979546301769E-2</c:v>
                </c:pt>
                <c:pt idx="6421">
                  <c:v>2.9511191965243544E-2</c:v>
                </c:pt>
                <c:pt idx="6422">
                  <c:v>2.9017558116308795E-2</c:v>
                </c:pt>
                <c:pt idx="6423">
                  <c:v>2.8524077927716718E-2</c:v>
                </c:pt>
                <c:pt idx="6424">
                  <c:v>2.8653222538435941E-2</c:v>
                </c:pt>
                <c:pt idx="6425">
                  <c:v>2.8782326961008131E-2</c:v>
                </c:pt>
                <c:pt idx="6426">
                  <c:v>2.8911391214189397E-2</c:v>
                </c:pt>
                <c:pt idx="6427">
                  <c:v>2.8418234573218459E-2</c:v>
                </c:pt>
                <c:pt idx="6428">
                  <c:v>2.7925231324670285E-2</c:v>
                </c:pt>
                <c:pt idx="6429">
                  <c:v>2.8054368646250882E-2</c:v>
                </c:pt>
                <c:pt idx="6430">
                  <c:v>2.8183465813191866E-2</c:v>
                </c:pt>
                <c:pt idx="6431">
                  <c:v>2.8312522844219146E-2</c:v>
                </c:pt>
                <c:pt idx="6432">
                  <c:v>2.7819842524599014E-2</c:v>
                </c:pt>
                <c:pt idx="6433">
                  <c:v>2.794891595177651E-2</c:v>
                </c:pt>
                <c:pt idx="6434">
                  <c:v>2.8077949269125657E-2</c:v>
                </c:pt>
                <c:pt idx="6435">
                  <c:v>2.758553500737948E-2</c:v>
                </c:pt>
                <c:pt idx="6436">
                  <c:v>2.7714584682962506E-2</c:v>
                </c:pt>
                <c:pt idx="6437">
                  <c:v>2.7843594274782113E-2</c:v>
                </c:pt>
                <c:pt idx="6438">
                  <c:v>2.7972563801511363E-2</c:v>
                </c:pt>
                <c:pt idx="6439">
                  <c:v>2.8101493281810885E-2</c:v>
                </c:pt>
                <c:pt idx="6440">
                  <c:v>2.8230382734329762E-2</c:v>
                </c:pt>
                <c:pt idx="6441">
                  <c:v>2.8359232177706417E-2</c:v>
                </c:pt>
                <c:pt idx="6442">
                  <c:v>2.848804163056684E-2</c:v>
                </c:pt>
                <c:pt idx="6443">
                  <c:v>2.8616811111525919E-2</c:v>
                </c:pt>
                <c:pt idx="6444">
                  <c:v>2.8745540639186107E-2</c:v>
                </c:pt>
                <c:pt idx="6445">
                  <c:v>2.8874230232139642E-2</c:v>
                </c:pt>
                <c:pt idx="6446">
                  <c:v>2.9002879908966328E-2</c:v>
                </c:pt>
                <c:pt idx="6447">
                  <c:v>2.9131489688234424E-2</c:v>
                </c:pt>
                <c:pt idx="6448">
                  <c:v>2.8639904549741857E-2</c:v>
                </c:pt>
                <c:pt idx="6449">
                  <c:v>2.876853072271679E-2</c:v>
                </c:pt>
                <c:pt idx="6450">
                  <c:v>2.8897117023970242E-2</c:v>
                </c:pt>
                <c:pt idx="6451">
                  <c:v>2.9025663472038499E-2</c:v>
                </c:pt>
                <c:pt idx="6452">
                  <c:v>2.9154170085447184E-2</c:v>
                </c:pt>
                <c:pt idx="6453">
                  <c:v>2.8662962211910781E-2</c:v>
                </c:pt>
                <c:pt idx="6454">
                  <c:v>2.8791485195832855E-2</c:v>
                </c:pt>
                <c:pt idx="6455">
                  <c:v>2.8919968370869853E-2</c:v>
                </c:pt>
                <c:pt idx="6456">
                  <c:v>2.8429024948454007E-2</c:v>
                </c:pt>
                <c:pt idx="6457">
                  <c:v>2.8557524456343852E-2</c:v>
                </c:pt>
                <c:pt idx="6458">
                  <c:v>2.8685984181104907E-2</c:v>
                </c:pt>
                <c:pt idx="6459">
                  <c:v>2.8195304930559661E-2</c:v>
                </c:pt>
                <c:pt idx="6460">
                  <c:v>2.8323780950596955E-2</c:v>
                </c:pt>
                <c:pt idx="6461">
                  <c:v>2.8452217213239539E-2</c:v>
                </c:pt>
                <c:pt idx="6462">
                  <c:v>2.8580613736939764E-2</c:v>
                </c:pt>
                <c:pt idx="6463">
                  <c:v>2.8708970540137102E-2</c:v>
                </c:pt>
                <c:pt idx="6464">
                  <c:v>2.88372876412617E-2</c:v>
                </c:pt>
                <c:pt idx="6465">
                  <c:v>2.8965565058729936E-2</c:v>
                </c:pt>
                <c:pt idx="6466">
                  <c:v>2.9093802810948866E-2</c:v>
                </c:pt>
                <c:pt idx="6467">
                  <c:v>2.8603667325340698E-2</c:v>
                </c:pt>
                <c:pt idx="6468">
                  <c:v>2.8113683349928476E-2</c:v>
                </c:pt>
                <c:pt idx="6469">
                  <c:v>2.824199329631405E-2</c:v>
                </c:pt>
                <c:pt idx="6470">
                  <c:v>2.8370263591912526E-2</c:v>
                </c:pt>
                <c:pt idx="6471">
                  <c:v>2.8498494255101203E-2</c:v>
                </c:pt>
                <c:pt idx="6472">
                  <c:v>2.8626685304244504E-2</c:v>
                </c:pt>
                <c:pt idx="6473">
                  <c:v>2.8137076139936656E-2</c:v>
                </c:pt>
                <c:pt idx="6474">
                  <c:v>2.7647618182906175E-2</c:v>
                </c:pt>
                <c:pt idx="6475">
                  <c:v>2.7775881225708066E-2</c:v>
                </c:pt>
                <c:pt idx="6476">
                  <c:v>2.7904104668928564E-2</c:v>
                </c:pt>
                <c:pt idx="6477">
                  <c:v>2.8032288530904559E-2</c:v>
                </c:pt>
                <c:pt idx="6478">
                  <c:v>2.8160432829960058E-2</c:v>
                </c:pt>
                <c:pt idx="6479">
                  <c:v>2.7671348878961499E-2</c:v>
                </c:pt>
                <c:pt idx="6480">
                  <c:v>2.7799509322888216E-2</c:v>
                </c:pt>
                <c:pt idx="6481">
                  <c:v>2.7927630229426459E-2</c:v>
                </c:pt>
                <c:pt idx="6482">
                  <c:v>2.8055711616869594E-2</c:v>
                </c:pt>
                <c:pt idx="6483">
                  <c:v>2.8183753503498998E-2</c:v>
                </c:pt>
                <c:pt idx="6484">
                  <c:v>2.8311755907585834E-2</c:v>
                </c:pt>
                <c:pt idx="6485">
                  <c:v>2.8439718847388828E-2</c:v>
                </c:pt>
                <c:pt idx="6486">
                  <c:v>2.7951119529812107E-2</c:v>
                </c:pt>
                <c:pt idx="6487">
                  <c:v>2.8079098606231145E-2</c:v>
                </c:pt>
                <c:pt idx="6488">
                  <c:v>2.7590705424074269E-2</c:v>
                </c:pt>
                <c:pt idx="6489">
                  <c:v>2.7718700592921586E-2</c:v>
                </c:pt>
                <c:pt idx="6490">
                  <c:v>2.7846656330108299E-2</c:v>
                </c:pt>
                <c:pt idx="6491">
                  <c:v>2.7358524602105749E-2</c:v>
                </c:pt>
                <c:pt idx="6492">
                  <c:v>2.6870543207250464E-2</c:v>
                </c:pt>
                <c:pt idx="6493">
                  <c:v>2.6382712076103765E-2</c:v>
                </c:pt>
                <c:pt idx="6494">
                  <c:v>2.6510794686068984E-2</c:v>
                </c:pt>
                <c:pt idx="6495">
                  <c:v>2.6638837867802856E-2</c:v>
                </c:pt>
                <c:pt idx="6496">
                  <c:v>2.6766841639508154E-2</c:v>
                </c:pt>
                <c:pt idx="6497">
                  <c:v>2.62793267148691E-2</c:v>
                </c:pt>
                <c:pt idx="6498">
                  <c:v>2.6407346410207033E-2</c:v>
                </c:pt>
                <c:pt idx="6499">
                  <c:v>2.6535326720928509E-2</c:v>
                </c:pt>
                <c:pt idx="6500">
                  <c:v>2.6663267665205215E-2</c:v>
                </c:pt>
                <c:pt idx="6501">
                  <c:v>2.6176068538455333E-2</c:v>
                </c:pt>
                <c:pt idx="6502">
                  <c:v>2.6304025376996609E-2</c:v>
                </c:pt>
                <c:pt idx="6503">
                  <c:v>2.6431942874465264E-2</c:v>
                </c:pt>
                <c:pt idx="6504">
                  <c:v>2.6559821049001897E-2</c:v>
                </c:pt>
                <c:pt idx="6505">
                  <c:v>2.6687659918736006E-2</c:v>
                </c:pt>
                <c:pt idx="6506">
                  <c:v>2.6815459501786432E-2</c:v>
                </c:pt>
                <c:pt idx="6507">
                  <c:v>2.6943219816260022E-2</c:v>
                </c:pt>
                <c:pt idx="6508">
                  <c:v>2.7070940880252969E-2</c:v>
                </c:pt>
                <c:pt idx="6509">
                  <c:v>2.7198622711850362E-2</c:v>
                </c:pt>
                <c:pt idx="6510">
                  <c:v>2.6712014714875387E-2</c:v>
                </c:pt>
                <c:pt idx="6511">
                  <c:v>2.6839712447363162E-2</c:v>
                </c:pt>
                <c:pt idx="6512">
                  <c:v>2.6353308952423493E-2</c:v>
                </c:pt>
                <c:pt idx="6513">
                  <c:v>2.6481022542209853E-2</c:v>
                </c:pt>
                <c:pt idx="6514">
                  <c:v>2.6608696931999187E-2</c:v>
                </c:pt>
                <c:pt idx="6515">
                  <c:v>2.6122552793512277E-2</c:v>
                </c:pt>
                <c:pt idx="6516">
                  <c:v>2.5636557824751272E-2</c:v>
                </c:pt>
                <c:pt idx="6517">
                  <c:v>2.576430299864052E-2</c:v>
                </c:pt>
                <c:pt idx="6518">
                  <c:v>2.5892008986894144E-2</c:v>
                </c:pt>
                <c:pt idx="6519">
                  <c:v>2.5406272955215137E-2</c:v>
                </c:pt>
                <c:pt idx="6520">
                  <c:v>2.5533994677609417E-2</c:v>
                </c:pt>
                <c:pt idx="6521">
                  <c:v>2.5048462461103593E-2</c:v>
                </c:pt>
                <c:pt idx="6522">
                  <c:v>2.5176199874339389E-2</c:v>
                </c:pt>
                <c:pt idx="6523">
                  <c:v>2.5303898134344749E-2</c:v>
                </c:pt>
                <c:pt idx="6524">
                  <c:v>2.5431557259119053E-2</c:v>
                </c:pt>
                <c:pt idx="6525">
                  <c:v>2.494633829009052E-2</c:v>
                </c:pt>
                <c:pt idx="6526">
                  <c:v>2.5074013076873403E-2</c:v>
                </c:pt>
                <c:pt idx="6527">
                  <c:v>2.5201648753597983E-2</c:v>
                </c:pt>
                <c:pt idx="6528">
                  <c:v>2.5329245338231221E-2</c:v>
                </c:pt>
                <c:pt idx="6529">
                  <c:v>2.484433921375917E-2</c:v>
                </c:pt>
                <c:pt idx="6530">
                  <c:v>2.435958156023732E-2</c:v>
                </c:pt>
                <c:pt idx="6531">
                  <c:v>2.4487248446025234E-2</c:v>
                </c:pt>
                <c:pt idx="6532">
                  <c:v>2.4614876254100526E-2</c:v>
                </c:pt>
                <c:pt idx="6533">
                  <c:v>2.4742465002402625E-2</c:v>
                </c:pt>
                <c:pt idx="6534">
                  <c:v>2.48700147088603E-2</c:v>
                </c:pt>
                <c:pt idx="6535">
                  <c:v>2.4997525391390774E-2</c:v>
                </c:pt>
                <c:pt idx="6536">
                  <c:v>2.5124997067900168E-2</c:v>
                </c:pt>
                <c:pt idx="6537">
                  <c:v>2.4640715426876181E-2</c:v>
                </c:pt>
                <c:pt idx="6538">
                  <c:v>2.4768202679319895E-2</c:v>
                </c:pt>
                <c:pt idx="6539">
                  <c:v>2.4895650950797155E-2</c:v>
                </c:pt>
                <c:pt idx="6540">
                  <c:v>2.502306025918255E-2</c:v>
                </c:pt>
                <c:pt idx="6541">
                  <c:v>2.5150430622341791E-2</c:v>
                </c:pt>
                <c:pt idx="6542">
                  <c:v>2.5277762058128594E-2</c:v>
                </c:pt>
                <c:pt idx="6543">
                  <c:v>2.5405054584385578E-2</c:v>
                </c:pt>
                <c:pt idx="6544">
                  <c:v>2.5532308218945143E-2</c:v>
                </c:pt>
                <c:pt idx="6545">
                  <c:v>2.5659522979628147E-2</c:v>
                </c:pt>
                <c:pt idx="6546">
                  <c:v>2.5786698884244785E-2</c:v>
                </c:pt>
                <c:pt idx="6547">
                  <c:v>2.5913835950594599E-2</c:v>
                </c:pt>
                <c:pt idx="6548">
                  <c:v>2.604093419646647E-2</c:v>
                </c:pt>
                <c:pt idx="6549">
                  <c:v>2.6167993639637288E-2</c:v>
                </c:pt>
                <c:pt idx="6550">
                  <c:v>2.6295014297874619E-2</c:v>
                </c:pt>
                <c:pt idx="6551">
                  <c:v>2.6421996188934038E-2</c:v>
                </c:pt>
                <c:pt idx="6552">
                  <c:v>2.6548939330560906E-2</c:v>
                </c:pt>
                <c:pt idx="6553">
                  <c:v>2.6065622535302424E-2</c:v>
                </c:pt>
                <c:pt idx="6554">
                  <c:v>2.6192581309535612E-2</c:v>
                </c:pt>
                <c:pt idx="6555">
                  <c:v>2.6319501359116426E-2</c:v>
                </c:pt>
                <c:pt idx="6556">
                  <c:v>2.6446382701759141E-2</c:v>
                </c:pt>
                <c:pt idx="6557">
                  <c:v>2.6573225355167818E-2</c:v>
                </c:pt>
                <c:pt idx="6558">
                  <c:v>2.6090273239474993E-2</c:v>
                </c:pt>
                <c:pt idx="6559">
                  <c:v>2.6217131503942781E-2</c:v>
                </c:pt>
                <c:pt idx="6560">
                  <c:v>2.6343951103897645E-2</c:v>
                </c:pt>
                <c:pt idx="6561">
                  <c:v>2.6470732057014779E-2</c:v>
                </c:pt>
                <c:pt idx="6562">
                  <c:v>2.6597474380956498E-2</c:v>
                </c:pt>
                <c:pt idx="6563">
                  <c:v>2.672417809337535E-2</c:v>
                </c:pt>
                <c:pt idx="6564">
                  <c:v>2.6241644308470757E-2</c:v>
                </c:pt>
                <c:pt idx="6565">
                  <c:v>2.6368363617455426E-2</c:v>
                </c:pt>
                <c:pt idx="6566">
                  <c:v>2.6495044339561513E-2</c:v>
                </c:pt>
                <c:pt idx="6567">
                  <c:v>2.6621686492411367E-2</c:v>
                </c:pt>
                <c:pt idx="6568">
                  <c:v>2.6748290093616234E-2</c:v>
                </c:pt>
                <c:pt idx="6569">
                  <c:v>2.6266119808472155E-2</c:v>
                </c:pt>
                <c:pt idx="6570">
                  <c:v>2.6392738984765796E-2</c:v>
                </c:pt>
                <c:pt idx="6571">
                  <c:v>2.6519319634001004E-2</c:v>
                </c:pt>
                <c:pt idx="6572">
                  <c:v>2.664586177376016E-2</c:v>
                </c:pt>
                <c:pt idx="6573">
                  <c:v>2.6772365421613653E-2</c:v>
                </c:pt>
                <c:pt idx="6574">
                  <c:v>2.6898830595121659E-2</c:v>
                </c:pt>
                <c:pt idx="6575">
                  <c:v>2.6417077290547653E-2</c:v>
                </c:pt>
                <c:pt idx="6576">
                  <c:v>2.6543558024679559E-2</c:v>
                </c:pt>
                <c:pt idx="6577">
                  <c:v>2.6670000308975705E-2</c:v>
                </c:pt>
                <c:pt idx="6578">
                  <c:v>2.6796404160966958E-2</c:v>
                </c:pt>
                <c:pt idx="6579">
                  <c:v>2.6922769598172192E-2</c:v>
                </c:pt>
                <c:pt idx="6580">
                  <c:v>2.7049096638100956E-2</c:v>
                </c:pt>
                <c:pt idx="6581">
                  <c:v>2.7175385298251697E-2</c:v>
                </c:pt>
                <c:pt idx="6582">
                  <c:v>2.7301635596112206E-2</c:v>
                </c:pt>
                <c:pt idx="6583">
                  <c:v>2.7427847549159168E-2</c:v>
                </c:pt>
                <c:pt idx="6584">
                  <c:v>2.7554021174859056E-2</c:v>
                </c:pt>
                <c:pt idx="6585">
                  <c:v>2.7680156490668573E-2</c:v>
                </c:pt>
                <c:pt idx="6586">
                  <c:v>2.7806253514031987E-2</c:v>
                </c:pt>
                <c:pt idx="6587">
                  <c:v>2.7932312262384684E-2</c:v>
                </c:pt>
                <c:pt idx="6588">
                  <c:v>2.805833275315095E-2</c:v>
                </c:pt>
                <c:pt idx="6589">
                  <c:v>2.8184315003743521E-2</c:v>
                </c:pt>
                <c:pt idx="6590">
                  <c:v>2.8310259031566254E-2</c:v>
                </c:pt>
                <c:pt idx="6591">
                  <c:v>2.8436164854011015E-2</c:v>
                </c:pt>
                <c:pt idx="6592">
                  <c:v>2.7955420416879484E-2</c:v>
                </c:pt>
                <c:pt idx="6593">
                  <c:v>2.8081341861306175E-2</c:v>
                </c:pt>
                <c:pt idx="6594">
                  <c:v>2.8207225124579072E-2</c:v>
                </c:pt>
                <c:pt idx="6595">
                  <c:v>2.7726734010631304E-2</c:v>
                </c:pt>
                <c:pt idx="6596">
                  <c:v>2.785263286064632E-2</c:v>
                </c:pt>
                <c:pt idx="6597">
                  <c:v>2.7978493553713513E-2</c:v>
                </c:pt>
                <c:pt idx="6598">
                  <c:v>2.8104316107176786E-2</c:v>
                </c:pt>
                <c:pt idx="6599">
                  <c:v>2.8230100538369385E-2</c:v>
                </c:pt>
                <c:pt idx="6600">
                  <c:v>2.7749969857647105E-2</c:v>
                </c:pt>
                <c:pt idx="6601">
                  <c:v>2.78757698540959E-2</c:v>
                </c:pt>
                <c:pt idx="6602">
                  <c:v>2.8001531752423592E-2</c:v>
                </c:pt>
                <c:pt idx="6603">
                  <c:v>2.8127255569934562E-2</c:v>
                </c:pt>
                <c:pt idx="6604">
                  <c:v>2.8252941323921643E-2</c:v>
                </c:pt>
                <c:pt idx="6605">
                  <c:v>2.8378589031668788E-2</c:v>
                </c:pt>
                <c:pt idx="6606">
                  <c:v>2.8504198710448847E-2</c:v>
                </c:pt>
                <c:pt idx="6607">
                  <c:v>2.8024535092307179E-2</c:v>
                </c:pt>
                <c:pt idx="6608">
                  <c:v>2.8150160328512364E-2</c:v>
                </c:pt>
                <c:pt idx="6609">
                  <c:v>2.8275747559805886E-2</c:v>
                </c:pt>
                <c:pt idx="6610">
                  <c:v>2.8401296803431286E-2</c:v>
                </c:pt>
                <c:pt idx="6611">
                  <c:v>2.8526808076621446E-2</c:v>
                </c:pt>
                <c:pt idx="6612">
                  <c:v>2.8652281396599477E-2</c:v>
                </c:pt>
                <c:pt idx="6613">
                  <c:v>2.8777716780577389E-2</c:v>
                </c:pt>
                <c:pt idx="6614">
                  <c:v>2.8298519324354565E-2</c:v>
                </c:pt>
                <c:pt idx="6615">
                  <c:v>2.8423970257871911E-2</c:v>
                </c:pt>
                <c:pt idx="6616">
                  <c:v>2.8549383279351748E-2</c:v>
                </c:pt>
                <c:pt idx="6617">
                  <c:v>2.807043751158167E-2</c:v>
                </c:pt>
                <c:pt idx="6618">
                  <c:v>2.7591636440418288E-2</c:v>
                </c:pt>
                <c:pt idx="6619">
                  <c:v>2.7112980000298936E-2</c:v>
                </c:pt>
                <c:pt idx="6620">
                  <c:v>2.7238515241375882E-2</c:v>
                </c:pt>
                <c:pt idx="6621">
                  <c:v>2.6760056662358256E-2</c:v>
                </c:pt>
                <c:pt idx="6622">
                  <c:v>2.6885607279772294E-2</c:v>
                </c:pt>
                <c:pt idx="6623">
                  <c:v>2.7011119995112409E-2</c:v>
                </c:pt>
                <c:pt idx="6624">
                  <c:v>2.6532912362515759E-2</c:v>
                </c:pt>
                <c:pt idx="6625">
                  <c:v>2.6658440419562446E-2</c:v>
                </c:pt>
                <c:pt idx="6626">
                  <c:v>2.6180430296748991E-2</c:v>
                </c:pt>
                <c:pt idx="6627">
                  <c:v>2.6305973654134895E-2</c:v>
                </c:pt>
                <c:pt idx="6628">
                  <c:v>2.5828160889844742E-2</c:v>
                </c:pt>
                <c:pt idx="6629">
                  <c:v>2.59537195062709E-2</c:v>
                </c:pt>
                <c:pt idx="6630">
                  <c:v>2.6079240258216618E-2</c:v>
                </c:pt>
                <c:pt idx="6631">
                  <c:v>2.6204723162807309E-2</c:v>
                </c:pt>
                <c:pt idx="6632">
                  <c:v>2.5727213760221801E-2</c:v>
                </c:pt>
                <c:pt idx="6633">
                  <c:v>2.5249848294155441E-2</c:v>
                </c:pt>
                <c:pt idx="6634">
                  <c:v>2.5375399454209191E-2</c:v>
                </c:pt>
                <c:pt idx="6635">
                  <c:v>2.4898230845945779E-2</c:v>
                </c:pt>
                <c:pt idx="6636">
                  <c:v>2.5023797148381099E-2</c:v>
                </c:pt>
                <c:pt idx="6637">
                  <c:v>2.5149325623943675E-2</c:v>
                </c:pt>
                <c:pt idx="6638">
                  <c:v>2.4672406651170764E-2</c:v>
                </c:pt>
                <c:pt idx="6639">
                  <c:v>2.4797950234932031E-2</c:v>
                </c:pt>
                <c:pt idx="6640">
                  <c:v>2.4923456015747192E-2</c:v>
                </c:pt>
                <c:pt idx="6641">
                  <c:v>2.5048924010688811E-2</c:v>
                </c:pt>
                <c:pt idx="6642">
                  <c:v>2.5174354236817464E-2</c:v>
                </c:pt>
                <c:pt idx="6643">
                  <c:v>2.5299746711184845E-2</c:v>
                </c:pt>
                <c:pt idx="6644">
                  <c:v>2.4823235666902477E-2</c:v>
                </c:pt>
                <c:pt idx="6645">
                  <c:v>2.4346867998893629E-2</c:v>
                </c:pt>
                <c:pt idx="6646">
                  <c:v>2.3870643642457168E-2</c:v>
                </c:pt>
                <c:pt idx="6647">
                  <c:v>2.3996156757627674E-2</c:v>
                </c:pt>
                <c:pt idx="6648">
                  <c:v>2.4121632124492809E-2</c:v>
                </c:pt>
                <c:pt idx="6649">
                  <c:v>2.3645656438774143E-2</c:v>
                </c:pt>
                <c:pt idx="6650">
                  <c:v>2.3771146771000673E-2</c:v>
                </c:pt>
                <c:pt idx="6651">
                  <c:v>2.3896599378792516E-2</c:v>
                </c:pt>
                <c:pt idx="6652">
                  <c:v>2.4022014279157844E-2</c:v>
                </c:pt>
                <c:pt idx="6653">
                  <c:v>2.414739148909506E-2</c:v>
                </c:pt>
                <c:pt idx="6654">
                  <c:v>2.367176948712979E-2</c:v>
                </c:pt>
                <c:pt idx="6655">
                  <c:v>2.3797161642293396E-2</c:v>
                </c:pt>
                <c:pt idx="6656">
                  <c:v>2.3321735115523712E-2</c:v>
                </c:pt>
                <c:pt idx="6657">
                  <c:v>2.3447142175336833E-2</c:v>
                </c:pt>
                <c:pt idx="6658">
                  <c:v>2.357251157537199E-2</c:v>
                </c:pt>
                <c:pt idx="6659">
                  <c:v>2.3697843332590729E-2</c:v>
                </c:pt>
                <c:pt idx="6660">
                  <c:v>2.3823137463944377E-2</c:v>
                </c:pt>
                <c:pt idx="6661">
                  <c:v>2.3948393986373606E-2</c:v>
                </c:pt>
                <c:pt idx="6662">
                  <c:v>2.4073612916809317E-2</c:v>
                </c:pt>
                <c:pt idx="6663">
                  <c:v>2.359864423466318E-2</c:v>
                </c:pt>
                <c:pt idx="6664">
                  <c:v>2.3723878063372172E-2</c:v>
                </c:pt>
                <c:pt idx="6665">
                  <c:v>2.3849074323811337E-2</c:v>
                </c:pt>
                <c:pt idx="6666">
                  <c:v>2.3974233032882264E-2</c:v>
                </c:pt>
                <c:pt idx="6667">
                  <c:v>2.4099354207477663E-2</c:v>
                </c:pt>
                <c:pt idx="6668">
                  <c:v>2.4224437864479587E-2</c:v>
                </c:pt>
                <c:pt idx="6669">
                  <c:v>2.3749873767424656E-2</c:v>
                </c:pt>
                <c:pt idx="6670">
                  <c:v>2.3874972309487319E-2</c:v>
                </c:pt>
                <c:pt idx="6671">
                  <c:v>2.400003335760692E-2</c:v>
                </c:pt>
                <c:pt idx="6672">
                  <c:v>2.4125056928636646E-2</c:v>
                </c:pt>
                <c:pt idx="6673">
                  <c:v>2.4250043039420355E-2</c:v>
                </c:pt>
                <c:pt idx="6674">
                  <c:v>2.3775830532435815E-2</c:v>
                </c:pt>
                <c:pt idx="6675">
                  <c:v>2.3301760069035726E-2</c:v>
                </c:pt>
                <c:pt idx="6676">
                  <c:v>2.3426813316466344E-2</c:v>
                </c:pt>
                <c:pt idx="6677">
                  <c:v>2.2952937067490797E-2</c:v>
                </c:pt>
                <c:pt idx="6678">
                  <c:v>2.3078005092841636E-2</c:v>
                </c:pt>
                <c:pt idx="6679">
                  <c:v>2.3203035678280415E-2</c:v>
                </c:pt>
                <c:pt idx="6680">
                  <c:v>2.3328028840616799E-2</c:v>
                </c:pt>
                <c:pt idx="6681">
                  <c:v>2.3452984596650239E-2</c:v>
                </c:pt>
                <c:pt idx="6682">
                  <c:v>2.2979458917687268E-2</c:v>
                </c:pt>
                <c:pt idx="6683">
                  <c:v>2.3104429431897167E-2</c:v>
                </c:pt>
                <c:pt idx="6684">
                  <c:v>2.322936256336261E-2</c:v>
                </c:pt>
                <c:pt idx="6685">
                  <c:v>2.3354258328855071E-2</c:v>
                </c:pt>
                <c:pt idx="6686">
                  <c:v>2.347911674513492E-2</c:v>
                </c:pt>
                <c:pt idx="6687">
                  <c:v>2.3603937828954091E-2</c:v>
                </c:pt>
                <c:pt idx="6688">
                  <c:v>2.3728721597052971E-2</c:v>
                </c:pt>
                <c:pt idx="6689">
                  <c:v>2.3255650101732694E-2</c:v>
                </c:pt>
                <c:pt idx="6690">
                  <c:v>2.3380448621802774E-2</c:v>
                </c:pt>
                <c:pt idx="6691">
                  <c:v>2.3505209849621345E-2</c:v>
                </c:pt>
                <c:pt idx="6692">
                  <c:v>2.3032383757084496E-2</c:v>
                </c:pt>
                <c:pt idx="6693">
                  <c:v>2.3157159703709684E-2</c:v>
                </c:pt>
                <c:pt idx="6694">
                  <c:v>2.2684526816419748E-2</c:v>
                </c:pt>
                <c:pt idx="6695">
                  <c:v>2.2809317442012311E-2</c:v>
                </c:pt>
                <c:pt idx="6696">
                  <c:v>2.2934070805548767E-2</c:v>
                </c:pt>
                <c:pt idx="6697">
                  <c:v>2.3058786923716212E-2</c:v>
                </c:pt>
                <c:pt idx="6698">
                  <c:v>2.2586450887818632E-2</c:v>
                </c:pt>
                <c:pt idx="6699">
                  <c:v>2.2711181658677138E-2</c:v>
                </c:pt>
                <c:pt idx="6700">
                  <c:v>2.2239038442436243E-2</c:v>
                </c:pt>
                <c:pt idx="6701">
                  <c:v>2.2363783826289119E-2</c:v>
                </c:pt>
                <c:pt idx="6702">
                  <c:v>2.2488491994932414E-2</c:v>
                </c:pt>
                <c:pt idx="6703">
                  <c:v>2.2613162965016809E-2</c:v>
                </c:pt>
                <c:pt idx="6704">
                  <c:v>2.2737796753183215E-2</c:v>
                </c:pt>
                <c:pt idx="6705">
                  <c:v>2.2266001546631387E-2</c:v>
                </c:pt>
                <c:pt idx="6706">
                  <c:v>2.2390649928393902E-2</c:v>
                </c:pt>
                <c:pt idx="6707">
                  <c:v>2.2515261151598853E-2</c:v>
                </c:pt>
                <c:pt idx="6708">
                  <c:v>2.2639835232859618E-2</c:v>
                </c:pt>
                <c:pt idx="6709">
                  <c:v>2.2764372188779358E-2</c:v>
                </c:pt>
                <c:pt idx="6710">
                  <c:v>2.2888872035951913E-2</c:v>
                </c:pt>
                <c:pt idx="6711">
                  <c:v>2.2417476009491732E-2</c:v>
                </c:pt>
                <c:pt idx="6712">
                  <c:v>2.1946220404844841E-2</c:v>
                </c:pt>
                <c:pt idx="6713">
                  <c:v>2.2070786469774895E-2</c:v>
                </c:pt>
                <c:pt idx="6714">
                  <c:v>2.2195315439391017E-2</c:v>
                </c:pt>
                <c:pt idx="6715">
                  <c:v>2.2319807330260399E-2</c:v>
                </c:pt>
                <c:pt idx="6716">
                  <c:v>2.1848846856768578E-2</c:v>
                </c:pt>
                <c:pt idx="6717">
                  <c:v>2.1973353256463657E-2</c:v>
                </c:pt>
                <c:pt idx="6718">
                  <c:v>2.1502584505444844E-2</c:v>
                </c:pt>
                <c:pt idx="6719">
                  <c:v>2.1627105374646849E-2</c:v>
                </c:pt>
                <c:pt idx="6720">
                  <c:v>2.1751589195092347E-2</c:v>
                </c:pt>
                <c:pt idx="6721">
                  <c:v>2.1876035983314335E-2</c:v>
                </c:pt>
                <c:pt idx="6722">
                  <c:v>2.2000445755834708E-2</c:v>
                </c:pt>
                <c:pt idx="6723">
                  <c:v>2.2124818529166035E-2</c:v>
                </c:pt>
                <c:pt idx="6724">
                  <c:v>2.2249154319811559E-2</c:v>
                </c:pt>
                <c:pt idx="6725">
                  <c:v>2.2373453144263866E-2</c:v>
                </c:pt>
                <c:pt idx="6726">
                  <c:v>2.2497715019005771E-2</c:v>
                </c:pt>
                <c:pt idx="6727">
                  <c:v>2.262193996051165E-2</c:v>
                </c:pt>
                <c:pt idx="6728">
                  <c:v>2.2746127985243891E-2</c:v>
                </c:pt>
                <c:pt idx="6729">
                  <c:v>2.2870279109657332E-2</c:v>
                </c:pt>
                <c:pt idx="6730">
                  <c:v>2.2400216285429764E-2</c:v>
                </c:pt>
                <c:pt idx="6731">
                  <c:v>2.252438190701378E-2</c:v>
                </c:pt>
                <c:pt idx="6732">
                  <c:v>2.264851065137119E-2</c:v>
                </c:pt>
                <c:pt idx="6733">
                  <c:v>2.277260253492841E-2</c:v>
                </c:pt>
                <c:pt idx="6734">
                  <c:v>2.289665757410253E-2</c:v>
                </c:pt>
                <c:pt idx="6735">
                  <c:v>2.3020675785299538E-2</c:v>
                </c:pt>
                <c:pt idx="6736">
                  <c:v>2.3144657184917428E-2</c:v>
                </c:pt>
                <c:pt idx="6737">
                  <c:v>2.3268601789343091E-2</c:v>
                </c:pt>
                <c:pt idx="6738">
                  <c:v>2.2799037804865474E-2</c:v>
                </c:pt>
                <c:pt idx="6739">
                  <c:v>2.2922996907165594E-2</c:v>
                </c:pt>
                <c:pt idx="6740">
                  <c:v>2.3046919237261321E-2</c:v>
                </c:pt>
                <c:pt idx="6741">
                  <c:v>2.3170804811512014E-2</c:v>
                </c:pt>
                <c:pt idx="6742">
                  <c:v>2.3294653646268593E-2</c:v>
                </c:pt>
                <c:pt idx="6743">
                  <c:v>2.3418465757871765E-2</c:v>
                </c:pt>
                <c:pt idx="6744">
                  <c:v>2.354224116265291E-2</c:v>
                </c:pt>
                <c:pt idx="6745">
                  <c:v>2.3073123792747285E-2</c:v>
                </c:pt>
                <c:pt idx="6746">
                  <c:v>2.3196913689400578E-2</c:v>
                </c:pt>
                <c:pt idx="6747">
                  <c:v>2.3320666902131748E-2</c:v>
                </c:pt>
                <c:pt idx="6748">
                  <c:v>2.3444383447243755E-2</c:v>
                </c:pt>
                <c:pt idx="6749">
                  <c:v>2.3568063341032008E-2</c:v>
                </c:pt>
                <c:pt idx="6750">
                  <c:v>2.3099289538168755E-2</c:v>
                </c:pt>
                <c:pt idx="6751">
                  <c:v>2.3222983904653827E-2</c:v>
                </c:pt>
                <c:pt idx="6752">
                  <c:v>2.3346641642661758E-2</c:v>
                </c:pt>
                <c:pt idx="6753">
                  <c:v>2.287810880843022E-2</c:v>
                </c:pt>
                <c:pt idx="6754">
                  <c:v>2.2409714675452719E-2</c:v>
                </c:pt>
                <c:pt idx="6755">
                  <c:v>2.253343787091433E-2</c:v>
                </c:pt>
                <c:pt idx="6756">
                  <c:v>2.2657124451047395E-2</c:v>
                </c:pt>
                <c:pt idx="6757">
                  <c:v>2.2780774432103801E-2</c:v>
                </c:pt>
                <c:pt idx="6758">
                  <c:v>2.2904387830325224E-2</c:v>
                </c:pt>
                <c:pt idx="6759">
                  <c:v>2.30279646619449E-2</c:v>
                </c:pt>
                <c:pt idx="6760">
                  <c:v>2.3151504943185408E-2</c:v>
                </c:pt>
                <c:pt idx="6761">
                  <c:v>2.3275008690260002E-2</c:v>
                </c:pt>
                <c:pt idx="6762">
                  <c:v>2.2807109863784536E-2</c:v>
                </c:pt>
                <c:pt idx="6763">
                  <c:v>2.2930628006659237E-2</c:v>
                </c:pt>
                <c:pt idx="6764">
                  <c:v>2.3054109638111164E-2</c:v>
                </c:pt>
                <c:pt idx="6765">
                  <c:v>2.3177554774326925E-2</c:v>
                </c:pt>
                <c:pt idx="6766">
                  <c:v>2.3300963431483357E-2</c:v>
                </c:pt>
                <c:pt idx="6767">
                  <c:v>2.3424335625748416E-2</c:v>
                </c:pt>
                <c:pt idx="6768">
                  <c:v>2.35476713732794E-2</c:v>
                </c:pt>
                <c:pt idx="6769">
                  <c:v>2.3670970690224724E-2</c:v>
                </c:pt>
                <c:pt idx="6770">
                  <c:v>2.3794233592723035E-2</c:v>
                </c:pt>
                <c:pt idx="6771">
                  <c:v>2.3917460096904097E-2</c:v>
                </c:pt>
                <c:pt idx="6772">
                  <c:v>2.4040650218887016E-2</c:v>
                </c:pt>
                <c:pt idx="6773">
                  <c:v>2.4163803974782461E-2</c:v>
                </c:pt>
                <c:pt idx="6774">
                  <c:v>2.4286921380690885E-2</c:v>
                </c:pt>
                <c:pt idx="6775">
                  <c:v>2.4410002452703417E-2</c:v>
                </c:pt>
                <c:pt idx="6776">
                  <c:v>2.3942902621478801E-2</c:v>
                </c:pt>
                <c:pt idx="6777">
                  <c:v>2.4065998128749655E-2</c:v>
                </c:pt>
                <c:pt idx="6778">
                  <c:v>2.4189057324661256E-2</c:v>
                </c:pt>
                <c:pt idx="6779">
                  <c:v>2.4312080225278532E-2</c:v>
                </c:pt>
                <c:pt idx="6780">
                  <c:v>2.3845270326455559E-2</c:v>
                </c:pt>
                <c:pt idx="6781">
                  <c:v>2.3968307636802688E-2</c:v>
                </c:pt>
                <c:pt idx="6782">
                  <c:v>2.4091308674357936E-2</c:v>
                </c:pt>
                <c:pt idx="6783">
                  <c:v>2.4214273455159141E-2</c:v>
                </c:pt>
                <c:pt idx="6784">
                  <c:v>2.4337201995234814E-2</c:v>
                </c:pt>
                <c:pt idx="6785">
                  <c:v>2.4460094310604585E-2</c:v>
                </c:pt>
                <c:pt idx="6786">
                  <c:v>2.4582950417278315E-2</c:v>
                </c:pt>
                <c:pt idx="6787">
                  <c:v>2.470577033125565E-2</c:v>
                </c:pt>
                <c:pt idx="6788">
                  <c:v>2.4828554068527797E-2</c:v>
                </c:pt>
                <c:pt idx="6789">
                  <c:v>2.495130164507664E-2</c:v>
                </c:pt>
                <c:pt idx="6790">
                  <c:v>2.5074013076873403E-2</c:v>
                </c:pt>
                <c:pt idx="6791">
                  <c:v>2.519668837988176E-2</c:v>
                </c:pt>
                <c:pt idx="6792">
                  <c:v>2.531932757005384E-2</c:v>
                </c:pt>
                <c:pt idx="6793">
                  <c:v>2.5441930663334222E-2</c:v>
                </c:pt>
                <c:pt idx="6794">
                  <c:v>2.5564497675657272E-2</c:v>
                </c:pt>
                <c:pt idx="6795">
                  <c:v>2.5687028622947583E-2</c:v>
                </c:pt>
                <c:pt idx="6796">
                  <c:v>2.5809523521121758E-2</c:v>
                </c:pt>
                <c:pt idx="6797">
                  <c:v>2.5931982386085739E-2</c:v>
                </c:pt>
                <c:pt idx="6798">
                  <c:v>2.6054405233736144E-2</c:v>
                </c:pt>
                <c:pt idx="6799">
                  <c:v>2.558864327831456E-2</c:v>
                </c:pt>
                <c:pt idx="6800">
                  <c:v>2.5711080606031445E-2</c:v>
                </c:pt>
                <c:pt idx="6801">
                  <c:v>2.5833481938650316E-2</c:v>
                </c:pt>
                <c:pt idx="6802">
                  <c:v>2.5367957815262798E-2</c:v>
                </c:pt>
                <c:pt idx="6803">
                  <c:v>2.5490373596099403E-2</c:v>
                </c:pt>
                <c:pt idx="6804">
                  <c:v>2.5612753404035793E-2</c:v>
                </c:pt>
                <c:pt idx="6805">
                  <c:v>2.5147466874434699E-2</c:v>
                </c:pt>
                <c:pt idx="6806">
                  <c:v>2.5269861098808466E-2</c:v>
                </c:pt>
                <c:pt idx="6807">
                  <c:v>2.4804761595990321E-2</c:v>
                </c:pt>
                <c:pt idx="6808">
                  <c:v>2.4927170198753235E-2</c:v>
                </c:pt>
                <c:pt idx="6809">
                  <c:v>2.5049542857130902E-2</c:v>
                </c:pt>
                <c:pt idx="6810">
                  <c:v>2.5171879586953771E-2</c:v>
                </c:pt>
                <c:pt idx="6811">
                  <c:v>2.4707067531592575E-2</c:v>
                </c:pt>
                <c:pt idx="6812">
                  <c:v>2.4829418614492393E-2</c:v>
                </c:pt>
                <c:pt idx="6813">
                  <c:v>2.4951733790984587E-2</c:v>
                </c:pt>
                <c:pt idx="6814">
                  <c:v>2.4487158616779858E-2</c:v>
                </c:pt>
                <c:pt idx="6815">
                  <c:v>2.4609488114768929E-2</c:v>
                </c:pt>
                <c:pt idx="6816">
                  <c:v>2.4731781728482005E-2</c:v>
                </c:pt>
                <c:pt idx="6817">
                  <c:v>2.4854039473706013E-2</c:v>
                </c:pt>
                <c:pt idx="6818">
                  <c:v>2.4976261366218555E-2</c:v>
                </c:pt>
                <c:pt idx="6819">
                  <c:v>2.4512023143823836E-2</c:v>
                </c:pt>
                <c:pt idx="6820">
                  <c:v>2.4634259338966569E-2</c:v>
                </c:pt>
                <c:pt idx="6821">
                  <c:v>2.4756459703479727E-2</c:v>
                </c:pt>
                <c:pt idx="6822">
                  <c:v>2.4878624253114268E-2</c:v>
                </c:pt>
                <c:pt idx="6823">
                  <c:v>2.5000753003613596E-2</c:v>
                </c:pt>
                <c:pt idx="6824">
                  <c:v>2.5122845970710905E-2</c:v>
                </c:pt>
                <c:pt idx="6825">
                  <c:v>2.4658994278963231E-2</c:v>
                </c:pt>
                <c:pt idx="6826">
                  <c:v>2.4781101536158978E-2</c:v>
                </c:pt>
                <c:pt idx="6827">
                  <c:v>2.4903173031967096E-2</c:v>
                </c:pt>
                <c:pt idx="6828">
                  <c:v>2.5025208782095465E-2</c:v>
                </c:pt>
                <c:pt idx="6829">
                  <c:v>2.5147208802243082E-2</c:v>
                </c:pt>
                <c:pt idx="6830">
                  <c:v>2.5269173108099174E-2</c:v>
                </c:pt>
                <c:pt idx="6831">
                  <c:v>2.5391101715343645E-2</c:v>
                </c:pt>
                <c:pt idx="6832">
                  <c:v>2.5512994639647957E-2</c:v>
                </c:pt>
                <c:pt idx="6833">
                  <c:v>2.5634851896673805E-2</c:v>
                </c:pt>
                <c:pt idx="6834">
                  <c:v>2.5756673502073557E-2</c:v>
                </c:pt>
                <c:pt idx="6835">
                  <c:v>2.5878459471491144E-2</c:v>
                </c:pt>
                <c:pt idx="6836">
                  <c:v>2.6000209820560727E-2</c:v>
                </c:pt>
                <c:pt idx="6837">
                  <c:v>2.6121924564908028E-2</c:v>
                </c:pt>
                <c:pt idx="6838">
                  <c:v>2.6243603720148556E-2</c:v>
                </c:pt>
                <c:pt idx="6839">
                  <c:v>2.6365247301889383E-2</c:v>
                </c:pt>
                <c:pt idx="6840">
                  <c:v>2.6486855325728698E-2</c:v>
                </c:pt>
                <c:pt idx="6841">
                  <c:v>2.6023888862347633E-2</c:v>
                </c:pt>
                <c:pt idx="6842">
                  <c:v>2.6145511226104201E-2</c:v>
                </c:pt>
                <c:pt idx="6843">
                  <c:v>2.5682729901806756E-2</c:v>
                </c:pt>
                <c:pt idx="6844">
                  <c:v>2.5220083775091329E-2</c:v>
                </c:pt>
                <c:pt idx="6845">
                  <c:v>2.5341770245463024E-2</c:v>
                </c:pt>
                <c:pt idx="6846">
                  <c:v>2.4879309027029173E-2</c:v>
                </c:pt>
                <c:pt idx="6847">
                  <c:v>2.4416982853483482E-2</c:v>
                </c:pt>
                <c:pt idx="6848">
                  <c:v>2.4538733271520563E-2</c:v>
                </c:pt>
                <c:pt idx="6849">
                  <c:v>2.4660448147179714E-2</c:v>
                </c:pt>
                <c:pt idx="6850">
                  <c:v>2.4782127496021378E-2</c:v>
                </c:pt>
                <c:pt idx="6851">
                  <c:v>2.4903771333598002E-2</c:v>
                </c:pt>
                <c:pt idx="6852">
                  <c:v>2.5025379675453596E-2</c:v>
                </c:pt>
                <c:pt idx="6853">
                  <c:v>2.5146952537121514E-2</c:v>
                </c:pt>
                <c:pt idx="6854">
                  <c:v>2.5268489934127558E-2</c:v>
                </c:pt>
                <c:pt idx="6855">
                  <c:v>2.4806646395623133E-2</c:v>
                </c:pt>
                <c:pt idx="6856">
                  <c:v>2.4928197970428556E-2</c:v>
                </c:pt>
                <c:pt idx="6857">
                  <c:v>2.5049714102290288E-2</c:v>
                </c:pt>
                <c:pt idx="6858">
                  <c:v>2.4588104427699431E-2</c:v>
                </c:pt>
                <c:pt idx="6859">
                  <c:v>2.4709634706373773E-2</c:v>
                </c:pt>
                <c:pt idx="6860">
                  <c:v>2.4248209132445186E-2</c:v>
                </c:pt>
                <c:pt idx="6861">
                  <c:v>2.4369753520800064E-2</c:v>
                </c:pt>
                <c:pt idx="6862">
                  <c:v>2.4491262494123145E-2</c:v>
                </c:pt>
                <c:pt idx="6863">
                  <c:v>2.4030070372333512E-2</c:v>
                </c:pt>
                <c:pt idx="6864">
                  <c:v>2.3569012591389438E-2</c:v>
                </c:pt>
                <c:pt idx="6865">
                  <c:v>2.3690585087940974E-2</c:v>
                </c:pt>
                <c:pt idx="6866">
                  <c:v>2.3812122181901874E-2</c:v>
                </c:pt>
                <c:pt idx="6867">
                  <c:v>2.3933623888733546E-2</c:v>
                </c:pt>
                <c:pt idx="6868">
                  <c:v>2.4055090223889408E-2</c:v>
                </c:pt>
                <c:pt idx="6869">
                  <c:v>2.417652120281355E-2</c:v>
                </c:pt>
                <c:pt idx="6870">
                  <c:v>2.4297916840940292E-2</c:v>
                </c:pt>
                <c:pt idx="6871">
                  <c:v>2.4419277153695962E-2</c:v>
                </c:pt>
                <c:pt idx="6872">
                  <c:v>2.4540602156497116E-2</c:v>
                </c:pt>
                <c:pt idx="6873">
                  <c:v>2.4080073682934078E-2</c:v>
                </c:pt>
                <c:pt idx="6874">
                  <c:v>2.361967916180685E-2</c:v>
                </c:pt>
                <c:pt idx="6875">
                  <c:v>2.3741067509523539E-2</c:v>
                </c:pt>
                <c:pt idx="6876">
                  <c:v>2.3280856151410845E-2</c:v>
                </c:pt>
                <c:pt idx="6877">
                  <c:v>2.3402258461377112E-2</c:v>
                </c:pt>
                <c:pt idx="6878">
                  <c:v>2.3523625479974442E-2</c:v>
                </c:pt>
                <c:pt idx="6879">
                  <c:v>2.3063646366608737E-2</c:v>
                </c:pt>
                <c:pt idx="6880">
                  <c:v>2.318502731692007E-2</c:v>
                </c:pt>
                <c:pt idx="6881">
                  <c:v>2.2725231053530859E-2</c:v>
                </c:pt>
                <c:pt idx="6882">
                  <c:v>2.2846625898876205E-2</c:v>
                </c:pt>
                <c:pt idx="6883">
                  <c:v>2.2967985480649933E-2</c:v>
                </c:pt>
                <c:pt idx="6884">
                  <c:v>2.3089309814214865E-2</c:v>
                </c:pt>
                <c:pt idx="6885">
                  <c:v>2.3210598914925828E-2</c:v>
                </c:pt>
                <c:pt idx="6886">
                  <c:v>2.3331852798127883E-2</c:v>
                </c:pt>
                <c:pt idx="6887">
                  <c:v>2.3453071479157206E-2</c:v>
                </c:pt>
                <c:pt idx="6888">
                  <c:v>2.3574254973341979E-2</c:v>
                </c:pt>
                <c:pt idx="6889">
                  <c:v>2.3695403295999728E-2</c:v>
                </c:pt>
                <c:pt idx="6890">
                  <c:v>2.3816516462441317E-2</c:v>
                </c:pt>
                <c:pt idx="6891">
                  <c:v>2.3937594487966951E-2</c:v>
                </c:pt>
                <c:pt idx="6892">
                  <c:v>2.4058637387868398E-2</c:v>
                </c:pt>
                <c:pt idx="6893">
                  <c:v>2.4179645177429432E-2</c:v>
                </c:pt>
                <c:pt idx="6894">
                  <c:v>2.4300617871923613E-2</c:v>
                </c:pt>
                <c:pt idx="6895">
                  <c:v>2.4421555486616953E-2</c:v>
                </c:pt>
                <c:pt idx="6896">
                  <c:v>2.4542458036765247E-2</c:v>
                </c:pt>
                <c:pt idx="6897">
                  <c:v>2.4663325537616743E-2</c:v>
                </c:pt>
                <c:pt idx="6898">
                  <c:v>2.4784158004409917E-2</c:v>
                </c:pt>
                <c:pt idx="6899">
                  <c:v>2.4904955452374811E-2</c:v>
                </c:pt>
                <c:pt idx="6900">
                  <c:v>2.502571789673258E-2</c:v>
                </c:pt>
                <c:pt idx="6901">
                  <c:v>2.5146445352695501E-2</c:v>
                </c:pt>
                <c:pt idx="6902">
                  <c:v>2.5267137835467413E-2</c:v>
                </c:pt>
                <c:pt idx="6903">
                  <c:v>2.4808504990945668E-2</c:v>
                </c:pt>
                <c:pt idx="6904">
                  <c:v>2.4929211455095412E-2</c:v>
                </c:pt>
                <c:pt idx="6905">
                  <c:v>2.5049882967322912E-2</c:v>
                </c:pt>
                <c:pt idx="6906">
                  <c:v>2.5170519542806691E-2</c:v>
                </c:pt>
                <c:pt idx="6907">
                  <c:v>2.5291121196717281E-2</c:v>
                </c:pt>
                <c:pt idx="6908">
                  <c:v>2.5411687944215444E-2</c:v>
                </c:pt>
                <c:pt idx="6909">
                  <c:v>2.4953432360141914E-2</c:v>
                </c:pt>
                <c:pt idx="6910">
                  <c:v>2.4495309373169682E-2</c:v>
                </c:pt>
                <c:pt idx="6911">
                  <c:v>2.461593891707814E-2</c:v>
                </c:pt>
                <c:pt idx="6912">
                  <c:v>2.4157997263547948E-2</c:v>
                </c:pt>
                <c:pt idx="6913">
                  <c:v>2.4278640697986908E-2</c:v>
                </c:pt>
                <c:pt idx="6914">
                  <c:v>2.4399249244214882E-2</c:v>
                </c:pt>
                <c:pt idx="6915">
                  <c:v>2.3941537533526347E-2</c:v>
                </c:pt>
                <c:pt idx="6916">
                  <c:v>2.4062159940128947E-2</c:v>
                </c:pt>
                <c:pt idx="6917">
                  <c:v>2.4182747479725819E-2</c:v>
                </c:pt>
                <c:pt idx="6918">
                  <c:v>2.4303300167432429E-2</c:v>
                </c:pt>
                <c:pt idx="6919">
                  <c:v>2.3845866855229492E-2</c:v>
                </c:pt>
                <c:pt idx="6920">
                  <c:v>2.396643337929083E-2</c:v>
                </c:pt>
                <c:pt idx="6921">
                  <c:v>2.4086965072636524E-2</c:v>
                </c:pt>
                <c:pt idx="6922">
                  <c:v>2.4207461950357168E-2</c:v>
                </c:pt>
                <c:pt idx="6923">
                  <c:v>2.4327924027535364E-2</c:v>
                </c:pt>
                <c:pt idx="6924">
                  <c:v>2.4448351319245276E-2</c:v>
                </c:pt>
                <c:pt idx="6925">
                  <c:v>2.4568743840551743E-2</c:v>
                </c:pt>
                <c:pt idx="6926">
                  <c:v>2.468910160651161E-2</c:v>
                </c:pt>
                <c:pt idx="6927">
                  <c:v>2.4232140752824982E-2</c:v>
                </c:pt>
                <c:pt idx="6928">
                  <c:v>2.377531177817227E-2</c:v>
                </c:pt>
                <c:pt idx="6929">
                  <c:v>2.3895731924562735E-2</c:v>
                </c:pt>
                <c:pt idx="6930">
                  <c:v>2.4016117327691155E-2</c:v>
                </c:pt>
                <c:pt idx="6931">
                  <c:v>2.4136468002591283E-2</c:v>
                </c:pt>
                <c:pt idx="6932">
                  <c:v>2.4256783964288431E-2</c:v>
                </c:pt>
                <c:pt idx="6933">
                  <c:v>2.4377065227798589E-2</c:v>
                </c:pt>
                <c:pt idx="6934">
                  <c:v>2.449731180813064E-2</c:v>
                </c:pt>
                <c:pt idx="6935">
                  <c:v>2.4617523720283252E-2</c:v>
                </c:pt>
                <c:pt idx="6936">
                  <c:v>2.4161165954744046E-2</c:v>
                </c:pt>
                <c:pt idx="6937">
                  <c:v>2.4281391661684193E-2</c:v>
                </c:pt>
                <c:pt idx="6938">
                  <c:v>2.440158272144588E-2</c:v>
                </c:pt>
                <c:pt idx="6939">
                  <c:v>2.394545331122977E-2</c:v>
                </c:pt>
                <c:pt idx="6940">
                  <c:v>2.3489455312540652E-2</c:v>
                </c:pt>
                <c:pt idx="6941">
                  <c:v>2.3033588668596838E-2</c:v>
                </c:pt>
                <c:pt idx="6942">
                  <c:v>2.315389018900893E-2</c:v>
                </c:pt>
                <c:pt idx="6943">
                  <c:v>2.2698203141668483E-2</c:v>
                </c:pt>
                <c:pt idx="6944">
                  <c:v>2.2818518307701652E-2</c:v>
                </c:pt>
                <c:pt idx="6945">
                  <c:v>2.2938798835714369E-2</c:v>
                </c:pt>
                <c:pt idx="6946">
                  <c:v>2.248333950174386E-2</c:v>
                </c:pt>
                <c:pt idx="6947">
                  <c:v>2.2603633645780441E-2</c:v>
                </c:pt>
                <c:pt idx="6948">
                  <c:v>2.2723893172796661E-2</c:v>
                </c:pt>
                <c:pt idx="6949">
                  <c:v>2.2844118097733901E-2</c:v>
                </c:pt>
                <c:pt idx="6950">
                  <c:v>2.2964308435523328E-2</c:v>
                </c:pt>
                <c:pt idx="6951">
                  <c:v>2.3084464201088561E-2</c:v>
                </c:pt>
                <c:pt idx="6952">
                  <c:v>2.3204585409343892E-2</c:v>
                </c:pt>
                <c:pt idx="6953">
                  <c:v>2.2749546266425558E-2</c:v>
                </c:pt>
                <c:pt idx="6954">
                  <c:v>2.2869681085307736E-2</c:v>
                </c:pt>
                <c:pt idx="6955">
                  <c:v>2.2989781367803719E-2</c:v>
                </c:pt>
                <c:pt idx="6956">
                  <c:v>2.3109847128804262E-2</c:v>
                </c:pt>
                <c:pt idx="6957">
                  <c:v>2.3229878383191682E-2</c:v>
                </c:pt>
                <c:pt idx="6958">
                  <c:v>2.3349875145838972E-2</c:v>
                </c:pt>
                <c:pt idx="6959">
                  <c:v>2.3469837431612017E-2</c:v>
                </c:pt>
                <c:pt idx="6960">
                  <c:v>2.358976525536649E-2</c:v>
                </c:pt>
                <c:pt idx="6961">
                  <c:v>2.3709658631950514E-2</c:v>
                </c:pt>
                <c:pt idx="6962">
                  <c:v>2.382951757620333E-2</c:v>
                </c:pt>
                <c:pt idx="6963">
                  <c:v>2.3949342102956184E-2</c:v>
                </c:pt>
                <c:pt idx="6964">
                  <c:v>2.3494914598550132E-2</c:v>
                </c:pt>
                <c:pt idx="6965">
                  <c:v>2.3614752754400836E-2</c:v>
                </c:pt>
                <c:pt idx="6966">
                  <c:v>2.3734556513536287E-2</c:v>
                </c:pt>
                <c:pt idx="6967">
                  <c:v>2.328035545024143E-2</c:v>
                </c:pt>
                <c:pt idx="6968">
                  <c:v>2.340017280905915E-2</c:v>
                </c:pt>
                <c:pt idx="6969">
                  <c:v>2.3519955791931224E-2</c:v>
                </c:pt>
                <c:pt idx="6970">
                  <c:v>2.3065980948359321E-2</c:v>
                </c:pt>
                <c:pt idx="6971">
                  <c:v>2.2612136314121845E-2</c:v>
                </c:pt>
                <c:pt idx="6972">
                  <c:v>2.273198076638705E-2</c:v>
                </c:pt>
                <c:pt idx="6973">
                  <c:v>2.2278314152142542E-2</c:v>
                </c:pt>
                <c:pt idx="6974">
                  <c:v>2.2398172098280433E-2</c:v>
                </c:pt>
                <c:pt idx="6975">
                  <c:v>2.2517995686400116E-2</c:v>
                </c:pt>
                <c:pt idx="6976">
                  <c:v>2.2637784931272886E-2</c:v>
                </c:pt>
                <c:pt idx="6977">
                  <c:v>2.21843918321869E-2</c:v>
                </c:pt>
                <c:pt idx="6978">
                  <c:v>2.2304194547742906E-2</c:v>
                </c:pt>
                <c:pt idx="6979">
                  <c:v>2.1850979127582715E-2</c:v>
                </c:pt>
                <c:pt idx="6980">
                  <c:v>2.197079527872603E-2</c:v>
                </c:pt>
                <c:pt idx="6981">
                  <c:v>2.2090577113343279E-2</c:v>
                </c:pt>
                <c:pt idx="6982">
                  <c:v>2.2210324646174673E-2</c:v>
                </c:pt>
                <c:pt idx="6983">
                  <c:v>2.2330037891953314E-2</c:v>
                </c:pt>
                <c:pt idx="6984">
                  <c:v>2.244971686540298E-2</c:v>
                </c:pt>
                <c:pt idx="6985">
                  <c:v>2.2569361581239011E-2</c:v>
                </c:pt>
                <c:pt idx="6986">
                  <c:v>2.2688972054167866E-2</c:v>
                </c:pt>
                <c:pt idx="6987">
                  <c:v>2.2808548298888898E-2</c:v>
                </c:pt>
                <c:pt idx="6988">
                  <c:v>2.2928090330092576E-2</c:v>
                </c:pt>
                <c:pt idx="6989">
                  <c:v>2.3047598162459604E-2</c:v>
                </c:pt>
                <c:pt idx="6990">
                  <c:v>2.3167071810664464E-2</c:v>
                </c:pt>
                <c:pt idx="6991">
                  <c:v>2.328651128937187E-2</c:v>
                </c:pt>
                <c:pt idx="6992">
                  <c:v>2.3405916613238098E-2</c:v>
                </c:pt>
                <c:pt idx="6993">
                  <c:v>2.3525287796911876E-2</c:v>
                </c:pt>
                <c:pt idx="6994">
                  <c:v>2.3644624855032603E-2</c:v>
                </c:pt>
                <c:pt idx="6995">
                  <c:v>2.3763927802232132E-2</c:v>
                </c:pt>
                <c:pt idx="6996">
                  <c:v>2.3883196653133432E-2</c:v>
                </c:pt>
                <c:pt idx="6997">
                  <c:v>2.4002431422351478E-2</c:v>
                </c:pt>
                <c:pt idx="6998">
                  <c:v>2.4121632124492809E-2</c:v>
                </c:pt>
                <c:pt idx="6999">
                  <c:v>2.3669451823719267E-2</c:v>
                </c:pt>
                <c:pt idx="7000">
                  <c:v>2.3217400680415334E-2</c:v>
                </c:pt>
                <c:pt idx="7001">
                  <c:v>2.3336662417632326E-2</c:v>
                </c:pt>
                <c:pt idx="7002">
                  <c:v>2.2884787872228696E-2</c:v>
                </c:pt>
                <c:pt idx="7003">
                  <c:v>2.3004063041184963E-2</c:v>
                </c:pt>
                <c:pt idx="7004">
                  <c:v>2.3123304160706404E-2</c:v>
                </c:pt>
                <c:pt idx="7005">
                  <c:v>2.3242511245371578E-2</c:v>
                </c:pt>
                <c:pt idx="7006">
                  <c:v>2.3361684309750164E-2</c:v>
                </c:pt>
                <c:pt idx="7007">
                  <c:v>2.2910128547458886E-2</c:v>
                </c:pt>
                <c:pt idx="7008">
                  <c:v>2.3029315026469543E-2</c:v>
                </c:pt>
                <c:pt idx="7009">
                  <c:v>2.3148467505628378E-2</c:v>
                </c:pt>
                <c:pt idx="7010">
                  <c:v>2.3267585999482421E-2</c:v>
                </c:pt>
                <c:pt idx="7011">
                  <c:v>2.2816301208438805E-2</c:v>
                </c:pt>
                <c:pt idx="7012">
                  <c:v>2.2365145098544481E-2</c:v>
                </c:pt>
                <c:pt idx="7013">
                  <c:v>2.2484324314697268E-2</c:v>
                </c:pt>
                <c:pt idx="7014">
                  <c:v>2.2033344129705146E-2</c:v>
                </c:pt>
                <c:pt idx="7015">
                  <c:v>2.2152536662451539E-2</c:v>
                </c:pt>
                <c:pt idx="7016">
                  <c:v>2.1701732275125618E-2</c:v>
                </c:pt>
                <c:pt idx="7017">
                  <c:v>2.1820938089933239E-2</c:v>
                </c:pt>
                <c:pt idx="7018">
                  <c:v>2.1940109942970576E-2</c:v>
                </c:pt>
                <c:pt idx="7019">
                  <c:v>2.2059247848748242E-2</c:v>
                </c:pt>
                <c:pt idx="7020">
                  <c:v>2.2178351821770637E-2</c:v>
                </c:pt>
                <c:pt idx="7021">
                  <c:v>2.2297421876531942E-2</c:v>
                </c:pt>
                <c:pt idx="7022">
                  <c:v>2.2416458027518793E-2</c:v>
                </c:pt>
                <c:pt idx="7023">
                  <c:v>2.2535460289210274E-2</c:v>
                </c:pt>
                <c:pt idx="7024">
                  <c:v>2.2654428676076588E-2</c:v>
                </c:pt>
                <c:pt idx="7025">
                  <c:v>2.2773363202579056E-2</c:v>
                </c:pt>
                <c:pt idx="7026">
                  <c:v>2.2323111919597682E-2</c:v>
                </c:pt>
                <c:pt idx="7027">
                  <c:v>2.2442059740694908E-2</c:v>
                </c:pt>
                <c:pt idx="7028">
                  <c:v>2.1991983679054528E-2</c:v>
                </c:pt>
                <c:pt idx="7029">
                  <c:v>2.2110944760370455E-2</c:v>
                </c:pt>
                <c:pt idx="7030">
                  <c:v>2.2229872007476725E-2</c:v>
                </c:pt>
                <c:pt idx="7031">
                  <c:v>2.178001810080854E-2</c:v>
                </c:pt>
                <c:pt idx="7032">
                  <c:v>2.1898958579669614E-2</c:v>
                </c:pt>
                <c:pt idx="7033">
                  <c:v>2.2017865244606138E-2</c:v>
                </c:pt>
                <c:pt idx="7034">
                  <c:v>2.1568233277745374E-2</c:v>
                </c:pt>
                <c:pt idx="7035">
                  <c:v>2.1118729101694544E-2</c:v>
                </c:pt>
                <c:pt idx="7036">
                  <c:v>2.1237695941323853E-2</c:v>
                </c:pt>
                <c:pt idx="7037">
                  <c:v>2.1356628978753456E-2</c:v>
                </c:pt>
                <c:pt idx="7038">
                  <c:v>2.1475528228388718E-2</c:v>
                </c:pt>
                <c:pt idx="7039">
                  <c:v>2.1026292582625672E-2</c:v>
                </c:pt>
                <c:pt idx="7040">
                  <c:v>2.1145204973115117E-2</c:v>
                </c:pt>
                <c:pt idx="7041">
                  <c:v>2.1264083596065131E-2</c:v>
                </c:pt>
                <c:pt idx="7042">
                  <c:v>2.0815069294931376E-2</c:v>
                </c:pt>
                <c:pt idx="7043">
                  <c:v>2.0366182464145677E-2</c:v>
                </c:pt>
                <c:pt idx="7044">
                  <c:v>2.0485121034107046E-2</c:v>
                </c:pt>
                <c:pt idx="7045">
                  <c:v>2.0604025848265817E-2</c:v>
                </c:pt>
                <c:pt idx="7046">
                  <c:v>2.0155360031092417E-2</c:v>
                </c:pt>
                <c:pt idx="7047">
                  <c:v>2.0274277889849479E-2</c:v>
                </c:pt>
                <c:pt idx="7048">
                  <c:v>1.9825786126518974E-2</c:v>
                </c:pt>
                <c:pt idx="7049">
                  <c:v>1.9944716995939249E-2</c:v>
                </c:pt>
                <c:pt idx="7050">
                  <c:v>2.0063614135674701E-2</c:v>
                </c:pt>
                <c:pt idx="7051">
                  <c:v>2.0182477560072076E-2</c:v>
                </c:pt>
                <c:pt idx="7052">
                  <c:v>1.9734253129798596E-2</c:v>
                </c:pt>
                <c:pt idx="7053">
                  <c:v>1.985312954273688E-2</c:v>
                </c:pt>
                <c:pt idx="7054">
                  <c:v>1.9971972260547144E-2</c:v>
                </c:pt>
                <c:pt idx="7055">
                  <c:v>2.0090781297552596E-2</c:v>
                </c:pt>
                <c:pt idx="7056">
                  <c:v>2.0209556668070228E-2</c:v>
                </c:pt>
                <c:pt idx="7057">
                  <c:v>2.0328298386407262E-2</c:v>
                </c:pt>
                <c:pt idx="7058">
                  <c:v>2.0447006466864259E-2</c:v>
                </c:pt>
                <c:pt idx="7059">
                  <c:v>2.056568092373201E-2</c:v>
                </c:pt>
                <c:pt idx="7060">
                  <c:v>2.0117909989929128E-2</c:v>
                </c:pt>
                <c:pt idx="7061">
                  <c:v>2.0236597436682935E-2</c:v>
                </c:pt>
                <c:pt idx="7062">
                  <c:v>2.0355251279969178E-2</c:v>
                </c:pt>
                <c:pt idx="7063">
                  <c:v>2.0473871534056887E-2</c:v>
                </c:pt>
                <c:pt idx="7064">
                  <c:v>2.0592458213207099E-2</c:v>
                </c:pt>
                <c:pt idx="7065">
                  <c:v>2.0711011331672857E-2</c:v>
                </c:pt>
                <c:pt idx="7066">
                  <c:v>2.0829530903698767E-2</c:v>
                </c:pt>
                <c:pt idx="7067">
                  <c:v>2.0948016943521441E-2</c:v>
                </c:pt>
                <c:pt idx="7068">
                  <c:v>2.1066469465369497E-2</c:v>
                </c:pt>
                <c:pt idx="7069">
                  <c:v>2.1184888483464004E-2</c:v>
                </c:pt>
                <c:pt idx="7070">
                  <c:v>2.1303274012016704E-2</c:v>
                </c:pt>
                <c:pt idx="7071">
                  <c:v>2.1421626065233124E-2</c:v>
                </c:pt>
                <c:pt idx="7072">
                  <c:v>2.1539944657309018E-2</c:v>
                </c:pt>
                <c:pt idx="7073">
                  <c:v>2.1658229802433038E-2</c:v>
                </c:pt>
                <c:pt idx="7074">
                  <c:v>2.1776481514785839E-2</c:v>
                </c:pt>
                <c:pt idx="7075">
                  <c:v>2.1329488560835497E-2</c:v>
                </c:pt>
                <c:pt idx="7076">
                  <c:v>2.1447753304809858E-2</c:v>
                </c:pt>
                <c:pt idx="7077">
                  <c:v>2.1565984635945057E-2</c:v>
                </c:pt>
                <c:pt idx="7078">
                  <c:v>2.1684182568399102E-2</c:v>
                </c:pt>
                <c:pt idx="7079">
                  <c:v>2.1802347116322007E-2</c:v>
                </c:pt>
                <c:pt idx="7080">
                  <c:v>2.192047829385535E-2</c:v>
                </c:pt>
                <c:pt idx="7081">
                  <c:v>2.2038576115134045E-2</c:v>
                </c:pt>
                <c:pt idx="7082">
                  <c:v>2.2156640594283683E-2</c:v>
                </c:pt>
                <c:pt idx="7083">
                  <c:v>2.2274671745422303E-2</c:v>
                </c:pt>
                <c:pt idx="7084">
                  <c:v>2.2392669582659508E-2</c:v>
                </c:pt>
                <c:pt idx="7085">
                  <c:v>2.2510634120098238E-2</c:v>
                </c:pt>
                <c:pt idx="7086">
                  <c:v>2.262856537183211E-2</c:v>
                </c:pt>
                <c:pt idx="7087">
                  <c:v>2.2746463351947632E-2</c:v>
                </c:pt>
                <c:pt idx="7088">
                  <c:v>2.230015318030576E-2</c:v>
                </c:pt>
                <c:pt idx="7089">
                  <c:v>2.2418064221517042E-2</c:v>
                </c:pt>
                <c:pt idx="7090">
                  <c:v>2.2535942010883492E-2</c:v>
                </c:pt>
                <c:pt idx="7091">
                  <c:v>2.2653786562469858E-2</c:v>
                </c:pt>
                <c:pt idx="7092">
                  <c:v>2.2207741109953272E-2</c:v>
                </c:pt>
                <c:pt idx="7093">
                  <c:v>2.2325598700552174E-2</c:v>
                </c:pt>
                <c:pt idx="7094">
                  <c:v>2.1879725215167234E-2</c:v>
                </c:pt>
                <c:pt idx="7095">
                  <c:v>2.1997595811362292E-2</c:v>
                </c:pt>
                <c:pt idx="7096">
                  <c:v>2.2115433195216916E-2</c:v>
                </c:pt>
                <c:pt idx="7097">
                  <c:v>2.2233237380766102E-2</c:v>
                </c:pt>
                <c:pt idx="7098">
                  <c:v>2.1787628100347511E-2</c:v>
                </c:pt>
                <c:pt idx="7099">
                  <c:v>2.1905445269522428E-2</c:v>
                </c:pt>
                <c:pt idx="7100">
                  <c:v>2.2023229260108135E-2</c:v>
                </c:pt>
                <c:pt idx="7101">
                  <c:v>2.2140980086118311E-2</c:v>
                </c:pt>
                <c:pt idx="7102">
                  <c:v>2.1695634698495336E-2</c:v>
                </c:pt>
                <c:pt idx="7103">
                  <c:v>2.1813398486209667E-2</c:v>
                </c:pt>
                <c:pt idx="7104">
                  <c:v>2.1368224541363556E-2</c:v>
                </c:pt>
                <c:pt idx="7105">
                  <c:v>2.1486001257540632E-2</c:v>
                </c:pt>
                <c:pt idx="7106">
                  <c:v>2.1603744834517435E-2</c:v>
                </c:pt>
                <c:pt idx="7107">
                  <c:v>2.1721455286279667E-2</c:v>
                </c:pt>
                <c:pt idx="7108">
                  <c:v>2.1839132626803259E-2</c:v>
                </c:pt>
                <c:pt idx="7109">
                  <c:v>2.139426808085787E-2</c:v>
                </c:pt>
                <c:pt idx="7110">
                  <c:v>2.1511958333716663E-2</c:v>
                </c:pt>
                <c:pt idx="7111">
                  <c:v>2.1629615494981103E-2</c:v>
                </c:pt>
                <c:pt idx="7112">
                  <c:v>2.1747239578607136E-2</c:v>
                </c:pt>
                <c:pt idx="7113">
                  <c:v>2.130263804759247E-2</c:v>
                </c:pt>
                <c:pt idx="7114">
                  <c:v>2.1420275021786228E-2</c:v>
                </c:pt>
                <c:pt idx="7115">
                  <c:v>2.1537878937957444E-2</c:v>
                </c:pt>
                <c:pt idx="7116">
                  <c:v>2.1655449810038085E-2</c:v>
                </c:pt>
                <c:pt idx="7117">
                  <c:v>2.1772987651954345E-2</c:v>
                </c:pt>
                <c:pt idx="7118">
                  <c:v>2.132869472481369E-2</c:v>
                </c:pt>
                <c:pt idx="7119">
                  <c:v>2.1446245441241629E-2</c:v>
                </c:pt>
                <c:pt idx="7120">
                  <c:v>2.1563763147078419E-2</c:v>
                </c:pt>
                <c:pt idx="7121">
                  <c:v>2.1681247856226715E-2</c:v>
                </c:pt>
                <c:pt idx="7122">
                  <c:v>2.1798699582582071E-2</c:v>
                </c:pt>
                <c:pt idx="7123">
                  <c:v>2.1916118340031598E-2</c:v>
                </c:pt>
                <c:pt idx="7124">
                  <c:v>2.2033504142454863E-2</c:v>
                </c:pt>
                <c:pt idx="7125">
                  <c:v>2.2150857003724322E-2</c:v>
                </c:pt>
                <c:pt idx="7126">
                  <c:v>2.2268176937703998E-2</c:v>
                </c:pt>
                <c:pt idx="7127">
                  <c:v>2.2385463958249918E-2</c:v>
                </c:pt>
                <c:pt idx="7128">
                  <c:v>2.1941708261539183E-2</c:v>
                </c:pt>
                <c:pt idx="7129">
                  <c:v>2.2059008168726191E-2</c:v>
                </c:pt>
                <c:pt idx="7130">
                  <c:v>2.2176275181939875E-2</c:v>
                </c:pt>
                <c:pt idx="7131">
                  <c:v>2.1732735447077545E-2</c:v>
                </c:pt>
                <c:pt idx="7132">
                  <c:v>2.1850015319654581E-2</c:v>
                </c:pt>
                <c:pt idx="7133">
                  <c:v>2.1967262317704961E-2</c:v>
                </c:pt>
                <c:pt idx="7134">
                  <c:v>2.2084476455050073E-2</c:v>
                </c:pt>
                <c:pt idx="7135">
                  <c:v>2.1641198168648845E-2</c:v>
                </c:pt>
                <c:pt idx="7136">
                  <c:v>2.1198044084625334E-2</c:v>
                </c:pt>
                <c:pt idx="7137">
                  <c:v>2.1315316714170862E-2</c:v>
                </c:pt>
                <c:pt idx="7138">
                  <c:v>2.1432556494240362E-2</c:v>
                </c:pt>
                <c:pt idx="7139">
                  <c:v>2.1549763438634351E-2</c:v>
                </c:pt>
                <c:pt idx="7140">
                  <c:v>2.1666937561144906E-2</c:v>
                </c:pt>
                <c:pt idx="7141">
                  <c:v>2.1224090075333546E-2</c:v>
                </c:pt>
                <c:pt idx="7142">
                  <c:v>2.1341276981315715E-2</c:v>
                </c:pt>
                <c:pt idx="7143">
                  <c:v>2.1458431084804719E-2</c:v>
                </c:pt>
                <c:pt idx="7144">
                  <c:v>2.1575552399571762E-2</c:v>
                </c:pt>
                <c:pt idx="7145">
                  <c:v>2.1132965551104999E-2</c:v>
                </c:pt>
                <c:pt idx="7146">
                  <c:v>2.1250099627890151E-2</c:v>
                </c:pt>
                <c:pt idx="7147">
                  <c:v>2.1367200935315189E-2</c:v>
                </c:pt>
                <c:pt idx="7148">
                  <c:v>2.0924828927689543E-2</c:v>
                </c:pt>
                <c:pt idx="7149">
                  <c:v>2.1041942970128513E-2</c:v>
                </c:pt>
                <c:pt idx="7150">
                  <c:v>2.1159024262555892E-2</c:v>
                </c:pt>
                <c:pt idx="7151">
                  <c:v>2.1276072818706915E-2</c:v>
                </c:pt>
                <c:pt idx="7152">
                  <c:v>2.1393088652309267E-2</c:v>
                </c:pt>
                <c:pt idx="7153">
                  <c:v>2.1510071777083084E-2</c:v>
                </c:pt>
                <c:pt idx="7154">
                  <c:v>2.1627022206741398E-2</c:v>
                </c:pt>
                <c:pt idx="7155">
                  <c:v>2.1743939954988356E-2</c:v>
                </c:pt>
                <c:pt idx="7156">
                  <c:v>2.1302009723981552E-2</c:v>
                </c:pt>
                <c:pt idx="7157">
                  <c:v>2.1418940208223436E-2</c:v>
                </c:pt>
                <c:pt idx="7158">
                  <c:v>2.1535838030318555E-2</c:v>
                </c:pt>
                <c:pt idx="7159">
                  <c:v>2.165270320395063E-2</c:v>
                </c:pt>
                <c:pt idx="7160">
                  <c:v>2.1211032531402108E-2</c:v>
                </c:pt>
                <c:pt idx="7161">
                  <c:v>2.1327910419699947E-2</c:v>
                </c:pt>
                <c:pt idx="7162">
                  <c:v>2.1444755678771799E-2</c:v>
                </c:pt>
                <c:pt idx="7163">
                  <c:v>2.1561568322279623E-2</c:v>
                </c:pt>
                <c:pt idx="7164">
                  <c:v>2.1678348363876943E-2</c:v>
                </c:pt>
                <c:pt idx="7165">
                  <c:v>2.1236982241098268E-2</c:v>
                </c:pt>
                <c:pt idx="7166">
                  <c:v>2.1353774981635265E-2</c:v>
                </c:pt>
                <c:pt idx="7167">
                  <c:v>2.1470535139457958E-2</c:v>
                </c:pt>
                <c:pt idx="7168">
                  <c:v>2.1587262728198553E-2</c:v>
                </c:pt>
                <c:pt idx="7169">
                  <c:v>2.1146155502383746E-2</c:v>
                </c:pt>
                <c:pt idx="7170">
                  <c:v>2.1262895768823675E-2</c:v>
                </c:pt>
                <c:pt idx="7171">
                  <c:v>2.0821956754553561E-2</c:v>
                </c:pt>
                <c:pt idx="7172">
                  <c:v>2.0938709666409761E-2</c:v>
                </c:pt>
                <c:pt idx="7173">
                  <c:v>2.1055430033900091E-2</c:v>
                </c:pt>
                <c:pt idx="7174">
                  <c:v>2.061470426973866E-2</c:v>
                </c:pt>
                <c:pt idx="7175">
                  <c:v>2.073143725596438E-2</c:v>
                </c:pt>
                <c:pt idx="7176">
                  <c:v>2.0290879427760533E-2</c:v>
                </c:pt>
                <c:pt idx="7177">
                  <c:v>2.0407625000539831E-2</c:v>
                </c:pt>
                <c:pt idx="7178">
                  <c:v>2.0524338053661051E-2</c:v>
                </c:pt>
                <c:pt idx="7179">
                  <c:v>2.0083993116793764E-2</c:v>
                </c:pt>
                <c:pt idx="7180">
                  <c:v>2.0200718729895151E-2</c:v>
                </c:pt>
                <c:pt idx="7181">
                  <c:v>2.0317411842477373E-2</c:v>
                </c:pt>
                <c:pt idx="7182">
                  <c:v>2.0434072468113129E-2</c:v>
                </c:pt>
                <c:pt idx="7183">
                  <c:v>1.9993985241104628E-2</c:v>
                </c:pt>
                <c:pt idx="7184">
                  <c:v>2.0110658405753767E-2</c:v>
                </c:pt>
                <c:pt idx="7185">
                  <c:v>2.0227299102568264E-2</c:v>
                </c:pt>
                <c:pt idx="7186">
                  <c:v>2.0343907345098167E-2</c:v>
                </c:pt>
                <c:pt idx="7187">
                  <c:v>2.0460483146887753E-2</c:v>
                </c:pt>
                <c:pt idx="7188">
                  <c:v>2.0577026521472419E-2</c:v>
                </c:pt>
                <c:pt idx="7189">
                  <c:v>2.0693537482380453E-2</c:v>
                </c:pt>
                <c:pt idx="7190">
                  <c:v>2.0810016043132151E-2</c:v>
                </c:pt>
                <c:pt idx="7191">
                  <c:v>2.0926462217241593E-2</c:v>
                </c:pt>
                <c:pt idx="7192">
                  <c:v>2.0486857113570789E-2</c:v>
                </c:pt>
                <c:pt idx="7193">
                  <c:v>2.0603315833417568E-2</c:v>
                </c:pt>
                <c:pt idx="7194">
                  <c:v>2.0719742185637546E-2</c:v>
                </c:pt>
                <c:pt idx="7195">
                  <c:v>2.0836136183723486E-2</c:v>
                </c:pt>
                <c:pt idx="7196">
                  <c:v>2.0952497841159712E-2</c:v>
                </c:pt>
                <c:pt idx="7197">
                  <c:v>2.1068827171423887E-2</c:v>
                </c:pt>
                <c:pt idx="7198">
                  <c:v>2.1185124187984794E-2</c:v>
                </c:pt>
                <c:pt idx="7199">
                  <c:v>2.1301388904304996E-2</c:v>
                </c:pt>
                <c:pt idx="7200">
                  <c:v>2.1417621333839065E-2</c:v>
                </c:pt>
                <c:pt idx="7201">
                  <c:v>2.153382149003491E-2</c:v>
                </c:pt>
                <c:pt idx="7202">
                  <c:v>2.1649989386331114E-2</c:v>
                </c:pt>
                <c:pt idx="7203">
                  <c:v>2.1766125036160933E-2</c:v>
                </c:pt>
                <c:pt idx="7204">
                  <c:v>2.1327135474875192E-2</c:v>
                </c:pt>
                <c:pt idx="7205">
                  <c:v>2.1443283693403981E-2</c:v>
                </c:pt>
                <c:pt idx="7206">
                  <c:v>2.1559399684346836E-2</c:v>
                </c:pt>
                <c:pt idx="7207">
                  <c:v>2.1675483461115252E-2</c:v>
                </c:pt>
                <c:pt idx="7208">
                  <c:v>2.1791535037114063E-2</c:v>
                </c:pt>
                <c:pt idx="7209">
                  <c:v>2.1907554425738773E-2</c:v>
                </c:pt>
                <c:pt idx="7210">
                  <c:v>2.2023541640378674E-2</c:v>
                </c:pt>
                <c:pt idx="7211">
                  <c:v>2.1584942417415931E-2</c:v>
                </c:pt>
                <c:pt idx="7212">
                  <c:v>2.1700942196178463E-2</c:v>
                </c:pt>
                <c:pt idx="7213">
                  <c:v>2.1816909819770469E-2</c:v>
                </c:pt>
                <c:pt idx="7214">
                  <c:v>2.1932845301559478E-2</c:v>
                </c:pt>
                <c:pt idx="7215">
                  <c:v>2.2048748654906802E-2</c:v>
                </c:pt>
                <c:pt idx="7216">
                  <c:v>2.1610449762936135E-2</c:v>
                </c:pt>
                <c:pt idx="7217">
                  <c:v>2.1726365664951341E-2</c:v>
                </c:pt>
                <c:pt idx="7218">
                  <c:v>2.1842249457298291E-2</c:v>
                </c:pt>
                <c:pt idx="7219">
                  <c:v>2.1958101153317422E-2</c:v>
                </c:pt>
                <c:pt idx="7220">
                  <c:v>2.2073920766340738E-2</c:v>
                </c:pt>
                <c:pt idx="7221">
                  <c:v>2.2189708309694467E-2</c:v>
                </c:pt>
                <c:pt idx="7222">
                  <c:v>2.2305463796696401E-2</c:v>
                </c:pt>
                <c:pt idx="7223">
                  <c:v>2.2421187240656781E-2</c:v>
                </c:pt>
                <c:pt idx="7224">
                  <c:v>2.2536878654878745E-2</c:v>
                </c:pt>
                <c:pt idx="7225">
                  <c:v>2.2099058047123865E-2</c:v>
                </c:pt>
                <c:pt idx="7226">
                  <c:v>2.2214762016183442E-2</c:v>
                </c:pt>
                <c:pt idx="7227">
                  <c:v>2.2330433974185215E-2</c:v>
                </c:pt>
                <c:pt idx="7228">
                  <c:v>2.1892823588629984E-2</c:v>
                </c:pt>
                <c:pt idx="7229">
                  <c:v>2.2008508075260114E-2</c:v>
                </c:pt>
                <c:pt idx="7230">
                  <c:v>2.1571063224365972E-2</c:v>
                </c:pt>
                <c:pt idx="7231">
                  <c:v>2.1686760208077693E-2</c:v>
                </c:pt>
                <c:pt idx="7232">
                  <c:v>2.1802425204787923E-2</c:v>
                </c:pt>
                <c:pt idx="7233">
                  <c:v>2.1918058227760273E-2</c:v>
                </c:pt>
                <c:pt idx="7234">
                  <c:v>2.2033659290251251E-2</c:v>
                </c:pt>
                <c:pt idx="7235">
                  <c:v>2.2149228405508925E-2</c:v>
                </c:pt>
                <c:pt idx="7236">
                  <c:v>2.2264765586775148E-2</c:v>
                </c:pt>
                <c:pt idx="7237">
                  <c:v>2.2380270847283779E-2</c:v>
                </c:pt>
                <c:pt idx="7238">
                  <c:v>2.2495744200262013E-2</c:v>
                </c:pt>
                <c:pt idx="7239">
                  <c:v>2.26111856589295E-2</c:v>
                </c:pt>
                <c:pt idx="7240">
                  <c:v>2.2726595236497893E-2</c:v>
                </c:pt>
                <c:pt idx="7241">
                  <c:v>2.2841972946172628E-2</c:v>
                </c:pt>
                <c:pt idx="7242">
                  <c:v>2.295731880115115E-2</c:v>
                </c:pt>
                <c:pt idx="7243">
                  <c:v>2.3072632814623795E-2</c:v>
                </c:pt>
                <c:pt idx="7244">
                  <c:v>2.3187914999773351E-2</c:v>
                </c:pt>
                <c:pt idx="7245">
                  <c:v>2.2751212837694101E-2</c:v>
                </c:pt>
                <c:pt idx="7246">
                  <c:v>2.2866507558109817E-2</c:v>
                </c:pt>
                <c:pt idx="7247">
                  <c:v>2.2981770468697871E-2</c:v>
                </c:pt>
                <c:pt idx="7248">
                  <c:v>2.3097001582620624E-2</c:v>
                </c:pt>
                <c:pt idx="7249">
                  <c:v>2.2660552864488981E-2</c:v>
                </c:pt>
                <c:pt idx="7250">
                  <c:v>2.2775796492942479E-2</c:v>
                </c:pt>
                <c:pt idx="7251">
                  <c:v>2.2339512410482598E-2</c:v>
                </c:pt>
                <c:pt idx="7252">
                  <c:v>2.245476852214523E-2</c:v>
                </c:pt>
                <c:pt idx="7253">
                  <c:v>2.201864896017236E-2</c:v>
                </c:pt>
                <c:pt idx="7254">
                  <c:v>2.2133917523768254E-2</c:v>
                </c:pt>
                <c:pt idx="7255">
                  <c:v>2.2249154319811559E-2</c:v>
                </c:pt>
                <c:pt idx="7256">
                  <c:v>2.2364359361433106E-2</c:v>
                </c:pt>
                <c:pt idx="7257">
                  <c:v>2.2479532661756618E-2</c:v>
                </c:pt>
                <c:pt idx="7258">
                  <c:v>2.2594674233898271E-2</c:v>
                </c:pt>
                <c:pt idx="7259">
                  <c:v>2.2709784090967133E-2</c:v>
                </c:pt>
                <c:pt idx="7260">
                  <c:v>2.2824862246064725E-2</c:v>
                </c:pt>
                <c:pt idx="7261">
                  <c:v>2.2939908712285906E-2</c:v>
                </c:pt>
                <c:pt idx="7262">
                  <c:v>2.3054923502717983E-2</c:v>
                </c:pt>
                <c:pt idx="7263">
                  <c:v>2.2619321633881917E-2</c:v>
                </c:pt>
                <c:pt idx="7264">
                  <c:v>2.2183839666468863E-2</c:v>
                </c:pt>
                <c:pt idx="7265">
                  <c:v>2.2298911017335055E-2</c:v>
                </c:pt>
                <c:pt idx="7266">
                  <c:v>2.241395070299701E-2</c:v>
                </c:pt>
                <c:pt idx="7267">
                  <c:v>2.2528958736524274E-2</c:v>
                </c:pt>
                <c:pt idx="7268">
                  <c:v>2.2643935130977066E-2</c:v>
                </c:pt>
                <c:pt idx="7269">
                  <c:v>2.2758879899410722E-2</c:v>
                </c:pt>
                <c:pt idx="7270">
                  <c:v>2.287379305487125E-2</c:v>
                </c:pt>
                <c:pt idx="7271">
                  <c:v>2.2988674610399329E-2</c:v>
                </c:pt>
                <c:pt idx="7272">
                  <c:v>2.3103524579027201E-2</c:v>
                </c:pt>
                <c:pt idx="7273">
                  <c:v>2.3218342973780892E-2</c:v>
                </c:pt>
                <c:pt idx="7274">
                  <c:v>2.2783377196353261E-2</c:v>
                </c:pt>
                <c:pt idx="7275">
                  <c:v>2.2898208029005662E-2</c:v>
                </c:pt>
                <c:pt idx="7276">
                  <c:v>2.3013007306057265E-2</c:v>
                </c:pt>
                <c:pt idx="7277">
                  <c:v>2.2578249006717233E-2</c:v>
                </c:pt>
                <c:pt idx="7278">
                  <c:v>2.269306069592103E-2</c:v>
                </c:pt>
                <c:pt idx="7279">
                  <c:v>2.2807840847784089E-2</c:v>
                </c:pt>
                <c:pt idx="7280">
                  <c:v>2.2373289832343879E-2</c:v>
                </c:pt>
                <c:pt idx="7281">
                  <c:v>2.2488082370662799E-2</c:v>
                </c:pt>
                <c:pt idx="7282">
                  <c:v>2.2602843389888161E-2</c:v>
                </c:pt>
                <c:pt idx="7283">
                  <c:v>2.2717572903000249E-2</c:v>
                </c:pt>
                <c:pt idx="7284">
                  <c:v>2.283227092297091E-2</c:v>
                </c:pt>
                <c:pt idx="7285">
                  <c:v>2.2398014723641779E-2</c:v>
                </c:pt>
                <c:pt idx="7286">
                  <c:v>2.2512725114927079E-2</c:v>
                </c:pt>
                <c:pt idx="7287">
                  <c:v>2.2627404031279941E-2</c:v>
                </c:pt>
                <c:pt idx="7288">
                  <c:v>2.274205148565267E-2</c:v>
                </c:pt>
                <c:pt idx="7289">
                  <c:v>2.2308045902732054E-2</c:v>
                </c:pt>
                <c:pt idx="7290">
                  <c:v>2.2422705708067703E-2</c:v>
                </c:pt>
                <c:pt idx="7291">
                  <c:v>2.2537334069606452E-2</c:v>
                </c:pt>
                <c:pt idx="7292">
                  <c:v>2.2651931000281067E-2</c:v>
                </c:pt>
                <c:pt idx="7293">
                  <c:v>2.2766496513017209E-2</c:v>
                </c:pt>
                <c:pt idx="7294">
                  <c:v>2.2881030620732989E-2</c:v>
                </c:pt>
                <c:pt idx="7295">
                  <c:v>2.2995533336340745E-2</c:v>
                </c:pt>
                <c:pt idx="7296">
                  <c:v>2.3110004672744378E-2</c:v>
                </c:pt>
                <c:pt idx="7297">
                  <c:v>2.3224444642841569E-2</c:v>
                </c:pt>
                <c:pt idx="7298">
                  <c:v>2.2790908054042713E-2</c:v>
                </c:pt>
                <c:pt idx="7299">
                  <c:v>2.2905360380895967E-2</c:v>
                </c:pt>
                <c:pt idx="7300">
                  <c:v>2.3019781359535862E-2</c:v>
                </c:pt>
                <c:pt idx="7301">
                  <c:v>2.2586450887818632E-2</c:v>
                </c:pt>
                <c:pt idx="7302">
                  <c:v>2.2700884197720761E-2</c:v>
                </c:pt>
                <c:pt idx="7303">
                  <c:v>2.2267716020063055E-2</c:v>
                </c:pt>
                <c:pt idx="7304">
                  <c:v>2.2382161630573716E-2</c:v>
                </c:pt>
                <c:pt idx="7305">
                  <c:v>2.2496575916159944E-2</c:v>
                </c:pt>
                <c:pt idx="7306">
                  <c:v>2.2610958889681232E-2</c:v>
                </c:pt>
                <c:pt idx="7307">
                  <c:v>2.2725310563989964E-2</c:v>
                </c:pt>
                <c:pt idx="7308">
                  <c:v>2.2839630951930534E-2</c:v>
                </c:pt>
                <c:pt idx="7309">
                  <c:v>2.2406799289429902E-2</c:v>
                </c:pt>
                <c:pt idx="7310">
                  <c:v>2.2521131968193941E-2</c:v>
                </c:pt>
                <c:pt idx="7311">
                  <c:v>2.2088462231347528E-2</c:v>
                </c:pt>
                <c:pt idx="7312">
                  <c:v>2.1655910807253598E-2</c:v>
                </c:pt>
                <c:pt idx="7313">
                  <c:v>2.1770299246843816E-2</c:v>
                </c:pt>
                <c:pt idx="7314">
                  <c:v>2.1884656415674275E-2</c:v>
                </c:pt>
                <c:pt idx="7315">
                  <c:v>2.1452310193177837E-2</c:v>
                </c:pt>
                <c:pt idx="7316">
                  <c:v>2.1020082130348783E-2</c:v>
                </c:pt>
                <c:pt idx="7317">
                  <c:v>2.1134494927764091E-2</c:v>
                </c:pt>
                <c:pt idx="7318">
                  <c:v>2.124887646485174E-2</c:v>
                </c:pt>
                <c:pt idx="7319">
                  <c:v>2.1363226754422371E-2</c:v>
                </c:pt>
                <c:pt idx="7320">
                  <c:v>2.1477545809278187E-2</c:v>
                </c:pt>
                <c:pt idx="7321">
                  <c:v>2.1045609417171374E-2</c:v>
                </c:pt>
                <c:pt idx="7322">
                  <c:v>2.1159940621020557E-2</c:v>
                </c:pt>
                <c:pt idx="7323">
                  <c:v>2.1274240608159189E-2</c:v>
                </c:pt>
                <c:pt idx="7324">
                  <c:v>2.1388509391369936E-2</c:v>
                </c:pt>
                <c:pt idx="7325">
                  <c:v>2.0956820956405942E-2</c:v>
                </c:pt>
                <c:pt idx="7326">
                  <c:v>2.1071101868721964E-2</c:v>
                </c:pt>
                <c:pt idx="7327">
                  <c:v>2.1185351595089053E-2</c:v>
                </c:pt>
                <c:pt idx="7328">
                  <c:v>2.1299570148269442E-2</c:v>
                </c:pt>
                <c:pt idx="7329">
                  <c:v>2.1413757541021372E-2</c:v>
                </c:pt>
                <c:pt idx="7330">
                  <c:v>2.1527913786093311E-2</c:v>
                </c:pt>
                <c:pt idx="7331">
                  <c:v>2.1642038896228843E-2</c:v>
                </c:pt>
                <c:pt idx="7332">
                  <c:v>2.1210727920978556E-2</c:v>
                </c:pt>
                <c:pt idx="7333">
                  <c:v>2.1324865155946338E-2</c:v>
                </c:pt>
                <c:pt idx="7334">
                  <c:v>2.0893715003445834E-2</c:v>
                </c:pt>
                <c:pt idx="7335">
                  <c:v>2.1007864333063786E-2</c:v>
                </c:pt>
                <c:pt idx="7336">
                  <c:v>2.1121982550844631E-2</c:v>
                </c:pt>
                <c:pt idx="7337">
                  <c:v>2.0691036286211606E-2</c:v>
                </c:pt>
                <c:pt idx="7338">
                  <c:v>2.0805166573694578E-2</c:v>
                </c:pt>
                <c:pt idx="7339">
                  <c:v>2.0919265767242567E-2</c:v>
                </c:pt>
                <c:pt idx="7340">
                  <c:v>2.0488523201271924E-2</c:v>
                </c:pt>
                <c:pt idx="7341">
                  <c:v>2.0602634439622847E-2</c:v>
                </c:pt>
                <c:pt idx="7342">
                  <c:v>2.0716714601928032E-2</c:v>
                </c:pt>
                <c:pt idx="7343">
                  <c:v>2.0830763700880883E-2</c:v>
                </c:pt>
                <c:pt idx="7344">
                  <c:v>2.0944781749166808E-2</c:v>
                </c:pt>
                <c:pt idx="7345">
                  <c:v>2.1058768759464996E-2</c:v>
                </c:pt>
                <c:pt idx="7346">
                  <c:v>2.1172724744447535E-2</c:v>
                </c:pt>
                <c:pt idx="7347">
                  <c:v>2.1286649716779404E-2</c:v>
                </c:pt>
                <c:pt idx="7348">
                  <c:v>2.1400543689118479E-2</c:v>
                </c:pt>
                <c:pt idx="7349">
                  <c:v>2.1514406674116415E-2</c:v>
                </c:pt>
                <c:pt idx="7350">
                  <c:v>2.1084169043503742E-2</c:v>
                </c:pt>
                <c:pt idx="7351">
                  <c:v>2.1198044084625334E-2</c:v>
                </c:pt>
                <c:pt idx="7352">
                  <c:v>2.1311888156195558E-2</c:v>
                </c:pt>
                <c:pt idx="7353">
                  <c:v>2.1425701270846087E-2</c:v>
                </c:pt>
                <c:pt idx="7354">
                  <c:v>2.0995709651098871E-2</c:v>
                </c:pt>
                <c:pt idx="7355">
                  <c:v>2.0565834924546778E-2</c:v>
                </c:pt>
                <c:pt idx="7356">
                  <c:v>2.0136077043531042E-2</c:v>
                </c:pt>
                <c:pt idx="7357">
                  <c:v>2.0249988073476555E-2</c:v>
                </c:pt>
                <c:pt idx="7358">
                  <c:v>2.0363868149337438E-2</c:v>
                </c:pt>
                <c:pt idx="7359">
                  <c:v>1.9934312854983371E-2</c:v>
                </c:pt>
                <c:pt idx="7360">
                  <c:v>2.0048204872581188E-2</c:v>
                </c:pt>
                <c:pt idx="7361">
                  <c:v>2.0162065953871267E-2</c:v>
                </c:pt>
                <c:pt idx="7362">
                  <c:v>1.9732713058767448E-2</c:v>
                </c:pt>
                <c:pt idx="7363">
                  <c:v>1.98465860571857E-2</c:v>
                </c:pt>
                <c:pt idx="7364">
                  <c:v>1.9960428137059782E-2</c:v>
                </c:pt>
                <c:pt idx="7365">
                  <c:v>1.9531277454051033E-2</c:v>
                </c:pt>
                <c:pt idx="7366">
                  <c:v>1.9645131426493379E-2</c:v>
                </c:pt>
                <c:pt idx="7367">
                  <c:v>1.9758954498142689E-2</c:v>
                </c:pt>
                <c:pt idx="7368">
                  <c:v>1.9872746681577347E-2</c:v>
                </c:pt>
                <c:pt idx="7369">
                  <c:v>1.9986507989368629E-2</c:v>
                </c:pt>
                <c:pt idx="7370">
                  <c:v>2.0100238434081152E-2</c:v>
                </c:pt>
                <c:pt idx="7371">
                  <c:v>2.0213938028272871E-2</c:v>
                </c:pt>
                <c:pt idx="7372">
                  <c:v>2.0327606784495078E-2</c:v>
                </c:pt>
                <c:pt idx="7373">
                  <c:v>2.0441244715291518E-2</c:v>
                </c:pt>
                <c:pt idx="7374">
                  <c:v>2.0554851833200161E-2</c:v>
                </c:pt>
                <c:pt idx="7375">
                  <c:v>2.0126202313690555E-2</c:v>
                </c:pt>
                <c:pt idx="7376">
                  <c:v>2.0239821335660935E-2</c:v>
                </c:pt>
                <c:pt idx="7377">
                  <c:v>2.0353409562395619E-2</c:v>
                </c:pt>
                <c:pt idx="7378">
                  <c:v>2.0466967006413039E-2</c:v>
                </c:pt>
                <c:pt idx="7379">
                  <c:v>2.0580493680224521E-2</c:v>
                </c:pt>
                <c:pt idx="7380">
                  <c:v>2.0693989596335172E-2</c:v>
                </c:pt>
                <c:pt idx="7381">
                  <c:v>2.0807454767243438E-2</c:v>
                </c:pt>
                <c:pt idx="7382">
                  <c:v>2.0379177396122383E-2</c:v>
                </c:pt>
                <c:pt idx="7383">
                  <c:v>2.0492654467078708E-2</c:v>
                </c:pt>
                <c:pt idx="7384">
                  <c:v>2.0606100810423467E-2</c:v>
                </c:pt>
                <c:pt idx="7385">
                  <c:v>2.0719516438635122E-2</c:v>
                </c:pt>
                <c:pt idx="7386">
                  <c:v>2.0832901364186363E-2</c:v>
                </c:pt>
                <c:pt idx="7387">
                  <c:v>2.0946255599542329E-2</c:v>
                </c:pt>
                <c:pt idx="7388">
                  <c:v>2.1059579157162389E-2</c:v>
                </c:pt>
                <c:pt idx="7389">
                  <c:v>2.1172872049497915E-2</c:v>
                </c:pt>
                <c:pt idx="7390">
                  <c:v>2.1286134288994951E-2</c:v>
                </c:pt>
                <c:pt idx="7391">
                  <c:v>2.1399365888091548E-2</c:v>
                </c:pt>
                <c:pt idx="7392">
                  <c:v>2.0971587686917648E-2</c:v>
                </c:pt>
                <c:pt idx="7393">
                  <c:v>2.1084831197224929E-2</c:v>
                </c:pt>
                <c:pt idx="7394">
                  <c:v>2.0657211201986048E-2</c:v>
                </c:pt>
                <c:pt idx="7395">
                  <c:v>2.077046659406534E-2</c:v>
                </c:pt>
                <c:pt idx="7396">
                  <c:v>2.0883691368303481E-2</c:v>
                </c:pt>
                <c:pt idx="7397">
                  <c:v>2.0996885537115872E-2</c:v>
                </c:pt>
                <c:pt idx="7398">
                  <c:v>2.1110049112909479E-2</c:v>
                </c:pt>
                <c:pt idx="7399">
                  <c:v>2.1223182108085492E-2</c:v>
                </c:pt>
                <c:pt idx="7400">
                  <c:v>2.1336284535037997E-2</c:v>
                </c:pt>
                <c:pt idx="7401">
                  <c:v>2.1449356406154418E-2</c:v>
                </c:pt>
                <c:pt idx="7402">
                  <c:v>2.1562397733815963E-2</c:v>
                </c:pt>
                <c:pt idx="7403">
                  <c:v>2.1675408530395845E-2</c:v>
                </c:pt>
                <c:pt idx="7404">
                  <c:v>2.1788388808262393E-2</c:v>
                </c:pt>
                <c:pt idx="7405">
                  <c:v>2.1361308878142804E-2</c:v>
                </c:pt>
                <c:pt idx="7406">
                  <c:v>2.0934344250379766E-2</c:v>
                </c:pt>
                <c:pt idx="7407">
                  <c:v>2.0507494878286181E-2</c:v>
                </c:pt>
                <c:pt idx="7408">
                  <c:v>2.0620571781326813E-2</c:v>
                </c:pt>
                <c:pt idx="7409">
                  <c:v>2.0733618168404355E-2</c:v>
                </c:pt>
                <c:pt idx="7410">
                  <c:v>2.0306968644421719E-2</c:v>
                </c:pt>
                <c:pt idx="7411">
                  <c:v>2.0420026836485139E-2</c:v>
                </c:pt>
                <c:pt idx="7412">
                  <c:v>1.9993534702626548E-2</c:v>
                </c:pt>
                <c:pt idx="7413">
                  <c:v>2.0106604670490302E-2</c:v>
                </c:pt>
                <c:pt idx="7414">
                  <c:v>1.9680269819052576E-2</c:v>
                </c:pt>
                <c:pt idx="7415">
                  <c:v>1.9254049929149808E-2</c:v>
                </c:pt>
                <c:pt idx="7416">
                  <c:v>1.9367173856958075E-2</c:v>
                </c:pt>
                <c:pt idx="7417">
                  <c:v>1.9480267289031516E-2</c:v>
                </c:pt>
                <c:pt idx="7418">
                  <c:v>1.9593330237700268E-2</c:v>
                </c:pt>
                <c:pt idx="7419">
                  <c:v>1.9167351800315924E-2</c:v>
                </c:pt>
                <c:pt idx="7420">
                  <c:v>1.8741488150977759E-2</c:v>
                </c:pt>
                <c:pt idx="7421">
                  <c:v>1.8315739243293105E-2</c:v>
                </c:pt>
                <c:pt idx="7422">
                  <c:v>1.8428898134344784E-2</c:v>
                </c:pt>
                <c:pt idx="7423">
                  <c:v>1.8003306006166397E-2</c:v>
                </c:pt>
                <c:pt idx="7424">
                  <c:v>1.8116476493697409E-2</c:v>
                </c:pt>
                <c:pt idx="7425">
                  <c:v>1.8229616505804014E-2</c:v>
                </c:pt>
                <c:pt idx="7426">
                  <c:v>1.8342726054795033E-2</c:v>
                </c:pt>
                <c:pt idx="7427">
                  <c:v>1.8455805152971738E-2</c:v>
                </c:pt>
                <c:pt idx="7428">
                  <c:v>1.8568853812629627E-2</c:v>
                </c:pt>
                <c:pt idx="7429">
                  <c:v>1.8681872046056647E-2</c:v>
                </c:pt>
                <c:pt idx="7430">
                  <c:v>1.8256646733134652E-2</c:v>
                </c:pt>
                <c:pt idx="7431">
                  <c:v>1.8369676559541137E-2</c:v>
                </c:pt>
                <c:pt idx="7432">
                  <c:v>1.7944607642383481E-2</c:v>
                </c:pt>
                <c:pt idx="7433">
                  <c:v>1.8057649032937384E-2</c:v>
                </c:pt>
                <c:pt idx="7434">
                  <c:v>1.7632736404827654E-2</c:v>
                </c:pt>
                <c:pt idx="7435">
                  <c:v>1.7745789330739559E-2</c:v>
                </c:pt>
                <c:pt idx="7436">
                  <c:v>1.7858811857907941E-2</c:v>
                </c:pt>
                <c:pt idx="7437">
                  <c:v>1.7971803998592328E-2</c:v>
                </c:pt>
                <c:pt idx="7438">
                  <c:v>1.7547131356443479E-2</c:v>
                </c:pt>
                <c:pt idx="7439">
                  <c:v>1.7660135013889189E-2</c:v>
                </c:pt>
                <c:pt idx="7440">
                  <c:v>1.777310830217127E-2</c:v>
                </c:pt>
                <c:pt idx="7441">
                  <c:v>1.7886051233530598E-2</c:v>
                </c:pt>
                <c:pt idx="7442">
                  <c:v>1.746161830703663E-2</c:v>
                </c:pt>
                <c:pt idx="7443">
                  <c:v>1.7574572736600569E-2</c:v>
                </c:pt>
                <c:pt idx="7444">
                  <c:v>1.7687496826537696E-2</c:v>
                </c:pt>
                <c:pt idx="7445">
                  <c:v>1.780039058907068E-2</c:v>
                </c:pt>
                <c:pt idx="7446">
                  <c:v>1.7913254036415083E-2</c:v>
                </c:pt>
                <c:pt idx="7447">
                  <c:v>1.8026087180780248E-2</c:v>
                </c:pt>
                <c:pt idx="7448">
                  <c:v>1.8138890034367972E-2</c:v>
                </c:pt>
                <c:pt idx="7449">
                  <c:v>1.8251662609374719E-2</c:v>
                </c:pt>
                <c:pt idx="7450">
                  <c:v>1.8364404917989852E-2</c:v>
                </c:pt>
                <c:pt idx="7451">
                  <c:v>1.8477116972396512E-2</c:v>
                </c:pt>
                <c:pt idx="7452">
                  <c:v>1.8589798784770739E-2</c:v>
                </c:pt>
                <c:pt idx="7453">
                  <c:v>1.8702450367282797E-2</c:v>
                </c:pt>
                <c:pt idx="7454">
                  <c:v>1.8278591045400194E-2</c:v>
                </c:pt>
                <c:pt idx="7455">
                  <c:v>1.7854845404440489E-2</c:v>
                </c:pt>
                <c:pt idx="7456">
                  <c:v>1.7967550218198181E-2</c:v>
                </c:pt>
                <c:pt idx="7457">
                  <c:v>1.8080224812137224E-2</c:v>
                </c:pt>
                <c:pt idx="7458">
                  <c:v>1.8192869198410566E-2</c:v>
                </c:pt>
                <c:pt idx="7459">
                  <c:v>1.8305483389164046E-2</c:v>
                </c:pt>
                <c:pt idx="7460">
                  <c:v>1.7882018080000339E-2</c:v>
                </c:pt>
                <c:pt idx="7461">
                  <c:v>1.7458666254773547E-2</c:v>
                </c:pt>
                <c:pt idx="7462">
                  <c:v>1.7571333548470403E-2</c:v>
                </c:pt>
                <c:pt idx="7463">
                  <c:v>1.7683970656690473E-2</c:v>
                </c:pt>
                <c:pt idx="7464">
                  <c:v>1.7796577591562279E-2</c:v>
                </c:pt>
                <c:pt idx="7465">
                  <c:v>1.7909154365209012E-2</c:v>
                </c:pt>
                <c:pt idx="7466">
                  <c:v>1.7486082350217647E-2</c:v>
                </c:pt>
                <c:pt idx="7467">
                  <c:v>1.759867054998443E-2</c:v>
                </c:pt>
                <c:pt idx="7468">
                  <c:v>1.7175753371384772E-2</c:v>
                </c:pt>
                <c:pt idx="7469">
                  <c:v>1.7288352968900522E-2</c:v>
                </c:pt>
                <c:pt idx="7470">
                  <c:v>1.7400922427337484E-2</c:v>
                </c:pt>
                <c:pt idx="7471">
                  <c:v>1.6978201488488498E-2</c:v>
                </c:pt>
                <c:pt idx="7472">
                  <c:v>1.7090782321365516E-2</c:v>
                </c:pt>
                <c:pt idx="7473">
                  <c:v>1.6668215975424339E-2</c:v>
                </c:pt>
                <c:pt idx="7474">
                  <c:v>1.6780808154455151E-2</c:v>
                </c:pt>
                <c:pt idx="7475">
                  <c:v>1.6893370216546355E-2</c:v>
                </c:pt>
                <c:pt idx="7476">
                  <c:v>1.7005902173779841E-2</c:v>
                </c:pt>
                <c:pt idx="7477">
                  <c:v>1.6583573178491573E-2</c:v>
                </c:pt>
                <c:pt idx="7478">
                  <c:v>1.6696116463682742E-2</c:v>
                </c:pt>
                <c:pt idx="7479">
                  <c:v>1.6808629661109187E-2</c:v>
                </c:pt>
                <c:pt idx="7480">
                  <c:v>1.6386496370110581E-2</c:v>
                </c:pt>
                <c:pt idx="7481">
                  <c:v>1.6499020872320802E-2</c:v>
                </c:pt>
                <c:pt idx="7482">
                  <c:v>1.6611515303846858E-2</c:v>
                </c:pt>
                <c:pt idx="7483">
                  <c:v>1.6723979676739997E-2</c:v>
                </c:pt>
                <c:pt idx="7484">
                  <c:v>1.6836414003047029E-2</c:v>
                </c:pt>
                <c:pt idx="7485">
                  <c:v>1.6948818294806767E-2</c:v>
                </c:pt>
                <c:pt idx="7486">
                  <c:v>1.706119256405314E-2</c:v>
                </c:pt>
                <c:pt idx="7487">
                  <c:v>1.7173536822812085E-2</c:v>
                </c:pt>
                <c:pt idx="7488">
                  <c:v>1.7285851083104209E-2</c:v>
                </c:pt>
                <c:pt idx="7489">
                  <c:v>1.7398135356943012E-2</c:v>
                </c:pt>
                <c:pt idx="7490">
                  <c:v>1.7510389656336223E-2</c:v>
                </c:pt>
                <c:pt idx="7491">
                  <c:v>1.7622613993284464E-2</c:v>
                </c:pt>
                <c:pt idx="7492">
                  <c:v>1.7201048038176125E-2</c:v>
                </c:pt>
                <c:pt idx="7493">
                  <c:v>1.7313283701734683E-2</c:v>
                </c:pt>
                <c:pt idx="7494">
                  <c:v>1.7425489419812035E-2</c:v>
                </c:pt>
                <c:pt idx="7495">
                  <c:v>1.753766520439104E-2</c:v>
                </c:pt>
                <c:pt idx="7496">
                  <c:v>1.7649811067448784E-2</c:v>
                </c:pt>
                <c:pt idx="7497">
                  <c:v>1.7761927020954804E-2</c:v>
                </c:pt>
                <c:pt idx="7498">
                  <c:v>1.7340679743540033E-2</c:v>
                </c:pt>
                <c:pt idx="7499">
                  <c:v>1.7452807015459371E-2</c:v>
                </c:pt>
                <c:pt idx="7500">
                  <c:v>1.7564904394744119E-2</c:v>
                </c:pt>
                <c:pt idx="7501">
                  <c:v>1.7676971893346938E-2</c:v>
                </c:pt>
                <c:pt idx="7502">
                  <c:v>1.7255960482701393E-2</c:v>
                </c:pt>
                <c:pt idx="7503">
                  <c:v>1.736803928162578E-2</c:v>
                </c:pt>
                <c:pt idx="7504">
                  <c:v>1.7480088216761835E-2</c:v>
                </c:pt>
                <c:pt idx="7505">
                  <c:v>1.7592107300043125E-2</c:v>
                </c:pt>
                <c:pt idx="7506">
                  <c:v>1.7704096543398329E-2</c:v>
                </c:pt>
                <c:pt idx="7507">
                  <c:v>1.7816055958748578E-2</c:v>
                </c:pt>
                <c:pt idx="7508">
                  <c:v>1.7395362388902047E-2</c:v>
                </c:pt>
                <c:pt idx="7509">
                  <c:v>1.7507333096400401E-2</c:v>
                </c:pt>
                <c:pt idx="7510">
                  <c:v>1.7619273992741658E-2</c:v>
                </c:pt>
                <c:pt idx="7511">
                  <c:v>1.7731185089828738E-2</c:v>
                </c:pt>
                <c:pt idx="7512">
                  <c:v>1.7843066399560126E-2</c:v>
                </c:pt>
                <c:pt idx="7513">
                  <c:v>1.7422649138084445E-2</c:v>
                </c:pt>
                <c:pt idx="7514">
                  <c:v>1.7002343749216831E-2</c:v>
                </c:pt>
                <c:pt idx="7515">
                  <c:v>1.7114277366705455E-2</c:v>
                </c:pt>
                <c:pt idx="7516">
                  <c:v>1.722618120669539E-2</c:v>
                </c:pt>
                <c:pt idx="7517">
                  <c:v>1.7338055281067355E-2</c:v>
                </c:pt>
                <c:pt idx="7518">
                  <c:v>1.691798470807937E-2</c:v>
                </c:pt>
                <c:pt idx="7519">
                  <c:v>1.6498025841133579E-2</c:v>
                </c:pt>
                <c:pt idx="7520">
                  <c:v>1.6609952100183012E-2</c:v>
                </c:pt>
                <c:pt idx="7521">
                  <c:v>1.6721848603480804E-2</c:v>
                </c:pt>
                <c:pt idx="7522">
                  <c:v>1.6302083252312194E-2</c:v>
                </c:pt>
                <c:pt idx="7523">
                  <c:v>1.6413990928479283E-2</c:v>
                </c:pt>
                <c:pt idx="7524">
                  <c:v>1.5994378033911349E-2</c:v>
                </c:pt>
                <c:pt idx="7525">
                  <c:v>1.5574876634731893E-2</c:v>
                </c:pt>
                <c:pt idx="7526">
                  <c:v>1.5686836314563912E-2</c:v>
                </c:pt>
                <c:pt idx="7527">
                  <c:v>1.5267487199156271E-2</c:v>
                </c:pt>
                <c:pt idx="7528">
                  <c:v>1.5379457963991872E-2</c:v>
                </c:pt>
                <c:pt idx="7529">
                  <c:v>1.5491398992865335E-2</c:v>
                </c:pt>
                <c:pt idx="7530">
                  <c:v>1.5603310297620521E-2</c:v>
                </c:pt>
                <c:pt idx="7531">
                  <c:v>1.5184194943327789E-2</c:v>
                </c:pt>
                <c:pt idx="7532">
                  <c:v>1.5296117315436675E-2</c:v>
                </c:pt>
                <c:pt idx="7533">
                  <c:v>1.5408009980213411E-2</c:v>
                </c:pt>
                <c:pt idx="7534">
                  <c:v>1.5519872949484981E-2</c:v>
                </c:pt>
                <c:pt idx="7535">
                  <c:v>1.5631706235070819E-2</c:v>
                </c:pt>
                <c:pt idx="7536">
                  <c:v>1.5212865115433516E-2</c:v>
                </c:pt>
                <c:pt idx="7537">
                  <c:v>1.4794135108973094E-2</c:v>
                </c:pt>
                <c:pt idx="7538">
                  <c:v>1.4906020150259991E-2</c:v>
                </c:pt>
                <c:pt idx="7539">
                  <c:v>1.4487441888260122E-2</c:v>
                </c:pt>
                <c:pt idx="7540">
                  <c:v>1.4599337924394273E-2</c:v>
                </c:pt>
                <c:pt idx="7541">
                  <c:v>1.4711204291686375E-2</c:v>
                </c:pt>
                <c:pt idx="7542">
                  <c:v>1.4292818308404343E-2</c:v>
                </c:pt>
                <c:pt idx="7543">
                  <c:v>1.3874543229292158E-2</c:v>
                </c:pt>
                <c:pt idx="7544">
                  <c:v>1.3986461172994957E-2</c:v>
                </c:pt>
                <c:pt idx="7545">
                  <c:v>1.4098349457775328E-2</c:v>
                </c:pt>
                <c:pt idx="7546">
                  <c:v>1.4210208095421617E-2</c:v>
                </c:pt>
                <c:pt idx="7547">
                  <c:v>1.4322037097715068E-2</c:v>
                </c:pt>
                <c:pt idx="7548">
                  <c:v>1.3904035151928618E-2</c:v>
                </c:pt>
                <c:pt idx="7549">
                  <c:v>1.4015875081906159E-2</c:v>
                </c:pt>
                <c:pt idx="7550">
                  <c:v>1.3598024376308526E-2</c:v>
                </c:pt>
                <c:pt idx="7551">
                  <c:v>1.3709875206711519E-2</c:v>
                </c:pt>
                <c:pt idx="7552">
                  <c:v>1.3821696423444774E-2</c:v>
                </c:pt>
                <c:pt idx="7553">
                  <c:v>1.3933488038267772E-2</c:v>
                </c:pt>
                <c:pt idx="7554">
                  <c:v>1.4045250062933334E-2</c:v>
                </c:pt>
                <c:pt idx="7555">
                  <c:v>1.4156982509188065E-2</c:v>
                </c:pt>
                <c:pt idx="7556">
                  <c:v>1.4268685388772795E-2</c:v>
                </c:pt>
                <c:pt idx="7557">
                  <c:v>1.4380358713421693E-2</c:v>
                </c:pt>
                <c:pt idx="7558">
                  <c:v>1.4492002494863154E-2</c:v>
                </c:pt>
                <c:pt idx="7559">
                  <c:v>1.4603616744818915E-2</c:v>
                </c:pt>
                <c:pt idx="7560">
                  <c:v>1.418624088256859E-2</c:v>
                </c:pt>
                <c:pt idx="7561">
                  <c:v>1.4297866045272389E-2</c:v>
                </c:pt>
                <c:pt idx="7562">
                  <c:v>1.4409461693126069E-2</c:v>
                </c:pt>
                <c:pt idx="7563">
                  <c:v>1.4521027837834044E-2</c:v>
                </c:pt>
                <c:pt idx="7564">
                  <c:v>1.4632564491094957E-2</c:v>
                </c:pt>
                <c:pt idx="7565">
                  <c:v>1.4744071664600789E-2</c:v>
                </c:pt>
                <c:pt idx="7566">
                  <c:v>1.4855549370037746E-2</c:v>
                </c:pt>
                <c:pt idx="7567">
                  <c:v>1.4966997619085376E-2</c:v>
                </c:pt>
                <c:pt idx="7568">
                  <c:v>1.5078416423417007E-2</c:v>
                </c:pt>
                <c:pt idx="7569">
                  <c:v>1.5189805794700195E-2</c:v>
                </c:pt>
                <c:pt idx="7570">
                  <c:v>1.5301165744596723E-2</c:v>
                </c:pt>
                <c:pt idx="7571">
                  <c:v>1.4884304022777961E-2</c:v>
                </c:pt>
                <c:pt idx="7572">
                  <c:v>1.4995674902416933E-2</c:v>
                </c:pt>
                <c:pt idx="7573">
                  <c:v>1.4578963571922898E-2</c:v>
                </c:pt>
                <c:pt idx="7574">
                  <c:v>1.41623622496998E-2</c:v>
                </c:pt>
                <c:pt idx="7575">
                  <c:v>1.4273784314390525E-2</c:v>
                </c:pt>
                <c:pt idx="7576">
                  <c:v>1.4385176972360636E-2</c:v>
                </c:pt>
                <c:pt idx="7577">
                  <c:v>1.4496540235249711E-2</c:v>
                </c:pt>
                <c:pt idx="7578">
                  <c:v>1.4607874114692443E-2</c:v>
                </c:pt>
                <c:pt idx="7579">
                  <c:v>1.419154374565057E-2</c:v>
                </c:pt>
                <c:pt idx="7580">
                  <c:v>1.3775323197334099E-2</c:v>
                </c:pt>
                <c:pt idx="7581">
                  <c:v>1.3886708140392834E-2</c:v>
                </c:pt>
                <c:pt idx="7582">
                  <c:v>1.3998063709784958E-2</c:v>
                </c:pt>
                <c:pt idx="7583">
                  <c:v>1.3582033292210749E-2</c:v>
                </c:pt>
                <c:pt idx="7584">
                  <c:v>1.3693399666204975E-2</c:v>
                </c:pt>
                <c:pt idx="7585">
                  <c:v>1.3804736683042051E-2</c:v>
                </c:pt>
                <c:pt idx="7586">
                  <c:v>1.3916044354329138E-2</c:v>
                </c:pt>
                <c:pt idx="7587">
                  <c:v>1.3500244025176134E-2</c:v>
                </c:pt>
                <c:pt idx="7588">
                  <c:v>1.3611562483988315E-2</c:v>
                </c:pt>
                <c:pt idx="7589">
                  <c:v>1.3722851613737319E-2</c:v>
                </c:pt>
                <c:pt idx="7590">
                  <c:v>1.3834111426012985E-2</c:v>
                </c:pt>
                <c:pt idx="7591">
                  <c:v>1.3418540931476652E-2</c:v>
                </c:pt>
                <c:pt idx="7592">
                  <c:v>1.3529811514236378E-2</c:v>
                </c:pt>
                <c:pt idx="7593">
                  <c:v>1.3114390518172758E-2</c:v>
                </c:pt>
                <c:pt idx="7594">
                  <c:v>1.3225671844645959E-2</c:v>
                </c:pt>
                <c:pt idx="7595">
                  <c:v>1.333692387499541E-2</c:v>
                </c:pt>
                <c:pt idx="7596">
                  <c:v>1.3448146620788748E-2</c:v>
                </c:pt>
                <c:pt idx="7597">
                  <c:v>1.3559340093586059E-2</c:v>
                </c:pt>
                <c:pt idx="7598">
                  <c:v>1.3670504304943876E-2</c:v>
                </c:pt>
                <c:pt idx="7599">
                  <c:v>1.3781639266409851E-2</c:v>
                </c:pt>
                <c:pt idx="7600">
                  <c:v>1.3892744989528083E-2</c:v>
                </c:pt>
                <c:pt idx="7601">
                  <c:v>1.4003821485835122E-2</c:v>
                </c:pt>
                <c:pt idx="7602">
                  <c:v>1.4114868766861299E-2</c:v>
                </c:pt>
                <c:pt idx="7603">
                  <c:v>1.4225886844132063E-2</c:v>
                </c:pt>
                <c:pt idx="7604">
                  <c:v>1.4336875729165754E-2</c:v>
                </c:pt>
                <c:pt idx="7605">
                  <c:v>1.4447835433474943E-2</c:v>
                </c:pt>
                <c:pt idx="7606">
                  <c:v>1.4558765968566423E-2</c:v>
                </c:pt>
                <c:pt idx="7607">
                  <c:v>1.4143974087956757E-2</c:v>
                </c:pt>
                <c:pt idx="7608">
                  <c:v>1.4254915398380419E-2</c:v>
                </c:pt>
                <c:pt idx="7609">
                  <c:v>1.4365827555916866E-2</c:v>
                </c:pt>
                <c:pt idx="7610">
                  <c:v>1.4476710572056462E-2</c:v>
                </c:pt>
                <c:pt idx="7611">
                  <c:v>1.4587564458282465E-2</c:v>
                </c:pt>
                <c:pt idx="7612">
                  <c:v>1.4173041182993895E-2</c:v>
                </c:pt>
                <c:pt idx="7613">
                  <c:v>1.4283905832400023E-2</c:v>
                </c:pt>
                <c:pt idx="7614">
                  <c:v>1.4394741368190189E-2</c:v>
                </c:pt>
                <c:pt idx="7615">
                  <c:v>1.4505547801830776E-2</c:v>
                </c:pt>
                <c:pt idx="7616">
                  <c:v>1.4616325144782838E-2</c:v>
                </c:pt>
                <c:pt idx="7617">
                  <c:v>1.4727073408500768E-2</c:v>
                </c:pt>
                <c:pt idx="7618">
                  <c:v>1.4312858221230407E-2</c:v>
                </c:pt>
                <c:pt idx="7619">
                  <c:v>1.4423617240806763E-2</c:v>
                </c:pt>
                <c:pt idx="7620">
                  <c:v>1.4534347197401765E-2</c:v>
                </c:pt>
                <c:pt idx="7621">
                  <c:v>1.4645048102453817E-2</c:v>
                </c:pt>
                <c:pt idx="7622">
                  <c:v>1.4755719967394665E-2</c:v>
                </c:pt>
                <c:pt idx="7623">
                  <c:v>1.4341772639715256E-2</c:v>
                </c:pt>
                <c:pt idx="7624">
                  <c:v>1.3927933874146259E-2</c:v>
                </c:pt>
                <c:pt idx="7625">
                  <c:v>1.4038656230581648E-2</c:v>
                </c:pt>
                <c:pt idx="7626">
                  <c:v>1.4149349556510149E-2</c:v>
                </c:pt>
                <c:pt idx="7627">
                  <c:v>1.4260013863346188E-2</c:v>
                </c:pt>
                <c:pt idx="7628">
                  <c:v>1.4370649162500637E-2</c:v>
                </c:pt>
                <c:pt idx="7629">
                  <c:v>1.3957077769137349E-2</c:v>
                </c:pt>
                <c:pt idx="7630">
                  <c:v>1.4067723768697249E-2</c:v>
                </c:pt>
                <c:pt idx="7631">
                  <c:v>1.3654300425665955E-2</c:v>
                </c:pt>
                <c:pt idx="7632">
                  <c:v>1.3764957099229758E-2</c:v>
                </c:pt>
                <c:pt idx="7633">
                  <c:v>1.3351681708176688E-2</c:v>
                </c:pt>
                <c:pt idx="7634">
                  <c:v>1.2938514561071202E-2</c:v>
                </c:pt>
                <c:pt idx="7635">
                  <c:v>1.3049221492045238E-2</c:v>
                </c:pt>
                <c:pt idx="7636">
                  <c:v>1.3159899434558753E-2</c:v>
                </c:pt>
                <c:pt idx="7637">
                  <c:v>1.3270548399995974E-2</c:v>
                </c:pt>
                <c:pt idx="7638">
                  <c:v>1.3381168399735799E-2</c:v>
                </c:pt>
                <c:pt idx="7639">
                  <c:v>1.2968267755580687E-2</c:v>
                </c:pt>
                <c:pt idx="7640">
                  <c:v>1.3078898359958124E-2</c:v>
                </c:pt>
                <c:pt idx="7641">
                  <c:v>1.2666145311162058E-2</c:v>
                </c:pt>
                <c:pt idx="7642">
                  <c:v>1.2776786493932768E-2</c:v>
                </c:pt>
                <c:pt idx="7643">
                  <c:v>1.2887398731985744E-2</c:v>
                </c:pt>
                <c:pt idx="7644">
                  <c:v>1.2997982036678124E-2</c:v>
                </c:pt>
                <c:pt idx="7645">
                  <c:v>1.3108536419360828E-2</c:v>
                </c:pt>
                <c:pt idx="7646">
                  <c:v>1.3219061891378558E-2</c:v>
                </c:pt>
                <c:pt idx="7647">
                  <c:v>1.280661428836094E-2</c:v>
                </c:pt>
                <c:pt idx="7648">
                  <c:v>1.2917150331775318E-2</c:v>
                </c:pt>
                <c:pt idx="7649">
                  <c:v>1.3027657480655375E-2</c:v>
                </c:pt>
                <c:pt idx="7650">
                  <c:v>1.313813574632805E-2</c:v>
                </c:pt>
                <c:pt idx="7651">
                  <c:v>1.3248585140116731E-2</c:v>
                </c:pt>
                <c:pt idx="7652">
                  <c:v>1.3359005673337254E-2</c:v>
                </c:pt>
                <c:pt idx="7653">
                  <c:v>1.3469397357300128E-2</c:v>
                </c:pt>
                <c:pt idx="7654">
                  <c:v>1.3579760203310531E-2</c:v>
                </c:pt>
                <c:pt idx="7655">
                  <c:v>1.3690094222666094E-2</c:v>
                </c:pt>
                <c:pt idx="7656">
                  <c:v>1.3800399426660448E-2</c:v>
                </c:pt>
                <c:pt idx="7657">
                  <c:v>1.3910675826579677E-2</c:v>
                </c:pt>
                <c:pt idx="7658">
                  <c:v>1.3498730222217148E-2</c:v>
                </c:pt>
                <c:pt idx="7659">
                  <c:v>1.3086892161414454E-2</c:v>
                </c:pt>
                <c:pt idx="7660">
                  <c:v>1.3197218506265429E-2</c:v>
                </c:pt>
                <c:pt idx="7661">
                  <c:v>1.2785527279318032E-2</c:v>
                </c:pt>
                <c:pt idx="7662">
                  <c:v>1.2373943487451022E-2</c:v>
                </c:pt>
                <c:pt idx="7663">
                  <c:v>1.2484319665262422E-2</c:v>
                </c:pt>
                <c:pt idx="7664">
                  <c:v>1.2072882543783692E-2</c:v>
                </c:pt>
                <c:pt idx="7665">
                  <c:v>1.2183269196172741E-2</c:v>
                </c:pt>
                <c:pt idx="7666">
                  <c:v>1.2293627057050838E-2</c:v>
                </c:pt>
                <c:pt idx="7667">
                  <c:v>1.188237574910378E-2</c:v>
                </c:pt>
                <c:pt idx="7668">
                  <c:v>1.1992744063401339E-2</c:v>
                </c:pt>
                <c:pt idx="7669">
                  <c:v>1.2103083602228892E-2</c:v>
                </c:pt>
                <c:pt idx="7670">
                  <c:v>1.2213394376838771E-2</c:v>
                </c:pt>
                <c:pt idx="7671">
                  <c:v>1.2323676398477534E-2</c:v>
                </c:pt>
                <c:pt idx="7672">
                  <c:v>1.2433929678385081E-2</c:v>
                </c:pt>
                <c:pt idx="7673">
                  <c:v>1.2544154227796422E-2</c:v>
                </c:pt>
                <c:pt idx="7674">
                  <c:v>1.2654350057939912E-2</c:v>
                </c:pt>
                <c:pt idx="7675">
                  <c:v>1.2243480316680877E-2</c:v>
                </c:pt>
                <c:pt idx="7676">
                  <c:v>1.2353686602965208E-2</c:v>
                </c:pt>
                <c:pt idx="7677">
                  <c:v>1.2463864185959128E-2</c:v>
                </c:pt>
                <c:pt idx="7678">
                  <c:v>1.2053179743540365E-2</c:v>
                </c:pt>
                <c:pt idx="7679">
                  <c:v>1.1642602236271227E-2</c:v>
                </c:pt>
                <c:pt idx="7680">
                  <c:v>1.1752829357356109E-2</c:v>
                </c:pt>
                <c:pt idx="7681">
                  <c:v>1.1863027784670077E-2</c:v>
                </c:pt>
                <c:pt idx="7682">
                  <c:v>1.1973197529415724E-2</c:v>
                </c:pt>
                <c:pt idx="7683">
                  <c:v>1.2083338602789873E-2</c:v>
                </c:pt>
                <c:pt idx="7684">
                  <c:v>1.219345101598357E-2</c:v>
                </c:pt>
                <c:pt idx="7685">
                  <c:v>1.230353478018209E-2</c:v>
                </c:pt>
                <c:pt idx="7686">
                  <c:v>1.2413589906564937E-2</c:v>
                </c:pt>
                <c:pt idx="7687">
                  <c:v>1.2523616406305393E-2</c:v>
                </c:pt>
                <c:pt idx="7688">
                  <c:v>1.2633614290570971E-2</c:v>
                </c:pt>
                <c:pt idx="7689">
                  <c:v>1.2223495155493591E-2</c:v>
                </c:pt>
                <c:pt idx="7690">
                  <c:v>1.233350345648887E-2</c:v>
                </c:pt>
                <c:pt idx="7691">
                  <c:v>1.2443483157899671E-2</c:v>
                </c:pt>
                <c:pt idx="7692">
                  <c:v>1.2553434270877517E-2</c:v>
                </c:pt>
                <c:pt idx="7693">
                  <c:v>1.2143538742890314E-2</c:v>
                </c:pt>
                <c:pt idx="7694">
                  <c:v>1.2253500256360628E-2</c:v>
                </c:pt>
                <c:pt idx="7695">
                  <c:v>1.2363433197266627E-2</c:v>
                </c:pt>
                <c:pt idx="7696">
                  <c:v>1.2473337576743848E-2</c:v>
                </c:pt>
                <c:pt idx="7697">
                  <c:v>1.2583213405920723E-2</c:v>
                </c:pt>
                <c:pt idx="7698">
                  <c:v>1.2693060695921243E-2</c:v>
                </c:pt>
                <c:pt idx="7699">
                  <c:v>1.2802879457863181E-2</c:v>
                </c:pt>
                <c:pt idx="7700">
                  <c:v>1.2912669702858093E-2</c:v>
                </c:pt>
                <c:pt idx="7701">
                  <c:v>1.302243144201265E-2</c:v>
                </c:pt>
                <c:pt idx="7702">
                  <c:v>1.3132164686426862E-2</c:v>
                </c:pt>
                <c:pt idx="7703">
                  <c:v>1.3241869447195853E-2</c:v>
                </c:pt>
                <c:pt idx="7704">
                  <c:v>1.2832469690767567E-2</c:v>
                </c:pt>
                <c:pt idx="7705">
                  <c:v>1.2942184868751205E-2</c:v>
                </c:pt>
                <c:pt idx="7706">
                  <c:v>1.3051871578862784E-2</c:v>
                </c:pt>
                <c:pt idx="7707">
                  <c:v>1.2642655788855262E-2</c:v>
                </c:pt>
                <c:pt idx="7708">
                  <c:v>1.2233546150803409E-2</c:v>
                </c:pt>
                <c:pt idx="7709">
                  <c:v>1.2343282086513252E-2</c:v>
                </c:pt>
                <c:pt idx="7710">
                  <c:v>1.2452989563733752E-2</c:v>
                </c:pt>
                <c:pt idx="7711">
                  <c:v>1.2562668593533832E-2</c:v>
                </c:pt>
                <c:pt idx="7712">
                  <c:v>1.26723191869762E-2</c:v>
                </c:pt>
                <c:pt idx="7713">
                  <c:v>1.2781941355119564E-2</c:v>
                </c:pt>
                <c:pt idx="7714">
                  <c:v>1.289153510901464E-2</c:v>
                </c:pt>
                <c:pt idx="7715">
                  <c:v>1.3001100459708148E-2</c:v>
                </c:pt>
                <c:pt idx="7716">
                  <c:v>1.3110637418240145E-2</c:v>
                </c:pt>
                <c:pt idx="7717">
                  <c:v>1.322014599564536E-2</c:v>
                </c:pt>
                <c:pt idx="7718">
                  <c:v>1.3329626202953193E-2</c:v>
                </c:pt>
                <c:pt idx="7719">
                  <c:v>1.3439078051185938E-2</c:v>
                </c:pt>
                <c:pt idx="7720">
                  <c:v>1.3548501551361891E-2</c:v>
                </c:pt>
                <c:pt idx="7721">
                  <c:v>1.3139963268940402E-2</c:v>
                </c:pt>
                <c:pt idx="7722">
                  <c:v>1.2731530770641708E-2</c:v>
                </c:pt>
                <c:pt idx="7723">
                  <c:v>1.2841003368135873E-2</c:v>
                </c:pt>
                <c:pt idx="7724">
                  <c:v>1.2950447626877803E-2</c:v>
                </c:pt>
                <c:pt idx="7725">
                  <c:v>1.3059863557870699E-2</c:v>
                </c:pt>
                <c:pt idx="7726">
                  <c:v>1.316925117211154E-2</c:v>
                </c:pt>
                <c:pt idx="7727">
                  <c:v>1.3278610480591091E-2</c:v>
                </c:pt>
                <c:pt idx="7728">
                  <c:v>1.3387941494294786E-2</c:v>
                </c:pt>
                <c:pt idx="7729">
                  <c:v>1.3497244224202287E-2</c:v>
                </c:pt>
                <c:pt idx="7730">
                  <c:v>1.3606518681287927E-2</c:v>
                </c:pt>
                <c:pt idx="7731">
                  <c:v>1.3715764876520264E-2</c:v>
                </c:pt>
                <c:pt idx="7732">
                  <c:v>1.3824982820861198E-2</c:v>
                </c:pt>
                <c:pt idx="7733">
                  <c:v>1.3417042596373552E-2</c:v>
                </c:pt>
                <c:pt idx="7734">
                  <c:v>1.3526270918997163E-2</c:v>
                </c:pt>
                <c:pt idx="7735">
                  <c:v>1.3635471006303579E-2</c:v>
                </c:pt>
                <c:pt idx="7736">
                  <c:v>1.3744642869240042E-2</c:v>
                </c:pt>
                <c:pt idx="7737">
                  <c:v>1.333692387499541E-2</c:v>
                </c:pt>
                <c:pt idx="7738">
                  <c:v>1.3446106100129196E-2</c:v>
                </c:pt>
                <c:pt idx="7739">
                  <c:v>1.3555260116446366E-2</c:v>
                </c:pt>
                <c:pt idx="7740">
                  <c:v>1.3664385934877732E-2</c:v>
                </c:pt>
                <c:pt idx="7741">
                  <c:v>1.3773483566347888E-2</c:v>
                </c:pt>
                <c:pt idx="7742">
                  <c:v>1.3366024096157503E-2</c:v>
                </c:pt>
                <c:pt idx="7743">
                  <c:v>1.3475132078379914E-2</c:v>
                </c:pt>
                <c:pt idx="7744">
                  <c:v>1.3584211889163811E-2</c:v>
                </c:pt>
                <c:pt idx="7745">
                  <c:v>1.3176934637908033E-2</c:v>
                </c:pt>
                <c:pt idx="7746">
                  <c:v>1.3286024778818017E-2</c:v>
                </c:pt>
                <c:pt idx="7747">
                  <c:v>1.3395086763801078E-2</c:v>
                </c:pt>
                <c:pt idx="7748">
                  <c:v>1.3504120603755165E-2</c:v>
                </c:pt>
                <c:pt idx="7749">
                  <c:v>1.3097063866018832E-2</c:v>
                </c:pt>
                <c:pt idx="7750">
                  <c:v>1.3206108020114016E-2</c:v>
                </c:pt>
                <c:pt idx="7751">
                  <c:v>1.3315124044670945E-2</c:v>
                </c:pt>
                <c:pt idx="7752">
                  <c:v>1.3424111950573359E-2</c:v>
                </c:pt>
                <c:pt idx="7753">
                  <c:v>1.3533071748698333E-2</c:v>
                </c:pt>
                <c:pt idx="7754">
                  <c:v>1.3642003449918061E-2</c:v>
                </c:pt>
                <c:pt idx="7755">
                  <c:v>1.3235243793215723E-2</c:v>
                </c:pt>
                <c:pt idx="7756">
                  <c:v>1.3344185801802855E-2</c:v>
                </c:pt>
                <c:pt idx="7757">
                  <c:v>1.3453099728933715E-2</c:v>
                </c:pt>
                <c:pt idx="7758">
                  <c:v>1.3561985585464509E-2</c:v>
                </c:pt>
                <c:pt idx="7759">
                  <c:v>1.3670843382246556E-2</c:v>
                </c:pt>
                <c:pt idx="7760">
                  <c:v>1.3264342029892351E-2</c:v>
                </c:pt>
                <c:pt idx="7761">
                  <c:v>1.3373210122689105E-2</c:v>
                </c:pt>
                <c:pt idx="7762">
                  <c:v>1.3482050171155002E-2</c:v>
                </c:pt>
                <c:pt idx="7763">
                  <c:v>1.3075730183548906E-2</c:v>
                </c:pt>
                <c:pt idx="7764">
                  <c:v>1.3184580507554333E-2</c:v>
                </c:pt>
                <c:pt idx="7765">
                  <c:v>1.2778403446385589E-2</c:v>
                </c:pt>
                <c:pt idx="7766">
                  <c:v>1.2372330962215017E-2</c:v>
                </c:pt>
                <c:pt idx="7767">
                  <c:v>1.2481229792881798E-2</c:v>
                </c:pt>
                <c:pt idx="7768">
                  <c:v>1.2590100592960951E-2</c:v>
                </c:pt>
                <c:pt idx="7769">
                  <c:v>1.2698943373274485E-2</c:v>
                </c:pt>
                <c:pt idx="7770">
                  <c:v>1.2807758144638193E-2</c:v>
                </c:pt>
                <c:pt idx="7771">
                  <c:v>1.291654491786165E-2</c:v>
                </c:pt>
                <c:pt idx="7772">
                  <c:v>1.2510768072156786E-2</c:v>
                </c:pt>
                <c:pt idx="7773">
                  <c:v>1.2619565059724724E-2</c:v>
                </c:pt>
                <c:pt idx="7774">
                  <c:v>1.2728334064527669E-2</c:v>
                </c:pt>
                <c:pt idx="7775">
                  <c:v>1.2837075097361428E-2</c:v>
                </c:pt>
                <c:pt idx="7776">
                  <c:v>1.2945788169013817E-2</c:v>
                </c:pt>
                <c:pt idx="7777">
                  <c:v>1.3054473290268653E-2</c:v>
                </c:pt>
                <c:pt idx="7778">
                  <c:v>1.2648991654423014E-2</c:v>
                </c:pt>
                <c:pt idx="7779">
                  <c:v>1.2757686983397853E-2</c:v>
                </c:pt>
                <c:pt idx="7780">
                  <c:v>1.2866354377310429E-2</c:v>
                </c:pt>
                <c:pt idx="7781">
                  <c:v>1.2461053207071693E-2</c:v>
                </c:pt>
                <c:pt idx="7782">
                  <c:v>1.256973078841872E-2</c:v>
                </c:pt>
                <c:pt idx="7783">
                  <c:v>1.2678380450027227E-2</c:v>
                </c:pt>
                <c:pt idx="7784">
                  <c:v>1.2273259587705088E-2</c:v>
                </c:pt>
                <c:pt idx="7785">
                  <c:v>1.2381919416499354E-2</c:v>
                </c:pt>
                <c:pt idx="7786">
                  <c:v>1.2490551340869516E-2</c:v>
                </c:pt>
                <c:pt idx="7787">
                  <c:v>1.2599155371562532E-2</c:v>
                </c:pt>
                <c:pt idx="7788">
                  <c:v>1.2194252700322483E-2</c:v>
                </c:pt>
                <c:pt idx="7789">
                  <c:v>1.230286688254667E-2</c:v>
                </c:pt>
                <c:pt idx="7790">
                  <c:v>1.24114531863877E-2</c:v>
                </c:pt>
                <c:pt idx="7791">
                  <c:v>1.2520011622576988E-2</c:v>
                </c:pt>
                <c:pt idx="7792">
                  <c:v>1.2115326908025636E-2</c:v>
                </c:pt>
                <c:pt idx="7793">
                  <c:v>1.2223895480123481E-2</c:v>
                </c:pt>
                <c:pt idx="7794">
                  <c:v>1.23324361998427E-2</c:v>
                </c:pt>
                <c:pt idx="7795">
                  <c:v>1.1927931250530044E-2</c:v>
                </c:pt>
                <c:pt idx="7796">
                  <c:v>1.2036482086021039E-2</c:v>
                </c:pt>
                <c:pt idx="7797">
                  <c:v>1.1632118816925718E-2</c:v>
                </c:pt>
                <c:pt idx="7798">
                  <c:v>1.1740679743540205E-2</c:v>
                </c:pt>
                <c:pt idx="7799">
                  <c:v>1.1849212837587775E-2</c:v>
                </c:pt>
                <c:pt idx="7800">
                  <c:v>1.1445029055682454E-2</c:v>
                </c:pt>
                <c:pt idx="7801">
                  <c:v>1.1553572220792674E-2</c:v>
                </c:pt>
                <c:pt idx="7802">
                  <c:v>1.1149529905849942E-2</c:v>
                </c:pt>
                <c:pt idx="7803">
                  <c:v>1.1258083117446027E-2</c:v>
                </c:pt>
                <c:pt idx="7804">
                  <c:v>1.1366608516279353E-2</c:v>
                </c:pt>
                <c:pt idx="7805">
                  <c:v>1.1475106113037814E-2</c:v>
                </c:pt>
                <c:pt idx="7806">
                  <c:v>1.1583575918403533E-2</c:v>
                </c:pt>
                <c:pt idx="7807">
                  <c:v>1.1692017943053745E-2</c:v>
                </c:pt>
                <c:pt idx="7808">
                  <c:v>1.1288268305213123E-2</c:v>
                </c:pt>
                <c:pt idx="7809">
                  <c:v>1.0884622047129255E-2</c:v>
                </c:pt>
                <c:pt idx="7810">
                  <c:v>1.0993111899198382E-2</c:v>
                </c:pt>
                <c:pt idx="7811">
                  <c:v>1.1101573979642509E-2</c:v>
                </c:pt>
                <c:pt idx="7812">
                  <c:v>1.1210008299124219E-2</c:v>
                </c:pt>
                <c:pt idx="7813">
                  <c:v>1.1318414868300319E-2</c:v>
                </c:pt>
                <c:pt idx="7814">
                  <c:v>1.0915022971107469E-2</c:v>
                </c:pt>
                <c:pt idx="7815">
                  <c:v>1.1023439540563729E-2</c:v>
                </c:pt>
                <c:pt idx="7816">
                  <c:v>1.0620188569326672E-2</c:v>
                </c:pt>
                <c:pt idx="7817">
                  <c:v>1.0728615114644846E-2</c:v>
                </c:pt>
                <c:pt idx="7818">
                  <c:v>1.0837013929388295E-2</c:v>
                </c:pt>
                <c:pt idx="7819">
                  <c:v>1.043394147477672E-2</c:v>
                </c:pt>
                <c:pt idx="7820">
                  <c:v>1.0542350245543286E-2</c:v>
                </c:pt>
                <c:pt idx="7821">
                  <c:v>1.0650731300913652E-2</c:v>
                </c:pt>
                <c:pt idx="7822">
                  <c:v>1.075908465151576E-2</c:v>
                </c:pt>
                <c:pt idx="7823">
                  <c:v>1.0867410307970449E-2</c:v>
                </c:pt>
                <c:pt idx="7824">
                  <c:v>1.0975708280894114E-2</c:v>
                </c:pt>
                <c:pt idx="7825">
                  <c:v>1.0572927092460827E-2</c:v>
                </c:pt>
                <c:pt idx="7826">
                  <c:v>1.0681235015214341E-2</c:v>
                </c:pt>
                <c:pt idx="7827">
                  <c:v>1.0278594334590441E-2</c:v>
                </c:pt>
                <c:pt idx="7828">
                  <c:v>1.0386912182875907E-2</c:v>
                </c:pt>
                <c:pt idx="7829">
                  <c:v>1.0495202367300394E-2</c:v>
                </c:pt>
                <c:pt idx="7830">
                  <c:v>1.0092739668633666E-2</c:v>
                </c:pt>
                <c:pt idx="7831">
                  <c:v>1.0201039758860109E-2</c:v>
                </c:pt>
                <c:pt idx="7832">
                  <c:v>1.0309312200352583E-2</c:v>
                </c:pt>
                <c:pt idx="7833">
                  <c:v>1.0417557003697731E-2</c:v>
                </c:pt>
                <c:pt idx="7834">
                  <c:v>1.0525774179476866E-2</c:v>
                </c:pt>
                <c:pt idx="7835">
                  <c:v>1.0633963738265972E-2</c:v>
                </c:pt>
                <c:pt idx="7836">
                  <c:v>1.0742125690635707E-2</c:v>
                </c:pt>
                <c:pt idx="7837">
                  <c:v>1.0850260047150506E-2</c:v>
                </c:pt>
                <c:pt idx="7838">
                  <c:v>1.0448162736737654E-2</c:v>
                </c:pt>
                <c:pt idx="7839">
                  <c:v>1.0556307001968079E-2</c:v>
                </c:pt>
                <c:pt idx="7840">
                  <c:v>1.0154349725687517E-2</c:v>
                </c:pt>
                <c:pt idx="7841">
                  <c:v>1.0262503875462681E-2</c:v>
                </c:pt>
                <c:pt idx="7842">
                  <c:v>9.860686542792152E-3</c:v>
                </c:pt>
                <c:pt idx="7843">
                  <c:v>9.9688505529731408E-3</c:v>
                </c:pt>
                <c:pt idx="7844">
                  <c:v>1.0076986991394588E-2</c:v>
                </c:pt>
                <c:pt idx="7845">
                  <c:v>9.6753469199559738E-3</c:v>
                </c:pt>
                <c:pt idx="7846">
                  <c:v>9.7834931991975793E-3</c:v>
                </c:pt>
                <c:pt idx="7847">
                  <c:v>9.3819928619840454E-3</c:v>
                </c:pt>
                <c:pt idx="7848">
                  <c:v>9.4901489579775067E-3</c:v>
                </c:pt>
                <c:pt idx="7849">
                  <c:v>9.5982775017877664E-3</c:v>
                </c:pt>
                <c:pt idx="7850">
                  <c:v>9.706378503941071E-3</c:v>
                </c:pt>
                <c:pt idx="7851">
                  <c:v>9.8144519749592263E-3</c:v>
                </c:pt>
                <c:pt idx="7852">
                  <c:v>9.9224979253582646E-3</c:v>
                </c:pt>
                <c:pt idx="7853">
                  <c:v>1.0030516365649333E-2</c:v>
                </c:pt>
                <c:pt idx="7854">
                  <c:v>1.0138507306337363E-2</c:v>
                </c:pt>
                <c:pt idx="7855">
                  <c:v>9.7373705924646003E-3</c:v>
                </c:pt>
                <c:pt idx="7856">
                  <c:v>9.8453713529402798E-3</c:v>
                </c:pt>
                <c:pt idx="7857">
                  <c:v>9.9533446288098126E-3</c:v>
                </c:pt>
                <c:pt idx="7858">
                  <c:v>1.006129043056303E-2</c:v>
                </c:pt>
                <c:pt idx="7859">
                  <c:v>1.0169208768685323E-2</c:v>
                </c:pt>
                <c:pt idx="7860">
                  <c:v>1.0277099653656308E-2</c:v>
                </c:pt>
                <c:pt idx="7861">
                  <c:v>9.8762514082992858E-3</c:v>
                </c:pt>
                <c:pt idx="7862">
                  <c:v>9.4755051080706032E-3</c:v>
                </c:pt>
                <c:pt idx="7863">
                  <c:v>9.5834430408490157E-3</c:v>
                </c:pt>
                <c:pt idx="7864">
                  <c:v>9.6913535294542719E-3</c:v>
                </c:pt>
                <c:pt idx="7865">
                  <c:v>9.7992365843522222E-3</c:v>
                </c:pt>
                <c:pt idx="7866">
                  <c:v>9.3987038072582685E-3</c:v>
                </c:pt>
                <c:pt idx="7867">
                  <c:v>9.5065966325984519E-3</c:v>
                </c:pt>
                <c:pt idx="7868">
                  <c:v>9.6144620391775959E-3</c:v>
                </c:pt>
                <c:pt idx="7869">
                  <c:v>9.2141053988994415E-3</c:v>
                </c:pt>
                <c:pt idx="7870">
                  <c:v>9.3219805565483149E-3</c:v>
                </c:pt>
                <c:pt idx="7871">
                  <c:v>9.4298283103722014E-3</c:v>
                </c:pt>
                <c:pt idx="7872">
                  <c:v>9.5376486708111941E-3</c:v>
                </c:pt>
                <c:pt idx="7873">
                  <c:v>9.6454416483022776E-3</c:v>
                </c:pt>
                <c:pt idx="7874">
                  <c:v>9.2453352370225339E-3</c:v>
                </c:pt>
                <c:pt idx="7875">
                  <c:v>9.3531379552111993E-3</c:v>
                </c:pt>
                <c:pt idx="7876">
                  <c:v>8.9531702233576205E-3</c:v>
                </c:pt>
                <c:pt idx="7877">
                  <c:v>9.0609826584615583E-3</c:v>
                </c:pt>
                <c:pt idx="7878">
                  <c:v>9.1687677300038573E-3</c:v>
                </c:pt>
                <c:pt idx="7879">
                  <c:v>9.2765254484001858E-3</c:v>
                </c:pt>
                <c:pt idx="7880">
                  <c:v>9.3842558240613272E-3</c:v>
                </c:pt>
                <c:pt idx="7881">
                  <c:v>8.9845378347912508E-3</c:v>
                </c:pt>
                <c:pt idx="7882">
                  <c:v>8.5849212453159573E-3</c:v>
                </c:pt>
                <c:pt idx="7883">
                  <c:v>8.6926983442587868E-3</c:v>
                </c:pt>
                <c:pt idx="7884">
                  <c:v>8.8004481094206E-3</c:v>
                </c:pt>
                <c:pt idx="7885">
                  <c:v>8.9081705511984133E-3</c:v>
                </c:pt>
                <c:pt idx="7886">
                  <c:v>9.0158656799839143E-3</c:v>
                </c:pt>
                <c:pt idx="7887">
                  <c:v>9.1235335061634615E-3</c:v>
                </c:pt>
                <c:pt idx="7888">
                  <c:v>9.2311740401180842E-3</c:v>
                </c:pt>
                <c:pt idx="7889">
                  <c:v>8.8318806897658142E-3</c:v>
                </c:pt>
                <c:pt idx="7890">
                  <c:v>8.4326885288081854E-3</c:v>
                </c:pt>
                <c:pt idx="7891">
                  <c:v>8.5403756766453398E-3</c:v>
                </c:pt>
                <c:pt idx="7892">
                  <c:v>8.6480355411926446E-3</c:v>
                </c:pt>
                <c:pt idx="7893">
                  <c:v>8.7556681328160302E-3</c:v>
                </c:pt>
                <c:pt idx="7894">
                  <c:v>8.8632734618787623E-3</c:v>
                </c:pt>
                <c:pt idx="7895">
                  <c:v>8.9708515387365573E-3</c:v>
                </c:pt>
                <c:pt idx="7896">
                  <c:v>9.0784023737420227E-3</c:v>
                </c:pt>
                <c:pt idx="7897">
                  <c:v>9.185925977240661E-3</c:v>
                </c:pt>
                <c:pt idx="7898">
                  <c:v>9.2934223595739773E-3</c:v>
                </c:pt>
                <c:pt idx="7899">
                  <c:v>9.4008915310777041E-3</c:v>
                </c:pt>
                <c:pt idx="7900">
                  <c:v>9.5083335020822446E-3</c:v>
                </c:pt>
                <c:pt idx="7901">
                  <c:v>9.615748282913561E-3</c:v>
                </c:pt>
                <c:pt idx="7902">
                  <c:v>9.7231358838909543E-3</c:v>
                </c:pt>
                <c:pt idx="7903">
                  <c:v>9.8304963153301728E-3</c:v>
                </c:pt>
                <c:pt idx="7904">
                  <c:v>9.9378295875407474E-3</c:v>
                </c:pt>
                <c:pt idx="7905">
                  <c:v>9.5392548457704507E-3</c:v>
                </c:pt>
                <c:pt idx="7906">
                  <c:v>9.6465978012032494E-3</c:v>
                </c:pt>
                <c:pt idx="7907">
                  <c:v>9.7539136121289616E-3</c:v>
                </c:pt>
                <c:pt idx="7908">
                  <c:v>9.8612022888415751E-3</c:v>
                </c:pt>
                <c:pt idx="7909">
                  <c:v>9.9684638416315252E-3</c:v>
                </c:pt>
                <c:pt idx="7910">
                  <c:v>1.007569828078303E-2</c:v>
                </c:pt>
                <c:pt idx="7911">
                  <c:v>9.6774083336241823E-3</c:v>
                </c:pt>
                <c:pt idx="7912">
                  <c:v>9.7846524501359333E-3</c:v>
                </c:pt>
                <c:pt idx="7913">
                  <c:v>9.386499916208102E-3</c:v>
                </c:pt>
                <c:pt idx="7914">
                  <c:v>9.4937536866090966E-3</c:v>
                </c:pt>
                <c:pt idx="7915">
                  <c:v>9.0957384779093431E-3</c:v>
                </c:pt>
                <c:pt idx="7916">
                  <c:v>8.6978238034878252E-3</c:v>
                </c:pt>
                <c:pt idx="7917">
                  <c:v>8.8051239073654308E-3</c:v>
                </c:pt>
                <c:pt idx="7918">
                  <c:v>8.912396915257581E-3</c:v>
                </c:pt>
                <c:pt idx="7919">
                  <c:v>9.0196428374258453E-3</c:v>
                </c:pt>
                <c:pt idx="7920">
                  <c:v>9.1268616841277961E-3</c:v>
                </c:pt>
                <c:pt idx="7921">
                  <c:v>9.2340534656152329E-3</c:v>
                </c:pt>
                <c:pt idx="7922">
                  <c:v>9.3412181921350701E-3</c:v>
                </c:pt>
                <c:pt idx="7923">
                  <c:v>9.4483558739293372E-3</c:v>
                </c:pt>
                <c:pt idx="7924">
                  <c:v>9.0507983405627712E-3</c:v>
                </c:pt>
                <c:pt idx="7925">
                  <c:v>9.157945628069708E-3</c:v>
                </c:pt>
                <c:pt idx="7926">
                  <c:v>9.2650658854842582E-3</c:v>
                </c:pt>
                <c:pt idx="7927">
                  <c:v>9.3721591230333523E-3</c:v>
                </c:pt>
                <c:pt idx="7928">
                  <c:v>8.9748117317705045E-3</c:v>
                </c:pt>
                <c:pt idx="7929">
                  <c:v>9.0819145605030016E-3</c:v>
                </c:pt>
                <c:pt idx="7930">
                  <c:v>8.6847039492892186E-3</c:v>
                </c:pt>
                <c:pt idx="7931">
                  <c:v>8.7918163459184129E-3</c:v>
                </c:pt>
                <c:pt idx="7932">
                  <c:v>8.8989017416918337E-3</c:v>
                </c:pt>
                <c:pt idx="7933">
                  <c:v>9.0059601468168715E-3</c:v>
                </c:pt>
                <c:pt idx="7934">
                  <c:v>9.1129915714973642E-3</c:v>
                </c:pt>
                <c:pt idx="7935">
                  <c:v>9.2199960259304881E-3</c:v>
                </c:pt>
                <c:pt idx="7936">
                  <c:v>9.326973520310311E-3</c:v>
                </c:pt>
                <c:pt idx="7937">
                  <c:v>9.4339240648233513E-3</c:v>
                </c:pt>
                <c:pt idx="7938">
                  <c:v>9.5408476696525746E-3</c:v>
                </c:pt>
                <c:pt idx="7939">
                  <c:v>9.1440294476075046E-3</c:v>
                </c:pt>
                <c:pt idx="7940">
                  <c:v>9.2509626277843537E-3</c:v>
                </c:pt>
                <c:pt idx="7941">
                  <c:v>9.3578688828244161E-3</c:v>
                </c:pt>
                <c:pt idx="7942">
                  <c:v>9.4647482228955582E-3</c:v>
                </c:pt>
                <c:pt idx="7943">
                  <c:v>9.5716006581616497E-3</c:v>
                </c:pt>
                <c:pt idx="7944">
                  <c:v>9.6784261987798992E-3</c:v>
                </c:pt>
                <c:pt idx="7945">
                  <c:v>9.785224854903074E-3</c:v>
                </c:pt>
                <c:pt idx="7946">
                  <c:v>9.8919966366790568E-3</c:v>
                </c:pt>
                <c:pt idx="7947">
                  <c:v>9.9987415542499569E-3</c:v>
                </c:pt>
                <c:pt idx="7948">
                  <c:v>1.0105459617753887E-2</c:v>
                </c:pt>
                <c:pt idx="7949">
                  <c:v>9.7090694639110353E-3</c:v>
                </c:pt>
                <c:pt idx="7950">
                  <c:v>9.8157971144323675E-3</c:v>
                </c:pt>
                <c:pt idx="7951">
                  <c:v>9.9224979253582646E-3</c:v>
                </c:pt>
                <c:pt idx="7952">
                  <c:v>1.0029171906812184E-2</c:v>
                </c:pt>
                <c:pt idx="7953">
                  <c:v>1.0135819068912255E-2</c:v>
                </c:pt>
                <c:pt idx="7954">
                  <c:v>1.0242439421770388E-2</c:v>
                </c:pt>
                <c:pt idx="7955">
                  <c:v>1.0349032975495387E-2</c:v>
                </c:pt>
                <c:pt idx="7956">
                  <c:v>1.0455599740189392E-2</c:v>
                </c:pt>
                <c:pt idx="7957">
                  <c:v>1.0059564025485024E-2</c:v>
                </c:pt>
                <c:pt idx="7958">
                  <c:v>1.0166140380055921E-2</c:v>
                </c:pt>
                <c:pt idx="7959">
                  <c:v>1.0272689960012293E-2</c:v>
                </c:pt>
                <c:pt idx="7960">
                  <c:v>1.0379212775441626E-2</c:v>
                </c:pt>
                <c:pt idx="7961">
                  <c:v>1.0485708836428298E-2</c:v>
                </c:pt>
                <c:pt idx="7962">
                  <c:v>1.0592178153049581E-2</c:v>
                </c:pt>
                <c:pt idx="7963">
                  <c:v>1.0698620735379638E-2</c:v>
                </c:pt>
                <c:pt idx="7964">
                  <c:v>1.0805036593485973E-2</c:v>
                </c:pt>
                <c:pt idx="7965">
                  <c:v>1.0911425737431646E-2</c:v>
                </c:pt>
                <c:pt idx="7966">
                  <c:v>1.1017788177275278E-2</c:v>
                </c:pt>
                <c:pt idx="7967">
                  <c:v>1.1124123923069273E-2</c:v>
                </c:pt>
                <c:pt idx="7968">
                  <c:v>1.1230432984862038E-2</c:v>
                </c:pt>
                <c:pt idx="7969">
                  <c:v>1.133671537269576E-2</c:v>
                </c:pt>
                <c:pt idx="7970">
                  <c:v>1.09412149500967E-2</c:v>
                </c:pt>
                <c:pt idx="7971">
                  <c:v>1.1047506952035491E-2</c:v>
                </c:pt>
                <c:pt idx="7972">
                  <c:v>1.1153772294330455E-2</c:v>
                </c:pt>
                <c:pt idx="7973">
                  <c:v>1.075844358889011E-2</c:v>
                </c:pt>
                <c:pt idx="7974">
                  <c:v>1.0864718526555794E-2</c:v>
                </c:pt>
                <c:pt idx="7975">
                  <c:v>1.0970966818881767E-2</c:v>
                </c:pt>
                <c:pt idx="7976">
                  <c:v>1.1077188475887567E-2</c:v>
                </c:pt>
                <c:pt idx="7977">
                  <c:v>1.0682067553207109E-2</c:v>
                </c:pt>
                <c:pt idx="7978">
                  <c:v>1.0788298791159168E-2</c:v>
                </c:pt>
                <c:pt idx="7979">
                  <c:v>1.0393313081050071E-2</c:v>
                </c:pt>
                <c:pt idx="7980">
                  <c:v>1.0499553877007184E-2</c:v>
                </c:pt>
                <c:pt idx="7981">
                  <c:v>1.0605768056204834E-2</c:v>
                </c:pt>
                <c:pt idx="7982">
                  <c:v>1.0210953624635533E-2</c:v>
                </c:pt>
                <c:pt idx="7983">
                  <c:v>9.8162380820916439E-3</c:v>
                </c:pt>
                <c:pt idx="7984">
                  <c:v>9.9224979253582646E-3</c:v>
                </c:pt>
                <c:pt idx="7985">
                  <c:v>1.002873116042613E-2</c:v>
                </c:pt>
                <c:pt idx="7986">
                  <c:v>9.6341866705973445E-3</c:v>
                </c:pt>
                <c:pt idx="7987">
                  <c:v>9.7404293993168523E-3</c:v>
                </c:pt>
                <c:pt idx="7988">
                  <c:v>9.3460197518839827E-3</c:v>
                </c:pt>
                <c:pt idx="7989">
                  <c:v>9.4522719514409381E-3</c:v>
                </c:pt>
                <c:pt idx="7990">
                  <c:v>9.5584975613580703E-3</c:v>
                </c:pt>
                <c:pt idx="7991">
                  <c:v>9.664696591615396E-3</c:v>
                </c:pt>
                <c:pt idx="7992">
                  <c:v>9.7708690521884911E-3</c:v>
                </c:pt>
                <c:pt idx="7993">
                  <c:v>9.8770149530462703E-3</c:v>
                </c:pt>
                <c:pt idx="7994">
                  <c:v>9.9831343041536513E-3</c:v>
                </c:pt>
                <c:pt idx="7995">
                  <c:v>1.0089227115471555E-2</c:v>
                </c:pt>
                <c:pt idx="7996">
                  <c:v>9.6951683656958387E-3</c:v>
                </c:pt>
                <c:pt idx="7997">
                  <c:v>9.8012706507368819E-3</c:v>
                </c:pt>
                <c:pt idx="7998">
                  <c:v>9.4073464102066851E-3</c:v>
                </c:pt>
                <c:pt idx="7999">
                  <c:v>9.5134581462397172E-3</c:v>
                </c:pt>
                <c:pt idx="8000">
                  <c:v>9.1196683297272152E-3</c:v>
                </c:pt>
                <c:pt idx="8001">
                  <c:v>9.2257894940503959E-3</c:v>
                </c:pt>
                <c:pt idx="8002">
                  <c:v>9.3318841413414511E-3</c:v>
                </c:pt>
                <c:pt idx="8003">
                  <c:v>9.4379522815373207E-3</c:v>
                </c:pt>
                <c:pt idx="8004">
                  <c:v>9.5439939245709482E-3</c:v>
                </c:pt>
                <c:pt idx="8005">
                  <c:v>9.650009080370392E-3</c:v>
                </c:pt>
                <c:pt idx="8006">
                  <c:v>9.7559977588583813E-3</c:v>
                </c:pt>
                <c:pt idx="8007">
                  <c:v>9.3625218378505792E-3</c:v>
                </c:pt>
                <c:pt idx="8008">
                  <c:v>9.4685199432906764E-3</c:v>
                </c:pt>
                <c:pt idx="8009">
                  <c:v>9.5744915855906498E-3</c:v>
                </c:pt>
                <c:pt idx="8010">
                  <c:v>9.6804367746603504E-3</c:v>
                </c:pt>
                <c:pt idx="8011">
                  <c:v>9.7863555204029673E-3</c:v>
                </c:pt>
                <c:pt idx="8012">
                  <c:v>9.3931213041424932E-3</c:v>
                </c:pt>
                <c:pt idx="8013">
                  <c:v>9.4990494669753289E-3</c:v>
                </c:pt>
                <c:pt idx="8014">
                  <c:v>9.6049512006262106E-3</c:v>
                </c:pt>
                <c:pt idx="8015">
                  <c:v>9.7108265149841166E-3</c:v>
                </c:pt>
                <c:pt idx="8016">
                  <c:v>9.8166754199349171E-3</c:v>
                </c:pt>
                <c:pt idx="8017">
                  <c:v>9.9224979253582646E-3</c:v>
                </c:pt>
                <c:pt idx="8018">
                  <c:v>9.5295409239226636E-3</c:v>
                </c:pt>
                <c:pt idx="8019">
                  <c:v>9.6353728408264949E-3</c:v>
                </c:pt>
                <c:pt idx="8020">
                  <c:v>9.7411783723111434E-3</c:v>
                </c:pt>
                <c:pt idx="8021">
                  <c:v>9.8469575282424948E-3</c:v>
                </c:pt>
                <c:pt idx="8022">
                  <c:v>9.4542058319415645E-3</c:v>
                </c:pt>
                <c:pt idx="8023">
                  <c:v>9.5599943852846536E-3</c:v>
                </c:pt>
                <c:pt idx="8024">
                  <c:v>9.6657565771640641E-3</c:v>
                </c:pt>
                <c:pt idx="8025">
                  <c:v>9.7714924174323592E-3</c:v>
                </c:pt>
                <c:pt idx="8026">
                  <c:v>9.877201915936773E-3</c:v>
                </c:pt>
                <c:pt idx="8027">
                  <c:v>9.9828850825196547E-3</c:v>
                </c:pt>
                <c:pt idx="8028">
                  <c:v>9.5904099220374128E-3</c:v>
                </c:pt>
                <c:pt idx="8029">
                  <c:v>9.6961024804347318E-3</c:v>
                </c:pt>
                <c:pt idx="8030">
                  <c:v>9.8017687209637216E-3</c:v>
                </c:pt>
                <c:pt idx="8031">
                  <c:v>9.4094626805913961E-3</c:v>
                </c:pt>
                <c:pt idx="8032">
                  <c:v>9.5151382946978558E-3</c:v>
                </c:pt>
                <c:pt idx="8033">
                  <c:v>9.6207876049798635E-3</c:v>
                </c:pt>
                <c:pt idx="8034">
                  <c:v>9.72641062125712E-3</c:v>
                </c:pt>
                <c:pt idx="8035">
                  <c:v>9.8320073533448848E-3</c:v>
                </c:pt>
                <c:pt idx="8036">
                  <c:v>9.4399415831354361E-3</c:v>
                </c:pt>
                <c:pt idx="8037">
                  <c:v>9.0479733538564311E-3</c:v>
                </c:pt>
                <c:pt idx="8038">
                  <c:v>9.1536150669231375E-3</c:v>
                </c:pt>
                <c:pt idx="8039">
                  <c:v>9.2592305042251688E-3</c:v>
                </c:pt>
                <c:pt idx="8040">
                  <c:v>9.3648196755635738E-3</c:v>
                </c:pt>
                <c:pt idx="8041">
                  <c:v>9.4703825907367367E-3</c:v>
                </c:pt>
                <c:pt idx="8042">
                  <c:v>9.5759192595354925E-3</c:v>
                </c:pt>
                <c:pt idx="8043">
                  <c:v>9.6814296917480114E-3</c:v>
                </c:pt>
                <c:pt idx="8044">
                  <c:v>9.7869138971571346E-3</c:v>
                </c:pt>
                <c:pt idx="8045">
                  <c:v>9.3952922285240881E-3</c:v>
                </c:pt>
                <c:pt idx="8046">
                  <c:v>9.5007857740241342E-3</c:v>
                </c:pt>
                <c:pt idx="8047">
                  <c:v>9.6062531066909429E-3</c:v>
                </c:pt>
                <c:pt idx="8048">
                  <c:v>9.7116942362940328E-3</c:v>
                </c:pt>
                <c:pt idx="8049">
                  <c:v>9.8171091725967052E-3</c:v>
                </c:pt>
                <c:pt idx="8050">
                  <c:v>9.9224979253582646E-3</c:v>
                </c:pt>
                <c:pt idx="8051">
                  <c:v>9.5311512034514934E-3</c:v>
                </c:pt>
                <c:pt idx="8052">
                  <c:v>9.6365492907630745E-3</c:v>
                </c:pt>
                <c:pt idx="8053">
                  <c:v>9.741921208468618E-3</c:v>
                </c:pt>
                <c:pt idx="8054">
                  <c:v>9.8472669663141055E-3</c:v>
                </c:pt>
                <c:pt idx="8055">
                  <c:v>9.9525865740397457E-3</c:v>
                </c:pt>
                <c:pt idx="8056">
                  <c:v>1.0057880041380862E-2</c:v>
                </c:pt>
                <c:pt idx="8057">
                  <c:v>1.0163147378068782E-2</c:v>
                </c:pt>
                <c:pt idx="8058">
                  <c:v>1.0268388593829503E-2</c:v>
                </c:pt>
                <c:pt idx="8059">
                  <c:v>1.0373603698384581E-2</c:v>
                </c:pt>
                <c:pt idx="8060">
                  <c:v>1.0478792701449802E-2</c:v>
                </c:pt>
                <c:pt idx="8061">
                  <c:v>1.0087862347202936E-2</c:v>
                </c:pt>
                <c:pt idx="8062">
                  <c:v>9.6970289498892193E-3</c:v>
                </c:pt>
                <c:pt idx="8063">
                  <c:v>9.8022627152287711E-3</c:v>
                </c:pt>
                <c:pt idx="8064">
                  <c:v>9.4115616346055475E-3</c:v>
                </c:pt>
                <c:pt idx="8065">
                  <c:v>9.516804697054404E-3</c:v>
                </c:pt>
                <c:pt idx="8066">
                  <c:v>9.6220216704945294E-3</c:v>
                </c:pt>
                <c:pt idx="8067">
                  <c:v>9.727212564624832E-3</c:v>
                </c:pt>
                <c:pt idx="8068">
                  <c:v>9.8323773891411115E-3</c:v>
                </c:pt>
                <c:pt idx="8069">
                  <c:v>9.9375161537329504E-3</c:v>
                </c:pt>
                <c:pt idx="8070">
                  <c:v>1.0042628868085934E-2</c:v>
                </c:pt>
                <c:pt idx="8071">
                  <c:v>1.014771554188032E-2</c:v>
                </c:pt>
                <c:pt idx="8072">
                  <c:v>1.0252776184791923E-2</c:v>
                </c:pt>
                <c:pt idx="8073">
                  <c:v>9.8624547693400011E-3</c:v>
                </c:pt>
                <c:pt idx="8074">
                  <c:v>9.9675247162989145E-3</c:v>
                </c:pt>
                <c:pt idx="8075">
                  <c:v>1.0072568646185776E-2</c:v>
                </c:pt>
                <c:pt idx="8076">
                  <c:v>9.6824144963667536E-3</c:v>
                </c:pt>
                <c:pt idx="8077">
                  <c:v>9.7874677123481746E-3</c:v>
                </c:pt>
                <c:pt idx="8078">
                  <c:v>9.8924949250585037E-3</c:v>
                </c:pt>
                <c:pt idx="8079">
                  <c:v>9.5025079001214152E-3</c:v>
                </c:pt>
                <c:pt idx="8080">
                  <c:v>9.6075443810059724E-3</c:v>
                </c:pt>
                <c:pt idx="8081">
                  <c:v>9.2176891047510701E-3</c:v>
                </c:pt>
                <c:pt idx="8082">
                  <c:v>9.322734831780366E-3</c:v>
                </c:pt>
                <c:pt idx="8083">
                  <c:v>9.4277545734722246E-3</c:v>
                </c:pt>
                <c:pt idx="8084">
                  <c:v>9.5327483394673784E-3</c:v>
                </c:pt>
                <c:pt idx="8085">
                  <c:v>9.6377161394016753E-3</c:v>
                </c:pt>
                <c:pt idx="8086">
                  <c:v>9.7426579829069659E-3</c:v>
                </c:pt>
                <c:pt idx="8087">
                  <c:v>9.3530751776689236E-3</c:v>
                </c:pt>
                <c:pt idx="8088">
                  <c:v>8.9635886846197721E-3</c:v>
                </c:pt>
                <c:pt idx="8089">
                  <c:v>8.5741984680489658E-3</c:v>
                </c:pt>
                <c:pt idx="8090">
                  <c:v>8.1849044922632785E-3</c:v>
                </c:pt>
                <c:pt idx="8091">
                  <c:v>7.7957067215872478E-3</c:v>
                </c:pt>
                <c:pt idx="8092">
                  <c:v>7.9007983499153056E-3</c:v>
                </c:pt>
                <c:pt idx="8093">
                  <c:v>8.0058640136657644E-3</c:v>
                </c:pt>
                <c:pt idx="8094">
                  <c:v>8.1109037224598168E-3</c:v>
                </c:pt>
                <c:pt idx="8095">
                  <c:v>8.2159174859137707E-3</c:v>
                </c:pt>
                <c:pt idx="8096">
                  <c:v>8.3209053136399369E-3</c:v>
                </c:pt>
                <c:pt idx="8097">
                  <c:v>8.4258672152444092E-3</c:v>
                </c:pt>
                <c:pt idx="8098">
                  <c:v>8.5308032003301726E-3</c:v>
                </c:pt>
                <c:pt idx="8099">
                  <c:v>8.6357132784948831E-3</c:v>
                </c:pt>
                <c:pt idx="8100">
                  <c:v>8.7405974593304236E-3</c:v>
                </c:pt>
                <c:pt idx="8101">
                  <c:v>8.8454557524260125E-3</c:v>
                </c:pt>
                <c:pt idx="8102">
                  <c:v>8.4567047517665195E-3</c:v>
                </c:pt>
                <c:pt idx="8103">
                  <c:v>8.5615721967582381E-3</c:v>
                </c:pt>
                <c:pt idx="8104">
                  <c:v>8.6664137677199271E-3</c:v>
                </c:pt>
                <c:pt idx="8105">
                  <c:v>8.7712294742257058E-3</c:v>
                </c:pt>
                <c:pt idx="8106">
                  <c:v>8.8760193258456965E-3</c:v>
                </c:pt>
                <c:pt idx="8107">
                  <c:v>8.980783332145581E-3</c:v>
                </c:pt>
                <c:pt idx="8108">
                  <c:v>9.0855215026852676E-3</c:v>
                </c:pt>
                <c:pt idx="8109">
                  <c:v>8.6970764065084083E-3</c:v>
                </c:pt>
                <c:pt idx="8110">
                  <c:v>8.3087270808182012E-3</c:v>
                </c:pt>
                <c:pt idx="8111">
                  <c:v>8.413509358561555E-3</c:v>
                </c:pt>
                <c:pt idx="8112">
                  <c:v>8.0252907040199162E-3</c:v>
                </c:pt>
                <c:pt idx="8113">
                  <c:v>7.6371677287530026E-3</c:v>
                </c:pt>
                <c:pt idx="8114">
                  <c:v>7.2491403973926616E-3</c:v>
                </c:pt>
                <c:pt idx="8115">
                  <c:v>7.3540015783724044E-3</c:v>
                </c:pt>
                <c:pt idx="8116">
                  <c:v>7.4588369251120668E-3</c:v>
                </c:pt>
                <c:pt idx="8117">
                  <c:v>7.5636464471573461E-3</c:v>
                </c:pt>
                <c:pt idx="8118">
                  <c:v>7.6684301540490551E-3</c:v>
                </c:pt>
                <c:pt idx="8119">
                  <c:v>7.2806378767751312E-3</c:v>
                </c:pt>
                <c:pt idx="8120">
                  <c:v>7.3854306259173441E-3</c:v>
                </c:pt>
                <c:pt idx="8121">
                  <c:v>7.4901975735701676E-3</c:v>
                </c:pt>
                <c:pt idx="8122">
                  <c:v>7.1025704377793986E-3</c:v>
                </c:pt>
                <c:pt idx="8123">
                  <c:v>7.2073464102069273E-3</c:v>
                </c:pt>
                <c:pt idx="8124">
                  <c:v>6.8198494867512949E-3</c:v>
                </c:pt>
                <c:pt idx="8125">
                  <c:v>6.4324479236805843E-3</c:v>
                </c:pt>
                <c:pt idx="8126">
                  <c:v>6.5372676700494736E-3</c:v>
                </c:pt>
                <c:pt idx="8127">
                  <c:v>6.1499961826267935E-3</c:v>
                </c:pt>
                <c:pt idx="8128">
                  <c:v>6.2548248849916277E-3</c:v>
                </c:pt>
                <c:pt idx="8129">
                  <c:v>6.3596278024093955E-3</c:v>
                </c:pt>
                <c:pt idx="8130">
                  <c:v>6.4644049443929319E-3</c:v>
                </c:pt>
                <c:pt idx="8131">
                  <c:v>6.0773328850625141E-3</c:v>
                </c:pt>
                <c:pt idx="8132">
                  <c:v>6.1821189698330059E-3</c:v>
                </c:pt>
                <c:pt idx="8133">
                  <c:v>6.286879292813019E-3</c:v>
                </c:pt>
                <c:pt idx="8134">
                  <c:v>5.8999717789385286E-3</c:v>
                </c:pt>
                <c:pt idx="8135">
                  <c:v>6.0047410273877944E-3</c:v>
                </c:pt>
                <c:pt idx="8136">
                  <c:v>6.1094845276805643E-3</c:v>
                </c:pt>
                <c:pt idx="8137">
                  <c:v>6.2142022893074689E-3</c:v>
                </c:pt>
                <c:pt idx="8138">
                  <c:v>6.3188943217546978E-3</c:v>
                </c:pt>
                <c:pt idx="8139">
                  <c:v>6.4235606345035556E-3</c:v>
                </c:pt>
                <c:pt idx="8140">
                  <c:v>6.5282012370309062E-3</c:v>
                </c:pt>
                <c:pt idx="8141">
                  <c:v>6.632816138808284E-3</c:v>
                </c:pt>
                <c:pt idx="8142">
                  <c:v>6.2462462137431451E-3</c:v>
                </c:pt>
                <c:pt idx="8143">
                  <c:v>6.3508700443382082E-3</c:v>
                </c:pt>
                <c:pt idx="8144">
                  <c:v>6.4554681877662112E-3</c:v>
                </c:pt>
                <c:pt idx="8145">
                  <c:v>6.5600406534866984E-3</c:v>
                </c:pt>
                <c:pt idx="8146">
                  <c:v>6.6645874509529968E-3</c:v>
                </c:pt>
                <c:pt idx="8147">
                  <c:v>6.7691085896153247E-3</c:v>
                </c:pt>
                <c:pt idx="8148">
                  <c:v>6.8736040789185715E-3</c:v>
                </c:pt>
                <c:pt idx="8149">
                  <c:v>6.9780739283027415E-3</c:v>
                </c:pt>
                <c:pt idx="8150">
                  <c:v>7.0825181472038423E-3</c:v>
                </c:pt>
                <c:pt idx="8151">
                  <c:v>7.1869367450529964E-3</c:v>
                </c:pt>
                <c:pt idx="8152">
                  <c:v>7.2913297312764414E-3</c:v>
                </c:pt>
                <c:pt idx="8153">
                  <c:v>7.3956971152959738E-3</c:v>
                </c:pt>
                <c:pt idx="8154">
                  <c:v>7.5000389065285056E-3</c:v>
                </c:pt>
                <c:pt idx="8155">
                  <c:v>7.1139787505281049E-3</c:v>
                </c:pt>
                <c:pt idx="8156">
                  <c:v>7.2183294942962384E-3</c:v>
                </c:pt>
                <c:pt idx="8157">
                  <c:v>6.8323984999238974E-3</c:v>
                </c:pt>
                <c:pt idx="8158">
                  <c:v>6.9367581749126828E-3</c:v>
                </c:pt>
                <c:pt idx="8159">
                  <c:v>7.0410922746844129E-3</c:v>
                </c:pt>
                <c:pt idx="8160">
                  <c:v>6.6553248468643744E-3</c:v>
                </c:pt>
                <c:pt idx="8161">
                  <c:v>6.269651935136622E-3</c:v>
                </c:pt>
                <c:pt idx="8162">
                  <c:v>6.374029408736881E-3</c:v>
                </c:pt>
                <c:pt idx="8163">
                  <c:v>6.4783813152895497E-3</c:v>
                </c:pt>
                <c:pt idx="8164">
                  <c:v>6.5827076641866711E-3</c:v>
                </c:pt>
                <c:pt idx="8165">
                  <c:v>6.6870084648167349E-3</c:v>
                </c:pt>
                <c:pt idx="8166">
                  <c:v>6.3015677618230015E-3</c:v>
                </c:pt>
                <c:pt idx="8167">
                  <c:v>5.9162214255086276E-3</c:v>
                </c:pt>
                <c:pt idx="8168">
                  <c:v>6.0205655044542894E-3</c:v>
                </c:pt>
                <c:pt idx="8169">
                  <c:v>6.1248840432996943E-3</c:v>
                </c:pt>
                <c:pt idx="8170">
                  <c:v>6.2291770514208977E-3</c:v>
                </c:pt>
                <c:pt idx="8171">
                  <c:v>6.3334445381890703E-3</c:v>
                </c:pt>
                <c:pt idx="8172">
                  <c:v>5.9483300167642028E-3</c:v>
                </c:pt>
                <c:pt idx="8173">
                  <c:v>6.052606349044698E-3</c:v>
                </c:pt>
                <c:pt idx="8174">
                  <c:v>6.1568571734160749E-3</c:v>
                </c:pt>
                <c:pt idx="8175">
                  <c:v>6.2610824992370695E-3</c:v>
                </c:pt>
                <c:pt idx="8176">
                  <c:v>6.3652823358610888E-3</c:v>
                </c:pt>
                <c:pt idx="8177">
                  <c:v>5.9803993506641895E-3</c:v>
                </c:pt>
                <c:pt idx="8178">
                  <c:v>6.0846080238987632E-3</c:v>
                </c:pt>
                <c:pt idx="8179">
                  <c:v>5.6998534386876187E-3</c:v>
                </c:pt>
                <c:pt idx="8180">
                  <c:v>5.8040709274398417E-3</c:v>
                </c:pt>
                <c:pt idx="8181">
                  <c:v>5.9082629444850987E-3</c:v>
                </c:pt>
                <c:pt idx="8182">
                  <c:v>6.0124294991608096E-3</c:v>
                </c:pt>
                <c:pt idx="8183">
                  <c:v>6.1165706007995091E-3</c:v>
                </c:pt>
                <c:pt idx="8184">
                  <c:v>6.220686258728847E-3</c:v>
                </c:pt>
                <c:pt idx="8185">
                  <c:v>6.3247764822724761E-3</c:v>
                </c:pt>
                <c:pt idx="8186">
                  <c:v>6.4288412807491646E-3</c:v>
                </c:pt>
                <c:pt idx="8187">
                  <c:v>6.044420534031314E-3</c:v>
                </c:pt>
                <c:pt idx="8188">
                  <c:v>6.1484941513545444E-3</c:v>
                </c:pt>
                <c:pt idx="8189">
                  <c:v>6.2525423569779193E-3</c:v>
                </c:pt>
                <c:pt idx="8190">
                  <c:v>5.868283910206884E-3</c:v>
                </c:pt>
                <c:pt idx="8191">
                  <c:v>5.4841192650831871E-3</c:v>
                </c:pt>
                <c:pt idx="8192">
                  <c:v>5.5882104570703639E-3</c:v>
                </c:pt>
                <c:pt idx="8193">
                  <c:v>5.6922762454720832E-3</c:v>
                </c:pt>
                <c:pt idx="8194">
                  <c:v>5.7963166395871291E-3</c:v>
                </c:pt>
                <c:pt idx="8195">
                  <c:v>5.9003316487089563E-3</c:v>
                </c:pt>
                <c:pt idx="8196">
                  <c:v>6.0043212821270231E-3</c:v>
                </c:pt>
                <c:pt idx="8197">
                  <c:v>6.1082855491263466E-3</c:v>
                </c:pt>
                <c:pt idx="8198">
                  <c:v>5.7244195809387222E-3</c:v>
                </c:pt>
                <c:pt idx="8199">
                  <c:v>5.8283926240831896E-3</c:v>
                </c:pt>
                <c:pt idx="8200">
                  <c:v>5.9323403141329223E-3</c:v>
                </c:pt>
                <c:pt idx="8201">
                  <c:v>6.0362626603591707E-3</c:v>
                </c:pt>
                <c:pt idx="8202">
                  <c:v>5.6525926315624808E-3</c:v>
                </c:pt>
                <c:pt idx="8203">
                  <c:v>5.2690161237962663E-3</c:v>
                </c:pt>
                <c:pt idx="8204">
                  <c:v>5.3729813114986591E-3</c:v>
                </c:pt>
                <c:pt idx="8205">
                  <c:v>5.4769211634662085E-3</c:v>
                </c:pt>
                <c:pt idx="8206">
                  <c:v>5.5808356889595068E-3</c:v>
                </c:pt>
                <c:pt idx="8207">
                  <c:v>5.684724897233373E-3</c:v>
                </c:pt>
                <c:pt idx="8208">
                  <c:v>5.7885887975395178E-3</c:v>
                </c:pt>
                <c:pt idx="8209">
                  <c:v>5.8924273991243226E-3</c:v>
                </c:pt>
                <c:pt idx="8210">
                  <c:v>5.9962407112297278E-3</c:v>
                </c:pt>
                <c:pt idx="8211">
                  <c:v>5.6129959901412008E-3</c:v>
                </c:pt>
                <c:pt idx="8212">
                  <c:v>5.2298445840563978E-3</c:v>
                </c:pt>
                <c:pt idx="8213">
                  <c:v>4.8467864588981335E-3</c:v>
                </c:pt>
                <c:pt idx="8214">
                  <c:v>4.9506764978408668E-3</c:v>
                </c:pt>
                <c:pt idx="8215">
                  <c:v>5.0545412501730169E-3</c:v>
                </c:pt>
                <c:pt idx="8216">
                  <c:v>5.1583807251254221E-3</c:v>
                </c:pt>
                <c:pt idx="8217">
                  <c:v>4.7755177205854871E-3</c:v>
                </c:pt>
                <c:pt idx="8218">
                  <c:v>4.8793658749270996E-3</c:v>
                </c:pt>
                <c:pt idx="8219">
                  <c:v>4.9831887651516915E-3</c:v>
                </c:pt>
                <c:pt idx="8220">
                  <c:v>5.0869864004767784E-3</c:v>
                </c:pt>
                <c:pt idx="8221">
                  <c:v>5.1907587901167673E-3</c:v>
                </c:pt>
                <c:pt idx="8222">
                  <c:v>5.2945059432807362E-3</c:v>
                </c:pt>
                <c:pt idx="8223">
                  <c:v>4.9119056807236383E-3</c:v>
                </c:pt>
                <c:pt idx="8224">
                  <c:v>4.529398440355159E-3</c:v>
                </c:pt>
                <c:pt idx="8225">
                  <c:v>4.6331881508172579E-3</c:v>
                </c:pt>
                <c:pt idx="8226">
                  <c:v>4.7369526328613354E-3</c:v>
                </c:pt>
                <c:pt idx="8227">
                  <c:v>4.8406918956849232E-3</c:v>
                </c:pt>
                <c:pt idx="8228">
                  <c:v>4.9444059484815561E-3</c:v>
                </c:pt>
                <c:pt idx="8229">
                  <c:v>5.0480948004389958E-3</c:v>
                </c:pt>
                <c:pt idx="8230">
                  <c:v>5.1517584607414513E-3</c:v>
                </c:pt>
                <c:pt idx="8231">
                  <c:v>4.7695473090287877E-3</c:v>
                </c:pt>
                <c:pt idx="8232">
                  <c:v>4.8732196188541188E-3</c:v>
                </c:pt>
                <c:pt idx="8233">
                  <c:v>4.9768667502192443E-3</c:v>
                </c:pt>
                <c:pt idx="8234">
                  <c:v>5.0804887122954945E-3</c:v>
                </c:pt>
                <c:pt idx="8235">
                  <c:v>5.1840855142497588E-3</c:v>
                </c:pt>
                <c:pt idx="8236">
                  <c:v>5.2876571652444859E-3</c:v>
                </c:pt>
                <c:pt idx="8237">
                  <c:v>4.9057078618393035E-3</c:v>
                </c:pt>
                <c:pt idx="8238">
                  <c:v>5.0092881577796788E-3</c:v>
                </c:pt>
                <c:pt idx="8239">
                  <c:v>5.1128433159219888E-3</c:v>
                </c:pt>
                <c:pt idx="8240">
                  <c:v>5.2163733454166916E-3</c:v>
                </c:pt>
                <c:pt idx="8241">
                  <c:v>4.8346180346152678E-3</c:v>
                </c:pt>
                <c:pt idx="8242">
                  <c:v>4.9381566964759038E-3</c:v>
                </c:pt>
                <c:pt idx="8243">
                  <c:v>5.041670242832641E-3</c:v>
                </c:pt>
                <c:pt idx="8244">
                  <c:v>5.1451586828239471E-3</c:v>
                </c:pt>
                <c:pt idx="8245">
                  <c:v>5.2486220255820726E-3</c:v>
                </c:pt>
                <c:pt idx="8246">
                  <c:v>5.3520602802361594E-3</c:v>
                </c:pt>
                <c:pt idx="8247">
                  <c:v>5.4554734559095763E-3</c:v>
                </c:pt>
                <c:pt idx="8248">
                  <c:v>5.5588615617221393E-3</c:v>
                </c:pt>
                <c:pt idx="8249">
                  <c:v>5.6622246067892235E-3</c:v>
                </c:pt>
                <c:pt idx="8250">
                  <c:v>5.7655626002213189E-3</c:v>
                </c:pt>
                <c:pt idx="8251">
                  <c:v>5.8688755511253632E-3</c:v>
                </c:pt>
                <c:pt idx="8252">
                  <c:v>5.9721634686029645E-3</c:v>
                </c:pt>
                <c:pt idx="8253">
                  <c:v>6.0754263617512905E-3</c:v>
                </c:pt>
                <c:pt idx="8254">
                  <c:v>5.6941681156330581E-3</c:v>
                </c:pt>
                <c:pt idx="8255">
                  <c:v>5.3130022174006086E-3</c:v>
                </c:pt>
                <c:pt idx="8256">
                  <c:v>5.4163074177147053E-3</c:v>
                </c:pt>
                <c:pt idx="8257">
                  <c:v>5.0352674660247843E-3</c:v>
                </c:pt>
                <c:pt idx="8258">
                  <c:v>5.138581277035037E-3</c:v>
                </c:pt>
                <c:pt idx="8259">
                  <c:v>5.2418700756224901E-3</c:v>
                </c:pt>
                <c:pt idx="8260">
                  <c:v>5.3451338708701002E-3</c:v>
                </c:pt>
                <c:pt idx="8261">
                  <c:v>5.4483726718550507E-3</c:v>
                </c:pt>
                <c:pt idx="8262">
                  <c:v>5.5515864876514165E-3</c:v>
                </c:pt>
                <c:pt idx="8263">
                  <c:v>5.1708067852827E-3</c:v>
                </c:pt>
                <c:pt idx="8264">
                  <c:v>5.2740292072064321E-3</c:v>
                </c:pt>
                <c:pt idx="8265">
                  <c:v>4.8933751993684993E-3</c:v>
                </c:pt>
                <c:pt idx="8266">
                  <c:v>4.9966062070136985E-3</c:v>
                </c:pt>
                <c:pt idx="8267">
                  <c:v>4.616077816664621E-3</c:v>
                </c:pt>
                <c:pt idx="8268">
                  <c:v>4.7193173896507012E-3</c:v>
                </c:pt>
                <c:pt idx="8269">
                  <c:v>4.8225319984065429E-3</c:v>
                </c:pt>
                <c:pt idx="8270">
                  <c:v>4.4421626577890727E-3</c:v>
                </c:pt>
                <c:pt idx="8271">
                  <c:v>4.0618852715632592E-3</c:v>
                </c:pt>
                <c:pt idx="8272">
                  <c:v>3.6816998063877726E-3</c:v>
                </c:pt>
                <c:pt idx="8273">
                  <c:v>3.7849899147386346E-3</c:v>
                </c:pt>
                <c:pt idx="8274">
                  <c:v>3.4049297838172343E-3</c:v>
                </c:pt>
                <c:pt idx="8275">
                  <c:v>3.5082283722704943E-3</c:v>
                </c:pt>
                <c:pt idx="8276">
                  <c:v>3.6115020033453682E-3</c:v>
                </c:pt>
                <c:pt idx="8277">
                  <c:v>3.7147506860857327E-3</c:v>
                </c:pt>
                <c:pt idx="8278">
                  <c:v>3.8179744295305795E-3</c:v>
                </c:pt>
                <c:pt idx="8279">
                  <c:v>3.4381397926486201E-3</c:v>
                </c:pt>
                <c:pt idx="8280">
                  <c:v>3.5413720078887323E-3</c:v>
                </c:pt>
                <c:pt idx="8281">
                  <c:v>3.6445792968420321E-3</c:v>
                </c:pt>
                <c:pt idx="8282">
                  <c:v>3.747761668536409E-3</c:v>
                </c:pt>
                <c:pt idx="8283">
                  <c:v>3.8509191319930913E-3</c:v>
                </c:pt>
                <c:pt idx="8284">
                  <c:v>3.9540516962315309E-3</c:v>
                </c:pt>
                <c:pt idx="8285">
                  <c:v>4.0571593702649622E-3</c:v>
                </c:pt>
                <c:pt idx="8286">
                  <c:v>3.6776166804770583E-3</c:v>
                </c:pt>
                <c:pt idx="8287">
                  <c:v>3.7807328259384931E-3</c:v>
                </c:pt>
                <c:pt idx="8288">
                  <c:v>3.883824094163657E-3</c:v>
                </c:pt>
                <c:pt idx="8289">
                  <c:v>3.9868904941533501E-3</c:v>
                </c:pt>
                <c:pt idx="8290">
                  <c:v>4.0899320349052637E-3</c:v>
                </c:pt>
                <c:pt idx="8291">
                  <c:v>4.1929487254126485E-3</c:v>
                </c:pt>
                <c:pt idx="8292">
                  <c:v>3.8136642303179258E-3</c:v>
                </c:pt>
                <c:pt idx="8293">
                  <c:v>3.9166893879043485E-3</c:v>
                </c:pt>
                <c:pt idx="8294">
                  <c:v>3.5375296310360405E-3</c:v>
                </c:pt>
                <c:pt idx="8295">
                  <c:v>3.6405632355656081E-3</c:v>
                </c:pt>
                <c:pt idx="8296">
                  <c:v>3.743572006736251E-3</c:v>
                </c:pt>
                <c:pt idx="8297">
                  <c:v>3.8465559535252325E-3</c:v>
                </c:pt>
                <c:pt idx="8298">
                  <c:v>3.4675873740623864E-3</c:v>
                </c:pt>
                <c:pt idx="8299">
                  <c:v>3.5705797555869445E-3</c:v>
                </c:pt>
                <c:pt idx="8300">
                  <c:v>3.6735473256488405E-3</c:v>
                </c:pt>
                <c:pt idx="8301">
                  <c:v>3.7764900932129031E-3</c:v>
                </c:pt>
                <c:pt idx="8302">
                  <c:v>3.8794080672395204E-3</c:v>
                </c:pt>
                <c:pt idx="8303">
                  <c:v>3.9823012566850835E-3</c:v>
                </c:pt>
                <c:pt idx="8304">
                  <c:v>3.6035900894750839E-3</c:v>
                </c:pt>
                <c:pt idx="8305">
                  <c:v>3.706491709352111E-3</c:v>
                </c:pt>
                <c:pt idx="8306">
                  <c:v>3.8093685575346647E-3</c:v>
                </c:pt>
                <c:pt idx="8307">
                  <c:v>3.9122206429667017E-3</c:v>
                </c:pt>
                <c:pt idx="8308">
                  <c:v>4.0150479745872936E-3</c:v>
                </c:pt>
                <c:pt idx="8309">
                  <c:v>4.1178505613319594E-3</c:v>
                </c:pt>
                <c:pt idx="8310">
                  <c:v>4.2206284121317772E-3</c:v>
                </c:pt>
                <c:pt idx="8311">
                  <c:v>4.3233815359138283E-3</c:v>
                </c:pt>
                <c:pt idx="8312">
                  <c:v>4.426109941599865E-3</c:v>
                </c:pt>
                <c:pt idx="8313">
                  <c:v>4.5288136381080868E-3</c:v>
                </c:pt>
                <c:pt idx="8314">
                  <c:v>4.6314926343531404E-3</c:v>
                </c:pt>
                <c:pt idx="8315">
                  <c:v>4.7341469392438995E-3</c:v>
                </c:pt>
                <c:pt idx="8316">
                  <c:v>4.836776561685685E-3</c:v>
                </c:pt>
                <c:pt idx="8317">
                  <c:v>4.939381510579377E-3</c:v>
                </c:pt>
                <c:pt idx="8318">
                  <c:v>5.0419617948223028E-3</c:v>
                </c:pt>
                <c:pt idx="8319">
                  <c:v>5.1445174233064606E-3</c:v>
                </c:pt>
                <c:pt idx="8320">
                  <c:v>5.2470484049198518E-3</c:v>
                </c:pt>
                <c:pt idx="8321">
                  <c:v>5.3495547485464812E-3</c:v>
                </c:pt>
                <c:pt idx="8322">
                  <c:v>4.9714982602790947E-3</c:v>
                </c:pt>
                <c:pt idx="8323">
                  <c:v>4.5935325963930573E-3</c:v>
                </c:pt>
                <c:pt idx="8324">
                  <c:v>4.6960804962026259E-3</c:v>
                </c:pt>
                <c:pt idx="8325">
                  <c:v>4.7986037657969938E-3</c:v>
                </c:pt>
                <c:pt idx="8326">
                  <c:v>4.9011024140495074E-3</c:v>
                </c:pt>
                <c:pt idx="8327">
                  <c:v>5.0035764498272961E-3</c:v>
                </c:pt>
                <c:pt idx="8328">
                  <c:v>5.1060258819957127E-3</c:v>
                </c:pt>
                <c:pt idx="8329">
                  <c:v>5.2084507194134488E-3</c:v>
                </c:pt>
                <c:pt idx="8330">
                  <c:v>5.3108509709365315E-3</c:v>
                </c:pt>
                <c:pt idx="8331">
                  <c:v>5.4132266454161027E-3</c:v>
                </c:pt>
                <c:pt idx="8332">
                  <c:v>5.0356161486280193E-3</c:v>
                </c:pt>
                <c:pt idx="8333">
                  <c:v>5.1380002794330082E-3</c:v>
                </c:pt>
                <c:pt idx="8334">
                  <c:v>4.7605133967709712E-3</c:v>
                </c:pt>
                <c:pt idx="8335">
                  <c:v>4.8629059640030725E-3</c:v>
                </c:pt>
                <c:pt idx="8336">
                  <c:v>4.9652739707730653E-3</c:v>
                </c:pt>
                <c:pt idx="8337">
                  <c:v>5.0676174259161044E-3</c:v>
                </c:pt>
                <c:pt idx="8338">
                  <c:v>5.169936338264236E-3</c:v>
                </c:pt>
                <c:pt idx="8339">
                  <c:v>5.2722307166450655E-3</c:v>
                </c:pt>
                <c:pt idx="8340">
                  <c:v>5.374500569880869E-3</c:v>
                </c:pt>
                <c:pt idx="8341">
                  <c:v>5.4767459067908142E-3</c:v>
                </c:pt>
                <c:pt idx="8342">
                  <c:v>5.0995803507629667E-3</c:v>
                </c:pt>
                <c:pt idx="8343">
                  <c:v>5.2018341274027158E-3</c:v>
                </c:pt>
                <c:pt idx="8344">
                  <c:v>4.8247918930730549E-3</c:v>
                </c:pt>
                <c:pt idx="8345">
                  <c:v>4.9270540896126924E-3</c:v>
                </c:pt>
                <c:pt idx="8346">
                  <c:v>5.0292917863448139E-3</c:v>
                </c:pt>
                <c:pt idx="8347">
                  <c:v>5.1315049920730438E-3</c:v>
                </c:pt>
                <c:pt idx="8348">
                  <c:v>4.7546517994283555E-3</c:v>
                </c:pt>
                <c:pt idx="8349">
                  <c:v>4.8568734129612601E-3</c:v>
                </c:pt>
                <c:pt idx="8350">
                  <c:v>4.9590705481379338E-3</c:v>
                </c:pt>
                <c:pt idx="8351">
                  <c:v>5.0612432137504548E-3</c:v>
                </c:pt>
                <c:pt idx="8352">
                  <c:v>5.1633914185860164E-3</c:v>
                </c:pt>
                <c:pt idx="8353">
                  <c:v>5.2655151714278148E-3</c:v>
                </c:pt>
                <c:pt idx="8354">
                  <c:v>5.3676144810541615E-3</c:v>
                </c:pt>
                <c:pt idx="8355">
                  <c:v>5.4696893562402593E-3</c:v>
                </c:pt>
                <c:pt idx="8356">
                  <c:v>5.0931564125997753E-3</c:v>
                </c:pt>
                <c:pt idx="8357">
                  <c:v>5.1952396988776961E-3</c:v>
                </c:pt>
                <c:pt idx="8358">
                  <c:v>5.2972985633168435E-3</c:v>
                </c:pt>
                <c:pt idx="8359">
                  <c:v>5.3993330146799856E-3</c:v>
                </c:pt>
                <c:pt idx="8360">
                  <c:v>5.50134306172545E-3</c:v>
                </c:pt>
                <c:pt idx="8361">
                  <c:v>5.6033287132080112E-3</c:v>
                </c:pt>
                <c:pt idx="8362">
                  <c:v>5.7052899778780031E-3</c:v>
                </c:pt>
                <c:pt idx="8363">
                  <c:v>5.8072268644804304E-3</c:v>
                </c:pt>
                <c:pt idx="8364">
                  <c:v>5.4310136346868987E-3</c:v>
                </c:pt>
                <c:pt idx="8365">
                  <c:v>5.0548903327598538E-3</c:v>
                </c:pt>
                <c:pt idx="8366">
                  <c:v>5.1568683987346375E-3</c:v>
                </c:pt>
                <c:pt idx="8367">
                  <c:v>5.2588220942788588E-3</c:v>
                </c:pt>
                <c:pt idx="8368">
                  <c:v>5.3607514281281965E-3</c:v>
                </c:pt>
                <c:pt idx="8369">
                  <c:v>4.984816246546675E-3</c:v>
                </c:pt>
                <c:pt idx="8370">
                  <c:v>4.6089708727010681E-3</c:v>
                </c:pt>
                <c:pt idx="8371">
                  <c:v>4.7109412985384402E-3</c:v>
                </c:pt>
                <c:pt idx="8372">
                  <c:v>4.8128873703214836E-3</c:v>
                </c:pt>
                <c:pt idx="8373">
                  <c:v>4.437197156475392E-3</c:v>
                </c:pt>
                <c:pt idx="8374">
                  <c:v>4.5391515677999372E-3</c:v>
                </c:pt>
                <c:pt idx="8375">
                  <c:v>4.1635837266684739E-3</c:v>
                </c:pt>
                <c:pt idx="8376">
                  <c:v>4.2655464579510749E-3</c:v>
                </c:pt>
                <c:pt idx="8377">
                  <c:v>4.3674848515484754E-3</c:v>
                </c:pt>
                <c:pt idx="8378">
                  <c:v>4.4693989161732617E-3</c:v>
                </c:pt>
                <c:pt idx="8379">
                  <c:v>4.5712886605349112E-3</c:v>
                </c:pt>
                <c:pt idx="8380">
                  <c:v>4.6731540933375726E-3</c:v>
                </c:pt>
                <c:pt idx="8381">
                  <c:v>4.7749952232809534E-3</c:v>
                </c:pt>
                <c:pt idx="8382">
                  <c:v>4.3997128224204651E-3</c:v>
                </c:pt>
                <c:pt idx="8383">
                  <c:v>4.5015622718644899E-3</c:v>
                </c:pt>
                <c:pt idx="8384">
                  <c:v>4.6033874309556744E-3</c:v>
                </c:pt>
                <c:pt idx="8385">
                  <c:v>4.705188308382624E-3</c:v>
                </c:pt>
                <c:pt idx="8386">
                  <c:v>4.3300931913226037E-3</c:v>
                </c:pt>
                <c:pt idx="8387">
                  <c:v>3.9550874997287266E-3</c:v>
                </c:pt>
                <c:pt idx="8388">
                  <c:v>4.0569292469174734E-3</c:v>
                </c:pt>
                <c:pt idx="8389">
                  <c:v>4.1587467200625561E-3</c:v>
                </c:pt>
                <c:pt idx="8390">
                  <c:v>3.7838955045823575E-3</c:v>
                </c:pt>
                <c:pt idx="8391">
                  <c:v>3.8857212463798696E-3</c:v>
                </c:pt>
                <c:pt idx="8392">
                  <c:v>3.9875227266232827E-3</c:v>
                </c:pt>
                <c:pt idx="8393">
                  <c:v>4.0892999539829944E-3</c:v>
                </c:pt>
                <c:pt idx="8394">
                  <c:v>3.714635595533089E-3</c:v>
                </c:pt>
                <c:pt idx="8395">
                  <c:v>3.3400604747537699E-3</c:v>
                </c:pt>
                <c:pt idx="8396">
                  <c:v>2.9655745597660932E-3</c:v>
                </c:pt>
                <c:pt idx="8397">
                  <c:v>3.0674249909901086E-3</c:v>
                </c:pt>
                <c:pt idx="8398">
                  <c:v>3.1692511721117533E-3</c:v>
                </c:pt>
                <c:pt idx="8399">
                  <c:v>3.2710531117898789E-3</c:v>
                </c:pt>
                <c:pt idx="8400">
                  <c:v>3.3728308186811162E-3</c:v>
                </c:pt>
                <c:pt idx="8401">
                  <c:v>2.9985638325560338E-3</c:v>
                </c:pt>
                <c:pt idx="8402">
                  <c:v>2.6243859152046412E-3</c:v>
                </c:pt>
                <c:pt idx="8403">
                  <c:v>2.7262042329314617E-3</c:v>
                </c:pt>
                <c:pt idx="8404">
                  <c:v>2.8279983255052876E-3</c:v>
                </c:pt>
                <c:pt idx="8405">
                  <c:v>2.9297682015712034E-3</c:v>
                </c:pt>
                <c:pt idx="8406">
                  <c:v>2.5557764768100455E-3</c:v>
                </c:pt>
                <c:pt idx="8407">
                  <c:v>2.1818737023937551E-3</c:v>
                </c:pt>
                <c:pt idx="8408">
                  <c:v>1.8080598465921582E-3</c:v>
                </c:pt>
                <c:pt idx="8409">
                  <c:v>1.9099025866426977E-3</c:v>
                </c:pt>
                <c:pt idx="8410">
                  <c:v>1.5362099384996775E-3</c:v>
                </c:pt>
                <c:pt idx="8411">
                  <c:v>1.6380607808237357E-3</c:v>
                </c:pt>
                <c:pt idx="8412">
                  <c:v>1.7398874132967812E-3</c:v>
                </c:pt>
                <c:pt idx="8413">
                  <c:v>1.8416898445501317E-3</c:v>
                </c:pt>
                <c:pt idx="8414">
                  <c:v>1.9434680832106643E-3</c:v>
                </c:pt>
                <c:pt idx="8415">
                  <c:v>2.0452221379008151E-3</c:v>
                </c:pt>
                <c:pt idx="8416">
                  <c:v>2.1469520172394674E-3</c:v>
                </c:pt>
                <c:pt idx="8417">
                  <c:v>2.2486577298410637E-3</c:v>
                </c:pt>
                <c:pt idx="8418">
                  <c:v>2.3503392843160498E-3</c:v>
                </c:pt>
                <c:pt idx="8419">
                  <c:v>2.4519966892713185E-3</c:v>
                </c:pt>
                <c:pt idx="8420">
                  <c:v>2.0786833847972197E-3</c:v>
                </c:pt>
                <c:pt idx="8421">
                  <c:v>2.1803489033804802E-3</c:v>
                </c:pt>
                <c:pt idx="8422">
                  <c:v>1.8071564766835024E-3</c:v>
                </c:pt>
                <c:pt idx="8423">
                  <c:v>1.9088300897323052E-3</c:v>
                </c:pt>
                <c:pt idx="8424">
                  <c:v>2.0104795694759758E-3</c:v>
                </c:pt>
                <c:pt idx="8425">
                  <c:v>2.1121049245063084E-3</c:v>
                </c:pt>
                <c:pt idx="8426">
                  <c:v>1.7390977153799447E-3</c:v>
                </c:pt>
                <c:pt idx="8427">
                  <c:v>1.8407311533557014E-3</c:v>
                </c:pt>
                <c:pt idx="8428">
                  <c:v>1.9423404790086529E-3</c:v>
                </c:pt>
                <c:pt idx="8429">
                  <c:v>2.0439257009199352E-3</c:v>
                </c:pt>
                <c:pt idx="8430">
                  <c:v>2.1454868276640227E-3</c:v>
                </c:pt>
                <c:pt idx="8431">
                  <c:v>2.2470238678140575E-3</c:v>
                </c:pt>
                <c:pt idx="8432">
                  <c:v>2.3485368299365206E-3</c:v>
                </c:pt>
                <c:pt idx="8433">
                  <c:v>1.9758111404972745E-3</c:v>
                </c:pt>
                <c:pt idx="8434">
                  <c:v>2.0773321854559157E-3</c:v>
                </c:pt>
                <c:pt idx="8435">
                  <c:v>2.1788291647406588E-3</c:v>
                </c:pt>
                <c:pt idx="8436">
                  <c:v>2.2803020869073265E-3</c:v>
                </c:pt>
                <c:pt idx="8437">
                  <c:v>2.381750960509077E-3</c:v>
                </c:pt>
                <c:pt idx="8438">
                  <c:v>2.4831757940932953E-3</c:v>
                </c:pt>
                <c:pt idx="8439">
                  <c:v>2.5845765962038136E-3</c:v>
                </c:pt>
                <c:pt idx="8440">
                  <c:v>2.2121320060373151E-3</c:v>
                </c:pt>
                <c:pt idx="8441">
                  <c:v>1.8397756415229338E-3</c:v>
                </c:pt>
                <c:pt idx="8442">
                  <c:v>1.9412166139018971E-3</c:v>
                </c:pt>
                <c:pt idx="8443">
                  <c:v>2.0426335623677794E-3</c:v>
                </c:pt>
                <c:pt idx="8444">
                  <c:v>2.1440264954541988E-3</c:v>
                </c:pt>
                <c:pt idx="8445">
                  <c:v>2.2453954216903327E-3</c:v>
                </c:pt>
                <c:pt idx="8446">
                  <c:v>2.3467403496009176E-3</c:v>
                </c:pt>
                <c:pt idx="8447">
                  <c:v>1.9746324795644199E-3</c:v>
                </c:pt>
                <c:pt idx="8448">
                  <c:v>2.0759854634611052E-3</c:v>
                </c:pt>
                <c:pt idx="8449">
                  <c:v>1.703997694078474E-3</c:v>
                </c:pt>
                <c:pt idx="8450">
                  <c:v>1.8053587149866601E-3</c:v>
                </c:pt>
                <c:pt idx="8451">
                  <c:v>1.9066957536351126E-3</c:v>
                </c:pt>
                <c:pt idx="8452">
                  <c:v>1.5348600132352175E-3</c:v>
                </c:pt>
                <c:pt idx="8453">
                  <c:v>1.6362050737197542E-3</c:v>
                </c:pt>
                <c:pt idx="8454">
                  <c:v>1.2644892673496777E-3</c:v>
                </c:pt>
                <c:pt idx="8455">
                  <c:v>1.3658423307458811E-3</c:v>
                </c:pt>
                <c:pt idx="8456">
                  <c:v>1.4671714279415049E-3</c:v>
                </c:pt>
                <c:pt idx="8457">
                  <c:v>1.5684765674359724E-3</c:v>
                </c:pt>
                <c:pt idx="8458">
                  <c:v>1.6697577577247102E-3</c:v>
                </c:pt>
                <c:pt idx="8459">
                  <c:v>1.2982576500131238E-3</c:v>
                </c:pt>
                <c:pt idx="8460">
                  <c:v>9.2684534662845763E-4</c:v>
                </c:pt>
                <c:pt idx="8461">
                  <c:v>1.0281664503817289E-3</c:v>
                </c:pt>
                <c:pt idx="8462">
                  <c:v>1.1294636124752344E-3</c:v>
                </c:pt>
                <c:pt idx="8463">
                  <c:v>1.2307368413941866E-3</c:v>
                </c:pt>
                <c:pt idx="8464">
                  <c:v>1.331986145618913E-3</c:v>
                </c:pt>
                <c:pt idx="8465">
                  <c:v>9.6078918805009295E-4</c:v>
                </c:pt>
                <c:pt idx="8466">
                  <c:v>1.0620464574433441E-3</c:v>
                </c:pt>
                <c:pt idx="8467">
                  <c:v>6.909690338932073E-4</c:v>
                </c:pt>
                <c:pt idx="8468">
                  <c:v>7.9223424964025568E-4</c:v>
                </c:pt>
                <c:pt idx="8469">
                  <c:v>4.2127628861576838E-4</c:v>
                </c:pt>
                <c:pt idx="8470">
                  <c:v>5.2254943192542314E-4</c:v>
                </c:pt>
                <c:pt idx="8471">
                  <c:v>1.5171086199483597E-4</c:v>
                </c:pt>
                <c:pt idx="8472">
                  <c:v>2.5299191410121935E-4</c:v>
                </c:pt>
                <c:pt idx="8473">
                  <c:v>3.5424906507408593E-4</c:v>
                </c:pt>
                <c:pt idx="8474">
                  <c:v>4.5548232337333516E-4</c:v>
                </c:pt>
                <c:pt idx="8475">
                  <c:v>8.4826650858182973E-5</c:v>
                </c:pt>
                <c:pt idx="8476">
                  <c:v>2.8574158224436985E-4</c:v>
                </c:pt>
                <c:pt idx="8477">
                  <c:v>6.5622240687046585E-4</c:v>
                </c:pt>
                <c:pt idx="8478">
                  <c:v>1.0266158539442571E-3</c:v>
                </c:pt>
                <c:pt idx="8479">
                  <c:v>9.2527945938414291E-4</c:v>
                </c:pt>
                <c:pt idx="8480">
                  <c:v>8.2396695928155239E-4</c:v>
                </c:pt>
                <c:pt idx="8481">
                  <c:v>1.1942096430761495E-3</c:v>
                </c:pt>
                <c:pt idx="8482">
                  <c:v>1.0928893276527241E-3</c:v>
                </c:pt>
                <c:pt idx="8483">
                  <c:v>9.9159289444861187E-4</c:v>
                </c:pt>
                <c:pt idx="8484">
                  <c:v>8.903203350203448E-4</c:v>
                </c:pt>
                <c:pt idx="8485">
                  <c:v>7.8907164093022786E-4</c:v>
                </c:pt>
                <c:pt idx="8486">
                  <c:v>6.8784680374234242E-4</c:v>
                </c:pt>
                <c:pt idx="8487">
                  <c:v>1.0578438359942766E-3</c:v>
                </c:pt>
                <c:pt idx="8488">
                  <c:v>1.4277537075786384E-3</c:v>
                </c:pt>
                <c:pt idx="8489">
                  <c:v>1.7975764492912383E-3</c:v>
                </c:pt>
                <c:pt idx="8490">
                  <c:v>1.6962805327982444E-3</c:v>
                </c:pt>
                <c:pt idx="8491">
                  <c:v>2.0659845682460265E-3</c:v>
                </c:pt>
                <c:pt idx="8492">
                  <c:v>1.9646809031907964E-3</c:v>
                </c:pt>
                <c:pt idx="8493">
                  <c:v>2.3342663031540312E-3</c:v>
                </c:pt>
                <c:pt idx="8494">
                  <c:v>2.7037647009042765E-3</c:v>
                </c:pt>
                <c:pt idx="8495">
                  <c:v>2.6024217432589758E-3</c:v>
                </c:pt>
                <c:pt idx="8496">
                  <c:v>2.971801624624959E-3</c:v>
                </c:pt>
                <c:pt idx="8497">
                  <c:v>2.8704509777210951E-3</c:v>
                </c:pt>
                <c:pt idx="8498">
                  <c:v>2.769124178028548E-3</c:v>
                </c:pt>
                <c:pt idx="8499">
                  <c:v>2.667821217130939E-3</c:v>
                </c:pt>
                <c:pt idx="8500">
                  <c:v>2.5665420866172184E-3</c:v>
                </c:pt>
                <c:pt idx="8501">
                  <c:v>2.9357089820076787E-3</c:v>
                </c:pt>
                <c:pt idx="8502">
                  <c:v>2.8344221692853111E-3</c:v>
                </c:pt>
                <c:pt idx="8503">
                  <c:v>2.7331591747432604E-3</c:v>
                </c:pt>
                <c:pt idx="8504">
                  <c:v>2.6319199899811352E-3</c:v>
                </c:pt>
                <c:pt idx="8505">
                  <c:v>2.5307046066029848E-3</c:v>
                </c:pt>
                <c:pt idx="8506">
                  <c:v>2.4295130162155232E-3</c:v>
                </c:pt>
                <c:pt idx="8507">
                  <c:v>2.3283452104299052E-3</c:v>
                </c:pt>
                <c:pt idx="8508">
                  <c:v>2.2272011808626146E-3</c:v>
                </c:pt>
                <c:pt idx="8509">
                  <c:v>2.1260809191314678E-3</c:v>
                </c:pt>
                <c:pt idx="8510">
                  <c:v>2.0249844168609421E-3</c:v>
                </c:pt>
                <c:pt idx="8511">
                  <c:v>1.9239116656768473E-3</c:v>
                </c:pt>
                <c:pt idx="8512">
                  <c:v>1.8228626572116546E-3</c:v>
                </c:pt>
                <c:pt idx="8513">
                  <c:v>1.7218373830991673E-3</c:v>
                </c:pt>
                <c:pt idx="8514">
                  <c:v>1.6208358349785179E-3</c:v>
                </c:pt>
                <c:pt idx="8515">
                  <c:v>1.5198580044932797E-3</c:v>
                </c:pt>
                <c:pt idx="8516">
                  <c:v>1.4189038832892464E-3</c:v>
                </c:pt>
                <c:pt idx="8517">
                  <c:v>1.317973463017541E-3</c:v>
                </c:pt>
                <c:pt idx="8518">
                  <c:v>1.217066735332839E-3</c:v>
                </c:pt>
                <c:pt idx="8519">
                  <c:v>1.1161836918938128E-3</c:v>
                </c:pt>
                <c:pt idx="8520">
                  <c:v>1.0153243243626875E-3</c:v>
                </c:pt>
                <c:pt idx="8521">
                  <c:v>9.1448862440524081E-4</c:v>
                </c:pt>
                <c:pt idx="8522">
                  <c:v>8.1367658369257967E-4</c:v>
                </c:pt>
                <c:pt idx="8523">
                  <c:v>1.1820964050421878E-3</c:v>
                </c:pt>
                <c:pt idx="8524">
                  <c:v>1.0812766252144002E-3</c:v>
                </c:pt>
                <c:pt idx="8525">
                  <c:v>9.8048049257259962E-4</c:v>
                </c:pt>
                <c:pt idx="8526">
                  <c:v>8.7970799879855122E-4</c:v>
                </c:pt>
                <c:pt idx="8527">
                  <c:v>7.7895913557801677E-4</c:v>
                </c:pt>
                <c:pt idx="8528">
                  <c:v>6.7823389459986672E-4</c:v>
                </c:pt>
                <c:pt idx="8529">
                  <c:v>5.775322675565242E-4</c:v>
                </c:pt>
                <c:pt idx="8530">
                  <c:v>4.7685424614574146E-4</c:v>
                </c:pt>
                <c:pt idx="8531">
                  <c:v>3.7619982206793523E-4</c:v>
                </c:pt>
                <c:pt idx="8532">
                  <c:v>7.4428236879464649E-4</c:v>
                </c:pt>
                <c:pt idx="8533">
                  <c:v>6.4362019787767011E-4</c:v>
                </c:pt>
                <c:pt idx="8534">
                  <c:v>5.4298161228594211E-4</c:v>
                </c:pt>
                <c:pt idx="8535">
                  <c:v>4.4236660373231373E-4</c:v>
                </c:pt>
                <c:pt idx="8536">
                  <c:v>3.4177516393230079E-4</c:v>
                </c:pt>
                <c:pt idx="8537">
                  <c:v>2.4120728460497176E-4</c:v>
                </c:pt>
                <c:pt idx="8538">
                  <c:v>1.4066295747472424E-4</c:v>
                </c:pt>
                <c:pt idx="8539">
                  <c:v>4.0142174268176234E-5</c:v>
                </c:pt>
                <c:pt idx="8540">
                  <c:v>4.0791933552020154E-4</c:v>
                </c:pt>
                <c:pt idx="8541">
                  <c:v>3.0739080154562615E-4</c:v>
                </c:pt>
                <c:pt idx="8542">
                  <c:v>2.0688579953098696E-4</c:v>
                </c:pt>
                <c:pt idx="8543">
                  <c:v>1.0640432121489241E-4</c:v>
                </c:pt>
                <c:pt idx="8544">
                  <c:v>4.740015888571314E-4</c:v>
                </c:pt>
                <c:pt idx="8545">
                  <c:v>3.7351237065186282E-4</c:v>
                </c:pt>
                <c:pt idx="8546">
                  <c:v>2.7304666419647461E-4</c:v>
                </c:pt>
                <c:pt idx="8547">
                  <c:v>1.7260446124023332E-4</c:v>
                </c:pt>
                <c:pt idx="8548">
                  <c:v>7.2185753535958241E-5</c:v>
                </c:pt>
                <c:pt idx="8549">
                  <c:v>4.3957207885858551E-4</c:v>
                </c:pt>
                <c:pt idx="8550">
                  <c:v>3.3914563843673307E-4</c:v>
                </c:pt>
                <c:pt idx="8551">
                  <c:v>2.3874268133994292E-4</c:v>
                </c:pt>
                <c:pt idx="8552">
                  <c:v>1.3836319933258068E-4</c:v>
                </c:pt>
                <c:pt idx="8553">
                  <c:v>3.8007184182564657E-5</c:v>
                </c:pt>
                <c:pt idx="8554">
                  <c:v>4.0518280905432746E-4</c:v>
                </c:pt>
                <c:pt idx="8555">
                  <c:v>7.7227261515266932E-4</c:v>
                </c:pt>
                <c:pt idx="8556">
                  <c:v>6.7187770757781706E-4</c:v>
                </c:pt>
                <c:pt idx="8557">
                  <c:v>1.038850575422412E-3</c:v>
                </c:pt>
                <c:pt idx="8558">
                  <c:v>9.3844798231668136E-4</c:v>
                </c:pt>
                <c:pt idx="8559">
                  <c:v>8.3806884502024559E-4</c:v>
                </c:pt>
                <c:pt idx="8560">
                  <c:v>7.3771315531523385E-4</c:v>
                </c:pt>
                <c:pt idx="8561">
                  <c:v>6.3738090498643984E-4</c:v>
                </c:pt>
                <c:pt idx="8562">
                  <c:v>1.0041435477567973E-3</c:v>
                </c:pt>
                <c:pt idx="8563">
                  <c:v>9.0380361898168005E-4</c:v>
                </c:pt>
                <c:pt idx="8564">
                  <c:v>1.2704495272202188E-3</c:v>
                </c:pt>
                <c:pt idx="8565">
                  <c:v>1.1701019381065159E-3</c:v>
                </c:pt>
                <c:pt idx="8566">
                  <c:v>1.0697777727997071E-3</c:v>
                </c:pt>
                <c:pt idx="8567">
                  <c:v>9.6947702309924111E-4</c:v>
                </c:pt>
                <c:pt idx="8568">
                  <c:v>8.6919968080811927E-4</c:v>
                </c:pt>
                <c:pt idx="8569">
                  <c:v>7.6894573773378383E-4</c:v>
                </c:pt>
                <c:pt idx="8570">
                  <c:v>6.6871518568678567E-4</c:v>
                </c:pt>
                <c:pt idx="8571">
                  <c:v>5.6850801648167248E-4</c:v>
                </c:pt>
                <c:pt idx="8572">
                  <c:v>4.6832422193698875E-4</c:v>
                </c:pt>
                <c:pt idx="8573">
                  <c:v>3.6816379387483167E-4</c:v>
                </c:pt>
                <c:pt idx="8574">
                  <c:v>2.6802672412129525E-4</c:v>
                </c:pt>
                <c:pt idx="8575">
                  <c:v>1.6791300450691438E-4</c:v>
                </c:pt>
                <c:pt idx="8576">
                  <c:v>6.7822626864888491E-5</c:v>
                </c:pt>
                <c:pt idx="8577">
                  <c:v>3.2244416967586176E-5</c:v>
                </c:pt>
                <c:pt idx="8578">
                  <c:v>3.3391233105195539E-4</c:v>
                </c:pt>
                <c:pt idx="8579">
                  <c:v>6.9998373779434075E-4</c:v>
                </c:pt>
                <c:pt idx="8580">
                  <c:v>5.9987801300431798E-4</c:v>
                </c:pt>
                <c:pt idx="8581">
                  <c:v>4.9979561472612843E-4</c:v>
                </c:pt>
                <c:pt idx="8582">
                  <c:v>3.9973653480718241E-4</c:v>
                </c:pt>
                <c:pt idx="8583">
                  <c:v>2.9970076509888699E-4</c:v>
                </c:pt>
                <c:pt idx="8584">
                  <c:v>1.9968829745664607E-4</c:v>
                </c:pt>
                <c:pt idx="8585">
                  <c:v>9.969912373986034E-5</c:v>
                </c:pt>
                <c:pt idx="8586">
                  <c:v>2.667641894049666E-7</c:v>
                </c:pt>
                <c:pt idx="8587">
                  <c:v>1.0020937446331146E-4</c:v>
                </c:pt>
                <c:pt idx="8588">
                  <c:v>2.0012871521268849E-4</c:v>
                </c:pt>
                <c:pt idx="8589">
                  <c:v>1.6557874402423067E-4</c:v>
                </c:pt>
                <c:pt idx="8590">
                  <c:v>5.3120107582671494E-4</c:v>
                </c:pt>
                <c:pt idx="8591">
                  <c:v>8.9673830991410242E-4</c:v>
                </c:pt>
                <c:pt idx="8592">
                  <c:v>1.2621904759928526E-3</c:v>
                </c:pt>
                <c:pt idx="8593">
                  <c:v>1.6275576037547701E-3</c:v>
                </c:pt>
                <c:pt idx="8594">
                  <c:v>1.9928397228783368E-3</c:v>
                </c:pt>
                <c:pt idx="8595">
                  <c:v>2.3580368630278237E-3</c:v>
                </c:pt>
                <c:pt idx="8596">
                  <c:v>2.7231490538546232E-3</c:v>
                </c:pt>
                <c:pt idx="8597">
                  <c:v>2.6230059563472352E-3</c:v>
                </c:pt>
                <c:pt idx="8598">
                  <c:v>2.9880024270023675E-3</c:v>
                </c:pt>
                <c:pt idx="8599">
                  <c:v>3.3529140246262301E-3</c:v>
                </c:pt>
                <c:pt idx="8600">
                  <c:v>3.2527326411764257E-3</c:v>
                </c:pt>
                <c:pt idx="8601">
                  <c:v>3.1525745475984301E-3</c:v>
                </c:pt>
                <c:pt idx="8602">
                  <c:v>3.0524397357716282E-3</c:v>
                </c:pt>
                <c:pt idx="8603">
                  <c:v>3.4171742173354502E-3</c:v>
                </c:pt>
                <c:pt idx="8604">
                  <c:v>3.3170319304858253E-3</c:v>
                </c:pt>
                <c:pt idx="8605">
                  <c:v>3.2169129135994901E-3</c:v>
                </c:pt>
                <c:pt idx="8606">
                  <c:v>3.5815011734361413E-3</c:v>
                </c:pt>
                <c:pt idx="8607">
                  <c:v>3.4813746956126046E-3</c:v>
                </c:pt>
                <c:pt idx="8608">
                  <c:v>3.3812714759720031E-3</c:v>
                </c:pt>
                <c:pt idx="8609">
                  <c:v>3.2811915064114849E-3</c:v>
                </c:pt>
                <c:pt idx="8610">
                  <c:v>3.1811347788317512E-3</c:v>
                </c:pt>
                <c:pt idx="8611">
                  <c:v>3.0811012851374997E-3</c:v>
                </c:pt>
                <c:pt idx="8612">
                  <c:v>2.9810910172369809E-3</c:v>
                </c:pt>
                <c:pt idx="8613">
                  <c:v>2.881103967041998E-3</c:v>
                </c:pt>
                <c:pt idx="8614">
                  <c:v>2.7811401264692392E-3</c:v>
                </c:pt>
                <c:pt idx="8615">
                  <c:v>3.1453981644711249E-3</c:v>
                </c:pt>
                <c:pt idx="8616">
                  <c:v>3.0454268550519359E-3</c:v>
                </c:pt>
                <c:pt idx="8617">
                  <c:v>2.9454787435234664E-3</c:v>
                </c:pt>
                <c:pt idx="8618">
                  <c:v>2.8455538218117304E-3</c:v>
                </c:pt>
                <c:pt idx="8619">
                  <c:v>2.745652081847183E-3</c:v>
                </c:pt>
                <c:pt idx="8620">
                  <c:v>2.6457735155642759E-3</c:v>
                </c:pt>
                <c:pt idx="8621">
                  <c:v>3.0097937962176857E-3</c:v>
                </c:pt>
                <c:pt idx="8622">
                  <c:v>2.9099077641903115E-3</c:v>
                </c:pt>
                <c:pt idx="8623">
                  <c:v>2.8100448941410505E-3</c:v>
                </c:pt>
                <c:pt idx="8624">
                  <c:v>2.7102051780145686E-3</c:v>
                </c:pt>
                <c:pt idx="8625">
                  <c:v>3.0740492082004245E-3</c:v>
                </c:pt>
                <c:pt idx="8626">
                  <c:v>2.9742020367100608E-3</c:v>
                </c:pt>
                <c:pt idx="8627">
                  <c:v>2.8743780074544922E-3</c:v>
                </c:pt>
                <c:pt idx="8628">
                  <c:v>2.7745771123885987E-3</c:v>
                </c:pt>
                <c:pt idx="8629">
                  <c:v>2.674799343471701E-3</c:v>
                </c:pt>
                <c:pt idx="8630">
                  <c:v>2.5750446926662285E-3</c:v>
                </c:pt>
                <c:pt idx="8631">
                  <c:v>2.4753131519381633E-3</c:v>
                </c:pt>
                <c:pt idx="8632">
                  <c:v>2.3756047132583724E-3</c:v>
                </c:pt>
                <c:pt idx="8633">
                  <c:v>2.2759193686003876E-3</c:v>
                </c:pt>
                <c:pt idx="8634">
                  <c:v>2.1762571099412931E-3</c:v>
                </c:pt>
                <c:pt idx="8635">
                  <c:v>2.0766179292630582E-3</c:v>
                </c:pt>
                <c:pt idx="8636">
                  <c:v>2.4400719736781262E-3</c:v>
                </c:pt>
                <c:pt idx="8637">
                  <c:v>2.3404253226324556E-3</c:v>
                </c:pt>
                <c:pt idx="8638">
                  <c:v>2.7037647009042765E-3</c:v>
                </c:pt>
                <c:pt idx="8639">
                  <c:v>2.6041105970837641E-3</c:v>
                </c:pt>
                <c:pt idx="8640">
                  <c:v>2.5044795560047461E-3</c:v>
                </c:pt>
                <c:pt idx="8641">
                  <c:v>2.8676738373922817E-3</c:v>
                </c:pt>
                <c:pt idx="8642">
                  <c:v>2.7680353574930372E-3</c:v>
                </c:pt>
                <c:pt idx="8643">
                  <c:v>2.6684199287174692E-3</c:v>
                </c:pt>
                <c:pt idx="8644">
                  <c:v>3.0314692270820842E-3</c:v>
                </c:pt>
                <c:pt idx="8645">
                  <c:v>2.9318463734173683E-3</c:v>
                </c:pt>
                <c:pt idx="8646">
                  <c:v>2.8322465592656165E-3</c:v>
                </c:pt>
                <c:pt idx="8647">
                  <c:v>2.7326697766354435E-3</c:v>
                </c:pt>
                <c:pt idx="8648">
                  <c:v>2.6331160175385726E-3</c:v>
                </c:pt>
                <c:pt idx="8649">
                  <c:v>2.533585273991612E-3</c:v>
                </c:pt>
                <c:pt idx="8650">
                  <c:v>2.4340775380133906E-3</c:v>
                </c:pt>
                <c:pt idx="8651">
                  <c:v>2.3345928016271777E-3</c:v>
                </c:pt>
                <c:pt idx="8652">
                  <c:v>2.2351310568602401E-3</c:v>
                </c:pt>
                <c:pt idx="8653">
                  <c:v>2.1356922957433966E-3</c:v>
                </c:pt>
                <c:pt idx="8654">
                  <c:v>2.0362765103105751E-3</c:v>
                </c:pt>
                <c:pt idx="8655">
                  <c:v>1.9368836926001443E-3</c:v>
                </c:pt>
                <c:pt idx="8656">
                  <c:v>1.8375138346535813E-3</c:v>
                </c:pt>
                <c:pt idx="8657">
                  <c:v>2.200114035571854E-3</c:v>
                </c:pt>
                <c:pt idx="8658">
                  <c:v>2.1007367306706826E-3</c:v>
                </c:pt>
                <c:pt idx="8659">
                  <c:v>2.0013823739981618E-3</c:v>
                </c:pt>
                <c:pt idx="8660">
                  <c:v>1.9020509576064271E-3</c:v>
                </c:pt>
                <c:pt idx="8661">
                  <c:v>1.8027424735516107E-3</c:v>
                </c:pt>
                <c:pt idx="8662">
                  <c:v>1.7034569138929534E-3</c:v>
                </c:pt>
                <c:pt idx="8663">
                  <c:v>2.0658215067004271E-3</c:v>
                </c:pt>
                <c:pt idx="8664">
                  <c:v>1.9665285032481883E-3</c:v>
                </c:pt>
                <c:pt idx="8665">
                  <c:v>1.8672584126844249E-3</c:v>
                </c:pt>
                <c:pt idx="8666">
                  <c:v>2.2294786936232214E-3</c:v>
                </c:pt>
                <c:pt idx="8667">
                  <c:v>2.1302011731361148E-3</c:v>
                </c:pt>
                <c:pt idx="8668">
                  <c:v>2.0309465540377936E-3</c:v>
                </c:pt>
                <c:pt idx="8669">
                  <c:v>1.9317148284043739E-3</c:v>
                </c:pt>
                <c:pt idx="8670">
                  <c:v>1.8325059883173012E-3</c:v>
                </c:pt>
                <c:pt idx="8671">
                  <c:v>1.7333200258589088E-3</c:v>
                </c:pt>
                <c:pt idx="8672">
                  <c:v>1.6341569331181915E-3</c:v>
                </c:pt>
                <c:pt idx="8673">
                  <c:v>1.5350167021850325E-3</c:v>
                </c:pt>
                <c:pt idx="8674">
                  <c:v>1.8969412799729746E-3</c:v>
                </c:pt>
                <c:pt idx="8675">
                  <c:v>1.797793615147647E-3</c:v>
                </c:pt>
                <c:pt idx="8676">
                  <c:v>1.6986688006710438E-3</c:v>
                </c:pt>
                <c:pt idx="8677">
                  <c:v>1.5995668286454823E-3</c:v>
                </c:pt>
                <c:pt idx="8678">
                  <c:v>1.5004876911755005E-3</c:v>
                </c:pt>
                <c:pt idx="8679">
                  <c:v>1.4014313803700773E-3</c:v>
                </c:pt>
                <c:pt idx="8680">
                  <c:v>1.3023978883417442E-3</c:v>
                </c:pt>
                <c:pt idx="8681">
                  <c:v>1.2033872072065854E-3</c:v>
                </c:pt>
                <c:pt idx="8682">
                  <c:v>1.1043993290837939E-3</c:v>
                </c:pt>
                <c:pt idx="8683">
                  <c:v>1.4659984372311641E-3</c:v>
                </c:pt>
                <c:pt idx="8684">
                  <c:v>1.3670031177692721E-3</c:v>
                </c:pt>
                <c:pt idx="8685">
                  <c:v>1.268030589908431E-3</c:v>
                </c:pt>
                <c:pt idx="8686">
                  <c:v>1.1690808457784918E-3</c:v>
                </c:pt>
                <c:pt idx="8687">
                  <c:v>1.0701538775133024E-3</c:v>
                </c:pt>
                <c:pt idx="8688">
                  <c:v>9.7124967724981914E-4</c:v>
                </c:pt>
                <c:pt idx="8689">
                  <c:v>8.7236823712943945E-4</c:v>
                </c:pt>
                <c:pt idx="8690">
                  <c:v>7.7350954929622517E-4</c:v>
                </c:pt>
                <c:pt idx="8691">
                  <c:v>6.74673605898235E-4</c:v>
                </c:pt>
                <c:pt idx="8692">
                  <c:v>5.7586039908708031E-4</c:v>
                </c:pt>
                <c:pt idx="8693">
                  <c:v>4.7706992101792522E-4</c:v>
                </c:pt>
                <c:pt idx="8694">
                  <c:v>8.3828376458594533E-4</c:v>
                </c:pt>
                <c:pt idx="8695">
                  <c:v>7.3948583079586072E-4</c:v>
                </c:pt>
                <c:pt idx="8696">
                  <c:v>6.4071061439641142E-4</c:v>
                </c:pt>
                <c:pt idx="8697">
                  <c:v>5.4195810755386375E-4</c:v>
                </c:pt>
                <c:pt idx="8698">
                  <c:v>4.4322830243670452E-4</c:v>
                </c:pt>
                <c:pt idx="8699">
                  <c:v>3.4452119121830549E-4</c:v>
                </c:pt>
                <c:pt idx="8700">
                  <c:v>2.4583676607425886E-4</c:v>
                </c:pt>
                <c:pt idx="8701">
                  <c:v>1.4717501918548592E-4</c:v>
                </c:pt>
                <c:pt idx="8702">
                  <c:v>4.8535942734240223E-5</c:v>
                </c:pt>
                <c:pt idx="8703">
                  <c:v>5.0080471091451528E-5</c:v>
                </c:pt>
                <c:pt idx="8704">
                  <c:v>1.4867423010134218E-4</c:v>
                </c:pt>
                <c:pt idx="8705">
                  <c:v>2.4724534210074367E-4</c:v>
                </c:pt>
                <c:pt idx="8706">
                  <c:v>3.4579381489230343E-4</c:v>
                </c:pt>
                <c:pt idx="8707">
                  <c:v>4.4431965627422798E-4</c:v>
                </c:pt>
                <c:pt idx="8708">
                  <c:v>5.4282287404161522E-4</c:v>
                </c:pt>
                <c:pt idx="8709">
                  <c:v>6.4130347598556625E-4</c:v>
                </c:pt>
                <c:pt idx="8710">
                  <c:v>7.3976146989451763E-4</c:v>
                </c:pt>
                <c:pt idx="8711">
                  <c:v>8.3819686355246503E-4</c:v>
                </c:pt>
                <c:pt idx="8712">
                  <c:v>9.3660966473985141E-4</c:v>
                </c:pt>
                <c:pt idx="8713">
                  <c:v>1.0349998812340111E-3</c:v>
                </c:pt>
                <c:pt idx="8714">
                  <c:v>1.1333675208082816E-3</c:v>
                </c:pt>
                <c:pt idx="8715">
                  <c:v>1.2317125912324478E-3</c:v>
                </c:pt>
                <c:pt idx="8716">
                  <c:v>1.3300351002736299E-3</c:v>
                </c:pt>
                <c:pt idx="8717">
                  <c:v>1.4283350556936192E-3</c:v>
                </c:pt>
                <c:pt idx="8718">
                  <c:v>1.0678968689226132E-3</c:v>
                </c:pt>
                <c:pt idx="8719">
                  <c:v>1.1662043393436683E-3</c:v>
                </c:pt>
                <c:pt idx="8720">
                  <c:v>1.2644892673496777E-3</c:v>
                </c:pt>
                <c:pt idx="8721">
                  <c:v>1.3627516606939949E-3</c:v>
                </c:pt>
                <c:pt idx="8722">
                  <c:v>1.4609915271255325E-3</c:v>
                </c:pt>
                <c:pt idx="8723">
                  <c:v>1.5592088743900945E-3</c:v>
                </c:pt>
                <c:pt idx="8724">
                  <c:v>1.1990035268696353E-3</c:v>
                </c:pt>
                <c:pt idx="8725">
                  <c:v>1.2972283856851341E-3</c:v>
                </c:pt>
                <c:pt idx="8726">
                  <c:v>1.3954307365131591E-3</c:v>
                </c:pt>
                <c:pt idx="8727">
                  <c:v>1.0353679476109434E-3</c:v>
                </c:pt>
                <c:pt idx="8728">
                  <c:v>6.7538764732022472E-4</c:v>
                </c:pt>
                <c:pt idx="8729">
                  <c:v>7.7362747766773765E-4</c:v>
                </c:pt>
                <c:pt idx="8730">
                  <c:v>8.7184480690849497E-4</c:v>
                </c:pt>
                <c:pt idx="8731">
                  <c:v>5.1200689343122718E-4</c:v>
                </c:pt>
                <c:pt idx="8732">
                  <c:v>1.5225137929331112E-4</c:v>
                </c:pt>
                <c:pt idx="8733">
                  <c:v>2.5050611255394983E-4</c:v>
                </c:pt>
                <c:pt idx="8734">
                  <c:v>3.4873835159876521E-4</c:v>
                </c:pt>
                <c:pt idx="8735">
                  <c:v>4.4694810415224495E-4</c:v>
                </c:pt>
                <c:pt idx="8736">
                  <c:v>8.7364721033100778E-5</c:v>
                </c:pt>
                <c:pt idx="8737">
                  <c:v>1.8558190625928006E-4</c:v>
                </c:pt>
                <c:pt idx="8738">
                  <c:v>2.8377661615675009E-4</c:v>
                </c:pt>
                <c:pt idx="8739">
                  <c:v>7.5664686921772528E-5</c:v>
                </c:pt>
                <c:pt idx="8740">
                  <c:v>2.2537442007308783E-5</c:v>
                </c:pt>
                <c:pt idx="8741">
                  <c:v>1.2071710676408998E-4</c:v>
                </c:pt>
                <c:pt idx="8742">
                  <c:v>2.1887431505573929E-4</c:v>
                </c:pt>
                <c:pt idx="8743">
                  <c:v>3.1700907458631633E-4</c:v>
                </c:pt>
                <c:pt idx="8744">
                  <c:v>4.15121393056328E-4</c:v>
                </c:pt>
                <c:pt idx="8745">
                  <c:v>5.59116325686837E-5</c:v>
                </c:pt>
                <c:pt idx="8746">
                  <c:v>1.5403136676850337E-4</c:v>
                </c:pt>
                <c:pt idx="8747">
                  <c:v>2.5212867103663328E-4</c:v>
                </c:pt>
                <c:pt idx="8748">
                  <c:v>3.5020355306381035E-4</c:v>
                </c:pt>
                <c:pt idx="8749">
                  <c:v>4.482560205372188E-4</c:v>
                </c:pt>
                <c:pt idx="8750">
                  <c:v>5.4628608113915789E-4</c:v>
                </c:pt>
                <c:pt idx="8751">
                  <c:v>6.4429374255015048E-4</c:v>
                </c:pt>
                <c:pt idx="8752">
                  <c:v>7.422790124458345E-4</c:v>
                </c:pt>
                <c:pt idx="8753">
                  <c:v>8.4024189849918329E-4</c:v>
                </c:pt>
                <c:pt idx="8754">
                  <c:v>9.3818240837961753E-4</c:v>
                </c:pt>
                <c:pt idx="8755">
                  <c:v>5.7932311455788366E-4</c:v>
                </c:pt>
                <c:pt idx="8756">
                  <c:v>6.7727105053583259E-4</c:v>
                </c:pt>
                <c:pt idx="8757">
                  <c:v>3.1852348521566043E-4</c:v>
                </c:pt>
                <c:pt idx="8758">
                  <c:v>4.1647883029805044E-4</c:v>
                </c:pt>
                <c:pt idx="8759">
                  <c:v>5.1441181369948907E-4</c:v>
                </c:pt>
                <c:pt idx="8760">
                  <c:v>6.1232244307607431E-4</c:v>
                </c:pt>
                <c:pt idx="8761">
                  <c:v>7.1021072608035141E-4</c:v>
                </c:pt>
                <c:pt idx="8762">
                  <c:v>3.5166407337428041E-4</c:v>
                </c:pt>
                <c:pt idx="8763">
                  <c:v>6.8007660622981803E-6</c:v>
                </c:pt>
                <c:pt idx="8764">
                  <c:v>9.1124644292950308E-5</c:v>
                </c:pt>
                <c:pt idx="8765">
                  <c:v>2.6722870100570617E-4</c:v>
                </c:pt>
                <c:pt idx="8766">
                  <c:v>1.6929592555969819E-4</c:v>
                </c:pt>
                <c:pt idx="8767">
                  <c:v>7.1385486246633434E-5</c:v>
                </c:pt>
                <c:pt idx="8768">
                  <c:v>2.6502624574042954E-5</c:v>
                </c:pt>
                <c:pt idx="8769">
                  <c:v>1.2436841453933312E-4</c:v>
                </c:pt>
                <c:pt idx="8770">
                  <c:v>2.3378446074628911E-4</c:v>
                </c:pt>
                <c:pt idx="8771">
                  <c:v>1.3591131235113352E-4</c:v>
                </c:pt>
                <c:pt idx="8772">
                  <c:v>3.8060473768641856E-5</c:v>
                </c:pt>
                <c:pt idx="8773">
                  <c:v>5.9768062628418051E-5</c:v>
                </c:pt>
                <c:pt idx="8774">
                  <c:v>2.9821420966547052E-4</c:v>
                </c:pt>
                <c:pt idx="8775">
                  <c:v>2.003783248962776E-4</c:v>
                </c:pt>
                <c:pt idx="8776">
                  <c:v>1.0256473128311683E-4</c:v>
                </c:pt>
                <c:pt idx="8777">
                  <c:v>4.7734212089700634E-6</c:v>
                </c:pt>
                <c:pt idx="8778">
                  <c:v>3.6258525266319452E-4</c:v>
                </c:pt>
                <c:pt idx="8779">
                  <c:v>2.6478660425599543E-4</c:v>
                </c:pt>
                <c:pt idx="8780">
                  <c:v>6.2248734064729305E-4</c:v>
                </c:pt>
                <c:pt idx="8781">
                  <c:v>5.2468137073358179E-4</c:v>
                </c:pt>
                <c:pt idx="8782">
                  <c:v>4.268976699388638E-4</c:v>
                </c:pt>
                <c:pt idx="8783">
                  <c:v>3.2913623065811137E-4</c:v>
                </c:pt>
                <c:pt idx="8784">
                  <c:v>2.3139704529029359E-4</c:v>
                </c:pt>
                <c:pt idx="8785">
                  <c:v>1.3368010623793225E-4</c:v>
                </c:pt>
                <c:pt idx="8786">
                  <c:v>3.5985405906213686E-5</c:v>
                </c:pt>
                <c:pt idx="8787">
                  <c:v>3.9342728418390038E-4</c:v>
                </c:pt>
                <c:pt idx="8788">
                  <c:v>2.9572526214804995E-4</c:v>
                </c:pt>
                <c:pt idx="8789">
                  <c:v>1.9804546785007204E-4</c:v>
                </c:pt>
                <c:pt idx="8790">
                  <c:v>1.0038789370581114E-4</c:v>
                </c:pt>
                <c:pt idx="8791">
                  <c:v>2.7525321337762421E-6</c:v>
                </c:pt>
                <c:pt idx="8792">
                  <c:v>9.486062444397092E-5</c:v>
                </c:pt>
                <c:pt idx="8793">
                  <c:v>1.9245158360092773E-4</c:v>
                </c:pt>
                <c:pt idx="8794">
                  <c:v>1.6473180716447544E-4</c:v>
                </c:pt>
                <c:pt idx="8795">
                  <c:v>6.7133526135076949E-5</c:v>
                </c:pt>
                <c:pt idx="8796">
                  <c:v>3.044256842477111E-5</c:v>
                </c:pt>
                <c:pt idx="8797">
                  <c:v>1.2799648407879616E-4</c:v>
                </c:pt>
                <c:pt idx="8798">
                  <c:v>2.2552822838850517E-4</c:v>
                </c:pt>
                <c:pt idx="8799">
                  <c:v>3.2303780891140832E-4</c:v>
                </c:pt>
                <c:pt idx="8800">
                  <c:v>4.2052523320146307E-4</c:v>
                </c:pt>
                <c:pt idx="8801">
                  <c:v>5.1799050880951825E-4</c:v>
                </c:pt>
                <c:pt idx="8802">
                  <c:v>6.1543364328286998E-4</c:v>
                </c:pt>
                <c:pt idx="8803">
                  <c:v>7.1285464416481759E-4</c:v>
                </c:pt>
                <c:pt idx="8804">
                  <c:v>3.5601777064275808E-4</c:v>
                </c:pt>
                <c:pt idx="8805">
                  <c:v>4.5344610363251547E-4</c:v>
                </c:pt>
                <c:pt idx="8806">
                  <c:v>5.5085231393059431E-4</c:v>
                </c:pt>
                <c:pt idx="8807">
                  <c:v>6.482364090718562E-4</c:v>
                </c:pt>
                <c:pt idx="8808">
                  <c:v>7.4559839658583371E-4</c:v>
                </c:pt>
                <c:pt idx="8809">
                  <c:v>3.8896030193313891E-4</c:v>
                </c:pt>
                <c:pt idx="8810">
                  <c:v>4.8632961492778293E-4</c:v>
                </c:pt>
                <c:pt idx="8811">
                  <c:v>5.8367683117577229E-4</c:v>
                </c:pt>
                <c:pt idx="8812">
                  <c:v>6.8100195819864595E-4</c:v>
                </c:pt>
                <c:pt idx="8813">
                  <c:v>7.7830500351394605E-4</c:v>
                </c:pt>
                <c:pt idx="8814">
                  <c:v>8.7558597463521792E-4</c:v>
                </c:pt>
                <c:pt idx="8815">
                  <c:v>5.1917583064486905E-4</c:v>
                </c:pt>
                <c:pt idx="8816">
                  <c:v>6.1646412397431405E-4</c:v>
                </c:pt>
                <c:pt idx="8817">
                  <c:v>7.1373035396460338E-4</c:v>
                </c:pt>
                <c:pt idx="8818">
                  <c:v>8.109745281208447E-4</c:v>
                </c:pt>
                <c:pt idx="8819">
                  <c:v>9.0819665394326066E-4</c:v>
                </c:pt>
                <c:pt idx="8820">
                  <c:v>1.0053967389307417E-3</c:v>
                </c:pt>
                <c:pt idx="8821">
                  <c:v>1.102574790576405E-3</c:v>
                </c:pt>
                <c:pt idx="8822">
                  <c:v>7.4642165952676365E-4</c:v>
                </c:pt>
                <c:pt idx="8823">
                  <c:v>8.436070334365553E-4</c:v>
                </c:pt>
                <c:pt idx="8824">
                  <c:v>9.4077038482742736E-4</c:v>
                </c:pt>
                <c:pt idx="8825">
                  <c:v>1.0379117211845035E-3</c:v>
                </c:pt>
                <c:pt idx="8826">
                  <c:v>6.8192728922822354E-4</c:v>
                </c:pt>
                <c:pt idx="8827">
                  <c:v>7.7907593789960927E-4</c:v>
                </c:pt>
                <c:pt idx="8828">
                  <c:v>8.7620258234721859E-4</c:v>
                </c:pt>
                <c:pt idx="8829">
                  <c:v>9.7330723004596109E-4</c:v>
                </c:pt>
                <c:pt idx="8830">
                  <c:v>1.0703898884676377E-3</c:v>
                </c:pt>
                <c:pt idx="8831">
                  <c:v>1.1674505650804967E-3</c:v>
                </c:pt>
                <c:pt idx="8832">
                  <c:v>1.2644892673496777E-3</c:v>
                </c:pt>
                <c:pt idx="8833">
                  <c:v>1.3615060027367676E-3</c:v>
                </c:pt>
                <c:pt idx="8834">
                  <c:v>1.4585007786993565E-3</c:v>
                </c:pt>
                <c:pt idx="8835">
                  <c:v>1.1028313032701575E-3</c:v>
                </c:pt>
                <c:pt idx="8836">
                  <c:v>7.4724231425760124E-4</c:v>
                </c:pt>
                <c:pt idx="8837">
                  <c:v>8.4427366442119123E-4</c:v>
                </c:pt>
                <c:pt idx="8838">
                  <c:v>9.4128306179053212E-4</c:v>
                </c:pt>
                <c:pt idx="8839">
                  <c:v>1.0382705138152204E-3</c:v>
                </c:pt>
                <c:pt idx="8840">
                  <c:v>1.1352360279404117E-3</c:v>
                </c:pt>
                <c:pt idx="8841">
                  <c:v>1.2321796116090411E-3</c:v>
                </c:pt>
                <c:pt idx="8842">
                  <c:v>1.329101272260047E-3</c:v>
                </c:pt>
                <c:pt idx="8843">
                  <c:v>1.4260010173297033E-3</c:v>
                </c:pt>
                <c:pt idx="8844">
                  <c:v>1.070697077174998E-3</c:v>
                </c:pt>
                <c:pt idx="8845">
                  <c:v>1.1676041246864166E-3</c:v>
                </c:pt>
                <c:pt idx="8846">
                  <c:v>8.1240970134599522E-4</c:v>
                </c:pt>
                <c:pt idx="8847">
                  <c:v>9.0932403479726531E-4</c:v>
                </c:pt>
                <c:pt idx="8848">
                  <c:v>1.0062164667039575E-3</c:v>
                </c:pt>
                <c:pt idx="8849">
                  <c:v>6.5116066848291965E-4</c:v>
                </c:pt>
                <c:pt idx="8850">
                  <c:v>2.961850907312602E-4</c:v>
                </c:pt>
                <c:pt idx="8851">
                  <c:v>3.9311394663510413E-4</c:v>
                </c:pt>
                <c:pt idx="8852">
                  <c:v>4.900209076090789E-4</c:v>
                </c:pt>
                <c:pt idx="8853">
                  <c:v>5.869059810708066E-4</c:v>
                </c:pt>
                <c:pt idx="8854">
                  <c:v>6.8376917443435659E-4</c:v>
                </c:pt>
                <c:pt idx="8855">
                  <c:v>7.8061049511157776E-4</c:v>
                </c:pt>
                <c:pt idx="8856">
                  <c:v>4.2586074752914982E-4</c:v>
                </c:pt>
                <c:pt idx="8857">
                  <c:v>7.1191087935851272E-5</c:v>
                </c:pt>
                <c:pt idx="8858">
                  <c:v>2.8339851078618139E-4</c:v>
                </c:pt>
                <c:pt idx="8859">
                  <c:v>1.8649175704288368E-4</c:v>
                </c:pt>
                <c:pt idx="8860">
                  <c:v>8.9606873476366644E-5</c:v>
                </c:pt>
                <c:pt idx="8861">
                  <c:v>7.2561473163368362E-6</c:v>
                </c:pt>
                <c:pt idx="8862">
                  <c:v>1.04097312733753E-4</c:v>
                </c:pt>
                <c:pt idx="8863">
                  <c:v>2.5029600378090322E-4</c:v>
                </c:pt>
                <c:pt idx="8864">
                  <c:v>1.534476344580149E-4</c:v>
                </c:pt>
                <c:pt idx="8865">
                  <c:v>5.662110981097257E-5</c:v>
                </c:pt>
                <c:pt idx="8866">
                  <c:v>4.0183577550312322E-5</c:v>
                </c:pt>
                <c:pt idx="8867">
                  <c:v>1.369664350123756E-4</c:v>
                </c:pt>
                <c:pt idx="8868">
                  <c:v>2.3372746995864446E-4</c:v>
                </c:pt>
                <c:pt idx="8869">
                  <c:v>1.2044076147610383E-4</c:v>
                </c:pt>
                <c:pt idx="8870">
                  <c:v>2.3672525771623043E-5</c:v>
                </c:pt>
                <c:pt idx="8871">
                  <c:v>7.307389809163567E-5</c:v>
                </c:pt>
                <c:pt idx="8872">
                  <c:v>2.809564971628653E-4</c:v>
                </c:pt>
                <c:pt idx="8873">
                  <c:v>1.8420288556786346E-4</c:v>
                </c:pt>
                <c:pt idx="8874">
                  <c:v>8.7471075147060873E-5</c:v>
                </c:pt>
                <c:pt idx="8875">
                  <c:v>9.2389414674265424E-6</c:v>
                </c:pt>
                <c:pt idx="8876">
                  <c:v>1.0592717163948606E-4</c:v>
                </c:pt>
                <c:pt idx="8877">
                  <c:v>2.0259362273078452E-4</c:v>
                </c:pt>
                <c:pt idx="8878">
                  <c:v>2.9923830209899194E-4</c:v>
                </c:pt>
                <c:pt idx="8879">
                  <c:v>3.9586121709778155E-4</c:v>
                </c:pt>
                <c:pt idx="8880">
                  <c:v>4.9246237507949431E-4</c:v>
                </c:pt>
                <c:pt idx="8881">
                  <c:v>1.3874346075271049E-4</c:v>
                </c:pt>
                <c:pt idx="8882">
                  <c:v>2.3535181317857479E-4</c:v>
                </c:pt>
                <c:pt idx="8883">
                  <c:v>3.3193841921086431E-4</c:v>
                </c:pt>
                <c:pt idx="8884">
                  <c:v>2.1643011355099162E-5</c:v>
                </c:pt>
                <c:pt idx="8885">
                  <c:v>7.4950776134841135E-5</c:v>
                </c:pt>
                <c:pt idx="8886">
                  <c:v>1.7152282784849149E-4</c:v>
                </c:pt>
                <c:pt idx="8887">
                  <c:v>1.8192122394777854E-4</c:v>
                </c:pt>
                <c:pt idx="8888">
                  <c:v>5.3528576077166434E-4</c:v>
                </c:pt>
                <c:pt idx="8889">
                  <c:v>4.3867765907679157E-4</c:v>
                </c:pt>
                <c:pt idx="8890">
                  <c:v>7.9193384170483938E-4</c:v>
                </c:pt>
                <c:pt idx="8891">
                  <c:v>1.145110578435915E-3</c:v>
                </c:pt>
                <c:pt idx="8892">
                  <c:v>1.0484664973713365E-3</c:v>
                </c:pt>
                <c:pt idx="8893">
                  <c:v>9.5184414628546321E-4</c:v>
                </c:pt>
                <c:pt idx="8894">
                  <c:v>1.3048838056204382E-3</c:v>
                </c:pt>
                <c:pt idx="8895">
                  <c:v>1.6578441034496016E-3</c:v>
                </c:pt>
                <c:pt idx="8896">
                  <c:v>2.0107250665293286E-3</c:v>
                </c:pt>
                <c:pt idx="8897">
                  <c:v>1.9140380150095559E-3</c:v>
                </c:pt>
                <c:pt idx="8898">
                  <c:v>1.817372690916752E-3</c:v>
                </c:pt>
                <c:pt idx="8899">
                  <c:v>2.1701167961745149E-3</c:v>
                </c:pt>
                <c:pt idx="8900">
                  <c:v>2.0734444233134752E-3</c:v>
                </c:pt>
                <c:pt idx="8901">
                  <c:v>1.9767937672612312E-3</c:v>
                </c:pt>
                <c:pt idx="8902">
                  <c:v>1.880164820700525E-3</c:v>
                </c:pt>
                <c:pt idx="8903">
                  <c:v>1.7835575763176514E-3</c:v>
                </c:pt>
                <c:pt idx="8904">
                  <c:v>1.6869720268020139E-3</c:v>
                </c:pt>
                <c:pt idx="8905">
                  <c:v>1.5904081648465684E-3</c:v>
                </c:pt>
                <c:pt idx="8906">
                  <c:v>1.4938659831473799E-3</c:v>
                </c:pt>
                <c:pt idx="8907">
                  <c:v>1.8463296477122526E-3</c:v>
                </c:pt>
                <c:pt idx="8908">
                  <c:v>1.7497804135864214E-3</c:v>
                </c:pt>
                <c:pt idx="8909">
                  <c:v>1.6532528491355336E-3</c:v>
                </c:pt>
                <c:pt idx="8910">
                  <c:v>2.0055799811755648E-3</c:v>
                </c:pt>
                <c:pt idx="8911">
                  <c:v>1.90904537707004E-3</c:v>
                </c:pt>
                <c:pt idx="8912">
                  <c:v>1.812532432063918E-3</c:v>
                </c:pt>
                <c:pt idx="8913">
                  <c:v>1.7160411388679186E-3</c:v>
                </c:pt>
                <c:pt idx="8914">
                  <c:v>2.0682031635930187E-3</c:v>
                </c:pt>
                <c:pt idx="8915">
                  <c:v>1.9717048402134729E-3</c:v>
                </c:pt>
                <c:pt idx="8916">
                  <c:v>1.875228158081832E-3</c:v>
                </c:pt>
                <c:pt idx="8917">
                  <c:v>1.7787731099185855E-3</c:v>
                </c:pt>
                <c:pt idx="8918">
                  <c:v>1.6823396884477759E-3</c:v>
                </c:pt>
                <c:pt idx="8919">
                  <c:v>1.5859278863965542E-3</c:v>
                </c:pt>
                <c:pt idx="8920">
                  <c:v>1.4895376964956242E-3</c:v>
                </c:pt>
                <c:pt idx="8921">
                  <c:v>1.8414488380278371E-3</c:v>
                </c:pt>
                <c:pt idx="8922">
                  <c:v>1.7450516175832043E-3</c:v>
                </c:pt>
                <c:pt idx="8923">
                  <c:v>1.6486759987568433E-3</c:v>
                </c:pt>
                <c:pt idx="8924">
                  <c:v>2.000451035457651E-3</c:v>
                </c:pt>
                <c:pt idx="8925">
                  <c:v>1.904068398799641E-3</c:v>
                </c:pt>
                <c:pt idx="8926">
                  <c:v>1.8077073532341004E-3</c:v>
                </c:pt>
                <c:pt idx="8927">
                  <c:v>1.711367891506832E-3</c:v>
                </c:pt>
                <c:pt idx="8928">
                  <c:v>1.6150500063663031E-3</c:v>
                </c:pt>
                <c:pt idx="8929">
                  <c:v>1.5187536905658661E-3</c:v>
                </c:pt>
                <c:pt idx="8930">
                  <c:v>1.4224789368597612E-3</c:v>
                </c:pt>
                <c:pt idx="8931">
                  <c:v>1.3262257380075582E-3</c:v>
                </c:pt>
                <c:pt idx="8932">
                  <c:v>1.2299940867710468E-3</c:v>
                </c:pt>
                <c:pt idx="8933">
                  <c:v>1.1337839759151258E-3</c:v>
                </c:pt>
                <c:pt idx="8934">
                  <c:v>1.0375953982086905E-3</c:v>
                </c:pt>
                <c:pt idx="8935">
                  <c:v>9.4142834642285678E-4</c:v>
                </c:pt>
                <c:pt idx="8936">
                  <c:v>1.2928102243869866E-3</c:v>
                </c:pt>
                <c:pt idx="8937">
                  <c:v>1.1966361381765545E-3</c:v>
                </c:pt>
                <c:pt idx="8938">
                  <c:v>1.1004835674217617E-3</c:v>
                </c:pt>
                <c:pt idx="8939">
                  <c:v>1.4517297557699038E-3</c:v>
                </c:pt>
                <c:pt idx="8940">
                  <c:v>1.3555701632665951E-3</c:v>
                </c:pt>
                <c:pt idx="8941">
                  <c:v>1.7067092758047409E-3</c:v>
                </c:pt>
                <c:pt idx="8942">
                  <c:v>1.6105426774495335E-3</c:v>
                </c:pt>
                <c:pt idx="8943">
                  <c:v>1.5143975808493693E-3</c:v>
                </c:pt>
                <c:pt idx="8944">
                  <c:v>1.4182739787935716E-3</c:v>
                </c:pt>
                <c:pt idx="8945">
                  <c:v>1.3221718640750169E-3</c:v>
                </c:pt>
                <c:pt idx="8946">
                  <c:v>1.2260912294892456E-3</c:v>
                </c:pt>
                <c:pt idx="8947">
                  <c:v>1.1300320678353515E-3</c:v>
                </c:pt>
                <c:pt idx="8948">
                  <c:v>1.0339943719159805E-3</c:v>
                </c:pt>
                <c:pt idx="8949">
                  <c:v>9.3797813453688761E-4</c:v>
                </c:pt>
                <c:pt idx="8950">
                  <c:v>8.4198334850604795E-4</c:v>
                </c:pt>
                <c:pt idx="8951">
                  <c:v>1.1927876230779511E-3</c:v>
                </c:pt>
                <c:pt idx="8952">
                  <c:v>1.0967858211978765E-3</c:v>
                </c:pt>
                <c:pt idx="8953">
                  <c:v>1.0008054602566041E-3</c:v>
                </c:pt>
                <c:pt idx="8954">
                  <c:v>9.0484653307143503E-4</c:v>
                </c:pt>
                <c:pt idx="8955">
                  <c:v>1.255487127807875E-3</c:v>
                </c:pt>
                <c:pt idx="8956">
                  <c:v>1.1595211941690664E-3</c:v>
                </c:pt>
                <c:pt idx="8957">
                  <c:v>1.5100550854958428E-3</c:v>
                </c:pt>
                <c:pt idx="8958">
                  <c:v>1.4140821612218524E-3</c:v>
                </c:pt>
                <c:pt idx="8959">
                  <c:v>1.7645094094560498E-3</c:v>
                </c:pt>
                <c:pt idx="8960">
                  <c:v>1.6685295103466835E-3</c:v>
                </c:pt>
                <c:pt idx="8961">
                  <c:v>1.5725710281508931E-3</c:v>
                </c:pt>
                <c:pt idx="8962">
                  <c:v>1.4766339557010788E-3</c:v>
                </c:pt>
                <c:pt idx="8963">
                  <c:v>1.3807182858331934E-3</c:v>
                </c:pt>
                <c:pt idx="8964">
                  <c:v>1.2848240113858544E-3</c:v>
                </c:pt>
                <c:pt idx="8965">
                  <c:v>1.1889511252007878E-3</c:v>
                </c:pt>
                <c:pt idx="8966">
                  <c:v>1.0930996201232723E-3</c:v>
                </c:pt>
                <c:pt idx="8967">
                  <c:v>9.9726948900169532E-4</c:v>
                </c:pt>
                <c:pt idx="8968">
                  <c:v>9.0146072468710869E-4</c:v>
                </c:pt>
                <c:pt idx="8969">
                  <c:v>1.2515544927023114E-3</c:v>
                </c:pt>
                <c:pt idx="8970">
                  <c:v>1.6015702193072912E-3</c:v>
                </c:pt>
                <c:pt idx="8971">
                  <c:v>1.5057261407793732E-3</c:v>
                </c:pt>
                <c:pt idx="8972">
                  <c:v>1.8556355376424527E-3</c:v>
                </c:pt>
                <c:pt idx="8973">
                  <c:v>2.2054669602664667E-3</c:v>
                </c:pt>
                <c:pt idx="8974">
                  <c:v>2.5552204347127905E-3</c:v>
                </c:pt>
                <c:pt idx="8975">
                  <c:v>2.4593128300738343E-3</c:v>
                </c:pt>
                <c:pt idx="8976">
                  <c:v>2.3634265904615148E-3</c:v>
                </c:pt>
                <c:pt idx="8977">
                  <c:v>2.2675617087370981E-3</c:v>
                </c:pt>
                <c:pt idx="8978">
                  <c:v>2.1717181777662908E-3</c:v>
                </c:pt>
                <c:pt idx="8979">
                  <c:v>2.0758959904165764E-3</c:v>
                </c:pt>
                <c:pt idx="8980">
                  <c:v>1.9800951395594346E-3</c:v>
                </c:pt>
                <c:pt idx="8981">
                  <c:v>1.8843156180685661E-3</c:v>
                </c:pt>
                <c:pt idx="8982">
                  <c:v>1.7885574188225561E-3</c:v>
                </c:pt>
                <c:pt idx="8983">
                  <c:v>2.138006956515337E-3</c:v>
                </c:pt>
                <c:pt idx="8984">
                  <c:v>2.4873787177699391E-3</c:v>
                </c:pt>
                <c:pt idx="8985">
                  <c:v>2.3915853801570464E-3</c:v>
                </c:pt>
                <c:pt idx="8986">
                  <c:v>2.7408511865889551E-3</c:v>
                </c:pt>
                <c:pt idx="8987">
                  <c:v>2.6450509643618503E-3</c:v>
                </c:pt>
                <c:pt idx="8988">
                  <c:v>2.5492720547539705E-3</c:v>
                </c:pt>
                <c:pt idx="8989">
                  <c:v>2.4535144506541151E-3</c:v>
                </c:pt>
                <c:pt idx="8990">
                  <c:v>2.8026180026046177E-3</c:v>
                </c:pt>
                <c:pt idx="8991">
                  <c:v>2.7068535230747592E-3</c:v>
                </c:pt>
                <c:pt idx="8992">
                  <c:v>2.6111103387367329E-3</c:v>
                </c:pt>
                <c:pt idx="8993">
                  <c:v>2.9600799377642595E-3</c:v>
                </c:pt>
                <c:pt idx="8994">
                  <c:v>2.86432989037122E-3</c:v>
                </c:pt>
                <c:pt idx="8995">
                  <c:v>2.7686011278613698E-3</c:v>
                </c:pt>
                <c:pt idx="8996">
                  <c:v>3.1174368749677939E-3</c:v>
                </c:pt>
                <c:pt idx="8997">
                  <c:v>3.0217012617566041E-3</c:v>
                </c:pt>
                <c:pt idx="8998">
                  <c:v>2.9259869231266222E-3</c:v>
                </c:pt>
                <c:pt idx="8999">
                  <c:v>2.8302938519861875E-3</c:v>
                </c:pt>
                <c:pt idx="9000">
                  <c:v>2.7346220412485245E-3</c:v>
                </c:pt>
                <c:pt idx="9001">
                  <c:v>2.6389714838286338E-3</c:v>
                </c:pt>
                <c:pt idx="9002">
                  <c:v>2.5433421726450689E-3</c:v>
                </c:pt>
                <c:pt idx="9003">
                  <c:v>2.4477341006203801E-3</c:v>
                </c:pt>
                <c:pt idx="9004">
                  <c:v>2.3521472606793381E-3</c:v>
                </c:pt>
                <c:pt idx="9005">
                  <c:v>2.2565816457493781E-3</c:v>
                </c:pt>
                <c:pt idx="9006">
                  <c:v>2.1610372487628204E-3</c:v>
                </c:pt>
                <c:pt idx="9007">
                  <c:v>2.0655140626537616E-3</c:v>
                </c:pt>
                <c:pt idx="9008">
                  <c:v>1.9700120803589627E-3</c:v>
                </c:pt>
                <c:pt idx="9009">
                  <c:v>1.8745312948205139E-3</c:v>
                </c:pt>
                <c:pt idx="9010">
                  <c:v>1.7790716989809496E-3</c:v>
                </c:pt>
                <c:pt idx="9011">
                  <c:v>1.683633285787689E-3</c:v>
                </c:pt>
                <c:pt idx="9012">
                  <c:v>1.5882160481912599E-3</c:v>
                </c:pt>
                <c:pt idx="9013">
                  <c:v>1.4928199791444108E-3</c:v>
                </c:pt>
                <c:pt idx="9014">
                  <c:v>1.3974450716034426E-3</c:v>
                </c:pt>
                <c:pt idx="9015">
                  <c:v>1.3020913185277649E-3</c:v>
                </c:pt>
                <c:pt idx="9016">
                  <c:v>1.2067587128803403E-3</c:v>
                </c:pt>
                <c:pt idx="9017">
                  <c:v>1.1114472476267956E-3</c:v>
                </c:pt>
                <c:pt idx="9018">
                  <c:v>1.0161569157354222E-3</c:v>
                </c:pt>
                <c:pt idx="9019">
                  <c:v>9.2088771017895255E-4</c:v>
                </c:pt>
                <c:pt idx="9020">
                  <c:v>1.2690002978401616E-3</c:v>
                </c:pt>
                <c:pt idx="9021">
                  <c:v>1.1737241871552229E-3</c:v>
                </c:pt>
                <c:pt idx="9022">
                  <c:v>1.0784691926302159E-3</c:v>
                </c:pt>
                <c:pt idx="9023">
                  <c:v>9.8323530724453434E-4</c:v>
                </c:pt>
                <c:pt idx="9024">
                  <c:v>8.8802252398334502E-4</c:v>
                </c:pt>
                <c:pt idx="9025">
                  <c:v>7.9283083583270297E-4</c:v>
                </c:pt>
                <c:pt idx="9026">
                  <c:v>1.1407262526197393E-3</c:v>
                </c:pt>
                <c:pt idx="9027">
                  <c:v>1.0455276622263199E-3</c:v>
                </c:pt>
                <c:pt idx="9028">
                  <c:v>9.5035015679201251E-4</c:v>
                </c:pt>
                <c:pt idx="9029">
                  <c:v>8.5519372931264215E-4</c:v>
                </c:pt>
                <c:pt idx="9030">
                  <c:v>7.600583727866983E-4</c:v>
                </c:pt>
                <c:pt idx="9031">
                  <c:v>6.6494408021711138E-4</c:v>
                </c:pt>
                <c:pt idx="9032">
                  <c:v>5.6985084460814406E-4</c:v>
                </c:pt>
                <c:pt idx="9033">
                  <c:v>4.7477865896849991E-4</c:v>
                </c:pt>
                <c:pt idx="9034">
                  <c:v>3.7972751630910295E-4</c:v>
                </c:pt>
                <c:pt idx="9035">
                  <c:v>2.84697409644874E-4</c:v>
                </c:pt>
                <c:pt idx="9036">
                  <c:v>1.8968833199251023E-4</c:v>
                </c:pt>
                <c:pt idx="9037">
                  <c:v>9.4700276373593795E-5</c:v>
                </c:pt>
                <c:pt idx="9038">
                  <c:v>4.4221111191689033E-4</c:v>
                </c:pt>
                <c:pt idx="9039">
                  <c:v>3.472161381838923E-4</c:v>
                </c:pt>
                <c:pt idx="9040">
                  <c:v>6.9462218081284277E-4</c:v>
                </c:pt>
                <c:pt idx="9041">
                  <c:v>5.9962030437876734E-4</c:v>
                </c:pt>
                <c:pt idx="9042">
                  <c:v>5.0463943676337664E-4</c:v>
                </c:pt>
                <c:pt idx="9043">
                  <c:v>4.0967957099802277E-4</c:v>
                </c:pt>
                <c:pt idx="9044">
                  <c:v>3.1474070011805466E-4</c:v>
                </c:pt>
                <c:pt idx="9045">
                  <c:v>6.6195833169668816E-4</c:v>
                </c:pt>
                <c:pt idx="9046">
                  <c:v>5.6701256415214729E-4</c:v>
                </c:pt>
                <c:pt idx="9047">
                  <c:v>4.7208778141660801E-4</c:v>
                </c:pt>
                <c:pt idx="9048">
                  <c:v>3.7718397653341285E-4</c:v>
                </c:pt>
                <c:pt idx="9049">
                  <c:v>2.8230114254990113E-4</c:v>
                </c:pt>
                <c:pt idx="9050">
                  <c:v>1.8743927251518855E-4</c:v>
                </c:pt>
                <c:pt idx="9051">
                  <c:v>9.2598359482831682E-5</c:v>
                </c:pt>
                <c:pt idx="9052">
                  <c:v>2.2216034918365324E-6</c:v>
                </c:pt>
                <c:pt idx="9053">
                  <c:v>9.7020623348598178E-5</c:v>
                </c:pt>
                <c:pt idx="9054">
                  <c:v>1.9179870702679125E-4</c:v>
                </c:pt>
                <c:pt idx="9055">
                  <c:v>2.8655586145998058E-4</c:v>
                </c:pt>
                <c:pt idx="9056">
                  <c:v>6.0306493304018716E-5</c:v>
                </c:pt>
                <c:pt idx="9057">
                  <c:v>3.4457570379231584E-5</c:v>
                </c:pt>
                <c:pt idx="9058">
                  <c:v>1.2920071484279205E-4</c:v>
                </c:pt>
                <c:pt idx="9059">
                  <c:v>2.239229470131221E-4</c:v>
                </c:pt>
                <c:pt idx="9060">
                  <c:v>3.1862427381312841E-4</c:v>
                </c:pt>
                <c:pt idx="9061">
                  <c:v>4.1330470216305315E-4</c:v>
                </c:pt>
                <c:pt idx="9062">
                  <c:v>5.0796423898002985E-4</c:v>
                </c:pt>
                <c:pt idx="9063">
                  <c:v>6.0260289117763932E-4</c:v>
                </c:pt>
                <c:pt idx="9064">
                  <c:v>6.9722066566679786E-4</c:v>
                </c:pt>
                <c:pt idx="9065">
                  <c:v>7.9181756935531311E-4</c:v>
                </c:pt>
                <c:pt idx="9066">
                  <c:v>8.8639360914832821E-4</c:v>
                </c:pt>
                <c:pt idx="9067">
                  <c:v>9.8094879194698947E-4</c:v>
                </c:pt>
                <c:pt idx="9068">
                  <c:v>1.0754831246502228E-3</c:v>
                </c:pt>
                <c:pt idx="9069">
                  <c:v>1.1699966141534013E-3</c:v>
                </c:pt>
                <c:pt idx="9070">
                  <c:v>8.2357215976580633E-4</c:v>
                </c:pt>
                <c:pt idx="9071">
                  <c:v>9.1809258016173345E-4</c:v>
                </c:pt>
                <c:pt idx="9072">
                  <c:v>1.012592167314974E-3</c:v>
                </c:pt>
                <c:pt idx="9073">
                  <c:v>1.1070709281133517E-3</c:v>
                </c:pt>
                <c:pt idx="9074">
                  <c:v>7.6080608407202988E-4</c:v>
                </c:pt>
                <c:pt idx="9075">
                  <c:v>8.5529176660203987E-4</c:v>
                </c:pt>
                <c:pt idx="9076">
                  <c:v>9.4975663272300892E-4</c:v>
                </c:pt>
                <c:pt idx="9077">
                  <c:v>1.0442006893125466E-3</c:v>
                </c:pt>
                <c:pt idx="9078">
                  <c:v>1.1386239432464862E-3</c:v>
                </c:pt>
                <c:pt idx="9079">
                  <c:v>1.2330264013971082E-3</c:v>
                </c:pt>
                <c:pt idx="9080">
                  <c:v>1.3274080706340285E-3</c:v>
                </c:pt>
                <c:pt idx="9081">
                  <c:v>1.4217689578233106E-3</c:v>
                </c:pt>
                <c:pt idx="9082">
                  <c:v>1.516109069828353E-3</c:v>
                </c:pt>
                <c:pt idx="9083">
                  <c:v>1.1701422274881246E-3</c:v>
                </c:pt>
                <c:pt idx="9084">
                  <c:v>1.2644892673496777E-3</c:v>
                </c:pt>
                <c:pt idx="9085">
                  <c:v>1.3588155419337333E-3</c:v>
                </c:pt>
                <c:pt idx="9086">
                  <c:v>1.4531210580943643E-3</c:v>
                </c:pt>
                <c:pt idx="9087">
                  <c:v>1.5474058226834231E-3</c:v>
                </c:pt>
                <c:pt idx="9088">
                  <c:v>1.6416698425500975E-3</c:v>
                </c:pt>
                <c:pt idx="9089">
                  <c:v>1.7359131245395787E-3</c:v>
                </c:pt>
                <c:pt idx="9090">
                  <c:v>1.8301356754948372E-3</c:v>
                </c:pt>
                <c:pt idx="9091">
                  <c:v>1.9243375022557352E-3</c:v>
                </c:pt>
                <c:pt idx="9092">
                  <c:v>2.0185186116585818E-3</c:v>
                </c:pt>
                <c:pt idx="9093">
                  <c:v>1.6728769214768846E-3</c:v>
                </c:pt>
                <c:pt idx="9094">
                  <c:v>1.7670649678147576E-3</c:v>
                </c:pt>
                <c:pt idx="9095">
                  <c:v>1.4215269092723304E-3</c:v>
                </c:pt>
                <c:pt idx="9096">
                  <c:v>1.5157218773427239E-3</c:v>
                </c:pt>
                <c:pt idx="9097">
                  <c:v>1.1702873927323942E-3</c:v>
                </c:pt>
                <c:pt idx="9098">
                  <c:v>1.2644892673496777E-3</c:v>
                </c:pt>
                <c:pt idx="9099">
                  <c:v>9.1915829901045853E-4</c:v>
                </c:pt>
                <c:pt idx="9100">
                  <c:v>1.0133670650080973E-3</c:v>
                </c:pt>
                <c:pt idx="9101">
                  <c:v>1.1075551326062971E-3</c:v>
                </c:pt>
                <c:pt idx="9102">
                  <c:v>1.2017225086253802E-3</c:v>
                </c:pt>
                <c:pt idx="9103">
                  <c:v>1.2958691998830041E-3</c:v>
                </c:pt>
                <c:pt idx="9104">
                  <c:v>1.3899952131937177E-3</c:v>
                </c:pt>
                <c:pt idx="9105">
                  <c:v>1.4841005553698494E-3</c:v>
                </c:pt>
                <c:pt idx="9106">
                  <c:v>1.1390108810016564E-3</c:v>
                </c:pt>
                <c:pt idx="9107">
                  <c:v>7.9399697558191207E-4</c:v>
                </c:pt>
                <c:pt idx="9108">
                  <c:v>8.8813675049248531E-4</c:v>
                </c:pt>
                <c:pt idx="9109">
                  <c:v>9.8225586032230083E-4</c:v>
                </c:pt>
                <c:pt idx="9110">
                  <c:v>1.0763543118748053E-3</c:v>
                </c:pt>
                <c:pt idx="9111">
                  <c:v>1.1704321119516692E-3</c:v>
                </c:pt>
                <c:pt idx="9112">
                  <c:v>1.2644892673496777E-3</c:v>
                </c:pt>
                <c:pt idx="9113">
                  <c:v>1.3585257848638399E-3</c:v>
                </c:pt>
                <c:pt idx="9114">
                  <c:v>1.0137527287676917E-3</c:v>
                </c:pt>
                <c:pt idx="9115">
                  <c:v>6.6905530567673566E-4</c:v>
                </c:pt>
                <c:pt idx="9116">
                  <c:v>7.6312618647378372E-4</c:v>
                </c:pt>
                <c:pt idx="9117">
                  <c:v>8.5717643542881916E-4</c:v>
                </c:pt>
                <c:pt idx="9118">
                  <c:v>9.5120605932974556E-4</c:v>
                </c:pt>
                <c:pt idx="9119">
                  <c:v>1.0452150649595815E-3</c:v>
                </c:pt>
                <c:pt idx="9120">
                  <c:v>1.1392034590995692E-3</c:v>
                </c:pt>
                <c:pt idx="9121">
                  <c:v>1.2331712485273982E-3</c:v>
                </c:pt>
                <c:pt idx="9122">
                  <c:v>1.3271184400185376E-3</c:v>
                </c:pt>
                <c:pt idx="9123">
                  <c:v>1.4210450403440156E-3</c:v>
                </c:pt>
                <c:pt idx="9124">
                  <c:v>1.5149510562730839E-3</c:v>
                </c:pt>
                <c:pt idx="9125">
                  <c:v>1.6088364945718858E-3</c:v>
                </c:pt>
                <c:pt idx="9126">
                  <c:v>1.7027013620034559E-3</c:v>
                </c:pt>
                <c:pt idx="9127">
                  <c:v>1.7965456653277201E-3</c:v>
                </c:pt>
                <c:pt idx="9128">
                  <c:v>1.8903694113023839E-3</c:v>
                </c:pt>
                <c:pt idx="9129">
                  <c:v>1.9841726066802678E-3</c:v>
                </c:pt>
                <c:pt idx="9130">
                  <c:v>2.0779552582137484E-3</c:v>
                </c:pt>
                <c:pt idx="9131">
                  <c:v>2.171717372650761E-3</c:v>
                </c:pt>
                <c:pt idx="9132">
                  <c:v>1.8275347176297529E-3</c:v>
                </c:pt>
                <c:pt idx="9133">
                  <c:v>1.9213037172676195E-3</c:v>
                </c:pt>
                <c:pt idx="9134">
                  <c:v>2.0150521895412332E-3</c:v>
                </c:pt>
                <c:pt idx="9135">
                  <c:v>2.1087801411909801E-3</c:v>
                </c:pt>
                <c:pt idx="9136">
                  <c:v>2.2024875789528053E-3</c:v>
                </c:pt>
                <c:pt idx="9137">
                  <c:v>2.2961745095613217E-3</c:v>
                </c:pt>
                <c:pt idx="9138">
                  <c:v>2.3898409397471454E-3</c:v>
                </c:pt>
                <c:pt idx="9139">
                  <c:v>2.483486876239116E-3</c:v>
                </c:pt>
                <c:pt idx="9140">
                  <c:v>2.1395713062908328E-3</c:v>
                </c:pt>
                <c:pt idx="9141">
                  <c:v>2.2332241308675727E-3</c:v>
                </c:pt>
                <c:pt idx="9142">
                  <c:v>1.8894111521139401E-3</c:v>
                </c:pt>
                <c:pt idx="9143">
                  <c:v>1.9830708497914351E-3</c:v>
                </c:pt>
                <c:pt idx="9144">
                  <c:v>2.0767100664502713E-3</c:v>
                </c:pt>
                <c:pt idx="9145">
                  <c:v>1.7330269612072513E-3</c:v>
                </c:pt>
                <c:pt idx="9146">
                  <c:v>1.3894189943783886E-3</c:v>
                </c:pt>
                <c:pt idx="9147">
                  <c:v>1.4830923933746298E-3</c:v>
                </c:pt>
                <c:pt idx="9148">
                  <c:v>1.5767453173105572E-3</c:v>
                </c:pt>
                <c:pt idx="9149">
                  <c:v>1.6703777728994673E-3</c:v>
                </c:pt>
                <c:pt idx="9150">
                  <c:v>1.7639897668502158E-3</c:v>
                </c:pt>
                <c:pt idx="9151">
                  <c:v>1.4205661195916264E-3</c:v>
                </c:pt>
                <c:pt idx="9152">
                  <c:v>1.0772175048101573E-3</c:v>
                </c:pt>
                <c:pt idx="9153">
                  <c:v>7.3394389791836545E-4</c:v>
                </c:pt>
                <c:pt idx="9154">
                  <c:v>8.2761727084479375E-4</c:v>
                </c:pt>
                <c:pt idx="9155">
                  <c:v>9.2127018436860553E-4</c:v>
                </c:pt>
                <c:pt idx="9156">
                  <c:v>5.7812605641771597E-4</c:v>
                </c:pt>
                <c:pt idx="9157">
                  <c:v>6.7178575948068087E-4</c:v>
                </c:pt>
                <c:pt idx="9158">
                  <c:v>7.6542501282705899E-4</c:v>
                </c:pt>
                <c:pt idx="9159">
                  <c:v>8.5904382315327155E-4</c:v>
                </c:pt>
                <c:pt idx="9160">
                  <c:v>5.1605629887729876E-4</c:v>
                </c:pt>
                <c:pt idx="9161">
                  <c:v>1.7314363818909939E-4</c:v>
                </c:pt>
                <c:pt idx="9162">
                  <c:v>1.6969418342016596E-4</c:v>
                </c:pt>
                <c:pt idx="9163">
                  <c:v>5.1245719044779037E-4</c:v>
                </c:pt>
                <c:pt idx="9164">
                  <c:v>4.1875003317093373E-4</c:v>
                </c:pt>
                <c:pt idx="9165">
                  <c:v>3.2506332034820673E-4</c:v>
                </c:pt>
                <c:pt idx="9166">
                  <c:v>2.3139704529029359E-4</c:v>
                </c:pt>
                <c:pt idx="9167">
                  <c:v>1.3775120131009899E-4</c:v>
                </c:pt>
                <c:pt idx="9168">
                  <c:v>4.4125781723192148E-5</c:v>
                </c:pt>
                <c:pt idx="9169">
                  <c:v>3.8667823268934143E-4</c:v>
                </c:pt>
                <c:pt idx="9170">
                  <c:v>7.2915598839751183E-4</c:v>
                </c:pt>
                <c:pt idx="9171">
                  <c:v>6.3549671636042859E-4</c:v>
                </c:pt>
                <c:pt idx="9172">
                  <c:v>5.4185786273830416E-4</c:v>
                </c:pt>
                <c:pt idx="9173">
                  <c:v>4.4823942085558954E-4</c:v>
                </c:pt>
                <c:pt idx="9174">
                  <c:v>3.5464138403895618E-4</c:v>
                </c:pt>
                <c:pt idx="9175">
                  <c:v>2.6106374561729595E-4</c:v>
                </c:pt>
                <c:pt idx="9176">
                  <c:v>1.6750649892349756E-4</c:v>
                </c:pt>
                <c:pt idx="9177">
                  <c:v>7.3969637292670143E-5</c:v>
                </c:pt>
                <c:pt idx="9178">
                  <c:v>1.9546845936524448E-5</c:v>
                </c:pt>
                <c:pt idx="9179">
                  <c:v>1.1304295742409209E-4</c:v>
                </c:pt>
                <c:pt idx="9180">
                  <c:v>2.065187038247096E-4</c:v>
                </c:pt>
                <c:pt idx="9181">
                  <c:v>2.999740917926097E-4</c:v>
                </c:pt>
                <c:pt idx="9182">
                  <c:v>3.9340912797714012E-4</c:v>
                </c:pt>
                <c:pt idx="9183">
                  <c:v>4.8682381902542815E-4</c:v>
                </c:pt>
                <c:pt idx="9184">
                  <c:v>5.8021817158282474E-4</c:v>
                </c:pt>
                <c:pt idx="9185">
                  <c:v>2.3819434750960156E-4</c:v>
                </c:pt>
                <c:pt idx="9186">
                  <c:v>3.3159543066840769E-4</c:v>
                </c:pt>
                <c:pt idx="9187">
                  <c:v>1.0326894831713673E-5</c:v>
                </c:pt>
                <c:pt idx="9188">
                  <c:v>3.5217480850890936E-4</c:v>
                </c:pt>
                <c:pt idx="9189">
                  <c:v>2.5873997865177856E-4</c:v>
                </c:pt>
                <c:pt idx="9190">
                  <c:v>1.6532547839176459E-4</c:v>
                </c:pt>
                <c:pt idx="9191">
                  <c:v>7.193130109506285E-5</c:v>
                </c:pt>
                <c:pt idx="9192">
                  <c:v>2.1442559869910838E-5</c:v>
                </c:pt>
                <c:pt idx="9193">
                  <c:v>1.1479611113118793E-4</c:v>
                </c:pt>
                <c:pt idx="9194">
                  <c:v>2.2684236752246179E-4</c:v>
                </c:pt>
                <c:pt idx="9195">
                  <c:v>5.6840655271583884E-4</c:v>
                </c:pt>
                <c:pt idx="9196">
                  <c:v>9.098964686797828E-4</c:v>
                </c:pt>
                <c:pt idx="9197">
                  <c:v>1.2513121396353633E-3</c:v>
                </c:pt>
                <c:pt idx="9198">
                  <c:v>1.1578709810975418E-3</c:v>
                </c:pt>
                <c:pt idx="9199">
                  <c:v>1.064450133647199E-3</c:v>
                </c:pt>
                <c:pt idx="9200">
                  <c:v>9.710495906625205E-4</c:v>
                </c:pt>
                <c:pt idx="9201">
                  <c:v>1.3123102234993134E-3</c:v>
                </c:pt>
                <c:pt idx="9202">
                  <c:v>1.2189030465510342E-3</c:v>
                </c:pt>
                <c:pt idx="9203">
                  <c:v>1.1255161644809775E-3</c:v>
                </c:pt>
                <c:pt idx="9204">
                  <c:v>1.0321495706753225E-3</c:v>
                </c:pt>
                <c:pt idx="9205">
                  <c:v>9.3880325852335744E-4</c:v>
                </c:pt>
                <c:pt idx="9206">
                  <c:v>1.2798820867523375E-3</c:v>
                </c:pt>
                <c:pt idx="9207">
                  <c:v>1.6208868398743803E-3</c:v>
                </c:pt>
                <c:pt idx="9208">
                  <c:v>1.5275070099884935E-3</c:v>
                </c:pt>
                <c:pt idx="9209">
                  <c:v>1.4341474558228207E-3</c:v>
                </c:pt>
                <c:pt idx="9210">
                  <c:v>1.7750244104619561E-3</c:v>
                </c:pt>
                <c:pt idx="9211">
                  <c:v>2.1158273659791504E-3</c:v>
                </c:pt>
                <c:pt idx="9212">
                  <c:v>2.0224343581891624E-3</c:v>
                </c:pt>
                <c:pt idx="9213">
                  <c:v>2.3631364980949421E-3</c:v>
                </c:pt>
                <c:pt idx="9214">
                  <c:v>2.2697369231265974E-3</c:v>
                </c:pt>
                <c:pt idx="9215">
                  <c:v>2.1763576149638197E-3</c:v>
                </c:pt>
                <c:pt idx="9216">
                  <c:v>2.0829985670114404E-3</c:v>
                </c:pt>
                <c:pt idx="9217">
                  <c:v>1.9896597726765108E-3</c:v>
                </c:pt>
                <c:pt idx="9218">
                  <c:v>1.8963412253678591E-3</c:v>
                </c:pt>
                <c:pt idx="9219">
                  <c:v>1.8030429184991981E-3</c:v>
                </c:pt>
                <c:pt idx="9220">
                  <c:v>1.709764845486017E-3</c:v>
                </c:pt>
                <c:pt idx="9221">
                  <c:v>1.6165069997464698E-3</c:v>
                </c:pt>
                <c:pt idx="9222">
                  <c:v>1.523269374702263E-3</c:v>
                </c:pt>
                <c:pt idx="9223">
                  <c:v>1.4300519637768794E-3</c:v>
                </c:pt>
                <c:pt idx="9224">
                  <c:v>1.3368547603977987E-3</c:v>
                </c:pt>
                <c:pt idx="9225">
                  <c:v>1.677188108054839E-3</c:v>
                </c:pt>
                <c:pt idx="9226">
                  <c:v>1.5839843223464101E-3</c:v>
                </c:pt>
                <c:pt idx="9227">
                  <c:v>1.4908007346625674E-3</c:v>
                </c:pt>
                <c:pt idx="9228">
                  <c:v>1.8310067858928747E-3</c:v>
                </c:pt>
                <c:pt idx="9229">
                  <c:v>1.7378166273838147E-3</c:v>
                </c:pt>
                <c:pt idx="9230">
                  <c:v>1.6446466573842855E-3</c:v>
                </c:pt>
                <c:pt idx="9231">
                  <c:v>1.5514968693337572E-3</c:v>
                </c:pt>
                <c:pt idx="9232">
                  <c:v>1.8915489764079751E-3</c:v>
                </c:pt>
                <c:pt idx="9233">
                  <c:v>1.7983926260680683E-3</c:v>
                </c:pt>
                <c:pt idx="9234">
                  <c:v>2.1383443650204725E-3</c:v>
                </c:pt>
                <c:pt idx="9235">
                  <c:v>2.0451814668094315E-3</c:v>
                </c:pt>
                <c:pt idx="9236">
                  <c:v>1.9520387380937976E-3</c:v>
                </c:pt>
                <c:pt idx="9237">
                  <c:v>1.8589161723236991E-3</c:v>
                </c:pt>
                <c:pt idx="9238">
                  <c:v>1.7658137629532611E-3</c:v>
                </c:pt>
                <c:pt idx="9239">
                  <c:v>1.672731503438829E-3</c:v>
                </c:pt>
                <c:pt idx="9240">
                  <c:v>1.579669387239413E-3</c:v>
                </c:pt>
                <c:pt idx="9241">
                  <c:v>1.9193873342482348E-3</c:v>
                </c:pt>
                <c:pt idx="9242">
                  <c:v>1.8263186698450617E-3</c:v>
                </c:pt>
                <c:pt idx="9243">
                  <c:v>1.7332701392791527E-3</c:v>
                </c:pt>
                <c:pt idx="9244">
                  <c:v>1.6402417360183996E-3</c:v>
                </c:pt>
                <c:pt idx="9245">
                  <c:v>1.5472334535329146E-3</c:v>
                </c:pt>
                <c:pt idx="9246">
                  <c:v>1.8867712368519918E-3</c:v>
                </c:pt>
                <c:pt idx="9247">
                  <c:v>2.2262355986590876E-3</c:v>
                </c:pt>
                <c:pt idx="9248">
                  <c:v>2.1331941303337487E-3</c:v>
                </c:pt>
                <c:pt idx="9249">
                  <c:v>2.0401727769079336E-3</c:v>
                </c:pt>
                <c:pt idx="9250">
                  <c:v>1.9471715318597482E-3</c:v>
                </c:pt>
                <c:pt idx="9251">
                  <c:v>1.8541903886690747E-3</c:v>
                </c:pt>
                <c:pt idx="9252">
                  <c:v>1.7612293408197921E-3</c:v>
                </c:pt>
                <c:pt idx="9253">
                  <c:v>1.6682883817975558E-3</c:v>
                </c:pt>
                <c:pt idx="9254">
                  <c:v>1.5753675050911298E-3</c:v>
                </c:pt>
                <c:pt idx="9255">
                  <c:v>1.4824667041928308E-3</c:v>
                </c:pt>
                <c:pt idx="9256">
                  <c:v>1.389585972597196E-3</c:v>
                </c:pt>
                <c:pt idx="9257">
                  <c:v>1.2967253038009829E-3</c:v>
                </c:pt>
                <c:pt idx="9258">
                  <c:v>1.2038846913049461E-3</c:v>
                </c:pt>
                <c:pt idx="9259">
                  <c:v>1.1110641286116163E-3</c:v>
                </c:pt>
                <c:pt idx="9260">
                  <c:v>1.018263609227521E-3</c:v>
                </c:pt>
                <c:pt idx="9261">
                  <c:v>9.2548312666007604E-4</c:v>
                </c:pt>
                <c:pt idx="9262">
                  <c:v>8.327226744215821E-4</c:v>
                </c:pt>
                <c:pt idx="9263">
                  <c:v>7.3998224602611629E-4</c:v>
                </c:pt>
                <c:pt idx="9264">
                  <c:v>6.4726183499042023E-4</c:v>
                </c:pt>
                <c:pt idx="9265">
                  <c:v>5.5456143483478826E-4</c:v>
                </c:pt>
                <c:pt idx="9266">
                  <c:v>4.6188103908084699E-4</c:v>
                </c:pt>
                <c:pt idx="9267">
                  <c:v>3.6922064125510801E-4</c:v>
                </c:pt>
                <c:pt idx="9268">
                  <c:v>7.0807969551056615E-4</c:v>
                </c:pt>
                <c:pt idx="9269">
                  <c:v>6.154127312019142E-4</c:v>
                </c:pt>
                <c:pt idx="9270">
                  <c:v>5.2276575545295856E-4</c:v>
                </c:pt>
                <c:pt idx="9271">
                  <c:v>8.6149862376272424E-4</c:v>
                </c:pt>
                <c:pt idx="9272">
                  <c:v>7.688450929199675E-4</c:v>
                </c:pt>
                <c:pt idx="9273">
                  <c:v>1.1074783876368066E-3</c:v>
                </c:pt>
                <c:pt idx="9274">
                  <c:v>1.014818315968391E-3</c:v>
                </c:pt>
                <c:pt idx="9275">
                  <c:v>1.3533520914639219E-3</c:v>
                </c:pt>
                <c:pt idx="9276">
                  <c:v>1.6918128913667729E-3</c:v>
                </c:pt>
                <c:pt idx="9277">
                  <c:v>1.5991198038247667E-3</c:v>
                </c:pt>
                <c:pt idx="9278">
                  <c:v>1.9374811760002331E-3</c:v>
                </c:pt>
                <c:pt idx="9279">
                  <c:v>2.2757696333228772E-3</c:v>
                </c:pt>
                <c:pt idx="9280">
                  <c:v>2.1830435919478752E-3</c:v>
                </c:pt>
                <c:pt idx="9281">
                  <c:v>2.0903375281751124E-3</c:v>
                </c:pt>
                <c:pt idx="9282">
                  <c:v>1.997651435549308E-3</c:v>
                </c:pt>
                <c:pt idx="9283">
                  <c:v>1.9049853076174017E-3</c:v>
                </c:pt>
                <c:pt idx="9284">
                  <c:v>2.2430951146694689E-3</c:v>
                </c:pt>
                <c:pt idx="9285">
                  <c:v>2.5811321081521399E-3</c:v>
                </c:pt>
                <c:pt idx="9286">
                  <c:v>2.9190963115848234E-3</c:v>
                </c:pt>
                <c:pt idx="9287">
                  <c:v>3.2569877484753817E-3</c:v>
                </c:pt>
                <c:pt idx="9288">
                  <c:v>3.5948064423227954E-3</c:v>
                </c:pt>
                <c:pt idx="9289">
                  <c:v>3.5020282534459213E-3</c:v>
                </c:pt>
                <c:pt idx="9290">
                  <c:v>3.4092700340462301E-3</c:v>
                </c:pt>
                <c:pt idx="9291">
                  <c:v>3.3165317776764347E-3</c:v>
                </c:pt>
                <c:pt idx="9292">
                  <c:v>3.2238134778928007E-3</c:v>
                </c:pt>
                <c:pt idx="9293">
                  <c:v>3.1311151282547023E-3</c:v>
                </c:pt>
                <c:pt idx="9294">
                  <c:v>3.03843672232329E-3</c:v>
                </c:pt>
                <c:pt idx="9295">
                  <c:v>2.9457782536632671E-3</c:v>
                </c:pt>
                <c:pt idx="9296">
                  <c:v>2.8531397158415572E-3</c:v>
                </c:pt>
                <c:pt idx="9297">
                  <c:v>2.760521102429081E-3</c:v>
                </c:pt>
                <c:pt idx="9298">
                  <c:v>2.667922406997203E-3</c:v>
                </c:pt>
                <c:pt idx="9299">
                  <c:v>2.5753436231230609E-3</c:v>
                </c:pt>
                <c:pt idx="9300">
                  <c:v>2.4827847443833484E-3</c:v>
                </c:pt>
                <c:pt idx="9301">
                  <c:v>2.3902457643605324E-3</c:v>
                </c:pt>
                <c:pt idx="9302">
                  <c:v>2.2977266766375237E-3</c:v>
                </c:pt>
                <c:pt idx="9303">
                  <c:v>2.2052274748012302E-3</c:v>
                </c:pt>
                <c:pt idx="9304">
                  <c:v>2.1127481524407798E-3</c:v>
                </c:pt>
                <c:pt idx="9305">
                  <c:v>2.0202887031488537E-3</c:v>
                </c:pt>
                <c:pt idx="9306">
                  <c:v>1.9278491205194648E-3</c:v>
                </c:pt>
                <c:pt idx="9307">
                  <c:v>1.8354293981506231E-3</c:v>
                </c:pt>
                <c:pt idx="9308">
                  <c:v>2.1726750720700849E-3</c:v>
                </c:pt>
                <c:pt idx="9309">
                  <c:v>2.080248907159632E-3</c:v>
                </c:pt>
                <c:pt idx="9310">
                  <c:v>1.987842593229594E-3</c:v>
                </c:pt>
                <c:pt idx="9311">
                  <c:v>2.3249632644413154E-3</c:v>
                </c:pt>
                <c:pt idx="9312">
                  <c:v>2.2325505191469475E-3</c:v>
                </c:pt>
                <c:pt idx="9313">
                  <c:v>2.5695725377263834E-3</c:v>
                </c:pt>
                <c:pt idx="9314">
                  <c:v>2.9065222029318605E-3</c:v>
                </c:pt>
                <c:pt idx="9315">
                  <c:v>2.8140767946873702E-3</c:v>
                </c:pt>
                <c:pt idx="9316">
                  <c:v>3.1509278975843102E-3</c:v>
                </c:pt>
                <c:pt idx="9317">
                  <c:v>3.487706707080207E-3</c:v>
                </c:pt>
                <c:pt idx="9318">
                  <c:v>3.395228697089081E-3</c:v>
                </c:pt>
                <c:pt idx="9319">
                  <c:v>3.3027705300354704E-3</c:v>
                </c:pt>
                <c:pt idx="9320">
                  <c:v>3.2103321995333722E-3</c:v>
                </c:pt>
                <c:pt idx="9321">
                  <c:v>3.1179136991998924E-3</c:v>
                </c:pt>
                <c:pt idx="9322">
                  <c:v>3.025515022654357E-3</c:v>
                </c:pt>
                <c:pt idx="9323">
                  <c:v>3.3620905871121209E-3</c:v>
                </c:pt>
                <c:pt idx="9324">
                  <c:v>3.2696855434708461E-3</c:v>
                </c:pt>
                <c:pt idx="9325">
                  <c:v>3.1773003143560352E-3</c:v>
                </c:pt>
                <c:pt idx="9326">
                  <c:v>3.0849348933950083E-3</c:v>
                </c:pt>
                <c:pt idx="9327">
                  <c:v>2.9925892742181937E-3</c:v>
                </c:pt>
                <c:pt idx="9328">
                  <c:v>2.9002634504577962E-3</c:v>
                </c:pt>
                <c:pt idx="9329">
                  <c:v>2.8079574157495735E-3</c:v>
                </c:pt>
                <c:pt idx="9330">
                  <c:v>3.1443038255409839E-3</c:v>
                </c:pt>
                <c:pt idx="9331">
                  <c:v>3.4805781585278694E-3</c:v>
                </c:pt>
                <c:pt idx="9332">
                  <c:v>3.3882396193622988E-3</c:v>
                </c:pt>
                <c:pt idx="9333">
                  <c:v>3.7244157751170626E-3</c:v>
                </c:pt>
                <c:pt idx="9334">
                  <c:v>4.0605199137004888E-3</c:v>
                </c:pt>
                <c:pt idx="9335">
                  <c:v>3.9681489309089102E-3</c:v>
                </c:pt>
                <c:pt idx="9336">
                  <c:v>3.8757977320078574E-3</c:v>
                </c:pt>
                <c:pt idx="9337">
                  <c:v>4.2117776930159501E-3</c:v>
                </c:pt>
                <c:pt idx="9338">
                  <c:v>4.1194201850820455E-3</c:v>
                </c:pt>
                <c:pt idx="9339">
                  <c:v>4.4553021284934324E-3</c:v>
                </c:pt>
                <c:pt idx="9340">
                  <c:v>4.3629383253955822E-3</c:v>
                </c:pt>
                <c:pt idx="9341">
                  <c:v>4.6987223043388759E-3</c:v>
                </c:pt>
                <c:pt idx="9342">
                  <c:v>4.6063522199299989E-3</c:v>
                </c:pt>
                <c:pt idx="9343">
                  <c:v>4.514001904399656E-3</c:v>
                </c:pt>
                <c:pt idx="9344">
                  <c:v>4.4216713514022565E-3</c:v>
                </c:pt>
                <c:pt idx="9345">
                  <c:v>4.7573053497163009E-3</c:v>
                </c:pt>
                <c:pt idx="9346">
                  <c:v>5.0928675393011602E-3</c:v>
                </c:pt>
                <c:pt idx="9347">
                  <c:v>5.4283579431997353E-3</c:v>
                </c:pt>
                <c:pt idx="9348">
                  <c:v>5.7637765844456013E-3</c:v>
                </c:pt>
                <c:pt idx="9349">
                  <c:v>6.0991234860607868E-3</c:v>
                </c:pt>
                <c:pt idx="9350">
                  <c:v>6.0066826744806789E-3</c:v>
                </c:pt>
                <c:pt idx="9351">
                  <c:v>6.3419318962187887E-3</c:v>
                </c:pt>
                <c:pt idx="9352">
                  <c:v>6.6771094375588369E-3</c:v>
                </c:pt>
                <c:pt idx="9353">
                  <c:v>6.584636486639539E-3</c:v>
                </c:pt>
                <c:pt idx="9354">
                  <c:v>6.4921833033459997E-3</c:v>
                </c:pt>
                <c:pt idx="9355">
                  <c:v>6.8272373238960071E-3</c:v>
                </c:pt>
                <c:pt idx="9356">
                  <c:v>6.7347779753457182E-3</c:v>
                </c:pt>
                <c:pt idx="9357">
                  <c:v>7.0697344745029866E-3</c:v>
                </c:pt>
                <c:pt idx="9358">
                  <c:v>6.9772689744085348E-3</c:v>
                </c:pt>
                <c:pt idx="9359">
                  <c:v>6.8848232297886724E-3</c:v>
                </c:pt>
                <c:pt idx="9360">
                  <c:v>6.7923972343133521E-3</c:v>
                </c:pt>
                <c:pt idx="9361">
                  <c:v>6.6999909816547465E-3</c:v>
                </c:pt>
                <c:pt idx="9362">
                  <c:v>6.607604465487249E-3</c:v>
                </c:pt>
                <c:pt idx="9363">
                  <c:v>6.9423599432369976E-3</c:v>
                </c:pt>
                <c:pt idx="9364">
                  <c:v>7.2770439378606611E-3</c:v>
                </c:pt>
                <c:pt idx="9365">
                  <c:v>7.1846254057428283E-3</c:v>
                </c:pt>
                <c:pt idx="9366">
                  <c:v>7.5192120868043943E-3</c:v>
                </c:pt>
                <c:pt idx="9367">
                  <c:v>7.4267874354543295E-3</c:v>
                </c:pt>
                <c:pt idx="9368">
                  <c:v>7.7612768555348488E-3</c:v>
                </c:pt>
                <c:pt idx="9369">
                  <c:v>7.6688460985967488E-3</c:v>
                </c:pt>
                <c:pt idx="9370">
                  <c:v>7.5764350665323832E-3</c:v>
                </c:pt>
                <c:pt idx="9371">
                  <c:v>7.4840437530281356E-3</c:v>
                </c:pt>
                <c:pt idx="9372">
                  <c:v>7.3916721517730544E-3</c:v>
                </c:pt>
                <c:pt idx="9373">
                  <c:v>7.2993202564597404E-3</c:v>
                </c:pt>
                <c:pt idx="9374">
                  <c:v>7.206988060783015E-3</c:v>
                </c:pt>
                <c:pt idx="9375">
                  <c:v>7.1146755584399202E-3</c:v>
                </c:pt>
                <c:pt idx="9376">
                  <c:v>7.0223827431306063E-3</c:v>
                </c:pt>
                <c:pt idx="9377">
                  <c:v>6.9301096085583325E-3</c:v>
                </c:pt>
                <c:pt idx="9378">
                  <c:v>6.8378561484285783E-3</c:v>
                </c:pt>
                <c:pt idx="9379">
                  <c:v>7.1720161311001895E-3</c:v>
                </c:pt>
                <c:pt idx="9380">
                  <c:v>7.0797565529141515E-3</c:v>
                </c:pt>
                <c:pt idx="9381">
                  <c:v>6.9875166399904209E-3</c:v>
                </c:pt>
                <c:pt idx="9382">
                  <c:v>6.8952963860420269E-3</c:v>
                </c:pt>
                <c:pt idx="9383">
                  <c:v>6.803095784785107E-3</c:v>
                </c:pt>
                <c:pt idx="9384">
                  <c:v>7.1370814610909328E-3</c:v>
                </c:pt>
                <c:pt idx="9385">
                  <c:v>7.4709959782026658E-3</c:v>
                </c:pt>
                <c:pt idx="9386">
                  <c:v>7.3787635173601096E-3</c:v>
                </c:pt>
                <c:pt idx="9387">
                  <c:v>7.7125811646148179E-3</c:v>
                </c:pt>
                <c:pt idx="9388">
                  <c:v>8.0463277111988418E-3</c:v>
                </c:pt>
                <c:pt idx="9389">
                  <c:v>7.9540634502976992E-3</c:v>
                </c:pt>
                <c:pt idx="9390">
                  <c:v>7.8618188368118069E-3</c:v>
                </c:pt>
                <c:pt idx="9391">
                  <c:v>7.7695938644657403E-3</c:v>
                </c:pt>
                <c:pt idx="9392">
                  <c:v>7.6773885269871833E-3</c:v>
                </c:pt>
                <c:pt idx="9393">
                  <c:v>7.5852028181060405E-3</c:v>
                </c:pt>
                <c:pt idx="9394">
                  <c:v>7.4930367315557689E-3</c:v>
                </c:pt>
                <c:pt idx="9395">
                  <c:v>7.400890261071158E-3</c:v>
                </c:pt>
                <c:pt idx="9396">
                  <c:v>7.308763400390994E-3</c:v>
                </c:pt>
                <c:pt idx="9397">
                  <c:v>7.2166561432562837E-3</c:v>
                </c:pt>
                <c:pt idx="9398">
                  <c:v>7.1245684834102541E-3</c:v>
                </c:pt>
                <c:pt idx="9399">
                  <c:v>7.0325004145987968E-3</c:v>
                </c:pt>
                <c:pt idx="9400">
                  <c:v>6.9404519305718004E-3</c:v>
                </c:pt>
                <c:pt idx="9401">
                  <c:v>7.2738191752446113E-3</c:v>
                </c:pt>
                <c:pt idx="9402">
                  <c:v>7.1817646063818685E-3</c:v>
                </c:pt>
                <c:pt idx="9403">
                  <c:v>7.0897296131851029E-3</c:v>
                </c:pt>
                <c:pt idx="9404">
                  <c:v>6.99771418941042E-3</c:v>
                </c:pt>
                <c:pt idx="9405">
                  <c:v>6.9057183288170343E-3</c:v>
                </c:pt>
                <c:pt idx="9406">
                  <c:v>6.8137420251672687E-3</c:v>
                </c:pt>
                <c:pt idx="9407">
                  <c:v>6.7217852722247784E-3</c:v>
                </c:pt>
                <c:pt idx="9408">
                  <c:v>6.6298480637567714E-3</c:v>
                </c:pt>
                <c:pt idx="9409">
                  <c:v>6.9629649275895211E-3</c:v>
                </c:pt>
                <c:pt idx="9410">
                  <c:v>6.8710216305922778E-3</c:v>
                </c:pt>
                <c:pt idx="9411">
                  <c:v>6.7790978689816761E-3</c:v>
                </c:pt>
                <c:pt idx="9412">
                  <c:v>6.6871936365320295E-3</c:v>
                </c:pt>
                <c:pt idx="9413">
                  <c:v>6.5953089270207599E-3</c:v>
                </c:pt>
                <c:pt idx="9414">
                  <c:v>6.5034437342279539E-3</c:v>
                </c:pt>
                <c:pt idx="9415">
                  <c:v>6.8363617771138863E-3</c:v>
                </c:pt>
                <c:pt idx="9416">
                  <c:v>6.7444904978413156E-3</c:v>
                </c:pt>
                <c:pt idx="9417">
                  <c:v>6.6526387262193509E-3</c:v>
                </c:pt>
                <c:pt idx="9418">
                  <c:v>6.5608064560351842E-3</c:v>
                </c:pt>
                <c:pt idx="9419">
                  <c:v>6.8935770586393552E-3</c:v>
                </c:pt>
                <c:pt idx="9420">
                  <c:v>6.8017387097252247E-3</c:v>
                </c:pt>
                <c:pt idx="9421">
                  <c:v>7.1344131143606937E-3</c:v>
                </c:pt>
                <c:pt idx="9422">
                  <c:v>7.0425687001498538E-3</c:v>
                </c:pt>
                <c:pt idx="9423">
                  <c:v>6.9507437754694479E-3</c:v>
                </c:pt>
                <c:pt idx="9424">
                  <c:v>6.858938334117326E-3</c:v>
                </c:pt>
                <c:pt idx="9425">
                  <c:v>6.7671523698926705E-3</c:v>
                </c:pt>
                <c:pt idx="9426">
                  <c:v>6.6753858765982166E-3</c:v>
                </c:pt>
                <c:pt idx="9427">
                  <c:v>6.5836388480389196E-3</c:v>
                </c:pt>
                <c:pt idx="9428">
                  <c:v>6.9160894328472722E-3</c:v>
                </c:pt>
                <c:pt idx="9429">
                  <c:v>6.8243363381759181E-3</c:v>
                </c:pt>
                <c:pt idx="9430">
                  <c:v>7.1566909095555076E-3</c:v>
                </c:pt>
                <c:pt idx="9431">
                  <c:v>7.0649317621667151E-3</c:v>
                </c:pt>
                <c:pt idx="9432">
                  <c:v>6.9731920676390224E-3</c:v>
                </c:pt>
                <c:pt idx="9433">
                  <c:v>6.881471819787599E-3</c:v>
                </c:pt>
                <c:pt idx="9434">
                  <c:v>6.7897710124298349E-3</c:v>
                </c:pt>
                <c:pt idx="9435">
                  <c:v>6.6980896393853406E-3</c:v>
                </c:pt>
                <c:pt idx="9436">
                  <c:v>6.6064276944763911E-3</c:v>
                </c:pt>
                <c:pt idx="9437">
                  <c:v>6.51478517152837E-3</c:v>
                </c:pt>
                <c:pt idx="9438">
                  <c:v>6.4231620643693255E-3</c:v>
                </c:pt>
                <c:pt idx="9439">
                  <c:v>6.3315583668295261E-3</c:v>
                </c:pt>
                <c:pt idx="9440">
                  <c:v>6.239974072741461E-3</c:v>
                </c:pt>
                <c:pt idx="9441">
                  <c:v>6.148409175941616E-3</c:v>
                </c:pt>
                <c:pt idx="9442">
                  <c:v>6.0568636702673651E-3</c:v>
                </c:pt>
                <c:pt idx="9443">
                  <c:v>6.3888420492954623E-3</c:v>
                </c:pt>
                <c:pt idx="9444">
                  <c:v>6.2972904731299906E-3</c:v>
                </c:pt>
                <c:pt idx="9445">
                  <c:v>6.2057582791124055E-3</c:v>
                </c:pt>
                <c:pt idx="9446">
                  <c:v>6.5376154864908997E-3</c:v>
                </c:pt>
                <c:pt idx="9447">
                  <c:v>6.4460772325065641E-3</c:v>
                </c:pt>
                <c:pt idx="9448">
                  <c:v>6.3545583516977366E-3</c:v>
                </c:pt>
                <c:pt idx="9449">
                  <c:v>6.6862944743557584E-3</c:v>
                </c:pt>
                <c:pt idx="9450">
                  <c:v>6.5947695440886633E-3</c:v>
                </c:pt>
                <c:pt idx="9451">
                  <c:v>6.5032639780295831E-3</c:v>
                </c:pt>
                <c:pt idx="9452">
                  <c:v>6.4117777700340994E-3</c:v>
                </c:pt>
                <c:pt idx="9453">
                  <c:v>6.7433674977781521E-3</c:v>
                </c:pt>
                <c:pt idx="9454">
                  <c:v>7.0748870923313945E-3</c:v>
                </c:pt>
                <c:pt idx="9455">
                  <c:v>6.9833694616341369E-3</c:v>
                </c:pt>
                <c:pt idx="9456">
                  <c:v>6.8918711833645396E-3</c:v>
                </c:pt>
                <c:pt idx="9457">
                  <c:v>6.8003922513852899E-3</c:v>
                </c:pt>
                <c:pt idx="9458">
                  <c:v>6.7089326595604071E-3</c:v>
                </c:pt>
                <c:pt idx="9459">
                  <c:v>6.6174924017579073E-3</c:v>
                </c:pt>
                <c:pt idx="9460">
                  <c:v>6.5260714718475832E-3</c:v>
                </c:pt>
                <c:pt idx="9461">
                  <c:v>6.4346698637018918E-3</c:v>
                </c:pt>
                <c:pt idx="9462">
                  <c:v>6.7659418400043414E-3</c:v>
                </c:pt>
                <c:pt idx="9463">
                  <c:v>6.6745342025771315E-3</c:v>
                </c:pt>
                <c:pt idx="9464">
                  <c:v>6.583145877982588E-3</c:v>
                </c:pt>
                <c:pt idx="9465">
                  <c:v>6.9142971938913611E-3</c:v>
                </c:pt>
                <c:pt idx="9466">
                  <c:v>7.2453785581072516E-3</c:v>
                </c:pt>
                <c:pt idx="9467">
                  <c:v>7.1539589018638772E-3</c:v>
                </c:pt>
                <c:pt idx="9468">
                  <c:v>7.0625585528341084E-3</c:v>
                </c:pt>
                <c:pt idx="9469">
                  <c:v>7.3935193906589092E-3</c:v>
                </c:pt>
                <c:pt idx="9470">
                  <c:v>7.7244103465496927E-3</c:v>
                </c:pt>
                <c:pt idx="9471">
                  <c:v>8.0552314426380889E-3</c:v>
                </c:pt>
                <c:pt idx="9472">
                  <c:v>7.9637745524276937E-3</c:v>
                </c:pt>
                <c:pt idx="9473">
                  <c:v>7.8723369671016563E-3</c:v>
                </c:pt>
                <c:pt idx="9474">
                  <c:v>7.780918680548865E-3</c:v>
                </c:pt>
                <c:pt idx="9475">
                  <c:v>7.6895196866590965E-3</c:v>
                </c:pt>
                <c:pt idx="9476">
                  <c:v>7.598139979326568E-3</c:v>
                </c:pt>
                <c:pt idx="9477">
                  <c:v>7.5067795524472736E-3</c:v>
                </c:pt>
                <c:pt idx="9478">
                  <c:v>7.4154383999198714E-3</c:v>
                </c:pt>
                <c:pt idx="9479">
                  <c:v>7.3241165156447963E-3</c:v>
                </c:pt>
                <c:pt idx="9480">
                  <c:v>7.2328138935264796E-3</c:v>
                </c:pt>
                <c:pt idx="9481">
                  <c:v>7.5633379723725191E-3</c:v>
                </c:pt>
                <c:pt idx="9482">
                  <c:v>7.4720293805987659E-3</c:v>
                </c:pt>
                <c:pt idx="9483">
                  <c:v>7.8024585449854023E-3</c:v>
                </c:pt>
                <c:pt idx="9484">
                  <c:v>7.7111439967083584E-3</c:v>
                </c:pt>
                <c:pt idx="9485">
                  <c:v>7.619848698889875E-3</c:v>
                </c:pt>
                <c:pt idx="9486">
                  <c:v>7.5285726454423774E-3</c:v>
                </c:pt>
                <c:pt idx="9487">
                  <c:v>7.4373158302822873E-3</c:v>
                </c:pt>
                <c:pt idx="9488">
                  <c:v>7.3460782473273589E-3</c:v>
                </c:pt>
                <c:pt idx="9489">
                  <c:v>7.2548598904988992E-3</c:v>
                </c:pt>
                <c:pt idx="9490">
                  <c:v>7.1636607537204355E-3</c:v>
                </c:pt>
                <c:pt idx="9491">
                  <c:v>7.0724808309181597E-3</c:v>
                </c:pt>
                <c:pt idx="9492">
                  <c:v>6.98132011602004E-3</c:v>
                </c:pt>
                <c:pt idx="9493">
                  <c:v>6.8901786029580414E-3</c:v>
                </c:pt>
                <c:pt idx="9494">
                  <c:v>7.220286277240362E-3</c:v>
                </c:pt>
                <c:pt idx="9495">
                  <c:v>7.1291387956478047E-3</c:v>
                </c:pt>
                <c:pt idx="9496">
                  <c:v>7.0380105070388943E-3</c:v>
                </c:pt>
                <c:pt idx="9497">
                  <c:v>6.9469014053527012E-3</c:v>
                </c:pt>
                <c:pt idx="9498">
                  <c:v>6.8558114845300722E-3</c:v>
                </c:pt>
                <c:pt idx="9499">
                  <c:v>7.1857490534283919E-3</c:v>
                </c:pt>
                <c:pt idx="9500">
                  <c:v>7.0946531688291792E-3</c:v>
                </c:pt>
                <c:pt idx="9501">
                  <c:v>7.4244961658216369E-3</c:v>
                </c:pt>
                <c:pt idx="9502">
                  <c:v>7.7542697514094705E-3</c:v>
                </c:pt>
                <c:pt idx="9503">
                  <c:v>7.6631428059950046E-3</c:v>
                </c:pt>
                <c:pt idx="9504">
                  <c:v>7.5720350330921171E-3</c:v>
                </c:pt>
                <c:pt idx="9505">
                  <c:v>7.4809464266500925E-3</c:v>
                </c:pt>
                <c:pt idx="9506">
                  <c:v>7.3898769806217679E-3</c:v>
                </c:pt>
                <c:pt idx="9507">
                  <c:v>7.2988266889622011E-3</c:v>
                </c:pt>
                <c:pt idx="9508">
                  <c:v>7.2077955456291143E-3</c:v>
                </c:pt>
                <c:pt idx="9509">
                  <c:v>7.1167835445824501E-3</c:v>
                </c:pt>
                <c:pt idx="9510">
                  <c:v>7.0257906797848158E-3</c:v>
                </c:pt>
                <c:pt idx="9511">
                  <c:v>6.934816945201483E-3</c:v>
                </c:pt>
                <c:pt idx="9512">
                  <c:v>6.843862334800388E-3</c:v>
                </c:pt>
                <c:pt idx="9513">
                  <c:v>6.7529268425521316E-3</c:v>
                </c:pt>
                <c:pt idx="9514">
                  <c:v>6.6620104624286469E-3</c:v>
                </c:pt>
                <c:pt idx="9515">
                  <c:v>6.991413703274052E-3</c:v>
                </c:pt>
                <c:pt idx="9516">
                  <c:v>6.9004913708394788E-3</c:v>
                </c:pt>
                <c:pt idx="9517">
                  <c:v>6.8095881417420401E-3</c:v>
                </c:pt>
                <c:pt idx="9518">
                  <c:v>7.1388720771881076E-3</c:v>
                </c:pt>
                <c:pt idx="9519">
                  <c:v>7.0479629060415938E-3</c:v>
                </c:pt>
                <c:pt idx="9520">
                  <c:v>6.957072829448574E-3</c:v>
                </c:pt>
                <c:pt idx="9521">
                  <c:v>7.2862375444291416E-3</c:v>
                </c:pt>
                <c:pt idx="9522">
                  <c:v>7.1953415360344053E-3</c:v>
                </c:pt>
                <c:pt idx="9523">
                  <c:v>7.1044646134152956E-3</c:v>
                </c:pt>
                <c:pt idx="9524">
                  <c:v>7.0136067705615091E-3</c:v>
                </c:pt>
                <c:pt idx="9525">
                  <c:v>6.9227680014654069E-3</c:v>
                </c:pt>
                <c:pt idx="9526">
                  <c:v>6.8319483001206827E-3</c:v>
                </c:pt>
                <c:pt idx="9527">
                  <c:v>7.1609188852073125E-3</c:v>
                </c:pt>
                <c:pt idx="9528">
                  <c:v>7.0700932540113115E-3</c:v>
                </c:pt>
                <c:pt idx="9529">
                  <c:v>6.9792866818088051E-3</c:v>
                </c:pt>
                <c:pt idx="9530">
                  <c:v>7.3081382729656141E-3</c:v>
                </c:pt>
                <c:pt idx="9531">
                  <c:v>7.2173257811285474E-3</c:v>
                </c:pt>
                <c:pt idx="9532">
                  <c:v>7.1265323395310887E-3</c:v>
                </c:pt>
                <c:pt idx="9533">
                  <c:v>7.0357579421789218E-3</c:v>
                </c:pt>
                <c:pt idx="9534">
                  <c:v>6.9450025830817275E-3</c:v>
                </c:pt>
                <c:pt idx="9535">
                  <c:v>6.8542662562500745E-3</c:v>
                </c:pt>
                <c:pt idx="9536">
                  <c:v>7.1829240867526956E-3</c:v>
                </c:pt>
                <c:pt idx="9537">
                  <c:v>7.5115130090193105E-3</c:v>
                </c:pt>
                <c:pt idx="9538">
                  <c:v>7.8400330447196964E-3</c:v>
                </c:pt>
                <c:pt idx="9539">
                  <c:v>7.7492409496087156E-3</c:v>
                </c:pt>
                <c:pt idx="9540">
                  <c:v>7.6584678844904275E-3</c:v>
                </c:pt>
                <c:pt idx="9541">
                  <c:v>7.5677138433820623E-3</c:v>
                </c:pt>
                <c:pt idx="9542">
                  <c:v>7.476978820304403E-3</c:v>
                </c:pt>
                <c:pt idx="9543">
                  <c:v>7.3862628092795646E-3</c:v>
                </c:pt>
                <c:pt idx="9544">
                  <c:v>7.7145894791708081E-3</c:v>
                </c:pt>
                <c:pt idx="9545">
                  <c:v>7.6238675837179137E-3</c:v>
                </c:pt>
                <c:pt idx="9546">
                  <c:v>7.533164691594596E-3</c:v>
                </c:pt>
                <c:pt idx="9547">
                  <c:v>7.4424807968305196E-3</c:v>
                </c:pt>
                <c:pt idx="9548">
                  <c:v>7.3518158934580136E-3</c:v>
                </c:pt>
                <c:pt idx="9549">
                  <c:v>7.6799742891964229E-3</c:v>
                </c:pt>
                <c:pt idx="9550">
                  <c:v>8.0080639750526039E-3</c:v>
                </c:pt>
                <c:pt idx="9551">
                  <c:v>7.9173683390867389E-3</c:v>
                </c:pt>
                <c:pt idx="9552">
                  <c:v>7.8266916890186167E-3</c:v>
                </c:pt>
                <c:pt idx="9553">
                  <c:v>7.7360340188876719E-3</c:v>
                </c:pt>
                <c:pt idx="9554">
                  <c:v>8.0639805048203783E-3</c:v>
                </c:pt>
                <c:pt idx="9555">
                  <c:v>7.9733169778855029E-3</c:v>
                </c:pt>
                <c:pt idx="9556">
                  <c:v>7.8826724221849886E-3</c:v>
                </c:pt>
                <c:pt idx="9557">
                  <c:v>8.2105006449242346E-3</c:v>
                </c:pt>
                <c:pt idx="9558">
                  <c:v>8.1198502425126051E-3</c:v>
                </c:pt>
                <c:pt idx="9559">
                  <c:v>8.0292188026369615E-3</c:v>
                </c:pt>
                <c:pt idx="9560">
                  <c:v>7.9386063193473966E-3</c:v>
                </c:pt>
                <c:pt idx="9561">
                  <c:v>7.8480127866979998E-3</c:v>
                </c:pt>
                <c:pt idx="9562">
                  <c:v>7.757438198743305E-3</c:v>
                </c:pt>
                <c:pt idx="9563">
                  <c:v>7.6668825495422865E-3</c:v>
                </c:pt>
                <c:pt idx="9564">
                  <c:v>7.9944934392601752E-3</c:v>
                </c:pt>
                <c:pt idx="9565">
                  <c:v>7.9039319424638599E-3</c:v>
                </c:pt>
                <c:pt idx="9566">
                  <c:v>7.8133893757463824E-3</c:v>
                </c:pt>
                <c:pt idx="9567">
                  <c:v>7.7228657331729345E-3</c:v>
                </c:pt>
                <c:pt idx="9568">
                  <c:v>7.6323610088109284E-3</c:v>
                </c:pt>
                <c:pt idx="9569">
                  <c:v>7.541875196730885E-3</c:v>
                </c:pt>
                <c:pt idx="9570">
                  <c:v>7.4514082910051016E-3</c:v>
                </c:pt>
                <c:pt idx="9571">
                  <c:v>7.3609602857085399E-3</c:v>
                </c:pt>
                <c:pt idx="9572">
                  <c:v>7.2705311749197143E-3</c:v>
                </c:pt>
                <c:pt idx="9573">
                  <c:v>7.1801209527175835E-3</c:v>
                </c:pt>
                <c:pt idx="9574">
                  <c:v>7.0897296131851029E-3</c:v>
                </c:pt>
                <c:pt idx="9575">
                  <c:v>6.999357150407004E-3</c:v>
                </c:pt>
                <c:pt idx="9576">
                  <c:v>6.9090035584711273E-3</c:v>
                </c:pt>
                <c:pt idx="9577">
                  <c:v>6.8186688314675337E-3</c:v>
                </c:pt>
                <c:pt idx="9578">
                  <c:v>6.7283529634885042E-3</c:v>
                </c:pt>
                <c:pt idx="9579">
                  <c:v>6.6380559486280966E-3</c:v>
                </c:pt>
                <c:pt idx="9580">
                  <c:v>6.5477777809848092E-3</c:v>
                </c:pt>
                <c:pt idx="9581">
                  <c:v>6.8749242774690522E-3</c:v>
                </c:pt>
                <c:pt idx="9582">
                  <c:v>6.7846402342004453E-3</c:v>
                </c:pt>
                <c:pt idx="9583">
                  <c:v>6.6943750295425097E-3</c:v>
                </c:pt>
                <c:pt idx="9584">
                  <c:v>6.6041286576004055E-3</c:v>
                </c:pt>
                <c:pt idx="9585">
                  <c:v>6.5139011124801804E-3</c:v>
                </c:pt>
                <c:pt idx="9586">
                  <c:v>6.4236923882914354E-3</c:v>
                </c:pt>
                <c:pt idx="9587">
                  <c:v>6.3335024791455474E-3</c:v>
                </c:pt>
                <c:pt idx="9588">
                  <c:v>6.2433313791570022E-3</c:v>
                </c:pt>
                <c:pt idx="9589">
                  <c:v>6.1531790824425059E-3</c:v>
                </c:pt>
                <c:pt idx="9590">
                  <c:v>6.0630455831209851E-3</c:v>
                </c:pt>
                <c:pt idx="9591">
                  <c:v>6.3899015831214712E-3</c:v>
                </c:pt>
                <c:pt idx="9592">
                  <c:v>6.2997621993408082E-3</c:v>
                </c:pt>
                <c:pt idx="9593">
                  <c:v>6.2096416043839753E-3</c:v>
                </c:pt>
                <c:pt idx="9594">
                  <c:v>6.1195397923774486E-3</c:v>
                </c:pt>
                <c:pt idx="9595">
                  <c:v>6.0294567574494806E-3</c:v>
                </c:pt>
                <c:pt idx="9596">
                  <c:v>5.9393924937314324E-3</c:v>
                </c:pt>
                <c:pt idx="9597">
                  <c:v>5.8493469953559973E-3</c:v>
                </c:pt>
                <c:pt idx="9598">
                  <c:v>5.7593202564598656E-3</c:v>
                </c:pt>
                <c:pt idx="9599">
                  <c:v>5.6693122711806154E-3</c:v>
                </c:pt>
                <c:pt idx="9600">
                  <c:v>5.9959029128506813E-3</c:v>
                </c:pt>
                <c:pt idx="9601">
                  <c:v>5.905889037049139E-3</c:v>
                </c:pt>
                <c:pt idx="9602">
                  <c:v>5.8158939063277515E-3</c:v>
                </c:pt>
                <c:pt idx="9603">
                  <c:v>6.142367280579375E-3</c:v>
                </c:pt>
                <c:pt idx="9604">
                  <c:v>6.0523662693685587E-3</c:v>
                </c:pt>
                <c:pt idx="9605">
                  <c:v>5.9623839947060553E-3</c:v>
                </c:pt>
                <c:pt idx="9606">
                  <c:v>6.2887401842974811E-3</c:v>
                </c:pt>
                <c:pt idx="9607">
                  <c:v>6.1987520391633133E-3</c:v>
                </c:pt>
                <c:pt idx="9608">
                  <c:v>6.1087826220513897E-3</c:v>
                </c:pt>
                <c:pt idx="9609">
                  <c:v>6.0188319271148316E-3</c:v>
                </c:pt>
                <c:pt idx="9610">
                  <c:v>5.9288999485112015E-3</c:v>
                </c:pt>
                <c:pt idx="9611">
                  <c:v>5.8389866803993939E-3</c:v>
                </c:pt>
                <c:pt idx="9612">
                  <c:v>5.7490921169409681E-3</c:v>
                </c:pt>
                <c:pt idx="9613">
                  <c:v>5.6592162522997036E-3</c:v>
                </c:pt>
                <c:pt idx="9614">
                  <c:v>5.5693590806416005E-3</c:v>
                </c:pt>
                <c:pt idx="9615">
                  <c:v>5.4795205961362115E-3</c:v>
                </c:pt>
                <c:pt idx="9616">
                  <c:v>5.3897007929539775E-3</c:v>
                </c:pt>
                <c:pt idx="9617">
                  <c:v>5.7157433080590181E-3</c:v>
                </c:pt>
                <c:pt idx="9618">
                  <c:v>5.6259176230573082E-3</c:v>
                </c:pt>
                <c:pt idx="9619">
                  <c:v>5.5361106108926528E-3</c:v>
                </c:pt>
                <c:pt idx="9620">
                  <c:v>5.4463222657439303E-3</c:v>
                </c:pt>
                <c:pt idx="9621">
                  <c:v>5.3565525817913517E-3</c:v>
                </c:pt>
                <c:pt idx="9622">
                  <c:v>5.6824291508905667E-3</c:v>
                </c:pt>
                <c:pt idx="9623">
                  <c:v>5.5926535897929952E-3</c:v>
                </c:pt>
                <c:pt idx="9624">
                  <c:v>5.5028966814201219E-3</c:v>
                </c:pt>
                <c:pt idx="9625">
                  <c:v>5.8286564982794609E-3</c:v>
                </c:pt>
                <c:pt idx="9626">
                  <c:v>5.7388937227385028E-3</c:v>
                </c:pt>
                <c:pt idx="9627">
                  <c:v>5.649149591454794E-3</c:v>
                </c:pt>
                <c:pt idx="9628">
                  <c:v>5.5594240986196475E-3</c:v>
                </c:pt>
                <c:pt idx="9629">
                  <c:v>5.8850427497971758E-3</c:v>
                </c:pt>
                <c:pt idx="9630">
                  <c:v>5.7953113971018766E-3</c:v>
                </c:pt>
                <c:pt idx="9631">
                  <c:v>5.7055986743979048E-3</c:v>
                </c:pt>
                <c:pt idx="9632">
                  <c:v>5.6159045758841231E-3</c:v>
                </c:pt>
                <c:pt idx="9633">
                  <c:v>5.9413821834621849E-3</c:v>
                </c:pt>
                <c:pt idx="9634">
                  <c:v>5.851682232383304E-3</c:v>
                </c:pt>
                <c:pt idx="9635">
                  <c:v>5.76200089704626E-3</c:v>
                </c:pt>
                <c:pt idx="9636">
                  <c:v>6.0873620355286207E-3</c:v>
                </c:pt>
                <c:pt idx="9637">
                  <c:v>5.9976748575594208E-3</c:v>
                </c:pt>
                <c:pt idx="9638">
                  <c:v>5.9080062868885896E-3</c:v>
                </c:pt>
                <c:pt idx="9639">
                  <c:v>5.8183563177260922E-3</c:v>
                </c:pt>
                <c:pt idx="9640">
                  <c:v>5.7287249442836696E-3</c:v>
                </c:pt>
                <c:pt idx="9641">
                  <c:v>6.0539208302783365E-3</c:v>
                </c:pt>
                <c:pt idx="9642">
                  <c:v>5.9642836188267268E-3</c:v>
                </c:pt>
                <c:pt idx="9643">
                  <c:v>6.2893876488909761E-3</c:v>
                </c:pt>
                <c:pt idx="9644">
                  <c:v>6.1997446119783639E-3</c:v>
                </c:pt>
                <c:pt idx="9645">
                  <c:v>6.1101201597111299E-3</c:v>
                </c:pt>
                <c:pt idx="9646">
                  <c:v>6.0205142863103411E-3</c:v>
                </c:pt>
                <c:pt idx="9647">
                  <c:v>6.345477716645842E-3</c:v>
                </c:pt>
                <c:pt idx="9648">
                  <c:v>6.2558660250262577E-3</c:v>
                </c:pt>
                <c:pt idx="9649">
                  <c:v>6.1662729038536312E-3</c:v>
                </c:pt>
                <c:pt idx="9650">
                  <c:v>6.0766983473561353E-3</c:v>
                </c:pt>
                <c:pt idx="9651">
                  <c:v>5.9871423497641629E-3</c:v>
                </c:pt>
                <c:pt idx="9652">
                  <c:v>5.8976049053098833E-3</c:v>
                </c:pt>
                <c:pt idx="9653">
                  <c:v>5.8080860082290187E-3</c:v>
                </c:pt>
                <c:pt idx="9654">
                  <c:v>5.7185856527590673E-3</c:v>
                </c:pt>
                <c:pt idx="9655">
                  <c:v>5.629103833139748E-3</c:v>
                </c:pt>
                <c:pt idx="9656">
                  <c:v>5.5396405436138885E-3</c:v>
                </c:pt>
                <c:pt idx="9657">
                  <c:v>5.4501957784256483E-3</c:v>
                </c:pt>
                <c:pt idx="9658">
                  <c:v>5.3607695318222959E-3</c:v>
                </c:pt>
                <c:pt idx="9659">
                  <c:v>5.2713617980533201E-3</c:v>
                </c:pt>
                <c:pt idx="9660">
                  <c:v>5.1819725713704301E-3</c:v>
                </c:pt>
                <c:pt idx="9661">
                  <c:v>5.0926018460284439E-3</c:v>
                </c:pt>
                <c:pt idx="9662">
                  <c:v>5.0032496162830675E-3</c:v>
                </c:pt>
                <c:pt idx="9663">
                  <c:v>4.9139158763944479E-3</c:v>
                </c:pt>
                <c:pt idx="9664">
                  <c:v>4.8246006206227321E-3</c:v>
                </c:pt>
                <c:pt idx="9665">
                  <c:v>4.7353038432325079E-3</c:v>
                </c:pt>
                <c:pt idx="9666">
                  <c:v>4.6460255384896954E-3</c:v>
                </c:pt>
                <c:pt idx="9667">
                  <c:v>4.5567657006628792E-3</c:v>
                </c:pt>
                <c:pt idx="9668">
                  <c:v>4.4675243240228646E-3</c:v>
                </c:pt>
                <c:pt idx="9669">
                  <c:v>4.3783014028422329E-3</c:v>
                </c:pt>
                <c:pt idx="9670">
                  <c:v>4.2890969313975624E-3</c:v>
                </c:pt>
                <c:pt idx="9671">
                  <c:v>4.1999109039667637E-3</c:v>
                </c:pt>
                <c:pt idx="9672">
                  <c:v>4.1107433148290795E-3</c:v>
                </c:pt>
                <c:pt idx="9673">
                  <c:v>4.4350308507752345E-3</c:v>
                </c:pt>
                <c:pt idx="9674">
                  <c:v>4.345857393017738E-3</c:v>
                </c:pt>
                <c:pt idx="9675">
                  <c:v>4.256702365240006E-3</c:v>
                </c:pt>
                <c:pt idx="9676">
                  <c:v>4.167565761729275E-3</c:v>
                </c:pt>
                <c:pt idx="9677">
                  <c:v>4.0784475767754458E-3</c:v>
                </c:pt>
                <c:pt idx="9678">
                  <c:v>3.9893478046693076E-3</c:v>
                </c:pt>
                <c:pt idx="9679">
                  <c:v>4.3134468962695571E-3</c:v>
                </c:pt>
                <c:pt idx="9680">
                  <c:v>4.2243412576303818E-3</c:v>
                </c:pt>
                <c:pt idx="9681">
                  <c:v>4.135254023542867E-3</c:v>
                </c:pt>
                <c:pt idx="9682">
                  <c:v>4.0461851883062394E-3</c:v>
                </c:pt>
                <c:pt idx="9683">
                  <c:v>3.9571347462206141E-3</c:v>
                </c:pt>
                <c:pt idx="9684">
                  <c:v>3.8681026915896588E-3</c:v>
                </c:pt>
                <c:pt idx="9685">
                  <c:v>3.7790890187183734E-3</c:v>
                </c:pt>
                <c:pt idx="9686">
                  <c:v>3.6900937219153107E-3</c:v>
                </c:pt>
                <c:pt idx="9687">
                  <c:v>4.0139560977920929E-3</c:v>
                </c:pt>
                <c:pt idx="9688">
                  <c:v>3.9249549313824517E-3</c:v>
                </c:pt>
                <c:pt idx="9689">
                  <c:v>3.8359721327712037E-3</c:v>
                </c:pt>
                <c:pt idx="9690">
                  <c:v>4.1597192109237291E-3</c:v>
                </c:pt>
                <c:pt idx="9691">
                  <c:v>4.070730552549584E-3</c:v>
                </c:pt>
                <c:pt idx="9692">
                  <c:v>3.9817602537088881E-3</c:v>
                </c:pt>
                <c:pt idx="9693">
                  <c:v>3.892808308720408E-3</c:v>
                </c:pt>
                <c:pt idx="9694">
                  <c:v>3.8038747119051308E-3</c:v>
                </c:pt>
                <c:pt idx="9695">
                  <c:v>3.7149594575871525E-3</c:v>
                </c:pt>
                <c:pt idx="9696">
                  <c:v>3.6260625400923452E-3</c:v>
                </c:pt>
                <c:pt idx="9697">
                  <c:v>3.9495976046399761E-3</c:v>
                </c:pt>
                <c:pt idx="9698">
                  <c:v>3.8606948269066521E-3</c:v>
                </c:pt>
                <c:pt idx="9699">
                  <c:v>3.7718103777533152E-3</c:v>
                </c:pt>
                <c:pt idx="9700">
                  <c:v>3.6829442515124988E-3</c:v>
                </c:pt>
                <c:pt idx="9701">
                  <c:v>3.594096442518957E-3</c:v>
                </c:pt>
                <c:pt idx="9702">
                  <c:v>3.5052669451105523E-3</c:v>
                </c:pt>
                <c:pt idx="9703">
                  <c:v>3.4164557536260354E-3</c:v>
                </c:pt>
                <c:pt idx="9704">
                  <c:v>3.7397790791811047E-3</c:v>
                </c:pt>
                <c:pt idx="9705">
                  <c:v>3.6509620270033238E-3</c:v>
                </c:pt>
                <c:pt idx="9706">
                  <c:v>3.5621632725288954E-3</c:v>
                </c:pt>
                <c:pt idx="9707">
                  <c:v>3.4733828101041198E-3</c:v>
                </c:pt>
                <c:pt idx="9708">
                  <c:v>3.7965670810393704E-3</c:v>
                </c:pt>
                <c:pt idx="9709">
                  <c:v>3.707780765161317E-3</c:v>
                </c:pt>
                <c:pt idx="9710">
                  <c:v>3.6190127331208188E-3</c:v>
                </c:pt>
                <c:pt idx="9711">
                  <c:v>3.5302629792712814E-3</c:v>
                </c:pt>
                <c:pt idx="9712">
                  <c:v>3.4415314979669986E-3</c:v>
                </c:pt>
                <c:pt idx="9713">
                  <c:v>3.3528182835658171E-3</c:v>
                </c:pt>
                <c:pt idx="9714">
                  <c:v>3.2641233304269157E-3</c:v>
                </c:pt>
                <c:pt idx="9715">
                  <c:v>3.1754466329134701E-3</c:v>
                </c:pt>
                <c:pt idx="9716">
                  <c:v>3.0867881853890999E-3</c:v>
                </c:pt>
                <c:pt idx="9717">
                  <c:v>2.9981479822205337E-3</c:v>
                </c:pt>
                <c:pt idx="9718">
                  <c:v>2.9095260177767202E-3</c:v>
                </c:pt>
                <c:pt idx="9719">
                  <c:v>2.8209222864292727E-3</c:v>
                </c:pt>
                <c:pt idx="9720">
                  <c:v>2.7323367825520251E-3</c:v>
                </c:pt>
                <c:pt idx="9721">
                  <c:v>2.6437695005201434E-3</c:v>
                </c:pt>
                <c:pt idx="9722">
                  <c:v>2.5552204347127905E-3</c:v>
                </c:pt>
                <c:pt idx="9723">
                  <c:v>2.4666895795104615E-3</c:v>
                </c:pt>
                <c:pt idx="9724">
                  <c:v>2.378176929295428E-3</c:v>
                </c:pt>
                <c:pt idx="9725">
                  <c:v>2.7009089614389303E-3</c:v>
                </c:pt>
                <c:pt idx="9726">
                  <c:v>2.6123904318984259E-3</c:v>
                </c:pt>
                <c:pt idx="9727">
                  <c:v>2.5238900991979563E-3</c:v>
                </c:pt>
                <c:pt idx="9728">
                  <c:v>2.8465076494024188E-3</c:v>
                </c:pt>
                <c:pt idx="9729">
                  <c:v>2.7580014471562109E-3</c:v>
                </c:pt>
                <c:pt idx="9730">
                  <c:v>2.6695134336072179E-3</c:v>
                </c:pt>
                <c:pt idx="9731">
                  <c:v>2.99201658167636E-3</c:v>
                </c:pt>
                <c:pt idx="9732">
                  <c:v>2.9035227083467063E-3</c:v>
                </c:pt>
                <c:pt idx="9733">
                  <c:v>2.815047015576333E-3</c:v>
                </c:pt>
                <c:pt idx="9734">
                  <c:v>2.7265894977634986E-3</c:v>
                </c:pt>
                <c:pt idx="9735">
                  <c:v>2.6381501493082382E-3</c:v>
                </c:pt>
                <c:pt idx="9736">
                  <c:v>2.5497289646132515E-3</c:v>
                </c:pt>
                <c:pt idx="9737">
                  <c:v>2.4613259380834585E-3</c:v>
                </c:pt>
                <c:pt idx="9738">
                  <c:v>2.3729410641255555E-3</c:v>
                </c:pt>
                <c:pt idx="9739">
                  <c:v>2.2845743371497917E-3</c:v>
                </c:pt>
                <c:pt idx="9740">
                  <c:v>2.1962257515668604E-3</c:v>
                </c:pt>
                <c:pt idx="9741">
                  <c:v>2.5184464667304951E-3</c:v>
                </c:pt>
                <c:pt idx="9742">
                  <c:v>2.4300920134385784E-3</c:v>
                </c:pt>
                <c:pt idx="9743">
                  <c:v>2.3417556934361983E-3</c:v>
                </c:pt>
                <c:pt idx="9744">
                  <c:v>2.2534375011411534E-3</c:v>
                </c:pt>
                <c:pt idx="9745">
                  <c:v>2.1651374309752391E-3</c:v>
                </c:pt>
                <c:pt idx="9746">
                  <c:v>2.0768554773598069E-3</c:v>
                </c:pt>
                <c:pt idx="9747">
                  <c:v>1.9885916347206489E-3</c:v>
                </c:pt>
                <c:pt idx="9748">
                  <c:v>1.9003458974853338E-3</c:v>
                </c:pt>
                <c:pt idx="9749">
                  <c:v>1.8121182600832064E-3</c:v>
                </c:pt>
                <c:pt idx="9750">
                  <c:v>1.7239087169467204E-3</c:v>
                </c:pt>
                <c:pt idx="9751">
                  <c:v>1.6357172625092176E-3</c:v>
                </c:pt>
                <c:pt idx="9752">
                  <c:v>1.5475438912080364E-3</c:v>
                </c:pt>
                <c:pt idx="9753">
                  <c:v>1.4593885974814036E-3</c:v>
                </c:pt>
                <c:pt idx="9754">
                  <c:v>1.3712513757710987E-3</c:v>
                </c:pt>
                <c:pt idx="9755">
                  <c:v>1.6930942990276421E-3</c:v>
                </c:pt>
                <c:pt idx="9756">
                  <c:v>2.0148712573480054E-3</c:v>
                </c:pt>
                <c:pt idx="9757">
                  <c:v>1.9267042097337317E-3</c:v>
                </c:pt>
                <c:pt idx="9758">
                  <c:v>1.8385552291375618E-3</c:v>
                </c:pt>
                <c:pt idx="9759">
                  <c:v>2.1602183884819048E-3</c:v>
                </c:pt>
                <c:pt idx="9760">
                  <c:v>2.0720635467692539E-3</c:v>
                </c:pt>
                <c:pt idx="9761">
                  <c:v>1.9839267640224811E-3</c:v>
                </c:pt>
                <c:pt idx="9762">
                  <c:v>1.895808034692692E-3</c:v>
                </c:pt>
                <c:pt idx="9763">
                  <c:v>1.8077073532341004E-3</c:v>
                </c:pt>
                <c:pt idx="9764">
                  <c:v>1.7196247141018084E-3</c:v>
                </c:pt>
                <c:pt idx="9765">
                  <c:v>2.0411024481936657E-3</c:v>
                </c:pt>
                <c:pt idx="9766">
                  <c:v>1.9530139501533483E-3</c:v>
                </c:pt>
                <c:pt idx="9767">
                  <c:v>1.8649434864048686E-3</c:v>
                </c:pt>
                <c:pt idx="9768">
                  <c:v>1.7768910514104341E-3</c:v>
                </c:pt>
                <c:pt idx="9769">
                  <c:v>1.6888566396344729E-3</c:v>
                </c:pt>
                <c:pt idx="9770">
                  <c:v>1.6008402455440773E-3</c:v>
                </c:pt>
                <c:pt idx="9771">
                  <c:v>1.5128418636085605E-3</c:v>
                </c:pt>
                <c:pt idx="9772">
                  <c:v>1.8341105163330873E-3</c:v>
                </c:pt>
                <c:pt idx="9773">
                  <c:v>1.746106275215098E-3</c:v>
                </c:pt>
                <c:pt idx="9774">
                  <c:v>1.6581200382383976E-3</c:v>
                </c:pt>
                <c:pt idx="9775">
                  <c:v>1.5701517998780723E-3</c:v>
                </c:pt>
                <c:pt idx="9776">
                  <c:v>1.4822015546123168E-3</c:v>
                </c:pt>
                <c:pt idx="9777">
                  <c:v>1.3942692969206583E-3</c:v>
                </c:pt>
                <c:pt idx="9778">
                  <c:v>1.3063550212861763E-3</c:v>
                </c:pt>
                <c:pt idx="9779">
                  <c:v>1.2184587221928389E-3</c:v>
                </c:pt>
                <c:pt idx="9780">
                  <c:v>1.1305803941277226E-3</c:v>
                </c:pt>
                <c:pt idx="9781">
                  <c:v>1.0427200315796803E-3</c:v>
                </c:pt>
                <c:pt idx="9782">
                  <c:v>9.5487762904067353E-4</c:v>
                </c:pt>
                <c:pt idx="9783">
                  <c:v>8.6705318100399609E-4</c:v>
                </c:pt>
                <c:pt idx="9784">
                  <c:v>7.7924668196560631E-4</c:v>
                </c:pt>
                <c:pt idx="9785">
                  <c:v>6.9145812642323889E-4</c:v>
                </c:pt>
                <c:pt idx="9786">
                  <c:v>6.0368750887773714E-4</c:v>
                </c:pt>
                <c:pt idx="9787">
                  <c:v>9.2455674639735363E-4</c:v>
                </c:pt>
                <c:pt idx="9788">
                  <c:v>8.3678024965028186E-4</c:v>
                </c:pt>
                <c:pt idx="9789">
                  <c:v>7.4902168293977667E-4</c:v>
                </c:pt>
                <c:pt idx="9790">
                  <c:v>6.6128104077334271E-4</c:v>
                </c:pt>
                <c:pt idx="9791">
                  <c:v>5.7355831765981691E-4</c:v>
                </c:pt>
                <c:pt idx="9792">
                  <c:v>4.8585350811025663E-4</c:v>
                </c:pt>
                <c:pt idx="9793">
                  <c:v>3.9816660663838377E-4</c:v>
                </c:pt>
                <c:pt idx="9794">
                  <c:v>3.1049760775969659E-4</c:v>
                </c:pt>
                <c:pt idx="9795">
                  <c:v>2.228465059919138E-4</c:v>
                </c:pt>
                <c:pt idx="9796">
                  <c:v>1.3521329585541864E-4</c:v>
                </c:pt>
                <c:pt idx="9797">
                  <c:v>4.7597971872814782E-5</c:v>
                </c:pt>
                <c:pt idx="9798">
                  <c:v>3.6816379387483167E-4</c:v>
                </c:pt>
                <c:pt idx="9799">
                  <c:v>2.8054258071241733E-4</c:v>
                </c:pt>
                <c:pt idx="9800">
                  <c:v>1.9293924578178689E-4</c:v>
                </c:pt>
                <c:pt idx="9801">
                  <c:v>1.053537836113172E-4</c:v>
                </c:pt>
                <c:pt idx="9802">
                  <c:v>1.7786188732493713E-5</c:v>
                </c:pt>
                <c:pt idx="9803">
                  <c:v>6.9763544322309912E-5</c:v>
                </c:pt>
                <c:pt idx="9804">
                  <c:v>1.5729542101672322E-4</c:v>
                </c:pt>
                <c:pt idx="9805">
                  <c:v>2.448094468134876E-4</c:v>
                </c:pt>
                <c:pt idx="9806">
                  <c:v>3.3230562717267986E-4</c:v>
                </c:pt>
                <c:pt idx="9807">
                  <c:v>4.1978396755215641E-4</c:v>
                </c:pt>
                <c:pt idx="9808">
                  <c:v>5.0724447340755319E-4</c:v>
                </c:pt>
                <c:pt idx="9809">
                  <c:v>5.9468715019272977E-4</c:v>
                </c:pt>
                <c:pt idx="9810">
                  <c:v>6.8211200335799305E-4</c:v>
                </c:pt>
                <c:pt idx="9811">
                  <c:v>3.6189649682683012E-4</c:v>
                </c:pt>
                <c:pt idx="9812">
                  <c:v>4.4932725389967842E-4</c:v>
                </c:pt>
                <c:pt idx="9813">
                  <c:v>1.2920071484279205E-4</c:v>
                </c:pt>
                <c:pt idx="9814">
                  <c:v>1.9086059875794703E-4</c:v>
                </c:pt>
                <c:pt idx="9815">
                  <c:v>1.0340025374322437E-4</c:v>
                </c:pt>
                <c:pt idx="9816">
                  <c:v>1.5957725054693839E-5</c:v>
                </c:pt>
                <c:pt idx="9817">
                  <c:v>7.1466992750846003E-5</c:v>
                </c:pt>
                <c:pt idx="9818">
                  <c:v>1.5887390511526434E-4</c:v>
                </c:pt>
                <c:pt idx="9819">
                  <c:v>2.4626301747687762E-4</c:v>
                </c:pt>
                <c:pt idx="9820">
                  <c:v>3.3363433527311415E-4</c:v>
                </c:pt>
                <c:pt idx="9821">
                  <c:v>4.2098786393784948E-4</c:v>
                </c:pt>
                <c:pt idx="9822">
                  <c:v>5.0832360890407102E-4</c:v>
                </c:pt>
                <c:pt idx="9823">
                  <c:v>5.9564157560121345E-4</c:v>
                </c:pt>
                <c:pt idx="9824">
                  <c:v>2.7585852093370278E-4</c:v>
                </c:pt>
                <c:pt idx="9825">
                  <c:v>4.3859451195338295E-5</c:v>
                </c:pt>
                <c:pt idx="9826">
                  <c:v>3.6351236065179648E-4</c:v>
                </c:pt>
                <c:pt idx="9827">
                  <c:v>2.7614122841335131E-4</c:v>
                </c:pt>
                <c:pt idx="9828">
                  <c:v>5.9570547178688926E-4</c:v>
                </c:pt>
                <c:pt idx="9829">
                  <c:v>5.0832849570303651E-4</c:v>
                </c:pt>
                <c:pt idx="9830">
                  <c:v>4.2096929361745694E-4</c:v>
                </c:pt>
                <c:pt idx="9831">
                  <c:v>3.3362786010737722E-4</c:v>
                </c:pt>
                <c:pt idx="9832">
                  <c:v>2.4630418975224444E-4</c:v>
                </c:pt>
                <c:pt idx="9833">
                  <c:v>1.5899827713417025E-4</c:v>
                </c:pt>
                <c:pt idx="9834">
                  <c:v>7.1710116836598559E-5</c:v>
                </c:pt>
                <c:pt idx="9835">
                  <c:v>3.9106774044883608E-4</c:v>
                </c:pt>
                <c:pt idx="9836">
                  <c:v>3.0377373616419234E-4</c:v>
                </c:pt>
                <c:pt idx="9837">
                  <c:v>2.1649747636676153E-4</c:v>
                </c:pt>
                <c:pt idx="9838">
                  <c:v>1.2923895564664889E-4</c:v>
                </c:pt>
                <c:pt idx="9839">
                  <c:v>4.1998168596180108E-5</c:v>
                </c:pt>
                <c:pt idx="9840">
                  <c:v>4.5224890190542766E-5</c:v>
                </c:pt>
                <c:pt idx="9841">
                  <c:v>1.3243022611675315E-4</c:v>
                </c:pt>
                <c:pt idx="9842">
                  <c:v>2.1961784458301992E-4</c:v>
                </c:pt>
                <c:pt idx="9843">
                  <c:v>3.0678775098902378E-4</c:v>
                </c:pt>
                <c:pt idx="9844">
                  <c:v>3.9393995073089272E-4</c:v>
                </c:pt>
                <c:pt idx="9845">
                  <c:v>7.4859358313084101E-5</c:v>
                </c:pt>
                <c:pt idx="9846">
                  <c:v>2.4415643301001211E-4</c:v>
                </c:pt>
                <c:pt idx="9847">
                  <c:v>5.6310744297638493E-4</c:v>
                </c:pt>
                <c:pt idx="9848">
                  <c:v>4.7590232075744865E-4</c:v>
                </c:pt>
                <c:pt idx="9849">
                  <c:v>3.8871490336545023E-4</c:v>
                </c:pt>
                <c:pt idx="9850">
                  <c:v>3.0154518540825848E-4</c:v>
                </c:pt>
                <c:pt idx="9851">
                  <c:v>2.1439316149729493E-4</c:v>
                </c:pt>
                <c:pt idx="9852">
                  <c:v>1.2725882624531337E-4</c:v>
                </c:pt>
                <c:pt idx="9853">
                  <c:v>4.0142174268176234E-5</c:v>
                </c:pt>
                <c:pt idx="9854">
                  <c:v>3.5888735602673805E-4</c:v>
                </c:pt>
                <c:pt idx="9855">
                  <c:v>2.717648812611273E-4</c:v>
                </c:pt>
                <c:pt idx="9856">
                  <c:v>1.846600819823685E-4</c:v>
                </c:pt>
                <c:pt idx="9857">
                  <c:v>5.0329361413625762E-4</c:v>
                </c:pt>
                <c:pt idx="9858">
                  <c:v>8.218625147424774E-4</c:v>
                </c:pt>
                <c:pt idx="9859">
                  <c:v>7.3472843007316158E-4</c:v>
                </c:pt>
                <c:pt idx="9860">
                  <c:v>6.4761201607588248E-4</c:v>
                </c:pt>
                <c:pt idx="9861">
                  <c:v>9.6606938620391603E-4</c:v>
                </c:pt>
                <c:pt idx="9862">
                  <c:v>8.7894718265602023E-4</c:v>
                </c:pt>
                <c:pt idx="9863">
                  <c:v>7.9184264199794185E-4</c:v>
                </c:pt>
                <c:pt idx="9864">
                  <c:v>7.047557588584219E-4</c:v>
                </c:pt>
                <c:pt idx="9865">
                  <c:v>6.1768652786975409E-4</c:v>
                </c:pt>
                <c:pt idx="9866">
                  <c:v>5.3063494366423214E-4</c:v>
                </c:pt>
                <c:pt idx="9867">
                  <c:v>4.4360100087814658E-4</c:v>
                </c:pt>
                <c:pt idx="9868">
                  <c:v>3.5658469414956429E-4</c:v>
                </c:pt>
                <c:pt idx="9869">
                  <c:v>2.695860181183285E-4</c:v>
                </c:pt>
                <c:pt idx="9870">
                  <c:v>1.8260496742694698E-4</c:v>
                </c:pt>
                <c:pt idx="9871">
                  <c:v>9.564153671925979E-5</c:v>
                </c:pt>
                <c:pt idx="9872">
                  <c:v>8.6957206417714872E-6</c:v>
                </c:pt>
                <c:pt idx="9873">
                  <c:v>7.8232486156348813E-5</c:v>
                </c:pt>
                <c:pt idx="9874">
                  <c:v>1.6514308902415564E-4</c:v>
                </c:pt>
                <c:pt idx="9875">
                  <c:v>2.5203609330892718E-4</c:v>
                </c:pt>
                <c:pt idx="9876">
                  <c:v>3.3891150435527706E-4</c:v>
                </c:pt>
                <c:pt idx="9877">
                  <c:v>2.0870046202325909E-5</c:v>
                </c:pt>
                <c:pt idx="9878">
                  <c:v>1.0775126850637307E-4</c:v>
                </c:pt>
                <c:pt idx="9879">
                  <c:v>1.9461490529826264E-4</c:v>
                </c:pt>
                <c:pt idx="9880">
                  <c:v>2.8146096191727921E-4</c:v>
                </c:pt>
                <c:pt idx="9881">
                  <c:v>3.6828944369871053E-4</c:v>
                </c:pt>
                <c:pt idx="9882">
                  <c:v>4.5510035597784437E-4</c:v>
                </c:pt>
                <c:pt idx="9883">
                  <c:v>1.3724018865923782E-4</c:v>
                </c:pt>
                <c:pt idx="9884">
                  <c:v>2.2405690990323635E-4</c:v>
                </c:pt>
                <c:pt idx="9885">
                  <c:v>3.1085606935521426E-4</c:v>
                </c:pt>
                <c:pt idx="9886">
                  <c:v>3.9763767234290981E-4</c:v>
                </c:pt>
                <c:pt idx="9887">
                  <c:v>4.8440172419228489E-4</c:v>
                </c:pt>
                <c:pt idx="9888">
                  <c:v>5.7114823022708094E-4</c:v>
                </c:pt>
                <c:pt idx="9889">
                  <c:v>6.5787719576970716E-4</c:v>
                </c:pt>
                <c:pt idx="9890">
                  <c:v>3.402214607528542E-4</c:v>
                </c:pt>
                <c:pt idx="9891">
                  <c:v>4.2695623533584026E-4</c:v>
                </c:pt>
                <c:pt idx="9892">
                  <c:v>5.1367347711606115E-4</c:v>
                </c:pt>
                <c:pt idx="9893">
                  <c:v>6.003731914097088E-4</c:v>
                </c:pt>
                <c:pt idx="9894">
                  <c:v>2.8285166485542135E-4</c:v>
                </c:pt>
                <c:pt idx="9895">
                  <c:v>3.6955718114750624E-4</c:v>
                </c:pt>
                <c:pt idx="9896">
                  <c:v>4.5624517763442896E-4</c:v>
                </c:pt>
                <c:pt idx="9897">
                  <c:v>5.4291565962616417E-4</c:v>
                </c:pt>
                <c:pt idx="9898">
                  <c:v>6.2956863242913386E-4</c:v>
                </c:pt>
                <c:pt idx="9899">
                  <c:v>7.1620410134931589E-4</c:v>
                </c:pt>
                <c:pt idx="9900">
                  <c:v>8.0282207168957953E-4</c:v>
                </c:pt>
                <c:pt idx="9901">
                  <c:v>8.8942254875057358E-4</c:v>
                </c:pt>
                <c:pt idx="9902">
                  <c:v>5.7212831650721441E-4</c:v>
                </c:pt>
                <c:pt idx="9903">
                  <c:v>6.5873459799092871E-4</c:v>
                </c:pt>
                <c:pt idx="9904">
                  <c:v>7.4532339385324775E-4</c:v>
                </c:pt>
                <c:pt idx="9905">
                  <c:v>8.3189470938949128E-4</c:v>
                </c:pt>
                <c:pt idx="9906">
                  <c:v>9.1844854989187041E-4</c:v>
                </c:pt>
                <c:pt idx="9907">
                  <c:v>1.0049849206521522E-3</c:v>
                </c:pt>
                <c:pt idx="9908">
                  <c:v>6.8787113270962763E-4</c:v>
                </c:pt>
                <c:pt idx="9909">
                  <c:v>3.7082133705590437E-4</c:v>
                </c:pt>
                <c:pt idx="9910">
                  <c:v>4.5738676533213507E-4</c:v>
                </c:pt>
                <c:pt idx="9911">
                  <c:v>5.4393472857672265E-4</c:v>
                </c:pt>
                <c:pt idx="9912">
                  <c:v>6.3046523207477279E-4</c:v>
                </c:pt>
                <c:pt idx="9913">
                  <c:v>7.1697828110961481E-4</c:v>
                </c:pt>
                <c:pt idx="9914">
                  <c:v>8.0347388096102534E-4</c:v>
                </c:pt>
                <c:pt idx="9915">
                  <c:v>8.8995203690833691E-4</c:v>
                </c:pt>
                <c:pt idx="9916">
                  <c:v>9.7641275422777341E-4</c:v>
                </c:pt>
                <c:pt idx="9917">
                  <c:v>1.0628560381937824E-3</c:v>
                </c:pt>
                <c:pt idx="9918">
                  <c:v>1.1492818940777028E-3</c:v>
                </c:pt>
                <c:pt idx="9919">
                  <c:v>1.2356903271508735E-3</c:v>
                </c:pt>
                <c:pt idx="9920">
                  <c:v>9.1893681536703298E-4</c:v>
                </c:pt>
                <c:pt idx="9921">
                  <c:v>1.0053510459018256E-3</c:v>
                </c:pt>
                <c:pt idx="9922">
                  <c:v>1.091747861234893E-3</c:v>
                </c:pt>
                <c:pt idx="9923">
                  <c:v>1.1781272666300246E-3</c:v>
                </c:pt>
                <c:pt idx="9924">
                  <c:v>8.6150720005173653E-4</c:v>
                </c:pt>
                <c:pt idx="9925">
                  <c:v>5.4495092315143268E-4</c:v>
                </c:pt>
                <c:pt idx="9926">
                  <c:v>6.3135930303515053E-4</c:v>
                </c:pt>
                <c:pt idx="9927">
                  <c:v>3.1488996947759418E-4</c:v>
                </c:pt>
                <c:pt idx="9928">
                  <c:v>1.5156240329439186E-6</c:v>
                </c:pt>
                <c:pt idx="9929">
                  <c:v>8.4921679565308494E-5</c:v>
                </c:pt>
                <c:pt idx="9930">
                  <c:v>1.7134157734322031E-4</c:v>
                </c:pt>
                <c:pt idx="9931">
                  <c:v>1.4495400255842839E-4</c:v>
                </c:pt>
                <c:pt idx="9932">
                  <c:v>5.8528363298115949E-5</c:v>
                </c:pt>
                <c:pt idx="9933">
                  <c:v>2.7879877745995429E-5</c:v>
                </c:pt>
                <c:pt idx="9934">
                  <c:v>1.1427072582703701E-4</c:v>
                </c:pt>
                <c:pt idx="9935">
                  <c:v>2.0064418619547553E-4</c:v>
                </c:pt>
                <c:pt idx="9936">
                  <c:v>2.8700026410088952E-4</c:v>
                </c:pt>
                <c:pt idx="9937">
                  <c:v>2.9116010559882E-5</c:v>
                </c:pt>
                <c:pt idx="9938">
                  <c:v>5.7245806585282111E-5</c:v>
                </c:pt>
                <c:pt idx="9939">
                  <c:v>2.587837577840979E-4</c:v>
                </c:pt>
                <c:pt idx="9940">
                  <c:v>5.7474974750792995E-4</c:v>
                </c:pt>
                <c:pt idx="9941">
                  <c:v>4.8835911126543508E-4</c:v>
                </c:pt>
                <c:pt idx="9942">
                  <c:v>4.019858504529239E-4</c:v>
                </c:pt>
                <c:pt idx="9943">
                  <c:v>7.1784212674641523E-4</c:v>
                </c:pt>
                <c:pt idx="9944">
                  <c:v>6.3146316148010584E-4</c:v>
                </c:pt>
                <c:pt idx="9945">
                  <c:v>5.45101564056516E-4</c:v>
                </c:pt>
                <c:pt idx="9946">
                  <c:v>8.6084820177534382E-4</c:v>
                </c:pt>
                <c:pt idx="9947">
                  <c:v>7.7448090912168865E-4</c:v>
                </c:pt>
                <c:pt idx="9948">
                  <c:v>6.8813097672792978E-4</c:v>
                </c:pt>
                <c:pt idx="9949">
                  <c:v>6.0179839936003177E-4</c:v>
                </c:pt>
                <c:pt idx="9950">
                  <c:v>9.1741243223664171E-4</c:v>
                </c:pt>
                <c:pt idx="9951">
                  <c:v>1.2329630442291517E-3</c:v>
                </c:pt>
                <c:pt idx="9952">
                  <c:v>1.1466017513361848E-3</c:v>
                </c:pt>
                <c:pt idx="9953">
                  <c:v>1.0602578087786085E-3</c:v>
                </c:pt>
                <c:pt idx="9954">
                  <c:v>9.7393121132771654E-4</c:v>
                </c:pt>
                <c:pt idx="9955">
                  <c:v>8.8762195375835518E-4</c:v>
                </c:pt>
                <c:pt idx="9956">
                  <c:v>1.2030171166057535E-3</c:v>
                </c:pt>
                <c:pt idx="9957">
                  <c:v>1.1167021890501339E-3</c:v>
                </c:pt>
                <c:pt idx="9958">
                  <c:v>1.0304045938092088E-3</c:v>
                </c:pt>
                <c:pt idx="9959">
                  <c:v>9.4412432566315374E-4</c:v>
                </c:pt>
                <c:pt idx="9960">
                  <c:v>8.578613793934764E-4</c:v>
                </c:pt>
                <c:pt idx="9961">
                  <c:v>7.7161574978523717E-4</c:v>
                </c:pt>
                <c:pt idx="9962">
                  <c:v>6.8538743162349647E-4</c:v>
                </c:pt>
                <c:pt idx="9963">
                  <c:v>5.9917641969775559E-4</c:v>
                </c:pt>
                <c:pt idx="9964">
                  <c:v>9.1434734857287481E-4</c:v>
                </c:pt>
                <c:pt idx="9965">
                  <c:v>8.2813066413844894E-4</c:v>
                </c:pt>
                <c:pt idx="9966">
                  <c:v>7.4193127839672357E-4</c:v>
                </c:pt>
                <c:pt idx="9967">
                  <c:v>6.5574918614164091E-4</c:v>
                </c:pt>
                <c:pt idx="9968">
                  <c:v>5.6958438217025176E-4</c:v>
                </c:pt>
                <c:pt idx="9969">
                  <c:v>4.8343686128049512E-4</c:v>
                </c:pt>
                <c:pt idx="9970">
                  <c:v>3.9730661827297453E-4</c:v>
                </c:pt>
                <c:pt idx="9971">
                  <c:v>3.1119364795006987E-4</c:v>
                </c:pt>
                <c:pt idx="9972">
                  <c:v>6.2614065616584114E-4</c:v>
                </c:pt>
                <c:pt idx="9973">
                  <c:v>5.4002201084557555E-4</c:v>
                </c:pt>
                <c:pt idx="9974">
                  <c:v>4.5392063069105149E-4</c:v>
                </c:pt>
                <c:pt idx="9975">
                  <c:v>3.6783651051086608E-4</c:v>
                </c:pt>
                <c:pt idx="9976">
                  <c:v>6.8265158538327597E-4</c:v>
                </c:pt>
                <c:pt idx="9977">
                  <c:v>9.9740356474065095E-4</c:v>
                </c:pt>
                <c:pt idx="9978">
                  <c:v>9.1129086434227347E-4</c:v>
                </c:pt>
                <c:pt idx="9979">
                  <c:v>8.251954192690647E-4</c:v>
                </c:pt>
                <c:pt idx="9980">
                  <c:v>7.3911722433539495E-4</c:v>
                </c:pt>
                <c:pt idx="9981">
                  <c:v>6.5305627435696678E-4</c:v>
                </c:pt>
                <c:pt idx="9982">
                  <c:v>5.6701256415214729E-4</c:v>
                </c:pt>
                <c:pt idx="9983">
                  <c:v>4.8098608854107994E-4</c:v>
                </c:pt>
                <c:pt idx="9984">
                  <c:v>3.9497684234657271E-4</c:v>
                </c:pt>
                <c:pt idx="9985">
                  <c:v>3.0898482039276587E-4</c:v>
                </c:pt>
                <c:pt idx="9986">
                  <c:v>6.2349059419819497E-4</c:v>
                </c:pt>
                <c:pt idx="9987">
                  <c:v>5.3749291304860947E-4</c:v>
                </c:pt>
                <c:pt idx="9988">
                  <c:v>4.5151244865193618E-4</c:v>
                </c:pt>
                <c:pt idx="9989">
                  <c:v>3.6554919583853263E-4</c:v>
                </c:pt>
                <c:pt idx="9990">
                  <c:v>2.7960314944097675E-4</c:v>
                </c:pt>
                <c:pt idx="9991">
                  <c:v>5.9395450043053799E-4</c:v>
                </c:pt>
                <c:pt idx="9992">
                  <c:v>5.0800279931895176E-4</c:v>
                </c:pt>
                <c:pt idx="9993">
                  <c:v>4.2206829714697136E-4</c:v>
                </c:pt>
                <c:pt idx="9994">
                  <c:v>3.3615098875250382E-4</c:v>
                </c:pt>
                <c:pt idx="9995">
                  <c:v>2.5025086897700888E-4</c:v>
                </c:pt>
                <c:pt idx="9996">
                  <c:v>5.6444794866505887E-4</c:v>
                </c:pt>
                <c:pt idx="9997">
                  <c:v>4.7854217865195281E-4</c:v>
                </c:pt>
                <c:pt idx="9998">
                  <c:v>3.9265358979312381E-4</c:v>
                </c:pt>
                <c:pt idx="9999">
                  <c:v>3.0678217693447252E-4</c:v>
                </c:pt>
              </c:numCache>
            </c:numRef>
          </c:val>
        </c:ser>
        <c:dLbls>
          <c:dLblPos val="ctr"/>
        </c:dLbls>
        <c:marker val="1"/>
        <c:axId val="126486784"/>
        <c:axId val="134095232"/>
      </c:lineChart>
      <c:catAx>
        <c:axId val="126486784"/>
        <c:scaling>
          <c:orientation val="minMax"/>
        </c:scaling>
        <c:axPos val="b"/>
        <c:title>
          <c:layout/>
        </c:title>
        <c:majorTickMark val="none"/>
        <c:tickLblPos val="nextTo"/>
        <c:crossAx val="134095232"/>
        <c:crosses val="autoZero"/>
        <c:auto val="1"/>
        <c:lblAlgn val="ctr"/>
        <c:lblOffset val="100"/>
        <c:tickLblSkip val="300"/>
      </c:catAx>
      <c:valAx>
        <c:axId val="134095232"/>
        <c:scaling>
          <c:orientation val="minMax"/>
        </c:scaling>
        <c:axPos val="l"/>
        <c:majorGridlines/>
        <c:title>
          <c:layout/>
        </c:title>
        <c:numFmt formatCode="General" sourceLinked="1"/>
        <c:tickLblPos val="nextTo"/>
        <c:crossAx val="1264867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133349</xdr:colOff>
      <xdr:row>6</xdr:row>
      <xdr:rowOff>171450</xdr:rowOff>
    </xdr:from>
    <xdr:to>
      <xdr:col>21</xdr:col>
      <xdr:colOff>257175</xdr:colOff>
      <xdr:row>27</xdr:row>
      <xdr:rowOff>152400</xdr:rowOff>
    </xdr:to>
    <xdr:graphicFrame macro="">
      <xdr:nvGraphicFramePr>
        <xdr:cNvPr id="3" name="Wykres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ela1" displayName="Tabela1" ref="A1:G10001" totalsRowShown="0">
  <autoFilter ref="A1:G10001">
    <filterColumn colId="2"/>
    <filterColumn colId="3"/>
    <filterColumn colId="4"/>
    <filterColumn colId="5"/>
    <filterColumn colId="6"/>
  </autoFilter>
  <tableColumns count="7">
    <tableColumn id="1" name="x"/>
    <tableColumn id="2" name="y"/>
    <tableColumn id="3" name="promien" dataDxfId="4">
      <calculatedColumnFormula>(Tabela1[[#This Row],[x]]-H$3)*(Tabela1[[#This Row],[x]]-H$3) +(Tabela1[[#This Row],[y]]-H$4)*(Tabela1[[#This Row],[y]]-H$4)</calculatedColumnFormula>
    </tableColumn>
    <tableColumn id="4" name="koło" dataDxfId="3">
      <calculatedColumnFormula>IF(Tabela1[[#This Row],[promien]]&lt;40000,1,0)</calculatedColumnFormula>
    </tableColumn>
    <tableColumn id="5" name="okrąg" dataDxfId="2">
      <calculatedColumnFormula>IF(Tabela1[[#This Row],[promien]]=40000,1,0)</calculatedColumnFormula>
    </tableColumn>
    <tableColumn id="7" name="pi" dataDxfId="0"/>
    <tableColumn id="6" name="błąd" dataDxfId="1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A1:R10001"/>
  <sheetViews>
    <sheetView tabSelected="1" workbookViewId="0">
      <selection activeCell="R6" sqref="R6"/>
    </sheetView>
  </sheetViews>
  <sheetFormatPr defaultRowHeight="15"/>
  <cols>
    <col min="1" max="2" width="4.140625" customWidth="1"/>
    <col min="11" max="11" width="9.85546875" bestFit="1" customWidth="1"/>
    <col min="14" max="14" width="15" customWidth="1"/>
  </cols>
  <sheetData>
    <row r="1" spans="1:18">
      <c r="A1" t="s">
        <v>0</v>
      </c>
      <c r="B1" t="s">
        <v>1</v>
      </c>
      <c r="C1" t="s">
        <v>5</v>
      </c>
      <c r="D1" t="s">
        <v>2</v>
      </c>
      <c r="E1" t="s">
        <v>6</v>
      </c>
      <c r="F1" t="s">
        <v>8</v>
      </c>
      <c r="G1" t="s">
        <v>9</v>
      </c>
      <c r="H1" t="s">
        <v>2</v>
      </c>
      <c r="J1" t="s">
        <v>2</v>
      </c>
      <c r="K1" t="s">
        <v>6</v>
      </c>
      <c r="L1" t="s">
        <v>7</v>
      </c>
      <c r="M1" t="s">
        <v>8</v>
      </c>
      <c r="N1" t="s">
        <v>8</v>
      </c>
    </row>
    <row r="2" spans="1:18">
      <c r="A2">
        <v>145</v>
      </c>
      <c r="B2">
        <v>370</v>
      </c>
      <c r="C2" s="1">
        <f>(Tabela1[[#This Row],[x]]-H$3)*(Tabela1[[#This Row],[x]]-H$3) +(Tabela1[[#This Row],[y]]-H$4)*(Tabela1[[#This Row],[y]]-H$4)</f>
        <v>31925</v>
      </c>
      <c r="D2" s="1">
        <f>IF(Tabela1[[#This Row],[promien]]&lt;40000,1,0)</f>
        <v>1</v>
      </c>
      <c r="E2" s="1">
        <f>IF(Tabela1[[#This Row],[promien]]=40000,1,0)</f>
        <v>0</v>
      </c>
      <c r="F2" s="1">
        <v>2</v>
      </c>
      <c r="G2" s="1">
        <v>1.1415926535897931</v>
      </c>
      <c r="H2" t="s">
        <v>3</v>
      </c>
      <c r="J2">
        <f>COUNTIF(C2:C101,"&lt;40000")</f>
        <v>80</v>
      </c>
      <c r="K2">
        <f>COUNTIF(C2:C101,"=40000")</f>
        <v>0</v>
      </c>
      <c r="L2">
        <f>(J2+K2)/100</f>
        <v>0.8</v>
      </c>
      <c r="M2">
        <f>L2*4</f>
        <v>3.2</v>
      </c>
      <c r="N2">
        <f>PI()</f>
        <v>3.1415926535897931</v>
      </c>
    </row>
    <row r="3" spans="1:18">
      <c r="A3">
        <v>116</v>
      </c>
      <c r="B3">
        <v>330</v>
      </c>
      <c r="C3" s="1">
        <f>(Tabela1[[#This Row],[x]]-H$3)*(Tabela1[[#This Row],[x]]-H$3) +(Tabela1[[#This Row],[y]]-H$4)*(Tabela1[[#This Row],[y]]-H$4)</f>
        <v>23956</v>
      </c>
      <c r="D3" s="1">
        <f>IF(Tabela1[[#This Row],[promien]]&lt;40000,1,0)</f>
        <v>1</v>
      </c>
      <c r="E3" s="1">
        <f>IF(Tabela1[[#This Row],[promien]]=40000,1,0)</f>
        <v>0</v>
      </c>
      <c r="F3" s="1">
        <v>2.6666666666666665</v>
      </c>
      <c r="G3" s="1">
        <v>0.4749259869231266</v>
      </c>
      <c r="H3">
        <v>200</v>
      </c>
      <c r="J3">
        <f>COUNTIF(C2:C1001,"&lt;40000")</f>
        <v>806</v>
      </c>
      <c r="K3">
        <f>COUNTIF(C2:C1001,"=40000")</f>
        <v>1</v>
      </c>
      <c r="L3">
        <f>(J3)/1000</f>
        <v>0.80600000000000005</v>
      </c>
      <c r="M3">
        <f t="shared" ref="M3:M5" si="0">L3*4</f>
        <v>3.2240000000000002</v>
      </c>
    </row>
    <row r="4" spans="1:18">
      <c r="A4">
        <v>389</v>
      </c>
      <c r="B4">
        <v>191</v>
      </c>
      <c r="C4" s="1">
        <f>(Tabela1[[#This Row],[x]]-H$3)*(Tabela1[[#This Row],[x]]-H$3) +(Tabela1[[#This Row],[y]]-H$4)*(Tabela1[[#This Row],[y]]-H$4)</f>
        <v>35802</v>
      </c>
      <c r="D4" s="1">
        <f>IF(Tabela1[[#This Row],[promien]]&lt;40000,1,0)</f>
        <v>1</v>
      </c>
      <c r="E4" s="1">
        <f>IF(Tabela1[[#This Row],[promien]]=40000,1,0)</f>
        <v>0</v>
      </c>
      <c r="F4" s="1">
        <v>3</v>
      </c>
      <c r="G4" s="1">
        <v>0.14159265358979312</v>
      </c>
      <c r="H4">
        <v>200</v>
      </c>
      <c r="J4">
        <f>COUNTIF(C3:C5002,"&lt;40000")</f>
        <v>3955</v>
      </c>
      <c r="K4">
        <f>COUNTIF(C3:C5002,"=40000")</f>
        <v>2</v>
      </c>
      <c r="L4">
        <f>(J4+K4)/5000</f>
        <v>0.79139999999999999</v>
      </c>
      <c r="M4">
        <f t="shared" si="0"/>
        <v>3.1656</v>
      </c>
    </row>
    <row r="5" spans="1:18">
      <c r="A5">
        <v>12</v>
      </c>
      <c r="B5">
        <v>344</v>
      </c>
      <c r="C5" s="1">
        <f>(Tabela1[[#This Row],[x]]-H$3)*(Tabela1[[#This Row],[x]]-H$3) +(Tabela1[[#This Row],[y]]-H$4)*(Tabela1[[#This Row],[y]]-H$4)</f>
        <v>56080</v>
      </c>
      <c r="D5" s="1">
        <f>IF(Tabela1[[#This Row],[promien]]&lt;40000,1,0)</f>
        <v>0</v>
      </c>
      <c r="E5" s="1">
        <f>IF(Tabela1[[#This Row],[promien]]=40000,1,0)</f>
        <v>0</v>
      </c>
      <c r="F5" s="1">
        <v>2.4</v>
      </c>
      <c r="G5" s="1">
        <v>0.7415926535897932</v>
      </c>
      <c r="H5" t="s">
        <v>4</v>
      </c>
      <c r="J5">
        <f>COUNTIF(Tabela1[promien],"&lt;40000")</f>
        <v>7852</v>
      </c>
      <c r="K5">
        <f>COUNTIF(Tabela1[promien],"=40000")</f>
        <v>2</v>
      </c>
      <c r="L5">
        <f t="shared" ref="L5" si="1">(J5+K5)/10000</f>
        <v>0.78539999999999999</v>
      </c>
      <c r="M5">
        <f t="shared" si="0"/>
        <v>3.1415999999999999</v>
      </c>
      <c r="R5" t="s">
        <v>10</v>
      </c>
    </row>
    <row r="6" spans="1:18">
      <c r="A6">
        <v>165</v>
      </c>
      <c r="B6">
        <v>303</v>
      </c>
      <c r="C6" s="1">
        <f>(Tabela1[[#This Row],[x]]-H$3)*(Tabela1[[#This Row],[x]]-H$3) +(Tabela1[[#This Row],[y]]-H$4)*(Tabela1[[#This Row],[y]]-H$4)</f>
        <v>11834</v>
      </c>
      <c r="D6" s="1">
        <f>IF(Tabela1[[#This Row],[promien]]&lt;40000,1,0)</f>
        <v>1</v>
      </c>
      <c r="E6" s="1">
        <f>IF(Tabela1[[#This Row],[promien]]=40000,1,0)</f>
        <v>0</v>
      </c>
      <c r="F6" s="1">
        <v>2.6666666666666665</v>
      </c>
      <c r="G6" s="1">
        <v>0.4749259869231266</v>
      </c>
      <c r="H6">
        <v>200</v>
      </c>
    </row>
    <row r="7" spans="1:18">
      <c r="A7">
        <v>79</v>
      </c>
      <c r="B7">
        <v>312</v>
      </c>
      <c r="C7" s="1">
        <f>(Tabela1[[#This Row],[x]]-H$3)*(Tabela1[[#This Row],[x]]-H$3) +(Tabela1[[#This Row],[y]]-H$4)*(Tabela1[[#This Row],[y]]-H$4)</f>
        <v>27185</v>
      </c>
      <c r="D7" s="1">
        <f>IF(Tabela1[[#This Row],[promien]]&lt;40000,1,0)</f>
        <v>1</v>
      </c>
      <c r="E7" s="1">
        <f>IF(Tabela1[[#This Row],[promien]]=40000,1,0)</f>
        <v>0</v>
      </c>
      <c r="F7" s="1">
        <v>2.8571428571428572</v>
      </c>
      <c r="G7" s="1">
        <v>0.28444979644693591</v>
      </c>
    </row>
    <row r="8" spans="1:18">
      <c r="A8">
        <v>92</v>
      </c>
      <c r="B8">
        <v>176</v>
      </c>
      <c r="C8" s="1">
        <f>(Tabela1[[#This Row],[x]]-H$3)*(Tabela1[[#This Row],[x]]-H$3) +(Tabela1[[#This Row],[y]]-H$4)*(Tabela1[[#This Row],[y]]-H$4)</f>
        <v>12240</v>
      </c>
      <c r="D8" s="1">
        <f>IF(Tabela1[[#This Row],[promien]]&lt;40000,1,0)</f>
        <v>1</v>
      </c>
      <c r="E8" s="1">
        <f>IF(Tabela1[[#This Row],[promien]]=40000,1,0)</f>
        <v>0</v>
      </c>
      <c r="F8" s="1">
        <v>3</v>
      </c>
      <c r="G8" s="1">
        <v>0.14159265358979312</v>
      </c>
    </row>
    <row r="9" spans="1:18">
      <c r="A9">
        <v>183</v>
      </c>
      <c r="B9">
        <v>212</v>
      </c>
      <c r="C9" s="1">
        <f>(Tabela1[[#This Row],[x]]-H$3)*(Tabela1[[#This Row],[x]]-H$3) +(Tabela1[[#This Row],[y]]-H$4)*(Tabela1[[#This Row],[y]]-H$4)</f>
        <v>433</v>
      </c>
      <c r="D9" s="1">
        <f>IF(Tabela1[[#This Row],[promien]]&lt;40000,1,0)</f>
        <v>1</v>
      </c>
      <c r="E9" s="1">
        <f>IF(Tabela1[[#This Row],[promien]]=40000,1,0)</f>
        <v>0</v>
      </c>
      <c r="F9" s="1">
        <v>3.1111111111111112</v>
      </c>
      <c r="G9" s="1">
        <v>3.0481542478681956E-2</v>
      </c>
    </row>
    <row r="10" spans="1:18">
      <c r="A10">
        <v>283</v>
      </c>
      <c r="B10">
        <v>145</v>
      </c>
      <c r="C10" s="1">
        <f>(Tabela1[[#This Row],[x]]-H$3)*(Tabela1[[#This Row],[x]]-H$3) +(Tabela1[[#This Row],[y]]-H$4)*(Tabela1[[#This Row],[y]]-H$4)</f>
        <v>9914</v>
      </c>
      <c r="D10" s="1">
        <f>IF(Tabela1[[#This Row],[promien]]&lt;40000,1,0)</f>
        <v>1</v>
      </c>
      <c r="E10" s="1">
        <f>IF(Tabela1[[#This Row],[promien]]=40000,1,0)</f>
        <v>0</v>
      </c>
      <c r="F10" s="1">
        <v>3.2</v>
      </c>
      <c r="G10" s="1">
        <v>5.8407346410207062E-2</v>
      </c>
    </row>
    <row r="11" spans="1:18">
      <c r="A11">
        <v>34</v>
      </c>
      <c r="B11">
        <v>315</v>
      </c>
      <c r="C11" s="1">
        <f>(Tabela1[[#This Row],[x]]-H$3)*(Tabela1[[#This Row],[x]]-H$3) +(Tabela1[[#This Row],[y]]-H$4)*(Tabela1[[#This Row],[y]]-H$4)</f>
        <v>40781</v>
      </c>
      <c r="D11" s="1">
        <f>IF(Tabela1[[#This Row],[promien]]&lt;40000,1,0)</f>
        <v>0</v>
      </c>
      <c r="E11" s="1">
        <f>IF(Tabela1[[#This Row],[promien]]=40000,1,0)</f>
        <v>0</v>
      </c>
      <c r="F11" s="1">
        <v>2.9090909090909092</v>
      </c>
      <c r="G11" s="1">
        <v>0.23250174449888394</v>
      </c>
    </row>
    <row r="12" spans="1:18">
      <c r="A12">
        <v>226</v>
      </c>
      <c r="B12">
        <v>126</v>
      </c>
      <c r="C12" s="1">
        <f>(Tabela1[[#This Row],[x]]-H$3)*(Tabela1[[#This Row],[x]]-H$3) +(Tabela1[[#This Row],[y]]-H$4)*(Tabela1[[#This Row],[y]]-H$4)</f>
        <v>6152</v>
      </c>
      <c r="D12" s="1">
        <f>IF(Tabela1[[#This Row],[promien]]&lt;40000,1,0)</f>
        <v>1</v>
      </c>
      <c r="E12" s="1">
        <f>IF(Tabela1[[#This Row],[promien]]=40000,1,0)</f>
        <v>0</v>
      </c>
      <c r="F12" s="1">
        <v>3</v>
      </c>
      <c r="G12" s="1">
        <v>0.14159265358979312</v>
      </c>
    </row>
    <row r="13" spans="1:18">
      <c r="A13">
        <v>227</v>
      </c>
      <c r="B13">
        <v>76</v>
      </c>
      <c r="C13" s="1">
        <f>(Tabela1[[#This Row],[x]]-H$3)*(Tabela1[[#This Row],[x]]-H$3) +(Tabela1[[#This Row],[y]]-H$4)*(Tabela1[[#This Row],[y]]-H$4)</f>
        <v>16105</v>
      </c>
      <c r="D13" s="1">
        <f>IF(Tabela1[[#This Row],[promien]]&lt;40000,1,0)</f>
        <v>1</v>
      </c>
      <c r="E13" s="1">
        <f>IF(Tabela1[[#This Row],[promien]]=40000,1,0)</f>
        <v>0</v>
      </c>
      <c r="F13" s="1">
        <v>3.0769230769230771</v>
      </c>
      <c r="G13" s="1">
        <v>6.4669576666716022E-2</v>
      </c>
    </row>
    <row r="14" spans="1:18">
      <c r="A14">
        <v>117</v>
      </c>
      <c r="B14">
        <v>292</v>
      </c>
      <c r="C14" s="1">
        <f>(Tabela1[[#This Row],[x]]-H$3)*(Tabela1[[#This Row],[x]]-H$3) +(Tabela1[[#This Row],[y]]-H$4)*(Tabela1[[#This Row],[y]]-H$4)</f>
        <v>15353</v>
      </c>
      <c r="D14" s="1">
        <f>IF(Tabela1[[#This Row],[promien]]&lt;40000,1,0)</f>
        <v>1</v>
      </c>
      <c r="E14" s="1">
        <f>IF(Tabela1[[#This Row],[promien]]=40000,1,0)</f>
        <v>0</v>
      </c>
      <c r="F14" s="1">
        <v>3.1428571428571428</v>
      </c>
      <c r="G14" s="1">
        <v>1.2644892673496777E-3</v>
      </c>
    </row>
    <row r="15" spans="1:18">
      <c r="A15">
        <v>329</v>
      </c>
      <c r="B15">
        <v>278</v>
      </c>
      <c r="C15" s="1">
        <f>(Tabela1[[#This Row],[x]]-H$3)*(Tabela1[[#This Row],[x]]-H$3) +(Tabela1[[#This Row],[y]]-H$4)*(Tabela1[[#This Row],[y]]-H$4)</f>
        <v>22725</v>
      </c>
      <c r="D15" s="1">
        <f>IF(Tabela1[[#This Row],[promien]]&lt;40000,1,0)</f>
        <v>1</v>
      </c>
      <c r="E15" s="1">
        <f>IF(Tabela1[[#This Row],[promien]]=40000,1,0)</f>
        <v>0</v>
      </c>
      <c r="F15" s="1">
        <v>3.2</v>
      </c>
      <c r="G15" s="1">
        <v>5.8407346410207062E-2</v>
      </c>
    </row>
    <row r="16" spans="1:18">
      <c r="A16">
        <v>369</v>
      </c>
      <c r="B16">
        <v>21</v>
      </c>
      <c r="C16" s="1">
        <f>(Tabela1[[#This Row],[x]]-H$3)*(Tabela1[[#This Row],[x]]-H$3) +(Tabela1[[#This Row],[y]]-H$4)*(Tabela1[[#This Row],[y]]-H$4)</f>
        <v>60602</v>
      </c>
      <c r="D16" s="1">
        <f>IF(Tabela1[[#This Row],[promien]]&lt;40000,1,0)</f>
        <v>0</v>
      </c>
      <c r="E16" s="1">
        <f>IF(Tabela1[[#This Row],[promien]]=40000,1,0)</f>
        <v>0</v>
      </c>
      <c r="F16" s="1">
        <v>3</v>
      </c>
      <c r="G16" s="1">
        <v>0.14159265358979312</v>
      </c>
    </row>
    <row r="17" spans="1:7">
      <c r="A17">
        <v>46</v>
      </c>
      <c r="B17">
        <v>395</v>
      </c>
      <c r="C17" s="1">
        <f>(Tabela1[[#This Row],[x]]-H$3)*(Tabela1[[#This Row],[x]]-H$3) +(Tabela1[[#This Row],[y]]-H$4)*(Tabela1[[#This Row],[y]]-H$4)</f>
        <v>61741</v>
      </c>
      <c r="D17" s="1">
        <f>IF(Tabela1[[#This Row],[promien]]&lt;40000,1,0)</f>
        <v>0</v>
      </c>
      <c r="E17" s="1">
        <f>IF(Tabela1[[#This Row],[promien]]=40000,1,0)</f>
        <v>0</v>
      </c>
      <c r="F17" s="1">
        <v>2.8235294117647061</v>
      </c>
      <c r="G17" s="1">
        <v>0.31806324182508705</v>
      </c>
    </row>
    <row r="18" spans="1:7">
      <c r="A18">
        <v>34</v>
      </c>
      <c r="B18">
        <v>285</v>
      </c>
      <c r="C18" s="1">
        <f>(Tabela1[[#This Row],[x]]-H$3)*(Tabela1[[#This Row],[x]]-H$3) +(Tabela1[[#This Row],[y]]-H$4)*(Tabela1[[#This Row],[y]]-H$4)</f>
        <v>34781</v>
      </c>
      <c r="D18" s="1">
        <f>IF(Tabela1[[#This Row],[promien]]&lt;40000,1,0)</f>
        <v>1</v>
      </c>
      <c r="E18" s="1">
        <f>IF(Tabela1[[#This Row],[promien]]=40000,1,0)</f>
        <v>0</v>
      </c>
      <c r="F18" s="1">
        <v>2.8888888888888888</v>
      </c>
      <c r="G18" s="1">
        <v>0.25270376470090428</v>
      </c>
    </row>
    <row r="19" spans="1:7">
      <c r="A19">
        <v>82</v>
      </c>
      <c r="B19">
        <v>183</v>
      </c>
      <c r="C19" s="1">
        <f>(Tabela1[[#This Row],[x]]-H$3)*(Tabela1[[#This Row],[x]]-H$3) +(Tabela1[[#This Row],[y]]-H$4)*(Tabela1[[#This Row],[y]]-H$4)</f>
        <v>14213</v>
      </c>
      <c r="D19" s="1">
        <f>IF(Tabela1[[#This Row],[promien]]&lt;40000,1,0)</f>
        <v>1</v>
      </c>
      <c r="E19" s="1">
        <f>IF(Tabela1[[#This Row],[promien]]=40000,1,0)</f>
        <v>0</v>
      </c>
      <c r="F19" s="1">
        <v>2.9473684210526314</v>
      </c>
      <c r="G19" s="1">
        <v>0.1942242325371617</v>
      </c>
    </row>
    <row r="20" spans="1:7">
      <c r="A20">
        <v>264</v>
      </c>
      <c r="B20">
        <v>359</v>
      </c>
      <c r="C20" s="1">
        <f>(Tabela1[[#This Row],[x]]-H$3)*(Tabela1[[#This Row],[x]]-H$3) +(Tabela1[[#This Row],[y]]-H$4)*(Tabela1[[#This Row],[y]]-H$4)</f>
        <v>29377</v>
      </c>
      <c r="D20" s="1">
        <f>IF(Tabela1[[#This Row],[promien]]&lt;40000,1,0)</f>
        <v>1</v>
      </c>
      <c r="E20" s="1">
        <f>IF(Tabela1[[#This Row],[promien]]=40000,1,0)</f>
        <v>0</v>
      </c>
      <c r="F20" s="1">
        <v>3</v>
      </c>
      <c r="G20" s="1">
        <v>0.14159265358979312</v>
      </c>
    </row>
    <row r="21" spans="1:7">
      <c r="A21">
        <v>324</v>
      </c>
      <c r="B21">
        <v>132</v>
      </c>
      <c r="C21" s="1">
        <f>(Tabela1[[#This Row],[x]]-H$3)*(Tabela1[[#This Row],[x]]-H$3) +(Tabela1[[#This Row],[y]]-H$4)*(Tabela1[[#This Row],[y]]-H$4)</f>
        <v>20000</v>
      </c>
      <c r="D21" s="1">
        <f>IF(Tabela1[[#This Row],[promien]]&lt;40000,1,0)</f>
        <v>1</v>
      </c>
      <c r="E21" s="1">
        <f>IF(Tabela1[[#This Row],[promien]]=40000,1,0)</f>
        <v>0</v>
      </c>
      <c r="F21" s="1">
        <v>3.0476190476190474</v>
      </c>
      <c r="G21" s="1">
        <v>9.3973605970745666E-2</v>
      </c>
    </row>
    <row r="22" spans="1:7">
      <c r="A22">
        <v>318</v>
      </c>
      <c r="B22">
        <v>4</v>
      </c>
      <c r="C22" s="1">
        <f>(Tabela1[[#This Row],[x]]-H$3)*(Tabela1[[#This Row],[x]]-H$3) +(Tabela1[[#This Row],[y]]-H$4)*(Tabela1[[#This Row],[y]]-H$4)</f>
        <v>52340</v>
      </c>
      <c r="D22" s="1">
        <f>IF(Tabela1[[#This Row],[promien]]&lt;40000,1,0)</f>
        <v>0</v>
      </c>
      <c r="E22" s="1">
        <f>IF(Tabela1[[#This Row],[promien]]=40000,1,0)</f>
        <v>0</v>
      </c>
      <c r="F22" s="1">
        <v>2.9090909090909092</v>
      </c>
      <c r="G22" s="1">
        <v>0.23250174449888394</v>
      </c>
    </row>
    <row r="23" spans="1:7">
      <c r="A23">
        <v>344</v>
      </c>
      <c r="B23">
        <v>345</v>
      </c>
      <c r="C23" s="1">
        <f>(Tabela1[[#This Row],[x]]-H$3)*(Tabela1[[#This Row],[x]]-H$3) +(Tabela1[[#This Row],[y]]-H$4)*(Tabela1[[#This Row],[y]]-H$4)</f>
        <v>41761</v>
      </c>
      <c r="D23" s="1">
        <f>IF(Tabela1[[#This Row],[promien]]&lt;40000,1,0)</f>
        <v>0</v>
      </c>
      <c r="E23" s="1">
        <f>IF(Tabela1[[#This Row],[promien]]=40000,1,0)</f>
        <v>0</v>
      </c>
      <c r="F23" s="1">
        <v>2.7826086956521738</v>
      </c>
      <c r="G23" s="1">
        <v>0.35898395793761928</v>
      </c>
    </row>
    <row r="24" spans="1:7">
      <c r="A24">
        <v>195</v>
      </c>
      <c r="B24">
        <v>330</v>
      </c>
      <c r="C24" s="1">
        <f>(Tabela1[[#This Row],[x]]-H$3)*(Tabela1[[#This Row],[x]]-H$3) +(Tabela1[[#This Row],[y]]-H$4)*(Tabela1[[#This Row],[y]]-H$4)</f>
        <v>16925</v>
      </c>
      <c r="D24" s="1">
        <f>IF(Tabela1[[#This Row],[promien]]&lt;40000,1,0)</f>
        <v>1</v>
      </c>
      <c r="E24" s="1">
        <f>IF(Tabela1[[#This Row],[promien]]=40000,1,0)</f>
        <v>0</v>
      </c>
      <c r="F24" s="1">
        <v>2.8333333333333335</v>
      </c>
      <c r="G24" s="1">
        <v>0.30825932025645963</v>
      </c>
    </row>
    <row r="25" spans="1:7">
      <c r="A25">
        <v>28</v>
      </c>
      <c r="B25">
        <v>381</v>
      </c>
      <c r="C25" s="1">
        <f>(Tabela1[[#This Row],[x]]-H$3)*(Tabela1[[#This Row],[x]]-H$3) +(Tabela1[[#This Row],[y]]-H$4)*(Tabela1[[#This Row],[y]]-H$4)</f>
        <v>62345</v>
      </c>
      <c r="D25" s="1">
        <f>IF(Tabela1[[#This Row],[promien]]&lt;40000,1,0)</f>
        <v>0</v>
      </c>
      <c r="E25" s="1">
        <f>IF(Tabela1[[#This Row],[promien]]=40000,1,0)</f>
        <v>0</v>
      </c>
      <c r="F25" s="1">
        <v>2.72</v>
      </c>
      <c r="G25" s="1">
        <v>0.42159265358979292</v>
      </c>
    </row>
    <row r="26" spans="1:7">
      <c r="A26">
        <v>360</v>
      </c>
      <c r="B26">
        <v>257</v>
      </c>
      <c r="C26" s="1">
        <f>(Tabela1[[#This Row],[x]]-H$3)*(Tabela1[[#This Row],[x]]-H$3) +(Tabela1[[#This Row],[y]]-H$4)*(Tabela1[[#This Row],[y]]-H$4)</f>
        <v>28849</v>
      </c>
      <c r="D26" s="1">
        <f>IF(Tabela1[[#This Row],[promien]]&lt;40000,1,0)</f>
        <v>1</v>
      </c>
      <c r="E26" s="1">
        <f>IF(Tabela1[[#This Row],[promien]]=40000,1,0)</f>
        <v>0</v>
      </c>
      <c r="F26" s="1">
        <v>2.7692307692307692</v>
      </c>
      <c r="G26" s="1">
        <v>0.37236188435902395</v>
      </c>
    </row>
    <row r="27" spans="1:7">
      <c r="A27">
        <v>369</v>
      </c>
      <c r="B27">
        <v>247</v>
      </c>
      <c r="C27" s="1">
        <f>(Tabela1[[#This Row],[x]]-H$3)*(Tabela1[[#This Row],[x]]-H$3) +(Tabela1[[#This Row],[y]]-H$4)*(Tabela1[[#This Row],[y]]-H$4)</f>
        <v>30770</v>
      </c>
      <c r="D27" s="1">
        <f>IF(Tabela1[[#This Row],[promien]]&lt;40000,1,0)</f>
        <v>1</v>
      </c>
      <c r="E27" s="1">
        <f>IF(Tabela1[[#This Row],[promien]]=40000,1,0)</f>
        <v>0</v>
      </c>
      <c r="F27" s="1">
        <v>2.8148148148148149</v>
      </c>
      <c r="G27" s="1">
        <v>0.32677783877497824</v>
      </c>
    </row>
    <row r="28" spans="1:7">
      <c r="A28">
        <v>120</v>
      </c>
      <c r="B28">
        <v>56</v>
      </c>
      <c r="C28" s="1">
        <f>(Tabela1[[#This Row],[x]]-H$3)*(Tabela1[[#This Row],[x]]-H$3) +(Tabela1[[#This Row],[y]]-H$4)*(Tabela1[[#This Row],[y]]-H$4)</f>
        <v>27136</v>
      </c>
      <c r="D28" s="1">
        <f>IF(Tabela1[[#This Row],[promien]]&lt;40000,1,0)</f>
        <v>1</v>
      </c>
      <c r="E28" s="1">
        <f>IF(Tabela1[[#This Row],[promien]]=40000,1,0)</f>
        <v>0</v>
      </c>
      <c r="F28" s="1">
        <v>2.8571428571428572</v>
      </c>
      <c r="G28" s="1">
        <v>0.28444979644693591</v>
      </c>
    </row>
    <row r="29" spans="1:7">
      <c r="A29">
        <v>107</v>
      </c>
      <c r="B29">
        <v>375</v>
      </c>
      <c r="C29" s="1">
        <f>(Tabela1[[#This Row],[x]]-H$3)*(Tabela1[[#This Row],[x]]-H$3) +(Tabela1[[#This Row],[y]]-H$4)*(Tabela1[[#This Row],[y]]-H$4)</f>
        <v>39274</v>
      </c>
      <c r="D29" s="1">
        <f>IF(Tabela1[[#This Row],[promien]]&lt;40000,1,0)</f>
        <v>1</v>
      </c>
      <c r="E29" s="1">
        <f>IF(Tabela1[[#This Row],[promien]]=40000,1,0)</f>
        <v>0</v>
      </c>
      <c r="F29" s="1">
        <v>2.896551724137931</v>
      </c>
      <c r="G29" s="1">
        <v>0.24504092945186207</v>
      </c>
    </row>
    <row r="30" spans="1:7">
      <c r="A30">
        <v>64</v>
      </c>
      <c r="B30">
        <v>375</v>
      </c>
      <c r="C30" s="1">
        <f>(Tabela1[[#This Row],[x]]-H$3)*(Tabela1[[#This Row],[x]]-H$3) +(Tabela1[[#This Row],[y]]-H$4)*(Tabela1[[#This Row],[y]]-H$4)</f>
        <v>49121</v>
      </c>
      <c r="D30" s="1">
        <f>IF(Tabela1[[#This Row],[promien]]&lt;40000,1,0)</f>
        <v>0</v>
      </c>
      <c r="E30" s="1">
        <f>IF(Tabela1[[#This Row],[promien]]=40000,1,0)</f>
        <v>0</v>
      </c>
      <c r="F30" s="1">
        <v>2.8</v>
      </c>
      <c r="G30" s="1">
        <v>0.34159265358979329</v>
      </c>
    </row>
    <row r="31" spans="1:7">
      <c r="A31">
        <v>141</v>
      </c>
      <c r="B31">
        <v>376</v>
      </c>
      <c r="C31" s="1">
        <f>(Tabela1[[#This Row],[x]]-H$3)*(Tabela1[[#This Row],[x]]-H$3) +(Tabela1[[#This Row],[y]]-H$4)*(Tabela1[[#This Row],[y]]-H$4)</f>
        <v>34457</v>
      </c>
      <c r="D31" s="1">
        <f>IF(Tabela1[[#This Row],[promien]]&lt;40000,1,0)</f>
        <v>1</v>
      </c>
      <c r="E31" s="1">
        <f>IF(Tabela1[[#This Row],[promien]]=40000,1,0)</f>
        <v>0</v>
      </c>
      <c r="F31" s="1">
        <v>2.838709677419355</v>
      </c>
      <c r="G31" s="1">
        <v>0.30288297617043813</v>
      </c>
    </row>
    <row r="32" spans="1:7">
      <c r="A32">
        <v>316</v>
      </c>
      <c r="B32">
        <v>191</v>
      </c>
      <c r="C32" s="1">
        <f>(Tabela1[[#This Row],[x]]-H$3)*(Tabela1[[#This Row],[x]]-H$3) +(Tabela1[[#This Row],[y]]-H$4)*(Tabela1[[#This Row],[y]]-H$4)</f>
        <v>13537</v>
      </c>
      <c r="D32" s="1">
        <f>IF(Tabela1[[#This Row],[promien]]&lt;40000,1,0)</f>
        <v>1</v>
      </c>
      <c r="E32" s="1">
        <f>IF(Tabela1[[#This Row],[promien]]=40000,1,0)</f>
        <v>0</v>
      </c>
      <c r="F32" s="1">
        <v>2.875</v>
      </c>
      <c r="G32" s="1">
        <v>0.26659265358979312</v>
      </c>
    </row>
    <row r="33" spans="1:7">
      <c r="A33">
        <v>390</v>
      </c>
      <c r="B33">
        <v>395</v>
      </c>
      <c r="C33" s="1">
        <f>(Tabela1[[#This Row],[x]]-H$3)*(Tabela1[[#This Row],[x]]-H$3) +(Tabela1[[#This Row],[y]]-H$4)*(Tabela1[[#This Row],[y]]-H$4)</f>
        <v>74125</v>
      </c>
      <c r="D33" s="1">
        <f>IF(Tabela1[[#This Row],[promien]]&lt;40000,1,0)</f>
        <v>0</v>
      </c>
      <c r="E33" s="1">
        <f>IF(Tabela1[[#This Row],[promien]]=40000,1,0)</f>
        <v>0</v>
      </c>
      <c r="F33" s="1">
        <v>2.7878787878787881</v>
      </c>
      <c r="G33" s="1">
        <v>0.35371386571100505</v>
      </c>
    </row>
    <row r="34" spans="1:7">
      <c r="A34">
        <v>249</v>
      </c>
      <c r="B34">
        <v>200</v>
      </c>
      <c r="C34" s="1">
        <f>(Tabela1[[#This Row],[x]]-H$3)*(Tabela1[[#This Row],[x]]-H$3) +(Tabela1[[#This Row],[y]]-H$4)*(Tabela1[[#This Row],[y]]-H$4)</f>
        <v>2401</v>
      </c>
      <c r="D34" s="1">
        <f>IF(Tabela1[[#This Row],[promien]]&lt;40000,1,0)</f>
        <v>1</v>
      </c>
      <c r="E34" s="1">
        <f>IF(Tabela1[[#This Row],[promien]]=40000,1,0)</f>
        <v>0</v>
      </c>
      <c r="F34" s="1">
        <v>2.8235294117647061</v>
      </c>
      <c r="G34" s="1">
        <v>0.31806324182508705</v>
      </c>
    </row>
    <row r="35" spans="1:7">
      <c r="A35">
        <v>283</v>
      </c>
      <c r="B35">
        <v>134</v>
      </c>
      <c r="C35" s="1">
        <f>(Tabela1[[#This Row],[x]]-H$3)*(Tabela1[[#This Row],[x]]-H$3) +(Tabela1[[#This Row],[y]]-H$4)*(Tabela1[[#This Row],[y]]-H$4)</f>
        <v>11245</v>
      </c>
      <c r="D35" s="1">
        <f>IF(Tabela1[[#This Row],[promien]]&lt;40000,1,0)</f>
        <v>1</v>
      </c>
      <c r="E35" s="1">
        <f>IF(Tabela1[[#This Row],[promien]]=40000,1,0)</f>
        <v>0</v>
      </c>
      <c r="F35" s="1">
        <v>2.8571428571428572</v>
      </c>
      <c r="G35" s="1">
        <v>0.28444979644693591</v>
      </c>
    </row>
    <row r="36" spans="1:7">
      <c r="A36">
        <v>377</v>
      </c>
      <c r="B36">
        <v>250</v>
      </c>
      <c r="C36" s="1">
        <f>(Tabela1[[#This Row],[x]]-H$3)*(Tabela1[[#This Row],[x]]-H$3) +(Tabela1[[#This Row],[y]]-H$4)*(Tabela1[[#This Row],[y]]-H$4)</f>
        <v>33829</v>
      </c>
      <c r="D36" s="1">
        <f>IF(Tabela1[[#This Row],[promien]]&lt;40000,1,0)</f>
        <v>1</v>
      </c>
      <c r="E36" s="1">
        <f>IF(Tabela1[[#This Row],[promien]]=40000,1,0)</f>
        <v>0</v>
      </c>
      <c r="F36" s="1">
        <v>2.8888888888888888</v>
      </c>
      <c r="G36" s="1">
        <v>0.25270376470090428</v>
      </c>
    </row>
    <row r="37" spans="1:7">
      <c r="A37">
        <v>139</v>
      </c>
      <c r="B37">
        <v>311</v>
      </c>
      <c r="C37" s="1">
        <f>(Tabela1[[#This Row],[x]]-H$3)*(Tabela1[[#This Row],[x]]-H$3) +(Tabela1[[#This Row],[y]]-H$4)*(Tabela1[[#This Row],[y]]-H$4)</f>
        <v>16042</v>
      </c>
      <c r="D37" s="1">
        <f>IF(Tabela1[[#This Row],[promien]]&lt;40000,1,0)</f>
        <v>1</v>
      </c>
      <c r="E37" s="1">
        <f>IF(Tabela1[[#This Row],[promien]]=40000,1,0)</f>
        <v>0</v>
      </c>
      <c r="F37" s="1">
        <v>2.9189189189189189</v>
      </c>
      <c r="G37" s="1">
        <v>0.22267373467087426</v>
      </c>
    </row>
    <row r="38" spans="1:7">
      <c r="A38">
        <v>172</v>
      </c>
      <c r="B38">
        <v>258</v>
      </c>
      <c r="C38" s="1">
        <f>(Tabela1[[#This Row],[x]]-H$3)*(Tabela1[[#This Row],[x]]-H$3) +(Tabela1[[#This Row],[y]]-H$4)*(Tabela1[[#This Row],[y]]-H$4)</f>
        <v>4148</v>
      </c>
      <c r="D38" s="1">
        <f>IF(Tabela1[[#This Row],[promien]]&lt;40000,1,0)</f>
        <v>1</v>
      </c>
      <c r="E38" s="1">
        <f>IF(Tabela1[[#This Row],[promien]]=40000,1,0)</f>
        <v>0</v>
      </c>
      <c r="F38" s="1">
        <v>2.9473684210526314</v>
      </c>
      <c r="G38" s="1">
        <v>0.1942242325371617</v>
      </c>
    </row>
    <row r="39" spans="1:7">
      <c r="A39">
        <v>212</v>
      </c>
      <c r="B39">
        <v>125</v>
      </c>
      <c r="C39" s="1">
        <f>(Tabela1[[#This Row],[x]]-H$3)*(Tabela1[[#This Row],[x]]-H$3) +(Tabela1[[#This Row],[y]]-H$4)*(Tabela1[[#This Row],[y]]-H$4)</f>
        <v>5769</v>
      </c>
      <c r="D39" s="1">
        <f>IF(Tabela1[[#This Row],[promien]]&lt;40000,1,0)</f>
        <v>1</v>
      </c>
      <c r="E39" s="1">
        <f>IF(Tabela1[[#This Row],[promien]]=40000,1,0)</f>
        <v>0</v>
      </c>
      <c r="F39" s="1">
        <v>2.9743589743589745</v>
      </c>
      <c r="G39" s="1">
        <v>0.16723367923081867</v>
      </c>
    </row>
    <row r="40" spans="1:7">
      <c r="A40">
        <v>277</v>
      </c>
      <c r="B40">
        <v>256</v>
      </c>
      <c r="C40" s="1">
        <f>(Tabela1[[#This Row],[x]]-H$3)*(Tabela1[[#This Row],[x]]-H$3) +(Tabela1[[#This Row],[y]]-H$4)*(Tabela1[[#This Row],[y]]-H$4)</f>
        <v>9065</v>
      </c>
      <c r="D40" s="1">
        <f>IF(Tabela1[[#This Row],[promien]]&lt;40000,1,0)</f>
        <v>1</v>
      </c>
      <c r="E40" s="1">
        <f>IF(Tabela1[[#This Row],[promien]]=40000,1,0)</f>
        <v>0</v>
      </c>
      <c r="F40" s="1">
        <v>3</v>
      </c>
      <c r="G40" s="1">
        <v>0.14159265358979312</v>
      </c>
    </row>
    <row r="41" spans="1:7">
      <c r="A41">
        <v>168</v>
      </c>
      <c r="B41">
        <v>367</v>
      </c>
      <c r="C41" s="1">
        <f>(Tabela1[[#This Row],[x]]-H$3)*(Tabela1[[#This Row],[x]]-H$3) +(Tabela1[[#This Row],[y]]-H$4)*(Tabela1[[#This Row],[y]]-H$4)</f>
        <v>28913</v>
      </c>
      <c r="D41" s="1">
        <f>IF(Tabela1[[#This Row],[promien]]&lt;40000,1,0)</f>
        <v>1</v>
      </c>
      <c r="E41" s="1">
        <f>IF(Tabela1[[#This Row],[promien]]=40000,1,0)</f>
        <v>0</v>
      </c>
      <c r="F41" s="1">
        <v>3.024390243902439</v>
      </c>
      <c r="G41" s="1">
        <v>0.11720240968735407</v>
      </c>
    </row>
    <row r="42" spans="1:7">
      <c r="A42">
        <v>154</v>
      </c>
      <c r="B42">
        <v>155</v>
      </c>
      <c r="C42" s="1">
        <f>(Tabela1[[#This Row],[x]]-H$3)*(Tabela1[[#This Row],[x]]-H$3) +(Tabela1[[#This Row],[y]]-H$4)*(Tabela1[[#This Row],[y]]-H$4)</f>
        <v>4141</v>
      </c>
      <c r="D42" s="1">
        <f>IF(Tabela1[[#This Row],[promien]]&lt;40000,1,0)</f>
        <v>1</v>
      </c>
      <c r="E42" s="1">
        <f>IF(Tabela1[[#This Row],[promien]]=40000,1,0)</f>
        <v>0</v>
      </c>
      <c r="F42" s="1">
        <v>3.0476190476190474</v>
      </c>
      <c r="G42" s="1">
        <v>9.3973605970745666E-2</v>
      </c>
    </row>
    <row r="43" spans="1:7">
      <c r="A43">
        <v>5</v>
      </c>
      <c r="B43">
        <v>306</v>
      </c>
      <c r="C43" s="1">
        <f>(Tabela1[[#This Row],[x]]-H$3)*(Tabela1[[#This Row],[x]]-H$3) +(Tabela1[[#This Row],[y]]-H$4)*(Tabela1[[#This Row],[y]]-H$4)</f>
        <v>49261</v>
      </c>
      <c r="D43" s="1">
        <f>IF(Tabela1[[#This Row],[promien]]&lt;40000,1,0)</f>
        <v>0</v>
      </c>
      <c r="E43" s="1">
        <f>IF(Tabela1[[#This Row],[promien]]=40000,1,0)</f>
        <v>0</v>
      </c>
      <c r="F43" s="1">
        <v>2.9767441860465116</v>
      </c>
      <c r="G43" s="1">
        <v>0.16484846754328153</v>
      </c>
    </row>
    <row r="44" spans="1:7">
      <c r="A44">
        <v>96</v>
      </c>
      <c r="B44">
        <v>389</v>
      </c>
      <c r="C44" s="1">
        <f>(Tabela1[[#This Row],[x]]-H$3)*(Tabela1[[#This Row],[x]]-H$3) +(Tabela1[[#This Row],[y]]-H$4)*(Tabela1[[#This Row],[y]]-H$4)</f>
        <v>46537</v>
      </c>
      <c r="D44" s="1">
        <f>IF(Tabela1[[#This Row],[promien]]&lt;40000,1,0)</f>
        <v>0</v>
      </c>
      <c r="E44" s="1">
        <f>IF(Tabela1[[#This Row],[promien]]=40000,1,0)</f>
        <v>0</v>
      </c>
      <c r="F44" s="1">
        <v>2.9090909090909092</v>
      </c>
      <c r="G44" s="1">
        <v>0.23250174449888394</v>
      </c>
    </row>
    <row r="45" spans="1:7">
      <c r="A45">
        <v>265</v>
      </c>
      <c r="B45">
        <v>311</v>
      </c>
      <c r="C45" s="1">
        <f>(Tabela1[[#This Row],[x]]-H$3)*(Tabela1[[#This Row],[x]]-H$3) +(Tabela1[[#This Row],[y]]-H$4)*(Tabela1[[#This Row],[y]]-H$4)</f>
        <v>16546</v>
      </c>
      <c r="D45" s="1">
        <f>IF(Tabela1[[#This Row],[promien]]&lt;40000,1,0)</f>
        <v>1</v>
      </c>
      <c r="E45" s="1">
        <f>IF(Tabela1[[#This Row],[promien]]=40000,1,0)</f>
        <v>0</v>
      </c>
      <c r="F45" s="1">
        <v>2.9333333333333331</v>
      </c>
      <c r="G45" s="1">
        <v>0.20825932025645999</v>
      </c>
    </row>
    <row r="46" spans="1:7">
      <c r="A46">
        <v>379</v>
      </c>
      <c r="B46">
        <v>1</v>
      </c>
      <c r="C46" s="1">
        <f>(Tabela1[[#This Row],[x]]-H$3)*(Tabela1[[#This Row],[x]]-H$3) +(Tabela1[[#This Row],[y]]-H$4)*(Tabela1[[#This Row],[y]]-H$4)</f>
        <v>71642</v>
      </c>
      <c r="D46" s="1">
        <f>IF(Tabela1[[#This Row],[promien]]&lt;40000,1,0)</f>
        <v>0</v>
      </c>
      <c r="E46" s="1">
        <f>IF(Tabela1[[#This Row],[promien]]=40000,1,0)</f>
        <v>0</v>
      </c>
      <c r="F46" s="1">
        <v>2.8695652173913042</v>
      </c>
      <c r="G46" s="1">
        <v>0.2720274361984889</v>
      </c>
    </row>
    <row r="47" spans="1:7">
      <c r="A47">
        <v>112</v>
      </c>
      <c r="B47">
        <v>185</v>
      </c>
      <c r="C47" s="1">
        <f>(Tabela1[[#This Row],[x]]-H$3)*(Tabela1[[#This Row],[x]]-H$3) +(Tabela1[[#This Row],[y]]-H$4)*(Tabela1[[#This Row],[y]]-H$4)</f>
        <v>7969</v>
      </c>
      <c r="D47" s="1">
        <f>IF(Tabela1[[#This Row],[promien]]&lt;40000,1,0)</f>
        <v>1</v>
      </c>
      <c r="E47" s="1">
        <f>IF(Tabela1[[#This Row],[promien]]=40000,1,0)</f>
        <v>0</v>
      </c>
      <c r="F47" s="1">
        <v>2.8936170212765959</v>
      </c>
      <c r="G47" s="1">
        <v>0.24797563231319719</v>
      </c>
    </row>
    <row r="48" spans="1:7">
      <c r="A48">
        <v>70</v>
      </c>
      <c r="B48">
        <v>96</v>
      </c>
      <c r="C48" s="1">
        <f>(Tabela1[[#This Row],[x]]-H$3)*(Tabela1[[#This Row],[x]]-H$3) +(Tabela1[[#This Row],[y]]-H$4)*(Tabela1[[#This Row],[y]]-H$4)</f>
        <v>27716</v>
      </c>
      <c r="D48" s="1">
        <f>IF(Tabela1[[#This Row],[promien]]&lt;40000,1,0)</f>
        <v>1</v>
      </c>
      <c r="E48" s="1">
        <f>IF(Tabela1[[#This Row],[promien]]=40000,1,0)</f>
        <v>0</v>
      </c>
      <c r="F48" s="1">
        <v>2.9166666666666665</v>
      </c>
      <c r="G48" s="1">
        <v>0.2249259869231266</v>
      </c>
    </row>
    <row r="49" spans="1:7">
      <c r="A49">
        <v>16</v>
      </c>
      <c r="B49">
        <v>111</v>
      </c>
      <c r="C49" s="1">
        <f>(Tabela1[[#This Row],[x]]-H$3)*(Tabela1[[#This Row],[x]]-H$3) +(Tabela1[[#This Row],[y]]-H$4)*(Tabela1[[#This Row],[y]]-H$4)</f>
        <v>41777</v>
      </c>
      <c r="D49" s="1">
        <f>IF(Tabela1[[#This Row],[promien]]&lt;40000,1,0)</f>
        <v>0</v>
      </c>
      <c r="E49" s="1">
        <f>IF(Tabela1[[#This Row],[promien]]=40000,1,0)</f>
        <v>0</v>
      </c>
      <c r="F49" s="1">
        <v>2.8571428571428572</v>
      </c>
      <c r="G49" s="1">
        <v>0.28444979644693591</v>
      </c>
    </row>
    <row r="50" spans="1:7">
      <c r="A50">
        <v>218</v>
      </c>
      <c r="B50">
        <v>263</v>
      </c>
      <c r="C50" s="1">
        <f>(Tabela1[[#This Row],[x]]-H$3)*(Tabela1[[#This Row],[x]]-H$3) +(Tabela1[[#This Row],[y]]-H$4)*(Tabela1[[#This Row],[y]]-H$4)</f>
        <v>4293</v>
      </c>
      <c r="D50" s="1">
        <f>IF(Tabela1[[#This Row],[promien]]&lt;40000,1,0)</f>
        <v>1</v>
      </c>
      <c r="E50" s="1">
        <f>IF(Tabela1[[#This Row],[promien]]=40000,1,0)</f>
        <v>0</v>
      </c>
      <c r="F50" s="1">
        <v>2.88</v>
      </c>
      <c r="G50" s="1">
        <v>0.26159265358979322</v>
      </c>
    </row>
    <row r="51" spans="1:7">
      <c r="A51">
        <v>28</v>
      </c>
      <c r="B51">
        <v>109</v>
      </c>
      <c r="C51" s="1">
        <f>(Tabela1[[#This Row],[x]]-H$3)*(Tabela1[[#This Row],[x]]-H$3) +(Tabela1[[#This Row],[y]]-H$4)*(Tabela1[[#This Row],[y]]-H$4)</f>
        <v>37865</v>
      </c>
      <c r="D51" s="1">
        <f>IF(Tabela1[[#This Row],[promien]]&lt;40000,1,0)</f>
        <v>1</v>
      </c>
      <c r="E51" s="1">
        <f>IF(Tabela1[[#This Row],[promien]]=40000,1,0)</f>
        <v>0</v>
      </c>
      <c r="F51" s="1">
        <v>2.9019607843137254</v>
      </c>
      <c r="G51" s="1">
        <v>0.23963186927606772</v>
      </c>
    </row>
    <row r="52" spans="1:7">
      <c r="A52">
        <v>271</v>
      </c>
      <c r="B52">
        <v>152</v>
      </c>
      <c r="C52" s="1">
        <f>(Tabela1[[#This Row],[x]]-H$3)*(Tabela1[[#This Row],[x]]-H$3) +(Tabela1[[#This Row],[y]]-H$4)*(Tabela1[[#This Row],[y]]-H$4)</f>
        <v>7345</v>
      </c>
      <c r="D52" s="1">
        <f>IF(Tabela1[[#This Row],[promien]]&lt;40000,1,0)</f>
        <v>1</v>
      </c>
      <c r="E52" s="1">
        <f>IF(Tabela1[[#This Row],[promien]]=40000,1,0)</f>
        <v>0</v>
      </c>
      <c r="F52" s="1">
        <v>2.9230769230769229</v>
      </c>
      <c r="G52" s="1">
        <v>0.21851573051287021</v>
      </c>
    </row>
    <row r="53" spans="1:7">
      <c r="A53">
        <v>373</v>
      </c>
      <c r="B53">
        <v>246</v>
      </c>
      <c r="C53" s="1">
        <f>(Tabela1[[#This Row],[x]]-H$3)*(Tabela1[[#This Row],[x]]-H$3) +(Tabela1[[#This Row],[y]]-H$4)*(Tabela1[[#This Row],[y]]-H$4)</f>
        <v>32045</v>
      </c>
      <c r="D53" s="1">
        <f>IF(Tabela1[[#This Row],[promien]]&lt;40000,1,0)</f>
        <v>1</v>
      </c>
      <c r="E53" s="1">
        <f>IF(Tabela1[[#This Row],[promien]]=40000,1,0)</f>
        <v>0</v>
      </c>
      <c r="F53" s="1">
        <v>2.9433962264150941</v>
      </c>
      <c r="G53" s="1">
        <v>0.19819642717469899</v>
      </c>
    </row>
    <row r="54" spans="1:7">
      <c r="A54">
        <v>220</v>
      </c>
      <c r="B54">
        <v>240</v>
      </c>
      <c r="C54" s="1">
        <f>(Tabela1[[#This Row],[x]]-H$3)*(Tabela1[[#This Row],[x]]-H$3) +(Tabela1[[#This Row],[y]]-H$4)*(Tabela1[[#This Row],[y]]-H$4)</f>
        <v>2000</v>
      </c>
      <c r="D54" s="1">
        <f>IF(Tabela1[[#This Row],[promien]]&lt;40000,1,0)</f>
        <v>1</v>
      </c>
      <c r="E54" s="1">
        <f>IF(Tabela1[[#This Row],[promien]]=40000,1,0)</f>
        <v>0</v>
      </c>
      <c r="F54" s="1">
        <v>2.9629629629629628</v>
      </c>
      <c r="G54" s="1">
        <v>0.17862969062683032</v>
      </c>
    </row>
    <row r="55" spans="1:7">
      <c r="A55">
        <v>120</v>
      </c>
      <c r="B55">
        <v>390</v>
      </c>
      <c r="C55" s="1">
        <f>(Tabela1[[#This Row],[x]]-H$3)*(Tabela1[[#This Row],[x]]-H$3) +(Tabela1[[#This Row],[y]]-H$4)*(Tabela1[[#This Row],[y]]-H$4)</f>
        <v>42500</v>
      </c>
      <c r="D55" s="1">
        <f>IF(Tabela1[[#This Row],[promien]]&lt;40000,1,0)</f>
        <v>0</v>
      </c>
      <c r="E55" s="1">
        <f>IF(Tabela1[[#This Row],[promien]]=40000,1,0)</f>
        <v>0</v>
      </c>
      <c r="F55" s="1">
        <v>2.9090909090909092</v>
      </c>
      <c r="G55" s="1">
        <v>0.23250174449888394</v>
      </c>
    </row>
    <row r="56" spans="1:7">
      <c r="A56">
        <v>192</v>
      </c>
      <c r="B56">
        <v>145</v>
      </c>
      <c r="C56" s="1">
        <f>(Tabela1[[#This Row],[x]]-H$3)*(Tabela1[[#This Row],[x]]-H$3) +(Tabela1[[#This Row],[y]]-H$4)*(Tabela1[[#This Row],[y]]-H$4)</f>
        <v>3089</v>
      </c>
      <c r="D56" s="1">
        <f>IF(Tabela1[[#This Row],[promien]]&lt;40000,1,0)</f>
        <v>1</v>
      </c>
      <c r="E56" s="1">
        <f>IF(Tabela1[[#This Row],[promien]]=40000,1,0)</f>
        <v>0</v>
      </c>
      <c r="F56" s="1">
        <v>2.9285714285714284</v>
      </c>
      <c r="G56" s="1">
        <v>0.21302122501836473</v>
      </c>
    </row>
    <row r="57" spans="1:7">
      <c r="A57">
        <v>37</v>
      </c>
      <c r="B57">
        <v>125</v>
      </c>
      <c r="C57" s="1">
        <f>(Tabela1[[#This Row],[x]]-H$3)*(Tabela1[[#This Row],[x]]-H$3) +(Tabela1[[#This Row],[y]]-H$4)*(Tabela1[[#This Row],[y]]-H$4)</f>
        <v>32194</v>
      </c>
      <c r="D57" s="1">
        <f>IF(Tabela1[[#This Row],[promien]]&lt;40000,1,0)</f>
        <v>1</v>
      </c>
      <c r="E57" s="1">
        <f>IF(Tabela1[[#This Row],[promien]]=40000,1,0)</f>
        <v>0</v>
      </c>
      <c r="F57" s="1">
        <v>2.9473684210526314</v>
      </c>
      <c r="G57" s="1">
        <v>0.1942242325371617</v>
      </c>
    </row>
    <row r="58" spans="1:7">
      <c r="A58">
        <v>280</v>
      </c>
      <c r="B58">
        <v>159</v>
      </c>
      <c r="C58" s="1">
        <f>(Tabela1[[#This Row],[x]]-H$3)*(Tabela1[[#This Row],[x]]-H$3) +(Tabela1[[#This Row],[y]]-H$4)*(Tabela1[[#This Row],[y]]-H$4)</f>
        <v>8081</v>
      </c>
      <c r="D58" s="1">
        <f>IF(Tabela1[[#This Row],[promien]]&lt;40000,1,0)</f>
        <v>1</v>
      </c>
      <c r="E58" s="1">
        <f>IF(Tabela1[[#This Row],[promien]]=40000,1,0)</f>
        <v>0</v>
      </c>
      <c r="F58" s="1">
        <v>2.9655172413793105</v>
      </c>
      <c r="G58" s="1">
        <v>0.17607541221048262</v>
      </c>
    </row>
    <row r="59" spans="1:7">
      <c r="A59">
        <v>306</v>
      </c>
      <c r="B59">
        <v>319</v>
      </c>
      <c r="C59" s="1">
        <f>(Tabela1[[#This Row],[x]]-H$3)*(Tabela1[[#This Row],[x]]-H$3) +(Tabela1[[#This Row],[y]]-H$4)*(Tabela1[[#This Row],[y]]-H$4)</f>
        <v>25397</v>
      </c>
      <c r="D59" s="1">
        <f>IF(Tabela1[[#This Row],[promien]]&lt;40000,1,0)</f>
        <v>1</v>
      </c>
      <c r="E59" s="1">
        <f>IF(Tabela1[[#This Row],[promien]]=40000,1,0)</f>
        <v>0</v>
      </c>
      <c r="F59" s="1">
        <v>2.9830508474576272</v>
      </c>
      <c r="G59" s="1">
        <v>0.15854180613216595</v>
      </c>
    </row>
    <row r="60" spans="1:7">
      <c r="A60">
        <v>118</v>
      </c>
      <c r="B60">
        <v>298</v>
      </c>
      <c r="C60" s="1">
        <f>(Tabela1[[#This Row],[x]]-H$3)*(Tabela1[[#This Row],[x]]-H$3) +(Tabela1[[#This Row],[y]]-H$4)*(Tabela1[[#This Row],[y]]-H$4)</f>
        <v>16328</v>
      </c>
      <c r="D60" s="1">
        <f>IF(Tabela1[[#This Row],[promien]]&lt;40000,1,0)</f>
        <v>1</v>
      </c>
      <c r="E60" s="1">
        <f>IF(Tabela1[[#This Row],[promien]]=40000,1,0)</f>
        <v>0</v>
      </c>
      <c r="F60" s="1">
        <v>3</v>
      </c>
      <c r="G60" s="1">
        <v>0.14159265358979312</v>
      </c>
    </row>
    <row r="61" spans="1:7">
      <c r="A61">
        <v>192</v>
      </c>
      <c r="B61">
        <v>38</v>
      </c>
      <c r="C61" s="1">
        <f>(Tabela1[[#This Row],[x]]-H$3)*(Tabela1[[#This Row],[x]]-H$3) +(Tabela1[[#This Row],[y]]-H$4)*(Tabela1[[#This Row],[y]]-H$4)</f>
        <v>26308</v>
      </c>
      <c r="D61" s="1">
        <f>IF(Tabela1[[#This Row],[promien]]&lt;40000,1,0)</f>
        <v>1</v>
      </c>
      <c r="E61" s="1">
        <f>IF(Tabela1[[#This Row],[promien]]=40000,1,0)</f>
        <v>0</v>
      </c>
      <c r="F61" s="1">
        <v>3.0163934426229506</v>
      </c>
      <c r="G61" s="1">
        <v>0.1251992109668425</v>
      </c>
    </row>
    <row r="62" spans="1:7">
      <c r="A62">
        <v>171</v>
      </c>
      <c r="B62">
        <v>45</v>
      </c>
      <c r="C62" s="1">
        <f>(Tabela1[[#This Row],[x]]-H$3)*(Tabela1[[#This Row],[x]]-H$3) +(Tabela1[[#This Row],[y]]-H$4)*(Tabela1[[#This Row],[y]]-H$4)</f>
        <v>24866</v>
      </c>
      <c r="D62" s="1">
        <f>IF(Tabela1[[#This Row],[promien]]&lt;40000,1,0)</f>
        <v>1</v>
      </c>
      <c r="E62" s="1">
        <f>IF(Tabela1[[#This Row],[promien]]=40000,1,0)</f>
        <v>0</v>
      </c>
      <c r="F62" s="1">
        <v>3.032258064516129</v>
      </c>
      <c r="G62" s="1">
        <v>0.10933458907366411</v>
      </c>
    </row>
    <row r="63" spans="1:7">
      <c r="A63">
        <v>31</v>
      </c>
      <c r="B63">
        <v>278</v>
      </c>
      <c r="C63" s="1">
        <f>(Tabela1[[#This Row],[x]]-H$3)*(Tabela1[[#This Row],[x]]-H$3) +(Tabela1[[#This Row],[y]]-H$4)*(Tabela1[[#This Row],[y]]-H$4)</f>
        <v>34645</v>
      </c>
      <c r="D63" s="1">
        <f>IF(Tabela1[[#This Row],[promien]]&lt;40000,1,0)</f>
        <v>1</v>
      </c>
      <c r="E63" s="1">
        <f>IF(Tabela1[[#This Row],[promien]]=40000,1,0)</f>
        <v>0</v>
      </c>
      <c r="F63" s="1">
        <v>3.0476190476190474</v>
      </c>
      <c r="G63" s="1">
        <v>9.3973605970745666E-2</v>
      </c>
    </row>
    <row r="64" spans="1:7">
      <c r="A64">
        <v>233</v>
      </c>
      <c r="B64">
        <v>121</v>
      </c>
      <c r="C64" s="1">
        <f>(Tabela1[[#This Row],[x]]-H$3)*(Tabela1[[#This Row],[x]]-H$3) +(Tabela1[[#This Row],[y]]-H$4)*(Tabela1[[#This Row],[y]]-H$4)</f>
        <v>7330</v>
      </c>
      <c r="D64" s="1">
        <f>IF(Tabela1[[#This Row],[promien]]&lt;40000,1,0)</f>
        <v>1</v>
      </c>
      <c r="E64" s="1">
        <f>IF(Tabela1[[#This Row],[promien]]=40000,1,0)</f>
        <v>0</v>
      </c>
      <c r="F64" s="1">
        <v>3.0625</v>
      </c>
      <c r="G64" s="1">
        <v>7.9092653589793116E-2</v>
      </c>
    </row>
    <row r="65" spans="1:7">
      <c r="A65">
        <v>392</v>
      </c>
      <c r="B65">
        <v>254</v>
      </c>
      <c r="C65" s="1">
        <f>(Tabela1[[#This Row],[x]]-H$3)*(Tabela1[[#This Row],[x]]-H$3) +(Tabela1[[#This Row],[y]]-H$4)*(Tabela1[[#This Row],[y]]-H$4)</f>
        <v>39780</v>
      </c>
      <c r="D65" s="1">
        <f>IF(Tabela1[[#This Row],[promien]]&lt;40000,1,0)</f>
        <v>1</v>
      </c>
      <c r="E65" s="1">
        <f>IF(Tabela1[[#This Row],[promien]]=40000,1,0)</f>
        <v>0</v>
      </c>
      <c r="F65" s="1">
        <v>3.0769230769230771</v>
      </c>
      <c r="G65" s="1">
        <v>6.4669576666716022E-2</v>
      </c>
    </row>
    <row r="66" spans="1:7">
      <c r="A66">
        <v>215</v>
      </c>
      <c r="B66">
        <v>381</v>
      </c>
      <c r="C66" s="1">
        <f>(Tabela1[[#This Row],[x]]-H$3)*(Tabela1[[#This Row],[x]]-H$3) +(Tabela1[[#This Row],[y]]-H$4)*(Tabela1[[#This Row],[y]]-H$4)</f>
        <v>32986</v>
      </c>
      <c r="D66" s="1">
        <f>IF(Tabela1[[#This Row],[promien]]&lt;40000,1,0)</f>
        <v>1</v>
      </c>
      <c r="E66" s="1">
        <f>IF(Tabela1[[#This Row],[promien]]=40000,1,0)</f>
        <v>0</v>
      </c>
      <c r="F66" s="1">
        <v>3.0909090909090908</v>
      </c>
      <c r="G66" s="1">
        <v>5.0683562680702288E-2</v>
      </c>
    </row>
    <row r="67" spans="1:7">
      <c r="A67">
        <v>89</v>
      </c>
      <c r="B67">
        <v>280</v>
      </c>
      <c r="C67" s="1">
        <f>(Tabela1[[#This Row],[x]]-H$3)*(Tabela1[[#This Row],[x]]-H$3) +(Tabela1[[#This Row],[y]]-H$4)*(Tabela1[[#This Row],[y]]-H$4)</f>
        <v>18721</v>
      </c>
      <c r="D67" s="1">
        <f>IF(Tabela1[[#This Row],[promien]]&lt;40000,1,0)</f>
        <v>1</v>
      </c>
      <c r="E67" s="1">
        <f>IF(Tabela1[[#This Row],[promien]]=40000,1,0)</f>
        <v>0</v>
      </c>
      <c r="F67" s="1">
        <v>3.1044776119402986</v>
      </c>
      <c r="G67" s="1">
        <v>3.7115041649494529E-2</v>
      </c>
    </row>
    <row r="68" spans="1:7">
      <c r="A68">
        <v>135</v>
      </c>
      <c r="B68">
        <v>267</v>
      </c>
      <c r="C68" s="1">
        <f>(Tabela1[[#This Row],[x]]-H$3)*(Tabela1[[#This Row],[x]]-H$3) +(Tabela1[[#This Row],[y]]-H$4)*(Tabela1[[#This Row],[y]]-H$4)</f>
        <v>8714</v>
      </c>
      <c r="D68" s="1">
        <f>IF(Tabela1[[#This Row],[promien]]&lt;40000,1,0)</f>
        <v>1</v>
      </c>
      <c r="E68" s="1">
        <f>IF(Tabela1[[#This Row],[promien]]=40000,1,0)</f>
        <v>0</v>
      </c>
      <c r="F68" s="1">
        <v>3.1176470588235294</v>
      </c>
      <c r="G68" s="1">
        <v>2.3945594766263678E-2</v>
      </c>
    </row>
    <row r="69" spans="1:7">
      <c r="A69">
        <v>116</v>
      </c>
      <c r="B69">
        <v>388</v>
      </c>
      <c r="C69" s="1">
        <f>(Tabela1[[#This Row],[x]]-H$3)*(Tabela1[[#This Row],[x]]-H$3) +(Tabela1[[#This Row],[y]]-H$4)*(Tabela1[[#This Row],[y]]-H$4)</f>
        <v>42400</v>
      </c>
      <c r="D69" s="1">
        <f>IF(Tabela1[[#This Row],[promien]]&lt;40000,1,0)</f>
        <v>0</v>
      </c>
      <c r="E69" s="1">
        <f>IF(Tabela1[[#This Row],[promien]]=40000,1,0)</f>
        <v>0</v>
      </c>
      <c r="F69" s="1">
        <v>3.0724637681159419</v>
      </c>
      <c r="G69" s="1">
        <v>6.9128885473851209E-2</v>
      </c>
    </row>
    <row r="70" spans="1:7">
      <c r="A70">
        <v>46</v>
      </c>
      <c r="B70">
        <v>294</v>
      </c>
      <c r="C70" s="1">
        <f>(Tabela1[[#This Row],[x]]-H$3)*(Tabela1[[#This Row],[x]]-H$3) +(Tabela1[[#This Row],[y]]-H$4)*(Tabela1[[#This Row],[y]]-H$4)</f>
        <v>32552</v>
      </c>
      <c r="D70" s="1">
        <f>IF(Tabela1[[#This Row],[promien]]&lt;40000,1,0)</f>
        <v>1</v>
      </c>
      <c r="E70" s="1">
        <f>IF(Tabela1[[#This Row],[promien]]=40000,1,0)</f>
        <v>0</v>
      </c>
      <c r="F70" s="1">
        <v>3.0857142857142859</v>
      </c>
      <c r="G70" s="1">
        <v>5.5878367875507262E-2</v>
      </c>
    </row>
    <row r="71" spans="1:7">
      <c r="A71">
        <v>282</v>
      </c>
      <c r="B71">
        <v>112</v>
      </c>
      <c r="C71" s="1">
        <f>(Tabela1[[#This Row],[x]]-H$3)*(Tabela1[[#This Row],[x]]-H$3) +(Tabela1[[#This Row],[y]]-H$4)*(Tabela1[[#This Row],[y]]-H$4)</f>
        <v>14468</v>
      </c>
      <c r="D71" s="1">
        <f>IF(Tabela1[[#This Row],[promien]]&lt;40000,1,0)</f>
        <v>1</v>
      </c>
      <c r="E71" s="1">
        <f>IF(Tabela1[[#This Row],[promien]]=40000,1,0)</f>
        <v>0</v>
      </c>
      <c r="F71" s="1">
        <v>3.0985915492957745</v>
      </c>
      <c r="G71" s="1">
        <v>4.3001104294018599E-2</v>
      </c>
    </row>
    <row r="72" spans="1:7">
      <c r="A72">
        <v>0</v>
      </c>
      <c r="B72">
        <v>78</v>
      </c>
      <c r="C72" s="1">
        <f>(Tabela1[[#This Row],[x]]-H$3)*(Tabela1[[#This Row],[x]]-H$3) +(Tabela1[[#This Row],[y]]-H$4)*(Tabela1[[#This Row],[y]]-H$4)</f>
        <v>54884</v>
      </c>
      <c r="D72" s="1">
        <f>IF(Tabela1[[#This Row],[promien]]&lt;40000,1,0)</f>
        <v>0</v>
      </c>
      <c r="E72" s="1">
        <f>IF(Tabela1[[#This Row],[promien]]=40000,1,0)</f>
        <v>0</v>
      </c>
      <c r="F72" s="1">
        <v>3.0555555555555554</v>
      </c>
      <c r="G72" s="1">
        <v>8.6037098034237758E-2</v>
      </c>
    </row>
    <row r="73" spans="1:7">
      <c r="A73">
        <v>13</v>
      </c>
      <c r="B73">
        <v>243</v>
      </c>
      <c r="C73" s="1">
        <f>(Tabela1[[#This Row],[x]]-H$3)*(Tabela1[[#This Row],[x]]-H$3) +(Tabela1[[#This Row],[y]]-H$4)*(Tabela1[[#This Row],[y]]-H$4)</f>
        <v>36818</v>
      </c>
      <c r="D73" s="1">
        <f>IF(Tabela1[[#This Row],[promien]]&lt;40000,1,0)</f>
        <v>1</v>
      </c>
      <c r="E73" s="1">
        <f>IF(Tabela1[[#This Row],[promien]]=40000,1,0)</f>
        <v>0</v>
      </c>
      <c r="F73" s="1">
        <v>3.0684931506849313</v>
      </c>
      <c r="G73" s="1">
        <v>7.3099502904861779E-2</v>
      </c>
    </row>
    <row r="74" spans="1:7">
      <c r="A74">
        <v>378</v>
      </c>
      <c r="B74">
        <v>93</v>
      </c>
      <c r="C74" s="1">
        <f>(Tabela1[[#This Row],[x]]-H$3)*(Tabela1[[#This Row],[x]]-H$3) +(Tabela1[[#This Row],[y]]-H$4)*(Tabela1[[#This Row],[y]]-H$4)</f>
        <v>43133</v>
      </c>
      <c r="D74" s="1">
        <f>IF(Tabela1[[#This Row],[promien]]&lt;40000,1,0)</f>
        <v>0</v>
      </c>
      <c r="E74" s="1">
        <f>IF(Tabela1[[#This Row],[promien]]=40000,1,0)</f>
        <v>0</v>
      </c>
      <c r="F74" s="1">
        <v>3.0270270270270272</v>
      </c>
      <c r="G74" s="1">
        <v>0.11456562656276592</v>
      </c>
    </row>
    <row r="75" spans="1:7">
      <c r="A75">
        <v>195</v>
      </c>
      <c r="B75">
        <v>123</v>
      </c>
      <c r="C75" s="1">
        <f>(Tabela1[[#This Row],[x]]-H$3)*(Tabela1[[#This Row],[x]]-H$3) +(Tabela1[[#This Row],[y]]-H$4)*(Tabela1[[#This Row],[y]]-H$4)</f>
        <v>5954</v>
      </c>
      <c r="D75" s="1">
        <f>IF(Tabela1[[#This Row],[promien]]&lt;40000,1,0)</f>
        <v>1</v>
      </c>
      <c r="E75" s="1">
        <f>IF(Tabela1[[#This Row],[promien]]=40000,1,0)</f>
        <v>0</v>
      </c>
      <c r="F75" s="1">
        <v>3.04</v>
      </c>
      <c r="G75" s="1">
        <v>0.10159265358979308</v>
      </c>
    </row>
    <row r="76" spans="1:7">
      <c r="A76">
        <v>70</v>
      </c>
      <c r="B76">
        <v>175</v>
      </c>
      <c r="C76" s="1">
        <f>(Tabela1[[#This Row],[x]]-H$3)*(Tabela1[[#This Row],[x]]-H$3) +(Tabela1[[#This Row],[y]]-H$4)*(Tabela1[[#This Row],[y]]-H$4)</f>
        <v>17525</v>
      </c>
      <c r="D76" s="1">
        <f>IF(Tabela1[[#This Row],[promien]]&lt;40000,1,0)</f>
        <v>1</v>
      </c>
      <c r="E76" s="1">
        <f>IF(Tabela1[[#This Row],[promien]]=40000,1,0)</f>
        <v>0</v>
      </c>
      <c r="F76" s="1">
        <v>3.0526315789473686</v>
      </c>
      <c r="G76" s="1">
        <v>8.8961074642424531E-2</v>
      </c>
    </row>
    <row r="77" spans="1:7">
      <c r="A77">
        <v>317</v>
      </c>
      <c r="B77">
        <v>130</v>
      </c>
      <c r="C77" s="1">
        <f>(Tabela1[[#This Row],[x]]-H$3)*(Tabela1[[#This Row],[x]]-H$3) +(Tabela1[[#This Row],[y]]-H$4)*(Tabela1[[#This Row],[y]]-H$4)</f>
        <v>18589</v>
      </c>
      <c r="D77" s="1">
        <f>IF(Tabela1[[#This Row],[promien]]&lt;40000,1,0)</f>
        <v>1</v>
      </c>
      <c r="E77" s="1">
        <f>IF(Tabela1[[#This Row],[promien]]=40000,1,0)</f>
        <v>0</v>
      </c>
      <c r="F77" s="1">
        <v>3.0649350649350651</v>
      </c>
      <c r="G77" s="1">
        <v>7.6657588654728048E-2</v>
      </c>
    </row>
    <row r="78" spans="1:7">
      <c r="A78">
        <v>166</v>
      </c>
      <c r="B78">
        <v>350</v>
      </c>
      <c r="C78" s="1">
        <f>(Tabela1[[#This Row],[x]]-H$3)*(Tabela1[[#This Row],[x]]-H$3) +(Tabela1[[#This Row],[y]]-H$4)*(Tabela1[[#This Row],[y]]-H$4)</f>
        <v>23656</v>
      </c>
      <c r="D78" s="1">
        <f>IF(Tabela1[[#This Row],[promien]]&lt;40000,1,0)</f>
        <v>1</v>
      </c>
      <c r="E78" s="1">
        <f>IF(Tabela1[[#This Row],[promien]]=40000,1,0)</f>
        <v>0</v>
      </c>
      <c r="F78" s="1">
        <v>3.0769230769230771</v>
      </c>
      <c r="G78" s="1">
        <v>6.4669576666716022E-2</v>
      </c>
    </row>
    <row r="79" spans="1:7">
      <c r="A79">
        <v>161</v>
      </c>
      <c r="B79">
        <v>18</v>
      </c>
      <c r="C79" s="1">
        <f>(Tabela1[[#This Row],[x]]-H$3)*(Tabela1[[#This Row],[x]]-H$3) +(Tabela1[[#This Row],[y]]-H$4)*(Tabela1[[#This Row],[y]]-H$4)</f>
        <v>34645</v>
      </c>
      <c r="D79" s="1">
        <f>IF(Tabela1[[#This Row],[promien]]&lt;40000,1,0)</f>
        <v>1</v>
      </c>
      <c r="E79" s="1">
        <f>IF(Tabela1[[#This Row],[promien]]=40000,1,0)</f>
        <v>0</v>
      </c>
      <c r="F79" s="1">
        <v>3.0886075949367089</v>
      </c>
      <c r="G79" s="1">
        <v>5.2985058653084227E-2</v>
      </c>
    </row>
    <row r="80" spans="1:7">
      <c r="A80">
        <v>383</v>
      </c>
      <c r="B80">
        <v>169</v>
      </c>
      <c r="C80" s="1">
        <f>(Tabela1[[#This Row],[x]]-H$3)*(Tabela1[[#This Row],[x]]-H$3) +(Tabela1[[#This Row],[y]]-H$4)*(Tabela1[[#This Row],[y]]-H$4)</f>
        <v>34450</v>
      </c>
      <c r="D80" s="1">
        <f>IF(Tabela1[[#This Row],[promien]]&lt;40000,1,0)</f>
        <v>1</v>
      </c>
      <c r="E80" s="1">
        <f>IF(Tabela1[[#This Row],[promien]]=40000,1,0)</f>
        <v>0</v>
      </c>
      <c r="F80" s="1">
        <v>3.1</v>
      </c>
      <c r="G80" s="1">
        <v>4.1592653589793027E-2</v>
      </c>
    </row>
    <row r="81" spans="1:7">
      <c r="A81">
        <v>107</v>
      </c>
      <c r="B81">
        <v>89</v>
      </c>
      <c r="C81" s="1">
        <f>(Tabela1[[#This Row],[x]]-H$3)*(Tabela1[[#This Row],[x]]-H$3) +(Tabela1[[#This Row],[y]]-H$4)*(Tabela1[[#This Row],[y]]-H$4)</f>
        <v>20970</v>
      </c>
      <c r="D81" s="1">
        <f>IF(Tabela1[[#This Row],[promien]]&lt;40000,1,0)</f>
        <v>1</v>
      </c>
      <c r="E81" s="1">
        <f>IF(Tabela1[[#This Row],[promien]]=40000,1,0)</f>
        <v>0</v>
      </c>
      <c r="F81" s="1">
        <v>3.1111111111111112</v>
      </c>
      <c r="G81" s="1">
        <v>3.0481542478681956E-2</v>
      </c>
    </row>
    <row r="82" spans="1:7">
      <c r="A82">
        <v>122</v>
      </c>
      <c r="B82">
        <v>388</v>
      </c>
      <c r="C82" s="1">
        <f>(Tabela1[[#This Row],[x]]-H$3)*(Tabela1[[#This Row],[x]]-H$3) +(Tabela1[[#This Row],[y]]-H$4)*(Tabela1[[#This Row],[y]]-H$4)</f>
        <v>41428</v>
      </c>
      <c r="D82" s="1">
        <f>IF(Tabela1[[#This Row],[promien]]&lt;40000,1,0)</f>
        <v>0</v>
      </c>
      <c r="E82" s="1">
        <f>IF(Tabela1[[#This Row],[promien]]=40000,1,0)</f>
        <v>0</v>
      </c>
      <c r="F82" s="1">
        <v>3.0731707317073171</v>
      </c>
      <c r="G82" s="1">
        <v>6.8421921882475978E-2</v>
      </c>
    </row>
    <row r="83" spans="1:7">
      <c r="A83">
        <v>204</v>
      </c>
      <c r="B83">
        <v>231</v>
      </c>
      <c r="C83" s="1">
        <f>(Tabela1[[#This Row],[x]]-H$3)*(Tabela1[[#This Row],[x]]-H$3) +(Tabela1[[#This Row],[y]]-H$4)*(Tabela1[[#This Row],[y]]-H$4)</f>
        <v>977</v>
      </c>
      <c r="D83" s="1">
        <f>IF(Tabela1[[#This Row],[promien]]&lt;40000,1,0)</f>
        <v>1</v>
      </c>
      <c r="E83" s="1">
        <f>IF(Tabela1[[#This Row],[promien]]=40000,1,0)</f>
        <v>0</v>
      </c>
      <c r="F83" s="1">
        <v>3.0843373493975905</v>
      </c>
      <c r="G83" s="1">
        <v>5.7255304192202594E-2</v>
      </c>
    </row>
    <row r="84" spans="1:7">
      <c r="A84">
        <v>147</v>
      </c>
      <c r="B84">
        <v>354</v>
      </c>
      <c r="C84" s="1">
        <f>(Tabela1[[#This Row],[x]]-H$3)*(Tabela1[[#This Row],[x]]-H$3) +(Tabela1[[#This Row],[y]]-H$4)*(Tabela1[[#This Row],[y]]-H$4)</f>
        <v>26525</v>
      </c>
      <c r="D84" s="1">
        <f>IF(Tabela1[[#This Row],[promien]]&lt;40000,1,0)</f>
        <v>1</v>
      </c>
      <c r="E84" s="1">
        <f>IF(Tabela1[[#This Row],[promien]]=40000,1,0)</f>
        <v>0</v>
      </c>
      <c r="F84" s="1">
        <v>3.0952380952380953</v>
      </c>
      <c r="G84" s="1">
        <v>4.6354558351697772E-2</v>
      </c>
    </row>
    <row r="85" spans="1:7">
      <c r="A85">
        <v>99</v>
      </c>
      <c r="B85">
        <v>60</v>
      </c>
      <c r="C85" s="1">
        <f>(Tabela1[[#This Row],[x]]-H$3)*(Tabela1[[#This Row],[x]]-H$3) +(Tabela1[[#This Row],[y]]-H$4)*(Tabela1[[#This Row],[y]]-H$4)</f>
        <v>29801</v>
      </c>
      <c r="D85" s="1">
        <f>IF(Tabela1[[#This Row],[promien]]&lt;40000,1,0)</f>
        <v>1</v>
      </c>
      <c r="E85" s="1">
        <f>IF(Tabela1[[#This Row],[promien]]=40000,1,0)</f>
        <v>0</v>
      </c>
      <c r="F85" s="1">
        <v>3.1058823529411765</v>
      </c>
      <c r="G85" s="1">
        <v>3.5710300648616577E-2</v>
      </c>
    </row>
    <row r="86" spans="1:7">
      <c r="A86">
        <v>370</v>
      </c>
      <c r="B86">
        <v>297</v>
      </c>
      <c r="C86" s="1">
        <f>(Tabela1[[#This Row],[x]]-H$3)*(Tabela1[[#This Row],[x]]-H$3) +(Tabela1[[#This Row],[y]]-H$4)*(Tabela1[[#This Row],[y]]-H$4)</f>
        <v>38309</v>
      </c>
      <c r="D86" s="1">
        <f>IF(Tabela1[[#This Row],[promien]]&lt;40000,1,0)</f>
        <v>1</v>
      </c>
      <c r="E86" s="1">
        <f>IF(Tabela1[[#This Row],[promien]]=40000,1,0)</f>
        <v>0</v>
      </c>
      <c r="F86" s="1">
        <v>3.1162790697674421</v>
      </c>
      <c r="G86" s="1">
        <v>2.5313583822351049E-2</v>
      </c>
    </row>
    <row r="87" spans="1:7">
      <c r="A87">
        <v>23</v>
      </c>
      <c r="B87">
        <v>280</v>
      </c>
      <c r="C87" s="1">
        <f>(Tabela1[[#This Row],[x]]-H$3)*(Tabela1[[#This Row],[x]]-H$3) +(Tabela1[[#This Row],[y]]-H$4)*(Tabela1[[#This Row],[y]]-H$4)</f>
        <v>37729</v>
      </c>
      <c r="D87" s="1">
        <f>IF(Tabela1[[#This Row],[promien]]&lt;40000,1,0)</f>
        <v>1</v>
      </c>
      <c r="E87" s="1">
        <f>IF(Tabela1[[#This Row],[promien]]=40000,1,0)</f>
        <v>0</v>
      </c>
      <c r="F87" s="1">
        <v>3.1264367816091956</v>
      </c>
      <c r="G87" s="1">
        <v>1.5155871980597535E-2</v>
      </c>
    </row>
    <row r="88" spans="1:7">
      <c r="A88">
        <v>238</v>
      </c>
      <c r="B88">
        <v>278</v>
      </c>
      <c r="C88" s="1">
        <f>(Tabela1[[#This Row],[x]]-H$3)*(Tabela1[[#This Row],[x]]-H$3) +(Tabela1[[#This Row],[y]]-H$4)*(Tabela1[[#This Row],[y]]-H$4)</f>
        <v>7528</v>
      </c>
      <c r="D88" s="1">
        <f>IF(Tabela1[[#This Row],[promien]]&lt;40000,1,0)</f>
        <v>1</v>
      </c>
      <c r="E88" s="1">
        <f>IF(Tabela1[[#This Row],[promien]]=40000,1,0)</f>
        <v>0</v>
      </c>
      <c r="F88" s="1">
        <v>3.1363636363636362</v>
      </c>
      <c r="G88" s="1">
        <v>5.2290172261568735E-3</v>
      </c>
    </row>
    <row r="89" spans="1:7">
      <c r="A89">
        <v>234</v>
      </c>
      <c r="B89">
        <v>168</v>
      </c>
      <c r="C89" s="1">
        <f>(Tabela1[[#This Row],[x]]-H$3)*(Tabela1[[#This Row],[x]]-H$3) +(Tabela1[[#This Row],[y]]-H$4)*(Tabela1[[#This Row],[y]]-H$4)</f>
        <v>2180</v>
      </c>
      <c r="D89" s="1">
        <f>IF(Tabela1[[#This Row],[promien]]&lt;40000,1,0)</f>
        <v>1</v>
      </c>
      <c r="E89" s="1">
        <f>IF(Tabela1[[#This Row],[promien]]=40000,1,0)</f>
        <v>0</v>
      </c>
      <c r="F89" s="1">
        <v>3.1460674157303372</v>
      </c>
      <c r="G89" s="1">
        <v>4.4747621405440974E-3</v>
      </c>
    </row>
    <row r="90" spans="1:7">
      <c r="A90">
        <v>254</v>
      </c>
      <c r="B90">
        <v>230</v>
      </c>
      <c r="C90" s="1">
        <f>(Tabela1[[#This Row],[x]]-H$3)*(Tabela1[[#This Row],[x]]-H$3) +(Tabela1[[#This Row],[y]]-H$4)*(Tabela1[[#This Row],[y]]-H$4)</f>
        <v>3816</v>
      </c>
      <c r="D90" s="1">
        <f>IF(Tabela1[[#This Row],[promien]]&lt;40000,1,0)</f>
        <v>1</v>
      </c>
      <c r="E90" s="1">
        <f>IF(Tabela1[[#This Row],[promien]]=40000,1,0)</f>
        <v>0</v>
      </c>
      <c r="F90" s="1">
        <v>3.1555555555555554</v>
      </c>
      <c r="G90" s="1">
        <v>1.3962901965762331E-2</v>
      </c>
    </row>
    <row r="91" spans="1:7">
      <c r="A91">
        <v>78</v>
      </c>
      <c r="B91">
        <v>393</v>
      </c>
      <c r="C91" s="1">
        <f>(Tabela1[[#This Row],[x]]-H$3)*(Tabela1[[#This Row],[x]]-H$3) +(Tabela1[[#This Row],[y]]-H$4)*(Tabela1[[#This Row],[y]]-H$4)</f>
        <v>52133</v>
      </c>
      <c r="D91" s="1">
        <f>IF(Tabela1[[#This Row],[promien]]&lt;40000,1,0)</f>
        <v>0</v>
      </c>
      <c r="E91" s="1">
        <f>IF(Tabela1[[#This Row],[promien]]=40000,1,0)</f>
        <v>0</v>
      </c>
      <c r="F91" s="1">
        <v>3.1208791208791209</v>
      </c>
      <c r="G91" s="1">
        <v>2.0713532710672222E-2</v>
      </c>
    </row>
    <row r="92" spans="1:7">
      <c r="A92">
        <v>211</v>
      </c>
      <c r="B92">
        <v>181</v>
      </c>
      <c r="C92" s="1">
        <f>(Tabela1[[#This Row],[x]]-H$3)*(Tabela1[[#This Row],[x]]-H$3) +(Tabela1[[#This Row],[y]]-H$4)*(Tabela1[[#This Row],[y]]-H$4)</f>
        <v>482</v>
      </c>
      <c r="D92" s="1">
        <f>IF(Tabela1[[#This Row],[promien]]&lt;40000,1,0)</f>
        <v>1</v>
      </c>
      <c r="E92" s="1">
        <f>IF(Tabela1[[#This Row],[promien]]=40000,1,0)</f>
        <v>0</v>
      </c>
      <c r="F92" s="1">
        <v>3.1304347826086958</v>
      </c>
      <c r="G92" s="1">
        <v>1.1157870981097329E-2</v>
      </c>
    </row>
    <row r="93" spans="1:7">
      <c r="A93">
        <v>314</v>
      </c>
      <c r="B93">
        <v>261</v>
      </c>
      <c r="C93" s="1">
        <f>(Tabela1[[#This Row],[x]]-H$3)*(Tabela1[[#This Row],[x]]-H$3) +(Tabela1[[#This Row],[y]]-H$4)*(Tabela1[[#This Row],[y]]-H$4)</f>
        <v>16717</v>
      </c>
      <c r="D93" s="1">
        <f>IF(Tabela1[[#This Row],[promien]]&lt;40000,1,0)</f>
        <v>1</v>
      </c>
      <c r="E93" s="1">
        <f>IF(Tabela1[[#This Row],[promien]]=40000,1,0)</f>
        <v>0</v>
      </c>
      <c r="F93" s="1">
        <v>3.139784946236559</v>
      </c>
      <c r="G93" s="1">
        <v>1.8077073532341004E-3</v>
      </c>
    </row>
    <row r="94" spans="1:7">
      <c r="A94">
        <v>52</v>
      </c>
      <c r="B94">
        <v>223</v>
      </c>
      <c r="C94" s="1">
        <f>(Tabela1[[#This Row],[x]]-H$3)*(Tabela1[[#This Row],[x]]-H$3) +(Tabela1[[#This Row],[y]]-H$4)*(Tabela1[[#This Row],[y]]-H$4)</f>
        <v>22433</v>
      </c>
      <c r="D94" s="1">
        <f>IF(Tabela1[[#This Row],[promien]]&lt;40000,1,0)</f>
        <v>1</v>
      </c>
      <c r="E94" s="1">
        <f>IF(Tabela1[[#This Row],[promien]]=40000,1,0)</f>
        <v>0</v>
      </c>
      <c r="F94" s="1">
        <v>3.1489361702127661</v>
      </c>
      <c r="G94" s="1">
        <v>7.3435166229729454E-3</v>
      </c>
    </row>
    <row r="95" spans="1:7">
      <c r="A95">
        <v>92</v>
      </c>
      <c r="B95">
        <v>197</v>
      </c>
      <c r="C95" s="1">
        <f>(Tabela1[[#This Row],[x]]-H$3)*(Tabela1[[#This Row],[x]]-H$3) +(Tabela1[[#This Row],[y]]-H$4)*(Tabela1[[#This Row],[y]]-H$4)</f>
        <v>11673</v>
      </c>
      <c r="D95" s="1">
        <f>IF(Tabela1[[#This Row],[promien]]&lt;40000,1,0)</f>
        <v>1</v>
      </c>
      <c r="E95" s="1">
        <f>IF(Tabela1[[#This Row],[promien]]=40000,1,0)</f>
        <v>0</v>
      </c>
      <c r="F95" s="1">
        <v>3.1578947368421053</v>
      </c>
      <c r="G95" s="1">
        <v>1.6302083252312194E-2</v>
      </c>
    </row>
    <row r="96" spans="1:7">
      <c r="A96">
        <v>317</v>
      </c>
      <c r="B96">
        <v>330</v>
      </c>
      <c r="C96" s="1">
        <f>(Tabela1[[#This Row],[x]]-H$3)*(Tabela1[[#This Row],[x]]-H$3) +(Tabela1[[#This Row],[y]]-H$4)*(Tabela1[[#This Row],[y]]-H$4)</f>
        <v>30589</v>
      </c>
      <c r="D96" s="1">
        <f>IF(Tabela1[[#This Row],[promien]]&lt;40000,1,0)</f>
        <v>1</v>
      </c>
      <c r="E96" s="1">
        <f>IF(Tabela1[[#This Row],[promien]]=40000,1,0)</f>
        <v>0</v>
      </c>
      <c r="F96" s="1">
        <v>3.1666666666666665</v>
      </c>
      <c r="G96" s="1">
        <v>2.5074013076873403E-2</v>
      </c>
    </row>
    <row r="97" spans="1:7">
      <c r="A97">
        <v>345</v>
      </c>
      <c r="B97">
        <v>253</v>
      </c>
      <c r="C97" s="1">
        <f>(Tabela1[[#This Row],[x]]-H$3)*(Tabela1[[#This Row],[x]]-H$3) +(Tabela1[[#This Row],[y]]-H$4)*(Tabela1[[#This Row],[y]]-H$4)</f>
        <v>23834</v>
      </c>
      <c r="D97" s="1">
        <f>IF(Tabela1[[#This Row],[promien]]&lt;40000,1,0)</f>
        <v>1</v>
      </c>
      <c r="E97" s="1">
        <f>IF(Tabela1[[#This Row],[promien]]=40000,1,0)</f>
        <v>0</v>
      </c>
      <c r="F97" s="1">
        <v>3.1752577319587627</v>
      </c>
      <c r="G97" s="1">
        <v>3.3665078368969592E-2</v>
      </c>
    </row>
    <row r="98" spans="1:7">
      <c r="A98">
        <v>52</v>
      </c>
      <c r="B98">
        <v>28</v>
      </c>
      <c r="C98" s="1">
        <f>(Tabela1[[#This Row],[x]]-H$3)*(Tabela1[[#This Row],[x]]-H$3) +(Tabela1[[#This Row],[y]]-H$4)*(Tabela1[[#This Row],[y]]-H$4)</f>
        <v>51488</v>
      </c>
      <c r="D98" s="1">
        <f>IF(Tabela1[[#This Row],[promien]]&lt;40000,1,0)</f>
        <v>0</v>
      </c>
      <c r="E98" s="1">
        <f>IF(Tabela1[[#This Row],[promien]]=40000,1,0)</f>
        <v>0</v>
      </c>
      <c r="F98" s="1">
        <v>3.1428571428571428</v>
      </c>
      <c r="G98" s="1">
        <v>1.2644892673496777E-3</v>
      </c>
    </row>
    <row r="99" spans="1:7">
      <c r="A99">
        <v>100</v>
      </c>
      <c r="B99">
        <v>165</v>
      </c>
      <c r="C99" s="1">
        <f>(Tabela1[[#This Row],[x]]-H$3)*(Tabela1[[#This Row],[x]]-H$3) +(Tabela1[[#This Row],[y]]-H$4)*(Tabela1[[#This Row],[y]]-H$4)</f>
        <v>11225</v>
      </c>
      <c r="D99" s="1">
        <f>IF(Tabela1[[#This Row],[promien]]&lt;40000,1,0)</f>
        <v>1</v>
      </c>
      <c r="E99" s="1">
        <f>IF(Tabela1[[#This Row],[promien]]=40000,1,0)</f>
        <v>0</v>
      </c>
      <c r="F99" s="1">
        <v>3.1515151515151514</v>
      </c>
      <c r="G99" s="1">
        <v>9.9224979253582646E-3</v>
      </c>
    </row>
    <row r="100" spans="1:7">
      <c r="A100">
        <v>123</v>
      </c>
      <c r="B100">
        <v>262</v>
      </c>
      <c r="C100" s="1">
        <f>(Tabela1[[#This Row],[x]]-H$3)*(Tabela1[[#This Row],[x]]-H$3) +(Tabela1[[#This Row],[y]]-H$4)*(Tabela1[[#This Row],[y]]-H$4)</f>
        <v>9773</v>
      </c>
      <c r="D100" s="1">
        <f>IF(Tabela1[[#This Row],[promien]]&lt;40000,1,0)</f>
        <v>1</v>
      </c>
      <c r="E100" s="1">
        <f>IF(Tabela1[[#This Row],[promien]]=40000,1,0)</f>
        <v>0</v>
      </c>
      <c r="F100" s="1">
        <v>3.16</v>
      </c>
      <c r="G100" s="1">
        <v>1.8407346410207026E-2</v>
      </c>
    </row>
    <row r="101" spans="1:7">
      <c r="A101">
        <v>340</v>
      </c>
      <c r="B101">
        <v>311</v>
      </c>
      <c r="C101" s="1">
        <f>(Tabela1[[#This Row],[x]]-H$3)*(Tabela1[[#This Row],[x]]-H$3) +(Tabela1[[#This Row],[y]]-H$4)*(Tabela1[[#This Row],[y]]-H$4)</f>
        <v>31921</v>
      </c>
      <c r="D101" s="1">
        <f>IF(Tabela1[[#This Row],[promien]]&lt;40000,1,0)</f>
        <v>1</v>
      </c>
      <c r="E101" s="1">
        <f>IF(Tabela1[[#This Row],[promien]]=40000,1,0)</f>
        <v>0</v>
      </c>
      <c r="F101" s="1">
        <v>3.1683168316831685</v>
      </c>
      <c r="G101" s="1">
        <v>2.672417809337535E-2</v>
      </c>
    </row>
    <row r="102" spans="1:7">
      <c r="A102">
        <v>171</v>
      </c>
      <c r="B102">
        <v>179</v>
      </c>
      <c r="C102" s="1">
        <f>(Tabela1[[#This Row],[x]]-H$3)*(Tabela1[[#This Row],[x]]-H$3) +(Tabela1[[#This Row],[y]]-H$4)*(Tabela1[[#This Row],[y]]-H$4)</f>
        <v>1282</v>
      </c>
      <c r="D102" s="1">
        <f>IF(Tabela1[[#This Row],[promien]]&lt;40000,1,0)</f>
        <v>1</v>
      </c>
      <c r="E102" s="1">
        <f>IF(Tabela1[[#This Row],[promien]]=40000,1,0)</f>
        <v>0</v>
      </c>
      <c r="F102" s="1">
        <v>3.1764705882352939</v>
      </c>
      <c r="G102" s="1">
        <v>3.4877934645500819E-2</v>
      </c>
    </row>
    <row r="103" spans="1:7">
      <c r="A103">
        <v>257</v>
      </c>
      <c r="B103">
        <v>114</v>
      </c>
      <c r="C103" s="1">
        <f>(Tabela1[[#This Row],[x]]-H$3)*(Tabela1[[#This Row],[x]]-H$3) +(Tabela1[[#This Row],[y]]-H$4)*(Tabela1[[#This Row],[y]]-H$4)</f>
        <v>10645</v>
      </c>
      <c r="D103" s="1">
        <f>IF(Tabela1[[#This Row],[promien]]&lt;40000,1,0)</f>
        <v>1</v>
      </c>
      <c r="E103" s="1">
        <f>IF(Tabela1[[#This Row],[promien]]=40000,1,0)</f>
        <v>0</v>
      </c>
      <c r="F103" s="1">
        <v>3.1844660194174756</v>
      </c>
      <c r="G103" s="1">
        <v>4.287336582768253E-2</v>
      </c>
    </row>
    <row r="104" spans="1:7">
      <c r="A104">
        <v>182</v>
      </c>
      <c r="B104">
        <v>256</v>
      </c>
      <c r="C104" s="1">
        <f>(Tabela1[[#This Row],[x]]-H$3)*(Tabela1[[#This Row],[x]]-H$3) +(Tabela1[[#This Row],[y]]-H$4)*(Tabela1[[#This Row],[y]]-H$4)</f>
        <v>3460</v>
      </c>
      <c r="D104" s="1">
        <f>IF(Tabela1[[#This Row],[promien]]&lt;40000,1,0)</f>
        <v>1</v>
      </c>
      <c r="E104" s="1">
        <f>IF(Tabela1[[#This Row],[promien]]=40000,1,0)</f>
        <v>0</v>
      </c>
      <c r="F104" s="1">
        <v>3.1923076923076925</v>
      </c>
      <c r="G104" s="1">
        <v>5.0715038717899397E-2</v>
      </c>
    </row>
    <row r="105" spans="1:7">
      <c r="A105">
        <v>165</v>
      </c>
      <c r="B105">
        <v>63</v>
      </c>
      <c r="C105" s="1">
        <f>(Tabela1[[#This Row],[x]]-H$3)*(Tabela1[[#This Row],[x]]-H$3) +(Tabela1[[#This Row],[y]]-H$4)*(Tabela1[[#This Row],[y]]-H$4)</f>
        <v>19994</v>
      </c>
      <c r="D105" s="1">
        <f>IF(Tabela1[[#This Row],[promien]]&lt;40000,1,0)</f>
        <v>1</v>
      </c>
      <c r="E105" s="1">
        <f>IF(Tabela1[[#This Row],[promien]]=40000,1,0)</f>
        <v>0</v>
      </c>
      <c r="F105" s="1">
        <v>3.2</v>
      </c>
      <c r="G105" s="1">
        <v>5.8407346410207062E-2</v>
      </c>
    </row>
    <row r="106" spans="1:7">
      <c r="A106">
        <v>254</v>
      </c>
      <c r="B106">
        <v>249</v>
      </c>
      <c r="C106" s="1">
        <f>(Tabela1[[#This Row],[x]]-H$3)*(Tabela1[[#This Row],[x]]-H$3) +(Tabela1[[#This Row],[y]]-H$4)*(Tabela1[[#This Row],[y]]-H$4)</f>
        <v>5317</v>
      </c>
      <c r="D106" s="1">
        <f>IF(Tabela1[[#This Row],[promien]]&lt;40000,1,0)</f>
        <v>1</v>
      </c>
      <c r="E106" s="1">
        <f>IF(Tabela1[[#This Row],[promien]]=40000,1,0)</f>
        <v>0</v>
      </c>
      <c r="F106" s="1">
        <v>3.2075471698113209</v>
      </c>
      <c r="G106" s="1">
        <v>6.5954516221527815E-2</v>
      </c>
    </row>
    <row r="107" spans="1:7">
      <c r="A107">
        <v>130</v>
      </c>
      <c r="B107">
        <v>144</v>
      </c>
      <c r="C107" s="1">
        <f>(Tabela1[[#This Row],[x]]-H$3)*(Tabela1[[#This Row],[x]]-H$3) +(Tabela1[[#This Row],[y]]-H$4)*(Tabela1[[#This Row],[y]]-H$4)</f>
        <v>8036</v>
      </c>
      <c r="D107" s="1">
        <f>IF(Tabela1[[#This Row],[promien]]&lt;40000,1,0)</f>
        <v>1</v>
      </c>
      <c r="E107" s="1">
        <f>IF(Tabela1[[#This Row],[promien]]=40000,1,0)</f>
        <v>0</v>
      </c>
      <c r="F107" s="1">
        <v>3.2149532710280373</v>
      </c>
      <c r="G107" s="1">
        <v>7.336061743824418E-2</v>
      </c>
    </row>
    <row r="108" spans="1:7">
      <c r="A108">
        <v>330</v>
      </c>
      <c r="B108">
        <v>257</v>
      </c>
      <c r="C108" s="1">
        <f>(Tabela1[[#This Row],[x]]-H$3)*(Tabela1[[#This Row],[x]]-H$3) +(Tabela1[[#This Row],[y]]-H$4)*(Tabela1[[#This Row],[y]]-H$4)</f>
        <v>20149</v>
      </c>
      <c r="D108" s="1">
        <f>IF(Tabela1[[#This Row],[promien]]&lt;40000,1,0)</f>
        <v>1</v>
      </c>
      <c r="E108" s="1">
        <f>IF(Tabela1[[#This Row],[promien]]=40000,1,0)</f>
        <v>0</v>
      </c>
      <c r="F108" s="1">
        <v>3.2222222222222223</v>
      </c>
      <c r="G108" s="1">
        <v>8.0629568632429205E-2</v>
      </c>
    </row>
    <row r="109" spans="1:7">
      <c r="A109">
        <v>72</v>
      </c>
      <c r="B109">
        <v>41</v>
      </c>
      <c r="C109" s="1">
        <f>(Tabela1[[#This Row],[x]]-H$3)*(Tabela1[[#This Row],[x]]-H$3) +(Tabela1[[#This Row],[y]]-H$4)*(Tabela1[[#This Row],[y]]-H$4)</f>
        <v>41665</v>
      </c>
      <c r="D109" s="1">
        <f>IF(Tabela1[[#This Row],[promien]]&lt;40000,1,0)</f>
        <v>0</v>
      </c>
      <c r="E109" s="1">
        <f>IF(Tabela1[[#This Row],[promien]]=40000,1,0)</f>
        <v>0</v>
      </c>
      <c r="F109" s="1">
        <v>3.1926605504587156</v>
      </c>
      <c r="G109" s="1">
        <v>5.1067896868922436E-2</v>
      </c>
    </row>
    <row r="110" spans="1:7">
      <c r="A110">
        <v>239</v>
      </c>
      <c r="B110">
        <v>299</v>
      </c>
      <c r="C110" s="1">
        <f>(Tabela1[[#This Row],[x]]-H$3)*(Tabela1[[#This Row],[x]]-H$3) +(Tabela1[[#This Row],[y]]-H$4)*(Tabela1[[#This Row],[y]]-H$4)</f>
        <v>11322</v>
      </c>
      <c r="D110" s="1">
        <f>IF(Tabela1[[#This Row],[promien]]&lt;40000,1,0)</f>
        <v>1</v>
      </c>
      <c r="E110" s="1">
        <f>IF(Tabela1[[#This Row],[promien]]=40000,1,0)</f>
        <v>0</v>
      </c>
      <c r="F110" s="1">
        <v>3.2</v>
      </c>
      <c r="G110" s="1">
        <v>5.8407346410207062E-2</v>
      </c>
    </row>
    <row r="111" spans="1:7">
      <c r="A111">
        <v>14</v>
      </c>
      <c r="B111">
        <v>355</v>
      </c>
      <c r="C111" s="1">
        <f>(Tabela1[[#This Row],[x]]-H$3)*(Tabela1[[#This Row],[x]]-H$3) +(Tabela1[[#This Row],[y]]-H$4)*(Tabela1[[#This Row],[y]]-H$4)</f>
        <v>58621</v>
      </c>
      <c r="D111" s="1">
        <f>IF(Tabela1[[#This Row],[promien]]&lt;40000,1,0)</f>
        <v>0</v>
      </c>
      <c r="E111" s="1">
        <f>IF(Tabela1[[#This Row],[promien]]=40000,1,0)</f>
        <v>0</v>
      </c>
      <c r="F111" s="1">
        <v>3.1711711711711712</v>
      </c>
      <c r="G111" s="1">
        <v>2.9578517581378083E-2</v>
      </c>
    </row>
    <row r="112" spans="1:7">
      <c r="A112">
        <v>326</v>
      </c>
      <c r="B112">
        <v>99</v>
      </c>
      <c r="C112" s="1">
        <f>(Tabela1[[#This Row],[x]]-H$3)*(Tabela1[[#This Row],[x]]-H$3) +(Tabela1[[#This Row],[y]]-H$4)*(Tabela1[[#This Row],[y]]-H$4)</f>
        <v>26077</v>
      </c>
      <c r="D112" s="1">
        <f>IF(Tabela1[[#This Row],[promien]]&lt;40000,1,0)</f>
        <v>1</v>
      </c>
      <c r="E112" s="1">
        <f>IF(Tabela1[[#This Row],[promien]]=40000,1,0)</f>
        <v>0</v>
      </c>
      <c r="F112" s="1">
        <v>3.1785714285714284</v>
      </c>
      <c r="G112" s="1">
        <v>3.6978774981635265E-2</v>
      </c>
    </row>
    <row r="113" spans="1:7">
      <c r="A113">
        <v>119</v>
      </c>
      <c r="B113">
        <v>68</v>
      </c>
      <c r="C113" s="1">
        <f>(Tabela1[[#This Row],[x]]-H$3)*(Tabela1[[#This Row],[x]]-H$3) +(Tabela1[[#This Row],[y]]-H$4)*(Tabela1[[#This Row],[y]]-H$4)</f>
        <v>23985</v>
      </c>
      <c r="D113" s="1">
        <f>IF(Tabela1[[#This Row],[promien]]&lt;40000,1,0)</f>
        <v>1</v>
      </c>
      <c r="E113" s="1">
        <f>IF(Tabela1[[#This Row],[promien]]=40000,1,0)</f>
        <v>0</v>
      </c>
      <c r="F113" s="1">
        <v>3.1858407079646018</v>
      </c>
      <c r="G113" s="1">
        <v>4.4248054374808721E-2</v>
      </c>
    </row>
    <row r="114" spans="1:7">
      <c r="A114">
        <v>81</v>
      </c>
      <c r="B114">
        <v>13</v>
      </c>
      <c r="C114" s="1">
        <f>(Tabela1[[#This Row],[x]]-H$3)*(Tabela1[[#This Row],[x]]-H$3) +(Tabela1[[#This Row],[y]]-H$4)*(Tabela1[[#This Row],[y]]-H$4)</f>
        <v>49130</v>
      </c>
      <c r="D114" s="1">
        <f>IF(Tabela1[[#This Row],[promien]]&lt;40000,1,0)</f>
        <v>0</v>
      </c>
      <c r="E114" s="1">
        <f>IF(Tabela1[[#This Row],[promien]]=40000,1,0)</f>
        <v>0</v>
      </c>
      <c r="F114" s="1">
        <v>3.1578947368421053</v>
      </c>
      <c r="G114" s="1">
        <v>1.6302083252312194E-2</v>
      </c>
    </row>
    <row r="115" spans="1:7">
      <c r="A115">
        <v>1</v>
      </c>
      <c r="B115">
        <v>170</v>
      </c>
      <c r="C115" s="1">
        <f>(Tabela1[[#This Row],[x]]-H$3)*(Tabela1[[#This Row],[x]]-H$3) +(Tabela1[[#This Row],[y]]-H$4)*(Tabela1[[#This Row],[y]]-H$4)</f>
        <v>40501</v>
      </c>
      <c r="D115" s="1">
        <f>IF(Tabela1[[#This Row],[promien]]&lt;40000,1,0)</f>
        <v>0</v>
      </c>
      <c r="E115" s="1">
        <f>IF(Tabela1[[#This Row],[promien]]=40000,1,0)</f>
        <v>0</v>
      </c>
      <c r="F115" s="1">
        <v>3.1304347826086958</v>
      </c>
      <c r="G115" s="1">
        <v>1.1157870981097329E-2</v>
      </c>
    </row>
    <row r="116" spans="1:7">
      <c r="A116">
        <v>349</v>
      </c>
      <c r="B116">
        <v>177</v>
      </c>
      <c r="C116" s="1">
        <f>(Tabela1[[#This Row],[x]]-H$3)*(Tabela1[[#This Row],[x]]-H$3) +(Tabela1[[#This Row],[y]]-H$4)*(Tabela1[[#This Row],[y]]-H$4)</f>
        <v>22730</v>
      </c>
      <c r="D116" s="1">
        <f>IF(Tabela1[[#This Row],[promien]]&lt;40000,1,0)</f>
        <v>1</v>
      </c>
      <c r="E116" s="1">
        <f>IF(Tabela1[[#This Row],[promien]]=40000,1,0)</f>
        <v>0</v>
      </c>
      <c r="F116" s="1">
        <v>3.1379310344827585</v>
      </c>
      <c r="G116" s="1">
        <v>3.6616191070346638E-3</v>
      </c>
    </row>
    <row r="117" spans="1:7">
      <c r="A117">
        <v>91</v>
      </c>
      <c r="B117">
        <v>185</v>
      </c>
      <c r="C117" s="1">
        <f>(Tabela1[[#This Row],[x]]-H$3)*(Tabela1[[#This Row],[x]]-H$3) +(Tabela1[[#This Row],[y]]-H$4)*(Tabela1[[#This Row],[y]]-H$4)</f>
        <v>12106</v>
      </c>
      <c r="D117" s="1">
        <f>IF(Tabela1[[#This Row],[promien]]&lt;40000,1,0)</f>
        <v>1</v>
      </c>
      <c r="E117" s="1">
        <f>IF(Tabela1[[#This Row],[promien]]=40000,1,0)</f>
        <v>0</v>
      </c>
      <c r="F117" s="1">
        <v>3.1452991452991452</v>
      </c>
      <c r="G117" s="1">
        <v>3.706491709352111E-3</v>
      </c>
    </row>
    <row r="118" spans="1:7">
      <c r="A118">
        <v>342</v>
      </c>
      <c r="B118">
        <v>60</v>
      </c>
      <c r="C118" s="1">
        <f>(Tabela1[[#This Row],[x]]-H$3)*(Tabela1[[#This Row],[x]]-H$3) +(Tabela1[[#This Row],[y]]-H$4)*(Tabela1[[#This Row],[y]]-H$4)</f>
        <v>39764</v>
      </c>
      <c r="D118" s="1">
        <f>IF(Tabela1[[#This Row],[promien]]&lt;40000,1,0)</f>
        <v>1</v>
      </c>
      <c r="E118" s="1">
        <f>IF(Tabela1[[#This Row],[promien]]=40000,1,0)</f>
        <v>0</v>
      </c>
      <c r="F118" s="1">
        <v>3.152542372881356</v>
      </c>
      <c r="G118" s="1">
        <v>1.0949719291562854E-2</v>
      </c>
    </row>
    <row r="119" spans="1:7">
      <c r="A119">
        <v>72</v>
      </c>
      <c r="B119">
        <v>47</v>
      </c>
      <c r="C119" s="1">
        <f>(Tabela1[[#This Row],[x]]-H$3)*(Tabela1[[#This Row],[x]]-H$3) +(Tabela1[[#This Row],[y]]-H$4)*(Tabela1[[#This Row],[y]]-H$4)</f>
        <v>39793</v>
      </c>
      <c r="D119" s="1">
        <f>IF(Tabela1[[#This Row],[promien]]&lt;40000,1,0)</f>
        <v>1</v>
      </c>
      <c r="E119" s="1">
        <f>IF(Tabela1[[#This Row],[promien]]=40000,1,0)</f>
        <v>0</v>
      </c>
      <c r="F119" s="1">
        <v>3.1596638655462184</v>
      </c>
      <c r="G119" s="1">
        <v>1.8071211956425248E-2</v>
      </c>
    </row>
    <row r="120" spans="1:7">
      <c r="A120">
        <v>301</v>
      </c>
      <c r="B120">
        <v>396</v>
      </c>
      <c r="C120" s="1">
        <f>(Tabela1[[#This Row],[x]]-H$3)*(Tabela1[[#This Row],[x]]-H$3) +(Tabela1[[#This Row],[y]]-H$4)*(Tabela1[[#This Row],[y]]-H$4)</f>
        <v>48617</v>
      </c>
      <c r="D120" s="1">
        <f>IF(Tabela1[[#This Row],[promien]]&lt;40000,1,0)</f>
        <v>0</v>
      </c>
      <c r="E120" s="1">
        <f>IF(Tabela1[[#This Row],[promien]]=40000,1,0)</f>
        <v>0</v>
      </c>
      <c r="F120" s="1">
        <v>3.1333333333333333</v>
      </c>
      <c r="G120" s="1">
        <v>8.2593202564598123E-3</v>
      </c>
    </row>
    <row r="121" spans="1:7">
      <c r="A121">
        <v>198</v>
      </c>
      <c r="B121">
        <v>298</v>
      </c>
      <c r="C121" s="1">
        <f>(Tabela1[[#This Row],[x]]-H$3)*(Tabela1[[#This Row],[x]]-H$3) +(Tabela1[[#This Row],[y]]-H$4)*(Tabela1[[#This Row],[y]]-H$4)</f>
        <v>9608</v>
      </c>
      <c r="D121" s="1">
        <f>IF(Tabela1[[#This Row],[promien]]&lt;40000,1,0)</f>
        <v>1</v>
      </c>
      <c r="E121" s="1">
        <f>IF(Tabela1[[#This Row],[promien]]=40000,1,0)</f>
        <v>0</v>
      </c>
      <c r="F121" s="1">
        <v>3.1404958677685952</v>
      </c>
      <c r="G121" s="1">
        <v>1.0967858211978765E-3</v>
      </c>
    </row>
    <row r="122" spans="1:7">
      <c r="A122">
        <v>75</v>
      </c>
      <c r="B122">
        <v>153</v>
      </c>
      <c r="C122" s="1">
        <f>(Tabela1[[#This Row],[x]]-H$3)*(Tabela1[[#This Row],[x]]-H$3) +(Tabela1[[#This Row],[y]]-H$4)*(Tabela1[[#This Row],[y]]-H$4)</f>
        <v>17834</v>
      </c>
      <c r="D122" s="1">
        <f>IF(Tabela1[[#This Row],[promien]]&lt;40000,1,0)</f>
        <v>1</v>
      </c>
      <c r="E122" s="1">
        <f>IF(Tabela1[[#This Row],[promien]]=40000,1,0)</f>
        <v>0</v>
      </c>
      <c r="F122" s="1">
        <v>3.1475409836065573</v>
      </c>
      <c r="G122" s="1">
        <v>5.9483300167642028E-3</v>
      </c>
    </row>
    <row r="123" spans="1:7">
      <c r="A123">
        <v>291</v>
      </c>
      <c r="B123">
        <v>20</v>
      </c>
      <c r="C123" s="1">
        <f>(Tabela1[[#This Row],[x]]-H$3)*(Tabela1[[#This Row],[x]]-H$3) +(Tabela1[[#This Row],[y]]-H$4)*(Tabela1[[#This Row],[y]]-H$4)</f>
        <v>40681</v>
      </c>
      <c r="D123" s="1">
        <f>IF(Tabela1[[#This Row],[promien]]&lt;40000,1,0)</f>
        <v>0</v>
      </c>
      <c r="E123" s="1">
        <f>IF(Tabela1[[#This Row],[promien]]=40000,1,0)</f>
        <v>0</v>
      </c>
      <c r="F123" s="1">
        <v>3.1219512195121952</v>
      </c>
      <c r="G123" s="1">
        <v>1.9641434077597886E-2</v>
      </c>
    </row>
    <row r="124" spans="1:7">
      <c r="A124">
        <v>240</v>
      </c>
      <c r="B124">
        <v>360</v>
      </c>
      <c r="C124" s="1">
        <f>(Tabela1[[#This Row],[x]]-H$3)*(Tabela1[[#This Row],[x]]-H$3) +(Tabela1[[#This Row],[y]]-H$4)*(Tabela1[[#This Row],[y]]-H$4)</f>
        <v>27200</v>
      </c>
      <c r="D124" s="1">
        <f>IF(Tabela1[[#This Row],[promien]]&lt;40000,1,0)</f>
        <v>1</v>
      </c>
      <c r="E124" s="1">
        <f>IF(Tabela1[[#This Row],[promien]]=40000,1,0)</f>
        <v>0</v>
      </c>
      <c r="F124" s="1">
        <v>3.129032258064516</v>
      </c>
      <c r="G124" s="1">
        <v>1.2560395525277102E-2</v>
      </c>
    </row>
    <row r="125" spans="1:7">
      <c r="A125">
        <v>364</v>
      </c>
      <c r="B125">
        <v>330</v>
      </c>
      <c r="C125" s="1">
        <f>(Tabela1[[#This Row],[x]]-H$3)*(Tabela1[[#This Row],[x]]-H$3) +(Tabela1[[#This Row],[y]]-H$4)*(Tabela1[[#This Row],[y]]-H$4)</f>
        <v>43796</v>
      </c>
      <c r="D125" s="1">
        <f>IF(Tabela1[[#This Row],[promien]]&lt;40000,1,0)</f>
        <v>0</v>
      </c>
      <c r="E125" s="1">
        <f>IF(Tabela1[[#This Row],[promien]]=40000,1,0)</f>
        <v>0</v>
      </c>
      <c r="F125" s="1">
        <v>3.1040000000000001</v>
      </c>
      <c r="G125" s="1">
        <v>3.7592653589793024E-2</v>
      </c>
    </row>
    <row r="126" spans="1:7">
      <c r="A126">
        <v>334</v>
      </c>
      <c r="B126">
        <v>398</v>
      </c>
      <c r="C126" s="1">
        <f>(Tabela1[[#This Row],[x]]-H$3)*(Tabela1[[#This Row],[x]]-H$3) +(Tabela1[[#This Row],[y]]-H$4)*(Tabela1[[#This Row],[y]]-H$4)</f>
        <v>57160</v>
      </c>
      <c r="D126" s="1">
        <f>IF(Tabela1[[#This Row],[promien]]&lt;40000,1,0)</f>
        <v>0</v>
      </c>
      <c r="E126" s="1">
        <f>IF(Tabela1[[#This Row],[promien]]=40000,1,0)</f>
        <v>0</v>
      </c>
      <c r="F126" s="1">
        <v>3.0793650793650795</v>
      </c>
      <c r="G126" s="1">
        <v>6.2227574224713589E-2</v>
      </c>
    </row>
    <row r="127" spans="1:7">
      <c r="A127">
        <v>42</v>
      </c>
      <c r="B127">
        <v>231</v>
      </c>
      <c r="C127" s="1">
        <f>(Tabela1[[#This Row],[x]]-H$3)*(Tabela1[[#This Row],[x]]-H$3) +(Tabela1[[#This Row],[y]]-H$4)*(Tabela1[[#This Row],[y]]-H$4)</f>
        <v>25925</v>
      </c>
      <c r="D127" s="1">
        <f>IF(Tabela1[[#This Row],[promien]]&lt;40000,1,0)</f>
        <v>1</v>
      </c>
      <c r="E127" s="1">
        <f>IF(Tabela1[[#This Row],[promien]]=40000,1,0)</f>
        <v>0</v>
      </c>
      <c r="F127" s="1">
        <v>3.0866141732283463</v>
      </c>
      <c r="G127" s="1">
        <v>5.4978480361446813E-2</v>
      </c>
    </row>
    <row r="128" spans="1:7">
      <c r="A128">
        <v>297</v>
      </c>
      <c r="B128">
        <v>280</v>
      </c>
      <c r="C128" s="1">
        <f>(Tabela1[[#This Row],[x]]-H$3)*(Tabela1[[#This Row],[x]]-H$3) +(Tabela1[[#This Row],[y]]-H$4)*(Tabela1[[#This Row],[y]]-H$4)</f>
        <v>15809</v>
      </c>
      <c r="D128" s="1">
        <f>IF(Tabela1[[#This Row],[promien]]&lt;40000,1,0)</f>
        <v>1</v>
      </c>
      <c r="E128" s="1">
        <f>IF(Tabela1[[#This Row],[promien]]=40000,1,0)</f>
        <v>0</v>
      </c>
      <c r="F128" s="1">
        <v>3.09375</v>
      </c>
      <c r="G128" s="1">
        <v>4.7842653589793116E-2</v>
      </c>
    </row>
    <row r="129" spans="1:7">
      <c r="A129">
        <v>303</v>
      </c>
      <c r="B129">
        <v>13</v>
      </c>
      <c r="C129" s="1">
        <f>(Tabela1[[#This Row],[x]]-H$3)*(Tabela1[[#This Row],[x]]-H$3) +(Tabela1[[#This Row],[y]]-H$4)*(Tabela1[[#This Row],[y]]-H$4)</f>
        <v>45578</v>
      </c>
      <c r="D129" s="1">
        <f>IF(Tabela1[[#This Row],[promien]]&lt;40000,1,0)</f>
        <v>0</v>
      </c>
      <c r="E129" s="1">
        <f>IF(Tabela1[[#This Row],[promien]]=40000,1,0)</f>
        <v>0</v>
      </c>
      <c r="F129" s="1">
        <v>3.0697674418604652</v>
      </c>
      <c r="G129" s="1">
        <v>7.1825211729327876E-2</v>
      </c>
    </row>
    <row r="130" spans="1:7">
      <c r="A130">
        <v>304</v>
      </c>
      <c r="B130">
        <v>73</v>
      </c>
      <c r="C130" s="1">
        <f>(Tabela1[[#This Row],[x]]-H$3)*(Tabela1[[#This Row],[x]]-H$3) +(Tabela1[[#This Row],[y]]-H$4)*(Tabela1[[#This Row],[y]]-H$4)</f>
        <v>26945</v>
      </c>
      <c r="D130" s="1">
        <f>IF(Tabela1[[#This Row],[promien]]&lt;40000,1,0)</f>
        <v>1</v>
      </c>
      <c r="E130" s="1">
        <f>IF(Tabela1[[#This Row],[promien]]=40000,1,0)</f>
        <v>0</v>
      </c>
      <c r="F130" s="1">
        <v>3.0769230769230771</v>
      </c>
      <c r="G130" s="1">
        <v>6.4669576666716022E-2</v>
      </c>
    </row>
    <row r="131" spans="1:7">
      <c r="A131">
        <v>347</v>
      </c>
      <c r="B131">
        <v>252</v>
      </c>
      <c r="C131" s="1">
        <f>(Tabela1[[#This Row],[x]]-H$3)*(Tabela1[[#This Row],[x]]-H$3) +(Tabela1[[#This Row],[y]]-H$4)*(Tabela1[[#This Row],[y]]-H$4)</f>
        <v>24313</v>
      </c>
      <c r="D131" s="1">
        <f>IF(Tabela1[[#This Row],[promien]]&lt;40000,1,0)</f>
        <v>1</v>
      </c>
      <c r="E131" s="1">
        <f>IF(Tabela1[[#This Row],[promien]]=40000,1,0)</f>
        <v>0</v>
      </c>
      <c r="F131" s="1">
        <v>3.0839694656488548</v>
      </c>
      <c r="G131" s="1">
        <v>5.7623187940938347E-2</v>
      </c>
    </row>
    <row r="132" spans="1:7">
      <c r="A132">
        <v>178</v>
      </c>
      <c r="B132">
        <v>258</v>
      </c>
      <c r="C132" s="1">
        <f>(Tabela1[[#This Row],[x]]-H$3)*(Tabela1[[#This Row],[x]]-H$3) +(Tabela1[[#This Row],[y]]-H$4)*(Tabela1[[#This Row],[y]]-H$4)</f>
        <v>3848</v>
      </c>
      <c r="D132" s="1">
        <f>IF(Tabela1[[#This Row],[promien]]&lt;40000,1,0)</f>
        <v>1</v>
      </c>
      <c r="E132" s="1">
        <f>IF(Tabela1[[#This Row],[promien]]=40000,1,0)</f>
        <v>0</v>
      </c>
      <c r="F132" s="1">
        <v>3.0909090909090908</v>
      </c>
      <c r="G132" s="1">
        <v>5.0683562680702288E-2</v>
      </c>
    </row>
    <row r="133" spans="1:7">
      <c r="A133">
        <v>58</v>
      </c>
      <c r="B133">
        <v>295</v>
      </c>
      <c r="C133" s="1">
        <f>(Tabela1[[#This Row],[x]]-H$3)*(Tabela1[[#This Row],[x]]-H$3) +(Tabela1[[#This Row],[y]]-H$4)*(Tabela1[[#This Row],[y]]-H$4)</f>
        <v>29189</v>
      </c>
      <c r="D133" s="1">
        <f>IF(Tabela1[[#This Row],[promien]]&lt;40000,1,0)</f>
        <v>1</v>
      </c>
      <c r="E133" s="1">
        <f>IF(Tabela1[[#This Row],[promien]]=40000,1,0)</f>
        <v>0</v>
      </c>
      <c r="F133" s="1">
        <v>3.0977443609022557</v>
      </c>
      <c r="G133" s="1">
        <v>4.3848292687537427E-2</v>
      </c>
    </row>
    <row r="134" spans="1:7">
      <c r="A134">
        <v>5</v>
      </c>
      <c r="B134">
        <v>170</v>
      </c>
      <c r="C134" s="1">
        <f>(Tabela1[[#This Row],[x]]-H$3)*(Tabela1[[#This Row],[x]]-H$3) +(Tabela1[[#This Row],[y]]-H$4)*(Tabela1[[#This Row],[y]]-H$4)</f>
        <v>38925</v>
      </c>
      <c r="D134" s="1">
        <f>IF(Tabela1[[#This Row],[promien]]&lt;40000,1,0)</f>
        <v>1</v>
      </c>
      <c r="E134" s="1">
        <f>IF(Tabela1[[#This Row],[promien]]=40000,1,0)</f>
        <v>0</v>
      </c>
      <c r="F134" s="1">
        <v>3.1044776119402986</v>
      </c>
      <c r="G134" s="1">
        <v>3.7115041649494529E-2</v>
      </c>
    </row>
    <row r="135" spans="1:7">
      <c r="A135">
        <v>322</v>
      </c>
      <c r="B135">
        <v>228</v>
      </c>
      <c r="C135" s="1">
        <f>(Tabela1[[#This Row],[x]]-H$3)*(Tabela1[[#This Row],[x]]-H$3) +(Tabela1[[#This Row],[y]]-H$4)*(Tabela1[[#This Row],[y]]-H$4)</f>
        <v>15668</v>
      </c>
      <c r="D135" s="1">
        <f>IF(Tabela1[[#This Row],[promien]]&lt;40000,1,0)</f>
        <v>1</v>
      </c>
      <c r="E135" s="1">
        <f>IF(Tabela1[[#This Row],[promien]]=40000,1,0)</f>
        <v>0</v>
      </c>
      <c r="F135" s="1">
        <v>3.1111111111111112</v>
      </c>
      <c r="G135" s="1">
        <v>3.0481542478681956E-2</v>
      </c>
    </row>
    <row r="136" spans="1:7">
      <c r="A136">
        <v>33</v>
      </c>
      <c r="B136">
        <v>333</v>
      </c>
      <c r="C136" s="1">
        <f>(Tabela1[[#This Row],[x]]-H$3)*(Tabela1[[#This Row],[x]]-H$3) +(Tabela1[[#This Row],[y]]-H$4)*(Tabela1[[#This Row],[y]]-H$4)</f>
        <v>45578</v>
      </c>
      <c r="D136" s="1">
        <f>IF(Tabela1[[#This Row],[promien]]&lt;40000,1,0)</f>
        <v>0</v>
      </c>
      <c r="E136" s="1">
        <f>IF(Tabela1[[#This Row],[promien]]=40000,1,0)</f>
        <v>0</v>
      </c>
      <c r="F136" s="1">
        <v>3.0882352941176472</v>
      </c>
      <c r="G136" s="1">
        <v>5.3357359472145927E-2</v>
      </c>
    </row>
    <row r="137" spans="1:7">
      <c r="A137">
        <v>251</v>
      </c>
      <c r="B137">
        <v>32</v>
      </c>
      <c r="C137" s="1">
        <f>(Tabela1[[#This Row],[x]]-H$3)*(Tabela1[[#This Row],[x]]-H$3) +(Tabela1[[#This Row],[y]]-H$4)*(Tabela1[[#This Row],[y]]-H$4)</f>
        <v>30825</v>
      </c>
      <c r="D137" s="1">
        <f>IF(Tabela1[[#This Row],[promien]]&lt;40000,1,0)</f>
        <v>1</v>
      </c>
      <c r="E137" s="1">
        <f>IF(Tabela1[[#This Row],[promien]]=40000,1,0)</f>
        <v>0</v>
      </c>
      <c r="F137" s="1">
        <v>3.0948905109489053</v>
      </c>
      <c r="G137" s="1">
        <v>4.6702142640887789E-2</v>
      </c>
    </row>
    <row r="138" spans="1:7">
      <c r="A138">
        <v>289</v>
      </c>
      <c r="B138">
        <v>212</v>
      </c>
      <c r="C138" s="1">
        <f>(Tabela1[[#This Row],[x]]-H$3)*(Tabela1[[#This Row],[x]]-H$3) +(Tabela1[[#This Row],[y]]-H$4)*(Tabela1[[#This Row],[y]]-H$4)</f>
        <v>8065</v>
      </c>
      <c r="D138" s="1">
        <f>IF(Tabela1[[#This Row],[promien]]&lt;40000,1,0)</f>
        <v>1</v>
      </c>
      <c r="E138" s="1">
        <f>IF(Tabela1[[#This Row],[promien]]=40000,1,0)</f>
        <v>0</v>
      </c>
      <c r="F138" s="1">
        <v>3.1014492753623188</v>
      </c>
      <c r="G138" s="1">
        <v>4.0143378227474269E-2</v>
      </c>
    </row>
    <row r="139" spans="1:7">
      <c r="A139">
        <v>153</v>
      </c>
      <c r="B139">
        <v>386</v>
      </c>
      <c r="C139" s="1">
        <f>(Tabela1[[#This Row],[x]]-H$3)*(Tabela1[[#This Row],[x]]-H$3) +(Tabela1[[#This Row],[y]]-H$4)*(Tabela1[[#This Row],[y]]-H$4)</f>
        <v>36805</v>
      </c>
      <c r="D139" s="1">
        <f>IF(Tabela1[[#This Row],[promien]]&lt;40000,1,0)</f>
        <v>1</v>
      </c>
      <c r="E139" s="1">
        <f>IF(Tabela1[[#This Row],[promien]]=40000,1,0)</f>
        <v>0</v>
      </c>
      <c r="F139" s="1">
        <v>3.1079136690647484</v>
      </c>
      <c r="G139" s="1">
        <v>3.3678984525044697E-2</v>
      </c>
    </row>
    <row r="140" spans="1:7">
      <c r="A140">
        <v>96</v>
      </c>
      <c r="B140">
        <v>343</v>
      </c>
      <c r="C140" s="1">
        <f>(Tabela1[[#This Row],[x]]-H$3)*(Tabela1[[#This Row],[x]]-H$3) +(Tabela1[[#This Row],[y]]-H$4)*(Tabela1[[#This Row],[y]]-H$4)</f>
        <v>31265</v>
      </c>
      <c r="D140" s="1">
        <f>IF(Tabela1[[#This Row],[promien]]&lt;40000,1,0)</f>
        <v>1</v>
      </c>
      <c r="E140" s="1">
        <f>IF(Tabela1[[#This Row],[promien]]=40000,1,0)</f>
        <v>0</v>
      </c>
      <c r="F140" s="1">
        <v>3.1142857142857143</v>
      </c>
      <c r="G140" s="1">
        <v>2.7306939304078792E-2</v>
      </c>
    </row>
    <row r="141" spans="1:7">
      <c r="A141">
        <v>177</v>
      </c>
      <c r="B141">
        <v>325</v>
      </c>
      <c r="C141" s="1">
        <f>(Tabela1[[#This Row],[x]]-H$3)*(Tabela1[[#This Row],[x]]-H$3) +(Tabela1[[#This Row],[y]]-H$4)*(Tabela1[[#This Row],[y]]-H$4)</f>
        <v>16154</v>
      </c>
      <c r="D141" s="1">
        <f>IF(Tabela1[[#This Row],[promien]]&lt;40000,1,0)</f>
        <v>1</v>
      </c>
      <c r="E141" s="1">
        <f>IF(Tabela1[[#This Row],[promien]]=40000,1,0)</f>
        <v>0</v>
      </c>
      <c r="F141" s="1">
        <v>3.1205673758865249</v>
      </c>
      <c r="G141" s="1">
        <v>2.102527770326823E-2</v>
      </c>
    </row>
    <row r="142" spans="1:7">
      <c r="A142">
        <v>234</v>
      </c>
      <c r="B142">
        <v>368</v>
      </c>
      <c r="C142" s="1">
        <f>(Tabela1[[#This Row],[x]]-H$3)*(Tabela1[[#This Row],[x]]-H$3) +(Tabela1[[#This Row],[y]]-H$4)*(Tabela1[[#This Row],[y]]-H$4)</f>
        <v>29380</v>
      </c>
      <c r="D142" s="1">
        <f>IF(Tabela1[[#This Row],[promien]]&lt;40000,1,0)</f>
        <v>1</v>
      </c>
      <c r="E142" s="1">
        <f>IF(Tabela1[[#This Row],[promien]]=40000,1,0)</f>
        <v>0</v>
      </c>
      <c r="F142" s="1">
        <v>3.1267605633802815</v>
      </c>
      <c r="G142" s="1">
        <v>1.4832090209511595E-2</v>
      </c>
    </row>
    <row r="143" spans="1:7">
      <c r="A143">
        <v>227</v>
      </c>
      <c r="B143">
        <v>324</v>
      </c>
      <c r="C143" s="1">
        <f>(Tabela1[[#This Row],[x]]-H$3)*(Tabela1[[#This Row],[x]]-H$3) +(Tabela1[[#This Row],[y]]-H$4)*(Tabela1[[#This Row],[y]]-H$4)</f>
        <v>16105</v>
      </c>
      <c r="D143" s="1">
        <f>IF(Tabela1[[#This Row],[promien]]&lt;40000,1,0)</f>
        <v>1</v>
      </c>
      <c r="E143" s="1">
        <f>IF(Tabela1[[#This Row],[promien]]=40000,1,0)</f>
        <v>0</v>
      </c>
      <c r="F143" s="1">
        <v>3.1328671328671329</v>
      </c>
      <c r="G143" s="1">
        <v>8.7255207226601961E-3</v>
      </c>
    </row>
    <row r="144" spans="1:7">
      <c r="A144">
        <v>15</v>
      </c>
      <c r="B144">
        <v>291</v>
      </c>
      <c r="C144" s="1">
        <f>(Tabela1[[#This Row],[x]]-H$3)*(Tabela1[[#This Row],[x]]-H$3) +(Tabela1[[#This Row],[y]]-H$4)*(Tabela1[[#This Row],[y]]-H$4)</f>
        <v>42506</v>
      </c>
      <c r="D144" s="1">
        <f>IF(Tabela1[[#This Row],[promien]]&lt;40000,1,0)</f>
        <v>0</v>
      </c>
      <c r="E144" s="1">
        <f>IF(Tabela1[[#This Row],[promien]]=40000,1,0)</f>
        <v>0</v>
      </c>
      <c r="F144" s="1">
        <v>3.1111111111111112</v>
      </c>
      <c r="G144" s="1">
        <v>3.0481542478681956E-2</v>
      </c>
    </row>
    <row r="145" spans="1:7">
      <c r="A145">
        <v>246</v>
      </c>
      <c r="B145">
        <v>158</v>
      </c>
      <c r="C145" s="1">
        <f>(Tabela1[[#This Row],[x]]-H$3)*(Tabela1[[#This Row],[x]]-H$3) +(Tabela1[[#This Row],[y]]-H$4)*(Tabela1[[#This Row],[y]]-H$4)</f>
        <v>3880</v>
      </c>
      <c r="D145" s="1">
        <f>IF(Tabela1[[#This Row],[promien]]&lt;40000,1,0)</f>
        <v>1</v>
      </c>
      <c r="E145" s="1">
        <f>IF(Tabela1[[#This Row],[promien]]=40000,1,0)</f>
        <v>0</v>
      </c>
      <c r="F145" s="1">
        <v>3.1172413793103448</v>
      </c>
      <c r="G145" s="1">
        <v>2.4351274279448276E-2</v>
      </c>
    </row>
    <row r="146" spans="1:7">
      <c r="A146">
        <v>127</v>
      </c>
      <c r="B146">
        <v>229</v>
      </c>
      <c r="C146" s="1">
        <f>(Tabela1[[#This Row],[x]]-H$3)*(Tabela1[[#This Row],[x]]-H$3) +(Tabela1[[#This Row],[y]]-H$4)*(Tabela1[[#This Row],[y]]-H$4)</f>
        <v>6170</v>
      </c>
      <c r="D146" s="1">
        <f>IF(Tabela1[[#This Row],[promien]]&lt;40000,1,0)</f>
        <v>1</v>
      </c>
      <c r="E146" s="1">
        <f>IF(Tabela1[[#This Row],[promien]]=40000,1,0)</f>
        <v>0</v>
      </c>
      <c r="F146" s="1">
        <v>3.1232876712328768</v>
      </c>
      <c r="G146" s="1">
        <v>1.8304982356916355E-2</v>
      </c>
    </row>
    <row r="147" spans="1:7">
      <c r="A147">
        <v>127</v>
      </c>
      <c r="B147">
        <v>178</v>
      </c>
      <c r="C147" s="1">
        <f>(Tabela1[[#This Row],[x]]-H$3)*(Tabela1[[#This Row],[x]]-H$3) +(Tabela1[[#This Row],[y]]-H$4)*(Tabela1[[#This Row],[y]]-H$4)</f>
        <v>5813</v>
      </c>
      <c r="D147" s="1">
        <f>IF(Tabela1[[#This Row],[promien]]&lt;40000,1,0)</f>
        <v>1</v>
      </c>
      <c r="E147" s="1">
        <f>IF(Tabela1[[#This Row],[promien]]=40000,1,0)</f>
        <v>0</v>
      </c>
      <c r="F147" s="1">
        <v>3.129251700680272</v>
      </c>
      <c r="G147" s="1">
        <v>1.2340952909521086E-2</v>
      </c>
    </row>
    <row r="148" spans="1:7">
      <c r="A148">
        <v>369</v>
      </c>
      <c r="B148">
        <v>382</v>
      </c>
      <c r="C148" s="1">
        <f>(Tabela1[[#This Row],[x]]-H$3)*(Tabela1[[#This Row],[x]]-H$3) +(Tabela1[[#This Row],[y]]-H$4)*(Tabela1[[#This Row],[y]]-H$4)</f>
        <v>61685</v>
      </c>
      <c r="D148" s="1">
        <f>IF(Tabela1[[#This Row],[promien]]&lt;40000,1,0)</f>
        <v>0</v>
      </c>
      <c r="E148" s="1">
        <f>IF(Tabela1[[#This Row],[promien]]=40000,1,0)</f>
        <v>0</v>
      </c>
      <c r="F148" s="1">
        <v>3.1081081081081079</v>
      </c>
      <c r="G148" s="1">
        <v>3.3484545481685224E-2</v>
      </c>
    </row>
    <row r="149" spans="1:7">
      <c r="A149">
        <v>260</v>
      </c>
      <c r="B149">
        <v>204</v>
      </c>
      <c r="C149" s="1">
        <f>(Tabela1[[#This Row],[x]]-H$3)*(Tabela1[[#This Row],[x]]-H$3) +(Tabela1[[#This Row],[y]]-H$4)*(Tabela1[[#This Row],[y]]-H$4)</f>
        <v>3616</v>
      </c>
      <c r="D149" s="1">
        <f>IF(Tabela1[[#This Row],[promien]]&lt;40000,1,0)</f>
        <v>1</v>
      </c>
      <c r="E149" s="1">
        <f>IF(Tabela1[[#This Row],[promien]]=40000,1,0)</f>
        <v>0</v>
      </c>
      <c r="F149" s="1">
        <v>3.1140939597315436</v>
      </c>
      <c r="G149" s="1">
        <v>2.7498693858249545E-2</v>
      </c>
    </row>
    <row r="150" spans="1:7">
      <c r="A150">
        <v>81</v>
      </c>
      <c r="B150">
        <v>42</v>
      </c>
      <c r="C150" s="1">
        <f>(Tabela1[[#This Row],[x]]-H$3)*(Tabela1[[#This Row],[x]]-H$3) +(Tabela1[[#This Row],[y]]-H$4)*(Tabela1[[#This Row],[y]]-H$4)</f>
        <v>39125</v>
      </c>
      <c r="D150" s="1">
        <f>IF(Tabela1[[#This Row],[promien]]&lt;40000,1,0)</f>
        <v>1</v>
      </c>
      <c r="E150" s="1">
        <f>IF(Tabela1[[#This Row],[promien]]=40000,1,0)</f>
        <v>0</v>
      </c>
      <c r="F150" s="1">
        <v>3.12</v>
      </c>
      <c r="G150" s="1">
        <v>2.1592653589793009E-2</v>
      </c>
    </row>
    <row r="151" spans="1:7">
      <c r="A151">
        <v>60</v>
      </c>
      <c r="B151">
        <v>181</v>
      </c>
      <c r="C151" s="1">
        <f>(Tabela1[[#This Row],[x]]-H$3)*(Tabela1[[#This Row],[x]]-H$3) +(Tabela1[[#This Row],[y]]-H$4)*(Tabela1[[#This Row],[y]]-H$4)</f>
        <v>19961</v>
      </c>
      <c r="D151" s="1">
        <f>IF(Tabela1[[#This Row],[promien]]&lt;40000,1,0)</f>
        <v>1</v>
      </c>
      <c r="E151" s="1">
        <f>IF(Tabela1[[#This Row],[promien]]=40000,1,0)</f>
        <v>0</v>
      </c>
      <c r="F151" s="1">
        <v>3.1258278145695364</v>
      </c>
      <c r="G151" s="1">
        <v>1.5764839020256716E-2</v>
      </c>
    </row>
    <row r="152" spans="1:7">
      <c r="A152">
        <v>382</v>
      </c>
      <c r="B152">
        <v>203</v>
      </c>
      <c r="C152" s="1">
        <f>(Tabela1[[#This Row],[x]]-H$3)*(Tabela1[[#This Row],[x]]-H$3) +(Tabela1[[#This Row],[y]]-H$4)*(Tabela1[[#This Row],[y]]-H$4)</f>
        <v>33133</v>
      </c>
      <c r="D152" s="1">
        <f>IF(Tabela1[[#This Row],[promien]]&lt;40000,1,0)</f>
        <v>1</v>
      </c>
      <c r="E152" s="1">
        <f>IF(Tabela1[[#This Row],[promien]]=40000,1,0)</f>
        <v>0</v>
      </c>
      <c r="F152" s="1">
        <v>3.1315789473684212</v>
      </c>
      <c r="G152" s="1">
        <v>1.0013706221371876E-2</v>
      </c>
    </row>
    <row r="153" spans="1:7">
      <c r="A153">
        <v>322</v>
      </c>
      <c r="B153">
        <v>187</v>
      </c>
      <c r="C153" s="1">
        <f>(Tabela1[[#This Row],[x]]-H$3)*(Tabela1[[#This Row],[x]]-H$3) +(Tabela1[[#This Row],[y]]-H$4)*(Tabela1[[#This Row],[y]]-H$4)</f>
        <v>15053</v>
      </c>
      <c r="D153" s="1">
        <f>IF(Tabela1[[#This Row],[promien]]&lt;40000,1,0)</f>
        <v>1</v>
      </c>
      <c r="E153" s="1">
        <f>IF(Tabela1[[#This Row],[promien]]=40000,1,0)</f>
        <v>0</v>
      </c>
      <c r="F153" s="1">
        <v>3.1372549019607843</v>
      </c>
      <c r="G153" s="1">
        <v>4.3377516290088458E-3</v>
      </c>
    </row>
    <row r="154" spans="1:7">
      <c r="A154">
        <v>45</v>
      </c>
      <c r="B154">
        <v>21</v>
      </c>
      <c r="C154" s="1">
        <f>(Tabela1[[#This Row],[x]]-H$3)*(Tabela1[[#This Row],[x]]-H$3) +(Tabela1[[#This Row],[y]]-H$4)*(Tabela1[[#This Row],[y]]-H$4)</f>
        <v>56066</v>
      </c>
      <c r="D154" s="1">
        <f>IF(Tabela1[[#This Row],[promien]]&lt;40000,1,0)</f>
        <v>0</v>
      </c>
      <c r="E154" s="1">
        <f>IF(Tabela1[[#This Row],[promien]]=40000,1,0)</f>
        <v>0</v>
      </c>
      <c r="F154" s="1">
        <v>3.116883116883117</v>
      </c>
      <c r="G154" s="1">
        <v>2.4709536706676083E-2</v>
      </c>
    </row>
    <row r="155" spans="1:7">
      <c r="A155">
        <v>149</v>
      </c>
      <c r="B155">
        <v>241</v>
      </c>
      <c r="C155" s="1">
        <f>(Tabela1[[#This Row],[x]]-H$3)*(Tabela1[[#This Row],[x]]-H$3) +(Tabela1[[#This Row],[y]]-H$4)*(Tabela1[[#This Row],[y]]-H$4)</f>
        <v>4282</v>
      </c>
      <c r="D155" s="1">
        <f>IF(Tabela1[[#This Row],[promien]]&lt;40000,1,0)</f>
        <v>1</v>
      </c>
      <c r="E155" s="1">
        <f>IF(Tabela1[[#This Row],[promien]]=40000,1,0)</f>
        <v>0</v>
      </c>
      <c r="F155" s="1">
        <v>3.1225806451612903</v>
      </c>
      <c r="G155" s="1">
        <v>1.9012008428502813E-2</v>
      </c>
    </row>
    <row r="156" spans="1:7">
      <c r="A156">
        <v>364</v>
      </c>
      <c r="B156">
        <v>34</v>
      </c>
      <c r="C156" s="1">
        <f>(Tabela1[[#This Row],[x]]-H$3)*(Tabela1[[#This Row],[x]]-H$3) +(Tabela1[[#This Row],[y]]-H$4)*(Tabela1[[#This Row],[y]]-H$4)</f>
        <v>54452</v>
      </c>
      <c r="D156" s="1">
        <f>IF(Tabela1[[#This Row],[promien]]&lt;40000,1,0)</f>
        <v>0</v>
      </c>
      <c r="E156" s="1">
        <f>IF(Tabela1[[#This Row],[promien]]=40000,1,0)</f>
        <v>0</v>
      </c>
      <c r="F156" s="1">
        <v>3.1025641025641026</v>
      </c>
      <c r="G156" s="1">
        <v>3.9028551025690472E-2</v>
      </c>
    </row>
    <row r="157" spans="1:7">
      <c r="A157">
        <v>116</v>
      </c>
      <c r="B157">
        <v>342</v>
      </c>
      <c r="C157" s="1">
        <f>(Tabela1[[#This Row],[x]]-H$3)*(Tabela1[[#This Row],[x]]-H$3) +(Tabela1[[#This Row],[y]]-H$4)*(Tabela1[[#This Row],[y]]-H$4)</f>
        <v>27220</v>
      </c>
      <c r="D157" s="1">
        <f>IF(Tabela1[[#This Row],[promien]]&lt;40000,1,0)</f>
        <v>1</v>
      </c>
      <c r="E157" s="1">
        <f>IF(Tabela1[[#This Row],[promien]]=40000,1,0)</f>
        <v>0</v>
      </c>
      <c r="F157" s="1">
        <v>3.1082802547770703</v>
      </c>
      <c r="G157" s="1">
        <v>3.3312398812722854E-2</v>
      </c>
    </row>
    <row r="158" spans="1:7">
      <c r="A158">
        <v>104</v>
      </c>
      <c r="B158">
        <v>153</v>
      </c>
      <c r="C158" s="1">
        <f>(Tabela1[[#This Row],[x]]-H$3)*(Tabela1[[#This Row],[x]]-H$3) +(Tabela1[[#This Row],[y]]-H$4)*(Tabela1[[#This Row],[y]]-H$4)</f>
        <v>11425</v>
      </c>
      <c r="D158" s="1">
        <f>IF(Tabela1[[#This Row],[promien]]&lt;40000,1,0)</f>
        <v>1</v>
      </c>
      <c r="E158" s="1">
        <f>IF(Tabela1[[#This Row],[promien]]=40000,1,0)</f>
        <v>0</v>
      </c>
      <c r="F158" s="1">
        <v>3.1139240506329116</v>
      </c>
      <c r="G158" s="1">
        <v>2.7668602956881561E-2</v>
      </c>
    </row>
    <row r="159" spans="1:7">
      <c r="A159">
        <v>200</v>
      </c>
      <c r="B159">
        <v>148</v>
      </c>
      <c r="C159" s="1">
        <f>(Tabela1[[#This Row],[x]]-H$3)*(Tabela1[[#This Row],[x]]-H$3) +(Tabela1[[#This Row],[y]]-H$4)*(Tabela1[[#This Row],[y]]-H$4)</f>
        <v>2704</v>
      </c>
      <c r="D159" s="1">
        <f>IF(Tabela1[[#This Row],[promien]]&lt;40000,1,0)</f>
        <v>1</v>
      </c>
      <c r="E159" s="1">
        <f>IF(Tabela1[[#This Row],[promien]]=40000,1,0)</f>
        <v>0</v>
      </c>
      <c r="F159" s="1">
        <v>3.1194968553459121</v>
      </c>
      <c r="G159" s="1">
        <v>2.2095798243880971E-2</v>
      </c>
    </row>
    <row r="160" spans="1:7">
      <c r="A160">
        <v>55</v>
      </c>
      <c r="B160">
        <v>65</v>
      </c>
      <c r="C160" s="1">
        <f>(Tabela1[[#This Row],[x]]-H$3)*(Tabela1[[#This Row],[x]]-H$3) +(Tabela1[[#This Row],[y]]-H$4)*(Tabela1[[#This Row],[y]]-H$4)</f>
        <v>39250</v>
      </c>
      <c r="D160" s="1">
        <f>IF(Tabela1[[#This Row],[promien]]&lt;40000,1,0)</f>
        <v>1</v>
      </c>
      <c r="E160" s="1">
        <f>IF(Tabela1[[#This Row],[promien]]=40000,1,0)</f>
        <v>0</v>
      </c>
      <c r="F160" s="1">
        <v>3.125</v>
      </c>
      <c r="G160" s="1">
        <v>1.6592653589793116E-2</v>
      </c>
    </row>
    <row r="161" spans="1:7">
      <c r="A161">
        <v>117</v>
      </c>
      <c r="B161">
        <v>192</v>
      </c>
      <c r="C161" s="1">
        <f>(Tabela1[[#This Row],[x]]-H$3)*(Tabela1[[#This Row],[x]]-H$3) +(Tabela1[[#This Row],[y]]-H$4)*(Tabela1[[#This Row],[y]]-H$4)</f>
        <v>6953</v>
      </c>
      <c r="D161" s="1">
        <f>IF(Tabela1[[#This Row],[promien]]&lt;40000,1,0)</f>
        <v>1</v>
      </c>
      <c r="E161" s="1">
        <f>IF(Tabela1[[#This Row],[promien]]=40000,1,0)</f>
        <v>0</v>
      </c>
      <c r="F161" s="1">
        <v>3.1304347826086958</v>
      </c>
      <c r="G161" s="1">
        <v>1.1157870981097329E-2</v>
      </c>
    </row>
    <row r="162" spans="1:7">
      <c r="A162">
        <v>82</v>
      </c>
      <c r="B162">
        <v>291</v>
      </c>
      <c r="C162" s="1">
        <f>(Tabela1[[#This Row],[x]]-H$3)*(Tabela1[[#This Row],[x]]-H$3) +(Tabela1[[#This Row],[y]]-H$4)*(Tabela1[[#This Row],[y]]-H$4)</f>
        <v>22205</v>
      </c>
      <c r="D162" s="1">
        <f>IF(Tabela1[[#This Row],[promien]]&lt;40000,1,0)</f>
        <v>1</v>
      </c>
      <c r="E162" s="1">
        <f>IF(Tabela1[[#This Row],[promien]]=40000,1,0)</f>
        <v>0</v>
      </c>
      <c r="F162" s="1">
        <v>3.1358024691358026</v>
      </c>
      <c r="G162" s="1">
        <v>5.7901844539904879E-3</v>
      </c>
    </row>
    <row r="163" spans="1:7">
      <c r="A163">
        <v>143</v>
      </c>
      <c r="B163">
        <v>132</v>
      </c>
      <c r="C163" s="1">
        <f>(Tabela1[[#This Row],[x]]-H$3)*(Tabela1[[#This Row],[x]]-H$3) +(Tabela1[[#This Row],[y]]-H$4)*(Tabela1[[#This Row],[y]]-H$4)</f>
        <v>7873</v>
      </c>
      <c r="D163" s="1">
        <f>IF(Tabela1[[#This Row],[promien]]&lt;40000,1,0)</f>
        <v>1</v>
      </c>
      <c r="E163" s="1">
        <f>IF(Tabela1[[#This Row],[promien]]=40000,1,0)</f>
        <v>0</v>
      </c>
      <c r="F163" s="1">
        <v>3.1411042944785277</v>
      </c>
      <c r="G163" s="1">
        <v>4.8835911126543508E-4</v>
      </c>
    </row>
    <row r="164" spans="1:7">
      <c r="A164">
        <v>364</v>
      </c>
      <c r="B164">
        <v>173</v>
      </c>
      <c r="C164" s="1">
        <f>(Tabela1[[#This Row],[x]]-H$3)*(Tabela1[[#This Row],[x]]-H$3) +(Tabela1[[#This Row],[y]]-H$4)*(Tabela1[[#This Row],[y]]-H$4)</f>
        <v>27625</v>
      </c>
      <c r="D164" s="1">
        <f>IF(Tabela1[[#This Row],[promien]]&lt;40000,1,0)</f>
        <v>1</v>
      </c>
      <c r="E164" s="1">
        <f>IF(Tabela1[[#This Row],[promien]]=40000,1,0)</f>
        <v>0</v>
      </c>
      <c r="F164" s="1">
        <v>3.1463414634146343</v>
      </c>
      <c r="G164" s="1">
        <v>4.7488098248411603E-3</v>
      </c>
    </row>
    <row r="165" spans="1:7">
      <c r="A165">
        <v>192</v>
      </c>
      <c r="B165">
        <v>368</v>
      </c>
      <c r="C165" s="1">
        <f>(Tabela1[[#This Row],[x]]-H$3)*(Tabela1[[#This Row],[x]]-H$3) +(Tabela1[[#This Row],[y]]-H$4)*(Tabela1[[#This Row],[y]]-H$4)</f>
        <v>28288</v>
      </c>
      <c r="D165" s="1">
        <f>IF(Tabela1[[#This Row],[promien]]&lt;40000,1,0)</f>
        <v>1</v>
      </c>
      <c r="E165" s="1">
        <f>IF(Tabela1[[#This Row],[promien]]=40000,1,0)</f>
        <v>0</v>
      </c>
      <c r="F165" s="1">
        <v>3.1515151515151514</v>
      </c>
      <c r="G165" s="1">
        <v>9.9224979253582646E-3</v>
      </c>
    </row>
    <row r="166" spans="1:7">
      <c r="A166">
        <v>55</v>
      </c>
      <c r="B166">
        <v>11</v>
      </c>
      <c r="C166" s="1">
        <f>(Tabela1[[#This Row],[x]]-H$3)*(Tabela1[[#This Row],[x]]-H$3) +(Tabela1[[#This Row],[y]]-H$4)*(Tabela1[[#This Row],[y]]-H$4)</f>
        <v>56746</v>
      </c>
      <c r="D166" s="1">
        <f>IF(Tabela1[[#This Row],[promien]]&lt;40000,1,0)</f>
        <v>0</v>
      </c>
      <c r="E166" s="1">
        <f>IF(Tabela1[[#This Row],[promien]]=40000,1,0)</f>
        <v>0</v>
      </c>
      <c r="F166" s="1">
        <v>3.1325301204819276</v>
      </c>
      <c r="G166" s="1">
        <v>9.0625331078655336E-3</v>
      </c>
    </row>
    <row r="167" spans="1:7">
      <c r="A167">
        <v>298</v>
      </c>
      <c r="B167">
        <v>241</v>
      </c>
      <c r="C167" s="1">
        <f>(Tabela1[[#This Row],[x]]-H$3)*(Tabela1[[#This Row],[x]]-H$3) +(Tabela1[[#This Row],[y]]-H$4)*(Tabela1[[#This Row],[y]]-H$4)</f>
        <v>11285</v>
      </c>
      <c r="D167" s="1">
        <f>IF(Tabela1[[#This Row],[promien]]&lt;40000,1,0)</f>
        <v>1</v>
      </c>
      <c r="E167" s="1">
        <f>IF(Tabela1[[#This Row],[promien]]=40000,1,0)</f>
        <v>0</v>
      </c>
      <c r="F167" s="1">
        <v>3.1377245508982035</v>
      </c>
      <c r="G167" s="1">
        <v>3.8681026915896588E-3</v>
      </c>
    </row>
    <row r="168" spans="1:7">
      <c r="A168">
        <v>218</v>
      </c>
      <c r="B168">
        <v>296</v>
      </c>
      <c r="C168" s="1">
        <f>(Tabela1[[#This Row],[x]]-H$3)*(Tabela1[[#This Row],[x]]-H$3) +(Tabela1[[#This Row],[y]]-H$4)*(Tabela1[[#This Row],[y]]-H$4)</f>
        <v>9540</v>
      </c>
      <c r="D168" s="1">
        <f>IF(Tabela1[[#This Row],[promien]]&lt;40000,1,0)</f>
        <v>1</v>
      </c>
      <c r="E168" s="1">
        <f>IF(Tabela1[[#This Row],[promien]]=40000,1,0)</f>
        <v>0</v>
      </c>
      <c r="F168" s="1">
        <v>3.1428571428571428</v>
      </c>
      <c r="G168" s="1">
        <v>1.2644892673496777E-3</v>
      </c>
    </row>
    <row r="169" spans="1:7">
      <c r="A169">
        <v>220</v>
      </c>
      <c r="B169">
        <v>116</v>
      </c>
      <c r="C169" s="1">
        <f>(Tabela1[[#This Row],[x]]-H$3)*(Tabela1[[#This Row],[x]]-H$3) +(Tabela1[[#This Row],[y]]-H$4)*(Tabela1[[#This Row],[y]]-H$4)</f>
        <v>7456</v>
      </c>
      <c r="D169" s="1">
        <f>IF(Tabela1[[#This Row],[promien]]&lt;40000,1,0)</f>
        <v>1</v>
      </c>
      <c r="E169" s="1">
        <f>IF(Tabela1[[#This Row],[promien]]=40000,1,0)</f>
        <v>0</v>
      </c>
      <c r="F169" s="1">
        <v>3.1479289940828403</v>
      </c>
      <c r="G169" s="1">
        <v>6.33634049304721E-3</v>
      </c>
    </row>
    <row r="170" spans="1:7">
      <c r="A170">
        <v>210</v>
      </c>
      <c r="B170">
        <v>5</v>
      </c>
      <c r="C170" s="1">
        <f>(Tabela1[[#This Row],[x]]-H$3)*(Tabela1[[#This Row],[x]]-H$3) +(Tabela1[[#This Row],[y]]-H$4)*(Tabela1[[#This Row],[y]]-H$4)</f>
        <v>38125</v>
      </c>
      <c r="D170" s="1">
        <f>IF(Tabela1[[#This Row],[promien]]&lt;40000,1,0)</f>
        <v>1</v>
      </c>
      <c r="E170" s="1">
        <f>IF(Tabela1[[#This Row],[promien]]=40000,1,0)</f>
        <v>0</v>
      </c>
      <c r="F170" s="1">
        <v>3.1529411764705881</v>
      </c>
      <c r="G170" s="1">
        <v>1.134852288079502E-2</v>
      </c>
    </row>
    <row r="171" spans="1:7">
      <c r="A171">
        <v>253</v>
      </c>
      <c r="B171">
        <v>126</v>
      </c>
      <c r="C171" s="1">
        <f>(Tabela1[[#This Row],[x]]-H$3)*(Tabela1[[#This Row],[x]]-H$3) +(Tabela1[[#This Row],[y]]-H$4)*(Tabela1[[#This Row],[y]]-H$4)</f>
        <v>8285</v>
      </c>
      <c r="D171" s="1">
        <f>IF(Tabela1[[#This Row],[promien]]&lt;40000,1,0)</f>
        <v>1</v>
      </c>
      <c r="E171" s="1">
        <f>IF(Tabela1[[#This Row],[promien]]=40000,1,0)</f>
        <v>0</v>
      </c>
      <c r="F171" s="1">
        <v>3.1578947368421053</v>
      </c>
      <c r="G171" s="1">
        <v>1.6302083252312194E-2</v>
      </c>
    </row>
    <row r="172" spans="1:7">
      <c r="A172">
        <v>134</v>
      </c>
      <c r="B172">
        <v>305</v>
      </c>
      <c r="C172" s="1">
        <f>(Tabela1[[#This Row],[x]]-H$3)*(Tabela1[[#This Row],[x]]-H$3) +(Tabela1[[#This Row],[y]]-H$4)*(Tabela1[[#This Row],[y]]-H$4)</f>
        <v>15381</v>
      </c>
      <c r="D172" s="1">
        <f>IF(Tabela1[[#This Row],[promien]]&lt;40000,1,0)</f>
        <v>1</v>
      </c>
      <c r="E172" s="1">
        <f>IF(Tabela1[[#This Row],[promien]]=40000,1,0)</f>
        <v>0</v>
      </c>
      <c r="F172" s="1">
        <v>3.1627906976744184</v>
      </c>
      <c r="G172" s="1">
        <v>2.1198044084625334E-2</v>
      </c>
    </row>
    <row r="173" spans="1:7">
      <c r="A173">
        <v>101</v>
      </c>
      <c r="B173">
        <v>312</v>
      </c>
      <c r="C173" s="1">
        <f>(Tabela1[[#This Row],[x]]-H$3)*(Tabela1[[#This Row],[x]]-H$3) +(Tabela1[[#This Row],[y]]-H$4)*(Tabela1[[#This Row],[y]]-H$4)</f>
        <v>22345</v>
      </c>
      <c r="D173" s="1">
        <f>IF(Tabela1[[#This Row],[promien]]&lt;40000,1,0)</f>
        <v>1</v>
      </c>
      <c r="E173" s="1">
        <f>IF(Tabela1[[#This Row],[promien]]=40000,1,0)</f>
        <v>0</v>
      </c>
      <c r="F173" s="1">
        <v>3.1676300578034682</v>
      </c>
      <c r="G173" s="1">
        <v>2.6037404213675064E-2</v>
      </c>
    </row>
    <row r="174" spans="1:7">
      <c r="A174">
        <v>98</v>
      </c>
      <c r="B174">
        <v>39</v>
      </c>
      <c r="C174" s="1">
        <f>(Tabela1[[#This Row],[x]]-H$3)*(Tabela1[[#This Row],[x]]-H$3) +(Tabela1[[#This Row],[y]]-H$4)*(Tabela1[[#This Row],[y]]-H$4)</f>
        <v>36325</v>
      </c>
      <c r="D174" s="1">
        <f>IF(Tabela1[[#This Row],[promien]]&lt;40000,1,0)</f>
        <v>1</v>
      </c>
      <c r="E174" s="1">
        <f>IF(Tabela1[[#This Row],[promien]]=40000,1,0)</f>
        <v>0</v>
      </c>
      <c r="F174" s="1">
        <v>3.1724137931034484</v>
      </c>
      <c r="G174" s="1">
        <v>3.0821139513655282E-2</v>
      </c>
    </row>
    <row r="175" spans="1:7">
      <c r="A175">
        <v>241</v>
      </c>
      <c r="B175">
        <v>378</v>
      </c>
      <c r="C175" s="1">
        <f>(Tabela1[[#This Row],[x]]-H$3)*(Tabela1[[#This Row],[x]]-H$3) +(Tabela1[[#This Row],[y]]-H$4)*(Tabela1[[#This Row],[y]]-H$4)</f>
        <v>33365</v>
      </c>
      <c r="D175" s="1">
        <f>IF(Tabela1[[#This Row],[promien]]&lt;40000,1,0)</f>
        <v>1</v>
      </c>
      <c r="E175" s="1">
        <f>IF(Tabela1[[#This Row],[promien]]=40000,1,0)</f>
        <v>0</v>
      </c>
      <c r="F175" s="1">
        <v>3.177142857142857</v>
      </c>
      <c r="G175" s="1">
        <v>3.555020355306393E-2</v>
      </c>
    </row>
    <row r="176" spans="1:7">
      <c r="A176">
        <v>108</v>
      </c>
      <c r="B176">
        <v>319</v>
      </c>
      <c r="C176" s="1">
        <f>(Tabela1[[#This Row],[x]]-H$3)*(Tabela1[[#This Row],[x]]-H$3) +(Tabela1[[#This Row],[y]]-H$4)*(Tabela1[[#This Row],[y]]-H$4)</f>
        <v>22625</v>
      </c>
      <c r="D176" s="1">
        <f>IF(Tabela1[[#This Row],[promien]]&lt;40000,1,0)</f>
        <v>1</v>
      </c>
      <c r="E176" s="1">
        <f>IF(Tabela1[[#This Row],[promien]]=40000,1,0)</f>
        <v>0</v>
      </c>
      <c r="F176" s="1">
        <v>3.1818181818181817</v>
      </c>
      <c r="G176" s="1">
        <v>4.0225528228388541E-2</v>
      </c>
    </row>
    <row r="177" spans="1:7">
      <c r="A177">
        <v>7</v>
      </c>
      <c r="B177">
        <v>362</v>
      </c>
      <c r="C177" s="1">
        <f>(Tabela1[[#This Row],[x]]-H$3)*(Tabela1[[#This Row],[x]]-H$3) +(Tabela1[[#This Row],[y]]-H$4)*(Tabela1[[#This Row],[y]]-H$4)</f>
        <v>63493</v>
      </c>
      <c r="D177" s="1">
        <f>IF(Tabela1[[#This Row],[promien]]&lt;40000,1,0)</f>
        <v>0</v>
      </c>
      <c r="E177" s="1">
        <f>IF(Tabela1[[#This Row],[promien]]=40000,1,0)</f>
        <v>0</v>
      </c>
      <c r="F177" s="1">
        <v>3.1638418079096047</v>
      </c>
      <c r="G177" s="1">
        <v>2.2249154319811559E-2</v>
      </c>
    </row>
    <row r="178" spans="1:7">
      <c r="A178">
        <v>149</v>
      </c>
      <c r="B178">
        <v>112</v>
      </c>
      <c r="C178" s="1">
        <f>(Tabela1[[#This Row],[x]]-H$3)*(Tabela1[[#This Row],[x]]-H$3) +(Tabela1[[#This Row],[y]]-H$4)*(Tabela1[[#This Row],[y]]-H$4)</f>
        <v>10345</v>
      </c>
      <c r="D178" s="1">
        <f>IF(Tabela1[[#This Row],[promien]]&lt;40000,1,0)</f>
        <v>1</v>
      </c>
      <c r="E178" s="1">
        <f>IF(Tabela1[[#This Row],[promien]]=40000,1,0)</f>
        <v>0</v>
      </c>
      <c r="F178" s="1">
        <v>3.1685393258426968</v>
      </c>
      <c r="G178" s="1">
        <v>2.6946672252903703E-2</v>
      </c>
    </row>
    <row r="179" spans="1:7">
      <c r="A179">
        <v>104</v>
      </c>
      <c r="B179">
        <v>343</v>
      </c>
      <c r="C179" s="1">
        <f>(Tabela1[[#This Row],[x]]-H$3)*(Tabela1[[#This Row],[x]]-H$3) +(Tabela1[[#This Row],[y]]-H$4)*(Tabela1[[#This Row],[y]]-H$4)</f>
        <v>29665</v>
      </c>
      <c r="D179" s="1">
        <f>IF(Tabela1[[#This Row],[promien]]&lt;40000,1,0)</f>
        <v>1</v>
      </c>
      <c r="E179" s="1">
        <f>IF(Tabela1[[#This Row],[promien]]=40000,1,0)</f>
        <v>0</v>
      </c>
      <c r="F179" s="1">
        <v>3.1731843575418996</v>
      </c>
      <c r="G179" s="1">
        <v>3.1591703952106531E-2</v>
      </c>
    </row>
    <row r="180" spans="1:7">
      <c r="A180">
        <v>265</v>
      </c>
      <c r="B180">
        <v>44</v>
      </c>
      <c r="C180" s="1">
        <f>(Tabela1[[#This Row],[x]]-H$3)*(Tabela1[[#This Row],[x]]-H$3) +(Tabela1[[#This Row],[y]]-H$4)*(Tabela1[[#This Row],[y]]-H$4)</f>
        <v>28561</v>
      </c>
      <c r="D180" s="1">
        <f>IF(Tabela1[[#This Row],[promien]]&lt;40000,1,0)</f>
        <v>1</v>
      </c>
      <c r="E180" s="1">
        <f>IF(Tabela1[[#This Row],[promien]]=40000,1,0)</f>
        <v>0</v>
      </c>
      <c r="F180" s="1">
        <v>3.1777777777777776</v>
      </c>
      <c r="G180" s="1">
        <v>3.6185124187984474E-2</v>
      </c>
    </row>
    <row r="181" spans="1:7">
      <c r="A181">
        <v>102</v>
      </c>
      <c r="B181">
        <v>191</v>
      </c>
      <c r="C181" s="1">
        <f>(Tabela1[[#This Row],[x]]-H$3)*(Tabela1[[#This Row],[x]]-H$3) +(Tabela1[[#This Row],[y]]-H$4)*(Tabela1[[#This Row],[y]]-H$4)</f>
        <v>9685</v>
      </c>
      <c r="D181" s="1">
        <f>IF(Tabela1[[#This Row],[promien]]&lt;40000,1,0)</f>
        <v>1</v>
      </c>
      <c r="E181" s="1">
        <f>IF(Tabela1[[#This Row],[promien]]=40000,1,0)</f>
        <v>0</v>
      </c>
      <c r="F181" s="1">
        <v>3.1823204419889501</v>
      </c>
      <c r="G181" s="1">
        <v>4.0727788399157028E-2</v>
      </c>
    </row>
    <row r="182" spans="1:7">
      <c r="A182">
        <v>48</v>
      </c>
      <c r="B182">
        <v>376</v>
      </c>
      <c r="C182" s="1">
        <f>(Tabela1[[#This Row],[x]]-H$3)*(Tabela1[[#This Row],[x]]-H$3) +(Tabela1[[#This Row],[y]]-H$4)*(Tabela1[[#This Row],[y]]-H$4)</f>
        <v>54080</v>
      </c>
      <c r="D182" s="1">
        <f>IF(Tabela1[[#This Row],[promien]]&lt;40000,1,0)</f>
        <v>0</v>
      </c>
      <c r="E182" s="1">
        <f>IF(Tabela1[[#This Row],[promien]]=40000,1,0)</f>
        <v>0</v>
      </c>
      <c r="F182" s="1">
        <v>3.1648351648351647</v>
      </c>
      <c r="G182" s="1">
        <v>2.3242511245371578E-2</v>
      </c>
    </row>
    <row r="183" spans="1:7">
      <c r="A183">
        <v>294</v>
      </c>
      <c r="B183">
        <v>293</v>
      </c>
      <c r="C183" s="1">
        <f>(Tabela1[[#This Row],[x]]-H$3)*(Tabela1[[#This Row],[x]]-H$3) +(Tabela1[[#This Row],[y]]-H$4)*(Tabela1[[#This Row],[y]]-H$4)</f>
        <v>17485</v>
      </c>
      <c r="D183" s="1">
        <f>IF(Tabela1[[#This Row],[promien]]&lt;40000,1,0)</f>
        <v>1</v>
      </c>
      <c r="E183" s="1">
        <f>IF(Tabela1[[#This Row],[promien]]=40000,1,0)</f>
        <v>0</v>
      </c>
      <c r="F183" s="1">
        <v>3.1693989071038251</v>
      </c>
      <c r="G183" s="1">
        <v>2.7806253514031987E-2</v>
      </c>
    </row>
    <row r="184" spans="1:7">
      <c r="A184">
        <v>235</v>
      </c>
      <c r="B184">
        <v>170</v>
      </c>
      <c r="C184" s="1">
        <f>(Tabela1[[#This Row],[x]]-H$3)*(Tabela1[[#This Row],[x]]-H$3) +(Tabela1[[#This Row],[y]]-H$4)*(Tabela1[[#This Row],[y]]-H$4)</f>
        <v>2125</v>
      </c>
      <c r="D184" s="1">
        <f>IF(Tabela1[[#This Row],[promien]]&lt;40000,1,0)</f>
        <v>1</v>
      </c>
      <c r="E184" s="1">
        <f>IF(Tabela1[[#This Row],[promien]]=40000,1,0)</f>
        <v>0</v>
      </c>
      <c r="F184" s="1">
        <v>3.1739130434782608</v>
      </c>
      <c r="G184" s="1">
        <v>3.2320389888467638E-2</v>
      </c>
    </row>
    <row r="185" spans="1:7">
      <c r="A185">
        <v>8</v>
      </c>
      <c r="B185">
        <v>145</v>
      </c>
      <c r="C185" s="1">
        <f>(Tabela1[[#This Row],[x]]-H$3)*(Tabela1[[#This Row],[x]]-H$3) +(Tabela1[[#This Row],[y]]-H$4)*(Tabela1[[#This Row],[y]]-H$4)</f>
        <v>39889</v>
      </c>
      <c r="D185" s="1">
        <f>IF(Tabela1[[#This Row],[promien]]&lt;40000,1,0)</f>
        <v>1</v>
      </c>
      <c r="E185" s="1">
        <f>IF(Tabela1[[#This Row],[promien]]=40000,1,0)</f>
        <v>0</v>
      </c>
      <c r="F185" s="1">
        <v>3.1783783783783783</v>
      </c>
      <c r="G185" s="1">
        <v>3.6785724788585217E-2</v>
      </c>
    </row>
    <row r="186" spans="1:7">
      <c r="A186">
        <v>1</v>
      </c>
      <c r="B186">
        <v>16</v>
      </c>
      <c r="C186" s="1">
        <f>(Tabela1[[#This Row],[x]]-H$3)*(Tabela1[[#This Row],[x]]-H$3) +(Tabela1[[#This Row],[y]]-H$4)*(Tabela1[[#This Row],[y]]-H$4)</f>
        <v>73457</v>
      </c>
      <c r="D186" s="1">
        <f>IF(Tabela1[[#This Row],[promien]]&lt;40000,1,0)</f>
        <v>0</v>
      </c>
      <c r="E186" s="1">
        <f>IF(Tabela1[[#This Row],[promien]]=40000,1,0)</f>
        <v>0</v>
      </c>
      <c r="F186" s="1">
        <v>3.161290322580645</v>
      </c>
      <c r="G186" s="1">
        <v>1.9697668990851902E-2</v>
      </c>
    </row>
    <row r="187" spans="1:7">
      <c r="A187">
        <v>62</v>
      </c>
      <c r="B187">
        <v>120</v>
      </c>
      <c r="C187" s="1">
        <f>(Tabela1[[#This Row],[x]]-H$3)*(Tabela1[[#This Row],[x]]-H$3) +(Tabela1[[#This Row],[y]]-H$4)*(Tabela1[[#This Row],[y]]-H$4)</f>
        <v>25444</v>
      </c>
      <c r="D187" s="1">
        <f>IF(Tabela1[[#This Row],[promien]]&lt;40000,1,0)</f>
        <v>1</v>
      </c>
      <c r="E187" s="1">
        <f>IF(Tabela1[[#This Row],[promien]]=40000,1,0)</f>
        <v>0</v>
      </c>
      <c r="F187" s="1">
        <v>3.1657754010695189</v>
      </c>
      <c r="G187" s="1">
        <v>2.4182747479725819E-2</v>
      </c>
    </row>
    <row r="188" spans="1:7">
      <c r="A188">
        <v>98</v>
      </c>
      <c r="B188">
        <v>61</v>
      </c>
      <c r="C188" s="1">
        <f>(Tabela1[[#This Row],[x]]-H$3)*(Tabela1[[#This Row],[x]]-H$3) +(Tabela1[[#This Row],[y]]-H$4)*(Tabela1[[#This Row],[y]]-H$4)</f>
        <v>29725</v>
      </c>
      <c r="D188" s="1">
        <f>IF(Tabela1[[#This Row],[promien]]&lt;40000,1,0)</f>
        <v>1</v>
      </c>
      <c r="E188" s="1">
        <f>IF(Tabela1[[#This Row],[promien]]=40000,1,0)</f>
        <v>0</v>
      </c>
      <c r="F188" s="1">
        <v>3.1702127659574466</v>
      </c>
      <c r="G188" s="1">
        <v>2.8620112367653494E-2</v>
      </c>
    </row>
    <row r="189" spans="1:7">
      <c r="A189">
        <v>129</v>
      </c>
      <c r="B189">
        <v>357</v>
      </c>
      <c r="C189" s="1">
        <f>(Tabela1[[#This Row],[x]]-H$3)*(Tabela1[[#This Row],[x]]-H$3) +(Tabela1[[#This Row],[y]]-H$4)*(Tabela1[[#This Row],[y]]-H$4)</f>
        <v>29690</v>
      </c>
      <c r="D189" s="1">
        <f>IF(Tabela1[[#This Row],[promien]]&lt;40000,1,0)</f>
        <v>1</v>
      </c>
      <c r="E189" s="1">
        <f>IF(Tabela1[[#This Row],[promien]]=40000,1,0)</f>
        <v>0</v>
      </c>
      <c r="F189" s="1">
        <v>3.1746031746031744</v>
      </c>
      <c r="G189" s="1">
        <v>3.3010521013381311E-2</v>
      </c>
    </row>
    <row r="190" spans="1:7">
      <c r="A190">
        <v>337</v>
      </c>
      <c r="B190">
        <v>94</v>
      </c>
      <c r="C190" s="1">
        <f>(Tabela1[[#This Row],[x]]-H$3)*(Tabela1[[#This Row],[x]]-H$3) +(Tabela1[[#This Row],[y]]-H$4)*(Tabela1[[#This Row],[y]]-H$4)</f>
        <v>30005</v>
      </c>
      <c r="D190" s="1">
        <f>IF(Tabela1[[#This Row],[promien]]&lt;40000,1,0)</f>
        <v>1</v>
      </c>
      <c r="E190" s="1">
        <f>IF(Tabela1[[#This Row],[promien]]=40000,1,0)</f>
        <v>0</v>
      </c>
      <c r="F190" s="1">
        <v>3.1789473684210527</v>
      </c>
      <c r="G190" s="1">
        <v>3.7354714831259628E-2</v>
      </c>
    </row>
    <row r="191" spans="1:7">
      <c r="A191">
        <v>19</v>
      </c>
      <c r="B191">
        <v>195</v>
      </c>
      <c r="C191" s="1">
        <f>(Tabela1[[#This Row],[x]]-H$3)*(Tabela1[[#This Row],[x]]-H$3) +(Tabela1[[#This Row],[y]]-H$4)*(Tabela1[[#This Row],[y]]-H$4)</f>
        <v>32786</v>
      </c>
      <c r="D191" s="1">
        <f>IF(Tabela1[[#This Row],[promien]]&lt;40000,1,0)</f>
        <v>1</v>
      </c>
      <c r="E191" s="1">
        <f>IF(Tabela1[[#This Row],[promien]]=40000,1,0)</f>
        <v>0</v>
      </c>
      <c r="F191" s="1">
        <v>3.1832460732984291</v>
      </c>
      <c r="G191" s="1">
        <v>4.1653419708636008E-2</v>
      </c>
    </row>
    <row r="192" spans="1:7">
      <c r="A192">
        <v>313</v>
      </c>
      <c r="B192">
        <v>128</v>
      </c>
      <c r="C192" s="1">
        <f>(Tabela1[[#This Row],[x]]-H$3)*(Tabela1[[#This Row],[x]]-H$3) +(Tabela1[[#This Row],[y]]-H$4)*(Tabela1[[#This Row],[y]]-H$4)</f>
        <v>17953</v>
      </c>
      <c r="D192" s="1">
        <f>IF(Tabela1[[#This Row],[promien]]&lt;40000,1,0)</f>
        <v>1</v>
      </c>
      <c r="E192" s="1">
        <f>IF(Tabela1[[#This Row],[promien]]=40000,1,0)</f>
        <v>0</v>
      </c>
      <c r="F192" s="1">
        <v>3.1875</v>
      </c>
      <c r="G192" s="1">
        <v>4.5907346410206884E-2</v>
      </c>
    </row>
    <row r="193" spans="1:7">
      <c r="A193">
        <v>69</v>
      </c>
      <c r="B193">
        <v>130</v>
      </c>
      <c r="C193" s="1">
        <f>(Tabela1[[#This Row],[x]]-H$3)*(Tabela1[[#This Row],[x]]-H$3) +(Tabela1[[#This Row],[y]]-H$4)*(Tabela1[[#This Row],[y]]-H$4)</f>
        <v>22061</v>
      </c>
      <c r="D193" s="1">
        <f>IF(Tabela1[[#This Row],[promien]]&lt;40000,1,0)</f>
        <v>1</v>
      </c>
      <c r="E193" s="1">
        <f>IF(Tabela1[[#This Row],[promien]]=40000,1,0)</f>
        <v>0</v>
      </c>
      <c r="F193" s="1">
        <v>3.1917098445595853</v>
      </c>
      <c r="G193" s="1">
        <v>5.0117190969792169E-2</v>
      </c>
    </row>
    <row r="194" spans="1:7">
      <c r="A194">
        <v>206</v>
      </c>
      <c r="B194">
        <v>339</v>
      </c>
      <c r="C194" s="1">
        <f>(Tabela1[[#This Row],[x]]-H$3)*(Tabela1[[#This Row],[x]]-H$3) +(Tabela1[[#This Row],[y]]-H$4)*(Tabela1[[#This Row],[y]]-H$4)</f>
        <v>19357</v>
      </c>
      <c r="D194" s="1">
        <f>IF(Tabela1[[#This Row],[promien]]&lt;40000,1,0)</f>
        <v>1</v>
      </c>
      <c r="E194" s="1">
        <f>IF(Tabela1[[#This Row],[promien]]=40000,1,0)</f>
        <v>0</v>
      </c>
      <c r="F194" s="1">
        <v>3.195876288659794</v>
      </c>
      <c r="G194" s="1">
        <v>5.4283635070000891E-2</v>
      </c>
    </row>
    <row r="195" spans="1:7">
      <c r="A195">
        <v>43</v>
      </c>
      <c r="B195">
        <v>223</v>
      </c>
      <c r="C195" s="1">
        <f>(Tabela1[[#This Row],[x]]-H$3)*(Tabela1[[#This Row],[x]]-H$3) +(Tabela1[[#This Row],[y]]-H$4)*(Tabela1[[#This Row],[y]]-H$4)</f>
        <v>25178</v>
      </c>
      <c r="D195" s="1">
        <f>IF(Tabela1[[#This Row],[promien]]&lt;40000,1,0)</f>
        <v>1</v>
      </c>
      <c r="E195" s="1">
        <f>IF(Tabela1[[#This Row],[promien]]=40000,1,0)</f>
        <v>0</v>
      </c>
      <c r="F195" s="1">
        <v>3.2</v>
      </c>
      <c r="G195" s="1">
        <v>5.8407346410207062E-2</v>
      </c>
    </row>
    <row r="196" spans="1:7">
      <c r="A196">
        <v>46</v>
      </c>
      <c r="B196">
        <v>270</v>
      </c>
      <c r="C196" s="1">
        <f>(Tabela1[[#This Row],[x]]-H$3)*(Tabela1[[#This Row],[x]]-H$3) +(Tabela1[[#This Row],[y]]-H$4)*(Tabela1[[#This Row],[y]]-H$4)</f>
        <v>28616</v>
      </c>
      <c r="D196" s="1">
        <f>IF(Tabela1[[#This Row],[promien]]&lt;40000,1,0)</f>
        <v>1</v>
      </c>
      <c r="E196" s="1">
        <f>IF(Tabela1[[#This Row],[promien]]=40000,1,0)</f>
        <v>0</v>
      </c>
      <c r="F196" s="1">
        <v>3.204081632653061</v>
      </c>
      <c r="G196" s="1">
        <v>6.2488979063267891E-2</v>
      </c>
    </row>
    <row r="197" spans="1:7">
      <c r="A197">
        <v>169</v>
      </c>
      <c r="B197">
        <v>97</v>
      </c>
      <c r="C197" s="1">
        <f>(Tabela1[[#This Row],[x]]-H$3)*(Tabela1[[#This Row],[x]]-H$3) +(Tabela1[[#This Row],[y]]-H$4)*(Tabela1[[#This Row],[y]]-H$4)</f>
        <v>11570</v>
      </c>
      <c r="D197" s="1">
        <f>IF(Tabela1[[#This Row],[promien]]&lt;40000,1,0)</f>
        <v>1</v>
      </c>
      <c r="E197" s="1">
        <f>IF(Tabela1[[#This Row],[promien]]=40000,1,0)</f>
        <v>0</v>
      </c>
      <c r="F197" s="1">
        <v>3.2081218274111674</v>
      </c>
      <c r="G197" s="1">
        <v>6.6529173821374243E-2</v>
      </c>
    </row>
    <row r="198" spans="1:7">
      <c r="A198">
        <v>166</v>
      </c>
      <c r="B198">
        <v>24</v>
      </c>
      <c r="C198" s="1">
        <f>(Tabela1[[#This Row],[x]]-H$3)*(Tabela1[[#This Row],[x]]-H$3) +(Tabela1[[#This Row],[y]]-H$4)*(Tabela1[[#This Row],[y]]-H$4)</f>
        <v>32132</v>
      </c>
      <c r="D198" s="1">
        <f>IF(Tabela1[[#This Row],[promien]]&lt;40000,1,0)</f>
        <v>1</v>
      </c>
      <c r="E198" s="1">
        <f>IF(Tabela1[[#This Row],[promien]]=40000,1,0)</f>
        <v>0</v>
      </c>
      <c r="F198" s="1">
        <v>3.2121212121212119</v>
      </c>
      <c r="G198" s="1">
        <v>7.0528558531418817E-2</v>
      </c>
    </row>
    <row r="199" spans="1:7">
      <c r="A199">
        <v>135</v>
      </c>
      <c r="B199">
        <v>340</v>
      </c>
      <c r="C199" s="1">
        <f>(Tabela1[[#This Row],[x]]-H$3)*(Tabela1[[#This Row],[x]]-H$3) +(Tabela1[[#This Row],[y]]-H$4)*(Tabela1[[#This Row],[y]]-H$4)</f>
        <v>23825</v>
      </c>
      <c r="D199" s="1">
        <f>IF(Tabela1[[#This Row],[promien]]&lt;40000,1,0)</f>
        <v>1</v>
      </c>
      <c r="E199" s="1">
        <f>IF(Tabela1[[#This Row],[promien]]=40000,1,0)</f>
        <v>0</v>
      </c>
      <c r="F199" s="1">
        <v>3.2160804020100504</v>
      </c>
      <c r="G199" s="1">
        <v>7.4487748420257294E-2</v>
      </c>
    </row>
    <row r="200" spans="1:7">
      <c r="A200">
        <v>300</v>
      </c>
      <c r="B200">
        <v>161</v>
      </c>
      <c r="C200" s="1">
        <f>(Tabela1[[#This Row],[x]]-H$3)*(Tabela1[[#This Row],[x]]-H$3) +(Tabela1[[#This Row],[y]]-H$4)*(Tabela1[[#This Row],[y]]-H$4)</f>
        <v>11521</v>
      </c>
      <c r="D200" s="1">
        <f>IF(Tabela1[[#This Row],[promien]]&lt;40000,1,0)</f>
        <v>1</v>
      </c>
      <c r="E200" s="1">
        <f>IF(Tabela1[[#This Row],[promien]]=40000,1,0)</f>
        <v>0</v>
      </c>
      <c r="F200" s="1">
        <v>3.22</v>
      </c>
      <c r="G200" s="1">
        <v>7.8407346410207079E-2</v>
      </c>
    </row>
    <row r="201" spans="1:7">
      <c r="A201">
        <v>371</v>
      </c>
      <c r="B201">
        <v>233</v>
      </c>
      <c r="C201" s="1">
        <f>(Tabela1[[#This Row],[x]]-H$3)*(Tabela1[[#This Row],[x]]-H$3) +(Tabela1[[#This Row],[y]]-H$4)*(Tabela1[[#This Row],[y]]-H$4)</f>
        <v>30330</v>
      </c>
      <c r="D201" s="1">
        <f>IF(Tabela1[[#This Row],[promien]]&lt;40000,1,0)</f>
        <v>1</v>
      </c>
      <c r="E201" s="1">
        <f>IF(Tabela1[[#This Row],[promien]]=40000,1,0)</f>
        <v>0</v>
      </c>
      <c r="F201" s="1">
        <v>3.2238805970149254</v>
      </c>
      <c r="G201" s="1">
        <v>8.2287943425132237E-2</v>
      </c>
    </row>
    <row r="202" spans="1:7">
      <c r="A202">
        <v>159</v>
      </c>
      <c r="B202">
        <v>4</v>
      </c>
      <c r="C202" s="1">
        <f>(Tabela1[[#This Row],[x]]-H$3)*(Tabela1[[#This Row],[x]]-H$3) +(Tabela1[[#This Row],[y]]-H$4)*(Tabela1[[#This Row],[y]]-H$4)</f>
        <v>40097</v>
      </c>
      <c r="D202" s="1">
        <f>IF(Tabela1[[#This Row],[promien]]&lt;40000,1,0)</f>
        <v>0</v>
      </c>
      <c r="E202" s="1">
        <f>IF(Tabela1[[#This Row],[promien]]=40000,1,0)</f>
        <v>0</v>
      </c>
      <c r="F202" s="1">
        <v>3.2079207920792081</v>
      </c>
      <c r="G202" s="1">
        <v>6.6328138489414989E-2</v>
      </c>
    </row>
    <row r="203" spans="1:7">
      <c r="A203">
        <v>228</v>
      </c>
      <c r="B203">
        <v>148</v>
      </c>
      <c r="C203" s="1">
        <f>(Tabela1[[#This Row],[x]]-H$3)*(Tabela1[[#This Row],[x]]-H$3) +(Tabela1[[#This Row],[y]]-H$4)*(Tabela1[[#This Row],[y]]-H$4)</f>
        <v>3488</v>
      </c>
      <c r="D203" s="1">
        <f>IF(Tabela1[[#This Row],[promien]]&lt;40000,1,0)</f>
        <v>1</v>
      </c>
      <c r="E203" s="1">
        <f>IF(Tabela1[[#This Row],[promien]]=40000,1,0)</f>
        <v>0</v>
      </c>
      <c r="F203" s="1">
        <v>3.2118226600985222</v>
      </c>
      <c r="G203" s="1">
        <v>7.0230006508729126E-2</v>
      </c>
    </row>
    <row r="204" spans="1:7">
      <c r="A204">
        <v>313</v>
      </c>
      <c r="B204">
        <v>80</v>
      </c>
      <c r="C204" s="1">
        <f>(Tabela1[[#This Row],[x]]-H$3)*(Tabela1[[#This Row],[x]]-H$3) +(Tabela1[[#This Row],[y]]-H$4)*(Tabela1[[#This Row],[y]]-H$4)</f>
        <v>27169</v>
      </c>
      <c r="D204" s="1">
        <f>IF(Tabela1[[#This Row],[promien]]&lt;40000,1,0)</f>
        <v>1</v>
      </c>
      <c r="E204" s="1">
        <f>IF(Tabela1[[#This Row],[promien]]=40000,1,0)</f>
        <v>0</v>
      </c>
      <c r="F204" s="1">
        <v>3.215686274509804</v>
      </c>
      <c r="G204" s="1">
        <v>7.4093620920010927E-2</v>
      </c>
    </row>
    <row r="205" spans="1:7">
      <c r="A205">
        <v>200</v>
      </c>
      <c r="B205">
        <v>232</v>
      </c>
      <c r="C205" s="1">
        <f>(Tabela1[[#This Row],[x]]-H$3)*(Tabela1[[#This Row],[x]]-H$3) +(Tabela1[[#This Row],[y]]-H$4)*(Tabela1[[#This Row],[y]]-H$4)</f>
        <v>1024</v>
      </c>
      <c r="D205" s="1">
        <f>IF(Tabela1[[#This Row],[promien]]&lt;40000,1,0)</f>
        <v>1</v>
      </c>
      <c r="E205" s="1">
        <f>IF(Tabela1[[#This Row],[promien]]=40000,1,0)</f>
        <v>0</v>
      </c>
      <c r="F205" s="1">
        <v>3.2195121951219514</v>
      </c>
      <c r="G205" s="1">
        <v>7.7919541532158298E-2</v>
      </c>
    </row>
    <row r="206" spans="1:7">
      <c r="A206">
        <v>331</v>
      </c>
      <c r="B206">
        <v>309</v>
      </c>
      <c r="C206" s="1">
        <f>(Tabela1[[#This Row],[x]]-H$3)*(Tabela1[[#This Row],[x]]-H$3) +(Tabela1[[#This Row],[y]]-H$4)*(Tabela1[[#This Row],[y]]-H$4)</f>
        <v>29042</v>
      </c>
      <c r="D206" s="1">
        <f>IF(Tabela1[[#This Row],[promien]]&lt;40000,1,0)</f>
        <v>1</v>
      </c>
      <c r="E206" s="1">
        <f>IF(Tabela1[[#This Row],[promien]]=40000,1,0)</f>
        <v>0</v>
      </c>
      <c r="F206" s="1">
        <v>3.2233009708737863</v>
      </c>
      <c r="G206" s="1">
        <v>8.1708317283993193E-2</v>
      </c>
    </row>
    <row r="207" spans="1:7">
      <c r="A207">
        <v>100</v>
      </c>
      <c r="B207">
        <v>328</v>
      </c>
      <c r="C207" s="1">
        <f>(Tabela1[[#This Row],[x]]-H$3)*(Tabela1[[#This Row],[x]]-H$3) +(Tabela1[[#This Row],[y]]-H$4)*(Tabela1[[#This Row],[y]]-H$4)</f>
        <v>26384</v>
      </c>
      <c r="D207" s="1">
        <f>IF(Tabela1[[#This Row],[promien]]&lt;40000,1,0)</f>
        <v>1</v>
      </c>
      <c r="E207" s="1">
        <f>IF(Tabela1[[#This Row],[promien]]=40000,1,0)</f>
        <v>0</v>
      </c>
      <c r="F207" s="1">
        <v>3.2270531400966185</v>
      </c>
      <c r="G207" s="1">
        <v>8.5460486506825362E-2</v>
      </c>
    </row>
    <row r="208" spans="1:7">
      <c r="A208">
        <v>51</v>
      </c>
      <c r="B208">
        <v>284</v>
      </c>
      <c r="C208" s="1">
        <f>(Tabela1[[#This Row],[x]]-H$3)*(Tabela1[[#This Row],[x]]-H$3) +(Tabela1[[#This Row],[y]]-H$4)*(Tabela1[[#This Row],[y]]-H$4)</f>
        <v>29257</v>
      </c>
      <c r="D208" s="1">
        <f>IF(Tabela1[[#This Row],[promien]]&lt;40000,1,0)</f>
        <v>1</v>
      </c>
      <c r="E208" s="1">
        <f>IF(Tabela1[[#This Row],[promien]]=40000,1,0)</f>
        <v>0</v>
      </c>
      <c r="F208" s="1">
        <v>3.2307692307692308</v>
      </c>
      <c r="G208" s="1">
        <v>8.9176577179437722E-2</v>
      </c>
    </row>
    <row r="209" spans="1:7">
      <c r="A209">
        <v>379</v>
      </c>
      <c r="B209">
        <v>44</v>
      </c>
      <c r="C209" s="1">
        <f>(Tabela1[[#This Row],[x]]-H$3)*(Tabela1[[#This Row],[x]]-H$3) +(Tabela1[[#This Row],[y]]-H$4)*(Tabela1[[#This Row],[y]]-H$4)</f>
        <v>56377</v>
      </c>
      <c r="D209" s="1">
        <f>IF(Tabela1[[#This Row],[promien]]&lt;40000,1,0)</f>
        <v>0</v>
      </c>
      <c r="E209" s="1">
        <f>IF(Tabela1[[#This Row],[promien]]=40000,1,0)</f>
        <v>0</v>
      </c>
      <c r="F209" s="1">
        <v>3.2153110047846889</v>
      </c>
      <c r="G209" s="1">
        <v>7.3718351194895781E-2</v>
      </c>
    </row>
    <row r="210" spans="1:7">
      <c r="A210">
        <v>378</v>
      </c>
      <c r="B210">
        <v>180</v>
      </c>
      <c r="C210" s="1">
        <f>(Tabela1[[#This Row],[x]]-H$3)*(Tabela1[[#This Row],[x]]-H$3) +(Tabela1[[#This Row],[y]]-H$4)*(Tabela1[[#This Row],[y]]-H$4)</f>
        <v>32084</v>
      </c>
      <c r="D210" s="1">
        <f>IF(Tabela1[[#This Row],[promien]]&lt;40000,1,0)</f>
        <v>1</v>
      </c>
      <c r="E210" s="1">
        <f>IF(Tabela1[[#This Row],[promien]]=40000,1,0)</f>
        <v>0</v>
      </c>
      <c r="F210" s="1">
        <v>3.2190476190476192</v>
      </c>
      <c r="G210" s="1">
        <v>7.7454965457826042E-2</v>
      </c>
    </row>
    <row r="211" spans="1:7">
      <c r="A211">
        <v>368</v>
      </c>
      <c r="B211">
        <v>243</v>
      </c>
      <c r="C211" s="1">
        <f>(Tabela1[[#This Row],[x]]-H$3)*(Tabela1[[#This Row],[x]]-H$3) +(Tabela1[[#This Row],[y]]-H$4)*(Tabela1[[#This Row],[y]]-H$4)</f>
        <v>30073</v>
      </c>
      <c r="D211" s="1">
        <f>IF(Tabela1[[#This Row],[promien]]&lt;40000,1,0)</f>
        <v>1</v>
      </c>
      <c r="E211" s="1">
        <f>IF(Tabela1[[#This Row],[promien]]=40000,1,0)</f>
        <v>0</v>
      </c>
      <c r="F211" s="1">
        <v>3.2227488151658767</v>
      </c>
      <c r="G211" s="1">
        <v>8.115616157608363E-2</v>
      </c>
    </row>
    <row r="212" spans="1:7">
      <c r="A212">
        <v>113</v>
      </c>
      <c r="B212">
        <v>299</v>
      </c>
      <c r="C212" s="1">
        <f>(Tabela1[[#This Row],[x]]-H$3)*(Tabela1[[#This Row],[x]]-H$3) +(Tabela1[[#This Row],[y]]-H$4)*(Tabela1[[#This Row],[y]]-H$4)</f>
        <v>17370</v>
      </c>
      <c r="D212" s="1">
        <f>IF(Tabela1[[#This Row],[promien]]&lt;40000,1,0)</f>
        <v>1</v>
      </c>
      <c r="E212" s="1">
        <f>IF(Tabela1[[#This Row],[promien]]=40000,1,0)</f>
        <v>0</v>
      </c>
      <c r="F212" s="1">
        <v>3.2264150943396226</v>
      </c>
      <c r="G212" s="1">
        <v>8.4822440749829475E-2</v>
      </c>
    </row>
    <row r="213" spans="1:7">
      <c r="A213">
        <v>271</v>
      </c>
      <c r="B213">
        <v>81</v>
      </c>
      <c r="C213" s="1">
        <f>(Tabela1[[#This Row],[x]]-H$3)*(Tabela1[[#This Row],[x]]-H$3) +(Tabela1[[#This Row],[y]]-H$4)*(Tabela1[[#This Row],[y]]-H$4)</f>
        <v>19202</v>
      </c>
      <c r="D213" s="1">
        <f>IF(Tabela1[[#This Row],[promien]]&lt;40000,1,0)</f>
        <v>1</v>
      </c>
      <c r="E213" s="1">
        <f>IF(Tabela1[[#This Row],[promien]]=40000,1,0)</f>
        <v>0</v>
      </c>
      <c r="F213" s="1">
        <v>3.2300469483568075</v>
      </c>
      <c r="G213" s="1">
        <v>8.8454294767014385E-2</v>
      </c>
    </row>
    <row r="214" spans="1:7">
      <c r="A214">
        <v>288</v>
      </c>
      <c r="B214">
        <v>234</v>
      </c>
      <c r="C214" s="1">
        <f>(Tabela1[[#This Row],[x]]-H$3)*(Tabela1[[#This Row],[x]]-H$3) +(Tabela1[[#This Row],[y]]-H$4)*(Tabela1[[#This Row],[y]]-H$4)</f>
        <v>8900</v>
      </c>
      <c r="D214" s="1">
        <f>IF(Tabela1[[#This Row],[promien]]&lt;40000,1,0)</f>
        <v>1</v>
      </c>
      <c r="E214" s="1">
        <f>IF(Tabela1[[#This Row],[promien]]=40000,1,0)</f>
        <v>0</v>
      </c>
      <c r="F214" s="1">
        <v>3.2336448598130842</v>
      </c>
      <c r="G214" s="1">
        <v>9.2052206223291133E-2</v>
      </c>
    </row>
    <row r="215" spans="1:7">
      <c r="A215">
        <v>28</v>
      </c>
      <c r="B215">
        <v>398</v>
      </c>
      <c r="C215" s="1">
        <f>(Tabela1[[#This Row],[x]]-H$3)*(Tabela1[[#This Row],[x]]-H$3) +(Tabela1[[#This Row],[y]]-H$4)*(Tabela1[[#This Row],[y]]-H$4)</f>
        <v>68788</v>
      </c>
      <c r="D215" s="1">
        <f>IF(Tabela1[[#This Row],[promien]]&lt;40000,1,0)</f>
        <v>0</v>
      </c>
      <c r="E215" s="1">
        <f>IF(Tabela1[[#This Row],[promien]]=40000,1,0)</f>
        <v>0</v>
      </c>
      <c r="F215" s="1">
        <v>3.2186046511627908</v>
      </c>
      <c r="G215" s="1">
        <v>7.7011997572997704E-2</v>
      </c>
    </row>
    <row r="216" spans="1:7">
      <c r="A216">
        <v>127</v>
      </c>
      <c r="B216">
        <v>363</v>
      </c>
      <c r="C216" s="1">
        <f>(Tabela1[[#This Row],[x]]-H$3)*(Tabela1[[#This Row],[x]]-H$3) +(Tabela1[[#This Row],[y]]-H$4)*(Tabela1[[#This Row],[y]]-H$4)</f>
        <v>31898</v>
      </c>
      <c r="D216" s="1">
        <f>IF(Tabela1[[#This Row],[promien]]&lt;40000,1,0)</f>
        <v>1</v>
      </c>
      <c r="E216" s="1">
        <f>IF(Tabela1[[#This Row],[promien]]=40000,1,0)</f>
        <v>0</v>
      </c>
      <c r="F216" s="1">
        <v>3.2222222222222223</v>
      </c>
      <c r="G216" s="1">
        <v>8.0629568632429205E-2</v>
      </c>
    </row>
    <row r="217" spans="1:7">
      <c r="A217">
        <v>67</v>
      </c>
      <c r="B217">
        <v>262</v>
      </c>
      <c r="C217" s="1">
        <f>(Tabela1[[#This Row],[x]]-H$3)*(Tabela1[[#This Row],[x]]-H$3) +(Tabela1[[#This Row],[y]]-H$4)*(Tabela1[[#This Row],[y]]-H$4)</f>
        <v>21533</v>
      </c>
      <c r="D217" s="1">
        <f>IF(Tabela1[[#This Row],[promien]]&lt;40000,1,0)</f>
        <v>1</v>
      </c>
      <c r="E217" s="1">
        <f>IF(Tabela1[[#This Row],[promien]]=40000,1,0)</f>
        <v>0</v>
      </c>
      <c r="F217" s="1">
        <v>3.225806451612903</v>
      </c>
      <c r="G217" s="1">
        <v>8.4213798023109909E-2</v>
      </c>
    </row>
    <row r="218" spans="1:7">
      <c r="A218">
        <v>192</v>
      </c>
      <c r="B218">
        <v>185</v>
      </c>
      <c r="C218" s="1">
        <f>(Tabela1[[#This Row],[x]]-H$3)*(Tabela1[[#This Row],[x]]-H$3) +(Tabela1[[#This Row],[y]]-H$4)*(Tabela1[[#This Row],[y]]-H$4)</f>
        <v>289</v>
      </c>
      <c r="D218" s="1">
        <f>IF(Tabela1[[#This Row],[promien]]&lt;40000,1,0)</f>
        <v>1</v>
      </c>
      <c r="E218" s="1">
        <f>IF(Tabela1[[#This Row],[promien]]=40000,1,0)</f>
        <v>0</v>
      </c>
      <c r="F218" s="1">
        <v>3.2293577981651378</v>
      </c>
      <c r="G218" s="1">
        <v>8.7765144575344678E-2</v>
      </c>
    </row>
    <row r="219" spans="1:7">
      <c r="A219">
        <v>80</v>
      </c>
      <c r="B219">
        <v>306</v>
      </c>
      <c r="C219" s="1">
        <f>(Tabela1[[#This Row],[x]]-H$3)*(Tabela1[[#This Row],[x]]-H$3) +(Tabela1[[#This Row],[y]]-H$4)*(Tabela1[[#This Row],[y]]-H$4)</f>
        <v>25636</v>
      </c>
      <c r="D219" s="1">
        <f>IF(Tabela1[[#This Row],[promien]]&lt;40000,1,0)</f>
        <v>1</v>
      </c>
      <c r="E219" s="1">
        <f>IF(Tabela1[[#This Row],[promien]]=40000,1,0)</f>
        <v>0</v>
      </c>
      <c r="F219" s="1">
        <v>3.2328767123287672</v>
      </c>
      <c r="G219" s="1">
        <v>9.128405873897405E-2</v>
      </c>
    </row>
    <row r="220" spans="1:7">
      <c r="A220">
        <v>256</v>
      </c>
      <c r="B220">
        <v>8</v>
      </c>
      <c r="C220" s="1">
        <f>(Tabela1[[#This Row],[x]]-H$3)*(Tabela1[[#This Row],[x]]-H$3) +(Tabela1[[#This Row],[y]]-H$4)*(Tabela1[[#This Row],[y]]-H$4)</f>
        <v>40000</v>
      </c>
      <c r="D220" s="1">
        <f>IF(Tabela1[[#This Row],[promien]]&lt;40000,1,0)</f>
        <v>0</v>
      </c>
      <c r="E220" s="1">
        <f>IF(Tabela1[[#This Row],[promien]]=40000,1,0)</f>
        <v>1</v>
      </c>
      <c r="F220" s="1">
        <v>3.2363636363636363</v>
      </c>
      <c r="G220" s="1">
        <v>9.4770982773843215E-2</v>
      </c>
    </row>
    <row r="221" spans="1:7">
      <c r="A221">
        <v>246</v>
      </c>
      <c r="B221">
        <v>162</v>
      </c>
      <c r="C221" s="1">
        <f>(Tabela1[[#This Row],[x]]-H$3)*(Tabela1[[#This Row],[x]]-H$3) +(Tabela1[[#This Row],[y]]-H$4)*(Tabela1[[#This Row],[y]]-H$4)</f>
        <v>3560</v>
      </c>
      <c r="D221" s="1">
        <f>IF(Tabela1[[#This Row],[promien]]&lt;40000,1,0)</f>
        <v>1</v>
      </c>
      <c r="E221" s="1">
        <f>IF(Tabela1[[#This Row],[promien]]=40000,1,0)</f>
        <v>0</v>
      </c>
      <c r="F221" s="1">
        <v>3.2398190045248869</v>
      </c>
      <c r="G221" s="1">
        <v>9.8226350935093798E-2</v>
      </c>
    </row>
    <row r="222" spans="1:7">
      <c r="A222">
        <v>376</v>
      </c>
      <c r="B222">
        <v>87</v>
      </c>
      <c r="C222" s="1">
        <f>(Tabela1[[#This Row],[x]]-H$3)*(Tabela1[[#This Row],[x]]-H$3) +(Tabela1[[#This Row],[y]]-H$4)*(Tabela1[[#This Row],[y]]-H$4)</f>
        <v>43745</v>
      </c>
      <c r="D222" s="1">
        <f>IF(Tabela1[[#This Row],[promien]]&lt;40000,1,0)</f>
        <v>0</v>
      </c>
      <c r="E222" s="1">
        <f>IF(Tabela1[[#This Row],[promien]]=40000,1,0)</f>
        <v>0</v>
      </c>
      <c r="F222" s="1">
        <v>3.2252252252252251</v>
      </c>
      <c r="G222" s="1">
        <v>8.3632571635432029E-2</v>
      </c>
    </row>
    <row r="223" spans="1:7">
      <c r="A223">
        <v>349</v>
      </c>
      <c r="B223">
        <v>23</v>
      </c>
      <c r="C223" s="1">
        <f>(Tabela1[[#This Row],[x]]-H$3)*(Tabela1[[#This Row],[x]]-H$3) +(Tabela1[[#This Row],[y]]-H$4)*(Tabela1[[#This Row],[y]]-H$4)</f>
        <v>53530</v>
      </c>
      <c r="D223" s="1">
        <f>IF(Tabela1[[#This Row],[promien]]&lt;40000,1,0)</f>
        <v>0</v>
      </c>
      <c r="E223" s="1">
        <f>IF(Tabela1[[#This Row],[promien]]=40000,1,0)</f>
        <v>0</v>
      </c>
      <c r="F223" s="1">
        <v>3.210762331838565</v>
      </c>
      <c r="G223" s="1">
        <v>6.9169678248771849E-2</v>
      </c>
    </row>
    <row r="224" spans="1:7">
      <c r="A224">
        <v>156</v>
      </c>
      <c r="B224">
        <v>236</v>
      </c>
      <c r="C224" s="1">
        <f>(Tabela1[[#This Row],[x]]-H$3)*(Tabela1[[#This Row],[x]]-H$3) +(Tabela1[[#This Row],[y]]-H$4)*(Tabela1[[#This Row],[y]]-H$4)</f>
        <v>3232</v>
      </c>
      <c r="D224" s="1">
        <f>IF(Tabela1[[#This Row],[promien]]&lt;40000,1,0)</f>
        <v>1</v>
      </c>
      <c r="E224" s="1">
        <f>IF(Tabela1[[#This Row],[promien]]=40000,1,0)</f>
        <v>0</v>
      </c>
      <c r="F224" s="1">
        <v>3.2142857142857144</v>
      </c>
      <c r="G224" s="1">
        <v>7.2693060695921297E-2</v>
      </c>
    </row>
    <row r="225" spans="1:7">
      <c r="A225">
        <v>219</v>
      </c>
      <c r="B225">
        <v>228</v>
      </c>
      <c r="C225" s="1">
        <f>(Tabela1[[#This Row],[x]]-H$3)*(Tabela1[[#This Row],[x]]-H$3) +(Tabela1[[#This Row],[y]]-H$4)*(Tabela1[[#This Row],[y]]-H$4)</f>
        <v>1145</v>
      </c>
      <c r="D225" s="1">
        <f>IF(Tabela1[[#This Row],[promien]]&lt;40000,1,0)</f>
        <v>1</v>
      </c>
      <c r="E225" s="1">
        <f>IF(Tabela1[[#This Row],[promien]]=40000,1,0)</f>
        <v>0</v>
      </c>
      <c r="F225" s="1">
        <v>3.2177777777777776</v>
      </c>
      <c r="G225" s="1">
        <v>7.618512418798451E-2</v>
      </c>
    </row>
    <row r="226" spans="1:7">
      <c r="A226">
        <v>109</v>
      </c>
      <c r="B226">
        <v>328</v>
      </c>
      <c r="C226" s="1">
        <f>(Tabela1[[#This Row],[x]]-H$3)*(Tabela1[[#This Row],[x]]-H$3) +(Tabela1[[#This Row],[y]]-H$4)*(Tabela1[[#This Row],[y]]-H$4)</f>
        <v>24665</v>
      </c>
      <c r="D226" s="1">
        <f>IF(Tabela1[[#This Row],[promien]]&lt;40000,1,0)</f>
        <v>1</v>
      </c>
      <c r="E226" s="1">
        <f>IF(Tabela1[[#This Row],[promien]]=40000,1,0)</f>
        <v>0</v>
      </c>
      <c r="F226" s="1">
        <v>3.2212389380530975</v>
      </c>
      <c r="G226" s="1">
        <v>7.9646284463304351E-2</v>
      </c>
    </row>
    <row r="227" spans="1:7">
      <c r="A227">
        <v>345</v>
      </c>
      <c r="B227">
        <v>106</v>
      </c>
      <c r="C227" s="1">
        <f>(Tabela1[[#This Row],[x]]-H$3)*(Tabela1[[#This Row],[x]]-H$3) +(Tabela1[[#This Row],[y]]-H$4)*(Tabela1[[#This Row],[y]]-H$4)</f>
        <v>29861</v>
      </c>
      <c r="D227" s="1">
        <f>IF(Tabela1[[#This Row],[promien]]&lt;40000,1,0)</f>
        <v>1</v>
      </c>
      <c r="E227" s="1">
        <f>IF(Tabela1[[#This Row],[promien]]=40000,1,0)</f>
        <v>0</v>
      </c>
      <c r="F227" s="1">
        <v>3.2246696035242293</v>
      </c>
      <c r="G227" s="1">
        <v>8.3076949934436151E-2</v>
      </c>
    </row>
    <row r="228" spans="1:7">
      <c r="A228">
        <v>142</v>
      </c>
      <c r="B228">
        <v>60</v>
      </c>
      <c r="C228" s="1">
        <f>(Tabela1[[#This Row],[x]]-H$3)*(Tabela1[[#This Row],[x]]-H$3) +(Tabela1[[#This Row],[y]]-H$4)*(Tabela1[[#This Row],[y]]-H$4)</f>
        <v>22964</v>
      </c>
      <c r="D228" s="1">
        <f>IF(Tabela1[[#This Row],[promien]]&lt;40000,1,0)</f>
        <v>1</v>
      </c>
      <c r="E228" s="1">
        <f>IF(Tabela1[[#This Row],[promien]]=40000,1,0)</f>
        <v>0</v>
      </c>
      <c r="F228" s="1">
        <v>3.2280701754385963</v>
      </c>
      <c r="G228" s="1">
        <v>8.6477521848803196E-2</v>
      </c>
    </row>
    <row r="229" spans="1:7">
      <c r="A229">
        <v>365</v>
      </c>
      <c r="B229">
        <v>81</v>
      </c>
      <c r="C229" s="1">
        <f>(Tabela1[[#This Row],[x]]-H$3)*(Tabela1[[#This Row],[x]]-H$3) +(Tabela1[[#This Row],[y]]-H$4)*(Tabela1[[#This Row],[y]]-H$4)</f>
        <v>41386</v>
      </c>
      <c r="D229" s="1">
        <f>IF(Tabela1[[#This Row],[promien]]&lt;40000,1,0)</f>
        <v>0</v>
      </c>
      <c r="E229" s="1">
        <f>IF(Tabela1[[#This Row],[promien]]=40000,1,0)</f>
        <v>0</v>
      </c>
      <c r="F229" s="1">
        <v>3.2139737991266375</v>
      </c>
      <c r="G229" s="1">
        <v>7.2381145536844382E-2</v>
      </c>
    </row>
    <row r="230" spans="1:7">
      <c r="A230">
        <v>341</v>
      </c>
      <c r="B230">
        <v>46</v>
      </c>
      <c r="C230" s="1">
        <f>(Tabela1[[#This Row],[x]]-H$3)*(Tabela1[[#This Row],[x]]-H$3) +(Tabela1[[#This Row],[y]]-H$4)*(Tabela1[[#This Row],[y]]-H$4)</f>
        <v>43597</v>
      </c>
      <c r="D230" s="1">
        <f>IF(Tabela1[[#This Row],[promien]]&lt;40000,1,0)</f>
        <v>0</v>
      </c>
      <c r="E230" s="1">
        <f>IF(Tabela1[[#This Row],[promien]]=40000,1,0)</f>
        <v>0</v>
      </c>
      <c r="F230" s="1">
        <v>3.2</v>
      </c>
      <c r="G230" s="1">
        <v>5.8407346410207062E-2</v>
      </c>
    </row>
    <row r="231" spans="1:7">
      <c r="A231">
        <v>25</v>
      </c>
      <c r="B231">
        <v>183</v>
      </c>
      <c r="C231" s="1">
        <f>(Tabela1[[#This Row],[x]]-H$3)*(Tabela1[[#This Row],[x]]-H$3) +(Tabela1[[#This Row],[y]]-H$4)*(Tabela1[[#This Row],[y]]-H$4)</f>
        <v>30914</v>
      </c>
      <c r="D231" s="1">
        <f>IF(Tabela1[[#This Row],[promien]]&lt;40000,1,0)</f>
        <v>1</v>
      </c>
      <c r="E231" s="1">
        <f>IF(Tabela1[[#This Row],[promien]]=40000,1,0)</f>
        <v>0</v>
      </c>
      <c r="F231" s="1">
        <v>3.2034632034632033</v>
      </c>
      <c r="G231" s="1">
        <v>6.187054987341023E-2</v>
      </c>
    </row>
    <row r="232" spans="1:7">
      <c r="A232">
        <v>145</v>
      </c>
      <c r="B232">
        <v>27</v>
      </c>
      <c r="C232" s="1">
        <f>(Tabela1[[#This Row],[x]]-H$3)*(Tabela1[[#This Row],[x]]-H$3) +(Tabela1[[#This Row],[y]]-H$4)*(Tabela1[[#This Row],[y]]-H$4)</f>
        <v>32954</v>
      </c>
      <c r="D232" s="1">
        <f>IF(Tabela1[[#This Row],[promien]]&lt;40000,1,0)</f>
        <v>1</v>
      </c>
      <c r="E232" s="1">
        <f>IF(Tabela1[[#This Row],[promien]]=40000,1,0)</f>
        <v>0</v>
      </c>
      <c r="F232" s="1">
        <v>3.2068965517241379</v>
      </c>
      <c r="G232" s="1">
        <v>6.5303898134344784E-2</v>
      </c>
    </row>
    <row r="233" spans="1:7">
      <c r="A233">
        <v>270</v>
      </c>
      <c r="B233">
        <v>16</v>
      </c>
      <c r="C233" s="1">
        <f>(Tabela1[[#This Row],[x]]-H$3)*(Tabela1[[#This Row],[x]]-H$3) +(Tabela1[[#This Row],[y]]-H$4)*(Tabela1[[#This Row],[y]]-H$4)</f>
        <v>38756</v>
      </c>
      <c r="D233" s="1">
        <f>IF(Tabela1[[#This Row],[promien]]&lt;40000,1,0)</f>
        <v>1</v>
      </c>
      <c r="E233" s="1">
        <f>IF(Tabela1[[#This Row],[promien]]=40000,1,0)</f>
        <v>0</v>
      </c>
      <c r="F233" s="1">
        <v>3.2103004291845494</v>
      </c>
      <c r="G233" s="1">
        <v>6.8707775594756271E-2</v>
      </c>
    </row>
    <row r="234" spans="1:7">
      <c r="A234">
        <v>74</v>
      </c>
      <c r="B234">
        <v>2</v>
      </c>
      <c r="C234" s="1">
        <f>(Tabela1[[#This Row],[x]]-H$3)*(Tabela1[[#This Row],[x]]-H$3) +(Tabela1[[#This Row],[y]]-H$4)*(Tabela1[[#This Row],[y]]-H$4)</f>
        <v>55080</v>
      </c>
      <c r="D234" s="1">
        <f>IF(Tabela1[[#This Row],[promien]]&lt;40000,1,0)</f>
        <v>0</v>
      </c>
      <c r="E234" s="1">
        <f>IF(Tabela1[[#This Row],[promien]]=40000,1,0)</f>
        <v>0</v>
      </c>
      <c r="F234" s="1">
        <v>3.1965811965811968</v>
      </c>
      <c r="G234" s="1">
        <v>5.4988542991403655E-2</v>
      </c>
    </row>
    <row r="235" spans="1:7">
      <c r="A235">
        <v>125</v>
      </c>
      <c r="B235">
        <v>330</v>
      </c>
      <c r="C235" s="1">
        <f>(Tabela1[[#This Row],[x]]-H$3)*(Tabela1[[#This Row],[x]]-H$3) +(Tabela1[[#This Row],[y]]-H$4)*(Tabela1[[#This Row],[y]]-H$4)</f>
        <v>22525</v>
      </c>
      <c r="D235" s="1">
        <f>IF(Tabela1[[#This Row],[promien]]&lt;40000,1,0)</f>
        <v>1</v>
      </c>
      <c r="E235" s="1">
        <f>IF(Tabela1[[#This Row],[promien]]=40000,1,0)</f>
        <v>0</v>
      </c>
      <c r="F235" s="1">
        <v>3.2</v>
      </c>
      <c r="G235" s="1">
        <v>5.8407346410207062E-2</v>
      </c>
    </row>
    <row r="236" spans="1:7">
      <c r="A236">
        <v>340</v>
      </c>
      <c r="B236">
        <v>255</v>
      </c>
      <c r="C236" s="1">
        <f>(Tabela1[[#This Row],[x]]-H$3)*(Tabela1[[#This Row],[x]]-H$3) +(Tabela1[[#This Row],[y]]-H$4)*(Tabela1[[#This Row],[y]]-H$4)</f>
        <v>22625</v>
      </c>
      <c r="D236" s="1">
        <f>IF(Tabela1[[#This Row],[promien]]&lt;40000,1,0)</f>
        <v>1</v>
      </c>
      <c r="E236" s="1">
        <f>IF(Tabela1[[#This Row],[promien]]=40000,1,0)</f>
        <v>0</v>
      </c>
      <c r="F236" s="1">
        <v>3.2033898305084745</v>
      </c>
      <c r="G236" s="1">
        <v>6.1797176918681362E-2</v>
      </c>
    </row>
    <row r="237" spans="1:7">
      <c r="A237">
        <v>314</v>
      </c>
      <c r="B237">
        <v>114</v>
      </c>
      <c r="C237" s="1">
        <f>(Tabela1[[#This Row],[x]]-H$3)*(Tabela1[[#This Row],[x]]-H$3) +(Tabela1[[#This Row],[y]]-H$4)*(Tabela1[[#This Row],[y]]-H$4)</f>
        <v>20392</v>
      </c>
      <c r="D237" s="1">
        <f>IF(Tabela1[[#This Row],[promien]]&lt;40000,1,0)</f>
        <v>1</v>
      </c>
      <c r="E237" s="1">
        <f>IF(Tabela1[[#This Row],[promien]]=40000,1,0)</f>
        <v>0</v>
      </c>
      <c r="F237" s="1">
        <v>3.2067510548523206</v>
      </c>
      <c r="G237" s="1">
        <v>6.5158401262527477E-2</v>
      </c>
    </row>
    <row r="238" spans="1:7">
      <c r="A238">
        <v>150</v>
      </c>
      <c r="B238">
        <v>231</v>
      </c>
      <c r="C238" s="1">
        <f>(Tabela1[[#This Row],[x]]-H$3)*(Tabela1[[#This Row],[x]]-H$3) +(Tabela1[[#This Row],[y]]-H$4)*(Tabela1[[#This Row],[y]]-H$4)</f>
        <v>3461</v>
      </c>
      <c r="D238" s="1">
        <f>IF(Tabela1[[#This Row],[promien]]&lt;40000,1,0)</f>
        <v>1</v>
      </c>
      <c r="E238" s="1">
        <f>IF(Tabela1[[#This Row],[promien]]=40000,1,0)</f>
        <v>0</v>
      </c>
      <c r="F238" s="1">
        <v>3.2100840336134455</v>
      </c>
      <c r="G238" s="1">
        <v>6.8491380023652404E-2</v>
      </c>
    </row>
    <row r="239" spans="1:7">
      <c r="A239">
        <v>223</v>
      </c>
      <c r="B239">
        <v>356</v>
      </c>
      <c r="C239" s="1">
        <f>(Tabela1[[#This Row],[x]]-H$3)*(Tabela1[[#This Row],[x]]-H$3) +(Tabela1[[#This Row],[y]]-H$4)*(Tabela1[[#This Row],[y]]-H$4)</f>
        <v>24865</v>
      </c>
      <c r="D239" s="1">
        <f>IF(Tabela1[[#This Row],[promien]]&lt;40000,1,0)</f>
        <v>1</v>
      </c>
      <c r="E239" s="1">
        <f>IF(Tabela1[[#This Row],[promien]]=40000,1,0)</f>
        <v>0</v>
      </c>
      <c r="F239" s="1">
        <v>3.2133891213389121</v>
      </c>
      <c r="G239" s="1">
        <v>7.1796467749118964E-2</v>
      </c>
    </row>
    <row r="240" spans="1:7">
      <c r="A240">
        <v>15</v>
      </c>
      <c r="B240">
        <v>13</v>
      </c>
      <c r="C240" s="1">
        <f>(Tabela1[[#This Row],[x]]-H$3)*(Tabela1[[#This Row],[x]]-H$3) +(Tabela1[[#This Row],[y]]-H$4)*(Tabela1[[#This Row],[y]]-H$4)</f>
        <v>69194</v>
      </c>
      <c r="D240" s="1">
        <f>IF(Tabela1[[#This Row],[promien]]&lt;40000,1,0)</f>
        <v>0</v>
      </c>
      <c r="E240" s="1">
        <f>IF(Tabela1[[#This Row],[promien]]=40000,1,0)</f>
        <v>0</v>
      </c>
      <c r="F240" s="1">
        <v>3.2</v>
      </c>
      <c r="G240" s="1">
        <v>5.8407346410207062E-2</v>
      </c>
    </row>
    <row r="241" spans="1:7">
      <c r="A241">
        <v>6</v>
      </c>
      <c r="B241">
        <v>132</v>
      </c>
      <c r="C241" s="1">
        <f>(Tabela1[[#This Row],[x]]-H$3)*(Tabela1[[#This Row],[x]]-H$3) +(Tabela1[[#This Row],[y]]-H$4)*(Tabela1[[#This Row],[y]]-H$4)</f>
        <v>42260</v>
      </c>
      <c r="D241" s="1">
        <f>IF(Tabela1[[#This Row],[promien]]&lt;40000,1,0)</f>
        <v>0</v>
      </c>
      <c r="E241" s="1">
        <f>IF(Tabela1[[#This Row],[promien]]=40000,1,0)</f>
        <v>0</v>
      </c>
      <c r="F241" s="1">
        <v>3.1867219917012446</v>
      </c>
      <c r="G241" s="1">
        <v>4.5129338111451478E-2</v>
      </c>
    </row>
    <row r="242" spans="1:7">
      <c r="A242">
        <v>182</v>
      </c>
      <c r="B242">
        <v>224</v>
      </c>
      <c r="C242" s="1">
        <f>(Tabela1[[#This Row],[x]]-H$3)*(Tabela1[[#This Row],[x]]-H$3) +(Tabela1[[#This Row],[y]]-H$4)*(Tabela1[[#This Row],[y]]-H$4)</f>
        <v>900</v>
      </c>
      <c r="D242" s="1">
        <f>IF(Tabela1[[#This Row],[promien]]&lt;40000,1,0)</f>
        <v>1</v>
      </c>
      <c r="E242" s="1">
        <f>IF(Tabela1[[#This Row],[promien]]=40000,1,0)</f>
        <v>0</v>
      </c>
      <c r="F242" s="1">
        <v>3.1900826446280992</v>
      </c>
      <c r="G242" s="1">
        <v>4.8489991038306091E-2</v>
      </c>
    </row>
    <row r="243" spans="1:7">
      <c r="A243">
        <v>116</v>
      </c>
      <c r="B243">
        <v>79</v>
      </c>
      <c r="C243" s="1">
        <f>(Tabela1[[#This Row],[x]]-H$3)*(Tabela1[[#This Row],[x]]-H$3) +(Tabela1[[#This Row],[y]]-H$4)*(Tabela1[[#This Row],[y]]-H$4)</f>
        <v>21697</v>
      </c>
      <c r="D243" s="1">
        <f>IF(Tabela1[[#This Row],[promien]]&lt;40000,1,0)</f>
        <v>1</v>
      </c>
      <c r="E243" s="1">
        <f>IF(Tabela1[[#This Row],[promien]]=40000,1,0)</f>
        <v>0</v>
      </c>
      <c r="F243" s="1">
        <v>3.1934156378600824</v>
      </c>
      <c r="G243" s="1">
        <v>5.1822984270289307E-2</v>
      </c>
    </row>
    <row r="244" spans="1:7">
      <c r="A244">
        <v>241</v>
      </c>
      <c r="B244">
        <v>201</v>
      </c>
      <c r="C244" s="1">
        <f>(Tabela1[[#This Row],[x]]-H$3)*(Tabela1[[#This Row],[x]]-H$3) +(Tabela1[[#This Row],[y]]-H$4)*(Tabela1[[#This Row],[y]]-H$4)</f>
        <v>1682</v>
      </c>
      <c r="D244" s="1">
        <f>IF(Tabela1[[#This Row],[promien]]&lt;40000,1,0)</f>
        <v>1</v>
      </c>
      <c r="E244" s="1">
        <f>IF(Tabela1[[#This Row],[promien]]=40000,1,0)</f>
        <v>0</v>
      </c>
      <c r="F244" s="1">
        <v>3.1967213114754101</v>
      </c>
      <c r="G244" s="1">
        <v>5.5128657885616938E-2</v>
      </c>
    </row>
    <row r="245" spans="1:7">
      <c r="A245">
        <v>99</v>
      </c>
      <c r="B245">
        <v>148</v>
      </c>
      <c r="C245" s="1">
        <f>(Tabela1[[#This Row],[x]]-H$3)*(Tabela1[[#This Row],[x]]-H$3) +(Tabela1[[#This Row],[y]]-H$4)*(Tabela1[[#This Row],[y]]-H$4)</f>
        <v>12905</v>
      </c>
      <c r="D245" s="1">
        <f>IF(Tabela1[[#This Row],[promien]]&lt;40000,1,0)</f>
        <v>1</v>
      </c>
      <c r="E245" s="1">
        <f>IF(Tabela1[[#This Row],[promien]]=40000,1,0)</f>
        <v>0</v>
      </c>
      <c r="F245" s="1">
        <v>3.2</v>
      </c>
      <c r="G245" s="1">
        <v>5.8407346410207062E-2</v>
      </c>
    </row>
    <row r="246" spans="1:7">
      <c r="A246">
        <v>341</v>
      </c>
      <c r="B246">
        <v>112</v>
      </c>
      <c r="C246" s="1">
        <f>(Tabela1[[#This Row],[x]]-H$3)*(Tabela1[[#This Row],[x]]-H$3) +(Tabela1[[#This Row],[y]]-H$4)*(Tabela1[[#This Row],[y]]-H$4)</f>
        <v>27625</v>
      </c>
      <c r="D246" s="1">
        <f>IF(Tabela1[[#This Row],[promien]]&lt;40000,1,0)</f>
        <v>1</v>
      </c>
      <c r="E246" s="1">
        <f>IF(Tabela1[[#This Row],[promien]]=40000,1,0)</f>
        <v>0</v>
      </c>
      <c r="F246" s="1">
        <v>3.2032520325203251</v>
      </c>
      <c r="G246" s="1">
        <v>6.1659378930531972E-2</v>
      </c>
    </row>
    <row r="247" spans="1:7">
      <c r="A247">
        <v>169</v>
      </c>
      <c r="B247">
        <v>52</v>
      </c>
      <c r="C247" s="1">
        <f>(Tabela1[[#This Row],[x]]-H$3)*(Tabela1[[#This Row],[x]]-H$3) +(Tabela1[[#This Row],[y]]-H$4)*(Tabela1[[#This Row],[y]]-H$4)</f>
        <v>22865</v>
      </c>
      <c r="D247" s="1">
        <f>IF(Tabela1[[#This Row],[promien]]&lt;40000,1,0)</f>
        <v>1</v>
      </c>
      <c r="E247" s="1">
        <f>IF(Tabela1[[#This Row],[promien]]=40000,1,0)</f>
        <v>0</v>
      </c>
      <c r="F247" s="1">
        <v>3.2064777327935223</v>
      </c>
      <c r="G247" s="1">
        <v>6.4885079203729212E-2</v>
      </c>
    </row>
    <row r="248" spans="1:7">
      <c r="A248">
        <v>188</v>
      </c>
      <c r="B248">
        <v>137</v>
      </c>
      <c r="C248" s="1">
        <f>(Tabela1[[#This Row],[x]]-H$3)*(Tabela1[[#This Row],[x]]-H$3) +(Tabela1[[#This Row],[y]]-H$4)*(Tabela1[[#This Row],[y]]-H$4)</f>
        <v>4113</v>
      </c>
      <c r="D248" s="1">
        <f>IF(Tabela1[[#This Row],[promien]]&lt;40000,1,0)</f>
        <v>1</v>
      </c>
      <c r="E248" s="1">
        <f>IF(Tabela1[[#This Row],[promien]]=40000,1,0)</f>
        <v>0</v>
      </c>
      <c r="F248" s="1">
        <v>3.2096774193548385</v>
      </c>
      <c r="G248" s="1">
        <v>6.8084765765045407E-2</v>
      </c>
    </row>
    <row r="249" spans="1:7">
      <c r="A249">
        <v>332</v>
      </c>
      <c r="B249">
        <v>78</v>
      </c>
      <c r="C249" s="1">
        <f>(Tabela1[[#This Row],[x]]-H$3)*(Tabela1[[#This Row],[x]]-H$3) +(Tabela1[[#This Row],[y]]-H$4)*(Tabela1[[#This Row],[y]]-H$4)</f>
        <v>32308</v>
      </c>
      <c r="D249" s="1">
        <f>IF(Tabela1[[#This Row],[promien]]&lt;40000,1,0)</f>
        <v>1</v>
      </c>
      <c r="E249" s="1">
        <f>IF(Tabela1[[#This Row],[promien]]=40000,1,0)</f>
        <v>0</v>
      </c>
      <c r="F249" s="1">
        <v>3.2128514056224899</v>
      </c>
      <c r="G249" s="1">
        <v>7.1258752032696826E-2</v>
      </c>
    </row>
    <row r="250" spans="1:7">
      <c r="A250">
        <v>107</v>
      </c>
      <c r="B250">
        <v>310</v>
      </c>
      <c r="C250" s="1">
        <f>(Tabela1[[#This Row],[x]]-H$3)*(Tabela1[[#This Row],[x]]-H$3) +(Tabela1[[#This Row],[y]]-H$4)*(Tabela1[[#This Row],[y]]-H$4)</f>
        <v>20749</v>
      </c>
      <c r="D250" s="1">
        <f>IF(Tabela1[[#This Row],[promien]]&lt;40000,1,0)</f>
        <v>1</v>
      </c>
      <c r="E250" s="1">
        <f>IF(Tabela1[[#This Row],[promien]]=40000,1,0)</f>
        <v>0</v>
      </c>
      <c r="F250" s="1">
        <v>3.2160000000000002</v>
      </c>
      <c r="G250" s="1">
        <v>7.4407346410207076E-2</v>
      </c>
    </row>
    <row r="251" spans="1:7">
      <c r="A251">
        <v>49</v>
      </c>
      <c r="B251">
        <v>59</v>
      </c>
      <c r="C251" s="1">
        <f>(Tabela1[[#This Row],[x]]-H$3)*(Tabela1[[#This Row],[x]]-H$3) +(Tabela1[[#This Row],[y]]-H$4)*(Tabela1[[#This Row],[y]]-H$4)</f>
        <v>42682</v>
      </c>
      <c r="D251" s="1">
        <f>IF(Tabela1[[#This Row],[promien]]&lt;40000,1,0)</f>
        <v>0</v>
      </c>
      <c r="E251" s="1">
        <f>IF(Tabela1[[#This Row],[promien]]=40000,1,0)</f>
        <v>0</v>
      </c>
      <c r="F251" s="1">
        <v>3.2031872509960158</v>
      </c>
      <c r="G251" s="1">
        <v>6.159459740622264E-2</v>
      </c>
    </row>
    <row r="252" spans="1:7">
      <c r="A252">
        <v>280</v>
      </c>
      <c r="B252">
        <v>167</v>
      </c>
      <c r="C252" s="1">
        <f>(Tabela1[[#This Row],[x]]-H$3)*(Tabela1[[#This Row],[x]]-H$3) +(Tabela1[[#This Row],[y]]-H$4)*(Tabela1[[#This Row],[y]]-H$4)</f>
        <v>7489</v>
      </c>
      <c r="D252" s="1">
        <f>IF(Tabela1[[#This Row],[promien]]&lt;40000,1,0)</f>
        <v>1</v>
      </c>
      <c r="E252" s="1">
        <f>IF(Tabela1[[#This Row],[promien]]=40000,1,0)</f>
        <v>0</v>
      </c>
      <c r="F252" s="1">
        <v>3.2063492063492065</v>
      </c>
      <c r="G252" s="1">
        <v>6.4756552759413388E-2</v>
      </c>
    </row>
    <row r="253" spans="1:7">
      <c r="A253">
        <v>10</v>
      </c>
      <c r="B253">
        <v>371</v>
      </c>
      <c r="C253" s="1">
        <f>(Tabela1[[#This Row],[x]]-H$3)*(Tabela1[[#This Row],[x]]-H$3) +(Tabela1[[#This Row],[y]]-H$4)*(Tabela1[[#This Row],[y]]-H$4)</f>
        <v>65341</v>
      </c>
      <c r="D253" s="1">
        <f>IF(Tabela1[[#This Row],[promien]]&lt;40000,1,0)</f>
        <v>0</v>
      </c>
      <c r="E253" s="1">
        <f>IF(Tabela1[[#This Row],[promien]]=40000,1,0)</f>
        <v>0</v>
      </c>
      <c r="F253" s="1">
        <v>3.1936758893280635</v>
      </c>
      <c r="G253" s="1">
        <v>5.2083235738270339E-2</v>
      </c>
    </row>
    <row r="254" spans="1:7">
      <c r="A254">
        <v>344</v>
      </c>
      <c r="B254">
        <v>307</v>
      </c>
      <c r="C254" s="1">
        <f>(Tabela1[[#This Row],[x]]-H$3)*(Tabela1[[#This Row],[x]]-H$3) +(Tabela1[[#This Row],[y]]-H$4)*(Tabela1[[#This Row],[y]]-H$4)</f>
        <v>32185</v>
      </c>
      <c r="D254" s="1">
        <f>IF(Tabela1[[#This Row],[promien]]&lt;40000,1,0)</f>
        <v>1</v>
      </c>
      <c r="E254" s="1">
        <f>IF(Tabela1[[#This Row],[promien]]=40000,1,0)</f>
        <v>0</v>
      </c>
      <c r="F254" s="1">
        <v>3.1968503937007875</v>
      </c>
      <c r="G254" s="1">
        <v>5.525774011099438E-2</v>
      </c>
    </row>
    <row r="255" spans="1:7">
      <c r="A255">
        <v>298</v>
      </c>
      <c r="B255">
        <v>111</v>
      </c>
      <c r="C255" s="1">
        <f>(Tabela1[[#This Row],[x]]-H$3)*(Tabela1[[#This Row],[x]]-H$3) +(Tabela1[[#This Row],[y]]-H$4)*(Tabela1[[#This Row],[y]]-H$4)</f>
        <v>17525</v>
      </c>
      <c r="D255" s="1">
        <f>IF(Tabela1[[#This Row],[promien]]&lt;40000,1,0)</f>
        <v>1</v>
      </c>
      <c r="E255" s="1">
        <f>IF(Tabela1[[#This Row],[promien]]=40000,1,0)</f>
        <v>0</v>
      </c>
      <c r="F255" s="1">
        <v>3.2</v>
      </c>
      <c r="G255" s="1">
        <v>5.8407346410207062E-2</v>
      </c>
    </row>
    <row r="256" spans="1:7">
      <c r="A256">
        <v>393</v>
      </c>
      <c r="B256">
        <v>4</v>
      </c>
      <c r="C256" s="1">
        <f>(Tabela1[[#This Row],[x]]-H$3)*(Tabela1[[#This Row],[x]]-H$3) +(Tabela1[[#This Row],[y]]-H$4)*(Tabela1[[#This Row],[y]]-H$4)</f>
        <v>75665</v>
      </c>
      <c r="D256" s="1">
        <f>IF(Tabela1[[#This Row],[promien]]&lt;40000,1,0)</f>
        <v>0</v>
      </c>
      <c r="E256" s="1">
        <f>IF(Tabela1[[#This Row],[promien]]=40000,1,0)</f>
        <v>0</v>
      </c>
      <c r="F256" s="1">
        <v>3.1875</v>
      </c>
      <c r="G256" s="1">
        <v>4.5907346410206884E-2</v>
      </c>
    </row>
    <row r="257" spans="1:7">
      <c r="A257">
        <v>163</v>
      </c>
      <c r="B257">
        <v>61</v>
      </c>
      <c r="C257" s="1">
        <f>(Tabela1[[#This Row],[x]]-H$3)*(Tabela1[[#This Row],[x]]-H$3) +(Tabela1[[#This Row],[y]]-H$4)*(Tabela1[[#This Row],[y]]-H$4)</f>
        <v>20690</v>
      </c>
      <c r="D257" s="1">
        <f>IF(Tabela1[[#This Row],[promien]]&lt;40000,1,0)</f>
        <v>1</v>
      </c>
      <c r="E257" s="1">
        <f>IF(Tabela1[[#This Row],[promien]]=40000,1,0)</f>
        <v>0</v>
      </c>
      <c r="F257" s="1">
        <v>3.190661478599222</v>
      </c>
      <c r="G257" s="1">
        <v>4.9068825009428885E-2</v>
      </c>
    </row>
    <row r="258" spans="1:7">
      <c r="A258">
        <v>229</v>
      </c>
      <c r="B258">
        <v>370</v>
      </c>
      <c r="C258" s="1">
        <f>(Tabela1[[#This Row],[x]]-H$3)*(Tabela1[[#This Row],[x]]-H$3) +(Tabela1[[#This Row],[y]]-H$4)*(Tabela1[[#This Row],[y]]-H$4)</f>
        <v>29741</v>
      </c>
      <c r="D258" s="1">
        <f>IF(Tabela1[[#This Row],[promien]]&lt;40000,1,0)</f>
        <v>1</v>
      </c>
      <c r="E258" s="1">
        <f>IF(Tabela1[[#This Row],[promien]]=40000,1,0)</f>
        <v>0</v>
      </c>
      <c r="F258" s="1">
        <v>3.193798449612403</v>
      </c>
      <c r="G258" s="1">
        <v>5.2205796022609885E-2</v>
      </c>
    </row>
    <row r="259" spans="1:7">
      <c r="A259">
        <v>264</v>
      </c>
      <c r="B259">
        <v>340</v>
      </c>
      <c r="C259" s="1">
        <f>(Tabela1[[#This Row],[x]]-H$3)*(Tabela1[[#This Row],[x]]-H$3) +(Tabela1[[#This Row],[y]]-H$4)*(Tabela1[[#This Row],[y]]-H$4)</f>
        <v>23696</v>
      </c>
      <c r="D259" s="1">
        <f>IF(Tabela1[[#This Row],[promien]]&lt;40000,1,0)</f>
        <v>1</v>
      </c>
      <c r="E259" s="1">
        <f>IF(Tabela1[[#This Row],[promien]]=40000,1,0)</f>
        <v>0</v>
      </c>
      <c r="F259" s="1">
        <v>3.1969111969111967</v>
      </c>
      <c r="G259" s="1">
        <v>5.5318543321403624E-2</v>
      </c>
    </row>
    <row r="260" spans="1:7">
      <c r="A260">
        <v>311</v>
      </c>
      <c r="B260">
        <v>196</v>
      </c>
      <c r="C260" s="1">
        <f>(Tabela1[[#This Row],[x]]-H$3)*(Tabela1[[#This Row],[x]]-H$3) +(Tabela1[[#This Row],[y]]-H$4)*(Tabela1[[#This Row],[y]]-H$4)</f>
        <v>12337</v>
      </c>
      <c r="D260" s="1">
        <f>IF(Tabela1[[#This Row],[promien]]&lt;40000,1,0)</f>
        <v>1</v>
      </c>
      <c r="E260" s="1">
        <f>IF(Tabela1[[#This Row],[promien]]=40000,1,0)</f>
        <v>0</v>
      </c>
      <c r="F260" s="1">
        <v>3.2</v>
      </c>
      <c r="G260" s="1">
        <v>5.8407346410207062E-2</v>
      </c>
    </row>
    <row r="261" spans="1:7">
      <c r="A261">
        <v>101</v>
      </c>
      <c r="B261">
        <v>388</v>
      </c>
      <c r="C261" s="1">
        <f>(Tabela1[[#This Row],[x]]-H$3)*(Tabela1[[#This Row],[x]]-H$3) +(Tabela1[[#This Row],[y]]-H$4)*(Tabela1[[#This Row],[y]]-H$4)</f>
        <v>45145</v>
      </c>
      <c r="D261" s="1">
        <f>IF(Tabela1[[#This Row],[promien]]&lt;40000,1,0)</f>
        <v>0</v>
      </c>
      <c r="E261" s="1">
        <f>IF(Tabela1[[#This Row],[promien]]=40000,1,0)</f>
        <v>0</v>
      </c>
      <c r="F261" s="1">
        <v>3.1877394636015324</v>
      </c>
      <c r="G261" s="1">
        <v>4.6146810011739259E-2</v>
      </c>
    </row>
    <row r="262" spans="1:7">
      <c r="A262">
        <v>286</v>
      </c>
      <c r="B262">
        <v>311</v>
      </c>
      <c r="C262" s="1">
        <f>(Tabela1[[#This Row],[x]]-H$3)*(Tabela1[[#This Row],[x]]-H$3) +(Tabela1[[#This Row],[y]]-H$4)*(Tabela1[[#This Row],[y]]-H$4)</f>
        <v>19717</v>
      </c>
      <c r="D262" s="1">
        <f>IF(Tabela1[[#This Row],[promien]]&lt;40000,1,0)</f>
        <v>1</v>
      </c>
      <c r="E262" s="1">
        <f>IF(Tabela1[[#This Row],[promien]]=40000,1,0)</f>
        <v>0</v>
      </c>
      <c r="F262" s="1">
        <v>3.1908396946564888</v>
      </c>
      <c r="G262" s="1">
        <v>4.924704106669564E-2</v>
      </c>
    </row>
    <row r="263" spans="1:7">
      <c r="A263">
        <v>301</v>
      </c>
      <c r="B263">
        <v>78</v>
      </c>
      <c r="C263" s="1">
        <f>(Tabela1[[#This Row],[x]]-H$3)*(Tabela1[[#This Row],[x]]-H$3) +(Tabela1[[#This Row],[y]]-H$4)*(Tabela1[[#This Row],[y]]-H$4)</f>
        <v>25085</v>
      </c>
      <c r="D263" s="1">
        <f>IF(Tabela1[[#This Row],[promien]]&lt;40000,1,0)</f>
        <v>1</v>
      </c>
      <c r="E263" s="1">
        <f>IF(Tabela1[[#This Row],[promien]]=40000,1,0)</f>
        <v>0</v>
      </c>
      <c r="F263" s="1">
        <v>3.1939163498098861</v>
      </c>
      <c r="G263" s="1">
        <v>5.232369622009303E-2</v>
      </c>
    </row>
    <row r="264" spans="1:7">
      <c r="A264">
        <v>12</v>
      </c>
      <c r="B264">
        <v>217</v>
      </c>
      <c r="C264" s="1">
        <f>(Tabela1[[#This Row],[x]]-H$3)*(Tabela1[[#This Row],[x]]-H$3) +(Tabela1[[#This Row],[y]]-H$4)*(Tabela1[[#This Row],[y]]-H$4)</f>
        <v>35633</v>
      </c>
      <c r="D264" s="1">
        <f>IF(Tabela1[[#This Row],[promien]]&lt;40000,1,0)</f>
        <v>1</v>
      </c>
      <c r="E264" s="1">
        <f>IF(Tabela1[[#This Row],[promien]]=40000,1,0)</f>
        <v>0</v>
      </c>
      <c r="F264" s="1">
        <v>3.1969696969696968</v>
      </c>
      <c r="G264" s="1">
        <v>5.5377043379903679E-2</v>
      </c>
    </row>
    <row r="265" spans="1:7">
      <c r="A265">
        <v>55</v>
      </c>
      <c r="B265">
        <v>159</v>
      </c>
      <c r="C265" s="1">
        <f>(Tabela1[[#This Row],[x]]-H$3)*(Tabela1[[#This Row],[x]]-H$3) +(Tabela1[[#This Row],[y]]-H$4)*(Tabela1[[#This Row],[y]]-H$4)</f>
        <v>22706</v>
      </c>
      <c r="D265" s="1">
        <f>IF(Tabela1[[#This Row],[promien]]&lt;40000,1,0)</f>
        <v>1</v>
      </c>
      <c r="E265" s="1">
        <f>IF(Tabela1[[#This Row],[promien]]=40000,1,0)</f>
        <v>0</v>
      </c>
      <c r="F265" s="1">
        <v>3.2</v>
      </c>
      <c r="G265" s="1">
        <v>5.8407346410207062E-2</v>
      </c>
    </row>
    <row r="266" spans="1:7">
      <c r="A266">
        <v>241</v>
      </c>
      <c r="B266">
        <v>297</v>
      </c>
      <c r="C266" s="1">
        <f>(Tabela1[[#This Row],[x]]-H$3)*(Tabela1[[#This Row],[x]]-H$3) +(Tabela1[[#This Row],[y]]-H$4)*(Tabela1[[#This Row],[y]]-H$4)</f>
        <v>11090</v>
      </c>
      <c r="D266" s="1">
        <f>IF(Tabela1[[#This Row],[promien]]&lt;40000,1,0)</f>
        <v>1</v>
      </c>
      <c r="E266" s="1">
        <f>IF(Tabela1[[#This Row],[promien]]=40000,1,0)</f>
        <v>0</v>
      </c>
      <c r="F266" s="1">
        <v>3.2030075187969924</v>
      </c>
      <c r="G266" s="1">
        <v>6.1414865207199298E-2</v>
      </c>
    </row>
    <row r="267" spans="1:7">
      <c r="A267">
        <v>299</v>
      </c>
      <c r="B267">
        <v>219</v>
      </c>
      <c r="C267" s="1">
        <f>(Tabela1[[#This Row],[x]]-H$3)*(Tabela1[[#This Row],[x]]-H$3) +(Tabela1[[#This Row],[y]]-H$4)*(Tabela1[[#This Row],[y]]-H$4)</f>
        <v>10162</v>
      </c>
      <c r="D267" s="1">
        <f>IF(Tabela1[[#This Row],[promien]]&lt;40000,1,0)</f>
        <v>1</v>
      </c>
      <c r="E267" s="1">
        <f>IF(Tabela1[[#This Row],[promien]]=40000,1,0)</f>
        <v>0</v>
      </c>
      <c r="F267" s="1">
        <v>3.2059925093632957</v>
      </c>
      <c r="G267" s="1">
        <v>6.4399855773502601E-2</v>
      </c>
    </row>
    <row r="268" spans="1:7">
      <c r="A268">
        <v>307</v>
      </c>
      <c r="B268">
        <v>366</v>
      </c>
      <c r="C268" s="1">
        <f>(Tabela1[[#This Row],[x]]-H$3)*(Tabela1[[#This Row],[x]]-H$3) +(Tabela1[[#This Row],[y]]-H$4)*(Tabela1[[#This Row],[y]]-H$4)</f>
        <v>39005</v>
      </c>
      <c r="D268" s="1">
        <f>IF(Tabela1[[#This Row],[promien]]&lt;40000,1,0)</f>
        <v>1</v>
      </c>
      <c r="E268" s="1">
        <f>IF(Tabela1[[#This Row],[promien]]=40000,1,0)</f>
        <v>0</v>
      </c>
      <c r="F268" s="1">
        <v>3.2089552238805972</v>
      </c>
      <c r="G268" s="1">
        <v>6.7362570290804058E-2</v>
      </c>
    </row>
    <row r="269" spans="1:7">
      <c r="A269">
        <v>309</v>
      </c>
      <c r="B269">
        <v>215</v>
      </c>
      <c r="C269" s="1">
        <f>(Tabela1[[#This Row],[x]]-H$3)*(Tabela1[[#This Row],[x]]-H$3) +(Tabela1[[#This Row],[y]]-H$4)*(Tabela1[[#This Row],[y]]-H$4)</f>
        <v>12106</v>
      </c>
      <c r="D269" s="1">
        <f>IF(Tabela1[[#This Row],[promien]]&lt;40000,1,0)</f>
        <v>1</v>
      </c>
      <c r="E269" s="1">
        <f>IF(Tabela1[[#This Row],[promien]]=40000,1,0)</f>
        <v>0</v>
      </c>
      <c r="F269" s="1">
        <v>3.2118959107806693</v>
      </c>
      <c r="G269" s="1">
        <v>7.0303257190876156E-2</v>
      </c>
    </row>
    <row r="270" spans="1:7">
      <c r="A270">
        <v>387</v>
      </c>
      <c r="B270">
        <v>227</v>
      </c>
      <c r="C270" s="1">
        <f>(Tabela1[[#This Row],[x]]-H$3)*(Tabela1[[#This Row],[x]]-H$3) +(Tabela1[[#This Row],[y]]-H$4)*(Tabela1[[#This Row],[y]]-H$4)</f>
        <v>35698</v>
      </c>
      <c r="D270" s="1">
        <f>IF(Tabela1[[#This Row],[promien]]&lt;40000,1,0)</f>
        <v>1</v>
      </c>
      <c r="E270" s="1">
        <f>IF(Tabela1[[#This Row],[promien]]=40000,1,0)</f>
        <v>0</v>
      </c>
      <c r="F270" s="1">
        <v>3.2148148148148148</v>
      </c>
      <c r="G270" s="1">
        <v>7.3222161225021676E-2</v>
      </c>
    </row>
    <row r="271" spans="1:7">
      <c r="A271">
        <v>117</v>
      </c>
      <c r="B271">
        <v>250</v>
      </c>
      <c r="C271" s="1">
        <f>(Tabela1[[#This Row],[x]]-H$3)*(Tabela1[[#This Row],[x]]-H$3) +(Tabela1[[#This Row],[y]]-H$4)*(Tabela1[[#This Row],[y]]-H$4)</f>
        <v>9389</v>
      </c>
      <c r="D271" s="1">
        <f>IF(Tabela1[[#This Row],[promien]]&lt;40000,1,0)</f>
        <v>1</v>
      </c>
      <c r="E271" s="1">
        <f>IF(Tabela1[[#This Row],[promien]]=40000,1,0)</f>
        <v>0</v>
      </c>
      <c r="F271" s="1">
        <v>3.2177121771217712</v>
      </c>
      <c r="G271" s="1">
        <v>7.6119523531978039E-2</v>
      </c>
    </row>
    <row r="272" spans="1:7">
      <c r="A272">
        <v>220</v>
      </c>
      <c r="B272">
        <v>162</v>
      </c>
      <c r="C272" s="1">
        <f>(Tabela1[[#This Row],[x]]-H$3)*(Tabela1[[#This Row],[x]]-H$3) +(Tabela1[[#This Row],[y]]-H$4)*(Tabela1[[#This Row],[y]]-H$4)</f>
        <v>1844</v>
      </c>
      <c r="D272" s="1">
        <f>IF(Tabela1[[#This Row],[promien]]&lt;40000,1,0)</f>
        <v>1</v>
      </c>
      <c r="E272" s="1">
        <f>IF(Tabela1[[#This Row],[promien]]=40000,1,0)</f>
        <v>0</v>
      </c>
      <c r="F272" s="1">
        <v>3.2205882352941178</v>
      </c>
      <c r="G272" s="1">
        <v>7.8995581704324636E-2</v>
      </c>
    </row>
    <row r="273" spans="1:7">
      <c r="A273">
        <v>387</v>
      </c>
      <c r="B273">
        <v>101</v>
      </c>
      <c r="C273" s="1">
        <f>(Tabela1[[#This Row],[x]]-H$3)*(Tabela1[[#This Row],[x]]-H$3) +(Tabela1[[#This Row],[y]]-H$4)*(Tabela1[[#This Row],[y]]-H$4)</f>
        <v>44770</v>
      </c>
      <c r="D273" s="1">
        <f>IF(Tabela1[[#This Row],[promien]]&lt;40000,1,0)</f>
        <v>0</v>
      </c>
      <c r="E273" s="1">
        <f>IF(Tabela1[[#This Row],[promien]]=40000,1,0)</f>
        <v>0</v>
      </c>
      <c r="F273" s="1">
        <v>3.2087912087912089</v>
      </c>
      <c r="G273" s="1">
        <v>6.7198555201415822E-2</v>
      </c>
    </row>
    <row r="274" spans="1:7">
      <c r="A274">
        <v>301</v>
      </c>
      <c r="B274">
        <v>86</v>
      </c>
      <c r="C274" s="1">
        <f>(Tabela1[[#This Row],[x]]-H$3)*(Tabela1[[#This Row],[x]]-H$3) +(Tabela1[[#This Row],[y]]-H$4)*(Tabela1[[#This Row],[y]]-H$4)</f>
        <v>23197</v>
      </c>
      <c r="D274" s="1">
        <f>IF(Tabela1[[#This Row],[promien]]&lt;40000,1,0)</f>
        <v>1</v>
      </c>
      <c r="E274" s="1">
        <f>IF(Tabela1[[#This Row],[promien]]=40000,1,0)</f>
        <v>0</v>
      </c>
      <c r="F274" s="1">
        <v>3.2116788321167884</v>
      </c>
      <c r="G274" s="1">
        <v>7.008617852699528E-2</v>
      </c>
    </row>
    <row r="275" spans="1:7">
      <c r="A275">
        <v>330</v>
      </c>
      <c r="B275">
        <v>368</v>
      </c>
      <c r="C275" s="1">
        <f>(Tabela1[[#This Row],[x]]-H$3)*(Tabela1[[#This Row],[x]]-H$3) +(Tabela1[[#This Row],[y]]-H$4)*(Tabela1[[#This Row],[y]]-H$4)</f>
        <v>45124</v>
      </c>
      <c r="D275" s="1">
        <f>IF(Tabela1[[#This Row],[promien]]&lt;40000,1,0)</f>
        <v>0</v>
      </c>
      <c r="E275" s="1">
        <f>IF(Tabela1[[#This Row],[promien]]=40000,1,0)</f>
        <v>0</v>
      </c>
      <c r="F275" s="1">
        <v>3.2</v>
      </c>
      <c r="G275" s="1">
        <v>5.8407346410207062E-2</v>
      </c>
    </row>
    <row r="276" spans="1:7">
      <c r="A276">
        <v>56</v>
      </c>
      <c r="B276">
        <v>99</v>
      </c>
      <c r="C276" s="1">
        <f>(Tabela1[[#This Row],[x]]-H$3)*(Tabela1[[#This Row],[x]]-H$3) +(Tabela1[[#This Row],[y]]-H$4)*(Tabela1[[#This Row],[y]]-H$4)</f>
        <v>30937</v>
      </c>
      <c r="D276" s="1">
        <f>IF(Tabela1[[#This Row],[promien]]&lt;40000,1,0)</f>
        <v>1</v>
      </c>
      <c r="E276" s="1">
        <f>IF(Tabela1[[#This Row],[promien]]=40000,1,0)</f>
        <v>0</v>
      </c>
      <c r="F276" s="1">
        <v>3.2028985507246377</v>
      </c>
      <c r="G276" s="1">
        <v>6.1305897134844578E-2</v>
      </c>
    </row>
    <row r="277" spans="1:7">
      <c r="A277">
        <v>211</v>
      </c>
      <c r="B277">
        <v>195</v>
      </c>
      <c r="C277" s="1">
        <f>(Tabela1[[#This Row],[x]]-H$3)*(Tabela1[[#This Row],[x]]-H$3) +(Tabela1[[#This Row],[y]]-H$4)*(Tabela1[[#This Row],[y]]-H$4)</f>
        <v>146</v>
      </c>
      <c r="D277" s="1">
        <f>IF(Tabela1[[#This Row],[promien]]&lt;40000,1,0)</f>
        <v>1</v>
      </c>
      <c r="E277" s="1">
        <f>IF(Tabela1[[#This Row],[promien]]=40000,1,0)</f>
        <v>0</v>
      </c>
      <c r="F277" s="1">
        <v>3.2057761732851984</v>
      </c>
      <c r="G277" s="1">
        <v>6.4183519695405256E-2</v>
      </c>
    </row>
    <row r="278" spans="1:7">
      <c r="A278">
        <v>95</v>
      </c>
      <c r="B278">
        <v>98</v>
      </c>
      <c r="C278" s="1">
        <f>(Tabela1[[#This Row],[x]]-H$3)*(Tabela1[[#This Row],[x]]-H$3) +(Tabela1[[#This Row],[y]]-H$4)*(Tabela1[[#This Row],[y]]-H$4)</f>
        <v>21429</v>
      </c>
      <c r="D278" s="1">
        <f>IF(Tabela1[[#This Row],[promien]]&lt;40000,1,0)</f>
        <v>1</v>
      </c>
      <c r="E278" s="1">
        <f>IF(Tabela1[[#This Row],[promien]]=40000,1,0)</f>
        <v>0</v>
      </c>
      <c r="F278" s="1">
        <v>3.2086330935251799</v>
      </c>
      <c r="G278" s="1">
        <v>6.7040439935386775E-2</v>
      </c>
    </row>
    <row r="279" spans="1:7">
      <c r="A279">
        <v>42</v>
      </c>
      <c r="B279">
        <v>61</v>
      </c>
      <c r="C279" s="1">
        <f>(Tabela1[[#This Row],[x]]-H$3)*(Tabela1[[#This Row],[x]]-H$3) +(Tabela1[[#This Row],[y]]-H$4)*(Tabela1[[#This Row],[y]]-H$4)</f>
        <v>44285</v>
      </c>
      <c r="D279" s="1">
        <f>IF(Tabela1[[#This Row],[promien]]&lt;40000,1,0)</f>
        <v>0</v>
      </c>
      <c r="E279" s="1">
        <f>IF(Tabela1[[#This Row],[promien]]=40000,1,0)</f>
        <v>0</v>
      </c>
      <c r="F279" s="1">
        <v>3.1971326164874552</v>
      </c>
      <c r="G279" s="1">
        <v>5.5539962897662054E-2</v>
      </c>
    </row>
    <row r="280" spans="1:7">
      <c r="A280">
        <v>313</v>
      </c>
      <c r="B280">
        <v>217</v>
      </c>
      <c r="C280" s="1">
        <f>(Tabela1[[#This Row],[x]]-H$3)*(Tabela1[[#This Row],[x]]-H$3) +(Tabela1[[#This Row],[y]]-H$4)*(Tabela1[[#This Row],[y]]-H$4)</f>
        <v>13058</v>
      </c>
      <c r="D280" s="1">
        <f>IF(Tabela1[[#This Row],[promien]]&lt;40000,1,0)</f>
        <v>1</v>
      </c>
      <c r="E280" s="1">
        <f>IF(Tabela1[[#This Row],[promien]]=40000,1,0)</f>
        <v>0</v>
      </c>
      <c r="F280" s="1">
        <v>3.2</v>
      </c>
      <c r="G280" s="1">
        <v>5.8407346410207062E-2</v>
      </c>
    </row>
    <row r="281" spans="1:7">
      <c r="A281">
        <v>220</v>
      </c>
      <c r="B281">
        <v>335</v>
      </c>
      <c r="C281" s="1">
        <f>(Tabela1[[#This Row],[x]]-H$3)*(Tabela1[[#This Row],[x]]-H$3) +(Tabela1[[#This Row],[y]]-H$4)*(Tabela1[[#This Row],[y]]-H$4)</f>
        <v>18625</v>
      </c>
      <c r="D281" s="1">
        <f>IF(Tabela1[[#This Row],[promien]]&lt;40000,1,0)</f>
        <v>1</v>
      </c>
      <c r="E281" s="1">
        <f>IF(Tabela1[[#This Row],[promien]]=40000,1,0)</f>
        <v>0</v>
      </c>
      <c r="F281" s="1">
        <v>3.2028469750889679</v>
      </c>
      <c r="G281" s="1">
        <v>6.1254321499174758E-2</v>
      </c>
    </row>
    <row r="282" spans="1:7">
      <c r="A282">
        <v>217</v>
      </c>
      <c r="B282">
        <v>289</v>
      </c>
      <c r="C282" s="1">
        <f>(Tabela1[[#This Row],[x]]-H$3)*(Tabela1[[#This Row],[x]]-H$3) +(Tabela1[[#This Row],[y]]-H$4)*(Tabela1[[#This Row],[y]]-H$4)</f>
        <v>8210</v>
      </c>
      <c r="D282" s="1">
        <f>IF(Tabela1[[#This Row],[promien]]&lt;40000,1,0)</f>
        <v>1</v>
      </c>
      <c r="E282" s="1">
        <f>IF(Tabela1[[#This Row],[promien]]=40000,1,0)</f>
        <v>0</v>
      </c>
      <c r="F282" s="1">
        <v>3.2056737588652484</v>
      </c>
      <c r="G282" s="1">
        <v>6.4081105275455297E-2</v>
      </c>
    </row>
    <row r="283" spans="1:7">
      <c r="A283">
        <v>336</v>
      </c>
      <c r="B283">
        <v>244</v>
      </c>
      <c r="C283" s="1">
        <f>(Tabela1[[#This Row],[x]]-H$3)*(Tabela1[[#This Row],[x]]-H$3) +(Tabela1[[#This Row],[y]]-H$4)*(Tabela1[[#This Row],[y]]-H$4)</f>
        <v>20432</v>
      </c>
      <c r="D283" s="1">
        <f>IF(Tabela1[[#This Row],[promien]]&lt;40000,1,0)</f>
        <v>1</v>
      </c>
      <c r="E283" s="1">
        <f>IF(Tabela1[[#This Row],[promien]]=40000,1,0)</f>
        <v>0</v>
      </c>
      <c r="F283" s="1">
        <v>3.2084805653710249</v>
      </c>
      <c r="G283" s="1">
        <v>6.6887911781231768E-2</v>
      </c>
    </row>
    <row r="284" spans="1:7">
      <c r="A284">
        <v>164</v>
      </c>
      <c r="B284">
        <v>337</v>
      </c>
      <c r="C284" s="1">
        <f>(Tabela1[[#This Row],[x]]-H$3)*(Tabela1[[#This Row],[x]]-H$3) +(Tabela1[[#This Row],[y]]-H$4)*(Tabela1[[#This Row],[y]]-H$4)</f>
        <v>20065</v>
      </c>
      <c r="D284" s="1">
        <f>IF(Tabela1[[#This Row],[promien]]&lt;40000,1,0)</f>
        <v>1</v>
      </c>
      <c r="E284" s="1">
        <f>IF(Tabela1[[#This Row],[promien]]=40000,1,0)</f>
        <v>0</v>
      </c>
      <c r="F284" s="1">
        <v>3.211267605633803</v>
      </c>
      <c r="G284" s="1">
        <v>6.9674952044009864E-2</v>
      </c>
    </row>
    <row r="285" spans="1:7">
      <c r="A285">
        <v>338</v>
      </c>
      <c r="B285">
        <v>73</v>
      </c>
      <c r="C285" s="1">
        <f>(Tabela1[[#This Row],[x]]-H$3)*(Tabela1[[#This Row],[x]]-H$3) +(Tabela1[[#This Row],[y]]-H$4)*(Tabela1[[#This Row],[y]]-H$4)</f>
        <v>35173</v>
      </c>
      <c r="D285" s="1">
        <f>IF(Tabela1[[#This Row],[promien]]&lt;40000,1,0)</f>
        <v>1</v>
      </c>
      <c r="E285" s="1">
        <f>IF(Tabela1[[#This Row],[promien]]=40000,1,0)</f>
        <v>0</v>
      </c>
      <c r="F285" s="1">
        <v>3.2140350877192985</v>
      </c>
      <c r="G285" s="1">
        <v>7.2442434129505351E-2</v>
      </c>
    </row>
    <row r="286" spans="1:7">
      <c r="A286">
        <v>41</v>
      </c>
      <c r="B286">
        <v>22</v>
      </c>
      <c r="C286" s="1">
        <f>(Tabela1[[#This Row],[x]]-H$3)*(Tabela1[[#This Row],[x]]-H$3) +(Tabela1[[#This Row],[y]]-H$4)*(Tabela1[[#This Row],[y]]-H$4)</f>
        <v>56965</v>
      </c>
      <c r="D286" s="1">
        <f>IF(Tabela1[[#This Row],[promien]]&lt;40000,1,0)</f>
        <v>0</v>
      </c>
      <c r="E286" s="1">
        <f>IF(Tabela1[[#This Row],[promien]]=40000,1,0)</f>
        <v>0</v>
      </c>
      <c r="F286" s="1">
        <v>3.2027972027972029</v>
      </c>
      <c r="G286" s="1">
        <v>6.1204549207409809E-2</v>
      </c>
    </row>
    <row r="287" spans="1:7">
      <c r="A287">
        <v>32</v>
      </c>
      <c r="B287">
        <v>222</v>
      </c>
      <c r="C287" s="1">
        <f>(Tabela1[[#This Row],[x]]-H$3)*(Tabela1[[#This Row],[x]]-H$3) +(Tabela1[[#This Row],[y]]-H$4)*(Tabela1[[#This Row],[y]]-H$4)</f>
        <v>28708</v>
      </c>
      <c r="D287" s="1">
        <f>IF(Tabela1[[#This Row],[promien]]&lt;40000,1,0)</f>
        <v>1</v>
      </c>
      <c r="E287" s="1">
        <f>IF(Tabela1[[#This Row],[promien]]=40000,1,0)</f>
        <v>0</v>
      </c>
      <c r="F287" s="1">
        <v>3.2055749128919859</v>
      </c>
      <c r="G287" s="1">
        <v>6.3982259302192812E-2</v>
      </c>
    </row>
    <row r="288" spans="1:7">
      <c r="A288">
        <v>263</v>
      </c>
      <c r="B288">
        <v>238</v>
      </c>
      <c r="C288" s="1">
        <f>(Tabela1[[#This Row],[x]]-H$3)*(Tabela1[[#This Row],[x]]-H$3) +(Tabela1[[#This Row],[y]]-H$4)*(Tabela1[[#This Row],[y]]-H$4)</f>
        <v>5413</v>
      </c>
      <c r="D288" s="1">
        <f>IF(Tabela1[[#This Row],[promien]]&lt;40000,1,0)</f>
        <v>1</v>
      </c>
      <c r="E288" s="1">
        <f>IF(Tabela1[[#This Row],[promien]]=40000,1,0)</f>
        <v>0</v>
      </c>
      <c r="F288" s="1">
        <v>3.2083333333333335</v>
      </c>
      <c r="G288" s="1">
        <v>6.6740679743540365E-2</v>
      </c>
    </row>
    <row r="289" spans="1:7">
      <c r="A289">
        <v>77</v>
      </c>
      <c r="B289">
        <v>364</v>
      </c>
      <c r="C289" s="1">
        <f>(Tabela1[[#This Row],[x]]-H$3)*(Tabela1[[#This Row],[x]]-H$3) +(Tabela1[[#This Row],[y]]-H$4)*(Tabela1[[#This Row],[y]]-H$4)</f>
        <v>42025</v>
      </c>
      <c r="D289" s="1">
        <f>IF(Tabela1[[#This Row],[promien]]&lt;40000,1,0)</f>
        <v>0</v>
      </c>
      <c r="E289" s="1">
        <f>IF(Tabela1[[#This Row],[promien]]=40000,1,0)</f>
        <v>0</v>
      </c>
      <c r="F289" s="1">
        <v>3.1972318339100347</v>
      </c>
      <c r="G289" s="1">
        <v>5.5639180320241621E-2</v>
      </c>
    </row>
    <row r="290" spans="1:7">
      <c r="A290">
        <v>344</v>
      </c>
      <c r="B290">
        <v>377</v>
      </c>
      <c r="C290" s="1">
        <f>(Tabela1[[#This Row],[x]]-H$3)*(Tabela1[[#This Row],[x]]-H$3) +(Tabela1[[#This Row],[y]]-H$4)*(Tabela1[[#This Row],[y]]-H$4)</f>
        <v>52065</v>
      </c>
      <c r="D290" s="1">
        <f>IF(Tabela1[[#This Row],[promien]]&lt;40000,1,0)</f>
        <v>0</v>
      </c>
      <c r="E290" s="1">
        <f>IF(Tabela1[[#This Row],[promien]]=40000,1,0)</f>
        <v>0</v>
      </c>
      <c r="F290" s="1">
        <v>3.1862068965517243</v>
      </c>
      <c r="G290" s="1">
        <v>4.4614242961931172E-2</v>
      </c>
    </row>
    <row r="291" spans="1:7">
      <c r="A291">
        <v>392</v>
      </c>
      <c r="B291">
        <v>251</v>
      </c>
      <c r="C291" s="1">
        <f>(Tabela1[[#This Row],[x]]-H$3)*(Tabela1[[#This Row],[x]]-H$3) +(Tabela1[[#This Row],[y]]-H$4)*(Tabela1[[#This Row],[y]]-H$4)</f>
        <v>39465</v>
      </c>
      <c r="D291" s="1">
        <f>IF(Tabela1[[#This Row],[promien]]&lt;40000,1,0)</f>
        <v>1</v>
      </c>
      <c r="E291" s="1">
        <f>IF(Tabela1[[#This Row],[promien]]=40000,1,0)</f>
        <v>0</v>
      </c>
      <c r="F291" s="1">
        <v>3.1890034364261171</v>
      </c>
      <c r="G291" s="1">
        <v>4.7410782836323939E-2</v>
      </c>
    </row>
    <row r="292" spans="1:7">
      <c r="A292">
        <v>382</v>
      </c>
      <c r="B292">
        <v>77</v>
      </c>
      <c r="C292" s="1">
        <f>(Tabela1[[#This Row],[x]]-H$3)*(Tabela1[[#This Row],[x]]-H$3) +(Tabela1[[#This Row],[y]]-H$4)*(Tabela1[[#This Row],[y]]-H$4)</f>
        <v>48253</v>
      </c>
      <c r="D292" s="1">
        <f>IF(Tabela1[[#This Row],[promien]]&lt;40000,1,0)</f>
        <v>0</v>
      </c>
      <c r="E292" s="1">
        <f>IF(Tabela1[[#This Row],[promien]]=40000,1,0)</f>
        <v>0</v>
      </c>
      <c r="F292" s="1">
        <v>3.1780821917808217</v>
      </c>
      <c r="G292" s="1">
        <v>3.6489538191028625E-2</v>
      </c>
    </row>
    <row r="293" spans="1:7">
      <c r="A293">
        <v>181</v>
      </c>
      <c r="B293">
        <v>225</v>
      </c>
      <c r="C293" s="1">
        <f>(Tabela1[[#This Row],[x]]-H$3)*(Tabela1[[#This Row],[x]]-H$3) +(Tabela1[[#This Row],[y]]-H$4)*(Tabela1[[#This Row],[y]]-H$4)</f>
        <v>986</v>
      </c>
      <c r="D293" s="1">
        <f>IF(Tabela1[[#This Row],[promien]]&lt;40000,1,0)</f>
        <v>1</v>
      </c>
      <c r="E293" s="1">
        <f>IF(Tabela1[[#This Row],[promien]]=40000,1,0)</f>
        <v>0</v>
      </c>
      <c r="F293" s="1">
        <v>3.1808873720136517</v>
      </c>
      <c r="G293" s="1">
        <v>3.9294718423858566E-2</v>
      </c>
    </row>
    <row r="294" spans="1:7">
      <c r="A294">
        <v>222</v>
      </c>
      <c r="B294">
        <v>300</v>
      </c>
      <c r="C294" s="1">
        <f>(Tabela1[[#This Row],[x]]-H$3)*(Tabela1[[#This Row],[x]]-H$3) +(Tabela1[[#This Row],[y]]-H$4)*(Tabela1[[#This Row],[y]]-H$4)</f>
        <v>10484</v>
      </c>
      <c r="D294" s="1">
        <f>IF(Tabela1[[#This Row],[promien]]&lt;40000,1,0)</f>
        <v>1</v>
      </c>
      <c r="E294" s="1">
        <f>IF(Tabela1[[#This Row],[promien]]=40000,1,0)</f>
        <v>0</v>
      </c>
      <c r="F294" s="1">
        <v>3.1836734693877551</v>
      </c>
      <c r="G294" s="1">
        <v>4.2080815797961968E-2</v>
      </c>
    </row>
    <row r="295" spans="1:7">
      <c r="A295">
        <v>28</v>
      </c>
      <c r="B295">
        <v>1</v>
      </c>
      <c r="C295" s="1">
        <f>(Tabela1[[#This Row],[x]]-H$3)*(Tabela1[[#This Row],[x]]-H$3) +(Tabela1[[#This Row],[y]]-H$4)*(Tabela1[[#This Row],[y]]-H$4)</f>
        <v>69185</v>
      </c>
      <c r="D295" s="1">
        <f>IF(Tabela1[[#This Row],[promien]]&lt;40000,1,0)</f>
        <v>0</v>
      </c>
      <c r="E295" s="1">
        <f>IF(Tabela1[[#This Row],[promien]]=40000,1,0)</f>
        <v>0</v>
      </c>
      <c r="F295" s="1">
        <v>3.1728813559322036</v>
      </c>
      <c r="G295" s="1">
        <v>3.1288702342410435E-2</v>
      </c>
    </row>
    <row r="296" spans="1:7">
      <c r="A296">
        <v>9</v>
      </c>
      <c r="B296">
        <v>199</v>
      </c>
      <c r="C296" s="1">
        <f>(Tabela1[[#This Row],[x]]-H$3)*(Tabela1[[#This Row],[x]]-H$3) +(Tabela1[[#This Row],[y]]-H$4)*(Tabela1[[#This Row],[y]]-H$4)</f>
        <v>36482</v>
      </c>
      <c r="D296" s="1">
        <f>IF(Tabela1[[#This Row],[promien]]&lt;40000,1,0)</f>
        <v>1</v>
      </c>
      <c r="E296" s="1">
        <f>IF(Tabela1[[#This Row],[promien]]=40000,1,0)</f>
        <v>0</v>
      </c>
      <c r="F296" s="1">
        <v>3.1756756756756759</v>
      </c>
      <c r="G296" s="1">
        <v>3.4083022085882764E-2</v>
      </c>
    </row>
    <row r="297" spans="1:7">
      <c r="A297">
        <v>5</v>
      </c>
      <c r="B297">
        <v>90</v>
      </c>
      <c r="C297" s="1">
        <f>(Tabela1[[#This Row],[x]]-H$3)*(Tabela1[[#This Row],[x]]-H$3) +(Tabela1[[#This Row],[y]]-H$4)*(Tabela1[[#This Row],[y]]-H$4)</f>
        <v>50125</v>
      </c>
      <c r="D297" s="1">
        <f>IF(Tabela1[[#This Row],[promien]]&lt;40000,1,0)</f>
        <v>0</v>
      </c>
      <c r="E297" s="1">
        <f>IF(Tabela1[[#This Row],[promien]]=40000,1,0)</f>
        <v>0</v>
      </c>
      <c r="F297" s="1">
        <v>3.1649831649831648</v>
      </c>
      <c r="G297" s="1">
        <v>2.3390511393371671E-2</v>
      </c>
    </row>
    <row r="298" spans="1:7">
      <c r="A298">
        <v>358</v>
      </c>
      <c r="B298">
        <v>245</v>
      </c>
      <c r="C298" s="1">
        <f>(Tabela1[[#This Row],[x]]-H$3)*(Tabela1[[#This Row],[x]]-H$3) +(Tabela1[[#This Row],[y]]-H$4)*(Tabela1[[#This Row],[y]]-H$4)</f>
        <v>26989</v>
      </c>
      <c r="D298" s="1">
        <f>IF(Tabela1[[#This Row],[promien]]&lt;40000,1,0)</f>
        <v>1</v>
      </c>
      <c r="E298" s="1">
        <f>IF(Tabela1[[#This Row],[promien]]=40000,1,0)</f>
        <v>0</v>
      </c>
      <c r="F298" s="1">
        <v>3.1677852348993287</v>
      </c>
      <c r="G298" s="1">
        <v>2.6192581309535612E-2</v>
      </c>
    </row>
    <row r="299" spans="1:7">
      <c r="A299">
        <v>351</v>
      </c>
      <c r="B299">
        <v>369</v>
      </c>
      <c r="C299" s="1">
        <f>(Tabela1[[#This Row],[x]]-H$3)*(Tabela1[[#This Row],[x]]-H$3) +(Tabela1[[#This Row],[y]]-H$4)*(Tabela1[[#This Row],[y]]-H$4)</f>
        <v>51362</v>
      </c>
      <c r="D299" s="1">
        <f>IF(Tabela1[[#This Row],[promien]]&lt;40000,1,0)</f>
        <v>0</v>
      </c>
      <c r="E299" s="1">
        <f>IF(Tabela1[[#This Row],[promien]]=40000,1,0)</f>
        <v>0</v>
      </c>
      <c r="F299" s="1">
        <v>3.1571906354515051</v>
      </c>
      <c r="G299" s="1">
        <v>1.5597981861712018E-2</v>
      </c>
    </row>
    <row r="300" spans="1:7">
      <c r="A300">
        <v>30</v>
      </c>
      <c r="B300">
        <v>73</v>
      </c>
      <c r="C300" s="1">
        <f>(Tabela1[[#This Row],[x]]-H$3)*(Tabela1[[#This Row],[x]]-H$3) +(Tabela1[[#This Row],[y]]-H$4)*(Tabela1[[#This Row],[y]]-H$4)</f>
        <v>45029</v>
      </c>
      <c r="D300" s="1">
        <f>IF(Tabela1[[#This Row],[promien]]&lt;40000,1,0)</f>
        <v>0</v>
      </c>
      <c r="E300" s="1">
        <f>IF(Tabela1[[#This Row],[promien]]=40000,1,0)</f>
        <v>0</v>
      </c>
      <c r="F300" s="1">
        <v>3.1466666666666665</v>
      </c>
      <c r="G300" s="1">
        <v>5.0740130768733849E-3</v>
      </c>
    </row>
    <row r="301" spans="1:7">
      <c r="A301">
        <v>102</v>
      </c>
      <c r="B301">
        <v>278</v>
      </c>
      <c r="C301" s="1">
        <f>(Tabela1[[#This Row],[x]]-H$3)*(Tabela1[[#This Row],[x]]-H$3) +(Tabela1[[#This Row],[y]]-H$4)*(Tabela1[[#This Row],[y]]-H$4)</f>
        <v>15688</v>
      </c>
      <c r="D301" s="1">
        <f>IF(Tabela1[[#This Row],[promien]]&lt;40000,1,0)</f>
        <v>1</v>
      </c>
      <c r="E301" s="1">
        <f>IF(Tabela1[[#This Row],[promien]]=40000,1,0)</f>
        <v>0</v>
      </c>
      <c r="F301" s="1">
        <v>3.1495016611295683</v>
      </c>
      <c r="G301" s="1">
        <v>7.9090075397751924E-3</v>
      </c>
    </row>
    <row r="302" spans="1:7">
      <c r="A302">
        <v>251</v>
      </c>
      <c r="B302">
        <v>395</v>
      </c>
      <c r="C302" s="1">
        <f>(Tabela1[[#This Row],[x]]-H$3)*(Tabela1[[#This Row],[x]]-H$3) +(Tabela1[[#This Row],[y]]-H$4)*(Tabela1[[#This Row],[y]]-H$4)</f>
        <v>40626</v>
      </c>
      <c r="D302" s="1">
        <f>IF(Tabela1[[#This Row],[promien]]&lt;40000,1,0)</f>
        <v>0</v>
      </c>
      <c r="E302" s="1">
        <f>IF(Tabela1[[#This Row],[promien]]=40000,1,0)</f>
        <v>0</v>
      </c>
      <c r="F302" s="1">
        <v>3.1390728476821192</v>
      </c>
      <c r="G302" s="1">
        <v>2.5198059076738666E-3</v>
      </c>
    </row>
    <row r="303" spans="1:7">
      <c r="A303">
        <v>350</v>
      </c>
      <c r="B303">
        <v>172</v>
      </c>
      <c r="C303" s="1">
        <f>(Tabela1[[#This Row],[x]]-H$3)*(Tabela1[[#This Row],[x]]-H$3) +(Tabela1[[#This Row],[y]]-H$4)*(Tabela1[[#This Row],[y]]-H$4)</f>
        <v>23284</v>
      </c>
      <c r="D303" s="1">
        <f>IF(Tabela1[[#This Row],[promien]]&lt;40000,1,0)</f>
        <v>1</v>
      </c>
      <c r="E303" s="1">
        <f>IF(Tabela1[[#This Row],[promien]]=40000,1,0)</f>
        <v>0</v>
      </c>
      <c r="F303" s="1">
        <v>3.1419141914191417</v>
      </c>
      <c r="G303" s="1">
        <v>3.2153782934862818E-4</v>
      </c>
    </row>
    <row r="304" spans="1:7">
      <c r="A304">
        <v>304</v>
      </c>
      <c r="B304">
        <v>298</v>
      </c>
      <c r="C304" s="1">
        <f>(Tabela1[[#This Row],[x]]-H$3)*(Tabela1[[#This Row],[x]]-H$3) +(Tabela1[[#This Row],[y]]-H$4)*(Tabela1[[#This Row],[y]]-H$4)</f>
        <v>20420</v>
      </c>
      <c r="D304" s="1">
        <f>IF(Tabela1[[#This Row],[promien]]&lt;40000,1,0)</f>
        <v>1</v>
      </c>
      <c r="E304" s="1">
        <f>IF(Tabela1[[#This Row],[promien]]=40000,1,0)</f>
        <v>0</v>
      </c>
      <c r="F304" s="1">
        <v>3.1447368421052633</v>
      </c>
      <c r="G304" s="1">
        <v>3.1441885154701588E-3</v>
      </c>
    </row>
    <row r="305" spans="1:7">
      <c r="A305">
        <v>346</v>
      </c>
      <c r="B305">
        <v>69</v>
      </c>
      <c r="C305" s="1">
        <f>(Tabela1[[#This Row],[x]]-H$3)*(Tabela1[[#This Row],[x]]-H$3) +(Tabela1[[#This Row],[y]]-H$4)*(Tabela1[[#This Row],[y]]-H$4)</f>
        <v>38477</v>
      </c>
      <c r="D305" s="1">
        <f>IF(Tabela1[[#This Row],[promien]]&lt;40000,1,0)</f>
        <v>1</v>
      </c>
      <c r="E305" s="1">
        <f>IF(Tabela1[[#This Row],[promien]]=40000,1,0)</f>
        <v>0</v>
      </c>
      <c r="F305" s="1">
        <v>3.1475409836065573</v>
      </c>
      <c r="G305" s="1">
        <v>5.9483300167642028E-3</v>
      </c>
    </row>
    <row r="306" spans="1:7">
      <c r="A306">
        <v>103</v>
      </c>
      <c r="B306">
        <v>211</v>
      </c>
      <c r="C306" s="1">
        <f>(Tabela1[[#This Row],[x]]-H$3)*(Tabela1[[#This Row],[x]]-H$3) +(Tabela1[[#This Row],[y]]-H$4)*(Tabela1[[#This Row],[y]]-H$4)</f>
        <v>9530</v>
      </c>
      <c r="D306" s="1">
        <f>IF(Tabela1[[#This Row],[promien]]&lt;40000,1,0)</f>
        <v>1</v>
      </c>
      <c r="E306" s="1">
        <f>IF(Tabela1[[#This Row],[promien]]=40000,1,0)</f>
        <v>0</v>
      </c>
      <c r="F306" s="1">
        <v>3.1503267973856208</v>
      </c>
      <c r="G306" s="1">
        <v>8.7341437958277091E-3</v>
      </c>
    </row>
    <row r="307" spans="1:7">
      <c r="A307">
        <v>185</v>
      </c>
      <c r="B307">
        <v>266</v>
      </c>
      <c r="C307" s="1">
        <f>(Tabela1[[#This Row],[x]]-H$3)*(Tabela1[[#This Row],[x]]-H$3) +(Tabela1[[#This Row],[y]]-H$4)*(Tabela1[[#This Row],[y]]-H$4)</f>
        <v>4581</v>
      </c>
      <c r="D307" s="1">
        <f>IF(Tabela1[[#This Row],[promien]]&lt;40000,1,0)</f>
        <v>1</v>
      </c>
      <c r="E307" s="1">
        <f>IF(Tabela1[[#This Row],[promien]]=40000,1,0)</f>
        <v>0</v>
      </c>
      <c r="F307" s="1">
        <v>3.1530944625407167</v>
      </c>
      <c r="G307" s="1">
        <v>1.1501808950923564E-2</v>
      </c>
    </row>
    <row r="308" spans="1:7">
      <c r="A308">
        <v>385</v>
      </c>
      <c r="B308">
        <v>88</v>
      </c>
      <c r="C308" s="1">
        <f>(Tabela1[[#This Row],[x]]-H$3)*(Tabela1[[#This Row],[x]]-H$3) +(Tabela1[[#This Row],[y]]-H$4)*(Tabela1[[#This Row],[y]]-H$4)</f>
        <v>46769</v>
      </c>
      <c r="D308" s="1">
        <f>IF(Tabela1[[#This Row],[promien]]&lt;40000,1,0)</f>
        <v>0</v>
      </c>
      <c r="E308" s="1">
        <f>IF(Tabela1[[#This Row],[promien]]=40000,1,0)</f>
        <v>0</v>
      </c>
      <c r="F308" s="1">
        <v>3.1428571428571428</v>
      </c>
      <c r="G308" s="1">
        <v>1.2644892673496777E-3</v>
      </c>
    </row>
    <row r="309" spans="1:7">
      <c r="A309">
        <v>267</v>
      </c>
      <c r="B309">
        <v>380</v>
      </c>
      <c r="C309" s="1">
        <f>(Tabela1[[#This Row],[x]]-H$3)*(Tabela1[[#This Row],[x]]-H$3) +(Tabela1[[#This Row],[y]]-H$4)*(Tabela1[[#This Row],[y]]-H$4)</f>
        <v>36889</v>
      </c>
      <c r="D309" s="1">
        <f>IF(Tabela1[[#This Row],[promien]]&lt;40000,1,0)</f>
        <v>1</v>
      </c>
      <c r="E309" s="1">
        <f>IF(Tabela1[[#This Row],[promien]]=40000,1,0)</f>
        <v>0</v>
      </c>
      <c r="F309" s="1">
        <v>3.145631067961165</v>
      </c>
      <c r="G309" s="1">
        <v>4.0384143713718679E-3</v>
      </c>
    </row>
    <row r="310" spans="1:7">
      <c r="A310">
        <v>126</v>
      </c>
      <c r="B310">
        <v>320</v>
      </c>
      <c r="C310" s="1">
        <f>(Tabela1[[#This Row],[x]]-H$3)*(Tabela1[[#This Row],[x]]-H$3) +(Tabela1[[#This Row],[y]]-H$4)*(Tabela1[[#This Row],[y]]-H$4)</f>
        <v>19876</v>
      </c>
      <c r="D310" s="1">
        <f>IF(Tabela1[[#This Row],[promien]]&lt;40000,1,0)</f>
        <v>1</v>
      </c>
      <c r="E310" s="1">
        <f>IF(Tabela1[[#This Row],[promien]]=40000,1,0)</f>
        <v>0</v>
      </c>
      <c r="F310" s="1">
        <v>3.1483870967741936</v>
      </c>
      <c r="G310" s="1">
        <v>6.7944431844004782E-3</v>
      </c>
    </row>
    <row r="311" spans="1:7">
      <c r="A311">
        <v>239</v>
      </c>
      <c r="B311">
        <v>84</v>
      </c>
      <c r="C311" s="1">
        <f>(Tabela1[[#This Row],[x]]-H$3)*(Tabela1[[#This Row],[x]]-H$3) +(Tabela1[[#This Row],[y]]-H$4)*(Tabela1[[#This Row],[y]]-H$4)</f>
        <v>14977</v>
      </c>
      <c r="D311" s="1">
        <f>IF(Tabela1[[#This Row],[promien]]&lt;40000,1,0)</f>
        <v>1</v>
      </c>
      <c r="E311" s="1">
        <f>IF(Tabela1[[#This Row],[promien]]=40000,1,0)</f>
        <v>0</v>
      </c>
      <c r="F311" s="1">
        <v>3.1511254019292605</v>
      </c>
      <c r="G311" s="1">
        <v>9.5327483394673784E-3</v>
      </c>
    </row>
    <row r="312" spans="1:7">
      <c r="A312">
        <v>168</v>
      </c>
      <c r="B312">
        <v>3</v>
      </c>
      <c r="C312" s="1">
        <f>(Tabela1[[#This Row],[x]]-H$3)*(Tabela1[[#This Row],[x]]-H$3) +(Tabela1[[#This Row],[y]]-H$4)*(Tabela1[[#This Row],[y]]-H$4)</f>
        <v>39833</v>
      </c>
      <c r="D312" s="1">
        <f>IF(Tabela1[[#This Row],[promien]]&lt;40000,1,0)</f>
        <v>1</v>
      </c>
      <c r="E312" s="1">
        <f>IF(Tabela1[[#This Row],[promien]]=40000,1,0)</f>
        <v>0</v>
      </c>
      <c r="F312" s="1">
        <v>3.1538461538461537</v>
      </c>
      <c r="G312" s="1">
        <v>1.2253500256360628E-2</v>
      </c>
    </row>
    <row r="313" spans="1:7">
      <c r="A313">
        <v>393</v>
      </c>
      <c r="B313">
        <v>30</v>
      </c>
      <c r="C313" s="1">
        <f>(Tabela1[[#This Row],[x]]-H$3)*(Tabela1[[#This Row],[x]]-H$3) +(Tabela1[[#This Row],[y]]-H$4)*(Tabela1[[#This Row],[y]]-H$4)</f>
        <v>66149</v>
      </c>
      <c r="D313" s="1">
        <f>IF(Tabela1[[#This Row],[promien]]&lt;40000,1,0)</f>
        <v>0</v>
      </c>
      <c r="E313" s="1">
        <f>IF(Tabela1[[#This Row],[promien]]=40000,1,0)</f>
        <v>0</v>
      </c>
      <c r="F313" s="1">
        <v>3.1437699680511182</v>
      </c>
      <c r="G313" s="1">
        <v>2.177314461325075E-3</v>
      </c>
    </row>
    <row r="314" spans="1:7">
      <c r="A314">
        <v>293</v>
      </c>
      <c r="B314">
        <v>374</v>
      </c>
      <c r="C314" s="1">
        <f>(Tabela1[[#This Row],[x]]-H$3)*(Tabela1[[#This Row],[x]]-H$3) +(Tabela1[[#This Row],[y]]-H$4)*(Tabela1[[#This Row],[y]]-H$4)</f>
        <v>38925</v>
      </c>
      <c r="D314" s="1">
        <f>IF(Tabela1[[#This Row],[promien]]&lt;40000,1,0)</f>
        <v>1</v>
      </c>
      <c r="E314" s="1">
        <f>IF(Tabela1[[#This Row],[promien]]=40000,1,0)</f>
        <v>0</v>
      </c>
      <c r="F314" s="1">
        <v>3.1464968152866244</v>
      </c>
      <c r="G314" s="1">
        <v>4.9041616968312773E-3</v>
      </c>
    </row>
    <row r="315" spans="1:7">
      <c r="A315">
        <v>23</v>
      </c>
      <c r="B315">
        <v>192</v>
      </c>
      <c r="C315" s="1">
        <f>(Tabela1[[#This Row],[x]]-H$3)*(Tabela1[[#This Row],[x]]-H$3) +(Tabela1[[#This Row],[y]]-H$4)*(Tabela1[[#This Row],[y]]-H$4)</f>
        <v>31393</v>
      </c>
      <c r="D315" s="1">
        <f>IF(Tabela1[[#This Row],[promien]]&lt;40000,1,0)</f>
        <v>1</v>
      </c>
      <c r="E315" s="1">
        <f>IF(Tabela1[[#This Row],[promien]]=40000,1,0)</f>
        <v>0</v>
      </c>
      <c r="F315" s="1">
        <v>3.1492063492063491</v>
      </c>
      <c r="G315" s="1">
        <v>7.6136956165560044E-3</v>
      </c>
    </row>
    <row r="316" spans="1:7">
      <c r="A316">
        <v>214</v>
      </c>
      <c r="B316">
        <v>294</v>
      </c>
      <c r="C316" s="1">
        <f>(Tabela1[[#This Row],[x]]-H$3)*(Tabela1[[#This Row],[x]]-H$3) +(Tabela1[[#This Row],[y]]-H$4)*(Tabela1[[#This Row],[y]]-H$4)</f>
        <v>9032</v>
      </c>
      <c r="D316" s="1">
        <f>IF(Tabela1[[#This Row],[promien]]&lt;40000,1,0)</f>
        <v>1</v>
      </c>
      <c r="E316" s="1">
        <f>IF(Tabela1[[#This Row],[promien]]=40000,1,0)</f>
        <v>0</v>
      </c>
      <c r="F316" s="1">
        <v>3.1518987341772151</v>
      </c>
      <c r="G316" s="1">
        <v>1.0306080587421995E-2</v>
      </c>
    </row>
    <row r="317" spans="1:7">
      <c r="A317">
        <v>294</v>
      </c>
      <c r="B317">
        <v>387</v>
      </c>
      <c r="C317" s="1">
        <f>(Tabela1[[#This Row],[x]]-H$3)*(Tabela1[[#This Row],[x]]-H$3) +(Tabela1[[#This Row],[y]]-H$4)*(Tabela1[[#This Row],[y]]-H$4)</f>
        <v>43805</v>
      </c>
      <c r="D317" s="1">
        <f>IF(Tabela1[[#This Row],[promien]]&lt;40000,1,0)</f>
        <v>0</v>
      </c>
      <c r="E317" s="1">
        <f>IF(Tabela1[[#This Row],[promien]]=40000,1,0)</f>
        <v>0</v>
      </c>
      <c r="F317" s="1">
        <v>3.1419558359621451</v>
      </c>
      <c r="G317" s="1">
        <v>3.6318237235200002E-4</v>
      </c>
    </row>
    <row r="318" spans="1:7">
      <c r="A318">
        <v>225</v>
      </c>
      <c r="B318">
        <v>113</v>
      </c>
      <c r="C318" s="1">
        <f>(Tabela1[[#This Row],[x]]-H$3)*(Tabela1[[#This Row],[x]]-H$3) +(Tabela1[[#This Row],[y]]-H$4)*(Tabela1[[#This Row],[y]]-H$4)</f>
        <v>8194</v>
      </c>
      <c r="D318" s="1">
        <f>IF(Tabela1[[#This Row],[promien]]&lt;40000,1,0)</f>
        <v>1</v>
      </c>
      <c r="E318" s="1">
        <f>IF(Tabela1[[#This Row],[promien]]=40000,1,0)</f>
        <v>0</v>
      </c>
      <c r="F318" s="1">
        <v>3.1446540880503147</v>
      </c>
      <c r="G318" s="1">
        <v>3.0614344605215393E-3</v>
      </c>
    </row>
    <row r="319" spans="1:7">
      <c r="A319">
        <v>30</v>
      </c>
      <c r="B319">
        <v>38</v>
      </c>
      <c r="C319" s="1">
        <f>(Tabela1[[#This Row],[x]]-H$3)*(Tabela1[[#This Row],[x]]-H$3) +(Tabela1[[#This Row],[y]]-H$4)*(Tabela1[[#This Row],[y]]-H$4)</f>
        <v>55144</v>
      </c>
      <c r="D319" s="1">
        <f>IF(Tabela1[[#This Row],[promien]]&lt;40000,1,0)</f>
        <v>0</v>
      </c>
      <c r="E319" s="1">
        <f>IF(Tabela1[[#This Row],[promien]]=40000,1,0)</f>
        <v>0</v>
      </c>
      <c r="F319" s="1">
        <v>3.134796238244514</v>
      </c>
      <c r="G319" s="1">
        <v>6.7964153452790832E-3</v>
      </c>
    </row>
    <row r="320" spans="1:7">
      <c r="A320">
        <v>116</v>
      </c>
      <c r="B320">
        <v>383</v>
      </c>
      <c r="C320" s="1">
        <f>(Tabela1[[#This Row],[x]]-H$3)*(Tabela1[[#This Row],[x]]-H$3) +(Tabela1[[#This Row],[y]]-H$4)*(Tabela1[[#This Row],[y]]-H$4)</f>
        <v>40545</v>
      </c>
      <c r="D320" s="1">
        <f>IF(Tabela1[[#This Row],[promien]]&lt;40000,1,0)</f>
        <v>0</v>
      </c>
      <c r="E320" s="1">
        <f>IF(Tabela1[[#This Row],[promien]]=40000,1,0)</f>
        <v>0</v>
      </c>
      <c r="F320" s="1">
        <v>3.125</v>
      </c>
      <c r="G320" s="1">
        <v>1.6592653589793116E-2</v>
      </c>
    </row>
    <row r="321" spans="1:7">
      <c r="A321">
        <v>383</v>
      </c>
      <c r="B321">
        <v>319</v>
      </c>
      <c r="C321" s="1">
        <f>(Tabela1[[#This Row],[x]]-H$3)*(Tabela1[[#This Row],[x]]-H$3) +(Tabela1[[#This Row],[y]]-H$4)*(Tabela1[[#This Row],[y]]-H$4)</f>
        <v>47650</v>
      </c>
      <c r="D321" s="1">
        <f>IF(Tabela1[[#This Row],[promien]]&lt;40000,1,0)</f>
        <v>0</v>
      </c>
      <c r="E321" s="1">
        <f>IF(Tabela1[[#This Row],[promien]]=40000,1,0)</f>
        <v>0</v>
      </c>
      <c r="F321" s="1">
        <v>3.1152647975077881</v>
      </c>
      <c r="G321" s="1">
        <v>2.6327856082005052E-2</v>
      </c>
    </row>
    <row r="322" spans="1:7">
      <c r="A322">
        <v>331</v>
      </c>
      <c r="B322">
        <v>48</v>
      </c>
      <c r="C322" s="1">
        <f>(Tabela1[[#This Row],[x]]-H$3)*(Tabela1[[#This Row],[x]]-H$3) +(Tabela1[[#This Row],[y]]-H$4)*(Tabela1[[#This Row],[y]]-H$4)</f>
        <v>40265</v>
      </c>
      <c r="D322" s="1">
        <f>IF(Tabela1[[#This Row],[promien]]&lt;40000,1,0)</f>
        <v>0</v>
      </c>
      <c r="E322" s="1">
        <f>IF(Tabela1[[#This Row],[promien]]=40000,1,0)</f>
        <v>0</v>
      </c>
      <c r="F322" s="1">
        <v>3.1055900621118013</v>
      </c>
      <c r="G322" s="1">
        <v>3.6002591477991785E-2</v>
      </c>
    </row>
    <row r="323" spans="1:7">
      <c r="A323">
        <v>140</v>
      </c>
      <c r="B323">
        <v>276</v>
      </c>
      <c r="C323" s="1">
        <f>(Tabela1[[#This Row],[x]]-H$3)*(Tabela1[[#This Row],[x]]-H$3) +(Tabela1[[#This Row],[y]]-H$4)*(Tabela1[[#This Row],[y]]-H$4)</f>
        <v>9376</v>
      </c>
      <c r="D323" s="1">
        <f>IF(Tabela1[[#This Row],[promien]]&lt;40000,1,0)</f>
        <v>1</v>
      </c>
      <c r="E323" s="1">
        <f>IF(Tabela1[[#This Row],[promien]]=40000,1,0)</f>
        <v>0</v>
      </c>
      <c r="F323" s="1">
        <v>3.1083591331269349</v>
      </c>
      <c r="G323" s="1">
        <v>3.3233520462858213E-2</v>
      </c>
    </row>
    <row r="324" spans="1:7">
      <c r="A324">
        <v>96</v>
      </c>
      <c r="B324">
        <v>281</v>
      </c>
      <c r="C324" s="1">
        <f>(Tabela1[[#This Row],[x]]-H$3)*(Tabela1[[#This Row],[x]]-H$3) +(Tabela1[[#This Row],[y]]-H$4)*(Tabela1[[#This Row],[y]]-H$4)</f>
        <v>17377</v>
      </c>
      <c r="D324" s="1">
        <f>IF(Tabela1[[#This Row],[promien]]&lt;40000,1,0)</f>
        <v>1</v>
      </c>
      <c r="E324" s="1">
        <f>IF(Tabela1[[#This Row],[promien]]=40000,1,0)</f>
        <v>0</v>
      </c>
      <c r="F324" s="1">
        <v>3.1111111111111112</v>
      </c>
      <c r="G324" s="1">
        <v>3.0481542478681956E-2</v>
      </c>
    </row>
    <row r="325" spans="1:7">
      <c r="A325">
        <v>60</v>
      </c>
      <c r="B325">
        <v>273</v>
      </c>
      <c r="C325" s="1">
        <f>(Tabela1[[#This Row],[x]]-H$3)*(Tabela1[[#This Row],[x]]-H$3) +(Tabela1[[#This Row],[y]]-H$4)*(Tabela1[[#This Row],[y]]-H$4)</f>
        <v>24929</v>
      </c>
      <c r="D325" s="1">
        <f>IF(Tabela1[[#This Row],[promien]]&lt;40000,1,0)</f>
        <v>1</v>
      </c>
      <c r="E325" s="1">
        <f>IF(Tabela1[[#This Row],[promien]]=40000,1,0)</f>
        <v>0</v>
      </c>
      <c r="F325" s="1">
        <v>3.1138461538461537</v>
      </c>
      <c r="G325" s="1">
        <v>2.7746499743639408E-2</v>
      </c>
    </row>
    <row r="326" spans="1:7">
      <c r="A326">
        <v>285</v>
      </c>
      <c r="B326">
        <v>394</v>
      </c>
      <c r="C326" s="1">
        <f>(Tabela1[[#This Row],[x]]-H$3)*(Tabela1[[#This Row],[x]]-H$3) +(Tabela1[[#This Row],[y]]-H$4)*(Tabela1[[#This Row],[y]]-H$4)</f>
        <v>44861</v>
      </c>
      <c r="D326" s="1">
        <f>IF(Tabela1[[#This Row],[promien]]&lt;40000,1,0)</f>
        <v>0</v>
      </c>
      <c r="E326" s="1">
        <f>IF(Tabela1[[#This Row],[promien]]=40000,1,0)</f>
        <v>0</v>
      </c>
      <c r="F326" s="1">
        <v>3.1042944785276072</v>
      </c>
      <c r="G326" s="1">
        <v>3.7298175062185912E-2</v>
      </c>
    </row>
    <row r="327" spans="1:7">
      <c r="A327">
        <v>269</v>
      </c>
      <c r="B327">
        <v>388</v>
      </c>
      <c r="C327" s="1">
        <f>(Tabela1[[#This Row],[x]]-H$3)*(Tabela1[[#This Row],[x]]-H$3) +(Tabela1[[#This Row],[y]]-H$4)*(Tabela1[[#This Row],[y]]-H$4)</f>
        <v>40105</v>
      </c>
      <c r="D327" s="1">
        <f>IF(Tabela1[[#This Row],[promien]]&lt;40000,1,0)</f>
        <v>0</v>
      </c>
      <c r="E327" s="1">
        <f>IF(Tabela1[[#This Row],[promien]]=40000,1,0)</f>
        <v>0</v>
      </c>
      <c r="F327" s="1">
        <v>3.09480122324159</v>
      </c>
      <c r="G327" s="1">
        <v>4.67914303482031E-2</v>
      </c>
    </row>
    <row r="328" spans="1:7">
      <c r="A328">
        <v>90</v>
      </c>
      <c r="B328">
        <v>20</v>
      </c>
      <c r="C328" s="1">
        <f>(Tabela1[[#This Row],[x]]-H$3)*(Tabela1[[#This Row],[x]]-H$3) +(Tabela1[[#This Row],[y]]-H$4)*(Tabela1[[#This Row],[y]]-H$4)</f>
        <v>44500</v>
      </c>
      <c r="D328" s="1">
        <f>IF(Tabela1[[#This Row],[promien]]&lt;40000,1,0)</f>
        <v>0</v>
      </c>
      <c r="E328" s="1">
        <f>IF(Tabela1[[#This Row],[promien]]=40000,1,0)</f>
        <v>0</v>
      </c>
      <c r="F328" s="1">
        <v>3.0853658536585367</v>
      </c>
      <c r="G328" s="1">
        <v>5.6226799931256455E-2</v>
      </c>
    </row>
    <row r="329" spans="1:7">
      <c r="A329">
        <v>359</v>
      </c>
      <c r="B329">
        <v>297</v>
      </c>
      <c r="C329" s="1">
        <f>(Tabela1[[#This Row],[x]]-H$3)*(Tabela1[[#This Row],[x]]-H$3) +(Tabela1[[#This Row],[y]]-H$4)*(Tabela1[[#This Row],[y]]-H$4)</f>
        <v>34690</v>
      </c>
      <c r="D329" s="1">
        <f>IF(Tabela1[[#This Row],[promien]]&lt;40000,1,0)</f>
        <v>1</v>
      </c>
      <c r="E329" s="1">
        <f>IF(Tabela1[[#This Row],[promien]]=40000,1,0)</f>
        <v>0</v>
      </c>
      <c r="F329" s="1">
        <v>3.0881458966565352</v>
      </c>
      <c r="G329" s="1">
        <v>5.3446756933257955E-2</v>
      </c>
    </row>
    <row r="330" spans="1:7">
      <c r="A330">
        <v>386</v>
      </c>
      <c r="B330">
        <v>216</v>
      </c>
      <c r="C330" s="1">
        <f>(Tabela1[[#This Row],[x]]-H$3)*(Tabela1[[#This Row],[x]]-H$3) +(Tabela1[[#This Row],[y]]-H$4)*(Tabela1[[#This Row],[y]]-H$4)</f>
        <v>34852</v>
      </c>
      <c r="D330" s="1">
        <f>IF(Tabela1[[#This Row],[promien]]&lt;40000,1,0)</f>
        <v>1</v>
      </c>
      <c r="E330" s="1">
        <f>IF(Tabela1[[#This Row],[promien]]=40000,1,0)</f>
        <v>0</v>
      </c>
      <c r="F330" s="1">
        <v>3.0909090909090908</v>
      </c>
      <c r="G330" s="1">
        <v>5.0683562680702288E-2</v>
      </c>
    </row>
    <row r="331" spans="1:7">
      <c r="A331">
        <v>279</v>
      </c>
      <c r="B331">
        <v>163</v>
      </c>
      <c r="C331" s="1">
        <f>(Tabela1[[#This Row],[x]]-H$3)*(Tabela1[[#This Row],[x]]-H$3) +(Tabela1[[#This Row],[y]]-H$4)*(Tabela1[[#This Row],[y]]-H$4)</f>
        <v>7610</v>
      </c>
      <c r="D331" s="1">
        <f>IF(Tabela1[[#This Row],[promien]]&lt;40000,1,0)</f>
        <v>1</v>
      </c>
      <c r="E331" s="1">
        <f>IF(Tabela1[[#This Row],[promien]]=40000,1,0)</f>
        <v>0</v>
      </c>
      <c r="F331" s="1">
        <v>3.0936555891238671</v>
      </c>
      <c r="G331" s="1">
        <v>4.7937064465926049E-2</v>
      </c>
    </row>
    <row r="332" spans="1:7">
      <c r="A332">
        <v>68</v>
      </c>
      <c r="B332">
        <v>16</v>
      </c>
      <c r="C332" s="1">
        <f>(Tabela1[[#This Row],[x]]-H$3)*(Tabela1[[#This Row],[x]]-H$3) +(Tabela1[[#This Row],[y]]-H$4)*(Tabela1[[#This Row],[y]]-H$4)</f>
        <v>51280</v>
      </c>
      <c r="D332" s="1">
        <f>IF(Tabela1[[#This Row],[promien]]&lt;40000,1,0)</f>
        <v>0</v>
      </c>
      <c r="E332" s="1">
        <f>IF(Tabela1[[#This Row],[promien]]=40000,1,0)</f>
        <v>0</v>
      </c>
      <c r="F332" s="1">
        <v>3.0843373493975905</v>
      </c>
      <c r="G332" s="1">
        <v>5.7255304192202594E-2</v>
      </c>
    </row>
    <row r="333" spans="1:7">
      <c r="A333">
        <v>278</v>
      </c>
      <c r="B333">
        <v>354</v>
      </c>
      <c r="C333" s="1">
        <f>(Tabela1[[#This Row],[x]]-H$3)*(Tabela1[[#This Row],[x]]-H$3) +(Tabela1[[#This Row],[y]]-H$4)*(Tabela1[[#This Row],[y]]-H$4)</f>
        <v>29800</v>
      </c>
      <c r="D333" s="1">
        <f>IF(Tabela1[[#This Row],[promien]]&lt;40000,1,0)</f>
        <v>1</v>
      </c>
      <c r="E333" s="1">
        <f>IF(Tabela1[[#This Row],[promien]]=40000,1,0)</f>
        <v>0</v>
      </c>
      <c r="F333" s="1">
        <v>3.0870870870870872</v>
      </c>
      <c r="G333" s="1">
        <v>5.4505566502705882E-2</v>
      </c>
    </row>
    <row r="334" spans="1:7">
      <c r="A334">
        <v>199</v>
      </c>
      <c r="B334">
        <v>386</v>
      </c>
      <c r="C334" s="1">
        <f>(Tabela1[[#This Row],[x]]-H$3)*(Tabela1[[#This Row],[x]]-H$3) +(Tabela1[[#This Row],[y]]-H$4)*(Tabela1[[#This Row],[y]]-H$4)</f>
        <v>34597</v>
      </c>
      <c r="D334" s="1">
        <f>IF(Tabela1[[#This Row],[promien]]&lt;40000,1,0)</f>
        <v>1</v>
      </c>
      <c r="E334" s="1">
        <f>IF(Tabela1[[#This Row],[promien]]=40000,1,0)</f>
        <v>0</v>
      </c>
      <c r="F334" s="1">
        <v>3.0898203592814371</v>
      </c>
      <c r="G334" s="1">
        <v>5.1772294308356059E-2</v>
      </c>
    </row>
    <row r="335" spans="1:7">
      <c r="A335">
        <v>332</v>
      </c>
      <c r="B335">
        <v>257</v>
      </c>
      <c r="C335" s="1">
        <f>(Tabela1[[#This Row],[x]]-H$3)*(Tabela1[[#This Row],[x]]-H$3) +(Tabela1[[#This Row],[y]]-H$4)*(Tabela1[[#This Row],[y]]-H$4)</f>
        <v>20673</v>
      </c>
      <c r="D335" s="1">
        <f>IF(Tabela1[[#This Row],[promien]]&lt;40000,1,0)</f>
        <v>1</v>
      </c>
      <c r="E335" s="1">
        <f>IF(Tabela1[[#This Row],[promien]]=40000,1,0)</f>
        <v>0</v>
      </c>
      <c r="F335" s="1">
        <v>3.0925373134328358</v>
      </c>
      <c r="G335" s="1">
        <v>4.9055340156957339E-2</v>
      </c>
    </row>
    <row r="336" spans="1:7">
      <c r="A336">
        <v>268</v>
      </c>
      <c r="B336">
        <v>142</v>
      </c>
      <c r="C336" s="1">
        <f>(Tabela1[[#This Row],[x]]-H$3)*(Tabela1[[#This Row],[x]]-H$3) +(Tabela1[[#This Row],[y]]-H$4)*(Tabela1[[#This Row],[y]]-H$4)</f>
        <v>7988</v>
      </c>
      <c r="D336" s="1">
        <f>IF(Tabela1[[#This Row],[promien]]&lt;40000,1,0)</f>
        <v>1</v>
      </c>
      <c r="E336" s="1">
        <f>IF(Tabela1[[#This Row],[promien]]=40000,1,0)</f>
        <v>0</v>
      </c>
      <c r="F336" s="1">
        <v>3.0952380952380953</v>
      </c>
      <c r="G336" s="1">
        <v>4.6354558351697772E-2</v>
      </c>
    </row>
    <row r="337" spans="1:7">
      <c r="A337">
        <v>67</v>
      </c>
      <c r="B337">
        <v>147</v>
      </c>
      <c r="C337" s="1">
        <f>(Tabela1[[#This Row],[x]]-H$3)*(Tabela1[[#This Row],[x]]-H$3) +(Tabela1[[#This Row],[y]]-H$4)*(Tabela1[[#This Row],[y]]-H$4)</f>
        <v>20498</v>
      </c>
      <c r="D337" s="1">
        <f>IF(Tabela1[[#This Row],[promien]]&lt;40000,1,0)</f>
        <v>1</v>
      </c>
      <c r="E337" s="1">
        <f>IF(Tabela1[[#This Row],[promien]]=40000,1,0)</f>
        <v>0</v>
      </c>
      <c r="F337" s="1">
        <v>3.0979228486646884</v>
      </c>
      <c r="G337" s="1">
        <v>4.3669804925104749E-2</v>
      </c>
    </row>
    <row r="338" spans="1:7">
      <c r="A338">
        <v>158</v>
      </c>
      <c r="B338">
        <v>40</v>
      </c>
      <c r="C338" s="1">
        <f>(Tabela1[[#This Row],[x]]-H$3)*(Tabela1[[#This Row],[x]]-H$3) +(Tabela1[[#This Row],[y]]-H$4)*(Tabela1[[#This Row],[y]]-H$4)</f>
        <v>27364</v>
      </c>
      <c r="D338" s="1">
        <f>IF(Tabela1[[#This Row],[promien]]&lt;40000,1,0)</f>
        <v>1</v>
      </c>
      <c r="E338" s="1">
        <f>IF(Tabela1[[#This Row],[promien]]=40000,1,0)</f>
        <v>0</v>
      </c>
      <c r="F338" s="1">
        <v>3.1005917159763312</v>
      </c>
      <c r="G338" s="1">
        <v>4.1000937613461907E-2</v>
      </c>
    </row>
    <row r="339" spans="1:7">
      <c r="A339">
        <v>29</v>
      </c>
      <c r="B339">
        <v>25</v>
      </c>
      <c r="C339" s="1">
        <f>(Tabela1[[#This Row],[x]]-H$3)*(Tabela1[[#This Row],[x]]-H$3) +(Tabela1[[#This Row],[y]]-H$4)*(Tabela1[[#This Row],[y]]-H$4)</f>
        <v>59866</v>
      </c>
      <c r="D339" s="1">
        <f>IF(Tabela1[[#This Row],[promien]]&lt;40000,1,0)</f>
        <v>0</v>
      </c>
      <c r="E339" s="1">
        <f>IF(Tabela1[[#This Row],[promien]]=40000,1,0)</f>
        <v>0</v>
      </c>
      <c r="F339" s="1">
        <v>3.0914454277286136</v>
      </c>
      <c r="G339" s="1">
        <v>5.0147225861179479E-2</v>
      </c>
    </row>
    <row r="340" spans="1:7">
      <c r="A340">
        <v>164</v>
      </c>
      <c r="B340">
        <v>164</v>
      </c>
      <c r="C340" s="1">
        <f>(Tabela1[[#This Row],[x]]-H$3)*(Tabela1[[#This Row],[x]]-H$3) +(Tabela1[[#This Row],[y]]-H$4)*(Tabela1[[#This Row],[y]]-H$4)</f>
        <v>2592</v>
      </c>
      <c r="D340" s="1">
        <f>IF(Tabela1[[#This Row],[promien]]&lt;40000,1,0)</f>
        <v>1</v>
      </c>
      <c r="E340" s="1">
        <f>IF(Tabela1[[#This Row],[promien]]=40000,1,0)</f>
        <v>0</v>
      </c>
      <c r="F340" s="1">
        <v>3.0941176470588236</v>
      </c>
      <c r="G340" s="1">
        <v>4.7475006530969477E-2</v>
      </c>
    </row>
    <row r="341" spans="1:7">
      <c r="A341">
        <v>298</v>
      </c>
      <c r="B341">
        <v>45</v>
      </c>
      <c r="C341" s="1">
        <f>(Tabela1[[#This Row],[x]]-H$3)*(Tabela1[[#This Row],[x]]-H$3) +(Tabela1[[#This Row],[y]]-H$4)*(Tabela1[[#This Row],[y]]-H$4)</f>
        <v>33629</v>
      </c>
      <c r="D341" s="1">
        <f>IF(Tabela1[[#This Row],[promien]]&lt;40000,1,0)</f>
        <v>1</v>
      </c>
      <c r="E341" s="1">
        <f>IF(Tabela1[[#This Row],[promien]]=40000,1,0)</f>
        <v>0</v>
      </c>
      <c r="F341" s="1">
        <v>3.096774193548387</v>
      </c>
      <c r="G341" s="1">
        <v>4.4818460041406105E-2</v>
      </c>
    </row>
    <row r="342" spans="1:7">
      <c r="A342">
        <v>287</v>
      </c>
      <c r="B342">
        <v>284</v>
      </c>
      <c r="C342" s="1">
        <f>(Tabela1[[#This Row],[x]]-H$3)*(Tabela1[[#This Row],[x]]-H$3) +(Tabela1[[#This Row],[y]]-H$4)*(Tabela1[[#This Row],[y]]-H$4)</f>
        <v>14625</v>
      </c>
      <c r="D342" s="1">
        <f>IF(Tabela1[[#This Row],[promien]]&lt;40000,1,0)</f>
        <v>1</v>
      </c>
      <c r="E342" s="1">
        <f>IF(Tabela1[[#This Row],[promien]]=40000,1,0)</f>
        <v>0</v>
      </c>
      <c r="F342" s="1">
        <v>3.0994152046783627</v>
      </c>
      <c r="G342" s="1">
        <v>4.2177448911430382E-2</v>
      </c>
    </row>
    <row r="343" spans="1:7">
      <c r="A343">
        <v>129</v>
      </c>
      <c r="B343">
        <v>52</v>
      </c>
      <c r="C343" s="1">
        <f>(Tabela1[[#This Row],[x]]-H$3)*(Tabela1[[#This Row],[x]]-H$3) +(Tabela1[[#This Row],[y]]-H$4)*(Tabela1[[#This Row],[y]]-H$4)</f>
        <v>26945</v>
      </c>
      <c r="D343" s="1">
        <f>IF(Tabela1[[#This Row],[promien]]&lt;40000,1,0)</f>
        <v>1</v>
      </c>
      <c r="E343" s="1">
        <f>IF(Tabela1[[#This Row],[promien]]=40000,1,0)</f>
        <v>0</v>
      </c>
      <c r="F343" s="1">
        <v>3.1020408163265305</v>
      </c>
      <c r="G343" s="1">
        <v>3.9551837263262613E-2</v>
      </c>
    </row>
    <row r="344" spans="1:7">
      <c r="A344">
        <v>53</v>
      </c>
      <c r="B344">
        <v>307</v>
      </c>
      <c r="C344" s="1">
        <f>(Tabela1[[#This Row],[x]]-H$3)*(Tabela1[[#This Row],[x]]-H$3) +(Tabela1[[#This Row],[y]]-H$4)*(Tabela1[[#This Row],[y]]-H$4)</f>
        <v>33058</v>
      </c>
      <c r="D344" s="1">
        <f>IF(Tabela1[[#This Row],[promien]]&lt;40000,1,0)</f>
        <v>1</v>
      </c>
      <c r="E344" s="1">
        <f>IF(Tabela1[[#This Row],[promien]]=40000,1,0)</f>
        <v>0</v>
      </c>
      <c r="F344" s="1">
        <v>3.1046511627906979</v>
      </c>
      <c r="G344" s="1">
        <v>3.6941490799095256E-2</v>
      </c>
    </row>
    <row r="345" spans="1:7">
      <c r="A345">
        <v>31</v>
      </c>
      <c r="B345">
        <v>176</v>
      </c>
      <c r="C345" s="1">
        <f>(Tabela1[[#This Row],[x]]-H$3)*(Tabela1[[#This Row],[x]]-H$3) +(Tabela1[[#This Row],[y]]-H$4)*(Tabela1[[#This Row],[y]]-H$4)</f>
        <v>29137</v>
      </c>
      <c r="D345" s="1">
        <f>IF(Tabela1[[#This Row],[promien]]&lt;40000,1,0)</f>
        <v>1</v>
      </c>
      <c r="E345" s="1">
        <f>IF(Tabela1[[#This Row],[promien]]=40000,1,0)</f>
        <v>0</v>
      </c>
      <c r="F345" s="1">
        <v>3.1072463768115943</v>
      </c>
      <c r="G345" s="1">
        <v>3.4346276778198792E-2</v>
      </c>
    </row>
    <row r="346" spans="1:7">
      <c r="A346">
        <v>79</v>
      </c>
      <c r="B346">
        <v>327</v>
      </c>
      <c r="C346" s="1">
        <f>(Tabela1[[#This Row],[x]]-H$3)*(Tabela1[[#This Row],[x]]-H$3) +(Tabela1[[#This Row],[y]]-H$4)*(Tabela1[[#This Row],[y]]-H$4)</f>
        <v>30770</v>
      </c>
      <c r="D346" s="1">
        <f>IF(Tabela1[[#This Row],[promien]]&lt;40000,1,0)</f>
        <v>1</v>
      </c>
      <c r="E346" s="1">
        <f>IF(Tabela1[[#This Row],[promien]]=40000,1,0)</f>
        <v>0</v>
      </c>
      <c r="F346" s="1">
        <v>3.1098265895953756</v>
      </c>
      <c r="G346" s="1">
        <v>3.1766063994417504E-2</v>
      </c>
    </row>
    <row r="347" spans="1:7">
      <c r="A347">
        <v>144</v>
      </c>
      <c r="B347">
        <v>170</v>
      </c>
      <c r="C347" s="1">
        <f>(Tabela1[[#This Row],[x]]-H$3)*(Tabela1[[#This Row],[x]]-H$3) +(Tabela1[[#This Row],[y]]-H$4)*(Tabela1[[#This Row],[y]]-H$4)</f>
        <v>4036</v>
      </c>
      <c r="D347" s="1">
        <f>IF(Tabela1[[#This Row],[promien]]&lt;40000,1,0)</f>
        <v>1</v>
      </c>
      <c r="E347" s="1">
        <f>IF(Tabela1[[#This Row],[promien]]=40000,1,0)</f>
        <v>0</v>
      </c>
      <c r="F347" s="1">
        <v>3.1123919308357348</v>
      </c>
      <c r="G347" s="1">
        <v>2.9200722754058273E-2</v>
      </c>
    </row>
    <row r="348" spans="1:7">
      <c r="A348">
        <v>367</v>
      </c>
      <c r="B348">
        <v>171</v>
      </c>
      <c r="C348" s="1">
        <f>(Tabela1[[#This Row],[x]]-H$3)*(Tabela1[[#This Row],[x]]-H$3) +(Tabela1[[#This Row],[y]]-H$4)*(Tabela1[[#This Row],[y]]-H$4)</f>
        <v>28730</v>
      </c>
      <c r="D348" s="1">
        <f>IF(Tabela1[[#This Row],[promien]]&lt;40000,1,0)</f>
        <v>1</v>
      </c>
      <c r="E348" s="1">
        <f>IF(Tabela1[[#This Row],[promien]]=40000,1,0)</f>
        <v>0</v>
      </c>
      <c r="F348" s="1">
        <v>3.1149425287356323</v>
      </c>
      <c r="G348" s="1">
        <v>2.665012485416085E-2</v>
      </c>
    </row>
    <row r="349" spans="1:7">
      <c r="A349">
        <v>66</v>
      </c>
      <c r="B349">
        <v>258</v>
      </c>
      <c r="C349" s="1">
        <f>(Tabela1[[#This Row],[x]]-H$3)*(Tabela1[[#This Row],[x]]-H$3) +(Tabela1[[#This Row],[y]]-H$4)*(Tabela1[[#This Row],[y]]-H$4)</f>
        <v>21320</v>
      </c>
      <c r="D349" s="1">
        <f>IF(Tabela1[[#This Row],[promien]]&lt;40000,1,0)</f>
        <v>1</v>
      </c>
      <c r="E349" s="1">
        <f>IF(Tabela1[[#This Row],[promien]]=40000,1,0)</f>
        <v>0</v>
      </c>
      <c r="F349" s="1">
        <v>3.1174785100286533</v>
      </c>
      <c r="G349" s="1">
        <v>2.4114143561139834E-2</v>
      </c>
    </row>
    <row r="350" spans="1:7">
      <c r="A350">
        <v>373</v>
      </c>
      <c r="B350">
        <v>193</v>
      </c>
      <c r="C350" s="1">
        <f>(Tabela1[[#This Row],[x]]-H$3)*(Tabela1[[#This Row],[x]]-H$3) +(Tabela1[[#This Row],[y]]-H$4)*(Tabela1[[#This Row],[y]]-H$4)</f>
        <v>29978</v>
      </c>
      <c r="D350" s="1">
        <f>IF(Tabela1[[#This Row],[promien]]&lt;40000,1,0)</f>
        <v>1</v>
      </c>
      <c r="E350" s="1">
        <f>IF(Tabela1[[#This Row],[promien]]=40000,1,0)</f>
        <v>0</v>
      </c>
      <c r="F350" s="1">
        <v>3.12</v>
      </c>
      <c r="G350" s="1">
        <v>2.1592653589793009E-2</v>
      </c>
    </row>
    <row r="351" spans="1:7">
      <c r="A351">
        <v>341</v>
      </c>
      <c r="B351">
        <v>105</v>
      </c>
      <c r="C351" s="1">
        <f>(Tabela1[[#This Row],[x]]-H$3)*(Tabela1[[#This Row],[x]]-H$3) +(Tabela1[[#This Row],[y]]-H$4)*(Tabela1[[#This Row],[y]]-H$4)</f>
        <v>28906</v>
      </c>
      <c r="D351" s="1">
        <f>IF(Tabela1[[#This Row],[promien]]&lt;40000,1,0)</f>
        <v>1</v>
      </c>
      <c r="E351" s="1">
        <f>IF(Tabela1[[#This Row],[promien]]=40000,1,0)</f>
        <v>0</v>
      </c>
      <c r="F351" s="1">
        <v>3.1225071225071224</v>
      </c>
      <c r="G351" s="1">
        <v>1.9085531082670748E-2</v>
      </c>
    </row>
    <row r="352" spans="1:7">
      <c r="A352">
        <v>225</v>
      </c>
      <c r="B352">
        <v>218</v>
      </c>
      <c r="C352" s="1">
        <f>(Tabela1[[#This Row],[x]]-H$3)*(Tabela1[[#This Row],[x]]-H$3) +(Tabela1[[#This Row],[y]]-H$4)*(Tabela1[[#This Row],[y]]-H$4)</f>
        <v>949</v>
      </c>
      <c r="D352" s="1">
        <f>IF(Tabela1[[#This Row],[promien]]&lt;40000,1,0)</f>
        <v>1</v>
      </c>
      <c r="E352" s="1">
        <f>IF(Tabela1[[#This Row],[promien]]=40000,1,0)</f>
        <v>0</v>
      </c>
      <c r="F352" s="1">
        <v>3.125</v>
      </c>
      <c r="G352" s="1">
        <v>1.6592653589793116E-2</v>
      </c>
    </row>
    <row r="353" spans="1:7">
      <c r="A353">
        <v>282</v>
      </c>
      <c r="B353">
        <v>321</v>
      </c>
      <c r="C353" s="1">
        <f>(Tabela1[[#This Row],[x]]-H$3)*(Tabela1[[#This Row],[x]]-H$3) +(Tabela1[[#This Row],[y]]-H$4)*(Tabela1[[#This Row],[y]]-H$4)</f>
        <v>21365</v>
      </c>
      <c r="D353" s="1">
        <f>IF(Tabela1[[#This Row],[promien]]&lt;40000,1,0)</f>
        <v>1</v>
      </c>
      <c r="E353" s="1">
        <f>IF(Tabela1[[#This Row],[promien]]=40000,1,0)</f>
        <v>0</v>
      </c>
      <c r="F353" s="1">
        <v>3.1274787535410766</v>
      </c>
      <c r="G353" s="1">
        <v>1.4113900048716488E-2</v>
      </c>
    </row>
    <row r="354" spans="1:7">
      <c r="A354">
        <v>157</v>
      </c>
      <c r="B354">
        <v>257</v>
      </c>
      <c r="C354" s="1">
        <f>(Tabela1[[#This Row],[x]]-H$3)*(Tabela1[[#This Row],[x]]-H$3) +(Tabela1[[#This Row],[y]]-H$4)*(Tabela1[[#This Row],[y]]-H$4)</f>
        <v>5098</v>
      </c>
      <c r="D354" s="1">
        <f>IF(Tabela1[[#This Row],[promien]]&lt;40000,1,0)</f>
        <v>1</v>
      </c>
      <c r="E354" s="1">
        <f>IF(Tabela1[[#This Row],[promien]]=40000,1,0)</f>
        <v>0</v>
      </c>
      <c r="F354" s="1">
        <v>3.1299435028248586</v>
      </c>
      <c r="G354" s="1">
        <v>1.1649150764934557E-2</v>
      </c>
    </row>
    <row r="355" spans="1:7">
      <c r="A355">
        <v>305</v>
      </c>
      <c r="B355">
        <v>194</v>
      </c>
      <c r="C355" s="1">
        <f>(Tabela1[[#This Row],[x]]-H$3)*(Tabela1[[#This Row],[x]]-H$3) +(Tabela1[[#This Row],[y]]-H$4)*(Tabela1[[#This Row],[y]]-H$4)</f>
        <v>11061</v>
      </c>
      <c r="D355" s="1">
        <f>IF(Tabela1[[#This Row],[promien]]&lt;40000,1,0)</f>
        <v>1</v>
      </c>
      <c r="E355" s="1">
        <f>IF(Tabela1[[#This Row],[promien]]=40000,1,0)</f>
        <v>0</v>
      </c>
      <c r="F355" s="1">
        <v>3.1323943661971829</v>
      </c>
      <c r="G355" s="1">
        <v>9.1982873926101938E-3</v>
      </c>
    </row>
    <row r="356" spans="1:7">
      <c r="A356">
        <v>313</v>
      </c>
      <c r="B356">
        <v>367</v>
      </c>
      <c r="C356" s="1">
        <f>(Tabela1[[#This Row],[x]]-H$3)*(Tabela1[[#This Row],[x]]-H$3) +(Tabela1[[#This Row],[y]]-H$4)*(Tabela1[[#This Row],[y]]-H$4)</f>
        <v>40658</v>
      </c>
      <c r="D356" s="1">
        <f>IF(Tabela1[[#This Row],[promien]]&lt;40000,1,0)</f>
        <v>0</v>
      </c>
      <c r="E356" s="1">
        <f>IF(Tabela1[[#This Row],[promien]]=40000,1,0)</f>
        <v>0</v>
      </c>
      <c r="F356" s="1">
        <v>3.1235955056179776</v>
      </c>
      <c r="G356" s="1">
        <v>1.7997147971815508E-2</v>
      </c>
    </row>
    <row r="357" spans="1:7">
      <c r="A357">
        <v>275</v>
      </c>
      <c r="B357">
        <v>319</v>
      </c>
      <c r="C357" s="1">
        <f>(Tabela1[[#This Row],[x]]-H$3)*(Tabela1[[#This Row],[x]]-H$3) +(Tabela1[[#This Row],[y]]-H$4)*(Tabela1[[#This Row],[y]]-H$4)</f>
        <v>19786</v>
      </c>
      <c r="D357" s="1">
        <f>IF(Tabela1[[#This Row],[promien]]&lt;40000,1,0)</f>
        <v>1</v>
      </c>
      <c r="E357" s="1">
        <f>IF(Tabela1[[#This Row],[promien]]=40000,1,0)</f>
        <v>0</v>
      </c>
      <c r="F357" s="1">
        <v>3.1260504201680672</v>
      </c>
      <c r="G357" s="1">
        <v>1.5542233421725893E-2</v>
      </c>
    </row>
    <row r="358" spans="1:7">
      <c r="A358">
        <v>73</v>
      </c>
      <c r="B358">
        <v>301</v>
      </c>
      <c r="C358" s="1">
        <f>(Tabela1[[#This Row],[x]]-H$3)*(Tabela1[[#This Row],[x]]-H$3) +(Tabela1[[#This Row],[y]]-H$4)*(Tabela1[[#This Row],[y]]-H$4)</f>
        <v>26330</v>
      </c>
      <c r="D358" s="1">
        <f>IF(Tabela1[[#This Row],[promien]]&lt;40000,1,0)</f>
        <v>1</v>
      </c>
      <c r="E358" s="1">
        <f>IF(Tabela1[[#This Row],[promien]]=40000,1,0)</f>
        <v>0</v>
      </c>
      <c r="F358" s="1">
        <v>3.1284916201117317</v>
      </c>
      <c r="G358" s="1">
        <v>1.3101033478061463E-2</v>
      </c>
    </row>
    <row r="359" spans="1:7">
      <c r="A359">
        <v>185</v>
      </c>
      <c r="B359">
        <v>47</v>
      </c>
      <c r="C359" s="1">
        <f>(Tabela1[[#This Row],[x]]-H$3)*(Tabela1[[#This Row],[x]]-H$3) +(Tabela1[[#This Row],[y]]-H$4)*(Tabela1[[#This Row],[y]]-H$4)</f>
        <v>23634</v>
      </c>
      <c r="D359" s="1">
        <f>IF(Tabela1[[#This Row],[promien]]&lt;40000,1,0)</f>
        <v>1</v>
      </c>
      <c r="E359" s="1">
        <f>IF(Tabela1[[#This Row],[promien]]=40000,1,0)</f>
        <v>0</v>
      </c>
      <c r="F359" s="1">
        <v>3.1309192200557101</v>
      </c>
      <c r="G359" s="1">
        <v>1.067343353408301E-2</v>
      </c>
    </row>
    <row r="360" spans="1:7">
      <c r="A360">
        <v>361</v>
      </c>
      <c r="B360">
        <v>377</v>
      </c>
      <c r="C360" s="1">
        <f>(Tabela1[[#This Row],[x]]-H$3)*(Tabela1[[#This Row],[x]]-H$3) +(Tabela1[[#This Row],[y]]-H$4)*(Tabela1[[#This Row],[y]]-H$4)</f>
        <v>57250</v>
      </c>
      <c r="D360" s="1">
        <f>IF(Tabela1[[#This Row],[promien]]&lt;40000,1,0)</f>
        <v>0</v>
      </c>
      <c r="E360" s="1">
        <f>IF(Tabela1[[#This Row],[promien]]=40000,1,0)</f>
        <v>0</v>
      </c>
      <c r="F360" s="1">
        <v>3.1222222222222222</v>
      </c>
      <c r="G360" s="1">
        <v>1.9370431367570884E-2</v>
      </c>
    </row>
    <row r="361" spans="1:7">
      <c r="A361">
        <v>293</v>
      </c>
      <c r="B361">
        <v>109</v>
      </c>
      <c r="C361" s="1">
        <f>(Tabela1[[#This Row],[x]]-H$3)*(Tabela1[[#This Row],[x]]-H$3) +(Tabela1[[#This Row],[y]]-H$4)*(Tabela1[[#This Row],[y]]-H$4)</f>
        <v>16930</v>
      </c>
      <c r="D361" s="1">
        <f>IF(Tabela1[[#This Row],[promien]]&lt;40000,1,0)</f>
        <v>1</v>
      </c>
      <c r="E361" s="1">
        <f>IF(Tabela1[[#This Row],[promien]]=40000,1,0)</f>
        <v>0</v>
      </c>
      <c r="F361" s="1">
        <v>3.1246537396121883</v>
      </c>
      <c r="G361" s="1">
        <v>1.693891397760483E-2</v>
      </c>
    </row>
    <row r="362" spans="1:7">
      <c r="A362">
        <v>338</v>
      </c>
      <c r="B362">
        <v>107</v>
      </c>
      <c r="C362" s="1">
        <f>(Tabela1[[#This Row],[x]]-H$3)*(Tabela1[[#This Row],[x]]-H$3) +(Tabela1[[#This Row],[y]]-H$4)*(Tabela1[[#This Row],[y]]-H$4)</f>
        <v>27693</v>
      </c>
      <c r="D362" s="1">
        <f>IF(Tabela1[[#This Row],[promien]]&lt;40000,1,0)</f>
        <v>1</v>
      </c>
      <c r="E362" s="1">
        <f>IF(Tabela1[[#This Row],[promien]]=40000,1,0)</f>
        <v>0</v>
      </c>
      <c r="F362" s="1">
        <v>3.1270718232044197</v>
      </c>
      <c r="G362" s="1">
        <v>1.452083038537344E-2</v>
      </c>
    </row>
    <row r="363" spans="1:7">
      <c r="A363">
        <v>255</v>
      </c>
      <c r="B363">
        <v>313</v>
      </c>
      <c r="C363" s="1">
        <f>(Tabela1[[#This Row],[x]]-H$3)*(Tabela1[[#This Row],[x]]-H$3) +(Tabela1[[#This Row],[y]]-H$4)*(Tabela1[[#This Row],[y]]-H$4)</f>
        <v>15794</v>
      </c>
      <c r="D363" s="1">
        <f>IF(Tabela1[[#This Row],[promien]]&lt;40000,1,0)</f>
        <v>1</v>
      </c>
      <c r="E363" s="1">
        <f>IF(Tabela1[[#This Row],[promien]]=40000,1,0)</f>
        <v>0</v>
      </c>
      <c r="F363" s="1">
        <v>3.1294765840220387</v>
      </c>
      <c r="G363" s="1">
        <v>1.2116069567754462E-2</v>
      </c>
    </row>
    <row r="364" spans="1:7">
      <c r="A364">
        <v>335</v>
      </c>
      <c r="B364">
        <v>78</v>
      </c>
      <c r="C364" s="1">
        <f>(Tabela1[[#This Row],[x]]-H$3)*(Tabela1[[#This Row],[x]]-H$3) +(Tabela1[[#This Row],[y]]-H$4)*(Tabela1[[#This Row],[y]]-H$4)</f>
        <v>33109</v>
      </c>
      <c r="D364" s="1">
        <f>IF(Tabela1[[#This Row],[promien]]&lt;40000,1,0)</f>
        <v>1</v>
      </c>
      <c r="E364" s="1">
        <f>IF(Tabela1[[#This Row],[promien]]=40000,1,0)</f>
        <v>0</v>
      </c>
      <c r="F364" s="1">
        <v>3.1318681318681318</v>
      </c>
      <c r="G364" s="1">
        <v>9.7245217216612723E-3</v>
      </c>
    </row>
    <row r="365" spans="1:7">
      <c r="A365">
        <v>301</v>
      </c>
      <c r="B365">
        <v>366</v>
      </c>
      <c r="C365" s="1">
        <f>(Tabela1[[#This Row],[x]]-H$3)*(Tabela1[[#This Row],[x]]-H$3) +(Tabela1[[#This Row],[y]]-H$4)*(Tabela1[[#This Row],[y]]-H$4)</f>
        <v>37757</v>
      </c>
      <c r="D365" s="1">
        <f>IF(Tabela1[[#This Row],[promien]]&lt;40000,1,0)</f>
        <v>1</v>
      </c>
      <c r="E365" s="1">
        <f>IF(Tabela1[[#This Row],[promien]]=40000,1,0)</f>
        <v>0</v>
      </c>
      <c r="F365" s="1">
        <v>3.1342465753424658</v>
      </c>
      <c r="G365" s="1">
        <v>7.3460782473273589E-3</v>
      </c>
    </row>
    <row r="366" spans="1:7">
      <c r="A366">
        <v>180</v>
      </c>
      <c r="B366">
        <v>197</v>
      </c>
      <c r="C366" s="1">
        <f>(Tabela1[[#This Row],[x]]-H$3)*(Tabela1[[#This Row],[x]]-H$3) +(Tabela1[[#This Row],[y]]-H$4)*(Tabela1[[#This Row],[y]]-H$4)</f>
        <v>409</v>
      </c>
      <c r="D366" s="1">
        <f>IF(Tabela1[[#This Row],[promien]]&lt;40000,1,0)</f>
        <v>1</v>
      </c>
      <c r="E366" s="1">
        <f>IF(Tabela1[[#This Row],[promien]]=40000,1,0)</f>
        <v>0</v>
      </c>
      <c r="F366" s="1">
        <v>3.1366120218579234</v>
      </c>
      <c r="G366" s="1">
        <v>4.9806317318696891E-3</v>
      </c>
    </row>
    <row r="367" spans="1:7">
      <c r="A367">
        <v>65</v>
      </c>
      <c r="B367">
        <v>287</v>
      </c>
      <c r="C367" s="1">
        <f>(Tabela1[[#This Row],[x]]-H$3)*(Tabela1[[#This Row],[x]]-H$3) +(Tabela1[[#This Row],[y]]-H$4)*(Tabela1[[#This Row],[y]]-H$4)</f>
        <v>25794</v>
      </c>
      <c r="D367" s="1">
        <f>IF(Tabela1[[#This Row],[promien]]&lt;40000,1,0)</f>
        <v>1</v>
      </c>
      <c r="E367" s="1">
        <f>IF(Tabela1[[#This Row],[promien]]=40000,1,0)</f>
        <v>0</v>
      </c>
      <c r="F367" s="1">
        <v>3.1389645776566759</v>
      </c>
      <c r="G367" s="1">
        <v>2.6280759331172021E-3</v>
      </c>
    </row>
    <row r="368" spans="1:7">
      <c r="A368">
        <v>191</v>
      </c>
      <c r="B368">
        <v>176</v>
      </c>
      <c r="C368" s="1">
        <f>(Tabela1[[#This Row],[x]]-H$3)*(Tabela1[[#This Row],[x]]-H$3) +(Tabela1[[#This Row],[y]]-H$4)*(Tabela1[[#This Row],[y]]-H$4)</f>
        <v>657</v>
      </c>
      <c r="D368" s="1">
        <f>IF(Tabela1[[#This Row],[promien]]&lt;40000,1,0)</f>
        <v>1</v>
      </c>
      <c r="E368" s="1">
        <f>IF(Tabela1[[#This Row],[promien]]=40000,1,0)</f>
        <v>0</v>
      </c>
      <c r="F368" s="1">
        <v>3.1413043478260869</v>
      </c>
      <c r="G368" s="1">
        <v>2.8830576370619809E-4</v>
      </c>
    </row>
    <row r="369" spans="1:7">
      <c r="A369">
        <v>313</v>
      </c>
      <c r="B369">
        <v>210</v>
      </c>
      <c r="C369" s="1">
        <f>(Tabela1[[#This Row],[x]]-H$3)*(Tabela1[[#This Row],[x]]-H$3) +(Tabela1[[#This Row],[y]]-H$4)*(Tabela1[[#This Row],[y]]-H$4)</f>
        <v>12869</v>
      </c>
      <c r="D369" s="1">
        <f>IF(Tabela1[[#This Row],[promien]]&lt;40000,1,0)</f>
        <v>1</v>
      </c>
      <c r="E369" s="1">
        <f>IF(Tabela1[[#This Row],[promien]]=40000,1,0)</f>
        <v>0</v>
      </c>
      <c r="F369" s="1">
        <v>3.1436314363143629</v>
      </c>
      <c r="G369" s="1">
        <v>2.0387827245698098E-3</v>
      </c>
    </row>
    <row r="370" spans="1:7">
      <c r="A370">
        <v>333</v>
      </c>
      <c r="B370">
        <v>307</v>
      </c>
      <c r="C370" s="1">
        <f>(Tabela1[[#This Row],[x]]-H$3)*(Tabela1[[#This Row],[x]]-H$3) +(Tabela1[[#This Row],[y]]-H$4)*(Tabela1[[#This Row],[y]]-H$4)</f>
        <v>29138</v>
      </c>
      <c r="D370" s="1">
        <f>IF(Tabela1[[#This Row],[promien]]&lt;40000,1,0)</f>
        <v>1</v>
      </c>
      <c r="E370" s="1">
        <f>IF(Tabela1[[#This Row],[promien]]=40000,1,0)</f>
        <v>0</v>
      </c>
      <c r="F370" s="1">
        <v>3.1459459459459458</v>
      </c>
      <c r="G370" s="1">
        <v>4.3532923561526715E-3</v>
      </c>
    </row>
    <row r="371" spans="1:7">
      <c r="A371">
        <v>177</v>
      </c>
      <c r="B371">
        <v>345</v>
      </c>
      <c r="C371" s="1">
        <f>(Tabela1[[#This Row],[x]]-H$3)*(Tabela1[[#This Row],[x]]-H$3) +(Tabela1[[#This Row],[y]]-H$4)*(Tabela1[[#This Row],[y]]-H$4)</f>
        <v>21554</v>
      </c>
      <c r="D371" s="1">
        <f>IF(Tabela1[[#This Row],[promien]]&lt;40000,1,0)</f>
        <v>1</v>
      </c>
      <c r="E371" s="1">
        <f>IF(Tabela1[[#This Row],[promien]]=40000,1,0)</f>
        <v>0</v>
      </c>
      <c r="F371" s="1">
        <v>3.1482479784366575</v>
      </c>
      <c r="G371" s="1">
        <v>6.6553248468643744E-3</v>
      </c>
    </row>
    <row r="372" spans="1:7">
      <c r="A372">
        <v>342</v>
      </c>
      <c r="B372">
        <v>400</v>
      </c>
      <c r="C372" s="1">
        <f>(Tabela1[[#This Row],[x]]-H$3)*(Tabela1[[#This Row],[x]]-H$3) +(Tabela1[[#This Row],[y]]-H$4)*(Tabela1[[#This Row],[y]]-H$4)</f>
        <v>60164</v>
      </c>
      <c r="D372" s="1">
        <f>IF(Tabela1[[#This Row],[promien]]&lt;40000,1,0)</f>
        <v>0</v>
      </c>
      <c r="E372" s="1">
        <f>IF(Tabela1[[#This Row],[promien]]=40000,1,0)</f>
        <v>0</v>
      </c>
      <c r="F372" s="1">
        <v>3.139784946236559</v>
      </c>
      <c r="G372" s="1">
        <v>1.8077073532341004E-3</v>
      </c>
    </row>
    <row r="373" spans="1:7">
      <c r="A373">
        <v>249</v>
      </c>
      <c r="B373">
        <v>201</v>
      </c>
      <c r="C373" s="1">
        <f>(Tabela1[[#This Row],[x]]-H$3)*(Tabela1[[#This Row],[x]]-H$3) +(Tabela1[[#This Row],[y]]-H$4)*(Tabela1[[#This Row],[y]]-H$4)</f>
        <v>2402</v>
      </c>
      <c r="D373" s="1">
        <f>IF(Tabela1[[#This Row],[promien]]&lt;40000,1,0)</f>
        <v>1</v>
      </c>
      <c r="E373" s="1">
        <f>IF(Tabela1[[#This Row],[promien]]=40000,1,0)</f>
        <v>0</v>
      </c>
      <c r="F373" s="1">
        <v>3.1420911528150133</v>
      </c>
      <c r="G373" s="1">
        <v>4.9849922522016143E-4</v>
      </c>
    </row>
    <row r="374" spans="1:7">
      <c r="A374">
        <v>336</v>
      </c>
      <c r="B374">
        <v>135</v>
      </c>
      <c r="C374" s="1">
        <f>(Tabela1[[#This Row],[x]]-H$3)*(Tabela1[[#This Row],[x]]-H$3) +(Tabela1[[#This Row],[y]]-H$4)*(Tabela1[[#This Row],[y]]-H$4)</f>
        <v>22721</v>
      </c>
      <c r="D374" s="1">
        <f>IF(Tabela1[[#This Row],[promien]]&lt;40000,1,0)</f>
        <v>1</v>
      </c>
      <c r="E374" s="1">
        <f>IF(Tabela1[[#This Row],[promien]]=40000,1,0)</f>
        <v>0</v>
      </c>
      <c r="F374" s="1">
        <v>3.144385026737968</v>
      </c>
      <c r="G374" s="1">
        <v>2.7923731481749314E-3</v>
      </c>
    </row>
    <row r="375" spans="1:7">
      <c r="A375">
        <v>278</v>
      </c>
      <c r="B375">
        <v>74</v>
      </c>
      <c r="C375" s="1">
        <f>(Tabela1[[#This Row],[x]]-H$3)*(Tabela1[[#This Row],[x]]-H$3) +(Tabela1[[#This Row],[y]]-H$4)*(Tabela1[[#This Row],[y]]-H$4)</f>
        <v>21960</v>
      </c>
      <c r="D375" s="1">
        <f>IF(Tabela1[[#This Row],[promien]]&lt;40000,1,0)</f>
        <v>1</v>
      </c>
      <c r="E375" s="1">
        <f>IF(Tabela1[[#This Row],[promien]]=40000,1,0)</f>
        <v>0</v>
      </c>
      <c r="F375" s="1">
        <v>3.1466666666666665</v>
      </c>
      <c r="G375" s="1">
        <v>5.0740130768733849E-3</v>
      </c>
    </row>
    <row r="376" spans="1:7">
      <c r="A376">
        <v>233</v>
      </c>
      <c r="B376">
        <v>262</v>
      </c>
      <c r="C376" s="1">
        <f>(Tabela1[[#This Row],[x]]-H$3)*(Tabela1[[#This Row],[x]]-H$3) +(Tabela1[[#This Row],[y]]-H$4)*(Tabela1[[#This Row],[y]]-H$4)</f>
        <v>4933</v>
      </c>
      <c r="D376" s="1">
        <f>IF(Tabela1[[#This Row],[promien]]&lt;40000,1,0)</f>
        <v>1</v>
      </c>
      <c r="E376" s="1">
        <f>IF(Tabela1[[#This Row],[promien]]=40000,1,0)</f>
        <v>0</v>
      </c>
      <c r="F376" s="1">
        <v>3.1489361702127661</v>
      </c>
      <c r="G376" s="1">
        <v>7.3435166229729454E-3</v>
      </c>
    </row>
    <row r="377" spans="1:7">
      <c r="A377">
        <v>358</v>
      </c>
      <c r="B377">
        <v>399</v>
      </c>
      <c r="C377" s="1">
        <f>(Tabela1[[#This Row],[x]]-H$3)*(Tabela1[[#This Row],[x]]-H$3) +(Tabela1[[#This Row],[y]]-H$4)*(Tabela1[[#This Row],[y]]-H$4)</f>
        <v>64565</v>
      </c>
      <c r="D377" s="1">
        <f>IF(Tabela1[[#This Row],[promien]]&lt;40000,1,0)</f>
        <v>0</v>
      </c>
      <c r="E377" s="1">
        <f>IF(Tabela1[[#This Row],[promien]]=40000,1,0)</f>
        <v>0</v>
      </c>
      <c r="F377" s="1">
        <v>3.1405835543766578</v>
      </c>
      <c r="G377" s="1">
        <v>1.0090992131353005E-3</v>
      </c>
    </row>
    <row r="378" spans="1:7">
      <c r="A378">
        <v>225</v>
      </c>
      <c r="B378">
        <v>86</v>
      </c>
      <c r="C378" s="1">
        <f>(Tabela1[[#This Row],[x]]-H$3)*(Tabela1[[#This Row],[x]]-H$3) +(Tabela1[[#This Row],[y]]-H$4)*(Tabela1[[#This Row],[y]]-H$4)</f>
        <v>13621</v>
      </c>
      <c r="D378" s="1">
        <f>IF(Tabela1[[#This Row],[promien]]&lt;40000,1,0)</f>
        <v>1</v>
      </c>
      <c r="E378" s="1">
        <f>IF(Tabela1[[#This Row],[promien]]=40000,1,0)</f>
        <v>0</v>
      </c>
      <c r="F378" s="1">
        <v>3.1428571428571428</v>
      </c>
      <c r="G378" s="1">
        <v>1.2644892673496777E-3</v>
      </c>
    </row>
    <row r="379" spans="1:7">
      <c r="A379">
        <v>171</v>
      </c>
      <c r="B379">
        <v>154</v>
      </c>
      <c r="C379" s="1">
        <f>(Tabela1[[#This Row],[x]]-H$3)*(Tabela1[[#This Row],[x]]-H$3) +(Tabela1[[#This Row],[y]]-H$4)*(Tabela1[[#This Row],[y]]-H$4)</f>
        <v>2957</v>
      </c>
      <c r="D379" s="1">
        <f>IF(Tabela1[[#This Row],[promien]]&lt;40000,1,0)</f>
        <v>1</v>
      </c>
      <c r="E379" s="1">
        <f>IF(Tabela1[[#This Row],[promien]]=40000,1,0)</f>
        <v>0</v>
      </c>
      <c r="F379" s="1">
        <v>3.1451187335092348</v>
      </c>
      <c r="G379" s="1">
        <v>3.5260799194416492E-3</v>
      </c>
    </row>
    <row r="380" spans="1:7">
      <c r="A380">
        <v>289</v>
      </c>
      <c r="B380">
        <v>260</v>
      </c>
      <c r="C380" s="1">
        <f>(Tabela1[[#This Row],[x]]-H$3)*(Tabela1[[#This Row],[x]]-H$3) +(Tabela1[[#This Row],[y]]-H$4)*(Tabela1[[#This Row],[y]]-H$4)</f>
        <v>11521</v>
      </c>
      <c r="D380" s="1">
        <f>IF(Tabela1[[#This Row],[promien]]&lt;40000,1,0)</f>
        <v>1</v>
      </c>
      <c r="E380" s="1">
        <f>IF(Tabela1[[#This Row],[promien]]=40000,1,0)</f>
        <v>0</v>
      </c>
      <c r="F380" s="1">
        <v>3.1473684210526316</v>
      </c>
      <c r="G380" s="1">
        <v>5.775767462838477E-3</v>
      </c>
    </row>
    <row r="381" spans="1:7">
      <c r="A381">
        <v>334</v>
      </c>
      <c r="B381">
        <v>90</v>
      </c>
      <c r="C381" s="1">
        <f>(Tabela1[[#This Row],[x]]-H$3)*(Tabela1[[#This Row],[x]]-H$3) +(Tabela1[[#This Row],[y]]-H$4)*(Tabela1[[#This Row],[y]]-H$4)</f>
        <v>30056</v>
      </c>
      <c r="D381" s="1">
        <f>IF(Tabela1[[#This Row],[promien]]&lt;40000,1,0)</f>
        <v>1</v>
      </c>
      <c r="E381" s="1">
        <f>IF(Tabela1[[#This Row],[promien]]=40000,1,0)</f>
        <v>0</v>
      </c>
      <c r="F381" s="1">
        <v>3.1496062992125986</v>
      </c>
      <c r="G381" s="1">
        <v>8.0136456228054875E-3</v>
      </c>
    </row>
    <row r="382" spans="1:7">
      <c r="A382">
        <v>327</v>
      </c>
      <c r="B382">
        <v>158</v>
      </c>
      <c r="C382" s="1">
        <f>(Tabela1[[#This Row],[x]]-H$3)*(Tabela1[[#This Row],[x]]-H$3) +(Tabela1[[#This Row],[y]]-H$4)*(Tabela1[[#This Row],[y]]-H$4)</f>
        <v>17893</v>
      </c>
      <c r="D382" s="1">
        <f>IF(Tabela1[[#This Row],[promien]]&lt;40000,1,0)</f>
        <v>1</v>
      </c>
      <c r="E382" s="1">
        <f>IF(Tabela1[[#This Row],[promien]]=40000,1,0)</f>
        <v>0</v>
      </c>
      <c r="F382" s="1">
        <v>3.1518324607329844</v>
      </c>
      <c r="G382" s="1">
        <v>1.0239807143191282E-2</v>
      </c>
    </row>
    <row r="383" spans="1:7">
      <c r="A383">
        <v>104</v>
      </c>
      <c r="B383">
        <v>260</v>
      </c>
      <c r="C383" s="1">
        <f>(Tabela1[[#This Row],[x]]-H$3)*(Tabela1[[#This Row],[x]]-H$3) +(Tabela1[[#This Row],[y]]-H$4)*(Tabela1[[#This Row],[y]]-H$4)</f>
        <v>12816</v>
      </c>
      <c r="D383" s="1">
        <f>IF(Tabela1[[#This Row],[promien]]&lt;40000,1,0)</f>
        <v>1</v>
      </c>
      <c r="E383" s="1">
        <f>IF(Tabela1[[#This Row],[promien]]=40000,1,0)</f>
        <v>0</v>
      </c>
      <c r="F383" s="1">
        <v>3.1540469973890342</v>
      </c>
      <c r="G383" s="1">
        <v>1.2454343799241041E-2</v>
      </c>
    </row>
    <row r="384" spans="1:7">
      <c r="A384">
        <v>159</v>
      </c>
      <c r="B384">
        <v>143</v>
      </c>
      <c r="C384" s="1">
        <f>(Tabela1[[#This Row],[x]]-H$3)*(Tabela1[[#This Row],[x]]-H$3) +(Tabela1[[#This Row],[y]]-H$4)*(Tabela1[[#This Row],[y]]-H$4)</f>
        <v>4930</v>
      </c>
      <c r="D384" s="1">
        <f>IF(Tabela1[[#This Row],[promien]]&lt;40000,1,0)</f>
        <v>1</v>
      </c>
      <c r="E384" s="1">
        <f>IF(Tabela1[[#This Row],[promien]]=40000,1,0)</f>
        <v>0</v>
      </c>
      <c r="F384" s="1">
        <v>3.15625</v>
      </c>
      <c r="G384" s="1">
        <v>1.4657346410206884E-2</v>
      </c>
    </row>
    <row r="385" spans="1:7">
      <c r="A385">
        <v>356</v>
      </c>
      <c r="B385">
        <v>358</v>
      </c>
      <c r="C385" s="1">
        <f>(Tabela1[[#This Row],[x]]-H$3)*(Tabela1[[#This Row],[x]]-H$3) +(Tabela1[[#This Row],[y]]-H$4)*(Tabela1[[#This Row],[y]]-H$4)</f>
        <v>49300</v>
      </c>
      <c r="D385" s="1">
        <f>IF(Tabela1[[#This Row],[promien]]&lt;40000,1,0)</f>
        <v>0</v>
      </c>
      <c r="E385" s="1">
        <f>IF(Tabela1[[#This Row],[promien]]=40000,1,0)</f>
        <v>0</v>
      </c>
      <c r="F385" s="1">
        <v>3.1480519480519482</v>
      </c>
      <c r="G385" s="1">
        <v>6.4592944621550963E-3</v>
      </c>
    </row>
    <row r="386" spans="1:7">
      <c r="A386">
        <v>282</v>
      </c>
      <c r="B386">
        <v>365</v>
      </c>
      <c r="C386" s="1">
        <f>(Tabela1[[#This Row],[x]]-H$3)*(Tabela1[[#This Row],[x]]-H$3) +(Tabela1[[#This Row],[y]]-H$4)*(Tabela1[[#This Row],[y]]-H$4)</f>
        <v>33949</v>
      </c>
      <c r="D386" s="1">
        <f>IF(Tabela1[[#This Row],[promien]]&lt;40000,1,0)</f>
        <v>1</v>
      </c>
      <c r="E386" s="1">
        <f>IF(Tabela1[[#This Row],[promien]]=40000,1,0)</f>
        <v>0</v>
      </c>
      <c r="F386" s="1">
        <v>3.150259067357513</v>
      </c>
      <c r="G386" s="1">
        <v>8.6664137677199271E-3</v>
      </c>
    </row>
    <row r="387" spans="1:7">
      <c r="A387">
        <v>308</v>
      </c>
      <c r="B387">
        <v>188</v>
      </c>
      <c r="C387" s="1">
        <f>(Tabela1[[#This Row],[x]]-H$3)*(Tabela1[[#This Row],[x]]-H$3) +(Tabela1[[#This Row],[y]]-H$4)*(Tabela1[[#This Row],[y]]-H$4)</f>
        <v>11808</v>
      </c>
      <c r="D387" s="1">
        <f>IF(Tabela1[[#This Row],[promien]]&lt;40000,1,0)</f>
        <v>1</v>
      </c>
      <c r="E387" s="1">
        <f>IF(Tabela1[[#This Row],[promien]]=40000,1,0)</f>
        <v>0</v>
      </c>
      <c r="F387" s="1">
        <v>3.1524547803617571</v>
      </c>
      <c r="G387" s="1">
        <v>1.0862126771963965E-2</v>
      </c>
    </row>
    <row r="388" spans="1:7">
      <c r="A388">
        <v>270</v>
      </c>
      <c r="B388">
        <v>387</v>
      </c>
      <c r="C388" s="1">
        <f>(Tabela1[[#This Row],[x]]-H$3)*(Tabela1[[#This Row],[x]]-H$3) +(Tabela1[[#This Row],[y]]-H$4)*(Tabela1[[#This Row],[y]]-H$4)</f>
        <v>39869</v>
      </c>
      <c r="D388" s="1">
        <f>IF(Tabela1[[#This Row],[promien]]&lt;40000,1,0)</f>
        <v>1</v>
      </c>
      <c r="E388" s="1">
        <f>IF(Tabela1[[#This Row],[promien]]=40000,1,0)</f>
        <v>0</v>
      </c>
      <c r="F388" s="1">
        <v>3.1546391752577319</v>
      </c>
      <c r="G388" s="1">
        <v>1.3046521667938737E-2</v>
      </c>
    </row>
    <row r="389" spans="1:7">
      <c r="A389">
        <v>259</v>
      </c>
      <c r="B389">
        <v>1</v>
      </c>
      <c r="C389" s="1">
        <f>(Tabela1[[#This Row],[x]]-H$3)*(Tabela1[[#This Row],[x]]-H$3) +(Tabela1[[#This Row],[y]]-H$4)*(Tabela1[[#This Row],[y]]-H$4)</f>
        <v>43082</v>
      </c>
      <c r="D389" s="1">
        <f>IF(Tabela1[[#This Row],[promien]]&lt;40000,1,0)</f>
        <v>0</v>
      </c>
      <c r="E389" s="1">
        <f>IF(Tabela1[[#This Row],[promien]]=40000,1,0)</f>
        <v>0</v>
      </c>
      <c r="F389" s="1">
        <v>3.1465295629820051</v>
      </c>
      <c r="G389" s="1">
        <v>4.93690939221203E-3</v>
      </c>
    </row>
    <row r="390" spans="1:7">
      <c r="A390">
        <v>212</v>
      </c>
      <c r="B390">
        <v>330</v>
      </c>
      <c r="C390" s="1">
        <f>(Tabela1[[#This Row],[x]]-H$3)*(Tabela1[[#This Row],[x]]-H$3) +(Tabela1[[#This Row],[y]]-H$4)*(Tabela1[[#This Row],[y]]-H$4)</f>
        <v>17044</v>
      </c>
      <c r="D390" s="1">
        <f>IF(Tabela1[[#This Row],[promien]]&lt;40000,1,0)</f>
        <v>1</v>
      </c>
      <c r="E390" s="1">
        <f>IF(Tabela1[[#This Row],[promien]]=40000,1,0)</f>
        <v>0</v>
      </c>
      <c r="F390" s="1">
        <v>3.1487179487179486</v>
      </c>
      <c r="G390" s="1">
        <v>7.1252951281555177E-3</v>
      </c>
    </row>
    <row r="391" spans="1:7">
      <c r="A391">
        <v>350</v>
      </c>
      <c r="B391">
        <v>367</v>
      </c>
      <c r="C391" s="1">
        <f>(Tabela1[[#This Row],[x]]-H$3)*(Tabela1[[#This Row],[x]]-H$3) +(Tabela1[[#This Row],[y]]-H$4)*(Tabela1[[#This Row],[y]]-H$4)</f>
        <v>50389</v>
      </c>
      <c r="D391" s="1">
        <f>IF(Tabela1[[#This Row],[promien]]&lt;40000,1,0)</f>
        <v>0</v>
      </c>
      <c r="E391" s="1">
        <f>IF(Tabela1[[#This Row],[promien]]=40000,1,0)</f>
        <v>0</v>
      </c>
      <c r="F391" s="1">
        <v>3.1406649616368285</v>
      </c>
      <c r="G391" s="1">
        <v>9.2769195296460438E-4</v>
      </c>
    </row>
    <row r="392" spans="1:7">
      <c r="A392">
        <v>150</v>
      </c>
      <c r="B392">
        <v>200</v>
      </c>
      <c r="C392" s="1">
        <f>(Tabela1[[#This Row],[x]]-H$3)*(Tabela1[[#This Row],[x]]-H$3) +(Tabela1[[#This Row],[y]]-H$4)*(Tabela1[[#This Row],[y]]-H$4)</f>
        <v>2500</v>
      </c>
      <c r="D392" s="1">
        <f>IF(Tabela1[[#This Row],[promien]]&lt;40000,1,0)</f>
        <v>1</v>
      </c>
      <c r="E392" s="1">
        <f>IF(Tabela1[[#This Row],[promien]]=40000,1,0)</f>
        <v>0</v>
      </c>
      <c r="F392" s="1">
        <v>3.1428571428571428</v>
      </c>
      <c r="G392" s="1">
        <v>1.2644892673496777E-3</v>
      </c>
    </row>
    <row r="393" spans="1:7">
      <c r="A393">
        <v>348</v>
      </c>
      <c r="B393">
        <v>311</v>
      </c>
      <c r="C393" s="1">
        <f>(Tabela1[[#This Row],[x]]-H$3)*(Tabela1[[#This Row],[x]]-H$3) +(Tabela1[[#This Row],[y]]-H$4)*(Tabela1[[#This Row],[y]]-H$4)</f>
        <v>34225</v>
      </c>
      <c r="D393" s="1">
        <f>IF(Tabela1[[#This Row],[promien]]&lt;40000,1,0)</f>
        <v>1</v>
      </c>
      <c r="E393" s="1">
        <f>IF(Tabela1[[#This Row],[promien]]=40000,1,0)</f>
        <v>0</v>
      </c>
      <c r="F393" s="1">
        <v>3.1450381679389312</v>
      </c>
      <c r="G393" s="1">
        <v>3.4455143491380902E-3</v>
      </c>
    </row>
    <row r="394" spans="1:7">
      <c r="A394">
        <v>36</v>
      </c>
      <c r="B394">
        <v>102</v>
      </c>
      <c r="C394" s="1">
        <f>(Tabela1[[#This Row],[x]]-H$3)*(Tabela1[[#This Row],[x]]-H$3) +(Tabela1[[#This Row],[y]]-H$4)*(Tabela1[[#This Row],[y]]-H$4)</f>
        <v>36500</v>
      </c>
      <c r="D394" s="1">
        <f>IF(Tabela1[[#This Row],[promien]]&lt;40000,1,0)</f>
        <v>1</v>
      </c>
      <c r="E394" s="1">
        <f>IF(Tabela1[[#This Row],[promien]]=40000,1,0)</f>
        <v>0</v>
      </c>
      <c r="F394" s="1">
        <v>3.1472081218274113</v>
      </c>
      <c r="G394" s="1">
        <v>5.6154682376181597E-3</v>
      </c>
    </row>
    <row r="395" spans="1:7">
      <c r="A395">
        <v>235</v>
      </c>
      <c r="B395">
        <v>113</v>
      </c>
      <c r="C395" s="1">
        <f>(Tabela1[[#This Row],[x]]-H$3)*(Tabela1[[#This Row],[x]]-H$3) +(Tabela1[[#This Row],[y]]-H$4)*(Tabela1[[#This Row],[y]]-H$4)</f>
        <v>8794</v>
      </c>
      <c r="D395" s="1">
        <f>IF(Tabela1[[#This Row],[promien]]&lt;40000,1,0)</f>
        <v>1</v>
      </c>
      <c r="E395" s="1">
        <f>IF(Tabela1[[#This Row],[promien]]=40000,1,0)</f>
        <v>0</v>
      </c>
      <c r="F395" s="1">
        <v>3.1493670886075948</v>
      </c>
      <c r="G395" s="1">
        <v>7.7744350178017285E-3</v>
      </c>
    </row>
    <row r="396" spans="1:7">
      <c r="A396">
        <v>261</v>
      </c>
      <c r="B396">
        <v>185</v>
      </c>
      <c r="C396" s="1">
        <f>(Tabela1[[#This Row],[x]]-H$3)*(Tabela1[[#This Row],[x]]-H$3) +(Tabela1[[#This Row],[y]]-H$4)*(Tabela1[[#This Row],[y]]-H$4)</f>
        <v>3946</v>
      </c>
      <c r="D396" s="1">
        <f>IF(Tabela1[[#This Row],[promien]]&lt;40000,1,0)</f>
        <v>1</v>
      </c>
      <c r="E396" s="1">
        <f>IF(Tabela1[[#This Row],[promien]]=40000,1,0)</f>
        <v>0</v>
      </c>
      <c r="F396" s="1">
        <v>3.1515151515151514</v>
      </c>
      <c r="G396" s="1">
        <v>9.9224979253582646E-3</v>
      </c>
    </row>
    <row r="397" spans="1:7">
      <c r="A397">
        <v>69</v>
      </c>
      <c r="B397">
        <v>340</v>
      </c>
      <c r="C397" s="1">
        <f>(Tabela1[[#This Row],[x]]-H$3)*(Tabela1[[#This Row],[x]]-H$3) +(Tabela1[[#This Row],[y]]-H$4)*(Tabela1[[#This Row],[y]]-H$4)</f>
        <v>36761</v>
      </c>
      <c r="D397" s="1">
        <f>IF(Tabela1[[#This Row],[promien]]&lt;40000,1,0)</f>
        <v>1</v>
      </c>
      <c r="E397" s="1">
        <f>IF(Tabela1[[#This Row],[promien]]=40000,1,0)</f>
        <v>0</v>
      </c>
      <c r="F397" s="1">
        <v>3.1536523929471034</v>
      </c>
      <c r="G397" s="1">
        <v>1.2059739357310306E-2</v>
      </c>
    </row>
    <row r="398" spans="1:7">
      <c r="A398">
        <v>37</v>
      </c>
      <c r="B398">
        <v>394</v>
      </c>
      <c r="C398" s="1">
        <f>(Tabela1[[#This Row],[x]]-H$3)*(Tabela1[[#This Row],[x]]-H$3) +(Tabela1[[#This Row],[y]]-H$4)*(Tabela1[[#This Row],[y]]-H$4)</f>
        <v>64205</v>
      </c>
      <c r="D398" s="1">
        <f>IF(Tabela1[[#This Row],[promien]]&lt;40000,1,0)</f>
        <v>0</v>
      </c>
      <c r="E398" s="1">
        <f>IF(Tabela1[[#This Row],[promien]]=40000,1,0)</f>
        <v>0</v>
      </c>
      <c r="F398" s="1">
        <v>3.1457286432160805</v>
      </c>
      <c r="G398" s="1">
        <v>4.1359896262873619E-3</v>
      </c>
    </row>
    <row r="399" spans="1:7">
      <c r="A399">
        <v>110</v>
      </c>
      <c r="B399">
        <v>263</v>
      </c>
      <c r="C399" s="1">
        <f>(Tabela1[[#This Row],[x]]-H$3)*(Tabela1[[#This Row],[x]]-H$3) +(Tabela1[[#This Row],[y]]-H$4)*(Tabela1[[#This Row],[y]]-H$4)</f>
        <v>12069</v>
      </c>
      <c r="D399" s="1">
        <f>IF(Tabela1[[#This Row],[promien]]&lt;40000,1,0)</f>
        <v>1</v>
      </c>
      <c r="E399" s="1">
        <f>IF(Tabela1[[#This Row],[promien]]=40000,1,0)</f>
        <v>0</v>
      </c>
      <c r="F399" s="1">
        <v>3.1478696741854635</v>
      </c>
      <c r="G399" s="1">
        <v>6.2770205956703684E-3</v>
      </c>
    </row>
    <row r="400" spans="1:7">
      <c r="A400">
        <v>326</v>
      </c>
      <c r="B400">
        <v>370</v>
      </c>
      <c r="C400" s="1">
        <f>(Tabela1[[#This Row],[x]]-H$3)*(Tabela1[[#This Row],[x]]-H$3) +(Tabela1[[#This Row],[y]]-H$4)*(Tabela1[[#This Row],[y]]-H$4)</f>
        <v>44776</v>
      </c>
      <c r="D400" s="1">
        <f>IF(Tabela1[[#This Row],[promien]]&lt;40000,1,0)</f>
        <v>0</v>
      </c>
      <c r="E400" s="1">
        <f>IF(Tabela1[[#This Row],[promien]]=40000,1,0)</f>
        <v>0</v>
      </c>
      <c r="F400" s="1">
        <v>3.14</v>
      </c>
      <c r="G400" s="1">
        <v>1.5926535897929917E-3</v>
      </c>
    </row>
    <row r="401" spans="1:7">
      <c r="A401">
        <v>9</v>
      </c>
      <c r="B401">
        <v>105</v>
      </c>
      <c r="C401" s="1">
        <f>(Tabela1[[#This Row],[x]]-H$3)*(Tabela1[[#This Row],[x]]-H$3) +(Tabela1[[#This Row],[y]]-H$4)*(Tabela1[[#This Row],[y]]-H$4)</f>
        <v>45506</v>
      </c>
      <c r="D401" s="1">
        <f>IF(Tabela1[[#This Row],[promien]]&lt;40000,1,0)</f>
        <v>0</v>
      </c>
      <c r="E401" s="1">
        <f>IF(Tabela1[[#This Row],[promien]]=40000,1,0)</f>
        <v>0</v>
      </c>
      <c r="F401" s="1">
        <v>3.1321695760598502</v>
      </c>
      <c r="G401" s="1">
        <v>9.4230775299428693E-3</v>
      </c>
    </row>
    <row r="402" spans="1:7">
      <c r="A402">
        <v>230</v>
      </c>
      <c r="B402">
        <v>140</v>
      </c>
      <c r="C402" s="1">
        <f>(Tabela1[[#This Row],[x]]-H$3)*(Tabela1[[#This Row],[x]]-H$3) +(Tabela1[[#This Row],[y]]-H$4)*(Tabela1[[#This Row],[y]]-H$4)</f>
        <v>4500</v>
      </c>
      <c r="D402" s="1">
        <f>IF(Tabela1[[#This Row],[promien]]&lt;40000,1,0)</f>
        <v>1</v>
      </c>
      <c r="E402" s="1">
        <f>IF(Tabela1[[#This Row],[promien]]=40000,1,0)</f>
        <v>0</v>
      </c>
      <c r="F402" s="1">
        <v>3.1343283582089554</v>
      </c>
      <c r="G402" s="1">
        <v>7.2642953808377264E-3</v>
      </c>
    </row>
    <row r="403" spans="1:7">
      <c r="A403">
        <v>400</v>
      </c>
      <c r="B403">
        <v>235</v>
      </c>
      <c r="C403" s="1">
        <f>(Tabela1[[#This Row],[x]]-H$3)*(Tabela1[[#This Row],[x]]-H$3) +(Tabela1[[#This Row],[y]]-H$4)*(Tabela1[[#This Row],[y]]-H$4)</f>
        <v>41225</v>
      </c>
      <c r="D403" s="1">
        <f>IF(Tabela1[[#This Row],[promien]]&lt;40000,1,0)</f>
        <v>0</v>
      </c>
      <c r="E403" s="1">
        <f>IF(Tabela1[[#This Row],[promien]]=40000,1,0)</f>
        <v>0</v>
      </c>
      <c r="F403" s="1">
        <v>3.1265508684863526</v>
      </c>
      <c r="G403" s="1">
        <v>1.5041785103440564E-2</v>
      </c>
    </row>
    <row r="404" spans="1:7">
      <c r="A404">
        <v>51</v>
      </c>
      <c r="B404">
        <v>260</v>
      </c>
      <c r="C404" s="1">
        <f>(Tabela1[[#This Row],[x]]-H$3)*(Tabela1[[#This Row],[x]]-H$3) +(Tabela1[[#This Row],[y]]-H$4)*(Tabela1[[#This Row],[y]]-H$4)</f>
        <v>25801</v>
      </c>
      <c r="D404" s="1">
        <f>IF(Tabela1[[#This Row],[promien]]&lt;40000,1,0)</f>
        <v>1</v>
      </c>
      <c r="E404" s="1">
        <f>IF(Tabela1[[#This Row],[promien]]=40000,1,0)</f>
        <v>0</v>
      </c>
      <c r="F404" s="1">
        <v>3.1287128712871288</v>
      </c>
      <c r="G404" s="1">
        <v>1.2879782302664289E-2</v>
      </c>
    </row>
    <row r="405" spans="1:7">
      <c r="A405">
        <v>170</v>
      </c>
      <c r="B405">
        <v>250</v>
      </c>
      <c r="C405" s="1">
        <f>(Tabela1[[#This Row],[x]]-H$3)*(Tabela1[[#This Row],[x]]-H$3) +(Tabela1[[#This Row],[y]]-H$4)*(Tabela1[[#This Row],[y]]-H$4)</f>
        <v>3400</v>
      </c>
      <c r="D405" s="1">
        <f>IF(Tabela1[[#This Row],[promien]]&lt;40000,1,0)</f>
        <v>1</v>
      </c>
      <c r="E405" s="1">
        <f>IF(Tabela1[[#This Row],[promien]]=40000,1,0)</f>
        <v>0</v>
      </c>
      <c r="F405" s="1">
        <v>3.130864197530864</v>
      </c>
      <c r="G405" s="1">
        <v>1.0728456058929137E-2</v>
      </c>
    </row>
    <row r="406" spans="1:7">
      <c r="A406">
        <v>304</v>
      </c>
      <c r="B406">
        <v>279</v>
      </c>
      <c r="C406" s="1">
        <f>(Tabela1[[#This Row],[x]]-H$3)*(Tabela1[[#This Row],[x]]-H$3) +(Tabela1[[#This Row],[y]]-H$4)*(Tabela1[[#This Row],[y]]-H$4)</f>
        <v>17057</v>
      </c>
      <c r="D406" s="1">
        <f>IF(Tabela1[[#This Row],[promien]]&lt;40000,1,0)</f>
        <v>1</v>
      </c>
      <c r="E406" s="1">
        <f>IF(Tabela1[[#This Row],[promien]]=40000,1,0)</f>
        <v>0</v>
      </c>
      <c r="F406" s="1">
        <v>3.1330049261083746</v>
      </c>
      <c r="G406" s="1">
        <v>8.5877274814185611E-3</v>
      </c>
    </row>
    <row r="407" spans="1:7">
      <c r="A407">
        <v>123</v>
      </c>
      <c r="B407">
        <v>246</v>
      </c>
      <c r="C407" s="1">
        <f>(Tabela1[[#This Row],[x]]-H$3)*(Tabela1[[#This Row],[x]]-H$3) +(Tabela1[[#This Row],[y]]-H$4)*(Tabela1[[#This Row],[y]]-H$4)</f>
        <v>8045</v>
      </c>
      <c r="D407" s="1">
        <f>IF(Tabela1[[#This Row],[promien]]&lt;40000,1,0)</f>
        <v>1</v>
      </c>
      <c r="E407" s="1">
        <f>IF(Tabela1[[#This Row],[promien]]=40000,1,0)</f>
        <v>0</v>
      </c>
      <c r="F407" s="1">
        <v>3.1351351351351351</v>
      </c>
      <c r="G407" s="1">
        <v>6.4575184546580289E-3</v>
      </c>
    </row>
    <row r="408" spans="1:7">
      <c r="A408">
        <v>153</v>
      </c>
      <c r="B408">
        <v>279</v>
      </c>
      <c r="C408" s="1">
        <f>(Tabela1[[#This Row],[x]]-H$3)*(Tabela1[[#This Row],[x]]-H$3) +(Tabela1[[#This Row],[y]]-H$4)*(Tabela1[[#This Row],[y]]-H$4)</f>
        <v>8450</v>
      </c>
      <c r="D408" s="1">
        <f>IF(Tabela1[[#This Row],[promien]]&lt;40000,1,0)</f>
        <v>1</v>
      </c>
      <c r="E408" s="1">
        <f>IF(Tabela1[[#This Row],[promien]]=40000,1,0)</f>
        <v>0</v>
      </c>
      <c r="F408" s="1">
        <v>3.1372549019607843</v>
      </c>
      <c r="G408" s="1">
        <v>4.3377516290088458E-3</v>
      </c>
    </row>
    <row r="409" spans="1:7">
      <c r="A409">
        <v>104</v>
      </c>
      <c r="B409">
        <v>200</v>
      </c>
      <c r="C409" s="1">
        <f>(Tabela1[[#This Row],[x]]-H$3)*(Tabela1[[#This Row],[x]]-H$3) +(Tabela1[[#This Row],[y]]-H$4)*(Tabela1[[#This Row],[y]]-H$4)</f>
        <v>9216</v>
      </c>
      <c r="D409" s="1">
        <f>IF(Tabela1[[#This Row],[promien]]&lt;40000,1,0)</f>
        <v>1</v>
      </c>
      <c r="E409" s="1">
        <f>IF(Tabela1[[#This Row],[promien]]=40000,1,0)</f>
        <v>0</v>
      </c>
      <c r="F409" s="1">
        <v>3.1393643031784841</v>
      </c>
      <c r="G409" s="1">
        <v>2.2283504113089769E-3</v>
      </c>
    </row>
    <row r="410" spans="1:7">
      <c r="A410">
        <v>217</v>
      </c>
      <c r="B410">
        <v>392</v>
      </c>
      <c r="C410" s="1">
        <f>(Tabela1[[#This Row],[x]]-H$3)*(Tabela1[[#This Row],[x]]-H$3) +(Tabela1[[#This Row],[y]]-H$4)*(Tabela1[[#This Row],[y]]-H$4)</f>
        <v>37153</v>
      </c>
      <c r="D410" s="1">
        <f>IF(Tabela1[[#This Row],[promien]]&lt;40000,1,0)</f>
        <v>1</v>
      </c>
      <c r="E410" s="1">
        <f>IF(Tabela1[[#This Row],[promien]]=40000,1,0)</f>
        <v>0</v>
      </c>
      <c r="F410" s="1">
        <v>3.1414634146341465</v>
      </c>
      <c r="G410" s="1">
        <v>1.2923895564664889E-4</v>
      </c>
    </row>
    <row r="411" spans="1:7">
      <c r="A411">
        <v>220</v>
      </c>
      <c r="B411">
        <v>150</v>
      </c>
      <c r="C411" s="1">
        <f>(Tabela1[[#This Row],[x]]-H$3)*(Tabela1[[#This Row],[x]]-H$3) +(Tabela1[[#This Row],[y]]-H$4)*(Tabela1[[#This Row],[y]]-H$4)</f>
        <v>2900</v>
      </c>
      <c r="D411" s="1">
        <f>IF(Tabela1[[#This Row],[promien]]&lt;40000,1,0)</f>
        <v>1</v>
      </c>
      <c r="E411" s="1">
        <f>IF(Tabela1[[#This Row],[promien]]=40000,1,0)</f>
        <v>0</v>
      </c>
      <c r="F411" s="1">
        <v>3.1435523114355233</v>
      </c>
      <c r="G411" s="1">
        <v>1.9596578457301561E-3</v>
      </c>
    </row>
    <row r="412" spans="1:7">
      <c r="A412">
        <v>239</v>
      </c>
      <c r="B412">
        <v>364</v>
      </c>
      <c r="C412" s="1">
        <f>(Tabela1[[#This Row],[x]]-H$3)*(Tabela1[[#This Row],[x]]-H$3) +(Tabela1[[#This Row],[y]]-H$4)*(Tabela1[[#This Row],[y]]-H$4)</f>
        <v>28417</v>
      </c>
      <c r="D412" s="1">
        <f>IF(Tabela1[[#This Row],[promien]]&lt;40000,1,0)</f>
        <v>1</v>
      </c>
      <c r="E412" s="1">
        <f>IF(Tabela1[[#This Row],[promien]]=40000,1,0)</f>
        <v>0</v>
      </c>
      <c r="F412" s="1">
        <v>3.145631067961165</v>
      </c>
      <c r="G412" s="1">
        <v>4.0384143713718679E-3</v>
      </c>
    </row>
    <row r="413" spans="1:7">
      <c r="A413">
        <v>370</v>
      </c>
      <c r="B413">
        <v>16</v>
      </c>
      <c r="C413" s="1">
        <f>(Tabela1[[#This Row],[x]]-H$3)*(Tabela1[[#This Row],[x]]-H$3) +(Tabela1[[#This Row],[y]]-H$4)*(Tabela1[[#This Row],[y]]-H$4)</f>
        <v>62756</v>
      </c>
      <c r="D413" s="1">
        <f>IF(Tabela1[[#This Row],[promien]]&lt;40000,1,0)</f>
        <v>0</v>
      </c>
      <c r="E413" s="1">
        <f>IF(Tabela1[[#This Row],[promien]]=40000,1,0)</f>
        <v>0</v>
      </c>
      <c r="F413" s="1">
        <v>3.1380145278450362</v>
      </c>
      <c r="G413" s="1">
        <v>3.5781257447569104E-3</v>
      </c>
    </row>
    <row r="414" spans="1:7">
      <c r="A414">
        <v>334</v>
      </c>
      <c r="B414">
        <v>200</v>
      </c>
      <c r="C414" s="1">
        <f>(Tabela1[[#This Row],[x]]-H$3)*(Tabela1[[#This Row],[x]]-H$3) +(Tabela1[[#This Row],[y]]-H$4)*(Tabela1[[#This Row],[y]]-H$4)</f>
        <v>17956</v>
      </c>
      <c r="D414" s="1">
        <f>IF(Tabela1[[#This Row],[promien]]&lt;40000,1,0)</f>
        <v>1</v>
      </c>
      <c r="E414" s="1">
        <f>IF(Tabela1[[#This Row],[promien]]=40000,1,0)</f>
        <v>0</v>
      </c>
      <c r="F414" s="1">
        <v>3.1400966183574881</v>
      </c>
      <c r="G414" s="1">
        <v>1.4960352323050152E-3</v>
      </c>
    </row>
    <row r="415" spans="1:7">
      <c r="A415">
        <v>99</v>
      </c>
      <c r="B415">
        <v>217</v>
      </c>
      <c r="C415" s="1">
        <f>(Tabela1[[#This Row],[x]]-H$3)*(Tabela1[[#This Row],[x]]-H$3) +(Tabela1[[#This Row],[y]]-H$4)*(Tabela1[[#This Row],[y]]-H$4)</f>
        <v>10490</v>
      </c>
      <c r="D415" s="1">
        <f>IF(Tabela1[[#This Row],[promien]]&lt;40000,1,0)</f>
        <v>1</v>
      </c>
      <c r="E415" s="1">
        <f>IF(Tabela1[[#This Row],[promien]]=40000,1,0)</f>
        <v>0</v>
      </c>
      <c r="F415" s="1">
        <v>3.1421686746987953</v>
      </c>
      <c r="G415" s="1">
        <v>5.760211090022338E-4</v>
      </c>
    </row>
    <row r="416" spans="1:7">
      <c r="A416">
        <v>268</v>
      </c>
      <c r="B416">
        <v>15</v>
      </c>
      <c r="C416" s="1">
        <f>(Tabela1[[#This Row],[x]]-H$3)*(Tabela1[[#This Row],[x]]-H$3) +(Tabela1[[#This Row],[y]]-H$4)*(Tabela1[[#This Row],[y]]-H$4)</f>
        <v>38849</v>
      </c>
      <c r="D416" s="1">
        <f>IF(Tabela1[[#This Row],[promien]]&lt;40000,1,0)</f>
        <v>1</v>
      </c>
      <c r="E416" s="1">
        <f>IF(Tabela1[[#This Row],[promien]]=40000,1,0)</f>
        <v>0</v>
      </c>
      <c r="F416" s="1">
        <v>3.1442307692307692</v>
      </c>
      <c r="G416" s="1">
        <v>2.6381156409760464E-3</v>
      </c>
    </row>
    <row r="417" spans="1:7">
      <c r="A417">
        <v>243</v>
      </c>
      <c r="B417">
        <v>35</v>
      </c>
      <c r="C417" s="1">
        <f>(Tabela1[[#This Row],[x]]-H$3)*(Tabela1[[#This Row],[x]]-H$3) +(Tabela1[[#This Row],[y]]-H$4)*(Tabela1[[#This Row],[y]]-H$4)</f>
        <v>29074</v>
      </c>
      <c r="D417" s="1">
        <f>IF(Tabela1[[#This Row],[promien]]&lt;40000,1,0)</f>
        <v>1</v>
      </c>
      <c r="E417" s="1">
        <f>IF(Tabela1[[#This Row],[promien]]=40000,1,0)</f>
        <v>0</v>
      </c>
      <c r="F417" s="1">
        <v>3.1462829736211031</v>
      </c>
      <c r="G417" s="1">
        <v>4.6903200313099802E-3</v>
      </c>
    </row>
    <row r="418" spans="1:7">
      <c r="A418">
        <v>356</v>
      </c>
      <c r="B418">
        <v>172</v>
      </c>
      <c r="C418" s="1">
        <f>(Tabela1[[#This Row],[x]]-H$3)*(Tabela1[[#This Row],[x]]-H$3) +(Tabela1[[#This Row],[y]]-H$4)*(Tabela1[[#This Row],[y]]-H$4)</f>
        <v>25120</v>
      </c>
      <c r="D418" s="1">
        <f>IF(Tabela1[[#This Row],[promien]]&lt;40000,1,0)</f>
        <v>1</v>
      </c>
      <c r="E418" s="1">
        <f>IF(Tabela1[[#This Row],[promien]]=40000,1,0)</f>
        <v>0</v>
      </c>
      <c r="F418" s="1">
        <v>3.1483253588516749</v>
      </c>
      <c r="G418" s="1">
        <v>6.732705261881744E-3</v>
      </c>
    </row>
    <row r="419" spans="1:7">
      <c r="A419">
        <v>391</v>
      </c>
      <c r="B419">
        <v>11</v>
      </c>
      <c r="C419" s="1">
        <f>(Tabela1[[#This Row],[x]]-H$3)*(Tabela1[[#This Row],[x]]-H$3) +(Tabela1[[#This Row],[y]]-H$4)*(Tabela1[[#This Row],[y]]-H$4)</f>
        <v>72202</v>
      </c>
      <c r="D419" s="1">
        <f>IF(Tabela1[[#This Row],[promien]]&lt;40000,1,0)</f>
        <v>0</v>
      </c>
      <c r="E419" s="1">
        <f>IF(Tabela1[[#This Row],[promien]]=40000,1,0)</f>
        <v>0</v>
      </c>
      <c r="F419" s="1">
        <v>3.1408114558472553</v>
      </c>
      <c r="G419" s="1">
        <v>7.8119774253782026E-4</v>
      </c>
    </row>
    <row r="420" spans="1:7">
      <c r="A420">
        <v>334</v>
      </c>
      <c r="B420">
        <v>166</v>
      </c>
      <c r="C420" s="1">
        <f>(Tabela1[[#This Row],[x]]-H$3)*(Tabela1[[#This Row],[x]]-H$3) +(Tabela1[[#This Row],[y]]-H$4)*(Tabela1[[#This Row],[y]]-H$4)</f>
        <v>19112</v>
      </c>
      <c r="D420" s="1">
        <f>IF(Tabela1[[#This Row],[promien]]&lt;40000,1,0)</f>
        <v>1</v>
      </c>
      <c r="E420" s="1">
        <f>IF(Tabela1[[#This Row],[promien]]=40000,1,0)</f>
        <v>0</v>
      </c>
      <c r="F420" s="1">
        <v>3.1428571428571428</v>
      </c>
      <c r="G420" s="1">
        <v>1.2644892673496777E-3</v>
      </c>
    </row>
    <row r="421" spans="1:7">
      <c r="A421">
        <v>392</v>
      </c>
      <c r="B421">
        <v>147</v>
      </c>
      <c r="C421" s="1">
        <f>(Tabela1[[#This Row],[x]]-H$3)*(Tabela1[[#This Row],[x]]-H$3) +(Tabela1[[#This Row],[y]]-H$4)*(Tabela1[[#This Row],[y]]-H$4)</f>
        <v>39673</v>
      </c>
      <c r="D421" s="1">
        <f>IF(Tabela1[[#This Row],[promien]]&lt;40000,1,0)</f>
        <v>1</v>
      </c>
      <c r="E421" s="1">
        <f>IF(Tabela1[[#This Row],[promien]]=40000,1,0)</f>
        <v>0</v>
      </c>
      <c r="F421" s="1">
        <v>3.1448931116389547</v>
      </c>
      <c r="G421" s="1">
        <v>3.3004580491615698E-3</v>
      </c>
    </row>
    <row r="422" spans="1:7">
      <c r="A422">
        <v>218</v>
      </c>
      <c r="B422">
        <v>206</v>
      </c>
      <c r="C422" s="1">
        <f>(Tabela1[[#This Row],[x]]-H$3)*(Tabela1[[#This Row],[x]]-H$3) +(Tabela1[[#This Row],[y]]-H$4)*(Tabela1[[#This Row],[y]]-H$4)</f>
        <v>360</v>
      </c>
      <c r="D422" s="1">
        <f>IF(Tabela1[[#This Row],[promien]]&lt;40000,1,0)</f>
        <v>1</v>
      </c>
      <c r="E422" s="1">
        <f>IF(Tabela1[[#This Row],[promien]]=40000,1,0)</f>
        <v>0</v>
      </c>
      <c r="F422" s="1">
        <v>3.1469194312796209</v>
      </c>
      <c r="G422" s="1">
        <v>5.3267776898278107E-3</v>
      </c>
    </row>
    <row r="423" spans="1:7">
      <c r="A423">
        <v>207</v>
      </c>
      <c r="B423">
        <v>144</v>
      </c>
      <c r="C423" s="1">
        <f>(Tabela1[[#This Row],[x]]-H$3)*(Tabela1[[#This Row],[x]]-H$3) +(Tabela1[[#This Row],[y]]-H$4)*(Tabela1[[#This Row],[y]]-H$4)</f>
        <v>3185</v>
      </c>
      <c r="D423" s="1">
        <f>IF(Tabela1[[#This Row],[promien]]&lt;40000,1,0)</f>
        <v>1</v>
      </c>
      <c r="E423" s="1">
        <f>IF(Tabela1[[#This Row],[promien]]=40000,1,0)</f>
        <v>0</v>
      </c>
      <c r="F423" s="1">
        <v>3.1489361702127661</v>
      </c>
      <c r="G423" s="1">
        <v>7.3435166229729454E-3</v>
      </c>
    </row>
    <row r="424" spans="1:7">
      <c r="A424">
        <v>198</v>
      </c>
      <c r="B424">
        <v>93</v>
      </c>
      <c r="C424" s="1">
        <f>(Tabela1[[#This Row],[x]]-H$3)*(Tabela1[[#This Row],[x]]-H$3) +(Tabela1[[#This Row],[y]]-H$4)*(Tabela1[[#This Row],[y]]-H$4)</f>
        <v>11453</v>
      </c>
      <c r="D424" s="1">
        <f>IF(Tabela1[[#This Row],[promien]]&lt;40000,1,0)</f>
        <v>1</v>
      </c>
      <c r="E424" s="1">
        <f>IF(Tabela1[[#This Row],[promien]]=40000,1,0)</f>
        <v>0</v>
      </c>
      <c r="F424" s="1">
        <v>3.1509433962264151</v>
      </c>
      <c r="G424" s="1">
        <v>9.3507426366219448E-3</v>
      </c>
    </row>
    <row r="425" spans="1:7">
      <c r="A425">
        <v>307</v>
      </c>
      <c r="B425">
        <v>392</v>
      </c>
      <c r="C425" s="1">
        <f>(Tabela1[[#This Row],[x]]-H$3)*(Tabela1[[#This Row],[x]]-H$3) +(Tabela1[[#This Row],[y]]-H$4)*(Tabela1[[#This Row],[y]]-H$4)</f>
        <v>48313</v>
      </c>
      <c r="D425" s="1">
        <f>IF(Tabela1[[#This Row],[promien]]&lt;40000,1,0)</f>
        <v>0</v>
      </c>
      <c r="E425" s="1">
        <f>IF(Tabela1[[#This Row],[promien]]=40000,1,0)</f>
        <v>0</v>
      </c>
      <c r="F425" s="1">
        <v>3.1435294117647059</v>
      </c>
      <c r="G425" s="1">
        <v>1.9367581749127893E-3</v>
      </c>
    </row>
    <row r="426" spans="1:7">
      <c r="A426">
        <v>174</v>
      </c>
      <c r="B426">
        <v>387</v>
      </c>
      <c r="C426" s="1">
        <f>(Tabela1[[#This Row],[x]]-H$3)*(Tabela1[[#This Row],[x]]-H$3) +(Tabela1[[#This Row],[y]]-H$4)*(Tabela1[[#This Row],[y]]-H$4)</f>
        <v>35645</v>
      </c>
      <c r="D426" s="1">
        <f>IF(Tabela1[[#This Row],[promien]]&lt;40000,1,0)</f>
        <v>1</v>
      </c>
      <c r="E426" s="1">
        <f>IF(Tabela1[[#This Row],[promien]]=40000,1,0)</f>
        <v>0</v>
      </c>
      <c r="F426" s="1">
        <v>3.1455399061032865</v>
      </c>
      <c r="G426" s="1">
        <v>3.9472525134933711E-3</v>
      </c>
    </row>
    <row r="427" spans="1:7">
      <c r="A427">
        <v>128</v>
      </c>
      <c r="B427">
        <v>56</v>
      </c>
      <c r="C427" s="1">
        <f>(Tabela1[[#This Row],[x]]-H$3)*(Tabela1[[#This Row],[x]]-H$3) +(Tabela1[[#This Row],[y]]-H$4)*(Tabela1[[#This Row],[y]]-H$4)</f>
        <v>25920</v>
      </c>
      <c r="D427" s="1">
        <f>IF(Tabela1[[#This Row],[promien]]&lt;40000,1,0)</f>
        <v>1</v>
      </c>
      <c r="E427" s="1">
        <f>IF(Tabela1[[#This Row],[promien]]=40000,1,0)</f>
        <v>0</v>
      </c>
      <c r="F427" s="1">
        <v>3.1475409836065573</v>
      </c>
      <c r="G427" s="1">
        <v>5.9483300167642028E-3</v>
      </c>
    </row>
    <row r="428" spans="1:7">
      <c r="A428">
        <v>178</v>
      </c>
      <c r="B428">
        <v>149</v>
      </c>
      <c r="C428" s="1">
        <f>(Tabela1[[#This Row],[x]]-H$3)*(Tabela1[[#This Row],[x]]-H$3) +(Tabela1[[#This Row],[y]]-H$4)*(Tabela1[[#This Row],[y]]-H$4)</f>
        <v>3085</v>
      </c>
      <c r="D428" s="1">
        <f>IF(Tabela1[[#This Row],[promien]]&lt;40000,1,0)</f>
        <v>1</v>
      </c>
      <c r="E428" s="1">
        <f>IF(Tabela1[[#This Row],[promien]]=40000,1,0)</f>
        <v>0</v>
      </c>
      <c r="F428" s="1">
        <v>3.1495327102803738</v>
      </c>
      <c r="G428" s="1">
        <v>7.9400566905807324E-3</v>
      </c>
    </row>
    <row r="429" spans="1:7">
      <c r="A429">
        <v>275</v>
      </c>
      <c r="B429">
        <v>22</v>
      </c>
      <c r="C429" s="1">
        <f>(Tabela1[[#This Row],[x]]-H$3)*(Tabela1[[#This Row],[x]]-H$3) +(Tabela1[[#This Row],[y]]-H$4)*(Tabela1[[#This Row],[y]]-H$4)</f>
        <v>37309</v>
      </c>
      <c r="D429" s="1">
        <f>IF(Tabela1[[#This Row],[promien]]&lt;40000,1,0)</f>
        <v>1</v>
      </c>
      <c r="E429" s="1">
        <f>IF(Tabela1[[#This Row],[promien]]=40000,1,0)</f>
        <v>0</v>
      </c>
      <c r="F429" s="1">
        <v>3.1515151515151514</v>
      </c>
      <c r="G429" s="1">
        <v>9.9224979253582646E-3</v>
      </c>
    </row>
    <row r="430" spans="1:7">
      <c r="A430">
        <v>142</v>
      </c>
      <c r="B430">
        <v>375</v>
      </c>
      <c r="C430" s="1">
        <f>(Tabela1[[#This Row],[x]]-H$3)*(Tabela1[[#This Row],[x]]-H$3) +(Tabela1[[#This Row],[y]]-H$4)*(Tabela1[[#This Row],[y]]-H$4)</f>
        <v>33989</v>
      </c>
      <c r="D430" s="1">
        <f>IF(Tabela1[[#This Row],[promien]]&lt;40000,1,0)</f>
        <v>1</v>
      </c>
      <c r="E430" s="1">
        <f>IF(Tabela1[[#This Row],[promien]]=40000,1,0)</f>
        <v>0</v>
      </c>
      <c r="F430" s="1">
        <v>3.1534883720930234</v>
      </c>
      <c r="G430" s="1">
        <v>1.1895718503230235E-2</v>
      </c>
    </row>
    <row r="431" spans="1:7">
      <c r="A431">
        <v>323</v>
      </c>
      <c r="B431">
        <v>59</v>
      </c>
      <c r="C431" s="1">
        <f>(Tabela1[[#This Row],[x]]-H$3)*(Tabela1[[#This Row],[x]]-H$3) +(Tabela1[[#This Row],[y]]-H$4)*(Tabela1[[#This Row],[y]]-H$4)</f>
        <v>35010</v>
      </c>
      <c r="D431" s="1">
        <f>IF(Tabela1[[#This Row],[promien]]&lt;40000,1,0)</f>
        <v>1</v>
      </c>
      <c r="E431" s="1">
        <f>IF(Tabela1[[#This Row],[promien]]=40000,1,0)</f>
        <v>0</v>
      </c>
      <c r="F431" s="1">
        <v>3.1554524361948957</v>
      </c>
      <c r="G431" s="1">
        <v>1.3859782605102566E-2</v>
      </c>
    </row>
    <row r="432" spans="1:7">
      <c r="A432">
        <v>73</v>
      </c>
      <c r="B432">
        <v>196</v>
      </c>
      <c r="C432" s="1">
        <f>(Tabela1[[#This Row],[x]]-H$3)*(Tabela1[[#This Row],[x]]-H$3) +(Tabela1[[#This Row],[y]]-H$4)*(Tabela1[[#This Row],[y]]-H$4)</f>
        <v>16145</v>
      </c>
      <c r="D432" s="1">
        <f>IF(Tabela1[[#This Row],[promien]]&lt;40000,1,0)</f>
        <v>1</v>
      </c>
      <c r="E432" s="1">
        <f>IF(Tabela1[[#This Row],[promien]]=40000,1,0)</f>
        <v>0</v>
      </c>
      <c r="F432" s="1">
        <v>3.1574074074074074</v>
      </c>
      <c r="G432" s="1">
        <v>1.5814753817614324E-2</v>
      </c>
    </row>
    <row r="433" spans="1:7">
      <c r="A433">
        <v>339</v>
      </c>
      <c r="B433">
        <v>59</v>
      </c>
      <c r="C433" s="1">
        <f>(Tabela1[[#This Row],[x]]-H$3)*(Tabela1[[#This Row],[x]]-H$3) +(Tabela1[[#This Row],[y]]-H$4)*(Tabela1[[#This Row],[y]]-H$4)</f>
        <v>39202</v>
      </c>
      <c r="D433" s="1">
        <f>IF(Tabela1[[#This Row],[promien]]&lt;40000,1,0)</f>
        <v>1</v>
      </c>
      <c r="E433" s="1">
        <f>IF(Tabela1[[#This Row],[promien]]=40000,1,0)</f>
        <v>0</v>
      </c>
      <c r="F433" s="1">
        <v>3.159353348729792</v>
      </c>
      <c r="G433" s="1">
        <v>1.7760695139998894E-2</v>
      </c>
    </row>
    <row r="434" spans="1:7">
      <c r="A434">
        <v>243</v>
      </c>
      <c r="B434">
        <v>300</v>
      </c>
      <c r="C434" s="1">
        <f>(Tabela1[[#This Row],[x]]-H$3)*(Tabela1[[#This Row],[x]]-H$3) +(Tabela1[[#This Row],[y]]-H$4)*(Tabela1[[#This Row],[y]]-H$4)</f>
        <v>11849</v>
      </c>
      <c r="D434" s="1">
        <f>IF(Tabela1[[#This Row],[promien]]&lt;40000,1,0)</f>
        <v>1</v>
      </c>
      <c r="E434" s="1">
        <f>IF(Tabela1[[#This Row],[promien]]=40000,1,0)</f>
        <v>0</v>
      </c>
      <c r="F434" s="1">
        <v>3.161290322580645</v>
      </c>
      <c r="G434" s="1">
        <v>1.9697668990851902E-2</v>
      </c>
    </row>
    <row r="435" spans="1:7">
      <c r="A435">
        <v>237</v>
      </c>
      <c r="B435">
        <v>10</v>
      </c>
      <c r="C435" s="1">
        <f>(Tabela1[[#This Row],[x]]-H$3)*(Tabela1[[#This Row],[x]]-H$3) +(Tabela1[[#This Row],[y]]-H$4)*(Tabela1[[#This Row],[y]]-H$4)</f>
        <v>37469</v>
      </c>
      <c r="D435" s="1">
        <f>IF(Tabela1[[#This Row],[promien]]&lt;40000,1,0)</f>
        <v>1</v>
      </c>
      <c r="E435" s="1">
        <f>IF(Tabela1[[#This Row],[promien]]=40000,1,0)</f>
        <v>0</v>
      </c>
      <c r="F435" s="1">
        <v>3.1632183908045977</v>
      </c>
      <c r="G435" s="1">
        <v>2.1625737214804541E-2</v>
      </c>
    </row>
    <row r="436" spans="1:7">
      <c r="A436">
        <v>144</v>
      </c>
      <c r="B436">
        <v>24</v>
      </c>
      <c r="C436" s="1">
        <f>(Tabela1[[#This Row],[x]]-H$3)*(Tabela1[[#This Row],[x]]-H$3) +(Tabela1[[#This Row],[y]]-H$4)*(Tabela1[[#This Row],[y]]-H$4)</f>
        <v>34112</v>
      </c>
      <c r="D436" s="1">
        <f>IF(Tabela1[[#This Row],[promien]]&lt;40000,1,0)</f>
        <v>1</v>
      </c>
      <c r="E436" s="1">
        <f>IF(Tabela1[[#This Row],[promien]]=40000,1,0)</f>
        <v>0</v>
      </c>
      <c r="F436" s="1">
        <v>3.165137614678899</v>
      </c>
      <c r="G436" s="1">
        <v>2.3544961089105865E-2</v>
      </c>
    </row>
    <row r="437" spans="1:7">
      <c r="A437">
        <v>148</v>
      </c>
      <c r="B437">
        <v>115</v>
      </c>
      <c r="C437" s="1">
        <f>(Tabela1[[#This Row],[x]]-H$3)*(Tabela1[[#This Row],[x]]-H$3) +(Tabela1[[#This Row],[y]]-H$4)*(Tabela1[[#This Row],[y]]-H$4)</f>
        <v>9929</v>
      </c>
      <c r="D437" s="1">
        <f>IF(Tabela1[[#This Row],[promien]]&lt;40000,1,0)</f>
        <v>1</v>
      </c>
      <c r="E437" s="1">
        <f>IF(Tabela1[[#This Row],[promien]]=40000,1,0)</f>
        <v>0</v>
      </c>
      <c r="F437" s="1">
        <v>3.1670480549199085</v>
      </c>
      <c r="G437" s="1">
        <v>2.5455401330115368E-2</v>
      </c>
    </row>
    <row r="438" spans="1:7">
      <c r="A438">
        <v>346</v>
      </c>
      <c r="B438">
        <v>326</v>
      </c>
      <c r="C438" s="1">
        <f>(Tabela1[[#This Row],[x]]-H$3)*(Tabela1[[#This Row],[x]]-H$3) +(Tabela1[[#This Row],[y]]-H$4)*(Tabela1[[#This Row],[y]]-H$4)</f>
        <v>37192</v>
      </c>
      <c r="D438" s="1">
        <f>IF(Tabela1[[#This Row],[promien]]&lt;40000,1,0)</f>
        <v>1</v>
      </c>
      <c r="E438" s="1">
        <f>IF(Tabela1[[#This Row],[promien]]=40000,1,0)</f>
        <v>0</v>
      </c>
      <c r="F438" s="1">
        <v>3.1689497716894977</v>
      </c>
      <c r="G438" s="1">
        <v>2.7357118099704536E-2</v>
      </c>
    </row>
    <row r="439" spans="1:7">
      <c r="A439">
        <v>257</v>
      </c>
      <c r="B439">
        <v>245</v>
      </c>
      <c r="C439" s="1">
        <f>(Tabela1[[#This Row],[x]]-H$3)*(Tabela1[[#This Row],[x]]-H$3) +(Tabela1[[#This Row],[y]]-H$4)*(Tabela1[[#This Row],[y]]-H$4)</f>
        <v>5274</v>
      </c>
      <c r="D439" s="1">
        <f>IF(Tabela1[[#This Row],[promien]]&lt;40000,1,0)</f>
        <v>1</v>
      </c>
      <c r="E439" s="1">
        <f>IF(Tabela1[[#This Row],[promien]]=40000,1,0)</f>
        <v>0</v>
      </c>
      <c r="F439" s="1">
        <v>3.1708428246013667</v>
      </c>
      <c r="G439" s="1">
        <v>2.9250171011573567E-2</v>
      </c>
    </row>
    <row r="440" spans="1:7">
      <c r="A440">
        <v>332</v>
      </c>
      <c r="B440">
        <v>368</v>
      </c>
      <c r="C440" s="1">
        <f>(Tabela1[[#This Row],[x]]-H$3)*(Tabela1[[#This Row],[x]]-H$3) +(Tabela1[[#This Row],[y]]-H$4)*(Tabela1[[#This Row],[y]]-H$4)</f>
        <v>45648</v>
      </c>
      <c r="D440" s="1">
        <f>IF(Tabela1[[#This Row],[promien]]&lt;40000,1,0)</f>
        <v>0</v>
      </c>
      <c r="E440" s="1">
        <f>IF(Tabela1[[#This Row],[promien]]=40000,1,0)</f>
        <v>0</v>
      </c>
      <c r="F440" s="1">
        <v>3.1636363636363636</v>
      </c>
      <c r="G440" s="1">
        <v>2.2043710046570464E-2</v>
      </c>
    </row>
    <row r="441" spans="1:7">
      <c r="A441">
        <v>159</v>
      </c>
      <c r="B441">
        <v>181</v>
      </c>
      <c r="C441" s="1">
        <f>(Tabela1[[#This Row],[x]]-H$3)*(Tabela1[[#This Row],[x]]-H$3) +(Tabela1[[#This Row],[y]]-H$4)*(Tabela1[[#This Row],[y]]-H$4)</f>
        <v>2042</v>
      </c>
      <c r="D441" s="1">
        <f>IF(Tabela1[[#This Row],[promien]]&lt;40000,1,0)</f>
        <v>1</v>
      </c>
      <c r="E441" s="1">
        <f>IF(Tabela1[[#This Row],[promien]]=40000,1,0)</f>
        <v>0</v>
      </c>
      <c r="F441" s="1">
        <v>3.1655328798185942</v>
      </c>
      <c r="G441" s="1">
        <v>2.3940226228801098E-2</v>
      </c>
    </row>
    <row r="442" spans="1:7">
      <c r="A442">
        <v>359</v>
      </c>
      <c r="B442">
        <v>385</v>
      </c>
      <c r="C442" s="1">
        <f>(Tabela1[[#This Row],[x]]-H$3)*(Tabela1[[#This Row],[x]]-H$3) +(Tabela1[[#This Row],[y]]-H$4)*(Tabela1[[#This Row],[y]]-H$4)</f>
        <v>59506</v>
      </c>
      <c r="D442" s="1">
        <f>IF(Tabela1[[#This Row],[promien]]&lt;40000,1,0)</f>
        <v>0</v>
      </c>
      <c r="E442" s="1">
        <f>IF(Tabela1[[#This Row],[promien]]=40000,1,0)</f>
        <v>0</v>
      </c>
      <c r="F442" s="1">
        <v>3.1583710407239818</v>
      </c>
      <c r="G442" s="1">
        <v>1.6778387134188666E-2</v>
      </c>
    </row>
    <row r="443" spans="1:7">
      <c r="A443">
        <v>87</v>
      </c>
      <c r="B443">
        <v>92</v>
      </c>
      <c r="C443" s="1">
        <f>(Tabela1[[#This Row],[x]]-H$3)*(Tabela1[[#This Row],[x]]-H$3) +(Tabela1[[#This Row],[y]]-H$4)*(Tabela1[[#This Row],[y]]-H$4)</f>
        <v>24433</v>
      </c>
      <c r="D443" s="1">
        <f>IF(Tabela1[[#This Row],[promien]]&lt;40000,1,0)</f>
        <v>1</v>
      </c>
      <c r="E443" s="1">
        <f>IF(Tabela1[[#This Row],[promien]]=40000,1,0)</f>
        <v>0</v>
      </c>
      <c r="F443" s="1">
        <v>3.1602708803611739</v>
      </c>
      <c r="G443" s="1">
        <v>1.8678226771380757E-2</v>
      </c>
    </row>
    <row r="444" spans="1:7">
      <c r="A444">
        <v>397</v>
      </c>
      <c r="B444">
        <v>181</v>
      </c>
      <c r="C444" s="1">
        <f>(Tabela1[[#This Row],[x]]-H$3)*(Tabela1[[#This Row],[x]]-H$3) +(Tabela1[[#This Row],[y]]-H$4)*(Tabela1[[#This Row],[y]]-H$4)</f>
        <v>39170</v>
      </c>
      <c r="D444" s="1">
        <f>IF(Tabela1[[#This Row],[promien]]&lt;40000,1,0)</f>
        <v>1</v>
      </c>
      <c r="E444" s="1">
        <f>IF(Tabela1[[#This Row],[promien]]=40000,1,0)</f>
        <v>0</v>
      </c>
      <c r="F444" s="1">
        <v>3.1621621621621623</v>
      </c>
      <c r="G444" s="1">
        <v>2.0569508572369166E-2</v>
      </c>
    </row>
    <row r="445" spans="1:7">
      <c r="A445">
        <v>362</v>
      </c>
      <c r="B445">
        <v>168</v>
      </c>
      <c r="C445" s="1">
        <f>(Tabela1[[#This Row],[x]]-H$3)*(Tabela1[[#This Row],[x]]-H$3) +(Tabela1[[#This Row],[y]]-H$4)*(Tabela1[[#This Row],[y]]-H$4)</f>
        <v>27268</v>
      </c>
      <c r="D445" s="1">
        <f>IF(Tabela1[[#This Row],[promien]]&lt;40000,1,0)</f>
        <v>1</v>
      </c>
      <c r="E445" s="1">
        <f>IF(Tabela1[[#This Row],[promien]]=40000,1,0)</f>
        <v>0</v>
      </c>
      <c r="F445" s="1">
        <v>3.1640449438202247</v>
      </c>
      <c r="G445" s="1">
        <v>2.2452290230431604E-2</v>
      </c>
    </row>
    <row r="446" spans="1:7">
      <c r="A446">
        <v>173</v>
      </c>
      <c r="B446">
        <v>276</v>
      </c>
      <c r="C446" s="1">
        <f>(Tabela1[[#This Row],[x]]-H$3)*(Tabela1[[#This Row],[x]]-H$3) +(Tabela1[[#This Row],[y]]-H$4)*(Tabela1[[#This Row],[y]]-H$4)</f>
        <v>6505</v>
      </c>
      <c r="D446" s="1">
        <f>IF(Tabela1[[#This Row],[promien]]&lt;40000,1,0)</f>
        <v>1</v>
      </c>
      <c r="E446" s="1">
        <f>IF(Tabela1[[#This Row],[promien]]=40000,1,0)</f>
        <v>0</v>
      </c>
      <c r="F446" s="1">
        <v>3.1659192825112106</v>
      </c>
      <c r="G446" s="1">
        <v>2.4326628921417459E-2</v>
      </c>
    </row>
    <row r="447" spans="1:7">
      <c r="A447">
        <v>383</v>
      </c>
      <c r="B447">
        <v>51</v>
      </c>
      <c r="C447" s="1">
        <f>(Tabela1[[#This Row],[x]]-H$3)*(Tabela1[[#This Row],[x]]-H$3) +(Tabela1[[#This Row],[y]]-H$4)*(Tabela1[[#This Row],[y]]-H$4)</f>
        <v>55690</v>
      </c>
      <c r="D447" s="1">
        <f>IF(Tabela1[[#This Row],[promien]]&lt;40000,1,0)</f>
        <v>0</v>
      </c>
      <c r="E447" s="1">
        <f>IF(Tabela1[[#This Row],[promien]]=40000,1,0)</f>
        <v>0</v>
      </c>
      <c r="F447" s="1">
        <v>3.1588366890380315</v>
      </c>
      <c r="G447" s="1">
        <v>1.7244035448238382E-2</v>
      </c>
    </row>
    <row r="448" spans="1:7">
      <c r="A448">
        <v>195</v>
      </c>
      <c r="B448">
        <v>110</v>
      </c>
      <c r="C448" s="1">
        <f>(Tabela1[[#This Row],[x]]-H$3)*(Tabela1[[#This Row],[x]]-H$3) +(Tabela1[[#This Row],[y]]-H$4)*(Tabela1[[#This Row],[y]]-H$4)</f>
        <v>8125</v>
      </c>
      <c r="D448" s="1">
        <f>IF(Tabela1[[#This Row],[promien]]&lt;40000,1,0)</f>
        <v>1</v>
      </c>
      <c r="E448" s="1">
        <f>IF(Tabela1[[#This Row],[promien]]=40000,1,0)</f>
        <v>0</v>
      </c>
      <c r="F448" s="1">
        <v>3.1607142857142856</v>
      </c>
      <c r="G448" s="1">
        <v>1.9121632124492471E-2</v>
      </c>
    </row>
    <row r="449" spans="1:7">
      <c r="A449">
        <v>18</v>
      </c>
      <c r="B449">
        <v>258</v>
      </c>
      <c r="C449" s="1">
        <f>(Tabela1[[#This Row],[x]]-H$3)*(Tabela1[[#This Row],[x]]-H$3) +(Tabela1[[#This Row],[y]]-H$4)*(Tabela1[[#This Row],[y]]-H$4)</f>
        <v>36488</v>
      </c>
      <c r="D449" s="1">
        <f>IF(Tabela1[[#This Row],[promien]]&lt;40000,1,0)</f>
        <v>1</v>
      </c>
      <c r="E449" s="1">
        <f>IF(Tabela1[[#This Row],[promien]]=40000,1,0)</f>
        <v>0</v>
      </c>
      <c r="F449" s="1">
        <v>3.1625835189309579</v>
      </c>
      <c r="G449" s="1">
        <v>2.0990865341164788E-2</v>
      </c>
    </row>
    <row r="450" spans="1:7">
      <c r="A450">
        <v>204</v>
      </c>
      <c r="B450">
        <v>158</v>
      </c>
      <c r="C450" s="1">
        <f>(Tabela1[[#This Row],[x]]-H$3)*(Tabela1[[#This Row],[x]]-H$3) +(Tabela1[[#This Row],[y]]-H$4)*(Tabela1[[#This Row],[y]]-H$4)</f>
        <v>1780</v>
      </c>
      <c r="D450" s="1">
        <f>IF(Tabela1[[#This Row],[promien]]&lt;40000,1,0)</f>
        <v>1</v>
      </c>
      <c r="E450" s="1">
        <f>IF(Tabela1[[#This Row],[promien]]=40000,1,0)</f>
        <v>0</v>
      </c>
      <c r="F450" s="1">
        <v>3.1644444444444444</v>
      </c>
      <c r="G450" s="1">
        <v>2.2851790854651277E-2</v>
      </c>
    </row>
    <row r="451" spans="1:7">
      <c r="A451">
        <v>20</v>
      </c>
      <c r="B451">
        <v>144</v>
      </c>
      <c r="C451" s="1">
        <f>(Tabela1[[#This Row],[x]]-H$3)*(Tabela1[[#This Row],[x]]-H$3) +(Tabela1[[#This Row],[y]]-H$4)*(Tabela1[[#This Row],[y]]-H$4)</f>
        <v>35536</v>
      </c>
      <c r="D451" s="1">
        <f>IF(Tabela1[[#This Row],[promien]]&lt;40000,1,0)</f>
        <v>1</v>
      </c>
      <c r="E451" s="1">
        <f>IF(Tabela1[[#This Row],[promien]]=40000,1,0)</f>
        <v>0</v>
      </c>
      <c r="F451" s="1">
        <v>3.1662971175166299</v>
      </c>
      <c r="G451" s="1">
        <v>2.4704463926836784E-2</v>
      </c>
    </row>
    <row r="452" spans="1:7">
      <c r="A452">
        <v>203</v>
      </c>
      <c r="B452">
        <v>4</v>
      </c>
      <c r="C452" s="1">
        <f>(Tabela1[[#This Row],[x]]-H$3)*(Tabela1[[#This Row],[x]]-H$3) +(Tabela1[[#This Row],[y]]-H$4)*(Tabela1[[#This Row],[y]]-H$4)</f>
        <v>38425</v>
      </c>
      <c r="D452" s="1">
        <f>IF(Tabela1[[#This Row],[promien]]&lt;40000,1,0)</f>
        <v>1</v>
      </c>
      <c r="E452" s="1">
        <f>IF(Tabela1[[#This Row],[promien]]=40000,1,0)</f>
        <v>0</v>
      </c>
      <c r="F452" s="1">
        <v>3.168141592920354</v>
      </c>
      <c r="G452" s="1">
        <v>2.6548939330560906E-2</v>
      </c>
    </row>
    <row r="453" spans="1:7">
      <c r="A453">
        <v>46</v>
      </c>
      <c r="B453">
        <v>254</v>
      </c>
      <c r="C453" s="1">
        <f>(Tabela1[[#This Row],[x]]-H$3)*(Tabela1[[#This Row],[x]]-H$3) +(Tabela1[[#This Row],[y]]-H$4)*(Tabela1[[#This Row],[y]]-H$4)</f>
        <v>26632</v>
      </c>
      <c r="D453" s="1">
        <f>IF(Tabela1[[#This Row],[promien]]&lt;40000,1,0)</f>
        <v>1</v>
      </c>
      <c r="E453" s="1">
        <f>IF(Tabela1[[#This Row],[promien]]=40000,1,0)</f>
        <v>0</v>
      </c>
      <c r="F453" s="1">
        <v>3.1699779249448126</v>
      </c>
      <c r="G453" s="1">
        <v>2.8385271355019448E-2</v>
      </c>
    </row>
    <row r="454" spans="1:7">
      <c r="A454">
        <v>85</v>
      </c>
      <c r="B454">
        <v>157</v>
      </c>
      <c r="C454" s="1">
        <f>(Tabela1[[#This Row],[x]]-H$3)*(Tabela1[[#This Row],[x]]-H$3) +(Tabela1[[#This Row],[y]]-H$4)*(Tabela1[[#This Row],[y]]-H$4)</f>
        <v>15074</v>
      </c>
      <c r="D454" s="1">
        <f>IF(Tabela1[[#This Row],[promien]]&lt;40000,1,0)</f>
        <v>1</v>
      </c>
      <c r="E454" s="1">
        <f>IF(Tabela1[[#This Row],[promien]]=40000,1,0)</f>
        <v>0</v>
      </c>
      <c r="F454" s="1">
        <v>3.1718061674008808</v>
      </c>
      <c r="G454" s="1">
        <v>3.0213513811087722E-2</v>
      </c>
    </row>
    <row r="455" spans="1:7">
      <c r="A455">
        <v>393</v>
      </c>
      <c r="B455">
        <v>68</v>
      </c>
      <c r="C455" s="1">
        <f>(Tabela1[[#This Row],[x]]-H$3)*(Tabela1[[#This Row],[x]]-H$3) +(Tabela1[[#This Row],[y]]-H$4)*(Tabela1[[#This Row],[y]]-H$4)</f>
        <v>54673</v>
      </c>
      <c r="D455" s="1">
        <f>IF(Tabela1[[#This Row],[promien]]&lt;40000,1,0)</f>
        <v>0</v>
      </c>
      <c r="E455" s="1">
        <f>IF(Tabela1[[#This Row],[promien]]=40000,1,0)</f>
        <v>0</v>
      </c>
      <c r="F455" s="1">
        <v>3.1648351648351647</v>
      </c>
      <c r="G455" s="1">
        <v>2.3242511245371578E-2</v>
      </c>
    </row>
    <row r="456" spans="1:7">
      <c r="A456">
        <v>358</v>
      </c>
      <c r="B456">
        <v>56</v>
      </c>
      <c r="C456" s="1">
        <f>(Tabela1[[#This Row],[x]]-H$3)*(Tabela1[[#This Row],[x]]-H$3) +(Tabela1[[#This Row],[y]]-H$4)*(Tabela1[[#This Row],[y]]-H$4)</f>
        <v>45700</v>
      </c>
      <c r="D456" s="1">
        <f>IF(Tabela1[[#This Row],[promien]]&lt;40000,1,0)</f>
        <v>0</v>
      </c>
      <c r="E456" s="1">
        <f>IF(Tabela1[[#This Row],[promien]]=40000,1,0)</f>
        <v>0</v>
      </c>
      <c r="F456" s="1">
        <v>3.1578947368421053</v>
      </c>
      <c r="G456" s="1">
        <v>1.6302083252312194E-2</v>
      </c>
    </row>
    <row r="457" spans="1:7">
      <c r="A457">
        <v>232</v>
      </c>
      <c r="B457">
        <v>231</v>
      </c>
      <c r="C457" s="1">
        <f>(Tabela1[[#This Row],[x]]-H$3)*(Tabela1[[#This Row],[x]]-H$3) +(Tabela1[[#This Row],[y]]-H$4)*(Tabela1[[#This Row],[y]]-H$4)</f>
        <v>1985</v>
      </c>
      <c r="D457" s="1">
        <f>IF(Tabela1[[#This Row],[promien]]&lt;40000,1,0)</f>
        <v>1</v>
      </c>
      <c r="E457" s="1">
        <f>IF(Tabela1[[#This Row],[promien]]=40000,1,0)</f>
        <v>0</v>
      </c>
      <c r="F457" s="1">
        <v>3.159737417943107</v>
      </c>
      <c r="G457" s="1">
        <v>1.8144764353313914E-2</v>
      </c>
    </row>
    <row r="458" spans="1:7">
      <c r="A458">
        <v>36</v>
      </c>
      <c r="B458">
        <v>177</v>
      </c>
      <c r="C458" s="1">
        <f>(Tabela1[[#This Row],[x]]-H$3)*(Tabela1[[#This Row],[x]]-H$3) +(Tabela1[[#This Row],[y]]-H$4)*(Tabela1[[#This Row],[y]]-H$4)</f>
        <v>27425</v>
      </c>
      <c r="D458" s="1">
        <f>IF(Tabela1[[#This Row],[promien]]&lt;40000,1,0)</f>
        <v>1</v>
      </c>
      <c r="E458" s="1">
        <f>IF(Tabela1[[#This Row],[promien]]=40000,1,0)</f>
        <v>0</v>
      </c>
      <c r="F458" s="1">
        <v>3.1615720524017465</v>
      </c>
      <c r="G458" s="1">
        <v>1.997939881195343E-2</v>
      </c>
    </row>
    <row r="459" spans="1:7">
      <c r="A459">
        <v>124</v>
      </c>
      <c r="B459">
        <v>56</v>
      </c>
      <c r="C459" s="1">
        <f>(Tabela1[[#This Row],[x]]-H$3)*(Tabela1[[#This Row],[x]]-H$3) +(Tabela1[[#This Row],[y]]-H$4)*(Tabela1[[#This Row],[y]]-H$4)</f>
        <v>26512</v>
      </c>
      <c r="D459" s="1">
        <f>IF(Tabela1[[#This Row],[promien]]&lt;40000,1,0)</f>
        <v>1</v>
      </c>
      <c r="E459" s="1">
        <f>IF(Tabela1[[#This Row],[promien]]=40000,1,0)</f>
        <v>0</v>
      </c>
      <c r="F459" s="1">
        <v>3.1633986928104574</v>
      </c>
      <c r="G459" s="1">
        <v>2.1806039220664264E-2</v>
      </c>
    </row>
    <row r="460" spans="1:7">
      <c r="A460">
        <v>249</v>
      </c>
      <c r="B460">
        <v>394</v>
      </c>
      <c r="C460" s="1">
        <f>(Tabela1[[#This Row],[x]]-H$3)*(Tabela1[[#This Row],[x]]-H$3) +(Tabela1[[#This Row],[y]]-H$4)*(Tabela1[[#This Row],[y]]-H$4)</f>
        <v>40037</v>
      </c>
      <c r="D460" s="1">
        <f>IF(Tabela1[[#This Row],[promien]]&lt;40000,1,0)</f>
        <v>0</v>
      </c>
      <c r="E460" s="1">
        <f>IF(Tabela1[[#This Row],[promien]]=40000,1,0)</f>
        <v>0</v>
      </c>
      <c r="F460" s="1">
        <v>3.1565217391304348</v>
      </c>
      <c r="G460" s="1">
        <v>1.4929085540641651E-2</v>
      </c>
    </row>
    <row r="461" spans="1:7">
      <c r="A461">
        <v>151</v>
      </c>
      <c r="B461">
        <v>60</v>
      </c>
      <c r="C461" s="1">
        <f>(Tabela1[[#This Row],[x]]-H$3)*(Tabela1[[#This Row],[x]]-H$3) +(Tabela1[[#This Row],[y]]-H$4)*(Tabela1[[#This Row],[y]]-H$4)</f>
        <v>22001</v>
      </c>
      <c r="D461" s="1">
        <f>IF(Tabela1[[#This Row],[promien]]&lt;40000,1,0)</f>
        <v>1</v>
      </c>
      <c r="E461" s="1">
        <f>IF(Tabela1[[#This Row],[promien]]=40000,1,0)</f>
        <v>0</v>
      </c>
      <c r="F461" s="1">
        <v>3.1583514099783079</v>
      </c>
      <c r="G461" s="1">
        <v>1.6758756388514762E-2</v>
      </c>
    </row>
    <row r="462" spans="1:7">
      <c r="A462">
        <v>284</v>
      </c>
      <c r="B462">
        <v>279</v>
      </c>
      <c r="C462" s="1">
        <f>(Tabela1[[#This Row],[x]]-H$3)*(Tabela1[[#This Row],[x]]-H$3) +(Tabela1[[#This Row],[y]]-H$4)*(Tabela1[[#This Row],[y]]-H$4)</f>
        <v>13297</v>
      </c>
      <c r="D462" s="1">
        <f>IF(Tabela1[[#This Row],[promien]]&lt;40000,1,0)</f>
        <v>1</v>
      </c>
      <c r="E462" s="1">
        <f>IF(Tabela1[[#This Row],[promien]]=40000,1,0)</f>
        <v>0</v>
      </c>
      <c r="F462" s="1">
        <v>3.16017316017316</v>
      </c>
      <c r="G462" s="1">
        <v>1.8580506583366851E-2</v>
      </c>
    </row>
    <row r="463" spans="1:7">
      <c r="A463">
        <v>33</v>
      </c>
      <c r="B463">
        <v>148</v>
      </c>
      <c r="C463" s="1">
        <f>(Tabela1[[#This Row],[x]]-H$3)*(Tabela1[[#This Row],[x]]-H$3) +(Tabela1[[#This Row],[y]]-H$4)*(Tabela1[[#This Row],[y]]-H$4)</f>
        <v>30593</v>
      </c>
      <c r="D463" s="1">
        <f>IF(Tabela1[[#This Row],[promien]]&lt;40000,1,0)</f>
        <v>1</v>
      </c>
      <c r="E463" s="1">
        <f>IF(Tabela1[[#This Row],[promien]]=40000,1,0)</f>
        <v>0</v>
      </c>
      <c r="F463" s="1">
        <v>3.161987041036717</v>
      </c>
      <c r="G463" s="1">
        <v>2.0394387446923901E-2</v>
      </c>
    </row>
    <row r="464" spans="1:7">
      <c r="A464">
        <v>174</v>
      </c>
      <c r="B464">
        <v>212</v>
      </c>
      <c r="C464" s="1">
        <f>(Tabela1[[#This Row],[x]]-H$3)*(Tabela1[[#This Row],[x]]-H$3) +(Tabela1[[#This Row],[y]]-H$4)*(Tabela1[[#This Row],[y]]-H$4)</f>
        <v>820</v>
      </c>
      <c r="D464" s="1">
        <f>IF(Tabela1[[#This Row],[promien]]&lt;40000,1,0)</f>
        <v>1</v>
      </c>
      <c r="E464" s="1">
        <f>IF(Tabela1[[#This Row],[promien]]=40000,1,0)</f>
        <v>0</v>
      </c>
      <c r="F464" s="1">
        <v>3.1637931034482758</v>
      </c>
      <c r="G464" s="1">
        <v>2.2200449858482685E-2</v>
      </c>
    </row>
    <row r="465" spans="1:7">
      <c r="A465">
        <v>156</v>
      </c>
      <c r="B465">
        <v>384</v>
      </c>
      <c r="C465" s="1">
        <f>(Tabela1[[#This Row],[x]]-H$3)*(Tabela1[[#This Row],[x]]-H$3) +(Tabela1[[#This Row],[y]]-H$4)*(Tabela1[[#This Row],[y]]-H$4)</f>
        <v>35792</v>
      </c>
      <c r="D465" s="1">
        <f>IF(Tabela1[[#This Row],[promien]]&lt;40000,1,0)</f>
        <v>1</v>
      </c>
      <c r="E465" s="1">
        <f>IF(Tabela1[[#This Row],[promien]]=40000,1,0)</f>
        <v>0</v>
      </c>
      <c r="F465" s="1">
        <v>3.1655913978494623</v>
      </c>
      <c r="G465" s="1">
        <v>2.3998744259669191E-2</v>
      </c>
    </row>
    <row r="466" spans="1:7">
      <c r="A466">
        <v>124</v>
      </c>
      <c r="B466">
        <v>383</v>
      </c>
      <c r="C466" s="1">
        <f>(Tabela1[[#This Row],[x]]-H$3)*(Tabela1[[#This Row],[x]]-H$3) +(Tabela1[[#This Row],[y]]-H$4)*(Tabela1[[#This Row],[y]]-H$4)</f>
        <v>39265</v>
      </c>
      <c r="D466" s="1">
        <f>IF(Tabela1[[#This Row],[promien]]&lt;40000,1,0)</f>
        <v>1</v>
      </c>
      <c r="E466" s="1">
        <f>IF(Tabela1[[#This Row],[promien]]=40000,1,0)</f>
        <v>0</v>
      </c>
      <c r="F466" s="1">
        <v>3.1673819742489271</v>
      </c>
      <c r="G466" s="1">
        <v>2.5789320659133974E-2</v>
      </c>
    </row>
    <row r="467" spans="1:7">
      <c r="A467">
        <v>241</v>
      </c>
      <c r="B467">
        <v>288</v>
      </c>
      <c r="C467" s="1">
        <f>(Tabela1[[#This Row],[x]]-H$3)*(Tabela1[[#This Row],[x]]-H$3) +(Tabela1[[#This Row],[y]]-H$4)*(Tabela1[[#This Row],[y]]-H$4)</f>
        <v>9425</v>
      </c>
      <c r="D467" s="1">
        <f>IF(Tabela1[[#This Row],[promien]]&lt;40000,1,0)</f>
        <v>1</v>
      </c>
      <c r="E467" s="1">
        <f>IF(Tabela1[[#This Row],[promien]]=40000,1,0)</f>
        <v>0</v>
      </c>
      <c r="F467" s="1">
        <v>3.1691648822269807</v>
      </c>
      <c r="G467" s="1">
        <v>2.7572228637187557E-2</v>
      </c>
    </row>
    <row r="468" spans="1:7">
      <c r="A468">
        <v>31</v>
      </c>
      <c r="B468">
        <v>235</v>
      </c>
      <c r="C468" s="1">
        <f>(Tabela1[[#This Row],[x]]-H$3)*(Tabela1[[#This Row],[x]]-H$3) +(Tabela1[[#This Row],[y]]-H$4)*(Tabela1[[#This Row],[y]]-H$4)</f>
        <v>29786</v>
      </c>
      <c r="D468" s="1">
        <f>IF(Tabela1[[#This Row],[promien]]&lt;40000,1,0)</f>
        <v>1</v>
      </c>
      <c r="E468" s="1">
        <f>IF(Tabela1[[#This Row],[promien]]=40000,1,0)</f>
        <v>0</v>
      </c>
      <c r="F468" s="1">
        <v>3.1709401709401708</v>
      </c>
      <c r="G468" s="1">
        <v>2.9347517350377661E-2</v>
      </c>
    </row>
    <row r="469" spans="1:7">
      <c r="A469">
        <v>299</v>
      </c>
      <c r="B469">
        <v>29</v>
      </c>
      <c r="C469" s="1">
        <f>(Tabela1[[#This Row],[x]]-H$3)*(Tabela1[[#This Row],[x]]-H$3) +(Tabela1[[#This Row],[y]]-H$4)*(Tabela1[[#This Row],[y]]-H$4)</f>
        <v>39042</v>
      </c>
      <c r="D469" s="1">
        <f>IF(Tabela1[[#This Row],[promien]]&lt;40000,1,0)</f>
        <v>1</v>
      </c>
      <c r="E469" s="1">
        <f>IF(Tabela1[[#This Row],[promien]]=40000,1,0)</f>
        <v>0</v>
      </c>
      <c r="F469" s="1">
        <v>3.1727078891257996</v>
      </c>
      <c r="G469" s="1">
        <v>3.111523553600648E-2</v>
      </c>
    </row>
    <row r="470" spans="1:7">
      <c r="A470">
        <v>252</v>
      </c>
      <c r="B470">
        <v>193</v>
      </c>
      <c r="C470" s="1">
        <f>(Tabela1[[#This Row],[x]]-H$3)*(Tabela1[[#This Row],[x]]-H$3) +(Tabela1[[#This Row],[y]]-H$4)*(Tabela1[[#This Row],[y]]-H$4)</f>
        <v>2753</v>
      </c>
      <c r="D470" s="1">
        <f>IF(Tabela1[[#This Row],[promien]]&lt;40000,1,0)</f>
        <v>1</v>
      </c>
      <c r="E470" s="1">
        <f>IF(Tabela1[[#This Row],[promien]]=40000,1,0)</f>
        <v>0</v>
      </c>
      <c r="F470" s="1">
        <v>3.1744680851063829</v>
      </c>
      <c r="G470" s="1">
        <v>3.2875431516589781E-2</v>
      </c>
    </row>
    <row r="471" spans="1:7">
      <c r="A471">
        <v>194</v>
      </c>
      <c r="B471">
        <v>168</v>
      </c>
      <c r="C471" s="1">
        <f>(Tabela1[[#This Row],[x]]-H$3)*(Tabela1[[#This Row],[x]]-H$3) +(Tabela1[[#This Row],[y]]-H$4)*(Tabela1[[#This Row],[y]]-H$4)</f>
        <v>1060</v>
      </c>
      <c r="D471" s="1">
        <f>IF(Tabela1[[#This Row],[promien]]&lt;40000,1,0)</f>
        <v>1</v>
      </c>
      <c r="E471" s="1">
        <f>IF(Tabela1[[#This Row],[promien]]=40000,1,0)</f>
        <v>0</v>
      </c>
      <c r="F471" s="1">
        <v>3.1762208067940554</v>
      </c>
      <c r="G471" s="1">
        <v>3.4628153204262269E-2</v>
      </c>
    </row>
    <row r="472" spans="1:7">
      <c r="A472">
        <v>29</v>
      </c>
      <c r="B472">
        <v>203</v>
      </c>
      <c r="C472" s="1">
        <f>(Tabela1[[#This Row],[x]]-H$3)*(Tabela1[[#This Row],[x]]-H$3) +(Tabela1[[#This Row],[y]]-H$4)*(Tabela1[[#This Row],[y]]-H$4)</f>
        <v>29250</v>
      </c>
      <c r="D472" s="1">
        <f>IF(Tabela1[[#This Row],[promien]]&lt;40000,1,0)</f>
        <v>1</v>
      </c>
      <c r="E472" s="1">
        <f>IF(Tabela1[[#This Row],[promien]]=40000,1,0)</f>
        <v>0</v>
      </c>
      <c r="F472" s="1">
        <v>3.1779661016949152</v>
      </c>
      <c r="G472" s="1">
        <v>3.6373448105122108E-2</v>
      </c>
    </row>
    <row r="473" spans="1:7">
      <c r="A473">
        <v>240</v>
      </c>
      <c r="B473">
        <v>283</v>
      </c>
      <c r="C473" s="1">
        <f>(Tabela1[[#This Row],[x]]-H$3)*(Tabela1[[#This Row],[x]]-H$3) +(Tabela1[[#This Row],[y]]-H$4)*(Tabela1[[#This Row],[y]]-H$4)</f>
        <v>8489</v>
      </c>
      <c r="D473" s="1">
        <f>IF(Tabela1[[#This Row],[promien]]&lt;40000,1,0)</f>
        <v>1</v>
      </c>
      <c r="E473" s="1">
        <f>IF(Tabela1[[#This Row],[promien]]=40000,1,0)</f>
        <v>0</v>
      </c>
      <c r="F473" s="1">
        <v>3.1797040169133193</v>
      </c>
      <c r="G473" s="1">
        <v>3.811136332352616E-2</v>
      </c>
    </row>
    <row r="474" spans="1:7">
      <c r="A474">
        <v>366</v>
      </c>
      <c r="B474">
        <v>251</v>
      </c>
      <c r="C474" s="1">
        <f>(Tabela1[[#This Row],[x]]-H$3)*(Tabela1[[#This Row],[x]]-H$3) +(Tabela1[[#This Row],[y]]-H$4)*(Tabela1[[#This Row],[y]]-H$4)</f>
        <v>30157</v>
      </c>
      <c r="D474" s="1">
        <f>IF(Tabela1[[#This Row],[promien]]&lt;40000,1,0)</f>
        <v>1</v>
      </c>
      <c r="E474" s="1">
        <f>IF(Tabela1[[#This Row],[promien]]=40000,1,0)</f>
        <v>0</v>
      </c>
      <c r="F474" s="1">
        <v>3.1814345991561179</v>
      </c>
      <c r="G474" s="1">
        <v>3.984194556632481E-2</v>
      </c>
    </row>
    <row r="475" spans="1:7">
      <c r="A475">
        <v>27</v>
      </c>
      <c r="B475">
        <v>222</v>
      </c>
      <c r="C475" s="1">
        <f>(Tabela1[[#This Row],[x]]-H$3)*(Tabela1[[#This Row],[x]]-H$3) +(Tabela1[[#This Row],[y]]-H$4)*(Tabela1[[#This Row],[y]]-H$4)</f>
        <v>30413</v>
      </c>
      <c r="D475" s="1">
        <f>IF(Tabela1[[#This Row],[promien]]&lt;40000,1,0)</f>
        <v>1</v>
      </c>
      <c r="E475" s="1">
        <f>IF(Tabela1[[#This Row],[promien]]=40000,1,0)</f>
        <v>0</v>
      </c>
      <c r="F475" s="1">
        <v>3.183157894736842</v>
      </c>
      <c r="G475" s="1">
        <v>4.1565241147048848E-2</v>
      </c>
    </row>
    <row r="476" spans="1:7">
      <c r="A476">
        <v>106</v>
      </c>
      <c r="B476">
        <v>20</v>
      </c>
      <c r="C476" s="1">
        <f>(Tabela1[[#This Row],[x]]-H$3)*(Tabela1[[#This Row],[x]]-H$3) +(Tabela1[[#This Row],[y]]-H$4)*(Tabela1[[#This Row],[y]]-H$4)</f>
        <v>41236</v>
      </c>
      <c r="D476" s="1">
        <f>IF(Tabela1[[#This Row],[promien]]&lt;40000,1,0)</f>
        <v>0</v>
      </c>
      <c r="E476" s="1">
        <f>IF(Tabela1[[#This Row],[promien]]=40000,1,0)</f>
        <v>0</v>
      </c>
      <c r="F476" s="1">
        <v>3.1764705882352939</v>
      </c>
      <c r="G476" s="1">
        <v>3.4877934645500819E-2</v>
      </c>
    </row>
    <row r="477" spans="1:7">
      <c r="A477">
        <v>280</v>
      </c>
      <c r="B477">
        <v>332</v>
      </c>
      <c r="C477" s="1">
        <f>(Tabela1[[#This Row],[x]]-H$3)*(Tabela1[[#This Row],[x]]-H$3) +(Tabela1[[#This Row],[y]]-H$4)*(Tabela1[[#This Row],[y]]-H$4)</f>
        <v>23824</v>
      </c>
      <c r="D477" s="1">
        <f>IF(Tabela1[[#This Row],[promien]]&lt;40000,1,0)</f>
        <v>1</v>
      </c>
      <c r="E477" s="1">
        <f>IF(Tabela1[[#This Row],[promien]]=40000,1,0)</f>
        <v>0</v>
      </c>
      <c r="F477" s="1">
        <v>3.1781970649895177</v>
      </c>
      <c r="G477" s="1">
        <v>3.660441139972459E-2</v>
      </c>
    </row>
    <row r="478" spans="1:7">
      <c r="A478">
        <v>71</v>
      </c>
      <c r="B478">
        <v>40</v>
      </c>
      <c r="C478" s="1">
        <f>(Tabela1[[#This Row],[x]]-H$3)*(Tabela1[[#This Row],[x]]-H$3) +(Tabela1[[#This Row],[y]]-H$4)*(Tabela1[[#This Row],[y]]-H$4)</f>
        <v>42241</v>
      </c>
      <c r="D478" s="1">
        <f>IF(Tabela1[[#This Row],[promien]]&lt;40000,1,0)</f>
        <v>0</v>
      </c>
      <c r="E478" s="1">
        <f>IF(Tabela1[[#This Row],[promien]]=40000,1,0)</f>
        <v>0</v>
      </c>
      <c r="F478" s="1">
        <v>3.1715481171548117</v>
      </c>
      <c r="G478" s="1">
        <v>2.9955463565018547E-2</v>
      </c>
    </row>
    <row r="479" spans="1:7">
      <c r="A479">
        <v>77</v>
      </c>
      <c r="B479">
        <v>321</v>
      </c>
      <c r="C479" s="1">
        <f>(Tabela1[[#This Row],[x]]-H$3)*(Tabela1[[#This Row],[x]]-H$3) +(Tabela1[[#This Row],[y]]-H$4)*(Tabela1[[#This Row],[y]]-H$4)</f>
        <v>29770</v>
      </c>
      <c r="D479" s="1">
        <f>IF(Tabela1[[#This Row],[promien]]&lt;40000,1,0)</f>
        <v>1</v>
      </c>
      <c r="E479" s="1">
        <f>IF(Tabela1[[#This Row],[promien]]=40000,1,0)</f>
        <v>0</v>
      </c>
      <c r="F479" s="1">
        <v>3.173277661795407</v>
      </c>
      <c r="G479" s="1">
        <v>3.1685008205613929E-2</v>
      </c>
    </row>
    <row r="480" spans="1:7">
      <c r="A480">
        <v>295</v>
      </c>
      <c r="B480">
        <v>372</v>
      </c>
      <c r="C480" s="1">
        <f>(Tabela1[[#This Row],[x]]-H$3)*(Tabela1[[#This Row],[x]]-H$3) +(Tabela1[[#This Row],[y]]-H$4)*(Tabela1[[#This Row],[y]]-H$4)</f>
        <v>38609</v>
      </c>
      <c r="D480" s="1">
        <f>IF(Tabela1[[#This Row],[promien]]&lt;40000,1,0)</f>
        <v>1</v>
      </c>
      <c r="E480" s="1">
        <f>IF(Tabela1[[#This Row],[promien]]=40000,1,0)</f>
        <v>0</v>
      </c>
      <c r="F480" s="1">
        <v>3.1749999999999998</v>
      </c>
      <c r="G480" s="1">
        <v>3.3407346410206706E-2</v>
      </c>
    </row>
    <row r="481" spans="1:7">
      <c r="A481">
        <v>287</v>
      </c>
      <c r="B481">
        <v>178</v>
      </c>
      <c r="C481" s="1">
        <f>(Tabela1[[#This Row],[x]]-H$3)*(Tabela1[[#This Row],[x]]-H$3) +(Tabela1[[#This Row],[y]]-H$4)*(Tabela1[[#This Row],[y]]-H$4)</f>
        <v>8053</v>
      </c>
      <c r="D481" s="1">
        <f>IF(Tabela1[[#This Row],[promien]]&lt;40000,1,0)</f>
        <v>1</v>
      </c>
      <c r="E481" s="1">
        <f>IF(Tabela1[[#This Row],[promien]]=40000,1,0)</f>
        <v>0</v>
      </c>
      <c r="F481" s="1">
        <v>3.1767151767151769</v>
      </c>
      <c r="G481" s="1">
        <v>3.5122523125383776E-2</v>
      </c>
    </row>
    <row r="482" spans="1:7">
      <c r="A482">
        <v>379</v>
      </c>
      <c r="B482">
        <v>306</v>
      </c>
      <c r="C482" s="1">
        <f>(Tabela1[[#This Row],[x]]-H$3)*(Tabela1[[#This Row],[x]]-H$3) +(Tabela1[[#This Row],[y]]-H$4)*(Tabela1[[#This Row],[y]]-H$4)</f>
        <v>43277</v>
      </c>
      <c r="D482" s="1">
        <f>IF(Tabela1[[#This Row],[promien]]&lt;40000,1,0)</f>
        <v>0</v>
      </c>
      <c r="E482" s="1">
        <f>IF(Tabela1[[#This Row],[promien]]=40000,1,0)</f>
        <v>0</v>
      </c>
      <c r="F482" s="1">
        <v>3.1701244813278007</v>
      </c>
      <c r="G482" s="1">
        <v>2.8531827738007554E-2</v>
      </c>
    </row>
    <row r="483" spans="1:7">
      <c r="A483">
        <v>278</v>
      </c>
      <c r="B483">
        <v>20</v>
      </c>
      <c r="C483" s="1">
        <f>(Tabela1[[#This Row],[x]]-H$3)*(Tabela1[[#This Row],[x]]-H$3) +(Tabela1[[#This Row],[y]]-H$4)*(Tabela1[[#This Row],[y]]-H$4)</f>
        <v>38484</v>
      </c>
      <c r="D483" s="1">
        <f>IF(Tabela1[[#This Row],[promien]]&lt;40000,1,0)</f>
        <v>1</v>
      </c>
      <c r="E483" s="1">
        <f>IF(Tabela1[[#This Row],[promien]]=40000,1,0)</f>
        <v>0</v>
      </c>
      <c r="F483" s="1">
        <v>3.1718426501035197</v>
      </c>
      <c r="G483" s="1">
        <v>3.0249996513726618E-2</v>
      </c>
    </row>
    <row r="484" spans="1:7">
      <c r="A484">
        <v>81</v>
      </c>
      <c r="B484">
        <v>330</v>
      </c>
      <c r="C484" s="1">
        <f>(Tabela1[[#This Row],[x]]-H$3)*(Tabela1[[#This Row],[x]]-H$3) +(Tabela1[[#This Row],[y]]-H$4)*(Tabela1[[#This Row],[y]]-H$4)</f>
        <v>31061</v>
      </c>
      <c r="D484" s="1">
        <f>IF(Tabela1[[#This Row],[promien]]&lt;40000,1,0)</f>
        <v>1</v>
      </c>
      <c r="E484" s="1">
        <f>IF(Tabela1[[#This Row],[promien]]=40000,1,0)</f>
        <v>0</v>
      </c>
      <c r="F484" s="1">
        <v>3.1735537190082646</v>
      </c>
      <c r="G484" s="1">
        <v>3.1961065418471435E-2</v>
      </c>
    </row>
    <row r="485" spans="1:7">
      <c r="A485">
        <v>293</v>
      </c>
      <c r="B485">
        <v>174</v>
      </c>
      <c r="C485" s="1">
        <f>(Tabela1[[#This Row],[x]]-H$3)*(Tabela1[[#This Row],[x]]-H$3) +(Tabela1[[#This Row],[y]]-H$4)*(Tabela1[[#This Row],[y]]-H$4)</f>
        <v>9325</v>
      </c>
      <c r="D485" s="1">
        <f>IF(Tabela1[[#This Row],[promien]]&lt;40000,1,0)</f>
        <v>1</v>
      </c>
      <c r="E485" s="1">
        <f>IF(Tabela1[[#This Row],[promien]]=40000,1,0)</f>
        <v>0</v>
      </c>
      <c r="F485" s="1">
        <v>3.1752577319587627</v>
      </c>
      <c r="G485" s="1">
        <v>3.3665078368969592E-2</v>
      </c>
    </row>
    <row r="486" spans="1:7">
      <c r="A486">
        <v>191</v>
      </c>
      <c r="B486">
        <v>331</v>
      </c>
      <c r="C486" s="1">
        <f>(Tabela1[[#This Row],[x]]-H$3)*(Tabela1[[#This Row],[x]]-H$3) +(Tabela1[[#This Row],[y]]-H$4)*(Tabela1[[#This Row],[y]]-H$4)</f>
        <v>17242</v>
      </c>
      <c r="D486" s="1">
        <f>IF(Tabela1[[#This Row],[promien]]&lt;40000,1,0)</f>
        <v>1</v>
      </c>
      <c r="E486" s="1">
        <f>IF(Tabela1[[#This Row],[promien]]=40000,1,0)</f>
        <v>0</v>
      </c>
      <c r="F486" s="1">
        <v>3.1769547325102883</v>
      </c>
      <c r="G486" s="1">
        <v>3.5362078920495144E-2</v>
      </c>
    </row>
    <row r="487" spans="1:7">
      <c r="A487">
        <v>117</v>
      </c>
      <c r="B487">
        <v>40</v>
      </c>
      <c r="C487" s="1">
        <f>(Tabela1[[#This Row],[x]]-H$3)*(Tabela1[[#This Row],[x]]-H$3) +(Tabela1[[#This Row],[y]]-H$4)*(Tabela1[[#This Row],[y]]-H$4)</f>
        <v>32489</v>
      </c>
      <c r="D487" s="1">
        <f>IF(Tabela1[[#This Row],[promien]]&lt;40000,1,0)</f>
        <v>1</v>
      </c>
      <c r="E487" s="1">
        <f>IF(Tabela1[[#This Row],[promien]]=40000,1,0)</f>
        <v>0</v>
      </c>
      <c r="F487" s="1">
        <v>3.1786447638603694</v>
      </c>
      <c r="G487" s="1">
        <v>3.7052110270576311E-2</v>
      </c>
    </row>
    <row r="488" spans="1:7">
      <c r="A488">
        <v>191</v>
      </c>
      <c r="B488">
        <v>271</v>
      </c>
      <c r="C488" s="1">
        <f>(Tabela1[[#This Row],[x]]-H$3)*(Tabela1[[#This Row],[x]]-H$3) +(Tabela1[[#This Row],[y]]-H$4)*(Tabela1[[#This Row],[y]]-H$4)</f>
        <v>5122</v>
      </c>
      <c r="D488" s="1">
        <f>IF(Tabela1[[#This Row],[promien]]&lt;40000,1,0)</f>
        <v>1</v>
      </c>
      <c r="E488" s="1">
        <f>IF(Tabela1[[#This Row],[promien]]=40000,1,0)</f>
        <v>0</v>
      </c>
      <c r="F488" s="1">
        <v>3.180327868852459</v>
      </c>
      <c r="G488" s="1">
        <v>3.8735215262665879E-2</v>
      </c>
    </row>
    <row r="489" spans="1:7">
      <c r="A489">
        <v>307</v>
      </c>
      <c r="B489">
        <v>163</v>
      </c>
      <c r="C489" s="1">
        <f>(Tabela1[[#This Row],[x]]-H$3)*(Tabela1[[#This Row],[x]]-H$3) +(Tabela1[[#This Row],[y]]-H$4)*(Tabela1[[#This Row],[y]]-H$4)</f>
        <v>12818</v>
      </c>
      <c r="D489" s="1">
        <f>IF(Tabela1[[#This Row],[promien]]&lt;40000,1,0)</f>
        <v>1</v>
      </c>
      <c r="E489" s="1">
        <f>IF(Tabela1[[#This Row],[promien]]=40000,1,0)</f>
        <v>0</v>
      </c>
      <c r="F489" s="1">
        <v>3.1820040899795501</v>
      </c>
      <c r="G489" s="1">
        <v>4.0411436389756972E-2</v>
      </c>
    </row>
    <row r="490" spans="1:7">
      <c r="A490">
        <v>13</v>
      </c>
      <c r="B490">
        <v>389</v>
      </c>
      <c r="C490" s="1">
        <f>(Tabela1[[#This Row],[x]]-H$3)*(Tabela1[[#This Row],[x]]-H$3) +(Tabela1[[#This Row],[y]]-H$4)*(Tabela1[[#This Row],[y]]-H$4)</f>
        <v>70690</v>
      </c>
      <c r="D490" s="1">
        <f>IF(Tabela1[[#This Row],[promien]]&lt;40000,1,0)</f>
        <v>0</v>
      </c>
      <c r="E490" s="1">
        <f>IF(Tabela1[[#This Row],[promien]]=40000,1,0)</f>
        <v>0</v>
      </c>
      <c r="F490" s="1">
        <v>3.1755102040816325</v>
      </c>
      <c r="G490" s="1">
        <v>3.3917550491839421E-2</v>
      </c>
    </row>
    <row r="491" spans="1:7">
      <c r="A491">
        <v>147</v>
      </c>
      <c r="B491">
        <v>126</v>
      </c>
      <c r="C491" s="1">
        <f>(Tabela1[[#This Row],[x]]-H$3)*(Tabela1[[#This Row],[x]]-H$3) +(Tabela1[[#This Row],[y]]-H$4)*(Tabela1[[#This Row],[y]]-H$4)</f>
        <v>8285</v>
      </c>
      <c r="D491" s="1">
        <f>IF(Tabela1[[#This Row],[promien]]&lt;40000,1,0)</f>
        <v>1</v>
      </c>
      <c r="E491" s="1">
        <f>IF(Tabela1[[#This Row],[promien]]=40000,1,0)</f>
        <v>0</v>
      </c>
      <c r="F491" s="1">
        <v>3.1771894093686353</v>
      </c>
      <c r="G491" s="1">
        <v>3.5596755778842137E-2</v>
      </c>
    </row>
    <row r="492" spans="1:7">
      <c r="A492">
        <v>96</v>
      </c>
      <c r="B492">
        <v>93</v>
      </c>
      <c r="C492" s="1">
        <f>(Tabela1[[#This Row],[x]]-H$3)*(Tabela1[[#This Row],[x]]-H$3) +(Tabela1[[#This Row],[y]]-H$4)*(Tabela1[[#This Row],[y]]-H$4)</f>
        <v>22265</v>
      </c>
      <c r="D492" s="1">
        <f>IF(Tabela1[[#This Row],[promien]]&lt;40000,1,0)</f>
        <v>1</v>
      </c>
      <c r="E492" s="1">
        <f>IF(Tabela1[[#This Row],[promien]]=40000,1,0)</f>
        <v>0</v>
      </c>
      <c r="F492" s="1">
        <v>3.178861788617886</v>
      </c>
      <c r="G492" s="1">
        <v>3.7269135028092926E-2</v>
      </c>
    </row>
    <row r="493" spans="1:7">
      <c r="A493">
        <v>200</v>
      </c>
      <c r="B493">
        <v>306</v>
      </c>
      <c r="C493" s="1">
        <f>(Tabela1[[#This Row],[x]]-H$3)*(Tabela1[[#This Row],[x]]-H$3) +(Tabela1[[#This Row],[y]]-H$4)*(Tabela1[[#This Row],[y]]-H$4)</f>
        <v>11236</v>
      </c>
      <c r="D493" s="1">
        <f>IF(Tabela1[[#This Row],[promien]]&lt;40000,1,0)</f>
        <v>1</v>
      </c>
      <c r="E493" s="1">
        <f>IF(Tabela1[[#This Row],[promien]]=40000,1,0)</f>
        <v>0</v>
      </c>
      <c r="F493" s="1">
        <v>3.1805273833671399</v>
      </c>
      <c r="G493" s="1">
        <v>3.8934729777346799E-2</v>
      </c>
    </row>
    <row r="494" spans="1:7">
      <c r="A494">
        <v>228</v>
      </c>
      <c r="B494">
        <v>187</v>
      </c>
      <c r="C494" s="1">
        <f>(Tabela1[[#This Row],[x]]-H$3)*(Tabela1[[#This Row],[x]]-H$3) +(Tabela1[[#This Row],[y]]-H$4)*(Tabela1[[#This Row],[y]]-H$4)</f>
        <v>953</v>
      </c>
      <c r="D494" s="1">
        <f>IF(Tabela1[[#This Row],[promien]]&lt;40000,1,0)</f>
        <v>1</v>
      </c>
      <c r="E494" s="1">
        <f>IF(Tabela1[[#This Row],[promien]]=40000,1,0)</f>
        <v>0</v>
      </c>
      <c r="F494" s="1">
        <v>3.1821862348178138</v>
      </c>
      <c r="G494" s="1">
        <v>4.0593581228020703E-2</v>
      </c>
    </row>
    <row r="495" spans="1:7">
      <c r="A495">
        <v>90</v>
      </c>
      <c r="B495">
        <v>148</v>
      </c>
      <c r="C495" s="1">
        <f>(Tabela1[[#This Row],[x]]-H$3)*(Tabela1[[#This Row],[x]]-H$3) +(Tabela1[[#This Row],[y]]-H$4)*(Tabela1[[#This Row],[y]]-H$4)</f>
        <v>14804</v>
      </c>
      <c r="D495" s="1">
        <f>IF(Tabela1[[#This Row],[promien]]&lt;40000,1,0)</f>
        <v>1</v>
      </c>
      <c r="E495" s="1">
        <f>IF(Tabela1[[#This Row],[promien]]=40000,1,0)</f>
        <v>0</v>
      </c>
      <c r="F495" s="1">
        <v>3.1838383838383839</v>
      </c>
      <c r="G495" s="1">
        <v>4.2245730248590796E-2</v>
      </c>
    </row>
    <row r="496" spans="1:7">
      <c r="A496">
        <v>371</v>
      </c>
      <c r="B496">
        <v>129</v>
      </c>
      <c r="C496" s="1">
        <f>(Tabela1[[#This Row],[x]]-H$3)*(Tabela1[[#This Row],[x]]-H$3) +(Tabela1[[#This Row],[y]]-H$4)*(Tabela1[[#This Row],[y]]-H$4)</f>
        <v>34282</v>
      </c>
      <c r="D496" s="1">
        <f>IF(Tabela1[[#This Row],[promien]]&lt;40000,1,0)</f>
        <v>1</v>
      </c>
      <c r="E496" s="1">
        <f>IF(Tabela1[[#This Row],[promien]]=40000,1,0)</f>
        <v>0</v>
      </c>
      <c r="F496" s="1">
        <v>3.185483870967742</v>
      </c>
      <c r="G496" s="1">
        <v>4.3891217377948877E-2</v>
      </c>
    </row>
    <row r="497" spans="1:7">
      <c r="A497">
        <v>384</v>
      </c>
      <c r="B497">
        <v>63</v>
      </c>
      <c r="C497" s="1">
        <f>(Tabela1[[#This Row],[x]]-H$3)*(Tabela1[[#This Row],[x]]-H$3) +(Tabela1[[#This Row],[y]]-H$4)*(Tabela1[[#This Row],[y]]-H$4)</f>
        <v>52625</v>
      </c>
      <c r="D497" s="1">
        <f>IF(Tabela1[[#This Row],[promien]]&lt;40000,1,0)</f>
        <v>0</v>
      </c>
      <c r="E497" s="1">
        <f>IF(Tabela1[[#This Row],[promien]]=40000,1,0)</f>
        <v>0</v>
      </c>
      <c r="F497" s="1">
        <v>3.1790744466800804</v>
      </c>
      <c r="G497" s="1">
        <v>3.7481793090287319E-2</v>
      </c>
    </row>
    <row r="498" spans="1:7">
      <c r="A498">
        <v>383</v>
      </c>
      <c r="B498">
        <v>24</v>
      </c>
      <c r="C498" s="1">
        <f>(Tabela1[[#This Row],[x]]-H$3)*(Tabela1[[#This Row],[x]]-H$3) +(Tabela1[[#This Row],[y]]-H$4)*(Tabela1[[#This Row],[y]]-H$4)</f>
        <v>64465</v>
      </c>
      <c r="D498" s="1">
        <f>IF(Tabela1[[#This Row],[promien]]&lt;40000,1,0)</f>
        <v>0</v>
      </c>
      <c r="E498" s="1">
        <f>IF(Tabela1[[#This Row],[promien]]=40000,1,0)</f>
        <v>0</v>
      </c>
      <c r="F498" s="1">
        <v>3.1726907630522088</v>
      </c>
      <c r="G498" s="1">
        <v>3.1098109462415646E-2</v>
      </c>
    </row>
    <row r="499" spans="1:7">
      <c r="A499">
        <v>319</v>
      </c>
      <c r="B499">
        <v>85</v>
      </c>
      <c r="C499" s="1">
        <f>(Tabela1[[#This Row],[x]]-H$3)*(Tabela1[[#This Row],[x]]-H$3) +(Tabela1[[#This Row],[y]]-H$4)*(Tabela1[[#This Row],[y]]-H$4)</f>
        <v>27386</v>
      </c>
      <c r="D499" s="1">
        <f>IF(Tabela1[[#This Row],[promien]]&lt;40000,1,0)</f>
        <v>1</v>
      </c>
      <c r="E499" s="1">
        <f>IF(Tabela1[[#This Row],[promien]]=40000,1,0)</f>
        <v>0</v>
      </c>
      <c r="F499" s="1">
        <v>3.1743486973947896</v>
      </c>
      <c r="G499" s="1">
        <v>3.2756043804996526E-2</v>
      </c>
    </row>
    <row r="500" spans="1:7">
      <c r="A500">
        <v>130</v>
      </c>
      <c r="B500">
        <v>113</v>
      </c>
      <c r="C500" s="1">
        <f>(Tabela1[[#This Row],[x]]-H$3)*(Tabela1[[#This Row],[x]]-H$3) +(Tabela1[[#This Row],[y]]-H$4)*(Tabela1[[#This Row],[y]]-H$4)</f>
        <v>12469</v>
      </c>
      <c r="D500" s="1">
        <f>IF(Tabela1[[#This Row],[promien]]&lt;40000,1,0)</f>
        <v>1</v>
      </c>
      <c r="E500" s="1">
        <f>IF(Tabela1[[#This Row],[promien]]=40000,1,0)</f>
        <v>0</v>
      </c>
      <c r="F500" s="1">
        <v>3.1760000000000002</v>
      </c>
      <c r="G500" s="1">
        <v>3.440734641020704E-2</v>
      </c>
    </row>
    <row r="501" spans="1:7">
      <c r="A501">
        <v>10</v>
      </c>
      <c r="B501">
        <v>242</v>
      </c>
      <c r="C501" s="1">
        <f>(Tabela1[[#This Row],[x]]-H$3)*(Tabela1[[#This Row],[x]]-H$3) +(Tabela1[[#This Row],[y]]-H$4)*(Tabela1[[#This Row],[y]]-H$4)</f>
        <v>37864</v>
      </c>
      <c r="D501" s="1">
        <f>IF(Tabela1[[#This Row],[promien]]&lt;40000,1,0)</f>
        <v>1</v>
      </c>
      <c r="E501" s="1">
        <f>IF(Tabela1[[#This Row],[promien]]=40000,1,0)</f>
        <v>0</v>
      </c>
      <c r="F501" s="1">
        <v>3.1776447105788423</v>
      </c>
      <c r="G501" s="1">
        <v>3.605205698904923E-2</v>
      </c>
    </row>
    <row r="502" spans="1:7">
      <c r="A502">
        <v>45</v>
      </c>
      <c r="B502">
        <v>97</v>
      </c>
      <c r="C502" s="1">
        <f>(Tabela1[[#This Row],[x]]-H$3)*(Tabela1[[#This Row],[x]]-H$3) +(Tabela1[[#This Row],[y]]-H$4)*(Tabela1[[#This Row],[y]]-H$4)</f>
        <v>34634</v>
      </c>
      <c r="D502" s="1">
        <f>IF(Tabela1[[#This Row],[promien]]&lt;40000,1,0)</f>
        <v>1</v>
      </c>
      <c r="E502" s="1">
        <f>IF(Tabela1[[#This Row],[promien]]=40000,1,0)</f>
        <v>0</v>
      </c>
      <c r="F502" s="1">
        <v>3.1792828685258963</v>
      </c>
      <c r="G502" s="1">
        <v>3.7690214936103139E-2</v>
      </c>
    </row>
    <row r="503" spans="1:7">
      <c r="A503">
        <v>176</v>
      </c>
      <c r="B503">
        <v>311</v>
      </c>
      <c r="C503" s="1">
        <f>(Tabela1[[#This Row],[x]]-H$3)*(Tabela1[[#This Row],[x]]-H$3) +(Tabela1[[#This Row],[y]]-H$4)*(Tabela1[[#This Row],[y]]-H$4)</f>
        <v>12897</v>
      </c>
      <c r="D503" s="1">
        <f>IF(Tabela1[[#This Row],[promien]]&lt;40000,1,0)</f>
        <v>1</v>
      </c>
      <c r="E503" s="1">
        <f>IF(Tabela1[[#This Row],[promien]]=40000,1,0)</f>
        <v>0</v>
      </c>
      <c r="F503" s="1">
        <v>3.1809145129224654</v>
      </c>
      <c r="G503" s="1">
        <v>3.9321859332672293E-2</v>
      </c>
    </row>
    <row r="504" spans="1:7">
      <c r="A504">
        <v>259</v>
      </c>
      <c r="B504">
        <v>382</v>
      </c>
      <c r="C504" s="1">
        <f>(Tabela1[[#This Row],[x]]-H$3)*(Tabela1[[#This Row],[x]]-H$3) +(Tabela1[[#This Row],[y]]-H$4)*(Tabela1[[#This Row],[y]]-H$4)</f>
        <v>36605</v>
      </c>
      <c r="D504" s="1">
        <f>IF(Tabela1[[#This Row],[promien]]&lt;40000,1,0)</f>
        <v>1</v>
      </c>
      <c r="E504" s="1">
        <f>IF(Tabela1[[#This Row],[promien]]=40000,1,0)</f>
        <v>0</v>
      </c>
      <c r="F504" s="1">
        <v>3.1825396825396823</v>
      </c>
      <c r="G504" s="1">
        <v>4.0947028949889219E-2</v>
      </c>
    </row>
    <row r="505" spans="1:7">
      <c r="A505">
        <v>341</v>
      </c>
      <c r="B505">
        <v>114</v>
      </c>
      <c r="C505" s="1">
        <f>(Tabela1[[#This Row],[x]]-H$3)*(Tabela1[[#This Row],[x]]-H$3) +(Tabela1[[#This Row],[y]]-H$4)*(Tabela1[[#This Row],[y]]-H$4)</f>
        <v>27277</v>
      </c>
      <c r="D505" s="1">
        <f>IF(Tabela1[[#This Row],[promien]]&lt;40000,1,0)</f>
        <v>1</v>
      </c>
      <c r="E505" s="1">
        <f>IF(Tabela1[[#This Row],[promien]]=40000,1,0)</f>
        <v>0</v>
      </c>
      <c r="F505" s="1">
        <v>3.1841584158415843</v>
      </c>
      <c r="G505" s="1">
        <v>4.2565762251791206E-2</v>
      </c>
    </row>
    <row r="506" spans="1:7">
      <c r="A506">
        <v>90</v>
      </c>
      <c r="B506">
        <v>286</v>
      </c>
      <c r="C506" s="1">
        <f>(Tabela1[[#This Row],[x]]-H$3)*(Tabela1[[#This Row],[x]]-H$3) +(Tabela1[[#This Row],[y]]-H$4)*(Tabela1[[#This Row],[y]]-H$4)</f>
        <v>19496</v>
      </c>
      <c r="D506" s="1">
        <f>IF(Tabela1[[#This Row],[promien]]&lt;40000,1,0)</f>
        <v>1</v>
      </c>
      <c r="E506" s="1">
        <f>IF(Tabela1[[#This Row],[promien]]=40000,1,0)</f>
        <v>0</v>
      </c>
      <c r="F506" s="1">
        <v>3.1857707509881421</v>
      </c>
      <c r="G506" s="1">
        <v>4.4178097398348992E-2</v>
      </c>
    </row>
    <row r="507" spans="1:7">
      <c r="A507">
        <v>91</v>
      </c>
      <c r="B507">
        <v>79</v>
      </c>
      <c r="C507" s="1">
        <f>(Tabela1[[#This Row],[x]]-H$3)*(Tabela1[[#This Row],[x]]-H$3) +(Tabela1[[#This Row],[y]]-H$4)*(Tabela1[[#This Row],[y]]-H$4)</f>
        <v>26522</v>
      </c>
      <c r="D507" s="1">
        <f>IF(Tabela1[[#This Row],[promien]]&lt;40000,1,0)</f>
        <v>1</v>
      </c>
      <c r="E507" s="1">
        <f>IF(Tabela1[[#This Row],[promien]]=40000,1,0)</f>
        <v>0</v>
      </c>
      <c r="F507" s="1">
        <v>3.1873767258382641</v>
      </c>
      <c r="G507" s="1">
        <v>4.5784072248471031E-2</v>
      </c>
    </row>
    <row r="508" spans="1:7">
      <c r="A508">
        <v>256</v>
      </c>
      <c r="B508">
        <v>324</v>
      </c>
      <c r="C508" s="1">
        <f>(Tabela1[[#This Row],[x]]-H$3)*(Tabela1[[#This Row],[x]]-H$3) +(Tabela1[[#This Row],[y]]-H$4)*(Tabela1[[#This Row],[y]]-H$4)</f>
        <v>18512</v>
      </c>
      <c r="D508" s="1">
        <f>IF(Tabela1[[#This Row],[promien]]&lt;40000,1,0)</f>
        <v>1</v>
      </c>
      <c r="E508" s="1">
        <f>IF(Tabela1[[#This Row],[promien]]=40000,1,0)</f>
        <v>0</v>
      </c>
      <c r="F508" s="1">
        <v>3.188976377952756</v>
      </c>
      <c r="G508" s="1">
        <v>4.7383724362962898E-2</v>
      </c>
    </row>
    <row r="509" spans="1:7">
      <c r="A509">
        <v>298</v>
      </c>
      <c r="B509">
        <v>245</v>
      </c>
      <c r="C509" s="1">
        <f>(Tabela1[[#This Row],[x]]-H$3)*(Tabela1[[#This Row],[x]]-H$3) +(Tabela1[[#This Row],[y]]-H$4)*(Tabela1[[#This Row],[y]]-H$4)</f>
        <v>11629</v>
      </c>
      <c r="D509" s="1">
        <f>IF(Tabela1[[#This Row],[promien]]&lt;40000,1,0)</f>
        <v>1</v>
      </c>
      <c r="E509" s="1">
        <f>IF(Tabela1[[#This Row],[promien]]=40000,1,0)</f>
        <v>0</v>
      </c>
      <c r="F509" s="1">
        <v>3.1905697445972496</v>
      </c>
      <c r="G509" s="1">
        <v>4.8977091007456508E-2</v>
      </c>
    </row>
    <row r="510" spans="1:7">
      <c r="A510">
        <v>80</v>
      </c>
      <c r="B510">
        <v>392</v>
      </c>
      <c r="C510" s="1">
        <f>(Tabela1[[#This Row],[x]]-H$3)*(Tabela1[[#This Row],[x]]-H$3) +(Tabela1[[#This Row],[y]]-H$4)*(Tabela1[[#This Row],[y]]-H$4)</f>
        <v>51264</v>
      </c>
      <c r="D510" s="1">
        <f>IF(Tabela1[[#This Row],[promien]]&lt;40000,1,0)</f>
        <v>0</v>
      </c>
      <c r="E510" s="1">
        <f>IF(Tabela1[[#This Row],[promien]]=40000,1,0)</f>
        <v>0</v>
      </c>
      <c r="F510" s="1">
        <v>3.1843137254901959</v>
      </c>
      <c r="G510" s="1">
        <v>4.2721071900402752E-2</v>
      </c>
    </row>
    <row r="511" spans="1:7">
      <c r="A511">
        <v>187</v>
      </c>
      <c r="B511">
        <v>169</v>
      </c>
      <c r="C511" s="1">
        <f>(Tabela1[[#This Row],[x]]-H$3)*(Tabela1[[#This Row],[x]]-H$3) +(Tabela1[[#This Row],[y]]-H$4)*(Tabela1[[#This Row],[y]]-H$4)</f>
        <v>1130</v>
      </c>
      <c r="D511" s="1">
        <f>IF(Tabela1[[#This Row],[promien]]&lt;40000,1,0)</f>
        <v>1</v>
      </c>
      <c r="E511" s="1">
        <f>IF(Tabela1[[#This Row],[promien]]=40000,1,0)</f>
        <v>0</v>
      </c>
      <c r="F511" s="1">
        <v>3.1859099804305284</v>
      </c>
      <c r="G511" s="1">
        <v>4.4317326840735305E-2</v>
      </c>
    </row>
    <row r="512" spans="1:7">
      <c r="A512">
        <v>330</v>
      </c>
      <c r="B512">
        <v>226</v>
      </c>
      <c r="C512" s="1">
        <f>(Tabela1[[#This Row],[x]]-H$3)*(Tabela1[[#This Row],[x]]-H$3) +(Tabela1[[#This Row],[y]]-H$4)*(Tabela1[[#This Row],[y]]-H$4)</f>
        <v>17576</v>
      </c>
      <c r="D512" s="1">
        <f>IF(Tabela1[[#This Row],[promien]]&lt;40000,1,0)</f>
        <v>1</v>
      </c>
      <c r="E512" s="1">
        <f>IF(Tabela1[[#This Row],[promien]]=40000,1,0)</f>
        <v>0</v>
      </c>
      <c r="F512" s="1">
        <v>3.1875</v>
      </c>
      <c r="G512" s="1">
        <v>4.5907346410206884E-2</v>
      </c>
    </row>
    <row r="513" spans="1:7">
      <c r="A513">
        <v>40</v>
      </c>
      <c r="B513">
        <v>369</v>
      </c>
      <c r="C513" s="1">
        <f>(Tabela1[[#This Row],[x]]-H$3)*(Tabela1[[#This Row],[x]]-H$3) +(Tabela1[[#This Row],[y]]-H$4)*(Tabela1[[#This Row],[y]]-H$4)</f>
        <v>54161</v>
      </c>
      <c r="D513" s="1">
        <f>IF(Tabela1[[#This Row],[promien]]&lt;40000,1,0)</f>
        <v>0</v>
      </c>
      <c r="E513" s="1">
        <f>IF(Tabela1[[#This Row],[promien]]=40000,1,0)</f>
        <v>0</v>
      </c>
      <c r="F513" s="1">
        <v>3.1812865497076022</v>
      </c>
      <c r="G513" s="1">
        <v>3.9693896117809047E-2</v>
      </c>
    </row>
    <row r="514" spans="1:7">
      <c r="A514">
        <v>32</v>
      </c>
      <c r="B514">
        <v>115</v>
      </c>
      <c r="C514" s="1">
        <f>(Tabela1[[#This Row],[x]]-H$3)*(Tabela1[[#This Row],[x]]-H$3) +(Tabela1[[#This Row],[y]]-H$4)*(Tabela1[[#This Row],[y]]-H$4)</f>
        <v>35449</v>
      </c>
      <c r="D514" s="1">
        <f>IF(Tabela1[[#This Row],[promien]]&lt;40000,1,0)</f>
        <v>1</v>
      </c>
      <c r="E514" s="1">
        <f>IF(Tabela1[[#This Row],[promien]]=40000,1,0)</f>
        <v>0</v>
      </c>
      <c r="F514" s="1">
        <v>3.1828793774319064</v>
      </c>
      <c r="G514" s="1">
        <v>4.1286723842113293E-2</v>
      </c>
    </row>
    <row r="515" spans="1:7">
      <c r="A515">
        <v>192</v>
      </c>
      <c r="B515">
        <v>203</v>
      </c>
      <c r="C515" s="1">
        <f>(Tabela1[[#This Row],[x]]-H$3)*(Tabela1[[#This Row],[x]]-H$3) +(Tabela1[[#This Row],[y]]-H$4)*(Tabela1[[#This Row],[y]]-H$4)</f>
        <v>73</v>
      </c>
      <c r="D515" s="1">
        <f>IF(Tabela1[[#This Row],[promien]]&lt;40000,1,0)</f>
        <v>1</v>
      </c>
      <c r="E515" s="1">
        <f>IF(Tabela1[[#This Row],[promien]]=40000,1,0)</f>
        <v>0</v>
      </c>
      <c r="F515" s="1">
        <v>3.1844660194174756</v>
      </c>
      <c r="G515" s="1">
        <v>4.287336582768253E-2</v>
      </c>
    </row>
    <row r="516" spans="1:7">
      <c r="A516">
        <v>254</v>
      </c>
      <c r="B516">
        <v>160</v>
      </c>
      <c r="C516" s="1">
        <f>(Tabela1[[#This Row],[x]]-H$3)*(Tabela1[[#This Row],[x]]-H$3) +(Tabela1[[#This Row],[y]]-H$4)*(Tabela1[[#This Row],[y]]-H$4)</f>
        <v>4516</v>
      </c>
      <c r="D516" s="1">
        <f>IF(Tabela1[[#This Row],[promien]]&lt;40000,1,0)</f>
        <v>1</v>
      </c>
      <c r="E516" s="1">
        <f>IF(Tabela1[[#This Row],[promien]]=40000,1,0)</f>
        <v>0</v>
      </c>
      <c r="F516" s="1">
        <v>3.1860465116279069</v>
      </c>
      <c r="G516" s="1">
        <v>4.4453858038113747E-2</v>
      </c>
    </row>
    <row r="517" spans="1:7">
      <c r="A517">
        <v>267</v>
      </c>
      <c r="B517">
        <v>351</v>
      </c>
      <c r="C517" s="1">
        <f>(Tabela1[[#This Row],[x]]-H$3)*(Tabela1[[#This Row],[x]]-H$3) +(Tabela1[[#This Row],[y]]-H$4)*(Tabela1[[#This Row],[y]]-H$4)</f>
        <v>27290</v>
      </c>
      <c r="D517" s="1">
        <f>IF(Tabela1[[#This Row],[promien]]&lt;40000,1,0)</f>
        <v>1</v>
      </c>
      <c r="E517" s="1">
        <f>IF(Tabela1[[#This Row],[promien]]=40000,1,0)</f>
        <v>0</v>
      </c>
      <c r="F517" s="1">
        <v>3.1876208897485494</v>
      </c>
      <c r="G517" s="1">
        <v>4.6028236158756286E-2</v>
      </c>
    </row>
    <row r="518" spans="1:7">
      <c r="A518">
        <v>46</v>
      </c>
      <c r="B518">
        <v>233</v>
      </c>
      <c r="C518" s="1">
        <f>(Tabela1[[#This Row],[x]]-H$3)*(Tabela1[[#This Row],[x]]-H$3) +(Tabela1[[#This Row],[y]]-H$4)*(Tabela1[[#This Row],[y]]-H$4)</f>
        <v>24805</v>
      </c>
      <c r="D518" s="1">
        <f>IF(Tabela1[[#This Row],[promien]]&lt;40000,1,0)</f>
        <v>1</v>
      </c>
      <c r="E518" s="1">
        <f>IF(Tabela1[[#This Row],[promien]]=40000,1,0)</f>
        <v>0</v>
      </c>
      <c r="F518" s="1">
        <v>3.189189189189189</v>
      </c>
      <c r="G518" s="1">
        <v>4.7596535599395917E-2</v>
      </c>
    </row>
    <row r="519" spans="1:7">
      <c r="A519">
        <v>79</v>
      </c>
      <c r="B519">
        <v>273</v>
      </c>
      <c r="C519" s="1">
        <f>(Tabela1[[#This Row],[x]]-H$3)*(Tabela1[[#This Row],[x]]-H$3) +(Tabela1[[#This Row],[y]]-H$4)*(Tabela1[[#This Row],[y]]-H$4)</f>
        <v>19970</v>
      </c>
      <c r="D519" s="1">
        <f>IF(Tabela1[[#This Row],[promien]]&lt;40000,1,0)</f>
        <v>1</v>
      </c>
      <c r="E519" s="1">
        <f>IF(Tabela1[[#This Row],[promien]]=40000,1,0)</f>
        <v>0</v>
      </c>
      <c r="F519" s="1">
        <v>3.1907514450867054</v>
      </c>
      <c r="G519" s="1">
        <v>4.9158791496912269E-2</v>
      </c>
    </row>
    <row r="520" spans="1:7">
      <c r="A520">
        <v>5</v>
      </c>
      <c r="B520">
        <v>114</v>
      </c>
      <c r="C520" s="1">
        <f>(Tabela1[[#This Row],[x]]-H$3)*(Tabela1[[#This Row],[x]]-H$3) +(Tabela1[[#This Row],[y]]-H$4)*(Tabela1[[#This Row],[y]]-H$4)</f>
        <v>45421</v>
      </c>
      <c r="D520" s="1">
        <f>IF(Tabela1[[#This Row],[promien]]&lt;40000,1,0)</f>
        <v>0</v>
      </c>
      <c r="E520" s="1">
        <f>IF(Tabela1[[#This Row],[promien]]=40000,1,0)</f>
        <v>0</v>
      </c>
      <c r="F520" s="1">
        <v>3.1846153846153844</v>
      </c>
      <c r="G520" s="1">
        <v>4.3022731025591288E-2</v>
      </c>
    </row>
    <row r="521" spans="1:7">
      <c r="A521">
        <v>126</v>
      </c>
      <c r="B521">
        <v>195</v>
      </c>
      <c r="C521" s="1">
        <f>(Tabela1[[#This Row],[x]]-H$3)*(Tabela1[[#This Row],[x]]-H$3) +(Tabela1[[#This Row],[y]]-H$4)*(Tabela1[[#This Row],[y]]-H$4)</f>
        <v>5501</v>
      </c>
      <c r="D521" s="1">
        <f>IF(Tabela1[[#This Row],[promien]]&lt;40000,1,0)</f>
        <v>1</v>
      </c>
      <c r="E521" s="1">
        <f>IF(Tabela1[[#This Row],[promien]]=40000,1,0)</f>
        <v>0</v>
      </c>
      <c r="F521" s="1">
        <v>3.1861804222648753</v>
      </c>
      <c r="G521" s="1">
        <v>4.4587768675082184E-2</v>
      </c>
    </row>
    <row r="522" spans="1:7">
      <c r="A522">
        <v>202</v>
      </c>
      <c r="B522">
        <v>144</v>
      </c>
      <c r="C522" s="1">
        <f>(Tabela1[[#This Row],[x]]-H$3)*(Tabela1[[#This Row],[x]]-H$3) +(Tabela1[[#This Row],[y]]-H$4)*(Tabela1[[#This Row],[y]]-H$4)</f>
        <v>3140</v>
      </c>
      <c r="D522" s="1">
        <f>IF(Tabela1[[#This Row],[promien]]&lt;40000,1,0)</f>
        <v>1</v>
      </c>
      <c r="E522" s="1">
        <f>IF(Tabela1[[#This Row],[promien]]=40000,1,0)</f>
        <v>0</v>
      </c>
      <c r="F522" s="1">
        <v>3.1877394636015324</v>
      </c>
      <c r="G522" s="1">
        <v>4.6146810011739259E-2</v>
      </c>
    </row>
    <row r="523" spans="1:7">
      <c r="A523">
        <v>153</v>
      </c>
      <c r="B523">
        <v>342</v>
      </c>
      <c r="C523" s="1">
        <f>(Tabela1[[#This Row],[x]]-H$3)*(Tabela1[[#This Row],[x]]-H$3) +(Tabela1[[#This Row],[y]]-H$4)*(Tabela1[[#This Row],[y]]-H$4)</f>
        <v>22373</v>
      </c>
      <c r="D523" s="1">
        <f>IF(Tabela1[[#This Row],[promien]]&lt;40000,1,0)</f>
        <v>1</v>
      </c>
      <c r="E523" s="1">
        <f>IF(Tabela1[[#This Row],[promien]]=40000,1,0)</f>
        <v>0</v>
      </c>
      <c r="F523" s="1">
        <v>3.1892925430210326</v>
      </c>
      <c r="G523" s="1">
        <v>4.7699889431239484E-2</v>
      </c>
    </row>
    <row r="524" spans="1:7">
      <c r="A524">
        <v>192</v>
      </c>
      <c r="B524">
        <v>266</v>
      </c>
      <c r="C524" s="1">
        <f>(Tabela1[[#This Row],[x]]-H$3)*(Tabela1[[#This Row],[x]]-H$3) +(Tabela1[[#This Row],[y]]-H$4)*(Tabela1[[#This Row],[y]]-H$4)</f>
        <v>4420</v>
      </c>
      <c r="D524" s="1">
        <f>IF(Tabela1[[#This Row],[promien]]&lt;40000,1,0)</f>
        <v>1</v>
      </c>
      <c r="E524" s="1">
        <f>IF(Tabela1[[#This Row],[promien]]=40000,1,0)</f>
        <v>0</v>
      </c>
      <c r="F524" s="1">
        <v>3.1908396946564888</v>
      </c>
      <c r="G524" s="1">
        <v>4.924704106669564E-2</v>
      </c>
    </row>
    <row r="525" spans="1:7">
      <c r="A525">
        <v>301</v>
      </c>
      <c r="B525">
        <v>321</v>
      </c>
      <c r="C525" s="1">
        <f>(Tabela1[[#This Row],[x]]-H$3)*(Tabela1[[#This Row],[x]]-H$3) +(Tabela1[[#This Row],[y]]-H$4)*(Tabela1[[#This Row],[y]]-H$4)</f>
        <v>24842</v>
      </c>
      <c r="D525" s="1">
        <f>IF(Tabela1[[#This Row],[promien]]&lt;40000,1,0)</f>
        <v>1</v>
      </c>
      <c r="E525" s="1">
        <f>IF(Tabela1[[#This Row],[promien]]=40000,1,0)</f>
        <v>0</v>
      </c>
      <c r="F525" s="1">
        <v>3.1923809523809523</v>
      </c>
      <c r="G525" s="1">
        <v>5.0788298791159203E-2</v>
      </c>
    </row>
    <row r="526" spans="1:7">
      <c r="A526">
        <v>69</v>
      </c>
      <c r="B526">
        <v>265</v>
      </c>
      <c r="C526" s="1">
        <f>(Tabela1[[#This Row],[x]]-H$3)*(Tabela1[[#This Row],[x]]-H$3) +(Tabela1[[#This Row],[y]]-H$4)*(Tabela1[[#This Row],[y]]-H$4)</f>
        <v>21386</v>
      </c>
      <c r="D526" s="1">
        <f>IF(Tabela1[[#This Row],[promien]]&lt;40000,1,0)</f>
        <v>1</v>
      </c>
      <c r="E526" s="1">
        <f>IF(Tabela1[[#This Row],[promien]]=40000,1,0)</f>
        <v>0</v>
      </c>
      <c r="F526" s="1">
        <v>3.1939163498098861</v>
      </c>
      <c r="G526" s="1">
        <v>5.232369622009303E-2</v>
      </c>
    </row>
    <row r="527" spans="1:7">
      <c r="A527">
        <v>232</v>
      </c>
      <c r="B527">
        <v>92</v>
      </c>
      <c r="C527" s="1">
        <f>(Tabela1[[#This Row],[x]]-H$3)*(Tabela1[[#This Row],[x]]-H$3) +(Tabela1[[#This Row],[y]]-H$4)*(Tabela1[[#This Row],[y]]-H$4)</f>
        <v>12688</v>
      </c>
      <c r="D527" s="1">
        <f>IF(Tabela1[[#This Row],[promien]]&lt;40000,1,0)</f>
        <v>1</v>
      </c>
      <c r="E527" s="1">
        <f>IF(Tabela1[[#This Row],[promien]]=40000,1,0)</f>
        <v>0</v>
      </c>
      <c r="F527" s="1">
        <v>3.1954459203036052</v>
      </c>
      <c r="G527" s="1">
        <v>5.3853266713812076E-2</v>
      </c>
    </row>
    <row r="528" spans="1:7">
      <c r="A528">
        <v>315</v>
      </c>
      <c r="B528">
        <v>357</v>
      </c>
      <c r="C528" s="1">
        <f>(Tabela1[[#This Row],[x]]-H$3)*(Tabela1[[#This Row],[x]]-H$3) +(Tabela1[[#This Row],[y]]-H$4)*(Tabela1[[#This Row],[y]]-H$4)</f>
        <v>37874</v>
      </c>
      <c r="D528" s="1">
        <f>IF(Tabela1[[#This Row],[promien]]&lt;40000,1,0)</f>
        <v>1</v>
      </c>
      <c r="E528" s="1">
        <f>IF(Tabela1[[#This Row],[promien]]=40000,1,0)</f>
        <v>0</v>
      </c>
      <c r="F528" s="1">
        <v>3.1969696969696968</v>
      </c>
      <c r="G528" s="1">
        <v>5.5377043379903679E-2</v>
      </c>
    </row>
    <row r="529" spans="1:7">
      <c r="A529">
        <v>43</v>
      </c>
      <c r="B529">
        <v>378</v>
      </c>
      <c r="C529" s="1">
        <f>(Tabela1[[#This Row],[x]]-H$3)*(Tabela1[[#This Row],[x]]-H$3) +(Tabela1[[#This Row],[y]]-H$4)*(Tabela1[[#This Row],[y]]-H$4)</f>
        <v>56333</v>
      </c>
      <c r="D529" s="1">
        <f>IF(Tabela1[[#This Row],[promien]]&lt;40000,1,0)</f>
        <v>0</v>
      </c>
      <c r="E529" s="1">
        <f>IF(Tabela1[[#This Row],[promien]]=40000,1,0)</f>
        <v>0</v>
      </c>
      <c r="F529" s="1">
        <v>3.1909262759924384</v>
      </c>
      <c r="G529" s="1">
        <v>4.9333622402645272E-2</v>
      </c>
    </row>
    <row r="530" spans="1:7">
      <c r="A530">
        <v>54</v>
      </c>
      <c r="B530">
        <v>321</v>
      </c>
      <c r="C530" s="1">
        <f>(Tabela1[[#This Row],[x]]-H$3)*(Tabela1[[#This Row],[x]]-H$3) +(Tabela1[[#This Row],[y]]-H$4)*(Tabela1[[#This Row],[y]]-H$4)</f>
        <v>35957</v>
      </c>
      <c r="D530" s="1">
        <f>IF(Tabela1[[#This Row],[promien]]&lt;40000,1,0)</f>
        <v>1</v>
      </c>
      <c r="E530" s="1">
        <f>IF(Tabela1[[#This Row],[promien]]=40000,1,0)</f>
        <v>0</v>
      </c>
      <c r="F530" s="1">
        <v>3.1924528301886794</v>
      </c>
      <c r="G530" s="1">
        <v>5.0860176598886309E-2</v>
      </c>
    </row>
    <row r="531" spans="1:7">
      <c r="A531">
        <v>101</v>
      </c>
      <c r="B531">
        <v>120</v>
      </c>
      <c r="C531" s="1">
        <f>(Tabela1[[#This Row],[x]]-H$3)*(Tabela1[[#This Row],[x]]-H$3) +(Tabela1[[#This Row],[y]]-H$4)*(Tabela1[[#This Row],[y]]-H$4)</f>
        <v>16201</v>
      </c>
      <c r="D531" s="1">
        <f>IF(Tabela1[[#This Row],[promien]]&lt;40000,1,0)</f>
        <v>1</v>
      </c>
      <c r="E531" s="1">
        <f>IF(Tabela1[[#This Row],[promien]]=40000,1,0)</f>
        <v>0</v>
      </c>
      <c r="F531" s="1">
        <v>3.1939736346516008</v>
      </c>
      <c r="G531" s="1">
        <v>5.2380981061807663E-2</v>
      </c>
    </row>
    <row r="532" spans="1:7">
      <c r="A532">
        <v>188</v>
      </c>
      <c r="B532">
        <v>48</v>
      </c>
      <c r="C532" s="1">
        <f>(Tabela1[[#This Row],[x]]-H$3)*(Tabela1[[#This Row],[x]]-H$3) +(Tabela1[[#This Row],[y]]-H$4)*(Tabela1[[#This Row],[y]]-H$4)</f>
        <v>23248</v>
      </c>
      <c r="D532" s="1">
        <f>IF(Tabela1[[#This Row],[promien]]&lt;40000,1,0)</f>
        <v>1</v>
      </c>
      <c r="E532" s="1">
        <f>IF(Tabela1[[#This Row],[promien]]=40000,1,0)</f>
        <v>0</v>
      </c>
      <c r="F532" s="1">
        <v>3.1954887218045114</v>
      </c>
      <c r="G532" s="1">
        <v>5.3896068214718262E-2</v>
      </c>
    </row>
    <row r="533" spans="1:7">
      <c r="A533">
        <v>123</v>
      </c>
      <c r="B533">
        <v>98</v>
      </c>
      <c r="C533" s="1">
        <f>(Tabela1[[#This Row],[x]]-H$3)*(Tabela1[[#This Row],[x]]-H$3) +(Tabela1[[#This Row],[y]]-H$4)*(Tabela1[[#This Row],[y]]-H$4)</f>
        <v>16333</v>
      </c>
      <c r="D533" s="1">
        <f>IF(Tabela1[[#This Row],[promien]]&lt;40000,1,0)</f>
        <v>1</v>
      </c>
      <c r="E533" s="1">
        <f>IF(Tabela1[[#This Row],[promien]]=40000,1,0)</f>
        <v>0</v>
      </c>
      <c r="F533" s="1">
        <v>3.1969981238273921</v>
      </c>
      <c r="G533" s="1">
        <v>5.5405470237599008E-2</v>
      </c>
    </row>
    <row r="534" spans="1:7">
      <c r="A534">
        <v>287</v>
      </c>
      <c r="B534">
        <v>389</v>
      </c>
      <c r="C534" s="1">
        <f>(Tabela1[[#This Row],[x]]-H$3)*(Tabela1[[#This Row],[x]]-H$3) +(Tabela1[[#This Row],[y]]-H$4)*(Tabela1[[#This Row],[y]]-H$4)</f>
        <v>43290</v>
      </c>
      <c r="D534" s="1">
        <f>IF(Tabela1[[#This Row],[promien]]&lt;40000,1,0)</f>
        <v>0</v>
      </c>
      <c r="E534" s="1">
        <f>IF(Tabela1[[#This Row],[promien]]=40000,1,0)</f>
        <v>0</v>
      </c>
      <c r="F534" s="1">
        <v>3.191011235955056</v>
      </c>
      <c r="G534" s="1">
        <v>4.9418582365262864E-2</v>
      </c>
    </row>
    <row r="535" spans="1:7">
      <c r="A535">
        <v>399</v>
      </c>
      <c r="B535">
        <v>351</v>
      </c>
      <c r="C535" s="1">
        <f>(Tabela1[[#This Row],[x]]-H$3)*(Tabela1[[#This Row],[x]]-H$3) +(Tabela1[[#This Row],[y]]-H$4)*(Tabela1[[#This Row],[y]]-H$4)</f>
        <v>62402</v>
      </c>
      <c r="D535" s="1">
        <f>IF(Tabela1[[#This Row],[promien]]&lt;40000,1,0)</f>
        <v>0</v>
      </c>
      <c r="E535" s="1">
        <f>IF(Tabela1[[#This Row],[promien]]=40000,1,0)</f>
        <v>0</v>
      </c>
      <c r="F535" s="1">
        <v>3.1850467289719626</v>
      </c>
      <c r="G535" s="1">
        <v>4.3454075382169499E-2</v>
      </c>
    </row>
    <row r="536" spans="1:7">
      <c r="A536">
        <v>328</v>
      </c>
      <c r="B536">
        <v>309</v>
      </c>
      <c r="C536" s="1">
        <f>(Tabela1[[#This Row],[x]]-H$3)*(Tabela1[[#This Row],[x]]-H$3) +(Tabela1[[#This Row],[y]]-H$4)*(Tabela1[[#This Row],[y]]-H$4)</f>
        <v>28265</v>
      </c>
      <c r="D536" s="1">
        <f>IF(Tabela1[[#This Row],[promien]]&lt;40000,1,0)</f>
        <v>1</v>
      </c>
      <c r="E536" s="1">
        <f>IF(Tabela1[[#This Row],[promien]]=40000,1,0)</f>
        <v>0</v>
      </c>
      <c r="F536" s="1">
        <v>3.1865671641791047</v>
      </c>
      <c r="G536" s="1">
        <v>4.4974510589311567E-2</v>
      </c>
    </row>
    <row r="537" spans="1:7">
      <c r="A537">
        <v>167</v>
      </c>
      <c r="B537">
        <v>296</v>
      </c>
      <c r="C537" s="1">
        <f>(Tabela1[[#This Row],[x]]-H$3)*(Tabela1[[#This Row],[x]]-H$3) +(Tabela1[[#This Row],[y]]-H$4)*(Tabela1[[#This Row],[y]]-H$4)</f>
        <v>10305</v>
      </c>
      <c r="D537" s="1">
        <f>IF(Tabela1[[#This Row],[promien]]&lt;40000,1,0)</f>
        <v>1</v>
      </c>
      <c r="E537" s="1">
        <f>IF(Tabela1[[#This Row],[promien]]=40000,1,0)</f>
        <v>0</v>
      </c>
      <c r="F537" s="1">
        <v>3.1880819366852888</v>
      </c>
      <c r="G537" s="1">
        <v>4.6489283095495715E-2</v>
      </c>
    </row>
    <row r="538" spans="1:7">
      <c r="A538">
        <v>290</v>
      </c>
      <c r="B538">
        <v>160</v>
      </c>
      <c r="C538" s="1">
        <f>(Tabela1[[#This Row],[x]]-H$3)*(Tabela1[[#This Row],[x]]-H$3) +(Tabela1[[#This Row],[y]]-H$4)*(Tabela1[[#This Row],[y]]-H$4)</f>
        <v>9700</v>
      </c>
      <c r="D538" s="1">
        <f>IF(Tabela1[[#This Row],[promien]]&lt;40000,1,0)</f>
        <v>1</v>
      </c>
      <c r="E538" s="1">
        <f>IF(Tabela1[[#This Row],[promien]]=40000,1,0)</f>
        <v>0</v>
      </c>
      <c r="F538" s="1">
        <v>3.1895910780669143</v>
      </c>
      <c r="G538" s="1">
        <v>4.7998424477121215E-2</v>
      </c>
    </row>
    <row r="539" spans="1:7">
      <c r="A539">
        <v>71</v>
      </c>
      <c r="B539">
        <v>3</v>
      </c>
      <c r="C539" s="1">
        <f>(Tabela1[[#This Row],[x]]-H$3)*(Tabela1[[#This Row],[x]]-H$3) +(Tabela1[[#This Row],[y]]-H$4)*(Tabela1[[#This Row],[y]]-H$4)</f>
        <v>55450</v>
      </c>
      <c r="D539" s="1">
        <f>IF(Tabela1[[#This Row],[promien]]&lt;40000,1,0)</f>
        <v>0</v>
      </c>
      <c r="E539" s="1">
        <f>IF(Tabela1[[#This Row],[promien]]=40000,1,0)</f>
        <v>0</v>
      </c>
      <c r="F539" s="1">
        <v>3.1836734693877551</v>
      </c>
      <c r="G539" s="1">
        <v>4.2080815797961968E-2</v>
      </c>
    </row>
    <row r="540" spans="1:7">
      <c r="A540">
        <v>135</v>
      </c>
      <c r="B540">
        <v>242</v>
      </c>
      <c r="C540" s="1">
        <f>(Tabela1[[#This Row],[x]]-H$3)*(Tabela1[[#This Row],[x]]-H$3) +(Tabela1[[#This Row],[y]]-H$4)*(Tabela1[[#This Row],[y]]-H$4)</f>
        <v>5989</v>
      </c>
      <c r="D540" s="1">
        <f>IF(Tabela1[[#This Row],[promien]]&lt;40000,1,0)</f>
        <v>1</v>
      </c>
      <c r="E540" s="1">
        <f>IF(Tabela1[[#This Row],[promien]]=40000,1,0)</f>
        <v>0</v>
      </c>
      <c r="F540" s="1">
        <v>3.1851851851851851</v>
      </c>
      <c r="G540" s="1">
        <v>4.3592531595392003E-2</v>
      </c>
    </row>
    <row r="541" spans="1:7">
      <c r="A541">
        <v>74</v>
      </c>
      <c r="B541">
        <v>192</v>
      </c>
      <c r="C541" s="1">
        <f>(Tabela1[[#This Row],[x]]-H$3)*(Tabela1[[#This Row],[x]]-H$3) +(Tabela1[[#This Row],[y]]-H$4)*(Tabela1[[#This Row],[y]]-H$4)</f>
        <v>15940</v>
      </c>
      <c r="D541" s="1">
        <f>IF(Tabela1[[#This Row],[promien]]&lt;40000,1,0)</f>
        <v>1</v>
      </c>
      <c r="E541" s="1">
        <f>IF(Tabela1[[#This Row],[promien]]=40000,1,0)</f>
        <v>0</v>
      </c>
      <c r="F541" s="1">
        <v>3.1866913123844731</v>
      </c>
      <c r="G541" s="1">
        <v>4.5098658794680002E-2</v>
      </c>
    </row>
    <row r="542" spans="1:7">
      <c r="A542">
        <v>383</v>
      </c>
      <c r="B542">
        <v>81</v>
      </c>
      <c r="C542" s="1">
        <f>(Tabela1[[#This Row],[x]]-H$3)*(Tabela1[[#This Row],[x]]-H$3) +(Tabela1[[#This Row],[y]]-H$4)*(Tabela1[[#This Row],[y]]-H$4)</f>
        <v>47650</v>
      </c>
      <c r="D542" s="1">
        <f>IF(Tabela1[[#This Row],[promien]]&lt;40000,1,0)</f>
        <v>0</v>
      </c>
      <c r="E542" s="1">
        <f>IF(Tabela1[[#This Row],[promien]]=40000,1,0)</f>
        <v>0</v>
      </c>
      <c r="F542" s="1">
        <v>3.1808118081180812</v>
      </c>
      <c r="G542" s="1">
        <v>3.9219154528288058E-2</v>
      </c>
    </row>
    <row r="543" spans="1:7">
      <c r="A543">
        <v>143</v>
      </c>
      <c r="B543">
        <v>265</v>
      </c>
      <c r="C543" s="1">
        <f>(Tabela1[[#This Row],[x]]-H$3)*(Tabela1[[#This Row],[x]]-H$3) +(Tabela1[[#This Row],[y]]-H$4)*(Tabela1[[#This Row],[y]]-H$4)</f>
        <v>7474</v>
      </c>
      <c r="D543" s="1">
        <f>IF(Tabela1[[#This Row],[promien]]&lt;40000,1,0)</f>
        <v>1</v>
      </c>
      <c r="E543" s="1">
        <f>IF(Tabela1[[#This Row],[promien]]=40000,1,0)</f>
        <v>0</v>
      </c>
      <c r="F543" s="1">
        <v>3.1823204419889501</v>
      </c>
      <c r="G543" s="1">
        <v>4.0727788399157028E-2</v>
      </c>
    </row>
    <row r="544" spans="1:7">
      <c r="A544">
        <v>384</v>
      </c>
      <c r="B544">
        <v>269</v>
      </c>
      <c r="C544" s="1">
        <f>(Tabela1[[#This Row],[x]]-H$3)*(Tabela1[[#This Row],[x]]-H$3) +(Tabela1[[#This Row],[y]]-H$4)*(Tabela1[[#This Row],[y]]-H$4)</f>
        <v>38617</v>
      </c>
      <c r="D544" s="1">
        <f>IF(Tabela1[[#This Row],[promien]]&lt;40000,1,0)</f>
        <v>1</v>
      </c>
      <c r="E544" s="1">
        <f>IF(Tabela1[[#This Row],[promien]]=40000,1,0)</f>
        <v>0</v>
      </c>
      <c r="F544" s="1">
        <v>3.1838235294117645</v>
      </c>
      <c r="G544" s="1">
        <v>4.2230875821971381E-2</v>
      </c>
    </row>
    <row r="545" spans="1:7">
      <c r="A545">
        <v>138</v>
      </c>
      <c r="B545">
        <v>74</v>
      </c>
      <c r="C545" s="1">
        <f>(Tabela1[[#This Row],[x]]-H$3)*(Tabela1[[#This Row],[x]]-H$3) +(Tabela1[[#This Row],[y]]-H$4)*(Tabela1[[#This Row],[y]]-H$4)</f>
        <v>19720</v>
      </c>
      <c r="D545" s="1">
        <f>IF(Tabela1[[#This Row],[promien]]&lt;40000,1,0)</f>
        <v>1</v>
      </c>
      <c r="E545" s="1">
        <f>IF(Tabela1[[#This Row],[promien]]=40000,1,0)</f>
        <v>0</v>
      </c>
      <c r="F545" s="1">
        <v>3.1853211009174314</v>
      </c>
      <c r="G545" s="1">
        <v>4.3728447327638253E-2</v>
      </c>
    </row>
    <row r="546" spans="1:7">
      <c r="A546">
        <v>359</v>
      </c>
      <c r="B546">
        <v>234</v>
      </c>
      <c r="C546" s="1">
        <f>(Tabela1[[#This Row],[x]]-H$3)*(Tabela1[[#This Row],[x]]-H$3) +(Tabela1[[#This Row],[y]]-H$4)*(Tabela1[[#This Row],[y]]-H$4)</f>
        <v>26437</v>
      </c>
      <c r="D546" s="1">
        <f>IF(Tabela1[[#This Row],[promien]]&lt;40000,1,0)</f>
        <v>1</v>
      </c>
      <c r="E546" s="1">
        <f>IF(Tabela1[[#This Row],[promien]]=40000,1,0)</f>
        <v>0</v>
      </c>
      <c r="F546" s="1">
        <v>3.1868131868131866</v>
      </c>
      <c r="G546" s="1">
        <v>4.5220533223393478E-2</v>
      </c>
    </row>
    <row r="547" spans="1:7">
      <c r="A547">
        <v>325</v>
      </c>
      <c r="B547">
        <v>334</v>
      </c>
      <c r="C547" s="1">
        <f>(Tabela1[[#This Row],[x]]-H$3)*(Tabela1[[#This Row],[x]]-H$3) +(Tabela1[[#This Row],[y]]-H$4)*(Tabela1[[#This Row],[y]]-H$4)</f>
        <v>33581</v>
      </c>
      <c r="D547" s="1">
        <f>IF(Tabela1[[#This Row],[promien]]&lt;40000,1,0)</f>
        <v>1</v>
      </c>
      <c r="E547" s="1">
        <f>IF(Tabela1[[#This Row],[promien]]=40000,1,0)</f>
        <v>0</v>
      </c>
      <c r="F547" s="1">
        <v>3.1882998171846437</v>
      </c>
      <c r="G547" s="1">
        <v>4.6707163594850609E-2</v>
      </c>
    </row>
    <row r="548" spans="1:7">
      <c r="A548">
        <v>267</v>
      </c>
      <c r="B548">
        <v>4</v>
      </c>
      <c r="C548" s="1">
        <f>(Tabela1[[#This Row],[x]]-H$3)*(Tabela1[[#This Row],[x]]-H$3) +(Tabela1[[#This Row],[y]]-H$4)*(Tabela1[[#This Row],[y]]-H$4)</f>
        <v>42905</v>
      </c>
      <c r="D548" s="1">
        <f>IF(Tabela1[[#This Row],[promien]]&lt;40000,1,0)</f>
        <v>0</v>
      </c>
      <c r="E548" s="1">
        <f>IF(Tabela1[[#This Row],[promien]]=40000,1,0)</f>
        <v>0</v>
      </c>
      <c r="F548" s="1">
        <v>3.1824817518248176</v>
      </c>
      <c r="G548" s="1">
        <v>4.0889098235024512E-2</v>
      </c>
    </row>
    <row r="549" spans="1:7">
      <c r="A549">
        <v>283</v>
      </c>
      <c r="B549">
        <v>203</v>
      </c>
      <c r="C549" s="1">
        <f>(Tabela1[[#This Row],[x]]-H$3)*(Tabela1[[#This Row],[x]]-H$3) +(Tabela1[[#This Row],[y]]-H$4)*(Tabela1[[#This Row],[y]]-H$4)</f>
        <v>6898</v>
      </c>
      <c r="D549" s="1">
        <f>IF(Tabela1[[#This Row],[promien]]&lt;40000,1,0)</f>
        <v>1</v>
      </c>
      <c r="E549" s="1">
        <f>IF(Tabela1[[#This Row],[promien]]=40000,1,0)</f>
        <v>0</v>
      </c>
      <c r="F549" s="1">
        <v>3.1839708561020035</v>
      </c>
      <c r="G549" s="1">
        <v>4.2378202512210361E-2</v>
      </c>
    </row>
    <row r="550" spans="1:7">
      <c r="A550">
        <v>177</v>
      </c>
      <c r="B550">
        <v>215</v>
      </c>
      <c r="C550" s="1">
        <f>(Tabela1[[#This Row],[x]]-H$3)*(Tabela1[[#This Row],[x]]-H$3) +(Tabela1[[#This Row],[y]]-H$4)*(Tabela1[[#This Row],[y]]-H$4)</f>
        <v>754</v>
      </c>
      <c r="D550" s="1">
        <f>IF(Tabela1[[#This Row],[promien]]&lt;40000,1,0)</f>
        <v>1</v>
      </c>
      <c r="E550" s="1">
        <f>IF(Tabela1[[#This Row],[promien]]=40000,1,0)</f>
        <v>0</v>
      </c>
      <c r="F550" s="1">
        <v>3.1854545454545455</v>
      </c>
      <c r="G550" s="1">
        <v>4.3861891864752423E-2</v>
      </c>
    </row>
    <row r="551" spans="1:7">
      <c r="A551">
        <v>382</v>
      </c>
      <c r="B551">
        <v>310</v>
      </c>
      <c r="C551" s="1">
        <f>(Tabela1[[#This Row],[x]]-H$3)*(Tabela1[[#This Row],[x]]-H$3) +(Tabela1[[#This Row],[y]]-H$4)*(Tabela1[[#This Row],[y]]-H$4)</f>
        <v>45224</v>
      </c>
      <c r="D551" s="1">
        <f>IF(Tabela1[[#This Row],[promien]]&lt;40000,1,0)</f>
        <v>0</v>
      </c>
      <c r="E551" s="1">
        <f>IF(Tabela1[[#This Row],[promien]]=40000,1,0)</f>
        <v>0</v>
      </c>
      <c r="F551" s="1">
        <v>3.1796733212341199</v>
      </c>
      <c r="G551" s="1">
        <v>3.8080667644326827E-2</v>
      </c>
    </row>
    <row r="552" spans="1:7">
      <c r="A552">
        <v>204</v>
      </c>
      <c r="B552">
        <v>192</v>
      </c>
      <c r="C552" s="1">
        <f>(Tabela1[[#This Row],[x]]-H$3)*(Tabela1[[#This Row],[x]]-H$3) +(Tabela1[[#This Row],[y]]-H$4)*(Tabela1[[#This Row],[y]]-H$4)</f>
        <v>80</v>
      </c>
      <c r="D552" s="1">
        <f>IF(Tabela1[[#This Row],[promien]]&lt;40000,1,0)</f>
        <v>1</v>
      </c>
      <c r="E552" s="1">
        <f>IF(Tabela1[[#This Row],[promien]]=40000,1,0)</f>
        <v>0</v>
      </c>
      <c r="F552" s="1">
        <v>3.181159420289855</v>
      </c>
      <c r="G552" s="1">
        <v>3.9566766700061873E-2</v>
      </c>
    </row>
    <row r="553" spans="1:7">
      <c r="A553">
        <v>7</v>
      </c>
      <c r="B553">
        <v>99</v>
      </c>
      <c r="C553" s="1">
        <f>(Tabela1[[#This Row],[x]]-H$3)*(Tabela1[[#This Row],[x]]-H$3) +(Tabela1[[#This Row],[y]]-H$4)*(Tabela1[[#This Row],[y]]-H$4)</f>
        <v>47450</v>
      </c>
      <c r="D553" s="1">
        <f>IF(Tabela1[[#This Row],[promien]]&lt;40000,1,0)</f>
        <v>0</v>
      </c>
      <c r="E553" s="1">
        <f>IF(Tabela1[[#This Row],[promien]]=40000,1,0)</f>
        <v>0</v>
      </c>
      <c r="F553" s="1">
        <v>3.175406871609403</v>
      </c>
      <c r="G553" s="1">
        <v>3.3814218019609932E-2</v>
      </c>
    </row>
    <row r="554" spans="1:7">
      <c r="A554">
        <v>135</v>
      </c>
      <c r="B554">
        <v>362</v>
      </c>
      <c r="C554" s="1">
        <f>(Tabela1[[#This Row],[x]]-H$3)*(Tabela1[[#This Row],[x]]-H$3) +(Tabela1[[#This Row],[y]]-H$4)*(Tabela1[[#This Row],[y]]-H$4)</f>
        <v>30469</v>
      </c>
      <c r="D554" s="1">
        <f>IF(Tabela1[[#This Row],[promien]]&lt;40000,1,0)</f>
        <v>1</v>
      </c>
      <c r="E554" s="1">
        <f>IF(Tabela1[[#This Row],[promien]]=40000,1,0)</f>
        <v>0</v>
      </c>
      <c r="F554" s="1">
        <v>3.1768953068592056</v>
      </c>
      <c r="G554" s="1">
        <v>3.5302653269412509E-2</v>
      </c>
    </row>
    <row r="555" spans="1:7">
      <c r="A555">
        <v>340</v>
      </c>
      <c r="B555">
        <v>38</v>
      </c>
      <c r="C555" s="1">
        <f>(Tabela1[[#This Row],[x]]-H$3)*(Tabela1[[#This Row],[x]]-H$3) +(Tabela1[[#This Row],[y]]-H$4)*(Tabela1[[#This Row],[y]]-H$4)</f>
        <v>45844</v>
      </c>
      <c r="D555" s="1">
        <f>IF(Tabela1[[#This Row],[promien]]&lt;40000,1,0)</f>
        <v>0</v>
      </c>
      <c r="E555" s="1">
        <f>IF(Tabela1[[#This Row],[promien]]=40000,1,0)</f>
        <v>0</v>
      </c>
      <c r="F555" s="1">
        <v>3.1711711711711712</v>
      </c>
      <c r="G555" s="1">
        <v>2.9578517581378083E-2</v>
      </c>
    </row>
    <row r="556" spans="1:7">
      <c r="A556">
        <v>212</v>
      </c>
      <c r="B556">
        <v>105</v>
      </c>
      <c r="C556" s="1">
        <f>(Tabela1[[#This Row],[x]]-H$3)*(Tabela1[[#This Row],[x]]-H$3) +(Tabela1[[#This Row],[y]]-H$4)*(Tabela1[[#This Row],[y]]-H$4)</f>
        <v>9169</v>
      </c>
      <c r="D556" s="1">
        <f>IF(Tabela1[[#This Row],[promien]]&lt;40000,1,0)</f>
        <v>1</v>
      </c>
      <c r="E556" s="1">
        <f>IF(Tabela1[[#This Row],[promien]]=40000,1,0)</f>
        <v>0</v>
      </c>
      <c r="F556" s="1">
        <v>3.1726618705035969</v>
      </c>
      <c r="G556" s="1">
        <v>3.1069216913803821E-2</v>
      </c>
    </row>
    <row r="557" spans="1:7">
      <c r="A557">
        <v>112</v>
      </c>
      <c r="B557">
        <v>344</v>
      </c>
      <c r="C557" s="1">
        <f>(Tabela1[[#This Row],[x]]-H$3)*(Tabela1[[#This Row],[x]]-H$3) +(Tabela1[[#This Row],[y]]-H$4)*(Tabela1[[#This Row],[y]]-H$4)</f>
        <v>28480</v>
      </c>
      <c r="D557" s="1">
        <f>IF(Tabela1[[#This Row],[promien]]&lt;40000,1,0)</f>
        <v>1</v>
      </c>
      <c r="E557" s="1">
        <f>IF(Tabela1[[#This Row],[promien]]=40000,1,0)</f>
        <v>0</v>
      </c>
      <c r="F557" s="1">
        <v>3.1741472172351886</v>
      </c>
      <c r="G557" s="1">
        <v>3.255456364539544E-2</v>
      </c>
    </row>
    <row r="558" spans="1:7">
      <c r="A558">
        <v>20</v>
      </c>
      <c r="B558">
        <v>74</v>
      </c>
      <c r="C558" s="1">
        <f>(Tabela1[[#This Row],[x]]-H$3)*(Tabela1[[#This Row],[x]]-H$3) +(Tabela1[[#This Row],[y]]-H$4)*(Tabela1[[#This Row],[y]]-H$4)</f>
        <v>48276</v>
      </c>
      <c r="D558" s="1">
        <f>IF(Tabela1[[#This Row],[promien]]&lt;40000,1,0)</f>
        <v>0</v>
      </c>
      <c r="E558" s="1">
        <f>IF(Tabela1[[#This Row],[promien]]=40000,1,0)</f>
        <v>0</v>
      </c>
      <c r="F558" s="1">
        <v>3.1684587813620073</v>
      </c>
      <c r="G558" s="1">
        <v>2.6866127772214199E-2</v>
      </c>
    </row>
    <row r="559" spans="1:7">
      <c r="A559">
        <v>21</v>
      </c>
      <c r="B559">
        <v>213</v>
      </c>
      <c r="C559" s="1">
        <f>(Tabela1[[#This Row],[x]]-H$3)*(Tabela1[[#This Row],[x]]-H$3) +(Tabela1[[#This Row],[y]]-H$4)*(Tabela1[[#This Row],[y]]-H$4)</f>
        <v>32210</v>
      </c>
      <c r="D559" s="1">
        <f>IF(Tabela1[[#This Row],[promien]]&lt;40000,1,0)</f>
        <v>1</v>
      </c>
      <c r="E559" s="1">
        <f>IF(Tabela1[[#This Row],[promien]]=40000,1,0)</f>
        <v>0</v>
      </c>
      <c r="F559" s="1">
        <v>3.1699463327370303</v>
      </c>
      <c r="G559" s="1">
        <v>2.8353679147237187E-2</v>
      </c>
    </row>
    <row r="560" spans="1:7">
      <c r="A560">
        <v>21</v>
      </c>
      <c r="B560">
        <v>216</v>
      </c>
      <c r="C560" s="1">
        <f>(Tabela1[[#This Row],[x]]-H$3)*(Tabela1[[#This Row],[x]]-H$3) +(Tabela1[[#This Row],[y]]-H$4)*(Tabela1[[#This Row],[y]]-H$4)</f>
        <v>32297</v>
      </c>
      <c r="D560" s="1">
        <f>IF(Tabela1[[#This Row],[promien]]&lt;40000,1,0)</f>
        <v>1</v>
      </c>
      <c r="E560" s="1">
        <f>IF(Tabela1[[#This Row],[promien]]=40000,1,0)</f>
        <v>0</v>
      </c>
      <c r="F560" s="1">
        <v>3.1714285714285713</v>
      </c>
      <c r="G560" s="1">
        <v>2.9835917838778148E-2</v>
      </c>
    </row>
    <row r="561" spans="1:7">
      <c r="A561">
        <v>310</v>
      </c>
      <c r="B561">
        <v>98</v>
      </c>
      <c r="C561" s="1">
        <f>(Tabela1[[#This Row],[x]]-H$3)*(Tabela1[[#This Row],[x]]-H$3) +(Tabela1[[#This Row],[y]]-H$4)*(Tabela1[[#This Row],[y]]-H$4)</f>
        <v>22504</v>
      </c>
      <c r="D561" s="1">
        <f>IF(Tabela1[[#This Row],[promien]]&lt;40000,1,0)</f>
        <v>1</v>
      </c>
      <c r="E561" s="1">
        <f>IF(Tabela1[[#This Row],[promien]]=40000,1,0)</f>
        <v>0</v>
      </c>
      <c r="F561" s="1">
        <v>3.1729055258467023</v>
      </c>
      <c r="G561" s="1">
        <v>3.1312872256909152E-2</v>
      </c>
    </row>
    <row r="562" spans="1:7">
      <c r="A562">
        <v>346</v>
      </c>
      <c r="B562">
        <v>259</v>
      </c>
      <c r="C562" s="1">
        <f>(Tabela1[[#This Row],[x]]-H$3)*(Tabela1[[#This Row],[x]]-H$3) +(Tabela1[[#This Row],[y]]-H$4)*(Tabela1[[#This Row],[y]]-H$4)</f>
        <v>24797</v>
      </c>
      <c r="D562" s="1">
        <f>IF(Tabela1[[#This Row],[promien]]&lt;40000,1,0)</f>
        <v>1</v>
      </c>
      <c r="E562" s="1">
        <f>IF(Tabela1[[#This Row],[promien]]=40000,1,0)</f>
        <v>0</v>
      </c>
      <c r="F562" s="1">
        <v>3.1743772241992882</v>
      </c>
      <c r="G562" s="1">
        <v>3.2784570609495134E-2</v>
      </c>
    </row>
    <row r="563" spans="1:7">
      <c r="A563">
        <v>246</v>
      </c>
      <c r="B563">
        <v>281</v>
      </c>
      <c r="C563" s="1">
        <f>(Tabela1[[#This Row],[x]]-H$3)*(Tabela1[[#This Row],[x]]-H$3) +(Tabela1[[#This Row],[y]]-H$4)*(Tabela1[[#This Row],[y]]-H$4)</f>
        <v>8677</v>
      </c>
      <c r="D563" s="1">
        <f>IF(Tabela1[[#This Row],[promien]]&lt;40000,1,0)</f>
        <v>1</v>
      </c>
      <c r="E563" s="1">
        <f>IF(Tabela1[[#This Row],[promien]]=40000,1,0)</f>
        <v>0</v>
      </c>
      <c r="F563" s="1">
        <v>3.1758436944937833</v>
      </c>
      <c r="G563" s="1">
        <v>3.4251040903990226E-2</v>
      </c>
    </row>
    <row r="564" spans="1:7">
      <c r="A564">
        <v>275</v>
      </c>
      <c r="B564">
        <v>13</v>
      </c>
      <c r="C564" s="1">
        <f>(Tabela1[[#This Row],[x]]-H$3)*(Tabela1[[#This Row],[x]]-H$3) +(Tabela1[[#This Row],[y]]-H$4)*(Tabela1[[#This Row],[y]]-H$4)</f>
        <v>40594</v>
      </c>
      <c r="D564" s="1">
        <f>IF(Tabela1[[#This Row],[promien]]&lt;40000,1,0)</f>
        <v>0</v>
      </c>
      <c r="E564" s="1">
        <f>IF(Tabela1[[#This Row],[promien]]=40000,1,0)</f>
        <v>0</v>
      </c>
      <c r="F564" s="1">
        <v>3.1702127659574466</v>
      </c>
      <c r="G564" s="1">
        <v>2.8620112367653494E-2</v>
      </c>
    </row>
    <row r="565" spans="1:7">
      <c r="A565">
        <v>127</v>
      </c>
      <c r="B565">
        <v>74</v>
      </c>
      <c r="C565" s="1">
        <f>(Tabela1[[#This Row],[x]]-H$3)*(Tabela1[[#This Row],[x]]-H$3) +(Tabela1[[#This Row],[y]]-H$4)*(Tabela1[[#This Row],[y]]-H$4)</f>
        <v>21205</v>
      </c>
      <c r="D565" s="1">
        <f>IF(Tabela1[[#This Row],[promien]]&lt;40000,1,0)</f>
        <v>1</v>
      </c>
      <c r="E565" s="1">
        <f>IF(Tabela1[[#This Row],[promien]]=40000,1,0)</f>
        <v>0</v>
      </c>
      <c r="F565" s="1">
        <v>3.1716814159292035</v>
      </c>
      <c r="G565" s="1">
        <v>3.008876233941038E-2</v>
      </c>
    </row>
    <row r="566" spans="1:7">
      <c r="A566">
        <v>204</v>
      </c>
      <c r="B566">
        <v>100</v>
      </c>
      <c r="C566" s="1">
        <f>(Tabela1[[#This Row],[x]]-H$3)*(Tabela1[[#This Row],[x]]-H$3) +(Tabela1[[#This Row],[y]]-H$4)*(Tabela1[[#This Row],[y]]-H$4)</f>
        <v>10016</v>
      </c>
      <c r="D566" s="1">
        <f>IF(Tabela1[[#This Row],[promien]]&lt;40000,1,0)</f>
        <v>1</v>
      </c>
      <c r="E566" s="1">
        <f>IF(Tabela1[[#This Row],[promien]]=40000,1,0)</f>
        <v>0</v>
      </c>
      <c r="F566" s="1">
        <v>3.1731448763250882</v>
      </c>
      <c r="G566" s="1">
        <v>3.1552222735295121E-2</v>
      </c>
    </row>
    <row r="567" spans="1:7">
      <c r="A567">
        <v>15</v>
      </c>
      <c r="B567">
        <v>147</v>
      </c>
      <c r="C567" s="1">
        <f>(Tabela1[[#This Row],[x]]-H$3)*(Tabela1[[#This Row],[x]]-H$3) +(Tabela1[[#This Row],[y]]-H$4)*(Tabela1[[#This Row],[y]]-H$4)</f>
        <v>37034</v>
      </c>
      <c r="D567" s="1">
        <f>IF(Tabela1[[#This Row],[promien]]&lt;40000,1,0)</f>
        <v>1</v>
      </c>
      <c r="E567" s="1">
        <f>IF(Tabela1[[#This Row],[promien]]=40000,1,0)</f>
        <v>0</v>
      </c>
      <c r="F567" s="1">
        <v>3.1746031746031744</v>
      </c>
      <c r="G567" s="1">
        <v>3.3010521013381311E-2</v>
      </c>
    </row>
    <row r="568" spans="1:7">
      <c r="A568">
        <v>126</v>
      </c>
      <c r="B568">
        <v>133</v>
      </c>
      <c r="C568" s="1">
        <f>(Tabela1[[#This Row],[x]]-H$3)*(Tabela1[[#This Row],[x]]-H$3) +(Tabela1[[#This Row],[y]]-H$4)*(Tabela1[[#This Row],[y]]-H$4)</f>
        <v>9965</v>
      </c>
      <c r="D568" s="1">
        <f>IF(Tabela1[[#This Row],[promien]]&lt;40000,1,0)</f>
        <v>1</v>
      </c>
      <c r="E568" s="1">
        <f>IF(Tabela1[[#This Row],[promien]]=40000,1,0)</f>
        <v>0</v>
      </c>
      <c r="F568" s="1">
        <v>3.176056338028169</v>
      </c>
      <c r="G568" s="1">
        <v>3.4463684438375886E-2</v>
      </c>
    </row>
    <row r="569" spans="1:7">
      <c r="A569">
        <v>280</v>
      </c>
      <c r="B569">
        <v>50</v>
      </c>
      <c r="C569" s="1">
        <f>(Tabela1[[#This Row],[x]]-H$3)*(Tabela1[[#This Row],[x]]-H$3) +(Tabela1[[#This Row],[y]]-H$4)*(Tabela1[[#This Row],[y]]-H$4)</f>
        <v>28900</v>
      </c>
      <c r="D569" s="1">
        <f>IF(Tabela1[[#This Row],[promien]]&lt;40000,1,0)</f>
        <v>1</v>
      </c>
      <c r="E569" s="1">
        <f>IF(Tabela1[[#This Row],[promien]]=40000,1,0)</f>
        <v>0</v>
      </c>
      <c r="F569" s="1">
        <v>3.1775043936731109</v>
      </c>
      <c r="G569" s="1">
        <v>3.5911740083317767E-2</v>
      </c>
    </row>
    <row r="570" spans="1:7">
      <c r="A570">
        <v>372</v>
      </c>
      <c r="B570">
        <v>84</v>
      </c>
      <c r="C570" s="1">
        <f>(Tabela1[[#This Row],[x]]-H$3)*(Tabela1[[#This Row],[x]]-H$3) +(Tabela1[[#This Row],[y]]-H$4)*(Tabela1[[#This Row],[y]]-H$4)</f>
        <v>43040</v>
      </c>
      <c r="D570" s="1">
        <f>IF(Tabela1[[#This Row],[promien]]&lt;40000,1,0)</f>
        <v>0</v>
      </c>
      <c r="E570" s="1">
        <f>IF(Tabela1[[#This Row],[promien]]=40000,1,0)</f>
        <v>0</v>
      </c>
      <c r="F570" s="1">
        <v>3.1719298245614036</v>
      </c>
      <c r="G570" s="1">
        <v>3.0337170971610483E-2</v>
      </c>
    </row>
    <row r="571" spans="1:7">
      <c r="A571">
        <v>360</v>
      </c>
      <c r="B571">
        <v>374</v>
      </c>
      <c r="C571" s="1">
        <f>(Tabela1[[#This Row],[x]]-H$3)*(Tabela1[[#This Row],[x]]-H$3) +(Tabela1[[#This Row],[y]]-H$4)*(Tabela1[[#This Row],[y]]-H$4)</f>
        <v>55876</v>
      </c>
      <c r="D571" s="1">
        <f>IF(Tabela1[[#This Row],[promien]]&lt;40000,1,0)</f>
        <v>0</v>
      </c>
      <c r="E571" s="1">
        <f>IF(Tabela1[[#This Row],[promien]]=40000,1,0)</f>
        <v>0</v>
      </c>
      <c r="F571" s="1">
        <v>3.1663747810858145</v>
      </c>
      <c r="G571" s="1">
        <v>2.4782127496021378E-2</v>
      </c>
    </row>
    <row r="572" spans="1:7">
      <c r="A572">
        <v>114</v>
      </c>
      <c r="B572">
        <v>388</v>
      </c>
      <c r="C572" s="1">
        <f>(Tabela1[[#This Row],[x]]-H$3)*(Tabela1[[#This Row],[x]]-H$3) +(Tabela1[[#This Row],[y]]-H$4)*(Tabela1[[#This Row],[y]]-H$4)</f>
        <v>42740</v>
      </c>
      <c r="D572" s="1">
        <f>IF(Tabela1[[#This Row],[promien]]&lt;40000,1,0)</f>
        <v>0</v>
      </c>
      <c r="E572" s="1">
        <f>IF(Tabela1[[#This Row],[promien]]=40000,1,0)</f>
        <v>0</v>
      </c>
      <c r="F572" s="1">
        <v>3.1608391608391608</v>
      </c>
      <c r="G572" s="1">
        <v>1.9246507249367717E-2</v>
      </c>
    </row>
    <row r="573" spans="1:7">
      <c r="A573">
        <v>218</v>
      </c>
      <c r="B573">
        <v>343</v>
      </c>
      <c r="C573" s="1">
        <f>(Tabela1[[#This Row],[x]]-H$3)*(Tabela1[[#This Row],[x]]-H$3) +(Tabela1[[#This Row],[y]]-H$4)*(Tabela1[[#This Row],[y]]-H$4)</f>
        <v>20773</v>
      </c>
      <c r="D573" s="1">
        <f>IF(Tabela1[[#This Row],[promien]]&lt;40000,1,0)</f>
        <v>1</v>
      </c>
      <c r="E573" s="1">
        <f>IF(Tabela1[[#This Row],[promien]]=40000,1,0)</f>
        <v>0</v>
      </c>
      <c r="F573" s="1">
        <v>3.162303664921466</v>
      </c>
      <c r="G573" s="1">
        <v>2.0711011331672857E-2</v>
      </c>
    </row>
    <row r="574" spans="1:7">
      <c r="A574">
        <v>169</v>
      </c>
      <c r="B574">
        <v>260</v>
      </c>
      <c r="C574" s="1">
        <f>(Tabela1[[#This Row],[x]]-H$3)*(Tabela1[[#This Row],[x]]-H$3) +(Tabela1[[#This Row],[y]]-H$4)*(Tabela1[[#This Row],[y]]-H$4)</f>
        <v>4561</v>
      </c>
      <c r="D574" s="1">
        <f>IF(Tabela1[[#This Row],[promien]]&lt;40000,1,0)</f>
        <v>1</v>
      </c>
      <c r="E574" s="1">
        <f>IF(Tabela1[[#This Row],[promien]]=40000,1,0)</f>
        <v>0</v>
      </c>
      <c r="F574" s="1">
        <v>3.1637630662020908</v>
      </c>
      <c r="G574" s="1">
        <v>2.2170412612297685E-2</v>
      </c>
    </row>
    <row r="575" spans="1:7">
      <c r="A575">
        <v>242</v>
      </c>
      <c r="B575">
        <v>111</v>
      </c>
      <c r="C575" s="1">
        <f>(Tabela1[[#This Row],[x]]-H$3)*(Tabela1[[#This Row],[x]]-H$3) +(Tabela1[[#This Row],[y]]-H$4)*(Tabela1[[#This Row],[y]]-H$4)</f>
        <v>9685</v>
      </c>
      <c r="D575" s="1">
        <f>IF(Tabela1[[#This Row],[promien]]&lt;40000,1,0)</f>
        <v>1</v>
      </c>
      <c r="E575" s="1">
        <f>IF(Tabela1[[#This Row],[promien]]=40000,1,0)</f>
        <v>0</v>
      </c>
      <c r="F575" s="1">
        <v>3.1652173913043478</v>
      </c>
      <c r="G575" s="1">
        <v>2.3624737714554644E-2</v>
      </c>
    </row>
    <row r="576" spans="1:7">
      <c r="A576">
        <v>45</v>
      </c>
      <c r="B576">
        <v>337</v>
      </c>
      <c r="C576" s="1">
        <f>(Tabela1[[#This Row],[x]]-H$3)*(Tabela1[[#This Row],[x]]-H$3) +(Tabela1[[#This Row],[y]]-H$4)*(Tabela1[[#This Row],[y]]-H$4)</f>
        <v>42794</v>
      </c>
      <c r="D576" s="1">
        <f>IF(Tabela1[[#This Row],[promien]]&lt;40000,1,0)</f>
        <v>0</v>
      </c>
      <c r="E576" s="1">
        <f>IF(Tabela1[[#This Row],[promien]]=40000,1,0)</f>
        <v>0</v>
      </c>
      <c r="F576" s="1">
        <v>3.1597222222222223</v>
      </c>
      <c r="G576" s="1">
        <v>1.8129568632429205E-2</v>
      </c>
    </row>
    <row r="577" spans="1:7">
      <c r="A577">
        <v>176</v>
      </c>
      <c r="B577">
        <v>308</v>
      </c>
      <c r="C577" s="1">
        <f>(Tabela1[[#This Row],[x]]-H$3)*(Tabela1[[#This Row],[x]]-H$3) +(Tabela1[[#This Row],[y]]-H$4)*(Tabela1[[#This Row],[y]]-H$4)</f>
        <v>12240</v>
      </c>
      <c r="D577" s="1">
        <f>IF(Tabela1[[#This Row],[promien]]&lt;40000,1,0)</f>
        <v>1</v>
      </c>
      <c r="E577" s="1">
        <f>IF(Tabela1[[#This Row],[promien]]=40000,1,0)</f>
        <v>0</v>
      </c>
      <c r="F577" s="1">
        <v>3.1611785095320624</v>
      </c>
      <c r="G577" s="1">
        <v>1.9585855942269248E-2</v>
      </c>
    </row>
    <row r="578" spans="1:7">
      <c r="A578">
        <v>327</v>
      </c>
      <c r="B578">
        <v>254</v>
      </c>
      <c r="C578" s="1">
        <f>(Tabela1[[#This Row],[x]]-H$3)*(Tabela1[[#This Row],[x]]-H$3) +(Tabela1[[#This Row],[y]]-H$4)*(Tabela1[[#This Row],[y]]-H$4)</f>
        <v>19045</v>
      </c>
      <c r="D578" s="1">
        <f>IF(Tabela1[[#This Row],[promien]]&lt;40000,1,0)</f>
        <v>1</v>
      </c>
      <c r="E578" s="1">
        <f>IF(Tabela1[[#This Row],[promien]]=40000,1,0)</f>
        <v>0</v>
      </c>
      <c r="F578" s="1">
        <v>3.1626297577854672</v>
      </c>
      <c r="G578" s="1">
        <v>2.1037104195674061E-2</v>
      </c>
    </row>
    <row r="579" spans="1:7">
      <c r="A579">
        <v>42</v>
      </c>
      <c r="B579">
        <v>5</v>
      </c>
      <c r="C579" s="1">
        <f>(Tabela1[[#This Row],[x]]-H$3)*(Tabela1[[#This Row],[x]]-H$3) +(Tabela1[[#This Row],[y]]-H$4)*(Tabela1[[#This Row],[y]]-H$4)</f>
        <v>62989</v>
      </c>
      <c r="D579" s="1">
        <f>IF(Tabela1[[#This Row],[promien]]&lt;40000,1,0)</f>
        <v>0</v>
      </c>
      <c r="E579" s="1">
        <f>IF(Tabela1[[#This Row],[promien]]=40000,1,0)</f>
        <v>0</v>
      </c>
      <c r="F579" s="1">
        <v>3.157167530224525</v>
      </c>
      <c r="G579" s="1">
        <v>1.5574876634731893E-2</v>
      </c>
    </row>
    <row r="580" spans="1:7">
      <c r="A580">
        <v>63</v>
      </c>
      <c r="B580">
        <v>314</v>
      </c>
      <c r="C580" s="1">
        <f>(Tabela1[[#This Row],[x]]-H$3)*(Tabela1[[#This Row],[x]]-H$3) +(Tabela1[[#This Row],[y]]-H$4)*(Tabela1[[#This Row],[y]]-H$4)</f>
        <v>31765</v>
      </c>
      <c r="D580" s="1">
        <f>IF(Tabela1[[#This Row],[promien]]&lt;40000,1,0)</f>
        <v>1</v>
      </c>
      <c r="E580" s="1">
        <f>IF(Tabela1[[#This Row],[promien]]=40000,1,0)</f>
        <v>0</v>
      </c>
      <c r="F580" s="1">
        <v>3.1586206896551725</v>
      </c>
      <c r="G580" s="1">
        <v>1.7028036065379393E-2</v>
      </c>
    </row>
    <row r="581" spans="1:7">
      <c r="A581">
        <v>32</v>
      </c>
      <c r="B581">
        <v>81</v>
      </c>
      <c r="C581" s="1">
        <f>(Tabela1[[#This Row],[x]]-H$3)*(Tabela1[[#This Row],[x]]-H$3) +(Tabela1[[#This Row],[y]]-H$4)*(Tabela1[[#This Row],[y]]-H$4)</f>
        <v>42385</v>
      </c>
      <c r="D581" s="1">
        <f>IF(Tabela1[[#This Row],[promien]]&lt;40000,1,0)</f>
        <v>0</v>
      </c>
      <c r="E581" s="1">
        <f>IF(Tabela1[[#This Row],[promien]]=40000,1,0)</f>
        <v>0</v>
      </c>
      <c r="F581" s="1">
        <v>3.153184165232358</v>
      </c>
      <c r="G581" s="1">
        <v>1.1591511642564889E-2</v>
      </c>
    </row>
    <row r="582" spans="1:7">
      <c r="A582">
        <v>244</v>
      </c>
      <c r="B582">
        <v>59</v>
      </c>
      <c r="C582" s="1">
        <f>(Tabela1[[#This Row],[x]]-H$3)*(Tabela1[[#This Row],[x]]-H$3) +(Tabela1[[#This Row],[y]]-H$4)*(Tabela1[[#This Row],[y]]-H$4)</f>
        <v>21817</v>
      </c>
      <c r="D582" s="1">
        <f>IF(Tabela1[[#This Row],[promien]]&lt;40000,1,0)</f>
        <v>1</v>
      </c>
      <c r="E582" s="1">
        <f>IF(Tabela1[[#This Row],[promien]]=40000,1,0)</f>
        <v>0</v>
      </c>
      <c r="F582" s="1">
        <v>3.1546391752577319</v>
      </c>
      <c r="G582" s="1">
        <v>1.3046521667938737E-2</v>
      </c>
    </row>
    <row r="583" spans="1:7">
      <c r="A583">
        <v>54</v>
      </c>
      <c r="B583">
        <v>160</v>
      </c>
      <c r="C583" s="1">
        <f>(Tabela1[[#This Row],[x]]-H$3)*(Tabela1[[#This Row],[x]]-H$3) +(Tabela1[[#This Row],[y]]-H$4)*(Tabela1[[#This Row],[y]]-H$4)</f>
        <v>22916</v>
      </c>
      <c r="D583" s="1">
        <f>IF(Tabela1[[#This Row],[promien]]&lt;40000,1,0)</f>
        <v>1</v>
      </c>
      <c r="E583" s="1">
        <f>IF(Tabela1[[#This Row],[promien]]=40000,1,0)</f>
        <v>0</v>
      </c>
      <c r="F583" s="1">
        <v>3.1560891938250428</v>
      </c>
      <c r="G583" s="1">
        <v>1.4496540235249711E-2</v>
      </c>
    </row>
    <row r="584" spans="1:7">
      <c r="A584">
        <v>16</v>
      </c>
      <c r="B584">
        <v>255</v>
      </c>
      <c r="C584" s="1">
        <f>(Tabela1[[#This Row],[x]]-H$3)*(Tabela1[[#This Row],[x]]-H$3) +(Tabela1[[#This Row],[y]]-H$4)*(Tabela1[[#This Row],[y]]-H$4)</f>
        <v>36881</v>
      </c>
      <c r="D584" s="1">
        <f>IF(Tabela1[[#This Row],[promien]]&lt;40000,1,0)</f>
        <v>1</v>
      </c>
      <c r="E584" s="1">
        <f>IF(Tabela1[[#This Row],[promien]]=40000,1,0)</f>
        <v>0</v>
      </c>
      <c r="F584" s="1">
        <v>3.1575342465753424</v>
      </c>
      <c r="G584" s="1">
        <v>1.5941592985549313E-2</v>
      </c>
    </row>
    <row r="585" spans="1:7">
      <c r="A585">
        <v>285</v>
      </c>
      <c r="B585">
        <v>80</v>
      </c>
      <c r="C585" s="1">
        <f>(Tabela1[[#This Row],[x]]-H$3)*(Tabela1[[#This Row],[x]]-H$3) +(Tabela1[[#This Row],[y]]-H$4)*(Tabela1[[#This Row],[y]]-H$4)</f>
        <v>21625</v>
      </c>
      <c r="D585" s="1">
        <f>IF(Tabela1[[#This Row],[promien]]&lt;40000,1,0)</f>
        <v>1</v>
      </c>
      <c r="E585" s="1">
        <f>IF(Tabela1[[#This Row],[promien]]=40000,1,0)</f>
        <v>0</v>
      </c>
      <c r="F585" s="1">
        <v>3.1589743589743589</v>
      </c>
      <c r="G585" s="1">
        <v>1.7381705384565738E-2</v>
      </c>
    </row>
    <row r="586" spans="1:7">
      <c r="A586">
        <v>239</v>
      </c>
      <c r="B586">
        <v>232</v>
      </c>
      <c r="C586" s="1">
        <f>(Tabela1[[#This Row],[x]]-H$3)*(Tabela1[[#This Row],[x]]-H$3) +(Tabela1[[#This Row],[y]]-H$4)*(Tabela1[[#This Row],[y]]-H$4)</f>
        <v>2545</v>
      </c>
      <c r="D586" s="1">
        <f>IF(Tabela1[[#This Row],[promien]]&lt;40000,1,0)</f>
        <v>1</v>
      </c>
      <c r="E586" s="1">
        <f>IF(Tabela1[[#This Row],[promien]]=40000,1,0)</f>
        <v>0</v>
      </c>
      <c r="F586" s="1">
        <v>3.1604095563139931</v>
      </c>
      <c r="G586" s="1">
        <v>1.8816902724200002E-2</v>
      </c>
    </row>
    <row r="587" spans="1:7">
      <c r="A587">
        <v>110</v>
      </c>
      <c r="B587">
        <v>85</v>
      </c>
      <c r="C587" s="1">
        <f>(Tabela1[[#This Row],[x]]-H$3)*(Tabela1[[#This Row],[x]]-H$3) +(Tabela1[[#This Row],[y]]-H$4)*(Tabela1[[#This Row],[y]]-H$4)</f>
        <v>21325</v>
      </c>
      <c r="D587" s="1">
        <f>IF(Tabela1[[#This Row],[promien]]&lt;40000,1,0)</f>
        <v>1</v>
      </c>
      <c r="E587" s="1">
        <f>IF(Tabela1[[#This Row],[promien]]=40000,1,0)</f>
        <v>0</v>
      </c>
      <c r="F587" s="1">
        <v>3.1618398637137988</v>
      </c>
      <c r="G587" s="1">
        <v>2.0247210124005655E-2</v>
      </c>
    </row>
    <row r="588" spans="1:7">
      <c r="A588">
        <v>307</v>
      </c>
      <c r="B588">
        <v>327</v>
      </c>
      <c r="C588" s="1">
        <f>(Tabela1[[#This Row],[x]]-H$3)*(Tabela1[[#This Row],[x]]-H$3) +(Tabela1[[#This Row],[y]]-H$4)*(Tabela1[[#This Row],[y]]-H$4)</f>
        <v>27578</v>
      </c>
      <c r="D588" s="1">
        <f>IF(Tabela1[[#This Row],[promien]]&lt;40000,1,0)</f>
        <v>1</v>
      </c>
      <c r="E588" s="1">
        <f>IF(Tabela1[[#This Row],[promien]]=40000,1,0)</f>
        <v>0</v>
      </c>
      <c r="F588" s="1">
        <v>3.1632653061224492</v>
      </c>
      <c r="G588" s="1">
        <v>2.1672652532656045E-2</v>
      </c>
    </row>
    <row r="589" spans="1:7">
      <c r="A589">
        <v>95</v>
      </c>
      <c r="B589">
        <v>330</v>
      </c>
      <c r="C589" s="1">
        <f>(Tabela1[[#This Row],[x]]-H$3)*(Tabela1[[#This Row],[x]]-H$3) +(Tabela1[[#This Row],[y]]-H$4)*(Tabela1[[#This Row],[y]]-H$4)</f>
        <v>27925</v>
      </c>
      <c r="D589" s="1">
        <f>IF(Tabela1[[#This Row],[promien]]&lt;40000,1,0)</f>
        <v>1</v>
      </c>
      <c r="E589" s="1">
        <f>IF(Tabela1[[#This Row],[promien]]=40000,1,0)</f>
        <v>0</v>
      </c>
      <c r="F589" s="1">
        <v>3.1646859083191852</v>
      </c>
      <c r="G589" s="1">
        <v>2.3093254729392054E-2</v>
      </c>
    </row>
    <row r="590" spans="1:7">
      <c r="A590">
        <v>18</v>
      </c>
      <c r="B590">
        <v>256</v>
      </c>
      <c r="C590" s="1">
        <f>(Tabela1[[#This Row],[x]]-H$3)*(Tabela1[[#This Row],[x]]-H$3) +(Tabela1[[#This Row],[y]]-H$4)*(Tabela1[[#This Row],[y]]-H$4)</f>
        <v>36260</v>
      </c>
      <c r="D590" s="1">
        <f>IF(Tabela1[[#This Row],[promien]]&lt;40000,1,0)</f>
        <v>1</v>
      </c>
      <c r="E590" s="1">
        <f>IF(Tabela1[[#This Row],[promien]]=40000,1,0)</f>
        <v>0</v>
      </c>
      <c r="F590" s="1">
        <v>3.1661016949152541</v>
      </c>
      <c r="G590" s="1">
        <v>2.4509041325460945E-2</v>
      </c>
    </row>
    <row r="591" spans="1:7">
      <c r="A591">
        <v>173</v>
      </c>
      <c r="B591">
        <v>310</v>
      </c>
      <c r="C591" s="1">
        <f>(Tabela1[[#This Row],[x]]-H$3)*(Tabela1[[#This Row],[x]]-H$3) +(Tabela1[[#This Row],[y]]-H$4)*(Tabela1[[#This Row],[y]]-H$4)</f>
        <v>12829</v>
      </c>
      <c r="D591" s="1">
        <f>IF(Tabela1[[#This Row],[promien]]&lt;40000,1,0)</f>
        <v>1</v>
      </c>
      <c r="E591" s="1">
        <f>IF(Tabela1[[#This Row],[promien]]=40000,1,0)</f>
        <v>0</v>
      </c>
      <c r="F591" s="1">
        <v>3.1675126903553301</v>
      </c>
      <c r="G591" s="1">
        <v>2.5920036765537002E-2</v>
      </c>
    </row>
    <row r="592" spans="1:7">
      <c r="A592">
        <v>120</v>
      </c>
      <c r="B592">
        <v>383</v>
      </c>
      <c r="C592" s="1">
        <f>(Tabela1[[#This Row],[x]]-H$3)*(Tabela1[[#This Row],[x]]-H$3) +(Tabela1[[#This Row],[y]]-H$4)*(Tabela1[[#This Row],[y]]-H$4)</f>
        <v>39889</v>
      </c>
      <c r="D592" s="1">
        <f>IF(Tabela1[[#This Row],[promien]]&lt;40000,1,0)</f>
        <v>1</v>
      </c>
      <c r="E592" s="1">
        <f>IF(Tabela1[[#This Row],[promien]]=40000,1,0)</f>
        <v>0</v>
      </c>
      <c r="F592" s="1">
        <v>3.1689189189189189</v>
      </c>
      <c r="G592" s="1">
        <v>2.7326265329125743E-2</v>
      </c>
    </row>
    <row r="593" spans="1:7">
      <c r="A593">
        <v>135</v>
      </c>
      <c r="B593">
        <v>277</v>
      </c>
      <c r="C593" s="1">
        <f>(Tabela1[[#This Row],[x]]-H$3)*(Tabela1[[#This Row],[x]]-H$3) +(Tabela1[[#This Row],[y]]-H$4)*(Tabela1[[#This Row],[y]]-H$4)</f>
        <v>10154</v>
      </c>
      <c r="D593" s="1">
        <f>IF(Tabela1[[#This Row],[promien]]&lt;40000,1,0)</f>
        <v>1</v>
      </c>
      <c r="E593" s="1">
        <f>IF(Tabela1[[#This Row],[promien]]=40000,1,0)</f>
        <v>0</v>
      </c>
      <c r="F593" s="1">
        <v>3.1703204047217537</v>
      </c>
      <c r="G593" s="1">
        <v>2.8727751131960577E-2</v>
      </c>
    </row>
    <row r="594" spans="1:7">
      <c r="A594">
        <v>192</v>
      </c>
      <c r="B594">
        <v>157</v>
      </c>
      <c r="C594" s="1">
        <f>(Tabela1[[#This Row],[x]]-H$3)*(Tabela1[[#This Row],[x]]-H$3) +(Tabela1[[#This Row],[y]]-H$4)*(Tabela1[[#This Row],[y]]-H$4)</f>
        <v>1913</v>
      </c>
      <c r="D594" s="1">
        <f>IF(Tabela1[[#This Row],[promien]]&lt;40000,1,0)</f>
        <v>1</v>
      </c>
      <c r="E594" s="1">
        <f>IF(Tabela1[[#This Row],[promien]]=40000,1,0)</f>
        <v>0</v>
      </c>
      <c r="F594" s="1">
        <v>3.1717171717171717</v>
      </c>
      <c r="G594" s="1">
        <v>3.0124518127378597E-2</v>
      </c>
    </row>
    <row r="595" spans="1:7">
      <c r="A595">
        <v>351</v>
      </c>
      <c r="B595">
        <v>142</v>
      </c>
      <c r="C595" s="1">
        <f>(Tabela1[[#This Row],[x]]-H$3)*(Tabela1[[#This Row],[x]]-H$3) +(Tabela1[[#This Row],[y]]-H$4)*(Tabela1[[#This Row],[y]]-H$4)</f>
        <v>26165</v>
      </c>
      <c r="D595" s="1">
        <f>IF(Tabela1[[#This Row],[promien]]&lt;40000,1,0)</f>
        <v>1</v>
      </c>
      <c r="E595" s="1">
        <f>IF(Tabela1[[#This Row],[promien]]=40000,1,0)</f>
        <v>0</v>
      </c>
      <c r="F595" s="1">
        <v>3.1731092436974788</v>
      </c>
      <c r="G595" s="1">
        <v>3.1516590107685705E-2</v>
      </c>
    </row>
    <row r="596" spans="1:7">
      <c r="A596">
        <v>121</v>
      </c>
      <c r="B596">
        <v>108</v>
      </c>
      <c r="C596" s="1">
        <f>(Tabela1[[#This Row],[x]]-H$3)*(Tabela1[[#This Row],[x]]-H$3) +(Tabela1[[#This Row],[y]]-H$4)*(Tabela1[[#This Row],[y]]-H$4)</f>
        <v>14705</v>
      </c>
      <c r="D596" s="1">
        <f>IF(Tabela1[[#This Row],[promien]]&lt;40000,1,0)</f>
        <v>1</v>
      </c>
      <c r="E596" s="1">
        <f>IF(Tabela1[[#This Row],[promien]]=40000,1,0)</f>
        <v>0</v>
      </c>
      <c r="F596" s="1">
        <v>3.174496644295302</v>
      </c>
      <c r="G596" s="1">
        <v>3.2903990705508868E-2</v>
      </c>
    </row>
    <row r="597" spans="1:7">
      <c r="A597">
        <v>18</v>
      </c>
      <c r="B597">
        <v>244</v>
      </c>
      <c r="C597" s="1">
        <f>(Tabela1[[#This Row],[x]]-H$3)*(Tabela1[[#This Row],[x]]-H$3) +(Tabela1[[#This Row],[y]]-H$4)*(Tabela1[[#This Row],[y]]-H$4)</f>
        <v>35060</v>
      </c>
      <c r="D597" s="1">
        <f>IF(Tabela1[[#This Row],[promien]]&lt;40000,1,0)</f>
        <v>1</v>
      </c>
      <c r="E597" s="1">
        <f>IF(Tabela1[[#This Row],[promien]]=40000,1,0)</f>
        <v>0</v>
      </c>
      <c r="F597" s="1">
        <v>3.1758793969849246</v>
      </c>
      <c r="G597" s="1">
        <v>3.4286743395131491E-2</v>
      </c>
    </row>
    <row r="598" spans="1:7">
      <c r="A598">
        <v>41</v>
      </c>
      <c r="B598">
        <v>107</v>
      </c>
      <c r="C598" s="1">
        <f>(Tabela1[[#This Row],[x]]-H$3)*(Tabela1[[#This Row],[x]]-H$3) +(Tabela1[[#This Row],[y]]-H$4)*(Tabela1[[#This Row],[y]]-H$4)</f>
        <v>33930</v>
      </c>
      <c r="D598" s="1">
        <f>IF(Tabela1[[#This Row],[promien]]&lt;40000,1,0)</f>
        <v>1</v>
      </c>
      <c r="E598" s="1">
        <f>IF(Tabela1[[#This Row],[promien]]=40000,1,0)</f>
        <v>0</v>
      </c>
      <c r="F598" s="1">
        <v>3.1772575250836121</v>
      </c>
      <c r="G598" s="1">
        <v>3.5664871493819028E-2</v>
      </c>
    </row>
    <row r="599" spans="1:7">
      <c r="A599">
        <v>304</v>
      </c>
      <c r="B599">
        <v>314</v>
      </c>
      <c r="C599" s="1">
        <f>(Tabela1[[#This Row],[x]]-H$3)*(Tabela1[[#This Row],[x]]-H$3) +(Tabela1[[#This Row],[y]]-H$4)*(Tabela1[[#This Row],[y]]-H$4)</f>
        <v>23812</v>
      </c>
      <c r="D599" s="1">
        <f>IF(Tabela1[[#This Row],[promien]]&lt;40000,1,0)</f>
        <v>1</v>
      </c>
      <c r="E599" s="1">
        <f>IF(Tabela1[[#This Row],[promien]]=40000,1,0)</f>
        <v>0</v>
      </c>
      <c r="F599" s="1">
        <v>3.1786310517529217</v>
      </c>
      <c r="G599" s="1">
        <v>3.7038398163128594E-2</v>
      </c>
    </row>
    <row r="600" spans="1:7">
      <c r="A600">
        <v>214</v>
      </c>
      <c r="B600">
        <v>256</v>
      </c>
      <c r="C600" s="1">
        <f>(Tabela1[[#This Row],[x]]-H$3)*(Tabela1[[#This Row],[x]]-H$3) +(Tabela1[[#This Row],[y]]-H$4)*(Tabela1[[#This Row],[y]]-H$4)</f>
        <v>3332</v>
      </c>
      <c r="D600" s="1">
        <f>IF(Tabela1[[#This Row],[promien]]&lt;40000,1,0)</f>
        <v>1</v>
      </c>
      <c r="E600" s="1">
        <f>IF(Tabela1[[#This Row],[promien]]=40000,1,0)</f>
        <v>0</v>
      </c>
      <c r="F600" s="1">
        <v>3.18</v>
      </c>
      <c r="G600" s="1">
        <v>3.8407346410207044E-2</v>
      </c>
    </row>
    <row r="601" spans="1:7">
      <c r="A601">
        <v>17</v>
      </c>
      <c r="B601">
        <v>322</v>
      </c>
      <c r="C601" s="1">
        <f>(Tabela1[[#This Row],[x]]-H$3)*(Tabela1[[#This Row],[x]]-H$3) +(Tabela1[[#This Row],[y]]-H$4)*(Tabela1[[#This Row],[y]]-H$4)</f>
        <v>48373</v>
      </c>
      <c r="D601" s="1">
        <f>IF(Tabela1[[#This Row],[promien]]&lt;40000,1,0)</f>
        <v>0</v>
      </c>
      <c r="E601" s="1">
        <f>IF(Tabela1[[#This Row],[promien]]=40000,1,0)</f>
        <v>0</v>
      </c>
      <c r="F601" s="1">
        <v>3.1747088186356072</v>
      </c>
      <c r="G601" s="1">
        <v>3.311616504581405E-2</v>
      </c>
    </row>
    <row r="602" spans="1:7">
      <c r="A602">
        <v>213</v>
      </c>
      <c r="B602">
        <v>276</v>
      </c>
      <c r="C602" s="1">
        <f>(Tabela1[[#This Row],[x]]-H$3)*(Tabela1[[#This Row],[x]]-H$3) +(Tabela1[[#This Row],[y]]-H$4)*(Tabela1[[#This Row],[y]]-H$4)</f>
        <v>5945</v>
      </c>
      <c r="D602" s="1">
        <f>IF(Tabela1[[#This Row],[promien]]&lt;40000,1,0)</f>
        <v>1</v>
      </c>
      <c r="E602" s="1">
        <f>IF(Tabela1[[#This Row],[promien]]=40000,1,0)</f>
        <v>0</v>
      </c>
      <c r="F602" s="1">
        <v>3.176079734219269</v>
      </c>
      <c r="G602" s="1">
        <v>3.4487080629475919E-2</v>
      </c>
    </row>
    <row r="603" spans="1:7">
      <c r="A603">
        <v>40</v>
      </c>
      <c r="B603">
        <v>69</v>
      </c>
      <c r="C603" s="1">
        <f>(Tabela1[[#This Row],[x]]-H$3)*(Tabela1[[#This Row],[x]]-H$3) +(Tabela1[[#This Row],[y]]-H$4)*(Tabela1[[#This Row],[y]]-H$4)</f>
        <v>42761</v>
      </c>
      <c r="D603" s="1">
        <f>IF(Tabela1[[#This Row],[promien]]&lt;40000,1,0)</f>
        <v>0</v>
      </c>
      <c r="E603" s="1">
        <f>IF(Tabela1[[#This Row],[promien]]=40000,1,0)</f>
        <v>0</v>
      </c>
      <c r="F603" s="1">
        <v>3.1708126036484248</v>
      </c>
      <c r="G603" s="1">
        <v>2.921995005863165E-2</v>
      </c>
    </row>
    <row r="604" spans="1:7">
      <c r="A604">
        <v>345</v>
      </c>
      <c r="B604">
        <v>336</v>
      </c>
      <c r="C604" s="1">
        <f>(Tabela1[[#This Row],[x]]-H$3)*(Tabela1[[#This Row],[x]]-H$3) +(Tabela1[[#This Row],[y]]-H$4)*(Tabela1[[#This Row],[y]]-H$4)</f>
        <v>39521</v>
      </c>
      <c r="D604" s="1">
        <f>IF(Tabela1[[#This Row],[promien]]&lt;40000,1,0)</f>
        <v>1</v>
      </c>
      <c r="E604" s="1">
        <f>IF(Tabela1[[#This Row],[promien]]=40000,1,0)</f>
        <v>0</v>
      </c>
      <c r="F604" s="1">
        <v>3.1721854304635762</v>
      </c>
      <c r="G604" s="1">
        <v>3.0592776873783034E-2</v>
      </c>
    </row>
    <row r="605" spans="1:7">
      <c r="A605">
        <v>188</v>
      </c>
      <c r="B605">
        <v>202</v>
      </c>
      <c r="C605" s="1">
        <f>(Tabela1[[#This Row],[x]]-H$3)*(Tabela1[[#This Row],[x]]-H$3) +(Tabela1[[#This Row],[y]]-H$4)*(Tabela1[[#This Row],[y]]-H$4)</f>
        <v>148</v>
      </c>
      <c r="D605" s="1">
        <f>IF(Tabela1[[#This Row],[promien]]&lt;40000,1,0)</f>
        <v>1</v>
      </c>
      <c r="E605" s="1">
        <f>IF(Tabela1[[#This Row],[promien]]=40000,1,0)</f>
        <v>0</v>
      </c>
      <c r="F605" s="1">
        <v>3.1735537190082646</v>
      </c>
      <c r="G605" s="1">
        <v>3.1961065418471435E-2</v>
      </c>
    </row>
    <row r="606" spans="1:7">
      <c r="A606">
        <v>285</v>
      </c>
      <c r="B606">
        <v>49</v>
      </c>
      <c r="C606" s="1">
        <f>(Tabela1[[#This Row],[x]]-H$3)*(Tabela1[[#This Row],[x]]-H$3) +(Tabela1[[#This Row],[y]]-H$4)*(Tabela1[[#This Row],[y]]-H$4)</f>
        <v>30026</v>
      </c>
      <c r="D606" s="1">
        <f>IF(Tabela1[[#This Row],[promien]]&lt;40000,1,0)</f>
        <v>1</v>
      </c>
      <c r="E606" s="1">
        <f>IF(Tabela1[[#This Row],[promien]]=40000,1,0)</f>
        <v>0</v>
      </c>
      <c r="F606" s="1">
        <v>3.1749174917491749</v>
      </c>
      <c r="G606" s="1">
        <v>3.3324838159381809E-2</v>
      </c>
    </row>
    <row r="607" spans="1:7">
      <c r="A607">
        <v>1</v>
      </c>
      <c r="B607">
        <v>198</v>
      </c>
      <c r="C607" s="1">
        <f>(Tabela1[[#This Row],[x]]-H$3)*(Tabela1[[#This Row],[x]]-H$3) +(Tabela1[[#This Row],[y]]-H$4)*(Tabela1[[#This Row],[y]]-H$4)</f>
        <v>39605</v>
      </c>
      <c r="D607" s="1">
        <f>IF(Tabela1[[#This Row],[promien]]&lt;40000,1,0)</f>
        <v>1</v>
      </c>
      <c r="E607" s="1">
        <f>IF(Tabela1[[#This Row],[promien]]=40000,1,0)</f>
        <v>0</v>
      </c>
      <c r="F607" s="1">
        <v>3.1762767710049422</v>
      </c>
      <c r="G607" s="1">
        <v>3.4684117415149096E-2</v>
      </c>
    </row>
    <row r="608" spans="1:7">
      <c r="A608">
        <v>99</v>
      </c>
      <c r="B608">
        <v>194</v>
      </c>
      <c r="C608" s="1">
        <f>(Tabela1[[#This Row],[x]]-H$3)*(Tabela1[[#This Row],[x]]-H$3) +(Tabela1[[#This Row],[y]]-H$4)*(Tabela1[[#This Row],[y]]-H$4)</f>
        <v>10237</v>
      </c>
      <c r="D608" s="1">
        <f>IF(Tabela1[[#This Row],[promien]]&lt;40000,1,0)</f>
        <v>1</v>
      </c>
      <c r="E608" s="1">
        <f>IF(Tabela1[[#This Row],[promien]]=40000,1,0)</f>
        <v>0</v>
      </c>
      <c r="F608" s="1">
        <v>3.1776315789473686</v>
      </c>
      <c r="G608" s="1">
        <v>3.6038925357575469E-2</v>
      </c>
    </row>
    <row r="609" spans="1:7">
      <c r="A609">
        <v>216</v>
      </c>
      <c r="B609">
        <v>67</v>
      </c>
      <c r="C609" s="1">
        <f>(Tabela1[[#This Row],[x]]-H$3)*(Tabela1[[#This Row],[x]]-H$3) +(Tabela1[[#This Row],[y]]-H$4)*(Tabela1[[#This Row],[y]]-H$4)</f>
        <v>17945</v>
      </c>
      <c r="D609" s="1">
        <f>IF(Tabela1[[#This Row],[promien]]&lt;40000,1,0)</f>
        <v>1</v>
      </c>
      <c r="E609" s="1">
        <f>IF(Tabela1[[#This Row],[promien]]=40000,1,0)</f>
        <v>0</v>
      </c>
      <c r="F609" s="1">
        <v>3.1789819376026274</v>
      </c>
      <c r="G609" s="1">
        <v>3.7389284012834256E-2</v>
      </c>
    </row>
    <row r="610" spans="1:7">
      <c r="A610">
        <v>300</v>
      </c>
      <c r="B610">
        <v>232</v>
      </c>
      <c r="C610" s="1">
        <f>(Tabela1[[#This Row],[x]]-H$3)*(Tabela1[[#This Row],[x]]-H$3) +(Tabela1[[#This Row],[y]]-H$4)*(Tabela1[[#This Row],[y]]-H$4)</f>
        <v>11024</v>
      </c>
      <c r="D610" s="1">
        <f>IF(Tabela1[[#This Row],[promien]]&lt;40000,1,0)</f>
        <v>1</v>
      </c>
      <c r="E610" s="1">
        <f>IF(Tabela1[[#This Row],[promien]]=40000,1,0)</f>
        <v>0</v>
      </c>
      <c r="F610" s="1">
        <v>3.180327868852459</v>
      </c>
      <c r="G610" s="1">
        <v>3.8735215262665879E-2</v>
      </c>
    </row>
    <row r="611" spans="1:7">
      <c r="A611">
        <v>61</v>
      </c>
      <c r="B611">
        <v>392</v>
      </c>
      <c r="C611" s="1">
        <f>(Tabela1[[#This Row],[x]]-H$3)*(Tabela1[[#This Row],[x]]-H$3) +(Tabela1[[#This Row],[y]]-H$4)*(Tabela1[[#This Row],[y]]-H$4)</f>
        <v>56185</v>
      </c>
      <c r="D611" s="1">
        <f>IF(Tabela1[[#This Row],[promien]]&lt;40000,1,0)</f>
        <v>0</v>
      </c>
      <c r="E611" s="1">
        <f>IF(Tabela1[[#This Row],[promien]]=40000,1,0)</f>
        <v>0</v>
      </c>
      <c r="F611" s="1">
        <v>3.1751227495908347</v>
      </c>
      <c r="G611" s="1">
        <v>3.353009600104162E-2</v>
      </c>
    </row>
    <row r="612" spans="1:7">
      <c r="A612">
        <v>140</v>
      </c>
      <c r="B612">
        <v>145</v>
      </c>
      <c r="C612" s="1">
        <f>(Tabela1[[#This Row],[x]]-H$3)*(Tabela1[[#This Row],[x]]-H$3) +(Tabela1[[#This Row],[y]]-H$4)*(Tabela1[[#This Row],[y]]-H$4)</f>
        <v>6625</v>
      </c>
      <c r="D612" s="1">
        <f>IF(Tabela1[[#This Row],[promien]]&lt;40000,1,0)</f>
        <v>1</v>
      </c>
      <c r="E612" s="1">
        <f>IF(Tabela1[[#This Row],[promien]]=40000,1,0)</f>
        <v>0</v>
      </c>
      <c r="F612" s="1">
        <v>3.1764705882352939</v>
      </c>
      <c r="G612" s="1">
        <v>3.4877934645500819E-2</v>
      </c>
    </row>
    <row r="613" spans="1:7">
      <c r="A613">
        <v>307</v>
      </c>
      <c r="B613">
        <v>208</v>
      </c>
      <c r="C613" s="1">
        <f>(Tabela1[[#This Row],[x]]-H$3)*(Tabela1[[#This Row],[x]]-H$3) +(Tabela1[[#This Row],[y]]-H$4)*(Tabela1[[#This Row],[y]]-H$4)</f>
        <v>11513</v>
      </c>
      <c r="D613" s="1">
        <f>IF(Tabela1[[#This Row],[promien]]&lt;40000,1,0)</f>
        <v>1</v>
      </c>
      <c r="E613" s="1">
        <f>IF(Tabela1[[#This Row],[promien]]=40000,1,0)</f>
        <v>0</v>
      </c>
      <c r="F613" s="1">
        <v>3.1778140293637849</v>
      </c>
      <c r="G613" s="1">
        <v>3.622137577399176E-2</v>
      </c>
    </row>
    <row r="614" spans="1:7">
      <c r="A614">
        <v>4</v>
      </c>
      <c r="B614">
        <v>235</v>
      </c>
      <c r="C614" s="1">
        <f>(Tabela1[[#This Row],[x]]-H$3)*(Tabela1[[#This Row],[x]]-H$3) +(Tabela1[[#This Row],[y]]-H$4)*(Tabela1[[#This Row],[y]]-H$4)</f>
        <v>39641</v>
      </c>
      <c r="D614" s="1">
        <f>IF(Tabela1[[#This Row],[promien]]&lt;40000,1,0)</f>
        <v>1</v>
      </c>
      <c r="E614" s="1">
        <f>IF(Tabela1[[#This Row],[promien]]=40000,1,0)</f>
        <v>0</v>
      </c>
      <c r="F614" s="1">
        <v>3.1791530944625408</v>
      </c>
      <c r="G614" s="1">
        <v>3.756044087274768E-2</v>
      </c>
    </row>
    <row r="615" spans="1:7">
      <c r="A615">
        <v>144</v>
      </c>
      <c r="B615">
        <v>48</v>
      </c>
      <c r="C615" s="1">
        <f>(Tabela1[[#This Row],[x]]-H$3)*(Tabela1[[#This Row],[x]]-H$3) +(Tabela1[[#This Row],[y]]-H$4)*(Tabela1[[#This Row],[y]]-H$4)</f>
        <v>26240</v>
      </c>
      <c r="D615" s="1">
        <f>IF(Tabela1[[#This Row],[promien]]&lt;40000,1,0)</f>
        <v>1</v>
      </c>
      <c r="E615" s="1">
        <f>IF(Tabela1[[#This Row],[promien]]=40000,1,0)</f>
        <v>0</v>
      </c>
      <c r="F615" s="1">
        <v>3.1804878048780489</v>
      </c>
      <c r="G615" s="1">
        <v>3.8895151288255825E-2</v>
      </c>
    </row>
    <row r="616" spans="1:7">
      <c r="A616">
        <v>128</v>
      </c>
      <c r="B616">
        <v>289</v>
      </c>
      <c r="C616" s="1">
        <f>(Tabela1[[#This Row],[x]]-H$3)*(Tabela1[[#This Row],[x]]-H$3) +(Tabela1[[#This Row],[y]]-H$4)*(Tabela1[[#This Row],[y]]-H$4)</f>
        <v>13105</v>
      </c>
      <c r="D616" s="1">
        <f>IF(Tabela1[[#This Row],[promien]]&lt;40000,1,0)</f>
        <v>1</v>
      </c>
      <c r="E616" s="1">
        <f>IF(Tabela1[[#This Row],[promien]]=40000,1,0)</f>
        <v>0</v>
      </c>
      <c r="F616" s="1">
        <v>3.1818181818181817</v>
      </c>
      <c r="G616" s="1">
        <v>4.0225528228388541E-2</v>
      </c>
    </row>
    <row r="617" spans="1:7">
      <c r="A617">
        <v>391</v>
      </c>
      <c r="B617">
        <v>304</v>
      </c>
      <c r="C617" s="1">
        <f>(Tabela1[[#This Row],[x]]-H$3)*(Tabela1[[#This Row],[x]]-H$3) +(Tabela1[[#This Row],[y]]-H$4)*(Tabela1[[#This Row],[y]]-H$4)</f>
        <v>47297</v>
      </c>
      <c r="D617" s="1">
        <f>IF(Tabela1[[#This Row],[promien]]&lt;40000,1,0)</f>
        <v>0</v>
      </c>
      <c r="E617" s="1">
        <f>IF(Tabela1[[#This Row],[promien]]=40000,1,0)</f>
        <v>0</v>
      </c>
      <c r="F617" s="1">
        <v>3.1766612641815235</v>
      </c>
      <c r="G617" s="1">
        <v>3.5068610591730387E-2</v>
      </c>
    </row>
    <row r="618" spans="1:7">
      <c r="A618">
        <v>228</v>
      </c>
      <c r="B618">
        <v>82</v>
      </c>
      <c r="C618" s="1">
        <f>(Tabela1[[#This Row],[x]]-H$3)*(Tabela1[[#This Row],[x]]-H$3) +(Tabela1[[#This Row],[y]]-H$4)*(Tabela1[[#This Row],[y]]-H$4)</f>
        <v>14708</v>
      </c>
      <c r="D618" s="1">
        <f>IF(Tabela1[[#This Row],[promien]]&lt;40000,1,0)</f>
        <v>1</v>
      </c>
      <c r="E618" s="1">
        <f>IF(Tabela1[[#This Row],[promien]]=40000,1,0)</f>
        <v>0</v>
      </c>
      <c r="F618" s="1">
        <v>3.1779935275080908</v>
      </c>
      <c r="G618" s="1">
        <v>3.6400873918297716E-2</v>
      </c>
    </row>
    <row r="619" spans="1:7">
      <c r="A619">
        <v>110</v>
      </c>
      <c r="B619">
        <v>287</v>
      </c>
      <c r="C619" s="1">
        <f>(Tabela1[[#This Row],[x]]-H$3)*(Tabela1[[#This Row],[x]]-H$3) +(Tabela1[[#This Row],[y]]-H$4)*(Tabela1[[#This Row],[y]]-H$4)</f>
        <v>15669</v>
      </c>
      <c r="D619" s="1">
        <f>IF(Tabela1[[#This Row],[promien]]&lt;40000,1,0)</f>
        <v>1</v>
      </c>
      <c r="E619" s="1">
        <f>IF(Tabela1[[#This Row],[promien]]=40000,1,0)</f>
        <v>0</v>
      </c>
      <c r="F619" s="1">
        <v>3.1793214862681745</v>
      </c>
      <c r="G619" s="1">
        <v>3.7728832678381341E-2</v>
      </c>
    </row>
    <row r="620" spans="1:7">
      <c r="A620">
        <v>79</v>
      </c>
      <c r="B620">
        <v>259</v>
      </c>
      <c r="C620" s="1">
        <f>(Tabela1[[#This Row],[x]]-H$3)*(Tabela1[[#This Row],[x]]-H$3) +(Tabela1[[#This Row],[y]]-H$4)*(Tabela1[[#This Row],[y]]-H$4)</f>
        <v>18122</v>
      </c>
      <c r="D620" s="1">
        <f>IF(Tabela1[[#This Row],[promien]]&lt;40000,1,0)</f>
        <v>1</v>
      </c>
      <c r="E620" s="1">
        <f>IF(Tabela1[[#This Row],[promien]]=40000,1,0)</f>
        <v>0</v>
      </c>
      <c r="F620" s="1">
        <v>3.1806451612903226</v>
      </c>
      <c r="G620" s="1">
        <v>3.9052507700529482E-2</v>
      </c>
    </row>
    <row r="621" spans="1:7">
      <c r="A621">
        <v>91</v>
      </c>
      <c r="B621">
        <v>117</v>
      </c>
      <c r="C621" s="1">
        <f>(Tabela1[[#This Row],[x]]-H$3)*(Tabela1[[#This Row],[x]]-H$3) +(Tabela1[[#This Row],[y]]-H$4)*(Tabela1[[#This Row],[y]]-H$4)</f>
        <v>18770</v>
      </c>
      <c r="D621" s="1">
        <f>IF(Tabela1[[#This Row],[promien]]&lt;40000,1,0)</f>
        <v>1</v>
      </c>
      <c r="E621" s="1">
        <f>IF(Tabela1[[#This Row],[promien]]=40000,1,0)</f>
        <v>0</v>
      </c>
      <c r="F621" s="1">
        <v>3.181964573268921</v>
      </c>
      <c r="G621" s="1">
        <v>4.0371919679127899E-2</v>
      </c>
    </row>
    <row r="622" spans="1:7">
      <c r="A622">
        <v>255</v>
      </c>
      <c r="B622">
        <v>353</v>
      </c>
      <c r="C622" s="1">
        <f>(Tabela1[[#This Row],[x]]-H$3)*(Tabela1[[#This Row],[x]]-H$3) +(Tabela1[[#This Row],[y]]-H$4)*(Tabela1[[#This Row],[y]]-H$4)</f>
        <v>26434</v>
      </c>
      <c r="D622" s="1">
        <f>IF(Tabela1[[#This Row],[promien]]&lt;40000,1,0)</f>
        <v>1</v>
      </c>
      <c r="E622" s="1">
        <f>IF(Tabela1[[#This Row],[promien]]=40000,1,0)</f>
        <v>0</v>
      </c>
      <c r="F622" s="1">
        <v>3.1832797427652735</v>
      </c>
      <c r="G622" s="1">
        <v>4.1687089175480363E-2</v>
      </c>
    </row>
    <row r="623" spans="1:7">
      <c r="A623">
        <v>336</v>
      </c>
      <c r="B623">
        <v>133</v>
      </c>
      <c r="C623" s="1">
        <f>(Tabela1[[#This Row],[x]]-H$3)*(Tabela1[[#This Row],[x]]-H$3) +(Tabela1[[#This Row],[y]]-H$4)*(Tabela1[[#This Row],[y]]-H$4)</f>
        <v>22985</v>
      </c>
      <c r="D623" s="1">
        <f>IF(Tabela1[[#This Row],[promien]]&lt;40000,1,0)</f>
        <v>1</v>
      </c>
      <c r="E623" s="1">
        <f>IF(Tabela1[[#This Row],[promien]]=40000,1,0)</f>
        <v>0</v>
      </c>
      <c r="F623" s="1">
        <v>3.1845906902086676</v>
      </c>
      <c r="G623" s="1">
        <v>4.2998036618874469E-2</v>
      </c>
    </row>
    <row r="624" spans="1:7">
      <c r="A624">
        <v>43</v>
      </c>
      <c r="B624">
        <v>219</v>
      </c>
      <c r="C624" s="1">
        <f>(Tabela1[[#This Row],[x]]-H$3)*(Tabela1[[#This Row],[x]]-H$3) +(Tabela1[[#This Row],[y]]-H$4)*(Tabela1[[#This Row],[y]]-H$4)</f>
        <v>25010</v>
      </c>
      <c r="D624" s="1">
        <f>IF(Tabela1[[#This Row],[promien]]&lt;40000,1,0)</f>
        <v>1</v>
      </c>
      <c r="E624" s="1">
        <f>IF(Tabela1[[#This Row],[promien]]=40000,1,0)</f>
        <v>0</v>
      </c>
      <c r="F624" s="1">
        <v>3.1858974358974357</v>
      </c>
      <c r="G624" s="1">
        <v>4.4304782307642565E-2</v>
      </c>
    </row>
    <row r="625" spans="1:7">
      <c r="A625">
        <v>155</v>
      </c>
      <c r="B625">
        <v>239</v>
      </c>
      <c r="C625" s="1">
        <f>(Tabela1[[#This Row],[x]]-H$3)*(Tabela1[[#This Row],[x]]-H$3) +(Tabela1[[#This Row],[y]]-H$4)*(Tabela1[[#This Row],[y]]-H$4)</f>
        <v>3546</v>
      </c>
      <c r="D625" s="1">
        <f>IF(Tabela1[[#This Row],[promien]]&lt;40000,1,0)</f>
        <v>1</v>
      </c>
      <c r="E625" s="1">
        <f>IF(Tabela1[[#This Row],[promien]]=40000,1,0)</f>
        <v>0</v>
      </c>
      <c r="F625" s="1">
        <v>3.1871999999999998</v>
      </c>
      <c r="G625" s="1">
        <v>4.5607346410206695E-2</v>
      </c>
    </row>
    <row r="626" spans="1:7">
      <c r="A626">
        <v>52</v>
      </c>
      <c r="B626">
        <v>264</v>
      </c>
      <c r="C626" s="1">
        <f>(Tabela1[[#This Row],[x]]-H$3)*(Tabela1[[#This Row],[x]]-H$3) +(Tabela1[[#This Row],[y]]-H$4)*(Tabela1[[#This Row],[y]]-H$4)</f>
        <v>26000</v>
      </c>
      <c r="D626" s="1">
        <f>IF(Tabela1[[#This Row],[promien]]&lt;40000,1,0)</f>
        <v>1</v>
      </c>
      <c r="E626" s="1">
        <f>IF(Tabela1[[#This Row],[promien]]=40000,1,0)</f>
        <v>0</v>
      </c>
      <c r="F626" s="1">
        <v>3.1884984025559104</v>
      </c>
      <c r="G626" s="1">
        <v>4.6905748966117322E-2</v>
      </c>
    </row>
    <row r="627" spans="1:7">
      <c r="A627">
        <v>110</v>
      </c>
      <c r="B627">
        <v>368</v>
      </c>
      <c r="C627" s="1">
        <f>(Tabela1[[#This Row],[x]]-H$3)*(Tabela1[[#This Row],[x]]-H$3) +(Tabela1[[#This Row],[y]]-H$4)*(Tabela1[[#This Row],[y]]-H$4)</f>
        <v>36324</v>
      </c>
      <c r="D627" s="1">
        <f>IF(Tabela1[[#This Row],[promien]]&lt;40000,1,0)</f>
        <v>1</v>
      </c>
      <c r="E627" s="1">
        <f>IF(Tabela1[[#This Row],[promien]]=40000,1,0)</f>
        <v>0</v>
      </c>
      <c r="F627" s="1">
        <v>3.1897926634768741</v>
      </c>
      <c r="G627" s="1">
        <v>4.8200009887080952E-2</v>
      </c>
    </row>
    <row r="628" spans="1:7">
      <c r="A628">
        <v>372</v>
      </c>
      <c r="B628">
        <v>36</v>
      </c>
      <c r="C628" s="1">
        <f>(Tabela1[[#This Row],[x]]-H$3)*(Tabela1[[#This Row],[x]]-H$3) +(Tabela1[[#This Row],[y]]-H$4)*(Tabela1[[#This Row],[y]]-H$4)</f>
        <v>56480</v>
      </c>
      <c r="D628" s="1">
        <f>IF(Tabela1[[#This Row],[promien]]&lt;40000,1,0)</f>
        <v>0</v>
      </c>
      <c r="E628" s="1">
        <f>IF(Tabela1[[#This Row],[promien]]=40000,1,0)</f>
        <v>0</v>
      </c>
      <c r="F628" s="1">
        <v>3.1847133757961785</v>
      </c>
      <c r="G628" s="1">
        <v>4.3120722206385409E-2</v>
      </c>
    </row>
    <row r="629" spans="1:7">
      <c r="A629">
        <v>185</v>
      </c>
      <c r="B629">
        <v>148</v>
      </c>
      <c r="C629" s="1">
        <f>(Tabela1[[#This Row],[x]]-H$3)*(Tabela1[[#This Row],[x]]-H$3) +(Tabela1[[#This Row],[y]]-H$4)*(Tabela1[[#This Row],[y]]-H$4)</f>
        <v>2929</v>
      </c>
      <c r="D629" s="1">
        <f>IF(Tabela1[[#This Row],[promien]]&lt;40000,1,0)</f>
        <v>1</v>
      </c>
      <c r="E629" s="1">
        <f>IF(Tabela1[[#This Row],[promien]]=40000,1,0)</f>
        <v>0</v>
      </c>
      <c r="F629" s="1">
        <v>3.1860095389507155</v>
      </c>
      <c r="G629" s="1">
        <v>4.4416885360922365E-2</v>
      </c>
    </row>
    <row r="630" spans="1:7">
      <c r="A630">
        <v>76</v>
      </c>
      <c r="B630">
        <v>1</v>
      </c>
      <c r="C630" s="1">
        <f>(Tabela1[[#This Row],[x]]-H$3)*(Tabela1[[#This Row],[x]]-H$3) +(Tabela1[[#This Row],[y]]-H$4)*(Tabela1[[#This Row],[y]]-H$4)</f>
        <v>54977</v>
      </c>
      <c r="D630" s="1">
        <f>IF(Tabela1[[#This Row],[promien]]&lt;40000,1,0)</f>
        <v>0</v>
      </c>
      <c r="E630" s="1">
        <f>IF(Tabela1[[#This Row],[promien]]=40000,1,0)</f>
        <v>0</v>
      </c>
      <c r="F630" s="1">
        <v>3.1809523809523808</v>
      </c>
      <c r="G630" s="1">
        <v>3.9359727362587638E-2</v>
      </c>
    </row>
    <row r="631" spans="1:7">
      <c r="A631">
        <v>193</v>
      </c>
      <c r="B631">
        <v>124</v>
      </c>
      <c r="C631" s="1">
        <f>(Tabela1[[#This Row],[x]]-H$3)*(Tabela1[[#This Row],[x]]-H$3) +(Tabela1[[#This Row],[y]]-H$4)*(Tabela1[[#This Row],[y]]-H$4)</f>
        <v>5825</v>
      </c>
      <c r="D631" s="1">
        <f>IF(Tabela1[[#This Row],[promien]]&lt;40000,1,0)</f>
        <v>1</v>
      </c>
      <c r="E631" s="1">
        <f>IF(Tabela1[[#This Row],[promien]]=40000,1,0)</f>
        <v>0</v>
      </c>
      <c r="F631" s="1">
        <v>3.1822503961965136</v>
      </c>
      <c r="G631" s="1">
        <v>4.0657742606720504E-2</v>
      </c>
    </row>
    <row r="632" spans="1:7">
      <c r="A632">
        <v>294</v>
      </c>
      <c r="B632">
        <v>99</v>
      </c>
      <c r="C632" s="1">
        <f>(Tabela1[[#This Row],[x]]-H$3)*(Tabela1[[#This Row],[x]]-H$3) +(Tabela1[[#This Row],[y]]-H$4)*(Tabela1[[#This Row],[y]]-H$4)</f>
        <v>19037</v>
      </c>
      <c r="D632" s="1">
        <f>IF(Tabela1[[#This Row],[promien]]&lt;40000,1,0)</f>
        <v>1</v>
      </c>
      <c r="E632" s="1">
        <f>IF(Tabela1[[#This Row],[promien]]=40000,1,0)</f>
        <v>0</v>
      </c>
      <c r="F632" s="1">
        <v>3.1835443037974684</v>
      </c>
      <c r="G632" s="1">
        <v>4.1951650207675328E-2</v>
      </c>
    </row>
    <row r="633" spans="1:7">
      <c r="A633">
        <v>177</v>
      </c>
      <c r="B633">
        <v>391</v>
      </c>
      <c r="C633" s="1">
        <f>(Tabela1[[#This Row],[x]]-H$3)*(Tabela1[[#This Row],[x]]-H$3) +(Tabela1[[#This Row],[y]]-H$4)*(Tabela1[[#This Row],[y]]-H$4)</f>
        <v>37010</v>
      </c>
      <c r="D633" s="1">
        <f>IF(Tabela1[[#This Row],[promien]]&lt;40000,1,0)</f>
        <v>1</v>
      </c>
      <c r="E633" s="1">
        <f>IF(Tabela1[[#This Row],[promien]]=40000,1,0)</f>
        <v>0</v>
      </c>
      <c r="F633" s="1">
        <v>3.1848341232227488</v>
      </c>
      <c r="G633" s="1">
        <v>4.324146963295572E-2</v>
      </c>
    </row>
    <row r="634" spans="1:7">
      <c r="A634">
        <v>288</v>
      </c>
      <c r="B634">
        <v>40</v>
      </c>
      <c r="C634" s="1">
        <f>(Tabela1[[#This Row],[x]]-H$3)*(Tabela1[[#This Row],[x]]-H$3) +(Tabela1[[#This Row],[y]]-H$4)*(Tabela1[[#This Row],[y]]-H$4)</f>
        <v>33344</v>
      </c>
      <c r="D634" s="1">
        <f>IF(Tabela1[[#This Row],[promien]]&lt;40000,1,0)</f>
        <v>1</v>
      </c>
      <c r="E634" s="1">
        <f>IF(Tabela1[[#This Row],[promien]]=40000,1,0)</f>
        <v>0</v>
      </c>
      <c r="F634" s="1">
        <v>3.1861198738170349</v>
      </c>
      <c r="G634" s="1">
        <v>4.4527220227241759E-2</v>
      </c>
    </row>
    <row r="635" spans="1:7">
      <c r="A635">
        <v>196</v>
      </c>
      <c r="B635">
        <v>348</v>
      </c>
      <c r="C635" s="1">
        <f>(Tabela1[[#This Row],[x]]-H$3)*(Tabela1[[#This Row],[x]]-H$3) +(Tabela1[[#This Row],[y]]-H$4)*(Tabela1[[#This Row],[y]]-H$4)</f>
        <v>21920</v>
      </c>
      <c r="D635" s="1">
        <f>IF(Tabela1[[#This Row],[promien]]&lt;40000,1,0)</f>
        <v>1</v>
      </c>
      <c r="E635" s="1">
        <f>IF(Tabela1[[#This Row],[promien]]=40000,1,0)</f>
        <v>0</v>
      </c>
      <c r="F635" s="1">
        <v>3.1874015748031495</v>
      </c>
      <c r="G635" s="1">
        <v>4.5808921213356335E-2</v>
      </c>
    </row>
    <row r="636" spans="1:7">
      <c r="A636">
        <v>30</v>
      </c>
      <c r="B636">
        <v>316</v>
      </c>
      <c r="C636" s="1">
        <f>(Tabela1[[#This Row],[x]]-H$3)*(Tabela1[[#This Row],[x]]-H$3) +(Tabela1[[#This Row],[y]]-H$4)*(Tabela1[[#This Row],[y]]-H$4)</f>
        <v>42356</v>
      </c>
      <c r="D636" s="1">
        <f>IF(Tabela1[[#This Row],[promien]]&lt;40000,1,0)</f>
        <v>0</v>
      </c>
      <c r="E636" s="1">
        <f>IF(Tabela1[[#This Row],[promien]]=40000,1,0)</f>
        <v>0</v>
      </c>
      <c r="F636" s="1">
        <v>3.1823899371069184</v>
      </c>
      <c r="G636" s="1">
        <v>4.0797283517125305E-2</v>
      </c>
    </row>
    <row r="637" spans="1:7">
      <c r="A637">
        <v>133</v>
      </c>
      <c r="B637">
        <v>190</v>
      </c>
      <c r="C637" s="1">
        <f>(Tabela1[[#This Row],[x]]-H$3)*(Tabela1[[#This Row],[x]]-H$3) +(Tabela1[[#This Row],[y]]-H$4)*(Tabela1[[#This Row],[y]]-H$4)</f>
        <v>4589</v>
      </c>
      <c r="D637" s="1">
        <f>IF(Tabela1[[#This Row],[promien]]&lt;40000,1,0)</f>
        <v>1</v>
      </c>
      <c r="E637" s="1">
        <f>IF(Tabela1[[#This Row],[promien]]=40000,1,0)</f>
        <v>0</v>
      </c>
      <c r="F637" s="1">
        <v>3.1836734693877551</v>
      </c>
      <c r="G637" s="1">
        <v>4.2080815797961968E-2</v>
      </c>
    </row>
    <row r="638" spans="1:7">
      <c r="A638">
        <v>382</v>
      </c>
      <c r="B638">
        <v>200</v>
      </c>
      <c r="C638" s="1">
        <f>(Tabela1[[#This Row],[x]]-H$3)*(Tabela1[[#This Row],[x]]-H$3) +(Tabela1[[#This Row],[y]]-H$4)*(Tabela1[[#This Row],[y]]-H$4)</f>
        <v>33124</v>
      </c>
      <c r="D638" s="1">
        <f>IF(Tabela1[[#This Row],[promien]]&lt;40000,1,0)</f>
        <v>1</v>
      </c>
      <c r="E638" s="1">
        <f>IF(Tabela1[[#This Row],[promien]]=40000,1,0)</f>
        <v>0</v>
      </c>
      <c r="F638" s="1">
        <v>3.1849529780564265</v>
      </c>
      <c r="G638" s="1">
        <v>4.3360324466633404E-2</v>
      </c>
    </row>
    <row r="639" spans="1:7">
      <c r="A639">
        <v>269</v>
      </c>
      <c r="B639">
        <v>264</v>
      </c>
      <c r="C639" s="1">
        <f>(Tabela1[[#This Row],[x]]-H$3)*(Tabela1[[#This Row],[x]]-H$3) +(Tabela1[[#This Row],[y]]-H$4)*(Tabela1[[#This Row],[y]]-H$4)</f>
        <v>8857</v>
      </c>
      <c r="D639" s="1">
        <f>IF(Tabela1[[#This Row],[promien]]&lt;40000,1,0)</f>
        <v>1</v>
      </c>
      <c r="E639" s="1">
        <f>IF(Tabela1[[#This Row],[promien]]=40000,1,0)</f>
        <v>0</v>
      </c>
      <c r="F639" s="1">
        <v>3.1862284820031297</v>
      </c>
      <c r="G639" s="1">
        <v>4.4635828413336576E-2</v>
      </c>
    </row>
    <row r="640" spans="1:7">
      <c r="A640">
        <v>198</v>
      </c>
      <c r="B640">
        <v>115</v>
      </c>
      <c r="C640" s="1">
        <f>(Tabela1[[#This Row],[x]]-H$3)*(Tabela1[[#This Row],[x]]-H$3) +(Tabela1[[#This Row],[y]]-H$4)*(Tabela1[[#This Row],[y]]-H$4)</f>
        <v>7229</v>
      </c>
      <c r="D640" s="1">
        <f>IF(Tabela1[[#This Row],[promien]]&lt;40000,1,0)</f>
        <v>1</v>
      </c>
      <c r="E640" s="1">
        <f>IF(Tabela1[[#This Row],[promien]]=40000,1,0)</f>
        <v>0</v>
      </c>
      <c r="F640" s="1">
        <v>3.1875</v>
      </c>
      <c r="G640" s="1">
        <v>4.5907346410206884E-2</v>
      </c>
    </row>
    <row r="641" spans="1:7">
      <c r="A641">
        <v>203</v>
      </c>
      <c r="B641">
        <v>127</v>
      </c>
      <c r="C641" s="1">
        <f>(Tabela1[[#This Row],[x]]-H$3)*(Tabela1[[#This Row],[x]]-H$3) +(Tabela1[[#This Row],[y]]-H$4)*(Tabela1[[#This Row],[y]]-H$4)</f>
        <v>5338</v>
      </c>
      <c r="D641" s="1">
        <f>IF(Tabela1[[#This Row],[promien]]&lt;40000,1,0)</f>
        <v>1</v>
      </c>
      <c r="E641" s="1">
        <f>IF(Tabela1[[#This Row],[promien]]=40000,1,0)</f>
        <v>0</v>
      </c>
      <c r="F641" s="1">
        <v>3.1887675507020279</v>
      </c>
      <c r="G641" s="1">
        <v>4.717489711223477E-2</v>
      </c>
    </row>
    <row r="642" spans="1:7">
      <c r="A642">
        <v>215</v>
      </c>
      <c r="B642">
        <v>157</v>
      </c>
      <c r="C642" s="1">
        <f>(Tabela1[[#This Row],[x]]-H$3)*(Tabela1[[#This Row],[x]]-H$3) +(Tabela1[[#This Row],[y]]-H$4)*(Tabela1[[#This Row],[y]]-H$4)</f>
        <v>2074</v>
      </c>
      <c r="D642" s="1">
        <f>IF(Tabela1[[#This Row],[promien]]&lt;40000,1,0)</f>
        <v>1</v>
      </c>
      <c r="E642" s="1">
        <f>IF(Tabela1[[#This Row],[promien]]=40000,1,0)</f>
        <v>0</v>
      </c>
      <c r="F642" s="1">
        <v>3.190031152647975</v>
      </c>
      <c r="G642" s="1">
        <v>4.8438499058181872E-2</v>
      </c>
    </row>
    <row r="643" spans="1:7">
      <c r="A643">
        <v>143</v>
      </c>
      <c r="B643">
        <v>88</v>
      </c>
      <c r="C643" s="1">
        <f>(Tabela1[[#This Row],[x]]-H$3)*(Tabela1[[#This Row],[x]]-H$3) +(Tabela1[[#This Row],[y]]-H$4)*(Tabela1[[#This Row],[y]]-H$4)</f>
        <v>15793</v>
      </c>
      <c r="D643" s="1">
        <f>IF(Tabela1[[#This Row],[promien]]&lt;40000,1,0)</f>
        <v>1</v>
      </c>
      <c r="E643" s="1">
        <f>IF(Tabela1[[#This Row],[promien]]=40000,1,0)</f>
        <v>0</v>
      </c>
      <c r="F643" s="1">
        <v>3.1912908242612752</v>
      </c>
      <c r="G643" s="1">
        <v>4.9698170671482078E-2</v>
      </c>
    </row>
    <row r="644" spans="1:7">
      <c r="A644">
        <v>169</v>
      </c>
      <c r="B644">
        <v>212</v>
      </c>
      <c r="C644" s="1">
        <f>(Tabela1[[#This Row],[x]]-H$3)*(Tabela1[[#This Row],[x]]-H$3) +(Tabela1[[#This Row],[y]]-H$4)*(Tabela1[[#This Row],[y]]-H$4)</f>
        <v>1105</v>
      </c>
      <c r="D644" s="1">
        <f>IF(Tabela1[[#This Row],[promien]]&lt;40000,1,0)</f>
        <v>1</v>
      </c>
      <c r="E644" s="1">
        <f>IF(Tabela1[[#This Row],[promien]]=40000,1,0)</f>
        <v>0</v>
      </c>
      <c r="F644" s="1">
        <v>3.1925465838509317</v>
      </c>
      <c r="G644" s="1">
        <v>5.0953930261138591E-2</v>
      </c>
    </row>
    <row r="645" spans="1:7">
      <c r="A645">
        <v>12</v>
      </c>
      <c r="B645">
        <v>251</v>
      </c>
      <c r="C645" s="1">
        <f>(Tabela1[[#This Row],[x]]-H$3)*(Tabela1[[#This Row],[x]]-H$3) +(Tabela1[[#This Row],[y]]-H$4)*(Tabela1[[#This Row],[y]]-H$4)</f>
        <v>37945</v>
      </c>
      <c r="D645" s="1">
        <f>IF(Tabela1[[#This Row],[promien]]&lt;40000,1,0)</f>
        <v>1</v>
      </c>
      <c r="E645" s="1">
        <f>IF(Tabela1[[#This Row],[promien]]=40000,1,0)</f>
        <v>0</v>
      </c>
      <c r="F645" s="1">
        <v>3.193798449612403</v>
      </c>
      <c r="G645" s="1">
        <v>5.2205796022609885E-2</v>
      </c>
    </row>
    <row r="646" spans="1:7">
      <c r="A646">
        <v>177</v>
      </c>
      <c r="B646">
        <v>112</v>
      </c>
      <c r="C646" s="1">
        <f>(Tabela1[[#This Row],[x]]-H$3)*(Tabela1[[#This Row],[x]]-H$3) +(Tabela1[[#This Row],[y]]-H$4)*(Tabela1[[#This Row],[y]]-H$4)</f>
        <v>8273</v>
      </c>
      <c r="D646" s="1">
        <f>IF(Tabela1[[#This Row],[promien]]&lt;40000,1,0)</f>
        <v>1</v>
      </c>
      <c r="E646" s="1">
        <f>IF(Tabela1[[#This Row],[promien]]=40000,1,0)</f>
        <v>0</v>
      </c>
      <c r="F646" s="1">
        <v>3.195046439628483</v>
      </c>
      <c r="G646" s="1">
        <v>5.3453786038689888E-2</v>
      </c>
    </row>
    <row r="647" spans="1:7">
      <c r="A647">
        <v>352</v>
      </c>
      <c r="B647">
        <v>292</v>
      </c>
      <c r="C647" s="1">
        <f>(Tabela1[[#This Row],[x]]-H$3)*(Tabela1[[#This Row],[x]]-H$3) +(Tabela1[[#This Row],[y]]-H$4)*(Tabela1[[#This Row],[y]]-H$4)</f>
        <v>31568</v>
      </c>
      <c r="D647" s="1">
        <f>IF(Tabela1[[#This Row],[promien]]&lt;40000,1,0)</f>
        <v>1</v>
      </c>
      <c r="E647" s="1">
        <f>IF(Tabela1[[#This Row],[promien]]=40000,1,0)</f>
        <v>0</v>
      </c>
      <c r="F647" s="1">
        <v>3.1962905718701702</v>
      </c>
      <c r="G647" s="1">
        <v>5.4697918280377067E-2</v>
      </c>
    </row>
    <row r="648" spans="1:7">
      <c r="A648">
        <v>82</v>
      </c>
      <c r="B648">
        <v>211</v>
      </c>
      <c r="C648" s="1">
        <f>(Tabela1[[#This Row],[x]]-H$3)*(Tabela1[[#This Row],[x]]-H$3) +(Tabela1[[#This Row],[y]]-H$4)*(Tabela1[[#This Row],[y]]-H$4)</f>
        <v>14045</v>
      </c>
      <c r="D648" s="1">
        <f>IF(Tabela1[[#This Row],[promien]]&lt;40000,1,0)</f>
        <v>1</v>
      </c>
      <c r="E648" s="1">
        <f>IF(Tabela1[[#This Row],[promien]]=40000,1,0)</f>
        <v>0</v>
      </c>
      <c r="F648" s="1">
        <v>3.1975308641975309</v>
      </c>
      <c r="G648" s="1">
        <v>5.5938210607737737E-2</v>
      </c>
    </row>
    <row r="649" spans="1:7">
      <c r="A649">
        <v>239</v>
      </c>
      <c r="B649">
        <v>287</v>
      </c>
      <c r="C649" s="1">
        <f>(Tabela1[[#This Row],[x]]-H$3)*(Tabela1[[#This Row],[x]]-H$3) +(Tabela1[[#This Row],[y]]-H$4)*(Tabela1[[#This Row],[y]]-H$4)</f>
        <v>9090</v>
      </c>
      <c r="D649" s="1">
        <f>IF(Tabela1[[#This Row],[promien]]&lt;40000,1,0)</f>
        <v>1</v>
      </c>
      <c r="E649" s="1">
        <f>IF(Tabela1[[#This Row],[promien]]=40000,1,0)</f>
        <v>0</v>
      </c>
      <c r="F649" s="1">
        <v>3.1987673343605545</v>
      </c>
      <c r="G649" s="1">
        <v>5.7174680770761377E-2</v>
      </c>
    </row>
    <row r="650" spans="1:7">
      <c r="A650">
        <v>323</v>
      </c>
      <c r="B650">
        <v>35</v>
      </c>
      <c r="C650" s="1">
        <f>(Tabela1[[#This Row],[x]]-H$3)*(Tabela1[[#This Row],[x]]-H$3) +(Tabela1[[#This Row],[y]]-H$4)*(Tabela1[[#This Row],[y]]-H$4)</f>
        <v>42354</v>
      </c>
      <c r="D650" s="1">
        <f>IF(Tabela1[[#This Row],[promien]]&lt;40000,1,0)</f>
        <v>0</v>
      </c>
      <c r="E650" s="1">
        <f>IF(Tabela1[[#This Row],[promien]]=40000,1,0)</f>
        <v>0</v>
      </c>
      <c r="F650" s="1">
        <v>3.1938461538461538</v>
      </c>
      <c r="G650" s="1">
        <v>5.2253500256360663E-2</v>
      </c>
    </row>
    <row r="651" spans="1:7">
      <c r="A651">
        <v>213</v>
      </c>
      <c r="B651">
        <v>387</v>
      </c>
      <c r="C651" s="1">
        <f>(Tabela1[[#This Row],[x]]-H$3)*(Tabela1[[#This Row],[x]]-H$3) +(Tabela1[[#This Row],[y]]-H$4)*(Tabela1[[#This Row],[y]]-H$4)</f>
        <v>35138</v>
      </c>
      <c r="D651" s="1">
        <f>IF(Tabela1[[#This Row],[promien]]&lt;40000,1,0)</f>
        <v>1</v>
      </c>
      <c r="E651" s="1">
        <f>IF(Tabela1[[#This Row],[promien]]=40000,1,0)</f>
        <v>0</v>
      </c>
      <c r="F651" s="1">
        <v>3.1950844854070661</v>
      </c>
      <c r="G651" s="1">
        <v>5.3491831817273017E-2</v>
      </c>
    </row>
    <row r="652" spans="1:7">
      <c r="A652">
        <v>349</v>
      </c>
      <c r="B652">
        <v>320</v>
      </c>
      <c r="C652" s="1">
        <f>(Tabela1[[#This Row],[x]]-H$3)*(Tabela1[[#This Row],[x]]-H$3) +(Tabela1[[#This Row],[y]]-H$4)*(Tabela1[[#This Row],[y]]-H$4)</f>
        <v>36601</v>
      </c>
      <c r="D652" s="1">
        <f>IF(Tabela1[[#This Row],[promien]]&lt;40000,1,0)</f>
        <v>1</v>
      </c>
      <c r="E652" s="1">
        <f>IF(Tabela1[[#This Row],[promien]]=40000,1,0)</f>
        <v>0</v>
      </c>
      <c r="F652" s="1">
        <v>3.1963190184049082</v>
      </c>
      <c r="G652" s="1">
        <v>5.4726364815115058E-2</v>
      </c>
    </row>
    <row r="653" spans="1:7">
      <c r="A653">
        <v>38</v>
      </c>
      <c r="B653">
        <v>358</v>
      </c>
      <c r="C653" s="1">
        <f>(Tabela1[[#This Row],[x]]-H$3)*(Tabela1[[#This Row],[x]]-H$3) +(Tabela1[[#This Row],[y]]-H$4)*(Tabela1[[#This Row],[y]]-H$4)</f>
        <v>51208</v>
      </c>
      <c r="D653" s="1">
        <f>IF(Tabela1[[#This Row],[promien]]&lt;40000,1,0)</f>
        <v>0</v>
      </c>
      <c r="E653" s="1">
        <f>IF(Tabela1[[#This Row],[promien]]=40000,1,0)</f>
        <v>0</v>
      </c>
      <c r="F653" s="1">
        <v>3.1914241960183767</v>
      </c>
      <c r="G653" s="1">
        <v>4.9831542428583564E-2</v>
      </c>
    </row>
    <row r="654" spans="1:7">
      <c r="A654">
        <v>384</v>
      </c>
      <c r="B654">
        <v>256</v>
      </c>
      <c r="C654" s="1">
        <f>(Tabela1[[#This Row],[x]]-H$3)*(Tabela1[[#This Row],[x]]-H$3) +(Tabela1[[#This Row],[y]]-H$4)*(Tabela1[[#This Row],[y]]-H$4)</f>
        <v>36992</v>
      </c>
      <c r="D654" s="1">
        <f>IF(Tabela1[[#This Row],[promien]]&lt;40000,1,0)</f>
        <v>1</v>
      </c>
      <c r="E654" s="1">
        <f>IF(Tabela1[[#This Row],[promien]]=40000,1,0)</f>
        <v>0</v>
      </c>
      <c r="F654" s="1">
        <v>3.1926605504587156</v>
      </c>
      <c r="G654" s="1">
        <v>5.1067896868922436E-2</v>
      </c>
    </row>
    <row r="655" spans="1:7">
      <c r="A655">
        <v>30</v>
      </c>
      <c r="B655">
        <v>310</v>
      </c>
      <c r="C655" s="1">
        <f>(Tabela1[[#This Row],[x]]-H$3)*(Tabela1[[#This Row],[x]]-H$3) +(Tabela1[[#This Row],[y]]-H$4)*(Tabela1[[#This Row],[y]]-H$4)</f>
        <v>41000</v>
      </c>
      <c r="D655" s="1">
        <f>IF(Tabela1[[#This Row],[promien]]&lt;40000,1,0)</f>
        <v>0</v>
      </c>
      <c r="E655" s="1">
        <f>IF(Tabela1[[#This Row],[promien]]=40000,1,0)</f>
        <v>0</v>
      </c>
      <c r="F655" s="1">
        <v>3.1877862595419848</v>
      </c>
      <c r="G655" s="1">
        <v>4.6193605952191685E-2</v>
      </c>
    </row>
    <row r="656" spans="1:7">
      <c r="A656">
        <v>260</v>
      </c>
      <c r="B656">
        <v>305</v>
      </c>
      <c r="C656" s="1">
        <f>(Tabela1[[#This Row],[x]]-H$3)*(Tabela1[[#This Row],[x]]-H$3) +(Tabela1[[#This Row],[y]]-H$4)*(Tabela1[[#This Row],[y]]-H$4)</f>
        <v>14625</v>
      </c>
      <c r="D656" s="1">
        <f>IF(Tabela1[[#This Row],[promien]]&lt;40000,1,0)</f>
        <v>1</v>
      </c>
      <c r="E656" s="1">
        <f>IF(Tabela1[[#This Row],[promien]]=40000,1,0)</f>
        <v>0</v>
      </c>
      <c r="F656" s="1">
        <v>3.1890243902439024</v>
      </c>
      <c r="G656" s="1">
        <v>4.7431736654109269E-2</v>
      </c>
    </row>
    <row r="657" spans="1:7">
      <c r="A657">
        <v>9</v>
      </c>
      <c r="B657">
        <v>51</v>
      </c>
      <c r="C657" s="1">
        <f>(Tabela1[[#This Row],[x]]-H$3)*(Tabela1[[#This Row],[x]]-H$3) +(Tabela1[[#This Row],[y]]-H$4)*(Tabela1[[#This Row],[y]]-H$4)</f>
        <v>58682</v>
      </c>
      <c r="D657" s="1">
        <f>IF(Tabela1[[#This Row],[promien]]&lt;40000,1,0)</f>
        <v>0</v>
      </c>
      <c r="E657" s="1">
        <f>IF(Tabela1[[#This Row],[promien]]=40000,1,0)</f>
        <v>0</v>
      </c>
      <c r="F657" s="1">
        <v>3.1841704718417048</v>
      </c>
      <c r="G657" s="1">
        <v>4.2577818251911648E-2</v>
      </c>
    </row>
    <row r="658" spans="1:7">
      <c r="A658">
        <v>168</v>
      </c>
      <c r="B658">
        <v>384</v>
      </c>
      <c r="C658" s="1">
        <f>(Tabela1[[#This Row],[x]]-H$3)*(Tabela1[[#This Row],[x]]-H$3) +(Tabela1[[#This Row],[y]]-H$4)*(Tabela1[[#This Row],[y]]-H$4)</f>
        <v>34880</v>
      </c>
      <c r="D658" s="1">
        <f>IF(Tabela1[[#This Row],[promien]]&lt;40000,1,0)</f>
        <v>1</v>
      </c>
      <c r="E658" s="1">
        <f>IF(Tabela1[[#This Row],[promien]]=40000,1,0)</f>
        <v>0</v>
      </c>
      <c r="F658" s="1">
        <v>3.1854103343465048</v>
      </c>
      <c r="G658" s="1">
        <v>4.3817680756711663E-2</v>
      </c>
    </row>
    <row r="659" spans="1:7">
      <c r="A659">
        <v>164</v>
      </c>
      <c r="B659">
        <v>302</v>
      </c>
      <c r="C659" s="1">
        <f>(Tabela1[[#This Row],[x]]-H$3)*(Tabela1[[#This Row],[x]]-H$3) +(Tabela1[[#This Row],[y]]-H$4)*(Tabela1[[#This Row],[y]]-H$4)</f>
        <v>11700</v>
      </c>
      <c r="D659" s="1">
        <f>IF(Tabela1[[#This Row],[promien]]&lt;40000,1,0)</f>
        <v>1</v>
      </c>
      <c r="E659" s="1">
        <f>IF(Tabela1[[#This Row],[promien]]=40000,1,0)</f>
        <v>0</v>
      </c>
      <c r="F659" s="1">
        <v>3.1866464339908953</v>
      </c>
      <c r="G659" s="1">
        <v>4.5053780401102195E-2</v>
      </c>
    </row>
    <row r="660" spans="1:7">
      <c r="A660">
        <v>37</v>
      </c>
      <c r="B660">
        <v>255</v>
      </c>
      <c r="C660" s="1">
        <f>(Tabela1[[#This Row],[x]]-H$3)*(Tabela1[[#This Row],[x]]-H$3) +(Tabela1[[#This Row],[y]]-H$4)*(Tabela1[[#This Row],[y]]-H$4)</f>
        <v>29594</v>
      </c>
      <c r="D660" s="1">
        <f>IF(Tabela1[[#This Row],[promien]]&lt;40000,1,0)</f>
        <v>1</v>
      </c>
      <c r="E660" s="1">
        <f>IF(Tabela1[[#This Row],[promien]]=40000,1,0)</f>
        <v>0</v>
      </c>
      <c r="F660" s="1">
        <v>3.187878787878788</v>
      </c>
      <c r="G660" s="1">
        <v>4.6286134288994862E-2</v>
      </c>
    </row>
    <row r="661" spans="1:7">
      <c r="A661">
        <v>247</v>
      </c>
      <c r="B661">
        <v>123</v>
      </c>
      <c r="C661" s="1">
        <f>(Tabela1[[#This Row],[x]]-H$3)*(Tabela1[[#This Row],[x]]-H$3) +(Tabela1[[#This Row],[y]]-H$4)*(Tabela1[[#This Row],[y]]-H$4)</f>
        <v>8138</v>
      </c>
      <c r="D661" s="1">
        <f>IF(Tabela1[[#This Row],[promien]]&lt;40000,1,0)</f>
        <v>1</v>
      </c>
      <c r="E661" s="1">
        <f>IF(Tabela1[[#This Row],[promien]]=40000,1,0)</f>
        <v>0</v>
      </c>
      <c r="F661" s="1">
        <v>3.1891074130105901</v>
      </c>
      <c r="G661" s="1">
        <v>4.751475942079697E-2</v>
      </c>
    </row>
    <row r="662" spans="1:7">
      <c r="A662">
        <v>243</v>
      </c>
      <c r="B662">
        <v>341</v>
      </c>
      <c r="C662" s="1">
        <f>(Tabela1[[#This Row],[x]]-H$3)*(Tabela1[[#This Row],[x]]-H$3) +(Tabela1[[#This Row],[y]]-H$4)*(Tabela1[[#This Row],[y]]-H$4)</f>
        <v>21730</v>
      </c>
      <c r="D662" s="1">
        <f>IF(Tabela1[[#This Row],[promien]]&lt;40000,1,0)</f>
        <v>1</v>
      </c>
      <c r="E662" s="1">
        <f>IF(Tabela1[[#This Row],[promien]]=40000,1,0)</f>
        <v>0</v>
      </c>
      <c r="F662" s="1">
        <v>3.190332326283988</v>
      </c>
      <c r="G662" s="1">
        <v>4.873967269419488E-2</v>
      </c>
    </row>
    <row r="663" spans="1:7">
      <c r="A663">
        <v>389</v>
      </c>
      <c r="B663">
        <v>381</v>
      </c>
      <c r="C663" s="1">
        <f>(Tabela1[[#This Row],[x]]-H$3)*(Tabela1[[#This Row],[x]]-H$3) +(Tabela1[[#This Row],[y]]-H$4)*(Tabela1[[#This Row],[y]]-H$4)</f>
        <v>68482</v>
      </c>
      <c r="D663" s="1">
        <f>IF(Tabela1[[#This Row],[promien]]&lt;40000,1,0)</f>
        <v>0</v>
      </c>
      <c r="E663" s="1">
        <f>IF(Tabela1[[#This Row],[promien]]=40000,1,0)</f>
        <v>0</v>
      </c>
      <c r="F663" s="1">
        <v>3.18552036199095</v>
      </c>
      <c r="G663" s="1">
        <v>4.3927708401156895E-2</v>
      </c>
    </row>
    <row r="664" spans="1:7">
      <c r="A664">
        <v>86</v>
      </c>
      <c r="B664">
        <v>186</v>
      </c>
      <c r="C664" s="1">
        <f>(Tabela1[[#This Row],[x]]-H$3)*(Tabela1[[#This Row],[x]]-H$3) +(Tabela1[[#This Row],[y]]-H$4)*(Tabela1[[#This Row],[y]]-H$4)</f>
        <v>13192</v>
      </c>
      <c r="D664" s="1">
        <f>IF(Tabela1[[#This Row],[promien]]&lt;40000,1,0)</f>
        <v>1</v>
      </c>
      <c r="E664" s="1">
        <f>IF(Tabela1[[#This Row],[promien]]=40000,1,0)</f>
        <v>0</v>
      </c>
      <c r="F664" s="1">
        <v>3.1867469879518073</v>
      </c>
      <c r="G664" s="1">
        <v>4.5154334362014215E-2</v>
      </c>
    </row>
    <row r="665" spans="1:7">
      <c r="A665">
        <v>320</v>
      </c>
      <c r="B665">
        <v>3</v>
      </c>
      <c r="C665" s="1">
        <f>(Tabela1[[#This Row],[x]]-H$3)*(Tabela1[[#This Row],[x]]-H$3) +(Tabela1[[#This Row],[y]]-H$4)*(Tabela1[[#This Row],[y]]-H$4)</f>
        <v>53209</v>
      </c>
      <c r="D665" s="1">
        <f>IF(Tabela1[[#This Row],[promien]]&lt;40000,1,0)</f>
        <v>0</v>
      </c>
      <c r="E665" s="1">
        <f>IF(Tabela1[[#This Row],[promien]]=40000,1,0)</f>
        <v>0</v>
      </c>
      <c r="F665" s="1">
        <v>3.181954887218045</v>
      </c>
      <c r="G665" s="1">
        <v>4.0362233628251865E-2</v>
      </c>
    </row>
    <row r="666" spans="1:7">
      <c r="A666">
        <v>288</v>
      </c>
      <c r="B666">
        <v>17</v>
      </c>
      <c r="C666" s="1">
        <f>(Tabela1[[#This Row],[x]]-H$3)*(Tabela1[[#This Row],[x]]-H$3) +(Tabela1[[#This Row],[y]]-H$4)*(Tabela1[[#This Row],[y]]-H$4)</f>
        <v>41233</v>
      </c>
      <c r="D666" s="1">
        <f>IF(Tabela1[[#This Row],[promien]]&lt;40000,1,0)</f>
        <v>0</v>
      </c>
      <c r="E666" s="1">
        <f>IF(Tabela1[[#This Row],[promien]]=40000,1,0)</f>
        <v>0</v>
      </c>
      <c r="F666" s="1">
        <v>3.1771771771771773</v>
      </c>
      <c r="G666" s="1">
        <v>3.5584523587384176E-2</v>
      </c>
    </row>
    <row r="667" spans="1:7">
      <c r="A667">
        <v>84</v>
      </c>
      <c r="B667">
        <v>34</v>
      </c>
      <c r="C667" s="1">
        <f>(Tabela1[[#This Row],[x]]-H$3)*(Tabela1[[#This Row],[x]]-H$3) +(Tabela1[[#This Row],[y]]-H$4)*(Tabela1[[#This Row],[y]]-H$4)</f>
        <v>41012</v>
      </c>
      <c r="D667" s="1">
        <f>IF(Tabela1[[#This Row],[promien]]&lt;40000,1,0)</f>
        <v>0</v>
      </c>
      <c r="E667" s="1">
        <f>IF(Tabela1[[#This Row],[promien]]=40000,1,0)</f>
        <v>0</v>
      </c>
      <c r="F667" s="1">
        <v>3.1724137931034484</v>
      </c>
      <c r="G667" s="1">
        <v>3.0821139513655282E-2</v>
      </c>
    </row>
    <row r="668" spans="1:7">
      <c r="A668">
        <v>386</v>
      </c>
      <c r="B668">
        <v>81</v>
      </c>
      <c r="C668" s="1">
        <f>(Tabela1[[#This Row],[x]]-H$3)*(Tabela1[[#This Row],[x]]-H$3) +(Tabela1[[#This Row],[y]]-H$4)*(Tabela1[[#This Row],[y]]-H$4)</f>
        <v>48757</v>
      </c>
      <c r="D668" s="1">
        <f>IF(Tabela1[[#This Row],[promien]]&lt;40000,1,0)</f>
        <v>0</v>
      </c>
      <c r="E668" s="1">
        <f>IF(Tabela1[[#This Row],[promien]]=40000,1,0)</f>
        <v>0</v>
      </c>
      <c r="F668" s="1">
        <v>3.1676646706586826</v>
      </c>
      <c r="G668" s="1">
        <v>2.6072017068889508E-2</v>
      </c>
    </row>
    <row r="669" spans="1:7">
      <c r="A669">
        <v>234</v>
      </c>
      <c r="B669">
        <v>321</v>
      </c>
      <c r="C669" s="1">
        <f>(Tabela1[[#This Row],[x]]-H$3)*(Tabela1[[#This Row],[x]]-H$3) +(Tabela1[[#This Row],[y]]-H$4)*(Tabela1[[#This Row],[y]]-H$4)</f>
        <v>15797</v>
      </c>
      <c r="D669" s="1">
        <f>IF(Tabela1[[#This Row],[promien]]&lt;40000,1,0)</f>
        <v>1</v>
      </c>
      <c r="E669" s="1">
        <f>IF(Tabela1[[#This Row],[promien]]=40000,1,0)</f>
        <v>0</v>
      </c>
      <c r="F669" s="1">
        <v>3.1689088191330343</v>
      </c>
      <c r="G669" s="1">
        <v>2.7316165543241233E-2</v>
      </c>
    </row>
    <row r="670" spans="1:7">
      <c r="A670">
        <v>45</v>
      </c>
      <c r="B670">
        <v>373</v>
      </c>
      <c r="C670" s="1">
        <f>(Tabela1[[#This Row],[x]]-H$3)*(Tabela1[[#This Row],[x]]-H$3) +(Tabela1[[#This Row],[y]]-H$4)*(Tabela1[[#This Row],[y]]-H$4)</f>
        <v>53954</v>
      </c>
      <c r="D670" s="1">
        <f>IF(Tabela1[[#This Row],[promien]]&lt;40000,1,0)</f>
        <v>0</v>
      </c>
      <c r="E670" s="1">
        <f>IF(Tabela1[[#This Row],[promien]]=40000,1,0)</f>
        <v>0</v>
      </c>
      <c r="F670" s="1">
        <v>3.1641791044776117</v>
      </c>
      <c r="G670" s="1">
        <v>2.2586450887818632E-2</v>
      </c>
    </row>
    <row r="671" spans="1:7">
      <c r="A671">
        <v>160</v>
      </c>
      <c r="B671">
        <v>62</v>
      </c>
      <c r="C671" s="1">
        <f>(Tabela1[[#This Row],[x]]-H$3)*(Tabela1[[#This Row],[x]]-H$3) +(Tabela1[[#This Row],[y]]-H$4)*(Tabela1[[#This Row],[y]]-H$4)</f>
        <v>20644</v>
      </c>
      <c r="D671" s="1">
        <f>IF(Tabela1[[#This Row],[promien]]&lt;40000,1,0)</f>
        <v>1</v>
      </c>
      <c r="E671" s="1">
        <f>IF(Tabela1[[#This Row],[promien]]=40000,1,0)</f>
        <v>0</v>
      </c>
      <c r="F671" s="1">
        <v>3.165424739195231</v>
      </c>
      <c r="G671" s="1">
        <v>2.3832085605437925E-2</v>
      </c>
    </row>
    <row r="672" spans="1:7">
      <c r="A672">
        <v>32</v>
      </c>
      <c r="B672">
        <v>85</v>
      </c>
      <c r="C672" s="1">
        <f>(Tabela1[[#This Row],[x]]-H$3)*(Tabela1[[#This Row],[x]]-H$3) +(Tabela1[[#This Row],[y]]-H$4)*(Tabela1[[#This Row],[y]]-H$4)</f>
        <v>41449</v>
      </c>
      <c r="D672" s="1">
        <f>IF(Tabela1[[#This Row],[promien]]&lt;40000,1,0)</f>
        <v>0</v>
      </c>
      <c r="E672" s="1">
        <f>IF(Tabela1[[#This Row],[promien]]=40000,1,0)</f>
        <v>0</v>
      </c>
      <c r="F672" s="1">
        <v>3.1607142857142856</v>
      </c>
      <c r="G672" s="1">
        <v>1.9121632124492471E-2</v>
      </c>
    </row>
    <row r="673" spans="1:7">
      <c r="A673">
        <v>166</v>
      </c>
      <c r="B673">
        <v>64</v>
      </c>
      <c r="C673" s="1">
        <f>(Tabela1[[#This Row],[x]]-H$3)*(Tabela1[[#This Row],[x]]-H$3) +(Tabela1[[#This Row],[y]]-H$4)*(Tabela1[[#This Row],[y]]-H$4)</f>
        <v>19652</v>
      </c>
      <c r="D673" s="1">
        <f>IF(Tabela1[[#This Row],[promien]]&lt;40000,1,0)</f>
        <v>1</v>
      </c>
      <c r="E673" s="1">
        <f>IF(Tabela1[[#This Row],[promien]]=40000,1,0)</f>
        <v>0</v>
      </c>
      <c r="F673" s="1">
        <v>3.1619613670133728</v>
      </c>
      <c r="G673" s="1">
        <v>2.036871342357971E-2</v>
      </c>
    </row>
    <row r="674" spans="1:7">
      <c r="A674">
        <v>115</v>
      </c>
      <c r="B674">
        <v>270</v>
      </c>
      <c r="C674" s="1">
        <f>(Tabela1[[#This Row],[x]]-H$3)*(Tabela1[[#This Row],[x]]-H$3) +(Tabela1[[#This Row],[y]]-H$4)*(Tabela1[[#This Row],[y]]-H$4)</f>
        <v>12125</v>
      </c>
      <c r="D674" s="1">
        <f>IF(Tabela1[[#This Row],[promien]]&lt;40000,1,0)</f>
        <v>1</v>
      </c>
      <c r="E674" s="1">
        <f>IF(Tabela1[[#This Row],[promien]]=40000,1,0)</f>
        <v>0</v>
      </c>
      <c r="F674" s="1">
        <v>3.1632047477744809</v>
      </c>
      <c r="G674" s="1">
        <v>2.1612094184687791E-2</v>
      </c>
    </row>
    <row r="675" spans="1:7">
      <c r="A675">
        <v>374</v>
      </c>
      <c r="B675">
        <v>221</v>
      </c>
      <c r="C675" s="1">
        <f>(Tabela1[[#This Row],[x]]-H$3)*(Tabela1[[#This Row],[x]]-H$3) +(Tabela1[[#This Row],[y]]-H$4)*(Tabela1[[#This Row],[y]]-H$4)</f>
        <v>30717</v>
      </c>
      <c r="D675" s="1">
        <f>IF(Tabela1[[#This Row],[promien]]&lt;40000,1,0)</f>
        <v>1</v>
      </c>
      <c r="E675" s="1">
        <f>IF(Tabela1[[#This Row],[promien]]=40000,1,0)</f>
        <v>0</v>
      </c>
      <c r="F675" s="1">
        <v>3.1644444444444444</v>
      </c>
      <c r="G675" s="1">
        <v>2.2851790854651277E-2</v>
      </c>
    </row>
    <row r="676" spans="1:7">
      <c r="A676">
        <v>53</v>
      </c>
      <c r="B676">
        <v>213</v>
      </c>
      <c r="C676" s="1">
        <f>(Tabela1[[#This Row],[x]]-H$3)*(Tabela1[[#This Row],[x]]-H$3) +(Tabela1[[#This Row],[y]]-H$4)*(Tabela1[[#This Row],[y]]-H$4)</f>
        <v>21778</v>
      </c>
      <c r="D676" s="1">
        <f>IF(Tabela1[[#This Row],[promien]]&lt;40000,1,0)</f>
        <v>1</v>
      </c>
      <c r="E676" s="1">
        <f>IF(Tabela1[[#This Row],[promien]]=40000,1,0)</f>
        <v>0</v>
      </c>
      <c r="F676" s="1">
        <v>3.165680473372781</v>
      </c>
      <c r="G676" s="1">
        <v>2.4087819782987907E-2</v>
      </c>
    </row>
    <row r="677" spans="1:7">
      <c r="A677">
        <v>216</v>
      </c>
      <c r="B677">
        <v>351</v>
      </c>
      <c r="C677" s="1">
        <f>(Tabela1[[#This Row],[x]]-H$3)*(Tabela1[[#This Row],[x]]-H$3) +(Tabela1[[#This Row],[y]]-H$4)*(Tabela1[[#This Row],[y]]-H$4)</f>
        <v>23057</v>
      </c>
      <c r="D677" s="1">
        <f>IF(Tabela1[[#This Row],[promien]]&lt;40000,1,0)</f>
        <v>1</v>
      </c>
      <c r="E677" s="1">
        <f>IF(Tabela1[[#This Row],[promien]]=40000,1,0)</f>
        <v>0</v>
      </c>
      <c r="F677" s="1">
        <v>3.1669128508124076</v>
      </c>
      <c r="G677" s="1">
        <v>2.5320197222614471E-2</v>
      </c>
    </row>
    <row r="678" spans="1:7">
      <c r="A678">
        <v>29</v>
      </c>
      <c r="B678">
        <v>185</v>
      </c>
      <c r="C678" s="1">
        <f>(Tabela1[[#This Row],[x]]-H$3)*(Tabela1[[#This Row],[x]]-H$3) +(Tabela1[[#This Row],[y]]-H$4)*(Tabela1[[#This Row],[y]]-H$4)</f>
        <v>29466</v>
      </c>
      <c r="D678" s="1">
        <f>IF(Tabela1[[#This Row],[promien]]&lt;40000,1,0)</f>
        <v>1</v>
      </c>
      <c r="E678" s="1">
        <f>IF(Tabela1[[#This Row],[promien]]=40000,1,0)</f>
        <v>0</v>
      </c>
      <c r="F678" s="1">
        <v>3.168141592920354</v>
      </c>
      <c r="G678" s="1">
        <v>2.6548939330560906E-2</v>
      </c>
    </row>
    <row r="679" spans="1:7">
      <c r="A679">
        <v>23</v>
      </c>
      <c r="B679">
        <v>287</v>
      </c>
      <c r="C679" s="1">
        <f>(Tabela1[[#This Row],[x]]-H$3)*(Tabela1[[#This Row],[x]]-H$3) +(Tabela1[[#This Row],[y]]-H$4)*(Tabela1[[#This Row],[y]]-H$4)</f>
        <v>38898</v>
      </c>
      <c r="D679" s="1">
        <f>IF(Tabela1[[#This Row],[promien]]&lt;40000,1,0)</f>
        <v>1</v>
      </c>
      <c r="E679" s="1">
        <f>IF(Tabela1[[#This Row],[promien]]=40000,1,0)</f>
        <v>0</v>
      </c>
      <c r="F679" s="1">
        <v>3.1693667157584682</v>
      </c>
      <c r="G679" s="1">
        <v>2.7774062168675062E-2</v>
      </c>
    </row>
    <row r="680" spans="1:7">
      <c r="A680">
        <v>322</v>
      </c>
      <c r="B680">
        <v>276</v>
      </c>
      <c r="C680" s="1">
        <f>(Tabela1[[#This Row],[x]]-H$3)*(Tabela1[[#This Row],[x]]-H$3) +(Tabela1[[#This Row],[y]]-H$4)*(Tabela1[[#This Row],[y]]-H$4)</f>
        <v>20660</v>
      </c>
      <c r="D680" s="1">
        <f>IF(Tabela1[[#This Row],[promien]]&lt;40000,1,0)</f>
        <v>1</v>
      </c>
      <c r="E680" s="1">
        <f>IF(Tabela1[[#This Row],[promien]]=40000,1,0)</f>
        <v>0</v>
      </c>
      <c r="F680" s="1">
        <v>3.1705882352941175</v>
      </c>
      <c r="G680" s="1">
        <v>2.8995581704324369E-2</v>
      </c>
    </row>
    <row r="681" spans="1:7">
      <c r="A681">
        <v>104</v>
      </c>
      <c r="B681">
        <v>229</v>
      </c>
      <c r="C681" s="1">
        <f>(Tabela1[[#This Row],[x]]-H$3)*(Tabela1[[#This Row],[x]]-H$3) +(Tabela1[[#This Row],[y]]-H$4)*(Tabela1[[#This Row],[y]]-H$4)</f>
        <v>10057</v>
      </c>
      <c r="D681" s="1">
        <f>IF(Tabela1[[#This Row],[promien]]&lt;40000,1,0)</f>
        <v>1</v>
      </c>
      <c r="E681" s="1">
        <f>IF(Tabela1[[#This Row],[promien]]=40000,1,0)</f>
        <v>0</v>
      </c>
      <c r="F681" s="1">
        <v>3.1718061674008808</v>
      </c>
      <c r="G681" s="1">
        <v>3.0213513811087722E-2</v>
      </c>
    </row>
    <row r="682" spans="1:7">
      <c r="A682">
        <v>141</v>
      </c>
      <c r="B682">
        <v>28</v>
      </c>
      <c r="C682" s="1">
        <f>(Tabela1[[#This Row],[x]]-H$3)*(Tabela1[[#This Row],[x]]-H$3) +(Tabela1[[#This Row],[y]]-H$4)*(Tabela1[[#This Row],[y]]-H$4)</f>
        <v>33065</v>
      </c>
      <c r="D682" s="1">
        <f>IF(Tabela1[[#This Row],[promien]]&lt;40000,1,0)</f>
        <v>1</v>
      </c>
      <c r="E682" s="1">
        <f>IF(Tabela1[[#This Row],[promien]]=40000,1,0)</f>
        <v>0</v>
      </c>
      <c r="F682" s="1">
        <v>3.1730205278592374</v>
      </c>
      <c r="G682" s="1">
        <v>3.1427874269444267E-2</v>
      </c>
    </row>
    <row r="683" spans="1:7">
      <c r="A683">
        <v>381</v>
      </c>
      <c r="B683">
        <v>115</v>
      </c>
      <c r="C683" s="1">
        <f>(Tabela1[[#This Row],[x]]-H$3)*(Tabela1[[#This Row],[x]]-H$3) +(Tabela1[[#This Row],[y]]-H$4)*(Tabela1[[#This Row],[y]]-H$4)</f>
        <v>39986</v>
      </c>
      <c r="D683" s="1">
        <f>IF(Tabela1[[#This Row],[promien]]&lt;40000,1,0)</f>
        <v>1</v>
      </c>
      <c r="E683" s="1">
        <f>IF(Tabela1[[#This Row],[promien]]=40000,1,0)</f>
        <v>0</v>
      </c>
      <c r="F683" s="1">
        <v>3.1742313323572473</v>
      </c>
      <c r="G683" s="1">
        <v>3.2638678767454188E-2</v>
      </c>
    </row>
    <row r="684" spans="1:7">
      <c r="A684">
        <v>205</v>
      </c>
      <c r="B684">
        <v>314</v>
      </c>
      <c r="C684" s="1">
        <f>(Tabela1[[#This Row],[x]]-H$3)*(Tabela1[[#This Row],[x]]-H$3) +(Tabela1[[#This Row],[y]]-H$4)*(Tabela1[[#This Row],[y]]-H$4)</f>
        <v>13021</v>
      </c>
      <c r="D684" s="1">
        <f>IF(Tabela1[[#This Row],[promien]]&lt;40000,1,0)</f>
        <v>1</v>
      </c>
      <c r="E684" s="1">
        <f>IF(Tabela1[[#This Row],[promien]]=40000,1,0)</f>
        <v>0</v>
      </c>
      <c r="F684" s="1">
        <v>3.1754385964912282</v>
      </c>
      <c r="G684" s="1">
        <v>3.3845942901435055E-2</v>
      </c>
    </row>
    <row r="685" spans="1:7">
      <c r="A685">
        <v>329</v>
      </c>
      <c r="B685">
        <v>76</v>
      </c>
      <c r="C685" s="1">
        <f>(Tabela1[[#This Row],[x]]-H$3)*(Tabela1[[#This Row],[x]]-H$3) +(Tabela1[[#This Row],[y]]-H$4)*(Tabela1[[#This Row],[y]]-H$4)</f>
        <v>32017</v>
      </c>
      <c r="D685" s="1">
        <f>IF(Tabela1[[#This Row],[promien]]&lt;40000,1,0)</f>
        <v>1</v>
      </c>
      <c r="E685" s="1">
        <f>IF(Tabela1[[#This Row],[promien]]=40000,1,0)</f>
        <v>0</v>
      </c>
      <c r="F685" s="1">
        <v>3.1766423357664233</v>
      </c>
      <c r="G685" s="1">
        <v>3.5049682176630181E-2</v>
      </c>
    </row>
    <row r="686" spans="1:7">
      <c r="A686">
        <v>393</v>
      </c>
      <c r="B686">
        <v>140</v>
      </c>
      <c r="C686" s="1">
        <f>(Tabela1[[#This Row],[x]]-H$3)*(Tabela1[[#This Row],[x]]-H$3) +(Tabela1[[#This Row],[y]]-H$4)*(Tabela1[[#This Row],[y]]-H$4)</f>
        <v>40849</v>
      </c>
      <c r="D686" s="1">
        <f>IF(Tabela1[[#This Row],[promien]]&lt;40000,1,0)</f>
        <v>0</v>
      </c>
      <c r="E686" s="1">
        <f>IF(Tabela1[[#This Row],[promien]]=40000,1,0)</f>
        <v>0</v>
      </c>
      <c r="F686" s="1">
        <v>3.1720116618075802</v>
      </c>
      <c r="G686" s="1">
        <v>3.0419008217787091E-2</v>
      </c>
    </row>
    <row r="687" spans="1:7">
      <c r="A687">
        <v>121</v>
      </c>
      <c r="B687">
        <v>204</v>
      </c>
      <c r="C687" s="1">
        <f>(Tabela1[[#This Row],[x]]-H$3)*(Tabela1[[#This Row],[x]]-H$3) +(Tabela1[[#This Row],[y]]-H$4)*(Tabela1[[#This Row],[y]]-H$4)</f>
        <v>6257</v>
      </c>
      <c r="D687" s="1">
        <f>IF(Tabela1[[#This Row],[promien]]&lt;40000,1,0)</f>
        <v>1</v>
      </c>
      <c r="E687" s="1">
        <f>IF(Tabela1[[#This Row],[promien]]=40000,1,0)</f>
        <v>0</v>
      </c>
      <c r="F687" s="1">
        <v>3.1732168850072782</v>
      </c>
      <c r="G687" s="1">
        <v>3.1624231417485049E-2</v>
      </c>
    </row>
    <row r="688" spans="1:7">
      <c r="A688">
        <v>382</v>
      </c>
      <c r="B688">
        <v>137</v>
      </c>
      <c r="C688" s="1">
        <f>(Tabela1[[#This Row],[x]]-H$3)*(Tabela1[[#This Row],[x]]-H$3) +(Tabela1[[#This Row],[y]]-H$4)*(Tabela1[[#This Row],[y]]-H$4)</f>
        <v>37093</v>
      </c>
      <c r="D688" s="1">
        <f>IF(Tabela1[[#This Row],[promien]]&lt;40000,1,0)</f>
        <v>1</v>
      </c>
      <c r="E688" s="1">
        <f>IF(Tabela1[[#This Row],[promien]]=40000,1,0)</f>
        <v>0</v>
      </c>
      <c r="F688" s="1">
        <v>3.1744186046511627</v>
      </c>
      <c r="G688" s="1">
        <v>3.282595106136954E-2</v>
      </c>
    </row>
    <row r="689" spans="1:7">
      <c r="A689">
        <v>336</v>
      </c>
      <c r="B689">
        <v>282</v>
      </c>
      <c r="C689" s="1">
        <f>(Tabela1[[#This Row],[x]]-H$3)*(Tabela1[[#This Row],[x]]-H$3) +(Tabela1[[#This Row],[y]]-H$4)*(Tabela1[[#This Row],[y]]-H$4)</f>
        <v>25220</v>
      </c>
      <c r="D689" s="1">
        <f>IF(Tabela1[[#This Row],[promien]]&lt;40000,1,0)</f>
        <v>1</v>
      </c>
      <c r="E689" s="1">
        <f>IF(Tabela1[[#This Row],[promien]]=40000,1,0)</f>
        <v>0</v>
      </c>
      <c r="F689" s="1">
        <v>3.1756168359941945</v>
      </c>
      <c r="G689" s="1">
        <v>3.4024182404401415E-2</v>
      </c>
    </row>
    <row r="690" spans="1:7">
      <c r="A690">
        <v>279</v>
      </c>
      <c r="B690">
        <v>75</v>
      </c>
      <c r="C690" s="1">
        <f>(Tabela1[[#This Row],[x]]-H$3)*(Tabela1[[#This Row],[x]]-H$3) +(Tabela1[[#This Row],[y]]-H$4)*(Tabela1[[#This Row],[y]]-H$4)</f>
        <v>21866</v>
      </c>
      <c r="D690" s="1">
        <f>IF(Tabela1[[#This Row],[promien]]&lt;40000,1,0)</f>
        <v>1</v>
      </c>
      <c r="E690" s="1">
        <f>IF(Tabela1[[#This Row],[promien]]=40000,1,0)</f>
        <v>0</v>
      </c>
      <c r="F690" s="1">
        <v>3.1768115942028987</v>
      </c>
      <c r="G690" s="1">
        <v>3.5218940613105598E-2</v>
      </c>
    </row>
    <row r="691" spans="1:7">
      <c r="A691">
        <v>19</v>
      </c>
      <c r="B691">
        <v>66</v>
      </c>
      <c r="C691" s="1">
        <f>(Tabela1[[#This Row],[x]]-H$3)*(Tabela1[[#This Row],[x]]-H$3) +(Tabela1[[#This Row],[y]]-H$4)*(Tabela1[[#This Row],[y]]-H$4)</f>
        <v>50717</v>
      </c>
      <c r="D691" s="1">
        <f>IF(Tabela1[[#This Row],[promien]]&lt;40000,1,0)</f>
        <v>0</v>
      </c>
      <c r="E691" s="1">
        <f>IF(Tabela1[[#This Row],[promien]]=40000,1,0)</f>
        <v>0</v>
      </c>
      <c r="F691" s="1">
        <v>3.1722141823444283</v>
      </c>
      <c r="G691" s="1">
        <v>3.0621528754635197E-2</v>
      </c>
    </row>
    <row r="692" spans="1:7">
      <c r="A692">
        <v>63</v>
      </c>
      <c r="B692">
        <v>190</v>
      </c>
      <c r="C692" s="1">
        <f>(Tabela1[[#This Row],[x]]-H$3)*(Tabela1[[#This Row],[x]]-H$3) +(Tabela1[[#This Row],[y]]-H$4)*(Tabela1[[#This Row],[y]]-H$4)</f>
        <v>18869</v>
      </c>
      <c r="D692" s="1">
        <f>IF(Tabela1[[#This Row],[promien]]&lt;40000,1,0)</f>
        <v>1</v>
      </c>
      <c r="E692" s="1">
        <f>IF(Tabela1[[#This Row],[promien]]=40000,1,0)</f>
        <v>0</v>
      </c>
      <c r="F692" s="1">
        <v>3.1734104046242773</v>
      </c>
      <c r="G692" s="1">
        <v>3.1817751034484143E-2</v>
      </c>
    </row>
    <row r="693" spans="1:7">
      <c r="A693">
        <v>296</v>
      </c>
      <c r="B693">
        <v>262</v>
      </c>
      <c r="C693" s="1">
        <f>(Tabela1[[#This Row],[x]]-H$3)*(Tabela1[[#This Row],[x]]-H$3) +(Tabela1[[#This Row],[y]]-H$4)*(Tabela1[[#This Row],[y]]-H$4)</f>
        <v>13060</v>
      </c>
      <c r="D693" s="1">
        <f>IF(Tabela1[[#This Row],[promien]]&lt;40000,1,0)</f>
        <v>1</v>
      </c>
      <c r="E693" s="1">
        <f>IF(Tabela1[[#This Row],[promien]]=40000,1,0)</f>
        <v>0</v>
      </c>
      <c r="F693" s="1">
        <v>3.1746031746031744</v>
      </c>
      <c r="G693" s="1">
        <v>3.3010521013381311E-2</v>
      </c>
    </row>
    <row r="694" spans="1:7">
      <c r="A694">
        <v>318</v>
      </c>
      <c r="B694">
        <v>144</v>
      </c>
      <c r="C694" s="1">
        <f>(Tabela1[[#This Row],[x]]-H$3)*(Tabela1[[#This Row],[x]]-H$3) +(Tabela1[[#This Row],[y]]-H$4)*(Tabela1[[#This Row],[y]]-H$4)</f>
        <v>17060</v>
      </c>
      <c r="D694" s="1">
        <f>IF(Tabela1[[#This Row],[promien]]&lt;40000,1,0)</f>
        <v>1</v>
      </c>
      <c r="E694" s="1">
        <f>IF(Tabela1[[#This Row],[promien]]=40000,1,0)</f>
        <v>0</v>
      </c>
      <c r="F694" s="1">
        <v>3.1757925072046111</v>
      </c>
      <c r="G694" s="1">
        <v>3.4199853614818032E-2</v>
      </c>
    </row>
    <row r="695" spans="1:7">
      <c r="A695">
        <v>243</v>
      </c>
      <c r="B695">
        <v>116</v>
      </c>
      <c r="C695" s="1">
        <f>(Tabela1[[#This Row],[x]]-H$3)*(Tabela1[[#This Row],[x]]-H$3) +(Tabela1[[#This Row],[y]]-H$4)*(Tabela1[[#This Row],[y]]-H$4)</f>
        <v>8905</v>
      </c>
      <c r="D695" s="1">
        <f>IF(Tabela1[[#This Row],[promien]]&lt;40000,1,0)</f>
        <v>1</v>
      </c>
      <c r="E695" s="1">
        <f>IF(Tabela1[[#This Row],[promien]]=40000,1,0)</f>
        <v>0</v>
      </c>
      <c r="F695" s="1">
        <v>3.176978417266187</v>
      </c>
      <c r="G695" s="1">
        <v>3.53857636763939E-2</v>
      </c>
    </row>
    <row r="696" spans="1:7">
      <c r="A696">
        <v>387</v>
      </c>
      <c r="B696">
        <v>147</v>
      </c>
      <c r="C696" s="1">
        <f>(Tabela1[[#This Row],[x]]-H$3)*(Tabela1[[#This Row],[x]]-H$3) +(Tabela1[[#This Row],[y]]-H$4)*(Tabela1[[#This Row],[y]]-H$4)</f>
        <v>37778</v>
      </c>
      <c r="D696" s="1">
        <f>IF(Tabela1[[#This Row],[promien]]&lt;40000,1,0)</f>
        <v>1</v>
      </c>
      <c r="E696" s="1">
        <f>IF(Tabela1[[#This Row],[promien]]=40000,1,0)</f>
        <v>0</v>
      </c>
      <c r="F696" s="1">
        <v>3.1781609195402298</v>
      </c>
      <c r="G696" s="1">
        <v>3.6568265950436718E-2</v>
      </c>
    </row>
    <row r="697" spans="1:7">
      <c r="A697">
        <v>314</v>
      </c>
      <c r="B697">
        <v>181</v>
      </c>
      <c r="C697" s="1">
        <f>(Tabela1[[#This Row],[x]]-H$3)*(Tabela1[[#This Row],[x]]-H$3) +(Tabela1[[#This Row],[y]]-H$4)*(Tabela1[[#This Row],[y]]-H$4)</f>
        <v>13357</v>
      </c>
      <c r="D697" s="1">
        <f>IF(Tabela1[[#This Row],[promien]]&lt;40000,1,0)</f>
        <v>1</v>
      </c>
      <c r="E697" s="1">
        <f>IF(Tabela1[[#This Row],[promien]]=40000,1,0)</f>
        <v>0</v>
      </c>
      <c r="F697" s="1">
        <v>3.1793400286944045</v>
      </c>
      <c r="G697" s="1">
        <v>3.7747375104611347E-2</v>
      </c>
    </row>
    <row r="698" spans="1:7">
      <c r="A698">
        <v>119</v>
      </c>
      <c r="B698">
        <v>36</v>
      </c>
      <c r="C698" s="1">
        <f>(Tabela1[[#This Row],[x]]-H$3)*(Tabela1[[#This Row],[x]]-H$3) +(Tabela1[[#This Row],[y]]-H$4)*(Tabela1[[#This Row],[y]]-H$4)</f>
        <v>33457</v>
      </c>
      <c r="D698" s="1">
        <f>IF(Tabela1[[#This Row],[promien]]&lt;40000,1,0)</f>
        <v>1</v>
      </c>
      <c r="E698" s="1">
        <f>IF(Tabela1[[#This Row],[promien]]=40000,1,0)</f>
        <v>0</v>
      </c>
      <c r="F698" s="1">
        <v>3.1805157593123208</v>
      </c>
      <c r="G698" s="1">
        <v>3.8923105722527662E-2</v>
      </c>
    </row>
    <row r="699" spans="1:7">
      <c r="A699">
        <v>378</v>
      </c>
      <c r="B699">
        <v>292</v>
      </c>
      <c r="C699" s="1">
        <f>(Tabela1[[#This Row],[x]]-H$3)*(Tabela1[[#This Row],[x]]-H$3) +(Tabela1[[#This Row],[y]]-H$4)*(Tabela1[[#This Row],[y]]-H$4)</f>
        <v>40148</v>
      </c>
      <c r="D699" s="1">
        <f>IF(Tabela1[[#This Row],[promien]]&lt;40000,1,0)</f>
        <v>0</v>
      </c>
      <c r="E699" s="1">
        <f>IF(Tabela1[[#This Row],[promien]]=40000,1,0)</f>
        <v>0</v>
      </c>
      <c r="F699" s="1">
        <v>3.1759656652360513</v>
      </c>
      <c r="G699" s="1">
        <v>3.4373011646258167E-2</v>
      </c>
    </row>
    <row r="700" spans="1:7">
      <c r="A700">
        <v>306</v>
      </c>
      <c r="B700">
        <v>251</v>
      </c>
      <c r="C700" s="1">
        <f>(Tabela1[[#This Row],[x]]-H$3)*(Tabela1[[#This Row],[x]]-H$3) +(Tabela1[[#This Row],[y]]-H$4)*(Tabela1[[#This Row],[y]]-H$4)</f>
        <v>13837</v>
      </c>
      <c r="D700" s="1">
        <f>IF(Tabela1[[#This Row],[promien]]&lt;40000,1,0)</f>
        <v>1</v>
      </c>
      <c r="E700" s="1">
        <f>IF(Tabela1[[#This Row],[promien]]=40000,1,0)</f>
        <v>0</v>
      </c>
      <c r="F700" s="1">
        <v>3.177142857142857</v>
      </c>
      <c r="G700" s="1">
        <v>3.555020355306393E-2</v>
      </c>
    </row>
    <row r="701" spans="1:7">
      <c r="A701">
        <v>10</v>
      </c>
      <c r="B701">
        <v>380</v>
      </c>
      <c r="C701" s="1">
        <f>(Tabela1[[#This Row],[x]]-H$3)*(Tabela1[[#This Row],[x]]-H$3) +(Tabela1[[#This Row],[y]]-H$4)*(Tabela1[[#This Row],[y]]-H$4)</f>
        <v>68500</v>
      </c>
      <c r="D701" s="1">
        <f>IF(Tabela1[[#This Row],[promien]]&lt;40000,1,0)</f>
        <v>0</v>
      </c>
      <c r="E701" s="1">
        <f>IF(Tabela1[[#This Row],[promien]]=40000,1,0)</f>
        <v>0</v>
      </c>
      <c r="F701" s="1">
        <v>3.172610556348074</v>
      </c>
      <c r="G701" s="1">
        <v>3.1017902758280869E-2</v>
      </c>
    </row>
    <row r="702" spans="1:7">
      <c r="A702">
        <v>265</v>
      </c>
      <c r="B702">
        <v>370</v>
      </c>
      <c r="C702" s="1">
        <f>(Tabela1[[#This Row],[x]]-H$3)*(Tabela1[[#This Row],[x]]-H$3) +(Tabela1[[#This Row],[y]]-H$4)*(Tabela1[[#This Row],[y]]-H$4)</f>
        <v>33125</v>
      </c>
      <c r="D702" s="1">
        <f>IF(Tabela1[[#This Row],[promien]]&lt;40000,1,0)</f>
        <v>1</v>
      </c>
      <c r="E702" s="1">
        <f>IF(Tabela1[[#This Row],[promien]]=40000,1,0)</f>
        <v>0</v>
      </c>
      <c r="F702" s="1">
        <v>3.1737891737891739</v>
      </c>
      <c r="G702" s="1">
        <v>3.2196520199380796E-2</v>
      </c>
    </row>
    <row r="703" spans="1:7">
      <c r="A703">
        <v>324</v>
      </c>
      <c r="B703">
        <v>12</v>
      </c>
      <c r="C703" s="1">
        <f>(Tabela1[[#This Row],[x]]-H$3)*(Tabela1[[#This Row],[x]]-H$3) +(Tabela1[[#This Row],[y]]-H$4)*(Tabela1[[#This Row],[y]]-H$4)</f>
        <v>50720</v>
      </c>
      <c r="D703" s="1">
        <f>IF(Tabela1[[#This Row],[promien]]&lt;40000,1,0)</f>
        <v>0</v>
      </c>
      <c r="E703" s="1">
        <f>IF(Tabela1[[#This Row],[promien]]=40000,1,0)</f>
        <v>0</v>
      </c>
      <c r="F703" s="1">
        <v>3.1692745376955904</v>
      </c>
      <c r="G703" s="1">
        <v>2.7681884105797305E-2</v>
      </c>
    </row>
    <row r="704" spans="1:7">
      <c r="A704">
        <v>93</v>
      </c>
      <c r="B704">
        <v>329</v>
      </c>
      <c r="C704" s="1">
        <f>(Tabela1[[#This Row],[x]]-H$3)*(Tabela1[[#This Row],[x]]-H$3) +(Tabela1[[#This Row],[y]]-H$4)*(Tabela1[[#This Row],[y]]-H$4)</f>
        <v>28090</v>
      </c>
      <c r="D704" s="1">
        <f>IF(Tabela1[[#This Row],[promien]]&lt;40000,1,0)</f>
        <v>1</v>
      </c>
      <c r="E704" s="1">
        <f>IF(Tabela1[[#This Row],[promien]]=40000,1,0)</f>
        <v>0</v>
      </c>
      <c r="F704" s="1">
        <v>3.1704545454545454</v>
      </c>
      <c r="G704" s="1">
        <v>2.8861891864752298E-2</v>
      </c>
    </row>
    <row r="705" spans="1:7">
      <c r="A705">
        <v>120</v>
      </c>
      <c r="B705">
        <v>301</v>
      </c>
      <c r="C705" s="1">
        <f>(Tabela1[[#This Row],[x]]-H$3)*(Tabela1[[#This Row],[x]]-H$3) +(Tabela1[[#This Row],[y]]-H$4)*(Tabela1[[#This Row],[y]]-H$4)</f>
        <v>16601</v>
      </c>
      <c r="D705" s="1">
        <f>IF(Tabela1[[#This Row],[promien]]&lt;40000,1,0)</f>
        <v>1</v>
      </c>
      <c r="E705" s="1">
        <f>IF(Tabela1[[#This Row],[promien]]=40000,1,0)</f>
        <v>0</v>
      </c>
      <c r="F705" s="1">
        <v>3.171631205673759</v>
      </c>
      <c r="G705" s="1">
        <v>3.0038552083965886E-2</v>
      </c>
    </row>
    <row r="706" spans="1:7">
      <c r="A706">
        <v>163</v>
      </c>
      <c r="B706">
        <v>112</v>
      </c>
      <c r="C706" s="1">
        <f>(Tabela1[[#This Row],[x]]-H$3)*(Tabela1[[#This Row],[x]]-H$3) +(Tabela1[[#This Row],[y]]-H$4)*(Tabela1[[#This Row],[y]]-H$4)</f>
        <v>9113</v>
      </c>
      <c r="D706" s="1">
        <f>IF(Tabela1[[#This Row],[promien]]&lt;40000,1,0)</f>
        <v>1</v>
      </c>
      <c r="E706" s="1">
        <f>IF(Tabela1[[#This Row],[promien]]=40000,1,0)</f>
        <v>0</v>
      </c>
      <c r="F706" s="1">
        <v>3.1728045325779037</v>
      </c>
      <c r="G706" s="1">
        <v>3.121187898811062E-2</v>
      </c>
    </row>
    <row r="707" spans="1:7">
      <c r="A707">
        <v>317</v>
      </c>
      <c r="B707">
        <v>392</v>
      </c>
      <c r="C707" s="1">
        <f>(Tabela1[[#This Row],[x]]-H$3)*(Tabela1[[#This Row],[x]]-H$3) +(Tabela1[[#This Row],[y]]-H$4)*(Tabela1[[#This Row],[y]]-H$4)</f>
        <v>50553</v>
      </c>
      <c r="D707" s="1">
        <f>IF(Tabela1[[#This Row],[promien]]&lt;40000,1,0)</f>
        <v>0</v>
      </c>
      <c r="E707" s="1">
        <f>IF(Tabela1[[#This Row],[promien]]=40000,1,0)</f>
        <v>0</v>
      </c>
      <c r="F707" s="1">
        <v>3.1683168316831685</v>
      </c>
      <c r="G707" s="1">
        <v>2.672417809337535E-2</v>
      </c>
    </row>
    <row r="708" spans="1:7">
      <c r="A708">
        <v>107</v>
      </c>
      <c r="B708">
        <v>174</v>
      </c>
      <c r="C708" s="1">
        <f>(Tabela1[[#This Row],[x]]-H$3)*(Tabela1[[#This Row],[x]]-H$3) +(Tabela1[[#This Row],[y]]-H$4)*(Tabela1[[#This Row],[y]]-H$4)</f>
        <v>9325</v>
      </c>
      <c r="D708" s="1">
        <f>IF(Tabela1[[#This Row],[promien]]&lt;40000,1,0)</f>
        <v>1</v>
      </c>
      <c r="E708" s="1">
        <f>IF(Tabela1[[#This Row],[promien]]=40000,1,0)</f>
        <v>0</v>
      </c>
      <c r="F708" s="1">
        <v>3.1694915254237288</v>
      </c>
      <c r="G708" s="1">
        <v>2.789887183393569E-2</v>
      </c>
    </row>
    <row r="709" spans="1:7">
      <c r="A709">
        <v>266</v>
      </c>
      <c r="B709">
        <v>196</v>
      </c>
      <c r="C709" s="1">
        <f>(Tabela1[[#This Row],[x]]-H$3)*(Tabela1[[#This Row],[x]]-H$3) +(Tabela1[[#This Row],[y]]-H$4)*(Tabela1[[#This Row],[y]]-H$4)</f>
        <v>4372</v>
      </c>
      <c r="D709" s="1">
        <f>IF(Tabela1[[#This Row],[promien]]&lt;40000,1,0)</f>
        <v>1</v>
      </c>
      <c r="E709" s="1">
        <f>IF(Tabela1[[#This Row],[promien]]=40000,1,0)</f>
        <v>0</v>
      </c>
      <c r="F709" s="1">
        <v>3.1706629055007052</v>
      </c>
      <c r="G709" s="1">
        <v>2.9070251910912059E-2</v>
      </c>
    </row>
    <row r="710" spans="1:7">
      <c r="A710">
        <v>52</v>
      </c>
      <c r="B710">
        <v>227</v>
      </c>
      <c r="C710" s="1">
        <f>(Tabela1[[#This Row],[x]]-H$3)*(Tabela1[[#This Row],[x]]-H$3) +(Tabela1[[#This Row],[y]]-H$4)*(Tabela1[[#This Row],[y]]-H$4)</f>
        <v>22633</v>
      </c>
      <c r="D710" s="1">
        <f>IF(Tabela1[[#This Row],[promien]]&lt;40000,1,0)</f>
        <v>1</v>
      </c>
      <c r="E710" s="1">
        <f>IF(Tabela1[[#This Row],[promien]]=40000,1,0)</f>
        <v>0</v>
      </c>
      <c r="F710" s="1">
        <v>3.1718309859154932</v>
      </c>
      <c r="G710" s="1">
        <v>3.0238332325700057E-2</v>
      </c>
    </row>
    <row r="711" spans="1:7">
      <c r="A711">
        <v>325</v>
      </c>
      <c r="B711">
        <v>167</v>
      </c>
      <c r="C711" s="1">
        <f>(Tabela1[[#This Row],[x]]-H$3)*(Tabela1[[#This Row],[x]]-H$3) +(Tabela1[[#This Row],[y]]-H$4)*(Tabela1[[#This Row],[y]]-H$4)</f>
        <v>16714</v>
      </c>
      <c r="D711" s="1">
        <f>IF(Tabela1[[#This Row],[promien]]&lt;40000,1,0)</f>
        <v>1</v>
      </c>
      <c r="E711" s="1">
        <f>IF(Tabela1[[#This Row],[promien]]=40000,1,0)</f>
        <v>0</v>
      </c>
      <c r="F711" s="1">
        <v>3.1729957805907172</v>
      </c>
      <c r="G711" s="1">
        <v>3.1403127000924069E-2</v>
      </c>
    </row>
    <row r="712" spans="1:7">
      <c r="A712">
        <v>77</v>
      </c>
      <c r="B712">
        <v>149</v>
      </c>
      <c r="C712" s="1">
        <f>(Tabela1[[#This Row],[x]]-H$3)*(Tabela1[[#This Row],[x]]-H$3) +(Tabela1[[#This Row],[y]]-H$4)*(Tabela1[[#This Row],[y]]-H$4)</f>
        <v>17730</v>
      </c>
      <c r="D712" s="1">
        <f>IF(Tabela1[[#This Row],[promien]]&lt;40000,1,0)</f>
        <v>1</v>
      </c>
      <c r="E712" s="1">
        <f>IF(Tabela1[[#This Row],[promien]]=40000,1,0)</f>
        <v>0</v>
      </c>
      <c r="F712" s="1">
        <v>3.1741573033707864</v>
      </c>
      <c r="G712" s="1">
        <v>3.2564649780993271E-2</v>
      </c>
    </row>
    <row r="713" spans="1:7">
      <c r="A713">
        <v>344</v>
      </c>
      <c r="B713">
        <v>219</v>
      </c>
      <c r="C713" s="1">
        <f>(Tabela1[[#This Row],[x]]-H$3)*(Tabela1[[#This Row],[x]]-H$3) +(Tabela1[[#This Row],[y]]-H$4)*(Tabela1[[#This Row],[y]]-H$4)</f>
        <v>21097</v>
      </c>
      <c r="D713" s="1">
        <f>IF(Tabela1[[#This Row],[promien]]&lt;40000,1,0)</f>
        <v>1</v>
      </c>
      <c r="E713" s="1">
        <f>IF(Tabela1[[#This Row],[promien]]=40000,1,0)</f>
        <v>0</v>
      </c>
      <c r="F713" s="1">
        <v>3.1753155680224405</v>
      </c>
      <c r="G713" s="1">
        <v>3.3722914432647411E-2</v>
      </c>
    </row>
    <row r="714" spans="1:7">
      <c r="A714">
        <v>52</v>
      </c>
      <c r="B714">
        <v>101</v>
      </c>
      <c r="C714" s="1">
        <f>(Tabela1[[#This Row],[x]]-H$3)*(Tabela1[[#This Row],[x]]-H$3) +(Tabela1[[#This Row],[y]]-H$4)*(Tabela1[[#This Row],[y]]-H$4)</f>
        <v>31705</v>
      </c>
      <c r="D714" s="1">
        <f>IF(Tabela1[[#This Row],[promien]]&lt;40000,1,0)</f>
        <v>1</v>
      </c>
      <c r="E714" s="1">
        <f>IF(Tabela1[[#This Row],[promien]]=40000,1,0)</f>
        <v>0</v>
      </c>
      <c r="F714" s="1">
        <v>3.1764705882352939</v>
      </c>
      <c r="G714" s="1">
        <v>3.4877934645500819E-2</v>
      </c>
    </row>
    <row r="715" spans="1:7">
      <c r="A715">
        <v>271</v>
      </c>
      <c r="B715">
        <v>66</v>
      </c>
      <c r="C715" s="1">
        <f>(Tabela1[[#This Row],[x]]-H$3)*(Tabela1[[#This Row],[x]]-H$3) +(Tabela1[[#This Row],[y]]-H$4)*(Tabela1[[#This Row],[y]]-H$4)</f>
        <v>22997</v>
      </c>
      <c r="D715" s="1">
        <f>IF(Tabela1[[#This Row],[promien]]&lt;40000,1,0)</f>
        <v>1</v>
      </c>
      <c r="E715" s="1">
        <f>IF(Tabela1[[#This Row],[promien]]=40000,1,0)</f>
        <v>0</v>
      </c>
      <c r="F715" s="1">
        <v>3.1776223776223778</v>
      </c>
      <c r="G715" s="1">
        <v>3.6029724032584642E-2</v>
      </c>
    </row>
    <row r="716" spans="1:7">
      <c r="A716">
        <v>331</v>
      </c>
      <c r="B716">
        <v>142</v>
      </c>
      <c r="C716" s="1">
        <f>(Tabela1[[#This Row],[x]]-H$3)*(Tabela1[[#This Row],[x]]-H$3) +(Tabela1[[#This Row],[y]]-H$4)*(Tabela1[[#This Row],[y]]-H$4)</f>
        <v>20525</v>
      </c>
      <c r="D716" s="1">
        <f>IF(Tabela1[[#This Row],[promien]]&lt;40000,1,0)</f>
        <v>1</v>
      </c>
      <c r="E716" s="1">
        <f>IF(Tabela1[[#This Row],[promien]]=40000,1,0)</f>
        <v>0</v>
      </c>
      <c r="F716" s="1">
        <v>3.1787709497206702</v>
      </c>
      <c r="G716" s="1">
        <v>3.7178296130877087E-2</v>
      </c>
    </row>
    <row r="717" spans="1:7">
      <c r="A717">
        <v>309</v>
      </c>
      <c r="B717">
        <v>186</v>
      </c>
      <c r="C717" s="1">
        <f>(Tabela1[[#This Row],[x]]-H$3)*(Tabela1[[#This Row],[x]]-H$3) +(Tabela1[[#This Row],[y]]-H$4)*(Tabela1[[#This Row],[y]]-H$4)</f>
        <v>12077</v>
      </c>
      <c r="D717" s="1">
        <f>IF(Tabela1[[#This Row],[promien]]&lt;40000,1,0)</f>
        <v>1</v>
      </c>
      <c r="E717" s="1">
        <f>IF(Tabela1[[#This Row],[promien]]=40000,1,0)</f>
        <v>0</v>
      </c>
      <c r="F717" s="1">
        <v>3.1799163179916317</v>
      </c>
      <c r="G717" s="1">
        <v>3.8323664401838542E-2</v>
      </c>
    </row>
    <row r="718" spans="1:7">
      <c r="A718">
        <v>232</v>
      </c>
      <c r="B718">
        <v>146</v>
      </c>
      <c r="C718" s="1">
        <f>(Tabela1[[#This Row],[x]]-H$3)*(Tabela1[[#This Row],[x]]-H$3) +(Tabela1[[#This Row],[y]]-H$4)*(Tabela1[[#This Row],[y]]-H$4)</f>
        <v>3940</v>
      </c>
      <c r="D718" s="1">
        <f>IF(Tabela1[[#This Row],[promien]]&lt;40000,1,0)</f>
        <v>1</v>
      </c>
      <c r="E718" s="1">
        <f>IF(Tabela1[[#This Row],[promien]]=40000,1,0)</f>
        <v>0</v>
      </c>
      <c r="F718" s="1">
        <v>3.181058495821727</v>
      </c>
      <c r="G718" s="1">
        <v>3.9465842231933834E-2</v>
      </c>
    </row>
    <row r="719" spans="1:7">
      <c r="A719">
        <v>305</v>
      </c>
      <c r="B719">
        <v>51</v>
      </c>
      <c r="C719" s="1">
        <f>(Tabela1[[#This Row],[x]]-H$3)*(Tabela1[[#This Row],[x]]-H$3) +(Tabela1[[#This Row],[y]]-H$4)*(Tabela1[[#This Row],[y]]-H$4)</f>
        <v>33226</v>
      </c>
      <c r="D719" s="1">
        <f>IF(Tabela1[[#This Row],[promien]]&lt;40000,1,0)</f>
        <v>1</v>
      </c>
      <c r="E719" s="1">
        <f>IF(Tabela1[[#This Row],[promien]]=40000,1,0)</f>
        <v>0</v>
      </c>
      <c r="F719" s="1">
        <v>3.1821974965229485</v>
      </c>
      <c r="G719" s="1">
        <v>4.0604842933155361E-2</v>
      </c>
    </row>
    <row r="720" spans="1:7">
      <c r="A720">
        <v>233</v>
      </c>
      <c r="B720">
        <v>218</v>
      </c>
      <c r="C720" s="1">
        <f>(Tabela1[[#This Row],[x]]-H$3)*(Tabela1[[#This Row],[x]]-H$3) +(Tabela1[[#This Row],[y]]-H$4)*(Tabela1[[#This Row],[y]]-H$4)</f>
        <v>1413</v>
      </c>
      <c r="D720" s="1">
        <f>IF(Tabela1[[#This Row],[promien]]&lt;40000,1,0)</f>
        <v>1</v>
      </c>
      <c r="E720" s="1">
        <f>IF(Tabela1[[#This Row],[promien]]=40000,1,0)</f>
        <v>0</v>
      </c>
      <c r="F720" s="1">
        <v>3.1833333333333331</v>
      </c>
      <c r="G720" s="1">
        <v>4.174067974354001E-2</v>
      </c>
    </row>
    <row r="721" spans="1:7">
      <c r="A721">
        <v>135</v>
      </c>
      <c r="B721">
        <v>271</v>
      </c>
      <c r="C721" s="1">
        <f>(Tabela1[[#This Row],[x]]-H$3)*(Tabela1[[#This Row],[x]]-H$3) +(Tabela1[[#This Row],[y]]-H$4)*(Tabela1[[#This Row],[y]]-H$4)</f>
        <v>9266</v>
      </c>
      <c r="D721" s="1">
        <f>IF(Tabela1[[#This Row],[promien]]&lt;40000,1,0)</f>
        <v>1</v>
      </c>
      <c r="E721" s="1">
        <f>IF(Tabela1[[#This Row],[promien]]=40000,1,0)</f>
        <v>0</v>
      </c>
      <c r="F721" s="1">
        <v>3.1844660194174756</v>
      </c>
      <c r="G721" s="1">
        <v>4.287336582768253E-2</v>
      </c>
    </row>
    <row r="722" spans="1:7">
      <c r="A722">
        <v>172</v>
      </c>
      <c r="B722">
        <v>324</v>
      </c>
      <c r="C722" s="1">
        <f>(Tabela1[[#This Row],[x]]-H$3)*(Tabela1[[#This Row],[x]]-H$3) +(Tabela1[[#This Row],[y]]-H$4)*(Tabela1[[#This Row],[y]]-H$4)</f>
        <v>16160</v>
      </c>
      <c r="D722" s="1">
        <f>IF(Tabela1[[#This Row],[promien]]&lt;40000,1,0)</f>
        <v>1</v>
      </c>
      <c r="E722" s="1">
        <f>IF(Tabela1[[#This Row],[promien]]=40000,1,0)</f>
        <v>0</v>
      </c>
      <c r="F722" s="1">
        <v>3.1855955678670358</v>
      </c>
      <c r="G722" s="1">
        <v>4.4002914277242677E-2</v>
      </c>
    </row>
    <row r="723" spans="1:7">
      <c r="A723">
        <v>85</v>
      </c>
      <c r="B723">
        <v>66</v>
      </c>
      <c r="C723" s="1">
        <f>(Tabela1[[#This Row],[x]]-H$3)*(Tabela1[[#This Row],[x]]-H$3) +(Tabela1[[#This Row],[y]]-H$4)*(Tabela1[[#This Row],[y]]-H$4)</f>
        <v>31181</v>
      </c>
      <c r="D723" s="1">
        <f>IF(Tabela1[[#This Row],[promien]]&lt;40000,1,0)</f>
        <v>1</v>
      </c>
      <c r="E723" s="1">
        <f>IF(Tabela1[[#This Row],[promien]]=40000,1,0)</f>
        <v>0</v>
      </c>
      <c r="F723" s="1">
        <v>3.1867219917012446</v>
      </c>
      <c r="G723" s="1">
        <v>4.5129338111451478E-2</v>
      </c>
    </row>
    <row r="724" spans="1:7">
      <c r="A724">
        <v>30</v>
      </c>
      <c r="B724">
        <v>253</v>
      </c>
      <c r="C724" s="1">
        <f>(Tabela1[[#This Row],[x]]-H$3)*(Tabela1[[#This Row],[x]]-H$3) +(Tabela1[[#This Row],[y]]-H$4)*(Tabela1[[#This Row],[y]]-H$4)</f>
        <v>31709</v>
      </c>
      <c r="D724" s="1">
        <f>IF(Tabela1[[#This Row],[promien]]&lt;40000,1,0)</f>
        <v>1</v>
      </c>
      <c r="E724" s="1">
        <f>IF(Tabela1[[#This Row],[promien]]=40000,1,0)</f>
        <v>0</v>
      </c>
      <c r="F724" s="1">
        <v>3.1878453038674035</v>
      </c>
      <c r="G724" s="1">
        <v>4.6252650277610385E-2</v>
      </c>
    </row>
    <row r="725" spans="1:7">
      <c r="A725">
        <v>100</v>
      </c>
      <c r="B725">
        <v>389</v>
      </c>
      <c r="C725" s="1">
        <f>(Tabela1[[#This Row],[x]]-H$3)*(Tabela1[[#This Row],[x]]-H$3) +(Tabela1[[#This Row],[y]]-H$4)*(Tabela1[[#This Row],[y]]-H$4)</f>
        <v>45721</v>
      </c>
      <c r="D725" s="1">
        <f>IF(Tabela1[[#This Row],[promien]]&lt;40000,1,0)</f>
        <v>0</v>
      </c>
      <c r="E725" s="1">
        <f>IF(Tabela1[[#This Row],[promien]]=40000,1,0)</f>
        <v>0</v>
      </c>
      <c r="F725" s="1">
        <v>3.183448275862069</v>
      </c>
      <c r="G725" s="1">
        <v>4.1855622272275905E-2</v>
      </c>
    </row>
    <row r="726" spans="1:7">
      <c r="A726">
        <v>217</v>
      </c>
      <c r="B726">
        <v>192</v>
      </c>
      <c r="C726" s="1">
        <f>(Tabela1[[#This Row],[x]]-H$3)*(Tabela1[[#This Row],[x]]-H$3) +(Tabela1[[#This Row],[y]]-H$4)*(Tabela1[[#This Row],[y]]-H$4)</f>
        <v>353</v>
      </c>
      <c r="D726" s="1">
        <f>IF(Tabela1[[#This Row],[promien]]&lt;40000,1,0)</f>
        <v>1</v>
      </c>
      <c r="E726" s="1">
        <f>IF(Tabela1[[#This Row],[promien]]=40000,1,0)</f>
        <v>0</v>
      </c>
      <c r="F726" s="1">
        <v>3.1845730027548211</v>
      </c>
      <c r="G726" s="1">
        <v>4.298034916502802E-2</v>
      </c>
    </row>
    <row r="727" spans="1:7">
      <c r="A727">
        <v>322</v>
      </c>
      <c r="B727">
        <v>150</v>
      </c>
      <c r="C727" s="1">
        <f>(Tabela1[[#This Row],[x]]-H$3)*(Tabela1[[#This Row],[x]]-H$3) +(Tabela1[[#This Row],[y]]-H$4)*(Tabela1[[#This Row],[y]]-H$4)</f>
        <v>17384</v>
      </c>
      <c r="D727" s="1">
        <f>IF(Tabela1[[#This Row],[promien]]&lt;40000,1,0)</f>
        <v>1</v>
      </c>
      <c r="E727" s="1">
        <f>IF(Tabela1[[#This Row],[promien]]=40000,1,0)</f>
        <v>0</v>
      </c>
      <c r="F727" s="1">
        <v>3.185694635488308</v>
      </c>
      <c r="G727" s="1">
        <v>4.4101981898514886E-2</v>
      </c>
    </row>
    <row r="728" spans="1:7">
      <c r="A728">
        <v>20</v>
      </c>
      <c r="B728">
        <v>347</v>
      </c>
      <c r="C728" s="1">
        <f>(Tabela1[[#This Row],[x]]-H$3)*(Tabela1[[#This Row],[x]]-H$3) +(Tabela1[[#This Row],[y]]-H$4)*(Tabela1[[#This Row],[y]]-H$4)</f>
        <v>54009</v>
      </c>
      <c r="D728" s="1">
        <f>IF(Tabela1[[#This Row],[promien]]&lt;40000,1,0)</f>
        <v>0</v>
      </c>
      <c r="E728" s="1">
        <f>IF(Tabela1[[#This Row],[promien]]=40000,1,0)</f>
        <v>0</v>
      </c>
      <c r="F728" s="1">
        <v>3.1813186813186811</v>
      </c>
      <c r="G728" s="1">
        <v>3.9726027728888003E-2</v>
      </c>
    </row>
    <row r="729" spans="1:7">
      <c r="A729">
        <v>43</v>
      </c>
      <c r="B729">
        <v>199</v>
      </c>
      <c r="C729" s="1">
        <f>(Tabela1[[#This Row],[x]]-H$3)*(Tabela1[[#This Row],[x]]-H$3) +(Tabela1[[#This Row],[y]]-H$4)*(Tabela1[[#This Row],[y]]-H$4)</f>
        <v>24650</v>
      </c>
      <c r="D729" s="1">
        <f>IF(Tabela1[[#This Row],[promien]]&lt;40000,1,0)</f>
        <v>1</v>
      </c>
      <c r="E729" s="1">
        <f>IF(Tabela1[[#This Row],[promien]]=40000,1,0)</f>
        <v>0</v>
      </c>
      <c r="F729" s="1">
        <v>3.1824417009602195</v>
      </c>
      <c r="G729" s="1">
        <v>4.0849047370426383E-2</v>
      </c>
    </row>
    <row r="730" spans="1:7">
      <c r="A730">
        <v>366</v>
      </c>
      <c r="B730">
        <v>131</v>
      </c>
      <c r="C730" s="1">
        <f>(Tabela1[[#This Row],[x]]-H$3)*(Tabela1[[#This Row],[x]]-H$3) +(Tabela1[[#This Row],[y]]-H$4)*(Tabela1[[#This Row],[y]]-H$4)</f>
        <v>32317</v>
      </c>
      <c r="D730" s="1">
        <f>IF(Tabela1[[#This Row],[promien]]&lt;40000,1,0)</f>
        <v>1</v>
      </c>
      <c r="E730" s="1">
        <f>IF(Tabela1[[#This Row],[promien]]=40000,1,0)</f>
        <v>0</v>
      </c>
      <c r="F730" s="1">
        <v>3.1835616438356165</v>
      </c>
      <c r="G730" s="1">
        <v>4.1968990245823345E-2</v>
      </c>
    </row>
    <row r="731" spans="1:7">
      <c r="A731">
        <v>99</v>
      </c>
      <c r="B731">
        <v>204</v>
      </c>
      <c r="C731" s="1">
        <f>(Tabela1[[#This Row],[x]]-H$3)*(Tabela1[[#This Row],[x]]-H$3) +(Tabela1[[#This Row],[y]]-H$4)*(Tabela1[[#This Row],[y]]-H$4)</f>
        <v>10217</v>
      </c>
      <c r="D731" s="1">
        <f>IF(Tabela1[[#This Row],[promien]]&lt;40000,1,0)</f>
        <v>1</v>
      </c>
      <c r="E731" s="1">
        <f>IF(Tabela1[[#This Row],[promien]]=40000,1,0)</f>
        <v>0</v>
      </c>
      <c r="F731" s="1">
        <v>3.1846785225718195</v>
      </c>
      <c r="G731" s="1">
        <v>4.3085868982026376E-2</v>
      </c>
    </row>
    <row r="732" spans="1:7">
      <c r="A732">
        <v>226</v>
      </c>
      <c r="B732">
        <v>103</v>
      </c>
      <c r="C732" s="1">
        <f>(Tabela1[[#This Row],[x]]-H$3)*(Tabela1[[#This Row],[x]]-H$3) +(Tabela1[[#This Row],[y]]-H$4)*(Tabela1[[#This Row],[y]]-H$4)</f>
        <v>10085</v>
      </c>
      <c r="D732" s="1">
        <f>IF(Tabela1[[#This Row],[promien]]&lt;40000,1,0)</f>
        <v>1</v>
      </c>
      <c r="E732" s="1">
        <f>IF(Tabela1[[#This Row],[promien]]=40000,1,0)</f>
        <v>0</v>
      </c>
      <c r="F732" s="1">
        <v>3.1857923497267762</v>
      </c>
      <c r="G732" s="1">
        <v>4.4199696136983047E-2</v>
      </c>
    </row>
    <row r="733" spans="1:7">
      <c r="A733">
        <v>65</v>
      </c>
      <c r="B733">
        <v>248</v>
      </c>
      <c r="C733" s="1">
        <f>(Tabela1[[#This Row],[x]]-H$3)*(Tabela1[[#This Row],[x]]-H$3) +(Tabela1[[#This Row],[y]]-H$4)*(Tabela1[[#This Row],[y]]-H$4)</f>
        <v>20529</v>
      </c>
      <c r="D733" s="1">
        <f>IF(Tabela1[[#This Row],[promien]]&lt;40000,1,0)</f>
        <v>1</v>
      </c>
      <c r="E733" s="1">
        <f>IF(Tabela1[[#This Row],[promien]]=40000,1,0)</f>
        <v>0</v>
      </c>
      <c r="F733" s="1">
        <v>3.1869031377899044</v>
      </c>
      <c r="G733" s="1">
        <v>4.5310484200111301E-2</v>
      </c>
    </row>
    <row r="734" spans="1:7">
      <c r="A734">
        <v>329</v>
      </c>
      <c r="B734">
        <v>206</v>
      </c>
      <c r="C734" s="1">
        <f>(Tabela1[[#This Row],[x]]-H$3)*(Tabela1[[#This Row],[x]]-H$3) +(Tabela1[[#This Row],[y]]-H$4)*(Tabela1[[#This Row],[y]]-H$4)</f>
        <v>16677</v>
      </c>
      <c r="D734" s="1">
        <f>IF(Tabela1[[#This Row],[promien]]&lt;40000,1,0)</f>
        <v>1</v>
      </c>
      <c r="E734" s="1">
        <f>IF(Tabela1[[#This Row],[promien]]=40000,1,0)</f>
        <v>0</v>
      </c>
      <c r="F734" s="1">
        <v>3.1880108991825611</v>
      </c>
      <c r="G734" s="1">
        <v>4.641824559276797E-2</v>
      </c>
    </row>
    <row r="735" spans="1:7">
      <c r="A735">
        <v>383</v>
      </c>
      <c r="B735">
        <v>169</v>
      </c>
      <c r="C735" s="1">
        <f>(Tabela1[[#This Row],[x]]-H$3)*(Tabela1[[#This Row],[x]]-H$3) +(Tabela1[[#This Row],[y]]-H$4)*(Tabela1[[#This Row],[y]]-H$4)</f>
        <v>34450</v>
      </c>
      <c r="D735" s="1">
        <f>IF(Tabela1[[#This Row],[promien]]&lt;40000,1,0)</f>
        <v>1</v>
      </c>
      <c r="E735" s="1">
        <f>IF(Tabela1[[#This Row],[promien]]=40000,1,0)</f>
        <v>0</v>
      </c>
      <c r="F735" s="1">
        <v>3.1891156462585033</v>
      </c>
      <c r="G735" s="1">
        <v>4.7522992668710184E-2</v>
      </c>
    </row>
    <row r="736" spans="1:7">
      <c r="A736">
        <v>139</v>
      </c>
      <c r="B736">
        <v>331</v>
      </c>
      <c r="C736" s="1">
        <f>(Tabela1[[#This Row],[x]]-H$3)*(Tabela1[[#This Row],[x]]-H$3) +(Tabela1[[#This Row],[y]]-H$4)*(Tabela1[[#This Row],[y]]-H$4)</f>
        <v>20882</v>
      </c>
      <c r="D736" s="1">
        <f>IF(Tabela1[[#This Row],[promien]]&lt;40000,1,0)</f>
        <v>1</v>
      </c>
      <c r="E736" s="1">
        <f>IF(Tabela1[[#This Row],[promien]]=40000,1,0)</f>
        <v>0</v>
      </c>
      <c r="F736" s="1">
        <v>3.1902173913043477</v>
      </c>
      <c r="G736" s="1">
        <v>4.8624737714554556E-2</v>
      </c>
    </row>
    <row r="737" spans="1:7">
      <c r="A737">
        <v>174</v>
      </c>
      <c r="B737">
        <v>146</v>
      </c>
      <c r="C737" s="1">
        <f>(Tabela1[[#This Row],[x]]-H$3)*(Tabela1[[#This Row],[x]]-H$3) +(Tabela1[[#This Row],[y]]-H$4)*(Tabela1[[#This Row],[y]]-H$4)</f>
        <v>3592</v>
      </c>
      <c r="D737" s="1">
        <f>IF(Tabela1[[#This Row],[promien]]&lt;40000,1,0)</f>
        <v>1</v>
      </c>
      <c r="E737" s="1">
        <f>IF(Tabela1[[#This Row],[promien]]=40000,1,0)</f>
        <v>0</v>
      </c>
      <c r="F737" s="1">
        <v>3.1913161465400273</v>
      </c>
      <c r="G737" s="1">
        <v>4.9723492950234149E-2</v>
      </c>
    </row>
    <row r="738" spans="1:7">
      <c r="A738">
        <v>365</v>
      </c>
      <c r="B738">
        <v>190</v>
      </c>
      <c r="C738" s="1">
        <f>(Tabela1[[#This Row],[x]]-H$3)*(Tabela1[[#This Row],[x]]-H$3) +(Tabela1[[#This Row],[y]]-H$4)*(Tabela1[[#This Row],[y]]-H$4)</f>
        <v>27325</v>
      </c>
      <c r="D738" s="1">
        <f>IF(Tabela1[[#This Row],[promien]]&lt;40000,1,0)</f>
        <v>1</v>
      </c>
      <c r="E738" s="1">
        <f>IF(Tabela1[[#This Row],[promien]]=40000,1,0)</f>
        <v>0</v>
      </c>
      <c r="F738" s="1">
        <v>3.192411924119241</v>
      </c>
      <c r="G738" s="1">
        <v>5.0819270529447902E-2</v>
      </c>
    </row>
    <row r="739" spans="1:7">
      <c r="A739">
        <v>343</v>
      </c>
      <c r="B739">
        <v>214</v>
      </c>
      <c r="C739" s="1">
        <f>(Tabela1[[#This Row],[x]]-H$3)*(Tabela1[[#This Row],[x]]-H$3) +(Tabela1[[#This Row],[y]]-H$4)*(Tabela1[[#This Row],[y]]-H$4)</f>
        <v>20645</v>
      </c>
      <c r="D739" s="1">
        <f>IF(Tabela1[[#This Row],[promien]]&lt;40000,1,0)</f>
        <v>1</v>
      </c>
      <c r="E739" s="1">
        <f>IF(Tabela1[[#This Row],[promien]]=40000,1,0)</f>
        <v>0</v>
      </c>
      <c r="F739" s="1">
        <v>3.1935047361299054</v>
      </c>
      <c r="G739" s="1">
        <v>5.1912082540112259E-2</v>
      </c>
    </row>
    <row r="740" spans="1:7">
      <c r="A740">
        <v>6</v>
      </c>
      <c r="B740">
        <v>183</v>
      </c>
      <c r="C740" s="1">
        <f>(Tabela1[[#This Row],[x]]-H$3)*(Tabela1[[#This Row],[x]]-H$3) +(Tabela1[[#This Row],[y]]-H$4)*(Tabela1[[#This Row],[y]]-H$4)</f>
        <v>37925</v>
      </c>
      <c r="D740" s="1">
        <f>IF(Tabela1[[#This Row],[promien]]&lt;40000,1,0)</f>
        <v>1</v>
      </c>
      <c r="E740" s="1">
        <f>IF(Tabela1[[#This Row],[promien]]=40000,1,0)</f>
        <v>0</v>
      </c>
      <c r="F740" s="1">
        <v>3.1945945945945944</v>
      </c>
      <c r="G740" s="1">
        <v>5.3001941004801267E-2</v>
      </c>
    </row>
    <row r="741" spans="1:7">
      <c r="A741">
        <v>22</v>
      </c>
      <c r="B741">
        <v>200</v>
      </c>
      <c r="C741" s="1">
        <f>(Tabela1[[#This Row],[x]]-H$3)*(Tabela1[[#This Row],[x]]-H$3) +(Tabela1[[#This Row],[y]]-H$4)*(Tabela1[[#This Row],[y]]-H$4)</f>
        <v>31684</v>
      </c>
      <c r="D741" s="1">
        <f>IF(Tabela1[[#This Row],[promien]]&lt;40000,1,0)</f>
        <v>1</v>
      </c>
      <c r="E741" s="1">
        <f>IF(Tabela1[[#This Row],[promien]]=40000,1,0)</f>
        <v>0</v>
      </c>
      <c r="F741" s="1">
        <v>3.1956815114709851</v>
      </c>
      <c r="G741" s="1">
        <v>5.4088857881191998E-2</v>
      </c>
    </row>
    <row r="742" spans="1:7">
      <c r="A742">
        <v>307</v>
      </c>
      <c r="B742">
        <v>81</v>
      </c>
      <c r="C742" s="1">
        <f>(Tabela1[[#This Row],[x]]-H$3)*(Tabela1[[#This Row],[x]]-H$3) +(Tabela1[[#This Row],[y]]-H$4)*(Tabela1[[#This Row],[y]]-H$4)</f>
        <v>25610</v>
      </c>
      <c r="D742" s="1">
        <f>IF(Tabela1[[#This Row],[promien]]&lt;40000,1,0)</f>
        <v>1</v>
      </c>
      <c r="E742" s="1">
        <f>IF(Tabela1[[#This Row],[promien]]=40000,1,0)</f>
        <v>0</v>
      </c>
      <c r="F742" s="1">
        <v>3.1967654986522911</v>
      </c>
      <c r="G742" s="1">
        <v>5.5172845062497977E-2</v>
      </c>
    </row>
    <row r="743" spans="1:7">
      <c r="A743">
        <v>35</v>
      </c>
      <c r="B743">
        <v>303</v>
      </c>
      <c r="C743" s="1">
        <f>(Tabela1[[#This Row],[x]]-H$3)*(Tabela1[[#This Row],[x]]-H$3) +(Tabela1[[#This Row],[y]]-H$4)*(Tabela1[[#This Row],[y]]-H$4)</f>
        <v>37834</v>
      </c>
      <c r="D743" s="1">
        <f>IF(Tabela1[[#This Row],[promien]]&lt;40000,1,0)</f>
        <v>1</v>
      </c>
      <c r="E743" s="1">
        <f>IF(Tabela1[[#This Row],[promien]]=40000,1,0)</f>
        <v>0</v>
      </c>
      <c r="F743" s="1">
        <v>3.1978465679676984</v>
      </c>
      <c r="G743" s="1">
        <v>5.6253914377905279E-2</v>
      </c>
    </row>
    <row r="744" spans="1:7">
      <c r="A744">
        <v>203</v>
      </c>
      <c r="B744">
        <v>309</v>
      </c>
      <c r="C744" s="1">
        <f>(Tabela1[[#This Row],[x]]-H$3)*(Tabela1[[#This Row],[x]]-H$3) +(Tabela1[[#This Row],[y]]-H$4)*(Tabela1[[#This Row],[y]]-H$4)</f>
        <v>11890</v>
      </c>
      <c r="D744" s="1">
        <f>IF(Tabela1[[#This Row],[promien]]&lt;40000,1,0)</f>
        <v>1</v>
      </c>
      <c r="E744" s="1">
        <f>IF(Tabela1[[#This Row],[promien]]=40000,1,0)</f>
        <v>0</v>
      </c>
      <c r="F744" s="1">
        <v>3.1989247311827955</v>
      </c>
      <c r="G744" s="1">
        <v>5.7332077593002406E-2</v>
      </c>
    </row>
    <row r="745" spans="1:7">
      <c r="A745">
        <v>252</v>
      </c>
      <c r="B745">
        <v>171</v>
      </c>
      <c r="C745" s="1">
        <f>(Tabela1[[#This Row],[x]]-H$3)*(Tabela1[[#This Row],[x]]-H$3) +(Tabela1[[#This Row],[y]]-H$4)*(Tabela1[[#This Row],[y]]-H$4)</f>
        <v>3545</v>
      </c>
      <c r="D745" s="1">
        <f>IF(Tabela1[[#This Row],[promien]]&lt;40000,1,0)</f>
        <v>1</v>
      </c>
      <c r="E745" s="1">
        <f>IF(Tabela1[[#This Row],[promien]]=40000,1,0)</f>
        <v>0</v>
      </c>
      <c r="F745" s="1">
        <v>3.2</v>
      </c>
      <c r="G745" s="1">
        <v>5.8407346410207062E-2</v>
      </c>
    </row>
    <row r="746" spans="1:7">
      <c r="A746">
        <v>354</v>
      </c>
      <c r="B746">
        <v>107</v>
      </c>
      <c r="C746" s="1">
        <f>(Tabela1[[#This Row],[x]]-H$3)*(Tabela1[[#This Row],[x]]-H$3) +(Tabela1[[#This Row],[y]]-H$4)*(Tabela1[[#This Row],[y]]-H$4)</f>
        <v>32365</v>
      </c>
      <c r="D746" s="1">
        <f>IF(Tabela1[[#This Row],[promien]]&lt;40000,1,0)</f>
        <v>1</v>
      </c>
      <c r="E746" s="1">
        <f>IF(Tabela1[[#This Row],[promien]]=40000,1,0)</f>
        <v>0</v>
      </c>
      <c r="F746" s="1">
        <v>3.2010723860589811</v>
      </c>
      <c r="G746" s="1">
        <v>5.9479732469188029E-2</v>
      </c>
    </row>
    <row r="747" spans="1:7">
      <c r="A747">
        <v>376</v>
      </c>
      <c r="B747">
        <v>174</v>
      </c>
      <c r="C747" s="1">
        <f>(Tabela1[[#This Row],[x]]-H$3)*(Tabela1[[#This Row],[x]]-H$3) +(Tabela1[[#This Row],[y]]-H$4)*(Tabela1[[#This Row],[y]]-H$4)</f>
        <v>31652</v>
      </c>
      <c r="D747" s="1">
        <f>IF(Tabela1[[#This Row],[promien]]&lt;40000,1,0)</f>
        <v>1</v>
      </c>
      <c r="E747" s="1">
        <f>IF(Tabela1[[#This Row],[promien]]=40000,1,0)</f>
        <v>0</v>
      </c>
      <c r="F747" s="1">
        <v>3.2021419009370815</v>
      </c>
      <c r="G747" s="1">
        <v>6.0549247347288393E-2</v>
      </c>
    </row>
    <row r="748" spans="1:7">
      <c r="A748">
        <v>364</v>
      </c>
      <c r="B748">
        <v>169</v>
      </c>
      <c r="C748" s="1">
        <f>(Tabela1[[#This Row],[x]]-H$3)*(Tabela1[[#This Row],[x]]-H$3) +(Tabela1[[#This Row],[y]]-H$4)*(Tabela1[[#This Row],[y]]-H$4)</f>
        <v>27857</v>
      </c>
      <c r="D748" s="1">
        <f>IF(Tabela1[[#This Row],[promien]]&lt;40000,1,0)</f>
        <v>1</v>
      </c>
      <c r="E748" s="1">
        <f>IF(Tabela1[[#This Row],[promien]]=40000,1,0)</f>
        <v>0</v>
      </c>
      <c r="F748" s="1">
        <v>3.2032085561497325</v>
      </c>
      <c r="G748" s="1">
        <v>6.1615902559939428E-2</v>
      </c>
    </row>
    <row r="749" spans="1:7">
      <c r="A749">
        <v>53</v>
      </c>
      <c r="B749">
        <v>61</v>
      </c>
      <c r="C749" s="1">
        <f>(Tabela1[[#This Row],[x]]-H$3)*(Tabela1[[#This Row],[x]]-H$3) +(Tabela1[[#This Row],[y]]-H$4)*(Tabela1[[#This Row],[y]]-H$4)</f>
        <v>40930</v>
      </c>
      <c r="D749" s="1">
        <f>IF(Tabela1[[#This Row],[promien]]&lt;40000,1,0)</f>
        <v>0</v>
      </c>
      <c r="E749" s="1">
        <f>IF(Tabela1[[#This Row],[promien]]=40000,1,0)</f>
        <v>0</v>
      </c>
      <c r="F749" s="1">
        <v>3.1989319092122832</v>
      </c>
      <c r="G749" s="1">
        <v>5.7339255622490093E-2</v>
      </c>
    </row>
    <row r="750" spans="1:7">
      <c r="A750">
        <v>105</v>
      </c>
      <c r="B750">
        <v>286</v>
      </c>
      <c r="C750" s="1">
        <f>(Tabela1[[#This Row],[x]]-H$3)*(Tabela1[[#This Row],[x]]-H$3) +(Tabela1[[#This Row],[y]]-H$4)*(Tabela1[[#This Row],[y]]-H$4)</f>
        <v>16421</v>
      </c>
      <c r="D750" s="1">
        <f>IF(Tabela1[[#This Row],[promien]]&lt;40000,1,0)</f>
        <v>1</v>
      </c>
      <c r="E750" s="1">
        <f>IF(Tabela1[[#This Row],[promien]]=40000,1,0)</f>
        <v>0</v>
      </c>
      <c r="F750" s="1">
        <v>3.2</v>
      </c>
      <c r="G750" s="1">
        <v>5.8407346410207062E-2</v>
      </c>
    </row>
    <row r="751" spans="1:7">
      <c r="A751">
        <v>174</v>
      </c>
      <c r="B751">
        <v>0</v>
      </c>
      <c r="C751" s="1">
        <f>(Tabela1[[#This Row],[x]]-H$3)*(Tabela1[[#This Row],[x]]-H$3) +(Tabela1[[#This Row],[y]]-H$4)*(Tabela1[[#This Row],[y]]-H$4)</f>
        <v>40676</v>
      </c>
      <c r="D751" s="1">
        <f>IF(Tabela1[[#This Row],[promien]]&lt;40000,1,0)</f>
        <v>0</v>
      </c>
      <c r="E751" s="1">
        <f>IF(Tabela1[[#This Row],[promien]]=40000,1,0)</f>
        <v>0</v>
      </c>
      <c r="F751" s="1">
        <v>3.1957390146471369</v>
      </c>
      <c r="G751" s="1">
        <v>5.4146361057343828E-2</v>
      </c>
    </row>
    <row r="752" spans="1:7">
      <c r="A752">
        <v>12</v>
      </c>
      <c r="B752">
        <v>12</v>
      </c>
      <c r="C752" s="1">
        <f>(Tabela1[[#This Row],[x]]-H$3)*(Tabela1[[#This Row],[x]]-H$3) +(Tabela1[[#This Row],[y]]-H$4)*(Tabela1[[#This Row],[y]]-H$4)</f>
        <v>70688</v>
      </c>
      <c r="D752" s="1">
        <f>IF(Tabela1[[#This Row],[promien]]&lt;40000,1,0)</f>
        <v>0</v>
      </c>
      <c r="E752" s="1">
        <f>IF(Tabela1[[#This Row],[promien]]=40000,1,0)</f>
        <v>0</v>
      </c>
      <c r="F752" s="1">
        <v>3.1914893617021276</v>
      </c>
      <c r="G752" s="1">
        <v>4.9896708112334487E-2</v>
      </c>
    </row>
    <row r="753" spans="1:7">
      <c r="A753">
        <v>360</v>
      </c>
      <c r="B753">
        <v>374</v>
      </c>
      <c r="C753" s="1">
        <f>(Tabela1[[#This Row],[x]]-H$3)*(Tabela1[[#This Row],[x]]-H$3) +(Tabela1[[#This Row],[y]]-H$4)*(Tabela1[[#This Row],[y]]-H$4)</f>
        <v>55876</v>
      </c>
      <c r="D753" s="1">
        <f>IF(Tabela1[[#This Row],[promien]]&lt;40000,1,0)</f>
        <v>0</v>
      </c>
      <c r="E753" s="1">
        <f>IF(Tabela1[[#This Row],[promien]]=40000,1,0)</f>
        <v>0</v>
      </c>
      <c r="F753" s="1">
        <v>3.1872509960159361</v>
      </c>
      <c r="G753" s="1">
        <v>4.5658342426142973E-2</v>
      </c>
    </row>
    <row r="754" spans="1:7">
      <c r="A754">
        <v>24</v>
      </c>
      <c r="B754">
        <v>226</v>
      </c>
      <c r="C754" s="1">
        <f>(Tabela1[[#This Row],[x]]-H$3)*(Tabela1[[#This Row],[x]]-H$3) +(Tabela1[[#This Row],[y]]-H$4)*(Tabela1[[#This Row],[y]]-H$4)</f>
        <v>31652</v>
      </c>
      <c r="D754" s="1">
        <f>IF(Tabela1[[#This Row],[promien]]&lt;40000,1,0)</f>
        <v>1</v>
      </c>
      <c r="E754" s="1">
        <f>IF(Tabela1[[#This Row],[promien]]=40000,1,0)</f>
        <v>0</v>
      </c>
      <c r="F754" s="1">
        <v>3.1883289124668437</v>
      </c>
      <c r="G754" s="1">
        <v>4.6736258877050574E-2</v>
      </c>
    </row>
    <row r="755" spans="1:7">
      <c r="A755">
        <v>249</v>
      </c>
      <c r="B755">
        <v>263</v>
      </c>
      <c r="C755" s="1">
        <f>(Tabela1[[#This Row],[x]]-H$3)*(Tabela1[[#This Row],[x]]-H$3) +(Tabela1[[#This Row],[y]]-H$4)*(Tabela1[[#This Row],[y]]-H$4)</f>
        <v>6370</v>
      </c>
      <c r="D755" s="1">
        <f>IF(Tabela1[[#This Row],[promien]]&lt;40000,1,0)</f>
        <v>1</v>
      </c>
      <c r="E755" s="1">
        <f>IF(Tabela1[[#This Row],[promien]]=40000,1,0)</f>
        <v>0</v>
      </c>
      <c r="F755" s="1">
        <v>3.189403973509934</v>
      </c>
      <c r="G755" s="1">
        <v>4.7811319920140871E-2</v>
      </c>
    </row>
    <row r="756" spans="1:7">
      <c r="A756">
        <v>207</v>
      </c>
      <c r="B756">
        <v>34</v>
      </c>
      <c r="C756" s="1">
        <f>(Tabela1[[#This Row],[x]]-H$3)*(Tabela1[[#This Row],[x]]-H$3) +(Tabela1[[#This Row],[y]]-H$4)*(Tabela1[[#This Row],[y]]-H$4)</f>
        <v>27605</v>
      </c>
      <c r="D756" s="1">
        <f>IF(Tabela1[[#This Row],[promien]]&lt;40000,1,0)</f>
        <v>1</v>
      </c>
      <c r="E756" s="1">
        <f>IF(Tabela1[[#This Row],[promien]]=40000,1,0)</f>
        <v>0</v>
      </c>
      <c r="F756" s="1">
        <v>3.1904761904761907</v>
      </c>
      <c r="G756" s="1">
        <v>4.8883536886397572E-2</v>
      </c>
    </row>
    <row r="757" spans="1:7">
      <c r="A757">
        <v>131</v>
      </c>
      <c r="B757">
        <v>237</v>
      </c>
      <c r="C757" s="1">
        <f>(Tabela1[[#This Row],[x]]-H$3)*(Tabela1[[#This Row],[x]]-H$3) +(Tabela1[[#This Row],[y]]-H$4)*(Tabela1[[#This Row],[y]]-H$4)</f>
        <v>6130</v>
      </c>
      <c r="D757" s="1">
        <f>IF(Tabela1[[#This Row],[promien]]&lt;40000,1,0)</f>
        <v>1</v>
      </c>
      <c r="E757" s="1">
        <f>IF(Tabela1[[#This Row],[promien]]=40000,1,0)</f>
        <v>0</v>
      </c>
      <c r="F757" s="1">
        <v>3.1915455746367241</v>
      </c>
      <c r="G757" s="1">
        <v>4.9952921046930943E-2</v>
      </c>
    </row>
    <row r="758" spans="1:7">
      <c r="A758">
        <v>168</v>
      </c>
      <c r="B758">
        <v>159</v>
      </c>
      <c r="C758" s="1">
        <f>(Tabela1[[#This Row],[x]]-H$3)*(Tabela1[[#This Row],[x]]-H$3) +(Tabela1[[#This Row],[y]]-H$4)*(Tabela1[[#This Row],[y]]-H$4)</f>
        <v>2705</v>
      </c>
      <c r="D758" s="1">
        <f>IF(Tabela1[[#This Row],[promien]]&lt;40000,1,0)</f>
        <v>1</v>
      </c>
      <c r="E758" s="1">
        <f>IF(Tabela1[[#This Row],[promien]]=40000,1,0)</f>
        <v>0</v>
      </c>
      <c r="F758" s="1">
        <v>3.1926121372031662</v>
      </c>
      <c r="G758" s="1">
        <v>5.1019483613373051E-2</v>
      </c>
    </row>
    <row r="759" spans="1:7">
      <c r="A759">
        <v>284</v>
      </c>
      <c r="B759">
        <v>202</v>
      </c>
      <c r="C759" s="1">
        <f>(Tabela1[[#This Row],[x]]-H$3)*(Tabela1[[#This Row],[x]]-H$3) +(Tabela1[[#This Row],[y]]-H$4)*(Tabela1[[#This Row],[y]]-H$4)</f>
        <v>7060</v>
      </c>
      <c r="D759" s="1">
        <f>IF(Tabela1[[#This Row],[promien]]&lt;40000,1,0)</f>
        <v>1</v>
      </c>
      <c r="E759" s="1">
        <f>IF(Tabela1[[#This Row],[promien]]=40000,1,0)</f>
        <v>0</v>
      </c>
      <c r="F759" s="1">
        <v>3.1936758893280635</v>
      </c>
      <c r="G759" s="1">
        <v>5.2083235738270339E-2</v>
      </c>
    </row>
    <row r="760" spans="1:7">
      <c r="A760">
        <v>361</v>
      </c>
      <c r="B760">
        <v>252</v>
      </c>
      <c r="C760" s="1">
        <f>(Tabela1[[#This Row],[x]]-H$3)*(Tabela1[[#This Row],[x]]-H$3) +(Tabela1[[#This Row],[y]]-H$4)*(Tabela1[[#This Row],[y]]-H$4)</f>
        <v>28625</v>
      </c>
      <c r="D760" s="1">
        <f>IF(Tabela1[[#This Row],[promien]]&lt;40000,1,0)</f>
        <v>1</v>
      </c>
      <c r="E760" s="1">
        <f>IF(Tabela1[[#This Row],[promien]]=40000,1,0)</f>
        <v>0</v>
      </c>
      <c r="F760" s="1">
        <v>3.1947368421052631</v>
      </c>
      <c r="G760" s="1">
        <v>5.3144188515469981E-2</v>
      </c>
    </row>
    <row r="761" spans="1:7">
      <c r="A761">
        <v>177</v>
      </c>
      <c r="B761">
        <v>278</v>
      </c>
      <c r="C761" s="1">
        <f>(Tabela1[[#This Row],[x]]-H$3)*(Tabela1[[#This Row],[x]]-H$3) +(Tabela1[[#This Row],[y]]-H$4)*(Tabela1[[#This Row],[y]]-H$4)</f>
        <v>6613</v>
      </c>
      <c r="D761" s="1">
        <f>IF(Tabela1[[#This Row],[promien]]&lt;40000,1,0)</f>
        <v>1</v>
      </c>
      <c r="E761" s="1">
        <f>IF(Tabela1[[#This Row],[promien]]=40000,1,0)</f>
        <v>0</v>
      </c>
      <c r="F761" s="1">
        <v>3.195795006570302</v>
      </c>
      <c r="G761" s="1">
        <v>5.4202352980508905E-2</v>
      </c>
    </row>
    <row r="762" spans="1:7">
      <c r="A762">
        <v>226</v>
      </c>
      <c r="B762">
        <v>378</v>
      </c>
      <c r="C762" s="1">
        <f>(Tabela1[[#This Row],[x]]-H$3)*(Tabela1[[#This Row],[x]]-H$3) +(Tabela1[[#This Row],[y]]-H$4)*(Tabela1[[#This Row],[y]]-H$4)</f>
        <v>32360</v>
      </c>
      <c r="D762" s="1">
        <f>IF(Tabela1[[#This Row],[promien]]&lt;40000,1,0)</f>
        <v>1</v>
      </c>
      <c r="E762" s="1">
        <f>IF(Tabela1[[#This Row],[promien]]=40000,1,0)</f>
        <v>0</v>
      </c>
      <c r="F762" s="1">
        <v>3.1968503937007875</v>
      </c>
      <c r="G762" s="1">
        <v>5.525774011099438E-2</v>
      </c>
    </row>
    <row r="763" spans="1:7">
      <c r="A763">
        <v>56</v>
      </c>
      <c r="B763">
        <v>92</v>
      </c>
      <c r="C763" s="1">
        <f>(Tabela1[[#This Row],[x]]-H$3)*(Tabela1[[#This Row],[x]]-H$3) +(Tabela1[[#This Row],[y]]-H$4)*(Tabela1[[#This Row],[y]]-H$4)</f>
        <v>32400</v>
      </c>
      <c r="D763" s="1">
        <f>IF(Tabela1[[#This Row],[promien]]&lt;40000,1,0)</f>
        <v>1</v>
      </c>
      <c r="E763" s="1">
        <f>IF(Tabela1[[#This Row],[promien]]=40000,1,0)</f>
        <v>0</v>
      </c>
      <c r="F763" s="1">
        <v>3.1979030144167759</v>
      </c>
      <c r="G763" s="1">
        <v>5.6310360826982819E-2</v>
      </c>
    </row>
    <row r="764" spans="1:7">
      <c r="A764">
        <v>119</v>
      </c>
      <c r="B764">
        <v>369</v>
      </c>
      <c r="C764" s="1">
        <f>(Tabela1[[#This Row],[x]]-H$3)*(Tabela1[[#This Row],[x]]-H$3) +(Tabela1[[#This Row],[y]]-H$4)*(Tabela1[[#This Row],[y]]-H$4)</f>
        <v>35122</v>
      </c>
      <c r="D764" s="1">
        <f>IF(Tabela1[[#This Row],[promien]]&lt;40000,1,0)</f>
        <v>1</v>
      </c>
      <c r="E764" s="1">
        <f>IF(Tabela1[[#This Row],[promien]]=40000,1,0)</f>
        <v>0</v>
      </c>
      <c r="F764" s="1">
        <v>3.1989528795811517</v>
      </c>
      <c r="G764" s="1">
        <v>5.7360225991358593E-2</v>
      </c>
    </row>
    <row r="765" spans="1:7">
      <c r="A765">
        <v>99</v>
      </c>
      <c r="B765">
        <v>149</v>
      </c>
      <c r="C765" s="1">
        <f>(Tabela1[[#This Row],[x]]-H$3)*(Tabela1[[#This Row],[x]]-H$3) +(Tabela1[[#This Row],[y]]-H$4)*(Tabela1[[#This Row],[y]]-H$4)</f>
        <v>12802</v>
      </c>
      <c r="D765" s="1">
        <f>IF(Tabela1[[#This Row],[promien]]&lt;40000,1,0)</f>
        <v>1</v>
      </c>
      <c r="E765" s="1">
        <f>IF(Tabela1[[#This Row],[promien]]=40000,1,0)</f>
        <v>0</v>
      </c>
      <c r="F765" s="1">
        <v>3.2</v>
      </c>
      <c r="G765" s="1">
        <v>5.8407346410207062E-2</v>
      </c>
    </row>
    <row r="766" spans="1:7">
      <c r="A766">
        <v>266</v>
      </c>
      <c r="B766">
        <v>226</v>
      </c>
      <c r="C766" s="1">
        <f>(Tabela1[[#This Row],[x]]-H$3)*(Tabela1[[#This Row],[x]]-H$3) +(Tabela1[[#This Row],[y]]-H$4)*(Tabela1[[#This Row],[y]]-H$4)</f>
        <v>5032</v>
      </c>
      <c r="D766" s="1">
        <f>IF(Tabela1[[#This Row],[promien]]&lt;40000,1,0)</f>
        <v>1</v>
      </c>
      <c r="E766" s="1">
        <f>IF(Tabela1[[#This Row],[promien]]=40000,1,0)</f>
        <v>0</v>
      </c>
      <c r="F766" s="1">
        <v>3.2010443864229763</v>
      </c>
      <c r="G766" s="1">
        <v>5.9451732833183168E-2</v>
      </c>
    </row>
    <row r="767" spans="1:7">
      <c r="A767">
        <v>297</v>
      </c>
      <c r="B767">
        <v>83</v>
      </c>
      <c r="C767" s="1">
        <f>(Tabela1[[#This Row],[x]]-H$3)*(Tabela1[[#This Row],[x]]-H$3) +(Tabela1[[#This Row],[y]]-H$4)*(Tabela1[[#This Row],[y]]-H$4)</f>
        <v>23098</v>
      </c>
      <c r="D767" s="1">
        <f>IF(Tabela1[[#This Row],[promien]]&lt;40000,1,0)</f>
        <v>1</v>
      </c>
      <c r="E767" s="1">
        <f>IF(Tabela1[[#This Row],[promien]]=40000,1,0)</f>
        <v>0</v>
      </c>
      <c r="F767" s="1">
        <v>3.2020860495436767</v>
      </c>
      <c r="G767" s="1">
        <v>6.0493395953883589E-2</v>
      </c>
    </row>
    <row r="768" spans="1:7">
      <c r="A768">
        <v>233</v>
      </c>
      <c r="B768">
        <v>370</v>
      </c>
      <c r="C768" s="1">
        <f>(Tabela1[[#This Row],[x]]-H$3)*(Tabela1[[#This Row],[x]]-H$3) +(Tabela1[[#This Row],[y]]-H$4)*(Tabela1[[#This Row],[y]]-H$4)</f>
        <v>29989</v>
      </c>
      <c r="D768" s="1">
        <f>IF(Tabela1[[#This Row],[promien]]&lt;40000,1,0)</f>
        <v>1</v>
      </c>
      <c r="E768" s="1">
        <f>IF(Tabela1[[#This Row],[promien]]=40000,1,0)</f>
        <v>0</v>
      </c>
      <c r="F768" s="1">
        <v>3.203125</v>
      </c>
      <c r="G768" s="1">
        <v>6.1532346410206884E-2</v>
      </c>
    </row>
    <row r="769" spans="1:7">
      <c r="A769">
        <v>187</v>
      </c>
      <c r="B769">
        <v>333</v>
      </c>
      <c r="C769" s="1">
        <f>(Tabela1[[#This Row],[x]]-H$3)*(Tabela1[[#This Row],[x]]-H$3) +(Tabela1[[#This Row],[y]]-H$4)*(Tabela1[[#This Row],[y]]-H$4)</f>
        <v>17858</v>
      </c>
      <c r="D769" s="1">
        <f>IF(Tabela1[[#This Row],[promien]]&lt;40000,1,0)</f>
        <v>1</v>
      </c>
      <c r="E769" s="1">
        <f>IF(Tabela1[[#This Row],[promien]]=40000,1,0)</f>
        <v>0</v>
      </c>
      <c r="F769" s="1">
        <v>3.2041612483745125</v>
      </c>
      <c r="G769" s="1">
        <v>6.2568594784719433E-2</v>
      </c>
    </row>
    <row r="770" spans="1:7">
      <c r="A770">
        <v>301</v>
      </c>
      <c r="B770">
        <v>241</v>
      </c>
      <c r="C770" s="1">
        <f>(Tabela1[[#This Row],[x]]-H$3)*(Tabela1[[#This Row],[x]]-H$3) +(Tabela1[[#This Row],[y]]-H$4)*(Tabela1[[#This Row],[y]]-H$4)</f>
        <v>11882</v>
      </c>
      <c r="D770" s="1">
        <f>IF(Tabela1[[#This Row],[promien]]&lt;40000,1,0)</f>
        <v>1</v>
      </c>
      <c r="E770" s="1">
        <f>IF(Tabela1[[#This Row],[promien]]=40000,1,0)</f>
        <v>0</v>
      </c>
      <c r="F770" s="1">
        <v>3.2051948051948052</v>
      </c>
      <c r="G770" s="1">
        <v>6.3602151605012036E-2</v>
      </c>
    </row>
    <row r="771" spans="1:7">
      <c r="A771">
        <v>353</v>
      </c>
      <c r="B771">
        <v>147</v>
      </c>
      <c r="C771" s="1">
        <f>(Tabela1[[#This Row],[x]]-H$3)*(Tabela1[[#This Row],[x]]-H$3) +(Tabela1[[#This Row],[y]]-H$4)*(Tabela1[[#This Row],[y]]-H$4)</f>
        <v>26218</v>
      </c>
      <c r="D771" s="1">
        <f>IF(Tabela1[[#This Row],[promien]]&lt;40000,1,0)</f>
        <v>1</v>
      </c>
      <c r="E771" s="1">
        <f>IF(Tabela1[[#This Row],[promien]]=40000,1,0)</f>
        <v>0</v>
      </c>
      <c r="F771" s="1">
        <v>3.2062256809338523</v>
      </c>
      <c r="G771" s="1">
        <v>6.463302734405918E-2</v>
      </c>
    </row>
    <row r="772" spans="1:7">
      <c r="A772">
        <v>214</v>
      </c>
      <c r="B772">
        <v>87</v>
      </c>
      <c r="C772" s="1">
        <f>(Tabela1[[#This Row],[x]]-H$3)*(Tabela1[[#This Row],[x]]-H$3) +(Tabela1[[#This Row],[y]]-H$4)*(Tabela1[[#This Row],[y]]-H$4)</f>
        <v>12965</v>
      </c>
      <c r="D772" s="1">
        <f>IF(Tabela1[[#This Row],[promien]]&lt;40000,1,0)</f>
        <v>1</v>
      </c>
      <c r="E772" s="1">
        <f>IF(Tabela1[[#This Row],[promien]]=40000,1,0)</f>
        <v>0</v>
      </c>
      <c r="F772" s="1">
        <v>3.2072538860103625</v>
      </c>
      <c r="G772" s="1">
        <v>6.5661232420569426E-2</v>
      </c>
    </row>
    <row r="773" spans="1:7">
      <c r="A773">
        <v>140</v>
      </c>
      <c r="B773">
        <v>10</v>
      </c>
      <c r="C773" s="1">
        <f>(Tabela1[[#This Row],[x]]-H$3)*(Tabela1[[#This Row],[x]]-H$3) +(Tabela1[[#This Row],[y]]-H$4)*(Tabela1[[#This Row],[y]]-H$4)</f>
        <v>39700</v>
      </c>
      <c r="D773" s="1">
        <f>IF(Tabela1[[#This Row],[promien]]&lt;40000,1,0)</f>
        <v>1</v>
      </c>
      <c r="E773" s="1">
        <f>IF(Tabela1[[#This Row],[promien]]=40000,1,0)</f>
        <v>0</v>
      </c>
      <c r="F773" s="1">
        <v>3.2082794307891334</v>
      </c>
      <c r="G773" s="1">
        <v>6.6686777199340241E-2</v>
      </c>
    </row>
    <row r="774" spans="1:7">
      <c r="A774">
        <v>216</v>
      </c>
      <c r="B774">
        <v>130</v>
      </c>
      <c r="C774" s="1">
        <f>(Tabela1[[#This Row],[x]]-H$3)*(Tabela1[[#This Row],[x]]-H$3) +(Tabela1[[#This Row],[y]]-H$4)*(Tabela1[[#This Row],[y]]-H$4)</f>
        <v>5156</v>
      </c>
      <c r="D774" s="1">
        <f>IF(Tabela1[[#This Row],[promien]]&lt;40000,1,0)</f>
        <v>1</v>
      </c>
      <c r="E774" s="1">
        <f>IF(Tabela1[[#This Row],[promien]]=40000,1,0)</f>
        <v>0</v>
      </c>
      <c r="F774" s="1">
        <v>3.2093023255813953</v>
      </c>
      <c r="G774" s="1">
        <v>6.7709671991602161E-2</v>
      </c>
    </row>
    <row r="775" spans="1:7">
      <c r="A775">
        <v>302</v>
      </c>
      <c r="B775">
        <v>60</v>
      </c>
      <c r="C775" s="1">
        <f>(Tabela1[[#This Row],[x]]-H$3)*(Tabela1[[#This Row],[x]]-H$3) +(Tabela1[[#This Row],[y]]-H$4)*(Tabela1[[#This Row],[y]]-H$4)</f>
        <v>30004</v>
      </c>
      <c r="D775" s="1">
        <f>IF(Tabela1[[#This Row],[promien]]&lt;40000,1,0)</f>
        <v>1</v>
      </c>
      <c r="E775" s="1">
        <f>IF(Tabela1[[#This Row],[promien]]=40000,1,0)</f>
        <v>0</v>
      </c>
      <c r="F775" s="1">
        <v>3.2103225806451614</v>
      </c>
      <c r="G775" s="1">
        <v>6.872992705536829E-2</v>
      </c>
    </row>
    <row r="776" spans="1:7">
      <c r="A776">
        <v>288</v>
      </c>
      <c r="B776">
        <v>318</v>
      </c>
      <c r="C776" s="1">
        <f>(Tabela1[[#This Row],[x]]-H$3)*(Tabela1[[#This Row],[x]]-H$3) +(Tabela1[[#This Row],[y]]-H$4)*(Tabela1[[#This Row],[y]]-H$4)</f>
        <v>21668</v>
      </c>
      <c r="D776" s="1">
        <f>IF(Tabela1[[#This Row],[promien]]&lt;40000,1,0)</f>
        <v>1</v>
      </c>
      <c r="E776" s="1">
        <f>IF(Tabela1[[#This Row],[promien]]=40000,1,0)</f>
        <v>0</v>
      </c>
      <c r="F776" s="1">
        <v>3.2113402061855671</v>
      </c>
      <c r="G776" s="1">
        <v>6.9747552595774032E-2</v>
      </c>
    </row>
    <row r="777" spans="1:7">
      <c r="A777">
        <v>26</v>
      </c>
      <c r="B777">
        <v>349</v>
      </c>
      <c r="C777" s="1">
        <f>(Tabela1[[#This Row],[x]]-H$3)*(Tabela1[[#This Row],[x]]-H$3) +(Tabela1[[#This Row],[y]]-H$4)*(Tabela1[[#This Row],[y]]-H$4)</f>
        <v>52477</v>
      </c>
      <c r="D777" s="1">
        <f>IF(Tabela1[[#This Row],[promien]]&lt;40000,1,0)</f>
        <v>0</v>
      </c>
      <c r="E777" s="1">
        <f>IF(Tabela1[[#This Row],[promien]]=40000,1,0)</f>
        <v>0</v>
      </c>
      <c r="F777" s="1">
        <v>3.2072072072072073</v>
      </c>
      <c r="G777" s="1">
        <v>6.5614553617414195E-2</v>
      </c>
    </row>
    <row r="778" spans="1:7">
      <c r="A778">
        <v>65</v>
      </c>
      <c r="B778">
        <v>344</v>
      </c>
      <c r="C778" s="1">
        <f>(Tabela1[[#This Row],[x]]-H$3)*(Tabela1[[#This Row],[x]]-H$3) +(Tabela1[[#This Row],[y]]-H$4)*(Tabela1[[#This Row],[y]]-H$4)</f>
        <v>38961</v>
      </c>
      <c r="D778" s="1">
        <f>IF(Tabela1[[#This Row],[promien]]&lt;40000,1,0)</f>
        <v>1</v>
      </c>
      <c r="E778" s="1">
        <f>IF(Tabela1[[#This Row],[promien]]=40000,1,0)</f>
        <v>0</v>
      </c>
      <c r="F778" s="1">
        <v>3.2082262210796917</v>
      </c>
      <c r="G778" s="1">
        <v>6.6633567489898571E-2</v>
      </c>
    </row>
    <row r="779" spans="1:7">
      <c r="A779">
        <v>212</v>
      </c>
      <c r="B779">
        <v>356</v>
      </c>
      <c r="C779" s="1">
        <f>(Tabela1[[#This Row],[x]]-H$3)*(Tabela1[[#This Row],[x]]-H$3) +(Tabela1[[#This Row],[y]]-H$4)*(Tabela1[[#This Row],[y]]-H$4)</f>
        <v>24480</v>
      </c>
      <c r="D779" s="1">
        <f>IF(Tabela1[[#This Row],[promien]]&lt;40000,1,0)</f>
        <v>1</v>
      </c>
      <c r="E779" s="1">
        <f>IF(Tabela1[[#This Row],[promien]]=40000,1,0)</f>
        <v>0</v>
      </c>
      <c r="F779" s="1">
        <v>3.2092426187419769</v>
      </c>
      <c r="G779" s="1">
        <v>6.76499651521838E-2</v>
      </c>
    </row>
    <row r="780" spans="1:7">
      <c r="A780">
        <v>307</v>
      </c>
      <c r="B780">
        <v>318</v>
      </c>
      <c r="C780" s="1">
        <f>(Tabela1[[#This Row],[x]]-H$3)*(Tabela1[[#This Row],[x]]-H$3) +(Tabela1[[#This Row],[y]]-H$4)*(Tabela1[[#This Row],[y]]-H$4)</f>
        <v>25373</v>
      </c>
      <c r="D780" s="1">
        <f>IF(Tabela1[[#This Row],[promien]]&lt;40000,1,0)</f>
        <v>1</v>
      </c>
      <c r="E780" s="1">
        <f>IF(Tabela1[[#This Row],[promien]]=40000,1,0)</f>
        <v>0</v>
      </c>
      <c r="F780" s="1">
        <v>3.2102564102564104</v>
      </c>
      <c r="G780" s="1">
        <v>6.8663756666617282E-2</v>
      </c>
    </row>
    <row r="781" spans="1:7">
      <c r="A781">
        <v>338</v>
      </c>
      <c r="B781">
        <v>130</v>
      </c>
      <c r="C781" s="1">
        <f>(Tabela1[[#This Row],[x]]-H$3)*(Tabela1[[#This Row],[x]]-H$3) +(Tabela1[[#This Row],[y]]-H$4)*(Tabela1[[#This Row],[y]]-H$4)</f>
        <v>23944</v>
      </c>
      <c r="D781" s="1">
        <f>IF(Tabela1[[#This Row],[promien]]&lt;40000,1,0)</f>
        <v>1</v>
      </c>
      <c r="E781" s="1">
        <f>IF(Tabela1[[#This Row],[promien]]=40000,1,0)</f>
        <v>0</v>
      </c>
      <c r="F781" s="1">
        <v>3.211267605633803</v>
      </c>
      <c r="G781" s="1">
        <v>6.9674952044009864E-2</v>
      </c>
    </row>
    <row r="782" spans="1:7">
      <c r="A782">
        <v>270</v>
      </c>
      <c r="B782">
        <v>379</v>
      </c>
      <c r="C782" s="1">
        <f>(Tabela1[[#This Row],[x]]-H$3)*(Tabela1[[#This Row],[x]]-H$3) +(Tabela1[[#This Row],[y]]-H$4)*(Tabela1[[#This Row],[y]]-H$4)</f>
        <v>36941</v>
      </c>
      <c r="D782" s="1">
        <f>IF(Tabela1[[#This Row],[promien]]&lt;40000,1,0)</f>
        <v>1</v>
      </c>
      <c r="E782" s="1">
        <f>IF(Tabela1[[#This Row],[promien]]=40000,1,0)</f>
        <v>0</v>
      </c>
      <c r="F782" s="1">
        <v>3.2122762148337598</v>
      </c>
      <c r="G782" s="1">
        <v>7.0683561243966686E-2</v>
      </c>
    </row>
    <row r="783" spans="1:7">
      <c r="A783">
        <v>180</v>
      </c>
      <c r="B783">
        <v>114</v>
      </c>
      <c r="C783" s="1">
        <f>(Tabela1[[#This Row],[x]]-H$3)*(Tabela1[[#This Row],[x]]-H$3) +(Tabela1[[#This Row],[y]]-H$4)*(Tabela1[[#This Row],[y]]-H$4)</f>
        <v>7796</v>
      </c>
      <c r="D783" s="1">
        <f>IF(Tabela1[[#This Row],[promien]]&lt;40000,1,0)</f>
        <v>1</v>
      </c>
      <c r="E783" s="1">
        <f>IF(Tabela1[[#This Row],[promien]]=40000,1,0)</f>
        <v>0</v>
      </c>
      <c r="F783" s="1">
        <v>3.2132822477650063</v>
      </c>
      <c r="G783" s="1">
        <v>7.1689594175213145E-2</v>
      </c>
    </row>
    <row r="784" spans="1:7">
      <c r="A784">
        <v>73</v>
      </c>
      <c r="B784">
        <v>313</v>
      </c>
      <c r="C784" s="1">
        <f>(Tabela1[[#This Row],[x]]-H$3)*(Tabela1[[#This Row],[x]]-H$3) +(Tabela1[[#This Row],[y]]-H$4)*(Tabela1[[#This Row],[y]]-H$4)</f>
        <v>28898</v>
      </c>
      <c r="D784" s="1">
        <f>IF(Tabela1[[#This Row],[promien]]&lt;40000,1,0)</f>
        <v>1</v>
      </c>
      <c r="E784" s="1">
        <f>IF(Tabela1[[#This Row],[promien]]=40000,1,0)</f>
        <v>0</v>
      </c>
      <c r="F784" s="1">
        <v>3.2142857142857144</v>
      </c>
      <c r="G784" s="1">
        <v>7.2693060695921297E-2</v>
      </c>
    </row>
    <row r="785" spans="1:7">
      <c r="A785">
        <v>111</v>
      </c>
      <c r="B785">
        <v>184</v>
      </c>
      <c r="C785" s="1">
        <f>(Tabela1[[#This Row],[x]]-H$3)*(Tabela1[[#This Row],[x]]-H$3) +(Tabela1[[#This Row],[y]]-H$4)*(Tabela1[[#This Row],[y]]-H$4)</f>
        <v>8177</v>
      </c>
      <c r="D785" s="1">
        <f>IF(Tabela1[[#This Row],[promien]]&lt;40000,1,0)</f>
        <v>1</v>
      </c>
      <c r="E785" s="1">
        <f>IF(Tabela1[[#This Row],[promien]]=40000,1,0)</f>
        <v>0</v>
      </c>
      <c r="F785" s="1">
        <v>3.2152866242038218</v>
      </c>
      <c r="G785" s="1">
        <v>7.3693970614028714E-2</v>
      </c>
    </row>
    <row r="786" spans="1:7">
      <c r="A786">
        <v>365</v>
      </c>
      <c r="B786">
        <v>302</v>
      </c>
      <c r="C786" s="1">
        <f>(Tabela1[[#This Row],[x]]-H$3)*(Tabela1[[#This Row],[x]]-H$3) +(Tabela1[[#This Row],[y]]-H$4)*(Tabela1[[#This Row],[y]]-H$4)</f>
        <v>37629</v>
      </c>
      <c r="D786" s="1">
        <f>IF(Tabela1[[#This Row],[promien]]&lt;40000,1,0)</f>
        <v>1</v>
      </c>
      <c r="E786" s="1">
        <f>IF(Tabela1[[#This Row],[promien]]=40000,1,0)</f>
        <v>0</v>
      </c>
      <c r="F786" s="1">
        <v>3.2162849872773536</v>
      </c>
      <c r="G786" s="1">
        <v>7.4692333687560453E-2</v>
      </c>
    </row>
    <row r="787" spans="1:7">
      <c r="A787">
        <v>236</v>
      </c>
      <c r="B787">
        <v>343</v>
      </c>
      <c r="C787" s="1">
        <f>(Tabela1[[#This Row],[x]]-H$3)*(Tabela1[[#This Row],[x]]-H$3) +(Tabela1[[#This Row],[y]]-H$4)*(Tabela1[[#This Row],[y]]-H$4)</f>
        <v>21745</v>
      </c>
      <c r="D787" s="1">
        <f>IF(Tabela1[[#This Row],[promien]]&lt;40000,1,0)</f>
        <v>1</v>
      </c>
      <c r="E787" s="1">
        <f>IF(Tabela1[[#This Row],[promien]]=40000,1,0)</f>
        <v>0</v>
      </c>
      <c r="F787" s="1">
        <v>3.2172808132147397</v>
      </c>
      <c r="G787" s="1">
        <v>7.5688159624946572E-2</v>
      </c>
    </row>
    <row r="788" spans="1:7">
      <c r="A788">
        <v>15</v>
      </c>
      <c r="B788">
        <v>387</v>
      </c>
      <c r="C788" s="1">
        <f>(Tabela1[[#This Row],[x]]-H$3)*(Tabela1[[#This Row],[x]]-H$3) +(Tabela1[[#This Row],[y]]-H$4)*(Tabela1[[#This Row],[y]]-H$4)</f>
        <v>69194</v>
      </c>
      <c r="D788" s="1">
        <f>IF(Tabela1[[#This Row],[promien]]&lt;40000,1,0)</f>
        <v>0</v>
      </c>
      <c r="E788" s="1">
        <f>IF(Tabela1[[#This Row],[promien]]=40000,1,0)</f>
        <v>0</v>
      </c>
      <c r="F788" s="1">
        <v>3.2131979695431472</v>
      </c>
      <c r="G788" s="1">
        <v>7.1605315953354065E-2</v>
      </c>
    </row>
    <row r="789" spans="1:7">
      <c r="A789">
        <v>123</v>
      </c>
      <c r="B789">
        <v>187</v>
      </c>
      <c r="C789" s="1">
        <f>(Tabela1[[#This Row],[x]]-H$3)*(Tabela1[[#This Row],[x]]-H$3) +(Tabela1[[#This Row],[y]]-H$4)*(Tabela1[[#This Row],[y]]-H$4)</f>
        <v>6098</v>
      </c>
      <c r="D789" s="1">
        <f>IF(Tabela1[[#This Row],[promien]]&lt;40000,1,0)</f>
        <v>1</v>
      </c>
      <c r="E789" s="1">
        <f>IF(Tabela1[[#This Row],[promien]]=40000,1,0)</f>
        <v>0</v>
      </c>
      <c r="F789" s="1">
        <v>3.2141951837769329</v>
      </c>
      <c r="G789" s="1">
        <v>7.2602530187139802E-2</v>
      </c>
    </row>
    <row r="790" spans="1:7">
      <c r="A790">
        <v>371</v>
      </c>
      <c r="B790">
        <v>363</v>
      </c>
      <c r="C790" s="1">
        <f>(Tabela1[[#This Row],[x]]-H$3)*(Tabela1[[#This Row],[x]]-H$3) +(Tabela1[[#This Row],[y]]-H$4)*(Tabela1[[#This Row],[y]]-H$4)</f>
        <v>55810</v>
      </c>
      <c r="D790" s="1">
        <f>IF(Tabela1[[#This Row],[promien]]&lt;40000,1,0)</f>
        <v>0</v>
      </c>
      <c r="E790" s="1">
        <f>IF(Tabela1[[#This Row],[promien]]=40000,1,0)</f>
        <v>0</v>
      </c>
      <c r="F790" s="1">
        <v>3.2101265822784808</v>
      </c>
      <c r="G790" s="1">
        <v>6.8533928688687684E-2</v>
      </c>
    </row>
    <row r="791" spans="1:7">
      <c r="A791">
        <v>301</v>
      </c>
      <c r="B791">
        <v>288</v>
      </c>
      <c r="C791" s="1">
        <f>(Tabela1[[#This Row],[x]]-H$3)*(Tabela1[[#This Row],[x]]-H$3) +(Tabela1[[#This Row],[y]]-H$4)*(Tabela1[[#This Row],[y]]-H$4)</f>
        <v>17945</v>
      </c>
      <c r="D791" s="1">
        <f>IF(Tabela1[[#This Row],[promien]]&lt;40000,1,0)</f>
        <v>1</v>
      </c>
      <c r="E791" s="1">
        <f>IF(Tabela1[[#This Row],[promien]]=40000,1,0)</f>
        <v>0</v>
      </c>
      <c r="F791" s="1">
        <v>3.2111251580278131</v>
      </c>
      <c r="G791" s="1">
        <v>6.9532504438019949E-2</v>
      </c>
    </row>
    <row r="792" spans="1:7">
      <c r="A792">
        <v>134</v>
      </c>
      <c r="B792">
        <v>74</v>
      </c>
      <c r="C792" s="1">
        <f>(Tabela1[[#This Row],[x]]-H$3)*(Tabela1[[#This Row],[x]]-H$3) +(Tabela1[[#This Row],[y]]-H$4)*(Tabela1[[#This Row],[y]]-H$4)</f>
        <v>20232</v>
      </c>
      <c r="D792" s="1">
        <f>IF(Tabela1[[#This Row],[promien]]&lt;40000,1,0)</f>
        <v>1</v>
      </c>
      <c r="E792" s="1">
        <f>IF(Tabela1[[#This Row],[promien]]=40000,1,0)</f>
        <v>0</v>
      </c>
      <c r="F792" s="1">
        <v>3.2121212121212119</v>
      </c>
      <c r="G792" s="1">
        <v>7.0528558531418817E-2</v>
      </c>
    </row>
    <row r="793" spans="1:7">
      <c r="A793">
        <v>364</v>
      </c>
      <c r="B793">
        <v>125</v>
      </c>
      <c r="C793" s="1">
        <f>(Tabela1[[#This Row],[x]]-H$3)*(Tabela1[[#This Row],[x]]-H$3) +(Tabela1[[#This Row],[y]]-H$4)*(Tabela1[[#This Row],[y]]-H$4)</f>
        <v>32521</v>
      </c>
      <c r="D793" s="1">
        <f>IF(Tabela1[[#This Row],[promien]]&lt;40000,1,0)</f>
        <v>1</v>
      </c>
      <c r="E793" s="1">
        <f>IF(Tabela1[[#This Row],[promien]]=40000,1,0)</f>
        <v>0</v>
      </c>
      <c r="F793" s="1">
        <v>3.2131147540983607</v>
      </c>
      <c r="G793" s="1">
        <v>7.1522100508567554E-2</v>
      </c>
    </row>
    <row r="794" spans="1:7">
      <c r="A794">
        <v>89</v>
      </c>
      <c r="B794">
        <v>94</v>
      </c>
      <c r="C794" s="1">
        <f>(Tabela1[[#This Row],[x]]-H$3)*(Tabela1[[#This Row],[x]]-H$3) +(Tabela1[[#This Row],[y]]-H$4)*(Tabela1[[#This Row],[y]]-H$4)</f>
        <v>23557</v>
      </c>
      <c r="D794" s="1">
        <f>IF(Tabela1[[#This Row],[promien]]&lt;40000,1,0)</f>
        <v>1</v>
      </c>
      <c r="E794" s="1">
        <f>IF(Tabela1[[#This Row],[promien]]=40000,1,0)</f>
        <v>0</v>
      </c>
      <c r="F794" s="1">
        <v>3.2141057934508814</v>
      </c>
      <c r="G794" s="1">
        <v>7.2513139861088316E-2</v>
      </c>
    </row>
    <row r="795" spans="1:7">
      <c r="A795">
        <v>47</v>
      </c>
      <c r="B795">
        <v>168</v>
      </c>
      <c r="C795" s="1">
        <f>(Tabela1[[#This Row],[x]]-H$3)*(Tabela1[[#This Row],[x]]-H$3) +(Tabela1[[#This Row],[y]]-H$4)*(Tabela1[[#This Row],[y]]-H$4)</f>
        <v>24433</v>
      </c>
      <c r="D795" s="1">
        <f>IF(Tabela1[[#This Row],[promien]]&lt;40000,1,0)</f>
        <v>1</v>
      </c>
      <c r="E795" s="1">
        <f>IF(Tabela1[[#This Row],[promien]]=40000,1,0)</f>
        <v>0</v>
      </c>
      <c r="F795" s="1">
        <v>3.2150943396226417</v>
      </c>
      <c r="G795" s="1">
        <v>7.3501686032848568E-2</v>
      </c>
    </row>
    <row r="796" spans="1:7">
      <c r="A796">
        <v>114</v>
      </c>
      <c r="B796">
        <v>319</v>
      </c>
      <c r="C796" s="1">
        <f>(Tabela1[[#This Row],[x]]-H$3)*(Tabela1[[#This Row],[x]]-H$3) +(Tabela1[[#This Row],[y]]-H$4)*(Tabela1[[#This Row],[y]]-H$4)</f>
        <v>21557</v>
      </c>
      <c r="D796" s="1">
        <f>IF(Tabela1[[#This Row],[promien]]&lt;40000,1,0)</f>
        <v>1</v>
      </c>
      <c r="E796" s="1">
        <f>IF(Tabela1[[#This Row],[promien]]=40000,1,0)</f>
        <v>0</v>
      </c>
      <c r="F796" s="1">
        <v>3.2160804020100504</v>
      </c>
      <c r="G796" s="1">
        <v>7.4487748420257294E-2</v>
      </c>
    </row>
    <row r="797" spans="1:7">
      <c r="A797">
        <v>31</v>
      </c>
      <c r="B797">
        <v>15</v>
      </c>
      <c r="C797" s="1">
        <f>(Tabela1[[#This Row],[x]]-H$3)*(Tabela1[[#This Row],[x]]-H$3) +(Tabela1[[#This Row],[y]]-H$4)*(Tabela1[[#This Row],[y]]-H$4)</f>
        <v>62786</v>
      </c>
      <c r="D797" s="1">
        <f>IF(Tabela1[[#This Row],[promien]]&lt;40000,1,0)</f>
        <v>0</v>
      </c>
      <c r="E797" s="1">
        <f>IF(Tabela1[[#This Row],[promien]]=40000,1,0)</f>
        <v>0</v>
      </c>
      <c r="F797" s="1">
        <v>3.2120451693851946</v>
      </c>
      <c r="G797" s="1">
        <v>7.045251579540146E-2</v>
      </c>
    </row>
    <row r="798" spans="1:7">
      <c r="A798">
        <v>389</v>
      </c>
      <c r="B798">
        <v>183</v>
      </c>
      <c r="C798" s="1">
        <f>(Tabela1[[#This Row],[x]]-H$3)*(Tabela1[[#This Row],[x]]-H$3) +(Tabela1[[#This Row],[y]]-H$4)*(Tabela1[[#This Row],[y]]-H$4)</f>
        <v>36010</v>
      </c>
      <c r="D798" s="1">
        <f>IF(Tabela1[[#This Row],[promien]]&lt;40000,1,0)</f>
        <v>1</v>
      </c>
      <c r="E798" s="1">
        <f>IF(Tabela1[[#This Row],[promien]]=40000,1,0)</f>
        <v>0</v>
      </c>
      <c r="F798" s="1">
        <v>3.2130325814536342</v>
      </c>
      <c r="G798" s="1">
        <v>7.1439927863841124E-2</v>
      </c>
    </row>
    <row r="799" spans="1:7">
      <c r="A799">
        <v>172</v>
      </c>
      <c r="B799">
        <v>302</v>
      </c>
      <c r="C799" s="1">
        <f>(Tabela1[[#This Row],[x]]-H$3)*(Tabela1[[#This Row],[x]]-H$3) +(Tabela1[[#This Row],[y]]-H$4)*(Tabela1[[#This Row],[y]]-H$4)</f>
        <v>11188</v>
      </c>
      <c r="D799" s="1">
        <f>IF(Tabela1[[#This Row],[promien]]&lt;40000,1,0)</f>
        <v>1</v>
      </c>
      <c r="E799" s="1">
        <f>IF(Tabela1[[#This Row],[promien]]=40000,1,0)</f>
        <v>0</v>
      </c>
      <c r="F799" s="1">
        <v>3.2140175219023779</v>
      </c>
      <c r="G799" s="1">
        <v>7.2424868312584767E-2</v>
      </c>
    </row>
    <row r="800" spans="1:7">
      <c r="A800">
        <v>12</v>
      </c>
      <c r="B800">
        <v>55</v>
      </c>
      <c r="C800" s="1">
        <f>(Tabela1[[#This Row],[x]]-H$3)*(Tabela1[[#This Row],[x]]-H$3) +(Tabela1[[#This Row],[y]]-H$4)*(Tabela1[[#This Row],[y]]-H$4)</f>
        <v>56369</v>
      </c>
      <c r="D800" s="1">
        <f>IF(Tabela1[[#This Row],[promien]]&lt;40000,1,0)</f>
        <v>0</v>
      </c>
      <c r="E800" s="1">
        <f>IF(Tabela1[[#This Row],[promien]]=40000,1,0)</f>
        <v>0</v>
      </c>
      <c r="F800" s="1">
        <v>3.21</v>
      </c>
      <c r="G800" s="1">
        <v>6.8407346410206848E-2</v>
      </c>
    </row>
    <row r="801" spans="1:7">
      <c r="A801">
        <v>78</v>
      </c>
      <c r="B801">
        <v>3</v>
      </c>
      <c r="C801" s="1">
        <f>(Tabela1[[#This Row],[x]]-H$3)*(Tabela1[[#This Row],[x]]-H$3) +(Tabela1[[#This Row],[y]]-H$4)*(Tabela1[[#This Row],[y]]-H$4)</f>
        <v>53693</v>
      </c>
      <c r="D801" s="1">
        <f>IF(Tabela1[[#This Row],[promien]]&lt;40000,1,0)</f>
        <v>0</v>
      </c>
      <c r="E801" s="1">
        <f>IF(Tabela1[[#This Row],[promien]]=40000,1,0)</f>
        <v>0</v>
      </c>
      <c r="F801" s="1">
        <v>3.2059925093632957</v>
      </c>
      <c r="G801" s="1">
        <v>6.4399855773502601E-2</v>
      </c>
    </row>
    <row r="802" spans="1:7">
      <c r="A802">
        <v>295</v>
      </c>
      <c r="B802">
        <v>196</v>
      </c>
      <c r="C802" s="1">
        <f>(Tabela1[[#This Row],[x]]-H$3)*(Tabela1[[#This Row],[x]]-H$3) +(Tabela1[[#This Row],[y]]-H$4)*(Tabela1[[#This Row],[y]]-H$4)</f>
        <v>9041</v>
      </c>
      <c r="D802" s="1">
        <f>IF(Tabela1[[#This Row],[promien]]&lt;40000,1,0)</f>
        <v>1</v>
      </c>
      <c r="E802" s="1">
        <f>IF(Tabela1[[#This Row],[promien]]=40000,1,0)</f>
        <v>0</v>
      </c>
      <c r="F802" s="1">
        <v>3.2069825436408976</v>
      </c>
      <c r="G802" s="1">
        <v>6.5389890051104516E-2</v>
      </c>
    </row>
    <row r="803" spans="1:7">
      <c r="A803">
        <v>52</v>
      </c>
      <c r="B803">
        <v>224</v>
      </c>
      <c r="C803" s="1">
        <f>(Tabela1[[#This Row],[x]]-H$3)*(Tabela1[[#This Row],[x]]-H$3) +(Tabela1[[#This Row],[y]]-H$4)*(Tabela1[[#This Row],[y]]-H$4)</f>
        <v>22480</v>
      </c>
      <c r="D803" s="1">
        <f>IF(Tabela1[[#This Row],[promien]]&lt;40000,1,0)</f>
        <v>1</v>
      </c>
      <c r="E803" s="1">
        <f>IF(Tabela1[[#This Row],[promien]]=40000,1,0)</f>
        <v>0</v>
      </c>
      <c r="F803" s="1">
        <v>3.2079701120797011</v>
      </c>
      <c r="G803" s="1">
        <v>6.6377458489907948E-2</v>
      </c>
    </row>
    <row r="804" spans="1:7">
      <c r="A804">
        <v>385</v>
      </c>
      <c r="B804">
        <v>121</v>
      </c>
      <c r="C804" s="1">
        <f>(Tabela1[[#This Row],[x]]-H$3)*(Tabela1[[#This Row],[x]]-H$3) +(Tabela1[[#This Row],[y]]-H$4)*(Tabela1[[#This Row],[y]]-H$4)</f>
        <v>40466</v>
      </c>
      <c r="D804" s="1">
        <f>IF(Tabela1[[#This Row],[promien]]&lt;40000,1,0)</f>
        <v>0</v>
      </c>
      <c r="E804" s="1">
        <f>IF(Tabela1[[#This Row],[promien]]=40000,1,0)</f>
        <v>0</v>
      </c>
      <c r="F804" s="1">
        <v>3.2039800995024876</v>
      </c>
      <c r="G804" s="1">
        <v>6.2387445912694517E-2</v>
      </c>
    </row>
    <row r="805" spans="1:7">
      <c r="A805">
        <v>69</v>
      </c>
      <c r="B805">
        <v>298</v>
      </c>
      <c r="C805" s="1">
        <f>(Tabela1[[#This Row],[x]]-H$3)*(Tabela1[[#This Row],[x]]-H$3) +(Tabela1[[#This Row],[y]]-H$4)*(Tabela1[[#This Row],[y]]-H$4)</f>
        <v>26765</v>
      </c>
      <c r="D805" s="1">
        <f>IF(Tabela1[[#This Row],[promien]]&lt;40000,1,0)</f>
        <v>1</v>
      </c>
      <c r="E805" s="1">
        <f>IF(Tabela1[[#This Row],[promien]]=40000,1,0)</f>
        <v>0</v>
      </c>
      <c r="F805" s="1">
        <v>3.2049689440993787</v>
      </c>
      <c r="G805" s="1">
        <v>6.3376290509585598E-2</v>
      </c>
    </row>
    <row r="806" spans="1:7">
      <c r="A806">
        <v>124</v>
      </c>
      <c r="B806">
        <v>140</v>
      </c>
      <c r="C806" s="1">
        <f>(Tabela1[[#This Row],[x]]-H$3)*(Tabela1[[#This Row],[x]]-H$3) +(Tabela1[[#This Row],[y]]-H$4)*(Tabela1[[#This Row],[y]]-H$4)</f>
        <v>9376</v>
      </c>
      <c r="D806" s="1">
        <f>IF(Tabela1[[#This Row],[promien]]&lt;40000,1,0)</f>
        <v>1</v>
      </c>
      <c r="E806" s="1">
        <f>IF(Tabela1[[#This Row],[promien]]=40000,1,0)</f>
        <v>0</v>
      </c>
      <c r="F806" s="1">
        <v>3.2059553349875931</v>
      </c>
      <c r="G806" s="1">
        <v>6.4362681397799992E-2</v>
      </c>
    </row>
    <row r="807" spans="1:7">
      <c r="A807">
        <v>282</v>
      </c>
      <c r="B807">
        <v>77</v>
      </c>
      <c r="C807" s="1">
        <f>(Tabela1[[#This Row],[x]]-H$3)*(Tabela1[[#This Row],[x]]-H$3) +(Tabela1[[#This Row],[y]]-H$4)*(Tabela1[[#This Row],[y]]-H$4)</f>
        <v>21853</v>
      </c>
      <c r="D807" s="1">
        <f>IF(Tabela1[[#This Row],[promien]]&lt;40000,1,0)</f>
        <v>1</v>
      </c>
      <c r="E807" s="1">
        <f>IF(Tabela1[[#This Row],[promien]]=40000,1,0)</f>
        <v>0</v>
      </c>
      <c r="F807" s="1">
        <v>3.2069392812887236</v>
      </c>
      <c r="G807" s="1">
        <v>6.5346627698930515E-2</v>
      </c>
    </row>
    <row r="808" spans="1:7">
      <c r="A808">
        <v>192</v>
      </c>
      <c r="B808">
        <v>147</v>
      </c>
      <c r="C808" s="1">
        <f>(Tabela1[[#This Row],[x]]-H$3)*(Tabela1[[#This Row],[x]]-H$3) +(Tabela1[[#This Row],[y]]-H$4)*(Tabela1[[#This Row],[y]]-H$4)</f>
        <v>2873</v>
      </c>
      <c r="D808" s="1">
        <f>IF(Tabela1[[#This Row],[promien]]&lt;40000,1,0)</f>
        <v>1</v>
      </c>
      <c r="E808" s="1">
        <f>IF(Tabela1[[#This Row],[promien]]=40000,1,0)</f>
        <v>0</v>
      </c>
      <c r="F808" s="1">
        <v>3.2079207920792081</v>
      </c>
      <c r="G808" s="1">
        <v>6.6328138489414989E-2</v>
      </c>
    </row>
    <row r="809" spans="1:7">
      <c r="A809">
        <v>204</v>
      </c>
      <c r="B809">
        <v>121</v>
      </c>
      <c r="C809" s="1">
        <f>(Tabela1[[#This Row],[x]]-H$3)*(Tabela1[[#This Row],[x]]-H$3) +(Tabela1[[#This Row],[y]]-H$4)*(Tabela1[[#This Row],[y]]-H$4)</f>
        <v>6257</v>
      </c>
      <c r="D809" s="1">
        <f>IF(Tabela1[[#This Row],[promien]]&lt;40000,1,0)</f>
        <v>1</v>
      </c>
      <c r="E809" s="1">
        <f>IF(Tabela1[[#This Row],[promien]]=40000,1,0)</f>
        <v>0</v>
      </c>
      <c r="F809" s="1">
        <v>3.2088998763906056</v>
      </c>
      <c r="G809" s="1">
        <v>6.7307222800812472E-2</v>
      </c>
    </row>
    <row r="810" spans="1:7">
      <c r="A810">
        <v>231</v>
      </c>
      <c r="B810">
        <v>162</v>
      </c>
      <c r="C810" s="1">
        <f>(Tabela1[[#This Row],[x]]-H$3)*(Tabela1[[#This Row],[x]]-H$3) +(Tabela1[[#This Row],[y]]-H$4)*(Tabela1[[#This Row],[y]]-H$4)</f>
        <v>2405</v>
      </c>
      <c r="D810" s="1">
        <f>IF(Tabela1[[#This Row],[promien]]&lt;40000,1,0)</f>
        <v>1</v>
      </c>
      <c r="E810" s="1">
        <f>IF(Tabela1[[#This Row],[promien]]=40000,1,0)</f>
        <v>0</v>
      </c>
      <c r="F810" s="1">
        <v>3.2098765432098766</v>
      </c>
      <c r="G810" s="1">
        <v>6.8283889620083471E-2</v>
      </c>
    </row>
    <row r="811" spans="1:7">
      <c r="A811">
        <v>257</v>
      </c>
      <c r="B811">
        <v>369</v>
      </c>
      <c r="C811" s="1">
        <f>(Tabela1[[#This Row],[x]]-H$3)*(Tabela1[[#This Row],[x]]-H$3) +(Tabela1[[#This Row],[y]]-H$4)*(Tabela1[[#This Row],[y]]-H$4)</f>
        <v>31810</v>
      </c>
      <c r="D811" s="1">
        <f>IF(Tabela1[[#This Row],[promien]]&lt;40000,1,0)</f>
        <v>1</v>
      </c>
      <c r="E811" s="1">
        <f>IF(Tabela1[[#This Row],[promien]]=40000,1,0)</f>
        <v>0</v>
      </c>
      <c r="F811" s="1">
        <v>3.2108508014796548</v>
      </c>
      <c r="G811" s="1">
        <v>6.9258147889861732E-2</v>
      </c>
    </row>
    <row r="812" spans="1:7">
      <c r="A812">
        <v>5</v>
      </c>
      <c r="B812">
        <v>137</v>
      </c>
      <c r="C812" s="1">
        <f>(Tabela1[[#This Row],[x]]-H$3)*(Tabela1[[#This Row],[x]]-H$3) +(Tabela1[[#This Row],[y]]-H$4)*(Tabela1[[#This Row],[y]]-H$4)</f>
        <v>41994</v>
      </c>
      <c r="D812" s="1">
        <f>IF(Tabela1[[#This Row],[promien]]&lt;40000,1,0)</f>
        <v>0</v>
      </c>
      <c r="E812" s="1">
        <f>IF(Tabela1[[#This Row],[promien]]=40000,1,0)</f>
        <v>0</v>
      </c>
      <c r="F812" s="1">
        <v>3.2068965517241379</v>
      </c>
      <c r="G812" s="1">
        <v>6.5303898134344784E-2</v>
      </c>
    </row>
    <row r="813" spans="1:7">
      <c r="A813">
        <v>200</v>
      </c>
      <c r="B813">
        <v>234</v>
      </c>
      <c r="C813" s="1">
        <f>(Tabela1[[#This Row],[x]]-H$3)*(Tabela1[[#This Row],[x]]-H$3) +(Tabela1[[#This Row],[y]]-H$4)*(Tabela1[[#This Row],[y]]-H$4)</f>
        <v>1156</v>
      </c>
      <c r="D813" s="1">
        <f>IF(Tabela1[[#This Row],[promien]]&lt;40000,1,0)</f>
        <v>1</v>
      </c>
      <c r="E813" s="1">
        <f>IF(Tabela1[[#This Row],[promien]]=40000,1,0)</f>
        <v>0</v>
      </c>
      <c r="F813" s="1">
        <v>3.2078720787207873</v>
      </c>
      <c r="G813" s="1">
        <v>6.6279425130994163E-2</v>
      </c>
    </row>
    <row r="814" spans="1:7">
      <c r="A814">
        <v>379</v>
      </c>
      <c r="B814">
        <v>230</v>
      </c>
      <c r="C814" s="1">
        <f>(Tabela1[[#This Row],[x]]-H$3)*(Tabela1[[#This Row],[x]]-H$3) +(Tabela1[[#This Row],[y]]-H$4)*(Tabela1[[#This Row],[y]]-H$4)</f>
        <v>32941</v>
      </c>
      <c r="D814" s="1">
        <f>IF(Tabela1[[#This Row],[promien]]&lt;40000,1,0)</f>
        <v>1</v>
      </c>
      <c r="E814" s="1">
        <f>IF(Tabela1[[#This Row],[promien]]=40000,1,0)</f>
        <v>0</v>
      </c>
      <c r="F814" s="1">
        <v>3.2088452088452089</v>
      </c>
      <c r="G814" s="1">
        <v>6.7252555255415736E-2</v>
      </c>
    </row>
    <row r="815" spans="1:7">
      <c r="A815">
        <v>264</v>
      </c>
      <c r="B815">
        <v>374</v>
      </c>
      <c r="C815" s="1">
        <f>(Tabela1[[#This Row],[x]]-H$3)*(Tabela1[[#This Row],[x]]-H$3) +(Tabela1[[#This Row],[y]]-H$4)*(Tabela1[[#This Row],[y]]-H$4)</f>
        <v>34372</v>
      </c>
      <c r="D815" s="1">
        <f>IF(Tabela1[[#This Row],[promien]]&lt;40000,1,0)</f>
        <v>1</v>
      </c>
      <c r="E815" s="1">
        <f>IF(Tabela1[[#This Row],[promien]]=40000,1,0)</f>
        <v>0</v>
      </c>
      <c r="F815" s="1">
        <v>3.2098159509202455</v>
      </c>
      <c r="G815" s="1">
        <v>6.8223297330452404E-2</v>
      </c>
    </row>
    <row r="816" spans="1:7">
      <c r="A816">
        <v>296</v>
      </c>
      <c r="B816">
        <v>66</v>
      </c>
      <c r="C816" s="1">
        <f>(Tabela1[[#This Row],[x]]-H$3)*(Tabela1[[#This Row],[x]]-H$3) +(Tabela1[[#This Row],[y]]-H$4)*(Tabela1[[#This Row],[y]]-H$4)</f>
        <v>27172</v>
      </c>
      <c r="D816" s="1">
        <f>IF(Tabela1[[#This Row],[promien]]&lt;40000,1,0)</f>
        <v>1</v>
      </c>
      <c r="E816" s="1">
        <f>IF(Tabela1[[#This Row],[promien]]=40000,1,0)</f>
        <v>0</v>
      </c>
      <c r="F816" s="1">
        <v>3.2107843137254903</v>
      </c>
      <c r="G816" s="1">
        <v>6.9191660135697219E-2</v>
      </c>
    </row>
    <row r="817" spans="1:7">
      <c r="A817">
        <v>381</v>
      </c>
      <c r="B817">
        <v>84</v>
      </c>
      <c r="C817" s="1">
        <f>(Tabela1[[#This Row],[x]]-H$3)*(Tabela1[[#This Row],[x]]-H$3) +(Tabela1[[#This Row],[y]]-H$4)*(Tabela1[[#This Row],[y]]-H$4)</f>
        <v>46217</v>
      </c>
      <c r="D817" s="1">
        <f>IF(Tabela1[[#This Row],[promien]]&lt;40000,1,0)</f>
        <v>0</v>
      </c>
      <c r="E817" s="1">
        <f>IF(Tabela1[[#This Row],[promien]]=40000,1,0)</f>
        <v>0</v>
      </c>
      <c r="F817" s="1">
        <v>3.2068543451652385</v>
      </c>
      <c r="G817" s="1">
        <v>6.5261691575445369E-2</v>
      </c>
    </row>
    <row r="818" spans="1:7">
      <c r="A818">
        <v>176</v>
      </c>
      <c r="B818">
        <v>295</v>
      </c>
      <c r="C818" s="1">
        <f>(Tabela1[[#This Row],[x]]-H$3)*(Tabela1[[#This Row],[x]]-H$3) +(Tabela1[[#This Row],[y]]-H$4)*(Tabela1[[#This Row],[y]]-H$4)</f>
        <v>9601</v>
      </c>
      <c r="D818" s="1">
        <f>IF(Tabela1[[#This Row],[promien]]&lt;40000,1,0)</f>
        <v>1</v>
      </c>
      <c r="E818" s="1">
        <f>IF(Tabela1[[#This Row],[promien]]=40000,1,0)</f>
        <v>0</v>
      </c>
      <c r="F818" s="1">
        <v>3.2078239608801957</v>
      </c>
      <c r="G818" s="1">
        <v>6.6231307290402608E-2</v>
      </c>
    </row>
    <row r="819" spans="1:7">
      <c r="A819">
        <v>158</v>
      </c>
      <c r="B819">
        <v>370</v>
      </c>
      <c r="C819" s="1">
        <f>(Tabela1[[#This Row],[x]]-H$3)*(Tabela1[[#This Row],[x]]-H$3) +(Tabela1[[#This Row],[y]]-H$4)*(Tabela1[[#This Row],[y]]-H$4)</f>
        <v>30664</v>
      </c>
      <c r="D819" s="1">
        <f>IF(Tabela1[[#This Row],[promien]]&lt;40000,1,0)</f>
        <v>1</v>
      </c>
      <c r="E819" s="1">
        <f>IF(Tabela1[[#This Row],[promien]]=40000,1,0)</f>
        <v>0</v>
      </c>
      <c r="F819" s="1">
        <v>3.2087912087912089</v>
      </c>
      <c r="G819" s="1">
        <v>6.7198555201415822E-2</v>
      </c>
    </row>
    <row r="820" spans="1:7">
      <c r="A820">
        <v>255</v>
      </c>
      <c r="B820">
        <v>36</v>
      </c>
      <c r="C820" s="1">
        <f>(Tabela1[[#This Row],[x]]-H$3)*(Tabela1[[#This Row],[x]]-H$3) +(Tabela1[[#This Row],[y]]-H$4)*(Tabela1[[#This Row],[y]]-H$4)</f>
        <v>29921</v>
      </c>
      <c r="D820" s="1">
        <f>IF(Tabela1[[#This Row],[promien]]&lt;40000,1,0)</f>
        <v>1</v>
      </c>
      <c r="E820" s="1">
        <f>IF(Tabela1[[#This Row],[promien]]=40000,1,0)</f>
        <v>0</v>
      </c>
      <c r="F820" s="1">
        <v>3.2097560975609758</v>
      </c>
      <c r="G820" s="1">
        <v>6.816344397118268E-2</v>
      </c>
    </row>
    <row r="821" spans="1:7">
      <c r="A821">
        <v>64</v>
      </c>
      <c r="B821">
        <v>219</v>
      </c>
      <c r="C821" s="1">
        <f>(Tabela1[[#This Row],[x]]-H$3)*(Tabela1[[#This Row],[x]]-H$3) +(Tabela1[[#This Row],[y]]-H$4)*(Tabela1[[#This Row],[y]]-H$4)</f>
        <v>18857</v>
      </c>
      <c r="D821" s="1">
        <f>IF(Tabela1[[#This Row],[promien]]&lt;40000,1,0)</f>
        <v>1</v>
      </c>
      <c r="E821" s="1">
        <f>IF(Tabela1[[#This Row],[promien]]=40000,1,0)</f>
        <v>0</v>
      </c>
      <c r="F821" s="1">
        <v>3.2107186358099877</v>
      </c>
      <c r="G821" s="1">
        <v>6.9125982220194615E-2</v>
      </c>
    </row>
    <row r="822" spans="1:7">
      <c r="A822">
        <v>38</v>
      </c>
      <c r="B822">
        <v>58</v>
      </c>
      <c r="C822" s="1">
        <f>(Tabela1[[#This Row],[x]]-H$3)*(Tabela1[[#This Row],[x]]-H$3) +(Tabela1[[#This Row],[y]]-H$4)*(Tabela1[[#This Row],[y]]-H$4)</f>
        <v>46408</v>
      </c>
      <c r="D822" s="1">
        <f>IF(Tabela1[[#This Row],[promien]]&lt;40000,1,0)</f>
        <v>0</v>
      </c>
      <c r="E822" s="1">
        <f>IF(Tabela1[[#This Row],[promien]]=40000,1,0)</f>
        <v>0</v>
      </c>
      <c r="F822" s="1">
        <v>3.2068126520681264</v>
      </c>
      <c r="G822" s="1">
        <v>6.5219998478333263E-2</v>
      </c>
    </row>
    <row r="823" spans="1:7">
      <c r="A823">
        <v>347</v>
      </c>
      <c r="B823">
        <v>31</v>
      </c>
      <c r="C823" s="1">
        <f>(Tabela1[[#This Row],[x]]-H$3)*(Tabela1[[#This Row],[x]]-H$3) +(Tabela1[[#This Row],[y]]-H$4)*(Tabela1[[#This Row],[y]]-H$4)</f>
        <v>50170</v>
      </c>
      <c r="D823" s="1">
        <f>IF(Tabela1[[#This Row],[promien]]&lt;40000,1,0)</f>
        <v>0</v>
      </c>
      <c r="E823" s="1">
        <f>IF(Tabela1[[#This Row],[promien]]=40000,1,0)</f>
        <v>0</v>
      </c>
      <c r="F823" s="1">
        <v>3.2029161603888214</v>
      </c>
      <c r="G823" s="1">
        <v>6.1323506799028316E-2</v>
      </c>
    </row>
    <row r="824" spans="1:7">
      <c r="A824">
        <v>290</v>
      </c>
      <c r="B824">
        <v>300</v>
      </c>
      <c r="C824" s="1">
        <f>(Tabela1[[#This Row],[x]]-H$3)*(Tabela1[[#This Row],[x]]-H$3) +(Tabela1[[#This Row],[y]]-H$4)*(Tabela1[[#This Row],[y]]-H$4)</f>
        <v>18100</v>
      </c>
      <c r="D824" s="1">
        <f>IF(Tabela1[[#This Row],[promien]]&lt;40000,1,0)</f>
        <v>1</v>
      </c>
      <c r="E824" s="1">
        <f>IF(Tabela1[[#This Row],[promien]]=40000,1,0)</f>
        <v>0</v>
      </c>
      <c r="F824" s="1">
        <v>3.203883495145631</v>
      </c>
      <c r="G824" s="1">
        <v>6.2290841555837861E-2</v>
      </c>
    </row>
    <row r="825" spans="1:7">
      <c r="A825">
        <v>119</v>
      </c>
      <c r="B825">
        <v>67</v>
      </c>
      <c r="C825" s="1">
        <f>(Tabela1[[#This Row],[x]]-H$3)*(Tabela1[[#This Row],[x]]-H$3) +(Tabela1[[#This Row],[y]]-H$4)*(Tabela1[[#This Row],[y]]-H$4)</f>
        <v>24250</v>
      </c>
      <c r="D825" s="1">
        <f>IF(Tabela1[[#This Row],[promien]]&lt;40000,1,0)</f>
        <v>1</v>
      </c>
      <c r="E825" s="1">
        <f>IF(Tabela1[[#This Row],[promien]]=40000,1,0)</f>
        <v>0</v>
      </c>
      <c r="F825" s="1">
        <v>3.2048484848484851</v>
      </c>
      <c r="G825" s="1">
        <v>6.3255831258691941E-2</v>
      </c>
    </row>
    <row r="826" spans="1:7">
      <c r="A826">
        <v>48</v>
      </c>
      <c r="B826">
        <v>136</v>
      </c>
      <c r="C826" s="1">
        <f>(Tabela1[[#This Row],[x]]-H$3)*(Tabela1[[#This Row],[x]]-H$3) +(Tabela1[[#This Row],[y]]-H$4)*(Tabela1[[#This Row],[y]]-H$4)</f>
        <v>27200</v>
      </c>
      <c r="D826" s="1">
        <f>IF(Tabela1[[#This Row],[promien]]&lt;40000,1,0)</f>
        <v>1</v>
      </c>
      <c r="E826" s="1">
        <f>IF(Tabela1[[#This Row],[promien]]=40000,1,0)</f>
        <v>0</v>
      </c>
      <c r="F826" s="1">
        <v>3.205811138014528</v>
      </c>
      <c r="G826" s="1">
        <v>6.4218484424734879E-2</v>
      </c>
    </row>
    <row r="827" spans="1:7">
      <c r="A827">
        <v>13</v>
      </c>
      <c r="B827">
        <v>142</v>
      </c>
      <c r="C827" s="1">
        <f>(Tabela1[[#This Row],[x]]-H$3)*(Tabela1[[#This Row],[x]]-H$3) +(Tabela1[[#This Row],[y]]-H$4)*(Tabela1[[#This Row],[y]]-H$4)</f>
        <v>38333</v>
      </c>
      <c r="D827" s="1">
        <f>IF(Tabela1[[#This Row],[promien]]&lt;40000,1,0)</f>
        <v>1</v>
      </c>
      <c r="E827" s="1">
        <f>IF(Tabela1[[#This Row],[promien]]=40000,1,0)</f>
        <v>0</v>
      </c>
      <c r="F827" s="1">
        <v>3.20677146311971</v>
      </c>
      <c r="G827" s="1">
        <v>6.5178809529916837E-2</v>
      </c>
    </row>
    <row r="828" spans="1:7">
      <c r="A828">
        <v>364</v>
      </c>
      <c r="B828">
        <v>374</v>
      </c>
      <c r="C828" s="1">
        <f>(Tabela1[[#This Row],[x]]-H$3)*(Tabela1[[#This Row],[x]]-H$3) +(Tabela1[[#This Row],[y]]-H$4)*(Tabela1[[#This Row],[y]]-H$4)</f>
        <v>57172</v>
      </c>
      <c r="D828" s="1">
        <f>IF(Tabela1[[#This Row],[promien]]&lt;40000,1,0)</f>
        <v>0</v>
      </c>
      <c r="E828" s="1">
        <f>IF(Tabela1[[#This Row],[promien]]=40000,1,0)</f>
        <v>0</v>
      </c>
      <c r="F828" s="1">
        <v>3.2028985507246377</v>
      </c>
      <c r="G828" s="1">
        <v>6.1305897134844578E-2</v>
      </c>
    </row>
    <row r="829" spans="1:7">
      <c r="A829">
        <v>66</v>
      </c>
      <c r="B829">
        <v>256</v>
      </c>
      <c r="C829" s="1">
        <f>(Tabela1[[#This Row],[x]]-H$3)*(Tabela1[[#This Row],[x]]-H$3) +(Tabela1[[#This Row],[y]]-H$4)*(Tabela1[[#This Row],[y]]-H$4)</f>
        <v>21092</v>
      </c>
      <c r="D829" s="1">
        <f>IF(Tabela1[[#This Row],[promien]]&lt;40000,1,0)</f>
        <v>1</v>
      </c>
      <c r="E829" s="1">
        <f>IF(Tabela1[[#This Row],[promien]]=40000,1,0)</f>
        <v>0</v>
      </c>
      <c r="F829" s="1">
        <v>3.2038600723763571</v>
      </c>
      <c r="G829" s="1">
        <v>6.2267418786563944E-2</v>
      </c>
    </row>
    <row r="830" spans="1:7">
      <c r="A830">
        <v>266</v>
      </c>
      <c r="B830">
        <v>23</v>
      </c>
      <c r="C830" s="1">
        <f>(Tabela1[[#This Row],[x]]-H$3)*(Tabela1[[#This Row],[x]]-H$3) +(Tabela1[[#This Row],[y]]-H$4)*(Tabela1[[#This Row],[y]]-H$4)</f>
        <v>35685</v>
      </c>
      <c r="D830" s="1">
        <f>IF(Tabela1[[#This Row],[promien]]&lt;40000,1,0)</f>
        <v>1</v>
      </c>
      <c r="E830" s="1">
        <f>IF(Tabela1[[#This Row],[promien]]=40000,1,0)</f>
        <v>0</v>
      </c>
      <c r="F830" s="1">
        <v>3.2048192771084336</v>
      </c>
      <c r="G830" s="1">
        <v>6.3226623518640501E-2</v>
      </c>
    </row>
    <row r="831" spans="1:7">
      <c r="A831">
        <v>74</v>
      </c>
      <c r="B831">
        <v>339</v>
      </c>
      <c r="C831" s="1">
        <f>(Tabela1[[#This Row],[x]]-H$3)*(Tabela1[[#This Row],[x]]-H$3) +(Tabela1[[#This Row],[y]]-H$4)*(Tabela1[[#This Row],[y]]-H$4)</f>
        <v>35197</v>
      </c>
      <c r="D831" s="1">
        <f>IF(Tabela1[[#This Row],[promien]]&lt;40000,1,0)</f>
        <v>1</v>
      </c>
      <c r="E831" s="1">
        <f>IF(Tabela1[[#This Row],[promien]]=40000,1,0)</f>
        <v>0</v>
      </c>
      <c r="F831" s="1">
        <v>3.2057761732851984</v>
      </c>
      <c r="G831" s="1">
        <v>6.4183519695405256E-2</v>
      </c>
    </row>
    <row r="832" spans="1:7">
      <c r="A832">
        <v>178</v>
      </c>
      <c r="B832">
        <v>127</v>
      </c>
      <c r="C832" s="1">
        <f>(Tabela1[[#This Row],[x]]-H$3)*(Tabela1[[#This Row],[x]]-H$3) +(Tabela1[[#This Row],[y]]-H$4)*(Tabela1[[#This Row],[y]]-H$4)</f>
        <v>5813</v>
      </c>
      <c r="D832" s="1">
        <f>IF(Tabela1[[#This Row],[promien]]&lt;40000,1,0)</f>
        <v>1</v>
      </c>
      <c r="E832" s="1">
        <f>IF(Tabela1[[#This Row],[promien]]=40000,1,0)</f>
        <v>0</v>
      </c>
      <c r="F832" s="1">
        <v>3.2067307692307692</v>
      </c>
      <c r="G832" s="1">
        <v>6.5138115640976046E-2</v>
      </c>
    </row>
    <row r="833" spans="1:7">
      <c r="A833">
        <v>161</v>
      </c>
      <c r="B833">
        <v>176</v>
      </c>
      <c r="C833" s="1">
        <f>(Tabela1[[#This Row],[x]]-H$3)*(Tabela1[[#This Row],[x]]-H$3) +(Tabela1[[#This Row],[y]]-H$4)*(Tabela1[[#This Row],[y]]-H$4)</f>
        <v>2097</v>
      </c>
      <c r="D833" s="1">
        <f>IF(Tabela1[[#This Row],[promien]]&lt;40000,1,0)</f>
        <v>1</v>
      </c>
      <c r="E833" s="1">
        <f>IF(Tabela1[[#This Row],[promien]]=40000,1,0)</f>
        <v>0</v>
      </c>
      <c r="F833" s="1">
        <v>3.2076830732292918</v>
      </c>
      <c r="G833" s="1">
        <v>6.6090419639498688E-2</v>
      </c>
    </row>
    <row r="834" spans="1:7">
      <c r="A834">
        <v>233</v>
      </c>
      <c r="B834">
        <v>118</v>
      </c>
      <c r="C834" s="1">
        <f>(Tabela1[[#This Row],[x]]-H$3)*(Tabela1[[#This Row],[x]]-H$3) +(Tabela1[[#This Row],[y]]-H$4)*(Tabela1[[#This Row],[y]]-H$4)</f>
        <v>7813</v>
      </c>
      <c r="D834" s="1">
        <f>IF(Tabela1[[#This Row],[promien]]&lt;40000,1,0)</f>
        <v>1</v>
      </c>
      <c r="E834" s="1">
        <f>IF(Tabela1[[#This Row],[promien]]=40000,1,0)</f>
        <v>0</v>
      </c>
      <c r="F834" s="1">
        <v>3.2086330935251799</v>
      </c>
      <c r="G834" s="1">
        <v>6.7040439935386775E-2</v>
      </c>
    </row>
    <row r="835" spans="1:7">
      <c r="A835">
        <v>107</v>
      </c>
      <c r="B835">
        <v>28</v>
      </c>
      <c r="C835" s="1">
        <f>(Tabela1[[#This Row],[x]]-H$3)*(Tabela1[[#This Row],[x]]-H$3) +(Tabela1[[#This Row],[y]]-H$4)*(Tabela1[[#This Row],[y]]-H$4)</f>
        <v>38233</v>
      </c>
      <c r="D835" s="1">
        <f>IF(Tabela1[[#This Row],[promien]]&lt;40000,1,0)</f>
        <v>1</v>
      </c>
      <c r="E835" s="1">
        <f>IF(Tabela1[[#This Row],[promien]]=40000,1,0)</f>
        <v>0</v>
      </c>
      <c r="F835" s="1">
        <v>3.2095808383233533</v>
      </c>
      <c r="G835" s="1">
        <v>6.7988184733560164E-2</v>
      </c>
    </row>
    <row r="836" spans="1:7">
      <c r="A836">
        <v>356</v>
      </c>
      <c r="B836">
        <v>266</v>
      </c>
      <c r="C836" s="1">
        <f>(Tabela1[[#This Row],[x]]-H$3)*(Tabela1[[#This Row],[x]]-H$3) +(Tabela1[[#This Row],[y]]-H$4)*(Tabela1[[#This Row],[y]]-H$4)</f>
        <v>28692</v>
      </c>
      <c r="D836" s="1">
        <f>IF(Tabela1[[#This Row],[promien]]&lt;40000,1,0)</f>
        <v>1</v>
      </c>
      <c r="E836" s="1">
        <f>IF(Tabela1[[#This Row],[promien]]=40000,1,0)</f>
        <v>0</v>
      </c>
      <c r="F836" s="1">
        <v>3.2105263157894739</v>
      </c>
      <c r="G836" s="1">
        <v>6.8933662199680779E-2</v>
      </c>
    </row>
    <row r="837" spans="1:7">
      <c r="A837">
        <v>158</v>
      </c>
      <c r="B837">
        <v>380</v>
      </c>
      <c r="C837" s="1">
        <f>(Tabela1[[#This Row],[x]]-H$3)*(Tabela1[[#This Row],[x]]-H$3) +(Tabela1[[#This Row],[y]]-H$4)*(Tabela1[[#This Row],[y]]-H$4)</f>
        <v>34164</v>
      </c>
      <c r="D837" s="1">
        <f>IF(Tabela1[[#This Row],[promien]]&lt;40000,1,0)</f>
        <v>1</v>
      </c>
      <c r="E837" s="1">
        <f>IF(Tabela1[[#This Row],[promien]]=40000,1,0)</f>
        <v>0</v>
      </c>
      <c r="F837" s="1">
        <v>3.2114695340501793</v>
      </c>
      <c r="G837" s="1">
        <v>6.9876880460386204E-2</v>
      </c>
    </row>
    <row r="838" spans="1:7">
      <c r="A838">
        <v>211</v>
      </c>
      <c r="B838">
        <v>71</v>
      </c>
      <c r="C838" s="1">
        <f>(Tabela1[[#This Row],[x]]-H$3)*(Tabela1[[#This Row],[x]]-H$3) +(Tabela1[[#This Row],[y]]-H$4)*(Tabela1[[#This Row],[y]]-H$4)</f>
        <v>16762</v>
      </c>
      <c r="D838" s="1">
        <f>IF(Tabela1[[#This Row],[promien]]&lt;40000,1,0)</f>
        <v>1</v>
      </c>
      <c r="E838" s="1">
        <f>IF(Tabela1[[#This Row],[promien]]=40000,1,0)</f>
        <v>0</v>
      </c>
      <c r="F838" s="1">
        <v>3.2124105011933173</v>
      </c>
      <c r="G838" s="1">
        <v>7.0817847603524164E-2</v>
      </c>
    </row>
    <row r="839" spans="1:7">
      <c r="A839">
        <v>297</v>
      </c>
      <c r="B839">
        <v>133</v>
      </c>
      <c r="C839" s="1">
        <f>(Tabela1[[#This Row],[x]]-H$3)*(Tabela1[[#This Row],[x]]-H$3) +(Tabela1[[#This Row],[y]]-H$4)*(Tabela1[[#This Row],[y]]-H$4)</f>
        <v>13898</v>
      </c>
      <c r="D839" s="1">
        <f>IF(Tabela1[[#This Row],[promien]]&lt;40000,1,0)</f>
        <v>1</v>
      </c>
      <c r="E839" s="1">
        <f>IF(Tabela1[[#This Row],[promien]]=40000,1,0)</f>
        <v>0</v>
      </c>
      <c r="F839" s="1">
        <v>3.2133492252681766</v>
      </c>
      <c r="G839" s="1">
        <v>7.1756571678383452E-2</v>
      </c>
    </row>
    <row r="840" spans="1:7">
      <c r="A840">
        <v>271</v>
      </c>
      <c r="B840">
        <v>389</v>
      </c>
      <c r="C840" s="1">
        <f>(Tabela1[[#This Row],[x]]-H$3)*(Tabela1[[#This Row],[x]]-H$3) +(Tabela1[[#This Row],[y]]-H$4)*(Tabela1[[#This Row],[y]]-H$4)</f>
        <v>40762</v>
      </c>
      <c r="D840" s="1">
        <f>IF(Tabela1[[#This Row],[promien]]&lt;40000,1,0)</f>
        <v>0</v>
      </c>
      <c r="E840" s="1">
        <f>IF(Tabela1[[#This Row],[promien]]=40000,1,0)</f>
        <v>0</v>
      </c>
      <c r="F840" s="1">
        <v>3.2095238095238097</v>
      </c>
      <c r="G840" s="1">
        <v>6.7931155934016552E-2</v>
      </c>
    </row>
    <row r="841" spans="1:7">
      <c r="A841">
        <v>395</v>
      </c>
      <c r="B841">
        <v>397</v>
      </c>
      <c r="C841" s="1">
        <f>(Tabela1[[#This Row],[x]]-H$3)*(Tabela1[[#This Row],[x]]-H$3) +(Tabela1[[#This Row],[y]]-H$4)*(Tabela1[[#This Row],[y]]-H$4)</f>
        <v>76834</v>
      </c>
      <c r="D841" s="1">
        <f>IF(Tabela1[[#This Row],[promien]]&lt;40000,1,0)</f>
        <v>0</v>
      </c>
      <c r="E841" s="1">
        <f>IF(Tabela1[[#This Row],[promien]]=40000,1,0)</f>
        <v>0</v>
      </c>
      <c r="F841" s="1">
        <v>3.2057074910820451</v>
      </c>
      <c r="G841" s="1">
        <v>6.4114837492251997E-2</v>
      </c>
    </row>
    <row r="842" spans="1:7">
      <c r="A842">
        <v>342</v>
      </c>
      <c r="B842">
        <v>113</v>
      </c>
      <c r="C842" s="1">
        <f>(Tabela1[[#This Row],[x]]-H$3)*(Tabela1[[#This Row],[x]]-H$3) +(Tabela1[[#This Row],[y]]-H$4)*(Tabela1[[#This Row],[y]]-H$4)</f>
        <v>27733</v>
      </c>
      <c r="D842" s="1">
        <f>IF(Tabela1[[#This Row],[promien]]&lt;40000,1,0)</f>
        <v>1</v>
      </c>
      <c r="E842" s="1">
        <f>IF(Tabela1[[#This Row],[promien]]=40000,1,0)</f>
        <v>0</v>
      </c>
      <c r="F842" s="1">
        <v>3.2066508313539193</v>
      </c>
      <c r="G842" s="1">
        <v>6.5058177764126146E-2</v>
      </c>
    </row>
    <row r="843" spans="1:7">
      <c r="A843">
        <v>135</v>
      </c>
      <c r="B843">
        <v>166</v>
      </c>
      <c r="C843" s="1">
        <f>(Tabela1[[#This Row],[x]]-H$3)*(Tabela1[[#This Row],[x]]-H$3) +(Tabela1[[#This Row],[y]]-H$4)*(Tabela1[[#This Row],[y]]-H$4)</f>
        <v>5381</v>
      </c>
      <c r="D843" s="1">
        <f>IF(Tabela1[[#This Row],[promien]]&lt;40000,1,0)</f>
        <v>1</v>
      </c>
      <c r="E843" s="1">
        <f>IF(Tabela1[[#This Row],[promien]]=40000,1,0)</f>
        <v>0</v>
      </c>
      <c r="F843" s="1">
        <v>3.2075919335705811</v>
      </c>
      <c r="G843" s="1">
        <v>6.5999279980788028E-2</v>
      </c>
    </row>
    <row r="844" spans="1:7">
      <c r="A844">
        <v>361</v>
      </c>
      <c r="B844">
        <v>118</v>
      </c>
      <c r="C844" s="1">
        <f>(Tabela1[[#This Row],[x]]-H$3)*(Tabela1[[#This Row],[x]]-H$3) +(Tabela1[[#This Row],[y]]-H$4)*(Tabela1[[#This Row],[y]]-H$4)</f>
        <v>32645</v>
      </c>
      <c r="D844" s="1">
        <f>IF(Tabela1[[#This Row],[promien]]&lt;40000,1,0)</f>
        <v>1</v>
      </c>
      <c r="E844" s="1">
        <f>IF(Tabela1[[#This Row],[promien]]=40000,1,0)</f>
        <v>0</v>
      </c>
      <c r="F844" s="1">
        <v>3.2085308056872037</v>
      </c>
      <c r="G844" s="1">
        <v>6.6938152097410608E-2</v>
      </c>
    </row>
    <row r="845" spans="1:7">
      <c r="A845">
        <v>175</v>
      </c>
      <c r="B845">
        <v>330</v>
      </c>
      <c r="C845" s="1">
        <f>(Tabela1[[#This Row],[x]]-H$3)*(Tabela1[[#This Row],[x]]-H$3) +(Tabela1[[#This Row],[y]]-H$4)*(Tabela1[[#This Row],[y]]-H$4)</f>
        <v>17525</v>
      </c>
      <c r="D845" s="1">
        <f>IF(Tabela1[[#This Row],[promien]]&lt;40000,1,0)</f>
        <v>1</v>
      </c>
      <c r="E845" s="1">
        <f>IF(Tabela1[[#This Row],[promien]]=40000,1,0)</f>
        <v>0</v>
      </c>
      <c r="F845" s="1">
        <v>3.2094674556213016</v>
      </c>
      <c r="G845" s="1">
        <v>6.787480203150853E-2</v>
      </c>
    </row>
    <row r="846" spans="1:7">
      <c r="A846">
        <v>87</v>
      </c>
      <c r="B846">
        <v>183</v>
      </c>
      <c r="C846" s="1">
        <f>(Tabela1[[#This Row],[x]]-H$3)*(Tabela1[[#This Row],[x]]-H$3) +(Tabela1[[#This Row],[y]]-H$4)*(Tabela1[[#This Row],[y]]-H$4)</f>
        <v>13058</v>
      </c>
      <c r="D846" s="1">
        <f>IF(Tabela1[[#This Row],[promien]]&lt;40000,1,0)</f>
        <v>1</v>
      </c>
      <c r="E846" s="1">
        <f>IF(Tabela1[[#This Row],[promien]]=40000,1,0)</f>
        <v>0</v>
      </c>
      <c r="F846" s="1">
        <v>3.2104018912529551</v>
      </c>
      <c r="G846" s="1">
        <v>6.8809237663161937E-2</v>
      </c>
    </row>
    <row r="847" spans="1:7">
      <c r="A847">
        <v>172</v>
      </c>
      <c r="B847">
        <v>273</v>
      </c>
      <c r="C847" s="1">
        <f>(Tabela1[[#This Row],[x]]-H$3)*(Tabela1[[#This Row],[x]]-H$3) +(Tabela1[[#This Row],[y]]-H$4)*(Tabela1[[#This Row],[y]]-H$4)</f>
        <v>6113</v>
      </c>
      <c r="D847" s="1">
        <f>IF(Tabela1[[#This Row],[promien]]&lt;40000,1,0)</f>
        <v>1</v>
      </c>
      <c r="E847" s="1">
        <f>IF(Tabela1[[#This Row],[promien]]=40000,1,0)</f>
        <v>0</v>
      </c>
      <c r="F847" s="1">
        <v>3.2113341204250294</v>
      </c>
      <c r="G847" s="1">
        <v>6.9741466835236299E-2</v>
      </c>
    </row>
    <row r="848" spans="1:7">
      <c r="A848">
        <v>264</v>
      </c>
      <c r="B848">
        <v>257</v>
      </c>
      <c r="C848" s="1">
        <f>(Tabela1[[#This Row],[x]]-H$3)*(Tabela1[[#This Row],[x]]-H$3) +(Tabela1[[#This Row],[y]]-H$4)*(Tabela1[[#This Row],[y]]-H$4)</f>
        <v>7345</v>
      </c>
      <c r="D848" s="1">
        <f>IF(Tabela1[[#This Row],[promien]]&lt;40000,1,0)</f>
        <v>1</v>
      </c>
      <c r="E848" s="1">
        <f>IF(Tabela1[[#This Row],[promien]]=40000,1,0)</f>
        <v>0</v>
      </c>
      <c r="F848" s="1">
        <v>3.2122641509433962</v>
      </c>
      <c r="G848" s="1">
        <v>7.0671497353603119E-2</v>
      </c>
    </row>
    <row r="849" spans="1:7">
      <c r="A849">
        <v>261</v>
      </c>
      <c r="B849">
        <v>16</v>
      </c>
      <c r="C849" s="1">
        <f>(Tabela1[[#This Row],[x]]-H$3)*(Tabela1[[#This Row],[x]]-H$3) +(Tabela1[[#This Row],[y]]-H$4)*(Tabela1[[#This Row],[y]]-H$4)</f>
        <v>37577</v>
      </c>
      <c r="D849" s="1">
        <f>IF(Tabela1[[#This Row],[promien]]&lt;40000,1,0)</f>
        <v>1</v>
      </c>
      <c r="E849" s="1">
        <f>IF(Tabela1[[#This Row],[promien]]=40000,1,0)</f>
        <v>0</v>
      </c>
      <c r="F849" s="1">
        <v>3.2131919905771498</v>
      </c>
      <c r="G849" s="1">
        <v>7.1599336987356654E-2</v>
      </c>
    </row>
    <row r="850" spans="1:7">
      <c r="A850">
        <v>148</v>
      </c>
      <c r="B850">
        <v>38</v>
      </c>
      <c r="C850" s="1">
        <f>(Tabela1[[#This Row],[x]]-H$3)*(Tabela1[[#This Row],[x]]-H$3) +(Tabela1[[#This Row],[y]]-H$4)*(Tabela1[[#This Row],[y]]-H$4)</f>
        <v>28948</v>
      </c>
      <c r="D850" s="1">
        <f>IF(Tabela1[[#This Row],[promien]]&lt;40000,1,0)</f>
        <v>1</v>
      </c>
      <c r="E850" s="1">
        <f>IF(Tabela1[[#This Row],[promien]]=40000,1,0)</f>
        <v>0</v>
      </c>
      <c r="F850" s="1">
        <v>3.2141176470588237</v>
      </c>
      <c r="G850" s="1">
        <v>7.252499346903063E-2</v>
      </c>
    </row>
    <row r="851" spans="1:7">
      <c r="A851">
        <v>367</v>
      </c>
      <c r="B851">
        <v>124</v>
      </c>
      <c r="C851" s="1">
        <f>(Tabela1[[#This Row],[x]]-H$3)*(Tabela1[[#This Row],[x]]-H$3) +(Tabela1[[#This Row],[y]]-H$4)*(Tabela1[[#This Row],[y]]-H$4)</f>
        <v>33665</v>
      </c>
      <c r="D851" s="1">
        <f>IF(Tabela1[[#This Row],[promien]]&lt;40000,1,0)</f>
        <v>1</v>
      </c>
      <c r="E851" s="1">
        <f>IF(Tabela1[[#This Row],[promien]]=40000,1,0)</f>
        <v>0</v>
      </c>
      <c r="F851" s="1">
        <v>3.2150411280846063</v>
      </c>
      <c r="G851" s="1">
        <v>7.3448474494813176E-2</v>
      </c>
    </row>
    <row r="852" spans="1:7">
      <c r="A852">
        <v>197</v>
      </c>
      <c r="B852">
        <v>221</v>
      </c>
      <c r="C852" s="1">
        <f>(Tabela1[[#This Row],[x]]-H$3)*(Tabela1[[#This Row],[x]]-H$3) +(Tabela1[[#This Row],[y]]-H$4)*(Tabela1[[#This Row],[y]]-H$4)</f>
        <v>450</v>
      </c>
      <c r="D852" s="1">
        <f>IF(Tabela1[[#This Row],[promien]]&lt;40000,1,0)</f>
        <v>1</v>
      </c>
      <c r="E852" s="1">
        <f>IF(Tabela1[[#This Row],[promien]]=40000,1,0)</f>
        <v>0</v>
      </c>
      <c r="F852" s="1">
        <v>3.215962441314554</v>
      </c>
      <c r="G852" s="1">
        <v>7.4369787724760883E-2</v>
      </c>
    </row>
    <row r="853" spans="1:7">
      <c r="A853">
        <v>53</v>
      </c>
      <c r="B853">
        <v>202</v>
      </c>
      <c r="C853" s="1">
        <f>(Tabela1[[#This Row],[x]]-H$3)*(Tabela1[[#This Row],[x]]-H$3) +(Tabela1[[#This Row],[y]]-H$4)*(Tabela1[[#This Row],[y]]-H$4)</f>
        <v>21613</v>
      </c>
      <c r="D853" s="1">
        <f>IF(Tabela1[[#This Row],[promien]]&lt;40000,1,0)</f>
        <v>1</v>
      </c>
      <c r="E853" s="1">
        <f>IF(Tabela1[[#This Row],[promien]]=40000,1,0)</f>
        <v>0</v>
      </c>
      <c r="F853" s="1">
        <v>3.216881594372802</v>
      </c>
      <c r="G853" s="1">
        <v>7.5288940783008851E-2</v>
      </c>
    </row>
    <row r="854" spans="1:7">
      <c r="A854">
        <v>34</v>
      </c>
      <c r="B854">
        <v>194</v>
      </c>
      <c r="C854" s="1">
        <f>(Tabela1[[#This Row],[x]]-H$3)*(Tabela1[[#This Row],[x]]-H$3) +(Tabela1[[#This Row],[y]]-H$4)*(Tabela1[[#This Row],[y]]-H$4)</f>
        <v>27592</v>
      </c>
      <c r="D854" s="1">
        <f>IF(Tabela1[[#This Row],[promien]]&lt;40000,1,0)</f>
        <v>1</v>
      </c>
      <c r="E854" s="1">
        <f>IF(Tabela1[[#This Row],[promien]]=40000,1,0)</f>
        <v>0</v>
      </c>
      <c r="F854" s="1">
        <v>3.2177985948477752</v>
      </c>
      <c r="G854" s="1">
        <v>7.6205941257982079E-2</v>
      </c>
    </row>
    <row r="855" spans="1:7">
      <c r="A855">
        <v>155</v>
      </c>
      <c r="B855">
        <v>13</v>
      </c>
      <c r="C855" s="1">
        <f>(Tabela1[[#This Row],[x]]-H$3)*(Tabela1[[#This Row],[x]]-H$3) +(Tabela1[[#This Row],[y]]-H$4)*(Tabela1[[#This Row],[y]]-H$4)</f>
        <v>36994</v>
      </c>
      <c r="D855" s="1">
        <f>IF(Tabela1[[#This Row],[promien]]&lt;40000,1,0)</f>
        <v>1</v>
      </c>
      <c r="E855" s="1">
        <f>IF(Tabela1[[#This Row],[promien]]=40000,1,0)</f>
        <v>0</v>
      </c>
      <c r="F855" s="1">
        <v>3.2187134502923977</v>
      </c>
      <c r="G855" s="1">
        <v>7.7120796702604633E-2</v>
      </c>
    </row>
    <row r="856" spans="1:7">
      <c r="A856">
        <v>372</v>
      </c>
      <c r="B856">
        <v>171</v>
      </c>
      <c r="C856" s="1">
        <f>(Tabela1[[#This Row],[x]]-H$3)*(Tabela1[[#This Row],[x]]-H$3) +(Tabela1[[#This Row],[y]]-H$4)*(Tabela1[[#This Row],[y]]-H$4)</f>
        <v>30425</v>
      </c>
      <c r="D856" s="1">
        <f>IF(Tabela1[[#This Row],[promien]]&lt;40000,1,0)</f>
        <v>1</v>
      </c>
      <c r="E856" s="1">
        <f>IF(Tabela1[[#This Row],[promien]]=40000,1,0)</f>
        <v>0</v>
      </c>
      <c r="F856" s="1">
        <v>3.2196261682242993</v>
      </c>
      <c r="G856" s="1">
        <v>7.803351463450614E-2</v>
      </c>
    </row>
    <row r="857" spans="1:7">
      <c r="A857">
        <v>57</v>
      </c>
      <c r="B857">
        <v>369</v>
      </c>
      <c r="C857" s="1">
        <f>(Tabela1[[#This Row],[x]]-H$3)*(Tabela1[[#This Row],[x]]-H$3) +(Tabela1[[#This Row],[y]]-H$4)*(Tabela1[[#This Row],[y]]-H$4)</f>
        <v>49010</v>
      </c>
      <c r="D857" s="1">
        <f>IF(Tabela1[[#This Row],[promien]]&lt;40000,1,0)</f>
        <v>0</v>
      </c>
      <c r="E857" s="1">
        <f>IF(Tabela1[[#This Row],[promien]]=40000,1,0)</f>
        <v>0</v>
      </c>
      <c r="F857" s="1">
        <v>3.2158693115519252</v>
      </c>
      <c r="G857" s="1">
        <v>7.427665796213212E-2</v>
      </c>
    </row>
    <row r="858" spans="1:7">
      <c r="A858">
        <v>220</v>
      </c>
      <c r="B858">
        <v>194</v>
      </c>
      <c r="C858" s="1">
        <f>(Tabela1[[#This Row],[x]]-H$3)*(Tabela1[[#This Row],[x]]-H$3) +(Tabela1[[#This Row],[y]]-H$4)*(Tabela1[[#This Row],[y]]-H$4)</f>
        <v>436</v>
      </c>
      <c r="D858" s="1">
        <f>IF(Tabela1[[#This Row],[promien]]&lt;40000,1,0)</f>
        <v>1</v>
      </c>
      <c r="E858" s="1">
        <f>IF(Tabela1[[#This Row],[promien]]=40000,1,0)</f>
        <v>0</v>
      </c>
      <c r="F858" s="1">
        <v>3.2167832167832167</v>
      </c>
      <c r="G858" s="1">
        <v>7.5190563193423543E-2</v>
      </c>
    </row>
    <row r="859" spans="1:7">
      <c r="A859">
        <v>180</v>
      </c>
      <c r="B859">
        <v>216</v>
      </c>
      <c r="C859" s="1">
        <f>(Tabela1[[#This Row],[x]]-H$3)*(Tabela1[[#This Row],[x]]-H$3) +(Tabela1[[#This Row],[y]]-H$4)*(Tabela1[[#This Row],[y]]-H$4)</f>
        <v>656</v>
      </c>
      <c r="D859" s="1">
        <f>IF(Tabela1[[#This Row],[promien]]&lt;40000,1,0)</f>
        <v>1</v>
      </c>
      <c r="E859" s="1">
        <f>IF(Tabela1[[#This Row],[promien]]=40000,1,0)</f>
        <v>0</v>
      </c>
      <c r="F859" s="1">
        <v>3.2176949941792783</v>
      </c>
      <c r="G859" s="1">
        <v>7.6102340589485173E-2</v>
      </c>
    </row>
    <row r="860" spans="1:7">
      <c r="A860">
        <v>304</v>
      </c>
      <c r="B860">
        <v>145</v>
      </c>
      <c r="C860" s="1">
        <f>(Tabela1[[#This Row],[x]]-H$3)*(Tabela1[[#This Row],[x]]-H$3) +(Tabela1[[#This Row],[y]]-H$4)*(Tabela1[[#This Row],[y]]-H$4)</f>
        <v>13841</v>
      </c>
      <c r="D860" s="1">
        <f>IF(Tabela1[[#This Row],[promien]]&lt;40000,1,0)</f>
        <v>1</v>
      </c>
      <c r="E860" s="1">
        <f>IF(Tabela1[[#This Row],[promien]]=40000,1,0)</f>
        <v>0</v>
      </c>
      <c r="F860" s="1">
        <v>3.2186046511627908</v>
      </c>
      <c r="G860" s="1">
        <v>7.7011997572997704E-2</v>
      </c>
    </row>
    <row r="861" spans="1:7">
      <c r="A861">
        <v>229</v>
      </c>
      <c r="B861">
        <v>338</v>
      </c>
      <c r="C861" s="1">
        <f>(Tabela1[[#This Row],[x]]-H$3)*(Tabela1[[#This Row],[x]]-H$3) +(Tabela1[[#This Row],[y]]-H$4)*(Tabela1[[#This Row],[y]]-H$4)</f>
        <v>19885</v>
      </c>
      <c r="D861" s="1">
        <f>IF(Tabela1[[#This Row],[promien]]&lt;40000,1,0)</f>
        <v>1</v>
      </c>
      <c r="E861" s="1">
        <f>IF(Tabela1[[#This Row],[promien]]=40000,1,0)</f>
        <v>0</v>
      </c>
      <c r="F861" s="1">
        <v>3.2195121951219514</v>
      </c>
      <c r="G861" s="1">
        <v>7.7919541532158298E-2</v>
      </c>
    </row>
    <row r="862" spans="1:7">
      <c r="A862">
        <v>383</v>
      </c>
      <c r="B862">
        <v>361</v>
      </c>
      <c r="C862" s="1">
        <f>(Tabela1[[#This Row],[x]]-H$3)*(Tabela1[[#This Row],[x]]-H$3) +(Tabela1[[#This Row],[y]]-H$4)*(Tabela1[[#This Row],[y]]-H$4)</f>
        <v>59410</v>
      </c>
      <c r="D862" s="1">
        <f>IF(Tabela1[[#This Row],[promien]]&lt;40000,1,0)</f>
        <v>0</v>
      </c>
      <c r="E862" s="1">
        <f>IF(Tabela1[[#This Row],[promien]]=40000,1,0)</f>
        <v>0</v>
      </c>
      <c r="F862" s="1">
        <v>3.2157772621809744</v>
      </c>
      <c r="G862" s="1">
        <v>7.4184608591181256E-2</v>
      </c>
    </row>
    <row r="863" spans="1:7">
      <c r="A863">
        <v>10</v>
      </c>
      <c r="B863">
        <v>295</v>
      </c>
      <c r="C863" s="1">
        <f>(Tabela1[[#This Row],[x]]-H$3)*(Tabela1[[#This Row],[x]]-H$3) +(Tabela1[[#This Row],[y]]-H$4)*(Tabela1[[#This Row],[y]]-H$4)</f>
        <v>45125</v>
      </c>
      <c r="D863" s="1">
        <f>IF(Tabela1[[#This Row],[promien]]&lt;40000,1,0)</f>
        <v>0</v>
      </c>
      <c r="E863" s="1">
        <f>IF(Tabela1[[#This Row],[promien]]=40000,1,0)</f>
        <v>0</v>
      </c>
      <c r="F863" s="1">
        <v>3.2120509849362686</v>
      </c>
      <c r="G863" s="1">
        <v>7.04583313464755E-2</v>
      </c>
    </row>
    <row r="864" spans="1:7">
      <c r="A864">
        <v>119</v>
      </c>
      <c r="B864">
        <v>289</v>
      </c>
      <c r="C864" s="1">
        <f>(Tabela1[[#This Row],[x]]-H$3)*(Tabela1[[#This Row],[x]]-H$3) +(Tabela1[[#This Row],[y]]-H$4)*(Tabela1[[#This Row],[y]]-H$4)</f>
        <v>14482</v>
      </c>
      <c r="D864" s="1">
        <f>IF(Tabela1[[#This Row],[promien]]&lt;40000,1,0)</f>
        <v>1</v>
      </c>
      <c r="E864" s="1">
        <f>IF(Tabela1[[#This Row],[promien]]=40000,1,0)</f>
        <v>0</v>
      </c>
      <c r="F864" s="1">
        <v>3.2129629629629628</v>
      </c>
      <c r="G864" s="1">
        <v>7.1370309373169682E-2</v>
      </c>
    </row>
    <row r="865" spans="1:7">
      <c r="A865">
        <v>372</v>
      </c>
      <c r="B865">
        <v>82</v>
      </c>
      <c r="C865" s="1">
        <f>(Tabela1[[#This Row],[x]]-H$3)*(Tabela1[[#This Row],[x]]-H$3) +(Tabela1[[#This Row],[y]]-H$4)*(Tabela1[[#This Row],[y]]-H$4)</f>
        <v>43508</v>
      </c>
      <c r="D865" s="1">
        <f>IF(Tabela1[[#This Row],[promien]]&lt;40000,1,0)</f>
        <v>0</v>
      </c>
      <c r="E865" s="1">
        <f>IF(Tabela1[[#This Row],[promien]]=40000,1,0)</f>
        <v>0</v>
      </c>
      <c r="F865" s="1">
        <v>3.209248554913295</v>
      </c>
      <c r="G865" s="1">
        <v>6.7655901323501855E-2</v>
      </c>
    </row>
    <row r="866" spans="1:7">
      <c r="A866">
        <v>37</v>
      </c>
      <c r="B866">
        <v>141</v>
      </c>
      <c r="C866" s="1">
        <f>(Tabela1[[#This Row],[x]]-H$3)*(Tabela1[[#This Row],[x]]-H$3) +(Tabela1[[#This Row],[y]]-H$4)*(Tabela1[[#This Row],[y]]-H$4)</f>
        <v>30050</v>
      </c>
      <c r="D866" s="1">
        <f>IF(Tabela1[[#This Row],[promien]]&lt;40000,1,0)</f>
        <v>1</v>
      </c>
      <c r="E866" s="1">
        <f>IF(Tabela1[[#This Row],[promien]]=40000,1,0)</f>
        <v>0</v>
      </c>
      <c r="F866" s="1">
        <v>3.2101616628175518</v>
      </c>
      <c r="G866" s="1">
        <v>6.8569009227758659E-2</v>
      </c>
    </row>
    <row r="867" spans="1:7">
      <c r="A867">
        <v>18</v>
      </c>
      <c r="B867">
        <v>121</v>
      </c>
      <c r="C867" s="1">
        <f>(Tabela1[[#This Row],[x]]-H$3)*(Tabela1[[#This Row],[x]]-H$3) +(Tabela1[[#This Row],[y]]-H$4)*(Tabela1[[#This Row],[y]]-H$4)</f>
        <v>39365</v>
      </c>
      <c r="D867" s="1">
        <f>IF(Tabela1[[#This Row],[promien]]&lt;40000,1,0)</f>
        <v>1</v>
      </c>
      <c r="E867" s="1">
        <f>IF(Tabela1[[#This Row],[promien]]=40000,1,0)</f>
        <v>0</v>
      </c>
      <c r="F867" s="1">
        <v>3.2110726643598615</v>
      </c>
      <c r="G867" s="1">
        <v>6.9480010770068379E-2</v>
      </c>
    </row>
    <row r="868" spans="1:7">
      <c r="A868">
        <v>12</v>
      </c>
      <c r="B868">
        <v>103</v>
      </c>
      <c r="C868" s="1">
        <f>(Tabela1[[#This Row],[x]]-H$3)*(Tabela1[[#This Row],[x]]-H$3) +(Tabela1[[#This Row],[y]]-H$4)*(Tabela1[[#This Row],[y]]-H$4)</f>
        <v>44753</v>
      </c>
      <c r="D868" s="1">
        <f>IF(Tabela1[[#This Row],[promien]]&lt;40000,1,0)</f>
        <v>0</v>
      </c>
      <c r="E868" s="1">
        <f>IF(Tabela1[[#This Row],[promien]]=40000,1,0)</f>
        <v>0</v>
      </c>
      <c r="F868" s="1">
        <v>3.2073732718894008</v>
      </c>
      <c r="G868" s="1">
        <v>6.5780618299607685E-2</v>
      </c>
    </row>
    <row r="869" spans="1:7">
      <c r="A869">
        <v>26</v>
      </c>
      <c r="B869">
        <v>363</v>
      </c>
      <c r="C869" s="1">
        <f>(Tabela1[[#This Row],[x]]-H$3)*(Tabela1[[#This Row],[x]]-H$3) +(Tabela1[[#This Row],[y]]-H$4)*(Tabela1[[#This Row],[y]]-H$4)</f>
        <v>56845</v>
      </c>
      <c r="D869" s="1">
        <f>IF(Tabela1[[#This Row],[promien]]&lt;40000,1,0)</f>
        <v>0</v>
      </c>
      <c r="E869" s="1">
        <f>IF(Tabela1[[#This Row],[promien]]=40000,1,0)</f>
        <v>0</v>
      </c>
      <c r="F869" s="1">
        <v>3.2036823935558112</v>
      </c>
      <c r="G869" s="1">
        <v>6.2089739966018076E-2</v>
      </c>
    </row>
    <row r="870" spans="1:7">
      <c r="A870">
        <v>352</v>
      </c>
      <c r="B870">
        <v>46</v>
      </c>
      <c r="C870" s="1">
        <f>(Tabela1[[#This Row],[x]]-H$3)*(Tabela1[[#This Row],[x]]-H$3) +(Tabela1[[#This Row],[y]]-H$4)*(Tabela1[[#This Row],[y]]-H$4)</f>
        <v>46820</v>
      </c>
      <c r="D870" s="1">
        <f>IF(Tabela1[[#This Row],[promien]]&lt;40000,1,0)</f>
        <v>0</v>
      </c>
      <c r="E870" s="1">
        <f>IF(Tabela1[[#This Row],[promien]]=40000,1,0)</f>
        <v>0</v>
      </c>
      <c r="F870" s="1">
        <v>3.2</v>
      </c>
      <c r="G870" s="1">
        <v>5.8407346410207062E-2</v>
      </c>
    </row>
    <row r="871" spans="1:7">
      <c r="A871">
        <v>75</v>
      </c>
      <c r="B871">
        <v>218</v>
      </c>
      <c r="C871" s="1">
        <f>(Tabela1[[#This Row],[x]]-H$3)*(Tabela1[[#This Row],[x]]-H$3) +(Tabela1[[#This Row],[y]]-H$4)*(Tabela1[[#This Row],[y]]-H$4)</f>
        <v>15949</v>
      </c>
      <c r="D871" s="1">
        <f>IF(Tabela1[[#This Row],[promien]]&lt;40000,1,0)</f>
        <v>1</v>
      </c>
      <c r="E871" s="1">
        <f>IF(Tabela1[[#This Row],[promien]]=40000,1,0)</f>
        <v>0</v>
      </c>
      <c r="F871" s="1">
        <v>3.200918484500574</v>
      </c>
      <c r="G871" s="1">
        <v>5.9325830910780919E-2</v>
      </c>
    </row>
    <row r="872" spans="1:7">
      <c r="A872">
        <v>116</v>
      </c>
      <c r="B872">
        <v>214</v>
      </c>
      <c r="C872" s="1">
        <f>(Tabela1[[#This Row],[x]]-H$3)*(Tabela1[[#This Row],[x]]-H$3) +(Tabela1[[#This Row],[y]]-H$4)*(Tabela1[[#This Row],[y]]-H$4)</f>
        <v>7252</v>
      </c>
      <c r="D872" s="1">
        <f>IF(Tabela1[[#This Row],[promien]]&lt;40000,1,0)</f>
        <v>1</v>
      </c>
      <c r="E872" s="1">
        <f>IF(Tabela1[[#This Row],[promien]]=40000,1,0)</f>
        <v>0</v>
      </c>
      <c r="F872" s="1">
        <v>3.2018348623853212</v>
      </c>
      <c r="G872" s="1">
        <v>6.0242208795528107E-2</v>
      </c>
    </row>
    <row r="873" spans="1:7">
      <c r="A873">
        <v>99</v>
      </c>
      <c r="B873">
        <v>138</v>
      </c>
      <c r="C873" s="1">
        <f>(Tabela1[[#This Row],[x]]-H$3)*(Tabela1[[#This Row],[x]]-H$3) +(Tabela1[[#This Row],[y]]-H$4)*(Tabela1[[#This Row],[y]]-H$4)</f>
        <v>14045</v>
      </c>
      <c r="D873" s="1">
        <f>IF(Tabela1[[#This Row],[promien]]&lt;40000,1,0)</f>
        <v>1</v>
      </c>
      <c r="E873" s="1">
        <f>IF(Tabela1[[#This Row],[promien]]=40000,1,0)</f>
        <v>0</v>
      </c>
      <c r="F873" s="1">
        <v>3.202749140893471</v>
      </c>
      <c r="G873" s="1">
        <v>6.1156487303677842E-2</v>
      </c>
    </row>
    <row r="874" spans="1:7">
      <c r="A874">
        <v>111</v>
      </c>
      <c r="B874">
        <v>90</v>
      </c>
      <c r="C874" s="1">
        <f>(Tabela1[[#This Row],[x]]-H$3)*(Tabela1[[#This Row],[x]]-H$3) +(Tabela1[[#This Row],[y]]-H$4)*(Tabela1[[#This Row],[y]]-H$4)</f>
        <v>20021</v>
      </c>
      <c r="D874" s="1">
        <f>IF(Tabela1[[#This Row],[promien]]&lt;40000,1,0)</f>
        <v>1</v>
      </c>
      <c r="E874" s="1">
        <f>IF(Tabela1[[#This Row],[promien]]=40000,1,0)</f>
        <v>0</v>
      </c>
      <c r="F874" s="1">
        <v>3.2036613272311212</v>
      </c>
      <c r="G874" s="1">
        <v>6.2068673641328065E-2</v>
      </c>
    </row>
    <row r="875" spans="1:7">
      <c r="A875">
        <v>387</v>
      </c>
      <c r="B875">
        <v>159</v>
      </c>
      <c r="C875" s="1">
        <f>(Tabela1[[#This Row],[x]]-H$3)*(Tabela1[[#This Row],[x]]-H$3) +(Tabela1[[#This Row],[y]]-H$4)*(Tabela1[[#This Row],[y]]-H$4)</f>
        <v>36650</v>
      </c>
      <c r="D875" s="1">
        <f>IF(Tabela1[[#This Row],[promien]]&lt;40000,1,0)</f>
        <v>1</v>
      </c>
      <c r="E875" s="1">
        <f>IF(Tabela1[[#This Row],[promien]]=40000,1,0)</f>
        <v>0</v>
      </c>
      <c r="F875" s="1">
        <v>3.2045714285714286</v>
      </c>
      <c r="G875" s="1">
        <v>6.297877498163551E-2</v>
      </c>
    </row>
    <row r="876" spans="1:7">
      <c r="A876">
        <v>79</v>
      </c>
      <c r="B876">
        <v>167</v>
      </c>
      <c r="C876" s="1">
        <f>(Tabela1[[#This Row],[x]]-H$3)*(Tabela1[[#This Row],[x]]-H$3) +(Tabela1[[#This Row],[y]]-H$4)*(Tabela1[[#This Row],[y]]-H$4)</f>
        <v>15730</v>
      </c>
      <c r="D876" s="1">
        <f>IF(Tabela1[[#This Row],[promien]]&lt;40000,1,0)</f>
        <v>1</v>
      </c>
      <c r="E876" s="1">
        <f>IF(Tabela1[[#This Row],[promien]]=40000,1,0)</f>
        <v>0</v>
      </c>
      <c r="F876" s="1">
        <v>3.2054794520547945</v>
      </c>
      <c r="G876" s="1">
        <v>6.3886798465001338E-2</v>
      </c>
    </row>
    <row r="877" spans="1:7">
      <c r="A877">
        <v>370</v>
      </c>
      <c r="B877">
        <v>337</v>
      </c>
      <c r="C877" s="1">
        <f>(Tabela1[[#This Row],[x]]-H$3)*(Tabela1[[#This Row],[x]]-H$3) +(Tabela1[[#This Row],[y]]-H$4)*(Tabela1[[#This Row],[y]]-H$4)</f>
        <v>47669</v>
      </c>
      <c r="D877" s="1">
        <f>IF(Tabela1[[#This Row],[promien]]&lt;40000,1,0)</f>
        <v>0</v>
      </c>
      <c r="E877" s="1">
        <f>IF(Tabela1[[#This Row],[promien]]=40000,1,0)</f>
        <v>0</v>
      </c>
      <c r="F877" s="1">
        <v>3.201824401368301</v>
      </c>
      <c r="G877" s="1">
        <v>6.0231747778507927E-2</v>
      </c>
    </row>
    <row r="878" spans="1:7">
      <c r="A878">
        <v>229</v>
      </c>
      <c r="B878">
        <v>33</v>
      </c>
      <c r="C878" s="1">
        <f>(Tabela1[[#This Row],[x]]-H$3)*(Tabela1[[#This Row],[x]]-H$3) +(Tabela1[[#This Row],[y]]-H$4)*(Tabela1[[#This Row],[y]]-H$4)</f>
        <v>28730</v>
      </c>
      <c r="D878" s="1">
        <f>IF(Tabela1[[#This Row],[promien]]&lt;40000,1,0)</f>
        <v>1</v>
      </c>
      <c r="E878" s="1">
        <f>IF(Tabela1[[#This Row],[promien]]=40000,1,0)</f>
        <v>0</v>
      </c>
      <c r="F878" s="1">
        <v>3.202733485193622</v>
      </c>
      <c r="G878" s="1">
        <v>6.1140831603828882E-2</v>
      </c>
    </row>
    <row r="879" spans="1:7">
      <c r="A879">
        <v>71</v>
      </c>
      <c r="B879">
        <v>297</v>
      </c>
      <c r="C879" s="1">
        <f>(Tabela1[[#This Row],[x]]-H$3)*(Tabela1[[#This Row],[x]]-H$3) +(Tabela1[[#This Row],[y]]-H$4)*(Tabela1[[#This Row],[y]]-H$4)</f>
        <v>26050</v>
      </c>
      <c r="D879" s="1">
        <f>IF(Tabela1[[#This Row],[promien]]&lt;40000,1,0)</f>
        <v>1</v>
      </c>
      <c r="E879" s="1">
        <f>IF(Tabela1[[#This Row],[promien]]=40000,1,0)</f>
        <v>0</v>
      </c>
      <c r="F879" s="1">
        <v>3.2036405005688282</v>
      </c>
      <c r="G879" s="1">
        <v>6.2047846979035093E-2</v>
      </c>
    </row>
    <row r="880" spans="1:7">
      <c r="A880">
        <v>181</v>
      </c>
      <c r="B880">
        <v>27</v>
      </c>
      <c r="C880" s="1">
        <f>(Tabela1[[#This Row],[x]]-H$3)*(Tabela1[[#This Row],[x]]-H$3) +(Tabela1[[#This Row],[y]]-H$4)*(Tabela1[[#This Row],[y]]-H$4)</f>
        <v>30290</v>
      </c>
      <c r="D880" s="1">
        <f>IF(Tabela1[[#This Row],[promien]]&lt;40000,1,0)</f>
        <v>1</v>
      </c>
      <c r="E880" s="1">
        <f>IF(Tabela1[[#This Row],[promien]]=40000,1,0)</f>
        <v>0</v>
      </c>
      <c r="F880" s="1">
        <v>3.2045454545454546</v>
      </c>
      <c r="G880" s="1">
        <v>6.295280095566147E-2</v>
      </c>
    </row>
    <row r="881" spans="1:7">
      <c r="A881">
        <v>283</v>
      </c>
      <c r="B881">
        <v>75</v>
      </c>
      <c r="C881" s="1">
        <f>(Tabela1[[#This Row],[x]]-H$3)*(Tabela1[[#This Row],[x]]-H$3) +(Tabela1[[#This Row],[y]]-H$4)*(Tabela1[[#This Row],[y]]-H$4)</f>
        <v>22514</v>
      </c>
      <c r="D881" s="1">
        <f>IF(Tabela1[[#This Row],[promien]]&lt;40000,1,0)</f>
        <v>1</v>
      </c>
      <c r="E881" s="1">
        <f>IF(Tabela1[[#This Row],[promien]]=40000,1,0)</f>
        <v>0</v>
      </c>
      <c r="F881" s="1">
        <v>3.2054483541430194</v>
      </c>
      <c r="G881" s="1">
        <v>6.3855700553226313E-2</v>
      </c>
    </row>
    <row r="882" spans="1:7">
      <c r="A882">
        <v>84</v>
      </c>
      <c r="B882">
        <v>126</v>
      </c>
      <c r="C882" s="1">
        <f>(Tabela1[[#This Row],[x]]-H$3)*(Tabela1[[#This Row],[x]]-H$3) +(Tabela1[[#This Row],[y]]-H$4)*(Tabela1[[#This Row],[y]]-H$4)</f>
        <v>18932</v>
      </c>
      <c r="D882" s="1">
        <f>IF(Tabela1[[#This Row],[promien]]&lt;40000,1,0)</f>
        <v>1</v>
      </c>
      <c r="E882" s="1">
        <f>IF(Tabela1[[#This Row],[promien]]=40000,1,0)</f>
        <v>0</v>
      </c>
      <c r="F882" s="1">
        <v>3.2063492063492065</v>
      </c>
      <c r="G882" s="1">
        <v>6.4756552759413388E-2</v>
      </c>
    </row>
    <row r="883" spans="1:7">
      <c r="A883">
        <v>144</v>
      </c>
      <c r="B883">
        <v>181</v>
      </c>
      <c r="C883" s="1">
        <f>(Tabela1[[#This Row],[x]]-H$3)*(Tabela1[[#This Row],[x]]-H$3) +(Tabela1[[#This Row],[y]]-H$4)*(Tabela1[[#This Row],[y]]-H$4)</f>
        <v>3497</v>
      </c>
      <c r="D883" s="1">
        <f>IF(Tabela1[[#This Row],[promien]]&lt;40000,1,0)</f>
        <v>1</v>
      </c>
      <c r="E883" s="1">
        <f>IF(Tabela1[[#This Row],[promien]]=40000,1,0)</f>
        <v>0</v>
      </c>
      <c r="F883" s="1">
        <v>3.2072480181200453</v>
      </c>
      <c r="G883" s="1">
        <v>6.5655364530252225E-2</v>
      </c>
    </row>
    <row r="884" spans="1:7">
      <c r="A884">
        <v>318</v>
      </c>
      <c r="B884">
        <v>228</v>
      </c>
      <c r="C884" s="1">
        <f>(Tabela1[[#This Row],[x]]-H$3)*(Tabela1[[#This Row],[x]]-H$3) +(Tabela1[[#This Row],[y]]-H$4)*(Tabela1[[#This Row],[y]]-H$4)</f>
        <v>14708</v>
      </c>
      <c r="D884" s="1">
        <f>IF(Tabela1[[#This Row],[promien]]&lt;40000,1,0)</f>
        <v>1</v>
      </c>
      <c r="E884" s="1">
        <f>IF(Tabela1[[#This Row],[promien]]=40000,1,0)</f>
        <v>0</v>
      </c>
      <c r="F884" s="1">
        <v>3.2081447963800906</v>
      </c>
      <c r="G884" s="1">
        <v>6.655214279029753E-2</v>
      </c>
    </row>
    <row r="885" spans="1:7">
      <c r="A885">
        <v>233</v>
      </c>
      <c r="B885">
        <v>264</v>
      </c>
      <c r="C885" s="1">
        <f>(Tabela1[[#This Row],[x]]-H$3)*(Tabela1[[#This Row],[x]]-H$3) +(Tabela1[[#This Row],[y]]-H$4)*(Tabela1[[#This Row],[y]]-H$4)</f>
        <v>5185</v>
      </c>
      <c r="D885" s="1">
        <f>IF(Tabela1[[#This Row],[promien]]&lt;40000,1,0)</f>
        <v>1</v>
      </c>
      <c r="E885" s="1">
        <f>IF(Tabela1[[#This Row],[promien]]=40000,1,0)</f>
        <v>0</v>
      </c>
      <c r="F885" s="1">
        <v>3.2090395480225991</v>
      </c>
      <c r="G885" s="1">
        <v>6.7446894432805937E-2</v>
      </c>
    </row>
    <row r="886" spans="1:7">
      <c r="A886">
        <v>205</v>
      </c>
      <c r="B886">
        <v>11</v>
      </c>
      <c r="C886" s="1">
        <f>(Tabela1[[#This Row],[x]]-H$3)*(Tabela1[[#This Row],[x]]-H$3) +(Tabela1[[#This Row],[y]]-H$4)*(Tabela1[[#This Row],[y]]-H$4)</f>
        <v>35746</v>
      </c>
      <c r="D886" s="1">
        <f>IF(Tabela1[[#This Row],[promien]]&lt;40000,1,0)</f>
        <v>1</v>
      </c>
      <c r="E886" s="1">
        <f>IF(Tabela1[[#This Row],[promien]]=40000,1,0)</f>
        <v>0</v>
      </c>
      <c r="F886" s="1">
        <v>3.2099322799097068</v>
      </c>
      <c r="G886" s="1">
        <v>6.8339626319913638E-2</v>
      </c>
    </row>
    <row r="887" spans="1:7">
      <c r="A887">
        <v>321</v>
      </c>
      <c r="B887">
        <v>134</v>
      </c>
      <c r="C887" s="1">
        <f>(Tabela1[[#This Row],[x]]-H$3)*(Tabela1[[#This Row],[x]]-H$3) +(Tabela1[[#This Row],[y]]-H$4)*(Tabela1[[#This Row],[y]]-H$4)</f>
        <v>18997</v>
      </c>
      <c r="D887" s="1">
        <f>IF(Tabela1[[#This Row],[promien]]&lt;40000,1,0)</f>
        <v>1</v>
      </c>
      <c r="E887" s="1">
        <f>IF(Tabela1[[#This Row],[promien]]=40000,1,0)</f>
        <v>0</v>
      </c>
      <c r="F887" s="1">
        <v>3.2108229988726045</v>
      </c>
      <c r="G887" s="1">
        <v>6.9230345282811356E-2</v>
      </c>
    </row>
    <row r="888" spans="1:7">
      <c r="A888">
        <v>191</v>
      </c>
      <c r="B888">
        <v>343</v>
      </c>
      <c r="C888" s="1">
        <f>(Tabela1[[#This Row],[x]]-H$3)*(Tabela1[[#This Row],[x]]-H$3) +(Tabela1[[#This Row],[y]]-H$4)*(Tabela1[[#This Row],[y]]-H$4)</f>
        <v>20530</v>
      </c>
      <c r="D888" s="1">
        <f>IF(Tabela1[[#This Row],[promien]]&lt;40000,1,0)</f>
        <v>1</v>
      </c>
      <c r="E888" s="1">
        <f>IF(Tabela1[[#This Row],[promien]]=40000,1,0)</f>
        <v>0</v>
      </c>
      <c r="F888" s="1">
        <v>3.2117117117117115</v>
      </c>
      <c r="G888" s="1">
        <v>7.0119058121918432E-2</v>
      </c>
    </row>
    <row r="889" spans="1:7">
      <c r="A889">
        <v>388</v>
      </c>
      <c r="B889">
        <v>230</v>
      </c>
      <c r="C889" s="1">
        <f>(Tabela1[[#This Row],[x]]-H$3)*(Tabela1[[#This Row],[x]]-H$3) +(Tabela1[[#This Row],[y]]-H$4)*(Tabela1[[#This Row],[y]]-H$4)</f>
        <v>36244</v>
      </c>
      <c r="D889" s="1">
        <f>IF(Tabela1[[#This Row],[promien]]&lt;40000,1,0)</f>
        <v>1</v>
      </c>
      <c r="E889" s="1">
        <f>IF(Tabela1[[#This Row],[promien]]=40000,1,0)</f>
        <v>0</v>
      </c>
      <c r="F889" s="1">
        <v>3.2125984251968505</v>
      </c>
      <c r="G889" s="1">
        <v>7.1005771607057344E-2</v>
      </c>
    </row>
    <row r="890" spans="1:7">
      <c r="A890">
        <v>366</v>
      </c>
      <c r="B890">
        <v>195</v>
      </c>
      <c r="C890" s="1">
        <f>(Tabela1[[#This Row],[x]]-H$3)*(Tabela1[[#This Row],[x]]-H$3) +(Tabela1[[#This Row],[y]]-H$4)*(Tabela1[[#This Row],[y]]-H$4)</f>
        <v>27581</v>
      </c>
      <c r="D890" s="1">
        <f>IF(Tabela1[[#This Row],[promien]]&lt;40000,1,0)</f>
        <v>1</v>
      </c>
      <c r="E890" s="1">
        <f>IF(Tabela1[[#This Row],[promien]]=40000,1,0)</f>
        <v>0</v>
      </c>
      <c r="F890" s="1">
        <v>3.2134831460674156</v>
      </c>
      <c r="G890" s="1">
        <v>7.189049247762247E-2</v>
      </c>
    </row>
    <row r="891" spans="1:7">
      <c r="A891">
        <v>200</v>
      </c>
      <c r="B891">
        <v>25</v>
      </c>
      <c r="C891" s="1">
        <f>(Tabela1[[#This Row],[x]]-H$3)*(Tabela1[[#This Row],[x]]-H$3) +(Tabela1[[#This Row],[y]]-H$4)*(Tabela1[[#This Row],[y]]-H$4)</f>
        <v>30625</v>
      </c>
      <c r="D891" s="1">
        <f>IF(Tabela1[[#This Row],[promien]]&lt;40000,1,0)</f>
        <v>1</v>
      </c>
      <c r="E891" s="1">
        <f>IF(Tabela1[[#This Row],[promien]]=40000,1,0)</f>
        <v>0</v>
      </c>
      <c r="F891" s="1">
        <v>3.2143658810325477</v>
      </c>
      <c r="G891" s="1">
        <v>7.2773227442754607E-2</v>
      </c>
    </row>
    <row r="892" spans="1:7">
      <c r="A892">
        <v>166</v>
      </c>
      <c r="B892">
        <v>296</v>
      </c>
      <c r="C892" s="1">
        <f>(Tabela1[[#This Row],[x]]-H$3)*(Tabela1[[#This Row],[x]]-H$3) +(Tabela1[[#This Row],[y]]-H$4)*(Tabela1[[#This Row],[y]]-H$4)</f>
        <v>10372</v>
      </c>
      <c r="D892" s="1">
        <f>IF(Tabela1[[#This Row],[promien]]&lt;40000,1,0)</f>
        <v>1</v>
      </c>
      <c r="E892" s="1">
        <f>IF(Tabela1[[#This Row],[promien]]=40000,1,0)</f>
        <v>0</v>
      </c>
      <c r="F892" s="1">
        <v>3.2152466367713006</v>
      </c>
      <c r="G892" s="1">
        <v>7.365398318150751E-2</v>
      </c>
    </row>
    <row r="893" spans="1:7">
      <c r="A893">
        <v>190</v>
      </c>
      <c r="B893">
        <v>163</v>
      </c>
      <c r="C893" s="1">
        <f>(Tabela1[[#This Row],[x]]-H$3)*(Tabela1[[#This Row],[x]]-H$3) +(Tabela1[[#This Row],[y]]-H$4)*(Tabela1[[#This Row],[y]]-H$4)</f>
        <v>1469</v>
      </c>
      <c r="D893" s="1">
        <f>IF(Tabela1[[#This Row],[promien]]&lt;40000,1,0)</f>
        <v>1</v>
      </c>
      <c r="E893" s="1">
        <f>IF(Tabela1[[#This Row],[promien]]=40000,1,0)</f>
        <v>0</v>
      </c>
      <c r="F893" s="1">
        <v>3.2161254199328106</v>
      </c>
      <c r="G893" s="1">
        <v>7.4532766343017531E-2</v>
      </c>
    </row>
    <row r="894" spans="1:7">
      <c r="A894">
        <v>28</v>
      </c>
      <c r="B894">
        <v>186</v>
      </c>
      <c r="C894" s="1">
        <f>(Tabela1[[#This Row],[x]]-H$3)*(Tabela1[[#This Row],[x]]-H$3) +(Tabela1[[#This Row],[y]]-H$4)*(Tabela1[[#This Row],[y]]-H$4)</f>
        <v>29780</v>
      </c>
      <c r="D894" s="1">
        <f>IF(Tabela1[[#This Row],[promien]]&lt;40000,1,0)</f>
        <v>1</v>
      </c>
      <c r="E894" s="1">
        <f>IF(Tabela1[[#This Row],[promien]]=40000,1,0)</f>
        <v>0</v>
      </c>
      <c r="F894" s="1">
        <v>3.2170022371364655</v>
      </c>
      <c r="G894" s="1">
        <v>7.5409583546672376E-2</v>
      </c>
    </row>
    <row r="895" spans="1:7">
      <c r="A895">
        <v>172</v>
      </c>
      <c r="B895">
        <v>270</v>
      </c>
      <c r="C895" s="1">
        <f>(Tabela1[[#This Row],[x]]-H$3)*(Tabela1[[#This Row],[x]]-H$3) +(Tabela1[[#This Row],[y]]-H$4)*(Tabela1[[#This Row],[y]]-H$4)</f>
        <v>5684</v>
      </c>
      <c r="D895" s="1">
        <f>IF(Tabela1[[#This Row],[promien]]&lt;40000,1,0)</f>
        <v>1</v>
      </c>
      <c r="E895" s="1">
        <f>IF(Tabela1[[#This Row],[promien]]=40000,1,0)</f>
        <v>0</v>
      </c>
      <c r="F895" s="1">
        <v>3.2178770949720672</v>
      </c>
      <c r="G895" s="1">
        <v>7.6284441382274082E-2</v>
      </c>
    </row>
    <row r="896" spans="1:7">
      <c r="A896">
        <v>124</v>
      </c>
      <c r="B896">
        <v>239</v>
      </c>
      <c r="C896" s="1">
        <f>(Tabela1[[#This Row],[x]]-H$3)*(Tabela1[[#This Row],[x]]-H$3) +(Tabela1[[#This Row],[y]]-H$4)*(Tabela1[[#This Row],[y]]-H$4)</f>
        <v>7297</v>
      </c>
      <c r="D896" s="1">
        <f>IF(Tabela1[[#This Row],[promien]]&lt;40000,1,0)</f>
        <v>1</v>
      </c>
      <c r="E896" s="1">
        <f>IF(Tabela1[[#This Row],[promien]]=40000,1,0)</f>
        <v>0</v>
      </c>
      <c r="F896" s="1">
        <v>3.21875</v>
      </c>
      <c r="G896" s="1">
        <v>7.7157346410206884E-2</v>
      </c>
    </row>
    <row r="897" spans="1:7">
      <c r="A897">
        <v>317</v>
      </c>
      <c r="B897">
        <v>216</v>
      </c>
      <c r="C897" s="1">
        <f>(Tabela1[[#This Row],[x]]-H$3)*(Tabela1[[#This Row],[x]]-H$3) +(Tabela1[[#This Row],[y]]-H$4)*(Tabela1[[#This Row],[y]]-H$4)</f>
        <v>13945</v>
      </c>
      <c r="D897" s="1">
        <f>IF(Tabela1[[#This Row],[promien]]&lt;40000,1,0)</f>
        <v>1</v>
      </c>
      <c r="E897" s="1">
        <f>IF(Tabela1[[#This Row],[promien]]=40000,1,0)</f>
        <v>0</v>
      </c>
      <c r="F897" s="1">
        <v>3.2196209587513933</v>
      </c>
      <c r="G897" s="1">
        <v>7.8028305161600198E-2</v>
      </c>
    </row>
    <row r="898" spans="1:7">
      <c r="A898">
        <v>158</v>
      </c>
      <c r="B898">
        <v>124</v>
      </c>
      <c r="C898" s="1">
        <f>(Tabela1[[#This Row],[x]]-H$3)*(Tabela1[[#This Row],[x]]-H$3) +(Tabela1[[#This Row],[y]]-H$4)*(Tabela1[[#This Row],[y]]-H$4)</f>
        <v>7540</v>
      </c>
      <c r="D898" s="1">
        <f>IF(Tabela1[[#This Row],[promien]]&lt;40000,1,0)</f>
        <v>1</v>
      </c>
      <c r="E898" s="1">
        <f>IF(Tabela1[[#This Row],[promien]]=40000,1,0)</f>
        <v>0</v>
      </c>
      <c r="F898" s="1">
        <v>3.2204899777282852</v>
      </c>
      <c r="G898" s="1">
        <v>7.8897324138492042E-2</v>
      </c>
    </row>
    <row r="899" spans="1:7">
      <c r="A899">
        <v>117</v>
      </c>
      <c r="B899">
        <v>35</v>
      </c>
      <c r="C899" s="1">
        <f>(Tabela1[[#This Row],[x]]-H$3)*(Tabela1[[#This Row],[x]]-H$3) +(Tabela1[[#This Row],[y]]-H$4)*(Tabela1[[#This Row],[y]]-H$4)</f>
        <v>34114</v>
      </c>
      <c r="D899" s="1">
        <f>IF(Tabela1[[#This Row],[promien]]&lt;40000,1,0)</f>
        <v>1</v>
      </c>
      <c r="E899" s="1">
        <f>IF(Tabela1[[#This Row],[promien]]=40000,1,0)</f>
        <v>0</v>
      </c>
      <c r="F899" s="1">
        <v>3.221357063403782</v>
      </c>
      <c r="G899" s="1">
        <v>7.9764409813988912E-2</v>
      </c>
    </row>
    <row r="900" spans="1:7">
      <c r="A900">
        <v>182</v>
      </c>
      <c r="B900">
        <v>62</v>
      </c>
      <c r="C900" s="1">
        <f>(Tabela1[[#This Row],[x]]-H$3)*(Tabela1[[#This Row],[x]]-H$3) +(Tabela1[[#This Row],[y]]-H$4)*(Tabela1[[#This Row],[y]]-H$4)</f>
        <v>19368</v>
      </c>
      <c r="D900" s="1">
        <f>IF(Tabela1[[#This Row],[promien]]&lt;40000,1,0)</f>
        <v>1</v>
      </c>
      <c r="E900" s="1">
        <f>IF(Tabela1[[#This Row],[promien]]=40000,1,0)</f>
        <v>0</v>
      </c>
      <c r="F900" s="1">
        <v>3.2222222222222223</v>
      </c>
      <c r="G900" s="1">
        <v>8.0629568632429205E-2</v>
      </c>
    </row>
    <row r="901" spans="1:7">
      <c r="A901">
        <v>104</v>
      </c>
      <c r="B901">
        <v>374</v>
      </c>
      <c r="C901" s="1">
        <f>(Tabela1[[#This Row],[x]]-H$3)*(Tabela1[[#This Row],[x]]-H$3) +(Tabela1[[#This Row],[y]]-H$4)*(Tabela1[[#This Row],[y]]-H$4)</f>
        <v>39492</v>
      </c>
      <c r="D901" s="1">
        <f>IF(Tabela1[[#This Row],[promien]]&lt;40000,1,0)</f>
        <v>1</v>
      </c>
      <c r="E901" s="1">
        <f>IF(Tabela1[[#This Row],[promien]]=40000,1,0)</f>
        <v>0</v>
      </c>
      <c r="F901" s="1">
        <v>3.223085460599334</v>
      </c>
      <c r="G901" s="1">
        <v>8.1492807009540869E-2</v>
      </c>
    </row>
    <row r="902" spans="1:7">
      <c r="A902">
        <v>200</v>
      </c>
      <c r="B902">
        <v>272</v>
      </c>
      <c r="C902" s="1">
        <f>(Tabela1[[#This Row],[x]]-H$3)*(Tabela1[[#This Row],[x]]-H$3) +(Tabela1[[#This Row],[y]]-H$4)*(Tabela1[[#This Row],[y]]-H$4)</f>
        <v>5184</v>
      </c>
      <c r="D902" s="1">
        <f>IF(Tabela1[[#This Row],[promien]]&lt;40000,1,0)</f>
        <v>1</v>
      </c>
      <c r="E902" s="1">
        <f>IF(Tabela1[[#This Row],[promien]]=40000,1,0)</f>
        <v>0</v>
      </c>
      <c r="F902" s="1">
        <v>3.2239467849223948</v>
      </c>
      <c r="G902" s="1">
        <v>8.2354131332601721E-2</v>
      </c>
    </row>
    <row r="903" spans="1:7">
      <c r="A903">
        <v>5</v>
      </c>
      <c r="B903">
        <v>71</v>
      </c>
      <c r="C903" s="1">
        <f>(Tabela1[[#This Row],[x]]-H$3)*(Tabela1[[#This Row],[x]]-H$3) +(Tabela1[[#This Row],[y]]-H$4)*(Tabela1[[#This Row],[y]]-H$4)</f>
        <v>54666</v>
      </c>
      <c r="D903" s="1">
        <f>IF(Tabela1[[#This Row],[promien]]&lt;40000,1,0)</f>
        <v>0</v>
      </c>
      <c r="E903" s="1">
        <f>IF(Tabela1[[#This Row],[promien]]=40000,1,0)</f>
        <v>0</v>
      </c>
      <c r="F903" s="1">
        <v>3.2203765227021042</v>
      </c>
      <c r="G903" s="1">
        <v>7.8783869112311056E-2</v>
      </c>
    </row>
    <row r="904" spans="1:7">
      <c r="A904">
        <v>278</v>
      </c>
      <c r="B904">
        <v>117</v>
      </c>
      <c r="C904" s="1">
        <f>(Tabela1[[#This Row],[x]]-H$3)*(Tabela1[[#This Row],[x]]-H$3) +(Tabela1[[#This Row],[y]]-H$4)*(Tabela1[[#This Row],[y]]-H$4)</f>
        <v>12973</v>
      </c>
      <c r="D904" s="1">
        <f>IF(Tabela1[[#This Row],[promien]]&lt;40000,1,0)</f>
        <v>1</v>
      </c>
      <c r="E904" s="1">
        <f>IF(Tabela1[[#This Row],[promien]]=40000,1,0)</f>
        <v>0</v>
      </c>
      <c r="F904" s="1">
        <v>3.2212389380530975</v>
      </c>
      <c r="G904" s="1">
        <v>7.9646284463304351E-2</v>
      </c>
    </row>
    <row r="905" spans="1:7">
      <c r="A905">
        <v>234</v>
      </c>
      <c r="B905">
        <v>1</v>
      </c>
      <c r="C905" s="1">
        <f>(Tabela1[[#This Row],[x]]-H$3)*(Tabela1[[#This Row],[x]]-H$3) +(Tabela1[[#This Row],[y]]-H$4)*(Tabela1[[#This Row],[y]]-H$4)</f>
        <v>40757</v>
      </c>
      <c r="D905" s="1">
        <f>IF(Tabela1[[#This Row],[promien]]&lt;40000,1,0)</f>
        <v>0</v>
      </c>
      <c r="E905" s="1">
        <f>IF(Tabela1[[#This Row],[promien]]=40000,1,0)</f>
        <v>0</v>
      </c>
      <c r="F905" s="1">
        <v>3.2176795580110498</v>
      </c>
      <c r="G905" s="1">
        <v>7.6086904421256651E-2</v>
      </c>
    </row>
    <row r="906" spans="1:7">
      <c r="A906">
        <v>182</v>
      </c>
      <c r="B906">
        <v>391</v>
      </c>
      <c r="C906" s="1">
        <f>(Tabela1[[#This Row],[x]]-H$3)*(Tabela1[[#This Row],[x]]-H$3) +(Tabela1[[#This Row],[y]]-H$4)*(Tabela1[[#This Row],[y]]-H$4)</f>
        <v>36805</v>
      </c>
      <c r="D906" s="1">
        <f>IF(Tabela1[[#This Row],[promien]]&lt;40000,1,0)</f>
        <v>1</v>
      </c>
      <c r="E906" s="1">
        <f>IF(Tabela1[[#This Row],[promien]]=40000,1,0)</f>
        <v>0</v>
      </c>
      <c r="F906" s="1">
        <v>3.2185430463576159</v>
      </c>
      <c r="G906" s="1">
        <v>7.6950392767822784E-2</v>
      </c>
    </row>
    <row r="907" spans="1:7">
      <c r="A907">
        <v>371</v>
      </c>
      <c r="B907">
        <v>39</v>
      </c>
      <c r="C907" s="1">
        <f>(Tabela1[[#This Row],[x]]-H$3)*(Tabela1[[#This Row],[x]]-H$3) +(Tabela1[[#This Row],[y]]-H$4)*(Tabela1[[#This Row],[y]]-H$4)</f>
        <v>55162</v>
      </c>
      <c r="D907" s="1">
        <f>IF(Tabela1[[#This Row],[promien]]&lt;40000,1,0)</f>
        <v>0</v>
      </c>
      <c r="E907" s="1">
        <f>IF(Tabela1[[#This Row],[promien]]=40000,1,0)</f>
        <v>0</v>
      </c>
      <c r="F907" s="1">
        <v>3.2149944873208378</v>
      </c>
      <c r="G907" s="1">
        <v>7.3401833731044697E-2</v>
      </c>
    </row>
    <row r="908" spans="1:7">
      <c r="A908">
        <v>107</v>
      </c>
      <c r="B908">
        <v>83</v>
      </c>
      <c r="C908" s="1">
        <f>(Tabela1[[#This Row],[x]]-H$3)*(Tabela1[[#This Row],[x]]-H$3) +(Tabela1[[#This Row],[y]]-H$4)*(Tabela1[[#This Row],[y]]-H$4)</f>
        <v>22338</v>
      </c>
      <c r="D908" s="1">
        <f>IF(Tabela1[[#This Row],[promien]]&lt;40000,1,0)</f>
        <v>1</v>
      </c>
      <c r="E908" s="1">
        <f>IF(Tabela1[[#This Row],[promien]]=40000,1,0)</f>
        <v>0</v>
      </c>
      <c r="F908" s="1">
        <v>3.2158590308370045</v>
      </c>
      <c r="G908" s="1">
        <v>7.4266377247211413E-2</v>
      </c>
    </row>
    <row r="909" spans="1:7">
      <c r="A909">
        <v>152</v>
      </c>
      <c r="B909">
        <v>329</v>
      </c>
      <c r="C909" s="1">
        <f>(Tabela1[[#This Row],[x]]-H$3)*(Tabela1[[#This Row],[x]]-H$3) +(Tabela1[[#This Row],[y]]-H$4)*(Tabela1[[#This Row],[y]]-H$4)</f>
        <v>18945</v>
      </c>
      <c r="D909" s="1">
        <f>IF(Tabela1[[#This Row],[promien]]&lt;40000,1,0)</f>
        <v>1</v>
      </c>
      <c r="E909" s="1">
        <f>IF(Tabela1[[#This Row],[promien]]=40000,1,0)</f>
        <v>0</v>
      </c>
      <c r="F909" s="1">
        <v>3.2167216721672167</v>
      </c>
      <c r="G909" s="1">
        <v>7.5129018577423601E-2</v>
      </c>
    </row>
    <row r="910" spans="1:7">
      <c r="A910">
        <v>354</v>
      </c>
      <c r="B910">
        <v>82</v>
      </c>
      <c r="C910" s="1">
        <f>(Tabela1[[#This Row],[x]]-H$3)*(Tabela1[[#This Row],[x]]-H$3) +(Tabela1[[#This Row],[y]]-H$4)*(Tabela1[[#This Row],[y]]-H$4)</f>
        <v>37640</v>
      </c>
      <c r="D910" s="1">
        <f>IF(Tabela1[[#This Row],[promien]]&lt;40000,1,0)</f>
        <v>1</v>
      </c>
      <c r="E910" s="1">
        <f>IF(Tabela1[[#This Row],[promien]]=40000,1,0)</f>
        <v>0</v>
      </c>
      <c r="F910" s="1">
        <v>3.2175824175824177</v>
      </c>
      <c r="G910" s="1">
        <v>7.5989763992624582E-2</v>
      </c>
    </row>
    <row r="911" spans="1:7">
      <c r="A911">
        <v>378</v>
      </c>
      <c r="B911">
        <v>37</v>
      </c>
      <c r="C911" s="1">
        <f>(Tabela1[[#This Row],[x]]-H$3)*(Tabela1[[#This Row],[x]]-H$3) +(Tabela1[[#This Row],[y]]-H$4)*(Tabela1[[#This Row],[y]]-H$4)</f>
        <v>58253</v>
      </c>
      <c r="D911" s="1">
        <f>IF(Tabela1[[#This Row],[promien]]&lt;40000,1,0)</f>
        <v>0</v>
      </c>
      <c r="E911" s="1">
        <f>IF(Tabela1[[#This Row],[promien]]=40000,1,0)</f>
        <v>0</v>
      </c>
      <c r="F911" s="1">
        <v>3.2140504939626782</v>
      </c>
      <c r="G911" s="1">
        <v>7.2457840372885052E-2</v>
      </c>
    </row>
    <row r="912" spans="1:7">
      <c r="A912">
        <v>130</v>
      </c>
      <c r="B912">
        <v>239</v>
      </c>
      <c r="C912" s="1">
        <f>(Tabela1[[#This Row],[x]]-H$3)*(Tabela1[[#This Row],[x]]-H$3) +(Tabela1[[#This Row],[y]]-H$4)*(Tabela1[[#This Row],[y]]-H$4)</f>
        <v>6421</v>
      </c>
      <c r="D912" s="1">
        <f>IF(Tabela1[[#This Row],[promien]]&lt;40000,1,0)</f>
        <v>1</v>
      </c>
      <c r="E912" s="1">
        <f>IF(Tabela1[[#This Row],[promien]]=40000,1,0)</f>
        <v>0</v>
      </c>
      <c r="F912" s="1">
        <v>3.2149122807017543</v>
      </c>
      <c r="G912" s="1">
        <v>7.3319627111961161E-2</v>
      </c>
    </row>
    <row r="913" spans="1:7">
      <c r="A913">
        <v>67</v>
      </c>
      <c r="B913">
        <v>59</v>
      </c>
      <c r="C913" s="1">
        <f>(Tabela1[[#This Row],[x]]-H$3)*(Tabela1[[#This Row],[x]]-H$3) +(Tabela1[[#This Row],[y]]-H$4)*(Tabela1[[#This Row],[y]]-H$4)</f>
        <v>37570</v>
      </c>
      <c r="D913" s="1">
        <f>IF(Tabela1[[#This Row],[promien]]&lt;40000,1,0)</f>
        <v>1</v>
      </c>
      <c r="E913" s="1">
        <f>IF(Tabela1[[#This Row],[promien]]=40000,1,0)</f>
        <v>0</v>
      </c>
      <c r="F913" s="1">
        <v>3.2157721796276015</v>
      </c>
      <c r="G913" s="1">
        <v>7.4179526037808419E-2</v>
      </c>
    </row>
    <row r="914" spans="1:7">
      <c r="A914">
        <v>273</v>
      </c>
      <c r="B914">
        <v>353</v>
      </c>
      <c r="C914" s="1">
        <f>(Tabela1[[#This Row],[x]]-H$3)*(Tabela1[[#This Row],[x]]-H$3) +(Tabela1[[#This Row],[y]]-H$4)*(Tabela1[[#This Row],[y]]-H$4)</f>
        <v>28738</v>
      </c>
      <c r="D914" s="1">
        <f>IF(Tabela1[[#This Row],[promien]]&lt;40000,1,0)</f>
        <v>1</v>
      </c>
      <c r="E914" s="1">
        <f>IF(Tabela1[[#This Row],[promien]]=40000,1,0)</f>
        <v>0</v>
      </c>
      <c r="F914" s="1">
        <v>3.2166301969365425</v>
      </c>
      <c r="G914" s="1">
        <v>7.5037543346749391E-2</v>
      </c>
    </row>
    <row r="915" spans="1:7">
      <c r="A915">
        <v>207</v>
      </c>
      <c r="B915">
        <v>276</v>
      </c>
      <c r="C915" s="1">
        <f>(Tabela1[[#This Row],[x]]-H$3)*(Tabela1[[#This Row],[x]]-H$3) +(Tabela1[[#This Row],[y]]-H$4)*(Tabela1[[#This Row],[y]]-H$4)</f>
        <v>5825</v>
      </c>
      <c r="D915" s="1">
        <f>IF(Tabela1[[#This Row],[promien]]&lt;40000,1,0)</f>
        <v>1</v>
      </c>
      <c r="E915" s="1">
        <f>IF(Tabela1[[#This Row],[promien]]=40000,1,0)</f>
        <v>0</v>
      </c>
      <c r="F915" s="1">
        <v>3.2174863387978143</v>
      </c>
      <c r="G915" s="1">
        <v>7.58936852080212E-2</v>
      </c>
    </row>
    <row r="916" spans="1:7">
      <c r="A916">
        <v>348</v>
      </c>
      <c r="B916">
        <v>71</v>
      </c>
      <c r="C916" s="1">
        <f>(Tabela1[[#This Row],[x]]-H$3)*(Tabela1[[#This Row],[x]]-H$3) +(Tabela1[[#This Row],[y]]-H$4)*(Tabela1[[#This Row],[y]]-H$4)</f>
        <v>38545</v>
      </c>
      <c r="D916" s="1">
        <f>IF(Tabela1[[#This Row],[promien]]&lt;40000,1,0)</f>
        <v>1</v>
      </c>
      <c r="E916" s="1">
        <f>IF(Tabela1[[#This Row],[promien]]=40000,1,0)</f>
        <v>0</v>
      </c>
      <c r="F916" s="1">
        <v>3.2183406113537116</v>
      </c>
      <c r="G916" s="1">
        <v>7.6747957763918517E-2</v>
      </c>
    </row>
    <row r="917" spans="1:7">
      <c r="A917">
        <v>41</v>
      </c>
      <c r="B917">
        <v>145</v>
      </c>
      <c r="C917" s="1">
        <f>(Tabela1[[#This Row],[x]]-H$3)*(Tabela1[[#This Row],[x]]-H$3) +(Tabela1[[#This Row],[y]]-H$4)*(Tabela1[[#This Row],[y]]-H$4)</f>
        <v>28306</v>
      </c>
      <c r="D917" s="1">
        <f>IF(Tabela1[[#This Row],[promien]]&lt;40000,1,0)</f>
        <v>1</v>
      </c>
      <c r="E917" s="1">
        <f>IF(Tabela1[[#This Row],[promien]]=40000,1,0)</f>
        <v>0</v>
      </c>
      <c r="F917" s="1">
        <v>3.2191930207197381</v>
      </c>
      <c r="G917" s="1">
        <v>7.7600367129945003E-2</v>
      </c>
    </row>
    <row r="918" spans="1:7">
      <c r="A918">
        <v>333</v>
      </c>
      <c r="B918">
        <v>123</v>
      </c>
      <c r="C918" s="1">
        <f>(Tabela1[[#This Row],[x]]-H$3)*(Tabela1[[#This Row],[x]]-H$3) +(Tabela1[[#This Row],[y]]-H$4)*(Tabela1[[#This Row],[y]]-H$4)</f>
        <v>23618</v>
      </c>
      <c r="D918" s="1">
        <f>IF(Tabela1[[#This Row],[promien]]&lt;40000,1,0)</f>
        <v>1</v>
      </c>
      <c r="E918" s="1">
        <f>IF(Tabela1[[#This Row],[promien]]=40000,1,0)</f>
        <v>0</v>
      </c>
      <c r="F918" s="1">
        <v>3.2200435729847494</v>
      </c>
      <c r="G918" s="1">
        <v>7.8450919394956298E-2</v>
      </c>
    </row>
    <row r="919" spans="1:7">
      <c r="A919">
        <v>191</v>
      </c>
      <c r="B919">
        <v>358</v>
      </c>
      <c r="C919" s="1">
        <f>(Tabela1[[#This Row],[x]]-H$3)*(Tabela1[[#This Row],[x]]-H$3) +(Tabela1[[#This Row],[y]]-H$4)*(Tabela1[[#This Row],[y]]-H$4)</f>
        <v>25045</v>
      </c>
      <c r="D919" s="1">
        <f>IF(Tabela1[[#This Row],[promien]]&lt;40000,1,0)</f>
        <v>1</v>
      </c>
      <c r="E919" s="1">
        <f>IF(Tabela1[[#This Row],[promien]]=40000,1,0)</f>
        <v>0</v>
      </c>
      <c r="F919" s="1">
        <v>3.2208922742110988</v>
      </c>
      <c r="G919" s="1">
        <v>7.9299620621305689E-2</v>
      </c>
    </row>
    <row r="920" spans="1:7">
      <c r="A920">
        <v>270</v>
      </c>
      <c r="B920">
        <v>260</v>
      </c>
      <c r="C920" s="1">
        <f>(Tabela1[[#This Row],[x]]-H$3)*(Tabela1[[#This Row],[x]]-H$3) +(Tabela1[[#This Row],[y]]-H$4)*(Tabela1[[#This Row],[y]]-H$4)</f>
        <v>8500</v>
      </c>
      <c r="D920" s="1">
        <f>IF(Tabela1[[#This Row],[promien]]&lt;40000,1,0)</f>
        <v>1</v>
      </c>
      <c r="E920" s="1">
        <f>IF(Tabela1[[#This Row],[promien]]=40000,1,0)</f>
        <v>0</v>
      </c>
      <c r="F920" s="1">
        <v>3.2217391304347824</v>
      </c>
      <c r="G920" s="1">
        <v>8.0146476844989323E-2</v>
      </c>
    </row>
    <row r="921" spans="1:7">
      <c r="A921">
        <v>254</v>
      </c>
      <c r="B921">
        <v>392</v>
      </c>
      <c r="C921" s="1">
        <f>(Tabela1[[#This Row],[x]]-H$3)*(Tabela1[[#This Row],[x]]-H$3) +(Tabela1[[#This Row],[y]]-H$4)*(Tabela1[[#This Row],[y]]-H$4)</f>
        <v>39780</v>
      </c>
      <c r="D921" s="1">
        <f>IF(Tabela1[[#This Row],[promien]]&lt;40000,1,0)</f>
        <v>1</v>
      </c>
      <c r="E921" s="1">
        <f>IF(Tabela1[[#This Row],[promien]]=40000,1,0)</f>
        <v>0</v>
      </c>
      <c r="F921" s="1">
        <v>3.222584147665581</v>
      </c>
      <c r="G921" s="1">
        <v>8.0991494075787873E-2</v>
      </c>
    </row>
    <row r="922" spans="1:7">
      <c r="A922">
        <v>336</v>
      </c>
      <c r="B922">
        <v>262</v>
      </c>
      <c r="C922" s="1">
        <f>(Tabela1[[#This Row],[x]]-H$3)*(Tabela1[[#This Row],[x]]-H$3) +(Tabela1[[#This Row],[y]]-H$4)*(Tabela1[[#This Row],[y]]-H$4)</f>
        <v>22340</v>
      </c>
      <c r="D922" s="1">
        <f>IF(Tabela1[[#This Row],[promien]]&lt;40000,1,0)</f>
        <v>1</v>
      </c>
      <c r="E922" s="1">
        <f>IF(Tabela1[[#This Row],[promien]]=40000,1,0)</f>
        <v>0</v>
      </c>
      <c r="F922" s="1">
        <v>3.2234273318872018</v>
      </c>
      <c r="G922" s="1">
        <v>8.1834678297408647E-2</v>
      </c>
    </row>
    <row r="923" spans="1:7">
      <c r="A923">
        <v>212</v>
      </c>
      <c r="B923">
        <v>192</v>
      </c>
      <c r="C923" s="1">
        <f>(Tabela1[[#This Row],[x]]-H$3)*(Tabela1[[#This Row],[x]]-H$3) +(Tabela1[[#This Row],[y]]-H$4)*(Tabela1[[#This Row],[y]]-H$4)</f>
        <v>208</v>
      </c>
      <c r="D923" s="1">
        <f>IF(Tabela1[[#This Row],[promien]]&lt;40000,1,0)</f>
        <v>1</v>
      </c>
      <c r="E923" s="1">
        <f>IF(Tabela1[[#This Row],[promien]]=40000,1,0)</f>
        <v>0</v>
      </c>
      <c r="F923" s="1">
        <v>3.2242686890574213</v>
      </c>
      <c r="G923" s="1">
        <v>8.2676035467628139E-2</v>
      </c>
    </row>
    <row r="924" spans="1:7">
      <c r="A924">
        <v>290</v>
      </c>
      <c r="B924">
        <v>3</v>
      </c>
      <c r="C924" s="1">
        <f>(Tabela1[[#This Row],[x]]-H$3)*(Tabela1[[#This Row],[x]]-H$3) +(Tabela1[[#This Row],[y]]-H$4)*(Tabela1[[#This Row],[y]]-H$4)</f>
        <v>46909</v>
      </c>
      <c r="D924" s="1">
        <f>IF(Tabela1[[#This Row],[promien]]&lt;40000,1,0)</f>
        <v>0</v>
      </c>
      <c r="E924" s="1">
        <f>IF(Tabela1[[#This Row],[promien]]=40000,1,0)</f>
        <v>0</v>
      </c>
      <c r="F924" s="1">
        <v>3.220779220779221</v>
      </c>
      <c r="G924" s="1">
        <v>7.9186567189427848E-2</v>
      </c>
    </row>
    <row r="925" spans="1:7">
      <c r="A925">
        <v>322</v>
      </c>
      <c r="B925">
        <v>194</v>
      </c>
      <c r="C925" s="1">
        <f>(Tabela1[[#This Row],[x]]-H$3)*(Tabela1[[#This Row],[x]]-H$3) +(Tabela1[[#This Row],[y]]-H$4)*(Tabela1[[#This Row],[y]]-H$4)</f>
        <v>14920</v>
      </c>
      <c r="D925" s="1">
        <f>IF(Tabela1[[#This Row],[promien]]&lt;40000,1,0)</f>
        <v>1</v>
      </c>
      <c r="E925" s="1">
        <f>IF(Tabela1[[#This Row],[promien]]=40000,1,0)</f>
        <v>0</v>
      </c>
      <c r="F925" s="1">
        <v>3.2216216216216216</v>
      </c>
      <c r="G925" s="1">
        <v>8.0028968031828462E-2</v>
      </c>
    </row>
    <row r="926" spans="1:7">
      <c r="A926">
        <v>159</v>
      </c>
      <c r="B926">
        <v>125</v>
      </c>
      <c r="C926" s="1">
        <f>(Tabela1[[#This Row],[x]]-H$3)*(Tabela1[[#This Row],[x]]-H$3) +(Tabela1[[#This Row],[y]]-H$4)*(Tabela1[[#This Row],[y]]-H$4)</f>
        <v>7306</v>
      </c>
      <c r="D926" s="1">
        <f>IF(Tabela1[[#This Row],[promien]]&lt;40000,1,0)</f>
        <v>1</v>
      </c>
      <c r="E926" s="1">
        <f>IF(Tabela1[[#This Row],[promien]]=40000,1,0)</f>
        <v>0</v>
      </c>
      <c r="F926" s="1">
        <v>3.222462203023758</v>
      </c>
      <c r="G926" s="1">
        <v>8.0869549433964849E-2</v>
      </c>
    </row>
    <row r="927" spans="1:7">
      <c r="A927">
        <v>237</v>
      </c>
      <c r="B927">
        <v>295</v>
      </c>
      <c r="C927" s="1">
        <f>(Tabela1[[#This Row],[x]]-H$3)*(Tabela1[[#This Row],[x]]-H$3) +(Tabela1[[#This Row],[y]]-H$4)*(Tabela1[[#This Row],[y]]-H$4)</f>
        <v>10394</v>
      </c>
      <c r="D927" s="1">
        <f>IF(Tabela1[[#This Row],[promien]]&lt;40000,1,0)</f>
        <v>1</v>
      </c>
      <c r="E927" s="1">
        <f>IF(Tabela1[[#This Row],[promien]]=40000,1,0)</f>
        <v>0</v>
      </c>
      <c r="F927" s="1">
        <v>3.2233009708737863</v>
      </c>
      <c r="G927" s="1">
        <v>8.1708317283993193E-2</v>
      </c>
    </row>
    <row r="928" spans="1:7">
      <c r="A928">
        <v>198</v>
      </c>
      <c r="B928">
        <v>67</v>
      </c>
      <c r="C928" s="1">
        <f>(Tabela1[[#This Row],[x]]-H$3)*(Tabela1[[#This Row],[x]]-H$3) +(Tabela1[[#This Row],[y]]-H$4)*(Tabela1[[#This Row],[y]]-H$4)</f>
        <v>17693</v>
      </c>
      <c r="D928" s="1">
        <f>IF(Tabela1[[#This Row],[promien]]&lt;40000,1,0)</f>
        <v>1</v>
      </c>
      <c r="E928" s="1">
        <f>IF(Tabela1[[#This Row],[promien]]=40000,1,0)</f>
        <v>0</v>
      </c>
      <c r="F928" s="1">
        <v>3.2241379310344827</v>
      </c>
      <c r="G928" s="1">
        <v>8.2545277444689535E-2</v>
      </c>
    </row>
    <row r="929" spans="1:7">
      <c r="A929">
        <v>290</v>
      </c>
      <c r="B929">
        <v>369</v>
      </c>
      <c r="C929" s="1">
        <f>(Tabela1[[#This Row],[x]]-H$3)*(Tabela1[[#This Row],[x]]-H$3) +(Tabela1[[#This Row],[y]]-H$4)*(Tabela1[[#This Row],[y]]-H$4)</f>
        <v>36661</v>
      </c>
      <c r="D929" s="1">
        <f>IF(Tabela1[[#This Row],[promien]]&lt;40000,1,0)</f>
        <v>1</v>
      </c>
      <c r="E929" s="1">
        <f>IF(Tabela1[[#This Row],[promien]]=40000,1,0)</f>
        <v>0</v>
      </c>
      <c r="F929" s="1">
        <v>3.2249730893433801</v>
      </c>
      <c r="G929" s="1">
        <v>8.3380435753587001E-2</v>
      </c>
    </row>
    <row r="930" spans="1:7">
      <c r="A930">
        <v>377</v>
      </c>
      <c r="B930">
        <v>230</v>
      </c>
      <c r="C930" s="1">
        <f>(Tabela1[[#This Row],[x]]-H$3)*(Tabela1[[#This Row],[x]]-H$3) +(Tabela1[[#This Row],[y]]-H$4)*(Tabela1[[#This Row],[y]]-H$4)</f>
        <v>32229</v>
      </c>
      <c r="D930" s="1">
        <f>IF(Tabela1[[#This Row],[promien]]&lt;40000,1,0)</f>
        <v>1</v>
      </c>
      <c r="E930" s="1">
        <f>IF(Tabela1[[#This Row],[promien]]=40000,1,0)</f>
        <v>0</v>
      </c>
      <c r="F930" s="1">
        <v>3.225806451612903</v>
      </c>
      <c r="G930" s="1">
        <v>8.4213798023109909E-2</v>
      </c>
    </row>
    <row r="931" spans="1:7">
      <c r="A931">
        <v>271</v>
      </c>
      <c r="B931">
        <v>174</v>
      </c>
      <c r="C931" s="1">
        <f>(Tabela1[[#This Row],[x]]-H$3)*(Tabela1[[#This Row],[x]]-H$3) +(Tabela1[[#This Row],[y]]-H$4)*(Tabela1[[#This Row],[y]]-H$4)</f>
        <v>5717</v>
      </c>
      <c r="D931" s="1">
        <f>IF(Tabela1[[#This Row],[promien]]&lt;40000,1,0)</f>
        <v>1</v>
      </c>
      <c r="E931" s="1">
        <f>IF(Tabela1[[#This Row],[promien]]=40000,1,0)</f>
        <v>0</v>
      </c>
      <c r="F931" s="1">
        <v>3.226638023630505</v>
      </c>
      <c r="G931" s="1">
        <v>8.5045370040711887E-2</v>
      </c>
    </row>
    <row r="932" spans="1:7">
      <c r="A932">
        <v>56</v>
      </c>
      <c r="B932">
        <v>10</v>
      </c>
      <c r="C932" s="1">
        <f>(Tabela1[[#This Row],[x]]-H$3)*(Tabela1[[#This Row],[x]]-H$3) +(Tabela1[[#This Row],[y]]-H$4)*(Tabela1[[#This Row],[y]]-H$4)</f>
        <v>56836</v>
      </c>
      <c r="D932" s="1">
        <f>IF(Tabela1[[#This Row],[promien]]&lt;40000,1,0)</f>
        <v>0</v>
      </c>
      <c r="E932" s="1">
        <f>IF(Tabela1[[#This Row],[promien]]=40000,1,0)</f>
        <v>0</v>
      </c>
      <c r="F932" s="1">
        <v>3.2231759656652361</v>
      </c>
      <c r="G932" s="1">
        <v>8.1583312075443004E-2</v>
      </c>
    </row>
    <row r="933" spans="1:7">
      <c r="A933">
        <v>190</v>
      </c>
      <c r="B933">
        <v>313</v>
      </c>
      <c r="C933" s="1">
        <f>(Tabela1[[#This Row],[x]]-H$3)*(Tabela1[[#This Row],[x]]-H$3) +(Tabela1[[#This Row],[y]]-H$4)*(Tabela1[[#This Row],[y]]-H$4)</f>
        <v>12869</v>
      </c>
      <c r="D933" s="1">
        <f>IF(Tabela1[[#This Row],[promien]]&lt;40000,1,0)</f>
        <v>1</v>
      </c>
      <c r="E933" s="1">
        <f>IF(Tabela1[[#This Row],[promien]]=40000,1,0)</f>
        <v>0</v>
      </c>
      <c r="F933" s="1">
        <v>3.2240085744908895</v>
      </c>
      <c r="G933" s="1">
        <v>8.2415920901096396E-2</v>
      </c>
    </row>
    <row r="934" spans="1:7">
      <c r="A934">
        <v>83</v>
      </c>
      <c r="B934">
        <v>369</v>
      </c>
      <c r="C934" s="1">
        <f>(Tabela1[[#This Row],[x]]-H$3)*(Tabela1[[#This Row],[x]]-H$3) +(Tabela1[[#This Row],[y]]-H$4)*(Tabela1[[#This Row],[y]]-H$4)</f>
        <v>42250</v>
      </c>
      <c r="D934" s="1">
        <f>IF(Tabela1[[#This Row],[promien]]&lt;40000,1,0)</f>
        <v>0</v>
      </c>
      <c r="E934" s="1">
        <f>IF(Tabela1[[#This Row],[promien]]=40000,1,0)</f>
        <v>0</v>
      </c>
      <c r="F934" s="1">
        <v>3.2205567451820127</v>
      </c>
      <c r="G934" s="1">
        <v>7.8964091592219621E-2</v>
      </c>
    </row>
    <row r="935" spans="1:7">
      <c r="A935">
        <v>154</v>
      </c>
      <c r="B935">
        <v>192</v>
      </c>
      <c r="C935" s="1">
        <f>(Tabela1[[#This Row],[x]]-H$3)*(Tabela1[[#This Row],[x]]-H$3) +(Tabela1[[#This Row],[y]]-H$4)*(Tabela1[[#This Row],[y]]-H$4)</f>
        <v>2180</v>
      </c>
      <c r="D935" s="1">
        <f>IF(Tabela1[[#This Row],[promien]]&lt;40000,1,0)</f>
        <v>1</v>
      </c>
      <c r="E935" s="1">
        <f>IF(Tabela1[[#This Row],[promien]]=40000,1,0)</f>
        <v>0</v>
      </c>
      <c r="F935" s="1">
        <v>3.2213903743315506</v>
      </c>
      <c r="G935" s="1">
        <v>7.9797720741757505E-2</v>
      </c>
    </row>
    <row r="936" spans="1:7">
      <c r="A936">
        <v>181</v>
      </c>
      <c r="B936">
        <v>170</v>
      </c>
      <c r="C936" s="1">
        <f>(Tabela1[[#This Row],[x]]-H$3)*(Tabela1[[#This Row],[x]]-H$3) +(Tabela1[[#This Row],[y]]-H$4)*(Tabela1[[#This Row],[y]]-H$4)</f>
        <v>1261</v>
      </c>
      <c r="D936" s="1">
        <f>IF(Tabela1[[#This Row],[promien]]&lt;40000,1,0)</f>
        <v>1</v>
      </c>
      <c r="E936" s="1">
        <f>IF(Tabela1[[#This Row],[promien]]=40000,1,0)</f>
        <v>0</v>
      </c>
      <c r="F936" s="1">
        <v>3.2222222222222223</v>
      </c>
      <c r="G936" s="1">
        <v>8.0629568632429205E-2</v>
      </c>
    </row>
    <row r="937" spans="1:7">
      <c r="A937">
        <v>293</v>
      </c>
      <c r="B937">
        <v>216</v>
      </c>
      <c r="C937" s="1">
        <f>(Tabela1[[#This Row],[x]]-H$3)*(Tabela1[[#This Row],[x]]-H$3) +(Tabela1[[#This Row],[y]]-H$4)*(Tabela1[[#This Row],[y]]-H$4)</f>
        <v>8905</v>
      </c>
      <c r="D937" s="1">
        <f>IF(Tabela1[[#This Row],[promien]]&lt;40000,1,0)</f>
        <v>1</v>
      </c>
      <c r="E937" s="1">
        <f>IF(Tabela1[[#This Row],[promien]]=40000,1,0)</f>
        <v>0</v>
      </c>
      <c r="F937" s="1">
        <v>3.223052294557097</v>
      </c>
      <c r="G937" s="1">
        <v>8.1459640967303848E-2</v>
      </c>
    </row>
    <row r="938" spans="1:7">
      <c r="A938">
        <v>295</v>
      </c>
      <c r="B938">
        <v>1</v>
      </c>
      <c r="C938" s="1">
        <f>(Tabela1[[#This Row],[x]]-H$3)*(Tabela1[[#This Row],[x]]-H$3) +(Tabela1[[#This Row],[y]]-H$4)*(Tabela1[[#This Row],[y]]-H$4)</f>
        <v>48626</v>
      </c>
      <c r="D938" s="1">
        <f>IF(Tabela1[[#This Row],[promien]]&lt;40000,1,0)</f>
        <v>0</v>
      </c>
      <c r="E938" s="1">
        <f>IF(Tabela1[[#This Row],[promien]]=40000,1,0)</f>
        <v>0</v>
      </c>
      <c r="F938" s="1">
        <v>3.2196162046908317</v>
      </c>
      <c r="G938" s="1">
        <v>7.8023551101038535E-2</v>
      </c>
    </row>
    <row r="939" spans="1:7">
      <c r="A939">
        <v>383</v>
      </c>
      <c r="B939">
        <v>224</v>
      </c>
      <c r="C939" s="1">
        <f>(Tabela1[[#This Row],[x]]-H$3)*(Tabela1[[#This Row],[x]]-H$3) +(Tabela1[[#This Row],[y]]-H$4)*(Tabela1[[#This Row],[y]]-H$4)</f>
        <v>34065</v>
      </c>
      <c r="D939" s="1">
        <f>IF(Tabela1[[#This Row],[promien]]&lt;40000,1,0)</f>
        <v>1</v>
      </c>
      <c r="E939" s="1">
        <f>IF(Tabela1[[#This Row],[promien]]=40000,1,0)</f>
        <v>0</v>
      </c>
      <c r="F939" s="1">
        <v>3.220447284345048</v>
      </c>
      <c r="G939" s="1">
        <v>7.8854630755254895E-2</v>
      </c>
    </row>
    <row r="940" spans="1:7">
      <c r="A940">
        <v>370</v>
      </c>
      <c r="B940">
        <v>363</v>
      </c>
      <c r="C940" s="1">
        <f>(Tabela1[[#This Row],[x]]-H$3)*(Tabela1[[#This Row],[x]]-H$3) +(Tabela1[[#This Row],[y]]-H$4)*(Tabela1[[#This Row],[y]]-H$4)</f>
        <v>55469</v>
      </c>
      <c r="D940" s="1">
        <f>IF(Tabela1[[#This Row],[promien]]&lt;40000,1,0)</f>
        <v>0</v>
      </c>
      <c r="E940" s="1">
        <f>IF(Tabela1[[#This Row],[promien]]=40000,1,0)</f>
        <v>0</v>
      </c>
      <c r="F940" s="1">
        <v>3.2170212765957449</v>
      </c>
      <c r="G940" s="1">
        <v>7.5428623005951767E-2</v>
      </c>
    </row>
    <row r="941" spans="1:7">
      <c r="A941">
        <v>64</v>
      </c>
      <c r="B941">
        <v>71</v>
      </c>
      <c r="C941" s="1">
        <f>(Tabela1[[#This Row],[x]]-H$3)*(Tabela1[[#This Row],[x]]-H$3) +(Tabela1[[#This Row],[y]]-H$4)*(Tabela1[[#This Row],[y]]-H$4)</f>
        <v>35137</v>
      </c>
      <c r="D941" s="1">
        <f>IF(Tabela1[[#This Row],[promien]]&lt;40000,1,0)</f>
        <v>1</v>
      </c>
      <c r="E941" s="1">
        <f>IF(Tabela1[[#This Row],[promien]]=40000,1,0)</f>
        <v>0</v>
      </c>
      <c r="F941" s="1">
        <v>3.2178533475026567</v>
      </c>
      <c r="G941" s="1">
        <v>7.6260693912863609E-2</v>
      </c>
    </row>
    <row r="942" spans="1:7">
      <c r="A942">
        <v>376</v>
      </c>
      <c r="B942">
        <v>207</v>
      </c>
      <c r="C942" s="1">
        <f>(Tabela1[[#This Row],[x]]-H$3)*(Tabela1[[#This Row],[x]]-H$3) +(Tabela1[[#This Row],[y]]-H$4)*(Tabela1[[#This Row],[y]]-H$4)</f>
        <v>31025</v>
      </c>
      <c r="D942" s="1">
        <f>IF(Tabela1[[#This Row],[promien]]&lt;40000,1,0)</f>
        <v>1</v>
      </c>
      <c r="E942" s="1">
        <f>IF(Tabela1[[#This Row],[promien]]=40000,1,0)</f>
        <v>0</v>
      </c>
      <c r="F942" s="1">
        <v>3.2186836518046711</v>
      </c>
      <c r="G942" s="1">
        <v>7.709099821487797E-2</v>
      </c>
    </row>
    <row r="943" spans="1:7">
      <c r="A943">
        <v>275</v>
      </c>
      <c r="B943">
        <v>300</v>
      </c>
      <c r="C943" s="1">
        <f>(Tabela1[[#This Row],[x]]-H$3)*(Tabela1[[#This Row],[x]]-H$3) +(Tabela1[[#This Row],[y]]-H$4)*(Tabela1[[#This Row],[y]]-H$4)</f>
        <v>15625</v>
      </c>
      <c r="D943" s="1">
        <f>IF(Tabela1[[#This Row],[promien]]&lt;40000,1,0)</f>
        <v>1</v>
      </c>
      <c r="E943" s="1">
        <f>IF(Tabela1[[#This Row],[promien]]=40000,1,0)</f>
        <v>0</v>
      </c>
      <c r="F943" s="1">
        <v>3.2195121951219514</v>
      </c>
      <c r="G943" s="1">
        <v>7.7919541532158298E-2</v>
      </c>
    </row>
    <row r="944" spans="1:7">
      <c r="A944">
        <v>81</v>
      </c>
      <c r="B944">
        <v>263</v>
      </c>
      <c r="C944" s="1">
        <f>(Tabela1[[#This Row],[x]]-H$3)*(Tabela1[[#This Row],[x]]-H$3) +(Tabela1[[#This Row],[y]]-H$4)*(Tabela1[[#This Row],[y]]-H$4)</f>
        <v>18130</v>
      </c>
      <c r="D944" s="1">
        <f>IF(Tabela1[[#This Row],[promien]]&lt;40000,1,0)</f>
        <v>1</v>
      </c>
      <c r="E944" s="1">
        <f>IF(Tabela1[[#This Row],[promien]]=40000,1,0)</f>
        <v>0</v>
      </c>
      <c r="F944" s="1">
        <v>3.2203389830508473</v>
      </c>
      <c r="G944" s="1">
        <v>7.8746329461054199E-2</v>
      </c>
    </row>
    <row r="945" spans="1:7">
      <c r="A945">
        <v>370</v>
      </c>
      <c r="B945">
        <v>55</v>
      </c>
      <c r="C945" s="1">
        <f>(Tabela1[[#This Row],[x]]-H$3)*(Tabela1[[#This Row],[x]]-H$3) +(Tabela1[[#This Row],[y]]-H$4)*(Tabela1[[#This Row],[y]]-H$4)</f>
        <v>49925</v>
      </c>
      <c r="D945" s="1">
        <f>IF(Tabela1[[#This Row],[promien]]&lt;40000,1,0)</f>
        <v>0</v>
      </c>
      <c r="E945" s="1">
        <f>IF(Tabela1[[#This Row],[promien]]=40000,1,0)</f>
        <v>0</v>
      </c>
      <c r="F945" s="1">
        <v>3.2169312169312168</v>
      </c>
      <c r="G945" s="1">
        <v>7.5338563341423637E-2</v>
      </c>
    </row>
    <row r="946" spans="1:7">
      <c r="A946">
        <v>20</v>
      </c>
      <c r="B946">
        <v>346</v>
      </c>
      <c r="C946" s="1">
        <f>(Tabela1[[#This Row],[x]]-H$3)*(Tabela1[[#This Row],[x]]-H$3) +(Tabela1[[#This Row],[y]]-H$4)*(Tabela1[[#This Row],[y]]-H$4)</f>
        <v>53716</v>
      </c>
      <c r="D946" s="1">
        <f>IF(Tabela1[[#This Row],[promien]]&lt;40000,1,0)</f>
        <v>0</v>
      </c>
      <c r="E946" s="1">
        <f>IF(Tabela1[[#This Row],[promien]]=40000,1,0)</f>
        <v>0</v>
      </c>
      <c r="F946" s="1">
        <v>3.2135306553911205</v>
      </c>
      <c r="G946" s="1">
        <v>7.1938001801327367E-2</v>
      </c>
    </row>
    <row r="947" spans="1:7">
      <c r="A947">
        <v>326</v>
      </c>
      <c r="B947">
        <v>81</v>
      </c>
      <c r="C947" s="1">
        <f>(Tabela1[[#This Row],[x]]-H$3)*(Tabela1[[#This Row],[x]]-H$3) +(Tabela1[[#This Row],[y]]-H$4)*(Tabela1[[#This Row],[y]]-H$4)</f>
        <v>30037</v>
      </c>
      <c r="D947" s="1">
        <f>IF(Tabela1[[#This Row],[promien]]&lt;40000,1,0)</f>
        <v>1</v>
      </c>
      <c r="E947" s="1">
        <f>IF(Tabela1[[#This Row],[promien]]=40000,1,0)</f>
        <v>0</v>
      </c>
      <c r="F947" s="1">
        <v>3.214361140443506</v>
      </c>
      <c r="G947" s="1">
        <v>7.2768486853712844E-2</v>
      </c>
    </row>
    <row r="948" spans="1:7">
      <c r="A948">
        <v>207</v>
      </c>
      <c r="B948">
        <v>100</v>
      </c>
      <c r="C948" s="1">
        <f>(Tabela1[[#This Row],[x]]-H$3)*(Tabela1[[#This Row],[x]]-H$3) +(Tabela1[[#This Row],[y]]-H$4)*(Tabela1[[#This Row],[y]]-H$4)</f>
        <v>10049</v>
      </c>
      <c r="D948" s="1">
        <f>IF(Tabela1[[#This Row],[promien]]&lt;40000,1,0)</f>
        <v>1</v>
      </c>
      <c r="E948" s="1">
        <f>IF(Tabela1[[#This Row],[promien]]=40000,1,0)</f>
        <v>0</v>
      </c>
      <c r="F948" s="1">
        <v>3.2151898734177213</v>
      </c>
      <c r="G948" s="1">
        <v>7.3597219827928217E-2</v>
      </c>
    </row>
    <row r="949" spans="1:7">
      <c r="A949">
        <v>291</v>
      </c>
      <c r="B949">
        <v>268</v>
      </c>
      <c r="C949" s="1">
        <f>(Tabela1[[#This Row],[x]]-H$3)*(Tabela1[[#This Row],[x]]-H$3) +(Tabela1[[#This Row],[y]]-H$4)*(Tabela1[[#This Row],[y]]-H$4)</f>
        <v>12905</v>
      </c>
      <c r="D949" s="1">
        <f>IF(Tabela1[[#This Row],[promien]]&lt;40000,1,0)</f>
        <v>1</v>
      </c>
      <c r="E949" s="1">
        <f>IF(Tabela1[[#This Row],[promien]]=40000,1,0)</f>
        <v>0</v>
      </c>
      <c r="F949" s="1">
        <v>3.2160168598524761</v>
      </c>
      <c r="G949" s="1">
        <v>7.4424206262682979E-2</v>
      </c>
    </row>
    <row r="950" spans="1:7">
      <c r="A950">
        <v>368</v>
      </c>
      <c r="B950">
        <v>389</v>
      </c>
      <c r="C950" s="1">
        <f>(Tabela1[[#This Row],[x]]-H$3)*(Tabela1[[#This Row],[x]]-H$3) +(Tabela1[[#This Row],[y]]-H$4)*(Tabela1[[#This Row],[y]]-H$4)</f>
        <v>63945</v>
      </c>
      <c r="D950" s="1">
        <f>IF(Tabela1[[#This Row],[promien]]&lt;40000,1,0)</f>
        <v>0</v>
      </c>
      <c r="E950" s="1">
        <f>IF(Tabela1[[#This Row],[promien]]=40000,1,0)</f>
        <v>0</v>
      </c>
      <c r="F950" s="1">
        <v>3.2126315789473683</v>
      </c>
      <c r="G950" s="1">
        <v>7.1038925357575167E-2</v>
      </c>
    </row>
    <row r="951" spans="1:7">
      <c r="A951">
        <v>168</v>
      </c>
      <c r="B951">
        <v>40</v>
      </c>
      <c r="C951" s="1">
        <f>(Tabela1[[#This Row],[x]]-H$3)*(Tabela1[[#This Row],[x]]-H$3) +(Tabela1[[#This Row],[y]]-H$4)*(Tabela1[[#This Row],[y]]-H$4)</f>
        <v>26624</v>
      </c>
      <c r="D951" s="1">
        <f>IF(Tabela1[[#This Row],[promien]]&lt;40000,1,0)</f>
        <v>1</v>
      </c>
      <c r="E951" s="1">
        <f>IF(Tabela1[[#This Row],[promien]]=40000,1,0)</f>
        <v>0</v>
      </c>
      <c r="F951" s="1">
        <v>3.213459516298633</v>
      </c>
      <c r="G951" s="1">
        <v>7.1866862708839907E-2</v>
      </c>
    </row>
    <row r="952" spans="1:7">
      <c r="A952">
        <v>132</v>
      </c>
      <c r="B952">
        <v>224</v>
      </c>
      <c r="C952" s="1">
        <f>(Tabela1[[#This Row],[x]]-H$3)*(Tabela1[[#This Row],[x]]-H$3) +(Tabela1[[#This Row],[y]]-H$4)*(Tabela1[[#This Row],[y]]-H$4)</f>
        <v>5200</v>
      </c>
      <c r="D952" s="1">
        <f>IF(Tabela1[[#This Row],[promien]]&lt;40000,1,0)</f>
        <v>1</v>
      </c>
      <c r="E952" s="1">
        <f>IF(Tabela1[[#This Row],[promien]]=40000,1,0)</f>
        <v>0</v>
      </c>
      <c r="F952" s="1">
        <v>3.2142857142857144</v>
      </c>
      <c r="G952" s="1">
        <v>7.2693060695921297E-2</v>
      </c>
    </row>
    <row r="953" spans="1:7">
      <c r="A953">
        <v>60</v>
      </c>
      <c r="B953">
        <v>119</v>
      </c>
      <c r="C953" s="1">
        <f>(Tabela1[[#This Row],[x]]-H$3)*(Tabela1[[#This Row],[x]]-H$3) +(Tabela1[[#This Row],[y]]-H$4)*(Tabela1[[#This Row],[y]]-H$4)</f>
        <v>26161</v>
      </c>
      <c r="D953" s="1">
        <f>IF(Tabela1[[#This Row],[promien]]&lt;40000,1,0)</f>
        <v>1</v>
      </c>
      <c r="E953" s="1">
        <f>IF(Tabela1[[#This Row],[promien]]=40000,1,0)</f>
        <v>0</v>
      </c>
      <c r="F953" s="1">
        <v>3.2151101783840503</v>
      </c>
      <c r="G953" s="1">
        <v>7.3517524794257216E-2</v>
      </c>
    </row>
    <row r="954" spans="1:7">
      <c r="A954">
        <v>172</v>
      </c>
      <c r="B954">
        <v>325</v>
      </c>
      <c r="C954" s="1">
        <f>(Tabela1[[#This Row],[x]]-H$3)*(Tabela1[[#This Row],[x]]-H$3) +(Tabela1[[#This Row],[y]]-H$4)*(Tabela1[[#This Row],[y]]-H$4)</f>
        <v>16409</v>
      </c>
      <c r="D954" s="1">
        <f>IF(Tabela1[[#This Row],[promien]]&lt;40000,1,0)</f>
        <v>1</v>
      </c>
      <c r="E954" s="1">
        <f>IF(Tabela1[[#This Row],[promien]]=40000,1,0)</f>
        <v>0</v>
      </c>
      <c r="F954" s="1">
        <v>3.2159329140461215</v>
      </c>
      <c r="G954" s="1">
        <v>7.4340260456328355E-2</v>
      </c>
    </row>
    <row r="955" spans="1:7">
      <c r="A955">
        <v>163</v>
      </c>
      <c r="B955">
        <v>27</v>
      </c>
      <c r="C955" s="1">
        <f>(Tabela1[[#This Row],[x]]-H$3)*(Tabela1[[#This Row],[x]]-H$3) +(Tabela1[[#This Row],[y]]-H$4)*(Tabela1[[#This Row],[y]]-H$4)</f>
        <v>31298</v>
      </c>
      <c r="D955" s="1">
        <f>IF(Tabela1[[#This Row],[promien]]&lt;40000,1,0)</f>
        <v>1</v>
      </c>
      <c r="E955" s="1">
        <f>IF(Tabela1[[#This Row],[promien]]=40000,1,0)</f>
        <v>0</v>
      </c>
      <c r="F955" s="1">
        <v>3.2167539267015708</v>
      </c>
      <c r="G955" s="1">
        <v>7.5161273111777671E-2</v>
      </c>
    </row>
    <row r="956" spans="1:7">
      <c r="A956">
        <v>323</v>
      </c>
      <c r="B956">
        <v>196</v>
      </c>
      <c r="C956" s="1">
        <f>(Tabela1[[#This Row],[x]]-H$3)*(Tabela1[[#This Row],[x]]-H$3) +(Tabela1[[#This Row],[y]]-H$4)*(Tabela1[[#This Row],[y]]-H$4)</f>
        <v>15145</v>
      </c>
      <c r="D956" s="1">
        <f>IF(Tabela1[[#This Row],[promien]]&lt;40000,1,0)</f>
        <v>1</v>
      </c>
      <c r="E956" s="1">
        <f>IF(Tabela1[[#This Row],[promien]]=40000,1,0)</f>
        <v>0</v>
      </c>
      <c r="F956" s="1">
        <v>3.2175732217573221</v>
      </c>
      <c r="G956" s="1">
        <v>7.5980568167528961E-2</v>
      </c>
    </row>
    <row r="957" spans="1:7">
      <c r="A957">
        <v>68</v>
      </c>
      <c r="B957">
        <v>350</v>
      </c>
      <c r="C957" s="1">
        <f>(Tabela1[[#This Row],[x]]-H$3)*(Tabela1[[#This Row],[x]]-H$3) +(Tabela1[[#This Row],[y]]-H$4)*(Tabela1[[#This Row],[y]]-H$4)</f>
        <v>39924</v>
      </c>
      <c r="D957" s="1">
        <f>IF(Tabela1[[#This Row],[promien]]&lt;40000,1,0)</f>
        <v>1</v>
      </c>
      <c r="E957" s="1">
        <f>IF(Tabela1[[#This Row],[promien]]=40000,1,0)</f>
        <v>0</v>
      </c>
      <c r="F957" s="1">
        <v>3.2183908045977012</v>
      </c>
      <c r="G957" s="1">
        <v>7.67981510079081E-2</v>
      </c>
    </row>
    <row r="958" spans="1:7">
      <c r="A958">
        <v>74</v>
      </c>
      <c r="B958">
        <v>101</v>
      </c>
      <c r="C958" s="1">
        <f>(Tabela1[[#This Row],[x]]-H$3)*(Tabela1[[#This Row],[x]]-H$3) +(Tabela1[[#This Row],[y]]-H$4)*(Tabela1[[#This Row],[y]]-H$4)</f>
        <v>25677</v>
      </c>
      <c r="D958" s="1">
        <f>IF(Tabela1[[#This Row],[promien]]&lt;40000,1,0)</f>
        <v>1</v>
      </c>
      <c r="E958" s="1">
        <f>IF(Tabela1[[#This Row],[promien]]=40000,1,0)</f>
        <v>0</v>
      </c>
      <c r="F958" s="1">
        <v>3.2192066805845512</v>
      </c>
      <c r="G958" s="1">
        <v>7.7614026994758056E-2</v>
      </c>
    </row>
    <row r="959" spans="1:7">
      <c r="A959">
        <v>281</v>
      </c>
      <c r="B959">
        <v>157</v>
      </c>
      <c r="C959" s="1">
        <f>(Tabela1[[#This Row],[x]]-H$3)*(Tabela1[[#This Row],[x]]-H$3) +(Tabela1[[#This Row],[y]]-H$4)*(Tabela1[[#This Row],[y]]-H$4)</f>
        <v>8410</v>
      </c>
      <c r="D959" s="1">
        <f>IF(Tabela1[[#This Row],[promien]]&lt;40000,1,0)</f>
        <v>1</v>
      </c>
      <c r="E959" s="1">
        <f>IF(Tabela1[[#This Row],[promien]]=40000,1,0)</f>
        <v>0</v>
      </c>
      <c r="F959" s="1">
        <v>3.2200208550573515</v>
      </c>
      <c r="G959" s="1">
        <v>7.8428201467558356E-2</v>
      </c>
    </row>
    <row r="960" spans="1:7">
      <c r="A960">
        <v>378</v>
      </c>
      <c r="B960">
        <v>260</v>
      </c>
      <c r="C960" s="1">
        <f>(Tabela1[[#This Row],[x]]-H$3)*(Tabela1[[#This Row],[x]]-H$3) +(Tabela1[[#This Row],[y]]-H$4)*(Tabela1[[#This Row],[y]]-H$4)</f>
        <v>35284</v>
      </c>
      <c r="D960" s="1">
        <f>IF(Tabela1[[#This Row],[promien]]&lt;40000,1,0)</f>
        <v>1</v>
      </c>
      <c r="E960" s="1">
        <f>IF(Tabela1[[#This Row],[promien]]=40000,1,0)</f>
        <v>0</v>
      </c>
      <c r="F960" s="1">
        <v>3.2208333333333332</v>
      </c>
      <c r="G960" s="1">
        <v>7.9240679743540099E-2</v>
      </c>
    </row>
    <row r="961" spans="1:7">
      <c r="A961">
        <v>153</v>
      </c>
      <c r="B961">
        <v>86</v>
      </c>
      <c r="C961" s="1">
        <f>(Tabela1[[#This Row],[x]]-H$3)*(Tabela1[[#This Row],[x]]-H$3) +(Tabela1[[#This Row],[y]]-H$4)*(Tabela1[[#This Row],[y]]-H$4)</f>
        <v>15205</v>
      </c>
      <c r="D961" s="1">
        <f>IF(Tabela1[[#This Row],[promien]]&lt;40000,1,0)</f>
        <v>1</v>
      </c>
      <c r="E961" s="1">
        <f>IF(Tabela1[[#This Row],[promien]]=40000,1,0)</f>
        <v>0</v>
      </c>
      <c r="F961" s="1">
        <v>3.2216441207075963</v>
      </c>
      <c r="G961" s="1">
        <v>8.0051467117803199E-2</v>
      </c>
    </row>
    <row r="962" spans="1:7">
      <c r="A962">
        <v>391</v>
      </c>
      <c r="B962">
        <v>150</v>
      </c>
      <c r="C962" s="1">
        <f>(Tabela1[[#This Row],[x]]-H$3)*(Tabela1[[#This Row],[x]]-H$3) +(Tabela1[[#This Row],[y]]-H$4)*(Tabela1[[#This Row],[y]]-H$4)</f>
        <v>38981</v>
      </c>
      <c r="D962" s="1">
        <f>IF(Tabela1[[#This Row],[promien]]&lt;40000,1,0)</f>
        <v>1</v>
      </c>
      <c r="E962" s="1">
        <f>IF(Tabela1[[#This Row],[promien]]=40000,1,0)</f>
        <v>0</v>
      </c>
      <c r="F962" s="1">
        <v>3.2224532224532223</v>
      </c>
      <c r="G962" s="1">
        <v>8.0860568863429183E-2</v>
      </c>
    </row>
    <row r="963" spans="1:7">
      <c r="A963">
        <v>116</v>
      </c>
      <c r="B963">
        <v>358</v>
      </c>
      <c r="C963" s="1">
        <f>(Tabela1[[#This Row],[x]]-H$3)*(Tabela1[[#This Row],[x]]-H$3) +(Tabela1[[#This Row],[y]]-H$4)*(Tabela1[[#This Row],[y]]-H$4)</f>
        <v>32020</v>
      </c>
      <c r="D963" s="1">
        <f>IF(Tabela1[[#This Row],[promien]]&lt;40000,1,0)</f>
        <v>1</v>
      </c>
      <c r="E963" s="1">
        <f>IF(Tabela1[[#This Row],[promien]]=40000,1,0)</f>
        <v>0</v>
      </c>
      <c r="F963" s="1">
        <v>3.2232606438213915</v>
      </c>
      <c r="G963" s="1">
        <v>8.1667990231598431E-2</v>
      </c>
    </row>
    <row r="964" spans="1:7">
      <c r="A964">
        <v>137</v>
      </c>
      <c r="B964">
        <v>271</v>
      </c>
      <c r="C964" s="1">
        <f>(Tabela1[[#This Row],[x]]-H$3)*(Tabela1[[#This Row],[x]]-H$3) +(Tabela1[[#This Row],[y]]-H$4)*(Tabela1[[#This Row],[y]]-H$4)</f>
        <v>9010</v>
      </c>
      <c r="D964" s="1">
        <f>IF(Tabela1[[#This Row],[promien]]&lt;40000,1,0)</f>
        <v>1</v>
      </c>
      <c r="E964" s="1">
        <f>IF(Tabela1[[#This Row],[promien]]=40000,1,0)</f>
        <v>0</v>
      </c>
      <c r="F964" s="1">
        <v>3.2240663900414939</v>
      </c>
      <c r="G964" s="1">
        <v>8.2473736451700752E-2</v>
      </c>
    </row>
    <row r="965" spans="1:7">
      <c r="A965">
        <v>218</v>
      </c>
      <c r="B965">
        <v>189</v>
      </c>
      <c r="C965" s="1">
        <f>(Tabela1[[#This Row],[x]]-H$3)*(Tabela1[[#This Row],[x]]-H$3) +(Tabela1[[#This Row],[y]]-H$4)*(Tabela1[[#This Row],[y]]-H$4)</f>
        <v>445</v>
      </c>
      <c r="D965" s="1">
        <f>IF(Tabela1[[#This Row],[promien]]&lt;40000,1,0)</f>
        <v>1</v>
      </c>
      <c r="E965" s="1">
        <f>IF(Tabela1[[#This Row],[promien]]=40000,1,0)</f>
        <v>0</v>
      </c>
      <c r="F965" s="1">
        <v>3.2248704663212435</v>
      </c>
      <c r="G965" s="1">
        <v>8.3277812731450407E-2</v>
      </c>
    </row>
    <row r="966" spans="1:7">
      <c r="A966">
        <v>273</v>
      </c>
      <c r="B966">
        <v>359</v>
      </c>
      <c r="C966" s="1">
        <f>(Tabela1[[#This Row],[x]]-H$3)*(Tabela1[[#This Row],[x]]-H$3) +(Tabela1[[#This Row],[y]]-H$4)*(Tabela1[[#This Row],[y]]-H$4)</f>
        <v>30610</v>
      </c>
      <c r="D966" s="1">
        <f>IF(Tabela1[[#This Row],[promien]]&lt;40000,1,0)</f>
        <v>1</v>
      </c>
      <c r="E966" s="1">
        <f>IF(Tabela1[[#This Row],[promien]]=40000,1,0)</f>
        <v>0</v>
      </c>
      <c r="F966" s="1">
        <v>3.2256728778467907</v>
      </c>
      <c r="G966" s="1">
        <v>8.4080224256997571E-2</v>
      </c>
    </row>
    <row r="967" spans="1:7">
      <c r="A967">
        <v>285</v>
      </c>
      <c r="B967">
        <v>160</v>
      </c>
      <c r="C967" s="1">
        <f>(Tabela1[[#This Row],[x]]-H$3)*(Tabela1[[#This Row],[x]]-H$3) +(Tabela1[[#This Row],[y]]-H$4)*(Tabela1[[#This Row],[y]]-H$4)</f>
        <v>8825</v>
      </c>
      <c r="D967" s="1">
        <f>IF(Tabela1[[#This Row],[promien]]&lt;40000,1,0)</f>
        <v>1</v>
      </c>
      <c r="E967" s="1">
        <f>IF(Tabela1[[#This Row],[promien]]=40000,1,0)</f>
        <v>0</v>
      </c>
      <c r="F967" s="1">
        <v>3.2264736297828334</v>
      </c>
      <c r="G967" s="1">
        <v>8.4880976193040247E-2</v>
      </c>
    </row>
    <row r="968" spans="1:7">
      <c r="A968">
        <v>334</v>
      </c>
      <c r="B968">
        <v>301</v>
      </c>
      <c r="C968" s="1">
        <f>(Tabela1[[#This Row],[x]]-H$3)*(Tabela1[[#This Row],[x]]-H$3) +(Tabela1[[#This Row],[y]]-H$4)*(Tabela1[[#This Row],[y]]-H$4)</f>
        <v>28157</v>
      </c>
      <c r="D968" s="1">
        <f>IF(Tabela1[[#This Row],[promien]]&lt;40000,1,0)</f>
        <v>1</v>
      </c>
      <c r="E968" s="1">
        <f>IF(Tabela1[[#This Row],[promien]]=40000,1,0)</f>
        <v>0</v>
      </c>
      <c r="F968" s="1">
        <v>3.2272727272727271</v>
      </c>
      <c r="G968" s="1">
        <v>8.5680073682933955E-2</v>
      </c>
    </row>
    <row r="969" spans="1:7">
      <c r="A969">
        <v>138</v>
      </c>
      <c r="B969">
        <v>268</v>
      </c>
      <c r="C969" s="1">
        <f>(Tabela1[[#This Row],[x]]-H$3)*(Tabela1[[#This Row],[x]]-H$3) +(Tabela1[[#This Row],[y]]-H$4)*(Tabela1[[#This Row],[y]]-H$4)</f>
        <v>8468</v>
      </c>
      <c r="D969" s="1">
        <f>IF(Tabela1[[#This Row],[promien]]&lt;40000,1,0)</f>
        <v>1</v>
      </c>
      <c r="E969" s="1">
        <f>IF(Tabela1[[#This Row],[promien]]=40000,1,0)</f>
        <v>0</v>
      </c>
      <c r="F969" s="1">
        <v>3.2280701754385963</v>
      </c>
      <c r="G969" s="1">
        <v>8.6477521848803196E-2</v>
      </c>
    </row>
    <row r="970" spans="1:7">
      <c r="A970">
        <v>124</v>
      </c>
      <c r="B970">
        <v>120</v>
      </c>
      <c r="C970" s="1">
        <f>(Tabela1[[#This Row],[x]]-H$3)*(Tabela1[[#This Row],[x]]-H$3) +(Tabela1[[#This Row],[y]]-H$4)*(Tabela1[[#This Row],[y]]-H$4)</f>
        <v>12176</v>
      </c>
      <c r="D970" s="1">
        <f>IF(Tabela1[[#This Row],[promien]]&lt;40000,1,0)</f>
        <v>1</v>
      </c>
      <c r="E970" s="1">
        <f>IF(Tabela1[[#This Row],[promien]]=40000,1,0)</f>
        <v>0</v>
      </c>
      <c r="F970" s="1">
        <v>3.2288659793814434</v>
      </c>
      <c r="G970" s="1">
        <v>8.7273325791650258E-2</v>
      </c>
    </row>
    <row r="971" spans="1:7">
      <c r="A971">
        <v>220</v>
      </c>
      <c r="B971">
        <v>165</v>
      </c>
      <c r="C971" s="1">
        <f>(Tabela1[[#This Row],[x]]-H$3)*(Tabela1[[#This Row],[x]]-H$3) +(Tabela1[[#This Row],[y]]-H$4)*(Tabela1[[#This Row],[y]]-H$4)</f>
        <v>1625</v>
      </c>
      <c r="D971" s="1">
        <f>IF(Tabela1[[#This Row],[promien]]&lt;40000,1,0)</f>
        <v>1</v>
      </c>
      <c r="E971" s="1">
        <f>IF(Tabela1[[#This Row],[promien]]=40000,1,0)</f>
        <v>0</v>
      </c>
      <c r="F971" s="1">
        <v>3.2296601441812562</v>
      </c>
      <c r="G971" s="1">
        <v>8.8067490591463127E-2</v>
      </c>
    </row>
    <row r="972" spans="1:7">
      <c r="A972">
        <v>227</v>
      </c>
      <c r="B972">
        <v>287</v>
      </c>
      <c r="C972" s="1">
        <f>(Tabela1[[#This Row],[x]]-H$3)*(Tabela1[[#This Row],[x]]-H$3) +(Tabela1[[#This Row],[y]]-H$4)*(Tabela1[[#This Row],[y]]-H$4)</f>
        <v>8298</v>
      </c>
      <c r="D972" s="1">
        <f>IF(Tabela1[[#This Row],[promien]]&lt;40000,1,0)</f>
        <v>1</v>
      </c>
      <c r="E972" s="1">
        <f>IF(Tabela1[[#This Row],[promien]]=40000,1,0)</f>
        <v>0</v>
      </c>
      <c r="F972" s="1">
        <v>3.2304526748971192</v>
      </c>
      <c r="G972" s="1">
        <v>8.8860021307326065E-2</v>
      </c>
    </row>
    <row r="973" spans="1:7">
      <c r="A973">
        <v>357</v>
      </c>
      <c r="B973">
        <v>235</v>
      </c>
      <c r="C973" s="1">
        <f>(Tabela1[[#This Row],[x]]-H$3)*(Tabela1[[#This Row],[x]]-H$3) +(Tabela1[[#This Row],[y]]-H$4)*(Tabela1[[#This Row],[y]]-H$4)</f>
        <v>25874</v>
      </c>
      <c r="D973" s="1">
        <f>IF(Tabela1[[#This Row],[promien]]&lt;40000,1,0)</f>
        <v>1</v>
      </c>
      <c r="E973" s="1">
        <f>IF(Tabela1[[#This Row],[promien]]=40000,1,0)</f>
        <v>0</v>
      </c>
      <c r="F973" s="1">
        <v>3.2312435765673175</v>
      </c>
      <c r="G973" s="1">
        <v>8.9650922977524417E-2</v>
      </c>
    </row>
    <row r="974" spans="1:7">
      <c r="A974">
        <v>65</v>
      </c>
      <c r="B974">
        <v>66</v>
      </c>
      <c r="C974" s="1">
        <f>(Tabela1[[#This Row],[x]]-H$3)*(Tabela1[[#This Row],[x]]-H$3) +(Tabela1[[#This Row],[y]]-H$4)*(Tabela1[[#This Row],[y]]-H$4)</f>
        <v>36181</v>
      </c>
      <c r="D974" s="1">
        <f>IF(Tabela1[[#This Row],[promien]]&lt;40000,1,0)</f>
        <v>1</v>
      </c>
      <c r="E974" s="1">
        <f>IF(Tabela1[[#This Row],[promien]]=40000,1,0)</f>
        <v>0</v>
      </c>
      <c r="F974" s="1">
        <v>3.2320328542094456</v>
      </c>
      <c r="G974" s="1">
        <v>9.0440200619652522E-2</v>
      </c>
    </row>
    <row r="975" spans="1:7">
      <c r="A975">
        <v>253</v>
      </c>
      <c r="B975">
        <v>70</v>
      </c>
      <c r="C975" s="1">
        <f>(Tabela1[[#This Row],[x]]-H$3)*(Tabela1[[#This Row],[x]]-H$3) +(Tabela1[[#This Row],[y]]-H$4)*(Tabela1[[#This Row],[y]]-H$4)</f>
        <v>19709</v>
      </c>
      <c r="D975" s="1">
        <f>IF(Tabela1[[#This Row],[promien]]&lt;40000,1,0)</f>
        <v>1</v>
      </c>
      <c r="E975" s="1">
        <f>IF(Tabela1[[#This Row],[promien]]=40000,1,0)</f>
        <v>0</v>
      </c>
      <c r="F975" s="1">
        <v>3.232820512820513</v>
      </c>
      <c r="G975" s="1">
        <v>9.1227859230719854E-2</v>
      </c>
    </row>
    <row r="976" spans="1:7">
      <c r="A976">
        <v>120</v>
      </c>
      <c r="B976">
        <v>350</v>
      </c>
      <c r="C976" s="1">
        <f>(Tabela1[[#This Row],[x]]-H$3)*(Tabela1[[#This Row],[x]]-H$3) +(Tabela1[[#This Row],[y]]-H$4)*(Tabela1[[#This Row],[y]]-H$4)</f>
        <v>28900</v>
      </c>
      <c r="D976" s="1">
        <f>IF(Tabela1[[#This Row],[promien]]&lt;40000,1,0)</f>
        <v>1</v>
      </c>
      <c r="E976" s="1">
        <f>IF(Tabela1[[#This Row],[promien]]=40000,1,0)</f>
        <v>0</v>
      </c>
      <c r="F976" s="1">
        <v>3.2336065573770494</v>
      </c>
      <c r="G976" s="1">
        <v>9.2013903787256268E-2</v>
      </c>
    </row>
    <row r="977" spans="1:7">
      <c r="A977">
        <v>39</v>
      </c>
      <c r="B977">
        <v>266</v>
      </c>
      <c r="C977" s="1">
        <f>(Tabela1[[#This Row],[x]]-H$3)*(Tabela1[[#This Row],[x]]-H$3) +(Tabela1[[#This Row],[y]]-H$4)*(Tabela1[[#This Row],[y]]-H$4)</f>
        <v>30277</v>
      </c>
      <c r="D977" s="1">
        <f>IF(Tabela1[[#This Row],[promien]]&lt;40000,1,0)</f>
        <v>1</v>
      </c>
      <c r="E977" s="1">
        <f>IF(Tabela1[[#This Row],[promien]]=40000,1,0)</f>
        <v>0</v>
      </c>
      <c r="F977" s="1">
        <v>3.2343909928352099</v>
      </c>
      <c r="G977" s="1">
        <v>9.2798339245416805E-2</v>
      </c>
    </row>
    <row r="978" spans="1:7">
      <c r="A978">
        <v>360</v>
      </c>
      <c r="B978">
        <v>53</v>
      </c>
      <c r="C978" s="1">
        <f>(Tabela1[[#This Row],[x]]-H$3)*(Tabela1[[#This Row],[x]]-H$3) +(Tabela1[[#This Row],[y]]-H$4)*(Tabela1[[#This Row],[y]]-H$4)</f>
        <v>47209</v>
      </c>
      <c r="D978" s="1">
        <f>IF(Tabela1[[#This Row],[promien]]&lt;40000,1,0)</f>
        <v>0</v>
      </c>
      <c r="E978" s="1">
        <f>IF(Tabela1[[#This Row],[promien]]=40000,1,0)</f>
        <v>0</v>
      </c>
      <c r="F978" s="1">
        <v>3.2310838445807772</v>
      </c>
      <c r="G978" s="1">
        <v>8.9491190990984126E-2</v>
      </c>
    </row>
    <row r="979" spans="1:7">
      <c r="A979">
        <v>14</v>
      </c>
      <c r="B979">
        <v>26</v>
      </c>
      <c r="C979" s="1">
        <f>(Tabela1[[#This Row],[x]]-H$3)*(Tabela1[[#This Row],[x]]-H$3) +(Tabela1[[#This Row],[y]]-H$4)*(Tabela1[[#This Row],[y]]-H$4)</f>
        <v>64872</v>
      </c>
      <c r="D979" s="1">
        <f>IF(Tabela1[[#This Row],[promien]]&lt;40000,1,0)</f>
        <v>0</v>
      </c>
      <c r="E979" s="1">
        <f>IF(Tabela1[[#This Row],[promien]]=40000,1,0)</f>
        <v>0</v>
      </c>
      <c r="F979" s="1">
        <v>3.2277834525025537</v>
      </c>
      <c r="G979" s="1">
        <v>8.6190798912760602E-2</v>
      </c>
    </row>
    <row r="980" spans="1:7">
      <c r="A980">
        <v>131</v>
      </c>
      <c r="B980">
        <v>346</v>
      </c>
      <c r="C980" s="1">
        <f>(Tabela1[[#This Row],[x]]-H$3)*(Tabela1[[#This Row],[x]]-H$3) +(Tabela1[[#This Row],[y]]-H$4)*(Tabela1[[#This Row],[y]]-H$4)</f>
        <v>26077</v>
      </c>
      <c r="D980" s="1">
        <f>IF(Tabela1[[#This Row],[promien]]&lt;40000,1,0)</f>
        <v>1</v>
      </c>
      <c r="E980" s="1">
        <f>IF(Tabela1[[#This Row],[promien]]=40000,1,0)</f>
        <v>0</v>
      </c>
      <c r="F980" s="1">
        <v>3.2285714285714286</v>
      </c>
      <c r="G980" s="1">
        <v>8.6978774981635532E-2</v>
      </c>
    </row>
    <row r="981" spans="1:7">
      <c r="A981">
        <v>304</v>
      </c>
      <c r="B981">
        <v>141</v>
      </c>
      <c r="C981" s="1">
        <f>(Tabela1[[#This Row],[x]]-H$3)*(Tabela1[[#This Row],[x]]-H$3) +(Tabela1[[#This Row],[y]]-H$4)*(Tabela1[[#This Row],[y]]-H$4)</f>
        <v>14297</v>
      </c>
      <c r="D981" s="1">
        <f>IF(Tabela1[[#This Row],[promien]]&lt;40000,1,0)</f>
        <v>1</v>
      </c>
      <c r="E981" s="1">
        <f>IF(Tabela1[[#This Row],[promien]]=40000,1,0)</f>
        <v>0</v>
      </c>
      <c r="F981" s="1">
        <v>3.2293577981651378</v>
      </c>
      <c r="G981" s="1">
        <v>8.7765144575344678E-2</v>
      </c>
    </row>
    <row r="982" spans="1:7">
      <c r="A982">
        <v>205</v>
      </c>
      <c r="B982">
        <v>284</v>
      </c>
      <c r="C982" s="1">
        <f>(Tabela1[[#This Row],[x]]-H$3)*(Tabela1[[#This Row],[x]]-H$3) +(Tabela1[[#This Row],[y]]-H$4)*(Tabela1[[#This Row],[y]]-H$4)</f>
        <v>7081</v>
      </c>
      <c r="D982" s="1">
        <f>IF(Tabela1[[#This Row],[promien]]&lt;40000,1,0)</f>
        <v>1</v>
      </c>
      <c r="E982" s="1">
        <f>IF(Tabela1[[#This Row],[promien]]=40000,1,0)</f>
        <v>0</v>
      </c>
      <c r="F982" s="1">
        <v>3.230142566191446</v>
      </c>
      <c r="G982" s="1">
        <v>8.8549912601652903E-2</v>
      </c>
    </row>
    <row r="983" spans="1:7">
      <c r="A983">
        <v>163</v>
      </c>
      <c r="B983">
        <v>238</v>
      </c>
      <c r="C983" s="1">
        <f>(Tabela1[[#This Row],[x]]-H$3)*(Tabela1[[#This Row],[x]]-H$3) +(Tabela1[[#This Row],[y]]-H$4)*(Tabela1[[#This Row],[y]]-H$4)</f>
        <v>2813</v>
      </c>
      <c r="D983" s="1">
        <f>IF(Tabela1[[#This Row],[promien]]&lt;40000,1,0)</f>
        <v>1</v>
      </c>
      <c r="E983" s="1">
        <f>IF(Tabela1[[#This Row],[promien]]=40000,1,0)</f>
        <v>0</v>
      </c>
      <c r="F983" s="1">
        <v>3.2309257375381484</v>
      </c>
      <c r="G983" s="1">
        <v>8.9333083948355263E-2</v>
      </c>
    </row>
    <row r="984" spans="1:7">
      <c r="A984">
        <v>76</v>
      </c>
      <c r="B984">
        <v>298</v>
      </c>
      <c r="C984" s="1">
        <f>(Tabela1[[#This Row],[x]]-H$3)*(Tabela1[[#This Row],[x]]-H$3) +(Tabela1[[#This Row],[y]]-H$4)*(Tabela1[[#This Row],[y]]-H$4)</f>
        <v>24980</v>
      </c>
      <c r="D984" s="1">
        <f>IF(Tabela1[[#This Row],[promien]]&lt;40000,1,0)</f>
        <v>1</v>
      </c>
      <c r="E984" s="1">
        <f>IF(Tabela1[[#This Row],[promien]]=40000,1,0)</f>
        <v>0</v>
      </c>
      <c r="F984" s="1">
        <v>3.2317073170731709</v>
      </c>
      <c r="G984" s="1">
        <v>9.0114663483377822E-2</v>
      </c>
    </row>
    <row r="985" spans="1:7">
      <c r="A985">
        <v>207</v>
      </c>
      <c r="B985">
        <v>123</v>
      </c>
      <c r="C985" s="1">
        <f>(Tabela1[[#This Row],[x]]-H$3)*(Tabela1[[#This Row],[x]]-H$3) +(Tabela1[[#This Row],[y]]-H$4)*(Tabela1[[#This Row],[y]]-H$4)</f>
        <v>5978</v>
      </c>
      <c r="D985" s="1">
        <f>IF(Tabela1[[#This Row],[promien]]&lt;40000,1,0)</f>
        <v>1</v>
      </c>
      <c r="E985" s="1">
        <f>IF(Tabela1[[#This Row],[promien]]=40000,1,0)</f>
        <v>0</v>
      </c>
      <c r="F985" s="1">
        <v>3.2324873096446702</v>
      </c>
      <c r="G985" s="1">
        <v>9.0894656054877121E-2</v>
      </c>
    </row>
    <row r="986" spans="1:7">
      <c r="A986">
        <v>334</v>
      </c>
      <c r="B986">
        <v>14</v>
      </c>
      <c r="C986" s="1">
        <f>(Tabela1[[#This Row],[x]]-H$3)*(Tabela1[[#This Row],[x]]-H$3) +(Tabela1[[#This Row],[y]]-H$4)*(Tabela1[[#This Row],[y]]-H$4)</f>
        <v>52552</v>
      </c>
      <c r="D986" s="1">
        <f>IF(Tabela1[[#This Row],[promien]]&lt;40000,1,0)</f>
        <v>0</v>
      </c>
      <c r="E986" s="1">
        <f>IF(Tabela1[[#This Row],[promien]]=40000,1,0)</f>
        <v>0</v>
      </c>
      <c r="F986" s="1">
        <v>3.2292089249492899</v>
      </c>
      <c r="G986" s="1">
        <v>8.7616271359496789E-2</v>
      </c>
    </row>
    <row r="987" spans="1:7">
      <c r="A987">
        <v>65</v>
      </c>
      <c r="B987">
        <v>119</v>
      </c>
      <c r="C987" s="1">
        <f>(Tabela1[[#This Row],[x]]-H$3)*(Tabela1[[#This Row],[x]]-H$3) +(Tabela1[[#This Row],[y]]-H$4)*(Tabela1[[#This Row],[y]]-H$4)</f>
        <v>24786</v>
      </c>
      <c r="D987" s="1">
        <f>IF(Tabela1[[#This Row],[promien]]&lt;40000,1,0)</f>
        <v>1</v>
      </c>
      <c r="E987" s="1">
        <f>IF(Tabela1[[#This Row],[promien]]=40000,1,0)</f>
        <v>0</v>
      </c>
      <c r="F987" s="1">
        <v>3.2299898682877406</v>
      </c>
      <c r="G987" s="1">
        <v>8.8397214697947479E-2</v>
      </c>
    </row>
    <row r="988" spans="1:7">
      <c r="A988">
        <v>236</v>
      </c>
      <c r="B988">
        <v>272</v>
      </c>
      <c r="C988" s="1">
        <f>(Tabela1[[#This Row],[x]]-H$3)*(Tabela1[[#This Row],[x]]-H$3) +(Tabela1[[#This Row],[y]]-H$4)*(Tabela1[[#This Row],[y]]-H$4)</f>
        <v>6480</v>
      </c>
      <c r="D988" s="1">
        <f>IF(Tabela1[[#This Row],[promien]]&lt;40000,1,0)</f>
        <v>1</v>
      </c>
      <c r="E988" s="1">
        <f>IF(Tabela1[[#This Row],[promien]]=40000,1,0)</f>
        <v>0</v>
      </c>
      <c r="F988" s="1">
        <v>3.2307692307692308</v>
      </c>
      <c r="G988" s="1">
        <v>8.9176577179437722E-2</v>
      </c>
    </row>
    <row r="989" spans="1:7">
      <c r="A989">
        <v>393</v>
      </c>
      <c r="B989">
        <v>358</v>
      </c>
      <c r="C989" s="1">
        <f>(Tabela1[[#This Row],[x]]-H$3)*(Tabela1[[#This Row],[x]]-H$3) +(Tabela1[[#This Row],[y]]-H$4)*(Tabela1[[#This Row],[y]]-H$4)</f>
        <v>62213</v>
      </c>
      <c r="D989" s="1">
        <f>IF(Tabela1[[#This Row],[promien]]&lt;40000,1,0)</f>
        <v>0</v>
      </c>
      <c r="E989" s="1">
        <f>IF(Tabela1[[#This Row],[promien]]=40000,1,0)</f>
        <v>0</v>
      </c>
      <c r="F989" s="1">
        <v>3.2275025278058647</v>
      </c>
      <c r="G989" s="1">
        <v>8.5909874216071547E-2</v>
      </c>
    </row>
    <row r="990" spans="1:7">
      <c r="A990">
        <v>202</v>
      </c>
      <c r="B990">
        <v>33</v>
      </c>
      <c r="C990" s="1">
        <f>(Tabela1[[#This Row],[x]]-H$3)*(Tabela1[[#This Row],[x]]-H$3) +(Tabela1[[#This Row],[y]]-H$4)*(Tabela1[[#This Row],[y]]-H$4)</f>
        <v>27893</v>
      </c>
      <c r="D990" s="1">
        <f>IF(Tabela1[[#This Row],[promien]]&lt;40000,1,0)</f>
        <v>1</v>
      </c>
      <c r="E990" s="1">
        <f>IF(Tabela1[[#This Row],[promien]]=40000,1,0)</f>
        <v>0</v>
      </c>
      <c r="F990" s="1">
        <v>3.2282828282828282</v>
      </c>
      <c r="G990" s="1">
        <v>8.6690174693035082E-2</v>
      </c>
    </row>
    <row r="991" spans="1:7">
      <c r="A991">
        <v>315</v>
      </c>
      <c r="B991">
        <v>0</v>
      </c>
      <c r="C991" s="1">
        <f>(Tabela1[[#This Row],[x]]-H$3)*(Tabela1[[#This Row],[x]]-H$3) +(Tabela1[[#This Row],[y]]-H$4)*(Tabela1[[#This Row],[y]]-H$4)</f>
        <v>53225</v>
      </c>
      <c r="D991" s="1">
        <f>IF(Tabela1[[#This Row],[promien]]&lt;40000,1,0)</f>
        <v>0</v>
      </c>
      <c r="E991" s="1">
        <f>IF(Tabela1[[#This Row],[promien]]=40000,1,0)</f>
        <v>0</v>
      </c>
      <c r="F991" s="1">
        <v>3.2250252270433903</v>
      </c>
      <c r="G991" s="1">
        <v>8.3432573453597225E-2</v>
      </c>
    </row>
    <row r="992" spans="1:7">
      <c r="A992">
        <v>305</v>
      </c>
      <c r="B992">
        <v>101</v>
      </c>
      <c r="C992" s="1">
        <f>(Tabela1[[#This Row],[x]]-H$3)*(Tabela1[[#This Row],[x]]-H$3) +(Tabela1[[#This Row],[y]]-H$4)*(Tabela1[[#This Row],[y]]-H$4)</f>
        <v>20826</v>
      </c>
      <c r="D992" s="1">
        <f>IF(Tabela1[[#This Row],[promien]]&lt;40000,1,0)</f>
        <v>1</v>
      </c>
      <c r="E992" s="1">
        <f>IF(Tabela1[[#This Row],[promien]]=40000,1,0)</f>
        <v>0</v>
      </c>
      <c r="F992" s="1">
        <v>3.225806451612903</v>
      </c>
      <c r="G992" s="1">
        <v>8.4213798023109909E-2</v>
      </c>
    </row>
    <row r="993" spans="1:7">
      <c r="A993">
        <v>259</v>
      </c>
      <c r="B993">
        <v>354</v>
      </c>
      <c r="C993" s="1">
        <f>(Tabela1[[#This Row],[x]]-H$3)*(Tabela1[[#This Row],[x]]-H$3) +(Tabela1[[#This Row],[y]]-H$4)*(Tabela1[[#This Row],[y]]-H$4)</f>
        <v>27197</v>
      </c>
      <c r="D993" s="1">
        <f>IF(Tabela1[[#This Row],[promien]]&lt;40000,1,0)</f>
        <v>1</v>
      </c>
      <c r="E993" s="1">
        <f>IF(Tabela1[[#This Row],[promien]]=40000,1,0)</f>
        <v>0</v>
      </c>
      <c r="F993" s="1">
        <v>3.226586102719033</v>
      </c>
      <c r="G993" s="1">
        <v>8.4993449129239895E-2</v>
      </c>
    </row>
    <row r="994" spans="1:7">
      <c r="A994">
        <v>41</v>
      </c>
      <c r="B994">
        <v>46</v>
      </c>
      <c r="C994" s="1">
        <f>(Tabela1[[#This Row],[x]]-H$3)*(Tabela1[[#This Row],[x]]-H$3) +(Tabela1[[#This Row],[y]]-H$4)*(Tabela1[[#This Row],[y]]-H$4)</f>
        <v>48997</v>
      </c>
      <c r="D994" s="1">
        <f>IF(Tabela1[[#This Row],[promien]]&lt;40000,1,0)</f>
        <v>0</v>
      </c>
      <c r="E994" s="1">
        <f>IF(Tabela1[[#This Row],[promien]]=40000,1,0)</f>
        <v>0</v>
      </c>
      <c r="F994" s="1">
        <v>3.2233400402414487</v>
      </c>
      <c r="G994" s="1">
        <v>8.1747386651655596E-2</v>
      </c>
    </row>
    <row r="995" spans="1:7">
      <c r="A995">
        <v>338</v>
      </c>
      <c r="B995">
        <v>299</v>
      </c>
      <c r="C995" s="1">
        <f>(Tabela1[[#This Row],[x]]-H$3)*(Tabela1[[#This Row],[x]]-H$3) +(Tabela1[[#This Row],[y]]-H$4)*(Tabela1[[#This Row],[y]]-H$4)</f>
        <v>28845</v>
      </c>
      <c r="D995" s="1">
        <f>IF(Tabela1[[#This Row],[promien]]&lt;40000,1,0)</f>
        <v>1</v>
      </c>
      <c r="E995" s="1">
        <f>IF(Tabela1[[#This Row],[promien]]=40000,1,0)</f>
        <v>0</v>
      </c>
      <c r="F995" s="1">
        <v>3.2241206030150753</v>
      </c>
      <c r="G995" s="1">
        <v>8.2527949425282188E-2</v>
      </c>
    </row>
    <row r="996" spans="1:7">
      <c r="A996">
        <v>340</v>
      </c>
      <c r="B996">
        <v>214</v>
      </c>
      <c r="C996" s="1">
        <f>(Tabela1[[#This Row],[x]]-H$3)*(Tabela1[[#This Row],[x]]-H$3) +(Tabela1[[#This Row],[y]]-H$4)*(Tabela1[[#This Row],[y]]-H$4)</f>
        <v>19796</v>
      </c>
      <c r="D996" s="1">
        <f>IF(Tabela1[[#This Row],[promien]]&lt;40000,1,0)</f>
        <v>1</v>
      </c>
      <c r="E996" s="1">
        <f>IF(Tabela1[[#This Row],[promien]]=40000,1,0)</f>
        <v>0</v>
      </c>
      <c r="F996" s="1">
        <v>3.2248995983935744</v>
      </c>
      <c r="G996" s="1">
        <v>8.3306944803781313E-2</v>
      </c>
    </row>
    <row r="997" spans="1:7">
      <c r="A997">
        <v>107</v>
      </c>
      <c r="B997">
        <v>150</v>
      </c>
      <c r="C997" s="1">
        <f>(Tabela1[[#This Row],[x]]-H$3)*(Tabela1[[#This Row],[x]]-H$3) +(Tabela1[[#This Row],[y]]-H$4)*(Tabela1[[#This Row],[y]]-H$4)</f>
        <v>11149</v>
      </c>
      <c r="D997" s="1">
        <f>IF(Tabela1[[#This Row],[promien]]&lt;40000,1,0)</f>
        <v>1</v>
      </c>
      <c r="E997" s="1">
        <f>IF(Tabela1[[#This Row],[promien]]=40000,1,0)</f>
        <v>0</v>
      </c>
      <c r="F997" s="1">
        <v>3.2256770310932796</v>
      </c>
      <c r="G997" s="1">
        <v>8.4084377503486518E-2</v>
      </c>
    </row>
    <row r="998" spans="1:7">
      <c r="A998">
        <v>306</v>
      </c>
      <c r="B998">
        <v>370</v>
      </c>
      <c r="C998" s="1">
        <f>(Tabela1[[#This Row],[x]]-H$3)*(Tabela1[[#This Row],[x]]-H$3) +(Tabela1[[#This Row],[y]]-H$4)*(Tabela1[[#This Row],[y]]-H$4)</f>
        <v>40136</v>
      </c>
      <c r="D998" s="1">
        <f>IF(Tabela1[[#This Row],[promien]]&lt;40000,1,0)</f>
        <v>0</v>
      </c>
      <c r="E998" s="1">
        <f>IF(Tabela1[[#This Row],[promien]]=40000,1,0)</f>
        <v>0</v>
      </c>
      <c r="F998" s="1">
        <v>3.2224448897795592</v>
      </c>
      <c r="G998" s="1">
        <v>8.0852236189766113E-2</v>
      </c>
    </row>
    <row r="999" spans="1:7">
      <c r="A999">
        <v>199</v>
      </c>
      <c r="B999">
        <v>183</v>
      </c>
      <c r="C999" s="1">
        <f>(Tabela1[[#This Row],[x]]-H$3)*(Tabela1[[#This Row],[x]]-H$3) +(Tabela1[[#This Row],[y]]-H$4)*(Tabela1[[#This Row],[y]]-H$4)</f>
        <v>290</v>
      </c>
      <c r="D999" s="1">
        <f>IF(Tabela1[[#This Row],[promien]]&lt;40000,1,0)</f>
        <v>1</v>
      </c>
      <c r="E999" s="1">
        <f>IF(Tabela1[[#This Row],[promien]]=40000,1,0)</f>
        <v>0</v>
      </c>
      <c r="F999" s="1">
        <v>3.2232232232232234</v>
      </c>
      <c r="G999" s="1">
        <v>8.1630569633430294E-2</v>
      </c>
    </row>
    <row r="1000" spans="1:7">
      <c r="A1000">
        <v>164</v>
      </c>
      <c r="B1000">
        <v>28</v>
      </c>
      <c r="C1000" s="1">
        <f>(Tabela1[[#This Row],[x]]-H$3)*(Tabela1[[#This Row],[x]]-H$3) +(Tabela1[[#This Row],[y]]-H$4)*(Tabela1[[#This Row],[y]]-H$4)</f>
        <v>30880</v>
      </c>
      <c r="D1000" s="1">
        <f>IF(Tabela1[[#This Row],[promien]]&lt;40000,1,0)</f>
        <v>1</v>
      </c>
      <c r="E1000" s="1">
        <f>IF(Tabela1[[#This Row],[promien]]=40000,1,0)</f>
        <v>0</v>
      </c>
      <c r="F1000" s="1">
        <v>3.2240000000000002</v>
      </c>
      <c r="G1000" s="1">
        <v>8.2407346410207083E-2</v>
      </c>
    </row>
    <row r="1001" spans="1:7">
      <c r="A1001">
        <v>136</v>
      </c>
      <c r="B1001">
        <v>385</v>
      </c>
      <c r="C1001" s="1">
        <f>(Tabela1[[#This Row],[x]]-H$3)*(Tabela1[[#This Row],[x]]-H$3) +(Tabela1[[#This Row],[y]]-H$4)*(Tabela1[[#This Row],[y]]-H$4)</f>
        <v>38321</v>
      </c>
      <c r="D1001" s="1">
        <f>IF(Tabela1[[#This Row],[promien]]&lt;40000,1,0)</f>
        <v>1</v>
      </c>
      <c r="E1001" s="1">
        <f>IF(Tabela1[[#This Row],[promien]]=40000,1,0)</f>
        <v>0</v>
      </c>
      <c r="F1001" s="1">
        <v>3.2247752247752248</v>
      </c>
      <c r="G1001" s="1">
        <v>8.3182571185431708E-2</v>
      </c>
    </row>
    <row r="1002" spans="1:7">
      <c r="A1002">
        <v>371</v>
      </c>
      <c r="B1002">
        <v>292</v>
      </c>
      <c r="C1002" s="1">
        <f>(Tabela1[[#This Row],[x]]-H$3)*(Tabela1[[#This Row],[x]]-H$3) +(Tabela1[[#This Row],[y]]-H$4)*(Tabela1[[#This Row],[y]]-H$4)</f>
        <v>37705</v>
      </c>
      <c r="D1002" s="1">
        <f>IF(Tabela1[[#This Row],[promien]]&lt;40000,1,0)</f>
        <v>1</v>
      </c>
      <c r="E1002" s="1">
        <f>IF(Tabela1[[#This Row],[promien]]=40000,1,0)</f>
        <v>0</v>
      </c>
      <c r="F1002" s="1">
        <v>3.2255489021956087</v>
      </c>
      <c r="G1002" s="1">
        <v>8.3956248605815631E-2</v>
      </c>
    </row>
    <row r="1003" spans="1:7">
      <c r="A1003">
        <v>190</v>
      </c>
      <c r="B1003">
        <v>209</v>
      </c>
      <c r="C1003" s="1">
        <f>(Tabela1[[#This Row],[x]]-H$3)*(Tabela1[[#This Row],[x]]-H$3) +(Tabela1[[#This Row],[y]]-H$4)*(Tabela1[[#This Row],[y]]-H$4)</f>
        <v>181</v>
      </c>
      <c r="D1003" s="1">
        <f>IF(Tabela1[[#This Row],[promien]]&lt;40000,1,0)</f>
        <v>1</v>
      </c>
      <c r="E1003" s="1">
        <f>IF(Tabela1[[#This Row],[promien]]=40000,1,0)</f>
        <v>0</v>
      </c>
      <c r="F1003" s="1">
        <v>3.226321036889332</v>
      </c>
      <c r="G1003" s="1">
        <v>8.4728383299538912E-2</v>
      </c>
    </row>
    <row r="1004" spans="1:7">
      <c r="A1004">
        <v>204</v>
      </c>
      <c r="B1004">
        <v>74</v>
      </c>
      <c r="C1004" s="1">
        <f>(Tabela1[[#This Row],[x]]-H$3)*(Tabela1[[#This Row],[x]]-H$3) +(Tabela1[[#This Row],[y]]-H$4)*(Tabela1[[#This Row],[y]]-H$4)</f>
        <v>15892</v>
      </c>
      <c r="D1004" s="1">
        <f>IF(Tabela1[[#This Row],[promien]]&lt;40000,1,0)</f>
        <v>1</v>
      </c>
      <c r="E1004" s="1">
        <f>IF(Tabela1[[#This Row],[promien]]=40000,1,0)</f>
        <v>0</v>
      </c>
      <c r="F1004" s="1">
        <v>3.2270916334661353</v>
      </c>
      <c r="G1004" s="1">
        <v>8.549897987634214E-2</v>
      </c>
    </row>
    <row r="1005" spans="1:7">
      <c r="A1005">
        <v>63</v>
      </c>
      <c r="B1005">
        <v>13</v>
      </c>
      <c r="C1005" s="1">
        <f>(Tabela1[[#This Row],[x]]-H$3)*(Tabela1[[#This Row],[x]]-H$3) +(Tabela1[[#This Row],[y]]-H$4)*(Tabela1[[#This Row],[y]]-H$4)</f>
        <v>53738</v>
      </c>
      <c r="D1005" s="1">
        <f>IF(Tabela1[[#This Row],[promien]]&lt;40000,1,0)</f>
        <v>0</v>
      </c>
      <c r="E1005" s="1">
        <f>IF(Tabela1[[#This Row],[promien]]=40000,1,0)</f>
        <v>0</v>
      </c>
      <c r="F1005" s="1">
        <v>3.2238805970149254</v>
      </c>
      <c r="G1005" s="1">
        <v>8.2287943425132237E-2</v>
      </c>
    </row>
    <row r="1006" spans="1:7">
      <c r="A1006">
        <v>90</v>
      </c>
      <c r="B1006">
        <v>187</v>
      </c>
      <c r="C1006" s="1">
        <f>(Tabela1[[#This Row],[x]]-H$3)*(Tabela1[[#This Row],[x]]-H$3) +(Tabela1[[#This Row],[y]]-H$4)*(Tabela1[[#This Row],[y]]-H$4)</f>
        <v>12269</v>
      </c>
      <c r="D1006" s="1">
        <f>IF(Tabela1[[#This Row],[promien]]&lt;40000,1,0)</f>
        <v>1</v>
      </c>
      <c r="E1006" s="1">
        <f>IF(Tabela1[[#This Row],[promien]]=40000,1,0)</f>
        <v>0</v>
      </c>
      <c r="F1006" s="1">
        <v>3.2246520874751492</v>
      </c>
      <c r="G1006" s="1">
        <v>8.3059433885356082E-2</v>
      </c>
    </row>
    <row r="1007" spans="1:7">
      <c r="A1007">
        <v>238</v>
      </c>
      <c r="B1007">
        <v>201</v>
      </c>
      <c r="C1007" s="1">
        <f>(Tabela1[[#This Row],[x]]-H$3)*(Tabela1[[#This Row],[x]]-H$3) +(Tabela1[[#This Row],[y]]-H$4)*(Tabela1[[#This Row],[y]]-H$4)</f>
        <v>1445</v>
      </c>
      <c r="D1007" s="1">
        <f>IF(Tabela1[[#This Row],[promien]]&lt;40000,1,0)</f>
        <v>1</v>
      </c>
      <c r="E1007" s="1">
        <f>IF(Tabela1[[#This Row],[promien]]=40000,1,0)</f>
        <v>0</v>
      </c>
      <c r="F1007" s="1">
        <v>3.2254220456802383</v>
      </c>
      <c r="G1007" s="1">
        <v>8.3829392090445154E-2</v>
      </c>
    </row>
    <row r="1008" spans="1:7">
      <c r="A1008">
        <v>86</v>
      </c>
      <c r="B1008">
        <v>196</v>
      </c>
      <c r="C1008" s="1">
        <f>(Tabela1[[#This Row],[x]]-H$3)*(Tabela1[[#This Row],[x]]-H$3) +(Tabela1[[#This Row],[y]]-H$4)*(Tabela1[[#This Row],[y]]-H$4)</f>
        <v>13012</v>
      </c>
      <c r="D1008" s="1">
        <f>IF(Tabela1[[#This Row],[promien]]&lt;40000,1,0)</f>
        <v>1</v>
      </c>
      <c r="E1008" s="1">
        <f>IF(Tabela1[[#This Row],[promien]]=40000,1,0)</f>
        <v>0</v>
      </c>
      <c r="F1008" s="1">
        <v>3.2261904761904763</v>
      </c>
      <c r="G1008" s="1">
        <v>8.4597822600683159E-2</v>
      </c>
    </row>
    <row r="1009" spans="1:7">
      <c r="A1009">
        <v>68</v>
      </c>
      <c r="B1009">
        <v>35</v>
      </c>
      <c r="C1009" s="1">
        <f>(Tabela1[[#This Row],[x]]-H$3)*(Tabela1[[#This Row],[x]]-H$3) +(Tabela1[[#This Row],[y]]-H$4)*(Tabela1[[#This Row],[y]]-H$4)</f>
        <v>44649</v>
      </c>
      <c r="D1009" s="1">
        <f>IF(Tabela1[[#This Row],[promien]]&lt;40000,1,0)</f>
        <v>0</v>
      </c>
      <c r="E1009" s="1">
        <f>IF(Tabela1[[#This Row],[promien]]=40000,1,0)</f>
        <v>0</v>
      </c>
      <c r="F1009" s="1">
        <v>3.2229930624380576</v>
      </c>
      <c r="G1009" s="1">
        <v>8.1400408848264494E-2</v>
      </c>
    </row>
    <row r="1010" spans="1:7">
      <c r="A1010">
        <v>182</v>
      </c>
      <c r="B1010">
        <v>214</v>
      </c>
      <c r="C1010" s="1">
        <f>(Tabela1[[#This Row],[x]]-H$3)*(Tabela1[[#This Row],[x]]-H$3) +(Tabela1[[#This Row],[y]]-H$4)*(Tabela1[[#This Row],[y]]-H$4)</f>
        <v>520</v>
      </c>
      <c r="D1010" s="1">
        <f>IF(Tabela1[[#This Row],[promien]]&lt;40000,1,0)</f>
        <v>1</v>
      </c>
      <c r="E1010" s="1">
        <f>IF(Tabela1[[#This Row],[promien]]=40000,1,0)</f>
        <v>0</v>
      </c>
      <c r="F1010" s="1">
        <v>3.223762376237624</v>
      </c>
      <c r="G1010" s="1">
        <v>8.2169722647830845E-2</v>
      </c>
    </row>
    <row r="1011" spans="1:7">
      <c r="A1011">
        <v>93</v>
      </c>
      <c r="B1011">
        <v>110</v>
      </c>
      <c r="C1011" s="1">
        <f>(Tabela1[[#This Row],[x]]-H$3)*(Tabela1[[#This Row],[x]]-H$3) +(Tabela1[[#This Row],[y]]-H$4)*(Tabela1[[#This Row],[y]]-H$4)</f>
        <v>19549</v>
      </c>
      <c r="D1011" s="1">
        <f>IF(Tabela1[[#This Row],[promien]]&lt;40000,1,0)</f>
        <v>1</v>
      </c>
      <c r="E1011" s="1">
        <f>IF(Tabela1[[#This Row],[promien]]=40000,1,0)</f>
        <v>0</v>
      </c>
      <c r="F1011" s="1">
        <v>3.2245301681503462</v>
      </c>
      <c r="G1011" s="1">
        <v>8.2937514560553094E-2</v>
      </c>
    </row>
    <row r="1012" spans="1:7">
      <c r="A1012">
        <v>99</v>
      </c>
      <c r="B1012">
        <v>213</v>
      </c>
      <c r="C1012" s="1">
        <f>(Tabela1[[#This Row],[x]]-H$3)*(Tabela1[[#This Row],[x]]-H$3) +(Tabela1[[#This Row],[y]]-H$4)*(Tabela1[[#This Row],[y]]-H$4)</f>
        <v>10370</v>
      </c>
      <c r="D1012" s="1">
        <f>IF(Tabela1[[#This Row],[promien]]&lt;40000,1,0)</f>
        <v>1</v>
      </c>
      <c r="E1012" s="1">
        <f>IF(Tabela1[[#This Row],[promien]]=40000,1,0)</f>
        <v>0</v>
      </c>
      <c r="F1012" s="1">
        <v>3.2252964426877471</v>
      </c>
      <c r="G1012" s="1">
        <v>8.3703789097953951E-2</v>
      </c>
    </row>
    <row r="1013" spans="1:7">
      <c r="A1013">
        <v>372</v>
      </c>
      <c r="B1013">
        <v>31</v>
      </c>
      <c r="C1013" s="1">
        <f>(Tabela1[[#This Row],[x]]-H$3)*(Tabela1[[#This Row],[x]]-H$3) +(Tabela1[[#This Row],[y]]-H$4)*(Tabela1[[#This Row],[y]]-H$4)</f>
        <v>58145</v>
      </c>
      <c r="D1013" s="1">
        <f>IF(Tabela1[[#This Row],[promien]]&lt;40000,1,0)</f>
        <v>0</v>
      </c>
      <c r="E1013" s="1">
        <f>IF(Tabela1[[#This Row],[promien]]=40000,1,0)</f>
        <v>0</v>
      </c>
      <c r="F1013" s="1">
        <v>3.2221125370187562</v>
      </c>
      <c r="G1013" s="1">
        <v>8.0519883428963102E-2</v>
      </c>
    </row>
    <row r="1014" spans="1:7">
      <c r="A1014">
        <v>255</v>
      </c>
      <c r="B1014">
        <v>37</v>
      </c>
      <c r="C1014" s="1">
        <f>(Tabela1[[#This Row],[x]]-H$3)*(Tabela1[[#This Row],[x]]-H$3) +(Tabela1[[#This Row],[y]]-H$4)*(Tabela1[[#This Row],[y]]-H$4)</f>
        <v>29594</v>
      </c>
      <c r="D1014" s="1">
        <f>IF(Tabela1[[#This Row],[promien]]&lt;40000,1,0)</f>
        <v>1</v>
      </c>
      <c r="E1014" s="1">
        <f>IF(Tabela1[[#This Row],[promien]]=40000,1,0)</f>
        <v>0</v>
      </c>
      <c r="F1014" s="1">
        <v>3.222879684418146</v>
      </c>
      <c r="G1014" s="1">
        <v>8.1287030828352869E-2</v>
      </c>
    </row>
    <row r="1015" spans="1:7">
      <c r="A1015">
        <v>379</v>
      </c>
      <c r="B1015">
        <v>398</v>
      </c>
      <c r="C1015" s="1">
        <f>(Tabela1[[#This Row],[x]]-H$3)*(Tabela1[[#This Row],[x]]-H$3) +(Tabela1[[#This Row],[y]]-H$4)*(Tabela1[[#This Row],[y]]-H$4)</f>
        <v>71245</v>
      </c>
      <c r="D1015" s="1">
        <f>IF(Tabela1[[#This Row],[promien]]&lt;40000,1,0)</f>
        <v>0</v>
      </c>
      <c r="E1015" s="1">
        <f>IF(Tabela1[[#This Row],[promien]]=40000,1,0)</f>
        <v>0</v>
      </c>
      <c r="F1015" s="1">
        <v>3.2197044334975371</v>
      </c>
      <c r="G1015" s="1">
        <v>7.8111779907743983E-2</v>
      </c>
    </row>
    <row r="1016" spans="1:7">
      <c r="A1016">
        <v>290</v>
      </c>
      <c r="B1016">
        <v>178</v>
      </c>
      <c r="C1016" s="1">
        <f>(Tabela1[[#This Row],[x]]-H$3)*(Tabela1[[#This Row],[x]]-H$3) +(Tabela1[[#This Row],[y]]-H$4)*(Tabela1[[#This Row],[y]]-H$4)</f>
        <v>8584</v>
      </c>
      <c r="D1016" s="1">
        <f>IF(Tabela1[[#This Row],[promien]]&lt;40000,1,0)</f>
        <v>1</v>
      </c>
      <c r="E1016" s="1">
        <f>IF(Tabela1[[#This Row],[promien]]=40000,1,0)</f>
        <v>0</v>
      </c>
      <c r="F1016" s="1">
        <v>3.2204724409448819</v>
      </c>
      <c r="G1016" s="1">
        <v>7.8879787355088826E-2</v>
      </c>
    </row>
    <row r="1017" spans="1:7">
      <c r="A1017">
        <v>206</v>
      </c>
      <c r="B1017">
        <v>142</v>
      </c>
      <c r="C1017" s="1">
        <f>(Tabela1[[#This Row],[x]]-H$3)*(Tabela1[[#This Row],[x]]-H$3) +(Tabela1[[#This Row],[y]]-H$4)*(Tabela1[[#This Row],[y]]-H$4)</f>
        <v>3400</v>
      </c>
      <c r="D1017" s="1">
        <f>IF(Tabela1[[#This Row],[promien]]&lt;40000,1,0)</f>
        <v>1</v>
      </c>
      <c r="E1017" s="1">
        <f>IF(Tabela1[[#This Row],[promien]]=40000,1,0)</f>
        <v>0</v>
      </c>
      <c r="F1017" s="1">
        <v>3.2212389380530975</v>
      </c>
      <c r="G1017" s="1">
        <v>7.9646284463304351E-2</v>
      </c>
    </row>
    <row r="1018" spans="1:7">
      <c r="A1018">
        <v>387</v>
      </c>
      <c r="B1018">
        <v>195</v>
      </c>
      <c r="C1018" s="1">
        <f>(Tabela1[[#This Row],[x]]-H$3)*(Tabela1[[#This Row],[x]]-H$3) +(Tabela1[[#This Row],[y]]-H$4)*(Tabela1[[#This Row],[y]]-H$4)</f>
        <v>34994</v>
      </c>
      <c r="D1018" s="1">
        <f>IF(Tabela1[[#This Row],[promien]]&lt;40000,1,0)</f>
        <v>1</v>
      </c>
      <c r="E1018" s="1">
        <f>IF(Tabela1[[#This Row],[promien]]=40000,1,0)</f>
        <v>0</v>
      </c>
      <c r="F1018" s="1">
        <v>3.2220039292730847</v>
      </c>
      <c r="G1018" s="1">
        <v>8.0411275683291539E-2</v>
      </c>
    </row>
    <row r="1019" spans="1:7">
      <c r="A1019">
        <v>316</v>
      </c>
      <c r="B1019">
        <v>38</v>
      </c>
      <c r="C1019" s="1">
        <f>(Tabela1[[#This Row],[x]]-H$3)*(Tabela1[[#This Row],[x]]-H$3) +(Tabela1[[#This Row],[y]]-H$4)*(Tabela1[[#This Row],[y]]-H$4)</f>
        <v>39700</v>
      </c>
      <c r="D1019" s="1">
        <f>IF(Tabela1[[#This Row],[promien]]&lt;40000,1,0)</f>
        <v>1</v>
      </c>
      <c r="E1019" s="1">
        <f>IF(Tabela1[[#This Row],[promien]]=40000,1,0)</f>
        <v>0</v>
      </c>
      <c r="F1019" s="1">
        <v>3.2227674190382727</v>
      </c>
      <c r="G1019" s="1">
        <v>8.1174765448479569E-2</v>
      </c>
    </row>
    <row r="1020" spans="1:7">
      <c r="A1020">
        <v>352</v>
      </c>
      <c r="B1020">
        <v>219</v>
      </c>
      <c r="C1020" s="1">
        <f>(Tabela1[[#This Row],[x]]-H$3)*(Tabela1[[#This Row],[x]]-H$3) +(Tabela1[[#This Row],[y]]-H$4)*(Tabela1[[#This Row],[y]]-H$4)</f>
        <v>23465</v>
      </c>
      <c r="D1020" s="1">
        <f>IF(Tabela1[[#This Row],[promien]]&lt;40000,1,0)</f>
        <v>1</v>
      </c>
      <c r="E1020" s="1">
        <f>IF(Tabela1[[#This Row],[promien]]=40000,1,0)</f>
        <v>0</v>
      </c>
      <c r="F1020" s="1">
        <v>3.223529411764706</v>
      </c>
      <c r="G1020" s="1">
        <v>8.193675817491286E-2</v>
      </c>
    </row>
    <row r="1021" spans="1:7">
      <c r="A1021">
        <v>271</v>
      </c>
      <c r="B1021">
        <v>22</v>
      </c>
      <c r="C1021" s="1">
        <f>(Tabela1[[#This Row],[x]]-H$3)*(Tabela1[[#This Row],[x]]-H$3) +(Tabela1[[#This Row],[y]]-H$4)*(Tabela1[[#This Row],[y]]-H$4)</f>
        <v>36725</v>
      </c>
      <c r="D1021" s="1">
        <f>IF(Tabela1[[#This Row],[promien]]&lt;40000,1,0)</f>
        <v>1</v>
      </c>
      <c r="E1021" s="1">
        <f>IF(Tabela1[[#This Row],[promien]]=40000,1,0)</f>
        <v>0</v>
      </c>
      <c r="F1021" s="1">
        <v>3.2242899118511263</v>
      </c>
      <c r="G1021" s="1">
        <v>8.2697258261333229E-2</v>
      </c>
    </row>
    <row r="1022" spans="1:7">
      <c r="A1022">
        <v>152</v>
      </c>
      <c r="B1022">
        <v>352</v>
      </c>
      <c r="C1022" s="1">
        <f>(Tabela1[[#This Row],[x]]-H$3)*(Tabela1[[#This Row],[x]]-H$3) +(Tabela1[[#This Row],[y]]-H$4)*(Tabela1[[#This Row],[y]]-H$4)</f>
        <v>25408</v>
      </c>
      <c r="D1022" s="1">
        <f>IF(Tabela1[[#This Row],[promien]]&lt;40000,1,0)</f>
        <v>1</v>
      </c>
      <c r="E1022" s="1">
        <f>IF(Tabela1[[#This Row],[promien]]=40000,1,0)</f>
        <v>0</v>
      </c>
      <c r="F1022" s="1">
        <v>3.2250489236790605</v>
      </c>
      <c r="G1022" s="1">
        <v>8.345627008926737E-2</v>
      </c>
    </row>
    <row r="1023" spans="1:7">
      <c r="A1023">
        <v>92</v>
      </c>
      <c r="B1023">
        <v>270</v>
      </c>
      <c r="C1023" s="1">
        <f>(Tabela1[[#This Row],[x]]-H$3)*(Tabela1[[#This Row],[x]]-H$3) +(Tabela1[[#This Row],[y]]-H$4)*(Tabela1[[#This Row],[y]]-H$4)</f>
        <v>16564</v>
      </c>
      <c r="D1023" s="1">
        <f>IF(Tabela1[[#This Row],[promien]]&lt;40000,1,0)</f>
        <v>1</v>
      </c>
      <c r="E1023" s="1">
        <f>IF(Tabela1[[#This Row],[promien]]=40000,1,0)</f>
        <v>0</v>
      </c>
      <c r="F1023" s="1">
        <v>3.225806451612903</v>
      </c>
      <c r="G1023" s="1">
        <v>8.4213798023109909E-2</v>
      </c>
    </row>
    <row r="1024" spans="1:7">
      <c r="A1024">
        <v>116</v>
      </c>
      <c r="B1024">
        <v>268</v>
      </c>
      <c r="C1024" s="1">
        <f>(Tabela1[[#This Row],[x]]-H$3)*(Tabela1[[#This Row],[x]]-H$3) +(Tabela1[[#This Row],[y]]-H$4)*(Tabela1[[#This Row],[y]]-H$4)</f>
        <v>11680</v>
      </c>
      <c r="D1024" s="1">
        <f>IF(Tabela1[[#This Row],[promien]]&lt;40000,1,0)</f>
        <v>1</v>
      </c>
      <c r="E1024" s="1">
        <f>IF(Tabela1[[#This Row],[promien]]=40000,1,0)</f>
        <v>0</v>
      </c>
      <c r="F1024" s="1">
        <v>3.2265625</v>
      </c>
      <c r="G1024" s="1">
        <v>8.4969846410206884E-2</v>
      </c>
    </row>
    <row r="1025" spans="1:7">
      <c r="A1025">
        <v>40</v>
      </c>
      <c r="B1025">
        <v>314</v>
      </c>
      <c r="C1025" s="1">
        <f>(Tabela1[[#This Row],[x]]-H$3)*(Tabela1[[#This Row],[x]]-H$3) +(Tabela1[[#This Row],[y]]-H$4)*(Tabela1[[#This Row],[y]]-H$4)</f>
        <v>38596</v>
      </c>
      <c r="D1025" s="1">
        <f>IF(Tabela1[[#This Row],[promien]]&lt;40000,1,0)</f>
        <v>1</v>
      </c>
      <c r="E1025" s="1">
        <f>IF(Tabela1[[#This Row],[promien]]=40000,1,0)</f>
        <v>0</v>
      </c>
      <c r="F1025" s="1">
        <v>3.2273170731707319</v>
      </c>
      <c r="G1025" s="1">
        <v>8.5724419580938793E-2</v>
      </c>
    </row>
    <row r="1026" spans="1:7">
      <c r="A1026">
        <v>387</v>
      </c>
      <c r="B1026">
        <v>320</v>
      </c>
      <c r="C1026" s="1">
        <f>(Tabela1[[#This Row],[x]]-H$3)*(Tabela1[[#This Row],[x]]-H$3) +(Tabela1[[#This Row],[y]]-H$4)*(Tabela1[[#This Row],[y]]-H$4)</f>
        <v>49369</v>
      </c>
      <c r="D1026" s="1">
        <f>IF(Tabela1[[#This Row],[promien]]&lt;40000,1,0)</f>
        <v>0</v>
      </c>
      <c r="E1026" s="1">
        <f>IF(Tabela1[[#This Row],[promien]]=40000,1,0)</f>
        <v>0</v>
      </c>
      <c r="F1026" s="1">
        <v>3.2241715399610138</v>
      </c>
      <c r="G1026" s="1">
        <v>8.2578886371220683E-2</v>
      </c>
    </row>
    <row r="1027" spans="1:7">
      <c r="A1027">
        <v>340</v>
      </c>
      <c r="B1027">
        <v>139</v>
      </c>
      <c r="C1027" s="1">
        <f>(Tabela1[[#This Row],[x]]-H$3)*(Tabela1[[#This Row],[x]]-H$3) +(Tabela1[[#This Row],[y]]-H$4)*(Tabela1[[#This Row],[y]]-H$4)</f>
        <v>23321</v>
      </c>
      <c r="D1027" s="1">
        <f>IF(Tabela1[[#This Row],[promien]]&lt;40000,1,0)</f>
        <v>1</v>
      </c>
      <c r="E1027" s="1">
        <f>IF(Tabela1[[#This Row],[promien]]=40000,1,0)</f>
        <v>0</v>
      </c>
      <c r="F1027" s="1">
        <v>3.2249269717624149</v>
      </c>
      <c r="G1027" s="1">
        <v>8.3334318172621824E-2</v>
      </c>
    </row>
    <row r="1028" spans="1:7">
      <c r="A1028">
        <v>82</v>
      </c>
      <c r="B1028">
        <v>131</v>
      </c>
      <c r="C1028" s="1">
        <f>(Tabela1[[#This Row],[x]]-H$3)*(Tabela1[[#This Row],[x]]-H$3) +(Tabela1[[#This Row],[y]]-H$4)*(Tabela1[[#This Row],[y]]-H$4)</f>
        <v>18685</v>
      </c>
      <c r="D1028" s="1">
        <f>IF(Tabela1[[#This Row],[promien]]&lt;40000,1,0)</f>
        <v>1</v>
      </c>
      <c r="E1028" s="1">
        <f>IF(Tabela1[[#This Row],[promien]]=40000,1,0)</f>
        <v>0</v>
      </c>
      <c r="F1028" s="1">
        <v>3.2256809338521402</v>
      </c>
      <c r="G1028" s="1">
        <v>8.4088280262347048E-2</v>
      </c>
    </row>
    <row r="1029" spans="1:7">
      <c r="A1029">
        <v>65</v>
      </c>
      <c r="B1029">
        <v>176</v>
      </c>
      <c r="C1029" s="1">
        <f>(Tabela1[[#This Row],[x]]-H$3)*(Tabela1[[#This Row],[x]]-H$3) +(Tabela1[[#This Row],[y]]-H$4)*(Tabela1[[#This Row],[y]]-H$4)</f>
        <v>18801</v>
      </c>
      <c r="D1029" s="1">
        <f>IF(Tabela1[[#This Row],[promien]]&lt;40000,1,0)</f>
        <v>1</v>
      </c>
      <c r="E1029" s="1">
        <f>IF(Tabela1[[#This Row],[promien]]=40000,1,0)</f>
        <v>0</v>
      </c>
      <c r="F1029" s="1">
        <v>3.2264334305150633</v>
      </c>
      <c r="G1029" s="1">
        <v>8.4840776925270145E-2</v>
      </c>
    </row>
    <row r="1030" spans="1:7">
      <c r="A1030">
        <v>126</v>
      </c>
      <c r="B1030">
        <v>30</v>
      </c>
      <c r="C1030" s="1">
        <f>(Tabela1[[#This Row],[x]]-H$3)*(Tabela1[[#This Row],[x]]-H$3) +(Tabela1[[#This Row],[y]]-H$4)*(Tabela1[[#This Row],[y]]-H$4)</f>
        <v>34376</v>
      </c>
      <c r="D1030" s="1">
        <f>IF(Tabela1[[#This Row],[promien]]&lt;40000,1,0)</f>
        <v>1</v>
      </c>
      <c r="E1030" s="1">
        <f>IF(Tabela1[[#This Row],[promien]]=40000,1,0)</f>
        <v>0</v>
      </c>
      <c r="F1030" s="1">
        <v>3.2271844660194176</v>
      </c>
      <c r="G1030" s="1">
        <v>8.5591812429624436E-2</v>
      </c>
    </row>
    <row r="1031" spans="1:7">
      <c r="A1031">
        <v>98</v>
      </c>
      <c r="B1031">
        <v>102</v>
      </c>
      <c r="C1031" s="1">
        <f>(Tabela1[[#This Row],[x]]-H$3)*(Tabela1[[#This Row],[x]]-H$3) +(Tabela1[[#This Row],[y]]-H$4)*(Tabela1[[#This Row],[y]]-H$4)</f>
        <v>20008</v>
      </c>
      <c r="D1031" s="1">
        <f>IF(Tabela1[[#This Row],[promien]]&lt;40000,1,0)</f>
        <v>1</v>
      </c>
      <c r="E1031" s="1">
        <f>IF(Tabela1[[#This Row],[promien]]=40000,1,0)</f>
        <v>0</v>
      </c>
      <c r="F1031" s="1">
        <v>3.2279340446168767</v>
      </c>
      <c r="G1031" s="1">
        <v>8.6341391027083603E-2</v>
      </c>
    </row>
    <row r="1032" spans="1:7">
      <c r="A1032">
        <v>82</v>
      </c>
      <c r="B1032">
        <v>170</v>
      </c>
      <c r="C1032" s="1">
        <f>(Tabela1[[#This Row],[x]]-H$3)*(Tabela1[[#This Row],[x]]-H$3) +(Tabela1[[#This Row],[y]]-H$4)*(Tabela1[[#This Row],[y]]-H$4)</f>
        <v>14824</v>
      </c>
      <c r="D1032" s="1">
        <f>IF(Tabela1[[#This Row],[promien]]&lt;40000,1,0)</f>
        <v>1</v>
      </c>
      <c r="E1032" s="1">
        <f>IF(Tabela1[[#This Row],[promien]]=40000,1,0)</f>
        <v>0</v>
      </c>
      <c r="F1032" s="1">
        <v>3.2286821705426356</v>
      </c>
      <c r="G1032" s="1">
        <v>8.7089516952842505E-2</v>
      </c>
    </row>
    <row r="1033" spans="1:7">
      <c r="A1033">
        <v>146</v>
      </c>
      <c r="B1033">
        <v>116</v>
      </c>
      <c r="C1033" s="1">
        <f>(Tabela1[[#This Row],[x]]-H$3)*(Tabela1[[#This Row],[x]]-H$3) +(Tabela1[[#This Row],[y]]-H$4)*(Tabela1[[#This Row],[y]]-H$4)</f>
        <v>9972</v>
      </c>
      <c r="D1033" s="1">
        <f>IF(Tabela1[[#This Row],[promien]]&lt;40000,1,0)</f>
        <v>1</v>
      </c>
      <c r="E1033" s="1">
        <f>IF(Tabela1[[#This Row],[promien]]=40000,1,0)</f>
        <v>0</v>
      </c>
      <c r="F1033" s="1">
        <v>3.2294288480154889</v>
      </c>
      <c r="G1033" s="1">
        <v>8.783619442569579E-2</v>
      </c>
    </row>
    <row r="1034" spans="1:7">
      <c r="A1034">
        <v>195</v>
      </c>
      <c r="B1034">
        <v>161</v>
      </c>
      <c r="C1034" s="1">
        <f>(Tabela1[[#This Row],[x]]-H$3)*(Tabela1[[#This Row],[x]]-H$3) +(Tabela1[[#This Row],[y]]-H$4)*(Tabela1[[#This Row],[y]]-H$4)</f>
        <v>1546</v>
      </c>
      <c r="D1034" s="1">
        <f>IF(Tabela1[[#This Row],[promien]]&lt;40000,1,0)</f>
        <v>1</v>
      </c>
      <c r="E1034" s="1">
        <f>IF(Tabela1[[#This Row],[promien]]=40000,1,0)</f>
        <v>0</v>
      </c>
      <c r="F1034" s="1">
        <v>3.2301740812379109</v>
      </c>
      <c r="G1034" s="1">
        <v>8.8581427648117828E-2</v>
      </c>
    </row>
    <row r="1035" spans="1:7">
      <c r="A1035">
        <v>241</v>
      </c>
      <c r="B1035">
        <v>118</v>
      </c>
      <c r="C1035" s="1">
        <f>(Tabela1[[#This Row],[x]]-H$3)*(Tabela1[[#This Row],[x]]-H$3) +(Tabela1[[#This Row],[y]]-H$4)*(Tabela1[[#This Row],[y]]-H$4)</f>
        <v>8405</v>
      </c>
      <c r="D1035" s="1">
        <f>IF(Tabela1[[#This Row],[promien]]&lt;40000,1,0)</f>
        <v>1</v>
      </c>
      <c r="E1035" s="1">
        <f>IF(Tabela1[[#This Row],[promien]]=40000,1,0)</f>
        <v>0</v>
      </c>
      <c r="F1035" s="1">
        <v>3.2309178743961353</v>
      </c>
      <c r="G1035" s="1">
        <v>8.9325220806342198E-2</v>
      </c>
    </row>
    <row r="1036" spans="1:7">
      <c r="A1036">
        <v>116</v>
      </c>
      <c r="B1036">
        <v>221</v>
      </c>
      <c r="C1036" s="1">
        <f>(Tabela1[[#This Row],[x]]-H$3)*(Tabela1[[#This Row],[x]]-H$3) +(Tabela1[[#This Row],[y]]-H$4)*(Tabela1[[#This Row],[y]]-H$4)</f>
        <v>7497</v>
      </c>
      <c r="D1036" s="1">
        <f>IF(Tabela1[[#This Row],[promien]]&lt;40000,1,0)</f>
        <v>1</v>
      </c>
      <c r="E1036" s="1">
        <f>IF(Tabela1[[#This Row],[promien]]=40000,1,0)</f>
        <v>0</v>
      </c>
      <c r="F1036" s="1">
        <v>3.2316602316602316</v>
      </c>
      <c r="G1036" s="1">
        <v>9.0067578070438525E-2</v>
      </c>
    </row>
    <row r="1037" spans="1:7">
      <c r="A1037">
        <v>199</v>
      </c>
      <c r="B1037">
        <v>204</v>
      </c>
      <c r="C1037" s="1">
        <f>(Tabela1[[#This Row],[x]]-H$3)*(Tabela1[[#This Row],[x]]-H$3) +(Tabela1[[#This Row],[y]]-H$4)*(Tabela1[[#This Row],[y]]-H$4)</f>
        <v>17</v>
      </c>
      <c r="D1037" s="1">
        <f>IF(Tabela1[[#This Row],[promien]]&lt;40000,1,0)</f>
        <v>1</v>
      </c>
      <c r="E1037" s="1">
        <f>IF(Tabela1[[#This Row],[promien]]=40000,1,0)</f>
        <v>0</v>
      </c>
      <c r="F1037" s="1">
        <v>3.2324011571841851</v>
      </c>
      <c r="G1037" s="1">
        <v>9.0808503594391965E-2</v>
      </c>
    </row>
    <row r="1038" spans="1:7">
      <c r="A1038">
        <v>8</v>
      </c>
      <c r="B1038">
        <v>185</v>
      </c>
      <c r="C1038" s="1">
        <f>(Tabela1[[#This Row],[x]]-H$3)*(Tabela1[[#This Row],[x]]-H$3) +(Tabela1[[#This Row],[y]]-H$4)*(Tabela1[[#This Row],[y]]-H$4)</f>
        <v>37089</v>
      </c>
      <c r="D1038" s="1">
        <f>IF(Tabela1[[#This Row],[promien]]&lt;40000,1,0)</f>
        <v>1</v>
      </c>
      <c r="E1038" s="1">
        <f>IF(Tabela1[[#This Row],[promien]]=40000,1,0)</f>
        <v>0</v>
      </c>
      <c r="F1038" s="1">
        <v>3.2331406551059731</v>
      </c>
      <c r="G1038" s="1">
        <v>9.1548001516180033E-2</v>
      </c>
    </row>
    <row r="1039" spans="1:7">
      <c r="A1039">
        <v>348</v>
      </c>
      <c r="B1039">
        <v>191</v>
      </c>
      <c r="C1039" s="1">
        <f>(Tabela1[[#This Row],[x]]-H$3)*(Tabela1[[#This Row],[x]]-H$3) +(Tabela1[[#This Row],[y]]-H$4)*(Tabela1[[#This Row],[y]]-H$4)</f>
        <v>21985</v>
      </c>
      <c r="D1039" s="1">
        <f>IF(Tabela1[[#This Row],[promien]]&lt;40000,1,0)</f>
        <v>1</v>
      </c>
      <c r="E1039" s="1">
        <f>IF(Tabela1[[#This Row],[promien]]=40000,1,0)</f>
        <v>0</v>
      </c>
      <c r="F1039" s="1">
        <v>3.2338787295476421</v>
      </c>
      <c r="G1039" s="1">
        <v>9.228607595784899E-2</v>
      </c>
    </row>
    <row r="1040" spans="1:7">
      <c r="A1040">
        <v>156</v>
      </c>
      <c r="B1040">
        <v>106</v>
      </c>
      <c r="C1040" s="1">
        <f>(Tabela1[[#This Row],[x]]-H$3)*(Tabela1[[#This Row],[x]]-H$3) +(Tabela1[[#This Row],[y]]-H$4)*(Tabela1[[#This Row],[y]]-H$4)</f>
        <v>10772</v>
      </c>
      <c r="D1040" s="1">
        <f>IF(Tabela1[[#This Row],[promien]]&lt;40000,1,0)</f>
        <v>1</v>
      </c>
      <c r="E1040" s="1">
        <f>IF(Tabela1[[#This Row],[promien]]=40000,1,0)</f>
        <v>0</v>
      </c>
      <c r="F1040" s="1">
        <v>3.2346153846153847</v>
      </c>
      <c r="G1040" s="1">
        <v>9.3022731025591554E-2</v>
      </c>
    </row>
    <row r="1041" spans="1:7">
      <c r="A1041">
        <v>93</v>
      </c>
      <c r="B1041">
        <v>173</v>
      </c>
      <c r="C1041" s="1">
        <f>(Tabela1[[#This Row],[x]]-H$3)*(Tabela1[[#This Row],[x]]-H$3) +(Tabela1[[#This Row],[y]]-H$4)*(Tabela1[[#This Row],[y]]-H$4)</f>
        <v>12178</v>
      </c>
      <c r="D1041" s="1">
        <f>IF(Tabela1[[#This Row],[promien]]&lt;40000,1,0)</f>
        <v>1</v>
      </c>
      <c r="E1041" s="1">
        <f>IF(Tabela1[[#This Row],[promien]]=40000,1,0)</f>
        <v>0</v>
      </c>
      <c r="F1041" s="1">
        <v>3.235350624399616</v>
      </c>
      <c r="G1041" s="1">
        <v>9.3757970809822844E-2</v>
      </c>
    </row>
    <row r="1042" spans="1:7">
      <c r="A1042">
        <v>336</v>
      </c>
      <c r="B1042">
        <v>88</v>
      </c>
      <c r="C1042" s="1">
        <f>(Tabela1[[#This Row],[x]]-H$3)*(Tabela1[[#This Row],[x]]-H$3) +(Tabela1[[#This Row],[y]]-H$4)*(Tabela1[[#This Row],[y]]-H$4)</f>
        <v>31040</v>
      </c>
      <c r="D1042" s="1">
        <f>IF(Tabela1[[#This Row],[promien]]&lt;40000,1,0)</f>
        <v>1</v>
      </c>
      <c r="E1042" s="1">
        <f>IF(Tabela1[[#This Row],[promien]]=40000,1,0)</f>
        <v>0</v>
      </c>
      <c r="F1042" s="1">
        <v>3.2360844529750481</v>
      </c>
      <c r="G1042" s="1">
        <v>9.4491799385254982E-2</v>
      </c>
    </row>
    <row r="1043" spans="1:7">
      <c r="A1043">
        <v>13</v>
      </c>
      <c r="B1043">
        <v>344</v>
      </c>
      <c r="C1043" s="1">
        <f>(Tabela1[[#This Row],[x]]-H$3)*(Tabela1[[#This Row],[x]]-H$3) +(Tabela1[[#This Row],[y]]-H$4)*(Tabela1[[#This Row],[y]]-H$4)</f>
        <v>55705</v>
      </c>
      <c r="D1043" s="1">
        <f>IF(Tabela1[[#This Row],[promien]]&lt;40000,1,0)</f>
        <v>0</v>
      </c>
      <c r="E1043" s="1">
        <f>IF(Tabela1[[#This Row],[promien]]=40000,1,0)</f>
        <v>0</v>
      </c>
      <c r="F1043" s="1">
        <v>3.2329817833173538</v>
      </c>
      <c r="G1043" s="1">
        <v>9.1389129727560636E-2</v>
      </c>
    </row>
    <row r="1044" spans="1:7">
      <c r="A1044">
        <v>364</v>
      </c>
      <c r="B1044">
        <v>163</v>
      </c>
      <c r="C1044" s="1">
        <f>(Tabela1[[#This Row],[x]]-H$3)*(Tabela1[[#This Row],[x]]-H$3) +(Tabela1[[#This Row],[y]]-H$4)*(Tabela1[[#This Row],[y]]-H$4)</f>
        <v>28265</v>
      </c>
      <c r="D1044" s="1">
        <f>IF(Tabela1[[#This Row],[promien]]&lt;40000,1,0)</f>
        <v>1</v>
      </c>
      <c r="E1044" s="1">
        <f>IF(Tabela1[[#This Row],[promien]]=40000,1,0)</f>
        <v>0</v>
      </c>
      <c r="F1044" s="1">
        <v>3.2337164750957856</v>
      </c>
      <c r="G1044" s="1">
        <v>9.212382150599252E-2</v>
      </c>
    </row>
    <row r="1045" spans="1:7">
      <c r="A1045">
        <v>379</v>
      </c>
      <c r="B1045">
        <v>64</v>
      </c>
      <c r="C1045" s="1">
        <f>(Tabela1[[#This Row],[x]]-H$3)*(Tabela1[[#This Row],[x]]-H$3) +(Tabela1[[#This Row],[y]]-H$4)*(Tabela1[[#This Row],[y]]-H$4)</f>
        <v>50537</v>
      </c>
      <c r="D1045" s="1">
        <f>IF(Tabela1[[#This Row],[promien]]&lt;40000,1,0)</f>
        <v>0</v>
      </c>
      <c r="E1045" s="1">
        <f>IF(Tabela1[[#This Row],[promien]]=40000,1,0)</f>
        <v>0</v>
      </c>
      <c r="F1045" s="1">
        <v>3.2306220095693781</v>
      </c>
      <c r="G1045" s="1">
        <v>8.9029355979584945E-2</v>
      </c>
    </row>
    <row r="1046" spans="1:7">
      <c r="A1046">
        <v>144</v>
      </c>
      <c r="B1046">
        <v>297</v>
      </c>
      <c r="C1046" s="1">
        <f>(Tabela1[[#This Row],[x]]-H$3)*(Tabela1[[#This Row],[x]]-H$3) +(Tabela1[[#This Row],[y]]-H$4)*(Tabela1[[#This Row],[y]]-H$4)</f>
        <v>12545</v>
      </c>
      <c r="D1046" s="1">
        <f>IF(Tabela1[[#This Row],[promien]]&lt;40000,1,0)</f>
        <v>1</v>
      </c>
      <c r="E1046" s="1">
        <f>IF(Tabela1[[#This Row],[promien]]=40000,1,0)</f>
        <v>0</v>
      </c>
      <c r="F1046" s="1">
        <v>3.2313575525812621</v>
      </c>
      <c r="G1046" s="1">
        <v>8.9764898991469E-2</v>
      </c>
    </row>
    <row r="1047" spans="1:7">
      <c r="A1047">
        <v>159</v>
      </c>
      <c r="B1047">
        <v>321</v>
      </c>
      <c r="C1047" s="1">
        <f>(Tabela1[[#This Row],[x]]-H$3)*(Tabela1[[#This Row],[x]]-H$3) +(Tabela1[[#This Row],[y]]-H$4)*(Tabela1[[#This Row],[y]]-H$4)</f>
        <v>16322</v>
      </c>
      <c r="D1047" s="1">
        <f>IF(Tabela1[[#This Row],[promien]]&lt;40000,1,0)</f>
        <v>1</v>
      </c>
      <c r="E1047" s="1">
        <f>IF(Tabela1[[#This Row],[promien]]=40000,1,0)</f>
        <v>0</v>
      </c>
      <c r="F1047" s="1">
        <v>3.2320916905444128</v>
      </c>
      <c r="G1047" s="1">
        <v>9.0499036954619694E-2</v>
      </c>
    </row>
    <row r="1048" spans="1:7">
      <c r="A1048">
        <v>5</v>
      </c>
      <c r="B1048">
        <v>121</v>
      </c>
      <c r="C1048" s="1">
        <f>(Tabela1[[#This Row],[x]]-H$3)*(Tabela1[[#This Row],[x]]-H$3) +(Tabela1[[#This Row],[y]]-H$4)*(Tabela1[[#This Row],[y]]-H$4)</f>
        <v>44266</v>
      </c>
      <c r="D1048" s="1">
        <f>IF(Tabela1[[#This Row],[promien]]&lt;40000,1,0)</f>
        <v>0</v>
      </c>
      <c r="E1048" s="1">
        <f>IF(Tabela1[[#This Row],[promien]]=40000,1,0)</f>
        <v>0</v>
      </c>
      <c r="F1048" s="1">
        <v>3.2290076335877864</v>
      </c>
      <c r="G1048" s="1">
        <v>8.7414979997993303E-2</v>
      </c>
    </row>
    <row r="1049" spans="1:7">
      <c r="A1049">
        <v>278</v>
      </c>
      <c r="B1049">
        <v>70</v>
      </c>
      <c r="C1049" s="1">
        <f>(Tabela1[[#This Row],[x]]-H$3)*(Tabela1[[#This Row],[x]]-H$3) +(Tabela1[[#This Row],[y]]-H$4)*(Tabela1[[#This Row],[y]]-H$4)</f>
        <v>22984</v>
      </c>
      <c r="D1049" s="1">
        <f>IF(Tabela1[[#This Row],[promien]]&lt;40000,1,0)</f>
        <v>1</v>
      </c>
      <c r="E1049" s="1">
        <f>IF(Tabela1[[#This Row],[promien]]=40000,1,0)</f>
        <v>0</v>
      </c>
      <c r="F1049" s="1">
        <v>3.2297426120114396</v>
      </c>
      <c r="G1049" s="1">
        <v>8.8149958421646524E-2</v>
      </c>
    </row>
    <row r="1050" spans="1:7">
      <c r="A1050">
        <v>168</v>
      </c>
      <c r="B1050">
        <v>148</v>
      </c>
      <c r="C1050" s="1">
        <f>(Tabela1[[#This Row],[x]]-H$3)*(Tabela1[[#This Row],[x]]-H$3) +(Tabela1[[#This Row],[y]]-H$4)*(Tabela1[[#This Row],[y]]-H$4)</f>
        <v>3728</v>
      </c>
      <c r="D1050" s="1">
        <f>IF(Tabela1[[#This Row],[promien]]&lt;40000,1,0)</f>
        <v>1</v>
      </c>
      <c r="E1050" s="1">
        <f>IF(Tabela1[[#This Row],[promien]]=40000,1,0)</f>
        <v>0</v>
      </c>
      <c r="F1050" s="1">
        <v>3.2304761904761903</v>
      </c>
      <c r="G1050" s="1">
        <v>8.8883536886397163E-2</v>
      </c>
    </row>
    <row r="1051" spans="1:7">
      <c r="A1051">
        <v>9</v>
      </c>
      <c r="B1051">
        <v>177</v>
      </c>
      <c r="C1051" s="1">
        <f>(Tabela1[[#This Row],[x]]-H$3)*(Tabela1[[#This Row],[x]]-H$3) +(Tabela1[[#This Row],[y]]-H$4)*(Tabela1[[#This Row],[y]]-H$4)</f>
        <v>37010</v>
      </c>
      <c r="D1051" s="1">
        <f>IF(Tabela1[[#This Row],[promien]]&lt;40000,1,0)</f>
        <v>1</v>
      </c>
      <c r="E1051" s="1">
        <f>IF(Tabela1[[#This Row],[promien]]=40000,1,0)</f>
        <v>0</v>
      </c>
      <c r="F1051" s="1">
        <v>3.231208372978116</v>
      </c>
      <c r="G1051" s="1">
        <v>8.9615719388322912E-2</v>
      </c>
    </row>
    <row r="1052" spans="1:7">
      <c r="A1052">
        <v>64</v>
      </c>
      <c r="B1052">
        <v>120</v>
      </c>
      <c r="C1052" s="1">
        <f>(Tabela1[[#This Row],[x]]-H$3)*(Tabela1[[#This Row],[x]]-H$3) +(Tabela1[[#This Row],[y]]-H$4)*(Tabela1[[#This Row],[y]]-H$4)</f>
        <v>24896</v>
      </c>
      <c r="D1052" s="1">
        <f>IF(Tabela1[[#This Row],[promien]]&lt;40000,1,0)</f>
        <v>1</v>
      </c>
      <c r="E1052" s="1">
        <f>IF(Tabela1[[#This Row],[promien]]=40000,1,0)</f>
        <v>0</v>
      </c>
      <c r="F1052" s="1">
        <v>3.2319391634980987</v>
      </c>
      <c r="G1052" s="1">
        <v>9.0346509908305617E-2</v>
      </c>
    </row>
    <row r="1053" spans="1:7">
      <c r="A1053">
        <v>65</v>
      </c>
      <c r="B1053">
        <v>260</v>
      </c>
      <c r="C1053" s="1">
        <f>(Tabela1[[#This Row],[x]]-H$3)*(Tabela1[[#This Row],[x]]-H$3) +(Tabela1[[#This Row],[y]]-H$4)*(Tabela1[[#This Row],[y]]-H$4)</f>
        <v>21825</v>
      </c>
      <c r="D1053" s="1">
        <f>IF(Tabela1[[#This Row],[promien]]&lt;40000,1,0)</f>
        <v>1</v>
      </c>
      <c r="E1053" s="1">
        <f>IF(Tabela1[[#This Row],[promien]]=40000,1,0)</f>
        <v>0</v>
      </c>
      <c r="F1053" s="1">
        <v>3.2326685660018994</v>
      </c>
      <c r="G1053" s="1">
        <v>9.107591241210633E-2</v>
      </c>
    </row>
    <row r="1054" spans="1:7">
      <c r="A1054">
        <v>394</v>
      </c>
      <c r="B1054">
        <v>19</v>
      </c>
      <c r="C1054" s="1">
        <f>(Tabela1[[#This Row],[x]]-H$3)*(Tabela1[[#This Row],[x]]-H$3) +(Tabela1[[#This Row],[y]]-H$4)*(Tabela1[[#This Row],[y]]-H$4)</f>
        <v>70397</v>
      </c>
      <c r="D1054" s="1">
        <f>IF(Tabela1[[#This Row],[promien]]&lt;40000,1,0)</f>
        <v>0</v>
      </c>
      <c r="E1054" s="1">
        <f>IF(Tabela1[[#This Row],[promien]]=40000,1,0)</f>
        <v>0</v>
      </c>
      <c r="F1054" s="1">
        <v>3.2296015180265654</v>
      </c>
      <c r="G1054" s="1">
        <v>8.8008864436772249E-2</v>
      </c>
    </row>
    <row r="1055" spans="1:7">
      <c r="A1055">
        <v>244</v>
      </c>
      <c r="B1055">
        <v>28</v>
      </c>
      <c r="C1055" s="1">
        <f>(Tabela1[[#This Row],[x]]-H$3)*(Tabela1[[#This Row],[x]]-H$3) +(Tabela1[[#This Row],[y]]-H$4)*(Tabela1[[#This Row],[y]]-H$4)</f>
        <v>31520</v>
      </c>
      <c r="D1055" s="1">
        <f>IF(Tabela1[[#This Row],[promien]]&lt;40000,1,0)</f>
        <v>1</v>
      </c>
      <c r="E1055" s="1">
        <f>IF(Tabela1[[#This Row],[promien]]=40000,1,0)</f>
        <v>0</v>
      </c>
      <c r="F1055" s="1">
        <v>3.2303317535545024</v>
      </c>
      <c r="G1055" s="1">
        <v>8.87390999647093E-2</v>
      </c>
    </row>
    <row r="1056" spans="1:7">
      <c r="A1056">
        <v>199</v>
      </c>
      <c r="B1056">
        <v>86</v>
      </c>
      <c r="C1056" s="1">
        <f>(Tabela1[[#This Row],[x]]-H$3)*(Tabela1[[#This Row],[x]]-H$3) +(Tabela1[[#This Row],[y]]-H$4)*(Tabela1[[#This Row],[y]]-H$4)</f>
        <v>12997</v>
      </c>
      <c r="D1056" s="1">
        <f>IF(Tabela1[[#This Row],[promien]]&lt;40000,1,0)</f>
        <v>1</v>
      </c>
      <c r="E1056" s="1">
        <f>IF(Tabela1[[#This Row],[promien]]=40000,1,0)</f>
        <v>0</v>
      </c>
      <c r="F1056" s="1">
        <v>3.231060606060606</v>
      </c>
      <c r="G1056" s="1">
        <v>8.946795247081285E-2</v>
      </c>
    </row>
    <row r="1057" spans="1:7">
      <c r="A1057">
        <v>300</v>
      </c>
      <c r="B1057">
        <v>259</v>
      </c>
      <c r="C1057" s="1">
        <f>(Tabela1[[#This Row],[x]]-H$3)*(Tabela1[[#This Row],[x]]-H$3) +(Tabela1[[#This Row],[y]]-H$4)*(Tabela1[[#This Row],[y]]-H$4)</f>
        <v>13481</v>
      </c>
      <c r="D1057" s="1">
        <f>IF(Tabela1[[#This Row],[promien]]&lt;40000,1,0)</f>
        <v>1</v>
      </c>
      <c r="E1057" s="1">
        <f>IF(Tabela1[[#This Row],[promien]]=40000,1,0)</f>
        <v>0</v>
      </c>
      <c r="F1057" s="1">
        <v>3.2317880794701987</v>
      </c>
      <c r="G1057" s="1">
        <v>9.0195425880405633E-2</v>
      </c>
    </row>
    <row r="1058" spans="1:7">
      <c r="A1058">
        <v>6</v>
      </c>
      <c r="B1058">
        <v>31</v>
      </c>
      <c r="C1058" s="1">
        <f>(Tabela1[[#This Row],[x]]-H$3)*(Tabela1[[#This Row],[x]]-H$3) +(Tabela1[[#This Row],[y]]-H$4)*(Tabela1[[#This Row],[y]]-H$4)</f>
        <v>66197</v>
      </c>
      <c r="D1058" s="1">
        <f>IF(Tabela1[[#This Row],[promien]]&lt;40000,1,0)</f>
        <v>0</v>
      </c>
      <c r="E1058" s="1">
        <f>IF(Tabela1[[#This Row],[promien]]=40000,1,0)</f>
        <v>0</v>
      </c>
      <c r="F1058" s="1">
        <v>3.2287334593572781</v>
      </c>
      <c r="G1058" s="1">
        <v>8.7140805767484952E-2</v>
      </c>
    </row>
    <row r="1059" spans="1:7">
      <c r="A1059">
        <v>119</v>
      </c>
      <c r="B1059">
        <v>49</v>
      </c>
      <c r="C1059" s="1">
        <f>(Tabela1[[#This Row],[x]]-H$3)*(Tabela1[[#This Row],[x]]-H$3) +(Tabela1[[#This Row],[y]]-H$4)*(Tabela1[[#This Row],[y]]-H$4)</f>
        <v>29362</v>
      </c>
      <c r="D1059" s="1">
        <f>IF(Tabela1[[#This Row],[promien]]&lt;40000,1,0)</f>
        <v>1</v>
      </c>
      <c r="E1059" s="1">
        <f>IF(Tabela1[[#This Row],[promien]]=40000,1,0)</f>
        <v>0</v>
      </c>
      <c r="F1059" s="1">
        <v>3.2294617563739378</v>
      </c>
      <c r="G1059" s="1">
        <v>8.7869102784144726E-2</v>
      </c>
    </row>
    <row r="1060" spans="1:7">
      <c r="A1060">
        <v>348</v>
      </c>
      <c r="B1060">
        <v>393</v>
      </c>
      <c r="C1060" s="1">
        <f>(Tabela1[[#This Row],[x]]-H$3)*(Tabela1[[#This Row],[x]]-H$3) +(Tabela1[[#This Row],[y]]-H$4)*(Tabela1[[#This Row],[y]]-H$4)</f>
        <v>59153</v>
      </c>
      <c r="D1060" s="1">
        <f>IF(Tabela1[[#This Row],[promien]]&lt;40000,1,0)</f>
        <v>0</v>
      </c>
      <c r="E1060" s="1">
        <f>IF(Tabela1[[#This Row],[promien]]=40000,1,0)</f>
        <v>0</v>
      </c>
      <c r="F1060" s="1">
        <v>3.2264150943396226</v>
      </c>
      <c r="G1060" s="1">
        <v>8.4822440749829475E-2</v>
      </c>
    </row>
    <row r="1061" spans="1:7">
      <c r="A1061">
        <v>98</v>
      </c>
      <c r="B1061">
        <v>63</v>
      </c>
      <c r="C1061" s="1">
        <f>(Tabela1[[#This Row],[x]]-H$3)*(Tabela1[[#This Row],[x]]-H$3) +(Tabela1[[#This Row],[y]]-H$4)*(Tabela1[[#This Row],[y]]-H$4)</f>
        <v>29173</v>
      </c>
      <c r="D1061" s="1">
        <f>IF(Tabela1[[#This Row],[promien]]&lt;40000,1,0)</f>
        <v>1</v>
      </c>
      <c r="E1061" s="1">
        <f>IF(Tabela1[[#This Row],[promien]]=40000,1,0)</f>
        <v>0</v>
      </c>
      <c r="F1061" s="1">
        <v>3.2271442035815268</v>
      </c>
      <c r="G1061" s="1">
        <v>8.5551549991733644E-2</v>
      </c>
    </row>
    <row r="1062" spans="1:7">
      <c r="A1062">
        <v>322</v>
      </c>
      <c r="B1062">
        <v>300</v>
      </c>
      <c r="C1062" s="1">
        <f>(Tabela1[[#This Row],[x]]-H$3)*(Tabela1[[#This Row],[x]]-H$3) +(Tabela1[[#This Row],[y]]-H$4)*(Tabela1[[#This Row],[y]]-H$4)</f>
        <v>24884</v>
      </c>
      <c r="D1062" s="1">
        <f>IF(Tabela1[[#This Row],[promien]]&lt;40000,1,0)</f>
        <v>1</v>
      </c>
      <c r="E1062" s="1">
        <f>IF(Tabela1[[#This Row],[promien]]=40000,1,0)</f>
        <v>0</v>
      </c>
      <c r="F1062" s="1">
        <v>3.2278719397363465</v>
      </c>
      <c r="G1062" s="1">
        <v>8.6279286146553336E-2</v>
      </c>
    </row>
    <row r="1063" spans="1:7">
      <c r="A1063">
        <v>264</v>
      </c>
      <c r="B1063">
        <v>286</v>
      </c>
      <c r="C1063" s="1">
        <f>(Tabela1[[#This Row],[x]]-H$3)*(Tabela1[[#This Row],[x]]-H$3) +(Tabela1[[#This Row],[y]]-H$4)*(Tabela1[[#This Row],[y]]-H$4)</f>
        <v>11492</v>
      </c>
      <c r="D1063" s="1">
        <f>IF(Tabela1[[#This Row],[promien]]&lt;40000,1,0)</f>
        <v>1</v>
      </c>
      <c r="E1063" s="1">
        <f>IF(Tabela1[[#This Row],[promien]]=40000,1,0)</f>
        <v>0</v>
      </c>
      <c r="F1063" s="1">
        <v>3.2285983066792099</v>
      </c>
      <c r="G1063" s="1">
        <v>8.7005653089416768E-2</v>
      </c>
    </row>
    <row r="1064" spans="1:7">
      <c r="A1064">
        <v>263</v>
      </c>
      <c r="B1064">
        <v>33</v>
      </c>
      <c r="C1064" s="1">
        <f>(Tabela1[[#This Row],[x]]-H$3)*(Tabela1[[#This Row],[x]]-H$3) +(Tabela1[[#This Row],[y]]-H$4)*(Tabela1[[#This Row],[y]]-H$4)</f>
        <v>31858</v>
      </c>
      <c r="D1064" s="1">
        <f>IF(Tabela1[[#This Row],[promien]]&lt;40000,1,0)</f>
        <v>1</v>
      </c>
      <c r="E1064" s="1">
        <f>IF(Tabela1[[#This Row],[promien]]=40000,1,0)</f>
        <v>0</v>
      </c>
      <c r="F1064" s="1">
        <v>3.2293233082706765</v>
      </c>
      <c r="G1064" s="1">
        <v>8.7730654680883369E-2</v>
      </c>
    </row>
    <row r="1065" spans="1:7">
      <c r="A1065">
        <v>344</v>
      </c>
      <c r="B1065">
        <v>324</v>
      </c>
      <c r="C1065" s="1">
        <f>(Tabela1[[#This Row],[x]]-H$3)*(Tabela1[[#This Row],[x]]-H$3) +(Tabela1[[#This Row],[y]]-H$4)*(Tabela1[[#This Row],[y]]-H$4)</f>
        <v>36112</v>
      </c>
      <c r="D1065" s="1">
        <f>IF(Tabela1[[#This Row],[promien]]&lt;40000,1,0)</f>
        <v>1</v>
      </c>
      <c r="E1065" s="1">
        <f>IF(Tabela1[[#This Row],[promien]]=40000,1,0)</f>
        <v>0</v>
      </c>
      <c r="F1065" s="1">
        <v>3.2300469483568075</v>
      </c>
      <c r="G1065" s="1">
        <v>8.8454294767014385E-2</v>
      </c>
    </row>
    <row r="1066" spans="1:7">
      <c r="A1066">
        <v>197</v>
      </c>
      <c r="B1066">
        <v>137</v>
      </c>
      <c r="C1066" s="1">
        <f>(Tabela1[[#This Row],[x]]-H$3)*(Tabela1[[#This Row],[x]]-H$3) +(Tabela1[[#This Row],[y]]-H$4)*(Tabela1[[#This Row],[y]]-H$4)</f>
        <v>3978</v>
      </c>
      <c r="D1066" s="1">
        <f>IF(Tabela1[[#This Row],[promien]]&lt;40000,1,0)</f>
        <v>1</v>
      </c>
      <c r="E1066" s="1">
        <f>IF(Tabela1[[#This Row],[promien]]=40000,1,0)</f>
        <v>0</v>
      </c>
      <c r="F1066" s="1">
        <v>3.2307692307692308</v>
      </c>
      <c r="G1066" s="1">
        <v>8.9176577179437722E-2</v>
      </c>
    </row>
    <row r="1067" spans="1:7">
      <c r="A1067">
        <v>299</v>
      </c>
      <c r="B1067">
        <v>259</v>
      </c>
      <c r="C1067" s="1">
        <f>(Tabela1[[#This Row],[x]]-H$3)*(Tabela1[[#This Row],[x]]-H$3) +(Tabela1[[#This Row],[y]]-H$4)*(Tabela1[[#This Row],[y]]-H$4)</f>
        <v>13282</v>
      </c>
      <c r="D1067" s="1">
        <f>IF(Tabela1[[#This Row],[promien]]&lt;40000,1,0)</f>
        <v>1</v>
      </c>
      <c r="E1067" s="1">
        <f>IF(Tabela1[[#This Row],[promien]]=40000,1,0)</f>
        <v>0</v>
      </c>
      <c r="F1067" s="1">
        <v>3.2314901593252108</v>
      </c>
      <c r="G1067" s="1">
        <v>8.989750573541766E-2</v>
      </c>
    </row>
    <row r="1068" spans="1:7">
      <c r="A1068">
        <v>34</v>
      </c>
      <c r="B1068">
        <v>310</v>
      </c>
      <c r="C1068" s="1">
        <f>(Tabela1[[#This Row],[x]]-H$3)*(Tabela1[[#This Row],[x]]-H$3) +(Tabela1[[#This Row],[y]]-H$4)*(Tabela1[[#This Row],[y]]-H$4)</f>
        <v>39656</v>
      </c>
      <c r="D1068" s="1">
        <f>IF(Tabela1[[#This Row],[promien]]&lt;40000,1,0)</f>
        <v>1</v>
      </c>
      <c r="E1068" s="1">
        <f>IF(Tabela1[[#This Row],[promien]]=40000,1,0)</f>
        <v>0</v>
      </c>
      <c r="F1068" s="1">
        <v>3.2322097378277155</v>
      </c>
      <c r="G1068" s="1">
        <v>9.0617084237922363E-2</v>
      </c>
    </row>
    <row r="1069" spans="1:7">
      <c r="A1069">
        <v>250</v>
      </c>
      <c r="B1069">
        <v>389</v>
      </c>
      <c r="C1069" s="1">
        <f>(Tabela1[[#This Row],[x]]-H$3)*(Tabela1[[#This Row],[x]]-H$3) +(Tabela1[[#This Row],[y]]-H$4)*(Tabela1[[#This Row],[y]]-H$4)</f>
        <v>38221</v>
      </c>
      <c r="D1069" s="1">
        <f>IF(Tabela1[[#This Row],[promien]]&lt;40000,1,0)</f>
        <v>1</v>
      </c>
      <c r="E1069" s="1">
        <f>IF(Tabela1[[#This Row],[promien]]=40000,1,0)</f>
        <v>0</v>
      </c>
      <c r="F1069" s="1">
        <v>3.2329279700654818</v>
      </c>
      <c r="G1069" s="1">
        <v>9.133531647568871E-2</v>
      </c>
    </row>
    <row r="1070" spans="1:7">
      <c r="A1070">
        <v>290</v>
      </c>
      <c r="B1070">
        <v>379</v>
      </c>
      <c r="C1070" s="1">
        <f>(Tabela1[[#This Row],[x]]-H$3)*(Tabela1[[#This Row],[x]]-H$3) +(Tabela1[[#This Row],[y]]-H$4)*(Tabela1[[#This Row],[y]]-H$4)</f>
        <v>40141</v>
      </c>
      <c r="D1070" s="1">
        <f>IF(Tabela1[[#This Row],[promien]]&lt;40000,1,0)</f>
        <v>0</v>
      </c>
      <c r="E1070" s="1">
        <f>IF(Tabela1[[#This Row],[promien]]=40000,1,0)</f>
        <v>0</v>
      </c>
      <c r="F1070" s="1">
        <v>3.2299065420560749</v>
      </c>
      <c r="G1070" s="1">
        <v>8.8313888466281742E-2</v>
      </c>
    </row>
    <row r="1071" spans="1:7">
      <c r="A1071">
        <v>170</v>
      </c>
      <c r="B1071">
        <v>234</v>
      </c>
      <c r="C1071" s="1">
        <f>(Tabela1[[#This Row],[x]]-H$3)*(Tabela1[[#This Row],[x]]-H$3) +(Tabela1[[#This Row],[y]]-H$4)*(Tabela1[[#This Row],[y]]-H$4)</f>
        <v>2056</v>
      </c>
      <c r="D1071" s="1">
        <f>IF(Tabela1[[#This Row],[promien]]&lt;40000,1,0)</f>
        <v>1</v>
      </c>
      <c r="E1071" s="1">
        <f>IF(Tabela1[[#This Row],[promien]]=40000,1,0)</f>
        <v>0</v>
      </c>
      <c r="F1071" s="1">
        <v>3.2306255835667601</v>
      </c>
      <c r="G1071" s="1">
        <v>8.903292997696699E-2</v>
      </c>
    </row>
    <row r="1072" spans="1:7">
      <c r="A1072">
        <v>218</v>
      </c>
      <c r="B1072">
        <v>326</v>
      </c>
      <c r="C1072" s="1">
        <f>(Tabela1[[#This Row],[x]]-H$3)*(Tabela1[[#This Row],[x]]-H$3) +(Tabela1[[#This Row],[y]]-H$4)*(Tabela1[[#This Row],[y]]-H$4)</f>
        <v>16200</v>
      </c>
      <c r="D1072" s="1">
        <f>IF(Tabela1[[#This Row],[promien]]&lt;40000,1,0)</f>
        <v>1</v>
      </c>
      <c r="E1072" s="1">
        <f>IF(Tabela1[[#This Row],[promien]]=40000,1,0)</f>
        <v>0</v>
      </c>
      <c r="F1072" s="1">
        <v>3.2313432835820897</v>
      </c>
      <c r="G1072" s="1">
        <v>8.9750629992296549E-2</v>
      </c>
    </row>
    <row r="1073" spans="1:7">
      <c r="A1073">
        <v>132</v>
      </c>
      <c r="B1073">
        <v>27</v>
      </c>
      <c r="C1073" s="1">
        <f>(Tabela1[[#This Row],[x]]-H$3)*(Tabela1[[#This Row],[x]]-H$3) +(Tabela1[[#This Row],[y]]-H$4)*(Tabela1[[#This Row],[y]]-H$4)</f>
        <v>34553</v>
      </c>
      <c r="D1073" s="1">
        <f>IF(Tabela1[[#This Row],[promien]]&lt;40000,1,0)</f>
        <v>1</v>
      </c>
      <c r="E1073" s="1">
        <f>IF(Tabela1[[#This Row],[promien]]=40000,1,0)</f>
        <v>0</v>
      </c>
      <c r="F1073" s="1">
        <v>3.2320596458527495</v>
      </c>
      <c r="G1073" s="1">
        <v>9.0466992262956403E-2</v>
      </c>
    </row>
    <row r="1074" spans="1:7">
      <c r="A1074">
        <v>117</v>
      </c>
      <c r="B1074">
        <v>2</v>
      </c>
      <c r="C1074" s="1">
        <f>(Tabela1[[#This Row],[x]]-H$3)*(Tabela1[[#This Row],[x]]-H$3) +(Tabela1[[#This Row],[y]]-H$4)*(Tabela1[[#This Row],[y]]-H$4)</f>
        <v>46093</v>
      </c>
      <c r="D1074" s="1">
        <f>IF(Tabela1[[#This Row],[promien]]&lt;40000,1,0)</f>
        <v>0</v>
      </c>
      <c r="E1074" s="1">
        <f>IF(Tabela1[[#This Row],[promien]]=40000,1,0)</f>
        <v>0</v>
      </c>
      <c r="F1074" s="1">
        <v>3.2290502793296088</v>
      </c>
      <c r="G1074" s="1">
        <v>8.7457625739815636E-2</v>
      </c>
    </row>
    <row r="1075" spans="1:7">
      <c r="A1075">
        <v>139</v>
      </c>
      <c r="B1075">
        <v>5</v>
      </c>
      <c r="C1075" s="1">
        <f>(Tabela1[[#This Row],[x]]-H$3)*(Tabela1[[#This Row],[x]]-H$3) +(Tabela1[[#This Row],[y]]-H$4)*(Tabela1[[#This Row],[y]]-H$4)</f>
        <v>41746</v>
      </c>
      <c r="D1075" s="1">
        <f>IF(Tabela1[[#This Row],[promien]]&lt;40000,1,0)</f>
        <v>0</v>
      </c>
      <c r="E1075" s="1">
        <f>IF(Tabela1[[#This Row],[promien]]=40000,1,0)</f>
        <v>0</v>
      </c>
      <c r="F1075" s="1">
        <v>3.2260465116279069</v>
      </c>
      <c r="G1075" s="1">
        <v>8.4453858038113783E-2</v>
      </c>
    </row>
    <row r="1076" spans="1:7">
      <c r="A1076">
        <v>139</v>
      </c>
      <c r="B1076">
        <v>230</v>
      </c>
      <c r="C1076" s="1">
        <f>(Tabela1[[#This Row],[x]]-H$3)*(Tabela1[[#This Row],[x]]-H$3) +(Tabela1[[#This Row],[y]]-H$4)*(Tabela1[[#This Row],[y]]-H$4)</f>
        <v>4621</v>
      </c>
      <c r="D1076" s="1">
        <f>IF(Tabela1[[#This Row],[promien]]&lt;40000,1,0)</f>
        <v>1</v>
      </c>
      <c r="E1076" s="1">
        <f>IF(Tabela1[[#This Row],[promien]]=40000,1,0)</f>
        <v>0</v>
      </c>
      <c r="F1076" s="1">
        <v>3.2267657992565058</v>
      </c>
      <c r="G1076" s="1">
        <v>8.5173145666712635E-2</v>
      </c>
    </row>
    <row r="1077" spans="1:7">
      <c r="A1077">
        <v>371</v>
      </c>
      <c r="B1077">
        <v>226</v>
      </c>
      <c r="C1077" s="1">
        <f>(Tabela1[[#This Row],[x]]-H$3)*(Tabela1[[#This Row],[x]]-H$3) +(Tabela1[[#This Row],[y]]-H$4)*(Tabela1[[#This Row],[y]]-H$4)</f>
        <v>29917</v>
      </c>
      <c r="D1077" s="1">
        <f>IF(Tabela1[[#This Row],[promien]]&lt;40000,1,0)</f>
        <v>1</v>
      </c>
      <c r="E1077" s="1">
        <f>IF(Tabela1[[#This Row],[promien]]=40000,1,0)</f>
        <v>0</v>
      </c>
      <c r="F1077" s="1">
        <v>3.2274837511606314</v>
      </c>
      <c r="G1077" s="1">
        <v>8.5891097570838237E-2</v>
      </c>
    </row>
    <row r="1078" spans="1:7">
      <c r="A1078">
        <v>58</v>
      </c>
      <c r="B1078">
        <v>57</v>
      </c>
      <c r="C1078" s="1">
        <f>(Tabela1[[#This Row],[x]]-H$3)*(Tabela1[[#This Row],[x]]-H$3) +(Tabela1[[#This Row],[y]]-H$4)*(Tabela1[[#This Row],[y]]-H$4)</f>
        <v>40613</v>
      </c>
      <c r="D1078" s="1">
        <f>IF(Tabela1[[#This Row],[promien]]&lt;40000,1,0)</f>
        <v>0</v>
      </c>
      <c r="E1078" s="1">
        <f>IF(Tabela1[[#This Row],[promien]]=40000,1,0)</f>
        <v>0</v>
      </c>
      <c r="F1078" s="1">
        <v>3.2244897959183674</v>
      </c>
      <c r="G1078" s="1">
        <v>8.2897142328574258E-2</v>
      </c>
    </row>
    <row r="1079" spans="1:7">
      <c r="A1079">
        <v>211</v>
      </c>
      <c r="B1079">
        <v>38</v>
      </c>
      <c r="C1079" s="1">
        <f>(Tabela1[[#This Row],[x]]-H$3)*(Tabela1[[#This Row],[x]]-H$3) +(Tabela1[[#This Row],[y]]-H$4)*(Tabela1[[#This Row],[y]]-H$4)</f>
        <v>26365</v>
      </c>
      <c r="D1079" s="1">
        <f>IF(Tabela1[[#This Row],[promien]]&lt;40000,1,0)</f>
        <v>1</v>
      </c>
      <c r="E1079" s="1">
        <f>IF(Tabela1[[#This Row],[promien]]=40000,1,0)</f>
        <v>0</v>
      </c>
      <c r="F1079" s="1">
        <v>3.2252085264133457</v>
      </c>
      <c r="G1079" s="1">
        <v>8.3615872823552539E-2</v>
      </c>
    </row>
    <row r="1080" spans="1:7">
      <c r="A1080">
        <v>142</v>
      </c>
      <c r="B1080">
        <v>396</v>
      </c>
      <c r="C1080" s="1">
        <f>(Tabela1[[#This Row],[x]]-H$3)*(Tabela1[[#This Row],[x]]-H$3) +(Tabela1[[#This Row],[y]]-H$4)*(Tabela1[[#This Row],[y]]-H$4)</f>
        <v>41780</v>
      </c>
      <c r="D1080" s="1">
        <f>IF(Tabela1[[#This Row],[promien]]&lt;40000,1,0)</f>
        <v>0</v>
      </c>
      <c r="E1080" s="1">
        <f>IF(Tabela1[[#This Row],[promien]]=40000,1,0)</f>
        <v>0</v>
      </c>
      <c r="F1080" s="1">
        <v>3.2222222222222223</v>
      </c>
      <c r="G1080" s="1">
        <v>8.0629568632429205E-2</v>
      </c>
    </row>
    <row r="1081" spans="1:7">
      <c r="A1081">
        <v>377</v>
      </c>
      <c r="B1081">
        <v>310</v>
      </c>
      <c r="C1081" s="1">
        <f>(Tabela1[[#This Row],[x]]-H$3)*(Tabela1[[#This Row],[x]]-H$3) +(Tabela1[[#This Row],[y]]-H$4)*(Tabela1[[#This Row],[y]]-H$4)</f>
        <v>43429</v>
      </c>
      <c r="D1081" s="1">
        <f>IF(Tabela1[[#This Row],[promien]]&lt;40000,1,0)</f>
        <v>0</v>
      </c>
      <c r="E1081" s="1">
        <f>IF(Tabela1[[#This Row],[promien]]=40000,1,0)</f>
        <v>0</v>
      </c>
      <c r="F1081" s="1">
        <v>3.219241443108233</v>
      </c>
      <c r="G1081" s="1">
        <v>7.7648789518439898E-2</v>
      </c>
    </row>
    <row r="1082" spans="1:7">
      <c r="A1082">
        <v>331</v>
      </c>
      <c r="B1082">
        <v>197</v>
      </c>
      <c r="C1082" s="1">
        <f>(Tabela1[[#This Row],[x]]-H$3)*(Tabela1[[#This Row],[x]]-H$3) +(Tabela1[[#This Row],[y]]-H$4)*(Tabela1[[#This Row],[y]]-H$4)</f>
        <v>17170</v>
      </c>
      <c r="D1082" s="1">
        <f>IF(Tabela1[[#This Row],[promien]]&lt;40000,1,0)</f>
        <v>1</v>
      </c>
      <c r="E1082" s="1">
        <f>IF(Tabela1[[#This Row],[promien]]=40000,1,0)</f>
        <v>0</v>
      </c>
      <c r="F1082" s="1">
        <v>3.2199630314232901</v>
      </c>
      <c r="G1082" s="1">
        <v>7.8370377833496985E-2</v>
      </c>
    </row>
    <row r="1083" spans="1:7">
      <c r="A1083">
        <v>24</v>
      </c>
      <c r="B1083">
        <v>384</v>
      </c>
      <c r="C1083" s="1">
        <f>(Tabela1[[#This Row],[x]]-H$3)*(Tabela1[[#This Row],[x]]-H$3) +(Tabela1[[#This Row],[y]]-H$4)*(Tabela1[[#This Row],[y]]-H$4)</f>
        <v>64832</v>
      </c>
      <c r="D1083" s="1">
        <f>IF(Tabela1[[#This Row],[promien]]&lt;40000,1,0)</f>
        <v>0</v>
      </c>
      <c r="E1083" s="1">
        <f>IF(Tabela1[[#This Row],[promien]]=40000,1,0)</f>
        <v>0</v>
      </c>
      <c r="F1083" s="1">
        <v>3.2169898430286241</v>
      </c>
      <c r="G1083" s="1">
        <v>7.5397189438831003E-2</v>
      </c>
    </row>
    <row r="1084" spans="1:7">
      <c r="A1084">
        <v>119</v>
      </c>
      <c r="B1084">
        <v>144</v>
      </c>
      <c r="C1084" s="1">
        <f>(Tabela1[[#This Row],[x]]-H$3)*(Tabela1[[#This Row],[x]]-H$3) +(Tabela1[[#This Row],[y]]-H$4)*(Tabela1[[#This Row],[y]]-H$4)</f>
        <v>9697</v>
      </c>
      <c r="D1084" s="1">
        <f>IF(Tabela1[[#This Row],[promien]]&lt;40000,1,0)</f>
        <v>1</v>
      </c>
      <c r="E1084" s="1">
        <f>IF(Tabela1[[#This Row],[promien]]=40000,1,0)</f>
        <v>0</v>
      </c>
      <c r="F1084" s="1">
        <v>3.2177121771217712</v>
      </c>
      <c r="G1084" s="1">
        <v>7.6119523531978039E-2</v>
      </c>
    </row>
    <row r="1085" spans="1:7">
      <c r="A1085">
        <v>257</v>
      </c>
      <c r="B1085">
        <v>174</v>
      </c>
      <c r="C1085" s="1">
        <f>(Tabela1[[#This Row],[x]]-H$3)*(Tabela1[[#This Row],[x]]-H$3) +(Tabela1[[#This Row],[y]]-H$4)*(Tabela1[[#This Row],[y]]-H$4)</f>
        <v>3925</v>
      </c>
      <c r="D1085" s="1">
        <f>IF(Tabela1[[#This Row],[promien]]&lt;40000,1,0)</f>
        <v>1</v>
      </c>
      <c r="E1085" s="1">
        <f>IF(Tabela1[[#This Row],[promien]]=40000,1,0)</f>
        <v>0</v>
      </c>
      <c r="F1085" s="1">
        <v>3.2184331797235024</v>
      </c>
      <c r="G1085" s="1">
        <v>7.6840526133709286E-2</v>
      </c>
    </row>
    <row r="1086" spans="1:7">
      <c r="A1086">
        <v>45</v>
      </c>
      <c r="B1086">
        <v>255</v>
      </c>
      <c r="C1086" s="1">
        <f>(Tabela1[[#This Row],[x]]-H$3)*(Tabela1[[#This Row],[x]]-H$3) +(Tabela1[[#This Row],[y]]-H$4)*(Tabela1[[#This Row],[y]]-H$4)</f>
        <v>27050</v>
      </c>
      <c r="D1086" s="1">
        <f>IF(Tabela1[[#This Row],[promien]]&lt;40000,1,0)</f>
        <v>1</v>
      </c>
      <c r="E1086" s="1">
        <f>IF(Tabela1[[#This Row],[promien]]=40000,1,0)</f>
        <v>0</v>
      </c>
      <c r="F1086" s="1">
        <v>3.2191528545119708</v>
      </c>
      <c r="G1086" s="1">
        <v>7.7560200922177636E-2</v>
      </c>
    </row>
    <row r="1087" spans="1:7">
      <c r="A1087">
        <v>232</v>
      </c>
      <c r="B1087">
        <v>116</v>
      </c>
      <c r="C1087" s="1">
        <f>(Tabela1[[#This Row],[x]]-H$3)*(Tabela1[[#This Row],[x]]-H$3) +(Tabela1[[#This Row],[y]]-H$4)*(Tabela1[[#This Row],[y]]-H$4)</f>
        <v>8080</v>
      </c>
      <c r="D1087" s="1">
        <f>IF(Tabela1[[#This Row],[promien]]&lt;40000,1,0)</f>
        <v>1</v>
      </c>
      <c r="E1087" s="1">
        <f>IF(Tabela1[[#This Row],[promien]]=40000,1,0)</f>
        <v>0</v>
      </c>
      <c r="F1087" s="1">
        <v>3.2198712051517941</v>
      </c>
      <c r="G1087" s="1">
        <v>7.8278551562001031E-2</v>
      </c>
    </row>
    <row r="1088" spans="1:7">
      <c r="A1088">
        <v>24</v>
      </c>
      <c r="B1088">
        <v>70</v>
      </c>
      <c r="C1088" s="1">
        <f>(Tabela1[[#This Row],[x]]-H$3)*(Tabela1[[#This Row],[x]]-H$3) +(Tabela1[[#This Row],[y]]-H$4)*(Tabela1[[#This Row],[y]]-H$4)</f>
        <v>47876</v>
      </c>
      <c r="D1088" s="1">
        <f>IF(Tabela1[[#This Row],[promien]]&lt;40000,1,0)</f>
        <v>0</v>
      </c>
      <c r="E1088" s="1">
        <f>IF(Tabela1[[#This Row],[promien]]=40000,1,0)</f>
        <v>0</v>
      </c>
      <c r="F1088" s="1">
        <v>3.2169117647058822</v>
      </c>
      <c r="G1088" s="1">
        <v>7.5319111116089132E-2</v>
      </c>
    </row>
    <row r="1089" spans="1:7">
      <c r="A1089">
        <v>146</v>
      </c>
      <c r="B1089">
        <v>97</v>
      </c>
      <c r="C1089" s="1">
        <f>(Tabela1[[#This Row],[x]]-H$3)*(Tabela1[[#This Row],[x]]-H$3) +(Tabela1[[#This Row],[y]]-H$4)*(Tabela1[[#This Row],[y]]-H$4)</f>
        <v>13525</v>
      </c>
      <c r="D1089" s="1">
        <f>IF(Tabela1[[#This Row],[promien]]&lt;40000,1,0)</f>
        <v>1</v>
      </c>
      <c r="E1089" s="1">
        <f>IF(Tabela1[[#This Row],[promien]]=40000,1,0)</f>
        <v>0</v>
      </c>
      <c r="F1089" s="1">
        <v>3.2176308539944904</v>
      </c>
      <c r="G1089" s="1">
        <v>7.6038200404697331E-2</v>
      </c>
    </row>
    <row r="1090" spans="1:7">
      <c r="A1090">
        <v>212</v>
      </c>
      <c r="B1090">
        <v>280</v>
      </c>
      <c r="C1090" s="1">
        <f>(Tabela1[[#This Row],[x]]-H$3)*(Tabela1[[#This Row],[x]]-H$3) +(Tabela1[[#This Row],[y]]-H$4)*(Tabela1[[#This Row],[y]]-H$4)</f>
        <v>6544</v>
      </c>
      <c r="D1090" s="1">
        <f>IF(Tabela1[[#This Row],[promien]]&lt;40000,1,0)</f>
        <v>1</v>
      </c>
      <c r="E1090" s="1">
        <f>IF(Tabela1[[#This Row],[promien]]=40000,1,0)</f>
        <v>0</v>
      </c>
      <c r="F1090" s="1">
        <v>3.2183486238532111</v>
      </c>
      <c r="G1090" s="1">
        <v>7.6755970263417961E-2</v>
      </c>
    </row>
    <row r="1091" spans="1:7">
      <c r="A1091">
        <v>185</v>
      </c>
      <c r="B1091">
        <v>275</v>
      </c>
      <c r="C1091" s="1">
        <f>(Tabela1[[#This Row],[x]]-H$3)*(Tabela1[[#This Row],[x]]-H$3) +(Tabela1[[#This Row],[y]]-H$4)*(Tabela1[[#This Row],[y]]-H$4)</f>
        <v>5850</v>
      </c>
      <c r="D1091" s="1">
        <f>IF(Tabela1[[#This Row],[promien]]&lt;40000,1,0)</f>
        <v>1</v>
      </c>
      <c r="E1091" s="1">
        <f>IF(Tabela1[[#This Row],[promien]]=40000,1,0)</f>
        <v>0</v>
      </c>
      <c r="F1091" s="1">
        <v>3.2190650779101739</v>
      </c>
      <c r="G1091" s="1">
        <v>7.7472424320380817E-2</v>
      </c>
    </row>
    <row r="1092" spans="1:7">
      <c r="A1092">
        <v>176</v>
      </c>
      <c r="B1092">
        <v>6</v>
      </c>
      <c r="C1092" s="1">
        <f>(Tabela1[[#This Row],[x]]-H$3)*(Tabela1[[#This Row],[x]]-H$3) +(Tabela1[[#This Row],[y]]-H$4)*(Tabela1[[#This Row],[y]]-H$4)</f>
        <v>38212</v>
      </c>
      <c r="D1092" s="1">
        <f>IF(Tabela1[[#This Row],[promien]]&lt;40000,1,0)</f>
        <v>1</v>
      </c>
      <c r="E1092" s="1">
        <f>IF(Tabela1[[#This Row],[promien]]=40000,1,0)</f>
        <v>0</v>
      </c>
      <c r="F1092" s="1">
        <v>3.2197802197802199</v>
      </c>
      <c r="G1092" s="1">
        <v>7.8187566190426772E-2</v>
      </c>
    </row>
    <row r="1093" spans="1:7">
      <c r="A1093">
        <v>238</v>
      </c>
      <c r="B1093">
        <v>40</v>
      </c>
      <c r="C1093" s="1">
        <f>(Tabela1[[#This Row],[x]]-H$3)*(Tabela1[[#This Row],[x]]-H$3) +(Tabela1[[#This Row],[y]]-H$4)*(Tabela1[[#This Row],[y]]-H$4)</f>
        <v>27044</v>
      </c>
      <c r="D1093" s="1">
        <f>IF(Tabela1[[#This Row],[promien]]&lt;40000,1,0)</f>
        <v>1</v>
      </c>
      <c r="E1093" s="1">
        <f>IF(Tabela1[[#This Row],[promien]]=40000,1,0)</f>
        <v>0</v>
      </c>
      <c r="F1093" s="1">
        <v>3.2204940530649586</v>
      </c>
      <c r="G1093" s="1">
        <v>7.8901399475165501E-2</v>
      </c>
    </row>
    <row r="1094" spans="1:7">
      <c r="A1094">
        <v>303</v>
      </c>
      <c r="B1094">
        <v>315</v>
      </c>
      <c r="C1094" s="1">
        <f>(Tabela1[[#This Row],[x]]-H$3)*(Tabela1[[#This Row],[x]]-H$3) +(Tabela1[[#This Row],[y]]-H$4)*(Tabela1[[#This Row],[y]]-H$4)</f>
        <v>23834</v>
      </c>
      <c r="D1094" s="1">
        <f>IF(Tabela1[[#This Row],[promien]]&lt;40000,1,0)</f>
        <v>1</v>
      </c>
      <c r="E1094" s="1">
        <f>IF(Tabela1[[#This Row],[promien]]=40000,1,0)</f>
        <v>0</v>
      </c>
      <c r="F1094" s="1">
        <v>3.2212065813528334</v>
      </c>
      <c r="G1094" s="1">
        <v>7.9613927763040326E-2</v>
      </c>
    </row>
    <row r="1095" spans="1:7">
      <c r="A1095">
        <v>48</v>
      </c>
      <c r="B1095">
        <v>21</v>
      </c>
      <c r="C1095" s="1">
        <f>(Tabela1[[#This Row],[x]]-H$3)*(Tabela1[[#This Row],[x]]-H$3) +(Tabela1[[#This Row],[y]]-H$4)*(Tabela1[[#This Row],[y]]-H$4)</f>
        <v>55145</v>
      </c>
      <c r="D1095" s="1">
        <f>IF(Tabela1[[#This Row],[promien]]&lt;40000,1,0)</f>
        <v>0</v>
      </c>
      <c r="E1095" s="1">
        <f>IF(Tabela1[[#This Row],[promien]]=40000,1,0)</f>
        <v>0</v>
      </c>
      <c r="F1095" s="1">
        <v>3.2182648401826484</v>
      </c>
      <c r="G1095" s="1">
        <v>7.667218659285524E-2</v>
      </c>
    </row>
    <row r="1096" spans="1:7">
      <c r="A1096">
        <v>249</v>
      </c>
      <c r="B1096">
        <v>220</v>
      </c>
      <c r="C1096" s="1">
        <f>(Tabela1[[#This Row],[x]]-H$3)*(Tabela1[[#This Row],[x]]-H$3) +(Tabela1[[#This Row],[y]]-H$4)*(Tabela1[[#This Row],[y]]-H$4)</f>
        <v>2801</v>
      </c>
      <c r="D1096" s="1">
        <f>IF(Tabela1[[#This Row],[promien]]&lt;40000,1,0)</f>
        <v>1</v>
      </c>
      <c r="E1096" s="1">
        <f>IF(Tabela1[[#This Row],[promien]]=40000,1,0)</f>
        <v>0</v>
      </c>
      <c r="F1096" s="1">
        <v>3.218978102189781</v>
      </c>
      <c r="G1096" s="1">
        <v>7.7385448599987861E-2</v>
      </c>
    </row>
    <row r="1097" spans="1:7">
      <c r="A1097">
        <v>170</v>
      </c>
      <c r="B1097">
        <v>240</v>
      </c>
      <c r="C1097" s="1">
        <f>(Tabela1[[#This Row],[x]]-H$3)*(Tabela1[[#This Row],[x]]-H$3) +(Tabela1[[#This Row],[y]]-H$4)*(Tabela1[[#This Row],[y]]-H$4)</f>
        <v>2500</v>
      </c>
      <c r="D1097" s="1">
        <f>IF(Tabela1[[#This Row],[promien]]&lt;40000,1,0)</f>
        <v>1</v>
      </c>
      <c r="E1097" s="1">
        <f>IF(Tabela1[[#This Row],[promien]]=40000,1,0)</f>
        <v>0</v>
      </c>
      <c r="F1097" s="1">
        <v>3.219690063810392</v>
      </c>
      <c r="G1097" s="1">
        <v>7.8097410220598906E-2</v>
      </c>
    </row>
    <row r="1098" spans="1:7">
      <c r="A1098">
        <v>199</v>
      </c>
      <c r="B1098">
        <v>218</v>
      </c>
      <c r="C1098" s="1">
        <f>(Tabela1[[#This Row],[x]]-H$3)*(Tabela1[[#This Row],[x]]-H$3) +(Tabela1[[#This Row],[y]]-H$4)*(Tabela1[[#This Row],[y]]-H$4)</f>
        <v>325</v>
      </c>
      <c r="D1098" s="1">
        <f>IF(Tabela1[[#This Row],[promien]]&lt;40000,1,0)</f>
        <v>1</v>
      </c>
      <c r="E1098" s="1">
        <f>IF(Tabela1[[#This Row],[promien]]=40000,1,0)</f>
        <v>0</v>
      </c>
      <c r="F1098" s="1">
        <v>3.2204007285974501</v>
      </c>
      <c r="G1098" s="1">
        <v>7.8808075007656964E-2</v>
      </c>
    </row>
    <row r="1099" spans="1:7">
      <c r="A1099">
        <v>290</v>
      </c>
      <c r="B1099">
        <v>270</v>
      </c>
      <c r="C1099" s="1">
        <f>(Tabela1[[#This Row],[x]]-H$3)*(Tabela1[[#This Row],[x]]-H$3) +(Tabela1[[#This Row],[y]]-H$4)*(Tabela1[[#This Row],[y]]-H$4)</f>
        <v>13000</v>
      </c>
      <c r="D1099" s="1">
        <f>IF(Tabela1[[#This Row],[promien]]&lt;40000,1,0)</f>
        <v>1</v>
      </c>
      <c r="E1099" s="1">
        <f>IF(Tabela1[[#This Row],[promien]]=40000,1,0)</f>
        <v>0</v>
      </c>
      <c r="F1099" s="1">
        <v>3.2211101000909919</v>
      </c>
      <c r="G1099" s="1">
        <v>7.9517446501198741E-2</v>
      </c>
    </row>
    <row r="1100" spans="1:7">
      <c r="A1100">
        <v>398</v>
      </c>
      <c r="B1100">
        <v>223</v>
      </c>
      <c r="C1100" s="1">
        <f>(Tabela1[[#This Row],[x]]-H$3)*(Tabela1[[#This Row],[x]]-H$3) +(Tabela1[[#This Row],[y]]-H$4)*(Tabela1[[#This Row],[y]]-H$4)</f>
        <v>39733</v>
      </c>
      <c r="D1100" s="1">
        <f>IF(Tabela1[[#This Row],[promien]]&lt;40000,1,0)</f>
        <v>1</v>
      </c>
      <c r="E1100" s="1">
        <f>IF(Tabela1[[#This Row],[promien]]=40000,1,0)</f>
        <v>0</v>
      </c>
      <c r="F1100" s="1">
        <v>3.2218181818181817</v>
      </c>
      <c r="G1100" s="1">
        <v>8.0225528228388576E-2</v>
      </c>
    </row>
    <row r="1101" spans="1:7">
      <c r="A1101">
        <v>214</v>
      </c>
      <c r="B1101">
        <v>281</v>
      </c>
      <c r="C1101" s="1">
        <f>(Tabela1[[#This Row],[x]]-H$3)*(Tabela1[[#This Row],[x]]-H$3) +(Tabela1[[#This Row],[y]]-H$4)*(Tabela1[[#This Row],[y]]-H$4)</f>
        <v>6757</v>
      </c>
      <c r="D1101" s="1">
        <f>IF(Tabela1[[#This Row],[promien]]&lt;40000,1,0)</f>
        <v>1</v>
      </c>
      <c r="E1101" s="1">
        <f>IF(Tabela1[[#This Row],[promien]]=40000,1,0)</f>
        <v>0</v>
      </c>
      <c r="F1101" s="1">
        <v>3.2225249772933697</v>
      </c>
      <c r="G1101" s="1">
        <v>8.0932323703576614E-2</v>
      </c>
    </row>
    <row r="1102" spans="1:7">
      <c r="A1102">
        <v>230</v>
      </c>
      <c r="B1102">
        <v>171</v>
      </c>
      <c r="C1102" s="1">
        <f>(Tabela1[[#This Row],[x]]-H$3)*(Tabela1[[#This Row],[x]]-H$3) +(Tabela1[[#This Row],[y]]-H$4)*(Tabela1[[#This Row],[y]]-H$4)</f>
        <v>1741</v>
      </c>
      <c r="D1102" s="1">
        <f>IF(Tabela1[[#This Row],[promien]]&lt;40000,1,0)</f>
        <v>1</v>
      </c>
      <c r="E1102" s="1">
        <f>IF(Tabela1[[#This Row],[promien]]=40000,1,0)</f>
        <v>0</v>
      </c>
      <c r="F1102" s="1">
        <v>3.2232304900181488</v>
      </c>
      <c r="G1102" s="1">
        <v>8.1637836428355648E-2</v>
      </c>
    </row>
    <row r="1103" spans="1:7">
      <c r="A1103">
        <v>231</v>
      </c>
      <c r="B1103">
        <v>352</v>
      </c>
      <c r="C1103" s="1">
        <f>(Tabela1[[#This Row],[x]]-H$3)*(Tabela1[[#This Row],[x]]-H$3) +(Tabela1[[#This Row],[y]]-H$4)*(Tabela1[[#This Row],[y]]-H$4)</f>
        <v>24065</v>
      </c>
      <c r="D1103" s="1">
        <f>IF(Tabela1[[#This Row],[promien]]&lt;40000,1,0)</f>
        <v>1</v>
      </c>
      <c r="E1103" s="1">
        <f>IF(Tabela1[[#This Row],[promien]]=40000,1,0)</f>
        <v>0</v>
      </c>
      <c r="F1103" s="1">
        <v>3.2239347234814142</v>
      </c>
      <c r="G1103" s="1">
        <v>8.2342069891621072E-2</v>
      </c>
    </row>
    <row r="1104" spans="1:7">
      <c r="A1104">
        <v>48</v>
      </c>
      <c r="B1104">
        <v>109</v>
      </c>
      <c r="C1104" s="1">
        <f>(Tabela1[[#This Row],[x]]-H$3)*(Tabela1[[#This Row],[x]]-H$3) +(Tabela1[[#This Row],[y]]-H$4)*(Tabela1[[#This Row],[y]]-H$4)</f>
        <v>31385</v>
      </c>
      <c r="D1104" s="1">
        <f>IF(Tabela1[[#This Row],[promien]]&lt;40000,1,0)</f>
        <v>1</v>
      </c>
      <c r="E1104" s="1">
        <f>IF(Tabela1[[#This Row],[promien]]=40000,1,0)</f>
        <v>0</v>
      </c>
      <c r="F1104" s="1">
        <v>3.2246376811594204</v>
      </c>
      <c r="G1104" s="1">
        <v>8.3045027569627283E-2</v>
      </c>
    </row>
    <row r="1105" spans="1:7">
      <c r="A1105">
        <v>382</v>
      </c>
      <c r="B1105">
        <v>283</v>
      </c>
      <c r="C1105" s="1">
        <f>(Tabela1[[#This Row],[x]]-H$3)*(Tabela1[[#This Row],[x]]-H$3) +(Tabela1[[#This Row],[y]]-H$4)*(Tabela1[[#This Row],[y]]-H$4)</f>
        <v>40013</v>
      </c>
      <c r="D1105" s="1">
        <f>IF(Tabela1[[#This Row],[promien]]&lt;40000,1,0)</f>
        <v>0</v>
      </c>
      <c r="E1105" s="1">
        <f>IF(Tabela1[[#This Row],[promien]]=40000,1,0)</f>
        <v>0</v>
      </c>
      <c r="F1105" s="1">
        <v>3.2217194570135748</v>
      </c>
      <c r="G1105" s="1">
        <v>8.0126803423781645E-2</v>
      </c>
    </row>
    <row r="1106" spans="1:7">
      <c r="A1106">
        <v>63</v>
      </c>
      <c r="B1106">
        <v>34</v>
      </c>
      <c r="C1106" s="1">
        <f>(Tabela1[[#This Row],[x]]-H$3)*(Tabela1[[#This Row],[x]]-H$3) +(Tabela1[[#This Row],[y]]-H$4)*(Tabela1[[#This Row],[y]]-H$4)</f>
        <v>46325</v>
      </c>
      <c r="D1106" s="1">
        <f>IF(Tabela1[[#This Row],[promien]]&lt;40000,1,0)</f>
        <v>0</v>
      </c>
      <c r="E1106" s="1">
        <f>IF(Tabela1[[#This Row],[promien]]=40000,1,0)</f>
        <v>0</v>
      </c>
      <c r="F1106" s="1">
        <v>3.2188065099457503</v>
      </c>
      <c r="G1106" s="1">
        <v>7.7213856355957233E-2</v>
      </c>
    </row>
    <row r="1107" spans="1:7">
      <c r="A1107">
        <v>134</v>
      </c>
      <c r="B1107">
        <v>329</v>
      </c>
      <c r="C1107" s="1">
        <f>(Tabela1[[#This Row],[x]]-H$3)*(Tabela1[[#This Row],[x]]-H$3) +(Tabela1[[#This Row],[y]]-H$4)*(Tabela1[[#This Row],[y]]-H$4)</f>
        <v>20997</v>
      </c>
      <c r="D1107" s="1">
        <f>IF(Tabela1[[#This Row],[promien]]&lt;40000,1,0)</f>
        <v>1</v>
      </c>
      <c r="E1107" s="1">
        <f>IF(Tabela1[[#This Row],[promien]]=40000,1,0)</f>
        <v>0</v>
      </c>
      <c r="F1107" s="1">
        <v>3.2195121951219514</v>
      </c>
      <c r="G1107" s="1">
        <v>7.7919541532158298E-2</v>
      </c>
    </row>
    <row r="1108" spans="1:7">
      <c r="A1108">
        <v>226</v>
      </c>
      <c r="B1108">
        <v>229</v>
      </c>
      <c r="C1108" s="1">
        <f>(Tabela1[[#This Row],[x]]-H$3)*(Tabela1[[#This Row],[x]]-H$3) +(Tabela1[[#This Row],[y]]-H$4)*(Tabela1[[#This Row],[y]]-H$4)</f>
        <v>1517</v>
      </c>
      <c r="D1108" s="1">
        <f>IF(Tabela1[[#This Row],[promien]]&lt;40000,1,0)</f>
        <v>1</v>
      </c>
      <c r="E1108" s="1">
        <f>IF(Tabela1[[#This Row],[promien]]=40000,1,0)</f>
        <v>0</v>
      </c>
      <c r="F1108" s="1">
        <v>3.220216606498195</v>
      </c>
      <c r="G1108" s="1">
        <v>7.8623952908401851E-2</v>
      </c>
    </row>
    <row r="1109" spans="1:7">
      <c r="A1109">
        <v>321</v>
      </c>
      <c r="B1109">
        <v>316</v>
      </c>
      <c r="C1109" s="1">
        <f>(Tabela1[[#This Row],[x]]-H$3)*(Tabela1[[#This Row],[x]]-H$3) +(Tabela1[[#This Row],[y]]-H$4)*(Tabela1[[#This Row],[y]]-H$4)</f>
        <v>28097</v>
      </c>
      <c r="D1109" s="1">
        <f>IF(Tabela1[[#This Row],[promien]]&lt;40000,1,0)</f>
        <v>1</v>
      </c>
      <c r="E1109" s="1">
        <f>IF(Tabela1[[#This Row],[promien]]=40000,1,0)</f>
        <v>0</v>
      </c>
      <c r="F1109" s="1">
        <v>3.2209197475202886</v>
      </c>
      <c r="G1109" s="1">
        <v>7.9327093930495529E-2</v>
      </c>
    </row>
    <row r="1110" spans="1:7">
      <c r="A1110">
        <v>365</v>
      </c>
      <c r="B1110">
        <v>276</v>
      </c>
      <c r="C1110" s="1">
        <f>(Tabela1[[#This Row],[x]]-H$3)*(Tabela1[[#This Row],[x]]-H$3) +(Tabela1[[#This Row],[y]]-H$4)*(Tabela1[[#This Row],[y]]-H$4)</f>
        <v>33001</v>
      </c>
      <c r="D1110" s="1">
        <f>IF(Tabela1[[#This Row],[promien]]&lt;40000,1,0)</f>
        <v>1</v>
      </c>
      <c r="E1110" s="1">
        <f>IF(Tabela1[[#This Row],[promien]]=40000,1,0)</f>
        <v>0</v>
      </c>
      <c r="F1110" s="1">
        <v>3.2216216216216216</v>
      </c>
      <c r="G1110" s="1">
        <v>8.0028968031828462E-2</v>
      </c>
    </row>
    <row r="1111" spans="1:7">
      <c r="A1111">
        <v>394</v>
      </c>
      <c r="B1111">
        <v>42</v>
      </c>
      <c r="C1111" s="1">
        <f>(Tabela1[[#This Row],[x]]-H$3)*(Tabela1[[#This Row],[x]]-H$3) +(Tabela1[[#This Row],[y]]-H$4)*(Tabela1[[#This Row],[y]]-H$4)</f>
        <v>62600</v>
      </c>
      <c r="D1111" s="1">
        <f>IF(Tabela1[[#This Row],[promien]]&lt;40000,1,0)</f>
        <v>0</v>
      </c>
      <c r="E1111" s="1">
        <f>IF(Tabela1[[#This Row],[promien]]=40000,1,0)</f>
        <v>0</v>
      </c>
      <c r="F1111" s="1">
        <v>3.2187218721872188</v>
      </c>
      <c r="G1111" s="1">
        <v>7.7129218597425719E-2</v>
      </c>
    </row>
    <row r="1112" spans="1:7">
      <c r="A1112">
        <v>30</v>
      </c>
      <c r="B1112">
        <v>122</v>
      </c>
      <c r="C1112" s="1">
        <f>(Tabela1[[#This Row],[x]]-H$3)*(Tabela1[[#This Row],[x]]-H$3) +(Tabela1[[#This Row],[y]]-H$4)*(Tabela1[[#This Row],[y]]-H$4)</f>
        <v>34984</v>
      </c>
      <c r="D1112" s="1">
        <f>IF(Tabela1[[#This Row],[promien]]&lt;40000,1,0)</f>
        <v>1</v>
      </c>
      <c r="E1112" s="1">
        <f>IF(Tabela1[[#This Row],[promien]]=40000,1,0)</f>
        <v>0</v>
      </c>
      <c r="F1112" s="1">
        <v>3.2194244604316546</v>
      </c>
      <c r="G1112" s="1">
        <v>7.7831806841861528E-2</v>
      </c>
    </row>
    <row r="1113" spans="1:7">
      <c r="A1113">
        <v>228</v>
      </c>
      <c r="B1113">
        <v>358</v>
      </c>
      <c r="C1113" s="1">
        <f>(Tabela1[[#This Row],[x]]-H$3)*(Tabela1[[#This Row],[x]]-H$3) +(Tabela1[[#This Row],[y]]-H$4)*(Tabela1[[#This Row],[y]]-H$4)</f>
        <v>25748</v>
      </c>
      <c r="D1113" s="1">
        <f>IF(Tabela1[[#This Row],[promien]]&lt;40000,1,0)</f>
        <v>1</v>
      </c>
      <c r="E1113" s="1">
        <f>IF(Tabela1[[#This Row],[promien]]=40000,1,0)</f>
        <v>0</v>
      </c>
      <c r="F1113" s="1">
        <v>3.2201257861635222</v>
      </c>
      <c r="G1113" s="1">
        <v>7.853313257372907E-2</v>
      </c>
    </row>
    <row r="1114" spans="1:7">
      <c r="A1114">
        <v>293</v>
      </c>
      <c r="B1114">
        <v>125</v>
      </c>
      <c r="C1114" s="1">
        <f>(Tabela1[[#This Row],[x]]-H$3)*(Tabela1[[#This Row],[x]]-H$3) +(Tabela1[[#This Row],[y]]-H$4)*(Tabela1[[#This Row],[y]]-H$4)</f>
        <v>14274</v>
      </c>
      <c r="D1114" s="1">
        <f>IF(Tabela1[[#This Row],[promien]]&lt;40000,1,0)</f>
        <v>1</v>
      </c>
      <c r="E1114" s="1">
        <f>IF(Tabela1[[#This Row],[promien]]=40000,1,0)</f>
        <v>0</v>
      </c>
      <c r="F1114" s="1">
        <v>3.2208258527827649</v>
      </c>
      <c r="G1114" s="1">
        <v>7.9233199192971782E-2</v>
      </c>
    </row>
    <row r="1115" spans="1:7">
      <c r="A1115">
        <v>379</v>
      </c>
      <c r="B1115">
        <v>280</v>
      </c>
      <c r="C1115" s="1">
        <f>(Tabela1[[#This Row],[x]]-H$3)*(Tabela1[[#This Row],[x]]-H$3) +(Tabela1[[#This Row],[y]]-H$4)*(Tabela1[[#This Row],[y]]-H$4)</f>
        <v>38441</v>
      </c>
      <c r="D1115" s="1">
        <f>IF(Tabela1[[#This Row],[promien]]&lt;40000,1,0)</f>
        <v>1</v>
      </c>
      <c r="E1115" s="1">
        <f>IF(Tabela1[[#This Row],[promien]]=40000,1,0)</f>
        <v>0</v>
      </c>
      <c r="F1115" s="1">
        <v>3.2215246636771302</v>
      </c>
      <c r="G1115" s="1">
        <v>7.993201008733708E-2</v>
      </c>
    </row>
    <row r="1116" spans="1:7">
      <c r="A1116">
        <v>4</v>
      </c>
      <c r="B1116">
        <v>168</v>
      </c>
      <c r="C1116" s="1">
        <f>(Tabela1[[#This Row],[x]]-H$3)*(Tabela1[[#This Row],[x]]-H$3) +(Tabela1[[#This Row],[y]]-H$4)*(Tabela1[[#This Row],[y]]-H$4)</f>
        <v>39440</v>
      </c>
      <c r="D1116" s="1">
        <f>IF(Tabela1[[#This Row],[promien]]&lt;40000,1,0)</f>
        <v>1</v>
      </c>
      <c r="E1116" s="1">
        <f>IF(Tabela1[[#This Row],[promien]]=40000,1,0)</f>
        <v>0</v>
      </c>
      <c r="F1116" s="1">
        <v>3.2222222222222223</v>
      </c>
      <c r="G1116" s="1">
        <v>8.0629568632429205E-2</v>
      </c>
    </row>
    <row r="1117" spans="1:7">
      <c r="A1117">
        <v>249</v>
      </c>
      <c r="B1117">
        <v>273</v>
      </c>
      <c r="C1117" s="1">
        <f>(Tabela1[[#This Row],[x]]-H$3)*(Tabela1[[#This Row],[x]]-H$3) +(Tabela1[[#This Row],[y]]-H$4)*(Tabela1[[#This Row],[y]]-H$4)</f>
        <v>7730</v>
      </c>
      <c r="D1117" s="1">
        <f>IF(Tabela1[[#This Row],[promien]]&lt;40000,1,0)</f>
        <v>1</v>
      </c>
      <c r="E1117" s="1">
        <f>IF(Tabela1[[#This Row],[promien]]=40000,1,0)</f>
        <v>0</v>
      </c>
      <c r="F1117" s="1">
        <v>3.2229185317815578</v>
      </c>
      <c r="G1117" s="1">
        <v>8.1325878191764733E-2</v>
      </c>
    </row>
    <row r="1118" spans="1:7">
      <c r="A1118">
        <v>369</v>
      </c>
      <c r="B1118">
        <v>219</v>
      </c>
      <c r="C1118" s="1">
        <f>(Tabela1[[#This Row],[x]]-H$3)*(Tabela1[[#This Row],[x]]-H$3) +(Tabela1[[#This Row],[y]]-H$4)*(Tabela1[[#This Row],[y]]-H$4)</f>
        <v>28922</v>
      </c>
      <c r="D1118" s="1">
        <f>IF(Tabela1[[#This Row],[promien]]&lt;40000,1,0)</f>
        <v>1</v>
      </c>
      <c r="E1118" s="1">
        <f>IF(Tabela1[[#This Row],[promien]]=40000,1,0)</f>
        <v>0</v>
      </c>
      <c r="F1118" s="1">
        <v>3.223613595706619</v>
      </c>
      <c r="G1118" s="1">
        <v>8.2020942116825868E-2</v>
      </c>
    </row>
    <row r="1119" spans="1:7">
      <c r="A1119">
        <v>296</v>
      </c>
      <c r="B1119">
        <v>111</v>
      </c>
      <c r="C1119" s="1">
        <f>(Tabela1[[#This Row],[x]]-H$3)*(Tabela1[[#This Row],[x]]-H$3) +(Tabela1[[#This Row],[y]]-H$4)*(Tabela1[[#This Row],[y]]-H$4)</f>
        <v>17137</v>
      </c>
      <c r="D1119" s="1">
        <f>IF(Tabela1[[#This Row],[promien]]&lt;40000,1,0)</f>
        <v>1</v>
      </c>
      <c r="E1119" s="1">
        <f>IF(Tabela1[[#This Row],[promien]]=40000,1,0)</f>
        <v>0</v>
      </c>
      <c r="F1119" s="1">
        <v>3.2243074173369077</v>
      </c>
      <c r="G1119" s="1">
        <v>8.2714763747114617E-2</v>
      </c>
    </row>
    <row r="1120" spans="1:7">
      <c r="A1120">
        <v>241</v>
      </c>
      <c r="B1120">
        <v>254</v>
      </c>
      <c r="C1120" s="1">
        <f>(Tabela1[[#This Row],[x]]-H$3)*(Tabela1[[#This Row],[x]]-H$3) +(Tabela1[[#This Row],[y]]-H$4)*(Tabela1[[#This Row],[y]]-H$4)</f>
        <v>4597</v>
      </c>
      <c r="D1120" s="1">
        <f>IF(Tabela1[[#This Row],[promien]]&lt;40000,1,0)</f>
        <v>1</v>
      </c>
      <c r="E1120" s="1">
        <f>IF(Tabela1[[#This Row],[promien]]=40000,1,0)</f>
        <v>0</v>
      </c>
      <c r="F1120" s="1">
        <v>3.2250000000000001</v>
      </c>
      <c r="G1120" s="1">
        <v>8.3407346410206973E-2</v>
      </c>
    </row>
    <row r="1121" spans="1:7">
      <c r="A1121">
        <v>156</v>
      </c>
      <c r="B1121">
        <v>272</v>
      </c>
      <c r="C1121" s="1">
        <f>(Tabela1[[#This Row],[x]]-H$3)*(Tabela1[[#This Row],[x]]-H$3) +(Tabela1[[#This Row],[y]]-H$4)*(Tabela1[[#This Row],[y]]-H$4)</f>
        <v>7120</v>
      </c>
      <c r="D1121" s="1">
        <f>IF(Tabela1[[#This Row],[promien]]&lt;40000,1,0)</f>
        <v>1</v>
      </c>
      <c r="E1121" s="1">
        <f>IF(Tabela1[[#This Row],[promien]]=40000,1,0)</f>
        <v>0</v>
      </c>
      <c r="F1121" s="1">
        <v>3.2256913470115967</v>
      </c>
      <c r="G1121" s="1">
        <v>8.4098693421803539E-2</v>
      </c>
    </row>
    <row r="1122" spans="1:7">
      <c r="A1122">
        <v>297</v>
      </c>
      <c r="B1122">
        <v>246</v>
      </c>
      <c r="C1122" s="1">
        <f>(Tabela1[[#This Row],[x]]-H$3)*(Tabela1[[#This Row],[x]]-H$3) +(Tabela1[[#This Row],[y]]-H$4)*(Tabela1[[#This Row],[y]]-H$4)</f>
        <v>11525</v>
      </c>
      <c r="D1122" s="1">
        <f>IF(Tabela1[[#This Row],[promien]]&lt;40000,1,0)</f>
        <v>1</v>
      </c>
      <c r="E1122" s="1">
        <f>IF(Tabela1[[#This Row],[promien]]=40000,1,0)</f>
        <v>0</v>
      </c>
      <c r="F1122" s="1">
        <v>3.2263814616755795</v>
      </c>
      <c r="G1122" s="1">
        <v>8.4788808085786371E-2</v>
      </c>
    </row>
    <row r="1123" spans="1:7">
      <c r="A1123">
        <v>322</v>
      </c>
      <c r="B1123">
        <v>297</v>
      </c>
      <c r="C1123" s="1">
        <f>(Tabela1[[#This Row],[x]]-H$3)*(Tabela1[[#This Row],[x]]-H$3) +(Tabela1[[#This Row],[y]]-H$4)*(Tabela1[[#This Row],[y]]-H$4)</f>
        <v>24293</v>
      </c>
      <c r="D1123" s="1">
        <f>IF(Tabela1[[#This Row],[promien]]&lt;40000,1,0)</f>
        <v>1</v>
      </c>
      <c r="E1123" s="1">
        <f>IF(Tabela1[[#This Row],[promien]]=40000,1,0)</f>
        <v>0</v>
      </c>
      <c r="F1123" s="1">
        <v>3.2270703472840605</v>
      </c>
      <c r="G1123" s="1">
        <v>8.5477693694267387E-2</v>
      </c>
    </row>
    <row r="1124" spans="1:7">
      <c r="A1124">
        <v>256</v>
      </c>
      <c r="B1124">
        <v>327</v>
      </c>
      <c r="C1124" s="1">
        <f>(Tabela1[[#This Row],[x]]-H$3)*(Tabela1[[#This Row],[x]]-H$3) +(Tabela1[[#This Row],[y]]-H$4)*(Tabela1[[#This Row],[y]]-H$4)</f>
        <v>19265</v>
      </c>
      <c r="D1124" s="1">
        <f>IF(Tabela1[[#This Row],[promien]]&lt;40000,1,0)</f>
        <v>1</v>
      </c>
      <c r="E1124" s="1">
        <f>IF(Tabela1[[#This Row],[promien]]=40000,1,0)</f>
        <v>0</v>
      </c>
      <c r="F1124" s="1">
        <v>3.2277580071174379</v>
      </c>
      <c r="G1124" s="1">
        <v>8.6165353527644761E-2</v>
      </c>
    </row>
    <row r="1125" spans="1:7">
      <c r="A1125">
        <v>105</v>
      </c>
      <c r="B1125">
        <v>296</v>
      </c>
      <c r="C1125" s="1">
        <f>(Tabela1[[#This Row],[x]]-H$3)*(Tabela1[[#This Row],[x]]-H$3) +(Tabela1[[#This Row],[y]]-H$4)*(Tabela1[[#This Row],[y]]-H$4)</f>
        <v>18241</v>
      </c>
      <c r="D1125" s="1">
        <f>IF(Tabela1[[#This Row],[promien]]&lt;40000,1,0)</f>
        <v>1</v>
      </c>
      <c r="E1125" s="1">
        <f>IF(Tabela1[[#This Row],[promien]]=40000,1,0)</f>
        <v>0</v>
      </c>
      <c r="F1125" s="1">
        <v>3.2284444444444444</v>
      </c>
      <c r="G1125" s="1">
        <v>8.6851790854651334E-2</v>
      </c>
    </row>
    <row r="1126" spans="1:7">
      <c r="A1126">
        <v>150</v>
      </c>
      <c r="B1126">
        <v>235</v>
      </c>
      <c r="C1126" s="1">
        <f>(Tabela1[[#This Row],[x]]-H$3)*(Tabela1[[#This Row],[x]]-H$3) +(Tabela1[[#This Row],[y]]-H$4)*(Tabela1[[#This Row],[y]]-H$4)</f>
        <v>3725</v>
      </c>
      <c r="D1126" s="1">
        <f>IF(Tabela1[[#This Row],[promien]]&lt;40000,1,0)</f>
        <v>1</v>
      </c>
      <c r="E1126" s="1">
        <f>IF(Tabela1[[#This Row],[promien]]=40000,1,0)</f>
        <v>0</v>
      </c>
      <c r="F1126" s="1">
        <v>3.2291296625222023</v>
      </c>
      <c r="G1126" s="1">
        <v>8.7537008932409233E-2</v>
      </c>
    </row>
    <row r="1127" spans="1:7">
      <c r="A1127">
        <v>319</v>
      </c>
      <c r="B1127">
        <v>310</v>
      </c>
      <c r="C1127" s="1">
        <f>(Tabela1[[#This Row],[x]]-H$3)*(Tabela1[[#This Row],[x]]-H$3) +(Tabela1[[#This Row],[y]]-H$4)*(Tabela1[[#This Row],[y]]-H$4)</f>
        <v>26261</v>
      </c>
      <c r="D1127" s="1">
        <f>IF(Tabela1[[#This Row],[promien]]&lt;40000,1,0)</f>
        <v>1</v>
      </c>
      <c r="E1127" s="1">
        <f>IF(Tabela1[[#This Row],[promien]]=40000,1,0)</f>
        <v>0</v>
      </c>
      <c r="F1127" s="1">
        <v>3.2298136645962732</v>
      </c>
      <c r="G1127" s="1">
        <v>8.8221011006480055E-2</v>
      </c>
    </row>
    <row r="1128" spans="1:7">
      <c r="A1128">
        <v>224</v>
      </c>
      <c r="B1128">
        <v>65</v>
      </c>
      <c r="C1128" s="1">
        <f>(Tabela1[[#This Row],[x]]-H$3)*(Tabela1[[#This Row],[x]]-H$3) +(Tabela1[[#This Row],[y]]-H$4)*(Tabela1[[#This Row],[y]]-H$4)</f>
        <v>18801</v>
      </c>
      <c r="D1128" s="1">
        <f>IF(Tabela1[[#This Row],[promien]]&lt;40000,1,0)</f>
        <v>1</v>
      </c>
      <c r="E1128" s="1">
        <f>IF(Tabela1[[#This Row],[promien]]=40000,1,0)</f>
        <v>0</v>
      </c>
      <c r="F1128" s="1">
        <v>3.2304964539007091</v>
      </c>
      <c r="G1128" s="1">
        <v>8.8903800310915937E-2</v>
      </c>
    </row>
    <row r="1129" spans="1:7">
      <c r="A1129">
        <v>55</v>
      </c>
      <c r="B1129">
        <v>225</v>
      </c>
      <c r="C1129" s="1">
        <f>(Tabela1[[#This Row],[x]]-H$3)*(Tabela1[[#This Row],[x]]-H$3) +(Tabela1[[#This Row],[y]]-H$4)*(Tabela1[[#This Row],[y]]-H$4)</f>
        <v>21650</v>
      </c>
      <c r="D1129" s="1">
        <f>IF(Tabela1[[#This Row],[promien]]&lt;40000,1,0)</f>
        <v>1</v>
      </c>
      <c r="E1129" s="1">
        <f>IF(Tabela1[[#This Row],[promien]]=40000,1,0)</f>
        <v>0</v>
      </c>
      <c r="F1129" s="1">
        <v>3.2311780336581046</v>
      </c>
      <c r="G1129" s="1">
        <v>8.9585380068311515E-2</v>
      </c>
    </row>
    <row r="1130" spans="1:7">
      <c r="A1130">
        <v>93</v>
      </c>
      <c r="B1130">
        <v>48</v>
      </c>
      <c r="C1130" s="1">
        <f>(Tabela1[[#This Row],[x]]-H$3)*(Tabela1[[#This Row],[x]]-H$3) +(Tabela1[[#This Row],[y]]-H$4)*(Tabela1[[#This Row],[y]]-H$4)</f>
        <v>34553</v>
      </c>
      <c r="D1130" s="1">
        <f>IF(Tabela1[[#This Row],[promien]]&lt;40000,1,0)</f>
        <v>1</v>
      </c>
      <c r="E1130" s="1">
        <f>IF(Tabela1[[#This Row],[promien]]=40000,1,0)</f>
        <v>0</v>
      </c>
      <c r="F1130" s="1">
        <v>3.2318584070796459</v>
      </c>
      <c r="G1130" s="1">
        <v>9.0265753489852774E-2</v>
      </c>
    </row>
    <row r="1131" spans="1:7">
      <c r="A1131">
        <v>142</v>
      </c>
      <c r="B1131">
        <v>18</v>
      </c>
      <c r="C1131" s="1">
        <f>(Tabela1[[#This Row],[x]]-H$3)*(Tabela1[[#This Row],[x]]-H$3) +(Tabela1[[#This Row],[y]]-H$4)*(Tabela1[[#This Row],[y]]-H$4)</f>
        <v>36488</v>
      </c>
      <c r="D1131" s="1">
        <f>IF(Tabela1[[#This Row],[promien]]&lt;40000,1,0)</f>
        <v>1</v>
      </c>
      <c r="E1131" s="1">
        <f>IF(Tabela1[[#This Row],[promien]]=40000,1,0)</f>
        <v>0</v>
      </c>
      <c r="F1131" s="1">
        <v>3.2325375773651635</v>
      </c>
      <c r="G1131" s="1">
        <v>9.0944923775370334E-2</v>
      </c>
    </row>
    <row r="1132" spans="1:7">
      <c r="A1132">
        <v>41</v>
      </c>
      <c r="B1132">
        <v>393</v>
      </c>
      <c r="C1132" s="1">
        <f>(Tabela1[[#This Row],[x]]-H$3)*(Tabela1[[#This Row],[x]]-H$3) +(Tabela1[[#This Row],[y]]-H$4)*(Tabela1[[#This Row],[y]]-H$4)</f>
        <v>62530</v>
      </c>
      <c r="D1132" s="1">
        <f>IF(Tabela1[[#This Row],[promien]]&lt;40000,1,0)</f>
        <v>0</v>
      </c>
      <c r="E1132" s="1">
        <f>IF(Tabela1[[#This Row],[promien]]=40000,1,0)</f>
        <v>0</v>
      </c>
      <c r="F1132" s="1">
        <v>3.2296819787985864</v>
      </c>
      <c r="G1132" s="1">
        <v>8.8089325208793312E-2</v>
      </c>
    </row>
    <row r="1133" spans="1:7">
      <c r="A1133">
        <v>325</v>
      </c>
      <c r="B1133">
        <v>241</v>
      </c>
      <c r="C1133" s="1">
        <f>(Tabela1[[#This Row],[x]]-H$3)*(Tabela1[[#This Row],[x]]-H$3) +(Tabela1[[#This Row],[y]]-H$4)*(Tabela1[[#This Row],[y]]-H$4)</f>
        <v>17306</v>
      </c>
      <c r="D1133" s="1">
        <f>IF(Tabela1[[#This Row],[promien]]&lt;40000,1,0)</f>
        <v>1</v>
      </c>
      <c r="E1133" s="1">
        <f>IF(Tabela1[[#This Row],[promien]]=40000,1,0)</f>
        <v>0</v>
      </c>
      <c r="F1133" s="1">
        <v>3.23036187113857</v>
      </c>
      <c r="G1133" s="1">
        <v>8.8769217548776869E-2</v>
      </c>
    </row>
    <row r="1134" spans="1:7">
      <c r="A1134">
        <v>195</v>
      </c>
      <c r="B1134">
        <v>249</v>
      </c>
      <c r="C1134" s="1">
        <f>(Tabela1[[#This Row],[x]]-H$3)*(Tabela1[[#This Row],[x]]-H$3) +(Tabela1[[#This Row],[y]]-H$4)*(Tabela1[[#This Row],[y]]-H$4)</f>
        <v>2426</v>
      </c>
      <c r="D1134" s="1">
        <f>IF(Tabela1[[#This Row],[promien]]&lt;40000,1,0)</f>
        <v>1</v>
      </c>
      <c r="E1134" s="1">
        <f>IF(Tabela1[[#This Row],[promien]]=40000,1,0)</f>
        <v>0</v>
      </c>
      <c r="F1134" s="1">
        <v>3.2310405643738975</v>
      </c>
      <c r="G1134" s="1">
        <v>8.9447910784104412E-2</v>
      </c>
    </row>
    <row r="1135" spans="1:7">
      <c r="A1135">
        <v>271</v>
      </c>
      <c r="B1135">
        <v>394</v>
      </c>
      <c r="C1135" s="1">
        <f>(Tabela1[[#This Row],[x]]-H$3)*(Tabela1[[#This Row],[x]]-H$3) +(Tabela1[[#This Row],[y]]-H$4)*(Tabela1[[#This Row],[y]]-H$4)</f>
        <v>42677</v>
      </c>
      <c r="D1135" s="1">
        <f>IF(Tabela1[[#This Row],[promien]]&lt;40000,1,0)</f>
        <v>0</v>
      </c>
      <c r="E1135" s="1">
        <f>IF(Tabela1[[#This Row],[promien]]=40000,1,0)</f>
        <v>0</v>
      </c>
      <c r="F1135" s="1">
        <v>3.2281938325991191</v>
      </c>
      <c r="G1135" s="1">
        <v>8.6601179009325957E-2</v>
      </c>
    </row>
    <row r="1136" spans="1:7">
      <c r="A1136">
        <v>47</v>
      </c>
      <c r="B1136">
        <v>109</v>
      </c>
      <c r="C1136" s="1">
        <f>(Tabela1[[#This Row],[x]]-H$3)*(Tabela1[[#This Row],[x]]-H$3) +(Tabela1[[#This Row],[y]]-H$4)*(Tabela1[[#This Row],[y]]-H$4)</f>
        <v>31690</v>
      </c>
      <c r="D1136" s="1">
        <f>IF(Tabela1[[#This Row],[promien]]&lt;40000,1,0)</f>
        <v>1</v>
      </c>
      <c r="E1136" s="1">
        <f>IF(Tabela1[[#This Row],[promien]]=40000,1,0)</f>
        <v>0</v>
      </c>
      <c r="F1136" s="1">
        <v>3.2288732394366195</v>
      </c>
      <c r="G1136" s="1">
        <v>8.7280585846826408E-2</v>
      </c>
    </row>
    <row r="1137" spans="1:7">
      <c r="A1137">
        <v>377</v>
      </c>
      <c r="B1137">
        <v>400</v>
      </c>
      <c r="C1137" s="1">
        <f>(Tabela1[[#This Row],[x]]-H$3)*(Tabela1[[#This Row],[x]]-H$3) +(Tabela1[[#This Row],[y]]-H$4)*(Tabela1[[#This Row],[y]]-H$4)</f>
        <v>71329</v>
      </c>
      <c r="D1137" s="1">
        <f>IF(Tabela1[[#This Row],[promien]]&lt;40000,1,0)</f>
        <v>0</v>
      </c>
      <c r="E1137" s="1">
        <f>IF(Tabela1[[#This Row],[promien]]=40000,1,0)</f>
        <v>0</v>
      </c>
      <c r="F1137" s="1">
        <v>3.2260334212840811</v>
      </c>
      <c r="G1137" s="1">
        <v>8.4440767694287988E-2</v>
      </c>
    </row>
    <row r="1138" spans="1:7">
      <c r="A1138">
        <v>375</v>
      </c>
      <c r="B1138">
        <v>272</v>
      </c>
      <c r="C1138" s="1">
        <f>(Tabela1[[#This Row],[x]]-H$3)*(Tabela1[[#This Row],[x]]-H$3) +(Tabela1[[#This Row],[y]]-H$4)*(Tabela1[[#This Row],[y]]-H$4)</f>
        <v>35809</v>
      </c>
      <c r="D1138" s="1">
        <f>IF(Tabela1[[#This Row],[promien]]&lt;40000,1,0)</f>
        <v>1</v>
      </c>
      <c r="E1138" s="1">
        <f>IF(Tabela1[[#This Row],[promien]]=40000,1,0)</f>
        <v>0</v>
      </c>
      <c r="F1138" s="1">
        <v>3.2267135325131808</v>
      </c>
      <c r="G1138" s="1">
        <v>8.5120878923387711E-2</v>
      </c>
    </row>
    <row r="1139" spans="1:7">
      <c r="A1139">
        <v>394</v>
      </c>
      <c r="B1139">
        <v>77</v>
      </c>
      <c r="C1139" s="1">
        <f>(Tabela1[[#This Row],[x]]-H$3)*(Tabela1[[#This Row],[x]]-H$3) +(Tabela1[[#This Row],[y]]-H$4)*(Tabela1[[#This Row],[y]]-H$4)</f>
        <v>52765</v>
      </c>
      <c r="D1139" s="1">
        <f>IF(Tabela1[[#This Row],[promien]]&lt;40000,1,0)</f>
        <v>0</v>
      </c>
      <c r="E1139" s="1">
        <f>IF(Tabela1[[#This Row],[promien]]=40000,1,0)</f>
        <v>0</v>
      </c>
      <c r="F1139" s="1">
        <v>3.2238805970149254</v>
      </c>
      <c r="G1139" s="1">
        <v>8.2287943425132237E-2</v>
      </c>
    </row>
    <row r="1140" spans="1:7">
      <c r="A1140">
        <v>181</v>
      </c>
      <c r="B1140">
        <v>37</v>
      </c>
      <c r="C1140" s="1">
        <f>(Tabela1[[#This Row],[x]]-H$3)*(Tabela1[[#This Row],[x]]-H$3) +(Tabela1[[#This Row],[y]]-H$4)*(Tabela1[[#This Row],[y]]-H$4)</f>
        <v>26930</v>
      </c>
      <c r="D1140" s="1">
        <f>IF(Tabela1[[#This Row],[promien]]&lt;40000,1,0)</f>
        <v>1</v>
      </c>
      <c r="E1140" s="1">
        <f>IF(Tabela1[[#This Row],[promien]]=40000,1,0)</f>
        <v>0</v>
      </c>
      <c r="F1140" s="1">
        <v>3.2245614035087717</v>
      </c>
      <c r="G1140" s="1">
        <v>8.2968749918978624E-2</v>
      </c>
    </row>
    <row r="1141" spans="1:7">
      <c r="A1141">
        <v>87</v>
      </c>
      <c r="B1141">
        <v>181</v>
      </c>
      <c r="C1141" s="1">
        <f>(Tabela1[[#This Row],[x]]-H$3)*(Tabela1[[#This Row],[x]]-H$3) +(Tabela1[[#This Row],[y]]-H$4)*(Tabela1[[#This Row],[y]]-H$4)</f>
        <v>13130</v>
      </c>
      <c r="D1141" s="1">
        <f>IF(Tabela1[[#This Row],[promien]]&lt;40000,1,0)</f>
        <v>1</v>
      </c>
      <c r="E1141" s="1">
        <f>IF(Tabela1[[#This Row],[promien]]=40000,1,0)</f>
        <v>0</v>
      </c>
      <c r="F1141" s="1">
        <v>3.2252410166520598</v>
      </c>
      <c r="G1141" s="1">
        <v>8.364836306226664E-2</v>
      </c>
    </row>
    <row r="1142" spans="1:7">
      <c r="A1142">
        <v>243</v>
      </c>
      <c r="B1142">
        <v>37</v>
      </c>
      <c r="C1142" s="1">
        <f>(Tabela1[[#This Row],[x]]-H$3)*(Tabela1[[#This Row],[x]]-H$3) +(Tabela1[[#This Row],[y]]-H$4)*(Tabela1[[#This Row],[y]]-H$4)</f>
        <v>28418</v>
      </c>
      <c r="D1142" s="1">
        <f>IF(Tabela1[[#This Row],[promien]]&lt;40000,1,0)</f>
        <v>1</v>
      </c>
      <c r="E1142" s="1">
        <f>IF(Tabela1[[#This Row],[promien]]=40000,1,0)</f>
        <v>0</v>
      </c>
      <c r="F1142" s="1">
        <v>3.2259194395796849</v>
      </c>
      <c r="G1142" s="1">
        <v>8.4326785989891739E-2</v>
      </c>
    </row>
    <row r="1143" spans="1:7">
      <c r="A1143">
        <v>29</v>
      </c>
      <c r="B1143">
        <v>207</v>
      </c>
      <c r="C1143" s="1">
        <f>(Tabela1[[#This Row],[x]]-H$3)*(Tabela1[[#This Row],[x]]-H$3) +(Tabela1[[#This Row],[y]]-H$4)*(Tabela1[[#This Row],[y]]-H$4)</f>
        <v>29290</v>
      </c>
      <c r="D1143" s="1">
        <f>IF(Tabela1[[#This Row],[promien]]&lt;40000,1,0)</f>
        <v>1</v>
      </c>
      <c r="E1143" s="1">
        <f>IF(Tabela1[[#This Row],[promien]]=40000,1,0)</f>
        <v>0</v>
      </c>
      <c r="F1143" s="1">
        <v>3.226596675415573</v>
      </c>
      <c r="G1143" s="1">
        <v>8.500402182577993E-2</v>
      </c>
    </row>
    <row r="1144" spans="1:7">
      <c r="A1144">
        <v>377</v>
      </c>
      <c r="B1144">
        <v>63</v>
      </c>
      <c r="C1144" s="1">
        <f>(Tabela1[[#This Row],[x]]-H$3)*(Tabela1[[#This Row],[x]]-H$3) +(Tabela1[[#This Row],[y]]-H$4)*(Tabela1[[#This Row],[y]]-H$4)</f>
        <v>50098</v>
      </c>
      <c r="D1144" s="1">
        <f>IF(Tabela1[[#This Row],[promien]]&lt;40000,1,0)</f>
        <v>0</v>
      </c>
      <c r="E1144" s="1">
        <f>IF(Tabela1[[#This Row],[promien]]=40000,1,0)</f>
        <v>0</v>
      </c>
      <c r="F1144" s="1">
        <v>3.2237762237762237</v>
      </c>
      <c r="G1144" s="1">
        <v>8.2183570186430632E-2</v>
      </c>
    </row>
    <row r="1145" spans="1:7">
      <c r="A1145">
        <v>141</v>
      </c>
      <c r="B1145">
        <v>70</v>
      </c>
      <c r="C1145" s="1">
        <f>(Tabela1[[#This Row],[x]]-H$3)*(Tabela1[[#This Row],[x]]-H$3) +(Tabela1[[#This Row],[y]]-H$4)*(Tabela1[[#This Row],[y]]-H$4)</f>
        <v>20381</v>
      </c>
      <c r="D1145" s="1">
        <f>IF(Tabela1[[#This Row],[promien]]&lt;40000,1,0)</f>
        <v>1</v>
      </c>
      <c r="E1145" s="1">
        <f>IF(Tabela1[[#This Row],[promien]]=40000,1,0)</f>
        <v>0</v>
      </c>
      <c r="F1145" s="1">
        <v>3.2244541484716156</v>
      </c>
      <c r="G1145" s="1">
        <v>8.2861494881822484E-2</v>
      </c>
    </row>
    <row r="1146" spans="1:7">
      <c r="A1146">
        <v>356</v>
      </c>
      <c r="B1146">
        <v>226</v>
      </c>
      <c r="C1146" s="1">
        <f>(Tabela1[[#This Row],[x]]-H$3)*(Tabela1[[#This Row],[x]]-H$3) +(Tabela1[[#This Row],[y]]-H$4)*(Tabela1[[#This Row],[y]]-H$4)</f>
        <v>25012</v>
      </c>
      <c r="D1146" s="1">
        <f>IF(Tabela1[[#This Row],[promien]]&lt;40000,1,0)</f>
        <v>1</v>
      </c>
      <c r="E1146" s="1">
        <f>IF(Tabela1[[#This Row],[promien]]=40000,1,0)</f>
        <v>0</v>
      </c>
      <c r="F1146" s="1">
        <v>3.2251308900523559</v>
      </c>
      <c r="G1146" s="1">
        <v>8.3538236462562754E-2</v>
      </c>
    </row>
    <row r="1147" spans="1:7">
      <c r="A1147">
        <v>153</v>
      </c>
      <c r="B1147">
        <v>230</v>
      </c>
      <c r="C1147" s="1">
        <f>(Tabela1[[#This Row],[x]]-H$3)*(Tabela1[[#This Row],[x]]-H$3) +(Tabela1[[#This Row],[y]]-H$4)*(Tabela1[[#This Row],[y]]-H$4)</f>
        <v>3109</v>
      </c>
      <c r="D1147" s="1">
        <f>IF(Tabela1[[#This Row],[promien]]&lt;40000,1,0)</f>
        <v>1</v>
      </c>
      <c r="E1147" s="1">
        <f>IF(Tabela1[[#This Row],[promien]]=40000,1,0)</f>
        <v>0</v>
      </c>
      <c r="F1147" s="1">
        <v>3.225806451612903</v>
      </c>
      <c r="G1147" s="1">
        <v>8.4213798023109909E-2</v>
      </c>
    </row>
    <row r="1148" spans="1:7">
      <c r="A1148">
        <v>149</v>
      </c>
      <c r="B1148">
        <v>45</v>
      </c>
      <c r="C1148" s="1">
        <f>(Tabela1[[#This Row],[x]]-H$3)*(Tabela1[[#This Row],[x]]-H$3) +(Tabela1[[#This Row],[y]]-H$4)*(Tabela1[[#This Row],[y]]-H$4)</f>
        <v>26626</v>
      </c>
      <c r="D1148" s="1">
        <f>IF(Tabela1[[#This Row],[promien]]&lt;40000,1,0)</f>
        <v>1</v>
      </c>
      <c r="E1148" s="1">
        <f>IF(Tabela1[[#This Row],[promien]]=40000,1,0)</f>
        <v>0</v>
      </c>
      <c r="F1148" s="1">
        <v>3.2264808362369339</v>
      </c>
      <c r="G1148" s="1">
        <v>8.488818264714082E-2</v>
      </c>
    </row>
    <row r="1149" spans="1:7">
      <c r="A1149">
        <v>325</v>
      </c>
      <c r="B1149">
        <v>258</v>
      </c>
      <c r="C1149" s="1">
        <f>(Tabela1[[#This Row],[x]]-H$3)*(Tabela1[[#This Row],[x]]-H$3) +(Tabela1[[#This Row],[y]]-H$4)*(Tabela1[[#This Row],[y]]-H$4)</f>
        <v>18989</v>
      </c>
      <c r="D1149" s="1">
        <f>IF(Tabela1[[#This Row],[promien]]&lt;40000,1,0)</f>
        <v>1</v>
      </c>
      <c r="E1149" s="1">
        <f>IF(Tabela1[[#This Row],[promien]]=40000,1,0)</f>
        <v>0</v>
      </c>
      <c r="F1149" s="1">
        <v>3.2271540469973892</v>
      </c>
      <c r="G1149" s="1">
        <v>8.5561393407596054E-2</v>
      </c>
    </row>
    <row r="1150" spans="1:7">
      <c r="A1150">
        <v>28</v>
      </c>
      <c r="B1150">
        <v>345</v>
      </c>
      <c r="C1150" s="1">
        <f>(Tabela1[[#This Row],[x]]-H$3)*(Tabela1[[#This Row],[x]]-H$3) +(Tabela1[[#This Row],[y]]-H$4)*(Tabela1[[#This Row],[y]]-H$4)</f>
        <v>50609</v>
      </c>
      <c r="D1150" s="1">
        <f>IF(Tabela1[[#This Row],[promien]]&lt;40000,1,0)</f>
        <v>0</v>
      </c>
      <c r="E1150" s="1">
        <f>IF(Tabela1[[#This Row],[promien]]=40000,1,0)</f>
        <v>0</v>
      </c>
      <c r="F1150" s="1">
        <v>3.2243478260869565</v>
      </c>
      <c r="G1150" s="1">
        <v>8.2755172497163354E-2</v>
      </c>
    </row>
    <row r="1151" spans="1:7">
      <c r="A1151">
        <v>167</v>
      </c>
      <c r="B1151">
        <v>282</v>
      </c>
      <c r="C1151" s="1">
        <f>(Tabela1[[#This Row],[x]]-H$3)*(Tabela1[[#This Row],[x]]-H$3) +(Tabela1[[#This Row],[y]]-H$4)*(Tabela1[[#This Row],[y]]-H$4)</f>
        <v>7813</v>
      </c>
      <c r="D1151" s="1">
        <f>IF(Tabela1[[#This Row],[promien]]&lt;40000,1,0)</f>
        <v>1</v>
      </c>
      <c r="E1151" s="1">
        <f>IF(Tabela1[[#This Row],[promien]]=40000,1,0)</f>
        <v>0</v>
      </c>
      <c r="F1151" s="1">
        <v>3.2250217202432667</v>
      </c>
      <c r="G1151" s="1">
        <v>8.3429066653473605E-2</v>
      </c>
    </row>
    <row r="1152" spans="1:7">
      <c r="A1152">
        <v>106</v>
      </c>
      <c r="B1152">
        <v>379</v>
      </c>
      <c r="C1152" s="1">
        <f>(Tabela1[[#This Row],[x]]-H$3)*(Tabela1[[#This Row],[x]]-H$3) +(Tabela1[[#This Row],[y]]-H$4)*(Tabela1[[#This Row],[y]]-H$4)</f>
        <v>40877</v>
      </c>
      <c r="D1152" s="1">
        <f>IF(Tabela1[[#This Row],[promien]]&lt;40000,1,0)</f>
        <v>0</v>
      </c>
      <c r="E1152" s="1">
        <f>IF(Tabela1[[#This Row],[promien]]=40000,1,0)</f>
        <v>0</v>
      </c>
      <c r="F1152" s="1">
        <v>3.2222222222222223</v>
      </c>
      <c r="G1152" s="1">
        <v>8.0629568632429205E-2</v>
      </c>
    </row>
    <row r="1153" spans="1:7">
      <c r="A1153">
        <v>74</v>
      </c>
      <c r="B1153">
        <v>38</v>
      </c>
      <c r="C1153" s="1">
        <f>(Tabela1[[#This Row],[x]]-H$3)*(Tabela1[[#This Row],[x]]-H$3) +(Tabela1[[#This Row],[y]]-H$4)*(Tabela1[[#This Row],[y]]-H$4)</f>
        <v>42120</v>
      </c>
      <c r="D1153" s="1">
        <f>IF(Tabela1[[#This Row],[promien]]&lt;40000,1,0)</f>
        <v>0</v>
      </c>
      <c r="E1153" s="1">
        <f>IF(Tabela1[[#This Row],[promien]]=40000,1,0)</f>
        <v>0</v>
      </c>
      <c r="F1153" s="1">
        <v>3.2194275802254988</v>
      </c>
      <c r="G1153" s="1">
        <v>7.7834926635705681E-2</v>
      </c>
    </row>
    <row r="1154" spans="1:7">
      <c r="A1154">
        <v>358</v>
      </c>
      <c r="B1154">
        <v>71</v>
      </c>
      <c r="C1154" s="1">
        <f>(Tabela1[[#This Row],[x]]-H$3)*(Tabela1[[#This Row],[x]]-H$3) +(Tabela1[[#This Row],[y]]-H$4)*(Tabela1[[#This Row],[y]]-H$4)</f>
        <v>41605</v>
      </c>
      <c r="D1154" s="1">
        <f>IF(Tabela1[[#This Row],[promien]]&lt;40000,1,0)</f>
        <v>0</v>
      </c>
      <c r="E1154" s="1">
        <f>IF(Tabela1[[#This Row],[promien]]=40000,1,0)</f>
        <v>0</v>
      </c>
      <c r="F1154" s="1">
        <v>3.2166377816291161</v>
      </c>
      <c r="G1154" s="1">
        <v>7.504512803932295E-2</v>
      </c>
    </row>
    <row r="1155" spans="1:7">
      <c r="A1155">
        <v>144</v>
      </c>
      <c r="B1155">
        <v>21</v>
      </c>
      <c r="C1155" s="1">
        <f>(Tabela1[[#This Row],[x]]-H$3)*(Tabela1[[#This Row],[x]]-H$3) +(Tabela1[[#This Row],[y]]-H$4)*(Tabela1[[#This Row],[y]]-H$4)</f>
        <v>35177</v>
      </c>
      <c r="D1155" s="1">
        <f>IF(Tabela1[[#This Row],[promien]]&lt;40000,1,0)</f>
        <v>1</v>
      </c>
      <c r="E1155" s="1">
        <f>IF(Tabela1[[#This Row],[promien]]=40000,1,0)</f>
        <v>0</v>
      </c>
      <c r="F1155" s="1">
        <v>3.2173160173160174</v>
      </c>
      <c r="G1155" s="1">
        <v>7.5723363726224235E-2</v>
      </c>
    </row>
    <row r="1156" spans="1:7">
      <c r="A1156">
        <v>261</v>
      </c>
      <c r="B1156">
        <v>388</v>
      </c>
      <c r="C1156" s="1">
        <f>(Tabela1[[#This Row],[x]]-H$3)*(Tabela1[[#This Row],[x]]-H$3) +(Tabela1[[#This Row],[y]]-H$4)*(Tabela1[[#This Row],[y]]-H$4)</f>
        <v>39065</v>
      </c>
      <c r="D1156" s="1">
        <f>IF(Tabela1[[#This Row],[promien]]&lt;40000,1,0)</f>
        <v>1</v>
      </c>
      <c r="E1156" s="1">
        <f>IF(Tabela1[[#This Row],[promien]]=40000,1,0)</f>
        <v>0</v>
      </c>
      <c r="F1156" s="1">
        <v>3.2179930795847751</v>
      </c>
      <c r="G1156" s="1">
        <v>7.640042599498198E-2</v>
      </c>
    </row>
    <row r="1157" spans="1:7">
      <c r="A1157">
        <v>391</v>
      </c>
      <c r="B1157">
        <v>205</v>
      </c>
      <c r="C1157" s="1">
        <f>(Tabela1[[#This Row],[x]]-H$3)*(Tabela1[[#This Row],[x]]-H$3) +(Tabela1[[#This Row],[y]]-H$4)*(Tabela1[[#This Row],[y]]-H$4)</f>
        <v>36506</v>
      </c>
      <c r="D1157" s="1">
        <f>IF(Tabela1[[#This Row],[promien]]&lt;40000,1,0)</f>
        <v>1</v>
      </c>
      <c r="E1157" s="1">
        <f>IF(Tabela1[[#This Row],[promien]]=40000,1,0)</f>
        <v>0</v>
      </c>
      <c r="F1157" s="1">
        <v>3.2186689714779604</v>
      </c>
      <c r="G1157" s="1">
        <v>7.7076317888167267E-2</v>
      </c>
    </row>
    <row r="1158" spans="1:7">
      <c r="A1158">
        <v>251</v>
      </c>
      <c r="B1158">
        <v>363</v>
      </c>
      <c r="C1158" s="1">
        <f>(Tabela1[[#This Row],[x]]-H$3)*(Tabela1[[#This Row],[x]]-H$3) +(Tabela1[[#This Row],[y]]-H$4)*(Tabela1[[#This Row],[y]]-H$4)</f>
        <v>29170</v>
      </c>
      <c r="D1158" s="1">
        <f>IF(Tabela1[[#This Row],[promien]]&lt;40000,1,0)</f>
        <v>1</v>
      </c>
      <c r="E1158" s="1">
        <f>IF(Tabela1[[#This Row],[promien]]=40000,1,0)</f>
        <v>0</v>
      </c>
      <c r="F1158" s="1">
        <v>3.219343696027634</v>
      </c>
      <c r="G1158" s="1">
        <v>7.7751042437840923E-2</v>
      </c>
    </row>
    <row r="1159" spans="1:7">
      <c r="A1159">
        <v>215</v>
      </c>
      <c r="B1159">
        <v>187</v>
      </c>
      <c r="C1159" s="1">
        <f>(Tabela1[[#This Row],[x]]-H$3)*(Tabela1[[#This Row],[x]]-H$3) +(Tabela1[[#This Row],[y]]-H$4)*(Tabela1[[#This Row],[y]]-H$4)</f>
        <v>394</v>
      </c>
      <c r="D1159" s="1">
        <f>IF(Tabela1[[#This Row],[promien]]&lt;40000,1,0)</f>
        <v>1</v>
      </c>
      <c r="E1159" s="1">
        <f>IF(Tabela1[[#This Row],[promien]]=40000,1,0)</f>
        <v>0</v>
      </c>
      <c r="F1159" s="1">
        <v>3.2200172562553924</v>
      </c>
      <c r="G1159" s="1">
        <v>7.8424602665599252E-2</v>
      </c>
    </row>
    <row r="1160" spans="1:7">
      <c r="A1160">
        <v>98</v>
      </c>
      <c r="B1160">
        <v>400</v>
      </c>
      <c r="C1160" s="1">
        <f>(Tabela1[[#This Row],[x]]-H$3)*(Tabela1[[#This Row],[x]]-H$3) +(Tabela1[[#This Row],[y]]-H$4)*(Tabela1[[#This Row],[y]]-H$4)</f>
        <v>50404</v>
      </c>
      <c r="D1160" s="1">
        <f>IF(Tabela1[[#This Row],[promien]]&lt;40000,1,0)</f>
        <v>0</v>
      </c>
      <c r="E1160" s="1">
        <f>IF(Tabela1[[#This Row],[promien]]=40000,1,0)</f>
        <v>0</v>
      </c>
      <c r="F1160" s="1">
        <v>3.2172413793103449</v>
      </c>
      <c r="G1160" s="1">
        <v>7.5648725720551813E-2</v>
      </c>
    </row>
    <row r="1161" spans="1:7">
      <c r="A1161">
        <v>172</v>
      </c>
      <c r="B1161">
        <v>389</v>
      </c>
      <c r="C1161" s="1">
        <f>(Tabela1[[#This Row],[x]]-H$3)*(Tabela1[[#This Row],[x]]-H$3) +(Tabela1[[#This Row],[y]]-H$4)*(Tabela1[[#This Row],[y]]-H$4)</f>
        <v>36505</v>
      </c>
      <c r="D1161" s="1">
        <f>IF(Tabela1[[#This Row],[promien]]&lt;40000,1,0)</f>
        <v>1</v>
      </c>
      <c r="E1161" s="1">
        <f>IF(Tabela1[[#This Row],[promien]]=40000,1,0)</f>
        <v>0</v>
      </c>
      <c r="F1161" s="1">
        <v>3.2179155900086132</v>
      </c>
      <c r="G1161" s="1">
        <v>7.6322936418820042E-2</v>
      </c>
    </row>
    <row r="1162" spans="1:7">
      <c r="A1162">
        <v>92</v>
      </c>
      <c r="B1162">
        <v>19</v>
      </c>
      <c r="C1162" s="1">
        <f>(Tabela1[[#This Row],[x]]-H$3)*(Tabela1[[#This Row],[x]]-H$3) +(Tabela1[[#This Row],[y]]-H$4)*(Tabela1[[#This Row],[y]]-H$4)</f>
        <v>44425</v>
      </c>
      <c r="D1162" s="1">
        <f>IF(Tabela1[[#This Row],[promien]]&lt;40000,1,0)</f>
        <v>0</v>
      </c>
      <c r="E1162" s="1">
        <f>IF(Tabela1[[#This Row],[promien]]=40000,1,0)</f>
        <v>0</v>
      </c>
      <c r="F1162" s="1">
        <v>3.2151462994836488</v>
      </c>
      <c r="G1162" s="1">
        <v>7.3553645893855713E-2</v>
      </c>
    </row>
    <row r="1163" spans="1:7">
      <c r="A1163">
        <v>275</v>
      </c>
      <c r="B1163">
        <v>102</v>
      </c>
      <c r="C1163" s="1">
        <f>(Tabela1[[#This Row],[x]]-H$3)*(Tabela1[[#This Row],[x]]-H$3) +(Tabela1[[#This Row],[y]]-H$4)*(Tabela1[[#This Row],[y]]-H$4)</f>
        <v>15229</v>
      </c>
      <c r="D1163" s="1">
        <f>IF(Tabela1[[#This Row],[promien]]&lt;40000,1,0)</f>
        <v>1</v>
      </c>
      <c r="E1163" s="1">
        <f>IF(Tabela1[[#This Row],[promien]]=40000,1,0)</f>
        <v>0</v>
      </c>
      <c r="F1163" s="1">
        <v>3.2158211521926052</v>
      </c>
      <c r="G1163" s="1">
        <v>7.422849860281211E-2</v>
      </c>
    </row>
    <row r="1164" spans="1:7">
      <c r="A1164">
        <v>56</v>
      </c>
      <c r="B1164">
        <v>337</v>
      </c>
      <c r="C1164" s="1">
        <f>(Tabela1[[#This Row],[x]]-H$3)*(Tabela1[[#This Row],[x]]-H$3) +(Tabela1[[#This Row],[y]]-H$4)*(Tabela1[[#This Row],[y]]-H$4)</f>
        <v>39505</v>
      </c>
      <c r="D1164" s="1">
        <f>IF(Tabela1[[#This Row],[promien]]&lt;40000,1,0)</f>
        <v>1</v>
      </c>
      <c r="E1164" s="1">
        <f>IF(Tabela1[[#This Row],[promien]]=40000,1,0)</f>
        <v>0</v>
      </c>
      <c r="F1164" s="1">
        <v>3.2164948453608249</v>
      </c>
      <c r="G1164" s="1">
        <v>7.4902191771031745E-2</v>
      </c>
    </row>
    <row r="1165" spans="1:7">
      <c r="A1165">
        <v>243</v>
      </c>
      <c r="B1165">
        <v>89</v>
      </c>
      <c r="C1165" s="1">
        <f>(Tabela1[[#This Row],[x]]-H$3)*(Tabela1[[#This Row],[x]]-H$3) +(Tabela1[[#This Row],[y]]-H$4)*(Tabela1[[#This Row],[y]]-H$4)</f>
        <v>14170</v>
      </c>
      <c r="D1165" s="1">
        <f>IF(Tabela1[[#This Row],[promien]]&lt;40000,1,0)</f>
        <v>1</v>
      </c>
      <c r="E1165" s="1">
        <f>IF(Tabela1[[#This Row],[promien]]=40000,1,0)</f>
        <v>0</v>
      </c>
      <c r="F1165" s="1">
        <v>3.217167381974249</v>
      </c>
      <c r="G1165" s="1">
        <v>7.5574728384455891E-2</v>
      </c>
    </row>
    <row r="1166" spans="1:7">
      <c r="A1166">
        <v>262</v>
      </c>
      <c r="B1166">
        <v>81</v>
      </c>
      <c r="C1166" s="1">
        <f>(Tabela1[[#This Row],[x]]-H$3)*(Tabela1[[#This Row],[x]]-H$3) +(Tabela1[[#This Row],[y]]-H$4)*(Tabela1[[#This Row],[y]]-H$4)</f>
        <v>18005</v>
      </c>
      <c r="D1166" s="1">
        <f>IF(Tabela1[[#This Row],[promien]]&lt;40000,1,0)</f>
        <v>1</v>
      </c>
      <c r="E1166" s="1">
        <f>IF(Tabela1[[#This Row],[promien]]=40000,1,0)</f>
        <v>0</v>
      </c>
      <c r="F1166" s="1">
        <v>3.2178387650085765</v>
      </c>
      <c r="G1166" s="1">
        <v>7.6246111418783347E-2</v>
      </c>
    </row>
    <row r="1167" spans="1:7">
      <c r="A1167">
        <v>342</v>
      </c>
      <c r="B1167">
        <v>59</v>
      </c>
      <c r="C1167" s="1">
        <f>(Tabela1[[#This Row],[x]]-H$3)*(Tabela1[[#This Row],[x]]-H$3) +(Tabela1[[#This Row],[y]]-H$4)*(Tabela1[[#This Row],[y]]-H$4)</f>
        <v>40045</v>
      </c>
      <c r="D1167" s="1">
        <f>IF(Tabela1[[#This Row],[promien]]&lt;40000,1,0)</f>
        <v>0</v>
      </c>
      <c r="E1167" s="1">
        <f>IF(Tabela1[[#This Row],[promien]]=40000,1,0)</f>
        <v>0</v>
      </c>
      <c r="F1167" s="1">
        <v>3.2150814053127679</v>
      </c>
      <c r="G1167" s="1">
        <v>7.3488751722974754E-2</v>
      </c>
    </row>
    <row r="1168" spans="1:7">
      <c r="A1168">
        <v>201</v>
      </c>
      <c r="B1168">
        <v>96</v>
      </c>
      <c r="C1168" s="1">
        <f>(Tabela1[[#This Row],[x]]-H$3)*(Tabela1[[#This Row],[x]]-H$3) +(Tabela1[[#This Row],[y]]-H$4)*(Tabela1[[#This Row],[y]]-H$4)</f>
        <v>10817</v>
      </c>
      <c r="D1168" s="1">
        <f>IF(Tabela1[[#This Row],[promien]]&lt;40000,1,0)</f>
        <v>1</v>
      </c>
      <c r="E1168" s="1">
        <f>IF(Tabela1[[#This Row],[promien]]=40000,1,0)</f>
        <v>0</v>
      </c>
      <c r="F1168" s="1">
        <v>3.2157534246575343</v>
      </c>
      <c r="G1168" s="1">
        <v>7.4160771067741216E-2</v>
      </c>
    </row>
    <row r="1169" spans="1:7">
      <c r="A1169">
        <v>74</v>
      </c>
      <c r="B1169">
        <v>91</v>
      </c>
      <c r="C1169" s="1">
        <f>(Tabela1[[#This Row],[x]]-H$3)*(Tabela1[[#This Row],[x]]-H$3) +(Tabela1[[#This Row],[y]]-H$4)*(Tabela1[[#This Row],[y]]-H$4)</f>
        <v>27757</v>
      </c>
      <c r="D1169" s="1">
        <f>IF(Tabela1[[#This Row],[promien]]&lt;40000,1,0)</f>
        <v>1</v>
      </c>
      <c r="E1169" s="1">
        <f>IF(Tabela1[[#This Row],[promien]]=40000,1,0)</f>
        <v>0</v>
      </c>
      <c r="F1169" s="1">
        <v>3.2164242942686054</v>
      </c>
      <c r="G1169" s="1">
        <v>7.4831640678812317E-2</v>
      </c>
    </row>
    <row r="1170" spans="1:7">
      <c r="A1170">
        <v>211</v>
      </c>
      <c r="B1170">
        <v>130</v>
      </c>
      <c r="C1170" s="1">
        <f>(Tabela1[[#This Row],[x]]-H$3)*(Tabela1[[#This Row],[x]]-H$3) +(Tabela1[[#This Row],[y]]-H$4)*(Tabela1[[#This Row],[y]]-H$4)</f>
        <v>5021</v>
      </c>
      <c r="D1170" s="1">
        <f>IF(Tabela1[[#This Row],[promien]]&lt;40000,1,0)</f>
        <v>1</v>
      </c>
      <c r="E1170" s="1">
        <f>IF(Tabela1[[#This Row],[promien]]=40000,1,0)</f>
        <v>0</v>
      </c>
      <c r="F1170" s="1">
        <v>3.2170940170940172</v>
      </c>
      <c r="G1170" s="1">
        <v>7.5501363504224095E-2</v>
      </c>
    </row>
    <row r="1171" spans="1:7">
      <c r="A1171">
        <v>371</v>
      </c>
      <c r="B1171">
        <v>246</v>
      </c>
      <c r="C1171" s="1">
        <f>(Tabela1[[#This Row],[x]]-H$3)*(Tabela1[[#This Row],[x]]-H$3) +(Tabela1[[#This Row],[y]]-H$4)*(Tabela1[[#This Row],[y]]-H$4)</f>
        <v>31357</v>
      </c>
      <c r="D1171" s="1">
        <f>IF(Tabela1[[#This Row],[promien]]&lt;40000,1,0)</f>
        <v>1</v>
      </c>
      <c r="E1171" s="1">
        <f>IF(Tabela1[[#This Row],[promien]]=40000,1,0)</f>
        <v>0</v>
      </c>
      <c r="F1171" s="1">
        <v>3.2177625960717338</v>
      </c>
      <c r="G1171" s="1">
        <v>7.6169942481940645E-2</v>
      </c>
    </row>
    <row r="1172" spans="1:7">
      <c r="A1172">
        <v>400</v>
      </c>
      <c r="B1172">
        <v>114</v>
      </c>
      <c r="C1172" s="1">
        <f>(Tabela1[[#This Row],[x]]-H$3)*(Tabela1[[#This Row],[x]]-H$3) +(Tabela1[[#This Row],[y]]-H$4)*(Tabela1[[#This Row],[y]]-H$4)</f>
        <v>47396</v>
      </c>
      <c r="D1172" s="1">
        <f>IF(Tabela1[[#This Row],[promien]]&lt;40000,1,0)</f>
        <v>0</v>
      </c>
      <c r="E1172" s="1">
        <f>IF(Tabela1[[#This Row],[promien]]=40000,1,0)</f>
        <v>0</v>
      </c>
      <c r="F1172" s="1">
        <v>3.2150170648464163</v>
      </c>
      <c r="G1172" s="1">
        <v>7.3424411256623134E-2</v>
      </c>
    </row>
    <row r="1173" spans="1:7">
      <c r="A1173">
        <v>235</v>
      </c>
      <c r="B1173">
        <v>129</v>
      </c>
      <c r="C1173" s="1">
        <f>(Tabela1[[#This Row],[x]]-H$3)*(Tabela1[[#This Row],[x]]-H$3) +(Tabela1[[#This Row],[y]]-H$4)*(Tabela1[[#This Row],[y]]-H$4)</f>
        <v>6266</v>
      </c>
      <c r="D1173" s="1">
        <f>IF(Tabela1[[#This Row],[promien]]&lt;40000,1,0)</f>
        <v>1</v>
      </c>
      <c r="E1173" s="1">
        <f>IF(Tabela1[[#This Row],[promien]]=40000,1,0)</f>
        <v>0</v>
      </c>
      <c r="F1173" s="1">
        <v>3.215686274509804</v>
      </c>
      <c r="G1173" s="1">
        <v>7.4093620920010927E-2</v>
      </c>
    </row>
    <row r="1174" spans="1:7">
      <c r="A1174">
        <v>275</v>
      </c>
      <c r="B1174">
        <v>149</v>
      </c>
      <c r="C1174" s="1">
        <f>(Tabela1[[#This Row],[x]]-H$3)*(Tabela1[[#This Row],[x]]-H$3) +(Tabela1[[#This Row],[y]]-H$4)*(Tabela1[[#This Row],[y]]-H$4)</f>
        <v>8226</v>
      </c>
      <c r="D1174" s="1">
        <f>IF(Tabela1[[#This Row],[promien]]&lt;40000,1,0)</f>
        <v>1</v>
      </c>
      <c r="E1174" s="1">
        <f>IF(Tabela1[[#This Row],[promien]]=40000,1,0)</f>
        <v>0</v>
      </c>
      <c r="F1174" s="1">
        <v>3.2163543441226574</v>
      </c>
      <c r="G1174" s="1">
        <v>7.47616905328643E-2</v>
      </c>
    </row>
    <row r="1175" spans="1:7">
      <c r="A1175">
        <v>92</v>
      </c>
      <c r="B1175">
        <v>89</v>
      </c>
      <c r="C1175" s="1">
        <f>(Tabela1[[#This Row],[x]]-H$3)*(Tabela1[[#This Row],[x]]-H$3) +(Tabela1[[#This Row],[y]]-H$4)*(Tabela1[[#This Row],[y]]-H$4)</f>
        <v>23985</v>
      </c>
      <c r="D1175" s="1">
        <f>IF(Tabela1[[#This Row],[promien]]&lt;40000,1,0)</f>
        <v>1</v>
      </c>
      <c r="E1175" s="1">
        <f>IF(Tabela1[[#This Row],[promien]]=40000,1,0)</f>
        <v>0</v>
      </c>
      <c r="F1175" s="1">
        <v>3.2170212765957449</v>
      </c>
      <c r="G1175" s="1">
        <v>7.5428623005951767E-2</v>
      </c>
    </row>
    <row r="1176" spans="1:7">
      <c r="A1176">
        <v>248</v>
      </c>
      <c r="B1176">
        <v>370</v>
      </c>
      <c r="C1176" s="1">
        <f>(Tabela1[[#This Row],[x]]-H$3)*(Tabela1[[#This Row],[x]]-H$3) +(Tabela1[[#This Row],[y]]-H$4)*(Tabela1[[#This Row],[y]]-H$4)</f>
        <v>31204</v>
      </c>
      <c r="D1176" s="1">
        <f>IF(Tabela1[[#This Row],[promien]]&lt;40000,1,0)</f>
        <v>1</v>
      </c>
      <c r="E1176" s="1">
        <f>IF(Tabela1[[#This Row],[promien]]=40000,1,0)</f>
        <v>0</v>
      </c>
      <c r="F1176" s="1">
        <v>3.2176870748299318</v>
      </c>
      <c r="G1176" s="1">
        <v>7.6094421240138654E-2</v>
      </c>
    </row>
    <row r="1177" spans="1:7">
      <c r="A1177">
        <v>82</v>
      </c>
      <c r="B1177">
        <v>154</v>
      </c>
      <c r="C1177" s="1">
        <f>(Tabela1[[#This Row],[x]]-H$3)*(Tabela1[[#This Row],[x]]-H$3) +(Tabela1[[#This Row],[y]]-H$4)*(Tabela1[[#This Row],[y]]-H$4)</f>
        <v>16040</v>
      </c>
      <c r="D1177" s="1">
        <f>IF(Tabela1[[#This Row],[promien]]&lt;40000,1,0)</f>
        <v>1</v>
      </c>
      <c r="E1177" s="1">
        <f>IF(Tabela1[[#This Row],[promien]]=40000,1,0)</f>
        <v>0</v>
      </c>
      <c r="F1177" s="1">
        <v>3.2183517417162277</v>
      </c>
      <c r="G1177" s="1">
        <v>7.6759088126434616E-2</v>
      </c>
    </row>
    <row r="1178" spans="1:7">
      <c r="A1178">
        <v>257</v>
      </c>
      <c r="B1178">
        <v>159</v>
      </c>
      <c r="C1178" s="1">
        <f>(Tabela1[[#This Row],[x]]-H$3)*(Tabela1[[#This Row],[x]]-H$3) +(Tabela1[[#This Row],[y]]-H$4)*(Tabela1[[#This Row],[y]]-H$4)</f>
        <v>4930</v>
      </c>
      <c r="D1178" s="1">
        <f>IF(Tabela1[[#This Row],[promien]]&lt;40000,1,0)</f>
        <v>1</v>
      </c>
      <c r="E1178" s="1">
        <f>IF(Tabela1[[#This Row],[promien]]=40000,1,0)</f>
        <v>0</v>
      </c>
      <c r="F1178" s="1">
        <v>3.2190152801358236</v>
      </c>
      <c r="G1178" s="1">
        <v>7.7422626546030493E-2</v>
      </c>
    </row>
    <row r="1179" spans="1:7">
      <c r="A1179">
        <v>379</v>
      </c>
      <c r="B1179">
        <v>4</v>
      </c>
      <c r="C1179" s="1">
        <f>(Tabela1[[#This Row],[x]]-H$3)*(Tabela1[[#This Row],[x]]-H$3) +(Tabela1[[#This Row],[y]]-H$4)*(Tabela1[[#This Row],[y]]-H$4)</f>
        <v>70457</v>
      </c>
      <c r="D1179" s="1">
        <f>IF(Tabela1[[#This Row],[promien]]&lt;40000,1,0)</f>
        <v>0</v>
      </c>
      <c r="E1179" s="1">
        <f>IF(Tabela1[[#This Row],[promien]]=40000,1,0)</f>
        <v>0</v>
      </c>
      <c r="F1179" s="1">
        <v>3.2162849872773536</v>
      </c>
      <c r="G1179" s="1">
        <v>7.4692333687560453E-2</v>
      </c>
    </row>
    <row r="1180" spans="1:7">
      <c r="A1180">
        <v>109</v>
      </c>
      <c r="B1180">
        <v>388</v>
      </c>
      <c r="C1180" s="1">
        <f>(Tabela1[[#This Row],[x]]-H$3)*(Tabela1[[#This Row],[x]]-H$3) +(Tabela1[[#This Row],[y]]-H$4)*(Tabela1[[#This Row],[y]]-H$4)</f>
        <v>43625</v>
      </c>
      <c r="D1180" s="1">
        <f>IF(Tabela1[[#This Row],[promien]]&lt;40000,1,0)</f>
        <v>0</v>
      </c>
      <c r="E1180" s="1">
        <f>IF(Tabela1[[#This Row],[promien]]=40000,1,0)</f>
        <v>0</v>
      </c>
      <c r="F1180" s="1">
        <v>3.2135593220338983</v>
      </c>
      <c r="G1180" s="1">
        <v>7.1966668444105153E-2</v>
      </c>
    </row>
    <row r="1181" spans="1:7">
      <c r="A1181">
        <v>29</v>
      </c>
      <c r="B1181">
        <v>164</v>
      </c>
      <c r="C1181" s="1">
        <f>(Tabela1[[#This Row],[x]]-H$3)*(Tabela1[[#This Row],[x]]-H$3) +(Tabela1[[#This Row],[y]]-H$4)*(Tabela1[[#This Row],[y]]-H$4)</f>
        <v>30537</v>
      </c>
      <c r="D1181" s="1">
        <f>IF(Tabela1[[#This Row],[promien]]&lt;40000,1,0)</f>
        <v>1</v>
      </c>
      <c r="E1181" s="1">
        <f>IF(Tabela1[[#This Row],[promien]]=40000,1,0)</f>
        <v>0</v>
      </c>
      <c r="F1181" s="1">
        <v>3.2142252328535141</v>
      </c>
      <c r="G1181" s="1">
        <v>7.263257926372102E-2</v>
      </c>
    </row>
    <row r="1182" spans="1:7">
      <c r="A1182">
        <v>253</v>
      </c>
      <c r="B1182">
        <v>116</v>
      </c>
      <c r="C1182" s="1">
        <f>(Tabela1[[#This Row],[x]]-H$3)*(Tabela1[[#This Row],[x]]-H$3) +(Tabela1[[#This Row],[y]]-H$4)*(Tabela1[[#This Row],[y]]-H$4)</f>
        <v>9865</v>
      </c>
      <c r="D1182" s="1">
        <f>IF(Tabela1[[#This Row],[promien]]&lt;40000,1,0)</f>
        <v>1</v>
      </c>
      <c r="E1182" s="1">
        <f>IF(Tabela1[[#This Row],[promien]]=40000,1,0)</f>
        <v>0</v>
      </c>
      <c r="F1182" s="1">
        <v>3.2148900169204739</v>
      </c>
      <c r="G1182" s="1">
        <v>7.329736333068082E-2</v>
      </c>
    </row>
    <row r="1183" spans="1:7">
      <c r="A1183">
        <v>285</v>
      </c>
      <c r="B1183">
        <v>374</v>
      </c>
      <c r="C1183" s="1">
        <f>(Tabela1[[#This Row],[x]]-H$3)*(Tabela1[[#This Row],[x]]-H$3) +(Tabela1[[#This Row],[y]]-H$4)*(Tabela1[[#This Row],[y]]-H$4)</f>
        <v>37501</v>
      </c>
      <c r="D1183" s="1">
        <f>IF(Tabela1[[#This Row],[promien]]&lt;40000,1,0)</f>
        <v>1</v>
      </c>
      <c r="E1183" s="1">
        <f>IF(Tabela1[[#This Row],[promien]]=40000,1,0)</f>
        <v>0</v>
      </c>
      <c r="F1183" s="1">
        <v>3.2155536770921387</v>
      </c>
      <c r="G1183" s="1">
        <v>7.3961023502345569E-2</v>
      </c>
    </row>
    <row r="1184" spans="1:7">
      <c r="A1184">
        <v>39</v>
      </c>
      <c r="B1184">
        <v>275</v>
      </c>
      <c r="C1184" s="1">
        <f>(Tabela1[[#This Row],[x]]-H$3)*(Tabela1[[#This Row],[x]]-H$3) +(Tabela1[[#This Row],[y]]-H$4)*(Tabela1[[#This Row],[y]]-H$4)</f>
        <v>31546</v>
      </c>
      <c r="D1184" s="1">
        <f>IF(Tabela1[[#This Row],[promien]]&lt;40000,1,0)</f>
        <v>1</v>
      </c>
      <c r="E1184" s="1">
        <f>IF(Tabela1[[#This Row],[promien]]=40000,1,0)</f>
        <v>0</v>
      </c>
      <c r="F1184" s="1">
        <v>3.2162162162162162</v>
      </c>
      <c r="G1184" s="1">
        <v>7.4623562626423112E-2</v>
      </c>
    </row>
    <row r="1185" spans="1:7">
      <c r="A1185">
        <v>59</v>
      </c>
      <c r="B1185">
        <v>34</v>
      </c>
      <c r="C1185" s="1">
        <f>(Tabela1[[#This Row],[x]]-H$3)*(Tabela1[[#This Row],[x]]-H$3) +(Tabela1[[#This Row],[y]]-H$4)*(Tabela1[[#This Row],[y]]-H$4)</f>
        <v>47437</v>
      </c>
      <c r="D1185" s="1">
        <f>IF(Tabela1[[#This Row],[promien]]&lt;40000,1,0)</f>
        <v>0</v>
      </c>
      <c r="E1185" s="1">
        <f>IF(Tabela1[[#This Row],[promien]]=40000,1,0)</f>
        <v>0</v>
      </c>
      <c r="F1185" s="1">
        <v>3.2135021097046415</v>
      </c>
      <c r="G1185" s="1">
        <v>7.1909456114848336E-2</v>
      </c>
    </row>
    <row r="1186" spans="1:7">
      <c r="A1186">
        <v>1</v>
      </c>
      <c r="B1186">
        <v>258</v>
      </c>
      <c r="C1186" s="1">
        <f>(Tabela1[[#This Row],[x]]-H$3)*(Tabela1[[#This Row],[x]]-H$3) +(Tabela1[[#This Row],[y]]-H$4)*(Tabela1[[#This Row],[y]]-H$4)</f>
        <v>42965</v>
      </c>
      <c r="D1186" s="1">
        <f>IF(Tabela1[[#This Row],[promien]]&lt;40000,1,0)</f>
        <v>0</v>
      </c>
      <c r="E1186" s="1">
        <f>IF(Tabela1[[#This Row],[promien]]=40000,1,0)</f>
        <v>0</v>
      </c>
      <c r="F1186" s="1">
        <v>3.2107925801011805</v>
      </c>
      <c r="G1186" s="1">
        <v>6.91999265113874E-2</v>
      </c>
    </row>
    <row r="1187" spans="1:7">
      <c r="A1187">
        <v>282</v>
      </c>
      <c r="B1187">
        <v>1</v>
      </c>
      <c r="C1187" s="1">
        <f>(Tabela1[[#This Row],[x]]-H$3)*(Tabela1[[#This Row],[x]]-H$3) +(Tabela1[[#This Row],[y]]-H$4)*(Tabela1[[#This Row],[y]]-H$4)</f>
        <v>46325</v>
      </c>
      <c r="D1187" s="1">
        <f>IF(Tabela1[[#This Row],[promien]]&lt;40000,1,0)</f>
        <v>0</v>
      </c>
      <c r="E1187" s="1">
        <f>IF(Tabela1[[#This Row],[promien]]=40000,1,0)</f>
        <v>0</v>
      </c>
      <c r="F1187" s="1">
        <v>3.2080876158382479</v>
      </c>
      <c r="G1187" s="1">
        <v>6.6494962248454748E-2</v>
      </c>
    </row>
    <row r="1188" spans="1:7">
      <c r="A1188">
        <v>349</v>
      </c>
      <c r="B1188">
        <v>340</v>
      </c>
      <c r="C1188" s="1">
        <f>(Tabela1[[#This Row],[x]]-H$3)*(Tabela1[[#This Row],[x]]-H$3) +(Tabela1[[#This Row],[y]]-H$4)*(Tabela1[[#This Row],[y]]-H$4)</f>
        <v>41801</v>
      </c>
      <c r="D1188" s="1">
        <f>IF(Tabela1[[#This Row],[promien]]&lt;40000,1,0)</f>
        <v>0</v>
      </c>
      <c r="E1188" s="1">
        <f>IF(Tabela1[[#This Row],[promien]]=40000,1,0)</f>
        <v>0</v>
      </c>
      <c r="F1188" s="1">
        <v>3.2053872053872055</v>
      </c>
      <c r="G1188" s="1">
        <v>6.3794551797412336E-2</v>
      </c>
    </row>
    <row r="1189" spans="1:7">
      <c r="A1189">
        <v>17</v>
      </c>
      <c r="B1189">
        <v>387</v>
      </c>
      <c r="C1189" s="1">
        <f>(Tabela1[[#This Row],[x]]-H$3)*(Tabela1[[#This Row],[x]]-H$3) +(Tabela1[[#This Row],[y]]-H$4)*(Tabela1[[#This Row],[y]]-H$4)</f>
        <v>68458</v>
      </c>
      <c r="D1189" s="1">
        <f>IF(Tabela1[[#This Row],[promien]]&lt;40000,1,0)</f>
        <v>0</v>
      </c>
      <c r="E1189" s="1">
        <f>IF(Tabela1[[#This Row],[promien]]=40000,1,0)</f>
        <v>0</v>
      </c>
      <c r="F1189" s="1">
        <v>3.2026913372582002</v>
      </c>
      <c r="G1189" s="1">
        <v>6.1098683668407094E-2</v>
      </c>
    </row>
    <row r="1190" spans="1:7">
      <c r="A1190">
        <v>86</v>
      </c>
      <c r="B1190">
        <v>27</v>
      </c>
      <c r="C1190" s="1">
        <f>(Tabela1[[#This Row],[x]]-H$3)*(Tabela1[[#This Row],[x]]-H$3) +(Tabela1[[#This Row],[y]]-H$4)*(Tabela1[[#This Row],[y]]-H$4)</f>
        <v>42925</v>
      </c>
      <c r="D1190" s="1">
        <f>IF(Tabela1[[#This Row],[promien]]&lt;40000,1,0)</f>
        <v>0</v>
      </c>
      <c r="E1190" s="1">
        <f>IF(Tabela1[[#This Row],[promien]]=40000,1,0)</f>
        <v>0</v>
      </c>
      <c r="F1190" s="1">
        <v>3.2</v>
      </c>
      <c r="G1190" s="1">
        <v>5.8407346410207062E-2</v>
      </c>
    </row>
    <row r="1191" spans="1:7">
      <c r="A1191">
        <v>391</v>
      </c>
      <c r="B1191">
        <v>356</v>
      </c>
      <c r="C1191" s="1">
        <f>(Tabela1[[#This Row],[x]]-H$3)*(Tabela1[[#This Row],[x]]-H$3) +(Tabela1[[#This Row],[y]]-H$4)*(Tabela1[[#This Row],[y]]-H$4)</f>
        <v>60817</v>
      </c>
      <c r="D1191" s="1">
        <f>IF(Tabela1[[#This Row],[promien]]&lt;40000,1,0)</f>
        <v>0</v>
      </c>
      <c r="E1191" s="1">
        <f>IF(Tabela1[[#This Row],[promien]]=40000,1,0)</f>
        <v>0</v>
      </c>
      <c r="F1191" s="1">
        <v>3.197313182199832</v>
      </c>
      <c r="G1191" s="1">
        <v>5.5720528610038844E-2</v>
      </c>
    </row>
    <row r="1192" spans="1:7">
      <c r="A1192">
        <v>165</v>
      </c>
      <c r="B1192">
        <v>314</v>
      </c>
      <c r="C1192" s="1">
        <f>(Tabela1[[#This Row],[x]]-H$3)*(Tabela1[[#This Row],[x]]-H$3) +(Tabela1[[#This Row],[y]]-H$4)*(Tabela1[[#This Row],[y]]-H$4)</f>
        <v>14221</v>
      </c>
      <c r="D1192" s="1">
        <f>IF(Tabela1[[#This Row],[promien]]&lt;40000,1,0)</f>
        <v>1</v>
      </c>
      <c r="E1192" s="1">
        <f>IF(Tabela1[[#This Row],[promien]]=40000,1,0)</f>
        <v>0</v>
      </c>
      <c r="F1192" s="1">
        <v>3.1979865771812079</v>
      </c>
      <c r="G1192" s="1">
        <v>5.6393923591414818E-2</v>
      </c>
    </row>
    <row r="1193" spans="1:7">
      <c r="A1193">
        <v>373</v>
      </c>
      <c r="B1193">
        <v>148</v>
      </c>
      <c r="C1193" s="1">
        <f>(Tabela1[[#This Row],[x]]-H$3)*(Tabela1[[#This Row],[x]]-H$3) +(Tabela1[[#This Row],[y]]-H$4)*(Tabela1[[#This Row],[y]]-H$4)</f>
        <v>32633</v>
      </c>
      <c r="D1193" s="1">
        <f>IF(Tabela1[[#This Row],[promien]]&lt;40000,1,0)</f>
        <v>1</v>
      </c>
      <c r="E1193" s="1">
        <f>IF(Tabela1[[#This Row],[promien]]=40000,1,0)</f>
        <v>0</v>
      </c>
      <c r="F1193" s="1">
        <v>3.1986588432523053</v>
      </c>
      <c r="G1193" s="1">
        <v>5.7066189662512201E-2</v>
      </c>
    </row>
    <row r="1194" spans="1:7">
      <c r="A1194">
        <v>394</v>
      </c>
      <c r="B1194">
        <v>336</v>
      </c>
      <c r="C1194" s="1">
        <f>(Tabela1[[#This Row],[x]]-H$3)*(Tabela1[[#This Row],[x]]-H$3) +(Tabela1[[#This Row],[y]]-H$4)*(Tabela1[[#This Row],[y]]-H$4)</f>
        <v>56132</v>
      </c>
      <c r="D1194" s="1">
        <f>IF(Tabela1[[#This Row],[promien]]&lt;40000,1,0)</f>
        <v>0</v>
      </c>
      <c r="E1194" s="1">
        <f>IF(Tabela1[[#This Row],[promien]]=40000,1,0)</f>
        <v>0</v>
      </c>
      <c r="F1194" s="1">
        <v>3.1959798994974875</v>
      </c>
      <c r="G1194" s="1">
        <v>5.4387245907694393E-2</v>
      </c>
    </row>
    <row r="1195" spans="1:7">
      <c r="A1195">
        <v>157</v>
      </c>
      <c r="B1195">
        <v>297</v>
      </c>
      <c r="C1195" s="1">
        <f>(Tabela1[[#This Row],[x]]-H$3)*(Tabela1[[#This Row],[x]]-H$3) +(Tabela1[[#This Row],[y]]-H$4)*(Tabela1[[#This Row],[y]]-H$4)</f>
        <v>11258</v>
      </c>
      <c r="D1195" s="1">
        <f>IF(Tabela1[[#This Row],[promien]]&lt;40000,1,0)</f>
        <v>1</v>
      </c>
      <c r="E1195" s="1">
        <f>IF(Tabela1[[#This Row],[promien]]=40000,1,0)</f>
        <v>0</v>
      </c>
      <c r="F1195" s="1">
        <v>3.1966527196652721</v>
      </c>
      <c r="G1195" s="1">
        <v>5.5060066075478975E-2</v>
      </c>
    </row>
    <row r="1196" spans="1:7">
      <c r="A1196">
        <v>385</v>
      </c>
      <c r="B1196">
        <v>39</v>
      </c>
      <c r="C1196" s="1">
        <f>(Tabela1[[#This Row],[x]]-H$3)*(Tabela1[[#This Row],[x]]-H$3) +(Tabela1[[#This Row],[y]]-H$4)*(Tabela1[[#This Row],[y]]-H$4)</f>
        <v>60146</v>
      </c>
      <c r="D1196" s="1">
        <f>IF(Tabela1[[#This Row],[promien]]&lt;40000,1,0)</f>
        <v>0</v>
      </c>
      <c r="E1196" s="1">
        <f>IF(Tabela1[[#This Row],[promien]]=40000,1,0)</f>
        <v>0</v>
      </c>
      <c r="F1196" s="1">
        <v>3.1939799331103678</v>
      </c>
      <c r="G1196" s="1">
        <v>5.2387279520574648E-2</v>
      </c>
    </row>
    <row r="1197" spans="1:7">
      <c r="A1197">
        <v>169</v>
      </c>
      <c r="B1197">
        <v>50</v>
      </c>
      <c r="C1197" s="1">
        <f>(Tabela1[[#This Row],[x]]-H$3)*(Tabela1[[#This Row],[x]]-H$3) +(Tabela1[[#This Row],[y]]-H$4)*(Tabela1[[#This Row],[y]]-H$4)</f>
        <v>23461</v>
      </c>
      <c r="D1197" s="1">
        <f>IF(Tabela1[[#This Row],[promien]]&lt;40000,1,0)</f>
        <v>1</v>
      </c>
      <c r="E1197" s="1">
        <f>IF(Tabela1[[#This Row],[promien]]=40000,1,0)</f>
        <v>0</v>
      </c>
      <c r="F1197" s="1">
        <v>3.1946532999164576</v>
      </c>
      <c r="G1197" s="1">
        <v>5.3060646326664518E-2</v>
      </c>
    </row>
    <row r="1198" spans="1:7">
      <c r="A1198">
        <v>103</v>
      </c>
      <c r="B1198">
        <v>252</v>
      </c>
      <c r="C1198" s="1">
        <f>(Tabela1[[#This Row],[x]]-H$3)*(Tabela1[[#This Row],[x]]-H$3) +(Tabela1[[#This Row],[y]]-H$4)*(Tabela1[[#This Row],[y]]-H$4)</f>
        <v>12113</v>
      </c>
      <c r="D1198" s="1">
        <f>IF(Tabela1[[#This Row],[promien]]&lt;40000,1,0)</f>
        <v>1</v>
      </c>
      <c r="E1198" s="1">
        <f>IF(Tabela1[[#This Row],[promien]]=40000,1,0)</f>
        <v>0</v>
      </c>
      <c r="F1198" s="1">
        <v>3.1953255425709517</v>
      </c>
      <c r="G1198" s="1">
        <v>5.3732888981158577E-2</v>
      </c>
    </row>
    <row r="1199" spans="1:7">
      <c r="A1199">
        <v>204</v>
      </c>
      <c r="B1199">
        <v>142</v>
      </c>
      <c r="C1199" s="1">
        <f>(Tabela1[[#This Row],[x]]-H$3)*(Tabela1[[#This Row],[x]]-H$3) +(Tabela1[[#This Row],[y]]-H$4)*(Tabela1[[#This Row],[y]]-H$4)</f>
        <v>3380</v>
      </c>
      <c r="D1199" s="1">
        <f>IF(Tabela1[[#This Row],[promien]]&lt;40000,1,0)</f>
        <v>1</v>
      </c>
      <c r="E1199" s="1">
        <f>IF(Tabela1[[#This Row],[promien]]=40000,1,0)</f>
        <v>0</v>
      </c>
      <c r="F1199" s="1">
        <v>3.195996663886572</v>
      </c>
      <c r="G1199" s="1">
        <v>5.4404010296778882E-2</v>
      </c>
    </row>
    <row r="1200" spans="1:7">
      <c r="A1200">
        <v>316</v>
      </c>
      <c r="B1200">
        <v>70</v>
      </c>
      <c r="C1200" s="1">
        <f>(Tabela1[[#This Row],[x]]-H$3)*(Tabela1[[#This Row],[x]]-H$3) +(Tabela1[[#This Row],[y]]-H$4)*(Tabela1[[#This Row],[y]]-H$4)</f>
        <v>30356</v>
      </c>
      <c r="D1200" s="1">
        <f>IF(Tabela1[[#This Row],[promien]]&lt;40000,1,0)</f>
        <v>1</v>
      </c>
      <c r="E1200" s="1">
        <f>IF(Tabela1[[#This Row],[promien]]=40000,1,0)</f>
        <v>0</v>
      </c>
      <c r="F1200" s="1">
        <v>3.1966666666666668</v>
      </c>
      <c r="G1200" s="1">
        <v>5.5074013076873651E-2</v>
      </c>
    </row>
    <row r="1201" spans="1:7">
      <c r="A1201">
        <v>320</v>
      </c>
      <c r="B1201">
        <v>319</v>
      </c>
      <c r="C1201" s="1">
        <f>(Tabela1[[#This Row],[x]]-H$3)*(Tabela1[[#This Row],[x]]-H$3) +(Tabela1[[#This Row],[y]]-H$4)*(Tabela1[[#This Row],[y]]-H$4)</f>
        <v>28561</v>
      </c>
      <c r="D1201" s="1">
        <f>IF(Tabela1[[#This Row],[promien]]&lt;40000,1,0)</f>
        <v>1</v>
      </c>
      <c r="E1201" s="1">
        <f>IF(Tabela1[[#This Row],[promien]]=40000,1,0)</f>
        <v>0</v>
      </c>
      <c r="F1201" s="1">
        <v>3.1973355537052455</v>
      </c>
      <c r="G1201" s="1">
        <v>5.5742900115452354E-2</v>
      </c>
    </row>
    <row r="1202" spans="1:7">
      <c r="A1202">
        <v>277</v>
      </c>
      <c r="B1202">
        <v>234</v>
      </c>
      <c r="C1202" s="1">
        <f>(Tabela1[[#This Row],[x]]-H$3)*(Tabela1[[#This Row],[x]]-H$3) +(Tabela1[[#This Row],[y]]-H$4)*(Tabela1[[#This Row],[y]]-H$4)</f>
        <v>7085</v>
      </c>
      <c r="D1202" s="1">
        <f>IF(Tabela1[[#This Row],[promien]]&lt;40000,1,0)</f>
        <v>1</v>
      </c>
      <c r="E1202" s="1">
        <f>IF(Tabela1[[#This Row],[promien]]=40000,1,0)</f>
        <v>0</v>
      </c>
      <c r="F1202" s="1">
        <v>3.1980033277870215</v>
      </c>
      <c r="G1202" s="1">
        <v>5.6410674197228339E-2</v>
      </c>
    </row>
    <row r="1203" spans="1:7">
      <c r="A1203">
        <v>73</v>
      </c>
      <c r="B1203">
        <v>215</v>
      </c>
      <c r="C1203" s="1">
        <f>(Tabela1[[#This Row],[x]]-H$3)*(Tabela1[[#This Row],[x]]-H$3) +(Tabela1[[#This Row],[y]]-H$4)*(Tabela1[[#This Row],[y]]-H$4)</f>
        <v>16354</v>
      </c>
      <c r="D1203" s="1">
        <f>IF(Tabela1[[#This Row],[promien]]&lt;40000,1,0)</f>
        <v>1</v>
      </c>
      <c r="E1203" s="1">
        <f>IF(Tabela1[[#This Row],[promien]]=40000,1,0)</f>
        <v>0</v>
      </c>
      <c r="F1203" s="1">
        <v>3.1986699916874479</v>
      </c>
      <c r="G1203" s="1">
        <v>5.7077338097654806E-2</v>
      </c>
    </row>
    <row r="1204" spans="1:7">
      <c r="A1204">
        <v>265</v>
      </c>
      <c r="B1204">
        <v>183</v>
      </c>
      <c r="C1204" s="1">
        <f>(Tabela1[[#This Row],[x]]-H$3)*(Tabela1[[#This Row],[x]]-H$3) +(Tabela1[[#This Row],[y]]-H$4)*(Tabela1[[#This Row],[y]]-H$4)</f>
        <v>4514</v>
      </c>
      <c r="D1204" s="1">
        <f>IF(Tabela1[[#This Row],[promien]]&lt;40000,1,0)</f>
        <v>1</v>
      </c>
      <c r="E1204" s="1">
        <f>IF(Tabela1[[#This Row],[promien]]=40000,1,0)</f>
        <v>0</v>
      </c>
      <c r="F1204" s="1">
        <v>3.1993355481727574</v>
      </c>
      <c r="G1204" s="1">
        <v>5.7742894582964333E-2</v>
      </c>
    </row>
    <row r="1205" spans="1:7">
      <c r="A1205">
        <v>244</v>
      </c>
      <c r="B1205">
        <v>198</v>
      </c>
      <c r="C1205" s="1">
        <f>(Tabela1[[#This Row],[x]]-H$3)*(Tabela1[[#This Row],[x]]-H$3) +(Tabela1[[#This Row],[y]]-H$4)*(Tabela1[[#This Row],[y]]-H$4)</f>
        <v>1940</v>
      </c>
      <c r="D1205" s="1">
        <f>IF(Tabela1[[#This Row],[promien]]&lt;40000,1,0)</f>
        <v>1</v>
      </c>
      <c r="E1205" s="1">
        <f>IF(Tabela1[[#This Row],[promien]]=40000,1,0)</f>
        <v>0</v>
      </c>
      <c r="F1205" s="1">
        <v>3.2</v>
      </c>
      <c r="G1205" s="1">
        <v>5.8407346410207062E-2</v>
      </c>
    </row>
    <row r="1206" spans="1:7">
      <c r="A1206">
        <v>125</v>
      </c>
      <c r="B1206">
        <v>283</v>
      </c>
      <c r="C1206" s="1">
        <f>(Tabela1[[#This Row],[x]]-H$3)*(Tabela1[[#This Row],[x]]-H$3) +(Tabela1[[#This Row],[y]]-H$4)*(Tabela1[[#This Row],[y]]-H$4)</f>
        <v>12514</v>
      </c>
      <c r="D1206" s="1">
        <f>IF(Tabela1[[#This Row],[promien]]&lt;40000,1,0)</f>
        <v>1</v>
      </c>
      <c r="E1206" s="1">
        <f>IF(Tabela1[[#This Row],[promien]]=40000,1,0)</f>
        <v>0</v>
      </c>
      <c r="F1206" s="1">
        <v>3.2006633499170811</v>
      </c>
      <c r="G1206" s="1">
        <v>5.9070696327288008E-2</v>
      </c>
    </row>
    <row r="1207" spans="1:7">
      <c r="A1207">
        <v>9</v>
      </c>
      <c r="B1207">
        <v>135</v>
      </c>
      <c r="C1207" s="1">
        <f>(Tabela1[[#This Row],[x]]-H$3)*(Tabela1[[#This Row],[x]]-H$3) +(Tabela1[[#This Row],[y]]-H$4)*(Tabela1[[#This Row],[y]]-H$4)</f>
        <v>40706</v>
      </c>
      <c r="D1207" s="1">
        <f>IF(Tabela1[[#This Row],[promien]]&lt;40000,1,0)</f>
        <v>0</v>
      </c>
      <c r="E1207" s="1">
        <f>IF(Tabela1[[#This Row],[promien]]=40000,1,0)</f>
        <v>0</v>
      </c>
      <c r="F1207" s="1">
        <v>3.1980115990057993</v>
      </c>
      <c r="G1207" s="1">
        <v>5.6418945416006228E-2</v>
      </c>
    </row>
    <row r="1208" spans="1:7">
      <c r="A1208">
        <v>222</v>
      </c>
      <c r="B1208">
        <v>194</v>
      </c>
      <c r="C1208" s="1">
        <f>(Tabela1[[#This Row],[x]]-H$3)*(Tabela1[[#This Row],[x]]-H$3) +(Tabela1[[#This Row],[y]]-H$4)*(Tabela1[[#This Row],[y]]-H$4)</f>
        <v>520</v>
      </c>
      <c r="D1208" s="1">
        <f>IF(Tabela1[[#This Row],[promien]]&lt;40000,1,0)</f>
        <v>1</v>
      </c>
      <c r="E1208" s="1">
        <f>IF(Tabela1[[#This Row],[promien]]=40000,1,0)</f>
        <v>0</v>
      </c>
      <c r="F1208" s="1">
        <v>3.1986754966887418</v>
      </c>
      <c r="G1208" s="1">
        <v>5.7082843098948732E-2</v>
      </c>
    </row>
    <row r="1209" spans="1:7">
      <c r="A1209">
        <v>177</v>
      </c>
      <c r="B1209">
        <v>105</v>
      </c>
      <c r="C1209" s="1">
        <f>(Tabela1[[#This Row],[x]]-H$3)*(Tabela1[[#This Row],[x]]-H$3) +(Tabela1[[#This Row],[y]]-H$4)*(Tabela1[[#This Row],[y]]-H$4)</f>
        <v>9554</v>
      </c>
      <c r="D1209" s="1">
        <f>IF(Tabela1[[#This Row],[promien]]&lt;40000,1,0)</f>
        <v>1</v>
      </c>
      <c r="E1209" s="1">
        <f>IF(Tabela1[[#This Row],[promien]]=40000,1,0)</f>
        <v>0</v>
      </c>
      <c r="F1209" s="1">
        <v>3.1993382961124897</v>
      </c>
      <c r="G1209" s="1">
        <v>5.7745642522696539E-2</v>
      </c>
    </row>
    <row r="1210" spans="1:7">
      <c r="A1210">
        <v>327</v>
      </c>
      <c r="B1210">
        <v>189</v>
      </c>
      <c r="C1210" s="1">
        <f>(Tabela1[[#This Row],[x]]-H$3)*(Tabela1[[#This Row],[x]]-H$3) +(Tabela1[[#This Row],[y]]-H$4)*(Tabela1[[#This Row],[y]]-H$4)</f>
        <v>16250</v>
      </c>
      <c r="D1210" s="1">
        <f>IF(Tabela1[[#This Row],[promien]]&lt;40000,1,0)</f>
        <v>1</v>
      </c>
      <c r="E1210" s="1">
        <f>IF(Tabela1[[#This Row],[promien]]=40000,1,0)</f>
        <v>0</v>
      </c>
      <c r="F1210" s="1">
        <v>3.2</v>
      </c>
      <c r="G1210" s="1">
        <v>5.8407346410207062E-2</v>
      </c>
    </row>
    <row r="1211" spans="1:7">
      <c r="A1211">
        <v>349</v>
      </c>
      <c r="B1211">
        <v>188</v>
      </c>
      <c r="C1211" s="1">
        <f>(Tabela1[[#This Row],[x]]-H$3)*(Tabela1[[#This Row],[x]]-H$3) +(Tabela1[[#This Row],[y]]-H$4)*(Tabela1[[#This Row],[y]]-H$4)</f>
        <v>22345</v>
      </c>
      <c r="D1211" s="1">
        <f>IF(Tabela1[[#This Row],[promien]]&lt;40000,1,0)</f>
        <v>1</v>
      </c>
      <c r="E1211" s="1">
        <f>IF(Tabela1[[#This Row],[promien]]=40000,1,0)</f>
        <v>0</v>
      </c>
      <c r="F1211" s="1">
        <v>3.2006606110652354</v>
      </c>
      <c r="G1211" s="1">
        <v>5.9067957475442245E-2</v>
      </c>
    </row>
    <row r="1212" spans="1:7">
      <c r="A1212">
        <v>240</v>
      </c>
      <c r="B1212">
        <v>37</v>
      </c>
      <c r="C1212" s="1">
        <f>(Tabela1[[#This Row],[x]]-H$3)*(Tabela1[[#This Row],[x]]-H$3) +(Tabela1[[#This Row],[y]]-H$4)*(Tabela1[[#This Row],[y]]-H$4)</f>
        <v>28169</v>
      </c>
      <c r="D1212" s="1">
        <f>IF(Tabela1[[#This Row],[promien]]&lt;40000,1,0)</f>
        <v>1</v>
      </c>
      <c r="E1212" s="1">
        <f>IF(Tabela1[[#This Row],[promien]]=40000,1,0)</f>
        <v>0</v>
      </c>
      <c r="F1212" s="1">
        <v>3.2013201320132012</v>
      </c>
      <c r="G1212" s="1">
        <v>5.9727478423408087E-2</v>
      </c>
    </row>
    <row r="1213" spans="1:7">
      <c r="A1213">
        <v>333</v>
      </c>
      <c r="B1213">
        <v>315</v>
      </c>
      <c r="C1213" s="1">
        <f>(Tabela1[[#This Row],[x]]-H$3)*(Tabela1[[#This Row],[x]]-H$3) +(Tabela1[[#This Row],[y]]-H$4)*(Tabela1[[#This Row],[y]]-H$4)</f>
        <v>30914</v>
      </c>
      <c r="D1213" s="1">
        <f>IF(Tabela1[[#This Row],[promien]]&lt;40000,1,0)</f>
        <v>1</v>
      </c>
      <c r="E1213" s="1">
        <f>IF(Tabela1[[#This Row],[promien]]=40000,1,0)</f>
        <v>0</v>
      </c>
      <c r="F1213" s="1">
        <v>3.2019785655399837</v>
      </c>
      <c r="G1213" s="1">
        <v>6.0385911950190607E-2</v>
      </c>
    </row>
    <row r="1214" spans="1:7">
      <c r="A1214">
        <v>119</v>
      </c>
      <c r="B1214">
        <v>107</v>
      </c>
      <c r="C1214" s="1">
        <f>(Tabela1[[#This Row],[x]]-H$3)*(Tabela1[[#This Row],[x]]-H$3) +(Tabela1[[#This Row],[y]]-H$4)*(Tabela1[[#This Row],[y]]-H$4)</f>
        <v>15210</v>
      </c>
      <c r="D1214" s="1">
        <f>IF(Tabela1[[#This Row],[promien]]&lt;40000,1,0)</f>
        <v>1</v>
      </c>
      <c r="E1214" s="1">
        <f>IF(Tabela1[[#This Row],[promien]]=40000,1,0)</f>
        <v>0</v>
      </c>
      <c r="F1214" s="1">
        <v>3.2026359143327841</v>
      </c>
      <c r="G1214" s="1">
        <v>6.1043260742990935E-2</v>
      </c>
    </row>
    <row r="1215" spans="1:7">
      <c r="A1215">
        <v>154</v>
      </c>
      <c r="B1215">
        <v>60</v>
      </c>
      <c r="C1215" s="1">
        <f>(Tabela1[[#This Row],[x]]-H$3)*(Tabela1[[#This Row],[x]]-H$3) +(Tabela1[[#This Row],[y]]-H$4)*(Tabela1[[#This Row],[y]]-H$4)</f>
        <v>21716</v>
      </c>
      <c r="D1215" s="1">
        <f>IF(Tabela1[[#This Row],[promien]]&lt;40000,1,0)</f>
        <v>1</v>
      </c>
      <c r="E1215" s="1">
        <f>IF(Tabela1[[#This Row],[promien]]=40000,1,0)</f>
        <v>0</v>
      </c>
      <c r="F1215" s="1">
        <v>3.2032921810699588</v>
      </c>
      <c r="G1215" s="1">
        <v>6.1699527480165717E-2</v>
      </c>
    </row>
    <row r="1216" spans="1:7">
      <c r="A1216">
        <v>85</v>
      </c>
      <c r="B1216">
        <v>193</v>
      </c>
      <c r="C1216" s="1">
        <f>(Tabela1[[#This Row],[x]]-H$3)*(Tabela1[[#This Row],[x]]-H$3) +(Tabela1[[#This Row],[y]]-H$4)*(Tabela1[[#This Row],[y]]-H$4)</f>
        <v>13274</v>
      </c>
      <c r="D1216" s="1">
        <f>IF(Tabela1[[#This Row],[promien]]&lt;40000,1,0)</f>
        <v>1</v>
      </c>
      <c r="E1216" s="1">
        <f>IF(Tabela1[[#This Row],[promien]]=40000,1,0)</f>
        <v>0</v>
      </c>
      <c r="F1216" s="1">
        <v>3.2039473684210527</v>
      </c>
      <c r="G1216" s="1">
        <v>6.2354714831259539E-2</v>
      </c>
    </row>
    <row r="1217" spans="1:7">
      <c r="A1217">
        <v>315</v>
      </c>
      <c r="B1217">
        <v>158</v>
      </c>
      <c r="C1217" s="1">
        <f>(Tabela1[[#This Row],[x]]-H$3)*(Tabela1[[#This Row],[x]]-H$3) +(Tabela1[[#This Row],[y]]-H$4)*(Tabela1[[#This Row],[y]]-H$4)</f>
        <v>14989</v>
      </c>
      <c r="D1217" s="1">
        <f>IF(Tabela1[[#This Row],[promien]]&lt;40000,1,0)</f>
        <v>1</v>
      </c>
      <c r="E1217" s="1">
        <f>IF(Tabela1[[#This Row],[promien]]=40000,1,0)</f>
        <v>0</v>
      </c>
      <c r="F1217" s="1">
        <v>3.2046014790468367</v>
      </c>
      <c r="G1217" s="1">
        <v>6.300882545704356E-2</v>
      </c>
    </row>
    <row r="1218" spans="1:7">
      <c r="A1218">
        <v>286</v>
      </c>
      <c r="B1218">
        <v>241</v>
      </c>
      <c r="C1218" s="1">
        <f>(Tabela1[[#This Row],[x]]-H$3)*(Tabela1[[#This Row],[x]]-H$3) +(Tabela1[[#This Row],[y]]-H$4)*(Tabela1[[#This Row],[y]]-H$4)</f>
        <v>9077</v>
      </c>
      <c r="D1218" s="1">
        <f>IF(Tabela1[[#This Row],[promien]]&lt;40000,1,0)</f>
        <v>1</v>
      </c>
      <c r="E1218" s="1">
        <f>IF(Tabela1[[#This Row],[promien]]=40000,1,0)</f>
        <v>0</v>
      </c>
      <c r="F1218" s="1">
        <v>3.2052545155993433</v>
      </c>
      <c r="G1218" s="1">
        <v>6.3661862009550152E-2</v>
      </c>
    </row>
    <row r="1219" spans="1:7">
      <c r="A1219">
        <v>320</v>
      </c>
      <c r="B1219">
        <v>260</v>
      </c>
      <c r="C1219" s="1">
        <f>(Tabela1[[#This Row],[x]]-H$3)*(Tabela1[[#This Row],[x]]-H$3) +(Tabela1[[#This Row],[y]]-H$4)*(Tabela1[[#This Row],[y]]-H$4)</f>
        <v>18000</v>
      </c>
      <c r="D1219" s="1">
        <f>IF(Tabela1[[#This Row],[promien]]&lt;40000,1,0)</f>
        <v>1</v>
      </c>
      <c r="E1219" s="1">
        <f>IF(Tabela1[[#This Row],[promien]]=40000,1,0)</f>
        <v>0</v>
      </c>
      <c r="F1219" s="1">
        <v>3.2059064807219033</v>
      </c>
      <c r="G1219" s="1">
        <v>6.4313827132110202E-2</v>
      </c>
    </row>
    <row r="1220" spans="1:7">
      <c r="A1220">
        <v>36</v>
      </c>
      <c r="B1220">
        <v>26</v>
      </c>
      <c r="C1220" s="1">
        <f>(Tabela1[[#This Row],[x]]-H$3)*(Tabela1[[#This Row],[x]]-H$3) +(Tabela1[[#This Row],[y]]-H$4)*(Tabela1[[#This Row],[y]]-H$4)</f>
        <v>57172</v>
      </c>
      <c r="D1220" s="1">
        <f>IF(Tabela1[[#This Row],[promien]]&lt;40000,1,0)</f>
        <v>0</v>
      </c>
      <c r="E1220" s="1">
        <f>IF(Tabela1[[#This Row],[promien]]=40000,1,0)</f>
        <v>0</v>
      </c>
      <c r="F1220" s="1">
        <v>3.2032786885245903</v>
      </c>
      <c r="G1220" s="1">
        <v>6.1686034934797185E-2</v>
      </c>
    </row>
    <row r="1221" spans="1:7">
      <c r="A1221">
        <v>213</v>
      </c>
      <c r="B1221">
        <v>275</v>
      </c>
      <c r="C1221" s="1">
        <f>(Tabela1[[#This Row],[x]]-H$3)*(Tabela1[[#This Row],[x]]-H$3) +(Tabela1[[#This Row],[y]]-H$4)*(Tabela1[[#This Row],[y]]-H$4)</f>
        <v>5794</v>
      </c>
      <c r="D1221" s="1">
        <f>IF(Tabela1[[#This Row],[promien]]&lt;40000,1,0)</f>
        <v>1</v>
      </c>
      <c r="E1221" s="1">
        <f>IF(Tabela1[[#This Row],[promien]]=40000,1,0)</f>
        <v>0</v>
      </c>
      <c r="F1221" s="1">
        <v>3.2039312039312038</v>
      </c>
      <c r="G1221" s="1">
        <v>6.233855034141067E-2</v>
      </c>
    </row>
    <row r="1222" spans="1:7">
      <c r="A1222">
        <v>340</v>
      </c>
      <c r="B1222">
        <v>306</v>
      </c>
      <c r="C1222" s="1">
        <f>(Tabela1[[#This Row],[x]]-H$3)*(Tabela1[[#This Row],[x]]-H$3) +(Tabela1[[#This Row],[y]]-H$4)*(Tabela1[[#This Row],[y]]-H$4)</f>
        <v>30836</v>
      </c>
      <c r="D1222" s="1">
        <f>IF(Tabela1[[#This Row],[promien]]&lt;40000,1,0)</f>
        <v>1</v>
      </c>
      <c r="E1222" s="1">
        <f>IF(Tabela1[[#This Row],[promien]]=40000,1,0)</f>
        <v>0</v>
      </c>
      <c r="F1222" s="1">
        <v>3.2045826513911622</v>
      </c>
      <c r="G1222" s="1">
        <v>6.2989997801369046E-2</v>
      </c>
    </row>
    <row r="1223" spans="1:7">
      <c r="A1223">
        <v>121</v>
      </c>
      <c r="B1223">
        <v>50</v>
      </c>
      <c r="C1223" s="1">
        <f>(Tabela1[[#This Row],[x]]-H$3)*(Tabela1[[#This Row],[x]]-H$3) +(Tabela1[[#This Row],[y]]-H$4)*(Tabela1[[#This Row],[y]]-H$4)</f>
        <v>28741</v>
      </c>
      <c r="D1223" s="1">
        <f>IF(Tabela1[[#This Row],[promien]]&lt;40000,1,0)</f>
        <v>1</v>
      </c>
      <c r="E1223" s="1">
        <f>IF(Tabela1[[#This Row],[promien]]=40000,1,0)</f>
        <v>0</v>
      </c>
      <c r="F1223" s="1">
        <v>3.205233033524121</v>
      </c>
      <c r="G1223" s="1">
        <v>6.3640379934327918E-2</v>
      </c>
    </row>
    <row r="1224" spans="1:7">
      <c r="A1224">
        <v>322</v>
      </c>
      <c r="B1224">
        <v>362</v>
      </c>
      <c r="C1224" s="1">
        <f>(Tabela1[[#This Row],[x]]-H$3)*(Tabela1[[#This Row],[x]]-H$3) +(Tabela1[[#This Row],[y]]-H$4)*(Tabela1[[#This Row],[y]]-H$4)</f>
        <v>41128</v>
      </c>
      <c r="D1224" s="1">
        <f>IF(Tabela1[[#This Row],[promien]]&lt;40000,1,0)</f>
        <v>0</v>
      </c>
      <c r="E1224" s="1">
        <f>IF(Tabela1[[#This Row],[promien]]=40000,1,0)</f>
        <v>0</v>
      </c>
      <c r="F1224" s="1">
        <v>3.2026143790849675</v>
      </c>
      <c r="G1224" s="1">
        <v>6.1021725495174373E-2</v>
      </c>
    </row>
    <row r="1225" spans="1:7">
      <c r="A1225">
        <v>303</v>
      </c>
      <c r="B1225">
        <v>243</v>
      </c>
      <c r="C1225" s="1">
        <f>(Tabela1[[#This Row],[x]]-H$3)*(Tabela1[[#This Row],[x]]-H$3) +(Tabela1[[#This Row],[y]]-H$4)*(Tabela1[[#This Row],[y]]-H$4)</f>
        <v>12458</v>
      </c>
      <c r="D1225" s="1">
        <f>IF(Tabela1[[#This Row],[promien]]&lt;40000,1,0)</f>
        <v>1</v>
      </c>
      <c r="E1225" s="1">
        <f>IF(Tabela1[[#This Row],[promien]]=40000,1,0)</f>
        <v>0</v>
      </c>
      <c r="F1225" s="1">
        <v>3.2032653061224492</v>
      </c>
      <c r="G1225" s="1">
        <v>6.167265253265608E-2</v>
      </c>
    </row>
    <row r="1226" spans="1:7">
      <c r="A1226">
        <v>45</v>
      </c>
      <c r="B1226">
        <v>356</v>
      </c>
      <c r="C1226" s="1">
        <f>(Tabela1[[#This Row],[x]]-H$3)*(Tabela1[[#This Row],[x]]-H$3) +(Tabela1[[#This Row],[y]]-H$4)*(Tabela1[[#This Row],[y]]-H$4)</f>
        <v>48361</v>
      </c>
      <c r="D1226" s="1">
        <f>IF(Tabela1[[#This Row],[promien]]&lt;40000,1,0)</f>
        <v>0</v>
      </c>
      <c r="E1226" s="1">
        <f>IF(Tabela1[[#This Row],[promien]]=40000,1,0)</f>
        <v>0</v>
      </c>
      <c r="F1226" s="1">
        <v>3.2006525285481238</v>
      </c>
      <c r="G1226" s="1">
        <v>5.9059874958330649E-2</v>
      </c>
    </row>
    <row r="1227" spans="1:7">
      <c r="A1227">
        <v>17</v>
      </c>
      <c r="B1227">
        <v>68</v>
      </c>
      <c r="C1227" s="1">
        <f>(Tabela1[[#This Row],[x]]-H$3)*(Tabela1[[#This Row],[x]]-H$3) +(Tabela1[[#This Row],[y]]-H$4)*(Tabela1[[#This Row],[y]]-H$4)</f>
        <v>50913</v>
      </c>
      <c r="D1227" s="1">
        <f>IF(Tabela1[[#This Row],[promien]]&lt;40000,1,0)</f>
        <v>0</v>
      </c>
      <c r="E1227" s="1">
        <f>IF(Tabela1[[#This Row],[promien]]=40000,1,0)</f>
        <v>0</v>
      </c>
      <c r="F1227" s="1">
        <v>3.198044009779951</v>
      </c>
      <c r="G1227" s="1">
        <v>5.6451356190157842E-2</v>
      </c>
    </row>
    <row r="1228" spans="1:7">
      <c r="A1228">
        <v>33</v>
      </c>
      <c r="B1228">
        <v>271</v>
      </c>
      <c r="C1228" s="1">
        <f>(Tabela1[[#This Row],[x]]-H$3)*(Tabela1[[#This Row],[x]]-H$3) +(Tabela1[[#This Row],[y]]-H$4)*(Tabela1[[#This Row],[y]]-H$4)</f>
        <v>32930</v>
      </c>
      <c r="D1228" s="1">
        <f>IF(Tabela1[[#This Row],[promien]]&lt;40000,1,0)</f>
        <v>1</v>
      </c>
      <c r="E1228" s="1">
        <f>IF(Tabela1[[#This Row],[promien]]=40000,1,0)</f>
        <v>0</v>
      </c>
      <c r="F1228" s="1">
        <v>3.1986970684039089</v>
      </c>
      <c r="G1228" s="1">
        <v>5.7104414814115767E-2</v>
      </c>
    </row>
    <row r="1229" spans="1:7">
      <c r="A1229">
        <v>20</v>
      </c>
      <c r="B1229">
        <v>44</v>
      </c>
      <c r="C1229" s="1">
        <f>(Tabela1[[#This Row],[x]]-H$3)*(Tabela1[[#This Row],[x]]-H$3) +(Tabela1[[#This Row],[y]]-H$4)*(Tabela1[[#This Row],[y]]-H$4)</f>
        <v>56736</v>
      </c>
      <c r="D1229" s="1">
        <f>IF(Tabela1[[#This Row],[promien]]&lt;40000,1,0)</f>
        <v>0</v>
      </c>
      <c r="E1229" s="1">
        <f>IF(Tabela1[[#This Row],[promien]]=40000,1,0)</f>
        <v>0</v>
      </c>
      <c r="F1229" s="1">
        <v>3.1960943856794142</v>
      </c>
      <c r="G1229" s="1">
        <v>5.4501732089621058E-2</v>
      </c>
    </row>
    <row r="1230" spans="1:7">
      <c r="A1230">
        <v>196</v>
      </c>
      <c r="B1230">
        <v>211</v>
      </c>
      <c r="C1230" s="1">
        <f>(Tabela1[[#This Row],[x]]-H$3)*(Tabela1[[#This Row],[x]]-H$3) +(Tabela1[[#This Row],[y]]-H$4)*(Tabela1[[#This Row],[y]]-H$4)</f>
        <v>137</v>
      </c>
      <c r="D1230" s="1">
        <f>IF(Tabela1[[#This Row],[promien]]&lt;40000,1,0)</f>
        <v>1</v>
      </c>
      <c r="E1230" s="1">
        <f>IF(Tabela1[[#This Row],[promien]]=40000,1,0)</f>
        <v>0</v>
      </c>
      <c r="F1230" s="1">
        <v>3.1967479674796748</v>
      </c>
      <c r="G1230" s="1">
        <v>5.5155313889881707E-2</v>
      </c>
    </row>
    <row r="1231" spans="1:7">
      <c r="A1231">
        <v>198</v>
      </c>
      <c r="B1231">
        <v>303</v>
      </c>
      <c r="C1231" s="1">
        <f>(Tabela1[[#This Row],[x]]-H$3)*(Tabela1[[#This Row],[x]]-H$3) +(Tabela1[[#This Row],[y]]-H$4)*(Tabela1[[#This Row],[y]]-H$4)</f>
        <v>10613</v>
      </c>
      <c r="D1231" s="1">
        <f>IF(Tabela1[[#This Row],[promien]]&lt;40000,1,0)</f>
        <v>1</v>
      </c>
      <c r="E1231" s="1">
        <f>IF(Tabela1[[#This Row],[promien]]=40000,1,0)</f>
        <v>0</v>
      </c>
      <c r="F1231" s="1">
        <v>3.1974004874086108</v>
      </c>
      <c r="G1231" s="1">
        <v>5.5807833818817709E-2</v>
      </c>
    </row>
    <row r="1232" spans="1:7">
      <c r="A1232">
        <v>22</v>
      </c>
      <c r="B1232">
        <v>88</v>
      </c>
      <c r="C1232" s="1">
        <f>(Tabela1[[#This Row],[x]]-H$3)*(Tabela1[[#This Row],[x]]-H$3) +(Tabela1[[#This Row],[y]]-H$4)*(Tabela1[[#This Row],[y]]-H$4)</f>
        <v>44228</v>
      </c>
      <c r="D1232" s="1">
        <f>IF(Tabela1[[#This Row],[promien]]&lt;40000,1,0)</f>
        <v>0</v>
      </c>
      <c r="E1232" s="1">
        <f>IF(Tabela1[[#This Row],[promien]]=40000,1,0)</f>
        <v>0</v>
      </c>
      <c r="F1232" s="1">
        <v>3.1948051948051948</v>
      </c>
      <c r="G1232" s="1">
        <v>5.3212541215401643E-2</v>
      </c>
    </row>
    <row r="1233" spans="1:7">
      <c r="A1233">
        <v>43</v>
      </c>
      <c r="B1233">
        <v>210</v>
      </c>
      <c r="C1233" s="1">
        <f>(Tabela1[[#This Row],[x]]-H$3)*(Tabela1[[#This Row],[x]]-H$3) +(Tabela1[[#This Row],[y]]-H$4)*(Tabela1[[#This Row],[y]]-H$4)</f>
        <v>24749</v>
      </c>
      <c r="D1233" s="1">
        <f>IF(Tabela1[[#This Row],[promien]]&lt;40000,1,0)</f>
        <v>1</v>
      </c>
      <c r="E1233" s="1">
        <f>IF(Tabela1[[#This Row],[promien]]=40000,1,0)</f>
        <v>0</v>
      </c>
      <c r="F1233" s="1">
        <v>3.1954582319545821</v>
      </c>
      <c r="G1233" s="1">
        <v>5.3865578364789002E-2</v>
      </c>
    </row>
    <row r="1234" spans="1:7">
      <c r="A1234">
        <v>159</v>
      </c>
      <c r="B1234">
        <v>360</v>
      </c>
      <c r="C1234" s="1">
        <f>(Tabela1[[#This Row],[x]]-H$3)*(Tabela1[[#This Row],[x]]-H$3) +(Tabela1[[#This Row],[y]]-H$4)*(Tabela1[[#This Row],[y]]-H$4)</f>
        <v>27281</v>
      </c>
      <c r="D1234" s="1">
        <f>IF(Tabela1[[#This Row],[promien]]&lt;40000,1,0)</f>
        <v>1</v>
      </c>
      <c r="E1234" s="1">
        <f>IF(Tabela1[[#This Row],[promien]]=40000,1,0)</f>
        <v>0</v>
      </c>
      <c r="F1234" s="1">
        <v>3.1961102106969204</v>
      </c>
      <c r="G1234" s="1">
        <v>5.4517557107127246E-2</v>
      </c>
    </row>
    <row r="1235" spans="1:7">
      <c r="A1235">
        <v>159</v>
      </c>
      <c r="B1235">
        <v>388</v>
      </c>
      <c r="C1235" s="1">
        <f>(Tabela1[[#This Row],[x]]-H$3)*(Tabela1[[#This Row],[x]]-H$3) +(Tabela1[[#This Row],[y]]-H$4)*(Tabela1[[#This Row],[y]]-H$4)</f>
        <v>37025</v>
      </c>
      <c r="D1235" s="1">
        <f>IF(Tabela1[[#This Row],[promien]]&lt;40000,1,0)</f>
        <v>1</v>
      </c>
      <c r="E1235" s="1">
        <f>IF(Tabela1[[#This Row],[promien]]=40000,1,0)</f>
        <v>0</v>
      </c>
      <c r="F1235" s="1">
        <v>3.1967611336032387</v>
      </c>
      <c r="G1235" s="1">
        <v>5.5168480013445542E-2</v>
      </c>
    </row>
    <row r="1236" spans="1:7">
      <c r="A1236">
        <v>55</v>
      </c>
      <c r="B1236">
        <v>90</v>
      </c>
      <c r="C1236" s="1">
        <f>(Tabela1[[#This Row],[x]]-H$3)*(Tabela1[[#This Row],[x]]-H$3) +(Tabela1[[#This Row],[y]]-H$4)*(Tabela1[[#This Row],[y]]-H$4)</f>
        <v>33125</v>
      </c>
      <c r="D1236" s="1">
        <f>IF(Tabela1[[#This Row],[promien]]&lt;40000,1,0)</f>
        <v>1</v>
      </c>
      <c r="E1236" s="1">
        <f>IF(Tabela1[[#This Row],[promien]]=40000,1,0)</f>
        <v>0</v>
      </c>
      <c r="F1236" s="1">
        <v>3.1974110032362462</v>
      </c>
      <c r="G1236" s="1">
        <v>5.5818349646453047E-2</v>
      </c>
    </row>
    <row r="1237" spans="1:7">
      <c r="A1237">
        <v>375</v>
      </c>
      <c r="B1237">
        <v>377</v>
      </c>
      <c r="C1237" s="1">
        <f>(Tabela1[[#This Row],[x]]-H$3)*(Tabela1[[#This Row],[x]]-H$3) +(Tabela1[[#This Row],[y]]-H$4)*(Tabela1[[#This Row],[y]]-H$4)</f>
        <v>61954</v>
      </c>
      <c r="D1237" s="1">
        <f>IF(Tabela1[[#This Row],[promien]]&lt;40000,1,0)</f>
        <v>0</v>
      </c>
      <c r="E1237" s="1">
        <f>IF(Tabela1[[#This Row],[promien]]=40000,1,0)</f>
        <v>0</v>
      </c>
      <c r="F1237" s="1">
        <v>3.1948261924009702</v>
      </c>
      <c r="G1237" s="1">
        <v>5.3233538811177095E-2</v>
      </c>
    </row>
    <row r="1238" spans="1:7">
      <c r="A1238">
        <v>55</v>
      </c>
      <c r="B1238">
        <v>161</v>
      </c>
      <c r="C1238" s="1">
        <f>(Tabela1[[#This Row],[x]]-H$3)*(Tabela1[[#This Row],[x]]-H$3) +(Tabela1[[#This Row],[y]]-H$4)*(Tabela1[[#This Row],[y]]-H$4)</f>
        <v>22546</v>
      </c>
      <c r="D1238" s="1">
        <f>IF(Tabela1[[#This Row],[promien]]&lt;40000,1,0)</f>
        <v>1</v>
      </c>
      <c r="E1238" s="1">
        <f>IF(Tabela1[[#This Row],[promien]]=40000,1,0)</f>
        <v>0</v>
      </c>
      <c r="F1238" s="1">
        <v>3.1954765751211633</v>
      </c>
      <c r="G1238" s="1">
        <v>5.3883921531370227E-2</v>
      </c>
    </row>
    <row r="1239" spans="1:7">
      <c r="A1239">
        <v>262</v>
      </c>
      <c r="B1239">
        <v>190</v>
      </c>
      <c r="C1239" s="1">
        <f>(Tabela1[[#This Row],[x]]-H$3)*(Tabela1[[#This Row],[x]]-H$3) +(Tabela1[[#This Row],[y]]-H$4)*(Tabela1[[#This Row],[y]]-H$4)</f>
        <v>3944</v>
      </c>
      <c r="D1239" s="1">
        <f>IF(Tabela1[[#This Row],[promien]]&lt;40000,1,0)</f>
        <v>1</v>
      </c>
      <c r="E1239" s="1">
        <f>IF(Tabela1[[#This Row],[promien]]=40000,1,0)</f>
        <v>0</v>
      </c>
      <c r="F1239" s="1">
        <v>3.1961259079903148</v>
      </c>
      <c r="G1239" s="1">
        <v>5.4533254400521702E-2</v>
      </c>
    </row>
    <row r="1240" spans="1:7">
      <c r="A1240">
        <v>260</v>
      </c>
      <c r="B1240">
        <v>116</v>
      </c>
      <c r="C1240" s="1">
        <f>(Tabela1[[#This Row],[x]]-H$3)*(Tabela1[[#This Row],[x]]-H$3) +(Tabela1[[#This Row],[y]]-H$4)*(Tabela1[[#This Row],[y]]-H$4)</f>
        <v>10656</v>
      </c>
      <c r="D1240" s="1">
        <f>IF(Tabela1[[#This Row],[promien]]&lt;40000,1,0)</f>
        <v>1</v>
      </c>
      <c r="E1240" s="1">
        <f>IF(Tabela1[[#This Row],[promien]]=40000,1,0)</f>
        <v>0</v>
      </c>
      <c r="F1240" s="1">
        <v>3.1967741935483871</v>
      </c>
      <c r="G1240" s="1">
        <v>5.5181539958593984E-2</v>
      </c>
    </row>
    <row r="1241" spans="1:7">
      <c r="A1241">
        <v>268</v>
      </c>
      <c r="B1241">
        <v>26</v>
      </c>
      <c r="C1241" s="1">
        <f>(Tabela1[[#This Row],[x]]-H$3)*(Tabela1[[#This Row],[x]]-H$3) +(Tabela1[[#This Row],[y]]-H$4)*(Tabela1[[#This Row],[y]]-H$4)</f>
        <v>34900</v>
      </c>
      <c r="D1241" s="1">
        <f>IF(Tabela1[[#This Row],[promien]]&lt;40000,1,0)</f>
        <v>1</v>
      </c>
      <c r="E1241" s="1">
        <f>IF(Tabela1[[#This Row],[promien]]=40000,1,0)</f>
        <v>0</v>
      </c>
      <c r="F1241" s="1">
        <v>3.1974214343271554</v>
      </c>
      <c r="G1241" s="1">
        <v>5.5828780737362305E-2</v>
      </c>
    </row>
    <row r="1242" spans="1:7">
      <c r="A1242">
        <v>152</v>
      </c>
      <c r="B1242">
        <v>219</v>
      </c>
      <c r="C1242" s="1">
        <f>(Tabela1[[#This Row],[x]]-H$3)*(Tabela1[[#This Row],[x]]-H$3) +(Tabela1[[#This Row],[y]]-H$4)*(Tabela1[[#This Row],[y]]-H$4)</f>
        <v>2665</v>
      </c>
      <c r="D1242" s="1">
        <f>IF(Tabela1[[#This Row],[promien]]&lt;40000,1,0)</f>
        <v>1</v>
      </c>
      <c r="E1242" s="1">
        <f>IF(Tabela1[[#This Row],[promien]]=40000,1,0)</f>
        <v>0</v>
      </c>
      <c r="F1242" s="1">
        <v>3.1980676328502415</v>
      </c>
      <c r="G1242" s="1">
        <v>5.6474979260448421E-2</v>
      </c>
    </row>
    <row r="1243" spans="1:7">
      <c r="A1243">
        <v>234</v>
      </c>
      <c r="B1243">
        <v>244</v>
      </c>
      <c r="C1243" s="1">
        <f>(Tabela1[[#This Row],[x]]-H$3)*(Tabela1[[#This Row],[x]]-H$3) +(Tabela1[[#This Row],[y]]-H$4)*(Tabela1[[#This Row],[y]]-H$4)</f>
        <v>3092</v>
      </c>
      <c r="D1243" s="1">
        <f>IF(Tabela1[[#This Row],[promien]]&lt;40000,1,0)</f>
        <v>1</v>
      </c>
      <c r="E1243" s="1">
        <f>IF(Tabela1[[#This Row],[promien]]=40000,1,0)</f>
        <v>0</v>
      </c>
      <c r="F1243" s="1">
        <v>3.1987127916331457</v>
      </c>
      <c r="G1243" s="1">
        <v>5.7120138043352586E-2</v>
      </c>
    </row>
    <row r="1244" spans="1:7">
      <c r="A1244">
        <v>330</v>
      </c>
      <c r="B1244">
        <v>52</v>
      </c>
      <c r="C1244" s="1">
        <f>(Tabela1[[#This Row],[x]]-H$3)*(Tabela1[[#This Row],[x]]-H$3) +(Tabela1[[#This Row],[y]]-H$4)*(Tabela1[[#This Row],[y]]-H$4)</f>
        <v>38804</v>
      </c>
      <c r="D1244" s="1">
        <f>IF(Tabela1[[#This Row],[promien]]&lt;40000,1,0)</f>
        <v>1</v>
      </c>
      <c r="E1244" s="1">
        <f>IF(Tabela1[[#This Row],[promien]]=40000,1,0)</f>
        <v>0</v>
      </c>
      <c r="F1244" s="1">
        <v>3.1993569131832795</v>
      </c>
      <c r="G1244" s="1">
        <v>5.7764259593486411E-2</v>
      </c>
    </row>
    <row r="1245" spans="1:7">
      <c r="A1245">
        <v>298</v>
      </c>
      <c r="B1245">
        <v>200</v>
      </c>
      <c r="C1245" s="1">
        <f>(Tabela1[[#This Row],[x]]-H$3)*(Tabela1[[#This Row],[x]]-H$3) +(Tabela1[[#This Row],[y]]-H$4)*(Tabela1[[#This Row],[y]]-H$4)</f>
        <v>9604</v>
      </c>
      <c r="D1245" s="1">
        <f>IF(Tabela1[[#This Row],[promien]]&lt;40000,1,0)</f>
        <v>1</v>
      </c>
      <c r="E1245" s="1">
        <f>IF(Tabela1[[#This Row],[promien]]=40000,1,0)</f>
        <v>0</v>
      </c>
      <c r="F1245" s="1">
        <v>3.2</v>
      </c>
      <c r="G1245" s="1">
        <v>5.8407346410207062E-2</v>
      </c>
    </row>
    <row r="1246" spans="1:7">
      <c r="A1246">
        <v>390</v>
      </c>
      <c r="B1246">
        <v>375</v>
      </c>
      <c r="C1246" s="1">
        <f>(Tabela1[[#This Row],[x]]-H$3)*(Tabela1[[#This Row],[x]]-H$3) +(Tabela1[[#This Row],[y]]-H$4)*(Tabela1[[#This Row],[y]]-H$4)</f>
        <v>66725</v>
      </c>
      <c r="D1246" s="1">
        <f>IF(Tabela1[[#This Row],[promien]]&lt;40000,1,0)</f>
        <v>0</v>
      </c>
      <c r="E1246" s="1">
        <f>IF(Tabela1[[#This Row],[promien]]=40000,1,0)</f>
        <v>0</v>
      </c>
      <c r="F1246" s="1">
        <v>3.1974317817014448</v>
      </c>
      <c r="G1246" s="1">
        <v>5.5839128111651704E-2</v>
      </c>
    </row>
    <row r="1247" spans="1:7">
      <c r="A1247">
        <v>312</v>
      </c>
      <c r="B1247">
        <v>23</v>
      </c>
      <c r="C1247" s="1">
        <f>(Tabela1[[#This Row],[x]]-H$3)*(Tabela1[[#This Row],[x]]-H$3) +(Tabela1[[#This Row],[y]]-H$4)*(Tabela1[[#This Row],[y]]-H$4)</f>
        <v>43873</v>
      </c>
      <c r="D1247" s="1">
        <f>IF(Tabela1[[#This Row],[promien]]&lt;40000,1,0)</f>
        <v>0</v>
      </c>
      <c r="E1247" s="1">
        <f>IF(Tabela1[[#This Row],[promien]]=40000,1,0)</f>
        <v>0</v>
      </c>
      <c r="F1247" s="1">
        <v>3.194867682437851</v>
      </c>
      <c r="G1247" s="1">
        <v>5.3275028848057904E-2</v>
      </c>
    </row>
    <row r="1248" spans="1:7">
      <c r="A1248">
        <v>4</v>
      </c>
      <c r="B1248">
        <v>325</v>
      </c>
      <c r="C1248" s="1">
        <f>(Tabela1[[#This Row],[x]]-H$3)*(Tabela1[[#This Row],[x]]-H$3) +(Tabela1[[#This Row],[y]]-H$4)*(Tabela1[[#This Row],[y]]-H$4)</f>
        <v>54041</v>
      </c>
      <c r="D1248" s="1">
        <f>IF(Tabela1[[#This Row],[promien]]&lt;40000,1,0)</f>
        <v>0</v>
      </c>
      <c r="E1248" s="1">
        <f>IF(Tabela1[[#This Row],[promien]]=40000,1,0)</f>
        <v>0</v>
      </c>
      <c r="F1248" s="1">
        <v>3.1923076923076925</v>
      </c>
      <c r="G1248" s="1">
        <v>5.0715038717899397E-2</v>
      </c>
    </row>
    <row r="1249" spans="1:7">
      <c r="A1249">
        <v>35</v>
      </c>
      <c r="B1249">
        <v>299</v>
      </c>
      <c r="C1249" s="1">
        <f>(Tabela1[[#This Row],[x]]-H$3)*(Tabela1[[#This Row],[x]]-H$3) +(Tabela1[[#This Row],[y]]-H$4)*(Tabela1[[#This Row],[y]]-H$4)</f>
        <v>37026</v>
      </c>
      <c r="D1249" s="1">
        <f>IF(Tabela1[[#This Row],[promien]]&lt;40000,1,0)</f>
        <v>1</v>
      </c>
      <c r="E1249" s="1">
        <f>IF(Tabela1[[#This Row],[promien]]=40000,1,0)</f>
        <v>0</v>
      </c>
      <c r="F1249" s="1">
        <v>3.1929543634907924</v>
      </c>
      <c r="G1249" s="1">
        <v>5.1361709900999308E-2</v>
      </c>
    </row>
    <row r="1250" spans="1:7">
      <c r="A1250">
        <v>58</v>
      </c>
      <c r="B1250">
        <v>143</v>
      </c>
      <c r="C1250" s="1">
        <f>(Tabela1[[#This Row],[x]]-H$3)*(Tabela1[[#This Row],[x]]-H$3) +(Tabela1[[#This Row],[y]]-H$4)*(Tabela1[[#This Row],[y]]-H$4)</f>
        <v>23413</v>
      </c>
      <c r="D1250" s="1">
        <f>IF(Tabela1[[#This Row],[promien]]&lt;40000,1,0)</f>
        <v>1</v>
      </c>
      <c r="E1250" s="1">
        <f>IF(Tabela1[[#This Row],[promien]]=40000,1,0)</f>
        <v>0</v>
      </c>
      <c r="F1250" s="1">
        <v>3.1936</v>
      </c>
      <c r="G1250" s="1">
        <v>5.2007346410206878E-2</v>
      </c>
    </row>
    <row r="1251" spans="1:7">
      <c r="A1251">
        <v>331</v>
      </c>
      <c r="B1251">
        <v>246</v>
      </c>
      <c r="C1251" s="1">
        <f>(Tabela1[[#This Row],[x]]-H$3)*(Tabela1[[#This Row],[x]]-H$3) +(Tabela1[[#This Row],[y]]-H$4)*(Tabela1[[#This Row],[y]]-H$4)</f>
        <v>19277</v>
      </c>
      <c r="D1251" s="1">
        <f>IF(Tabela1[[#This Row],[promien]]&lt;40000,1,0)</f>
        <v>1</v>
      </c>
      <c r="E1251" s="1">
        <f>IF(Tabela1[[#This Row],[promien]]=40000,1,0)</f>
        <v>0</v>
      </c>
      <c r="F1251" s="1">
        <v>3.1942446043165469</v>
      </c>
      <c r="G1251" s="1">
        <v>5.2651950726753771E-2</v>
      </c>
    </row>
    <row r="1252" spans="1:7">
      <c r="A1252">
        <v>314</v>
      </c>
      <c r="B1252">
        <v>25</v>
      </c>
      <c r="C1252" s="1">
        <f>(Tabela1[[#This Row],[x]]-H$3)*(Tabela1[[#This Row],[x]]-H$3) +(Tabela1[[#This Row],[y]]-H$4)*(Tabela1[[#This Row],[y]]-H$4)</f>
        <v>43621</v>
      </c>
      <c r="D1252" s="1">
        <f>IF(Tabela1[[#This Row],[promien]]&lt;40000,1,0)</f>
        <v>0</v>
      </c>
      <c r="E1252" s="1">
        <f>IF(Tabela1[[#This Row],[promien]]=40000,1,0)</f>
        <v>0</v>
      </c>
      <c r="F1252" s="1">
        <v>3.1916932907348241</v>
      </c>
      <c r="G1252" s="1">
        <v>5.0100637145030991E-2</v>
      </c>
    </row>
    <row r="1253" spans="1:7">
      <c r="A1253">
        <v>358</v>
      </c>
      <c r="B1253">
        <v>110</v>
      </c>
      <c r="C1253" s="1">
        <f>(Tabela1[[#This Row],[x]]-H$3)*(Tabela1[[#This Row],[x]]-H$3) +(Tabela1[[#This Row],[y]]-H$4)*(Tabela1[[#This Row],[y]]-H$4)</f>
        <v>33064</v>
      </c>
      <c r="D1253" s="1">
        <f>IF(Tabela1[[#This Row],[promien]]&lt;40000,1,0)</f>
        <v>1</v>
      </c>
      <c r="E1253" s="1">
        <f>IF(Tabela1[[#This Row],[promien]]=40000,1,0)</f>
        <v>0</v>
      </c>
      <c r="F1253" s="1">
        <v>3.1923383878691141</v>
      </c>
      <c r="G1253" s="1">
        <v>5.0745734279320942E-2</v>
      </c>
    </row>
    <row r="1254" spans="1:7">
      <c r="A1254">
        <v>136</v>
      </c>
      <c r="B1254">
        <v>166</v>
      </c>
      <c r="C1254" s="1">
        <f>(Tabela1[[#This Row],[x]]-H$3)*(Tabela1[[#This Row],[x]]-H$3) +(Tabela1[[#This Row],[y]]-H$4)*(Tabela1[[#This Row],[y]]-H$4)</f>
        <v>5252</v>
      </c>
      <c r="D1254" s="1">
        <f>IF(Tabela1[[#This Row],[promien]]&lt;40000,1,0)</f>
        <v>1</v>
      </c>
      <c r="E1254" s="1">
        <f>IF(Tabela1[[#This Row],[promien]]=40000,1,0)</f>
        <v>0</v>
      </c>
      <c r="F1254" s="1">
        <v>3.192982456140351</v>
      </c>
      <c r="G1254" s="1">
        <v>5.1389802550557917E-2</v>
      </c>
    </row>
    <row r="1255" spans="1:7">
      <c r="A1255">
        <v>35</v>
      </c>
      <c r="B1255">
        <v>206</v>
      </c>
      <c r="C1255" s="1">
        <f>(Tabela1[[#This Row],[x]]-H$3)*(Tabela1[[#This Row],[x]]-H$3) +(Tabela1[[#This Row],[y]]-H$4)*(Tabela1[[#This Row],[y]]-H$4)</f>
        <v>27261</v>
      </c>
      <c r="D1255" s="1">
        <f>IF(Tabela1[[#This Row],[promien]]&lt;40000,1,0)</f>
        <v>1</v>
      </c>
      <c r="E1255" s="1">
        <f>IF(Tabela1[[#This Row],[promien]]=40000,1,0)</f>
        <v>0</v>
      </c>
      <c r="F1255" s="1">
        <v>3.1936254980079681</v>
      </c>
      <c r="G1255" s="1">
        <v>5.2032844418175017E-2</v>
      </c>
    </row>
    <row r="1256" spans="1:7">
      <c r="A1256">
        <v>148</v>
      </c>
      <c r="B1256">
        <v>311</v>
      </c>
      <c r="C1256" s="1">
        <f>(Tabela1[[#This Row],[x]]-H$3)*(Tabela1[[#This Row],[x]]-H$3) +(Tabela1[[#This Row],[y]]-H$4)*(Tabela1[[#This Row],[y]]-H$4)</f>
        <v>15025</v>
      </c>
      <c r="D1256" s="1">
        <f>IF(Tabela1[[#This Row],[promien]]&lt;40000,1,0)</f>
        <v>1</v>
      </c>
      <c r="E1256" s="1">
        <f>IF(Tabela1[[#This Row],[promien]]=40000,1,0)</f>
        <v>0</v>
      </c>
      <c r="F1256" s="1">
        <v>3.1942675159235669</v>
      </c>
      <c r="G1256" s="1">
        <v>5.2674862333773831E-2</v>
      </c>
    </row>
    <row r="1257" spans="1:7">
      <c r="A1257">
        <v>300</v>
      </c>
      <c r="B1257">
        <v>211</v>
      </c>
      <c r="C1257" s="1">
        <f>(Tabela1[[#This Row],[x]]-H$3)*(Tabela1[[#This Row],[x]]-H$3) +(Tabela1[[#This Row],[y]]-H$4)*(Tabela1[[#This Row],[y]]-H$4)</f>
        <v>10121</v>
      </c>
      <c r="D1257" s="1">
        <f>IF(Tabela1[[#This Row],[promien]]&lt;40000,1,0)</f>
        <v>1</v>
      </c>
      <c r="E1257" s="1">
        <f>IF(Tabela1[[#This Row],[promien]]=40000,1,0)</f>
        <v>0</v>
      </c>
      <c r="F1257" s="1">
        <v>3.1949085123309469</v>
      </c>
      <c r="G1257" s="1">
        <v>5.3315858741153743E-2</v>
      </c>
    </row>
    <row r="1258" spans="1:7">
      <c r="A1258">
        <v>190</v>
      </c>
      <c r="B1258">
        <v>336</v>
      </c>
      <c r="C1258" s="1">
        <f>(Tabela1[[#This Row],[x]]-H$3)*(Tabela1[[#This Row],[x]]-H$3) +(Tabela1[[#This Row],[y]]-H$4)*(Tabela1[[#This Row],[y]]-H$4)</f>
        <v>18596</v>
      </c>
      <c r="D1258" s="1">
        <f>IF(Tabela1[[#This Row],[promien]]&lt;40000,1,0)</f>
        <v>1</v>
      </c>
      <c r="E1258" s="1">
        <f>IF(Tabela1[[#This Row],[promien]]=40000,1,0)</f>
        <v>0</v>
      </c>
      <c r="F1258" s="1">
        <v>3.1955484896661366</v>
      </c>
      <c r="G1258" s="1">
        <v>5.3955836076343466E-2</v>
      </c>
    </row>
    <row r="1259" spans="1:7">
      <c r="A1259">
        <v>116</v>
      </c>
      <c r="B1259">
        <v>156</v>
      </c>
      <c r="C1259" s="1">
        <f>(Tabela1[[#This Row],[x]]-H$3)*(Tabela1[[#This Row],[x]]-H$3) +(Tabela1[[#This Row],[y]]-H$4)*(Tabela1[[#This Row],[y]]-H$4)</f>
        <v>8992</v>
      </c>
      <c r="D1259" s="1">
        <f>IF(Tabela1[[#This Row],[promien]]&lt;40000,1,0)</f>
        <v>1</v>
      </c>
      <c r="E1259" s="1">
        <f>IF(Tabela1[[#This Row],[promien]]=40000,1,0)</f>
        <v>0</v>
      </c>
      <c r="F1259" s="1">
        <v>3.1961874503574266</v>
      </c>
      <c r="G1259" s="1">
        <v>5.4594796767633458E-2</v>
      </c>
    </row>
    <row r="1260" spans="1:7">
      <c r="A1260">
        <v>194</v>
      </c>
      <c r="B1260">
        <v>3</v>
      </c>
      <c r="C1260" s="1">
        <f>(Tabela1[[#This Row],[x]]-H$3)*(Tabela1[[#This Row],[x]]-H$3) +(Tabela1[[#This Row],[y]]-H$4)*(Tabela1[[#This Row],[y]]-H$4)</f>
        <v>38845</v>
      </c>
      <c r="D1260" s="1">
        <f>IF(Tabela1[[#This Row],[promien]]&lt;40000,1,0)</f>
        <v>1</v>
      </c>
      <c r="E1260" s="1">
        <f>IF(Tabela1[[#This Row],[promien]]=40000,1,0)</f>
        <v>0</v>
      </c>
      <c r="F1260" s="1">
        <v>3.196825396825397</v>
      </c>
      <c r="G1260" s="1">
        <v>5.5232743235603898E-2</v>
      </c>
    </row>
    <row r="1261" spans="1:7">
      <c r="A1261">
        <v>344</v>
      </c>
      <c r="B1261">
        <v>231</v>
      </c>
      <c r="C1261" s="1">
        <f>(Tabela1[[#This Row],[x]]-H$3)*(Tabela1[[#This Row],[x]]-H$3) +(Tabela1[[#This Row],[y]]-H$4)*(Tabela1[[#This Row],[y]]-H$4)</f>
        <v>21697</v>
      </c>
      <c r="D1261" s="1">
        <f>IF(Tabela1[[#This Row],[promien]]&lt;40000,1,0)</f>
        <v>1</v>
      </c>
      <c r="E1261" s="1">
        <f>IF(Tabela1[[#This Row],[promien]]=40000,1,0)</f>
        <v>0</v>
      </c>
      <c r="F1261" s="1">
        <v>3.1974623314829502</v>
      </c>
      <c r="G1261" s="1">
        <v>5.586967789315711E-2</v>
      </c>
    </row>
    <row r="1262" spans="1:7">
      <c r="A1262">
        <v>156</v>
      </c>
      <c r="B1262">
        <v>294</v>
      </c>
      <c r="C1262" s="1">
        <f>(Tabela1[[#This Row],[x]]-H$3)*(Tabela1[[#This Row],[x]]-H$3) +(Tabela1[[#This Row],[y]]-H$4)*(Tabela1[[#This Row],[y]]-H$4)</f>
        <v>10772</v>
      </c>
      <c r="D1262" s="1">
        <f>IF(Tabela1[[#This Row],[promien]]&lt;40000,1,0)</f>
        <v>1</v>
      </c>
      <c r="E1262" s="1">
        <f>IF(Tabela1[[#This Row],[promien]]=40000,1,0)</f>
        <v>0</v>
      </c>
      <c r="F1262" s="1">
        <v>3.1980982567353409</v>
      </c>
      <c r="G1262" s="1">
        <v>5.6505603145547756E-2</v>
      </c>
    </row>
    <row r="1263" spans="1:7">
      <c r="A1263">
        <v>165</v>
      </c>
      <c r="B1263">
        <v>170</v>
      </c>
      <c r="C1263" s="1">
        <f>(Tabela1[[#This Row],[x]]-H$3)*(Tabela1[[#This Row],[x]]-H$3) +(Tabela1[[#This Row],[y]]-H$4)*(Tabela1[[#This Row],[y]]-H$4)</f>
        <v>2125</v>
      </c>
      <c r="D1263" s="1">
        <f>IF(Tabela1[[#This Row],[promien]]&lt;40000,1,0)</f>
        <v>1</v>
      </c>
      <c r="E1263" s="1">
        <f>IF(Tabela1[[#This Row],[promien]]=40000,1,0)</f>
        <v>0</v>
      </c>
      <c r="F1263" s="1">
        <v>3.1987331749802057</v>
      </c>
      <c r="G1263" s="1">
        <v>5.7140521390412591E-2</v>
      </c>
    </row>
    <row r="1264" spans="1:7">
      <c r="A1264">
        <v>324</v>
      </c>
      <c r="B1264">
        <v>103</v>
      </c>
      <c r="C1264" s="1">
        <f>(Tabela1[[#This Row],[x]]-H$3)*(Tabela1[[#This Row],[x]]-H$3) +(Tabela1[[#This Row],[y]]-H$4)*(Tabela1[[#This Row],[y]]-H$4)</f>
        <v>24785</v>
      </c>
      <c r="D1264" s="1">
        <f>IF(Tabela1[[#This Row],[promien]]&lt;40000,1,0)</f>
        <v>1</v>
      </c>
      <c r="E1264" s="1">
        <f>IF(Tabela1[[#This Row],[promien]]=40000,1,0)</f>
        <v>0</v>
      </c>
      <c r="F1264" s="1">
        <v>3.1993670886075951</v>
      </c>
      <c r="G1264" s="1">
        <v>5.7774435017801995E-2</v>
      </c>
    </row>
    <row r="1265" spans="1:7">
      <c r="A1265">
        <v>189</v>
      </c>
      <c r="B1265">
        <v>136</v>
      </c>
      <c r="C1265" s="1">
        <f>(Tabela1[[#This Row],[x]]-H$3)*(Tabela1[[#This Row],[x]]-H$3) +(Tabela1[[#This Row],[y]]-H$4)*(Tabela1[[#This Row],[y]]-H$4)</f>
        <v>4217</v>
      </c>
      <c r="D1265" s="1">
        <f>IF(Tabela1[[#This Row],[promien]]&lt;40000,1,0)</f>
        <v>1</v>
      </c>
      <c r="E1265" s="1">
        <f>IF(Tabela1[[#This Row],[promien]]=40000,1,0)</f>
        <v>0</v>
      </c>
      <c r="F1265" s="1">
        <v>3.2</v>
      </c>
      <c r="G1265" s="1">
        <v>5.8407346410207062E-2</v>
      </c>
    </row>
    <row r="1266" spans="1:7">
      <c r="A1266">
        <v>257</v>
      </c>
      <c r="B1266">
        <v>144</v>
      </c>
      <c r="C1266" s="1">
        <f>(Tabela1[[#This Row],[x]]-H$3)*(Tabela1[[#This Row],[x]]-H$3) +(Tabela1[[#This Row],[y]]-H$4)*(Tabela1[[#This Row],[y]]-H$4)</f>
        <v>6385</v>
      </c>
      <c r="D1266" s="1">
        <f>IF(Tabela1[[#This Row],[promien]]&lt;40000,1,0)</f>
        <v>1</v>
      </c>
      <c r="E1266" s="1">
        <f>IF(Tabela1[[#This Row],[promien]]=40000,1,0)</f>
        <v>0</v>
      </c>
      <c r="F1266" s="1">
        <v>3.2006319115323856</v>
      </c>
      <c r="G1266" s="1">
        <v>5.903925794259246E-2</v>
      </c>
    </row>
    <row r="1267" spans="1:7">
      <c r="A1267">
        <v>311</v>
      </c>
      <c r="B1267">
        <v>377</v>
      </c>
      <c r="C1267" s="1">
        <f>(Tabela1[[#This Row],[x]]-H$3)*(Tabela1[[#This Row],[x]]-H$3) +(Tabela1[[#This Row],[y]]-H$4)*(Tabela1[[#This Row],[y]]-H$4)</f>
        <v>43650</v>
      </c>
      <c r="D1267" s="1">
        <f>IF(Tabela1[[#This Row],[promien]]&lt;40000,1,0)</f>
        <v>0</v>
      </c>
      <c r="E1267" s="1">
        <f>IF(Tabela1[[#This Row],[promien]]=40000,1,0)</f>
        <v>0</v>
      </c>
      <c r="F1267" s="1">
        <v>3.1981057616416733</v>
      </c>
      <c r="G1267" s="1">
        <v>5.6513108051880145E-2</v>
      </c>
    </row>
    <row r="1268" spans="1:7">
      <c r="A1268">
        <v>130</v>
      </c>
      <c r="B1268">
        <v>78</v>
      </c>
      <c r="C1268" s="1">
        <f>(Tabela1[[#This Row],[x]]-H$3)*(Tabela1[[#This Row],[x]]-H$3) +(Tabela1[[#This Row],[y]]-H$4)*(Tabela1[[#This Row],[y]]-H$4)</f>
        <v>19784</v>
      </c>
      <c r="D1268" s="1">
        <f>IF(Tabela1[[#This Row],[promien]]&lt;40000,1,0)</f>
        <v>1</v>
      </c>
      <c r="E1268" s="1">
        <f>IF(Tabela1[[#This Row],[promien]]=40000,1,0)</f>
        <v>0</v>
      </c>
      <c r="F1268" s="1">
        <v>3.1987381703470033</v>
      </c>
      <c r="G1268" s="1">
        <v>5.7145516757210135E-2</v>
      </c>
    </row>
    <row r="1269" spans="1:7">
      <c r="A1269">
        <v>48</v>
      </c>
      <c r="B1269">
        <v>202</v>
      </c>
      <c r="C1269" s="1">
        <f>(Tabela1[[#This Row],[x]]-H$3)*(Tabela1[[#This Row],[x]]-H$3) +(Tabela1[[#This Row],[y]]-H$4)*(Tabela1[[#This Row],[y]]-H$4)</f>
        <v>23108</v>
      </c>
      <c r="D1269" s="1">
        <f>IF(Tabela1[[#This Row],[promien]]&lt;40000,1,0)</f>
        <v>1</v>
      </c>
      <c r="E1269" s="1">
        <f>IF(Tabela1[[#This Row],[promien]]=40000,1,0)</f>
        <v>0</v>
      </c>
      <c r="F1269" s="1">
        <v>3.1993695823483059</v>
      </c>
      <c r="G1269" s="1">
        <v>5.7776928758512813E-2</v>
      </c>
    </row>
    <row r="1270" spans="1:7">
      <c r="A1270">
        <v>156</v>
      </c>
      <c r="B1270">
        <v>149</v>
      </c>
      <c r="C1270" s="1">
        <f>(Tabela1[[#This Row],[x]]-H$3)*(Tabela1[[#This Row],[x]]-H$3) +(Tabela1[[#This Row],[y]]-H$4)*(Tabela1[[#This Row],[y]]-H$4)</f>
        <v>4537</v>
      </c>
      <c r="D1270" s="1">
        <f>IF(Tabela1[[#This Row],[promien]]&lt;40000,1,0)</f>
        <v>1</v>
      </c>
      <c r="E1270" s="1">
        <f>IF(Tabela1[[#This Row],[promien]]=40000,1,0)</f>
        <v>0</v>
      </c>
      <c r="F1270" s="1">
        <v>3.2</v>
      </c>
      <c r="G1270" s="1">
        <v>5.8407346410207062E-2</v>
      </c>
    </row>
    <row r="1271" spans="1:7">
      <c r="A1271">
        <v>39</v>
      </c>
      <c r="B1271">
        <v>104</v>
      </c>
      <c r="C1271" s="1">
        <f>(Tabela1[[#This Row],[x]]-H$3)*(Tabela1[[#This Row],[x]]-H$3) +(Tabela1[[#This Row],[y]]-H$4)*(Tabela1[[#This Row],[y]]-H$4)</f>
        <v>35137</v>
      </c>
      <c r="D1271" s="1">
        <f>IF(Tabela1[[#This Row],[promien]]&lt;40000,1,0)</f>
        <v>1</v>
      </c>
      <c r="E1271" s="1">
        <f>IF(Tabela1[[#This Row],[promien]]=40000,1,0)</f>
        <v>0</v>
      </c>
      <c r="F1271" s="1">
        <v>3.2006294256490952</v>
      </c>
      <c r="G1271" s="1">
        <v>5.9036772059302134E-2</v>
      </c>
    </row>
    <row r="1272" spans="1:7">
      <c r="A1272">
        <v>236</v>
      </c>
      <c r="B1272">
        <v>245</v>
      </c>
      <c r="C1272" s="1">
        <f>(Tabela1[[#This Row],[x]]-H$3)*(Tabela1[[#This Row],[x]]-H$3) +(Tabela1[[#This Row],[y]]-H$4)*(Tabela1[[#This Row],[y]]-H$4)</f>
        <v>3321</v>
      </c>
      <c r="D1272" s="1">
        <f>IF(Tabela1[[#This Row],[promien]]&lt;40000,1,0)</f>
        <v>1</v>
      </c>
      <c r="E1272" s="1">
        <f>IF(Tabela1[[#This Row],[promien]]=40000,1,0)</f>
        <v>0</v>
      </c>
      <c r="F1272" s="1">
        <v>3.2012578616352201</v>
      </c>
      <c r="G1272" s="1">
        <v>5.9665208045426965E-2</v>
      </c>
    </row>
    <row r="1273" spans="1:7">
      <c r="A1273">
        <v>139</v>
      </c>
      <c r="B1273">
        <v>152</v>
      </c>
      <c r="C1273" s="1">
        <f>(Tabela1[[#This Row],[x]]-H$3)*(Tabela1[[#This Row],[x]]-H$3) +(Tabela1[[#This Row],[y]]-H$4)*(Tabela1[[#This Row],[y]]-H$4)</f>
        <v>6025</v>
      </c>
      <c r="D1273" s="1">
        <f>IF(Tabela1[[#This Row],[promien]]&lt;40000,1,0)</f>
        <v>1</v>
      </c>
      <c r="E1273" s="1">
        <f>IF(Tabela1[[#This Row],[promien]]=40000,1,0)</f>
        <v>0</v>
      </c>
      <c r="F1273" s="1">
        <v>3.2018853102906522</v>
      </c>
      <c r="G1273" s="1">
        <v>6.0292656700859037E-2</v>
      </c>
    </row>
    <row r="1274" spans="1:7">
      <c r="A1274">
        <v>158</v>
      </c>
      <c r="B1274">
        <v>186</v>
      </c>
      <c r="C1274" s="1">
        <f>(Tabela1[[#This Row],[x]]-H$3)*(Tabela1[[#This Row],[x]]-H$3) +(Tabela1[[#This Row],[y]]-H$4)*(Tabela1[[#This Row],[y]]-H$4)</f>
        <v>1960</v>
      </c>
      <c r="D1274" s="1">
        <f>IF(Tabela1[[#This Row],[promien]]&lt;40000,1,0)</f>
        <v>1</v>
      </c>
      <c r="E1274" s="1">
        <f>IF(Tabela1[[#This Row],[promien]]=40000,1,0)</f>
        <v>0</v>
      </c>
      <c r="F1274" s="1">
        <v>3.2025117739403455</v>
      </c>
      <c r="G1274" s="1">
        <v>6.0919120350552358E-2</v>
      </c>
    </row>
    <row r="1275" spans="1:7">
      <c r="A1275">
        <v>181</v>
      </c>
      <c r="B1275">
        <v>207</v>
      </c>
      <c r="C1275" s="1">
        <f>(Tabela1[[#This Row],[x]]-H$3)*(Tabela1[[#This Row],[x]]-H$3) +(Tabela1[[#This Row],[y]]-H$4)*(Tabela1[[#This Row],[y]]-H$4)</f>
        <v>410</v>
      </c>
      <c r="D1275" s="1">
        <f>IF(Tabela1[[#This Row],[promien]]&lt;40000,1,0)</f>
        <v>1</v>
      </c>
      <c r="E1275" s="1">
        <f>IF(Tabela1[[#This Row],[promien]]=40000,1,0)</f>
        <v>0</v>
      </c>
      <c r="F1275" s="1">
        <v>3.2031372549019608</v>
      </c>
      <c r="G1275" s="1">
        <v>6.1544601312167657E-2</v>
      </c>
    </row>
    <row r="1276" spans="1:7">
      <c r="A1276">
        <v>116</v>
      </c>
      <c r="B1276">
        <v>362</v>
      </c>
      <c r="C1276" s="1">
        <f>(Tabela1[[#This Row],[x]]-H$3)*(Tabela1[[#This Row],[x]]-H$3) +(Tabela1[[#This Row],[y]]-H$4)*(Tabela1[[#This Row],[y]]-H$4)</f>
        <v>33300</v>
      </c>
      <c r="D1276" s="1">
        <f>IF(Tabela1[[#This Row],[promien]]&lt;40000,1,0)</f>
        <v>1</v>
      </c>
      <c r="E1276" s="1">
        <f>IF(Tabela1[[#This Row],[promien]]=40000,1,0)</f>
        <v>0</v>
      </c>
      <c r="F1276" s="1">
        <v>3.2037617554858935</v>
      </c>
      <c r="G1276" s="1">
        <v>6.2169101896100365E-2</v>
      </c>
    </row>
    <row r="1277" spans="1:7">
      <c r="A1277">
        <v>55</v>
      </c>
      <c r="B1277">
        <v>209</v>
      </c>
      <c r="C1277" s="1">
        <f>(Tabela1[[#This Row],[x]]-H$3)*(Tabela1[[#This Row],[x]]-H$3) +(Tabela1[[#This Row],[y]]-H$4)*(Tabela1[[#This Row],[y]]-H$4)</f>
        <v>21106</v>
      </c>
      <c r="D1277" s="1">
        <f>IF(Tabela1[[#This Row],[promien]]&lt;40000,1,0)</f>
        <v>1</v>
      </c>
      <c r="E1277" s="1">
        <f>IF(Tabela1[[#This Row],[promien]]=40000,1,0)</f>
        <v>0</v>
      </c>
      <c r="F1277" s="1">
        <v>3.2043852779953017</v>
      </c>
      <c r="G1277" s="1">
        <v>6.279262440550859E-2</v>
      </c>
    </row>
    <row r="1278" spans="1:7">
      <c r="A1278">
        <v>66</v>
      </c>
      <c r="B1278">
        <v>142</v>
      </c>
      <c r="C1278" s="1">
        <f>(Tabela1[[#This Row],[x]]-H$3)*(Tabela1[[#This Row],[x]]-H$3) +(Tabela1[[#This Row],[y]]-H$4)*(Tabela1[[#This Row],[y]]-H$4)</f>
        <v>21320</v>
      </c>
      <c r="D1278" s="1">
        <f>IF(Tabela1[[#This Row],[promien]]&lt;40000,1,0)</f>
        <v>1</v>
      </c>
      <c r="E1278" s="1">
        <f>IF(Tabela1[[#This Row],[promien]]=40000,1,0)</f>
        <v>0</v>
      </c>
      <c r="F1278" s="1">
        <v>3.2050078247261347</v>
      </c>
      <c r="G1278" s="1">
        <v>6.3415171136341542E-2</v>
      </c>
    </row>
    <row r="1279" spans="1:7">
      <c r="A1279">
        <v>123</v>
      </c>
      <c r="B1279">
        <v>23</v>
      </c>
      <c r="C1279" s="1">
        <f>(Tabela1[[#This Row],[x]]-H$3)*(Tabela1[[#This Row],[x]]-H$3) +(Tabela1[[#This Row],[y]]-H$4)*(Tabela1[[#This Row],[y]]-H$4)</f>
        <v>37258</v>
      </c>
      <c r="D1279" s="1">
        <f>IF(Tabela1[[#This Row],[promien]]&lt;40000,1,0)</f>
        <v>1</v>
      </c>
      <c r="E1279" s="1">
        <f>IF(Tabela1[[#This Row],[promien]]=40000,1,0)</f>
        <v>0</v>
      </c>
      <c r="F1279" s="1">
        <v>3.205629397967162</v>
      </c>
      <c r="G1279" s="1">
        <v>6.4036744377368837E-2</v>
      </c>
    </row>
    <row r="1280" spans="1:7">
      <c r="A1280">
        <v>241</v>
      </c>
      <c r="B1280">
        <v>199</v>
      </c>
      <c r="C1280" s="1">
        <f>(Tabela1[[#This Row],[x]]-H$3)*(Tabela1[[#This Row],[x]]-H$3) +(Tabela1[[#This Row],[y]]-H$4)*(Tabela1[[#This Row],[y]]-H$4)</f>
        <v>1682</v>
      </c>
      <c r="D1280" s="1">
        <f>IF(Tabela1[[#This Row],[promien]]&lt;40000,1,0)</f>
        <v>1</v>
      </c>
      <c r="E1280" s="1">
        <f>IF(Tabela1[[#This Row],[promien]]=40000,1,0)</f>
        <v>0</v>
      </c>
      <c r="F1280" s="1">
        <v>3.2062499999999998</v>
      </c>
      <c r="G1280" s="1">
        <v>6.4657346410206706E-2</v>
      </c>
    </row>
    <row r="1281" spans="1:7">
      <c r="A1281">
        <v>128</v>
      </c>
      <c r="B1281">
        <v>71</v>
      </c>
      <c r="C1281" s="1">
        <f>(Tabela1[[#This Row],[x]]-H$3)*(Tabela1[[#This Row],[x]]-H$3) +(Tabela1[[#This Row],[y]]-H$4)*(Tabela1[[#This Row],[y]]-H$4)</f>
        <v>21825</v>
      </c>
      <c r="D1281" s="1">
        <f>IF(Tabela1[[#This Row],[promien]]&lt;40000,1,0)</f>
        <v>1</v>
      </c>
      <c r="E1281" s="1">
        <f>IF(Tabela1[[#This Row],[promien]]=40000,1,0)</f>
        <v>0</v>
      </c>
      <c r="F1281" s="1">
        <v>3.2068696330991413</v>
      </c>
      <c r="G1281" s="1">
        <v>6.5276979509348187E-2</v>
      </c>
    </row>
    <row r="1282" spans="1:7">
      <c r="A1282">
        <v>313</v>
      </c>
      <c r="B1282">
        <v>209</v>
      </c>
      <c r="C1282" s="1">
        <f>(Tabela1[[#This Row],[x]]-H$3)*(Tabela1[[#This Row],[x]]-H$3) +(Tabela1[[#This Row],[y]]-H$4)*(Tabela1[[#This Row],[y]]-H$4)</f>
        <v>12850</v>
      </c>
      <c r="D1282" s="1">
        <f>IF(Tabela1[[#This Row],[promien]]&lt;40000,1,0)</f>
        <v>1</v>
      </c>
      <c r="E1282" s="1">
        <f>IF(Tabela1[[#This Row],[promien]]=40000,1,0)</f>
        <v>0</v>
      </c>
      <c r="F1282" s="1">
        <v>3.2074882995319811</v>
      </c>
      <c r="G1282" s="1">
        <v>6.5895645942187997E-2</v>
      </c>
    </row>
    <row r="1283" spans="1:7">
      <c r="A1283">
        <v>212</v>
      </c>
      <c r="B1283">
        <v>74</v>
      </c>
      <c r="C1283" s="1">
        <f>(Tabela1[[#This Row],[x]]-H$3)*(Tabela1[[#This Row],[x]]-H$3) +(Tabela1[[#This Row],[y]]-H$4)*(Tabela1[[#This Row],[y]]-H$4)</f>
        <v>16020</v>
      </c>
      <c r="D1283" s="1">
        <f>IF(Tabela1[[#This Row],[promien]]&lt;40000,1,0)</f>
        <v>1</v>
      </c>
      <c r="E1283" s="1">
        <f>IF(Tabela1[[#This Row],[promien]]=40000,1,0)</f>
        <v>0</v>
      </c>
      <c r="F1283" s="1">
        <v>3.2081060015588463</v>
      </c>
      <c r="G1283" s="1">
        <v>6.6513347969053171E-2</v>
      </c>
    </row>
    <row r="1284" spans="1:7">
      <c r="A1284">
        <v>191</v>
      </c>
      <c r="B1284">
        <v>233</v>
      </c>
      <c r="C1284" s="1">
        <f>(Tabela1[[#This Row],[x]]-H$3)*(Tabela1[[#This Row],[x]]-H$3) +(Tabela1[[#This Row],[y]]-H$4)*(Tabela1[[#This Row],[y]]-H$4)</f>
        <v>1170</v>
      </c>
      <c r="D1284" s="1">
        <f>IF(Tabela1[[#This Row],[promien]]&lt;40000,1,0)</f>
        <v>1</v>
      </c>
      <c r="E1284" s="1">
        <f>IF(Tabela1[[#This Row],[promien]]=40000,1,0)</f>
        <v>0</v>
      </c>
      <c r="F1284" s="1">
        <v>3.2087227414330219</v>
      </c>
      <c r="G1284" s="1">
        <v>6.7130087843228825E-2</v>
      </c>
    </row>
    <row r="1285" spans="1:7">
      <c r="A1285">
        <v>32</v>
      </c>
      <c r="B1285">
        <v>363</v>
      </c>
      <c r="C1285" s="1">
        <f>(Tabela1[[#This Row],[x]]-H$3)*(Tabela1[[#This Row],[x]]-H$3) +(Tabela1[[#This Row],[y]]-H$4)*(Tabela1[[#This Row],[y]]-H$4)</f>
        <v>54793</v>
      </c>
      <c r="D1285" s="1">
        <f>IF(Tabela1[[#This Row],[promien]]&lt;40000,1,0)</f>
        <v>0</v>
      </c>
      <c r="E1285" s="1">
        <f>IF(Tabela1[[#This Row],[promien]]=40000,1,0)</f>
        <v>0</v>
      </c>
      <c r="F1285" s="1">
        <v>3.2062256809338523</v>
      </c>
      <c r="G1285" s="1">
        <v>6.463302734405918E-2</v>
      </c>
    </row>
    <row r="1286" spans="1:7">
      <c r="A1286">
        <v>21</v>
      </c>
      <c r="B1286">
        <v>362</v>
      </c>
      <c r="C1286" s="1">
        <f>(Tabela1[[#This Row],[x]]-H$3)*(Tabela1[[#This Row],[x]]-H$3) +(Tabela1[[#This Row],[y]]-H$4)*(Tabela1[[#This Row],[y]]-H$4)</f>
        <v>58285</v>
      </c>
      <c r="D1286" s="1">
        <f>IF(Tabela1[[#This Row],[promien]]&lt;40000,1,0)</f>
        <v>0</v>
      </c>
      <c r="E1286" s="1">
        <f>IF(Tabela1[[#This Row],[promien]]=40000,1,0)</f>
        <v>0</v>
      </c>
      <c r="F1286" s="1">
        <v>3.2037325038880247</v>
      </c>
      <c r="G1286" s="1">
        <v>6.2139850298231547E-2</v>
      </c>
    </row>
    <row r="1287" spans="1:7">
      <c r="A1287">
        <v>124</v>
      </c>
      <c r="B1287">
        <v>231</v>
      </c>
      <c r="C1287" s="1">
        <f>(Tabela1[[#This Row],[x]]-H$3)*(Tabela1[[#This Row],[x]]-H$3) +(Tabela1[[#This Row],[y]]-H$4)*(Tabela1[[#This Row],[y]]-H$4)</f>
        <v>6737</v>
      </c>
      <c r="D1287" s="1">
        <f>IF(Tabela1[[#This Row],[promien]]&lt;40000,1,0)</f>
        <v>1</v>
      </c>
      <c r="E1287" s="1">
        <f>IF(Tabela1[[#This Row],[promien]]=40000,1,0)</f>
        <v>0</v>
      </c>
      <c r="F1287" s="1">
        <v>3.2043512043512044</v>
      </c>
      <c r="G1287" s="1">
        <v>6.2758550761411236E-2</v>
      </c>
    </row>
    <row r="1288" spans="1:7">
      <c r="A1288">
        <v>353</v>
      </c>
      <c r="B1288">
        <v>96</v>
      </c>
      <c r="C1288" s="1">
        <f>(Tabela1[[#This Row],[x]]-H$3)*(Tabela1[[#This Row],[x]]-H$3) +(Tabela1[[#This Row],[y]]-H$4)*(Tabela1[[#This Row],[y]]-H$4)</f>
        <v>34225</v>
      </c>
      <c r="D1288" s="1">
        <f>IF(Tabela1[[#This Row],[promien]]&lt;40000,1,0)</f>
        <v>1</v>
      </c>
      <c r="E1288" s="1">
        <f>IF(Tabela1[[#This Row],[promien]]=40000,1,0)</f>
        <v>0</v>
      </c>
      <c r="F1288" s="1">
        <v>3.2049689440993787</v>
      </c>
      <c r="G1288" s="1">
        <v>6.3376290509585598E-2</v>
      </c>
    </row>
    <row r="1289" spans="1:7">
      <c r="A1289">
        <v>115</v>
      </c>
      <c r="B1289">
        <v>349</v>
      </c>
      <c r="C1289" s="1">
        <f>(Tabela1[[#This Row],[x]]-H$3)*(Tabela1[[#This Row],[x]]-H$3) +(Tabela1[[#This Row],[y]]-H$4)*(Tabela1[[#This Row],[y]]-H$4)</f>
        <v>29426</v>
      </c>
      <c r="D1289" s="1">
        <f>IF(Tabela1[[#This Row],[promien]]&lt;40000,1,0)</f>
        <v>1</v>
      </c>
      <c r="E1289" s="1">
        <f>IF(Tabela1[[#This Row],[promien]]=40000,1,0)</f>
        <v>0</v>
      </c>
      <c r="F1289" s="1">
        <v>3.2055857253685027</v>
      </c>
      <c r="G1289" s="1">
        <v>6.3993071778709609E-2</v>
      </c>
    </row>
    <row r="1290" spans="1:7">
      <c r="A1290">
        <v>270</v>
      </c>
      <c r="B1290">
        <v>21</v>
      </c>
      <c r="C1290" s="1">
        <f>(Tabela1[[#This Row],[x]]-H$3)*(Tabela1[[#This Row],[x]]-H$3) +(Tabela1[[#This Row],[y]]-H$4)*(Tabela1[[#This Row],[y]]-H$4)</f>
        <v>36941</v>
      </c>
      <c r="D1290" s="1">
        <f>IF(Tabela1[[#This Row],[promien]]&lt;40000,1,0)</f>
        <v>1</v>
      </c>
      <c r="E1290" s="1">
        <f>IF(Tabela1[[#This Row],[promien]]=40000,1,0)</f>
        <v>0</v>
      </c>
      <c r="F1290" s="1">
        <v>3.2062015503875969</v>
      </c>
      <c r="G1290" s="1">
        <v>6.4608896797803794E-2</v>
      </c>
    </row>
    <row r="1291" spans="1:7">
      <c r="A1291">
        <v>40</v>
      </c>
      <c r="B1291">
        <v>355</v>
      </c>
      <c r="C1291" s="1">
        <f>(Tabela1[[#This Row],[x]]-H$3)*(Tabela1[[#This Row],[x]]-H$3) +(Tabela1[[#This Row],[y]]-H$4)*(Tabela1[[#This Row],[y]]-H$4)</f>
        <v>49625</v>
      </c>
      <c r="D1291" s="1">
        <f>IF(Tabela1[[#This Row],[promien]]&lt;40000,1,0)</f>
        <v>0</v>
      </c>
      <c r="E1291" s="1">
        <f>IF(Tabela1[[#This Row],[promien]]=40000,1,0)</f>
        <v>0</v>
      </c>
      <c r="F1291" s="1">
        <v>3.2037180480247871</v>
      </c>
      <c r="G1291" s="1">
        <v>6.2125394434993986E-2</v>
      </c>
    </row>
    <row r="1292" spans="1:7">
      <c r="A1292">
        <v>276</v>
      </c>
      <c r="B1292">
        <v>252</v>
      </c>
      <c r="C1292" s="1">
        <f>(Tabela1[[#This Row],[x]]-H$3)*(Tabela1[[#This Row],[x]]-H$3) +(Tabela1[[#This Row],[y]]-H$4)*(Tabela1[[#This Row],[y]]-H$4)</f>
        <v>8480</v>
      </c>
      <c r="D1292" s="1">
        <f>IF(Tabela1[[#This Row],[promien]]&lt;40000,1,0)</f>
        <v>1</v>
      </c>
      <c r="E1292" s="1">
        <f>IF(Tabela1[[#This Row],[promien]]=40000,1,0)</f>
        <v>0</v>
      </c>
      <c r="F1292" s="1">
        <v>3.2043343653250775</v>
      </c>
      <c r="G1292" s="1">
        <v>6.2741711735284422E-2</v>
      </c>
    </row>
    <row r="1293" spans="1:7">
      <c r="A1293">
        <v>144</v>
      </c>
      <c r="B1293">
        <v>146</v>
      </c>
      <c r="C1293" s="1">
        <f>(Tabela1[[#This Row],[x]]-H$3)*(Tabela1[[#This Row],[x]]-H$3) +(Tabela1[[#This Row],[y]]-H$4)*(Tabela1[[#This Row],[y]]-H$4)</f>
        <v>6052</v>
      </c>
      <c r="D1293" s="1">
        <f>IF(Tabela1[[#This Row],[promien]]&lt;40000,1,0)</f>
        <v>1</v>
      </c>
      <c r="E1293" s="1">
        <f>IF(Tabela1[[#This Row],[promien]]=40000,1,0)</f>
        <v>0</v>
      </c>
      <c r="F1293" s="1">
        <v>3.2049497293116782</v>
      </c>
      <c r="G1293" s="1">
        <v>6.3357075721885092E-2</v>
      </c>
    </row>
    <row r="1294" spans="1:7">
      <c r="A1294">
        <v>178</v>
      </c>
      <c r="B1294">
        <v>301</v>
      </c>
      <c r="C1294" s="1">
        <f>(Tabela1[[#This Row],[x]]-H$3)*(Tabela1[[#This Row],[x]]-H$3) +(Tabela1[[#This Row],[y]]-H$4)*(Tabela1[[#This Row],[y]]-H$4)</f>
        <v>10685</v>
      </c>
      <c r="D1294" s="1">
        <f>IF(Tabela1[[#This Row],[promien]]&lt;40000,1,0)</f>
        <v>1</v>
      </c>
      <c r="E1294" s="1">
        <f>IF(Tabela1[[#This Row],[promien]]=40000,1,0)</f>
        <v>0</v>
      </c>
      <c r="F1294" s="1">
        <v>3.2055641421947452</v>
      </c>
      <c r="G1294" s="1">
        <v>6.3971488604952054E-2</v>
      </c>
    </row>
    <row r="1295" spans="1:7">
      <c r="A1295">
        <v>375</v>
      </c>
      <c r="B1295">
        <v>15</v>
      </c>
      <c r="C1295" s="1">
        <f>(Tabela1[[#This Row],[x]]-H$3)*(Tabela1[[#This Row],[x]]-H$3) +(Tabela1[[#This Row],[y]]-H$4)*(Tabela1[[#This Row],[y]]-H$4)</f>
        <v>64850</v>
      </c>
      <c r="D1295" s="1">
        <f>IF(Tabela1[[#This Row],[promien]]&lt;40000,1,0)</f>
        <v>0</v>
      </c>
      <c r="E1295" s="1">
        <f>IF(Tabela1[[#This Row],[promien]]=40000,1,0)</f>
        <v>0</v>
      </c>
      <c r="F1295" s="1">
        <v>3.2030888030888032</v>
      </c>
      <c r="G1295" s="1">
        <v>6.1496149499010055E-2</v>
      </c>
    </row>
    <row r="1296" spans="1:7">
      <c r="A1296">
        <v>282</v>
      </c>
      <c r="B1296">
        <v>133</v>
      </c>
      <c r="C1296" s="1">
        <f>(Tabela1[[#This Row],[x]]-H$3)*(Tabela1[[#This Row],[x]]-H$3) +(Tabela1[[#This Row],[y]]-H$4)*(Tabela1[[#This Row],[y]]-H$4)</f>
        <v>11213</v>
      </c>
      <c r="D1296" s="1">
        <f>IF(Tabela1[[#This Row],[promien]]&lt;40000,1,0)</f>
        <v>1</v>
      </c>
      <c r="E1296" s="1">
        <f>IF(Tabela1[[#This Row],[promien]]=40000,1,0)</f>
        <v>0</v>
      </c>
      <c r="F1296" s="1">
        <v>3.2037037037037037</v>
      </c>
      <c r="G1296" s="1">
        <v>6.2111050113910604E-2</v>
      </c>
    </row>
    <row r="1297" spans="1:7">
      <c r="A1297">
        <v>46</v>
      </c>
      <c r="B1297">
        <v>256</v>
      </c>
      <c r="C1297" s="1">
        <f>(Tabela1[[#This Row],[x]]-H$3)*(Tabela1[[#This Row],[x]]-H$3) +(Tabela1[[#This Row],[y]]-H$4)*(Tabela1[[#This Row],[y]]-H$4)</f>
        <v>26852</v>
      </c>
      <c r="D1297" s="1">
        <f>IF(Tabela1[[#This Row],[promien]]&lt;40000,1,0)</f>
        <v>1</v>
      </c>
      <c r="E1297" s="1">
        <f>IF(Tabela1[[#This Row],[promien]]=40000,1,0)</f>
        <v>0</v>
      </c>
      <c r="F1297" s="1">
        <v>3.2043176561295299</v>
      </c>
      <c r="G1297" s="1">
        <v>6.2725002539736785E-2</v>
      </c>
    </row>
    <row r="1298" spans="1:7">
      <c r="A1298">
        <v>274</v>
      </c>
      <c r="B1298">
        <v>80</v>
      </c>
      <c r="C1298" s="1">
        <f>(Tabela1[[#This Row],[x]]-H$3)*(Tabela1[[#This Row],[x]]-H$3) +(Tabela1[[#This Row],[y]]-H$4)*(Tabela1[[#This Row],[y]]-H$4)</f>
        <v>19876</v>
      </c>
      <c r="D1298" s="1">
        <f>IF(Tabela1[[#This Row],[promien]]&lt;40000,1,0)</f>
        <v>1</v>
      </c>
      <c r="E1298" s="1">
        <f>IF(Tabela1[[#This Row],[promien]]=40000,1,0)</f>
        <v>0</v>
      </c>
      <c r="F1298" s="1">
        <v>3.2049306625577811</v>
      </c>
      <c r="G1298" s="1">
        <v>6.3338008967988024E-2</v>
      </c>
    </row>
    <row r="1299" spans="1:7">
      <c r="A1299">
        <v>370</v>
      </c>
      <c r="B1299">
        <v>352</v>
      </c>
      <c r="C1299" s="1">
        <f>(Tabela1[[#This Row],[x]]-H$3)*(Tabela1[[#This Row],[x]]-H$3) +(Tabela1[[#This Row],[y]]-H$4)*(Tabela1[[#This Row],[y]]-H$4)</f>
        <v>52004</v>
      </c>
      <c r="D1299" s="1">
        <f>IF(Tabela1[[#This Row],[promien]]&lt;40000,1,0)</f>
        <v>0</v>
      </c>
      <c r="E1299" s="1">
        <f>IF(Tabela1[[#This Row],[promien]]=40000,1,0)</f>
        <v>0</v>
      </c>
      <c r="F1299" s="1">
        <v>3.2024634334103155</v>
      </c>
      <c r="G1299" s="1">
        <v>6.0870779820522358E-2</v>
      </c>
    </row>
    <row r="1300" spans="1:7">
      <c r="A1300">
        <v>243</v>
      </c>
      <c r="B1300">
        <v>12</v>
      </c>
      <c r="C1300" s="1">
        <f>(Tabela1[[#This Row],[x]]-H$3)*(Tabela1[[#This Row],[x]]-H$3) +(Tabela1[[#This Row],[y]]-H$4)*(Tabela1[[#This Row],[y]]-H$4)</f>
        <v>37193</v>
      </c>
      <c r="D1300" s="1">
        <f>IF(Tabela1[[#This Row],[promien]]&lt;40000,1,0)</f>
        <v>1</v>
      </c>
      <c r="E1300" s="1">
        <f>IF(Tabela1[[#This Row],[promien]]=40000,1,0)</f>
        <v>0</v>
      </c>
      <c r="F1300" s="1">
        <v>3.2030769230769232</v>
      </c>
      <c r="G1300" s="1">
        <v>6.1484269487130039E-2</v>
      </c>
    </row>
    <row r="1301" spans="1:7">
      <c r="A1301">
        <v>383</v>
      </c>
      <c r="B1301">
        <v>4</v>
      </c>
      <c r="C1301" s="1">
        <f>(Tabela1[[#This Row],[x]]-H$3)*(Tabela1[[#This Row],[x]]-H$3) +(Tabela1[[#This Row],[y]]-H$4)*(Tabela1[[#This Row],[y]]-H$4)</f>
        <v>71905</v>
      </c>
      <c r="D1301" s="1">
        <f>IF(Tabela1[[#This Row],[promien]]&lt;40000,1,0)</f>
        <v>0</v>
      </c>
      <c r="E1301" s="1">
        <f>IF(Tabela1[[#This Row],[promien]]=40000,1,0)</f>
        <v>0</v>
      </c>
      <c r="F1301" s="1">
        <v>3.2006149116064564</v>
      </c>
      <c r="G1301" s="1">
        <v>5.9022258016663276E-2</v>
      </c>
    </row>
    <row r="1302" spans="1:7">
      <c r="A1302">
        <v>397</v>
      </c>
      <c r="B1302">
        <v>314</v>
      </c>
      <c r="C1302" s="1">
        <f>(Tabela1[[#This Row],[x]]-H$3)*(Tabela1[[#This Row],[x]]-H$3) +(Tabela1[[#This Row],[y]]-H$4)*(Tabela1[[#This Row],[y]]-H$4)</f>
        <v>51805</v>
      </c>
      <c r="D1302" s="1">
        <f>IF(Tabela1[[#This Row],[promien]]&lt;40000,1,0)</f>
        <v>0</v>
      </c>
      <c r="E1302" s="1">
        <f>IF(Tabela1[[#This Row],[promien]]=40000,1,0)</f>
        <v>0</v>
      </c>
      <c r="F1302" s="1">
        <v>3.1981566820276499</v>
      </c>
      <c r="G1302" s="1">
        <v>5.6564028437856795E-2</v>
      </c>
    </row>
    <row r="1303" spans="1:7">
      <c r="A1303">
        <v>162</v>
      </c>
      <c r="B1303">
        <v>284</v>
      </c>
      <c r="C1303" s="1">
        <f>(Tabela1[[#This Row],[x]]-H$3)*(Tabela1[[#This Row],[x]]-H$3) +(Tabela1[[#This Row],[y]]-H$4)*(Tabela1[[#This Row],[y]]-H$4)</f>
        <v>8500</v>
      </c>
      <c r="D1303" s="1">
        <f>IF(Tabela1[[#This Row],[promien]]&lt;40000,1,0)</f>
        <v>1</v>
      </c>
      <c r="E1303" s="1">
        <f>IF(Tabela1[[#This Row],[promien]]=40000,1,0)</f>
        <v>0</v>
      </c>
      <c r="F1303" s="1">
        <v>3.1987720644666156</v>
      </c>
      <c r="G1303" s="1">
        <v>5.7179410876822434E-2</v>
      </c>
    </row>
    <row r="1304" spans="1:7">
      <c r="A1304">
        <v>9</v>
      </c>
      <c r="B1304">
        <v>81</v>
      </c>
      <c r="C1304" s="1">
        <f>(Tabela1[[#This Row],[x]]-H$3)*(Tabela1[[#This Row],[x]]-H$3) +(Tabela1[[#This Row],[y]]-H$4)*(Tabela1[[#This Row],[y]]-H$4)</f>
        <v>50642</v>
      </c>
      <c r="D1304" s="1">
        <f>IF(Tabela1[[#This Row],[promien]]&lt;40000,1,0)</f>
        <v>0</v>
      </c>
      <c r="E1304" s="1">
        <f>IF(Tabela1[[#This Row],[promien]]=40000,1,0)</f>
        <v>0</v>
      </c>
      <c r="F1304" s="1">
        <v>3.1963190184049082</v>
      </c>
      <c r="G1304" s="1">
        <v>5.4726364815115058E-2</v>
      </c>
    </row>
    <row r="1305" spans="1:7">
      <c r="A1305">
        <v>374</v>
      </c>
      <c r="B1305">
        <v>203</v>
      </c>
      <c r="C1305" s="1">
        <f>(Tabela1[[#This Row],[x]]-H$3)*(Tabela1[[#This Row],[x]]-H$3) +(Tabela1[[#This Row],[y]]-H$4)*(Tabela1[[#This Row],[y]]-H$4)</f>
        <v>30285</v>
      </c>
      <c r="D1305" s="1">
        <f>IF(Tabela1[[#This Row],[promien]]&lt;40000,1,0)</f>
        <v>1</v>
      </c>
      <c r="E1305" s="1">
        <f>IF(Tabela1[[#This Row],[promien]]=40000,1,0)</f>
        <v>0</v>
      </c>
      <c r="F1305" s="1">
        <v>3.1969348659003831</v>
      </c>
      <c r="G1305" s="1">
        <v>5.534221231059E-2</v>
      </c>
    </row>
    <row r="1306" spans="1:7">
      <c r="A1306">
        <v>16</v>
      </c>
      <c r="B1306">
        <v>16</v>
      </c>
      <c r="C1306" s="1">
        <f>(Tabela1[[#This Row],[x]]-H$3)*(Tabela1[[#This Row],[x]]-H$3) +(Tabela1[[#This Row],[y]]-H$4)*(Tabela1[[#This Row],[y]]-H$4)</f>
        <v>67712</v>
      </c>
      <c r="D1306" s="1">
        <f>IF(Tabela1[[#This Row],[promien]]&lt;40000,1,0)</f>
        <v>0</v>
      </c>
      <c r="E1306" s="1">
        <f>IF(Tabela1[[#This Row],[promien]]=40000,1,0)</f>
        <v>0</v>
      </c>
      <c r="F1306" s="1">
        <v>3.1944869831546709</v>
      </c>
      <c r="G1306" s="1">
        <v>5.2894329564877829E-2</v>
      </c>
    </row>
    <row r="1307" spans="1:7">
      <c r="A1307">
        <v>93</v>
      </c>
      <c r="B1307">
        <v>95</v>
      </c>
      <c r="C1307" s="1">
        <f>(Tabela1[[#This Row],[x]]-H$3)*(Tabela1[[#This Row],[x]]-H$3) +(Tabela1[[#This Row],[y]]-H$4)*(Tabela1[[#This Row],[y]]-H$4)</f>
        <v>22474</v>
      </c>
      <c r="D1307" s="1">
        <f>IF(Tabela1[[#This Row],[promien]]&lt;40000,1,0)</f>
        <v>1</v>
      </c>
      <c r="E1307" s="1">
        <f>IF(Tabela1[[#This Row],[promien]]=40000,1,0)</f>
        <v>0</v>
      </c>
      <c r="F1307" s="1">
        <v>3.1951032899770468</v>
      </c>
      <c r="G1307" s="1">
        <v>5.3510636387253729E-2</v>
      </c>
    </row>
    <row r="1308" spans="1:7">
      <c r="A1308">
        <v>196</v>
      </c>
      <c r="B1308">
        <v>96</v>
      </c>
      <c r="C1308" s="1">
        <f>(Tabela1[[#This Row],[x]]-H$3)*(Tabela1[[#This Row],[x]]-H$3) +(Tabela1[[#This Row],[y]]-H$4)*(Tabela1[[#This Row],[y]]-H$4)</f>
        <v>10832</v>
      </c>
      <c r="D1308" s="1">
        <f>IF(Tabela1[[#This Row],[promien]]&lt;40000,1,0)</f>
        <v>1</v>
      </c>
      <c r="E1308" s="1">
        <f>IF(Tabela1[[#This Row],[promien]]=40000,1,0)</f>
        <v>0</v>
      </c>
      <c r="F1308" s="1">
        <v>3.1957186544342506</v>
      </c>
      <c r="G1308" s="1">
        <v>5.4126000844457511E-2</v>
      </c>
    </row>
    <row r="1309" spans="1:7">
      <c r="A1309">
        <v>220</v>
      </c>
      <c r="B1309">
        <v>145</v>
      </c>
      <c r="C1309" s="1">
        <f>(Tabela1[[#This Row],[x]]-H$3)*(Tabela1[[#This Row],[x]]-H$3) +(Tabela1[[#This Row],[y]]-H$4)*(Tabela1[[#This Row],[y]]-H$4)</f>
        <v>3425</v>
      </c>
      <c r="D1309" s="1">
        <f>IF(Tabela1[[#This Row],[promien]]&lt;40000,1,0)</f>
        <v>1</v>
      </c>
      <c r="E1309" s="1">
        <f>IF(Tabela1[[#This Row],[promien]]=40000,1,0)</f>
        <v>0</v>
      </c>
      <c r="F1309" s="1">
        <v>3.19633307868602</v>
      </c>
      <c r="G1309" s="1">
        <v>5.4740425096226897E-2</v>
      </c>
    </row>
    <row r="1310" spans="1:7">
      <c r="A1310">
        <v>337</v>
      </c>
      <c r="B1310">
        <v>34</v>
      </c>
      <c r="C1310" s="1">
        <f>(Tabela1[[#This Row],[x]]-H$3)*(Tabela1[[#This Row],[x]]-H$3) +(Tabela1[[#This Row],[y]]-H$4)*(Tabela1[[#This Row],[y]]-H$4)</f>
        <v>46325</v>
      </c>
      <c r="D1310" s="1">
        <f>IF(Tabela1[[#This Row],[promien]]&lt;40000,1,0)</f>
        <v>0</v>
      </c>
      <c r="E1310" s="1">
        <f>IF(Tabela1[[#This Row],[promien]]=40000,1,0)</f>
        <v>0</v>
      </c>
      <c r="F1310" s="1">
        <v>3.1938931297709923</v>
      </c>
      <c r="G1310" s="1">
        <v>5.2300476181199151E-2</v>
      </c>
    </row>
    <row r="1311" spans="1:7">
      <c r="A1311">
        <v>304</v>
      </c>
      <c r="B1311">
        <v>49</v>
      </c>
      <c r="C1311" s="1">
        <f>(Tabela1[[#This Row],[x]]-H$3)*(Tabela1[[#This Row],[x]]-H$3) +(Tabela1[[#This Row],[y]]-H$4)*(Tabela1[[#This Row],[y]]-H$4)</f>
        <v>33617</v>
      </c>
      <c r="D1311" s="1">
        <f>IF(Tabela1[[#This Row],[promien]]&lt;40000,1,0)</f>
        <v>1</v>
      </c>
      <c r="E1311" s="1">
        <f>IF(Tabela1[[#This Row],[promien]]=40000,1,0)</f>
        <v>0</v>
      </c>
      <c r="F1311" s="1">
        <v>3.194508009153318</v>
      </c>
      <c r="G1311" s="1">
        <v>5.2915355563524891E-2</v>
      </c>
    </row>
    <row r="1312" spans="1:7">
      <c r="A1312">
        <v>197</v>
      </c>
      <c r="B1312">
        <v>297</v>
      </c>
      <c r="C1312" s="1">
        <f>(Tabela1[[#This Row],[x]]-H$3)*(Tabela1[[#This Row],[x]]-H$3) +(Tabela1[[#This Row],[y]]-H$4)*(Tabela1[[#This Row],[y]]-H$4)</f>
        <v>9418</v>
      </c>
      <c r="D1312" s="1">
        <f>IF(Tabela1[[#This Row],[promien]]&lt;40000,1,0)</f>
        <v>1</v>
      </c>
      <c r="E1312" s="1">
        <f>IF(Tabela1[[#This Row],[promien]]=40000,1,0)</f>
        <v>0</v>
      </c>
      <c r="F1312" s="1">
        <v>3.1951219512195124</v>
      </c>
      <c r="G1312" s="1">
        <v>5.3529297629719252E-2</v>
      </c>
    </row>
    <row r="1313" spans="1:7">
      <c r="A1313">
        <v>385</v>
      </c>
      <c r="B1313">
        <v>62</v>
      </c>
      <c r="C1313" s="1">
        <f>(Tabela1[[#This Row],[x]]-H$3)*(Tabela1[[#This Row],[x]]-H$3) +(Tabela1[[#This Row],[y]]-H$4)*(Tabela1[[#This Row],[y]]-H$4)</f>
        <v>53269</v>
      </c>
      <c r="D1313" s="1">
        <f>IF(Tabela1[[#This Row],[promien]]&lt;40000,1,0)</f>
        <v>0</v>
      </c>
      <c r="E1313" s="1">
        <f>IF(Tabela1[[#This Row],[promien]]=40000,1,0)</f>
        <v>0</v>
      </c>
      <c r="F1313" s="1">
        <v>3.1926884996191927</v>
      </c>
      <c r="G1313" s="1">
        <v>5.1095846029399539E-2</v>
      </c>
    </row>
    <row r="1314" spans="1:7">
      <c r="A1314">
        <v>193</v>
      </c>
      <c r="B1314">
        <v>179</v>
      </c>
      <c r="C1314" s="1">
        <f>(Tabela1[[#This Row],[x]]-H$3)*(Tabela1[[#This Row],[x]]-H$3) +(Tabela1[[#This Row],[y]]-H$4)*(Tabela1[[#This Row],[y]]-H$4)</f>
        <v>490</v>
      </c>
      <c r="D1314" s="1">
        <f>IF(Tabela1[[#This Row],[promien]]&lt;40000,1,0)</f>
        <v>1</v>
      </c>
      <c r="E1314" s="1">
        <f>IF(Tabela1[[#This Row],[promien]]=40000,1,0)</f>
        <v>0</v>
      </c>
      <c r="F1314" s="1">
        <v>3.1933028919330289</v>
      </c>
      <c r="G1314" s="1">
        <v>5.1710238343235737E-2</v>
      </c>
    </row>
    <row r="1315" spans="1:7">
      <c r="A1315">
        <v>343</v>
      </c>
      <c r="B1315">
        <v>274</v>
      </c>
      <c r="C1315" s="1">
        <f>(Tabela1[[#This Row],[x]]-H$3)*(Tabela1[[#This Row],[x]]-H$3) +(Tabela1[[#This Row],[y]]-H$4)*(Tabela1[[#This Row],[y]]-H$4)</f>
        <v>25925</v>
      </c>
      <c r="D1315" s="1">
        <f>IF(Tabela1[[#This Row],[promien]]&lt;40000,1,0)</f>
        <v>1</v>
      </c>
      <c r="E1315" s="1">
        <f>IF(Tabela1[[#This Row],[promien]]=40000,1,0)</f>
        <v>0</v>
      </c>
      <c r="F1315" s="1">
        <v>3.1939163498098861</v>
      </c>
      <c r="G1315" s="1">
        <v>5.232369622009303E-2</v>
      </c>
    </row>
    <row r="1316" spans="1:7">
      <c r="A1316">
        <v>396</v>
      </c>
      <c r="B1316">
        <v>129</v>
      </c>
      <c r="C1316" s="1">
        <f>(Tabela1[[#This Row],[x]]-H$3)*(Tabela1[[#This Row],[x]]-H$3) +(Tabela1[[#This Row],[y]]-H$4)*(Tabela1[[#This Row],[y]]-H$4)</f>
        <v>43457</v>
      </c>
      <c r="D1316" s="1">
        <f>IF(Tabela1[[#This Row],[promien]]&lt;40000,1,0)</f>
        <v>0</v>
      </c>
      <c r="E1316" s="1">
        <f>IF(Tabela1[[#This Row],[promien]]=40000,1,0)</f>
        <v>0</v>
      </c>
      <c r="F1316" s="1">
        <v>3.1914893617021276</v>
      </c>
      <c r="G1316" s="1">
        <v>4.9896708112334487E-2</v>
      </c>
    </row>
    <row r="1317" spans="1:7">
      <c r="A1317">
        <v>211</v>
      </c>
      <c r="B1317">
        <v>340</v>
      </c>
      <c r="C1317" s="1">
        <f>(Tabela1[[#This Row],[x]]-H$3)*(Tabela1[[#This Row],[x]]-H$3) +(Tabela1[[#This Row],[y]]-H$4)*(Tabela1[[#This Row],[y]]-H$4)</f>
        <v>19721</v>
      </c>
      <c r="D1317" s="1">
        <f>IF(Tabela1[[#This Row],[promien]]&lt;40000,1,0)</f>
        <v>1</v>
      </c>
      <c r="E1317" s="1">
        <f>IF(Tabela1[[#This Row],[promien]]=40000,1,0)</f>
        <v>0</v>
      </c>
      <c r="F1317" s="1">
        <v>3.1921032649962036</v>
      </c>
      <c r="G1317" s="1">
        <v>5.0510611406410444E-2</v>
      </c>
    </row>
    <row r="1318" spans="1:7">
      <c r="A1318">
        <v>74</v>
      </c>
      <c r="B1318">
        <v>119</v>
      </c>
      <c r="C1318" s="1">
        <f>(Tabela1[[#This Row],[x]]-H$3)*(Tabela1[[#This Row],[x]]-H$3) +(Tabela1[[#This Row],[y]]-H$4)*(Tabela1[[#This Row],[y]]-H$4)</f>
        <v>22437</v>
      </c>
      <c r="D1318" s="1">
        <f>IF(Tabela1[[#This Row],[promien]]&lt;40000,1,0)</f>
        <v>1</v>
      </c>
      <c r="E1318" s="1">
        <f>IF(Tabela1[[#This Row],[promien]]=40000,1,0)</f>
        <v>0</v>
      </c>
      <c r="F1318" s="1">
        <v>3.1927162367223065</v>
      </c>
      <c r="G1318" s="1">
        <v>5.1123583132513417E-2</v>
      </c>
    </row>
    <row r="1319" spans="1:7">
      <c r="A1319">
        <v>394</v>
      </c>
      <c r="B1319">
        <v>48</v>
      </c>
      <c r="C1319" s="1">
        <f>(Tabela1[[#This Row],[x]]-H$3)*(Tabela1[[#This Row],[x]]-H$3) +(Tabela1[[#This Row],[y]]-H$4)*(Tabela1[[#This Row],[y]]-H$4)</f>
        <v>60740</v>
      </c>
      <c r="D1319" s="1">
        <f>IF(Tabela1[[#This Row],[promien]]&lt;40000,1,0)</f>
        <v>0</v>
      </c>
      <c r="E1319" s="1">
        <f>IF(Tabela1[[#This Row],[promien]]=40000,1,0)</f>
        <v>0</v>
      </c>
      <c r="F1319" s="1">
        <v>3.1902956785443517</v>
      </c>
      <c r="G1319" s="1">
        <v>4.8703024954558582E-2</v>
      </c>
    </row>
    <row r="1320" spans="1:7">
      <c r="A1320">
        <v>18</v>
      </c>
      <c r="B1320">
        <v>55</v>
      </c>
      <c r="C1320" s="1">
        <f>(Tabela1[[#This Row],[x]]-H$3)*(Tabela1[[#This Row],[x]]-H$3) +(Tabela1[[#This Row],[y]]-H$4)*(Tabela1[[#This Row],[y]]-H$4)</f>
        <v>54149</v>
      </c>
      <c r="D1320" s="1">
        <f>IF(Tabela1[[#This Row],[promien]]&lt;40000,1,0)</f>
        <v>0</v>
      </c>
      <c r="E1320" s="1">
        <f>IF(Tabela1[[#This Row],[promien]]=40000,1,0)</f>
        <v>0</v>
      </c>
      <c r="F1320" s="1">
        <v>3.187878787878788</v>
      </c>
      <c r="G1320" s="1">
        <v>4.6286134288994862E-2</v>
      </c>
    </row>
    <row r="1321" spans="1:7">
      <c r="A1321">
        <v>4</v>
      </c>
      <c r="B1321">
        <v>323</v>
      </c>
      <c r="C1321" s="1">
        <f>(Tabela1[[#This Row],[x]]-H$3)*(Tabela1[[#This Row],[x]]-H$3) +(Tabela1[[#This Row],[y]]-H$4)*(Tabela1[[#This Row],[y]]-H$4)</f>
        <v>53545</v>
      </c>
      <c r="D1321" s="1">
        <f>IF(Tabela1[[#This Row],[promien]]&lt;40000,1,0)</f>
        <v>0</v>
      </c>
      <c r="E1321" s="1">
        <f>IF(Tabela1[[#This Row],[promien]]=40000,1,0)</f>
        <v>0</v>
      </c>
      <c r="F1321" s="1">
        <v>3.1854655563966694</v>
      </c>
      <c r="G1321" s="1">
        <v>4.3872902806876279E-2</v>
      </c>
    </row>
    <row r="1322" spans="1:7">
      <c r="A1322">
        <v>24</v>
      </c>
      <c r="B1322">
        <v>50</v>
      </c>
      <c r="C1322" s="1">
        <f>(Tabela1[[#This Row],[x]]-H$3)*(Tabela1[[#This Row],[x]]-H$3) +(Tabela1[[#This Row],[y]]-H$4)*(Tabela1[[#This Row],[y]]-H$4)</f>
        <v>53476</v>
      </c>
      <c r="D1322" s="1">
        <f>IF(Tabela1[[#This Row],[promien]]&lt;40000,1,0)</f>
        <v>0</v>
      </c>
      <c r="E1322" s="1">
        <f>IF(Tabela1[[#This Row],[promien]]=40000,1,0)</f>
        <v>0</v>
      </c>
      <c r="F1322" s="1">
        <v>3.1830559757942511</v>
      </c>
      <c r="G1322" s="1">
        <v>4.1463322204458031E-2</v>
      </c>
    </row>
    <row r="1323" spans="1:7">
      <c r="A1323">
        <v>296</v>
      </c>
      <c r="B1323">
        <v>39</v>
      </c>
      <c r="C1323" s="1">
        <f>(Tabela1[[#This Row],[x]]-H$3)*(Tabela1[[#This Row],[x]]-H$3) +(Tabela1[[#This Row],[y]]-H$4)*(Tabela1[[#This Row],[y]]-H$4)</f>
        <v>35137</v>
      </c>
      <c r="D1323" s="1">
        <f>IF(Tabela1[[#This Row],[promien]]&lt;40000,1,0)</f>
        <v>1</v>
      </c>
      <c r="E1323" s="1">
        <f>IF(Tabela1[[#This Row],[promien]]=40000,1,0)</f>
        <v>0</v>
      </c>
      <c r="F1323" s="1">
        <v>3.1836734693877551</v>
      </c>
      <c r="G1323" s="1">
        <v>4.2080815797961968E-2</v>
      </c>
    </row>
    <row r="1324" spans="1:7">
      <c r="A1324">
        <v>350</v>
      </c>
      <c r="B1324">
        <v>384</v>
      </c>
      <c r="C1324" s="1">
        <f>(Tabela1[[#This Row],[x]]-H$3)*(Tabela1[[#This Row],[x]]-H$3) +(Tabela1[[#This Row],[y]]-H$4)*(Tabela1[[#This Row],[y]]-H$4)</f>
        <v>56356</v>
      </c>
      <c r="D1324" s="1">
        <f>IF(Tabela1[[#This Row],[promien]]&lt;40000,1,0)</f>
        <v>0</v>
      </c>
      <c r="E1324" s="1">
        <f>IF(Tabela1[[#This Row],[promien]]=40000,1,0)</f>
        <v>0</v>
      </c>
      <c r="F1324" s="1">
        <v>3.1812688821752264</v>
      </c>
      <c r="G1324" s="1">
        <v>3.9676228585433293E-2</v>
      </c>
    </row>
    <row r="1325" spans="1:7">
      <c r="A1325">
        <v>394</v>
      </c>
      <c r="B1325">
        <v>165</v>
      </c>
      <c r="C1325" s="1">
        <f>(Tabela1[[#This Row],[x]]-H$3)*(Tabela1[[#This Row],[x]]-H$3) +(Tabela1[[#This Row],[y]]-H$4)*(Tabela1[[#This Row],[y]]-H$4)</f>
        <v>38861</v>
      </c>
      <c r="D1325" s="1">
        <f>IF(Tabela1[[#This Row],[promien]]&lt;40000,1,0)</f>
        <v>1</v>
      </c>
      <c r="E1325" s="1">
        <f>IF(Tabela1[[#This Row],[promien]]=40000,1,0)</f>
        <v>0</v>
      </c>
      <c r="F1325" s="1">
        <v>3.18188679245283</v>
      </c>
      <c r="G1325" s="1">
        <v>4.0294138863036899E-2</v>
      </c>
    </row>
    <row r="1326" spans="1:7">
      <c r="A1326">
        <v>145</v>
      </c>
      <c r="B1326">
        <v>236</v>
      </c>
      <c r="C1326" s="1">
        <f>(Tabela1[[#This Row],[x]]-H$3)*(Tabela1[[#This Row],[x]]-H$3) +(Tabela1[[#This Row],[y]]-H$4)*(Tabela1[[#This Row],[y]]-H$4)</f>
        <v>4321</v>
      </c>
      <c r="D1326" s="1">
        <f>IF(Tabela1[[#This Row],[promien]]&lt;40000,1,0)</f>
        <v>1</v>
      </c>
      <c r="E1326" s="1">
        <f>IF(Tabela1[[#This Row],[promien]]=40000,1,0)</f>
        <v>0</v>
      </c>
      <c r="F1326" s="1">
        <v>3.1825037707390647</v>
      </c>
      <c r="G1326" s="1">
        <v>4.0911117149271536E-2</v>
      </c>
    </row>
    <row r="1327" spans="1:7">
      <c r="A1327">
        <v>120</v>
      </c>
      <c r="B1327">
        <v>218</v>
      </c>
      <c r="C1327" s="1">
        <f>(Tabela1[[#This Row],[x]]-H$3)*(Tabela1[[#This Row],[x]]-H$3) +(Tabela1[[#This Row],[y]]-H$4)*(Tabela1[[#This Row],[y]]-H$4)</f>
        <v>6724</v>
      </c>
      <c r="D1327" s="1">
        <f>IF(Tabela1[[#This Row],[promien]]&lt;40000,1,0)</f>
        <v>1</v>
      </c>
      <c r="E1327" s="1">
        <f>IF(Tabela1[[#This Row],[promien]]=40000,1,0)</f>
        <v>0</v>
      </c>
      <c r="F1327" s="1">
        <v>3.1831198191409196</v>
      </c>
      <c r="G1327" s="1">
        <v>4.1527165551126455E-2</v>
      </c>
    </row>
    <row r="1328" spans="1:7">
      <c r="A1328">
        <v>49</v>
      </c>
      <c r="B1328">
        <v>372</v>
      </c>
      <c r="C1328" s="1">
        <f>(Tabela1[[#This Row],[x]]-H$3)*(Tabela1[[#This Row],[x]]-H$3) +(Tabela1[[#This Row],[y]]-H$4)*(Tabela1[[#This Row],[y]]-H$4)</f>
        <v>52385</v>
      </c>
      <c r="D1328" s="1">
        <f>IF(Tabela1[[#This Row],[promien]]&lt;40000,1,0)</f>
        <v>0</v>
      </c>
      <c r="E1328" s="1">
        <f>IF(Tabela1[[#This Row],[promien]]=40000,1,0)</f>
        <v>0</v>
      </c>
      <c r="F1328" s="1">
        <v>3.1807228915662651</v>
      </c>
      <c r="G1328" s="1">
        <v>3.9130237976471971E-2</v>
      </c>
    </row>
    <row r="1329" spans="1:7">
      <c r="A1329">
        <v>111</v>
      </c>
      <c r="B1329">
        <v>196</v>
      </c>
      <c r="C1329" s="1">
        <f>(Tabela1[[#This Row],[x]]-H$3)*(Tabela1[[#This Row],[x]]-H$3) +(Tabela1[[#This Row],[y]]-H$4)*(Tabela1[[#This Row],[y]]-H$4)</f>
        <v>7937</v>
      </c>
      <c r="D1329" s="1">
        <f>IF(Tabela1[[#This Row],[promien]]&lt;40000,1,0)</f>
        <v>1</v>
      </c>
      <c r="E1329" s="1">
        <f>IF(Tabela1[[#This Row],[promien]]=40000,1,0)</f>
        <v>0</v>
      </c>
      <c r="F1329" s="1">
        <v>3.1813393528969152</v>
      </c>
      <c r="G1329" s="1">
        <v>3.9746699307122046E-2</v>
      </c>
    </row>
    <row r="1330" spans="1:7">
      <c r="A1330">
        <v>260</v>
      </c>
      <c r="B1330">
        <v>88</v>
      </c>
      <c r="C1330" s="1">
        <f>(Tabela1[[#This Row],[x]]-H$3)*(Tabela1[[#This Row],[x]]-H$3) +(Tabela1[[#This Row],[y]]-H$4)*(Tabela1[[#This Row],[y]]-H$4)</f>
        <v>16144</v>
      </c>
      <c r="D1330" s="1">
        <f>IF(Tabela1[[#This Row],[promien]]&lt;40000,1,0)</f>
        <v>1</v>
      </c>
      <c r="E1330" s="1">
        <f>IF(Tabela1[[#This Row],[promien]]=40000,1,0)</f>
        <v>0</v>
      </c>
      <c r="F1330" s="1">
        <v>3.181954887218045</v>
      </c>
      <c r="G1330" s="1">
        <v>4.0362233628251865E-2</v>
      </c>
    </row>
    <row r="1331" spans="1:7">
      <c r="A1331">
        <v>104</v>
      </c>
      <c r="B1331">
        <v>394</v>
      </c>
      <c r="C1331" s="1">
        <f>(Tabela1[[#This Row],[x]]-H$3)*(Tabela1[[#This Row],[x]]-H$3) +(Tabela1[[#This Row],[y]]-H$4)*(Tabela1[[#This Row],[y]]-H$4)</f>
        <v>46852</v>
      </c>
      <c r="D1331" s="1">
        <f>IF(Tabela1[[#This Row],[promien]]&lt;40000,1,0)</f>
        <v>0</v>
      </c>
      <c r="E1331" s="1">
        <f>IF(Tabela1[[#This Row],[promien]]=40000,1,0)</f>
        <v>0</v>
      </c>
      <c r="F1331" s="1">
        <v>3.1795642374154771</v>
      </c>
      <c r="G1331" s="1">
        <v>3.7971583825683997E-2</v>
      </c>
    </row>
    <row r="1332" spans="1:7">
      <c r="A1332">
        <v>289</v>
      </c>
      <c r="B1332">
        <v>275</v>
      </c>
      <c r="C1332" s="1">
        <f>(Tabela1[[#This Row],[x]]-H$3)*(Tabela1[[#This Row],[x]]-H$3) +(Tabela1[[#This Row],[y]]-H$4)*(Tabela1[[#This Row],[y]]-H$4)</f>
        <v>13546</v>
      </c>
      <c r="D1332" s="1">
        <f>IF(Tabela1[[#This Row],[promien]]&lt;40000,1,0)</f>
        <v>1</v>
      </c>
      <c r="E1332" s="1">
        <f>IF(Tabela1[[#This Row],[promien]]=40000,1,0)</f>
        <v>0</v>
      </c>
      <c r="F1332" s="1">
        <v>3.1801801801801801</v>
      </c>
      <c r="G1332" s="1">
        <v>3.8587526590387E-2</v>
      </c>
    </row>
    <row r="1333" spans="1:7">
      <c r="A1333">
        <v>15</v>
      </c>
      <c r="B1333">
        <v>303</v>
      </c>
      <c r="C1333" s="1">
        <f>(Tabela1[[#This Row],[x]]-H$3)*(Tabela1[[#This Row],[x]]-H$3) +(Tabela1[[#This Row],[y]]-H$4)*(Tabela1[[#This Row],[y]]-H$4)</f>
        <v>44834</v>
      </c>
      <c r="D1333" s="1">
        <f>IF(Tabela1[[#This Row],[promien]]&lt;40000,1,0)</f>
        <v>0</v>
      </c>
      <c r="E1333" s="1">
        <f>IF(Tabela1[[#This Row],[promien]]=40000,1,0)</f>
        <v>0</v>
      </c>
      <c r="F1333" s="1">
        <v>3.1777944486121532</v>
      </c>
      <c r="G1333" s="1">
        <v>3.6201795022360095E-2</v>
      </c>
    </row>
    <row r="1334" spans="1:7">
      <c r="A1334">
        <v>43</v>
      </c>
      <c r="B1334">
        <v>347</v>
      </c>
      <c r="C1334" s="1">
        <f>(Tabela1[[#This Row],[x]]-H$3)*(Tabela1[[#This Row],[x]]-H$3) +(Tabela1[[#This Row],[y]]-H$4)*(Tabela1[[#This Row],[y]]-H$4)</f>
        <v>46258</v>
      </c>
      <c r="D1334" s="1">
        <f>IF(Tabela1[[#This Row],[promien]]&lt;40000,1,0)</f>
        <v>0</v>
      </c>
      <c r="E1334" s="1">
        <f>IF(Tabela1[[#This Row],[promien]]=40000,1,0)</f>
        <v>0</v>
      </c>
      <c r="F1334" s="1">
        <v>3.1754122938530736</v>
      </c>
      <c r="G1334" s="1">
        <v>3.3819640263280437E-2</v>
      </c>
    </row>
    <row r="1335" spans="1:7">
      <c r="A1335">
        <v>360</v>
      </c>
      <c r="B1335">
        <v>65</v>
      </c>
      <c r="C1335" s="1">
        <f>(Tabela1[[#This Row],[x]]-H$3)*(Tabela1[[#This Row],[x]]-H$3) +(Tabela1[[#This Row],[y]]-H$4)*(Tabela1[[#This Row],[y]]-H$4)</f>
        <v>43825</v>
      </c>
      <c r="D1335" s="1">
        <f>IF(Tabela1[[#This Row],[promien]]&lt;40000,1,0)</f>
        <v>0</v>
      </c>
      <c r="E1335" s="1">
        <f>IF(Tabela1[[#This Row],[promien]]=40000,1,0)</f>
        <v>0</v>
      </c>
      <c r="F1335" s="1">
        <v>3.1730337078651685</v>
      </c>
      <c r="G1335" s="1">
        <v>3.1441054275375357E-2</v>
      </c>
    </row>
    <row r="1336" spans="1:7">
      <c r="A1336">
        <v>200</v>
      </c>
      <c r="B1336">
        <v>69</v>
      </c>
      <c r="C1336" s="1">
        <f>(Tabela1[[#This Row],[x]]-H$3)*(Tabela1[[#This Row],[x]]-H$3) +(Tabela1[[#This Row],[y]]-H$4)*(Tabela1[[#This Row],[y]]-H$4)</f>
        <v>17161</v>
      </c>
      <c r="D1336" s="1">
        <f>IF(Tabela1[[#This Row],[promien]]&lt;40000,1,0)</f>
        <v>1</v>
      </c>
      <c r="E1336" s="1">
        <f>IF(Tabela1[[#This Row],[promien]]=40000,1,0)</f>
        <v>0</v>
      </c>
      <c r="F1336" s="1">
        <v>3.1736526946107784</v>
      </c>
      <c r="G1336" s="1">
        <v>3.2060041020985253E-2</v>
      </c>
    </row>
    <row r="1337" spans="1:7">
      <c r="A1337">
        <v>312</v>
      </c>
      <c r="B1337">
        <v>224</v>
      </c>
      <c r="C1337" s="1">
        <f>(Tabela1[[#This Row],[x]]-H$3)*(Tabela1[[#This Row],[x]]-H$3) +(Tabela1[[#This Row],[y]]-H$4)*(Tabela1[[#This Row],[y]]-H$4)</f>
        <v>13120</v>
      </c>
      <c r="D1337" s="1">
        <f>IF(Tabela1[[#This Row],[promien]]&lt;40000,1,0)</f>
        <v>1</v>
      </c>
      <c r="E1337" s="1">
        <f>IF(Tabela1[[#This Row],[promien]]=40000,1,0)</f>
        <v>0</v>
      </c>
      <c r="F1337" s="1">
        <v>3.174270755422588</v>
      </c>
      <c r="G1337" s="1">
        <v>3.2678101832794848E-2</v>
      </c>
    </row>
    <row r="1338" spans="1:7">
      <c r="A1338">
        <v>163</v>
      </c>
      <c r="B1338">
        <v>365</v>
      </c>
      <c r="C1338" s="1">
        <f>(Tabela1[[#This Row],[x]]-H$3)*(Tabela1[[#This Row],[x]]-H$3) +(Tabela1[[#This Row],[y]]-H$4)*(Tabela1[[#This Row],[y]]-H$4)</f>
        <v>28594</v>
      </c>
      <c r="D1338" s="1">
        <f>IF(Tabela1[[#This Row],[promien]]&lt;40000,1,0)</f>
        <v>1</v>
      </c>
      <c r="E1338" s="1">
        <f>IF(Tabela1[[#This Row],[promien]]=40000,1,0)</f>
        <v>0</v>
      </c>
      <c r="F1338" s="1">
        <v>3.1748878923766815</v>
      </c>
      <c r="G1338" s="1">
        <v>3.3295238786888337E-2</v>
      </c>
    </row>
    <row r="1339" spans="1:7">
      <c r="A1339">
        <v>378</v>
      </c>
      <c r="B1339">
        <v>319</v>
      </c>
      <c r="C1339" s="1">
        <f>(Tabela1[[#This Row],[x]]-H$3)*(Tabela1[[#This Row],[x]]-H$3) +(Tabela1[[#This Row],[y]]-H$4)*(Tabela1[[#This Row],[y]]-H$4)</f>
        <v>45845</v>
      </c>
      <c r="D1339" s="1">
        <f>IF(Tabela1[[#This Row],[promien]]&lt;40000,1,0)</f>
        <v>0</v>
      </c>
      <c r="E1339" s="1">
        <f>IF(Tabela1[[#This Row],[promien]]=40000,1,0)</f>
        <v>0</v>
      </c>
      <c r="F1339" s="1">
        <v>3.1725168035847648</v>
      </c>
      <c r="G1339" s="1">
        <v>3.0924149994971728E-2</v>
      </c>
    </row>
    <row r="1340" spans="1:7">
      <c r="A1340">
        <v>385</v>
      </c>
      <c r="B1340">
        <v>288</v>
      </c>
      <c r="C1340" s="1">
        <f>(Tabela1[[#This Row],[x]]-H$3)*(Tabela1[[#This Row],[x]]-H$3) +(Tabela1[[#This Row],[y]]-H$4)*(Tabela1[[#This Row],[y]]-H$4)</f>
        <v>41969</v>
      </c>
      <c r="D1340" s="1">
        <f>IF(Tabela1[[#This Row],[promien]]&lt;40000,1,0)</f>
        <v>0</v>
      </c>
      <c r="E1340" s="1">
        <f>IF(Tabela1[[#This Row],[promien]]=40000,1,0)</f>
        <v>0</v>
      </c>
      <c r="F1340" s="1">
        <v>3.1701492537313434</v>
      </c>
      <c r="G1340" s="1">
        <v>2.8556600141550259E-2</v>
      </c>
    </row>
    <row r="1341" spans="1:7">
      <c r="A1341">
        <v>270</v>
      </c>
      <c r="B1341">
        <v>199</v>
      </c>
      <c r="C1341" s="1">
        <f>(Tabela1[[#This Row],[x]]-H$3)*(Tabela1[[#This Row],[x]]-H$3) +(Tabela1[[#This Row],[y]]-H$4)*(Tabela1[[#This Row],[y]]-H$4)</f>
        <v>4901</v>
      </c>
      <c r="D1341" s="1">
        <f>IF(Tabela1[[#This Row],[promien]]&lt;40000,1,0)</f>
        <v>1</v>
      </c>
      <c r="E1341" s="1">
        <f>IF(Tabela1[[#This Row],[promien]]=40000,1,0)</f>
        <v>0</v>
      </c>
      <c r="F1341" s="1">
        <v>3.1707680835197616</v>
      </c>
      <c r="G1341" s="1">
        <v>2.9175429929968466E-2</v>
      </c>
    </row>
    <row r="1342" spans="1:7">
      <c r="A1342">
        <v>288</v>
      </c>
      <c r="B1342">
        <v>201</v>
      </c>
      <c r="C1342" s="1">
        <f>(Tabela1[[#This Row],[x]]-H$3)*(Tabela1[[#This Row],[x]]-H$3) +(Tabela1[[#This Row],[y]]-H$4)*(Tabela1[[#This Row],[y]]-H$4)</f>
        <v>7745</v>
      </c>
      <c r="D1342" s="1">
        <f>IF(Tabela1[[#This Row],[promien]]&lt;40000,1,0)</f>
        <v>1</v>
      </c>
      <c r="E1342" s="1">
        <f>IF(Tabela1[[#This Row],[promien]]=40000,1,0)</f>
        <v>0</v>
      </c>
      <c r="F1342" s="1">
        <v>3.1713859910581221</v>
      </c>
      <c r="G1342" s="1">
        <v>2.9793337468329018E-2</v>
      </c>
    </row>
    <row r="1343" spans="1:7">
      <c r="A1343">
        <v>364</v>
      </c>
      <c r="B1343">
        <v>170</v>
      </c>
      <c r="C1343" s="1">
        <f>(Tabela1[[#This Row],[x]]-H$3)*(Tabela1[[#This Row],[x]]-H$3) +(Tabela1[[#This Row],[y]]-H$4)*(Tabela1[[#This Row],[y]]-H$4)</f>
        <v>27796</v>
      </c>
      <c r="D1343" s="1">
        <f>IF(Tabela1[[#This Row],[promien]]&lt;40000,1,0)</f>
        <v>1</v>
      </c>
      <c r="E1343" s="1">
        <f>IF(Tabela1[[#This Row],[promien]]=40000,1,0)</f>
        <v>0</v>
      </c>
      <c r="F1343" s="1">
        <v>3.1720029784065527</v>
      </c>
      <c r="G1343" s="1">
        <v>3.0410324816759537E-2</v>
      </c>
    </row>
    <row r="1344" spans="1:7">
      <c r="A1344">
        <v>46</v>
      </c>
      <c r="B1344">
        <v>20</v>
      </c>
      <c r="C1344" s="1">
        <f>(Tabela1[[#This Row],[x]]-H$3)*(Tabela1[[#This Row],[x]]-H$3) +(Tabela1[[#This Row],[y]]-H$4)*(Tabela1[[#This Row],[y]]-H$4)</f>
        <v>56116</v>
      </c>
      <c r="D1344" s="1">
        <f>IF(Tabela1[[#This Row],[promien]]&lt;40000,1,0)</f>
        <v>0</v>
      </c>
      <c r="E1344" s="1">
        <f>IF(Tabela1[[#This Row],[promien]]=40000,1,0)</f>
        <v>0</v>
      </c>
      <c r="F1344" s="1">
        <v>3.1696428571428572</v>
      </c>
      <c r="G1344" s="1">
        <v>2.805020355306409E-2</v>
      </c>
    </row>
    <row r="1345" spans="1:7">
      <c r="A1345">
        <v>78</v>
      </c>
      <c r="B1345">
        <v>96</v>
      </c>
      <c r="C1345" s="1">
        <f>(Tabela1[[#This Row],[x]]-H$3)*(Tabela1[[#This Row],[x]]-H$3) +(Tabela1[[#This Row],[y]]-H$4)*(Tabela1[[#This Row],[y]]-H$4)</f>
        <v>25700</v>
      </c>
      <c r="D1345" s="1">
        <f>IF(Tabela1[[#This Row],[promien]]&lt;40000,1,0)</f>
        <v>1</v>
      </c>
      <c r="E1345" s="1">
        <f>IF(Tabela1[[#This Row],[promien]]=40000,1,0)</f>
        <v>0</v>
      </c>
      <c r="F1345" s="1">
        <v>3.1702602230483272</v>
      </c>
      <c r="G1345" s="1">
        <v>2.8667569458534103E-2</v>
      </c>
    </row>
    <row r="1346" spans="1:7">
      <c r="A1346">
        <v>147</v>
      </c>
      <c r="B1346">
        <v>150</v>
      </c>
      <c r="C1346" s="1">
        <f>(Tabela1[[#This Row],[x]]-H$3)*(Tabela1[[#This Row],[x]]-H$3) +(Tabela1[[#This Row],[y]]-H$4)*(Tabela1[[#This Row],[y]]-H$4)</f>
        <v>5309</v>
      </c>
      <c r="D1346" s="1">
        <f>IF(Tabela1[[#This Row],[promien]]&lt;40000,1,0)</f>
        <v>1</v>
      </c>
      <c r="E1346" s="1">
        <f>IF(Tabela1[[#This Row],[promien]]=40000,1,0)</f>
        <v>0</v>
      </c>
      <c r="F1346" s="1">
        <v>3.1708766716196135</v>
      </c>
      <c r="G1346" s="1">
        <v>2.9284018029820391E-2</v>
      </c>
    </row>
    <row r="1347" spans="1:7">
      <c r="A1347">
        <v>37</v>
      </c>
      <c r="B1347">
        <v>165</v>
      </c>
      <c r="C1347" s="1">
        <f>(Tabela1[[#This Row],[x]]-H$3)*(Tabela1[[#This Row],[x]]-H$3) +(Tabela1[[#This Row],[y]]-H$4)*(Tabela1[[#This Row],[y]]-H$4)</f>
        <v>27794</v>
      </c>
      <c r="D1347" s="1">
        <f>IF(Tabela1[[#This Row],[promien]]&lt;40000,1,0)</f>
        <v>1</v>
      </c>
      <c r="E1347" s="1">
        <f>IF(Tabela1[[#This Row],[promien]]=40000,1,0)</f>
        <v>0</v>
      </c>
      <c r="F1347" s="1">
        <v>3.1714922048997773</v>
      </c>
      <c r="G1347" s="1">
        <v>2.9899551309984229E-2</v>
      </c>
    </row>
    <row r="1348" spans="1:7">
      <c r="A1348">
        <v>119</v>
      </c>
      <c r="B1348">
        <v>59</v>
      </c>
      <c r="C1348" s="1">
        <f>(Tabela1[[#This Row],[x]]-H$3)*(Tabela1[[#This Row],[x]]-H$3) +(Tabela1[[#This Row],[y]]-H$4)*(Tabela1[[#This Row],[y]]-H$4)</f>
        <v>26442</v>
      </c>
      <c r="D1348" s="1">
        <f>IF(Tabela1[[#This Row],[promien]]&lt;40000,1,0)</f>
        <v>1</v>
      </c>
      <c r="E1348" s="1">
        <f>IF(Tabela1[[#This Row],[promien]]=40000,1,0)</f>
        <v>0</v>
      </c>
      <c r="F1348" s="1">
        <v>3.172106824925816</v>
      </c>
      <c r="G1348" s="1">
        <v>3.0514171336022855E-2</v>
      </c>
    </row>
    <row r="1349" spans="1:7">
      <c r="A1349">
        <v>277</v>
      </c>
      <c r="B1349">
        <v>134</v>
      </c>
      <c r="C1349" s="1">
        <f>(Tabela1[[#This Row],[x]]-H$3)*(Tabela1[[#This Row],[x]]-H$3) +(Tabela1[[#This Row],[y]]-H$4)*(Tabela1[[#This Row],[y]]-H$4)</f>
        <v>10285</v>
      </c>
      <c r="D1349" s="1">
        <f>IF(Tabela1[[#This Row],[promien]]&lt;40000,1,0)</f>
        <v>1</v>
      </c>
      <c r="E1349" s="1">
        <f>IF(Tabela1[[#This Row],[promien]]=40000,1,0)</f>
        <v>0</v>
      </c>
      <c r="F1349" s="1">
        <v>3.1727205337286879</v>
      </c>
      <c r="G1349" s="1">
        <v>3.1127880138894781E-2</v>
      </c>
    </row>
    <row r="1350" spans="1:7">
      <c r="A1350">
        <v>35</v>
      </c>
      <c r="B1350">
        <v>94</v>
      </c>
      <c r="C1350" s="1">
        <f>(Tabela1[[#This Row],[x]]-H$3)*(Tabela1[[#This Row],[x]]-H$3) +(Tabela1[[#This Row],[y]]-H$4)*(Tabela1[[#This Row],[y]]-H$4)</f>
        <v>38461</v>
      </c>
      <c r="D1350" s="1">
        <f>IF(Tabela1[[#This Row],[promien]]&lt;40000,1,0)</f>
        <v>1</v>
      </c>
      <c r="E1350" s="1">
        <f>IF(Tabela1[[#This Row],[promien]]=40000,1,0)</f>
        <v>0</v>
      </c>
      <c r="F1350" s="1">
        <v>3.1733333333333333</v>
      </c>
      <c r="G1350" s="1">
        <v>3.1740679743540223E-2</v>
      </c>
    </row>
    <row r="1351" spans="1:7">
      <c r="A1351">
        <v>26</v>
      </c>
      <c r="B1351">
        <v>364</v>
      </c>
      <c r="C1351" s="1">
        <f>(Tabela1[[#This Row],[x]]-H$3)*(Tabela1[[#This Row],[x]]-H$3) +(Tabela1[[#This Row],[y]]-H$4)*(Tabela1[[#This Row],[y]]-H$4)</f>
        <v>57172</v>
      </c>
      <c r="D1351" s="1">
        <f>IF(Tabela1[[#This Row],[promien]]&lt;40000,1,0)</f>
        <v>0</v>
      </c>
      <c r="E1351" s="1">
        <f>IF(Tabela1[[#This Row],[promien]]=40000,1,0)</f>
        <v>0</v>
      </c>
      <c r="F1351" s="1">
        <v>3.1709844559585494</v>
      </c>
      <c r="G1351" s="1">
        <v>2.939180236875627E-2</v>
      </c>
    </row>
    <row r="1352" spans="1:7">
      <c r="A1352">
        <v>94</v>
      </c>
      <c r="B1352">
        <v>15</v>
      </c>
      <c r="C1352" s="1">
        <f>(Tabela1[[#This Row],[x]]-H$3)*(Tabela1[[#This Row],[x]]-H$3) +(Tabela1[[#This Row],[y]]-H$4)*(Tabela1[[#This Row],[y]]-H$4)</f>
        <v>45461</v>
      </c>
      <c r="D1352" s="1">
        <f>IF(Tabela1[[#This Row],[promien]]&lt;40000,1,0)</f>
        <v>0</v>
      </c>
      <c r="E1352" s="1">
        <f>IF(Tabela1[[#This Row],[promien]]=40000,1,0)</f>
        <v>0</v>
      </c>
      <c r="F1352" s="1">
        <v>3.168639053254438</v>
      </c>
      <c r="G1352" s="1">
        <v>2.7046399664644838E-2</v>
      </c>
    </row>
    <row r="1353" spans="1:7">
      <c r="A1353">
        <v>99</v>
      </c>
      <c r="B1353">
        <v>203</v>
      </c>
      <c r="C1353" s="1">
        <f>(Tabela1[[#This Row],[x]]-H$3)*(Tabela1[[#This Row],[x]]-H$3) +(Tabela1[[#This Row],[y]]-H$4)*(Tabela1[[#This Row],[y]]-H$4)</f>
        <v>10210</v>
      </c>
      <c r="D1353" s="1">
        <f>IF(Tabela1[[#This Row],[promien]]&lt;40000,1,0)</f>
        <v>1</v>
      </c>
      <c r="E1353" s="1">
        <f>IF(Tabela1[[#This Row],[promien]]=40000,1,0)</f>
        <v>0</v>
      </c>
      <c r="F1353" s="1">
        <v>3.1692535107169255</v>
      </c>
      <c r="G1353" s="1">
        <v>2.7660857127132399E-2</v>
      </c>
    </row>
    <row r="1354" spans="1:7">
      <c r="A1354">
        <v>173</v>
      </c>
      <c r="B1354">
        <v>16</v>
      </c>
      <c r="C1354" s="1">
        <f>(Tabela1[[#This Row],[x]]-H$3)*(Tabela1[[#This Row],[x]]-H$3) +(Tabela1[[#This Row],[y]]-H$4)*(Tabela1[[#This Row],[y]]-H$4)</f>
        <v>34585</v>
      </c>
      <c r="D1354" s="1">
        <f>IF(Tabela1[[#This Row],[promien]]&lt;40000,1,0)</f>
        <v>1</v>
      </c>
      <c r="E1354" s="1">
        <f>IF(Tabela1[[#This Row],[promien]]=40000,1,0)</f>
        <v>0</v>
      </c>
      <c r="F1354" s="1">
        <v>3.1698670605613</v>
      </c>
      <c r="G1354" s="1">
        <v>2.8274406971506849E-2</v>
      </c>
    </row>
    <row r="1355" spans="1:7">
      <c r="A1355">
        <v>315</v>
      </c>
      <c r="B1355">
        <v>145</v>
      </c>
      <c r="C1355" s="1">
        <f>(Tabela1[[#This Row],[x]]-H$3)*(Tabela1[[#This Row],[x]]-H$3) +(Tabela1[[#This Row],[y]]-H$4)*(Tabela1[[#This Row],[y]]-H$4)</f>
        <v>16250</v>
      </c>
      <c r="D1355" s="1">
        <f>IF(Tabela1[[#This Row],[promien]]&lt;40000,1,0)</f>
        <v>1</v>
      </c>
      <c r="E1355" s="1">
        <f>IF(Tabela1[[#This Row],[promien]]=40000,1,0)</f>
        <v>0</v>
      </c>
      <c r="F1355" s="1">
        <v>3.1704797047970481</v>
      </c>
      <c r="G1355" s="1">
        <v>2.8887051207254988E-2</v>
      </c>
    </row>
    <row r="1356" spans="1:7">
      <c r="A1356">
        <v>398</v>
      </c>
      <c r="B1356">
        <v>185</v>
      </c>
      <c r="C1356" s="1">
        <f>(Tabela1[[#This Row],[x]]-H$3)*(Tabela1[[#This Row],[x]]-H$3) +(Tabela1[[#This Row],[y]]-H$4)*(Tabela1[[#This Row],[y]]-H$4)</f>
        <v>39429</v>
      </c>
      <c r="D1356" s="1">
        <f>IF(Tabela1[[#This Row],[promien]]&lt;40000,1,0)</f>
        <v>1</v>
      </c>
      <c r="E1356" s="1">
        <f>IF(Tabela1[[#This Row],[promien]]=40000,1,0)</f>
        <v>0</v>
      </c>
      <c r="F1356" s="1">
        <v>3.1710914454277286</v>
      </c>
      <c r="G1356" s="1">
        <v>2.9498791837935467E-2</v>
      </c>
    </row>
    <row r="1357" spans="1:7">
      <c r="A1357">
        <v>326</v>
      </c>
      <c r="B1357">
        <v>133</v>
      </c>
      <c r="C1357" s="1">
        <f>(Tabela1[[#This Row],[x]]-H$3)*(Tabela1[[#This Row],[x]]-H$3) +(Tabela1[[#This Row],[y]]-H$4)*(Tabela1[[#This Row],[y]]-H$4)</f>
        <v>20365</v>
      </c>
      <c r="D1357" s="1">
        <f>IF(Tabela1[[#This Row],[promien]]&lt;40000,1,0)</f>
        <v>1</v>
      </c>
      <c r="E1357" s="1">
        <f>IF(Tabela1[[#This Row],[promien]]=40000,1,0)</f>
        <v>0</v>
      </c>
      <c r="F1357" s="1">
        <v>3.171702284450995</v>
      </c>
      <c r="G1357" s="1">
        <v>3.0109630861201886E-2</v>
      </c>
    </row>
    <row r="1358" spans="1:7">
      <c r="A1358">
        <v>289</v>
      </c>
      <c r="B1358">
        <v>352</v>
      </c>
      <c r="C1358" s="1">
        <f>(Tabela1[[#This Row],[x]]-H$3)*(Tabela1[[#This Row],[x]]-H$3) +(Tabela1[[#This Row],[y]]-H$4)*(Tabela1[[#This Row],[y]]-H$4)</f>
        <v>31025</v>
      </c>
      <c r="D1358" s="1">
        <f>IF(Tabela1[[#This Row],[promien]]&lt;40000,1,0)</f>
        <v>1</v>
      </c>
      <c r="E1358" s="1">
        <f>IF(Tabela1[[#This Row],[promien]]=40000,1,0)</f>
        <v>0</v>
      </c>
      <c r="F1358" s="1">
        <v>3.1723122238586154</v>
      </c>
      <c r="G1358" s="1">
        <v>3.0719570268822327E-2</v>
      </c>
    </row>
    <row r="1359" spans="1:7">
      <c r="A1359">
        <v>80</v>
      </c>
      <c r="B1359">
        <v>301</v>
      </c>
      <c r="C1359" s="1">
        <f>(Tabela1[[#This Row],[x]]-H$3)*(Tabela1[[#This Row],[x]]-H$3) +(Tabela1[[#This Row],[y]]-H$4)*(Tabela1[[#This Row],[y]]-H$4)</f>
        <v>24601</v>
      </c>
      <c r="D1359" s="1">
        <f>IF(Tabela1[[#This Row],[promien]]&lt;40000,1,0)</f>
        <v>1</v>
      </c>
      <c r="E1359" s="1">
        <f>IF(Tabela1[[#This Row],[promien]]=40000,1,0)</f>
        <v>0</v>
      </c>
      <c r="F1359" s="1">
        <v>3.1729212656364973</v>
      </c>
      <c r="G1359" s="1">
        <v>3.1328612046704229E-2</v>
      </c>
    </row>
    <row r="1360" spans="1:7">
      <c r="A1360">
        <v>172</v>
      </c>
      <c r="B1360">
        <v>151</v>
      </c>
      <c r="C1360" s="1">
        <f>(Tabela1[[#This Row],[x]]-H$3)*(Tabela1[[#This Row],[x]]-H$3) +(Tabela1[[#This Row],[y]]-H$4)*(Tabela1[[#This Row],[y]]-H$4)</f>
        <v>3185</v>
      </c>
      <c r="D1360" s="1">
        <f>IF(Tabela1[[#This Row],[promien]]&lt;40000,1,0)</f>
        <v>1</v>
      </c>
      <c r="E1360" s="1">
        <f>IF(Tabela1[[#This Row],[promien]]=40000,1,0)</f>
        <v>0</v>
      </c>
      <c r="F1360" s="1">
        <v>3.1735294117647057</v>
      </c>
      <c r="G1360" s="1">
        <v>3.1936758174912594E-2</v>
      </c>
    </row>
    <row r="1361" spans="1:7">
      <c r="A1361">
        <v>221</v>
      </c>
      <c r="B1361">
        <v>78</v>
      </c>
      <c r="C1361" s="1">
        <f>(Tabela1[[#This Row],[x]]-H$3)*(Tabela1[[#This Row],[x]]-H$3) +(Tabela1[[#This Row],[y]]-H$4)*(Tabela1[[#This Row],[y]]-H$4)</f>
        <v>15325</v>
      </c>
      <c r="D1361" s="1">
        <f>IF(Tabela1[[#This Row],[promien]]&lt;40000,1,0)</f>
        <v>1</v>
      </c>
      <c r="E1361" s="1">
        <f>IF(Tabela1[[#This Row],[promien]]=40000,1,0)</f>
        <v>0</v>
      </c>
      <c r="F1361" s="1">
        <v>3.1741366642174871</v>
      </c>
      <c r="G1361" s="1">
        <v>3.2544010627693964E-2</v>
      </c>
    </row>
    <row r="1362" spans="1:7">
      <c r="A1362">
        <v>203</v>
      </c>
      <c r="B1362">
        <v>144</v>
      </c>
      <c r="C1362" s="1">
        <f>(Tabela1[[#This Row],[x]]-H$3)*(Tabela1[[#This Row],[x]]-H$3) +(Tabela1[[#This Row],[y]]-H$4)*(Tabela1[[#This Row],[y]]-H$4)</f>
        <v>3145</v>
      </c>
      <c r="D1362" s="1">
        <f>IF(Tabela1[[#This Row],[promien]]&lt;40000,1,0)</f>
        <v>1</v>
      </c>
      <c r="E1362" s="1">
        <f>IF(Tabela1[[#This Row],[promien]]=40000,1,0)</f>
        <v>0</v>
      </c>
      <c r="F1362" s="1">
        <v>3.1747430249632891</v>
      </c>
      <c r="G1362" s="1">
        <v>3.3150371373495968E-2</v>
      </c>
    </row>
    <row r="1363" spans="1:7">
      <c r="A1363">
        <v>168</v>
      </c>
      <c r="B1363">
        <v>38</v>
      </c>
      <c r="C1363" s="1">
        <f>(Tabela1[[#This Row],[x]]-H$3)*(Tabela1[[#This Row],[x]]-H$3) +(Tabela1[[#This Row],[y]]-H$4)*(Tabela1[[#This Row],[y]]-H$4)</f>
        <v>27268</v>
      </c>
      <c r="D1363" s="1">
        <f>IF(Tabela1[[#This Row],[promien]]&lt;40000,1,0)</f>
        <v>1</v>
      </c>
      <c r="E1363" s="1">
        <f>IF(Tabela1[[#This Row],[promien]]=40000,1,0)</f>
        <v>0</v>
      </c>
      <c r="F1363" s="1">
        <v>3.1753484959647835</v>
      </c>
      <c r="G1363" s="1">
        <v>3.3755842374990408E-2</v>
      </c>
    </row>
    <row r="1364" spans="1:7">
      <c r="A1364">
        <v>330</v>
      </c>
      <c r="B1364">
        <v>98</v>
      </c>
      <c r="C1364" s="1">
        <f>(Tabela1[[#This Row],[x]]-H$3)*(Tabela1[[#This Row],[x]]-H$3) +(Tabela1[[#This Row],[y]]-H$4)*(Tabela1[[#This Row],[y]]-H$4)</f>
        <v>27304</v>
      </c>
      <c r="D1364" s="1">
        <f>IF(Tabela1[[#This Row],[promien]]&lt;40000,1,0)</f>
        <v>1</v>
      </c>
      <c r="E1364" s="1">
        <f>IF(Tabela1[[#This Row],[promien]]=40000,1,0)</f>
        <v>0</v>
      </c>
      <c r="F1364" s="1">
        <v>3.1759530791788855</v>
      </c>
      <c r="G1364" s="1">
        <v>3.4360425589092358E-2</v>
      </c>
    </row>
    <row r="1365" spans="1:7">
      <c r="A1365">
        <v>79</v>
      </c>
      <c r="B1365">
        <v>264</v>
      </c>
      <c r="C1365" s="1">
        <f>(Tabela1[[#This Row],[x]]-H$3)*(Tabela1[[#This Row],[x]]-H$3) +(Tabela1[[#This Row],[y]]-H$4)*(Tabela1[[#This Row],[y]]-H$4)</f>
        <v>18737</v>
      </c>
      <c r="D1365" s="1">
        <f>IF(Tabela1[[#This Row],[promien]]&lt;40000,1,0)</f>
        <v>1</v>
      </c>
      <c r="E1365" s="1">
        <f>IF(Tabela1[[#This Row],[promien]]=40000,1,0)</f>
        <v>0</v>
      </c>
      <c r="F1365" s="1">
        <v>3.1765567765567764</v>
      </c>
      <c r="G1365" s="1">
        <v>3.4964122966983258E-2</v>
      </c>
    </row>
    <row r="1366" spans="1:7">
      <c r="A1366">
        <v>321</v>
      </c>
      <c r="B1366">
        <v>197</v>
      </c>
      <c r="C1366" s="1">
        <f>(Tabela1[[#This Row],[x]]-H$3)*(Tabela1[[#This Row],[x]]-H$3) +(Tabela1[[#This Row],[y]]-H$4)*(Tabela1[[#This Row],[y]]-H$4)</f>
        <v>14650</v>
      </c>
      <c r="D1366" s="1">
        <f>IF(Tabela1[[#This Row],[promien]]&lt;40000,1,0)</f>
        <v>1</v>
      </c>
      <c r="E1366" s="1">
        <f>IF(Tabela1[[#This Row],[promien]]=40000,1,0)</f>
        <v>0</v>
      </c>
      <c r="F1366" s="1">
        <v>3.177159590043924</v>
      </c>
      <c r="G1366" s="1">
        <v>3.5566936454130893E-2</v>
      </c>
    </row>
    <row r="1367" spans="1:7">
      <c r="A1367">
        <v>123</v>
      </c>
      <c r="B1367">
        <v>302</v>
      </c>
      <c r="C1367" s="1">
        <f>(Tabela1[[#This Row],[x]]-H$3)*(Tabela1[[#This Row],[x]]-H$3) +(Tabela1[[#This Row],[y]]-H$4)*(Tabela1[[#This Row],[y]]-H$4)</f>
        <v>16333</v>
      </c>
      <c r="D1367" s="1">
        <f>IF(Tabela1[[#This Row],[promien]]&lt;40000,1,0)</f>
        <v>1</v>
      </c>
      <c r="E1367" s="1">
        <f>IF(Tabela1[[#This Row],[promien]]=40000,1,0)</f>
        <v>0</v>
      </c>
      <c r="F1367" s="1">
        <v>3.1777615215801025</v>
      </c>
      <c r="G1367" s="1">
        <v>3.6168867990309383E-2</v>
      </c>
    </row>
    <row r="1368" spans="1:7">
      <c r="A1368">
        <v>305</v>
      </c>
      <c r="B1368">
        <v>267</v>
      </c>
      <c r="C1368" s="1">
        <f>(Tabela1[[#This Row],[x]]-H$3)*(Tabela1[[#This Row],[x]]-H$3) +(Tabela1[[#This Row],[y]]-H$4)*(Tabela1[[#This Row],[y]]-H$4)</f>
        <v>15514</v>
      </c>
      <c r="D1368" s="1">
        <f>IF(Tabela1[[#This Row],[promien]]&lt;40000,1,0)</f>
        <v>1</v>
      </c>
      <c r="E1368" s="1">
        <f>IF(Tabela1[[#This Row],[promien]]=40000,1,0)</f>
        <v>0</v>
      </c>
      <c r="F1368" s="1">
        <v>3.1783625730994154</v>
      </c>
      <c r="G1368" s="1">
        <v>3.6769919509622273E-2</v>
      </c>
    </row>
    <row r="1369" spans="1:7">
      <c r="A1369">
        <v>346</v>
      </c>
      <c r="B1369">
        <v>385</v>
      </c>
      <c r="C1369" s="1">
        <f>(Tabela1[[#This Row],[x]]-H$3)*(Tabela1[[#This Row],[x]]-H$3) +(Tabela1[[#This Row],[y]]-H$4)*(Tabela1[[#This Row],[y]]-H$4)</f>
        <v>55541</v>
      </c>
      <c r="D1369" s="1">
        <f>IF(Tabela1[[#This Row],[promien]]&lt;40000,1,0)</f>
        <v>0</v>
      </c>
      <c r="E1369" s="1">
        <f>IF(Tabela1[[#This Row],[promien]]=40000,1,0)</f>
        <v>0</v>
      </c>
      <c r="F1369" s="1">
        <v>3.1760409057706354</v>
      </c>
      <c r="G1369" s="1">
        <v>3.4448252180842243E-2</v>
      </c>
    </row>
    <row r="1370" spans="1:7">
      <c r="A1370">
        <v>200</v>
      </c>
      <c r="B1370">
        <v>261</v>
      </c>
      <c r="C1370" s="1">
        <f>(Tabela1[[#This Row],[x]]-H$3)*(Tabela1[[#This Row],[x]]-H$3) +(Tabela1[[#This Row],[y]]-H$4)*(Tabela1[[#This Row],[y]]-H$4)</f>
        <v>3721</v>
      </c>
      <c r="D1370" s="1">
        <f>IF(Tabela1[[#This Row],[promien]]&lt;40000,1,0)</f>
        <v>1</v>
      </c>
      <c r="E1370" s="1">
        <f>IF(Tabela1[[#This Row],[promien]]=40000,1,0)</f>
        <v>0</v>
      </c>
      <c r="F1370" s="1">
        <v>3.1766423357664233</v>
      </c>
      <c r="G1370" s="1">
        <v>3.5049682176630181E-2</v>
      </c>
    </row>
    <row r="1371" spans="1:7">
      <c r="A1371">
        <v>199</v>
      </c>
      <c r="B1371">
        <v>384</v>
      </c>
      <c r="C1371" s="1">
        <f>(Tabela1[[#This Row],[x]]-H$3)*(Tabela1[[#This Row],[x]]-H$3) +(Tabela1[[#This Row],[y]]-H$4)*(Tabela1[[#This Row],[y]]-H$4)</f>
        <v>33857</v>
      </c>
      <c r="D1371" s="1">
        <f>IF(Tabela1[[#This Row],[promien]]&lt;40000,1,0)</f>
        <v>1</v>
      </c>
      <c r="E1371" s="1">
        <f>IF(Tabela1[[#This Row],[promien]]=40000,1,0)</f>
        <v>0</v>
      </c>
      <c r="F1371" s="1">
        <v>3.1772428884026258</v>
      </c>
      <c r="G1371" s="1">
        <v>3.5650234812832693E-2</v>
      </c>
    </row>
    <row r="1372" spans="1:7">
      <c r="A1372">
        <v>295</v>
      </c>
      <c r="B1372">
        <v>336</v>
      </c>
      <c r="C1372" s="1">
        <f>(Tabela1[[#This Row],[x]]-H$3)*(Tabela1[[#This Row],[x]]-H$3) +(Tabela1[[#This Row],[y]]-H$4)*(Tabela1[[#This Row],[y]]-H$4)</f>
        <v>27521</v>
      </c>
      <c r="D1372" s="1">
        <f>IF(Tabela1[[#This Row],[promien]]&lt;40000,1,0)</f>
        <v>1</v>
      </c>
      <c r="E1372" s="1">
        <f>IF(Tabela1[[#This Row],[promien]]=40000,1,0)</f>
        <v>0</v>
      </c>
      <c r="F1372" s="1">
        <v>3.1778425655976674</v>
      </c>
      <c r="G1372" s="1">
        <v>3.6249912007874308E-2</v>
      </c>
    </row>
    <row r="1373" spans="1:7">
      <c r="A1373">
        <v>310</v>
      </c>
      <c r="B1373">
        <v>282</v>
      </c>
      <c r="C1373" s="1">
        <f>(Tabela1[[#This Row],[x]]-H$3)*(Tabela1[[#This Row],[x]]-H$3) +(Tabela1[[#This Row],[y]]-H$4)*(Tabela1[[#This Row],[y]]-H$4)</f>
        <v>18824</v>
      </c>
      <c r="D1373" s="1">
        <f>IF(Tabela1[[#This Row],[promien]]&lt;40000,1,0)</f>
        <v>1</v>
      </c>
      <c r="E1373" s="1">
        <f>IF(Tabela1[[#This Row],[promien]]=40000,1,0)</f>
        <v>0</v>
      </c>
      <c r="F1373" s="1">
        <v>3.1784413692643847</v>
      </c>
      <c r="G1373" s="1">
        <v>3.6848715674591581E-2</v>
      </c>
    </row>
    <row r="1374" spans="1:7">
      <c r="A1374">
        <v>179</v>
      </c>
      <c r="B1374">
        <v>389</v>
      </c>
      <c r="C1374" s="1">
        <f>(Tabela1[[#This Row],[x]]-H$3)*(Tabela1[[#This Row],[x]]-H$3) +(Tabela1[[#This Row],[y]]-H$4)*(Tabela1[[#This Row],[y]]-H$4)</f>
        <v>36162</v>
      </c>
      <c r="D1374" s="1">
        <f>IF(Tabela1[[#This Row],[promien]]&lt;40000,1,0)</f>
        <v>1</v>
      </c>
      <c r="E1374" s="1">
        <f>IF(Tabela1[[#This Row],[promien]]=40000,1,0)</f>
        <v>0</v>
      </c>
      <c r="F1374" s="1">
        <v>3.1790393013100435</v>
      </c>
      <c r="G1374" s="1">
        <v>3.7446647720250414E-2</v>
      </c>
    </row>
    <row r="1375" spans="1:7">
      <c r="A1375">
        <v>97</v>
      </c>
      <c r="B1375">
        <v>141</v>
      </c>
      <c r="C1375" s="1">
        <f>(Tabela1[[#This Row],[x]]-H$3)*(Tabela1[[#This Row],[x]]-H$3) +(Tabela1[[#This Row],[y]]-H$4)*(Tabela1[[#This Row],[y]]-H$4)</f>
        <v>14090</v>
      </c>
      <c r="D1375" s="1">
        <f>IF(Tabela1[[#This Row],[promien]]&lt;40000,1,0)</f>
        <v>1</v>
      </c>
      <c r="E1375" s="1">
        <f>IF(Tabela1[[#This Row],[promien]]=40000,1,0)</f>
        <v>0</v>
      </c>
      <c r="F1375" s="1">
        <v>3.1796363636363636</v>
      </c>
      <c r="G1375" s="1">
        <v>3.8043710046570478E-2</v>
      </c>
    </row>
    <row r="1376" spans="1:7">
      <c r="A1376">
        <v>192</v>
      </c>
      <c r="B1376">
        <v>346</v>
      </c>
      <c r="C1376" s="1">
        <f>(Tabela1[[#This Row],[x]]-H$3)*(Tabela1[[#This Row],[x]]-H$3) +(Tabela1[[#This Row],[y]]-H$4)*(Tabela1[[#This Row],[y]]-H$4)</f>
        <v>21380</v>
      </c>
      <c r="D1376" s="1">
        <f>IF(Tabela1[[#This Row],[promien]]&lt;40000,1,0)</f>
        <v>1</v>
      </c>
      <c r="E1376" s="1">
        <f>IF(Tabela1[[#This Row],[promien]]=40000,1,0)</f>
        <v>0</v>
      </c>
      <c r="F1376" s="1">
        <v>3.1802325581395348</v>
      </c>
      <c r="G1376" s="1">
        <v>3.8639904549741644E-2</v>
      </c>
    </row>
    <row r="1377" spans="1:7">
      <c r="A1377">
        <v>189</v>
      </c>
      <c r="B1377">
        <v>31</v>
      </c>
      <c r="C1377" s="1">
        <f>(Tabela1[[#This Row],[x]]-H$3)*(Tabela1[[#This Row],[x]]-H$3) +(Tabela1[[#This Row],[y]]-H$4)*(Tabela1[[#This Row],[y]]-H$4)</f>
        <v>28682</v>
      </c>
      <c r="D1377" s="1">
        <f>IF(Tabela1[[#This Row],[promien]]&lt;40000,1,0)</f>
        <v>1</v>
      </c>
      <c r="E1377" s="1">
        <f>IF(Tabela1[[#This Row],[promien]]=40000,1,0)</f>
        <v>0</v>
      </c>
      <c r="F1377" s="1">
        <v>3.1808278867102397</v>
      </c>
      <c r="G1377" s="1">
        <v>3.9235233120446633E-2</v>
      </c>
    </row>
    <row r="1378" spans="1:7">
      <c r="A1378">
        <v>384</v>
      </c>
      <c r="B1378">
        <v>337</v>
      </c>
      <c r="C1378" s="1">
        <f>(Tabela1[[#This Row],[x]]-H$3)*(Tabela1[[#This Row],[x]]-H$3) +(Tabela1[[#This Row],[y]]-H$4)*(Tabela1[[#This Row],[y]]-H$4)</f>
        <v>52625</v>
      </c>
      <c r="D1378" s="1">
        <f>IF(Tabela1[[#This Row],[promien]]&lt;40000,1,0)</f>
        <v>0</v>
      </c>
      <c r="E1378" s="1">
        <f>IF(Tabela1[[#This Row],[promien]]=40000,1,0)</f>
        <v>0</v>
      </c>
      <c r="F1378" s="1">
        <v>3.1785195936139332</v>
      </c>
      <c r="G1378" s="1">
        <v>3.6926940024140098E-2</v>
      </c>
    </row>
    <row r="1379" spans="1:7">
      <c r="A1379">
        <v>374</v>
      </c>
      <c r="B1379">
        <v>263</v>
      </c>
      <c r="C1379" s="1">
        <f>(Tabela1[[#This Row],[x]]-H$3)*(Tabela1[[#This Row],[x]]-H$3) +(Tabela1[[#This Row],[y]]-H$4)*(Tabela1[[#This Row],[y]]-H$4)</f>
        <v>34245</v>
      </c>
      <c r="D1379" s="1">
        <f>IF(Tabela1[[#This Row],[promien]]&lt;40000,1,0)</f>
        <v>1</v>
      </c>
      <c r="E1379" s="1">
        <f>IF(Tabela1[[#This Row],[promien]]=40000,1,0)</f>
        <v>0</v>
      </c>
      <c r="F1379" s="1">
        <v>3.179115300942712</v>
      </c>
      <c r="G1379" s="1">
        <v>3.7522647352918881E-2</v>
      </c>
    </row>
    <row r="1380" spans="1:7">
      <c r="A1380">
        <v>257</v>
      </c>
      <c r="B1380">
        <v>81</v>
      </c>
      <c r="C1380" s="1">
        <f>(Tabela1[[#This Row],[x]]-H$3)*(Tabela1[[#This Row],[x]]-H$3) +(Tabela1[[#This Row],[y]]-H$4)*(Tabela1[[#This Row],[y]]-H$4)</f>
        <v>17410</v>
      </c>
      <c r="D1380" s="1">
        <f>IF(Tabela1[[#This Row],[promien]]&lt;40000,1,0)</f>
        <v>1</v>
      </c>
      <c r="E1380" s="1">
        <f>IF(Tabela1[[#This Row],[promien]]=40000,1,0)</f>
        <v>0</v>
      </c>
      <c r="F1380" s="1">
        <v>3.1797101449275362</v>
      </c>
      <c r="G1380" s="1">
        <v>3.8117491337743115E-2</v>
      </c>
    </row>
    <row r="1381" spans="1:7">
      <c r="A1381">
        <v>283</v>
      </c>
      <c r="B1381">
        <v>190</v>
      </c>
      <c r="C1381" s="1">
        <f>(Tabela1[[#This Row],[x]]-H$3)*(Tabela1[[#This Row],[x]]-H$3) +(Tabela1[[#This Row],[y]]-H$4)*(Tabela1[[#This Row],[y]]-H$4)</f>
        <v>6989</v>
      </c>
      <c r="D1381" s="1">
        <f>IF(Tabela1[[#This Row],[promien]]&lt;40000,1,0)</f>
        <v>1</v>
      </c>
      <c r="E1381" s="1">
        <f>IF(Tabela1[[#This Row],[promien]]=40000,1,0)</f>
        <v>0</v>
      </c>
      <c r="F1381" s="1">
        <v>3.1803041274438812</v>
      </c>
      <c r="G1381" s="1">
        <v>3.871147385408813E-2</v>
      </c>
    </row>
    <row r="1382" spans="1:7">
      <c r="A1382">
        <v>108</v>
      </c>
      <c r="B1382">
        <v>72</v>
      </c>
      <c r="C1382" s="1">
        <f>(Tabela1[[#This Row],[x]]-H$3)*(Tabela1[[#This Row],[x]]-H$3) +(Tabela1[[#This Row],[y]]-H$4)*(Tabela1[[#This Row],[y]]-H$4)</f>
        <v>24848</v>
      </c>
      <c r="D1382" s="1">
        <f>IF(Tabela1[[#This Row],[promien]]&lt;40000,1,0)</f>
        <v>1</v>
      </c>
      <c r="E1382" s="1">
        <f>IF(Tabela1[[#This Row],[promien]]=40000,1,0)</f>
        <v>0</v>
      </c>
      <c r="F1382" s="1">
        <v>3.1808972503617947</v>
      </c>
      <c r="G1382" s="1">
        <v>3.9304596772001599E-2</v>
      </c>
    </row>
    <row r="1383" spans="1:7">
      <c r="A1383">
        <v>52</v>
      </c>
      <c r="B1383">
        <v>251</v>
      </c>
      <c r="C1383" s="1">
        <f>(Tabela1[[#This Row],[x]]-H$3)*(Tabela1[[#This Row],[x]]-H$3) +(Tabela1[[#This Row],[y]]-H$4)*(Tabela1[[#This Row],[y]]-H$4)</f>
        <v>24505</v>
      </c>
      <c r="D1383" s="1">
        <f>IF(Tabela1[[#This Row],[promien]]&lt;40000,1,0)</f>
        <v>1</v>
      </c>
      <c r="E1383" s="1">
        <f>IF(Tabela1[[#This Row],[promien]]=40000,1,0)</f>
        <v>0</v>
      </c>
      <c r="F1383" s="1">
        <v>3.1814895155459149</v>
      </c>
      <c r="G1383" s="1">
        <v>3.9896861956121743E-2</v>
      </c>
    </row>
    <row r="1384" spans="1:7">
      <c r="A1384">
        <v>206</v>
      </c>
      <c r="B1384">
        <v>381</v>
      </c>
      <c r="C1384" s="1">
        <f>(Tabela1[[#This Row],[x]]-H$3)*(Tabela1[[#This Row],[x]]-H$3) +(Tabela1[[#This Row],[y]]-H$4)*(Tabela1[[#This Row],[y]]-H$4)</f>
        <v>32797</v>
      </c>
      <c r="D1384" s="1">
        <f>IF(Tabela1[[#This Row],[promien]]&lt;40000,1,0)</f>
        <v>1</v>
      </c>
      <c r="E1384" s="1">
        <f>IF(Tabela1[[#This Row],[promien]]=40000,1,0)</f>
        <v>0</v>
      </c>
      <c r="F1384" s="1">
        <v>3.1820809248554913</v>
      </c>
      <c r="G1384" s="1">
        <v>4.0488271265698206E-2</v>
      </c>
    </row>
    <row r="1385" spans="1:7">
      <c r="A1385">
        <v>19</v>
      </c>
      <c r="B1385">
        <v>282</v>
      </c>
      <c r="C1385" s="1">
        <f>(Tabela1[[#This Row],[x]]-H$3)*(Tabela1[[#This Row],[x]]-H$3) +(Tabela1[[#This Row],[y]]-H$4)*(Tabela1[[#This Row],[y]]-H$4)</f>
        <v>39485</v>
      </c>
      <c r="D1385" s="1">
        <f>IF(Tabela1[[#This Row],[promien]]&lt;40000,1,0)</f>
        <v>1</v>
      </c>
      <c r="E1385" s="1">
        <f>IF(Tabela1[[#This Row],[promien]]=40000,1,0)</f>
        <v>0</v>
      </c>
      <c r="F1385" s="1">
        <v>3.1826714801444043</v>
      </c>
      <c r="G1385" s="1">
        <v>4.1078826554611148E-2</v>
      </c>
    </row>
    <row r="1386" spans="1:7">
      <c r="A1386">
        <v>281</v>
      </c>
      <c r="B1386">
        <v>369</v>
      </c>
      <c r="C1386" s="1">
        <f>(Tabela1[[#This Row],[x]]-H$3)*(Tabela1[[#This Row],[x]]-H$3) +(Tabela1[[#This Row],[y]]-H$4)*(Tabela1[[#This Row],[y]]-H$4)</f>
        <v>35122</v>
      </c>
      <c r="D1386" s="1">
        <f>IF(Tabela1[[#This Row],[promien]]&lt;40000,1,0)</f>
        <v>1</v>
      </c>
      <c r="E1386" s="1">
        <f>IF(Tabela1[[#This Row],[promien]]=40000,1,0)</f>
        <v>0</v>
      </c>
      <c r="F1386" s="1">
        <v>3.1832611832611835</v>
      </c>
      <c r="G1386" s="1">
        <v>4.1668529671390342E-2</v>
      </c>
    </row>
    <row r="1387" spans="1:7">
      <c r="A1387">
        <v>234</v>
      </c>
      <c r="B1387">
        <v>396</v>
      </c>
      <c r="C1387" s="1">
        <f>(Tabela1[[#This Row],[x]]-H$3)*(Tabela1[[#This Row],[x]]-H$3) +(Tabela1[[#This Row],[y]]-H$4)*(Tabela1[[#This Row],[y]]-H$4)</f>
        <v>39572</v>
      </c>
      <c r="D1387" s="1">
        <f>IF(Tabela1[[#This Row],[promien]]&lt;40000,1,0)</f>
        <v>1</v>
      </c>
      <c r="E1387" s="1">
        <f>IF(Tabela1[[#This Row],[promien]]=40000,1,0)</f>
        <v>0</v>
      </c>
      <c r="F1387" s="1">
        <v>3.1838500360490265</v>
      </c>
      <c r="G1387" s="1">
        <v>4.2257382459233384E-2</v>
      </c>
    </row>
    <row r="1388" spans="1:7">
      <c r="A1388">
        <v>73</v>
      </c>
      <c r="B1388">
        <v>158</v>
      </c>
      <c r="C1388" s="1">
        <f>(Tabela1[[#This Row],[x]]-H$3)*(Tabela1[[#This Row],[x]]-H$3) +(Tabela1[[#This Row],[y]]-H$4)*(Tabela1[[#This Row],[y]]-H$4)</f>
        <v>17893</v>
      </c>
      <c r="D1388" s="1">
        <f>IF(Tabela1[[#This Row],[promien]]&lt;40000,1,0)</f>
        <v>1</v>
      </c>
      <c r="E1388" s="1">
        <f>IF(Tabela1[[#This Row],[promien]]=40000,1,0)</f>
        <v>0</v>
      </c>
      <c r="F1388" s="1">
        <v>3.1844380403458215</v>
      </c>
      <c r="G1388" s="1">
        <v>4.2845386756028336E-2</v>
      </c>
    </row>
    <row r="1389" spans="1:7">
      <c r="A1389">
        <v>18</v>
      </c>
      <c r="B1389">
        <v>39</v>
      </c>
      <c r="C1389" s="1">
        <f>(Tabela1[[#This Row],[x]]-H$3)*(Tabela1[[#This Row],[x]]-H$3) +(Tabela1[[#This Row],[y]]-H$4)*(Tabela1[[#This Row],[y]]-H$4)</f>
        <v>59045</v>
      </c>
      <c r="D1389" s="1">
        <f>IF(Tabela1[[#This Row],[promien]]&lt;40000,1,0)</f>
        <v>0</v>
      </c>
      <c r="E1389" s="1">
        <f>IF(Tabela1[[#This Row],[promien]]=40000,1,0)</f>
        <v>0</v>
      </c>
      <c r="F1389" s="1">
        <v>3.1821454283657307</v>
      </c>
      <c r="G1389" s="1">
        <v>4.055277477593755E-2</v>
      </c>
    </row>
    <row r="1390" spans="1:7">
      <c r="A1390">
        <v>360</v>
      </c>
      <c r="B1390">
        <v>207</v>
      </c>
      <c r="C1390" s="1">
        <f>(Tabela1[[#This Row],[x]]-H$3)*(Tabela1[[#This Row],[x]]-H$3) +(Tabela1[[#This Row],[y]]-H$4)*(Tabela1[[#This Row],[y]]-H$4)</f>
        <v>25649</v>
      </c>
      <c r="D1390" s="1">
        <f>IF(Tabela1[[#This Row],[promien]]&lt;40000,1,0)</f>
        <v>1</v>
      </c>
      <c r="E1390" s="1">
        <f>IF(Tabela1[[#This Row],[promien]]=40000,1,0)</f>
        <v>0</v>
      </c>
      <c r="F1390" s="1">
        <v>3.1827338129496403</v>
      </c>
      <c r="G1390" s="1">
        <v>4.114115935984719E-2</v>
      </c>
    </row>
    <row r="1391" spans="1:7">
      <c r="A1391">
        <v>77</v>
      </c>
      <c r="B1391">
        <v>186</v>
      </c>
      <c r="C1391" s="1">
        <f>(Tabela1[[#This Row],[x]]-H$3)*(Tabela1[[#This Row],[x]]-H$3) +(Tabela1[[#This Row],[y]]-H$4)*(Tabela1[[#This Row],[y]]-H$4)</f>
        <v>15325</v>
      </c>
      <c r="D1391" s="1">
        <f>IF(Tabela1[[#This Row],[promien]]&lt;40000,1,0)</f>
        <v>1</v>
      </c>
      <c r="E1391" s="1">
        <f>IF(Tabela1[[#This Row],[promien]]=40000,1,0)</f>
        <v>0</v>
      </c>
      <c r="F1391" s="1">
        <v>3.1833213515456507</v>
      </c>
      <c r="G1391" s="1">
        <v>4.1728697955857541E-2</v>
      </c>
    </row>
    <row r="1392" spans="1:7">
      <c r="A1392">
        <v>89</v>
      </c>
      <c r="B1392">
        <v>27</v>
      </c>
      <c r="C1392" s="1">
        <f>(Tabela1[[#This Row],[x]]-H$3)*(Tabela1[[#This Row],[x]]-H$3) +(Tabela1[[#This Row],[y]]-H$4)*(Tabela1[[#This Row],[y]]-H$4)</f>
        <v>42250</v>
      </c>
      <c r="D1392" s="1">
        <f>IF(Tabela1[[#This Row],[promien]]&lt;40000,1,0)</f>
        <v>0</v>
      </c>
      <c r="E1392" s="1">
        <f>IF(Tabela1[[#This Row],[promien]]=40000,1,0)</f>
        <v>0</v>
      </c>
      <c r="F1392" s="1">
        <v>3.1810344827586206</v>
      </c>
      <c r="G1392" s="1">
        <v>3.9441829168827436E-2</v>
      </c>
    </row>
    <row r="1393" spans="1:7">
      <c r="A1393">
        <v>62</v>
      </c>
      <c r="B1393">
        <v>320</v>
      </c>
      <c r="C1393" s="1">
        <f>(Tabela1[[#This Row],[x]]-H$3)*(Tabela1[[#This Row],[x]]-H$3) +(Tabela1[[#This Row],[y]]-H$4)*(Tabela1[[#This Row],[y]]-H$4)</f>
        <v>33444</v>
      </c>
      <c r="D1393" s="1">
        <f>IF(Tabela1[[#This Row],[promien]]&lt;40000,1,0)</f>
        <v>1</v>
      </c>
      <c r="E1393" s="1">
        <f>IF(Tabela1[[#This Row],[promien]]=40000,1,0)</f>
        <v>0</v>
      </c>
      <c r="F1393" s="1">
        <v>3.1816223977027995</v>
      </c>
      <c r="G1393" s="1">
        <v>4.0029744113006416E-2</v>
      </c>
    </row>
    <row r="1394" spans="1:7">
      <c r="A1394">
        <v>397</v>
      </c>
      <c r="B1394">
        <v>76</v>
      </c>
      <c r="C1394" s="1">
        <f>(Tabela1[[#This Row],[x]]-H$3)*(Tabela1[[#This Row],[x]]-H$3) +(Tabela1[[#This Row],[y]]-H$4)*(Tabela1[[#This Row],[y]]-H$4)</f>
        <v>54185</v>
      </c>
      <c r="D1394" s="1">
        <f>IF(Tabela1[[#This Row],[promien]]&lt;40000,1,0)</f>
        <v>0</v>
      </c>
      <c r="E1394" s="1">
        <f>IF(Tabela1[[#This Row],[promien]]=40000,1,0)</f>
        <v>0</v>
      </c>
      <c r="F1394" s="1">
        <v>3.1793400286944045</v>
      </c>
      <c r="G1394" s="1">
        <v>3.7747375104611347E-2</v>
      </c>
    </row>
    <row r="1395" spans="1:7">
      <c r="A1395">
        <v>197</v>
      </c>
      <c r="B1395">
        <v>356</v>
      </c>
      <c r="C1395" s="1">
        <f>(Tabela1[[#This Row],[x]]-H$3)*(Tabela1[[#This Row],[x]]-H$3) +(Tabela1[[#This Row],[y]]-H$4)*(Tabela1[[#This Row],[y]]-H$4)</f>
        <v>24345</v>
      </c>
      <c r="D1395" s="1">
        <f>IF(Tabela1[[#This Row],[promien]]&lt;40000,1,0)</f>
        <v>1</v>
      </c>
      <c r="E1395" s="1">
        <f>IF(Tabela1[[#This Row],[promien]]=40000,1,0)</f>
        <v>0</v>
      </c>
      <c r="F1395" s="1">
        <v>3.1799283154121865</v>
      </c>
      <c r="G1395" s="1">
        <v>3.8335661822393341E-2</v>
      </c>
    </row>
    <row r="1396" spans="1:7">
      <c r="A1396">
        <v>34</v>
      </c>
      <c r="B1396">
        <v>48</v>
      </c>
      <c r="C1396" s="1">
        <f>(Tabela1[[#This Row],[x]]-H$3)*(Tabela1[[#This Row],[x]]-H$3) +(Tabela1[[#This Row],[y]]-H$4)*(Tabela1[[#This Row],[y]]-H$4)</f>
        <v>50660</v>
      </c>
      <c r="D1396" s="1">
        <f>IF(Tabela1[[#This Row],[promien]]&lt;40000,1,0)</f>
        <v>0</v>
      </c>
      <c r="E1396" s="1">
        <f>IF(Tabela1[[#This Row],[promien]]=40000,1,0)</f>
        <v>0</v>
      </c>
      <c r="F1396" s="1">
        <v>3.177650429799427</v>
      </c>
      <c r="G1396" s="1">
        <v>3.6057776209633907E-2</v>
      </c>
    </row>
    <row r="1397" spans="1:7">
      <c r="A1397">
        <v>40</v>
      </c>
      <c r="B1397">
        <v>233</v>
      </c>
      <c r="C1397" s="1">
        <f>(Tabela1[[#This Row],[x]]-H$3)*(Tabela1[[#This Row],[x]]-H$3) +(Tabela1[[#This Row],[y]]-H$4)*(Tabela1[[#This Row],[y]]-H$4)</f>
        <v>26689</v>
      </c>
      <c r="D1397" s="1">
        <f>IF(Tabela1[[#This Row],[promien]]&lt;40000,1,0)</f>
        <v>1</v>
      </c>
      <c r="E1397" s="1">
        <f>IF(Tabela1[[#This Row],[promien]]=40000,1,0)</f>
        <v>0</v>
      </c>
      <c r="F1397" s="1">
        <v>3.1782390837508947</v>
      </c>
      <c r="G1397" s="1">
        <v>3.6646430161101584E-2</v>
      </c>
    </row>
    <row r="1398" spans="1:7">
      <c r="A1398">
        <v>124</v>
      </c>
      <c r="B1398">
        <v>106</v>
      </c>
      <c r="C1398" s="1">
        <f>(Tabela1[[#This Row],[x]]-H$3)*(Tabela1[[#This Row],[x]]-H$3) +(Tabela1[[#This Row],[y]]-H$4)*(Tabela1[[#This Row],[y]]-H$4)</f>
        <v>14612</v>
      </c>
      <c r="D1398" s="1">
        <f>IF(Tabela1[[#This Row],[promien]]&lt;40000,1,0)</f>
        <v>1</v>
      </c>
      <c r="E1398" s="1">
        <f>IF(Tabela1[[#This Row],[promien]]=40000,1,0)</f>
        <v>0</v>
      </c>
      <c r="F1398" s="1">
        <v>3.1788268955650931</v>
      </c>
      <c r="G1398" s="1">
        <v>3.7234241975300009E-2</v>
      </c>
    </row>
    <row r="1399" spans="1:7">
      <c r="A1399">
        <v>140</v>
      </c>
      <c r="B1399">
        <v>85</v>
      </c>
      <c r="C1399" s="1">
        <f>(Tabela1[[#This Row],[x]]-H$3)*(Tabela1[[#This Row],[x]]-H$3) +(Tabela1[[#This Row],[y]]-H$4)*(Tabela1[[#This Row],[y]]-H$4)</f>
        <v>16825</v>
      </c>
      <c r="D1399" s="1">
        <f>IF(Tabela1[[#This Row],[promien]]&lt;40000,1,0)</f>
        <v>1</v>
      </c>
      <c r="E1399" s="1">
        <f>IF(Tabela1[[#This Row],[promien]]=40000,1,0)</f>
        <v>0</v>
      </c>
      <c r="F1399" s="1">
        <v>3.1794138670478915</v>
      </c>
      <c r="G1399" s="1">
        <v>3.7821213458098413E-2</v>
      </c>
    </row>
    <row r="1400" spans="1:7">
      <c r="A1400">
        <v>40</v>
      </c>
      <c r="B1400">
        <v>362</v>
      </c>
      <c r="C1400" s="1">
        <f>(Tabela1[[#This Row],[x]]-H$3)*(Tabela1[[#This Row],[x]]-H$3) +(Tabela1[[#This Row],[y]]-H$4)*(Tabela1[[#This Row],[y]]-H$4)</f>
        <v>51844</v>
      </c>
      <c r="D1400" s="1">
        <f>IF(Tabela1[[#This Row],[promien]]&lt;40000,1,0)</f>
        <v>0</v>
      </c>
      <c r="E1400" s="1">
        <f>IF(Tabela1[[#This Row],[promien]]=40000,1,0)</f>
        <v>0</v>
      </c>
      <c r="F1400" s="1">
        <v>3.177142857142857</v>
      </c>
      <c r="G1400" s="1">
        <v>3.555020355306393E-2</v>
      </c>
    </row>
    <row r="1401" spans="1:7">
      <c r="A1401">
        <v>165</v>
      </c>
      <c r="B1401">
        <v>320</v>
      </c>
      <c r="C1401" s="1">
        <f>(Tabela1[[#This Row],[x]]-H$3)*(Tabela1[[#This Row],[x]]-H$3) +(Tabela1[[#This Row],[y]]-H$4)*(Tabela1[[#This Row],[y]]-H$4)</f>
        <v>15625</v>
      </c>
      <c r="D1401" s="1">
        <f>IF(Tabela1[[#This Row],[promien]]&lt;40000,1,0)</f>
        <v>1</v>
      </c>
      <c r="E1401" s="1">
        <f>IF(Tabela1[[#This Row],[promien]]=40000,1,0)</f>
        <v>0</v>
      </c>
      <c r="F1401" s="1">
        <v>3.1777301927194861</v>
      </c>
      <c r="G1401" s="1">
        <v>3.6137539129692975E-2</v>
      </c>
    </row>
    <row r="1402" spans="1:7">
      <c r="A1402">
        <v>372</v>
      </c>
      <c r="B1402">
        <v>239</v>
      </c>
      <c r="C1402" s="1">
        <f>(Tabela1[[#This Row],[x]]-H$3)*(Tabela1[[#This Row],[x]]-H$3) +(Tabela1[[#This Row],[y]]-H$4)*(Tabela1[[#This Row],[y]]-H$4)</f>
        <v>31105</v>
      </c>
      <c r="D1402" s="1">
        <f>IF(Tabela1[[#This Row],[promien]]&lt;40000,1,0)</f>
        <v>1</v>
      </c>
      <c r="E1402" s="1">
        <f>IF(Tabela1[[#This Row],[promien]]=40000,1,0)</f>
        <v>0</v>
      </c>
      <c r="F1402" s="1">
        <v>3.1783166904422253</v>
      </c>
      <c r="G1402" s="1">
        <v>3.6724036852432196E-2</v>
      </c>
    </row>
    <row r="1403" spans="1:7">
      <c r="A1403">
        <v>39</v>
      </c>
      <c r="B1403">
        <v>399</v>
      </c>
      <c r="C1403" s="1">
        <f>(Tabela1[[#This Row],[x]]-H$3)*(Tabela1[[#This Row],[x]]-H$3) +(Tabela1[[#This Row],[y]]-H$4)*(Tabela1[[#This Row],[y]]-H$4)</f>
        <v>65522</v>
      </c>
      <c r="D1403" s="1">
        <f>IF(Tabela1[[#This Row],[promien]]&lt;40000,1,0)</f>
        <v>0</v>
      </c>
      <c r="E1403" s="1">
        <f>IF(Tabela1[[#This Row],[promien]]=40000,1,0)</f>
        <v>0</v>
      </c>
      <c r="F1403" s="1">
        <v>3.1760513186029935</v>
      </c>
      <c r="G1403" s="1">
        <v>3.4458665013200385E-2</v>
      </c>
    </row>
    <row r="1404" spans="1:7">
      <c r="A1404">
        <v>169</v>
      </c>
      <c r="B1404">
        <v>360</v>
      </c>
      <c r="C1404" s="1">
        <f>(Tabela1[[#This Row],[x]]-H$3)*(Tabela1[[#This Row],[x]]-H$3) +(Tabela1[[#This Row],[y]]-H$4)*(Tabela1[[#This Row],[y]]-H$4)</f>
        <v>26561</v>
      </c>
      <c r="D1404" s="1">
        <f>IF(Tabela1[[#This Row],[promien]]&lt;40000,1,0)</f>
        <v>1</v>
      </c>
      <c r="E1404" s="1">
        <f>IF(Tabela1[[#This Row],[promien]]=40000,1,0)</f>
        <v>0</v>
      </c>
      <c r="F1404" s="1">
        <v>3.1766381766381766</v>
      </c>
      <c r="G1404" s="1">
        <v>3.5045523048383487E-2</v>
      </c>
    </row>
    <row r="1405" spans="1:7">
      <c r="A1405">
        <v>287</v>
      </c>
      <c r="B1405">
        <v>67</v>
      </c>
      <c r="C1405" s="1">
        <f>(Tabela1[[#This Row],[x]]-H$3)*(Tabela1[[#This Row],[x]]-H$3) +(Tabela1[[#This Row],[y]]-H$4)*(Tabela1[[#This Row],[y]]-H$4)</f>
        <v>25258</v>
      </c>
      <c r="D1405" s="1">
        <f>IF(Tabela1[[#This Row],[promien]]&lt;40000,1,0)</f>
        <v>1</v>
      </c>
      <c r="E1405" s="1">
        <f>IF(Tabela1[[#This Row],[promien]]=40000,1,0)</f>
        <v>0</v>
      </c>
      <c r="F1405" s="1">
        <v>3.1772241992882564</v>
      </c>
      <c r="G1405" s="1">
        <v>3.5631545698463274E-2</v>
      </c>
    </row>
    <row r="1406" spans="1:7">
      <c r="A1406">
        <v>118</v>
      </c>
      <c r="B1406">
        <v>349</v>
      </c>
      <c r="C1406" s="1">
        <f>(Tabela1[[#This Row],[x]]-H$3)*(Tabela1[[#This Row],[x]]-H$3) +(Tabela1[[#This Row],[y]]-H$4)*(Tabela1[[#This Row],[y]]-H$4)</f>
        <v>28925</v>
      </c>
      <c r="D1406" s="1">
        <f>IF(Tabela1[[#This Row],[promien]]&lt;40000,1,0)</f>
        <v>1</v>
      </c>
      <c r="E1406" s="1">
        <f>IF(Tabela1[[#This Row],[promien]]=40000,1,0)</f>
        <v>0</v>
      </c>
      <c r="F1406" s="1">
        <v>3.1778093883357039</v>
      </c>
      <c r="G1406" s="1">
        <v>3.6216734745910806E-2</v>
      </c>
    </row>
    <row r="1407" spans="1:7">
      <c r="A1407">
        <v>162</v>
      </c>
      <c r="B1407">
        <v>62</v>
      </c>
      <c r="C1407" s="1">
        <f>(Tabela1[[#This Row],[x]]-H$3)*(Tabela1[[#This Row],[x]]-H$3) +(Tabela1[[#This Row],[y]]-H$4)*(Tabela1[[#This Row],[y]]-H$4)</f>
        <v>20488</v>
      </c>
      <c r="D1407" s="1">
        <f>IF(Tabela1[[#This Row],[promien]]&lt;40000,1,0)</f>
        <v>1</v>
      </c>
      <c r="E1407" s="1">
        <f>IF(Tabela1[[#This Row],[promien]]=40000,1,0)</f>
        <v>0</v>
      </c>
      <c r="F1407" s="1">
        <v>3.1783937455579245</v>
      </c>
      <c r="G1407" s="1">
        <v>3.6801091968131416E-2</v>
      </c>
    </row>
    <row r="1408" spans="1:7">
      <c r="A1408">
        <v>374</v>
      </c>
      <c r="B1408">
        <v>9</v>
      </c>
      <c r="C1408" s="1">
        <f>(Tabela1[[#This Row],[x]]-H$3)*(Tabela1[[#This Row],[x]]-H$3) +(Tabela1[[#This Row],[y]]-H$4)*(Tabela1[[#This Row],[y]]-H$4)</f>
        <v>66757</v>
      </c>
      <c r="D1408" s="1">
        <f>IF(Tabela1[[#This Row],[promien]]&lt;40000,1,0)</f>
        <v>0</v>
      </c>
      <c r="E1408" s="1">
        <f>IF(Tabela1[[#This Row],[promien]]=40000,1,0)</f>
        <v>0</v>
      </c>
      <c r="F1408" s="1">
        <v>3.1761363636363638</v>
      </c>
      <c r="G1408" s="1">
        <v>3.4543710046570641E-2</v>
      </c>
    </row>
    <row r="1409" spans="1:7">
      <c r="A1409">
        <v>194</v>
      </c>
      <c r="B1409">
        <v>386</v>
      </c>
      <c r="C1409" s="1">
        <f>(Tabela1[[#This Row],[x]]-H$3)*(Tabela1[[#This Row],[x]]-H$3) +(Tabela1[[#This Row],[y]]-H$4)*(Tabela1[[#This Row],[y]]-H$4)</f>
        <v>34632</v>
      </c>
      <c r="D1409" s="1">
        <f>IF(Tabela1[[#This Row],[promien]]&lt;40000,1,0)</f>
        <v>1</v>
      </c>
      <c r="E1409" s="1">
        <f>IF(Tabela1[[#This Row],[promien]]=40000,1,0)</f>
        <v>0</v>
      </c>
      <c r="F1409" s="1">
        <v>3.1767210787792761</v>
      </c>
      <c r="G1409" s="1">
        <v>3.5128425189483004E-2</v>
      </c>
    </row>
    <row r="1410" spans="1:7">
      <c r="A1410">
        <v>11</v>
      </c>
      <c r="B1410">
        <v>253</v>
      </c>
      <c r="C1410" s="1">
        <f>(Tabela1[[#This Row],[x]]-H$3)*(Tabela1[[#This Row],[x]]-H$3) +(Tabela1[[#This Row],[y]]-H$4)*(Tabela1[[#This Row],[y]]-H$4)</f>
        <v>38530</v>
      </c>
      <c r="D1410" s="1">
        <f>IF(Tabela1[[#This Row],[promien]]&lt;40000,1,0)</f>
        <v>1</v>
      </c>
      <c r="E1410" s="1">
        <f>IF(Tabela1[[#This Row],[promien]]=40000,1,0)</f>
        <v>0</v>
      </c>
      <c r="F1410" s="1">
        <v>3.1773049645390072</v>
      </c>
      <c r="G1410" s="1">
        <v>3.5712310949214121E-2</v>
      </c>
    </row>
    <row r="1411" spans="1:7">
      <c r="A1411">
        <v>286</v>
      </c>
      <c r="B1411">
        <v>226</v>
      </c>
      <c r="C1411" s="1">
        <f>(Tabela1[[#This Row],[x]]-H$3)*(Tabela1[[#This Row],[x]]-H$3) +(Tabela1[[#This Row],[y]]-H$4)*(Tabela1[[#This Row],[y]]-H$4)</f>
        <v>8072</v>
      </c>
      <c r="D1411" s="1">
        <f>IF(Tabela1[[#This Row],[promien]]&lt;40000,1,0)</f>
        <v>1</v>
      </c>
      <c r="E1411" s="1">
        <f>IF(Tabela1[[#This Row],[promien]]=40000,1,0)</f>
        <v>0</v>
      </c>
      <c r="F1411" s="1">
        <v>3.177888022678951</v>
      </c>
      <c r="G1411" s="1">
        <v>3.629536908915787E-2</v>
      </c>
    </row>
    <row r="1412" spans="1:7">
      <c r="A1412">
        <v>139</v>
      </c>
      <c r="B1412">
        <v>332</v>
      </c>
      <c r="C1412" s="1">
        <f>(Tabela1[[#This Row],[x]]-H$3)*(Tabela1[[#This Row],[x]]-H$3) +(Tabela1[[#This Row],[y]]-H$4)*(Tabela1[[#This Row],[y]]-H$4)</f>
        <v>21145</v>
      </c>
      <c r="D1412" s="1">
        <f>IF(Tabela1[[#This Row],[promien]]&lt;40000,1,0)</f>
        <v>1</v>
      </c>
      <c r="E1412" s="1">
        <f>IF(Tabela1[[#This Row],[promien]]=40000,1,0)</f>
        <v>0</v>
      </c>
      <c r="F1412" s="1">
        <v>3.178470254957507</v>
      </c>
      <c r="G1412" s="1">
        <v>3.6877601367713897E-2</v>
      </c>
    </row>
    <row r="1413" spans="1:7">
      <c r="A1413">
        <v>254</v>
      </c>
      <c r="B1413">
        <v>44</v>
      </c>
      <c r="C1413" s="1">
        <f>(Tabela1[[#This Row],[x]]-H$3)*(Tabela1[[#This Row],[x]]-H$3) +(Tabela1[[#This Row],[y]]-H$4)*(Tabela1[[#This Row],[y]]-H$4)</f>
        <v>27252</v>
      </c>
      <c r="D1413" s="1">
        <f>IF(Tabela1[[#This Row],[promien]]&lt;40000,1,0)</f>
        <v>1</v>
      </c>
      <c r="E1413" s="1">
        <f>IF(Tabela1[[#This Row],[promien]]=40000,1,0)</f>
        <v>0</v>
      </c>
      <c r="F1413" s="1">
        <v>3.1790516631280963</v>
      </c>
      <c r="G1413" s="1">
        <v>3.7459009538303167E-2</v>
      </c>
    </row>
    <row r="1414" spans="1:7">
      <c r="A1414">
        <v>80</v>
      </c>
      <c r="B1414">
        <v>76</v>
      </c>
      <c r="C1414" s="1">
        <f>(Tabela1[[#This Row],[x]]-H$3)*(Tabela1[[#This Row],[x]]-H$3) +(Tabela1[[#This Row],[y]]-H$4)*(Tabela1[[#This Row],[y]]-H$4)</f>
        <v>29776</v>
      </c>
      <c r="D1414" s="1">
        <f>IF(Tabela1[[#This Row],[promien]]&lt;40000,1,0)</f>
        <v>1</v>
      </c>
      <c r="E1414" s="1">
        <f>IF(Tabela1[[#This Row],[promien]]=40000,1,0)</f>
        <v>0</v>
      </c>
      <c r="F1414" s="1">
        <v>3.1796322489391797</v>
      </c>
      <c r="G1414" s="1">
        <v>3.8039595349386612E-2</v>
      </c>
    </row>
    <row r="1415" spans="1:7">
      <c r="A1415">
        <v>298</v>
      </c>
      <c r="B1415">
        <v>289</v>
      </c>
      <c r="C1415" s="1">
        <f>(Tabela1[[#This Row],[x]]-H$3)*(Tabela1[[#This Row],[x]]-H$3) +(Tabela1[[#This Row],[y]]-H$4)*(Tabela1[[#This Row],[y]]-H$4)</f>
        <v>17525</v>
      </c>
      <c r="D1415" s="1">
        <f>IF(Tabela1[[#This Row],[promien]]&lt;40000,1,0)</f>
        <v>1</v>
      </c>
      <c r="E1415" s="1">
        <f>IF(Tabela1[[#This Row],[promien]]=40000,1,0)</f>
        <v>0</v>
      </c>
      <c r="F1415" s="1">
        <v>3.1802120141342756</v>
      </c>
      <c r="G1415" s="1">
        <v>3.8619360544482451E-2</v>
      </c>
    </row>
    <row r="1416" spans="1:7">
      <c r="A1416">
        <v>366</v>
      </c>
      <c r="B1416">
        <v>358</v>
      </c>
      <c r="C1416" s="1">
        <f>(Tabela1[[#This Row],[x]]-H$3)*(Tabela1[[#This Row],[x]]-H$3) +(Tabela1[[#This Row],[y]]-H$4)*(Tabela1[[#This Row],[y]]-H$4)</f>
        <v>52520</v>
      </c>
      <c r="D1416" s="1">
        <f>IF(Tabela1[[#This Row],[promien]]&lt;40000,1,0)</f>
        <v>0</v>
      </c>
      <c r="E1416" s="1">
        <f>IF(Tabela1[[#This Row],[promien]]=40000,1,0)</f>
        <v>0</v>
      </c>
      <c r="F1416" s="1">
        <v>3.1779661016949152</v>
      </c>
      <c r="G1416" s="1">
        <v>3.6373448105122108E-2</v>
      </c>
    </row>
    <row r="1417" spans="1:7">
      <c r="A1417">
        <v>186</v>
      </c>
      <c r="B1417">
        <v>94</v>
      </c>
      <c r="C1417" s="1">
        <f>(Tabela1[[#This Row],[x]]-H$3)*(Tabela1[[#This Row],[x]]-H$3) +(Tabela1[[#This Row],[y]]-H$4)*(Tabela1[[#This Row],[y]]-H$4)</f>
        <v>11432</v>
      </c>
      <c r="D1417" s="1">
        <f>IF(Tabela1[[#This Row],[promien]]&lt;40000,1,0)</f>
        <v>1</v>
      </c>
      <c r="E1417" s="1">
        <f>IF(Tabela1[[#This Row],[promien]]=40000,1,0)</f>
        <v>0</v>
      </c>
      <c r="F1417" s="1">
        <v>3.1785462244177842</v>
      </c>
      <c r="G1417" s="1">
        <v>3.6953570827991111E-2</v>
      </c>
    </row>
    <row r="1418" spans="1:7">
      <c r="A1418">
        <v>30</v>
      </c>
      <c r="B1418">
        <v>7</v>
      </c>
      <c r="C1418" s="1">
        <f>(Tabela1[[#This Row],[x]]-H$3)*(Tabela1[[#This Row],[x]]-H$3) +(Tabela1[[#This Row],[y]]-H$4)*(Tabela1[[#This Row],[y]]-H$4)</f>
        <v>66149</v>
      </c>
      <c r="D1418" s="1">
        <f>IF(Tabela1[[#This Row],[promien]]&lt;40000,1,0)</f>
        <v>0</v>
      </c>
      <c r="E1418" s="1">
        <f>IF(Tabela1[[#This Row],[promien]]=40000,1,0)</f>
        <v>0</v>
      </c>
      <c r="F1418" s="1">
        <v>3.1763046544428772</v>
      </c>
      <c r="G1418" s="1">
        <v>3.4712000853084124E-2</v>
      </c>
    </row>
    <row r="1419" spans="1:7">
      <c r="A1419">
        <v>119</v>
      </c>
      <c r="B1419">
        <v>248</v>
      </c>
      <c r="C1419" s="1">
        <f>(Tabela1[[#This Row],[x]]-H$3)*(Tabela1[[#This Row],[x]]-H$3) +(Tabela1[[#This Row],[y]]-H$4)*(Tabela1[[#This Row],[y]]-H$4)</f>
        <v>8865</v>
      </c>
      <c r="D1419" s="1">
        <f>IF(Tabela1[[#This Row],[promien]]&lt;40000,1,0)</f>
        <v>1</v>
      </c>
      <c r="E1419" s="1">
        <f>IF(Tabela1[[#This Row],[promien]]=40000,1,0)</f>
        <v>0</v>
      </c>
      <c r="F1419" s="1">
        <v>3.1768851303735026</v>
      </c>
      <c r="G1419" s="1">
        <v>3.5292476783709503E-2</v>
      </c>
    </row>
    <row r="1420" spans="1:7">
      <c r="A1420">
        <v>282</v>
      </c>
      <c r="B1420">
        <v>114</v>
      </c>
      <c r="C1420" s="1">
        <f>(Tabela1[[#This Row],[x]]-H$3)*(Tabela1[[#This Row],[x]]-H$3) +(Tabela1[[#This Row],[y]]-H$4)*(Tabela1[[#This Row],[y]]-H$4)</f>
        <v>14120</v>
      </c>
      <c r="D1420" s="1">
        <f>IF(Tabela1[[#This Row],[promien]]&lt;40000,1,0)</f>
        <v>1</v>
      </c>
      <c r="E1420" s="1">
        <f>IF(Tabela1[[#This Row],[promien]]=40000,1,0)</f>
        <v>0</v>
      </c>
      <c r="F1420" s="1">
        <v>3.1774647887323946</v>
      </c>
      <c r="G1420" s="1">
        <v>3.5872135142601458E-2</v>
      </c>
    </row>
    <row r="1421" spans="1:7">
      <c r="A1421">
        <v>154</v>
      </c>
      <c r="B1421">
        <v>150</v>
      </c>
      <c r="C1421" s="1">
        <f>(Tabela1[[#This Row],[x]]-H$3)*(Tabela1[[#This Row],[x]]-H$3) +(Tabela1[[#This Row],[y]]-H$4)*(Tabela1[[#This Row],[y]]-H$4)</f>
        <v>4616</v>
      </c>
      <c r="D1421" s="1">
        <f>IF(Tabela1[[#This Row],[promien]]&lt;40000,1,0)</f>
        <v>1</v>
      </c>
      <c r="E1421" s="1">
        <f>IF(Tabela1[[#This Row],[promien]]=40000,1,0)</f>
        <v>0</v>
      </c>
      <c r="F1421" s="1">
        <v>3.1780436312456017</v>
      </c>
      <c r="G1421" s="1">
        <v>3.6450977655808625E-2</v>
      </c>
    </row>
    <row r="1422" spans="1:7">
      <c r="A1422">
        <v>11</v>
      </c>
      <c r="B1422">
        <v>46</v>
      </c>
      <c r="C1422" s="1">
        <f>(Tabela1[[#This Row],[x]]-H$3)*(Tabela1[[#This Row],[x]]-H$3) +(Tabela1[[#This Row],[y]]-H$4)*(Tabela1[[#This Row],[y]]-H$4)</f>
        <v>59437</v>
      </c>
      <c r="D1422" s="1">
        <f>IF(Tabela1[[#This Row],[promien]]&lt;40000,1,0)</f>
        <v>0</v>
      </c>
      <c r="E1422" s="1">
        <f>IF(Tabela1[[#This Row],[promien]]=40000,1,0)</f>
        <v>0</v>
      </c>
      <c r="F1422" s="1">
        <v>3.1758087201125176</v>
      </c>
      <c r="G1422" s="1">
        <v>3.4216066522724464E-2</v>
      </c>
    </row>
    <row r="1423" spans="1:7">
      <c r="A1423">
        <v>86</v>
      </c>
      <c r="B1423">
        <v>105</v>
      </c>
      <c r="C1423" s="1">
        <f>(Tabela1[[#This Row],[x]]-H$3)*(Tabela1[[#This Row],[x]]-H$3) +(Tabela1[[#This Row],[y]]-H$4)*(Tabela1[[#This Row],[y]]-H$4)</f>
        <v>22021</v>
      </c>
      <c r="D1423" s="1">
        <f>IF(Tabela1[[#This Row],[promien]]&lt;40000,1,0)</f>
        <v>1</v>
      </c>
      <c r="E1423" s="1">
        <f>IF(Tabela1[[#This Row],[promien]]=40000,1,0)</f>
        <v>0</v>
      </c>
      <c r="F1423" s="1">
        <v>3.1763879128601546</v>
      </c>
      <c r="G1423" s="1">
        <v>3.4795259270361534E-2</v>
      </c>
    </row>
    <row r="1424" spans="1:7">
      <c r="A1424">
        <v>122</v>
      </c>
      <c r="B1424">
        <v>110</v>
      </c>
      <c r="C1424" s="1">
        <f>(Tabela1[[#This Row],[x]]-H$3)*(Tabela1[[#This Row],[x]]-H$3) +(Tabela1[[#This Row],[y]]-H$4)*(Tabela1[[#This Row],[y]]-H$4)</f>
        <v>14184</v>
      </c>
      <c r="D1424" s="1">
        <f>IF(Tabela1[[#This Row],[promien]]&lt;40000,1,0)</f>
        <v>1</v>
      </c>
      <c r="E1424" s="1">
        <f>IF(Tabela1[[#This Row],[promien]]=40000,1,0)</f>
        <v>0</v>
      </c>
      <c r="F1424" s="1">
        <v>3.1769662921348316</v>
      </c>
      <c r="G1424" s="1">
        <v>3.5373638545038499E-2</v>
      </c>
    </row>
    <row r="1425" spans="1:7">
      <c r="A1425">
        <v>295</v>
      </c>
      <c r="B1425">
        <v>119</v>
      </c>
      <c r="C1425" s="1">
        <f>(Tabela1[[#This Row],[x]]-H$3)*(Tabela1[[#This Row],[x]]-H$3) +(Tabela1[[#This Row],[y]]-H$4)*(Tabela1[[#This Row],[y]]-H$4)</f>
        <v>15586</v>
      </c>
      <c r="D1425" s="1">
        <f>IF(Tabela1[[#This Row],[promien]]&lt;40000,1,0)</f>
        <v>1</v>
      </c>
      <c r="E1425" s="1">
        <f>IF(Tabela1[[#This Row],[promien]]=40000,1,0)</f>
        <v>0</v>
      </c>
      <c r="F1425" s="1">
        <v>3.177543859649123</v>
      </c>
      <c r="G1425" s="1">
        <v>3.5951206059329888E-2</v>
      </c>
    </row>
    <row r="1426" spans="1:7">
      <c r="A1426">
        <v>102</v>
      </c>
      <c r="B1426">
        <v>229</v>
      </c>
      <c r="C1426" s="1">
        <f>(Tabela1[[#This Row],[x]]-H$3)*(Tabela1[[#This Row],[x]]-H$3) +(Tabela1[[#This Row],[y]]-H$4)*(Tabela1[[#This Row],[y]]-H$4)</f>
        <v>10445</v>
      </c>
      <c r="D1426" s="1">
        <f>IF(Tabela1[[#This Row],[promien]]&lt;40000,1,0)</f>
        <v>1</v>
      </c>
      <c r="E1426" s="1">
        <f>IF(Tabela1[[#This Row],[promien]]=40000,1,0)</f>
        <v>0</v>
      </c>
      <c r="F1426" s="1">
        <v>3.1781206171107996</v>
      </c>
      <c r="G1426" s="1">
        <v>3.6527963521006512E-2</v>
      </c>
    </row>
    <row r="1427" spans="1:7">
      <c r="A1427">
        <v>45</v>
      </c>
      <c r="B1427">
        <v>138</v>
      </c>
      <c r="C1427" s="1">
        <f>(Tabela1[[#This Row],[x]]-H$3)*(Tabela1[[#This Row],[x]]-H$3) +(Tabela1[[#This Row],[y]]-H$4)*(Tabela1[[#This Row],[y]]-H$4)</f>
        <v>27869</v>
      </c>
      <c r="D1427" s="1">
        <f>IF(Tabela1[[#This Row],[promien]]&lt;40000,1,0)</f>
        <v>1</v>
      </c>
      <c r="E1427" s="1">
        <f>IF(Tabela1[[#This Row],[promien]]=40000,1,0)</f>
        <v>0</v>
      </c>
      <c r="F1427" s="1">
        <v>3.178696566222845</v>
      </c>
      <c r="G1427" s="1">
        <v>3.7103912633051905E-2</v>
      </c>
    </row>
    <row r="1428" spans="1:7">
      <c r="A1428">
        <v>395</v>
      </c>
      <c r="B1428">
        <v>61</v>
      </c>
      <c r="C1428" s="1">
        <f>(Tabela1[[#This Row],[x]]-H$3)*(Tabela1[[#This Row],[x]]-H$3) +(Tabela1[[#This Row],[y]]-H$4)*(Tabela1[[#This Row],[y]]-H$4)</f>
        <v>57346</v>
      </c>
      <c r="D1428" s="1">
        <f>IF(Tabela1[[#This Row],[promien]]&lt;40000,1,0)</f>
        <v>0</v>
      </c>
      <c r="E1428" s="1">
        <f>IF(Tabela1[[#This Row],[promien]]=40000,1,0)</f>
        <v>0</v>
      </c>
      <c r="F1428" s="1">
        <v>3.1764705882352939</v>
      </c>
      <c r="G1428" s="1">
        <v>3.4877934645500819E-2</v>
      </c>
    </row>
    <row r="1429" spans="1:7">
      <c r="A1429">
        <v>267</v>
      </c>
      <c r="B1429">
        <v>238</v>
      </c>
      <c r="C1429" s="1">
        <f>(Tabela1[[#This Row],[x]]-H$3)*(Tabela1[[#This Row],[x]]-H$3) +(Tabela1[[#This Row],[y]]-H$4)*(Tabela1[[#This Row],[y]]-H$4)</f>
        <v>5933</v>
      </c>
      <c r="D1429" s="1">
        <f>IF(Tabela1[[#This Row],[promien]]&lt;40000,1,0)</f>
        <v>1</v>
      </c>
      <c r="E1429" s="1">
        <f>IF(Tabela1[[#This Row],[promien]]=40000,1,0)</f>
        <v>0</v>
      </c>
      <c r="F1429" s="1">
        <v>3.1770468859342196</v>
      </c>
      <c r="G1429" s="1">
        <v>3.5454232344426462E-2</v>
      </c>
    </row>
    <row r="1430" spans="1:7">
      <c r="A1430">
        <v>26</v>
      </c>
      <c r="B1430">
        <v>0</v>
      </c>
      <c r="C1430" s="1">
        <f>(Tabela1[[#This Row],[x]]-H$3)*(Tabela1[[#This Row],[x]]-H$3) +(Tabela1[[#This Row],[y]]-H$4)*(Tabela1[[#This Row],[y]]-H$4)</f>
        <v>70276</v>
      </c>
      <c r="D1430" s="1">
        <f>IF(Tabela1[[#This Row],[promien]]&lt;40000,1,0)</f>
        <v>0</v>
      </c>
      <c r="E1430" s="1">
        <f>IF(Tabela1[[#This Row],[promien]]=40000,1,0)</f>
        <v>0</v>
      </c>
      <c r="F1430" s="1">
        <v>3.174825174825175</v>
      </c>
      <c r="G1430" s="1">
        <v>3.3232521235381896E-2</v>
      </c>
    </row>
    <row r="1431" spans="1:7">
      <c r="A1431">
        <v>328</v>
      </c>
      <c r="B1431">
        <v>260</v>
      </c>
      <c r="C1431" s="1">
        <f>(Tabela1[[#This Row],[x]]-H$3)*(Tabela1[[#This Row],[x]]-H$3) +(Tabela1[[#This Row],[y]]-H$4)*(Tabela1[[#This Row],[y]]-H$4)</f>
        <v>19984</v>
      </c>
      <c r="D1431" s="1">
        <f>IF(Tabela1[[#This Row],[promien]]&lt;40000,1,0)</f>
        <v>1</v>
      </c>
      <c r="E1431" s="1">
        <f>IF(Tabela1[[#This Row],[promien]]=40000,1,0)</f>
        <v>0</v>
      </c>
      <c r="F1431" s="1">
        <v>3.175401816911251</v>
      </c>
      <c r="G1431" s="1">
        <v>3.3809163321457891E-2</v>
      </c>
    </row>
    <row r="1432" spans="1:7">
      <c r="A1432">
        <v>314</v>
      </c>
      <c r="B1432">
        <v>312</v>
      </c>
      <c r="C1432" s="1">
        <f>(Tabela1[[#This Row],[x]]-H$3)*(Tabela1[[#This Row],[x]]-H$3) +(Tabela1[[#This Row],[y]]-H$4)*(Tabela1[[#This Row],[y]]-H$4)</f>
        <v>25540</v>
      </c>
      <c r="D1432" s="1">
        <f>IF(Tabela1[[#This Row],[promien]]&lt;40000,1,0)</f>
        <v>1</v>
      </c>
      <c r="E1432" s="1">
        <f>IF(Tabela1[[#This Row],[promien]]=40000,1,0)</f>
        <v>0</v>
      </c>
      <c r="F1432" s="1">
        <v>3.1759776536312847</v>
      </c>
      <c r="G1432" s="1">
        <v>3.4385000041491587E-2</v>
      </c>
    </row>
    <row r="1433" spans="1:7">
      <c r="A1433">
        <v>339</v>
      </c>
      <c r="B1433">
        <v>374</v>
      </c>
      <c r="C1433" s="1">
        <f>(Tabela1[[#This Row],[x]]-H$3)*(Tabela1[[#This Row],[x]]-H$3) +(Tabela1[[#This Row],[y]]-H$4)*(Tabela1[[#This Row],[y]]-H$4)</f>
        <v>49597</v>
      </c>
      <c r="D1433" s="1">
        <f>IF(Tabela1[[#This Row],[promien]]&lt;40000,1,0)</f>
        <v>0</v>
      </c>
      <c r="E1433" s="1">
        <f>IF(Tabela1[[#This Row],[promien]]=40000,1,0)</f>
        <v>0</v>
      </c>
      <c r="F1433" s="1">
        <v>3.1737613398464761</v>
      </c>
      <c r="G1433" s="1">
        <v>3.216868625668301E-2</v>
      </c>
    </row>
    <row r="1434" spans="1:7">
      <c r="A1434">
        <v>287</v>
      </c>
      <c r="B1434">
        <v>45</v>
      </c>
      <c r="C1434" s="1">
        <f>(Tabela1[[#This Row],[x]]-H$3)*(Tabela1[[#This Row],[x]]-H$3) +(Tabela1[[#This Row],[y]]-H$4)*(Tabela1[[#This Row],[y]]-H$4)</f>
        <v>31594</v>
      </c>
      <c r="D1434" s="1">
        <f>IF(Tabela1[[#This Row],[promien]]&lt;40000,1,0)</f>
        <v>1</v>
      </c>
      <c r="E1434" s="1">
        <f>IF(Tabela1[[#This Row],[promien]]=40000,1,0)</f>
        <v>0</v>
      </c>
      <c r="F1434" s="1">
        <v>3.1743375174337518</v>
      </c>
      <c r="G1434" s="1">
        <v>3.2744863843958694E-2</v>
      </c>
    </row>
    <row r="1435" spans="1:7">
      <c r="A1435">
        <v>380</v>
      </c>
      <c r="B1435">
        <v>372</v>
      </c>
      <c r="C1435" s="1">
        <f>(Tabela1[[#This Row],[x]]-H$3)*(Tabela1[[#This Row],[x]]-H$3) +(Tabela1[[#This Row],[y]]-H$4)*(Tabela1[[#This Row],[y]]-H$4)</f>
        <v>61984</v>
      </c>
      <c r="D1435" s="1">
        <f>IF(Tabela1[[#This Row],[promien]]&lt;40000,1,0)</f>
        <v>0</v>
      </c>
      <c r="E1435" s="1">
        <f>IF(Tabela1[[#This Row],[promien]]=40000,1,0)</f>
        <v>0</v>
      </c>
      <c r="F1435" s="1">
        <v>3.1721254355400696</v>
      </c>
      <c r="G1435" s="1">
        <v>3.0532781950276533E-2</v>
      </c>
    </row>
    <row r="1436" spans="1:7">
      <c r="A1436">
        <v>219</v>
      </c>
      <c r="B1436">
        <v>94</v>
      </c>
      <c r="C1436" s="1">
        <f>(Tabela1[[#This Row],[x]]-H$3)*(Tabela1[[#This Row],[x]]-H$3) +(Tabela1[[#This Row],[y]]-H$4)*(Tabela1[[#This Row],[y]]-H$4)</f>
        <v>11597</v>
      </c>
      <c r="D1436" s="1">
        <f>IF(Tabela1[[#This Row],[promien]]&lt;40000,1,0)</f>
        <v>1</v>
      </c>
      <c r="E1436" s="1">
        <f>IF(Tabela1[[#This Row],[promien]]=40000,1,0)</f>
        <v>0</v>
      </c>
      <c r="F1436" s="1">
        <v>3.1727019498607243</v>
      </c>
      <c r="G1436" s="1">
        <v>3.1109296270931175E-2</v>
      </c>
    </row>
    <row r="1437" spans="1:7">
      <c r="A1437">
        <v>133</v>
      </c>
      <c r="B1437">
        <v>16</v>
      </c>
      <c r="C1437" s="1">
        <f>(Tabela1[[#This Row],[x]]-H$3)*(Tabela1[[#This Row],[x]]-H$3) +(Tabela1[[#This Row],[y]]-H$4)*(Tabela1[[#This Row],[y]]-H$4)</f>
        <v>38345</v>
      </c>
      <c r="D1437" s="1">
        <f>IF(Tabela1[[#This Row],[promien]]&lt;40000,1,0)</f>
        <v>1</v>
      </c>
      <c r="E1437" s="1">
        <f>IF(Tabela1[[#This Row],[promien]]=40000,1,0)</f>
        <v>0</v>
      </c>
      <c r="F1437" s="1">
        <v>3.173277661795407</v>
      </c>
      <c r="G1437" s="1">
        <v>3.1685008205613929E-2</v>
      </c>
    </row>
    <row r="1438" spans="1:7">
      <c r="A1438">
        <v>100</v>
      </c>
      <c r="B1438">
        <v>60</v>
      </c>
      <c r="C1438" s="1">
        <f>(Tabela1[[#This Row],[x]]-H$3)*(Tabela1[[#This Row],[x]]-H$3) +(Tabela1[[#This Row],[y]]-H$4)*(Tabela1[[#This Row],[y]]-H$4)</f>
        <v>29600</v>
      </c>
      <c r="D1438" s="1">
        <f>IF(Tabela1[[#This Row],[promien]]&lt;40000,1,0)</f>
        <v>1</v>
      </c>
      <c r="E1438" s="1">
        <f>IF(Tabela1[[#This Row],[promien]]=40000,1,0)</f>
        <v>0</v>
      </c>
      <c r="F1438" s="1">
        <v>3.1738525730180807</v>
      </c>
      <c r="G1438" s="1">
        <v>3.2259919428287542E-2</v>
      </c>
    </row>
    <row r="1439" spans="1:7">
      <c r="A1439">
        <v>59</v>
      </c>
      <c r="B1439">
        <v>7</v>
      </c>
      <c r="C1439" s="1">
        <f>(Tabela1[[#This Row],[x]]-H$3)*(Tabela1[[#This Row],[x]]-H$3) +(Tabela1[[#This Row],[y]]-H$4)*(Tabela1[[#This Row],[y]]-H$4)</f>
        <v>57130</v>
      </c>
      <c r="D1439" s="1">
        <f>IF(Tabela1[[#This Row],[promien]]&lt;40000,1,0)</f>
        <v>0</v>
      </c>
      <c r="E1439" s="1">
        <f>IF(Tabela1[[#This Row],[promien]]=40000,1,0)</f>
        <v>0</v>
      </c>
      <c r="F1439" s="1">
        <v>3.1716469770674078</v>
      </c>
      <c r="G1439" s="1">
        <v>3.0054323477614719E-2</v>
      </c>
    </row>
    <row r="1440" spans="1:7">
      <c r="A1440">
        <v>39</v>
      </c>
      <c r="B1440">
        <v>237</v>
      </c>
      <c r="C1440" s="1">
        <f>(Tabela1[[#This Row],[x]]-H$3)*(Tabela1[[#This Row],[x]]-H$3) +(Tabela1[[#This Row],[y]]-H$4)*(Tabela1[[#This Row],[y]]-H$4)</f>
        <v>27290</v>
      </c>
      <c r="D1440" s="1">
        <f>IF(Tabela1[[#This Row],[promien]]&lt;40000,1,0)</f>
        <v>1</v>
      </c>
      <c r="E1440" s="1">
        <f>IF(Tabela1[[#This Row],[promien]]=40000,1,0)</f>
        <v>0</v>
      </c>
      <c r="F1440" s="1">
        <v>3.1722222222222221</v>
      </c>
      <c r="G1440" s="1">
        <v>3.0629568632428938E-2</v>
      </c>
    </row>
    <row r="1441" spans="1:7">
      <c r="A1441">
        <v>364</v>
      </c>
      <c r="B1441">
        <v>109</v>
      </c>
      <c r="C1441" s="1">
        <f>(Tabela1[[#This Row],[x]]-H$3)*(Tabela1[[#This Row],[x]]-H$3) +(Tabela1[[#This Row],[y]]-H$4)*(Tabela1[[#This Row],[y]]-H$4)</f>
        <v>35177</v>
      </c>
      <c r="D1441" s="1">
        <f>IF(Tabela1[[#This Row],[promien]]&lt;40000,1,0)</f>
        <v>1</v>
      </c>
      <c r="E1441" s="1">
        <f>IF(Tabela1[[#This Row],[promien]]=40000,1,0)</f>
        <v>0</v>
      </c>
      <c r="F1441" s="1">
        <v>3.172796668979875</v>
      </c>
      <c r="G1441" s="1">
        <v>3.1204015390081885E-2</v>
      </c>
    </row>
    <row r="1442" spans="1:7">
      <c r="A1442">
        <v>272</v>
      </c>
      <c r="B1442">
        <v>68</v>
      </c>
      <c r="C1442" s="1">
        <f>(Tabela1[[#This Row],[x]]-H$3)*(Tabela1[[#This Row],[x]]-H$3) +(Tabela1[[#This Row],[y]]-H$4)*(Tabela1[[#This Row],[y]]-H$4)</f>
        <v>22608</v>
      </c>
      <c r="D1442" s="1">
        <f>IF(Tabela1[[#This Row],[promien]]&lt;40000,1,0)</f>
        <v>1</v>
      </c>
      <c r="E1442" s="1">
        <f>IF(Tabela1[[#This Row],[promien]]=40000,1,0)</f>
        <v>0</v>
      </c>
      <c r="F1442" s="1">
        <v>3.1733703190013869</v>
      </c>
      <c r="G1442" s="1">
        <v>3.177766541159377E-2</v>
      </c>
    </row>
    <row r="1443" spans="1:7">
      <c r="A1443">
        <v>304</v>
      </c>
      <c r="B1443">
        <v>335</v>
      </c>
      <c r="C1443" s="1">
        <f>(Tabela1[[#This Row],[x]]-H$3)*(Tabela1[[#This Row],[x]]-H$3) +(Tabela1[[#This Row],[y]]-H$4)*(Tabela1[[#This Row],[y]]-H$4)</f>
        <v>29041</v>
      </c>
      <c r="D1443" s="1">
        <f>IF(Tabela1[[#This Row],[promien]]&lt;40000,1,0)</f>
        <v>1</v>
      </c>
      <c r="E1443" s="1">
        <f>IF(Tabela1[[#This Row],[promien]]=40000,1,0)</f>
        <v>0</v>
      </c>
      <c r="F1443" s="1">
        <v>3.173943173943174</v>
      </c>
      <c r="G1443" s="1">
        <v>3.2350520353380929E-2</v>
      </c>
    </row>
    <row r="1444" spans="1:7">
      <c r="A1444">
        <v>260</v>
      </c>
      <c r="B1444">
        <v>14</v>
      </c>
      <c r="C1444" s="1">
        <f>(Tabela1[[#This Row],[x]]-H$3)*(Tabela1[[#This Row],[x]]-H$3) +(Tabela1[[#This Row],[y]]-H$4)*(Tabela1[[#This Row],[y]]-H$4)</f>
        <v>38196</v>
      </c>
      <c r="D1444" s="1">
        <f>IF(Tabela1[[#This Row],[promien]]&lt;40000,1,0)</f>
        <v>1</v>
      </c>
      <c r="E1444" s="1">
        <f>IF(Tabela1[[#This Row],[promien]]=40000,1,0)</f>
        <v>0</v>
      </c>
      <c r="F1444" s="1">
        <v>3.1745152354570636</v>
      </c>
      <c r="G1444" s="1">
        <v>3.2922581867270484E-2</v>
      </c>
    </row>
    <row r="1445" spans="1:7">
      <c r="A1445">
        <v>59</v>
      </c>
      <c r="B1445">
        <v>113</v>
      </c>
      <c r="C1445" s="1">
        <f>(Tabela1[[#This Row],[x]]-H$3)*(Tabela1[[#This Row],[x]]-H$3) +(Tabela1[[#This Row],[y]]-H$4)*(Tabela1[[#This Row],[y]]-H$4)</f>
        <v>27450</v>
      </c>
      <c r="D1445" s="1">
        <f>IF(Tabela1[[#This Row],[promien]]&lt;40000,1,0)</f>
        <v>1</v>
      </c>
      <c r="E1445" s="1">
        <f>IF(Tabela1[[#This Row],[promien]]=40000,1,0)</f>
        <v>0</v>
      </c>
      <c r="F1445" s="1">
        <v>3.1750865051903112</v>
      </c>
      <c r="G1445" s="1">
        <v>3.3493851600518099E-2</v>
      </c>
    </row>
    <row r="1446" spans="1:7">
      <c r="A1446">
        <v>267</v>
      </c>
      <c r="B1446">
        <v>373</v>
      </c>
      <c r="C1446" s="1">
        <f>(Tabela1[[#This Row],[x]]-H$3)*(Tabela1[[#This Row],[x]]-H$3) +(Tabela1[[#This Row],[y]]-H$4)*(Tabela1[[#This Row],[y]]-H$4)</f>
        <v>34418</v>
      </c>
      <c r="D1446" s="1">
        <f>IF(Tabela1[[#This Row],[promien]]&lt;40000,1,0)</f>
        <v>1</v>
      </c>
      <c r="E1446" s="1">
        <f>IF(Tabela1[[#This Row],[promien]]=40000,1,0)</f>
        <v>0</v>
      </c>
      <c r="F1446" s="1">
        <v>3.1756569847856153</v>
      </c>
      <c r="G1446" s="1">
        <v>3.4064331195822195E-2</v>
      </c>
    </row>
    <row r="1447" spans="1:7">
      <c r="A1447">
        <v>97</v>
      </c>
      <c r="B1447">
        <v>288</v>
      </c>
      <c r="C1447" s="1">
        <f>(Tabela1[[#This Row],[x]]-H$3)*(Tabela1[[#This Row],[x]]-H$3) +(Tabela1[[#This Row],[y]]-H$4)*(Tabela1[[#This Row],[y]]-H$4)</f>
        <v>18353</v>
      </c>
      <c r="D1447" s="1">
        <f>IF(Tabela1[[#This Row],[promien]]&lt;40000,1,0)</f>
        <v>1</v>
      </c>
      <c r="E1447" s="1">
        <f>IF(Tabela1[[#This Row],[promien]]=40000,1,0)</f>
        <v>0</v>
      </c>
      <c r="F1447" s="1">
        <v>3.1762266758811335</v>
      </c>
      <c r="G1447" s="1">
        <v>3.4634022291340383E-2</v>
      </c>
    </row>
    <row r="1448" spans="1:7">
      <c r="A1448">
        <v>259</v>
      </c>
      <c r="B1448">
        <v>219</v>
      </c>
      <c r="C1448" s="1">
        <f>(Tabela1[[#This Row],[x]]-H$3)*(Tabela1[[#This Row],[x]]-H$3) +(Tabela1[[#This Row],[y]]-H$4)*(Tabela1[[#This Row],[y]]-H$4)</f>
        <v>3842</v>
      </c>
      <c r="D1448" s="1">
        <f>IF(Tabela1[[#This Row],[promien]]&lt;40000,1,0)</f>
        <v>1</v>
      </c>
      <c r="E1448" s="1">
        <f>IF(Tabela1[[#This Row],[promien]]=40000,1,0)</f>
        <v>0</v>
      </c>
      <c r="F1448" s="1">
        <v>3.1767955801104972</v>
      </c>
      <c r="G1448" s="1">
        <v>3.5202926520704114E-2</v>
      </c>
    </row>
    <row r="1449" spans="1:7">
      <c r="A1449">
        <v>234</v>
      </c>
      <c r="B1449">
        <v>379</v>
      </c>
      <c r="C1449" s="1">
        <f>(Tabela1[[#This Row],[x]]-H$3)*(Tabela1[[#This Row],[x]]-H$3) +(Tabela1[[#This Row],[y]]-H$4)*(Tabela1[[#This Row],[y]]-H$4)</f>
        <v>33197</v>
      </c>
      <c r="D1449" s="1">
        <f>IF(Tabela1[[#This Row],[promien]]&lt;40000,1,0)</f>
        <v>1</v>
      </c>
      <c r="E1449" s="1">
        <f>IF(Tabela1[[#This Row],[promien]]=40000,1,0)</f>
        <v>0</v>
      </c>
      <c r="F1449" s="1">
        <v>3.1773636991028296</v>
      </c>
      <c r="G1449" s="1">
        <v>3.5771045513036448E-2</v>
      </c>
    </row>
    <row r="1450" spans="1:7">
      <c r="A1450">
        <v>51</v>
      </c>
      <c r="B1450">
        <v>237</v>
      </c>
      <c r="C1450" s="1">
        <f>(Tabela1[[#This Row],[x]]-H$3)*(Tabela1[[#This Row],[x]]-H$3) +(Tabela1[[#This Row],[y]]-H$4)*(Tabela1[[#This Row],[y]]-H$4)</f>
        <v>23570</v>
      </c>
      <c r="D1450" s="1">
        <f>IF(Tabela1[[#This Row],[promien]]&lt;40000,1,0)</f>
        <v>1</v>
      </c>
      <c r="E1450" s="1">
        <f>IF(Tabela1[[#This Row],[promien]]=40000,1,0)</f>
        <v>0</v>
      </c>
      <c r="F1450" s="1">
        <v>3.1779310344827585</v>
      </c>
      <c r="G1450" s="1">
        <v>3.6338380892965372E-2</v>
      </c>
    </row>
    <row r="1451" spans="1:7">
      <c r="A1451">
        <v>106</v>
      </c>
      <c r="B1451">
        <v>5</v>
      </c>
      <c r="C1451" s="1">
        <f>(Tabela1[[#This Row],[x]]-H$3)*(Tabela1[[#This Row],[x]]-H$3) +(Tabela1[[#This Row],[y]]-H$4)*(Tabela1[[#This Row],[y]]-H$4)</f>
        <v>46861</v>
      </c>
      <c r="D1451" s="1">
        <f>IF(Tabela1[[#This Row],[promien]]&lt;40000,1,0)</f>
        <v>0</v>
      </c>
      <c r="E1451" s="1">
        <f>IF(Tabela1[[#This Row],[promien]]=40000,1,0)</f>
        <v>0</v>
      </c>
      <c r="F1451" s="1">
        <v>3.1757408683666437</v>
      </c>
      <c r="G1451" s="1">
        <v>3.4148214776850594E-2</v>
      </c>
    </row>
    <row r="1452" spans="1:7">
      <c r="A1452">
        <v>314</v>
      </c>
      <c r="B1452">
        <v>387</v>
      </c>
      <c r="C1452" s="1">
        <f>(Tabela1[[#This Row],[x]]-H$3)*(Tabela1[[#This Row],[x]]-H$3) +(Tabela1[[#This Row],[y]]-H$4)*(Tabela1[[#This Row],[y]]-H$4)</f>
        <v>47965</v>
      </c>
      <c r="D1452" s="1">
        <f>IF(Tabela1[[#This Row],[promien]]&lt;40000,1,0)</f>
        <v>0</v>
      </c>
      <c r="E1452" s="1">
        <f>IF(Tabela1[[#This Row],[promien]]=40000,1,0)</f>
        <v>0</v>
      </c>
      <c r="F1452" s="1">
        <v>3.1735537190082646</v>
      </c>
      <c r="G1452" s="1">
        <v>3.1961065418471435E-2</v>
      </c>
    </row>
    <row r="1453" spans="1:7">
      <c r="A1453">
        <v>377</v>
      </c>
      <c r="B1453">
        <v>269</v>
      </c>
      <c r="C1453" s="1">
        <f>(Tabela1[[#This Row],[x]]-H$3)*(Tabela1[[#This Row],[x]]-H$3) +(Tabela1[[#This Row],[y]]-H$4)*(Tabela1[[#This Row],[y]]-H$4)</f>
        <v>36090</v>
      </c>
      <c r="D1453" s="1">
        <f>IF(Tabela1[[#This Row],[promien]]&lt;40000,1,0)</f>
        <v>1</v>
      </c>
      <c r="E1453" s="1">
        <f>IF(Tabela1[[#This Row],[promien]]=40000,1,0)</f>
        <v>0</v>
      </c>
      <c r="F1453" s="1">
        <v>3.1741225051617343</v>
      </c>
      <c r="G1453" s="1">
        <v>3.2529851571941215E-2</v>
      </c>
    </row>
    <row r="1454" spans="1:7">
      <c r="A1454">
        <v>375</v>
      </c>
      <c r="B1454">
        <v>318</v>
      </c>
      <c r="C1454" s="1">
        <f>(Tabela1[[#This Row],[x]]-H$3)*(Tabela1[[#This Row],[x]]-H$3) +(Tabela1[[#This Row],[y]]-H$4)*(Tabela1[[#This Row],[y]]-H$4)</f>
        <v>44549</v>
      </c>
      <c r="D1454" s="1">
        <f>IF(Tabela1[[#This Row],[promien]]&lt;40000,1,0)</f>
        <v>0</v>
      </c>
      <c r="E1454" s="1">
        <f>IF(Tabela1[[#This Row],[promien]]=40000,1,0)</f>
        <v>0</v>
      </c>
      <c r="F1454" s="1">
        <v>3.1719394773039888</v>
      </c>
      <c r="G1454" s="1">
        <v>3.0346823714195725E-2</v>
      </c>
    </row>
    <row r="1455" spans="1:7">
      <c r="A1455">
        <v>328</v>
      </c>
      <c r="B1455">
        <v>308</v>
      </c>
      <c r="C1455" s="1">
        <f>(Tabela1[[#This Row],[x]]-H$3)*(Tabela1[[#This Row],[x]]-H$3) +(Tabela1[[#This Row],[y]]-H$4)*(Tabela1[[#This Row],[y]]-H$4)</f>
        <v>28048</v>
      </c>
      <c r="D1455" s="1">
        <f>IF(Tabela1[[#This Row],[promien]]&lt;40000,1,0)</f>
        <v>1</v>
      </c>
      <c r="E1455" s="1">
        <f>IF(Tabela1[[#This Row],[promien]]=40000,1,0)</f>
        <v>0</v>
      </c>
      <c r="F1455" s="1">
        <v>3.1725085910652919</v>
      </c>
      <c r="G1455" s="1">
        <v>3.0915937475498811E-2</v>
      </c>
    </row>
    <row r="1456" spans="1:7">
      <c r="A1456">
        <v>42</v>
      </c>
      <c r="B1456">
        <v>301</v>
      </c>
      <c r="C1456" s="1">
        <f>(Tabela1[[#This Row],[x]]-H$3)*(Tabela1[[#This Row],[x]]-H$3) +(Tabela1[[#This Row],[y]]-H$4)*(Tabela1[[#This Row],[y]]-H$4)</f>
        <v>35165</v>
      </c>
      <c r="D1456" s="1">
        <f>IF(Tabela1[[#This Row],[promien]]&lt;40000,1,0)</f>
        <v>1</v>
      </c>
      <c r="E1456" s="1">
        <f>IF(Tabela1[[#This Row],[promien]]=40000,1,0)</f>
        <v>0</v>
      </c>
      <c r="F1456" s="1">
        <v>3.1730769230769229</v>
      </c>
      <c r="G1456" s="1">
        <v>3.148426948712979E-2</v>
      </c>
    </row>
    <row r="1457" spans="1:7">
      <c r="A1457">
        <v>347</v>
      </c>
      <c r="B1457">
        <v>194</v>
      </c>
      <c r="C1457" s="1">
        <f>(Tabela1[[#This Row],[x]]-H$3)*(Tabela1[[#This Row],[x]]-H$3) +(Tabela1[[#This Row],[y]]-H$4)*(Tabela1[[#This Row],[y]]-H$4)</f>
        <v>21645</v>
      </c>
      <c r="D1457" s="1">
        <f>IF(Tabela1[[#This Row],[promien]]&lt;40000,1,0)</f>
        <v>1</v>
      </c>
      <c r="E1457" s="1">
        <f>IF(Tabela1[[#This Row],[promien]]=40000,1,0)</f>
        <v>0</v>
      </c>
      <c r="F1457" s="1">
        <v>3.1736444749485244</v>
      </c>
      <c r="G1457" s="1">
        <v>3.2051821358731303E-2</v>
      </c>
    </row>
    <row r="1458" spans="1:7">
      <c r="A1458">
        <v>337</v>
      </c>
      <c r="B1458">
        <v>371</v>
      </c>
      <c r="C1458" s="1">
        <f>(Tabela1[[#This Row],[x]]-H$3)*(Tabela1[[#This Row],[x]]-H$3) +(Tabela1[[#This Row],[y]]-H$4)*(Tabela1[[#This Row],[y]]-H$4)</f>
        <v>48010</v>
      </c>
      <c r="D1458" s="1">
        <f>IF(Tabela1[[#This Row],[promien]]&lt;40000,1,0)</f>
        <v>0</v>
      </c>
      <c r="E1458" s="1">
        <f>IF(Tabela1[[#This Row],[promien]]=40000,1,0)</f>
        <v>0</v>
      </c>
      <c r="F1458" s="1">
        <v>3.1714677640603566</v>
      </c>
      <c r="G1458" s="1">
        <v>2.987511047056346E-2</v>
      </c>
    </row>
    <row r="1459" spans="1:7">
      <c r="A1459">
        <v>295</v>
      </c>
      <c r="B1459">
        <v>153</v>
      </c>
      <c r="C1459" s="1">
        <f>(Tabela1[[#This Row],[x]]-H$3)*(Tabela1[[#This Row],[x]]-H$3) +(Tabela1[[#This Row],[y]]-H$4)*(Tabela1[[#This Row],[y]]-H$4)</f>
        <v>11234</v>
      </c>
      <c r="D1459" s="1">
        <f>IF(Tabela1[[#This Row],[promien]]&lt;40000,1,0)</f>
        <v>1</v>
      </c>
      <c r="E1459" s="1">
        <f>IF(Tabela1[[#This Row],[promien]]=40000,1,0)</f>
        <v>0</v>
      </c>
      <c r="F1459" s="1">
        <v>3.1720356408498973</v>
      </c>
      <c r="G1459" s="1">
        <v>3.0442987260104193E-2</v>
      </c>
    </row>
    <row r="1460" spans="1:7">
      <c r="A1460">
        <v>123</v>
      </c>
      <c r="B1460">
        <v>89</v>
      </c>
      <c r="C1460" s="1">
        <f>(Tabela1[[#This Row],[x]]-H$3)*(Tabela1[[#This Row],[x]]-H$3) +(Tabela1[[#This Row],[y]]-H$4)*(Tabela1[[#This Row],[y]]-H$4)</f>
        <v>18250</v>
      </c>
      <c r="D1460" s="1">
        <f>IF(Tabela1[[#This Row],[promien]]&lt;40000,1,0)</f>
        <v>1</v>
      </c>
      <c r="E1460" s="1">
        <f>IF(Tabela1[[#This Row],[promien]]=40000,1,0)</f>
        <v>0</v>
      </c>
      <c r="F1460" s="1">
        <v>3.1726027397260275</v>
      </c>
      <c r="G1460" s="1">
        <v>3.1010086136234349E-2</v>
      </c>
    </row>
    <row r="1461" spans="1:7">
      <c r="A1461">
        <v>197</v>
      </c>
      <c r="B1461">
        <v>194</v>
      </c>
      <c r="C1461" s="1">
        <f>(Tabela1[[#This Row],[x]]-H$3)*(Tabela1[[#This Row],[x]]-H$3) +(Tabela1[[#This Row],[y]]-H$4)*(Tabela1[[#This Row],[y]]-H$4)</f>
        <v>45</v>
      </c>
      <c r="D1461" s="1">
        <f>IF(Tabela1[[#This Row],[promien]]&lt;40000,1,0)</f>
        <v>1</v>
      </c>
      <c r="E1461" s="1">
        <f>IF(Tabela1[[#This Row],[promien]]=40000,1,0)</f>
        <v>0</v>
      </c>
      <c r="F1461" s="1">
        <v>3.1731690622861053</v>
      </c>
      <c r="G1461" s="1">
        <v>3.1576408696312175E-2</v>
      </c>
    </row>
    <row r="1462" spans="1:7">
      <c r="A1462">
        <v>218</v>
      </c>
      <c r="B1462">
        <v>235</v>
      </c>
      <c r="C1462" s="1">
        <f>(Tabela1[[#This Row],[x]]-H$3)*(Tabela1[[#This Row],[x]]-H$3) +(Tabela1[[#This Row],[y]]-H$4)*(Tabela1[[#This Row],[y]]-H$4)</f>
        <v>1549</v>
      </c>
      <c r="D1462" s="1">
        <f>IF(Tabela1[[#This Row],[promien]]&lt;40000,1,0)</f>
        <v>1</v>
      </c>
      <c r="E1462" s="1">
        <f>IF(Tabela1[[#This Row],[promien]]=40000,1,0)</f>
        <v>0</v>
      </c>
      <c r="F1462" s="1">
        <v>3.1737346101231192</v>
      </c>
      <c r="G1462" s="1">
        <v>3.2141956533326077E-2</v>
      </c>
    </row>
    <row r="1463" spans="1:7">
      <c r="A1463">
        <v>320</v>
      </c>
      <c r="B1463">
        <v>153</v>
      </c>
      <c r="C1463" s="1">
        <f>(Tabela1[[#This Row],[x]]-H$3)*(Tabela1[[#This Row],[x]]-H$3) +(Tabela1[[#This Row],[y]]-H$4)*(Tabela1[[#This Row],[y]]-H$4)</f>
        <v>16609</v>
      </c>
      <c r="D1463" s="1">
        <f>IF(Tabela1[[#This Row],[promien]]&lt;40000,1,0)</f>
        <v>1</v>
      </c>
      <c r="E1463" s="1">
        <f>IF(Tabela1[[#This Row],[promien]]=40000,1,0)</f>
        <v>0</v>
      </c>
      <c r="F1463" s="1">
        <v>3.1742993848257006</v>
      </c>
      <c r="G1463" s="1">
        <v>3.2706731235907505E-2</v>
      </c>
    </row>
    <row r="1464" spans="1:7">
      <c r="A1464">
        <v>292</v>
      </c>
      <c r="B1464">
        <v>395</v>
      </c>
      <c r="C1464" s="1">
        <f>(Tabela1[[#This Row],[x]]-H$3)*(Tabela1[[#This Row],[x]]-H$3) +(Tabela1[[#This Row],[y]]-H$4)*(Tabela1[[#This Row],[y]]-H$4)</f>
        <v>46489</v>
      </c>
      <c r="D1464" s="1">
        <f>IF(Tabela1[[#This Row],[promien]]&lt;40000,1,0)</f>
        <v>0</v>
      </c>
      <c r="E1464" s="1">
        <f>IF(Tabela1[[#This Row],[promien]]=40000,1,0)</f>
        <v>0</v>
      </c>
      <c r="F1464" s="1">
        <v>3.1721311475409837</v>
      </c>
      <c r="G1464" s="1">
        <v>3.0538493951190571E-2</v>
      </c>
    </row>
    <row r="1465" spans="1:7">
      <c r="A1465">
        <v>17</v>
      </c>
      <c r="B1465">
        <v>80</v>
      </c>
      <c r="C1465" s="1">
        <f>(Tabela1[[#This Row],[x]]-H$3)*(Tabela1[[#This Row],[x]]-H$3) +(Tabela1[[#This Row],[y]]-H$4)*(Tabela1[[#This Row],[y]]-H$4)</f>
        <v>47889</v>
      </c>
      <c r="D1465" s="1">
        <f>IF(Tabela1[[#This Row],[promien]]&lt;40000,1,0)</f>
        <v>0</v>
      </c>
      <c r="E1465" s="1">
        <f>IF(Tabela1[[#This Row],[promien]]=40000,1,0)</f>
        <v>0</v>
      </c>
      <c r="F1465" s="1">
        <v>3.1699658703071671</v>
      </c>
      <c r="G1465" s="1">
        <v>2.8373216717374028E-2</v>
      </c>
    </row>
    <row r="1466" spans="1:7">
      <c r="A1466">
        <v>26</v>
      </c>
      <c r="B1466">
        <v>243</v>
      </c>
      <c r="C1466" s="1">
        <f>(Tabela1[[#This Row],[x]]-H$3)*(Tabela1[[#This Row],[x]]-H$3) +(Tabela1[[#This Row],[y]]-H$4)*(Tabela1[[#This Row],[y]]-H$4)</f>
        <v>32125</v>
      </c>
      <c r="D1466" s="1">
        <f>IF(Tabela1[[#This Row],[promien]]&lt;40000,1,0)</f>
        <v>1</v>
      </c>
      <c r="E1466" s="1">
        <f>IF(Tabela1[[#This Row],[promien]]=40000,1,0)</f>
        <v>0</v>
      </c>
      <c r="F1466" s="1">
        <v>3.170532060027285</v>
      </c>
      <c r="G1466" s="1">
        <v>2.8939406437491932E-2</v>
      </c>
    </row>
    <row r="1467" spans="1:7">
      <c r="A1467">
        <v>308</v>
      </c>
      <c r="B1467">
        <v>147</v>
      </c>
      <c r="C1467" s="1">
        <f>(Tabela1[[#This Row],[x]]-H$3)*(Tabela1[[#This Row],[x]]-H$3) +(Tabela1[[#This Row],[y]]-H$4)*(Tabela1[[#This Row],[y]]-H$4)</f>
        <v>14473</v>
      </c>
      <c r="D1467" s="1">
        <f>IF(Tabela1[[#This Row],[promien]]&lt;40000,1,0)</f>
        <v>1</v>
      </c>
      <c r="E1467" s="1">
        <f>IF(Tabela1[[#This Row],[promien]]=40000,1,0)</f>
        <v>0</v>
      </c>
      <c r="F1467" s="1">
        <v>3.1710974778459442</v>
      </c>
      <c r="G1467" s="1">
        <v>2.9504824256151085E-2</v>
      </c>
    </row>
    <row r="1468" spans="1:7">
      <c r="A1468">
        <v>243</v>
      </c>
      <c r="B1468">
        <v>109</v>
      </c>
      <c r="C1468" s="1">
        <f>(Tabela1[[#This Row],[x]]-H$3)*(Tabela1[[#This Row],[x]]-H$3) +(Tabela1[[#This Row],[y]]-H$4)*(Tabela1[[#This Row],[y]]-H$4)</f>
        <v>10130</v>
      </c>
      <c r="D1468" s="1">
        <f>IF(Tabela1[[#This Row],[promien]]&lt;40000,1,0)</f>
        <v>1</v>
      </c>
      <c r="E1468" s="1">
        <f>IF(Tabela1[[#This Row],[promien]]=40000,1,0)</f>
        <v>0</v>
      </c>
      <c r="F1468" s="1">
        <v>3.1716621253405997</v>
      </c>
      <c r="G1468" s="1">
        <v>3.0069471750806542E-2</v>
      </c>
    </row>
    <row r="1469" spans="1:7">
      <c r="A1469">
        <v>348</v>
      </c>
      <c r="B1469">
        <v>222</v>
      </c>
      <c r="C1469" s="1">
        <f>(Tabela1[[#This Row],[x]]-H$3)*(Tabela1[[#This Row],[x]]-H$3) +(Tabela1[[#This Row],[y]]-H$4)*(Tabela1[[#This Row],[y]]-H$4)</f>
        <v>22388</v>
      </c>
      <c r="D1469" s="1">
        <f>IF(Tabela1[[#This Row],[promien]]&lt;40000,1,0)</f>
        <v>1</v>
      </c>
      <c r="E1469" s="1">
        <f>IF(Tabela1[[#This Row],[promien]]=40000,1,0)</f>
        <v>0</v>
      </c>
      <c r="F1469" s="1">
        <v>3.1722260040844112</v>
      </c>
      <c r="G1469" s="1">
        <v>3.0633350494618128E-2</v>
      </c>
    </row>
    <row r="1470" spans="1:7">
      <c r="A1470">
        <v>151</v>
      </c>
      <c r="B1470">
        <v>83</v>
      </c>
      <c r="C1470" s="1">
        <f>(Tabela1[[#This Row],[x]]-H$3)*(Tabela1[[#This Row],[x]]-H$3) +(Tabela1[[#This Row],[y]]-H$4)*(Tabela1[[#This Row],[y]]-H$4)</f>
        <v>16090</v>
      </c>
      <c r="D1470" s="1">
        <f>IF(Tabela1[[#This Row],[promien]]&lt;40000,1,0)</f>
        <v>1</v>
      </c>
      <c r="E1470" s="1">
        <f>IF(Tabela1[[#This Row],[promien]]=40000,1,0)</f>
        <v>0</v>
      </c>
      <c r="F1470" s="1">
        <v>3.1727891156462587</v>
      </c>
      <c r="G1470" s="1">
        <v>3.1196462056465535E-2</v>
      </c>
    </row>
    <row r="1471" spans="1:7">
      <c r="A1471">
        <v>160</v>
      </c>
      <c r="B1471">
        <v>234</v>
      </c>
      <c r="C1471" s="1">
        <f>(Tabela1[[#This Row],[x]]-H$3)*(Tabela1[[#This Row],[x]]-H$3) +(Tabela1[[#This Row],[y]]-H$4)*(Tabela1[[#This Row],[y]]-H$4)</f>
        <v>2756</v>
      </c>
      <c r="D1471" s="1">
        <f>IF(Tabela1[[#This Row],[promien]]&lt;40000,1,0)</f>
        <v>1</v>
      </c>
      <c r="E1471" s="1">
        <f>IF(Tabela1[[#This Row],[promien]]=40000,1,0)</f>
        <v>0</v>
      </c>
      <c r="F1471" s="1">
        <v>3.1733514615907548</v>
      </c>
      <c r="G1471" s="1">
        <v>3.1758808000961647E-2</v>
      </c>
    </row>
    <row r="1472" spans="1:7">
      <c r="A1472">
        <v>184</v>
      </c>
      <c r="B1472">
        <v>45</v>
      </c>
      <c r="C1472" s="1">
        <f>(Tabela1[[#This Row],[x]]-H$3)*(Tabela1[[#This Row],[x]]-H$3) +(Tabela1[[#This Row],[y]]-H$4)*(Tabela1[[#This Row],[y]]-H$4)</f>
        <v>24281</v>
      </c>
      <c r="D1472" s="1">
        <f>IF(Tabela1[[#This Row],[promien]]&lt;40000,1,0)</f>
        <v>1</v>
      </c>
      <c r="E1472" s="1">
        <f>IF(Tabela1[[#This Row],[promien]]=40000,1,0)</f>
        <v>0</v>
      </c>
      <c r="F1472" s="1">
        <v>3.1739130434782608</v>
      </c>
      <c r="G1472" s="1">
        <v>3.2320389888467638E-2</v>
      </c>
    </row>
    <row r="1473" spans="1:7">
      <c r="A1473">
        <v>136</v>
      </c>
      <c r="B1473">
        <v>98</v>
      </c>
      <c r="C1473" s="1">
        <f>(Tabela1[[#This Row],[x]]-H$3)*(Tabela1[[#This Row],[x]]-H$3) +(Tabela1[[#This Row],[y]]-H$4)*(Tabela1[[#This Row],[y]]-H$4)</f>
        <v>14500</v>
      </c>
      <c r="D1473" s="1">
        <f>IF(Tabela1[[#This Row],[promien]]&lt;40000,1,0)</f>
        <v>1</v>
      </c>
      <c r="E1473" s="1">
        <f>IF(Tabela1[[#This Row],[promien]]=40000,1,0)</f>
        <v>0</v>
      </c>
      <c r="F1473" s="1">
        <v>3.1744738628649016</v>
      </c>
      <c r="G1473" s="1">
        <v>3.2881209275108514E-2</v>
      </c>
    </row>
    <row r="1474" spans="1:7">
      <c r="A1474">
        <v>8</v>
      </c>
      <c r="B1474">
        <v>246</v>
      </c>
      <c r="C1474" s="1">
        <f>(Tabela1[[#This Row],[x]]-H$3)*(Tabela1[[#This Row],[x]]-H$3) +(Tabela1[[#This Row],[y]]-H$4)*(Tabela1[[#This Row],[y]]-H$4)</f>
        <v>38980</v>
      </c>
      <c r="D1474" s="1">
        <f>IF(Tabela1[[#This Row],[promien]]&lt;40000,1,0)</f>
        <v>1</v>
      </c>
      <c r="E1474" s="1">
        <f>IF(Tabela1[[#This Row],[promien]]=40000,1,0)</f>
        <v>0</v>
      </c>
      <c r="F1474" s="1">
        <v>3.1750339213025782</v>
      </c>
      <c r="G1474" s="1">
        <v>3.3441267712785105E-2</v>
      </c>
    </row>
    <row r="1475" spans="1:7">
      <c r="A1475">
        <v>303</v>
      </c>
      <c r="B1475">
        <v>308</v>
      </c>
      <c r="C1475" s="1">
        <f>(Tabela1[[#This Row],[x]]-H$3)*(Tabela1[[#This Row],[x]]-H$3) +(Tabela1[[#This Row],[y]]-H$4)*(Tabela1[[#This Row],[y]]-H$4)</f>
        <v>22273</v>
      </c>
      <c r="D1475" s="1">
        <f>IF(Tabela1[[#This Row],[promien]]&lt;40000,1,0)</f>
        <v>1</v>
      </c>
      <c r="E1475" s="1">
        <f>IF(Tabela1[[#This Row],[promien]]=40000,1,0)</f>
        <v>0</v>
      </c>
      <c r="F1475" s="1">
        <v>3.1755932203389832</v>
      </c>
      <c r="G1475" s="1">
        <v>3.4000566749190053E-2</v>
      </c>
    </row>
    <row r="1476" spans="1:7">
      <c r="A1476">
        <v>191</v>
      </c>
      <c r="B1476">
        <v>98</v>
      </c>
      <c r="C1476" s="1">
        <f>(Tabela1[[#This Row],[x]]-H$3)*(Tabela1[[#This Row],[x]]-H$3) +(Tabela1[[#This Row],[y]]-H$4)*(Tabela1[[#This Row],[y]]-H$4)</f>
        <v>10485</v>
      </c>
      <c r="D1476" s="1">
        <f>IF(Tabela1[[#This Row],[promien]]&lt;40000,1,0)</f>
        <v>1</v>
      </c>
      <c r="E1476" s="1">
        <f>IF(Tabela1[[#This Row],[promien]]=40000,1,0)</f>
        <v>0</v>
      </c>
      <c r="F1476" s="1">
        <v>3.1761517615176151</v>
      </c>
      <c r="G1476" s="1">
        <v>3.4559107927822019E-2</v>
      </c>
    </row>
    <row r="1477" spans="1:7">
      <c r="A1477">
        <v>187</v>
      </c>
      <c r="B1477">
        <v>221</v>
      </c>
      <c r="C1477" s="1">
        <f>(Tabela1[[#This Row],[x]]-H$3)*(Tabela1[[#This Row],[x]]-H$3) +(Tabela1[[#This Row],[y]]-H$4)*(Tabela1[[#This Row],[y]]-H$4)</f>
        <v>610</v>
      </c>
      <c r="D1477" s="1">
        <f>IF(Tabela1[[#This Row],[promien]]&lt;40000,1,0)</f>
        <v>1</v>
      </c>
      <c r="E1477" s="1">
        <f>IF(Tabela1[[#This Row],[promien]]=40000,1,0)</f>
        <v>0</v>
      </c>
      <c r="F1477" s="1">
        <v>3.176709546377793</v>
      </c>
      <c r="G1477" s="1">
        <v>3.5116892787999898E-2</v>
      </c>
    </row>
    <row r="1478" spans="1:7">
      <c r="A1478">
        <v>269</v>
      </c>
      <c r="B1478">
        <v>314</v>
      </c>
      <c r="C1478" s="1">
        <f>(Tabela1[[#This Row],[x]]-H$3)*(Tabela1[[#This Row],[x]]-H$3) +(Tabela1[[#This Row],[y]]-H$4)*(Tabela1[[#This Row],[y]]-H$4)</f>
        <v>17757</v>
      </c>
      <c r="D1478" s="1">
        <f>IF(Tabela1[[#This Row],[promien]]&lt;40000,1,0)</f>
        <v>1</v>
      </c>
      <c r="E1478" s="1">
        <f>IF(Tabela1[[#This Row],[promien]]=40000,1,0)</f>
        <v>0</v>
      </c>
      <c r="F1478" s="1">
        <v>3.1772665764546684</v>
      </c>
      <c r="G1478" s="1">
        <v>3.5673922864875252E-2</v>
      </c>
    </row>
    <row r="1479" spans="1:7">
      <c r="A1479">
        <v>19</v>
      </c>
      <c r="B1479">
        <v>139</v>
      </c>
      <c r="C1479" s="1">
        <f>(Tabela1[[#This Row],[x]]-H$3)*(Tabela1[[#This Row],[x]]-H$3) +(Tabela1[[#This Row],[y]]-H$4)*(Tabela1[[#This Row],[y]]-H$4)</f>
        <v>36482</v>
      </c>
      <c r="D1479" s="1">
        <f>IF(Tabela1[[#This Row],[promien]]&lt;40000,1,0)</f>
        <v>1</v>
      </c>
      <c r="E1479" s="1">
        <f>IF(Tabela1[[#This Row],[promien]]=40000,1,0)</f>
        <v>0</v>
      </c>
      <c r="F1479" s="1">
        <v>3.1778228532792427</v>
      </c>
      <c r="G1479" s="1">
        <v>3.6230199689449627E-2</v>
      </c>
    </row>
    <row r="1480" spans="1:7">
      <c r="A1480">
        <v>386</v>
      </c>
      <c r="B1480">
        <v>185</v>
      </c>
      <c r="C1480" s="1">
        <f>(Tabela1[[#This Row],[x]]-H$3)*(Tabela1[[#This Row],[x]]-H$3) +(Tabela1[[#This Row],[y]]-H$4)*(Tabela1[[#This Row],[y]]-H$4)</f>
        <v>34821</v>
      </c>
      <c r="D1480" s="1">
        <f>IF(Tabela1[[#This Row],[promien]]&lt;40000,1,0)</f>
        <v>1</v>
      </c>
      <c r="E1480" s="1">
        <f>IF(Tabela1[[#This Row],[promien]]=40000,1,0)</f>
        <v>0</v>
      </c>
      <c r="F1480" s="1">
        <v>3.1783783783783783</v>
      </c>
      <c r="G1480" s="1">
        <v>3.6785724788585217E-2</v>
      </c>
    </row>
    <row r="1481" spans="1:7">
      <c r="A1481">
        <v>14</v>
      </c>
      <c r="B1481">
        <v>112</v>
      </c>
      <c r="C1481" s="1">
        <f>(Tabela1[[#This Row],[x]]-H$3)*(Tabela1[[#This Row],[x]]-H$3) +(Tabela1[[#This Row],[y]]-H$4)*(Tabela1[[#This Row],[y]]-H$4)</f>
        <v>42340</v>
      </c>
      <c r="D1481" s="1">
        <f>IF(Tabela1[[#This Row],[promien]]&lt;40000,1,0)</f>
        <v>0</v>
      </c>
      <c r="E1481" s="1">
        <f>IF(Tabela1[[#This Row],[promien]]=40000,1,0)</f>
        <v>0</v>
      </c>
      <c r="F1481" s="1">
        <v>3.176232275489534</v>
      </c>
      <c r="G1481" s="1">
        <v>3.4639621899740902E-2</v>
      </c>
    </row>
    <row r="1482" spans="1:7">
      <c r="A1482">
        <v>109</v>
      </c>
      <c r="B1482">
        <v>250</v>
      </c>
      <c r="C1482" s="1">
        <f>(Tabela1[[#This Row],[x]]-H$3)*(Tabela1[[#This Row],[x]]-H$3) +(Tabela1[[#This Row],[y]]-H$4)*(Tabela1[[#This Row],[y]]-H$4)</f>
        <v>10781</v>
      </c>
      <c r="D1482" s="1">
        <f>IF(Tabela1[[#This Row],[promien]]&lt;40000,1,0)</f>
        <v>1</v>
      </c>
      <c r="E1482" s="1">
        <f>IF(Tabela1[[#This Row],[promien]]=40000,1,0)</f>
        <v>0</v>
      </c>
      <c r="F1482" s="1">
        <v>3.1767881241565452</v>
      </c>
      <c r="G1482" s="1">
        <v>3.5195470566752096E-2</v>
      </c>
    </row>
    <row r="1483" spans="1:7">
      <c r="A1483">
        <v>8</v>
      </c>
      <c r="B1483">
        <v>131</v>
      </c>
      <c r="C1483" s="1">
        <f>(Tabela1[[#This Row],[x]]-H$3)*(Tabela1[[#This Row],[x]]-H$3) +(Tabela1[[#This Row],[y]]-H$4)*(Tabela1[[#This Row],[y]]-H$4)</f>
        <v>41625</v>
      </c>
      <c r="D1483" s="1">
        <f>IF(Tabela1[[#This Row],[promien]]&lt;40000,1,0)</f>
        <v>0</v>
      </c>
      <c r="E1483" s="1">
        <f>IF(Tabela1[[#This Row],[promien]]=40000,1,0)</f>
        <v>0</v>
      </c>
      <c r="F1483" s="1">
        <v>3.1746459878624411</v>
      </c>
      <c r="G1483" s="1">
        <v>3.3053334272648005E-2</v>
      </c>
    </row>
    <row r="1484" spans="1:7">
      <c r="A1484">
        <v>105</v>
      </c>
      <c r="B1484">
        <v>285</v>
      </c>
      <c r="C1484" s="1">
        <f>(Tabela1[[#This Row],[x]]-H$3)*(Tabela1[[#This Row],[x]]-H$3) +(Tabela1[[#This Row],[y]]-H$4)*(Tabela1[[#This Row],[y]]-H$4)</f>
        <v>16250</v>
      </c>
      <c r="D1484" s="1">
        <f>IF(Tabela1[[#This Row],[promien]]&lt;40000,1,0)</f>
        <v>1</v>
      </c>
      <c r="E1484" s="1">
        <f>IF(Tabela1[[#This Row],[promien]]=40000,1,0)</f>
        <v>0</v>
      </c>
      <c r="F1484" s="1">
        <v>3.1752021563342319</v>
      </c>
      <c r="G1484" s="1">
        <v>3.3609502744438746E-2</v>
      </c>
    </row>
    <row r="1485" spans="1:7">
      <c r="A1485">
        <v>246</v>
      </c>
      <c r="B1485">
        <v>152</v>
      </c>
      <c r="C1485" s="1">
        <f>(Tabela1[[#This Row],[x]]-H$3)*(Tabela1[[#This Row],[x]]-H$3) +(Tabela1[[#This Row],[y]]-H$4)*(Tabela1[[#This Row],[y]]-H$4)</f>
        <v>4420</v>
      </c>
      <c r="D1485" s="1">
        <f>IF(Tabela1[[#This Row],[promien]]&lt;40000,1,0)</f>
        <v>1</v>
      </c>
      <c r="E1485" s="1">
        <f>IF(Tabela1[[#This Row],[promien]]=40000,1,0)</f>
        <v>0</v>
      </c>
      <c r="F1485" s="1">
        <v>3.1757575757575758</v>
      </c>
      <c r="G1485" s="1">
        <v>3.4164922167782663E-2</v>
      </c>
    </row>
    <row r="1486" spans="1:7">
      <c r="A1486">
        <v>170</v>
      </c>
      <c r="B1486">
        <v>81</v>
      </c>
      <c r="C1486" s="1">
        <f>(Tabela1[[#This Row],[x]]-H$3)*(Tabela1[[#This Row],[x]]-H$3) +(Tabela1[[#This Row],[y]]-H$4)*(Tabela1[[#This Row],[y]]-H$4)</f>
        <v>15061</v>
      </c>
      <c r="D1486" s="1">
        <f>IF(Tabela1[[#This Row],[promien]]&lt;40000,1,0)</f>
        <v>1</v>
      </c>
      <c r="E1486" s="1">
        <f>IF(Tabela1[[#This Row],[promien]]=40000,1,0)</f>
        <v>0</v>
      </c>
      <c r="F1486" s="1">
        <v>3.1763122476446837</v>
      </c>
      <c r="G1486" s="1">
        <v>3.4719594054890557E-2</v>
      </c>
    </row>
    <row r="1487" spans="1:7">
      <c r="A1487">
        <v>375</v>
      </c>
      <c r="B1487">
        <v>55</v>
      </c>
      <c r="C1487" s="1">
        <f>(Tabela1[[#This Row],[x]]-H$3)*(Tabela1[[#This Row],[x]]-H$3) +(Tabela1[[#This Row],[y]]-H$4)*(Tabela1[[#This Row],[y]]-H$4)</f>
        <v>51650</v>
      </c>
      <c r="D1487" s="1">
        <f>IF(Tabela1[[#This Row],[promien]]&lt;40000,1,0)</f>
        <v>0</v>
      </c>
      <c r="E1487" s="1">
        <f>IF(Tabela1[[#This Row],[promien]]=40000,1,0)</f>
        <v>0</v>
      </c>
      <c r="F1487" s="1">
        <v>3.1741761936785475</v>
      </c>
      <c r="G1487" s="1">
        <v>3.2583540088754415E-2</v>
      </c>
    </row>
    <row r="1488" spans="1:7">
      <c r="A1488">
        <v>277</v>
      </c>
      <c r="B1488">
        <v>187</v>
      </c>
      <c r="C1488" s="1">
        <f>(Tabela1[[#This Row],[x]]-H$3)*(Tabela1[[#This Row],[x]]-H$3) +(Tabela1[[#This Row],[y]]-H$4)*(Tabela1[[#This Row],[y]]-H$4)</f>
        <v>6098</v>
      </c>
      <c r="D1488" s="1">
        <f>IF(Tabela1[[#This Row],[promien]]&lt;40000,1,0)</f>
        <v>1</v>
      </c>
      <c r="E1488" s="1">
        <f>IF(Tabela1[[#This Row],[promien]]=40000,1,0)</f>
        <v>0</v>
      </c>
      <c r="F1488" s="1">
        <v>3.174731182795699</v>
      </c>
      <c r="G1488" s="1">
        <v>3.3138529205905876E-2</v>
      </c>
    </row>
    <row r="1489" spans="1:7">
      <c r="A1489">
        <v>125</v>
      </c>
      <c r="B1489">
        <v>368</v>
      </c>
      <c r="C1489" s="1">
        <f>(Tabela1[[#This Row],[x]]-H$3)*(Tabela1[[#This Row],[x]]-H$3) +(Tabela1[[#This Row],[y]]-H$4)*(Tabela1[[#This Row],[y]]-H$4)</f>
        <v>33849</v>
      </c>
      <c r="D1489" s="1">
        <f>IF(Tabela1[[#This Row],[promien]]&lt;40000,1,0)</f>
        <v>1</v>
      </c>
      <c r="E1489" s="1">
        <f>IF(Tabela1[[#This Row],[promien]]=40000,1,0)</f>
        <v>0</v>
      </c>
      <c r="F1489" s="1">
        <v>3.1752854264607118</v>
      </c>
      <c r="G1489" s="1">
        <v>3.3692772870918652E-2</v>
      </c>
    </row>
    <row r="1490" spans="1:7">
      <c r="A1490">
        <v>63</v>
      </c>
      <c r="B1490">
        <v>167</v>
      </c>
      <c r="C1490" s="1">
        <f>(Tabela1[[#This Row],[x]]-H$3)*(Tabela1[[#This Row],[x]]-H$3) +(Tabela1[[#This Row],[y]]-H$4)*(Tabela1[[#This Row],[y]]-H$4)</f>
        <v>19858</v>
      </c>
      <c r="D1490" s="1">
        <f>IF(Tabela1[[#This Row],[promien]]&lt;40000,1,0)</f>
        <v>1</v>
      </c>
      <c r="E1490" s="1">
        <f>IF(Tabela1[[#This Row],[promien]]=40000,1,0)</f>
        <v>0</v>
      </c>
      <c r="F1490" s="1">
        <v>3.1758389261744968</v>
      </c>
      <c r="G1490" s="1">
        <v>3.4246272584703696E-2</v>
      </c>
    </row>
    <row r="1491" spans="1:7">
      <c r="A1491">
        <v>278</v>
      </c>
      <c r="B1491">
        <v>85</v>
      </c>
      <c r="C1491" s="1">
        <f>(Tabela1[[#This Row],[x]]-H$3)*(Tabela1[[#This Row],[x]]-H$3) +(Tabela1[[#This Row],[y]]-H$4)*(Tabela1[[#This Row],[y]]-H$4)</f>
        <v>19309</v>
      </c>
      <c r="D1491" s="1">
        <f>IF(Tabela1[[#This Row],[promien]]&lt;40000,1,0)</f>
        <v>1</v>
      </c>
      <c r="E1491" s="1">
        <f>IF(Tabela1[[#This Row],[promien]]=40000,1,0)</f>
        <v>0</v>
      </c>
      <c r="F1491" s="1">
        <v>3.1763916834339367</v>
      </c>
      <c r="G1491" s="1">
        <v>3.4799029844143625E-2</v>
      </c>
    </row>
    <row r="1492" spans="1:7">
      <c r="A1492">
        <v>124</v>
      </c>
      <c r="B1492">
        <v>218</v>
      </c>
      <c r="C1492" s="1">
        <f>(Tabela1[[#This Row],[x]]-H$3)*(Tabela1[[#This Row],[x]]-H$3) +(Tabela1[[#This Row],[y]]-H$4)*(Tabela1[[#This Row],[y]]-H$4)</f>
        <v>6100</v>
      </c>
      <c r="D1492" s="1">
        <f>IF(Tabela1[[#This Row],[promien]]&lt;40000,1,0)</f>
        <v>1</v>
      </c>
      <c r="E1492" s="1">
        <f>IF(Tabela1[[#This Row],[promien]]=40000,1,0)</f>
        <v>0</v>
      </c>
      <c r="F1492" s="1">
        <v>3.1769436997319036</v>
      </c>
      <c r="G1492" s="1">
        <v>3.5351046142110487E-2</v>
      </c>
    </row>
    <row r="1493" spans="1:7">
      <c r="A1493">
        <v>55</v>
      </c>
      <c r="B1493">
        <v>382</v>
      </c>
      <c r="C1493" s="1">
        <f>(Tabela1[[#This Row],[x]]-H$3)*(Tabela1[[#This Row],[x]]-H$3) +(Tabela1[[#This Row],[y]]-H$4)*(Tabela1[[#This Row],[y]]-H$4)</f>
        <v>54149</v>
      </c>
      <c r="D1493" s="1">
        <f>IF(Tabela1[[#This Row],[promien]]&lt;40000,1,0)</f>
        <v>0</v>
      </c>
      <c r="E1493" s="1">
        <f>IF(Tabela1[[#This Row],[promien]]=40000,1,0)</f>
        <v>0</v>
      </c>
      <c r="F1493" s="1">
        <v>3.1748158070997992</v>
      </c>
      <c r="G1493" s="1">
        <v>3.3223153510006043E-2</v>
      </c>
    </row>
    <row r="1494" spans="1:7">
      <c r="A1494">
        <v>36</v>
      </c>
      <c r="B1494">
        <v>336</v>
      </c>
      <c r="C1494" s="1">
        <f>(Tabela1[[#This Row],[x]]-H$3)*(Tabela1[[#This Row],[x]]-H$3) +(Tabela1[[#This Row],[y]]-H$4)*(Tabela1[[#This Row],[y]]-H$4)</f>
        <v>45392</v>
      </c>
      <c r="D1494" s="1">
        <f>IF(Tabela1[[#This Row],[promien]]&lt;40000,1,0)</f>
        <v>0</v>
      </c>
      <c r="E1494" s="1">
        <f>IF(Tabela1[[#This Row],[promien]]=40000,1,0)</f>
        <v>0</v>
      </c>
      <c r="F1494" s="1">
        <v>3.1726907630522088</v>
      </c>
      <c r="G1494" s="1">
        <v>3.1098109462415646E-2</v>
      </c>
    </row>
    <row r="1495" spans="1:7">
      <c r="A1495">
        <v>110</v>
      </c>
      <c r="B1495">
        <v>112</v>
      </c>
      <c r="C1495" s="1">
        <f>(Tabela1[[#This Row],[x]]-H$3)*(Tabela1[[#This Row],[x]]-H$3) +(Tabela1[[#This Row],[y]]-H$4)*(Tabela1[[#This Row],[y]]-H$4)</f>
        <v>15844</v>
      </c>
      <c r="D1495" s="1">
        <f>IF(Tabela1[[#This Row],[promien]]&lt;40000,1,0)</f>
        <v>1</v>
      </c>
      <c r="E1495" s="1">
        <f>IF(Tabela1[[#This Row],[promien]]=40000,1,0)</f>
        <v>0</v>
      </c>
      <c r="F1495" s="1">
        <v>3.1732441471571908</v>
      </c>
      <c r="G1495" s="1">
        <v>3.1651493567397715E-2</v>
      </c>
    </row>
    <row r="1496" spans="1:7">
      <c r="A1496">
        <v>167</v>
      </c>
      <c r="B1496">
        <v>4</v>
      </c>
      <c r="C1496" s="1">
        <f>(Tabela1[[#This Row],[x]]-H$3)*(Tabela1[[#This Row],[x]]-H$3) +(Tabela1[[#This Row],[y]]-H$4)*(Tabela1[[#This Row],[y]]-H$4)</f>
        <v>39505</v>
      </c>
      <c r="D1496" s="1">
        <f>IF(Tabela1[[#This Row],[promien]]&lt;40000,1,0)</f>
        <v>1</v>
      </c>
      <c r="E1496" s="1">
        <f>IF(Tabela1[[#This Row],[promien]]=40000,1,0)</f>
        <v>0</v>
      </c>
      <c r="F1496" s="1">
        <v>3.1737967914438503</v>
      </c>
      <c r="G1496" s="1">
        <v>3.220413785405718E-2</v>
      </c>
    </row>
    <row r="1497" spans="1:7">
      <c r="A1497">
        <v>118</v>
      </c>
      <c r="B1497">
        <v>162</v>
      </c>
      <c r="C1497" s="1">
        <f>(Tabela1[[#This Row],[x]]-H$3)*(Tabela1[[#This Row],[x]]-H$3) +(Tabela1[[#This Row],[y]]-H$4)*(Tabela1[[#This Row],[y]]-H$4)</f>
        <v>8168</v>
      </c>
      <c r="D1497" s="1">
        <f>IF(Tabela1[[#This Row],[promien]]&lt;40000,1,0)</f>
        <v>1</v>
      </c>
      <c r="E1497" s="1">
        <f>IF(Tabela1[[#This Row],[promien]]=40000,1,0)</f>
        <v>0</v>
      </c>
      <c r="F1497" s="1">
        <v>3.1743486973947896</v>
      </c>
      <c r="G1497" s="1">
        <v>3.2756043804996526E-2</v>
      </c>
    </row>
    <row r="1498" spans="1:7">
      <c r="A1498">
        <v>356</v>
      </c>
      <c r="B1498">
        <v>308</v>
      </c>
      <c r="C1498" s="1">
        <f>(Tabela1[[#This Row],[x]]-H$3)*(Tabela1[[#This Row],[x]]-H$3) +(Tabela1[[#This Row],[y]]-H$4)*(Tabela1[[#This Row],[y]]-H$4)</f>
        <v>36000</v>
      </c>
      <c r="D1498" s="1">
        <f>IF(Tabela1[[#This Row],[promien]]&lt;40000,1,0)</f>
        <v>1</v>
      </c>
      <c r="E1498" s="1">
        <f>IF(Tabela1[[#This Row],[promien]]=40000,1,0)</f>
        <v>0</v>
      </c>
      <c r="F1498" s="1">
        <v>3.1748998664886514</v>
      </c>
      <c r="G1498" s="1">
        <v>3.3307212898858296E-2</v>
      </c>
    </row>
    <row r="1499" spans="1:7">
      <c r="A1499">
        <v>392</v>
      </c>
      <c r="B1499">
        <v>176</v>
      </c>
      <c r="C1499" s="1">
        <f>(Tabela1[[#This Row],[x]]-H$3)*(Tabela1[[#This Row],[x]]-H$3) +(Tabela1[[#This Row],[y]]-H$4)*(Tabela1[[#This Row],[y]]-H$4)</f>
        <v>37440</v>
      </c>
      <c r="D1499" s="1">
        <f>IF(Tabela1[[#This Row],[promien]]&lt;40000,1,0)</f>
        <v>1</v>
      </c>
      <c r="E1499" s="1">
        <f>IF(Tabela1[[#This Row],[promien]]=40000,1,0)</f>
        <v>0</v>
      </c>
      <c r="F1499" s="1">
        <v>3.1754503002001333</v>
      </c>
      <c r="G1499" s="1">
        <v>3.3857646610340186E-2</v>
      </c>
    </row>
    <row r="1500" spans="1:7">
      <c r="A1500">
        <v>138</v>
      </c>
      <c r="B1500">
        <v>361</v>
      </c>
      <c r="C1500" s="1">
        <f>(Tabela1[[#This Row],[x]]-H$3)*(Tabela1[[#This Row],[x]]-H$3) +(Tabela1[[#This Row],[y]]-H$4)*(Tabela1[[#This Row],[y]]-H$4)</f>
        <v>29765</v>
      </c>
      <c r="D1500" s="1">
        <f>IF(Tabela1[[#This Row],[promien]]&lt;40000,1,0)</f>
        <v>1</v>
      </c>
      <c r="E1500" s="1">
        <f>IF(Tabela1[[#This Row],[promien]]=40000,1,0)</f>
        <v>0</v>
      </c>
      <c r="F1500" s="1">
        <v>3.1760000000000002</v>
      </c>
      <c r="G1500" s="1">
        <v>3.440734641020704E-2</v>
      </c>
    </row>
    <row r="1501" spans="1:7">
      <c r="A1501">
        <v>31</v>
      </c>
      <c r="B1501">
        <v>27</v>
      </c>
      <c r="C1501" s="1">
        <f>(Tabela1[[#This Row],[x]]-H$3)*(Tabela1[[#This Row],[x]]-H$3) +(Tabela1[[#This Row],[y]]-H$4)*(Tabela1[[#This Row],[y]]-H$4)</f>
        <v>58490</v>
      </c>
      <c r="D1501" s="1">
        <f>IF(Tabela1[[#This Row],[promien]]&lt;40000,1,0)</f>
        <v>0</v>
      </c>
      <c r="E1501" s="1">
        <f>IF(Tabela1[[#This Row],[promien]]=40000,1,0)</f>
        <v>0</v>
      </c>
      <c r="F1501" s="1">
        <v>3.1738840772818122</v>
      </c>
      <c r="G1501" s="1">
        <v>3.2291423692019094E-2</v>
      </c>
    </row>
    <row r="1502" spans="1:7">
      <c r="A1502">
        <v>386</v>
      </c>
      <c r="B1502">
        <v>345</v>
      </c>
      <c r="C1502" s="1">
        <f>(Tabela1[[#This Row],[x]]-H$3)*(Tabela1[[#This Row],[x]]-H$3) +(Tabela1[[#This Row],[y]]-H$4)*(Tabela1[[#This Row],[y]]-H$4)</f>
        <v>55621</v>
      </c>
      <c r="D1502" s="1">
        <f>IF(Tabela1[[#This Row],[promien]]&lt;40000,1,0)</f>
        <v>0</v>
      </c>
      <c r="E1502" s="1">
        <f>IF(Tabela1[[#This Row],[promien]]=40000,1,0)</f>
        <v>0</v>
      </c>
      <c r="F1502" s="1">
        <v>3.1717709720372835</v>
      </c>
      <c r="G1502" s="1">
        <v>3.0178318447490415E-2</v>
      </c>
    </row>
    <row r="1503" spans="1:7">
      <c r="A1503">
        <v>243</v>
      </c>
      <c r="B1503">
        <v>267</v>
      </c>
      <c r="C1503" s="1">
        <f>(Tabela1[[#This Row],[x]]-H$3)*(Tabela1[[#This Row],[x]]-H$3) +(Tabela1[[#This Row],[y]]-H$4)*(Tabela1[[#This Row],[y]]-H$4)</f>
        <v>6338</v>
      </c>
      <c r="D1503" s="1">
        <f>IF(Tabela1[[#This Row],[promien]]&lt;40000,1,0)</f>
        <v>1</v>
      </c>
      <c r="E1503" s="1">
        <f>IF(Tabela1[[#This Row],[promien]]=40000,1,0)</f>
        <v>0</v>
      </c>
      <c r="F1503" s="1">
        <v>3.1723220226214237</v>
      </c>
      <c r="G1503" s="1">
        <v>3.0729369031630593E-2</v>
      </c>
    </row>
    <row r="1504" spans="1:7">
      <c r="A1504">
        <v>322</v>
      </c>
      <c r="B1504">
        <v>234</v>
      </c>
      <c r="C1504" s="1">
        <f>(Tabela1[[#This Row],[x]]-H$3)*(Tabela1[[#This Row],[x]]-H$3) +(Tabela1[[#This Row],[y]]-H$4)*(Tabela1[[#This Row],[y]]-H$4)</f>
        <v>16040</v>
      </c>
      <c r="D1504" s="1">
        <f>IF(Tabela1[[#This Row],[promien]]&lt;40000,1,0)</f>
        <v>1</v>
      </c>
      <c r="E1504" s="1">
        <f>IF(Tabela1[[#This Row],[promien]]=40000,1,0)</f>
        <v>0</v>
      </c>
      <c r="F1504" s="1">
        <v>3.1728723404255321</v>
      </c>
      <c r="G1504" s="1">
        <v>3.1279686835739007E-2</v>
      </c>
    </row>
    <row r="1505" spans="1:7">
      <c r="A1505">
        <v>353</v>
      </c>
      <c r="B1505">
        <v>212</v>
      </c>
      <c r="C1505" s="1">
        <f>(Tabela1[[#This Row],[x]]-H$3)*(Tabela1[[#This Row],[x]]-H$3) +(Tabela1[[#This Row],[y]]-H$4)*(Tabela1[[#This Row],[y]]-H$4)</f>
        <v>23553</v>
      </c>
      <c r="D1505" s="1">
        <f>IF(Tabela1[[#This Row],[promien]]&lt;40000,1,0)</f>
        <v>1</v>
      </c>
      <c r="E1505" s="1">
        <f>IF(Tabela1[[#This Row],[promien]]=40000,1,0)</f>
        <v>0</v>
      </c>
      <c r="F1505" s="1">
        <v>3.173421926910299</v>
      </c>
      <c r="G1505" s="1">
        <v>3.1829273320505891E-2</v>
      </c>
    </row>
    <row r="1506" spans="1:7">
      <c r="A1506">
        <v>27</v>
      </c>
      <c r="B1506">
        <v>291</v>
      </c>
      <c r="C1506" s="1">
        <f>(Tabela1[[#This Row],[x]]-H$3)*(Tabela1[[#This Row],[x]]-H$3) +(Tabela1[[#This Row],[y]]-H$4)*(Tabela1[[#This Row],[y]]-H$4)</f>
        <v>38210</v>
      </c>
      <c r="D1506" s="1">
        <f>IF(Tabela1[[#This Row],[promien]]&lt;40000,1,0)</f>
        <v>1</v>
      </c>
      <c r="E1506" s="1">
        <f>IF(Tabela1[[#This Row],[promien]]=40000,1,0)</f>
        <v>0</v>
      </c>
      <c r="F1506" s="1">
        <v>3.1739707835325364</v>
      </c>
      <c r="G1506" s="1">
        <v>3.237812994274325E-2</v>
      </c>
    </row>
    <row r="1507" spans="1:7">
      <c r="A1507">
        <v>329</v>
      </c>
      <c r="B1507">
        <v>118</v>
      </c>
      <c r="C1507" s="1">
        <f>(Tabela1[[#This Row],[x]]-H$3)*(Tabela1[[#This Row],[x]]-H$3) +(Tabela1[[#This Row],[y]]-H$4)*(Tabela1[[#This Row],[y]]-H$4)</f>
        <v>23365</v>
      </c>
      <c r="D1507" s="1">
        <f>IF(Tabela1[[#This Row],[promien]]&lt;40000,1,0)</f>
        <v>1</v>
      </c>
      <c r="E1507" s="1">
        <f>IF(Tabela1[[#This Row],[promien]]=40000,1,0)</f>
        <v>0</v>
      </c>
      <c r="F1507" s="1">
        <v>3.1745189117451891</v>
      </c>
      <c r="G1507" s="1">
        <v>3.292625815539596E-2</v>
      </c>
    </row>
    <row r="1508" spans="1:7">
      <c r="A1508">
        <v>119</v>
      </c>
      <c r="B1508">
        <v>117</v>
      </c>
      <c r="C1508" s="1">
        <f>(Tabela1[[#This Row],[x]]-H$3)*(Tabela1[[#This Row],[x]]-H$3) +(Tabela1[[#This Row],[y]]-H$4)*(Tabela1[[#This Row],[y]]-H$4)</f>
        <v>13450</v>
      </c>
      <c r="D1508" s="1">
        <f>IF(Tabela1[[#This Row],[promien]]&lt;40000,1,0)</f>
        <v>1</v>
      </c>
      <c r="E1508" s="1">
        <f>IF(Tabela1[[#This Row],[promien]]=40000,1,0)</f>
        <v>0</v>
      </c>
      <c r="F1508" s="1">
        <v>3.1750663129973473</v>
      </c>
      <c r="G1508" s="1">
        <v>3.3473659407554202E-2</v>
      </c>
    </row>
    <row r="1509" spans="1:7">
      <c r="A1509">
        <v>116</v>
      </c>
      <c r="B1509">
        <v>352</v>
      </c>
      <c r="C1509" s="1">
        <f>(Tabela1[[#This Row],[x]]-H$3)*(Tabela1[[#This Row],[x]]-H$3) +(Tabela1[[#This Row],[y]]-H$4)*(Tabela1[[#This Row],[y]]-H$4)</f>
        <v>30160</v>
      </c>
      <c r="D1509" s="1">
        <f>IF(Tabela1[[#This Row],[promien]]&lt;40000,1,0)</f>
        <v>1</v>
      </c>
      <c r="E1509" s="1">
        <f>IF(Tabela1[[#This Row],[promien]]=40000,1,0)</f>
        <v>0</v>
      </c>
      <c r="F1509" s="1">
        <v>3.1756129887342612</v>
      </c>
      <c r="G1509" s="1">
        <v>3.4020335144468117E-2</v>
      </c>
    </row>
    <row r="1510" spans="1:7">
      <c r="A1510">
        <v>87</v>
      </c>
      <c r="B1510">
        <v>349</v>
      </c>
      <c r="C1510" s="1">
        <f>(Tabela1[[#This Row],[x]]-H$3)*(Tabela1[[#This Row],[x]]-H$3) +(Tabela1[[#This Row],[y]]-H$4)*(Tabela1[[#This Row],[y]]-H$4)</f>
        <v>34970</v>
      </c>
      <c r="D1510" s="1">
        <f>IF(Tabela1[[#This Row],[promien]]&lt;40000,1,0)</f>
        <v>1</v>
      </c>
      <c r="E1510" s="1">
        <f>IF(Tabela1[[#This Row],[promien]]=40000,1,0)</f>
        <v>0</v>
      </c>
      <c r="F1510" s="1">
        <v>3.1761589403973511</v>
      </c>
      <c r="G1510" s="1">
        <v>3.4566286807558022E-2</v>
      </c>
    </row>
    <row r="1511" spans="1:7">
      <c r="A1511">
        <v>62</v>
      </c>
      <c r="B1511">
        <v>229</v>
      </c>
      <c r="C1511" s="1">
        <f>(Tabela1[[#This Row],[x]]-H$3)*(Tabela1[[#This Row],[x]]-H$3) +(Tabela1[[#This Row],[y]]-H$4)*(Tabela1[[#This Row],[y]]-H$4)</f>
        <v>19885</v>
      </c>
      <c r="D1511" s="1">
        <f>IF(Tabela1[[#This Row],[promien]]&lt;40000,1,0)</f>
        <v>1</v>
      </c>
      <c r="E1511" s="1">
        <f>IF(Tabela1[[#This Row],[promien]]=40000,1,0)</f>
        <v>0</v>
      </c>
      <c r="F1511" s="1">
        <v>3.1767041694242222</v>
      </c>
      <c r="G1511" s="1">
        <v>3.5111515834429063E-2</v>
      </c>
    </row>
    <row r="1512" spans="1:7">
      <c r="A1512">
        <v>57</v>
      </c>
      <c r="B1512">
        <v>162</v>
      </c>
      <c r="C1512" s="1">
        <f>(Tabela1[[#This Row],[x]]-H$3)*(Tabela1[[#This Row],[x]]-H$3) +(Tabela1[[#This Row],[y]]-H$4)*(Tabela1[[#This Row],[y]]-H$4)</f>
        <v>21893</v>
      </c>
      <c r="D1512" s="1">
        <f>IF(Tabela1[[#This Row],[promien]]&lt;40000,1,0)</f>
        <v>1</v>
      </c>
      <c r="E1512" s="1">
        <f>IF(Tabela1[[#This Row],[promien]]=40000,1,0)</f>
        <v>0</v>
      </c>
      <c r="F1512" s="1">
        <v>3.1772486772486772</v>
      </c>
      <c r="G1512" s="1">
        <v>3.5656023658884095E-2</v>
      </c>
    </row>
    <row r="1513" spans="1:7">
      <c r="A1513">
        <v>240</v>
      </c>
      <c r="B1513">
        <v>96</v>
      </c>
      <c r="C1513" s="1">
        <f>(Tabela1[[#This Row],[x]]-H$3)*(Tabela1[[#This Row],[x]]-H$3) +(Tabela1[[#This Row],[y]]-H$4)*(Tabela1[[#This Row],[y]]-H$4)</f>
        <v>12416</v>
      </c>
      <c r="D1513" s="1">
        <f>IF(Tabela1[[#This Row],[promien]]&lt;40000,1,0)</f>
        <v>1</v>
      </c>
      <c r="E1513" s="1">
        <f>IF(Tabela1[[#This Row],[promien]]=40000,1,0)</f>
        <v>0</v>
      </c>
      <c r="F1513" s="1">
        <v>3.177792465300727</v>
      </c>
      <c r="G1513" s="1">
        <v>3.6199811710933893E-2</v>
      </c>
    </row>
    <row r="1514" spans="1:7">
      <c r="A1514">
        <v>162</v>
      </c>
      <c r="B1514">
        <v>337</v>
      </c>
      <c r="C1514" s="1">
        <f>(Tabela1[[#This Row],[x]]-H$3)*(Tabela1[[#This Row],[x]]-H$3) +(Tabela1[[#This Row],[y]]-H$4)*(Tabela1[[#This Row],[y]]-H$4)</f>
        <v>20213</v>
      </c>
      <c r="D1514" s="1">
        <f>IF(Tabela1[[#This Row],[promien]]&lt;40000,1,0)</f>
        <v>1</v>
      </c>
      <c r="E1514" s="1">
        <f>IF(Tabela1[[#This Row],[promien]]=40000,1,0)</f>
        <v>0</v>
      </c>
      <c r="F1514" s="1">
        <v>3.1783355350066049</v>
      </c>
      <c r="G1514" s="1">
        <v>3.6742881416811812E-2</v>
      </c>
    </row>
    <row r="1515" spans="1:7">
      <c r="A1515">
        <v>226</v>
      </c>
      <c r="B1515">
        <v>204</v>
      </c>
      <c r="C1515" s="1">
        <f>(Tabela1[[#This Row],[x]]-H$3)*(Tabela1[[#This Row],[x]]-H$3) +(Tabela1[[#This Row],[y]]-H$4)*(Tabela1[[#This Row],[y]]-H$4)</f>
        <v>692</v>
      </c>
      <c r="D1515" s="1">
        <f>IF(Tabela1[[#This Row],[promien]]&lt;40000,1,0)</f>
        <v>1</v>
      </c>
      <c r="E1515" s="1">
        <f>IF(Tabela1[[#This Row],[promien]]=40000,1,0)</f>
        <v>0</v>
      </c>
      <c r="F1515" s="1">
        <v>3.1788778877887789</v>
      </c>
      <c r="G1515" s="1">
        <v>3.7285234198985773E-2</v>
      </c>
    </row>
    <row r="1516" spans="1:7">
      <c r="A1516">
        <v>339</v>
      </c>
      <c r="B1516">
        <v>28</v>
      </c>
      <c r="C1516" s="1">
        <f>(Tabela1[[#This Row],[x]]-H$3)*(Tabela1[[#This Row],[x]]-H$3) +(Tabela1[[#This Row],[y]]-H$4)*(Tabela1[[#This Row],[y]]-H$4)</f>
        <v>48905</v>
      </c>
      <c r="D1516" s="1">
        <f>IF(Tabela1[[#This Row],[promien]]&lt;40000,1,0)</f>
        <v>0</v>
      </c>
      <c r="E1516" s="1">
        <f>IF(Tabela1[[#This Row],[promien]]=40000,1,0)</f>
        <v>0</v>
      </c>
      <c r="F1516" s="1">
        <v>3.1767810026385224</v>
      </c>
      <c r="G1516" s="1">
        <v>3.5188349048729251E-2</v>
      </c>
    </row>
    <row r="1517" spans="1:7">
      <c r="A1517">
        <v>352</v>
      </c>
      <c r="B1517">
        <v>39</v>
      </c>
      <c r="C1517" s="1">
        <f>(Tabela1[[#This Row],[x]]-H$3)*(Tabela1[[#This Row],[x]]-H$3) +(Tabela1[[#This Row],[y]]-H$4)*(Tabela1[[#This Row],[y]]-H$4)</f>
        <v>49025</v>
      </c>
      <c r="D1517" s="1">
        <f>IF(Tabela1[[#This Row],[promien]]&lt;40000,1,0)</f>
        <v>0</v>
      </c>
      <c r="E1517" s="1">
        <f>IF(Tabela1[[#This Row],[promien]]=40000,1,0)</f>
        <v>0</v>
      </c>
      <c r="F1517" s="1">
        <v>3.1746868820039551</v>
      </c>
      <c r="G1517" s="1">
        <v>3.3094228414161986E-2</v>
      </c>
    </row>
    <row r="1518" spans="1:7">
      <c r="A1518">
        <v>107</v>
      </c>
      <c r="B1518">
        <v>219</v>
      </c>
      <c r="C1518" s="1">
        <f>(Tabela1[[#This Row],[x]]-H$3)*(Tabela1[[#This Row],[x]]-H$3) +(Tabela1[[#This Row],[y]]-H$4)*(Tabela1[[#This Row],[y]]-H$4)</f>
        <v>9010</v>
      </c>
      <c r="D1518" s="1">
        <f>IF(Tabela1[[#This Row],[promien]]&lt;40000,1,0)</f>
        <v>1</v>
      </c>
      <c r="E1518" s="1">
        <f>IF(Tabela1[[#This Row],[promien]]=40000,1,0)</f>
        <v>0</v>
      </c>
      <c r="F1518" s="1">
        <v>3.1752305665349145</v>
      </c>
      <c r="G1518" s="1">
        <v>3.3637912945121418E-2</v>
      </c>
    </row>
    <row r="1519" spans="1:7">
      <c r="A1519">
        <v>256</v>
      </c>
      <c r="B1519">
        <v>74</v>
      </c>
      <c r="C1519" s="1">
        <f>(Tabela1[[#This Row],[x]]-H$3)*(Tabela1[[#This Row],[x]]-H$3) +(Tabela1[[#This Row],[y]]-H$4)*(Tabela1[[#This Row],[y]]-H$4)</f>
        <v>19012</v>
      </c>
      <c r="D1519" s="1">
        <f>IF(Tabela1[[#This Row],[promien]]&lt;40000,1,0)</f>
        <v>1</v>
      </c>
      <c r="E1519" s="1">
        <f>IF(Tabela1[[#This Row],[promien]]=40000,1,0)</f>
        <v>0</v>
      </c>
      <c r="F1519" s="1">
        <v>3.1757735352205398</v>
      </c>
      <c r="G1519" s="1">
        <v>3.4180881630746729E-2</v>
      </c>
    </row>
    <row r="1520" spans="1:7">
      <c r="A1520">
        <v>368</v>
      </c>
      <c r="B1520">
        <v>92</v>
      </c>
      <c r="C1520" s="1">
        <f>(Tabela1[[#This Row],[x]]-H$3)*(Tabela1[[#This Row],[x]]-H$3) +(Tabela1[[#This Row],[y]]-H$4)*(Tabela1[[#This Row],[y]]-H$4)</f>
        <v>39888</v>
      </c>
      <c r="D1520" s="1">
        <f>IF(Tabela1[[#This Row],[promien]]&lt;40000,1,0)</f>
        <v>1</v>
      </c>
      <c r="E1520" s="1">
        <f>IF(Tabela1[[#This Row],[promien]]=40000,1,0)</f>
        <v>0</v>
      </c>
      <c r="F1520" s="1">
        <v>3.1763157894736844</v>
      </c>
      <c r="G1520" s="1">
        <v>3.472313588389131E-2</v>
      </c>
    </row>
    <row r="1521" spans="1:7">
      <c r="A1521">
        <v>30</v>
      </c>
      <c r="B1521">
        <v>71</v>
      </c>
      <c r="C1521" s="1">
        <f>(Tabela1[[#This Row],[x]]-H$3)*(Tabela1[[#This Row],[x]]-H$3) +(Tabela1[[#This Row],[y]]-H$4)*(Tabela1[[#This Row],[y]]-H$4)</f>
        <v>45541</v>
      </c>
      <c r="D1521" s="1">
        <f>IF(Tabela1[[#This Row],[promien]]&lt;40000,1,0)</f>
        <v>0</v>
      </c>
      <c r="E1521" s="1">
        <f>IF(Tabela1[[#This Row],[promien]]=40000,1,0)</f>
        <v>0</v>
      </c>
      <c r="F1521" s="1">
        <v>3.1742274819197895</v>
      </c>
      <c r="G1521" s="1">
        <v>3.2634828329996424E-2</v>
      </c>
    </row>
    <row r="1522" spans="1:7">
      <c r="A1522">
        <v>258</v>
      </c>
      <c r="B1522">
        <v>117</v>
      </c>
      <c r="C1522" s="1">
        <f>(Tabela1[[#This Row],[x]]-H$3)*(Tabela1[[#This Row],[x]]-H$3) +(Tabela1[[#This Row],[y]]-H$4)*(Tabela1[[#This Row],[y]]-H$4)</f>
        <v>10253</v>
      </c>
      <c r="D1522" s="1">
        <f>IF(Tabela1[[#This Row],[promien]]&lt;40000,1,0)</f>
        <v>1</v>
      </c>
      <c r="E1522" s="1">
        <f>IF(Tabela1[[#This Row],[promien]]=40000,1,0)</f>
        <v>0</v>
      </c>
      <c r="F1522" s="1">
        <v>3.1747700394218135</v>
      </c>
      <c r="G1522" s="1">
        <v>3.3177385832020345E-2</v>
      </c>
    </row>
    <row r="1523" spans="1:7">
      <c r="A1523">
        <v>137</v>
      </c>
      <c r="B1523">
        <v>102</v>
      </c>
      <c r="C1523" s="1">
        <f>(Tabela1[[#This Row],[x]]-H$3)*(Tabela1[[#This Row],[x]]-H$3) +(Tabela1[[#This Row],[y]]-H$4)*(Tabela1[[#This Row],[y]]-H$4)</f>
        <v>13573</v>
      </c>
      <c r="D1523" s="1">
        <f>IF(Tabela1[[#This Row],[promien]]&lt;40000,1,0)</f>
        <v>1</v>
      </c>
      <c r="E1523" s="1">
        <f>IF(Tabela1[[#This Row],[promien]]=40000,1,0)</f>
        <v>0</v>
      </c>
      <c r="F1523" s="1">
        <v>3.1753118844386079</v>
      </c>
      <c r="G1523" s="1">
        <v>3.3719230848814785E-2</v>
      </c>
    </row>
    <row r="1524" spans="1:7">
      <c r="A1524">
        <v>47</v>
      </c>
      <c r="B1524">
        <v>337</v>
      </c>
      <c r="C1524" s="1">
        <f>(Tabela1[[#This Row],[x]]-H$3)*(Tabela1[[#This Row],[x]]-H$3) +(Tabela1[[#This Row],[y]]-H$4)*(Tabela1[[#This Row],[y]]-H$4)</f>
        <v>42178</v>
      </c>
      <c r="D1524" s="1">
        <f>IF(Tabela1[[#This Row],[promien]]&lt;40000,1,0)</f>
        <v>0</v>
      </c>
      <c r="E1524" s="1">
        <f>IF(Tabela1[[#This Row],[promien]]=40000,1,0)</f>
        <v>0</v>
      </c>
      <c r="F1524" s="1">
        <v>3.173228346456693</v>
      </c>
      <c r="G1524" s="1">
        <v>3.1635692866899934E-2</v>
      </c>
    </row>
    <row r="1525" spans="1:7">
      <c r="A1525">
        <v>38</v>
      </c>
      <c r="B1525">
        <v>377</v>
      </c>
      <c r="C1525" s="1">
        <f>(Tabela1[[#This Row],[x]]-H$3)*(Tabela1[[#This Row],[x]]-H$3) +(Tabela1[[#This Row],[y]]-H$4)*(Tabela1[[#This Row],[y]]-H$4)</f>
        <v>57573</v>
      </c>
      <c r="D1525" s="1">
        <f>IF(Tabela1[[#This Row],[promien]]&lt;40000,1,0)</f>
        <v>0</v>
      </c>
      <c r="E1525" s="1">
        <f>IF(Tabela1[[#This Row],[promien]]=40000,1,0)</f>
        <v>0</v>
      </c>
      <c r="F1525" s="1">
        <v>3.1711475409836067</v>
      </c>
      <c r="G1525" s="1">
        <v>2.9554887393813623E-2</v>
      </c>
    </row>
    <row r="1526" spans="1:7">
      <c r="A1526">
        <v>113</v>
      </c>
      <c r="B1526">
        <v>120</v>
      </c>
      <c r="C1526" s="1">
        <f>(Tabela1[[#This Row],[x]]-H$3)*(Tabela1[[#This Row],[x]]-H$3) +(Tabela1[[#This Row],[y]]-H$4)*(Tabela1[[#This Row],[y]]-H$4)</f>
        <v>13969</v>
      </c>
      <c r="D1526" s="1">
        <f>IF(Tabela1[[#This Row],[promien]]&lt;40000,1,0)</f>
        <v>1</v>
      </c>
      <c r="E1526" s="1">
        <f>IF(Tabela1[[#This Row],[promien]]=40000,1,0)</f>
        <v>0</v>
      </c>
      <c r="F1526" s="1">
        <v>3.1716906946264745</v>
      </c>
      <c r="G1526" s="1">
        <v>3.0098041036681344E-2</v>
      </c>
    </row>
    <row r="1527" spans="1:7">
      <c r="A1527">
        <v>28</v>
      </c>
      <c r="B1527">
        <v>319</v>
      </c>
      <c r="C1527" s="1">
        <f>(Tabela1[[#This Row],[x]]-H$3)*(Tabela1[[#This Row],[x]]-H$3) +(Tabela1[[#This Row],[y]]-H$4)*(Tabela1[[#This Row],[y]]-H$4)</f>
        <v>43745</v>
      </c>
      <c r="D1527" s="1">
        <f>IF(Tabela1[[#This Row],[promien]]&lt;40000,1,0)</f>
        <v>0</v>
      </c>
      <c r="E1527" s="1">
        <f>IF(Tabela1[[#This Row],[promien]]=40000,1,0)</f>
        <v>0</v>
      </c>
      <c r="F1527" s="1">
        <v>3.1696136214800261</v>
      </c>
      <c r="G1527" s="1">
        <v>2.8020967890233006E-2</v>
      </c>
    </row>
    <row r="1528" spans="1:7">
      <c r="A1528">
        <v>75</v>
      </c>
      <c r="B1528">
        <v>101</v>
      </c>
      <c r="C1528" s="1">
        <f>(Tabela1[[#This Row],[x]]-H$3)*(Tabela1[[#This Row],[x]]-H$3) +(Tabela1[[#This Row],[y]]-H$4)*(Tabela1[[#This Row],[y]]-H$4)</f>
        <v>25426</v>
      </c>
      <c r="D1528" s="1">
        <f>IF(Tabela1[[#This Row],[promien]]&lt;40000,1,0)</f>
        <v>1</v>
      </c>
      <c r="E1528" s="1">
        <f>IF(Tabela1[[#This Row],[promien]]=40000,1,0)</f>
        <v>0</v>
      </c>
      <c r="F1528" s="1">
        <v>3.170157068062827</v>
      </c>
      <c r="G1528" s="1">
        <v>2.8564414473033928E-2</v>
      </c>
    </row>
    <row r="1529" spans="1:7">
      <c r="A1529">
        <v>22</v>
      </c>
      <c r="B1529">
        <v>49</v>
      </c>
      <c r="C1529" s="1">
        <f>(Tabela1[[#This Row],[x]]-H$3)*(Tabela1[[#This Row],[x]]-H$3) +(Tabela1[[#This Row],[y]]-H$4)*(Tabela1[[#This Row],[y]]-H$4)</f>
        <v>54485</v>
      </c>
      <c r="D1529" s="1">
        <f>IF(Tabela1[[#This Row],[promien]]&lt;40000,1,0)</f>
        <v>0</v>
      </c>
      <c r="E1529" s="1">
        <f>IF(Tabela1[[#This Row],[promien]]=40000,1,0)</f>
        <v>0</v>
      </c>
      <c r="F1529" s="1">
        <v>3.1680837148463046</v>
      </c>
      <c r="G1529" s="1">
        <v>2.6491061256511461E-2</v>
      </c>
    </row>
    <row r="1530" spans="1:7">
      <c r="A1530">
        <v>211</v>
      </c>
      <c r="B1530">
        <v>253</v>
      </c>
      <c r="C1530" s="1">
        <f>(Tabela1[[#This Row],[x]]-H$3)*(Tabela1[[#This Row],[x]]-H$3) +(Tabela1[[#This Row],[y]]-H$4)*(Tabela1[[#This Row],[y]]-H$4)</f>
        <v>2930</v>
      </c>
      <c r="D1530" s="1">
        <f>IF(Tabela1[[#This Row],[promien]]&lt;40000,1,0)</f>
        <v>1</v>
      </c>
      <c r="E1530" s="1">
        <f>IF(Tabela1[[#This Row],[promien]]=40000,1,0)</f>
        <v>0</v>
      </c>
      <c r="F1530" s="1">
        <v>3.168627450980392</v>
      </c>
      <c r="G1530" s="1">
        <v>2.7034797390598886E-2</v>
      </c>
    </row>
    <row r="1531" spans="1:7">
      <c r="A1531">
        <v>275</v>
      </c>
      <c r="B1531">
        <v>87</v>
      </c>
      <c r="C1531" s="1">
        <f>(Tabela1[[#This Row],[x]]-H$3)*(Tabela1[[#This Row],[x]]-H$3) +(Tabela1[[#This Row],[y]]-H$4)*(Tabela1[[#This Row],[y]]-H$4)</f>
        <v>18394</v>
      </c>
      <c r="D1531" s="1">
        <f>IF(Tabela1[[#This Row],[promien]]&lt;40000,1,0)</f>
        <v>1</v>
      </c>
      <c r="E1531" s="1">
        <f>IF(Tabela1[[#This Row],[promien]]=40000,1,0)</f>
        <v>0</v>
      </c>
      <c r="F1531" s="1">
        <v>3.1691704768125408</v>
      </c>
      <c r="G1531" s="1">
        <v>2.757782322274771E-2</v>
      </c>
    </row>
    <row r="1532" spans="1:7">
      <c r="A1532">
        <v>267</v>
      </c>
      <c r="B1532">
        <v>240</v>
      </c>
      <c r="C1532" s="1">
        <f>(Tabela1[[#This Row],[x]]-H$3)*(Tabela1[[#This Row],[x]]-H$3) +(Tabela1[[#This Row],[y]]-H$4)*(Tabela1[[#This Row],[y]]-H$4)</f>
        <v>6089</v>
      </c>
      <c r="D1532" s="1">
        <f>IF(Tabela1[[#This Row],[promien]]&lt;40000,1,0)</f>
        <v>1</v>
      </c>
      <c r="E1532" s="1">
        <f>IF(Tabela1[[#This Row],[promien]]=40000,1,0)</f>
        <v>0</v>
      </c>
      <c r="F1532" s="1">
        <v>3.1697127937336815</v>
      </c>
      <c r="G1532" s="1">
        <v>2.8120140143888417E-2</v>
      </c>
    </row>
    <row r="1533" spans="1:7">
      <c r="A1533">
        <v>381</v>
      </c>
      <c r="B1533">
        <v>186</v>
      </c>
      <c r="C1533" s="1">
        <f>(Tabela1[[#This Row],[x]]-H$3)*(Tabela1[[#This Row],[x]]-H$3) +(Tabela1[[#This Row],[y]]-H$4)*(Tabela1[[#This Row],[y]]-H$4)</f>
        <v>32957</v>
      </c>
      <c r="D1533" s="1">
        <f>IF(Tabela1[[#This Row],[promien]]&lt;40000,1,0)</f>
        <v>1</v>
      </c>
      <c r="E1533" s="1">
        <f>IF(Tabela1[[#This Row],[promien]]=40000,1,0)</f>
        <v>0</v>
      </c>
      <c r="F1533" s="1">
        <v>3.1702544031311155</v>
      </c>
      <c r="G1533" s="1">
        <v>2.866174954132239E-2</v>
      </c>
    </row>
    <row r="1534" spans="1:7">
      <c r="A1534">
        <v>18</v>
      </c>
      <c r="B1534">
        <v>290</v>
      </c>
      <c r="C1534" s="1">
        <f>(Tabela1[[#This Row],[x]]-H$3)*(Tabela1[[#This Row],[x]]-H$3) +(Tabela1[[#This Row],[y]]-H$4)*(Tabela1[[#This Row],[y]]-H$4)</f>
        <v>41224</v>
      </c>
      <c r="D1534" s="1">
        <f>IF(Tabela1[[#This Row],[promien]]&lt;40000,1,0)</f>
        <v>0</v>
      </c>
      <c r="E1534" s="1">
        <f>IF(Tabela1[[#This Row],[promien]]=40000,1,0)</f>
        <v>0</v>
      </c>
      <c r="F1534" s="1">
        <v>3.168187744458931</v>
      </c>
      <c r="G1534" s="1">
        <v>2.6595090869137916E-2</v>
      </c>
    </row>
    <row r="1535" spans="1:7">
      <c r="A1535">
        <v>204</v>
      </c>
      <c r="B1535">
        <v>334</v>
      </c>
      <c r="C1535" s="1">
        <f>(Tabela1[[#This Row],[x]]-H$3)*(Tabela1[[#This Row],[x]]-H$3) +(Tabela1[[#This Row],[y]]-H$4)*(Tabela1[[#This Row],[y]]-H$4)</f>
        <v>17972</v>
      </c>
      <c r="D1535" s="1">
        <f>IF(Tabela1[[#This Row],[promien]]&lt;40000,1,0)</f>
        <v>1</v>
      </c>
      <c r="E1535" s="1">
        <f>IF(Tabela1[[#This Row],[promien]]=40000,1,0)</f>
        <v>0</v>
      </c>
      <c r="F1535" s="1">
        <v>3.1687296416938109</v>
      </c>
      <c r="G1535" s="1">
        <v>2.7136988104017767E-2</v>
      </c>
    </row>
    <row r="1536" spans="1:7">
      <c r="A1536">
        <v>384</v>
      </c>
      <c r="B1536">
        <v>73</v>
      </c>
      <c r="C1536" s="1">
        <f>(Tabela1[[#This Row],[x]]-H$3)*(Tabela1[[#This Row],[x]]-H$3) +(Tabela1[[#This Row],[y]]-H$4)*(Tabela1[[#This Row],[y]]-H$4)</f>
        <v>49985</v>
      </c>
      <c r="D1536" s="1">
        <f>IF(Tabela1[[#This Row],[promien]]&lt;40000,1,0)</f>
        <v>0</v>
      </c>
      <c r="E1536" s="1">
        <f>IF(Tabela1[[#This Row],[promien]]=40000,1,0)</f>
        <v>0</v>
      </c>
      <c r="F1536" s="1">
        <v>3.1666666666666665</v>
      </c>
      <c r="G1536" s="1">
        <v>2.5074013076873403E-2</v>
      </c>
    </row>
    <row r="1537" spans="1:7">
      <c r="A1537">
        <v>375</v>
      </c>
      <c r="B1537">
        <v>116</v>
      </c>
      <c r="C1537" s="1">
        <f>(Tabela1[[#This Row],[x]]-H$3)*(Tabela1[[#This Row],[x]]-H$3) +(Tabela1[[#This Row],[y]]-H$4)*(Tabela1[[#This Row],[y]]-H$4)</f>
        <v>37681</v>
      </c>
      <c r="D1537" s="1">
        <f>IF(Tabela1[[#This Row],[promien]]&lt;40000,1,0)</f>
        <v>1</v>
      </c>
      <c r="E1537" s="1">
        <f>IF(Tabela1[[#This Row],[promien]]=40000,1,0)</f>
        <v>0</v>
      </c>
      <c r="F1537" s="1">
        <v>3.1672088484059855</v>
      </c>
      <c r="G1537" s="1">
        <v>2.5616194816192372E-2</v>
      </c>
    </row>
    <row r="1538" spans="1:7">
      <c r="A1538">
        <v>270</v>
      </c>
      <c r="B1538">
        <v>164</v>
      </c>
      <c r="C1538" s="1">
        <f>(Tabela1[[#This Row],[x]]-H$3)*(Tabela1[[#This Row],[x]]-H$3) +(Tabela1[[#This Row],[y]]-H$4)*(Tabela1[[#This Row],[y]]-H$4)</f>
        <v>6196</v>
      </c>
      <c r="D1538" s="1">
        <f>IF(Tabela1[[#This Row],[promien]]&lt;40000,1,0)</f>
        <v>1</v>
      </c>
      <c r="E1538" s="1">
        <f>IF(Tabela1[[#This Row],[promien]]=40000,1,0)</f>
        <v>0</v>
      </c>
      <c r="F1538" s="1">
        <v>3.1677503250975292</v>
      </c>
      <c r="G1538" s="1">
        <v>2.6157671507736069E-2</v>
      </c>
    </row>
    <row r="1539" spans="1:7">
      <c r="A1539">
        <v>44</v>
      </c>
      <c r="B1539">
        <v>252</v>
      </c>
      <c r="C1539" s="1">
        <f>(Tabela1[[#This Row],[x]]-H$3)*(Tabela1[[#This Row],[x]]-H$3) +(Tabela1[[#This Row],[y]]-H$4)*(Tabela1[[#This Row],[y]]-H$4)</f>
        <v>27040</v>
      </c>
      <c r="D1539" s="1">
        <f>IF(Tabela1[[#This Row],[promien]]&lt;40000,1,0)</f>
        <v>1</v>
      </c>
      <c r="E1539" s="1">
        <f>IF(Tabela1[[#This Row],[promien]]=40000,1,0)</f>
        <v>0</v>
      </c>
      <c r="F1539" s="1">
        <v>3.1682910981156596</v>
      </c>
      <c r="G1539" s="1">
        <v>2.6698444525866449E-2</v>
      </c>
    </row>
    <row r="1540" spans="1:7">
      <c r="A1540">
        <v>25</v>
      </c>
      <c r="B1540">
        <v>353</v>
      </c>
      <c r="C1540" s="1">
        <f>(Tabela1[[#This Row],[x]]-H$3)*(Tabela1[[#This Row],[x]]-H$3) +(Tabela1[[#This Row],[y]]-H$4)*(Tabela1[[#This Row],[y]]-H$4)</f>
        <v>54034</v>
      </c>
      <c r="D1540" s="1">
        <f>IF(Tabela1[[#This Row],[promien]]&lt;40000,1,0)</f>
        <v>0</v>
      </c>
      <c r="E1540" s="1">
        <f>IF(Tabela1[[#This Row],[promien]]=40000,1,0)</f>
        <v>0</v>
      </c>
      <c r="F1540" s="1">
        <v>3.1662337662337663</v>
      </c>
      <c r="G1540" s="1">
        <v>2.4641112643973173E-2</v>
      </c>
    </row>
    <row r="1541" spans="1:7">
      <c r="A1541">
        <v>91</v>
      </c>
      <c r="B1541">
        <v>223</v>
      </c>
      <c r="C1541" s="1">
        <f>(Tabela1[[#This Row],[x]]-H$3)*(Tabela1[[#This Row],[x]]-H$3) +(Tabela1[[#This Row],[y]]-H$4)*(Tabela1[[#This Row],[y]]-H$4)</f>
        <v>12410</v>
      </c>
      <c r="D1541" s="1">
        <f>IF(Tabela1[[#This Row],[promien]]&lt;40000,1,0)</f>
        <v>1</v>
      </c>
      <c r="E1541" s="1">
        <f>IF(Tabela1[[#This Row],[promien]]=40000,1,0)</f>
        <v>0</v>
      </c>
      <c r="F1541" s="1">
        <v>3.1667748215444518</v>
      </c>
      <c r="G1541" s="1">
        <v>2.5182167954658663E-2</v>
      </c>
    </row>
    <row r="1542" spans="1:7">
      <c r="A1542">
        <v>118</v>
      </c>
      <c r="B1542">
        <v>348</v>
      </c>
      <c r="C1542" s="1">
        <f>(Tabela1[[#This Row],[x]]-H$3)*(Tabela1[[#This Row],[x]]-H$3) +(Tabela1[[#This Row],[y]]-H$4)*(Tabela1[[#This Row],[y]]-H$4)</f>
        <v>28628</v>
      </c>
      <c r="D1542" s="1">
        <f>IF(Tabela1[[#This Row],[promien]]&lt;40000,1,0)</f>
        <v>1</v>
      </c>
      <c r="E1542" s="1">
        <f>IF(Tabela1[[#This Row],[promien]]=40000,1,0)</f>
        <v>0</v>
      </c>
      <c r="F1542" s="1">
        <v>3.1673151750972761</v>
      </c>
      <c r="G1542" s="1">
        <v>2.5722521507482998E-2</v>
      </c>
    </row>
    <row r="1543" spans="1:7">
      <c r="A1543">
        <v>243</v>
      </c>
      <c r="B1543">
        <v>241</v>
      </c>
      <c r="C1543" s="1">
        <f>(Tabela1[[#This Row],[x]]-H$3)*(Tabela1[[#This Row],[x]]-H$3) +(Tabela1[[#This Row],[y]]-H$4)*(Tabela1[[#This Row],[y]]-H$4)</f>
        <v>3530</v>
      </c>
      <c r="D1543" s="1">
        <f>IF(Tabela1[[#This Row],[promien]]&lt;40000,1,0)</f>
        <v>1</v>
      </c>
      <c r="E1543" s="1">
        <f>IF(Tabela1[[#This Row],[promien]]=40000,1,0)</f>
        <v>0</v>
      </c>
      <c r="F1543" s="1">
        <v>3.167854828256643</v>
      </c>
      <c r="G1543" s="1">
        <v>2.626217466684988E-2</v>
      </c>
    </row>
    <row r="1544" spans="1:7">
      <c r="A1544">
        <v>183</v>
      </c>
      <c r="B1544">
        <v>191</v>
      </c>
      <c r="C1544" s="1">
        <f>(Tabela1[[#This Row],[x]]-H$3)*(Tabela1[[#This Row],[x]]-H$3) +(Tabela1[[#This Row],[y]]-H$4)*(Tabela1[[#This Row],[y]]-H$4)</f>
        <v>370</v>
      </c>
      <c r="D1544" s="1">
        <f>IF(Tabela1[[#This Row],[promien]]&lt;40000,1,0)</f>
        <v>1</v>
      </c>
      <c r="E1544" s="1">
        <f>IF(Tabela1[[#This Row],[promien]]=40000,1,0)</f>
        <v>0</v>
      </c>
      <c r="F1544" s="1">
        <v>3.1683937823834198</v>
      </c>
      <c r="G1544" s="1">
        <v>2.6801128793626727E-2</v>
      </c>
    </row>
    <row r="1545" spans="1:7">
      <c r="A1545">
        <v>169</v>
      </c>
      <c r="B1545">
        <v>228</v>
      </c>
      <c r="C1545" s="1">
        <f>(Tabela1[[#This Row],[x]]-H$3)*(Tabela1[[#This Row],[x]]-H$3) +(Tabela1[[#This Row],[y]]-H$4)*(Tabela1[[#This Row],[y]]-H$4)</f>
        <v>1745</v>
      </c>
      <c r="D1545" s="1">
        <f>IF(Tabela1[[#This Row],[promien]]&lt;40000,1,0)</f>
        <v>1</v>
      </c>
      <c r="E1545" s="1">
        <f>IF(Tabela1[[#This Row],[promien]]=40000,1,0)</f>
        <v>0</v>
      </c>
      <c r="F1545" s="1">
        <v>3.1689320388349516</v>
      </c>
      <c r="G1545" s="1">
        <v>2.7339385245158443E-2</v>
      </c>
    </row>
    <row r="1546" spans="1:7">
      <c r="A1546">
        <v>62</v>
      </c>
      <c r="B1546">
        <v>96</v>
      </c>
      <c r="C1546" s="1">
        <f>(Tabela1[[#This Row],[x]]-H$3)*(Tabela1[[#This Row],[x]]-H$3) +(Tabela1[[#This Row],[y]]-H$4)*(Tabela1[[#This Row],[y]]-H$4)</f>
        <v>29860</v>
      </c>
      <c r="D1546" s="1">
        <f>IF(Tabela1[[#This Row],[promien]]&lt;40000,1,0)</f>
        <v>1</v>
      </c>
      <c r="E1546" s="1">
        <f>IF(Tabela1[[#This Row],[promien]]=40000,1,0)</f>
        <v>0</v>
      </c>
      <c r="F1546" s="1">
        <v>3.1694695989650712</v>
      </c>
      <c r="G1546" s="1">
        <v>2.7876945375278073E-2</v>
      </c>
    </row>
    <row r="1547" spans="1:7">
      <c r="A1547">
        <v>109</v>
      </c>
      <c r="B1547">
        <v>28</v>
      </c>
      <c r="C1547" s="1">
        <f>(Tabela1[[#This Row],[x]]-H$3)*(Tabela1[[#This Row],[x]]-H$3) +(Tabela1[[#This Row],[y]]-H$4)*(Tabela1[[#This Row],[y]]-H$4)</f>
        <v>37865</v>
      </c>
      <c r="D1547" s="1">
        <f>IF(Tabela1[[#This Row],[promien]]&lt;40000,1,0)</f>
        <v>1</v>
      </c>
      <c r="E1547" s="1">
        <f>IF(Tabela1[[#This Row],[promien]]=40000,1,0)</f>
        <v>0</v>
      </c>
      <c r="F1547" s="1">
        <v>3.170006464124111</v>
      </c>
      <c r="G1547" s="1">
        <v>2.8413810534317907E-2</v>
      </c>
    </row>
    <row r="1548" spans="1:7">
      <c r="A1548">
        <v>251</v>
      </c>
      <c r="B1548">
        <v>36</v>
      </c>
      <c r="C1548" s="1">
        <f>(Tabela1[[#This Row],[x]]-H$3)*(Tabela1[[#This Row],[x]]-H$3) +(Tabela1[[#This Row],[y]]-H$4)*(Tabela1[[#This Row],[y]]-H$4)</f>
        <v>29497</v>
      </c>
      <c r="D1548" s="1">
        <f>IF(Tabela1[[#This Row],[promien]]&lt;40000,1,0)</f>
        <v>1</v>
      </c>
      <c r="E1548" s="1">
        <f>IF(Tabela1[[#This Row],[promien]]=40000,1,0)</f>
        <v>0</v>
      </c>
      <c r="F1548" s="1">
        <v>3.1705426356589146</v>
      </c>
      <c r="G1548" s="1">
        <v>2.8949982069121472E-2</v>
      </c>
    </row>
    <row r="1549" spans="1:7">
      <c r="A1549">
        <v>50</v>
      </c>
      <c r="B1549">
        <v>345</v>
      </c>
      <c r="C1549" s="1">
        <f>(Tabela1[[#This Row],[x]]-H$3)*(Tabela1[[#This Row],[x]]-H$3) +(Tabela1[[#This Row],[y]]-H$4)*(Tabela1[[#This Row],[y]]-H$4)</f>
        <v>43525</v>
      </c>
      <c r="D1549" s="1">
        <f>IF(Tabela1[[#This Row],[promien]]&lt;40000,1,0)</f>
        <v>0</v>
      </c>
      <c r="E1549" s="1">
        <f>IF(Tabela1[[#This Row],[promien]]=40000,1,0)</f>
        <v>0</v>
      </c>
      <c r="F1549" s="1">
        <v>3.1684958037443511</v>
      </c>
      <c r="G1549" s="1">
        <v>2.690315015455802E-2</v>
      </c>
    </row>
    <row r="1550" spans="1:7">
      <c r="A1550">
        <v>380</v>
      </c>
      <c r="B1550">
        <v>153</v>
      </c>
      <c r="C1550" s="1">
        <f>(Tabela1[[#This Row],[x]]-H$3)*(Tabela1[[#This Row],[x]]-H$3) +(Tabela1[[#This Row],[y]]-H$4)*(Tabela1[[#This Row],[y]]-H$4)</f>
        <v>34609</v>
      </c>
      <c r="D1550" s="1">
        <f>IF(Tabela1[[#This Row],[promien]]&lt;40000,1,0)</f>
        <v>1</v>
      </c>
      <c r="E1550" s="1">
        <f>IF(Tabela1[[#This Row],[promien]]=40000,1,0)</f>
        <v>0</v>
      </c>
      <c r="F1550" s="1">
        <v>3.169032258064516</v>
      </c>
      <c r="G1550" s="1">
        <v>2.7439604474722934E-2</v>
      </c>
    </row>
    <row r="1551" spans="1:7">
      <c r="A1551">
        <v>315</v>
      </c>
      <c r="B1551">
        <v>139</v>
      </c>
      <c r="C1551" s="1">
        <f>(Tabela1[[#This Row],[x]]-H$3)*(Tabela1[[#This Row],[x]]-H$3) +(Tabela1[[#This Row],[y]]-H$4)*(Tabela1[[#This Row],[y]]-H$4)</f>
        <v>16946</v>
      </c>
      <c r="D1551" s="1">
        <f>IF(Tabela1[[#This Row],[promien]]&lt;40000,1,0)</f>
        <v>1</v>
      </c>
      <c r="E1551" s="1">
        <f>IF(Tabela1[[#This Row],[promien]]=40000,1,0)</f>
        <v>0</v>
      </c>
      <c r="F1551" s="1">
        <v>3.1695680206318504</v>
      </c>
      <c r="G1551" s="1">
        <v>2.7975367042057275E-2</v>
      </c>
    </row>
    <row r="1552" spans="1:7">
      <c r="A1552">
        <v>31</v>
      </c>
      <c r="B1552">
        <v>232</v>
      </c>
      <c r="C1552" s="1">
        <f>(Tabela1[[#This Row],[x]]-H$3)*(Tabela1[[#This Row],[x]]-H$3) +(Tabela1[[#This Row],[y]]-H$4)*(Tabela1[[#This Row],[y]]-H$4)</f>
        <v>29585</v>
      </c>
      <c r="D1552" s="1">
        <f>IF(Tabela1[[#This Row],[promien]]&lt;40000,1,0)</f>
        <v>1</v>
      </c>
      <c r="E1552" s="1">
        <f>IF(Tabela1[[#This Row],[promien]]=40000,1,0)</f>
        <v>0</v>
      </c>
      <c r="F1552" s="1">
        <v>3.170103092783505</v>
      </c>
      <c r="G1552" s="1">
        <v>2.8510439193711878E-2</v>
      </c>
    </row>
    <row r="1553" spans="1:7">
      <c r="A1553">
        <v>349</v>
      </c>
      <c r="B1553">
        <v>285</v>
      </c>
      <c r="C1553" s="1">
        <f>(Tabela1[[#This Row],[x]]-H$3)*(Tabela1[[#This Row],[x]]-H$3) +(Tabela1[[#This Row],[y]]-H$4)*(Tabela1[[#This Row],[y]]-H$4)</f>
        <v>29426</v>
      </c>
      <c r="D1553" s="1">
        <f>IF(Tabela1[[#This Row],[promien]]&lt;40000,1,0)</f>
        <v>1</v>
      </c>
      <c r="E1553" s="1">
        <f>IF(Tabela1[[#This Row],[promien]]=40000,1,0)</f>
        <v>0</v>
      </c>
      <c r="F1553" s="1">
        <v>3.1706374758531872</v>
      </c>
      <c r="G1553" s="1">
        <v>2.904482226339411E-2</v>
      </c>
    </row>
    <row r="1554" spans="1:7">
      <c r="A1554">
        <v>173</v>
      </c>
      <c r="B1554">
        <v>194</v>
      </c>
      <c r="C1554" s="1">
        <f>(Tabela1[[#This Row],[x]]-H$3)*(Tabela1[[#This Row],[x]]-H$3) +(Tabela1[[#This Row],[y]]-H$4)*(Tabela1[[#This Row],[y]]-H$4)</f>
        <v>765</v>
      </c>
      <c r="D1554" s="1">
        <f>IF(Tabela1[[#This Row],[promien]]&lt;40000,1,0)</f>
        <v>1</v>
      </c>
      <c r="E1554" s="1">
        <f>IF(Tabela1[[#This Row],[promien]]=40000,1,0)</f>
        <v>0</v>
      </c>
      <c r="F1554" s="1">
        <v>3.1711711711711712</v>
      </c>
      <c r="G1554" s="1">
        <v>2.9578517581378083E-2</v>
      </c>
    </row>
    <row r="1555" spans="1:7">
      <c r="A1555">
        <v>400</v>
      </c>
      <c r="B1555">
        <v>237</v>
      </c>
      <c r="C1555" s="1">
        <f>(Tabela1[[#This Row],[x]]-H$3)*(Tabela1[[#This Row],[x]]-H$3) +(Tabela1[[#This Row],[y]]-H$4)*(Tabela1[[#This Row],[y]]-H$4)</f>
        <v>41369</v>
      </c>
      <c r="D1555" s="1">
        <f>IF(Tabela1[[#This Row],[promien]]&lt;40000,1,0)</f>
        <v>0</v>
      </c>
      <c r="E1555" s="1">
        <f>IF(Tabela1[[#This Row],[promien]]=40000,1,0)</f>
        <v>0</v>
      </c>
      <c r="F1555" s="1">
        <v>3.1691318327974276</v>
      </c>
      <c r="G1555" s="1">
        <v>2.753917920763449E-2</v>
      </c>
    </row>
    <row r="1556" spans="1:7">
      <c r="A1556">
        <v>93</v>
      </c>
      <c r="B1556">
        <v>385</v>
      </c>
      <c r="C1556" s="1">
        <f>(Tabela1[[#This Row],[x]]-H$3)*(Tabela1[[#This Row],[x]]-H$3) +(Tabela1[[#This Row],[y]]-H$4)*(Tabela1[[#This Row],[y]]-H$4)</f>
        <v>45674</v>
      </c>
      <c r="D1556" s="1">
        <f>IF(Tabela1[[#This Row],[promien]]&lt;40000,1,0)</f>
        <v>0</v>
      </c>
      <c r="E1556" s="1">
        <f>IF(Tabela1[[#This Row],[promien]]=40000,1,0)</f>
        <v>0</v>
      </c>
      <c r="F1556" s="1">
        <v>3.1670951156812341</v>
      </c>
      <c r="G1556" s="1">
        <v>2.5502462091441025E-2</v>
      </c>
    </row>
    <row r="1557" spans="1:7">
      <c r="A1557">
        <v>261</v>
      </c>
      <c r="B1557">
        <v>275</v>
      </c>
      <c r="C1557" s="1">
        <f>(Tabela1[[#This Row],[x]]-H$3)*(Tabela1[[#This Row],[x]]-H$3) +(Tabela1[[#This Row],[y]]-H$4)*(Tabela1[[#This Row],[y]]-H$4)</f>
        <v>9346</v>
      </c>
      <c r="D1557" s="1">
        <f>IF(Tabela1[[#This Row],[promien]]&lt;40000,1,0)</f>
        <v>1</v>
      </c>
      <c r="E1557" s="1">
        <f>IF(Tabela1[[#This Row],[promien]]=40000,1,0)</f>
        <v>0</v>
      </c>
      <c r="F1557" s="1">
        <v>3.1676300578034682</v>
      </c>
      <c r="G1557" s="1">
        <v>2.6037404213675064E-2</v>
      </c>
    </row>
    <row r="1558" spans="1:7">
      <c r="A1558">
        <v>386</v>
      </c>
      <c r="B1558">
        <v>245</v>
      </c>
      <c r="C1558" s="1">
        <f>(Tabela1[[#This Row],[x]]-H$3)*(Tabela1[[#This Row],[x]]-H$3) +(Tabela1[[#This Row],[y]]-H$4)*(Tabela1[[#This Row],[y]]-H$4)</f>
        <v>36621</v>
      </c>
      <c r="D1558" s="1">
        <f>IF(Tabela1[[#This Row],[promien]]&lt;40000,1,0)</f>
        <v>1</v>
      </c>
      <c r="E1558" s="1">
        <f>IF(Tabela1[[#This Row],[promien]]=40000,1,0)</f>
        <v>0</v>
      </c>
      <c r="F1558" s="1">
        <v>3.1681643132220798</v>
      </c>
      <c r="G1558" s="1">
        <v>2.6571659632286693E-2</v>
      </c>
    </row>
    <row r="1559" spans="1:7">
      <c r="A1559">
        <v>17</v>
      </c>
      <c r="B1559">
        <v>3</v>
      </c>
      <c r="C1559" s="1">
        <f>(Tabela1[[#This Row],[x]]-H$3)*(Tabela1[[#This Row],[x]]-H$3) +(Tabela1[[#This Row],[y]]-H$4)*(Tabela1[[#This Row],[y]]-H$4)</f>
        <v>72298</v>
      </c>
      <c r="D1559" s="1">
        <f>IF(Tabela1[[#This Row],[promien]]&lt;40000,1,0)</f>
        <v>0</v>
      </c>
      <c r="E1559" s="1">
        <f>IF(Tabela1[[#This Row],[promien]]=40000,1,0)</f>
        <v>0</v>
      </c>
      <c r="F1559" s="1">
        <v>3.1661321359846055</v>
      </c>
      <c r="G1559" s="1">
        <v>2.4539482394812406E-2</v>
      </c>
    </row>
    <row r="1560" spans="1:7">
      <c r="A1560">
        <v>77</v>
      </c>
      <c r="B1560">
        <v>253</v>
      </c>
      <c r="C1560" s="1">
        <f>(Tabela1[[#This Row],[x]]-H$3)*(Tabela1[[#This Row],[x]]-H$3) +(Tabela1[[#This Row],[y]]-H$4)*(Tabela1[[#This Row],[y]]-H$4)</f>
        <v>17938</v>
      </c>
      <c r="D1560" s="1">
        <f>IF(Tabela1[[#This Row],[promien]]&lt;40000,1,0)</f>
        <v>1</v>
      </c>
      <c r="E1560" s="1">
        <f>IF(Tabela1[[#This Row],[promien]]=40000,1,0)</f>
        <v>0</v>
      </c>
      <c r="F1560" s="1">
        <v>3.1666666666666665</v>
      </c>
      <c r="G1560" s="1">
        <v>2.5074013076873403E-2</v>
      </c>
    </row>
    <row r="1561" spans="1:7">
      <c r="A1561">
        <v>281</v>
      </c>
      <c r="B1561">
        <v>296</v>
      </c>
      <c r="C1561" s="1">
        <f>(Tabela1[[#This Row],[x]]-H$3)*(Tabela1[[#This Row],[x]]-H$3) +(Tabela1[[#This Row],[y]]-H$4)*(Tabela1[[#This Row],[y]]-H$4)</f>
        <v>15777</v>
      </c>
      <c r="D1561" s="1">
        <f>IF(Tabela1[[#This Row],[promien]]&lt;40000,1,0)</f>
        <v>1</v>
      </c>
      <c r="E1561" s="1">
        <f>IF(Tabela1[[#This Row],[promien]]=40000,1,0)</f>
        <v>0</v>
      </c>
      <c r="F1561" s="1">
        <v>3.1672005124919922</v>
      </c>
      <c r="G1561" s="1">
        <v>2.5607858902199077E-2</v>
      </c>
    </row>
    <row r="1562" spans="1:7">
      <c r="A1562">
        <v>204</v>
      </c>
      <c r="B1562">
        <v>95</v>
      </c>
      <c r="C1562" s="1">
        <f>(Tabela1[[#This Row],[x]]-H$3)*(Tabela1[[#This Row],[x]]-H$3) +(Tabela1[[#This Row],[y]]-H$4)*(Tabela1[[#This Row],[y]]-H$4)</f>
        <v>11041</v>
      </c>
      <c r="D1562" s="1">
        <f>IF(Tabela1[[#This Row],[promien]]&lt;40000,1,0)</f>
        <v>1</v>
      </c>
      <c r="E1562" s="1">
        <f>IF(Tabela1[[#This Row],[promien]]=40000,1,0)</f>
        <v>0</v>
      </c>
      <c r="F1562" s="1">
        <v>3.1677336747759282</v>
      </c>
      <c r="G1562" s="1">
        <v>2.6141021186135038E-2</v>
      </c>
    </row>
    <row r="1563" spans="1:7">
      <c r="A1563">
        <v>143</v>
      </c>
      <c r="B1563">
        <v>114</v>
      </c>
      <c r="C1563" s="1">
        <f>(Tabela1[[#This Row],[x]]-H$3)*(Tabela1[[#This Row],[x]]-H$3) +(Tabela1[[#This Row],[y]]-H$4)*(Tabela1[[#This Row],[y]]-H$4)</f>
        <v>10645</v>
      </c>
      <c r="D1563" s="1">
        <f>IF(Tabela1[[#This Row],[promien]]&lt;40000,1,0)</f>
        <v>1</v>
      </c>
      <c r="E1563" s="1">
        <f>IF(Tabela1[[#This Row],[promien]]=40000,1,0)</f>
        <v>0</v>
      </c>
      <c r="F1563" s="1">
        <v>3.1682661548304543</v>
      </c>
      <c r="G1563" s="1">
        <v>2.6673501240661146E-2</v>
      </c>
    </row>
    <row r="1564" spans="1:7">
      <c r="A1564">
        <v>348</v>
      </c>
      <c r="B1564">
        <v>207</v>
      </c>
      <c r="C1564" s="1">
        <f>(Tabela1[[#This Row],[x]]-H$3)*(Tabela1[[#This Row],[x]]-H$3) +(Tabela1[[#This Row],[y]]-H$4)*(Tabela1[[#This Row],[y]]-H$4)</f>
        <v>21953</v>
      </c>
      <c r="D1564" s="1">
        <f>IF(Tabela1[[#This Row],[promien]]&lt;40000,1,0)</f>
        <v>1</v>
      </c>
      <c r="E1564" s="1">
        <f>IF(Tabela1[[#This Row],[promien]]=40000,1,0)</f>
        <v>0</v>
      </c>
      <c r="F1564" s="1">
        <v>3.1687979539641944</v>
      </c>
      <c r="G1564" s="1">
        <v>2.7205300374401276E-2</v>
      </c>
    </row>
    <row r="1565" spans="1:7">
      <c r="A1565">
        <v>97</v>
      </c>
      <c r="B1565">
        <v>52</v>
      </c>
      <c r="C1565" s="1">
        <f>(Tabela1[[#This Row],[x]]-H$3)*(Tabela1[[#This Row],[x]]-H$3) +(Tabela1[[#This Row],[y]]-H$4)*(Tabela1[[#This Row],[y]]-H$4)</f>
        <v>32513</v>
      </c>
      <c r="D1565" s="1">
        <f>IF(Tabela1[[#This Row],[promien]]&lt;40000,1,0)</f>
        <v>1</v>
      </c>
      <c r="E1565" s="1">
        <f>IF(Tabela1[[#This Row],[promien]]=40000,1,0)</f>
        <v>0</v>
      </c>
      <c r="F1565" s="1">
        <v>3.169329073482428</v>
      </c>
      <c r="G1565" s="1">
        <v>2.7736419892634867E-2</v>
      </c>
    </row>
    <row r="1566" spans="1:7">
      <c r="A1566">
        <v>265</v>
      </c>
      <c r="B1566">
        <v>180</v>
      </c>
      <c r="C1566" s="1">
        <f>(Tabela1[[#This Row],[x]]-H$3)*(Tabela1[[#This Row],[x]]-H$3) +(Tabela1[[#This Row],[y]]-H$4)*(Tabela1[[#This Row],[y]]-H$4)</f>
        <v>4625</v>
      </c>
      <c r="D1566" s="1">
        <f>IF(Tabela1[[#This Row],[promien]]&lt;40000,1,0)</f>
        <v>1</v>
      </c>
      <c r="E1566" s="1">
        <f>IF(Tabela1[[#This Row],[promien]]=40000,1,0)</f>
        <v>0</v>
      </c>
      <c r="F1566" s="1">
        <v>3.1698595146871007</v>
      </c>
      <c r="G1566" s="1">
        <v>2.8266861097307583E-2</v>
      </c>
    </row>
    <row r="1567" spans="1:7">
      <c r="A1567">
        <v>58</v>
      </c>
      <c r="B1567">
        <v>341</v>
      </c>
      <c r="C1567" s="1">
        <f>(Tabela1[[#This Row],[x]]-H$3)*(Tabela1[[#This Row],[x]]-H$3) +(Tabela1[[#This Row],[y]]-H$4)*(Tabela1[[#This Row],[y]]-H$4)</f>
        <v>40045</v>
      </c>
      <c r="D1567" s="1">
        <f>IF(Tabela1[[#This Row],[promien]]&lt;40000,1,0)</f>
        <v>0</v>
      </c>
      <c r="E1567" s="1">
        <f>IF(Tabela1[[#This Row],[promien]]=40000,1,0)</f>
        <v>0</v>
      </c>
      <c r="F1567" s="1">
        <v>3.1678366305041479</v>
      </c>
      <c r="G1567" s="1">
        <v>2.6243976914354761E-2</v>
      </c>
    </row>
    <row r="1568" spans="1:7">
      <c r="A1568">
        <v>96</v>
      </c>
      <c r="B1568">
        <v>73</v>
      </c>
      <c r="C1568" s="1">
        <f>(Tabela1[[#This Row],[x]]-H$3)*(Tabela1[[#This Row],[x]]-H$3) +(Tabela1[[#This Row],[y]]-H$4)*(Tabela1[[#This Row],[y]]-H$4)</f>
        <v>26945</v>
      </c>
      <c r="D1568" s="1">
        <f>IF(Tabela1[[#This Row],[promien]]&lt;40000,1,0)</f>
        <v>1</v>
      </c>
      <c r="E1568" s="1">
        <f>IF(Tabela1[[#This Row],[promien]]=40000,1,0)</f>
        <v>0</v>
      </c>
      <c r="F1568" s="1">
        <v>3.1683673469387754</v>
      </c>
      <c r="G1568" s="1">
        <v>2.6774693348982304E-2</v>
      </c>
    </row>
    <row r="1569" spans="1:7">
      <c r="A1569">
        <v>93</v>
      </c>
      <c r="B1569">
        <v>120</v>
      </c>
      <c r="C1569" s="1">
        <f>(Tabela1[[#This Row],[x]]-H$3)*(Tabela1[[#This Row],[x]]-H$3) +(Tabela1[[#This Row],[y]]-H$4)*(Tabela1[[#This Row],[y]]-H$4)</f>
        <v>17849</v>
      </c>
      <c r="D1569" s="1">
        <f>IF(Tabela1[[#This Row],[promien]]&lt;40000,1,0)</f>
        <v>1</v>
      </c>
      <c r="E1569" s="1">
        <f>IF(Tabela1[[#This Row],[promien]]=40000,1,0)</f>
        <v>0</v>
      </c>
      <c r="F1569" s="1">
        <v>3.1688973868706181</v>
      </c>
      <c r="G1569" s="1">
        <v>2.7304733280824944E-2</v>
      </c>
    </row>
    <row r="1570" spans="1:7">
      <c r="A1570">
        <v>53</v>
      </c>
      <c r="B1570">
        <v>2</v>
      </c>
      <c r="C1570" s="1">
        <f>(Tabela1[[#This Row],[x]]-H$3)*(Tabela1[[#This Row],[x]]-H$3) +(Tabela1[[#This Row],[y]]-H$4)*(Tabela1[[#This Row],[y]]-H$4)</f>
        <v>60813</v>
      </c>
      <c r="D1570" s="1">
        <f>IF(Tabela1[[#This Row],[promien]]&lt;40000,1,0)</f>
        <v>0</v>
      </c>
      <c r="E1570" s="1">
        <f>IF(Tabela1[[#This Row],[promien]]=40000,1,0)</f>
        <v>0</v>
      </c>
      <c r="F1570" s="1">
        <v>3.1668789808917199</v>
      </c>
      <c r="G1570" s="1">
        <v>2.5286327301926814E-2</v>
      </c>
    </row>
    <row r="1571" spans="1:7">
      <c r="A1571">
        <v>357</v>
      </c>
      <c r="B1571">
        <v>290</v>
      </c>
      <c r="C1571" s="1">
        <f>(Tabela1[[#This Row],[x]]-H$3)*(Tabela1[[#This Row],[x]]-H$3) +(Tabela1[[#This Row],[y]]-H$4)*(Tabela1[[#This Row],[y]]-H$4)</f>
        <v>32749</v>
      </c>
      <c r="D1571" s="1">
        <f>IF(Tabela1[[#This Row],[promien]]&lt;40000,1,0)</f>
        <v>1</v>
      </c>
      <c r="E1571" s="1">
        <f>IF(Tabela1[[#This Row],[promien]]=40000,1,0)</f>
        <v>0</v>
      </c>
      <c r="F1571" s="1">
        <v>3.1674092934436664</v>
      </c>
      <c r="G1571" s="1">
        <v>2.581663985387328E-2</v>
      </c>
    </row>
    <row r="1572" spans="1:7">
      <c r="A1572">
        <v>169</v>
      </c>
      <c r="B1572">
        <v>311</v>
      </c>
      <c r="C1572" s="1">
        <f>(Tabela1[[#This Row],[x]]-H$3)*(Tabela1[[#This Row],[x]]-H$3) +(Tabela1[[#This Row],[y]]-H$4)*(Tabela1[[#This Row],[y]]-H$4)</f>
        <v>13282</v>
      </c>
      <c r="D1572" s="1">
        <f>IF(Tabela1[[#This Row],[promien]]&lt;40000,1,0)</f>
        <v>1</v>
      </c>
      <c r="E1572" s="1">
        <f>IF(Tabela1[[#This Row],[promien]]=40000,1,0)</f>
        <v>0</v>
      </c>
      <c r="F1572" s="1">
        <v>3.16793893129771</v>
      </c>
      <c r="G1572" s="1">
        <v>2.6346277707916865E-2</v>
      </c>
    </row>
    <row r="1573" spans="1:7">
      <c r="A1573">
        <v>258</v>
      </c>
      <c r="B1573">
        <v>17</v>
      </c>
      <c r="C1573" s="1">
        <f>(Tabela1[[#This Row],[x]]-H$3)*(Tabela1[[#This Row],[x]]-H$3) +(Tabela1[[#This Row],[y]]-H$4)*(Tabela1[[#This Row],[y]]-H$4)</f>
        <v>36853</v>
      </c>
      <c r="D1573" s="1">
        <f>IF(Tabela1[[#This Row],[promien]]&lt;40000,1,0)</f>
        <v>1</v>
      </c>
      <c r="E1573" s="1">
        <f>IF(Tabela1[[#This Row],[promien]]=40000,1,0)</f>
        <v>0</v>
      </c>
      <c r="F1573" s="1">
        <v>3.1684678957406232</v>
      </c>
      <c r="G1573" s="1">
        <v>2.6875242150830037E-2</v>
      </c>
    </row>
    <row r="1574" spans="1:7">
      <c r="A1574">
        <v>175</v>
      </c>
      <c r="B1574">
        <v>80</v>
      </c>
      <c r="C1574" s="1">
        <f>(Tabela1[[#This Row],[x]]-H$3)*(Tabela1[[#This Row],[x]]-H$3) +(Tabela1[[#This Row],[y]]-H$4)*(Tabela1[[#This Row],[y]]-H$4)</f>
        <v>15025</v>
      </c>
      <c r="D1574" s="1">
        <f>IF(Tabela1[[#This Row],[promien]]&lt;40000,1,0)</f>
        <v>1</v>
      </c>
      <c r="E1574" s="1">
        <f>IF(Tabela1[[#This Row],[promien]]=40000,1,0)</f>
        <v>0</v>
      </c>
      <c r="F1574" s="1">
        <v>3.1689961880559085</v>
      </c>
      <c r="G1574" s="1">
        <v>2.7403534466115431E-2</v>
      </c>
    </row>
    <row r="1575" spans="1:7">
      <c r="A1575">
        <v>129</v>
      </c>
      <c r="B1575">
        <v>363</v>
      </c>
      <c r="C1575" s="1">
        <f>(Tabela1[[#This Row],[x]]-H$3)*(Tabela1[[#This Row],[x]]-H$3) +(Tabela1[[#This Row],[y]]-H$4)*(Tabela1[[#This Row],[y]]-H$4)</f>
        <v>31610</v>
      </c>
      <c r="D1575" s="1">
        <f>IF(Tabela1[[#This Row],[promien]]&lt;40000,1,0)</f>
        <v>1</v>
      </c>
      <c r="E1575" s="1">
        <f>IF(Tabela1[[#This Row],[promien]]=40000,1,0)</f>
        <v>0</v>
      </c>
      <c r="F1575" s="1">
        <v>3.1695238095238096</v>
      </c>
      <c r="G1575" s="1">
        <v>2.7931155934016516E-2</v>
      </c>
    </row>
    <row r="1576" spans="1:7">
      <c r="A1576">
        <v>364</v>
      </c>
      <c r="B1576">
        <v>264</v>
      </c>
      <c r="C1576" s="1">
        <f>(Tabela1[[#This Row],[x]]-H$3)*(Tabela1[[#This Row],[x]]-H$3) +(Tabela1[[#This Row],[y]]-H$4)*(Tabela1[[#This Row],[y]]-H$4)</f>
        <v>30992</v>
      </c>
      <c r="D1576" s="1">
        <f>IF(Tabela1[[#This Row],[promien]]&lt;40000,1,0)</f>
        <v>1</v>
      </c>
      <c r="E1576" s="1">
        <f>IF(Tabela1[[#This Row],[promien]]=40000,1,0)</f>
        <v>0</v>
      </c>
      <c r="F1576" s="1">
        <v>3.1700507614213196</v>
      </c>
      <c r="G1576" s="1">
        <v>2.8458107831526469E-2</v>
      </c>
    </row>
    <row r="1577" spans="1:7">
      <c r="A1577">
        <v>228</v>
      </c>
      <c r="B1577">
        <v>146</v>
      </c>
      <c r="C1577" s="1">
        <f>(Tabela1[[#This Row],[x]]-H$3)*(Tabela1[[#This Row],[x]]-H$3) +(Tabela1[[#This Row],[y]]-H$4)*(Tabela1[[#This Row],[y]]-H$4)</f>
        <v>3700</v>
      </c>
      <c r="D1577" s="1">
        <f>IF(Tabela1[[#This Row],[promien]]&lt;40000,1,0)</f>
        <v>1</v>
      </c>
      <c r="E1577" s="1">
        <f>IF(Tabela1[[#This Row],[promien]]=40000,1,0)</f>
        <v>0</v>
      </c>
      <c r="F1577" s="1">
        <v>3.1705770450221942</v>
      </c>
      <c r="G1577" s="1">
        <v>2.8984391432401058E-2</v>
      </c>
    </row>
    <row r="1578" spans="1:7">
      <c r="A1578">
        <v>249</v>
      </c>
      <c r="B1578">
        <v>136</v>
      </c>
      <c r="C1578" s="1">
        <f>(Tabela1[[#This Row],[x]]-H$3)*(Tabela1[[#This Row],[x]]-H$3) +(Tabela1[[#This Row],[y]]-H$4)*(Tabela1[[#This Row],[y]]-H$4)</f>
        <v>6497</v>
      </c>
      <c r="D1578" s="1">
        <f>IF(Tabela1[[#This Row],[promien]]&lt;40000,1,0)</f>
        <v>1</v>
      </c>
      <c r="E1578" s="1">
        <f>IF(Tabela1[[#This Row],[promien]]=40000,1,0)</f>
        <v>0</v>
      </c>
      <c r="F1578" s="1">
        <v>3.171102661596958</v>
      </c>
      <c r="G1578" s="1">
        <v>2.9510008007164856E-2</v>
      </c>
    </row>
    <row r="1579" spans="1:7">
      <c r="A1579">
        <v>100</v>
      </c>
      <c r="B1579">
        <v>163</v>
      </c>
      <c r="C1579" s="1">
        <f>(Tabela1[[#This Row],[x]]-H$3)*(Tabela1[[#This Row],[x]]-H$3) +(Tabela1[[#This Row],[y]]-H$4)*(Tabela1[[#This Row],[y]]-H$4)</f>
        <v>11369</v>
      </c>
      <c r="D1579" s="1">
        <f>IF(Tabela1[[#This Row],[promien]]&lt;40000,1,0)</f>
        <v>1</v>
      </c>
      <c r="E1579" s="1">
        <f>IF(Tabela1[[#This Row],[promien]]=40000,1,0)</f>
        <v>0</v>
      </c>
      <c r="F1579" s="1">
        <v>3.1716276124129195</v>
      </c>
      <c r="G1579" s="1">
        <v>3.0034958823126345E-2</v>
      </c>
    </row>
    <row r="1580" spans="1:7">
      <c r="A1580">
        <v>125</v>
      </c>
      <c r="B1580">
        <v>7</v>
      </c>
      <c r="C1580" s="1">
        <f>(Tabela1[[#This Row],[x]]-H$3)*(Tabela1[[#This Row],[x]]-H$3) +(Tabela1[[#This Row],[y]]-H$4)*(Tabela1[[#This Row],[y]]-H$4)</f>
        <v>42874</v>
      </c>
      <c r="D1580" s="1">
        <f>IF(Tabela1[[#This Row],[promien]]&lt;40000,1,0)</f>
        <v>0</v>
      </c>
      <c r="E1580" s="1">
        <f>IF(Tabela1[[#This Row],[promien]]=40000,1,0)</f>
        <v>0</v>
      </c>
      <c r="F1580" s="1">
        <v>3.169620253164557</v>
      </c>
      <c r="G1580" s="1">
        <v>2.8027599574763862E-2</v>
      </c>
    </row>
    <row r="1581" spans="1:7">
      <c r="A1581">
        <v>76</v>
      </c>
      <c r="B1581">
        <v>378</v>
      </c>
      <c r="C1581" s="1">
        <f>(Tabela1[[#This Row],[x]]-H$3)*(Tabela1[[#This Row],[x]]-H$3) +(Tabela1[[#This Row],[y]]-H$4)*(Tabela1[[#This Row],[y]]-H$4)</f>
        <v>47060</v>
      </c>
      <c r="D1581" s="1">
        <f>IF(Tabela1[[#This Row],[promien]]&lt;40000,1,0)</f>
        <v>0</v>
      </c>
      <c r="E1581" s="1">
        <f>IF(Tabela1[[#This Row],[promien]]=40000,1,0)</f>
        <v>0</v>
      </c>
      <c r="F1581" s="1">
        <v>3.1676154332700821</v>
      </c>
      <c r="G1581" s="1">
        <v>2.6022779680288988E-2</v>
      </c>
    </row>
    <row r="1582" spans="1:7">
      <c r="A1582">
        <v>245</v>
      </c>
      <c r="B1582">
        <v>31</v>
      </c>
      <c r="C1582" s="1">
        <f>(Tabela1[[#This Row],[x]]-H$3)*(Tabela1[[#This Row],[x]]-H$3) +(Tabela1[[#This Row],[y]]-H$4)*(Tabela1[[#This Row],[y]]-H$4)</f>
        <v>30586</v>
      </c>
      <c r="D1582" s="1">
        <f>IF(Tabela1[[#This Row],[promien]]&lt;40000,1,0)</f>
        <v>1</v>
      </c>
      <c r="E1582" s="1">
        <f>IF(Tabela1[[#This Row],[promien]]=40000,1,0)</f>
        <v>0</v>
      </c>
      <c r="F1582" s="1">
        <v>3.168141592920354</v>
      </c>
      <c r="G1582" s="1">
        <v>2.6548939330560906E-2</v>
      </c>
    </row>
    <row r="1583" spans="1:7">
      <c r="A1583">
        <v>38</v>
      </c>
      <c r="B1583">
        <v>264</v>
      </c>
      <c r="C1583" s="1">
        <f>(Tabela1[[#This Row],[x]]-H$3)*(Tabela1[[#This Row],[x]]-H$3) +(Tabela1[[#This Row],[y]]-H$4)*(Tabela1[[#This Row],[y]]-H$4)</f>
        <v>30340</v>
      </c>
      <c r="D1583" s="1">
        <f>IF(Tabela1[[#This Row],[promien]]&lt;40000,1,0)</f>
        <v>1</v>
      </c>
      <c r="E1583" s="1">
        <f>IF(Tabela1[[#This Row],[promien]]=40000,1,0)</f>
        <v>0</v>
      </c>
      <c r="F1583" s="1">
        <v>3.1686670878079597</v>
      </c>
      <c r="G1583" s="1">
        <v>2.7074434218166576E-2</v>
      </c>
    </row>
    <row r="1584" spans="1:7">
      <c r="A1584">
        <v>324</v>
      </c>
      <c r="B1584">
        <v>315</v>
      </c>
      <c r="C1584" s="1">
        <f>(Tabela1[[#This Row],[x]]-H$3)*(Tabela1[[#This Row],[x]]-H$3) +(Tabela1[[#This Row],[y]]-H$4)*(Tabela1[[#This Row],[y]]-H$4)</f>
        <v>28601</v>
      </c>
      <c r="D1584" s="1">
        <f>IF(Tabela1[[#This Row],[promien]]&lt;40000,1,0)</f>
        <v>1</v>
      </c>
      <c r="E1584" s="1">
        <f>IF(Tabela1[[#This Row],[promien]]=40000,1,0)</f>
        <v>0</v>
      </c>
      <c r="F1584" s="1">
        <v>3.1691919191919191</v>
      </c>
      <c r="G1584" s="1">
        <v>2.7599265602126E-2</v>
      </c>
    </row>
    <row r="1585" spans="1:7">
      <c r="A1585">
        <v>59</v>
      </c>
      <c r="B1585">
        <v>183</v>
      </c>
      <c r="C1585" s="1">
        <f>(Tabela1[[#This Row],[x]]-H$3)*(Tabela1[[#This Row],[x]]-H$3) +(Tabela1[[#This Row],[y]]-H$4)*(Tabela1[[#This Row],[y]]-H$4)</f>
        <v>20170</v>
      </c>
      <c r="D1585" s="1">
        <f>IF(Tabela1[[#This Row],[promien]]&lt;40000,1,0)</f>
        <v>1</v>
      </c>
      <c r="E1585" s="1">
        <f>IF(Tabela1[[#This Row],[promien]]=40000,1,0)</f>
        <v>0</v>
      </c>
      <c r="F1585" s="1">
        <v>3.1697160883280757</v>
      </c>
      <c r="G1585" s="1">
        <v>2.8123434738282604E-2</v>
      </c>
    </row>
    <row r="1586" spans="1:7">
      <c r="A1586">
        <v>346</v>
      </c>
      <c r="B1586">
        <v>226</v>
      </c>
      <c r="C1586" s="1">
        <f>(Tabela1[[#This Row],[x]]-H$3)*(Tabela1[[#This Row],[x]]-H$3) +(Tabela1[[#This Row],[y]]-H$4)*(Tabela1[[#This Row],[y]]-H$4)</f>
        <v>21992</v>
      </c>
      <c r="D1586" s="1">
        <f>IF(Tabela1[[#This Row],[promien]]&lt;40000,1,0)</f>
        <v>1</v>
      </c>
      <c r="E1586" s="1">
        <f>IF(Tabela1[[#This Row],[promien]]=40000,1,0)</f>
        <v>0</v>
      </c>
      <c r="F1586" s="1">
        <v>3.1702395964691048</v>
      </c>
      <c r="G1586" s="1">
        <v>2.8646942879311688E-2</v>
      </c>
    </row>
    <row r="1587" spans="1:7">
      <c r="A1587">
        <v>202</v>
      </c>
      <c r="B1587">
        <v>213</v>
      </c>
      <c r="C1587" s="1">
        <f>(Tabela1[[#This Row],[x]]-H$3)*(Tabela1[[#This Row],[x]]-H$3) +(Tabela1[[#This Row],[y]]-H$4)*(Tabela1[[#This Row],[y]]-H$4)</f>
        <v>173</v>
      </c>
      <c r="D1587" s="1">
        <f>IF(Tabela1[[#This Row],[promien]]&lt;40000,1,0)</f>
        <v>1</v>
      </c>
      <c r="E1587" s="1">
        <f>IF(Tabela1[[#This Row],[promien]]=40000,1,0)</f>
        <v>0</v>
      </c>
      <c r="F1587" s="1">
        <v>3.1707624448645242</v>
      </c>
      <c r="G1587" s="1">
        <v>2.9169791274731072E-2</v>
      </c>
    </row>
    <row r="1588" spans="1:7">
      <c r="A1588">
        <v>3</v>
      </c>
      <c r="B1588">
        <v>155</v>
      </c>
      <c r="C1588" s="1">
        <f>(Tabela1[[#This Row],[x]]-H$3)*(Tabela1[[#This Row],[x]]-H$3) +(Tabela1[[#This Row],[y]]-H$4)*(Tabela1[[#This Row],[y]]-H$4)</f>
        <v>40834</v>
      </c>
      <c r="D1588" s="1">
        <f>IF(Tabela1[[#This Row],[promien]]&lt;40000,1,0)</f>
        <v>0</v>
      </c>
      <c r="E1588" s="1">
        <f>IF(Tabela1[[#This Row],[promien]]=40000,1,0)</f>
        <v>0</v>
      </c>
      <c r="F1588" s="1">
        <v>3.168765743073048</v>
      </c>
      <c r="G1588" s="1">
        <v>2.717308948325492E-2</v>
      </c>
    </row>
    <row r="1589" spans="1:7">
      <c r="A1589">
        <v>169</v>
      </c>
      <c r="B1589">
        <v>305</v>
      </c>
      <c r="C1589" s="1">
        <f>(Tabela1[[#This Row],[x]]-H$3)*(Tabela1[[#This Row],[x]]-H$3) +(Tabela1[[#This Row],[y]]-H$4)*(Tabela1[[#This Row],[y]]-H$4)</f>
        <v>11986</v>
      </c>
      <c r="D1589" s="1">
        <f>IF(Tabela1[[#This Row],[promien]]&lt;40000,1,0)</f>
        <v>1</v>
      </c>
      <c r="E1589" s="1">
        <f>IF(Tabela1[[#This Row],[promien]]=40000,1,0)</f>
        <v>0</v>
      </c>
      <c r="F1589" s="1">
        <v>3.169288860918817</v>
      </c>
      <c r="G1589" s="1">
        <v>2.7696207329023892E-2</v>
      </c>
    </row>
    <row r="1590" spans="1:7">
      <c r="A1590">
        <v>290</v>
      </c>
      <c r="B1590">
        <v>259</v>
      </c>
      <c r="C1590" s="1">
        <f>(Tabela1[[#This Row],[x]]-H$3)*(Tabela1[[#This Row],[x]]-H$3) +(Tabela1[[#This Row],[y]]-H$4)*(Tabela1[[#This Row],[y]]-H$4)</f>
        <v>11581</v>
      </c>
      <c r="D1590" s="1">
        <f>IF(Tabela1[[#This Row],[promien]]&lt;40000,1,0)</f>
        <v>1</v>
      </c>
      <c r="E1590" s="1">
        <f>IF(Tabela1[[#This Row],[promien]]=40000,1,0)</f>
        <v>0</v>
      </c>
      <c r="F1590" s="1">
        <v>3.1698113207547172</v>
      </c>
      <c r="G1590" s="1">
        <v>2.8218667164924049E-2</v>
      </c>
    </row>
    <row r="1591" spans="1:7">
      <c r="A1591">
        <v>41</v>
      </c>
      <c r="B1591">
        <v>137</v>
      </c>
      <c r="C1591" s="1">
        <f>(Tabela1[[#This Row],[x]]-H$3)*(Tabela1[[#This Row],[x]]-H$3) +(Tabela1[[#This Row],[y]]-H$4)*(Tabela1[[#This Row],[y]]-H$4)</f>
        <v>29250</v>
      </c>
      <c r="D1591" s="1">
        <f>IF(Tabela1[[#This Row],[promien]]&lt;40000,1,0)</f>
        <v>1</v>
      </c>
      <c r="E1591" s="1">
        <f>IF(Tabela1[[#This Row],[promien]]=40000,1,0)</f>
        <v>0</v>
      </c>
      <c r="F1591" s="1">
        <v>3.170333123821496</v>
      </c>
      <c r="G1591" s="1">
        <v>2.8740470231702897E-2</v>
      </c>
    </row>
    <row r="1592" spans="1:7">
      <c r="A1592">
        <v>79</v>
      </c>
      <c r="B1592">
        <v>84</v>
      </c>
      <c r="C1592" s="1">
        <f>(Tabela1[[#This Row],[x]]-H$3)*(Tabela1[[#This Row],[x]]-H$3) +(Tabela1[[#This Row],[y]]-H$4)*(Tabela1[[#This Row],[y]]-H$4)</f>
        <v>28097</v>
      </c>
      <c r="D1592" s="1">
        <f>IF(Tabela1[[#This Row],[promien]]&lt;40000,1,0)</f>
        <v>1</v>
      </c>
      <c r="E1592" s="1">
        <f>IF(Tabela1[[#This Row],[promien]]=40000,1,0)</f>
        <v>0</v>
      </c>
      <c r="F1592" s="1">
        <v>3.170854271356784</v>
      </c>
      <c r="G1592" s="1">
        <v>2.9261617766990877E-2</v>
      </c>
    </row>
    <row r="1593" spans="1:7">
      <c r="A1593">
        <v>399</v>
      </c>
      <c r="B1593">
        <v>249</v>
      </c>
      <c r="C1593" s="1">
        <f>(Tabela1[[#This Row],[x]]-H$3)*(Tabela1[[#This Row],[x]]-H$3) +(Tabela1[[#This Row],[y]]-H$4)*(Tabela1[[#This Row],[y]]-H$4)</f>
        <v>42002</v>
      </c>
      <c r="D1593" s="1">
        <f>IF(Tabela1[[#This Row],[promien]]&lt;40000,1,0)</f>
        <v>0</v>
      </c>
      <c r="E1593" s="1">
        <f>IF(Tabela1[[#This Row],[promien]]=40000,1,0)</f>
        <v>0</v>
      </c>
      <c r="F1593" s="1">
        <v>3.1688637790332708</v>
      </c>
      <c r="G1593" s="1">
        <v>2.7271125443477651E-2</v>
      </c>
    </row>
    <row r="1594" spans="1:7">
      <c r="A1594">
        <v>83</v>
      </c>
      <c r="B1594">
        <v>335</v>
      </c>
      <c r="C1594" s="1">
        <f>(Tabela1[[#This Row],[x]]-H$3)*(Tabela1[[#This Row],[x]]-H$3) +(Tabela1[[#This Row],[y]]-H$4)*(Tabela1[[#This Row],[y]]-H$4)</f>
        <v>31914</v>
      </c>
      <c r="D1594" s="1">
        <f>IF(Tabela1[[#This Row],[promien]]&lt;40000,1,0)</f>
        <v>1</v>
      </c>
      <c r="E1594" s="1">
        <f>IF(Tabela1[[#This Row],[promien]]=40000,1,0)</f>
        <v>0</v>
      </c>
      <c r="F1594" s="1">
        <v>3.1693851944792972</v>
      </c>
      <c r="G1594" s="1">
        <v>2.7792540889504114E-2</v>
      </c>
    </row>
    <row r="1595" spans="1:7">
      <c r="A1595">
        <v>277</v>
      </c>
      <c r="B1595">
        <v>24</v>
      </c>
      <c r="C1595" s="1">
        <f>(Tabela1[[#This Row],[x]]-H$3)*(Tabela1[[#This Row],[x]]-H$3) +(Tabela1[[#This Row],[y]]-H$4)*(Tabela1[[#This Row],[y]]-H$4)</f>
        <v>36905</v>
      </c>
      <c r="D1595" s="1">
        <f>IF(Tabela1[[#This Row],[promien]]&lt;40000,1,0)</f>
        <v>1</v>
      </c>
      <c r="E1595" s="1">
        <f>IF(Tabela1[[#This Row],[promien]]=40000,1,0)</f>
        <v>0</v>
      </c>
      <c r="F1595" s="1">
        <v>3.1699059561128529</v>
      </c>
      <c r="G1595" s="1">
        <v>2.8313302523059747E-2</v>
      </c>
    </row>
    <row r="1596" spans="1:7">
      <c r="A1596">
        <v>133</v>
      </c>
      <c r="B1596">
        <v>211</v>
      </c>
      <c r="C1596" s="1">
        <f>(Tabela1[[#This Row],[x]]-H$3)*(Tabela1[[#This Row],[x]]-H$3) +(Tabela1[[#This Row],[y]]-H$4)*(Tabela1[[#This Row],[y]]-H$4)</f>
        <v>4610</v>
      </c>
      <c r="D1596" s="1">
        <f>IF(Tabela1[[#This Row],[promien]]&lt;40000,1,0)</f>
        <v>1</v>
      </c>
      <c r="E1596" s="1">
        <f>IF(Tabela1[[#This Row],[promien]]=40000,1,0)</f>
        <v>0</v>
      </c>
      <c r="F1596" s="1">
        <v>3.1704260651629075</v>
      </c>
      <c r="G1596" s="1">
        <v>2.8833411573114365E-2</v>
      </c>
    </row>
    <row r="1597" spans="1:7">
      <c r="A1597">
        <v>32</v>
      </c>
      <c r="B1597">
        <v>306</v>
      </c>
      <c r="C1597" s="1">
        <f>(Tabela1[[#This Row],[x]]-H$3)*(Tabela1[[#This Row],[x]]-H$3) +(Tabela1[[#This Row],[y]]-H$4)*(Tabela1[[#This Row],[y]]-H$4)</f>
        <v>39460</v>
      </c>
      <c r="D1597" s="1">
        <f>IF(Tabela1[[#This Row],[promien]]&lt;40000,1,0)</f>
        <v>1</v>
      </c>
      <c r="E1597" s="1">
        <f>IF(Tabela1[[#This Row],[promien]]=40000,1,0)</f>
        <v>0</v>
      </c>
      <c r="F1597" s="1">
        <v>3.1709455228553538</v>
      </c>
      <c r="G1597" s="1">
        <v>2.9352869265560688E-2</v>
      </c>
    </row>
    <row r="1598" spans="1:7">
      <c r="A1598">
        <v>154</v>
      </c>
      <c r="B1598">
        <v>302</v>
      </c>
      <c r="C1598" s="1">
        <f>(Tabela1[[#This Row],[x]]-H$3)*(Tabela1[[#This Row],[x]]-H$3) +(Tabela1[[#This Row],[y]]-H$4)*(Tabela1[[#This Row],[y]]-H$4)</f>
        <v>12520</v>
      </c>
      <c r="D1598" s="1">
        <f>IF(Tabela1[[#This Row],[promien]]&lt;40000,1,0)</f>
        <v>1</v>
      </c>
      <c r="E1598" s="1">
        <f>IF(Tabela1[[#This Row],[promien]]=40000,1,0)</f>
        <v>0</v>
      </c>
      <c r="F1598" s="1">
        <v>3.1714643304130163</v>
      </c>
      <c r="G1598" s="1">
        <v>2.9871676823223225E-2</v>
      </c>
    </row>
    <row r="1599" spans="1:7">
      <c r="A1599">
        <v>106</v>
      </c>
      <c r="B1599">
        <v>203</v>
      </c>
      <c r="C1599" s="1">
        <f>(Tabela1[[#This Row],[x]]-H$3)*(Tabela1[[#This Row],[x]]-H$3) +(Tabela1[[#This Row],[y]]-H$4)*(Tabela1[[#This Row],[y]]-H$4)</f>
        <v>8845</v>
      </c>
      <c r="D1599" s="1">
        <f>IF(Tabela1[[#This Row],[promien]]&lt;40000,1,0)</f>
        <v>1</v>
      </c>
      <c r="E1599" s="1">
        <f>IF(Tabela1[[#This Row],[promien]]=40000,1,0)</f>
        <v>0</v>
      </c>
      <c r="F1599" s="1">
        <v>3.1719824890556598</v>
      </c>
      <c r="G1599" s="1">
        <v>3.038983546586671E-2</v>
      </c>
    </row>
    <row r="1600" spans="1:7">
      <c r="A1600">
        <v>189</v>
      </c>
      <c r="B1600">
        <v>116</v>
      </c>
      <c r="C1600" s="1">
        <f>(Tabela1[[#This Row],[x]]-H$3)*(Tabela1[[#This Row],[x]]-H$3) +(Tabela1[[#This Row],[y]]-H$4)*(Tabela1[[#This Row],[y]]-H$4)</f>
        <v>7177</v>
      </c>
      <c r="D1600" s="1">
        <f>IF(Tabela1[[#This Row],[promien]]&lt;40000,1,0)</f>
        <v>1</v>
      </c>
      <c r="E1600" s="1">
        <f>IF(Tabela1[[#This Row],[promien]]=40000,1,0)</f>
        <v>0</v>
      </c>
      <c r="F1600" s="1">
        <v>3.1724999999999999</v>
      </c>
      <c r="G1600" s="1">
        <v>3.090734641020676E-2</v>
      </c>
    </row>
    <row r="1601" spans="1:7">
      <c r="A1601">
        <v>294</v>
      </c>
      <c r="B1601">
        <v>397</v>
      </c>
      <c r="C1601" s="1">
        <f>(Tabela1[[#This Row],[x]]-H$3)*(Tabela1[[#This Row],[x]]-H$3) +(Tabela1[[#This Row],[y]]-H$4)*(Tabela1[[#This Row],[y]]-H$4)</f>
        <v>47645</v>
      </c>
      <c r="D1601" s="1">
        <f>IF(Tabela1[[#This Row],[promien]]&lt;40000,1,0)</f>
        <v>0</v>
      </c>
      <c r="E1601" s="1">
        <f>IF(Tabela1[[#This Row],[promien]]=40000,1,0)</f>
        <v>0</v>
      </c>
      <c r="F1601" s="1">
        <v>3.1705184259837602</v>
      </c>
      <c r="G1601" s="1">
        <v>2.8925772393967097E-2</v>
      </c>
    </row>
    <row r="1602" spans="1:7">
      <c r="A1602">
        <v>148</v>
      </c>
      <c r="B1602">
        <v>31</v>
      </c>
      <c r="C1602" s="1">
        <f>(Tabela1[[#This Row],[x]]-H$3)*(Tabela1[[#This Row],[x]]-H$3) +(Tabela1[[#This Row],[y]]-H$4)*(Tabela1[[#This Row],[y]]-H$4)</f>
        <v>31265</v>
      </c>
      <c r="D1602" s="1">
        <f>IF(Tabela1[[#This Row],[promien]]&lt;40000,1,0)</f>
        <v>1</v>
      </c>
      <c r="E1602" s="1">
        <f>IF(Tabela1[[#This Row],[promien]]=40000,1,0)</f>
        <v>0</v>
      </c>
      <c r="F1602" s="1">
        <v>3.1710362047440701</v>
      </c>
      <c r="G1602" s="1">
        <v>2.9443551154276992E-2</v>
      </c>
    </row>
    <row r="1603" spans="1:7">
      <c r="A1603">
        <v>42</v>
      </c>
      <c r="B1603">
        <v>308</v>
      </c>
      <c r="C1603" s="1">
        <f>(Tabela1[[#This Row],[x]]-H$3)*(Tabela1[[#This Row],[x]]-H$3) +(Tabela1[[#This Row],[y]]-H$4)*(Tabela1[[#This Row],[y]]-H$4)</f>
        <v>36628</v>
      </c>
      <c r="D1603" s="1">
        <f>IF(Tabela1[[#This Row],[promien]]&lt;40000,1,0)</f>
        <v>1</v>
      </c>
      <c r="E1603" s="1">
        <f>IF(Tabela1[[#This Row],[promien]]=40000,1,0)</f>
        <v>0</v>
      </c>
      <c r="F1603" s="1">
        <v>3.171553337492202</v>
      </c>
      <c r="G1603" s="1">
        <v>2.9960683902408913E-2</v>
      </c>
    </row>
    <row r="1604" spans="1:7">
      <c r="A1604">
        <v>364</v>
      </c>
      <c r="B1604">
        <v>388</v>
      </c>
      <c r="C1604" s="1">
        <f>(Tabela1[[#This Row],[x]]-H$3)*(Tabela1[[#This Row],[x]]-H$3) +(Tabela1[[#This Row],[y]]-H$4)*(Tabela1[[#This Row],[y]]-H$4)</f>
        <v>62240</v>
      </c>
      <c r="D1604" s="1">
        <f>IF(Tabela1[[#This Row],[promien]]&lt;40000,1,0)</f>
        <v>0</v>
      </c>
      <c r="E1604" s="1">
        <f>IF(Tabela1[[#This Row],[promien]]=40000,1,0)</f>
        <v>0</v>
      </c>
      <c r="F1604" s="1">
        <v>3.1695760598503742</v>
      </c>
      <c r="G1604" s="1">
        <v>2.7983406260581045E-2</v>
      </c>
    </row>
    <row r="1605" spans="1:7">
      <c r="A1605">
        <v>343</v>
      </c>
      <c r="B1605">
        <v>30</v>
      </c>
      <c r="C1605" s="1">
        <f>(Tabela1[[#This Row],[x]]-H$3)*(Tabela1[[#This Row],[x]]-H$3) +(Tabela1[[#This Row],[y]]-H$4)*(Tabela1[[#This Row],[y]]-H$4)</f>
        <v>49349</v>
      </c>
      <c r="D1605" s="1">
        <f>IF(Tabela1[[#This Row],[promien]]&lt;40000,1,0)</f>
        <v>0</v>
      </c>
      <c r="E1605" s="1">
        <f>IF(Tabela1[[#This Row],[promien]]=40000,1,0)</f>
        <v>0</v>
      </c>
      <c r="F1605" s="1">
        <v>3.1676012461059191</v>
      </c>
      <c r="G1605" s="1">
        <v>2.6008592516125972E-2</v>
      </c>
    </row>
    <row r="1606" spans="1:7">
      <c r="A1606">
        <v>201</v>
      </c>
      <c r="B1606">
        <v>128</v>
      </c>
      <c r="C1606" s="1">
        <f>(Tabela1[[#This Row],[x]]-H$3)*(Tabela1[[#This Row],[x]]-H$3) +(Tabela1[[#This Row],[y]]-H$4)*(Tabela1[[#This Row],[y]]-H$4)</f>
        <v>5185</v>
      </c>
      <c r="D1606" s="1">
        <f>IF(Tabela1[[#This Row],[promien]]&lt;40000,1,0)</f>
        <v>1</v>
      </c>
      <c r="E1606" s="1">
        <f>IF(Tabela1[[#This Row],[promien]]=40000,1,0)</f>
        <v>0</v>
      </c>
      <c r="F1606" s="1">
        <v>3.1681195516811953</v>
      </c>
      <c r="G1606" s="1">
        <v>2.6526898091402185E-2</v>
      </c>
    </row>
    <row r="1607" spans="1:7">
      <c r="A1607">
        <v>268</v>
      </c>
      <c r="B1607">
        <v>182</v>
      </c>
      <c r="C1607" s="1">
        <f>(Tabela1[[#This Row],[x]]-H$3)*(Tabela1[[#This Row],[x]]-H$3) +(Tabela1[[#This Row],[y]]-H$4)*(Tabela1[[#This Row],[y]]-H$4)</f>
        <v>4948</v>
      </c>
      <c r="D1607" s="1">
        <f>IF(Tabela1[[#This Row],[promien]]&lt;40000,1,0)</f>
        <v>1</v>
      </c>
      <c r="E1607" s="1">
        <f>IF(Tabela1[[#This Row],[promien]]=40000,1,0)</f>
        <v>0</v>
      </c>
      <c r="F1607" s="1">
        <v>3.1686372121966397</v>
      </c>
      <c r="G1607" s="1">
        <v>2.7044558606846625E-2</v>
      </c>
    </row>
    <row r="1608" spans="1:7">
      <c r="A1608">
        <v>327</v>
      </c>
      <c r="B1608">
        <v>3</v>
      </c>
      <c r="C1608" s="1">
        <f>(Tabela1[[#This Row],[x]]-H$3)*(Tabela1[[#This Row],[x]]-H$3) +(Tabela1[[#This Row],[y]]-H$4)*(Tabela1[[#This Row],[y]]-H$4)</f>
        <v>54938</v>
      </c>
      <c r="D1608" s="1">
        <f>IF(Tabela1[[#This Row],[promien]]&lt;40000,1,0)</f>
        <v>0</v>
      </c>
      <c r="E1608" s="1">
        <f>IF(Tabela1[[#This Row],[promien]]=40000,1,0)</f>
        <v>0</v>
      </c>
      <c r="F1608" s="1">
        <v>3.1666666666666665</v>
      </c>
      <c r="G1608" s="1">
        <v>2.5074013076873403E-2</v>
      </c>
    </row>
    <row r="1609" spans="1:7">
      <c r="A1609">
        <v>362</v>
      </c>
      <c r="B1609">
        <v>320</v>
      </c>
      <c r="C1609" s="1">
        <f>(Tabela1[[#This Row],[x]]-H$3)*(Tabela1[[#This Row],[x]]-H$3) +(Tabela1[[#This Row],[y]]-H$4)*(Tabela1[[#This Row],[y]]-H$4)</f>
        <v>40644</v>
      </c>
      <c r="D1609" s="1">
        <f>IF(Tabela1[[#This Row],[promien]]&lt;40000,1,0)</f>
        <v>0</v>
      </c>
      <c r="E1609" s="1">
        <f>IF(Tabela1[[#This Row],[promien]]=40000,1,0)</f>
        <v>0</v>
      </c>
      <c r="F1609" s="1">
        <v>3.1646985705407085</v>
      </c>
      <c r="G1609" s="1">
        <v>2.3105916950915351E-2</v>
      </c>
    </row>
    <row r="1610" spans="1:7">
      <c r="A1610">
        <v>143</v>
      </c>
      <c r="B1610">
        <v>104</v>
      </c>
      <c r="C1610" s="1">
        <f>(Tabela1[[#This Row],[x]]-H$3)*(Tabela1[[#This Row],[x]]-H$3) +(Tabela1[[#This Row],[y]]-H$4)*(Tabela1[[#This Row],[y]]-H$4)</f>
        <v>12465</v>
      </c>
      <c r="D1610" s="1">
        <f>IF(Tabela1[[#This Row],[promien]]&lt;40000,1,0)</f>
        <v>1</v>
      </c>
      <c r="E1610" s="1">
        <f>IF(Tabela1[[#This Row],[promien]]=40000,1,0)</f>
        <v>0</v>
      </c>
      <c r="F1610" s="1">
        <v>3.1652173913043478</v>
      </c>
      <c r="G1610" s="1">
        <v>2.3624737714554644E-2</v>
      </c>
    </row>
    <row r="1611" spans="1:7">
      <c r="A1611">
        <v>285</v>
      </c>
      <c r="B1611">
        <v>322</v>
      </c>
      <c r="C1611" s="1">
        <f>(Tabela1[[#This Row],[x]]-H$3)*(Tabela1[[#This Row],[x]]-H$3) +(Tabela1[[#This Row],[y]]-H$4)*(Tabela1[[#This Row],[y]]-H$4)</f>
        <v>22109</v>
      </c>
      <c r="D1611" s="1">
        <f>IF(Tabela1[[#This Row],[promien]]&lt;40000,1,0)</f>
        <v>1</v>
      </c>
      <c r="E1611" s="1">
        <f>IF(Tabela1[[#This Row],[promien]]=40000,1,0)</f>
        <v>0</v>
      </c>
      <c r="F1611" s="1">
        <v>3.1657355679702048</v>
      </c>
      <c r="G1611" s="1">
        <v>2.4142914380411717E-2</v>
      </c>
    </row>
    <row r="1612" spans="1:7">
      <c r="A1612">
        <v>46</v>
      </c>
      <c r="B1612">
        <v>371</v>
      </c>
      <c r="C1612" s="1">
        <f>(Tabela1[[#This Row],[x]]-H$3)*(Tabela1[[#This Row],[x]]-H$3) +(Tabela1[[#This Row],[y]]-H$4)*(Tabela1[[#This Row],[y]]-H$4)</f>
        <v>52957</v>
      </c>
      <c r="D1612" s="1">
        <f>IF(Tabela1[[#This Row],[promien]]&lt;40000,1,0)</f>
        <v>0</v>
      </c>
      <c r="E1612" s="1">
        <f>IF(Tabela1[[#This Row],[promien]]=40000,1,0)</f>
        <v>0</v>
      </c>
      <c r="F1612" s="1">
        <v>3.1637717121588089</v>
      </c>
      <c r="G1612" s="1">
        <v>2.2179058569015808E-2</v>
      </c>
    </row>
    <row r="1613" spans="1:7">
      <c r="A1613">
        <v>354</v>
      </c>
      <c r="B1613">
        <v>384</v>
      </c>
      <c r="C1613" s="1">
        <f>(Tabela1[[#This Row],[x]]-H$3)*(Tabela1[[#This Row],[x]]-H$3) +(Tabela1[[#This Row],[y]]-H$4)*(Tabela1[[#This Row],[y]]-H$4)</f>
        <v>57572</v>
      </c>
      <c r="D1613" s="1">
        <f>IF(Tabela1[[#This Row],[promien]]&lt;40000,1,0)</f>
        <v>0</v>
      </c>
      <c r="E1613" s="1">
        <f>IF(Tabela1[[#This Row],[promien]]=40000,1,0)</f>
        <v>0</v>
      </c>
      <c r="F1613" s="1">
        <v>3.1618102913825172</v>
      </c>
      <c r="G1613" s="1">
        <v>2.0217637792724119E-2</v>
      </c>
    </row>
    <row r="1614" spans="1:7">
      <c r="A1614">
        <v>181</v>
      </c>
      <c r="B1614">
        <v>306</v>
      </c>
      <c r="C1614" s="1">
        <f>(Tabela1[[#This Row],[x]]-H$3)*(Tabela1[[#This Row],[x]]-H$3) +(Tabela1[[#This Row],[y]]-H$4)*(Tabela1[[#This Row],[y]]-H$4)</f>
        <v>11597</v>
      </c>
      <c r="D1614" s="1">
        <f>IF(Tabela1[[#This Row],[promien]]&lt;40000,1,0)</f>
        <v>1</v>
      </c>
      <c r="E1614" s="1">
        <f>IF(Tabela1[[#This Row],[promien]]=40000,1,0)</f>
        <v>0</v>
      </c>
      <c r="F1614" s="1">
        <v>3.1623296158612142</v>
      </c>
      <c r="G1614" s="1">
        <v>2.0736962271421078E-2</v>
      </c>
    </row>
    <row r="1615" spans="1:7">
      <c r="A1615">
        <v>305</v>
      </c>
      <c r="B1615">
        <v>328</v>
      </c>
      <c r="C1615" s="1">
        <f>(Tabela1[[#This Row],[x]]-H$3)*(Tabela1[[#This Row],[x]]-H$3) +(Tabela1[[#This Row],[y]]-H$4)*(Tabela1[[#This Row],[y]]-H$4)</f>
        <v>27409</v>
      </c>
      <c r="D1615" s="1">
        <f>IF(Tabela1[[#This Row],[promien]]&lt;40000,1,0)</f>
        <v>1</v>
      </c>
      <c r="E1615" s="1">
        <f>IF(Tabela1[[#This Row],[promien]]=40000,1,0)</f>
        <v>0</v>
      </c>
      <c r="F1615" s="1">
        <v>3.1628482972136225</v>
      </c>
      <c r="G1615" s="1">
        <v>2.1255643623829368E-2</v>
      </c>
    </row>
    <row r="1616" spans="1:7">
      <c r="A1616">
        <v>294</v>
      </c>
      <c r="B1616">
        <v>60</v>
      </c>
      <c r="C1616" s="1">
        <f>(Tabela1[[#This Row],[x]]-H$3)*(Tabela1[[#This Row],[x]]-H$3) +(Tabela1[[#This Row],[y]]-H$4)*(Tabela1[[#This Row],[y]]-H$4)</f>
        <v>28436</v>
      </c>
      <c r="D1616" s="1">
        <f>IF(Tabela1[[#This Row],[promien]]&lt;40000,1,0)</f>
        <v>1</v>
      </c>
      <c r="E1616" s="1">
        <f>IF(Tabela1[[#This Row],[promien]]=40000,1,0)</f>
        <v>0</v>
      </c>
      <c r="F1616" s="1">
        <v>3.1633663366336635</v>
      </c>
      <c r="G1616" s="1">
        <v>2.1773683043870395E-2</v>
      </c>
    </row>
    <row r="1617" spans="1:7">
      <c r="A1617">
        <v>95</v>
      </c>
      <c r="B1617">
        <v>2</v>
      </c>
      <c r="C1617" s="1">
        <f>(Tabela1[[#This Row],[x]]-H$3)*(Tabela1[[#This Row],[x]]-H$3) +(Tabela1[[#This Row],[y]]-H$4)*(Tabela1[[#This Row],[y]]-H$4)</f>
        <v>50229</v>
      </c>
      <c r="D1617" s="1">
        <f>IF(Tabela1[[#This Row],[promien]]&lt;40000,1,0)</f>
        <v>0</v>
      </c>
      <c r="E1617" s="1">
        <f>IF(Tabela1[[#This Row],[promien]]=40000,1,0)</f>
        <v>0</v>
      </c>
      <c r="F1617" s="1">
        <v>3.1614100185528757</v>
      </c>
      <c r="G1617" s="1">
        <v>1.9817364963082618E-2</v>
      </c>
    </row>
    <row r="1618" spans="1:7">
      <c r="A1618">
        <v>247</v>
      </c>
      <c r="B1618">
        <v>323</v>
      </c>
      <c r="C1618" s="1">
        <f>(Tabela1[[#This Row],[x]]-H$3)*(Tabela1[[#This Row],[x]]-H$3) +(Tabela1[[#This Row],[y]]-H$4)*(Tabela1[[#This Row],[y]]-H$4)</f>
        <v>17338</v>
      </c>
      <c r="D1618" s="1">
        <f>IF(Tabela1[[#This Row],[promien]]&lt;40000,1,0)</f>
        <v>1</v>
      </c>
      <c r="E1618" s="1">
        <f>IF(Tabela1[[#This Row],[promien]]=40000,1,0)</f>
        <v>0</v>
      </c>
      <c r="F1618" s="1">
        <v>3.1619283065512978</v>
      </c>
      <c r="G1618" s="1">
        <v>2.0335652961504636E-2</v>
      </c>
    </row>
    <row r="1619" spans="1:7">
      <c r="A1619">
        <v>393</v>
      </c>
      <c r="B1619">
        <v>360</v>
      </c>
      <c r="C1619" s="1">
        <f>(Tabela1[[#This Row],[x]]-H$3)*(Tabela1[[#This Row],[x]]-H$3) +(Tabela1[[#This Row],[y]]-H$4)*(Tabela1[[#This Row],[y]]-H$4)</f>
        <v>62849</v>
      </c>
      <c r="D1619" s="1">
        <f>IF(Tabela1[[#This Row],[promien]]&lt;40000,1,0)</f>
        <v>0</v>
      </c>
      <c r="E1619" s="1">
        <f>IF(Tabela1[[#This Row],[promien]]=40000,1,0)</f>
        <v>0</v>
      </c>
      <c r="F1619" s="1">
        <v>3.1599752933909819</v>
      </c>
      <c r="G1619" s="1">
        <v>1.8382639801188816E-2</v>
      </c>
    </row>
    <row r="1620" spans="1:7">
      <c r="A1620">
        <v>80</v>
      </c>
      <c r="B1620">
        <v>25</v>
      </c>
      <c r="C1620" s="1">
        <f>(Tabela1[[#This Row],[x]]-H$3)*(Tabela1[[#This Row],[x]]-H$3) +(Tabela1[[#This Row],[y]]-H$4)*(Tabela1[[#This Row],[y]]-H$4)</f>
        <v>45025</v>
      </c>
      <c r="D1620" s="1">
        <f>IF(Tabela1[[#This Row],[promien]]&lt;40000,1,0)</f>
        <v>0</v>
      </c>
      <c r="E1620" s="1">
        <f>IF(Tabela1[[#This Row],[promien]]=40000,1,0)</f>
        <v>0</v>
      </c>
      <c r="F1620" s="1">
        <v>3.1580246913580248</v>
      </c>
      <c r="G1620" s="1">
        <v>1.6432037768231655E-2</v>
      </c>
    </row>
    <row r="1621" spans="1:7">
      <c r="A1621">
        <v>391</v>
      </c>
      <c r="B1621">
        <v>293</v>
      </c>
      <c r="C1621" s="1">
        <f>(Tabela1[[#This Row],[x]]-H$3)*(Tabela1[[#This Row],[x]]-H$3) +(Tabela1[[#This Row],[y]]-H$4)*(Tabela1[[#This Row],[y]]-H$4)</f>
        <v>45130</v>
      </c>
      <c r="D1621" s="1">
        <f>IF(Tabela1[[#This Row],[promien]]&lt;40000,1,0)</f>
        <v>0</v>
      </c>
      <c r="E1621" s="1">
        <f>IF(Tabela1[[#This Row],[promien]]=40000,1,0)</f>
        <v>0</v>
      </c>
      <c r="F1621" s="1">
        <v>3.1560764959901295</v>
      </c>
      <c r="G1621" s="1">
        <v>1.44838424003364E-2</v>
      </c>
    </row>
    <row r="1622" spans="1:7">
      <c r="A1622">
        <v>239</v>
      </c>
      <c r="B1622">
        <v>359</v>
      </c>
      <c r="C1622" s="1">
        <f>(Tabela1[[#This Row],[x]]-H$3)*(Tabela1[[#This Row],[x]]-H$3) +(Tabela1[[#This Row],[y]]-H$4)*(Tabela1[[#This Row],[y]]-H$4)</f>
        <v>26802</v>
      </c>
      <c r="D1622" s="1">
        <f>IF(Tabela1[[#This Row],[promien]]&lt;40000,1,0)</f>
        <v>1</v>
      </c>
      <c r="E1622" s="1">
        <f>IF(Tabela1[[#This Row],[promien]]=40000,1,0)</f>
        <v>0</v>
      </c>
      <c r="F1622" s="1">
        <v>3.1565967940813811</v>
      </c>
      <c r="G1622" s="1">
        <v>1.5004140491587936E-2</v>
      </c>
    </row>
    <row r="1623" spans="1:7">
      <c r="A1623">
        <v>158</v>
      </c>
      <c r="B1623">
        <v>88</v>
      </c>
      <c r="C1623" s="1">
        <f>(Tabela1[[#This Row],[x]]-H$3)*(Tabela1[[#This Row],[x]]-H$3) +(Tabela1[[#This Row],[y]]-H$4)*(Tabela1[[#This Row],[y]]-H$4)</f>
        <v>14308</v>
      </c>
      <c r="D1623" s="1">
        <f>IF(Tabela1[[#This Row],[promien]]&lt;40000,1,0)</f>
        <v>1</v>
      </c>
      <c r="E1623" s="1">
        <f>IF(Tabela1[[#This Row],[promien]]=40000,1,0)</f>
        <v>0</v>
      </c>
      <c r="F1623" s="1">
        <v>3.1571164510166358</v>
      </c>
      <c r="G1623" s="1">
        <v>1.5523797426842734E-2</v>
      </c>
    </row>
    <row r="1624" spans="1:7">
      <c r="A1624">
        <v>157</v>
      </c>
      <c r="B1624">
        <v>163</v>
      </c>
      <c r="C1624" s="1">
        <f>(Tabela1[[#This Row],[x]]-H$3)*(Tabela1[[#This Row],[x]]-H$3) +(Tabela1[[#This Row],[y]]-H$4)*(Tabela1[[#This Row],[y]]-H$4)</f>
        <v>3218</v>
      </c>
      <c r="D1624" s="1">
        <f>IF(Tabela1[[#This Row],[promien]]&lt;40000,1,0)</f>
        <v>1</v>
      </c>
      <c r="E1624" s="1">
        <f>IF(Tabela1[[#This Row],[promien]]=40000,1,0)</f>
        <v>0</v>
      </c>
      <c r="F1624" s="1">
        <v>3.1576354679802954</v>
      </c>
      <c r="G1624" s="1">
        <v>1.6042814390502258E-2</v>
      </c>
    </row>
    <row r="1625" spans="1:7">
      <c r="A1625">
        <v>141</v>
      </c>
      <c r="B1625">
        <v>159</v>
      </c>
      <c r="C1625" s="1">
        <f>(Tabela1[[#This Row],[x]]-H$3)*(Tabela1[[#This Row],[x]]-H$3) +(Tabela1[[#This Row],[y]]-H$4)*(Tabela1[[#This Row],[y]]-H$4)</f>
        <v>5162</v>
      </c>
      <c r="D1625" s="1">
        <f>IF(Tabela1[[#This Row],[promien]]&lt;40000,1,0)</f>
        <v>1</v>
      </c>
      <c r="E1625" s="1">
        <f>IF(Tabela1[[#This Row],[promien]]=40000,1,0)</f>
        <v>0</v>
      </c>
      <c r="F1625" s="1">
        <v>3.1581538461538461</v>
      </c>
      <c r="G1625" s="1">
        <v>1.6561192564052973E-2</v>
      </c>
    </row>
    <row r="1626" spans="1:7">
      <c r="A1626">
        <v>238</v>
      </c>
      <c r="B1626">
        <v>349</v>
      </c>
      <c r="C1626" s="1">
        <f>(Tabela1[[#This Row],[x]]-H$3)*(Tabela1[[#This Row],[x]]-H$3) +(Tabela1[[#This Row],[y]]-H$4)*(Tabela1[[#This Row],[y]]-H$4)</f>
        <v>23645</v>
      </c>
      <c r="D1626" s="1">
        <f>IF(Tabela1[[#This Row],[promien]]&lt;40000,1,0)</f>
        <v>1</v>
      </c>
      <c r="E1626" s="1">
        <f>IF(Tabela1[[#This Row],[promien]]=40000,1,0)</f>
        <v>0</v>
      </c>
      <c r="F1626" s="1">
        <v>3.158671586715867</v>
      </c>
      <c r="G1626" s="1">
        <v>1.7078933126073892E-2</v>
      </c>
    </row>
    <row r="1627" spans="1:7">
      <c r="A1627">
        <v>383</v>
      </c>
      <c r="B1627">
        <v>209</v>
      </c>
      <c r="C1627" s="1">
        <f>(Tabela1[[#This Row],[x]]-H$3)*(Tabela1[[#This Row],[x]]-H$3) +(Tabela1[[#This Row],[y]]-H$4)*(Tabela1[[#This Row],[y]]-H$4)</f>
        <v>33570</v>
      </c>
      <c r="D1627" s="1">
        <f>IF(Tabela1[[#This Row],[promien]]&lt;40000,1,0)</f>
        <v>1</v>
      </c>
      <c r="E1627" s="1">
        <f>IF(Tabela1[[#This Row],[promien]]=40000,1,0)</f>
        <v>0</v>
      </c>
      <c r="F1627" s="1">
        <v>3.1591886908420403</v>
      </c>
      <c r="G1627" s="1">
        <v>1.7596037252247232E-2</v>
      </c>
    </row>
    <row r="1628" spans="1:7">
      <c r="A1628">
        <v>369</v>
      </c>
      <c r="B1628">
        <v>348</v>
      </c>
      <c r="C1628" s="1">
        <f>(Tabela1[[#This Row],[x]]-H$3)*(Tabela1[[#This Row],[x]]-H$3) +(Tabela1[[#This Row],[y]]-H$4)*(Tabela1[[#This Row],[y]]-H$4)</f>
        <v>50465</v>
      </c>
      <c r="D1628" s="1">
        <f>IF(Tabela1[[#This Row],[promien]]&lt;40000,1,0)</f>
        <v>0</v>
      </c>
      <c r="E1628" s="1">
        <f>IF(Tabela1[[#This Row],[promien]]=40000,1,0)</f>
        <v>0</v>
      </c>
      <c r="F1628" s="1">
        <v>3.1572481572481572</v>
      </c>
      <c r="G1628" s="1">
        <v>1.5655503658364101E-2</v>
      </c>
    </row>
    <row r="1629" spans="1:7">
      <c r="A1629">
        <v>139</v>
      </c>
      <c r="B1629">
        <v>15</v>
      </c>
      <c r="C1629" s="1">
        <f>(Tabela1[[#This Row],[x]]-H$3)*(Tabela1[[#This Row],[x]]-H$3) +(Tabela1[[#This Row],[y]]-H$4)*(Tabela1[[#This Row],[y]]-H$4)</f>
        <v>37946</v>
      </c>
      <c r="D1629" s="1">
        <f>IF(Tabela1[[#This Row],[promien]]&lt;40000,1,0)</f>
        <v>1</v>
      </c>
      <c r="E1629" s="1">
        <f>IF(Tabela1[[#This Row],[promien]]=40000,1,0)</f>
        <v>0</v>
      </c>
      <c r="F1629" s="1">
        <v>3.1577655003069367</v>
      </c>
      <c r="G1629" s="1">
        <v>1.6172846717143585E-2</v>
      </c>
    </row>
    <row r="1630" spans="1:7">
      <c r="A1630">
        <v>372</v>
      </c>
      <c r="B1630">
        <v>325</v>
      </c>
      <c r="C1630" s="1">
        <f>(Tabela1[[#This Row],[x]]-H$3)*(Tabela1[[#This Row],[x]]-H$3) +(Tabela1[[#This Row],[y]]-H$4)*(Tabela1[[#This Row],[y]]-H$4)</f>
        <v>45209</v>
      </c>
      <c r="D1630" s="1">
        <f>IF(Tabela1[[#This Row],[promien]]&lt;40000,1,0)</f>
        <v>0</v>
      </c>
      <c r="E1630" s="1">
        <f>IF(Tabela1[[#This Row],[promien]]=40000,1,0)</f>
        <v>0</v>
      </c>
      <c r="F1630" s="1">
        <v>3.1558282208588957</v>
      </c>
      <c r="G1630" s="1">
        <v>1.4235567269102578E-2</v>
      </c>
    </row>
    <row r="1631" spans="1:7">
      <c r="A1631">
        <v>133</v>
      </c>
      <c r="B1631">
        <v>197</v>
      </c>
      <c r="C1631" s="1">
        <f>(Tabela1[[#This Row],[x]]-H$3)*(Tabela1[[#This Row],[x]]-H$3) +(Tabela1[[#This Row],[y]]-H$4)*(Tabela1[[#This Row],[y]]-H$4)</f>
        <v>4498</v>
      </c>
      <c r="D1631" s="1">
        <f>IF(Tabela1[[#This Row],[promien]]&lt;40000,1,0)</f>
        <v>1</v>
      </c>
      <c r="E1631" s="1">
        <f>IF(Tabela1[[#This Row],[promien]]=40000,1,0)</f>
        <v>0</v>
      </c>
      <c r="F1631" s="1">
        <v>3.1563458001226241</v>
      </c>
      <c r="G1631" s="1">
        <v>1.4753146532830996E-2</v>
      </c>
    </row>
    <row r="1632" spans="1:7">
      <c r="A1632">
        <v>319</v>
      </c>
      <c r="B1632">
        <v>10</v>
      </c>
      <c r="C1632" s="1">
        <f>(Tabela1[[#This Row],[x]]-H$3)*(Tabela1[[#This Row],[x]]-H$3) +(Tabela1[[#This Row],[y]]-H$4)*(Tabela1[[#This Row],[y]]-H$4)</f>
        <v>50261</v>
      </c>
      <c r="D1632" s="1">
        <f>IF(Tabela1[[#This Row],[promien]]&lt;40000,1,0)</f>
        <v>0</v>
      </c>
      <c r="E1632" s="1">
        <f>IF(Tabela1[[#This Row],[promien]]=40000,1,0)</f>
        <v>0</v>
      </c>
      <c r="F1632" s="1">
        <v>3.1544117647058822</v>
      </c>
      <c r="G1632" s="1">
        <v>1.2819111116089132E-2</v>
      </c>
    </row>
    <row r="1633" spans="1:7">
      <c r="A1633">
        <v>279</v>
      </c>
      <c r="B1633">
        <v>365</v>
      </c>
      <c r="C1633" s="1">
        <f>(Tabela1[[#This Row],[x]]-H$3)*(Tabela1[[#This Row],[x]]-H$3) +(Tabela1[[#This Row],[y]]-H$4)*(Tabela1[[#This Row],[y]]-H$4)</f>
        <v>33466</v>
      </c>
      <c r="D1633" s="1">
        <f>IF(Tabela1[[#This Row],[promien]]&lt;40000,1,0)</f>
        <v>1</v>
      </c>
      <c r="E1633" s="1">
        <f>IF(Tabela1[[#This Row],[promien]]=40000,1,0)</f>
        <v>0</v>
      </c>
      <c r="F1633" s="1">
        <v>3.1549295774647885</v>
      </c>
      <c r="G1633" s="1">
        <v>1.333692387499541E-2</v>
      </c>
    </row>
    <row r="1634" spans="1:7">
      <c r="A1634">
        <v>338</v>
      </c>
      <c r="B1634">
        <v>349</v>
      </c>
      <c r="C1634" s="1">
        <f>(Tabela1[[#This Row],[x]]-H$3)*(Tabela1[[#This Row],[x]]-H$3) +(Tabela1[[#This Row],[y]]-H$4)*(Tabela1[[#This Row],[y]]-H$4)</f>
        <v>41245</v>
      </c>
      <c r="D1634" s="1">
        <f>IF(Tabela1[[#This Row],[promien]]&lt;40000,1,0)</f>
        <v>0</v>
      </c>
      <c r="E1634" s="1">
        <f>IF(Tabela1[[#This Row],[promien]]=40000,1,0)</f>
        <v>0</v>
      </c>
      <c r="F1634" s="1">
        <v>3.1529987760097917</v>
      </c>
      <c r="G1634" s="1">
        <v>1.140612241999861E-2</v>
      </c>
    </row>
    <row r="1635" spans="1:7">
      <c r="A1635">
        <v>224</v>
      </c>
      <c r="B1635">
        <v>326</v>
      </c>
      <c r="C1635" s="1">
        <f>(Tabela1[[#This Row],[x]]-H$3)*(Tabela1[[#This Row],[x]]-H$3) +(Tabela1[[#This Row],[y]]-H$4)*(Tabela1[[#This Row],[y]]-H$4)</f>
        <v>16452</v>
      </c>
      <c r="D1635" s="1">
        <f>IF(Tabela1[[#This Row],[promien]]&lt;40000,1,0)</f>
        <v>1</v>
      </c>
      <c r="E1635" s="1">
        <f>IF(Tabela1[[#This Row],[promien]]=40000,1,0)</f>
        <v>0</v>
      </c>
      <c r="F1635" s="1">
        <v>3.1535168195718652</v>
      </c>
      <c r="G1635" s="1">
        <v>1.1924165982072132E-2</v>
      </c>
    </row>
    <row r="1636" spans="1:7">
      <c r="A1636">
        <v>267</v>
      </c>
      <c r="B1636">
        <v>350</v>
      </c>
      <c r="C1636" s="1">
        <f>(Tabela1[[#This Row],[x]]-H$3)*(Tabela1[[#This Row],[x]]-H$3) +(Tabela1[[#This Row],[y]]-H$4)*(Tabela1[[#This Row],[y]]-H$4)</f>
        <v>26989</v>
      </c>
      <c r="D1636" s="1">
        <f>IF(Tabela1[[#This Row],[promien]]&lt;40000,1,0)</f>
        <v>1</v>
      </c>
      <c r="E1636" s="1">
        <f>IF(Tabela1[[#This Row],[promien]]=40000,1,0)</f>
        <v>0</v>
      </c>
      <c r="F1636" s="1">
        <v>3.1540342298288508</v>
      </c>
      <c r="G1636" s="1">
        <v>1.2441576239057728E-2</v>
      </c>
    </row>
    <row r="1637" spans="1:7">
      <c r="A1637">
        <v>40</v>
      </c>
      <c r="B1637">
        <v>222</v>
      </c>
      <c r="C1637" s="1">
        <f>(Tabela1[[#This Row],[x]]-H$3)*(Tabela1[[#This Row],[x]]-H$3) +(Tabela1[[#This Row],[y]]-H$4)*(Tabela1[[#This Row],[y]]-H$4)</f>
        <v>26084</v>
      </c>
      <c r="D1637" s="1">
        <f>IF(Tabela1[[#This Row],[promien]]&lt;40000,1,0)</f>
        <v>1</v>
      </c>
      <c r="E1637" s="1">
        <f>IF(Tabela1[[#This Row],[promien]]=40000,1,0)</f>
        <v>0</v>
      </c>
      <c r="F1637" s="1">
        <v>3.1545510079413561</v>
      </c>
      <c r="G1637" s="1">
        <v>1.2958354351563006E-2</v>
      </c>
    </row>
    <row r="1638" spans="1:7">
      <c r="A1638">
        <v>288</v>
      </c>
      <c r="B1638">
        <v>355</v>
      </c>
      <c r="C1638" s="1">
        <f>(Tabela1[[#This Row],[x]]-H$3)*(Tabela1[[#This Row],[x]]-H$3) +(Tabela1[[#This Row],[y]]-H$4)*(Tabela1[[#This Row],[y]]-H$4)</f>
        <v>31769</v>
      </c>
      <c r="D1638" s="1">
        <f>IF(Tabela1[[#This Row],[promien]]&lt;40000,1,0)</f>
        <v>1</v>
      </c>
      <c r="E1638" s="1">
        <f>IF(Tabela1[[#This Row],[promien]]=40000,1,0)</f>
        <v>0</v>
      </c>
      <c r="F1638" s="1">
        <v>3.155067155067155</v>
      </c>
      <c r="G1638" s="1">
        <v>1.3474501477361844E-2</v>
      </c>
    </row>
    <row r="1639" spans="1:7">
      <c r="A1639">
        <v>111</v>
      </c>
      <c r="B1639">
        <v>173</v>
      </c>
      <c r="C1639" s="1">
        <f>(Tabela1[[#This Row],[x]]-H$3)*(Tabela1[[#This Row],[x]]-H$3) +(Tabela1[[#This Row],[y]]-H$4)*(Tabela1[[#This Row],[y]]-H$4)</f>
        <v>8650</v>
      </c>
      <c r="D1639" s="1">
        <f>IF(Tabela1[[#This Row],[promien]]&lt;40000,1,0)</f>
        <v>1</v>
      </c>
      <c r="E1639" s="1">
        <f>IF(Tabela1[[#This Row],[promien]]=40000,1,0)</f>
        <v>0</v>
      </c>
      <c r="F1639" s="1">
        <v>3.1555826723611959</v>
      </c>
      <c r="G1639" s="1">
        <v>1.3990018771402823E-2</v>
      </c>
    </row>
    <row r="1640" spans="1:7">
      <c r="A1640">
        <v>373</v>
      </c>
      <c r="B1640">
        <v>83</v>
      </c>
      <c r="C1640" s="1">
        <f>(Tabela1[[#This Row],[x]]-H$3)*(Tabela1[[#This Row],[x]]-H$3) +(Tabela1[[#This Row],[y]]-H$4)*(Tabela1[[#This Row],[y]]-H$4)</f>
        <v>43618</v>
      </c>
      <c r="D1640" s="1">
        <f>IF(Tabela1[[#This Row],[promien]]&lt;40000,1,0)</f>
        <v>0</v>
      </c>
      <c r="E1640" s="1">
        <f>IF(Tabela1[[#This Row],[promien]]=40000,1,0)</f>
        <v>0</v>
      </c>
      <c r="F1640" s="1">
        <v>3.153658536585366</v>
      </c>
      <c r="G1640" s="1">
        <v>1.2065882995572874E-2</v>
      </c>
    </row>
    <row r="1641" spans="1:7">
      <c r="A1641">
        <v>304</v>
      </c>
      <c r="B1641">
        <v>397</v>
      </c>
      <c r="C1641" s="1">
        <f>(Tabela1[[#This Row],[x]]-H$3)*(Tabela1[[#This Row],[x]]-H$3) +(Tabela1[[#This Row],[y]]-H$4)*(Tabela1[[#This Row],[y]]-H$4)</f>
        <v>49625</v>
      </c>
      <c r="D1641" s="1">
        <f>IF(Tabela1[[#This Row],[promien]]&lt;40000,1,0)</f>
        <v>0</v>
      </c>
      <c r="E1641" s="1">
        <f>IF(Tabela1[[#This Row],[promien]]=40000,1,0)</f>
        <v>0</v>
      </c>
      <c r="F1641" s="1">
        <v>3.1517367458866543</v>
      </c>
      <c r="G1641" s="1">
        <v>1.0144092296861196E-2</v>
      </c>
    </row>
    <row r="1642" spans="1:7">
      <c r="A1642">
        <v>169</v>
      </c>
      <c r="B1642">
        <v>219</v>
      </c>
      <c r="C1642" s="1">
        <f>(Tabela1[[#This Row],[x]]-H$3)*(Tabela1[[#This Row],[x]]-H$3) +(Tabela1[[#This Row],[y]]-H$4)*(Tabela1[[#This Row],[y]]-H$4)</f>
        <v>1322</v>
      </c>
      <c r="D1642" s="1">
        <f>IF(Tabela1[[#This Row],[promien]]&lt;40000,1,0)</f>
        <v>1</v>
      </c>
      <c r="E1642" s="1">
        <f>IF(Tabela1[[#This Row],[promien]]=40000,1,0)</f>
        <v>0</v>
      </c>
      <c r="F1642" s="1">
        <v>3.1522533495736904</v>
      </c>
      <c r="G1642" s="1">
        <v>1.0660695983897295E-2</v>
      </c>
    </row>
    <row r="1643" spans="1:7">
      <c r="A1643">
        <v>30</v>
      </c>
      <c r="B1643">
        <v>28</v>
      </c>
      <c r="C1643" s="1">
        <f>(Tabela1[[#This Row],[x]]-H$3)*(Tabela1[[#This Row],[x]]-H$3) +(Tabela1[[#This Row],[y]]-H$4)*(Tabela1[[#This Row],[y]]-H$4)</f>
        <v>58484</v>
      </c>
      <c r="D1643" s="1">
        <f>IF(Tabela1[[#This Row],[promien]]&lt;40000,1,0)</f>
        <v>0</v>
      </c>
      <c r="E1643" s="1">
        <f>IF(Tabela1[[#This Row],[promien]]=40000,1,0)</f>
        <v>0</v>
      </c>
      <c r="F1643" s="1">
        <v>3.1503347534996955</v>
      </c>
      <c r="G1643" s="1">
        <v>8.7420999099023788E-3</v>
      </c>
    </row>
    <row r="1644" spans="1:7">
      <c r="A1644">
        <v>255</v>
      </c>
      <c r="B1644">
        <v>217</v>
      </c>
      <c r="C1644" s="1">
        <f>(Tabela1[[#This Row],[x]]-H$3)*(Tabela1[[#This Row],[x]]-H$3) +(Tabela1[[#This Row],[y]]-H$4)*(Tabela1[[#This Row],[y]]-H$4)</f>
        <v>3314</v>
      </c>
      <c r="D1644" s="1">
        <f>IF(Tabela1[[#This Row],[promien]]&lt;40000,1,0)</f>
        <v>1</v>
      </c>
      <c r="E1644" s="1">
        <f>IF(Tabela1[[#This Row],[promien]]=40000,1,0)</f>
        <v>0</v>
      </c>
      <c r="F1644" s="1">
        <v>3.1508515815085159</v>
      </c>
      <c r="G1644" s="1">
        <v>9.2589279187227369E-3</v>
      </c>
    </row>
    <row r="1645" spans="1:7">
      <c r="A1645">
        <v>359</v>
      </c>
      <c r="B1645">
        <v>205</v>
      </c>
      <c r="C1645" s="1">
        <f>(Tabela1[[#This Row],[x]]-H$3)*(Tabela1[[#This Row],[x]]-H$3) +(Tabela1[[#This Row],[y]]-H$4)*(Tabela1[[#This Row],[y]]-H$4)</f>
        <v>25306</v>
      </c>
      <c r="D1645" s="1">
        <f>IF(Tabela1[[#This Row],[promien]]&lt;40000,1,0)</f>
        <v>1</v>
      </c>
      <c r="E1645" s="1">
        <f>IF(Tabela1[[#This Row],[promien]]=40000,1,0)</f>
        <v>0</v>
      </c>
      <c r="F1645" s="1">
        <v>3.1513677811550154</v>
      </c>
      <c r="G1645" s="1">
        <v>9.7751275652222525E-3</v>
      </c>
    </row>
    <row r="1646" spans="1:7">
      <c r="A1646">
        <v>291</v>
      </c>
      <c r="B1646">
        <v>336</v>
      </c>
      <c r="C1646" s="1">
        <f>(Tabela1[[#This Row],[x]]-H$3)*(Tabela1[[#This Row],[x]]-H$3) +(Tabela1[[#This Row],[y]]-H$4)*(Tabela1[[#This Row],[y]]-H$4)</f>
        <v>26777</v>
      </c>
      <c r="D1646" s="1">
        <f>IF(Tabela1[[#This Row],[promien]]&lt;40000,1,0)</f>
        <v>1</v>
      </c>
      <c r="E1646" s="1">
        <f>IF(Tabela1[[#This Row],[promien]]=40000,1,0)</f>
        <v>0</v>
      </c>
      <c r="F1646" s="1">
        <v>3.1518833535844473</v>
      </c>
      <c r="G1646" s="1">
        <v>1.0290699994654151E-2</v>
      </c>
    </row>
    <row r="1647" spans="1:7">
      <c r="A1647">
        <v>6</v>
      </c>
      <c r="B1647">
        <v>187</v>
      </c>
      <c r="C1647" s="1">
        <f>(Tabela1[[#This Row],[x]]-H$3)*(Tabela1[[#This Row],[x]]-H$3) +(Tabela1[[#This Row],[y]]-H$4)*(Tabela1[[#This Row],[y]]-H$4)</f>
        <v>37805</v>
      </c>
      <c r="D1647" s="1">
        <f>IF(Tabela1[[#This Row],[promien]]&lt;40000,1,0)</f>
        <v>1</v>
      </c>
      <c r="E1647" s="1">
        <f>IF(Tabela1[[#This Row],[promien]]=40000,1,0)</f>
        <v>0</v>
      </c>
      <c r="F1647" s="1">
        <v>3.1523982999392834</v>
      </c>
      <c r="G1647" s="1">
        <v>1.0805646349490328E-2</v>
      </c>
    </row>
    <row r="1648" spans="1:7">
      <c r="A1648">
        <v>357</v>
      </c>
      <c r="B1648">
        <v>91</v>
      </c>
      <c r="C1648" s="1">
        <f>(Tabela1[[#This Row],[x]]-H$3)*(Tabela1[[#This Row],[x]]-H$3) +(Tabela1[[#This Row],[y]]-H$4)*(Tabela1[[#This Row],[y]]-H$4)</f>
        <v>36530</v>
      </c>
      <c r="D1648" s="1">
        <f>IF(Tabela1[[#This Row],[promien]]&lt;40000,1,0)</f>
        <v>1</v>
      </c>
      <c r="E1648" s="1">
        <f>IF(Tabela1[[#This Row],[promien]]=40000,1,0)</f>
        <v>0</v>
      </c>
      <c r="F1648" s="1">
        <v>3.1529126213592233</v>
      </c>
      <c r="G1648" s="1">
        <v>1.1319967769430228E-2</v>
      </c>
    </row>
    <row r="1649" spans="1:7">
      <c r="A1649">
        <v>170</v>
      </c>
      <c r="B1649">
        <v>289</v>
      </c>
      <c r="C1649" s="1">
        <f>(Tabela1[[#This Row],[x]]-H$3)*(Tabela1[[#This Row],[x]]-H$3) +(Tabela1[[#This Row],[y]]-H$4)*(Tabela1[[#This Row],[y]]-H$4)</f>
        <v>8821</v>
      </c>
      <c r="D1649" s="1">
        <f>IF(Tabela1[[#This Row],[promien]]&lt;40000,1,0)</f>
        <v>1</v>
      </c>
      <c r="E1649" s="1">
        <f>IF(Tabela1[[#This Row],[promien]]=40000,1,0)</f>
        <v>0</v>
      </c>
      <c r="F1649" s="1">
        <v>3.1534263189812006</v>
      </c>
      <c r="G1649" s="1">
        <v>1.1833665391407511E-2</v>
      </c>
    </row>
    <row r="1650" spans="1:7">
      <c r="A1650">
        <v>14</v>
      </c>
      <c r="B1650">
        <v>185</v>
      </c>
      <c r="C1650" s="1">
        <f>(Tabela1[[#This Row],[x]]-H$3)*(Tabela1[[#This Row],[x]]-H$3) +(Tabela1[[#This Row],[y]]-H$4)*(Tabela1[[#This Row],[y]]-H$4)</f>
        <v>34821</v>
      </c>
      <c r="D1650" s="1">
        <f>IF(Tabela1[[#This Row],[promien]]&lt;40000,1,0)</f>
        <v>1</v>
      </c>
      <c r="E1650" s="1">
        <f>IF(Tabela1[[#This Row],[promien]]=40000,1,0)</f>
        <v>0</v>
      </c>
      <c r="F1650" s="1">
        <v>3.1539393939393938</v>
      </c>
      <c r="G1650" s="1">
        <v>1.2346740349600704E-2</v>
      </c>
    </row>
    <row r="1651" spans="1:7">
      <c r="A1651">
        <v>295</v>
      </c>
      <c r="B1651">
        <v>132</v>
      </c>
      <c r="C1651" s="1">
        <f>(Tabela1[[#This Row],[x]]-H$3)*(Tabela1[[#This Row],[x]]-H$3) +(Tabela1[[#This Row],[y]]-H$4)*(Tabela1[[#This Row],[y]]-H$4)</f>
        <v>13649</v>
      </c>
      <c r="D1651" s="1">
        <f>IF(Tabela1[[#This Row],[promien]]&lt;40000,1,0)</f>
        <v>1</v>
      </c>
      <c r="E1651" s="1">
        <f>IF(Tabela1[[#This Row],[promien]]=40000,1,0)</f>
        <v>0</v>
      </c>
      <c r="F1651" s="1">
        <v>3.154451847365233</v>
      </c>
      <c r="G1651" s="1">
        <v>1.285919377543987E-2</v>
      </c>
    </row>
    <row r="1652" spans="1:7">
      <c r="A1652">
        <v>342</v>
      </c>
      <c r="B1652">
        <v>263</v>
      </c>
      <c r="C1652" s="1">
        <f>(Tabela1[[#This Row],[x]]-H$3)*(Tabela1[[#This Row],[x]]-H$3) +(Tabela1[[#This Row],[y]]-H$4)*(Tabela1[[#This Row],[y]]-H$4)</f>
        <v>24133</v>
      </c>
      <c r="D1652" s="1">
        <f>IF(Tabela1[[#This Row],[promien]]&lt;40000,1,0)</f>
        <v>1</v>
      </c>
      <c r="E1652" s="1">
        <f>IF(Tabela1[[#This Row],[promien]]=40000,1,0)</f>
        <v>0</v>
      </c>
      <c r="F1652" s="1">
        <v>3.154963680387409</v>
      </c>
      <c r="G1652" s="1">
        <v>1.3371026797615926E-2</v>
      </c>
    </row>
    <row r="1653" spans="1:7">
      <c r="A1653">
        <v>37</v>
      </c>
      <c r="B1653">
        <v>88</v>
      </c>
      <c r="C1653" s="1">
        <f>(Tabela1[[#This Row],[x]]-H$3)*(Tabela1[[#This Row],[x]]-H$3) +(Tabela1[[#This Row],[y]]-H$4)*(Tabela1[[#This Row],[y]]-H$4)</f>
        <v>39113</v>
      </c>
      <c r="D1653" s="1">
        <f>IF(Tabela1[[#This Row],[promien]]&lt;40000,1,0)</f>
        <v>1</v>
      </c>
      <c r="E1653" s="1">
        <f>IF(Tabela1[[#This Row],[promien]]=40000,1,0)</f>
        <v>0</v>
      </c>
      <c r="F1653" s="1">
        <v>3.1554748941318813</v>
      </c>
      <c r="G1653" s="1">
        <v>1.3882240542088198E-2</v>
      </c>
    </row>
    <row r="1654" spans="1:7">
      <c r="A1654">
        <v>226</v>
      </c>
      <c r="B1654">
        <v>51</v>
      </c>
      <c r="C1654" s="1">
        <f>(Tabela1[[#This Row],[x]]-H$3)*(Tabela1[[#This Row],[x]]-H$3) +(Tabela1[[#This Row],[y]]-H$4)*(Tabela1[[#This Row],[y]]-H$4)</f>
        <v>22877</v>
      </c>
      <c r="D1654" s="1">
        <f>IF(Tabela1[[#This Row],[promien]]&lt;40000,1,0)</f>
        <v>1</v>
      </c>
      <c r="E1654" s="1">
        <f>IF(Tabela1[[#This Row],[promien]]=40000,1,0)</f>
        <v>0</v>
      </c>
      <c r="F1654" s="1">
        <v>3.1559854897218864</v>
      </c>
      <c r="G1654" s="1">
        <v>1.4392836132093301E-2</v>
      </c>
    </row>
    <row r="1655" spans="1:7">
      <c r="A1655">
        <v>177</v>
      </c>
      <c r="B1655">
        <v>179</v>
      </c>
      <c r="C1655" s="1">
        <f>(Tabela1[[#This Row],[x]]-H$3)*(Tabela1[[#This Row],[x]]-H$3) +(Tabela1[[#This Row],[y]]-H$4)*(Tabela1[[#This Row],[y]]-H$4)</f>
        <v>970</v>
      </c>
      <c r="D1655" s="1">
        <f>IF(Tabela1[[#This Row],[promien]]&lt;40000,1,0)</f>
        <v>1</v>
      </c>
      <c r="E1655" s="1">
        <f>IF(Tabela1[[#This Row],[promien]]=40000,1,0)</f>
        <v>0</v>
      </c>
      <c r="F1655" s="1">
        <v>3.1564954682779458</v>
      </c>
      <c r="G1655" s="1">
        <v>1.4902814688152688E-2</v>
      </c>
    </row>
    <row r="1656" spans="1:7">
      <c r="A1656">
        <v>297</v>
      </c>
      <c r="B1656">
        <v>36</v>
      </c>
      <c r="C1656" s="1">
        <f>(Tabela1[[#This Row],[x]]-H$3)*(Tabela1[[#This Row],[x]]-H$3) +(Tabela1[[#This Row],[y]]-H$4)*(Tabela1[[#This Row],[y]]-H$4)</f>
        <v>36305</v>
      </c>
      <c r="D1656" s="1">
        <f>IF(Tabela1[[#This Row],[promien]]&lt;40000,1,0)</f>
        <v>1</v>
      </c>
      <c r="E1656" s="1">
        <f>IF(Tabela1[[#This Row],[promien]]=40000,1,0)</f>
        <v>0</v>
      </c>
      <c r="F1656" s="1">
        <v>3.1570048309178742</v>
      </c>
      <c r="G1656" s="1">
        <v>1.5412177328081089E-2</v>
      </c>
    </row>
    <row r="1657" spans="1:7">
      <c r="A1657">
        <v>300</v>
      </c>
      <c r="B1657">
        <v>12</v>
      </c>
      <c r="C1657" s="1">
        <f>(Tabela1[[#This Row],[x]]-H$3)*(Tabela1[[#This Row],[x]]-H$3) +(Tabela1[[#This Row],[y]]-H$4)*(Tabela1[[#This Row],[y]]-H$4)</f>
        <v>45344</v>
      </c>
      <c r="D1657" s="1">
        <f>IF(Tabela1[[#This Row],[promien]]&lt;40000,1,0)</f>
        <v>0</v>
      </c>
      <c r="E1657" s="1">
        <f>IF(Tabela1[[#This Row],[promien]]=40000,1,0)</f>
        <v>0</v>
      </c>
      <c r="F1657" s="1">
        <v>3.1550995775497888</v>
      </c>
      <c r="G1657" s="1">
        <v>1.3506923959995643E-2</v>
      </c>
    </row>
    <row r="1658" spans="1:7">
      <c r="A1658">
        <v>74</v>
      </c>
      <c r="B1658">
        <v>217</v>
      </c>
      <c r="C1658" s="1">
        <f>(Tabela1[[#This Row],[x]]-H$3)*(Tabela1[[#This Row],[x]]-H$3) +(Tabela1[[#This Row],[y]]-H$4)*(Tabela1[[#This Row],[y]]-H$4)</f>
        <v>16165</v>
      </c>
      <c r="D1658" s="1">
        <f>IF(Tabela1[[#This Row],[promien]]&lt;40000,1,0)</f>
        <v>1</v>
      </c>
      <c r="E1658" s="1">
        <f>IF(Tabela1[[#This Row],[promien]]=40000,1,0)</f>
        <v>0</v>
      </c>
      <c r="F1658" s="1">
        <v>3.1556091676718938</v>
      </c>
      <c r="G1658" s="1">
        <v>1.4016514082100695E-2</v>
      </c>
    </row>
    <row r="1659" spans="1:7">
      <c r="A1659">
        <v>210</v>
      </c>
      <c r="B1659">
        <v>294</v>
      </c>
      <c r="C1659" s="1">
        <f>(Tabela1[[#This Row],[x]]-H$3)*(Tabela1[[#This Row],[x]]-H$3) +(Tabela1[[#This Row],[y]]-H$4)*(Tabela1[[#This Row],[y]]-H$4)</f>
        <v>8936</v>
      </c>
      <c r="D1659" s="1">
        <f>IF(Tabela1[[#This Row],[promien]]&lt;40000,1,0)</f>
        <v>1</v>
      </c>
      <c r="E1659" s="1">
        <f>IF(Tabela1[[#This Row],[promien]]=40000,1,0)</f>
        <v>0</v>
      </c>
      <c r="F1659" s="1">
        <v>3.1561181434599157</v>
      </c>
      <c r="G1659" s="1">
        <v>1.4525489870122588E-2</v>
      </c>
    </row>
    <row r="1660" spans="1:7">
      <c r="A1660">
        <v>318</v>
      </c>
      <c r="B1660">
        <v>339</v>
      </c>
      <c r="C1660" s="1">
        <f>(Tabela1[[#This Row],[x]]-H$3)*(Tabela1[[#This Row],[x]]-H$3) +(Tabela1[[#This Row],[y]]-H$4)*(Tabela1[[#This Row],[y]]-H$4)</f>
        <v>33245</v>
      </c>
      <c r="D1660" s="1">
        <f>IF(Tabela1[[#This Row],[promien]]&lt;40000,1,0)</f>
        <v>1</v>
      </c>
      <c r="E1660" s="1">
        <f>IF(Tabela1[[#This Row],[promien]]=40000,1,0)</f>
        <v>0</v>
      </c>
      <c r="F1660" s="1">
        <v>3.1566265060240966</v>
      </c>
      <c r="G1660" s="1">
        <v>1.5033852434303441E-2</v>
      </c>
    </row>
    <row r="1661" spans="1:7">
      <c r="A1661">
        <v>276</v>
      </c>
      <c r="B1661">
        <v>27</v>
      </c>
      <c r="C1661" s="1">
        <f>(Tabela1[[#This Row],[x]]-H$3)*(Tabela1[[#This Row],[x]]-H$3) +(Tabela1[[#This Row],[y]]-H$4)*(Tabela1[[#This Row],[y]]-H$4)</f>
        <v>35705</v>
      </c>
      <c r="D1661" s="1">
        <f>IF(Tabela1[[#This Row],[promien]]&lt;40000,1,0)</f>
        <v>1</v>
      </c>
      <c r="E1661" s="1">
        <f>IF(Tabela1[[#This Row],[promien]]=40000,1,0)</f>
        <v>0</v>
      </c>
      <c r="F1661" s="1">
        <v>3.1571342564720046</v>
      </c>
      <c r="G1661" s="1">
        <v>1.5541602882211514E-2</v>
      </c>
    </row>
    <row r="1662" spans="1:7">
      <c r="A1662">
        <v>283</v>
      </c>
      <c r="B1662">
        <v>205</v>
      </c>
      <c r="C1662" s="1">
        <f>(Tabela1[[#This Row],[x]]-H$3)*(Tabela1[[#This Row],[x]]-H$3) +(Tabela1[[#This Row],[y]]-H$4)*(Tabela1[[#This Row],[y]]-H$4)</f>
        <v>6914</v>
      </c>
      <c r="D1662" s="1">
        <f>IF(Tabela1[[#This Row],[promien]]&lt;40000,1,0)</f>
        <v>1</v>
      </c>
      <c r="E1662" s="1">
        <f>IF(Tabela1[[#This Row],[promien]]=40000,1,0)</f>
        <v>0</v>
      </c>
      <c r="F1662" s="1">
        <v>3.1576413959085441</v>
      </c>
      <c r="G1662" s="1">
        <v>1.6048742318750975E-2</v>
      </c>
    </row>
    <row r="1663" spans="1:7">
      <c r="A1663">
        <v>302</v>
      </c>
      <c r="B1663">
        <v>142</v>
      </c>
      <c r="C1663" s="1">
        <f>(Tabela1[[#This Row],[x]]-H$3)*(Tabela1[[#This Row],[x]]-H$3) +(Tabela1[[#This Row],[y]]-H$4)*(Tabela1[[#This Row],[y]]-H$4)</f>
        <v>13768</v>
      </c>
      <c r="D1663" s="1">
        <f>IF(Tabela1[[#This Row],[promien]]&lt;40000,1,0)</f>
        <v>1</v>
      </c>
      <c r="E1663" s="1">
        <f>IF(Tabela1[[#This Row],[promien]]=40000,1,0)</f>
        <v>0</v>
      </c>
      <c r="F1663" s="1">
        <v>3.158147925435959</v>
      </c>
      <c r="G1663" s="1">
        <v>1.6555271846165898E-2</v>
      </c>
    </row>
    <row r="1664" spans="1:7">
      <c r="A1664">
        <v>223</v>
      </c>
      <c r="B1664">
        <v>8</v>
      </c>
      <c r="C1664" s="1">
        <f>(Tabela1[[#This Row],[x]]-H$3)*(Tabela1[[#This Row],[x]]-H$3) +(Tabela1[[#This Row],[y]]-H$4)*(Tabela1[[#This Row],[y]]-H$4)</f>
        <v>37393</v>
      </c>
      <c r="D1664" s="1">
        <f>IF(Tabela1[[#This Row],[promien]]&lt;40000,1,0)</f>
        <v>1</v>
      </c>
      <c r="E1664" s="1">
        <f>IF(Tabela1[[#This Row],[promien]]=40000,1,0)</f>
        <v>0</v>
      </c>
      <c r="F1664" s="1">
        <v>3.1586538461538463</v>
      </c>
      <c r="G1664" s="1">
        <v>1.706119256405314E-2</v>
      </c>
    </row>
    <row r="1665" spans="1:7">
      <c r="A1665">
        <v>365</v>
      </c>
      <c r="B1665">
        <v>196</v>
      </c>
      <c r="C1665" s="1">
        <f>(Tabela1[[#This Row],[x]]-H$3)*(Tabela1[[#This Row],[x]]-H$3) +(Tabela1[[#This Row],[y]]-H$4)*(Tabela1[[#This Row],[y]]-H$4)</f>
        <v>27241</v>
      </c>
      <c r="D1665" s="1">
        <f>IF(Tabela1[[#This Row],[promien]]&lt;40000,1,0)</f>
        <v>1</v>
      </c>
      <c r="E1665" s="1">
        <f>IF(Tabela1[[#This Row],[promien]]=40000,1,0)</f>
        <v>0</v>
      </c>
      <c r="F1665" s="1">
        <v>3.159159159159159</v>
      </c>
      <c r="G1665" s="1">
        <v>1.7566505569365898E-2</v>
      </c>
    </row>
    <row r="1666" spans="1:7">
      <c r="A1666">
        <v>226</v>
      </c>
      <c r="B1666">
        <v>170</v>
      </c>
      <c r="C1666" s="1">
        <f>(Tabela1[[#This Row],[x]]-H$3)*(Tabela1[[#This Row],[x]]-H$3) +(Tabela1[[#This Row],[y]]-H$4)*(Tabela1[[#This Row],[y]]-H$4)</f>
        <v>1576</v>
      </c>
      <c r="D1666" s="1">
        <f>IF(Tabela1[[#This Row],[promien]]&lt;40000,1,0)</f>
        <v>1</v>
      </c>
      <c r="E1666" s="1">
        <f>IF(Tabela1[[#This Row],[promien]]=40000,1,0)</f>
        <v>0</v>
      </c>
      <c r="F1666" s="1">
        <v>3.1596638655462184</v>
      </c>
      <c r="G1666" s="1">
        <v>1.8071211956425248E-2</v>
      </c>
    </row>
    <row r="1667" spans="1:7">
      <c r="A1667">
        <v>65</v>
      </c>
      <c r="B1667">
        <v>168</v>
      </c>
      <c r="C1667" s="1">
        <f>(Tabela1[[#This Row],[x]]-H$3)*(Tabela1[[#This Row],[x]]-H$3) +(Tabela1[[#This Row],[y]]-H$4)*(Tabela1[[#This Row],[y]]-H$4)</f>
        <v>19249</v>
      </c>
      <c r="D1667" s="1">
        <f>IF(Tabela1[[#This Row],[promien]]&lt;40000,1,0)</f>
        <v>1</v>
      </c>
      <c r="E1667" s="1">
        <f>IF(Tabela1[[#This Row],[promien]]=40000,1,0)</f>
        <v>0</v>
      </c>
      <c r="F1667" s="1">
        <v>3.1601679664067186</v>
      </c>
      <c r="G1667" s="1">
        <v>1.8575312816925482E-2</v>
      </c>
    </row>
    <row r="1668" spans="1:7">
      <c r="A1668">
        <v>326</v>
      </c>
      <c r="B1668">
        <v>322</v>
      </c>
      <c r="C1668" s="1">
        <f>(Tabela1[[#This Row],[x]]-H$3)*(Tabela1[[#This Row],[x]]-H$3) +(Tabela1[[#This Row],[y]]-H$4)*(Tabela1[[#This Row],[y]]-H$4)</f>
        <v>30760</v>
      </c>
      <c r="D1668" s="1">
        <f>IF(Tabela1[[#This Row],[promien]]&lt;40000,1,0)</f>
        <v>1</v>
      </c>
      <c r="E1668" s="1">
        <f>IF(Tabela1[[#This Row],[promien]]=40000,1,0)</f>
        <v>0</v>
      </c>
      <c r="F1668" s="1">
        <v>3.1606714628297361</v>
      </c>
      <c r="G1668" s="1">
        <v>1.9078809239942984E-2</v>
      </c>
    </row>
    <row r="1669" spans="1:7">
      <c r="A1669">
        <v>233</v>
      </c>
      <c r="B1669">
        <v>122</v>
      </c>
      <c r="C1669" s="1">
        <f>(Tabela1[[#This Row],[x]]-H$3)*(Tabela1[[#This Row],[x]]-H$3) +(Tabela1[[#This Row],[y]]-H$4)*(Tabela1[[#This Row],[y]]-H$4)</f>
        <v>7173</v>
      </c>
      <c r="D1669" s="1">
        <f>IF(Tabela1[[#This Row],[promien]]&lt;40000,1,0)</f>
        <v>1</v>
      </c>
      <c r="E1669" s="1">
        <f>IF(Tabela1[[#This Row],[promien]]=40000,1,0)</f>
        <v>0</v>
      </c>
      <c r="F1669" s="1">
        <v>3.1611743559017378</v>
      </c>
      <c r="G1669" s="1">
        <v>1.9581702311944671E-2</v>
      </c>
    </row>
    <row r="1670" spans="1:7">
      <c r="A1670">
        <v>339</v>
      </c>
      <c r="B1670">
        <v>231</v>
      </c>
      <c r="C1670" s="1">
        <f>(Tabela1[[#This Row],[x]]-H$3)*(Tabela1[[#This Row],[x]]-H$3) +(Tabela1[[#This Row],[y]]-H$4)*(Tabela1[[#This Row],[y]]-H$4)</f>
        <v>20282</v>
      </c>
      <c r="D1670" s="1">
        <f>IF(Tabela1[[#This Row],[promien]]&lt;40000,1,0)</f>
        <v>1</v>
      </c>
      <c r="E1670" s="1">
        <f>IF(Tabela1[[#This Row],[promien]]=40000,1,0)</f>
        <v>0</v>
      </c>
      <c r="F1670" s="1">
        <v>3.1616766467065869</v>
      </c>
      <c r="G1670" s="1">
        <v>2.0083993116793764E-2</v>
      </c>
    </row>
    <row r="1671" spans="1:7">
      <c r="A1671">
        <v>217</v>
      </c>
      <c r="B1671">
        <v>92</v>
      </c>
      <c r="C1671" s="1">
        <f>(Tabela1[[#This Row],[x]]-H$3)*(Tabela1[[#This Row],[x]]-H$3) +(Tabela1[[#This Row],[y]]-H$4)*(Tabela1[[#This Row],[y]]-H$4)</f>
        <v>11953</v>
      </c>
      <c r="D1671" s="1">
        <f>IF(Tabela1[[#This Row],[promien]]&lt;40000,1,0)</f>
        <v>1</v>
      </c>
      <c r="E1671" s="1">
        <f>IF(Tabela1[[#This Row],[promien]]=40000,1,0)</f>
        <v>0</v>
      </c>
      <c r="F1671" s="1">
        <v>3.1621783363255536</v>
      </c>
      <c r="G1671" s="1">
        <v>2.0585682735760447E-2</v>
      </c>
    </row>
    <row r="1672" spans="1:7">
      <c r="A1672">
        <v>23</v>
      </c>
      <c r="B1672">
        <v>51</v>
      </c>
      <c r="C1672" s="1">
        <f>(Tabela1[[#This Row],[x]]-H$3)*(Tabela1[[#This Row],[x]]-H$3) +(Tabela1[[#This Row],[y]]-H$4)*(Tabela1[[#This Row],[y]]-H$4)</f>
        <v>53530</v>
      </c>
      <c r="D1672" s="1">
        <f>IF(Tabela1[[#This Row],[promien]]&lt;40000,1,0)</f>
        <v>0</v>
      </c>
      <c r="E1672" s="1">
        <f>IF(Tabela1[[#This Row],[promien]]=40000,1,0)</f>
        <v>0</v>
      </c>
      <c r="F1672" s="1">
        <v>3.160287081339713</v>
      </c>
      <c r="G1672" s="1">
        <v>1.8694427749919917E-2</v>
      </c>
    </row>
    <row r="1673" spans="1:7">
      <c r="A1673">
        <v>324</v>
      </c>
      <c r="B1673">
        <v>63</v>
      </c>
      <c r="C1673" s="1">
        <f>(Tabela1[[#This Row],[x]]-H$3)*(Tabela1[[#This Row],[x]]-H$3) +(Tabela1[[#This Row],[y]]-H$4)*(Tabela1[[#This Row],[y]]-H$4)</f>
        <v>34145</v>
      </c>
      <c r="D1673" s="1">
        <f>IF(Tabela1[[#This Row],[promien]]&lt;40000,1,0)</f>
        <v>1</v>
      </c>
      <c r="E1673" s="1">
        <f>IF(Tabela1[[#This Row],[promien]]=40000,1,0)</f>
        <v>0</v>
      </c>
      <c r="F1673" s="1">
        <v>3.1607890017931859</v>
      </c>
      <c r="G1673" s="1">
        <v>1.9196348203392777E-2</v>
      </c>
    </row>
    <row r="1674" spans="1:7">
      <c r="A1674">
        <v>100</v>
      </c>
      <c r="B1674">
        <v>330</v>
      </c>
      <c r="C1674" s="1">
        <f>(Tabela1[[#This Row],[x]]-H$3)*(Tabela1[[#This Row],[x]]-H$3) +(Tabela1[[#This Row],[y]]-H$4)*(Tabela1[[#This Row],[y]]-H$4)</f>
        <v>26900</v>
      </c>
      <c r="D1674" s="1">
        <f>IF(Tabela1[[#This Row],[promien]]&lt;40000,1,0)</f>
        <v>1</v>
      </c>
      <c r="E1674" s="1">
        <f>IF(Tabela1[[#This Row],[promien]]=40000,1,0)</f>
        <v>0</v>
      </c>
      <c r="F1674" s="1">
        <v>3.161290322580645</v>
      </c>
      <c r="G1674" s="1">
        <v>1.9697668990851902E-2</v>
      </c>
    </row>
    <row r="1675" spans="1:7">
      <c r="A1675">
        <v>75</v>
      </c>
      <c r="B1675">
        <v>391</v>
      </c>
      <c r="C1675" s="1">
        <f>(Tabela1[[#This Row],[x]]-H$3)*(Tabela1[[#This Row],[x]]-H$3) +(Tabela1[[#This Row],[y]]-H$4)*(Tabela1[[#This Row],[y]]-H$4)</f>
        <v>52106</v>
      </c>
      <c r="D1675" s="1">
        <f>IF(Tabela1[[#This Row],[promien]]&lt;40000,1,0)</f>
        <v>0</v>
      </c>
      <c r="E1675" s="1">
        <f>IF(Tabela1[[#This Row],[promien]]=40000,1,0)</f>
        <v>0</v>
      </c>
      <c r="F1675" s="1">
        <v>3.1594029850746268</v>
      </c>
      <c r="G1675" s="1">
        <v>1.7810331484833686E-2</v>
      </c>
    </row>
    <row r="1676" spans="1:7">
      <c r="A1676">
        <v>14</v>
      </c>
      <c r="B1676">
        <v>231</v>
      </c>
      <c r="C1676" s="1">
        <f>(Tabela1[[#This Row],[x]]-H$3)*(Tabela1[[#This Row],[x]]-H$3) +(Tabela1[[#This Row],[y]]-H$4)*(Tabela1[[#This Row],[y]]-H$4)</f>
        <v>35557</v>
      </c>
      <c r="D1676" s="1">
        <f>IF(Tabela1[[#This Row],[promien]]&lt;40000,1,0)</f>
        <v>1</v>
      </c>
      <c r="E1676" s="1">
        <f>IF(Tabela1[[#This Row],[promien]]=40000,1,0)</f>
        <v>0</v>
      </c>
      <c r="F1676" s="1">
        <v>3.1599045346062051</v>
      </c>
      <c r="G1676" s="1">
        <v>1.8311881016412013E-2</v>
      </c>
    </row>
    <row r="1677" spans="1:7">
      <c r="A1677">
        <v>272</v>
      </c>
      <c r="B1677">
        <v>168</v>
      </c>
      <c r="C1677" s="1">
        <f>(Tabela1[[#This Row],[x]]-H$3)*(Tabela1[[#This Row],[x]]-H$3) +(Tabela1[[#This Row],[y]]-H$4)*(Tabela1[[#This Row],[y]]-H$4)</f>
        <v>6208</v>
      </c>
      <c r="D1677" s="1">
        <f>IF(Tabela1[[#This Row],[promien]]&lt;40000,1,0)</f>
        <v>1</v>
      </c>
      <c r="E1677" s="1">
        <f>IF(Tabela1[[#This Row],[promien]]=40000,1,0)</f>
        <v>0</v>
      </c>
      <c r="F1677" s="1">
        <v>3.1604054859868813</v>
      </c>
      <c r="G1677" s="1">
        <v>1.8812832397088197E-2</v>
      </c>
    </row>
    <row r="1678" spans="1:7">
      <c r="A1678">
        <v>230</v>
      </c>
      <c r="B1678">
        <v>45</v>
      </c>
      <c r="C1678" s="1">
        <f>(Tabela1[[#This Row],[x]]-H$3)*(Tabela1[[#This Row],[x]]-H$3) +(Tabela1[[#This Row],[y]]-H$4)*(Tabela1[[#This Row],[y]]-H$4)</f>
        <v>24925</v>
      </c>
      <c r="D1678" s="1">
        <f>IF(Tabela1[[#This Row],[promien]]&lt;40000,1,0)</f>
        <v>1</v>
      </c>
      <c r="E1678" s="1">
        <f>IF(Tabela1[[#This Row],[promien]]=40000,1,0)</f>
        <v>0</v>
      </c>
      <c r="F1678" s="1">
        <v>3.160905840286055</v>
      </c>
      <c r="G1678" s="1">
        <v>1.9313186696261919E-2</v>
      </c>
    </row>
    <row r="1679" spans="1:7">
      <c r="A1679">
        <v>66</v>
      </c>
      <c r="B1679">
        <v>21</v>
      </c>
      <c r="C1679" s="1">
        <f>(Tabela1[[#This Row],[x]]-H$3)*(Tabela1[[#This Row],[x]]-H$3) +(Tabela1[[#This Row],[y]]-H$4)*(Tabela1[[#This Row],[y]]-H$4)</f>
        <v>49997</v>
      </c>
      <c r="D1679" s="1">
        <f>IF(Tabela1[[#This Row],[promien]]&lt;40000,1,0)</f>
        <v>0</v>
      </c>
      <c r="E1679" s="1">
        <f>IF(Tabela1[[#This Row],[promien]]=40000,1,0)</f>
        <v>0</v>
      </c>
      <c r="F1679" s="1">
        <v>3.1590232281119714</v>
      </c>
      <c r="G1679" s="1">
        <v>1.7430574522178333E-2</v>
      </c>
    </row>
    <row r="1680" spans="1:7">
      <c r="A1680">
        <v>74</v>
      </c>
      <c r="B1680">
        <v>190</v>
      </c>
      <c r="C1680" s="1">
        <f>(Tabela1[[#This Row],[x]]-H$3)*(Tabela1[[#This Row],[x]]-H$3) +(Tabela1[[#This Row],[y]]-H$4)*(Tabela1[[#This Row],[y]]-H$4)</f>
        <v>15976</v>
      </c>
      <c r="D1680" s="1">
        <f>IF(Tabela1[[#This Row],[promien]]&lt;40000,1,0)</f>
        <v>1</v>
      </c>
      <c r="E1680" s="1">
        <f>IF(Tabela1[[#This Row],[promien]]=40000,1,0)</f>
        <v>0</v>
      </c>
      <c r="F1680" s="1">
        <v>3.1595238095238094</v>
      </c>
      <c r="G1680" s="1">
        <v>1.7931155934016285E-2</v>
      </c>
    </row>
    <row r="1681" spans="1:7">
      <c r="A1681">
        <v>181</v>
      </c>
      <c r="B1681">
        <v>309</v>
      </c>
      <c r="C1681" s="1">
        <f>(Tabela1[[#This Row],[x]]-H$3)*(Tabela1[[#This Row],[x]]-H$3) +(Tabela1[[#This Row],[y]]-H$4)*(Tabela1[[#This Row],[y]]-H$4)</f>
        <v>12242</v>
      </c>
      <c r="D1681" s="1">
        <f>IF(Tabela1[[#This Row],[promien]]&lt;40000,1,0)</f>
        <v>1</v>
      </c>
      <c r="E1681" s="1">
        <f>IF(Tabela1[[#This Row],[promien]]=40000,1,0)</f>
        <v>0</v>
      </c>
      <c r="F1681" s="1">
        <v>3.1600237953599049</v>
      </c>
      <c r="G1681" s="1">
        <v>1.8431141770111736E-2</v>
      </c>
    </row>
    <row r="1682" spans="1:7">
      <c r="A1682">
        <v>120</v>
      </c>
      <c r="B1682">
        <v>394</v>
      </c>
      <c r="C1682" s="1">
        <f>(Tabela1[[#This Row],[x]]-H$3)*(Tabela1[[#This Row],[x]]-H$3) +(Tabela1[[#This Row],[y]]-H$4)*(Tabela1[[#This Row],[y]]-H$4)</f>
        <v>44036</v>
      </c>
      <c r="D1682" s="1">
        <f>IF(Tabela1[[#This Row],[promien]]&lt;40000,1,0)</f>
        <v>0</v>
      </c>
      <c r="E1682" s="1">
        <f>IF(Tabela1[[#This Row],[promien]]=40000,1,0)</f>
        <v>0</v>
      </c>
      <c r="F1682" s="1">
        <v>3.1581450653983354</v>
      </c>
      <c r="G1682" s="1">
        <v>1.6552411808542278E-2</v>
      </c>
    </row>
    <row r="1683" spans="1:7">
      <c r="A1683">
        <v>46</v>
      </c>
      <c r="B1683">
        <v>338</v>
      </c>
      <c r="C1683" s="1">
        <f>(Tabela1[[#This Row],[x]]-H$3)*(Tabela1[[#This Row],[x]]-H$3) +(Tabela1[[#This Row],[y]]-H$4)*(Tabela1[[#This Row],[y]]-H$4)</f>
        <v>42760</v>
      </c>
      <c r="D1683" s="1">
        <f>IF(Tabela1[[#This Row],[promien]]&lt;40000,1,0)</f>
        <v>0</v>
      </c>
      <c r="E1683" s="1">
        <f>IF(Tabela1[[#This Row],[promien]]=40000,1,0)</f>
        <v>0</v>
      </c>
      <c r="F1683" s="1">
        <v>3.156268568033274</v>
      </c>
      <c r="G1683" s="1">
        <v>1.4675914443480931E-2</v>
      </c>
    </row>
    <row r="1684" spans="1:7">
      <c r="A1684">
        <v>377</v>
      </c>
      <c r="B1684">
        <v>151</v>
      </c>
      <c r="C1684" s="1">
        <f>(Tabela1[[#This Row],[x]]-H$3)*(Tabela1[[#This Row],[x]]-H$3) +(Tabela1[[#This Row],[y]]-H$4)*(Tabela1[[#This Row],[y]]-H$4)</f>
        <v>33730</v>
      </c>
      <c r="D1684" s="1">
        <f>IF(Tabela1[[#This Row],[promien]]&lt;40000,1,0)</f>
        <v>1</v>
      </c>
      <c r="E1684" s="1">
        <f>IF(Tabela1[[#This Row],[promien]]=40000,1,0)</f>
        <v>0</v>
      </c>
      <c r="F1684" s="1">
        <v>3.156769596199525</v>
      </c>
      <c r="G1684" s="1">
        <v>1.5176942609731903E-2</v>
      </c>
    </row>
    <row r="1685" spans="1:7">
      <c r="A1685">
        <v>208</v>
      </c>
      <c r="B1685">
        <v>219</v>
      </c>
      <c r="C1685" s="1">
        <f>(Tabela1[[#This Row],[x]]-H$3)*(Tabela1[[#This Row],[x]]-H$3) +(Tabela1[[#This Row],[y]]-H$4)*(Tabela1[[#This Row],[y]]-H$4)</f>
        <v>425</v>
      </c>
      <c r="D1685" s="1">
        <f>IF(Tabela1[[#This Row],[promien]]&lt;40000,1,0)</f>
        <v>1</v>
      </c>
      <c r="E1685" s="1">
        <f>IF(Tabela1[[#This Row],[promien]]=40000,1,0)</f>
        <v>0</v>
      </c>
      <c r="F1685" s="1">
        <v>3.1572700296735907</v>
      </c>
      <c r="G1685" s="1">
        <v>1.5677376083797601E-2</v>
      </c>
    </row>
    <row r="1686" spans="1:7">
      <c r="A1686">
        <v>32</v>
      </c>
      <c r="B1686">
        <v>357</v>
      </c>
      <c r="C1686" s="1">
        <f>(Tabela1[[#This Row],[x]]-H$3)*(Tabela1[[#This Row],[x]]-H$3) +(Tabela1[[#This Row],[y]]-H$4)*(Tabela1[[#This Row],[y]]-H$4)</f>
        <v>52873</v>
      </c>
      <c r="D1686" s="1">
        <f>IF(Tabela1[[#This Row],[promien]]&lt;40000,1,0)</f>
        <v>0</v>
      </c>
      <c r="E1686" s="1">
        <f>IF(Tabela1[[#This Row],[promien]]=40000,1,0)</f>
        <v>0</v>
      </c>
      <c r="F1686" s="1">
        <v>3.1553973902728352</v>
      </c>
      <c r="G1686" s="1">
        <v>1.3804736683042051E-2</v>
      </c>
    </row>
    <row r="1687" spans="1:7">
      <c r="A1687">
        <v>170</v>
      </c>
      <c r="B1687">
        <v>328</v>
      </c>
      <c r="C1687" s="1">
        <f>(Tabela1[[#This Row],[x]]-H$3)*(Tabela1[[#This Row],[x]]-H$3) +(Tabela1[[#This Row],[y]]-H$4)*(Tabela1[[#This Row],[y]]-H$4)</f>
        <v>17284</v>
      </c>
      <c r="D1687" s="1">
        <f>IF(Tabela1[[#This Row],[promien]]&lt;40000,1,0)</f>
        <v>1</v>
      </c>
      <c r="E1687" s="1">
        <f>IF(Tabela1[[#This Row],[promien]]=40000,1,0)</f>
        <v>0</v>
      </c>
      <c r="F1687" s="1">
        <v>3.1558980438648487</v>
      </c>
      <c r="G1687" s="1">
        <v>1.4305390275055618E-2</v>
      </c>
    </row>
    <row r="1688" spans="1:7">
      <c r="A1688">
        <v>302</v>
      </c>
      <c r="B1688">
        <v>136</v>
      </c>
      <c r="C1688" s="1">
        <f>(Tabela1[[#This Row],[x]]-H$3)*(Tabela1[[#This Row],[x]]-H$3) +(Tabela1[[#This Row],[y]]-H$4)*(Tabela1[[#This Row],[y]]-H$4)</f>
        <v>14500</v>
      </c>
      <c r="D1688" s="1">
        <f>IF(Tabela1[[#This Row],[promien]]&lt;40000,1,0)</f>
        <v>1</v>
      </c>
      <c r="E1688" s="1">
        <f>IF(Tabela1[[#This Row],[promien]]=40000,1,0)</f>
        <v>0</v>
      </c>
      <c r="F1688" s="1">
        <v>3.1563981042654028</v>
      </c>
      <c r="G1688" s="1">
        <v>1.4805450675609677E-2</v>
      </c>
    </row>
    <row r="1689" spans="1:7">
      <c r="A1689">
        <v>221</v>
      </c>
      <c r="B1689">
        <v>297</v>
      </c>
      <c r="C1689" s="1">
        <f>(Tabela1[[#This Row],[x]]-H$3)*(Tabela1[[#This Row],[x]]-H$3) +(Tabela1[[#This Row],[y]]-H$4)*(Tabela1[[#This Row],[y]]-H$4)</f>
        <v>9850</v>
      </c>
      <c r="D1689" s="1">
        <f>IF(Tabela1[[#This Row],[promien]]&lt;40000,1,0)</f>
        <v>1</v>
      </c>
      <c r="E1689" s="1">
        <f>IF(Tabela1[[#This Row],[promien]]=40000,1,0)</f>
        <v>0</v>
      </c>
      <c r="F1689" s="1">
        <v>3.156897572528123</v>
      </c>
      <c r="G1689" s="1">
        <v>1.5304918938329859E-2</v>
      </c>
    </row>
    <row r="1690" spans="1:7">
      <c r="A1690">
        <v>179</v>
      </c>
      <c r="B1690">
        <v>253</v>
      </c>
      <c r="C1690" s="1">
        <f>(Tabela1[[#This Row],[x]]-H$3)*(Tabela1[[#This Row],[x]]-H$3) +(Tabela1[[#This Row],[y]]-H$4)*(Tabela1[[#This Row],[y]]-H$4)</f>
        <v>3250</v>
      </c>
      <c r="D1690" s="1">
        <f>IF(Tabela1[[#This Row],[promien]]&lt;40000,1,0)</f>
        <v>1</v>
      </c>
      <c r="E1690" s="1">
        <f>IF(Tabela1[[#This Row],[promien]]=40000,1,0)</f>
        <v>0</v>
      </c>
      <c r="F1690" s="1">
        <v>3.1573964497041418</v>
      </c>
      <c r="G1690" s="1">
        <v>1.5803796114348678E-2</v>
      </c>
    </row>
    <row r="1691" spans="1:7">
      <c r="A1691">
        <v>119</v>
      </c>
      <c r="B1691">
        <v>347</v>
      </c>
      <c r="C1691" s="1">
        <f>(Tabela1[[#This Row],[x]]-H$3)*(Tabela1[[#This Row],[x]]-H$3) +(Tabela1[[#This Row],[y]]-H$4)*(Tabela1[[#This Row],[y]]-H$4)</f>
        <v>28170</v>
      </c>
      <c r="D1691" s="1">
        <f>IF(Tabela1[[#This Row],[promien]]&lt;40000,1,0)</f>
        <v>1</v>
      </c>
      <c r="E1691" s="1">
        <f>IF(Tabela1[[#This Row],[promien]]=40000,1,0)</f>
        <v>0</v>
      </c>
      <c r="F1691" s="1">
        <v>3.1578947368421053</v>
      </c>
      <c r="G1691" s="1">
        <v>1.6302083252312194E-2</v>
      </c>
    </row>
    <row r="1692" spans="1:7">
      <c r="A1692">
        <v>195</v>
      </c>
      <c r="B1692">
        <v>362</v>
      </c>
      <c r="C1692" s="1">
        <f>(Tabela1[[#This Row],[x]]-H$3)*(Tabela1[[#This Row],[x]]-H$3) +(Tabela1[[#This Row],[y]]-H$4)*(Tabela1[[#This Row],[y]]-H$4)</f>
        <v>26269</v>
      </c>
      <c r="D1692" s="1">
        <f>IF(Tabela1[[#This Row],[promien]]&lt;40000,1,0)</f>
        <v>1</v>
      </c>
      <c r="E1692" s="1">
        <f>IF(Tabela1[[#This Row],[promien]]=40000,1,0)</f>
        <v>0</v>
      </c>
      <c r="F1692" s="1">
        <v>3.1583924349881798</v>
      </c>
      <c r="G1692" s="1">
        <v>1.6799781398386671E-2</v>
      </c>
    </row>
    <row r="1693" spans="1:7">
      <c r="A1693">
        <v>63</v>
      </c>
      <c r="B1693">
        <v>394</v>
      </c>
      <c r="C1693" s="1">
        <f>(Tabela1[[#This Row],[x]]-H$3)*(Tabela1[[#This Row],[x]]-H$3) +(Tabela1[[#This Row],[y]]-H$4)*(Tabela1[[#This Row],[y]]-H$4)</f>
        <v>56405</v>
      </c>
      <c r="D1693" s="1">
        <f>IF(Tabela1[[#This Row],[promien]]&lt;40000,1,0)</f>
        <v>0</v>
      </c>
      <c r="E1693" s="1">
        <f>IF(Tabela1[[#This Row],[promien]]=40000,1,0)</f>
        <v>0</v>
      </c>
      <c r="F1693" s="1">
        <v>3.1565268753691673</v>
      </c>
      <c r="G1693" s="1">
        <v>1.4934221779374202E-2</v>
      </c>
    </row>
    <row r="1694" spans="1:7">
      <c r="A1694">
        <v>349</v>
      </c>
      <c r="B1694">
        <v>86</v>
      </c>
      <c r="C1694" s="1">
        <f>(Tabela1[[#This Row],[x]]-H$3)*(Tabela1[[#This Row],[x]]-H$3) +(Tabela1[[#This Row],[y]]-H$4)*(Tabela1[[#This Row],[y]]-H$4)</f>
        <v>35197</v>
      </c>
      <c r="D1694" s="1">
        <f>IF(Tabela1[[#This Row],[promien]]&lt;40000,1,0)</f>
        <v>1</v>
      </c>
      <c r="E1694" s="1">
        <f>IF(Tabela1[[#This Row],[promien]]=40000,1,0)</f>
        <v>0</v>
      </c>
      <c r="F1694" s="1">
        <v>3.1570247933884299</v>
      </c>
      <c r="G1694" s="1">
        <v>1.5432139798636779E-2</v>
      </c>
    </row>
    <row r="1695" spans="1:7">
      <c r="A1695">
        <v>222</v>
      </c>
      <c r="B1695">
        <v>182</v>
      </c>
      <c r="C1695" s="1">
        <f>(Tabela1[[#This Row],[x]]-H$3)*(Tabela1[[#This Row],[x]]-H$3) +(Tabela1[[#This Row],[y]]-H$4)*(Tabela1[[#This Row],[y]]-H$4)</f>
        <v>808</v>
      </c>
      <c r="D1695" s="1">
        <f>IF(Tabela1[[#This Row],[promien]]&lt;40000,1,0)</f>
        <v>1</v>
      </c>
      <c r="E1695" s="1">
        <f>IF(Tabela1[[#This Row],[promien]]=40000,1,0)</f>
        <v>0</v>
      </c>
      <c r="F1695" s="1">
        <v>3.1575221238938052</v>
      </c>
      <c r="G1695" s="1">
        <v>1.5929470304012039E-2</v>
      </c>
    </row>
    <row r="1696" spans="1:7">
      <c r="A1696">
        <v>221</v>
      </c>
      <c r="B1696">
        <v>387</v>
      </c>
      <c r="C1696" s="1">
        <f>(Tabela1[[#This Row],[x]]-H$3)*(Tabela1[[#This Row],[x]]-H$3) +(Tabela1[[#This Row],[y]]-H$4)*(Tabela1[[#This Row],[y]]-H$4)</f>
        <v>35410</v>
      </c>
      <c r="D1696" s="1">
        <f>IF(Tabela1[[#This Row],[promien]]&lt;40000,1,0)</f>
        <v>1</v>
      </c>
      <c r="E1696" s="1">
        <f>IF(Tabela1[[#This Row],[promien]]=40000,1,0)</f>
        <v>0</v>
      </c>
      <c r="F1696" s="1">
        <v>3.1580188679245285</v>
      </c>
      <c r="G1696" s="1">
        <v>1.6426214334735345E-2</v>
      </c>
    </row>
    <row r="1697" spans="1:7">
      <c r="A1697">
        <v>362</v>
      </c>
      <c r="B1697">
        <v>40</v>
      </c>
      <c r="C1697" s="1">
        <f>(Tabela1[[#This Row],[x]]-H$3)*(Tabela1[[#This Row],[x]]-H$3) +(Tabela1[[#This Row],[y]]-H$4)*(Tabela1[[#This Row],[y]]-H$4)</f>
        <v>51844</v>
      </c>
      <c r="D1697" s="1">
        <f>IF(Tabela1[[#This Row],[promien]]&lt;40000,1,0)</f>
        <v>0</v>
      </c>
      <c r="E1697" s="1">
        <f>IF(Tabela1[[#This Row],[promien]]=40000,1,0)</f>
        <v>0</v>
      </c>
      <c r="F1697" s="1">
        <v>3.1561579257513257</v>
      </c>
      <c r="G1697" s="1">
        <v>1.4565272161532583E-2</v>
      </c>
    </row>
    <row r="1698" spans="1:7">
      <c r="A1698">
        <v>339</v>
      </c>
      <c r="B1698">
        <v>281</v>
      </c>
      <c r="C1698" s="1">
        <f>(Tabela1[[#This Row],[x]]-H$3)*(Tabela1[[#This Row],[x]]-H$3) +(Tabela1[[#This Row],[y]]-H$4)*(Tabela1[[#This Row],[y]]-H$4)</f>
        <v>25882</v>
      </c>
      <c r="D1698" s="1">
        <f>IF(Tabela1[[#This Row],[promien]]&lt;40000,1,0)</f>
        <v>1</v>
      </c>
      <c r="E1698" s="1">
        <f>IF(Tabela1[[#This Row],[promien]]=40000,1,0)</f>
        <v>0</v>
      </c>
      <c r="F1698" s="1">
        <v>3.1566548881036511</v>
      </c>
      <c r="G1698" s="1">
        <v>1.5062234513858019E-2</v>
      </c>
    </row>
    <row r="1699" spans="1:7">
      <c r="A1699">
        <v>144</v>
      </c>
      <c r="B1699">
        <v>113</v>
      </c>
      <c r="C1699" s="1">
        <f>(Tabela1[[#This Row],[x]]-H$3)*(Tabela1[[#This Row],[x]]-H$3) +(Tabela1[[#This Row],[y]]-H$4)*(Tabela1[[#This Row],[y]]-H$4)</f>
        <v>10705</v>
      </c>
      <c r="D1699" s="1">
        <f>IF(Tabela1[[#This Row],[promien]]&lt;40000,1,0)</f>
        <v>1</v>
      </c>
      <c r="E1699" s="1">
        <f>IF(Tabela1[[#This Row],[promien]]=40000,1,0)</f>
        <v>0</v>
      </c>
      <c r="F1699" s="1">
        <v>3.1571512654502647</v>
      </c>
      <c r="G1699" s="1">
        <v>1.5558611860471583E-2</v>
      </c>
    </row>
    <row r="1700" spans="1:7">
      <c r="A1700">
        <v>61</v>
      </c>
      <c r="B1700">
        <v>306</v>
      </c>
      <c r="C1700" s="1">
        <f>(Tabela1[[#This Row],[x]]-H$3)*(Tabela1[[#This Row],[x]]-H$3) +(Tabela1[[#This Row],[y]]-H$4)*(Tabela1[[#This Row],[y]]-H$4)</f>
        <v>30557</v>
      </c>
      <c r="D1700" s="1">
        <f>IF(Tabela1[[#This Row],[promien]]&lt;40000,1,0)</f>
        <v>1</v>
      </c>
      <c r="E1700" s="1">
        <f>IF(Tabela1[[#This Row],[promien]]=40000,1,0)</f>
        <v>0</v>
      </c>
      <c r="F1700" s="1">
        <v>3.1576470588235295</v>
      </c>
      <c r="G1700" s="1">
        <v>1.6054405233736357E-2</v>
      </c>
    </row>
    <row r="1701" spans="1:7">
      <c r="A1701">
        <v>331</v>
      </c>
      <c r="B1701">
        <v>103</v>
      </c>
      <c r="C1701" s="1">
        <f>(Tabela1[[#This Row],[x]]-H$3)*(Tabela1[[#This Row],[x]]-H$3) +(Tabela1[[#This Row],[y]]-H$4)*(Tabela1[[#This Row],[y]]-H$4)</f>
        <v>26570</v>
      </c>
      <c r="D1701" s="1">
        <f>IF(Tabela1[[#This Row],[promien]]&lt;40000,1,0)</f>
        <v>1</v>
      </c>
      <c r="E1701" s="1">
        <f>IF(Tabela1[[#This Row],[promien]]=40000,1,0)</f>
        <v>0</v>
      </c>
      <c r="F1701" s="1">
        <v>3.1581422692533803</v>
      </c>
      <c r="G1701" s="1">
        <v>1.6549615663587147E-2</v>
      </c>
    </row>
    <row r="1702" spans="1:7">
      <c r="A1702">
        <v>348</v>
      </c>
      <c r="B1702">
        <v>321</v>
      </c>
      <c r="C1702" s="1">
        <f>(Tabela1[[#This Row],[x]]-H$3)*(Tabela1[[#This Row],[x]]-H$3) +(Tabela1[[#This Row],[y]]-H$4)*(Tabela1[[#This Row],[y]]-H$4)</f>
        <v>36545</v>
      </c>
      <c r="D1702" s="1">
        <f>IF(Tabela1[[#This Row],[promien]]&lt;40000,1,0)</f>
        <v>1</v>
      </c>
      <c r="E1702" s="1">
        <f>IF(Tabela1[[#This Row],[promien]]=40000,1,0)</f>
        <v>0</v>
      </c>
      <c r="F1702" s="1">
        <v>3.1586368977673325</v>
      </c>
      <c r="G1702" s="1">
        <v>1.7044244177539358E-2</v>
      </c>
    </row>
    <row r="1703" spans="1:7">
      <c r="A1703">
        <v>44</v>
      </c>
      <c r="B1703">
        <v>222</v>
      </c>
      <c r="C1703" s="1">
        <f>(Tabela1[[#This Row],[x]]-H$3)*(Tabela1[[#This Row],[x]]-H$3) +(Tabela1[[#This Row],[y]]-H$4)*(Tabela1[[#This Row],[y]]-H$4)</f>
        <v>24820</v>
      </c>
      <c r="D1703" s="1">
        <f>IF(Tabela1[[#This Row],[promien]]&lt;40000,1,0)</f>
        <v>1</v>
      </c>
      <c r="E1703" s="1">
        <f>IF(Tabela1[[#This Row],[promien]]=40000,1,0)</f>
        <v>0</v>
      </c>
      <c r="F1703" s="1">
        <v>3.1591309453904874</v>
      </c>
      <c r="G1703" s="1">
        <v>1.7538291800694328E-2</v>
      </c>
    </row>
    <row r="1704" spans="1:7">
      <c r="A1704">
        <v>133</v>
      </c>
      <c r="B1704">
        <v>40</v>
      </c>
      <c r="C1704" s="1">
        <f>(Tabela1[[#This Row],[x]]-H$3)*(Tabela1[[#This Row],[x]]-H$3) +(Tabela1[[#This Row],[y]]-H$4)*(Tabela1[[#This Row],[y]]-H$4)</f>
        <v>30089</v>
      </c>
      <c r="D1704" s="1">
        <f>IF(Tabela1[[#This Row],[promien]]&lt;40000,1,0)</f>
        <v>1</v>
      </c>
      <c r="E1704" s="1">
        <f>IF(Tabela1[[#This Row],[promien]]=40000,1,0)</f>
        <v>0</v>
      </c>
      <c r="F1704" s="1">
        <v>3.15962441314554</v>
      </c>
      <c r="G1704" s="1">
        <v>1.8031759555746874E-2</v>
      </c>
    </row>
    <row r="1705" spans="1:7">
      <c r="A1705">
        <v>47</v>
      </c>
      <c r="B1705">
        <v>237</v>
      </c>
      <c r="C1705" s="1">
        <f>(Tabela1[[#This Row],[x]]-H$3)*(Tabela1[[#This Row],[x]]-H$3) +(Tabela1[[#This Row],[y]]-H$4)*(Tabela1[[#This Row],[y]]-H$4)</f>
        <v>24778</v>
      </c>
      <c r="D1705" s="1">
        <f>IF(Tabela1[[#This Row],[promien]]&lt;40000,1,0)</f>
        <v>1</v>
      </c>
      <c r="E1705" s="1">
        <f>IF(Tabela1[[#This Row],[promien]]=40000,1,0)</f>
        <v>0</v>
      </c>
      <c r="F1705" s="1">
        <v>3.160117302052786</v>
      </c>
      <c r="G1705" s="1">
        <v>1.8524648462992843E-2</v>
      </c>
    </row>
    <row r="1706" spans="1:7">
      <c r="A1706">
        <v>235</v>
      </c>
      <c r="B1706">
        <v>294</v>
      </c>
      <c r="C1706" s="1">
        <f>(Tabela1[[#This Row],[x]]-H$3)*(Tabela1[[#This Row],[x]]-H$3) +(Tabela1[[#This Row],[y]]-H$4)*(Tabela1[[#This Row],[y]]-H$4)</f>
        <v>10061</v>
      </c>
      <c r="D1706" s="1">
        <f>IF(Tabela1[[#This Row],[promien]]&lt;40000,1,0)</f>
        <v>1</v>
      </c>
      <c r="E1706" s="1">
        <f>IF(Tabela1[[#This Row],[promien]]=40000,1,0)</f>
        <v>0</v>
      </c>
      <c r="F1706" s="1">
        <v>3.1606096131301289</v>
      </c>
      <c r="G1706" s="1">
        <v>1.9016959540335776E-2</v>
      </c>
    </row>
    <row r="1707" spans="1:7">
      <c r="A1707">
        <v>79</v>
      </c>
      <c r="B1707">
        <v>112</v>
      </c>
      <c r="C1707" s="1">
        <f>(Tabela1[[#This Row],[x]]-H$3)*(Tabela1[[#This Row],[x]]-H$3) +(Tabela1[[#This Row],[y]]-H$4)*(Tabela1[[#This Row],[y]]-H$4)</f>
        <v>22385</v>
      </c>
      <c r="D1707" s="1">
        <f>IF(Tabela1[[#This Row],[promien]]&lt;40000,1,0)</f>
        <v>1</v>
      </c>
      <c r="E1707" s="1">
        <f>IF(Tabela1[[#This Row],[promien]]=40000,1,0)</f>
        <v>0</v>
      </c>
      <c r="F1707" s="1">
        <v>3.1611013473930871</v>
      </c>
      <c r="G1707" s="1">
        <v>1.9508693803294008E-2</v>
      </c>
    </row>
    <row r="1708" spans="1:7">
      <c r="A1708">
        <v>91</v>
      </c>
      <c r="B1708">
        <v>80</v>
      </c>
      <c r="C1708" s="1">
        <f>(Tabela1[[#This Row],[x]]-H$3)*(Tabela1[[#This Row],[x]]-H$3) +(Tabela1[[#This Row],[y]]-H$4)*(Tabela1[[#This Row],[y]]-H$4)</f>
        <v>26281</v>
      </c>
      <c r="D1708" s="1">
        <f>IF(Tabela1[[#This Row],[promien]]&lt;40000,1,0)</f>
        <v>1</v>
      </c>
      <c r="E1708" s="1">
        <f>IF(Tabela1[[#This Row],[promien]]=40000,1,0)</f>
        <v>0</v>
      </c>
      <c r="F1708" s="1">
        <v>3.1615925058548009</v>
      </c>
      <c r="G1708" s="1">
        <v>1.9999852265007778E-2</v>
      </c>
    </row>
    <row r="1709" spans="1:7">
      <c r="A1709">
        <v>19</v>
      </c>
      <c r="B1709">
        <v>324</v>
      </c>
      <c r="C1709" s="1">
        <f>(Tabela1[[#This Row],[x]]-H$3)*(Tabela1[[#This Row],[x]]-H$3) +(Tabela1[[#This Row],[y]]-H$4)*(Tabela1[[#This Row],[y]]-H$4)</f>
        <v>48137</v>
      </c>
      <c r="D1709" s="1">
        <f>IF(Tabela1[[#This Row],[promien]]&lt;40000,1,0)</f>
        <v>0</v>
      </c>
      <c r="E1709" s="1">
        <f>IF(Tabela1[[#This Row],[promien]]=40000,1,0)</f>
        <v>0</v>
      </c>
      <c r="F1709" s="1">
        <v>3.159742539496782</v>
      </c>
      <c r="G1709" s="1">
        <v>1.814988590698885E-2</v>
      </c>
    </row>
    <row r="1710" spans="1:7">
      <c r="A1710">
        <v>226</v>
      </c>
      <c r="B1710">
        <v>274</v>
      </c>
      <c r="C1710" s="1">
        <f>(Tabela1[[#This Row],[x]]-H$3)*(Tabela1[[#This Row],[x]]-H$3) +(Tabela1[[#This Row],[y]]-H$4)*(Tabela1[[#This Row],[y]]-H$4)</f>
        <v>6152</v>
      </c>
      <c r="D1710" s="1">
        <f>IF(Tabela1[[#This Row],[promien]]&lt;40000,1,0)</f>
        <v>1</v>
      </c>
      <c r="E1710" s="1">
        <f>IF(Tabela1[[#This Row],[promien]]=40000,1,0)</f>
        <v>0</v>
      </c>
      <c r="F1710" s="1">
        <v>3.1602339181286552</v>
      </c>
      <c r="G1710" s="1">
        <v>1.8641264538862057E-2</v>
      </c>
    </row>
    <row r="1711" spans="1:7">
      <c r="A1711">
        <v>32</v>
      </c>
      <c r="B1711">
        <v>387</v>
      </c>
      <c r="C1711" s="1">
        <f>(Tabela1[[#This Row],[x]]-H$3)*(Tabela1[[#This Row],[x]]-H$3) +(Tabela1[[#This Row],[y]]-H$4)*(Tabela1[[#This Row],[y]]-H$4)</f>
        <v>63193</v>
      </c>
      <c r="D1711" s="1">
        <f>IF(Tabela1[[#This Row],[promien]]&lt;40000,1,0)</f>
        <v>0</v>
      </c>
      <c r="E1711" s="1">
        <f>IF(Tabela1[[#This Row],[promien]]=40000,1,0)</f>
        <v>0</v>
      </c>
      <c r="F1711" s="1">
        <v>3.1583869082407947</v>
      </c>
      <c r="G1711" s="1">
        <v>1.6794254651001594E-2</v>
      </c>
    </row>
    <row r="1712" spans="1:7">
      <c r="A1712">
        <v>41</v>
      </c>
      <c r="B1712">
        <v>263</v>
      </c>
      <c r="C1712" s="1">
        <f>(Tabela1[[#This Row],[x]]-H$3)*(Tabela1[[#This Row],[x]]-H$3) +(Tabela1[[#This Row],[y]]-H$4)*(Tabela1[[#This Row],[y]]-H$4)</f>
        <v>29250</v>
      </c>
      <c r="D1712" s="1">
        <f>IF(Tabela1[[#This Row],[promien]]&lt;40000,1,0)</f>
        <v>1</v>
      </c>
      <c r="E1712" s="1">
        <f>IF(Tabela1[[#This Row],[promien]]=40000,1,0)</f>
        <v>0</v>
      </c>
      <c r="F1712" s="1">
        <v>3.1588785046728973</v>
      </c>
      <c r="G1712" s="1">
        <v>1.7285851083104209E-2</v>
      </c>
    </row>
    <row r="1713" spans="1:7">
      <c r="A1713">
        <v>64</v>
      </c>
      <c r="B1713">
        <v>112</v>
      </c>
      <c r="C1713" s="1">
        <f>(Tabela1[[#This Row],[x]]-H$3)*(Tabela1[[#This Row],[x]]-H$3) +(Tabela1[[#This Row],[y]]-H$4)*(Tabela1[[#This Row],[y]]-H$4)</f>
        <v>26240</v>
      </c>
      <c r="D1713" s="1">
        <f>IF(Tabela1[[#This Row],[promien]]&lt;40000,1,0)</f>
        <v>1</v>
      </c>
      <c r="E1713" s="1">
        <f>IF(Tabela1[[#This Row],[promien]]=40000,1,0)</f>
        <v>0</v>
      </c>
      <c r="F1713" s="1">
        <v>3.1593695271453592</v>
      </c>
      <c r="G1713" s="1">
        <v>1.7776873555566119E-2</v>
      </c>
    </row>
    <row r="1714" spans="1:7">
      <c r="A1714">
        <v>95</v>
      </c>
      <c r="B1714">
        <v>301</v>
      </c>
      <c r="C1714" s="1">
        <f>(Tabela1[[#This Row],[x]]-H$3)*(Tabela1[[#This Row],[x]]-H$3) +(Tabela1[[#This Row],[y]]-H$4)*(Tabela1[[#This Row],[y]]-H$4)</f>
        <v>21226</v>
      </c>
      <c r="D1714" s="1">
        <f>IF(Tabela1[[#This Row],[promien]]&lt;40000,1,0)</f>
        <v>1</v>
      </c>
      <c r="E1714" s="1">
        <f>IF(Tabela1[[#This Row],[promien]]=40000,1,0)</f>
        <v>0</v>
      </c>
      <c r="F1714" s="1">
        <v>3.1598599766627773</v>
      </c>
      <c r="G1714" s="1">
        <v>1.8267323072984176E-2</v>
      </c>
    </row>
    <row r="1715" spans="1:7">
      <c r="A1715">
        <v>384</v>
      </c>
      <c r="B1715">
        <v>181</v>
      </c>
      <c r="C1715" s="1">
        <f>(Tabela1[[#This Row],[x]]-H$3)*(Tabela1[[#This Row],[x]]-H$3) +(Tabela1[[#This Row],[y]]-H$4)*(Tabela1[[#This Row],[y]]-H$4)</f>
        <v>34217</v>
      </c>
      <c r="D1715" s="1">
        <f>IF(Tabela1[[#This Row],[promien]]&lt;40000,1,0)</f>
        <v>1</v>
      </c>
      <c r="E1715" s="1">
        <f>IF(Tabela1[[#This Row],[promien]]=40000,1,0)</f>
        <v>0</v>
      </c>
      <c r="F1715" s="1">
        <v>3.1603498542274053</v>
      </c>
      <c r="G1715" s="1">
        <v>1.8757200637612215E-2</v>
      </c>
    </row>
    <row r="1716" spans="1:7">
      <c r="A1716">
        <v>17</v>
      </c>
      <c r="B1716">
        <v>304</v>
      </c>
      <c r="C1716" s="1">
        <f>(Tabela1[[#This Row],[x]]-H$3)*(Tabela1[[#This Row],[x]]-H$3) +(Tabela1[[#This Row],[y]]-H$4)*(Tabela1[[#This Row],[y]]-H$4)</f>
        <v>44305</v>
      </c>
      <c r="D1716" s="1">
        <f>IF(Tabela1[[#This Row],[promien]]&lt;40000,1,0)</f>
        <v>0</v>
      </c>
      <c r="E1716" s="1">
        <f>IF(Tabela1[[#This Row],[promien]]=40000,1,0)</f>
        <v>0</v>
      </c>
      <c r="F1716" s="1">
        <v>3.1585081585081585</v>
      </c>
      <c r="G1716" s="1">
        <v>1.6915504918365354E-2</v>
      </c>
    </row>
    <row r="1717" spans="1:7">
      <c r="A1717">
        <v>207</v>
      </c>
      <c r="B1717">
        <v>180</v>
      </c>
      <c r="C1717" s="1">
        <f>(Tabela1[[#This Row],[x]]-H$3)*(Tabela1[[#This Row],[x]]-H$3) +(Tabela1[[#This Row],[y]]-H$4)*(Tabela1[[#This Row],[y]]-H$4)</f>
        <v>449</v>
      </c>
      <c r="D1717" s="1">
        <f>IF(Tabela1[[#This Row],[promien]]&lt;40000,1,0)</f>
        <v>1</v>
      </c>
      <c r="E1717" s="1">
        <f>IF(Tabela1[[#This Row],[promien]]=40000,1,0)</f>
        <v>0</v>
      </c>
      <c r="F1717" s="1">
        <v>3.1589982527664531</v>
      </c>
      <c r="G1717" s="1">
        <v>1.7405599176659958E-2</v>
      </c>
    </row>
    <row r="1718" spans="1:7">
      <c r="A1718">
        <v>1</v>
      </c>
      <c r="B1718">
        <v>357</v>
      </c>
      <c r="C1718" s="1">
        <f>(Tabela1[[#This Row],[x]]-H$3)*(Tabela1[[#This Row],[x]]-H$3) +(Tabela1[[#This Row],[y]]-H$4)*(Tabela1[[#This Row],[y]]-H$4)</f>
        <v>64250</v>
      </c>
      <c r="D1718" s="1">
        <f>IF(Tabela1[[#This Row],[promien]]&lt;40000,1,0)</f>
        <v>0</v>
      </c>
      <c r="E1718" s="1">
        <f>IF(Tabela1[[#This Row],[promien]]=40000,1,0)</f>
        <v>0</v>
      </c>
      <c r="F1718" s="1">
        <v>3.1571594877764841</v>
      </c>
      <c r="G1718" s="1">
        <v>1.5566834186691025E-2</v>
      </c>
    </row>
    <row r="1719" spans="1:7">
      <c r="A1719">
        <v>299</v>
      </c>
      <c r="B1719">
        <v>252</v>
      </c>
      <c r="C1719" s="1">
        <f>(Tabela1[[#This Row],[x]]-H$3)*(Tabela1[[#This Row],[x]]-H$3) +(Tabela1[[#This Row],[y]]-H$4)*(Tabela1[[#This Row],[y]]-H$4)</f>
        <v>12505</v>
      </c>
      <c r="D1719" s="1">
        <f>IF(Tabela1[[#This Row],[promien]]&lt;40000,1,0)</f>
        <v>1</v>
      </c>
      <c r="E1719" s="1">
        <f>IF(Tabela1[[#This Row],[promien]]=40000,1,0)</f>
        <v>0</v>
      </c>
      <c r="F1719" s="1">
        <v>3.1576497963932519</v>
      </c>
      <c r="G1719" s="1">
        <v>1.6057142803458824E-2</v>
      </c>
    </row>
    <row r="1720" spans="1:7">
      <c r="A1720">
        <v>35</v>
      </c>
      <c r="B1720">
        <v>242</v>
      </c>
      <c r="C1720" s="1">
        <f>(Tabela1[[#This Row],[x]]-H$3)*(Tabela1[[#This Row],[x]]-H$3) +(Tabela1[[#This Row],[y]]-H$4)*(Tabela1[[#This Row],[y]]-H$4)</f>
        <v>28989</v>
      </c>
      <c r="D1720" s="1">
        <f>IF(Tabela1[[#This Row],[promien]]&lt;40000,1,0)</f>
        <v>1</v>
      </c>
      <c r="E1720" s="1">
        <f>IF(Tabela1[[#This Row],[promien]]=40000,1,0)</f>
        <v>0</v>
      </c>
      <c r="F1720" s="1">
        <v>3.1581395348837211</v>
      </c>
      <c r="G1720" s="1">
        <v>1.6546881293928006E-2</v>
      </c>
    </row>
    <row r="1721" spans="1:7">
      <c r="A1721">
        <v>376</v>
      </c>
      <c r="B1721">
        <v>92</v>
      </c>
      <c r="C1721" s="1">
        <f>(Tabela1[[#This Row],[x]]-H$3)*(Tabela1[[#This Row],[x]]-H$3) +(Tabela1[[#This Row],[y]]-H$4)*(Tabela1[[#This Row],[y]]-H$4)</f>
        <v>42640</v>
      </c>
      <c r="D1721" s="1">
        <f>IF(Tabela1[[#This Row],[promien]]&lt;40000,1,0)</f>
        <v>0</v>
      </c>
      <c r="E1721" s="1">
        <f>IF(Tabela1[[#This Row],[promien]]=40000,1,0)</f>
        <v>0</v>
      </c>
      <c r="F1721" s="1">
        <v>3.15630447414294</v>
      </c>
      <c r="G1721" s="1">
        <v>1.4711820553146904E-2</v>
      </c>
    </row>
    <row r="1722" spans="1:7">
      <c r="A1722">
        <v>66</v>
      </c>
      <c r="B1722">
        <v>216</v>
      </c>
      <c r="C1722" s="1">
        <f>(Tabela1[[#This Row],[x]]-H$3)*(Tabela1[[#This Row],[x]]-H$3) +(Tabela1[[#This Row],[y]]-H$4)*(Tabela1[[#This Row],[y]]-H$4)</f>
        <v>18212</v>
      </c>
      <c r="D1722" s="1">
        <f>IF(Tabela1[[#This Row],[promien]]&lt;40000,1,0)</f>
        <v>1</v>
      </c>
      <c r="E1722" s="1">
        <f>IF(Tabela1[[#This Row],[promien]]=40000,1,0)</f>
        <v>0</v>
      </c>
      <c r="F1722" s="1">
        <v>3.1567944250871078</v>
      </c>
      <c r="G1722" s="1">
        <v>1.520177149731472E-2</v>
      </c>
    </row>
    <row r="1723" spans="1:7">
      <c r="A1723">
        <v>376</v>
      </c>
      <c r="B1723">
        <v>2</v>
      </c>
      <c r="C1723" s="1">
        <f>(Tabela1[[#This Row],[x]]-H$3)*(Tabela1[[#This Row],[x]]-H$3) +(Tabela1[[#This Row],[y]]-H$4)*(Tabela1[[#This Row],[y]]-H$4)</f>
        <v>70180</v>
      </c>
      <c r="D1723" s="1">
        <f>IF(Tabela1[[#This Row],[promien]]&lt;40000,1,0)</f>
        <v>0</v>
      </c>
      <c r="E1723" s="1">
        <f>IF(Tabela1[[#This Row],[promien]]=40000,1,0)</f>
        <v>0</v>
      </c>
      <c r="F1723" s="1">
        <v>3.1549622751015671</v>
      </c>
      <c r="G1723" s="1">
        <v>1.336962151177401E-2</v>
      </c>
    </row>
    <row r="1724" spans="1:7">
      <c r="A1724">
        <v>284</v>
      </c>
      <c r="B1724">
        <v>128</v>
      </c>
      <c r="C1724" s="1">
        <f>(Tabela1[[#This Row],[x]]-H$3)*(Tabela1[[#This Row],[x]]-H$3) +(Tabela1[[#This Row],[y]]-H$4)*(Tabela1[[#This Row],[y]]-H$4)</f>
        <v>12240</v>
      </c>
      <c r="D1724" s="1">
        <f>IF(Tabela1[[#This Row],[promien]]&lt;40000,1,0)</f>
        <v>1</v>
      </c>
      <c r="E1724" s="1">
        <f>IF(Tabela1[[#This Row],[promien]]=40000,1,0)</f>
        <v>0</v>
      </c>
      <c r="F1724" s="1">
        <v>3.1554524361948957</v>
      </c>
      <c r="G1724" s="1">
        <v>1.3859782605102566E-2</v>
      </c>
    </row>
    <row r="1725" spans="1:7">
      <c r="A1725">
        <v>341</v>
      </c>
      <c r="B1725">
        <v>122</v>
      </c>
      <c r="C1725" s="1">
        <f>(Tabela1[[#This Row],[x]]-H$3)*(Tabela1[[#This Row],[x]]-H$3) +(Tabela1[[#This Row],[y]]-H$4)*(Tabela1[[#This Row],[y]]-H$4)</f>
        <v>25965</v>
      </c>
      <c r="D1725" s="1">
        <f>IF(Tabela1[[#This Row],[promien]]&lt;40000,1,0)</f>
        <v>1</v>
      </c>
      <c r="E1725" s="1">
        <f>IF(Tabela1[[#This Row],[promien]]=40000,1,0)</f>
        <v>0</v>
      </c>
      <c r="F1725" s="1">
        <v>3.1559420289855074</v>
      </c>
      <c r="G1725" s="1">
        <v>1.4349375395714237E-2</v>
      </c>
    </row>
    <row r="1726" spans="1:7">
      <c r="A1726">
        <v>98</v>
      </c>
      <c r="B1726">
        <v>273</v>
      </c>
      <c r="C1726" s="1">
        <f>(Tabela1[[#This Row],[x]]-H$3)*(Tabela1[[#This Row],[x]]-H$3) +(Tabela1[[#This Row],[y]]-H$4)*(Tabela1[[#This Row],[y]]-H$4)</f>
        <v>15733</v>
      </c>
      <c r="D1726" s="1">
        <f>IF(Tabela1[[#This Row],[promien]]&lt;40000,1,0)</f>
        <v>1</v>
      </c>
      <c r="E1726" s="1">
        <f>IF(Tabela1[[#This Row],[promien]]=40000,1,0)</f>
        <v>0</v>
      </c>
      <c r="F1726" s="1">
        <v>3.1564310544611818</v>
      </c>
      <c r="G1726" s="1">
        <v>1.4838400871388657E-2</v>
      </c>
    </row>
    <row r="1727" spans="1:7">
      <c r="A1727">
        <v>282</v>
      </c>
      <c r="B1727">
        <v>306</v>
      </c>
      <c r="C1727" s="1">
        <f>(Tabela1[[#This Row],[x]]-H$3)*(Tabela1[[#This Row],[x]]-H$3) +(Tabela1[[#This Row],[y]]-H$4)*(Tabela1[[#This Row],[y]]-H$4)</f>
        <v>17960</v>
      </c>
      <c r="D1727" s="1">
        <f>IF(Tabela1[[#This Row],[promien]]&lt;40000,1,0)</f>
        <v>1</v>
      </c>
      <c r="E1727" s="1">
        <f>IF(Tabela1[[#This Row],[promien]]=40000,1,0)</f>
        <v>0</v>
      </c>
      <c r="F1727" s="1">
        <v>3.1569195136074115</v>
      </c>
      <c r="G1727" s="1">
        <v>1.5326860017618404E-2</v>
      </c>
    </row>
    <row r="1728" spans="1:7">
      <c r="A1728">
        <v>265</v>
      </c>
      <c r="B1728">
        <v>58</v>
      </c>
      <c r="C1728" s="1">
        <f>(Tabela1[[#This Row],[x]]-H$3)*(Tabela1[[#This Row],[x]]-H$3) +(Tabela1[[#This Row],[y]]-H$4)*(Tabela1[[#This Row],[y]]-H$4)</f>
        <v>24389</v>
      </c>
      <c r="D1728" s="1">
        <f>IF(Tabela1[[#This Row],[promien]]&lt;40000,1,0)</f>
        <v>1</v>
      </c>
      <c r="E1728" s="1">
        <f>IF(Tabela1[[#This Row],[promien]]=40000,1,0)</f>
        <v>0</v>
      </c>
      <c r="F1728" s="1">
        <v>3.1574074074074074</v>
      </c>
      <c r="G1728" s="1">
        <v>1.5814753817614324E-2</v>
      </c>
    </row>
    <row r="1729" spans="1:7">
      <c r="A1729">
        <v>52</v>
      </c>
      <c r="B1729">
        <v>148</v>
      </c>
      <c r="C1729" s="1">
        <f>(Tabela1[[#This Row],[x]]-H$3)*(Tabela1[[#This Row],[x]]-H$3) +(Tabela1[[#This Row],[y]]-H$4)*(Tabela1[[#This Row],[y]]-H$4)</f>
        <v>24608</v>
      </c>
      <c r="D1729" s="1">
        <f>IF(Tabela1[[#This Row],[promien]]&lt;40000,1,0)</f>
        <v>1</v>
      </c>
      <c r="E1729" s="1">
        <f>IF(Tabela1[[#This Row],[promien]]=40000,1,0)</f>
        <v>0</v>
      </c>
      <c r="F1729" s="1">
        <v>3.1578947368421053</v>
      </c>
      <c r="G1729" s="1">
        <v>1.6302083252312194E-2</v>
      </c>
    </row>
    <row r="1730" spans="1:7">
      <c r="A1730">
        <v>169</v>
      </c>
      <c r="B1730">
        <v>280</v>
      </c>
      <c r="C1730" s="1">
        <f>(Tabela1[[#This Row],[x]]-H$3)*(Tabela1[[#This Row],[x]]-H$3) +(Tabela1[[#This Row],[y]]-H$4)*(Tabela1[[#This Row],[y]]-H$4)</f>
        <v>7361</v>
      </c>
      <c r="D1730" s="1">
        <f>IF(Tabela1[[#This Row],[promien]]&lt;40000,1,0)</f>
        <v>1</v>
      </c>
      <c r="E1730" s="1">
        <f>IF(Tabela1[[#This Row],[promien]]=40000,1,0)</f>
        <v>0</v>
      </c>
      <c r="F1730" s="1">
        <v>3.1583815028901734</v>
      </c>
      <c r="G1730" s="1">
        <v>1.6788849300380271E-2</v>
      </c>
    </row>
    <row r="1731" spans="1:7">
      <c r="A1731">
        <v>17</v>
      </c>
      <c r="B1731">
        <v>173</v>
      </c>
      <c r="C1731" s="1">
        <f>(Tabela1[[#This Row],[x]]-H$3)*(Tabela1[[#This Row],[x]]-H$3) +(Tabela1[[#This Row],[y]]-H$4)*(Tabela1[[#This Row],[y]]-H$4)</f>
        <v>34218</v>
      </c>
      <c r="D1731" s="1">
        <f>IF(Tabela1[[#This Row],[promien]]&lt;40000,1,0)</f>
        <v>1</v>
      </c>
      <c r="E1731" s="1">
        <f>IF(Tabela1[[#This Row],[promien]]=40000,1,0)</f>
        <v>0</v>
      </c>
      <c r="F1731" s="1">
        <v>3.1588677065280186</v>
      </c>
      <c r="G1731" s="1">
        <v>1.727505293822551E-2</v>
      </c>
    </row>
    <row r="1732" spans="1:7">
      <c r="A1732">
        <v>39</v>
      </c>
      <c r="B1732">
        <v>45</v>
      </c>
      <c r="C1732" s="1">
        <f>(Tabela1[[#This Row],[x]]-H$3)*(Tabela1[[#This Row],[x]]-H$3) +(Tabela1[[#This Row],[y]]-H$4)*(Tabela1[[#This Row],[y]]-H$4)</f>
        <v>49946</v>
      </c>
      <c r="D1732" s="1">
        <f>IF(Tabela1[[#This Row],[promien]]&lt;40000,1,0)</f>
        <v>0</v>
      </c>
      <c r="E1732" s="1">
        <f>IF(Tabela1[[#This Row],[promien]]=40000,1,0)</f>
        <v>0</v>
      </c>
      <c r="F1732" s="1">
        <v>3.1570438799076213</v>
      </c>
      <c r="G1732" s="1">
        <v>1.5451226317828137E-2</v>
      </c>
    </row>
    <row r="1733" spans="1:7">
      <c r="A1733">
        <v>304</v>
      </c>
      <c r="B1733">
        <v>42</v>
      </c>
      <c r="C1733" s="1">
        <f>(Tabela1[[#This Row],[x]]-H$3)*(Tabela1[[#This Row],[x]]-H$3) +(Tabela1[[#This Row],[y]]-H$4)*(Tabela1[[#This Row],[y]]-H$4)</f>
        <v>35780</v>
      </c>
      <c r="D1733" s="1">
        <f>IF(Tabela1[[#This Row],[promien]]&lt;40000,1,0)</f>
        <v>1</v>
      </c>
      <c r="E1733" s="1">
        <f>IF(Tabela1[[#This Row],[promien]]=40000,1,0)</f>
        <v>0</v>
      </c>
      <c r="F1733" s="1">
        <v>3.1575302942873629</v>
      </c>
      <c r="G1733" s="1">
        <v>1.5937640697569755E-2</v>
      </c>
    </row>
    <row r="1734" spans="1:7">
      <c r="A1734">
        <v>240</v>
      </c>
      <c r="B1734">
        <v>209</v>
      </c>
      <c r="C1734" s="1">
        <f>(Tabela1[[#This Row],[x]]-H$3)*(Tabela1[[#This Row],[x]]-H$3) +(Tabela1[[#This Row],[y]]-H$4)*(Tabela1[[#This Row],[y]]-H$4)</f>
        <v>1681</v>
      </c>
      <c r="D1734" s="1">
        <f>IF(Tabela1[[#This Row],[promien]]&lt;40000,1,0)</f>
        <v>1</v>
      </c>
      <c r="E1734" s="1">
        <f>IF(Tabela1[[#This Row],[promien]]=40000,1,0)</f>
        <v>0</v>
      </c>
      <c r="F1734" s="1">
        <v>3.1580161476355246</v>
      </c>
      <c r="G1734" s="1">
        <v>1.6423494045731513E-2</v>
      </c>
    </row>
    <row r="1735" spans="1:7">
      <c r="A1735">
        <v>154</v>
      </c>
      <c r="B1735">
        <v>347</v>
      </c>
      <c r="C1735" s="1">
        <f>(Tabela1[[#This Row],[x]]-H$3)*(Tabela1[[#This Row],[x]]-H$3) +(Tabela1[[#This Row],[y]]-H$4)*(Tabela1[[#This Row],[y]]-H$4)</f>
        <v>23725</v>
      </c>
      <c r="D1735" s="1">
        <f>IF(Tabela1[[#This Row],[promien]]&lt;40000,1,0)</f>
        <v>1</v>
      </c>
      <c r="E1735" s="1">
        <f>IF(Tabela1[[#This Row],[promien]]=40000,1,0)</f>
        <v>0</v>
      </c>
      <c r="F1735" s="1">
        <v>3.1585014409221901</v>
      </c>
      <c r="G1735" s="1">
        <v>1.690878733239698E-2</v>
      </c>
    </row>
    <row r="1736" spans="1:7">
      <c r="A1736">
        <v>297</v>
      </c>
      <c r="B1736">
        <v>334</v>
      </c>
      <c r="C1736" s="1">
        <f>(Tabela1[[#This Row],[x]]-H$3)*(Tabela1[[#This Row],[x]]-H$3) +(Tabela1[[#This Row],[y]]-H$4)*(Tabela1[[#This Row],[y]]-H$4)</f>
        <v>27365</v>
      </c>
      <c r="D1736" s="1">
        <f>IF(Tabela1[[#This Row],[promien]]&lt;40000,1,0)</f>
        <v>1</v>
      </c>
      <c r="E1736" s="1">
        <f>IF(Tabela1[[#This Row],[promien]]=40000,1,0)</f>
        <v>0</v>
      </c>
      <c r="F1736" s="1">
        <v>3.1589861751152073</v>
      </c>
      <c r="G1736" s="1">
        <v>1.739352152541418E-2</v>
      </c>
    </row>
    <row r="1737" spans="1:7">
      <c r="A1737">
        <v>388</v>
      </c>
      <c r="B1737">
        <v>393</v>
      </c>
      <c r="C1737" s="1">
        <f>(Tabela1[[#This Row],[x]]-H$3)*(Tabela1[[#This Row],[x]]-H$3) +(Tabela1[[#This Row],[y]]-H$4)*(Tabela1[[#This Row],[y]]-H$4)</f>
        <v>72593</v>
      </c>
      <c r="D1737" s="1">
        <f>IF(Tabela1[[#This Row],[promien]]&lt;40000,1,0)</f>
        <v>0</v>
      </c>
      <c r="E1737" s="1">
        <f>IF(Tabela1[[#This Row],[promien]]=40000,1,0)</f>
        <v>0</v>
      </c>
      <c r="F1737" s="1">
        <v>3.157167530224525</v>
      </c>
      <c r="G1737" s="1">
        <v>1.5574876634731893E-2</v>
      </c>
    </row>
    <row r="1738" spans="1:7">
      <c r="A1738">
        <v>118</v>
      </c>
      <c r="B1738">
        <v>216</v>
      </c>
      <c r="C1738" s="1">
        <f>(Tabela1[[#This Row],[x]]-H$3)*(Tabela1[[#This Row],[x]]-H$3) +(Tabela1[[#This Row],[y]]-H$4)*(Tabela1[[#This Row],[y]]-H$4)</f>
        <v>6980</v>
      </c>
      <c r="D1738" s="1">
        <f>IF(Tabela1[[#This Row],[promien]]&lt;40000,1,0)</f>
        <v>1</v>
      </c>
      <c r="E1738" s="1">
        <f>IF(Tabela1[[#This Row],[promien]]=40000,1,0)</f>
        <v>0</v>
      </c>
      <c r="F1738" s="1">
        <v>3.1576524741081702</v>
      </c>
      <c r="G1738" s="1">
        <v>1.6059820518377066E-2</v>
      </c>
    </row>
    <row r="1739" spans="1:7">
      <c r="A1739">
        <v>300</v>
      </c>
      <c r="B1739">
        <v>341</v>
      </c>
      <c r="C1739" s="1">
        <f>(Tabela1[[#This Row],[x]]-H$3)*(Tabela1[[#This Row],[x]]-H$3) +(Tabela1[[#This Row],[y]]-H$4)*(Tabela1[[#This Row],[y]]-H$4)</f>
        <v>29881</v>
      </c>
      <c r="D1739" s="1">
        <f>IF(Tabela1[[#This Row],[promien]]&lt;40000,1,0)</f>
        <v>1</v>
      </c>
      <c r="E1739" s="1">
        <f>IF(Tabela1[[#This Row],[promien]]=40000,1,0)</f>
        <v>0</v>
      </c>
      <c r="F1739" s="1">
        <v>3.1581368602645199</v>
      </c>
      <c r="G1739" s="1">
        <v>1.654420667472678E-2</v>
      </c>
    </row>
    <row r="1740" spans="1:7">
      <c r="A1740">
        <v>263</v>
      </c>
      <c r="B1740">
        <v>12</v>
      </c>
      <c r="C1740" s="1">
        <f>(Tabela1[[#This Row],[x]]-H$3)*(Tabela1[[#This Row],[x]]-H$3) +(Tabela1[[#This Row],[y]]-H$4)*(Tabela1[[#This Row],[y]]-H$4)</f>
        <v>39313</v>
      </c>
      <c r="D1740" s="1">
        <f>IF(Tabela1[[#This Row],[promien]]&lt;40000,1,0)</f>
        <v>1</v>
      </c>
      <c r="E1740" s="1">
        <f>IF(Tabela1[[#This Row],[promien]]=40000,1,0)</f>
        <v>0</v>
      </c>
      <c r="F1740" s="1">
        <v>3.1586206896551725</v>
      </c>
      <c r="G1740" s="1">
        <v>1.7028036065379393E-2</v>
      </c>
    </row>
    <row r="1741" spans="1:7">
      <c r="A1741">
        <v>219</v>
      </c>
      <c r="B1741">
        <v>281</v>
      </c>
      <c r="C1741" s="1">
        <f>(Tabela1[[#This Row],[x]]-H$3)*(Tabela1[[#This Row],[x]]-H$3) +(Tabela1[[#This Row],[y]]-H$4)*(Tabela1[[#This Row],[y]]-H$4)</f>
        <v>6922</v>
      </c>
      <c r="D1741" s="1">
        <f>IF(Tabela1[[#This Row],[promien]]&lt;40000,1,0)</f>
        <v>1</v>
      </c>
      <c r="E1741" s="1">
        <f>IF(Tabela1[[#This Row],[promien]]=40000,1,0)</f>
        <v>0</v>
      </c>
      <c r="F1741" s="1">
        <v>3.1591039632395175</v>
      </c>
      <c r="G1741" s="1">
        <v>1.751130964972436E-2</v>
      </c>
    </row>
    <row r="1742" spans="1:7">
      <c r="A1742">
        <v>363</v>
      </c>
      <c r="B1742">
        <v>211</v>
      </c>
      <c r="C1742" s="1">
        <f>(Tabela1[[#This Row],[x]]-H$3)*(Tabela1[[#This Row],[x]]-H$3) +(Tabela1[[#This Row],[y]]-H$4)*(Tabela1[[#This Row],[y]]-H$4)</f>
        <v>26690</v>
      </c>
      <c r="D1742" s="1">
        <f>IF(Tabela1[[#This Row],[promien]]&lt;40000,1,0)</f>
        <v>1</v>
      </c>
      <c r="E1742" s="1">
        <f>IF(Tabela1[[#This Row],[promien]]=40000,1,0)</f>
        <v>0</v>
      </c>
      <c r="F1742" s="1">
        <v>3.1595866819747416</v>
      </c>
      <c r="G1742" s="1">
        <v>1.7994028384948457E-2</v>
      </c>
    </row>
    <row r="1743" spans="1:7">
      <c r="A1743">
        <v>305</v>
      </c>
      <c r="B1743">
        <v>388</v>
      </c>
      <c r="C1743" s="1">
        <f>(Tabela1[[#This Row],[x]]-H$3)*(Tabela1[[#This Row],[x]]-H$3) +(Tabela1[[#This Row],[y]]-H$4)*(Tabela1[[#This Row],[y]]-H$4)</f>
        <v>46369</v>
      </c>
      <c r="D1743" s="1">
        <f>IF(Tabela1[[#This Row],[promien]]&lt;40000,1,0)</f>
        <v>0</v>
      </c>
      <c r="E1743" s="1">
        <f>IF(Tabela1[[#This Row],[promien]]=40000,1,0)</f>
        <v>0</v>
      </c>
      <c r="F1743" s="1">
        <v>3.1577739529546758</v>
      </c>
      <c r="G1743" s="1">
        <v>1.6181299364882662E-2</v>
      </c>
    </row>
    <row r="1744" spans="1:7">
      <c r="A1744">
        <v>291</v>
      </c>
      <c r="B1744">
        <v>319</v>
      </c>
      <c r="C1744" s="1">
        <f>(Tabela1[[#This Row],[x]]-H$3)*(Tabela1[[#This Row],[x]]-H$3) +(Tabela1[[#This Row],[y]]-H$4)*(Tabela1[[#This Row],[y]]-H$4)</f>
        <v>22442</v>
      </c>
      <c r="D1744" s="1">
        <f>IF(Tabela1[[#This Row],[promien]]&lt;40000,1,0)</f>
        <v>1</v>
      </c>
      <c r="E1744" s="1">
        <f>IF(Tabela1[[#This Row],[promien]]=40000,1,0)</f>
        <v>0</v>
      </c>
      <c r="F1744" s="1">
        <v>3.1582568807339451</v>
      </c>
      <c r="G1744" s="1">
        <v>1.6664227144151944E-2</v>
      </c>
    </row>
    <row r="1745" spans="1:7">
      <c r="A1745">
        <v>238</v>
      </c>
      <c r="B1745">
        <v>327</v>
      </c>
      <c r="C1745" s="1">
        <f>(Tabela1[[#This Row],[x]]-H$3)*(Tabela1[[#This Row],[x]]-H$3) +(Tabela1[[#This Row],[y]]-H$4)*(Tabela1[[#This Row],[y]]-H$4)</f>
        <v>17573</v>
      </c>
      <c r="D1745" s="1">
        <f>IF(Tabela1[[#This Row],[promien]]&lt;40000,1,0)</f>
        <v>1</v>
      </c>
      <c r="E1745" s="1">
        <f>IF(Tabela1[[#This Row],[promien]]=40000,1,0)</f>
        <v>0</v>
      </c>
      <c r="F1745" s="1">
        <v>3.1587392550143267</v>
      </c>
      <c r="G1745" s="1">
        <v>1.7146601424533614E-2</v>
      </c>
    </row>
    <row r="1746" spans="1:7">
      <c r="A1746">
        <v>299</v>
      </c>
      <c r="B1746">
        <v>86</v>
      </c>
      <c r="C1746" s="1">
        <f>(Tabela1[[#This Row],[x]]-H$3)*(Tabela1[[#This Row],[x]]-H$3) +(Tabela1[[#This Row],[y]]-H$4)*(Tabela1[[#This Row],[y]]-H$4)</f>
        <v>22797</v>
      </c>
      <c r="D1746" s="1">
        <f>IF(Tabela1[[#This Row],[promien]]&lt;40000,1,0)</f>
        <v>1</v>
      </c>
      <c r="E1746" s="1">
        <f>IF(Tabela1[[#This Row],[promien]]=40000,1,0)</f>
        <v>0</v>
      </c>
      <c r="F1746" s="1">
        <v>3.1592210767468498</v>
      </c>
      <c r="G1746" s="1">
        <v>1.7628423157056705E-2</v>
      </c>
    </row>
    <row r="1747" spans="1:7">
      <c r="A1747">
        <v>28</v>
      </c>
      <c r="B1747">
        <v>297</v>
      </c>
      <c r="C1747" s="1">
        <f>(Tabela1[[#This Row],[x]]-H$3)*(Tabela1[[#This Row],[x]]-H$3) +(Tabela1[[#This Row],[y]]-H$4)*(Tabela1[[#This Row],[y]]-H$4)</f>
        <v>38993</v>
      </c>
      <c r="D1747" s="1">
        <f>IF(Tabela1[[#This Row],[promien]]&lt;40000,1,0)</f>
        <v>1</v>
      </c>
      <c r="E1747" s="1">
        <f>IF(Tabela1[[#This Row],[promien]]=40000,1,0)</f>
        <v>0</v>
      </c>
      <c r="F1747" s="1">
        <v>3.1597023468803664</v>
      </c>
      <c r="G1747" s="1">
        <v>1.8109693290573325E-2</v>
      </c>
    </row>
    <row r="1748" spans="1:7">
      <c r="A1748">
        <v>170</v>
      </c>
      <c r="B1748">
        <v>150</v>
      </c>
      <c r="C1748" s="1">
        <f>(Tabela1[[#This Row],[x]]-H$3)*(Tabela1[[#This Row],[x]]-H$3) +(Tabela1[[#This Row],[y]]-H$4)*(Tabela1[[#This Row],[y]]-H$4)</f>
        <v>3400</v>
      </c>
      <c r="D1748" s="1">
        <f>IF(Tabela1[[#This Row],[promien]]&lt;40000,1,0)</f>
        <v>1</v>
      </c>
      <c r="E1748" s="1">
        <f>IF(Tabela1[[#This Row],[promien]]=40000,1,0)</f>
        <v>0</v>
      </c>
      <c r="F1748" s="1">
        <v>3.1601830663615562</v>
      </c>
      <c r="G1748" s="1">
        <v>1.8590412771763098E-2</v>
      </c>
    </row>
    <row r="1749" spans="1:7">
      <c r="A1749">
        <v>281</v>
      </c>
      <c r="B1749">
        <v>114</v>
      </c>
      <c r="C1749" s="1">
        <f>(Tabela1[[#This Row],[x]]-H$3)*(Tabela1[[#This Row],[x]]-H$3) +(Tabela1[[#This Row],[y]]-H$4)*(Tabela1[[#This Row],[y]]-H$4)</f>
        <v>13957</v>
      </c>
      <c r="D1749" s="1">
        <f>IF(Tabela1[[#This Row],[promien]]&lt;40000,1,0)</f>
        <v>1</v>
      </c>
      <c r="E1749" s="1">
        <f>IF(Tabela1[[#This Row],[promien]]=40000,1,0)</f>
        <v>0</v>
      </c>
      <c r="F1749" s="1">
        <v>3.1606632361349343</v>
      </c>
      <c r="G1749" s="1">
        <v>1.9070582545141157E-2</v>
      </c>
    </row>
    <row r="1750" spans="1:7">
      <c r="A1750">
        <v>175</v>
      </c>
      <c r="B1750">
        <v>306</v>
      </c>
      <c r="C1750" s="1">
        <f>(Tabela1[[#This Row],[x]]-H$3)*(Tabela1[[#This Row],[x]]-H$3) +(Tabela1[[#This Row],[y]]-H$4)*(Tabela1[[#This Row],[y]]-H$4)</f>
        <v>11861</v>
      </c>
      <c r="D1750" s="1">
        <f>IF(Tabela1[[#This Row],[promien]]&lt;40000,1,0)</f>
        <v>1</v>
      </c>
      <c r="E1750" s="1">
        <f>IF(Tabela1[[#This Row],[promien]]=40000,1,0)</f>
        <v>0</v>
      </c>
      <c r="F1750" s="1">
        <v>3.161142857142857</v>
      </c>
      <c r="G1750" s="1">
        <v>1.9550203553063916E-2</v>
      </c>
    </row>
    <row r="1751" spans="1:7">
      <c r="A1751">
        <v>274</v>
      </c>
      <c r="B1751">
        <v>197</v>
      </c>
      <c r="C1751" s="1">
        <f>(Tabela1[[#This Row],[x]]-H$3)*(Tabela1[[#This Row],[x]]-H$3) +(Tabela1[[#This Row],[y]]-H$4)*(Tabela1[[#This Row],[y]]-H$4)</f>
        <v>5485</v>
      </c>
      <c r="D1751" s="1">
        <f>IF(Tabela1[[#This Row],[promien]]&lt;40000,1,0)</f>
        <v>1</v>
      </c>
      <c r="E1751" s="1">
        <f>IF(Tabela1[[#This Row],[promien]]=40000,1,0)</f>
        <v>0</v>
      </c>
      <c r="F1751" s="1">
        <v>3.1616219303255284</v>
      </c>
      <c r="G1751" s="1">
        <v>2.0029276735735291E-2</v>
      </c>
    </row>
    <row r="1752" spans="1:7">
      <c r="A1752">
        <v>1</v>
      </c>
      <c r="B1752">
        <v>288</v>
      </c>
      <c r="C1752" s="1">
        <f>(Tabela1[[#This Row],[x]]-H$3)*(Tabela1[[#This Row],[x]]-H$3) +(Tabela1[[#This Row],[y]]-H$4)*(Tabela1[[#This Row],[y]]-H$4)</f>
        <v>47345</v>
      </c>
      <c r="D1752" s="1">
        <f>IF(Tabela1[[#This Row],[promien]]&lt;40000,1,0)</f>
        <v>0</v>
      </c>
      <c r="E1752" s="1">
        <f>IF(Tabela1[[#This Row],[promien]]=40000,1,0)</f>
        <v>0</v>
      </c>
      <c r="F1752" s="1">
        <v>3.1598173515981736</v>
      </c>
      <c r="G1752" s="1">
        <v>1.8224698008380447E-2</v>
      </c>
    </row>
    <row r="1753" spans="1:7">
      <c r="A1753">
        <v>105</v>
      </c>
      <c r="B1753">
        <v>332</v>
      </c>
      <c r="C1753" s="1">
        <f>(Tabela1[[#This Row],[x]]-H$3)*(Tabela1[[#This Row],[x]]-H$3) +(Tabela1[[#This Row],[y]]-H$4)*(Tabela1[[#This Row],[y]]-H$4)</f>
        <v>26449</v>
      </c>
      <c r="D1753" s="1">
        <f>IF(Tabela1[[#This Row],[promien]]&lt;40000,1,0)</f>
        <v>1</v>
      </c>
      <c r="E1753" s="1">
        <f>IF(Tabela1[[#This Row],[promien]]=40000,1,0)</f>
        <v>0</v>
      </c>
      <c r="F1753" s="1">
        <v>3.1602966343411296</v>
      </c>
      <c r="G1753" s="1">
        <v>1.8703980751336502E-2</v>
      </c>
    </row>
    <row r="1754" spans="1:7">
      <c r="A1754">
        <v>314</v>
      </c>
      <c r="B1754">
        <v>209</v>
      </c>
      <c r="C1754" s="1">
        <f>(Tabela1[[#This Row],[x]]-H$3)*(Tabela1[[#This Row],[x]]-H$3) +(Tabela1[[#This Row],[y]]-H$4)*(Tabela1[[#This Row],[y]]-H$4)</f>
        <v>13077</v>
      </c>
      <c r="D1754" s="1">
        <f>IF(Tabela1[[#This Row],[promien]]&lt;40000,1,0)</f>
        <v>1</v>
      </c>
      <c r="E1754" s="1">
        <f>IF(Tabela1[[#This Row],[promien]]=40000,1,0)</f>
        <v>0</v>
      </c>
      <c r="F1754" s="1">
        <v>3.1607753705815278</v>
      </c>
      <c r="G1754" s="1">
        <v>1.9182716991734683E-2</v>
      </c>
    </row>
    <row r="1755" spans="1:7">
      <c r="A1755">
        <v>142</v>
      </c>
      <c r="B1755">
        <v>383</v>
      </c>
      <c r="C1755" s="1">
        <f>(Tabela1[[#This Row],[x]]-H$3)*(Tabela1[[#This Row],[x]]-H$3) +(Tabela1[[#This Row],[y]]-H$4)*(Tabela1[[#This Row],[y]]-H$4)</f>
        <v>36853</v>
      </c>
      <c r="D1755" s="1">
        <f>IF(Tabela1[[#This Row],[promien]]&lt;40000,1,0)</f>
        <v>1</v>
      </c>
      <c r="E1755" s="1">
        <f>IF(Tabela1[[#This Row],[promien]]=40000,1,0)</f>
        <v>0</v>
      </c>
      <c r="F1755" s="1">
        <v>3.1612535612535613</v>
      </c>
      <c r="G1755" s="1">
        <v>1.9660907663768157E-2</v>
      </c>
    </row>
    <row r="1756" spans="1:7">
      <c r="A1756">
        <v>24</v>
      </c>
      <c r="B1756">
        <v>34</v>
      </c>
      <c r="C1756" s="1">
        <f>(Tabela1[[#This Row],[x]]-H$3)*(Tabela1[[#This Row],[x]]-H$3) +(Tabela1[[#This Row],[y]]-H$4)*(Tabela1[[#This Row],[y]]-H$4)</f>
        <v>58532</v>
      </c>
      <c r="D1756" s="1">
        <f>IF(Tabela1[[#This Row],[promien]]&lt;40000,1,0)</f>
        <v>0</v>
      </c>
      <c r="E1756" s="1">
        <f>IF(Tabela1[[#This Row],[promien]]=40000,1,0)</f>
        <v>0</v>
      </c>
      <c r="F1756" s="1">
        <v>3.1594533029612757</v>
      </c>
      <c r="G1756" s="1">
        <v>1.7860649371482573E-2</v>
      </c>
    </row>
    <row r="1757" spans="1:7">
      <c r="A1757">
        <v>88</v>
      </c>
      <c r="B1757">
        <v>260</v>
      </c>
      <c r="C1757" s="1">
        <f>(Tabela1[[#This Row],[x]]-H$3)*(Tabela1[[#This Row],[x]]-H$3) +(Tabela1[[#This Row],[y]]-H$4)*(Tabela1[[#This Row],[y]]-H$4)</f>
        <v>16144</v>
      </c>
      <c r="D1757" s="1">
        <f>IF(Tabela1[[#This Row],[promien]]&lt;40000,1,0)</f>
        <v>1</v>
      </c>
      <c r="E1757" s="1">
        <f>IF(Tabela1[[#This Row],[promien]]=40000,1,0)</f>
        <v>0</v>
      </c>
      <c r="F1757" s="1">
        <v>3.1599317017643709</v>
      </c>
      <c r="G1757" s="1">
        <v>1.8339048174577766E-2</v>
      </c>
    </row>
    <row r="1758" spans="1:7">
      <c r="A1758">
        <v>73</v>
      </c>
      <c r="B1758">
        <v>143</v>
      </c>
      <c r="C1758" s="1">
        <f>(Tabela1[[#This Row],[x]]-H$3)*(Tabela1[[#This Row],[x]]-H$3) +(Tabela1[[#This Row],[y]]-H$4)*(Tabela1[[#This Row],[y]]-H$4)</f>
        <v>19378</v>
      </c>
      <c r="D1758" s="1">
        <f>IF(Tabela1[[#This Row],[promien]]&lt;40000,1,0)</f>
        <v>1</v>
      </c>
      <c r="E1758" s="1">
        <f>IF(Tabela1[[#This Row],[promien]]=40000,1,0)</f>
        <v>0</v>
      </c>
      <c r="F1758" s="1">
        <v>3.1604095563139931</v>
      </c>
      <c r="G1758" s="1">
        <v>1.8816902724200002E-2</v>
      </c>
    </row>
    <row r="1759" spans="1:7">
      <c r="A1759">
        <v>55</v>
      </c>
      <c r="B1759">
        <v>377</v>
      </c>
      <c r="C1759" s="1">
        <f>(Tabela1[[#This Row],[x]]-H$3)*(Tabela1[[#This Row],[x]]-H$3) +(Tabela1[[#This Row],[y]]-H$4)*(Tabela1[[#This Row],[y]]-H$4)</f>
        <v>52354</v>
      </c>
      <c r="D1759" s="1">
        <f>IF(Tabela1[[#This Row],[promien]]&lt;40000,1,0)</f>
        <v>0</v>
      </c>
      <c r="E1759" s="1">
        <f>IF(Tabela1[[#This Row],[promien]]=40000,1,0)</f>
        <v>0</v>
      </c>
      <c r="F1759" s="1">
        <v>3.1586128482092097</v>
      </c>
      <c r="G1759" s="1">
        <v>1.7020194619416618E-2</v>
      </c>
    </row>
    <row r="1760" spans="1:7">
      <c r="A1760">
        <v>102</v>
      </c>
      <c r="B1760">
        <v>222</v>
      </c>
      <c r="C1760" s="1">
        <f>(Tabela1[[#This Row],[x]]-H$3)*(Tabela1[[#This Row],[x]]-H$3) +(Tabela1[[#This Row],[y]]-H$4)*(Tabela1[[#This Row],[y]]-H$4)</f>
        <v>10088</v>
      </c>
      <c r="D1760" s="1">
        <f>IF(Tabela1[[#This Row],[promien]]&lt;40000,1,0)</f>
        <v>1</v>
      </c>
      <c r="E1760" s="1">
        <f>IF(Tabela1[[#This Row],[promien]]=40000,1,0)</f>
        <v>0</v>
      </c>
      <c r="F1760" s="1">
        <v>3.1590909090909092</v>
      </c>
      <c r="G1760" s="1">
        <v>1.7498255501116056E-2</v>
      </c>
    </row>
    <row r="1761" spans="1:7">
      <c r="A1761">
        <v>370</v>
      </c>
      <c r="B1761">
        <v>355</v>
      </c>
      <c r="C1761" s="1">
        <f>(Tabela1[[#This Row],[x]]-H$3)*(Tabela1[[#This Row],[x]]-H$3) +(Tabela1[[#This Row],[y]]-H$4)*(Tabela1[[#This Row],[y]]-H$4)</f>
        <v>52925</v>
      </c>
      <c r="D1761" s="1">
        <f>IF(Tabela1[[#This Row],[promien]]&lt;40000,1,0)</f>
        <v>0</v>
      </c>
      <c r="E1761" s="1">
        <f>IF(Tabela1[[#This Row],[promien]]=40000,1,0)</f>
        <v>0</v>
      </c>
      <c r="F1761" s="1">
        <v>3.1572969903463939</v>
      </c>
      <c r="G1761" s="1">
        <v>1.5704336756600767E-2</v>
      </c>
    </row>
    <row r="1762" spans="1:7">
      <c r="A1762">
        <v>143</v>
      </c>
      <c r="B1762">
        <v>124</v>
      </c>
      <c r="C1762" s="1">
        <f>(Tabela1[[#This Row],[x]]-H$3)*(Tabela1[[#This Row],[x]]-H$3) +(Tabela1[[#This Row],[y]]-H$4)*(Tabela1[[#This Row],[y]]-H$4)</f>
        <v>9025</v>
      </c>
      <c r="D1762" s="1">
        <f>IF(Tabela1[[#This Row],[promien]]&lt;40000,1,0)</f>
        <v>1</v>
      </c>
      <c r="E1762" s="1">
        <f>IF(Tabela1[[#This Row],[promien]]=40000,1,0)</f>
        <v>0</v>
      </c>
      <c r="F1762" s="1">
        <v>3.1577752553916003</v>
      </c>
      <c r="G1762" s="1">
        <v>1.6182601801807195E-2</v>
      </c>
    </row>
    <row r="1763" spans="1:7">
      <c r="A1763">
        <v>23</v>
      </c>
      <c r="B1763">
        <v>74</v>
      </c>
      <c r="C1763" s="1">
        <f>(Tabela1[[#This Row],[x]]-H$3)*(Tabela1[[#This Row],[x]]-H$3) +(Tabela1[[#This Row],[y]]-H$4)*(Tabela1[[#This Row],[y]]-H$4)</f>
        <v>47205</v>
      </c>
      <c r="D1763" s="1">
        <f>IF(Tabela1[[#This Row],[promien]]&lt;40000,1,0)</f>
        <v>0</v>
      </c>
      <c r="E1763" s="1">
        <f>IF(Tabela1[[#This Row],[promien]]=40000,1,0)</f>
        <v>0</v>
      </c>
      <c r="F1763" s="1">
        <v>3.1559841179807147</v>
      </c>
      <c r="G1763" s="1">
        <v>1.4391464390921538E-2</v>
      </c>
    </row>
    <row r="1764" spans="1:7">
      <c r="A1764">
        <v>357</v>
      </c>
      <c r="B1764">
        <v>40</v>
      </c>
      <c r="C1764" s="1">
        <f>(Tabela1[[#This Row],[x]]-H$3)*(Tabela1[[#This Row],[x]]-H$3) +(Tabela1[[#This Row],[y]]-H$4)*(Tabela1[[#This Row],[y]]-H$4)</f>
        <v>50249</v>
      </c>
      <c r="D1764" s="1">
        <f>IF(Tabela1[[#This Row],[promien]]&lt;40000,1,0)</f>
        <v>0</v>
      </c>
      <c r="E1764" s="1">
        <f>IF(Tabela1[[#This Row],[promien]]=40000,1,0)</f>
        <v>0</v>
      </c>
      <c r="F1764" s="1">
        <v>3.1541950113378685</v>
      </c>
      <c r="G1764" s="1">
        <v>1.2602357748075388E-2</v>
      </c>
    </row>
    <row r="1765" spans="1:7">
      <c r="A1765">
        <v>230</v>
      </c>
      <c r="B1765">
        <v>220</v>
      </c>
      <c r="C1765" s="1">
        <f>(Tabela1[[#This Row],[x]]-H$3)*(Tabela1[[#This Row],[x]]-H$3) +(Tabela1[[#This Row],[y]]-H$4)*(Tabela1[[#This Row],[y]]-H$4)</f>
        <v>1300</v>
      </c>
      <c r="D1765" s="1">
        <f>IF(Tabela1[[#This Row],[promien]]&lt;40000,1,0)</f>
        <v>1</v>
      </c>
      <c r="E1765" s="1">
        <f>IF(Tabela1[[#This Row],[promien]]=40000,1,0)</f>
        <v>0</v>
      </c>
      <c r="F1765" s="1">
        <v>3.1546742209631726</v>
      </c>
      <c r="G1765" s="1">
        <v>1.308156737337951E-2</v>
      </c>
    </row>
    <row r="1766" spans="1:7">
      <c r="A1766">
        <v>315</v>
      </c>
      <c r="B1766">
        <v>389</v>
      </c>
      <c r="C1766" s="1">
        <f>(Tabela1[[#This Row],[x]]-H$3)*(Tabela1[[#This Row],[x]]-H$3) +(Tabela1[[#This Row],[y]]-H$4)*(Tabela1[[#This Row],[y]]-H$4)</f>
        <v>48946</v>
      </c>
      <c r="D1766" s="1">
        <f>IF(Tabela1[[#This Row],[promien]]&lt;40000,1,0)</f>
        <v>0</v>
      </c>
      <c r="E1766" s="1">
        <f>IF(Tabela1[[#This Row],[promien]]=40000,1,0)</f>
        <v>0</v>
      </c>
      <c r="F1766" s="1">
        <v>3.1528878822197055</v>
      </c>
      <c r="G1766" s="1">
        <v>1.1295228629912391E-2</v>
      </c>
    </row>
    <row r="1767" spans="1:7">
      <c r="A1767">
        <v>147</v>
      </c>
      <c r="B1767">
        <v>305</v>
      </c>
      <c r="C1767" s="1">
        <f>(Tabela1[[#This Row],[x]]-H$3)*(Tabela1[[#This Row],[x]]-H$3) +(Tabela1[[#This Row],[y]]-H$4)*(Tabela1[[#This Row],[y]]-H$4)</f>
        <v>13834</v>
      </c>
      <c r="D1767" s="1">
        <f>IF(Tabela1[[#This Row],[promien]]&lt;40000,1,0)</f>
        <v>1</v>
      </c>
      <c r="E1767" s="1">
        <f>IF(Tabela1[[#This Row],[promien]]=40000,1,0)</f>
        <v>0</v>
      </c>
      <c r="F1767" s="1">
        <v>3.1533672891907187</v>
      </c>
      <c r="G1767" s="1">
        <v>1.177463560092562E-2</v>
      </c>
    </row>
    <row r="1768" spans="1:7">
      <c r="A1768">
        <v>301</v>
      </c>
      <c r="B1768">
        <v>177</v>
      </c>
      <c r="C1768" s="1">
        <f>(Tabela1[[#This Row],[x]]-H$3)*(Tabela1[[#This Row],[x]]-H$3) +(Tabela1[[#This Row],[y]]-H$4)*(Tabela1[[#This Row],[y]]-H$4)</f>
        <v>10730</v>
      </c>
      <c r="D1768" s="1">
        <f>IF(Tabela1[[#This Row],[promien]]&lt;40000,1,0)</f>
        <v>1</v>
      </c>
      <c r="E1768" s="1">
        <f>IF(Tabela1[[#This Row],[promien]]=40000,1,0)</f>
        <v>0</v>
      </c>
      <c r="F1768" s="1">
        <v>3.1538461538461537</v>
      </c>
      <c r="G1768" s="1">
        <v>1.2253500256360628E-2</v>
      </c>
    </row>
    <row r="1769" spans="1:7">
      <c r="A1769">
        <v>98</v>
      </c>
      <c r="B1769">
        <v>159</v>
      </c>
      <c r="C1769" s="1">
        <f>(Tabela1[[#This Row],[x]]-H$3)*(Tabela1[[#This Row],[x]]-H$3) +(Tabela1[[#This Row],[y]]-H$4)*(Tabela1[[#This Row],[y]]-H$4)</f>
        <v>12085</v>
      </c>
      <c r="D1769" s="1">
        <f>IF(Tabela1[[#This Row],[promien]]&lt;40000,1,0)</f>
        <v>1</v>
      </c>
      <c r="E1769" s="1">
        <f>IF(Tabela1[[#This Row],[promien]]=40000,1,0)</f>
        <v>0</v>
      </c>
      <c r="F1769" s="1">
        <v>3.1543244771057095</v>
      </c>
      <c r="G1769" s="1">
        <v>1.2731823515916396E-2</v>
      </c>
    </row>
    <row r="1770" spans="1:7">
      <c r="A1770">
        <v>183</v>
      </c>
      <c r="B1770">
        <v>141</v>
      </c>
      <c r="C1770" s="1">
        <f>(Tabela1[[#This Row],[x]]-H$3)*(Tabela1[[#This Row],[x]]-H$3) +(Tabela1[[#This Row],[y]]-H$4)*(Tabela1[[#This Row],[y]]-H$4)</f>
        <v>3770</v>
      </c>
      <c r="D1770" s="1">
        <f>IF(Tabela1[[#This Row],[promien]]&lt;40000,1,0)</f>
        <v>1</v>
      </c>
      <c r="E1770" s="1">
        <f>IF(Tabela1[[#This Row],[promien]]=40000,1,0)</f>
        <v>0</v>
      </c>
      <c r="F1770" s="1">
        <v>3.1548022598870058</v>
      </c>
      <c r="G1770" s="1">
        <v>1.3209606297212684E-2</v>
      </c>
    </row>
    <row r="1771" spans="1:7">
      <c r="A1771">
        <v>51</v>
      </c>
      <c r="B1771">
        <v>20</v>
      </c>
      <c r="C1771" s="1">
        <f>(Tabela1[[#This Row],[x]]-H$3)*(Tabela1[[#This Row],[x]]-H$3) +(Tabela1[[#This Row],[y]]-H$4)*(Tabela1[[#This Row],[y]]-H$4)</f>
        <v>54601</v>
      </c>
      <c r="D1771" s="1">
        <f>IF(Tabela1[[#This Row],[promien]]&lt;40000,1,0)</f>
        <v>0</v>
      </c>
      <c r="E1771" s="1">
        <f>IF(Tabela1[[#This Row],[promien]]=40000,1,0)</f>
        <v>0</v>
      </c>
      <c r="F1771" s="1">
        <v>3.1530208921513267</v>
      </c>
      <c r="G1771" s="1">
        <v>1.1428238561533632E-2</v>
      </c>
    </row>
    <row r="1772" spans="1:7">
      <c r="A1772">
        <v>27</v>
      </c>
      <c r="B1772">
        <v>188</v>
      </c>
      <c r="C1772" s="1">
        <f>(Tabela1[[#This Row],[x]]-H$3)*(Tabela1[[#This Row],[x]]-H$3) +(Tabela1[[#This Row],[y]]-H$4)*(Tabela1[[#This Row],[y]]-H$4)</f>
        <v>30073</v>
      </c>
      <c r="D1772" s="1">
        <f>IF(Tabela1[[#This Row],[promien]]&lt;40000,1,0)</f>
        <v>1</v>
      </c>
      <c r="E1772" s="1">
        <f>IF(Tabela1[[#This Row],[promien]]=40000,1,0)</f>
        <v>0</v>
      </c>
      <c r="F1772" s="1">
        <v>3.1534988713318284</v>
      </c>
      <c r="G1772" s="1">
        <v>1.1906217742035263E-2</v>
      </c>
    </row>
    <row r="1773" spans="1:7">
      <c r="A1773">
        <v>41</v>
      </c>
      <c r="B1773">
        <v>159</v>
      </c>
      <c r="C1773" s="1">
        <f>(Tabela1[[#This Row],[x]]-H$3)*(Tabela1[[#This Row],[x]]-H$3) +(Tabela1[[#This Row],[y]]-H$4)*(Tabela1[[#This Row],[y]]-H$4)</f>
        <v>26962</v>
      </c>
      <c r="D1773" s="1">
        <f>IF(Tabela1[[#This Row],[promien]]&lt;40000,1,0)</f>
        <v>1</v>
      </c>
      <c r="E1773" s="1">
        <f>IF(Tabela1[[#This Row],[promien]]=40000,1,0)</f>
        <v>0</v>
      </c>
      <c r="F1773" s="1">
        <v>3.1539763113367174</v>
      </c>
      <c r="G1773" s="1">
        <v>1.2383657746924293E-2</v>
      </c>
    </row>
    <row r="1774" spans="1:7">
      <c r="A1774">
        <v>100</v>
      </c>
      <c r="B1774">
        <v>254</v>
      </c>
      <c r="C1774" s="1">
        <f>(Tabela1[[#This Row],[x]]-H$3)*(Tabela1[[#This Row],[x]]-H$3) +(Tabela1[[#This Row],[y]]-H$4)*(Tabela1[[#This Row],[y]]-H$4)</f>
        <v>12916</v>
      </c>
      <c r="D1774" s="1">
        <f>IF(Tabela1[[#This Row],[promien]]&lt;40000,1,0)</f>
        <v>1</v>
      </c>
      <c r="E1774" s="1">
        <f>IF(Tabela1[[#This Row],[promien]]=40000,1,0)</f>
        <v>0</v>
      </c>
      <c r="F1774" s="1">
        <v>3.1544532130777903</v>
      </c>
      <c r="G1774" s="1">
        <v>1.2860559487997136E-2</v>
      </c>
    </row>
    <row r="1775" spans="1:7">
      <c r="A1775">
        <v>275</v>
      </c>
      <c r="B1775">
        <v>345</v>
      </c>
      <c r="C1775" s="1">
        <f>(Tabela1[[#This Row],[x]]-H$3)*(Tabela1[[#This Row],[x]]-H$3) +(Tabela1[[#This Row],[y]]-H$4)*(Tabela1[[#This Row],[y]]-H$4)</f>
        <v>26650</v>
      </c>
      <c r="D1775" s="1">
        <f>IF(Tabela1[[#This Row],[promien]]&lt;40000,1,0)</f>
        <v>1</v>
      </c>
      <c r="E1775" s="1">
        <f>IF(Tabela1[[#This Row],[promien]]=40000,1,0)</f>
        <v>0</v>
      </c>
      <c r="F1775" s="1">
        <v>3.1549295774647885</v>
      </c>
      <c r="G1775" s="1">
        <v>1.333692387499541E-2</v>
      </c>
    </row>
    <row r="1776" spans="1:7">
      <c r="A1776">
        <v>137</v>
      </c>
      <c r="B1776">
        <v>200</v>
      </c>
      <c r="C1776" s="1">
        <f>(Tabela1[[#This Row],[x]]-H$3)*(Tabela1[[#This Row],[x]]-H$3) +(Tabela1[[#This Row],[y]]-H$4)*(Tabela1[[#This Row],[y]]-H$4)</f>
        <v>3969</v>
      </c>
      <c r="D1776" s="1">
        <f>IF(Tabela1[[#This Row],[promien]]&lt;40000,1,0)</f>
        <v>1</v>
      </c>
      <c r="E1776" s="1">
        <f>IF(Tabela1[[#This Row],[promien]]=40000,1,0)</f>
        <v>0</v>
      </c>
      <c r="F1776" s="1">
        <v>3.1554054054054053</v>
      </c>
      <c r="G1776" s="1">
        <v>1.3812751815612145E-2</v>
      </c>
    </row>
    <row r="1777" spans="1:7">
      <c r="A1777">
        <v>350</v>
      </c>
      <c r="B1777">
        <v>298</v>
      </c>
      <c r="C1777" s="1">
        <f>(Tabela1[[#This Row],[x]]-H$3)*(Tabela1[[#This Row],[x]]-H$3) +(Tabela1[[#This Row],[y]]-H$4)*(Tabela1[[#This Row],[y]]-H$4)</f>
        <v>32104</v>
      </c>
      <c r="D1777" s="1">
        <f>IF(Tabela1[[#This Row],[promien]]&lt;40000,1,0)</f>
        <v>1</v>
      </c>
      <c r="E1777" s="1">
        <f>IF(Tabela1[[#This Row],[promien]]=40000,1,0)</f>
        <v>0</v>
      </c>
      <c r="F1777" s="1">
        <v>3.1558806978052898</v>
      </c>
      <c r="G1777" s="1">
        <v>1.4288044215496676E-2</v>
      </c>
    </row>
    <row r="1778" spans="1:7">
      <c r="A1778">
        <v>99</v>
      </c>
      <c r="B1778">
        <v>283</v>
      </c>
      <c r="C1778" s="1">
        <f>(Tabela1[[#This Row],[x]]-H$3)*(Tabela1[[#This Row],[x]]-H$3) +(Tabela1[[#This Row],[y]]-H$4)*(Tabela1[[#This Row],[y]]-H$4)</f>
        <v>17090</v>
      </c>
      <c r="D1778" s="1">
        <f>IF(Tabela1[[#This Row],[promien]]&lt;40000,1,0)</f>
        <v>1</v>
      </c>
      <c r="E1778" s="1">
        <f>IF(Tabela1[[#This Row],[promien]]=40000,1,0)</f>
        <v>0</v>
      </c>
      <c r="F1778" s="1">
        <v>3.156355455568054</v>
      </c>
      <c r="G1778" s="1">
        <v>1.4762801978260853E-2</v>
      </c>
    </row>
    <row r="1779" spans="1:7">
      <c r="A1779">
        <v>380</v>
      </c>
      <c r="B1779">
        <v>232</v>
      </c>
      <c r="C1779" s="1">
        <f>(Tabela1[[#This Row],[x]]-H$3)*(Tabela1[[#This Row],[x]]-H$3) +(Tabela1[[#This Row],[y]]-H$4)*(Tabela1[[#This Row],[y]]-H$4)</f>
        <v>33424</v>
      </c>
      <c r="D1779" s="1">
        <f>IF(Tabela1[[#This Row],[promien]]&lt;40000,1,0)</f>
        <v>1</v>
      </c>
      <c r="E1779" s="1">
        <f>IF(Tabela1[[#This Row],[promien]]=40000,1,0)</f>
        <v>0</v>
      </c>
      <c r="F1779" s="1">
        <v>3.1568296795952784</v>
      </c>
      <c r="G1779" s="1">
        <v>1.5237026005485266E-2</v>
      </c>
    </row>
    <row r="1780" spans="1:7">
      <c r="A1780">
        <v>74</v>
      </c>
      <c r="B1780">
        <v>310</v>
      </c>
      <c r="C1780" s="1">
        <f>(Tabela1[[#This Row],[x]]-H$3)*(Tabela1[[#This Row],[x]]-H$3) +(Tabela1[[#This Row],[y]]-H$4)*(Tabela1[[#This Row],[y]]-H$4)</f>
        <v>27976</v>
      </c>
      <c r="D1780" s="1">
        <f>IF(Tabela1[[#This Row],[promien]]&lt;40000,1,0)</f>
        <v>1</v>
      </c>
      <c r="E1780" s="1">
        <f>IF(Tabela1[[#This Row],[promien]]=40000,1,0)</f>
        <v>0</v>
      </c>
      <c r="F1780" s="1">
        <v>3.1573033707865168</v>
      </c>
      <c r="G1780" s="1">
        <v>1.5710717196723678E-2</v>
      </c>
    </row>
    <row r="1781" spans="1:7">
      <c r="A1781">
        <v>326</v>
      </c>
      <c r="B1781">
        <v>357</v>
      </c>
      <c r="C1781" s="1">
        <f>(Tabela1[[#This Row],[x]]-H$3)*(Tabela1[[#This Row],[x]]-H$3) +(Tabela1[[#This Row],[y]]-H$4)*(Tabela1[[#This Row],[y]]-H$4)</f>
        <v>40525</v>
      </c>
      <c r="D1781" s="1">
        <f>IF(Tabela1[[#This Row],[promien]]&lt;40000,1,0)</f>
        <v>0</v>
      </c>
      <c r="E1781" s="1">
        <f>IF(Tabela1[[#This Row],[promien]]=40000,1,0)</f>
        <v>0</v>
      </c>
      <c r="F1781" s="1">
        <v>3.1555306007860753</v>
      </c>
      <c r="G1781" s="1">
        <v>1.3937947196282163E-2</v>
      </c>
    </row>
    <row r="1782" spans="1:7">
      <c r="A1782">
        <v>62</v>
      </c>
      <c r="B1782">
        <v>1</v>
      </c>
      <c r="C1782" s="1">
        <f>(Tabela1[[#This Row],[x]]-H$3)*(Tabela1[[#This Row],[x]]-H$3) +(Tabela1[[#This Row],[y]]-H$4)*(Tabela1[[#This Row],[y]]-H$4)</f>
        <v>58645</v>
      </c>
      <c r="D1782" s="1">
        <f>IF(Tabela1[[#This Row],[promien]]&lt;40000,1,0)</f>
        <v>0</v>
      </c>
      <c r="E1782" s="1">
        <f>IF(Tabela1[[#This Row],[promien]]=40000,1,0)</f>
        <v>0</v>
      </c>
      <c r="F1782" s="1">
        <v>3.1537598204264872</v>
      </c>
      <c r="G1782" s="1">
        <v>1.2167166836694054E-2</v>
      </c>
    </row>
    <row r="1783" spans="1:7">
      <c r="A1783">
        <v>1</v>
      </c>
      <c r="B1783">
        <v>17</v>
      </c>
      <c r="C1783" s="1">
        <f>(Tabela1[[#This Row],[x]]-H$3)*(Tabela1[[#This Row],[x]]-H$3) +(Tabela1[[#This Row],[y]]-H$4)*(Tabela1[[#This Row],[y]]-H$4)</f>
        <v>73090</v>
      </c>
      <c r="D1783" s="1">
        <f>IF(Tabela1[[#This Row],[promien]]&lt;40000,1,0)</f>
        <v>0</v>
      </c>
      <c r="E1783" s="1">
        <f>IF(Tabela1[[#This Row],[promien]]=40000,1,0)</f>
        <v>0</v>
      </c>
      <c r="F1783" s="1">
        <v>3.1519910263600672</v>
      </c>
      <c r="G1783" s="1">
        <v>1.0398372770274111E-2</v>
      </c>
    </row>
    <row r="1784" spans="1:7">
      <c r="A1784">
        <v>63</v>
      </c>
      <c r="B1784">
        <v>252</v>
      </c>
      <c r="C1784" s="1">
        <f>(Tabela1[[#This Row],[x]]-H$3)*(Tabela1[[#This Row],[x]]-H$3) +(Tabela1[[#This Row],[y]]-H$4)*(Tabela1[[#This Row],[y]]-H$4)</f>
        <v>21473</v>
      </c>
      <c r="D1784" s="1">
        <f>IF(Tabela1[[#This Row],[promien]]&lt;40000,1,0)</f>
        <v>1</v>
      </c>
      <c r="E1784" s="1">
        <f>IF(Tabela1[[#This Row],[promien]]=40000,1,0)</f>
        <v>0</v>
      </c>
      <c r="F1784" s="1">
        <v>3.1524663677130045</v>
      </c>
      <c r="G1784" s="1">
        <v>1.0873714123211364E-2</v>
      </c>
    </row>
    <row r="1785" spans="1:7">
      <c r="A1785">
        <v>289</v>
      </c>
      <c r="B1785">
        <v>153</v>
      </c>
      <c r="C1785" s="1">
        <f>(Tabela1[[#This Row],[x]]-H$3)*(Tabela1[[#This Row],[x]]-H$3) +(Tabela1[[#This Row],[y]]-H$4)*(Tabela1[[#This Row],[y]]-H$4)</f>
        <v>10130</v>
      </c>
      <c r="D1785" s="1">
        <f>IF(Tabela1[[#This Row],[promien]]&lt;40000,1,0)</f>
        <v>1</v>
      </c>
      <c r="E1785" s="1">
        <f>IF(Tabela1[[#This Row],[promien]]=40000,1,0)</f>
        <v>0</v>
      </c>
      <c r="F1785" s="1">
        <v>3.1529411764705881</v>
      </c>
      <c r="G1785" s="1">
        <v>1.134852288079502E-2</v>
      </c>
    </row>
    <row r="1786" spans="1:7">
      <c r="A1786">
        <v>305</v>
      </c>
      <c r="B1786">
        <v>83</v>
      </c>
      <c r="C1786" s="1">
        <f>(Tabela1[[#This Row],[x]]-H$3)*(Tabela1[[#This Row],[x]]-H$3) +(Tabela1[[#This Row],[y]]-H$4)*(Tabela1[[#This Row],[y]]-H$4)</f>
        <v>24714</v>
      </c>
      <c r="D1786" s="1">
        <f>IF(Tabela1[[#This Row],[promien]]&lt;40000,1,0)</f>
        <v>1</v>
      </c>
      <c r="E1786" s="1">
        <f>IF(Tabela1[[#This Row],[promien]]=40000,1,0)</f>
        <v>0</v>
      </c>
      <c r="F1786" s="1">
        <v>3.1534154535274355</v>
      </c>
      <c r="G1786" s="1">
        <v>1.1822799937642348E-2</v>
      </c>
    </row>
    <row r="1787" spans="1:7">
      <c r="A1787">
        <v>159</v>
      </c>
      <c r="B1787">
        <v>347</v>
      </c>
      <c r="C1787" s="1">
        <f>(Tabela1[[#This Row],[x]]-H$3)*(Tabela1[[#This Row],[x]]-H$3) +(Tabela1[[#This Row],[y]]-H$4)*(Tabela1[[#This Row],[y]]-H$4)</f>
        <v>23290</v>
      </c>
      <c r="D1787" s="1">
        <f>IF(Tabela1[[#This Row],[promien]]&lt;40000,1,0)</f>
        <v>1</v>
      </c>
      <c r="E1787" s="1">
        <f>IF(Tabela1[[#This Row],[promien]]=40000,1,0)</f>
        <v>0</v>
      </c>
      <c r="F1787" s="1">
        <v>3.1538891997761613</v>
      </c>
      <c r="G1787" s="1">
        <v>1.2296546186368218E-2</v>
      </c>
    </row>
    <row r="1788" spans="1:7">
      <c r="A1788">
        <v>237</v>
      </c>
      <c r="B1788">
        <v>369</v>
      </c>
      <c r="C1788" s="1">
        <f>(Tabela1[[#This Row],[x]]-H$3)*(Tabela1[[#This Row],[x]]-H$3) +(Tabela1[[#This Row],[y]]-H$4)*(Tabela1[[#This Row],[y]]-H$4)</f>
        <v>29930</v>
      </c>
      <c r="D1788" s="1">
        <f>IF(Tabela1[[#This Row],[promien]]&lt;40000,1,0)</f>
        <v>1</v>
      </c>
      <c r="E1788" s="1">
        <f>IF(Tabela1[[#This Row],[promien]]=40000,1,0)</f>
        <v>0</v>
      </c>
      <c r="F1788" s="1">
        <v>3.1543624161073827</v>
      </c>
      <c r="G1788" s="1">
        <v>1.2769762517589545E-2</v>
      </c>
    </row>
    <row r="1789" spans="1:7">
      <c r="A1789">
        <v>41</v>
      </c>
      <c r="B1789">
        <v>334</v>
      </c>
      <c r="C1789" s="1">
        <f>(Tabela1[[#This Row],[x]]-H$3)*(Tabela1[[#This Row],[x]]-H$3) +(Tabela1[[#This Row],[y]]-H$4)*(Tabela1[[#This Row],[y]]-H$4)</f>
        <v>43237</v>
      </c>
      <c r="D1789" s="1">
        <f>IF(Tabela1[[#This Row],[promien]]&lt;40000,1,0)</f>
        <v>0</v>
      </c>
      <c r="E1789" s="1">
        <f>IF(Tabela1[[#This Row],[promien]]=40000,1,0)</f>
        <v>0</v>
      </c>
      <c r="F1789" s="1">
        <v>3.1525992174399105</v>
      </c>
      <c r="G1789" s="1">
        <v>1.1006563850117335E-2</v>
      </c>
    </row>
    <row r="1790" spans="1:7">
      <c r="A1790">
        <v>259</v>
      </c>
      <c r="B1790">
        <v>366</v>
      </c>
      <c r="C1790" s="1">
        <f>(Tabela1[[#This Row],[x]]-H$3)*(Tabela1[[#This Row],[x]]-H$3) +(Tabela1[[#This Row],[y]]-H$4)*(Tabela1[[#This Row],[y]]-H$4)</f>
        <v>31037</v>
      </c>
      <c r="D1790" s="1">
        <f>IF(Tabela1[[#This Row],[promien]]&lt;40000,1,0)</f>
        <v>1</v>
      </c>
      <c r="E1790" s="1">
        <f>IF(Tabela1[[#This Row],[promien]]=40000,1,0)</f>
        <v>0</v>
      </c>
      <c r="F1790" s="1">
        <v>3.1530726256983241</v>
      </c>
      <c r="G1790" s="1">
        <v>1.1479972108531022E-2</v>
      </c>
    </row>
    <row r="1791" spans="1:7">
      <c r="A1791">
        <v>129</v>
      </c>
      <c r="B1791">
        <v>172</v>
      </c>
      <c r="C1791" s="1">
        <f>(Tabela1[[#This Row],[x]]-H$3)*(Tabela1[[#This Row],[x]]-H$3) +(Tabela1[[#This Row],[y]]-H$4)*(Tabela1[[#This Row],[y]]-H$4)</f>
        <v>5825</v>
      </c>
      <c r="D1791" s="1">
        <f>IF(Tabela1[[#This Row],[promien]]&lt;40000,1,0)</f>
        <v>1</v>
      </c>
      <c r="E1791" s="1">
        <f>IF(Tabela1[[#This Row],[promien]]=40000,1,0)</f>
        <v>0</v>
      </c>
      <c r="F1791" s="1">
        <v>3.1535455053042991</v>
      </c>
      <c r="G1791" s="1">
        <v>1.1952851714505996E-2</v>
      </c>
    </row>
    <row r="1792" spans="1:7">
      <c r="A1792">
        <v>153</v>
      </c>
      <c r="B1792">
        <v>250</v>
      </c>
      <c r="C1792" s="1">
        <f>(Tabela1[[#This Row],[x]]-H$3)*(Tabela1[[#This Row],[x]]-H$3) +(Tabela1[[#This Row],[y]]-H$4)*(Tabela1[[#This Row],[y]]-H$4)</f>
        <v>4709</v>
      </c>
      <c r="D1792" s="1">
        <f>IF(Tabela1[[#This Row],[promien]]&lt;40000,1,0)</f>
        <v>1</v>
      </c>
      <c r="E1792" s="1">
        <f>IF(Tabela1[[#This Row],[promien]]=40000,1,0)</f>
        <v>0</v>
      </c>
      <c r="F1792" s="1">
        <v>3.1540178571428572</v>
      </c>
      <c r="G1792" s="1">
        <v>1.242520355306409E-2</v>
      </c>
    </row>
    <row r="1793" spans="1:7">
      <c r="A1793">
        <v>238</v>
      </c>
      <c r="B1793">
        <v>14</v>
      </c>
      <c r="C1793" s="1">
        <f>(Tabela1[[#This Row],[x]]-H$3)*(Tabela1[[#This Row],[x]]-H$3) +(Tabela1[[#This Row],[y]]-H$4)*(Tabela1[[#This Row],[y]]-H$4)</f>
        <v>36040</v>
      </c>
      <c r="D1793" s="1">
        <f>IF(Tabela1[[#This Row],[promien]]&lt;40000,1,0)</f>
        <v>1</v>
      </c>
      <c r="E1793" s="1">
        <f>IF(Tabela1[[#This Row],[promien]]=40000,1,0)</f>
        <v>0</v>
      </c>
      <c r="F1793" s="1">
        <v>3.1544896820970441</v>
      </c>
      <c r="G1793" s="1">
        <v>1.2897028507250941E-2</v>
      </c>
    </row>
    <row r="1794" spans="1:7">
      <c r="A1794">
        <v>109</v>
      </c>
      <c r="B1794">
        <v>360</v>
      </c>
      <c r="C1794" s="1">
        <f>(Tabela1[[#This Row],[x]]-H$3)*(Tabela1[[#This Row],[x]]-H$3) +(Tabela1[[#This Row],[y]]-H$4)*(Tabela1[[#This Row],[y]]-H$4)</f>
        <v>33881</v>
      </c>
      <c r="D1794" s="1">
        <f>IF(Tabela1[[#This Row],[promien]]&lt;40000,1,0)</f>
        <v>1</v>
      </c>
      <c r="E1794" s="1">
        <f>IF(Tabela1[[#This Row],[promien]]=40000,1,0)</f>
        <v>0</v>
      </c>
      <c r="F1794" s="1">
        <v>3.1549609810479375</v>
      </c>
      <c r="G1794" s="1">
        <v>1.3368327458144424E-2</v>
      </c>
    </row>
    <row r="1795" spans="1:7">
      <c r="A1795">
        <v>342</v>
      </c>
      <c r="B1795">
        <v>199</v>
      </c>
      <c r="C1795" s="1">
        <f>(Tabela1[[#This Row],[x]]-H$3)*(Tabela1[[#This Row],[x]]-H$3) +(Tabela1[[#This Row],[y]]-H$4)*(Tabela1[[#This Row],[y]]-H$4)</f>
        <v>20165</v>
      </c>
      <c r="D1795" s="1">
        <f>IF(Tabela1[[#This Row],[promien]]&lt;40000,1,0)</f>
        <v>1</v>
      </c>
      <c r="E1795" s="1">
        <f>IF(Tabela1[[#This Row],[promien]]=40000,1,0)</f>
        <v>0</v>
      </c>
      <c r="F1795" s="1">
        <v>3.1554317548746518</v>
      </c>
      <c r="G1795" s="1">
        <v>1.3839101284858657E-2</v>
      </c>
    </row>
    <row r="1796" spans="1:7">
      <c r="A1796">
        <v>125</v>
      </c>
      <c r="B1796">
        <v>196</v>
      </c>
      <c r="C1796" s="1">
        <f>(Tabela1[[#This Row],[x]]-H$3)*(Tabela1[[#This Row],[x]]-H$3) +(Tabela1[[#This Row],[y]]-H$4)*(Tabela1[[#This Row],[y]]-H$4)</f>
        <v>5641</v>
      </c>
      <c r="D1796" s="1">
        <f>IF(Tabela1[[#This Row],[promien]]&lt;40000,1,0)</f>
        <v>1</v>
      </c>
      <c r="E1796" s="1">
        <f>IF(Tabela1[[#This Row],[promien]]=40000,1,0)</f>
        <v>0</v>
      </c>
      <c r="F1796" s="1">
        <v>3.1559020044543429</v>
      </c>
      <c r="G1796" s="1">
        <v>1.4309350864549764E-2</v>
      </c>
    </row>
    <row r="1797" spans="1:7">
      <c r="A1797">
        <v>358</v>
      </c>
      <c r="B1797">
        <v>388</v>
      </c>
      <c r="C1797" s="1">
        <f>(Tabela1[[#This Row],[x]]-H$3)*(Tabela1[[#This Row],[x]]-H$3) +(Tabela1[[#This Row],[y]]-H$4)*(Tabela1[[#This Row],[y]]-H$4)</f>
        <v>60308</v>
      </c>
      <c r="D1797" s="1">
        <f>IF(Tabela1[[#This Row],[promien]]&lt;40000,1,0)</f>
        <v>0</v>
      </c>
      <c r="E1797" s="1">
        <f>IF(Tabela1[[#This Row],[promien]]=40000,1,0)</f>
        <v>0</v>
      </c>
      <c r="F1797" s="1">
        <v>3.1541457985531443</v>
      </c>
      <c r="G1797" s="1">
        <v>1.2553144963351137E-2</v>
      </c>
    </row>
    <row r="1798" spans="1:7">
      <c r="A1798">
        <v>291</v>
      </c>
      <c r="B1798">
        <v>62</v>
      </c>
      <c r="C1798" s="1">
        <f>(Tabela1[[#This Row],[x]]-H$3)*(Tabela1[[#This Row],[x]]-H$3) +(Tabela1[[#This Row],[y]]-H$4)*(Tabela1[[#This Row],[y]]-H$4)</f>
        <v>27325</v>
      </c>
      <c r="D1798" s="1">
        <f>IF(Tabela1[[#This Row],[promien]]&lt;40000,1,0)</f>
        <v>1</v>
      </c>
      <c r="E1798" s="1">
        <f>IF(Tabela1[[#This Row],[promien]]=40000,1,0)</f>
        <v>0</v>
      </c>
      <c r="F1798" s="1">
        <v>3.1546162402669631</v>
      </c>
      <c r="G1798" s="1">
        <v>1.3023586677169963E-2</v>
      </c>
    </row>
    <row r="1799" spans="1:7">
      <c r="A1799">
        <v>256</v>
      </c>
      <c r="B1799">
        <v>331</v>
      </c>
      <c r="C1799" s="1">
        <f>(Tabela1[[#This Row],[x]]-H$3)*(Tabela1[[#This Row],[x]]-H$3) +(Tabela1[[#This Row],[y]]-H$4)*(Tabela1[[#This Row],[y]]-H$4)</f>
        <v>20297</v>
      </c>
      <c r="D1799" s="1">
        <f>IF(Tabela1[[#This Row],[promien]]&lt;40000,1,0)</f>
        <v>1</v>
      </c>
      <c r="E1799" s="1">
        <f>IF(Tabela1[[#This Row],[promien]]=40000,1,0)</f>
        <v>0</v>
      </c>
      <c r="F1799" s="1">
        <v>3.1550861589772095</v>
      </c>
      <c r="G1799" s="1">
        <v>1.3493505387416338E-2</v>
      </c>
    </row>
    <row r="1800" spans="1:7">
      <c r="A1800">
        <v>70</v>
      </c>
      <c r="B1800">
        <v>233</v>
      </c>
      <c r="C1800" s="1">
        <f>(Tabela1[[#This Row],[x]]-H$3)*(Tabela1[[#This Row],[x]]-H$3) +(Tabela1[[#This Row],[y]]-H$4)*(Tabela1[[#This Row],[y]]-H$4)</f>
        <v>17989</v>
      </c>
      <c r="D1800" s="1">
        <f>IF(Tabela1[[#This Row],[promien]]&lt;40000,1,0)</f>
        <v>1</v>
      </c>
      <c r="E1800" s="1">
        <f>IF(Tabela1[[#This Row],[promien]]=40000,1,0)</f>
        <v>0</v>
      </c>
      <c r="F1800" s="1">
        <v>3.1555555555555554</v>
      </c>
      <c r="G1800" s="1">
        <v>1.3962901965762331E-2</v>
      </c>
    </row>
    <row r="1801" spans="1:7">
      <c r="A1801">
        <v>200</v>
      </c>
      <c r="B1801">
        <v>285</v>
      </c>
      <c r="C1801" s="1">
        <f>(Tabela1[[#This Row],[x]]-H$3)*(Tabela1[[#This Row],[x]]-H$3) +(Tabela1[[#This Row],[y]]-H$4)*(Tabela1[[#This Row],[y]]-H$4)</f>
        <v>7225</v>
      </c>
      <c r="D1801" s="1">
        <f>IF(Tabela1[[#This Row],[promien]]&lt;40000,1,0)</f>
        <v>1</v>
      </c>
      <c r="E1801" s="1">
        <f>IF(Tabela1[[#This Row],[promien]]=40000,1,0)</f>
        <v>0</v>
      </c>
      <c r="F1801" s="1">
        <v>3.1560244308717378</v>
      </c>
      <c r="G1801" s="1">
        <v>1.4431777281944669E-2</v>
      </c>
    </row>
    <row r="1802" spans="1:7">
      <c r="A1802">
        <v>166</v>
      </c>
      <c r="B1802">
        <v>318</v>
      </c>
      <c r="C1802" s="1">
        <f>(Tabela1[[#This Row],[x]]-H$3)*(Tabela1[[#This Row],[x]]-H$3) +(Tabela1[[#This Row],[y]]-H$4)*(Tabela1[[#This Row],[y]]-H$4)</f>
        <v>15080</v>
      </c>
      <c r="D1802" s="1">
        <f>IF(Tabela1[[#This Row],[promien]]&lt;40000,1,0)</f>
        <v>1</v>
      </c>
      <c r="E1802" s="1">
        <f>IF(Tabela1[[#This Row],[promien]]=40000,1,0)</f>
        <v>0</v>
      </c>
      <c r="F1802" s="1">
        <v>3.1564927857935627</v>
      </c>
      <c r="G1802" s="1">
        <v>1.4900132203769623E-2</v>
      </c>
    </row>
    <row r="1803" spans="1:7">
      <c r="A1803">
        <v>53</v>
      </c>
      <c r="B1803">
        <v>201</v>
      </c>
      <c r="C1803" s="1">
        <f>(Tabela1[[#This Row],[x]]-H$3)*(Tabela1[[#This Row],[x]]-H$3) +(Tabela1[[#This Row],[y]]-H$4)*(Tabela1[[#This Row],[y]]-H$4)</f>
        <v>21610</v>
      </c>
      <c r="D1803" s="1">
        <f>IF(Tabela1[[#This Row],[promien]]&lt;40000,1,0)</f>
        <v>1</v>
      </c>
      <c r="E1803" s="1">
        <f>IF(Tabela1[[#This Row],[promien]]=40000,1,0)</f>
        <v>0</v>
      </c>
      <c r="F1803" s="1">
        <v>3.1569606211869106</v>
      </c>
      <c r="G1803" s="1">
        <v>1.5367967597117449E-2</v>
      </c>
    </row>
    <row r="1804" spans="1:7">
      <c r="A1804">
        <v>322</v>
      </c>
      <c r="B1804">
        <v>187</v>
      </c>
      <c r="C1804" s="1">
        <f>(Tabela1[[#This Row],[x]]-H$3)*(Tabela1[[#This Row],[x]]-H$3) +(Tabela1[[#This Row],[y]]-H$4)*(Tabela1[[#This Row],[y]]-H$4)</f>
        <v>15053</v>
      </c>
      <c r="D1804" s="1">
        <f>IF(Tabela1[[#This Row],[promien]]&lt;40000,1,0)</f>
        <v>1</v>
      </c>
      <c r="E1804" s="1">
        <f>IF(Tabela1[[#This Row],[promien]]=40000,1,0)</f>
        <v>0</v>
      </c>
      <c r="F1804" s="1">
        <v>3.1574279379157426</v>
      </c>
      <c r="G1804" s="1">
        <v>1.5835284325949495E-2</v>
      </c>
    </row>
    <row r="1805" spans="1:7">
      <c r="A1805">
        <v>300</v>
      </c>
      <c r="B1805">
        <v>225</v>
      </c>
      <c r="C1805" s="1">
        <f>(Tabela1[[#This Row],[x]]-H$3)*(Tabela1[[#This Row],[x]]-H$3) +(Tabela1[[#This Row],[y]]-H$4)*(Tabela1[[#This Row],[y]]-H$4)</f>
        <v>10625</v>
      </c>
      <c r="D1805" s="1">
        <f>IF(Tabela1[[#This Row],[promien]]&lt;40000,1,0)</f>
        <v>1</v>
      </c>
      <c r="E1805" s="1">
        <f>IF(Tabela1[[#This Row],[promien]]=40000,1,0)</f>
        <v>0</v>
      </c>
      <c r="F1805" s="1">
        <v>3.1578947368421053</v>
      </c>
      <c r="G1805" s="1">
        <v>1.6302083252312194E-2</v>
      </c>
    </row>
    <row r="1806" spans="1:7">
      <c r="A1806">
        <v>255</v>
      </c>
      <c r="B1806">
        <v>345</v>
      </c>
      <c r="C1806" s="1">
        <f>(Tabela1[[#This Row],[x]]-H$3)*(Tabela1[[#This Row],[x]]-H$3) +(Tabela1[[#This Row],[y]]-H$4)*(Tabela1[[#This Row],[y]]-H$4)</f>
        <v>24050</v>
      </c>
      <c r="D1806" s="1">
        <f>IF(Tabela1[[#This Row],[promien]]&lt;40000,1,0)</f>
        <v>1</v>
      </c>
      <c r="E1806" s="1">
        <f>IF(Tabela1[[#This Row],[promien]]=40000,1,0)</f>
        <v>0</v>
      </c>
      <c r="F1806" s="1">
        <v>3.1583610188261351</v>
      </c>
      <c r="G1806" s="1">
        <v>1.6768365236341953E-2</v>
      </c>
    </row>
    <row r="1807" spans="1:7">
      <c r="A1807">
        <v>372</v>
      </c>
      <c r="B1807">
        <v>32</v>
      </c>
      <c r="C1807" s="1">
        <f>(Tabela1[[#This Row],[x]]-H$3)*(Tabela1[[#This Row],[x]]-H$3) +(Tabela1[[#This Row],[y]]-H$4)*(Tabela1[[#This Row],[y]]-H$4)</f>
        <v>57808</v>
      </c>
      <c r="D1807" s="1">
        <f>IF(Tabela1[[#This Row],[promien]]&lt;40000,1,0)</f>
        <v>0</v>
      </c>
      <c r="E1807" s="1">
        <f>IF(Tabela1[[#This Row],[promien]]=40000,1,0)</f>
        <v>0</v>
      </c>
      <c r="F1807" s="1">
        <v>3.1566131710016601</v>
      </c>
      <c r="G1807" s="1">
        <v>1.502051741186694E-2</v>
      </c>
    </row>
    <row r="1808" spans="1:7">
      <c r="A1808">
        <v>283</v>
      </c>
      <c r="B1808">
        <v>315</v>
      </c>
      <c r="C1808" s="1">
        <f>(Tabela1[[#This Row],[x]]-H$3)*(Tabela1[[#This Row],[x]]-H$3) +(Tabela1[[#This Row],[y]]-H$4)*(Tabela1[[#This Row],[y]]-H$4)</f>
        <v>20114</v>
      </c>
      <c r="D1808" s="1">
        <f>IF(Tabela1[[#This Row],[promien]]&lt;40000,1,0)</f>
        <v>1</v>
      </c>
      <c r="E1808" s="1">
        <f>IF(Tabela1[[#This Row],[promien]]=40000,1,0)</f>
        <v>0</v>
      </c>
      <c r="F1808" s="1">
        <v>3.1570796460176993</v>
      </c>
      <c r="G1808" s="1">
        <v>1.5486992427906188E-2</v>
      </c>
    </row>
    <row r="1809" spans="1:7">
      <c r="A1809">
        <v>351</v>
      </c>
      <c r="B1809">
        <v>292</v>
      </c>
      <c r="C1809" s="1">
        <f>(Tabela1[[#This Row],[x]]-H$3)*(Tabela1[[#This Row],[x]]-H$3) +(Tabela1[[#This Row],[y]]-H$4)*(Tabela1[[#This Row],[y]]-H$4)</f>
        <v>31265</v>
      </c>
      <c r="D1809" s="1">
        <f>IF(Tabela1[[#This Row],[promien]]&lt;40000,1,0)</f>
        <v>1</v>
      </c>
      <c r="E1809" s="1">
        <f>IF(Tabela1[[#This Row],[promien]]=40000,1,0)</f>
        <v>0</v>
      </c>
      <c r="F1809" s="1">
        <v>3.1575456053067992</v>
      </c>
      <c r="G1809" s="1">
        <v>1.5952951717006059E-2</v>
      </c>
    </row>
    <row r="1810" spans="1:7">
      <c r="A1810">
        <v>54</v>
      </c>
      <c r="B1810">
        <v>251</v>
      </c>
      <c r="C1810" s="1">
        <f>(Tabela1[[#This Row],[x]]-H$3)*(Tabela1[[#This Row],[x]]-H$3) +(Tabela1[[#This Row],[y]]-H$4)*(Tabela1[[#This Row],[y]]-H$4)</f>
        <v>23917</v>
      </c>
      <c r="D1810" s="1">
        <f>IF(Tabela1[[#This Row],[promien]]&lt;40000,1,0)</f>
        <v>1</v>
      </c>
      <c r="E1810" s="1">
        <f>IF(Tabela1[[#This Row],[promien]]=40000,1,0)</f>
        <v>0</v>
      </c>
      <c r="F1810" s="1">
        <v>3.1580110497237568</v>
      </c>
      <c r="G1810" s="1">
        <v>1.6418396133963675E-2</v>
      </c>
    </row>
    <row r="1811" spans="1:7">
      <c r="A1811">
        <v>51</v>
      </c>
      <c r="B1811">
        <v>83</v>
      </c>
      <c r="C1811" s="1">
        <f>(Tabela1[[#This Row],[x]]-H$3)*(Tabela1[[#This Row],[x]]-H$3) +(Tabela1[[#This Row],[y]]-H$4)*(Tabela1[[#This Row],[y]]-H$4)</f>
        <v>35890</v>
      </c>
      <c r="D1811" s="1">
        <f>IF(Tabela1[[#This Row],[promien]]&lt;40000,1,0)</f>
        <v>1</v>
      </c>
      <c r="E1811" s="1">
        <f>IF(Tabela1[[#This Row],[promien]]=40000,1,0)</f>
        <v>0</v>
      </c>
      <c r="F1811" s="1">
        <v>3.1584759801214797</v>
      </c>
      <c r="G1811" s="1">
        <v>1.688332653168656E-2</v>
      </c>
    </row>
    <row r="1812" spans="1:7">
      <c r="A1812">
        <v>82</v>
      </c>
      <c r="B1812">
        <v>188</v>
      </c>
      <c r="C1812" s="1">
        <f>(Tabela1[[#This Row],[x]]-H$3)*(Tabela1[[#This Row],[x]]-H$3) +(Tabela1[[#This Row],[y]]-H$4)*(Tabela1[[#This Row],[y]]-H$4)</f>
        <v>14068</v>
      </c>
      <c r="D1812" s="1">
        <f>IF(Tabela1[[#This Row],[promien]]&lt;40000,1,0)</f>
        <v>1</v>
      </c>
      <c r="E1812" s="1">
        <f>IF(Tabela1[[#This Row],[promien]]=40000,1,0)</f>
        <v>0</v>
      </c>
      <c r="F1812" s="1">
        <v>3.1589403973509933</v>
      </c>
      <c r="G1812" s="1">
        <v>1.7347743761200185E-2</v>
      </c>
    </row>
    <row r="1813" spans="1:7">
      <c r="A1813">
        <v>93</v>
      </c>
      <c r="B1813">
        <v>20</v>
      </c>
      <c r="C1813" s="1">
        <f>(Tabela1[[#This Row],[x]]-H$3)*(Tabela1[[#This Row],[x]]-H$3) +(Tabela1[[#This Row],[y]]-H$4)*(Tabela1[[#This Row],[y]]-H$4)</f>
        <v>43849</v>
      </c>
      <c r="D1813" s="1">
        <f>IF(Tabela1[[#This Row],[promien]]&lt;40000,1,0)</f>
        <v>0</v>
      </c>
      <c r="E1813" s="1">
        <f>IF(Tabela1[[#This Row],[promien]]=40000,1,0)</f>
        <v>0</v>
      </c>
      <c r="F1813" s="1">
        <v>3.1571980143408713</v>
      </c>
      <c r="G1813" s="1">
        <v>1.5605360751078212E-2</v>
      </c>
    </row>
    <row r="1814" spans="1:7">
      <c r="A1814">
        <v>175</v>
      </c>
      <c r="B1814">
        <v>282</v>
      </c>
      <c r="C1814" s="1">
        <f>(Tabela1[[#This Row],[x]]-H$3)*(Tabela1[[#This Row],[x]]-H$3) +(Tabela1[[#This Row],[y]]-H$4)*(Tabela1[[#This Row],[y]]-H$4)</f>
        <v>7349</v>
      </c>
      <c r="D1814" s="1">
        <f>IF(Tabela1[[#This Row],[promien]]&lt;40000,1,0)</f>
        <v>1</v>
      </c>
      <c r="E1814" s="1">
        <f>IF(Tabela1[[#This Row],[promien]]=40000,1,0)</f>
        <v>0</v>
      </c>
      <c r="F1814" s="1">
        <v>3.157662624035281</v>
      </c>
      <c r="G1814" s="1">
        <v>1.6069970445487858E-2</v>
      </c>
    </row>
    <row r="1815" spans="1:7">
      <c r="A1815">
        <v>270</v>
      </c>
      <c r="B1815">
        <v>145</v>
      </c>
      <c r="C1815" s="1">
        <f>(Tabela1[[#This Row],[x]]-H$3)*(Tabela1[[#This Row],[x]]-H$3) +(Tabela1[[#This Row],[y]]-H$4)*(Tabela1[[#This Row],[y]]-H$4)</f>
        <v>7925</v>
      </c>
      <c r="D1815" s="1">
        <f>IF(Tabela1[[#This Row],[promien]]&lt;40000,1,0)</f>
        <v>1</v>
      </c>
      <c r="E1815" s="1">
        <f>IF(Tabela1[[#This Row],[promien]]=40000,1,0)</f>
        <v>0</v>
      </c>
      <c r="F1815" s="1">
        <v>3.1581267217630855</v>
      </c>
      <c r="G1815" s="1">
        <v>1.6534068173292393E-2</v>
      </c>
    </row>
    <row r="1816" spans="1:7">
      <c r="A1816">
        <v>304</v>
      </c>
      <c r="B1816">
        <v>319</v>
      </c>
      <c r="C1816" s="1">
        <f>(Tabela1[[#This Row],[x]]-H$3)*(Tabela1[[#This Row],[x]]-H$3) +(Tabela1[[#This Row],[y]]-H$4)*(Tabela1[[#This Row],[y]]-H$4)</f>
        <v>24977</v>
      </c>
      <c r="D1816" s="1">
        <f>IF(Tabela1[[#This Row],[promien]]&lt;40000,1,0)</f>
        <v>1</v>
      </c>
      <c r="E1816" s="1">
        <f>IF(Tabela1[[#This Row],[promien]]=40000,1,0)</f>
        <v>0</v>
      </c>
      <c r="F1816" s="1">
        <v>3.158590308370044</v>
      </c>
      <c r="G1816" s="1">
        <v>1.6997654780250837E-2</v>
      </c>
    </row>
    <row r="1817" spans="1:7">
      <c r="A1817">
        <v>266</v>
      </c>
      <c r="B1817">
        <v>284</v>
      </c>
      <c r="C1817" s="1">
        <f>(Tabela1[[#This Row],[x]]-H$3)*(Tabela1[[#This Row],[x]]-H$3) +(Tabela1[[#This Row],[y]]-H$4)*(Tabela1[[#This Row],[y]]-H$4)</f>
        <v>11412</v>
      </c>
      <c r="D1817" s="1">
        <f>IF(Tabela1[[#This Row],[promien]]&lt;40000,1,0)</f>
        <v>1</v>
      </c>
      <c r="E1817" s="1">
        <f>IF(Tabela1[[#This Row],[promien]]=40000,1,0)</f>
        <v>0</v>
      </c>
      <c r="F1817" s="1">
        <v>3.159053384700055</v>
      </c>
      <c r="G1817" s="1">
        <v>1.7460731110261918E-2</v>
      </c>
    </row>
    <row r="1818" spans="1:7">
      <c r="A1818">
        <v>268</v>
      </c>
      <c r="B1818">
        <v>360</v>
      </c>
      <c r="C1818" s="1">
        <f>(Tabela1[[#This Row],[x]]-H$3)*(Tabela1[[#This Row],[x]]-H$3) +(Tabela1[[#This Row],[y]]-H$4)*(Tabela1[[#This Row],[y]]-H$4)</f>
        <v>30224</v>
      </c>
      <c r="D1818" s="1">
        <f>IF(Tabela1[[#This Row],[promien]]&lt;40000,1,0)</f>
        <v>1</v>
      </c>
      <c r="E1818" s="1">
        <f>IF(Tabela1[[#This Row],[promien]]=40000,1,0)</f>
        <v>0</v>
      </c>
      <c r="F1818" s="1">
        <v>3.1595159515951594</v>
      </c>
      <c r="G1818" s="1">
        <v>1.7923298005366295E-2</v>
      </c>
    </row>
    <row r="1819" spans="1:7">
      <c r="A1819">
        <v>25</v>
      </c>
      <c r="B1819">
        <v>204</v>
      </c>
      <c r="C1819" s="1">
        <f>(Tabela1[[#This Row],[x]]-H$3)*(Tabela1[[#This Row],[x]]-H$3) +(Tabela1[[#This Row],[y]]-H$4)*(Tabela1[[#This Row],[y]]-H$4)</f>
        <v>30641</v>
      </c>
      <c r="D1819" s="1">
        <f>IF(Tabela1[[#This Row],[promien]]&lt;40000,1,0)</f>
        <v>1</v>
      </c>
      <c r="E1819" s="1">
        <f>IF(Tabela1[[#This Row],[promien]]=40000,1,0)</f>
        <v>0</v>
      </c>
      <c r="F1819" s="1">
        <v>3.1599780098955472</v>
      </c>
      <c r="G1819" s="1">
        <v>1.8385356305754108E-2</v>
      </c>
    </row>
    <row r="1820" spans="1:7">
      <c r="A1820">
        <v>45</v>
      </c>
      <c r="B1820">
        <v>205</v>
      </c>
      <c r="C1820" s="1">
        <f>(Tabela1[[#This Row],[x]]-H$3)*(Tabela1[[#This Row],[x]]-H$3) +(Tabela1[[#This Row],[y]]-H$4)*(Tabela1[[#This Row],[y]]-H$4)</f>
        <v>24050</v>
      </c>
      <c r="D1820" s="1">
        <f>IF(Tabela1[[#This Row],[promien]]&lt;40000,1,0)</f>
        <v>1</v>
      </c>
      <c r="E1820" s="1">
        <f>IF(Tabela1[[#This Row],[promien]]=40000,1,0)</f>
        <v>0</v>
      </c>
      <c r="F1820" s="1">
        <v>3.1604395604395603</v>
      </c>
      <c r="G1820" s="1">
        <v>1.8846906849767198E-2</v>
      </c>
    </row>
    <row r="1821" spans="1:7">
      <c r="A1821">
        <v>340</v>
      </c>
      <c r="B1821">
        <v>6</v>
      </c>
      <c r="C1821" s="1">
        <f>(Tabela1[[#This Row],[x]]-H$3)*(Tabela1[[#This Row],[x]]-H$3) +(Tabela1[[#This Row],[y]]-H$4)*(Tabela1[[#This Row],[y]]-H$4)</f>
        <v>57236</v>
      </c>
      <c r="D1821" s="1">
        <f>IF(Tabela1[[#This Row],[promien]]&lt;40000,1,0)</f>
        <v>0</v>
      </c>
      <c r="E1821" s="1">
        <f>IF(Tabela1[[#This Row],[promien]]=40000,1,0)</f>
        <v>0</v>
      </c>
      <c r="F1821" s="1">
        <v>3.1587040087863811</v>
      </c>
      <c r="G1821" s="1">
        <v>1.7111355196588018E-2</v>
      </c>
    </row>
    <row r="1822" spans="1:7">
      <c r="A1822">
        <v>321</v>
      </c>
      <c r="B1822">
        <v>330</v>
      </c>
      <c r="C1822" s="1">
        <f>(Tabela1[[#This Row],[x]]-H$3)*(Tabela1[[#This Row],[x]]-H$3) +(Tabela1[[#This Row],[y]]-H$4)*(Tabela1[[#This Row],[y]]-H$4)</f>
        <v>31541</v>
      </c>
      <c r="D1822" s="1">
        <f>IF(Tabela1[[#This Row],[promien]]&lt;40000,1,0)</f>
        <v>1</v>
      </c>
      <c r="E1822" s="1">
        <f>IF(Tabela1[[#This Row],[promien]]=40000,1,0)</f>
        <v>0</v>
      </c>
      <c r="F1822" s="1">
        <v>3.1591657519209662</v>
      </c>
      <c r="G1822" s="1">
        <v>1.7573098331173043E-2</v>
      </c>
    </row>
    <row r="1823" spans="1:7">
      <c r="A1823">
        <v>383</v>
      </c>
      <c r="B1823">
        <v>271</v>
      </c>
      <c r="C1823" s="1">
        <f>(Tabela1[[#This Row],[x]]-H$3)*(Tabela1[[#This Row],[x]]-H$3) +(Tabela1[[#This Row],[y]]-H$4)*(Tabela1[[#This Row],[y]]-H$4)</f>
        <v>38530</v>
      </c>
      <c r="D1823" s="1">
        <f>IF(Tabela1[[#This Row],[promien]]&lt;40000,1,0)</f>
        <v>1</v>
      </c>
      <c r="E1823" s="1">
        <f>IF(Tabela1[[#This Row],[promien]]=40000,1,0)</f>
        <v>0</v>
      </c>
      <c r="F1823" s="1">
        <v>3.1596269884805266</v>
      </c>
      <c r="G1823" s="1">
        <v>1.8034334890733472E-2</v>
      </c>
    </row>
    <row r="1824" spans="1:7">
      <c r="A1824">
        <v>341</v>
      </c>
      <c r="B1824">
        <v>196</v>
      </c>
      <c r="C1824" s="1">
        <f>(Tabela1[[#This Row],[x]]-H$3)*(Tabela1[[#This Row],[x]]-H$3) +(Tabela1[[#This Row],[y]]-H$4)*(Tabela1[[#This Row],[y]]-H$4)</f>
        <v>19897</v>
      </c>
      <c r="D1824" s="1">
        <f>IF(Tabela1[[#This Row],[promien]]&lt;40000,1,0)</f>
        <v>1</v>
      </c>
      <c r="E1824" s="1">
        <f>IF(Tabela1[[#This Row],[promien]]=40000,1,0)</f>
        <v>0</v>
      </c>
      <c r="F1824" s="1">
        <v>3.1600877192982457</v>
      </c>
      <c r="G1824" s="1">
        <v>1.8495065708452607E-2</v>
      </c>
    </row>
    <row r="1825" spans="1:7">
      <c r="A1825">
        <v>247</v>
      </c>
      <c r="B1825">
        <v>253</v>
      </c>
      <c r="C1825" s="1">
        <f>(Tabela1[[#This Row],[x]]-H$3)*(Tabela1[[#This Row],[x]]-H$3) +(Tabela1[[#This Row],[y]]-H$4)*(Tabela1[[#This Row],[y]]-H$4)</f>
        <v>5018</v>
      </c>
      <c r="D1825" s="1">
        <f>IF(Tabela1[[#This Row],[promien]]&lt;40000,1,0)</f>
        <v>1</v>
      </c>
      <c r="E1825" s="1">
        <f>IF(Tabela1[[#This Row],[promien]]=40000,1,0)</f>
        <v>0</v>
      </c>
      <c r="F1825" s="1">
        <v>3.1605479452054794</v>
      </c>
      <c r="G1825" s="1">
        <v>1.895529161568632E-2</v>
      </c>
    </row>
    <row r="1826" spans="1:7">
      <c r="A1826">
        <v>211</v>
      </c>
      <c r="B1826">
        <v>34</v>
      </c>
      <c r="C1826" s="1">
        <f>(Tabela1[[#This Row],[x]]-H$3)*(Tabela1[[#This Row],[x]]-H$3) +(Tabela1[[#This Row],[y]]-H$4)*(Tabela1[[#This Row],[y]]-H$4)</f>
        <v>27677</v>
      </c>
      <c r="D1826" s="1">
        <f>IF(Tabela1[[#This Row],[promien]]&lt;40000,1,0)</f>
        <v>1</v>
      </c>
      <c r="E1826" s="1">
        <f>IF(Tabela1[[#This Row],[promien]]=40000,1,0)</f>
        <v>0</v>
      </c>
      <c r="F1826" s="1">
        <v>3.1610076670317633</v>
      </c>
      <c r="G1826" s="1">
        <v>1.9415013441970164E-2</v>
      </c>
    </row>
    <row r="1827" spans="1:7">
      <c r="A1827">
        <v>292</v>
      </c>
      <c r="B1827">
        <v>295</v>
      </c>
      <c r="C1827" s="1">
        <f>(Tabela1[[#This Row],[x]]-H$3)*(Tabela1[[#This Row],[x]]-H$3) +(Tabela1[[#This Row],[y]]-H$4)*(Tabela1[[#This Row],[y]]-H$4)</f>
        <v>17489</v>
      </c>
      <c r="D1827" s="1">
        <f>IF(Tabela1[[#This Row],[promien]]&lt;40000,1,0)</f>
        <v>1</v>
      </c>
      <c r="E1827" s="1">
        <f>IF(Tabela1[[#This Row],[promien]]=40000,1,0)</f>
        <v>0</v>
      </c>
      <c r="F1827" s="1">
        <v>3.1614668856048165</v>
      </c>
      <c r="G1827" s="1">
        <v>1.9874232015023363E-2</v>
      </c>
    </row>
    <row r="1828" spans="1:7">
      <c r="A1828">
        <v>73</v>
      </c>
      <c r="B1828">
        <v>99</v>
      </c>
      <c r="C1828" s="1">
        <f>(Tabela1[[#This Row],[x]]-H$3)*(Tabela1[[#This Row],[x]]-H$3) +(Tabela1[[#This Row],[y]]-H$4)*(Tabela1[[#This Row],[y]]-H$4)</f>
        <v>26330</v>
      </c>
      <c r="D1828" s="1">
        <f>IF(Tabela1[[#This Row],[promien]]&lt;40000,1,0)</f>
        <v>1</v>
      </c>
      <c r="E1828" s="1">
        <f>IF(Tabela1[[#This Row],[promien]]=40000,1,0)</f>
        <v>0</v>
      </c>
      <c r="F1828" s="1">
        <v>3.1619256017505473</v>
      </c>
      <c r="G1828" s="1">
        <v>2.033294816075415E-2</v>
      </c>
    </row>
    <row r="1829" spans="1:7">
      <c r="A1829">
        <v>83</v>
      </c>
      <c r="B1829">
        <v>366</v>
      </c>
      <c r="C1829" s="1">
        <f>(Tabela1[[#This Row],[x]]-H$3)*(Tabela1[[#This Row],[x]]-H$3) +(Tabela1[[#This Row],[y]]-H$4)*(Tabela1[[#This Row],[y]]-H$4)</f>
        <v>41245</v>
      </c>
      <c r="D1829" s="1">
        <f>IF(Tabela1[[#This Row],[promien]]&lt;40000,1,0)</f>
        <v>0</v>
      </c>
      <c r="E1829" s="1">
        <f>IF(Tabela1[[#This Row],[promien]]=40000,1,0)</f>
        <v>0</v>
      </c>
      <c r="F1829" s="1">
        <v>3.1601968288682341</v>
      </c>
      <c r="G1829" s="1">
        <v>1.8604175278440938E-2</v>
      </c>
    </row>
    <row r="1830" spans="1:7">
      <c r="A1830">
        <v>305</v>
      </c>
      <c r="B1830">
        <v>240</v>
      </c>
      <c r="C1830" s="1">
        <f>(Tabela1[[#This Row],[x]]-H$3)*(Tabela1[[#This Row],[x]]-H$3) +(Tabela1[[#This Row],[y]]-H$4)*(Tabela1[[#This Row],[y]]-H$4)</f>
        <v>12625</v>
      </c>
      <c r="D1830" s="1">
        <f>IF(Tabela1[[#This Row],[promien]]&lt;40000,1,0)</f>
        <v>1</v>
      </c>
      <c r="E1830" s="1">
        <f>IF(Tabela1[[#This Row],[promien]]=40000,1,0)</f>
        <v>0</v>
      </c>
      <c r="F1830" s="1">
        <v>3.1606557377049178</v>
      </c>
      <c r="G1830" s="1">
        <v>1.9063084115124695E-2</v>
      </c>
    </row>
    <row r="1831" spans="1:7">
      <c r="A1831">
        <v>314</v>
      </c>
      <c r="B1831">
        <v>88</v>
      </c>
      <c r="C1831" s="1">
        <f>(Tabela1[[#This Row],[x]]-H$3)*(Tabela1[[#This Row],[x]]-H$3) +(Tabela1[[#This Row],[y]]-H$4)*(Tabela1[[#This Row],[y]]-H$4)</f>
        <v>25540</v>
      </c>
      <c r="D1831" s="1">
        <f>IF(Tabela1[[#This Row],[promien]]&lt;40000,1,0)</f>
        <v>1</v>
      </c>
      <c r="E1831" s="1">
        <f>IF(Tabela1[[#This Row],[promien]]=40000,1,0)</f>
        <v>0</v>
      </c>
      <c r="F1831" s="1">
        <v>3.1611141452758056</v>
      </c>
      <c r="G1831" s="1">
        <v>1.9521491686012471E-2</v>
      </c>
    </row>
    <row r="1832" spans="1:7">
      <c r="A1832">
        <v>185</v>
      </c>
      <c r="B1832">
        <v>307</v>
      </c>
      <c r="C1832" s="1">
        <f>(Tabela1[[#This Row],[x]]-H$3)*(Tabela1[[#This Row],[x]]-H$3) +(Tabela1[[#This Row],[y]]-H$4)*(Tabela1[[#This Row],[y]]-H$4)</f>
        <v>11674</v>
      </c>
      <c r="D1832" s="1">
        <f>IF(Tabela1[[#This Row],[promien]]&lt;40000,1,0)</f>
        <v>1</v>
      </c>
      <c r="E1832" s="1">
        <f>IF(Tabela1[[#This Row],[promien]]=40000,1,0)</f>
        <v>0</v>
      </c>
      <c r="F1832" s="1">
        <v>3.1615720524017465</v>
      </c>
      <c r="G1832" s="1">
        <v>1.997939881195343E-2</v>
      </c>
    </row>
    <row r="1833" spans="1:7">
      <c r="A1833">
        <v>181</v>
      </c>
      <c r="B1833">
        <v>100</v>
      </c>
      <c r="C1833" s="1">
        <f>(Tabela1[[#This Row],[x]]-H$3)*(Tabela1[[#This Row],[x]]-H$3) +(Tabela1[[#This Row],[y]]-H$4)*(Tabela1[[#This Row],[y]]-H$4)</f>
        <v>10361</v>
      </c>
      <c r="D1833" s="1">
        <f>IF(Tabela1[[#This Row],[promien]]&lt;40000,1,0)</f>
        <v>1</v>
      </c>
      <c r="E1833" s="1">
        <f>IF(Tabela1[[#This Row],[promien]]=40000,1,0)</f>
        <v>0</v>
      </c>
      <c r="F1833" s="1">
        <v>3.1620294599018002</v>
      </c>
      <c r="G1833" s="1">
        <v>2.0436806312007061E-2</v>
      </c>
    </row>
    <row r="1834" spans="1:7">
      <c r="A1834">
        <v>296</v>
      </c>
      <c r="B1834">
        <v>203</v>
      </c>
      <c r="C1834" s="1">
        <f>(Tabela1[[#This Row],[x]]-H$3)*(Tabela1[[#This Row],[x]]-H$3) +(Tabela1[[#This Row],[y]]-H$4)*(Tabela1[[#This Row],[y]]-H$4)</f>
        <v>9225</v>
      </c>
      <c r="D1834" s="1">
        <f>IF(Tabela1[[#This Row],[promien]]&lt;40000,1,0)</f>
        <v>1</v>
      </c>
      <c r="E1834" s="1">
        <f>IF(Tabela1[[#This Row],[promien]]=40000,1,0)</f>
        <v>0</v>
      </c>
      <c r="F1834" s="1">
        <v>3.162486368593239</v>
      </c>
      <c r="G1834" s="1">
        <v>2.0893715003445834E-2</v>
      </c>
    </row>
    <row r="1835" spans="1:7">
      <c r="A1835">
        <v>211</v>
      </c>
      <c r="B1835">
        <v>56</v>
      </c>
      <c r="C1835" s="1">
        <f>(Tabela1[[#This Row],[x]]-H$3)*(Tabela1[[#This Row],[x]]-H$3) +(Tabela1[[#This Row],[y]]-H$4)*(Tabela1[[#This Row],[y]]-H$4)</f>
        <v>20857</v>
      </c>
      <c r="D1835" s="1">
        <f>IF(Tabela1[[#This Row],[promien]]&lt;40000,1,0)</f>
        <v>1</v>
      </c>
      <c r="E1835" s="1">
        <f>IF(Tabela1[[#This Row],[promien]]=40000,1,0)</f>
        <v>0</v>
      </c>
      <c r="F1835" s="1">
        <v>3.1629427792915532</v>
      </c>
      <c r="G1835" s="1">
        <v>2.1350125701760092E-2</v>
      </c>
    </row>
    <row r="1836" spans="1:7">
      <c r="A1836">
        <v>372</v>
      </c>
      <c r="B1836">
        <v>270</v>
      </c>
      <c r="C1836" s="1">
        <f>(Tabela1[[#This Row],[x]]-H$3)*(Tabela1[[#This Row],[x]]-H$3) +(Tabela1[[#This Row],[y]]-H$4)*(Tabela1[[#This Row],[y]]-H$4)</f>
        <v>34484</v>
      </c>
      <c r="D1836" s="1">
        <f>IF(Tabela1[[#This Row],[promien]]&lt;40000,1,0)</f>
        <v>1</v>
      </c>
      <c r="E1836" s="1">
        <f>IF(Tabela1[[#This Row],[promien]]=40000,1,0)</f>
        <v>0</v>
      </c>
      <c r="F1836" s="1">
        <v>3.1633986928104574</v>
      </c>
      <c r="G1836" s="1">
        <v>2.1806039220664264E-2</v>
      </c>
    </row>
    <row r="1837" spans="1:7">
      <c r="A1837">
        <v>78</v>
      </c>
      <c r="B1837">
        <v>14</v>
      </c>
      <c r="C1837" s="1">
        <f>(Tabela1[[#This Row],[x]]-H$3)*(Tabela1[[#This Row],[x]]-H$3) +(Tabela1[[#This Row],[y]]-H$4)*(Tabela1[[#This Row],[y]]-H$4)</f>
        <v>49480</v>
      </c>
      <c r="D1837" s="1">
        <f>IF(Tabela1[[#This Row],[promien]]&lt;40000,1,0)</f>
        <v>0</v>
      </c>
      <c r="E1837" s="1">
        <f>IF(Tabela1[[#This Row],[promien]]=40000,1,0)</f>
        <v>0</v>
      </c>
      <c r="F1837" s="1">
        <v>3.1616766467065869</v>
      </c>
      <c r="G1837" s="1">
        <v>2.0083993116793764E-2</v>
      </c>
    </row>
    <row r="1838" spans="1:7">
      <c r="A1838">
        <v>362</v>
      </c>
      <c r="B1838">
        <v>270</v>
      </c>
      <c r="C1838" s="1">
        <f>(Tabela1[[#This Row],[x]]-H$3)*(Tabela1[[#This Row],[x]]-H$3) +(Tabela1[[#This Row],[y]]-H$4)*(Tabela1[[#This Row],[y]]-H$4)</f>
        <v>31144</v>
      </c>
      <c r="D1838" s="1">
        <f>IF(Tabela1[[#This Row],[promien]]&lt;40000,1,0)</f>
        <v>1</v>
      </c>
      <c r="E1838" s="1">
        <f>IF(Tabela1[[#This Row],[promien]]=40000,1,0)</f>
        <v>0</v>
      </c>
      <c r="F1838" s="1">
        <v>3.1621327529923828</v>
      </c>
      <c r="G1838" s="1">
        <v>2.0540099402589718E-2</v>
      </c>
    </row>
    <row r="1839" spans="1:7">
      <c r="A1839">
        <v>147</v>
      </c>
      <c r="B1839">
        <v>209</v>
      </c>
      <c r="C1839" s="1">
        <f>(Tabela1[[#This Row],[x]]-H$3)*(Tabela1[[#This Row],[x]]-H$3) +(Tabela1[[#This Row],[y]]-H$4)*(Tabela1[[#This Row],[y]]-H$4)</f>
        <v>2890</v>
      </c>
      <c r="D1839" s="1">
        <f>IF(Tabela1[[#This Row],[promien]]&lt;40000,1,0)</f>
        <v>1</v>
      </c>
      <c r="E1839" s="1">
        <f>IF(Tabela1[[#This Row],[promien]]=40000,1,0)</f>
        <v>0</v>
      </c>
      <c r="F1839" s="1">
        <v>3.162588363240892</v>
      </c>
      <c r="G1839" s="1">
        <v>2.0995709651098871E-2</v>
      </c>
    </row>
    <row r="1840" spans="1:7">
      <c r="A1840">
        <v>383</v>
      </c>
      <c r="B1840">
        <v>150</v>
      </c>
      <c r="C1840" s="1">
        <f>(Tabela1[[#This Row],[x]]-H$3)*(Tabela1[[#This Row],[x]]-H$3) +(Tabela1[[#This Row],[y]]-H$4)*(Tabela1[[#This Row],[y]]-H$4)</f>
        <v>35989</v>
      </c>
      <c r="D1840" s="1">
        <f>IF(Tabela1[[#This Row],[promien]]&lt;40000,1,0)</f>
        <v>1</v>
      </c>
      <c r="E1840" s="1">
        <f>IF(Tabela1[[#This Row],[promien]]=40000,1,0)</f>
        <v>0</v>
      </c>
      <c r="F1840" s="1">
        <v>3.1630434782608696</v>
      </c>
      <c r="G1840" s="1">
        <v>2.1450824671076507E-2</v>
      </c>
    </row>
    <row r="1841" spans="1:7">
      <c r="A1841">
        <v>270</v>
      </c>
      <c r="B1841">
        <v>57</v>
      </c>
      <c r="C1841" s="1">
        <f>(Tabela1[[#This Row],[x]]-H$3)*(Tabela1[[#This Row],[x]]-H$3) +(Tabela1[[#This Row],[y]]-H$4)*(Tabela1[[#This Row],[y]]-H$4)</f>
        <v>25349</v>
      </c>
      <c r="D1841" s="1">
        <f>IF(Tabela1[[#This Row],[promien]]&lt;40000,1,0)</f>
        <v>1</v>
      </c>
      <c r="E1841" s="1">
        <f>IF(Tabela1[[#This Row],[promien]]=40000,1,0)</f>
        <v>0</v>
      </c>
      <c r="F1841" s="1">
        <v>3.1634980988593155</v>
      </c>
      <c r="G1841" s="1">
        <v>2.1905445269522428E-2</v>
      </c>
    </row>
    <row r="1842" spans="1:7">
      <c r="A1842">
        <v>312</v>
      </c>
      <c r="B1842">
        <v>372</v>
      </c>
      <c r="C1842" s="1">
        <f>(Tabela1[[#This Row],[x]]-H$3)*(Tabela1[[#This Row],[x]]-H$3) +(Tabela1[[#This Row],[y]]-H$4)*(Tabela1[[#This Row],[y]]-H$4)</f>
        <v>42128</v>
      </c>
      <c r="D1842" s="1">
        <f>IF(Tabela1[[#This Row],[promien]]&lt;40000,1,0)</f>
        <v>0</v>
      </c>
      <c r="E1842" s="1">
        <f>IF(Tabela1[[#This Row],[promien]]=40000,1,0)</f>
        <v>0</v>
      </c>
      <c r="F1842" s="1">
        <v>3.1617806731813247</v>
      </c>
      <c r="G1842" s="1">
        <v>2.0188019591531603E-2</v>
      </c>
    </row>
    <row r="1843" spans="1:7">
      <c r="A1843">
        <v>285</v>
      </c>
      <c r="B1843">
        <v>74</v>
      </c>
      <c r="C1843" s="1">
        <f>(Tabela1[[#This Row],[x]]-H$3)*(Tabela1[[#This Row],[x]]-H$3) +(Tabela1[[#This Row],[y]]-H$4)*(Tabela1[[#This Row],[y]]-H$4)</f>
        <v>23101</v>
      </c>
      <c r="D1843" s="1">
        <f>IF(Tabela1[[#This Row],[promien]]&lt;40000,1,0)</f>
        <v>1</v>
      </c>
      <c r="E1843" s="1">
        <f>IF(Tabela1[[#This Row],[promien]]=40000,1,0)</f>
        <v>0</v>
      </c>
      <c r="F1843" s="1">
        <v>3.1622354856212698</v>
      </c>
      <c r="G1843" s="1">
        <v>2.0642832031476654E-2</v>
      </c>
    </row>
    <row r="1844" spans="1:7">
      <c r="A1844">
        <v>246</v>
      </c>
      <c r="B1844">
        <v>244</v>
      </c>
      <c r="C1844" s="1">
        <f>(Tabela1[[#This Row],[x]]-H$3)*(Tabela1[[#This Row],[x]]-H$3) +(Tabela1[[#This Row],[y]]-H$4)*(Tabela1[[#This Row],[y]]-H$4)</f>
        <v>4052</v>
      </c>
      <c r="D1844" s="1">
        <f>IF(Tabela1[[#This Row],[promien]]&lt;40000,1,0)</f>
        <v>1</v>
      </c>
      <c r="E1844" s="1">
        <f>IF(Tabela1[[#This Row],[promien]]=40000,1,0)</f>
        <v>0</v>
      </c>
      <c r="F1844" s="1">
        <v>3.1626898047722345</v>
      </c>
      <c r="G1844" s="1">
        <v>2.1097151182441376E-2</v>
      </c>
    </row>
    <row r="1845" spans="1:7">
      <c r="A1845">
        <v>327</v>
      </c>
      <c r="B1845">
        <v>269</v>
      </c>
      <c r="C1845" s="1">
        <f>(Tabela1[[#This Row],[x]]-H$3)*(Tabela1[[#This Row],[x]]-H$3) +(Tabela1[[#This Row],[y]]-H$4)*(Tabela1[[#This Row],[y]]-H$4)</f>
        <v>20890</v>
      </c>
      <c r="D1845" s="1">
        <f>IF(Tabela1[[#This Row],[promien]]&lt;40000,1,0)</f>
        <v>1</v>
      </c>
      <c r="E1845" s="1">
        <f>IF(Tabela1[[#This Row],[promien]]=40000,1,0)</f>
        <v>0</v>
      </c>
      <c r="F1845" s="1">
        <v>3.1631436314363142</v>
      </c>
      <c r="G1845" s="1">
        <v>2.1550977846521047E-2</v>
      </c>
    </row>
    <row r="1846" spans="1:7">
      <c r="A1846">
        <v>395</v>
      </c>
      <c r="B1846">
        <v>183</v>
      </c>
      <c r="C1846" s="1">
        <f>(Tabela1[[#This Row],[x]]-H$3)*(Tabela1[[#This Row],[x]]-H$3) +(Tabela1[[#This Row],[y]]-H$4)*(Tabela1[[#This Row],[y]]-H$4)</f>
        <v>38314</v>
      </c>
      <c r="D1846" s="1">
        <f>IF(Tabela1[[#This Row],[promien]]&lt;40000,1,0)</f>
        <v>1</v>
      </c>
      <c r="E1846" s="1">
        <f>IF(Tabela1[[#This Row],[promien]]=40000,1,0)</f>
        <v>0</v>
      </c>
      <c r="F1846" s="1">
        <v>3.1635969664138677</v>
      </c>
      <c r="G1846" s="1">
        <v>2.2004312824074557E-2</v>
      </c>
    </row>
    <row r="1847" spans="1:7">
      <c r="A1847">
        <v>287</v>
      </c>
      <c r="B1847">
        <v>102</v>
      </c>
      <c r="C1847" s="1">
        <f>(Tabela1[[#This Row],[x]]-H$3)*(Tabela1[[#This Row],[x]]-H$3) +(Tabela1[[#This Row],[y]]-H$4)*(Tabela1[[#This Row],[y]]-H$4)</f>
        <v>17173</v>
      </c>
      <c r="D1847" s="1">
        <f>IF(Tabela1[[#This Row],[promien]]&lt;40000,1,0)</f>
        <v>1</v>
      </c>
      <c r="E1847" s="1">
        <f>IF(Tabela1[[#This Row],[promien]]=40000,1,0)</f>
        <v>0</v>
      </c>
      <c r="F1847" s="1">
        <v>3.1640498105035193</v>
      </c>
      <c r="G1847" s="1">
        <v>2.2457156913726184E-2</v>
      </c>
    </row>
    <row r="1848" spans="1:7">
      <c r="A1848">
        <v>384</v>
      </c>
      <c r="B1848">
        <v>172</v>
      </c>
      <c r="C1848" s="1">
        <f>(Tabela1[[#This Row],[x]]-H$3)*(Tabela1[[#This Row],[x]]-H$3) +(Tabela1[[#This Row],[y]]-H$4)*(Tabela1[[#This Row],[y]]-H$4)</f>
        <v>34640</v>
      </c>
      <c r="D1848" s="1">
        <f>IF(Tabela1[[#This Row],[promien]]&lt;40000,1,0)</f>
        <v>1</v>
      </c>
      <c r="E1848" s="1">
        <f>IF(Tabela1[[#This Row],[promien]]=40000,1,0)</f>
        <v>0</v>
      </c>
      <c r="F1848" s="1">
        <v>3.1645021645021645</v>
      </c>
      <c r="G1848" s="1">
        <v>2.2909510912371367E-2</v>
      </c>
    </row>
    <row r="1849" spans="1:7">
      <c r="A1849">
        <v>245</v>
      </c>
      <c r="B1849">
        <v>108</v>
      </c>
      <c r="C1849" s="1">
        <f>(Tabela1[[#This Row],[x]]-H$3)*(Tabela1[[#This Row],[x]]-H$3) +(Tabela1[[#This Row],[y]]-H$4)*(Tabela1[[#This Row],[y]]-H$4)</f>
        <v>10489</v>
      </c>
      <c r="D1849" s="1">
        <f>IF(Tabela1[[#This Row],[promien]]&lt;40000,1,0)</f>
        <v>1</v>
      </c>
      <c r="E1849" s="1">
        <f>IF(Tabela1[[#This Row],[promien]]=40000,1,0)</f>
        <v>0</v>
      </c>
      <c r="F1849" s="1">
        <v>3.1649540292049756</v>
      </c>
      <c r="G1849" s="1">
        <v>2.3361375615182478E-2</v>
      </c>
    </row>
    <row r="1850" spans="1:7">
      <c r="A1850">
        <v>273</v>
      </c>
      <c r="B1850">
        <v>2</v>
      </c>
      <c r="C1850" s="1">
        <f>(Tabela1[[#This Row],[x]]-H$3)*(Tabela1[[#This Row],[x]]-H$3) +(Tabela1[[#This Row],[y]]-H$4)*(Tabela1[[#This Row],[y]]-H$4)</f>
        <v>44533</v>
      </c>
      <c r="D1850" s="1">
        <f>IF(Tabela1[[#This Row],[promien]]&lt;40000,1,0)</f>
        <v>0</v>
      </c>
      <c r="E1850" s="1">
        <f>IF(Tabela1[[#This Row],[promien]]=40000,1,0)</f>
        <v>0</v>
      </c>
      <c r="F1850" s="1">
        <v>3.1632432432432434</v>
      </c>
      <c r="G1850" s="1">
        <v>2.1650589653450236E-2</v>
      </c>
    </row>
    <row r="1851" spans="1:7">
      <c r="A1851">
        <v>152</v>
      </c>
      <c r="B1851">
        <v>302</v>
      </c>
      <c r="C1851" s="1">
        <f>(Tabela1[[#This Row],[x]]-H$3)*(Tabela1[[#This Row],[x]]-H$3) +(Tabela1[[#This Row],[y]]-H$4)*(Tabela1[[#This Row],[y]]-H$4)</f>
        <v>12708</v>
      </c>
      <c r="D1851" s="1">
        <f>IF(Tabela1[[#This Row],[promien]]&lt;40000,1,0)</f>
        <v>1</v>
      </c>
      <c r="E1851" s="1">
        <f>IF(Tabela1[[#This Row],[promien]]=40000,1,0)</f>
        <v>0</v>
      </c>
      <c r="F1851" s="1">
        <v>3.1636952998379253</v>
      </c>
      <c r="G1851" s="1">
        <v>2.2102646248132185E-2</v>
      </c>
    </row>
    <row r="1852" spans="1:7">
      <c r="A1852">
        <v>60</v>
      </c>
      <c r="B1852">
        <v>383</v>
      </c>
      <c r="C1852" s="1">
        <f>(Tabela1[[#This Row],[x]]-H$3)*(Tabela1[[#This Row],[x]]-H$3) +(Tabela1[[#This Row],[y]]-H$4)*(Tabela1[[#This Row],[y]]-H$4)</f>
        <v>53089</v>
      </c>
      <c r="D1852" s="1">
        <f>IF(Tabela1[[#This Row],[promien]]&lt;40000,1,0)</f>
        <v>0</v>
      </c>
      <c r="E1852" s="1">
        <f>IF(Tabela1[[#This Row],[promien]]=40000,1,0)</f>
        <v>0</v>
      </c>
      <c r="F1852" s="1">
        <v>3.161987041036717</v>
      </c>
      <c r="G1852" s="1">
        <v>2.0394387446923901E-2</v>
      </c>
    </row>
    <row r="1853" spans="1:7">
      <c r="A1853">
        <v>137</v>
      </c>
      <c r="B1853">
        <v>143</v>
      </c>
      <c r="C1853" s="1">
        <f>(Tabela1[[#This Row],[x]]-H$3)*(Tabela1[[#This Row],[x]]-H$3) +(Tabela1[[#This Row],[y]]-H$4)*(Tabela1[[#This Row],[y]]-H$4)</f>
        <v>7218</v>
      </c>
      <c r="D1853" s="1">
        <f>IF(Tabela1[[#This Row],[promien]]&lt;40000,1,0)</f>
        <v>1</v>
      </c>
      <c r="E1853" s="1">
        <f>IF(Tabela1[[#This Row],[promien]]=40000,1,0)</f>
        <v>0</v>
      </c>
      <c r="F1853" s="1">
        <v>3.162439287641662</v>
      </c>
      <c r="G1853" s="1">
        <v>2.0846634051868929E-2</v>
      </c>
    </row>
    <row r="1854" spans="1:7">
      <c r="A1854">
        <v>289</v>
      </c>
      <c r="B1854">
        <v>66</v>
      </c>
      <c r="C1854" s="1">
        <f>(Tabela1[[#This Row],[x]]-H$3)*(Tabela1[[#This Row],[x]]-H$3) +(Tabela1[[#This Row],[y]]-H$4)*(Tabela1[[#This Row],[y]]-H$4)</f>
        <v>25877</v>
      </c>
      <c r="D1854" s="1">
        <f>IF(Tabela1[[#This Row],[promien]]&lt;40000,1,0)</f>
        <v>1</v>
      </c>
      <c r="E1854" s="1">
        <f>IF(Tabela1[[#This Row],[promien]]=40000,1,0)</f>
        <v>0</v>
      </c>
      <c r="F1854" s="1">
        <v>3.1628910463861919</v>
      </c>
      <c r="G1854" s="1">
        <v>2.129839279639878E-2</v>
      </c>
    </row>
    <row r="1855" spans="1:7">
      <c r="A1855">
        <v>129</v>
      </c>
      <c r="B1855">
        <v>140</v>
      </c>
      <c r="C1855" s="1">
        <f>(Tabela1[[#This Row],[x]]-H$3)*(Tabela1[[#This Row],[x]]-H$3) +(Tabela1[[#This Row],[y]]-H$4)*(Tabela1[[#This Row],[y]]-H$4)</f>
        <v>8641</v>
      </c>
      <c r="D1855" s="1">
        <f>IF(Tabela1[[#This Row],[promien]]&lt;40000,1,0)</f>
        <v>1</v>
      </c>
      <c r="E1855" s="1">
        <f>IF(Tabela1[[#This Row],[promien]]=40000,1,0)</f>
        <v>0</v>
      </c>
      <c r="F1855" s="1">
        <v>3.163342318059299</v>
      </c>
      <c r="G1855" s="1">
        <v>2.1749664469505881E-2</v>
      </c>
    </row>
    <row r="1856" spans="1:7">
      <c r="A1856">
        <v>305</v>
      </c>
      <c r="B1856">
        <v>358</v>
      </c>
      <c r="C1856" s="1">
        <f>(Tabela1[[#This Row],[x]]-H$3)*(Tabela1[[#This Row],[x]]-H$3) +(Tabela1[[#This Row],[y]]-H$4)*(Tabela1[[#This Row],[y]]-H$4)</f>
        <v>35989</v>
      </c>
      <c r="D1856" s="1">
        <f>IF(Tabela1[[#This Row],[promien]]&lt;40000,1,0)</f>
        <v>1</v>
      </c>
      <c r="E1856" s="1">
        <f>IF(Tabela1[[#This Row],[promien]]=40000,1,0)</f>
        <v>0</v>
      </c>
      <c r="F1856" s="1">
        <v>3.1637931034482758</v>
      </c>
      <c r="G1856" s="1">
        <v>2.2200449858482685E-2</v>
      </c>
    </row>
    <row r="1857" spans="1:7">
      <c r="A1857">
        <v>178</v>
      </c>
      <c r="B1857">
        <v>173</v>
      </c>
      <c r="C1857" s="1">
        <f>(Tabela1[[#This Row],[x]]-H$3)*(Tabela1[[#This Row],[x]]-H$3) +(Tabela1[[#This Row],[y]]-H$4)*(Tabela1[[#This Row],[y]]-H$4)</f>
        <v>1213</v>
      </c>
      <c r="D1857" s="1">
        <f>IF(Tabela1[[#This Row],[promien]]&lt;40000,1,0)</f>
        <v>1</v>
      </c>
      <c r="E1857" s="1">
        <f>IF(Tabela1[[#This Row],[promien]]=40000,1,0)</f>
        <v>0</v>
      </c>
      <c r="F1857" s="1">
        <v>3.1642434033387183</v>
      </c>
      <c r="G1857" s="1">
        <v>2.2650749748925225E-2</v>
      </c>
    </row>
    <row r="1858" spans="1:7">
      <c r="A1858">
        <v>335</v>
      </c>
      <c r="B1858">
        <v>326</v>
      </c>
      <c r="C1858" s="1">
        <f>(Tabela1[[#This Row],[x]]-H$3)*(Tabela1[[#This Row],[x]]-H$3) +(Tabela1[[#This Row],[y]]-H$4)*(Tabela1[[#This Row],[y]]-H$4)</f>
        <v>34101</v>
      </c>
      <c r="D1858" s="1">
        <f>IF(Tabela1[[#This Row],[promien]]&lt;40000,1,0)</f>
        <v>1</v>
      </c>
      <c r="E1858" s="1">
        <f>IF(Tabela1[[#This Row],[promien]]=40000,1,0)</f>
        <v>0</v>
      </c>
      <c r="F1858" s="1">
        <v>3.1646932185145316</v>
      </c>
      <c r="G1858" s="1">
        <v>2.3100564924738443E-2</v>
      </c>
    </row>
    <row r="1859" spans="1:7">
      <c r="A1859">
        <v>342</v>
      </c>
      <c r="B1859">
        <v>332</v>
      </c>
      <c r="C1859" s="1">
        <f>(Tabela1[[#This Row],[x]]-H$3)*(Tabela1[[#This Row],[x]]-H$3) +(Tabela1[[#This Row],[y]]-H$4)*(Tabela1[[#This Row],[y]]-H$4)</f>
        <v>37588</v>
      </c>
      <c r="D1859" s="1">
        <f>IF(Tabela1[[#This Row],[promien]]&lt;40000,1,0)</f>
        <v>1</v>
      </c>
      <c r="E1859" s="1">
        <f>IF(Tabela1[[#This Row],[promien]]=40000,1,0)</f>
        <v>0</v>
      </c>
      <c r="F1859" s="1">
        <v>3.1651425497579342</v>
      </c>
      <c r="G1859" s="1">
        <v>2.3549896168141071E-2</v>
      </c>
    </row>
    <row r="1860" spans="1:7">
      <c r="A1860">
        <v>6</v>
      </c>
      <c r="B1860">
        <v>311</v>
      </c>
      <c r="C1860" s="1">
        <f>(Tabela1[[#This Row],[x]]-H$3)*(Tabela1[[#This Row],[x]]-H$3) +(Tabela1[[#This Row],[y]]-H$4)*(Tabela1[[#This Row],[y]]-H$4)</f>
        <v>49957</v>
      </c>
      <c r="D1860" s="1">
        <f>IF(Tabela1[[#This Row],[promien]]&lt;40000,1,0)</f>
        <v>0</v>
      </c>
      <c r="E1860" s="1">
        <f>IF(Tabela1[[#This Row],[promien]]=40000,1,0)</f>
        <v>0</v>
      </c>
      <c r="F1860" s="1">
        <v>3.1634408602150539</v>
      </c>
      <c r="G1860" s="1">
        <v>2.1848206625260769E-2</v>
      </c>
    </row>
    <row r="1861" spans="1:7">
      <c r="A1861">
        <v>75</v>
      </c>
      <c r="B1861">
        <v>381</v>
      </c>
      <c r="C1861" s="1">
        <f>(Tabela1[[#This Row],[x]]-H$3)*(Tabela1[[#This Row],[x]]-H$3) +(Tabela1[[#This Row],[y]]-H$4)*(Tabela1[[#This Row],[y]]-H$4)</f>
        <v>48386</v>
      </c>
      <c r="D1861" s="1">
        <f>IF(Tabela1[[#This Row],[promien]]&lt;40000,1,0)</f>
        <v>0</v>
      </c>
      <c r="E1861" s="1">
        <f>IF(Tabela1[[#This Row],[promien]]=40000,1,0)</f>
        <v>0</v>
      </c>
      <c r="F1861" s="1">
        <v>3.1617409994626544</v>
      </c>
      <c r="G1861" s="1">
        <v>2.0148345872861295E-2</v>
      </c>
    </row>
    <row r="1862" spans="1:7">
      <c r="A1862">
        <v>229</v>
      </c>
      <c r="B1862">
        <v>164</v>
      </c>
      <c r="C1862" s="1">
        <f>(Tabela1[[#This Row],[x]]-H$3)*(Tabela1[[#This Row],[x]]-H$3) +(Tabela1[[#This Row],[y]]-H$4)*(Tabela1[[#This Row],[y]]-H$4)</f>
        <v>2137</v>
      </c>
      <c r="D1862" s="1">
        <f>IF(Tabela1[[#This Row],[promien]]&lt;40000,1,0)</f>
        <v>1</v>
      </c>
      <c r="E1862" s="1">
        <f>IF(Tabela1[[#This Row],[promien]]=40000,1,0)</f>
        <v>0</v>
      </c>
      <c r="F1862" s="1">
        <v>3.1621911922663801</v>
      </c>
      <c r="G1862" s="1">
        <v>2.0598538676587008E-2</v>
      </c>
    </row>
    <row r="1863" spans="1:7">
      <c r="A1863">
        <v>305</v>
      </c>
      <c r="B1863">
        <v>327</v>
      </c>
      <c r="C1863" s="1">
        <f>(Tabela1[[#This Row],[x]]-H$3)*(Tabela1[[#This Row],[x]]-H$3) +(Tabela1[[#This Row],[y]]-H$4)*(Tabela1[[#This Row],[y]]-H$4)</f>
        <v>27154</v>
      </c>
      <c r="D1863" s="1">
        <f>IF(Tabela1[[#This Row],[promien]]&lt;40000,1,0)</f>
        <v>1</v>
      </c>
      <c r="E1863" s="1">
        <f>IF(Tabela1[[#This Row],[promien]]=40000,1,0)</f>
        <v>0</v>
      </c>
      <c r="F1863" s="1">
        <v>3.1626409017713364</v>
      </c>
      <c r="G1863" s="1">
        <v>2.1048248181543272E-2</v>
      </c>
    </row>
    <row r="1864" spans="1:7">
      <c r="A1864">
        <v>158</v>
      </c>
      <c r="B1864">
        <v>75</v>
      </c>
      <c r="C1864" s="1">
        <f>(Tabela1[[#This Row],[x]]-H$3)*(Tabela1[[#This Row],[x]]-H$3) +(Tabela1[[#This Row],[y]]-H$4)*(Tabela1[[#This Row],[y]]-H$4)</f>
        <v>17389</v>
      </c>
      <c r="D1864" s="1">
        <f>IF(Tabela1[[#This Row],[promien]]&lt;40000,1,0)</f>
        <v>1</v>
      </c>
      <c r="E1864" s="1">
        <f>IF(Tabela1[[#This Row],[promien]]=40000,1,0)</f>
        <v>0</v>
      </c>
      <c r="F1864" s="1">
        <v>3.163090128755365</v>
      </c>
      <c r="G1864" s="1">
        <v>2.1497475165571878E-2</v>
      </c>
    </row>
    <row r="1865" spans="1:7">
      <c r="A1865">
        <v>326</v>
      </c>
      <c r="B1865">
        <v>201</v>
      </c>
      <c r="C1865" s="1">
        <f>(Tabela1[[#This Row],[x]]-H$3)*(Tabela1[[#This Row],[x]]-H$3) +(Tabela1[[#This Row],[y]]-H$4)*(Tabela1[[#This Row],[y]]-H$4)</f>
        <v>15877</v>
      </c>
      <c r="D1865" s="1">
        <f>IF(Tabela1[[#This Row],[promien]]&lt;40000,1,0)</f>
        <v>1</v>
      </c>
      <c r="E1865" s="1">
        <f>IF(Tabela1[[#This Row],[promien]]=40000,1,0)</f>
        <v>0</v>
      </c>
      <c r="F1865" s="1">
        <v>3.163538873994638</v>
      </c>
      <c r="G1865" s="1">
        <v>2.1946220404844841E-2</v>
      </c>
    </row>
    <row r="1866" spans="1:7">
      <c r="A1866">
        <v>395</v>
      </c>
      <c r="B1866">
        <v>303</v>
      </c>
      <c r="C1866" s="1">
        <f>(Tabela1[[#This Row],[x]]-H$3)*(Tabela1[[#This Row],[x]]-H$3) +(Tabela1[[#This Row],[y]]-H$4)*(Tabela1[[#This Row],[y]]-H$4)</f>
        <v>48634</v>
      </c>
      <c r="D1866" s="1">
        <f>IF(Tabela1[[#This Row],[promien]]&lt;40000,1,0)</f>
        <v>0</v>
      </c>
      <c r="E1866" s="1">
        <f>IF(Tabela1[[#This Row],[promien]]=40000,1,0)</f>
        <v>0</v>
      </c>
      <c r="F1866" s="1">
        <v>3.1618435155412645</v>
      </c>
      <c r="G1866" s="1">
        <v>2.0250861951471411E-2</v>
      </c>
    </row>
    <row r="1867" spans="1:7">
      <c r="A1867">
        <v>145</v>
      </c>
      <c r="B1867">
        <v>38</v>
      </c>
      <c r="C1867" s="1">
        <f>(Tabela1[[#This Row],[x]]-H$3)*(Tabela1[[#This Row],[x]]-H$3) +(Tabela1[[#This Row],[y]]-H$4)*(Tabela1[[#This Row],[y]]-H$4)</f>
        <v>29269</v>
      </c>
      <c r="D1867" s="1">
        <f>IF(Tabela1[[#This Row],[promien]]&lt;40000,1,0)</f>
        <v>1</v>
      </c>
      <c r="E1867" s="1">
        <f>IF(Tabela1[[#This Row],[promien]]=40000,1,0)</f>
        <v>0</v>
      </c>
      <c r="F1867" s="1">
        <v>3.1622924477771828</v>
      </c>
      <c r="G1867" s="1">
        <v>2.0699794187389653E-2</v>
      </c>
    </row>
    <row r="1868" spans="1:7">
      <c r="A1868">
        <v>199</v>
      </c>
      <c r="B1868">
        <v>57</v>
      </c>
      <c r="C1868" s="1">
        <f>(Tabela1[[#This Row],[x]]-H$3)*(Tabela1[[#This Row],[x]]-H$3) +(Tabela1[[#This Row],[y]]-H$4)*(Tabela1[[#This Row],[y]]-H$4)</f>
        <v>20450</v>
      </c>
      <c r="D1868" s="1">
        <f>IF(Tabela1[[#This Row],[promien]]&lt;40000,1,0)</f>
        <v>1</v>
      </c>
      <c r="E1868" s="1">
        <f>IF(Tabela1[[#This Row],[promien]]=40000,1,0)</f>
        <v>0</v>
      </c>
      <c r="F1868" s="1">
        <v>3.1627408993576016</v>
      </c>
      <c r="G1868" s="1">
        <v>2.1148245767808493E-2</v>
      </c>
    </row>
    <row r="1869" spans="1:7">
      <c r="A1869">
        <v>324</v>
      </c>
      <c r="B1869">
        <v>204</v>
      </c>
      <c r="C1869" s="1">
        <f>(Tabela1[[#This Row],[x]]-H$3)*(Tabela1[[#This Row],[x]]-H$3) +(Tabela1[[#This Row],[y]]-H$4)*(Tabela1[[#This Row],[y]]-H$4)</f>
        <v>15392</v>
      </c>
      <c r="D1869" s="1">
        <f>IF(Tabela1[[#This Row],[promien]]&lt;40000,1,0)</f>
        <v>1</v>
      </c>
      <c r="E1869" s="1">
        <f>IF(Tabela1[[#This Row],[promien]]=40000,1,0)</f>
        <v>0</v>
      </c>
      <c r="F1869" s="1">
        <v>3.1631888710540395</v>
      </c>
      <c r="G1869" s="1">
        <v>2.1596217464246337E-2</v>
      </c>
    </row>
    <row r="1870" spans="1:7">
      <c r="A1870">
        <v>354</v>
      </c>
      <c r="B1870">
        <v>43</v>
      </c>
      <c r="C1870" s="1">
        <f>(Tabela1[[#This Row],[x]]-H$3)*(Tabela1[[#This Row],[x]]-H$3) +(Tabela1[[#This Row],[y]]-H$4)*(Tabela1[[#This Row],[y]]-H$4)</f>
        <v>48365</v>
      </c>
      <c r="D1870" s="1">
        <f>IF(Tabela1[[#This Row],[promien]]&lt;40000,1,0)</f>
        <v>0</v>
      </c>
      <c r="E1870" s="1">
        <f>IF(Tabela1[[#This Row],[promien]]=40000,1,0)</f>
        <v>0</v>
      </c>
      <c r="F1870" s="1">
        <v>3.1614973262032087</v>
      </c>
      <c r="G1870" s="1">
        <v>1.9904672613415553E-2</v>
      </c>
    </row>
    <row r="1871" spans="1:7">
      <c r="A1871">
        <v>385</v>
      </c>
      <c r="B1871">
        <v>304</v>
      </c>
      <c r="C1871" s="1">
        <f>(Tabela1[[#This Row],[x]]-H$3)*(Tabela1[[#This Row],[x]]-H$3) +(Tabela1[[#This Row],[y]]-H$4)*(Tabela1[[#This Row],[y]]-H$4)</f>
        <v>45041</v>
      </c>
      <c r="D1871" s="1">
        <f>IF(Tabela1[[#This Row],[promien]]&lt;40000,1,0)</f>
        <v>0</v>
      </c>
      <c r="E1871" s="1">
        <f>IF(Tabela1[[#This Row],[promien]]=40000,1,0)</f>
        <v>0</v>
      </c>
      <c r="F1871" s="1">
        <v>3.1598075895243185</v>
      </c>
      <c r="G1871" s="1">
        <v>1.8214935934525389E-2</v>
      </c>
    </row>
    <row r="1872" spans="1:7">
      <c r="A1872">
        <v>336</v>
      </c>
      <c r="B1872">
        <v>384</v>
      </c>
      <c r="C1872" s="1">
        <f>(Tabela1[[#This Row],[x]]-H$3)*(Tabela1[[#This Row],[x]]-H$3) +(Tabela1[[#This Row],[y]]-H$4)*(Tabela1[[#This Row],[y]]-H$4)</f>
        <v>52352</v>
      </c>
      <c r="D1872" s="1">
        <f>IF(Tabela1[[#This Row],[promien]]&lt;40000,1,0)</f>
        <v>0</v>
      </c>
      <c r="E1872" s="1">
        <f>IF(Tabela1[[#This Row],[promien]]=40000,1,0)</f>
        <v>0</v>
      </c>
      <c r="F1872" s="1">
        <v>3.158119658119658</v>
      </c>
      <c r="G1872" s="1">
        <v>1.6527004529864886E-2</v>
      </c>
    </row>
    <row r="1873" spans="1:7">
      <c r="A1873">
        <v>124</v>
      </c>
      <c r="B1873">
        <v>160</v>
      </c>
      <c r="C1873" s="1">
        <f>(Tabela1[[#This Row],[x]]-H$3)*(Tabela1[[#This Row],[x]]-H$3) +(Tabela1[[#This Row],[y]]-H$4)*(Tabela1[[#This Row],[y]]-H$4)</f>
        <v>7376</v>
      </c>
      <c r="D1873" s="1">
        <f>IF(Tabela1[[#This Row],[promien]]&lt;40000,1,0)</f>
        <v>1</v>
      </c>
      <c r="E1873" s="1">
        <f>IF(Tabela1[[#This Row],[promien]]=40000,1,0)</f>
        <v>0</v>
      </c>
      <c r="F1873" s="1">
        <v>3.1585691404164442</v>
      </c>
      <c r="G1873" s="1">
        <v>1.6976486826651094E-2</v>
      </c>
    </row>
    <row r="1874" spans="1:7">
      <c r="A1874">
        <v>364</v>
      </c>
      <c r="B1874">
        <v>82</v>
      </c>
      <c r="C1874" s="1">
        <f>(Tabela1[[#This Row],[x]]-H$3)*(Tabela1[[#This Row],[x]]-H$3) +(Tabela1[[#This Row],[y]]-H$4)*(Tabela1[[#This Row],[y]]-H$4)</f>
        <v>40820</v>
      </c>
      <c r="D1874" s="1">
        <f>IF(Tabela1[[#This Row],[promien]]&lt;40000,1,0)</f>
        <v>0</v>
      </c>
      <c r="E1874" s="1">
        <f>IF(Tabela1[[#This Row],[promien]]=40000,1,0)</f>
        <v>0</v>
      </c>
      <c r="F1874" s="1">
        <v>3.1568836712913555</v>
      </c>
      <c r="G1874" s="1">
        <v>1.5291017701562382E-2</v>
      </c>
    </row>
    <row r="1875" spans="1:7">
      <c r="A1875">
        <v>237</v>
      </c>
      <c r="B1875">
        <v>338</v>
      </c>
      <c r="C1875" s="1">
        <f>(Tabela1[[#This Row],[x]]-H$3)*(Tabela1[[#This Row],[x]]-H$3) +(Tabela1[[#This Row],[y]]-H$4)*(Tabela1[[#This Row],[y]]-H$4)</f>
        <v>20413</v>
      </c>
      <c r="D1875" s="1">
        <f>IF(Tabela1[[#This Row],[promien]]&lt;40000,1,0)</f>
        <v>1</v>
      </c>
      <c r="E1875" s="1">
        <f>IF(Tabela1[[#This Row],[promien]]=40000,1,0)</f>
        <v>0</v>
      </c>
      <c r="F1875" s="1">
        <v>3.1573333333333333</v>
      </c>
      <c r="G1875" s="1">
        <v>1.5740679743540209E-2</v>
      </c>
    </row>
    <row r="1876" spans="1:7">
      <c r="A1876">
        <v>37</v>
      </c>
      <c r="B1876">
        <v>47</v>
      </c>
      <c r="C1876" s="1">
        <f>(Tabela1[[#This Row],[x]]-H$3)*(Tabela1[[#This Row],[x]]-H$3) +(Tabela1[[#This Row],[y]]-H$4)*(Tabela1[[#This Row],[y]]-H$4)</f>
        <v>49978</v>
      </c>
      <c r="D1876" s="1">
        <f>IF(Tabela1[[#This Row],[promien]]&lt;40000,1,0)</f>
        <v>0</v>
      </c>
      <c r="E1876" s="1">
        <f>IF(Tabela1[[#This Row],[promien]]=40000,1,0)</f>
        <v>0</v>
      </c>
      <c r="F1876" s="1">
        <v>3.1556503198294243</v>
      </c>
      <c r="G1876" s="1">
        <v>1.4057666239631228E-2</v>
      </c>
    </row>
    <row r="1877" spans="1:7">
      <c r="A1877">
        <v>388</v>
      </c>
      <c r="B1877">
        <v>241</v>
      </c>
      <c r="C1877" s="1">
        <f>(Tabela1[[#This Row],[x]]-H$3)*(Tabela1[[#This Row],[x]]-H$3) +(Tabela1[[#This Row],[y]]-H$4)*(Tabela1[[#This Row],[y]]-H$4)</f>
        <v>37025</v>
      </c>
      <c r="D1877" s="1">
        <f>IF(Tabela1[[#This Row],[promien]]&lt;40000,1,0)</f>
        <v>1</v>
      </c>
      <c r="E1877" s="1">
        <f>IF(Tabela1[[#This Row],[promien]]=40000,1,0)</f>
        <v>0</v>
      </c>
      <c r="F1877" s="1">
        <v>3.1561001598295153</v>
      </c>
      <c r="G1877" s="1">
        <v>1.450750623972219E-2</v>
      </c>
    </row>
    <row r="1878" spans="1:7">
      <c r="A1878">
        <v>287</v>
      </c>
      <c r="B1878">
        <v>48</v>
      </c>
      <c r="C1878" s="1">
        <f>(Tabela1[[#This Row],[x]]-H$3)*(Tabela1[[#This Row],[x]]-H$3) +(Tabela1[[#This Row],[y]]-H$4)*(Tabela1[[#This Row],[y]]-H$4)</f>
        <v>30673</v>
      </c>
      <c r="D1878" s="1">
        <f>IF(Tabela1[[#This Row],[promien]]&lt;40000,1,0)</f>
        <v>1</v>
      </c>
      <c r="E1878" s="1">
        <f>IF(Tabela1[[#This Row],[promien]]=40000,1,0)</f>
        <v>0</v>
      </c>
      <c r="F1878" s="1">
        <v>3.1565495207667733</v>
      </c>
      <c r="G1878" s="1">
        <v>1.4956867176980193E-2</v>
      </c>
    </row>
    <row r="1879" spans="1:7">
      <c r="A1879">
        <v>93</v>
      </c>
      <c r="B1879">
        <v>335</v>
      </c>
      <c r="C1879" s="1">
        <f>(Tabela1[[#This Row],[x]]-H$3)*(Tabela1[[#This Row],[x]]-H$3) +(Tabela1[[#This Row],[y]]-H$4)*(Tabela1[[#This Row],[y]]-H$4)</f>
        <v>29674</v>
      </c>
      <c r="D1879" s="1">
        <f>IF(Tabela1[[#This Row],[promien]]&lt;40000,1,0)</f>
        <v>1</v>
      </c>
      <c r="E1879" s="1">
        <f>IF(Tabela1[[#This Row],[promien]]=40000,1,0)</f>
        <v>0</v>
      </c>
      <c r="F1879" s="1">
        <v>3.156998403406067</v>
      </c>
      <c r="G1879" s="1">
        <v>1.540574981627385E-2</v>
      </c>
    </row>
    <row r="1880" spans="1:7">
      <c r="A1880">
        <v>207</v>
      </c>
      <c r="B1880">
        <v>194</v>
      </c>
      <c r="C1880" s="1">
        <f>(Tabela1[[#This Row],[x]]-H$3)*(Tabela1[[#This Row],[x]]-H$3) +(Tabela1[[#This Row],[y]]-H$4)*(Tabela1[[#This Row],[y]]-H$4)</f>
        <v>85</v>
      </c>
      <c r="D1880" s="1">
        <f>IF(Tabela1[[#This Row],[promien]]&lt;40000,1,0)</f>
        <v>1</v>
      </c>
      <c r="E1880" s="1">
        <f>IF(Tabela1[[#This Row],[promien]]=40000,1,0)</f>
        <v>0</v>
      </c>
      <c r="F1880" s="1">
        <v>3.1574468085106382</v>
      </c>
      <c r="G1880" s="1">
        <v>1.5854154920845076E-2</v>
      </c>
    </row>
    <row r="1881" spans="1:7">
      <c r="A1881">
        <v>189</v>
      </c>
      <c r="B1881">
        <v>346</v>
      </c>
      <c r="C1881" s="1">
        <f>(Tabela1[[#This Row],[x]]-H$3)*(Tabela1[[#This Row],[x]]-H$3) +(Tabela1[[#This Row],[y]]-H$4)*(Tabela1[[#This Row],[y]]-H$4)</f>
        <v>21437</v>
      </c>
      <c r="D1881" s="1">
        <f>IF(Tabela1[[#This Row],[promien]]&lt;40000,1,0)</f>
        <v>1</v>
      </c>
      <c r="E1881" s="1">
        <f>IF(Tabela1[[#This Row],[promien]]=40000,1,0)</f>
        <v>0</v>
      </c>
      <c r="F1881" s="1">
        <v>3.1578947368421053</v>
      </c>
      <c r="G1881" s="1">
        <v>1.6302083252312194E-2</v>
      </c>
    </row>
    <row r="1882" spans="1:7">
      <c r="A1882">
        <v>8</v>
      </c>
      <c r="B1882">
        <v>190</v>
      </c>
      <c r="C1882" s="1">
        <f>(Tabela1[[#This Row],[x]]-H$3)*(Tabela1[[#This Row],[x]]-H$3) +(Tabela1[[#This Row],[y]]-H$4)*(Tabela1[[#This Row],[y]]-H$4)</f>
        <v>36964</v>
      </c>
      <c r="D1882" s="1">
        <f>IF(Tabela1[[#This Row],[promien]]&lt;40000,1,0)</f>
        <v>1</v>
      </c>
      <c r="E1882" s="1">
        <f>IF(Tabela1[[#This Row],[promien]]=40000,1,0)</f>
        <v>0</v>
      </c>
      <c r="F1882" s="1">
        <v>3.1583421891604675</v>
      </c>
      <c r="G1882" s="1">
        <v>1.6749535570674379E-2</v>
      </c>
    </row>
    <row r="1883" spans="1:7">
      <c r="A1883">
        <v>1</v>
      </c>
      <c r="B1883">
        <v>28</v>
      </c>
      <c r="C1883" s="1">
        <f>(Tabela1[[#This Row],[x]]-H$3)*(Tabela1[[#This Row],[x]]-H$3) +(Tabela1[[#This Row],[y]]-H$4)*(Tabela1[[#This Row],[y]]-H$4)</f>
        <v>69185</v>
      </c>
      <c r="D1883" s="1">
        <f>IF(Tabela1[[#This Row],[promien]]&lt;40000,1,0)</f>
        <v>0</v>
      </c>
      <c r="E1883" s="1">
        <f>IF(Tabela1[[#This Row],[promien]]=40000,1,0)</f>
        <v>0</v>
      </c>
      <c r="F1883" s="1">
        <v>3.156664896441848</v>
      </c>
      <c r="G1883" s="1">
        <v>1.5072242852054885E-2</v>
      </c>
    </row>
    <row r="1884" spans="1:7">
      <c r="A1884">
        <v>164</v>
      </c>
      <c r="B1884">
        <v>290</v>
      </c>
      <c r="C1884" s="1">
        <f>(Tabela1[[#This Row],[x]]-H$3)*(Tabela1[[#This Row],[x]]-H$3) +(Tabela1[[#This Row],[y]]-H$4)*(Tabela1[[#This Row],[y]]-H$4)</f>
        <v>9396</v>
      </c>
      <c r="D1884" s="1">
        <f>IF(Tabela1[[#This Row],[promien]]&lt;40000,1,0)</f>
        <v>1</v>
      </c>
      <c r="E1884" s="1">
        <f>IF(Tabela1[[#This Row],[promien]]=40000,1,0)</f>
        <v>0</v>
      </c>
      <c r="F1884" s="1">
        <v>3.1571125265392781</v>
      </c>
      <c r="G1884" s="1">
        <v>1.5519872949484981E-2</v>
      </c>
    </row>
    <row r="1885" spans="1:7">
      <c r="A1885">
        <v>300</v>
      </c>
      <c r="B1885">
        <v>54</v>
      </c>
      <c r="C1885" s="1">
        <f>(Tabela1[[#This Row],[x]]-H$3)*(Tabela1[[#This Row],[x]]-H$3) +(Tabela1[[#This Row],[y]]-H$4)*(Tabela1[[#This Row],[y]]-H$4)</f>
        <v>31316</v>
      </c>
      <c r="D1885" s="1">
        <f>IF(Tabela1[[#This Row],[promien]]&lt;40000,1,0)</f>
        <v>1</v>
      </c>
      <c r="E1885" s="1">
        <f>IF(Tabela1[[#This Row],[promien]]=40000,1,0)</f>
        <v>0</v>
      </c>
      <c r="F1885" s="1">
        <v>3.1575596816976126</v>
      </c>
      <c r="G1885" s="1">
        <v>1.596702810781947E-2</v>
      </c>
    </row>
    <row r="1886" spans="1:7">
      <c r="A1886">
        <v>251</v>
      </c>
      <c r="B1886">
        <v>325</v>
      </c>
      <c r="C1886" s="1">
        <f>(Tabela1[[#This Row],[x]]-H$3)*(Tabela1[[#This Row],[x]]-H$3) +(Tabela1[[#This Row],[y]]-H$4)*(Tabela1[[#This Row],[y]]-H$4)</f>
        <v>18226</v>
      </c>
      <c r="D1886" s="1">
        <f>IF(Tabela1[[#This Row],[promien]]&lt;40000,1,0)</f>
        <v>1</v>
      </c>
      <c r="E1886" s="1">
        <f>IF(Tabela1[[#This Row],[promien]]=40000,1,0)</f>
        <v>0</v>
      </c>
      <c r="F1886" s="1">
        <v>3.1580063626723223</v>
      </c>
      <c r="G1886" s="1">
        <v>1.6413709082529149E-2</v>
      </c>
    </row>
    <row r="1887" spans="1:7">
      <c r="A1887">
        <v>20</v>
      </c>
      <c r="B1887">
        <v>215</v>
      </c>
      <c r="C1887" s="1">
        <f>(Tabela1[[#This Row],[x]]-H$3)*(Tabela1[[#This Row],[x]]-H$3) +(Tabela1[[#This Row],[y]]-H$4)*(Tabela1[[#This Row],[y]]-H$4)</f>
        <v>32625</v>
      </c>
      <c r="D1887" s="1">
        <f>IF(Tabela1[[#This Row],[promien]]&lt;40000,1,0)</f>
        <v>1</v>
      </c>
      <c r="E1887" s="1">
        <f>IF(Tabela1[[#This Row],[promien]]=40000,1,0)</f>
        <v>0</v>
      </c>
      <c r="F1887" s="1">
        <v>3.1584525702172761</v>
      </c>
      <c r="G1887" s="1">
        <v>1.6859916627482985E-2</v>
      </c>
    </row>
    <row r="1888" spans="1:7">
      <c r="A1888">
        <v>373</v>
      </c>
      <c r="B1888">
        <v>58</v>
      </c>
      <c r="C1888" s="1">
        <f>(Tabela1[[#This Row],[x]]-H$3)*(Tabela1[[#This Row],[x]]-H$3) +(Tabela1[[#This Row],[y]]-H$4)*(Tabela1[[#This Row],[y]]-H$4)</f>
        <v>50093</v>
      </c>
      <c r="D1888" s="1">
        <f>IF(Tabela1[[#This Row],[promien]]&lt;40000,1,0)</f>
        <v>0</v>
      </c>
      <c r="E1888" s="1">
        <f>IF(Tabela1[[#This Row],[promien]]=40000,1,0)</f>
        <v>0</v>
      </c>
      <c r="F1888" s="1">
        <v>3.156779661016949</v>
      </c>
      <c r="G1888" s="1">
        <v>1.5187007427155841E-2</v>
      </c>
    </row>
    <row r="1889" spans="1:7">
      <c r="A1889">
        <v>304</v>
      </c>
      <c r="B1889">
        <v>263</v>
      </c>
      <c r="C1889" s="1">
        <f>(Tabela1[[#This Row],[x]]-H$3)*(Tabela1[[#This Row],[x]]-H$3) +(Tabela1[[#This Row],[y]]-H$4)*(Tabela1[[#This Row],[y]]-H$4)</f>
        <v>14785</v>
      </c>
      <c r="D1889" s="1">
        <f>IF(Tabela1[[#This Row],[promien]]&lt;40000,1,0)</f>
        <v>1</v>
      </c>
      <c r="E1889" s="1">
        <f>IF(Tabela1[[#This Row],[promien]]=40000,1,0)</f>
        <v>0</v>
      </c>
      <c r="F1889" s="1">
        <v>3.1572260455267336</v>
      </c>
      <c r="G1889" s="1">
        <v>1.5633391936940466E-2</v>
      </c>
    </row>
    <row r="1890" spans="1:7">
      <c r="A1890">
        <v>180</v>
      </c>
      <c r="B1890">
        <v>204</v>
      </c>
      <c r="C1890" s="1">
        <f>(Tabela1[[#This Row],[x]]-H$3)*(Tabela1[[#This Row],[x]]-H$3) +(Tabela1[[#This Row],[y]]-H$4)*(Tabela1[[#This Row],[y]]-H$4)</f>
        <v>416</v>
      </c>
      <c r="D1890" s="1">
        <f>IF(Tabela1[[#This Row],[promien]]&lt;40000,1,0)</f>
        <v>1</v>
      </c>
      <c r="E1890" s="1">
        <f>IF(Tabela1[[#This Row],[promien]]=40000,1,0)</f>
        <v>0</v>
      </c>
      <c r="F1890" s="1">
        <v>3.1576719576719579</v>
      </c>
      <c r="G1890" s="1">
        <v>1.6079304082164736E-2</v>
      </c>
    </row>
    <row r="1891" spans="1:7">
      <c r="A1891">
        <v>18</v>
      </c>
      <c r="B1891">
        <v>248</v>
      </c>
      <c r="C1891" s="1">
        <f>(Tabela1[[#This Row],[x]]-H$3)*(Tabela1[[#This Row],[x]]-H$3) +(Tabela1[[#This Row],[y]]-H$4)*(Tabela1[[#This Row],[y]]-H$4)</f>
        <v>35428</v>
      </c>
      <c r="D1891" s="1">
        <f>IF(Tabela1[[#This Row],[promien]]&lt;40000,1,0)</f>
        <v>1</v>
      </c>
      <c r="E1891" s="1">
        <f>IF(Tabela1[[#This Row],[promien]]=40000,1,0)</f>
        <v>0</v>
      </c>
      <c r="F1891" s="1">
        <v>3.1581173982020094</v>
      </c>
      <c r="G1891" s="1">
        <v>1.6524744612216313E-2</v>
      </c>
    </row>
    <row r="1892" spans="1:7">
      <c r="A1892">
        <v>267</v>
      </c>
      <c r="B1892">
        <v>174</v>
      </c>
      <c r="C1892" s="1">
        <f>(Tabela1[[#This Row],[x]]-H$3)*(Tabela1[[#This Row],[x]]-H$3) +(Tabela1[[#This Row],[y]]-H$4)*(Tabela1[[#This Row],[y]]-H$4)</f>
        <v>5165</v>
      </c>
      <c r="D1892" s="1">
        <f>IF(Tabela1[[#This Row],[promien]]&lt;40000,1,0)</f>
        <v>1</v>
      </c>
      <c r="E1892" s="1">
        <f>IF(Tabela1[[#This Row],[promien]]=40000,1,0)</f>
        <v>0</v>
      </c>
      <c r="F1892" s="1">
        <v>3.1585623678646932</v>
      </c>
      <c r="G1892" s="1">
        <v>1.6969714274900127E-2</v>
      </c>
    </row>
    <row r="1893" spans="1:7">
      <c r="A1893">
        <v>373</v>
      </c>
      <c r="B1893">
        <v>11</v>
      </c>
      <c r="C1893" s="1">
        <f>(Tabela1[[#This Row],[x]]-H$3)*(Tabela1[[#This Row],[x]]-H$3) +(Tabela1[[#This Row],[y]]-H$4)*(Tabela1[[#This Row],[y]]-H$4)</f>
        <v>65650</v>
      </c>
      <c r="D1893" s="1">
        <f>IF(Tabela1[[#This Row],[promien]]&lt;40000,1,0)</f>
        <v>0</v>
      </c>
      <c r="E1893" s="1">
        <f>IF(Tabela1[[#This Row],[promien]]=40000,1,0)</f>
        <v>0</v>
      </c>
      <c r="F1893" s="1">
        <v>3.1568938193343898</v>
      </c>
      <c r="G1893" s="1">
        <v>1.5301165744596723E-2</v>
      </c>
    </row>
    <row r="1894" spans="1:7">
      <c r="A1894">
        <v>84</v>
      </c>
      <c r="B1894">
        <v>56</v>
      </c>
      <c r="C1894" s="1">
        <f>(Tabela1[[#This Row],[x]]-H$3)*(Tabela1[[#This Row],[x]]-H$3) +(Tabela1[[#This Row],[y]]-H$4)*(Tabela1[[#This Row],[y]]-H$4)</f>
        <v>34192</v>
      </c>
      <c r="D1894" s="1">
        <f>IF(Tabela1[[#This Row],[promien]]&lt;40000,1,0)</f>
        <v>1</v>
      </c>
      <c r="E1894" s="1">
        <f>IF(Tabela1[[#This Row],[promien]]=40000,1,0)</f>
        <v>0</v>
      </c>
      <c r="F1894" s="1">
        <v>3.157338965153115</v>
      </c>
      <c r="G1894" s="1">
        <v>1.5746311563321846E-2</v>
      </c>
    </row>
    <row r="1895" spans="1:7">
      <c r="A1895">
        <v>256</v>
      </c>
      <c r="B1895">
        <v>181</v>
      </c>
      <c r="C1895" s="1">
        <f>(Tabela1[[#This Row],[x]]-H$3)*(Tabela1[[#This Row],[x]]-H$3) +(Tabela1[[#This Row],[y]]-H$4)*(Tabela1[[#This Row],[y]]-H$4)</f>
        <v>3497</v>
      </c>
      <c r="D1895" s="1">
        <f>IF(Tabela1[[#This Row],[promien]]&lt;40000,1,0)</f>
        <v>1</v>
      </c>
      <c r="E1895" s="1">
        <f>IF(Tabela1[[#This Row],[promien]]=40000,1,0)</f>
        <v>0</v>
      </c>
      <c r="F1895" s="1">
        <v>3.1577836411609499</v>
      </c>
      <c r="G1895" s="1">
        <v>1.6190987571156779E-2</v>
      </c>
    </row>
    <row r="1896" spans="1:7">
      <c r="A1896">
        <v>229</v>
      </c>
      <c r="B1896">
        <v>131</v>
      </c>
      <c r="C1896" s="1">
        <f>(Tabela1[[#This Row],[x]]-H$3)*(Tabela1[[#This Row],[x]]-H$3) +(Tabela1[[#This Row],[y]]-H$4)*(Tabela1[[#This Row],[y]]-H$4)</f>
        <v>5602</v>
      </c>
      <c r="D1896" s="1">
        <f>IF(Tabela1[[#This Row],[promien]]&lt;40000,1,0)</f>
        <v>1</v>
      </c>
      <c r="E1896" s="1">
        <f>IF(Tabela1[[#This Row],[promien]]=40000,1,0)</f>
        <v>0</v>
      </c>
      <c r="F1896" s="1">
        <v>3.1582278481012658</v>
      </c>
      <c r="G1896" s="1">
        <v>1.6635194511472662E-2</v>
      </c>
    </row>
    <row r="1897" spans="1:7">
      <c r="A1897">
        <v>230</v>
      </c>
      <c r="B1897">
        <v>251</v>
      </c>
      <c r="C1897" s="1">
        <f>(Tabela1[[#This Row],[x]]-H$3)*(Tabela1[[#This Row],[x]]-H$3) +(Tabela1[[#This Row],[y]]-H$4)*(Tabela1[[#This Row],[y]]-H$4)</f>
        <v>3501</v>
      </c>
      <c r="D1897" s="1">
        <f>IF(Tabela1[[#This Row],[promien]]&lt;40000,1,0)</f>
        <v>1</v>
      </c>
      <c r="E1897" s="1">
        <f>IF(Tabela1[[#This Row],[promien]]=40000,1,0)</f>
        <v>0</v>
      </c>
      <c r="F1897" s="1">
        <v>3.158671586715867</v>
      </c>
      <c r="G1897" s="1">
        <v>1.7078933126073892E-2</v>
      </c>
    </row>
    <row r="1898" spans="1:7">
      <c r="A1898">
        <v>119</v>
      </c>
      <c r="B1898">
        <v>83</v>
      </c>
      <c r="C1898" s="1">
        <f>(Tabela1[[#This Row],[x]]-H$3)*(Tabela1[[#This Row],[x]]-H$3) +(Tabela1[[#This Row],[y]]-H$4)*(Tabela1[[#This Row],[y]]-H$4)</f>
        <v>20250</v>
      </c>
      <c r="D1898" s="1">
        <f>IF(Tabela1[[#This Row],[promien]]&lt;40000,1,0)</f>
        <v>1</v>
      </c>
      <c r="E1898" s="1">
        <f>IF(Tabela1[[#This Row],[promien]]=40000,1,0)</f>
        <v>0</v>
      </c>
      <c r="F1898" s="1">
        <v>3.1591148577449948</v>
      </c>
      <c r="G1898" s="1">
        <v>1.7522204155201671E-2</v>
      </c>
    </row>
    <row r="1899" spans="1:7">
      <c r="A1899">
        <v>133</v>
      </c>
      <c r="B1899">
        <v>175</v>
      </c>
      <c r="C1899" s="1">
        <f>(Tabela1[[#This Row],[x]]-H$3)*(Tabela1[[#This Row],[x]]-H$3) +(Tabela1[[#This Row],[y]]-H$4)*(Tabela1[[#This Row],[y]]-H$4)</f>
        <v>5114</v>
      </c>
      <c r="D1899" s="1">
        <f>IF(Tabela1[[#This Row],[promien]]&lt;40000,1,0)</f>
        <v>1</v>
      </c>
      <c r="E1899" s="1">
        <f>IF(Tabela1[[#This Row],[promien]]=40000,1,0)</f>
        <v>0</v>
      </c>
      <c r="F1899" s="1">
        <v>3.1595576619273302</v>
      </c>
      <c r="G1899" s="1">
        <v>1.7965008337537114E-2</v>
      </c>
    </row>
    <row r="1900" spans="1:7">
      <c r="A1900">
        <v>310</v>
      </c>
      <c r="B1900">
        <v>264</v>
      </c>
      <c r="C1900" s="1">
        <f>(Tabela1[[#This Row],[x]]-H$3)*(Tabela1[[#This Row],[x]]-H$3) +(Tabela1[[#This Row],[y]]-H$4)*(Tabela1[[#This Row],[y]]-H$4)</f>
        <v>16196</v>
      </c>
      <c r="D1900" s="1">
        <f>IF(Tabela1[[#This Row],[promien]]&lt;40000,1,0)</f>
        <v>1</v>
      </c>
      <c r="E1900" s="1">
        <f>IF(Tabela1[[#This Row],[promien]]=40000,1,0)</f>
        <v>0</v>
      </c>
      <c r="F1900" s="1">
        <v>3.16</v>
      </c>
      <c r="G1900" s="1">
        <v>1.8407346410207026E-2</v>
      </c>
    </row>
    <row r="1901" spans="1:7">
      <c r="A1901">
        <v>123</v>
      </c>
      <c r="B1901">
        <v>296</v>
      </c>
      <c r="C1901" s="1">
        <f>(Tabela1[[#This Row],[x]]-H$3)*(Tabela1[[#This Row],[x]]-H$3) +(Tabela1[[#This Row],[y]]-H$4)*(Tabela1[[#This Row],[y]]-H$4)</f>
        <v>15145</v>
      </c>
      <c r="D1901" s="1">
        <f>IF(Tabela1[[#This Row],[promien]]&lt;40000,1,0)</f>
        <v>1</v>
      </c>
      <c r="E1901" s="1">
        <f>IF(Tabela1[[#This Row],[promien]]=40000,1,0)</f>
        <v>0</v>
      </c>
      <c r="F1901" s="1">
        <v>3.1604418726985797</v>
      </c>
      <c r="G1901" s="1">
        <v>1.8849219108786563E-2</v>
      </c>
    </row>
    <row r="1902" spans="1:7">
      <c r="A1902">
        <v>127</v>
      </c>
      <c r="B1902">
        <v>356</v>
      </c>
      <c r="C1902" s="1">
        <f>(Tabela1[[#This Row],[x]]-H$3)*(Tabela1[[#This Row],[x]]-H$3) +(Tabela1[[#This Row],[y]]-H$4)*(Tabela1[[#This Row],[y]]-H$4)</f>
        <v>29665</v>
      </c>
      <c r="D1902" s="1">
        <f>IF(Tabela1[[#This Row],[promien]]&lt;40000,1,0)</f>
        <v>1</v>
      </c>
      <c r="E1902" s="1">
        <f>IF(Tabela1[[#This Row],[promien]]=40000,1,0)</f>
        <v>0</v>
      </c>
      <c r="F1902" s="1">
        <v>3.1608832807570977</v>
      </c>
      <c r="G1902" s="1">
        <v>1.9290627167304564E-2</v>
      </c>
    </row>
    <row r="1903" spans="1:7">
      <c r="A1903">
        <v>297</v>
      </c>
      <c r="B1903">
        <v>322</v>
      </c>
      <c r="C1903" s="1">
        <f>(Tabela1[[#This Row],[x]]-H$3)*(Tabela1[[#This Row],[x]]-H$3) +(Tabela1[[#This Row],[y]]-H$4)*(Tabela1[[#This Row],[y]]-H$4)</f>
        <v>24293</v>
      </c>
      <c r="D1903" s="1">
        <f>IF(Tabela1[[#This Row],[promien]]&lt;40000,1,0)</f>
        <v>1</v>
      </c>
      <c r="E1903" s="1">
        <f>IF(Tabela1[[#This Row],[promien]]=40000,1,0)</f>
        <v>0</v>
      </c>
      <c r="F1903" s="1">
        <v>3.1613242249080398</v>
      </c>
      <c r="G1903" s="1">
        <v>1.9731571318246655E-2</v>
      </c>
    </row>
    <row r="1904" spans="1:7">
      <c r="A1904">
        <v>24</v>
      </c>
      <c r="B1904">
        <v>14</v>
      </c>
      <c r="C1904" s="1">
        <f>(Tabela1[[#This Row],[x]]-H$3)*(Tabela1[[#This Row],[x]]-H$3) +(Tabela1[[#This Row],[y]]-H$4)*(Tabela1[[#This Row],[y]]-H$4)</f>
        <v>65572</v>
      </c>
      <c r="D1904" s="1">
        <f>IF(Tabela1[[#This Row],[promien]]&lt;40000,1,0)</f>
        <v>0</v>
      </c>
      <c r="E1904" s="1">
        <f>IF(Tabela1[[#This Row],[promien]]=40000,1,0)</f>
        <v>0</v>
      </c>
      <c r="F1904" s="1">
        <v>3.1596638655462184</v>
      </c>
      <c r="G1904" s="1">
        <v>1.8071211956425248E-2</v>
      </c>
    </row>
    <row r="1905" spans="1:7">
      <c r="A1905">
        <v>349</v>
      </c>
      <c r="B1905">
        <v>215</v>
      </c>
      <c r="C1905" s="1">
        <f>(Tabela1[[#This Row],[x]]-H$3)*(Tabela1[[#This Row],[x]]-H$3) +(Tabela1[[#This Row],[y]]-H$4)*(Tabela1[[#This Row],[y]]-H$4)</f>
        <v>22426</v>
      </c>
      <c r="D1905" s="1">
        <f>IF(Tabela1[[#This Row],[promien]]&lt;40000,1,0)</f>
        <v>1</v>
      </c>
      <c r="E1905" s="1">
        <f>IF(Tabela1[[#This Row],[promien]]=40000,1,0)</f>
        <v>0</v>
      </c>
      <c r="F1905" s="1">
        <v>3.1601049868766404</v>
      </c>
      <c r="G1905" s="1">
        <v>1.8512333286847316E-2</v>
      </c>
    </row>
    <row r="1906" spans="1:7">
      <c r="A1906">
        <v>172</v>
      </c>
      <c r="B1906">
        <v>1</v>
      </c>
      <c r="C1906" s="1">
        <f>(Tabela1[[#This Row],[x]]-H$3)*(Tabela1[[#This Row],[x]]-H$3) +(Tabela1[[#This Row],[y]]-H$4)*(Tabela1[[#This Row],[y]]-H$4)</f>
        <v>40385</v>
      </c>
      <c r="D1906" s="1">
        <f>IF(Tabela1[[#This Row],[promien]]&lt;40000,1,0)</f>
        <v>0</v>
      </c>
      <c r="E1906" s="1">
        <f>IF(Tabela1[[#This Row],[promien]]=40000,1,0)</f>
        <v>0</v>
      </c>
      <c r="F1906" s="1">
        <v>3.1584470094438615</v>
      </c>
      <c r="G1906" s="1">
        <v>1.6854355854068359E-2</v>
      </c>
    </row>
    <row r="1907" spans="1:7">
      <c r="A1907">
        <v>204</v>
      </c>
      <c r="B1907">
        <v>265</v>
      </c>
      <c r="C1907" s="1">
        <f>(Tabela1[[#This Row],[x]]-H$3)*(Tabela1[[#This Row],[x]]-H$3) +(Tabela1[[#This Row],[y]]-H$4)*(Tabela1[[#This Row],[y]]-H$4)</f>
        <v>4241</v>
      </c>
      <c r="D1907" s="1">
        <f>IF(Tabela1[[#This Row],[promien]]&lt;40000,1,0)</f>
        <v>1</v>
      </c>
      <c r="E1907" s="1">
        <f>IF(Tabela1[[#This Row],[promien]]=40000,1,0)</f>
        <v>0</v>
      </c>
      <c r="F1907" s="1">
        <v>3.1588883062401676</v>
      </c>
      <c r="G1907" s="1">
        <v>1.7295652650374471E-2</v>
      </c>
    </row>
    <row r="1908" spans="1:7">
      <c r="A1908">
        <v>347</v>
      </c>
      <c r="B1908">
        <v>233</v>
      </c>
      <c r="C1908" s="1">
        <f>(Tabela1[[#This Row],[x]]-H$3)*(Tabela1[[#This Row],[x]]-H$3) +(Tabela1[[#This Row],[y]]-H$4)*(Tabela1[[#This Row],[y]]-H$4)</f>
        <v>22698</v>
      </c>
      <c r="D1908" s="1">
        <f>IF(Tabela1[[#This Row],[promien]]&lt;40000,1,0)</f>
        <v>1</v>
      </c>
      <c r="E1908" s="1">
        <f>IF(Tabela1[[#This Row],[promien]]=40000,1,0)</f>
        <v>0</v>
      </c>
      <c r="F1908" s="1">
        <v>3.159329140461216</v>
      </c>
      <c r="G1908" s="1">
        <v>1.773648687142293E-2</v>
      </c>
    </row>
    <row r="1909" spans="1:7">
      <c r="A1909">
        <v>21</v>
      </c>
      <c r="B1909">
        <v>151</v>
      </c>
      <c r="C1909" s="1">
        <f>(Tabela1[[#This Row],[x]]-H$3)*(Tabela1[[#This Row],[x]]-H$3) +(Tabela1[[#This Row],[y]]-H$4)*(Tabela1[[#This Row],[y]]-H$4)</f>
        <v>34442</v>
      </c>
      <c r="D1909" s="1">
        <f>IF(Tabela1[[#This Row],[promien]]&lt;40000,1,0)</f>
        <v>1</v>
      </c>
      <c r="E1909" s="1">
        <f>IF(Tabela1[[#This Row],[promien]]=40000,1,0)</f>
        <v>0</v>
      </c>
      <c r="F1909" s="1">
        <v>3.1597695128339445</v>
      </c>
      <c r="G1909" s="1">
        <v>1.8176859244151355E-2</v>
      </c>
    </row>
    <row r="1910" spans="1:7">
      <c r="A1910">
        <v>223</v>
      </c>
      <c r="B1910">
        <v>2</v>
      </c>
      <c r="C1910" s="1">
        <f>(Tabela1[[#This Row],[x]]-H$3)*(Tabela1[[#This Row],[x]]-H$3) +(Tabela1[[#This Row],[y]]-H$4)*(Tabela1[[#This Row],[y]]-H$4)</f>
        <v>39733</v>
      </c>
      <c r="D1910" s="1">
        <f>IF(Tabela1[[#This Row],[promien]]&lt;40000,1,0)</f>
        <v>1</v>
      </c>
      <c r="E1910" s="1">
        <f>IF(Tabela1[[#This Row],[promien]]=40000,1,0)</f>
        <v>0</v>
      </c>
      <c r="F1910" s="1">
        <v>3.1602094240837695</v>
      </c>
      <c r="G1910" s="1">
        <v>1.8616770493976365E-2</v>
      </c>
    </row>
    <row r="1911" spans="1:7">
      <c r="A1911">
        <v>392</v>
      </c>
      <c r="B1911">
        <v>300</v>
      </c>
      <c r="C1911" s="1">
        <f>(Tabela1[[#This Row],[x]]-H$3)*(Tabela1[[#This Row],[x]]-H$3) +(Tabela1[[#This Row],[y]]-H$4)*(Tabela1[[#This Row],[y]]-H$4)</f>
        <v>46864</v>
      </c>
      <c r="D1911" s="1">
        <f>IF(Tabela1[[#This Row],[promien]]&lt;40000,1,0)</f>
        <v>0</v>
      </c>
      <c r="E1911" s="1">
        <f>IF(Tabela1[[#This Row],[promien]]=40000,1,0)</f>
        <v>0</v>
      </c>
      <c r="F1911" s="1">
        <v>3.1585557299843012</v>
      </c>
      <c r="G1911" s="1">
        <v>1.6963076394508114E-2</v>
      </c>
    </row>
    <row r="1912" spans="1:7">
      <c r="A1912">
        <v>317</v>
      </c>
      <c r="B1912">
        <v>48</v>
      </c>
      <c r="C1912" s="1">
        <f>(Tabela1[[#This Row],[x]]-H$3)*(Tabela1[[#This Row],[x]]-H$3) +(Tabela1[[#This Row],[y]]-H$4)*(Tabela1[[#This Row],[y]]-H$4)</f>
        <v>36793</v>
      </c>
      <c r="D1912" s="1">
        <f>IF(Tabela1[[#This Row],[promien]]&lt;40000,1,0)</f>
        <v>1</v>
      </c>
      <c r="E1912" s="1">
        <f>IF(Tabela1[[#This Row],[promien]]=40000,1,0)</f>
        <v>0</v>
      </c>
      <c r="F1912" s="1">
        <v>3.1589958158995817</v>
      </c>
      <c r="G1912" s="1">
        <v>1.7403162309788556E-2</v>
      </c>
    </row>
    <row r="1913" spans="1:7">
      <c r="A1913">
        <v>375</v>
      </c>
      <c r="B1913">
        <v>144</v>
      </c>
      <c r="C1913" s="1">
        <f>(Tabela1[[#This Row],[x]]-H$3)*(Tabela1[[#This Row],[x]]-H$3) +(Tabela1[[#This Row],[y]]-H$4)*(Tabela1[[#This Row],[y]]-H$4)</f>
        <v>33761</v>
      </c>
      <c r="D1913" s="1">
        <f>IF(Tabela1[[#This Row],[promien]]&lt;40000,1,0)</f>
        <v>1</v>
      </c>
      <c r="E1913" s="1">
        <f>IF(Tabela1[[#This Row],[promien]]=40000,1,0)</f>
        <v>0</v>
      </c>
      <c r="F1913" s="1">
        <v>3.1594354417145842</v>
      </c>
      <c r="G1913" s="1">
        <v>1.784278812479112E-2</v>
      </c>
    </row>
    <row r="1914" spans="1:7">
      <c r="A1914">
        <v>394</v>
      </c>
      <c r="B1914">
        <v>211</v>
      </c>
      <c r="C1914" s="1">
        <f>(Tabela1[[#This Row],[x]]-H$3)*(Tabela1[[#This Row],[x]]-H$3) +(Tabela1[[#This Row],[y]]-H$4)*(Tabela1[[#This Row],[y]]-H$4)</f>
        <v>37757</v>
      </c>
      <c r="D1914" s="1">
        <f>IF(Tabela1[[#This Row],[promien]]&lt;40000,1,0)</f>
        <v>1</v>
      </c>
      <c r="E1914" s="1">
        <f>IF(Tabela1[[#This Row],[promien]]=40000,1,0)</f>
        <v>0</v>
      </c>
      <c r="F1914" s="1">
        <v>3.1598746081504703</v>
      </c>
      <c r="G1914" s="1">
        <v>1.8281954560677161E-2</v>
      </c>
    </row>
    <row r="1915" spans="1:7">
      <c r="A1915">
        <v>337</v>
      </c>
      <c r="B1915">
        <v>326</v>
      </c>
      <c r="C1915" s="1">
        <f>(Tabela1[[#This Row],[x]]-H$3)*(Tabela1[[#This Row],[x]]-H$3) +(Tabela1[[#This Row],[y]]-H$4)*(Tabela1[[#This Row],[y]]-H$4)</f>
        <v>34645</v>
      </c>
      <c r="D1915" s="1">
        <f>IF(Tabela1[[#This Row],[promien]]&lt;40000,1,0)</f>
        <v>1</v>
      </c>
      <c r="E1915" s="1">
        <f>IF(Tabela1[[#This Row],[promien]]=40000,1,0)</f>
        <v>0</v>
      </c>
      <c r="F1915" s="1">
        <v>3.160313315926893</v>
      </c>
      <c r="G1915" s="1">
        <v>1.8720662337099903E-2</v>
      </c>
    </row>
    <row r="1916" spans="1:7">
      <c r="A1916">
        <v>373</v>
      </c>
      <c r="B1916">
        <v>266</v>
      </c>
      <c r="C1916" s="1">
        <f>(Tabela1[[#This Row],[x]]-H$3)*(Tabela1[[#This Row],[x]]-H$3) +(Tabela1[[#This Row],[y]]-H$4)*(Tabela1[[#This Row],[y]]-H$4)</f>
        <v>34285</v>
      </c>
      <c r="D1916" s="1">
        <f>IF(Tabela1[[#This Row],[promien]]&lt;40000,1,0)</f>
        <v>1</v>
      </c>
      <c r="E1916" s="1">
        <f>IF(Tabela1[[#This Row],[promien]]=40000,1,0)</f>
        <v>0</v>
      </c>
      <c r="F1916" s="1">
        <v>3.1607515657620042</v>
      </c>
      <c r="G1916" s="1">
        <v>1.9158912172211107E-2</v>
      </c>
    </row>
    <row r="1917" spans="1:7">
      <c r="A1917">
        <v>214</v>
      </c>
      <c r="B1917">
        <v>366</v>
      </c>
      <c r="C1917" s="1">
        <f>(Tabela1[[#This Row],[x]]-H$3)*(Tabela1[[#This Row],[x]]-H$3) +(Tabela1[[#This Row],[y]]-H$4)*(Tabela1[[#This Row],[y]]-H$4)</f>
        <v>27752</v>
      </c>
      <c r="D1917" s="1">
        <f>IF(Tabela1[[#This Row],[promien]]&lt;40000,1,0)</f>
        <v>1</v>
      </c>
      <c r="E1917" s="1">
        <f>IF(Tabela1[[#This Row],[promien]]=40000,1,0)</f>
        <v>0</v>
      </c>
      <c r="F1917" s="1">
        <v>3.1611893583724568</v>
      </c>
      <c r="G1917" s="1">
        <v>1.9596704782663732E-2</v>
      </c>
    </row>
    <row r="1918" spans="1:7">
      <c r="A1918">
        <v>225</v>
      </c>
      <c r="B1918">
        <v>94</v>
      </c>
      <c r="C1918" s="1">
        <f>(Tabela1[[#This Row],[x]]-H$3)*(Tabela1[[#This Row],[x]]-H$3) +(Tabela1[[#This Row],[y]]-H$4)*(Tabela1[[#This Row],[y]]-H$4)</f>
        <v>11861</v>
      </c>
      <c r="D1918" s="1">
        <f>IF(Tabela1[[#This Row],[promien]]&lt;40000,1,0)</f>
        <v>1</v>
      </c>
      <c r="E1918" s="1">
        <f>IF(Tabela1[[#This Row],[promien]]=40000,1,0)</f>
        <v>0</v>
      </c>
      <c r="F1918" s="1">
        <v>3.1616266944734099</v>
      </c>
      <c r="G1918" s="1">
        <v>2.0034040883616822E-2</v>
      </c>
    </row>
    <row r="1919" spans="1:7">
      <c r="A1919">
        <v>285</v>
      </c>
      <c r="B1919">
        <v>130</v>
      </c>
      <c r="C1919" s="1">
        <f>(Tabela1[[#This Row],[x]]-H$3)*(Tabela1[[#This Row],[x]]-H$3) +(Tabela1[[#This Row],[y]]-H$4)*(Tabela1[[#This Row],[y]]-H$4)</f>
        <v>12125</v>
      </c>
      <c r="D1919" s="1">
        <f>IF(Tabela1[[#This Row],[promien]]&lt;40000,1,0)</f>
        <v>1</v>
      </c>
      <c r="E1919" s="1">
        <f>IF(Tabela1[[#This Row],[promien]]=40000,1,0)</f>
        <v>0</v>
      </c>
      <c r="F1919" s="1">
        <v>3.1620635747785304</v>
      </c>
      <c r="G1919" s="1">
        <v>2.0470921188737279E-2</v>
      </c>
    </row>
    <row r="1920" spans="1:7">
      <c r="A1920">
        <v>339</v>
      </c>
      <c r="B1920">
        <v>129</v>
      </c>
      <c r="C1920" s="1">
        <f>(Tabela1[[#This Row],[x]]-H$3)*(Tabela1[[#This Row],[x]]-H$3) +(Tabela1[[#This Row],[y]]-H$4)*(Tabela1[[#This Row],[y]]-H$4)</f>
        <v>24362</v>
      </c>
      <c r="D1920" s="1">
        <f>IF(Tabela1[[#This Row],[promien]]&lt;40000,1,0)</f>
        <v>1</v>
      </c>
      <c r="E1920" s="1">
        <f>IF(Tabela1[[#This Row],[promien]]=40000,1,0)</f>
        <v>0</v>
      </c>
      <c r="F1920" s="1">
        <v>3.1625000000000001</v>
      </c>
      <c r="G1920" s="1">
        <v>2.0907346410206973E-2</v>
      </c>
    </row>
    <row r="1921" spans="1:7">
      <c r="A1921">
        <v>153</v>
      </c>
      <c r="B1921">
        <v>106</v>
      </c>
      <c r="C1921" s="1">
        <f>(Tabela1[[#This Row],[x]]-H$3)*(Tabela1[[#This Row],[x]]-H$3) +(Tabela1[[#This Row],[y]]-H$4)*(Tabela1[[#This Row],[y]]-H$4)</f>
        <v>11045</v>
      </c>
      <c r="D1921" s="1">
        <f>IF(Tabela1[[#This Row],[promien]]&lt;40000,1,0)</f>
        <v>1</v>
      </c>
      <c r="E1921" s="1">
        <f>IF(Tabela1[[#This Row],[promien]]=40000,1,0)</f>
        <v>0</v>
      </c>
      <c r="F1921" s="1">
        <v>3.1629359708485163</v>
      </c>
      <c r="G1921" s="1">
        <v>2.1343317258723182E-2</v>
      </c>
    </row>
    <row r="1922" spans="1:7">
      <c r="A1922">
        <v>170</v>
      </c>
      <c r="B1922">
        <v>303</v>
      </c>
      <c r="C1922" s="1">
        <f>(Tabela1[[#This Row],[x]]-H$3)*(Tabela1[[#This Row],[x]]-H$3) +(Tabela1[[#This Row],[y]]-H$4)*(Tabela1[[#This Row],[y]]-H$4)</f>
        <v>11509</v>
      </c>
      <c r="D1922" s="1">
        <f>IF(Tabela1[[#This Row],[promien]]&lt;40000,1,0)</f>
        <v>1</v>
      </c>
      <c r="E1922" s="1">
        <f>IF(Tabela1[[#This Row],[promien]]=40000,1,0)</f>
        <v>0</v>
      </c>
      <c r="F1922" s="1">
        <v>3.1633714880332988</v>
      </c>
      <c r="G1922" s="1">
        <v>2.1778834443505701E-2</v>
      </c>
    </row>
    <row r="1923" spans="1:7">
      <c r="A1923">
        <v>21</v>
      </c>
      <c r="B1923">
        <v>232</v>
      </c>
      <c r="C1923" s="1">
        <f>(Tabela1[[#This Row],[x]]-H$3)*(Tabela1[[#This Row],[x]]-H$3) +(Tabela1[[#This Row],[y]]-H$4)*(Tabela1[[#This Row],[y]]-H$4)</f>
        <v>33065</v>
      </c>
      <c r="D1923" s="1">
        <f>IF(Tabela1[[#This Row],[promien]]&lt;40000,1,0)</f>
        <v>1</v>
      </c>
      <c r="E1923" s="1">
        <f>IF(Tabela1[[#This Row],[promien]]=40000,1,0)</f>
        <v>0</v>
      </c>
      <c r="F1923" s="1">
        <v>3.1638065522620904</v>
      </c>
      <c r="G1923" s="1">
        <v>2.2213898672297283E-2</v>
      </c>
    </row>
    <row r="1924" spans="1:7">
      <c r="A1924">
        <v>59</v>
      </c>
      <c r="B1924">
        <v>98</v>
      </c>
      <c r="C1924" s="1">
        <f>(Tabela1[[#This Row],[x]]-H$3)*(Tabela1[[#This Row],[x]]-H$3) +(Tabela1[[#This Row],[y]]-H$4)*(Tabela1[[#This Row],[y]]-H$4)</f>
        <v>30285</v>
      </c>
      <c r="D1924" s="1">
        <f>IF(Tabela1[[#This Row],[promien]]&lt;40000,1,0)</f>
        <v>1</v>
      </c>
      <c r="E1924" s="1">
        <f>IF(Tabela1[[#This Row],[promien]]=40000,1,0)</f>
        <v>0</v>
      </c>
      <c r="F1924" s="1">
        <v>3.1642411642411643</v>
      </c>
      <c r="G1924" s="1">
        <v>2.264851065137119E-2</v>
      </c>
    </row>
    <row r="1925" spans="1:7">
      <c r="A1925">
        <v>229</v>
      </c>
      <c r="B1925">
        <v>398</v>
      </c>
      <c r="C1925" s="1">
        <f>(Tabela1[[#This Row],[x]]-H$3)*(Tabela1[[#This Row],[x]]-H$3) +(Tabela1[[#This Row],[y]]-H$4)*(Tabela1[[#This Row],[y]]-H$4)</f>
        <v>40045</v>
      </c>
      <c r="D1925" s="1">
        <f>IF(Tabela1[[#This Row],[promien]]&lt;40000,1,0)</f>
        <v>0</v>
      </c>
      <c r="E1925" s="1">
        <f>IF(Tabela1[[#This Row],[promien]]=40000,1,0)</f>
        <v>0</v>
      </c>
      <c r="F1925" s="1">
        <v>3.1625974025974024</v>
      </c>
      <c r="G1925" s="1">
        <v>2.1004749007609291E-2</v>
      </c>
    </row>
    <row r="1926" spans="1:7">
      <c r="A1926">
        <v>105</v>
      </c>
      <c r="B1926">
        <v>55</v>
      </c>
      <c r="C1926" s="1">
        <f>(Tabela1[[#This Row],[x]]-H$3)*(Tabela1[[#This Row],[x]]-H$3) +(Tabela1[[#This Row],[y]]-H$4)*(Tabela1[[#This Row],[y]]-H$4)</f>
        <v>30050</v>
      </c>
      <c r="D1926" s="1">
        <f>IF(Tabela1[[#This Row],[promien]]&lt;40000,1,0)</f>
        <v>1</v>
      </c>
      <c r="E1926" s="1">
        <f>IF(Tabela1[[#This Row],[promien]]=40000,1,0)</f>
        <v>0</v>
      </c>
      <c r="F1926" s="1">
        <v>3.1630321910695742</v>
      </c>
      <c r="G1926" s="1">
        <v>2.1439537479781112E-2</v>
      </c>
    </row>
    <row r="1927" spans="1:7">
      <c r="A1927">
        <v>238</v>
      </c>
      <c r="B1927">
        <v>58</v>
      </c>
      <c r="C1927" s="1">
        <f>(Tabela1[[#This Row],[x]]-H$3)*(Tabela1[[#This Row],[x]]-H$3) +(Tabela1[[#This Row],[y]]-H$4)*(Tabela1[[#This Row],[y]]-H$4)</f>
        <v>21608</v>
      </c>
      <c r="D1927" s="1">
        <f>IF(Tabela1[[#This Row],[promien]]&lt;40000,1,0)</f>
        <v>1</v>
      </c>
      <c r="E1927" s="1">
        <f>IF(Tabela1[[#This Row],[promien]]=40000,1,0)</f>
        <v>0</v>
      </c>
      <c r="F1927" s="1">
        <v>3.1634665282823042</v>
      </c>
      <c r="G1927" s="1">
        <v>2.1873874692511119E-2</v>
      </c>
    </row>
    <row r="1928" spans="1:7">
      <c r="A1928">
        <v>93</v>
      </c>
      <c r="B1928">
        <v>174</v>
      </c>
      <c r="C1928" s="1">
        <f>(Tabela1[[#This Row],[x]]-H$3)*(Tabela1[[#This Row],[x]]-H$3) +(Tabela1[[#This Row],[y]]-H$4)*(Tabela1[[#This Row],[y]]-H$4)</f>
        <v>12125</v>
      </c>
      <c r="D1928" s="1">
        <f>IF(Tabela1[[#This Row],[promien]]&lt;40000,1,0)</f>
        <v>1</v>
      </c>
      <c r="E1928" s="1">
        <f>IF(Tabela1[[#This Row],[promien]]=40000,1,0)</f>
        <v>0</v>
      </c>
      <c r="F1928" s="1">
        <v>3.1639004149377592</v>
      </c>
      <c r="G1928" s="1">
        <v>2.2307761347966082E-2</v>
      </c>
    </row>
    <row r="1929" spans="1:7">
      <c r="A1929">
        <v>174</v>
      </c>
      <c r="B1929">
        <v>129</v>
      </c>
      <c r="C1929" s="1">
        <f>(Tabela1[[#This Row],[x]]-H$3)*(Tabela1[[#This Row],[x]]-H$3) +(Tabela1[[#This Row],[y]]-H$4)*(Tabela1[[#This Row],[y]]-H$4)</f>
        <v>5717</v>
      </c>
      <c r="D1929" s="1">
        <f>IF(Tabela1[[#This Row],[promien]]&lt;40000,1,0)</f>
        <v>1</v>
      </c>
      <c r="E1929" s="1">
        <f>IF(Tabela1[[#This Row],[promien]]=40000,1,0)</f>
        <v>0</v>
      </c>
      <c r="F1929" s="1">
        <v>3.164333851736651</v>
      </c>
      <c r="G1929" s="1">
        <v>2.2741198146857933E-2</v>
      </c>
    </row>
    <row r="1930" spans="1:7">
      <c r="A1930">
        <v>316</v>
      </c>
      <c r="B1930">
        <v>120</v>
      </c>
      <c r="C1930" s="1">
        <f>(Tabela1[[#This Row],[x]]-H$3)*(Tabela1[[#This Row],[x]]-H$3) +(Tabela1[[#This Row],[y]]-H$4)*(Tabela1[[#This Row],[y]]-H$4)</f>
        <v>19856</v>
      </c>
      <c r="D1930" s="1">
        <f>IF(Tabela1[[#This Row],[promien]]&lt;40000,1,0)</f>
        <v>1</v>
      </c>
      <c r="E1930" s="1">
        <f>IF(Tabela1[[#This Row],[promien]]=40000,1,0)</f>
        <v>0</v>
      </c>
      <c r="F1930" s="1">
        <v>3.1647668393782382</v>
      </c>
      <c r="G1930" s="1">
        <v>2.3174185788445101E-2</v>
      </c>
    </row>
    <row r="1931" spans="1:7">
      <c r="A1931">
        <v>12</v>
      </c>
      <c r="B1931">
        <v>70</v>
      </c>
      <c r="C1931" s="1">
        <f>(Tabela1[[#This Row],[x]]-H$3)*(Tabela1[[#This Row],[x]]-H$3) +(Tabela1[[#This Row],[y]]-H$4)*(Tabela1[[#This Row],[y]]-H$4)</f>
        <v>52244</v>
      </c>
      <c r="D1931" s="1">
        <f>IF(Tabela1[[#This Row],[promien]]&lt;40000,1,0)</f>
        <v>0</v>
      </c>
      <c r="E1931" s="1">
        <f>IF(Tabela1[[#This Row],[promien]]=40000,1,0)</f>
        <v>0</v>
      </c>
      <c r="F1931" s="1">
        <v>3.1631279129984464</v>
      </c>
      <c r="G1931" s="1">
        <v>2.1535259408653307E-2</v>
      </c>
    </row>
    <row r="1932" spans="1:7">
      <c r="A1932">
        <v>221</v>
      </c>
      <c r="B1932">
        <v>60</v>
      </c>
      <c r="C1932" s="1">
        <f>(Tabela1[[#This Row],[x]]-H$3)*(Tabela1[[#This Row],[x]]-H$3) +(Tabela1[[#This Row],[y]]-H$4)*(Tabela1[[#This Row],[y]]-H$4)</f>
        <v>20041</v>
      </c>
      <c r="D1932" s="1">
        <f>IF(Tabela1[[#This Row],[promien]]&lt;40000,1,0)</f>
        <v>1</v>
      </c>
      <c r="E1932" s="1">
        <f>IF(Tabela1[[#This Row],[promien]]=40000,1,0)</f>
        <v>0</v>
      </c>
      <c r="F1932" s="1">
        <v>3.1635610766045548</v>
      </c>
      <c r="G1932" s="1">
        <v>2.1968423014761651E-2</v>
      </c>
    </row>
    <row r="1933" spans="1:7">
      <c r="A1933">
        <v>17</v>
      </c>
      <c r="B1933">
        <v>329</v>
      </c>
      <c r="C1933" s="1">
        <f>(Tabela1[[#This Row],[x]]-H$3)*(Tabela1[[#This Row],[x]]-H$3) +(Tabela1[[#This Row],[y]]-H$4)*(Tabela1[[#This Row],[y]]-H$4)</f>
        <v>50130</v>
      </c>
      <c r="D1933" s="1">
        <f>IF(Tabela1[[#This Row],[promien]]&lt;40000,1,0)</f>
        <v>0</v>
      </c>
      <c r="E1933" s="1">
        <f>IF(Tabela1[[#This Row],[promien]]=40000,1,0)</f>
        <v>0</v>
      </c>
      <c r="F1933" s="1">
        <v>3.1619244697361615</v>
      </c>
      <c r="G1933" s="1">
        <v>2.0331816146368364E-2</v>
      </c>
    </row>
    <row r="1934" spans="1:7">
      <c r="A1934">
        <v>347</v>
      </c>
      <c r="B1934">
        <v>255</v>
      </c>
      <c r="C1934" s="1">
        <f>(Tabela1[[#This Row],[x]]-H$3)*(Tabela1[[#This Row],[x]]-H$3) +(Tabela1[[#This Row],[y]]-H$4)*(Tabela1[[#This Row],[y]]-H$4)</f>
        <v>24634</v>
      </c>
      <c r="D1934" s="1">
        <f>IF(Tabela1[[#This Row],[promien]]&lt;40000,1,0)</f>
        <v>1</v>
      </c>
      <c r="E1934" s="1">
        <f>IF(Tabela1[[#This Row],[promien]]=40000,1,0)</f>
        <v>0</v>
      </c>
      <c r="F1934" s="1">
        <v>3.1623578076525338</v>
      </c>
      <c r="G1934" s="1">
        <v>2.0765154062740709E-2</v>
      </c>
    </row>
    <row r="1935" spans="1:7">
      <c r="A1935">
        <v>63</v>
      </c>
      <c r="B1935">
        <v>305</v>
      </c>
      <c r="C1935" s="1">
        <f>(Tabela1[[#This Row],[x]]-H$3)*(Tabela1[[#This Row],[x]]-H$3) +(Tabela1[[#This Row],[y]]-H$4)*(Tabela1[[#This Row],[y]]-H$4)</f>
        <v>29794</v>
      </c>
      <c r="D1935" s="1">
        <f>IF(Tabela1[[#This Row],[promien]]&lt;40000,1,0)</f>
        <v>1</v>
      </c>
      <c r="E1935" s="1">
        <f>IF(Tabela1[[#This Row],[promien]]=40000,1,0)</f>
        <v>0</v>
      </c>
      <c r="F1935" s="1">
        <v>3.1627906976744184</v>
      </c>
      <c r="G1935" s="1">
        <v>2.1198044084625334E-2</v>
      </c>
    </row>
    <row r="1936" spans="1:7">
      <c r="A1936">
        <v>37</v>
      </c>
      <c r="B1936">
        <v>360</v>
      </c>
      <c r="C1936" s="1">
        <f>(Tabela1[[#This Row],[x]]-H$3)*(Tabela1[[#This Row],[x]]-H$3) +(Tabela1[[#This Row],[y]]-H$4)*(Tabela1[[#This Row],[y]]-H$4)</f>
        <v>52169</v>
      </c>
      <c r="D1936" s="1">
        <f>IF(Tabela1[[#This Row],[promien]]&lt;40000,1,0)</f>
        <v>0</v>
      </c>
      <c r="E1936" s="1">
        <f>IF(Tabela1[[#This Row],[promien]]=40000,1,0)</f>
        <v>0</v>
      </c>
      <c r="F1936" s="1">
        <v>3.1611570247933884</v>
      </c>
      <c r="G1936" s="1">
        <v>1.9564371203595332E-2</v>
      </c>
    </row>
    <row r="1937" spans="1:7">
      <c r="A1937">
        <v>104</v>
      </c>
      <c r="B1937">
        <v>352</v>
      </c>
      <c r="C1937" s="1">
        <f>(Tabela1[[#This Row],[x]]-H$3)*(Tabela1[[#This Row],[x]]-H$3) +(Tabela1[[#This Row],[y]]-H$4)*(Tabela1[[#This Row],[y]]-H$4)</f>
        <v>32320</v>
      </c>
      <c r="D1937" s="1">
        <f>IF(Tabela1[[#This Row],[promien]]&lt;40000,1,0)</f>
        <v>1</v>
      </c>
      <c r="E1937" s="1">
        <f>IF(Tabela1[[#This Row],[promien]]=40000,1,0)</f>
        <v>0</v>
      </c>
      <c r="F1937" s="1">
        <v>3.1615900877645844</v>
      </c>
      <c r="G1937" s="1">
        <v>1.9997434174791273E-2</v>
      </c>
    </row>
    <row r="1938" spans="1:7">
      <c r="A1938">
        <v>358</v>
      </c>
      <c r="B1938">
        <v>81</v>
      </c>
      <c r="C1938" s="1">
        <f>(Tabela1[[#This Row],[x]]-H$3)*(Tabela1[[#This Row],[x]]-H$3) +(Tabela1[[#This Row],[y]]-H$4)*(Tabela1[[#This Row],[y]]-H$4)</f>
        <v>39125</v>
      </c>
      <c r="D1938" s="1">
        <f>IF(Tabela1[[#This Row],[promien]]&lt;40000,1,0)</f>
        <v>1</v>
      </c>
      <c r="E1938" s="1">
        <f>IF(Tabela1[[#This Row],[promien]]=40000,1,0)</f>
        <v>0</v>
      </c>
      <c r="F1938" s="1">
        <v>3.1620227038183693</v>
      </c>
      <c r="G1938" s="1">
        <v>2.0430050228576135E-2</v>
      </c>
    </row>
    <row r="1939" spans="1:7">
      <c r="A1939">
        <v>7</v>
      </c>
      <c r="B1939">
        <v>40</v>
      </c>
      <c r="C1939" s="1">
        <f>(Tabela1[[#This Row],[x]]-H$3)*(Tabela1[[#This Row],[x]]-H$3) +(Tabela1[[#This Row],[y]]-H$4)*(Tabela1[[#This Row],[y]]-H$4)</f>
        <v>62849</v>
      </c>
      <c r="D1939" s="1">
        <f>IF(Tabela1[[#This Row],[promien]]&lt;40000,1,0)</f>
        <v>0</v>
      </c>
      <c r="E1939" s="1">
        <f>IF(Tabela1[[#This Row],[promien]]=40000,1,0)</f>
        <v>0</v>
      </c>
      <c r="F1939" s="1">
        <v>3.1603919546157813</v>
      </c>
      <c r="G1939" s="1">
        <v>1.8799301025988147E-2</v>
      </c>
    </row>
    <row r="1940" spans="1:7">
      <c r="A1940">
        <v>347</v>
      </c>
      <c r="B1940">
        <v>231</v>
      </c>
      <c r="C1940" s="1">
        <f>(Tabela1[[#This Row],[x]]-H$3)*(Tabela1[[#This Row],[x]]-H$3) +(Tabela1[[#This Row],[y]]-H$4)*(Tabela1[[#This Row],[y]]-H$4)</f>
        <v>22570</v>
      </c>
      <c r="D1940" s="1">
        <f>IF(Tabela1[[#This Row],[promien]]&lt;40000,1,0)</f>
        <v>1</v>
      </c>
      <c r="E1940" s="1">
        <f>IF(Tabela1[[#This Row],[promien]]=40000,1,0)</f>
        <v>0</v>
      </c>
      <c r="F1940" s="1">
        <v>3.1608247422680411</v>
      </c>
      <c r="G1940" s="1">
        <v>1.9232088678247994E-2</v>
      </c>
    </row>
    <row r="1941" spans="1:7">
      <c r="A1941">
        <v>114</v>
      </c>
      <c r="B1941">
        <v>127</v>
      </c>
      <c r="C1941" s="1">
        <f>(Tabela1[[#This Row],[x]]-H$3)*(Tabela1[[#This Row],[x]]-H$3) +(Tabela1[[#This Row],[y]]-H$4)*(Tabela1[[#This Row],[y]]-H$4)</f>
        <v>12725</v>
      </c>
      <c r="D1941" s="1">
        <f>IF(Tabela1[[#This Row],[promien]]&lt;40000,1,0)</f>
        <v>1</v>
      </c>
      <c r="E1941" s="1">
        <f>IF(Tabela1[[#This Row],[promien]]=40000,1,0)</f>
        <v>0</v>
      </c>
      <c r="F1941" s="1">
        <v>3.1612570839773313</v>
      </c>
      <c r="G1941" s="1">
        <v>1.9664430387538179E-2</v>
      </c>
    </row>
    <row r="1942" spans="1:7">
      <c r="A1942">
        <v>70</v>
      </c>
      <c r="B1942">
        <v>242</v>
      </c>
      <c r="C1942" s="1">
        <f>(Tabela1[[#This Row],[x]]-H$3)*(Tabela1[[#This Row],[x]]-H$3) +(Tabela1[[#This Row],[y]]-H$4)*(Tabela1[[#This Row],[y]]-H$4)</f>
        <v>18664</v>
      </c>
      <c r="D1942" s="1">
        <f>IF(Tabela1[[#This Row],[promien]]&lt;40000,1,0)</f>
        <v>1</v>
      </c>
      <c r="E1942" s="1">
        <f>IF(Tabela1[[#This Row],[promien]]=40000,1,0)</f>
        <v>0</v>
      </c>
      <c r="F1942" s="1">
        <v>3.1616889804325439</v>
      </c>
      <c r="G1942" s="1">
        <v>2.0096326842750756E-2</v>
      </c>
    </row>
    <row r="1943" spans="1:7">
      <c r="A1943">
        <v>166</v>
      </c>
      <c r="B1943">
        <v>371</v>
      </c>
      <c r="C1943" s="1">
        <f>(Tabela1[[#This Row],[x]]-H$3)*(Tabela1[[#This Row],[x]]-H$3) +(Tabela1[[#This Row],[y]]-H$4)*(Tabela1[[#This Row],[y]]-H$4)</f>
        <v>30397</v>
      </c>
      <c r="D1943" s="1">
        <f>IF(Tabela1[[#This Row],[promien]]&lt;40000,1,0)</f>
        <v>1</v>
      </c>
      <c r="E1943" s="1">
        <f>IF(Tabela1[[#This Row],[promien]]=40000,1,0)</f>
        <v>0</v>
      </c>
      <c r="F1943" s="1">
        <v>3.1621204323211529</v>
      </c>
      <c r="G1943" s="1">
        <v>2.0527778731359803E-2</v>
      </c>
    </row>
    <row r="1944" spans="1:7">
      <c r="A1944">
        <v>213</v>
      </c>
      <c r="B1944">
        <v>14</v>
      </c>
      <c r="C1944" s="1">
        <f>(Tabela1[[#This Row],[x]]-H$3)*(Tabela1[[#This Row],[x]]-H$3) +(Tabela1[[#This Row],[y]]-H$4)*(Tabela1[[#This Row],[y]]-H$4)</f>
        <v>34765</v>
      </c>
      <c r="D1944" s="1">
        <f>IF(Tabela1[[#This Row],[promien]]&lt;40000,1,0)</f>
        <v>1</v>
      </c>
      <c r="E1944" s="1">
        <f>IF(Tabela1[[#This Row],[promien]]=40000,1,0)</f>
        <v>0</v>
      </c>
      <c r="F1944" s="1">
        <v>3.1625514403292181</v>
      </c>
      <c r="G1944" s="1">
        <v>2.0958786739424973E-2</v>
      </c>
    </row>
    <row r="1945" spans="1:7">
      <c r="A1945">
        <v>161</v>
      </c>
      <c r="B1945">
        <v>72</v>
      </c>
      <c r="C1945" s="1">
        <f>(Tabela1[[#This Row],[x]]-H$3)*(Tabela1[[#This Row],[x]]-H$3) +(Tabela1[[#This Row],[y]]-H$4)*(Tabela1[[#This Row],[y]]-H$4)</f>
        <v>17905</v>
      </c>
      <c r="D1945" s="1">
        <f>IF(Tabela1[[#This Row],[promien]]&lt;40000,1,0)</f>
        <v>1</v>
      </c>
      <c r="E1945" s="1">
        <f>IF(Tabela1[[#This Row],[promien]]=40000,1,0)</f>
        <v>0</v>
      </c>
      <c r="F1945" s="1">
        <v>3.1629820051413882</v>
      </c>
      <c r="G1945" s="1">
        <v>2.1389351551595048E-2</v>
      </c>
    </row>
    <row r="1946" spans="1:7">
      <c r="A1946">
        <v>133</v>
      </c>
      <c r="B1946">
        <v>334</v>
      </c>
      <c r="C1946" s="1">
        <f>(Tabela1[[#This Row],[x]]-H$3)*(Tabela1[[#This Row],[x]]-H$3) +(Tabela1[[#This Row],[y]]-H$4)*(Tabela1[[#This Row],[y]]-H$4)</f>
        <v>22445</v>
      </c>
      <c r="D1946" s="1">
        <f>IF(Tabela1[[#This Row],[promien]]&lt;40000,1,0)</f>
        <v>1</v>
      </c>
      <c r="E1946" s="1">
        <f>IF(Tabela1[[#This Row],[promien]]=40000,1,0)</f>
        <v>0</v>
      </c>
      <c r="F1946" s="1">
        <v>3.1634121274409046</v>
      </c>
      <c r="G1946" s="1">
        <v>2.1819473851111493E-2</v>
      </c>
    </row>
    <row r="1947" spans="1:7">
      <c r="A1947">
        <v>78</v>
      </c>
      <c r="B1947">
        <v>21</v>
      </c>
      <c r="C1947" s="1">
        <f>(Tabela1[[#This Row],[x]]-H$3)*(Tabela1[[#This Row],[x]]-H$3) +(Tabela1[[#This Row],[y]]-H$4)*(Tabela1[[#This Row],[y]]-H$4)</f>
        <v>46925</v>
      </c>
      <c r="D1947" s="1">
        <f>IF(Tabela1[[#This Row],[promien]]&lt;40000,1,0)</f>
        <v>0</v>
      </c>
      <c r="E1947" s="1">
        <f>IF(Tabela1[[#This Row],[promien]]=40000,1,0)</f>
        <v>0</v>
      </c>
      <c r="F1947" s="1">
        <v>3.1617873651771955</v>
      </c>
      <c r="G1947" s="1">
        <v>2.0194711587402381E-2</v>
      </c>
    </row>
    <row r="1948" spans="1:7">
      <c r="A1948">
        <v>383</v>
      </c>
      <c r="B1948">
        <v>236</v>
      </c>
      <c r="C1948" s="1">
        <f>(Tabela1[[#This Row],[x]]-H$3)*(Tabela1[[#This Row],[x]]-H$3) +(Tabela1[[#This Row],[y]]-H$4)*(Tabela1[[#This Row],[y]]-H$4)</f>
        <v>34785</v>
      </c>
      <c r="D1948" s="1">
        <f>IF(Tabela1[[#This Row],[promien]]&lt;40000,1,0)</f>
        <v>1</v>
      </c>
      <c r="E1948" s="1">
        <f>IF(Tabela1[[#This Row],[promien]]=40000,1,0)</f>
        <v>0</v>
      </c>
      <c r="F1948" s="1">
        <v>3.162217659137577</v>
      </c>
      <c r="G1948" s="1">
        <v>2.0625005547783903E-2</v>
      </c>
    </row>
    <row r="1949" spans="1:7">
      <c r="A1949">
        <v>94</v>
      </c>
      <c r="B1949">
        <v>240</v>
      </c>
      <c r="C1949" s="1">
        <f>(Tabela1[[#This Row],[x]]-H$3)*(Tabela1[[#This Row],[x]]-H$3) +(Tabela1[[#This Row],[y]]-H$4)*(Tabela1[[#This Row],[y]]-H$4)</f>
        <v>12836</v>
      </c>
      <c r="D1949" s="1">
        <f>IF(Tabela1[[#This Row],[promien]]&lt;40000,1,0)</f>
        <v>1</v>
      </c>
      <c r="E1949" s="1">
        <f>IF(Tabela1[[#This Row],[promien]]=40000,1,0)</f>
        <v>0</v>
      </c>
      <c r="F1949" s="1">
        <v>3.1626475115443817</v>
      </c>
      <c r="G1949" s="1">
        <v>2.1054857954588613E-2</v>
      </c>
    </row>
    <row r="1950" spans="1:7">
      <c r="A1950">
        <v>358</v>
      </c>
      <c r="B1950">
        <v>361</v>
      </c>
      <c r="C1950" s="1">
        <f>(Tabela1[[#This Row],[x]]-H$3)*(Tabela1[[#This Row],[x]]-H$3) +(Tabela1[[#This Row],[y]]-H$4)*(Tabela1[[#This Row],[y]]-H$4)</f>
        <v>50885</v>
      </c>
      <c r="D1950" s="1">
        <f>IF(Tabela1[[#This Row],[promien]]&lt;40000,1,0)</f>
        <v>0</v>
      </c>
      <c r="E1950" s="1">
        <f>IF(Tabela1[[#This Row],[promien]]=40000,1,0)</f>
        <v>0</v>
      </c>
      <c r="F1950" s="1">
        <v>3.161025641025641</v>
      </c>
      <c r="G1950" s="1">
        <v>1.943298743584787E-2</v>
      </c>
    </row>
    <row r="1951" spans="1:7">
      <c r="A1951">
        <v>67</v>
      </c>
      <c r="B1951">
        <v>200</v>
      </c>
      <c r="C1951" s="1">
        <f>(Tabela1[[#This Row],[x]]-H$3)*(Tabela1[[#This Row],[x]]-H$3) +(Tabela1[[#This Row],[y]]-H$4)*(Tabela1[[#This Row],[y]]-H$4)</f>
        <v>17689</v>
      </c>
      <c r="D1951" s="1">
        <f>IF(Tabela1[[#This Row],[promien]]&lt;40000,1,0)</f>
        <v>1</v>
      </c>
      <c r="E1951" s="1">
        <f>IF(Tabela1[[#This Row],[promien]]=40000,1,0)</f>
        <v>0</v>
      </c>
      <c r="F1951" s="1">
        <v>3.1614556637621734</v>
      </c>
      <c r="G1951" s="1">
        <v>1.9863010172380235E-2</v>
      </c>
    </row>
    <row r="1952" spans="1:7">
      <c r="A1952">
        <v>361</v>
      </c>
      <c r="B1952">
        <v>289</v>
      </c>
      <c r="C1952" s="1">
        <f>(Tabela1[[#This Row],[x]]-H$3)*(Tabela1[[#This Row],[x]]-H$3) +(Tabela1[[#This Row],[y]]-H$4)*(Tabela1[[#This Row],[y]]-H$4)</f>
        <v>33842</v>
      </c>
      <c r="D1952" s="1">
        <f>IF(Tabela1[[#This Row],[promien]]&lt;40000,1,0)</f>
        <v>1</v>
      </c>
      <c r="E1952" s="1">
        <f>IF(Tabela1[[#This Row],[promien]]=40000,1,0)</f>
        <v>0</v>
      </c>
      <c r="F1952" s="1">
        <v>3.1618852459016393</v>
      </c>
      <c r="G1952" s="1">
        <v>2.0292592311846214E-2</v>
      </c>
    </row>
    <row r="1953" spans="1:7">
      <c r="A1953">
        <v>282</v>
      </c>
      <c r="B1953">
        <v>113</v>
      </c>
      <c r="C1953" s="1">
        <f>(Tabela1[[#This Row],[x]]-H$3)*(Tabela1[[#This Row],[x]]-H$3) +(Tabela1[[#This Row],[y]]-H$4)*(Tabela1[[#This Row],[y]]-H$4)</f>
        <v>14293</v>
      </c>
      <c r="D1953" s="1">
        <f>IF(Tabela1[[#This Row],[promien]]&lt;40000,1,0)</f>
        <v>1</v>
      </c>
      <c r="E1953" s="1">
        <f>IF(Tabela1[[#This Row],[promien]]=40000,1,0)</f>
        <v>0</v>
      </c>
      <c r="F1953" s="1">
        <v>3.1623143881208398</v>
      </c>
      <c r="G1953" s="1">
        <v>2.0721734531046643E-2</v>
      </c>
    </row>
    <row r="1954" spans="1:7">
      <c r="A1954">
        <v>303</v>
      </c>
      <c r="B1954">
        <v>153</v>
      </c>
      <c r="C1954" s="1">
        <f>(Tabela1[[#This Row],[x]]-H$3)*(Tabela1[[#This Row],[x]]-H$3) +(Tabela1[[#This Row],[y]]-H$4)*(Tabela1[[#This Row],[y]]-H$4)</f>
        <v>12818</v>
      </c>
      <c r="D1954" s="1">
        <f>IF(Tabela1[[#This Row],[promien]]&lt;40000,1,0)</f>
        <v>1</v>
      </c>
      <c r="E1954" s="1">
        <f>IF(Tabela1[[#This Row],[promien]]=40000,1,0)</f>
        <v>0</v>
      </c>
      <c r="F1954" s="1">
        <v>3.1627430910951895</v>
      </c>
      <c r="G1954" s="1">
        <v>2.1150437505396358E-2</v>
      </c>
    </row>
    <row r="1955" spans="1:7">
      <c r="A1955">
        <v>101</v>
      </c>
      <c r="B1955">
        <v>94</v>
      </c>
      <c r="C1955" s="1">
        <f>(Tabela1[[#This Row],[x]]-H$3)*(Tabela1[[#This Row],[x]]-H$3) +(Tabela1[[#This Row],[y]]-H$4)*(Tabela1[[#This Row],[y]]-H$4)</f>
        <v>21037</v>
      </c>
      <c r="D1955" s="1">
        <f>IF(Tabela1[[#This Row],[promien]]&lt;40000,1,0)</f>
        <v>1</v>
      </c>
      <c r="E1955" s="1">
        <f>IF(Tabela1[[#This Row],[promien]]=40000,1,0)</f>
        <v>0</v>
      </c>
      <c r="F1955" s="1">
        <v>3.1631713554987213</v>
      </c>
      <c r="G1955" s="1">
        <v>2.1578701908928188E-2</v>
      </c>
    </row>
    <row r="1956" spans="1:7">
      <c r="A1956">
        <v>390</v>
      </c>
      <c r="B1956">
        <v>385</v>
      </c>
      <c r="C1956" s="1">
        <f>(Tabela1[[#This Row],[x]]-H$3)*(Tabela1[[#This Row],[x]]-H$3) +(Tabela1[[#This Row],[y]]-H$4)*(Tabela1[[#This Row],[y]]-H$4)</f>
        <v>70325</v>
      </c>
      <c r="D1956" s="1">
        <f>IF(Tabela1[[#This Row],[promien]]&lt;40000,1,0)</f>
        <v>0</v>
      </c>
      <c r="E1956" s="1">
        <f>IF(Tabela1[[#This Row],[promien]]=40000,1,0)</f>
        <v>0</v>
      </c>
      <c r="F1956" s="1">
        <v>3.1615541922290387</v>
      </c>
      <c r="G1956" s="1">
        <v>1.9961538639245546E-2</v>
      </c>
    </row>
    <row r="1957" spans="1:7">
      <c r="A1957">
        <v>355</v>
      </c>
      <c r="B1957">
        <v>108</v>
      </c>
      <c r="C1957" s="1">
        <f>(Tabela1[[#This Row],[x]]-H$3)*(Tabela1[[#This Row],[x]]-H$3) +(Tabela1[[#This Row],[y]]-H$4)*(Tabela1[[#This Row],[y]]-H$4)</f>
        <v>32489</v>
      </c>
      <c r="D1957" s="1">
        <f>IF(Tabela1[[#This Row],[promien]]&lt;40000,1,0)</f>
        <v>1</v>
      </c>
      <c r="E1957" s="1">
        <f>IF(Tabela1[[#This Row],[promien]]=40000,1,0)</f>
        <v>0</v>
      </c>
      <c r="F1957" s="1">
        <v>3.1619826264690851</v>
      </c>
      <c r="G1957" s="1">
        <v>2.0389972879292007E-2</v>
      </c>
    </row>
    <row r="1958" spans="1:7">
      <c r="A1958">
        <v>64</v>
      </c>
      <c r="B1958">
        <v>71</v>
      </c>
      <c r="C1958" s="1">
        <f>(Tabela1[[#This Row],[x]]-H$3)*(Tabela1[[#This Row],[x]]-H$3) +(Tabela1[[#This Row],[y]]-H$4)*(Tabela1[[#This Row],[y]]-H$4)</f>
        <v>35137</v>
      </c>
      <c r="D1958" s="1">
        <f>IF(Tabela1[[#This Row],[promien]]&lt;40000,1,0)</f>
        <v>1</v>
      </c>
      <c r="E1958" s="1">
        <f>IF(Tabela1[[#This Row],[promien]]=40000,1,0)</f>
        <v>0</v>
      </c>
      <c r="F1958" s="1">
        <v>3.1624106230847806</v>
      </c>
      <c r="G1958" s="1">
        <v>2.0817969494987487E-2</v>
      </c>
    </row>
    <row r="1959" spans="1:7">
      <c r="A1959">
        <v>196</v>
      </c>
      <c r="B1959">
        <v>206</v>
      </c>
      <c r="C1959" s="1">
        <f>(Tabela1[[#This Row],[x]]-H$3)*(Tabela1[[#This Row],[x]]-H$3) +(Tabela1[[#This Row],[y]]-H$4)*(Tabela1[[#This Row],[y]]-H$4)</f>
        <v>52</v>
      </c>
      <c r="D1959" s="1">
        <f>IF(Tabela1[[#This Row],[promien]]&lt;40000,1,0)</f>
        <v>1</v>
      </c>
      <c r="E1959" s="1">
        <f>IF(Tabela1[[#This Row],[promien]]=40000,1,0)</f>
        <v>0</v>
      </c>
      <c r="F1959" s="1">
        <v>3.1628381827462992</v>
      </c>
      <c r="G1959" s="1">
        <v>2.1245529156506127E-2</v>
      </c>
    </row>
    <row r="1960" spans="1:7">
      <c r="A1960">
        <v>237</v>
      </c>
      <c r="B1960">
        <v>50</v>
      </c>
      <c r="C1960" s="1">
        <f>(Tabela1[[#This Row],[x]]-H$3)*(Tabela1[[#This Row],[x]]-H$3) +(Tabela1[[#This Row],[y]]-H$4)*(Tabela1[[#This Row],[y]]-H$4)</f>
        <v>23869</v>
      </c>
      <c r="D1960" s="1">
        <f>IF(Tabela1[[#This Row],[promien]]&lt;40000,1,0)</f>
        <v>1</v>
      </c>
      <c r="E1960" s="1">
        <f>IF(Tabela1[[#This Row],[promien]]=40000,1,0)</f>
        <v>0</v>
      </c>
      <c r="F1960" s="1">
        <v>3.1632653061224492</v>
      </c>
      <c r="G1960" s="1">
        <v>2.1672652532656045E-2</v>
      </c>
    </row>
    <row r="1961" spans="1:7">
      <c r="A1961">
        <v>130</v>
      </c>
      <c r="B1961">
        <v>219</v>
      </c>
      <c r="C1961" s="1">
        <f>(Tabela1[[#This Row],[x]]-H$3)*(Tabela1[[#This Row],[x]]-H$3) +(Tabela1[[#This Row],[y]]-H$4)*(Tabela1[[#This Row],[y]]-H$4)</f>
        <v>5261</v>
      </c>
      <c r="D1961" s="1">
        <f>IF(Tabela1[[#This Row],[promien]]&lt;40000,1,0)</f>
        <v>1</v>
      </c>
      <c r="E1961" s="1">
        <f>IF(Tabela1[[#This Row],[promien]]=40000,1,0)</f>
        <v>0</v>
      </c>
      <c r="F1961" s="1">
        <v>3.1636919938806733</v>
      </c>
      <c r="G1961" s="1">
        <v>2.2099340290880232E-2</v>
      </c>
    </row>
    <row r="1962" spans="1:7">
      <c r="A1962">
        <v>349</v>
      </c>
      <c r="B1962">
        <v>338</v>
      </c>
      <c r="C1962" s="1">
        <f>(Tabela1[[#This Row],[x]]-H$3)*(Tabela1[[#This Row],[x]]-H$3) +(Tabela1[[#This Row],[y]]-H$4)*(Tabela1[[#This Row],[y]]-H$4)</f>
        <v>41245</v>
      </c>
      <c r="D1962" s="1">
        <f>IF(Tabela1[[#This Row],[promien]]&lt;40000,1,0)</f>
        <v>0</v>
      </c>
      <c r="E1962" s="1">
        <f>IF(Tabela1[[#This Row],[promien]]=40000,1,0)</f>
        <v>0</v>
      </c>
      <c r="F1962" s="1">
        <v>3.1620795107033639</v>
      </c>
      <c r="G1962" s="1">
        <v>2.0486857113570789E-2</v>
      </c>
    </row>
    <row r="1963" spans="1:7">
      <c r="A1963">
        <v>251</v>
      </c>
      <c r="B1963">
        <v>230</v>
      </c>
      <c r="C1963" s="1">
        <f>(Tabela1[[#This Row],[x]]-H$3)*(Tabela1[[#This Row],[x]]-H$3) +(Tabela1[[#This Row],[y]]-H$4)*(Tabela1[[#This Row],[y]]-H$4)</f>
        <v>3501</v>
      </c>
      <c r="D1963" s="1">
        <f>IF(Tabela1[[#This Row],[promien]]&lt;40000,1,0)</f>
        <v>1</v>
      </c>
      <c r="E1963" s="1">
        <f>IF(Tabela1[[#This Row],[promien]]=40000,1,0)</f>
        <v>0</v>
      </c>
      <c r="F1963" s="1">
        <v>3.1625063678043812</v>
      </c>
      <c r="G1963" s="1">
        <v>2.0913714214588097E-2</v>
      </c>
    </row>
    <row r="1964" spans="1:7">
      <c r="A1964">
        <v>250</v>
      </c>
      <c r="B1964">
        <v>131</v>
      </c>
      <c r="C1964" s="1">
        <f>(Tabela1[[#This Row],[x]]-H$3)*(Tabela1[[#This Row],[x]]-H$3) +(Tabela1[[#This Row],[y]]-H$4)*(Tabela1[[#This Row],[y]]-H$4)</f>
        <v>7261</v>
      </c>
      <c r="D1964" s="1">
        <f>IF(Tabela1[[#This Row],[promien]]&lt;40000,1,0)</f>
        <v>1</v>
      </c>
      <c r="E1964" s="1">
        <f>IF(Tabela1[[#This Row],[promien]]=40000,1,0)</f>
        <v>0</v>
      </c>
      <c r="F1964" s="1">
        <v>3.1629327902240325</v>
      </c>
      <c r="G1964" s="1">
        <v>2.1340136634239393E-2</v>
      </c>
    </row>
    <row r="1965" spans="1:7">
      <c r="A1965">
        <v>179</v>
      </c>
      <c r="B1965">
        <v>223</v>
      </c>
      <c r="C1965" s="1">
        <f>(Tabela1[[#This Row],[x]]-H$3)*(Tabela1[[#This Row],[x]]-H$3) +(Tabela1[[#This Row],[y]]-H$4)*(Tabela1[[#This Row],[y]]-H$4)</f>
        <v>970</v>
      </c>
      <c r="D1965" s="1">
        <f>IF(Tabela1[[#This Row],[promien]]&lt;40000,1,0)</f>
        <v>1</v>
      </c>
      <c r="E1965" s="1">
        <f>IF(Tabela1[[#This Row],[promien]]=40000,1,0)</f>
        <v>0</v>
      </c>
      <c r="F1965" s="1">
        <v>3.163358778625954</v>
      </c>
      <c r="G1965" s="1">
        <v>2.1766125036160933E-2</v>
      </c>
    </row>
    <row r="1966" spans="1:7">
      <c r="A1966">
        <v>134</v>
      </c>
      <c r="B1966">
        <v>129</v>
      </c>
      <c r="C1966" s="1">
        <f>(Tabela1[[#This Row],[x]]-H$3)*(Tabela1[[#This Row],[x]]-H$3) +(Tabela1[[#This Row],[y]]-H$4)*(Tabela1[[#This Row],[y]]-H$4)</f>
        <v>9397</v>
      </c>
      <c r="D1966" s="1">
        <f>IF(Tabela1[[#This Row],[promien]]&lt;40000,1,0)</f>
        <v>1</v>
      </c>
      <c r="E1966" s="1">
        <f>IF(Tabela1[[#This Row],[promien]]=40000,1,0)</f>
        <v>0</v>
      </c>
      <c r="F1966" s="1">
        <v>3.1637843336724312</v>
      </c>
      <c r="G1966" s="1">
        <v>2.2191680082638054E-2</v>
      </c>
    </row>
    <row r="1967" spans="1:7">
      <c r="A1967">
        <v>53</v>
      </c>
      <c r="B1967">
        <v>143</v>
      </c>
      <c r="C1967" s="1">
        <f>(Tabela1[[#This Row],[x]]-H$3)*(Tabela1[[#This Row],[x]]-H$3) +(Tabela1[[#This Row],[y]]-H$4)*(Tabela1[[#This Row],[y]]-H$4)</f>
        <v>24858</v>
      </c>
      <c r="D1967" s="1">
        <f>IF(Tabela1[[#This Row],[promien]]&lt;40000,1,0)</f>
        <v>1</v>
      </c>
      <c r="E1967" s="1">
        <f>IF(Tabela1[[#This Row],[promien]]=40000,1,0)</f>
        <v>0</v>
      </c>
      <c r="F1967" s="1">
        <v>3.1642094560244027</v>
      </c>
      <c r="G1967" s="1">
        <v>2.2616802434609617E-2</v>
      </c>
    </row>
    <row r="1968" spans="1:7">
      <c r="A1968">
        <v>38</v>
      </c>
      <c r="B1968">
        <v>252</v>
      </c>
      <c r="C1968" s="1">
        <f>(Tabela1[[#This Row],[x]]-H$3)*(Tabela1[[#This Row],[x]]-H$3) +(Tabela1[[#This Row],[y]]-H$4)*(Tabela1[[#This Row],[y]]-H$4)</f>
        <v>28948</v>
      </c>
      <c r="D1968" s="1">
        <f>IF(Tabela1[[#This Row],[promien]]&lt;40000,1,0)</f>
        <v>1</v>
      </c>
      <c r="E1968" s="1">
        <f>IF(Tabela1[[#This Row],[promien]]=40000,1,0)</f>
        <v>0</v>
      </c>
      <c r="F1968" s="1">
        <v>3.1646341463414633</v>
      </c>
      <c r="G1968" s="1">
        <v>2.3041492751670223E-2</v>
      </c>
    </row>
    <row r="1969" spans="1:7">
      <c r="A1969">
        <v>207</v>
      </c>
      <c r="B1969">
        <v>359</v>
      </c>
      <c r="C1969" s="1">
        <f>(Tabela1[[#This Row],[x]]-H$3)*(Tabela1[[#This Row],[x]]-H$3) +(Tabela1[[#This Row],[y]]-H$4)*(Tabela1[[#This Row],[y]]-H$4)</f>
        <v>25330</v>
      </c>
      <c r="D1969" s="1">
        <f>IF(Tabela1[[#This Row],[promien]]&lt;40000,1,0)</f>
        <v>1</v>
      </c>
      <c r="E1969" s="1">
        <f>IF(Tabela1[[#This Row],[promien]]=40000,1,0)</f>
        <v>0</v>
      </c>
      <c r="F1969" s="1">
        <v>3.1650584052818691</v>
      </c>
      <c r="G1969" s="1">
        <v>2.3465751692075987E-2</v>
      </c>
    </row>
    <row r="1970" spans="1:7">
      <c r="A1970">
        <v>234</v>
      </c>
      <c r="B1970">
        <v>353</v>
      </c>
      <c r="C1970" s="1">
        <f>(Tabela1[[#This Row],[x]]-H$3)*(Tabela1[[#This Row],[x]]-H$3) +(Tabela1[[#This Row],[y]]-H$4)*(Tabela1[[#This Row],[y]]-H$4)</f>
        <v>24565</v>
      </c>
      <c r="D1970" s="1">
        <f>IF(Tabela1[[#This Row],[promien]]&lt;40000,1,0)</f>
        <v>1</v>
      </c>
      <c r="E1970" s="1">
        <f>IF(Tabela1[[#This Row],[promien]]=40000,1,0)</f>
        <v>0</v>
      </c>
      <c r="F1970" s="1">
        <v>3.1654822335025381</v>
      </c>
      <c r="G1970" s="1">
        <v>2.3889579912744985E-2</v>
      </c>
    </row>
    <row r="1971" spans="1:7">
      <c r="A1971">
        <v>346</v>
      </c>
      <c r="B1971">
        <v>215</v>
      </c>
      <c r="C1971" s="1">
        <f>(Tabela1[[#This Row],[x]]-H$3)*(Tabela1[[#This Row],[x]]-H$3) +(Tabela1[[#This Row],[y]]-H$4)*(Tabela1[[#This Row],[y]]-H$4)</f>
        <v>21541</v>
      </c>
      <c r="D1971" s="1">
        <f>IF(Tabela1[[#This Row],[promien]]&lt;40000,1,0)</f>
        <v>1</v>
      </c>
      <c r="E1971" s="1">
        <f>IF(Tabela1[[#This Row],[promien]]=40000,1,0)</f>
        <v>0</v>
      </c>
      <c r="F1971" s="1">
        <v>3.1659056316590561</v>
      </c>
      <c r="G1971" s="1">
        <v>2.4312978069263025E-2</v>
      </c>
    </row>
    <row r="1972" spans="1:7">
      <c r="A1972">
        <v>13</v>
      </c>
      <c r="B1972">
        <v>149</v>
      </c>
      <c r="C1972" s="1">
        <f>(Tabela1[[#This Row],[x]]-H$3)*(Tabela1[[#This Row],[x]]-H$3) +(Tabela1[[#This Row],[y]]-H$4)*(Tabela1[[#This Row],[y]]-H$4)</f>
        <v>37570</v>
      </c>
      <c r="D1972" s="1">
        <f>IF(Tabela1[[#This Row],[promien]]&lt;40000,1,0)</f>
        <v>1</v>
      </c>
      <c r="E1972" s="1">
        <f>IF(Tabela1[[#This Row],[promien]]=40000,1,0)</f>
        <v>0</v>
      </c>
      <c r="F1972" s="1">
        <v>3.1663286004056794</v>
      </c>
      <c r="G1972" s="1">
        <v>2.4735946815886312E-2</v>
      </c>
    </row>
    <row r="1973" spans="1:7">
      <c r="A1973">
        <v>58</v>
      </c>
      <c r="B1973">
        <v>213</v>
      </c>
      <c r="C1973" s="1">
        <f>(Tabela1[[#This Row],[x]]-H$3)*(Tabela1[[#This Row],[x]]-H$3) +(Tabela1[[#This Row],[y]]-H$4)*(Tabela1[[#This Row],[y]]-H$4)</f>
        <v>20333</v>
      </c>
      <c r="D1973" s="1">
        <f>IF(Tabela1[[#This Row],[promien]]&lt;40000,1,0)</f>
        <v>1</v>
      </c>
      <c r="E1973" s="1">
        <f>IF(Tabela1[[#This Row],[promien]]=40000,1,0)</f>
        <v>0</v>
      </c>
      <c r="F1973" s="1">
        <v>3.1667511403953372</v>
      </c>
      <c r="G1973" s="1">
        <v>2.5158486805544111E-2</v>
      </c>
    </row>
    <row r="1974" spans="1:7">
      <c r="A1974">
        <v>213</v>
      </c>
      <c r="B1974">
        <v>377</v>
      </c>
      <c r="C1974" s="1">
        <f>(Tabela1[[#This Row],[x]]-H$3)*(Tabela1[[#This Row],[x]]-H$3) +(Tabela1[[#This Row],[y]]-H$4)*(Tabela1[[#This Row],[y]]-H$4)</f>
        <v>31498</v>
      </c>
      <c r="D1974" s="1">
        <f>IF(Tabela1[[#This Row],[promien]]&lt;40000,1,0)</f>
        <v>1</v>
      </c>
      <c r="E1974" s="1">
        <f>IF(Tabela1[[#This Row],[promien]]=40000,1,0)</f>
        <v>0</v>
      </c>
      <c r="F1974" s="1">
        <v>3.1671732522796354</v>
      </c>
      <c r="G1974" s="1">
        <v>2.5580598689842304E-2</v>
      </c>
    </row>
    <row r="1975" spans="1:7">
      <c r="A1975">
        <v>83</v>
      </c>
      <c r="B1975">
        <v>148</v>
      </c>
      <c r="C1975" s="1">
        <f>(Tabela1[[#This Row],[x]]-H$3)*(Tabela1[[#This Row],[x]]-H$3) +(Tabela1[[#This Row],[y]]-H$4)*(Tabela1[[#This Row],[y]]-H$4)</f>
        <v>16393</v>
      </c>
      <c r="D1975" s="1">
        <f>IF(Tabela1[[#This Row],[promien]]&lt;40000,1,0)</f>
        <v>1</v>
      </c>
      <c r="E1975" s="1">
        <f>IF(Tabela1[[#This Row],[promien]]=40000,1,0)</f>
        <v>0</v>
      </c>
      <c r="F1975" s="1">
        <v>3.1675949367088609</v>
      </c>
      <c r="G1975" s="1">
        <v>2.6002283119067826E-2</v>
      </c>
    </row>
    <row r="1976" spans="1:7">
      <c r="A1976">
        <v>320</v>
      </c>
      <c r="B1976">
        <v>177</v>
      </c>
      <c r="C1976" s="1">
        <f>(Tabela1[[#This Row],[x]]-H$3)*(Tabela1[[#This Row],[x]]-H$3) +(Tabela1[[#This Row],[y]]-H$4)*(Tabela1[[#This Row],[y]]-H$4)</f>
        <v>14929</v>
      </c>
      <c r="D1976" s="1">
        <f>IF(Tabela1[[#This Row],[promien]]&lt;40000,1,0)</f>
        <v>1</v>
      </c>
      <c r="E1976" s="1">
        <f>IF(Tabela1[[#This Row],[promien]]=40000,1,0)</f>
        <v>0</v>
      </c>
      <c r="F1976" s="1">
        <v>3.168016194331984</v>
      </c>
      <c r="G1976" s="1">
        <v>2.6423540742190887E-2</v>
      </c>
    </row>
    <row r="1977" spans="1:7">
      <c r="A1977">
        <v>262</v>
      </c>
      <c r="B1977">
        <v>245</v>
      </c>
      <c r="C1977" s="1">
        <f>(Tabela1[[#This Row],[x]]-H$3)*(Tabela1[[#This Row],[x]]-H$3) +(Tabela1[[#This Row],[y]]-H$4)*(Tabela1[[#This Row],[y]]-H$4)</f>
        <v>5869</v>
      </c>
      <c r="D1977" s="1">
        <f>IF(Tabela1[[#This Row],[promien]]&lt;40000,1,0)</f>
        <v>1</v>
      </c>
      <c r="E1977" s="1">
        <f>IF(Tabela1[[#This Row],[promien]]=40000,1,0)</f>
        <v>0</v>
      </c>
      <c r="F1977" s="1">
        <v>3.1684370257966616</v>
      </c>
      <c r="G1977" s="1">
        <v>2.6844372206868528E-2</v>
      </c>
    </row>
    <row r="1978" spans="1:7">
      <c r="A1978">
        <v>31</v>
      </c>
      <c r="B1978">
        <v>192</v>
      </c>
      <c r="C1978" s="1">
        <f>(Tabela1[[#This Row],[x]]-H$3)*(Tabela1[[#This Row],[x]]-H$3) +(Tabela1[[#This Row],[y]]-H$4)*(Tabela1[[#This Row],[y]]-H$4)</f>
        <v>28625</v>
      </c>
      <c r="D1978" s="1">
        <f>IF(Tabela1[[#This Row],[promien]]&lt;40000,1,0)</f>
        <v>1</v>
      </c>
      <c r="E1978" s="1">
        <f>IF(Tabela1[[#This Row],[promien]]=40000,1,0)</f>
        <v>0</v>
      </c>
      <c r="F1978" s="1">
        <v>3.1688574317492417</v>
      </c>
      <c r="G1978" s="1">
        <v>2.726477815944861E-2</v>
      </c>
    </row>
    <row r="1979" spans="1:7">
      <c r="A1979">
        <v>287</v>
      </c>
      <c r="B1979">
        <v>343</v>
      </c>
      <c r="C1979" s="1">
        <f>(Tabela1[[#This Row],[x]]-H$3)*(Tabela1[[#This Row],[x]]-H$3) +(Tabela1[[#This Row],[y]]-H$4)*(Tabela1[[#This Row],[y]]-H$4)</f>
        <v>28018</v>
      </c>
      <c r="D1979" s="1">
        <f>IF(Tabela1[[#This Row],[promien]]&lt;40000,1,0)</f>
        <v>1</v>
      </c>
      <c r="E1979" s="1">
        <f>IF(Tabela1[[#This Row],[promien]]=40000,1,0)</f>
        <v>0</v>
      </c>
      <c r="F1979" s="1">
        <v>3.1692774128347652</v>
      </c>
      <c r="G1979" s="1">
        <v>2.7684759244972046E-2</v>
      </c>
    </row>
    <row r="1980" spans="1:7">
      <c r="A1980">
        <v>362</v>
      </c>
      <c r="B1980">
        <v>201</v>
      </c>
      <c r="C1980" s="1">
        <f>(Tabela1[[#This Row],[x]]-H$3)*(Tabela1[[#This Row],[x]]-H$3) +(Tabela1[[#This Row],[y]]-H$4)*(Tabela1[[#This Row],[y]]-H$4)</f>
        <v>26245</v>
      </c>
      <c r="D1980" s="1">
        <f>IF(Tabela1[[#This Row],[promien]]&lt;40000,1,0)</f>
        <v>1</v>
      </c>
      <c r="E1980" s="1">
        <f>IF(Tabela1[[#This Row],[promien]]=40000,1,0)</f>
        <v>0</v>
      </c>
      <c r="F1980" s="1">
        <v>3.1696969696969699</v>
      </c>
      <c r="G1980" s="1">
        <v>2.8104316107176786E-2</v>
      </c>
    </row>
    <row r="1981" spans="1:7">
      <c r="A1981">
        <v>114</v>
      </c>
      <c r="B1981">
        <v>329</v>
      </c>
      <c r="C1981" s="1">
        <f>(Tabela1[[#This Row],[x]]-H$3)*(Tabela1[[#This Row],[x]]-H$3) +(Tabela1[[#This Row],[y]]-H$4)*(Tabela1[[#This Row],[y]]-H$4)</f>
        <v>24037</v>
      </c>
      <c r="D1981" s="1">
        <f>IF(Tabela1[[#This Row],[promien]]&lt;40000,1,0)</f>
        <v>1</v>
      </c>
      <c r="E1981" s="1">
        <f>IF(Tabela1[[#This Row],[promien]]=40000,1,0)</f>
        <v>0</v>
      </c>
      <c r="F1981" s="1">
        <v>3.1701161029782936</v>
      </c>
      <c r="G1981" s="1">
        <v>2.8523449388500488E-2</v>
      </c>
    </row>
    <row r="1982" spans="1:7">
      <c r="A1982">
        <v>359</v>
      </c>
      <c r="B1982">
        <v>103</v>
      </c>
      <c r="C1982" s="1">
        <f>(Tabela1[[#This Row],[x]]-H$3)*(Tabela1[[#This Row],[x]]-H$3) +(Tabela1[[#This Row],[y]]-H$4)*(Tabela1[[#This Row],[y]]-H$4)</f>
        <v>34690</v>
      </c>
      <c r="D1982" s="1">
        <f>IF(Tabela1[[#This Row],[promien]]&lt;40000,1,0)</f>
        <v>1</v>
      </c>
      <c r="E1982" s="1">
        <f>IF(Tabela1[[#This Row],[promien]]=40000,1,0)</f>
        <v>0</v>
      </c>
      <c r="F1982" s="1">
        <v>3.170534813319879</v>
      </c>
      <c r="G1982" s="1">
        <v>2.8942159730085848E-2</v>
      </c>
    </row>
    <row r="1983" spans="1:7">
      <c r="A1983">
        <v>201</v>
      </c>
      <c r="B1983">
        <v>338</v>
      </c>
      <c r="C1983" s="1">
        <f>(Tabela1[[#This Row],[x]]-H$3)*(Tabela1[[#This Row],[x]]-H$3) +(Tabela1[[#This Row],[y]]-H$4)*(Tabela1[[#This Row],[y]]-H$4)</f>
        <v>19045</v>
      </c>
      <c r="D1983" s="1">
        <f>IF(Tabela1[[#This Row],[promien]]&lt;40000,1,0)</f>
        <v>1</v>
      </c>
      <c r="E1983" s="1">
        <f>IF(Tabela1[[#This Row],[promien]]=40000,1,0)</f>
        <v>0</v>
      </c>
      <c r="F1983" s="1">
        <v>3.1709531013615733</v>
      </c>
      <c r="G1983" s="1">
        <v>2.9360447771780152E-2</v>
      </c>
    </row>
    <row r="1984" spans="1:7">
      <c r="A1984">
        <v>311</v>
      </c>
      <c r="B1984">
        <v>53</v>
      </c>
      <c r="C1984" s="1">
        <f>(Tabela1[[#This Row],[x]]-H$3)*(Tabela1[[#This Row],[x]]-H$3) +(Tabela1[[#This Row],[y]]-H$4)*(Tabela1[[#This Row],[y]]-H$4)</f>
        <v>33930</v>
      </c>
      <c r="D1984" s="1">
        <f>IF(Tabela1[[#This Row],[promien]]&lt;40000,1,0)</f>
        <v>1</v>
      </c>
      <c r="E1984" s="1">
        <f>IF(Tabela1[[#This Row],[promien]]=40000,1,0)</f>
        <v>0</v>
      </c>
      <c r="F1984" s="1">
        <v>3.1713709677419355</v>
      </c>
      <c r="G1984" s="1">
        <v>2.9778314152142382E-2</v>
      </c>
    </row>
    <row r="1985" spans="1:7">
      <c r="A1985">
        <v>333</v>
      </c>
      <c r="B1985">
        <v>313</v>
      </c>
      <c r="C1985" s="1">
        <f>(Tabela1[[#This Row],[x]]-H$3)*(Tabela1[[#This Row],[x]]-H$3) +(Tabela1[[#This Row],[y]]-H$4)*(Tabela1[[#This Row],[y]]-H$4)</f>
        <v>30458</v>
      </c>
      <c r="D1985" s="1">
        <f>IF(Tabela1[[#This Row],[promien]]&lt;40000,1,0)</f>
        <v>1</v>
      </c>
      <c r="E1985" s="1">
        <f>IF(Tabela1[[#This Row],[promien]]=40000,1,0)</f>
        <v>0</v>
      </c>
      <c r="F1985" s="1">
        <v>3.1717884130982368</v>
      </c>
      <c r="G1985" s="1">
        <v>3.0195759508443665E-2</v>
      </c>
    </row>
    <row r="1986" spans="1:7">
      <c r="A1986">
        <v>57</v>
      </c>
      <c r="B1986">
        <v>209</v>
      </c>
      <c r="C1986" s="1">
        <f>(Tabela1[[#This Row],[x]]-H$3)*(Tabela1[[#This Row],[x]]-H$3) +(Tabela1[[#This Row],[y]]-H$4)*(Tabela1[[#This Row],[y]]-H$4)</f>
        <v>20530</v>
      </c>
      <c r="D1986" s="1">
        <f>IF(Tabela1[[#This Row],[promien]]&lt;40000,1,0)</f>
        <v>1</v>
      </c>
      <c r="E1986" s="1">
        <f>IF(Tabela1[[#This Row],[promien]]=40000,1,0)</f>
        <v>0</v>
      </c>
      <c r="F1986" s="1">
        <v>3.1722054380664653</v>
      </c>
      <c r="G1986" s="1">
        <v>3.061278447667215E-2</v>
      </c>
    </row>
    <row r="1987" spans="1:7">
      <c r="A1987">
        <v>15</v>
      </c>
      <c r="B1987">
        <v>275</v>
      </c>
      <c r="C1987" s="1">
        <f>(Tabela1[[#This Row],[x]]-H$3)*(Tabela1[[#This Row],[x]]-H$3) +(Tabela1[[#This Row],[y]]-H$4)*(Tabela1[[#This Row],[y]]-H$4)</f>
        <v>39850</v>
      </c>
      <c r="D1987" s="1">
        <f>IF(Tabela1[[#This Row],[promien]]&lt;40000,1,0)</f>
        <v>1</v>
      </c>
      <c r="E1987" s="1">
        <f>IF(Tabela1[[#This Row],[promien]]=40000,1,0)</f>
        <v>0</v>
      </c>
      <c r="F1987" s="1">
        <v>3.1726220432813288</v>
      </c>
      <c r="G1987" s="1">
        <v>3.102938969153568E-2</v>
      </c>
    </row>
    <row r="1988" spans="1:7">
      <c r="A1988">
        <v>22</v>
      </c>
      <c r="B1988">
        <v>203</v>
      </c>
      <c r="C1988" s="1">
        <f>(Tabela1[[#This Row],[x]]-H$3)*(Tabela1[[#This Row],[x]]-H$3) +(Tabela1[[#This Row],[y]]-H$4)*(Tabela1[[#This Row],[y]]-H$4)</f>
        <v>31693</v>
      </c>
      <c r="D1988" s="1">
        <f>IF(Tabela1[[#This Row],[promien]]&lt;40000,1,0)</f>
        <v>1</v>
      </c>
      <c r="E1988" s="1">
        <f>IF(Tabela1[[#This Row],[promien]]=40000,1,0)</f>
        <v>0</v>
      </c>
      <c r="F1988" s="1">
        <v>3.1730382293762576</v>
      </c>
      <c r="G1988" s="1">
        <v>3.1445575786464453E-2</v>
      </c>
    </row>
    <row r="1989" spans="1:7">
      <c r="A1989">
        <v>297</v>
      </c>
      <c r="B1989">
        <v>212</v>
      </c>
      <c r="C1989" s="1">
        <f>(Tabela1[[#This Row],[x]]-H$3)*(Tabela1[[#This Row],[x]]-H$3) +(Tabela1[[#This Row],[y]]-H$4)*(Tabela1[[#This Row],[y]]-H$4)</f>
        <v>9553</v>
      </c>
      <c r="D1989" s="1">
        <f>IF(Tabela1[[#This Row],[promien]]&lt;40000,1,0)</f>
        <v>1</v>
      </c>
      <c r="E1989" s="1">
        <f>IF(Tabela1[[#This Row],[promien]]=40000,1,0)</f>
        <v>0</v>
      </c>
      <c r="F1989" s="1">
        <v>3.1734539969834086</v>
      </c>
      <c r="G1989" s="1">
        <v>3.186134339361546E-2</v>
      </c>
    </row>
    <row r="1990" spans="1:7">
      <c r="A1990">
        <v>56</v>
      </c>
      <c r="B1990">
        <v>276</v>
      </c>
      <c r="C1990" s="1">
        <f>(Tabela1[[#This Row],[x]]-H$3)*(Tabela1[[#This Row],[x]]-H$3) +(Tabela1[[#This Row],[y]]-H$4)*(Tabela1[[#This Row],[y]]-H$4)</f>
        <v>26512</v>
      </c>
      <c r="D1990" s="1">
        <f>IF(Tabela1[[#This Row],[promien]]&lt;40000,1,0)</f>
        <v>1</v>
      </c>
      <c r="E1990" s="1">
        <f>IF(Tabela1[[#This Row],[promien]]=40000,1,0)</f>
        <v>0</v>
      </c>
      <c r="F1990" s="1">
        <v>3.1738693467336683</v>
      </c>
      <c r="G1990" s="1">
        <v>3.2276693143875157E-2</v>
      </c>
    </row>
    <row r="1991" spans="1:7">
      <c r="A1991">
        <v>134</v>
      </c>
      <c r="B1991">
        <v>345</v>
      </c>
      <c r="C1991" s="1">
        <f>(Tabela1[[#This Row],[x]]-H$3)*(Tabela1[[#This Row],[x]]-H$3) +(Tabela1[[#This Row],[y]]-H$4)*(Tabela1[[#This Row],[y]]-H$4)</f>
        <v>25381</v>
      </c>
      <c r="D1991" s="1">
        <f>IF(Tabela1[[#This Row],[promien]]&lt;40000,1,0)</f>
        <v>1</v>
      </c>
      <c r="E1991" s="1">
        <f>IF(Tabela1[[#This Row],[promien]]=40000,1,0)</f>
        <v>0</v>
      </c>
      <c r="F1991" s="1">
        <v>3.1742842792566548</v>
      </c>
      <c r="G1991" s="1">
        <v>3.2691625666861679E-2</v>
      </c>
    </row>
    <row r="1992" spans="1:7">
      <c r="A1992">
        <v>59</v>
      </c>
      <c r="B1992">
        <v>115</v>
      </c>
      <c r="C1992" s="1">
        <f>(Tabela1[[#This Row],[x]]-H$3)*(Tabela1[[#This Row],[x]]-H$3) +(Tabela1[[#This Row],[y]]-H$4)*(Tabela1[[#This Row],[y]]-H$4)</f>
        <v>27106</v>
      </c>
      <c r="D1992" s="1">
        <f>IF(Tabela1[[#This Row],[promien]]&lt;40000,1,0)</f>
        <v>1</v>
      </c>
      <c r="E1992" s="1">
        <f>IF(Tabela1[[#This Row],[promien]]=40000,1,0)</f>
        <v>0</v>
      </c>
      <c r="F1992" s="1">
        <v>3.1746987951807228</v>
      </c>
      <c r="G1992" s="1">
        <v>3.3106141590929727E-2</v>
      </c>
    </row>
    <row r="1993" spans="1:7">
      <c r="A1993">
        <v>196</v>
      </c>
      <c r="B1993">
        <v>110</v>
      </c>
      <c r="C1993" s="1">
        <f>(Tabela1[[#This Row],[x]]-H$3)*(Tabela1[[#This Row],[x]]-H$3) +(Tabela1[[#This Row],[y]]-H$4)*(Tabela1[[#This Row],[y]]-H$4)</f>
        <v>8116</v>
      </c>
      <c r="D1993" s="1">
        <f>IF(Tabela1[[#This Row],[promien]]&lt;40000,1,0)</f>
        <v>1</v>
      </c>
      <c r="E1993" s="1">
        <f>IF(Tabela1[[#This Row],[promien]]=40000,1,0)</f>
        <v>0</v>
      </c>
      <c r="F1993" s="1">
        <v>3.1751128951329655</v>
      </c>
      <c r="G1993" s="1">
        <v>3.3520241543172347E-2</v>
      </c>
    </row>
    <row r="1994" spans="1:7">
      <c r="A1994">
        <v>139</v>
      </c>
      <c r="B1994">
        <v>305</v>
      </c>
      <c r="C1994" s="1">
        <f>(Tabela1[[#This Row],[x]]-H$3)*(Tabela1[[#This Row],[x]]-H$3) +(Tabela1[[#This Row],[y]]-H$4)*(Tabela1[[#This Row],[y]]-H$4)</f>
        <v>14746</v>
      </c>
      <c r="D1994" s="1">
        <f>IF(Tabela1[[#This Row],[promien]]&lt;40000,1,0)</f>
        <v>1</v>
      </c>
      <c r="E1994" s="1">
        <f>IF(Tabela1[[#This Row],[promien]]=40000,1,0)</f>
        <v>0</v>
      </c>
      <c r="F1994" s="1">
        <v>3.1755265797392176</v>
      </c>
      <c r="G1994" s="1">
        <v>3.3933926149424476E-2</v>
      </c>
    </row>
    <row r="1995" spans="1:7">
      <c r="A1995">
        <v>369</v>
      </c>
      <c r="B1995">
        <v>385</v>
      </c>
      <c r="C1995" s="1">
        <f>(Tabela1[[#This Row],[x]]-H$3)*(Tabela1[[#This Row],[x]]-H$3) +(Tabela1[[#This Row],[y]]-H$4)*(Tabela1[[#This Row],[y]]-H$4)</f>
        <v>62786</v>
      </c>
      <c r="D1995" s="1">
        <f>IF(Tabela1[[#This Row],[promien]]&lt;40000,1,0)</f>
        <v>0</v>
      </c>
      <c r="E1995" s="1">
        <f>IF(Tabela1[[#This Row],[promien]]=40000,1,0)</f>
        <v>0</v>
      </c>
      <c r="F1995" s="1">
        <v>3.1739348370927316</v>
      </c>
      <c r="G1995" s="1">
        <v>3.2342183502938493E-2</v>
      </c>
    </row>
    <row r="1996" spans="1:7">
      <c r="A1996">
        <v>347</v>
      </c>
      <c r="B1996">
        <v>155</v>
      </c>
      <c r="C1996" s="1">
        <f>(Tabela1[[#This Row],[x]]-H$3)*(Tabela1[[#This Row],[x]]-H$3) +(Tabela1[[#This Row],[y]]-H$4)*(Tabela1[[#This Row],[y]]-H$4)</f>
        <v>23634</v>
      </c>
      <c r="D1996" s="1">
        <f>IF(Tabela1[[#This Row],[promien]]&lt;40000,1,0)</f>
        <v>1</v>
      </c>
      <c r="E1996" s="1">
        <f>IF(Tabela1[[#This Row],[promien]]=40000,1,0)</f>
        <v>0</v>
      </c>
      <c r="F1996" s="1">
        <v>3.1743486973947896</v>
      </c>
      <c r="G1996" s="1">
        <v>3.2756043804996526E-2</v>
      </c>
    </row>
    <row r="1997" spans="1:7">
      <c r="A1997">
        <v>234</v>
      </c>
      <c r="B1997">
        <v>235</v>
      </c>
      <c r="C1997" s="1">
        <f>(Tabela1[[#This Row],[x]]-H$3)*(Tabela1[[#This Row],[x]]-H$3) +(Tabela1[[#This Row],[y]]-H$4)*(Tabela1[[#This Row],[y]]-H$4)</f>
        <v>2381</v>
      </c>
      <c r="D1997" s="1">
        <f>IF(Tabela1[[#This Row],[promien]]&lt;40000,1,0)</f>
        <v>1</v>
      </c>
      <c r="E1997" s="1">
        <f>IF(Tabela1[[#This Row],[promien]]=40000,1,0)</f>
        <v>0</v>
      </c>
      <c r="F1997" s="1">
        <v>3.1747621432148221</v>
      </c>
      <c r="G1997" s="1">
        <v>3.3169489625028969E-2</v>
      </c>
    </row>
    <row r="1998" spans="1:7">
      <c r="A1998">
        <v>286</v>
      </c>
      <c r="B1998">
        <v>254</v>
      </c>
      <c r="C1998" s="1">
        <f>(Tabela1[[#This Row],[x]]-H$3)*(Tabela1[[#This Row],[x]]-H$3) +(Tabela1[[#This Row],[y]]-H$4)*(Tabela1[[#This Row],[y]]-H$4)</f>
        <v>10312</v>
      </c>
      <c r="D1998" s="1">
        <f>IF(Tabela1[[#This Row],[promien]]&lt;40000,1,0)</f>
        <v>1</v>
      </c>
      <c r="E1998" s="1">
        <f>IF(Tabela1[[#This Row],[promien]]=40000,1,0)</f>
        <v>0</v>
      </c>
      <c r="F1998" s="1">
        <v>3.1751751751751751</v>
      </c>
      <c r="G1998" s="1">
        <v>3.3582521585381997E-2</v>
      </c>
    </row>
    <row r="1999" spans="1:7">
      <c r="A1999">
        <v>108</v>
      </c>
      <c r="B1999">
        <v>95</v>
      </c>
      <c r="C1999" s="1">
        <f>(Tabela1[[#This Row],[x]]-H$3)*(Tabela1[[#This Row],[x]]-H$3) +(Tabela1[[#This Row],[y]]-H$4)*(Tabela1[[#This Row],[y]]-H$4)</f>
        <v>19489</v>
      </c>
      <c r="D1999" s="1">
        <f>IF(Tabela1[[#This Row],[promien]]&lt;40000,1,0)</f>
        <v>1</v>
      </c>
      <c r="E1999" s="1">
        <f>IF(Tabela1[[#This Row],[promien]]=40000,1,0)</f>
        <v>0</v>
      </c>
      <c r="F1999" s="1">
        <v>3.1755877938969483</v>
      </c>
      <c r="G1999" s="1">
        <v>3.3995140307155225E-2</v>
      </c>
    </row>
    <row r="2000" spans="1:7">
      <c r="A2000">
        <v>246</v>
      </c>
      <c r="B2000">
        <v>10</v>
      </c>
      <c r="C2000" s="1">
        <f>(Tabela1[[#This Row],[x]]-H$3)*(Tabela1[[#This Row],[x]]-H$3) +(Tabela1[[#This Row],[y]]-H$4)*(Tabela1[[#This Row],[y]]-H$4)</f>
        <v>38216</v>
      </c>
      <c r="D2000" s="1">
        <f>IF(Tabela1[[#This Row],[promien]]&lt;40000,1,0)</f>
        <v>1</v>
      </c>
      <c r="E2000" s="1">
        <f>IF(Tabela1[[#This Row],[promien]]=40000,1,0)</f>
        <v>0</v>
      </c>
      <c r="F2000" s="1">
        <v>3.1760000000000002</v>
      </c>
      <c r="G2000" s="1">
        <v>3.440734641020704E-2</v>
      </c>
    </row>
    <row r="2001" spans="1:7">
      <c r="A2001">
        <v>78</v>
      </c>
      <c r="B2001">
        <v>198</v>
      </c>
      <c r="C2001" s="1">
        <f>(Tabela1[[#This Row],[x]]-H$3)*(Tabela1[[#This Row],[x]]-H$3) +(Tabela1[[#This Row],[y]]-H$4)*(Tabela1[[#This Row],[y]]-H$4)</f>
        <v>14888</v>
      </c>
      <c r="D2001" s="1">
        <f>IF(Tabela1[[#This Row],[promien]]&lt;40000,1,0)</f>
        <v>1</v>
      </c>
      <c r="E2001" s="1">
        <f>IF(Tabela1[[#This Row],[promien]]=40000,1,0)</f>
        <v>0</v>
      </c>
      <c r="F2001" s="1">
        <v>3.1764117941029486</v>
      </c>
      <c r="G2001" s="1">
        <v>3.4819140513155489E-2</v>
      </c>
    </row>
    <row r="2002" spans="1:7">
      <c r="A2002">
        <v>37</v>
      </c>
      <c r="B2002">
        <v>277</v>
      </c>
      <c r="C2002" s="1">
        <f>(Tabela1[[#This Row],[x]]-H$3)*(Tabela1[[#This Row],[x]]-H$3) +(Tabela1[[#This Row],[y]]-H$4)*(Tabela1[[#This Row],[y]]-H$4)</f>
        <v>32498</v>
      </c>
      <c r="D2002" s="1">
        <f>IF(Tabela1[[#This Row],[promien]]&lt;40000,1,0)</f>
        <v>1</v>
      </c>
      <c r="E2002" s="1">
        <f>IF(Tabela1[[#This Row],[promien]]=40000,1,0)</f>
        <v>0</v>
      </c>
      <c r="F2002" s="1">
        <v>3.1768231768231767</v>
      </c>
      <c r="G2002" s="1">
        <v>3.5230523233383604E-2</v>
      </c>
    </row>
    <row r="2003" spans="1:7">
      <c r="A2003">
        <v>394</v>
      </c>
      <c r="B2003">
        <v>115</v>
      </c>
      <c r="C2003" s="1">
        <f>(Tabela1[[#This Row],[x]]-H$3)*(Tabela1[[#This Row],[x]]-H$3) +(Tabela1[[#This Row],[y]]-H$4)*(Tabela1[[#This Row],[y]]-H$4)</f>
        <v>44861</v>
      </c>
      <c r="D2003" s="1">
        <f>IF(Tabela1[[#This Row],[promien]]&lt;40000,1,0)</f>
        <v>0</v>
      </c>
      <c r="E2003" s="1">
        <f>IF(Tabela1[[#This Row],[promien]]=40000,1,0)</f>
        <v>0</v>
      </c>
      <c r="F2003" s="1">
        <v>3.1752371442835745</v>
      </c>
      <c r="G2003" s="1">
        <v>3.3644490693781393E-2</v>
      </c>
    </row>
    <row r="2004" spans="1:7">
      <c r="A2004">
        <v>344</v>
      </c>
      <c r="B2004">
        <v>259</v>
      </c>
      <c r="C2004" s="1">
        <f>(Tabela1[[#This Row],[x]]-H$3)*(Tabela1[[#This Row],[x]]-H$3) +(Tabela1[[#This Row],[y]]-H$4)*(Tabela1[[#This Row],[y]]-H$4)</f>
        <v>24217</v>
      </c>
      <c r="D2004" s="1">
        <f>IF(Tabela1[[#This Row],[promien]]&lt;40000,1,0)</f>
        <v>1</v>
      </c>
      <c r="E2004" s="1">
        <f>IF(Tabela1[[#This Row],[promien]]=40000,1,0)</f>
        <v>0</v>
      </c>
      <c r="F2004" s="1">
        <v>3.1756487025948106</v>
      </c>
      <c r="G2004" s="1">
        <v>3.4056049005017464E-2</v>
      </c>
    </row>
    <row r="2005" spans="1:7">
      <c r="A2005">
        <v>163</v>
      </c>
      <c r="B2005">
        <v>396</v>
      </c>
      <c r="C2005" s="1">
        <f>(Tabela1[[#This Row],[x]]-H$3)*(Tabela1[[#This Row],[x]]-H$3) +(Tabela1[[#This Row],[y]]-H$4)*(Tabela1[[#This Row],[y]]-H$4)</f>
        <v>39785</v>
      </c>
      <c r="D2005" s="1">
        <f>IF(Tabela1[[#This Row],[promien]]&lt;40000,1,0)</f>
        <v>1</v>
      </c>
      <c r="E2005" s="1">
        <f>IF(Tabela1[[#This Row],[promien]]=40000,1,0)</f>
        <v>0</v>
      </c>
      <c r="F2005" s="1">
        <v>3.1760598503740649</v>
      </c>
      <c r="G2005" s="1">
        <v>3.4467196784271792E-2</v>
      </c>
    </row>
    <row r="2006" spans="1:7">
      <c r="A2006">
        <v>388</v>
      </c>
      <c r="B2006">
        <v>344</v>
      </c>
      <c r="C2006" s="1">
        <f>(Tabela1[[#This Row],[x]]-H$3)*(Tabela1[[#This Row],[x]]-H$3) +(Tabela1[[#This Row],[y]]-H$4)*(Tabela1[[#This Row],[y]]-H$4)</f>
        <v>56080</v>
      </c>
      <c r="D2006" s="1">
        <f>IF(Tabela1[[#This Row],[promien]]&lt;40000,1,0)</f>
        <v>0</v>
      </c>
      <c r="E2006" s="1">
        <f>IF(Tabela1[[#This Row],[promien]]=40000,1,0)</f>
        <v>0</v>
      </c>
      <c r="F2006" s="1">
        <v>3.1744765702891327</v>
      </c>
      <c r="G2006" s="1">
        <v>3.2883916699339544E-2</v>
      </c>
    </row>
    <row r="2007" spans="1:7">
      <c r="A2007">
        <v>317</v>
      </c>
      <c r="B2007">
        <v>116</v>
      </c>
      <c r="C2007" s="1">
        <f>(Tabela1[[#This Row],[x]]-H$3)*(Tabela1[[#This Row],[x]]-H$3) +(Tabela1[[#This Row],[y]]-H$4)*(Tabela1[[#This Row],[y]]-H$4)</f>
        <v>20745</v>
      </c>
      <c r="D2007" s="1">
        <f>IF(Tabela1[[#This Row],[promien]]&lt;40000,1,0)</f>
        <v>1</v>
      </c>
      <c r="E2007" s="1">
        <f>IF(Tabela1[[#This Row],[promien]]=40000,1,0)</f>
        <v>0</v>
      </c>
      <c r="F2007" s="1">
        <v>3.1748878923766815</v>
      </c>
      <c r="G2007" s="1">
        <v>3.3295238786888337E-2</v>
      </c>
    </row>
    <row r="2008" spans="1:7">
      <c r="A2008">
        <v>198</v>
      </c>
      <c r="B2008">
        <v>213</v>
      </c>
      <c r="C2008" s="1">
        <f>(Tabela1[[#This Row],[x]]-H$3)*(Tabela1[[#This Row],[x]]-H$3) +(Tabela1[[#This Row],[y]]-H$4)*(Tabela1[[#This Row],[y]]-H$4)</f>
        <v>173</v>
      </c>
      <c r="D2008" s="1">
        <f>IF(Tabela1[[#This Row],[promien]]&lt;40000,1,0)</f>
        <v>1</v>
      </c>
      <c r="E2008" s="1">
        <f>IF(Tabela1[[#This Row],[promien]]=40000,1,0)</f>
        <v>0</v>
      </c>
      <c r="F2008" s="1">
        <v>3.1752988047808763</v>
      </c>
      <c r="G2008" s="1">
        <v>3.3706151191083222E-2</v>
      </c>
    </row>
    <row r="2009" spans="1:7">
      <c r="A2009">
        <v>144</v>
      </c>
      <c r="B2009">
        <v>252</v>
      </c>
      <c r="C2009" s="1">
        <f>(Tabela1[[#This Row],[x]]-H$3)*(Tabela1[[#This Row],[x]]-H$3) +(Tabela1[[#This Row],[y]]-H$4)*(Tabela1[[#This Row],[y]]-H$4)</f>
        <v>5840</v>
      </c>
      <c r="D2009" s="1">
        <f>IF(Tabela1[[#This Row],[promien]]&lt;40000,1,0)</f>
        <v>1</v>
      </c>
      <c r="E2009" s="1">
        <f>IF(Tabela1[[#This Row],[promien]]=40000,1,0)</f>
        <v>0</v>
      </c>
      <c r="F2009" s="1">
        <v>3.1757093081134893</v>
      </c>
      <c r="G2009" s="1">
        <v>3.4116654523696166E-2</v>
      </c>
    </row>
    <row r="2010" spans="1:7">
      <c r="A2010">
        <v>393</v>
      </c>
      <c r="B2010">
        <v>350</v>
      </c>
      <c r="C2010" s="1">
        <f>(Tabela1[[#This Row],[x]]-H$3)*(Tabela1[[#This Row],[x]]-H$3) +(Tabela1[[#This Row],[y]]-H$4)*(Tabela1[[#This Row],[y]]-H$4)</f>
        <v>59749</v>
      </c>
      <c r="D2010" s="1">
        <f>IF(Tabela1[[#This Row],[promien]]&lt;40000,1,0)</f>
        <v>0</v>
      </c>
      <c r="E2010" s="1">
        <f>IF(Tabela1[[#This Row],[promien]]=40000,1,0)</f>
        <v>0</v>
      </c>
      <c r="F2010" s="1">
        <v>3.1741293532338308</v>
      </c>
      <c r="G2010" s="1">
        <v>3.2536699644037714E-2</v>
      </c>
    </row>
    <row r="2011" spans="1:7">
      <c r="A2011">
        <v>252</v>
      </c>
      <c r="B2011">
        <v>370</v>
      </c>
      <c r="C2011" s="1">
        <f>(Tabela1[[#This Row],[x]]-H$3)*(Tabela1[[#This Row],[x]]-H$3) +(Tabela1[[#This Row],[y]]-H$4)*(Tabela1[[#This Row],[y]]-H$4)</f>
        <v>31604</v>
      </c>
      <c r="D2011" s="1">
        <f>IF(Tabela1[[#This Row],[promien]]&lt;40000,1,0)</f>
        <v>1</v>
      </c>
      <c r="E2011" s="1">
        <f>IF(Tabela1[[#This Row],[promien]]=40000,1,0)</f>
        <v>0</v>
      </c>
      <c r="F2011" s="1">
        <v>3.1745400298359026</v>
      </c>
      <c r="G2011" s="1">
        <v>3.2947376246109439E-2</v>
      </c>
    </row>
    <row r="2012" spans="1:7">
      <c r="A2012">
        <v>379</v>
      </c>
      <c r="B2012">
        <v>28</v>
      </c>
      <c r="C2012" s="1">
        <f>(Tabela1[[#This Row],[x]]-H$3)*(Tabela1[[#This Row],[x]]-H$3) +(Tabela1[[#This Row],[y]]-H$4)*(Tabela1[[#This Row],[y]]-H$4)</f>
        <v>61625</v>
      </c>
      <c r="D2012" s="1">
        <f>IF(Tabela1[[#This Row],[promien]]&lt;40000,1,0)</f>
        <v>0</v>
      </c>
      <c r="E2012" s="1">
        <f>IF(Tabela1[[#This Row],[promien]]=40000,1,0)</f>
        <v>0</v>
      </c>
      <c r="F2012" s="1">
        <v>3.1729622266401591</v>
      </c>
      <c r="G2012" s="1">
        <v>3.1369573050366029E-2</v>
      </c>
    </row>
    <row r="2013" spans="1:7">
      <c r="A2013">
        <v>169</v>
      </c>
      <c r="B2013">
        <v>261</v>
      </c>
      <c r="C2013" s="1">
        <f>(Tabela1[[#This Row],[x]]-H$3)*(Tabela1[[#This Row],[x]]-H$3) +(Tabela1[[#This Row],[y]]-H$4)*(Tabela1[[#This Row],[y]]-H$4)</f>
        <v>4682</v>
      </c>
      <c r="D2013" s="1">
        <f>IF(Tabela1[[#This Row],[promien]]&lt;40000,1,0)</f>
        <v>1</v>
      </c>
      <c r="E2013" s="1">
        <f>IF(Tabela1[[#This Row],[promien]]=40000,1,0)</f>
        <v>0</v>
      </c>
      <c r="F2013" s="1">
        <v>3.1733730750124192</v>
      </c>
      <c r="G2013" s="1">
        <v>3.1780421422626048E-2</v>
      </c>
    </row>
    <row r="2014" spans="1:7">
      <c r="A2014">
        <v>389</v>
      </c>
      <c r="B2014">
        <v>227</v>
      </c>
      <c r="C2014" s="1">
        <f>(Tabela1[[#This Row],[x]]-H$3)*(Tabela1[[#This Row],[x]]-H$3) +(Tabela1[[#This Row],[y]]-H$4)*(Tabela1[[#This Row],[y]]-H$4)</f>
        <v>36450</v>
      </c>
      <c r="D2014" s="1">
        <f>IF(Tabela1[[#This Row],[promien]]&lt;40000,1,0)</f>
        <v>1</v>
      </c>
      <c r="E2014" s="1">
        <f>IF(Tabela1[[#This Row],[promien]]=40000,1,0)</f>
        <v>0</v>
      </c>
      <c r="F2014" s="1">
        <v>3.173783515392254</v>
      </c>
      <c r="G2014" s="1">
        <v>3.2190861802460891E-2</v>
      </c>
    </row>
    <row r="2015" spans="1:7">
      <c r="A2015">
        <v>332</v>
      </c>
      <c r="B2015">
        <v>130</v>
      </c>
      <c r="C2015" s="1">
        <f>(Tabela1[[#This Row],[x]]-H$3)*(Tabela1[[#This Row],[x]]-H$3) +(Tabela1[[#This Row],[y]]-H$4)*(Tabela1[[#This Row],[y]]-H$4)</f>
        <v>22324</v>
      </c>
      <c r="D2015" s="1">
        <f>IF(Tabela1[[#This Row],[promien]]&lt;40000,1,0)</f>
        <v>1</v>
      </c>
      <c r="E2015" s="1">
        <f>IF(Tabela1[[#This Row],[promien]]=40000,1,0)</f>
        <v>0</v>
      </c>
      <c r="F2015" s="1">
        <v>3.1741935483870969</v>
      </c>
      <c r="G2015" s="1">
        <v>3.260089479730377E-2</v>
      </c>
    </row>
    <row r="2016" spans="1:7">
      <c r="A2016">
        <v>165</v>
      </c>
      <c r="B2016">
        <v>174</v>
      </c>
      <c r="C2016" s="1">
        <f>(Tabela1[[#This Row],[x]]-H$3)*(Tabela1[[#This Row],[x]]-H$3) +(Tabela1[[#This Row],[y]]-H$4)*(Tabela1[[#This Row],[y]]-H$4)</f>
        <v>1901</v>
      </c>
      <c r="D2016" s="1">
        <f>IF(Tabela1[[#This Row],[promien]]&lt;40000,1,0)</f>
        <v>1</v>
      </c>
      <c r="E2016" s="1">
        <f>IF(Tabela1[[#This Row],[promien]]=40000,1,0)</f>
        <v>0</v>
      </c>
      <c r="F2016" s="1">
        <v>3.1746031746031744</v>
      </c>
      <c r="G2016" s="1">
        <v>3.3010521013381311E-2</v>
      </c>
    </row>
    <row r="2017" spans="1:7">
      <c r="A2017">
        <v>125</v>
      </c>
      <c r="B2017">
        <v>120</v>
      </c>
      <c r="C2017" s="1">
        <f>(Tabela1[[#This Row],[x]]-H$3)*(Tabela1[[#This Row],[x]]-H$3) +(Tabela1[[#This Row],[y]]-H$4)*(Tabela1[[#This Row],[y]]-H$4)</f>
        <v>12025</v>
      </c>
      <c r="D2017" s="1">
        <f>IF(Tabela1[[#This Row],[promien]]&lt;40000,1,0)</f>
        <v>1</v>
      </c>
      <c r="E2017" s="1">
        <f>IF(Tabela1[[#This Row],[promien]]=40000,1,0)</f>
        <v>0</v>
      </c>
      <c r="F2017" s="1">
        <v>3.1750123946455133</v>
      </c>
      <c r="G2017" s="1">
        <v>3.3419741055720209E-2</v>
      </c>
    </row>
    <row r="2018" spans="1:7">
      <c r="A2018">
        <v>392</v>
      </c>
      <c r="B2018">
        <v>213</v>
      </c>
      <c r="C2018" s="1">
        <f>(Tabela1[[#This Row],[x]]-H$3)*(Tabela1[[#This Row],[x]]-H$3) +(Tabela1[[#This Row],[y]]-H$4)*(Tabela1[[#This Row],[y]]-H$4)</f>
        <v>37033</v>
      </c>
      <c r="D2018" s="1">
        <f>IF(Tabela1[[#This Row],[promien]]&lt;40000,1,0)</f>
        <v>1</v>
      </c>
      <c r="E2018" s="1">
        <f>IF(Tabela1[[#This Row],[promien]]=40000,1,0)</f>
        <v>0</v>
      </c>
      <c r="F2018" s="1">
        <v>3.1754212091179386</v>
      </c>
      <c r="G2018" s="1">
        <v>3.3828555528145454E-2</v>
      </c>
    </row>
    <row r="2019" spans="1:7">
      <c r="A2019">
        <v>199</v>
      </c>
      <c r="B2019">
        <v>383</v>
      </c>
      <c r="C2019" s="1">
        <f>(Tabela1[[#This Row],[x]]-H$3)*(Tabela1[[#This Row],[x]]-H$3) +(Tabela1[[#This Row],[y]]-H$4)*(Tabela1[[#This Row],[y]]-H$4)</f>
        <v>33490</v>
      </c>
      <c r="D2019" s="1">
        <f>IF(Tabela1[[#This Row],[promien]]&lt;40000,1,0)</f>
        <v>1</v>
      </c>
      <c r="E2019" s="1">
        <f>IF(Tabela1[[#This Row],[promien]]=40000,1,0)</f>
        <v>0</v>
      </c>
      <c r="F2019" s="1">
        <v>3.1758296186230806</v>
      </c>
      <c r="G2019" s="1">
        <v>3.4236965033287436E-2</v>
      </c>
    </row>
    <row r="2020" spans="1:7">
      <c r="A2020">
        <v>343</v>
      </c>
      <c r="B2020">
        <v>109</v>
      </c>
      <c r="C2020" s="1">
        <f>(Tabela1[[#This Row],[x]]-H$3)*(Tabela1[[#This Row],[x]]-H$3) +(Tabela1[[#This Row],[y]]-H$4)*(Tabela1[[#This Row],[y]]-H$4)</f>
        <v>28730</v>
      </c>
      <c r="D2020" s="1">
        <f>IF(Tabela1[[#This Row],[promien]]&lt;40000,1,0)</f>
        <v>1</v>
      </c>
      <c r="E2020" s="1">
        <f>IF(Tabela1[[#This Row],[promien]]=40000,1,0)</f>
        <v>0</v>
      </c>
      <c r="F2020" s="1">
        <v>3.1762376237623764</v>
      </c>
      <c r="G2020" s="1">
        <v>3.4644970172583278E-2</v>
      </c>
    </row>
    <row r="2021" spans="1:7">
      <c r="A2021">
        <v>133</v>
      </c>
      <c r="B2021">
        <v>203</v>
      </c>
      <c r="C2021" s="1">
        <f>(Tabela1[[#This Row],[x]]-H$3)*(Tabela1[[#This Row],[x]]-H$3) +(Tabela1[[#This Row],[y]]-H$4)*(Tabela1[[#This Row],[y]]-H$4)</f>
        <v>4498</v>
      </c>
      <c r="D2021" s="1">
        <f>IF(Tabela1[[#This Row],[promien]]&lt;40000,1,0)</f>
        <v>1</v>
      </c>
      <c r="E2021" s="1">
        <f>IF(Tabela1[[#This Row],[promien]]=40000,1,0)</f>
        <v>0</v>
      </c>
      <c r="F2021" s="1">
        <v>3.1766452251360713</v>
      </c>
      <c r="G2021" s="1">
        <v>3.5052571546278166E-2</v>
      </c>
    </row>
    <row r="2022" spans="1:7">
      <c r="A2022">
        <v>264</v>
      </c>
      <c r="B2022">
        <v>232</v>
      </c>
      <c r="C2022" s="1">
        <f>(Tabela1[[#This Row],[x]]-H$3)*(Tabela1[[#This Row],[x]]-H$3) +(Tabela1[[#This Row],[y]]-H$4)*(Tabela1[[#This Row],[y]]-H$4)</f>
        <v>5120</v>
      </c>
      <c r="D2022" s="1">
        <f>IF(Tabela1[[#This Row],[promien]]&lt;40000,1,0)</f>
        <v>1</v>
      </c>
      <c r="E2022" s="1">
        <f>IF(Tabela1[[#This Row],[promien]]=40000,1,0)</f>
        <v>0</v>
      </c>
      <c r="F2022" s="1">
        <v>3.1770524233432247</v>
      </c>
      <c r="G2022" s="1">
        <v>3.5459769753431569E-2</v>
      </c>
    </row>
    <row r="2023" spans="1:7">
      <c r="A2023">
        <v>143</v>
      </c>
      <c r="B2023">
        <v>118</v>
      </c>
      <c r="C2023" s="1">
        <f>(Tabela1[[#This Row],[x]]-H$3)*(Tabela1[[#This Row],[x]]-H$3) +(Tabela1[[#This Row],[y]]-H$4)*(Tabela1[[#This Row],[y]]-H$4)</f>
        <v>9973</v>
      </c>
      <c r="D2023" s="1">
        <f>IF(Tabela1[[#This Row],[promien]]&lt;40000,1,0)</f>
        <v>1</v>
      </c>
      <c r="E2023" s="1">
        <f>IF(Tabela1[[#This Row],[promien]]=40000,1,0)</f>
        <v>0</v>
      </c>
      <c r="F2023" s="1">
        <v>3.1774592189817104</v>
      </c>
      <c r="G2023" s="1">
        <v>3.5866565391917238E-2</v>
      </c>
    </row>
    <row r="2024" spans="1:7">
      <c r="A2024">
        <v>2</v>
      </c>
      <c r="B2024">
        <v>313</v>
      </c>
      <c r="C2024" s="1">
        <f>(Tabela1[[#This Row],[x]]-H$3)*(Tabela1[[#This Row],[x]]-H$3) +(Tabela1[[#This Row],[y]]-H$4)*(Tabela1[[#This Row],[y]]-H$4)</f>
        <v>51973</v>
      </c>
      <c r="D2024" s="1">
        <f>IF(Tabela1[[#This Row],[promien]]&lt;40000,1,0)</f>
        <v>0</v>
      </c>
      <c r="E2024" s="1">
        <f>IF(Tabela1[[#This Row],[promien]]=40000,1,0)</f>
        <v>0</v>
      </c>
      <c r="F2024" s="1">
        <v>3.1758893280632412</v>
      </c>
      <c r="G2024" s="1">
        <v>3.4296674473448086E-2</v>
      </c>
    </row>
    <row r="2025" spans="1:7">
      <c r="A2025">
        <v>304</v>
      </c>
      <c r="B2025">
        <v>190</v>
      </c>
      <c r="C2025" s="1">
        <f>(Tabela1[[#This Row],[x]]-H$3)*(Tabela1[[#This Row],[x]]-H$3) +(Tabela1[[#This Row],[y]]-H$4)*(Tabela1[[#This Row],[y]]-H$4)</f>
        <v>10916</v>
      </c>
      <c r="D2025" s="1">
        <f>IF(Tabela1[[#This Row],[promien]]&lt;40000,1,0)</f>
        <v>1</v>
      </c>
      <c r="E2025" s="1">
        <f>IF(Tabela1[[#This Row],[promien]]=40000,1,0)</f>
        <v>0</v>
      </c>
      <c r="F2025" s="1">
        <v>3.1762962962962962</v>
      </c>
      <c r="G2025" s="1">
        <v>3.4703642706503057E-2</v>
      </c>
    </row>
    <row r="2026" spans="1:7">
      <c r="A2026">
        <v>231</v>
      </c>
      <c r="B2026">
        <v>212</v>
      </c>
      <c r="C2026" s="1">
        <f>(Tabela1[[#This Row],[x]]-H$3)*(Tabela1[[#This Row],[x]]-H$3) +(Tabela1[[#This Row],[y]]-H$4)*(Tabela1[[#This Row],[y]]-H$4)</f>
        <v>1105</v>
      </c>
      <c r="D2026" s="1">
        <f>IF(Tabela1[[#This Row],[promien]]&lt;40000,1,0)</f>
        <v>1</v>
      </c>
      <c r="E2026" s="1">
        <f>IF(Tabela1[[#This Row],[promien]]=40000,1,0)</f>
        <v>0</v>
      </c>
      <c r="F2026" s="1">
        <v>3.1767028627838103</v>
      </c>
      <c r="G2026" s="1">
        <v>3.5110209194017195E-2</v>
      </c>
    </row>
    <row r="2027" spans="1:7">
      <c r="A2027">
        <v>256</v>
      </c>
      <c r="B2027">
        <v>389</v>
      </c>
      <c r="C2027" s="1">
        <f>(Tabela1[[#This Row],[x]]-H$3)*(Tabela1[[#This Row],[x]]-H$3) +(Tabela1[[#This Row],[y]]-H$4)*(Tabela1[[#This Row],[y]]-H$4)</f>
        <v>38857</v>
      </c>
      <c r="D2027" s="1">
        <f>IF(Tabela1[[#This Row],[promien]]&lt;40000,1,0)</f>
        <v>1</v>
      </c>
      <c r="E2027" s="1">
        <f>IF(Tabela1[[#This Row],[promien]]=40000,1,0)</f>
        <v>0</v>
      </c>
      <c r="F2027" s="1">
        <v>3.1771090281203751</v>
      </c>
      <c r="G2027" s="1">
        <v>3.5516374530581984E-2</v>
      </c>
    </row>
    <row r="2028" spans="1:7">
      <c r="A2028">
        <v>259</v>
      </c>
      <c r="B2028">
        <v>9</v>
      </c>
      <c r="C2028" s="1">
        <f>(Tabela1[[#This Row],[x]]-H$3)*(Tabela1[[#This Row],[x]]-H$3) +(Tabela1[[#This Row],[y]]-H$4)*(Tabela1[[#This Row],[y]]-H$4)</f>
        <v>39962</v>
      </c>
      <c r="D2028" s="1">
        <f>IF(Tabela1[[#This Row],[promien]]&lt;40000,1,0)</f>
        <v>1</v>
      </c>
      <c r="E2028" s="1">
        <f>IF(Tabela1[[#This Row],[promien]]=40000,1,0)</f>
        <v>0</v>
      </c>
      <c r="F2028" s="1">
        <v>3.1775147928994083</v>
      </c>
      <c r="G2028" s="1">
        <v>3.5922139309615186E-2</v>
      </c>
    </row>
    <row r="2029" spans="1:7">
      <c r="A2029">
        <v>5</v>
      </c>
      <c r="B2029">
        <v>162</v>
      </c>
      <c r="C2029" s="1">
        <f>(Tabela1[[#This Row],[x]]-H$3)*(Tabela1[[#This Row],[x]]-H$3) +(Tabela1[[#This Row],[y]]-H$4)*(Tabela1[[#This Row],[y]]-H$4)</f>
        <v>39469</v>
      </c>
      <c r="D2029" s="1">
        <f>IF(Tabela1[[#This Row],[promien]]&lt;40000,1,0)</f>
        <v>1</v>
      </c>
      <c r="E2029" s="1">
        <f>IF(Tabela1[[#This Row],[promien]]=40000,1,0)</f>
        <v>0</v>
      </c>
      <c r="F2029" s="1">
        <v>3.1779201577131593</v>
      </c>
      <c r="G2029" s="1">
        <v>3.6327504123366161E-2</v>
      </c>
    </row>
    <row r="2030" spans="1:7">
      <c r="A2030">
        <v>199</v>
      </c>
      <c r="B2030">
        <v>47</v>
      </c>
      <c r="C2030" s="1">
        <f>(Tabela1[[#This Row],[x]]-H$3)*(Tabela1[[#This Row],[x]]-H$3) +(Tabela1[[#This Row],[y]]-H$4)*(Tabela1[[#This Row],[y]]-H$4)</f>
        <v>23410</v>
      </c>
      <c r="D2030" s="1">
        <f>IF(Tabela1[[#This Row],[promien]]&lt;40000,1,0)</f>
        <v>1</v>
      </c>
      <c r="E2030" s="1">
        <f>IF(Tabela1[[#This Row],[promien]]=40000,1,0)</f>
        <v>0</v>
      </c>
      <c r="F2030" s="1">
        <v>3.1783251231527094</v>
      </c>
      <c r="G2030" s="1">
        <v>3.6732469562916314E-2</v>
      </c>
    </row>
    <row r="2031" spans="1:7">
      <c r="A2031">
        <v>136</v>
      </c>
      <c r="B2031">
        <v>258</v>
      </c>
      <c r="C2031" s="1">
        <f>(Tabela1[[#This Row],[x]]-H$3)*(Tabela1[[#This Row],[x]]-H$3) +(Tabela1[[#This Row],[y]]-H$4)*(Tabela1[[#This Row],[y]]-H$4)</f>
        <v>7460</v>
      </c>
      <c r="D2031" s="1">
        <f>IF(Tabela1[[#This Row],[promien]]&lt;40000,1,0)</f>
        <v>1</v>
      </c>
      <c r="E2031" s="1">
        <f>IF(Tabela1[[#This Row],[promien]]=40000,1,0)</f>
        <v>0</v>
      </c>
      <c r="F2031" s="1">
        <v>3.1787296898079762</v>
      </c>
      <c r="G2031" s="1">
        <v>3.7137036218183095E-2</v>
      </c>
    </row>
    <row r="2032" spans="1:7">
      <c r="A2032">
        <v>259</v>
      </c>
      <c r="B2032">
        <v>156</v>
      </c>
      <c r="C2032" s="1">
        <f>(Tabela1[[#This Row],[x]]-H$3)*(Tabela1[[#This Row],[x]]-H$3) +(Tabela1[[#This Row],[y]]-H$4)*(Tabela1[[#This Row],[y]]-H$4)</f>
        <v>5417</v>
      </c>
      <c r="D2032" s="1">
        <f>IF(Tabela1[[#This Row],[promien]]&lt;40000,1,0)</f>
        <v>1</v>
      </c>
      <c r="E2032" s="1">
        <f>IF(Tabela1[[#This Row],[promien]]=40000,1,0)</f>
        <v>0</v>
      </c>
      <c r="F2032" s="1">
        <v>3.1791338582677167</v>
      </c>
      <c r="G2032" s="1">
        <v>3.7541204677923545E-2</v>
      </c>
    </row>
    <row r="2033" spans="1:7">
      <c r="A2033">
        <v>110</v>
      </c>
      <c r="B2033">
        <v>35</v>
      </c>
      <c r="C2033" s="1">
        <f>(Tabela1[[#This Row],[x]]-H$3)*(Tabela1[[#This Row],[x]]-H$3) +(Tabela1[[#This Row],[y]]-H$4)*(Tabela1[[#This Row],[y]]-H$4)</f>
        <v>35325</v>
      </c>
      <c r="D2033" s="1">
        <f>IF(Tabela1[[#This Row],[promien]]&lt;40000,1,0)</f>
        <v>1</v>
      </c>
      <c r="E2033" s="1">
        <f>IF(Tabela1[[#This Row],[promien]]=40000,1,0)</f>
        <v>0</v>
      </c>
      <c r="F2033" s="1">
        <v>3.1795376291195279</v>
      </c>
      <c r="G2033" s="1">
        <v>3.7944975529734748E-2</v>
      </c>
    </row>
    <row r="2034" spans="1:7">
      <c r="A2034">
        <v>262</v>
      </c>
      <c r="B2034">
        <v>389</v>
      </c>
      <c r="C2034" s="1">
        <f>(Tabela1[[#This Row],[x]]-H$3)*(Tabela1[[#This Row],[x]]-H$3) +(Tabela1[[#This Row],[y]]-H$4)*(Tabela1[[#This Row],[y]]-H$4)</f>
        <v>39565</v>
      </c>
      <c r="D2034" s="1">
        <f>IF(Tabela1[[#This Row],[promien]]&lt;40000,1,0)</f>
        <v>1</v>
      </c>
      <c r="E2034" s="1">
        <f>IF(Tabela1[[#This Row],[promien]]=40000,1,0)</f>
        <v>0</v>
      </c>
      <c r="F2034" s="1">
        <v>3.1799410029498527</v>
      </c>
      <c r="G2034" s="1">
        <v>3.8348349360059597E-2</v>
      </c>
    </row>
    <row r="2035" spans="1:7">
      <c r="A2035">
        <v>182</v>
      </c>
      <c r="B2035">
        <v>182</v>
      </c>
      <c r="C2035" s="1">
        <f>(Tabela1[[#This Row],[x]]-H$3)*(Tabela1[[#This Row],[x]]-H$3) +(Tabela1[[#This Row],[y]]-H$4)*(Tabela1[[#This Row],[y]]-H$4)</f>
        <v>648</v>
      </c>
      <c r="D2035" s="1">
        <f>IF(Tabela1[[#This Row],[promien]]&lt;40000,1,0)</f>
        <v>1</v>
      </c>
      <c r="E2035" s="1">
        <f>IF(Tabela1[[#This Row],[promien]]=40000,1,0)</f>
        <v>0</v>
      </c>
      <c r="F2035" s="1">
        <v>3.1803439803439804</v>
      </c>
      <c r="G2035" s="1">
        <v>3.8751326754187243E-2</v>
      </c>
    </row>
    <row r="2036" spans="1:7">
      <c r="A2036">
        <v>368</v>
      </c>
      <c r="B2036">
        <v>381</v>
      </c>
      <c r="C2036" s="1">
        <f>(Tabela1[[#This Row],[x]]-H$3)*(Tabela1[[#This Row],[x]]-H$3) +(Tabela1[[#This Row],[y]]-H$4)*(Tabela1[[#This Row],[y]]-H$4)</f>
        <v>60985</v>
      </c>
      <c r="D2036" s="1">
        <f>IF(Tabela1[[#This Row],[promien]]&lt;40000,1,0)</f>
        <v>0</v>
      </c>
      <c r="E2036" s="1">
        <f>IF(Tabela1[[#This Row],[promien]]=40000,1,0)</f>
        <v>0</v>
      </c>
      <c r="F2036" s="1">
        <v>3.1787819253438112</v>
      </c>
      <c r="G2036" s="1">
        <v>3.7189271754018094E-2</v>
      </c>
    </row>
    <row r="2037" spans="1:7">
      <c r="A2037">
        <v>385</v>
      </c>
      <c r="B2037">
        <v>76</v>
      </c>
      <c r="C2037" s="1">
        <f>(Tabela1[[#This Row],[x]]-H$3)*(Tabela1[[#This Row],[x]]-H$3) +(Tabela1[[#This Row],[y]]-H$4)*(Tabela1[[#This Row],[y]]-H$4)</f>
        <v>49601</v>
      </c>
      <c r="D2037" s="1">
        <f>IF(Tabela1[[#This Row],[promien]]&lt;40000,1,0)</f>
        <v>0</v>
      </c>
      <c r="E2037" s="1">
        <f>IF(Tabela1[[#This Row],[promien]]=40000,1,0)</f>
        <v>0</v>
      </c>
      <c r="F2037" s="1">
        <v>3.1772214040255276</v>
      </c>
      <c r="G2037" s="1">
        <v>3.5628750435734435E-2</v>
      </c>
    </row>
    <row r="2038" spans="1:7">
      <c r="A2038">
        <v>85</v>
      </c>
      <c r="B2038">
        <v>326</v>
      </c>
      <c r="C2038" s="1">
        <f>(Tabela1[[#This Row],[x]]-H$3)*(Tabela1[[#This Row],[x]]-H$3) +(Tabela1[[#This Row],[y]]-H$4)*(Tabela1[[#This Row],[y]]-H$4)</f>
        <v>29101</v>
      </c>
      <c r="D2038" s="1">
        <f>IF(Tabela1[[#This Row],[promien]]&lt;40000,1,0)</f>
        <v>1</v>
      </c>
      <c r="E2038" s="1">
        <f>IF(Tabela1[[#This Row],[promien]]=40000,1,0)</f>
        <v>0</v>
      </c>
      <c r="F2038" s="1">
        <v>3.1776251226692835</v>
      </c>
      <c r="G2038" s="1">
        <v>3.6032469079490426E-2</v>
      </c>
    </row>
    <row r="2039" spans="1:7">
      <c r="A2039">
        <v>289</v>
      </c>
      <c r="B2039">
        <v>185</v>
      </c>
      <c r="C2039" s="1">
        <f>(Tabela1[[#This Row],[x]]-H$3)*(Tabela1[[#This Row],[x]]-H$3) +(Tabela1[[#This Row],[y]]-H$4)*(Tabela1[[#This Row],[y]]-H$4)</f>
        <v>8146</v>
      </c>
      <c r="D2039" s="1">
        <f>IF(Tabela1[[#This Row],[promien]]&lt;40000,1,0)</f>
        <v>1</v>
      </c>
      <c r="E2039" s="1">
        <f>IF(Tabela1[[#This Row],[promien]]=40000,1,0)</f>
        <v>0</v>
      </c>
      <c r="F2039" s="1">
        <v>3.1780284453163317</v>
      </c>
      <c r="G2039" s="1">
        <v>3.6435791726538547E-2</v>
      </c>
    </row>
    <row r="2040" spans="1:7">
      <c r="A2040">
        <v>355</v>
      </c>
      <c r="B2040">
        <v>208</v>
      </c>
      <c r="C2040" s="1">
        <f>(Tabela1[[#This Row],[x]]-H$3)*(Tabela1[[#This Row],[x]]-H$3) +(Tabela1[[#This Row],[y]]-H$4)*(Tabela1[[#This Row],[y]]-H$4)</f>
        <v>24089</v>
      </c>
      <c r="D2040" s="1">
        <f>IF(Tabela1[[#This Row],[promien]]&lt;40000,1,0)</f>
        <v>1</v>
      </c>
      <c r="E2040" s="1">
        <f>IF(Tabela1[[#This Row],[promien]]=40000,1,0)</f>
        <v>0</v>
      </c>
      <c r="F2040" s="1">
        <v>3.1784313725490194</v>
      </c>
      <c r="G2040" s="1">
        <v>3.6838718959226302E-2</v>
      </c>
    </row>
    <row r="2041" spans="1:7">
      <c r="A2041">
        <v>185</v>
      </c>
      <c r="B2041">
        <v>235</v>
      </c>
      <c r="C2041" s="1">
        <f>(Tabela1[[#This Row],[x]]-H$3)*(Tabela1[[#This Row],[x]]-H$3) +(Tabela1[[#This Row],[y]]-H$4)*(Tabela1[[#This Row],[y]]-H$4)</f>
        <v>1450</v>
      </c>
      <c r="D2041" s="1">
        <f>IF(Tabela1[[#This Row],[promien]]&lt;40000,1,0)</f>
        <v>1</v>
      </c>
      <c r="E2041" s="1">
        <f>IF(Tabela1[[#This Row],[promien]]=40000,1,0)</f>
        <v>0</v>
      </c>
      <c r="F2041" s="1">
        <v>3.1788339049485548</v>
      </c>
      <c r="G2041" s="1">
        <v>3.7241251358761662E-2</v>
      </c>
    </row>
    <row r="2042" spans="1:7">
      <c r="A2042">
        <v>272</v>
      </c>
      <c r="B2042">
        <v>247</v>
      </c>
      <c r="C2042" s="1">
        <f>(Tabela1[[#This Row],[x]]-H$3)*(Tabela1[[#This Row],[x]]-H$3) +(Tabela1[[#This Row],[y]]-H$4)*(Tabela1[[#This Row],[y]]-H$4)</f>
        <v>7393</v>
      </c>
      <c r="D2042" s="1">
        <f>IF(Tabela1[[#This Row],[promien]]&lt;40000,1,0)</f>
        <v>1</v>
      </c>
      <c r="E2042" s="1">
        <f>IF(Tabela1[[#This Row],[promien]]=40000,1,0)</f>
        <v>0</v>
      </c>
      <c r="F2042" s="1">
        <v>3.1792360430950048</v>
      </c>
      <c r="G2042" s="1">
        <v>3.7643389505211733E-2</v>
      </c>
    </row>
    <row r="2043" spans="1:7">
      <c r="A2043">
        <v>387</v>
      </c>
      <c r="B2043">
        <v>9</v>
      </c>
      <c r="C2043" s="1">
        <f>(Tabela1[[#This Row],[x]]-H$3)*(Tabela1[[#This Row],[x]]-H$3) +(Tabela1[[#This Row],[y]]-H$4)*(Tabela1[[#This Row],[y]]-H$4)</f>
        <v>71450</v>
      </c>
      <c r="D2043" s="1">
        <f>IF(Tabela1[[#This Row],[promien]]&lt;40000,1,0)</f>
        <v>0</v>
      </c>
      <c r="E2043" s="1">
        <f>IF(Tabela1[[#This Row],[promien]]=40000,1,0)</f>
        <v>0</v>
      </c>
      <c r="F2043" s="1">
        <v>3.1776798825256973</v>
      </c>
      <c r="G2043" s="1">
        <v>3.6087228935904214E-2</v>
      </c>
    </row>
    <row r="2044" spans="1:7">
      <c r="A2044">
        <v>328</v>
      </c>
      <c r="B2044">
        <v>159</v>
      </c>
      <c r="C2044" s="1">
        <f>(Tabela1[[#This Row],[x]]-H$3)*(Tabela1[[#This Row],[x]]-H$3) +(Tabela1[[#This Row],[y]]-H$4)*(Tabela1[[#This Row],[y]]-H$4)</f>
        <v>18065</v>
      </c>
      <c r="D2044" s="1">
        <f>IF(Tabela1[[#This Row],[promien]]&lt;40000,1,0)</f>
        <v>1</v>
      </c>
      <c r="E2044" s="1">
        <f>IF(Tabela1[[#This Row],[promien]]=40000,1,0)</f>
        <v>0</v>
      </c>
      <c r="F2044" s="1">
        <v>3.1780821917808217</v>
      </c>
      <c r="G2044" s="1">
        <v>3.6489538191028625E-2</v>
      </c>
    </row>
    <row r="2045" spans="1:7">
      <c r="A2045">
        <v>317</v>
      </c>
      <c r="B2045">
        <v>288</v>
      </c>
      <c r="C2045" s="1">
        <f>(Tabela1[[#This Row],[x]]-H$3)*(Tabela1[[#This Row],[x]]-H$3) +(Tabela1[[#This Row],[y]]-H$4)*(Tabela1[[#This Row],[y]]-H$4)</f>
        <v>21433</v>
      </c>
      <c r="D2045" s="1">
        <f>IF(Tabela1[[#This Row],[promien]]&lt;40000,1,0)</f>
        <v>1</v>
      </c>
      <c r="E2045" s="1">
        <f>IF(Tabela1[[#This Row],[promien]]=40000,1,0)</f>
        <v>0</v>
      </c>
      <c r="F2045" s="1">
        <v>3.1784841075794623</v>
      </c>
      <c r="G2045" s="1">
        <v>3.6891453989669198E-2</v>
      </c>
    </row>
    <row r="2046" spans="1:7">
      <c r="A2046">
        <v>296</v>
      </c>
      <c r="B2046">
        <v>371</v>
      </c>
      <c r="C2046" s="1">
        <f>(Tabela1[[#This Row],[x]]-H$3)*(Tabela1[[#This Row],[x]]-H$3) +(Tabela1[[#This Row],[y]]-H$4)*(Tabela1[[#This Row],[y]]-H$4)</f>
        <v>38457</v>
      </c>
      <c r="D2046" s="1">
        <f>IF(Tabela1[[#This Row],[promien]]&lt;40000,1,0)</f>
        <v>1</v>
      </c>
      <c r="E2046" s="1">
        <f>IF(Tabela1[[#This Row],[promien]]=40000,1,0)</f>
        <v>0</v>
      </c>
      <c r="F2046" s="1">
        <v>3.1788856304985336</v>
      </c>
      <c r="G2046" s="1">
        <v>3.7292976908740449E-2</v>
      </c>
    </row>
    <row r="2047" spans="1:7">
      <c r="A2047">
        <v>117</v>
      </c>
      <c r="B2047">
        <v>306</v>
      </c>
      <c r="C2047" s="1">
        <f>(Tabela1[[#This Row],[x]]-H$3)*(Tabela1[[#This Row],[x]]-H$3) +(Tabela1[[#This Row],[y]]-H$4)*(Tabela1[[#This Row],[y]]-H$4)</f>
        <v>18125</v>
      </c>
      <c r="D2047" s="1">
        <f>IF(Tabela1[[#This Row],[promien]]&lt;40000,1,0)</f>
        <v>1</v>
      </c>
      <c r="E2047" s="1">
        <f>IF(Tabela1[[#This Row],[promien]]=40000,1,0)</f>
        <v>0</v>
      </c>
      <c r="F2047" s="1">
        <v>3.1792867611138251</v>
      </c>
      <c r="G2047" s="1">
        <v>3.7694107524032017E-2</v>
      </c>
    </row>
    <row r="2048" spans="1:7">
      <c r="A2048">
        <v>156</v>
      </c>
      <c r="B2048">
        <v>138</v>
      </c>
      <c r="C2048" s="1">
        <f>(Tabela1[[#This Row],[x]]-H$3)*(Tabela1[[#This Row],[x]]-H$3) +(Tabela1[[#This Row],[y]]-H$4)*(Tabela1[[#This Row],[y]]-H$4)</f>
        <v>5780</v>
      </c>
      <c r="D2048" s="1">
        <f>IF(Tabela1[[#This Row],[promien]]&lt;40000,1,0)</f>
        <v>1</v>
      </c>
      <c r="E2048" s="1">
        <f>IF(Tabela1[[#This Row],[promien]]=40000,1,0)</f>
        <v>0</v>
      </c>
      <c r="F2048" s="1">
        <v>3.1796875</v>
      </c>
      <c r="G2048" s="1">
        <v>3.8094846410206884E-2</v>
      </c>
    </row>
    <row r="2049" spans="1:7">
      <c r="A2049">
        <v>138</v>
      </c>
      <c r="B2049">
        <v>260</v>
      </c>
      <c r="C2049" s="1">
        <f>(Tabela1[[#This Row],[x]]-H$3)*(Tabela1[[#This Row],[x]]-H$3) +(Tabela1[[#This Row],[y]]-H$4)*(Tabela1[[#This Row],[y]]-H$4)</f>
        <v>7444</v>
      </c>
      <c r="D2049" s="1">
        <f>IF(Tabela1[[#This Row],[promien]]&lt;40000,1,0)</f>
        <v>1</v>
      </c>
      <c r="E2049" s="1">
        <f>IF(Tabela1[[#This Row],[promien]]=40000,1,0)</f>
        <v>0</v>
      </c>
      <c r="F2049" s="1">
        <v>3.1800878477306003</v>
      </c>
      <c r="G2049" s="1">
        <v>3.8495194140807154E-2</v>
      </c>
    </row>
    <row r="2050" spans="1:7">
      <c r="A2050">
        <v>98</v>
      </c>
      <c r="B2050">
        <v>287</v>
      </c>
      <c r="C2050" s="1">
        <f>(Tabela1[[#This Row],[x]]-H$3)*(Tabela1[[#This Row],[x]]-H$3) +(Tabela1[[#This Row],[y]]-H$4)*(Tabela1[[#This Row],[y]]-H$4)</f>
        <v>17973</v>
      </c>
      <c r="D2050" s="1">
        <f>IF(Tabela1[[#This Row],[promien]]&lt;40000,1,0)</f>
        <v>1</v>
      </c>
      <c r="E2050" s="1">
        <f>IF(Tabela1[[#This Row],[promien]]=40000,1,0)</f>
        <v>0</v>
      </c>
      <c r="F2050" s="1">
        <v>3.1804878048780489</v>
      </c>
      <c r="G2050" s="1">
        <v>3.8895151288255825E-2</v>
      </c>
    </row>
    <row r="2051" spans="1:7">
      <c r="A2051">
        <v>332</v>
      </c>
      <c r="B2051">
        <v>256</v>
      </c>
      <c r="C2051" s="1">
        <f>(Tabela1[[#This Row],[x]]-H$3)*(Tabela1[[#This Row],[x]]-H$3) +(Tabela1[[#This Row],[y]]-H$4)*(Tabela1[[#This Row],[y]]-H$4)</f>
        <v>20560</v>
      </c>
      <c r="D2051" s="1">
        <f>IF(Tabela1[[#This Row],[promien]]&lt;40000,1,0)</f>
        <v>1</v>
      </c>
      <c r="E2051" s="1">
        <f>IF(Tabela1[[#This Row],[promien]]=40000,1,0)</f>
        <v>0</v>
      </c>
      <c r="F2051" s="1">
        <v>3.1808873720136517</v>
      </c>
      <c r="G2051" s="1">
        <v>3.9294718423858566E-2</v>
      </c>
    </row>
    <row r="2052" spans="1:7">
      <c r="A2052">
        <v>202</v>
      </c>
      <c r="B2052">
        <v>380</v>
      </c>
      <c r="C2052" s="1">
        <f>(Tabela1[[#This Row],[x]]-H$3)*(Tabela1[[#This Row],[x]]-H$3) +(Tabela1[[#This Row],[y]]-H$4)*(Tabela1[[#This Row],[y]]-H$4)</f>
        <v>32404</v>
      </c>
      <c r="D2052" s="1">
        <f>IF(Tabela1[[#This Row],[promien]]&lt;40000,1,0)</f>
        <v>1</v>
      </c>
      <c r="E2052" s="1">
        <f>IF(Tabela1[[#This Row],[promien]]=40000,1,0)</f>
        <v>0</v>
      </c>
      <c r="F2052" s="1">
        <v>3.1812865497076022</v>
      </c>
      <c r="G2052" s="1">
        <v>3.9693896117809047E-2</v>
      </c>
    </row>
    <row r="2053" spans="1:7">
      <c r="A2053">
        <v>280</v>
      </c>
      <c r="B2053">
        <v>48</v>
      </c>
      <c r="C2053" s="1">
        <f>(Tabela1[[#This Row],[x]]-H$3)*(Tabela1[[#This Row],[x]]-H$3) +(Tabela1[[#This Row],[y]]-H$4)*(Tabela1[[#This Row],[y]]-H$4)</f>
        <v>29504</v>
      </c>
      <c r="D2053" s="1">
        <f>IF(Tabela1[[#This Row],[promien]]&lt;40000,1,0)</f>
        <v>1</v>
      </c>
      <c r="E2053" s="1">
        <f>IF(Tabela1[[#This Row],[promien]]=40000,1,0)</f>
        <v>0</v>
      </c>
      <c r="F2053" s="1">
        <v>3.1816853385289821</v>
      </c>
      <c r="G2053" s="1">
        <v>4.0092684939188938E-2</v>
      </c>
    </row>
    <row r="2054" spans="1:7">
      <c r="A2054">
        <v>70</v>
      </c>
      <c r="B2054">
        <v>192</v>
      </c>
      <c r="C2054" s="1">
        <f>(Tabela1[[#This Row],[x]]-H$3)*(Tabela1[[#This Row],[x]]-H$3) +(Tabela1[[#This Row],[y]]-H$4)*(Tabela1[[#This Row],[y]]-H$4)</f>
        <v>16964</v>
      </c>
      <c r="D2054" s="1">
        <f>IF(Tabela1[[#This Row],[promien]]&lt;40000,1,0)</f>
        <v>1</v>
      </c>
      <c r="E2054" s="1">
        <f>IF(Tabela1[[#This Row],[promien]]=40000,1,0)</f>
        <v>0</v>
      </c>
      <c r="F2054" s="1">
        <v>3.1820837390457646</v>
      </c>
      <c r="G2054" s="1">
        <v>4.0491085455971465E-2</v>
      </c>
    </row>
    <row r="2055" spans="1:7">
      <c r="A2055">
        <v>373</v>
      </c>
      <c r="B2055">
        <v>324</v>
      </c>
      <c r="C2055" s="1">
        <f>(Tabela1[[#This Row],[x]]-H$3)*(Tabela1[[#This Row],[x]]-H$3) +(Tabela1[[#This Row],[y]]-H$4)*(Tabela1[[#This Row],[y]]-H$4)</f>
        <v>45305</v>
      </c>
      <c r="D2055" s="1">
        <f>IF(Tabela1[[#This Row],[promien]]&lt;40000,1,0)</f>
        <v>0</v>
      </c>
      <c r="E2055" s="1">
        <f>IF(Tabela1[[#This Row],[promien]]=40000,1,0)</f>
        <v>0</v>
      </c>
      <c r="F2055" s="1">
        <v>3.180535279805353</v>
      </c>
      <c r="G2055" s="1">
        <v>3.8942626215559883E-2</v>
      </c>
    </row>
    <row r="2056" spans="1:7">
      <c r="A2056">
        <v>309</v>
      </c>
      <c r="B2056">
        <v>330</v>
      </c>
      <c r="C2056" s="1">
        <f>(Tabela1[[#This Row],[x]]-H$3)*(Tabela1[[#This Row],[x]]-H$3) +(Tabela1[[#This Row],[y]]-H$4)*(Tabela1[[#This Row],[y]]-H$4)</f>
        <v>28781</v>
      </c>
      <c r="D2056" s="1">
        <f>IF(Tabela1[[#This Row],[promien]]&lt;40000,1,0)</f>
        <v>1</v>
      </c>
      <c r="E2056" s="1">
        <f>IF(Tabela1[[#This Row],[promien]]=40000,1,0)</f>
        <v>0</v>
      </c>
      <c r="F2056" s="1">
        <v>3.1809338521400776</v>
      </c>
      <c r="G2056" s="1">
        <v>3.9341198550284506E-2</v>
      </c>
    </row>
    <row r="2057" spans="1:7">
      <c r="A2057">
        <v>252</v>
      </c>
      <c r="B2057">
        <v>269</v>
      </c>
      <c r="C2057" s="1">
        <f>(Tabela1[[#This Row],[x]]-H$3)*(Tabela1[[#This Row],[x]]-H$3) +(Tabela1[[#This Row],[y]]-H$4)*(Tabela1[[#This Row],[y]]-H$4)</f>
        <v>7465</v>
      </c>
      <c r="D2057" s="1">
        <f>IF(Tabela1[[#This Row],[promien]]&lt;40000,1,0)</f>
        <v>1</v>
      </c>
      <c r="E2057" s="1">
        <f>IF(Tabela1[[#This Row],[promien]]=40000,1,0)</f>
        <v>0</v>
      </c>
      <c r="F2057" s="1">
        <v>3.1813320369470102</v>
      </c>
      <c r="G2057" s="1">
        <v>3.9739383357217051E-2</v>
      </c>
    </row>
    <row r="2058" spans="1:7">
      <c r="A2058">
        <v>38</v>
      </c>
      <c r="B2058">
        <v>279</v>
      </c>
      <c r="C2058" s="1">
        <f>(Tabela1[[#This Row],[x]]-H$3)*(Tabela1[[#This Row],[x]]-H$3) +(Tabela1[[#This Row],[y]]-H$4)*(Tabela1[[#This Row],[y]]-H$4)</f>
        <v>32485</v>
      </c>
      <c r="D2058" s="1">
        <f>IF(Tabela1[[#This Row],[promien]]&lt;40000,1,0)</f>
        <v>1</v>
      </c>
      <c r="E2058" s="1">
        <f>IF(Tabela1[[#This Row],[promien]]=40000,1,0)</f>
        <v>0</v>
      </c>
      <c r="F2058" s="1">
        <v>3.1817298347910592</v>
      </c>
      <c r="G2058" s="1">
        <v>4.0137181201266081E-2</v>
      </c>
    </row>
    <row r="2059" spans="1:7">
      <c r="A2059">
        <v>130</v>
      </c>
      <c r="B2059">
        <v>229</v>
      </c>
      <c r="C2059" s="1">
        <f>(Tabela1[[#This Row],[x]]-H$3)*(Tabela1[[#This Row],[x]]-H$3) +(Tabela1[[#This Row],[y]]-H$4)*(Tabela1[[#This Row],[y]]-H$4)</f>
        <v>5741</v>
      </c>
      <c r="D2059" s="1">
        <f>IF(Tabela1[[#This Row],[promien]]&lt;40000,1,0)</f>
        <v>1</v>
      </c>
      <c r="E2059" s="1">
        <f>IF(Tabela1[[#This Row],[promien]]=40000,1,0)</f>
        <v>0</v>
      </c>
      <c r="F2059" s="1">
        <v>3.1821272462360368</v>
      </c>
      <c r="G2059" s="1">
        <v>4.0534592646243706E-2</v>
      </c>
    </row>
    <row r="2060" spans="1:7">
      <c r="A2060">
        <v>86</v>
      </c>
      <c r="B2060">
        <v>146</v>
      </c>
      <c r="C2060" s="1">
        <f>(Tabela1[[#This Row],[x]]-H$3)*(Tabela1[[#This Row],[x]]-H$3) +(Tabela1[[#This Row],[y]]-H$4)*(Tabela1[[#This Row],[y]]-H$4)</f>
        <v>15912</v>
      </c>
      <c r="D2060" s="1">
        <f>IF(Tabela1[[#This Row],[promien]]&lt;40000,1,0)</f>
        <v>1</v>
      </c>
      <c r="E2060" s="1">
        <f>IF(Tabela1[[#This Row],[promien]]=40000,1,0)</f>
        <v>0</v>
      </c>
      <c r="F2060" s="1">
        <v>3.18252427184466</v>
      </c>
      <c r="G2060" s="1">
        <v>4.0931618254866908E-2</v>
      </c>
    </row>
    <row r="2061" spans="1:7">
      <c r="A2061">
        <v>339</v>
      </c>
      <c r="B2061">
        <v>326</v>
      </c>
      <c r="C2061" s="1">
        <f>(Tabela1[[#This Row],[x]]-H$3)*(Tabela1[[#This Row],[x]]-H$3) +(Tabela1[[#This Row],[y]]-H$4)*(Tabela1[[#This Row],[y]]-H$4)</f>
        <v>35197</v>
      </c>
      <c r="D2061" s="1">
        <f>IF(Tabela1[[#This Row],[promien]]&lt;40000,1,0)</f>
        <v>1</v>
      </c>
      <c r="E2061" s="1">
        <f>IF(Tabela1[[#This Row],[promien]]=40000,1,0)</f>
        <v>0</v>
      </c>
      <c r="F2061" s="1">
        <v>3.1829209121785542</v>
      </c>
      <c r="G2061" s="1">
        <v>4.1328258588761102E-2</v>
      </c>
    </row>
    <row r="2062" spans="1:7">
      <c r="A2062">
        <v>215</v>
      </c>
      <c r="B2062">
        <v>97</v>
      </c>
      <c r="C2062" s="1">
        <f>(Tabela1[[#This Row],[x]]-H$3)*(Tabela1[[#This Row],[x]]-H$3) +(Tabela1[[#This Row],[y]]-H$4)*(Tabela1[[#This Row],[y]]-H$4)</f>
        <v>10834</v>
      </c>
      <c r="D2062" s="1">
        <f>IF(Tabela1[[#This Row],[promien]]&lt;40000,1,0)</f>
        <v>1</v>
      </c>
      <c r="E2062" s="1">
        <f>IF(Tabela1[[#This Row],[promien]]=40000,1,0)</f>
        <v>0</v>
      </c>
      <c r="F2062" s="1">
        <v>3.1833171677982541</v>
      </c>
      <c r="G2062" s="1">
        <v>4.1724514208461017E-2</v>
      </c>
    </row>
    <row r="2063" spans="1:7">
      <c r="A2063">
        <v>175</v>
      </c>
      <c r="B2063">
        <v>318</v>
      </c>
      <c r="C2063" s="1">
        <f>(Tabela1[[#This Row],[x]]-H$3)*(Tabela1[[#This Row],[x]]-H$3) +(Tabela1[[#This Row],[y]]-H$4)*(Tabela1[[#This Row],[y]]-H$4)</f>
        <v>14549</v>
      </c>
      <c r="D2063" s="1">
        <f>IF(Tabela1[[#This Row],[promien]]&lt;40000,1,0)</f>
        <v>1</v>
      </c>
      <c r="E2063" s="1">
        <f>IF(Tabela1[[#This Row],[promien]]=40000,1,0)</f>
        <v>0</v>
      </c>
      <c r="F2063" s="1">
        <v>3.1837130392632087</v>
      </c>
      <c r="G2063" s="1">
        <v>4.2120385673415583E-2</v>
      </c>
    </row>
    <row r="2064" spans="1:7">
      <c r="A2064">
        <v>1</v>
      </c>
      <c r="B2064">
        <v>205</v>
      </c>
      <c r="C2064" s="1">
        <f>(Tabela1[[#This Row],[x]]-H$3)*(Tabela1[[#This Row],[x]]-H$3) +(Tabela1[[#This Row],[y]]-H$4)*(Tabela1[[#This Row],[y]]-H$4)</f>
        <v>39626</v>
      </c>
      <c r="D2064" s="1">
        <f>IF(Tabela1[[#This Row],[promien]]&lt;40000,1,0)</f>
        <v>1</v>
      </c>
      <c r="E2064" s="1">
        <f>IF(Tabela1[[#This Row],[promien]]=40000,1,0)</f>
        <v>0</v>
      </c>
      <c r="F2064" s="1">
        <v>3.1841085271317828</v>
      </c>
      <c r="G2064" s="1">
        <v>4.2515873541989713E-2</v>
      </c>
    </row>
    <row r="2065" spans="1:7">
      <c r="A2065">
        <v>324</v>
      </c>
      <c r="B2065">
        <v>301</v>
      </c>
      <c r="C2065" s="1">
        <f>(Tabela1[[#This Row],[x]]-H$3)*(Tabela1[[#This Row],[x]]-H$3) +(Tabela1[[#This Row],[y]]-H$4)*(Tabela1[[#This Row],[y]]-H$4)</f>
        <v>25577</v>
      </c>
      <c r="D2065" s="1">
        <f>IF(Tabela1[[#This Row],[promien]]&lt;40000,1,0)</f>
        <v>1</v>
      </c>
      <c r="E2065" s="1">
        <f>IF(Tabela1[[#This Row],[promien]]=40000,1,0)</f>
        <v>0</v>
      </c>
      <c r="F2065" s="1">
        <v>3.1845036319612592</v>
      </c>
      <c r="G2065" s="1">
        <v>4.2910978371466069E-2</v>
      </c>
    </row>
    <row r="2066" spans="1:7">
      <c r="A2066">
        <v>326</v>
      </c>
      <c r="B2066">
        <v>68</v>
      </c>
      <c r="C2066" s="1">
        <f>(Tabela1[[#This Row],[x]]-H$3)*(Tabela1[[#This Row],[x]]-H$3) +(Tabela1[[#This Row],[y]]-H$4)*(Tabela1[[#This Row],[y]]-H$4)</f>
        <v>33300</v>
      </c>
      <c r="D2066" s="1">
        <f>IF(Tabela1[[#This Row],[promien]]&lt;40000,1,0)</f>
        <v>1</v>
      </c>
      <c r="E2066" s="1">
        <f>IF(Tabela1[[#This Row],[promien]]=40000,1,0)</f>
        <v>0</v>
      </c>
      <c r="F2066" s="1">
        <v>3.1848983543078413</v>
      </c>
      <c r="G2066" s="1">
        <v>4.3305700718048179E-2</v>
      </c>
    </row>
    <row r="2067" spans="1:7">
      <c r="A2067">
        <v>395</v>
      </c>
      <c r="B2067">
        <v>384</v>
      </c>
      <c r="C2067" s="1">
        <f>(Tabela1[[#This Row],[x]]-H$3)*(Tabela1[[#This Row],[x]]-H$3) +(Tabela1[[#This Row],[y]]-H$4)*(Tabela1[[#This Row],[y]]-H$4)</f>
        <v>71881</v>
      </c>
      <c r="D2067" s="1">
        <f>IF(Tabela1[[#This Row],[promien]]&lt;40000,1,0)</f>
        <v>0</v>
      </c>
      <c r="E2067" s="1">
        <f>IF(Tabela1[[#This Row],[promien]]=40000,1,0)</f>
        <v>0</v>
      </c>
      <c r="F2067" s="1">
        <v>3.1833575229801645</v>
      </c>
      <c r="G2067" s="1">
        <v>4.1764869390371384E-2</v>
      </c>
    </row>
    <row r="2068" spans="1:7">
      <c r="A2068">
        <v>372</v>
      </c>
      <c r="B2068">
        <v>328</v>
      </c>
      <c r="C2068" s="1">
        <f>(Tabela1[[#This Row],[x]]-H$3)*(Tabela1[[#This Row],[x]]-H$3) +(Tabela1[[#This Row],[y]]-H$4)*(Tabela1[[#This Row],[y]]-H$4)</f>
        <v>45968</v>
      </c>
      <c r="D2068" s="1">
        <f>IF(Tabela1[[#This Row],[promien]]&lt;40000,1,0)</f>
        <v>0</v>
      </c>
      <c r="E2068" s="1">
        <f>IF(Tabela1[[#This Row],[promien]]=40000,1,0)</f>
        <v>0</v>
      </c>
      <c r="F2068" s="1">
        <v>3.1818181818181817</v>
      </c>
      <c r="G2068" s="1">
        <v>4.0225528228388541E-2</v>
      </c>
    </row>
    <row r="2069" spans="1:7">
      <c r="A2069">
        <v>311</v>
      </c>
      <c r="B2069">
        <v>384</v>
      </c>
      <c r="C2069" s="1">
        <f>(Tabela1[[#This Row],[x]]-H$3)*(Tabela1[[#This Row],[x]]-H$3) +(Tabela1[[#This Row],[y]]-H$4)*(Tabela1[[#This Row],[y]]-H$4)</f>
        <v>46177</v>
      </c>
      <c r="D2069" s="1">
        <f>IF(Tabela1[[#This Row],[promien]]&lt;40000,1,0)</f>
        <v>0</v>
      </c>
      <c r="E2069" s="1">
        <f>IF(Tabela1[[#This Row],[promien]]=40000,1,0)</f>
        <v>0</v>
      </c>
      <c r="F2069" s="1">
        <v>3.1802803286611891</v>
      </c>
      <c r="G2069" s="1">
        <v>3.8687675071396033E-2</v>
      </c>
    </row>
    <row r="2070" spans="1:7">
      <c r="A2070">
        <v>52</v>
      </c>
      <c r="B2070">
        <v>330</v>
      </c>
      <c r="C2070" s="1">
        <f>(Tabela1[[#This Row],[x]]-H$3)*(Tabela1[[#This Row],[x]]-H$3) +(Tabela1[[#This Row],[y]]-H$4)*(Tabela1[[#This Row],[y]]-H$4)</f>
        <v>38804</v>
      </c>
      <c r="D2070" s="1">
        <f>IF(Tabela1[[#This Row],[promien]]&lt;40000,1,0)</f>
        <v>1</v>
      </c>
      <c r="E2070" s="1">
        <f>IF(Tabela1[[#This Row],[promien]]=40000,1,0)</f>
        <v>0</v>
      </c>
      <c r="F2070" s="1">
        <v>3.1806763285024156</v>
      </c>
      <c r="G2070" s="1">
        <v>3.9083674912622435E-2</v>
      </c>
    </row>
    <row r="2071" spans="1:7">
      <c r="A2071">
        <v>133</v>
      </c>
      <c r="B2071">
        <v>294</v>
      </c>
      <c r="C2071" s="1">
        <f>(Tabela1[[#This Row],[x]]-H$3)*(Tabela1[[#This Row],[x]]-H$3) +(Tabela1[[#This Row],[y]]-H$4)*(Tabela1[[#This Row],[y]]-H$4)</f>
        <v>13325</v>
      </c>
      <c r="D2071" s="1">
        <f>IF(Tabela1[[#This Row],[promien]]&lt;40000,1,0)</f>
        <v>1</v>
      </c>
      <c r="E2071" s="1">
        <f>IF(Tabela1[[#This Row],[promien]]=40000,1,0)</f>
        <v>0</v>
      </c>
      <c r="F2071" s="1">
        <v>3.1810719459198453</v>
      </c>
      <c r="G2071" s="1">
        <v>3.9479292330052207E-2</v>
      </c>
    </row>
    <row r="2072" spans="1:7">
      <c r="A2072">
        <v>263</v>
      </c>
      <c r="B2072">
        <v>270</v>
      </c>
      <c r="C2072" s="1">
        <f>(Tabela1[[#This Row],[x]]-H$3)*(Tabela1[[#This Row],[x]]-H$3) +(Tabela1[[#This Row],[y]]-H$4)*(Tabela1[[#This Row],[y]]-H$4)</f>
        <v>8869</v>
      </c>
      <c r="D2072" s="1">
        <f>IF(Tabela1[[#This Row],[promien]]&lt;40000,1,0)</f>
        <v>1</v>
      </c>
      <c r="E2072" s="1">
        <f>IF(Tabela1[[#This Row],[promien]]=40000,1,0)</f>
        <v>0</v>
      </c>
      <c r="F2072" s="1">
        <v>3.1814671814671813</v>
      </c>
      <c r="G2072" s="1">
        <v>3.9874527877388211E-2</v>
      </c>
    </row>
    <row r="2073" spans="1:7">
      <c r="A2073">
        <v>31</v>
      </c>
      <c r="B2073">
        <v>264</v>
      </c>
      <c r="C2073" s="1">
        <f>(Tabela1[[#This Row],[x]]-H$3)*(Tabela1[[#This Row],[x]]-H$3) +(Tabela1[[#This Row],[y]]-H$4)*(Tabela1[[#This Row],[y]]-H$4)</f>
        <v>32657</v>
      </c>
      <c r="D2073" s="1">
        <f>IF(Tabela1[[#This Row],[promien]]&lt;40000,1,0)</f>
        <v>1</v>
      </c>
      <c r="E2073" s="1">
        <f>IF(Tabela1[[#This Row],[promien]]=40000,1,0)</f>
        <v>0</v>
      </c>
      <c r="F2073" s="1">
        <v>3.1818620356970575</v>
      </c>
      <c r="G2073" s="1">
        <v>4.0269382107264384E-2</v>
      </c>
    </row>
    <row r="2074" spans="1:7">
      <c r="A2074">
        <v>252</v>
      </c>
      <c r="B2074">
        <v>68</v>
      </c>
      <c r="C2074" s="1">
        <f>(Tabela1[[#This Row],[x]]-H$3)*(Tabela1[[#This Row],[x]]-H$3) +(Tabela1[[#This Row],[y]]-H$4)*(Tabela1[[#This Row],[y]]-H$4)</f>
        <v>20128</v>
      </c>
      <c r="D2074" s="1">
        <f>IF(Tabela1[[#This Row],[promien]]&lt;40000,1,0)</f>
        <v>1</v>
      </c>
      <c r="E2074" s="1">
        <f>IF(Tabela1[[#This Row],[promien]]=40000,1,0)</f>
        <v>0</v>
      </c>
      <c r="F2074" s="1">
        <v>3.1822565091610415</v>
      </c>
      <c r="G2074" s="1">
        <v>4.0663855571248408E-2</v>
      </c>
    </row>
    <row r="2075" spans="1:7">
      <c r="A2075">
        <v>6</v>
      </c>
      <c r="B2075">
        <v>285</v>
      </c>
      <c r="C2075" s="1">
        <f>(Tabela1[[#This Row],[x]]-H$3)*(Tabela1[[#This Row],[x]]-H$3) +(Tabela1[[#This Row],[y]]-H$4)*(Tabela1[[#This Row],[y]]-H$4)</f>
        <v>44861</v>
      </c>
      <c r="D2075" s="1">
        <f>IF(Tabela1[[#This Row],[promien]]&lt;40000,1,0)</f>
        <v>0</v>
      </c>
      <c r="E2075" s="1">
        <f>IF(Tabela1[[#This Row],[promien]]=40000,1,0)</f>
        <v>0</v>
      </c>
      <c r="F2075" s="1">
        <v>3.1807228915662651</v>
      </c>
      <c r="G2075" s="1">
        <v>3.9130237976471971E-2</v>
      </c>
    </row>
    <row r="2076" spans="1:7">
      <c r="A2076">
        <v>127</v>
      </c>
      <c r="B2076">
        <v>264</v>
      </c>
      <c r="C2076" s="1">
        <f>(Tabela1[[#This Row],[x]]-H$3)*(Tabela1[[#This Row],[x]]-H$3) +(Tabela1[[#This Row],[y]]-H$4)*(Tabela1[[#This Row],[y]]-H$4)</f>
        <v>9425</v>
      </c>
      <c r="D2076" s="1">
        <f>IF(Tabela1[[#This Row],[promien]]&lt;40000,1,0)</f>
        <v>1</v>
      </c>
      <c r="E2076" s="1">
        <f>IF(Tabela1[[#This Row],[promien]]=40000,1,0)</f>
        <v>0</v>
      </c>
      <c r="F2076" s="1">
        <v>3.1811175337186897</v>
      </c>
      <c r="G2076" s="1">
        <v>3.9524880128896545E-2</v>
      </c>
    </row>
    <row r="2077" spans="1:7">
      <c r="A2077">
        <v>9</v>
      </c>
      <c r="B2077">
        <v>16</v>
      </c>
      <c r="C2077" s="1">
        <f>(Tabela1[[#This Row],[x]]-H$3)*(Tabela1[[#This Row],[x]]-H$3) +(Tabela1[[#This Row],[y]]-H$4)*(Tabela1[[#This Row],[y]]-H$4)</f>
        <v>70337</v>
      </c>
      <c r="D2077" s="1">
        <f>IF(Tabela1[[#This Row],[promien]]&lt;40000,1,0)</f>
        <v>0</v>
      </c>
      <c r="E2077" s="1">
        <f>IF(Tabela1[[#This Row],[promien]]=40000,1,0)</f>
        <v>0</v>
      </c>
      <c r="F2077" s="1">
        <v>3.1795859412614349</v>
      </c>
      <c r="G2077" s="1">
        <v>3.7993287671641784E-2</v>
      </c>
    </row>
    <row r="2078" spans="1:7">
      <c r="A2078">
        <v>148</v>
      </c>
      <c r="B2078">
        <v>189</v>
      </c>
      <c r="C2078" s="1">
        <f>(Tabela1[[#This Row],[x]]-H$3)*(Tabela1[[#This Row],[x]]-H$3) +(Tabela1[[#This Row],[y]]-H$4)*(Tabela1[[#This Row],[y]]-H$4)</f>
        <v>2825</v>
      </c>
      <c r="D2078" s="1">
        <f>IF(Tabela1[[#This Row],[promien]]&lt;40000,1,0)</f>
        <v>1</v>
      </c>
      <c r="E2078" s="1">
        <f>IF(Tabela1[[#This Row],[promien]]=40000,1,0)</f>
        <v>0</v>
      </c>
      <c r="F2078" s="1">
        <v>3.1799807507218478</v>
      </c>
      <c r="G2078" s="1">
        <v>3.838809713205471E-2</v>
      </c>
    </row>
    <row r="2079" spans="1:7">
      <c r="A2079">
        <v>183</v>
      </c>
      <c r="B2079">
        <v>3</v>
      </c>
      <c r="C2079" s="1">
        <f>(Tabela1[[#This Row],[x]]-H$3)*(Tabela1[[#This Row],[x]]-H$3) +(Tabela1[[#This Row],[y]]-H$4)*(Tabela1[[#This Row],[y]]-H$4)</f>
        <v>39098</v>
      </c>
      <c r="D2079" s="1">
        <f>IF(Tabela1[[#This Row],[promien]]&lt;40000,1,0)</f>
        <v>1</v>
      </c>
      <c r="E2079" s="1">
        <f>IF(Tabela1[[#This Row],[promien]]=40000,1,0)</f>
        <v>0</v>
      </c>
      <c r="F2079" s="1">
        <v>3.1803751803751803</v>
      </c>
      <c r="G2079" s="1">
        <v>3.8782526785387184E-2</v>
      </c>
    </row>
    <row r="2080" spans="1:7">
      <c r="A2080">
        <v>171</v>
      </c>
      <c r="B2080">
        <v>316</v>
      </c>
      <c r="C2080" s="1">
        <f>(Tabela1[[#This Row],[x]]-H$3)*(Tabela1[[#This Row],[x]]-H$3) +(Tabela1[[#This Row],[y]]-H$4)*(Tabela1[[#This Row],[y]]-H$4)</f>
        <v>14297</v>
      </c>
      <c r="D2080" s="1">
        <f>IF(Tabela1[[#This Row],[promien]]&lt;40000,1,0)</f>
        <v>1</v>
      </c>
      <c r="E2080" s="1">
        <f>IF(Tabela1[[#This Row],[promien]]=40000,1,0)</f>
        <v>0</v>
      </c>
      <c r="F2080" s="1">
        <v>3.1807692307692306</v>
      </c>
      <c r="G2080" s="1">
        <v>3.9176577179437455E-2</v>
      </c>
    </row>
    <row r="2081" spans="1:7">
      <c r="A2081">
        <v>252</v>
      </c>
      <c r="B2081">
        <v>218</v>
      </c>
      <c r="C2081" s="1">
        <f>(Tabela1[[#This Row],[x]]-H$3)*(Tabela1[[#This Row],[x]]-H$3) +(Tabela1[[#This Row],[y]]-H$4)*(Tabela1[[#This Row],[y]]-H$4)</f>
        <v>3028</v>
      </c>
      <c r="D2081" s="1">
        <f>IF(Tabela1[[#This Row],[promien]]&lt;40000,1,0)</f>
        <v>1</v>
      </c>
      <c r="E2081" s="1">
        <f>IF(Tabela1[[#This Row],[promien]]=40000,1,0)</f>
        <v>0</v>
      </c>
      <c r="F2081" s="1">
        <v>3.1811629024507448</v>
      </c>
      <c r="G2081" s="1">
        <v>3.9570248860951729E-2</v>
      </c>
    </row>
    <row r="2082" spans="1:7">
      <c r="A2082">
        <v>249</v>
      </c>
      <c r="B2082">
        <v>265</v>
      </c>
      <c r="C2082" s="1">
        <f>(Tabela1[[#This Row],[x]]-H$3)*(Tabela1[[#This Row],[x]]-H$3) +(Tabela1[[#This Row],[y]]-H$4)*(Tabela1[[#This Row],[y]]-H$4)</f>
        <v>6626</v>
      </c>
      <c r="D2082" s="1">
        <f>IF(Tabela1[[#This Row],[promien]]&lt;40000,1,0)</f>
        <v>1</v>
      </c>
      <c r="E2082" s="1">
        <f>IF(Tabela1[[#This Row],[promien]]=40000,1,0)</f>
        <v>0</v>
      </c>
      <c r="F2082" s="1">
        <v>3.1815561959654177</v>
      </c>
      <c r="G2082" s="1">
        <v>3.9963542375624606E-2</v>
      </c>
    </row>
    <row r="2083" spans="1:7">
      <c r="A2083">
        <v>279</v>
      </c>
      <c r="B2083">
        <v>172</v>
      </c>
      <c r="C2083" s="1">
        <f>(Tabela1[[#This Row],[x]]-H$3)*(Tabela1[[#This Row],[x]]-H$3) +(Tabela1[[#This Row],[y]]-H$4)*(Tabela1[[#This Row],[y]]-H$4)</f>
        <v>7025</v>
      </c>
      <c r="D2083" s="1">
        <f>IF(Tabela1[[#This Row],[promien]]&lt;40000,1,0)</f>
        <v>1</v>
      </c>
      <c r="E2083" s="1">
        <f>IF(Tabela1[[#This Row],[promien]]=40000,1,0)</f>
        <v>0</v>
      </c>
      <c r="F2083" s="1">
        <v>3.1819491118578971</v>
      </c>
      <c r="G2083" s="1">
        <v>4.0356458268103967E-2</v>
      </c>
    </row>
    <row r="2084" spans="1:7">
      <c r="A2084">
        <v>258</v>
      </c>
      <c r="B2084">
        <v>377</v>
      </c>
      <c r="C2084" s="1">
        <f>(Tabela1[[#This Row],[x]]-H$3)*(Tabela1[[#This Row],[x]]-H$3) +(Tabela1[[#This Row],[y]]-H$4)*(Tabela1[[#This Row],[y]]-H$4)</f>
        <v>34693</v>
      </c>
      <c r="D2084" s="1">
        <f>IF(Tabela1[[#This Row],[promien]]&lt;40000,1,0)</f>
        <v>1</v>
      </c>
      <c r="E2084" s="1">
        <f>IF(Tabela1[[#This Row],[promien]]=40000,1,0)</f>
        <v>0</v>
      </c>
      <c r="F2084" s="1">
        <v>3.182341650671785</v>
      </c>
      <c r="G2084" s="1">
        <v>4.0748997081991867E-2</v>
      </c>
    </row>
    <row r="2085" spans="1:7">
      <c r="A2085">
        <v>260</v>
      </c>
      <c r="B2085">
        <v>203</v>
      </c>
      <c r="C2085" s="1">
        <f>(Tabela1[[#This Row],[x]]-H$3)*(Tabela1[[#This Row],[x]]-H$3) +(Tabela1[[#This Row],[y]]-H$4)*(Tabela1[[#This Row],[y]]-H$4)</f>
        <v>3609</v>
      </c>
      <c r="D2085" s="1">
        <f>IF(Tabela1[[#This Row],[promien]]&lt;40000,1,0)</f>
        <v>1</v>
      </c>
      <c r="E2085" s="1">
        <f>IF(Tabela1[[#This Row],[promien]]=40000,1,0)</f>
        <v>0</v>
      </c>
      <c r="F2085" s="1">
        <v>3.1827338129496403</v>
      </c>
      <c r="G2085" s="1">
        <v>4.114115935984719E-2</v>
      </c>
    </row>
    <row r="2086" spans="1:7">
      <c r="A2086">
        <v>396</v>
      </c>
      <c r="B2086">
        <v>87</v>
      </c>
      <c r="C2086" s="1">
        <f>(Tabela1[[#This Row],[x]]-H$3)*(Tabela1[[#This Row],[x]]-H$3) +(Tabela1[[#This Row],[y]]-H$4)*(Tabela1[[#This Row],[y]]-H$4)</f>
        <v>51185</v>
      </c>
      <c r="D2086" s="1">
        <f>IF(Tabela1[[#This Row],[promien]]&lt;40000,1,0)</f>
        <v>0</v>
      </c>
      <c r="E2086" s="1">
        <f>IF(Tabela1[[#This Row],[promien]]=40000,1,0)</f>
        <v>0</v>
      </c>
      <c r="F2086" s="1">
        <v>3.1812080536912752</v>
      </c>
      <c r="G2086" s="1">
        <v>3.9615400101482123E-2</v>
      </c>
    </row>
    <row r="2087" spans="1:7">
      <c r="A2087">
        <v>273</v>
      </c>
      <c r="B2087">
        <v>192</v>
      </c>
      <c r="C2087" s="1">
        <f>(Tabela1[[#This Row],[x]]-H$3)*(Tabela1[[#This Row],[x]]-H$3) +(Tabela1[[#This Row],[y]]-H$4)*(Tabela1[[#This Row],[y]]-H$4)</f>
        <v>5393</v>
      </c>
      <c r="D2087" s="1">
        <f>IF(Tabela1[[#This Row],[promien]]&lt;40000,1,0)</f>
        <v>1</v>
      </c>
      <c r="E2087" s="1">
        <f>IF(Tabela1[[#This Row],[promien]]=40000,1,0)</f>
        <v>0</v>
      </c>
      <c r="F2087" s="1">
        <v>3.1816003833253474</v>
      </c>
      <c r="G2087" s="1">
        <v>4.0007729735554332E-2</v>
      </c>
    </row>
    <row r="2088" spans="1:7">
      <c r="A2088">
        <v>274</v>
      </c>
      <c r="B2088">
        <v>392</v>
      </c>
      <c r="C2088" s="1">
        <f>(Tabela1[[#This Row],[x]]-H$3)*(Tabela1[[#This Row],[x]]-H$3) +(Tabela1[[#This Row],[y]]-H$4)*(Tabela1[[#This Row],[y]]-H$4)</f>
        <v>42340</v>
      </c>
      <c r="D2088" s="1">
        <f>IF(Tabela1[[#This Row],[promien]]&lt;40000,1,0)</f>
        <v>0</v>
      </c>
      <c r="E2088" s="1">
        <f>IF(Tabela1[[#This Row],[promien]]=40000,1,0)</f>
        <v>0</v>
      </c>
      <c r="F2088" s="1">
        <v>3.1800766283524906</v>
      </c>
      <c r="G2088" s="1">
        <v>3.8483974762697493E-2</v>
      </c>
    </row>
    <row r="2089" spans="1:7">
      <c r="A2089">
        <v>211</v>
      </c>
      <c r="B2089">
        <v>29</v>
      </c>
      <c r="C2089" s="1">
        <f>(Tabela1[[#This Row],[x]]-H$3)*(Tabela1[[#This Row],[x]]-H$3) +(Tabela1[[#This Row],[y]]-H$4)*(Tabela1[[#This Row],[y]]-H$4)</f>
        <v>29362</v>
      </c>
      <c r="D2089" s="1">
        <f>IF(Tabela1[[#This Row],[promien]]&lt;40000,1,0)</f>
        <v>1</v>
      </c>
      <c r="E2089" s="1">
        <f>IF(Tabela1[[#This Row],[promien]]=40000,1,0)</f>
        <v>0</v>
      </c>
      <c r="F2089" s="1">
        <v>3.1804691239827667</v>
      </c>
      <c r="G2089" s="1">
        <v>3.8876470392973594E-2</v>
      </c>
    </row>
    <row r="2090" spans="1:7">
      <c r="A2090">
        <v>14</v>
      </c>
      <c r="B2090">
        <v>342</v>
      </c>
      <c r="C2090" s="1">
        <f>(Tabela1[[#This Row],[x]]-H$3)*(Tabela1[[#This Row],[x]]-H$3) +(Tabela1[[#This Row],[y]]-H$4)*(Tabela1[[#This Row],[y]]-H$4)</f>
        <v>54760</v>
      </c>
      <c r="D2090" s="1">
        <f>IF(Tabela1[[#This Row],[promien]]&lt;40000,1,0)</f>
        <v>0</v>
      </c>
      <c r="E2090" s="1">
        <f>IF(Tabela1[[#This Row],[promien]]=40000,1,0)</f>
        <v>0</v>
      </c>
      <c r="F2090" s="1">
        <v>3.1789473684210527</v>
      </c>
      <c r="G2090" s="1">
        <v>3.7354714831259628E-2</v>
      </c>
    </row>
    <row r="2091" spans="1:7">
      <c r="A2091">
        <v>117</v>
      </c>
      <c r="B2091">
        <v>221</v>
      </c>
      <c r="C2091" s="1">
        <f>(Tabela1[[#This Row],[x]]-H$3)*(Tabela1[[#This Row],[x]]-H$3) +(Tabela1[[#This Row],[y]]-H$4)*(Tabela1[[#This Row],[y]]-H$4)</f>
        <v>7330</v>
      </c>
      <c r="D2091" s="1">
        <f>IF(Tabela1[[#This Row],[promien]]&lt;40000,1,0)</f>
        <v>1</v>
      </c>
      <c r="E2091" s="1">
        <f>IF(Tabela1[[#This Row],[promien]]=40000,1,0)</f>
        <v>0</v>
      </c>
      <c r="F2091" s="1">
        <v>3.1793400286944045</v>
      </c>
      <c r="G2091" s="1">
        <v>3.7747375104611347E-2</v>
      </c>
    </row>
    <row r="2092" spans="1:7">
      <c r="A2092">
        <v>44</v>
      </c>
      <c r="B2092">
        <v>339</v>
      </c>
      <c r="C2092" s="1">
        <f>(Tabela1[[#This Row],[x]]-H$3)*(Tabela1[[#This Row],[x]]-H$3) +(Tabela1[[#This Row],[y]]-H$4)*(Tabela1[[#This Row],[y]]-H$4)</f>
        <v>43657</v>
      </c>
      <c r="D2092" s="1">
        <f>IF(Tabela1[[#This Row],[promien]]&lt;40000,1,0)</f>
        <v>0</v>
      </c>
      <c r="E2092" s="1">
        <f>IF(Tabela1[[#This Row],[promien]]=40000,1,0)</f>
        <v>0</v>
      </c>
      <c r="F2092" s="1">
        <v>3.1778202676864247</v>
      </c>
      <c r="G2092" s="1">
        <v>3.6227614096631555E-2</v>
      </c>
    </row>
    <row r="2093" spans="1:7">
      <c r="A2093">
        <v>220</v>
      </c>
      <c r="B2093">
        <v>168</v>
      </c>
      <c r="C2093" s="1">
        <f>(Tabela1[[#This Row],[x]]-H$3)*(Tabela1[[#This Row],[x]]-H$3) +(Tabela1[[#This Row],[y]]-H$4)*(Tabela1[[#This Row],[y]]-H$4)</f>
        <v>1424</v>
      </c>
      <c r="D2093" s="1">
        <f>IF(Tabela1[[#This Row],[promien]]&lt;40000,1,0)</f>
        <v>1</v>
      </c>
      <c r="E2093" s="1">
        <f>IF(Tabela1[[#This Row],[promien]]=40000,1,0)</f>
        <v>0</v>
      </c>
      <c r="F2093" s="1">
        <v>3.1782130912565694</v>
      </c>
      <c r="G2093" s="1">
        <v>3.6620437666776251E-2</v>
      </c>
    </row>
    <row r="2094" spans="1:7">
      <c r="A2094">
        <v>249</v>
      </c>
      <c r="B2094">
        <v>146</v>
      </c>
      <c r="C2094" s="1">
        <f>(Tabela1[[#This Row],[x]]-H$3)*(Tabela1[[#This Row],[x]]-H$3) +(Tabela1[[#This Row],[y]]-H$4)*(Tabela1[[#This Row],[y]]-H$4)</f>
        <v>5317</v>
      </c>
      <c r="D2094" s="1">
        <f>IF(Tabela1[[#This Row],[promien]]&lt;40000,1,0)</f>
        <v>1</v>
      </c>
      <c r="E2094" s="1">
        <f>IF(Tabela1[[#This Row],[promien]]=40000,1,0)</f>
        <v>0</v>
      </c>
      <c r="F2094" s="1">
        <v>3.1786055396370583</v>
      </c>
      <c r="G2094" s="1">
        <v>3.7012886047265159E-2</v>
      </c>
    </row>
    <row r="2095" spans="1:7">
      <c r="A2095">
        <v>119</v>
      </c>
      <c r="B2095">
        <v>74</v>
      </c>
      <c r="C2095" s="1">
        <f>(Tabela1[[#This Row],[x]]-H$3)*(Tabela1[[#This Row],[x]]-H$3) +(Tabela1[[#This Row],[y]]-H$4)*(Tabela1[[#This Row],[y]]-H$4)</f>
        <v>22437</v>
      </c>
      <c r="D2095" s="1">
        <f>IF(Tabela1[[#This Row],[promien]]&lt;40000,1,0)</f>
        <v>1</v>
      </c>
      <c r="E2095" s="1">
        <f>IF(Tabela1[[#This Row],[promien]]=40000,1,0)</f>
        <v>0</v>
      </c>
      <c r="F2095" s="1">
        <v>3.178997613365155</v>
      </c>
      <c r="G2095" s="1">
        <v>3.7404959775361846E-2</v>
      </c>
    </row>
    <row r="2096" spans="1:7">
      <c r="A2096">
        <v>151</v>
      </c>
      <c r="B2096">
        <v>71</v>
      </c>
      <c r="C2096" s="1">
        <f>(Tabela1[[#This Row],[x]]-H$3)*(Tabela1[[#This Row],[x]]-H$3) +(Tabela1[[#This Row],[y]]-H$4)*(Tabela1[[#This Row],[y]]-H$4)</f>
        <v>19042</v>
      </c>
      <c r="D2096" s="1">
        <f>IF(Tabela1[[#This Row],[promien]]&lt;40000,1,0)</f>
        <v>1</v>
      </c>
      <c r="E2096" s="1">
        <f>IF(Tabela1[[#This Row],[promien]]=40000,1,0)</f>
        <v>0</v>
      </c>
      <c r="F2096" s="1">
        <v>3.1793893129770994</v>
      </c>
      <c r="G2096" s="1">
        <v>3.7796659387306253E-2</v>
      </c>
    </row>
    <row r="2097" spans="1:7">
      <c r="A2097">
        <v>171</v>
      </c>
      <c r="B2097">
        <v>300</v>
      </c>
      <c r="C2097" s="1">
        <f>(Tabela1[[#This Row],[x]]-H$3)*(Tabela1[[#This Row],[x]]-H$3) +(Tabela1[[#This Row],[y]]-H$4)*(Tabela1[[#This Row],[y]]-H$4)</f>
        <v>10841</v>
      </c>
      <c r="D2097" s="1">
        <f>IF(Tabela1[[#This Row],[promien]]&lt;40000,1,0)</f>
        <v>1</v>
      </c>
      <c r="E2097" s="1">
        <f>IF(Tabela1[[#This Row],[promien]]=40000,1,0)</f>
        <v>0</v>
      </c>
      <c r="F2097" s="1">
        <v>3.1797806390081069</v>
      </c>
      <c r="G2097" s="1">
        <v>3.8187985418313808E-2</v>
      </c>
    </row>
    <row r="2098" spans="1:7">
      <c r="A2098">
        <v>154</v>
      </c>
      <c r="B2098">
        <v>191</v>
      </c>
      <c r="C2098" s="1">
        <f>(Tabela1[[#This Row],[x]]-H$3)*(Tabela1[[#This Row],[x]]-H$3) +(Tabela1[[#This Row],[y]]-H$4)*(Tabela1[[#This Row],[y]]-H$4)</f>
        <v>2197</v>
      </c>
      <c r="D2098" s="1">
        <f>IF(Tabela1[[#This Row],[promien]]&lt;40000,1,0)</f>
        <v>1</v>
      </c>
      <c r="E2098" s="1">
        <f>IF(Tabela1[[#This Row],[promien]]=40000,1,0)</f>
        <v>0</v>
      </c>
      <c r="F2098" s="1">
        <v>3.1801715919923739</v>
      </c>
      <c r="G2098" s="1">
        <v>3.8578938402580754E-2</v>
      </c>
    </row>
    <row r="2099" spans="1:7">
      <c r="A2099">
        <v>111</v>
      </c>
      <c r="B2099">
        <v>16</v>
      </c>
      <c r="C2099" s="1">
        <f>(Tabela1[[#This Row],[x]]-H$3)*(Tabela1[[#This Row],[x]]-H$3) +(Tabela1[[#This Row],[y]]-H$4)*(Tabela1[[#This Row],[y]]-H$4)</f>
        <v>41777</v>
      </c>
      <c r="D2099" s="1">
        <f>IF(Tabela1[[#This Row],[promien]]&lt;40000,1,0)</f>
        <v>0</v>
      </c>
      <c r="E2099" s="1">
        <f>IF(Tabela1[[#This Row],[promien]]=40000,1,0)</f>
        <v>0</v>
      </c>
      <c r="F2099" s="1">
        <v>3.1786565030967129</v>
      </c>
      <c r="G2099" s="1">
        <v>3.7063849506919766E-2</v>
      </c>
    </row>
    <row r="2100" spans="1:7">
      <c r="A2100">
        <v>2</v>
      </c>
      <c r="B2100">
        <v>175</v>
      </c>
      <c r="C2100" s="1">
        <f>(Tabela1[[#This Row],[x]]-H$3)*(Tabela1[[#This Row],[x]]-H$3) +(Tabela1[[#This Row],[y]]-H$4)*(Tabela1[[#This Row],[y]]-H$4)</f>
        <v>39829</v>
      </c>
      <c r="D2100" s="1">
        <f>IF(Tabela1[[#This Row],[promien]]&lt;40000,1,0)</f>
        <v>1</v>
      </c>
      <c r="E2100" s="1">
        <f>IF(Tabela1[[#This Row],[promien]]=40000,1,0)</f>
        <v>0</v>
      </c>
      <c r="F2100" s="1">
        <v>3.1790476190476191</v>
      </c>
      <c r="G2100" s="1">
        <v>3.7454965457826006E-2</v>
      </c>
    </row>
    <row r="2101" spans="1:7">
      <c r="A2101">
        <v>202</v>
      </c>
      <c r="B2101">
        <v>396</v>
      </c>
      <c r="C2101" s="1">
        <f>(Tabela1[[#This Row],[x]]-H$3)*(Tabela1[[#This Row],[x]]-H$3) +(Tabela1[[#This Row],[y]]-H$4)*(Tabela1[[#This Row],[y]]-H$4)</f>
        <v>38420</v>
      </c>
      <c r="D2101" s="1">
        <f>IF(Tabela1[[#This Row],[promien]]&lt;40000,1,0)</f>
        <v>1</v>
      </c>
      <c r="E2101" s="1">
        <f>IF(Tabela1[[#This Row],[promien]]=40000,1,0)</f>
        <v>0</v>
      </c>
      <c r="F2101" s="1">
        <v>3.179438362684436</v>
      </c>
      <c r="G2101" s="1">
        <v>3.784570909464291E-2</v>
      </c>
    </row>
    <row r="2102" spans="1:7">
      <c r="A2102">
        <v>151</v>
      </c>
      <c r="B2102">
        <v>361</v>
      </c>
      <c r="C2102" s="1">
        <f>(Tabela1[[#This Row],[x]]-H$3)*(Tabela1[[#This Row],[x]]-H$3) +(Tabela1[[#This Row],[y]]-H$4)*(Tabela1[[#This Row],[y]]-H$4)</f>
        <v>28322</v>
      </c>
      <c r="D2102" s="1">
        <f>IF(Tabela1[[#This Row],[promien]]&lt;40000,1,0)</f>
        <v>1</v>
      </c>
      <c r="E2102" s="1">
        <f>IF(Tabela1[[#This Row],[promien]]=40000,1,0)</f>
        <v>0</v>
      </c>
      <c r="F2102" s="1">
        <v>3.1798287345385345</v>
      </c>
      <c r="G2102" s="1">
        <v>3.8236080948741424E-2</v>
      </c>
    </row>
    <row r="2103" spans="1:7">
      <c r="A2103">
        <v>70</v>
      </c>
      <c r="B2103">
        <v>79</v>
      </c>
      <c r="C2103" s="1">
        <f>(Tabela1[[#This Row],[x]]-H$3)*(Tabela1[[#This Row],[x]]-H$3) +(Tabela1[[#This Row],[y]]-H$4)*(Tabela1[[#This Row],[y]]-H$4)</f>
        <v>31541</v>
      </c>
      <c r="D2103" s="1">
        <f>IF(Tabela1[[#This Row],[promien]]&lt;40000,1,0)</f>
        <v>1</v>
      </c>
      <c r="E2103" s="1">
        <f>IF(Tabela1[[#This Row],[promien]]=40000,1,0)</f>
        <v>0</v>
      </c>
      <c r="F2103" s="1">
        <v>3.1802187351402758</v>
      </c>
      <c r="G2103" s="1">
        <v>3.8626081550482638E-2</v>
      </c>
    </row>
    <row r="2104" spans="1:7">
      <c r="A2104">
        <v>121</v>
      </c>
      <c r="B2104">
        <v>181</v>
      </c>
      <c r="C2104" s="1">
        <f>(Tabela1[[#This Row],[x]]-H$3)*(Tabela1[[#This Row],[x]]-H$3) +(Tabela1[[#This Row],[y]]-H$4)*(Tabela1[[#This Row],[y]]-H$4)</f>
        <v>6602</v>
      </c>
      <c r="D2104" s="1">
        <f>IF(Tabela1[[#This Row],[promien]]&lt;40000,1,0)</f>
        <v>1</v>
      </c>
      <c r="E2104" s="1">
        <f>IF(Tabela1[[#This Row],[promien]]=40000,1,0)</f>
        <v>0</v>
      </c>
      <c r="F2104" s="1">
        <v>3.1806083650190113</v>
      </c>
      <c r="G2104" s="1">
        <v>3.9015711429218225E-2</v>
      </c>
    </row>
    <row r="2105" spans="1:7">
      <c r="A2105">
        <v>12</v>
      </c>
      <c r="B2105">
        <v>311</v>
      </c>
      <c r="C2105" s="1">
        <f>(Tabela1[[#This Row],[x]]-H$3)*(Tabela1[[#This Row],[x]]-H$3) +(Tabela1[[#This Row],[y]]-H$4)*(Tabela1[[#This Row],[y]]-H$4)</f>
        <v>47665</v>
      </c>
      <c r="D2105" s="1">
        <f>IF(Tabela1[[#This Row],[promien]]&lt;40000,1,0)</f>
        <v>0</v>
      </c>
      <c r="E2105" s="1">
        <f>IF(Tabela1[[#This Row],[promien]]=40000,1,0)</f>
        <v>0</v>
      </c>
      <c r="F2105" s="1">
        <v>3.1790973871733965</v>
      </c>
      <c r="G2105" s="1">
        <v>3.75047335836034E-2</v>
      </c>
    </row>
    <row r="2106" spans="1:7">
      <c r="A2106">
        <v>251</v>
      </c>
      <c r="B2106">
        <v>227</v>
      </c>
      <c r="C2106" s="1">
        <f>(Tabela1[[#This Row],[x]]-H$3)*(Tabela1[[#This Row],[x]]-H$3) +(Tabela1[[#This Row],[y]]-H$4)*(Tabela1[[#This Row],[y]]-H$4)</f>
        <v>3330</v>
      </c>
      <c r="D2106" s="1">
        <f>IF(Tabela1[[#This Row],[promien]]&lt;40000,1,0)</f>
        <v>1</v>
      </c>
      <c r="E2106" s="1">
        <f>IF(Tabela1[[#This Row],[promien]]=40000,1,0)</f>
        <v>0</v>
      </c>
      <c r="F2106" s="1">
        <v>3.1794871794871793</v>
      </c>
      <c r="G2106" s="1">
        <v>3.7894525897386178E-2</v>
      </c>
    </row>
    <row r="2107" spans="1:7">
      <c r="A2107">
        <v>305</v>
      </c>
      <c r="B2107">
        <v>370</v>
      </c>
      <c r="C2107" s="1">
        <f>(Tabela1[[#This Row],[x]]-H$3)*(Tabela1[[#This Row],[x]]-H$3) +(Tabela1[[#This Row],[y]]-H$4)*(Tabela1[[#This Row],[y]]-H$4)</f>
        <v>39925</v>
      </c>
      <c r="D2107" s="1">
        <f>IF(Tabela1[[#This Row],[promien]]&lt;40000,1,0)</f>
        <v>1</v>
      </c>
      <c r="E2107" s="1">
        <f>IF(Tabela1[[#This Row],[promien]]=40000,1,0)</f>
        <v>0</v>
      </c>
      <c r="F2107" s="1">
        <v>3.1798766018035121</v>
      </c>
      <c r="G2107" s="1">
        <v>3.8283948213718944E-2</v>
      </c>
    </row>
    <row r="2108" spans="1:7">
      <c r="A2108">
        <v>214</v>
      </c>
      <c r="B2108">
        <v>333</v>
      </c>
      <c r="C2108" s="1">
        <f>(Tabela1[[#This Row],[x]]-H$3)*(Tabela1[[#This Row],[x]]-H$3) +(Tabela1[[#This Row],[y]]-H$4)*(Tabela1[[#This Row],[y]]-H$4)</f>
        <v>17885</v>
      </c>
      <c r="D2108" s="1">
        <f>IF(Tabela1[[#This Row],[promien]]&lt;40000,1,0)</f>
        <v>1</v>
      </c>
      <c r="E2108" s="1">
        <f>IF(Tabela1[[#This Row],[promien]]=40000,1,0)</f>
        <v>0</v>
      </c>
      <c r="F2108" s="1">
        <v>3.1802656546489563</v>
      </c>
      <c r="G2108" s="1">
        <v>3.8673001059163159E-2</v>
      </c>
    </row>
    <row r="2109" spans="1:7">
      <c r="A2109">
        <v>352</v>
      </c>
      <c r="B2109">
        <v>300</v>
      </c>
      <c r="C2109" s="1">
        <f>(Tabela1[[#This Row],[x]]-H$3)*(Tabela1[[#This Row],[x]]-H$3) +(Tabela1[[#This Row],[y]]-H$4)*(Tabela1[[#This Row],[y]]-H$4)</f>
        <v>33104</v>
      </c>
      <c r="D2109" s="1">
        <f>IF(Tabela1[[#This Row],[promien]]&lt;40000,1,0)</f>
        <v>1</v>
      </c>
      <c r="E2109" s="1">
        <f>IF(Tabela1[[#This Row],[promien]]=40000,1,0)</f>
        <v>0</v>
      </c>
      <c r="F2109" s="1">
        <v>3.1806543385490755</v>
      </c>
      <c r="G2109" s="1">
        <v>3.9061684959282417E-2</v>
      </c>
    </row>
    <row r="2110" spans="1:7">
      <c r="A2110">
        <v>98</v>
      </c>
      <c r="B2110">
        <v>73</v>
      </c>
      <c r="C2110" s="1">
        <f>(Tabela1[[#This Row],[x]]-H$3)*(Tabela1[[#This Row],[x]]-H$3) +(Tabela1[[#This Row],[y]]-H$4)*(Tabela1[[#This Row],[y]]-H$4)</f>
        <v>26533</v>
      </c>
      <c r="D2110" s="1">
        <f>IF(Tabela1[[#This Row],[promien]]&lt;40000,1,0)</f>
        <v>1</v>
      </c>
      <c r="E2110" s="1">
        <f>IF(Tabela1[[#This Row],[promien]]=40000,1,0)</f>
        <v>0</v>
      </c>
      <c r="F2110" s="1">
        <v>3.181042654028436</v>
      </c>
      <c r="G2110" s="1">
        <v>3.9450000438642885E-2</v>
      </c>
    </row>
    <row r="2111" spans="1:7">
      <c r="A2111">
        <v>128</v>
      </c>
      <c r="B2111">
        <v>294</v>
      </c>
      <c r="C2111" s="1">
        <f>(Tabela1[[#This Row],[x]]-H$3)*(Tabela1[[#This Row],[x]]-H$3) +(Tabela1[[#This Row],[y]]-H$4)*(Tabela1[[#This Row],[y]]-H$4)</f>
        <v>14020</v>
      </c>
      <c r="D2111" s="1">
        <f>IF(Tabela1[[#This Row],[promien]]&lt;40000,1,0)</f>
        <v>1</v>
      </c>
      <c r="E2111" s="1">
        <f>IF(Tabela1[[#This Row],[promien]]=40000,1,0)</f>
        <v>0</v>
      </c>
      <c r="F2111" s="1">
        <v>3.1814306016106109</v>
      </c>
      <c r="G2111" s="1">
        <v>3.9837948020817748E-2</v>
      </c>
    </row>
    <row r="2112" spans="1:7">
      <c r="A2112">
        <v>282</v>
      </c>
      <c r="B2112">
        <v>351</v>
      </c>
      <c r="C2112" s="1">
        <f>(Tabela1[[#This Row],[x]]-H$3)*(Tabela1[[#This Row],[x]]-H$3) +(Tabela1[[#This Row],[y]]-H$4)*(Tabela1[[#This Row],[y]]-H$4)</f>
        <v>29525</v>
      </c>
      <c r="D2112" s="1">
        <f>IF(Tabela1[[#This Row],[promien]]&lt;40000,1,0)</f>
        <v>1</v>
      </c>
      <c r="E2112" s="1">
        <f>IF(Tabela1[[#This Row],[promien]]=40000,1,0)</f>
        <v>0</v>
      </c>
      <c r="F2112" s="1">
        <v>3.1818181818181817</v>
      </c>
      <c r="G2112" s="1">
        <v>4.0225528228388541E-2</v>
      </c>
    </row>
    <row r="2113" spans="1:7">
      <c r="A2113">
        <v>220</v>
      </c>
      <c r="B2113">
        <v>289</v>
      </c>
      <c r="C2113" s="1">
        <f>(Tabela1[[#This Row],[x]]-H$3)*(Tabela1[[#This Row],[x]]-H$3) +(Tabela1[[#This Row],[y]]-H$4)*(Tabela1[[#This Row],[y]]-H$4)</f>
        <v>8321</v>
      </c>
      <c r="D2113" s="1">
        <f>IF(Tabela1[[#This Row],[promien]]&lt;40000,1,0)</f>
        <v>1</v>
      </c>
      <c r="E2113" s="1">
        <f>IF(Tabela1[[#This Row],[promien]]=40000,1,0)</f>
        <v>0</v>
      </c>
      <c r="F2113" s="1">
        <v>3.18220539517274</v>
      </c>
      <c r="G2113" s="1">
        <v>4.0612741582946921E-2</v>
      </c>
    </row>
    <row r="2114" spans="1:7">
      <c r="A2114">
        <v>55</v>
      </c>
      <c r="B2114">
        <v>376</v>
      </c>
      <c r="C2114" s="1">
        <f>(Tabela1[[#This Row],[x]]-H$3)*(Tabela1[[#This Row],[x]]-H$3) +(Tabela1[[#This Row],[y]]-H$4)*(Tabela1[[#This Row],[y]]-H$4)</f>
        <v>52001</v>
      </c>
      <c r="D2114" s="1">
        <f>IF(Tabela1[[#This Row],[promien]]&lt;40000,1,0)</f>
        <v>0</v>
      </c>
      <c r="E2114" s="1">
        <f>IF(Tabela1[[#This Row],[promien]]=40000,1,0)</f>
        <v>0</v>
      </c>
      <c r="F2114" s="1">
        <v>3.1807000946073796</v>
      </c>
      <c r="G2114" s="1">
        <v>3.9107441017586453E-2</v>
      </c>
    </row>
    <row r="2115" spans="1:7">
      <c r="A2115">
        <v>103</v>
      </c>
      <c r="B2115">
        <v>24</v>
      </c>
      <c r="C2115" s="1">
        <f>(Tabela1[[#This Row],[x]]-H$3)*(Tabela1[[#This Row],[x]]-H$3) +(Tabela1[[#This Row],[y]]-H$4)*(Tabela1[[#This Row],[y]]-H$4)</f>
        <v>40385</v>
      </c>
      <c r="D2115" s="1">
        <f>IF(Tabela1[[#This Row],[promien]]&lt;40000,1,0)</f>
        <v>0</v>
      </c>
      <c r="E2115" s="1">
        <f>IF(Tabela1[[#This Row],[promien]]=40000,1,0)</f>
        <v>0</v>
      </c>
      <c r="F2115" s="1">
        <v>3.17919621749409</v>
      </c>
      <c r="G2115" s="1">
        <v>3.7603563904296866E-2</v>
      </c>
    </row>
    <row r="2116" spans="1:7">
      <c r="A2116">
        <v>52</v>
      </c>
      <c r="B2116">
        <v>223</v>
      </c>
      <c r="C2116" s="1">
        <f>(Tabela1[[#This Row],[x]]-H$3)*(Tabela1[[#This Row],[x]]-H$3) +(Tabela1[[#This Row],[y]]-H$4)*(Tabela1[[#This Row],[y]]-H$4)</f>
        <v>22433</v>
      </c>
      <c r="D2116" s="1">
        <f>IF(Tabela1[[#This Row],[promien]]&lt;40000,1,0)</f>
        <v>1</v>
      </c>
      <c r="E2116" s="1">
        <f>IF(Tabela1[[#This Row],[promien]]=40000,1,0)</f>
        <v>0</v>
      </c>
      <c r="F2116" s="1">
        <v>3.1795841209829869</v>
      </c>
      <c r="G2116" s="1">
        <v>3.7991467393193812E-2</v>
      </c>
    </row>
    <row r="2117" spans="1:7">
      <c r="A2117">
        <v>204</v>
      </c>
      <c r="B2117">
        <v>107</v>
      </c>
      <c r="C2117" s="1">
        <f>(Tabela1[[#This Row],[x]]-H$3)*(Tabela1[[#This Row],[x]]-H$3) +(Tabela1[[#This Row],[y]]-H$4)*(Tabela1[[#This Row],[y]]-H$4)</f>
        <v>8665</v>
      </c>
      <c r="D2117" s="1">
        <f>IF(Tabela1[[#This Row],[promien]]&lt;40000,1,0)</f>
        <v>1</v>
      </c>
      <c r="E2117" s="1">
        <f>IF(Tabela1[[#This Row],[promien]]=40000,1,0)</f>
        <v>0</v>
      </c>
      <c r="F2117" s="1">
        <v>3.1799716580066133</v>
      </c>
      <c r="G2117" s="1">
        <v>3.8379004416820184E-2</v>
      </c>
    </row>
    <row r="2118" spans="1:7">
      <c r="A2118">
        <v>223</v>
      </c>
      <c r="B2118">
        <v>256</v>
      </c>
      <c r="C2118" s="1">
        <f>(Tabela1[[#This Row],[x]]-H$3)*(Tabela1[[#This Row],[x]]-H$3) +(Tabela1[[#This Row],[y]]-H$4)*(Tabela1[[#This Row],[y]]-H$4)</f>
        <v>3665</v>
      </c>
      <c r="D2118" s="1">
        <f>IF(Tabela1[[#This Row],[promien]]&lt;40000,1,0)</f>
        <v>1</v>
      </c>
      <c r="E2118" s="1">
        <f>IF(Tabela1[[#This Row],[promien]]=40000,1,0)</f>
        <v>0</v>
      </c>
      <c r="F2118" s="1">
        <v>3.1803588290840414</v>
      </c>
      <c r="G2118" s="1">
        <v>3.8766175494248323E-2</v>
      </c>
    </row>
    <row r="2119" spans="1:7">
      <c r="A2119">
        <v>399</v>
      </c>
      <c r="B2119">
        <v>90</v>
      </c>
      <c r="C2119" s="1">
        <f>(Tabela1[[#This Row],[x]]-H$3)*(Tabela1[[#This Row],[x]]-H$3) +(Tabela1[[#This Row],[y]]-H$4)*(Tabela1[[#This Row],[y]]-H$4)</f>
        <v>51701</v>
      </c>
      <c r="D2119" s="1">
        <f>IF(Tabela1[[#This Row],[promien]]&lt;40000,1,0)</f>
        <v>0</v>
      </c>
      <c r="E2119" s="1">
        <f>IF(Tabela1[[#This Row],[promien]]=40000,1,0)</f>
        <v>0</v>
      </c>
      <c r="F2119" s="1">
        <v>3.1788579518640869</v>
      </c>
      <c r="G2119" s="1">
        <v>3.7265298274293812E-2</v>
      </c>
    </row>
    <row r="2120" spans="1:7">
      <c r="A2120">
        <v>125</v>
      </c>
      <c r="B2120">
        <v>261</v>
      </c>
      <c r="C2120" s="1">
        <f>(Tabela1[[#This Row],[x]]-H$3)*(Tabela1[[#This Row],[x]]-H$3) +(Tabela1[[#This Row],[y]]-H$4)*(Tabela1[[#This Row],[y]]-H$4)</f>
        <v>9346</v>
      </c>
      <c r="D2120" s="1">
        <f>IF(Tabela1[[#This Row],[promien]]&lt;40000,1,0)</f>
        <v>1</v>
      </c>
      <c r="E2120" s="1">
        <f>IF(Tabela1[[#This Row],[promien]]=40000,1,0)</f>
        <v>0</v>
      </c>
      <c r="F2120" s="1">
        <v>3.1792452830188678</v>
      </c>
      <c r="G2120" s="1">
        <v>3.7652629429074658E-2</v>
      </c>
    </row>
    <row r="2121" spans="1:7">
      <c r="A2121">
        <v>219</v>
      </c>
      <c r="B2121">
        <v>117</v>
      </c>
      <c r="C2121" s="1">
        <f>(Tabela1[[#This Row],[x]]-H$3)*(Tabela1[[#This Row],[x]]-H$3) +(Tabela1[[#This Row],[y]]-H$4)*(Tabela1[[#This Row],[y]]-H$4)</f>
        <v>7250</v>
      </c>
      <c r="D2121" s="1">
        <f>IF(Tabela1[[#This Row],[promien]]&lt;40000,1,0)</f>
        <v>1</v>
      </c>
      <c r="E2121" s="1">
        <f>IF(Tabela1[[#This Row],[promien]]=40000,1,0)</f>
        <v>0</v>
      </c>
      <c r="F2121" s="1">
        <v>3.1796322489391797</v>
      </c>
      <c r="G2121" s="1">
        <v>3.8039595349386612E-2</v>
      </c>
    </row>
    <row r="2122" spans="1:7">
      <c r="A2122">
        <v>363</v>
      </c>
      <c r="B2122">
        <v>93</v>
      </c>
      <c r="C2122" s="1">
        <f>(Tabela1[[#This Row],[x]]-H$3)*(Tabela1[[#This Row],[x]]-H$3) +(Tabela1[[#This Row],[y]]-H$4)*(Tabela1[[#This Row],[y]]-H$4)</f>
        <v>38018</v>
      </c>
      <c r="D2122" s="1">
        <f>IF(Tabela1[[#This Row],[promien]]&lt;40000,1,0)</f>
        <v>1</v>
      </c>
      <c r="E2122" s="1">
        <f>IF(Tabela1[[#This Row],[promien]]=40000,1,0)</f>
        <v>0</v>
      </c>
      <c r="F2122" s="1">
        <v>3.180018850141376</v>
      </c>
      <c r="G2122" s="1">
        <v>3.8426196551582859E-2</v>
      </c>
    </row>
    <row r="2123" spans="1:7">
      <c r="A2123">
        <v>10</v>
      </c>
      <c r="B2123">
        <v>34</v>
      </c>
      <c r="C2123" s="1">
        <f>(Tabela1[[#This Row],[x]]-H$3)*(Tabela1[[#This Row],[x]]-H$3) +(Tabela1[[#This Row],[y]]-H$4)*(Tabela1[[#This Row],[y]]-H$4)</f>
        <v>63656</v>
      </c>
      <c r="D2123" s="1">
        <f>IF(Tabela1[[#This Row],[promien]]&lt;40000,1,0)</f>
        <v>0</v>
      </c>
      <c r="E2123" s="1">
        <f>IF(Tabela1[[#This Row],[promien]]=40000,1,0)</f>
        <v>0</v>
      </c>
      <c r="F2123" s="1">
        <v>3.1785209609043807</v>
      </c>
      <c r="G2123" s="1">
        <v>3.6928307314587627E-2</v>
      </c>
    </row>
    <row r="2124" spans="1:7">
      <c r="A2124">
        <v>263</v>
      </c>
      <c r="B2124">
        <v>7</v>
      </c>
      <c r="C2124" s="1">
        <f>(Tabela1[[#This Row],[x]]-H$3)*(Tabela1[[#This Row],[x]]-H$3) +(Tabela1[[#This Row],[y]]-H$4)*(Tabela1[[#This Row],[y]]-H$4)</f>
        <v>41218</v>
      </c>
      <c r="D2124" s="1">
        <f>IF(Tabela1[[#This Row],[promien]]&lt;40000,1,0)</f>
        <v>0</v>
      </c>
      <c r="E2124" s="1">
        <f>IF(Tabela1[[#This Row],[promien]]=40000,1,0)</f>
        <v>0</v>
      </c>
      <c r="F2124" s="1">
        <v>3.1770244821092279</v>
      </c>
      <c r="G2124" s="1">
        <v>3.5431828519434827E-2</v>
      </c>
    </row>
    <row r="2125" spans="1:7">
      <c r="A2125">
        <v>181</v>
      </c>
      <c r="B2125">
        <v>234</v>
      </c>
      <c r="C2125" s="1">
        <f>(Tabela1[[#This Row],[x]]-H$3)*(Tabela1[[#This Row],[x]]-H$3) +(Tabela1[[#This Row],[y]]-H$4)*(Tabela1[[#This Row],[y]]-H$4)</f>
        <v>1517</v>
      </c>
      <c r="D2125" s="1">
        <f>IF(Tabela1[[#This Row],[promien]]&lt;40000,1,0)</f>
        <v>1</v>
      </c>
      <c r="E2125" s="1">
        <f>IF(Tabela1[[#This Row],[promien]]=40000,1,0)</f>
        <v>0</v>
      </c>
      <c r="F2125" s="1">
        <v>3.1774117647058824</v>
      </c>
      <c r="G2125" s="1">
        <v>3.5819111116089264E-2</v>
      </c>
    </row>
    <row r="2126" spans="1:7">
      <c r="A2126">
        <v>393</v>
      </c>
      <c r="B2126">
        <v>12</v>
      </c>
      <c r="C2126" s="1">
        <f>(Tabela1[[#This Row],[x]]-H$3)*(Tabela1[[#This Row],[x]]-H$3) +(Tabela1[[#This Row],[y]]-H$4)*(Tabela1[[#This Row],[y]]-H$4)</f>
        <v>72593</v>
      </c>
      <c r="D2126" s="1">
        <f>IF(Tabela1[[#This Row],[promien]]&lt;40000,1,0)</f>
        <v>0</v>
      </c>
      <c r="E2126" s="1">
        <f>IF(Tabela1[[#This Row],[promien]]=40000,1,0)</f>
        <v>0</v>
      </c>
      <c r="F2126" s="1">
        <v>3.1759172154280337</v>
      </c>
      <c r="G2126" s="1">
        <v>3.4324561838240619E-2</v>
      </c>
    </row>
    <row r="2127" spans="1:7">
      <c r="A2127">
        <v>225</v>
      </c>
      <c r="B2127">
        <v>59</v>
      </c>
      <c r="C2127" s="1">
        <f>(Tabela1[[#This Row],[x]]-H$3)*(Tabela1[[#This Row],[x]]-H$3) +(Tabela1[[#This Row],[y]]-H$4)*(Tabela1[[#This Row],[y]]-H$4)</f>
        <v>20506</v>
      </c>
      <c r="D2127" s="1">
        <f>IF(Tabela1[[#This Row],[promien]]&lt;40000,1,0)</f>
        <v>1</v>
      </c>
      <c r="E2127" s="1">
        <f>IF(Tabela1[[#This Row],[promien]]=40000,1,0)</f>
        <v>0</v>
      </c>
      <c r="F2127" s="1">
        <v>3.1763046544428772</v>
      </c>
      <c r="G2127" s="1">
        <v>3.4712000853084124E-2</v>
      </c>
    </row>
    <row r="2128" spans="1:7">
      <c r="A2128">
        <v>280</v>
      </c>
      <c r="B2128">
        <v>303</v>
      </c>
      <c r="C2128" s="1">
        <f>(Tabela1[[#This Row],[x]]-H$3)*(Tabela1[[#This Row],[x]]-H$3) +(Tabela1[[#This Row],[y]]-H$4)*(Tabela1[[#This Row],[y]]-H$4)</f>
        <v>17009</v>
      </c>
      <c r="D2128" s="1">
        <f>IF(Tabela1[[#This Row],[promien]]&lt;40000,1,0)</f>
        <v>1</v>
      </c>
      <c r="E2128" s="1">
        <f>IF(Tabela1[[#This Row],[promien]]=40000,1,0)</f>
        <v>0</v>
      </c>
      <c r="F2128" s="1">
        <v>3.1766917293233083</v>
      </c>
      <c r="G2128" s="1">
        <v>3.5099075733515228E-2</v>
      </c>
    </row>
    <row r="2129" spans="1:7">
      <c r="A2129">
        <v>88</v>
      </c>
      <c r="B2129">
        <v>76</v>
      </c>
      <c r="C2129" s="1">
        <f>(Tabela1[[#This Row],[x]]-H$3)*(Tabela1[[#This Row],[x]]-H$3) +(Tabela1[[#This Row],[y]]-H$4)*(Tabela1[[#This Row],[y]]-H$4)</f>
        <v>27920</v>
      </c>
      <c r="D2129" s="1">
        <f>IF(Tabela1[[#This Row],[promien]]&lt;40000,1,0)</f>
        <v>1</v>
      </c>
      <c r="E2129" s="1">
        <f>IF(Tabela1[[#This Row],[promien]]=40000,1,0)</f>
        <v>0</v>
      </c>
      <c r="F2129" s="1">
        <v>3.177078440582433</v>
      </c>
      <c r="G2129" s="1">
        <v>3.5485786992639934E-2</v>
      </c>
    </row>
    <row r="2130" spans="1:7">
      <c r="A2130">
        <v>284</v>
      </c>
      <c r="B2130">
        <v>392</v>
      </c>
      <c r="C2130" s="1">
        <f>(Tabela1[[#This Row],[x]]-H$3)*(Tabela1[[#This Row],[x]]-H$3) +(Tabela1[[#This Row],[y]]-H$4)*(Tabela1[[#This Row],[y]]-H$4)</f>
        <v>43920</v>
      </c>
      <c r="D2130" s="1">
        <f>IF(Tabela1[[#This Row],[promien]]&lt;40000,1,0)</f>
        <v>0</v>
      </c>
      <c r="E2130" s="1">
        <f>IF(Tabela1[[#This Row],[promien]]=40000,1,0)</f>
        <v>0</v>
      </c>
      <c r="F2130" s="1">
        <v>3.1755868544600938</v>
      </c>
      <c r="G2130" s="1">
        <v>3.3994200870300695E-2</v>
      </c>
    </row>
    <row r="2131" spans="1:7">
      <c r="A2131">
        <v>191</v>
      </c>
      <c r="B2131">
        <v>295</v>
      </c>
      <c r="C2131" s="1">
        <f>(Tabela1[[#This Row],[x]]-H$3)*(Tabela1[[#This Row],[x]]-H$3) +(Tabela1[[#This Row],[y]]-H$4)*(Tabela1[[#This Row],[y]]-H$4)</f>
        <v>9106</v>
      </c>
      <c r="D2131" s="1">
        <f>IF(Tabela1[[#This Row],[promien]]&lt;40000,1,0)</f>
        <v>1</v>
      </c>
      <c r="E2131" s="1">
        <f>IF(Tabela1[[#This Row],[promien]]=40000,1,0)</f>
        <v>0</v>
      </c>
      <c r="F2131" s="1">
        <v>3.1759737212576256</v>
      </c>
      <c r="G2131" s="1">
        <v>3.4381067667832443E-2</v>
      </c>
    </row>
    <row r="2132" spans="1:7">
      <c r="A2132">
        <v>14</v>
      </c>
      <c r="B2132">
        <v>139</v>
      </c>
      <c r="C2132" s="1">
        <f>(Tabela1[[#This Row],[x]]-H$3)*(Tabela1[[#This Row],[x]]-H$3) +(Tabela1[[#This Row],[y]]-H$4)*(Tabela1[[#This Row],[y]]-H$4)</f>
        <v>38317</v>
      </c>
      <c r="D2132" s="1">
        <f>IF(Tabela1[[#This Row],[promien]]&lt;40000,1,0)</f>
        <v>1</v>
      </c>
      <c r="E2132" s="1">
        <f>IF(Tabela1[[#This Row],[promien]]=40000,1,0)</f>
        <v>0</v>
      </c>
      <c r="F2132" s="1">
        <v>3.176360225140713</v>
      </c>
      <c r="G2132" s="1">
        <v>3.4767571550919918E-2</v>
      </c>
    </row>
    <row r="2133" spans="1:7">
      <c r="A2133">
        <v>207</v>
      </c>
      <c r="B2133">
        <v>385</v>
      </c>
      <c r="C2133" s="1">
        <f>(Tabela1[[#This Row],[x]]-H$3)*(Tabela1[[#This Row],[x]]-H$3) +(Tabela1[[#This Row],[y]]-H$4)*(Tabela1[[#This Row],[y]]-H$4)</f>
        <v>34274</v>
      </c>
      <c r="D2133" s="1">
        <f>IF(Tabela1[[#This Row],[promien]]&lt;40000,1,0)</f>
        <v>1</v>
      </c>
      <c r="E2133" s="1">
        <f>IF(Tabela1[[#This Row],[promien]]=40000,1,0)</f>
        <v>0</v>
      </c>
      <c r="F2133" s="1">
        <v>3.1767463666197844</v>
      </c>
      <c r="G2133" s="1">
        <v>3.5153713029991263E-2</v>
      </c>
    </row>
    <row r="2134" spans="1:7">
      <c r="A2134">
        <v>86</v>
      </c>
      <c r="B2134">
        <v>346</v>
      </c>
      <c r="C2134" s="1">
        <f>(Tabela1[[#This Row],[x]]-H$3)*(Tabela1[[#This Row],[x]]-H$3) +(Tabela1[[#This Row],[y]]-H$4)*(Tabela1[[#This Row],[y]]-H$4)</f>
        <v>34312</v>
      </c>
      <c r="D2134" s="1">
        <f>IF(Tabela1[[#This Row],[promien]]&lt;40000,1,0)</f>
        <v>1</v>
      </c>
      <c r="E2134" s="1">
        <f>IF(Tabela1[[#This Row],[promien]]=40000,1,0)</f>
        <v>0</v>
      </c>
      <c r="F2134" s="1">
        <v>3.1771321462043112</v>
      </c>
      <c r="G2134" s="1">
        <v>3.5539492614518053E-2</v>
      </c>
    </row>
    <row r="2135" spans="1:7">
      <c r="A2135">
        <v>235</v>
      </c>
      <c r="B2135">
        <v>211</v>
      </c>
      <c r="C2135" s="1">
        <f>(Tabela1[[#This Row],[x]]-H$3)*(Tabela1[[#This Row],[x]]-H$3) +(Tabela1[[#This Row],[y]]-H$4)*(Tabela1[[#This Row],[y]]-H$4)</f>
        <v>1346</v>
      </c>
      <c r="D2135" s="1">
        <f>IF(Tabela1[[#This Row],[promien]]&lt;40000,1,0)</f>
        <v>1</v>
      </c>
      <c r="E2135" s="1">
        <f>IF(Tabela1[[#This Row],[promien]]=40000,1,0)</f>
        <v>0</v>
      </c>
      <c r="F2135" s="1">
        <v>3.1775175644028102</v>
      </c>
      <c r="G2135" s="1">
        <v>3.5924910813017075E-2</v>
      </c>
    </row>
    <row r="2136" spans="1:7">
      <c r="A2136">
        <v>278</v>
      </c>
      <c r="B2136">
        <v>224</v>
      </c>
      <c r="C2136" s="1">
        <f>(Tabela1[[#This Row],[x]]-H$3)*(Tabela1[[#This Row],[x]]-H$3) +(Tabela1[[#This Row],[y]]-H$4)*(Tabela1[[#This Row],[y]]-H$4)</f>
        <v>6660</v>
      </c>
      <c r="D2136" s="1">
        <f>IF(Tabela1[[#This Row],[promien]]&lt;40000,1,0)</f>
        <v>1</v>
      </c>
      <c r="E2136" s="1">
        <f>IF(Tabela1[[#This Row],[promien]]=40000,1,0)</f>
        <v>0</v>
      </c>
      <c r="F2136" s="1">
        <v>3.1779026217228465</v>
      </c>
      <c r="G2136" s="1">
        <v>3.6309968133053427E-2</v>
      </c>
    </row>
    <row r="2137" spans="1:7">
      <c r="A2137">
        <v>79</v>
      </c>
      <c r="B2137">
        <v>39</v>
      </c>
      <c r="C2137" s="1">
        <f>(Tabela1[[#This Row],[x]]-H$3)*(Tabela1[[#This Row],[x]]-H$3) +(Tabela1[[#This Row],[y]]-H$4)*(Tabela1[[#This Row],[y]]-H$4)</f>
        <v>40562</v>
      </c>
      <c r="D2137" s="1">
        <f>IF(Tabela1[[#This Row],[promien]]&lt;40000,1,0)</f>
        <v>0</v>
      </c>
      <c r="E2137" s="1">
        <f>IF(Tabela1[[#This Row],[promien]]=40000,1,0)</f>
        <v>0</v>
      </c>
      <c r="F2137" s="1">
        <v>3.1764155357978474</v>
      </c>
      <c r="G2137" s="1">
        <v>3.4822882208054295E-2</v>
      </c>
    </row>
    <row r="2138" spans="1:7">
      <c r="A2138">
        <v>288</v>
      </c>
      <c r="B2138">
        <v>357</v>
      </c>
      <c r="C2138" s="1">
        <f>(Tabela1[[#This Row],[x]]-H$3)*(Tabela1[[#This Row],[x]]-H$3) +(Tabela1[[#This Row],[y]]-H$4)*(Tabela1[[#This Row],[y]]-H$4)</f>
        <v>32393</v>
      </c>
      <c r="D2138" s="1">
        <f>IF(Tabela1[[#This Row],[promien]]&lt;40000,1,0)</f>
        <v>1</v>
      </c>
      <c r="E2138" s="1">
        <f>IF(Tabela1[[#This Row],[promien]]=40000,1,0)</f>
        <v>0</v>
      </c>
      <c r="F2138" s="1">
        <v>3.1768007483629561</v>
      </c>
      <c r="G2138" s="1">
        <v>3.5208094773163001E-2</v>
      </c>
    </row>
    <row r="2139" spans="1:7">
      <c r="A2139">
        <v>138</v>
      </c>
      <c r="B2139">
        <v>39</v>
      </c>
      <c r="C2139" s="1">
        <f>(Tabela1[[#This Row],[x]]-H$3)*(Tabela1[[#This Row],[x]]-H$3) +(Tabela1[[#This Row],[y]]-H$4)*(Tabela1[[#This Row],[y]]-H$4)</f>
        <v>29765</v>
      </c>
      <c r="D2139" s="1">
        <f>IF(Tabela1[[#This Row],[promien]]&lt;40000,1,0)</f>
        <v>1</v>
      </c>
      <c r="E2139" s="1">
        <f>IF(Tabela1[[#This Row],[promien]]=40000,1,0)</f>
        <v>0</v>
      </c>
      <c r="F2139" s="1">
        <v>3.1771856007480133</v>
      </c>
      <c r="G2139" s="1">
        <v>3.5592947158220145E-2</v>
      </c>
    </row>
    <row r="2140" spans="1:7">
      <c r="A2140">
        <v>289</v>
      </c>
      <c r="B2140">
        <v>176</v>
      </c>
      <c r="C2140" s="1">
        <f>(Tabela1[[#This Row],[x]]-H$3)*(Tabela1[[#This Row],[x]]-H$3) +(Tabela1[[#This Row],[y]]-H$4)*(Tabela1[[#This Row],[y]]-H$4)</f>
        <v>8497</v>
      </c>
      <c r="D2140" s="1">
        <f>IF(Tabela1[[#This Row],[promien]]&lt;40000,1,0)</f>
        <v>1</v>
      </c>
      <c r="E2140" s="1">
        <f>IF(Tabela1[[#This Row],[promien]]=40000,1,0)</f>
        <v>0</v>
      </c>
      <c r="F2140" s="1">
        <v>3.1775700934579438</v>
      </c>
      <c r="G2140" s="1">
        <v>3.5977439868150718E-2</v>
      </c>
    </row>
    <row r="2141" spans="1:7">
      <c r="A2141">
        <v>316</v>
      </c>
      <c r="B2141">
        <v>156</v>
      </c>
      <c r="C2141" s="1">
        <f>(Tabela1[[#This Row],[x]]-H$3)*(Tabela1[[#This Row],[x]]-H$3) +(Tabela1[[#This Row],[y]]-H$4)*(Tabela1[[#This Row],[y]]-H$4)</f>
        <v>15392</v>
      </c>
      <c r="D2141" s="1">
        <f>IF(Tabela1[[#This Row],[promien]]&lt;40000,1,0)</f>
        <v>1</v>
      </c>
      <c r="E2141" s="1">
        <f>IF(Tabela1[[#This Row],[promien]]=40000,1,0)</f>
        <v>0</v>
      </c>
      <c r="F2141" s="1">
        <v>3.1779542269967305</v>
      </c>
      <c r="G2141" s="1">
        <v>3.6361573406937353E-2</v>
      </c>
    </row>
    <row r="2142" spans="1:7">
      <c r="A2142">
        <v>53</v>
      </c>
      <c r="B2142">
        <v>111</v>
      </c>
      <c r="C2142" s="1">
        <f>(Tabela1[[#This Row],[x]]-H$3)*(Tabela1[[#This Row],[x]]-H$3) +(Tabela1[[#This Row],[y]]-H$4)*(Tabela1[[#This Row],[y]]-H$4)</f>
        <v>29530</v>
      </c>
      <c r="D2142" s="1">
        <f>IF(Tabela1[[#This Row],[promien]]&lt;40000,1,0)</f>
        <v>1</v>
      </c>
      <c r="E2142" s="1">
        <f>IF(Tabela1[[#This Row],[promien]]=40000,1,0)</f>
        <v>0</v>
      </c>
      <c r="F2142" s="1">
        <v>3.1783380018674134</v>
      </c>
      <c r="G2142" s="1">
        <v>3.6745348277620327E-2</v>
      </c>
    </row>
    <row r="2143" spans="1:7">
      <c r="A2143">
        <v>10</v>
      </c>
      <c r="B2143">
        <v>291</v>
      </c>
      <c r="C2143" s="1">
        <f>(Tabela1[[#This Row],[x]]-H$3)*(Tabela1[[#This Row],[x]]-H$3) +(Tabela1[[#This Row],[y]]-H$4)*(Tabela1[[#This Row],[y]]-H$4)</f>
        <v>44381</v>
      </c>
      <c r="D2143" s="1">
        <f>IF(Tabela1[[#This Row],[promien]]&lt;40000,1,0)</f>
        <v>0</v>
      </c>
      <c r="E2143" s="1">
        <f>IF(Tabela1[[#This Row],[promien]]=40000,1,0)</f>
        <v>0</v>
      </c>
      <c r="F2143" s="1">
        <v>3.1768548763415771</v>
      </c>
      <c r="G2143" s="1">
        <v>3.5262222751784034E-2</v>
      </c>
    </row>
    <row r="2144" spans="1:7">
      <c r="A2144">
        <v>235</v>
      </c>
      <c r="B2144">
        <v>355</v>
      </c>
      <c r="C2144" s="1">
        <f>(Tabela1[[#This Row],[x]]-H$3)*(Tabela1[[#This Row],[x]]-H$3) +(Tabela1[[#This Row],[y]]-H$4)*(Tabela1[[#This Row],[y]]-H$4)</f>
        <v>25250</v>
      </c>
      <c r="D2144" s="1">
        <f>IF(Tabela1[[#This Row],[promien]]&lt;40000,1,0)</f>
        <v>1</v>
      </c>
      <c r="E2144" s="1">
        <f>IF(Tabela1[[#This Row],[promien]]=40000,1,0)</f>
        <v>0</v>
      </c>
      <c r="F2144" s="1">
        <v>3.1772388059701493</v>
      </c>
      <c r="G2144" s="1">
        <v>3.5646152380356178E-2</v>
      </c>
    </row>
    <row r="2145" spans="1:7">
      <c r="A2145">
        <v>204</v>
      </c>
      <c r="B2145">
        <v>31</v>
      </c>
      <c r="C2145" s="1">
        <f>(Tabela1[[#This Row],[x]]-H$3)*(Tabela1[[#This Row],[x]]-H$3) +(Tabela1[[#This Row],[y]]-H$4)*(Tabela1[[#This Row],[y]]-H$4)</f>
        <v>28577</v>
      </c>
      <c r="D2145" s="1">
        <f>IF(Tabela1[[#This Row],[promien]]&lt;40000,1,0)</f>
        <v>1</v>
      </c>
      <c r="E2145" s="1">
        <f>IF(Tabela1[[#This Row],[promien]]=40000,1,0)</f>
        <v>0</v>
      </c>
      <c r="F2145" s="1">
        <v>3.1776223776223778</v>
      </c>
      <c r="G2145" s="1">
        <v>3.6029724032584642E-2</v>
      </c>
    </row>
    <row r="2146" spans="1:7">
      <c r="A2146">
        <v>64</v>
      </c>
      <c r="B2146">
        <v>181</v>
      </c>
      <c r="C2146" s="1">
        <f>(Tabela1[[#This Row],[x]]-H$3)*(Tabela1[[#This Row],[x]]-H$3) +(Tabela1[[#This Row],[y]]-H$4)*(Tabela1[[#This Row],[y]]-H$4)</f>
        <v>18857</v>
      </c>
      <c r="D2146" s="1">
        <f>IF(Tabela1[[#This Row],[promien]]&lt;40000,1,0)</f>
        <v>1</v>
      </c>
      <c r="E2146" s="1">
        <f>IF(Tabela1[[#This Row],[promien]]=40000,1,0)</f>
        <v>0</v>
      </c>
      <c r="F2146" s="1">
        <v>3.1780055917986951</v>
      </c>
      <c r="G2146" s="1">
        <v>3.6412938208902013E-2</v>
      </c>
    </row>
    <row r="2147" spans="1:7">
      <c r="A2147">
        <v>67</v>
      </c>
      <c r="B2147">
        <v>309</v>
      </c>
      <c r="C2147" s="1">
        <f>(Tabela1[[#This Row],[x]]-H$3)*(Tabela1[[#This Row],[x]]-H$3) +(Tabela1[[#This Row],[y]]-H$4)*(Tabela1[[#This Row],[y]]-H$4)</f>
        <v>29570</v>
      </c>
      <c r="D2147" s="1">
        <f>IF(Tabela1[[#This Row],[promien]]&lt;40000,1,0)</f>
        <v>1</v>
      </c>
      <c r="E2147" s="1">
        <f>IF(Tabela1[[#This Row],[promien]]=40000,1,0)</f>
        <v>0</v>
      </c>
      <c r="F2147" s="1">
        <v>3.1783884489986027</v>
      </c>
      <c r="G2147" s="1">
        <v>3.6795795408809617E-2</v>
      </c>
    </row>
    <row r="2148" spans="1:7">
      <c r="A2148">
        <v>229</v>
      </c>
      <c r="B2148">
        <v>329</v>
      </c>
      <c r="C2148" s="1">
        <f>(Tabela1[[#This Row],[x]]-H$3)*(Tabela1[[#This Row],[x]]-H$3) +(Tabela1[[#This Row],[y]]-H$4)*(Tabela1[[#This Row],[y]]-H$4)</f>
        <v>17482</v>
      </c>
      <c r="D2148" s="1">
        <f>IF(Tabela1[[#This Row],[promien]]&lt;40000,1,0)</f>
        <v>1</v>
      </c>
      <c r="E2148" s="1">
        <f>IF(Tabela1[[#This Row],[promien]]=40000,1,0)</f>
        <v>0</v>
      </c>
      <c r="F2148" s="1">
        <v>3.1787709497206702</v>
      </c>
      <c r="G2148" s="1">
        <v>3.7178296130877087E-2</v>
      </c>
    </row>
    <row r="2149" spans="1:7">
      <c r="A2149">
        <v>379</v>
      </c>
      <c r="B2149">
        <v>29</v>
      </c>
      <c r="C2149" s="1">
        <f>(Tabela1[[#This Row],[x]]-H$3)*(Tabela1[[#This Row],[x]]-H$3) +(Tabela1[[#This Row],[y]]-H$4)*(Tabela1[[#This Row],[y]]-H$4)</f>
        <v>61282</v>
      </c>
      <c r="D2149" s="1">
        <f>IF(Tabela1[[#This Row],[promien]]&lt;40000,1,0)</f>
        <v>0</v>
      </c>
      <c r="E2149" s="1">
        <f>IF(Tabela1[[#This Row],[promien]]=40000,1,0)</f>
        <v>0</v>
      </c>
      <c r="F2149" s="1">
        <v>3.1772917636109819</v>
      </c>
      <c r="G2149" s="1">
        <v>3.5699110021188751E-2</v>
      </c>
    </row>
    <row r="2150" spans="1:7">
      <c r="A2150">
        <v>233</v>
      </c>
      <c r="B2150">
        <v>231</v>
      </c>
      <c r="C2150" s="1">
        <f>(Tabela1[[#This Row],[x]]-H$3)*(Tabela1[[#This Row],[x]]-H$3) +(Tabela1[[#This Row],[y]]-H$4)*(Tabela1[[#This Row],[y]]-H$4)</f>
        <v>2050</v>
      </c>
      <c r="D2150" s="1">
        <f>IF(Tabela1[[#This Row],[promien]]&lt;40000,1,0)</f>
        <v>1</v>
      </c>
      <c r="E2150" s="1">
        <f>IF(Tabela1[[#This Row],[promien]]=40000,1,0)</f>
        <v>0</v>
      </c>
      <c r="F2150" s="1">
        <v>3.1776744186046511</v>
      </c>
      <c r="G2150" s="1">
        <v>3.6081765014857936E-2</v>
      </c>
    </row>
    <row r="2151" spans="1:7">
      <c r="A2151">
        <v>158</v>
      </c>
      <c r="B2151">
        <v>255</v>
      </c>
      <c r="C2151" s="1">
        <f>(Tabela1[[#This Row],[x]]-H$3)*(Tabela1[[#This Row],[x]]-H$3) +(Tabela1[[#This Row],[y]]-H$4)*(Tabela1[[#This Row],[y]]-H$4)</f>
        <v>4789</v>
      </c>
      <c r="D2151" s="1">
        <f>IF(Tabela1[[#This Row],[promien]]&lt;40000,1,0)</f>
        <v>1</v>
      </c>
      <c r="E2151" s="1">
        <f>IF(Tabela1[[#This Row],[promien]]=40000,1,0)</f>
        <v>0</v>
      </c>
      <c r="F2151" s="1">
        <v>3.1780567178056716</v>
      </c>
      <c r="G2151" s="1">
        <v>3.6464064215878444E-2</v>
      </c>
    </row>
    <row r="2152" spans="1:7">
      <c r="A2152">
        <v>328</v>
      </c>
      <c r="B2152">
        <v>220</v>
      </c>
      <c r="C2152" s="1">
        <f>(Tabela1[[#This Row],[x]]-H$3)*(Tabela1[[#This Row],[x]]-H$3) +(Tabela1[[#This Row],[y]]-H$4)*(Tabela1[[#This Row],[y]]-H$4)</f>
        <v>16784</v>
      </c>
      <c r="D2152" s="1">
        <f>IF(Tabela1[[#This Row],[promien]]&lt;40000,1,0)</f>
        <v>1</v>
      </c>
      <c r="E2152" s="1">
        <f>IF(Tabela1[[#This Row],[promien]]=40000,1,0)</f>
        <v>0</v>
      </c>
      <c r="F2152" s="1">
        <v>3.1784386617100373</v>
      </c>
      <c r="G2152" s="1">
        <v>3.6846008120244189E-2</v>
      </c>
    </row>
    <row r="2153" spans="1:7">
      <c r="A2153">
        <v>102</v>
      </c>
      <c r="B2153">
        <v>123</v>
      </c>
      <c r="C2153" s="1">
        <f>(Tabela1[[#This Row],[x]]-H$3)*(Tabela1[[#This Row],[x]]-H$3) +(Tabela1[[#This Row],[y]]-H$4)*(Tabela1[[#This Row],[y]]-H$4)</f>
        <v>15533</v>
      </c>
      <c r="D2153" s="1">
        <f>IF(Tabela1[[#This Row],[promien]]&lt;40000,1,0)</f>
        <v>1</v>
      </c>
      <c r="E2153" s="1">
        <f>IF(Tabela1[[#This Row],[promien]]=40000,1,0)</f>
        <v>0</v>
      </c>
      <c r="F2153" s="1">
        <v>3.1788202508128194</v>
      </c>
      <c r="G2153" s="1">
        <v>3.7227597223026265E-2</v>
      </c>
    </row>
    <row r="2154" spans="1:7">
      <c r="A2154">
        <v>67</v>
      </c>
      <c r="B2154">
        <v>316</v>
      </c>
      <c r="C2154" s="1">
        <f>(Tabela1[[#This Row],[x]]-H$3)*(Tabela1[[#This Row],[x]]-H$3) +(Tabela1[[#This Row],[y]]-H$4)*(Tabela1[[#This Row],[y]]-H$4)</f>
        <v>31145</v>
      </c>
      <c r="D2154" s="1">
        <f>IF(Tabela1[[#This Row],[promien]]&lt;40000,1,0)</f>
        <v>1</v>
      </c>
      <c r="E2154" s="1">
        <f>IF(Tabela1[[#This Row],[promien]]=40000,1,0)</f>
        <v>0</v>
      </c>
      <c r="F2154" s="1">
        <v>3.179201485608171</v>
      </c>
      <c r="G2154" s="1">
        <v>3.7608832018377836E-2</v>
      </c>
    </row>
    <row r="2155" spans="1:7">
      <c r="A2155">
        <v>389</v>
      </c>
      <c r="B2155">
        <v>108</v>
      </c>
      <c r="C2155" s="1">
        <f>(Tabela1[[#This Row],[x]]-H$3)*(Tabela1[[#This Row],[x]]-H$3) +(Tabela1[[#This Row],[y]]-H$4)*(Tabela1[[#This Row],[y]]-H$4)</f>
        <v>44185</v>
      </c>
      <c r="D2155" s="1">
        <f>IF(Tabela1[[#This Row],[promien]]&lt;40000,1,0)</f>
        <v>0</v>
      </c>
      <c r="E2155" s="1">
        <f>IF(Tabela1[[#This Row],[promien]]=40000,1,0)</f>
        <v>0</v>
      </c>
      <c r="F2155" s="1">
        <v>3.1777262180974479</v>
      </c>
      <c r="G2155" s="1">
        <v>3.6133564507654814E-2</v>
      </c>
    </row>
    <row r="2156" spans="1:7">
      <c r="A2156">
        <v>47</v>
      </c>
      <c r="B2156">
        <v>133</v>
      </c>
      <c r="C2156" s="1">
        <f>(Tabela1[[#This Row],[x]]-H$3)*(Tabela1[[#This Row],[x]]-H$3) +(Tabela1[[#This Row],[y]]-H$4)*(Tabela1[[#This Row],[y]]-H$4)</f>
        <v>27898</v>
      </c>
      <c r="D2156" s="1">
        <f>IF(Tabela1[[#This Row],[promien]]&lt;40000,1,0)</f>
        <v>1</v>
      </c>
      <c r="E2156" s="1">
        <f>IF(Tabela1[[#This Row],[promien]]=40000,1,0)</f>
        <v>0</v>
      </c>
      <c r="F2156" s="1">
        <v>3.1781076066790352</v>
      </c>
      <c r="G2156" s="1">
        <v>3.651495308924213E-2</v>
      </c>
    </row>
    <row r="2157" spans="1:7">
      <c r="A2157">
        <v>385</v>
      </c>
      <c r="B2157">
        <v>163</v>
      </c>
      <c r="C2157" s="1">
        <f>(Tabela1[[#This Row],[x]]-H$3)*(Tabela1[[#This Row],[x]]-H$3) +(Tabela1[[#This Row],[y]]-H$4)*(Tabela1[[#This Row],[y]]-H$4)</f>
        <v>35594</v>
      </c>
      <c r="D2157" s="1">
        <f>IF(Tabela1[[#This Row],[promien]]&lt;40000,1,0)</f>
        <v>1</v>
      </c>
      <c r="E2157" s="1">
        <f>IF(Tabela1[[#This Row],[promien]]=40000,1,0)</f>
        <v>0</v>
      </c>
      <c r="F2157" s="1">
        <v>3.1784886416318963</v>
      </c>
      <c r="G2157" s="1">
        <v>3.6895988042103145E-2</v>
      </c>
    </row>
    <row r="2158" spans="1:7">
      <c r="A2158">
        <v>240</v>
      </c>
      <c r="B2158">
        <v>137</v>
      </c>
      <c r="C2158" s="1">
        <f>(Tabela1[[#This Row],[x]]-H$3)*(Tabela1[[#This Row],[x]]-H$3) +(Tabela1[[#This Row],[y]]-H$4)*(Tabela1[[#This Row],[y]]-H$4)</f>
        <v>5569</v>
      </c>
      <c r="D2158" s="1">
        <f>IF(Tabela1[[#This Row],[promien]]&lt;40000,1,0)</f>
        <v>1</v>
      </c>
      <c r="E2158" s="1">
        <f>IF(Tabela1[[#This Row],[promien]]=40000,1,0)</f>
        <v>0</v>
      </c>
      <c r="F2158" s="1">
        <v>3.1788693234476368</v>
      </c>
      <c r="G2158" s="1">
        <v>3.7276669857843725E-2</v>
      </c>
    </row>
    <row r="2159" spans="1:7">
      <c r="A2159">
        <v>20</v>
      </c>
      <c r="B2159">
        <v>166</v>
      </c>
      <c r="C2159" s="1">
        <f>(Tabela1[[#This Row],[x]]-H$3)*(Tabela1[[#This Row],[x]]-H$3) +(Tabela1[[#This Row],[y]]-H$4)*(Tabela1[[#This Row],[y]]-H$4)</f>
        <v>33556</v>
      </c>
      <c r="D2159" s="1">
        <f>IF(Tabela1[[#This Row],[promien]]&lt;40000,1,0)</f>
        <v>1</v>
      </c>
      <c r="E2159" s="1">
        <f>IF(Tabela1[[#This Row],[promien]]=40000,1,0)</f>
        <v>0</v>
      </c>
      <c r="F2159" s="1">
        <v>3.1792496526169525</v>
      </c>
      <c r="G2159" s="1">
        <v>3.7656999027159355E-2</v>
      </c>
    </row>
    <row r="2160" spans="1:7">
      <c r="A2160">
        <v>177</v>
      </c>
      <c r="B2160">
        <v>21</v>
      </c>
      <c r="C2160" s="1">
        <f>(Tabela1[[#This Row],[x]]-H$3)*(Tabela1[[#This Row],[x]]-H$3) +(Tabela1[[#This Row],[y]]-H$4)*(Tabela1[[#This Row],[y]]-H$4)</f>
        <v>32570</v>
      </c>
      <c r="D2160" s="1">
        <f>IF(Tabela1[[#This Row],[promien]]&lt;40000,1,0)</f>
        <v>1</v>
      </c>
      <c r="E2160" s="1">
        <f>IF(Tabela1[[#This Row],[promien]]=40000,1,0)</f>
        <v>0</v>
      </c>
      <c r="F2160" s="1">
        <v>3.1796296296296296</v>
      </c>
      <c r="G2160" s="1">
        <v>3.8036976039836468E-2</v>
      </c>
    </row>
    <row r="2161" spans="1:7">
      <c r="A2161">
        <v>284</v>
      </c>
      <c r="B2161">
        <v>374</v>
      </c>
      <c r="C2161" s="1">
        <f>(Tabela1[[#This Row],[x]]-H$3)*(Tabela1[[#This Row],[x]]-H$3) +(Tabela1[[#This Row],[y]]-H$4)*(Tabela1[[#This Row],[y]]-H$4)</f>
        <v>37332</v>
      </c>
      <c r="D2161" s="1">
        <f>IF(Tabela1[[#This Row],[promien]]&lt;40000,1,0)</f>
        <v>1</v>
      </c>
      <c r="E2161" s="1">
        <f>IF(Tabela1[[#This Row],[promien]]=40000,1,0)</f>
        <v>0</v>
      </c>
      <c r="F2161" s="1">
        <v>3.1800092549745487</v>
      </c>
      <c r="G2161" s="1">
        <v>3.8416601384755555E-2</v>
      </c>
    </row>
    <row r="2162" spans="1:7">
      <c r="A2162">
        <v>154</v>
      </c>
      <c r="B2162">
        <v>356</v>
      </c>
      <c r="C2162" s="1">
        <f>(Tabela1[[#This Row],[x]]-H$3)*(Tabela1[[#This Row],[x]]-H$3) +(Tabela1[[#This Row],[y]]-H$4)*(Tabela1[[#This Row],[y]]-H$4)</f>
        <v>26452</v>
      </c>
      <c r="D2162" s="1">
        <f>IF(Tabela1[[#This Row],[promien]]&lt;40000,1,0)</f>
        <v>1</v>
      </c>
      <c r="E2162" s="1">
        <f>IF(Tabela1[[#This Row],[promien]]=40000,1,0)</f>
        <v>0</v>
      </c>
      <c r="F2162" s="1">
        <v>3.1803885291396856</v>
      </c>
      <c r="G2162" s="1">
        <v>3.87958755498925E-2</v>
      </c>
    </row>
    <row r="2163" spans="1:7">
      <c r="A2163">
        <v>281</v>
      </c>
      <c r="B2163">
        <v>314</v>
      </c>
      <c r="C2163" s="1">
        <f>(Tabela1[[#This Row],[x]]-H$3)*(Tabela1[[#This Row],[x]]-H$3) +(Tabela1[[#This Row],[y]]-H$4)*(Tabela1[[#This Row],[y]]-H$4)</f>
        <v>19557</v>
      </c>
      <c r="D2163" s="1">
        <f>IF(Tabela1[[#This Row],[promien]]&lt;40000,1,0)</f>
        <v>1</v>
      </c>
      <c r="E2163" s="1">
        <f>IF(Tabela1[[#This Row],[promien]]=40000,1,0)</f>
        <v>0</v>
      </c>
      <c r="F2163" s="1">
        <v>3.180767452612113</v>
      </c>
      <c r="G2163" s="1">
        <v>3.9174799022319906E-2</v>
      </c>
    </row>
    <row r="2164" spans="1:7">
      <c r="A2164">
        <v>205</v>
      </c>
      <c r="B2164">
        <v>64</v>
      </c>
      <c r="C2164" s="1">
        <f>(Tabela1[[#This Row],[x]]-H$3)*(Tabela1[[#This Row],[x]]-H$3) +(Tabela1[[#This Row],[y]]-H$4)*(Tabela1[[#This Row],[y]]-H$4)</f>
        <v>18521</v>
      </c>
      <c r="D2164" s="1">
        <f>IF(Tabela1[[#This Row],[promien]]&lt;40000,1,0)</f>
        <v>1</v>
      </c>
      <c r="E2164" s="1">
        <f>IF(Tabela1[[#This Row],[promien]]=40000,1,0)</f>
        <v>0</v>
      </c>
      <c r="F2164" s="1">
        <v>3.1811460258780038</v>
      </c>
      <c r="G2164" s="1">
        <v>3.9553372288210653E-2</v>
      </c>
    </row>
    <row r="2165" spans="1:7">
      <c r="A2165">
        <v>14</v>
      </c>
      <c r="B2165">
        <v>231</v>
      </c>
      <c r="C2165" s="1">
        <f>(Tabela1[[#This Row],[x]]-H$3)*(Tabela1[[#This Row],[x]]-H$3) +(Tabela1[[#This Row],[y]]-H$4)*(Tabela1[[#This Row],[y]]-H$4)</f>
        <v>35557</v>
      </c>
      <c r="D2165" s="1">
        <f>IF(Tabela1[[#This Row],[promien]]&lt;40000,1,0)</f>
        <v>1</v>
      </c>
      <c r="E2165" s="1">
        <f>IF(Tabela1[[#This Row],[promien]]=40000,1,0)</f>
        <v>0</v>
      </c>
      <c r="F2165" s="1">
        <v>3.1815242494226328</v>
      </c>
      <c r="G2165" s="1">
        <v>3.9931595832839673E-2</v>
      </c>
    </row>
    <row r="2166" spans="1:7">
      <c r="A2166">
        <v>347</v>
      </c>
      <c r="B2166">
        <v>134</v>
      </c>
      <c r="C2166" s="1">
        <f>(Tabela1[[#This Row],[x]]-H$3)*(Tabela1[[#This Row],[x]]-H$3) +(Tabela1[[#This Row],[y]]-H$4)*(Tabela1[[#This Row],[y]]-H$4)</f>
        <v>25965</v>
      </c>
      <c r="D2166" s="1">
        <f>IF(Tabela1[[#This Row],[promien]]&lt;40000,1,0)</f>
        <v>1</v>
      </c>
      <c r="E2166" s="1">
        <f>IF(Tabela1[[#This Row],[promien]]=40000,1,0)</f>
        <v>0</v>
      </c>
      <c r="F2166" s="1">
        <v>3.1819021237303784</v>
      </c>
      <c r="G2166" s="1">
        <v>4.030947014058528E-2</v>
      </c>
    </row>
    <row r="2167" spans="1:7">
      <c r="A2167">
        <v>227</v>
      </c>
      <c r="B2167">
        <v>204</v>
      </c>
      <c r="C2167" s="1">
        <f>(Tabela1[[#This Row],[x]]-H$3)*(Tabela1[[#This Row],[x]]-H$3) +(Tabela1[[#This Row],[y]]-H$4)*(Tabela1[[#This Row],[y]]-H$4)</f>
        <v>745</v>
      </c>
      <c r="D2167" s="1">
        <f>IF(Tabela1[[#This Row],[promien]]&lt;40000,1,0)</f>
        <v>1</v>
      </c>
      <c r="E2167" s="1">
        <f>IF(Tabela1[[#This Row],[promien]]=40000,1,0)</f>
        <v>0</v>
      </c>
      <c r="F2167" s="1">
        <v>3.1822796492847254</v>
      </c>
      <c r="G2167" s="1">
        <v>4.0686995694932282E-2</v>
      </c>
    </row>
    <row r="2168" spans="1:7">
      <c r="A2168">
        <v>98</v>
      </c>
      <c r="B2168">
        <v>206</v>
      </c>
      <c r="C2168" s="1">
        <f>(Tabela1[[#This Row],[x]]-H$3)*(Tabela1[[#This Row],[x]]-H$3) +(Tabela1[[#This Row],[y]]-H$4)*(Tabela1[[#This Row],[y]]-H$4)</f>
        <v>10440</v>
      </c>
      <c r="D2168" s="1">
        <f>IF(Tabela1[[#This Row],[promien]]&lt;40000,1,0)</f>
        <v>1</v>
      </c>
      <c r="E2168" s="1">
        <f>IF(Tabela1[[#This Row],[promien]]=40000,1,0)</f>
        <v>0</v>
      </c>
      <c r="F2168" s="1">
        <v>3.1826568265682655</v>
      </c>
      <c r="G2168" s="1">
        <v>4.1064172978472424E-2</v>
      </c>
    </row>
    <row r="2169" spans="1:7">
      <c r="A2169">
        <v>343</v>
      </c>
      <c r="B2169">
        <v>144</v>
      </c>
      <c r="C2169" s="1">
        <f>(Tabela1[[#This Row],[x]]-H$3)*(Tabela1[[#This Row],[x]]-H$3) +(Tabela1[[#This Row],[y]]-H$4)*(Tabela1[[#This Row],[y]]-H$4)</f>
        <v>23585</v>
      </c>
      <c r="D2169" s="1">
        <f>IF(Tabela1[[#This Row],[promien]]&lt;40000,1,0)</f>
        <v>1</v>
      </c>
      <c r="E2169" s="1">
        <f>IF(Tabela1[[#This Row],[promien]]=40000,1,0)</f>
        <v>0</v>
      </c>
      <c r="F2169" s="1">
        <v>3.1830336560627015</v>
      </c>
      <c r="G2169" s="1">
        <v>4.1441002472908384E-2</v>
      </c>
    </row>
    <row r="2170" spans="1:7">
      <c r="A2170">
        <v>318</v>
      </c>
      <c r="B2170">
        <v>305</v>
      </c>
      <c r="C2170" s="1">
        <f>(Tabela1[[#This Row],[x]]-H$3)*(Tabela1[[#This Row],[x]]-H$3) +(Tabela1[[#This Row],[y]]-H$4)*(Tabela1[[#This Row],[y]]-H$4)</f>
        <v>24949</v>
      </c>
      <c r="D2170" s="1">
        <f>IF(Tabela1[[#This Row],[promien]]&lt;40000,1,0)</f>
        <v>1</v>
      </c>
      <c r="E2170" s="1">
        <f>IF(Tabela1[[#This Row],[promien]]=40000,1,0)</f>
        <v>0</v>
      </c>
      <c r="F2170" s="1">
        <v>3.1834101382488478</v>
      </c>
      <c r="G2170" s="1">
        <v>4.181748465905466E-2</v>
      </c>
    </row>
    <row r="2171" spans="1:7">
      <c r="A2171">
        <v>45</v>
      </c>
      <c r="B2171">
        <v>71</v>
      </c>
      <c r="C2171" s="1">
        <f>(Tabela1[[#This Row],[x]]-H$3)*(Tabela1[[#This Row],[x]]-H$3) +(Tabela1[[#This Row],[y]]-H$4)*(Tabela1[[#This Row],[y]]-H$4)</f>
        <v>40666</v>
      </c>
      <c r="D2171" s="1">
        <f>IF(Tabela1[[#This Row],[promien]]&lt;40000,1,0)</f>
        <v>0</v>
      </c>
      <c r="E2171" s="1">
        <f>IF(Tabela1[[#This Row],[promien]]=40000,1,0)</f>
        <v>0</v>
      </c>
      <c r="F2171" s="1">
        <v>3.1819438046982955</v>
      </c>
      <c r="G2171" s="1">
        <v>4.0351151108502403E-2</v>
      </c>
    </row>
    <row r="2172" spans="1:7">
      <c r="A2172">
        <v>50</v>
      </c>
      <c r="B2172">
        <v>373</v>
      </c>
      <c r="C2172" s="1">
        <f>(Tabela1[[#This Row],[x]]-H$3)*(Tabela1[[#This Row],[x]]-H$3) +(Tabela1[[#This Row],[y]]-H$4)*(Tabela1[[#This Row],[y]]-H$4)</f>
        <v>52429</v>
      </c>
      <c r="D2172" s="1">
        <f>IF(Tabela1[[#This Row],[promien]]&lt;40000,1,0)</f>
        <v>0</v>
      </c>
      <c r="E2172" s="1">
        <f>IF(Tabela1[[#This Row],[promien]]=40000,1,0)</f>
        <v>0</v>
      </c>
      <c r="F2172" s="1">
        <v>3.1804788213627995</v>
      </c>
      <c r="G2172" s="1">
        <v>3.8886167773006353E-2</v>
      </c>
    </row>
    <row r="2173" spans="1:7">
      <c r="A2173">
        <v>176</v>
      </c>
      <c r="B2173">
        <v>388</v>
      </c>
      <c r="C2173" s="1">
        <f>(Tabela1[[#This Row],[x]]-H$3)*(Tabela1[[#This Row],[x]]-H$3) +(Tabela1[[#This Row],[y]]-H$4)*(Tabela1[[#This Row],[y]]-H$4)</f>
        <v>35920</v>
      </c>
      <c r="D2173" s="1">
        <f>IF(Tabela1[[#This Row],[promien]]&lt;40000,1,0)</f>
        <v>1</v>
      </c>
      <c r="E2173" s="1">
        <f>IF(Tabela1[[#This Row],[promien]]=40000,1,0)</f>
        <v>0</v>
      </c>
      <c r="F2173" s="1">
        <v>3.180855959502991</v>
      </c>
      <c r="G2173" s="1">
        <v>3.9263305913197932E-2</v>
      </c>
    </row>
    <row r="2174" spans="1:7">
      <c r="A2174">
        <v>263</v>
      </c>
      <c r="B2174">
        <v>352</v>
      </c>
      <c r="C2174" s="1">
        <f>(Tabela1[[#This Row],[x]]-H$3)*(Tabela1[[#This Row],[x]]-H$3) +(Tabela1[[#This Row],[y]]-H$4)*(Tabela1[[#This Row],[y]]-H$4)</f>
        <v>27073</v>
      </c>
      <c r="D2174" s="1">
        <f>IF(Tabela1[[#This Row],[promien]]&lt;40000,1,0)</f>
        <v>1</v>
      </c>
      <c r="E2174" s="1">
        <f>IF(Tabela1[[#This Row],[promien]]=40000,1,0)</f>
        <v>0</v>
      </c>
      <c r="F2174" s="1">
        <v>3.1812327506899725</v>
      </c>
      <c r="G2174" s="1">
        <v>3.964009710017935E-2</v>
      </c>
    </row>
    <row r="2175" spans="1:7">
      <c r="A2175">
        <v>296</v>
      </c>
      <c r="B2175">
        <v>134</v>
      </c>
      <c r="C2175" s="1">
        <f>(Tabela1[[#This Row],[x]]-H$3)*(Tabela1[[#This Row],[x]]-H$3) +(Tabela1[[#This Row],[y]]-H$4)*(Tabela1[[#This Row],[y]]-H$4)</f>
        <v>13572</v>
      </c>
      <c r="D2175" s="1">
        <f>IF(Tabela1[[#This Row],[promien]]&lt;40000,1,0)</f>
        <v>1</v>
      </c>
      <c r="E2175" s="1">
        <f>IF(Tabela1[[#This Row],[promien]]=40000,1,0)</f>
        <v>0</v>
      </c>
      <c r="F2175" s="1">
        <v>3.1816091954022987</v>
      </c>
      <c r="G2175" s="1">
        <v>4.0016541812505579E-2</v>
      </c>
    </row>
    <row r="2176" spans="1:7">
      <c r="A2176">
        <v>138</v>
      </c>
      <c r="B2176">
        <v>313</v>
      </c>
      <c r="C2176" s="1">
        <f>(Tabela1[[#This Row],[x]]-H$3)*(Tabela1[[#This Row],[x]]-H$3) +(Tabela1[[#This Row],[y]]-H$4)*(Tabela1[[#This Row],[y]]-H$4)</f>
        <v>16613</v>
      </c>
      <c r="D2176" s="1">
        <f>IF(Tabela1[[#This Row],[promien]]&lt;40000,1,0)</f>
        <v>1</v>
      </c>
      <c r="E2176" s="1">
        <f>IF(Tabela1[[#This Row],[promien]]=40000,1,0)</f>
        <v>0</v>
      </c>
      <c r="F2176" s="1">
        <v>3.1819852941176472</v>
      </c>
      <c r="G2176" s="1">
        <v>4.0392640527854073E-2</v>
      </c>
    </row>
    <row r="2177" spans="1:7">
      <c r="A2177">
        <v>1</v>
      </c>
      <c r="B2177">
        <v>382</v>
      </c>
      <c r="C2177" s="1">
        <f>(Tabela1[[#This Row],[x]]-H$3)*(Tabela1[[#This Row],[x]]-H$3) +(Tabela1[[#This Row],[y]]-H$4)*(Tabela1[[#This Row],[y]]-H$4)</f>
        <v>72725</v>
      </c>
      <c r="D2177" s="1">
        <f>IF(Tabela1[[#This Row],[promien]]&lt;40000,1,0)</f>
        <v>0</v>
      </c>
      <c r="E2177" s="1">
        <f>IF(Tabela1[[#This Row],[promien]]=40000,1,0)</f>
        <v>0</v>
      </c>
      <c r="F2177" s="1">
        <v>3.1805236564079009</v>
      </c>
      <c r="G2177" s="1">
        <v>3.8931002818107796E-2</v>
      </c>
    </row>
    <row r="2178" spans="1:7">
      <c r="A2178">
        <v>287</v>
      </c>
      <c r="B2178">
        <v>265</v>
      </c>
      <c r="C2178" s="1">
        <f>(Tabela1[[#This Row],[x]]-H$3)*(Tabela1[[#This Row],[x]]-H$3) +(Tabela1[[#This Row],[y]]-H$4)*(Tabela1[[#This Row],[y]]-H$4)</f>
        <v>11794</v>
      </c>
      <c r="D2178" s="1">
        <f>IF(Tabela1[[#This Row],[promien]]&lt;40000,1,0)</f>
        <v>1</v>
      </c>
      <c r="E2178" s="1">
        <f>IF(Tabela1[[#This Row],[promien]]=40000,1,0)</f>
        <v>0</v>
      </c>
      <c r="F2178" s="1">
        <v>3.1808999081726355</v>
      </c>
      <c r="G2178" s="1">
        <v>3.9307254582842344E-2</v>
      </c>
    </row>
    <row r="2179" spans="1:7">
      <c r="A2179">
        <v>156</v>
      </c>
      <c r="B2179">
        <v>124</v>
      </c>
      <c r="C2179" s="1">
        <f>(Tabela1[[#This Row],[x]]-H$3)*(Tabela1[[#This Row],[x]]-H$3) +(Tabela1[[#This Row],[y]]-H$4)*(Tabela1[[#This Row],[y]]-H$4)</f>
        <v>7712</v>
      </c>
      <c r="D2179" s="1">
        <f>IF(Tabela1[[#This Row],[promien]]&lt;40000,1,0)</f>
        <v>1</v>
      </c>
      <c r="E2179" s="1">
        <f>IF(Tabela1[[#This Row],[promien]]=40000,1,0)</f>
        <v>0</v>
      </c>
      <c r="F2179" s="1">
        <v>3.1812758145938504</v>
      </c>
      <c r="G2179" s="1">
        <v>3.9683161004057332E-2</v>
      </c>
    </row>
    <row r="2180" spans="1:7">
      <c r="A2180">
        <v>374</v>
      </c>
      <c r="B2180">
        <v>281</v>
      </c>
      <c r="C2180" s="1">
        <f>(Tabela1[[#This Row],[x]]-H$3)*(Tabela1[[#This Row],[x]]-H$3) +(Tabela1[[#This Row],[y]]-H$4)*(Tabela1[[#This Row],[y]]-H$4)</f>
        <v>36837</v>
      </c>
      <c r="D2180" s="1">
        <f>IF(Tabela1[[#This Row],[promien]]&lt;40000,1,0)</f>
        <v>1</v>
      </c>
      <c r="E2180" s="1">
        <f>IF(Tabela1[[#This Row],[promien]]=40000,1,0)</f>
        <v>0</v>
      </c>
      <c r="F2180" s="1">
        <v>3.1816513761467888</v>
      </c>
      <c r="G2180" s="1">
        <v>4.0058722556995718E-2</v>
      </c>
    </row>
    <row r="2181" spans="1:7">
      <c r="A2181">
        <v>106</v>
      </c>
      <c r="B2181">
        <v>203</v>
      </c>
      <c r="C2181" s="1">
        <f>(Tabela1[[#This Row],[x]]-H$3)*(Tabela1[[#This Row],[x]]-H$3) +(Tabela1[[#This Row],[y]]-H$4)*(Tabela1[[#This Row],[y]]-H$4)</f>
        <v>8845</v>
      </c>
      <c r="D2181" s="1">
        <f>IF(Tabela1[[#This Row],[promien]]&lt;40000,1,0)</f>
        <v>1</v>
      </c>
      <c r="E2181" s="1">
        <f>IF(Tabela1[[#This Row],[promien]]=40000,1,0)</f>
        <v>0</v>
      </c>
      <c r="F2181" s="1">
        <v>3.1820265933058232</v>
      </c>
      <c r="G2181" s="1">
        <v>4.0433939716030043E-2</v>
      </c>
    </row>
    <row r="2182" spans="1:7">
      <c r="A2182">
        <v>318</v>
      </c>
      <c r="B2182">
        <v>362</v>
      </c>
      <c r="C2182" s="1">
        <f>(Tabela1[[#This Row],[x]]-H$3)*(Tabela1[[#This Row],[x]]-H$3) +(Tabela1[[#This Row],[y]]-H$4)*(Tabela1[[#This Row],[y]]-H$4)</f>
        <v>40168</v>
      </c>
      <c r="D2182" s="1">
        <f>IF(Tabela1[[#This Row],[promien]]&lt;40000,1,0)</f>
        <v>0</v>
      </c>
      <c r="E2182" s="1">
        <f>IF(Tabela1[[#This Row],[promien]]=40000,1,0)</f>
        <v>0</v>
      </c>
      <c r="F2182" s="1">
        <v>3.1805682859761686</v>
      </c>
      <c r="G2182" s="1">
        <v>3.8975632386375469E-2</v>
      </c>
    </row>
    <row r="2183" spans="1:7">
      <c r="A2183">
        <v>283</v>
      </c>
      <c r="B2183">
        <v>160</v>
      </c>
      <c r="C2183" s="1">
        <f>(Tabela1[[#This Row],[x]]-H$3)*(Tabela1[[#This Row],[x]]-H$3) +(Tabela1[[#This Row],[y]]-H$4)*(Tabela1[[#This Row],[y]]-H$4)</f>
        <v>8489</v>
      </c>
      <c r="D2183" s="1">
        <f>IF(Tabela1[[#This Row],[promien]]&lt;40000,1,0)</f>
        <v>1</v>
      </c>
      <c r="E2183" s="1">
        <f>IF(Tabela1[[#This Row],[promien]]=40000,1,0)</f>
        <v>0</v>
      </c>
      <c r="F2183" s="1">
        <v>3.1809436555199269</v>
      </c>
      <c r="G2183" s="1">
        <v>3.9351001930133744E-2</v>
      </c>
    </row>
    <row r="2184" spans="1:7">
      <c r="A2184">
        <v>174</v>
      </c>
      <c r="B2184">
        <v>235</v>
      </c>
      <c r="C2184" s="1">
        <f>(Tabela1[[#This Row],[x]]-H$3)*(Tabela1[[#This Row],[x]]-H$3) +(Tabela1[[#This Row],[y]]-H$4)*(Tabela1[[#This Row],[y]]-H$4)</f>
        <v>1901</v>
      </c>
      <c r="D2184" s="1">
        <f>IF(Tabela1[[#This Row],[promien]]&lt;40000,1,0)</f>
        <v>1</v>
      </c>
      <c r="E2184" s="1">
        <f>IF(Tabela1[[#This Row],[promien]]=40000,1,0)</f>
        <v>0</v>
      </c>
      <c r="F2184" s="1">
        <v>3.1813186813186811</v>
      </c>
      <c r="G2184" s="1">
        <v>3.9726027728888003E-2</v>
      </c>
    </row>
    <row r="2185" spans="1:7">
      <c r="A2185">
        <v>173</v>
      </c>
      <c r="B2185">
        <v>321</v>
      </c>
      <c r="C2185" s="1">
        <f>(Tabela1[[#This Row],[x]]-H$3)*(Tabela1[[#This Row],[x]]-H$3) +(Tabela1[[#This Row],[y]]-H$4)*(Tabela1[[#This Row],[y]]-H$4)</f>
        <v>15370</v>
      </c>
      <c r="D2185" s="1">
        <f>IF(Tabela1[[#This Row],[promien]]&lt;40000,1,0)</f>
        <v>1</v>
      </c>
      <c r="E2185" s="1">
        <f>IF(Tabela1[[#This Row],[promien]]=40000,1,0)</f>
        <v>0</v>
      </c>
      <c r="F2185" s="1">
        <v>3.1816933638443934</v>
      </c>
      <c r="G2185" s="1">
        <v>4.0100710254600269E-2</v>
      </c>
    </row>
    <row r="2186" spans="1:7">
      <c r="A2186">
        <v>167</v>
      </c>
      <c r="B2186">
        <v>33</v>
      </c>
      <c r="C2186" s="1">
        <f>(Tabela1[[#This Row],[x]]-H$3)*(Tabela1[[#This Row],[x]]-H$3) +(Tabela1[[#This Row],[y]]-H$4)*(Tabela1[[#This Row],[y]]-H$4)</f>
        <v>28978</v>
      </c>
      <c r="D2186" s="1">
        <f>IF(Tabela1[[#This Row],[promien]]&lt;40000,1,0)</f>
        <v>1</v>
      </c>
      <c r="E2186" s="1">
        <f>IF(Tabela1[[#This Row],[promien]]=40000,1,0)</f>
        <v>0</v>
      </c>
      <c r="F2186" s="1">
        <v>3.182067703568161</v>
      </c>
      <c r="G2186" s="1">
        <v>4.0475049978367927E-2</v>
      </c>
    </row>
    <row r="2187" spans="1:7">
      <c r="A2187">
        <v>221</v>
      </c>
      <c r="B2187">
        <v>188</v>
      </c>
      <c r="C2187" s="1">
        <f>(Tabela1[[#This Row],[x]]-H$3)*(Tabela1[[#This Row],[x]]-H$3) +(Tabela1[[#This Row],[y]]-H$4)*(Tabela1[[#This Row],[y]]-H$4)</f>
        <v>585</v>
      </c>
      <c r="D2187" s="1">
        <f>IF(Tabela1[[#This Row],[promien]]&lt;40000,1,0)</f>
        <v>1</v>
      </c>
      <c r="E2187" s="1">
        <f>IF(Tabela1[[#This Row],[promien]]=40000,1,0)</f>
        <v>0</v>
      </c>
      <c r="F2187" s="1">
        <v>3.1824417009602195</v>
      </c>
      <c r="G2187" s="1">
        <v>4.0849047370426383E-2</v>
      </c>
    </row>
    <row r="2188" spans="1:7">
      <c r="A2188">
        <v>88</v>
      </c>
      <c r="B2188">
        <v>121</v>
      </c>
      <c r="C2188" s="1">
        <f>(Tabela1[[#This Row],[x]]-H$3)*(Tabela1[[#This Row],[x]]-H$3) +(Tabela1[[#This Row],[y]]-H$4)*(Tabela1[[#This Row],[y]]-H$4)</f>
        <v>18785</v>
      </c>
      <c r="D2188" s="1">
        <f>IF(Tabela1[[#This Row],[promien]]&lt;40000,1,0)</f>
        <v>1</v>
      </c>
      <c r="E2188" s="1">
        <f>IF(Tabela1[[#This Row],[promien]]=40000,1,0)</f>
        <v>0</v>
      </c>
      <c r="F2188" s="1">
        <v>3.1828153564899453</v>
      </c>
      <c r="G2188" s="1">
        <v>4.1222702900152175E-2</v>
      </c>
    </row>
    <row r="2189" spans="1:7">
      <c r="A2189">
        <v>229</v>
      </c>
      <c r="B2189">
        <v>21</v>
      </c>
      <c r="C2189" s="1">
        <f>(Tabela1[[#This Row],[x]]-H$3)*(Tabela1[[#This Row],[x]]-H$3) +(Tabela1[[#This Row],[y]]-H$4)*(Tabela1[[#This Row],[y]]-H$4)</f>
        <v>32882</v>
      </c>
      <c r="D2189" s="1">
        <f>IF(Tabela1[[#This Row],[promien]]&lt;40000,1,0)</f>
        <v>1</v>
      </c>
      <c r="E2189" s="1">
        <f>IF(Tabela1[[#This Row],[promien]]=40000,1,0)</f>
        <v>0</v>
      </c>
      <c r="F2189" s="1">
        <v>3.1831886706258565</v>
      </c>
      <c r="G2189" s="1">
        <v>4.1596017036063415E-2</v>
      </c>
    </row>
    <row r="2190" spans="1:7">
      <c r="A2190">
        <v>371</v>
      </c>
      <c r="B2190">
        <v>377</v>
      </c>
      <c r="C2190" s="1">
        <f>(Tabela1[[#This Row],[x]]-H$3)*(Tabela1[[#This Row],[x]]-H$3) +(Tabela1[[#This Row],[y]]-H$4)*(Tabela1[[#This Row],[y]]-H$4)</f>
        <v>60570</v>
      </c>
      <c r="D2190" s="1">
        <f>IF(Tabela1[[#This Row],[promien]]&lt;40000,1,0)</f>
        <v>0</v>
      </c>
      <c r="E2190" s="1">
        <f>IF(Tabela1[[#This Row],[promien]]=40000,1,0)</f>
        <v>0</v>
      </c>
      <c r="F2190" s="1">
        <v>3.1817351598173516</v>
      </c>
      <c r="G2190" s="1">
        <v>4.0142506227558439E-2</v>
      </c>
    </row>
    <row r="2191" spans="1:7">
      <c r="A2191">
        <v>251</v>
      </c>
      <c r="B2191">
        <v>64</v>
      </c>
      <c r="C2191" s="1">
        <f>(Tabela1[[#This Row],[x]]-H$3)*(Tabela1[[#This Row],[x]]-H$3) +(Tabela1[[#This Row],[y]]-H$4)*(Tabela1[[#This Row],[y]]-H$4)</f>
        <v>21097</v>
      </c>
      <c r="D2191" s="1">
        <f>IF(Tabela1[[#This Row],[promien]]&lt;40000,1,0)</f>
        <v>1</v>
      </c>
      <c r="E2191" s="1">
        <f>IF(Tabela1[[#This Row],[promien]]=40000,1,0)</f>
        <v>0</v>
      </c>
      <c r="F2191" s="1">
        <v>3.1821086261980831</v>
      </c>
      <c r="G2191" s="1">
        <v>4.0515972608289985E-2</v>
      </c>
    </row>
    <row r="2192" spans="1:7">
      <c r="A2192">
        <v>70</v>
      </c>
      <c r="B2192">
        <v>288</v>
      </c>
      <c r="C2192" s="1">
        <f>(Tabela1[[#This Row],[x]]-H$3)*(Tabela1[[#This Row],[x]]-H$3) +(Tabela1[[#This Row],[y]]-H$4)*(Tabela1[[#This Row],[y]]-H$4)</f>
        <v>24644</v>
      </c>
      <c r="D2192" s="1">
        <f>IF(Tabela1[[#This Row],[promien]]&lt;40000,1,0)</f>
        <v>1</v>
      </c>
      <c r="E2192" s="1">
        <f>IF(Tabela1[[#This Row],[promien]]=40000,1,0)</f>
        <v>0</v>
      </c>
      <c r="F2192" s="1">
        <v>3.1824817518248176</v>
      </c>
      <c r="G2192" s="1">
        <v>4.0889098235024512E-2</v>
      </c>
    </row>
    <row r="2193" spans="1:7">
      <c r="A2193">
        <v>291</v>
      </c>
      <c r="B2193">
        <v>327</v>
      </c>
      <c r="C2193" s="1">
        <f>(Tabela1[[#This Row],[x]]-H$3)*(Tabela1[[#This Row],[x]]-H$3) +(Tabela1[[#This Row],[y]]-H$4)*(Tabela1[[#This Row],[y]]-H$4)</f>
        <v>24410</v>
      </c>
      <c r="D2193" s="1">
        <f>IF(Tabela1[[#This Row],[promien]]&lt;40000,1,0)</f>
        <v>1</v>
      </c>
      <c r="E2193" s="1">
        <f>IF(Tabela1[[#This Row],[promien]]=40000,1,0)</f>
        <v>0</v>
      </c>
      <c r="F2193" s="1">
        <v>3.1828545371637027</v>
      </c>
      <c r="G2193" s="1">
        <v>4.1261883573909586E-2</v>
      </c>
    </row>
    <row r="2194" spans="1:7">
      <c r="A2194">
        <v>202</v>
      </c>
      <c r="B2194">
        <v>133</v>
      </c>
      <c r="C2194" s="1">
        <f>(Tabela1[[#This Row],[x]]-H$3)*(Tabela1[[#This Row],[x]]-H$3) +(Tabela1[[#This Row],[y]]-H$4)*(Tabela1[[#This Row],[y]]-H$4)</f>
        <v>4493</v>
      </c>
      <c r="D2194" s="1">
        <f>IF(Tabela1[[#This Row],[promien]]&lt;40000,1,0)</f>
        <v>1</v>
      </c>
      <c r="E2194" s="1">
        <f>IF(Tabela1[[#This Row],[promien]]=40000,1,0)</f>
        <v>0</v>
      </c>
      <c r="F2194" s="1">
        <v>3.1832269826800363</v>
      </c>
      <c r="G2194" s="1">
        <v>4.1634329090243227E-2</v>
      </c>
    </row>
    <row r="2195" spans="1:7">
      <c r="A2195">
        <v>6</v>
      </c>
      <c r="B2195">
        <v>309</v>
      </c>
      <c r="C2195" s="1">
        <f>(Tabela1[[#This Row],[x]]-H$3)*(Tabela1[[#This Row],[x]]-H$3) +(Tabela1[[#This Row],[y]]-H$4)*(Tabela1[[#This Row],[y]]-H$4)</f>
        <v>49517</v>
      </c>
      <c r="D2195" s="1">
        <f>IF(Tabela1[[#This Row],[promien]]&lt;40000,1,0)</f>
        <v>0</v>
      </c>
      <c r="E2195" s="1">
        <f>IF(Tabela1[[#This Row],[promien]]=40000,1,0)</f>
        <v>0</v>
      </c>
      <c r="F2195" s="1">
        <v>3.1817767653758544</v>
      </c>
      <c r="G2195" s="1">
        <v>4.0184111786061294E-2</v>
      </c>
    </row>
    <row r="2196" spans="1:7">
      <c r="A2196">
        <v>392</v>
      </c>
      <c r="B2196">
        <v>242</v>
      </c>
      <c r="C2196" s="1">
        <f>(Tabela1[[#This Row],[x]]-H$3)*(Tabela1[[#This Row],[x]]-H$3) +(Tabela1[[#This Row],[y]]-H$4)*(Tabela1[[#This Row],[y]]-H$4)</f>
        <v>38628</v>
      </c>
      <c r="D2196" s="1">
        <f>IF(Tabela1[[#This Row],[promien]]&lt;40000,1,0)</f>
        <v>1</v>
      </c>
      <c r="E2196" s="1">
        <f>IF(Tabela1[[#This Row],[promien]]=40000,1,0)</f>
        <v>0</v>
      </c>
      <c r="F2196" s="1">
        <v>3.1821493624772312</v>
      </c>
      <c r="G2196" s="1">
        <v>4.055670888743812E-2</v>
      </c>
    </row>
    <row r="2197" spans="1:7">
      <c r="A2197">
        <v>202</v>
      </c>
      <c r="B2197">
        <v>340</v>
      </c>
      <c r="C2197" s="1">
        <f>(Tabela1[[#This Row],[x]]-H$3)*(Tabela1[[#This Row],[x]]-H$3) +(Tabela1[[#This Row],[y]]-H$4)*(Tabela1[[#This Row],[y]]-H$4)</f>
        <v>19604</v>
      </c>
      <c r="D2197" s="1">
        <f>IF(Tabela1[[#This Row],[promien]]&lt;40000,1,0)</f>
        <v>1</v>
      </c>
      <c r="E2197" s="1">
        <f>IF(Tabela1[[#This Row],[promien]]=40000,1,0)</f>
        <v>0</v>
      </c>
      <c r="F2197" s="1">
        <v>3.182521620391443</v>
      </c>
      <c r="G2197" s="1">
        <v>4.0928966801649924E-2</v>
      </c>
    </row>
    <row r="2198" spans="1:7">
      <c r="A2198">
        <v>99</v>
      </c>
      <c r="B2198">
        <v>354</v>
      </c>
      <c r="C2198" s="1">
        <f>(Tabela1[[#This Row],[x]]-H$3)*(Tabela1[[#This Row],[x]]-H$3) +(Tabela1[[#This Row],[y]]-H$4)*(Tabela1[[#This Row],[y]]-H$4)</f>
        <v>33917</v>
      </c>
      <c r="D2198" s="1">
        <f>IF(Tabela1[[#This Row],[promien]]&lt;40000,1,0)</f>
        <v>1</v>
      </c>
      <c r="E2198" s="1">
        <f>IF(Tabela1[[#This Row],[promien]]=40000,1,0)</f>
        <v>0</v>
      </c>
      <c r="F2198" s="1">
        <v>3.1828935395814377</v>
      </c>
      <c r="G2198" s="1">
        <v>4.1300885991644609E-2</v>
      </c>
    </row>
    <row r="2199" spans="1:7">
      <c r="A2199">
        <v>76</v>
      </c>
      <c r="B2199">
        <v>184</v>
      </c>
      <c r="C2199" s="1">
        <f>(Tabela1[[#This Row],[x]]-H$3)*(Tabela1[[#This Row],[x]]-H$3) +(Tabela1[[#This Row],[y]]-H$4)*(Tabela1[[#This Row],[y]]-H$4)</f>
        <v>15632</v>
      </c>
      <c r="D2199" s="1">
        <f>IF(Tabela1[[#This Row],[promien]]&lt;40000,1,0)</f>
        <v>1</v>
      </c>
      <c r="E2199" s="1">
        <f>IF(Tabela1[[#This Row],[promien]]=40000,1,0)</f>
        <v>0</v>
      </c>
      <c r="F2199" s="1">
        <v>3.1832651205093225</v>
      </c>
      <c r="G2199" s="1">
        <v>4.1672466919529416E-2</v>
      </c>
    </row>
    <row r="2200" spans="1:7">
      <c r="A2200">
        <v>296</v>
      </c>
      <c r="B2200">
        <v>210</v>
      </c>
      <c r="C2200" s="1">
        <f>(Tabela1[[#This Row],[x]]-H$3)*(Tabela1[[#This Row],[x]]-H$3) +(Tabela1[[#This Row],[y]]-H$4)*(Tabela1[[#This Row],[y]]-H$4)</f>
        <v>9316</v>
      </c>
      <c r="D2200" s="1">
        <f>IF(Tabela1[[#This Row],[promien]]&lt;40000,1,0)</f>
        <v>1</v>
      </c>
      <c r="E2200" s="1">
        <f>IF(Tabela1[[#This Row],[promien]]=40000,1,0)</f>
        <v>0</v>
      </c>
      <c r="F2200" s="1">
        <v>3.1836363636363636</v>
      </c>
      <c r="G2200" s="1">
        <v>4.2043710046570482E-2</v>
      </c>
    </row>
    <row r="2201" spans="1:7">
      <c r="A2201">
        <v>333</v>
      </c>
      <c r="B2201">
        <v>395</v>
      </c>
      <c r="C2201" s="1">
        <f>(Tabela1[[#This Row],[x]]-H$3)*(Tabela1[[#This Row],[x]]-H$3) +(Tabela1[[#This Row],[y]]-H$4)*(Tabela1[[#This Row],[y]]-H$4)</f>
        <v>55714</v>
      </c>
      <c r="D2201" s="1">
        <f>IF(Tabela1[[#This Row],[promien]]&lt;40000,1,0)</f>
        <v>0</v>
      </c>
      <c r="E2201" s="1">
        <f>IF(Tabela1[[#This Row],[promien]]=40000,1,0)</f>
        <v>0</v>
      </c>
      <c r="F2201" s="1">
        <v>3.182189913675602</v>
      </c>
      <c r="G2201" s="1">
        <v>4.0597260085808884E-2</v>
      </c>
    </row>
    <row r="2202" spans="1:7">
      <c r="A2202">
        <v>285</v>
      </c>
      <c r="B2202">
        <v>63</v>
      </c>
      <c r="C2202" s="1">
        <f>(Tabela1[[#This Row],[x]]-H$3)*(Tabela1[[#This Row],[x]]-H$3) +(Tabela1[[#This Row],[y]]-H$4)*(Tabela1[[#This Row],[y]]-H$4)</f>
        <v>25994</v>
      </c>
      <c r="D2202" s="1">
        <f>IF(Tabela1[[#This Row],[promien]]&lt;40000,1,0)</f>
        <v>1</v>
      </c>
      <c r="E2202" s="1">
        <f>IF(Tabela1[[#This Row],[promien]]=40000,1,0)</f>
        <v>0</v>
      </c>
      <c r="F2202" s="1">
        <v>3.1825613079019073</v>
      </c>
      <c r="G2202" s="1">
        <v>4.0968654312114161E-2</v>
      </c>
    </row>
    <row r="2203" spans="1:7">
      <c r="A2203">
        <v>25</v>
      </c>
      <c r="B2203">
        <v>253</v>
      </c>
      <c r="C2203" s="1">
        <f>(Tabela1[[#This Row],[x]]-H$3)*(Tabela1[[#This Row],[x]]-H$3) +(Tabela1[[#This Row],[y]]-H$4)*(Tabela1[[#This Row],[y]]-H$4)</f>
        <v>33434</v>
      </c>
      <c r="D2203" s="1">
        <f>IF(Tabela1[[#This Row],[promien]]&lt;40000,1,0)</f>
        <v>1</v>
      </c>
      <c r="E2203" s="1">
        <f>IF(Tabela1[[#This Row],[promien]]=40000,1,0)</f>
        <v>0</v>
      </c>
      <c r="F2203" s="1">
        <v>3.1829323649568768</v>
      </c>
      <c r="G2203" s="1">
        <v>4.1339711367083698E-2</v>
      </c>
    </row>
    <row r="2204" spans="1:7">
      <c r="A2204">
        <v>230</v>
      </c>
      <c r="B2204">
        <v>392</v>
      </c>
      <c r="C2204" s="1">
        <f>(Tabela1[[#This Row],[x]]-H$3)*(Tabela1[[#This Row],[x]]-H$3) +(Tabela1[[#This Row],[y]]-H$4)*(Tabela1[[#This Row],[y]]-H$4)</f>
        <v>37764</v>
      </c>
      <c r="D2204" s="1">
        <f>IF(Tabela1[[#This Row],[promien]]&lt;40000,1,0)</f>
        <v>1</v>
      </c>
      <c r="E2204" s="1">
        <f>IF(Tabela1[[#This Row],[promien]]=40000,1,0)</f>
        <v>0</v>
      </c>
      <c r="F2204" s="1">
        <v>3.1833030852994555</v>
      </c>
      <c r="G2204" s="1">
        <v>4.1710431709662377E-2</v>
      </c>
    </row>
    <row r="2205" spans="1:7">
      <c r="A2205">
        <v>5</v>
      </c>
      <c r="B2205">
        <v>353</v>
      </c>
      <c r="C2205" s="1">
        <f>(Tabela1[[#This Row],[x]]-H$3)*(Tabela1[[#This Row],[x]]-H$3) +(Tabela1[[#This Row],[y]]-H$4)*(Tabela1[[#This Row],[y]]-H$4)</f>
        <v>61434</v>
      </c>
      <c r="D2205" s="1">
        <f>IF(Tabela1[[#This Row],[promien]]&lt;40000,1,0)</f>
        <v>0</v>
      </c>
      <c r="E2205" s="1">
        <f>IF(Tabela1[[#This Row],[promien]]=40000,1,0)</f>
        <v>0</v>
      </c>
      <c r="F2205" s="1">
        <v>3.1818594104308389</v>
      </c>
      <c r="G2205" s="1">
        <v>4.0266756841045748E-2</v>
      </c>
    </row>
    <row r="2206" spans="1:7">
      <c r="A2206">
        <v>285</v>
      </c>
      <c r="B2206">
        <v>10</v>
      </c>
      <c r="C2206" s="1">
        <f>(Tabela1[[#This Row],[x]]-H$3)*(Tabela1[[#This Row],[x]]-H$3) +(Tabela1[[#This Row],[y]]-H$4)*(Tabela1[[#This Row],[y]]-H$4)</f>
        <v>43325</v>
      </c>
      <c r="D2206" s="1">
        <f>IF(Tabela1[[#This Row],[promien]]&lt;40000,1,0)</f>
        <v>0</v>
      </c>
      <c r="E2206" s="1">
        <f>IF(Tabela1[[#This Row],[promien]]=40000,1,0)</f>
        <v>0</v>
      </c>
      <c r="F2206" s="1">
        <v>3.1804170444242974</v>
      </c>
      <c r="G2206" s="1">
        <v>3.8824390834504285E-2</v>
      </c>
    </row>
    <row r="2207" spans="1:7">
      <c r="A2207">
        <v>136</v>
      </c>
      <c r="B2207">
        <v>399</v>
      </c>
      <c r="C2207" s="1">
        <f>(Tabela1[[#This Row],[x]]-H$3)*(Tabela1[[#This Row],[x]]-H$3) +(Tabela1[[#This Row],[y]]-H$4)*(Tabela1[[#This Row],[y]]-H$4)</f>
        <v>43697</v>
      </c>
      <c r="D2207" s="1">
        <f>IF(Tabela1[[#This Row],[promien]]&lt;40000,1,0)</f>
        <v>0</v>
      </c>
      <c r="E2207" s="1">
        <f>IF(Tabela1[[#This Row],[promien]]=40000,1,0)</f>
        <v>0</v>
      </c>
      <c r="F2207" s="1">
        <v>3.1789759855006796</v>
      </c>
      <c r="G2207" s="1">
        <v>3.7383331910886497E-2</v>
      </c>
    </row>
    <row r="2208" spans="1:7">
      <c r="A2208">
        <v>272</v>
      </c>
      <c r="B2208">
        <v>70</v>
      </c>
      <c r="C2208" s="1">
        <f>(Tabela1[[#This Row],[x]]-H$3)*(Tabela1[[#This Row],[x]]-H$3) +(Tabela1[[#This Row],[y]]-H$4)*(Tabela1[[#This Row],[y]]-H$4)</f>
        <v>22084</v>
      </c>
      <c r="D2208" s="1">
        <f>IF(Tabela1[[#This Row],[promien]]&lt;40000,1,0)</f>
        <v>1</v>
      </c>
      <c r="E2208" s="1">
        <f>IF(Tabela1[[#This Row],[promien]]=40000,1,0)</f>
        <v>0</v>
      </c>
      <c r="F2208" s="1">
        <v>3.1793478260869565</v>
      </c>
      <c r="G2208" s="1">
        <v>3.7755172497163425E-2</v>
      </c>
    </row>
    <row r="2209" spans="1:7">
      <c r="A2209">
        <v>372</v>
      </c>
      <c r="B2209">
        <v>381</v>
      </c>
      <c r="C2209" s="1">
        <f>(Tabela1[[#This Row],[x]]-H$3)*(Tabela1[[#This Row],[x]]-H$3) +(Tabela1[[#This Row],[y]]-H$4)*(Tabela1[[#This Row],[y]]-H$4)</f>
        <v>62345</v>
      </c>
      <c r="D2209" s="1">
        <f>IF(Tabela1[[#This Row],[promien]]&lt;40000,1,0)</f>
        <v>0</v>
      </c>
      <c r="E2209" s="1">
        <f>IF(Tabela1[[#This Row],[promien]]=40000,1,0)</f>
        <v>0</v>
      </c>
      <c r="F2209" s="1">
        <v>3.1779085559076505</v>
      </c>
      <c r="G2209" s="1">
        <v>3.6315902317857418E-2</v>
      </c>
    </row>
    <row r="2210" spans="1:7">
      <c r="A2210">
        <v>107</v>
      </c>
      <c r="B2210">
        <v>10</v>
      </c>
      <c r="C2210" s="1">
        <f>(Tabela1[[#This Row],[x]]-H$3)*(Tabela1[[#This Row],[x]]-H$3) +(Tabela1[[#This Row],[y]]-H$4)*(Tabela1[[#This Row],[y]]-H$4)</f>
        <v>44749</v>
      </c>
      <c r="D2210" s="1">
        <f>IF(Tabela1[[#This Row],[promien]]&lt;40000,1,0)</f>
        <v>0</v>
      </c>
      <c r="E2210" s="1">
        <f>IF(Tabela1[[#This Row],[promien]]=40000,1,0)</f>
        <v>0</v>
      </c>
      <c r="F2210" s="1">
        <v>3.1764705882352939</v>
      </c>
      <c r="G2210" s="1">
        <v>3.4877934645500819E-2</v>
      </c>
    </row>
    <row r="2211" spans="1:7">
      <c r="A2211">
        <v>55</v>
      </c>
      <c r="B2211">
        <v>167</v>
      </c>
      <c r="C2211" s="1">
        <f>(Tabela1[[#This Row],[x]]-H$3)*(Tabela1[[#This Row],[x]]-H$3) +(Tabela1[[#This Row],[y]]-H$4)*(Tabela1[[#This Row],[y]]-H$4)</f>
        <v>22114</v>
      </c>
      <c r="D2211" s="1">
        <f>IF(Tabela1[[#This Row],[promien]]&lt;40000,1,0)</f>
        <v>1</v>
      </c>
      <c r="E2211" s="1">
        <f>IF(Tabela1[[#This Row],[promien]]=40000,1,0)</f>
        <v>0</v>
      </c>
      <c r="F2211" s="1">
        <v>3.1768430574400726</v>
      </c>
      <c r="G2211" s="1">
        <v>3.5250403850279444E-2</v>
      </c>
    </row>
    <row r="2212" spans="1:7">
      <c r="A2212">
        <v>87</v>
      </c>
      <c r="B2212">
        <v>390</v>
      </c>
      <c r="C2212" s="1">
        <f>(Tabela1[[#This Row],[x]]-H$3)*(Tabela1[[#This Row],[x]]-H$3) +(Tabela1[[#This Row],[y]]-H$4)*(Tabela1[[#This Row],[y]]-H$4)</f>
        <v>48869</v>
      </c>
      <c r="D2212" s="1">
        <f>IF(Tabela1[[#This Row],[promien]]&lt;40000,1,0)</f>
        <v>0</v>
      </c>
      <c r="E2212" s="1">
        <f>IF(Tabela1[[#This Row],[promien]]=40000,1,0)</f>
        <v>0</v>
      </c>
      <c r="F2212" s="1">
        <v>3.175406871609403</v>
      </c>
      <c r="G2212" s="1">
        <v>3.3814218019609932E-2</v>
      </c>
    </row>
    <row r="2213" spans="1:7">
      <c r="A2213">
        <v>1</v>
      </c>
      <c r="B2213">
        <v>391</v>
      </c>
      <c r="C2213" s="1">
        <f>(Tabela1[[#This Row],[x]]-H$3)*(Tabela1[[#This Row],[x]]-H$3) +(Tabela1[[#This Row],[y]]-H$4)*(Tabela1[[#This Row],[y]]-H$4)</f>
        <v>76082</v>
      </c>
      <c r="D2213" s="1">
        <f>IF(Tabela1[[#This Row],[promien]]&lt;40000,1,0)</f>
        <v>0</v>
      </c>
      <c r="E2213" s="1">
        <f>IF(Tabela1[[#This Row],[promien]]=40000,1,0)</f>
        <v>0</v>
      </c>
      <c r="F2213" s="1">
        <v>3.17397198373249</v>
      </c>
      <c r="G2213" s="1">
        <v>3.2379330142696894E-2</v>
      </c>
    </row>
    <row r="2214" spans="1:7">
      <c r="A2214">
        <v>9</v>
      </c>
      <c r="B2214">
        <v>91</v>
      </c>
      <c r="C2214" s="1">
        <f>(Tabela1[[#This Row],[x]]-H$3)*(Tabela1[[#This Row],[x]]-H$3) +(Tabela1[[#This Row],[y]]-H$4)*(Tabela1[[#This Row],[y]]-H$4)</f>
        <v>48362</v>
      </c>
      <c r="D2214" s="1">
        <f>IF(Tabela1[[#This Row],[promien]]&lt;40000,1,0)</f>
        <v>0</v>
      </c>
      <c r="E2214" s="1">
        <f>IF(Tabela1[[#This Row],[promien]]=40000,1,0)</f>
        <v>0</v>
      </c>
      <c r="F2214" s="1">
        <v>3.172538392050587</v>
      </c>
      <c r="G2214" s="1">
        <v>3.0945738460793848E-2</v>
      </c>
    </row>
    <row r="2215" spans="1:7">
      <c r="A2215">
        <v>114</v>
      </c>
      <c r="B2215">
        <v>340</v>
      </c>
      <c r="C2215" s="1">
        <f>(Tabela1[[#This Row],[x]]-H$3)*(Tabela1[[#This Row],[x]]-H$3) +(Tabela1[[#This Row],[y]]-H$4)*(Tabela1[[#This Row],[y]]-H$4)</f>
        <v>26996</v>
      </c>
      <c r="D2215" s="1">
        <f>IF(Tabela1[[#This Row],[promien]]&lt;40000,1,0)</f>
        <v>1</v>
      </c>
      <c r="E2215" s="1">
        <f>IF(Tabela1[[#This Row],[promien]]=40000,1,0)</f>
        <v>0</v>
      </c>
      <c r="F2215" s="1">
        <v>3.1729119638826186</v>
      </c>
      <c r="G2215" s="1">
        <v>3.1319310292825531E-2</v>
      </c>
    </row>
    <row r="2216" spans="1:7">
      <c r="A2216">
        <v>30</v>
      </c>
      <c r="B2216">
        <v>99</v>
      </c>
      <c r="C2216" s="1">
        <f>(Tabela1[[#This Row],[x]]-H$3)*(Tabela1[[#This Row],[x]]-H$3) +(Tabela1[[#This Row],[y]]-H$4)*(Tabela1[[#This Row],[y]]-H$4)</f>
        <v>39101</v>
      </c>
      <c r="D2216" s="1">
        <f>IF(Tabela1[[#This Row],[promien]]&lt;40000,1,0)</f>
        <v>1</v>
      </c>
      <c r="E2216" s="1">
        <f>IF(Tabela1[[#This Row],[promien]]=40000,1,0)</f>
        <v>0</v>
      </c>
      <c r="F2216" s="1">
        <v>3.1732851985559565</v>
      </c>
      <c r="G2216" s="1">
        <v>3.1692544966163361E-2</v>
      </c>
    </row>
    <row r="2217" spans="1:7">
      <c r="A2217">
        <v>237</v>
      </c>
      <c r="B2217">
        <v>125</v>
      </c>
      <c r="C2217" s="1">
        <f>(Tabela1[[#This Row],[x]]-H$3)*(Tabela1[[#This Row],[x]]-H$3) +(Tabela1[[#This Row],[y]]-H$4)*(Tabela1[[#This Row],[y]]-H$4)</f>
        <v>6994</v>
      </c>
      <c r="D2217" s="1">
        <f>IF(Tabela1[[#This Row],[promien]]&lt;40000,1,0)</f>
        <v>1</v>
      </c>
      <c r="E2217" s="1">
        <f>IF(Tabela1[[#This Row],[promien]]=40000,1,0)</f>
        <v>0</v>
      </c>
      <c r="F2217" s="1">
        <v>3.1736580965268382</v>
      </c>
      <c r="G2217" s="1">
        <v>3.2065442937045052E-2</v>
      </c>
    </row>
    <row r="2218" spans="1:7">
      <c r="A2218">
        <v>304</v>
      </c>
      <c r="B2218">
        <v>172</v>
      </c>
      <c r="C2218" s="1">
        <f>(Tabela1[[#This Row],[x]]-H$3)*(Tabela1[[#This Row],[x]]-H$3) +(Tabela1[[#This Row],[y]]-H$4)*(Tabela1[[#This Row],[y]]-H$4)</f>
        <v>11600</v>
      </c>
      <c r="D2218" s="1">
        <f>IF(Tabela1[[#This Row],[promien]]&lt;40000,1,0)</f>
        <v>1</v>
      </c>
      <c r="E2218" s="1">
        <f>IF(Tabela1[[#This Row],[promien]]=40000,1,0)</f>
        <v>0</v>
      </c>
      <c r="F2218" s="1">
        <v>3.1740306582506763</v>
      </c>
      <c r="G2218" s="1">
        <v>3.2438004660883202E-2</v>
      </c>
    </row>
    <row r="2219" spans="1:7">
      <c r="A2219">
        <v>271</v>
      </c>
      <c r="B2219">
        <v>225</v>
      </c>
      <c r="C2219" s="1">
        <f>(Tabela1[[#This Row],[x]]-H$3)*(Tabela1[[#This Row],[x]]-H$3) +(Tabela1[[#This Row],[y]]-H$4)*(Tabela1[[#This Row],[y]]-H$4)</f>
        <v>5666</v>
      </c>
      <c r="D2219" s="1">
        <f>IF(Tabela1[[#This Row],[promien]]&lt;40000,1,0)</f>
        <v>1</v>
      </c>
      <c r="E2219" s="1">
        <f>IF(Tabela1[[#This Row],[promien]]=40000,1,0)</f>
        <v>0</v>
      </c>
      <c r="F2219" s="1">
        <v>3.1744028841820642</v>
      </c>
      <c r="G2219" s="1">
        <v>3.2810230592271061E-2</v>
      </c>
    </row>
    <row r="2220" spans="1:7">
      <c r="A2220">
        <v>352</v>
      </c>
      <c r="B2220">
        <v>329</v>
      </c>
      <c r="C2220" s="1">
        <f>(Tabela1[[#This Row],[x]]-H$3)*(Tabela1[[#This Row],[x]]-H$3) +(Tabela1[[#This Row],[y]]-H$4)*(Tabela1[[#This Row],[y]]-H$4)</f>
        <v>39745</v>
      </c>
      <c r="D2220" s="1">
        <f>IF(Tabela1[[#This Row],[promien]]&lt;40000,1,0)</f>
        <v>1</v>
      </c>
      <c r="E2220" s="1">
        <f>IF(Tabela1[[#This Row],[promien]]=40000,1,0)</f>
        <v>0</v>
      </c>
      <c r="F2220" s="1">
        <v>3.1747747747747748</v>
      </c>
      <c r="G2220" s="1">
        <v>3.318212118498165E-2</v>
      </c>
    </row>
    <row r="2221" spans="1:7">
      <c r="A2221">
        <v>169</v>
      </c>
      <c r="B2221">
        <v>128</v>
      </c>
      <c r="C2221" s="1">
        <f>(Tabela1[[#This Row],[x]]-H$3)*(Tabela1[[#This Row],[x]]-H$3) +(Tabela1[[#This Row],[y]]-H$4)*(Tabela1[[#This Row],[y]]-H$4)</f>
        <v>6145</v>
      </c>
      <c r="D2221" s="1">
        <f>IF(Tabela1[[#This Row],[promien]]&lt;40000,1,0)</f>
        <v>1</v>
      </c>
      <c r="E2221" s="1">
        <f>IF(Tabela1[[#This Row],[promien]]=40000,1,0)</f>
        <v>0</v>
      </c>
      <c r="F2221" s="1">
        <v>3.1751463304817649</v>
      </c>
      <c r="G2221" s="1">
        <v>3.3553676891971751E-2</v>
      </c>
    </row>
    <row r="2222" spans="1:7">
      <c r="A2222">
        <v>294</v>
      </c>
      <c r="B2222">
        <v>183</v>
      </c>
      <c r="C2222" s="1">
        <f>(Tabela1[[#This Row],[x]]-H$3)*(Tabela1[[#This Row],[x]]-H$3) +(Tabela1[[#This Row],[y]]-H$4)*(Tabela1[[#This Row],[y]]-H$4)</f>
        <v>9125</v>
      </c>
      <c r="D2222" s="1">
        <f>IF(Tabela1[[#This Row],[promien]]&lt;40000,1,0)</f>
        <v>1</v>
      </c>
      <c r="E2222" s="1">
        <f>IF(Tabela1[[#This Row],[promien]]=40000,1,0)</f>
        <v>0</v>
      </c>
      <c r="F2222" s="1">
        <v>3.1755175517551755</v>
      </c>
      <c r="G2222" s="1">
        <v>3.3924898165382356E-2</v>
      </c>
    </row>
    <row r="2223" spans="1:7">
      <c r="A2223">
        <v>204</v>
      </c>
      <c r="B2223">
        <v>42</v>
      </c>
      <c r="C2223" s="1">
        <f>(Tabela1[[#This Row],[x]]-H$3)*(Tabela1[[#This Row],[x]]-H$3) +(Tabela1[[#This Row],[y]]-H$4)*(Tabela1[[#This Row],[y]]-H$4)</f>
        <v>24980</v>
      </c>
      <c r="D2223" s="1">
        <f>IF(Tabela1[[#This Row],[promien]]&lt;40000,1,0)</f>
        <v>1</v>
      </c>
      <c r="E2223" s="1">
        <f>IF(Tabela1[[#This Row],[promien]]=40000,1,0)</f>
        <v>0</v>
      </c>
      <c r="F2223" s="1">
        <v>3.175888439046334</v>
      </c>
      <c r="G2223" s="1">
        <v>3.4295785456540884E-2</v>
      </c>
    </row>
    <row r="2224" spans="1:7">
      <c r="A2224">
        <v>36</v>
      </c>
      <c r="B2224">
        <v>76</v>
      </c>
      <c r="C2224" s="1">
        <f>(Tabela1[[#This Row],[x]]-H$3)*(Tabela1[[#This Row],[x]]-H$3) +(Tabela1[[#This Row],[y]]-H$4)*(Tabela1[[#This Row],[y]]-H$4)</f>
        <v>42272</v>
      </c>
      <c r="D2224" s="1">
        <f>IF(Tabela1[[#This Row],[promien]]&lt;40000,1,0)</f>
        <v>0</v>
      </c>
      <c r="E2224" s="1">
        <f>IF(Tabela1[[#This Row],[promien]]=40000,1,0)</f>
        <v>0</v>
      </c>
      <c r="F2224" s="1">
        <v>3.1744604316546763</v>
      </c>
      <c r="G2224" s="1">
        <v>3.2867778064883169E-2</v>
      </c>
    </row>
    <row r="2225" spans="1:7">
      <c r="A2225">
        <v>57</v>
      </c>
      <c r="B2225">
        <v>37</v>
      </c>
      <c r="C2225" s="1">
        <f>(Tabela1[[#This Row],[x]]-H$3)*(Tabela1[[#This Row],[x]]-H$3) +(Tabela1[[#This Row],[y]]-H$4)*(Tabela1[[#This Row],[y]]-H$4)</f>
        <v>47018</v>
      </c>
      <c r="D2225" s="1">
        <f>IF(Tabela1[[#This Row],[promien]]&lt;40000,1,0)</f>
        <v>0</v>
      </c>
      <c r="E2225" s="1">
        <f>IF(Tabela1[[#This Row],[promien]]=40000,1,0)</f>
        <v>0</v>
      </c>
      <c r="F2225" s="1">
        <v>3.1730337078651685</v>
      </c>
      <c r="G2225" s="1">
        <v>3.1441054275375357E-2</v>
      </c>
    </row>
    <row r="2226" spans="1:7">
      <c r="A2226">
        <v>36</v>
      </c>
      <c r="B2226">
        <v>3</v>
      </c>
      <c r="C2226" s="1">
        <f>(Tabela1[[#This Row],[x]]-H$3)*(Tabela1[[#This Row],[x]]-H$3) +(Tabela1[[#This Row],[y]]-H$4)*(Tabela1[[#This Row],[y]]-H$4)</f>
        <v>65705</v>
      </c>
      <c r="D2226" s="1">
        <f>IF(Tabela1[[#This Row],[promien]]&lt;40000,1,0)</f>
        <v>0</v>
      </c>
      <c r="E2226" s="1">
        <f>IF(Tabela1[[#This Row],[promien]]=40000,1,0)</f>
        <v>0</v>
      </c>
      <c r="F2226" s="1">
        <v>3.1716082659478886</v>
      </c>
      <c r="G2226" s="1">
        <v>3.0015612358095467E-2</v>
      </c>
    </row>
    <row r="2227" spans="1:7">
      <c r="A2227">
        <v>283</v>
      </c>
      <c r="B2227">
        <v>351</v>
      </c>
      <c r="C2227" s="1">
        <f>(Tabela1[[#This Row],[x]]-H$3)*(Tabela1[[#This Row],[x]]-H$3) +(Tabela1[[#This Row],[y]]-H$4)*(Tabela1[[#This Row],[y]]-H$4)</f>
        <v>29690</v>
      </c>
      <c r="D2227" s="1">
        <f>IF(Tabela1[[#This Row],[promien]]&lt;40000,1,0)</f>
        <v>1</v>
      </c>
      <c r="E2227" s="1">
        <f>IF(Tabela1[[#This Row],[promien]]=40000,1,0)</f>
        <v>0</v>
      </c>
      <c r="F2227" s="1">
        <v>3.1719802424786709</v>
      </c>
      <c r="G2227" s="1">
        <v>3.0387588888877826E-2</v>
      </c>
    </row>
    <row r="2228" spans="1:7">
      <c r="A2228">
        <v>121</v>
      </c>
      <c r="B2228">
        <v>246</v>
      </c>
      <c r="C2228" s="1">
        <f>(Tabela1[[#This Row],[x]]-H$3)*(Tabela1[[#This Row],[x]]-H$3) +(Tabela1[[#This Row],[y]]-H$4)*(Tabela1[[#This Row],[y]]-H$4)</f>
        <v>8357</v>
      </c>
      <c r="D2228" s="1">
        <f>IF(Tabela1[[#This Row],[promien]]&lt;40000,1,0)</f>
        <v>1</v>
      </c>
      <c r="E2228" s="1">
        <f>IF(Tabela1[[#This Row],[promien]]=40000,1,0)</f>
        <v>0</v>
      </c>
      <c r="F2228" s="1">
        <v>3.1723518850987431</v>
      </c>
      <c r="G2228" s="1">
        <v>3.0759231508949991E-2</v>
      </c>
    </row>
    <row r="2229" spans="1:7">
      <c r="A2229">
        <v>225</v>
      </c>
      <c r="B2229">
        <v>45</v>
      </c>
      <c r="C2229" s="1">
        <f>(Tabela1[[#This Row],[x]]-H$3)*(Tabela1[[#This Row],[x]]-H$3) +(Tabela1[[#This Row],[y]]-H$4)*(Tabela1[[#This Row],[y]]-H$4)</f>
        <v>24650</v>
      </c>
      <c r="D2229" s="1">
        <f>IF(Tabela1[[#This Row],[promien]]&lt;40000,1,0)</f>
        <v>1</v>
      </c>
      <c r="E2229" s="1">
        <f>IF(Tabela1[[#This Row],[promien]]=40000,1,0)</f>
        <v>0</v>
      </c>
      <c r="F2229" s="1">
        <v>3.1727231942575145</v>
      </c>
      <c r="G2229" s="1">
        <v>3.1130540667721363E-2</v>
      </c>
    </row>
    <row r="2230" spans="1:7">
      <c r="A2230">
        <v>241</v>
      </c>
      <c r="B2230">
        <v>161</v>
      </c>
      <c r="C2230" s="1">
        <f>(Tabela1[[#This Row],[x]]-H$3)*(Tabela1[[#This Row],[x]]-H$3) +(Tabela1[[#This Row],[y]]-H$4)*(Tabela1[[#This Row],[y]]-H$4)</f>
        <v>3202</v>
      </c>
      <c r="D2230" s="1">
        <f>IF(Tabela1[[#This Row],[promien]]&lt;40000,1,0)</f>
        <v>1</v>
      </c>
      <c r="E2230" s="1">
        <f>IF(Tabela1[[#This Row],[promien]]=40000,1,0)</f>
        <v>0</v>
      </c>
      <c r="F2230" s="1">
        <v>3.1730941704035875</v>
      </c>
      <c r="G2230" s="1">
        <v>3.1501516813794428E-2</v>
      </c>
    </row>
    <row r="2231" spans="1:7">
      <c r="A2231">
        <v>161</v>
      </c>
      <c r="B2231">
        <v>154</v>
      </c>
      <c r="C2231" s="1">
        <f>(Tabela1[[#This Row],[x]]-H$3)*(Tabela1[[#This Row],[x]]-H$3) +(Tabela1[[#This Row],[y]]-H$4)*(Tabela1[[#This Row],[y]]-H$4)</f>
        <v>3637</v>
      </c>
      <c r="D2231" s="1">
        <f>IF(Tabela1[[#This Row],[promien]]&lt;40000,1,0)</f>
        <v>1</v>
      </c>
      <c r="E2231" s="1">
        <f>IF(Tabela1[[#This Row],[promien]]=40000,1,0)</f>
        <v>0</v>
      </c>
      <c r="F2231" s="1">
        <v>3.1734648139847601</v>
      </c>
      <c r="G2231" s="1">
        <v>3.1872160394966986E-2</v>
      </c>
    </row>
    <row r="2232" spans="1:7">
      <c r="A2232">
        <v>33</v>
      </c>
      <c r="B2232">
        <v>170</v>
      </c>
      <c r="C2232" s="1">
        <f>(Tabela1[[#This Row],[x]]-H$3)*(Tabela1[[#This Row],[x]]-H$3) +(Tabela1[[#This Row],[y]]-H$4)*(Tabela1[[#This Row],[y]]-H$4)</f>
        <v>28789</v>
      </c>
      <c r="D2232" s="1">
        <f>IF(Tabela1[[#This Row],[promien]]&lt;40000,1,0)</f>
        <v>1</v>
      </c>
      <c r="E2232" s="1">
        <f>IF(Tabela1[[#This Row],[promien]]=40000,1,0)</f>
        <v>0</v>
      </c>
      <c r="F2232" s="1">
        <v>3.1738351254480288</v>
      </c>
      <c r="G2232" s="1">
        <v>3.22424718582357E-2</v>
      </c>
    </row>
    <row r="2233" spans="1:7">
      <c r="A2233">
        <v>296</v>
      </c>
      <c r="B2233">
        <v>353</v>
      </c>
      <c r="C2233" s="1">
        <f>(Tabela1[[#This Row],[x]]-H$3)*(Tabela1[[#This Row],[x]]-H$3) +(Tabela1[[#This Row],[y]]-H$4)*(Tabela1[[#This Row],[y]]-H$4)</f>
        <v>32625</v>
      </c>
      <c r="D2233" s="1">
        <f>IF(Tabela1[[#This Row],[promien]]&lt;40000,1,0)</f>
        <v>1</v>
      </c>
      <c r="E2233" s="1">
        <f>IF(Tabela1[[#This Row],[promien]]=40000,1,0)</f>
        <v>0</v>
      </c>
      <c r="F2233" s="1">
        <v>3.1742051052395879</v>
      </c>
      <c r="G2233" s="1">
        <v>3.261245164979476E-2</v>
      </c>
    </row>
    <row r="2234" spans="1:7">
      <c r="A2234">
        <v>257</v>
      </c>
      <c r="B2234">
        <v>318</v>
      </c>
      <c r="C2234" s="1">
        <f>(Tabela1[[#This Row],[x]]-H$3)*(Tabela1[[#This Row],[x]]-H$3) +(Tabela1[[#This Row],[y]]-H$4)*(Tabela1[[#This Row],[y]]-H$4)</f>
        <v>17173</v>
      </c>
      <c r="D2234" s="1">
        <f>IF(Tabela1[[#This Row],[promien]]&lt;40000,1,0)</f>
        <v>1</v>
      </c>
      <c r="E2234" s="1">
        <f>IF(Tabela1[[#This Row],[promien]]=40000,1,0)</f>
        <v>0</v>
      </c>
      <c r="F2234" s="1">
        <v>3.1745747538048343</v>
      </c>
      <c r="G2234" s="1">
        <v>3.2982100215041221E-2</v>
      </c>
    </row>
    <row r="2235" spans="1:7">
      <c r="A2235">
        <v>28</v>
      </c>
      <c r="B2235">
        <v>112</v>
      </c>
      <c r="C2235" s="1">
        <f>(Tabela1[[#This Row],[x]]-H$3)*(Tabela1[[#This Row],[x]]-H$3) +(Tabela1[[#This Row],[y]]-H$4)*(Tabela1[[#This Row],[y]]-H$4)</f>
        <v>37328</v>
      </c>
      <c r="D2235" s="1">
        <f>IF(Tabela1[[#This Row],[promien]]&lt;40000,1,0)</f>
        <v>1</v>
      </c>
      <c r="E2235" s="1">
        <f>IF(Tabela1[[#This Row],[promien]]=40000,1,0)</f>
        <v>0</v>
      </c>
      <c r="F2235" s="1">
        <v>3.1749440715883668</v>
      </c>
      <c r="G2235" s="1">
        <v>3.3351417998573663E-2</v>
      </c>
    </row>
    <row r="2236" spans="1:7">
      <c r="A2236">
        <v>209</v>
      </c>
      <c r="B2236">
        <v>143</v>
      </c>
      <c r="C2236" s="1">
        <f>(Tabela1[[#This Row],[x]]-H$3)*(Tabela1[[#This Row],[x]]-H$3) +(Tabela1[[#This Row],[y]]-H$4)*(Tabela1[[#This Row],[y]]-H$4)</f>
        <v>3330</v>
      </c>
      <c r="D2236" s="1">
        <f>IF(Tabela1[[#This Row],[promien]]&lt;40000,1,0)</f>
        <v>1</v>
      </c>
      <c r="E2236" s="1">
        <f>IF(Tabela1[[#This Row],[promien]]=40000,1,0)</f>
        <v>0</v>
      </c>
      <c r="F2236" s="1">
        <v>3.1753130590339893</v>
      </c>
      <c r="G2236" s="1">
        <v>3.3720405444196189E-2</v>
      </c>
    </row>
    <row r="2237" spans="1:7">
      <c r="A2237">
        <v>239</v>
      </c>
      <c r="B2237">
        <v>282</v>
      </c>
      <c r="C2237" s="1">
        <f>(Tabela1[[#This Row],[x]]-H$3)*(Tabela1[[#This Row],[x]]-H$3) +(Tabela1[[#This Row],[y]]-H$4)*(Tabela1[[#This Row],[y]]-H$4)</f>
        <v>8245</v>
      </c>
      <c r="D2237" s="1">
        <f>IF(Tabela1[[#This Row],[promien]]&lt;40000,1,0)</f>
        <v>1</v>
      </c>
      <c r="E2237" s="1">
        <f>IF(Tabela1[[#This Row],[promien]]=40000,1,0)</f>
        <v>0</v>
      </c>
      <c r="F2237" s="1">
        <v>3.1756817165847115</v>
      </c>
      <c r="G2237" s="1">
        <v>3.4089062994918429E-2</v>
      </c>
    </row>
    <row r="2238" spans="1:7">
      <c r="A2238">
        <v>383</v>
      </c>
      <c r="B2238">
        <v>213</v>
      </c>
      <c r="C2238" s="1">
        <f>(Tabela1[[#This Row],[x]]-H$3)*(Tabela1[[#This Row],[x]]-H$3) +(Tabela1[[#This Row],[y]]-H$4)*(Tabela1[[#This Row],[y]]-H$4)</f>
        <v>33658</v>
      </c>
      <c r="D2238" s="1">
        <f>IF(Tabela1[[#This Row],[promien]]&lt;40000,1,0)</f>
        <v>1</v>
      </c>
      <c r="E2238" s="1">
        <f>IF(Tabela1[[#This Row],[promien]]=40000,1,0)</f>
        <v>0</v>
      </c>
      <c r="F2238" s="1">
        <v>3.1760500446827526</v>
      </c>
      <c r="G2238" s="1">
        <v>3.4457391092959533E-2</v>
      </c>
    </row>
    <row r="2239" spans="1:7">
      <c r="A2239">
        <v>109</v>
      </c>
      <c r="B2239">
        <v>27</v>
      </c>
      <c r="C2239" s="1">
        <f>(Tabela1[[#This Row],[x]]-H$3)*(Tabela1[[#This Row],[x]]-H$3) +(Tabela1[[#This Row],[y]]-H$4)*(Tabela1[[#This Row],[y]]-H$4)</f>
        <v>38210</v>
      </c>
      <c r="D2239" s="1">
        <f>IF(Tabela1[[#This Row],[promien]]&lt;40000,1,0)</f>
        <v>1</v>
      </c>
      <c r="E2239" s="1">
        <f>IF(Tabela1[[#This Row],[promien]]=40000,1,0)</f>
        <v>0</v>
      </c>
      <c r="F2239" s="1">
        <v>3.17641804376954</v>
      </c>
      <c r="G2239" s="1">
        <v>3.482539017974684E-2</v>
      </c>
    </row>
    <row r="2240" spans="1:7">
      <c r="A2240">
        <v>12</v>
      </c>
      <c r="B2240">
        <v>396</v>
      </c>
      <c r="C2240" s="1">
        <f>(Tabela1[[#This Row],[x]]-H$3)*(Tabela1[[#This Row],[x]]-H$3) +(Tabela1[[#This Row],[y]]-H$4)*(Tabela1[[#This Row],[y]]-H$4)</f>
        <v>73760</v>
      </c>
      <c r="D2240" s="1">
        <f>IF(Tabela1[[#This Row],[promien]]&lt;40000,1,0)</f>
        <v>0</v>
      </c>
      <c r="E2240" s="1">
        <f>IF(Tabela1[[#This Row],[promien]]=40000,1,0)</f>
        <v>0</v>
      </c>
      <c r="F2240" s="1">
        <v>3.1749999999999998</v>
      </c>
      <c r="G2240" s="1">
        <v>3.3407346410206706E-2</v>
      </c>
    </row>
    <row r="2241" spans="1:7">
      <c r="A2241">
        <v>278</v>
      </c>
      <c r="B2241">
        <v>22</v>
      </c>
      <c r="C2241" s="1">
        <f>(Tabela1[[#This Row],[x]]-H$3)*(Tabela1[[#This Row],[x]]-H$3) +(Tabela1[[#This Row],[y]]-H$4)*(Tabela1[[#This Row],[y]]-H$4)</f>
        <v>37768</v>
      </c>
      <c r="D2241" s="1">
        <f>IF(Tabela1[[#This Row],[promien]]&lt;40000,1,0)</f>
        <v>1</v>
      </c>
      <c r="E2241" s="1">
        <f>IF(Tabela1[[#This Row],[promien]]=40000,1,0)</f>
        <v>0</v>
      </c>
      <c r="F2241" s="1">
        <v>3.1753681392235609</v>
      </c>
      <c r="G2241" s="1">
        <v>3.3775485633767754E-2</v>
      </c>
    </row>
    <row r="2242" spans="1:7">
      <c r="A2242">
        <v>352</v>
      </c>
      <c r="B2242">
        <v>125</v>
      </c>
      <c r="C2242" s="1">
        <f>(Tabela1[[#This Row],[x]]-H$3)*(Tabela1[[#This Row],[x]]-H$3) +(Tabela1[[#This Row],[y]]-H$4)*(Tabela1[[#This Row],[y]]-H$4)</f>
        <v>28729</v>
      </c>
      <c r="D2242" s="1">
        <f>IF(Tabela1[[#This Row],[promien]]&lt;40000,1,0)</f>
        <v>1</v>
      </c>
      <c r="E2242" s="1">
        <f>IF(Tabela1[[#This Row],[promien]]=40000,1,0)</f>
        <v>0</v>
      </c>
      <c r="F2242" s="1">
        <v>3.175735950044603</v>
      </c>
      <c r="G2242" s="1">
        <v>3.4143296454809846E-2</v>
      </c>
    </row>
    <row r="2243" spans="1:7">
      <c r="A2243">
        <v>147</v>
      </c>
      <c r="B2243">
        <v>364</v>
      </c>
      <c r="C2243" s="1">
        <f>(Tabela1[[#This Row],[x]]-H$3)*(Tabela1[[#This Row],[x]]-H$3) +(Tabela1[[#This Row],[y]]-H$4)*(Tabela1[[#This Row],[y]]-H$4)</f>
        <v>29705</v>
      </c>
      <c r="D2243" s="1">
        <f>IF(Tabela1[[#This Row],[promien]]&lt;40000,1,0)</f>
        <v>1</v>
      </c>
      <c r="E2243" s="1">
        <f>IF(Tabela1[[#This Row],[promien]]=40000,1,0)</f>
        <v>0</v>
      </c>
      <c r="F2243" s="1">
        <v>3.1761034329023627</v>
      </c>
      <c r="G2243" s="1">
        <v>3.4510779312569628E-2</v>
      </c>
    </row>
    <row r="2244" spans="1:7">
      <c r="A2244">
        <v>80</v>
      </c>
      <c r="B2244">
        <v>262</v>
      </c>
      <c r="C2244" s="1">
        <f>(Tabela1[[#This Row],[x]]-H$3)*(Tabela1[[#This Row],[x]]-H$3) +(Tabela1[[#This Row],[y]]-H$4)*(Tabela1[[#This Row],[y]]-H$4)</f>
        <v>18244</v>
      </c>
      <c r="D2244" s="1">
        <f>IF(Tabela1[[#This Row],[promien]]&lt;40000,1,0)</f>
        <v>1</v>
      </c>
      <c r="E2244" s="1">
        <f>IF(Tabela1[[#This Row],[promien]]=40000,1,0)</f>
        <v>0</v>
      </c>
      <c r="F2244" s="1">
        <v>3.1764705882352939</v>
      </c>
      <c r="G2244" s="1">
        <v>3.4877934645500819E-2</v>
      </c>
    </row>
    <row r="2245" spans="1:7">
      <c r="A2245">
        <v>262</v>
      </c>
      <c r="B2245">
        <v>203</v>
      </c>
      <c r="C2245" s="1">
        <f>(Tabela1[[#This Row],[x]]-H$3)*(Tabela1[[#This Row],[x]]-H$3) +(Tabela1[[#This Row],[y]]-H$4)*(Tabela1[[#This Row],[y]]-H$4)</f>
        <v>3853</v>
      </c>
      <c r="D2245" s="1">
        <f>IF(Tabela1[[#This Row],[promien]]&lt;40000,1,0)</f>
        <v>1</v>
      </c>
      <c r="E2245" s="1">
        <f>IF(Tabela1[[#This Row],[promien]]=40000,1,0)</f>
        <v>0</v>
      </c>
      <c r="F2245" s="1">
        <v>3.1768374164810691</v>
      </c>
      <c r="G2245" s="1">
        <v>3.5244762891275982E-2</v>
      </c>
    </row>
    <row r="2246" spans="1:7">
      <c r="A2246">
        <v>272</v>
      </c>
      <c r="B2246">
        <v>104</v>
      </c>
      <c r="C2246" s="1">
        <f>(Tabela1[[#This Row],[x]]-H$3)*(Tabela1[[#This Row],[x]]-H$3) +(Tabela1[[#This Row],[y]]-H$4)*(Tabela1[[#This Row],[y]]-H$4)</f>
        <v>14400</v>
      </c>
      <c r="D2246" s="1">
        <f>IF(Tabela1[[#This Row],[promien]]&lt;40000,1,0)</f>
        <v>1</v>
      </c>
      <c r="E2246" s="1">
        <f>IF(Tabela1[[#This Row],[promien]]=40000,1,0)</f>
        <v>0</v>
      </c>
      <c r="F2246" s="1">
        <v>3.1772039180765805</v>
      </c>
      <c r="G2246" s="1">
        <v>3.561126448678742E-2</v>
      </c>
    </row>
    <row r="2247" spans="1:7">
      <c r="A2247">
        <v>341</v>
      </c>
      <c r="B2247">
        <v>300</v>
      </c>
      <c r="C2247" s="1">
        <f>(Tabela1[[#This Row],[x]]-H$3)*(Tabela1[[#This Row],[x]]-H$3) +(Tabela1[[#This Row],[y]]-H$4)*(Tabela1[[#This Row],[y]]-H$4)</f>
        <v>29881</v>
      </c>
      <c r="D2247" s="1">
        <f>IF(Tabela1[[#This Row],[promien]]&lt;40000,1,0)</f>
        <v>1</v>
      </c>
      <c r="E2247" s="1">
        <f>IF(Tabela1[[#This Row],[promien]]=40000,1,0)</f>
        <v>0</v>
      </c>
      <c r="F2247" s="1">
        <v>3.1775700934579438</v>
      </c>
      <c r="G2247" s="1">
        <v>3.5977439868150718E-2</v>
      </c>
    </row>
    <row r="2248" spans="1:7">
      <c r="A2248">
        <v>307</v>
      </c>
      <c r="B2248">
        <v>157</v>
      </c>
      <c r="C2248" s="1">
        <f>(Tabela1[[#This Row],[x]]-H$3)*(Tabela1[[#This Row],[x]]-H$3) +(Tabela1[[#This Row],[y]]-H$4)*(Tabela1[[#This Row],[y]]-H$4)</f>
        <v>13298</v>
      </c>
      <c r="D2248" s="1">
        <f>IF(Tabela1[[#This Row],[promien]]&lt;40000,1,0)</f>
        <v>1</v>
      </c>
      <c r="E2248" s="1">
        <f>IF(Tabela1[[#This Row],[promien]]=40000,1,0)</f>
        <v>0</v>
      </c>
      <c r="F2248" s="1">
        <v>3.1779359430604983</v>
      </c>
      <c r="G2248" s="1">
        <v>3.6343289470705198E-2</v>
      </c>
    </row>
    <row r="2249" spans="1:7">
      <c r="A2249">
        <v>224</v>
      </c>
      <c r="B2249">
        <v>298</v>
      </c>
      <c r="C2249" s="1">
        <f>(Tabela1[[#This Row],[x]]-H$3)*(Tabela1[[#This Row],[x]]-H$3) +(Tabela1[[#This Row],[y]]-H$4)*(Tabela1[[#This Row],[y]]-H$4)</f>
        <v>10180</v>
      </c>
      <c r="D2249" s="1">
        <f>IF(Tabela1[[#This Row],[promien]]&lt;40000,1,0)</f>
        <v>1</v>
      </c>
      <c r="E2249" s="1">
        <f>IF(Tabela1[[#This Row],[promien]]=40000,1,0)</f>
        <v>0</v>
      </c>
      <c r="F2249" s="1">
        <v>3.1783014673188084</v>
      </c>
      <c r="G2249" s="1">
        <v>3.6708813729015244E-2</v>
      </c>
    </row>
    <row r="2250" spans="1:7">
      <c r="A2250">
        <v>132</v>
      </c>
      <c r="B2250">
        <v>360</v>
      </c>
      <c r="C2250" s="1">
        <f>(Tabela1[[#This Row],[x]]-H$3)*(Tabela1[[#This Row],[x]]-H$3) +(Tabela1[[#This Row],[y]]-H$4)*(Tabela1[[#This Row],[y]]-H$4)</f>
        <v>30224</v>
      </c>
      <c r="D2250" s="1">
        <f>IF(Tabela1[[#This Row],[promien]]&lt;40000,1,0)</f>
        <v>1</v>
      </c>
      <c r="E2250" s="1">
        <f>IF(Tabela1[[#This Row],[promien]]=40000,1,0)</f>
        <v>0</v>
      </c>
      <c r="F2250" s="1">
        <v>3.1786666666666665</v>
      </c>
      <c r="G2250" s="1">
        <v>3.7074013076873413E-2</v>
      </c>
    </row>
    <row r="2251" spans="1:7">
      <c r="A2251">
        <v>102</v>
      </c>
      <c r="B2251">
        <v>88</v>
      </c>
      <c r="C2251" s="1">
        <f>(Tabela1[[#This Row],[x]]-H$3)*(Tabela1[[#This Row],[x]]-H$3) +(Tabela1[[#This Row],[y]]-H$4)*(Tabela1[[#This Row],[y]]-H$4)</f>
        <v>22148</v>
      </c>
      <c r="D2251" s="1">
        <f>IF(Tabela1[[#This Row],[promien]]&lt;40000,1,0)</f>
        <v>1</v>
      </c>
      <c r="E2251" s="1">
        <f>IF(Tabela1[[#This Row],[promien]]=40000,1,0)</f>
        <v>0</v>
      </c>
      <c r="F2251" s="1">
        <v>3.1790315415370944</v>
      </c>
      <c r="G2251" s="1">
        <v>3.7438887947301325E-2</v>
      </c>
    </row>
    <row r="2252" spans="1:7">
      <c r="A2252">
        <v>146</v>
      </c>
      <c r="B2252">
        <v>342</v>
      </c>
      <c r="C2252" s="1">
        <f>(Tabela1[[#This Row],[x]]-H$3)*(Tabela1[[#This Row],[x]]-H$3) +(Tabela1[[#This Row],[y]]-H$4)*(Tabela1[[#This Row],[y]]-H$4)</f>
        <v>23080</v>
      </c>
      <c r="D2252" s="1">
        <f>IF(Tabela1[[#This Row],[promien]]&lt;40000,1,0)</f>
        <v>1</v>
      </c>
      <c r="E2252" s="1">
        <f>IF(Tabela1[[#This Row],[promien]]=40000,1,0)</f>
        <v>0</v>
      </c>
      <c r="F2252" s="1">
        <v>3.1793960923623446</v>
      </c>
      <c r="G2252" s="1">
        <v>3.7803438772551434E-2</v>
      </c>
    </row>
    <row r="2253" spans="1:7">
      <c r="A2253">
        <v>29</v>
      </c>
      <c r="B2253">
        <v>93</v>
      </c>
      <c r="C2253" s="1">
        <f>(Tabela1[[#This Row],[x]]-H$3)*(Tabela1[[#This Row],[x]]-H$3) +(Tabela1[[#This Row],[y]]-H$4)*(Tabela1[[#This Row],[y]]-H$4)</f>
        <v>40690</v>
      </c>
      <c r="D2253" s="1">
        <f>IF(Tabela1[[#This Row],[promien]]&lt;40000,1,0)</f>
        <v>0</v>
      </c>
      <c r="E2253" s="1">
        <f>IF(Tabela1[[#This Row],[promien]]=40000,1,0)</f>
        <v>0</v>
      </c>
      <c r="F2253" s="1">
        <v>3.1779849090102088</v>
      </c>
      <c r="G2253" s="1">
        <v>3.6392255420415687E-2</v>
      </c>
    </row>
    <row r="2254" spans="1:7">
      <c r="A2254">
        <v>146</v>
      </c>
      <c r="B2254">
        <v>79</v>
      </c>
      <c r="C2254" s="1">
        <f>(Tabela1[[#This Row],[x]]-H$3)*(Tabela1[[#This Row],[x]]-H$3) +(Tabela1[[#This Row],[y]]-H$4)*(Tabela1[[#This Row],[y]]-H$4)</f>
        <v>17557</v>
      </c>
      <c r="D2254" s="1">
        <f>IF(Tabela1[[#This Row],[promien]]&lt;40000,1,0)</f>
        <v>1</v>
      </c>
      <c r="E2254" s="1">
        <f>IF(Tabela1[[#This Row],[promien]]=40000,1,0)</f>
        <v>0</v>
      </c>
      <c r="F2254" s="1">
        <v>3.1783496007098493</v>
      </c>
      <c r="G2254" s="1">
        <v>3.6756947120056171E-2</v>
      </c>
    </row>
    <row r="2255" spans="1:7">
      <c r="A2255">
        <v>51</v>
      </c>
      <c r="B2255">
        <v>200</v>
      </c>
      <c r="C2255" s="1">
        <f>(Tabela1[[#This Row],[x]]-H$3)*(Tabela1[[#This Row],[x]]-H$3) +(Tabela1[[#This Row],[y]]-H$4)*(Tabela1[[#This Row],[y]]-H$4)</f>
        <v>22201</v>
      </c>
      <c r="D2255" s="1">
        <f>IF(Tabela1[[#This Row],[promien]]&lt;40000,1,0)</f>
        <v>1</v>
      </c>
      <c r="E2255" s="1">
        <f>IF(Tabela1[[#This Row],[promien]]=40000,1,0)</f>
        <v>0</v>
      </c>
      <c r="F2255" s="1">
        <v>3.1787139689578714</v>
      </c>
      <c r="G2255" s="1">
        <v>3.7121315368078278E-2</v>
      </c>
    </row>
    <row r="2256" spans="1:7">
      <c r="A2256">
        <v>286</v>
      </c>
      <c r="B2256">
        <v>344</v>
      </c>
      <c r="C2256" s="1">
        <f>(Tabela1[[#This Row],[x]]-H$3)*(Tabela1[[#This Row],[x]]-H$3) +(Tabela1[[#This Row],[y]]-H$4)*(Tabela1[[#This Row],[y]]-H$4)</f>
        <v>28132</v>
      </c>
      <c r="D2256" s="1">
        <f>IF(Tabela1[[#This Row],[promien]]&lt;40000,1,0)</f>
        <v>1</v>
      </c>
      <c r="E2256" s="1">
        <f>IF(Tabela1[[#This Row],[promien]]=40000,1,0)</f>
        <v>0</v>
      </c>
      <c r="F2256" s="1">
        <v>3.1790780141843973</v>
      </c>
      <c r="G2256" s="1">
        <v>3.7485360594604167E-2</v>
      </c>
    </row>
    <row r="2257" spans="1:7">
      <c r="A2257">
        <v>135</v>
      </c>
      <c r="B2257">
        <v>76</v>
      </c>
      <c r="C2257" s="1">
        <f>(Tabela1[[#This Row],[x]]-H$3)*(Tabela1[[#This Row],[x]]-H$3) +(Tabela1[[#This Row],[y]]-H$4)*(Tabela1[[#This Row],[y]]-H$4)</f>
        <v>19601</v>
      </c>
      <c r="D2257" s="1">
        <f>IF(Tabela1[[#This Row],[promien]]&lt;40000,1,0)</f>
        <v>1</v>
      </c>
      <c r="E2257" s="1">
        <f>IF(Tabela1[[#This Row],[promien]]=40000,1,0)</f>
        <v>0</v>
      </c>
      <c r="F2257" s="1">
        <v>3.1794417368187862</v>
      </c>
      <c r="G2257" s="1">
        <v>3.7849083228993052E-2</v>
      </c>
    </row>
    <row r="2258" spans="1:7">
      <c r="A2258">
        <v>285</v>
      </c>
      <c r="B2258">
        <v>110</v>
      </c>
      <c r="C2258" s="1">
        <f>(Tabela1[[#This Row],[x]]-H$3)*(Tabela1[[#This Row],[x]]-H$3) +(Tabela1[[#This Row],[y]]-H$4)*(Tabela1[[#This Row],[y]]-H$4)</f>
        <v>15325</v>
      </c>
      <c r="D2258" s="1">
        <f>IF(Tabela1[[#This Row],[promien]]&lt;40000,1,0)</f>
        <v>1</v>
      </c>
      <c r="E2258" s="1">
        <f>IF(Tabela1[[#This Row],[promien]]=40000,1,0)</f>
        <v>0</v>
      </c>
      <c r="F2258" s="1">
        <v>3.179805137289637</v>
      </c>
      <c r="G2258" s="1">
        <v>3.8212483699843869E-2</v>
      </c>
    </row>
    <row r="2259" spans="1:7">
      <c r="A2259">
        <v>185</v>
      </c>
      <c r="B2259">
        <v>44</v>
      </c>
      <c r="C2259" s="1">
        <f>(Tabela1[[#This Row],[x]]-H$3)*(Tabela1[[#This Row],[x]]-H$3) +(Tabela1[[#This Row],[y]]-H$4)*(Tabela1[[#This Row],[y]]-H$4)</f>
        <v>24561</v>
      </c>
      <c r="D2259" s="1">
        <f>IF(Tabela1[[#This Row],[promien]]&lt;40000,1,0)</f>
        <v>1</v>
      </c>
      <c r="E2259" s="1">
        <f>IF(Tabela1[[#This Row],[promien]]=40000,1,0)</f>
        <v>0</v>
      </c>
      <c r="F2259" s="1">
        <v>3.1801682160247897</v>
      </c>
      <c r="G2259" s="1">
        <v>3.8575562434996602E-2</v>
      </c>
    </row>
    <row r="2260" spans="1:7">
      <c r="A2260">
        <v>93</v>
      </c>
      <c r="B2260">
        <v>179</v>
      </c>
      <c r="C2260" s="1">
        <f>(Tabela1[[#This Row],[x]]-H$3)*(Tabela1[[#This Row],[x]]-H$3) +(Tabela1[[#This Row],[y]]-H$4)*(Tabela1[[#This Row],[y]]-H$4)</f>
        <v>11890</v>
      </c>
      <c r="D2260" s="1">
        <f>IF(Tabela1[[#This Row],[promien]]&lt;40000,1,0)</f>
        <v>1</v>
      </c>
      <c r="E2260" s="1">
        <f>IF(Tabela1[[#This Row],[promien]]=40000,1,0)</f>
        <v>0</v>
      </c>
      <c r="F2260" s="1">
        <v>3.1805309734513276</v>
      </c>
      <c r="G2260" s="1">
        <v>3.8938319861534509E-2</v>
      </c>
    </row>
    <row r="2261" spans="1:7">
      <c r="A2261">
        <v>327</v>
      </c>
      <c r="B2261">
        <v>321</v>
      </c>
      <c r="C2261" s="1">
        <f>(Tabela1[[#This Row],[x]]-H$3)*(Tabela1[[#This Row],[x]]-H$3) +(Tabela1[[#This Row],[y]]-H$4)*(Tabela1[[#This Row],[y]]-H$4)</f>
        <v>30770</v>
      </c>
      <c r="D2261" s="1">
        <f>IF(Tabela1[[#This Row],[promien]]&lt;40000,1,0)</f>
        <v>1</v>
      </c>
      <c r="E2261" s="1">
        <f>IF(Tabela1[[#This Row],[promien]]=40000,1,0)</f>
        <v>0</v>
      </c>
      <c r="F2261" s="1">
        <v>3.1808934099955772</v>
      </c>
      <c r="G2261" s="1">
        <v>3.9300756405784121E-2</v>
      </c>
    </row>
    <row r="2262" spans="1:7">
      <c r="A2262">
        <v>5</v>
      </c>
      <c r="B2262">
        <v>90</v>
      </c>
      <c r="C2262" s="1">
        <f>(Tabela1[[#This Row],[x]]-H$3)*(Tabela1[[#This Row],[x]]-H$3) +(Tabela1[[#This Row],[y]]-H$4)*(Tabela1[[#This Row],[y]]-H$4)</f>
        <v>50125</v>
      </c>
      <c r="D2262" s="1">
        <f>IF(Tabela1[[#This Row],[promien]]&lt;40000,1,0)</f>
        <v>0</v>
      </c>
      <c r="E2262" s="1">
        <f>IF(Tabela1[[#This Row],[promien]]=40000,1,0)</f>
        <v>0</v>
      </c>
      <c r="F2262" s="1">
        <v>3.1794871794871793</v>
      </c>
      <c r="G2262" s="1">
        <v>3.7894525897386178E-2</v>
      </c>
    </row>
    <row r="2263" spans="1:7">
      <c r="A2263">
        <v>29</v>
      </c>
      <c r="B2263">
        <v>183</v>
      </c>
      <c r="C2263" s="1">
        <f>(Tabela1[[#This Row],[x]]-H$3)*(Tabela1[[#This Row],[x]]-H$3) +(Tabela1[[#This Row],[y]]-H$4)*(Tabela1[[#This Row],[y]]-H$4)</f>
        <v>29530</v>
      </c>
      <c r="D2263" s="1">
        <f>IF(Tabela1[[#This Row],[promien]]&lt;40000,1,0)</f>
        <v>1</v>
      </c>
      <c r="E2263" s="1">
        <f>IF(Tabela1[[#This Row],[promien]]=40000,1,0)</f>
        <v>0</v>
      </c>
      <c r="F2263" s="1">
        <v>3.1798497569597881</v>
      </c>
      <c r="G2263" s="1">
        <v>3.8257103369994994E-2</v>
      </c>
    </row>
    <row r="2264" spans="1:7">
      <c r="A2264">
        <v>302</v>
      </c>
      <c r="B2264">
        <v>127</v>
      </c>
      <c r="C2264" s="1">
        <f>(Tabela1[[#This Row],[x]]-H$3)*(Tabela1[[#This Row],[x]]-H$3) +(Tabela1[[#This Row],[y]]-H$4)*(Tabela1[[#This Row],[y]]-H$4)</f>
        <v>15733</v>
      </c>
      <c r="D2264" s="1">
        <f>IF(Tabela1[[#This Row],[promien]]&lt;40000,1,0)</f>
        <v>1</v>
      </c>
      <c r="E2264" s="1">
        <f>IF(Tabela1[[#This Row],[promien]]=40000,1,0)</f>
        <v>0</v>
      </c>
      <c r="F2264" s="1">
        <v>3.1802120141342756</v>
      </c>
      <c r="G2264" s="1">
        <v>3.8619360544482451E-2</v>
      </c>
    </row>
    <row r="2265" spans="1:7">
      <c r="A2265">
        <v>219</v>
      </c>
      <c r="B2265">
        <v>44</v>
      </c>
      <c r="C2265" s="1">
        <f>(Tabela1[[#This Row],[x]]-H$3)*(Tabela1[[#This Row],[x]]-H$3) +(Tabela1[[#This Row],[y]]-H$4)*(Tabela1[[#This Row],[y]]-H$4)</f>
        <v>24697</v>
      </c>
      <c r="D2265" s="1">
        <f>IF(Tabela1[[#This Row],[promien]]&lt;40000,1,0)</f>
        <v>1</v>
      </c>
      <c r="E2265" s="1">
        <f>IF(Tabela1[[#This Row],[promien]]=40000,1,0)</f>
        <v>0</v>
      </c>
      <c r="F2265" s="1">
        <v>3.1805739514348788</v>
      </c>
      <c r="G2265" s="1">
        <v>3.8981297845085638E-2</v>
      </c>
    </row>
    <row r="2266" spans="1:7">
      <c r="A2266">
        <v>172</v>
      </c>
      <c r="B2266">
        <v>145</v>
      </c>
      <c r="C2266" s="1">
        <f>(Tabela1[[#This Row],[x]]-H$3)*(Tabela1[[#This Row],[x]]-H$3) +(Tabela1[[#This Row],[y]]-H$4)*(Tabela1[[#This Row],[y]]-H$4)</f>
        <v>3809</v>
      </c>
      <c r="D2266" s="1">
        <f>IF(Tabela1[[#This Row],[promien]]&lt;40000,1,0)</f>
        <v>1</v>
      </c>
      <c r="E2266" s="1">
        <f>IF(Tabela1[[#This Row],[promien]]=40000,1,0)</f>
        <v>0</v>
      </c>
      <c r="F2266" s="1">
        <v>3.1809355692850838</v>
      </c>
      <c r="G2266" s="1">
        <v>3.9342915695290692E-2</v>
      </c>
    </row>
    <row r="2267" spans="1:7">
      <c r="A2267">
        <v>84</v>
      </c>
      <c r="B2267">
        <v>100</v>
      </c>
      <c r="C2267" s="1">
        <f>(Tabela1[[#This Row],[x]]-H$3)*(Tabela1[[#This Row],[x]]-H$3) +(Tabela1[[#This Row],[y]]-H$4)*(Tabela1[[#This Row],[y]]-H$4)</f>
        <v>23456</v>
      </c>
      <c r="D2267" s="1">
        <f>IF(Tabela1[[#This Row],[promien]]&lt;40000,1,0)</f>
        <v>1</v>
      </c>
      <c r="E2267" s="1">
        <f>IF(Tabela1[[#This Row],[promien]]=40000,1,0)</f>
        <v>0</v>
      </c>
      <c r="F2267" s="1">
        <v>3.1812968681076312</v>
      </c>
      <c r="G2267" s="1">
        <v>3.9704214517838121E-2</v>
      </c>
    </row>
    <row r="2268" spans="1:7">
      <c r="A2268">
        <v>110</v>
      </c>
      <c r="B2268">
        <v>20</v>
      </c>
      <c r="C2268" s="1">
        <f>(Tabela1[[#This Row],[x]]-H$3)*(Tabela1[[#This Row],[x]]-H$3) +(Tabela1[[#This Row],[y]]-H$4)*(Tabela1[[#This Row],[y]]-H$4)</f>
        <v>40500</v>
      </c>
      <c r="D2268" s="1">
        <f>IF(Tabela1[[#This Row],[promien]]&lt;40000,1,0)</f>
        <v>0</v>
      </c>
      <c r="E2268" s="1">
        <f>IF(Tabela1[[#This Row],[promien]]=40000,1,0)</f>
        <v>0</v>
      </c>
      <c r="F2268" s="1">
        <v>3.17989417989418</v>
      </c>
      <c r="G2268" s="1">
        <v>3.8301526304386879E-2</v>
      </c>
    </row>
    <row r="2269" spans="1:7">
      <c r="A2269">
        <v>234</v>
      </c>
      <c r="B2269">
        <v>378</v>
      </c>
      <c r="C2269" s="1">
        <f>(Tabela1[[#This Row],[x]]-H$3)*(Tabela1[[#This Row],[x]]-H$3) +(Tabela1[[#This Row],[y]]-H$4)*(Tabela1[[#This Row],[y]]-H$4)</f>
        <v>32840</v>
      </c>
      <c r="D2269" s="1">
        <f>IF(Tabela1[[#This Row],[promien]]&lt;40000,1,0)</f>
        <v>1</v>
      </c>
      <c r="E2269" s="1">
        <f>IF(Tabela1[[#This Row],[promien]]=40000,1,0)</f>
        <v>0</v>
      </c>
      <c r="F2269" s="1">
        <v>3.1802556192155134</v>
      </c>
      <c r="G2269" s="1">
        <v>3.8662965625720247E-2</v>
      </c>
    </row>
    <row r="2270" spans="1:7">
      <c r="A2270">
        <v>221</v>
      </c>
      <c r="B2270">
        <v>339</v>
      </c>
      <c r="C2270" s="1">
        <f>(Tabela1[[#This Row],[x]]-H$3)*(Tabela1[[#This Row],[x]]-H$3) +(Tabela1[[#This Row],[y]]-H$4)*(Tabela1[[#This Row],[y]]-H$4)</f>
        <v>19762</v>
      </c>
      <c r="D2270" s="1">
        <f>IF(Tabela1[[#This Row],[promien]]&lt;40000,1,0)</f>
        <v>1</v>
      </c>
      <c r="E2270" s="1">
        <f>IF(Tabela1[[#This Row],[promien]]=40000,1,0)</f>
        <v>0</v>
      </c>
      <c r="F2270" s="1">
        <v>3.1806167400881056</v>
      </c>
      <c r="G2270" s="1">
        <v>3.902408649831246E-2</v>
      </c>
    </row>
    <row r="2271" spans="1:7">
      <c r="A2271">
        <v>399</v>
      </c>
      <c r="B2271">
        <v>127</v>
      </c>
      <c r="C2271" s="1">
        <f>(Tabela1[[#This Row],[x]]-H$3)*(Tabela1[[#This Row],[x]]-H$3) +(Tabela1[[#This Row],[y]]-H$4)*(Tabela1[[#This Row],[y]]-H$4)</f>
        <v>44930</v>
      </c>
      <c r="D2271" s="1">
        <f>IF(Tabela1[[#This Row],[promien]]&lt;40000,1,0)</f>
        <v>0</v>
      </c>
      <c r="E2271" s="1">
        <f>IF(Tabela1[[#This Row],[promien]]=40000,1,0)</f>
        <v>0</v>
      </c>
      <c r="F2271" s="1">
        <v>3.1792162043152796</v>
      </c>
      <c r="G2271" s="1">
        <v>3.762355072548651E-2</v>
      </c>
    </row>
    <row r="2272" spans="1:7">
      <c r="A2272">
        <v>77</v>
      </c>
      <c r="B2272">
        <v>164</v>
      </c>
      <c r="C2272" s="1">
        <f>(Tabela1[[#This Row],[x]]-H$3)*(Tabela1[[#This Row],[x]]-H$3) +(Tabela1[[#This Row],[y]]-H$4)*(Tabela1[[#This Row],[y]]-H$4)</f>
        <v>16425</v>
      </c>
      <c r="D2272" s="1">
        <f>IF(Tabela1[[#This Row],[promien]]&lt;40000,1,0)</f>
        <v>1</v>
      </c>
      <c r="E2272" s="1">
        <f>IF(Tabela1[[#This Row],[promien]]=40000,1,0)</f>
        <v>0</v>
      </c>
      <c r="F2272" s="1">
        <v>3.1795774647887325</v>
      </c>
      <c r="G2272" s="1">
        <v>3.7984811198939372E-2</v>
      </c>
    </row>
    <row r="2273" spans="1:7">
      <c r="A2273">
        <v>17</v>
      </c>
      <c r="B2273">
        <v>266</v>
      </c>
      <c r="C2273" s="1">
        <f>(Tabela1[[#This Row],[x]]-H$3)*(Tabela1[[#This Row],[x]]-H$3) +(Tabela1[[#This Row],[y]]-H$4)*(Tabela1[[#This Row],[y]]-H$4)</f>
        <v>37845</v>
      </c>
      <c r="D2273" s="1">
        <f>IF(Tabela1[[#This Row],[promien]]&lt;40000,1,0)</f>
        <v>1</v>
      </c>
      <c r="E2273" s="1">
        <f>IF(Tabela1[[#This Row],[promien]]=40000,1,0)</f>
        <v>0</v>
      </c>
      <c r="F2273" s="1">
        <v>3.1799384073911132</v>
      </c>
      <c r="G2273" s="1">
        <v>3.8345753801320104E-2</v>
      </c>
    </row>
    <row r="2274" spans="1:7">
      <c r="A2274">
        <v>40</v>
      </c>
      <c r="B2274">
        <v>175</v>
      </c>
      <c r="C2274" s="1">
        <f>(Tabela1[[#This Row],[x]]-H$3)*(Tabela1[[#This Row],[x]]-H$3) +(Tabela1[[#This Row],[y]]-H$4)*(Tabela1[[#This Row],[y]]-H$4)</f>
        <v>26225</v>
      </c>
      <c r="D2274" s="1">
        <f>IF(Tabela1[[#This Row],[promien]]&lt;40000,1,0)</f>
        <v>1</v>
      </c>
      <c r="E2274" s="1">
        <f>IF(Tabela1[[#This Row],[promien]]=40000,1,0)</f>
        <v>0</v>
      </c>
      <c r="F2274" s="1">
        <v>3.1802990325417766</v>
      </c>
      <c r="G2274" s="1">
        <v>3.8706378951983478E-2</v>
      </c>
    </row>
    <row r="2275" spans="1:7">
      <c r="A2275">
        <v>145</v>
      </c>
      <c r="B2275">
        <v>143</v>
      </c>
      <c r="C2275" s="1">
        <f>(Tabela1[[#This Row],[x]]-H$3)*(Tabela1[[#This Row],[x]]-H$3) +(Tabela1[[#This Row],[y]]-H$4)*(Tabela1[[#This Row],[y]]-H$4)</f>
        <v>6274</v>
      </c>
      <c r="D2275" s="1">
        <f>IF(Tabela1[[#This Row],[promien]]&lt;40000,1,0)</f>
        <v>1</v>
      </c>
      <c r="E2275" s="1">
        <f>IF(Tabela1[[#This Row],[promien]]=40000,1,0)</f>
        <v>0</v>
      </c>
      <c r="F2275" s="1">
        <v>3.1806593406593406</v>
      </c>
      <c r="G2275" s="1">
        <v>3.9066687069547523E-2</v>
      </c>
    </row>
    <row r="2276" spans="1:7">
      <c r="A2276">
        <v>138</v>
      </c>
      <c r="B2276">
        <v>214</v>
      </c>
      <c r="C2276" s="1">
        <f>(Tabela1[[#This Row],[x]]-H$3)*(Tabela1[[#This Row],[x]]-H$3) +(Tabela1[[#This Row],[y]]-H$4)*(Tabela1[[#This Row],[y]]-H$4)</f>
        <v>4040</v>
      </c>
      <c r="D2276" s="1">
        <f>IF(Tabela1[[#This Row],[promien]]&lt;40000,1,0)</f>
        <v>1</v>
      </c>
      <c r="E2276" s="1">
        <f>IF(Tabela1[[#This Row],[promien]]=40000,1,0)</f>
        <v>0</v>
      </c>
      <c r="F2276" s="1">
        <v>3.1810193321616871</v>
      </c>
      <c r="G2276" s="1">
        <v>3.9426678571893969E-2</v>
      </c>
    </row>
    <row r="2277" spans="1:7">
      <c r="A2277">
        <v>91</v>
      </c>
      <c r="B2277">
        <v>326</v>
      </c>
      <c r="C2277" s="1">
        <f>(Tabela1[[#This Row],[x]]-H$3)*(Tabela1[[#This Row],[x]]-H$3) +(Tabela1[[#This Row],[y]]-H$4)*(Tabela1[[#This Row],[y]]-H$4)</f>
        <v>27757</v>
      </c>
      <c r="D2277" s="1">
        <f>IF(Tabela1[[#This Row],[promien]]&lt;40000,1,0)</f>
        <v>1</v>
      </c>
      <c r="E2277" s="1">
        <f>IF(Tabela1[[#This Row],[promien]]=40000,1,0)</f>
        <v>0</v>
      </c>
      <c r="F2277" s="1">
        <v>3.181379007465964</v>
      </c>
      <c r="G2277" s="1">
        <v>3.978635387617091E-2</v>
      </c>
    </row>
    <row r="2278" spans="1:7">
      <c r="A2278">
        <v>334</v>
      </c>
      <c r="B2278">
        <v>383</v>
      </c>
      <c r="C2278" s="1">
        <f>(Tabela1[[#This Row],[x]]-H$3)*(Tabela1[[#This Row],[x]]-H$3) +(Tabela1[[#This Row],[y]]-H$4)*(Tabela1[[#This Row],[y]]-H$4)</f>
        <v>51445</v>
      </c>
      <c r="D2278" s="1">
        <f>IF(Tabela1[[#This Row],[promien]]&lt;40000,1,0)</f>
        <v>0</v>
      </c>
      <c r="E2278" s="1">
        <f>IF(Tabela1[[#This Row],[promien]]=40000,1,0)</f>
        <v>0</v>
      </c>
      <c r="F2278" s="1">
        <v>3.179982440737489</v>
      </c>
      <c r="G2278" s="1">
        <v>3.838978714769592E-2</v>
      </c>
    </row>
    <row r="2279" spans="1:7">
      <c r="A2279">
        <v>358</v>
      </c>
      <c r="B2279">
        <v>226</v>
      </c>
      <c r="C2279" s="1">
        <f>(Tabela1[[#This Row],[x]]-H$3)*(Tabela1[[#This Row],[x]]-H$3) +(Tabela1[[#This Row],[y]]-H$4)*(Tabela1[[#This Row],[y]]-H$4)</f>
        <v>25640</v>
      </c>
      <c r="D2279" s="1">
        <f>IF(Tabela1[[#This Row],[promien]]&lt;40000,1,0)</f>
        <v>1</v>
      </c>
      <c r="E2279" s="1">
        <f>IF(Tabela1[[#This Row],[promien]]=40000,1,0)</f>
        <v>0</v>
      </c>
      <c r="F2279" s="1">
        <v>3.1803422553751646</v>
      </c>
      <c r="G2279" s="1">
        <v>3.8749601785371457E-2</v>
      </c>
    </row>
    <row r="2280" spans="1:7">
      <c r="A2280">
        <v>53</v>
      </c>
      <c r="B2280">
        <v>143</v>
      </c>
      <c r="C2280" s="1">
        <f>(Tabela1[[#This Row],[x]]-H$3)*(Tabela1[[#This Row],[x]]-H$3) +(Tabela1[[#This Row],[y]]-H$4)*(Tabela1[[#This Row],[y]]-H$4)</f>
        <v>24858</v>
      </c>
      <c r="D2280" s="1">
        <f>IF(Tabela1[[#This Row],[promien]]&lt;40000,1,0)</f>
        <v>1</v>
      </c>
      <c r="E2280" s="1">
        <f>IF(Tabela1[[#This Row],[promien]]=40000,1,0)</f>
        <v>0</v>
      </c>
      <c r="F2280" s="1">
        <v>3.1807017543859648</v>
      </c>
      <c r="G2280" s="1">
        <v>3.9109100796171692E-2</v>
      </c>
    </row>
    <row r="2281" spans="1:7">
      <c r="A2281">
        <v>66</v>
      </c>
      <c r="B2281">
        <v>84</v>
      </c>
      <c r="C2281" s="1">
        <f>(Tabela1[[#This Row],[x]]-H$3)*(Tabela1[[#This Row],[x]]-H$3) +(Tabela1[[#This Row],[y]]-H$4)*(Tabela1[[#This Row],[y]]-H$4)</f>
        <v>31412</v>
      </c>
      <c r="D2281" s="1">
        <f>IF(Tabela1[[#This Row],[promien]]&lt;40000,1,0)</f>
        <v>1</v>
      </c>
      <c r="E2281" s="1">
        <f>IF(Tabela1[[#This Row],[promien]]=40000,1,0)</f>
        <v>0</v>
      </c>
      <c r="F2281" s="1">
        <v>3.1810609381850066</v>
      </c>
      <c r="G2281" s="1">
        <v>3.9468284595213454E-2</v>
      </c>
    </row>
    <row r="2282" spans="1:7">
      <c r="A2282">
        <v>245</v>
      </c>
      <c r="B2282">
        <v>50</v>
      </c>
      <c r="C2282" s="1">
        <f>(Tabela1[[#This Row],[x]]-H$3)*(Tabela1[[#This Row],[x]]-H$3) +(Tabela1[[#This Row],[y]]-H$4)*(Tabela1[[#This Row],[y]]-H$4)</f>
        <v>24525</v>
      </c>
      <c r="D2282" s="1">
        <f>IF(Tabela1[[#This Row],[promien]]&lt;40000,1,0)</f>
        <v>1</v>
      </c>
      <c r="E2282" s="1">
        <f>IF(Tabela1[[#This Row],[promien]]=40000,1,0)</f>
        <v>0</v>
      </c>
      <c r="F2282" s="1">
        <v>3.1814198071866784</v>
      </c>
      <c r="G2282" s="1">
        <v>3.9827153596885267E-2</v>
      </c>
    </row>
    <row r="2283" spans="1:7">
      <c r="A2283">
        <v>42</v>
      </c>
      <c r="B2283">
        <v>130</v>
      </c>
      <c r="C2283" s="1">
        <f>(Tabela1[[#This Row],[x]]-H$3)*(Tabela1[[#This Row],[x]]-H$3) +(Tabela1[[#This Row],[y]]-H$4)*(Tabela1[[#This Row],[y]]-H$4)</f>
        <v>29864</v>
      </c>
      <c r="D2283" s="1">
        <f>IF(Tabela1[[#This Row],[promien]]&lt;40000,1,0)</f>
        <v>1</v>
      </c>
      <c r="E2283" s="1">
        <f>IF(Tabela1[[#This Row],[promien]]=40000,1,0)</f>
        <v>0</v>
      </c>
      <c r="F2283" s="1">
        <v>3.1817783618046431</v>
      </c>
      <c r="G2283" s="1">
        <v>4.0185708214850013E-2</v>
      </c>
    </row>
    <row r="2284" spans="1:7">
      <c r="A2284">
        <v>256</v>
      </c>
      <c r="B2284">
        <v>46</v>
      </c>
      <c r="C2284" s="1">
        <f>(Tabela1[[#This Row],[x]]-H$3)*(Tabela1[[#This Row],[x]]-H$3) +(Tabela1[[#This Row],[y]]-H$4)*(Tabela1[[#This Row],[y]]-H$4)</f>
        <v>26852</v>
      </c>
      <c r="D2284" s="1">
        <f>IF(Tabela1[[#This Row],[promien]]&lt;40000,1,0)</f>
        <v>1</v>
      </c>
      <c r="E2284" s="1">
        <f>IF(Tabela1[[#This Row],[promien]]=40000,1,0)</f>
        <v>0</v>
      </c>
      <c r="F2284" s="1">
        <v>3.1821366024518389</v>
      </c>
      <c r="G2284" s="1">
        <v>4.054394886204582E-2</v>
      </c>
    </row>
    <row r="2285" spans="1:7">
      <c r="A2285">
        <v>50</v>
      </c>
      <c r="B2285">
        <v>57</v>
      </c>
      <c r="C2285" s="1">
        <f>(Tabela1[[#This Row],[x]]-H$3)*(Tabela1[[#This Row],[x]]-H$3) +(Tabela1[[#This Row],[y]]-H$4)*(Tabela1[[#This Row],[y]]-H$4)</f>
        <v>42949</v>
      </c>
      <c r="D2285" s="1">
        <f>IF(Tabela1[[#This Row],[promien]]&lt;40000,1,0)</f>
        <v>0</v>
      </c>
      <c r="E2285" s="1">
        <f>IF(Tabela1[[#This Row],[promien]]=40000,1,0)</f>
        <v>0</v>
      </c>
      <c r="F2285" s="1">
        <v>3.1807439824945294</v>
      </c>
      <c r="G2285" s="1">
        <v>3.9151328904736271E-2</v>
      </c>
    </row>
    <row r="2286" spans="1:7">
      <c r="A2286">
        <v>10</v>
      </c>
      <c r="B2286">
        <v>180</v>
      </c>
      <c r="C2286" s="1">
        <f>(Tabela1[[#This Row],[x]]-H$3)*(Tabela1[[#This Row],[x]]-H$3) +(Tabela1[[#This Row],[y]]-H$4)*(Tabela1[[#This Row],[y]]-H$4)</f>
        <v>36500</v>
      </c>
      <c r="D2286" s="1">
        <f>IF(Tabela1[[#This Row],[promien]]&lt;40000,1,0)</f>
        <v>1</v>
      </c>
      <c r="E2286" s="1">
        <f>IF(Tabela1[[#This Row],[promien]]=40000,1,0)</f>
        <v>0</v>
      </c>
      <c r="F2286" s="1">
        <v>3.1811023622047245</v>
      </c>
      <c r="G2286" s="1">
        <v>3.9509708614931416E-2</v>
      </c>
    </row>
    <row r="2287" spans="1:7">
      <c r="A2287">
        <v>373</v>
      </c>
      <c r="B2287">
        <v>396</v>
      </c>
      <c r="C2287" s="1">
        <f>(Tabela1[[#This Row],[x]]-H$3)*(Tabela1[[#This Row],[x]]-H$3) +(Tabela1[[#This Row],[y]]-H$4)*(Tabela1[[#This Row],[y]]-H$4)</f>
        <v>68345</v>
      </c>
      <c r="D2287" s="1">
        <f>IF(Tabela1[[#This Row],[promien]]&lt;40000,1,0)</f>
        <v>0</v>
      </c>
      <c r="E2287" s="1">
        <f>IF(Tabela1[[#This Row],[promien]]=40000,1,0)</f>
        <v>0</v>
      </c>
      <c r="F2287" s="1">
        <v>3.1797114123305641</v>
      </c>
      <c r="G2287" s="1">
        <v>3.8118758740770975E-2</v>
      </c>
    </row>
    <row r="2288" spans="1:7">
      <c r="A2288">
        <v>212</v>
      </c>
      <c r="B2288">
        <v>40</v>
      </c>
      <c r="C2288" s="1">
        <f>(Tabela1[[#This Row],[x]]-H$3)*(Tabela1[[#This Row],[x]]-H$3) +(Tabela1[[#This Row],[y]]-H$4)*(Tabela1[[#This Row],[y]]-H$4)</f>
        <v>25744</v>
      </c>
      <c r="D2288" s="1">
        <f>IF(Tabela1[[#This Row],[promien]]&lt;40000,1,0)</f>
        <v>1</v>
      </c>
      <c r="E2288" s="1">
        <f>IF(Tabela1[[#This Row],[promien]]=40000,1,0)</f>
        <v>0</v>
      </c>
      <c r="F2288" s="1">
        <v>3.18006993006993</v>
      </c>
      <c r="G2288" s="1">
        <v>3.8477276480136879E-2</v>
      </c>
    </row>
    <row r="2289" spans="1:7">
      <c r="A2289">
        <v>66</v>
      </c>
      <c r="B2289">
        <v>259</v>
      </c>
      <c r="C2289" s="1">
        <f>(Tabela1[[#This Row],[x]]-H$3)*(Tabela1[[#This Row],[x]]-H$3) +(Tabela1[[#This Row],[y]]-H$4)*(Tabela1[[#This Row],[y]]-H$4)</f>
        <v>21437</v>
      </c>
      <c r="D2289" s="1">
        <f>IF(Tabela1[[#This Row],[promien]]&lt;40000,1,0)</f>
        <v>1</v>
      </c>
      <c r="E2289" s="1">
        <f>IF(Tabela1[[#This Row],[promien]]=40000,1,0)</f>
        <v>0</v>
      </c>
      <c r="F2289" s="1">
        <v>3.1804281345565748</v>
      </c>
      <c r="G2289" s="1">
        <v>3.8835480966781688E-2</v>
      </c>
    </row>
    <row r="2290" spans="1:7">
      <c r="A2290">
        <v>85</v>
      </c>
      <c r="B2290">
        <v>125</v>
      </c>
      <c r="C2290" s="1">
        <f>(Tabela1[[#This Row],[x]]-H$3)*(Tabela1[[#This Row],[x]]-H$3) +(Tabela1[[#This Row],[y]]-H$4)*(Tabela1[[#This Row],[y]]-H$4)</f>
        <v>18850</v>
      </c>
      <c r="D2290" s="1">
        <f>IF(Tabela1[[#This Row],[promien]]&lt;40000,1,0)</f>
        <v>1</v>
      </c>
      <c r="E2290" s="1">
        <f>IF(Tabela1[[#This Row],[promien]]=40000,1,0)</f>
        <v>0</v>
      </c>
      <c r="F2290" s="1">
        <v>3.1807860262008734</v>
      </c>
      <c r="G2290" s="1">
        <v>3.9193372611080246E-2</v>
      </c>
    </row>
    <row r="2291" spans="1:7">
      <c r="A2291">
        <v>214</v>
      </c>
      <c r="B2291">
        <v>120</v>
      </c>
      <c r="C2291" s="1">
        <f>(Tabela1[[#This Row],[x]]-H$3)*(Tabela1[[#This Row],[x]]-H$3) +(Tabela1[[#This Row],[y]]-H$4)*(Tabela1[[#This Row],[y]]-H$4)</f>
        <v>6596</v>
      </c>
      <c r="D2291" s="1">
        <f>IF(Tabela1[[#This Row],[promien]]&lt;40000,1,0)</f>
        <v>1</v>
      </c>
      <c r="E2291" s="1">
        <f>IF(Tabela1[[#This Row],[promien]]=40000,1,0)</f>
        <v>0</v>
      </c>
      <c r="F2291" s="1">
        <v>3.1811436054124838</v>
      </c>
      <c r="G2291" s="1">
        <v>3.9550951822690639E-2</v>
      </c>
    </row>
    <row r="2292" spans="1:7">
      <c r="A2292">
        <v>391</v>
      </c>
      <c r="B2292">
        <v>51</v>
      </c>
      <c r="C2292" s="1">
        <f>(Tabela1[[#This Row],[x]]-H$3)*(Tabela1[[#This Row],[x]]-H$3) +(Tabela1[[#This Row],[y]]-H$4)*(Tabela1[[#This Row],[y]]-H$4)</f>
        <v>58682</v>
      </c>
      <c r="D2292" s="1">
        <f>IF(Tabela1[[#This Row],[promien]]&lt;40000,1,0)</f>
        <v>0</v>
      </c>
      <c r="E2292" s="1">
        <f>IF(Tabela1[[#This Row],[promien]]=40000,1,0)</f>
        <v>0</v>
      </c>
      <c r="F2292" s="1">
        <v>3.1797556719022686</v>
      </c>
      <c r="G2292" s="1">
        <v>3.8163018312475483E-2</v>
      </c>
    </row>
    <row r="2293" spans="1:7">
      <c r="A2293">
        <v>274</v>
      </c>
      <c r="B2293">
        <v>133</v>
      </c>
      <c r="C2293" s="1">
        <f>(Tabela1[[#This Row],[x]]-H$3)*(Tabela1[[#This Row],[x]]-H$3) +(Tabela1[[#This Row],[y]]-H$4)*(Tabela1[[#This Row],[y]]-H$4)</f>
        <v>9965</v>
      </c>
      <c r="D2293" s="1">
        <f>IF(Tabela1[[#This Row],[promien]]&lt;40000,1,0)</f>
        <v>1</v>
      </c>
      <c r="E2293" s="1">
        <f>IF(Tabela1[[#This Row],[promien]]=40000,1,0)</f>
        <v>0</v>
      </c>
      <c r="F2293" s="1">
        <v>3.1801133885739206</v>
      </c>
      <c r="G2293" s="1">
        <v>3.8520734984127447E-2</v>
      </c>
    </row>
    <row r="2294" spans="1:7">
      <c r="A2294">
        <v>195</v>
      </c>
      <c r="B2294">
        <v>350</v>
      </c>
      <c r="C2294" s="1">
        <f>(Tabela1[[#This Row],[x]]-H$3)*(Tabela1[[#This Row],[x]]-H$3) +(Tabela1[[#This Row],[y]]-H$4)*(Tabela1[[#This Row],[y]]-H$4)</f>
        <v>22525</v>
      </c>
      <c r="D2294" s="1">
        <f>IF(Tabela1[[#This Row],[promien]]&lt;40000,1,0)</f>
        <v>1</v>
      </c>
      <c r="E2294" s="1">
        <f>IF(Tabela1[[#This Row],[promien]]=40000,1,0)</f>
        <v>0</v>
      </c>
      <c r="F2294" s="1">
        <v>3.1804707933740191</v>
      </c>
      <c r="G2294" s="1">
        <v>3.887813978422594E-2</v>
      </c>
    </row>
    <row r="2295" spans="1:7">
      <c r="A2295">
        <v>266</v>
      </c>
      <c r="B2295">
        <v>82</v>
      </c>
      <c r="C2295" s="1">
        <f>(Tabela1[[#This Row],[x]]-H$3)*(Tabela1[[#This Row],[x]]-H$3) +(Tabela1[[#This Row],[y]]-H$4)*(Tabela1[[#This Row],[y]]-H$4)</f>
        <v>18280</v>
      </c>
      <c r="D2295" s="1">
        <f>IF(Tabela1[[#This Row],[promien]]&lt;40000,1,0)</f>
        <v>1</v>
      </c>
      <c r="E2295" s="1">
        <f>IF(Tabela1[[#This Row],[promien]]=40000,1,0)</f>
        <v>0</v>
      </c>
      <c r="F2295" s="1">
        <v>3.1808278867102397</v>
      </c>
      <c r="G2295" s="1">
        <v>3.9235233120446633E-2</v>
      </c>
    </row>
    <row r="2296" spans="1:7">
      <c r="A2296">
        <v>223</v>
      </c>
      <c r="B2296">
        <v>323</v>
      </c>
      <c r="C2296" s="1">
        <f>(Tabela1[[#This Row],[x]]-H$3)*(Tabela1[[#This Row],[x]]-H$3) +(Tabela1[[#This Row],[y]]-H$4)*(Tabela1[[#This Row],[y]]-H$4)</f>
        <v>15658</v>
      </c>
      <c r="D2296" s="1">
        <f>IF(Tabela1[[#This Row],[promien]]&lt;40000,1,0)</f>
        <v>1</v>
      </c>
      <c r="E2296" s="1">
        <f>IF(Tabela1[[#This Row],[promien]]=40000,1,0)</f>
        <v>0</v>
      </c>
      <c r="F2296" s="1">
        <v>3.1811846689895469</v>
      </c>
      <c r="G2296" s="1">
        <v>3.9592015399753766E-2</v>
      </c>
    </row>
    <row r="2297" spans="1:7">
      <c r="A2297">
        <v>307</v>
      </c>
      <c r="B2297">
        <v>257</v>
      </c>
      <c r="C2297" s="1">
        <f>(Tabela1[[#This Row],[x]]-H$3)*(Tabela1[[#This Row],[x]]-H$3) +(Tabela1[[#This Row],[y]]-H$4)*(Tabela1[[#This Row],[y]]-H$4)</f>
        <v>14698</v>
      </c>
      <c r="D2297" s="1">
        <f>IF(Tabela1[[#This Row],[promien]]&lt;40000,1,0)</f>
        <v>1</v>
      </c>
      <c r="E2297" s="1">
        <f>IF(Tabela1[[#This Row],[promien]]=40000,1,0)</f>
        <v>0</v>
      </c>
      <c r="F2297" s="1">
        <v>3.1815411406181977</v>
      </c>
      <c r="G2297" s="1">
        <v>3.9948487028404589E-2</v>
      </c>
    </row>
    <row r="2298" spans="1:7">
      <c r="A2298">
        <v>135</v>
      </c>
      <c r="B2298">
        <v>365</v>
      </c>
      <c r="C2298" s="1">
        <f>(Tabela1[[#This Row],[x]]-H$3)*(Tabela1[[#This Row],[x]]-H$3) +(Tabela1[[#This Row],[y]]-H$4)*(Tabela1[[#This Row],[y]]-H$4)</f>
        <v>31450</v>
      </c>
      <c r="D2298" s="1">
        <f>IF(Tabela1[[#This Row],[promien]]&lt;40000,1,0)</f>
        <v>1</v>
      </c>
      <c r="E2298" s="1">
        <f>IF(Tabela1[[#This Row],[promien]]=40000,1,0)</f>
        <v>0</v>
      </c>
      <c r="F2298" s="1">
        <v>3.1818973020017407</v>
      </c>
      <c r="G2298" s="1">
        <v>4.0304648411947586E-2</v>
      </c>
    </row>
    <row r="2299" spans="1:7">
      <c r="A2299">
        <v>209</v>
      </c>
      <c r="B2299">
        <v>13</v>
      </c>
      <c r="C2299" s="1">
        <f>(Tabela1[[#This Row],[x]]-H$3)*(Tabela1[[#This Row],[x]]-H$3) +(Tabela1[[#This Row],[y]]-H$4)*(Tabela1[[#This Row],[y]]-H$4)</f>
        <v>35050</v>
      </c>
      <c r="D2299" s="1">
        <f>IF(Tabela1[[#This Row],[promien]]&lt;40000,1,0)</f>
        <v>1</v>
      </c>
      <c r="E2299" s="1">
        <f>IF(Tabela1[[#This Row],[promien]]=40000,1,0)</f>
        <v>0</v>
      </c>
      <c r="F2299" s="1">
        <v>3.1822531535450196</v>
      </c>
      <c r="G2299" s="1">
        <v>4.066049995522647E-2</v>
      </c>
    </row>
    <row r="2300" spans="1:7">
      <c r="A2300">
        <v>391</v>
      </c>
      <c r="B2300">
        <v>173</v>
      </c>
      <c r="C2300" s="1">
        <f>(Tabela1[[#This Row],[x]]-H$3)*(Tabela1[[#This Row],[x]]-H$3) +(Tabela1[[#This Row],[y]]-H$4)*(Tabela1[[#This Row],[y]]-H$4)</f>
        <v>37210</v>
      </c>
      <c r="D2300" s="1">
        <f>IF(Tabela1[[#This Row],[promien]]&lt;40000,1,0)</f>
        <v>1</v>
      </c>
      <c r="E2300" s="1">
        <f>IF(Tabela1[[#This Row],[promien]]=40000,1,0)</f>
        <v>0</v>
      </c>
      <c r="F2300" s="1">
        <v>3.1826086956521737</v>
      </c>
      <c r="G2300" s="1">
        <v>4.1016042062380631E-2</v>
      </c>
    </row>
    <row r="2301" spans="1:7">
      <c r="A2301">
        <v>205</v>
      </c>
      <c r="B2301">
        <v>288</v>
      </c>
      <c r="C2301" s="1">
        <f>(Tabela1[[#This Row],[x]]-H$3)*(Tabela1[[#This Row],[x]]-H$3) +(Tabela1[[#This Row],[y]]-H$4)*(Tabela1[[#This Row],[y]]-H$4)</f>
        <v>7769</v>
      </c>
      <c r="D2301" s="1">
        <f>IF(Tabela1[[#This Row],[promien]]&lt;40000,1,0)</f>
        <v>1</v>
      </c>
      <c r="E2301" s="1">
        <f>IF(Tabela1[[#This Row],[promien]]=40000,1,0)</f>
        <v>0</v>
      </c>
      <c r="F2301" s="1">
        <v>3.1829639287266405</v>
      </c>
      <c r="G2301" s="1">
        <v>4.1371275136847352E-2</v>
      </c>
    </row>
    <row r="2302" spans="1:7">
      <c r="A2302">
        <v>48</v>
      </c>
      <c r="B2302">
        <v>360</v>
      </c>
      <c r="C2302" s="1">
        <f>(Tabela1[[#This Row],[x]]-H$3)*(Tabela1[[#This Row],[x]]-H$3) +(Tabela1[[#This Row],[y]]-H$4)*(Tabela1[[#This Row],[y]]-H$4)</f>
        <v>48704</v>
      </c>
      <c r="D2302" s="1">
        <f>IF(Tabela1[[#This Row],[promien]]&lt;40000,1,0)</f>
        <v>0</v>
      </c>
      <c r="E2302" s="1">
        <f>IF(Tabela1[[#This Row],[promien]]=40000,1,0)</f>
        <v>0</v>
      </c>
      <c r="F2302" s="1">
        <v>3.1815812337098177</v>
      </c>
      <c r="G2302" s="1">
        <v>3.9988580120024597E-2</v>
      </c>
    </row>
    <row r="2303" spans="1:7">
      <c r="A2303">
        <v>277</v>
      </c>
      <c r="B2303">
        <v>134</v>
      </c>
      <c r="C2303" s="1">
        <f>(Tabela1[[#This Row],[x]]-H$3)*(Tabela1[[#This Row],[x]]-H$3) +(Tabela1[[#This Row],[y]]-H$4)*(Tabela1[[#This Row],[y]]-H$4)</f>
        <v>10285</v>
      </c>
      <c r="D2303" s="1">
        <f>IF(Tabela1[[#This Row],[promien]]&lt;40000,1,0)</f>
        <v>1</v>
      </c>
      <c r="E2303" s="1">
        <f>IF(Tabela1[[#This Row],[promien]]=40000,1,0)</f>
        <v>0</v>
      </c>
      <c r="F2303" s="1">
        <v>3.1819366044290058</v>
      </c>
      <c r="G2303" s="1">
        <v>4.0343950839212717E-2</v>
      </c>
    </row>
    <row r="2304" spans="1:7">
      <c r="A2304">
        <v>57</v>
      </c>
      <c r="B2304">
        <v>392</v>
      </c>
      <c r="C2304" s="1">
        <f>(Tabela1[[#This Row],[x]]-H$3)*(Tabela1[[#This Row],[x]]-H$3) +(Tabela1[[#This Row],[y]]-H$4)*(Tabela1[[#This Row],[y]]-H$4)</f>
        <v>57313</v>
      </c>
      <c r="D2304" s="1">
        <f>IF(Tabela1[[#This Row],[promien]]&lt;40000,1,0)</f>
        <v>0</v>
      </c>
      <c r="E2304" s="1">
        <f>IF(Tabela1[[#This Row],[promien]]=40000,1,0)</f>
        <v>0</v>
      </c>
      <c r="F2304" s="1">
        <v>3.1805555555555554</v>
      </c>
      <c r="G2304" s="1">
        <v>3.8962901965762242E-2</v>
      </c>
    </row>
    <row r="2305" spans="1:7">
      <c r="A2305">
        <v>275</v>
      </c>
      <c r="B2305">
        <v>22</v>
      </c>
      <c r="C2305" s="1">
        <f>(Tabela1[[#This Row],[x]]-H$3)*(Tabela1[[#This Row],[x]]-H$3) +(Tabela1[[#This Row],[y]]-H$4)*(Tabela1[[#This Row],[y]]-H$4)</f>
        <v>37309</v>
      </c>
      <c r="D2305" s="1">
        <f>IF(Tabela1[[#This Row],[promien]]&lt;40000,1,0)</f>
        <v>1</v>
      </c>
      <c r="E2305" s="1">
        <f>IF(Tabela1[[#This Row],[promien]]=40000,1,0)</f>
        <v>0</v>
      </c>
      <c r="F2305" s="1">
        <v>3.1809110629067243</v>
      </c>
      <c r="G2305" s="1">
        <v>3.9318409316931202E-2</v>
      </c>
    </row>
    <row r="2306" spans="1:7">
      <c r="A2306">
        <v>12</v>
      </c>
      <c r="B2306">
        <v>353</v>
      </c>
      <c r="C2306" s="1">
        <f>(Tabela1[[#This Row],[x]]-H$3)*(Tabela1[[#This Row],[x]]-H$3) +(Tabela1[[#This Row],[y]]-H$4)*(Tabela1[[#This Row],[y]]-H$4)</f>
        <v>58753</v>
      </c>
      <c r="D2306" s="1">
        <f>IF(Tabela1[[#This Row],[promien]]&lt;40000,1,0)</f>
        <v>0</v>
      </c>
      <c r="E2306" s="1">
        <f>IF(Tabela1[[#This Row],[promien]]=40000,1,0)</f>
        <v>0</v>
      </c>
      <c r="F2306" s="1">
        <v>3.1795316565481353</v>
      </c>
      <c r="G2306" s="1">
        <v>3.7939002958342183E-2</v>
      </c>
    </row>
    <row r="2307" spans="1:7">
      <c r="A2307">
        <v>202</v>
      </c>
      <c r="B2307">
        <v>24</v>
      </c>
      <c r="C2307" s="1">
        <f>(Tabela1[[#This Row],[x]]-H$3)*(Tabela1[[#This Row],[x]]-H$3) +(Tabela1[[#This Row],[y]]-H$4)*(Tabela1[[#This Row],[y]]-H$4)</f>
        <v>30980</v>
      </c>
      <c r="D2307" s="1">
        <f>IF(Tabela1[[#This Row],[promien]]&lt;40000,1,0)</f>
        <v>1</v>
      </c>
      <c r="E2307" s="1">
        <f>IF(Tabela1[[#This Row],[promien]]=40000,1,0)</f>
        <v>0</v>
      </c>
      <c r="F2307" s="1">
        <v>3.1798872995231902</v>
      </c>
      <c r="G2307" s="1">
        <v>3.8294645933397042E-2</v>
      </c>
    </row>
    <row r="2308" spans="1:7">
      <c r="A2308">
        <v>46</v>
      </c>
      <c r="B2308">
        <v>349</v>
      </c>
      <c r="C2308" s="1">
        <f>(Tabela1[[#This Row],[x]]-H$3)*(Tabela1[[#This Row],[x]]-H$3) +(Tabela1[[#This Row],[y]]-H$4)*(Tabela1[[#This Row],[y]]-H$4)</f>
        <v>45917</v>
      </c>
      <c r="D2308" s="1">
        <f>IF(Tabela1[[#This Row],[promien]]&lt;40000,1,0)</f>
        <v>0</v>
      </c>
      <c r="E2308" s="1">
        <f>IF(Tabela1[[#This Row],[promien]]=40000,1,0)</f>
        <v>0</v>
      </c>
      <c r="F2308" s="1">
        <v>3.1785095320623915</v>
      </c>
      <c r="G2308" s="1">
        <v>3.6916878472598391E-2</v>
      </c>
    </row>
    <row r="2309" spans="1:7">
      <c r="A2309">
        <v>227</v>
      </c>
      <c r="B2309">
        <v>203</v>
      </c>
      <c r="C2309" s="1">
        <f>(Tabela1[[#This Row],[x]]-H$3)*(Tabela1[[#This Row],[x]]-H$3) +(Tabela1[[#This Row],[y]]-H$4)*(Tabela1[[#This Row],[y]]-H$4)</f>
        <v>738</v>
      </c>
      <c r="D2309" s="1">
        <f>IF(Tabela1[[#This Row],[promien]]&lt;40000,1,0)</f>
        <v>1</v>
      </c>
      <c r="E2309" s="1">
        <f>IF(Tabela1[[#This Row],[promien]]=40000,1,0)</f>
        <v>0</v>
      </c>
      <c r="F2309" s="1">
        <v>3.1788653096578607</v>
      </c>
      <c r="G2309" s="1">
        <v>3.7272656068067622E-2</v>
      </c>
    </row>
    <row r="2310" spans="1:7">
      <c r="A2310">
        <v>207</v>
      </c>
      <c r="B2310">
        <v>330</v>
      </c>
      <c r="C2310" s="1">
        <f>(Tabela1[[#This Row],[x]]-H$3)*(Tabela1[[#This Row],[x]]-H$3) +(Tabela1[[#This Row],[y]]-H$4)*(Tabela1[[#This Row],[y]]-H$4)</f>
        <v>16949</v>
      </c>
      <c r="D2310" s="1">
        <f>IF(Tabela1[[#This Row],[promien]]&lt;40000,1,0)</f>
        <v>1</v>
      </c>
      <c r="E2310" s="1">
        <f>IF(Tabela1[[#This Row],[promien]]=40000,1,0)</f>
        <v>0</v>
      </c>
      <c r="F2310" s="1">
        <v>3.1792207792207794</v>
      </c>
      <c r="G2310" s="1">
        <v>3.7628125630986275E-2</v>
      </c>
    </row>
    <row r="2311" spans="1:7">
      <c r="A2311">
        <v>7</v>
      </c>
      <c r="B2311">
        <v>34</v>
      </c>
      <c r="C2311" s="1">
        <f>(Tabela1[[#This Row],[x]]-H$3)*(Tabela1[[#This Row],[x]]-H$3) +(Tabela1[[#This Row],[y]]-H$4)*(Tabela1[[#This Row],[y]]-H$4)</f>
        <v>64805</v>
      </c>
      <c r="D2311" s="1">
        <f>IF(Tabela1[[#This Row],[promien]]&lt;40000,1,0)</f>
        <v>0</v>
      </c>
      <c r="E2311" s="1">
        <f>IF(Tabela1[[#This Row],[promien]]=40000,1,0)</f>
        <v>0</v>
      </c>
      <c r="F2311" s="1">
        <v>3.1778450887061878</v>
      </c>
      <c r="G2311" s="1">
        <v>3.6252435116394643E-2</v>
      </c>
    </row>
    <row r="2312" spans="1:7">
      <c r="A2312">
        <v>383</v>
      </c>
      <c r="B2312">
        <v>215</v>
      </c>
      <c r="C2312" s="1">
        <f>(Tabela1[[#This Row],[x]]-H$3)*(Tabela1[[#This Row],[x]]-H$3) +(Tabela1[[#This Row],[y]]-H$4)*(Tabela1[[#This Row],[y]]-H$4)</f>
        <v>33714</v>
      </c>
      <c r="D2312" s="1">
        <f>IF(Tabela1[[#This Row],[promien]]&lt;40000,1,0)</f>
        <v>1</v>
      </c>
      <c r="E2312" s="1">
        <f>IF(Tabela1[[#This Row],[promien]]=40000,1,0)</f>
        <v>0</v>
      </c>
      <c r="F2312" s="1">
        <v>3.1782006920415227</v>
      </c>
      <c r="G2312" s="1">
        <v>3.6608038451729552E-2</v>
      </c>
    </row>
    <row r="2313" spans="1:7">
      <c r="A2313">
        <v>241</v>
      </c>
      <c r="B2313">
        <v>235</v>
      </c>
      <c r="C2313" s="1">
        <f>(Tabela1[[#This Row],[x]]-H$3)*(Tabela1[[#This Row],[x]]-H$3) +(Tabela1[[#This Row],[y]]-H$4)*(Tabela1[[#This Row],[y]]-H$4)</f>
        <v>2906</v>
      </c>
      <c r="D2313" s="1">
        <f>IF(Tabela1[[#This Row],[promien]]&lt;40000,1,0)</f>
        <v>1</v>
      </c>
      <c r="E2313" s="1">
        <f>IF(Tabela1[[#This Row],[promien]]=40000,1,0)</f>
        <v>0</v>
      </c>
      <c r="F2313" s="1">
        <v>3.1785559878945091</v>
      </c>
      <c r="G2313" s="1">
        <v>3.6963334304715989E-2</v>
      </c>
    </row>
    <row r="2314" spans="1:7">
      <c r="A2314">
        <v>328</v>
      </c>
      <c r="B2314">
        <v>246</v>
      </c>
      <c r="C2314" s="1">
        <f>(Tabela1[[#This Row],[x]]-H$3)*(Tabela1[[#This Row],[x]]-H$3) +(Tabela1[[#This Row],[y]]-H$4)*(Tabela1[[#This Row],[y]]-H$4)</f>
        <v>18500</v>
      </c>
      <c r="D2314" s="1">
        <f>IF(Tabela1[[#This Row],[promien]]&lt;40000,1,0)</f>
        <v>1</v>
      </c>
      <c r="E2314" s="1">
        <f>IF(Tabela1[[#This Row],[promien]]=40000,1,0)</f>
        <v>0</v>
      </c>
      <c r="F2314" s="1">
        <v>3.1789109766637855</v>
      </c>
      <c r="G2314" s="1">
        <v>3.731832307399241E-2</v>
      </c>
    </row>
    <row r="2315" spans="1:7">
      <c r="A2315">
        <v>138</v>
      </c>
      <c r="B2315">
        <v>129</v>
      </c>
      <c r="C2315" s="1">
        <f>(Tabela1[[#This Row],[x]]-H$3)*(Tabela1[[#This Row],[x]]-H$3) +(Tabela1[[#This Row],[y]]-H$4)*(Tabela1[[#This Row],[y]]-H$4)</f>
        <v>8885</v>
      </c>
      <c r="D2315" s="1">
        <f>IF(Tabela1[[#This Row],[promien]]&lt;40000,1,0)</f>
        <v>1</v>
      </c>
      <c r="E2315" s="1">
        <f>IF(Tabela1[[#This Row],[promien]]=40000,1,0)</f>
        <v>0</v>
      </c>
      <c r="F2315" s="1">
        <v>3.1792656587473003</v>
      </c>
      <c r="G2315" s="1">
        <v>3.7673005157507156E-2</v>
      </c>
    </row>
    <row r="2316" spans="1:7">
      <c r="A2316">
        <v>298</v>
      </c>
      <c r="B2316">
        <v>305</v>
      </c>
      <c r="C2316" s="1">
        <f>(Tabela1[[#This Row],[x]]-H$3)*(Tabela1[[#This Row],[x]]-H$3) +(Tabela1[[#This Row],[y]]-H$4)*(Tabela1[[#This Row],[y]]-H$4)</f>
        <v>20629</v>
      </c>
      <c r="D2316" s="1">
        <f>IF(Tabela1[[#This Row],[promien]]&lt;40000,1,0)</f>
        <v>1</v>
      </c>
      <c r="E2316" s="1">
        <f>IF(Tabela1[[#This Row],[promien]]=40000,1,0)</f>
        <v>0</v>
      </c>
      <c r="F2316" s="1">
        <v>3.1796200345423142</v>
      </c>
      <c r="G2316" s="1">
        <v>3.8027380952521117E-2</v>
      </c>
    </row>
    <row r="2317" spans="1:7">
      <c r="A2317">
        <v>278</v>
      </c>
      <c r="B2317">
        <v>195</v>
      </c>
      <c r="C2317" s="1">
        <f>(Tabela1[[#This Row],[x]]-H$3)*(Tabela1[[#This Row],[x]]-H$3) +(Tabela1[[#This Row],[y]]-H$4)*(Tabela1[[#This Row],[y]]-H$4)</f>
        <v>6109</v>
      </c>
      <c r="D2317" s="1">
        <f>IF(Tabela1[[#This Row],[promien]]&lt;40000,1,0)</f>
        <v>1</v>
      </c>
      <c r="E2317" s="1">
        <f>IF(Tabela1[[#This Row],[promien]]=40000,1,0)</f>
        <v>0</v>
      </c>
      <c r="F2317" s="1">
        <v>3.1799741044454035</v>
      </c>
      <c r="G2317" s="1">
        <v>3.8381450855610399E-2</v>
      </c>
    </row>
    <row r="2318" spans="1:7">
      <c r="A2318">
        <v>316</v>
      </c>
      <c r="B2318">
        <v>319</v>
      </c>
      <c r="C2318" s="1">
        <f>(Tabela1[[#This Row],[x]]-H$3)*(Tabela1[[#This Row],[x]]-H$3) +(Tabela1[[#This Row],[y]]-H$4)*(Tabela1[[#This Row],[y]]-H$4)</f>
        <v>27617</v>
      </c>
      <c r="D2318" s="1">
        <f>IF(Tabela1[[#This Row],[promien]]&lt;40000,1,0)</f>
        <v>1</v>
      </c>
      <c r="E2318" s="1">
        <f>IF(Tabela1[[#This Row],[promien]]=40000,1,0)</f>
        <v>0</v>
      </c>
      <c r="F2318" s="1">
        <v>3.180327868852459</v>
      </c>
      <c r="G2318" s="1">
        <v>3.8735215262665879E-2</v>
      </c>
    </row>
    <row r="2319" spans="1:7">
      <c r="A2319">
        <v>84</v>
      </c>
      <c r="B2319">
        <v>316</v>
      </c>
      <c r="C2319" s="1">
        <f>(Tabela1[[#This Row],[x]]-H$3)*(Tabela1[[#This Row],[x]]-H$3) +(Tabela1[[#This Row],[y]]-H$4)*(Tabela1[[#This Row],[y]]-H$4)</f>
        <v>26912</v>
      </c>
      <c r="D2319" s="1">
        <f>IF(Tabela1[[#This Row],[promien]]&lt;40000,1,0)</f>
        <v>1</v>
      </c>
      <c r="E2319" s="1">
        <f>IF(Tabela1[[#This Row],[promien]]=40000,1,0)</f>
        <v>0</v>
      </c>
      <c r="F2319" s="1">
        <v>3.180681328158689</v>
      </c>
      <c r="G2319" s="1">
        <v>3.9088674568895865E-2</v>
      </c>
    </row>
    <row r="2320" spans="1:7">
      <c r="A2320">
        <v>151</v>
      </c>
      <c r="B2320">
        <v>255</v>
      </c>
      <c r="C2320" s="1">
        <f>(Tabela1[[#This Row],[x]]-H$3)*(Tabela1[[#This Row],[x]]-H$3) +(Tabela1[[#This Row],[y]]-H$4)*(Tabela1[[#This Row],[y]]-H$4)</f>
        <v>5426</v>
      </c>
      <c r="D2320" s="1">
        <f>IF(Tabela1[[#This Row],[promien]]&lt;40000,1,0)</f>
        <v>1</v>
      </c>
      <c r="E2320" s="1">
        <f>IF(Tabela1[[#This Row],[promien]]=40000,1,0)</f>
        <v>0</v>
      </c>
      <c r="F2320" s="1">
        <v>3.1810344827586206</v>
      </c>
      <c r="G2320" s="1">
        <v>3.9441829168827436E-2</v>
      </c>
    </row>
    <row r="2321" spans="1:7">
      <c r="A2321">
        <v>185</v>
      </c>
      <c r="B2321">
        <v>330</v>
      </c>
      <c r="C2321" s="1">
        <f>(Tabela1[[#This Row],[x]]-H$3)*(Tabela1[[#This Row],[x]]-H$3) +(Tabela1[[#This Row],[y]]-H$4)*(Tabela1[[#This Row],[y]]-H$4)</f>
        <v>17125</v>
      </c>
      <c r="D2321" s="1">
        <f>IF(Tabela1[[#This Row],[promien]]&lt;40000,1,0)</f>
        <v>1</v>
      </c>
      <c r="E2321" s="1">
        <f>IF(Tabela1[[#This Row],[promien]]=40000,1,0)</f>
        <v>0</v>
      </c>
      <c r="F2321" s="1">
        <v>3.1813873330461009</v>
      </c>
      <c r="G2321" s="1">
        <v>3.9794679456307769E-2</v>
      </c>
    </row>
    <row r="2322" spans="1:7">
      <c r="A2322">
        <v>193</v>
      </c>
      <c r="B2322">
        <v>222</v>
      </c>
      <c r="C2322" s="1">
        <f>(Tabela1[[#This Row],[x]]-H$3)*(Tabela1[[#This Row],[x]]-H$3) +(Tabela1[[#This Row],[y]]-H$4)*(Tabela1[[#This Row],[y]]-H$4)</f>
        <v>533</v>
      </c>
      <c r="D2322" s="1">
        <f>IF(Tabela1[[#This Row],[promien]]&lt;40000,1,0)</f>
        <v>1</v>
      </c>
      <c r="E2322" s="1">
        <f>IF(Tabela1[[#This Row],[promien]]=40000,1,0)</f>
        <v>0</v>
      </c>
      <c r="F2322" s="1">
        <v>3.1817398794142981</v>
      </c>
      <c r="G2322" s="1">
        <v>4.0147225824505028E-2</v>
      </c>
    </row>
    <row r="2323" spans="1:7">
      <c r="A2323">
        <v>276</v>
      </c>
      <c r="B2323">
        <v>173</v>
      </c>
      <c r="C2323" s="1">
        <f>(Tabela1[[#This Row],[x]]-H$3)*(Tabela1[[#This Row],[x]]-H$3) +(Tabela1[[#This Row],[y]]-H$4)*(Tabela1[[#This Row],[y]]-H$4)</f>
        <v>6505</v>
      </c>
      <c r="D2323" s="1">
        <f>IF(Tabela1[[#This Row],[promien]]&lt;40000,1,0)</f>
        <v>1</v>
      </c>
      <c r="E2323" s="1">
        <f>IF(Tabela1[[#This Row],[promien]]=40000,1,0)</f>
        <v>0</v>
      </c>
      <c r="F2323" s="1">
        <v>3.1820921222557037</v>
      </c>
      <c r="G2323" s="1">
        <v>4.0499468665910587E-2</v>
      </c>
    </row>
    <row r="2324" spans="1:7">
      <c r="A2324">
        <v>165</v>
      </c>
      <c r="B2324">
        <v>265</v>
      </c>
      <c r="C2324" s="1">
        <f>(Tabela1[[#This Row],[x]]-H$3)*(Tabela1[[#This Row],[x]]-H$3) +(Tabela1[[#This Row],[y]]-H$4)*(Tabela1[[#This Row],[y]]-H$4)</f>
        <v>5450</v>
      </c>
      <c r="D2324" s="1">
        <f>IF(Tabela1[[#This Row],[promien]]&lt;40000,1,0)</f>
        <v>1</v>
      </c>
      <c r="E2324" s="1">
        <f>IF(Tabela1[[#This Row],[promien]]=40000,1,0)</f>
        <v>0</v>
      </c>
      <c r="F2324" s="1">
        <v>3.1824440619621344</v>
      </c>
      <c r="G2324" s="1">
        <v>4.0851408372341247E-2</v>
      </c>
    </row>
    <row r="2325" spans="1:7">
      <c r="A2325">
        <v>328</v>
      </c>
      <c r="B2325">
        <v>199</v>
      </c>
      <c r="C2325" s="1">
        <f>(Tabela1[[#This Row],[x]]-H$3)*(Tabela1[[#This Row],[x]]-H$3) +(Tabela1[[#This Row],[y]]-H$4)*(Tabela1[[#This Row],[y]]-H$4)</f>
        <v>16385</v>
      </c>
      <c r="D2325" s="1">
        <f>IF(Tabela1[[#This Row],[promien]]&lt;40000,1,0)</f>
        <v>1</v>
      </c>
      <c r="E2325" s="1">
        <f>IF(Tabela1[[#This Row],[promien]]=40000,1,0)</f>
        <v>0</v>
      </c>
      <c r="F2325" s="1">
        <v>3.182795698924731</v>
      </c>
      <c r="G2325" s="1">
        <v>4.1203045334937904E-2</v>
      </c>
    </row>
    <row r="2326" spans="1:7">
      <c r="A2326">
        <v>351</v>
      </c>
      <c r="B2326">
        <v>41</v>
      </c>
      <c r="C2326" s="1">
        <f>(Tabela1[[#This Row],[x]]-H$3)*(Tabela1[[#This Row],[x]]-H$3) +(Tabela1[[#This Row],[y]]-H$4)*(Tabela1[[#This Row],[y]]-H$4)</f>
        <v>48082</v>
      </c>
      <c r="D2326" s="1">
        <f>IF(Tabela1[[#This Row],[promien]]&lt;40000,1,0)</f>
        <v>0</v>
      </c>
      <c r="E2326" s="1">
        <f>IF(Tabela1[[#This Row],[promien]]=40000,1,0)</f>
        <v>0</v>
      </c>
      <c r="F2326" s="1">
        <v>3.181427343078246</v>
      </c>
      <c r="G2326" s="1">
        <v>3.9834689488452923E-2</v>
      </c>
    </row>
    <row r="2327" spans="1:7">
      <c r="A2327">
        <v>284</v>
      </c>
      <c r="B2327">
        <v>148</v>
      </c>
      <c r="C2327" s="1">
        <f>(Tabela1[[#This Row],[x]]-H$3)*(Tabela1[[#This Row],[x]]-H$3) +(Tabela1[[#This Row],[y]]-H$4)*(Tabela1[[#This Row],[y]]-H$4)</f>
        <v>9760</v>
      </c>
      <c r="D2327" s="1">
        <f>IF(Tabela1[[#This Row],[promien]]&lt;40000,1,0)</f>
        <v>1</v>
      </c>
      <c r="E2327" s="1">
        <f>IF(Tabela1[[#This Row],[promien]]=40000,1,0)</f>
        <v>0</v>
      </c>
      <c r="F2327" s="1">
        <v>3.1817791147400087</v>
      </c>
      <c r="G2327" s="1">
        <v>4.0186461150215624E-2</v>
      </c>
    </row>
    <row r="2328" spans="1:7">
      <c r="A2328">
        <v>140</v>
      </c>
      <c r="B2328">
        <v>2</v>
      </c>
      <c r="C2328" s="1">
        <f>(Tabela1[[#This Row],[x]]-H$3)*(Tabela1[[#This Row],[x]]-H$3) +(Tabela1[[#This Row],[y]]-H$4)*(Tabela1[[#This Row],[y]]-H$4)</f>
        <v>42804</v>
      </c>
      <c r="D2328" s="1">
        <f>IF(Tabela1[[#This Row],[promien]]&lt;40000,1,0)</f>
        <v>0</v>
      </c>
      <c r="E2328" s="1">
        <f>IF(Tabela1[[#This Row],[promien]]=40000,1,0)</f>
        <v>0</v>
      </c>
      <c r="F2328" s="1">
        <v>3.1804123711340204</v>
      </c>
      <c r="G2328" s="1">
        <v>3.8819717544227306E-2</v>
      </c>
    </row>
    <row r="2329" spans="1:7">
      <c r="A2329">
        <v>152</v>
      </c>
      <c r="B2329">
        <v>55</v>
      </c>
      <c r="C2329" s="1">
        <f>(Tabela1[[#This Row],[x]]-H$3)*(Tabela1[[#This Row],[x]]-H$3) +(Tabela1[[#This Row],[y]]-H$4)*(Tabela1[[#This Row],[y]]-H$4)</f>
        <v>23329</v>
      </c>
      <c r="D2329" s="1">
        <f>IF(Tabela1[[#This Row],[promien]]&lt;40000,1,0)</f>
        <v>1</v>
      </c>
      <c r="E2329" s="1">
        <f>IF(Tabela1[[#This Row],[promien]]=40000,1,0)</f>
        <v>0</v>
      </c>
      <c r="F2329" s="1">
        <v>3.1807642765135253</v>
      </c>
      <c r="G2329" s="1">
        <v>3.9171622923732219E-2</v>
      </c>
    </row>
    <row r="2330" spans="1:7">
      <c r="A2330">
        <v>183</v>
      </c>
      <c r="B2330">
        <v>206</v>
      </c>
      <c r="C2330" s="1">
        <f>(Tabela1[[#This Row],[x]]-H$3)*(Tabela1[[#This Row],[x]]-H$3) +(Tabela1[[#This Row],[y]]-H$4)*(Tabela1[[#This Row],[y]]-H$4)</f>
        <v>325</v>
      </c>
      <c r="D2330" s="1">
        <f>IF(Tabela1[[#This Row],[promien]]&lt;40000,1,0)</f>
        <v>1</v>
      </c>
      <c r="E2330" s="1">
        <f>IF(Tabela1[[#This Row],[promien]]=40000,1,0)</f>
        <v>0</v>
      </c>
      <c r="F2330" s="1">
        <v>3.1811158798283263</v>
      </c>
      <c r="G2330" s="1">
        <v>3.9523226238533216E-2</v>
      </c>
    </row>
    <row r="2331" spans="1:7">
      <c r="A2331">
        <v>220</v>
      </c>
      <c r="B2331">
        <v>196</v>
      </c>
      <c r="C2331" s="1">
        <f>(Tabela1[[#This Row],[x]]-H$3)*(Tabela1[[#This Row],[x]]-H$3) +(Tabela1[[#This Row],[y]]-H$4)*(Tabela1[[#This Row],[y]]-H$4)</f>
        <v>416</v>
      </c>
      <c r="D2331" s="1">
        <f>IF(Tabela1[[#This Row],[promien]]&lt;40000,1,0)</f>
        <v>1</v>
      </c>
      <c r="E2331" s="1">
        <f>IF(Tabela1[[#This Row],[promien]]=40000,1,0)</f>
        <v>0</v>
      </c>
      <c r="F2331" s="1">
        <v>3.1814671814671813</v>
      </c>
      <c r="G2331" s="1">
        <v>3.9874527877388211E-2</v>
      </c>
    </row>
    <row r="2332" spans="1:7">
      <c r="A2332">
        <v>373</v>
      </c>
      <c r="B2332">
        <v>196</v>
      </c>
      <c r="C2332" s="1">
        <f>(Tabela1[[#This Row],[x]]-H$3)*(Tabela1[[#This Row],[x]]-H$3) +(Tabela1[[#This Row],[y]]-H$4)*(Tabela1[[#This Row],[y]]-H$4)</f>
        <v>29945</v>
      </c>
      <c r="D2332" s="1">
        <f>IF(Tabela1[[#This Row],[promien]]&lt;40000,1,0)</f>
        <v>1</v>
      </c>
      <c r="E2332" s="1">
        <f>IF(Tabela1[[#This Row],[promien]]=40000,1,0)</f>
        <v>0</v>
      </c>
      <c r="F2332" s="1">
        <v>3.1818181818181817</v>
      </c>
      <c r="G2332" s="1">
        <v>4.0225528228388541E-2</v>
      </c>
    </row>
    <row r="2333" spans="1:7">
      <c r="A2333">
        <v>362</v>
      </c>
      <c r="B2333">
        <v>14</v>
      </c>
      <c r="C2333" s="1">
        <f>(Tabela1[[#This Row],[x]]-H$3)*(Tabela1[[#This Row],[x]]-H$3) +(Tabela1[[#This Row],[y]]-H$4)*(Tabela1[[#This Row],[y]]-H$4)</f>
        <v>60840</v>
      </c>
      <c r="D2333" s="1">
        <f>IF(Tabela1[[#This Row],[promien]]&lt;40000,1,0)</f>
        <v>0</v>
      </c>
      <c r="E2333" s="1">
        <f>IF(Tabela1[[#This Row],[promien]]=40000,1,0)</f>
        <v>0</v>
      </c>
      <c r="F2333" s="1">
        <v>3.1804543506215173</v>
      </c>
      <c r="G2333" s="1">
        <v>3.8861697031724152E-2</v>
      </c>
    </row>
    <row r="2334" spans="1:7">
      <c r="A2334">
        <v>108</v>
      </c>
      <c r="B2334">
        <v>245</v>
      </c>
      <c r="C2334" s="1">
        <f>(Tabela1[[#This Row],[x]]-H$3)*(Tabela1[[#This Row],[x]]-H$3) +(Tabela1[[#This Row],[y]]-H$4)*(Tabela1[[#This Row],[y]]-H$4)</f>
        <v>10489</v>
      </c>
      <c r="D2334" s="1">
        <f>IF(Tabela1[[#This Row],[promien]]&lt;40000,1,0)</f>
        <v>1</v>
      </c>
      <c r="E2334" s="1">
        <f>IF(Tabela1[[#This Row],[promien]]=40000,1,0)</f>
        <v>0</v>
      </c>
      <c r="F2334" s="1">
        <v>3.1808054841473865</v>
      </c>
      <c r="G2334" s="1">
        <v>3.9212830557593392E-2</v>
      </c>
    </row>
    <row r="2335" spans="1:7">
      <c r="A2335">
        <v>295</v>
      </c>
      <c r="B2335">
        <v>7</v>
      </c>
      <c r="C2335" s="1">
        <f>(Tabela1[[#This Row],[x]]-H$3)*(Tabela1[[#This Row],[x]]-H$3) +(Tabela1[[#This Row],[y]]-H$4)*(Tabela1[[#This Row],[y]]-H$4)</f>
        <v>46274</v>
      </c>
      <c r="D2335" s="1">
        <f>IF(Tabela1[[#This Row],[promien]]&lt;40000,1,0)</f>
        <v>0</v>
      </c>
      <c r="E2335" s="1">
        <f>IF(Tabela1[[#This Row],[promien]]=40000,1,0)</f>
        <v>0</v>
      </c>
      <c r="F2335" s="1">
        <v>3.1794432548179872</v>
      </c>
      <c r="G2335" s="1">
        <v>3.7850601228194058E-2</v>
      </c>
    </row>
    <row r="2336" spans="1:7">
      <c r="A2336">
        <v>47</v>
      </c>
      <c r="B2336">
        <v>176</v>
      </c>
      <c r="C2336" s="1">
        <f>(Tabela1[[#This Row],[x]]-H$3)*(Tabela1[[#This Row],[x]]-H$3) +(Tabela1[[#This Row],[y]]-H$4)*(Tabela1[[#This Row],[y]]-H$4)</f>
        <v>23985</v>
      </c>
      <c r="D2336" s="1">
        <f>IF(Tabela1[[#This Row],[promien]]&lt;40000,1,0)</f>
        <v>1</v>
      </c>
      <c r="E2336" s="1">
        <f>IF(Tabela1[[#This Row],[promien]]=40000,1,0)</f>
        <v>0</v>
      </c>
      <c r="F2336" s="1">
        <v>3.1797945205479454</v>
      </c>
      <c r="G2336" s="1">
        <v>3.8201866958152308E-2</v>
      </c>
    </row>
    <row r="2337" spans="1:7">
      <c r="A2337">
        <v>17</v>
      </c>
      <c r="B2337">
        <v>327</v>
      </c>
      <c r="C2337" s="1">
        <f>(Tabela1[[#This Row],[x]]-H$3)*(Tabela1[[#This Row],[x]]-H$3) +(Tabela1[[#This Row],[y]]-H$4)*(Tabela1[[#This Row],[y]]-H$4)</f>
        <v>49618</v>
      </c>
      <c r="D2337" s="1">
        <f>IF(Tabela1[[#This Row],[promien]]&lt;40000,1,0)</f>
        <v>0</v>
      </c>
      <c r="E2337" s="1">
        <f>IF(Tabela1[[#This Row],[promien]]=40000,1,0)</f>
        <v>0</v>
      </c>
      <c r="F2337" s="1">
        <v>3.1784338896020539</v>
      </c>
      <c r="G2337" s="1">
        <v>3.6841236012260747E-2</v>
      </c>
    </row>
    <row r="2338" spans="1:7">
      <c r="A2338">
        <v>102</v>
      </c>
      <c r="B2338">
        <v>205</v>
      </c>
      <c r="C2338" s="1">
        <f>(Tabela1[[#This Row],[x]]-H$3)*(Tabela1[[#This Row],[x]]-H$3) +(Tabela1[[#This Row],[y]]-H$4)*(Tabela1[[#This Row],[y]]-H$4)</f>
        <v>9629</v>
      </c>
      <c r="D2338" s="1">
        <f>IF(Tabela1[[#This Row],[promien]]&lt;40000,1,0)</f>
        <v>1</v>
      </c>
      <c r="E2338" s="1">
        <f>IF(Tabela1[[#This Row],[promien]]=40000,1,0)</f>
        <v>0</v>
      </c>
      <c r="F2338" s="1">
        <v>3.1787852865697177</v>
      </c>
      <c r="G2338" s="1">
        <v>3.7192632979924589E-2</v>
      </c>
    </row>
    <row r="2339" spans="1:7">
      <c r="A2339">
        <v>393</v>
      </c>
      <c r="B2339">
        <v>284</v>
      </c>
      <c r="C2339" s="1">
        <f>(Tabela1[[#This Row],[x]]-H$3)*(Tabela1[[#This Row],[x]]-H$3) +(Tabela1[[#This Row],[y]]-H$4)*(Tabela1[[#This Row],[y]]-H$4)</f>
        <v>44305</v>
      </c>
      <c r="D2339" s="1">
        <f>IF(Tabela1[[#This Row],[promien]]&lt;40000,1,0)</f>
        <v>0</v>
      </c>
      <c r="E2339" s="1">
        <f>IF(Tabela1[[#This Row],[promien]]=40000,1,0)</f>
        <v>0</v>
      </c>
      <c r="F2339" s="1">
        <v>3.1774262505344164</v>
      </c>
      <c r="G2339" s="1">
        <v>3.5833596944623292E-2</v>
      </c>
    </row>
    <row r="2340" spans="1:7">
      <c r="A2340">
        <v>317</v>
      </c>
      <c r="B2340">
        <v>311</v>
      </c>
      <c r="C2340" s="1">
        <f>(Tabela1[[#This Row],[x]]-H$3)*(Tabela1[[#This Row],[x]]-H$3) +(Tabela1[[#This Row],[y]]-H$4)*(Tabela1[[#This Row],[y]]-H$4)</f>
        <v>26010</v>
      </c>
      <c r="D2340" s="1">
        <f>IF(Tabela1[[#This Row],[promien]]&lt;40000,1,0)</f>
        <v>1</v>
      </c>
      <c r="E2340" s="1">
        <f>IF(Tabela1[[#This Row],[promien]]=40000,1,0)</f>
        <v>0</v>
      </c>
      <c r="F2340" s="1">
        <v>3.1777777777777776</v>
      </c>
      <c r="G2340" s="1">
        <v>3.6185124187984474E-2</v>
      </c>
    </row>
    <row r="2341" spans="1:7">
      <c r="A2341">
        <v>179</v>
      </c>
      <c r="B2341">
        <v>49</v>
      </c>
      <c r="C2341" s="1">
        <f>(Tabela1[[#This Row],[x]]-H$3)*(Tabela1[[#This Row],[x]]-H$3) +(Tabela1[[#This Row],[y]]-H$4)*(Tabela1[[#This Row],[y]]-H$4)</f>
        <v>23242</v>
      </c>
      <c r="D2341" s="1">
        <f>IF(Tabela1[[#This Row],[promien]]&lt;40000,1,0)</f>
        <v>1</v>
      </c>
      <c r="E2341" s="1">
        <f>IF(Tabela1[[#This Row],[promien]]=40000,1,0)</f>
        <v>0</v>
      </c>
      <c r="F2341" s="1">
        <v>3.1781290046988468</v>
      </c>
      <c r="G2341" s="1">
        <v>3.6536351109053733E-2</v>
      </c>
    </row>
    <row r="2342" spans="1:7">
      <c r="A2342">
        <v>309</v>
      </c>
      <c r="B2342">
        <v>73</v>
      </c>
      <c r="C2342" s="1">
        <f>(Tabela1[[#This Row],[x]]-H$3)*(Tabela1[[#This Row],[x]]-H$3) +(Tabela1[[#This Row],[y]]-H$4)*(Tabela1[[#This Row],[y]]-H$4)</f>
        <v>28010</v>
      </c>
      <c r="D2342" s="1">
        <f>IF(Tabela1[[#This Row],[promien]]&lt;40000,1,0)</f>
        <v>1</v>
      </c>
      <c r="E2342" s="1">
        <f>IF(Tabela1[[#This Row],[promien]]=40000,1,0)</f>
        <v>0</v>
      </c>
      <c r="F2342" s="1">
        <v>3.1784799316823227</v>
      </c>
      <c r="G2342" s="1">
        <v>3.6887278092529563E-2</v>
      </c>
    </row>
    <row r="2343" spans="1:7">
      <c r="A2343">
        <v>82</v>
      </c>
      <c r="B2343">
        <v>160</v>
      </c>
      <c r="C2343" s="1">
        <f>(Tabela1[[#This Row],[x]]-H$3)*(Tabela1[[#This Row],[x]]-H$3) +(Tabela1[[#This Row],[y]]-H$4)*(Tabela1[[#This Row],[y]]-H$4)</f>
        <v>15524</v>
      </c>
      <c r="D2343" s="1">
        <f>IF(Tabela1[[#This Row],[promien]]&lt;40000,1,0)</f>
        <v>1</v>
      </c>
      <c r="E2343" s="1">
        <f>IF(Tabela1[[#This Row],[promien]]=40000,1,0)</f>
        <v>0</v>
      </c>
      <c r="F2343" s="1">
        <v>3.1788305591122494</v>
      </c>
      <c r="G2343" s="1">
        <v>3.7237905522456316E-2</v>
      </c>
    </row>
    <row r="2344" spans="1:7">
      <c r="A2344">
        <v>342</v>
      </c>
      <c r="B2344">
        <v>195</v>
      </c>
      <c r="C2344" s="1">
        <f>(Tabela1[[#This Row],[x]]-H$3)*(Tabela1[[#This Row],[x]]-H$3) +(Tabela1[[#This Row],[y]]-H$4)*(Tabela1[[#This Row],[y]]-H$4)</f>
        <v>20189</v>
      </c>
      <c r="D2344" s="1">
        <f>IF(Tabela1[[#This Row],[promien]]&lt;40000,1,0)</f>
        <v>1</v>
      </c>
      <c r="E2344" s="1">
        <f>IF(Tabela1[[#This Row],[promien]]=40000,1,0)</f>
        <v>0</v>
      </c>
      <c r="F2344" s="1">
        <v>3.1791808873720138</v>
      </c>
      <c r="G2344" s="1">
        <v>3.7588233782220648E-2</v>
      </c>
    </row>
    <row r="2345" spans="1:7">
      <c r="A2345">
        <v>244</v>
      </c>
      <c r="B2345">
        <v>345</v>
      </c>
      <c r="C2345" s="1">
        <f>(Tabela1[[#This Row],[x]]-H$3)*(Tabela1[[#This Row],[x]]-H$3) +(Tabela1[[#This Row],[y]]-H$4)*(Tabela1[[#This Row],[y]]-H$4)</f>
        <v>22961</v>
      </c>
      <c r="D2345" s="1">
        <f>IF(Tabela1[[#This Row],[promien]]&lt;40000,1,0)</f>
        <v>1</v>
      </c>
      <c r="E2345" s="1">
        <f>IF(Tabela1[[#This Row],[promien]]=40000,1,0)</f>
        <v>0</v>
      </c>
      <c r="F2345" s="1">
        <v>3.1795309168443495</v>
      </c>
      <c r="G2345" s="1">
        <v>3.7938263254556404E-2</v>
      </c>
    </row>
    <row r="2346" spans="1:7">
      <c r="A2346">
        <v>253</v>
      </c>
      <c r="B2346">
        <v>188</v>
      </c>
      <c r="C2346" s="1">
        <f>(Tabela1[[#This Row],[x]]-H$3)*(Tabela1[[#This Row],[x]]-H$3) +(Tabela1[[#This Row],[y]]-H$4)*(Tabela1[[#This Row],[y]]-H$4)</f>
        <v>2953</v>
      </c>
      <c r="D2346" s="1">
        <f>IF(Tabela1[[#This Row],[promien]]&lt;40000,1,0)</f>
        <v>1</v>
      </c>
      <c r="E2346" s="1">
        <f>IF(Tabela1[[#This Row],[promien]]=40000,1,0)</f>
        <v>0</v>
      </c>
      <c r="F2346" s="1">
        <v>3.1798806479113386</v>
      </c>
      <c r="G2346" s="1">
        <v>3.8287994321545504E-2</v>
      </c>
    </row>
    <row r="2347" spans="1:7">
      <c r="A2347">
        <v>30</v>
      </c>
      <c r="B2347">
        <v>240</v>
      </c>
      <c r="C2347" s="1">
        <f>(Tabela1[[#This Row],[x]]-H$3)*(Tabela1[[#This Row],[x]]-H$3) +(Tabela1[[#This Row],[y]]-H$4)*(Tabela1[[#This Row],[y]]-H$4)</f>
        <v>30500</v>
      </c>
      <c r="D2347" s="1">
        <f>IF(Tabela1[[#This Row],[promien]]&lt;40000,1,0)</f>
        <v>1</v>
      </c>
      <c r="E2347" s="1">
        <f>IF(Tabela1[[#This Row],[promien]]=40000,1,0)</f>
        <v>0</v>
      </c>
      <c r="F2347" s="1">
        <v>3.1802300809544097</v>
      </c>
      <c r="G2347" s="1">
        <v>3.8637427364616617E-2</v>
      </c>
    </row>
    <row r="2348" spans="1:7">
      <c r="A2348">
        <v>193</v>
      </c>
      <c r="B2348">
        <v>272</v>
      </c>
      <c r="C2348" s="1">
        <f>(Tabela1[[#This Row],[x]]-H$3)*(Tabela1[[#This Row],[x]]-H$3) +(Tabela1[[#This Row],[y]]-H$4)*(Tabela1[[#This Row],[y]]-H$4)</f>
        <v>5233</v>
      </c>
      <c r="D2348" s="1">
        <f>IF(Tabela1[[#This Row],[promien]]&lt;40000,1,0)</f>
        <v>1</v>
      </c>
      <c r="E2348" s="1">
        <f>IF(Tabela1[[#This Row],[promien]]=40000,1,0)</f>
        <v>0</v>
      </c>
      <c r="F2348" s="1">
        <v>3.180579216354344</v>
      </c>
      <c r="G2348" s="1">
        <v>3.8986562764550925E-2</v>
      </c>
    </row>
    <row r="2349" spans="1:7">
      <c r="A2349">
        <v>127</v>
      </c>
      <c r="B2349">
        <v>341</v>
      </c>
      <c r="C2349" s="1">
        <f>(Tabela1[[#This Row],[x]]-H$3)*(Tabela1[[#This Row],[x]]-H$3) +(Tabela1[[#This Row],[y]]-H$4)*(Tabela1[[#This Row],[y]]-H$4)</f>
        <v>25210</v>
      </c>
      <c r="D2349" s="1">
        <f>IF(Tabela1[[#This Row],[promien]]&lt;40000,1,0)</f>
        <v>1</v>
      </c>
      <c r="E2349" s="1">
        <f>IF(Tabela1[[#This Row],[promien]]=40000,1,0)</f>
        <v>0</v>
      </c>
      <c r="F2349" s="1">
        <v>3.180928054491273</v>
      </c>
      <c r="G2349" s="1">
        <v>3.9335400901479911E-2</v>
      </c>
    </row>
    <row r="2350" spans="1:7">
      <c r="A2350">
        <v>110</v>
      </c>
      <c r="B2350">
        <v>108</v>
      </c>
      <c r="C2350" s="1">
        <f>(Tabela1[[#This Row],[x]]-H$3)*(Tabela1[[#This Row],[x]]-H$3) +(Tabela1[[#This Row],[y]]-H$4)*(Tabela1[[#This Row],[y]]-H$4)</f>
        <v>16564</v>
      </c>
      <c r="D2350" s="1">
        <f>IF(Tabela1[[#This Row],[promien]]&lt;40000,1,0)</f>
        <v>1</v>
      </c>
      <c r="E2350" s="1">
        <f>IF(Tabela1[[#This Row],[promien]]=40000,1,0)</f>
        <v>0</v>
      </c>
      <c r="F2350" s="1">
        <v>3.1812765957446807</v>
      </c>
      <c r="G2350" s="1">
        <v>3.9683942154887575E-2</v>
      </c>
    </row>
    <row r="2351" spans="1:7">
      <c r="A2351">
        <v>115</v>
      </c>
      <c r="B2351">
        <v>257</v>
      </c>
      <c r="C2351" s="1">
        <f>(Tabela1[[#This Row],[x]]-H$3)*(Tabela1[[#This Row],[x]]-H$3) +(Tabela1[[#This Row],[y]]-H$4)*(Tabela1[[#This Row],[y]]-H$4)</f>
        <v>10474</v>
      </c>
      <c r="D2351" s="1">
        <f>IF(Tabela1[[#This Row],[promien]]&lt;40000,1,0)</f>
        <v>1</v>
      </c>
      <c r="E2351" s="1">
        <f>IF(Tabela1[[#This Row],[promien]]=40000,1,0)</f>
        <v>0</v>
      </c>
      <c r="F2351" s="1">
        <v>3.1816248404934071</v>
      </c>
      <c r="G2351" s="1">
        <v>4.0032186903613987E-2</v>
      </c>
    </row>
    <row r="2352" spans="1:7">
      <c r="A2352">
        <v>196</v>
      </c>
      <c r="B2352">
        <v>107</v>
      </c>
      <c r="C2352" s="1">
        <f>(Tabela1[[#This Row],[x]]-H$3)*(Tabela1[[#This Row],[x]]-H$3) +(Tabela1[[#This Row],[y]]-H$4)*(Tabela1[[#This Row],[y]]-H$4)</f>
        <v>8665</v>
      </c>
      <c r="D2352" s="1">
        <f>IF(Tabela1[[#This Row],[promien]]&lt;40000,1,0)</f>
        <v>1</v>
      </c>
      <c r="E2352" s="1">
        <f>IF(Tabela1[[#This Row],[promien]]=40000,1,0)</f>
        <v>0</v>
      </c>
      <c r="F2352" s="1">
        <v>3.1819727891156462</v>
      </c>
      <c r="G2352" s="1">
        <v>4.0380135525853067E-2</v>
      </c>
    </row>
    <row r="2353" spans="1:7">
      <c r="A2353">
        <v>374</v>
      </c>
      <c r="B2353">
        <v>50</v>
      </c>
      <c r="C2353" s="1">
        <f>(Tabela1[[#This Row],[x]]-H$3)*(Tabela1[[#This Row],[x]]-H$3) +(Tabela1[[#This Row],[y]]-H$4)*(Tabela1[[#This Row],[y]]-H$4)</f>
        <v>52776</v>
      </c>
      <c r="D2353" s="1">
        <f>IF(Tabela1[[#This Row],[promien]]&lt;40000,1,0)</f>
        <v>0</v>
      </c>
      <c r="E2353" s="1">
        <f>IF(Tabela1[[#This Row],[promien]]=40000,1,0)</f>
        <v>0</v>
      </c>
      <c r="F2353" s="1">
        <v>3.1806204844878878</v>
      </c>
      <c r="G2353" s="1">
        <v>3.9027830898094695E-2</v>
      </c>
    </row>
    <row r="2354" spans="1:7">
      <c r="A2354">
        <v>21</v>
      </c>
      <c r="B2354">
        <v>313</v>
      </c>
      <c r="C2354" s="1">
        <f>(Tabela1[[#This Row],[x]]-H$3)*(Tabela1[[#This Row],[x]]-H$3) +(Tabela1[[#This Row],[y]]-H$4)*(Tabela1[[#This Row],[y]]-H$4)</f>
        <v>44810</v>
      </c>
      <c r="D2354" s="1">
        <f>IF(Tabela1[[#This Row],[promien]]&lt;40000,1,0)</f>
        <v>0</v>
      </c>
      <c r="E2354" s="1">
        <f>IF(Tabela1[[#This Row],[promien]]=40000,1,0)</f>
        <v>0</v>
      </c>
      <c r="F2354" s="1">
        <v>3.1792693288020391</v>
      </c>
      <c r="G2354" s="1">
        <v>3.7676675212245936E-2</v>
      </c>
    </row>
    <row r="2355" spans="1:7">
      <c r="A2355">
        <v>362</v>
      </c>
      <c r="B2355">
        <v>147</v>
      </c>
      <c r="C2355" s="1">
        <f>(Tabela1[[#This Row],[x]]-H$3)*(Tabela1[[#This Row],[x]]-H$3) +(Tabela1[[#This Row],[y]]-H$4)*(Tabela1[[#This Row],[y]]-H$4)</f>
        <v>29053</v>
      </c>
      <c r="D2355" s="1">
        <f>IF(Tabela1[[#This Row],[promien]]&lt;40000,1,0)</f>
        <v>1</v>
      </c>
      <c r="E2355" s="1">
        <f>IF(Tabela1[[#This Row],[promien]]=40000,1,0)</f>
        <v>0</v>
      </c>
      <c r="F2355" s="1">
        <v>3.1796178343949046</v>
      </c>
      <c r="G2355" s="1">
        <v>3.8025180805111525E-2</v>
      </c>
    </row>
    <row r="2356" spans="1:7">
      <c r="A2356">
        <v>195</v>
      </c>
      <c r="B2356">
        <v>39</v>
      </c>
      <c r="C2356" s="1">
        <f>(Tabela1[[#This Row],[x]]-H$3)*(Tabela1[[#This Row],[x]]-H$3) +(Tabela1[[#This Row],[y]]-H$4)*(Tabela1[[#This Row],[y]]-H$4)</f>
        <v>25946</v>
      </c>
      <c r="D2356" s="1">
        <f>IF(Tabela1[[#This Row],[promien]]&lt;40000,1,0)</f>
        <v>1</v>
      </c>
      <c r="E2356" s="1">
        <f>IF(Tabela1[[#This Row],[promien]]=40000,1,0)</f>
        <v>0</v>
      </c>
      <c r="F2356" s="1">
        <v>3.1799660441426147</v>
      </c>
      <c r="G2356" s="1">
        <v>3.8373390552821629E-2</v>
      </c>
    </row>
    <row r="2357" spans="1:7">
      <c r="A2357">
        <v>261</v>
      </c>
      <c r="B2357">
        <v>139</v>
      </c>
      <c r="C2357" s="1">
        <f>(Tabela1[[#This Row],[x]]-H$3)*(Tabela1[[#This Row],[x]]-H$3) +(Tabela1[[#This Row],[y]]-H$4)*(Tabela1[[#This Row],[y]]-H$4)</f>
        <v>7442</v>
      </c>
      <c r="D2357" s="1">
        <f>IF(Tabela1[[#This Row],[promien]]&lt;40000,1,0)</f>
        <v>1</v>
      </c>
      <c r="E2357" s="1">
        <f>IF(Tabela1[[#This Row],[promien]]=40000,1,0)</f>
        <v>0</v>
      </c>
      <c r="F2357" s="1">
        <v>3.1803139584217224</v>
      </c>
      <c r="G2357" s="1">
        <v>3.872130483192926E-2</v>
      </c>
    </row>
    <row r="2358" spans="1:7">
      <c r="A2358">
        <v>352</v>
      </c>
      <c r="B2358">
        <v>3</v>
      </c>
      <c r="C2358" s="1">
        <f>(Tabela1[[#This Row],[x]]-H$3)*(Tabela1[[#This Row],[x]]-H$3) +(Tabela1[[#This Row],[y]]-H$4)*(Tabela1[[#This Row],[y]]-H$4)</f>
        <v>61913</v>
      </c>
      <c r="D2358" s="1">
        <f>IF(Tabela1[[#This Row],[promien]]&lt;40000,1,0)</f>
        <v>0</v>
      </c>
      <c r="E2358" s="1">
        <f>IF(Tabela1[[#This Row],[promien]]=40000,1,0)</f>
        <v>0</v>
      </c>
      <c r="F2358" s="1">
        <v>3.1789652247667517</v>
      </c>
      <c r="G2358" s="1">
        <v>3.737257117695858E-2</v>
      </c>
    </row>
    <row r="2359" spans="1:7">
      <c r="A2359">
        <v>208</v>
      </c>
      <c r="B2359">
        <v>144</v>
      </c>
      <c r="C2359" s="1">
        <f>(Tabela1[[#This Row],[x]]-H$3)*(Tabela1[[#This Row],[x]]-H$3) +(Tabela1[[#This Row],[y]]-H$4)*(Tabela1[[#This Row],[y]]-H$4)</f>
        <v>3200</v>
      </c>
      <c r="D2359" s="1">
        <f>IF(Tabela1[[#This Row],[promien]]&lt;40000,1,0)</f>
        <v>1</v>
      </c>
      <c r="E2359" s="1">
        <f>IF(Tabela1[[#This Row],[promien]]=40000,1,0)</f>
        <v>0</v>
      </c>
      <c r="F2359" s="1">
        <v>3.1793132683340399</v>
      </c>
      <c r="G2359" s="1">
        <v>3.7720614744246816E-2</v>
      </c>
    </row>
    <row r="2360" spans="1:7">
      <c r="A2360">
        <v>233</v>
      </c>
      <c r="B2360">
        <v>51</v>
      </c>
      <c r="C2360" s="1">
        <f>(Tabela1[[#This Row],[x]]-H$3)*(Tabela1[[#This Row],[x]]-H$3) +(Tabela1[[#This Row],[y]]-H$4)*(Tabela1[[#This Row],[y]]-H$4)</f>
        <v>23290</v>
      </c>
      <c r="D2360" s="1">
        <f>IF(Tabela1[[#This Row],[promien]]&lt;40000,1,0)</f>
        <v>1</v>
      </c>
      <c r="E2360" s="1">
        <f>IF(Tabela1[[#This Row],[promien]]=40000,1,0)</f>
        <v>0</v>
      </c>
      <c r="F2360" s="1">
        <v>3.1796610169491526</v>
      </c>
      <c r="G2360" s="1">
        <v>3.8068363359359481E-2</v>
      </c>
    </row>
    <row r="2361" spans="1:7">
      <c r="A2361">
        <v>203</v>
      </c>
      <c r="B2361">
        <v>73</v>
      </c>
      <c r="C2361" s="1">
        <f>(Tabela1[[#This Row],[x]]-H$3)*(Tabela1[[#This Row],[x]]-H$3) +(Tabela1[[#This Row],[y]]-H$4)*(Tabela1[[#This Row],[y]]-H$4)</f>
        <v>16138</v>
      </c>
      <c r="D2361" s="1">
        <f>IF(Tabela1[[#This Row],[promien]]&lt;40000,1,0)</f>
        <v>1</v>
      </c>
      <c r="E2361" s="1">
        <f>IF(Tabela1[[#This Row],[promien]]=40000,1,0)</f>
        <v>0</v>
      </c>
      <c r="F2361" s="1">
        <v>3.1800084709868699</v>
      </c>
      <c r="G2361" s="1">
        <v>3.8415817397076779E-2</v>
      </c>
    </row>
    <row r="2362" spans="1:7">
      <c r="A2362">
        <v>288</v>
      </c>
      <c r="B2362">
        <v>1</v>
      </c>
      <c r="C2362" s="1">
        <f>(Tabela1[[#This Row],[x]]-H$3)*(Tabela1[[#This Row],[x]]-H$3) +(Tabela1[[#This Row],[y]]-H$4)*(Tabela1[[#This Row],[y]]-H$4)</f>
        <v>47345</v>
      </c>
      <c r="D2362" s="1">
        <f>IF(Tabela1[[#This Row],[promien]]&lt;40000,1,0)</f>
        <v>0</v>
      </c>
      <c r="E2362" s="1">
        <f>IF(Tabela1[[#This Row],[promien]]=40000,1,0)</f>
        <v>0</v>
      </c>
      <c r="F2362" s="1">
        <v>3.1786621507197292</v>
      </c>
      <c r="G2362" s="1">
        <v>3.7069497129936124E-2</v>
      </c>
    </row>
    <row r="2363" spans="1:7">
      <c r="A2363">
        <v>90</v>
      </c>
      <c r="B2363">
        <v>243</v>
      </c>
      <c r="C2363" s="1">
        <f>(Tabela1[[#This Row],[x]]-H$3)*(Tabela1[[#This Row],[x]]-H$3) +(Tabela1[[#This Row],[y]]-H$4)*(Tabela1[[#This Row],[y]]-H$4)</f>
        <v>13949</v>
      </c>
      <c r="D2363" s="1">
        <f>IF(Tabela1[[#This Row],[promien]]&lt;40000,1,0)</f>
        <v>1</v>
      </c>
      <c r="E2363" s="1">
        <f>IF(Tabela1[[#This Row],[promien]]=40000,1,0)</f>
        <v>0</v>
      </c>
      <c r="F2363" s="1">
        <v>3.1790097333897589</v>
      </c>
      <c r="G2363" s="1">
        <v>3.741707979996578E-2</v>
      </c>
    </row>
    <row r="2364" spans="1:7">
      <c r="A2364">
        <v>77</v>
      </c>
      <c r="B2364">
        <v>169</v>
      </c>
      <c r="C2364" s="1">
        <f>(Tabela1[[#This Row],[x]]-H$3)*(Tabela1[[#This Row],[x]]-H$3) +(Tabela1[[#This Row],[y]]-H$4)*(Tabela1[[#This Row],[y]]-H$4)</f>
        <v>16090</v>
      </c>
      <c r="D2364" s="1">
        <f>IF(Tabela1[[#This Row],[promien]]&lt;40000,1,0)</f>
        <v>1</v>
      </c>
      <c r="E2364" s="1">
        <f>IF(Tabela1[[#This Row],[promien]]=40000,1,0)</f>
        <v>0</v>
      </c>
      <c r="F2364" s="1">
        <v>3.1793570219966161</v>
      </c>
      <c r="G2364" s="1">
        <v>3.7764368406822957E-2</v>
      </c>
    </row>
    <row r="2365" spans="1:7">
      <c r="A2365">
        <v>211</v>
      </c>
      <c r="B2365">
        <v>154</v>
      </c>
      <c r="C2365" s="1">
        <f>(Tabela1[[#This Row],[x]]-H$3)*(Tabela1[[#This Row],[x]]-H$3) +(Tabela1[[#This Row],[y]]-H$4)*(Tabela1[[#This Row],[y]]-H$4)</f>
        <v>2237</v>
      </c>
      <c r="D2365" s="1">
        <f>IF(Tabela1[[#This Row],[promien]]&lt;40000,1,0)</f>
        <v>1</v>
      </c>
      <c r="E2365" s="1">
        <f>IF(Tabela1[[#This Row],[promien]]=40000,1,0)</f>
        <v>0</v>
      </c>
      <c r="F2365" s="1">
        <v>3.1797040169133193</v>
      </c>
      <c r="G2365" s="1">
        <v>3.811136332352616E-2</v>
      </c>
    </row>
    <row r="2366" spans="1:7">
      <c r="A2366">
        <v>177</v>
      </c>
      <c r="B2366">
        <v>352</v>
      </c>
      <c r="C2366" s="1">
        <f>(Tabela1[[#This Row],[x]]-H$3)*(Tabela1[[#This Row],[x]]-H$3) +(Tabela1[[#This Row],[y]]-H$4)*(Tabela1[[#This Row],[y]]-H$4)</f>
        <v>23633</v>
      </c>
      <c r="D2366" s="1">
        <f>IF(Tabela1[[#This Row],[promien]]&lt;40000,1,0)</f>
        <v>1</v>
      </c>
      <c r="E2366" s="1">
        <f>IF(Tabela1[[#This Row],[promien]]=40000,1,0)</f>
        <v>0</v>
      </c>
      <c r="F2366" s="1">
        <v>3.1800507185122568</v>
      </c>
      <c r="G2366" s="1">
        <v>3.8458064922463731E-2</v>
      </c>
    </row>
    <row r="2367" spans="1:7">
      <c r="A2367">
        <v>261</v>
      </c>
      <c r="B2367">
        <v>200</v>
      </c>
      <c r="C2367" s="1">
        <f>(Tabela1[[#This Row],[x]]-H$3)*(Tabela1[[#This Row],[x]]-H$3) +(Tabela1[[#This Row],[y]]-H$4)*(Tabela1[[#This Row],[y]]-H$4)</f>
        <v>3721</v>
      </c>
      <c r="D2367" s="1">
        <f>IF(Tabela1[[#This Row],[promien]]&lt;40000,1,0)</f>
        <v>1</v>
      </c>
      <c r="E2367" s="1">
        <f>IF(Tabela1[[#This Row],[promien]]=40000,1,0)</f>
        <v>0</v>
      </c>
      <c r="F2367" s="1">
        <v>3.1803971271651879</v>
      </c>
      <c r="G2367" s="1">
        <v>3.8804473575394738E-2</v>
      </c>
    </row>
    <row r="2368" spans="1:7">
      <c r="A2368">
        <v>186</v>
      </c>
      <c r="B2368">
        <v>244</v>
      </c>
      <c r="C2368" s="1">
        <f>(Tabela1[[#This Row],[x]]-H$3)*(Tabela1[[#This Row],[x]]-H$3) +(Tabela1[[#This Row],[y]]-H$4)*(Tabela1[[#This Row],[y]]-H$4)</f>
        <v>2132</v>
      </c>
      <c r="D2368" s="1">
        <f>IF(Tabela1[[#This Row],[promien]]&lt;40000,1,0)</f>
        <v>1</v>
      </c>
      <c r="E2368" s="1">
        <f>IF(Tabela1[[#This Row],[promien]]=40000,1,0)</f>
        <v>0</v>
      </c>
      <c r="F2368" s="1">
        <v>3.1807432432432434</v>
      </c>
      <c r="G2368" s="1">
        <v>3.9150589653450307E-2</v>
      </c>
    </row>
    <row r="2369" spans="1:7">
      <c r="A2369">
        <v>224</v>
      </c>
      <c r="B2369">
        <v>344</v>
      </c>
      <c r="C2369" s="1">
        <f>(Tabela1[[#This Row],[x]]-H$3)*(Tabela1[[#This Row],[x]]-H$3) +(Tabela1[[#This Row],[y]]-H$4)*(Tabela1[[#This Row],[y]]-H$4)</f>
        <v>21312</v>
      </c>
      <c r="D2369" s="1">
        <f>IF(Tabela1[[#This Row],[promien]]&lt;40000,1,0)</f>
        <v>1</v>
      </c>
      <c r="E2369" s="1">
        <f>IF(Tabela1[[#This Row],[promien]]=40000,1,0)</f>
        <v>0</v>
      </c>
      <c r="F2369" s="1">
        <v>3.1810890671169272</v>
      </c>
      <c r="G2369" s="1">
        <v>3.9496413527134067E-2</v>
      </c>
    </row>
    <row r="2370" spans="1:7">
      <c r="A2370">
        <v>343</v>
      </c>
      <c r="B2370">
        <v>170</v>
      </c>
      <c r="C2370" s="1">
        <f>(Tabela1[[#This Row],[x]]-H$3)*(Tabela1[[#This Row],[x]]-H$3) +(Tabela1[[#This Row],[y]]-H$4)*(Tabela1[[#This Row],[y]]-H$4)</f>
        <v>21349</v>
      </c>
      <c r="D2370" s="1">
        <f>IF(Tabela1[[#This Row],[promien]]&lt;40000,1,0)</f>
        <v>1</v>
      </c>
      <c r="E2370" s="1">
        <f>IF(Tabela1[[#This Row],[promien]]=40000,1,0)</f>
        <v>0</v>
      </c>
      <c r="F2370" s="1">
        <v>3.1814345991561179</v>
      </c>
      <c r="G2370" s="1">
        <v>3.984194556632481E-2</v>
      </c>
    </row>
    <row r="2371" spans="1:7">
      <c r="A2371">
        <v>374</v>
      </c>
      <c r="B2371">
        <v>350</v>
      </c>
      <c r="C2371" s="1">
        <f>(Tabela1[[#This Row],[x]]-H$3)*(Tabela1[[#This Row],[x]]-H$3) +(Tabela1[[#This Row],[y]]-H$4)*(Tabela1[[#This Row],[y]]-H$4)</f>
        <v>52776</v>
      </c>
      <c r="D2371" s="1">
        <f>IF(Tabela1[[#This Row],[promien]]&lt;40000,1,0)</f>
        <v>0</v>
      </c>
      <c r="E2371" s="1">
        <f>IF(Tabela1[[#This Row],[promien]]=40000,1,0)</f>
        <v>0</v>
      </c>
      <c r="F2371" s="1">
        <v>3.1800927878532264</v>
      </c>
      <c r="G2371" s="1">
        <v>3.8500134263433239E-2</v>
      </c>
    </row>
    <row r="2372" spans="1:7">
      <c r="A2372">
        <v>307</v>
      </c>
      <c r="B2372">
        <v>368</v>
      </c>
      <c r="C2372" s="1">
        <f>(Tabela1[[#This Row],[x]]-H$3)*(Tabela1[[#This Row],[x]]-H$3) +(Tabela1[[#This Row],[y]]-H$4)*(Tabela1[[#This Row],[y]]-H$4)</f>
        <v>39673</v>
      </c>
      <c r="D2372" s="1">
        <f>IF(Tabela1[[#This Row],[promien]]&lt;40000,1,0)</f>
        <v>1</v>
      </c>
      <c r="E2372" s="1">
        <f>IF(Tabela1[[#This Row],[promien]]=40000,1,0)</f>
        <v>0</v>
      </c>
      <c r="F2372" s="1">
        <v>3.1804384485666106</v>
      </c>
      <c r="G2372" s="1">
        <v>3.8845794976817505E-2</v>
      </c>
    </row>
    <row r="2373" spans="1:7">
      <c r="A2373">
        <v>188</v>
      </c>
      <c r="B2373">
        <v>394</v>
      </c>
      <c r="C2373" s="1">
        <f>(Tabela1[[#This Row],[x]]-H$3)*(Tabela1[[#This Row],[x]]-H$3) +(Tabela1[[#This Row],[y]]-H$4)*(Tabela1[[#This Row],[y]]-H$4)</f>
        <v>37780</v>
      </c>
      <c r="D2373" s="1">
        <f>IF(Tabela1[[#This Row],[promien]]&lt;40000,1,0)</f>
        <v>1</v>
      </c>
      <c r="E2373" s="1">
        <f>IF(Tabela1[[#This Row],[promien]]=40000,1,0)</f>
        <v>0</v>
      </c>
      <c r="F2373" s="1">
        <v>3.1807838179519594</v>
      </c>
      <c r="G2373" s="1">
        <v>3.9191164362166298E-2</v>
      </c>
    </row>
    <row r="2374" spans="1:7">
      <c r="A2374">
        <v>135</v>
      </c>
      <c r="B2374">
        <v>112</v>
      </c>
      <c r="C2374" s="1">
        <f>(Tabela1[[#This Row],[x]]-H$3)*(Tabela1[[#This Row],[x]]-H$3) +(Tabela1[[#This Row],[y]]-H$4)*(Tabela1[[#This Row],[y]]-H$4)</f>
        <v>11969</v>
      </c>
      <c r="D2374" s="1">
        <f>IF(Tabela1[[#This Row],[promien]]&lt;40000,1,0)</f>
        <v>1</v>
      </c>
      <c r="E2374" s="1">
        <f>IF(Tabela1[[#This Row],[promien]]=40000,1,0)</f>
        <v>0</v>
      </c>
      <c r="F2374" s="1">
        <v>3.1811288963774222</v>
      </c>
      <c r="G2374" s="1">
        <v>3.9536242787629128E-2</v>
      </c>
    </row>
    <row r="2375" spans="1:7">
      <c r="A2375">
        <v>281</v>
      </c>
      <c r="B2375">
        <v>280</v>
      </c>
      <c r="C2375" s="1">
        <f>(Tabela1[[#This Row],[x]]-H$3)*(Tabela1[[#This Row],[x]]-H$3) +(Tabela1[[#This Row],[y]]-H$4)*(Tabela1[[#This Row],[y]]-H$4)</f>
        <v>12961</v>
      </c>
      <c r="D2375" s="1">
        <f>IF(Tabela1[[#This Row],[promien]]&lt;40000,1,0)</f>
        <v>1</v>
      </c>
      <c r="E2375" s="1">
        <f>IF(Tabela1[[#This Row],[promien]]=40000,1,0)</f>
        <v>0</v>
      </c>
      <c r="F2375" s="1">
        <v>3.1814736842105265</v>
      </c>
      <c r="G2375" s="1">
        <v>3.9881030620733338E-2</v>
      </c>
    </row>
    <row r="2376" spans="1:7">
      <c r="A2376">
        <v>184</v>
      </c>
      <c r="B2376">
        <v>126</v>
      </c>
      <c r="C2376" s="1">
        <f>(Tabela1[[#This Row],[x]]-H$3)*(Tabela1[[#This Row],[x]]-H$3) +(Tabela1[[#This Row],[y]]-H$4)*(Tabela1[[#This Row],[y]]-H$4)</f>
        <v>5732</v>
      </c>
      <c r="D2376" s="1">
        <f>IF(Tabela1[[#This Row],[promien]]&lt;40000,1,0)</f>
        <v>1</v>
      </c>
      <c r="E2376" s="1">
        <f>IF(Tabela1[[#This Row],[promien]]=40000,1,0)</f>
        <v>0</v>
      </c>
      <c r="F2376" s="1">
        <v>3.1818181818181817</v>
      </c>
      <c r="G2376" s="1">
        <v>4.0225528228388541E-2</v>
      </c>
    </row>
    <row r="2377" spans="1:7">
      <c r="A2377">
        <v>186</v>
      </c>
      <c r="B2377">
        <v>37</v>
      </c>
      <c r="C2377" s="1">
        <f>(Tabela1[[#This Row],[x]]-H$3)*(Tabela1[[#This Row],[x]]-H$3) +(Tabela1[[#This Row],[y]]-H$4)*(Tabela1[[#This Row],[y]]-H$4)</f>
        <v>26765</v>
      </c>
      <c r="D2377" s="1">
        <f>IF(Tabela1[[#This Row],[promien]]&lt;40000,1,0)</f>
        <v>1</v>
      </c>
      <c r="E2377" s="1">
        <f>IF(Tabela1[[#This Row],[promien]]=40000,1,0)</f>
        <v>0</v>
      </c>
      <c r="F2377" s="1">
        <v>3.1821623895666806</v>
      </c>
      <c r="G2377" s="1">
        <v>4.0569735976887511E-2</v>
      </c>
    </row>
    <row r="2378" spans="1:7">
      <c r="A2378">
        <v>388</v>
      </c>
      <c r="B2378">
        <v>102</v>
      </c>
      <c r="C2378" s="1">
        <f>(Tabela1[[#This Row],[x]]-H$3)*(Tabela1[[#This Row],[x]]-H$3) +(Tabela1[[#This Row],[y]]-H$4)*(Tabela1[[#This Row],[y]]-H$4)</f>
        <v>44948</v>
      </c>
      <c r="D2378" s="1">
        <f>IF(Tabela1[[#This Row],[promien]]&lt;40000,1,0)</f>
        <v>0</v>
      </c>
      <c r="E2378" s="1">
        <f>IF(Tabela1[[#This Row],[promien]]=40000,1,0)</f>
        <v>0</v>
      </c>
      <c r="F2378" s="1">
        <v>3.1808242220353238</v>
      </c>
      <c r="G2378" s="1">
        <v>3.9231568445530662E-2</v>
      </c>
    </row>
    <row r="2379" spans="1:7">
      <c r="A2379">
        <v>317</v>
      </c>
      <c r="B2379">
        <v>79</v>
      </c>
      <c r="C2379" s="1">
        <f>(Tabela1[[#This Row],[x]]-H$3)*(Tabela1[[#This Row],[x]]-H$3) +(Tabela1[[#This Row],[y]]-H$4)*(Tabela1[[#This Row],[y]]-H$4)</f>
        <v>28330</v>
      </c>
      <c r="D2379" s="1">
        <f>IF(Tabela1[[#This Row],[promien]]&lt;40000,1,0)</f>
        <v>1</v>
      </c>
      <c r="E2379" s="1">
        <f>IF(Tabela1[[#This Row],[promien]]=40000,1,0)</f>
        <v>0</v>
      </c>
      <c r="F2379" s="1">
        <v>3.1811685582177387</v>
      </c>
      <c r="G2379" s="1">
        <v>3.957590462794558E-2</v>
      </c>
    </row>
    <row r="2380" spans="1:7">
      <c r="A2380">
        <v>146</v>
      </c>
      <c r="B2380">
        <v>130</v>
      </c>
      <c r="C2380" s="1">
        <f>(Tabela1[[#This Row],[x]]-H$3)*(Tabela1[[#This Row],[x]]-H$3) +(Tabela1[[#This Row],[y]]-H$4)*(Tabela1[[#This Row],[y]]-H$4)</f>
        <v>7816</v>
      </c>
      <c r="D2380" s="1">
        <f>IF(Tabela1[[#This Row],[promien]]&lt;40000,1,0)</f>
        <v>1</v>
      </c>
      <c r="E2380" s="1">
        <f>IF(Tabela1[[#This Row],[promien]]=40000,1,0)</f>
        <v>0</v>
      </c>
      <c r="F2380" s="1">
        <v>3.1815126050420166</v>
      </c>
      <c r="G2380" s="1">
        <v>3.991995145222349E-2</v>
      </c>
    </row>
    <row r="2381" spans="1:7">
      <c r="A2381">
        <v>317</v>
      </c>
      <c r="B2381">
        <v>131</v>
      </c>
      <c r="C2381" s="1">
        <f>(Tabela1[[#This Row],[x]]-H$3)*(Tabela1[[#This Row],[x]]-H$3) +(Tabela1[[#This Row],[y]]-H$4)*(Tabela1[[#This Row],[y]]-H$4)</f>
        <v>18450</v>
      </c>
      <c r="D2381" s="1">
        <f>IF(Tabela1[[#This Row],[promien]]&lt;40000,1,0)</f>
        <v>1</v>
      </c>
      <c r="E2381" s="1">
        <f>IF(Tabela1[[#This Row],[promien]]=40000,1,0)</f>
        <v>0</v>
      </c>
      <c r="F2381" s="1">
        <v>3.1818563628727428</v>
      </c>
      <c r="G2381" s="1">
        <v>4.0263709282949645E-2</v>
      </c>
    </row>
    <row r="2382" spans="1:7">
      <c r="A2382">
        <v>16</v>
      </c>
      <c r="B2382">
        <v>362</v>
      </c>
      <c r="C2382" s="1">
        <f>(Tabela1[[#This Row],[x]]-H$3)*(Tabela1[[#This Row],[x]]-H$3) +(Tabela1[[#This Row],[y]]-H$4)*(Tabela1[[#This Row],[y]]-H$4)</f>
        <v>60100</v>
      </c>
      <c r="D2382" s="1">
        <f>IF(Tabela1[[#This Row],[promien]]&lt;40000,1,0)</f>
        <v>0</v>
      </c>
      <c r="E2382" s="1">
        <f>IF(Tabela1[[#This Row],[promien]]=40000,1,0)</f>
        <v>0</v>
      </c>
      <c r="F2382" s="1">
        <v>3.1805205709487825</v>
      </c>
      <c r="G2382" s="1">
        <v>3.8927917358989372E-2</v>
      </c>
    </row>
    <row r="2383" spans="1:7">
      <c r="A2383">
        <v>333</v>
      </c>
      <c r="B2383">
        <v>98</v>
      </c>
      <c r="C2383" s="1">
        <f>(Tabela1[[#This Row],[x]]-H$3)*(Tabela1[[#This Row],[x]]-H$3) +(Tabela1[[#This Row],[y]]-H$4)*(Tabela1[[#This Row],[y]]-H$4)</f>
        <v>28093</v>
      </c>
      <c r="D2383" s="1">
        <f>IF(Tabela1[[#This Row],[promien]]&lt;40000,1,0)</f>
        <v>1</v>
      </c>
      <c r="E2383" s="1">
        <f>IF(Tabela1[[#This Row],[promien]]=40000,1,0)</f>
        <v>0</v>
      </c>
      <c r="F2383" s="1">
        <v>3.1808644565673521</v>
      </c>
      <c r="G2383" s="1">
        <v>3.9271802977558945E-2</v>
      </c>
    </row>
    <row r="2384" spans="1:7">
      <c r="A2384">
        <v>271</v>
      </c>
      <c r="B2384">
        <v>283</v>
      </c>
      <c r="C2384" s="1">
        <f>(Tabela1[[#This Row],[x]]-H$3)*(Tabela1[[#This Row],[x]]-H$3) +(Tabela1[[#This Row],[y]]-H$4)*(Tabela1[[#This Row],[y]]-H$4)</f>
        <v>11930</v>
      </c>
      <c r="D2384" s="1">
        <f>IF(Tabela1[[#This Row],[promien]]&lt;40000,1,0)</f>
        <v>1</v>
      </c>
      <c r="E2384" s="1">
        <f>IF(Tabela1[[#This Row],[promien]]=40000,1,0)</f>
        <v>0</v>
      </c>
      <c r="F2384" s="1">
        <v>3.1812080536912752</v>
      </c>
      <c r="G2384" s="1">
        <v>3.9615400101482123E-2</v>
      </c>
    </row>
    <row r="2385" spans="1:7">
      <c r="A2385">
        <v>212</v>
      </c>
      <c r="B2385">
        <v>81</v>
      </c>
      <c r="C2385" s="1">
        <f>(Tabela1[[#This Row],[x]]-H$3)*(Tabela1[[#This Row],[x]]-H$3) +(Tabela1[[#This Row],[y]]-H$4)*(Tabela1[[#This Row],[y]]-H$4)</f>
        <v>14305</v>
      </c>
      <c r="D2385" s="1">
        <f>IF(Tabela1[[#This Row],[promien]]&lt;40000,1,0)</f>
        <v>1</v>
      </c>
      <c r="E2385" s="1">
        <f>IF(Tabela1[[#This Row],[promien]]=40000,1,0)</f>
        <v>0</v>
      </c>
      <c r="F2385" s="1">
        <v>3.1815513626834382</v>
      </c>
      <c r="G2385" s="1">
        <v>3.9958709093645073E-2</v>
      </c>
    </row>
    <row r="2386" spans="1:7">
      <c r="A2386">
        <v>34</v>
      </c>
      <c r="B2386">
        <v>376</v>
      </c>
      <c r="C2386" s="1">
        <f>(Tabela1[[#This Row],[x]]-H$3)*(Tabela1[[#This Row],[x]]-H$3) +(Tabela1[[#This Row],[y]]-H$4)*(Tabela1[[#This Row],[y]]-H$4)</f>
        <v>58532</v>
      </c>
      <c r="D2386" s="1">
        <f>IF(Tabela1[[#This Row],[promien]]&lt;40000,1,0)</f>
        <v>0</v>
      </c>
      <c r="E2386" s="1">
        <f>IF(Tabela1[[#This Row],[promien]]=40000,1,0)</f>
        <v>0</v>
      </c>
      <c r="F2386" s="1">
        <v>3.1802179379715003</v>
      </c>
      <c r="G2386" s="1">
        <v>3.8625284381707203E-2</v>
      </c>
    </row>
    <row r="2387" spans="1:7">
      <c r="A2387">
        <v>313</v>
      </c>
      <c r="B2387">
        <v>353</v>
      </c>
      <c r="C2387" s="1">
        <f>(Tabela1[[#This Row],[x]]-H$3)*(Tabela1[[#This Row],[x]]-H$3) +(Tabela1[[#This Row],[y]]-H$4)*(Tabela1[[#This Row],[y]]-H$4)</f>
        <v>36178</v>
      </c>
      <c r="D2387" s="1">
        <f>IF(Tabela1[[#This Row],[promien]]&lt;40000,1,0)</f>
        <v>1</v>
      </c>
      <c r="E2387" s="1">
        <f>IF(Tabela1[[#This Row],[promien]]=40000,1,0)</f>
        <v>0</v>
      </c>
      <c r="F2387" s="1">
        <v>3.1805613741097614</v>
      </c>
      <c r="G2387" s="1">
        <v>3.8968720519968247E-2</v>
      </c>
    </row>
    <row r="2388" spans="1:7">
      <c r="A2388">
        <v>202</v>
      </c>
      <c r="B2388">
        <v>144</v>
      </c>
      <c r="C2388" s="1">
        <f>(Tabela1[[#This Row],[x]]-H$3)*(Tabela1[[#This Row],[x]]-H$3) +(Tabela1[[#This Row],[y]]-H$4)*(Tabela1[[#This Row],[y]]-H$4)</f>
        <v>3140</v>
      </c>
      <c r="D2388" s="1">
        <f>IF(Tabela1[[#This Row],[promien]]&lt;40000,1,0)</f>
        <v>1</v>
      </c>
      <c r="E2388" s="1">
        <f>IF(Tabela1[[#This Row],[promien]]=40000,1,0)</f>
        <v>0</v>
      </c>
      <c r="F2388" s="1">
        <v>3.1809045226130652</v>
      </c>
      <c r="G2388" s="1">
        <v>3.9311869023272106E-2</v>
      </c>
    </row>
    <row r="2389" spans="1:7">
      <c r="A2389">
        <v>213</v>
      </c>
      <c r="B2389">
        <v>68</v>
      </c>
      <c r="C2389" s="1">
        <f>(Tabela1[[#This Row],[x]]-H$3)*(Tabela1[[#This Row],[x]]-H$3) +(Tabela1[[#This Row],[y]]-H$4)*(Tabela1[[#This Row],[y]]-H$4)</f>
        <v>17593</v>
      </c>
      <c r="D2389" s="1">
        <f>IF(Tabela1[[#This Row],[promien]]&lt;40000,1,0)</f>
        <v>1</v>
      </c>
      <c r="E2389" s="1">
        <f>IF(Tabela1[[#This Row],[promien]]=40000,1,0)</f>
        <v>0</v>
      </c>
      <c r="F2389" s="1">
        <v>3.1812473838426119</v>
      </c>
      <c r="G2389" s="1">
        <v>3.9654730252818737E-2</v>
      </c>
    </row>
    <row r="2390" spans="1:7">
      <c r="A2390">
        <v>348</v>
      </c>
      <c r="B2390">
        <v>6</v>
      </c>
      <c r="C2390" s="1">
        <f>(Tabela1[[#This Row],[x]]-H$3)*(Tabela1[[#This Row],[x]]-H$3) +(Tabela1[[#This Row],[y]]-H$4)*(Tabela1[[#This Row],[y]]-H$4)</f>
        <v>59540</v>
      </c>
      <c r="D2390" s="1">
        <f>IF(Tabela1[[#This Row],[promien]]&lt;40000,1,0)</f>
        <v>0</v>
      </c>
      <c r="E2390" s="1">
        <f>IF(Tabela1[[#This Row],[promien]]=40000,1,0)</f>
        <v>0</v>
      </c>
      <c r="F2390" s="1">
        <v>3.1799163179916317</v>
      </c>
      <c r="G2390" s="1">
        <v>3.8323664401838542E-2</v>
      </c>
    </row>
    <row r="2391" spans="1:7">
      <c r="A2391">
        <v>186</v>
      </c>
      <c r="B2391">
        <v>128</v>
      </c>
      <c r="C2391" s="1">
        <f>(Tabela1[[#This Row],[x]]-H$3)*(Tabela1[[#This Row],[x]]-H$3) +(Tabela1[[#This Row],[y]]-H$4)*(Tabela1[[#This Row],[y]]-H$4)</f>
        <v>5380</v>
      </c>
      <c r="D2391" s="1">
        <f>IF(Tabela1[[#This Row],[promien]]&lt;40000,1,0)</f>
        <v>1</v>
      </c>
      <c r="E2391" s="1">
        <f>IF(Tabela1[[#This Row],[promien]]=40000,1,0)</f>
        <v>0</v>
      </c>
      <c r="F2391" s="1">
        <v>3.1802593057298201</v>
      </c>
      <c r="G2391" s="1">
        <v>3.8666652140026958E-2</v>
      </c>
    </row>
    <row r="2392" spans="1:7">
      <c r="A2392">
        <v>78</v>
      </c>
      <c r="B2392">
        <v>18</v>
      </c>
      <c r="C2392" s="1">
        <f>(Tabela1[[#This Row],[x]]-H$3)*(Tabela1[[#This Row],[x]]-H$3) +(Tabela1[[#This Row],[y]]-H$4)*(Tabela1[[#This Row],[y]]-H$4)</f>
        <v>48008</v>
      </c>
      <c r="D2392" s="1">
        <f>IF(Tabela1[[#This Row],[promien]]&lt;40000,1,0)</f>
        <v>0</v>
      </c>
      <c r="E2392" s="1">
        <f>IF(Tabela1[[#This Row],[promien]]=40000,1,0)</f>
        <v>0</v>
      </c>
      <c r="F2392" s="1">
        <v>3.1789297658862878</v>
      </c>
      <c r="G2392" s="1">
        <v>3.7337112296494723E-2</v>
      </c>
    </row>
    <row r="2393" spans="1:7">
      <c r="A2393">
        <v>308</v>
      </c>
      <c r="B2393">
        <v>281</v>
      </c>
      <c r="C2393" s="1">
        <f>(Tabela1[[#This Row],[x]]-H$3)*(Tabela1[[#This Row],[x]]-H$3) +(Tabela1[[#This Row],[y]]-H$4)*(Tabela1[[#This Row],[y]]-H$4)</f>
        <v>18225</v>
      </c>
      <c r="D2393" s="1">
        <f>IF(Tabela1[[#This Row],[promien]]&lt;40000,1,0)</f>
        <v>1</v>
      </c>
      <c r="E2393" s="1">
        <f>IF(Tabela1[[#This Row],[promien]]=40000,1,0)</f>
        <v>0</v>
      </c>
      <c r="F2393" s="1">
        <v>3.1792728792310907</v>
      </c>
      <c r="G2393" s="1">
        <v>3.7680225641297582E-2</v>
      </c>
    </row>
    <row r="2394" spans="1:7">
      <c r="A2394">
        <v>72</v>
      </c>
      <c r="B2394">
        <v>361</v>
      </c>
      <c r="C2394" s="1">
        <f>(Tabela1[[#This Row],[x]]-H$3)*(Tabela1[[#This Row],[x]]-H$3) +(Tabela1[[#This Row],[y]]-H$4)*(Tabela1[[#This Row],[y]]-H$4)</f>
        <v>42305</v>
      </c>
      <c r="D2394" s="1">
        <f>IF(Tabela1[[#This Row],[promien]]&lt;40000,1,0)</f>
        <v>0</v>
      </c>
      <c r="E2394" s="1">
        <f>IF(Tabela1[[#This Row],[promien]]=40000,1,0)</f>
        <v>0</v>
      </c>
      <c r="F2394" s="1">
        <v>3.1779448621553885</v>
      </c>
      <c r="G2394" s="1">
        <v>3.6352208565595401E-2</v>
      </c>
    </row>
    <row r="2395" spans="1:7">
      <c r="A2395">
        <v>273</v>
      </c>
      <c r="B2395">
        <v>22</v>
      </c>
      <c r="C2395" s="1">
        <f>(Tabela1[[#This Row],[x]]-H$3)*(Tabela1[[#This Row],[x]]-H$3) +(Tabela1[[#This Row],[y]]-H$4)*(Tabela1[[#This Row],[y]]-H$4)</f>
        <v>37013</v>
      </c>
      <c r="D2395" s="1">
        <f>IF(Tabela1[[#This Row],[promien]]&lt;40000,1,0)</f>
        <v>1</v>
      </c>
      <c r="E2395" s="1">
        <f>IF(Tabela1[[#This Row],[promien]]=40000,1,0)</f>
        <v>0</v>
      </c>
      <c r="F2395" s="1">
        <v>3.1782881002087682</v>
      </c>
      <c r="G2395" s="1">
        <v>3.6695446618975058E-2</v>
      </c>
    </row>
    <row r="2396" spans="1:7">
      <c r="A2396">
        <v>21</v>
      </c>
      <c r="B2396">
        <v>79</v>
      </c>
      <c r="C2396" s="1">
        <f>(Tabela1[[#This Row],[x]]-H$3)*(Tabela1[[#This Row],[x]]-H$3) +(Tabela1[[#This Row],[y]]-H$4)*(Tabela1[[#This Row],[y]]-H$4)</f>
        <v>46682</v>
      </c>
      <c r="D2396" s="1">
        <f>IF(Tabela1[[#This Row],[promien]]&lt;40000,1,0)</f>
        <v>0</v>
      </c>
      <c r="E2396" s="1">
        <f>IF(Tabela1[[#This Row],[promien]]=40000,1,0)</f>
        <v>0</v>
      </c>
      <c r="F2396" s="1">
        <v>3.1769616026711187</v>
      </c>
      <c r="G2396" s="1">
        <v>3.5368949081325596E-2</v>
      </c>
    </row>
    <row r="2397" spans="1:7">
      <c r="A2397">
        <v>277</v>
      </c>
      <c r="B2397">
        <v>221</v>
      </c>
      <c r="C2397" s="1">
        <f>(Tabela1[[#This Row],[x]]-H$3)*(Tabela1[[#This Row],[x]]-H$3) +(Tabela1[[#This Row],[y]]-H$4)*(Tabela1[[#This Row],[y]]-H$4)</f>
        <v>6370</v>
      </c>
      <c r="D2397" s="1">
        <f>IF(Tabela1[[#This Row],[promien]]&lt;40000,1,0)</f>
        <v>1</v>
      </c>
      <c r="E2397" s="1">
        <f>IF(Tabela1[[#This Row],[promien]]=40000,1,0)</f>
        <v>0</v>
      </c>
      <c r="F2397" s="1">
        <v>3.1773049645390072</v>
      </c>
      <c r="G2397" s="1">
        <v>3.5712310949214121E-2</v>
      </c>
    </row>
    <row r="2398" spans="1:7">
      <c r="A2398">
        <v>315</v>
      </c>
      <c r="B2398">
        <v>207</v>
      </c>
      <c r="C2398" s="1">
        <f>(Tabela1[[#This Row],[x]]-H$3)*(Tabela1[[#This Row],[x]]-H$3) +(Tabela1[[#This Row],[y]]-H$4)*(Tabela1[[#This Row],[y]]-H$4)</f>
        <v>13274</v>
      </c>
      <c r="D2398" s="1">
        <f>IF(Tabela1[[#This Row],[promien]]&lt;40000,1,0)</f>
        <v>1</v>
      </c>
      <c r="E2398" s="1">
        <f>IF(Tabela1[[#This Row],[promien]]=40000,1,0)</f>
        <v>0</v>
      </c>
      <c r="F2398" s="1">
        <v>3.1776480400333611</v>
      </c>
      <c r="G2398" s="1">
        <v>3.6055386443567983E-2</v>
      </c>
    </row>
    <row r="2399" spans="1:7">
      <c r="A2399">
        <v>341</v>
      </c>
      <c r="B2399">
        <v>160</v>
      </c>
      <c r="C2399" s="1">
        <f>(Tabela1[[#This Row],[x]]-H$3)*(Tabela1[[#This Row],[x]]-H$3) +(Tabela1[[#This Row],[y]]-H$4)*(Tabela1[[#This Row],[y]]-H$4)</f>
        <v>21481</v>
      </c>
      <c r="D2399" s="1">
        <f>IF(Tabela1[[#This Row],[promien]]&lt;40000,1,0)</f>
        <v>1</v>
      </c>
      <c r="E2399" s="1">
        <f>IF(Tabela1[[#This Row],[promien]]=40000,1,0)</f>
        <v>0</v>
      </c>
      <c r="F2399" s="1">
        <v>3.1779908295122969</v>
      </c>
      <c r="G2399" s="1">
        <v>3.6398175922503828E-2</v>
      </c>
    </row>
    <row r="2400" spans="1:7">
      <c r="A2400">
        <v>386</v>
      </c>
      <c r="B2400">
        <v>370</v>
      </c>
      <c r="C2400" s="1">
        <f>(Tabela1[[#This Row],[x]]-H$3)*(Tabela1[[#This Row],[x]]-H$3) +(Tabela1[[#This Row],[y]]-H$4)*(Tabela1[[#This Row],[y]]-H$4)</f>
        <v>63496</v>
      </c>
      <c r="D2400" s="1">
        <f>IF(Tabela1[[#This Row],[promien]]&lt;40000,1,0)</f>
        <v>0</v>
      </c>
      <c r="E2400" s="1">
        <f>IF(Tabela1[[#This Row],[promien]]=40000,1,0)</f>
        <v>0</v>
      </c>
      <c r="F2400" s="1">
        <v>3.1766666666666667</v>
      </c>
      <c r="G2400" s="1">
        <v>3.5074013076873634E-2</v>
      </c>
    </row>
    <row r="2401" spans="1:7">
      <c r="A2401">
        <v>123</v>
      </c>
      <c r="B2401">
        <v>25</v>
      </c>
      <c r="C2401" s="1">
        <f>(Tabela1[[#This Row],[x]]-H$3)*(Tabela1[[#This Row],[x]]-H$3) +(Tabela1[[#This Row],[y]]-H$4)*(Tabela1[[#This Row],[y]]-H$4)</f>
        <v>36554</v>
      </c>
      <c r="D2401" s="1">
        <f>IF(Tabela1[[#This Row],[promien]]&lt;40000,1,0)</f>
        <v>1</v>
      </c>
      <c r="E2401" s="1">
        <f>IF(Tabela1[[#This Row],[promien]]=40000,1,0)</f>
        <v>0</v>
      </c>
      <c r="F2401" s="1">
        <v>3.1770095793419411</v>
      </c>
      <c r="G2401" s="1">
        <v>3.5416925752147943E-2</v>
      </c>
    </row>
    <row r="2402" spans="1:7">
      <c r="A2402">
        <v>217</v>
      </c>
      <c r="B2402">
        <v>326</v>
      </c>
      <c r="C2402" s="1">
        <f>(Tabela1[[#This Row],[x]]-H$3)*(Tabela1[[#This Row],[x]]-H$3) +(Tabela1[[#This Row],[y]]-H$4)*(Tabela1[[#This Row],[y]]-H$4)</f>
        <v>16165</v>
      </c>
      <c r="D2402" s="1">
        <f>IF(Tabela1[[#This Row],[promien]]&lt;40000,1,0)</f>
        <v>1</v>
      </c>
      <c r="E2402" s="1">
        <f>IF(Tabela1[[#This Row],[promien]]=40000,1,0)</f>
        <v>0</v>
      </c>
      <c r="F2402" s="1">
        <v>3.177352206494588</v>
      </c>
      <c r="G2402" s="1">
        <v>3.5759552904794933E-2</v>
      </c>
    </row>
    <row r="2403" spans="1:7">
      <c r="A2403">
        <v>23</v>
      </c>
      <c r="B2403">
        <v>7</v>
      </c>
      <c r="C2403" s="1">
        <f>(Tabela1[[#This Row],[x]]-H$3)*(Tabela1[[#This Row],[x]]-H$3) +(Tabela1[[#This Row],[y]]-H$4)*(Tabela1[[#This Row],[y]]-H$4)</f>
        <v>68578</v>
      </c>
      <c r="D2403" s="1">
        <f>IF(Tabela1[[#This Row],[promien]]&lt;40000,1,0)</f>
        <v>0</v>
      </c>
      <c r="E2403" s="1">
        <f>IF(Tabela1[[#This Row],[promien]]=40000,1,0)</f>
        <v>0</v>
      </c>
      <c r="F2403" s="1">
        <v>3.1760299625468167</v>
      </c>
      <c r="G2403" s="1">
        <v>3.4437308957023571E-2</v>
      </c>
    </row>
    <row r="2404" spans="1:7">
      <c r="A2404">
        <v>368</v>
      </c>
      <c r="B2404">
        <v>284</v>
      </c>
      <c r="C2404" s="1">
        <f>(Tabela1[[#This Row],[x]]-H$3)*(Tabela1[[#This Row],[x]]-H$3) +(Tabela1[[#This Row],[y]]-H$4)*(Tabela1[[#This Row],[y]]-H$4)</f>
        <v>35280</v>
      </c>
      <c r="D2404" s="1">
        <f>IF(Tabela1[[#This Row],[promien]]&lt;40000,1,0)</f>
        <v>1</v>
      </c>
      <c r="E2404" s="1">
        <f>IF(Tabela1[[#This Row],[promien]]=40000,1,0)</f>
        <v>0</v>
      </c>
      <c r="F2404" s="1">
        <v>3.1763727121464225</v>
      </c>
      <c r="G2404" s="1">
        <v>3.4780058556629356E-2</v>
      </c>
    </row>
    <row r="2405" spans="1:7">
      <c r="A2405">
        <v>256</v>
      </c>
      <c r="B2405">
        <v>219</v>
      </c>
      <c r="C2405" s="1">
        <f>(Tabela1[[#This Row],[x]]-H$3)*(Tabela1[[#This Row],[x]]-H$3) +(Tabela1[[#This Row],[y]]-H$4)*(Tabela1[[#This Row],[y]]-H$4)</f>
        <v>3497</v>
      </c>
      <c r="D2405" s="1">
        <f>IF(Tabela1[[#This Row],[promien]]&lt;40000,1,0)</f>
        <v>1</v>
      </c>
      <c r="E2405" s="1">
        <f>IF(Tabela1[[#This Row],[promien]]=40000,1,0)</f>
        <v>0</v>
      </c>
      <c r="F2405" s="1">
        <v>3.1767151767151769</v>
      </c>
      <c r="G2405" s="1">
        <v>3.5122523125383776E-2</v>
      </c>
    </row>
    <row r="2406" spans="1:7">
      <c r="A2406">
        <v>389</v>
      </c>
      <c r="B2406">
        <v>118</v>
      </c>
      <c r="C2406" s="1">
        <f>(Tabela1[[#This Row],[x]]-H$3)*(Tabela1[[#This Row],[x]]-H$3) +(Tabela1[[#This Row],[y]]-H$4)*(Tabela1[[#This Row],[y]]-H$4)</f>
        <v>42445</v>
      </c>
      <c r="D2406" s="1">
        <f>IF(Tabela1[[#This Row],[promien]]&lt;40000,1,0)</f>
        <v>0</v>
      </c>
      <c r="E2406" s="1">
        <f>IF(Tabela1[[#This Row],[promien]]=40000,1,0)</f>
        <v>0</v>
      </c>
      <c r="F2406" s="1">
        <v>3.175394846217789</v>
      </c>
      <c r="G2406" s="1">
        <v>3.3802192627995886E-2</v>
      </c>
    </row>
    <row r="2407" spans="1:7">
      <c r="A2407">
        <v>223</v>
      </c>
      <c r="B2407">
        <v>60</v>
      </c>
      <c r="C2407" s="1">
        <f>(Tabela1[[#This Row],[x]]-H$3)*(Tabela1[[#This Row],[x]]-H$3) +(Tabela1[[#This Row],[y]]-H$4)*(Tabela1[[#This Row],[y]]-H$4)</f>
        <v>20129</v>
      </c>
      <c r="D2407" s="1">
        <f>IF(Tabela1[[#This Row],[promien]]&lt;40000,1,0)</f>
        <v>1</v>
      </c>
      <c r="E2407" s="1">
        <f>IF(Tabela1[[#This Row],[promien]]=40000,1,0)</f>
        <v>0</v>
      </c>
      <c r="F2407" s="1">
        <v>3.175737432488575</v>
      </c>
      <c r="G2407" s="1">
        <v>3.4144778898781869E-2</v>
      </c>
    </row>
    <row r="2408" spans="1:7">
      <c r="A2408">
        <v>228</v>
      </c>
      <c r="B2408">
        <v>23</v>
      </c>
      <c r="C2408" s="1">
        <f>(Tabela1[[#This Row],[x]]-H$3)*(Tabela1[[#This Row],[x]]-H$3) +(Tabela1[[#This Row],[y]]-H$4)*(Tabela1[[#This Row],[y]]-H$4)</f>
        <v>32113</v>
      </c>
      <c r="D2408" s="1">
        <f>IF(Tabela1[[#This Row],[promien]]&lt;40000,1,0)</f>
        <v>1</v>
      </c>
      <c r="E2408" s="1">
        <f>IF(Tabela1[[#This Row],[promien]]=40000,1,0)</f>
        <v>0</v>
      </c>
      <c r="F2408" s="1">
        <v>3.176079734219269</v>
      </c>
      <c r="G2408" s="1">
        <v>3.4487080629475919E-2</v>
      </c>
    </row>
    <row r="2409" spans="1:7">
      <c r="A2409">
        <v>10</v>
      </c>
      <c r="B2409">
        <v>289</v>
      </c>
      <c r="C2409" s="1">
        <f>(Tabela1[[#This Row],[x]]-H$3)*(Tabela1[[#This Row],[x]]-H$3) +(Tabela1[[#This Row],[y]]-H$4)*(Tabela1[[#This Row],[y]]-H$4)</f>
        <v>44021</v>
      </c>
      <c r="D2409" s="1">
        <f>IF(Tabela1[[#This Row],[promien]]&lt;40000,1,0)</f>
        <v>0</v>
      </c>
      <c r="E2409" s="1">
        <f>IF(Tabela1[[#This Row],[promien]]=40000,1,0)</f>
        <v>0</v>
      </c>
      <c r="F2409" s="1">
        <v>3.1747613117476132</v>
      </c>
      <c r="G2409" s="1">
        <v>3.3168658157820108E-2</v>
      </c>
    </row>
    <row r="2410" spans="1:7">
      <c r="A2410">
        <v>117</v>
      </c>
      <c r="B2410">
        <v>8</v>
      </c>
      <c r="C2410" s="1">
        <f>(Tabela1[[#This Row],[x]]-H$3)*(Tabela1[[#This Row],[x]]-H$3) +(Tabela1[[#This Row],[y]]-H$4)*(Tabela1[[#This Row],[y]]-H$4)</f>
        <v>43753</v>
      </c>
      <c r="D2410" s="1">
        <f>IF(Tabela1[[#This Row],[promien]]&lt;40000,1,0)</f>
        <v>0</v>
      </c>
      <c r="E2410" s="1">
        <f>IF(Tabela1[[#This Row],[promien]]=40000,1,0)</f>
        <v>0</v>
      </c>
      <c r="F2410" s="1">
        <v>3.1734439834024895</v>
      </c>
      <c r="G2410" s="1">
        <v>3.1851329812696338E-2</v>
      </c>
    </row>
    <row r="2411" spans="1:7">
      <c r="A2411">
        <v>64</v>
      </c>
      <c r="B2411">
        <v>97</v>
      </c>
      <c r="C2411" s="1">
        <f>(Tabela1[[#This Row],[x]]-H$3)*(Tabela1[[#This Row],[x]]-H$3) +(Tabela1[[#This Row],[y]]-H$4)*(Tabela1[[#This Row],[y]]-H$4)</f>
        <v>29105</v>
      </c>
      <c r="D2411" s="1">
        <f>IF(Tabela1[[#This Row],[promien]]&lt;40000,1,0)</f>
        <v>1</v>
      </c>
      <c r="E2411" s="1">
        <f>IF(Tabela1[[#This Row],[promien]]=40000,1,0)</f>
        <v>0</v>
      </c>
      <c r="F2411" s="1">
        <v>3.1737868104520945</v>
      </c>
      <c r="G2411" s="1">
        <v>3.2194156862301426E-2</v>
      </c>
    </row>
    <row r="2412" spans="1:7">
      <c r="A2412">
        <v>204</v>
      </c>
      <c r="B2412">
        <v>108</v>
      </c>
      <c r="C2412" s="1">
        <f>(Tabela1[[#This Row],[x]]-H$3)*(Tabela1[[#This Row],[x]]-H$3) +(Tabela1[[#This Row],[y]]-H$4)*(Tabela1[[#This Row],[y]]-H$4)</f>
        <v>8480</v>
      </c>
      <c r="D2412" s="1">
        <f>IF(Tabela1[[#This Row],[promien]]&lt;40000,1,0)</f>
        <v>1</v>
      </c>
      <c r="E2412" s="1">
        <f>IF(Tabela1[[#This Row],[promien]]=40000,1,0)</f>
        <v>0</v>
      </c>
      <c r="F2412" s="1">
        <v>3.1741293532338308</v>
      </c>
      <c r="G2412" s="1">
        <v>3.2536699644037714E-2</v>
      </c>
    </row>
    <row r="2413" spans="1:7">
      <c r="A2413">
        <v>2</v>
      </c>
      <c r="B2413">
        <v>102</v>
      </c>
      <c r="C2413" s="1">
        <f>(Tabela1[[#This Row],[x]]-H$3)*(Tabela1[[#This Row],[x]]-H$3) +(Tabela1[[#This Row],[y]]-H$4)*(Tabela1[[#This Row],[y]]-H$4)</f>
        <v>48808</v>
      </c>
      <c r="D2413" s="1">
        <f>IF(Tabela1[[#This Row],[promien]]&lt;40000,1,0)</f>
        <v>0</v>
      </c>
      <c r="E2413" s="1">
        <f>IF(Tabela1[[#This Row],[promien]]=40000,1,0)</f>
        <v>0</v>
      </c>
      <c r="F2413" s="1">
        <v>3.1728139245752174</v>
      </c>
      <c r="G2413" s="1">
        <v>3.1221270985424265E-2</v>
      </c>
    </row>
    <row r="2414" spans="1:7">
      <c r="A2414">
        <v>52</v>
      </c>
      <c r="B2414">
        <v>94</v>
      </c>
      <c r="C2414" s="1">
        <f>(Tabela1[[#This Row],[x]]-H$3)*(Tabela1[[#This Row],[x]]-H$3) +(Tabela1[[#This Row],[y]]-H$4)*(Tabela1[[#This Row],[y]]-H$4)</f>
        <v>33140</v>
      </c>
      <c r="D2414" s="1">
        <f>IF(Tabela1[[#This Row],[promien]]&lt;40000,1,0)</f>
        <v>1</v>
      </c>
      <c r="E2414" s="1">
        <f>IF(Tabela1[[#This Row],[promien]]=40000,1,0)</f>
        <v>0</v>
      </c>
      <c r="F2414" s="1">
        <v>3.1731565865782931</v>
      </c>
      <c r="G2414" s="1">
        <v>3.1563932988500021E-2</v>
      </c>
    </row>
    <row r="2415" spans="1:7">
      <c r="A2415">
        <v>54</v>
      </c>
      <c r="B2415">
        <v>117</v>
      </c>
      <c r="C2415" s="1">
        <f>(Tabela1[[#This Row],[x]]-H$3)*(Tabela1[[#This Row],[x]]-H$3) +(Tabela1[[#This Row],[y]]-H$4)*(Tabela1[[#This Row],[y]]-H$4)</f>
        <v>28205</v>
      </c>
      <c r="D2415" s="1">
        <f>IF(Tabela1[[#This Row],[promien]]&lt;40000,1,0)</f>
        <v>1</v>
      </c>
      <c r="E2415" s="1">
        <f>IF(Tabela1[[#This Row],[promien]]=40000,1,0)</f>
        <v>0</v>
      </c>
      <c r="F2415" s="1">
        <v>3.1734989648033127</v>
      </c>
      <c r="G2415" s="1">
        <v>3.1906311213519611E-2</v>
      </c>
    </row>
    <row r="2416" spans="1:7">
      <c r="A2416">
        <v>310</v>
      </c>
      <c r="B2416">
        <v>312</v>
      </c>
      <c r="C2416" s="1">
        <f>(Tabela1[[#This Row],[x]]-H$3)*(Tabela1[[#This Row],[x]]-H$3) +(Tabela1[[#This Row],[y]]-H$4)*(Tabela1[[#This Row],[y]]-H$4)</f>
        <v>24644</v>
      </c>
      <c r="D2416" s="1">
        <f>IF(Tabela1[[#This Row],[promien]]&lt;40000,1,0)</f>
        <v>1</v>
      </c>
      <c r="E2416" s="1">
        <f>IF(Tabela1[[#This Row],[promien]]=40000,1,0)</f>
        <v>0</v>
      </c>
      <c r="F2416" s="1">
        <v>3.173841059602649</v>
      </c>
      <c r="G2416" s="1">
        <v>3.2248406012855835E-2</v>
      </c>
    </row>
    <row r="2417" spans="1:7">
      <c r="A2417">
        <v>116</v>
      </c>
      <c r="B2417">
        <v>293</v>
      </c>
      <c r="C2417" s="1">
        <f>(Tabela1[[#This Row],[x]]-H$3)*(Tabela1[[#This Row],[x]]-H$3) +(Tabela1[[#This Row],[y]]-H$4)*(Tabela1[[#This Row],[y]]-H$4)</f>
        <v>15705</v>
      </c>
      <c r="D2417" s="1">
        <f>IF(Tabela1[[#This Row],[promien]]&lt;40000,1,0)</f>
        <v>1</v>
      </c>
      <c r="E2417" s="1">
        <f>IF(Tabela1[[#This Row],[promien]]=40000,1,0)</f>
        <v>0</v>
      </c>
      <c r="F2417" s="1">
        <v>3.1741828713280928</v>
      </c>
      <c r="G2417" s="1">
        <v>3.2590217738299732E-2</v>
      </c>
    </row>
    <row r="2418" spans="1:7">
      <c r="A2418">
        <v>54</v>
      </c>
      <c r="B2418">
        <v>361</v>
      </c>
      <c r="C2418" s="1">
        <f>(Tabela1[[#This Row],[x]]-H$3)*(Tabela1[[#This Row],[x]]-H$3) +(Tabela1[[#This Row],[y]]-H$4)*(Tabela1[[#This Row],[y]]-H$4)</f>
        <v>47237</v>
      </c>
      <c r="D2418" s="1">
        <f>IF(Tabela1[[#This Row],[promien]]&lt;40000,1,0)</f>
        <v>0</v>
      </c>
      <c r="E2418" s="1">
        <f>IF(Tabela1[[#This Row],[promien]]=40000,1,0)</f>
        <v>0</v>
      </c>
      <c r="F2418" s="1">
        <v>3.1728701406120763</v>
      </c>
      <c r="G2418" s="1">
        <v>3.1277487022283168E-2</v>
      </c>
    </row>
    <row r="2419" spans="1:7">
      <c r="A2419">
        <v>79</v>
      </c>
      <c r="B2419">
        <v>76</v>
      </c>
      <c r="C2419" s="1">
        <f>(Tabela1[[#This Row],[x]]-H$3)*(Tabela1[[#This Row],[x]]-H$3) +(Tabela1[[#This Row],[y]]-H$4)*(Tabela1[[#This Row],[y]]-H$4)</f>
        <v>30017</v>
      </c>
      <c r="D2419" s="1">
        <f>IF(Tabela1[[#This Row],[promien]]&lt;40000,1,0)</f>
        <v>1</v>
      </c>
      <c r="E2419" s="1">
        <f>IF(Tabela1[[#This Row],[promien]]=40000,1,0)</f>
        <v>0</v>
      </c>
      <c r="F2419" s="1">
        <v>3.1732120711037619</v>
      </c>
      <c r="G2419" s="1">
        <v>3.1619417513968795E-2</v>
      </c>
    </row>
    <row r="2420" spans="1:7">
      <c r="A2420">
        <v>280</v>
      </c>
      <c r="B2420">
        <v>55</v>
      </c>
      <c r="C2420" s="1">
        <f>(Tabela1[[#This Row],[x]]-H$3)*(Tabela1[[#This Row],[x]]-H$3) +(Tabela1[[#This Row],[y]]-H$4)*(Tabela1[[#This Row],[y]]-H$4)</f>
        <v>27425</v>
      </c>
      <c r="D2420" s="1">
        <f>IF(Tabela1[[#This Row],[promien]]&lt;40000,1,0)</f>
        <v>1</v>
      </c>
      <c r="E2420" s="1">
        <f>IF(Tabela1[[#This Row],[promien]]=40000,1,0)</f>
        <v>0</v>
      </c>
      <c r="F2420" s="1">
        <v>3.1735537190082646</v>
      </c>
      <c r="G2420" s="1">
        <v>3.1961065418471435E-2</v>
      </c>
    </row>
    <row r="2421" spans="1:7">
      <c r="A2421">
        <v>123</v>
      </c>
      <c r="B2421">
        <v>391</v>
      </c>
      <c r="C2421" s="1">
        <f>(Tabela1[[#This Row],[x]]-H$3)*(Tabela1[[#This Row],[x]]-H$3) +(Tabela1[[#This Row],[y]]-H$4)*(Tabela1[[#This Row],[y]]-H$4)</f>
        <v>42410</v>
      </c>
      <c r="D2421" s="1">
        <f>IF(Tabela1[[#This Row],[promien]]&lt;40000,1,0)</f>
        <v>0</v>
      </c>
      <c r="E2421" s="1">
        <f>IF(Tabela1[[#This Row],[promien]]=40000,1,0)</f>
        <v>0</v>
      </c>
      <c r="F2421" s="1">
        <v>3.1722428748451055</v>
      </c>
      <c r="G2421" s="1">
        <v>3.065022125531236E-2</v>
      </c>
    </row>
    <row r="2422" spans="1:7">
      <c r="A2422">
        <v>395</v>
      </c>
      <c r="B2422">
        <v>378</v>
      </c>
      <c r="C2422" s="1">
        <f>(Tabela1[[#This Row],[x]]-H$3)*(Tabela1[[#This Row],[x]]-H$3) +(Tabela1[[#This Row],[y]]-H$4)*(Tabela1[[#This Row],[y]]-H$4)</f>
        <v>69709</v>
      </c>
      <c r="D2422" s="1">
        <f>IF(Tabela1[[#This Row],[promien]]&lt;40000,1,0)</f>
        <v>0</v>
      </c>
      <c r="E2422" s="1">
        <f>IF(Tabela1[[#This Row],[promien]]=40000,1,0)</f>
        <v>0</v>
      </c>
      <c r="F2422" s="1">
        <v>3.170933113129645</v>
      </c>
      <c r="G2422" s="1">
        <v>2.9340459539851871E-2</v>
      </c>
    </row>
    <row r="2423" spans="1:7">
      <c r="A2423">
        <v>32</v>
      </c>
      <c r="B2423">
        <v>300</v>
      </c>
      <c r="C2423" s="1">
        <f>(Tabela1[[#This Row],[x]]-H$3)*(Tabela1[[#This Row],[x]]-H$3) +(Tabela1[[#This Row],[y]]-H$4)*(Tabela1[[#This Row],[y]]-H$4)</f>
        <v>38224</v>
      </c>
      <c r="D2423" s="1">
        <f>IF(Tabela1[[#This Row],[promien]]&lt;40000,1,0)</f>
        <v>1</v>
      </c>
      <c r="E2423" s="1">
        <f>IF(Tabela1[[#This Row],[promien]]=40000,1,0)</f>
        <v>0</v>
      </c>
      <c r="F2423" s="1">
        <v>3.1712752785802722</v>
      </c>
      <c r="G2423" s="1">
        <v>2.9682624990479134E-2</v>
      </c>
    </row>
    <row r="2424" spans="1:7">
      <c r="A2424">
        <v>159</v>
      </c>
      <c r="B2424">
        <v>287</v>
      </c>
      <c r="C2424" s="1">
        <f>(Tabela1[[#This Row],[x]]-H$3)*(Tabela1[[#This Row],[x]]-H$3) +(Tabela1[[#This Row],[y]]-H$4)*(Tabela1[[#This Row],[y]]-H$4)</f>
        <v>9250</v>
      </c>
      <c r="D2424" s="1">
        <f>IF(Tabela1[[#This Row],[promien]]&lt;40000,1,0)</f>
        <v>1</v>
      </c>
      <c r="E2424" s="1">
        <f>IF(Tabela1[[#This Row],[promien]]=40000,1,0)</f>
        <v>0</v>
      </c>
      <c r="F2424" s="1">
        <v>3.1716171617161715</v>
      </c>
      <c r="G2424" s="1">
        <v>3.0024508126378358E-2</v>
      </c>
    </row>
    <row r="2425" spans="1:7">
      <c r="A2425">
        <v>201</v>
      </c>
      <c r="B2425">
        <v>152</v>
      </c>
      <c r="C2425" s="1">
        <f>(Tabela1[[#This Row],[x]]-H$3)*(Tabela1[[#This Row],[x]]-H$3) +(Tabela1[[#This Row],[y]]-H$4)*(Tabela1[[#This Row],[y]]-H$4)</f>
        <v>2305</v>
      </c>
      <c r="D2425" s="1">
        <f>IF(Tabela1[[#This Row],[promien]]&lt;40000,1,0)</f>
        <v>1</v>
      </c>
      <c r="E2425" s="1">
        <f>IF(Tabela1[[#This Row],[promien]]=40000,1,0)</f>
        <v>0</v>
      </c>
      <c r="F2425" s="1">
        <v>3.1719587628865979</v>
      </c>
      <c r="G2425" s="1">
        <v>3.0366109296804833E-2</v>
      </c>
    </row>
    <row r="2426" spans="1:7">
      <c r="A2426">
        <v>172</v>
      </c>
      <c r="B2426">
        <v>379</v>
      </c>
      <c r="C2426" s="1">
        <f>(Tabela1[[#This Row],[x]]-H$3)*(Tabela1[[#This Row],[x]]-H$3) +(Tabela1[[#This Row],[y]]-H$4)*(Tabela1[[#This Row],[y]]-H$4)</f>
        <v>32825</v>
      </c>
      <c r="D2426" s="1">
        <f>IF(Tabela1[[#This Row],[promien]]&lt;40000,1,0)</f>
        <v>1</v>
      </c>
      <c r="E2426" s="1">
        <f>IF(Tabela1[[#This Row],[promien]]=40000,1,0)</f>
        <v>0</v>
      </c>
      <c r="F2426" s="1">
        <v>3.172300082440231</v>
      </c>
      <c r="G2426" s="1">
        <v>3.0707428850437868E-2</v>
      </c>
    </row>
    <row r="2427" spans="1:7">
      <c r="A2427">
        <v>44</v>
      </c>
      <c r="B2427">
        <v>201</v>
      </c>
      <c r="C2427" s="1">
        <f>(Tabela1[[#This Row],[x]]-H$3)*(Tabela1[[#This Row],[x]]-H$3) +(Tabela1[[#This Row],[y]]-H$4)*(Tabela1[[#This Row],[y]]-H$4)</f>
        <v>24337</v>
      </c>
      <c r="D2427" s="1">
        <f>IF(Tabela1[[#This Row],[promien]]&lt;40000,1,0)</f>
        <v>1</v>
      </c>
      <c r="E2427" s="1">
        <f>IF(Tabela1[[#This Row],[promien]]=40000,1,0)</f>
        <v>0</v>
      </c>
      <c r="F2427" s="1">
        <v>3.1726411207251752</v>
      </c>
      <c r="G2427" s="1">
        <v>3.1048467135382118E-2</v>
      </c>
    </row>
    <row r="2428" spans="1:7">
      <c r="A2428">
        <v>275</v>
      </c>
      <c r="B2428">
        <v>10</v>
      </c>
      <c r="C2428" s="1">
        <f>(Tabela1[[#This Row],[x]]-H$3)*(Tabela1[[#This Row],[x]]-H$3) +(Tabela1[[#This Row],[y]]-H$4)*(Tabela1[[#This Row],[y]]-H$4)</f>
        <v>41725</v>
      </c>
      <c r="D2428" s="1">
        <f>IF(Tabela1[[#This Row],[promien]]&lt;40000,1,0)</f>
        <v>0</v>
      </c>
      <c r="E2428" s="1">
        <f>IF(Tabela1[[#This Row],[promien]]=40000,1,0)</f>
        <v>0</v>
      </c>
      <c r="F2428" s="1">
        <v>3.1713344316309722</v>
      </c>
      <c r="G2428" s="1">
        <v>2.9741778041179057E-2</v>
      </c>
    </row>
    <row r="2429" spans="1:7">
      <c r="A2429">
        <v>38</v>
      </c>
      <c r="B2429">
        <v>87</v>
      </c>
      <c r="C2429" s="1">
        <f>(Tabela1[[#This Row],[x]]-H$3)*(Tabela1[[#This Row],[x]]-H$3) +(Tabela1[[#This Row],[y]]-H$4)*(Tabela1[[#This Row],[y]]-H$4)</f>
        <v>39013</v>
      </c>
      <c r="D2429" s="1">
        <f>IF(Tabela1[[#This Row],[promien]]&lt;40000,1,0)</f>
        <v>1</v>
      </c>
      <c r="E2429" s="1">
        <f>IF(Tabela1[[#This Row],[promien]]=40000,1,0)</f>
        <v>0</v>
      </c>
      <c r="F2429" s="1">
        <v>3.1716755866611774</v>
      </c>
      <c r="G2429" s="1">
        <v>3.0082933071384321E-2</v>
      </c>
    </row>
    <row r="2430" spans="1:7">
      <c r="A2430">
        <v>62</v>
      </c>
      <c r="B2430">
        <v>120</v>
      </c>
      <c r="C2430" s="1">
        <f>(Tabela1[[#This Row],[x]]-H$3)*(Tabela1[[#This Row],[x]]-H$3) +(Tabela1[[#This Row],[y]]-H$4)*(Tabela1[[#This Row],[y]]-H$4)</f>
        <v>25444</v>
      </c>
      <c r="D2430" s="1">
        <f>IF(Tabela1[[#This Row],[promien]]&lt;40000,1,0)</f>
        <v>1</v>
      </c>
      <c r="E2430" s="1">
        <f>IF(Tabela1[[#This Row],[promien]]=40000,1,0)</f>
        <v>0</v>
      </c>
      <c r="F2430" s="1">
        <v>3.1720164609053496</v>
      </c>
      <c r="G2430" s="1">
        <v>3.0423807315556495E-2</v>
      </c>
    </row>
    <row r="2431" spans="1:7">
      <c r="A2431">
        <v>224</v>
      </c>
      <c r="B2431">
        <v>94</v>
      </c>
      <c r="C2431" s="1">
        <f>(Tabela1[[#This Row],[x]]-H$3)*(Tabela1[[#This Row],[x]]-H$3) +(Tabela1[[#This Row],[y]]-H$4)*(Tabela1[[#This Row],[y]]-H$4)</f>
        <v>11812</v>
      </c>
      <c r="D2431" s="1">
        <f>IF(Tabela1[[#This Row],[promien]]&lt;40000,1,0)</f>
        <v>1</v>
      </c>
      <c r="E2431" s="1">
        <f>IF(Tabela1[[#This Row],[promien]]=40000,1,0)</f>
        <v>0</v>
      </c>
      <c r="F2431" s="1">
        <v>3.172357054709996</v>
      </c>
      <c r="G2431" s="1">
        <v>3.0764401120202844E-2</v>
      </c>
    </row>
    <row r="2432" spans="1:7">
      <c r="A2432">
        <v>97</v>
      </c>
      <c r="B2432">
        <v>192</v>
      </c>
      <c r="C2432" s="1">
        <f>(Tabela1[[#This Row],[x]]-H$3)*(Tabela1[[#This Row],[x]]-H$3) +(Tabela1[[#This Row],[y]]-H$4)*(Tabela1[[#This Row],[y]]-H$4)</f>
        <v>10673</v>
      </c>
      <c r="D2432" s="1">
        <f>IF(Tabela1[[#This Row],[promien]]&lt;40000,1,0)</f>
        <v>1</v>
      </c>
      <c r="E2432" s="1">
        <f>IF(Tabela1[[#This Row],[promien]]=40000,1,0)</f>
        <v>0</v>
      </c>
      <c r="F2432" s="1">
        <v>3.1726973684210527</v>
      </c>
      <c r="G2432" s="1">
        <v>3.1104714831259539E-2</v>
      </c>
    </row>
    <row r="2433" spans="1:7">
      <c r="A2433">
        <v>290</v>
      </c>
      <c r="B2433">
        <v>222</v>
      </c>
      <c r="C2433" s="1">
        <f>(Tabela1[[#This Row],[x]]-H$3)*(Tabela1[[#This Row],[x]]-H$3) +(Tabela1[[#This Row],[y]]-H$4)*(Tabela1[[#This Row],[y]]-H$4)</f>
        <v>8584</v>
      </c>
      <c r="D2433" s="1">
        <f>IF(Tabela1[[#This Row],[promien]]&lt;40000,1,0)</f>
        <v>1</v>
      </c>
      <c r="E2433" s="1">
        <f>IF(Tabela1[[#This Row],[promien]]=40000,1,0)</f>
        <v>0</v>
      </c>
      <c r="F2433" s="1">
        <v>3.1730374023838883</v>
      </c>
      <c r="G2433" s="1">
        <v>3.1444748794095201E-2</v>
      </c>
    </row>
    <row r="2434" spans="1:7">
      <c r="A2434">
        <v>383</v>
      </c>
      <c r="B2434">
        <v>238</v>
      </c>
      <c r="C2434" s="1">
        <f>(Tabela1[[#This Row],[x]]-H$3)*(Tabela1[[#This Row],[x]]-H$3) +(Tabela1[[#This Row],[y]]-H$4)*(Tabela1[[#This Row],[y]]-H$4)</f>
        <v>34933</v>
      </c>
      <c r="D2434" s="1">
        <f>IF(Tabela1[[#This Row],[promien]]&lt;40000,1,0)</f>
        <v>1</v>
      </c>
      <c r="E2434" s="1">
        <f>IF(Tabela1[[#This Row],[promien]]=40000,1,0)</f>
        <v>0</v>
      </c>
      <c r="F2434" s="1">
        <v>3.1733771569433031</v>
      </c>
      <c r="G2434" s="1">
        <v>3.1784503353510019E-2</v>
      </c>
    </row>
    <row r="2435" spans="1:7">
      <c r="A2435">
        <v>4</v>
      </c>
      <c r="B2435">
        <v>385</v>
      </c>
      <c r="C2435" s="1">
        <f>(Tabela1[[#This Row],[x]]-H$3)*(Tabela1[[#This Row],[x]]-H$3) +(Tabela1[[#This Row],[y]]-H$4)*(Tabela1[[#This Row],[y]]-H$4)</f>
        <v>72641</v>
      </c>
      <c r="D2435" s="1">
        <f>IF(Tabela1[[#This Row],[promien]]&lt;40000,1,0)</f>
        <v>0</v>
      </c>
      <c r="E2435" s="1">
        <f>IF(Tabela1[[#This Row],[promien]]=40000,1,0)</f>
        <v>0</v>
      </c>
      <c r="F2435" s="1">
        <v>3.1720739219712524</v>
      </c>
      <c r="G2435" s="1">
        <v>3.0481268381459259E-2</v>
      </c>
    </row>
    <row r="2436" spans="1:7">
      <c r="A2436">
        <v>380</v>
      </c>
      <c r="B2436">
        <v>357</v>
      </c>
      <c r="C2436" s="1">
        <f>(Tabela1[[#This Row],[x]]-H$3)*(Tabela1[[#This Row],[x]]-H$3) +(Tabela1[[#This Row],[y]]-H$4)*(Tabela1[[#This Row],[y]]-H$4)</f>
        <v>57049</v>
      </c>
      <c r="D2436" s="1">
        <f>IF(Tabela1[[#This Row],[promien]]&lt;40000,1,0)</f>
        <v>0</v>
      </c>
      <c r="E2436" s="1">
        <f>IF(Tabela1[[#This Row],[promien]]=40000,1,0)</f>
        <v>0</v>
      </c>
      <c r="F2436" s="1">
        <v>3.1707717569786533</v>
      </c>
      <c r="G2436" s="1">
        <v>2.9179103388860206E-2</v>
      </c>
    </row>
    <row r="2437" spans="1:7">
      <c r="A2437">
        <v>193</v>
      </c>
      <c r="B2437">
        <v>6</v>
      </c>
      <c r="C2437" s="1">
        <f>(Tabela1[[#This Row],[x]]-H$3)*(Tabela1[[#This Row],[x]]-H$3) +(Tabela1[[#This Row],[y]]-H$4)*(Tabela1[[#This Row],[y]]-H$4)</f>
        <v>37685</v>
      </c>
      <c r="D2437" s="1">
        <f>IF(Tabela1[[#This Row],[promien]]&lt;40000,1,0)</f>
        <v>1</v>
      </c>
      <c r="E2437" s="1">
        <f>IF(Tabela1[[#This Row],[promien]]=40000,1,0)</f>
        <v>0</v>
      </c>
      <c r="F2437" s="1">
        <v>3.1711120229790728</v>
      </c>
      <c r="G2437" s="1">
        <v>2.9519369389279682E-2</v>
      </c>
    </row>
    <row r="2438" spans="1:7">
      <c r="A2438">
        <v>391</v>
      </c>
      <c r="B2438">
        <v>89</v>
      </c>
      <c r="C2438" s="1">
        <f>(Tabela1[[#This Row],[x]]-H$3)*(Tabela1[[#This Row],[x]]-H$3) +(Tabela1[[#This Row],[y]]-H$4)*(Tabela1[[#This Row],[y]]-H$4)</f>
        <v>48802</v>
      </c>
      <c r="D2438" s="1">
        <f>IF(Tabela1[[#This Row],[promien]]&lt;40000,1,0)</f>
        <v>0</v>
      </c>
      <c r="E2438" s="1">
        <f>IF(Tabela1[[#This Row],[promien]]=40000,1,0)</f>
        <v>0</v>
      </c>
      <c r="F2438" s="1">
        <v>3.1698113207547172</v>
      </c>
      <c r="G2438" s="1">
        <v>2.8218667164924049E-2</v>
      </c>
    </row>
    <row r="2439" spans="1:7">
      <c r="A2439">
        <v>251</v>
      </c>
      <c r="B2439">
        <v>170</v>
      </c>
      <c r="C2439" s="1">
        <f>(Tabela1[[#This Row],[x]]-H$3)*(Tabela1[[#This Row],[x]]-H$3) +(Tabela1[[#This Row],[y]]-H$4)*(Tabela1[[#This Row],[y]]-H$4)</f>
        <v>3501</v>
      </c>
      <c r="D2439" s="1">
        <f>IF(Tabela1[[#This Row],[promien]]&lt;40000,1,0)</f>
        <v>1</v>
      </c>
      <c r="E2439" s="1">
        <f>IF(Tabela1[[#This Row],[promien]]=40000,1,0)</f>
        <v>0</v>
      </c>
      <c r="F2439" s="1">
        <v>3.1701517015170153</v>
      </c>
      <c r="G2439" s="1">
        <v>2.8559047927222192E-2</v>
      </c>
    </row>
    <row r="2440" spans="1:7">
      <c r="A2440">
        <v>87</v>
      </c>
      <c r="B2440">
        <v>158</v>
      </c>
      <c r="C2440" s="1">
        <f>(Tabela1[[#This Row],[x]]-H$3)*(Tabela1[[#This Row],[x]]-H$3) +(Tabela1[[#This Row],[y]]-H$4)*(Tabela1[[#This Row],[y]]-H$4)</f>
        <v>14533</v>
      </c>
      <c r="D2440" s="1">
        <f>IF(Tabela1[[#This Row],[promien]]&lt;40000,1,0)</f>
        <v>1</v>
      </c>
      <c r="E2440" s="1">
        <f>IF(Tabela1[[#This Row],[promien]]=40000,1,0)</f>
        <v>0</v>
      </c>
      <c r="F2440" s="1">
        <v>3.1704918032786886</v>
      </c>
      <c r="G2440" s="1">
        <v>2.8899149688895509E-2</v>
      </c>
    </row>
    <row r="2441" spans="1:7">
      <c r="A2441">
        <v>160</v>
      </c>
      <c r="B2441">
        <v>148</v>
      </c>
      <c r="C2441" s="1">
        <f>(Tabela1[[#This Row],[x]]-H$3)*(Tabela1[[#This Row],[x]]-H$3) +(Tabela1[[#This Row],[y]]-H$4)*(Tabela1[[#This Row],[y]]-H$4)</f>
        <v>4304</v>
      </c>
      <c r="D2441" s="1">
        <f>IF(Tabela1[[#This Row],[promien]]&lt;40000,1,0)</f>
        <v>1</v>
      </c>
      <c r="E2441" s="1">
        <f>IF(Tabela1[[#This Row],[promien]]=40000,1,0)</f>
        <v>0</v>
      </c>
      <c r="F2441" s="1">
        <v>3.1708316263826299</v>
      </c>
      <c r="G2441" s="1">
        <v>2.9238972792836826E-2</v>
      </c>
    </row>
    <row r="2442" spans="1:7">
      <c r="A2442">
        <v>390</v>
      </c>
      <c r="B2442">
        <v>303</v>
      </c>
      <c r="C2442" s="1">
        <f>(Tabela1[[#This Row],[x]]-H$3)*(Tabela1[[#This Row],[x]]-H$3) +(Tabela1[[#This Row],[y]]-H$4)*(Tabela1[[#This Row],[y]]-H$4)</f>
        <v>46709</v>
      </c>
      <c r="D2442" s="1">
        <f>IF(Tabela1[[#This Row],[promien]]&lt;40000,1,0)</f>
        <v>0</v>
      </c>
      <c r="E2442" s="1">
        <f>IF(Tabela1[[#This Row],[promien]]=40000,1,0)</f>
        <v>0</v>
      </c>
      <c r="F2442" s="1">
        <v>3.1695331695331697</v>
      </c>
      <c r="G2442" s="1">
        <v>2.7940515943376543E-2</v>
      </c>
    </row>
    <row r="2443" spans="1:7">
      <c r="A2443">
        <v>387</v>
      </c>
      <c r="B2443">
        <v>141</v>
      </c>
      <c r="C2443" s="1">
        <f>(Tabela1[[#This Row],[x]]-H$3)*(Tabela1[[#This Row],[x]]-H$3) +(Tabela1[[#This Row],[y]]-H$4)*(Tabela1[[#This Row],[y]]-H$4)</f>
        <v>38450</v>
      </c>
      <c r="D2443" s="1">
        <f>IF(Tabela1[[#This Row],[promien]]&lt;40000,1,0)</f>
        <v>1</v>
      </c>
      <c r="E2443" s="1">
        <f>IF(Tabela1[[#This Row],[promien]]=40000,1,0)</f>
        <v>0</v>
      </c>
      <c r="F2443" s="1">
        <v>3.1698731068358574</v>
      </c>
      <c r="G2443" s="1">
        <v>2.8280453246064319E-2</v>
      </c>
    </row>
    <row r="2444" spans="1:7">
      <c r="A2444">
        <v>282</v>
      </c>
      <c r="B2444">
        <v>78</v>
      </c>
      <c r="C2444" s="1">
        <f>(Tabela1[[#This Row],[x]]-H$3)*(Tabela1[[#This Row],[x]]-H$3) +(Tabela1[[#This Row],[y]]-H$4)*(Tabela1[[#This Row],[y]]-H$4)</f>
        <v>21608</v>
      </c>
      <c r="D2444" s="1">
        <f>IF(Tabela1[[#This Row],[promien]]&lt;40000,1,0)</f>
        <v>1</v>
      </c>
      <c r="E2444" s="1">
        <f>IF(Tabela1[[#This Row],[promien]]=40000,1,0)</f>
        <v>0</v>
      </c>
      <c r="F2444" s="1">
        <v>3.1702127659574466</v>
      </c>
      <c r="G2444" s="1">
        <v>2.8620112367653494E-2</v>
      </c>
    </row>
    <row r="2445" spans="1:7">
      <c r="A2445">
        <v>190</v>
      </c>
      <c r="B2445">
        <v>223</v>
      </c>
      <c r="C2445" s="1">
        <f>(Tabela1[[#This Row],[x]]-H$3)*(Tabela1[[#This Row],[x]]-H$3) +(Tabela1[[#This Row],[y]]-H$4)*(Tabela1[[#This Row],[y]]-H$4)</f>
        <v>629</v>
      </c>
      <c r="D2445" s="1">
        <f>IF(Tabela1[[#This Row],[promien]]&lt;40000,1,0)</f>
        <v>1</v>
      </c>
      <c r="E2445" s="1">
        <f>IF(Tabela1[[#This Row],[promien]]=40000,1,0)</f>
        <v>0</v>
      </c>
      <c r="F2445" s="1">
        <v>3.1705521472392637</v>
      </c>
      <c r="G2445" s="1">
        <v>2.8959493649470591E-2</v>
      </c>
    </row>
    <row r="2446" spans="1:7">
      <c r="A2446">
        <v>20</v>
      </c>
      <c r="B2446">
        <v>285</v>
      </c>
      <c r="C2446" s="1">
        <f>(Tabela1[[#This Row],[x]]-H$3)*(Tabela1[[#This Row],[x]]-H$3) +(Tabela1[[#This Row],[y]]-H$4)*(Tabela1[[#This Row],[y]]-H$4)</f>
        <v>39625</v>
      </c>
      <c r="D2446" s="1">
        <f>IF(Tabela1[[#This Row],[promien]]&lt;40000,1,0)</f>
        <v>1</v>
      </c>
      <c r="E2446" s="1">
        <f>IF(Tabela1[[#This Row],[promien]]=40000,1,0)</f>
        <v>0</v>
      </c>
      <c r="F2446" s="1">
        <v>3.170891251022077</v>
      </c>
      <c r="G2446" s="1">
        <v>2.9298597432283913E-2</v>
      </c>
    </row>
    <row r="2447" spans="1:7">
      <c r="A2447">
        <v>307</v>
      </c>
      <c r="B2447">
        <v>112</v>
      </c>
      <c r="C2447" s="1">
        <f>(Tabela1[[#This Row],[x]]-H$3)*(Tabela1[[#This Row],[x]]-H$3) +(Tabela1[[#This Row],[y]]-H$4)*(Tabela1[[#This Row],[y]]-H$4)</f>
        <v>19193</v>
      </c>
      <c r="D2447" s="1">
        <f>IF(Tabela1[[#This Row],[promien]]&lt;40000,1,0)</f>
        <v>1</v>
      </c>
      <c r="E2447" s="1">
        <f>IF(Tabela1[[#This Row],[promien]]=40000,1,0)</f>
        <v>0</v>
      </c>
      <c r="F2447" s="1">
        <v>3.1712300776460971</v>
      </c>
      <c r="G2447" s="1">
        <v>2.9637424056303985E-2</v>
      </c>
    </row>
    <row r="2448" spans="1:7">
      <c r="A2448">
        <v>239</v>
      </c>
      <c r="B2448">
        <v>381</v>
      </c>
      <c r="C2448" s="1">
        <f>(Tabela1[[#This Row],[x]]-H$3)*(Tabela1[[#This Row],[x]]-H$3) +(Tabela1[[#This Row],[y]]-H$4)*(Tabela1[[#This Row],[y]]-H$4)</f>
        <v>34282</v>
      </c>
      <c r="D2448" s="1">
        <f>IF(Tabela1[[#This Row],[promien]]&lt;40000,1,0)</f>
        <v>1</v>
      </c>
      <c r="E2448" s="1">
        <f>IF(Tabela1[[#This Row],[promien]]=40000,1,0)</f>
        <v>0</v>
      </c>
      <c r="F2448" s="1">
        <v>3.1715686274509802</v>
      </c>
      <c r="G2448" s="1">
        <v>2.9975973861187111E-2</v>
      </c>
    </row>
    <row r="2449" spans="1:7">
      <c r="A2449">
        <v>111</v>
      </c>
      <c r="B2449">
        <v>141</v>
      </c>
      <c r="C2449" s="1">
        <f>(Tabela1[[#This Row],[x]]-H$3)*(Tabela1[[#This Row],[x]]-H$3) +(Tabela1[[#This Row],[y]]-H$4)*(Tabela1[[#This Row],[y]]-H$4)</f>
        <v>11402</v>
      </c>
      <c r="D2449" s="1">
        <f>IF(Tabela1[[#This Row],[promien]]&lt;40000,1,0)</f>
        <v>1</v>
      </c>
      <c r="E2449" s="1">
        <f>IF(Tabela1[[#This Row],[promien]]=40000,1,0)</f>
        <v>0</v>
      </c>
      <c r="F2449" s="1">
        <v>3.1719069007758267</v>
      </c>
      <c r="G2449" s="1">
        <v>3.0314247186033594E-2</v>
      </c>
    </row>
    <row r="2450" spans="1:7">
      <c r="A2450">
        <v>280</v>
      </c>
      <c r="B2450">
        <v>290</v>
      </c>
      <c r="C2450" s="1">
        <f>(Tabela1[[#This Row],[x]]-H$3)*(Tabela1[[#This Row],[x]]-H$3) +(Tabela1[[#This Row],[y]]-H$4)*(Tabela1[[#This Row],[y]]-H$4)</f>
        <v>14500</v>
      </c>
      <c r="D2450" s="1">
        <f>IF(Tabela1[[#This Row],[promien]]&lt;40000,1,0)</f>
        <v>1</v>
      </c>
      <c r="E2450" s="1">
        <f>IF(Tabela1[[#This Row],[promien]]=40000,1,0)</f>
        <v>0</v>
      </c>
      <c r="F2450" s="1">
        <v>3.1722448979591835</v>
      </c>
      <c r="G2450" s="1">
        <v>3.0652244369390402E-2</v>
      </c>
    </row>
    <row r="2451" spans="1:7">
      <c r="A2451">
        <v>237</v>
      </c>
      <c r="B2451">
        <v>300</v>
      </c>
      <c r="C2451" s="1">
        <f>(Tabela1[[#This Row],[x]]-H$3)*(Tabela1[[#This Row],[x]]-H$3) +(Tabela1[[#This Row],[y]]-H$4)*(Tabela1[[#This Row],[y]]-H$4)</f>
        <v>11369</v>
      </c>
      <c r="D2451" s="1">
        <f>IF(Tabela1[[#This Row],[promien]]&lt;40000,1,0)</f>
        <v>1</v>
      </c>
      <c r="E2451" s="1">
        <f>IF(Tabela1[[#This Row],[promien]]=40000,1,0)</f>
        <v>0</v>
      </c>
      <c r="F2451" s="1">
        <v>3.1725826193390452</v>
      </c>
      <c r="G2451" s="1">
        <v>3.0989965749252057E-2</v>
      </c>
    </row>
    <row r="2452" spans="1:7">
      <c r="A2452">
        <v>392</v>
      </c>
      <c r="B2452">
        <v>159</v>
      </c>
      <c r="C2452" s="1">
        <f>(Tabela1[[#This Row],[x]]-H$3)*(Tabela1[[#This Row],[x]]-H$3) +(Tabela1[[#This Row],[y]]-H$4)*(Tabela1[[#This Row],[y]]-H$4)</f>
        <v>38545</v>
      </c>
      <c r="D2452" s="1">
        <f>IF(Tabela1[[#This Row],[promien]]&lt;40000,1,0)</f>
        <v>1</v>
      </c>
      <c r="E2452" s="1">
        <f>IF(Tabela1[[#This Row],[promien]]=40000,1,0)</f>
        <v>0</v>
      </c>
      <c r="F2452" s="1">
        <v>3.1729200652528546</v>
      </c>
      <c r="G2452" s="1">
        <v>3.1327411663061522E-2</v>
      </c>
    </row>
    <row r="2453" spans="1:7">
      <c r="A2453">
        <v>197</v>
      </c>
      <c r="B2453">
        <v>222</v>
      </c>
      <c r="C2453" s="1">
        <f>(Tabela1[[#This Row],[x]]-H$3)*(Tabela1[[#This Row],[x]]-H$3) +(Tabela1[[#This Row],[y]]-H$4)*(Tabela1[[#This Row],[y]]-H$4)</f>
        <v>493</v>
      </c>
      <c r="D2453" s="1">
        <f>IF(Tabela1[[#This Row],[promien]]&lt;40000,1,0)</f>
        <v>1</v>
      </c>
      <c r="E2453" s="1">
        <f>IF(Tabela1[[#This Row],[promien]]=40000,1,0)</f>
        <v>0</v>
      </c>
      <c r="F2453" s="1">
        <v>3.1732572360375051</v>
      </c>
      <c r="G2453" s="1">
        <v>3.1664582447711975E-2</v>
      </c>
    </row>
    <row r="2454" spans="1:7">
      <c r="A2454">
        <v>146</v>
      </c>
      <c r="B2454">
        <v>288</v>
      </c>
      <c r="C2454" s="1">
        <f>(Tabela1[[#This Row],[x]]-H$3)*(Tabela1[[#This Row],[x]]-H$3) +(Tabela1[[#This Row],[y]]-H$4)*(Tabela1[[#This Row],[y]]-H$4)</f>
        <v>10660</v>
      </c>
      <c r="D2454" s="1">
        <f>IF(Tabela1[[#This Row],[promien]]&lt;40000,1,0)</f>
        <v>1</v>
      </c>
      <c r="E2454" s="1">
        <f>IF(Tabela1[[#This Row],[promien]]=40000,1,0)</f>
        <v>0</v>
      </c>
      <c r="F2454" s="1">
        <v>3.1735941320293399</v>
      </c>
      <c r="G2454" s="1">
        <v>3.2001478439546815E-2</v>
      </c>
    </row>
    <row r="2455" spans="1:7">
      <c r="A2455">
        <v>280</v>
      </c>
      <c r="B2455">
        <v>249</v>
      </c>
      <c r="C2455" s="1">
        <f>(Tabela1[[#This Row],[x]]-H$3)*(Tabela1[[#This Row],[x]]-H$3) +(Tabela1[[#This Row],[y]]-H$4)*(Tabela1[[#This Row],[y]]-H$4)</f>
        <v>8801</v>
      </c>
      <c r="D2455" s="1">
        <f>IF(Tabela1[[#This Row],[promien]]&lt;40000,1,0)</f>
        <v>1</v>
      </c>
      <c r="E2455" s="1">
        <f>IF(Tabela1[[#This Row],[promien]]=40000,1,0)</f>
        <v>0</v>
      </c>
      <c r="F2455" s="1">
        <v>3.173930753564155</v>
      </c>
      <c r="G2455" s="1">
        <v>3.2338099974361878E-2</v>
      </c>
    </row>
    <row r="2456" spans="1:7">
      <c r="A2456">
        <v>391</v>
      </c>
      <c r="B2456">
        <v>286</v>
      </c>
      <c r="C2456" s="1">
        <f>(Tabela1[[#This Row],[x]]-H$3)*(Tabela1[[#This Row],[x]]-H$3) +(Tabela1[[#This Row],[y]]-H$4)*(Tabela1[[#This Row],[y]]-H$4)</f>
        <v>43877</v>
      </c>
      <c r="D2456" s="1">
        <f>IF(Tabela1[[#This Row],[promien]]&lt;40000,1,0)</f>
        <v>0</v>
      </c>
      <c r="E2456" s="1">
        <f>IF(Tabela1[[#This Row],[promien]]=40000,1,0)</f>
        <v>0</v>
      </c>
      <c r="F2456" s="1">
        <v>3.1726384364820848</v>
      </c>
      <c r="G2456" s="1">
        <v>3.1045782892291651E-2</v>
      </c>
    </row>
    <row r="2457" spans="1:7">
      <c r="A2457">
        <v>207</v>
      </c>
      <c r="B2457">
        <v>122</v>
      </c>
      <c r="C2457" s="1">
        <f>(Tabela1[[#This Row],[x]]-H$3)*(Tabela1[[#This Row],[x]]-H$3) +(Tabela1[[#This Row],[y]]-H$4)*(Tabela1[[#This Row],[y]]-H$4)</f>
        <v>6133</v>
      </c>
      <c r="D2457" s="1">
        <f>IF(Tabela1[[#This Row],[promien]]&lt;40000,1,0)</f>
        <v>1</v>
      </c>
      <c r="E2457" s="1">
        <f>IF(Tabela1[[#This Row],[promien]]=40000,1,0)</f>
        <v>0</v>
      </c>
      <c r="F2457" s="1">
        <v>3.172975172975173</v>
      </c>
      <c r="G2457" s="1">
        <v>3.1382519385379837E-2</v>
      </c>
    </row>
    <row r="2458" spans="1:7">
      <c r="A2458">
        <v>119</v>
      </c>
      <c r="B2458">
        <v>245</v>
      </c>
      <c r="C2458" s="1">
        <f>(Tabela1[[#This Row],[x]]-H$3)*(Tabela1[[#This Row],[x]]-H$3) +(Tabela1[[#This Row],[y]]-H$4)*(Tabela1[[#This Row],[y]]-H$4)</f>
        <v>8586</v>
      </c>
      <c r="D2458" s="1">
        <f>IF(Tabela1[[#This Row],[promien]]&lt;40000,1,0)</f>
        <v>1</v>
      </c>
      <c r="E2458" s="1">
        <f>IF(Tabela1[[#This Row],[promien]]=40000,1,0)</f>
        <v>0</v>
      </c>
      <c r="F2458" s="1">
        <v>3.1733116354759967</v>
      </c>
      <c r="G2458" s="1">
        <v>3.171898188620359E-2</v>
      </c>
    </row>
    <row r="2459" spans="1:7">
      <c r="A2459">
        <v>223</v>
      </c>
      <c r="B2459">
        <v>263</v>
      </c>
      <c r="C2459" s="1">
        <f>(Tabela1[[#This Row],[x]]-H$3)*(Tabela1[[#This Row],[x]]-H$3) +(Tabela1[[#This Row],[y]]-H$4)*(Tabela1[[#This Row],[y]]-H$4)</f>
        <v>4498</v>
      </c>
      <c r="D2459" s="1">
        <f>IF(Tabela1[[#This Row],[promien]]&lt;40000,1,0)</f>
        <v>1</v>
      </c>
      <c r="E2459" s="1">
        <f>IF(Tabela1[[#This Row],[promien]]=40000,1,0)</f>
        <v>0</v>
      </c>
      <c r="F2459" s="1">
        <v>3.1736478243188286</v>
      </c>
      <c r="G2459" s="1">
        <v>3.205517072903552E-2</v>
      </c>
    </row>
    <row r="2460" spans="1:7">
      <c r="A2460">
        <v>103</v>
      </c>
      <c r="B2460">
        <v>96</v>
      </c>
      <c r="C2460" s="1">
        <f>(Tabela1[[#This Row],[x]]-H$3)*(Tabela1[[#This Row],[x]]-H$3) +(Tabela1[[#This Row],[y]]-H$4)*(Tabela1[[#This Row],[y]]-H$4)</f>
        <v>20225</v>
      </c>
      <c r="D2460" s="1">
        <f>IF(Tabela1[[#This Row],[promien]]&lt;40000,1,0)</f>
        <v>1</v>
      </c>
      <c r="E2460" s="1">
        <f>IF(Tabela1[[#This Row],[promien]]=40000,1,0)</f>
        <v>0</v>
      </c>
      <c r="F2460" s="1">
        <v>3.1739837398373982</v>
      </c>
      <c r="G2460" s="1">
        <v>3.2391086247605116E-2</v>
      </c>
    </row>
    <row r="2461" spans="1:7">
      <c r="A2461">
        <v>144</v>
      </c>
      <c r="B2461">
        <v>128</v>
      </c>
      <c r="C2461" s="1">
        <f>(Tabela1[[#This Row],[x]]-H$3)*(Tabela1[[#This Row],[x]]-H$3) +(Tabela1[[#This Row],[y]]-H$4)*(Tabela1[[#This Row],[y]]-H$4)</f>
        <v>8320</v>
      </c>
      <c r="D2461" s="1">
        <f>IF(Tabela1[[#This Row],[promien]]&lt;40000,1,0)</f>
        <v>1</v>
      </c>
      <c r="E2461" s="1">
        <f>IF(Tabela1[[#This Row],[promien]]=40000,1,0)</f>
        <v>0</v>
      </c>
      <c r="F2461" s="1">
        <v>3.1743193823648923</v>
      </c>
      <c r="G2461" s="1">
        <v>3.272672877509919E-2</v>
      </c>
    </row>
    <row r="2462" spans="1:7">
      <c r="A2462">
        <v>366</v>
      </c>
      <c r="B2462">
        <v>95</v>
      </c>
      <c r="C2462" s="1">
        <f>(Tabela1[[#This Row],[x]]-H$3)*(Tabela1[[#This Row],[x]]-H$3) +(Tabela1[[#This Row],[y]]-H$4)*(Tabela1[[#This Row],[y]]-H$4)</f>
        <v>38581</v>
      </c>
      <c r="D2462" s="1">
        <f>IF(Tabela1[[#This Row],[promien]]&lt;40000,1,0)</f>
        <v>1</v>
      </c>
      <c r="E2462" s="1">
        <f>IF(Tabela1[[#This Row],[promien]]=40000,1,0)</f>
        <v>0</v>
      </c>
      <c r="F2462" s="1">
        <v>3.1746547522339563</v>
      </c>
      <c r="G2462" s="1">
        <v>3.3062098644163207E-2</v>
      </c>
    </row>
    <row r="2463" spans="1:7">
      <c r="A2463">
        <v>140</v>
      </c>
      <c r="B2463">
        <v>348</v>
      </c>
      <c r="C2463" s="1">
        <f>(Tabela1[[#This Row],[x]]-H$3)*(Tabela1[[#This Row],[x]]-H$3) +(Tabela1[[#This Row],[y]]-H$4)*(Tabela1[[#This Row],[y]]-H$4)</f>
        <v>25504</v>
      </c>
      <c r="D2463" s="1">
        <f>IF(Tabela1[[#This Row],[promien]]&lt;40000,1,0)</f>
        <v>1</v>
      </c>
      <c r="E2463" s="1">
        <f>IF(Tabela1[[#This Row],[promien]]=40000,1,0)</f>
        <v>0</v>
      </c>
      <c r="F2463" s="1">
        <v>3.1749898497766953</v>
      </c>
      <c r="G2463" s="1">
        <v>3.3397196186902178E-2</v>
      </c>
    </row>
    <row r="2464" spans="1:7">
      <c r="A2464">
        <v>117</v>
      </c>
      <c r="B2464">
        <v>56</v>
      </c>
      <c r="C2464" s="1">
        <f>(Tabela1[[#This Row],[x]]-H$3)*(Tabela1[[#This Row],[x]]-H$3) +(Tabela1[[#This Row],[y]]-H$4)*(Tabela1[[#This Row],[y]]-H$4)</f>
        <v>27625</v>
      </c>
      <c r="D2464" s="1">
        <f>IF(Tabela1[[#This Row],[promien]]&lt;40000,1,0)</f>
        <v>1</v>
      </c>
      <c r="E2464" s="1">
        <f>IF(Tabela1[[#This Row],[promien]]=40000,1,0)</f>
        <v>0</v>
      </c>
      <c r="F2464" s="1">
        <v>3.1753246753246751</v>
      </c>
      <c r="G2464" s="1">
        <v>3.373202173488199E-2</v>
      </c>
    </row>
    <row r="2465" spans="1:7">
      <c r="A2465">
        <v>247</v>
      </c>
      <c r="B2465">
        <v>233</v>
      </c>
      <c r="C2465" s="1">
        <f>(Tabela1[[#This Row],[x]]-H$3)*(Tabela1[[#This Row],[x]]-H$3) +(Tabela1[[#This Row],[y]]-H$4)*(Tabela1[[#This Row],[y]]-H$4)</f>
        <v>3298</v>
      </c>
      <c r="D2465" s="1">
        <f>IF(Tabela1[[#This Row],[promien]]&lt;40000,1,0)</f>
        <v>1</v>
      </c>
      <c r="E2465" s="1">
        <f>IF(Tabela1[[#This Row],[promien]]=40000,1,0)</f>
        <v>0</v>
      </c>
      <c r="F2465" s="1">
        <v>3.1756592292089247</v>
      </c>
      <c r="G2465" s="1">
        <v>3.4066575619131623E-2</v>
      </c>
    </row>
    <row r="2466" spans="1:7">
      <c r="A2466">
        <v>317</v>
      </c>
      <c r="B2466">
        <v>139</v>
      </c>
      <c r="C2466" s="1">
        <f>(Tabela1[[#This Row],[x]]-H$3)*(Tabela1[[#This Row],[x]]-H$3) +(Tabela1[[#This Row],[y]]-H$4)*(Tabela1[[#This Row],[y]]-H$4)</f>
        <v>17410</v>
      </c>
      <c r="D2466" s="1">
        <f>IF(Tabela1[[#This Row],[promien]]&lt;40000,1,0)</f>
        <v>1</v>
      </c>
      <c r="E2466" s="1">
        <f>IF(Tabela1[[#This Row],[promien]]=40000,1,0)</f>
        <v>0</v>
      </c>
      <c r="F2466" s="1">
        <v>3.1759935117599349</v>
      </c>
      <c r="G2466" s="1">
        <v>3.4400858170141824E-2</v>
      </c>
    </row>
    <row r="2467" spans="1:7">
      <c r="A2467">
        <v>115</v>
      </c>
      <c r="B2467">
        <v>110</v>
      </c>
      <c r="C2467" s="1">
        <f>(Tabela1[[#This Row],[x]]-H$3)*(Tabela1[[#This Row],[x]]-H$3) +(Tabela1[[#This Row],[y]]-H$4)*(Tabela1[[#This Row],[y]]-H$4)</f>
        <v>15325</v>
      </c>
      <c r="D2467" s="1">
        <f>IF(Tabela1[[#This Row],[promien]]&lt;40000,1,0)</f>
        <v>1</v>
      </c>
      <c r="E2467" s="1">
        <f>IF(Tabela1[[#This Row],[promien]]=40000,1,0)</f>
        <v>0</v>
      </c>
      <c r="F2467" s="1">
        <v>3.1763275233076613</v>
      </c>
      <c r="G2467" s="1">
        <v>3.4734869717868211E-2</v>
      </c>
    </row>
    <row r="2468" spans="1:7">
      <c r="A2468">
        <v>189</v>
      </c>
      <c r="B2468">
        <v>161</v>
      </c>
      <c r="C2468" s="1">
        <f>(Tabela1[[#This Row],[x]]-H$3)*(Tabela1[[#This Row],[x]]-H$3) +(Tabela1[[#This Row],[y]]-H$4)*(Tabela1[[#This Row],[y]]-H$4)</f>
        <v>1642</v>
      </c>
      <c r="D2468" s="1">
        <f>IF(Tabela1[[#This Row],[promien]]&lt;40000,1,0)</f>
        <v>1</v>
      </c>
      <c r="E2468" s="1">
        <f>IF(Tabela1[[#This Row],[promien]]=40000,1,0)</f>
        <v>0</v>
      </c>
      <c r="F2468" s="1">
        <v>3.1766612641815235</v>
      </c>
      <c r="G2468" s="1">
        <v>3.5068610591730387E-2</v>
      </c>
    </row>
    <row r="2469" spans="1:7">
      <c r="A2469">
        <v>128</v>
      </c>
      <c r="B2469">
        <v>124</v>
      </c>
      <c r="C2469" s="1">
        <f>(Tabela1[[#This Row],[x]]-H$3)*(Tabela1[[#This Row],[x]]-H$3) +(Tabela1[[#This Row],[y]]-H$4)*(Tabela1[[#This Row],[y]]-H$4)</f>
        <v>10960</v>
      </c>
      <c r="D2469" s="1">
        <f>IF(Tabela1[[#This Row],[promien]]&lt;40000,1,0)</f>
        <v>1</v>
      </c>
      <c r="E2469" s="1">
        <f>IF(Tabela1[[#This Row],[promien]]=40000,1,0)</f>
        <v>0</v>
      </c>
      <c r="F2469" s="1">
        <v>3.1769947347104091</v>
      </c>
      <c r="G2469" s="1">
        <v>3.5402081120615936E-2</v>
      </c>
    </row>
    <row r="2470" spans="1:7">
      <c r="A2470">
        <v>383</v>
      </c>
      <c r="B2470">
        <v>207</v>
      </c>
      <c r="C2470" s="1">
        <f>(Tabela1[[#This Row],[x]]-H$3)*(Tabela1[[#This Row],[x]]-H$3) +(Tabela1[[#This Row],[y]]-H$4)*(Tabela1[[#This Row],[y]]-H$4)</f>
        <v>33538</v>
      </c>
      <c r="D2470" s="1">
        <f>IF(Tabela1[[#This Row],[promien]]&lt;40000,1,0)</f>
        <v>1</v>
      </c>
      <c r="E2470" s="1">
        <f>IF(Tabela1[[#This Row],[promien]]=40000,1,0)</f>
        <v>0</v>
      </c>
      <c r="F2470" s="1">
        <v>3.1773279352226722</v>
      </c>
      <c r="G2470" s="1">
        <v>3.573528163287909E-2</v>
      </c>
    </row>
    <row r="2471" spans="1:7">
      <c r="A2471">
        <v>58</v>
      </c>
      <c r="B2471">
        <v>169</v>
      </c>
      <c r="C2471" s="1">
        <f>(Tabela1[[#This Row],[x]]-H$3)*(Tabela1[[#This Row],[x]]-H$3) +(Tabela1[[#This Row],[y]]-H$4)*(Tabela1[[#This Row],[y]]-H$4)</f>
        <v>21125</v>
      </c>
      <c r="D2471" s="1">
        <f>IF(Tabela1[[#This Row],[promien]]&lt;40000,1,0)</f>
        <v>1</v>
      </c>
      <c r="E2471" s="1">
        <f>IF(Tabela1[[#This Row],[promien]]=40000,1,0)</f>
        <v>0</v>
      </c>
      <c r="F2471" s="1">
        <v>3.1776608660461352</v>
      </c>
      <c r="G2471" s="1">
        <v>3.6068212456342064E-2</v>
      </c>
    </row>
    <row r="2472" spans="1:7">
      <c r="A2472">
        <v>119</v>
      </c>
      <c r="B2472">
        <v>131</v>
      </c>
      <c r="C2472" s="1">
        <f>(Tabela1[[#This Row],[x]]-H$3)*(Tabela1[[#This Row],[x]]-H$3) +(Tabela1[[#This Row],[y]]-H$4)*(Tabela1[[#This Row],[y]]-H$4)</f>
        <v>11322</v>
      </c>
      <c r="D2472" s="1">
        <f>IF(Tabela1[[#This Row],[promien]]&lt;40000,1,0)</f>
        <v>1</v>
      </c>
      <c r="E2472" s="1">
        <f>IF(Tabela1[[#This Row],[promien]]=40000,1,0)</f>
        <v>0</v>
      </c>
      <c r="F2472" s="1">
        <v>3.1779935275080908</v>
      </c>
      <c r="G2472" s="1">
        <v>3.6400873918297716E-2</v>
      </c>
    </row>
    <row r="2473" spans="1:7">
      <c r="A2473">
        <v>329</v>
      </c>
      <c r="B2473">
        <v>48</v>
      </c>
      <c r="C2473" s="1">
        <f>(Tabela1[[#This Row],[x]]-H$3)*(Tabela1[[#This Row],[x]]-H$3) +(Tabela1[[#This Row],[y]]-H$4)*(Tabela1[[#This Row],[y]]-H$4)</f>
        <v>39745</v>
      </c>
      <c r="D2473" s="1">
        <f>IF(Tabela1[[#This Row],[promien]]&lt;40000,1,0)</f>
        <v>1</v>
      </c>
      <c r="E2473" s="1">
        <f>IF(Tabela1[[#This Row],[promien]]=40000,1,0)</f>
        <v>0</v>
      </c>
      <c r="F2473" s="1">
        <v>3.1783259199353013</v>
      </c>
      <c r="G2473" s="1">
        <v>3.673326634550822E-2</v>
      </c>
    </row>
    <row r="2474" spans="1:7">
      <c r="A2474">
        <v>50</v>
      </c>
      <c r="B2474">
        <v>73</v>
      </c>
      <c r="C2474" s="1">
        <f>(Tabela1[[#This Row],[x]]-H$3)*(Tabela1[[#This Row],[x]]-H$3) +(Tabela1[[#This Row],[y]]-H$4)*(Tabela1[[#This Row],[y]]-H$4)</f>
        <v>38629</v>
      </c>
      <c r="D2474" s="1">
        <f>IF(Tabela1[[#This Row],[promien]]&lt;40000,1,0)</f>
        <v>1</v>
      </c>
      <c r="E2474" s="1">
        <f>IF(Tabela1[[#This Row],[promien]]=40000,1,0)</f>
        <v>0</v>
      </c>
      <c r="F2474" s="1">
        <v>3.1786580436540017</v>
      </c>
      <c r="G2474" s="1">
        <v>3.7065390064208614E-2</v>
      </c>
    </row>
    <row r="2475" spans="1:7">
      <c r="A2475">
        <v>352</v>
      </c>
      <c r="B2475">
        <v>325</v>
      </c>
      <c r="C2475" s="1">
        <f>(Tabela1[[#This Row],[x]]-H$3)*(Tabela1[[#This Row],[x]]-H$3) +(Tabela1[[#This Row],[y]]-H$4)*(Tabela1[[#This Row],[y]]-H$4)</f>
        <v>38729</v>
      </c>
      <c r="D2475" s="1">
        <f>IF(Tabela1[[#This Row],[promien]]&lt;40000,1,0)</f>
        <v>1</v>
      </c>
      <c r="E2475" s="1">
        <f>IF(Tabela1[[#This Row],[promien]]=40000,1,0)</f>
        <v>0</v>
      </c>
      <c r="F2475" s="1">
        <v>3.178989898989899</v>
      </c>
      <c r="G2475" s="1">
        <v>3.7397245400105916E-2</v>
      </c>
    </row>
    <row r="2476" spans="1:7">
      <c r="A2476">
        <v>80</v>
      </c>
      <c r="B2476">
        <v>73</v>
      </c>
      <c r="C2476" s="1">
        <f>(Tabela1[[#This Row],[x]]-H$3)*(Tabela1[[#This Row],[x]]-H$3) +(Tabela1[[#This Row],[y]]-H$4)*(Tabela1[[#This Row],[y]]-H$4)</f>
        <v>30529</v>
      </c>
      <c r="D2476" s="1">
        <f>IF(Tabela1[[#This Row],[promien]]&lt;40000,1,0)</f>
        <v>1</v>
      </c>
      <c r="E2476" s="1">
        <f>IF(Tabela1[[#This Row],[promien]]=40000,1,0)</f>
        <v>0</v>
      </c>
      <c r="F2476" s="1">
        <v>3.1793214862681745</v>
      </c>
      <c r="G2476" s="1">
        <v>3.7728832678381341E-2</v>
      </c>
    </row>
    <row r="2477" spans="1:7">
      <c r="A2477">
        <v>128</v>
      </c>
      <c r="B2477">
        <v>125</v>
      </c>
      <c r="C2477" s="1">
        <f>(Tabela1[[#This Row],[x]]-H$3)*(Tabela1[[#This Row],[x]]-H$3) +(Tabela1[[#This Row],[y]]-H$4)*(Tabela1[[#This Row],[y]]-H$4)</f>
        <v>10809</v>
      </c>
      <c r="D2477" s="1">
        <f>IF(Tabela1[[#This Row],[promien]]&lt;40000,1,0)</f>
        <v>1</v>
      </c>
      <c r="E2477" s="1">
        <f>IF(Tabela1[[#This Row],[promien]]=40000,1,0)</f>
        <v>0</v>
      </c>
      <c r="F2477" s="1">
        <v>3.1796528058134839</v>
      </c>
      <c r="G2477" s="1">
        <v>3.8060152223690746E-2</v>
      </c>
    </row>
    <row r="2478" spans="1:7">
      <c r="A2478">
        <v>241</v>
      </c>
      <c r="B2478">
        <v>47</v>
      </c>
      <c r="C2478" s="1">
        <f>(Tabela1[[#This Row],[x]]-H$3)*(Tabela1[[#This Row],[x]]-H$3) +(Tabela1[[#This Row],[y]]-H$4)*(Tabela1[[#This Row],[y]]-H$4)</f>
        <v>25090</v>
      </c>
      <c r="D2478" s="1">
        <f>IF(Tabela1[[#This Row],[promien]]&lt;40000,1,0)</f>
        <v>1</v>
      </c>
      <c r="E2478" s="1">
        <f>IF(Tabela1[[#This Row],[promien]]=40000,1,0)</f>
        <v>0</v>
      </c>
      <c r="F2478" s="1">
        <v>3.1799838579499595</v>
      </c>
      <c r="G2478" s="1">
        <v>3.8391204360166409E-2</v>
      </c>
    </row>
    <row r="2479" spans="1:7">
      <c r="A2479">
        <v>238</v>
      </c>
      <c r="B2479">
        <v>140</v>
      </c>
      <c r="C2479" s="1">
        <f>(Tabela1[[#This Row],[x]]-H$3)*(Tabela1[[#This Row],[x]]-H$3) +(Tabela1[[#This Row],[y]]-H$4)*(Tabela1[[#This Row],[y]]-H$4)</f>
        <v>5044</v>
      </c>
      <c r="D2479" s="1">
        <f>IF(Tabela1[[#This Row],[promien]]&lt;40000,1,0)</f>
        <v>1</v>
      </c>
      <c r="E2479" s="1">
        <f>IF(Tabela1[[#This Row],[promien]]=40000,1,0)</f>
        <v>0</v>
      </c>
      <c r="F2479" s="1">
        <v>3.1803146430012101</v>
      </c>
      <c r="G2479" s="1">
        <v>3.8721989411417024E-2</v>
      </c>
    </row>
    <row r="2480" spans="1:7">
      <c r="A2480">
        <v>76</v>
      </c>
      <c r="B2480">
        <v>239</v>
      </c>
      <c r="C2480" s="1">
        <f>(Tabela1[[#This Row],[x]]-H$3)*(Tabela1[[#This Row],[x]]-H$3) +(Tabela1[[#This Row],[y]]-H$4)*(Tabela1[[#This Row],[y]]-H$4)</f>
        <v>16897</v>
      </c>
      <c r="D2480" s="1">
        <f>IF(Tabela1[[#This Row],[promien]]&lt;40000,1,0)</f>
        <v>1</v>
      </c>
      <c r="E2480" s="1">
        <f>IF(Tabela1[[#This Row],[promien]]=40000,1,0)</f>
        <v>0</v>
      </c>
      <c r="F2480" s="1">
        <v>3.1806451612903226</v>
      </c>
      <c r="G2480" s="1">
        <v>3.9052507700529482E-2</v>
      </c>
    </row>
    <row r="2481" spans="1:7">
      <c r="A2481">
        <v>62</v>
      </c>
      <c r="B2481">
        <v>366</v>
      </c>
      <c r="C2481" s="1">
        <f>(Tabela1[[#This Row],[x]]-H$3)*(Tabela1[[#This Row],[x]]-H$3) +(Tabela1[[#This Row],[y]]-H$4)*(Tabela1[[#This Row],[y]]-H$4)</f>
        <v>46600</v>
      </c>
      <c r="D2481" s="1">
        <f>IF(Tabela1[[#This Row],[promien]]&lt;40000,1,0)</f>
        <v>0</v>
      </c>
      <c r="E2481" s="1">
        <f>IF(Tabela1[[#This Row],[promien]]=40000,1,0)</f>
        <v>0</v>
      </c>
      <c r="F2481" s="1">
        <v>3.1793631600161225</v>
      </c>
      <c r="G2481" s="1">
        <v>3.7770506426329398E-2</v>
      </c>
    </row>
    <row r="2482" spans="1:7">
      <c r="A2482">
        <v>227</v>
      </c>
      <c r="B2482">
        <v>239</v>
      </c>
      <c r="C2482" s="1">
        <f>(Tabela1[[#This Row],[x]]-H$3)*(Tabela1[[#This Row],[x]]-H$3) +(Tabela1[[#This Row],[y]]-H$4)*(Tabela1[[#This Row],[y]]-H$4)</f>
        <v>2250</v>
      </c>
      <c r="D2482" s="1">
        <f>IF(Tabela1[[#This Row],[promien]]&lt;40000,1,0)</f>
        <v>1</v>
      </c>
      <c r="E2482" s="1">
        <f>IF(Tabela1[[#This Row],[promien]]=40000,1,0)</f>
        <v>0</v>
      </c>
      <c r="F2482" s="1">
        <v>3.1796937953263495</v>
      </c>
      <c r="G2482" s="1">
        <v>3.8101141736556432E-2</v>
      </c>
    </row>
    <row r="2483" spans="1:7">
      <c r="A2483">
        <v>333</v>
      </c>
      <c r="B2483">
        <v>343</v>
      </c>
      <c r="C2483" s="1">
        <f>(Tabela1[[#This Row],[x]]-H$3)*(Tabela1[[#This Row],[x]]-H$3) +(Tabela1[[#This Row],[y]]-H$4)*(Tabela1[[#This Row],[y]]-H$4)</f>
        <v>38138</v>
      </c>
      <c r="D2483" s="1">
        <f>IF(Tabela1[[#This Row],[promien]]&lt;40000,1,0)</f>
        <v>1</v>
      </c>
      <c r="E2483" s="1">
        <f>IF(Tabela1[[#This Row],[promien]]=40000,1,0)</f>
        <v>0</v>
      </c>
      <c r="F2483" s="1">
        <v>3.1800241643173579</v>
      </c>
      <c r="G2483" s="1">
        <v>3.8431510727564788E-2</v>
      </c>
    </row>
    <row r="2484" spans="1:7">
      <c r="A2484">
        <v>21</v>
      </c>
      <c r="B2484">
        <v>219</v>
      </c>
      <c r="C2484" s="1">
        <f>(Tabela1[[#This Row],[x]]-H$3)*(Tabela1[[#This Row],[x]]-H$3) +(Tabela1[[#This Row],[y]]-H$4)*(Tabela1[[#This Row],[y]]-H$4)</f>
        <v>32402</v>
      </c>
      <c r="D2484" s="1">
        <f>IF(Tabela1[[#This Row],[promien]]&lt;40000,1,0)</f>
        <v>1</v>
      </c>
      <c r="E2484" s="1">
        <f>IF(Tabela1[[#This Row],[promien]]=40000,1,0)</f>
        <v>0</v>
      </c>
      <c r="F2484" s="1">
        <v>3.180354267310789</v>
      </c>
      <c r="G2484" s="1">
        <v>3.8761613720995847E-2</v>
      </c>
    </row>
    <row r="2485" spans="1:7">
      <c r="A2485">
        <v>98</v>
      </c>
      <c r="B2485">
        <v>170</v>
      </c>
      <c r="C2485" s="1">
        <f>(Tabela1[[#This Row],[x]]-H$3)*(Tabela1[[#This Row],[x]]-H$3) +(Tabela1[[#This Row],[y]]-H$4)*(Tabela1[[#This Row],[y]]-H$4)</f>
        <v>11304</v>
      </c>
      <c r="D2485" s="1">
        <f>IF(Tabela1[[#This Row],[promien]]&lt;40000,1,0)</f>
        <v>1</v>
      </c>
      <c r="E2485" s="1">
        <f>IF(Tabela1[[#This Row],[promien]]=40000,1,0)</f>
        <v>0</v>
      </c>
      <c r="F2485" s="1">
        <v>3.1806841046277667</v>
      </c>
      <c r="G2485" s="1">
        <v>3.9091451037973624E-2</v>
      </c>
    </row>
    <row r="2486" spans="1:7">
      <c r="A2486">
        <v>212</v>
      </c>
      <c r="B2486">
        <v>216</v>
      </c>
      <c r="C2486" s="1">
        <f>(Tabela1[[#This Row],[x]]-H$3)*(Tabela1[[#This Row],[x]]-H$3) +(Tabela1[[#This Row],[y]]-H$4)*(Tabela1[[#This Row],[y]]-H$4)</f>
        <v>400</v>
      </c>
      <c r="D2486" s="1">
        <f>IF(Tabela1[[#This Row],[promien]]&lt;40000,1,0)</f>
        <v>1</v>
      </c>
      <c r="E2486" s="1">
        <f>IF(Tabela1[[#This Row],[promien]]=40000,1,0)</f>
        <v>0</v>
      </c>
      <c r="F2486" s="1">
        <v>3.1810136765888979</v>
      </c>
      <c r="G2486" s="1">
        <v>3.9421022999104771E-2</v>
      </c>
    </row>
    <row r="2487" spans="1:7">
      <c r="A2487">
        <v>23</v>
      </c>
      <c r="B2487">
        <v>10</v>
      </c>
      <c r="C2487" s="1">
        <f>(Tabela1[[#This Row],[x]]-H$3)*(Tabela1[[#This Row],[x]]-H$3) +(Tabela1[[#This Row],[y]]-H$4)*(Tabela1[[#This Row],[y]]-H$4)</f>
        <v>67429</v>
      </c>
      <c r="D2487" s="1">
        <f>IF(Tabela1[[#This Row],[promien]]&lt;40000,1,0)</f>
        <v>0</v>
      </c>
      <c r="E2487" s="1">
        <f>IF(Tabela1[[#This Row],[promien]]=40000,1,0)</f>
        <v>0</v>
      </c>
      <c r="F2487" s="1">
        <v>3.1797346200241257</v>
      </c>
      <c r="G2487" s="1">
        <v>3.8141966434332542E-2</v>
      </c>
    </row>
    <row r="2488" spans="1:7">
      <c r="A2488">
        <v>56</v>
      </c>
      <c r="B2488">
        <v>302</v>
      </c>
      <c r="C2488" s="1">
        <f>(Tabela1[[#This Row],[x]]-H$3)*(Tabela1[[#This Row],[x]]-H$3) +(Tabela1[[#This Row],[y]]-H$4)*(Tabela1[[#This Row],[y]]-H$4)</f>
        <v>31140</v>
      </c>
      <c r="D2488" s="1">
        <f>IF(Tabela1[[#This Row],[promien]]&lt;40000,1,0)</f>
        <v>1</v>
      </c>
      <c r="E2488" s="1">
        <f>IF(Tabela1[[#This Row],[promien]]=40000,1,0)</f>
        <v>0</v>
      </c>
      <c r="F2488" s="1">
        <v>3.180064308681672</v>
      </c>
      <c r="G2488" s="1">
        <v>3.8471655091878887E-2</v>
      </c>
    </row>
    <row r="2489" spans="1:7">
      <c r="A2489">
        <v>344</v>
      </c>
      <c r="B2489">
        <v>196</v>
      </c>
      <c r="C2489" s="1">
        <f>(Tabela1[[#This Row],[x]]-H$3)*(Tabela1[[#This Row],[x]]-H$3) +(Tabela1[[#This Row],[y]]-H$4)*(Tabela1[[#This Row],[y]]-H$4)</f>
        <v>20752</v>
      </c>
      <c r="D2489" s="1">
        <f>IF(Tabela1[[#This Row],[promien]]&lt;40000,1,0)</f>
        <v>1</v>
      </c>
      <c r="E2489" s="1">
        <f>IF(Tabela1[[#This Row],[promien]]=40000,1,0)</f>
        <v>0</v>
      </c>
      <c r="F2489" s="1">
        <v>3.1803937324226599</v>
      </c>
      <c r="G2489" s="1">
        <v>3.8801078832866764E-2</v>
      </c>
    </row>
    <row r="2490" spans="1:7">
      <c r="A2490">
        <v>160</v>
      </c>
      <c r="B2490">
        <v>298</v>
      </c>
      <c r="C2490" s="1">
        <f>(Tabela1[[#This Row],[x]]-H$3)*(Tabela1[[#This Row],[x]]-H$3) +(Tabela1[[#This Row],[y]]-H$4)*(Tabela1[[#This Row],[y]]-H$4)</f>
        <v>11204</v>
      </c>
      <c r="D2490" s="1">
        <f>IF(Tabela1[[#This Row],[promien]]&lt;40000,1,0)</f>
        <v>1</v>
      </c>
      <c r="E2490" s="1">
        <f>IF(Tabela1[[#This Row],[promien]]=40000,1,0)</f>
        <v>0</v>
      </c>
      <c r="F2490" s="1">
        <v>3.1807228915662651</v>
      </c>
      <c r="G2490" s="1">
        <v>3.9130237976471971E-2</v>
      </c>
    </row>
    <row r="2491" spans="1:7">
      <c r="A2491">
        <v>71</v>
      </c>
      <c r="B2491">
        <v>398</v>
      </c>
      <c r="C2491" s="1">
        <f>(Tabela1[[#This Row],[x]]-H$3)*(Tabela1[[#This Row],[x]]-H$3) +(Tabela1[[#This Row],[y]]-H$4)*(Tabela1[[#This Row],[y]]-H$4)</f>
        <v>55845</v>
      </c>
      <c r="D2491" s="1">
        <f>IF(Tabela1[[#This Row],[promien]]&lt;40000,1,0)</f>
        <v>0</v>
      </c>
      <c r="E2491" s="1">
        <f>IF(Tabela1[[#This Row],[promien]]=40000,1,0)</f>
        <v>0</v>
      </c>
      <c r="F2491" s="1">
        <v>3.1794460056202327</v>
      </c>
      <c r="G2491" s="1">
        <v>3.7853352030439602E-2</v>
      </c>
    </row>
    <row r="2492" spans="1:7">
      <c r="A2492">
        <v>306</v>
      </c>
      <c r="B2492">
        <v>319</v>
      </c>
      <c r="C2492" s="1">
        <f>(Tabela1[[#This Row],[x]]-H$3)*(Tabela1[[#This Row],[x]]-H$3) +(Tabela1[[#This Row],[y]]-H$4)*(Tabela1[[#This Row],[y]]-H$4)</f>
        <v>25397</v>
      </c>
      <c r="D2492" s="1">
        <f>IF(Tabela1[[#This Row],[promien]]&lt;40000,1,0)</f>
        <v>1</v>
      </c>
      <c r="E2492" s="1">
        <f>IF(Tabela1[[#This Row],[promien]]=40000,1,0)</f>
        <v>0</v>
      </c>
      <c r="F2492" s="1">
        <v>3.1797752808988764</v>
      </c>
      <c r="G2492" s="1">
        <v>3.8182627309083284E-2</v>
      </c>
    </row>
    <row r="2493" spans="1:7">
      <c r="A2493">
        <v>140</v>
      </c>
      <c r="B2493">
        <v>7</v>
      </c>
      <c r="C2493" s="1">
        <f>(Tabela1[[#This Row],[x]]-H$3)*(Tabela1[[#This Row],[x]]-H$3) +(Tabela1[[#This Row],[y]]-H$4)*(Tabela1[[#This Row],[y]]-H$4)</f>
        <v>40849</v>
      </c>
      <c r="D2493" s="1">
        <f>IF(Tabela1[[#This Row],[promien]]&lt;40000,1,0)</f>
        <v>0</v>
      </c>
      <c r="E2493" s="1">
        <f>IF(Tabela1[[#This Row],[promien]]=40000,1,0)</f>
        <v>0</v>
      </c>
      <c r="F2493" s="1">
        <v>3.1784997994384274</v>
      </c>
      <c r="G2493" s="1">
        <v>3.6907145848634304E-2</v>
      </c>
    </row>
    <row r="2494" spans="1:7">
      <c r="A2494">
        <v>371</v>
      </c>
      <c r="B2494">
        <v>328</v>
      </c>
      <c r="C2494" s="1">
        <f>(Tabela1[[#This Row],[x]]-H$3)*(Tabela1[[#This Row],[x]]-H$3) +(Tabela1[[#This Row],[y]]-H$4)*(Tabela1[[#This Row],[y]]-H$4)</f>
        <v>45625</v>
      </c>
      <c r="D2494" s="1">
        <f>IF(Tabela1[[#This Row],[promien]]&lt;40000,1,0)</f>
        <v>0</v>
      </c>
      <c r="E2494" s="1">
        <f>IF(Tabela1[[#This Row],[promien]]=40000,1,0)</f>
        <v>0</v>
      </c>
      <c r="F2494" s="1">
        <v>3.1772253408179632</v>
      </c>
      <c r="G2494" s="1">
        <v>3.5632687228170035E-2</v>
      </c>
    </row>
    <row r="2495" spans="1:7">
      <c r="A2495">
        <v>160</v>
      </c>
      <c r="B2495">
        <v>332</v>
      </c>
      <c r="C2495" s="1">
        <f>(Tabela1[[#This Row],[x]]-H$3)*(Tabela1[[#This Row],[x]]-H$3) +(Tabela1[[#This Row],[y]]-H$4)*(Tabela1[[#This Row],[y]]-H$4)</f>
        <v>19024</v>
      </c>
      <c r="D2495" s="1">
        <f>IF(Tabela1[[#This Row],[promien]]&lt;40000,1,0)</f>
        <v>1</v>
      </c>
      <c r="E2495" s="1">
        <f>IF(Tabela1[[#This Row],[promien]]=40000,1,0)</f>
        <v>0</v>
      </c>
      <c r="F2495" s="1">
        <v>3.1775551102204407</v>
      </c>
      <c r="G2495" s="1">
        <v>3.5962456630647566E-2</v>
      </c>
    </row>
    <row r="2496" spans="1:7">
      <c r="A2496">
        <v>314</v>
      </c>
      <c r="B2496">
        <v>164</v>
      </c>
      <c r="C2496" s="1">
        <f>(Tabela1[[#This Row],[x]]-H$3)*(Tabela1[[#This Row],[x]]-H$3) +(Tabela1[[#This Row],[y]]-H$4)*(Tabela1[[#This Row],[y]]-H$4)</f>
        <v>14292</v>
      </c>
      <c r="D2496" s="1">
        <f>IF(Tabela1[[#This Row],[promien]]&lt;40000,1,0)</f>
        <v>1</v>
      </c>
      <c r="E2496" s="1">
        <f>IF(Tabela1[[#This Row],[promien]]=40000,1,0)</f>
        <v>0</v>
      </c>
      <c r="F2496" s="1">
        <v>3.1778846153846154</v>
      </c>
      <c r="G2496" s="1">
        <v>3.6291961794822303E-2</v>
      </c>
    </row>
    <row r="2497" spans="1:7">
      <c r="A2497">
        <v>373</v>
      </c>
      <c r="B2497">
        <v>333</v>
      </c>
      <c r="C2497" s="1">
        <f>(Tabela1[[#This Row],[x]]-H$3)*(Tabela1[[#This Row],[x]]-H$3) +(Tabela1[[#This Row],[y]]-H$4)*(Tabela1[[#This Row],[y]]-H$4)</f>
        <v>47618</v>
      </c>
      <c r="D2497" s="1">
        <f>IF(Tabela1[[#This Row],[promien]]&lt;40000,1,0)</f>
        <v>0</v>
      </c>
      <c r="E2497" s="1">
        <f>IF(Tabela1[[#This Row],[promien]]=40000,1,0)</f>
        <v>0</v>
      </c>
      <c r="F2497" s="1">
        <v>3.1766119343211856</v>
      </c>
      <c r="G2497" s="1">
        <v>3.5019280731392488E-2</v>
      </c>
    </row>
    <row r="2498" spans="1:7">
      <c r="A2498">
        <v>214</v>
      </c>
      <c r="B2498">
        <v>235</v>
      </c>
      <c r="C2498" s="1">
        <f>(Tabela1[[#This Row],[x]]-H$3)*(Tabela1[[#This Row],[x]]-H$3) +(Tabela1[[#This Row],[y]]-H$4)*(Tabela1[[#This Row],[y]]-H$4)</f>
        <v>1421</v>
      </c>
      <c r="D2498" s="1">
        <f>IF(Tabela1[[#This Row],[promien]]&lt;40000,1,0)</f>
        <v>1</v>
      </c>
      <c r="E2498" s="1">
        <f>IF(Tabela1[[#This Row],[promien]]=40000,1,0)</f>
        <v>0</v>
      </c>
      <c r="F2498" s="1">
        <v>3.1769415532425942</v>
      </c>
      <c r="G2498" s="1">
        <v>3.534889965280108E-2</v>
      </c>
    </row>
    <row r="2499" spans="1:7">
      <c r="A2499">
        <v>290</v>
      </c>
      <c r="B2499">
        <v>99</v>
      </c>
      <c r="C2499" s="1">
        <f>(Tabela1[[#This Row],[x]]-H$3)*(Tabela1[[#This Row],[x]]-H$3) +(Tabela1[[#This Row],[y]]-H$4)*(Tabela1[[#This Row],[y]]-H$4)</f>
        <v>18301</v>
      </c>
      <c r="D2499" s="1">
        <f>IF(Tabela1[[#This Row],[promien]]&lt;40000,1,0)</f>
        <v>1</v>
      </c>
      <c r="E2499" s="1">
        <f>IF(Tabela1[[#This Row],[promien]]=40000,1,0)</f>
        <v>0</v>
      </c>
      <c r="F2499" s="1">
        <v>3.1772709083633455</v>
      </c>
      <c r="G2499" s="1">
        <v>3.5678254773552354E-2</v>
      </c>
    </row>
    <row r="2500" spans="1:7">
      <c r="A2500">
        <v>88</v>
      </c>
      <c r="B2500">
        <v>344</v>
      </c>
      <c r="C2500" s="1">
        <f>(Tabela1[[#This Row],[x]]-H$3)*(Tabela1[[#This Row],[x]]-H$3) +(Tabela1[[#This Row],[y]]-H$4)*(Tabela1[[#This Row],[y]]-H$4)</f>
        <v>33280</v>
      </c>
      <c r="D2500" s="1">
        <f>IF(Tabela1[[#This Row],[promien]]&lt;40000,1,0)</f>
        <v>1</v>
      </c>
      <c r="E2500" s="1">
        <f>IF(Tabela1[[#This Row],[promien]]=40000,1,0)</f>
        <v>0</v>
      </c>
      <c r="F2500" s="1">
        <v>3.1776</v>
      </c>
      <c r="G2500" s="1">
        <v>3.6007346410206864E-2</v>
      </c>
    </row>
    <row r="2501" spans="1:7">
      <c r="A2501">
        <v>206</v>
      </c>
      <c r="B2501">
        <v>88</v>
      </c>
      <c r="C2501" s="1">
        <f>(Tabela1[[#This Row],[x]]-H$3)*(Tabela1[[#This Row],[x]]-H$3) +(Tabela1[[#This Row],[y]]-H$4)*(Tabela1[[#This Row],[y]]-H$4)</f>
        <v>12580</v>
      </c>
      <c r="D2501" s="1">
        <f>IF(Tabela1[[#This Row],[promien]]&lt;40000,1,0)</f>
        <v>1</v>
      </c>
      <c r="E2501" s="1">
        <f>IF(Tabela1[[#This Row],[promien]]=40000,1,0)</f>
        <v>0</v>
      </c>
      <c r="F2501" s="1">
        <v>3.1779288284686125</v>
      </c>
      <c r="G2501" s="1">
        <v>3.6336174878819349E-2</v>
      </c>
    </row>
    <row r="2502" spans="1:7">
      <c r="A2502">
        <v>351</v>
      </c>
      <c r="B2502">
        <v>210</v>
      </c>
      <c r="C2502" s="1">
        <f>(Tabela1[[#This Row],[x]]-H$3)*(Tabela1[[#This Row],[x]]-H$3) +(Tabela1[[#This Row],[y]]-H$4)*(Tabela1[[#This Row],[y]]-H$4)</f>
        <v>22901</v>
      </c>
      <c r="D2502" s="1">
        <f>IF(Tabela1[[#This Row],[promien]]&lt;40000,1,0)</f>
        <v>1</v>
      </c>
      <c r="E2502" s="1">
        <f>IF(Tabela1[[#This Row],[promien]]=40000,1,0)</f>
        <v>0</v>
      </c>
      <c r="F2502" s="1">
        <v>3.1782573940847323</v>
      </c>
      <c r="G2502" s="1">
        <v>3.6664740494939174E-2</v>
      </c>
    </row>
    <row r="2503" spans="1:7">
      <c r="A2503">
        <v>86</v>
      </c>
      <c r="B2503">
        <v>78</v>
      </c>
      <c r="C2503" s="1">
        <f>(Tabela1[[#This Row],[x]]-H$3)*(Tabela1[[#This Row],[x]]-H$3) +(Tabela1[[#This Row],[y]]-H$4)*(Tabela1[[#This Row],[y]]-H$4)</f>
        <v>27880</v>
      </c>
      <c r="D2503" s="1">
        <f>IF(Tabela1[[#This Row],[promien]]&lt;40000,1,0)</f>
        <v>1</v>
      </c>
      <c r="E2503" s="1">
        <f>IF(Tabela1[[#This Row],[promien]]=40000,1,0)</f>
        <v>0</v>
      </c>
      <c r="F2503" s="1">
        <v>3.1785856971634039</v>
      </c>
      <c r="G2503" s="1">
        <v>3.6993043573610773E-2</v>
      </c>
    </row>
    <row r="2504" spans="1:7">
      <c r="A2504">
        <v>222</v>
      </c>
      <c r="B2504">
        <v>384</v>
      </c>
      <c r="C2504" s="1">
        <f>(Tabela1[[#This Row],[x]]-H$3)*(Tabela1[[#This Row],[x]]-H$3) +(Tabela1[[#This Row],[y]]-H$4)*(Tabela1[[#This Row],[y]]-H$4)</f>
        <v>34340</v>
      </c>
      <c r="D2504" s="1">
        <f>IF(Tabela1[[#This Row],[promien]]&lt;40000,1,0)</f>
        <v>1</v>
      </c>
      <c r="E2504" s="1">
        <f>IF(Tabela1[[#This Row],[promien]]=40000,1,0)</f>
        <v>0</v>
      </c>
      <c r="F2504" s="1">
        <v>3.1789137380191694</v>
      </c>
      <c r="G2504" s="1">
        <v>3.7321084429376317E-2</v>
      </c>
    </row>
    <row r="2505" spans="1:7">
      <c r="A2505">
        <v>31</v>
      </c>
      <c r="B2505">
        <v>291</v>
      </c>
      <c r="C2505" s="1">
        <f>(Tabela1[[#This Row],[x]]-H$3)*(Tabela1[[#This Row],[x]]-H$3) +(Tabela1[[#This Row],[y]]-H$4)*(Tabela1[[#This Row],[y]]-H$4)</f>
        <v>36842</v>
      </c>
      <c r="D2505" s="1">
        <f>IF(Tabela1[[#This Row],[promien]]&lt;40000,1,0)</f>
        <v>1</v>
      </c>
      <c r="E2505" s="1">
        <f>IF(Tabela1[[#This Row],[promien]]=40000,1,0)</f>
        <v>0</v>
      </c>
      <c r="F2505" s="1">
        <v>3.1792415169660679</v>
      </c>
      <c r="G2505" s="1">
        <v>3.7648863376274821E-2</v>
      </c>
    </row>
    <row r="2506" spans="1:7">
      <c r="A2506">
        <v>30</v>
      </c>
      <c r="B2506">
        <v>135</v>
      </c>
      <c r="C2506" s="1">
        <f>(Tabela1[[#This Row],[x]]-H$3)*(Tabela1[[#This Row],[x]]-H$3) +(Tabela1[[#This Row],[y]]-H$4)*(Tabela1[[#This Row],[y]]-H$4)</f>
        <v>33125</v>
      </c>
      <c r="D2506" s="1">
        <f>IF(Tabela1[[#This Row],[promien]]&lt;40000,1,0)</f>
        <v>1</v>
      </c>
      <c r="E2506" s="1">
        <f>IF(Tabela1[[#This Row],[promien]]=40000,1,0)</f>
        <v>0</v>
      </c>
      <c r="F2506" s="1">
        <v>3.1795690343176375</v>
      </c>
      <c r="G2506" s="1">
        <v>3.7976380727844372E-2</v>
      </c>
    </row>
    <row r="2507" spans="1:7">
      <c r="A2507">
        <v>242</v>
      </c>
      <c r="B2507">
        <v>191</v>
      </c>
      <c r="C2507" s="1">
        <f>(Tabela1[[#This Row],[x]]-H$3)*(Tabela1[[#This Row],[x]]-H$3) +(Tabela1[[#This Row],[y]]-H$4)*(Tabela1[[#This Row],[y]]-H$4)</f>
        <v>1845</v>
      </c>
      <c r="D2507" s="1">
        <f>IF(Tabela1[[#This Row],[promien]]&lt;40000,1,0)</f>
        <v>1</v>
      </c>
      <c r="E2507" s="1">
        <f>IF(Tabela1[[#This Row],[promien]]=40000,1,0)</f>
        <v>0</v>
      </c>
      <c r="F2507" s="1">
        <v>3.1798962903869166</v>
      </c>
      <c r="G2507" s="1">
        <v>3.8303636797123453E-2</v>
      </c>
    </row>
    <row r="2508" spans="1:7">
      <c r="A2508">
        <v>160</v>
      </c>
      <c r="B2508">
        <v>110</v>
      </c>
      <c r="C2508" s="1">
        <f>(Tabela1[[#This Row],[x]]-H$3)*(Tabela1[[#This Row],[x]]-H$3) +(Tabela1[[#This Row],[y]]-H$4)*(Tabela1[[#This Row],[y]]-H$4)</f>
        <v>9700</v>
      </c>
      <c r="D2508" s="1">
        <f>IF(Tabela1[[#This Row],[promien]]&lt;40000,1,0)</f>
        <v>1</v>
      </c>
      <c r="E2508" s="1">
        <f>IF(Tabela1[[#This Row],[promien]]=40000,1,0)</f>
        <v>0</v>
      </c>
      <c r="F2508" s="1">
        <v>3.1802232854864432</v>
      </c>
      <c r="G2508" s="1">
        <v>3.8630631896650058E-2</v>
      </c>
    </row>
    <row r="2509" spans="1:7">
      <c r="A2509">
        <v>77</v>
      </c>
      <c r="B2509">
        <v>358</v>
      </c>
      <c r="C2509" s="1">
        <f>(Tabela1[[#This Row],[x]]-H$3)*(Tabela1[[#This Row],[x]]-H$3) +(Tabela1[[#This Row],[y]]-H$4)*(Tabela1[[#This Row],[y]]-H$4)</f>
        <v>40093</v>
      </c>
      <c r="D2509" s="1">
        <f>IF(Tabela1[[#This Row],[promien]]&lt;40000,1,0)</f>
        <v>0</v>
      </c>
      <c r="E2509" s="1">
        <f>IF(Tabela1[[#This Row],[promien]]=40000,1,0)</f>
        <v>0</v>
      </c>
      <c r="F2509" s="1">
        <v>3.17895575926664</v>
      </c>
      <c r="G2509" s="1">
        <v>3.7363105676846864E-2</v>
      </c>
    </row>
    <row r="2510" spans="1:7">
      <c r="A2510">
        <v>310</v>
      </c>
      <c r="B2510">
        <v>296</v>
      </c>
      <c r="C2510" s="1">
        <f>(Tabela1[[#This Row],[x]]-H$3)*(Tabela1[[#This Row],[x]]-H$3) +(Tabela1[[#This Row],[y]]-H$4)*(Tabela1[[#This Row],[y]]-H$4)</f>
        <v>21316</v>
      </c>
      <c r="D2510" s="1">
        <f>IF(Tabela1[[#This Row],[promien]]&lt;40000,1,0)</f>
        <v>1</v>
      </c>
      <c r="E2510" s="1">
        <f>IF(Tabela1[[#This Row],[promien]]=40000,1,0)</f>
        <v>0</v>
      </c>
      <c r="F2510" s="1">
        <v>3.1792828685258963</v>
      </c>
      <c r="G2510" s="1">
        <v>3.7690214936103139E-2</v>
      </c>
    </row>
    <row r="2511" spans="1:7">
      <c r="A2511">
        <v>195</v>
      </c>
      <c r="B2511">
        <v>196</v>
      </c>
      <c r="C2511" s="1">
        <f>(Tabela1[[#This Row],[x]]-H$3)*(Tabela1[[#This Row],[x]]-H$3) +(Tabela1[[#This Row],[y]]-H$4)*(Tabela1[[#This Row],[y]]-H$4)</f>
        <v>41</v>
      </c>
      <c r="D2511" s="1">
        <f>IF(Tabela1[[#This Row],[promien]]&lt;40000,1,0)</f>
        <v>1</v>
      </c>
      <c r="E2511" s="1">
        <f>IF(Tabela1[[#This Row],[promien]]=40000,1,0)</f>
        <v>0</v>
      </c>
      <c r="F2511" s="1">
        <v>3.179609717244126</v>
      </c>
      <c r="G2511" s="1">
        <v>3.8017063654332883E-2</v>
      </c>
    </row>
    <row r="2512" spans="1:7">
      <c r="A2512">
        <v>216</v>
      </c>
      <c r="B2512">
        <v>58</v>
      </c>
      <c r="C2512" s="1">
        <f>(Tabela1[[#This Row],[x]]-H$3)*(Tabela1[[#This Row],[x]]-H$3) +(Tabela1[[#This Row],[y]]-H$4)*(Tabela1[[#This Row],[y]]-H$4)</f>
        <v>20420</v>
      </c>
      <c r="D2512" s="1">
        <f>IF(Tabela1[[#This Row],[promien]]&lt;40000,1,0)</f>
        <v>1</v>
      </c>
      <c r="E2512" s="1">
        <f>IF(Tabela1[[#This Row],[promien]]=40000,1,0)</f>
        <v>0</v>
      </c>
      <c r="F2512" s="1">
        <v>3.1799363057324839</v>
      </c>
      <c r="G2512" s="1">
        <v>3.8343652142690754E-2</v>
      </c>
    </row>
    <row r="2513" spans="1:7">
      <c r="A2513">
        <v>373</v>
      </c>
      <c r="B2513">
        <v>120</v>
      </c>
      <c r="C2513" s="1">
        <f>(Tabela1[[#This Row],[x]]-H$3)*(Tabela1[[#This Row],[x]]-H$3) +(Tabela1[[#This Row],[y]]-H$4)*(Tabela1[[#This Row],[y]]-H$4)</f>
        <v>36329</v>
      </c>
      <c r="D2513" s="1">
        <f>IF(Tabela1[[#This Row],[promien]]&lt;40000,1,0)</f>
        <v>1</v>
      </c>
      <c r="E2513" s="1">
        <f>IF(Tabela1[[#This Row],[promien]]=40000,1,0)</f>
        <v>0</v>
      </c>
      <c r="F2513" s="1">
        <v>3.1802626343016316</v>
      </c>
      <c r="G2513" s="1">
        <v>3.866998071183847E-2</v>
      </c>
    </row>
    <row r="2514" spans="1:7">
      <c r="A2514">
        <v>205</v>
      </c>
      <c r="B2514">
        <v>88</v>
      </c>
      <c r="C2514" s="1">
        <f>(Tabela1[[#This Row],[x]]-H$3)*(Tabela1[[#This Row],[x]]-H$3) +(Tabela1[[#This Row],[y]]-H$4)*(Tabela1[[#This Row],[y]]-H$4)</f>
        <v>12569</v>
      </c>
      <c r="D2514" s="1">
        <f>IF(Tabela1[[#This Row],[promien]]&lt;40000,1,0)</f>
        <v>1</v>
      </c>
      <c r="E2514" s="1">
        <f>IF(Tabela1[[#This Row],[promien]]=40000,1,0)</f>
        <v>0</v>
      </c>
      <c r="F2514" s="1">
        <v>3.1805887032617344</v>
      </c>
      <c r="G2514" s="1">
        <v>3.8996049671941257E-2</v>
      </c>
    </row>
    <row r="2515" spans="1:7">
      <c r="A2515">
        <v>205</v>
      </c>
      <c r="B2515">
        <v>230</v>
      </c>
      <c r="C2515" s="1">
        <f>(Tabela1[[#This Row],[x]]-H$3)*(Tabela1[[#This Row],[x]]-H$3) +(Tabela1[[#This Row],[y]]-H$4)*(Tabela1[[#This Row],[y]]-H$4)</f>
        <v>925</v>
      </c>
      <c r="D2515" s="1">
        <f>IF(Tabela1[[#This Row],[promien]]&lt;40000,1,0)</f>
        <v>1</v>
      </c>
      <c r="E2515" s="1">
        <f>IF(Tabela1[[#This Row],[promien]]=40000,1,0)</f>
        <v>0</v>
      </c>
      <c r="F2515" s="1">
        <v>3.1809145129224654</v>
      </c>
      <c r="G2515" s="1">
        <v>3.9321859332672293E-2</v>
      </c>
    </row>
    <row r="2516" spans="1:7">
      <c r="A2516">
        <v>241</v>
      </c>
      <c r="B2516">
        <v>229</v>
      </c>
      <c r="C2516" s="1">
        <f>(Tabela1[[#This Row],[x]]-H$3)*(Tabela1[[#This Row],[x]]-H$3) +(Tabela1[[#This Row],[y]]-H$4)*(Tabela1[[#This Row],[y]]-H$4)</f>
        <v>2522</v>
      </c>
      <c r="D2516" s="1">
        <f>IF(Tabela1[[#This Row],[promien]]&lt;40000,1,0)</f>
        <v>1</v>
      </c>
      <c r="E2516" s="1">
        <f>IF(Tabela1[[#This Row],[promien]]=40000,1,0)</f>
        <v>0</v>
      </c>
      <c r="F2516" s="1">
        <v>3.1812400635930049</v>
      </c>
      <c r="G2516" s="1">
        <v>3.9647410003211814E-2</v>
      </c>
    </row>
    <row r="2517" spans="1:7">
      <c r="A2517">
        <v>400</v>
      </c>
      <c r="B2517">
        <v>267</v>
      </c>
      <c r="C2517" s="1">
        <f>(Tabela1[[#This Row],[x]]-H$3)*(Tabela1[[#This Row],[x]]-H$3) +(Tabela1[[#This Row],[y]]-H$4)*(Tabela1[[#This Row],[y]]-H$4)</f>
        <v>44489</v>
      </c>
      <c r="D2517" s="1">
        <f>IF(Tabela1[[#This Row],[promien]]&lt;40000,1,0)</f>
        <v>0</v>
      </c>
      <c r="E2517" s="1">
        <f>IF(Tabela1[[#This Row],[promien]]=40000,1,0)</f>
        <v>0</v>
      </c>
      <c r="F2517" s="1">
        <v>3.1799761620977356</v>
      </c>
      <c r="G2517" s="1">
        <v>3.8383508507942476E-2</v>
      </c>
    </row>
    <row r="2518" spans="1:7">
      <c r="A2518">
        <v>4</v>
      </c>
      <c r="B2518">
        <v>19</v>
      </c>
      <c r="C2518" s="1">
        <f>(Tabela1[[#This Row],[x]]-H$3)*(Tabela1[[#This Row],[x]]-H$3) +(Tabela1[[#This Row],[y]]-H$4)*(Tabela1[[#This Row],[y]]-H$4)</f>
        <v>71177</v>
      </c>
      <c r="D2518" s="1">
        <f>IF(Tabela1[[#This Row],[promien]]&lt;40000,1,0)</f>
        <v>0</v>
      </c>
      <c r="E2518" s="1">
        <f>IF(Tabela1[[#This Row],[promien]]=40000,1,0)</f>
        <v>0</v>
      </c>
      <c r="F2518" s="1">
        <v>3.1787132644956313</v>
      </c>
      <c r="G2518" s="1">
        <v>3.7120610905838181E-2</v>
      </c>
    </row>
    <row r="2519" spans="1:7">
      <c r="A2519">
        <v>205</v>
      </c>
      <c r="B2519">
        <v>318</v>
      </c>
      <c r="C2519" s="1">
        <f>(Tabela1[[#This Row],[x]]-H$3)*(Tabela1[[#This Row],[x]]-H$3) +(Tabela1[[#This Row],[y]]-H$4)*(Tabela1[[#This Row],[y]]-H$4)</f>
        <v>13949</v>
      </c>
      <c r="D2519" s="1">
        <f>IF(Tabela1[[#This Row],[promien]]&lt;40000,1,0)</f>
        <v>1</v>
      </c>
      <c r="E2519" s="1">
        <f>IF(Tabela1[[#This Row],[promien]]=40000,1,0)</f>
        <v>0</v>
      </c>
      <c r="F2519" s="1">
        <v>3.1790393013100435</v>
      </c>
      <c r="G2519" s="1">
        <v>3.7446647720250414E-2</v>
      </c>
    </row>
    <row r="2520" spans="1:7">
      <c r="A2520">
        <v>283</v>
      </c>
      <c r="B2520">
        <v>71</v>
      </c>
      <c r="C2520" s="1">
        <f>(Tabela1[[#This Row],[x]]-H$3)*(Tabela1[[#This Row],[x]]-H$3) +(Tabela1[[#This Row],[y]]-H$4)*(Tabela1[[#This Row],[y]]-H$4)</f>
        <v>23530</v>
      </c>
      <c r="D2520" s="1">
        <f>IF(Tabela1[[#This Row],[promien]]&lt;40000,1,0)</f>
        <v>1</v>
      </c>
      <c r="E2520" s="1">
        <f>IF(Tabela1[[#This Row],[promien]]=40000,1,0)</f>
        <v>0</v>
      </c>
      <c r="F2520" s="1">
        <v>3.1793650793650792</v>
      </c>
      <c r="G2520" s="1">
        <v>3.7772425775286056E-2</v>
      </c>
    </row>
    <row r="2521" spans="1:7">
      <c r="A2521">
        <v>251</v>
      </c>
      <c r="B2521">
        <v>324</v>
      </c>
      <c r="C2521" s="1">
        <f>(Tabela1[[#This Row],[x]]-H$3)*(Tabela1[[#This Row],[x]]-H$3) +(Tabela1[[#This Row],[y]]-H$4)*(Tabela1[[#This Row],[y]]-H$4)</f>
        <v>17977</v>
      </c>
      <c r="D2521" s="1">
        <f>IF(Tabela1[[#This Row],[promien]]&lt;40000,1,0)</f>
        <v>1</v>
      </c>
      <c r="E2521" s="1">
        <f>IF(Tabela1[[#This Row],[promien]]=40000,1,0)</f>
        <v>0</v>
      </c>
      <c r="F2521" s="1">
        <v>3.179690598968663</v>
      </c>
      <c r="G2521" s="1">
        <v>3.8097945378869902E-2</v>
      </c>
    </row>
    <row r="2522" spans="1:7">
      <c r="A2522">
        <v>96</v>
      </c>
      <c r="B2522">
        <v>120</v>
      </c>
      <c r="C2522" s="1">
        <f>(Tabela1[[#This Row],[x]]-H$3)*(Tabela1[[#This Row],[x]]-H$3) +(Tabela1[[#This Row],[y]]-H$4)*(Tabela1[[#This Row],[y]]-H$4)</f>
        <v>17216</v>
      </c>
      <c r="D2522" s="1">
        <f>IF(Tabela1[[#This Row],[promien]]&lt;40000,1,0)</f>
        <v>1</v>
      </c>
      <c r="E2522" s="1">
        <f>IF(Tabela1[[#This Row],[promien]]=40000,1,0)</f>
        <v>0</v>
      </c>
      <c r="F2522" s="1">
        <v>3.1800158604282314</v>
      </c>
      <c r="G2522" s="1">
        <v>3.8423206838438251E-2</v>
      </c>
    </row>
    <row r="2523" spans="1:7">
      <c r="A2523">
        <v>266</v>
      </c>
      <c r="B2523">
        <v>49</v>
      </c>
      <c r="C2523" s="1">
        <f>(Tabela1[[#This Row],[x]]-H$3)*(Tabela1[[#This Row],[x]]-H$3) +(Tabela1[[#This Row],[y]]-H$4)*(Tabela1[[#This Row],[y]]-H$4)</f>
        <v>27157</v>
      </c>
      <c r="D2523" s="1">
        <f>IF(Tabela1[[#This Row],[promien]]&lt;40000,1,0)</f>
        <v>1</v>
      </c>
      <c r="E2523" s="1">
        <f>IF(Tabela1[[#This Row],[promien]]=40000,1,0)</f>
        <v>0</v>
      </c>
      <c r="F2523" s="1">
        <v>3.1803408640507334</v>
      </c>
      <c r="G2523" s="1">
        <v>3.8748210460940236E-2</v>
      </c>
    </row>
    <row r="2524" spans="1:7">
      <c r="A2524">
        <v>138</v>
      </c>
      <c r="B2524">
        <v>242</v>
      </c>
      <c r="C2524" s="1">
        <f>(Tabela1[[#This Row],[x]]-H$3)*(Tabela1[[#This Row],[x]]-H$3) +(Tabela1[[#This Row],[y]]-H$4)*(Tabela1[[#This Row],[y]]-H$4)</f>
        <v>5608</v>
      </c>
      <c r="D2524" s="1">
        <f>IF(Tabela1[[#This Row],[promien]]&lt;40000,1,0)</f>
        <v>1</v>
      </c>
      <c r="E2524" s="1">
        <f>IF(Tabela1[[#This Row],[promien]]=40000,1,0)</f>
        <v>0</v>
      </c>
      <c r="F2524" s="1">
        <v>3.1806656101426309</v>
      </c>
      <c r="G2524" s="1">
        <v>3.9072956552837823E-2</v>
      </c>
    </row>
    <row r="2525" spans="1:7">
      <c r="A2525">
        <v>52</v>
      </c>
      <c r="B2525">
        <v>181</v>
      </c>
      <c r="C2525" s="1">
        <f>(Tabela1[[#This Row],[x]]-H$3)*(Tabela1[[#This Row],[x]]-H$3) +(Tabela1[[#This Row],[y]]-H$4)*(Tabela1[[#This Row],[y]]-H$4)</f>
        <v>22265</v>
      </c>
      <c r="D2525" s="1">
        <f>IF(Tabela1[[#This Row],[promien]]&lt;40000,1,0)</f>
        <v>1</v>
      </c>
      <c r="E2525" s="1">
        <f>IF(Tabela1[[#This Row],[promien]]=40000,1,0)</f>
        <v>0</v>
      </c>
      <c r="F2525" s="1">
        <v>3.1809900990099012</v>
      </c>
      <c r="G2525" s="1">
        <v>3.9397445420108035E-2</v>
      </c>
    </row>
    <row r="2526" spans="1:7">
      <c r="A2526">
        <v>88</v>
      </c>
      <c r="B2526">
        <v>275</v>
      </c>
      <c r="C2526" s="1">
        <f>(Tabela1[[#This Row],[x]]-H$3)*(Tabela1[[#This Row],[x]]-H$3) +(Tabela1[[#This Row],[y]]-H$4)*(Tabela1[[#This Row],[y]]-H$4)</f>
        <v>18169</v>
      </c>
      <c r="D2526" s="1">
        <f>IF(Tabela1[[#This Row],[promien]]&lt;40000,1,0)</f>
        <v>1</v>
      </c>
      <c r="E2526" s="1">
        <f>IF(Tabela1[[#This Row],[promien]]=40000,1,0)</f>
        <v>0</v>
      </c>
      <c r="F2526" s="1">
        <v>3.1813143309580365</v>
      </c>
      <c r="G2526" s="1">
        <v>3.9721677368243391E-2</v>
      </c>
    </row>
    <row r="2527" spans="1:7">
      <c r="A2527">
        <v>358</v>
      </c>
      <c r="B2527">
        <v>331</v>
      </c>
      <c r="C2527" s="1">
        <f>(Tabela1[[#This Row],[x]]-H$3)*(Tabela1[[#This Row],[x]]-H$3) +(Tabela1[[#This Row],[y]]-H$4)*(Tabela1[[#This Row],[y]]-H$4)</f>
        <v>42125</v>
      </c>
      <c r="D2527" s="1">
        <f>IF(Tabela1[[#This Row],[promien]]&lt;40000,1,0)</f>
        <v>0</v>
      </c>
      <c r="E2527" s="1">
        <f>IF(Tabela1[[#This Row],[promien]]=40000,1,0)</f>
        <v>0</v>
      </c>
      <c r="F2527" s="1">
        <v>3.1800554016620497</v>
      </c>
      <c r="G2527" s="1">
        <v>3.8462748072256581E-2</v>
      </c>
    </row>
    <row r="2528" spans="1:7">
      <c r="A2528">
        <v>9</v>
      </c>
      <c r="B2528">
        <v>38</v>
      </c>
      <c r="C2528" s="1">
        <f>(Tabela1[[#This Row],[x]]-H$3)*(Tabela1[[#This Row],[x]]-H$3) +(Tabela1[[#This Row],[y]]-H$4)*(Tabela1[[#This Row],[y]]-H$4)</f>
        <v>62725</v>
      </c>
      <c r="D2528" s="1">
        <f>IF(Tabela1[[#This Row],[promien]]&lt;40000,1,0)</f>
        <v>0</v>
      </c>
      <c r="E2528" s="1">
        <f>IF(Tabela1[[#This Row],[promien]]=40000,1,0)</f>
        <v>0</v>
      </c>
      <c r="F2528" s="1">
        <v>3.1787974683544302</v>
      </c>
      <c r="G2528" s="1">
        <v>3.7204814764637106E-2</v>
      </c>
    </row>
    <row r="2529" spans="1:7">
      <c r="A2529">
        <v>99</v>
      </c>
      <c r="B2529">
        <v>180</v>
      </c>
      <c r="C2529" s="1">
        <f>(Tabela1[[#This Row],[x]]-H$3)*(Tabela1[[#This Row],[x]]-H$3) +(Tabela1[[#This Row],[y]]-H$4)*(Tabela1[[#This Row],[y]]-H$4)</f>
        <v>10601</v>
      </c>
      <c r="D2529" s="1">
        <f>IF(Tabela1[[#This Row],[promien]]&lt;40000,1,0)</f>
        <v>1</v>
      </c>
      <c r="E2529" s="1">
        <f>IF(Tabela1[[#This Row],[promien]]=40000,1,0)</f>
        <v>0</v>
      </c>
      <c r="F2529" s="1">
        <v>3.1791221826809015</v>
      </c>
      <c r="G2529" s="1">
        <v>3.7529529091108405E-2</v>
      </c>
    </row>
    <row r="2530" spans="1:7">
      <c r="A2530">
        <v>235</v>
      </c>
      <c r="B2530">
        <v>31</v>
      </c>
      <c r="C2530" s="1">
        <f>(Tabela1[[#This Row],[x]]-H$3)*(Tabela1[[#This Row],[x]]-H$3) +(Tabela1[[#This Row],[y]]-H$4)*(Tabela1[[#This Row],[y]]-H$4)</f>
        <v>29786</v>
      </c>
      <c r="D2530" s="1">
        <f>IF(Tabela1[[#This Row],[promien]]&lt;40000,1,0)</f>
        <v>1</v>
      </c>
      <c r="E2530" s="1">
        <f>IF(Tabela1[[#This Row],[promien]]=40000,1,0)</f>
        <v>0</v>
      </c>
      <c r="F2530" s="1">
        <v>3.1794466403162054</v>
      </c>
      <c r="G2530" s="1">
        <v>3.785398672641227E-2</v>
      </c>
    </row>
    <row r="2531" spans="1:7">
      <c r="A2531">
        <v>344</v>
      </c>
      <c r="B2531">
        <v>221</v>
      </c>
      <c r="C2531" s="1">
        <f>(Tabela1[[#This Row],[x]]-H$3)*(Tabela1[[#This Row],[x]]-H$3) +(Tabela1[[#This Row],[y]]-H$4)*(Tabela1[[#This Row],[y]]-H$4)</f>
        <v>21177</v>
      </c>
      <c r="D2531" s="1">
        <f>IF(Tabela1[[#This Row],[promien]]&lt;40000,1,0)</f>
        <v>1</v>
      </c>
      <c r="E2531" s="1">
        <f>IF(Tabela1[[#This Row],[promien]]=40000,1,0)</f>
        <v>0</v>
      </c>
      <c r="F2531" s="1">
        <v>3.1797708415645989</v>
      </c>
      <c r="G2531" s="1">
        <v>3.8178187974805766E-2</v>
      </c>
    </row>
    <row r="2532" spans="1:7">
      <c r="A2532">
        <v>86</v>
      </c>
      <c r="B2532">
        <v>370</v>
      </c>
      <c r="C2532" s="1">
        <f>(Tabela1[[#This Row],[x]]-H$3)*(Tabela1[[#This Row],[x]]-H$3) +(Tabela1[[#This Row],[y]]-H$4)*(Tabela1[[#This Row],[y]]-H$4)</f>
        <v>41896</v>
      </c>
      <c r="D2532" s="1">
        <f>IF(Tabela1[[#This Row],[promien]]&lt;40000,1,0)</f>
        <v>0</v>
      </c>
      <c r="E2532" s="1">
        <f>IF(Tabela1[[#This Row],[promien]]=40000,1,0)</f>
        <v>0</v>
      </c>
      <c r="F2532" s="1">
        <v>3.178515007898894</v>
      </c>
      <c r="G2532" s="1">
        <v>3.6922354309100847E-2</v>
      </c>
    </row>
    <row r="2533" spans="1:7">
      <c r="A2533">
        <v>360</v>
      </c>
      <c r="B2533">
        <v>257</v>
      </c>
      <c r="C2533" s="1">
        <f>(Tabela1[[#This Row],[x]]-H$3)*(Tabela1[[#This Row],[x]]-H$3) +(Tabela1[[#This Row],[y]]-H$4)*(Tabela1[[#This Row],[y]]-H$4)</f>
        <v>28849</v>
      </c>
      <c r="D2533" s="1">
        <f>IF(Tabela1[[#This Row],[promien]]&lt;40000,1,0)</f>
        <v>1</v>
      </c>
      <c r="E2533" s="1">
        <f>IF(Tabela1[[#This Row],[promien]]=40000,1,0)</f>
        <v>0</v>
      </c>
      <c r="F2533" s="1">
        <v>3.1788393209632848</v>
      </c>
      <c r="G2533" s="1">
        <v>3.7246667373491693E-2</v>
      </c>
    </row>
    <row r="2534" spans="1:7">
      <c r="A2534">
        <v>261</v>
      </c>
      <c r="B2534">
        <v>156</v>
      </c>
      <c r="C2534" s="1">
        <f>(Tabela1[[#This Row],[x]]-H$3)*(Tabela1[[#This Row],[x]]-H$3) +(Tabela1[[#This Row],[y]]-H$4)*(Tabela1[[#This Row],[y]]-H$4)</f>
        <v>5657</v>
      </c>
      <c r="D2534" s="1">
        <f>IF(Tabela1[[#This Row],[promien]]&lt;40000,1,0)</f>
        <v>1</v>
      </c>
      <c r="E2534" s="1">
        <f>IF(Tabela1[[#This Row],[promien]]=40000,1,0)</f>
        <v>0</v>
      </c>
      <c r="F2534" s="1">
        <v>3.1791633780584059</v>
      </c>
      <c r="G2534" s="1">
        <v>3.7570724468612759E-2</v>
      </c>
    </row>
    <row r="2535" spans="1:7">
      <c r="A2535">
        <v>308</v>
      </c>
      <c r="B2535">
        <v>92</v>
      </c>
      <c r="C2535" s="1">
        <f>(Tabela1[[#This Row],[x]]-H$3)*(Tabela1[[#This Row],[x]]-H$3) +(Tabela1[[#This Row],[y]]-H$4)*(Tabela1[[#This Row],[y]]-H$4)</f>
        <v>23328</v>
      </c>
      <c r="D2535" s="1">
        <f>IF(Tabela1[[#This Row],[promien]]&lt;40000,1,0)</f>
        <v>1</v>
      </c>
      <c r="E2535" s="1">
        <f>IF(Tabela1[[#This Row],[promien]]=40000,1,0)</f>
        <v>0</v>
      </c>
      <c r="F2535" s="1">
        <v>3.1794871794871793</v>
      </c>
      <c r="G2535" s="1">
        <v>3.7894525897386178E-2</v>
      </c>
    </row>
    <row r="2536" spans="1:7">
      <c r="A2536">
        <v>167</v>
      </c>
      <c r="B2536">
        <v>54</v>
      </c>
      <c r="C2536" s="1">
        <f>(Tabela1[[#This Row],[x]]-H$3)*(Tabela1[[#This Row],[x]]-H$3) +(Tabela1[[#This Row],[y]]-H$4)*(Tabela1[[#This Row],[y]]-H$4)</f>
        <v>22405</v>
      </c>
      <c r="D2536" s="1">
        <f>IF(Tabela1[[#This Row],[promien]]&lt;40000,1,0)</f>
        <v>1</v>
      </c>
      <c r="E2536" s="1">
        <f>IF(Tabela1[[#This Row],[promien]]=40000,1,0)</f>
        <v>0</v>
      </c>
      <c r="F2536" s="1">
        <v>3.1798107255520507</v>
      </c>
      <c r="G2536" s="1">
        <v>3.8218071962257572E-2</v>
      </c>
    </row>
    <row r="2537" spans="1:7">
      <c r="A2537">
        <v>257</v>
      </c>
      <c r="B2537">
        <v>50</v>
      </c>
      <c r="C2537" s="1">
        <f>(Tabela1[[#This Row],[x]]-H$3)*(Tabela1[[#This Row],[x]]-H$3) +(Tabela1[[#This Row],[y]]-H$4)*(Tabela1[[#This Row],[y]]-H$4)</f>
        <v>25749</v>
      </c>
      <c r="D2537" s="1">
        <f>IF(Tabela1[[#This Row],[promien]]&lt;40000,1,0)</f>
        <v>1</v>
      </c>
      <c r="E2537" s="1">
        <f>IF(Tabela1[[#This Row],[promien]]=40000,1,0)</f>
        <v>0</v>
      </c>
      <c r="F2537" s="1">
        <v>3.1801340165549861</v>
      </c>
      <c r="G2537" s="1">
        <v>3.8541362965192949E-2</v>
      </c>
    </row>
    <row r="2538" spans="1:7">
      <c r="A2538">
        <v>299</v>
      </c>
      <c r="B2538">
        <v>285</v>
      </c>
      <c r="C2538" s="1">
        <f>(Tabela1[[#This Row],[x]]-H$3)*(Tabela1[[#This Row],[x]]-H$3) +(Tabela1[[#This Row],[y]]-H$4)*(Tabela1[[#This Row],[y]]-H$4)</f>
        <v>17026</v>
      </c>
      <c r="D2538" s="1">
        <f>IF(Tabela1[[#This Row],[promien]]&lt;40000,1,0)</f>
        <v>1</v>
      </c>
      <c r="E2538" s="1">
        <f>IF(Tabela1[[#This Row],[promien]]=40000,1,0)</f>
        <v>0</v>
      </c>
      <c r="F2538" s="1">
        <v>3.1804570527974785</v>
      </c>
      <c r="G2538" s="1">
        <v>3.8864399207685363E-2</v>
      </c>
    </row>
    <row r="2539" spans="1:7">
      <c r="A2539">
        <v>371</v>
      </c>
      <c r="B2539">
        <v>334</v>
      </c>
      <c r="C2539" s="1">
        <f>(Tabela1[[#This Row],[x]]-H$3)*(Tabela1[[#This Row],[x]]-H$3) +(Tabela1[[#This Row],[y]]-H$4)*(Tabela1[[#This Row],[y]]-H$4)</f>
        <v>47197</v>
      </c>
      <c r="D2539" s="1">
        <f>IF(Tabela1[[#This Row],[promien]]&lt;40000,1,0)</f>
        <v>0</v>
      </c>
      <c r="E2539" s="1">
        <f>IF(Tabela1[[#This Row],[promien]]=40000,1,0)</f>
        <v>0</v>
      </c>
      <c r="F2539" s="1">
        <v>3.179204411185506</v>
      </c>
      <c r="G2539" s="1">
        <v>3.7611757595712891E-2</v>
      </c>
    </row>
    <row r="2540" spans="1:7">
      <c r="A2540">
        <v>125</v>
      </c>
      <c r="B2540">
        <v>43</v>
      </c>
      <c r="C2540" s="1">
        <f>(Tabela1[[#This Row],[x]]-H$3)*(Tabela1[[#This Row],[x]]-H$3) +(Tabela1[[#This Row],[y]]-H$4)*(Tabela1[[#This Row],[y]]-H$4)</f>
        <v>30274</v>
      </c>
      <c r="D2540" s="1">
        <f>IF(Tabela1[[#This Row],[promien]]&lt;40000,1,0)</f>
        <v>1</v>
      </c>
      <c r="E2540" s="1">
        <f>IF(Tabela1[[#This Row],[promien]]=40000,1,0)</f>
        <v>0</v>
      </c>
      <c r="F2540" s="1">
        <v>3.179527559055118</v>
      </c>
      <c r="G2540" s="1">
        <v>3.7934905465324853E-2</v>
      </c>
    </row>
    <row r="2541" spans="1:7">
      <c r="A2541">
        <v>340</v>
      </c>
      <c r="B2541">
        <v>306</v>
      </c>
      <c r="C2541" s="1">
        <f>(Tabela1[[#This Row],[x]]-H$3)*(Tabela1[[#This Row],[x]]-H$3) +(Tabela1[[#This Row],[y]]-H$4)*(Tabela1[[#This Row],[y]]-H$4)</f>
        <v>30836</v>
      </c>
      <c r="D2541" s="1">
        <f>IF(Tabela1[[#This Row],[promien]]&lt;40000,1,0)</f>
        <v>1</v>
      </c>
      <c r="E2541" s="1">
        <f>IF(Tabela1[[#This Row],[promien]]=40000,1,0)</f>
        <v>0</v>
      </c>
      <c r="F2541" s="1">
        <v>3.1798504525777251</v>
      </c>
      <c r="G2541" s="1">
        <v>3.8257798987932023E-2</v>
      </c>
    </row>
    <row r="2542" spans="1:7">
      <c r="A2542">
        <v>237</v>
      </c>
      <c r="B2542">
        <v>131</v>
      </c>
      <c r="C2542" s="1">
        <f>(Tabela1[[#This Row],[x]]-H$3)*(Tabela1[[#This Row],[x]]-H$3) +(Tabela1[[#This Row],[y]]-H$4)*(Tabela1[[#This Row],[y]]-H$4)</f>
        <v>6130</v>
      </c>
      <c r="D2542" s="1">
        <f>IF(Tabela1[[#This Row],[promien]]&lt;40000,1,0)</f>
        <v>1</v>
      </c>
      <c r="E2542" s="1">
        <f>IF(Tabela1[[#This Row],[promien]]=40000,1,0)</f>
        <v>0</v>
      </c>
      <c r="F2542" s="1">
        <v>3.1801730920535012</v>
      </c>
      <c r="G2542" s="1">
        <v>3.8580438463708067E-2</v>
      </c>
    </row>
    <row r="2543" spans="1:7">
      <c r="A2543">
        <v>44</v>
      </c>
      <c r="B2543">
        <v>249</v>
      </c>
      <c r="C2543" s="1">
        <f>(Tabela1[[#This Row],[x]]-H$3)*(Tabela1[[#This Row],[x]]-H$3) +(Tabela1[[#This Row],[y]]-H$4)*(Tabela1[[#This Row],[y]]-H$4)</f>
        <v>26737</v>
      </c>
      <c r="D2543" s="1">
        <f>IF(Tabela1[[#This Row],[promien]]&lt;40000,1,0)</f>
        <v>1</v>
      </c>
      <c r="E2543" s="1">
        <f>IF(Tabela1[[#This Row],[promien]]=40000,1,0)</f>
        <v>0</v>
      </c>
      <c r="F2543" s="1">
        <v>3.1804954777821473</v>
      </c>
      <c r="G2543" s="1">
        <v>3.8902824192354135E-2</v>
      </c>
    </row>
    <row r="2544" spans="1:7">
      <c r="A2544">
        <v>65</v>
      </c>
      <c r="B2544">
        <v>15</v>
      </c>
      <c r="C2544" s="1">
        <f>(Tabela1[[#This Row],[x]]-H$3)*(Tabela1[[#This Row],[x]]-H$3) +(Tabela1[[#This Row],[y]]-H$4)*(Tabela1[[#This Row],[y]]-H$4)</f>
        <v>52450</v>
      </c>
      <c r="D2544" s="1">
        <f>IF(Tabela1[[#This Row],[promien]]&lt;40000,1,0)</f>
        <v>0</v>
      </c>
      <c r="E2544" s="1">
        <f>IF(Tabela1[[#This Row],[promien]]=40000,1,0)</f>
        <v>0</v>
      </c>
      <c r="F2544" s="1">
        <v>3.1792452830188678</v>
      </c>
      <c r="G2544" s="1">
        <v>3.7652629429074658E-2</v>
      </c>
    </row>
    <row r="2545" spans="1:7">
      <c r="A2545">
        <v>360</v>
      </c>
      <c r="B2545">
        <v>42</v>
      </c>
      <c r="C2545" s="1">
        <f>(Tabela1[[#This Row],[x]]-H$3)*(Tabela1[[#This Row],[x]]-H$3) +(Tabela1[[#This Row],[y]]-H$4)*(Tabela1[[#This Row],[y]]-H$4)</f>
        <v>50564</v>
      </c>
      <c r="D2545" s="1">
        <f>IF(Tabela1[[#This Row],[promien]]&lt;40000,1,0)</f>
        <v>0</v>
      </c>
      <c r="E2545" s="1">
        <f>IF(Tabela1[[#This Row],[promien]]=40000,1,0)</f>
        <v>0</v>
      </c>
      <c r="F2545" s="1">
        <v>3.1779960707269157</v>
      </c>
      <c r="G2545" s="1">
        <v>3.6403417137122585E-2</v>
      </c>
    </row>
    <row r="2546" spans="1:7">
      <c r="A2546">
        <v>39</v>
      </c>
      <c r="B2546">
        <v>274</v>
      </c>
      <c r="C2546" s="1">
        <f>(Tabela1[[#This Row],[x]]-H$3)*(Tabela1[[#This Row],[x]]-H$3) +(Tabela1[[#This Row],[y]]-H$4)*(Tabela1[[#This Row],[y]]-H$4)</f>
        <v>31397</v>
      </c>
      <c r="D2546" s="1">
        <f>IF(Tabela1[[#This Row],[promien]]&lt;40000,1,0)</f>
        <v>1</v>
      </c>
      <c r="E2546" s="1">
        <f>IF(Tabela1[[#This Row],[promien]]=40000,1,0)</f>
        <v>0</v>
      </c>
      <c r="F2546" s="1">
        <v>3.1783189316575018</v>
      </c>
      <c r="G2546" s="1">
        <v>3.6726278067708673E-2</v>
      </c>
    </row>
    <row r="2547" spans="1:7">
      <c r="A2547">
        <v>350</v>
      </c>
      <c r="B2547">
        <v>157</v>
      </c>
      <c r="C2547" s="1">
        <f>(Tabela1[[#This Row],[x]]-H$3)*(Tabela1[[#This Row],[x]]-H$3) +(Tabela1[[#This Row],[y]]-H$4)*(Tabela1[[#This Row],[y]]-H$4)</f>
        <v>24349</v>
      </c>
      <c r="D2547" s="1">
        <f>IF(Tabela1[[#This Row],[promien]]&lt;40000,1,0)</f>
        <v>1</v>
      </c>
      <c r="E2547" s="1">
        <f>IF(Tabela1[[#This Row],[promien]]=40000,1,0)</f>
        <v>0</v>
      </c>
      <c r="F2547" s="1">
        <v>3.1786415390655671</v>
      </c>
      <c r="G2547" s="1">
        <v>3.7048885475774007E-2</v>
      </c>
    </row>
    <row r="2548" spans="1:7">
      <c r="A2548">
        <v>358</v>
      </c>
      <c r="B2548">
        <v>83</v>
      </c>
      <c r="C2548" s="1">
        <f>(Tabela1[[#This Row],[x]]-H$3)*(Tabela1[[#This Row],[x]]-H$3) +(Tabela1[[#This Row],[y]]-H$4)*(Tabela1[[#This Row],[y]]-H$4)</f>
        <v>38653</v>
      </c>
      <c r="D2548" s="1">
        <f>IF(Tabela1[[#This Row],[promien]]&lt;40000,1,0)</f>
        <v>1</v>
      </c>
      <c r="E2548" s="1">
        <f>IF(Tabela1[[#This Row],[promien]]=40000,1,0)</f>
        <v>0</v>
      </c>
      <c r="F2548" s="1">
        <v>3.1789638932496076</v>
      </c>
      <c r="G2548" s="1">
        <v>3.7371239659814481E-2</v>
      </c>
    </row>
    <row r="2549" spans="1:7">
      <c r="A2549">
        <v>313</v>
      </c>
      <c r="B2549">
        <v>224</v>
      </c>
      <c r="C2549" s="1">
        <f>(Tabela1[[#This Row],[x]]-H$3)*(Tabela1[[#This Row],[x]]-H$3) +(Tabela1[[#This Row],[y]]-H$4)*(Tabela1[[#This Row],[y]]-H$4)</f>
        <v>13345</v>
      </c>
      <c r="D2549" s="1">
        <f>IF(Tabela1[[#This Row],[promien]]&lt;40000,1,0)</f>
        <v>1</v>
      </c>
      <c r="E2549" s="1">
        <f>IF(Tabela1[[#This Row],[promien]]=40000,1,0)</f>
        <v>0</v>
      </c>
      <c r="F2549" s="1">
        <v>3.1792859945076501</v>
      </c>
      <c r="G2549" s="1">
        <v>3.7693340917857032E-2</v>
      </c>
    </row>
    <row r="2550" spans="1:7">
      <c r="A2550">
        <v>126</v>
      </c>
      <c r="B2550">
        <v>285</v>
      </c>
      <c r="C2550" s="1">
        <f>(Tabela1[[#This Row],[x]]-H$3)*(Tabela1[[#This Row],[x]]-H$3) +(Tabela1[[#This Row],[y]]-H$4)*(Tabela1[[#This Row],[y]]-H$4)</f>
        <v>12701</v>
      </c>
      <c r="D2550" s="1">
        <f>IF(Tabela1[[#This Row],[promien]]&lt;40000,1,0)</f>
        <v>1</v>
      </c>
      <c r="E2550" s="1">
        <f>IF(Tabela1[[#This Row],[promien]]=40000,1,0)</f>
        <v>0</v>
      </c>
      <c r="F2550" s="1">
        <v>3.179607843137255</v>
      </c>
      <c r="G2550" s="1">
        <v>3.8015189547461858E-2</v>
      </c>
    </row>
    <row r="2551" spans="1:7">
      <c r="A2551">
        <v>311</v>
      </c>
      <c r="B2551">
        <v>273</v>
      </c>
      <c r="C2551" s="1">
        <f>(Tabela1[[#This Row],[x]]-H$3)*(Tabela1[[#This Row],[x]]-H$3) +(Tabela1[[#This Row],[y]]-H$4)*(Tabela1[[#This Row],[y]]-H$4)</f>
        <v>17650</v>
      </c>
      <c r="D2551" s="1">
        <f>IF(Tabela1[[#This Row],[promien]]&lt;40000,1,0)</f>
        <v>1</v>
      </c>
      <c r="E2551" s="1">
        <f>IF(Tabela1[[#This Row],[promien]]=40000,1,0)</f>
        <v>0</v>
      </c>
      <c r="F2551" s="1">
        <v>3.1799294394355155</v>
      </c>
      <c r="G2551" s="1">
        <v>3.8336785845722421E-2</v>
      </c>
    </row>
    <row r="2552" spans="1:7">
      <c r="A2552">
        <v>253</v>
      </c>
      <c r="B2552">
        <v>50</v>
      </c>
      <c r="C2552" s="1">
        <f>(Tabela1[[#This Row],[x]]-H$3)*(Tabela1[[#This Row],[x]]-H$3) +(Tabela1[[#This Row],[y]]-H$4)*(Tabela1[[#This Row],[y]]-H$4)</f>
        <v>25309</v>
      </c>
      <c r="D2552" s="1">
        <f>IF(Tabela1[[#This Row],[promien]]&lt;40000,1,0)</f>
        <v>1</v>
      </c>
      <c r="E2552" s="1">
        <f>IF(Tabela1[[#This Row],[promien]]=40000,1,0)</f>
        <v>0</v>
      </c>
      <c r="F2552" s="1">
        <v>3.1802507836990594</v>
      </c>
      <c r="G2552" s="1">
        <v>3.8658130109266331E-2</v>
      </c>
    </row>
    <row r="2553" spans="1:7">
      <c r="A2553">
        <v>66</v>
      </c>
      <c r="B2553">
        <v>76</v>
      </c>
      <c r="C2553" s="1">
        <f>(Tabela1[[#This Row],[x]]-H$3)*(Tabela1[[#This Row],[x]]-H$3) +(Tabela1[[#This Row],[y]]-H$4)*(Tabela1[[#This Row],[y]]-H$4)</f>
        <v>33332</v>
      </c>
      <c r="D2553" s="1">
        <f>IF(Tabela1[[#This Row],[promien]]&lt;40000,1,0)</f>
        <v>1</v>
      </c>
      <c r="E2553" s="1">
        <f>IF(Tabela1[[#This Row],[promien]]=40000,1,0)</f>
        <v>0</v>
      </c>
      <c r="F2553" s="1">
        <v>3.1805718762240502</v>
      </c>
      <c r="G2553" s="1">
        <v>3.8979222634257127E-2</v>
      </c>
    </row>
    <row r="2554" spans="1:7">
      <c r="A2554">
        <v>9</v>
      </c>
      <c r="B2554">
        <v>309</v>
      </c>
      <c r="C2554" s="1">
        <f>(Tabela1[[#This Row],[x]]-H$3)*(Tabela1[[#This Row],[x]]-H$3) +(Tabela1[[#This Row],[y]]-H$4)*(Tabela1[[#This Row],[y]]-H$4)</f>
        <v>48362</v>
      </c>
      <c r="D2554" s="1">
        <f>IF(Tabela1[[#This Row],[promien]]&lt;40000,1,0)</f>
        <v>0</v>
      </c>
      <c r="E2554" s="1">
        <f>IF(Tabela1[[#This Row],[promien]]=40000,1,0)</f>
        <v>0</v>
      </c>
      <c r="F2554" s="1">
        <v>3.1793265465935785</v>
      </c>
      <c r="G2554" s="1">
        <v>3.7733893003785379E-2</v>
      </c>
    </row>
    <row r="2555" spans="1:7">
      <c r="A2555">
        <v>196</v>
      </c>
      <c r="B2555">
        <v>377</v>
      </c>
      <c r="C2555" s="1">
        <f>(Tabela1[[#This Row],[x]]-H$3)*(Tabela1[[#This Row],[x]]-H$3) +(Tabela1[[#This Row],[y]]-H$4)*(Tabela1[[#This Row],[y]]-H$4)</f>
        <v>31345</v>
      </c>
      <c r="D2555" s="1">
        <f>IF(Tabela1[[#This Row],[promien]]&lt;40000,1,0)</f>
        <v>1</v>
      </c>
      <c r="E2555" s="1">
        <f>IF(Tabela1[[#This Row],[promien]]=40000,1,0)</f>
        <v>0</v>
      </c>
      <c r="F2555" s="1">
        <v>3.1796477495107633</v>
      </c>
      <c r="G2555" s="1">
        <v>3.8055095920970228E-2</v>
      </c>
    </row>
    <row r="2556" spans="1:7">
      <c r="A2556">
        <v>184</v>
      </c>
      <c r="B2556">
        <v>270</v>
      </c>
      <c r="C2556" s="1">
        <f>(Tabela1[[#This Row],[x]]-H$3)*(Tabela1[[#This Row],[x]]-H$3) +(Tabela1[[#This Row],[y]]-H$4)*(Tabela1[[#This Row],[y]]-H$4)</f>
        <v>5156</v>
      </c>
      <c r="D2556" s="1">
        <f>IF(Tabela1[[#This Row],[promien]]&lt;40000,1,0)</f>
        <v>1</v>
      </c>
      <c r="E2556" s="1">
        <f>IF(Tabela1[[#This Row],[promien]]=40000,1,0)</f>
        <v>0</v>
      </c>
      <c r="F2556" s="1">
        <v>3.1799687010954618</v>
      </c>
      <c r="G2556" s="1">
        <v>3.8376047505668698E-2</v>
      </c>
    </row>
    <row r="2557" spans="1:7">
      <c r="A2557">
        <v>286</v>
      </c>
      <c r="B2557">
        <v>78</v>
      </c>
      <c r="C2557" s="1">
        <f>(Tabela1[[#This Row],[x]]-H$3)*(Tabela1[[#This Row],[x]]-H$3) +(Tabela1[[#This Row],[y]]-H$4)*(Tabela1[[#This Row],[y]]-H$4)</f>
        <v>22280</v>
      </c>
      <c r="D2557" s="1">
        <f>IF(Tabela1[[#This Row],[promien]]&lt;40000,1,0)</f>
        <v>1</v>
      </c>
      <c r="E2557" s="1">
        <f>IF(Tabela1[[#This Row],[promien]]=40000,1,0)</f>
        <v>0</v>
      </c>
      <c r="F2557" s="1">
        <v>3.18028940164255</v>
      </c>
      <c r="G2557" s="1">
        <v>3.8696748052756913E-2</v>
      </c>
    </row>
    <row r="2558" spans="1:7">
      <c r="A2558">
        <v>337</v>
      </c>
      <c r="B2558">
        <v>248</v>
      </c>
      <c r="C2558" s="1">
        <f>(Tabela1[[#This Row],[x]]-H$3)*(Tabela1[[#This Row],[x]]-H$3) +(Tabela1[[#This Row],[y]]-H$4)*(Tabela1[[#This Row],[y]]-H$4)</f>
        <v>21073</v>
      </c>
      <c r="D2558" s="1">
        <f>IF(Tabela1[[#This Row],[promien]]&lt;40000,1,0)</f>
        <v>1</v>
      </c>
      <c r="E2558" s="1">
        <f>IF(Tabela1[[#This Row],[promien]]=40000,1,0)</f>
        <v>0</v>
      </c>
      <c r="F2558" s="1">
        <v>3.1806098514464427</v>
      </c>
      <c r="G2558" s="1">
        <v>3.9017197856649588E-2</v>
      </c>
    </row>
    <row r="2559" spans="1:7">
      <c r="A2559">
        <v>330</v>
      </c>
      <c r="B2559">
        <v>26</v>
      </c>
      <c r="C2559" s="1">
        <f>(Tabela1[[#This Row],[x]]-H$3)*(Tabela1[[#This Row],[x]]-H$3) +(Tabela1[[#This Row],[y]]-H$4)*(Tabela1[[#This Row],[y]]-H$4)</f>
        <v>47176</v>
      </c>
      <c r="D2559" s="1">
        <f>IF(Tabela1[[#This Row],[promien]]&lt;40000,1,0)</f>
        <v>0</v>
      </c>
      <c r="E2559" s="1">
        <f>IF(Tabela1[[#This Row],[promien]]=40000,1,0)</f>
        <v>0</v>
      </c>
      <c r="F2559" s="1">
        <v>3.1793669402110201</v>
      </c>
      <c r="G2559" s="1">
        <v>3.7774286621226949E-2</v>
      </c>
    </row>
    <row r="2560" spans="1:7">
      <c r="A2560">
        <v>292</v>
      </c>
      <c r="B2560">
        <v>63</v>
      </c>
      <c r="C2560" s="1">
        <f>(Tabela1[[#This Row],[x]]-H$3)*(Tabela1[[#This Row],[x]]-H$3) +(Tabela1[[#This Row],[y]]-H$4)*(Tabela1[[#This Row],[y]]-H$4)</f>
        <v>27233</v>
      </c>
      <c r="D2560" s="1">
        <f>IF(Tabela1[[#This Row],[promien]]&lt;40000,1,0)</f>
        <v>1</v>
      </c>
      <c r="E2560" s="1">
        <f>IF(Tabela1[[#This Row],[promien]]=40000,1,0)</f>
        <v>0</v>
      </c>
      <c r="F2560" s="1">
        <v>3.1796875</v>
      </c>
      <c r="G2560" s="1">
        <v>3.8094846410206884E-2</v>
      </c>
    </row>
    <row r="2561" spans="1:7">
      <c r="A2561">
        <v>47</v>
      </c>
      <c r="B2561">
        <v>399</v>
      </c>
      <c r="C2561" s="1">
        <f>(Tabela1[[#This Row],[x]]-H$3)*(Tabela1[[#This Row],[x]]-H$3) +(Tabela1[[#This Row],[y]]-H$4)*(Tabela1[[#This Row],[y]]-H$4)</f>
        <v>63010</v>
      </c>
      <c r="D2561" s="1">
        <f>IF(Tabela1[[#This Row],[promien]]&lt;40000,1,0)</f>
        <v>0</v>
      </c>
      <c r="E2561" s="1">
        <f>IF(Tabela1[[#This Row],[promien]]=40000,1,0)</f>
        <v>0</v>
      </c>
      <c r="F2561" s="1">
        <v>3.1784459195626709</v>
      </c>
      <c r="G2561" s="1">
        <v>3.6853265972877747E-2</v>
      </c>
    </row>
    <row r="2562" spans="1:7">
      <c r="A2562">
        <v>371</v>
      </c>
      <c r="B2562">
        <v>344</v>
      </c>
      <c r="C2562" s="1">
        <f>(Tabela1[[#This Row],[x]]-H$3)*(Tabela1[[#This Row],[x]]-H$3) +(Tabela1[[#This Row],[y]]-H$4)*(Tabela1[[#This Row],[y]]-H$4)</f>
        <v>49977</v>
      </c>
      <c r="D2562" s="1">
        <f>IF(Tabela1[[#This Row],[promien]]&lt;40000,1,0)</f>
        <v>0</v>
      </c>
      <c r="E2562" s="1">
        <f>IF(Tabela1[[#This Row],[promien]]=40000,1,0)</f>
        <v>0</v>
      </c>
      <c r="F2562" s="1">
        <v>3.1772053083528493</v>
      </c>
      <c r="G2562" s="1">
        <v>3.5612654763056195E-2</v>
      </c>
    </row>
    <row r="2563" spans="1:7">
      <c r="A2563">
        <v>313</v>
      </c>
      <c r="B2563">
        <v>246</v>
      </c>
      <c r="C2563" s="1">
        <f>(Tabela1[[#This Row],[x]]-H$3)*(Tabela1[[#This Row],[x]]-H$3) +(Tabela1[[#This Row],[y]]-H$4)*(Tabela1[[#This Row],[y]]-H$4)</f>
        <v>14885</v>
      </c>
      <c r="D2563" s="1">
        <f>IF(Tabela1[[#This Row],[promien]]&lt;40000,1,0)</f>
        <v>1</v>
      </c>
      <c r="E2563" s="1">
        <f>IF(Tabela1[[#This Row],[promien]]=40000,1,0)</f>
        <v>0</v>
      </c>
      <c r="F2563" s="1">
        <v>3.1775263363246196</v>
      </c>
      <c r="G2563" s="1">
        <v>3.5933682734826444E-2</v>
      </c>
    </row>
    <row r="2564" spans="1:7">
      <c r="A2564">
        <v>107</v>
      </c>
      <c r="B2564">
        <v>367</v>
      </c>
      <c r="C2564" s="1">
        <f>(Tabela1[[#This Row],[x]]-H$3)*(Tabela1[[#This Row],[x]]-H$3) +(Tabela1[[#This Row],[y]]-H$4)*(Tabela1[[#This Row],[y]]-H$4)</f>
        <v>36538</v>
      </c>
      <c r="D2564" s="1">
        <f>IF(Tabela1[[#This Row],[promien]]&lt;40000,1,0)</f>
        <v>1</v>
      </c>
      <c r="E2564" s="1">
        <f>IF(Tabela1[[#This Row],[promien]]=40000,1,0)</f>
        <v>0</v>
      </c>
      <c r="F2564" s="1">
        <v>3.1778471138845554</v>
      </c>
      <c r="G2564" s="1">
        <v>3.6254460294762314E-2</v>
      </c>
    </row>
    <row r="2565" spans="1:7">
      <c r="A2565">
        <v>180</v>
      </c>
      <c r="B2565">
        <v>7</v>
      </c>
      <c r="C2565" s="1">
        <f>(Tabela1[[#This Row],[x]]-H$3)*(Tabela1[[#This Row],[x]]-H$3) +(Tabela1[[#This Row],[y]]-H$4)*(Tabela1[[#This Row],[y]]-H$4)</f>
        <v>37649</v>
      </c>
      <c r="D2565" s="1">
        <f>IF(Tabela1[[#This Row],[promien]]&lt;40000,1,0)</f>
        <v>1</v>
      </c>
      <c r="E2565" s="1">
        <f>IF(Tabela1[[#This Row],[promien]]=40000,1,0)</f>
        <v>0</v>
      </c>
      <c r="F2565" s="1">
        <v>3.178167641325536</v>
      </c>
      <c r="G2565" s="1">
        <v>3.6574987735742859E-2</v>
      </c>
    </row>
    <row r="2566" spans="1:7">
      <c r="A2566">
        <v>150</v>
      </c>
      <c r="B2566">
        <v>309</v>
      </c>
      <c r="C2566" s="1">
        <f>(Tabela1[[#This Row],[x]]-H$3)*(Tabela1[[#This Row],[x]]-H$3) +(Tabela1[[#This Row],[y]]-H$4)*(Tabela1[[#This Row],[y]]-H$4)</f>
        <v>14381</v>
      </c>
      <c r="D2566" s="1">
        <f>IF(Tabela1[[#This Row],[promien]]&lt;40000,1,0)</f>
        <v>1</v>
      </c>
      <c r="E2566" s="1">
        <f>IF(Tabela1[[#This Row],[promien]]=40000,1,0)</f>
        <v>0</v>
      </c>
      <c r="F2566" s="1">
        <v>3.1784879189399846</v>
      </c>
      <c r="G2566" s="1">
        <v>3.6895265350191497E-2</v>
      </c>
    </row>
    <row r="2567" spans="1:7">
      <c r="A2567">
        <v>140</v>
      </c>
      <c r="B2567">
        <v>261</v>
      </c>
      <c r="C2567" s="1">
        <f>(Tabela1[[#This Row],[x]]-H$3)*(Tabela1[[#This Row],[x]]-H$3) +(Tabela1[[#This Row],[y]]-H$4)*(Tabela1[[#This Row],[y]]-H$4)</f>
        <v>7321</v>
      </c>
      <c r="D2567" s="1">
        <f>IF(Tabela1[[#This Row],[promien]]&lt;40000,1,0)</f>
        <v>1</v>
      </c>
      <c r="E2567" s="1">
        <f>IF(Tabela1[[#This Row],[promien]]=40000,1,0)</f>
        <v>0</v>
      </c>
      <c r="F2567" s="1">
        <v>3.1788079470198674</v>
      </c>
      <c r="G2567" s="1">
        <v>3.7215293430074237E-2</v>
      </c>
    </row>
    <row r="2568" spans="1:7">
      <c r="A2568">
        <v>128</v>
      </c>
      <c r="B2568">
        <v>237</v>
      </c>
      <c r="C2568" s="1">
        <f>(Tabela1[[#This Row],[x]]-H$3)*(Tabela1[[#This Row],[x]]-H$3) +(Tabela1[[#This Row],[y]]-H$4)*(Tabela1[[#This Row],[y]]-H$4)</f>
        <v>6553</v>
      </c>
      <c r="D2568" s="1">
        <f>IF(Tabela1[[#This Row],[promien]]&lt;40000,1,0)</f>
        <v>1</v>
      </c>
      <c r="E2568" s="1">
        <f>IF(Tabela1[[#This Row],[promien]]=40000,1,0)</f>
        <v>0</v>
      </c>
      <c r="F2568" s="1">
        <v>3.1791277258566977</v>
      </c>
      <c r="G2568" s="1">
        <v>3.7535072266904557E-2</v>
      </c>
    </row>
    <row r="2569" spans="1:7">
      <c r="A2569">
        <v>218</v>
      </c>
      <c r="B2569">
        <v>234</v>
      </c>
      <c r="C2569" s="1">
        <f>(Tabela1[[#This Row],[x]]-H$3)*(Tabela1[[#This Row],[x]]-H$3) +(Tabela1[[#This Row],[y]]-H$4)*(Tabela1[[#This Row],[y]]-H$4)</f>
        <v>1480</v>
      </c>
      <c r="D2569" s="1">
        <f>IF(Tabela1[[#This Row],[promien]]&lt;40000,1,0)</f>
        <v>1</v>
      </c>
      <c r="E2569" s="1">
        <f>IF(Tabela1[[#This Row],[promien]]=40000,1,0)</f>
        <v>0</v>
      </c>
      <c r="F2569" s="1">
        <v>3.1794472557415339</v>
      </c>
      <c r="G2569" s="1">
        <v>3.7854602151740746E-2</v>
      </c>
    </row>
    <row r="2570" spans="1:7">
      <c r="A2570">
        <v>259</v>
      </c>
      <c r="B2570">
        <v>75</v>
      </c>
      <c r="C2570" s="1">
        <f>(Tabela1[[#This Row],[x]]-H$3)*(Tabela1[[#This Row],[x]]-H$3) +(Tabela1[[#This Row],[y]]-H$4)*(Tabela1[[#This Row],[y]]-H$4)</f>
        <v>19106</v>
      </c>
      <c r="D2570" s="1">
        <f>IF(Tabela1[[#This Row],[promien]]&lt;40000,1,0)</f>
        <v>1</v>
      </c>
      <c r="E2570" s="1">
        <f>IF(Tabela1[[#This Row],[promien]]=40000,1,0)</f>
        <v>0</v>
      </c>
      <c r="F2570" s="1">
        <v>3.1797665369649804</v>
      </c>
      <c r="G2570" s="1">
        <v>3.8173883375187234E-2</v>
      </c>
    </row>
    <row r="2571" spans="1:7">
      <c r="A2571">
        <v>111</v>
      </c>
      <c r="B2571">
        <v>250</v>
      </c>
      <c r="C2571" s="1">
        <f>(Tabela1[[#This Row],[x]]-H$3)*(Tabela1[[#This Row],[x]]-H$3) +(Tabela1[[#This Row],[y]]-H$4)*(Tabela1[[#This Row],[y]]-H$4)</f>
        <v>10421</v>
      </c>
      <c r="D2571" s="1">
        <f>IF(Tabela1[[#This Row],[promien]]&lt;40000,1,0)</f>
        <v>1</v>
      </c>
      <c r="E2571" s="1">
        <f>IF(Tabela1[[#This Row],[promien]]=40000,1,0)</f>
        <v>0</v>
      </c>
      <c r="F2571" s="1">
        <v>3.1800855698171917</v>
      </c>
      <c r="G2571" s="1">
        <v>3.8492916227398588E-2</v>
      </c>
    </row>
    <row r="2572" spans="1:7">
      <c r="A2572">
        <v>251</v>
      </c>
      <c r="B2572">
        <v>370</v>
      </c>
      <c r="C2572" s="1">
        <f>(Tabela1[[#This Row],[x]]-H$3)*(Tabela1[[#This Row],[x]]-H$3) +(Tabela1[[#This Row],[y]]-H$4)*(Tabela1[[#This Row],[y]]-H$4)</f>
        <v>31501</v>
      </c>
      <c r="D2572" s="1">
        <f>IF(Tabela1[[#This Row],[promien]]&lt;40000,1,0)</f>
        <v>1</v>
      </c>
      <c r="E2572" s="1">
        <f>IF(Tabela1[[#This Row],[promien]]=40000,1,0)</f>
        <v>0</v>
      </c>
      <c r="F2572" s="1">
        <v>3.1804043545878695</v>
      </c>
      <c r="G2572" s="1">
        <v>3.8811700998076404E-2</v>
      </c>
    </row>
    <row r="2573" spans="1:7">
      <c r="A2573">
        <v>106</v>
      </c>
      <c r="B2573">
        <v>207</v>
      </c>
      <c r="C2573" s="1">
        <f>(Tabela1[[#This Row],[x]]-H$3)*(Tabela1[[#This Row],[x]]-H$3) +(Tabela1[[#This Row],[y]]-H$4)*(Tabela1[[#This Row],[y]]-H$4)</f>
        <v>8885</v>
      </c>
      <c r="D2573" s="1">
        <f>IF(Tabela1[[#This Row],[promien]]&lt;40000,1,0)</f>
        <v>1</v>
      </c>
      <c r="E2573" s="1">
        <f>IF(Tabela1[[#This Row],[promien]]=40000,1,0)</f>
        <v>0</v>
      </c>
      <c r="F2573" s="1">
        <v>3.1807228915662651</v>
      </c>
      <c r="G2573" s="1">
        <v>3.9130237976471971E-2</v>
      </c>
    </row>
    <row r="2574" spans="1:7">
      <c r="A2574">
        <v>214</v>
      </c>
      <c r="B2574">
        <v>317</v>
      </c>
      <c r="C2574" s="1">
        <f>(Tabela1[[#This Row],[x]]-H$3)*(Tabela1[[#This Row],[x]]-H$3) +(Tabela1[[#This Row],[y]]-H$4)*(Tabela1[[#This Row],[y]]-H$4)</f>
        <v>13885</v>
      </c>
      <c r="D2574" s="1">
        <f>IF(Tabela1[[#This Row],[promien]]&lt;40000,1,0)</f>
        <v>1</v>
      </c>
      <c r="E2574" s="1">
        <f>IF(Tabela1[[#This Row],[promien]]=40000,1,0)</f>
        <v>0</v>
      </c>
      <c r="F2574" s="1">
        <v>3.1810411810411812</v>
      </c>
      <c r="G2574" s="1">
        <v>3.9448527451388049E-2</v>
      </c>
    </row>
    <row r="2575" spans="1:7">
      <c r="A2575">
        <v>159</v>
      </c>
      <c r="B2575">
        <v>200</v>
      </c>
      <c r="C2575" s="1">
        <f>(Tabela1[[#This Row],[x]]-H$3)*(Tabela1[[#This Row],[x]]-H$3) +(Tabela1[[#This Row],[y]]-H$4)*(Tabela1[[#This Row],[y]]-H$4)</f>
        <v>1681</v>
      </c>
      <c r="D2575" s="1">
        <f>IF(Tabela1[[#This Row],[promien]]&lt;40000,1,0)</f>
        <v>1</v>
      </c>
      <c r="E2575" s="1">
        <f>IF(Tabela1[[#This Row],[promien]]=40000,1,0)</f>
        <v>0</v>
      </c>
      <c r="F2575" s="1">
        <v>3.1813592233009711</v>
      </c>
      <c r="G2575" s="1">
        <v>3.9766569711177979E-2</v>
      </c>
    </row>
    <row r="2576" spans="1:7">
      <c r="A2576">
        <v>359</v>
      </c>
      <c r="B2576">
        <v>306</v>
      </c>
      <c r="C2576" s="1">
        <f>(Tabela1[[#This Row],[x]]-H$3)*(Tabela1[[#This Row],[x]]-H$3) +(Tabela1[[#This Row],[y]]-H$4)*(Tabela1[[#This Row],[y]]-H$4)</f>
        <v>36517</v>
      </c>
      <c r="D2576" s="1">
        <f>IF(Tabela1[[#This Row],[promien]]&lt;40000,1,0)</f>
        <v>1</v>
      </c>
      <c r="E2576" s="1">
        <f>IF(Tabela1[[#This Row],[promien]]=40000,1,0)</f>
        <v>0</v>
      </c>
      <c r="F2576" s="1">
        <v>3.1816770186335406</v>
      </c>
      <c r="G2576" s="1">
        <v>4.0084365043747461E-2</v>
      </c>
    </row>
    <row r="2577" spans="1:7">
      <c r="A2577">
        <v>314</v>
      </c>
      <c r="B2577">
        <v>267</v>
      </c>
      <c r="C2577" s="1">
        <f>(Tabela1[[#This Row],[x]]-H$3)*(Tabela1[[#This Row],[x]]-H$3) +(Tabela1[[#This Row],[y]]-H$4)*(Tabela1[[#This Row],[y]]-H$4)</f>
        <v>17485</v>
      </c>
      <c r="D2577" s="1">
        <f>IF(Tabela1[[#This Row],[promien]]&lt;40000,1,0)</f>
        <v>1</v>
      </c>
      <c r="E2577" s="1">
        <f>IF(Tabela1[[#This Row],[promien]]=40000,1,0)</f>
        <v>0</v>
      </c>
      <c r="F2577" s="1">
        <v>3.1819945673263486</v>
      </c>
      <c r="G2577" s="1">
        <v>4.0401913736555439E-2</v>
      </c>
    </row>
    <row r="2578" spans="1:7">
      <c r="A2578">
        <v>269</v>
      </c>
      <c r="B2578">
        <v>393</v>
      </c>
      <c r="C2578" s="1">
        <f>(Tabela1[[#This Row],[x]]-H$3)*(Tabela1[[#This Row],[x]]-H$3) +(Tabela1[[#This Row],[y]]-H$4)*(Tabela1[[#This Row],[y]]-H$4)</f>
        <v>42010</v>
      </c>
      <c r="D2578" s="1">
        <f>IF(Tabela1[[#This Row],[promien]]&lt;40000,1,0)</f>
        <v>0</v>
      </c>
      <c r="E2578" s="1">
        <f>IF(Tabela1[[#This Row],[promien]]=40000,1,0)</f>
        <v>0</v>
      </c>
      <c r="F2578" s="1">
        <v>3.1807602792862686</v>
      </c>
      <c r="G2578" s="1">
        <v>3.9167625696475472E-2</v>
      </c>
    </row>
    <row r="2579" spans="1:7">
      <c r="A2579">
        <v>39</v>
      </c>
      <c r="B2579">
        <v>69</v>
      </c>
      <c r="C2579" s="1">
        <f>(Tabela1[[#This Row],[x]]-H$3)*(Tabela1[[#This Row],[x]]-H$3) +(Tabela1[[#This Row],[y]]-H$4)*(Tabela1[[#This Row],[y]]-H$4)</f>
        <v>43082</v>
      </c>
      <c r="D2579" s="1">
        <f>IF(Tabela1[[#This Row],[promien]]&lt;40000,1,0)</f>
        <v>0</v>
      </c>
      <c r="E2579" s="1">
        <f>IF(Tabela1[[#This Row],[promien]]=40000,1,0)</f>
        <v>0</v>
      </c>
      <c r="F2579" s="1">
        <v>3.1795269484296238</v>
      </c>
      <c r="G2579" s="1">
        <v>3.7934294839830685E-2</v>
      </c>
    </row>
    <row r="2580" spans="1:7">
      <c r="A2580">
        <v>128</v>
      </c>
      <c r="B2580">
        <v>104</v>
      </c>
      <c r="C2580" s="1">
        <f>(Tabela1[[#This Row],[x]]-H$3)*(Tabela1[[#This Row],[x]]-H$3) +(Tabela1[[#This Row],[y]]-H$4)*(Tabela1[[#This Row],[y]]-H$4)</f>
        <v>14400</v>
      </c>
      <c r="D2580" s="1">
        <f>IF(Tabela1[[#This Row],[promien]]&lt;40000,1,0)</f>
        <v>1</v>
      </c>
      <c r="E2580" s="1">
        <f>IF(Tabela1[[#This Row],[promien]]=40000,1,0)</f>
        <v>0</v>
      </c>
      <c r="F2580" s="1">
        <v>3.1798449612403101</v>
      </c>
      <c r="G2580" s="1">
        <v>3.8252307650517015E-2</v>
      </c>
    </row>
    <row r="2581" spans="1:7">
      <c r="A2581">
        <v>166</v>
      </c>
      <c r="B2581">
        <v>141</v>
      </c>
      <c r="C2581" s="1">
        <f>(Tabela1[[#This Row],[x]]-H$3)*(Tabela1[[#This Row],[x]]-H$3) +(Tabela1[[#This Row],[y]]-H$4)*(Tabela1[[#This Row],[y]]-H$4)</f>
        <v>4637</v>
      </c>
      <c r="D2581" s="1">
        <f>IF(Tabela1[[#This Row],[promien]]&lt;40000,1,0)</f>
        <v>1</v>
      </c>
      <c r="E2581" s="1">
        <f>IF(Tabela1[[#This Row],[promien]]=40000,1,0)</f>
        <v>0</v>
      </c>
      <c r="F2581" s="1">
        <v>3.1801627276249516</v>
      </c>
      <c r="G2581" s="1">
        <v>3.8570074035158441E-2</v>
      </c>
    </row>
    <row r="2582" spans="1:7">
      <c r="A2582">
        <v>43</v>
      </c>
      <c r="B2582">
        <v>196</v>
      </c>
      <c r="C2582" s="1">
        <f>(Tabela1[[#This Row],[x]]-H$3)*(Tabela1[[#This Row],[x]]-H$3) +(Tabela1[[#This Row],[y]]-H$4)*(Tabela1[[#This Row],[y]]-H$4)</f>
        <v>24665</v>
      </c>
      <c r="D2582" s="1">
        <f>IF(Tabela1[[#This Row],[promien]]&lt;40000,1,0)</f>
        <v>1</v>
      </c>
      <c r="E2582" s="1">
        <f>IF(Tabela1[[#This Row],[promien]]=40000,1,0)</f>
        <v>0</v>
      </c>
      <c r="F2582" s="1">
        <v>3.1804802478698684</v>
      </c>
      <c r="G2582" s="1">
        <v>3.8887594280075266E-2</v>
      </c>
    </row>
    <row r="2583" spans="1:7">
      <c r="A2583">
        <v>87</v>
      </c>
      <c r="B2583">
        <v>211</v>
      </c>
      <c r="C2583" s="1">
        <f>(Tabela1[[#This Row],[x]]-H$3)*(Tabela1[[#This Row],[x]]-H$3) +(Tabela1[[#This Row],[y]]-H$4)*(Tabela1[[#This Row],[y]]-H$4)</f>
        <v>12890</v>
      </c>
      <c r="D2583" s="1">
        <f>IF(Tabela1[[#This Row],[promien]]&lt;40000,1,0)</f>
        <v>1</v>
      </c>
      <c r="E2583" s="1">
        <f>IF(Tabela1[[#This Row],[promien]]=40000,1,0)</f>
        <v>0</v>
      </c>
      <c r="F2583" s="1">
        <v>3.1807975222609368</v>
      </c>
      <c r="G2583" s="1">
        <v>3.92048686711437E-2</v>
      </c>
    </row>
    <row r="2584" spans="1:7">
      <c r="A2584">
        <v>150</v>
      </c>
      <c r="B2584">
        <v>147</v>
      </c>
      <c r="C2584" s="1">
        <f>(Tabela1[[#This Row],[x]]-H$3)*(Tabela1[[#This Row],[x]]-H$3) +(Tabela1[[#This Row],[y]]-H$4)*(Tabela1[[#This Row],[y]]-H$4)</f>
        <v>5309</v>
      </c>
      <c r="D2584" s="1">
        <f>IF(Tabela1[[#This Row],[promien]]&lt;40000,1,0)</f>
        <v>1</v>
      </c>
      <c r="E2584" s="1">
        <f>IF(Tabela1[[#This Row],[promien]]=40000,1,0)</f>
        <v>0</v>
      </c>
      <c r="F2584" s="1">
        <v>3.1811145510835912</v>
      </c>
      <c r="G2584" s="1">
        <v>3.9521897493798086E-2</v>
      </c>
    </row>
    <row r="2585" spans="1:7">
      <c r="A2585">
        <v>114</v>
      </c>
      <c r="B2585">
        <v>376</v>
      </c>
      <c r="C2585" s="1">
        <f>(Tabela1[[#This Row],[x]]-H$3)*(Tabela1[[#This Row],[x]]-H$3) +(Tabela1[[#This Row],[y]]-H$4)*(Tabela1[[#This Row],[y]]-H$4)</f>
        <v>38372</v>
      </c>
      <c r="D2585" s="1">
        <f>IF(Tabela1[[#This Row],[promien]]&lt;40000,1,0)</f>
        <v>1</v>
      </c>
      <c r="E2585" s="1">
        <f>IF(Tabela1[[#This Row],[promien]]=40000,1,0)</f>
        <v>0</v>
      </c>
      <c r="F2585" s="1">
        <v>3.181431334622824</v>
      </c>
      <c r="G2585" s="1">
        <v>3.9838681033030898E-2</v>
      </c>
    </row>
    <row r="2586" spans="1:7">
      <c r="A2586">
        <v>30</v>
      </c>
      <c r="B2586">
        <v>119</v>
      </c>
      <c r="C2586" s="1">
        <f>(Tabela1[[#This Row],[x]]-H$3)*(Tabela1[[#This Row],[x]]-H$3) +(Tabela1[[#This Row],[y]]-H$4)*(Tabela1[[#This Row],[y]]-H$4)</f>
        <v>35461</v>
      </c>
      <c r="D2586" s="1">
        <f>IF(Tabela1[[#This Row],[promien]]&lt;40000,1,0)</f>
        <v>1</v>
      </c>
      <c r="E2586" s="1">
        <f>IF(Tabela1[[#This Row],[promien]]=40000,1,0)</f>
        <v>0</v>
      </c>
      <c r="F2586" s="1">
        <v>3.1817478731631863</v>
      </c>
      <c r="G2586" s="1">
        <v>4.0155219573393186E-2</v>
      </c>
    </row>
    <row r="2587" spans="1:7">
      <c r="A2587">
        <v>129</v>
      </c>
      <c r="B2587">
        <v>291</v>
      </c>
      <c r="C2587" s="1">
        <f>(Tabela1[[#This Row],[x]]-H$3)*(Tabela1[[#This Row],[x]]-H$3) +(Tabela1[[#This Row],[y]]-H$4)*(Tabela1[[#This Row],[y]]-H$4)</f>
        <v>13322</v>
      </c>
      <c r="D2587" s="1">
        <f>IF(Tabela1[[#This Row],[promien]]&lt;40000,1,0)</f>
        <v>1</v>
      </c>
      <c r="E2587" s="1">
        <f>IF(Tabela1[[#This Row],[promien]]=40000,1,0)</f>
        <v>0</v>
      </c>
      <c r="F2587" s="1">
        <v>3.1820641669887899</v>
      </c>
      <c r="G2587" s="1">
        <v>4.0471513398996795E-2</v>
      </c>
    </row>
    <row r="2588" spans="1:7">
      <c r="A2588">
        <v>32</v>
      </c>
      <c r="B2588">
        <v>368</v>
      </c>
      <c r="C2588" s="1">
        <f>(Tabela1[[#This Row],[x]]-H$3)*(Tabela1[[#This Row],[x]]-H$3) +(Tabela1[[#This Row],[y]]-H$4)*(Tabela1[[#This Row],[y]]-H$4)</f>
        <v>56448</v>
      </c>
      <c r="D2588" s="1">
        <f>IF(Tabela1[[#This Row],[promien]]&lt;40000,1,0)</f>
        <v>0</v>
      </c>
      <c r="E2588" s="1">
        <f>IF(Tabela1[[#This Row],[promien]]=40000,1,0)</f>
        <v>0</v>
      </c>
      <c r="F2588" s="1">
        <v>3.1808346213292116</v>
      </c>
      <c r="G2588" s="1">
        <v>3.924196773941846E-2</v>
      </c>
    </row>
    <row r="2589" spans="1:7">
      <c r="A2589">
        <v>60</v>
      </c>
      <c r="B2589">
        <v>267</v>
      </c>
      <c r="C2589" s="1">
        <f>(Tabela1[[#This Row],[x]]-H$3)*(Tabela1[[#This Row],[x]]-H$3) +(Tabela1[[#This Row],[y]]-H$4)*(Tabela1[[#This Row],[y]]-H$4)</f>
        <v>24089</v>
      </c>
      <c r="D2589" s="1">
        <f>IF(Tabela1[[#This Row],[promien]]&lt;40000,1,0)</f>
        <v>1</v>
      </c>
      <c r="E2589" s="1">
        <f>IF(Tabela1[[#This Row],[promien]]=40000,1,0)</f>
        <v>0</v>
      </c>
      <c r="F2589" s="1">
        <v>3.1811510235612204</v>
      </c>
      <c r="G2589" s="1">
        <v>3.9558369971427254E-2</v>
      </c>
    </row>
    <row r="2590" spans="1:7">
      <c r="A2590">
        <v>295</v>
      </c>
      <c r="B2590">
        <v>262</v>
      </c>
      <c r="C2590" s="1">
        <f>(Tabela1[[#This Row],[x]]-H$3)*(Tabela1[[#This Row],[x]]-H$3) +(Tabela1[[#This Row],[y]]-H$4)*(Tabela1[[#This Row],[y]]-H$4)</f>
        <v>12869</v>
      </c>
      <c r="D2590" s="1">
        <f>IF(Tabela1[[#This Row],[promien]]&lt;40000,1,0)</f>
        <v>1</v>
      </c>
      <c r="E2590" s="1">
        <f>IF(Tabela1[[#This Row],[promien]]=40000,1,0)</f>
        <v>0</v>
      </c>
      <c r="F2590" s="1">
        <v>3.1814671814671813</v>
      </c>
      <c r="G2590" s="1">
        <v>3.9874527877388211E-2</v>
      </c>
    </row>
    <row r="2591" spans="1:7">
      <c r="A2591">
        <v>346</v>
      </c>
      <c r="B2591">
        <v>308</v>
      </c>
      <c r="C2591" s="1">
        <f>(Tabela1[[#This Row],[x]]-H$3)*(Tabela1[[#This Row],[x]]-H$3) +(Tabela1[[#This Row],[y]]-H$4)*(Tabela1[[#This Row],[y]]-H$4)</f>
        <v>32980</v>
      </c>
      <c r="D2591" s="1">
        <f>IF(Tabela1[[#This Row],[promien]]&lt;40000,1,0)</f>
        <v>1</v>
      </c>
      <c r="E2591" s="1">
        <f>IF(Tabela1[[#This Row],[promien]]=40000,1,0)</f>
        <v>0</v>
      </c>
      <c r="F2591" s="1">
        <v>3.1817830953299886</v>
      </c>
      <c r="G2591" s="1">
        <v>4.0190441740195482E-2</v>
      </c>
    </row>
    <row r="2592" spans="1:7">
      <c r="A2592">
        <v>329</v>
      </c>
      <c r="B2592">
        <v>388</v>
      </c>
      <c r="C2592" s="1">
        <f>(Tabela1[[#This Row],[x]]-H$3)*(Tabela1[[#This Row],[x]]-H$3) +(Tabela1[[#This Row],[y]]-H$4)*(Tabela1[[#This Row],[y]]-H$4)</f>
        <v>51985</v>
      </c>
      <c r="D2592" s="1">
        <f>IF(Tabela1[[#This Row],[promien]]&lt;40000,1,0)</f>
        <v>0</v>
      </c>
      <c r="E2592" s="1">
        <f>IF(Tabela1[[#This Row],[promien]]=40000,1,0)</f>
        <v>0</v>
      </c>
      <c r="F2592" s="1">
        <v>3.1805555555555554</v>
      </c>
      <c r="G2592" s="1">
        <v>3.8962901965762242E-2</v>
      </c>
    </row>
    <row r="2593" spans="1:7">
      <c r="A2593">
        <v>390</v>
      </c>
      <c r="B2593">
        <v>75</v>
      </c>
      <c r="C2593" s="1">
        <f>(Tabela1[[#This Row],[x]]-H$3)*(Tabela1[[#This Row],[x]]-H$3) +(Tabela1[[#This Row],[y]]-H$4)*(Tabela1[[#This Row],[y]]-H$4)</f>
        <v>51725</v>
      </c>
      <c r="D2593" s="1">
        <f>IF(Tabela1[[#This Row],[promien]]&lt;40000,1,0)</f>
        <v>0</v>
      </c>
      <c r="E2593" s="1">
        <f>IF(Tabela1[[#This Row],[promien]]=40000,1,0)</f>
        <v>0</v>
      </c>
      <c r="F2593" s="1">
        <v>3.1793289625915926</v>
      </c>
      <c r="G2593" s="1">
        <v>3.7736309001799473E-2</v>
      </c>
    </row>
    <row r="2594" spans="1:7">
      <c r="A2594">
        <v>57</v>
      </c>
      <c r="B2594">
        <v>204</v>
      </c>
      <c r="C2594" s="1">
        <f>(Tabela1[[#This Row],[x]]-H$3)*(Tabela1[[#This Row],[x]]-H$3) +(Tabela1[[#This Row],[y]]-H$4)*(Tabela1[[#This Row],[y]]-H$4)</f>
        <v>20465</v>
      </c>
      <c r="D2594" s="1">
        <f>IF(Tabela1[[#This Row],[promien]]&lt;40000,1,0)</f>
        <v>1</v>
      </c>
      <c r="E2594" s="1">
        <f>IF(Tabela1[[#This Row],[promien]]=40000,1,0)</f>
        <v>0</v>
      </c>
      <c r="F2594" s="1">
        <v>3.1796453353893601</v>
      </c>
      <c r="G2594" s="1">
        <v>3.8052681799567001E-2</v>
      </c>
    </row>
    <row r="2595" spans="1:7">
      <c r="A2595">
        <v>312</v>
      </c>
      <c r="B2595">
        <v>216</v>
      </c>
      <c r="C2595" s="1">
        <f>(Tabela1[[#This Row],[x]]-H$3)*(Tabela1[[#This Row],[x]]-H$3) +(Tabela1[[#This Row],[y]]-H$4)*(Tabela1[[#This Row],[y]]-H$4)</f>
        <v>12800</v>
      </c>
      <c r="D2595" s="1">
        <f>IF(Tabela1[[#This Row],[promien]]&lt;40000,1,0)</f>
        <v>1</v>
      </c>
      <c r="E2595" s="1">
        <f>IF(Tabela1[[#This Row],[promien]]=40000,1,0)</f>
        <v>0</v>
      </c>
      <c r="F2595" s="1">
        <v>3.1799614643545278</v>
      </c>
      <c r="G2595" s="1">
        <v>3.836881076473464E-2</v>
      </c>
    </row>
    <row r="2596" spans="1:7">
      <c r="A2596">
        <v>271</v>
      </c>
      <c r="B2596">
        <v>19</v>
      </c>
      <c r="C2596" s="1">
        <f>(Tabela1[[#This Row],[x]]-H$3)*(Tabela1[[#This Row],[x]]-H$3) +(Tabela1[[#This Row],[y]]-H$4)*(Tabela1[[#This Row],[y]]-H$4)</f>
        <v>37802</v>
      </c>
      <c r="D2596" s="1">
        <f>IF(Tabela1[[#This Row],[promien]]&lt;40000,1,0)</f>
        <v>1</v>
      </c>
      <c r="E2596" s="1">
        <f>IF(Tabela1[[#This Row],[promien]]=40000,1,0)</f>
        <v>0</v>
      </c>
      <c r="F2596" s="1">
        <v>3.180277349768875</v>
      </c>
      <c r="G2596" s="1">
        <v>3.8684696179081879E-2</v>
      </c>
    </row>
    <row r="2597" spans="1:7">
      <c r="A2597">
        <v>370</v>
      </c>
      <c r="B2597">
        <v>249</v>
      </c>
      <c r="C2597" s="1">
        <f>(Tabela1[[#This Row],[x]]-H$3)*(Tabela1[[#This Row],[x]]-H$3) +(Tabela1[[#This Row],[y]]-H$4)*(Tabela1[[#This Row],[y]]-H$4)</f>
        <v>31301</v>
      </c>
      <c r="D2597" s="1">
        <f>IF(Tabela1[[#This Row],[promien]]&lt;40000,1,0)</f>
        <v>1</v>
      </c>
      <c r="E2597" s="1">
        <f>IF(Tabela1[[#This Row],[promien]]=40000,1,0)</f>
        <v>0</v>
      </c>
      <c r="F2597" s="1">
        <v>3.1805929919137466</v>
      </c>
      <c r="G2597" s="1">
        <v>3.9000338323953443E-2</v>
      </c>
    </row>
    <row r="2598" spans="1:7">
      <c r="A2598">
        <v>101</v>
      </c>
      <c r="B2598">
        <v>379</v>
      </c>
      <c r="C2598" s="1">
        <f>(Tabela1[[#This Row],[x]]-H$3)*(Tabela1[[#This Row],[x]]-H$3) +(Tabela1[[#This Row],[y]]-H$4)*(Tabela1[[#This Row],[y]]-H$4)</f>
        <v>41842</v>
      </c>
      <c r="D2598" s="1">
        <f>IF(Tabela1[[#This Row],[promien]]&lt;40000,1,0)</f>
        <v>0</v>
      </c>
      <c r="E2598" s="1">
        <f>IF(Tabela1[[#This Row],[promien]]=40000,1,0)</f>
        <v>0</v>
      </c>
      <c r="F2598" s="1">
        <v>3.1793687451886066</v>
      </c>
      <c r="G2598" s="1">
        <v>3.7776091598813455E-2</v>
      </c>
    </row>
    <row r="2599" spans="1:7">
      <c r="A2599">
        <v>299</v>
      </c>
      <c r="B2599">
        <v>219</v>
      </c>
      <c r="C2599" s="1">
        <f>(Tabela1[[#This Row],[x]]-H$3)*(Tabela1[[#This Row],[x]]-H$3) +(Tabela1[[#This Row],[y]]-H$4)*(Tabela1[[#This Row],[y]]-H$4)</f>
        <v>10162</v>
      </c>
      <c r="D2599" s="1">
        <f>IF(Tabela1[[#This Row],[promien]]&lt;40000,1,0)</f>
        <v>1</v>
      </c>
      <c r="E2599" s="1">
        <f>IF(Tabela1[[#This Row],[promien]]=40000,1,0)</f>
        <v>0</v>
      </c>
      <c r="F2599" s="1">
        <v>3.1796844940361679</v>
      </c>
      <c r="G2599" s="1">
        <v>3.8091840446374814E-2</v>
      </c>
    </row>
    <row r="2600" spans="1:7">
      <c r="A2600">
        <v>139</v>
      </c>
      <c r="B2600">
        <v>38</v>
      </c>
      <c r="C2600" s="1">
        <f>(Tabela1[[#This Row],[x]]-H$3)*(Tabela1[[#This Row],[x]]-H$3) +(Tabela1[[#This Row],[y]]-H$4)*(Tabela1[[#This Row],[y]]-H$4)</f>
        <v>29965</v>
      </c>
      <c r="D2600" s="1">
        <f>IF(Tabela1[[#This Row],[promien]]&lt;40000,1,0)</f>
        <v>1</v>
      </c>
      <c r="E2600" s="1">
        <f>IF(Tabela1[[#This Row],[promien]]=40000,1,0)</f>
        <v>0</v>
      </c>
      <c r="F2600" s="1">
        <v>3.18</v>
      </c>
      <c r="G2600" s="1">
        <v>3.8407346410207044E-2</v>
      </c>
    </row>
    <row r="2601" spans="1:7">
      <c r="A2601">
        <v>333</v>
      </c>
      <c r="B2601">
        <v>241</v>
      </c>
      <c r="C2601" s="1">
        <f>(Tabela1[[#This Row],[x]]-H$3)*(Tabela1[[#This Row],[x]]-H$3) +(Tabela1[[#This Row],[y]]-H$4)*(Tabela1[[#This Row],[y]]-H$4)</f>
        <v>19370</v>
      </c>
      <c r="D2601" s="1">
        <f>IF(Tabela1[[#This Row],[promien]]&lt;40000,1,0)</f>
        <v>1</v>
      </c>
      <c r="E2601" s="1">
        <f>IF(Tabela1[[#This Row],[promien]]=40000,1,0)</f>
        <v>0</v>
      </c>
      <c r="F2601" s="1">
        <v>3.1803152633602463</v>
      </c>
      <c r="G2601" s="1">
        <v>3.8722609770453165E-2</v>
      </c>
    </row>
    <row r="2602" spans="1:7">
      <c r="A2602">
        <v>323</v>
      </c>
      <c r="B2602">
        <v>46</v>
      </c>
      <c r="C2602" s="1">
        <f>(Tabela1[[#This Row],[x]]-H$3)*(Tabela1[[#This Row],[x]]-H$3) +(Tabela1[[#This Row],[y]]-H$4)*(Tabela1[[#This Row],[y]]-H$4)</f>
        <v>38845</v>
      </c>
      <c r="D2602" s="1">
        <f>IF(Tabela1[[#This Row],[promien]]&lt;40000,1,0)</f>
        <v>1</v>
      </c>
      <c r="E2602" s="1">
        <f>IF(Tabela1[[#This Row],[promien]]=40000,1,0)</f>
        <v>0</v>
      </c>
      <c r="F2602" s="1">
        <v>3.1806302843966181</v>
      </c>
      <c r="G2602" s="1">
        <v>3.9037630806824986E-2</v>
      </c>
    </row>
    <row r="2603" spans="1:7">
      <c r="A2603">
        <v>56</v>
      </c>
      <c r="B2603">
        <v>364</v>
      </c>
      <c r="C2603" s="1">
        <f>(Tabela1[[#This Row],[x]]-H$3)*(Tabela1[[#This Row],[x]]-H$3) +(Tabela1[[#This Row],[y]]-H$4)*(Tabela1[[#This Row],[y]]-H$4)</f>
        <v>47632</v>
      </c>
      <c r="D2603" s="1">
        <f>IF(Tabela1[[#This Row],[promien]]&lt;40000,1,0)</f>
        <v>0</v>
      </c>
      <c r="E2603" s="1">
        <f>IF(Tabela1[[#This Row],[promien]]=40000,1,0)</f>
        <v>0</v>
      </c>
      <c r="F2603" s="1">
        <v>3.1794083749519784</v>
      </c>
      <c r="G2603" s="1">
        <v>3.7815721362185251E-2</v>
      </c>
    </row>
    <row r="2604" spans="1:7">
      <c r="A2604">
        <v>323</v>
      </c>
      <c r="B2604">
        <v>251</v>
      </c>
      <c r="C2604" s="1">
        <f>(Tabela1[[#This Row],[x]]-H$3)*(Tabela1[[#This Row],[x]]-H$3) +(Tabela1[[#This Row],[y]]-H$4)*(Tabela1[[#This Row],[y]]-H$4)</f>
        <v>17730</v>
      </c>
      <c r="D2604" s="1">
        <f>IF(Tabela1[[#This Row],[promien]]&lt;40000,1,0)</f>
        <v>1</v>
      </c>
      <c r="E2604" s="1">
        <f>IF(Tabela1[[#This Row],[promien]]=40000,1,0)</f>
        <v>0</v>
      </c>
      <c r="F2604" s="1">
        <v>3.1797235023041477</v>
      </c>
      <c r="G2604" s="1">
        <v>3.813084871435457E-2</v>
      </c>
    </row>
    <row r="2605" spans="1:7">
      <c r="A2605">
        <v>55</v>
      </c>
      <c r="B2605">
        <v>149</v>
      </c>
      <c r="C2605" s="1">
        <f>(Tabela1[[#This Row],[x]]-H$3)*(Tabela1[[#This Row],[x]]-H$3) +(Tabela1[[#This Row],[y]]-H$4)*(Tabela1[[#This Row],[y]]-H$4)</f>
        <v>23626</v>
      </c>
      <c r="D2605" s="1">
        <f>IF(Tabela1[[#This Row],[promien]]&lt;40000,1,0)</f>
        <v>1</v>
      </c>
      <c r="E2605" s="1">
        <f>IF(Tabela1[[#This Row],[promien]]=40000,1,0)</f>
        <v>0</v>
      </c>
      <c r="F2605" s="1">
        <v>3.1800383877159311</v>
      </c>
      <c r="G2605" s="1">
        <v>3.8445734126137943E-2</v>
      </c>
    </row>
    <row r="2606" spans="1:7">
      <c r="A2606">
        <v>161</v>
      </c>
      <c r="B2606">
        <v>131</v>
      </c>
      <c r="C2606" s="1">
        <f>(Tabela1[[#This Row],[x]]-H$3)*(Tabela1[[#This Row],[x]]-H$3) +(Tabela1[[#This Row],[y]]-H$4)*(Tabela1[[#This Row],[y]]-H$4)</f>
        <v>6282</v>
      </c>
      <c r="D2606" s="1">
        <f>IF(Tabela1[[#This Row],[promien]]&lt;40000,1,0)</f>
        <v>1</v>
      </c>
      <c r="E2606" s="1">
        <f>IF(Tabela1[[#This Row],[promien]]=40000,1,0)</f>
        <v>0</v>
      </c>
      <c r="F2606" s="1">
        <v>3.1803530314658479</v>
      </c>
      <c r="G2606" s="1">
        <v>3.8760377876054797E-2</v>
      </c>
    </row>
    <row r="2607" spans="1:7">
      <c r="A2607">
        <v>381</v>
      </c>
      <c r="B2607">
        <v>390</v>
      </c>
      <c r="C2607" s="1">
        <f>(Tabela1[[#This Row],[x]]-H$3)*(Tabela1[[#This Row],[x]]-H$3) +(Tabela1[[#This Row],[y]]-H$4)*(Tabela1[[#This Row],[y]]-H$4)</f>
        <v>68861</v>
      </c>
      <c r="D2607" s="1">
        <f>IF(Tabela1[[#This Row],[promien]]&lt;40000,1,0)</f>
        <v>0</v>
      </c>
      <c r="E2607" s="1">
        <f>IF(Tabela1[[#This Row],[promien]]=40000,1,0)</f>
        <v>0</v>
      </c>
      <c r="F2607" s="1">
        <v>3.179133103183736</v>
      </c>
      <c r="G2607" s="1">
        <v>3.7540449593942871E-2</v>
      </c>
    </row>
    <row r="2608" spans="1:7">
      <c r="A2608">
        <v>195</v>
      </c>
      <c r="B2608">
        <v>192</v>
      </c>
      <c r="C2608" s="1">
        <f>(Tabela1[[#This Row],[x]]-H$3)*(Tabela1[[#This Row],[x]]-H$3) +(Tabela1[[#This Row],[y]]-H$4)*(Tabela1[[#This Row],[y]]-H$4)</f>
        <v>89</v>
      </c>
      <c r="D2608" s="1">
        <f>IF(Tabela1[[#This Row],[promien]]&lt;40000,1,0)</f>
        <v>1</v>
      </c>
      <c r="E2608" s="1">
        <f>IF(Tabela1[[#This Row],[promien]]=40000,1,0)</f>
        <v>0</v>
      </c>
      <c r="F2608" s="1">
        <v>3.1794478527607364</v>
      </c>
      <c r="G2608" s="1">
        <v>3.7855199170943266E-2</v>
      </c>
    </row>
    <row r="2609" spans="1:7">
      <c r="A2609">
        <v>368</v>
      </c>
      <c r="B2609">
        <v>105</v>
      </c>
      <c r="C2609" s="1">
        <f>(Tabela1[[#This Row],[x]]-H$3)*(Tabela1[[#This Row],[x]]-H$3) +(Tabela1[[#This Row],[y]]-H$4)*(Tabela1[[#This Row],[y]]-H$4)</f>
        <v>37249</v>
      </c>
      <c r="D2609" s="1">
        <f>IF(Tabela1[[#This Row],[promien]]&lt;40000,1,0)</f>
        <v>1</v>
      </c>
      <c r="E2609" s="1">
        <f>IF(Tabela1[[#This Row],[promien]]=40000,1,0)</f>
        <v>0</v>
      </c>
      <c r="F2609" s="1">
        <v>3.1797623610578767</v>
      </c>
      <c r="G2609" s="1">
        <v>3.8169707468083569E-2</v>
      </c>
    </row>
    <row r="2610" spans="1:7">
      <c r="A2610">
        <v>126</v>
      </c>
      <c r="B2610">
        <v>318</v>
      </c>
      <c r="C2610" s="1">
        <f>(Tabela1[[#This Row],[x]]-H$3)*(Tabela1[[#This Row],[x]]-H$3) +(Tabela1[[#This Row],[y]]-H$4)*(Tabela1[[#This Row],[y]]-H$4)</f>
        <v>19400</v>
      </c>
      <c r="D2610" s="1">
        <f>IF(Tabela1[[#This Row],[promien]]&lt;40000,1,0)</f>
        <v>1</v>
      </c>
      <c r="E2610" s="1">
        <f>IF(Tabela1[[#This Row],[promien]]=40000,1,0)</f>
        <v>0</v>
      </c>
      <c r="F2610" s="1">
        <v>3.1800766283524906</v>
      </c>
      <c r="G2610" s="1">
        <v>3.8483974762697493E-2</v>
      </c>
    </row>
    <row r="2611" spans="1:7">
      <c r="A2611">
        <v>69</v>
      </c>
      <c r="B2611">
        <v>129</v>
      </c>
      <c r="C2611" s="1">
        <f>(Tabela1[[#This Row],[x]]-H$3)*(Tabela1[[#This Row],[x]]-H$3) +(Tabela1[[#This Row],[y]]-H$4)*(Tabela1[[#This Row],[y]]-H$4)</f>
        <v>22202</v>
      </c>
      <c r="D2611" s="1">
        <f>IF(Tabela1[[#This Row],[promien]]&lt;40000,1,0)</f>
        <v>1</v>
      </c>
      <c r="E2611" s="1">
        <f>IF(Tabela1[[#This Row],[promien]]=40000,1,0)</f>
        <v>0</v>
      </c>
      <c r="F2611" s="1">
        <v>3.180390654921486</v>
      </c>
      <c r="G2611" s="1">
        <v>3.8798001331692866E-2</v>
      </c>
    </row>
    <row r="2612" spans="1:7">
      <c r="A2612">
        <v>319</v>
      </c>
      <c r="B2612">
        <v>191</v>
      </c>
      <c r="C2612" s="1">
        <f>(Tabela1[[#This Row],[x]]-H$3)*(Tabela1[[#This Row],[x]]-H$3) +(Tabela1[[#This Row],[y]]-H$4)*(Tabela1[[#This Row],[y]]-H$4)</f>
        <v>14242</v>
      </c>
      <c r="D2612" s="1">
        <f>IF(Tabela1[[#This Row],[promien]]&lt;40000,1,0)</f>
        <v>1</v>
      </c>
      <c r="E2612" s="1">
        <f>IF(Tabela1[[#This Row],[promien]]=40000,1,0)</f>
        <v>0</v>
      </c>
      <c r="F2612" s="1">
        <v>3.1807044410413474</v>
      </c>
      <c r="G2612" s="1">
        <v>3.9111787451554303E-2</v>
      </c>
    </row>
    <row r="2613" spans="1:7">
      <c r="A2613">
        <v>18</v>
      </c>
      <c r="B2613">
        <v>57</v>
      </c>
      <c r="C2613" s="1">
        <f>(Tabela1[[#This Row],[x]]-H$3)*(Tabela1[[#This Row],[x]]-H$3) +(Tabela1[[#This Row],[y]]-H$4)*(Tabela1[[#This Row],[y]]-H$4)</f>
        <v>53573</v>
      </c>
      <c r="D2613" s="1">
        <f>IF(Tabela1[[#This Row],[promien]]&lt;40000,1,0)</f>
        <v>0</v>
      </c>
      <c r="E2613" s="1">
        <f>IF(Tabela1[[#This Row],[promien]]=40000,1,0)</f>
        <v>0</v>
      </c>
      <c r="F2613" s="1">
        <v>3.1794871794871793</v>
      </c>
      <c r="G2613" s="1">
        <v>3.7894525897386178E-2</v>
      </c>
    </row>
    <row r="2614" spans="1:7">
      <c r="A2614">
        <v>11</v>
      </c>
      <c r="B2614">
        <v>36</v>
      </c>
      <c r="C2614" s="1">
        <f>(Tabela1[[#This Row],[x]]-H$3)*(Tabela1[[#This Row],[x]]-H$3) +(Tabela1[[#This Row],[y]]-H$4)*(Tabela1[[#This Row],[y]]-H$4)</f>
        <v>62617</v>
      </c>
      <c r="D2614" s="1">
        <f>IF(Tabela1[[#This Row],[promien]]&lt;40000,1,0)</f>
        <v>0</v>
      </c>
      <c r="E2614" s="1">
        <f>IF(Tabela1[[#This Row],[promien]]=40000,1,0)</f>
        <v>0</v>
      </c>
      <c r="F2614" s="1">
        <v>3.1782708492731446</v>
      </c>
      <c r="G2614" s="1">
        <v>3.6678195683351511E-2</v>
      </c>
    </row>
    <row r="2615" spans="1:7">
      <c r="A2615">
        <v>264</v>
      </c>
      <c r="B2615">
        <v>385</v>
      </c>
      <c r="C2615" s="1">
        <f>(Tabela1[[#This Row],[x]]-H$3)*(Tabela1[[#This Row],[x]]-H$3) +(Tabela1[[#This Row],[y]]-H$4)*(Tabela1[[#This Row],[y]]-H$4)</f>
        <v>38321</v>
      </c>
      <c r="D2615" s="1">
        <f>IF(Tabela1[[#This Row],[promien]]&lt;40000,1,0)</f>
        <v>1</v>
      </c>
      <c r="E2615" s="1">
        <f>IF(Tabela1[[#This Row],[promien]]=40000,1,0)</f>
        <v>0</v>
      </c>
      <c r="F2615" s="1">
        <v>3.178585086042065</v>
      </c>
      <c r="G2615" s="1">
        <v>3.6992432452271906E-2</v>
      </c>
    </row>
    <row r="2616" spans="1:7">
      <c r="A2616">
        <v>251</v>
      </c>
      <c r="B2616">
        <v>62</v>
      </c>
      <c r="C2616" s="1">
        <f>(Tabela1[[#This Row],[x]]-H$3)*(Tabela1[[#This Row],[x]]-H$3) +(Tabela1[[#This Row],[y]]-H$4)*(Tabela1[[#This Row],[y]]-H$4)</f>
        <v>21645</v>
      </c>
      <c r="D2616" s="1">
        <f>IF(Tabela1[[#This Row],[promien]]&lt;40000,1,0)</f>
        <v>1</v>
      </c>
      <c r="E2616" s="1">
        <f>IF(Tabela1[[#This Row],[promien]]=40000,1,0)</f>
        <v>0</v>
      </c>
      <c r="F2616" s="1">
        <v>3.1788990825688073</v>
      </c>
      <c r="G2616" s="1">
        <v>3.730642897901415E-2</v>
      </c>
    </row>
    <row r="2617" spans="1:7">
      <c r="A2617">
        <v>73</v>
      </c>
      <c r="B2617">
        <v>268</v>
      </c>
      <c r="C2617" s="1">
        <f>(Tabela1[[#This Row],[x]]-H$3)*(Tabela1[[#This Row],[x]]-H$3) +(Tabela1[[#This Row],[y]]-H$4)*(Tabela1[[#This Row],[y]]-H$4)</f>
        <v>20753</v>
      </c>
      <c r="D2617" s="1">
        <f>IF(Tabela1[[#This Row],[promien]]&lt;40000,1,0)</f>
        <v>1</v>
      </c>
      <c r="E2617" s="1">
        <f>IF(Tabela1[[#This Row],[promien]]=40000,1,0)</f>
        <v>0</v>
      </c>
      <c r="F2617" s="1">
        <v>3.1792128391287733</v>
      </c>
      <c r="G2617" s="1">
        <v>3.7620185538980166E-2</v>
      </c>
    </row>
    <row r="2618" spans="1:7">
      <c r="A2618">
        <v>382</v>
      </c>
      <c r="B2618">
        <v>127</v>
      </c>
      <c r="C2618" s="1">
        <f>(Tabela1[[#This Row],[x]]-H$3)*(Tabela1[[#This Row],[x]]-H$3) +(Tabela1[[#This Row],[y]]-H$4)*(Tabela1[[#This Row],[y]]-H$4)</f>
        <v>38453</v>
      </c>
      <c r="D2618" s="1">
        <f>IF(Tabela1[[#This Row],[promien]]&lt;40000,1,0)</f>
        <v>1</v>
      </c>
      <c r="E2618" s="1">
        <f>IF(Tabela1[[#This Row],[promien]]=40000,1,0)</f>
        <v>0</v>
      </c>
      <c r="F2618" s="1">
        <v>3.1795263559969444</v>
      </c>
      <c r="G2618" s="1">
        <v>3.7933702407151326E-2</v>
      </c>
    </row>
    <row r="2619" spans="1:7">
      <c r="A2619">
        <v>108</v>
      </c>
      <c r="B2619">
        <v>356</v>
      </c>
      <c r="C2619" s="1">
        <f>(Tabela1[[#This Row],[x]]-H$3)*(Tabela1[[#This Row],[x]]-H$3) +(Tabela1[[#This Row],[y]]-H$4)*(Tabela1[[#This Row],[y]]-H$4)</f>
        <v>32800</v>
      </c>
      <c r="D2619" s="1">
        <f>IF(Tabela1[[#This Row],[promien]]&lt;40000,1,0)</f>
        <v>1</v>
      </c>
      <c r="E2619" s="1">
        <f>IF(Tabela1[[#This Row],[promien]]=40000,1,0)</f>
        <v>0</v>
      </c>
      <c r="F2619" s="1">
        <v>3.1798396334478807</v>
      </c>
      <c r="G2619" s="1">
        <v>3.824697985808756E-2</v>
      </c>
    </row>
    <row r="2620" spans="1:7">
      <c r="A2620">
        <v>382</v>
      </c>
      <c r="B2620">
        <v>323</v>
      </c>
      <c r="C2620" s="1">
        <f>(Tabela1[[#This Row],[x]]-H$3)*(Tabela1[[#This Row],[x]]-H$3) +(Tabela1[[#This Row],[y]]-H$4)*(Tabela1[[#This Row],[y]]-H$4)</f>
        <v>48253</v>
      </c>
      <c r="D2620" s="1">
        <f>IF(Tabela1[[#This Row],[promien]]&lt;40000,1,0)</f>
        <v>0</v>
      </c>
      <c r="E2620" s="1">
        <f>IF(Tabela1[[#This Row],[promien]]=40000,1,0)</f>
        <v>0</v>
      </c>
      <c r="F2620" s="1">
        <v>3.1786259541984734</v>
      </c>
      <c r="G2620" s="1">
        <v>3.7033300608680264E-2</v>
      </c>
    </row>
    <row r="2621" spans="1:7">
      <c r="A2621">
        <v>201</v>
      </c>
      <c r="B2621">
        <v>49</v>
      </c>
      <c r="C2621" s="1">
        <f>(Tabela1[[#This Row],[x]]-H$3)*(Tabela1[[#This Row],[x]]-H$3) +(Tabela1[[#This Row],[y]]-H$4)*(Tabela1[[#This Row],[y]]-H$4)</f>
        <v>22802</v>
      </c>
      <c r="D2621" s="1">
        <f>IF(Tabela1[[#This Row],[promien]]&lt;40000,1,0)</f>
        <v>1</v>
      </c>
      <c r="E2621" s="1">
        <f>IF(Tabela1[[#This Row],[promien]]=40000,1,0)</f>
        <v>0</v>
      </c>
      <c r="F2621" s="1">
        <v>3.1789393361312475</v>
      </c>
      <c r="G2621" s="1">
        <v>3.7346682541454346E-2</v>
      </c>
    </row>
    <row r="2622" spans="1:7">
      <c r="A2622">
        <v>346</v>
      </c>
      <c r="B2622">
        <v>340</v>
      </c>
      <c r="C2622" s="1">
        <f>(Tabela1[[#This Row],[x]]-H$3)*(Tabela1[[#This Row],[x]]-H$3) +(Tabela1[[#This Row],[y]]-H$4)*(Tabela1[[#This Row],[y]]-H$4)</f>
        <v>40916</v>
      </c>
      <c r="D2622" s="1">
        <f>IF(Tabela1[[#This Row],[promien]]&lt;40000,1,0)</f>
        <v>0</v>
      </c>
      <c r="E2622" s="1">
        <f>IF(Tabela1[[#This Row],[promien]]=40000,1,0)</f>
        <v>0</v>
      </c>
      <c r="F2622" s="1">
        <v>3.1777269260106791</v>
      </c>
      <c r="G2622" s="1">
        <v>3.613427242088596E-2</v>
      </c>
    </row>
    <row r="2623" spans="1:7">
      <c r="A2623">
        <v>239</v>
      </c>
      <c r="B2623">
        <v>5</v>
      </c>
      <c r="C2623" s="1">
        <f>(Tabela1[[#This Row],[x]]-H$3)*(Tabela1[[#This Row],[x]]-H$3) +(Tabela1[[#This Row],[y]]-H$4)*(Tabela1[[#This Row],[y]]-H$4)</f>
        <v>39546</v>
      </c>
      <c r="D2623" s="1">
        <f>IF(Tabela1[[#This Row],[promien]]&lt;40000,1,0)</f>
        <v>1</v>
      </c>
      <c r="E2623" s="1">
        <f>IF(Tabela1[[#This Row],[promien]]=40000,1,0)</f>
        <v>0</v>
      </c>
      <c r="F2623" s="1">
        <v>3.17804041174228</v>
      </c>
      <c r="G2623" s="1">
        <v>3.6447758152486909E-2</v>
      </c>
    </row>
    <row r="2624" spans="1:7">
      <c r="A2624">
        <v>330</v>
      </c>
      <c r="B2624">
        <v>166</v>
      </c>
      <c r="C2624" s="1">
        <f>(Tabela1[[#This Row],[x]]-H$3)*(Tabela1[[#This Row],[x]]-H$3) +(Tabela1[[#This Row],[y]]-H$4)*(Tabela1[[#This Row],[y]]-H$4)</f>
        <v>18056</v>
      </c>
      <c r="D2624" s="1">
        <f>IF(Tabela1[[#This Row],[promien]]&lt;40000,1,0)</f>
        <v>1</v>
      </c>
      <c r="E2624" s="1">
        <f>IF(Tabela1[[#This Row],[promien]]=40000,1,0)</f>
        <v>0</v>
      </c>
      <c r="F2624" s="1">
        <v>3.1783536585365852</v>
      </c>
      <c r="G2624" s="1">
        <v>3.6761004946792131E-2</v>
      </c>
    </row>
    <row r="2625" spans="1:7">
      <c r="A2625">
        <v>367</v>
      </c>
      <c r="B2625">
        <v>291</v>
      </c>
      <c r="C2625" s="1">
        <f>(Tabela1[[#This Row],[x]]-H$3)*(Tabela1[[#This Row],[x]]-H$3) +(Tabela1[[#This Row],[y]]-H$4)*(Tabela1[[#This Row],[y]]-H$4)</f>
        <v>36170</v>
      </c>
      <c r="D2625" s="1">
        <f>IF(Tabela1[[#This Row],[promien]]&lt;40000,1,0)</f>
        <v>1</v>
      </c>
      <c r="E2625" s="1">
        <f>IF(Tabela1[[#This Row],[promien]]=40000,1,0)</f>
        <v>0</v>
      </c>
      <c r="F2625" s="1">
        <v>3.1786666666666665</v>
      </c>
      <c r="G2625" s="1">
        <v>3.7074013076873413E-2</v>
      </c>
    </row>
    <row r="2626" spans="1:7">
      <c r="A2626">
        <v>169</v>
      </c>
      <c r="B2626">
        <v>232</v>
      </c>
      <c r="C2626" s="1">
        <f>(Tabela1[[#This Row],[x]]-H$3)*(Tabela1[[#This Row],[x]]-H$3) +(Tabela1[[#This Row],[y]]-H$4)*(Tabela1[[#This Row],[y]]-H$4)</f>
        <v>1985</v>
      </c>
      <c r="D2626" s="1">
        <f>IF(Tabela1[[#This Row],[promien]]&lt;40000,1,0)</f>
        <v>1</v>
      </c>
      <c r="E2626" s="1">
        <f>IF(Tabela1[[#This Row],[promien]]=40000,1,0)</f>
        <v>0</v>
      </c>
      <c r="F2626" s="1">
        <v>3.1789794364051791</v>
      </c>
      <c r="G2626" s="1">
        <v>3.7386782815385988E-2</v>
      </c>
    </row>
    <row r="2627" spans="1:7">
      <c r="A2627">
        <v>177</v>
      </c>
      <c r="B2627">
        <v>159</v>
      </c>
      <c r="C2627" s="1">
        <f>(Tabela1[[#This Row],[x]]-H$3)*(Tabela1[[#This Row],[x]]-H$3) +(Tabela1[[#This Row],[y]]-H$4)*(Tabela1[[#This Row],[y]]-H$4)</f>
        <v>2210</v>
      </c>
      <c r="D2627" s="1">
        <f>IF(Tabela1[[#This Row],[promien]]&lt;40000,1,0)</f>
        <v>1</v>
      </c>
      <c r="E2627" s="1">
        <f>IF(Tabela1[[#This Row],[promien]]=40000,1,0)</f>
        <v>0</v>
      </c>
      <c r="F2627" s="1">
        <v>3.1792919680243625</v>
      </c>
      <c r="G2627" s="1">
        <v>3.769931443456942E-2</v>
      </c>
    </row>
    <row r="2628" spans="1:7">
      <c r="A2628">
        <v>307</v>
      </c>
      <c r="B2628">
        <v>120</v>
      </c>
      <c r="C2628" s="1">
        <f>(Tabela1[[#This Row],[x]]-H$3)*(Tabela1[[#This Row],[x]]-H$3) +(Tabela1[[#This Row],[y]]-H$4)*(Tabela1[[#This Row],[y]]-H$4)</f>
        <v>17849</v>
      </c>
      <c r="D2628" s="1">
        <f>IF(Tabela1[[#This Row],[promien]]&lt;40000,1,0)</f>
        <v>1</v>
      </c>
      <c r="E2628" s="1">
        <f>IF(Tabela1[[#This Row],[promien]]=40000,1,0)</f>
        <v>0</v>
      </c>
      <c r="F2628" s="1">
        <v>3.1796042617960425</v>
      </c>
      <c r="G2628" s="1">
        <v>3.8011608206249381E-2</v>
      </c>
    </row>
    <row r="2629" spans="1:7">
      <c r="A2629">
        <v>47</v>
      </c>
      <c r="B2629">
        <v>210</v>
      </c>
      <c r="C2629" s="1">
        <f>(Tabela1[[#This Row],[x]]-H$3)*(Tabela1[[#This Row],[x]]-H$3) +(Tabela1[[#This Row],[y]]-H$4)*(Tabela1[[#This Row],[y]]-H$4)</f>
        <v>23509</v>
      </c>
      <c r="D2629" s="1">
        <f>IF(Tabela1[[#This Row],[promien]]&lt;40000,1,0)</f>
        <v>1</v>
      </c>
      <c r="E2629" s="1">
        <f>IF(Tabela1[[#This Row],[promien]]=40000,1,0)</f>
        <v>0</v>
      </c>
      <c r="F2629" s="1">
        <v>3.1799163179916317</v>
      </c>
      <c r="G2629" s="1">
        <v>3.8323664401838542E-2</v>
      </c>
    </row>
    <row r="2630" spans="1:7">
      <c r="A2630">
        <v>271</v>
      </c>
      <c r="B2630">
        <v>358</v>
      </c>
      <c r="C2630" s="1">
        <f>(Tabela1[[#This Row],[x]]-H$3)*(Tabela1[[#This Row],[x]]-H$3) +(Tabela1[[#This Row],[y]]-H$4)*(Tabela1[[#This Row],[y]]-H$4)</f>
        <v>30005</v>
      </c>
      <c r="D2630" s="1">
        <f>IF(Tabela1[[#This Row],[promien]]&lt;40000,1,0)</f>
        <v>1</v>
      </c>
      <c r="E2630" s="1">
        <f>IF(Tabela1[[#This Row],[promien]]=40000,1,0)</f>
        <v>0</v>
      </c>
      <c r="F2630" s="1">
        <v>3.1802281368821292</v>
      </c>
      <c r="G2630" s="1">
        <v>3.8635483292336126E-2</v>
      </c>
    </row>
    <row r="2631" spans="1:7">
      <c r="A2631">
        <v>263</v>
      </c>
      <c r="B2631">
        <v>155</v>
      </c>
      <c r="C2631" s="1">
        <f>(Tabela1[[#This Row],[x]]-H$3)*(Tabela1[[#This Row],[x]]-H$3) +(Tabela1[[#This Row],[y]]-H$4)*(Tabela1[[#This Row],[y]]-H$4)</f>
        <v>5994</v>
      </c>
      <c r="D2631" s="1">
        <f>IF(Tabela1[[#This Row],[promien]]&lt;40000,1,0)</f>
        <v>1</v>
      </c>
      <c r="E2631" s="1">
        <f>IF(Tabela1[[#This Row],[promien]]=40000,1,0)</f>
        <v>0</v>
      </c>
      <c r="F2631" s="1">
        <v>3.1805397187381224</v>
      </c>
      <c r="G2631" s="1">
        <v>3.8947065148329241E-2</v>
      </c>
    </row>
    <row r="2632" spans="1:7">
      <c r="A2632">
        <v>214</v>
      </c>
      <c r="B2632">
        <v>185</v>
      </c>
      <c r="C2632" s="1">
        <f>(Tabela1[[#This Row],[x]]-H$3)*(Tabela1[[#This Row],[x]]-H$3) +(Tabela1[[#This Row],[y]]-H$4)*(Tabela1[[#This Row],[y]]-H$4)</f>
        <v>421</v>
      </c>
      <c r="D2632" s="1">
        <f>IF(Tabela1[[#This Row],[promien]]&lt;40000,1,0)</f>
        <v>1</v>
      </c>
      <c r="E2632" s="1">
        <f>IF(Tabela1[[#This Row],[promien]]=40000,1,0)</f>
        <v>0</v>
      </c>
      <c r="F2632" s="1">
        <v>3.1808510638297873</v>
      </c>
      <c r="G2632" s="1">
        <v>3.9258410239994213E-2</v>
      </c>
    </row>
    <row r="2633" spans="1:7">
      <c r="A2633">
        <v>243</v>
      </c>
      <c r="B2633">
        <v>355</v>
      </c>
      <c r="C2633" s="1">
        <f>(Tabela1[[#This Row],[x]]-H$3)*(Tabela1[[#This Row],[x]]-H$3) +(Tabela1[[#This Row],[y]]-H$4)*(Tabela1[[#This Row],[y]]-H$4)</f>
        <v>25874</v>
      </c>
      <c r="D2633" s="1">
        <f>IF(Tabela1[[#This Row],[promien]]&lt;40000,1,0)</f>
        <v>1</v>
      </c>
      <c r="E2633" s="1">
        <f>IF(Tabela1[[#This Row],[promien]]=40000,1,0)</f>
        <v>0</v>
      </c>
      <c r="F2633" s="1">
        <v>3.1811621724268897</v>
      </c>
      <c r="G2633" s="1">
        <v>3.9569518837096584E-2</v>
      </c>
    </row>
    <row r="2634" spans="1:7">
      <c r="A2634">
        <v>322</v>
      </c>
      <c r="B2634">
        <v>325</v>
      </c>
      <c r="C2634" s="1">
        <f>(Tabela1[[#This Row],[x]]-H$3)*(Tabela1[[#This Row],[x]]-H$3) +(Tabela1[[#This Row],[y]]-H$4)*(Tabela1[[#This Row],[y]]-H$4)</f>
        <v>30509</v>
      </c>
      <c r="D2634" s="1">
        <f>IF(Tabela1[[#This Row],[promien]]&lt;40000,1,0)</f>
        <v>1</v>
      </c>
      <c r="E2634" s="1">
        <f>IF(Tabela1[[#This Row],[promien]]=40000,1,0)</f>
        <v>0</v>
      </c>
      <c r="F2634" s="1">
        <v>3.1814730447987851</v>
      </c>
      <c r="G2634" s="1">
        <v>3.9880391208992005E-2</v>
      </c>
    </row>
    <row r="2635" spans="1:7">
      <c r="A2635">
        <v>7</v>
      </c>
      <c r="B2635">
        <v>350</v>
      </c>
      <c r="C2635" s="1">
        <f>(Tabela1[[#This Row],[x]]-H$3)*(Tabela1[[#This Row],[x]]-H$3) +(Tabela1[[#This Row],[y]]-H$4)*(Tabela1[[#This Row],[y]]-H$4)</f>
        <v>59749</v>
      </c>
      <c r="D2635" s="1">
        <f>IF(Tabela1[[#This Row],[promien]]&lt;40000,1,0)</f>
        <v>0</v>
      </c>
      <c r="E2635" s="1">
        <f>IF(Tabela1[[#This Row],[promien]]=40000,1,0)</f>
        <v>0</v>
      </c>
      <c r="F2635" s="1">
        <v>3.1802656546489563</v>
      </c>
      <c r="G2635" s="1">
        <v>3.8673001059163159E-2</v>
      </c>
    </row>
    <row r="2636" spans="1:7">
      <c r="A2636">
        <v>380</v>
      </c>
      <c r="B2636">
        <v>178</v>
      </c>
      <c r="C2636" s="1">
        <f>(Tabela1[[#This Row],[x]]-H$3)*(Tabela1[[#This Row],[x]]-H$3) +(Tabela1[[#This Row],[y]]-H$4)*(Tabela1[[#This Row],[y]]-H$4)</f>
        <v>32884</v>
      </c>
      <c r="D2636" s="1">
        <f>IF(Tabela1[[#This Row],[promien]]&lt;40000,1,0)</f>
        <v>1</v>
      </c>
      <c r="E2636" s="1">
        <f>IF(Tabela1[[#This Row],[promien]]=40000,1,0)</f>
        <v>0</v>
      </c>
      <c r="F2636" s="1">
        <v>3.1805766312594841</v>
      </c>
      <c r="G2636" s="1">
        <v>3.8983977669690972E-2</v>
      </c>
    </row>
    <row r="2637" spans="1:7">
      <c r="A2637">
        <v>287</v>
      </c>
      <c r="B2637">
        <v>287</v>
      </c>
      <c r="C2637" s="1">
        <f>(Tabela1[[#This Row],[x]]-H$3)*(Tabela1[[#This Row],[x]]-H$3) +(Tabela1[[#This Row],[y]]-H$4)*(Tabela1[[#This Row],[y]]-H$4)</f>
        <v>15138</v>
      </c>
      <c r="D2637" s="1">
        <f>IF(Tabela1[[#This Row],[promien]]&lt;40000,1,0)</f>
        <v>1</v>
      </c>
      <c r="E2637" s="1">
        <f>IF(Tabela1[[#This Row],[promien]]=40000,1,0)</f>
        <v>0</v>
      </c>
      <c r="F2637" s="1">
        <v>3.1808873720136517</v>
      </c>
      <c r="G2637" s="1">
        <v>3.9294718423858566E-2</v>
      </c>
    </row>
    <row r="2638" spans="1:7">
      <c r="A2638">
        <v>26</v>
      </c>
      <c r="B2638">
        <v>192</v>
      </c>
      <c r="C2638" s="1">
        <f>(Tabela1[[#This Row],[x]]-H$3)*(Tabela1[[#This Row],[x]]-H$3) +(Tabela1[[#This Row],[y]]-H$4)*(Tabela1[[#This Row],[y]]-H$4)</f>
        <v>30340</v>
      </c>
      <c r="D2638" s="1">
        <f>IF(Tabela1[[#This Row],[promien]]&lt;40000,1,0)</f>
        <v>1</v>
      </c>
      <c r="E2638" s="1">
        <f>IF(Tabela1[[#This Row],[promien]]=40000,1,0)</f>
        <v>0</v>
      </c>
      <c r="F2638" s="1">
        <v>3.1811978771796814</v>
      </c>
      <c r="G2638" s="1">
        <v>3.9605223589888272E-2</v>
      </c>
    </row>
    <row r="2639" spans="1:7">
      <c r="A2639">
        <v>41</v>
      </c>
      <c r="B2639">
        <v>50</v>
      </c>
      <c r="C2639" s="1">
        <f>(Tabela1[[#This Row],[x]]-H$3)*(Tabela1[[#This Row],[x]]-H$3) +(Tabela1[[#This Row],[y]]-H$4)*(Tabela1[[#This Row],[y]]-H$4)</f>
        <v>47781</v>
      </c>
      <c r="D2639" s="1">
        <f>IF(Tabela1[[#This Row],[promien]]&lt;40000,1,0)</f>
        <v>0</v>
      </c>
      <c r="E2639" s="1">
        <f>IF(Tabela1[[#This Row],[promien]]=40000,1,0)</f>
        <v>0</v>
      </c>
      <c r="F2639" s="1">
        <v>3.1799924213717317</v>
      </c>
      <c r="G2639" s="1">
        <v>3.8399767781938543E-2</v>
      </c>
    </row>
    <row r="2640" spans="1:7">
      <c r="A2640">
        <v>212</v>
      </c>
      <c r="B2640">
        <v>320</v>
      </c>
      <c r="C2640" s="1">
        <f>(Tabela1[[#This Row],[x]]-H$3)*(Tabela1[[#This Row],[x]]-H$3) +(Tabela1[[#This Row],[y]]-H$4)*(Tabela1[[#This Row],[y]]-H$4)</f>
        <v>14544</v>
      </c>
      <c r="D2640" s="1">
        <f>IF(Tabela1[[#This Row],[promien]]&lt;40000,1,0)</f>
        <v>1</v>
      </c>
      <c r="E2640" s="1">
        <f>IF(Tabela1[[#This Row],[promien]]=40000,1,0)</f>
        <v>0</v>
      </c>
      <c r="F2640" s="1">
        <v>3.1803030303030302</v>
      </c>
      <c r="G2640" s="1">
        <v>3.8710376713237071E-2</v>
      </c>
    </row>
    <row r="2641" spans="1:7">
      <c r="A2641">
        <v>237</v>
      </c>
      <c r="B2641">
        <v>59</v>
      </c>
      <c r="C2641" s="1">
        <f>(Tabela1[[#This Row],[x]]-H$3)*(Tabela1[[#This Row],[x]]-H$3) +(Tabela1[[#This Row],[y]]-H$4)*(Tabela1[[#This Row],[y]]-H$4)</f>
        <v>21250</v>
      </c>
      <c r="D2641" s="1">
        <f>IF(Tabela1[[#This Row],[promien]]&lt;40000,1,0)</f>
        <v>1</v>
      </c>
      <c r="E2641" s="1">
        <f>IF(Tabela1[[#This Row],[promien]]=40000,1,0)</f>
        <v>0</v>
      </c>
      <c r="F2641" s="1">
        <v>3.1806134040136311</v>
      </c>
      <c r="G2641" s="1">
        <v>3.9020750423838013E-2</v>
      </c>
    </row>
    <row r="2642" spans="1:7">
      <c r="A2642">
        <v>224</v>
      </c>
      <c r="B2642">
        <v>323</v>
      </c>
      <c r="C2642" s="1">
        <f>(Tabela1[[#This Row],[x]]-H$3)*(Tabela1[[#This Row],[x]]-H$3) +(Tabela1[[#This Row],[y]]-H$4)*(Tabela1[[#This Row],[y]]-H$4)</f>
        <v>15705</v>
      </c>
      <c r="D2642" s="1">
        <f>IF(Tabela1[[#This Row],[promien]]&lt;40000,1,0)</f>
        <v>1</v>
      </c>
      <c r="E2642" s="1">
        <f>IF(Tabela1[[#This Row],[promien]]=40000,1,0)</f>
        <v>0</v>
      </c>
      <c r="F2642" s="1">
        <v>3.1809235427706284</v>
      </c>
      <c r="G2642" s="1">
        <v>3.9330889180835271E-2</v>
      </c>
    </row>
    <row r="2643" spans="1:7">
      <c r="A2643">
        <v>106</v>
      </c>
      <c r="B2643">
        <v>7</v>
      </c>
      <c r="C2643" s="1">
        <f>(Tabela1[[#This Row],[x]]-H$3)*(Tabela1[[#This Row],[x]]-H$3) +(Tabela1[[#This Row],[y]]-H$4)*(Tabela1[[#This Row],[y]]-H$4)</f>
        <v>46085</v>
      </c>
      <c r="D2643" s="1">
        <f>IF(Tabela1[[#This Row],[promien]]&lt;40000,1,0)</f>
        <v>0</v>
      </c>
      <c r="E2643" s="1">
        <f>IF(Tabela1[[#This Row],[promien]]=40000,1,0)</f>
        <v>0</v>
      </c>
      <c r="F2643" s="1">
        <v>3.179720015134317</v>
      </c>
      <c r="G2643" s="1">
        <v>3.8127361544523897E-2</v>
      </c>
    </row>
    <row r="2644" spans="1:7">
      <c r="A2644">
        <v>138</v>
      </c>
      <c r="B2644">
        <v>227</v>
      </c>
      <c r="C2644" s="1">
        <f>(Tabela1[[#This Row],[x]]-H$3)*(Tabela1[[#This Row],[x]]-H$3) +(Tabela1[[#This Row],[y]]-H$4)*(Tabela1[[#This Row],[y]]-H$4)</f>
        <v>4573</v>
      </c>
      <c r="D2644" s="1">
        <f>IF(Tabela1[[#This Row],[promien]]&lt;40000,1,0)</f>
        <v>1</v>
      </c>
      <c r="E2644" s="1">
        <f>IF(Tabela1[[#This Row],[promien]]=40000,1,0)</f>
        <v>0</v>
      </c>
      <c r="F2644" s="1">
        <v>3.1800302571860817</v>
      </c>
      <c r="G2644" s="1">
        <v>3.8437603596288561E-2</v>
      </c>
    </row>
    <row r="2645" spans="1:7">
      <c r="A2645">
        <v>238</v>
      </c>
      <c r="B2645">
        <v>366</v>
      </c>
      <c r="C2645" s="1">
        <f>(Tabela1[[#This Row],[x]]-H$3)*(Tabela1[[#This Row],[x]]-H$3) +(Tabela1[[#This Row],[y]]-H$4)*(Tabela1[[#This Row],[y]]-H$4)</f>
        <v>29000</v>
      </c>
      <c r="D2645" s="1">
        <f>IF(Tabela1[[#This Row],[promien]]&lt;40000,1,0)</f>
        <v>1</v>
      </c>
      <c r="E2645" s="1">
        <f>IF(Tabela1[[#This Row],[promien]]=40000,1,0)</f>
        <v>0</v>
      </c>
      <c r="F2645" s="1">
        <v>3.1803402646502836</v>
      </c>
      <c r="G2645" s="1">
        <v>3.8747611060490517E-2</v>
      </c>
    </row>
    <row r="2646" spans="1:7">
      <c r="A2646">
        <v>179</v>
      </c>
      <c r="B2646">
        <v>73</v>
      </c>
      <c r="C2646" s="1">
        <f>(Tabela1[[#This Row],[x]]-H$3)*(Tabela1[[#This Row],[x]]-H$3) +(Tabela1[[#This Row],[y]]-H$4)*(Tabela1[[#This Row],[y]]-H$4)</f>
        <v>16570</v>
      </c>
      <c r="D2646" s="1">
        <f>IF(Tabela1[[#This Row],[promien]]&lt;40000,1,0)</f>
        <v>1</v>
      </c>
      <c r="E2646" s="1">
        <f>IF(Tabela1[[#This Row],[promien]]=40000,1,0)</f>
        <v>0</v>
      </c>
      <c r="F2646" s="1">
        <v>3.180650037792895</v>
      </c>
      <c r="G2646" s="1">
        <v>3.9057384203101897E-2</v>
      </c>
    </row>
    <row r="2647" spans="1:7">
      <c r="A2647">
        <v>143</v>
      </c>
      <c r="B2647">
        <v>357</v>
      </c>
      <c r="C2647" s="1">
        <f>(Tabela1[[#This Row],[x]]-H$3)*(Tabela1[[#This Row],[x]]-H$3) +(Tabela1[[#This Row],[y]]-H$4)*(Tabela1[[#This Row],[y]]-H$4)</f>
        <v>27898</v>
      </c>
      <c r="D2647" s="1">
        <f>IF(Tabela1[[#This Row],[promien]]&lt;40000,1,0)</f>
        <v>1</v>
      </c>
      <c r="E2647" s="1">
        <f>IF(Tabela1[[#This Row],[promien]]=40000,1,0)</f>
        <v>0</v>
      </c>
      <c r="F2647" s="1">
        <v>3.1809595768794861</v>
      </c>
      <c r="G2647" s="1">
        <v>3.9366923289692934E-2</v>
      </c>
    </row>
    <row r="2648" spans="1:7">
      <c r="A2648">
        <v>141</v>
      </c>
      <c r="B2648">
        <v>107</v>
      </c>
      <c r="C2648" s="1">
        <f>(Tabela1[[#This Row],[x]]-H$3)*(Tabela1[[#This Row],[x]]-H$3) +(Tabela1[[#This Row],[y]]-H$4)*(Tabela1[[#This Row],[y]]-H$4)</f>
        <v>12130</v>
      </c>
      <c r="D2648" s="1">
        <f>IF(Tabela1[[#This Row],[promien]]&lt;40000,1,0)</f>
        <v>1</v>
      </c>
      <c r="E2648" s="1">
        <f>IF(Tabela1[[#This Row],[promien]]=40000,1,0)</f>
        <v>0</v>
      </c>
      <c r="F2648" s="1">
        <v>3.1812688821752264</v>
      </c>
      <c r="G2648" s="1">
        <v>3.9676228585433293E-2</v>
      </c>
    </row>
    <row r="2649" spans="1:7">
      <c r="A2649">
        <v>344</v>
      </c>
      <c r="B2649">
        <v>49</v>
      </c>
      <c r="C2649" s="1">
        <f>(Tabela1[[#This Row],[x]]-H$3)*(Tabela1[[#This Row],[x]]-H$3) +(Tabela1[[#This Row],[y]]-H$4)*(Tabela1[[#This Row],[y]]-H$4)</f>
        <v>43537</v>
      </c>
      <c r="D2649" s="1">
        <f>IF(Tabela1[[#This Row],[promien]]&lt;40000,1,0)</f>
        <v>0</v>
      </c>
      <c r="E2649" s="1">
        <f>IF(Tabela1[[#This Row],[promien]]=40000,1,0)</f>
        <v>0</v>
      </c>
      <c r="F2649" s="1">
        <v>3.1800679501698754</v>
      </c>
      <c r="G2649" s="1">
        <v>3.8475296580082308E-2</v>
      </c>
    </row>
    <row r="2650" spans="1:7">
      <c r="A2650">
        <v>66</v>
      </c>
      <c r="B2650">
        <v>334</v>
      </c>
      <c r="C2650" s="1">
        <f>(Tabela1[[#This Row],[x]]-H$3)*(Tabela1[[#This Row],[x]]-H$3) +(Tabela1[[#This Row],[y]]-H$4)*(Tabela1[[#This Row],[y]]-H$4)</f>
        <v>35912</v>
      </c>
      <c r="D2650" s="1">
        <f>IF(Tabela1[[#This Row],[promien]]&lt;40000,1,0)</f>
        <v>1</v>
      </c>
      <c r="E2650" s="1">
        <f>IF(Tabela1[[#This Row],[promien]]=40000,1,0)</f>
        <v>0</v>
      </c>
      <c r="F2650" s="1">
        <v>3.1803773584905661</v>
      </c>
      <c r="G2650" s="1">
        <v>3.8784704900773015E-2</v>
      </c>
    </row>
    <row r="2651" spans="1:7">
      <c r="A2651">
        <v>156</v>
      </c>
      <c r="B2651">
        <v>110</v>
      </c>
      <c r="C2651" s="1">
        <f>(Tabela1[[#This Row],[x]]-H$3)*(Tabela1[[#This Row],[x]]-H$3) +(Tabela1[[#This Row],[y]]-H$4)*(Tabela1[[#This Row],[y]]-H$4)</f>
        <v>10036</v>
      </c>
      <c r="D2651" s="1">
        <f>IF(Tabela1[[#This Row],[promien]]&lt;40000,1,0)</f>
        <v>1</v>
      </c>
      <c r="E2651" s="1">
        <f>IF(Tabela1[[#This Row],[promien]]=40000,1,0)</f>
        <v>0</v>
      </c>
      <c r="F2651" s="1">
        <v>3.1806865333836289</v>
      </c>
      <c r="G2651" s="1">
        <v>3.9093879793835828E-2</v>
      </c>
    </row>
    <row r="2652" spans="1:7">
      <c r="A2652">
        <v>228</v>
      </c>
      <c r="B2652">
        <v>268</v>
      </c>
      <c r="C2652" s="1">
        <f>(Tabela1[[#This Row],[x]]-H$3)*(Tabela1[[#This Row],[x]]-H$3) +(Tabela1[[#This Row],[y]]-H$4)*(Tabela1[[#This Row],[y]]-H$4)</f>
        <v>5408</v>
      </c>
      <c r="D2652" s="1">
        <f>IF(Tabela1[[#This Row],[promien]]&lt;40000,1,0)</f>
        <v>1</v>
      </c>
      <c r="E2652" s="1">
        <f>IF(Tabela1[[#This Row],[promien]]=40000,1,0)</f>
        <v>0</v>
      </c>
      <c r="F2652" s="1">
        <v>3.180995475113122</v>
      </c>
      <c r="G2652" s="1">
        <v>3.9402821523328857E-2</v>
      </c>
    </row>
    <row r="2653" spans="1:7">
      <c r="A2653">
        <v>22</v>
      </c>
      <c r="B2653">
        <v>39</v>
      </c>
      <c r="C2653" s="1">
        <f>(Tabela1[[#This Row],[x]]-H$3)*(Tabela1[[#This Row],[x]]-H$3) +(Tabela1[[#This Row],[y]]-H$4)*(Tabela1[[#This Row],[y]]-H$4)</f>
        <v>57605</v>
      </c>
      <c r="D2653" s="1">
        <f>IF(Tabela1[[#This Row],[promien]]&lt;40000,1,0)</f>
        <v>0</v>
      </c>
      <c r="E2653" s="1">
        <f>IF(Tabela1[[#This Row],[promien]]=40000,1,0)</f>
        <v>0</v>
      </c>
      <c r="F2653" s="1">
        <v>3.1797964568413115</v>
      </c>
      <c r="G2653" s="1">
        <v>3.8203803251518398E-2</v>
      </c>
    </row>
    <row r="2654" spans="1:7">
      <c r="A2654">
        <v>128</v>
      </c>
      <c r="B2654">
        <v>296</v>
      </c>
      <c r="C2654" s="1">
        <f>(Tabela1[[#This Row],[x]]-H$3)*(Tabela1[[#This Row],[x]]-H$3) +(Tabela1[[#This Row],[y]]-H$4)*(Tabela1[[#This Row],[y]]-H$4)</f>
        <v>14400</v>
      </c>
      <c r="D2654" s="1">
        <f>IF(Tabela1[[#This Row],[promien]]&lt;40000,1,0)</f>
        <v>1</v>
      </c>
      <c r="E2654" s="1">
        <f>IF(Tabela1[[#This Row],[promien]]=40000,1,0)</f>
        <v>0</v>
      </c>
      <c r="F2654" s="1">
        <v>3.1801055011303694</v>
      </c>
      <c r="G2654" s="1">
        <v>3.8512847540576267E-2</v>
      </c>
    </row>
    <row r="2655" spans="1:7">
      <c r="A2655">
        <v>355</v>
      </c>
      <c r="B2655">
        <v>5</v>
      </c>
      <c r="C2655" s="1">
        <f>(Tabela1[[#This Row],[x]]-H$3)*(Tabela1[[#This Row],[x]]-H$3) +(Tabela1[[#This Row],[y]]-H$4)*(Tabela1[[#This Row],[y]]-H$4)</f>
        <v>62050</v>
      </c>
      <c r="D2655" s="1">
        <f>IF(Tabela1[[#This Row],[promien]]&lt;40000,1,0)</f>
        <v>0</v>
      </c>
      <c r="E2655" s="1">
        <f>IF(Tabela1[[#This Row],[promien]]=40000,1,0)</f>
        <v>0</v>
      </c>
      <c r="F2655" s="1">
        <v>3.1789077212806025</v>
      </c>
      <c r="G2655" s="1">
        <v>3.7315067690809389E-2</v>
      </c>
    </row>
    <row r="2656" spans="1:7">
      <c r="A2656">
        <v>76</v>
      </c>
      <c r="B2656">
        <v>83</v>
      </c>
      <c r="C2656" s="1">
        <f>(Tabela1[[#This Row],[x]]-H$3)*(Tabela1[[#This Row],[x]]-H$3) +(Tabela1[[#This Row],[y]]-H$4)*(Tabela1[[#This Row],[y]]-H$4)</f>
        <v>29065</v>
      </c>
      <c r="D2656" s="1">
        <f>IF(Tabela1[[#This Row],[promien]]&lt;40000,1,0)</f>
        <v>1</v>
      </c>
      <c r="E2656" s="1">
        <f>IF(Tabela1[[#This Row],[promien]]=40000,1,0)</f>
        <v>0</v>
      </c>
      <c r="F2656" s="1">
        <v>3.1792168674698793</v>
      </c>
      <c r="G2656" s="1">
        <v>3.7624213880086188E-2</v>
      </c>
    </row>
    <row r="2657" spans="1:7">
      <c r="A2657">
        <v>115</v>
      </c>
      <c r="B2657">
        <v>252</v>
      </c>
      <c r="C2657" s="1">
        <f>(Tabela1[[#This Row],[x]]-H$3)*(Tabela1[[#This Row],[x]]-H$3) +(Tabela1[[#This Row],[y]]-H$4)*(Tabela1[[#This Row],[y]]-H$4)</f>
        <v>9929</v>
      </c>
      <c r="D2657" s="1">
        <f>IF(Tabela1[[#This Row],[promien]]&lt;40000,1,0)</f>
        <v>1</v>
      </c>
      <c r="E2657" s="1">
        <f>IF(Tabela1[[#This Row],[promien]]=40000,1,0)</f>
        <v>0</v>
      </c>
      <c r="F2657" s="1">
        <v>3.1795257809559652</v>
      </c>
      <c r="G2657" s="1">
        <v>3.7933127366172048E-2</v>
      </c>
    </row>
    <row r="2658" spans="1:7">
      <c r="A2658">
        <v>255</v>
      </c>
      <c r="B2658">
        <v>234</v>
      </c>
      <c r="C2658" s="1">
        <f>(Tabela1[[#This Row],[x]]-H$3)*(Tabela1[[#This Row],[x]]-H$3) +(Tabela1[[#This Row],[y]]-H$4)*(Tabela1[[#This Row],[y]]-H$4)</f>
        <v>4181</v>
      </c>
      <c r="D2658" s="1">
        <f>IF(Tabela1[[#This Row],[promien]]&lt;40000,1,0)</f>
        <v>1</v>
      </c>
      <c r="E2658" s="1">
        <f>IF(Tabela1[[#This Row],[promien]]=40000,1,0)</f>
        <v>0</v>
      </c>
      <c r="F2658" s="1">
        <v>3.1798344620015051</v>
      </c>
      <c r="G2658" s="1">
        <v>3.8241808411711986E-2</v>
      </c>
    </row>
    <row r="2659" spans="1:7">
      <c r="A2659">
        <v>19</v>
      </c>
      <c r="B2659">
        <v>386</v>
      </c>
      <c r="C2659" s="1">
        <f>(Tabela1[[#This Row],[x]]-H$3)*(Tabela1[[#This Row],[x]]-H$3) +(Tabela1[[#This Row],[y]]-H$4)*(Tabela1[[#This Row],[y]]-H$4)</f>
        <v>67357</v>
      </c>
      <c r="D2659" s="1">
        <f>IF(Tabela1[[#This Row],[promien]]&lt;40000,1,0)</f>
        <v>0</v>
      </c>
      <c r="E2659" s="1">
        <f>IF(Tabela1[[#This Row],[promien]]=40000,1,0)</f>
        <v>0</v>
      </c>
      <c r="F2659" s="1">
        <v>3.1786385859345621</v>
      </c>
      <c r="G2659" s="1">
        <v>3.7045932344768939E-2</v>
      </c>
    </row>
    <row r="2660" spans="1:7">
      <c r="A2660">
        <v>378</v>
      </c>
      <c r="B2660">
        <v>200</v>
      </c>
      <c r="C2660" s="1">
        <f>(Tabela1[[#This Row],[x]]-H$3)*(Tabela1[[#This Row],[x]]-H$3) +(Tabela1[[#This Row],[y]]-H$4)*(Tabela1[[#This Row],[y]]-H$4)</f>
        <v>31684</v>
      </c>
      <c r="D2660" s="1">
        <f>IF(Tabela1[[#This Row],[promien]]&lt;40000,1,0)</f>
        <v>1</v>
      </c>
      <c r="E2660" s="1">
        <f>IF(Tabela1[[#This Row],[promien]]=40000,1,0)</f>
        <v>0</v>
      </c>
      <c r="F2660" s="1">
        <v>3.1789473684210527</v>
      </c>
      <c r="G2660" s="1">
        <v>3.7354714831259628E-2</v>
      </c>
    </row>
    <row r="2661" spans="1:7">
      <c r="A2661">
        <v>356</v>
      </c>
      <c r="B2661">
        <v>253</v>
      </c>
      <c r="C2661" s="1">
        <f>(Tabela1[[#This Row],[x]]-H$3)*(Tabela1[[#This Row],[x]]-H$3) +(Tabela1[[#This Row],[y]]-H$4)*(Tabela1[[#This Row],[y]]-H$4)</f>
        <v>27145</v>
      </c>
      <c r="D2661" s="1">
        <f>IF(Tabela1[[#This Row],[promien]]&lt;40000,1,0)</f>
        <v>1</v>
      </c>
      <c r="E2661" s="1">
        <f>IF(Tabela1[[#This Row],[promien]]=40000,1,0)</f>
        <v>0</v>
      </c>
      <c r="F2661" s="1">
        <v>3.1792559188275082</v>
      </c>
      <c r="G2661" s="1">
        <v>3.7663265237715127E-2</v>
      </c>
    </row>
    <row r="2662" spans="1:7">
      <c r="A2662">
        <v>307</v>
      </c>
      <c r="B2662">
        <v>69</v>
      </c>
      <c r="C2662" s="1">
        <f>(Tabela1[[#This Row],[x]]-H$3)*(Tabela1[[#This Row],[x]]-H$3) +(Tabela1[[#This Row],[y]]-H$4)*(Tabela1[[#This Row],[y]]-H$4)</f>
        <v>28610</v>
      </c>
      <c r="D2662" s="1">
        <f>IF(Tabela1[[#This Row],[promien]]&lt;40000,1,0)</f>
        <v>1</v>
      </c>
      <c r="E2662" s="1">
        <f>IF(Tabela1[[#This Row],[promien]]=40000,1,0)</f>
        <v>0</v>
      </c>
      <c r="F2662" s="1">
        <v>3.1795642374154771</v>
      </c>
      <c r="G2662" s="1">
        <v>3.7971583825683997E-2</v>
      </c>
    </row>
    <row r="2663" spans="1:7">
      <c r="A2663">
        <v>110</v>
      </c>
      <c r="B2663">
        <v>190</v>
      </c>
      <c r="C2663" s="1">
        <f>(Tabela1[[#This Row],[x]]-H$3)*(Tabela1[[#This Row],[x]]-H$3) +(Tabela1[[#This Row],[y]]-H$4)*(Tabela1[[#This Row],[y]]-H$4)</f>
        <v>8200</v>
      </c>
      <c r="D2663" s="1">
        <f>IF(Tabela1[[#This Row],[promien]]&lt;40000,1,0)</f>
        <v>1</v>
      </c>
      <c r="E2663" s="1">
        <f>IF(Tabela1[[#This Row],[promien]]=40000,1,0)</f>
        <v>0</v>
      </c>
      <c r="F2663" s="1">
        <v>3.1798723244461136</v>
      </c>
      <c r="G2663" s="1">
        <v>3.8279670856320447E-2</v>
      </c>
    </row>
    <row r="2664" spans="1:7">
      <c r="A2664">
        <v>395</v>
      </c>
      <c r="B2664">
        <v>301</v>
      </c>
      <c r="C2664" s="1">
        <f>(Tabela1[[#This Row],[x]]-H$3)*(Tabela1[[#This Row],[x]]-H$3) +(Tabela1[[#This Row],[y]]-H$4)*(Tabela1[[#This Row],[y]]-H$4)</f>
        <v>48226</v>
      </c>
      <c r="D2664" s="1">
        <f>IF(Tabela1[[#This Row],[promien]]&lt;40000,1,0)</f>
        <v>0</v>
      </c>
      <c r="E2664" s="1">
        <f>IF(Tabela1[[#This Row],[promien]]=40000,1,0)</f>
        <v>0</v>
      </c>
      <c r="F2664" s="1">
        <v>3.1786786786786787</v>
      </c>
      <c r="G2664" s="1">
        <v>3.7086025088885588E-2</v>
      </c>
    </row>
    <row r="2665" spans="1:7">
      <c r="A2665">
        <v>117</v>
      </c>
      <c r="B2665">
        <v>265</v>
      </c>
      <c r="C2665" s="1">
        <f>(Tabela1[[#This Row],[x]]-H$3)*(Tabela1[[#This Row],[x]]-H$3) +(Tabela1[[#This Row],[y]]-H$4)*(Tabela1[[#This Row],[y]]-H$4)</f>
        <v>11114</v>
      </c>
      <c r="D2665" s="1">
        <f>IF(Tabela1[[#This Row],[promien]]&lt;40000,1,0)</f>
        <v>1</v>
      </c>
      <c r="E2665" s="1">
        <f>IF(Tabela1[[#This Row],[promien]]=40000,1,0)</f>
        <v>0</v>
      </c>
      <c r="F2665" s="1">
        <v>3.1789868667917447</v>
      </c>
      <c r="G2665" s="1">
        <v>3.7394213201951576E-2</v>
      </c>
    </row>
    <row r="2666" spans="1:7">
      <c r="A2666">
        <v>31</v>
      </c>
      <c r="B2666">
        <v>303</v>
      </c>
      <c r="C2666" s="1">
        <f>(Tabela1[[#This Row],[x]]-H$3)*(Tabela1[[#This Row],[x]]-H$3) +(Tabela1[[#This Row],[y]]-H$4)*(Tabela1[[#This Row],[y]]-H$4)</f>
        <v>39170</v>
      </c>
      <c r="D2666" s="1">
        <f>IF(Tabela1[[#This Row],[promien]]&lt;40000,1,0)</f>
        <v>1</v>
      </c>
      <c r="E2666" s="1">
        <f>IF(Tabela1[[#This Row],[promien]]=40000,1,0)</f>
        <v>0</v>
      </c>
      <c r="F2666" s="1">
        <v>3.1792948237059266</v>
      </c>
      <c r="G2666" s="1">
        <v>3.7702170116133527E-2</v>
      </c>
    </row>
    <row r="2667" spans="1:7">
      <c r="A2667">
        <v>276</v>
      </c>
      <c r="B2667">
        <v>167</v>
      </c>
      <c r="C2667" s="1">
        <f>(Tabela1[[#This Row],[x]]-H$3)*(Tabela1[[#This Row],[x]]-H$3) +(Tabela1[[#This Row],[y]]-H$4)*(Tabela1[[#This Row],[y]]-H$4)</f>
        <v>6865</v>
      </c>
      <c r="D2667" s="1">
        <f>IF(Tabela1[[#This Row],[promien]]&lt;40000,1,0)</f>
        <v>1</v>
      </c>
      <c r="E2667" s="1">
        <f>IF(Tabela1[[#This Row],[promien]]=40000,1,0)</f>
        <v>0</v>
      </c>
      <c r="F2667" s="1">
        <v>3.1796025496812899</v>
      </c>
      <c r="G2667" s="1">
        <v>3.8009896091496742E-2</v>
      </c>
    </row>
    <row r="2668" spans="1:7">
      <c r="A2668">
        <v>233</v>
      </c>
      <c r="B2668">
        <v>5</v>
      </c>
      <c r="C2668" s="1">
        <f>(Tabela1[[#This Row],[x]]-H$3)*(Tabela1[[#This Row],[x]]-H$3) +(Tabela1[[#This Row],[y]]-H$4)*(Tabela1[[#This Row],[y]]-H$4)</f>
        <v>39114</v>
      </c>
      <c r="D2668" s="1">
        <f>IF(Tabela1[[#This Row],[promien]]&lt;40000,1,0)</f>
        <v>1</v>
      </c>
      <c r="E2668" s="1">
        <f>IF(Tabela1[[#This Row],[promien]]=40000,1,0)</f>
        <v>0</v>
      </c>
      <c r="F2668" s="1">
        <v>3.1799100449775111</v>
      </c>
      <c r="G2668" s="1">
        <v>3.8317391387717947E-2</v>
      </c>
    </row>
    <row r="2669" spans="1:7">
      <c r="A2669">
        <v>385</v>
      </c>
      <c r="B2669">
        <v>12</v>
      </c>
      <c r="C2669" s="1">
        <f>(Tabela1[[#This Row],[x]]-H$3)*(Tabela1[[#This Row],[x]]-H$3) +(Tabela1[[#This Row],[y]]-H$4)*(Tabela1[[#This Row],[y]]-H$4)</f>
        <v>69569</v>
      </c>
      <c r="D2669" s="1">
        <f>IF(Tabela1[[#This Row],[promien]]&lt;40000,1,0)</f>
        <v>0</v>
      </c>
      <c r="E2669" s="1">
        <f>IF(Tabela1[[#This Row],[promien]]=40000,1,0)</f>
        <v>0</v>
      </c>
      <c r="F2669" s="1">
        <v>3.1787186212064444</v>
      </c>
      <c r="G2669" s="1">
        <v>3.7125967616651323E-2</v>
      </c>
    </row>
    <row r="2670" spans="1:7">
      <c r="A2670">
        <v>337</v>
      </c>
      <c r="B2670">
        <v>282</v>
      </c>
      <c r="C2670" s="1">
        <f>(Tabela1[[#This Row],[x]]-H$3)*(Tabela1[[#This Row],[x]]-H$3) +(Tabela1[[#This Row],[y]]-H$4)*(Tabela1[[#This Row],[y]]-H$4)</f>
        <v>25493</v>
      </c>
      <c r="D2670" s="1">
        <f>IF(Tabela1[[#This Row],[promien]]&lt;40000,1,0)</f>
        <v>1</v>
      </c>
      <c r="E2670" s="1">
        <f>IF(Tabela1[[#This Row],[promien]]=40000,1,0)</f>
        <v>0</v>
      </c>
      <c r="F2670" s="1">
        <v>3.1790262172284645</v>
      </c>
      <c r="G2670" s="1">
        <v>3.7433563638671341E-2</v>
      </c>
    </row>
    <row r="2671" spans="1:7">
      <c r="A2671">
        <v>186</v>
      </c>
      <c r="B2671">
        <v>149</v>
      </c>
      <c r="C2671" s="1">
        <f>(Tabela1[[#This Row],[x]]-H$3)*(Tabela1[[#This Row],[x]]-H$3) +(Tabela1[[#This Row],[y]]-H$4)*(Tabela1[[#This Row],[y]]-H$4)</f>
        <v>2797</v>
      </c>
      <c r="D2671" s="1">
        <f>IF(Tabela1[[#This Row],[promien]]&lt;40000,1,0)</f>
        <v>1</v>
      </c>
      <c r="E2671" s="1">
        <f>IF(Tabela1[[#This Row],[promien]]=40000,1,0)</f>
        <v>0</v>
      </c>
      <c r="F2671" s="1">
        <v>3.1793335829277423</v>
      </c>
      <c r="G2671" s="1">
        <v>3.7740929337949147E-2</v>
      </c>
    </row>
    <row r="2672" spans="1:7">
      <c r="A2672">
        <v>142</v>
      </c>
      <c r="B2672">
        <v>62</v>
      </c>
      <c r="C2672" s="1">
        <f>(Tabela1[[#This Row],[x]]-H$3)*(Tabela1[[#This Row],[x]]-H$3) +(Tabela1[[#This Row],[y]]-H$4)*(Tabela1[[#This Row],[y]]-H$4)</f>
        <v>22408</v>
      </c>
      <c r="D2672" s="1">
        <f>IF(Tabela1[[#This Row],[promien]]&lt;40000,1,0)</f>
        <v>1</v>
      </c>
      <c r="E2672" s="1">
        <f>IF(Tabela1[[#This Row],[promien]]=40000,1,0)</f>
        <v>0</v>
      </c>
      <c r="F2672" s="1">
        <v>3.1796407185628741</v>
      </c>
      <c r="G2672" s="1">
        <v>3.8048064973080997E-2</v>
      </c>
    </row>
    <row r="2673" spans="1:7">
      <c r="A2673">
        <v>98</v>
      </c>
      <c r="B2673">
        <v>3</v>
      </c>
      <c r="C2673" s="1">
        <f>(Tabela1[[#This Row],[x]]-H$3)*(Tabela1[[#This Row],[x]]-H$3) +(Tabela1[[#This Row],[y]]-H$4)*(Tabela1[[#This Row],[y]]-H$4)</f>
        <v>49213</v>
      </c>
      <c r="D2673" s="1">
        <f>IF(Tabela1[[#This Row],[promien]]&lt;40000,1,0)</f>
        <v>0</v>
      </c>
      <c r="E2673" s="1">
        <f>IF(Tabela1[[#This Row],[promien]]=40000,1,0)</f>
        <v>0</v>
      </c>
      <c r="F2673" s="1">
        <v>3.1784511784511786</v>
      </c>
      <c r="G2673" s="1">
        <v>3.6858524861385522E-2</v>
      </c>
    </row>
    <row r="2674" spans="1:7">
      <c r="A2674">
        <v>214</v>
      </c>
      <c r="B2674">
        <v>19</v>
      </c>
      <c r="C2674" s="1">
        <f>(Tabela1[[#This Row],[x]]-H$3)*(Tabela1[[#This Row],[x]]-H$3) +(Tabela1[[#This Row],[y]]-H$4)*(Tabela1[[#This Row],[y]]-H$4)</f>
        <v>32957</v>
      </c>
      <c r="D2674" s="1">
        <f>IF(Tabela1[[#This Row],[promien]]&lt;40000,1,0)</f>
        <v>1</v>
      </c>
      <c r="E2674" s="1">
        <f>IF(Tabela1[[#This Row],[promien]]=40000,1,0)</f>
        <v>0</v>
      </c>
      <c r="F2674" s="1">
        <v>3.1787584143605088</v>
      </c>
      <c r="G2674" s="1">
        <v>3.716576077071565E-2</v>
      </c>
    </row>
    <row r="2675" spans="1:7">
      <c r="A2675">
        <v>159</v>
      </c>
      <c r="B2675">
        <v>165</v>
      </c>
      <c r="C2675" s="1">
        <f>(Tabela1[[#This Row],[x]]-H$3)*(Tabela1[[#This Row],[x]]-H$3) +(Tabela1[[#This Row],[y]]-H$4)*(Tabela1[[#This Row],[y]]-H$4)</f>
        <v>2906</v>
      </c>
      <c r="D2675" s="1">
        <f>IF(Tabela1[[#This Row],[promien]]&lt;40000,1,0)</f>
        <v>1</v>
      </c>
      <c r="E2675" s="1">
        <f>IF(Tabela1[[#This Row],[promien]]=40000,1,0)</f>
        <v>0</v>
      </c>
      <c r="F2675" s="1">
        <v>3.1790654205607476</v>
      </c>
      <c r="G2675" s="1">
        <v>3.7472766970954474E-2</v>
      </c>
    </row>
    <row r="2676" spans="1:7">
      <c r="A2676">
        <v>374</v>
      </c>
      <c r="B2676">
        <v>389</v>
      </c>
      <c r="C2676" s="1">
        <f>(Tabela1[[#This Row],[x]]-H$3)*(Tabela1[[#This Row],[x]]-H$3) +(Tabela1[[#This Row],[y]]-H$4)*(Tabela1[[#This Row],[y]]-H$4)</f>
        <v>65997</v>
      </c>
      <c r="D2676" s="1">
        <f>IF(Tabela1[[#This Row],[promien]]&lt;40000,1,0)</f>
        <v>0</v>
      </c>
      <c r="E2676" s="1">
        <f>IF(Tabela1[[#This Row],[promien]]=40000,1,0)</f>
        <v>0</v>
      </c>
      <c r="F2676" s="1">
        <v>3.1778774289985052</v>
      </c>
      <c r="G2676" s="1">
        <v>3.6284775408712111E-2</v>
      </c>
    </row>
    <row r="2677" spans="1:7">
      <c r="A2677">
        <v>359</v>
      </c>
      <c r="B2677">
        <v>238</v>
      </c>
      <c r="C2677" s="1">
        <f>(Tabela1[[#This Row],[x]]-H$3)*(Tabela1[[#This Row],[x]]-H$3) +(Tabela1[[#This Row],[y]]-H$4)*(Tabela1[[#This Row],[y]]-H$4)</f>
        <v>26725</v>
      </c>
      <c r="D2677" s="1">
        <f>IF(Tabela1[[#This Row],[promien]]&lt;40000,1,0)</f>
        <v>1</v>
      </c>
      <c r="E2677" s="1">
        <f>IF(Tabela1[[#This Row],[promien]]=40000,1,0)</f>
        <v>0</v>
      </c>
      <c r="F2677" s="1">
        <v>3.1781845349271571</v>
      </c>
      <c r="G2677" s="1">
        <v>3.6591881337364018E-2</v>
      </c>
    </row>
    <row r="2678" spans="1:7">
      <c r="A2678">
        <v>336</v>
      </c>
      <c r="B2678">
        <v>65</v>
      </c>
      <c r="C2678" s="1">
        <f>(Tabela1[[#This Row],[x]]-H$3)*(Tabela1[[#This Row],[x]]-H$3) +(Tabela1[[#This Row],[y]]-H$4)*(Tabela1[[#This Row],[y]]-H$4)</f>
        <v>36721</v>
      </c>
      <c r="D2678" s="1">
        <f>IF(Tabela1[[#This Row],[promien]]&lt;40000,1,0)</f>
        <v>1</v>
      </c>
      <c r="E2678" s="1">
        <f>IF(Tabela1[[#This Row],[promien]]=40000,1,0)</f>
        <v>0</v>
      </c>
      <c r="F2678" s="1">
        <v>3.17849141150112</v>
      </c>
      <c r="G2678" s="1">
        <v>3.6898757911326907E-2</v>
      </c>
    </row>
    <row r="2679" spans="1:7">
      <c r="A2679">
        <v>51</v>
      </c>
      <c r="B2679">
        <v>55</v>
      </c>
      <c r="C2679" s="1">
        <f>(Tabela1[[#This Row],[x]]-H$3)*(Tabela1[[#This Row],[x]]-H$3) +(Tabela1[[#This Row],[y]]-H$4)*(Tabela1[[#This Row],[y]]-H$4)</f>
        <v>43226</v>
      </c>
      <c r="D2679" s="1">
        <f>IF(Tabela1[[#This Row],[promien]]&lt;40000,1,0)</f>
        <v>0</v>
      </c>
      <c r="E2679" s="1">
        <f>IF(Tabela1[[#This Row],[promien]]=40000,1,0)</f>
        <v>0</v>
      </c>
      <c r="F2679" s="1">
        <v>3.1773049645390072</v>
      </c>
      <c r="G2679" s="1">
        <v>3.5712310949214121E-2</v>
      </c>
    </row>
    <row r="2680" spans="1:7">
      <c r="A2680">
        <v>68</v>
      </c>
      <c r="B2680">
        <v>351</v>
      </c>
      <c r="C2680" s="1">
        <f>(Tabela1[[#This Row],[x]]-H$3)*(Tabela1[[#This Row],[x]]-H$3) +(Tabela1[[#This Row],[y]]-H$4)*(Tabela1[[#This Row],[y]]-H$4)</f>
        <v>40225</v>
      </c>
      <c r="D2680" s="1">
        <f>IF(Tabela1[[#This Row],[promien]]&lt;40000,1,0)</f>
        <v>0</v>
      </c>
      <c r="E2680" s="1">
        <f>IF(Tabela1[[#This Row],[promien]]=40000,1,0)</f>
        <v>0</v>
      </c>
      <c r="F2680" s="1">
        <v>3.1761194029850746</v>
      </c>
      <c r="G2680" s="1">
        <v>3.4526749395281442E-2</v>
      </c>
    </row>
    <row r="2681" spans="1:7">
      <c r="A2681">
        <v>308</v>
      </c>
      <c r="B2681">
        <v>69</v>
      </c>
      <c r="C2681" s="1">
        <f>(Tabela1[[#This Row],[x]]-H$3)*(Tabela1[[#This Row],[x]]-H$3) +(Tabela1[[#This Row],[y]]-H$4)*(Tabela1[[#This Row],[y]]-H$4)</f>
        <v>28825</v>
      </c>
      <c r="D2681" s="1">
        <f>IF(Tabela1[[#This Row],[promien]]&lt;40000,1,0)</f>
        <v>1</v>
      </c>
      <c r="E2681" s="1">
        <f>IF(Tabela1[[#This Row],[promien]]=40000,1,0)</f>
        <v>0</v>
      </c>
      <c r="F2681" s="1">
        <v>3.176426706452816</v>
      </c>
      <c r="G2681" s="1">
        <v>3.483405286302288E-2</v>
      </c>
    </row>
    <row r="2682" spans="1:7">
      <c r="A2682">
        <v>164</v>
      </c>
      <c r="B2682">
        <v>342</v>
      </c>
      <c r="C2682" s="1">
        <f>(Tabela1[[#This Row],[x]]-H$3)*(Tabela1[[#This Row],[x]]-H$3) +(Tabela1[[#This Row],[y]]-H$4)*(Tabela1[[#This Row],[y]]-H$4)</f>
        <v>21460</v>
      </c>
      <c r="D2682" s="1">
        <f>IF(Tabela1[[#This Row],[promien]]&lt;40000,1,0)</f>
        <v>1</v>
      </c>
      <c r="E2682" s="1">
        <f>IF(Tabela1[[#This Row],[promien]]=40000,1,0)</f>
        <v>0</v>
      </c>
      <c r="F2682" s="1">
        <v>3.1767337807606264</v>
      </c>
      <c r="G2682" s="1">
        <v>3.5141127170833286E-2</v>
      </c>
    </row>
    <row r="2683" spans="1:7">
      <c r="A2683">
        <v>145</v>
      </c>
      <c r="B2683">
        <v>122</v>
      </c>
      <c r="C2683" s="1">
        <f>(Tabela1[[#This Row],[x]]-H$3)*(Tabela1[[#This Row],[x]]-H$3) +(Tabela1[[#This Row],[y]]-H$4)*(Tabela1[[#This Row],[y]]-H$4)</f>
        <v>9109</v>
      </c>
      <c r="D2683" s="1">
        <f>IF(Tabela1[[#This Row],[promien]]&lt;40000,1,0)</f>
        <v>1</v>
      </c>
      <c r="E2683" s="1">
        <f>IF(Tabela1[[#This Row],[promien]]=40000,1,0)</f>
        <v>0</v>
      </c>
      <c r="F2683" s="1">
        <v>3.1770406261647408</v>
      </c>
      <c r="G2683" s="1">
        <v>3.5447972574947695E-2</v>
      </c>
    </row>
    <row r="2684" spans="1:7">
      <c r="A2684">
        <v>123</v>
      </c>
      <c r="B2684">
        <v>267</v>
      </c>
      <c r="C2684" s="1">
        <f>(Tabela1[[#This Row],[x]]-H$3)*(Tabela1[[#This Row],[x]]-H$3) +(Tabela1[[#This Row],[y]]-H$4)*(Tabela1[[#This Row],[y]]-H$4)</f>
        <v>10418</v>
      </c>
      <c r="D2684" s="1">
        <f>IF(Tabela1[[#This Row],[promien]]&lt;40000,1,0)</f>
        <v>1</v>
      </c>
      <c r="E2684" s="1">
        <f>IF(Tabela1[[#This Row],[promien]]=40000,1,0)</f>
        <v>0</v>
      </c>
      <c r="F2684" s="1">
        <v>3.1773472429210132</v>
      </c>
      <c r="G2684" s="1">
        <v>3.575458933122011E-2</v>
      </c>
    </row>
    <row r="2685" spans="1:7">
      <c r="A2685">
        <v>193</v>
      </c>
      <c r="B2685">
        <v>358</v>
      </c>
      <c r="C2685" s="1">
        <f>(Tabela1[[#This Row],[x]]-H$3)*(Tabela1[[#This Row],[x]]-H$3) +(Tabela1[[#This Row],[y]]-H$4)*(Tabela1[[#This Row],[y]]-H$4)</f>
        <v>25013</v>
      </c>
      <c r="D2685" s="1">
        <f>IF(Tabela1[[#This Row],[promien]]&lt;40000,1,0)</f>
        <v>1</v>
      </c>
      <c r="E2685" s="1">
        <f>IF(Tabela1[[#This Row],[promien]]=40000,1,0)</f>
        <v>0</v>
      </c>
      <c r="F2685" s="1">
        <v>3.1776536312849162</v>
      </c>
      <c r="G2685" s="1">
        <v>3.6060977695123064E-2</v>
      </c>
    </row>
    <row r="2686" spans="1:7">
      <c r="A2686">
        <v>389</v>
      </c>
      <c r="B2686">
        <v>69</v>
      </c>
      <c r="C2686" s="1">
        <f>(Tabela1[[#This Row],[x]]-H$3)*(Tabela1[[#This Row],[x]]-H$3) +(Tabela1[[#This Row],[y]]-H$4)*(Tabela1[[#This Row],[y]]-H$4)</f>
        <v>52882</v>
      </c>
      <c r="D2686" s="1">
        <f>IF(Tabela1[[#This Row],[promien]]&lt;40000,1,0)</f>
        <v>0</v>
      </c>
      <c r="E2686" s="1">
        <f>IF(Tabela1[[#This Row],[promien]]=40000,1,0)</f>
        <v>0</v>
      </c>
      <c r="F2686" s="1">
        <v>3.1764705882352939</v>
      </c>
      <c r="G2686" s="1">
        <v>3.4877934645500819E-2</v>
      </c>
    </row>
    <row r="2687" spans="1:7">
      <c r="A2687">
        <v>214</v>
      </c>
      <c r="B2687">
        <v>51</v>
      </c>
      <c r="C2687" s="1">
        <f>(Tabela1[[#This Row],[x]]-H$3)*(Tabela1[[#This Row],[x]]-H$3) +(Tabela1[[#This Row],[y]]-H$4)*(Tabela1[[#This Row],[y]]-H$4)</f>
        <v>22397</v>
      </c>
      <c r="D2687" s="1">
        <f>IF(Tabela1[[#This Row],[promien]]&lt;40000,1,0)</f>
        <v>1</v>
      </c>
      <c r="E2687" s="1">
        <f>IF(Tabela1[[#This Row],[promien]]=40000,1,0)</f>
        <v>0</v>
      </c>
      <c r="F2687" s="1">
        <v>3.1767770748046149</v>
      </c>
      <c r="G2687" s="1">
        <v>3.5184421214821793E-2</v>
      </c>
    </row>
    <row r="2688" spans="1:7">
      <c r="A2688">
        <v>377</v>
      </c>
      <c r="B2688">
        <v>69</v>
      </c>
      <c r="C2688" s="1">
        <f>(Tabela1[[#This Row],[x]]-H$3)*(Tabela1[[#This Row],[x]]-H$3) +(Tabela1[[#This Row],[y]]-H$4)*(Tabela1[[#This Row],[y]]-H$4)</f>
        <v>48490</v>
      </c>
      <c r="D2688" s="1">
        <f>IF(Tabela1[[#This Row],[promien]]&lt;40000,1,0)</f>
        <v>0</v>
      </c>
      <c r="E2688" s="1">
        <f>IF(Tabela1[[#This Row],[promien]]=40000,1,0)</f>
        <v>0</v>
      </c>
      <c r="F2688" s="1">
        <v>3.1755952380952381</v>
      </c>
      <c r="G2688" s="1">
        <v>3.4002584505445022E-2</v>
      </c>
    </row>
    <row r="2689" spans="1:7">
      <c r="A2689">
        <v>148</v>
      </c>
      <c r="B2689">
        <v>128</v>
      </c>
      <c r="C2689" s="1">
        <f>(Tabela1[[#This Row],[x]]-H$3)*(Tabela1[[#This Row],[x]]-H$3) +(Tabela1[[#This Row],[y]]-H$4)*(Tabela1[[#This Row],[y]]-H$4)</f>
        <v>7888</v>
      </c>
      <c r="D2689" s="1">
        <f>IF(Tabela1[[#This Row],[promien]]&lt;40000,1,0)</f>
        <v>1</v>
      </c>
      <c r="E2689" s="1">
        <f>IF(Tabela1[[#This Row],[promien]]=40000,1,0)</f>
        <v>0</v>
      </c>
      <c r="F2689" s="1">
        <v>3.1759018222387505</v>
      </c>
      <c r="G2689" s="1">
        <v>3.4309168648957389E-2</v>
      </c>
    </row>
    <row r="2690" spans="1:7">
      <c r="A2690">
        <v>178</v>
      </c>
      <c r="B2690">
        <v>32</v>
      </c>
      <c r="C2690" s="1">
        <f>(Tabela1[[#This Row],[x]]-H$3)*(Tabela1[[#This Row],[x]]-H$3) +(Tabela1[[#This Row],[y]]-H$4)*(Tabela1[[#This Row],[y]]-H$4)</f>
        <v>28708</v>
      </c>
      <c r="D2690" s="1">
        <f>IF(Tabela1[[#This Row],[promien]]&lt;40000,1,0)</f>
        <v>1</v>
      </c>
      <c r="E2690" s="1">
        <f>IF(Tabela1[[#This Row],[promien]]=40000,1,0)</f>
        <v>0</v>
      </c>
      <c r="F2690" s="1">
        <v>3.1762081784386615</v>
      </c>
      <c r="G2690" s="1">
        <v>3.4615524848868429E-2</v>
      </c>
    </row>
    <row r="2691" spans="1:7">
      <c r="A2691">
        <v>206</v>
      </c>
      <c r="B2691">
        <v>365</v>
      </c>
      <c r="C2691" s="1">
        <f>(Tabela1[[#This Row],[x]]-H$3)*(Tabela1[[#This Row],[x]]-H$3) +(Tabela1[[#This Row],[y]]-H$4)*(Tabela1[[#This Row],[y]]-H$4)</f>
        <v>27261</v>
      </c>
      <c r="D2691" s="1">
        <f>IF(Tabela1[[#This Row],[promien]]&lt;40000,1,0)</f>
        <v>1</v>
      </c>
      <c r="E2691" s="1">
        <f>IF(Tabela1[[#This Row],[promien]]=40000,1,0)</f>
        <v>0</v>
      </c>
      <c r="F2691" s="1">
        <v>3.1765143069490898</v>
      </c>
      <c r="G2691" s="1">
        <v>3.4921653359296645E-2</v>
      </c>
    </row>
    <row r="2692" spans="1:7">
      <c r="A2692">
        <v>75</v>
      </c>
      <c r="B2692">
        <v>297</v>
      </c>
      <c r="C2692" s="1">
        <f>(Tabela1[[#This Row],[x]]-H$3)*(Tabela1[[#This Row],[x]]-H$3) +(Tabela1[[#This Row],[y]]-H$4)*(Tabela1[[#This Row],[y]]-H$4)</f>
        <v>25034</v>
      </c>
      <c r="D2692" s="1">
        <f>IF(Tabela1[[#This Row],[promien]]&lt;40000,1,0)</f>
        <v>1</v>
      </c>
      <c r="E2692" s="1">
        <f>IF(Tabela1[[#This Row],[promien]]=40000,1,0)</f>
        <v>0</v>
      </c>
      <c r="F2692" s="1">
        <v>3.176820208023774</v>
      </c>
      <c r="G2692" s="1">
        <v>3.5227554433980846E-2</v>
      </c>
    </row>
    <row r="2693" spans="1:7">
      <c r="A2693">
        <v>9</v>
      </c>
      <c r="B2693">
        <v>319</v>
      </c>
      <c r="C2693" s="1">
        <f>(Tabela1[[#This Row],[x]]-H$3)*(Tabela1[[#This Row],[x]]-H$3) +(Tabela1[[#This Row],[y]]-H$4)*(Tabela1[[#This Row],[y]]-H$4)</f>
        <v>50642</v>
      </c>
      <c r="D2693" s="1">
        <f>IF(Tabela1[[#This Row],[promien]]&lt;40000,1,0)</f>
        <v>0</v>
      </c>
      <c r="E2693" s="1">
        <f>IF(Tabela1[[#This Row],[promien]]=40000,1,0)</f>
        <v>0</v>
      </c>
      <c r="F2693" s="1">
        <v>3.1756405495729672</v>
      </c>
      <c r="G2693" s="1">
        <v>3.4047895983174037E-2</v>
      </c>
    </row>
    <row r="2694" spans="1:7">
      <c r="A2694">
        <v>360</v>
      </c>
      <c r="B2694">
        <v>101</v>
      </c>
      <c r="C2694" s="1">
        <f>(Tabela1[[#This Row],[x]]-H$3)*(Tabela1[[#This Row],[x]]-H$3) +(Tabela1[[#This Row],[y]]-H$4)*(Tabela1[[#This Row],[y]]-H$4)</f>
        <v>35401</v>
      </c>
      <c r="D2694" s="1">
        <f>IF(Tabela1[[#This Row],[promien]]&lt;40000,1,0)</f>
        <v>1</v>
      </c>
      <c r="E2694" s="1">
        <f>IF(Tabela1[[#This Row],[promien]]=40000,1,0)</f>
        <v>0</v>
      </c>
      <c r="F2694" s="1">
        <v>3.1759465478841871</v>
      </c>
      <c r="G2694" s="1">
        <v>3.435389429439395E-2</v>
      </c>
    </row>
    <row r="2695" spans="1:7">
      <c r="A2695">
        <v>326</v>
      </c>
      <c r="B2695">
        <v>196</v>
      </c>
      <c r="C2695" s="1">
        <f>(Tabela1[[#This Row],[x]]-H$3)*(Tabela1[[#This Row],[x]]-H$3) +(Tabela1[[#This Row],[y]]-H$4)*(Tabela1[[#This Row],[y]]-H$4)</f>
        <v>15892</v>
      </c>
      <c r="D2695" s="1">
        <f>IF(Tabela1[[#This Row],[promien]]&lt;40000,1,0)</f>
        <v>1</v>
      </c>
      <c r="E2695" s="1">
        <f>IF(Tabela1[[#This Row],[promien]]=40000,1,0)</f>
        <v>0</v>
      </c>
      <c r="F2695" s="1">
        <v>3.1762523191094618</v>
      </c>
      <c r="G2695" s="1">
        <v>3.4659665519668703E-2</v>
      </c>
    </row>
    <row r="2696" spans="1:7">
      <c r="A2696">
        <v>84</v>
      </c>
      <c r="B2696">
        <v>122</v>
      </c>
      <c r="C2696" s="1">
        <f>(Tabela1[[#This Row],[x]]-H$3)*(Tabela1[[#This Row],[x]]-H$3) +(Tabela1[[#This Row],[y]]-H$4)*(Tabela1[[#This Row],[y]]-H$4)</f>
        <v>19540</v>
      </c>
      <c r="D2696" s="1">
        <f>IF(Tabela1[[#This Row],[promien]]&lt;40000,1,0)</f>
        <v>1</v>
      </c>
      <c r="E2696" s="1">
        <f>IF(Tabela1[[#This Row],[promien]]=40000,1,0)</f>
        <v>0</v>
      </c>
      <c r="F2696" s="1">
        <v>3.1765578635014835</v>
      </c>
      <c r="G2696" s="1">
        <v>3.4965209911690387E-2</v>
      </c>
    </row>
    <row r="2697" spans="1:7">
      <c r="A2697">
        <v>202</v>
      </c>
      <c r="B2697">
        <v>275</v>
      </c>
      <c r="C2697" s="1">
        <f>(Tabela1[[#This Row],[x]]-H$3)*(Tabela1[[#This Row],[x]]-H$3) +(Tabela1[[#This Row],[y]]-H$4)*(Tabela1[[#This Row],[y]]-H$4)</f>
        <v>5629</v>
      </c>
      <c r="D2697" s="1">
        <f>IF(Tabela1[[#This Row],[promien]]&lt;40000,1,0)</f>
        <v>1</v>
      </c>
      <c r="E2697" s="1">
        <f>IF(Tabela1[[#This Row],[promien]]=40000,1,0)</f>
        <v>0</v>
      </c>
      <c r="F2697" s="1">
        <v>3.1768631813125694</v>
      </c>
      <c r="G2697" s="1">
        <v>3.5270527722776279E-2</v>
      </c>
    </row>
    <row r="2698" spans="1:7">
      <c r="A2698">
        <v>388</v>
      </c>
      <c r="B2698">
        <v>93</v>
      </c>
      <c r="C2698" s="1">
        <f>(Tabela1[[#This Row],[x]]-H$3)*(Tabela1[[#This Row],[x]]-H$3) +(Tabela1[[#This Row],[y]]-H$4)*(Tabela1[[#This Row],[y]]-H$4)</f>
        <v>46793</v>
      </c>
      <c r="D2698" s="1">
        <f>IF(Tabela1[[#This Row],[promien]]&lt;40000,1,0)</f>
        <v>0</v>
      </c>
      <c r="E2698" s="1">
        <f>IF(Tabela1[[#This Row],[promien]]=40000,1,0)</f>
        <v>0</v>
      </c>
      <c r="F2698" s="1">
        <v>3.1756856931060042</v>
      </c>
      <c r="G2698" s="1">
        <v>3.4093039516211121E-2</v>
      </c>
    </row>
    <row r="2699" spans="1:7">
      <c r="A2699">
        <v>384</v>
      </c>
      <c r="B2699">
        <v>57</v>
      </c>
      <c r="C2699" s="1">
        <f>(Tabela1[[#This Row],[x]]-H$3)*(Tabela1[[#This Row],[x]]-H$3) +(Tabela1[[#This Row],[y]]-H$4)*(Tabela1[[#This Row],[y]]-H$4)</f>
        <v>54305</v>
      </c>
      <c r="D2699" s="1">
        <f>IF(Tabela1[[#This Row],[promien]]&lt;40000,1,0)</f>
        <v>0</v>
      </c>
      <c r="E2699" s="1">
        <f>IF(Tabela1[[#This Row],[promien]]=40000,1,0)</f>
        <v>0</v>
      </c>
      <c r="F2699" s="1">
        <v>3.1745090774360873</v>
      </c>
      <c r="G2699" s="1">
        <v>3.2916423846294229E-2</v>
      </c>
    </row>
    <row r="2700" spans="1:7">
      <c r="A2700">
        <v>340</v>
      </c>
      <c r="B2700">
        <v>364</v>
      </c>
      <c r="C2700" s="1">
        <f>(Tabela1[[#This Row],[x]]-H$3)*(Tabela1[[#This Row],[x]]-H$3) +(Tabela1[[#This Row],[y]]-H$4)*(Tabela1[[#This Row],[y]]-H$4)</f>
        <v>46496</v>
      </c>
      <c r="D2700" s="1">
        <f>IF(Tabela1[[#This Row],[promien]]&lt;40000,1,0)</f>
        <v>0</v>
      </c>
      <c r="E2700" s="1">
        <f>IF(Tabela1[[#This Row],[promien]]=40000,1,0)</f>
        <v>0</v>
      </c>
      <c r="F2700" s="1">
        <v>3.1733333333333333</v>
      </c>
      <c r="G2700" s="1">
        <v>3.1740679743540223E-2</v>
      </c>
    </row>
    <row r="2701" spans="1:7">
      <c r="A2701">
        <v>14</v>
      </c>
      <c r="B2701">
        <v>323</v>
      </c>
      <c r="C2701" s="1">
        <f>(Tabela1[[#This Row],[x]]-H$3)*(Tabela1[[#This Row],[x]]-H$3) +(Tabela1[[#This Row],[y]]-H$4)*(Tabela1[[#This Row],[y]]-H$4)</f>
        <v>49725</v>
      </c>
      <c r="D2701" s="1">
        <f>IF(Tabela1[[#This Row],[promien]]&lt;40000,1,0)</f>
        <v>0</v>
      </c>
      <c r="E2701" s="1">
        <f>IF(Tabela1[[#This Row],[promien]]=40000,1,0)</f>
        <v>0</v>
      </c>
      <c r="F2701" s="1">
        <v>3.1721584598296926</v>
      </c>
      <c r="G2701" s="1">
        <v>3.0565806239899462E-2</v>
      </c>
    </row>
    <row r="2702" spans="1:7">
      <c r="A2702">
        <v>364</v>
      </c>
      <c r="B2702">
        <v>289</v>
      </c>
      <c r="C2702" s="1">
        <f>(Tabela1[[#This Row],[x]]-H$3)*(Tabela1[[#This Row],[x]]-H$3) +(Tabela1[[#This Row],[y]]-H$4)*(Tabela1[[#This Row],[y]]-H$4)</f>
        <v>34817</v>
      </c>
      <c r="D2702" s="1">
        <f>IF(Tabela1[[#This Row],[promien]]&lt;40000,1,0)</f>
        <v>1</v>
      </c>
      <c r="E2702" s="1">
        <f>IF(Tabela1[[#This Row],[promien]]=40000,1,0)</f>
        <v>0</v>
      </c>
      <c r="F2702" s="1">
        <v>3.1724648408586233</v>
      </c>
      <c r="G2702" s="1">
        <v>3.0872187268830231E-2</v>
      </c>
    </row>
    <row r="2703" spans="1:7">
      <c r="A2703">
        <v>139</v>
      </c>
      <c r="B2703">
        <v>150</v>
      </c>
      <c r="C2703" s="1">
        <f>(Tabela1[[#This Row],[x]]-H$3)*(Tabela1[[#This Row],[x]]-H$3) +(Tabela1[[#This Row],[y]]-H$4)*(Tabela1[[#This Row],[y]]-H$4)</f>
        <v>6221</v>
      </c>
      <c r="D2703" s="1">
        <f>IF(Tabela1[[#This Row],[promien]]&lt;40000,1,0)</f>
        <v>1</v>
      </c>
      <c r="E2703" s="1">
        <f>IF(Tabela1[[#This Row],[promien]]=40000,1,0)</f>
        <v>0</v>
      </c>
      <c r="F2703" s="1">
        <v>3.172770995190529</v>
      </c>
      <c r="G2703" s="1">
        <v>3.1178341600735848E-2</v>
      </c>
    </row>
    <row r="2704" spans="1:7">
      <c r="A2704">
        <v>237</v>
      </c>
      <c r="B2704">
        <v>262</v>
      </c>
      <c r="C2704" s="1">
        <f>(Tabela1[[#This Row],[x]]-H$3)*(Tabela1[[#This Row],[x]]-H$3) +(Tabela1[[#This Row],[y]]-H$4)*(Tabela1[[#This Row],[y]]-H$4)</f>
        <v>5213</v>
      </c>
      <c r="D2704" s="1">
        <f>IF(Tabela1[[#This Row],[promien]]&lt;40000,1,0)</f>
        <v>1</v>
      </c>
      <c r="E2704" s="1">
        <f>IF(Tabela1[[#This Row],[promien]]=40000,1,0)</f>
        <v>0</v>
      </c>
      <c r="F2704" s="1">
        <v>3.1730769230769229</v>
      </c>
      <c r="G2704" s="1">
        <v>3.148426948712979E-2</v>
      </c>
    </row>
    <row r="2705" spans="1:7">
      <c r="A2705">
        <v>44</v>
      </c>
      <c r="B2705">
        <v>199</v>
      </c>
      <c r="C2705" s="1">
        <f>(Tabela1[[#This Row],[x]]-H$3)*(Tabela1[[#This Row],[x]]-H$3) +(Tabela1[[#This Row],[y]]-H$4)*(Tabela1[[#This Row],[y]]-H$4)</f>
        <v>24337</v>
      </c>
      <c r="D2705" s="1">
        <f>IF(Tabela1[[#This Row],[promien]]&lt;40000,1,0)</f>
        <v>1</v>
      </c>
      <c r="E2705" s="1">
        <f>IF(Tabela1[[#This Row],[promien]]=40000,1,0)</f>
        <v>0</v>
      </c>
      <c r="F2705" s="1">
        <v>3.1733826247689465</v>
      </c>
      <c r="G2705" s="1">
        <v>3.1789971179153387E-2</v>
      </c>
    </row>
    <row r="2706" spans="1:7">
      <c r="A2706">
        <v>193</v>
      </c>
      <c r="B2706">
        <v>333</v>
      </c>
      <c r="C2706" s="1">
        <f>(Tabela1[[#This Row],[x]]-H$3)*(Tabela1[[#This Row],[x]]-H$3) +(Tabela1[[#This Row],[y]]-H$4)*(Tabela1[[#This Row],[y]]-H$4)</f>
        <v>17738</v>
      </c>
      <c r="D2706" s="1">
        <f>IF(Tabela1[[#This Row],[promien]]&lt;40000,1,0)</f>
        <v>1</v>
      </c>
      <c r="E2706" s="1">
        <f>IF(Tabela1[[#This Row],[promien]]=40000,1,0)</f>
        <v>0</v>
      </c>
      <c r="F2706" s="1">
        <v>3.1736881005173689</v>
      </c>
      <c r="G2706" s="1">
        <v>3.2095446927575821E-2</v>
      </c>
    </row>
    <row r="2707" spans="1:7">
      <c r="A2707">
        <v>16</v>
      </c>
      <c r="B2707">
        <v>345</v>
      </c>
      <c r="C2707" s="1">
        <f>(Tabela1[[#This Row],[x]]-H$3)*(Tabela1[[#This Row],[x]]-H$3) +(Tabela1[[#This Row],[y]]-H$4)*(Tabela1[[#This Row],[y]]-H$4)</f>
        <v>54881</v>
      </c>
      <c r="D2707" s="1">
        <f>IF(Tabela1[[#This Row],[promien]]&lt;40000,1,0)</f>
        <v>0</v>
      </c>
      <c r="E2707" s="1">
        <f>IF(Tabela1[[#This Row],[promien]]=40000,1,0)</f>
        <v>0</v>
      </c>
      <c r="F2707" s="1">
        <v>3.1725157000369411</v>
      </c>
      <c r="G2707" s="1">
        <v>3.0923046447147939E-2</v>
      </c>
    </row>
    <row r="2708" spans="1:7">
      <c r="A2708">
        <v>327</v>
      </c>
      <c r="B2708">
        <v>341</v>
      </c>
      <c r="C2708" s="1">
        <f>(Tabela1[[#This Row],[x]]-H$3)*(Tabela1[[#This Row],[x]]-H$3) +(Tabela1[[#This Row],[y]]-H$4)*(Tabela1[[#This Row],[y]]-H$4)</f>
        <v>36010</v>
      </c>
      <c r="D2708" s="1">
        <f>IF(Tabela1[[#This Row],[promien]]&lt;40000,1,0)</f>
        <v>1</v>
      </c>
      <c r="E2708" s="1">
        <f>IF(Tabela1[[#This Row],[promien]]=40000,1,0)</f>
        <v>0</v>
      </c>
      <c r="F2708" s="1">
        <v>3.1728212703101919</v>
      </c>
      <c r="G2708" s="1">
        <v>3.1228616720398783E-2</v>
      </c>
    </row>
    <row r="2709" spans="1:7">
      <c r="A2709">
        <v>382</v>
      </c>
      <c r="B2709">
        <v>127</v>
      </c>
      <c r="C2709" s="1">
        <f>(Tabela1[[#This Row],[x]]-H$3)*(Tabela1[[#This Row],[x]]-H$3) +(Tabela1[[#This Row],[y]]-H$4)*(Tabela1[[#This Row],[y]]-H$4)</f>
        <v>38453</v>
      </c>
      <c r="D2709" s="1">
        <f>IF(Tabela1[[#This Row],[promien]]&lt;40000,1,0)</f>
        <v>1</v>
      </c>
      <c r="E2709" s="1">
        <f>IF(Tabela1[[#This Row],[promien]]=40000,1,0)</f>
        <v>0</v>
      </c>
      <c r="F2709" s="1">
        <v>3.1731266149870803</v>
      </c>
      <c r="G2709" s="1">
        <v>3.1533961397287147E-2</v>
      </c>
    </row>
    <row r="2710" spans="1:7">
      <c r="A2710">
        <v>11</v>
      </c>
      <c r="B2710">
        <v>201</v>
      </c>
      <c r="C2710" s="1">
        <f>(Tabela1[[#This Row],[x]]-H$3)*(Tabela1[[#This Row],[x]]-H$3) +(Tabela1[[#This Row],[y]]-H$4)*(Tabela1[[#This Row],[y]]-H$4)</f>
        <v>35722</v>
      </c>
      <c r="D2710" s="1">
        <f>IF(Tabela1[[#This Row],[promien]]&lt;40000,1,0)</f>
        <v>1</v>
      </c>
      <c r="E2710" s="1">
        <f>IF(Tabela1[[#This Row],[promien]]=40000,1,0)</f>
        <v>0</v>
      </c>
      <c r="F2710" s="1">
        <v>3.1734317343173433</v>
      </c>
      <c r="G2710" s="1">
        <v>3.1839080727550151E-2</v>
      </c>
    </row>
    <row r="2711" spans="1:7">
      <c r="A2711">
        <v>192</v>
      </c>
      <c r="B2711">
        <v>223</v>
      </c>
      <c r="C2711" s="1">
        <f>(Tabela1[[#This Row],[x]]-H$3)*(Tabela1[[#This Row],[x]]-H$3) +(Tabela1[[#This Row],[y]]-H$4)*(Tabela1[[#This Row],[y]]-H$4)</f>
        <v>593</v>
      </c>
      <c r="D2711" s="1">
        <f>IF(Tabela1[[#This Row],[promien]]&lt;40000,1,0)</f>
        <v>1</v>
      </c>
      <c r="E2711" s="1">
        <f>IF(Tabela1[[#This Row],[promien]]=40000,1,0)</f>
        <v>0</v>
      </c>
      <c r="F2711" s="1">
        <v>3.1737366285503503</v>
      </c>
      <c r="G2711" s="1">
        <v>3.2143974960557209E-2</v>
      </c>
    </row>
    <row r="2712" spans="1:7">
      <c r="A2712">
        <v>145</v>
      </c>
      <c r="B2712">
        <v>391</v>
      </c>
      <c r="C2712" s="1">
        <f>(Tabela1[[#This Row],[x]]-H$3)*(Tabela1[[#This Row],[x]]-H$3) +(Tabela1[[#This Row],[y]]-H$4)*(Tabela1[[#This Row],[y]]-H$4)</f>
        <v>39506</v>
      </c>
      <c r="D2712" s="1">
        <f>IF(Tabela1[[#This Row],[promien]]&lt;40000,1,0)</f>
        <v>1</v>
      </c>
      <c r="E2712" s="1">
        <f>IF(Tabela1[[#This Row],[promien]]=40000,1,0)</f>
        <v>0</v>
      </c>
      <c r="F2712" s="1">
        <v>3.1740412979351031</v>
      </c>
      <c r="G2712" s="1">
        <v>3.2448644345310029E-2</v>
      </c>
    </row>
    <row r="2713" spans="1:7">
      <c r="A2713">
        <v>249</v>
      </c>
      <c r="B2713">
        <v>169</v>
      </c>
      <c r="C2713" s="1">
        <f>(Tabela1[[#This Row],[x]]-H$3)*(Tabela1[[#This Row],[x]]-H$3) +(Tabela1[[#This Row],[y]]-H$4)*(Tabela1[[#This Row],[y]]-H$4)</f>
        <v>3362</v>
      </c>
      <c r="D2713" s="1">
        <f>IF(Tabela1[[#This Row],[promien]]&lt;40000,1,0)</f>
        <v>1</v>
      </c>
      <c r="E2713" s="1">
        <f>IF(Tabela1[[#This Row],[promien]]=40000,1,0)</f>
        <v>0</v>
      </c>
      <c r="F2713" s="1">
        <v>3.1743457427202357</v>
      </c>
      <c r="G2713" s="1">
        <v>3.2753089130442614E-2</v>
      </c>
    </row>
    <row r="2714" spans="1:7">
      <c r="A2714">
        <v>381</v>
      </c>
      <c r="B2714">
        <v>51</v>
      </c>
      <c r="C2714" s="1">
        <f>(Tabela1[[#This Row],[x]]-H$3)*(Tabela1[[#This Row],[x]]-H$3) +(Tabela1[[#This Row],[y]]-H$4)*(Tabela1[[#This Row],[y]]-H$4)</f>
        <v>54962</v>
      </c>
      <c r="D2714" s="1">
        <f>IF(Tabela1[[#This Row],[promien]]&lt;40000,1,0)</f>
        <v>0</v>
      </c>
      <c r="E2714" s="1">
        <f>IF(Tabela1[[#This Row],[promien]]=40000,1,0)</f>
        <v>0</v>
      </c>
      <c r="F2714" s="1">
        <v>3.1731761238025054</v>
      </c>
      <c r="G2714" s="1">
        <v>3.1583470212712239E-2</v>
      </c>
    </row>
    <row r="2715" spans="1:7">
      <c r="A2715">
        <v>347</v>
      </c>
      <c r="B2715">
        <v>371</v>
      </c>
      <c r="C2715" s="1">
        <f>(Tabela1[[#This Row],[x]]-H$3)*(Tabela1[[#This Row],[x]]-H$3) +(Tabela1[[#This Row],[y]]-H$4)*(Tabela1[[#This Row],[y]]-H$4)</f>
        <v>50850</v>
      </c>
      <c r="D2715" s="1">
        <f>IF(Tabela1[[#This Row],[promien]]&lt;40000,1,0)</f>
        <v>0</v>
      </c>
      <c r="E2715" s="1">
        <f>IF(Tabela1[[#This Row],[promien]]=40000,1,0)</f>
        <v>0</v>
      </c>
      <c r="F2715" s="1">
        <v>3.1720073664825046</v>
      </c>
      <c r="G2715" s="1">
        <v>3.0414712892711471E-2</v>
      </c>
    </row>
    <row r="2716" spans="1:7">
      <c r="A2716">
        <v>31</v>
      </c>
      <c r="B2716">
        <v>122</v>
      </c>
      <c r="C2716" s="1">
        <f>(Tabela1[[#This Row],[x]]-H$3)*(Tabela1[[#This Row],[x]]-H$3) +(Tabela1[[#This Row],[y]]-H$4)*(Tabela1[[#This Row],[y]]-H$4)</f>
        <v>34645</v>
      </c>
      <c r="D2716" s="1">
        <f>IF(Tabela1[[#This Row],[promien]]&lt;40000,1,0)</f>
        <v>1</v>
      </c>
      <c r="E2716" s="1">
        <f>IF(Tabela1[[#This Row],[promien]]=40000,1,0)</f>
        <v>0</v>
      </c>
      <c r="F2716" s="1">
        <v>3.1723122238586154</v>
      </c>
      <c r="G2716" s="1">
        <v>3.0719570268822327E-2</v>
      </c>
    </row>
    <row r="2717" spans="1:7">
      <c r="A2717">
        <v>12</v>
      </c>
      <c r="B2717">
        <v>285</v>
      </c>
      <c r="C2717" s="1">
        <f>(Tabela1[[#This Row],[x]]-H$3)*(Tabela1[[#This Row],[x]]-H$3) +(Tabela1[[#This Row],[y]]-H$4)*(Tabela1[[#This Row],[y]]-H$4)</f>
        <v>42569</v>
      </c>
      <c r="D2717" s="1">
        <f>IF(Tabela1[[#This Row],[promien]]&lt;40000,1,0)</f>
        <v>0</v>
      </c>
      <c r="E2717" s="1">
        <f>IF(Tabela1[[#This Row],[promien]]=40000,1,0)</f>
        <v>0</v>
      </c>
      <c r="F2717" s="1">
        <v>3.1711446448288552</v>
      </c>
      <c r="G2717" s="1">
        <v>2.9551991239062048E-2</v>
      </c>
    </row>
    <row r="2718" spans="1:7">
      <c r="A2718">
        <v>388</v>
      </c>
      <c r="B2718">
        <v>218</v>
      </c>
      <c r="C2718" s="1">
        <f>(Tabela1[[#This Row],[x]]-H$3)*(Tabela1[[#This Row],[x]]-H$3) +(Tabela1[[#This Row],[y]]-H$4)*(Tabela1[[#This Row],[y]]-H$4)</f>
        <v>35668</v>
      </c>
      <c r="D2718" s="1">
        <f>IF(Tabela1[[#This Row],[promien]]&lt;40000,1,0)</f>
        <v>1</v>
      </c>
      <c r="E2718" s="1">
        <f>IF(Tabela1[[#This Row],[promien]]=40000,1,0)</f>
        <v>0</v>
      </c>
      <c r="F2718" s="1">
        <v>3.171449595290655</v>
      </c>
      <c r="G2718" s="1">
        <v>2.9856941700861839E-2</v>
      </c>
    </row>
    <row r="2719" spans="1:7">
      <c r="A2719">
        <v>96</v>
      </c>
      <c r="B2719">
        <v>366</v>
      </c>
      <c r="C2719" s="1">
        <f>(Tabela1[[#This Row],[x]]-H$3)*(Tabela1[[#This Row],[x]]-H$3) +(Tabela1[[#This Row],[y]]-H$4)*(Tabela1[[#This Row],[y]]-H$4)</f>
        <v>38372</v>
      </c>
      <c r="D2719" s="1">
        <f>IF(Tabela1[[#This Row],[promien]]&lt;40000,1,0)</f>
        <v>1</v>
      </c>
      <c r="E2719" s="1">
        <f>IF(Tabela1[[#This Row],[promien]]=40000,1,0)</f>
        <v>0</v>
      </c>
      <c r="F2719" s="1">
        <v>3.1717543214417065</v>
      </c>
      <c r="G2719" s="1">
        <v>3.0161667851913432E-2</v>
      </c>
    </row>
    <row r="2720" spans="1:7">
      <c r="A2720">
        <v>142</v>
      </c>
      <c r="B2720">
        <v>300</v>
      </c>
      <c r="C2720" s="1">
        <f>(Tabela1[[#This Row],[x]]-H$3)*(Tabela1[[#This Row],[x]]-H$3) +(Tabela1[[#This Row],[y]]-H$4)*(Tabela1[[#This Row],[y]]-H$4)</f>
        <v>13364</v>
      </c>
      <c r="D2720" s="1">
        <f>IF(Tabela1[[#This Row],[promien]]&lt;40000,1,0)</f>
        <v>1</v>
      </c>
      <c r="E2720" s="1">
        <f>IF(Tabela1[[#This Row],[promien]]=40000,1,0)</f>
        <v>0</v>
      </c>
      <c r="F2720" s="1">
        <v>3.1720588235294116</v>
      </c>
      <c r="G2720" s="1">
        <v>3.0466169939618482E-2</v>
      </c>
    </row>
    <row r="2721" spans="1:7">
      <c r="A2721">
        <v>161</v>
      </c>
      <c r="B2721">
        <v>49</v>
      </c>
      <c r="C2721" s="1">
        <f>(Tabela1[[#This Row],[x]]-H$3)*(Tabela1[[#This Row],[x]]-H$3) +(Tabela1[[#This Row],[y]]-H$4)*(Tabela1[[#This Row],[y]]-H$4)</f>
        <v>24322</v>
      </c>
      <c r="D2721" s="1">
        <f>IF(Tabela1[[#This Row],[promien]]&lt;40000,1,0)</f>
        <v>1</v>
      </c>
      <c r="E2721" s="1">
        <f>IF(Tabela1[[#This Row],[promien]]=40000,1,0)</f>
        <v>0</v>
      </c>
      <c r="F2721" s="1">
        <v>3.1723631018008085</v>
      </c>
      <c r="G2721" s="1">
        <v>3.0770448211015378E-2</v>
      </c>
    </row>
    <row r="2722" spans="1:7">
      <c r="A2722">
        <v>60</v>
      </c>
      <c r="B2722">
        <v>77</v>
      </c>
      <c r="C2722" s="1">
        <f>(Tabela1[[#This Row],[x]]-H$3)*(Tabela1[[#This Row],[x]]-H$3) +(Tabela1[[#This Row],[y]]-H$4)*(Tabela1[[#This Row],[y]]-H$4)</f>
        <v>34729</v>
      </c>
      <c r="D2722" s="1">
        <f>IF(Tabela1[[#This Row],[promien]]&lt;40000,1,0)</f>
        <v>1</v>
      </c>
      <c r="E2722" s="1">
        <f>IF(Tabela1[[#This Row],[promien]]=40000,1,0)</f>
        <v>0</v>
      </c>
      <c r="F2722" s="1">
        <v>3.1726671565025715</v>
      </c>
      <c r="G2722" s="1">
        <v>3.1074502912778357E-2</v>
      </c>
    </row>
    <row r="2723" spans="1:7">
      <c r="A2723">
        <v>132</v>
      </c>
      <c r="B2723">
        <v>250</v>
      </c>
      <c r="C2723" s="1">
        <f>(Tabela1[[#This Row],[x]]-H$3)*(Tabela1[[#This Row],[x]]-H$3) +(Tabela1[[#This Row],[y]]-H$4)*(Tabela1[[#This Row],[y]]-H$4)</f>
        <v>7124</v>
      </c>
      <c r="D2723" s="1">
        <f>IF(Tabela1[[#This Row],[promien]]&lt;40000,1,0)</f>
        <v>1</v>
      </c>
      <c r="E2723" s="1">
        <f>IF(Tabela1[[#This Row],[promien]]=40000,1,0)</f>
        <v>0</v>
      </c>
      <c r="F2723" s="1">
        <v>3.1729709878810137</v>
      </c>
      <c r="G2723" s="1">
        <v>3.1378334291220611E-2</v>
      </c>
    </row>
    <row r="2724" spans="1:7">
      <c r="A2724">
        <v>310</v>
      </c>
      <c r="B2724">
        <v>235</v>
      </c>
      <c r="C2724" s="1">
        <f>(Tabela1[[#This Row],[x]]-H$3)*(Tabela1[[#This Row],[x]]-H$3) +(Tabela1[[#This Row],[y]]-H$4)*(Tabela1[[#This Row],[y]]-H$4)</f>
        <v>13325</v>
      </c>
      <c r="D2724" s="1">
        <f>IF(Tabela1[[#This Row],[promien]]&lt;40000,1,0)</f>
        <v>1</v>
      </c>
      <c r="E2724" s="1">
        <f>IF(Tabela1[[#This Row],[promien]]=40000,1,0)</f>
        <v>0</v>
      </c>
      <c r="F2724" s="1">
        <v>3.1732745961820852</v>
      </c>
      <c r="G2724" s="1">
        <v>3.1681942592292067E-2</v>
      </c>
    </row>
    <row r="2725" spans="1:7">
      <c r="A2725">
        <v>244</v>
      </c>
      <c r="B2725">
        <v>1</v>
      </c>
      <c r="C2725" s="1">
        <f>(Tabela1[[#This Row],[x]]-H$3)*(Tabela1[[#This Row],[x]]-H$3) +(Tabela1[[#This Row],[y]]-H$4)*(Tabela1[[#This Row],[y]]-H$4)</f>
        <v>41537</v>
      </c>
      <c r="D2725" s="1">
        <f>IF(Tabela1[[#This Row],[promien]]&lt;40000,1,0)</f>
        <v>0</v>
      </c>
      <c r="E2725" s="1">
        <f>IF(Tabela1[[#This Row],[promien]]=40000,1,0)</f>
        <v>0</v>
      </c>
      <c r="F2725" s="1">
        <v>3.1721100917431193</v>
      </c>
      <c r="G2725" s="1">
        <v>3.0517438153326193E-2</v>
      </c>
    </row>
    <row r="2726" spans="1:7">
      <c r="A2726">
        <v>396</v>
      </c>
      <c r="B2726">
        <v>365</v>
      </c>
      <c r="C2726" s="1">
        <f>(Tabela1[[#This Row],[x]]-H$3)*(Tabela1[[#This Row],[x]]-H$3) +(Tabela1[[#This Row],[y]]-H$4)*(Tabela1[[#This Row],[y]]-H$4)</f>
        <v>65641</v>
      </c>
      <c r="D2726" s="1">
        <f>IF(Tabela1[[#This Row],[promien]]&lt;40000,1,0)</f>
        <v>0</v>
      </c>
      <c r="E2726" s="1">
        <f>IF(Tabela1[[#This Row],[promien]]=40000,1,0)</f>
        <v>0</v>
      </c>
      <c r="F2726" s="1">
        <v>3.1709464416727808</v>
      </c>
      <c r="G2726" s="1">
        <v>2.935378808298772E-2</v>
      </c>
    </row>
    <row r="2727" spans="1:7">
      <c r="A2727">
        <v>167</v>
      </c>
      <c r="B2727">
        <v>75</v>
      </c>
      <c r="C2727" s="1">
        <f>(Tabela1[[#This Row],[x]]-H$3)*(Tabela1[[#This Row],[x]]-H$3) +(Tabela1[[#This Row],[y]]-H$4)*(Tabela1[[#This Row],[y]]-H$4)</f>
        <v>16714</v>
      </c>
      <c r="D2727" s="1">
        <f>IF(Tabela1[[#This Row],[promien]]&lt;40000,1,0)</f>
        <v>1</v>
      </c>
      <c r="E2727" s="1">
        <f>IF(Tabela1[[#This Row],[promien]]=40000,1,0)</f>
        <v>0</v>
      </c>
      <c r="F2727" s="1">
        <v>3.1712504583791712</v>
      </c>
      <c r="G2727" s="1">
        <v>2.9657804789378073E-2</v>
      </c>
    </row>
    <row r="2728" spans="1:7">
      <c r="A2728">
        <v>14</v>
      </c>
      <c r="B2728">
        <v>50</v>
      </c>
      <c r="C2728" s="1">
        <f>(Tabela1[[#This Row],[x]]-H$3)*(Tabela1[[#This Row],[x]]-H$3) +(Tabela1[[#This Row],[y]]-H$4)*(Tabela1[[#This Row],[y]]-H$4)</f>
        <v>57096</v>
      </c>
      <c r="D2728" s="1">
        <f>IF(Tabela1[[#This Row],[promien]]&lt;40000,1,0)</f>
        <v>0</v>
      </c>
      <c r="E2728" s="1">
        <f>IF(Tabela1[[#This Row],[promien]]=40000,1,0)</f>
        <v>0</v>
      </c>
      <c r="F2728" s="1">
        <v>3.1700879765395893</v>
      </c>
      <c r="G2728" s="1">
        <v>2.8495322949796176E-2</v>
      </c>
    </row>
    <row r="2729" spans="1:7">
      <c r="A2729">
        <v>70</v>
      </c>
      <c r="B2729">
        <v>296</v>
      </c>
      <c r="C2729" s="1">
        <f>(Tabela1[[#This Row],[x]]-H$3)*(Tabela1[[#This Row],[x]]-H$3) +(Tabela1[[#This Row],[y]]-H$4)*(Tabela1[[#This Row],[y]]-H$4)</f>
        <v>26116</v>
      </c>
      <c r="D2729" s="1">
        <f>IF(Tabela1[[#This Row],[promien]]&lt;40000,1,0)</f>
        <v>1</v>
      </c>
      <c r="E2729" s="1">
        <f>IF(Tabela1[[#This Row],[promien]]=40000,1,0)</f>
        <v>0</v>
      </c>
      <c r="F2729" s="1">
        <v>3.1703920850128253</v>
      </c>
      <c r="G2729" s="1">
        <v>2.8799431423032207E-2</v>
      </c>
    </row>
    <row r="2730" spans="1:7">
      <c r="A2730">
        <v>290</v>
      </c>
      <c r="B2730">
        <v>102</v>
      </c>
      <c r="C2730" s="1">
        <f>(Tabela1[[#This Row],[x]]-H$3)*(Tabela1[[#This Row],[x]]-H$3) +(Tabela1[[#This Row],[y]]-H$4)*(Tabela1[[#This Row],[y]]-H$4)</f>
        <v>17704</v>
      </c>
      <c r="D2730" s="1">
        <f>IF(Tabela1[[#This Row],[promien]]&lt;40000,1,0)</f>
        <v>1</v>
      </c>
      <c r="E2730" s="1">
        <f>IF(Tabela1[[#This Row],[promien]]=40000,1,0)</f>
        <v>0</v>
      </c>
      <c r="F2730" s="1">
        <v>3.1706959706959705</v>
      </c>
      <c r="G2730" s="1">
        <v>2.9103317106177418E-2</v>
      </c>
    </row>
    <row r="2731" spans="1:7">
      <c r="A2731">
        <v>274</v>
      </c>
      <c r="B2731">
        <v>231</v>
      </c>
      <c r="C2731" s="1">
        <f>(Tabela1[[#This Row],[x]]-H$3)*(Tabela1[[#This Row],[x]]-H$3) +(Tabela1[[#This Row],[y]]-H$4)*(Tabela1[[#This Row],[y]]-H$4)</f>
        <v>6437</v>
      </c>
      <c r="D2731" s="1">
        <f>IF(Tabela1[[#This Row],[promien]]&lt;40000,1,0)</f>
        <v>1</v>
      </c>
      <c r="E2731" s="1">
        <f>IF(Tabela1[[#This Row],[promien]]=40000,1,0)</f>
        <v>0</v>
      </c>
      <c r="F2731" s="1">
        <v>3.1709996338337607</v>
      </c>
      <c r="G2731" s="1">
        <v>2.9406980243967595E-2</v>
      </c>
    </row>
    <row r="2732" spans="1:7">
      <c r="A2732">
        <v>193</v>
      </c>
      <c r="B2732">
        <v>355</v>
      </c>
      <c r="C2732" s="1">
        <f>(Tabela1[[#This Row],[x]]-H$3)*(Tabela1[[#This Row],[x]]-H$3) +(Tabela1[[#This Row],[y]]-H$4)*(Tabela1[[#This Row],[y]]-H$4)</f>
        <v>24074</v>
      </c>
      <c r="D2732" s="1">
        <f>IF(Tabela1[[#This Row],[promien]]&lt;40000,1,0)</f>
        <v>1</v>
      </c>
      <c r="E2732" s="1">
        <f>IF(Tabela1[[#This Row],[promien]]=40000,1,0)</f>
        <v>0</v>
      </c>
      <c r="F2732" s="1">
        <v>3.171303074670571</v>
      </c>
      <c r="G2732" s="1">
        <v>2.9710421080777927E-2</v>
      </c>
    </row>
    <row r="2733" spans="1:7">
      <c r="A2733">
        <v>12</v>
      </c>
      <c r="B2733">
        <v>106</v>
      </c>
      <c r="C2733" s="1">
        <f>(Tabela1[[#This Row],[x]]-H$3)*(Tabela1[[#This Row],[x]]-H$3) +(Tabela1[[#This Row],[y]]-H$4)*(Tabela1[[#This Row],[y]]-H$4)</f>
        <v>44180</v>
      </c>
      <c r="D2733" s="1">
        <f>IF(Tabela1[[#This Row],[promien]]&lt;40000,1,0)</f>
        <v>0</v>
      </c>
      <c r="E2733" s="1">
        <f>IF(Tabela1[[#This Row],[promien]]=40000,1,0)</f>
        <v>0</v>
      </c>
      <c r="F2733" s="1">
        <v>3.1701427003293086</v>
      </c>
      <c r="G2733" s="1">
        <v>2.8550046739515444E-2</v>
      </c>
    </row>
    <row r="2734" spans="1:7">
      <c r="A2734">
        <v>256</v>
      </c>
      <c r="B2734">
        <v>393</v>
      </c>
      <c r="C2734" s="1">
        <f>(Tabela1[[#This Row],[x]]-H$3)*(Tabela1[[#This Row],[x]]-H$3) +(Tabela1[[#This Row],[y]]-H$4)*(Tabela1[[#This Row],[y]]-H$4)</f>
        <v>40385</v>
      </c>
      <c r="D2734" s="1">
        <f>IF(Tabela1[[#This Row],[promien]]&lt;40000,1,0)</f>
        <v>0</v>
      </c>
      <c r="E2734" s="1">
        <f>IF(Tabela1[[#This Row],[promien]]=40000,1,0)</f>
        <v>0</v>
      </c>
      <c r="F2734" s="1">
        <v>3.168983174835406</v>
      </c>
      <c r="G2734" s="1">
        <v>2.739052124561292E-2</v>
      </c>
    </row>
    <row r="2735" spans="1:7">
      <c r="A2735">
        <v>216</v>
      </c>
      <c r="B2735">
        <v>166</v>
      </c>
      <c r="C2735" s="1">
        <f>(Tabela1[[#This Row],[x]]-H$3)*(Tabela1[[#This Row],[x]]-H$3) +(Tabela1[[#This Row],[y]]-H$4)*(Tabela1[[#This Row],[y]]-H$4)</f>
        <v>1412</v>
      </c>
      <c r="D2735" s="1">
        <f>IF(Tabela1[[#This Row],[promien]]&lt;40000,1,0)</f>
        <v>1</v>
      </c>
      <c r="E2735" s="1">
        <f>IF(Tabela1[[#This Row],[promien]]=40000,1,0)</f>
        <v>0</v>
      </c>
      <c r="F2735" s="1">
        <v>3.1692870201096892</v>
      </c>
      <c r="G2735" s="1">
        <v>2.7694366519896096E-2</v>
      </c>
    </row>
    <row r="2736" spans="1:7">
      <c r="A2736">
        <v>397</v>
      </c>
      <c r="B2736">
        <v>54</v>
      </c>
      <c r="C2736" s="1">
        <f>(Tabela1[[#This Row],[x]]-H$3)*(Tabela1[[#This Row],[x]]-H$3) +(Tabela1[[#This Row],[y]]-H$4)*(Tabela1[[#This Row],[y]]-H$4)</f>
        <v>60125</v>
      </c>
      <c r="D2736" s="1">
        <f>IF(Tabela1[[#This Row],[promien]]&lt;40000,1,0)</f>
        <v>0</v>
      </c>
      <c r="E2736" s="1">
        <f>IF(Tabela1[[#This Row],[promien]]=40000,1,0)</f>
        <v>0</v>
      </c>
      <c r="F2736" s="1">
        <v>3.1681286549707601</v>
      </c>
      <c r="G2736" s="1">
        <v>2.6536001380967011E-2</v>
      </c>
    </row>
    <row r="2737" spans="1:7">
      <c r="A2737">
        <v>188</v>
      </c>
      <c r="B2737">
        <v>341</v>
      </c>
      <c r="C2737" s="1">
        <f>(Tabela1[[#This Row],[x]]-H$3)*(Tabela1[[#This Row],[x]]-H$3) +(Tabela1[[#This Row],[y]]-H$4)*(Tabela1[[#This Row],[y]]-H$4)</f>
        <v>20025</v>
      </c>
      <c r="D2737" s="1">
        <f>IF(Tabela1[[#This Row],[promien]]&lt;40000,1,0)</f>
        <v>1</v>
      </c>
      <c r="E2737" s="1">
        <f>IF(Tabela1[[#This Row],[promien]]=40000,1,0)</f>
        <v>0</v>
      </c>
      <c r="F2737" s="1">
        <v>3.1684325904274755</v>
      </c>
      <c r="G2737" s="1">
        <v>2.6839936837682377E-2</v>
      </c>
    </row>
    <row r="2738" spans="1:7">
      <c r="A2738">
        <v>253</v>
      </c>
      <c r="B2738">
        <v>119</v>
      </c>
      <c r="C2738" s="1">
        <f>(Tabela1[[#This Row],[x]]-H$3)*(Tabela1[[#This Row],[x]]-H$3) +(Tabela1[[#This Row],[y]]-H$4)*(Tabela1[[#This Row],[y]]-H$4)</f>
        <v>9370</v>
      </c>
      <c r="D2738" s="1">
        <f>IF(Tabela1[[#This Row],[promien]]&lt;40000,1,0)</f>
        <v>1</v>
      </c>
      <c r="E2738" s="1">
        <f>IF(Tabela1[[#This Row],[promien]]=40000,1,0)</f>
        <v>0</v>
      </c>
      <c r="F2738" s="1">
        <v>3.1687363038714391</v>
      </c>
      <c r="G2738" s="1">
        <v>2.7143650281646003E-2</v>
      </c>
    </row>
    <row r="2739" spans="1:7">
      <c r="A2739">
        <v>192</v>
      </c>
      <c r="B2739">
        <v>132</v>
      </c>
      <c r="C2739" s="1">
        <f>(Tabela1[[#This Row],[x]]-H$3)*(Tabela1[[#This Row],[x]]-H$3) +(Tabela1[[#This Row],[y]]-H$4)*(Tabela1[[#This Row],[y]]-H$4)</f>
        <v>4688</v>
      </c>
      <c r="D2739" s="1">
        <f>IF(Tabela1[[#This Row],[promien]]&lt;40000,1,0)</f>
        <v>1</v>
      </c>
      <c r="E2739" s="1">
        <f>IF(Tabela1[[#This Row],[promien]]=40000,1,0)</f>
        <v>0</v>
      </c>
      <c r="F2739" s="1">
        <v>3.1690397955458196</v>
      </c>
      <c r="G2739" s="1">
        <v>2.7447141956026488E-2</v>
      </c>
    </row>
    <row r="2740" spans="1:7">
      <c r="A2740">
        <v>208</v>
      </c>
      <c r="B2740">
        <v>178</v>
      </c>
      <c r="C2740" s="1">
        <f>(Tabela1[[#This Row],[x]]-H$3)*(Tabela1[[#This Row],[x]]-H$3) +(Tabela1[[#This Row],[y]]-H$4)*(Tabela1[[#This Row],[y]]-H$4)</f>
        <v>548</v>
      </c>
      <c r="D2740" s="1">
        <f>IF(Tabela1[[#This Row],[promien]]&lt;40000,1,0)</f>
        <v>1</v>
      </c>
      <c r="E2740" s="1">
        <f>IF(Tabela1[[#This Row],[promien]]=40000,1,0)</f>
        <v>0</v>
      </c>
      <c r="F2740" s="1">
        <v>3.1693430656934307</v>
      </c>
      <c r="G2740" s="1">
        <v>2.7750412103637601E-2</v>
      </c>
    </row>
    <row r="2741" spans="1:7">
      <c r="A2741">
        <v>379</v>
      </c>
      <c r="B2741">
        <v>344</v>
      </c>
      <c r="C2741" s="1">
        <f>(Tabela1[[#This Row],[x]]-H$3)*(Tabela1[[#This Row],[x]]-H$3) +(Tabela1[[#This Row],[y]]-H$4)*(Tabela1[[#This Row],[y]]-H$4)</f>
        <v>52777</v>
      </c>
      <c r="D2741" s="1">
        <f>IF(Tabela1[[#This Row],[promien]]&lt;40000,1,0)</f>
        <v>0</v>
      </c>
      <c r="E2741" s="1">
        <f>IF(Tabela1[[#This Row],[promien]]=40000,1,0)</f>
        <v>0</v>
      </c>
      <c r="F2741" s="1">
        <v>3.1681867931411896</v>
      </c>
      <c r="G2741" s="1">
        <v>2.6594139551396445E-2</v>
      </c>
    </row>
    <row r="2742" spans="1:7">
      <c r="A2742">
        <v>99</v>
      </c>
      <c r="B2742">
        <v>81</v>
      </c>
      <c r="C2742" s="1">
        <f>(Tabela1[[#This Row],[x]]-H$3)*(Tabela1[[#This Row],[x]]-H$3) +(Tabela1[[#This Row],[y]]-H$4)*(Tabela1[[#This Row],[y]]-H$4)</f>
        <v>24362</v>
      </c>
      <c r="D2742" s="1">
        <f>IF(Tabela1[[#This Row],[promien]]&lt;40000,1,0)</f>
        <v>1</v>
      </c>
      <c r="E2742" s="1">
        <f>IF(Tabela1[[#This Row],[promien]]=40000,1,0)</f>
        <v>0</v>
      </c>
      <c r="F2742" s="1">
        <v>3.1684901531728666</v>
      </c>
      <c r="G2742" s="1">
        <v>2.6897499583073525E-2</v>
      </c>
    </row>
    <row r="2743" spans="1:7">
      <c r="A2743">
        <v>352</v>
      </c>
      <c r="B2743">
        <v>241</v>
      </c>
      <c r="C2743" s="1">
        <f>(Tabela1[[#This Row],[x]]-H$3)*(Tabela1[[#This Row],[x]]-H$3) +(Tabela1[[#This Row],[y]]-H$4)*(Tabela1[[#This Row],[y]]-H$4)</f>
        <v>24785</v>
      </c>
      <c r="D2743" s="1">
        <f>IF(Tabela1[[#This Row],[promien]]&lt;40000,1,0)</f>
        <v>1</v>
      </c>
      <c r="E2743" s="1">
        <f>IF(Tabela1[[#This Row],[promien]]=40000,1,0)</f>
        <v>0</v>
      </c>
      <c r="F2743" s="1">
        <v>3.1687932920160407</v>
      </c>
      <c r="G2743" s="1">
        <v>2.7200638426247536E-2</v>
      </c>
    </row>
    <row r="2744" spans="1:7">
      <c r="A2744">
        <v>78</v>
      </c>
      <c r="B2744">
        <v>88</v>
      </c>
      <c r="C2744" s="1">
        <f>(Tabela1[[#This Row],[x]]-H$3)*(Tabela1[[#This Row],[x]]-H$3) +(Tabela1[[#This Row],[y]]-H$4)*(Tabela1[[#This Row],[y]]-H$4)</f>
        <v>27428</v>
      </c>
      <c r="D2744" s="1">
        <f>IF(Tabela1[[#This Row],[promien]]&lt;40000,1,0)</f>
        <v>1</v>
      </c>
      <c r="E2744" s="1">
        <f>IF(Tabela1[[#This Row],[promien]]=40000,1,0)</f>
        <v>0</v>
      </c>
      <c r="F2744" s="1">
        <v>3.1690962099125364</v>
      </c>
      <c r="G2744" s="1">
        <v>2.7503556322743261E-2</v>
      </c>
    </row>
    <row r="2745" spans="1:7">
      <c r="A2745">
        <v>141</v>
      </c>
      <c r="B2745">
        <v>14</v>
      </c>
      <c r="C2745" s="1">
        <f>(Tabela1[[#This Row],[x]]-H$3)*(Tabela1[[#This Row],[x]]-H$3) +(Tabela1[[#This Row],[y]]-H$4)*(Tabela1[[#This Row],[y]]-H$4)</f>
        <v>38077</v>
      </c>
      <c r="D2745" s="1">
        <f>IF(Tabela1[[#This Row],[promien]]&lt;40000,1,0)</f>
        <v>1</v>
      </c>
      <c r="E2745" s="1">
        <f>IF(Tabela1[[#This Row],[promien]]=40000,1,0)</f>
        <v>0</v>
      </c>
      <c r="F2745" s="1">
        <v>3.1693989071038251</v>
      </c>
      <c r="G2745" s="1">
        <v>2.7806253514031987E-2</v>
      </c>
    </row>
    <row r="2746" spans="1:7">
      <c r="A2746">
        <v>326</v>
      </c>
      <c r="B2746">
        <v>261</v>
      </c>
      <c r="C2746" s="1">
        <f>(Tabela1[[#This Row],[x]]-H$3)*(Tabela1[[#This Row],[x]]-H$3) +(Tabela1[[#This Row],[y]]-H$4)*(Tabela1[[#This Row],[y]]-H$4)</f>
        <v>19597</v>
      </c>
      <c r="D2746" s="1">
        <f>IF(Tabela1[[#This Row],[promien]]&lt;40000,1,0)</f>
        <v>1</v>
      </c>
      <c r="E2746" s="1">
        <f>IF(Tabela1[[#This Row],[promien]]=40000,1,0)</f>
        <v>0</v>
      </c>
      <c r="F2746" s="1">
        <v>3.1697013838310268</v>
      </c>
      <c r="G2746" s="1">
        <v>2.8108730241233726E-2</v>
      </c>
    </row>
    <row r="2747" spans="1:7">
      <c r="A2747">
        <v>7</v>
      </c>
      <c r="B2747">
        <v>212</v>
      </c>
      <c r="C2747" s="1">
        <f>(Tabela1[[#This Row],[x]]-H$3)*(Tabela1[[#This Row],[x]]-H$3) +(Tabela1[[#This Row],[y]]-H$4)*(Tabela1[[#This Row],[y]]-H$4)</f>
        <v>37393</v>
      </c>
      <c r="D2747" s="1">
        <f>IF(Tabela1[[#This Row],[promien]]&lt;40000,1,0)</f>
        <v>1</v>
      </c>
      <c r="E2747" s="1">
        <f>IF(Tabela1[[#This Row],[promien]]=40000,1,0)</f>
        <v>0</v>
      </c>
      <c r="F2747" s="1">
        <v>3.1700036403349108</v>
      </c>
      <c r="G2747" s="1">
        <v>2.8410986745117661E-2</v>
      </c>
    </row>
    <row r="2748" spans="1:7">
      <c r="A2748">
        <v>295</v>
      </c>
      <c r="B2748">
        <v>34</v>
      </c>
      <c r="C2748" s="1">
        <f>(Tabela1[[#This Row],[x]]-H$3)*(Tabela1[[#This Row],[x]]-H$3) +(Tabela1[[#This Row],[y]]-H$4)*(Tabela1[[#This Row],[y]]-H$4)</f>
        <v>36581</v>
      </c>
      <c r="D2748" s="1">
        <f>IF(Tabela1[[#This Row],[promien]]&lt;40000,1,0)</f>
        <v>1</v>
      </c>
      <c r="E2748" s="1">
        <f>IF(Tabela1[[#This Row],[promien]]=40000,1,0)</f>
        <v>0</v>
      </c>
      <c r="F2748" s="1">
        <v>3.1703056768558953</v>
      </c>
      <c r="G2748" s="1">
        <v>2.8713023266102145E-2</v>
      </c>
    </row>
    <row r="2749" spans="1:7">
      <c r="A2749">
        <v>241</v>
      </c>
      <c r="B2749">
        <v>271</v>
      </c>
      <c r="C2749" s="1">
        <f>(Tabela1[[#This Row],[x]]-H$3)*(Tabela1[[#This Row],[x]]-H$3) +(Tabela1[[#This Row],[y]]-H$4)*(Tabela1[[#This Row],[y]]-H$4)</f>
        <v>6722</v>
      </c>
      <c r="D2749" s="1">
        <f>IF(Tabela1[[#This Row],[promien]]&lt;40000,1,0)</f>
        <v>1</v>
      </c>
      <c r="E2749" s="1">
        <f>IF(Tabela1[[#This Row],[promien]]=40000,1,0)</f>
        <v>0</v>
      </c>
      <c r="F2749" s="1">
        <v>3.1706074936340487</v>
      </c>
      <c r="G2749" s="1">
        <v>2.9014840044255585E-2</v>
      </c>
    </row>
    <row r="2750" spans="1:7">
      <c r="A2750">
        <v>193</v>
      </c>
      <c r="B2750">
        <v>61</v>
      </c>
      <c r="C2750" s="1">
        <f>(Tabela1[[#This Row],[x]]-H$3)*(Tabela1[[#This Row],[x]]-H$3) +(Tabela1[[#This Row],[y]]-H$4)*(Tabela1[[#This Row],[y]]-H$4)</f>
        <v>19370</v>
      </c>
      <c r="D2750" s="1">
        <f>IF(Tabela1[[#This Row],[promien]]&lt;40000,1,0)</f>
        <v>1</v>
      </c>
      <c r="E2750" s="1">
        <f>IF(Tabela1[[#This Row],[promien]]=40000,1,0)</f>
        <v>0</v>
      </c>
      <c r="F2750" s="1">
        <v>3.1709090909090909</v>
      </c>
      <c r="G2750" s="1">
        <v>2.9316437319297783E-2</v>
      </c>
    </row>
    <row r="2751" spans="1:7">
      <c r="A2751">
        <v>353</v>
      </c>
      <c r="B2751">
        <v>61</v>
      </c>
      <c r="C2751" s="1">
        <f>(Tabela1[[#This Row],[x]]-H$3)*(Tabela1[[#This Row],[x]]-H$3) +(Tabela1[[#This Row],[y]]-H$4)*(Tabela1[[#This Row],[y]]-H$4)</f>
        <v>42730</v>
      </c>
      <c r="D2751" s="1">
        <f>IF(Tabela1[[#This Row],[promien]]&lt;40000,1,0)</f>
        <v>0</v>
      </c>
      <c r="E2751" s="1">
        <f>IF(Tabela1[[#This Row],[promien]]=40000,1,0)</f>
        <v>0</v>
      </c>
      <c r="F2751" s="1">
        <v>3.1697564521992003</v>
      </c>
      <c r="G2751" s="1">
        <v>2.8163798609407209E-2</v>
      </c>
    </row>
    <row r="2752" spans="1:7">
      <c r="A2752">
        <v>210</v>
      </c>
      <c r="B2752">
        <v>85</v>
      </c>
      <c r="C2752" s="1">
        <f>(Tabela1[[#This Row],[x]]-H$3)*(Tabela1[[#This Row],[x]]-H$3) +(Tabela1[[#This Row],[y]]-H$4)*(Tabela1[[#This Row],[y]]-H$4)</f>
        <v>13325</v>
      </c>
      <c r="D2752" s="1">
        <f>IF(Tabela1[[#This Row],[promien]]&lt;40000,1,0)</f>
        <v>1</v>
      </c>
      <c r="E2752" s="1">
        <f>IF(Tabela1[[#This Row],[promien]]=40000,1,0)</f>
        <v>0</v>
      </c>
      <c r="F2752" s="1">
        <v>3.1700581395348837</v>
      </c>
      <c r="G2752" s="1">
        <v>2.8465485945090574E-2</v>
      </c>
    </row>
    <row r="2753" spans="1:7">
      <c r="A2753">
        <v>184</v>
      </c>
      <c r="B2753">
        <v>188</v>
      </c>
      <c r="C2753" s="1">
        <f>(Tabela1[[#This Row],[x]]-H$3)*(Tabela1[[#This Row],[x]]-H$3) +(Tabela1[[#This Row],[y]]-H$4)*(Tabela1[[#This Row],[y]]-H$4)</f>
        <v>400</v>
      </c>
      <c r="D2753" s="1">
        <f>IF(Tabela1[[#This Row],[promien]]&lt;40000,1,0)</f>
        <v>1</v>
      </c>
      <c r="E2753" s="1">
        <f>IF(Tabela1[[#This Row],[promien]]=40000,1,0)</f>
        <v>0</v>
      </c>
      <c r="F2753" s="1">
        <v>3.1703596077006901</v>
      </c>
      <c r="G2753" s="1">
        <v>2.8766954110897025E-2</v>
      </c>
    </row>
    <row r="2754" spans="1:7">
      <c r="A2754">
        <v>266</v>
      </c>
      <c r="B2754">
        <v>338</v>
      </c>
      <c r="C2754" s="1">
        <f>(Tabela1[[#This Row],[x]]-H$3)*(Tabela1[[#This Row],[x]]-H$3) +(Tabela1[[#This Row],[y]]-H$4)*(Tabela1[[#This Row],[y]]-H$4)</f>
        <v>23400</v>
      </c>
      <c r="D2754" s="1">
        <f>IF(Tabela1[[#This Row],[promien]]&lt;40000,1,0)</f>
        <v>1</v>
      </c>
      <c r="E2754" s="1">
        <f>IF(Tabela1[[#This Row],[promien]]=40000,1,0)</f>
        <v>0</v>
      </c>
      <c r="F2754" s="1">
        <v>3.1706608569353669</v>
      </c>
      <c r="G2754" s="1">
        <v>2.9068203345573806E-2</v>
      </c>
    </row>
    <row r="2755" spans="1:7">
      <c r="A2755">
        <v>21</v>
      </c>
      <c r="B2755">
        <v>78</v>
      </c>
      <c r="C2755" s="1">
        <f>(Tabela1[[#This Row],[x]]-H$3)*(Tabela1[[#This Row],[x]]-H$3) +(Tabela1[[#This Row],[y]]-H$4)*(Tabela1[[#This Row],[y]]-H$4)</f>
        <v>46925</v>
      </c>
      <c r="D2755" s="1">
        <f>IF(Tabela1[[#This Row],[promien]]&lt;40000,1,0)</f>
        <v>0</v>
      </c>
      <c r="E2755" s="1">
        <f>IF(Tabela1[[#This Row],[promien]]=40000,1,0)</f>
        <v>0</v>
      </c>
      <c r="F2755" s="1">
        <v>3.1695099818511796</v>
      </c>
      <c r="G2755" s="1">
        <v>2.7917328261386487E-2</v>
      </c>
    </row>
    <row r="2756" spans="1:7">
      <c r="A2756">
        <v>357</v>
      </c>
      <c r="B2756">
        <v>377</v>
      </c>
      <c r="C2756" s="1">
        <f>(Tabela1[[#This Row],[x]]-H$3)*(Tabela1[[#This Row],[x]]-H$3) +(Tabela1[[#This Row],[y]]-H$4)*(Tabela1[[#This Row],[y]]-H$4)</f>
        <v>55978</v>
      </c>
      <c r="D2756" s="1">
        <f>IF(Tabela1[[#This Row],[promien]]&lt;40000,1,0)</f>
        <v>0</v>
      </c>
      <c r="E2756" s="1">
        <f>IF(Tabela1[[#This Row],[promien]]=40000,1,0)</f>
        <v>0</v>
      </c>
      <c r="F2756" s="1">
        <v>3.1683599419448476</v>
      </c>
      <c r="G2756" s="1">
        <v>2.6767288355054486E-2</v>
      </c>
    </row>
    <row r="2757" spans="1:7">
      <c r="A2757">
        <v>2</v>
      </c>
      <c r="B2757">
        <v>317</v>
      </c>
      <c r="C2757" s="1">
        <f>(Tabela1[[#This Row],[x]]-H$3)*(Tabela1[[#This Row],[x]]-H$3) +(Tabela1[[#This Row],[y]]-H$4)*(Tabela1[[#This Row],[y]]-H$4)</f>
        <v>52893</v>
      </c>
      <c r="D2757" s="1">
        <f>IF(Tabela1[[#This Row],[promien]]&lt;40000,1,0)</f>
        <v>0</v>
      </c>
      <c r="E2757" s="1">
        <f>IF(Tabela1[[#This Row],[promien]]=40000,1,0)</f>
        <v>0</v>
      </c>
      <c r="F2757" s="1">
        <v>3.1672107363075805</v>
      </c>
      <c r="G2757" s="1">
        <v>2.5618082717787427E-2</v>
      </c>
    </row>
    <row r="2758" spans="1:7">
      <c r="A2758">
        <v>258</v>
      </c>
      <c r="B2758">
        <v>161</v>
      </c>
      <c r="C2758" s="1">
        <f>(Tabela1[[#This Row],[x]]-H$3)*(Tabela1[[#This Row],[x]]-H$3) +(Tabela1[[#This Row],[y]]-H$4)*(Tabela1[[#This Row],[y]]-H$4)</f>
        <v>4885</v>
      </c>
      <c r="D2758" s="1">
        <f>IF(Tabela1[[#This Row],[promien]]&lt;40000,1,0)</f>
        <v>1</v>
      </c>
      <c r="E2758" s="1">
        <f>IF(Tabela1[[#This Row],[promien]]=40000,1,0)</f>
        <v>0</v>
      </c>
      <c r="F2758" s="1">
        <v>3.1675126903553301</v>
      </c>
      <c r="G2758" s="1">
        <v>2.5920036765537002E-2</v>
      </c>
    </row>
    <row r="2759" spans="1:7">
      <c r="A2759">
        <v>57</v>
      </c>
      <c r="B2759">
        <v>332</v>
      </c>
      <c r="C2759" s="1">
        <f>(Tabela1[[#This Row],[x]]-H$3)*(Tabela1[[#This Row],[x]]-H$3) +(Tabela1[[#This Row],[y]]-H$4)*(Tabela1[[#This Row],[y]]-H$4)</f>
        <v>37873</v>
      </c>
      <c r="D2759" s="1">
        <f>IF(Tabela1[[#This Row],[promien]]&lt;40000,1,0)</f>
        <v>1</v>
      </c>
      <c r="E2759" s="1">
        <f>IF(Tabela1[[#This Row],[promien]]=40000,1,0)</f>
        <v>0</v>
      </c>
      <c r="F2759" s="1">
        <v>3.1678144255164913</v>
      </c>
      <c r="G2759" s="1">
        <v>2.6221771926698167E-2</v>
      </c>
    </row>
    <row r="2760" spans="1:7">
      <c r="A2760">
        <v>216</v>
      </c>
      <c r="B2760">
        <v>337</v>
      </c>
      <c r="C2760" s="1">
        <f>(Tabela1[[#This Row],[x]]-H$3)*(Tabela1[[#This Row],[x]]-H$3) +(Tabela1[[#This Row],[y]]-H$4)*(Tabela1[[#This Row],[y]]-H$4)</f>
        <v>19025</v>
      </c>
      <c r="D2760" s="1">
        <f>IF(Tabela1[[#This Row],[promien]]&lt;40000,1,0)</f>
        <v>1</v>
      </c>
      <c r="E2760" s="1">
        <f>IF(Tabela1[[#This Row],[promien]]=40000,1,0)</f>
        <v>0</v>
      </c>
      <c r="F2760" s="1">
        <v>3.1681159420289857</v>
      </c>
      <c r="G2760" s="1">
        <v>2.6523288439192605E-2</v>
      </c>
    </row>
    <row r="2761" spans="1:7">
      <c r="A2761">
        <v>53</v>
      </c>
      <c r="B2761">
        <v>38</v>
      </c>
      <c r="C2761" s="1">
        <f>(Tabela1[[#This Row],[x]]-H$3)*(Tabela1[[#This Row],[x]]-H$3) +(Tabela1[[#This Row],[y]]-H$4)*(Tabela1[[#This Row],[y]]-H$4)</f>
        <v>47853</v>
      </c>
      <c r="D2761" s="1">
        <f>IF(Tabela1[[#This Row],[promien]]&lt;40000,1,0)</f>
        <v>0</v>
      </c>
      <c r="E2761" s="1">
        <f>IF(Tabela1[[#This Row],[promien]]=40000,1,0)</f>
        <v>0</v>
      </c>
      <c r="F2761" s="1">
        <v>3.1669684896776529</v>
      </c>
      <c r="G2761" s="1">
        <v>2.537583608785976E-2</v>
      </c>
    </row>
    <row r="2762" spans="1:7">
      <c r="A2762">
        <v>103</v>
      </c>
      <c r="B2762">
        <v>118</v>
      </c>
      <c r="C2762" s="1">
        <f>(Tabela1[[#This Row],[x]]-H$3)*(Tabela1[[#This Row],[x]]-H$3) +(Tabela1[[#This Row],[y]]-H$4)*(Tabela1[[#This Row],[y]]-H$4)</f>
        <v>16133</v>
      </c>
      <c r="D2762" s="1">
        <f>IF(Tabela1[[#This Row],[promien]]&lt;40000,1,0)</f>
        <v>1</v>
      </c>
      <c r="E2762" s="1">
        <f>IF(Tabela1[[#This Row],[promien]]=40000,1,0)</f>
        <v>0</v>
      </c>
      <c r="F2762" s="1">
        <v>3.1672700941346852</v>
      </c>
      <c r="G2762" s="1">
        <v>2.5677440544892072E-2</v>
      </c>
    </row>
    <row r="2763" spans="1:7">
      <c r="A2763">
        <v>310</v>
      </c>
      <c r="B2763">
        <v>32</v>
      </c>
      <c r="C2763" s="1">
        <f>(Tabela1[[#This Row],[x]]-H$3)*(Tabela1[[#This Row],[x]]-H$3) +(Tabela1[[#This Row],[y]]-H$4)*(Tabela1[[#This Row],[y]]-H$4)</f>
        <v>40324</v>
      </c>
      <c r="D2763" s="1">
        <f>IF(Tabela1[[#This Row],[promien]]&lt;40000,1,0)</f>
        <v>0</v>
      </c>
      <c r="E2763" s="1">
        <f>IF(Tabela1[[#This Row],[promien]]=40000,1,0)</f>
        <v>0</v>
      </c>
      <c r="F2763" s="1">
        <v>3.1661237785016287</v>
      </c>
      <c r="G2763" s="1">
        <v>2.4531124911835622E-2</v>
      </c>
    </row>
    <row r="2764" spans="1:7">
      <c r="A2764">
        <v>265</v>
      </c>
      <c r="B2764">
        <v>308</v>
      </c>
      <c r="C2764" s="1">
        <f>(Tabela1[[#This Row],[x]]-H$3)*(Tabela1[[#This Row],[x]]-H$3) +(Tabela1[[#This Row],[y]]-H$4)*(Tabela1[[#This Row],[y]]-H$4)</f>
        <v>15889</v>
      </c>
      <c r="D2764" s="1">
        <f>IF(Tabela1[[#This Row],[promien]]&lt;40000,1,0)</f>
        <v>1</v>
      </c>
      <c r="E2764" s="1">
        <f>IF(Tabela1[[#This Row],[promien]]=40000,1,0)</f>
        <v>0</v>
      </c>
      <c r="F2764" s="1">
        <v>3.1664254703328512</v>
      </c>
      <c r="G2764" s="1">
        <v>2.4832816743058039E-2</v>
      </c>
    </row>
    <row r="2765" spans="1:7">
      <c r="A2765">
        <v>130</v>
      </c>
      <c r="B2765">
        <v>173</v>
      </c>
      <c r="C2765" s="1">
        <f>(Tabela1[[#This Row],[x]]-H$3)*(Tabela1[[#This Row],[x]]-H$3) +(Tabela1[[#This Row],[y]]-H$4)*(Tabela1[[#This Row],[y]]-H$4)</f>
        <v>5629</v>
      </c>
      <c r="D2765" s="1">
        <f>IF(Tabela1[[#This Row],[promien]]&lt;40000,1,0)</f>
        <v>1</v>
      </c>
      <c r="E2765" s="1">
        <f>IF(Tabela1[[#This Row],[promien]]=40000,1,0)</f>
        <v>0</v>
      </c>
      <c r="F2765" s="1">
        <v>3.1667269439421339</v>
      </c>
      <c r="G2765" s="1">
        <v>2.5134290352340827E-2</v>
      </c>
    </row>
    <row r="2766" spans="1:7">
      <c r="A2766">
        <v>93</v>
      </c>
      <c r="B2766">
        <v>113</v>
      </c>
      <c r="C2766" s="1">
        <f>(Tabela1[[#This Row],[x]]-H$3)*(Tabela1[[#This Row],[x]]-H$3) +(Tabela1[[#This Row],[y]]-H$4)*(Tabela1[[#This Row],[y]]-H$4)</f>
        <v>19018</v>
      </c>
      <c r="D2766" s="1">
        <f>IF(Tabela1[[#This Row],[promien]]&lt;40000,1,0)</f>
        <v>1</v>
      </c>
      <c r="E2766" s="1">
        <f>IF(Tabela1[[#This Row],[promien]]=40000,1,0)</f>
        <v>0</v>
      </c>
      <c r="F2766" s="1">
        <v>3.1670281995661607</v>
      </c>
      <c r="G2766" s="1">
        <v>2.5435545976367546E-2</v>
      </c>
    </row>
    <row r="2767" spans="1:7">
      <c r="A2767">
        <v>219</v>
      </c>
      <c r="B2767">
        <v>367</v>
      </c>
      <c r="C2767" s="1">
        <f>(Tabela1[[#This Row],[x]]-H$3)*(Tabela1[[#This Row],[x]]-H$3) +(Tabela1[[#This Row],[y]]-H$4)*(Tabela1[[#This Row],[y]]-H$4)</f>
        <v>28250</v>
      </c>
      <c r="D2767" s="1">
        <f>IF(Tabela1[[#This Row],[promien]]&lt;40000,1,0)</f>
        <v>1</v>
      </c>
      <c r="E2767" s="1">
        <f>IF(Tabela1[[#This Row],[promien]]=40000,1,0)</f>
        <v>0</v>
      </c>
      <c r="F2767" s="1">
        <v>3.167329237441272</v>
      </c>
      <c r="G2767" s="1">
        <v>2.5736583851478922E-2</v>
      </c>
    </row>
    <row r="2768" spans="1:7">
      <c r="A2768">
        <v>38</v>
      </c>
      <c r="B2768">
        <v>196</v>
      </c>
      <c r="C2768" s="1">
        <f>(Tabela1[[#This Row],[x]]-H$3)*(Tabela1[[#This Row],[x]]-H$3) +(Tabela1[[#This Row],[y]]-H$4)*(Tabela1[[#This Row],[y]]-H$4)</f>
        <v>26260</v>
      </c>
      <c r="D2768" s="1">
        <f>IF(Tabela1[[#This Row],[promien]]&lt;40000,1,0)</f>
        <v>1</v>
      </c>
      <c r="E2768" s="1">
        <f>IF(Tabela1[[#This Row],[promien]]=40000,1,0)</f>
        <v>0</v>
      </c>
      <c r="F2768" s="1">
        <v>3.1676300578034682</v>
      </c>
      <c r="G2768" s="1">
        <v>2.6037404213675064E-2</v>
      </c>
    </row>
    <row r="2769" spans="1:7">
      <c r="A2769">
        <v>335</v>
      </c>
      <c r="B2769">
        <v>286</v>
      </c>
      <c r="C2769" s="1">
        <f>(Tabela1[[#This Row],[x]]-H$3)*(Tabela1[[#This Row],[x]]-H$3) +(Tabela1[[#This Row],[y]]-H$4)*(Tabela1[[#This Row],[y]]-H$4)</f>
        <v>25621</v>
      </c>
      <c r="D2769" s="1">
        <f>IF(Tabela1[[#This Row],[promien]]&lt;40000,1,0)</f>
        <v>1</v>
      </c>
      <c r="E2769" s="1">
        <f>IF(Tabela1[[#This Row],[promien]]=40000,1,0)</f>
        <v>0</v>
      </c>
      <c r="F2769" s="1">
        <v>3.1679306608884072</v>
      </c>
      <c r="G2769" s="1">
        <v>2.633800729861413E-2</v>
      </c>
    </row>
    <row r="2770" spans="1:7">
      <c r="A2770">
        <v>283</v>
      </c>
      <c r="B2770">
        <v>119</v>
      </c>
      <c r="C2770" s="1">
        <f>(Tabela1[[#This Row],[x]]-H$3)*(Tabela1[[#This Row],[x]]-H$3) +(Tabela1[[#This Row],[y]]-H$4)*(Tabela1[[#This Row],[y]]-H$4)</f>
        <v>13450</v>
      </c>
      <c r="D2770" s="1">
        <f>IF(Tabela1[[#This Row],[promien]]&lt;40000,1,0)</f>
        <v>1</v>
      </c>
      <c r="E2770" s="1">
        <f>IF(Tabela1[[#This Row],[promien]]=40000,1,0)</f>
        <v>0</v>
      </c>
      <c r="F2770" s="1">
        <v>3.1682310469314081</v>
      </c>
      <c r="G2770" s="1">
        <v>2.6638393341614997E-2</v>
      </c>
    </row>
    <row r="2771" spans="1:7">
      <c r="A2771">
        <v>210</v>
      </c>
      <c r="B2771">
        <v>333</v>
      </c>
      <c r="C2771" s="1">
        <f>(Tabela1[[#This Row],[x]]-H$3)*(Tabela1[[#This Row],[x]]-H$3) +(Tabela1[[#This Row],[y]]-H$4)*(Tabela1[[#This Row],[y]]-H$4)</f>
        <v>17789</v>
      </c>
      <c r="D2771" s="1">
        <f>IF(Tabela1[[#This Row],[promien]]&lt;40000,1,0)</f>
        <v>1</v>
      </c>
      <c r="E2771" s="1">
        <f>IF(Tabela1[[#This Row],[promien]]=40000,1,0)</f>
        <v>0</v>
      </c>
      <c r="F2771" s="1">
        <v>3.1685312161674486</v>
      </c>
      <c r="G2771" s="1">
        <v>2.6938562577655478E-2</v>
      </c>
    </row>
    <row r="2772" spans="1:7">
      <c r="A2772">
        <v>266</v>
      </c>
      <c r="B2772">
        <v>192</v>
      </c>
      <c r="C2772" s="1">
        <f>(Tabela1[[#This Row],[x]]-H$3)*(Tabela1[[#This Row],[x]]-H$3) +(Tabela1[[#This Row],[y]]-H$4)*(Tabela1[[#This Row],[y]]-H$4)</f>
        <v>4420</v>
      </c>
      <c r="D2772" s="1">
        <f>IF(Tabela1[[#This Row],[promien]]&lt;40000,1,0)</f>
        <v>1</v>
      </c>
      <c r="E2772" s="1">
        <f>IF(Tabela1[[#This Row],[promien]]=40000,1,0)</f>
        <v>0</v>
      </c>
      <c r="F2772" s="1">
        <v>3.168831168831169</v>
      </c>
      <c r="G2772" s="1">
        <v>2.7238515241375882E-2</v>
      </c>
    </row>
    <row r="2773" spans="1:7">
      <c r="A2773">
        <v>262</v>
      </c>
      <c r="B2773">
        <v>209</v>
      </c>
      <c r="C2773" s="1">
        <f>(Tabela1[[#This Row],[x]]-H$3)*(Tabela1[[#This Row],[x]]-H$3) +(Tabela1[[#This Row],[y]]-H$4)*(Tabela1[[#This Row],[y]]-H$4)</f>
        <v>3925</v>
      </c>
      <c r="D2773" s="1">
        <f>IF(Tabela1[[#This Row],[promien]]&lt;40000,1,0)</f>
        <v>1</v>
      </c>
      <c r="E2773" s="1">
        <f>IF(Tabela1[[#This Row],[promien]]=40000,1,0)</f>
        <v>0</v>
      </c>
      <c r="F2773" s="1">
        <v>3.1691309051568699</v>
      </c>
      <c r="G2773" s="1">
        <v>2.7538251567076788E-2</v>
      </c>
    </row>
    <row r="2774" spans="1:7">
      <c r="A2774">
        <v>119</v>
      </c>
      <c r="B2774">
        <v>315</v>
      </c>
      <c r="C2774" s="1">
        <f>(Tabela1[[#This Row],[x]]-H$3)*(Tabela1[[#This Row],[x]]-H$3) +(Tabela1[[#This Row],[y]]-H$4)*(Tabela1[[#This Row],[y]]-H$4)</f>
        <v>19786</v>
      </c>
      <c r="D2774" s="1">
        <f>IF(Tabela1[[#This Row],[promien]]&lt;40000,1,0)</f>
        <v>1</v>
      </c>
      <c r="E2774" s="1">
        <f>IF(Tabela1[[#This Row],[promien]]=40000,1,0)</f>
        <v>0</v>
      </c>
      <c r="F2774" s="1">
        <v>3.1694304253785148</v>
      </c>
      <c r="G2774" s="1">
        <v>2.783777178872171E-2</v>
      </c>
    </row>
    <row r="2775" spans="1:7">
      <c r="A2775">
        <v>248</v>
      </c>
      <c r="B2775">
        <v>364</v>
      </c>
      <c r="C2775" s="1">
        <f>(Tabela1[[#This Row],[x]]-H$3)*(Tabela1[[#This Row],[x]]-H$3) +(Tabela1[[#This Row],[y]]-H$4)*(Tabela1[[#This Row],[y]]-H$4)</f>
        <v>29200</v>
      </c>
      <c r="D2775" s="1">
        <f>IF(Tabela1[[#This Row],[promien]]&lt;40000,1,0)</f>
        <v>1</v>
      </c>
      <c r="E2775" s="1">
        <f>IF(Tabela1[[#This Row],[promien]]=40000,1,0)</f>
        <v>0</v>
      </c>
      <c r="F2775" s="1">
        <v>3.1697297297297298</v>
      </c>
      <c r="G2775" s="1">
        <v>2.8137076139936656E-2</v>
      </c>
    </row>
    <row r="2776" spans="1:7">
      <c r="A2776">
        <v>57</v>
      </c>
      <c r="B2776">
        <v>83</v>
      </c>
      <c r="C2776" s="1">
        <f>(Tabela1[[#This Row],[x]]-H$3)*(Tabela1[[#This Row],[x]]-H$3) +(Tabela1[[#This Row],[y]]-H$4)*(Tabela1[[#This Row],[y]]-H$4)</f>
        <v>34138</v>
      </c>
      <c r="D2776" s="1">
        <f>IF(Tabela1[[#This Row],[promien]]&lt;40000,1,0)</f>
        <v>1</v>
      </c>
      <c r="E2776" s="1">
        <f>IF(Tabela1[[#This Row],[promien]]=40000,1,0)</f>
        <v>0</v>
      </c>
      <c r="F2776" s="1">
        <v>3.1700288184438041</v>
      </c>
      <c r="G2776" s="1">
        <v>2.8436164854011015E-2</v>
      </c>
    </row>
    <row r="2777" spans="1:7">
      <c r="A2777">
        <v>43</v>
      </c>
      <c r="B2777">
        <v>196</v>
      </c>
      <c r="C2777" s="1">
        <f>(Tabela1[[#This Row],[x]]-H$3)*(Tabela1[[#This Row],[x]]-H$3) +(Tabela1[[#This Row],[y]]-H$4)*(Tabela1[[#This Row],[y]]-H$4)</f>
        <v>24665</v>
      </c>
      <c r="D2777" s="1">
        <f>IF(Tabela1[[#This Row],[promien]]&lt;40000,1,0)</f>
        <v>1</v>
      </c>
      <c r="E2777" s="1">
        <f>IF(Tabela1[[#This Row],[promien]]=40000,1,0)</f>
        <v>0</v>
      </c>
      <c r="F2777" s="1">
        <v>3.1703276917536911</v>
      </c>
      <c r="G2777" s="1">
        <v>2.8735038163897997E-2</v>
      </c>
    </row>
    <row r="2778" spans="1:7">
      <c r="A2778">
        <v>53</v>
      </c>
      <c r="B2778">
        <v>32</v>
      </c>
      <c r="C2778" s="1">
        <f>(Tabela1[[#This Row],[x]]-H$3)*(Tabela1[[#This Row],[x]]-H$3) +(Tabela1[[#This Row],[y]]-H$4)*(Tabela1[[#This Row],[y]]-H$4)</f>
        <v>49833</v>
      </c>
      <c r="D2778" s="1">
        <f>IF(Tabela1[[#This Row],[promien]]&lt;40000,1,0)</f>
        <v>0</v>
      </c>
      <c r="E2778" s="1">
        <f>IF(Tabela1[[#This Row],[promien]]=40000,1,0)</f>
        <v>0</v>
      </c>
      <c r="F2778" s="1">
        <v>3.1691864650827934</v>
      </c>
      <c r="G2778" s="1">
        <v>2.7593811493000331E-2</v>
      </c>
    </row>
    <row r="2779" spans="1:7">
      <c r="A2779">
        <v>25</v>
      </c>
      <c r="B2779">
        <v>108</v>
      </c>
      <c r="C2779" s="1">
        <f>(Tabela1[[#This Row],[x]]-H$3)*(Tabela1[[#This Row],[x]]-H$3) +(Tabela1[[#This Row],[y]]-H$4)*(Tabela1[[#This Row],[y]]-H$4)</f>
        <v>39089</v>
      </c>
      <c r="D2779" s="1">
        <f>IF(Tabela1[[#This Row],[promien]]&lt;40000,1,0)</f>
        <v>1</v>
      </c>
      <c r="E2779" s="1">
        <f>IF(Tabela1[[#This Row],[promien]]=40000,1,0)</f>
        <v>0</v>
      </c>
      <c r="F2779" s="1">
        <v>3.1694854264123786</v>
      </c>
      <c r="G2779" s="1">
        <v>2.789277282258551E-2</v>
      </c>
    </row>
    <row r="2780" spans="1:7">
      <c r="A2780">
        <v>225</v>
      </c>
      <c r="B2780">
        <v>377</v>
      </c>
      <c r="C2780" s="1">
        <f>(Tabela1[[#This Row],[x]]-H$3)*(Tabela1[[#This Row],[x]]-H$3) +(Tabela1[[#This Row],[y]]-H$4)*(Tabela1[[#This Row],[y]]-H$4)</f>
        <v>31954</v>
      </c>
      <c r="D2780" s="1">
        <f>IF(Tabela1[[#This Row],[promien]]&lt;40000,1,0)</f>
        <v>1</v>
      </c>
      <c r="E2780" s="1">
        <f>IF(Tabela1[[#This Row],[promien]]=40000,1,0)</f>
        <v>0</v>
      </c>
      <c r="F2780" s="1">
        <v>3.1697841726618705</v>
      </c>
      <c r="G2780" s="1">
        <v>2.8191519072077398E-2</v>
      </c>
    </row>
    <row r="2781" spans="1:7">
      <c r="A2781">
        <v>241</v>
      </c>
      <c r="B2781">
        <v>10</v>
      </c>
      <c r="C2781" s="1">
        <f>(Tabela1[[#This Row],[x]]-H$3)*(Tabela1[[#This Row],[x]]-H$3) +(Tabela1[[#This Row],[y]]-H$4)*(Tabela1[[#This Row],[y]]-H$4)</f>
        <v>37781</v>
      </c>
      <c r="D2781" s="1">
        <f>IF(Tabela1[[#This Row],[promien]]&lt;40000,1,0)</f>
        <v>1</v>
      </c>
      <c r="E2781" s="1">
        <f>IF(Tabela1[[#This Row],[promien]]=40000,1,0)</f>
        <v>0</v>
      </c>
      <c r="F2781" s="1">
        <v>3.1700827040632866</v>
      </c>
      <c r="G2781" s="1">
        <v>2.8490050473493511E-2</v>
      </c>
    </row>
    <row r="2782" spans="1:7">
      <c r="A2782">
        <v>12</v>
      </c>
      <c r="B2782">
        <v>273</v>
      </c>
      <c r="C2782" s="1">
        <f>(Tabela1[[#This Row],[x]]-H$3)*(Tabela1[[#This Row],[x]]-H$3) +(Tabela1[[#This Row],[y]]-H$4)*(Tabela1[[#This Row],[y]]-H$4)</f>
        <v>40673</v>
      </c>
      <c r="D2782" s="1">
        <f>IF(Tabela1[[#This Row],[promien]]&lt;40000,1,0)</f>
        <v>0</v>
      </c>
      <c r="E2782" s="1">
        <f>IF(Tabela1[[#This Row],[promien]]=40000,1,0)</f>
        <v>0</v>
      </c>
      <c r="F2782" s="1">
        <v>3.168943206326384</v>
      </c>
      <c r="G2782" s="1">
        <v>2.7350552736590927E-2</v>
      </c>
    </row>
    <row r="2783" spans="1:7">
      <c r="A2783">
        <v>176</v>
      </c>
      <c r="B2783">
        <v>127</v>
      </c>
      <c r="C2783" s="1">
        <f>(Tabela1[[#This Row],[x]]-H$3)*(Tabela1[[#This Row],[x]]-H$3) +(Tabela1[[#This Row],[y]]-H$4)*(Tabela1[[#This Row],[y]]-H$4)</f>
        <v>5905</v>
      </c>
      <c r="D2783" s="1">
        <f>IF(Tabela1[[#This Row],[promien]]&lt;40000,1,0)</f>
        <v>1</v>
      </c>
      <c r="E2783" s="1">
        <f>IF(Tabela1[[#This Row],[promien]]=40000,1,0)</f>
        <v>0</v>
      </c>
      <c r="F2783" s="1">
        <v>3.1692418253683075</v>
      </c>
      <c r="G2783" s="1">
        <v>2.7649171778514336E-2</v>
      </c>
    </row>
    <row r="2784" spans="1:7">
      <c r="A2784">
        <v>114</v>
      </c>
      <c r="B2784">
        <v>366</v>
      </c>
      <c r="C2784" s="1">
        <f>(Tabela1[[#This Row],[x]]-H$3)*(Tabela1[[#This Row],[x]]-H$3) +(Tabela1[[#This Row],[y]]-H$4)*(Tabela1[[#This Row],[y]]-H$4)</f>
        <v>34952</v>
      </c>
      <c r="D2784" s="1">
        <f>IF(Tabela1[[#This Row],[promien]]&lt;40000,1,0)</f>
        <v>1</v>
      </c>
      <c r="E2784" s="1">
        <f>IF(Tabela1[[#This Row],[promien]]=40000,1,0)</f>
        <v>0</v>
      </c>
      <c r="F2784" s="1">
        <v>3.1695402298850577</v>
      </c>
      <c r="G2784" s="1">
        <v>2.7947576295264565E-2</v>
      </c>
    </row>
    <row r="2785" spans="1:7">
      <c r="A2785">
        <v>101</v>
      </c>
      <c r="B2785">
        <v>67</v>
      </c>
      <c r="C2785" s="1">
        <f>(Tabela1[[#This Row],[x]]-H$3)*(Tabela1[[#This Row],[x]]-H$3) +(Tabela1[[#This Row],[y]]-H$4)*(Tabela1[[#This Row],[y]]-H$4)</f>
        <v>27490</v>
      </c>
      <c r="D2785" s="1">
        <f>IF(Tabela1[[#This Row],[promien]]&lt;40000,1,0)</f>
        <v>1</v>
      </c>
      <c r="E2785" s="1">
        <f>IF(Tabela1[[#This Row],[promien]]=40000,1,0)</f>
        <v>0</v>
      </c>
      <c r="F2785" s="1">
        <v>3.1698384201077201</v>
      </c>
      <c r="G2785" s="1">
        <v>2.8245766517926985E-2</v>
      </c>
    </row>
    <row r="2786" spans="1:7">
      <c r="A2786">
        <v>122</v>
      </c>
      <c r="B2786">
        <v>316</v>
      </c>
      <c r="C2786" s="1">
        <f>(Tabela1[[#This Row],[x]]-H$3)*(Tabela1[[#This Row],[x]]-H$3) +(Tabela1[[#This Row],[y]]-H$4)*(Tabela1[[#This Row],[y]]-H$4)</f>
        <v>19540</v>
      </c>
      <c r="D2786" s="1">
        <f>IF(Tabela1[[#This Row],[promien]]&lt;40000,1,0)</f>
        <v>1</v>
      </c>
      <c r="E2786" s="1">
        <f>IF(Tabela1[[#This Row],[promien]]=40000,1,0)</f>
        <v>0</v>
      </c>
      <c r="F2786" s="1">
        <v>3.1701363962670497</v>
      </c>
      <c r="G2786" s="1">
        <v>2.8543742677256567E-2</v>
      </c>
    </row>
    <row r="2787" spans="1:7">
      <c r="A2787">
        <v>193</v>
      </c>
      <c r="B2787">
        <v>247</v>
      </c>
      <c r="C2787" s="1">
        <f>(Tabela1[[#This Row],[x]]-H$3)*(Tabela1[[#This Row],[x]]-H$3) +(Tabela1[[#This Row],[y]]-H$4)*(Tabela1[[#This Row],[y]]-H$4)</f>
        <v>2258</v>
      </c>
      <c r="D2787" s="1">
        <f>IF(Tabela1[[#This Row],[promien]]&lt;40000,1,0)</f>
        <v>1</v>
      </c>
      <c r="E2787" s="1">
        <f>IF(Tabela1[[#This Row],[promien]]=40000,1,0)</f>
        <v>0</v>
      </c>
      <c r="F2787" s="1">
        <v>3.1704341585934697</v>
      </c>
      <c r="G2787" s="1">
        <v>2.8841505003676549E-2</v>
      </c>
    </row>
    <row r="2788" spans="1:7">
      <c r="A2788">
        <v>303</v>
      </c>
      <c r="B2788">
        <v>226</v>
      </c>
      <c r="C2788" s="1">
        <f>(Tabela1[[#This Row],[x]]-H$3)*(Tabela1[[#This Row],[x]]-H$3) +(Tabela1[[#This Row],[y]]-H$4)*(Tabela1[[#This Row],[y]]-H$4)</f>
        <v>11285</v>
      </c>
      <c r="D2788" s="1">
        <f>IF(Tabela1[[#This Row],[promien]]&lt;40000,1,0)</f>
        <v>1</v>
      </c>
      <c r="E2788" s="1">
        <f>IF(Tabela1[[#This Row],[promien]]=40000,1,0)</f>
        <v>0</v>
      </c>
      <c r="F2788" s="1">
        <v>3.1707317073170733</v>
      </c>
      <c r="G2788" s="1">
        <v>2.9139053727280206E-2</v>
      </c>
    </row>
    <row r="2789" spans="1:7">
      <c r="A2789">
        <v>26</v>
      </c>
      <c r="B2789">
        <v>73</v>
      </c>
      <c r="C2789" s="1">
        <f>(Tabela1[[#This Row],[x]]-H$3)*(Tabela1[[#This Row],[x]]-H$3) +(Tabela1[[#This Row],[y]]-H$4)*(Tabela1[[#This Row],[y]]-H$4)</f>
        <v>46405</v>
      </c>
      <c r="D2789" s="1">
        <f>IF(Tabela1[[#This Row],[promien]]&lt;40000,1,0)</f>
        <v>0</v>
      </c>
      <c r="E2789" s="1">
        <f>IF(Tabela1[[#This Row],[promien]]=40000,1,0)</f>
        <v>0</v>
      </c>
      <c r="F2789" s="1">
        <v>3.1695948368590892</v>
      </c>
      <c r="G2789" s="1">
        <v>2.8002183269296044E-2</v>
      </c>
    </row>
    <row r="2790" spans="1:7">
      <c r="A2790">
        <v>24</v>
      </c>
      <c r="B2790">
        <v>53</v>
      </c>
      <c r="C2790" s="1">
        <f>(Tabela1[[#This Row],[x]]-H$3)*(Tabela1[[#This Row],[x]]-H$3) +(Tabela1[[#This Row],[y]]-H$4)*(Tabela1[[#This Row],[y]]-H$4)</f>
        <v>52585</v>
      </c>
      <c r="D2790" s="1">
        <f>IF(Tabela1[[#This Row],[promien]]&lt;40000,1,0)</f>
        <v>0</v>
      </c>
      <c r="E2790" s="1">
        <f>IF(Tabela1[[#This Row],[promien]]=40000,1,0)</f>
        <v>0</v>
      </c>
      <c r="F2790" s="1">
        <v>3.1684587813620073</v>
      </c>
      <c r="G2790" s="1">
        <v>2.6866127772214199E-2</v>
      </c>
    </row>
    <row r="2791" spans="1:7">
      <c r="A2791">
        <v>159</v>
      </c>
      <c r="B2791">
        <v>170</v>
      </c>
      <c r="C2791" s="1">
        <f>(Tabela1[[#This Row],[x]]-H$3)*(Tabela1[[#This Row],[x]]-H$3) +(Tabela1[[#This Row],[y]]-H$4)*(Tabela1[[#This Row],[y]]-H$4)</f>
        <v>2581</v>
      </c>
      <c r="D2791" s="1">
        <f>IF(Tabela1[[#This Row],[promien]]&lt;40000,1,0)</f>
        <v>1</v>
      </c>
      <c r="E2791" s="1">
        <f>IF(Tabela1[[#This Row],[promien]]=40000,1,0)</f>
        <v>0</v>
      </c>
      <c r="F2791" s="1">
        <v>3.1687567180222143</v>
      </c>
      <c r="G2791" s="1">
        <v>2.7164064432421142E-2</v>
      </c>
    </row>
    <row r="2792" spans="1:7">
      <c r="A2792">
        <v>379</v>
      </c>
      <c r="B2792">
        <v>138</v>
      </c>
      <c r="C2792" s="1">
        <f>(Tabela1[[#This Row],[x]]-H$3)*(Tabela1[[#This Row],[x]]-H$3) +(Tabela1[[#This Row],[y]]-H$4)*(Tabela1[[#This Row],[y]]-H$4)</f>
        <v>35885</v>
      </c>
      <c r="D2792" s="1">
        <f>IF(Tabela1[[#This Row],[promien]]&lt;40000,1,0)</f>
        <v>1</v>
      </c>
      <c r="E2792" s="1">
        <f>IF(Tabela1[[#This Row],[promien]]=40000,1,0)</f>
        <v>0</v>
      </c>
      <c r="F2792" s="1">
        <v>3.1690544412607449</v>
      </c>
      <c r="G2792" s="1">
        <v>2.7461787670951754E-2</v>
      </c>
    </row>
    <row r="2793" spans="1:7">
      <c r="A2793">
        <v>219</v>
      </c>
      <c r="B2793">
        <v>126</v>
      </c>
      <c r="C2793" s="1">
        <f>(Tabela1[[#This Row],[x]]-H$3)*(Tabela1[[#This Row],[x]]-H$3) +(Tabela1[[#This Row],[y]]-H$4)*(Tabela1[[#This Row],[y]]-H$4)</f>
        <v>5837</v>
      </c>
      <c r="D2793" s="1">
        <f>IF(Tabela1[[#This Row],[promien]]&lt;40000,1,0)</f>
        <v>1</v>
      </c>
      <c r="E2793" s="1">
        <f>IF(Tabela1[[#This Row],[promien]]=40000,1,0)</f>
        <v>0</v>
      </c>
      <c r="F2793" s="1">
        <v>3.1693519513068384</v>
      </c>
      <c r="G2793" s="1">
        <v>2.7759297717045328E-2</v>
      </c>
    </row>
    <row r="2794" spans="1:7">
      <c r="A2794">
        <v>195</v>
      </c>
      <c r="B2794">
        <v>296</v>
      </c>
      <c r="C2794" s="1">
        <f>(Tabela1[[#This Row],[x]]-H$3)*(Tabela1[[#This Row],[x]]-H$3) +(Tabela1[[#This Row],[y]]-H$4)*(Tabela1[[#This Row],[y]]-H$4)</f>
        <v>9241</v>
      </c>
      <c r="D2794" s="1">
        <f>IF(Tabela1[[#This Row],[promien]]&lt;40000,1,0)</f>
        <v>1</v>
      </c>
      <c r="E2794" s="1">
        <f>IF(Tabela1[[#This Row],[promien]]=40000,1,0)</f>
        <v>0</v>
      </c>
      <c r="F2794" s="1">
        <v>3.1696492483894056</v>
      </c>
      <c r="G2794" s="1">
        <v>2.8056594799612533E-2</v>
      </c>
    </row>
    <row r="2795" spans="1:7">
      <c r="A2795">
        <v>226</v>
      </c>
      <c r="B2795">
        <v>268</v>
      </c>
      <c r="C2795" s="1">
        <f>(Tabela1[[#This Row],[x]]-H$3)*(Tabela1[[#This Row],[x]]-H$3) +(Tabela1[[#This Row],[y]]-H$4)*(Tabela1[[#This Row],[y]]-H$4)</f>
        <v>5300</v>
      </c>
      <c r="D2795" s="1">
        <f>IF(Tabela1[[#This Row],[promien]]&lt;40000,1,0)</f>
        <v>1</v>
      </c>
      <c r="E2795" s="1">
        <f>IF(Tabela1[[#This Row],[promien]]=40000,1,0)</f>
        <v>0</v>
      </c>
      <c r="F2795" s="1">
        <v>3.1699463327370303</v>
      </c>
      <c r="G2795" s="1">
        <v>2.8353679147237187E-2</v>
      </c>
    </row>
    <row r="2796" spans="1:7">
      <c r="A2796">
        <v>20</v>
      </c>
      <c r="B2796">
        <v>287</v>
      </c>
      <c r="C2796" s="1">
        <f>(Tabela1[[#This Row],[x]]-H$3)*(Tabela1[[#This Row],[x]]-H$3) +(Tabela1[[#This Row],[y]]-H$4)*(Tabela1[[#This Row],[y]]-H$4)</f>
        <v>39969</v>
      </c>
      <c r="D2796" s="1">
        <f>IF(Tabela1[[#This Row],[promien]]&lt;40000,1,0)</f>
        <v>1</v>
      </c>
      <c r="E2796" s="1">
        <f>IF(Tabela1[[#This Row],[promien]]=40000,1,0)</f>
        <v>0</v>
      </c>
      <c r="F2796" s="1">
        <v>3.1702432045779685</v>
      </c>
      <c r="G2796" s="1">
        <v>2.8650550988175372E-2</v>
      </c>
    </row>
    <row r="2797" spans="1:7">
      <c r="A2797">
        <v>340</v>
      </c>
      <c r="B2797">
        <v>373</v>
      </c>
      <c r="C2797" s="1">
        <f>(Tabela1[[#This Row],[x]]-H$3)*(Tabela1[[#This Row],[x]]-H$3) +(Tabela1[[#This Row],[y]]-H$4)*(Tabela1[[#This Row],[y]]-H$4)</f>
        <v>49529</v>
      </c>
      <c r="D2797" s="1">
        <f>IF(Tabela1[[#This Row],[promien]]&lt;40000,1,0)</f>
        <v>0</v>
      </c>
      <c r="E2797" s="1">
        <f>IF(Tabela1[[#This Row],[promien]]=40000,1,0)</f>
        <v>0</v>
      </c>
      <c r="F2797" s="1">
        <v>3.169109760457633</v>
      </c>
      <c r="G2797" s="1">
        <v>2.7517106867839924E-2</v>
      </c>
    </row>
    <row r="2798" spans="1:7">
      <c r="A2798">
        <v>269</v>
      </c>
      <c r="B2798">
        <v>103</v>
      </c>
      <c r="C2798" s="1">
        <f>(Tabela1[[#This Row],[x]]-H$3)*(Tabela1[[#This Row],[x]]-H$3) +(Tabela1[[#This Row],[y]]-H$4)*(Tabela1[[#This Row],[y]]-H$4)</f>
        <v>14170</v>
      </c>
      <c r="D2798" s="1">
        <f>IF(Tabela1[[#This Row],[promien]]&lt;40000,1,0)</f>
        <v>1</v>
      </c>
      <c r="E2798" s="1">
        <f>IF(Tabela1[[#This Row],[promien]]=40000,1,0)</f>
        <v>0</v>
      </c>
      <c r="F2798" s="1">
        <v>3.1694067190850608</v>
      </c>
      <c r="G2798" s="1">
        <v>2.7814065495267659E-2</v>
      </c>
    </row>
    <row r="2799" spans="1:7">
      <c r="A2799">
        <v>105</v>
      </c>
      <c r="B2799">
        <v>59</v>
      </c>
      <c r="C2799" s="1">
        <f>(Tabela1[[#This Row],[x]]-H$3)*(Tabela1[[#This Row],[x]]-H$3) +(Tabela1[[#This Row],[y]]-H$4)*(Tabela1[[#This Row],[y]]-H$4)</f>
        <v>28906</v>
      </c>
      <c r="D2799" s="1">
        <f>IF(Tabela1[[#This Row],[promien]]&lt;40000,1,0)</f>
        <v>1</v>
      </c>
      <c r="E2799" s="1">
        <f>IF(Tabela1[[#This Row],[promien]]=40000,1,0)</f>
        <v>0</v>
      </c>
      <c r="F2799" s="1">
        <v>3.1697034655234013</v>
      </c>
      <c r="G2799" s="1">
        <v>2.8110811933608204E-2</v>
      </c>
    </row>
    <row r="2800" spans="1:7">
      <c r="A2800">
        <v>172</v>
      </c>
      <c r="B2800">
        <v>324</v>
      </c>
      <c r="C2800" s="1">
        <f>(Tabela1[[#This Row],[x]]-H$3)*(Tabela1[[#This Row],[x]]-H$3) +(Tabela1[[#This Row],[y]]-H$4)*(Tabela1[[#This Row],[y]]-H$4)</f>
        <v>16160</v>
      </c>
      <c r="D2800" s="1">
        <f>IF(Tabela1[[#This Row],[promien]]&lt;40000,1,0)</f>
        <v>1</v>
      </c>
      <c r="E2800" s="1">
        <f>IF(Tabela1[[#This Row],[promien]]=40000,1,0)</f>
        <v>0</v>
      </c>
      <c r="F2800" s="1">
        <v>3.17</v>
      </c>
      <c r="G2800" s="1">
        <v>2.8407346410206813E-2</v>
      </c>
    </row>
    <row r="2801" spans="1:7">
      <c r="A2801">
        <v>398</v>
      </c>
      <c r="B2801">
        <v>389</v>
      </c>
      <c r="C2801" s="1">
        <f>(Tabela1[[#This Row],[x]]-H$3)*(Tabela1[[#This Row],[x]]-H$3) +(Tabela1[[#This Row],[y]]-H$4)*(Tabela1[[#This Row],[y]]-H$4)</f>
        <v>74925</v>
      </c>
      <c r="D2801" s="1">
        <f>IF(Tabela1[[#This Row],[promien]]&lt;40000,1,0)</f>
        <v>0</v>
      </c>
      <c r="E2801" s="1">
        <f>IF(Tabela1[[#This Row],[promien]]=40000,1,0)</f>
        <v>0</v>
      </c>
      <c r="F2801" s="1">
        <v>3.1688682613352372</v>
      </c>
      <c r="G2801" s="1">
        <v>2.727560774544413E-2</v>
      </c>
    </row>
    <row r="2802" spans="1:7">
      <c r="A2802">
        <v>256</v>
      </c>
      <c r="B2802">
        <v>160</v>
      </c>
      <c r="C2802" s="1">
        <f>(Tabela1[[#This Row],[x]]-H$3)*(Tabela1[[#This Row],[x]]-H$3) +(Tabela1[[#This Row],[y]]-H$4)*(Tabela1[[#This Row],[y]]-H$4)</f>
        <v>4736</v>
      </c>
      <c r="D2802" s="1">
        <f>IF(Tabela1[[#This Row],[promien]]&lt;40000,1,0)</f>
        <v>1</v>
      </c>
      <c r="E2802" s="1">
        <f>IF(Tabela1[[#This Row],[promien]]=40000,1,0)</f>
        <v>0</v>
      </c>
      <c r="F2802" s="1">
        <v>3.1691648822269807</v>
      </c>
      <c r="G2802" s="1">
        <v>2.7572228637187557E-2</v>
      </c>
    </row>
    <row r="2803" spans="1:7">
      <c r="A2803">
        <v>227</v>
      </c>
      <c r="B2803">
        <v>98</v>
      </c>
      <c r="C2803" s="1">
        <f>(Tabela1[[#This Row],[x]]-H$3)*(Tabela1[[#This Row],[x]]-H$3) +(Tabela1[[#This Row],[y]]-H$4)*(Tabela1[[#This Row],[y]]-H$4)</f>
        <v>11133</v>
      </c>
      <c r="D2803" s="1">
        <f>IF(Tabela1[[#This Row],[promien]]&lt;40000,1,0)</f>
        <v>1</v>
      </c>
      <c r="E2803" s="1">
        <f>IF(Tabela1[[#This Row],[promien]]=40000,1,0)</f>
        <v>0</v>
      </c>
      <c r="F2803" s="1">
        <v>3.1694612914734215</v>
      </c>
      <c r="G2803" s="1">
        <v>2.7868637883628367E-2</v>
      </c>
    </row>
    <row r="2804" spans="1:7">
      <c r="A2804">
        <v>0</v>
      </c>
      <c r="B2804">
        <v>159</v>
      </c>
      <c r="C2804" s="1">
        <f>(Tabela1[[#This Row],[x]]-H$3)*(Tabela1[[#This Row],[x]]-H$3) +(Tabela1[[#This Row],[y]]-H$4)*(Tabela1[[#This Row],[y]]-H$4)</f>
        <v>41681</v>
      </c>
      <c r="D2804" s="1">
        <f>IF(Tabela1[[#This Row],[promien]]&lt;40000,1,0)</f>
        <v>0</v>
      </c>
      <c r="E2804" s="1">
        <f>IF(Tabela1[[#This Row],[promien]]=40000,1,0)</f>
        <v>0</v>
      </c>
      <c r="F2804" s="1">
        <v>3.1683309557774608</v>
      </c>
      <c r="G2804" s="1">
        <v>2.6738302187667706E-2</v>
      </c>
    </row>
    <row r="2805" spans="1:7">
      <c r="A2805">
        <v>370</v>
      </c>
      <c r="B2805">
        <v>150</v>
      </c>
      <c r="C2805" s="1">
        <f>(Tabela1[[#This Row],[x]]-H$3)*(Tabela1[[#This Row],[x]]-H$3) +(Tabela1[[#This Row],[y]]-H$4)*(Tabela1[[#This Row],[y]]-H$4)</f>
        <v>31400</v>
      </c>
      <c r="D2805" s="1">
        <f>IF(Tabela1[[#This Row],[promien]]&lt;40000,1,0)</f>
        <v>1</v>
      </c>
      <c r="E2805" s="1">
        <f>IF(Tabela1[[#This Row],[promien]]=40000,1,0)</f>
        <v>0</v>
      </c>
      <c r="F2805" s="1">
        <v>3.168627450980392</v>
      </c>
      <c r="G2805" s="1">
        <v>2.7034797390598886E-2</v>
      </c>
    </row>
    <row r="2806" spans="1:7">
      <c r="A2806">
        <v>186</v>
      </c>
      <c r="B2806">
        <v>113</v>
      </c>
      <c r="C2806" s="1">
        <f>(Tabela1[[#This Row],[x]]-H$3)*(Tabela1[[#This Row],[x]]-H$3) +(Tabela1[[#This Row],[y]]-H$4)*(Tabela1[[#This Row],[y]]-H$4)</f>
        <v>7765</v>
      </c>
      <c r="D2806" s="1">
        <f>IF(Tabela1[[#This Row],[promien]]&lt;40000,1,0)</f>
        <v>1</v>
      </c>
      <c r="E2806" s="1">
        <f>IF(Tabela1[[#This Row],[promien]]=40000,1,0)</f>
        <v>0</v>
      </c>
      <c r="F2806" s="1">
        <v>3.1689237348538843</v>
      </c>
      <c r="G2806" s="1">
        <v>2.7331081264091228E-2</v>
      </c>
    </row>
    <row r="2807" spans="1:7">
      <c r="A2807">
        <v>25</v>
      </c>
      <c r="B2807">
        <v>176</v>
      </c>
      <c r="C2807" s="1">
        <f>(Tabela1[[#This Row],[x]]-H$3)*(Tabela1[[#This Row],[x]]-H$3) +(Tabela1[[#This Row],[y]]-H$4)*(Tabela1[[#This Row],[y]]-H$4)</f>
        <v>31201</v>
      </c>
      <c r="D2807" s="1">
        <f>IF(Tabela1[[#This Row],[promien]]&lt;40000,1,0)</f>
        <v>1</v>
      </c>
      <c r="E2807" s="1">
        <f>IF(Tabela1[[#This Row],[promien]]=40000,1,0)</f>
        <v>0</v>
      </c>
      <c r="F2807" s="1">
        <v>3.1692198076237976</v>
      </c>
      <c r="G2807" s="1">
        <v>2.7627154034004509E-2</v>
      </c>
    </row>
    <row r="2808" spans="1:7">
      <c r="A2808">
        <v>315</v>
      </c>
      <c r="B2808">
        <v>356</v>
      </c>
      <c r="C2808" s="1">
        <f>(Tabela1[[#This Row],[x]]-H$3)*(Tabela1[[#This Row],[x]]-H$3) +(Tabela1[[#This Row],[y]]-H$4)*(Tabela1[[#This Row],[y]]-H$4)</f>
        <v>37561</v>
      </c>
      <c r="D2808" s="1">
        <f>IF(Tabela1[[#This Row],[promien]]&lt;40000,1,0)</f>
        <v>1</v>
      </c>
      <c r="E2808" s="1">
        <f>IF(Tabela1[[#This Row],[promien]]=40000,1,0)</f>
        <v>0</v>
      </c>
      <c r="F2808" s="1">
        <v>3.1695156695156697</v>
      </c>
      <c r="G2808" s="1">
        <v>2.7923015925876538E-2</v>
      </c>
    </row>
    <row r="2809" spans="1:7">
      <c r="A2809">
        <v>302</v>
      </c>
      <c r="B2809">
        <v>239</v>
      </c>
      <c r="C2809" s="1">
        <f>(Tabela1[[#This Row],[x]]-H$3)*(Tabela1[[#This Row],[x]]-H$3) +(Tabela1[[#This Row],[y]]-H$4)*(Tabela1[[#This Row],[y]]-H$4)</f>
        <v>11925</v>
      </c>
      <c r="D2809" s="1">
        <f>IF(Tabela1[[#This Row],[promien]]&lt;40000,1,0)</f>
        <v>1</v>
      </c>
      <c r="E2809" s="1">
        <f>IF(Tabela1[[#This Row],[promien]]=40000,1,0)</f>
        <v>0</v>
      </c>
      <c r="F2809" s="1">
        <v>3.1698113207547172</v>
      </c>
      <c r="G2809" s="1">
        <v>2.8218667164924049E-2</v>
      </c>
    </row>
    <row r="2810" spans="1:7">
      <c r="A2810">
        <v>369</v>
      </c>
      <c r="B2810">
        <v>316</v>
      </c>
      <c r="C2810" s="1">
        <f>(Tabela1[[#This Row],[x]]-H$3)*(Tabela1[[#This Row],[x]]-H$3) +(Tabela1[[#This Row],[y]]-H$4)*(Tabela1[[#This Row],[y]]-H$4)</f>
        <v>42017</v>
      </c>
      <c r="D2810" s="1">
        <f>IF(Tabela1[[#This Row],[promien]]&lt;40000,1,0)</f>
        <v>0</v>
      </c>
      <c r="E2810" s="1">
        <f>IF(Tabela1[[#This Row],[promien]]=40000,1,0)</f>
        <v>0</v>
      </c>
      <c r="F2810" s="1">
        <v>3.1686832740213524</v>
      </c>
      <c r="G2810" s="1">
        <v>2.7090620431559298E-2</v>
      </c>
    </row>
    <row r="2811" spans="1:7">
      <c r="A2811">
        <v>361</v>
      </c>
      <c r="B2811">
        <v>325</v>
      </c>
      <c r="C2811" s="1">
        <f>(Tabela1[[#This Row],[x]]-H$3)*(Tabela1[[#This Row],[x]]-H$3) +(Tabela1[[#This Row],[y]]-H$4)*(Tabela1[[#This Row],[y]]-H$4)</f>
        <v>41546</v>
      </c>
      <c r="D2811" s="1">
        <f>IF(Tabela1[[#This Row],[promien]]&lt;40000,1,0)</f>
        <v>0</v>
      </c>
      <c r="E2811" s="1">
        <f>IF(Tabela1[[#This Row],[promien]]=40000,1,0)</f>
        <v>0</v>
      </c>
      <c r="F2811" s="1">
        <v>3.1675560298826042</v>
      </c>
      <c r="G2811" s="1">
        <v>2.5963376292811091E-2</v>
      </c>
    </row>
    <row r="2812" spans="1:7">
      <c r="A2812">
        <v>300</v>
      </c>
      <c r="B2812">
        <v>234</v>
      </c>
      <c r="C2812" s="1">
        <f>(Tabela1[[#This Row],[x]]-H$3)*(Tabela1[[#This Row],[x]]-H$3) +(Tabela1[[#This Row],[y]]-H$4)*(Tabela1[[#This Row],[y]]-H$4)</f>
        <v>11156</v>
      </c>
      <c r="D2812" s="1">
        <f>IF(Tabela1[[#This Row],[promien]]&lt;40000,1,0)</f>
        <v>1</v>
      </c>
      <c r="E2812" s="1">
        <f>IF(Tabela1[[#This Row],[promien]]=40000,1,0)</f>
        <v>0</v>
      </c>
      <c r="F2812" s="1">
        <v>3.1678520625889046</v>
      </c>
      <c r="G2812" s="1">
        <v>2.62594089991115E-2</v>
      </c>
    </row>
    <row r="2813" spans="1:7">
      <c r="A2813">
        <v>256</v>
      </c>
      <c r="B2813">
        <v>268</v>
      </c>
      <c r="C2813" s="1">
        <f>(Tabela1[[#This Row],[x]]-H$3)*(Tabela1[[#This Row],[x]]-H$3) +(Tabela1[[#This Row],[y]]-H$4)*(Tabela1[[#This Row],[y]]-H$4)</f>
        <v>7760</v>
      </c>
      <c r="D2813" s="1">
        <f>IF(Tabela1[[#This Row],[promien]]&lt;40000,1,0)</f>
        <v>1</v>
      </c>
      <c r="E2813" s="1">
        <f>IF(Tabela1[[#This Row],[promien]]=40000,1,0)</f>
        <v>0</v>
      </c>
      <c r="F2813" s="1">
        <v>3.1681478848204763</v>
      </c>
      <c r="G2813" s="1">
        <v>2.6555231230683152E-2</v>
      </c>
    </row>
    <row r="2814" spans="1:7">
      <c r="A2814">
        <v>51</v>
      </c>
      <c r="B2814">
        <v>285</v>
      </c>
      <c r="C2814" s="1">
        <f>(Tabela1[[#This Row],[x]]-H$3)*(Tabela1[[#This Row],[x]]-H$3) +(Tabela1[[#This Row],[y]]-H$4)*(Tabela1[[#This Row],[y]]-H$4)</f>
        <v>29426</v>
      </c>
      <c r="D2814" s="1">
        <f>IF(Tabela1[[#This Row],[promien]]&lt;40000,1,0)</f>
        <v>1</v>
      </c>
      <c r="E2814" s="1">
        <f>IF(Tabela1[[#This Row],[promien]]=40000,1,0)</f>
        <v>0</v>
      </c>
      <c r="F2814" s="1">
        <v>3.1684434968017059</v>
      </c>
      <c r="G2814" s="1">
        <v>2.6850843211912778E-2</v>
      </c>
    </row>
    <row r="2815" spans="1:7">
      <c r="A2815">
        <v>109</v>
      </c>
      <c r="B2815">
        <v>289</v>
      </c>
      <c r="C2815" s="1">
        <f>(Tabela1[[#This Row],[x]]-H$3)*(Tabela1[[#This Row],[x]]-H$3) +(Tabela1[[#This Row],[y]]-H$4)*(Tabela1[[#This Row],[y]]-H$4)</f>
        <v>16202</v>
      </c>
      <c r="D2815" s="1">
        <f>IF(Tabela1[[#This Row],[promien]]&lt;40000,1,0)</f>
        <v>1</v>
      </c>
      <c r="E2815" s="1">
        <f>IF(Tabela1[[#This Row],[promien]]=40000,1,0)</f>
        <v>0</v>
      </c>
      <c r="F2815" s="1">
        <v>3.1687388987566609</v>
      </c>
      <c r="G2815" s="1">
        <v>2.7146245166867811E-2</v>
      </c>
    </row>
    <row r="2816" spans="1:7">
      <c r="A2816">
        <v>317</v>
      </c>
      <c r="B2816">
        <v>126</v>
      </c>
      <c r="C2816" s="1">
        <f>(Tabela1[[#This Row],[x]]-H$3)*(Tabela1[[#This Row],[x]]-H$3) +(Tabela1[[#This Row],[y]]-H$4)*(Tabela1[[#This Row],[y]]-H$4)</f>
        <v>19165</v>
      </c>
      <c r="D2816" s="1">
        <f>IF(Tabela1[[#This Row],[promien]]&lt;40000,1,0)</f>
        <v>1</v>
      </c>
      <c r="E2816" s="1">
        <f>IF(Tabela1[[#This Row],[promien]]=40000,1,0)</f>
        <v>0</v>
      </c>
      <c r="F2816" s="1">
        <v>3.1690340909090908</v>
      </c>
      <c r="G2816" s="1">
        <v>2.7441437319297712E-2</v>
      </c>
    </row>
    <row r="2817" spans="1:7">
      <c r="A2817">
        <v>0</v>
      </c>
      <c r="B2817">
        <v>211</v>
      </c>
      <c r="C2817" s="1">
        <f>(Tabela1[[#This Row],[x]]-H$3)*(Tabela1[[#This Row],[x]]-H$3) +(Tabela1[[#This Row],[y]]-H$4)*(Tabela1[[#This Row],[y]]-H$4)</f>
        <v>40121</v>
      </c>
      <c r="D2817" s="1">
        <f>IF(Tabela1[[#This Row],[promien]]&lt;40000,1,0)</f>
        <v>0</v>
      </c>
      <c r="E2817" s="1">
        <f>IF(Tabela1[[#This Row],[promien]]=40000,1,0)</f>
        <v>0</v>
      </c>
      <c r="F2817" s="1">
        <v>3.1679091231806886</v>
      </c>
      <c r="G2817" s="1">
        <v>2.6316469590895508E-2</v>
      </c>
    </row>
    <row r="2818" spans="1:7">
      <c r="A2818">
        <v>94</v>
      </c>
      <c r="B2818">
        <v>261</v>
      </c>
      <c r="C2818" s="1">
        <f>(Tabela1[[#This Row],[x]]-H$3)*(Tabela1[[#This Row],[x]]-H$3) +(Tabela1[[#This Row],[y]]-H$4)*(Tabela1[[#This Row],[y]]-H$4)</f>
        <v>14957</v>
      </c>
      <c r="D2818" s="1">
        <f>IF(Tabela1[[#This Row],[promien]]&lt;40000,1,0)</f>
        <v>1</v>
      </c>
      <c r="E2818" s="1">
        <f>IF(Tabela1[[#This Row],[promien]]=40000,1,0)</f>
        <v>0</v>
      </c>
      <c r="F2818" s="1">
        <v>3.1682044002838894</v>
      </c>
      <c r="G2818" s="1">
        <v>2.6611746694096272E-2</v>
      </c>
    </row>
    <row r="2819" spans="1:7">
      <c r="A2819">
        <v>141</v>
      </c>
      <c r="B2819">
        <v>224</v>
      </c>
      <c r="C2819" s="1">
        <f>(Tabela1[[#This Row],[x]]-H$3)*(Tabela1[[#This Row],[x]]-H$3) +(Tabela1[[#This Row],[y]]-H$4)*(Tabela1[[#This Row],[y]]-H$4)</f>
        <v>4057</v>
      </c>
      <c r="D2819" s="1">
        <f>IF(Tabela1[[#This Row],[promien]]&lt;40000,1,0)</f>
        <v>1</v>
      </c>
      <c r="E2819" s="1">
        <f>IF(Tabela1[[#This Row],[promien]]=40000,1,0)</f>
        <v>0</v>
      </c>
      <c r="F2819" s="1">
        <v>3.1684994678964173</v>
      </c>
      <c r="G2819" s="1">
        <v>2.6906814306624227E-2</v>
      </c>
    </row>
    <row r="2820" spans="1:7">
      <c r="A2820">
        <v>9</v>
      </c>
      <c r="B2820">
        <v>213</v>
      </c>
      <c r="C2820" s="1">
        <f>(Tabela1[[#This Row],[x]]-H$3)*(Tabela1[[#This Row],[x]]-H$3) +(Tabela1[[#This Row],[y]]-H$4)*(Tabela1[[#This Row],[y]]-H$4)</f>
        <v>36650</v>
      </c>
      <c r="D2820" s="1">
        <f>IF(Tabela1[[#This Row],[promien]]&lt;40000,1,0)</f>
        <v>1</v>
      </c>
      <c r="E2820" s="1">
        <f>IF(Tabela1[[#This Row],[promien]]=40000,1,0)</f>
        <v>0</v>
      </c>
      <c r="F2820" s="1">
        <v>3.1687943262411347</v>
      </c>
      <c r="G2820" s="1">
        <v>2.7201672651341546E-2</v>
      </c>
    </row>
    <row r="2821" spans="1:7">
      <c r="A2821">
        <v>262</v>
      </c>
      <c r="B2821">
        <v>297</v>
      </c>
      <c r="C2821" s="1">
        <f>(Tabela1[[#This Row],[x]]-H$3)*(Tabela1[[#This Row],[x]]-H$3) +(Tabela1[[#This Row],[y]]-H$4)*(Tabela1[[#This Row],[y]]-H$4)</f>
        <v>13253</v>
      </c>
      <c r="D2821" s="1">
        <f>IF(Tabela1[[#This Row],[promien]]&lt;40000,1,0)</f>
        <v>1</v>
      </c>
      <c r="E2821" s="1">
        <f>IF(Tabela1[[#This Row],[promien]]=40000,1,0)</f>
        <v>0</v>
      </c>
      <c r="F2821" s="1">
        <v>3.1690889755405887</v>
      </c>
      <c r="G2821" s="1">
        <v>2.7496321950795544E-2</v>
      </c>
    </row>
    <row r="2822" spans="1:7">
      <c r="A2822">
        <v>210</v>
      </c>
      <c r="B2822">
        <v>383</v>
      </c>
      <c r="C2822" s="1">
        <f>(Tabela1[[#This Row],[x]]-H$3)*(Tabela1[[#This Row],[x]]-H$3) +(Tabela1[[#This Row],[y]]-H$4)*(Tabela1[[#This Row],[y]]-H$4)</f>
        <v>33589</v>
      </c>
      <c r="D2822" s="1">
        <f>IF(Tabela1[[#This Row],[promien]]&lt;40000,1,0)</f>
        <v>1</v>
      </c>
      <c r="E2822" s="1">
        <f>IF(Tabela1[[#This Row],[promien]]=40000,1,0)</f>
        <v>0</v>
      </c>
      <c r="F2822" s="1">
        <v>3.1693834160170091</v>
      </c>
      <c r="G2822" s="1">
        <v>2.7790762427216009E-2</v>
      </c>
    </row>
    <row r="2823" spans="1:7">
      <c r="A2823">
        <v>96</v>
      </c>
      <c r="B2823">
        <v>150</v>
      </c>
      <c r="C2823" s="1">
        <f>(Tabela1[[#This Row],[x]]-H$3)*(Tabela1[[#This Row],[x]]-H$3) +(Tabela1[[#This Row],[y]]-H$4)*(Tabela1[[#This Row],[y]]-H$4)</f>
        <v>13316</v>
      </c>
      <c r="D2823" s="1">
        <f>IF(Tabela1[[#This Row],[promien]]&lt;40000,1,0)</f>
        <v>1</v>
      </c>
      <c r="E2823" s="1">
        <f>IF(Tabela1[[#This Row],[promien]]=40000,1,0)</f>
        <v>0</v>
      </c>
      <c r="F2823" s="1">
        <v>3.1696776478923132</v>
      </c>
      <c r="G2823" s="1">
        <v>2.8084994302520094E-2</v>
      </c>
    </row>
    <row r="2824" spans="1:7">
      <c r="A2824">
        <v>57</v>
      </c>
      <c r="B2824">
        <v>5</v>
      </c>
      <c r="C2824" s="1">
        <f>(Tabela1[[#This Row],[x]]-H$3)*(Tabela1[[#This Row],[x]]-H$3) +(Tabela1[[#This Row],[y]]-H$4)*(Tabela1[[#This Row],[y]]-H$4)</f>
        <v>58474</v>
      </c>
      <c r="D2824" s="1">
        <f>IF(Tabela1[[#This Row],[promien]]&lt;40000,1,0)</f>
        <v>0</v>
      </c>
      <c r="E2824" s="1">
        <f>IF(Tabela1[[#This Row],[promien]]=40000,1,0)</f>
        <v>0</v>
      </c>
      <c r="F2824" s="1">
        <v>3.1685552407932009</v>
      </c>
      <c r="G2824" s="1">
        <v>2.6962587203407828E-2</v>
      </c>
    </row>
    <row r="2825" spans="1:7">
      <c r="A2825">
        <v>79</v>
      </c>
      <c r="B2825">
        <v>390</v>
      </c>
      <c r="C2825" s="1">
        <f>(Tabela1[[#This Row],[x]]-H$3)*(Tabela1[[#This Row],[x]]-H$3) +(Tabela1[[#This Row],[y]]-H$4)*(Tabela1[[#This Row],[y]]-H$4)</f>
        <v>50741</v>
      </c>
      <c r="D2825" s="1">
        <f>IF(Tabela1[[#This Row],[promien]]&lt;40000,1,0)</f>
        <v>0</v>
      </c>
      <c r="E2825" s="1">
        <f>IF(Tabela1[[#This Row],[promien]]=40000,1,0)</f>
        <v>0</v>
      </c>
      <c r="F2825" s="1">
        <v>3.1674336283185842</v>
      </c>
      <c r="G2825" s="1">
        <v>2.58409747287911E-2</v>
      </c>
    </row>
    <row r="2826" spans="1:7">
      <c r="A2826">
        <v>106</v>
      </c>
      <c r="B2826">
        <v>213</v>
      </c>
      <c r="C2826" s="1">
        <f>(Tabela1[[#This Row],[x]]-H$3)*(Tabela1[[#This Row],[x]]-H$3) +(Tabela1[[#This Row],[y]]-H$4)*(Tabela1[[#This Row],[y]]-H$4)</f>
        <v>9005</v>
      </c>
      <c r="D2826" s="1">
        <f>IF(Tabela1[[#This Row],[promien]]&lt;40000,1,0)</f>
        <v>1</v>
      </c>
      <c r="E2826" s="1">
        <f>IF(Tabela1[[#This Row],[promien]]=40000,1,0)</f>
        <v>0</v>
      </c>
      <c r="F2826" s="1">
        <v>3.1677282377919322</v>
      </c>
      <c r="G2826" s="1">
        <v>2.6135584202139128E-2</v>
      </c>
    </row>
    <row r="2827" spans="1:7">
      <c r="A2827">
        <v>181</v>
      </c>
      <c r="B2827">
        <v>59</v>
      </c>
      <c r="C2827" s="1">
        <f>(Tabela1[[#This Row],[x]]-H$3)*(Tabela1[[#This Row],[x]]-H$3) +(Tabela1[[#This Row],[y]]-H$4)*(Tabela1[[#This Row],[y]]-H$4)</f>
        <v>20242</v>
      </c>
      <c r="D2827" s="1">
        <f>IF(Tabela1[[#This Row],[promien]]&lt;40000,1,0)</f>
        <v>1</v>
      </c>
      <c r="E2827" s="1">
        <f>IF(Tabela1[[#This Row],[promien]]=40000,1,0)</f>
        <v>0</v>
      </c>
      <c r="F2827" s="1">
        <v>3.1680226388397594</v>
      </c>
      <c r="G2827" s="1">
        <v>2.6429985249966315E-2</v>
      </c>
    </row>
    <row r="2828" spans="1:7">
      <c r="A2828">
        <v>115</v>
      </c>
      <c r="B2828">
        <v>86</v>
      </c>
      <c r="C2828" s="1">
        <f>(Tabela1[[#This Row],[x]]-H$3)*(Tabela1[[#This Row],[x]]-H$3) +(Tabela1[[#This Row],[y]]-H$4)*(Tabela1[[#This Row],[y]]-H$4)</f>
        <v>20221</v>
      </c>
      <c r="D2828" s="1">
        <f>IF(Tabela1[[#This Row],[promien]]&lt;40000,1,0)</f>
        <v>1</v>
      </c>
      <c r="E2828" s="1">
        <f>IF(Tabela1[[#This Row],[promien]]=40000,1,0)</f>
        <v>0</v>
      </c>
      <c r="F2828" s="1">
        <v>3.1683168316831685</v>
      </c>
      <c r="G2828" s="1">
        <v>2.672417809337535E-2</v>
      </c>
    </row>
    <row r="2829" spans="1:7">
      <c r="A2829">
        <v>272</v>
      </c>
      <c r="B2829">
        <v>249</v>
      </c>
      <c r="C2829" s="1">
        <f>(Tabela1[[#This Row],[x]]-H$3)*(Tabela1[[#This Row],[x]]-H$3) +(Tabela1[[#This Row],[y]]-H$4)*(Tabela1[[#This Row],[y]]-H$4)</f>
        <v>7585</v>
      </c>
      <c r="D2829" s="1">
        <f>IF(Tabela1[[#This Row],[promien]]&lt;40000,1,0)</f>
        <v>1</v>
      </c>
      <c r="E2829" s="1">
        <f>IF(Tabela1[[#This Row],[promien]]=40000,1,0)</f>
        <v>0</v>
      </c>
      <c r="F2829" s="1">
        <v>3.1686108165429481</v>
      </c>
      <c r="G2829" s="1">
        <v>2.7018162953154956E-2</v>
      </c>
    </row>
    <row r="2830" spans="1:7">
      <c r="A2830">
        <v>157</v>
      </c>
      <c r="B2830">
        <v>399</v>
      </c>
      <c r="C2830" s="1">
        <f>(Tabela1[[#This Row],[x]]-H$3)*(Tabela1[[#This Row],[x]]-H$3) +(Tabela1[[#This Row],[y]]-H$4)*(Tabela1[[#This Row],[y]]-H$4)</f>
        <v>41450</v>
      </c>
      <c r="D2830" s="1">
        <f>IF(Tabela1[[#This Row],[promien]]&lt;40000,1,0)</f>
        <v>0</v>
      </c>
      <c r="E2830" s="1">
        <f>IF(Tabela1[[#This Row],[promien]]=40000,1,0)</f>
        <v>0</v>
      </c>
      <c r="F2830" s="1">
        <v>3.1674911660777387</v>
      </c>
      <c r="G2830" s="1">
        <v>2.5898512487945613E-2</v>
      </c>
    </row>
    <row r="2831" spans="1:7">
      <c r="A2831">
        <v>142</v>
      </c>
      <c r="B2831">
        <v>254</v>
      </c>
      <c r="C2831" s="1">
        <f>(Tabela1[[#This Row],[x]]-H$3)*(Tabela1[[#This Row],[x]]-H$3) +(Tabela1[[#This Row],[y]]-H$4)*(Tabela1[[#This Row],[y]]-H$4)</f>
        <v>6280</v>
      </c>
      <c r="D2831" s="1">
        <f>IF(Tabela1[[#This Row],[promien]]&lt;40000,1,0)</f>
        <v>1</v>
      </c>
      <c r="E2831" s="1">
        <f>IF(Tabela1[[#This Row],[promien]]=40000,1,0)</f>
        <v>0</v>
      </c>
      <c r="F2831" s="1">
        <v>3.1677852348993287</v>
      </c>
      <c r="G2831" s="1">
        <v>2.6192581309535612E-2</v>
      </c>
    </row>
    <row r="2832" spans="1:7">
      <c r="A2832">
        <v>338</v>
      </c>
      <c r="B2832">
        <v>308</v>
      </c>
      <c r="C2832" s="1">
        <f>(Tabela1[[#This Row],[x]]-H$3)*(Tabela1[[#This Row],[x]]-H$3) +(Tabela1[[#This Row],[y]]-H$4)*(Tabela1[[#This Row],[y]]-H$4)</f>
        <v>30708</v>
      </c>
      <c r="D2832" s="1">
        <f>IF(Tabela1[[#This Row],[promien]]&lt;40000,1,0)</f>
        <v>1</v>
      </c>
      <c r="E2832" s="1">
        <f>IF(Tabela1[[#This Row],[promien]]=40000,1,0)</f>
        <v>0</v>
      </c>
      <c r="F2832" s="1">
        <v>3.1680790960451977</v>
      </c>
      <c r="G2832" s="1">
        <v>2.6486442455404546E-2</v>
      </c>
    </row>
    <row r="2833" spans="1:7">
      <c r="A2833">
        <v>159</v>
      </c>
      <c r="B2833">
        <v>383</v>
      </c>
      <c r="C2833" s="1">
        <f>(Tabela1[[#This Row],[x]]-H$3)*(Tabela1[[#This Row],[x]]-H$3) +(Tabela1[[#This Row],[y]]-H$4)*(Tabela1[[#This Row],[y]]-H$4)</f>
        <v>35170</v>
      </c>
      <c r="D2833" s="1">
        <f>IF(Tabela1[[#This Row],[promien]]&lt;40000,1,0)</f>
        <v>1</v>
      </c>
      <c r="E2833" s="1">
        <f>IF(Tabela1[[#This Row],[promien]]=40000,1,0)</f>
        <v>0</v>
      </c>
      <c r="F2833" s="1">
        <v>3.1683727497352629</v>
      </c>
      <c r="G2833" s="1">
        <v>2.6780096145469834E-2</v>
      </c>
    </row>
    <row r="2834" spans="1:7">
      <c r="A2834">
        <v>30</v>
      </c>
      <c r="B2834">
        <v>250</v>
      </c>
      <c r="C2834" s="1">
        <f>(Tabela1[[#This Row],[x]]-H$3)*(Tabela1[[#This Row],[x]]-H$3) +(Tabela1[[#This Row],[y]]-H$4)*(Tabela1[[#This Row],[y]]-H$4)</f>
        <v>31400</v>
      </c>
      <c r="D2834" s="1">
        <f>IF(Tabela1[[#This Row],[promien]]&lt;40000,1,0)</f>
        <v>1</v>
      </c>
      <c r="E2834" s="1">
        <f>IF(Tabela1[[#This Row],[promien]]=40000,1,0)</f>
        <v>0</v>
      </c>
      <c r="F2834" s="1">
        <v>3.168666196189132</v>
      </c>
      <c r="G2834" s="1">
        <v>2.7073542599338918E-2</v>
      </c>
    </row>
    <row r="2835" spans="1:7">
      <c r="A2835">
        <v>61</v>
      </c>
      <c r="B2835">
        <v>216</v>
      </c>
      <c r="C2835" s="1">
        <f>(Tabela1[[#This Row],[x]]-H$3)*(Tabela1[[#This Row],[x]]-H$3) +(Tabela1[[#This Row],[y]]-H$4)*(Tabela1[[#This Row],[y]]-H$4)</f>
        <v>19577</v>
      </c>
      <c r="D2835" s="1">
        <f>IF(Tabela1[[#This Row],[promien]]&lt;40000,1,0)</f>
        <v>1</v>
      </c>
      <c r="E2835" s="1">
        <f>IF(Tabela1[[#This Row],[promien]]=40000,1,0)</f>
        <v>0</v>
      </c>
      <c r="F2835" s="1">
        <v>3.1689594356261024</v>
      </c>
      <c r="G2835" s="1">
        <v>2.7366782036309267E-2</v>
      </c>
    </row>
    <row r="2836" spans="1:7">
      <c r="A2836">
        <v>232</v>
      </c>
      <c r="B2836">
        <v>357</v>
      </c>
      <c r="C2836" s="1">
        <f>(Tabela1[[#This Row],[x]]-H$3)*(Tabela1[[#This Row],[x]]-H$3) +(Tabela1[[#This Row],[y]]-H$4)*(Tabela1[[#This Row],[y]]-H$4)</f>
        <v>25673</v>
      </c>
      <c r="D2836" s="1">
        <f>IF(Tabela1[[#This Row],[promien]]&lt;40000,1,0)</f>
        <v>1</v>
      </c>
      <c r="E2836" s="1">
        <f>IF(Tabela1[[#This Row],[promien]]=40000,1,0)</f>
        <v>0</v>
      </c>
      <c r="F2836" s="1">
        <v>3.1692524682651624</v>
      </c>
      <c r="G2836" s="1">
        <v>2.7659814675369265E-2</v>
      </c>
    </row>
    <row r="2837" spans="1:7">
      <c r="A2837">
        <v>63</v>
      </c>
      <c r="B2837">
        <v>244</v>
      </c>
      <c r="C2837" s="1">
        <f>(Tabela1[[#This Row],[x]]-H$3)*(Tabela1[[#This Row],[x]]-H$3) +(Tabela1[[#This Row],[y]]-H$4)*(Tabela1[[#This Row],[y]]-H$4)</f>
        <v>20705</v>
      </c>
      <c r="D2837" s="1">
        <f>IF(Tabela1[[#This Row],[promien]]&lt;40000,1,0)</f>
        <v>1</v>
      </c>
      <c r="E2837" s="1">
        <f>IF(Tabela1[[#This Row],[promien]]=40000,1,0)</f>
        <v>0</v>
      </c>
      <c r="F2837" s="1">
        <v>3.1695452943249913</v>
      </c>
      <c r="G2837" s="1">
        <v>2.7952640735198209E-2</v>
      </c>
    </row>
    <row r="2838" spans="1:7">
      <c r="A2838">
        <v>45</v>
      </c>
      <c r="B2838">
        <v>353</v>
      </c>
      <c r="C2838" s="1">
        <f>(Tabela1[[#This Row],[x]]-H$3)*(Tabela1[[#This Row],[x]]-H$3) +(Tabela1[[#This Row],[y]]-H$4)*(Tabela1[[#This Row],[y]]-H$4)</f>
        <v>47434</v>
      </c>
      <c r="D2838" s="1">
        <f>IF(Tabela1[[#This Row],[promien]]&lt;40000,1,0)</f>
        <v>0</v>
      </c>
      <c r="E2838" s="1">
        <f>IF(Tabela1[[#This Row],[promien]]=40000,1,0)</f>
        <v>0</v>
      </c>
      <c r="F2838" s="1">
        <v>3.1684284707540522</v>
      </c>
      <c r="G2838" s="1">
        <v>2.683581716425909E-2</v>
      </c>
    </row>
    <row r="2839" spans="1:7">
      <c r="A2839">
        <v>301</v>
      </c>
      <c r="B2839">
        <v>256</v>
      </c>
      <c r="C2839" s="1">
        <f>(Tabela1[[#This Row],[x]]-H$3)*(Tabela1[[#This Row],[x]]-H$3) +(Tabela1[[#This Row],[y]]-H$4)*(Tabela1[[#This Row],[y]]-H$4)</f>
        <v>13337</v>
      </c>
      <c r="D2839" s="1">
        <f>IF(Tabela1[[#This Row],[promien]]&lt;40000,1,0)</f>
        <v>1</v>
      </c>
      <c r="E2839" s="1">
        <f>IF(Tabela1[[#This Row],[promien]]=40000,1,0)</f>
        <v>0</v>
      </c>
      <c r="F2839" s="1">
        <v>3.168721380767876</v>
      </c>
      <c r="G2839" s="1">
        <v>2.7128727178082901E-2</v>
      </c>
    </row>
    <row r="2840" spans="1:7">
      <c r="A2840">
        <v>196</v>
      </c>
      <c r="B2840">
        <v>179</v>
      </c>
      <c r="C2840" s="1">
        <f>(Tabela1[[#This Row],[x]]-H$3)*(Tabela1[[#This Row],[x]]-H$3) +(Tabela1[[#This Row],[y]]-H$4)*(Tabela1[[#This Row],[y]]-H$4)</f>
        <v>457</v>
      </c>
      <c r="D2840" s="1">
        <f>IF(Tabela1[[#This Row],[promien]]&lt;40000,1,0)</f>
        <v>1</v>
      </c>
      <c r="E2840" s="1">
        <f>IF(Tabela1[[#This Row],[promien]]=40000,1,0)</f>
        <v>0</v>
      </c>
      <c r="F2840" s="1">
        <v>3.1690140845070425</v>
      </c>
      <c r="G2840" s="1">
        <v>2.7421430917249356E-2</v>
      </c>
    </row>
    <row r="2841" spans="1:7">
      <c r="A2841">
        <v>21</v>
      </c>
      <c r="B2841">
        <v>394</v>
      </c>
      <c r="C2841" s="1">
        <f>(Tabela1[[#This Row],[x]]-H$3)*(Tabela1[[#This Row],[x]]-H$3) +(Tabela1[[#This Row],[y]]-H$4)*(Tabela1[[#This Row],[y]]-H$4)</f>
        <v>69677</v>
      </c>
      <c r="D2841" s="1">
        <f>IF(Tabela1[[#This Row],[promien]]&lt;40000,1,0)</f>
        <v>0</v>
      </c>
      <c r="E2841" s="1">
        <f>IF(Tabela1[[#This Row],[promien]]=40000,1,0)</f>
        <v>0</v>
      </c>
      <c r="F2841" s="1">
        <v>3.167898627243928</v>
      </c>
      <c r="G2841" s="1">
        <v>2.6305973654134895E-2</v>
      </c>
    </row>
    <row r="2842" spans="1:7">
      <c r="A2842">
        <v>75</v>
      </c>
      <c r="B2842">
        <v>325</v>
      </c>
      <c r="C2842" s="1">
        <f>(Tabela1[[#This Row],[x]]-H$3)*(Tabela1[[#This Row],[x]]-H$3) +(Tabela1[[#This Row],[y]]-H$4)*(Tabela1[[#This Row],[y]]-H$4)</f>
        <v>31250</v>
      </c>
      <c r="D2842" s="1">
        <f>IF(Tabela1[[#This Row],[promien]]&lt;40000,1,0)</f>
        <v>1</v>
      </c>
      <c r="E2842" s="1">
        <f>IF(Tabela1[[#This Row],[promien]]=40000,1,0)</f>
        <v>0</v>
      </c>
      <c r="F2842" s="1">
        <v>3.1681914144968331</v>
      </c>
      <c r="G2842" s="1">
        <v>2.6598760907039942E-2</v>
      </c>
    </row>
    <row r="2843" spans="1:7">
      <c r="A2843">
        <v>385</v>
      </c>
      <c r="B2843">
        <v>269</v>
      </c>
      <c r="C2843" s="1">
        <f>(Tabela1[[#This Row],[x]]-H$3)*(Tabela1[[#This Row],[x]]-H$3) +(Tabela1[[#This Row],[y]]-H$4)*(Tabela1[[#This Row],[y]]-H$4)</f>
        <v>38986</v>
      </c>
      <c r="D2843" s="1">
        <f>IF(Tabela1[[#This Row],[promien]]&lt;40000,1,0)</f>
        <v>1</v>
      </c>
      <c r="E2843" s="1">
        <f>IF(Tabela1[[#This Row],[promien]]=40000,1,0)</f>
        <v>0</v>
      </c>
      <c r="F2843" s="1">
        <v>3.1684839957791064</v>
      </c>
      <c r="G2843" s="1">
        <v>2.6891342189313328E-2</v>
      </c>
    </row>
    <row r="2844" spans="1:7">
      <c r="A2844">
        <v>150</v>
      </c>
      <c r="B2844">
        <v>377</v>
      </c>
      <c r="C2844" s="1">
        <f>(Tabela1[[#This Row],[x]]-H$3)*(Tabela1[[#This Row],[x]]-H$3) +(Tabela1[[#This Row],[y]]-H$4)*(Tabela1[[#This Row],[y]]-H$4)</f>
        <v>33829</v>
      </c>
      <c r="D2844" s="1">
        <f>IF(Tabela1[[#This Row],[promien]]&lt;40000,1,0)</f>
        <v>1</v>
      </c>
      <c r="E2844" s="1">
        <f>IF(Tabela1[[#This Row],[promien]]=40000,1,0)</f>
        <v>0</v>
      </c>
      <c r="F2844" s="1">
        <v>3.168776371308017</v>
      </c>
      <c r="G2844" s="1">
        <v>2.7183717718223921E-2</v>
      </c>
    </row>
    <row r="2845" spans="1:7">
      <c r="A2845">
        <v>126</v>
      </c>
      <c r="B2845">
        <v>52</v>
      </c>
      <c r="C2845" s="1">
        <f>(Tabela1[[#This Row],[x]]-H$3)*(Tabela1[[#This Row],[x]]-H$3) +(Tabela1[[#This Row],[y]]-H$4)*(Tabela1[[#This Row],[y]]-H$4)</f>
        <v>27380</v>
      </c>
      <c r="D2845" s="1">
        <f>IF(Tabela1[[#This Row],[promien]]&lt;40000,1,0)</f>
        <v>1</v>
      </c>
      <c r="E2845" s="1">
        <f>IF(Tabela1[[#This Row],[promien]]=40000,1,0)</f>
        <v>0</v>
      </c>
      <c r="F2845" s="1">
        <v>3.1690685413005273</v>
      </c>
      <c r="G2845" s="1">
        <v>2.747588771073417E-2</v>
      </c>
    </row>
    <row r="2846" spans="1:7">
      <c r="A2846">
        <v>14</v>
      </c>
      <c r="B2846">
        <v>287</v>
      </c>
      <c r="C2846" s="1">
        <f>(Tabela1[[#This Row],[x]]-H$3)*(Tabela1[[#This Row],[x]]-H$3) +(Tabela1[[#This Row],[y]]-H$4)*(Tabela1[[#This Row],[y]]-H$4)</f>
        <v>42165</v>
      </c>
      <c r="D2846" s="1">
        <f>IF(Tabela1[[#This Row],[promien]]&lt;40000,1,0)</f>
        <v>0</v>
      </c>
      <c r="E2846" s="1">
        <f>IF(Tabela1[[#This Row],[promien]]=40000,1,0)</f>
        <v>0</v>
      </c>
      <c r="F2846" s="1">
        <v>3.167955024595924</v>
      </c>
      <c r="G2846" s="1">
        <v>2.6362371006130925E-2</v>
      </c>
    </row>
    <row r="2847" spans="1:7">
      <c r="A2847">
        <v>7</v>
      </c>
      <c r="B2847">
        <v>44</v>
      </c>
      <c r="C2847" s="1">
        <f>(Tabela1[[#This Row],[x]]-H$3)*(Tabela1[[#This Row],[x]]-H$3) +(Tabela1[[#This Row],[y]]-H$4)*(Tabela1[[#This Row],[y]]-H$4)</f>
        <v>61585</v>
      </c>
      <c r="D2847" s="1">
        <f>IF(Tabela1[[#This Row],[promien]]&lt;40000,1,0)</f>
        <v>0</v>
      </c>
      <c r="E2847" s="1">
        <f>IF(Tabela1[[#This Row],[promien]]=40000,1,0)</f>
        <v>0</v>
      </c>
      <c r="F2847" s="1">
        <v>3.1668422901299613</v>
      </c>
      <c r="G2847" s="1">
        <v>2.5249636540168208E-2</v>
      </c>
    </row>
    <row r="2848" spans="1:7">
      <c r="A2848">
        <v>47</v>
      </c>
      <c r="B2848">
        <v>241</v>
      </c>
      <c r="C2848" s="1">
        <f>(Tabela1[[#This Row],[x]]-H$3)*(Tabela1[[#This Row],[x]]-H$3) +(Tabela1[[#This Row],[y]]-H$4)*(Tabela1[[#This Row],[y]]-H$4)</f>
        <v>25090</v>
      </c>
      <c r="D2848" s="1">
        <f>IF(Tabela1[[#This Row],[promien]]&lt;40000,1,0)</f>
        <v>1</v>
      </c>
      <c r="E2848" s="1">
        <f>IF(Tabela1[[#This Row],[promien]]=40000,1,0)</f>
        <v>0</v>
      </c>
      <c r="F2848" s="1">
        <v>3.167134831460674</v>
      </c>
      <c r="G2848" s="1">
        <v>2.5542177870880867E-2</v>
      </c>
    </row>
    <row r="2849" spans="1:7">
      <c r="A2849">
        <v>399</v>
      </c>
      <c r="B2849">
        <v>113</v>
      </c>
      <c r="C2849" s="1">
        <f>(Tabela1[[#This Row],[x]]-H$3)*(Tabela1[[#This Row],[x]]-H$3) +(Tabela1[[#This Row],[y]]-H$4)*(Tabela1[[#This Row],[y]]-H$4)</f>
        <v>47170</v>
      </c>
      <c r="D2849" s="1">
        <f>IF(Tabela1[[#This Row],[promien]]&lt;40000,1,0)</f>
        <v>0</v>
      </c>
      <c r="E2849" s="1">
        <f>IF(Tabela1[[#This Row],[promien]]=40000,1,0)</f>
        <v>0</v>
      </c>
      <c r="F2849" s="1">
        <v>3.1660231660231659</v>
      </c>
      <c r="G2849" s="1">
        <v>2.4430512433372797E-2</v>
      </c>
    </row>
    <row r="2850" spans="1:7">
      <c r="A2850">
        <v>290</v>
      </c>
      <c r="B2850">
        <v>269</v>
      </c>
      <c r="C2850" s="1">
        <f>(Tabela1[[#This Row],[x]]-H$3)*(Tabela1[[#This Row],[x]]-H$3) +(Tabela1[[#This Row],[y]]-H$4)*(Tabela1[[#This Row],[y]]-H$4)</f>
        <v>12861</v>
      </c>
      <c r="D2850" s="1">
        <f>IF(Tabela1[[#This Row],[promien]]&lt;40000,1,0)</f>
        <v>1</v>
      </c>
      <c r="E2850" s="1">
        <f>IF(Tabela1[[#This Row],[promien]]=40000,1,0)</f>
        <v>0</v>
      </c>
      <c r="F2850" s="1">
        <v>3.1663157894736842</v>
      </c>
      <c r="G2850" s="1">
        <v>2.4723135883891079E-2</v>
      </c>
    </row>
    <row r="2851" spans="1:7">
      <c r="A2851">
        <v>111</v>
      </c>
      <c r="B2851">
        <v>190</v>
      </c>
      <c r="C2851" s="1">
        <f>(Tabela1[[#This Row],[x]]-H$3)*(Tabela1[[#This Row],[x]]-H$3) +(Tabela1[[#This Row],[y]]-H$4)*(Tabela1[[#This Row],[y]]-H$4)</f>
        <v>8021</v>
      </c>
      <c r="D2851" s="1">
        <f>IF(Tabela1[[#This Row],[promien]]&lt;40000,1,0)</f>
        <v>1</v>
      </c>
      <c r="E2851" s="1">
        <f>IF(Tabela1[[#This Row],[promien]]=40000,1,0)</f>
        <v>0</v>
      </c>
      <c r="F2851" s="1">
        <v>3.1666082076464397</v>
      </c>
      <c r="G2851" s="1">
        <v>2.5015554056646572E-2</v>
      </c>
    </row>
    <row r="2852" spans="1:7">
      <c r="A2852">
        <v>357</v>
      </c>
      <c r="B2852">
        <v>266</v>
      </c>
      <c r="C2852" s="1">
        <f>(Tabela1[[#This Row],[x]]-H$3)*(Tabela1[[#This Row],[x]]-H$3) +(Tabela1[[#This Row],[y]]-H$4)*(Tabela1[[#This Row],[y]]-H$4)</f>
        <v>29005</v>
      </c>
      <c r="D2852" s="1">
        <f>IF(Tabela1[[#This Row],[promien]]&lt;40000,1,0)</f>
        <v>1</v>
      </c>
      <c r="E2852" s="1">
        <f>IF(Tabela1[[#This Row],[promien]]=40000,1,0)</f>
        <v>0</v>
      </c>
      <c r="F2852" s="1">
        <v>3.1669004207573632</v>
      </c>
      <c r="G2852" s="1">
        <v>2.5307767167570105E-2</v>
      </c>
    </row>
    <row r="2853" spans="1:7">
      <c r="A2853">
        <v>311</v>
      </c>
      <c r="B2853">
        <v>134</v>
      </c>
      <c r="C2853" s="1">
        <f>(Tabela1[[#This Row],[x]]-H$3)*(Tabela1[[#This Row],[x]]-H$3) +(Tabela1[[#This Row],[y]]-H$4)*(Tabela1[[#This Row],[y]]-H$4)</f>
        <v>16677</v>
      </c>
      <c r="D2853" s="1">
        <f>IF(Tabela1[[#This Row],[promien]]&lt;40000,1,0)</f>
        <v>1</v>
      </c>
      <c r="E2853" s="1">
        <f>IF(Tabela1[[#This Row],[promien]]=40000,1,0)</f>
        <v>0</v>
      </c>
      <c r="F2853" s="1">
        <v>3.1671924290220819</v>
      </c>
      <c r="G2853" s="1">
        <v>2.5599775432288752E-2</v>
      </c>
    </row>
    <row r="2854" spans="1:7">
      <c r="A2854">
        <v>332</v>
      </c>
      <c r="B2854">
        <v>183</v>
      </c>
      <c r="C2854" s="1">
        <f>(Tabela1[[#This Row],[x]]-H$3)*(Tabela1[[#This Row],[x]]-H$3) +(Tabela1[[#This Row],[y]]-H$4)*(Tabela1[[#This Row],[y]]-H$4)</f>
        <v>17713</v>
      </c>
      <c r="D2854" s="1">
        <f>IF(Tabela1[[#This Row],[promien]]&lt;40000,1,0)</f>
        <v>1</v>
      </c>
      <c r="E2854" s="1">
        <f>IF(Tabela1[[#This Row],[promien]]=40000,1,0)</f>
        <v>0</v>
      </c>
      <c r="F2854" s="1">
        <v>3.1674842326559216</v>
      </c>
      <c r="G2854" s="1">
        <v>2.5891579066128489E-2</v>
      </c>
    </row>
    <row r="2855" spans="1:7">
      <c r="A2855">
        <v>36</v>
      </c>
      <c r="B2855">
        <v>27</v>
      </c>
      <c r="C2855" s="1">
        <f>(Tabela1[[#This Row],[x]]-H$3)*(Tabela1[[#This Row],[x]]-H$3) +(Tabela1[[#This Row],[y]]-H$4)*(Tabela1[[#This Row],[y]]-H$4)</f>
        <v>56825</v>
      </c>
      <c r="D2855" s="1">
        <f>IF(Tabela1[[#This Row],[promien]]&lt;40000,1,0)</f>
        <v>0</v>
      </c>
      <c r="E2855" s="1">
        <f>IF(Tabela1[[#This Row],[promien]]=40000,1,0)</f>
        <v>0</v>
      </c>
      <c r="F2855" s="1">
        <v>3.1663747810858145</v>
      </c>
      <c r="G2855" s="1">
        <v>2.4782127496021378E-2</v>
      </c>
    </row>
    <row r="2856" spans="1:7">
      <c r="A2856">
        <v>241</v>
      </c>
      <c r="B2856">
        <v>114</v>
      </c>
      <c r="C2856" s="1">
        <f>(Tabela1[[#This Row],[x]]-H$3)*(Tabela1[[#This Row],[x]]-H$3) +(Tabela1[[#This Row],[y]]-H$4)*(Tabela1[[#This Row],[y]]-H$4)</f>
        <v>9077</v>
      </c>
      <c r="D2856" s="1">
        <f>IF(Tabela1[[#This Row],[promien]]&lt;40000,1,0)</f>
        <v>1</v>
      </c>
      <c r="E2856" s="1">
        <f>IF(Tabela1[[#This Row],[promien]]=40000,1,0)</f>
        <v>0</v>
      </c>
      <c r="F2856" s="1">
        <v>3.1666666666666665</v>
      </c>
      <c r="G2856" s="1">
        <v>2.5074013076873403E-2</v>
      </c>
    </row>
    <row r="2857" spans="1:7">
      <c r="A2857">
        <v>163</v>
      </c>
      <c r="B2857">
        <v>26</v>
      </c>
      <c r="C2857" s="1">
        <f>(Tabela1[[#This Row],[x]]-H$3)*(Tabela1[[#This Row],[x]]-H$3) +(Tabela1[[#This Row],[y]]-H$4)*(Tabela1[[#This Row],[y]]-H$4)</f>
        <v>31645</v>
      </c>
      <c r="D2857" s="1">
        <f>IF(Tabela1[[#This Row],[promien]]&lt;40000,1,0)</f>
        <v>1</v>
      </c>
      <c r="E2857" s="1">
        <f>IF(Tabela1[[#This Row],[promien]]=40000,1,0)</f>
        <v>0</v>
      </c>
      <c r="F2857" s="1">
        <v>3.1669583479173959</v>
      </c>
      <c r="G2857" s="1">
        <v>2.5365694327602828E-2</v>
      </c>
    </row>
    <row r="2858" spans="1:7">
      <c r="A2858">
        <v>106</v>
      </c>
      <c r="B2858">
        <v>60</v>
      </c>
      <c r="C2858" s="1">
        <f>(Tabela1[[#This Row],[x]]-H$3)*(Tabela1[[#This Row],[x]]-H$3) +(Tabela1[[#This Row],[y]]-H$4)*(Tabela1[[#This Row],[y]]-H$4)</f>
        <v>28436</v>
      </c>
      <c r="D2858" s="1">
        <f>IF(Tabela1[[#This Row],[promien]]&lt;40000,1,0)</f>
        <v>1</v>
      </c>
      <c r="E2858" s="1">
        <f>IF(Tabela1[[#This Row],[promien]]=40000,1,0)</f>
        <v>0</v>
      </c>
      <c r="F2858" s="1">
        <v>3.1672498250524841</v>
      </c>
      <c r="G2858" s="1">
        <v>2.5657171462690975E-2</v>
      </c>
    </row>
    <row r="2859" spans="1:7">
      <c r="A2859">
        <v>377</v>
      </c>
      <c r="B2859">
        <v>116</v>
      </c>
      <c r="C2859" s="1">
        <f>(Tabela1[[#This Row],[x]]-H$3)*(Tabela1[[#This Row],[x]]-H$3) +(Tabela1[[#This Row],[y]]-H$4)*(Tabela1[[#This Row],[y]]-H$4)</f>
        <v>38385</v>
      </c>
      <c r="D2859" s="1">
        <f>IF(Tabela1[[#This Row],[promien]]&lt;40000,1,0)</f>
        <v>1</v>
      </c>
      <c r="E2859" s="1">
        <f>IF(Tabela1[[#This Row],[promien]]=40000,1,0)</f>
        <v>0</v>
      </c>
      <c r="F2859" s="1">
        <v>3.1675410982861139</v>
      </c>
      <c r="G2859" s="1">
        <v>2.5948444696320738E-2</v>
      </c>
    </row>
    <row r="2860" spans="1:7">
      <c r="A2860">
        <v>373</v>
      </c>
      <c r="B2860">
        <v>295</v>
      </c>
      <c r="C2860" s="1">
        <f>(Tabela1[[#This Row],[x]]-H$3)*(Tabela1[[#This Row],[x]]-H$3) +(Tabela1[[#This Row],[y]]-H$4)*(Tabela1[[#This Row],[y]]-H$4)</f>
        <v>38954</v>
      </c>
      <c r="D2860" s="1">
        <f>IF(Tabela1[[#This Row],[promien]]&lt;40000,1,0)</f>
        <v>1</v>
      </c>
      <c r="E2860" s="1">
        <f>IF(Tabela1[[#This Row],[promien]]=40000,1,0)</f>
        <v>0</v>
      </c>
      <c r="F2860" s="1">
        <v>3.1678321678321679</v>
      </c>
      <c r="G2860" s="1">
        <v>2.6239514242374806E-2</v>
      </c>
    </row>
    <row r="2861" spans="1:7">
      <c r="A2861">
        <v>89</v>
      </c>
      <c r="B2861">
        <v>89</v>
      </c>
      <c r="C2861" s="1">
        <f>(Tabela1[[#This Row],[x]]-H$3)*(Tabela1[[#This Row],[x]]-H$3) +(Tabela1[[#This Row],[y]]-H$4)*(Tabela1[[#This Row],[y]]-H$4)</f>
        <v>24642</v>
      </c>
      <c r="D2861" s="1">
        <f>IF(Tabela1[[#This Row],[promien]]&lt;40000,1,0)</f>
        <v>1</v>
      </c>
      <c r="E2861" s="1">
        <f>IF(Tabela1[[#This Row],[promien]]=40000,1,0)</f>
        <v>0</v>
      </c>
      <c r="F2861" s="1">
        <v>3.1681230339042292</v>
      </c>
      <c r="G2861" s="1">
        <v>2.6530380314436108E-2</v>
      </c>
    </row>
    <row r="2862" spans="1:7">
      <c r="A2862">
        <v>164</v>
      </c>
      <c r="B2862">
        <v>223</v>
      </c>
      <c r="C2862" s="1">
        <f>(Tabela1[[#This Row],[x]]-H$3)*(Tabela1[[#This Row],[x]]-H$3) +(Tabela1[[#This Row],[y]]-H$4)*(Tabela1[[#This Row],[y]]-H$4)</f>
        <v>1825</v>
      </c>
      <c r="D2862" s="1">
        <f>IF(Tabela1[[#This Row],[promien]]&lt;40000,1,0)</f>
        <v>1</v>
      </c>
      <c r="E2862" s="1">
        <f>IF(Tabela1[[#This Row],[promien]]=40000,1,0)</f>
        <v>0</v>
      </c>
      <c r="F2862" s="1">
        <v>3.1684136967155836</v>
      </c>
      <c r="G2862" s="1">
        <v>2.6821043125790478E-2</v>
      </c>
    </row>
    <row r="2863" spans="1:7">
      <c r="A2863">
        <v>108</v>
      </c>
      <c r="B2863">
        <v>247</v>
      </c>
      <c r="C2863" s="1">
        <f>(Tabela1[[#This Row],[x]]-H$3)*(Tabela1[[#This Row],[x]]-H$3) +(Tabela1[[#This Row],[y]]-H$4)*(Tabela1[[#This Row],[y]]-H$4)</f>
        <v>10673</v>
      </c>
      <c r="D2863" s="1">
        <f>IF(Tabela1[[#This Row],[promien]]&lt;40000,1,0)</f>
        <v>1</v>
      </c>
      <c r="E2863" s="1">
        <f>IF(Tabela1[[#This Row],[promien]]=40000,1,0)</f>
        <v>0</v>
      </c>
      <c r="F2863" s="1">
        <v>3.1687041564792175</v>
      </c>
      <c r="G2863" s="1">
        <v>2.7111502889424433E-2</v>
      </c>
    </row>
    <row r="2864" spans="1:7">
      <c r="A2864">
        <v>348</v>
      </c>
      <c r="B2864">
        <v>249</v>
      </c>
      <c r="C2864" s="1">
        <f>(Tabela1[[#This Row],[x]]-H$3)*(Tabela1[[#This Row],[x]]-H$3) +(Tabela1[[#This Row],[y]]-H$4)*(Tabela1[[#This Row],[y]]-H$4)</f>
        <v>24305</v>
      </c>
      <c r="D2864" s="1">
        <f>IF(Tabela1[[#This Row],[promien]]&lt;40000,1,0)</f>
        <v>1</v>
      </c>
      <c r="E2864" s="1">
        <f>IF(Tabela1[[#This Row],[promien]]=40000,1,0)</f>
        <v>0</v>
      </c>
      <c r="F2864" s="1">
        <v>3.1689944134078214</v>
      </c>
      <c r="G2864" s="1">
        <v>2.7401759818028282E-2</v>
      </c>
    </row>
    <row r="2865" spans="1:7">
      <c r="A2865">
        <v>67</v>
      </c>
      <c r="B2865">
        <v>93</v>
      </c>
      <c r="C2865" s="1">
        <f>(Tabela1[[#This Row],[x]]-H$3)*(Tabela1[[#This Row],[x]]-H$3) +(Tabela1[[#This Row],[y]]-H$4)*(Tabela1[[#This Row],[y]]-H$4)</f>
        <v>29138</v>
      </c>
      <c r="D2865" s="1">
        <f>IF(Tabela1[[#This Row],[promien]]&lt;40000,1,0)</f>
        <v>1</v>
      </c>
      <c r="E2865" s="1">
        <f>IF(Tabela1[[#This Row],[promien]]=40000,1,0)</f>
        <v>0</v>
      </c>
      <c r="F2865" s="1">
        <v>3.169284467713787</v>
      </c>
      <c r="G2865" s="1">
        <v>2.7691814123993908E-2</v>
      </c>
    </row>
    <row r="2866" spans="1:7">
      <c r="A2866">
        <v>371</v>
      </c>
      <c r="B2866">
        <v>142</v>
      </c>
      <c r="C2866" s="1">
        <f>(Tabela1[[#This Row],[x]]-H$3)*(Tabela1[[#This Row],[x]]-H$3) +(Tabela1[[#This Row],[y]]-H$4)*(Tabela1[[#This Row],[y]]-H$4)</f>
        <v>32605</v>
      </c>
      <c r="D2866" s="1">
        <f>IF(Tabela1[[#This Row],[promien]]&lt;40000,1,0)</f>
        <v>1</v>
      </c>
      <c r="E2866" s="1">
        <f>IF(Tabela1[[#This Row],[promien]]=40000,1,0)</f>
        <v>0</v>
      </c>
      <c r="F2866" s="1">
        <v>3.1695743196092114</v>
      </c>
      <c r="G2866" s="1">
        <v>2.7981666019418316E-2</v>
      </c>
    </row>
    <row r="2867" spans="1:7">
      <c r="A2867">
        <v>158</v>
      </c>
      <c r="B2867">
        <v>269</v>
      </c>
      <c r="C2867" s="1">
        <f>(Tabela1[[#This Row],[x]]-H$3)*(Tabela1[[#This Row],[x]]-H$3) +(Tabela1[[#This Row],[y]]-H$4)*(Tabela1[[#This Row],[y]]-H$4)</f>
        <v>6525</v>
      </c>
      <c r="D2867" s="1">
        <f>IF(Tabela1[[#This Row],[promien]]&lt;40000,1,0)</f>
        <v>1</v>
      </c>
      <c r="E2867" s="1">
        <f>IF(Tabela1[[#This Row],[promien]]=40000,1,0)</f>
        <v>0</v>
      </c>
      <c r="F2867" s="1">
        <v>3.1698639693058945</v>
      </c>
      <c r="G2867" s="1">
        <v>2.8271315716101419E-2</v>
      </c>
    </row>
    <row r="2868" spans="1:7">
      <c r="A2868">
        <v>163</v>
      </c>
      <c r="B2868">
        <v>332</v>
      </c>
      <c r="C2868" s="1">
        <f>(Tabela1[[#This Row],[x]]-H$3)*(Tabela1[[#This Row],[x]]-H$3) +(Tabela1[[#This Row],[y]]-H$4)*(Tabela1[[#This Row],[y]]-H$4)</f>
        <v>18793</v>
      </c>
      <c r="D2868" s="1">
        <f>IF(Tabela1[[#This Row],[promien]]&lt;40000,1,0)</f>
        <v>1</v>
      </c>
      <c r="E2868" s="1">
        <f>IF(Tabela1[[#This Row],[promien]]=40000,1,0)</f>
        <v>0</v>
      </c>
      <c r="F2868" s="1">
        <v>3.1701534170153418</v>
      </c>
      <c r="G2868" s="1">
        <v>2.8560763425548696E-2</v>
      </c>
    </row>
    <row r="2869" spans="1:7">
      <c r="A2869">
        <v>334</v>
      </c>
      <c r="B2869">
        <v>168</v>
      </c>
      <c r="C2869" s="1">
        <f>(Tabela1[[#This Row],[x]]-H$3)*(Tabela1[[#This Row],[x]]-H$3) +(Tabela1[[#This Row],[y]]-H$4)*(Tabela1[[#This Row],[y]]-H$4)</f>
        <v>18980</v>
      </c>
      <c r="D2869" s="1">
        <f>IF(Tabela1[[#This Row],[promien]]&lt;40000,1,0)</f>
        <v>1</v>
      </c>
      <c r="E2869" s="1">
        <f>IF(Tabela1[[#This Row],[promien]]=40000,1,0)</f>
        <v>0</v>
      </c>
      <c r="F2869" s="1">
        <v>3.1704426629487625</v>
      </c>
      <c r="G2869" s="1">
        <v>2.885000935896942E-2</v>
      </c>
    </row>
    <row r="2870" spans="1:7">
      <c r="A2870">
        <v>55</v>
      </c>
      <c r="B2870">
        <v>112</v>
      </c>
      <c r="C2870" s="1">
        <f>(Tabela1[[#This Row],[x]]-H$3)*(Tabela1[[#This Row],[x]]-H$3) +(Tabela1[[#This Row],[y]]-H$4)*(Tabela1[[#This Row],[y]]-H$4)</f>
        <v>28769</v>
      </c>
      <c r="D2870" s="1">
        <f>IF(Tabela1[[#This Row],[promien]]&lt;40000,1,0)</f>
        <v>1</v>
      </c>
      <c r="E2870" s="1">
        <f>IF(Tabela1[[#This Row],[promien]]=40000,1,0)</f>
        <v>0</v>
      </c>
      <c r="F2870" s="1">
        <v>3.1707317073170733</v>
      </c>
      <c r="G2870" s="1">
        <v>2.9139053727280206E-2</v>
      </c>
    </row>
    <row r="2871" spans="1:7">
      <c r="A2871">
        <v>119</v>
      </c>
      <c r="B2871">
        <v>75</v>
      </c>
      <c r="C2871" s="1">
        <f>(Tabela1[[#This Row],[x]]-H$3)*(Tabela1[[#This Row],[x]]-H$3) +(Tabela1[[#This Row],[y]]-H$4)*(Tabela1[[#This Row],[y]]-H$4)</f>
        <v>22186</v>
      </c>
      <c r="D2871" s="1">
        <f>IF(Tabela1[[#This Row],[promien]]&lt;40000,1,0)</f>
        <v>1</v>
      </c>
      <c r="E2871" s="1">
        <f>IF(Tabela1[[#This Row],[promien]]=40000,1,0)</f>
        <v>0</v>
      </c>
      <c r="F2871" s="1">
        <v>3.171020550330895</v>
      </c>
      <c r="G2871" s="1">
        <v>2.9427896741101911E-2</v>
      </c>
    </row>
    <row r="2872" spans="1:7">
      <c r="A2872">
        <v>298</v>
      </c>
      <c r="B2872">
        <v>119</v>
      </c>
      <c r="C2872" s="1">
        <f>(Tabela1[[#This Row],[x]]-H$3)*(Tabela1[[#This Row],[x]]-H$3) +(Tabela1[[#This Row],[y]]-H$4)*(Tabela1[[#This Row],[y]]-H$4)</f>
        <v>16165</v>
      </c>
      <c r="D2872" s="1">
        <f>IF(Tabela1[[#This Row],[promien]]&lt;40000,1,0)</f>
        <v>1</v>
      </c>
      <c r="E2872" s="1">
        <f>IF(Tabela1[[#This Row],[promien]]=40000,1,0)</f>
        <v>0</v>
      </c>
      <c r="F2872" s="1">
        <v>3.1713091922005572</v>
      </c>
      <c r="G2872" s="1">
        <v>2.9716538610764065E-2</v>
      </c>
    </row>
    <row r="2873" spans="1:7">
      <c r="A2873">
        <v>178</v>
      </c>
      <c r="B2873">
        <v>335</v>
      </c>
      <c r="C2873" s="1">
        <f>(Tabela1[[#This Row],[x]]-H$3)*(Tabela1[[#This Row],[x]]-H$3) +(Tabela1[[#This Row],[y]]-H$4)*(Tabela1[[#This Row],[y]]-H$4)</f>
        <v>18709</v>
      </c>
      <c r="D2873" s="1">
        <f>IF(Tabela1[[#This Row],[promien]]&lt;40000,1,0)</f>
        <v>1</v>
      </c>
      <c r="E2873" s="1">
        <f>IF(Tabela1[[#This Row],[promien]]=40000,1,0)</f>
        <v>0</v>
      </c>
      <c r="F2873" s="1">
        <v>3.1715976331360949</v>
      </c>
      <c r="G2873" s="1">
        <v>3.0004979546301769E-2</v>
      </c>
    </row>
    <row r="2874" spans="1:7">
      <c r="A2874">
        <v>169</v>
      </c>
      <c r="B2874">
        <v>98</v>
      </c>
      <c r="C2874" s="1">
        <f>(Tabela1[[#This Row],[x]]-H$3)*(Tabela1[[#This Row],[x]]-H$3) +(Tabela1[[#This Row],[y]]-H$4)*(Tabela1[[#This Row],[y]]-H$4)</f>
        <v>11365</v>
      </c>
      <c r="D2874" s="1">
        <f>IF(Tabela1[[#This Row],[promien]]&lt;40000,1,0)</f>
        <v>1</v>
      </c>
      <c r="E2874" s="1">
        <f>IF(Tabela1[[#This Row],[promien]]=40000,1,0)</f>
        <v>0</v>
      </c>
      <c r="F2874" s="1">
        <v>3.171885873347251</v>
      </c>
      <c r="G2874" s="1">
        <v>3.0293219757457912E-2</v>
      </c>
    </row>
    <row r="2875" spans="1:7">
      <c r="A2875">
        <v>67</v>
      </c>
      <c r="B2875">
        <v>229</v>
      </c>
      <c r="C2875" s="1">
        <f>(Tabela1[[#This Row],[x]]-H$3)*(Tabela1[[#This Row],[x]]-H$3) +(Tabela1[[#This Row],[y]]-H$4)*(Tabela1[[#This Row],[y]]-H$4)</f>
        <v>18530</v>
      </c>
      <c r="D2875" s="1">
        <f>IF(Tabela1[[#This Row],[promien]]&lt;40000,1,0)</f>
        <v>1</v>
      </c>
      <c r="E2875" s="1">
        <f>IF(Tabela1[[#This Row],[promien]]=40000,1,0)</f>
        <v>0</v>
      </c>
      <c r="F2875" s="1">
        <v>3.1721739130434781</v>
      </c>
      <c r="G2875" s="1">
        <v>3.058125945368495E-2</v>
      </c>
    </row>
    <row r="2876" spans="1:7">
      <c r="A2876">
        <v>202</v>
      </c>
      <c r="B2876">
        <v>98</v>
      </c>
      <c r="C2876" s="1">
        <f>(Tabela1[[#This Row],[x]]-H$3)*(Tabela1[[#This Row],[x]]-H$3) +(Tabela1[[#This Row],[y]]-H$4)*(Tabela1[[#This Row],[y]]-H$4)</f>
        <v>10408</v>
      </c>
      <c r="D2876" s="1">
        <f>IF(Tabela1[[#This Row],[promien]]&lt;40000,1,0)</f>
        <v>1</v>
      </c>
      <c r="E2876" s="1">
        <f>IF(Tabela1[[#This Row],[promien]]=40000,1,0)</f>
        <v>0</v>
      </c>
      <c r="F2876" s="1">
        <v>3.1724617524339362</v>
      </c>
      <c r="G2876" s="1">
        <v>3.0869098844143128E-2</v>
      </c>
    </row>
    <row r="2877" spans="1:7">
      <c r="A2877">
        <v>119</v>
      </c>
      <c r="B2877">
        <v>262</v>
      </c>
      <c r="C2877" s="1">
        <f>(Tabela1[[#This Row],[x]]-H$3)*(Tabela1[[#This Row],[x]]-H$3) +(Tabela1[[#This Row],[y]]-H$4)*(Tabela1[[#This Row],[y]]-H$4)</f>
        <v>10405</v>
      </c>
      <c r="D2877" s="1">
        <f>IF(Tabela1[[#This Row],[promien]]&lt;40000,1,0)</f>
        <v>1</v>
      </c>
      <c r="E2877" s="1">
        <f>IF(Tabela1[[#This Row],[promien]]=40000,1,0)</f>
        <v>0</v>
      </c>
      <c r="F2877" s="1">
        <v>3.172749391727494</v>
      </c>
      <c r="G2877" s="1">
        <v>3.1156738137700923E-2</v>
      </c>
    </row>
    <row r="2878" spans="1:7">
      <c r="A2878">
        <v>317</v>
      </c>
      <c r="B2878">
        <v>79</v>
      </c>
      <c r="C2878" s="1">
        <f>(Tabela1[[#This Row],[x]]-H$3)*(Tabela1[[#This Row],[x]]-H$3) +(Tabela1[[#This Row],[y]]-H$4)*(Tabela1[[#This Row],[y]]-H$4)</f>
        <v>28330</v>
      </c>
      <c r="D2878" s="1">
        <f>IF(Tabela1[[#This Row],[promien]]&lt;40000,1,0)</f>
        <v>1</v>
      </c>
      <c r="E2878" s="1">
        <f>IF(Tabela1[[#This Row],[promien]]=40000,1,0)</f>
        <v>0</v>
      </c>
      <c r="F2878" s="1">
        <v>3.1730368311327313</v>
      </c>
      <c r="G2878" s="1">
        <v>3.1444177542938156E-2</v>
      </c>
    </row>
    <row r="2879" spans="1:7">
      <c r="A2879">
        <v>384</v>
      </c>
      <c r="B2879">
        <v>278</v>
      </c>
      <c r="C2879" s="1">
        <f>(Tabela1[[#This Row],[x]]-H$3)*(Tabela1[[#This Row],[x]]-H$3) +(Tabela1[[#This Row],[y]]-H$4)*(Tabela1[[#This Row],[y]]-H$4)</f>
        <v>39940</v>
      </c>
      <c r="D2879" s="1">
        <f>IF(Tabela1[[#This Row],[promien]]&lt;40000,1,0)</f>
        <v>1</v>
      </c>
      <c r="E2879" s="1">
        <f>IF(Tabela1[[#This Row],[promien]]=40000,1,0)</f>
        <v>0</v>
      </c>
      <c r="F2879" s="1">
        <v>3.1733240708579369</v>
      </c>
      <c r="G2879" s="1">
        <v>3.1731417268143769E-2</v>
      </c>
    </row>
    <row r="2880" spans="1:7">
      <c r="A2880">
        <v>45</v>
      </c>
      <c r="B2880">
        <v>131</v>
      </c>
      <c r="C2880" s="1">
        <f>(Tabela1[[#This Row],[x]]-H$3)*(Tabela1[[#This Row],[x]]-H$3) +(Tabela1[[#This Row],[y]]-H$4)*(Tabela1[[#This Row],[y]]-H$4)</f>
        <v>28786</v>
      </c>
      <c r="D2880" s="1">
        <f>IF(Tabela1[[#This Row],[promien]]&lt;40000,1,0)</f>
        <v>1</v>
      </c>
      <c r="E2880" s="1">
        <f>IF(Tabela1[[#This Row],[promien]]=40000,1,0)</f>
        <v>0</v>
      </c>
      <c r="F2880" s="1">
        <v>3.1736111111111112</v>
      </c>
      <c r="G2880" s="1">
        <v>3.2018457521318044E-2</v>
      </c>
    </row>
    <row r="2881" spans="1:7">
      <c r="A2881">
        <v>53</v>
      </c>
      <c r="B2881">
        <v>395</v>
      </c>
      <c r="C2881" s="1">
        <f>(Tabela1[[#This Row],[x]]-H$3)*(Tabela1[[#This Row],[x]]-H$3) +(Tabela1[[#This Row],[y]]-H$4)*(Tabela1[[#This Row],[y]]-H$4)</f>
        <v>59634</v>
      </c>
      <c r="D2881" s="1">
        <f>IF(Tabela1[[#This Row],[promien]]&lt;40000,1,0)</f>
        <v>0</v>
      </c>
      <c r="E2881" s="1">
        <f>IF(Tabela1[[#This Row],[promien]]=40000,1,0)</f>
        <v>0</v>
      </c>
      <c r="F2881" s="1">
        <v>3.172509545296772</v>
      </c>
      <c r="G2881" s="1">
        <v>3.0916891706978866E-2</v>
      </c>
    </row>
    <row r="2882" spans="1:7">
      <c r="A2882">
        <v>170</v>
      </c>
      <c r="B2882">
        <v>246</v>
      </c>
      <c r="C2882" s="1">
        <f>(Tabela1[[#This Row],[x]]-H$3)*(Tabela1[[#This Row],[x]]-H$3) +(Tabela1[[#This Row],[y]]-H$4)*(Tabela1[[#This Row],[y]]-H$4)</f>
        <v>3016</v>
      </c>
      <c r="D2882" s="1">
        <f>IF(Tabela1[[#This Row],[promien]]&lt;40000,1,0)</f>
        <v>1</v>
      </c>
      <c r="E2882" s="1">
        <f>IF(Tabela1[[#This Row],[promien]]=40000,1,0)</f>
        <v>0</v>
      </c>
      <c r="F2882" s="1">
        <v>3.172796668979875</v>
      </c>
      <c r="G2882" s="1">
        <v>3.1204015390081885E-2</v>
      </c>
    </row>
    <row r="2883" spans="1:7">
      <c r="A2883">
        <v>219</v>
      </c>
      <c r="B2883">
        <v>336</v>
      </c>
      <c r="C2883" s="1">
        <f>(Tabela1[[#This Row],[x]]-H$3)*(Tabela1[[#This Row],[x]]-H$3) +(Tabela1[[#This Row],[y]]-H$4)*(Tabela1[[#This Row],[y]]-H$4)</f>
        <v>18857</v>
      </c>
      <c r="D2883" s="1">
        <f>IF(Tabela1[[#This Row],[promien]]&lt;40000,1,0)</f>
        <v>1</v>
      </c>
      <c r="E2883" s="1">
        <f>IF(Tabela1[[#This Row],[promien]]=40000,1,0)</f>
        <v>0</v>
      </c>
      <c r="F2883" s="1">
        <v>3.1730835934790149</v>
      </c>
      <c r="G2883" s="1">
        <v>3.1490939889221803E-2</v>
      </c>
    </row>
    <row r="2884" spans="1:7">
      <c r="A2884">
        <v>188</v>
      </c>
      <c r="B2884">
        <v>235</v>
      </c>
      <c r="C2884" s="1">
        <f>(Tabela1[[#This Row],[x]]-H$3)*(Tabela1[[#This Row],[x]]-H$3) +(Tabela1[[#This Row],[y]]-H$4)*(Tabela1[[#This Row],[y]]-H$4)</f>
        <v>1369</v>
      </c>
      <c r="D2884" s="1">
        <f>IF(Tabela1[[#This Row],[promien]]&lt;40000,1,0)</f>
        <v>1</v>
      </c>
      <c r="E2884" s="1">
        <f>IF(Tabela1[[#This Row],[promien]]=40000,1,0)</f>
        <v>0</v>
      </c>
      <c r="F2884" s="1">
        <v>3.1733703190013869</v>
      </c>
      <c r="G2884" s="1">
        <v>3.177766541159377E-2</v>
      </c>
    </row>
    <row r="2885" spans="1:7">
      <c r="A2885">
        <v>203</v>
      </c>
      <c r="B2885">
        <v>335</v>
      </c>
      <c r="C2885" s="1">
        <f>(Tabela1[[#This Row],[x]]-H$3)*(Tabela1[[#This Row],[x]]-H$3) +(Tabela1[[#This Row],[y]]-H$4)*(Tabela1[[#This Row],[y]]-H$4)</f>
        <v>18234</v>
      </c>
      <c r="D2885" s="1">
        <f>IF(Tabela1[[#This Row],[promien]]&lt;40000,1,0)</f>
        <v>1</v>
      </c>
      <c r="E2885" s="1">
        <f>IF(Tabela1[[#This Row],[promien]]=40000,1,0)</f>
        <v>0</v>
      </c>
      <c r="F2885" s="1">
        <v>3.1736568457538996</v>
      </c>
      <c r="G2885" s="1">
        <v>3.2064192164106498E-2</v>
      </c>
    </row>
    <row r="2886" spans="1:7">
      <c r="A2886">
        <v>321</v>
      </c>
      <c r="B2886">
        <v>367</v>
      </c>
      <c r="C2886" s="1">
        <f>(Tabela1[[#This Row],[x]]-H$3)*(Tabela1[[#This Row],[x]]-H$3) +(Tabela1[[#This Row],[y]]-H$4)*(Tabela1[[#This Row],[y]]-H$4)</f>
        <v>42530</v>
      </c>
      <c r="D2886" s="1">
        <f>IF(Tabela1[[#This Row],[promien]]&lt;40000,1,0)</f>
        <v>0</v>
      </c>
      <c r="E2886" s="1">
        <f>IF(Tabela1[[#This Row],[promien]]=40000,1,0)</f>
        <v>0</v>
      </c>
      <c r="F2886" s="1">
        <v>3.1725571725571724</v>
      </c>
      <c r="G2886" s="1">
        <v>3.0964518967379284E-2</v>
      </c>
    </row>
    <row r="2887" spans="1:7">
      <c r="A2887">
        <v>29</v>
      </c>
      <c r="B2887">
        <v>400</v>
      </c>
      <c r="C2887" s="1">
        <f>(Tabela1[[#This Row],[x]]-H$3)*(Tabela1[[#This Row],[x]]-H$3) +(Tabela1[[#This Row],[y]]-H$4)*(Tabela1[[#This Row],[y]]-H$4)</f>
        <v>69241</v>
      </c>
      <c r="D2887" s="1">
        <f>IF(Tabela1[[#This Row],[promien]]&lt;40000,1,0)</f>
        <v>0</v>
      </c>
      <c r="E2887" s="1">
        <f>IF(Tabela1[[#This Row],[promien]]=40000,1,0)</f>
        <v>0</v>
      </c>
      <c r="F2887" s="1">
        <v>3.1714582611707653</v>
      </c>
      <c r="G2887" s="1">
        <v>2.9865607580972231E-2</v>
      </c>
    </row>
    <row r="2888" spans="1:7">
      <c r="A2888">
        <v>140</v>
      </c>
      <c r="B2888">
        <v>197</v>
      </c>
      <c r="C2888" s="1">
        <f>(Tabela1[[#This Row],[x]]-H$3)*(Tabela1[[#This Row],[x]]-H$3) +(Tabela1[[#This Row],[y]]-H$4)*(Tabela1[[#This Row],[y]]-H$4)</f>
        <v>3609</v>
      </c>
      <c r="D2888" s="1">
        <f>IF(Tabela1[[#This Row],[promien]]&lt;40000,1,0)</f>
        <v>1</v>
      </c>
      <c r="E2888" s="1">
        <f>IF(Tabela1[[#This Row],[promien]]=40000,1,0)</f>
        <v>0</v>
      </c>
      <c r="F2888" s="1">
        <v>3.1717451523545708</v>
      </c>
      <c r="G2888" s="1">
        <v>3.0152498764777658E-2</v>
      </c>
    </row>
    <row r="2889" spans="1:7">
      <c r="A2889">
        <v>330</v>
      </c>
      <c r="B2889">
        <v>151</v>
      </c>
      <c r="C2889" s="1">
        <f>(Tabela1[[#This Row],[x]]-H$3)*(Tabela1[[#This Row],[x]]-H$3) +(Tabela1[[#This Row],[y]]-H$4)*(Tabela1[[#This Row],[y]]-H$4)</f>
        <v>19301</v>
      </c>
      <c r="D2889" s="1">
        <f>IF(Tabela1[[#This Row],[promien]]&lt;40000,1,0)</f>
        <v>1</v>
      </c>
      <c r="E2889" s="1">
        <f>IF(Tabela1[[#This Row],[promien]]=40000,1,0)</f>
        <v>0</v>
      </c>
      <c r="F2889" s="1">
        <v>3.172031844929041</v>
      </c>
      <c r="G2889" s="1">
        <v>3.0439191339247884E-2</v>
      </c>
    </row>
    <row r="2890" spans="1:7">
      <c r="A2890">
        <v>153</v>
      </c>
      <c r="B2890">
        <v>294</v>
      </c>
      <c r="C2890" s="1">
        <f>(Tabela1[[#This Row],[x]]-H$3)*(Tabela1[[#This Row],[x]]-H$3) +(Tabela1[[#This Row],[y]]-H$4)*(Tabela1[[#This Row],[y]]-H$4)</f>
        <v>11045</v>
      </c>
      <c r="D2890" s="1">
        <f>IF(Tabela1[[#This Row],[promien]]&lt;40000,1,0)</f>
        <v>1</v>
      </c>
      <c r="E2890" s="1">
        <f>IF(Tabela1[[#This Row],[promien]]=40000,1,0)</f>
        <v>0</v>
      </c>
      <c r="F2890" s="1">
        <v>3.1723183391003462</v>
      </c>
      <c r="G2890" s="1">
        <v>3.0725685510553102E-2</v>
      </c>
    </row>
    <row r="2891" spans="1:7">
      <c r="A2891">
        <v>248</v>
      </c>
      <c r="B2891">
        <v>163</v>
      </c>
      <c r="C2891" s="1">
        <f>(Tabela1[[#This Row],[x]]-H$3)*(Tabela1[[#This Row],[x]]-H$3) +(Tabela1[[#This Row],[y]]-H$4)*(Tabela1[[#This Row],[y]]-H$4)</f>
        <v>3673</v>
      </c>
      <c r="D2891" s="1">
        <f>IF(Tabela1[[#This Row],[promien]]&lt;40000,1,0)</f>
        <v>1</v>
      </c>
      <c r="E2891" s="1">
        <f>IF(Tabela1[[#This Row],[promien]]=40000,1,0)</f>
        <v>0</v>
      </c>
      <c r="F2891" s="1">
        <v>3.1726046350743689</v>
      </c>
      <c r="G2891" s="1">
        <v>3.1011981484575735E-2</v>
      </c>
    </row>
    <row r="2892" spans="1:7">
      <c r="A2892">
        <v>233</v>
      </c>
      <c r="B2892">
        <v>32</v>
      </c>
      <c r="C2892" s="1">
        <f>(Tabela1[[#This Row],[x]]-H$3)*(Tabela1[[#This Row],[x]]-H$3) +(Tabela1[[#This Row],[y]]-H$4)*(Tabela1[[#This Row],[y]]-H$4)</f>
        <v>29313</v>
      </c>
      <c r="D2892" s="1">
        <f>IF(Tabela1[[#This Row],[promien]]&lt;40000,1,0)</f>
        <v>1</v>
      </c>
      <c r="E2892" s="1">
        <f>IF(Tabela1[[#This Row],[promien]]=40000,1,0)</f>
        <v>0</v>
      </c>
      <c r="F2892" s="1">
        <v>3.172890733056708</v>
      </c>
      <c r="G2892" s="1">
        <v>3.1298079466914874E-2</v>
      </c>
    </row>
    <row r="2893" spans="1:7">
      <c r="A2893">
        <v>208</v>
      </c>
      <c r="B2893">
        <v>166</v>
      </c>
      <c r="C2893" s="1">
        <f>(Tabela1[[#This Row],[x]]-H$3)*(Tabela1[[#This Row],[x]]-H$3) +(Tabela1[[#This Row],[y]]-H$4)*(Tabela1[[#This Row],[y]]-H$4)</f>
        <v>1220</v>
      </c>
      <c r="D2893" s="1">
        <f>IF(Tabela1[[#This Row],[promien]]&lt;40000,1,0)</f>
        <v>1</v>
      </c>
      <c r="E2893" s="1">
        <f>IF(Tabela1[[#This Row],[promien]]=40000,1,0)</f>
        <v>0</v>
      </c>
      <c r="F2893" s="1">
        <v>3.173176633252679</v>
      </c>
      <c r="G2893" s="1">
        <v>3.1583979662885842E-2</v>
      </c>
    </row>
    <row r="2894" spans="1:7">
      <c r="A2894">
        <v>374</v>
      </c>
      <c r="B2894">
        <v>231</v>
      </c>
      <c r="C2894" s="1">
        <f>(Tabela1[[#This Row],[x]]-H$3)*(Tabela1[[#This Row],[x]]-H$3) +(Tabela1[[#This Row],[y]]-H$4)*(Tabela1[[#This Row],[y]]-H$4)</f>
        <v>31237</v>
      </c>
      <c r="D2894" s="1">
        <f>IF(Tabela1[[#This Row],[promien]]&lt;40000,1,0)</f>
        <v>1</v>
      </c>
      <c r="E2894" s="1">
        <f>IF(Tabela1[[#This Row],[promien]]=40000,1,0)</f>
        <v>0</v>
      </c>
      <c r="F2894" s="1">
        <v>3.1734623358673115</v>
      </c>
      <c r="G2894" s="1">
        <v>3.1869682277518407E-2</v>
      </c>
    </row>
    <row r="2895" spans="1:7">
      <c r="A2895">
        <v>60</v>
      </c>
      <c r="B2895">
        <v>117</v>
      </c>
      <c r="C2895" s="1">
        <f>(Tabela1[[#This Row],[x]]-H$3)*(Tabela1[[#This Row],[x]]-H$3) +(Tabela1[[#This Row],[y]]-H$4)*(Tabela1[[#This Row],[y]]-H$4)</f>
        <v>26489</v>
      </c>
      <c r="D2895" s="1">
        <f>IF(Tabela1[[#This Row],[promien]]&lt;40000,1,0)</f>
        <v>1</v>
      </c>
      <c r="E2895" s="1">
        <f>IF(Tabela1[[#This Row],[promien]]=40000,1,0)</f>
        <v>0</v>
      </c>
      <c r="F2895" s="1">
        <v>3.1737478411053539</v>
      </c>
      <c r="G2895" s="1">
        <v>3.215518751556079E-2</v>
      </c>
    </row>
    <row r="2896" spans="1:7">
      <c r="A2896">
        <v>67</v>
      </c>
      <c r="B2896">
        <v>215</v>
      </c>
      <c r="C2896" s="1">
        <f>(Tabela1[[#This Row],[x]]-H$3)*(Tabela1[[#This Row],[x]]-H$3) +(Tabela1[[#This Row],[y]]-H$4)*(Tabela1[[#This Row],[y]]-H$4)</f>
        <v>17914</v>
      </c>
      <c r="D2896" s="1">
        <f>IF(Tabela1[[#This Row],[promien]]&lt;40000,1,0)</f>
        <v>1</v>
      </c>
      <c r="E2896" s="1">
        <f>IF(Tabela1[[#This Row],[promien]]=40000,1,0)</f>
        <v>0</v>
      </c>
      <c r="F2896" s="1">
        <v>3.1740331491712706</v>
      </c>
      <c r="G2896" s="1">
        <v>3.2440495581477435E-2</v>
      </c>
    </row>
    <row r="2897" spans="1:7">
      <c r="A2897">
        <v>189</v>
      </c>
      <c r="B2897">
        <v>149</v>
      </c>
      <c r="C2897" s="1">
        <f>(Tabela1[[#This Row],[x]]-H$3)*(Tabela1[[#This Row],[x]]-H$3) +(Tabela1[[#This Row],[y]]-H$4)*(Tabela1[[#This Row],[y]]-H$4)</f>
        <v>2722</v>
      </c>
      <c r="D2897" s="1">
        <f>IF(Tabela1[[#This Row],[promien]]&lt;40000,1,0)</f>
        <v>1</v>
      </c>
      <c r="E2897" s="1">
        <f>IF(Tabela1[[#This Row],[promien]]=40000,1,0)</f>
        <v>0</v>
      </c>
      <c r="F2897" s="1">
        <v>3.1743182602692439</v>
      </c>
      <c r="G2897" s="1">
        <v>3.2725606679450792E-2</v>
      </c>
    </row>
    <row r="2898" spans="1:7">
      <c r="A2898">
        <v>390</v>
      </c>
      <c r="B2898">
        <v>88</v>
      </c>
      <c r="C2898" s="1">
        <f>(Tabela1[[#This Row],[x]]-H$3)*(Tabela1[[#This Row],[x]]-H$3) +(Tabela1[[#This Row],[y]]-H$4)*(Tabela1[[#This Row],[y]]-H$4)</f>
        <v>48644</v>
      </c>
      <c r="D2898" s="1">
        <f>IF(Tabela1[[#This Row],[promien]]&lt;40000,1,0)</f>
        <v>0</v>
      </c>
      <c r="E2898" s="1">
        <f>IF(Tabela1[[#This Row],[promien]]=40000,1,0)</f>
        <v>0</v>
      </c>
      <c r="F2898" s="1">
        <v>3.1732229123533471</v>
      </c>
      <c r="G2898" s="1">
        <v>3.1630258763553964E-2</v>
      </c>
    </row>
    <row r="2899" spans="1:7">
      <c r="A2899">
        <v>175</v>
      </c>
      <c r="B2899">
        <v>17</v>
      </c>
      <c r="C2899" s="1">
        <f>(Tabela1[[#This Row],[x]]-H$3)*(Tabela1[[#This Row],[x]]-H$3) +(Tabela1[[#This Row],[y]]-H$4)*(Tabela1[[#This Row],[y]]-H$4)</f>
        <v>34114</v>
      </c>
      <c r="D2899" s="1">
        <f>IF(Tabela1[[#This Row],[promien]]&lt;40000,1,0)</f>
        <v>1</v>
      </c>
      <c r="E2899" s="1">
        <f>IF(Tabela1[[#This Row],[promien]]=40000,1,0)</f>
        <v>0</v>
      </c>
      <c r="F2899" s="1">
        <v>3.1735081062435322</v>
      </c>
      <c r="G2899" s="1">
        <v>3.1915452653739074E-2</v>
      </c>
    </row>
    <row r="2900" spans="1:7">
      <c r="A2900">
        <v>358</v>
      </c>
      <c r="B2900">
        <v>245</v>
      </c>
      <c r="C2900" s="1">
        <f>(Tabela1[[#This Row],[x]]-H$3)*(Tabela1[[#This Row],[x]]-H$3) +(Tabela1[[#This Row],[y]]-H$4)*(Tabela1[[#This Row],[y]]-H$4)</f>
        <v>26989</v>
      </c>
      <c r="D2900" s="1">
        <f>IF(Tabela1[[#This Row],[promien]]&lt;40000,1,0)</f>
        <v>1</v>
      </c>
      <c r="E2900" s="1">
        <f>IF(Tabela1[[#This Row],[promien]]=40000,1,0)</f>
        <v>0</v>
      </c>
      <c r="F2900" s="1">
        <v>3.173793103448276</v>
      </c>
      <c r="G2900" s="1">
        <v>3.2200449858482916E-2</v>
      </c>
    </row>
    <row r="2901" spans="1:7">
      <c r="A2901">
        <v>205</v>
      </c>
      <c r="B2901">
        <v>176</v>
      </c>
      <c r="C2901" s="1">
        <f>(Tabela1[[#This Row],[x]]-H$3)*(Tabela1[[#This Row],[x]]-H$3) +(Tabela1[[#This Row],[y]]-H$4)*(Tabela1[[#This Row],[y]]-H$4)</f>
        <v>601</v>
      </c>
      <c r="D2901" s="1">
        <f>IF(Tabela1[[#This Row],[promien]]&lt;40000,1,0)</f>
        <v>1</v>
      </c>
      <c r="E2901" s="1">
        <f>IF(Tabela1[[#This Row],[promien]]=40000,1,0)</f>
        <v>0</v>
      </c>
      <c r="F2901" s="1">
        <v>3.1740779041709755</v>
      </c>
      <c r="G2901" s="1">
        <v>3.2485250581182346E-2</v>
      </c>
    </row>
    <row r="2902" spans="1:7">
      <c r="A2902">
        <v>362</v>
      </c>
      <c r="B2902">
        <v>67</v>
      </c>
      <c r="C2902" s="1">
        <f>(Tabela1[[#This Row],[x]]-H$3)*(Tabela1[[#This Row],[x]]-H$3) +(Tabela1[[#This Row],[y]]-H$4)*(Tabela1[[#This Row],[y]]-H$4)</f>
        <v>43933</v>
      </c>
      <c r="D2902" s="1">
        <f>IF(Tabela1[[#This Row],[promien]]&lt;40000,1,0)</f>
        <v>0</v>
      </c>
      <c r="E2902" s="1">
        <f>IF(Tabela1[[#This Row],[promien]]=40000,1,0)</f>
        <v>0</v>
      </c>
      <c r="F2902" s="1">
        <v>3.1729841488628532</v>
      </c>
      <c r="G2902" s="1">
        <v>3.1391495273060066E-2</v>
      </c>
    </row>
    <row r="2903" spans="1:7">
      <c r="A2903">
        <v>235</v>
      </c>
      <c r="B2903">
        <v>223</v>
      </c>
      <c r="C2903" s="1">
        <f>(Tabela1[[#This Row],[x]]-H$3)*(Tabela1[[#This Row],[x]]-H$3) +(Tabela1[[#This Row],[y]]-H$4)*(Tabela1[[#This Row],[y]]-H$4)</f>
        <v>1754</v>
      </c>
      <c r="D2903" s="1">
        <f>IF(Tabela1[[#This Row],[promien]]&lt;40000,1,0)</f>
        <v>1</v>
      </c>
      <c r="E2903" s="1">
        <f>IF(Tabela1[[#This Row],[promien]]=40000,1,0)</f>
        <v>0</v>
      </c>
      <c r="F2903" s="1">
        <v>3.173269032035825</v>
      </c>
      <c r="G2903" s="1">
        <v>3.1676378446031883E-2</v>
      </c>
    </row>
    <row r="2904" spans="1:7">
      <c r="A2904">
        <v>367</v>
      </c>
      <c r="B2904">
        <v>380</v>
      </c>
      <c r="C2904" s="1">
        <f>(Tabela1[[#This Row],[x]]-H$3)*(Tabela1[[#This Row],[x]]-H$3) +(Tabela1[[#This Row],[y]]-H$4)*(Tabela1[[#This Row],[y]]-H$4)</f>
        <v>60289</v>
      </c>
      <c r="D2904" s="1">
        <f>IF(Tabela1[[#This Row],[promien]]&lt;40000,1,0)</f>
        <v>0</v>
      </c>
      <c r="E2904" s="1">
        <f>IF(Tabela1[[#This Row],[promien]]=40000,1,0)</f>
        <v>0</v>
      </c>
      <c r="F2904" s="1">
        <v>3.172176308539945</v>
      </c>
      <c r="G2904" s="1">
        <v>3.0583654950151917E-2</v>
      </c>
    </row>
    <row r="2905" spans="1:7">
      <c r="A2905">
        <v>121</v>
      </c>
      <c r="B2905">
        <v>339</v>
      </c>
      <c r="C2905" s="1">
        <f>(Tabela1[[#This Row],[x]]-H$3)*(Tabela1[[#This Row],[x]]-H$3) +(Tabela1[[#This Row],[y]]-H$4)*(Tabela1[[#This Row],[y]]-H$4)</f>
        <v>25562</v>
      </c>
      <c r="D2905" s="1">
        <f>IF(Tabela1[[#This Row],[promien]]&lt;40000,1,0)</f>
        <v>1</v>
      </c>
      <c r="E2905" s="1">
        <f>IF(Tabela1[[#This Row],[promien]]=40000,1,0)</f>
        <v>0</v>
      </c>
      <c r="F2905" s="1">
        <v>3.1724612736660931</v>
      </c>
      <c r="G2905" s="1">
        <v>3.086862007629998E-2</v>
      </c>
    </row>
    <row r="2906" spans="1:7">
      <c r="A2906">
        <v>350</v>
      </c>
      <c r="B2906">
        <v>277</v>
      </c>
      <c r="C2906" s="1">
        <f>(Tabela1[[#This Row],[x]]-H$3)*(Tabela1[[#This Row],[x]]-H$3) +(Tabela1[[#This Row],[y]]-H$4)*(Tabela1[[#This Row],[y]]-H$4)</f>
        <v>28429</v>
      </c>
      <c r="D2906" s="1">
        <f>IF(Tabela1[[#This Row],[promien]]&lt;40000,1,0)</f>
        <v>1</v>
      </c>
      <c r="E2906" s="1">
        <f>IF(Tabela1[[#This Row],[promien]]=40000,1,0)</f>
        <v>0</v>
      </c>
      <c r="F2906" s="1">
        <v>3.1727460426703371</v>
      </c>
      <c r="G2906" s="1">
        <v>3.1153389080543992E-2</v>
      </c>
    </row>
    <row r="2907" spans="1:7">
      <c r="A2907">
        <v>39</v>
      </c>
      <c r="B2907">
        <v>281</v>
      </c>
      <c r="C2907" s="1">
        <f>(Tabela1[[#This Row],[x]]-H$3)*(Tabela1[[#This Row],[x]]-H$3) +(Tabela1[[#This Row],[y]]-H$4)*(Tabela1[[#This Row],[y]]-H$4)</f>
        <v>32482</v>
      </c>
      <c r="D2907" s="1">
        <f>IF(Tabela1[[#This Row],[promien]]&lt;40000,1,0)</f>
        <v>1</v>
      </c>
      <c r="E2907" s="1">
        <f>IF(Tabela1[[#This Row],[promien]]=40000,1,0)</f>
        <v>0</v>
      </c>
      <c r="F2907" s="1">
        <v>3.1730306157550738</v>
      </c>
      <c r="G2907" s="1">
        <v>3.143796216528072E-2</v>
      </c>
    </row>
    <row r="2908" spans="1:7">
      <c r="A2908">
        <v>264</v>
      </c>
      <c r="B2908">
        <v>179</v>
      </c>
      <c r="C2908" s="1">
        <f>(Tabela1[[#This Row],[x]]-H$3)*(Tabela1[[#This Row],[x]]-H$3) +(Tabela1[[#This Row],[y]]-H$4)*(Tabela1[[#This Row],[y]]-H$4)</f>
        <v>4537</v>
      </c>
      <c r="D2908" s="1">
        <f>IF(Tabela1[[#This Row],[promien]]&lt;40000,1,0)</f>
        <v>1</v>
      </c>
      <c r="E2908" s="1">
        <f>IF(Tabela1[[#This Row],[promien]]=40000,1,0)</f>
        <v>0</v>
      </c>
      <c r="F2908" s="1">
        <v>3.1733149931224207</v>
      </c>
      <c r="G2908" s="1">
        <v>3.1722339532627597E-2</v>
      </c>
    </row>
    <row r="2909" spans="1:7">
      <c r="A2909">
        <v>380</v>
      </c>
      <c r="B2909">
        <v>44</v>
      </c>
      <c r="C2909" s="1">
        <f>(Tabela1[[#This Row],[x]]-H$3)*(Tabela1[[#This Row],[x]]-H$3) +(Tabela1[[#This Row],[y]]-H$4)*(Tabela1[[#This Row],[y]]-H$4)</f>
        <v>56736</v>
      </c>
      <c r="D2909" s="1">
        <f>IF(Tabela1[[#This Row],[promien]]&lt;40000,1,0)</f>
        <v>0</v>
      </c>
      <c r="E2909" s="1">
        <f>IF(Tabela1[[#This Row],[promien]]=40000,1,0)</f>
        <v>0</v>
      </c>
      <c r="F2909" s="1">
        <v>3.1722241320041253</v>
      </c>
      <c r="G2909" s="1">
        <v>3.0631478414332225E-2</v>
      </c>
    </row>
    <row r="2910" spans="1:7">
      <c r="A2910">
        <v>192</v>
      </c>
      <c r="B2910">
        <v>182</v>
      </c>
      <c r="C2910" s="1">
        <f>(Tabela1[[#This Row],[x]]-H$3)*(Tabela1[[#This Row],[x]]-H$3) +(Tabela1[[#This Row],[y]]-H$4)*(Tabela1[[#This Row],[y]]-H$4)</f>
        <v>388</v>
      </c>
      <c r="D2910" s="1">
        <f>IF(Tabela1[[#This Row],[promien]]&lt;40000,1,0)</f>
        <v>1</v>
      </c>
      <c r="E2910" s="1">
        <f>IF(Tabela1[[#This Row],[promien]]=40000,1,0)</f>
        <v>0</v>
      </c>
      <c r="F2910" s="1">
        <v>3.1725085910652919</v>
      </c>
      <c r="G2910" s="1">
        <v>3.0915937475498811E-2</v>
      </c>
    </row>
    <row r="2911" spans="1:7">
      <c r="A2911">
        <v>395</v>
      </c>
      <c r="B2911">
        <v>370</v>
      </c>
      <c r="C2911" s="1">
        <f>(Tabela1[[#This Row],[x]]-H$3)*(Tabela1[[#This Row],[x]]-H$3) +(Tabela1[[#This Row],[y]]-H$4)*(Tabela1[[#This Row],[y]]-H$4)</f>
        <v>66925</v>
      </c>
      <c r="D2911" s="1">
        <f>IF(Tabela1[[#This Row],[promien]]&lt;40000,1,0)</f>
        <v>0</v>
      </c>
      <c r="E2911" s="1">
        <f>IF(Tabela1[[#This Row],[promien]]=40000,1,0)</f>
        <v>0</v>
      </c>
      <c r="F2911" s="1">
        <v>3.1714187564410854</v>
      </c>
      <c r="G2911" s="1">
        <v>2.982610285129228E-2</v>
      </c>
    </row>
    <row r="2912" spans="1:7">
      <c r="A2912">
        <v>94</v>
      </c>
      <c r="B2912">
        <v>175</v>
      </c>
      <c r="C2912" s="1">
        <f>(Tabela1[[#This Row],[x]]-H$3)*(Tabela1[[#This Row],[x]]-H$3) +(Tabela1[[#This Row],[y]]-H$4)*(Tabela1[[#This Row],[y]]-H$4)</f>
        <v>11861</v>
      </c>
      <c r="D2912" s="1">
        <f>IF(Tabela1[[#This Row],[promien]]&lt;40000,1,0)</f>
        <v>1</v>
      </c>
      <c r="E2912" s="1">
        <f>IF(Tabela1[[#This Row],[promien]]=40000,1,0)</f>
        <v>0</v>
      </c>
      <c r="F2912" s="1">
        <v>3.1717032967032965</v>
      </c>
      <c r="G2912" s="1">
        <v>3.0110643113503421E-2</v>
      </c>
    </row>
    <row r="2913" spans="1:7">
      <c r="A2913">
        <v>208</v>
      </c>
      <c r="B2913">
        <v>112</v>
      </c>
      <c r="C2913" s="1">
        <f>(Tabela1[[#This Row],[x]]-H$3)*(Tabela1[[#This Row],[x]]-H$3) +(Tabela1[[#This Row],[y]]-H$4)*(Tabela1[[#This Row],[y]]-H$4)</f>
        <v>7808</v>
      </c>
      <c r="D2913" s="1">
        <f>IF(Tabela1[[#This Row],[promien]]&lt;40000,1,0)</f>
        <v>1</v>
      </c>
      <c r="E2913" s="1">
        <f>IF(Tabela1[[#This Row],[promien]]=40000,1,0)</f>
        <v>0</v>
      </c>
      <c r="F2913" s="1">
        <v>3.1719876416065911</v>
      </c>
      <c r="G2913" s="1">
        <v>3.0394988016797964E-2</v>
      </c>
    </row>
    <row r="2914" spans="1:7">
      <c r="A2914">
        <v>212</v>
      </c>
      <c r="B2914">
        <v>173</v>
      </c>
      <c r="C2914" s="1">
        <f>(Tabela1[[#This Row],[x]]-H$3)*(Tabela1[[#This Row],[x]]-H$3) +(Tabela1[[#This Row],[y]]-H$4)*(Tabela1[[#This Row],[y]]-H$4)</f>
        <v>873</v>
      </c>
      <c r="D2914" s="1">
        <f>IF(Tabela1[[#This Row],[promien]]&lt;40000,1,0)</f>
        <v>1</v>
      </c>
      <c r="E2914" s="1">
        <f>IF(Tabela1[[#This Row],[promien]]=40000,1,0)</f>
        <v>0</v>
      </c>
      <c r="F2914" s="1">
        <v>3.1722717913520935</v>
      </c>
      <c r="G2914" s="1">
        <v>3.0679137762300357E-2</v>
      </c>
    </row>
    <row r="2915" spans="1:7">
      <c r="A2915">
        <v>162</v>
      </c>
      <c r="B2915">
        <v>120</v>
      </c>
      <c r="C2915" s="1">
        <f>(Tabela1[[#This Row],[x]]-H$3)*(Tabela1[[#This Row],[x]]-H$3) +(Tabela1[[#This Row],[y]]-H$4)*(Tabela1[[#This Row],[y]]-H$4)</f>
        <v>7844</v>
      </c>
      <c r="D2915" s="1">
        <f>IF(Tabela1[[#This Row],[promien]]&lt;40000,1,0)</f>
        <v>1</v>
      </c>
      <c r="E2915" s="1">
        <f>IF(Tabela1[[#This Row],[promien]]=40000,1,0)</f>
        <v>0</v>
      </c>
      <c r="F2915" s="1">
        <v>3.1725557461406519</v>
      </c>
      <c r="G2915" s="1">
        <v>3.0963092550858828E-2</v>
      </c>
    </row>
    <row r="2916" spans="1:7">
      <c r="A2916">
        <v>336</v>
      </c>
      <c r="B2916">
        <v>44</v>
      </c>
      <c r="C2916" s="1">
        <f>(Tabela1[[#This Row],[x]]-H$3)*(Tabela1[[#This Row],[x]]-H$3) +(Tabela1[[#This Row],[y]]-H$4)*(Tabela1[[#This Row],[y]]-H$4)</f>
        <v>42832</v>
      </c>
      <c r="D2916" s="1">
        <f>IF(Tabela1[[#This Row],[promien]]&lt;40000,1,0)</f>
        <v>0</v>
      </c>
      <c r="E2916" s="1">
        <f>IF(Tabela1[[#This Row],[promien]]=40000,1,0)</f>
        <v>0</v>
      </c>
      <c r="F2916" s="1">
        <v>3.1714677640603566</v>
      </c>
      <c r="G2916" s="1">
        <v>2.987511047056346E-2</v>
      </c>
    </row>
    <row r="2917" spans="1:7">
      <c r="A2917">
        <v>345</v>
      </c>
      <c r="B2917">
        <v>104</v>
      </c>
      <c r="C2917" s="1">
        <f>(Tabela1[[#This Row],[x]]-H$3)*(Tabela1[[#This Row],[x]]-H$3) +(Tabela1[[#This Row],[y]]-H$4)*(Tabela1[[#This Row],[y]]-H$4)</f>
        <v>30241</v>
      </c>
      <c r="D2917" s="1">
        <f>IF(Tabela1[[#This Row],[promien]]&lt;40000,1,0)</f>
        <v>1</v>
      </c>
      <c r="E2917" s="1">
        <f>IF(Tabela1[[#This Row],[promien]]=40000,1,0)</f>
        <v>0</v>
      </c>
      <c r="F2917" s="1">
        <v>3.1717517997943094</v>
      </c>
      <c r="G2917" s="1">
        <v>3.0159146204516318E-2</v>
      </c>
    </row>
    <row r="2918" spans="1:7">
      <c r="A2918">
        <v>245</v>
      </c>
      <c r="B2918">
        <v>101</v>
      </c>
      <c r="C2918" s="1">
        <f>(Tabela1[[#This Row],[x]]-H$3)*(Tabela1[[#This Row],[x]]-H$3) +(Tabela1[[#This Row],[y]]-H$4)*(Tabela1[[#This Row],[y]]-H$4)</f>
        <v>11826</v>
      </c>
      <c r="D2918" s="1">
        <f>IF(Tabela1[[#This Row],[promien]]&lt;40000,1,0)</f>
        <v>1</v>
      </c>
      <c r="E2918" s="1">
        <f>IF(Tabela1[[#This Row],[promien]]=40000,1,0)</f>
        <v>0</v>
      </c>
      <c r="F2918" s="1">
        <v>3.1720356408498973</v>
      </c>
      <c r="G2918" s="1">
        <v>3.0442987260104193E-2</v>
      </c>
    </row>
    <row r="2919" spans="1:7">
      <c r="A2919">
        <v>364</v>
      </c>
      <c r="B2919">
        <v>22</v>
      </c>
      <c r="C2919" s="1">
        <f>(Tabela1[[#This Row],[x]]-H$3)*(Tabela1[[#This Row],[x]]-H$3) +(Tabela1[[#This Row],[y]]-H$4)*(Tabela1[[#This Row],[y]]-H$4)</f>
        <v>58580</v>
      </c>
      <c r="D2919" s="1">
        <f>IF(Tabela1[[#This Row],[promien]]&lt;40000,1,0)</f>
        <v>0</v>
      </c>
      <c r="E2919" s="1">
        <f>IF(Tabela1[[#This Row],[promien]]=40000,1,0)</f>
        <v>0</v>
      </c>
      <c r="F2919" s="1">
        <v>3.170948955121617</v>
      </c>
      <c r="G2919" s="1">
        <v>2.9356301531823892E-2</v>
      </c>
    </row>
    <row r="2920" spans="1:7">
      <c r="A2920">
        <v>322</v>
      </c>
      <c r="B2920">
        <v>214</v>
      </c>
      <c r="C2920" s="1">
        <f>(Tabela1[[#This Row],[x]]-H$3)*(Tabela1[[#This Row],[x]]-H$3) +(Tabela1[[#This Row],[y]]-H$4)*(Tabela1[[#This Row],[y]]-H$4)</f>
        <v>15080</v>
      </c>
      <c r="D2920" s="1">
        <f>IF(Tabela1[[#This Row],[promien]]&lt;40000,1,0)</f>
        <v>1</v>
      </c>
      <c r="E2920" s="1">
        <f>IF(Tabela1[[#This Row],[promien]]=40000,1,0)</f>
        <v>0</v>
      </c>
      <c r="F2920" s="1">
        <v>3.1712328767123288</v>
      </c>
      <c r="G2920" s="1">
        <v>2.9640223122535669E-2</v>
      </c>
    </row>
    <row r="2921" spans="1:7">
      <c r="A2921">
        <v>367</v>
      </c>
      <c r="B2921">
        <v>220</v>
      </c>
      <c r="C2921" s="1">
        <f>(Tabela1[[#This Row],[x]]-H$3)*(Tabela1[[#This Row],[x]]-H$3) +(Tabela1[[#This Row],[y]]-H$4)*(Tabela1[[#This Row],[y]]-H$4)</f>
        <v>28289</v>
      </c>
      <c r="D2921" s="1">
        <f>IF(Tabela1[[#This Row],[promien]]&lt;40000,1,0)</f>
        <v>1</v>
      </c>
      <c r="E2921" s="1">
        <f>IF(Tabela1[[#This Row],[promien]]=40000,1,0)</f>
        <v>0</v>
      </c>
      <c r="F2921" s="1">
        <v>3.1715166039027731</v>
      </c>
      <c r="G2921" s="1">
        <v>2.9923950312980008E-2</v>
      </c>
    </row>
    <row r="2922" spans="1:7">
      <c r="A2922">
        <v>266</v>
      </c>
      <c r="B2922">
        <v>271</v>
      </c>
      <c r="C2922" s="1">
        <f>(Tabela1[[#This Row],[x]]-H$3)*(Tabela1[[#This Row],[x]]-H$3) +(Tabela1[[#This Row],[y]]-H$4)*(Tabela1[[#This Row],[y]]-H$4)</f>
        <v>9397</v>
      </c>
      <c r="D2922" s="1">
        <f>IF(Tabela1[[#This Row],[promien]]&lt;40000,1,0)</f>
        <v>1</v>
      </c>
      <c r="E2922" s="1">
        <f>IF(Tabela1[[#This Row],[promien]]=40000,1,0)</f>
        <v>0</v>
      </c>
      <c r="F2922" s="1">
        <v>3.1718001368925393</v>
      </c>
      <c r="G2922" s="1">
        <v>3.0207483302746141E-2</v>
      </c>
    </row>
    <row r="2923" spans="1:7">
      <c r="A2923">
        <v>78</v>
      </c>
      <c r="B2923">
        <v>106</v>
      </c>
      <c r="C2923" s="1">
        <f>(Tabela1[[#This Row],[x]]-H$3)*(Tabela1[[#This Row],[x]]-H$3) +(Tabela1[[#This Row],[y]]-H$4)*(Tabela1[[#This Row],[y]]-H$4)</f>
        <v>23720</v>
      </c>
      <c r="D2923" s="1">
        <f>IF(Tabela1[[#This Row],[promien]]&lt;40000,1,0)</f>
        <v>1</v>
      </c>
      <c r="E2923" s="1">
        <f>IF(Tabela1[[#This Row],[promien]]=40000,1,0)</f>
        <v>0</v>
      </c>
      <c r="F2923" s="1">
        <v>3.1720834758809442</v>
      </c>
      <c r="G2923" s="1">
        <v>3.0490822291151076E-2</v>
      </c>
    </row>
    <row r="2924" spans="1:7">
      <c r="A2924">
        <v>127</v>
      </c>
      <c r="B2924">
        <v>264</v>
      </c>
      <c r="C2924" s="1">
        <f>(Tabela1[[#This Row],[x]]-H$3)*(Tabela1[[#This Row],[x]]-H$3) +(Tabela1[[#This Row],[y]]-H$4)*(Tabela1[[#This Row],[y]]-H$4)</f>
        <v>9425</v>
      </c>
      <c r="D2924" s="1">
        <f>IF(Tabela1[[#This Row],[promien]]&lt;40000,1,0)</f>
        <v>1</v>
      </c>
      <c r="E2924" s="1">
        <f>IF(Tabela1[[#This Row],[promien]]=40000,1,0)</f>
        <v>0</v>
      </c>
      <c r="F2924" s="1">
        <v>3.1723666210670314</v>
      </c>
      <c r="G2924" s="1">
        <v>3.0773967477238262E-2</v>
      </c>
    </row>
    <row r="2925" spans="1:7">
      <c r="A2925">
        <v>394</v>
      </c>
      <c r="B2925">
        <v>216</v>
      </c>
      <c r="C2925" s="1">
        <f>(Tabela1[[#This Row],[x]]-H$3)*(Tabela1[[#This Row],[x]]-H$3) +(Tabela1[[#This Row],[y]]-H$4)*(Tabela1[[#This Row],[y]]-H$4)</f>
        <v>37892</v>
      </c>
      <c r="D2925" s="1">
        <f>IF(Tabela1[[#This Row],[promien]]&lt;40000,1,0)</f>
        <v>1</v>
      </c>
      <c r="E2925" s="1">
        <f>IF(Tabela1[[#This Row],[promien]]=40000,1,0)</f>
        <v>0</v>
      </c>
      <c r="F2925" s="1">
        <v>3.1726495726495725</v>
      </c>
      <c r="G2925" s="1">
        <v>3.1056919059779364E-2</v>
      </c>
    </row>
    <row r="2926" spans="1:7">
      <c r="A2926">
        <v>254</v>
      </c>
      <c r="B2926">
        <v>65</v>
      </c>
      <c r="C2926" s="1">
        <f>(Tabela1[[#This Row],[x]]-H$3)*(Tabela1[[#This Row],[x]]-H$3) +(Tabela1[[#This Row],[y]]-H$4)*(Tabela1[[#This Row],[y]]-H$4)</f>
        <v>21141</v>
      </c>
      <c r="D2926" s="1">
        <f>IF(Tabela1[[#This Row],[promien]]&lt;40000,1,0)</f>
        <v>1</v>
      </c>
      <c r="E2926" s="1">
        <f>IF(Tabela1[[#This Row],[promien]]=40000,1,0)</f>
        <v>0</v>
      </c>
      <c r="F2926" s="1">
        <v>3.1729323308270678</v>
      </c>
      <c r="G2926" s="1">
        <v>3.133967723727471E-2</v>
      </c>
    </row>
    <row r="2927" spans="1:7">
      <c r="A2927">
        <v>225</v>
      </c>
      <c r="B2927">
        <v>175</v>
      </c>
      <c r="C2927" s="1">
        <f>(Tabela1[[#This Row],[x]]-H$3)*(Tabela1[[#This Row],[x]]-H$3) +(Tabela1[[#This Row],[y]]-H$4)*(Tabela1[[#This Row],[y]]-H$4)</f>
        <v>1250</v>
      </c>
      <c r="D2927" s="1">
        <f>IF(Tabela1[[#This Row],[promien]]&lt;40000,1,0)</f>
        <v>1</v>
      </c>
      <c r="E2927" s="1">
        <f>IF(Tabela1[[#This Row],[promien]]=40000,1,0)</f>
        <v>0</v>
      </c>
      <c r="F2927" s="1">
        <v>3.1732148957977451</v>
      </c>
      <c r="G2927" s="1">
        <v>3.1622242207951956E-2</v>
      </c>
    </row>
    <row r="2928" spans="1:7">
      <c r="A2928">
        <v>155</v>
      </c>
      <c r="B2928">
        <v>379</v>
      </c>
      <c r="C2928" s="1">
        <f>(Tabela1[[#This Row],[x]]-H$3)*(Tabela1[[#This Row],[x]]-H$3) +(Tabela1[[#This Row],[y]]-H$4)*(Tabela1[[#This Row],[y]]-H$4)</f>
        <v>34066</v>
      </c>
      <c r="D2928" s="1">
        <f>IF(Tabela1[[#This Row],[promien]]&lt;40000,1,0)</f>
        <v>1</v>
      </c>
      <c r="E2928" s="1">
        <f>IF(Tabela1[[#This Row],[promien]]=40000,1,0)</f>
        <v>0</v>
      </c>
      <c r="F2928" s="1">
        <v>3.1734972677595628</v>
      </c>
      <c r="G2928" s="1">
        <v>3.1904614169769641E-2</v>
      </c>
    </row>
    <row r="2929" spans="1:7">
      <c r="A2929">
        <v>319</v>
      </c>
      <c r="B2929">
        <v>242</v>
      </c>
      <c r="C2929" s="1">
        <f>(Tabela1[[#This Row],[x]]-H$3)*(Tabela1[[#This Row],[x]]-H$3) +(Tabela1[[#This Row],[y]]-H$4)*(Tabela1[[#This Row],[y]]-H$4)</f>
        <v>15925</v>
      </c>
      <c r="D2929" s="1">
        <f>IF(Tabela1[[#This Row],[promien]]&lt;40000,1,0)</f>
        <v>1</v>
      </c>
      <c r="E2929" s="1">
        <f>IF(Tabela1[[#This Row],[promien]]=40000,1,0)</f>
        <v>0</v>
      </c>
      <c r="F2929" s="1">
        <v>3.1737794469102081</v>
      </c>
      <c r="G2929" s="1">
        <v>3.2186793320414964E-2</v>
      </c>
    </row>
    <row r="2930" spans="1:7">
      <c r="A2930">
        <v>393</v>
      </c>
      <c r="B2930">
        <v>183</v>
      </c>
      <c r="C2930" s="1">
        <f>(Tabela1[[#This Row],[x]]-H$3)*(Tabela1[[#This Row],[x]]-H$3) +(Tabela1[[#This Row],[y]]-H$4)*(Tabela1[[#This Row],[y]]-H$4)</f>
        <v>37538</v>
      </c>
      <c r="D2930" s="1">
        <f>IF(Tabela1[[#This Row],[promien]]&lt;40000,1,0)</f>
        <v>1</v>
      </c>
      <c r="E2930" s="1">
        <f>IF(Tabela1[[#This Row],[promien]]=40000,1,0)</f>
        <v>0</v>
      </c>
      <c r="F2930" s="1">
        <v>3.1740614334470991</v>
      </c>
      <c r="G2930" s="1">
        <v>3.2468779857306007E-2</v>
      </c>
    </row>
    <row r="2931" spans="1:7">
      <c r="A2931">
        <v>74</v>
      </c>
      <c r="B2931">
        <v>176</v>
      </c>
      <c r="C2931" s="1">
        <f>(Tabela1[[#This Row],[x]]-H$3)*(Tabela1[[#This Row],[x]]-H$3) +(Tabela1[[#This Row],[y]]-H$4)*(Tabela1[[#This Row],[y]]-H$4)</f>
        <v>16452</v>
      </c>
      <c r="D2931" s="1">
        <f>IF(Tabela1[[#This Row],[promien]]&lt;40000,1,0)</f>
        <v>1</v>
      </c>
      <c r="E2931" s="1">
        <f>IF(Tabela1[[#This Row],[promien]]=40000,1,0)</f>
        <v>0</v>
      </c>
      <c r="F2931" s="1">
        <v>3.1743432275673831</v>
      </c>
      <c r="G2931" s="1">
        <v>3.2750573977589958E-2</v>
      </c>
    </row>
    <row r="2932" spans="1:7">
      <c r="A2932">
        <v>260</v>
      </c>
      <c r="B2932">
        <v>67</v>
      </c>
      <c r="C2932" s="1">
        <f>(Tabela1[[#This Row],[x]]-H$3)*(Tabela1[[#This Row],[x]]-H$3) +(Tabela1[[#This Row],[y]]-H$4)*(Tabela1[[#This Row],[y]]-H$4)</f>
        <v>21289</v>
      </c>
      <c r="D2932" s="1">
        <f>IF(Tabela1[[#This Row],[promien]]&lt;40000,1,0)</f>
        <v>1</v>
      </c>
      <c r="E2932" s="1">
        <f>IF(Tabela1[[#This Row],[promien]]=40000,1,0)</f>
        <v>0</v>
      </c>
      <c r="F2932" s="1">
        <v>3.1746248294679398</v>
      </c>
      <c r="G2932" s="1">
        <v>3.3032175878146663E-2</v>
      </c>
    </row>
    <row r="2933" spans="1:7">
      <c r="A2933">
        <v>6</v>
      </c>
      <c r="B2933">
        <v>192</v>
      </c>
      <c r="C2933" s="1">
        <f>(Tabela1[[#This Row],[x]]-H$3)*(Tabela1[[#This Row],[x]]-H$3) +(Tabela1[[#This Row],[y]]-H$4)*(Tabela1[[#This Row],[y]]-H$4)</f>
        <v>37700</v>
      </c>
      <c r="D2933" s="1">
        <f>IF(Tabela1[[#This Row],[promien]]&lt;40000,1,0)</f>
        <v>1</v>
      </c>
      <c r="E2933" s="1">
        <f>IF(Tabela1[[#This Row],[promien]]=40000,1,0)</f>
        <v>0</v>
      </c>
      <c r="F2933" s="1">
        <v>3.17490623934538</v>
      </c>
      <c r="G2933" s="1">
        <v>3.331358575558685E-2</v>
      </c>
    </row>
    <row r="2934" spans="1:7">
      <c r="A2934">
        <v>166</v>
      </c>
      <c r="B2934">
        <v>121</v>
      </c>
      <c r="C2934" s="1">
        <f>(Tabela1[[#This Row],[x]]-H$3)*(Tabela1[[#This Row],[x]]-H$3) +(Tabela1[[#This Row],[y]]-H$4)*(Tabela1[[#This Row],[y]]-H$4)</f>
        <v>7397</v>
      </c>
      <c r="D2934" s="1">
        <f>IF(Tabela1[[#This Row],[promien]]&lt;40000,1,0)</f>
        <v>1</v>
      </c>
      <c r="E2934" s="1">
        <f>IF(Tabela1[[#This Row],[promien]]=40000,1,0)</f>
        <v>0</v>
      </c>
      <c r="F2934" s="1">
        <v>3.1751874573960461</v>
      </c>
      <c r="G2934" s="1">
        <v>3.3594803806253015E-2</v>
      </c>
    </row>
    <row r="2935" spans="1:7">
      <c r="A2935">
        <v>59</v>
      </c>
      <c r="B2935">
        <v>104</v>
      </c>
      <c r="C2935" s="1">
        <f>(Tabela1[[#This Row],[x]]-H$3)*(Tabela1[[#This Row],[x]]-H$3) +(Tabela1[[#This Row],[y]]-H$4)*(Tabela1[[#This Row],[y]]-H$4)</f>
        <v>29097</v>
      </c>
      <c r="D2935" s="1">
        <f>IF(Tabela1[[#This Row],[promien]]&lt;40000,1,0)</f>
        <v>1</v>
      </c>
      <c r="E2935" s="1">
        <f>IF(Tabela1[[#This Row],[promien]]=40000,1,0)</f>
        <v>0</v>
      </c>
      <c r="F2935" s="1">
        <v>3.1754684838160134</v>
      </c>
      <c r="G2935" s="1">
        <v>3.3875830226220316E-2</v>
      </c>
    </row>
    <row r="2936" spans="1:7">
      <c r="A2936">
        <v>127</v>
      </c>
      <c r="B2936">
        <v>48</v>
      </c>
      <c r="C2936" s="1">
        <f>(Tabela1[[#This Row],[x]]-H$3)*(Tabela1[[#This Row],[x]]-H$3) +(Tabela1[[#This Row],[y]]-H$4)*(Tabela1[[#This Row],[y]]-H$4)</f>
        <v>28433</v>
      </c>
      <c r="D2936" s="1">
        <f>IF(Tabela1[[#This Row],[promien]]&lt;40000,1,0)</f>
        <v>1</v>
      </c>
      <c r="E2936" s="1">
        <f>IF(Tabela1[[#This Row],[promien]]=40000,1,0)</f>
        <v>0</v>
      </c>
      <c r="F2936" s="1">
        <v>3.1757493188010901</v>
      </c>
      <c r="G2936" s="1">
        <v>3.415666521129701E-2</v>
      </c>
    </row>
    <row r="2937" spans="1:7">
      <c r="A2937">
        <v>119</v>
      </c>
      <c r="B2937">
        <v>311</v>
      </c>
      <c r="C2937" s="1">
        <f>(Tabela1[[#This Row],[x]]-H$3)*(Tabela1[[#This Row],[x]]-H$3) +(Tabela1[[#This Row],[y]]-H$4)*(Tabela1[[#This Row],[y]]-H$4)</f>
        <v>18882</v>
      </c>
      <c r="D2937" s="1">
        <f>IF(Tabela1[[#This Row],[promien]]&lt;40000,1,0)</f>
        <v>1</v>
      </c>
      <c r="E2937" s="1">
        <f>IF(Tabela1[[#This Row],[promien]]=40000,1,0)</f>
        <v>0</v>
      </c>
      <c r="F2937" s="1">
        <v>3.1760299625468167</v>
      </c>
      <c r="G2937" s="1">
        <v>3.4437308957023571E-2</v>
      </c>
    </row>
    <row r="2938" spans="1:7">
      <c r="A2938">
        <v>103</v>
      </c>
      <c r="B2938">
        <v>316</v>
      </c>
      <c r="C2938" s="1">
        <f>(Tabela1[[#This Row],[x]]-H$3)*(Tabela1[[#This Row],[x]]-H$3) +(Tabela1[[#This Row],[y]]-H$4)*(Tabela1[[#This Row],[y]]-H$4)</f>
        <v>22865</v>
      </c>
      <c r="D2938" s="1">
        <f>IF(Tabela1[[#This Row],[promien]]&lt;40000,1,0)</f>
        <v>1</v>
      </c>
      <c r="E2938" s="1">
        <f>IF(Tabela1[[#This Row],[promien]]=40000,1,0)</f>
        <v>0</v>
      </c>
      <c r="F2938" s="1">
        <v>3.1763104152484685</v>
      </c>
      <c r="G2938" s="1">
        <v>3.471776165867535E-2</v>
      </c>
    </row>
    <row r="2939" spans="1:7">
      <c r="A2939">
        <v>371</v>
      </c>
      <c r="B2939">
        <v>268</v>
      </c>
      <c r="C2939" s="1">
        <f>(Tabela1[[#This Row],[x]]-H$3)*(Tabela1[[#This Row],[x]]-H$3) +(Tabela1[[#This Row],[y]]-H$4)*(Tabela1[[#This Row],[y]]-H$4)</f>
        <v>33865</v>
      </c>
      <c r="D2939" s="1">
        <f>IF(Tabela1[[#This Row],[promien]]&lt;40000,1,0)</f>
        <v>1</v>
      </c>
      <c r="E2939" s="1">
        <f>IF(Tabela1[[#This Row],[promien]]=40000,1,0)</f>
        <v>0</v>
      </c>
      <c r="F2939" s="1">
        <v>3.1765906771010548</v>
      </c>
      <c r="G2939" s="1">
        <v>3.4998023511261689E-2</v>
      </c>
    </row>
    <row r="2940" spans="1:7">
      <c r="A2940">
        <v>40</v>
      </c>
      <c r="B2940">
        <v>119</v>
      </c>
      <c r="C2940" s="1">
        <f>(Tabela1[[#This Row],[x]]-H$3)*(Tabela1[[#This Row],[x]]-H$3) +(Tabela1[[#This Row],[y]]-H$4)*(Tabela1[[#This Row],[y]]-H$4)</f>
        <v>32161</v>
      </c>
      <c r="D2940" s="1">
        <f>IF(Tabela1[[#This Row],[promien]]&lt;40000,1,0)</f>
        <v>1</v>
      </c>
      <c r="E2940" s="1">
        <f>IF(Tabela1[[#This Row],[promien]]=40000,1,0)</f>
        <v>0</v>
      </c>
      <c r="F2940" s="1">
        <v>3.1768707482993199</v>
      </c>
      <c r="G2940" s="1">
        <v>3.5278094709526808E-2</v>
      </c>
    </row>
    <row r="2941" spans="1:7">
      <c r="A2941">
        <v>308</v>
      </c>
      <c r="B2941">
        <v>183</v>
      </c>
      <c r="C2941" s="1">
        <f>(Tabela1[[#This Row],[x]]-H$3)*(Tabela1[[#This Row],[x]]-H$3) +(Tabela1[[#This Row],[y]]-H$4)*(Tabela1[[#This Row],[y]]-H$4)</f>
        <v>11953</v>
      </c>
      <c r="D2941" s="1">
        <f>IF(Tabela1[[#This Row],[promien]]&lt;40000,1,0)</f>
        <v>1</v>
      </c>
      <c r="E2941" s="1">
        <f>IF(Tabela1[[#This Row],[promien]]=40000,1,0)</f>
        <v>0</v>
      </c>
      <c r="F2941" s="1">
        <v>3.1771506290377425</v>
      </c>
      <c r="G2941" s="1">
        <v>3.5557975447949364E-2</v>
      </c>
    </row>
    <row r="2942" spans="1:7">
      <c r="A2942">
        <v>397</v>
      </c>
      <c r="B2942">
        <v>175</v>
      </c>
      <c r="C2942" s="1">
        <f>(Tabela1[[#This Row],[x]]-H$3)*(Tabela1[[#This Row],[x]]-H$3) +(Tabela1[[#This Row],[y]]-H$4)*(Tabela1[[#This Row],[y]]-H$4)</f>
        <v>39434</v>
      </c>
      <c r="D2942" s="1">
        <f>IF(Tabela1[[#This Row],[promien]]&lt;40000,1,0)</f>
        <v>1</v>
      </c>
      <c r="E2942" s="1">
        <f>IF(Tabela1[[#This Row],[promien]]=40000,1,0)</f>
        <v>0</v>
      </c>
      <c r="F2942" s="1">
        <v>3.1774303195105369</v>
      </c>
      <c r="G2942" s="1">
        <v>3.5837665920743778E-2</v>
      </c>
    </row>
    <row r="2943" spans="1:7">
      <c r="A2943">
        <v>52</v>
      </c>
      <c r="B2943">
        <v>136</v>
      </c>
      <c r="C2943" s="1">
        <f>(Tabela1[[#This Row],[x]]-H$3)*(Tabela1[[#This Row],[x]]-H$3) +(Tabela1[[#This Row],[y]]-H$4)*(Tabela1[[#This Row],[y]]-H$4)</f>
        <v>26000</v>
      </c>
      <c r="D2943" s="1">
        <f>IF(Tabela1[[#This Row],[promien]]&lt;40000,1,0)</f>
        <v>1</v>
      </c>
      <c r="E2943" s="1">
        <f>IF(Tabela1[[#This Row],[promien]]=40000,1,0)</f>
        <v>0</v>
      </c>
      <c r="F2943" s="1">
        <v>3.1777098199116547</v>
      </c>
      <c r="G2943" s="1">
        <v>3.6117166321861571E-2</v>
      </c>
    </row>
    <row r="2944" spans="1:7">
      <c r="A2944">
        <v>369</v>
      </c>
      <c r="B2944">
        <v>120</v>
      </c>
      <c r="C2944" s="1">
        <f>(Tabela1[[#This Row],[x]]-H$3)*(Tabela1[[#This Row],[x]]-H$3) +(Tabela1[[#This Row],[y]]-H$4)*(Tabela1[[#This Row],[y]]-H$4)</f>
        <v>34961</v>
      </c>
      <c r="D2944" s="1">
        <f>IF(Tabela1[[#This Row],[promien]]&lt;40000,1,0)</f>
        <v>1</v>
      </c>
      <c r="E2944" s="1">
        <f>IF(Tabela1[[#This Row],[promien]]=40000,1,0)</f>
        <v>0</v>
      </c>
      <c r="F2944" s="1">
        <v>3.1779891304347827</v>
      </c>
      <c r="G2944" s="1">
        <v>3.6396476844989589E-2</v>
      </c>
    </row>
    <row r="2945" spans="1:7">
      <c r="A2945">
        <v>39</v>
      </c>
      <c r="B2945">
        <v>192</v>
      </c>
      <c r="C2945" s="1">
        <f>(Tabela1[[#This Row],[x]]-H$3)*(Tabela1[[#This Row],[x]]-H$3) +(Tabela1[[#This Row],[y]]-H$4)*(Tabela1[[#This Row],[y]]-H$4)</f>
        <v>25985</v>
      </c>
      <c r="D2945" s="1">
        <f>IF(Tabela1[[#This Row],[promien]]&lt;40000,1,0)</f>
        <v>1</v>
      </c>
      <c r="E2945" s="1">
        <f>IF(Tabela1[[#This Row],[promien]]=40000,1,0)</f>
        <v>0</v>
      </c>
      <c r="F2945" s="1">
        <v>3.1782682512733444</v>
      </c>
      <c r="G2945" s="1">
        <v>3.6675597683551331E-2</v>
      </c>
    </row>
    <row r="2946" spans="1:7">
      <c r="A2946">
        <v>62</v>
      </c>
      <c r="B2946">
        <v>34</v>
      </c>
      <c r="C2946" s="1">
        <f>(Tabela1[[#This Row],[x]]-H$3)*(Tabela1[[#This Row],[x]]-H$3) +(Tabela1[[#This Row],[y]]-H$4)*(Tabela1[[#This Row],[y]]-H$4)</f>
        <v>46600</v>
      </c>
      <c r="D2946" s="1">
        <f>IF(Tabela1[[#This Row],[promien]]&lt;40000,1,0)</f>
        <v>0</v>
      </c>
      <c r="E2946" s="1">
        <f>IF(Tabela1[[#This Row],[promien]]=40000,1,0)</f>
        <v>0</v>
      </c>
      <c r="F2946" s="1">
        <v>3.1771894093686353</v>
      </c>
      <c r="G2946" s="1">
        <v>3.5596755778842137E-2</v>
      </c>
    </row>
    <row r="2947" spans="1:7">
      <c r="A2947">
        <v>314</v>
      </c>
      <c r="B2947">
        <v>335</v>
      </c>
      <c r="C2947" s="1">
        <f>(Tabela1[[#This Row],[x]]-H$3)*(Tabela1[[#This Row],[x]]-H$3) +(Tabela1[[#This Row],[y]]-H$4)*(Tabela1[[#This Row],[y]]-H$4)</f>
        <v>31221</v>
      </c>
      <c r="D2947" s="1">
        <f>IF(Tabela1[[#This Row],[promien]]&lt;40000,1,0)</f>
        <v>1</v>
      </c>
      <c r="E2947" s="1">
        <f>IF(Tabela1[[#This Row],[promien]]=40000,1,0)</f>
        <v>0</v>
      </c>
      <c r="F2947" s="1">
        <v>3.1774686121479472</v>
      </c>
      <c r="G2947" s="1">
        <v>3.5875958558154064E-2</v>
      </c>
    </row>
    <row r="2948" spans="1:7">
      <c r="A2948">
        <v>109</v>
      </c>
      <c r="B2948">
        <v>18</v>
      </c>
      <c r="C2948" s="1">
        <f>(Tabela1[[#This Row],[x]]-H$3)*(Tabela1[[#This Row],[x]]-H$3) +(Tabela1[[#This Row],[y]]-H$4)*(Tabela1[[#This Row],[y]]-H$4)</f>
        <v>41405</v>
      </c>
      <c r="D2948" s="1">
        <f>IF(Tabela1[[#This Row],[promien]]&lt;40000,1,0)</f>
        <v>0</v>
      </c>
      <c r="E2948" s="1">
        <f>IF(Tabela1[[#This Row],[promien]]=40000,1,0)</f>
        <v>0</v>
      </c>
      <c r="F2948" s="1">
        <v>3.1763907734056986</v>
      </c>
      <c r="G2948" s="1">
        <v>3.4798119815905526E-2</v>
      </c>
    </row>
    <row r="2949" spans="1:7">
      <c r="A2949">
        <v>56</v>
      </c>
      <c r="B2949">
        <v>326</v>
      </c>
      <c r="C2949" s="1">
        <f>(Tabela1[[#This Row],[x]]-H$3)*(Tabela1[[#This Row],[x]]-H$3) +(Tabela1[[#This Row],[y]]-H$4)*(Tabela1[[#This Row],[y]]-H$4)</f>
        <v>36612</v>
      </c>
      <c r="D2949" s="1">
        <f>IF(Tabela1[[#This Row],[promien]]&lt;40000,1,0)</f>
        <v>1</v>
      </c>
      <c r="E2949" s="1">
        <f>IF(Tabela1[[#This Row],[promien]]=40000,1,0)</f>
        <v>0</v>
      </c>
      <c r="F2949" s="1">
        <v>3.17667005764666</v>
      </c>
      <c r="G2949" s="1">
        <v>3.5077404056866879E-2</v>
      </c>
    </row>
    <row r="2950" spans="1:7">
      <c r="A2950">
        <v>319</v>
      </c>
      <c r="B2950">
        <v>377</v>
      </c>
      <c r="C2950" s="1">
        <f>(Tabela1[[#This Row],[x]]-H$3)*(Tabela1[[#This Row],[x]]-H$3) +(Tabela1[[#This Row],[y]]-H$4)*(Tabela1[[#This Row],[y]]-H$4)</f>
        <v>45490</v>
      </c>
      <c r="D2950" s="1">
        <f>IF(Tabela1[[#This Row],[promien]]&lt;40000,1,0)</f>
        <v>0</v>
      </c>
      <c r="E2950" s="1">
        <f>IF(Tabela1[[#This Row],[promien]]=40000,1,0)</f>
        <v>0</v>
      </c>
      <c r="F2950" s="1">
        <v>3.1755932203389832</v>
      </c>
      <c r="G2950" s="1">
        <v>3.4000566749190053E-2</v>
      </c>
    </row>
    <row r="2951" spans="1:7">
      <c r="A2951">
        <v>297</v>
      </c>
      <c r="B2951">
        <v>342</v>
      </c>
      <c r="C2951" s="1">
        <f>(Tabela1[[#This Row],[x]]-H$3)*(Tabela1[[#This Row],[x]]-H$3) +(Tabela1[[#This Row],[y]]-H$4)*(Tabela1[[#This Row],[y]]-H$4)</f>
        <v>29573</v>
      </c>
      <c r="D2951" s="1">
        <f>IF(Tabela1[[#This Row],[promien]]&lt;40000,1,0)</f>
        <v>1</v>
      </c>
      <c r="E2951" s="1">
        <f>IF(Tabela1[[#This Row],[promien]]=40000,1,0)</f>
        <v>0</v>
      </c>
      <c r="F2951" s="1">
        <v>3.1758725855642154</v>
      </c>
      <c r="G2951" s="1">
        <v>3.4279931974422251E-2</v>
      </c>
    </row>
    <row r="2952" spans="1:7">
      <c r="A2952">
        <v>59</v>
      </c>
      <c r="B2952">
        <v>119</v>
      </c>
      <c r="C2952" s="1">
        <f>(Tabela1[[#This Row],[x]]-H$3)*(Tabela1[[#This Row],[x]]-H$3) +(Tabela1[[#This Row],[y]]-H$4)*(Tabela1[[#This Row],[y]]-H$4)</f>
        <v>26442</v>
      </c>
      <c r="D2952" s="1">
        <f>IF(Tabela1[[#This Row],[promien]]&lt;40000,1,0)</f>
        <v>1</v>
      </c>
      <c r="E2952" s="1">
        <f>IF(Tabela1[[#This Row],[promien]]=40000,1,0)</f>
        <v>0</v>
      </c>
      <c r="F2952" s="1">
        <v>3.1761517615176151</v>
      </c>
      <c r="G2952" s="1">
        <v>3.4559107927822019E-2</v>
      </c>
    </row>
    <row r="2953" spans="1:7">
      <c r="A2953">
        <v>51</v>
      </c>
      <c r="B2953">
        <v>42</v>
      </c>
      <c r="C2953" s="1">
        <f>(Tabela1[[#This Row],[x]]-H$3)*(Tabela1[[#This Row],[x]]-H$3) +(Tabela1[[#This Row],[y]]-H$4)*(Tabela1[[#This Row],[y]]-H$4)</f>
        <v>47165</v>
      </c>
      <c r="D2953" s="1">
        <f>IF(Tabela1[[#This Row],[promien]]&lt;40000,1,0)</f>
        <v>0</v>
      </c>
      <c r="E2953" s="1">
        <f>IF(Tabela1[[#This Row],[promien]]=40000,1,0)</f>
        <v>0</v>
      </c>
      <c r="F2953" s="1">
        <v>3.1750761937013205</v>
      </c>
      <c r="G2953" s="1">
        <v>3.3483540111527432E-2</v>
      </c>
    </row>
    <row r="2954" spans="1:7">
      <c r="A2954">
        <v>217</v>
      </c>
      <c r="B2954">
        <v>348</v>
      </c>
      <c r="C2954" s="1">
        <f>(Tabela1[[#This Row],[x]]-H$3)*(Tabela1[[#This Row],[x]]-H$3) +(Tabela1[[#This Row],[y]]-H$4)*(Tabela1[[#This Row],[y]]-H$4)</f>
        <v>22193</v>
      </c>
      <c r="D2954" s="1">
        <f>IF(Tabela1[[#This Row],[promien]]&lt;40000,1,0)</f>
        <v>1</v>
      </c>
      <c r="E2954" s="1">
        <f>IF(Tabela1[[#This Row],[promien]]=40000,1,0)</f>
        <v>0</v>
      </c>
      <c r="F2954" s="1">
        <v>3.175355450236967</v>
      </c>
      <c r="G2954" s="1">
        <v>3.3762796647173854E-2</v>
      </c>
    </row>
    <row r="2955" spans="1:7">
      <c r="A2955">
        <v>364</v>
      </c>
      <c r="B2955">
        <v>255</v>
      </c>
      <c r="C2955" s="1">
        <f>(Tabela1[[#This Row],[x]]-H$3)*(Tabela1[[#This Row],[x]]-H$3) +(Tabela1[[#This Row],[y]]-H$4)*(Tabela1[[#This Row],[y]]-H$4)</f>
        <v>29921</v>
      </c>
      <c r="D2955" s="1">
        <f>IF(Tabela1[[#This Row],[promien]]&lt;40000,1,0)</f>
        <v>1</v>
      </c>
      <c r="E2955" s="1">
        <f>IF(Tabela1[[#This Row],[promien]]=40000,1,0)</f>
        <v>0</v>
      </c>
      <c r="F2955" s="1">
        <v>3.1756345177664973</v>
      </c>
      <c r="G2955" s="1">
        <v>3.4041864176704184E-2</v>
      </c>
    </row>
    <row r="2956" spans="1:7">
      <c r="A2956">
        <v>331</v>
      </c>
      <c r="B2956">
        <v>103</v>
      </c>
      <c r="C2956" s="1">
        <f>(Tabela1[[#This Row],[x]]-H$3)*(Tabela1[[#This Row],[x]]-H$3) +(Tabela1[[#This Row],[y]]-H$4)*(Tabela1[[#This Row],[y]]-H$4)</f>
        <v>26570</v>
      </c>
      <c r="D2956" s="1">
        <f>IF(Tabela1[[#This Row],[promien]]&lt;40000,1,0)</f>
        <v>1</v>
      </c>
      <c r="E2956" s="1">
        <f>IF(Tabela1[[#This Row],[promien]]=40000,1,0)</f>
        <v>0</v>
      </c>
      <c r="F2956" s="1">
        <v>3.1759133964817319</v>
      </c>
      <c r="G2956" s="1">
        <v>3.432074289193876E-2</v>
      </c>
    </row>
    <row r="2957" spans="1:7">
      <c r="A2957">
        <v>199</v>
      </c>
      <c r="B2957">
        <v>81</v>
      </c>
      <c r="C2957" s="1">
        <f>(Tabela1[[#This Row],[x]]-H$3)*(Tabela1[[#This Row],[x]]-H$3) +(Tabela1[[#This Row],[y]]-H$4)*(Tabela1[[#This Row],[y]]-H$4)</f>
        <v>14162</v>
      </c>
      <c r="D2957" s="1">
        <f>IF(Tabela1[[#This Row],[promien]]&lt;40000,1,0)</f>
        <v>1</v>
      </c>
      <c r="E2957" s="1">
        <f>IF(Tabela1[[#This Row],[promien]]=40000,1,0)</f>
        <v>0</v>
      </c>
      <c r="F2957" s="1">
        <v>3.1761920865742308</v>
      </c>
      <c r="G2957" s="1">
        <v>3.4599432984437684E-2</v>
      </c>
    </row>
    <row r="2958" spans="1:7">
      <c r="A2958">
        <v>273</v>
      </c>
      <c r="B2958">
        <v>72</v>
      </c>
      <c r="C2958" s="1">
        <f>(Tabela1[[#This Row],[x]]-H$3)*(Tabela1[[#This Row],[x]]-H$3) +(Tabela1[[#This Row],[y]]-H$4)*(Tabela1[[#This Row],[y]]-H$4)</f>
        <v>21713</v>
      </c>
      <c r="D2958" s="1">
        <f>IF(Tabela1[[#This Row],[promien]]&lt;40000,1,0)</f>
        <v>1</v>
      </c>
      <c r="E2958" s="1">
        <f>IF(Tabela1[[#This Row],[promien]]=40000,1,0)</f>
        <v>0</v>
      </c>
      <c r="F2958" s="1">
        <v>3.1764705882352939</v>
      </c>
      <c r="G2958" s="1">
        <v>3.4877934645500819E-2</v>
      </c>
    </row>
    <row r="2959" spans="1:7">
      <c r="A2959">
        <v>200</v>
      </c>
      <c r="B2959">
        <v>331</v>
      </c>
      <c r="C2959" s="1">
        <f>(Tabela1[[#This Row],[x]]-H$3)*(Tabela1[[#This Row],[x]]-H$3) +(Tabela1[[#This Row],[y]]-H$4)*(Tabela1[[#This Row],[y]]-H$4)</f>
        <v>17161</v>
      </c>
      <c r="D2959" s="1">
        <f>IF(Tabela1[[#This Row],[promien]]&lt;40000,1,0)</f>
        <v>1</v>
      </c>
      <c r="E2959" s="1">
        <f>IF(Tabela1[[#This Row],[promien]]=40000,1,0)</f>
        <v>0</v>
      </c>
      <c r="F2959" s="1">
        <v>3.1767489016559649</v>
      </c>
      <c r="G2959" s="1">
        <v>3.5156248066171791E-2</v>
      </c>
    </row>
    <row r="2960" spans="1:7">
      <c r="A2960">
        <v>164</v>
      </c>
      <c r="B2960">
        <v>161</v>
      </c>
      <c r="C2960" s="1">
        <f>(Tabela1[[#This Row],[x]]-H$3)*(Tabela1[[#This Row],[x]]-H$3) +(Tabela1[[#This Row],[y]]-H$4)*(Tabela1[[#This Row],[y]]-H$4)</f>
        <v>2817</v>
      </c>
      <c r="D2960" s="1">
        <f>IF(Tabela1[[#This Row],[promien]]&lt;40000,1,0)</f>
        <v>1</v>
      </c>
      <c r="E2960" s="1">
        <f>IF(Tabela1[[#This Row],[promien]]=40000,1,0)</f>
        <v>0</v>
      </c>
      <c r="F2960" s="1">
        <v>3.1770270270270271</v>
      </c>
      <c r="G2960" s="1">
        <v>3.543437343723399E-2</v>
      </c>
    </row>
    <row r="2961" spans="1:7">
      <c r="A2961">
        <v>387</v>
      </c>
      <c r="B2961">
        <v>5</v>
      </c>
      <c r="C2961" s="1">
        <f>(Tabela1[[#This Row],[x]]-H$3)*(Tabela1[[#This Row],[x]]-H$3) +(Tabela1[[#This Row],[y]]-H$4)*(Tabela1[[#This Row],[y]]-H$4)</f>
        <v>72994</v>
      </c>
      <c r="D2961" s="1">
        <f>IF(Tabela1[[#This Row],[promien]]&lt;40000,1,0)</f>
        <v>0</v>
      </c>
      <c r="E2961" s="1">
        <f>IF(Tabela1[[#This Row],[promien]]=40000,1,0)</f>
        <v>0</v>
      </c>
      <c r="F2961" s="1">
        <v>3.1759540695710911</v>
      </c>
      <c r="G2961" s="1">
        <v>3.4361415981297938E-2</v>
      </c>
    </row>
    <row r="2962" spans="1:7">
      <c r="A2962">
        <v>55</v>
      </c>
      <c r="B2962">
        <v>52</v>
      </c>
      <c r="C2962" s="1">
        <f>(Tabela1[[#This Row],[x]]-H$3)*(Tabela1[[#This Row],[x]]-H$3) +(Tabela1[[#This Row],[y]]-H$4)*(Tabela1[[#This Row],[y]]-H$4)</f>
        <v>42929</v>
      </c>
      <c r="D2962" s="1">
        <f>IF(Tabela1[[#This Row],[promien]]&lt;40000,1,0)</f>
        <v>0</v>
      </c>
      <c r="E2962" s="1">
        <f>IF(Tabela1[[#This Row],[promien]]=40000,1,0)</f>
        <v>0</v>
      </c>
      <c r="F2962" s="1">
        <v>3.174881836596894</v>
      </c>
      <c r="G2962" s="1">
        <v>3.3289183007100931E-2</v>
      </c>
    </row>
    <row r="2963" spans="1:7">
      <c r="A2963">
        <v>334</v>
      </c>
      <c r="B2963">
        <v>211</v>
      </c>
      <c r="C2963" s="1">
        <f>(Tabela1[[#This Row],[x]]-H$3)*(Tabela1[[#This Row],[x]]-H$3) +(Tabela1[[#This Row],[y]]-H$4)*(Tabela1[[#This Row],[y]]-H$4)</f>
        <v>18077</v>
      </c>
      <c r="D2963" s="1">
        <f>IF(Tabela1[[#This Row],[promien]]&lt;40000,1,0)</f>
        <v>1</v>
      </c>
      <c r="E2963" s="1">
        <f>IF(Tabela1[[#This Row],[promien]]=40000,1,0)</f>
        <v>0</v>
      </c>
      <c r="F2963" s="1">
        <v>3.1751603104961186</v>
      </c>
      <c r="G2963" s="1">
        <v>3.356765690632546E-2</v>
      </c>
    </row>
    <row r="2964" spans="1:7">
      <c r="A2964">
        <v>97</v>
      </c>
      <c r="B2964">
        <v>77</v>
      </c>
      <c r="C2964" s="1">
        <f>(Tabela1[[#This Row],[x]]-H$3)*(Tabela1[[#This Row],[x]]-H$3) +(Tabela1[[#This Row],[y]]-H$4)*(Tabela1[[#This Row],[y]]-H$4)</f>
        <v>25738</v>
      </c>
      <c r="D2964" s="1">
        <f>IF(Tabela1[[#This Row],[promien]]&lt;40000,1,0)</f>
        <v>1</v>
      </c>
      <c r="E2964" s="1">
        <f>IF(Tabela1[[#This Row],[promien]]=40000,1,0)</f>
        <v>0</v>
      </c>
      <c r="F2964" s="1">
        <v>3.1754385964912282</v>
      </c>
      <c r="G2964" s="1">
        <v>3.3845942901435055E-2</v>
      </c>
    </row>
    <row r="2965" spans="1:7">
      <c r="A2965">
        <v>163</v>
      </c>
      <c r="B2965">
        <v>375</v>
      </c>
      <c r="C2965" s="1">
        <f>(Tabela1[[#This Row],[x]]-H$3)*(Tabela1[[#This Row],[x]]-H$3) +(Tabela1[[#This Row],[y]]-H$4)*(Tabela1[[#This Row],[y]]-H$4)</f>
        <v>31994</v>
      </c>
      <c r="D2965" s="1">
        <f>IF(Tabela1[[#This Row],[promien]]&lt;40000,1,0)</f>
        <v>1</v>
      </c>
      <c r="E2965" s="1">
        <f>IF(Tabela1[[#This Row],[promien]]=40000,1,0)</f>
        <v>0</v>
      </c>
      <c r="F2965" s="1">
        <v>3.1757166947723441</v>
      </c>
      <c r="G2965" s="1">
        <v>3.4124041182550968E-2</v>
      </c>
    </row>
    <row r="2966" spans="1:7">
      <c r="A2966">
        <v>382</v>
      </c>
      <c r="B2966">
        <v>59</v>
      </c>
      <c r="C2966" s="1">
        <f>(Tabela1[[#This Row],[x]]-H$3)*(Tabela1[[#This Row],[x]]-H$3) +(Tabela1[[#This Row],[y]]-H$4)*(Tabela1[[#This Row],[y]]-H$4)</f>
        <v>53005</v>
      </c>
      <c r="D2966" s="1">
        <f>IF(Tabela1[[#This Row],[promien]]&lt;40000,1,0)</f>
        <v>0</v>
      </c>
      <c r="E2966" s="1">
        <f>IF(Tabela1[[#This Row],[promien]]=40000,1,0)</f>
        <v>0</v>
      </c>
      <c r="F2966" s="1">
        <v>3.1746459878624411</v>
      </c>
      <c r="G2966" s="1">
        <v>3.3053334272648005E-2</v>
      </c>
    </row>
    <row r="2967" spans="1:7">
      <c r="A2967">
        <v>283</v>
      </c>
      <c r="B2967">
        <v>276</v>
      </c>
      <c r="C2967" s="1">
        <f>(Tabela1[[#This Row],[x]]-H$3)*(Tabela1[[#This Row],[x]]-H$3) +(Tabela1[[#This Row],[y]]-H$4)*(Tabela1[[#This Row],[y]]-H$4)</f>
        <v>12665</v>
      </c>
      <c r="D2967" s="1">
        <f>IF(Tabela1[[#This Row],[promien]]&lt;40000,1,0)</f>
        <v>1</v>
      </c>
      <c r="E2967" s="1">
        <f>IF(Tabela1[[#This Row],[promien]]=40000,1,0)</f>
        <v>0</v>
      </c>
      <c r="F2967" s="1">
        <v>3.1749241658240646</v>
      </c>
      <c r="G2967" s="1">
        <v>3.3331512234271443E-2</v>
      </c>
    </row>
    <row r="2968" spans="1:7">
      <c r="A2968">
        <v>114</v>
      </c>
      <c r="B2968">
        <v>396</v>
      </c>
      <c r="C2968" s="1">
        <f>(Tabela1[[#This Row],[x]]-H$3)*(Tabela1[[#This Row],[x]]-H$3) +(Tabela1[[#This Row],[y]]-H$4)*(Tabela1[[#This Row],[y]]-H$4)</f>
        <v>45812</v>
      </c>
      <c r="D2968" s="1">
        <f>IF(Tabela1[[#This Row],[promien]]&lt;40000,1,0)</f>
        <v>0</v>
      </c>
      <c r="E2968" s="1">
        <f>IF(Tabela1[[#This Row],[promien]]=40000,1,0)</f>
        <v>0</v>
      </c>
      <c r="F2968" s="1">
        <v>3.1738544474393531</v>
      </c>
      <c r="G2968" s="1">
        <v>3.2261793849559961E-2</v>
      </c>
    </row>
    <row r="2969" spans="1:7">
      <c r="A2969">
        <v>236</v>
      </c>
      <c r="B2969">
        <v>263</v>
      </c>
      <c r="C2969" s="1">
        <f>(Tabela1[[#This Row],[x]]-H$3)*(Tabela1[[#This Row],[x]]-H$3) +(Tabela1[[#This Row],[y]]-H$4)*(Tabela1[[#This Row],[y]]-H$4)</f>
        <v>5265</v>
      </c>
      <c r="D2969" s="1">
        <f>IF(Tabela1[[#This Row],[promien]]&lt;40000,1,0)</f>
        <v>1</v>
      </c>
      <c r="E2969" s="1">
        <f>IF(Tabela1[[#This Row],[promien]]=40000,1,0)</f>
        <v>0</v>
      </c>
      <c r="F2969" s="1">
        <v>3.1741327046143484</v>
      </c>
      <c r="G2969" s="1">
        <v>3.2540051024555261E-2</v>
      </c>
    </row>
    <row r="2970" spans="1:7">
      <c r="A2970">
        <v>171</v>
      </c>
      <c r="B2970">
        <v>228</v>
      </c>
      <c r="C2970" s="1">
        <f>(Tabela1[[#This Row],[x]]-H$3)*(Tabela1[[#This Row],[x]]-H$3) +(Tabela1[[#This Row],[y]]-H$4)*(Tabela1[[#This Row],[y]]-H$4)</f>
        <v>1625</v>
      </c>
      <c r="D2970" s="1">
        <f>IF(Tabela1[[#This Row],[promien]]&lt;40000,1,0)</f>
        <v>1</v>
      </c>
      <c r="E2970" s="1">
        <f>IF(Tabela1[[#This Row],[promien]]=40000,1,0)</f>
        <v>0</v>
      </c>
      <c r="F2970" s="1">
        <v>3.1744107744107746</v>
      </c>
      <c r="G2970" s="1">
        <v>3.2818120820981456E-2</v>
      </c>
    </row>
    <row r="2971" spans="1:7">
      <c r="A2971">
        <v>38</v>
      </c>
      <c r="B2971">
        <v>22</v>
      </c>
      <c r="C2971" s="1">
        <f>(Tabela1[[#This Row],[x]]-H$3)*(Tabela1[[#This Row],[x]]-H$3) +(Tabela1[[#This Row],[y]]-H$4)*(Tabela1[[#This Row],[y]]-H$4)</f>
        <v>57928</v>
      </c>
      <c r="D2971" s="1">
        <f>IF(Tabela1[[#This Row],[promien]]&lt;40000,1,0)</f>
        <v>0</v>
      </c>
      <c r="E2971" s="1">
        <f>IF(Tabela1[[#This Row],[promien]]=40000,1,0)</f>
        <v>0</v>
      </c>
      <c r="F2971" s="1">
        <v>3.1733423089868733</v>
      </c>
      <c r="G2971" s="1">
        <v>3.174965539708019E-2</v>
      </c>
    </row>
    <row r="2972" spans="1:7">
      <c r="A2972">
        <v>312</v>
      </c>
      <c r="B2972">
        <v>64</v>
      </c>
      <c r="C2972" s="1">
        <f>(Tabela1[[#This Row],[x]]-H$3)*(Tabela1[[#This Row],[x]]-H$3) +(Tabela1[[#This Row],[y]]-H$4)*(Tabela1[[#This Row],[y]]-H$4)</f>
        <v>31040</v>
      </c>
      <c r="D2972" s="1">
        <f>IF(Tabela1[[#This Row],[promien]]&lt;40000,1,0)</f>
        <v>1</v>
      </c>
      <c r="E2972" s="1">
        <f>IF(Tabela1[[#This Row],[promien]]=40000,1,0)</f>
        <v>0</v>
      </c>
      <c r="F2972" s="1">
        <v>3.173620457604307</v>
      </c>
      <c r="G2972" s="1">
        <v>3.2027804014513883E-2</v>
      </c>
    </row>
    <row r="2973" spans="1:7">
      <c r="A2973">
        <v>201</v>
      </c>
      <c r="B2973">
        <v>216</v>
      </c>
      <c r="C2973" s="1">
        <f>(Tabela1[[#This Row],[x]]-H$3)*(Tabela1[[#This Row],[x]]-H$3) +(Tabela1[[#This Row],[y]]-H$4)*(Tabela1[[#This Row],[y]]-H$4)</f>
        <v>257</v>
      </c>
      <c r="D2973" s="1">
        <f>IF(Tabela1[[#This Row],[promien]]&lt;40000,1,0)</f>
        <v>1</v>
      </c>
      <c r="E2973" s="1">
        <f>IF(Tabela1[[#This Row],[promien]]=40000,1,0)</f>
        <v>0</v>
      </c>
      <c r="F2973" s="1">
        <v>3.173898419105281</v>
      </c>
      <c r="G2973" s="1">
        <v>3.2305765515487916E-2</v>
      </c>
    </row>
    <row r="2974" spans="1:7">
      <c r="A2974">
        <v>113</v>
      </c>
      <c r="B2974">
        <v>271</v>
      </c>
      <c r="C2974" s="1">
        <f>(Tabela1[[#This Row],[x]]-H$3)*(Tabela1[[#This Row],[x]]-H$3) +(Tabela1[[#This Row],[y]]-H$4)*(Tabela1[[#This Row],[y]]-H$4)</f>
        <v>12610</v>
      </c>
      <c r="D2974" s="1">
        <f>IF(Tabela1[[#This Row],[promien]]&lt;40000,1,0)</f>
        <v>1</v>
      </c>
      <c r="E2974" s="1">
        <f>IF(Tabela1[[#This Row],[promien]]=40000,1,0)</f>
        <v>0</v>
      </c>
      <c r="F2974" s="1">
        <v>3.1741761936785475</v>
      </c>
      <c r="G2974" s="1">
        <v>3.2583540088754415E-2</v>
      </c>
    </row>
    <row r="2975" spans="1:7">
      <c r="A2975">
        <v>15</v>
      </c>
      <c r="B2975">
        <v>331</v>
      </c>
      <c r="C2975" s="1">
        <f>(Tabela1[[#This Row],[x]]-H$3)*(Tabela1[[#This Row],[x]]-H$3) +(Tabela1[[#This Row],[y]]-H$4)*(Tabela1[[#This Row],[y]]-H$4)</f>
        <v>51386</v>
      </c>
      <c r="D2975" s="1">
        <f>IF(Tabela1[[#This Row],[promien]]&lt;40000,1,0)</f>
        <v>0</v>
      </c>
      <c r="E2975" s="1">
        <f>IF(Tabela1[[#This Row],[promien]]=40000,1,0)</f>
        <v>0</v>
      </c>
      <c r="F2975" s="1">
        <v>3.1731092436974788</v>
      </c>
      <c r="G2975" s="1">
        <v>3.1516590107685705E-2</v>
      </c>
    </row>
    <row r="2976" spans="1:7">
      <c r="A2976">
        <v>257</v>
      </c>
      <c r="B2976">
        <v>36</v>
      </c>
      <c r="C2976" s="1">
        <f>(Tabela1[[#This Row],[x]]-H$3)*(Tabela1[[#This Row],[x]]-H$3) +(Tabela1[[#This Row],[y]]-H$4)*(Tabela1[[#This Row],[y]]-H$4)</f>
        <v>30145</v>
      </c>
      <c r="D2976" s="1">
        <f>IF(Tabela1[[#This Row],[promien]]&lt;40000,1,0)</f>
        <v>1</v>
      </c>
      <c r="E2976" s="1">
        <f>IF(Tabela1[[#This Row],[promien]]=40000,1,0)</f>
        <v>0</v>
      </c>
      <c r="F2976" s="1">
        <v>3.1733870967741935</v>
      </c>
      <c r="G2976" s="1">
        <v>3.1794443184400389E-2</v>
      </c>
    </row>
    <row r="2977" spans="1:7">
      <c r="A2977">
        <v>126</v>
      </c>
      <c r="B2977">
        <v>91</v>
      </c>
      <c r="C2977" s="1">
        <f>(Tabela1[[#This Row],[x]]-H$3)*(Tabela1[[#This Row],[x]]-H$3) +(Tabela1[[#This Row],[y]]-H$4)*(Tabela1[[#This Row],[y]]-H$4)</f>
        <v>17357</v>
      </c>
      <c r="D2977" s="1">
        <f>IF(Tabela1[[#This Row],[promien]]&lt;40000,1,0)</f>
        <v>1</v>
      </c>
      <c r="E2977" s="1">
        <f>IF(Tabela1[[#This Row],[promien]]=40000,1,0)</f>
        <v>0</v>
      </c>
      <c r="F2977" s="1">
        <v>3.1736647631844139</v>
      </c>
      <c r="G2977" s="1">
        <v>3.2072109594620812E-2</v>
      </c>
    </row>
    <row r="2978" spans="1:7">
      <c r="A2978">
        <v>7</v>
      </c>
      <c r="B2978">
        <v>230</v>
      </c>
      <c r="C2978" s="1">
        <f>(Tabela1[[#This Row],[x]]-H$3)*(Tabela1[[#This Row],[x]]-H$3) +(Tabela1[[#This Row],[y]]-H$4)*(Tabela1[[#This Row],[y]]-H$4)</f>
        <v>38149</v>
      </c>
      <c r="D2978" s="1">
        <f>IF(Tabela1[[#This Row],[promien]]&lt;40000,1,0)</f>
        <v>1</v>
      </c>
      <c r="E2978" s="1">
        <f>IF(Tabela1[[#This Row],[promien]]=40000,1,0)</f>
        <v>0</v>
      </c>
      <c r="F2978" s="1">
        <v>3.1739422431161852</v>
      </c>
      <c r="G2978" s="1">
        <v>3.2349589526392108E-2</v>
      </c>
    </row>
    <row r="2979" spans="1:7">
      <c r="A2979">
        <v>175</v>
      </c>
      <c r="B2979">
        <v>243</v>
      </c>
      <c r="C2979" s="1">
        <f>(Tabela1[[#This Row],[x]]-H$3)*(Tabela1[[#This Row],[x]]-H$3) +(Tabela1[[#This Row],[y]]-H$4)*(Tabela1[[#This Row],[y]]-H$4)</f>
        <v>2474</v>
      </c>
      <c r="D2979" s="1">
        <f>IF(Tabela1[[#This Row],[promien]]&lt;40000,1,0)</f>
        <v>1</v>
      </c>
      <c r="E2979" s="1">
        <f>IF(Tabela1[[#This Row],[promien]]=40000,1,0)</f>
        <v>0</v>
      </c>
      <c r="F2979" s="1">
        <v>3.1742195367573012</v>
      </c>
      <c r="G2979" s="1">
        <v>3.2626883167508058E-2</v>
      </c>
    </row>
    <row r="2980" spans="1:7">
      <c r="A2980">
        <v>323</v>
      </c>
      <c r="B2980">
        <v>41</v>
      </c>
      <c r="C2980" s="1">
        <f>(Tabela1[[#This Row],[x]]-H$3)*(Tabela1[[#This Row],[x]]-H$3) +(Tabela1[[#This Row],[y]]-H$4)*(Tabela1[[#This Row],[y]]-H$4)</f>
        <v>40410</v>
      </c>
      <c r="D2980" s="1">
        <f>IF(Tabela1[[#This Row],[promien]]&lt;40000,1,0)</f>
        <v>0</v>
      </c>
      <c r="E2980" s="1">
        <f>IF(Tabela1[[#This Row],[promien]]=40000,1,0)</f>
        <v>0</v>
      </c>
      <c r="F2980" s="1">
        <v>3.1731543624161076</v>
      </c>
      <c r="G2980" s="1">
        <v>3.1561708826314483E-2</v>
      </c>
    </row>
    <row r="2981" spans="1:7">
      <c r="A2981">
        <v>362</v>
      </c>
      <c r="B2981">
        <v>153</v>
      </c>
      <c r="C2981" s="1">
        <f>(Tabela1[[#This Row],[x]]-H$3)*(Tabela1[[#This Row],[x]]-H$3) +(Tabela1[[#This Row],[y]]-H$4)*(Tabela1[[#This Row],[y]]-H$4)</f>
        <v>28453</v>
      </c>
      <c r="D2981" s="1">
        <f>IF(Tabela1[[#This Row],[promien]]&lt;40000,1,0)</f>
        <v>1</v>
      </c>
      <c r="E2981" s="1">
        <f>IF(Tabela1[[#This Row],[promien]]=40000,1,0)</f>
        <v>0</v>
      </c>
      <c r="F2981" s="1">
        <v>3.1734317343173433</v>
      </c>
      <c r="G2981" s="1">
        <v>3.1839080727550151E-2</v>
      </c>
    </row>
    <row r="2982" spans="1:7">
      <c r="A2982">
        <v>298</v>
      </c>
      <c r="B2982">
        <v>69</v>
      </c>
      <c r="C2982" s="1">
        <f>(Tabela1[[#This Row],[x]]-H$3)*(Tabela1[[#This Row],[x]]-H$3) +(Tabela1[[#This Row],[y]]-H$4)*(Tabela1[[#This Row],[y]]-H$4)</f>
        <v>26765</v>
      </c>
      <c r="D2982" s="1">
        <f>IF(Tabela1[[#This Row],[promien]]&lt;40000,1,0)</f>
        <v>1</v>
      </c>
      <c r="E2982" s="1">
        <f>IF(Tabela1[[#This Row],[promien]]=40000,1,0)</f>
        <v>0</v>
      </c>
      <c r="F2982" s="1">
        <v>3.1737089201877935</v>
      </c>
      <c r="G2982" s="1">
        <v>3.2116266598000376E-2</v>
      </c>
    </row>
    <row r="2983" spans="1:7">
      <c r="A2983">
        <v>297</v>
      </c>
      <c r="B2983">
        <v>216</v>
      </c>
      <c r="C2983" s="1">
        <f>(Tabela1[[#This Row],[x]]-H$3)*(Tabela1[[#This Row],[x]]-H$3) +(Tabela1[[#This Row],[y]]-H$4)*(Tabela1[[#This Row],[y]]-H$4)</f>
        <v>9665</v>
      </c>
      <c r="D2983" s="1">
        <f>IF(Tabela1[[#This Row],[promien]]&lt;40000,1,0)</f>
        <v>1</v>
      </c>
      <c r="E2983" s="1">
        <f>IF(Tabela1[[#This Row],[promien]]=40000,1,0)</f>
        <v>0</v>
      </c>
      <c r="F2983" s="1">
        <v>3.1739859202145491</v>
      </c>
      <c r="G2983" s="1">
        <v>3.2393266624755945E-2</v>
      </c>
    </row>
    <row r="2984" spans="1:7">
      <c r="A2984">
        <v>391</v>
      </c>
      <c r="B2984">
        <v>343</v>
      </c>
      <c r="C2984" s="1">
        <f>(Tabela1[[#This Row],[x]]-H$3)*(Tabela1[[#This Row],[x]]-H$3) +(Tabela1[[#This Row],[y]]-H$4)*(Tabela1[[#This Row],[y]]-H$4)</f>
        <v>56930</v>
      </c>
      <c r="D2984" s="1">
        <f>IF(Tabela1[[#This Row],[promien]]&lt;40000,1,0)</f>
        <v>0</v>
      </c>
      <c r="E2984" s="1">
        <f>IF(Tabela1[[#This Row],[promien]]=40000,1,0)</f>
        <v>0</v>
      </c>
      <c r="F2984" s="1">
        <v>3.1729222520107236</v>
      </c>
      <c r="G2984" s="1">
        <v>3.1329598420930527E-2</v>
      </c>
    </row>
    <row r="2985" spans="1:7">
      <c r="A2985">
        <v>338</v>
      </c>
      <c r="B2985">
        <v>3</v>
      </c>
      <c r="C2985" s="1">
        <f>(Tabela1[[#This Row],[x]]-H$3)*(Tabela1[[#This Row],[x]]-H$3) +(Tabela1[[#This Row],[y]]-H$4)*(Tabela1[[#This Row],[y]]-H$4)</f>
        <v>57853</v>
      </c>
      <c r="D2985" s="1">
        <f>IF(Tabela1[[#This Row],[promien]]&lt;40000,1,0)</f>
        <v>0</v>
      </c>
      <c r="E2985" s="1">
        <f>IF(Tabela1[[#This Row],[promien]]=40000,1,0)</f>
        <v>0</v>
      </c>
      <c r="F2985" s="1">
        <v>3.1718592964824119</v>
      </c>
      <c r="G2985" s="1">
        <v>3.0266642892618822E-2</v>
      </c>
    </row>
    <row r="2986" spans="1:7">
      <c r="A2986">
        <v>138</v>
      </c>
      <c r="B2986">
        <v>122</v>
      </c>
      <c r="C2986" s="1">
        <f>(Tabela1[[#This Row],[x]]-H$3)*(Tabela1[[#This Row],[x]]-H$3) +(Tabela1[[#This Row],[y]]-H$4)*(Tabela1[[#This Row],[y]]-H$4)</f>
        <v>9928</v>
      </c>
      <c r="D2986" s="1">
        <f>IF(Tabela1[[#This Row],[promien]]&lt;40000,1,0)</f>
        <v>1</v>
      </c>
      <c r="E2986" s="1">
        <f>IF(Tabela1[[#This Row],[promien]]=40000,1,0)</f>
        <v>0</v>
      </c>
      <c r="F2986" s="1">
        <v>3.172136637642331</v>
      </c>
      <c r="G2986" s="1">
        <v>3.0543984052537887E-2</v>
      </c>
    </row>
    <row r="2987" spans="1:7">
      <c r="A2987">
        <v>385</v>
      </c>
      <c r="B2987">
        <v>380</v>
      </c>
      <c r="C2987" s="1">
        <f>(Tabela1[[#This Row],[x]]-H$3)*(Tabela1[[#This Row],[x]]-H$3) +(Tabela1[[#This Row],[y]]-H$4)*(Tabela1[[#This Row],[y]]-H$4)</f>
        <v>66625</v>
      </c>
      <c r="D2987" s="1">
        <f>IF(Tabela1[[#This Row],[promien]]&lt;40000,1,0)</f>
        <v>0</v>
      </c>
      <c r="E2987" s="1">
        <f>IF(Tabela1[[#This Row],[promien]]=40000,1,0)</f>
        <v>0</v>
      </c>
      <c r="F2987" s="1">
        <v>3.1710746568463342</v>
      </c>
      <c r="G2987" s="1">
        <v>2.9482003256541045E-2</v>
      </c>
    </row>
    <row r="2988" spans="1:7">
      <c r="A2988">
        <v>312</v>
      </c>
      <c r="B2988">
        <v>195</v>
      </c>
      <c r="C2988" s="1">
        <f>(Tabela1[[#This Row],[x]]-H$3)*(Tabela1[[#This Row],[x]]-H$3) +(Tabela1[[#This Row],[y]]-H$4)*(Tabela1[[#This Row],[y]]-H$4)</f>
        <v>12569</v>
      </c>
      <c r="D2988" s="1">
        <f>IF(Tabela1[[#This Row],[promien]]&lt;40000,1,0)</f>
        <v>1</v>
      </c>
      <c r="E2988" s="1">
        <f>IF(Tabela1[[#This Row],[promien]]=40000,1,0)</f>
        <v>0</v>
      </c>
      <c r="F2988" s="1">
        <v>3.1713520749665327</v>
      </c>
      <c r="G2988" s="1">
        <v>2.9759421376739592E-2</v>
      </c>
    </row>
    <row r="2989" spans="1:7">
      <c r="A2989">
        <v>180</v>
      </c>
      <c r="B2989">
        <v>96</v>
      </c>
      <c r="C2989" s="1">
        <f>(Tabela1[[#This Row],[x]]-H$3)*(Tabela1[[#This Row],[x]]-H$3) +(Tabela1[[#This Row],[y]]-H$4)*(Tabela1[[#This Row],[y]]-H$4)</f>
        <v>11216</v>
      </c>
      <c r="D2989" s="1">
        <f>IF(Tabela1[[#This Row],[promien]]&lt;40000,1,0)</f>
        <v>1</v>
      </c>
      <c r="E2989" s="1">
        <f>IF(Tabela1[[#This Row],[promien]]=40000,1,0)</f>
        <v>0</v>
      </c>
      <c r="F2989" s="1">
        <v>3.1716293074606892</v>
      </c>
      <c r="G2989" s="1">
        <v>3.0036653870896046E-2</v>
      </c>
    </row>
    <row r="2990" spans="1:7">
      <c r="A2990">
        <v>338</v>
      </c>
      <c r="B2990">
        <v>42</v>
      </c>
      <c r="C2990" s="1">
        <f>(Tabela1[[#This Row],[x]]-H$3)*(Tabela1[[#This Row],[x]]-H$3) +(Tabela1[[#This Row],[y]]-H$4)*(Tabela1[[#This Row],[y]]-H$4)</f>
        <v>44008</v>
      </c>
      <c r="D2990" s="1">
        <f>IF(Tabela1[[#This Row],[promien]]&lt;40000,1,0)</f>
        <v>0</v>
      </c>
      <c r="E2990" s="1">
        <f>IF(Tabela1[[#This Row],[promien]]=40000,1,0)</f>
        <v>0</v>
      </c>
      <c r="F2990" s="1">
        <v>3.1705685618729098</v>
      </c>
      <c r="G2990" s="1">
        <v>2.8975908283116691E-2</v>
      </c>
    </row>
    <row r="2991" spans="1:7">
      <c r="A2991">
        <v>362</v>
      </c>
      <c r="B2991">
        <v>199</v>
      </c>
      <c r="C2991" s="1">
        <f>(Tabela1[[#This Row],[x]]-H$3)*(Tabela1[[#This Row],[x]]-H$3) +(Tabela1[[#This Row],[y]]-H$4)*(Tabela1[[#This Row],[y]]-H$4)</f>
        <v>26245</v>
      </c>
      <c r="D2991" s="1">
        <f>IF(Tabela1[[#This Row],[promien]]&lt;40000,1,0)</f>
        <v>1</v>
      </c>
      <c r="E2991" s="1">
        <f>IF(Tabela1[[#This Row],[promien]]=40000,1,0)</f>
        <v>0</v>
      </c>
      <c r="F2991" s="1">
        <v>3.170845870946172</v>
      </c>
      <c r="G2991" s="1">
        <v>2.9253217356378869E-2</v>
      </c>
    </row>
    <row r="2992" spans="1:7">
      <c r="A2992">
        <v>110</v>
      </c>
      <c r="B2992">
        <v>258</v>
      </c>
      <c r="C2992" s="1">
        <f>(Tabela1[[#This Row],[x]]-H$3)*(Tabela1[[#This Row],[x]]-H$3) +(Tabela1[[#This Row],[y]]-H$4)*(Tabela1[[#This Row],[y]]-H$4)</f>
        <v>11464</v>
      </c>
      <c r="D2992" s="1">
        <f>IF(Tabela1[[#This Row],[promien]]&lt;40000,1,0)</f>
        <v>1</v>
      </c>
      <c r="E2992" s="1">
        <f>IF(Tabela1[[#This Row],[promien]]=40000,1,0)</f>
        <v>0</v>
      </c>
      <c r="F2992" s="1">
        <v>3.1711229946524062</v>
      </c>
      <c r="G2992" s="1">
        <v>2.9530341062613097E-2</v>
      </c>
    </row>
    <row r="2993" spans="1:7">
      <c r="A2993">
        <v>9</v>
      </c>
      <c r="B2993">
        <v>368</v>
      </c>
      <c r="C2993" s="1">
        <f>(Tabela1[[#This Row],[x]]-H$3)*(Tabela1[[#This Row],[x]]-H$3) +(Tabela1[[#This Row],[y]]-H$4)*(Tabela1[[#This Row],[y]]-H$4)</f>
        <v>64705</v>
      </c>
      <c r="D2993" s="1">
        <f>IF(Tabela1[[#This Row],[promien]]&lt;40000,1,0)</f>
        <v>0</v>
      </c>
      <c r="E2993" s="1">
        <f>IF(Tabela1[[#This Row],[promien]]=40000,1,0)</f>
        <v>0</v>
      </c>
      <c r="F2993" s="1">
        <v>3.1700634814567326</v>
      </c>
      <c r="G2993" s="1">
        <v>2.8470827866939441E-2</v>
      </c>
    </row>
    <row r="2994" spans="1:7">
      <c r="A2994">
        <v>291</v>
      </c>
      <c r="B2994">
        <v>171</v>
      </c>
      <c r="C2994" s="1">
        <f>(Tabela1[[#This Row],[x]]-H$3)*(Tabela1[[#This Row],[x]]-H$3) +(Tabela1[[#This Row],[y]]-H$4)*(Tabela1[[#This Row],[y]]-H$4)</f>
        <v>9122</v>
      </c>
      <c r="D2994" s="1">
        <f>IF(Tabela1[[#This Row],[promien]]&lt;40000,1,0)</f>
        <v>1</v>
      </c>
      <c r="E2994" s="1">
        <f>IF(Tabela1[[#This Row],[promien]]=40000,1,0)</f>
        <v>0</v>
      </c>
      <c r="F2994" s="1">
        <v>3.1703406813627253</v>
      </c>
      <c r="G2994" s="1">
        <v>2.8748027772932172E-2</v>
      </c>
    </row>
    <row r="2995" spans="1:7">
      <c r="A2995">
        <v>362</v>
      </c>
      <c r="B2995">
        <v>158</v>
      </c>
      <c r="C2995" s="1">
        <f>(Tabela1[[#This Row],[x]]-H$3)*(Tabela1[[#This Row],[x]]-H$3) +(Tabela1[[#This Row],[y]]-H$4)*(Tabela1[[#This Row],[y]]-H$4)</f>
        <v>28008</v>
      </c>
      <c r="D2995" s="1">
        <f>IF(Tabela1[[#This Row],[promien]]&lt;40000,1,0)</f>
        <v>1</v>
      </c>
      <c r="E2995" s="1">
        <f>IF(Tabela1[[#This Row],[promien]]=40000,1,0)</f>
        <v>0</v>
      </c>
      <c r="F2995" s="1">
        <v>3.1706176961602672</v>
      </c>
      <c r="G2995" s="1">
        <v>2.9025042570474113E-2</v>
      </c>
    </row>
    <row r="2996" spans="1:7">
      <c r="A2996">
        <v>391</v>
      </c>
      <c r="B2996">
        <v>208</v>
      </c>
      <c r="C2996" s="1">
        <f>(Tabela1[[#This Row],[x]]-H$3)*(Tabela1[[#This Row],[x]]-H$3) +(Tabela1[[#This Row],[y]]-H$4)*(Tabela1[[#This Row],[y]]-H$4)</f>
        <v>36545</v>
      </c>
      <c r="D2996" s="1">
        <f>IF(Tabela1[[#This Row],[promien]]&lt;40000,1,0)</f>
        <v>1</v>
      </c>
      <c r="E2996" s="1">
        <f>IF(Tabela1[[#This Row],[promien]]=40000,1,0)</f>
        <v>0</v>
      </c>
      <c r="F2996" s="1">
        <v>3.1708945260347128</v>
      </c>
      <c r="G2996" s="1">
        <v>2.9301872444919663E-2</v>
      </c>
    </row>
    <row r="2997" spans="1:7">
      <c r="A2997">
        <v>2</v>
      </c>
      <c r="B2997">
        <v>25</v>
      </c>
      <c r="C2997" s="1">
        <f>(Tabela1[[#This Row],[x]]-H$3)*(Tabela1[[#This Row],[x]]-H$3) +(Tabela1[[#This Row],[y]]-H$4)*(Tabela1[[#This Row],[y]]-H$4)</f>
        <v>69829</v>
      </c>
      <c r="D2997" s="1">
        <f>IF(Tabela1[[#This Row],[promien]]&lt;40000,1,0)</f>
        <v>0</v>
      </c>
      <c r="E2997" s="1">
        <f>IF(Tabela1[[#This Row],[promien]]=40000,1,0)</f>
        <v>0</v>
      </c>
      <c r="F2997" s="1">
        <v>3.1698365031698366</v>
      </c>
      <c r="G2997" s="1">
        <v>2.8243849580043445E-2</v>
      </c>
    </row>
    <row r="2998" spans="1:7">
      <c r="A2998">
        <v>146</v>
      </c>
      <c r="B2998">
        <v>183</v>
      </c>
      <c r="C2998" s="1">
        <f>(Tabela1[[#This Row],[x]]-H$3)*(Tabela1[[#This Row],[x]]-H$3) +(Tabela1[[#This Row],[y]]-H$4)*(Tabela1[[#This Row],[y]]-H$4)</f>
        <v>3205</v>
      </c>
      <c r="D2998" s="1">
        <f>IF(Tabela1[[#This Row],[promien]]&lt;40000,1,0)</f>
        <v>1</v>
      </c>
      <c r="E2998" s="1">
        <f>IF(Tabela1[[#This Row],[promien]]=40000,1,0)</f>
        <v>0</v>
      </c>
      <c r="F2998" s="1">
        <v>3.1701134089392928</v>
      </c>
      <c r="G2998" s="1">
        <v>2.8520755349499716E-2</v>
      </c>
    </row>
    <row r="2999" spans="1:7">
      <c r="A2999">
        <v>32</v>
      </c>
      <c r="B2999">
        <v>334</v>
      </c>
      <c r="C2999" s="1">
        <f>(Tabela1[[#This Row],[x]]-H$3)*(Tabela1[[#This Row],[x]]-H$3) +(Tabela1[[#This Row],[y]]-H$4)*(Tabela1[[#This Row],[y]]-H$4)</f>
        <v>46180</v>
      </c>
      <c r="D2999" s="1">
        <f>IF(Tabela1[[#This Row],[promien]]&lt;40000,1,0)</f>
        <v>0</v>
      </c>
      <c r="E2999" s="1">
        <f>IF(Tabela1[[#This Row],[promien]]=40000,1,0)</f>
        <v>0</v>
      </c>
      <c r="F2999" s="1">
        <v>3.1690563521173725</v>
      </c>
      <c r="G2999" s="1">
        <v>2.746369852757935E-2</v>
      </c>
    </row>
    <row r="3000" spans="1:7">
      <c r="A3000">
        <v>226</v>
      </c>
      <c r="B3000">
        <v>146</v>
      </c>
      <c r="C3000" s="1">
        <f>(Tabela1[[#This Row],[x]]-H$3)*(Tabela1[[#This Row],[x]]-H$3) +(Tabela1[[#This Row],[y]]-H$4)*(Tabela1[[#This Row],[y]]-H$4)</f>
        <v>3592</v>
      </c>
      <c r="D3000" s="1">
        <f>IF(Tabela1[[#This Row],[promien]]&lt;40000,1,0)</f>
        <v>1</v>
      </c>
      <c r="E3000" s="1">
        <f>IF(Tabela1[[#This Row],[promien]]=40000,1,0)</f>
        <v>0</v>
      </c>
      <c r="F3000" s="1">
        <v>3.1693333333333333</v>
      </c>
      <c r="G3000" s="1">
        <v>2.774067974354022E-2</v>
      </c>
    </row>
    <row r="3001" spans="1:7">
      <c r="A3001">
        <v>190</v>
      </c>
      <c r="B3001">
        <v>82</v>
      </c>
      <c r="C3001" s="1">
        <f>(Tabela1[[#This Row],[x]]-H$3)*(Tabela1[[#This Row],[x]]-H$3) +(Tabela1[[#This Row],[y]]-H$4)*(Tabela1[[#This Row],[y]]-H$4)</f>
        <v>14024</v>
      </c>
      <c r="D3001" s="1">
        <f>IF(Tabela1[[#This Row],[promien]]&lt;40000,1,0)</f>
        <v>1</v>
      </c>
      <c r="E3001" s="1">
        <f>IF(Tabela1[[#This Row],[promien]]=40000,1,0)</f>
        <v>0</v>
      </c>
      <c r="F3001" s="1">
        <v>3.169610129956681</v>
      </c>
      <c r="G3001" s="1">
        <v>2.8017476366887895E-2</v>
      </c>
    </row>
    <row r="3002" spans="1:7">
      <c r="A3002">
        <v>213</v>
      </c>
      <c r="B3002">
        <v>110</v>
      </c>
      <c r="C3002" s="1">
        <f>(Tabela1[[#This Row],[x]]-H$3)*(Tabela1[[#This Row],[x]]-H$3) +(Tabela1[[#This Row],[y]]-H$4)*(Tabela1[[#This Row],[y]]-H$4)</f>
        <v>8269</v>
      </c>
      <c r="D3002" s="1">
        <f>IF(Tabela1[[#This Row],[promien]]&lt;40000,1,0)</f>
        <v>1</v>
      </c>
      <c r="E3002" s="1">
        <f>IF(Tabela1[[#This Row],[promien]]=40000,1,0)</f>
        <v>0</v>
      </c>
      <c r="F3002" s="1">
        <v>3.1698867421718853</v>
      </c>
      <c r="G3002" s="1">
        <v>2.8294088582092147E-2</v>
      </c>
    </row>
    <row r="3003" spans="1:7">
      <c r="A3003">
        <v>239</v>
      </c>
      <c r="B3003">
        <v>157</v>
      </c>
      <c r="C3003" s="1">
        <f>(Tabela1[[#This Row],[x]]-H$3)*(Tabela1[[#This Row],[x]]-H$3) +(Tabela1[[#This Row],[y]]-H$4)*(Tabela1[[#This Row],[y]]-H$4)</f>
        <v>3370</v>
      </c>
      <c r="D3003" s="1">
        <f>IF(Tabela1[[#This Row],[promien]]&lt;40000,1,0)</f>
        <v>1</v>
      </c>
      <c r="E3003" s="1">
        <f>IF(Tabela1[[#This Row],[promien]]=40000,1,0)</f>
        <v>0</v>
      </c>
      <c r="F3003" s="1">
        <v>3.1701631701631703</v>
      </c>
      <c r="G3003" s="1">
        <v>2.8570516573377169E-2</v>
      </c>
    </row>
    <row r="3004" spans="1:7">
      <c r="A3004">
        <v>138</v>
      </c>
      <c r="B3004">
        <v>1</v>
      </c>
      <c r="C3004" s="1">
        <f>(Tabela1[[#This Row],[x]]-H$3)*(Tabela1[[#This Row],[x]]-H$3) +(Tabela1[[#This Row],[y]]-H$4)*(Tabela1[[#This Row],[y]]-H$4)</f>
        <v>43445</v>
      </c>
      <c r="D3004" s="1">
        <f>IF(Tabela1[[#This Row],[promien]]&lt;40000,1,0)</f>
        <v>0</v>
      </c>
      <c r="E3004" s="1">
        <f>IF(Tabela1[[#This Row],[promien]]=40000,1,0)</f>
        <v>0</v>
      </c>
      <c r="F3004" s="1">
        <v>3.1691078561917445</v>
      </c>
      <c r="G3004" s="1">
        <v>2.7515202601951394E-2</v>
      </c>
    </row>
    <row r="3005" spans="1:7">
      <c r="A3005">
        <v>185</v>
      </c>
      <c r="B3005">
        <v>273</v>
      </c>
      <c r="C3005" s="1">
        <f>(Tabela1[[#This Row],[x]]-H$3)*(Tabela1[[#This Row],[x]]-H$3) +(Tabela1[[#This Row],[y]]-H$4)*(Tabela1[[#This Row],[y]]-H$4)</f>
        <v>5554</v>
      </c>
      <c r="D3005" s="1">
        <f>IF(Tabela1[[#This Row],[promien]]&lt;40000,1,0)</f>
        <v>1</v>
      </c>
      <c r="E3005" s="1">
        <f>IF(Tabela1[[#This Row],[promien]]=40000,1,0)</f>
        <v>0</v>
      </c>
      <c r="F3005" s="1">
        <v>3.1693843594009983</v>
      </c>
      <c r="G3005" s="1">
        <v>2.7791705811205158E-2</v>
      </c>
    </row>
    <row r="3006" spans="1:7">
      <c r="A3006">
        <v>45</v>
      </c>
      <c r="B3006">
        <v>325</v>
      </c>
      <c r="C3006" s="1">
        <f>(Tabela1[[#This Row],[x]]-H$3)*(Tabela1[[#This Row],[x]]-H$3) +(Tabela1[[#This Row],[y]]-H$4)*(Tabela1[[#This Row],[y]]-H$4)</f>
        <v>39650</v>
      </c>
      <c r="D3006" s="1">
        <f>IF(Tabela1[[#This Row],[promien]]&lt;40000,1,0)</f>
        <v>1</v>
      </c>
      <c r="E3006" s="1">
        <f>IF(Tabela1[[#This Row],[promien]]=40000,1,0)</f>
        <v>0</v>
      </c>
      <c r="F3006" s="1">
        <v>3.1696606786427144</v>
      </c>
      <c r="G3006" s="1">
        <v>2.8068025052921275E-2</v>
      </c>
    </row>
    <row r="3007" spans="1:7">
      <c r="A3007">
        <v>98</v>
      </c>
      <c r="B3007">
        <v>168</v>
      </c>
      <c r="C3007" s="1">
        <f>(Tabela1[[#This Row],[x]]-H$3)*(Tabela1[[#This Row],[x]]-H$3) +(Tabela1[[#This Row],[y]]-H$4)*(Tabela1[[#This Row],[y]]-H$4)</f>
        <v>11428</v>
      </c>
      <c r="D3007" s="1">
        <f>IF(Tabela1[[#This Row],[promien]]&lt;40000,1,0)</f>
        <v>1</v>
      </c>
      <c r="E3007" s="1">
        <f>IF(Tabela1[[#This Row],[promien]]=40000,1,0)</f>
        <v>0</v>
      </c>
      <c r="F3007" s="1">
        <v>3.1699368141004323</v>
      </c>
      <c r="G3007" s="1">
        <v>2.8344160510639149E-2</v>
      </c>
    </row>
    <row r="3008" spans="1:7">
      <c r="A3008">
        <v>157</v>
      </c>
      <c r="B3008">
        <v>214</v>
      </c>
      <c r="C3008" s="1">
        <f>(Tabela1[[#This Row],[x]]-H$3)*(Tabela1[[#This Row],[x]]-H$3) +(Tabela1[[#This Row],[y]]-H$4)*(Tabela1[[#This Row],[y]]-H$4)</f>
        <v>2045</v>
      </c>
      <c r="D3008" s="1">
        <f>IF(Tabela1[[#This Row],[promien]]&lt;40000,1,0)</f>
        <v>1</v>
      </c>
      <c r="E3008" s="1">
        <f>IF(Tabela1[[#This Row],[promien]]=40000,1,0)</f>
        <v>0</v>
      </c>
      <c r="F3008" s="1">
        <v>3.1702127659574466</v>
      </c>
      <c r="G3008" s="1">
        <v>2.8620112367653494E-2</v>
      </c>
    </row>
    <row r="3009" spans="1:7">
      <c r="A3009">
        <v>225</v>
      </c>
      <c r="B3009">
        <v>192</v>
      </c>
      <c r="C3009" s="1">
        <f>(Tabela1[[#This Row],[x]]-H$3)*(Tabela1[[#This Row],[x]]-H$3) +(Tabela1[[#This Row],[y]]-H$4)*(Tabela1[[#This Row],[y]]-H$4)</f>
        <v>689</v>
      </c>
      <c r="D3009" s="1">
        <f>IF(Tabela1[[#This Row],[promien]]&lt;40000,1,0)</f>
        <v>1</v>
      </c>
      <c r="E3009" s="1">
        <f>IF(Tabela1[[#This Row],[promien]]=40000,1,0)</f>
        <v>0</v>
      </c>
      <c r="F3009" s="1">
        <v>3.1704885343968097</v>
      </c>
      <c r="G3009" s="1">
        <v>2.889588080701655E-2</v>
      </c>
    </row>
    <row r="3010" spans="1:7">
      <c r="A3010">
        <v>266</v>
      </c>
      <c r="B3010">
        <v>230</v>
      </c>
      <c r="C3010" s="1">
        <f>(Tabela1[[#This Row],[x]]-H$3)*(Tabela1[[#This Row],[x]]-H$3) +(Tabela1[[#This Row],[y]]-H$4)*(Tabela1[[#This Row],[y]]-H$4)</f>
        <v>5256</v>
      </c>
      <c r="D3010" s="1">
        <f>IF(Tabela1[[#This Row],[promien]]&lt;40000,1,0)</f>
        <v>1</v>
      </c>
      <c r="E3010" s="1">
        <f>IF(Tabela1[[#This Row],[promien]]=40000,1,0)</f>
        <v>0</v>
      </c>
      <c r="F3010" s="1">
        <v>3.170764119601329</v>
      </c>
      <c r="G3010" s="1">
        <v>2.9171466011535863E-2</v>
      </c>
    </row>
    <row r="3011" spans="1:7">
      <c r="A3011">
        <v>372</v>
      </c>
      <c r="B3011">
        <v>217</v>
      </c>
      <c r="C3011" s="1">
        <f>(Tabela1[[#This Row],[x]]-H$3)*(Tabela1[[#This Row],[x]]-H$3) +(Tabela1[[#This Row],[y]]-H$4)*(Tabela1[[#This Row],[y]]-H$4)</f>
        <v>29873</v>
      </c>
      <c r="D3011" s="1">
        <f>IF(Tabela1[[#This Row],[promien]]&lt;40000,1,0)</f>
        <v>1</v>
      </c>
      <c r="E3011" s="1">
        <f>IF(Tabela1[[#This Row],[promien]]=40000,1,0)</f>
        <v>0</v>
      </c>
      <c r="F3011" s="1">
        <v>3.1710395217535701</v>
      </c>
      <c r="G3011" s="1">
        <v>2.9446868163776951E-2</v>
      </c>
    </row>
    <row r="3012" spans="1:7">
      <c r="A3012">
        <v>398</v>
      </c>
      <c r="B3012">
        <v>137</v>
      </c>
      <c r="C3012" s="1">
        <f>(Tabela1[[#This Row],[x]]-H$3)*(Tabela1[[#This Row],[x]]-H$3) +(Tabela1[[#This Row],[y]]-H$4)*(Tabela1[[#This Row],[y]]-H$4)</f>
        <v>43173</v>
      </c>
      <c r="D3012" s="1">
        <f>IF(Tabela1[[#This Row],[promien]]&lt;40000,1,0)</f>
        <v>0</v>
      </c>
      <c r="E3012" s="1">
        <f>IF(Tabela1[[#This Row],[promien]]=40000,1,0)</f>
        <v>0</v>
      </c>
      <c r="F3012" s="1">
        <v>3.1699867197875164</v>
      </c>
      <c r="G3012" s="1">
        <v>2.8394066197723333E-2</v>
      </c>
    </row>
    <row r="3013" spans="1:7">
      <c r="A3013">
        <v>368</v>
      </c>
      <c r="B3013">
        <v>289</v>
      </c>
      <c r="C3013" s="1">
        <f>(Tabela1[[#This Row],[x]]-H$3)*(Tabela1[[#This Row],[x]]-H$3) +(Tabela1[[#This Row],[y]]-H$4)*(Tabela1[[#This Row],[y]]-H$4)</f>
        <v>36145</v>
      </c>
      <c r="D3013" s="1">
        <f>IF(Tabela1[[#This Row],[promien]]&lt;40000,1,0)</f>
        <v>1</v>
      </c>
      <c r="E3013" s="1">
        <f>IF(Tabela1[[#This Row],[promien]]=40000,1,0)</f>
        <v>0</v>
      </c>
      <c r="F3013" s="1">
        <v>3.1702621971457021</v>
      </c>
      <c r="G3013" s="1">
        <v>2.8669543555909005E-2</v>
      </c>
    </row>
    <row r="3014" spans="1:7">
      <c r="A3014">
        <v>121</v>
      </c>
      <c r="B3014">
        <v>18</v>
      </c>
      <c r="C3014" s="1">
        <f>(Tabela1[[#This Row],[x]]-H$3)*(Tabela1[[#This Row],[x]]-H$3) +(Tabela1[[#This Row],[y]]-H$4)*(Tabela1[[#This Row],[y]]-H$4)</f>
        <v>39365</v>
      </c>
      <c r="D3014" s="1">
        <f>IF(Tabela1[[#This Row],[promien]]&lt;40000,1,0)</f>
        <v>1</v>
      </c>
      <c r="E3014" s="1">
        <f>IF(Tabela1[[#This Row],[promien]]=40000,1,0)</f>
        <v>0</v>
      </c>
      <c r="F3014" s="1">
        <v>3.170537491705375</v>
      </c>
      <c r="G3014" s="1">
        <v>2.8944838115581906E-2</v>
      </c>
    </row>
    <row r="3015" spans="1:7">
      <c r="A3015">
        <v>65</v>
      </c>
      <c r="B3015">
        <v>350</v>
      </c>
      <c r="C3015" s="1">
        <f>(Tabela1[[#This Row],[x]]-H$3)*(Tabela1[[#This Row],[x]]-H$3) +(Tabela1[[#This Row],[y]]-H$4)*(Tabela1[[#This Row],[y]]-H$4)</f>
        <v>40725</v>
      </c>
      <c r="D3015" s="1">
        <f>IF(Tabela1[[#This Row],[promien]]&lt;40000,1,0)</f>
        <v>0</v>
      </c>
      <c r="E3015" s="1">
        <f>IF(Tabela1[[#This Row],[promien]]=40000,1,0)</f>
        <v>0</v>
      </c>
      <c r="F3015" s="1">
        <v>3.169485903814262</v>
      </c>
      <c r="G3015" s="1">
        <v>2.7893250224468868E-2</v>
      </c>
    </row>
    <row r="3016" spans="1:7">
      <c r="A3016">
        <v>391</v>
      </c>
      <c r="B3016">
        <v>267</v>
      </c>
      <c r="C3016" s="1">
        <f>(Tabela1[[#This Row],[x]]-H$3)*(Tabela1[[#This Row],[x]]-H$3) +(Tabela1[[#This Row],[y]]-H$4)*(Tabela1[[#This Row],[y]]-H$4)</f>
        <v>40970</v>
      </c>
      <c r="D3016" s="1">
        <f>IF(Tabela1[[#This Row],[promien]]&lt;40000,1,0)</f>
        <v>0</v>
      </c>
      <c r="E3016" s="1">
        <f>IF(Tabela1[[#This Row],[promien]]=40000,1,0)</f>
        <v>0</v>
      </c>
      <c r="F3016" s="1">
        <v>3.1684350132625996</v>
      </c>
      <c r="G3016" s="1">
        <v>2.684235967280646E-2</v>
      </c>
    </row>
    <row r="3017" spans="1:7">
      <c r="A3017">
        <v>257</v>
      </c>
      <c r="B3017">
        <v>348</v>
      </c>
      <c r="C3017" s="1">
        <f>(Tabela1[[#This Row],[x]]-H$3)*(Tabela1[[#This Row],[x]]-H$3) +(Tabela1[[#This Row],[y]]-H$4)*(Tabela1[[#This Row],[y]]-H$4)</f>
        <v>25153</v>
      </c>
      <c r="D3017" s="1">
        <f>IF(Tabela1[[#This Row],[promien]]&lt;40000,1,0)</f>
        <v>1</v>
      </c>
      <c r="E3017" s="1">
        <f>IF(Tabela1[[#This Row],[promien]]=40000,1,0)</f>
        <v>0</v>
      </c>
      <c r="F3017" s="1">
        <v>3.1687106397083196</v>
      </c>
      <c r="G3017" s="1">
        <v>2.7117986118526449E-2</v>
      </c>
    </row>
    <row r="3018" spans="1:7">
      <c r="A3018">
        <v>335</v>
      </c>
      <c r="B3018">
        <v>159</v>
      </c>
      <c r="C3018" s="1">
        <f>(Tabela1[[#This Row],[x]]-H$3)*(Tabela1[[#This Row],[x]]-H$3) +(Tabela1[[#This Row],[y]]-H$4)*(Tabela1[[#This Row],[y]]-H$4)</f>
        <v>19906</v>
      </c>
      <c r="D3018" s="1">
        <f>IF(Tabela1[[#This Row],[promien]]&lt;40000,1,0)</f>
        <v>1</v>
      </c>
      <c r="E3018" s="1">
        <f>IF(Tabela1[[#This Row],[promien]]=40000,1,0)</f>
        <v>0</v>
      </c>
      <c r="F3018" s="1">
        <v>3.1689860834990058</v>
      </c>
      <c r="G3018" s="1">
        <v>2.7393429909212674E-2</v>
      </c>
    </row>
    <row r="3019" spans="1:7">
      <c r="A3019">
        <v>296</v>
      </c>
      <c r="B3019">
        <v>264</v>
      </c>
      <c r="C3019" s="1">
        <f>(Tabela1[[#This Row],[x]]-H$3)*(Tabela1[[#This Row],[x]]-H$3) +(Tabela1[[#This Row],[y]]-H$4)*(Tabela1[[#This Row],[y]]-H$4)</f>
        <v>13312</v>
      </c>
      <c r="D3019" s="1">
        <f>IF(Tabela1[[#This Row],[promien]]&lt;40000,1,0)</f>
        <v>1</v>
      </c>
      <c r="E3019" s="1">
        <f>IF(Tabela1[[#This Row],[promien]]=40000,1,0)</f>
        <v>0</v>
      </c>
      <c r="F3019" s="1">
        <v>3.1692613448161642</v>
      </c>
      <c r="G3019" s="1">
        <v>2.7668691226371056E-2</v>
      </c>
    </row>
    <row r="3020" spans="1:7">
      <c r="A3020">
        <v>116</v>
      </c>
      <c r="B3020">
        <v>101</v>
      </c>
      <c r="C3020" s="1">
        <f>(Tabela1[[#This Row],[x]]-H$3)*(Tabela1[[#This Row],[x]]-H$3) +(Tabela1[[#This Row],[y]]-H$4)*(Tabela1[[#This Row],[y]]-H$4)</f>
        <v>16857</v>
      </c>
      <c r="D3020" s="1">
        <f>IF(Tabela1[[#This Row],[promien]]&lt;40000,1,0)</f>
        <v>1</v>
      </c>
      <c r="E3020" s="1">
        <f>IF(Tabela1[[#This Row],[promien]]=40000,1,0)</f>
        <v>0</v>
      </c>
      <c r="F3020" s="1">
        <v>3.1695364238410595</v>
      </c>
      <c r="G3020" s="1">
        <v>2.7943770251266375E-2</v>
      </c>
    </row>
    <row r="3021" spans="1:7">
      <c r="A3021">
        <v>152</v>
      </c>
      <c r="B3021">
        <v>347</v>
      </c>
      <c r="C3021" s="1">
        <f>(Tabela1[[#This Row],[x]]-H$3)*(Tabela1[[#This Row],[x]]-H$3) +(Tabela1[[#This Row],[y]]-H$4)*(Tabela1[[#This Row],[y]]-H$4)</f>
        <v>23913</v>
      </c>
      <c r="D3021" s="1">
        <f>IF(Tabela1[[#This Row],[promien]]&lt;40000,1,0)</f>
        <v>1</v>
      </c>
      <c r="E3021" s="1">
        <f>IF(Tabela1[[#This Row],[promien]]=40000,1,0)</f>
        <v>0</v>
      </c>
      <c r="F3021" s="1">
        <v>3.1698113207547172</v>
      </c>
      <c r="G3021" s="1">
        <v>2.8218667164924049E-2</v>
      </c>
    </row>
    <row r="3022" spans="1:7">
      <c r="A3022">
        <v>329</v>
      </c>
      <c r="B3022">
        <v>167</v>
      </c>
      <c r="C3022" s="1">
        <f>(Tabela1[[#This Row],[x]]-H$3)*(Tabela1[[#This Row],[x]]-H$3) +(Tabela1[[#This Row],[y]]-H$4)*(Tabela1[[#This Row],[y]]-H$4)</f>
        <v>17730</v>
      </c>
      <c r="D3022" s="1">
        <f>IF(Tabela1[[#This Row],[promien]]&lt;40000,1,0)</f>
        <v>1</v>
      </c>
      <c r="E3022" s="1">
        <f>IF(Tabela1[[#This Row],[promien]]=40000,1,0)</f>
        <v>0</v>
      </c>
      <c r="F3022" s="1">
        <v>3.1700860357379219</v>
      </c>
      <c r="G3022" s="1">
        <v>2.8493382148128799E-2</v>
      </c>
    </row>
    <row r="3023" spans="1:7">
      <c r="A3023">
        <v>157</v>
      </c>
      <c r="B3023">
        <v>293</v>
      </c>
      <c r="C3023" s="1">
        <f>(Tabela1[[#This Row],[x]]-H$3)*(Tabela1[[#This Row],[x]]-H$3) +(Tabela1[[#This Row],[y]]-H$4)*(Tabela1[[#This Row],[y]]-H$4)</f>
        <v>10498</v>
      </c>
      <c r="D3023" s="1">
        <f>IF(Tabela1[[#This Row],[promien]]&lt;40000,1,0)</f>
        <v>1</v>
      </c>
      <c r="E3023" s="1">
        <f>IF(Tabela1[[#This Row],[promien]]=40000,1,0)</f>
        <v>0</v>
      </c>
      <c r="F3023" s="1">
        <v>3.1703605689712204</v>
      </c>
      <c r="G3023" s="1">
        <v>2.8767915381427311E-2</v>
      </c>
    </row>
    <row r="3024" spans="1:7">
      <c r="A3024">
        <v>280</v>
      </c>
      <c r="B3024">
        <v>136</v>
      </c>
      <c r="C3024" s="1">
        <f>(Tabela1[[#This Row],[x]]-H$3)*(Tabela1[[#This Row],[x]]-H$3) +(Tabela1[[#This Row],[y]]-H$4)*(Tabela1[[#This Row],[y]]-H$4)</f>
        <v>10496</v>
      </c>
      <c r="D3024" s="1">
        <f>IF(Tabela1[[#This Row],[promien]]&lt;40000,1,0)</f>
        <v>1</v>
      </c>
      <c r="E3024" s="1">
        <f>IF(Tabela1[[#This Row],[promien]]=40000,1,0)</f>
        <v>0</v>
      </c>
      <c r="F3024" s="1">
        <v>3.1706349206349205</v>
      </c>
      <c r="G3024" s="1">
        <v>2.9042267045127357E-2</v>
      </c>
    </row>
    <row r="3025" spans="1:7">
      <c r="A3025">
        <v>204</v>
      </c>
      <c r="B3025">
        <v>205</v>
      </c>
      <c r="C3025" s="1">
        <f>(Tabela1[[#This Row],[x]]-H$3)*(Tabela1[[#This Row],[x]]-H$3) +(Tabela1[[#This Row],[y]]-H$4)*(Tabela1[[#This Row],[y]]-H$4)</f>
        <v>41</v>
      </c>
      <c r="D3025" s="1">
        <f>IF(Tabela1[[#This Row],[promien]]&lt;40000,1,0)</f>
        <v>1</v>
      </c>
      <c r="E3025" s="1">
        <f>IF(Tabela1[[#This Row],[promien]]=40000,1,0)</f>
        <v>0</v>
      </c>
      <c r="F3025" s="1">
        <v>3.1709090909090909</v>
      </c>
      <c r="G3025" s="1">
        <v>2.9316437319297783E-2</v>
      </c>
    </row>
    <row r="3026" spans="1:7">
      <c r="A3026">
        <v>354</v>
      </c>
      <c r="B3026">
        <v>6</v>
      </c>
      <c r="C3026" s="1">
        <f>(Tabela1[[#This Row],[x]]-H$3)*(Tabela1[[#This Row],[x]]-H$3) +(Tabela1[[#This Row],[y]]-H$4)*(Tabela1[[#This Row],[y]]-H$4)</f>
        <v>61352</v>
      </c>
      <c r="D3026" s="1">
        <f>IF(Tabela1[[#This Row],[promien]]&lt;40000,1,0)</f>
        <v>0</v>
      </c>
      <c r="E3026" s="1">
        <f>IF(Tabela1[[#This Row],[promien]]=40000,1,0)</f>
        <v>0</v>
      </c>
      <c r="F3026" s="1">
        <v>3.1698612029081294</v>
      </c>
      <c r="G3026" s="1">
        <v>2.8268549318336333E-2</v>
      </c>
    </row>
    <row r="3027" spans="1:7">
      <c r="A3027">
        <v>248</v>
      </c>
      <c r="B3027">
        <v>157</v>
      </c>
      <c r="C3027" s="1">
        <f>(Tabela1[[#This Row],[x]]-H$3)*(Tabela1[[#This Row],[x]]-H$3) +(Tabela1[[#This Row],[y]]-H$4)*(Tabela1[[#This Row],[y]]-H$4)</f>
        <v>4153</v>
      </c>
      <c r="D3027" s="1">
        <f>IF(Tabela1[[#This Row],[promien]]&lt;40000,1,0)</f>
        <v>1</v>
      </c>
      <c r="E3027" s="1">
        <f>IF(Tabela1[[#This Row],[promien]]=40000,1,0)</f>
        <v>0</v>
      </c>
      <c r="F3027" s="1">
        <v>3.1701354476379255</v>
      </c>
      <c r="G3027" s="1">
        <v>2.8542794048132425E-2</v>
      </c>
    </row>
    <row r="3028" spans="1:7">
      <c r="A3028">
        <v>316</v>
      </c>
      <c r="B3028">
        <v>119</v>
      </c>
      <c r="C3028" s="1">
        <f>(Tabela1[[#This Row],[x]]-H$3)*(Tabela1[[#This Row],[x]]-H$3) +(Tabela1[[#This Row],[y]]-H$4)*(Tabela1[[#This Row],[y]]-H$4)</f>
        <v>20017</v>
      </c>
      <c r="D3028" s="1">
        <f>IF(Tabela1[[#This Row],[promien]]&lt;40000,1,0)</f>
        <v>1</v>
      </c>
      <c r="E3028" s="1">
        <f>IF(Tabela1[[#This Row],[promien]]=40000,1,0)</f>
        <v>0</v>
      </c>
      <c r="F3028" s="1">
        <v>3.1704095112285335</v>
      </c>
      <c r="G3028" s="1">
        <v>2.8816857638740423E-2</v>
      </c>
    </row>
    <row r="3029" spans="1:7">
      <c r="A3029">
        <v>224</v>
      </c>
      <c r="B3029">
        <v>190</v>
      </c>
      <c r="C3029" s="1">
        <f>(Tabela1[[#This Row],[x]]-H$3)*(Tabela1[[#This Row],[x]]-H$3) +(Tabela1[[#This Row],[y]]-H$4)*(Tabela1[[#This Row],[y]]-H$4)</f>
        <v>676</v>
      </c>
      <c r="D3029" s="1">
        <f>IF(Tabela1[[#This Row],[promien]]&lt;40000,1,0)</f>
        <v>1</v>
      </c>
      <c r="E3029" s="1">
        <f>IF(Tabela1[[#This Row],[promien]]=40000,1,0)</f>
        <v>0</v>
      </c>
      <c r="F3029" s="1">
        <v>3.1706833938593597</v>
      </c>
      <c r="G3029" s="1">
        <v>2.9090740269566595E-2</v>
      </c>
    </row>
    <row r="3030" spans="1:7">
      <c r="A3030">
        <v>149</v>
      </c>
      <c r="B3030">
        <v>199</v>
      </c>
      <c r="C3030" s="1">
        <f>(Tabela1[[#This Row],[x]]-H$3)*(Tabela1[[#This Row],[x]]-H$3) +(Tabela1[[#This Row],[y]]-H$4)*(Tabela1[[#This Row],[y]]-H$4)</f>
        <v>2602</v>
      </c>
      <c r="D3030" s="1">
        <f>IF(Tabela1[[#This Row],[promien]]&lt;40000,1,0)</f>
        <v>1</v>
      </c>
      <c r="E3030" s="1">
        <f>IF(Tabela1[[#This Row],[promien]]=40000,1,0)</f>
        <v>0</v>
      </c>
      <c r="F3030" s="1">
        <v>3.170957095709571</v>
      </c>
      <c r="G3030" s="1">
        <v>2.9364442119777845E-2</v>
      </c>
    </row>
    <row r="3031" spans="1:7">
      <c r="A3031">
        <v>162</v>
      </c>
      <c r="B3031">
        <v>112</v>
      </c>
      <c r="C3031" s="1">
        <f>(Tabela1[[#This Row],[x]]-H$3)*(Tabela1[[#This Row],[x]]-H$3) +(Tabela1[[#This Row],[y]]-H$4)*(Tabela1[[#This Row],[y]]-H$4)</f>
        <v>9188</v>
      </c>
      <c r="D3031" s="1">
        <f>IF(Tabela1[[#This Row],[promien]]&lt;40000,1,0)</f>
        <v>1</v>
      </c>
      <c r="E3031" s="1">
        <f>IF(Tabela1[[#This Row],[promien]]=40000,1,0)</f>
        <v>0</v>
      </c>
      <c r="F3031" s="1">
        <v>3.1712306169580997</v>
      </c>
      <c r="G3031" s="1">
        <v>2.9637963368306597E-2</v>
      </c>
    </row>
    <row r="3032" spans="1:7">
      <c r="A3032">
        <v>396</v>
      </c>
      <c r="B3032">
        <v>339</v>
      </c>
      <c r="C3032" s="1">
        <f>(Tabela1[[#This Row],[x]]-H$3)*(Tabela1[[#This Row],[x]]-H$3) +(Tabela1[[#This Row],[y]]-H$4)*(Tabela1[[#This Row],[y]]-H$4)</f>
        <v>57737</v>
      </c>
      <c r="D3032" s="1">
        <f>IF(Tabela1[[#This Row],[promien]]&lt;40000,1,0)</f>
        <v>0</v>
      </c>
      <c r="E3032" s="1">
        <f>IF(Tabela1[[#This Row],[promien]]=40000,1,0)</f>
        <v>0</v>
      </c>
      <c r="F3032" s="1">
        <v>3.1701846965699207</v>
      </c>
      <c r="G3032" s="1">
        <v>2.859204298012763E-2</v>
      </c>
    </row>
    <row r="3033" spans="1:7">
      <c r="A3033">
        <v>244</v>
      </c>
      <c r="B3033">
        <v>7</v>
      </c>
      <c r="C3033" s="1">
        <f>(Tabela1[[#This Row],[x]]-H$3)*(Tabela1[[#This Row],[x]]-H$3) +(Tabela1[[#This Row],[y]]-H$4)*(Tabela1[[#This Row],[y]]-H$4)</f>
        <v>39185</v>
      </c>
      <c r="D3033" s="1">
        <f>IF(Tabela1[[#This Row],[promien]]&lt;40000,1,0)</f>
        <v>1</v>
      </c>
      <c r="E3033" s="1">
        <f>IF(Tabela1[[#This Row],[promien]]=40000,1,0)</f>
        <v>0</v>
      </c>
      <c r="F3033" s="1">
        <v>3.1704582921200131</v>
      </c>
      <c r="G3033" s="1">
        <v>2.886563853021995E-2</v>
      </c>
    </row>
    <row r="3034" spans="1:7">
      <c r="A3034">
        <v>197</v>
      </c>
      <c r="B3034">
        <v>380</v>
      </c>
      <c r="C3034" s="1">
        <f>(Tabela1[[#This Row],[x]]-H$3)*(Tabela1[[#This Row],[x]]-H$3) +(Tabela1[[#This Row],[y]]-H$4)*(Tabela1[[#This Row],[y]]-H$4)</f>
        <v>32409</v>
      </c>
      <c r="D3034" s="1">
        <f>IF(Tabela1[[#This Row],[promien]]&lt;40000,1,0)</f>
        <v>1</v>
      </c>
      <c r="E3034" s="1">
        <f>IF(Tabela1[[#This Row],[promien]]=40000,1,0)</f>
        <v>0</v>
      </c>
      <c r="F3034" s="1">
        <v>3.1707317073170733</v>
      </c>
      <c r="G3034" s="1">
        <v>2.9139053727280206E-2</v>
      </c>
    </row>
    <row r="3035" spans="1:7">
      <c r="A3035">
        <v>69</v>
      </c>
      <c r="B3035">
        <v>135</v>
      </c>
      <c r="C3035" s="1">
        <f>(Tabela1[[#This Row],[x]]-H$3)*(Tabela1[[#This Row],[x]]-H$3) +(Tabela1[[#This Row],[y]]-H$4)*(Tabela1[[#This Row],[y]]-H$4)</f>
        <v>21386</v>
      </c>
      <c r="D3035" s="1">
        <f>IF(Tabela1[[#This Row],[promien]]&lt;40000,1,0)</f>
        <v>1</v>
      </c>
      <c r="E3035" s="1">
        <f>IF(Tabela1[[#This Row],[promien]]=40000,1,0)</f>
        <v>0</v>
      </c>
      <c r="F3035" s="1">
        <v>3.171004942339374</v>
      </c>
      <c r="G3035" s="1">
        <v>2.9412288749580906E-2</v>
      </c>
    </row>
    <row r="3036" spans="1:7">
      <c r="A3036">
        <v>300</v>
      </c>
      <c r="B3036">
        <v>358</v>
      </c>
      <c r="C3036" s="1">
        <f>(Tabela1[[#This Row],[x]]-H$3)*(Tabela1[[#This Row],[x]]-H$3) +(Tabela1[[#This Row],[y]]-H$4)*(Tabela1[[#This Row],[y]]-H$4)</f>
        <v>34964</v>
      </c>
      <c r="D3036" s="1">
        <f>IF(Tabela1[[#This Row],[promien]]&lt;40000,1,0)</f>
        <v>1</v>
      </c>
      <c r="E3036" s="1">
        <f>IF(Tabela1[[#This Row],[promien]]=40000,1,0)</f>
        <v>0</v>
      </c>
      <c r="F3036" s="1">
        <v>3.1712779973649541</v>
      </c>
      <c r="G3036" s="1">
        <v>2.9685343775160966E-2</v>
      </c>
    </row>
    <row r="3037" spans="1:7">
      <c r="A3037">
        <v>358</v>
      </c>
      <c r="B3037">
        <v>393</v>
      </c>
      <c r="C3037" s="1">
        <f>(Tabela1[[#This Row],[x]]-H$3)*(Tabela1[[#This Row],[x]]-H$3) +(Tabela1[[#This Row],[y]]-H$4)*(Tabela1[[#This Row],[y]]-H$4)</f>
        <v>62213</v>
      </c>
      <c r="D3037" s="1">
        <f>IF(Tabela1[[#This Row],[promien]]&lt;40000,1,0)</f>
        <v>0</v>
      </c>
      <c r="E3037" s="1">
        <f>IF(Tabela1[[#This Row],[promien]]=40000,1,0)</f>
        <v>0</v>
      </c>
      <c r="F3037" s="1">
        <v>3.170233783338821</v>
      </c>
      <c r="G3037" s="1">
        <v>2.8641129749027883E-2</v>
      </c>
    </row>
    <row r="3038" spans="1:7">
      <c r="A3038">
        <v>190</v>
      </c>
      <c r="B3038">
        <v>270</v>
      </c>
      <c r="C3038" s="1">
        <f>(Tabela1[[#This Row],[x]]-H$3)*(Tabela1[[#This Row],[x]]-H$3) +(Tabela1[[#This Row],[y]]-H$4)*(Tabela1[[#This Row],[y]]-H$4)</f>
        <v>5000</v>
      </c>
      <c r="D3038" s="1">
        <f>IF(Tabela1[[#This Row],[promien]]&lt;40000,1,0)</f>
        <v>1</v>
      </c>
      <c r="E3038" s="1">
        <f>IF(Tabela1[[#This Row],[promien]]=40000,1,0)</f>
        <v>0</v>
      </c>
      <c r="F3038" s="1">
        <v>3.1705069124423964</v>
      </c>
      <c r="G3038" s="1">
        <v>2.8914258852603236E-2</v>
      </c>
    </row>
    <row r="3039" spans="1:7">
      <c r="A3039">
        <v>398</v>
      </c>
      <c r="B3039">
        <v>184</v>
      </c>
      <c r="C3039" s="1">
        <f>(Tabela1[[#This Row],[x]]-H$3)*(Tabela1[[#This Row],[x]]-H$3) +(Tabela1[[#This Row],[y]]-H$4)*(Tabela1[[#This Row],[y]]-H$4)</f>
        <v>39460</v>
      </c>
      <c r="D3039" s="1">
        <f>IF(Tabela1[[#This Row],[promien]]&lt;40000,1,0)</f>
        <v>1</v>
      </c>
      <c r="E3039" s="1">
        <f>IF(Tabela1[[#This Row],[promien]]=40000,1,0)</f>
        <v>0</v>
      </c>
      <c r="F3039" s="1">
        <v>3.1707798617966438</v>
      </c>
      <c r="G3039" s="1">
        <v>2.9187208206850723E-2</v>
      </c>
    </row>
    <row r="3040" spans="1:7">
      <c r="A3040">
        <v>160</v>
      </c>
      <c r="B3040">
        <v>73</v>
      </c>
      <c r="C3040" s="1">
        <f>(Tabela1[[#This Row],[x]]-H$3)*(Tabela1[[#This Row],[x]]-H$3) +(Tabela1[[#This Row],[y]]-H$4)*(Tabela1[[#This Row],[y]]-H$4)</f>
        <v>17729</v>
      </c>
      <c r="D3040" s="1">
        <f>IF(Tabela1[[#This Row],[promien]]&lt;40000,1,0)</f>
        <v>1</v>
      </c>
      <c r="E3040" s="1">
        <f>IF(Tabela1[[#This Row],[promien]]=40000,1,0)</f>
        <v>0</v>
      </c>
      <c r="F3040" s="1">
        <v>3.1710526315789473</v>
      </c>
      <c r="G3040" s="1">
        <v>2.9459977989154229E-2</v>
      </c>
    </row>
    <row r="3041" spans="1:7">
      <c r="A3041">
        <v>122</v>
      </c>
      <c r="B3041">
        <v>146</v>
      </c>
      <c r="C3041" s="1">
        <f>(Tabela1[[#This Row],[x]]-H$3)*(Tabela1[[#This Row],[x]]-H$3) +(Tabela1[[#This Row],[y]]-H$4)*(Tabela1[[#This Row],[y]]-H$4)</f>
        <v>9000</v>
      </c>
      <c r="D3041" s="1">
        <f>IF(Tabela1[[#This Row],[promien]]&lt;40000,1,0)</f>
        <v>1</v>
      </c>
      <c r="E3041" s="1">
        <f>IF(Tabela1[[#This Row],[promien]]=40000,1,0)</f>
        <v>0</v>
      </c>
      <c r="F3041" s="1">
        <v>3.1713252219664585</v>
      </c>
      <c r="G3041" s="1">
        <v>2.973256837666538E-2</v>
      </c>
    </row>
    <row r="3042" spans="1:7">
      <c r="A3042">
        <v>271</v>
      </c>
      <c r="B3042">
        <v>95</v>
      </c>
      <c r="C3042" s="1">
        <f>(Tabela1[[#This Row],[x]]-H$3)*(Tabela1[[#This Row],[x]]-H$3) +(Tabela1[[#This Row],[y]]-H$4)*(Tabela1[[#This Row],[y]]-H$4)</f>
        <v>16066</v>
      </c>
      <c r="D3042" s="1">
        <f>IF(Tabela1[[#This Row],[promien]]&lt;40000,1,0)</f>
        <v>1</v>
      </c>
      <c r="E3042" s="1">
        <f>IF(Tabela1[[#This Row],[promien]]=40000,1,0)</f>
        <v>0</v>
      </c>
      <c r="F3042" s="1">
        <v>3.1715976331360949</v>
      </c>
      <c r="G3042" s="1">
        <v>3.0004979546301769E-2</v>
      </c>
    </row>
    <row r="3043" spans="1:7">
      <c r="A3043">
        <v>15</v>
      </c>
      <c r="B3043">
        <v>35</v>
      </c>
      <c r="C3043" s="1">
        <f>(Tabela1[[#This Row],[x]]-H$3)*(Tabela1[[#This Row],[x]]-H$3) +(Tabela1[[#This Row],[y]]-H$4)*(Tabela1[[#This Row],[y]]-H$4)</f>
        <v>61450</v>
      </c>
      <c r="D3043" s="1">
        <f>IF(Tabela1[[#This Row],[promien]]&lt;40000,1,0)</f>
        <v>0</v>
      </c>
      <c r="E3043" s="1">
        <f>IF(Tabela1[[#This Row],[promien]]=40000,1,0)</f>
        <v>0</v>
      </c>
      <c r="F3043" s="1">
        <v>3.1705553729871836</v>
      </c>
      <c r="G3043" s="1">
        <v>2.896271939739048E-2</v>
      </c>
    </row>
    <row r="3044" spans="1:7">
      <c r="A3044">
        <v>303</v>
      </c>
      <c r="B3044">
        <v>191</v>
      </c>
      <c r="C3044" s="1">
        <f>(Tabela1[[#This Row],[x]]-H$3)*(Tabela1[[#This Row],[x]]-H$3) +(Tabela1[[#This Row],[y]]-H$4)*(Tabela1[[#This Row],[y]]-H$4)</f>
        <v>10690</v>
      </c>
      <c r="D3044" s="1">
        <f>IF(Tabela1[[#This Row],[promien]]&lt;40000,1,0)</f>
        <v>1</v>
      </c>
      <c r="E3044" s="1">
        <f>IF(Tabela1[[#This Row],[promien]]=40000,1,0)</f>
        <v>0</v>
      </c>
      <c r="F3044" s="1">
        <v>3.1708278580814717</v>
      </c>
      <c r="G3044" s="1">
        <v>2.9235204491678601E-2</v>
      </c>
    </row>
    <row r="3045" spans="1:7">
      <c r="A3045">
        <v>138</v>
      </c>
      <c r="B3045">
        <v>346</v>
      </c>
      <c r="C3045" s="1">
        <f>(Tabela1[[#This Row],[x]]-H$3)*(Tabela1[[#This Row],[x]]-H$3) +(Tabela1[[#This Row],[y]]-H$4)*(Tabela1[[#This Row],[y]]-H$4)</f>
        <v>25160</v>
      </c>
      <c r="D3045" s="1">
        <f>IF(Tabela1[[#This Row],[promien]]&lt;40000,1,0)</f>
        <v>1</v>
      </c>
      <c r="E3045" s="1">
        <f>IF(Tabela1[[#This Row],[promien]]=40000,1,0)</f>
        <v>0</v>
      </c>
      <c r="F3045" s="1">
        <v>3.1711001642036125</v>
      </c>
      <c r="G3045" s="1">
        <v>2.9507510613819399E-2</v>
      </c>
    </row>
    <row r="3046" spans="1:7">
      <c r="A3046">
        <v>322</v>
      </c>
      <c r="B3046">
        <v>233</v>
      </c>
      <c r="C3046" s="1">
        <f>(Tabela1[[#This Row],[x]]-H$3)*(Tabela1[[#This Row],[x]]-H$3) +(Tabela1[[#This Row],[y]]-H$4)*(Tabela1[[#This Row],[y]]-H$4)</f>
        <v>15973</v>
      </c>
      <c r="D3046" s="1">
        <f>IF(Tabela1[[#This Row],[promien]]&lt;40000,1,0)</f>
        <v>1</v>
      </c>
      <c r="E3046" s="1">
        <f>IF(Tabela1[[#This Row],[promien]]=40000,1,0)</f>
        <v>0</v>
      </c>
      <c r="F3046" s="1">
        <v>3.1713722915298752</v>
      </c>
      <c r="G3046" s="1">
        <v>2.9779637940082093E-2</v>
      </c>
    </row>
    <row r="3047" spans="1:7">
      <c r="A3047">
        <v>55</v>
      </c>
      <c r="B3047">
        <v>51</v>
      </c>
      <c r="C3047" s="1">
        <f>(Tabela1[[#This Row],[x]]-H$3)*(Tabela1[[#This Row],[x]]-H$3) +(Tabela1[[#This Row],[y]]-H$4)*(Tabela1[[#This Row],[y]]-H$4)</f>
        <v>43226</v>
      </c>
      <c r="D3047" s="1">
        <f>IF(Tabela1[[#This Row],[promien]]&lt;40000,1,0)</f>
        <v>0</v>
      </c>
      <c r="E3047" s="1">
        <f>IF(Tabela1[[#This Row],[promien]]=40000,1,0)</f>
        <v>0</v>
      </c>
      <c r="F3047" s="1">
        <v>3.1703314735805712</v>
      </c>
      <c r="G3047" s="1">
        <v>2.8738819990778097E-2</v>
      </c>
    </row>
    <row r="3048" spans="1:7">
      <c r="A3048">
        <v>367</v>
      </c>
      <c r="B3048">
        <v>372</v>
      </c>
      <c r="C3048" s="1">
        <f>(Tabela1[[#This Row],[x]]-H$3)*(Tabela1[[#This Row],[x]]-H$3) +(Tabela1[[#This Row],[y]]-H$4)*(Tabela1[[#This Row],[y]]-H$4)</f>
        <v>57473</v>
      </c>
      <c r="D3048" s="1">
        <f>IF(Tabela1[[#This Row],[promien]]&lt;40000,1,0)</f>
        <v>0</v>
      </c>
      <c r="E3048" s="1">
        <f>IF(Tabela1[[#This Row],[promien]]=40000,1,0)</f>
        <v>0</v>
      </c>
      <c r="F3048" s="1">
        <v>3.1692913385826773</v>
      </c>
      <c r="G3048" s="1">
        <v>2.7698684992884193E-2</v>
      </c>
    </row>
    <row r="3049" spans="1:7">
      <c r="A3049">
        <v>39</v>
      </c>
      <c r="B3049">
        <v>278</v>
      </c>
      <c r="C3049" s="1">
        <f>(Tabela1[[#This Row],[x]]-H$3)*(Tabela1[[#This Row],[x]]-H$3) +(Tabela1[[#This Row],[y]]-H$4)*(Tabela1[[#This Row],[y]]-H$4)</f>
        <v>32005</v>
      </c>
      <c r="D3049" s="1">
        <f>IF(Tabela1[[#This Row],[promien]]&lt;40000,1,0)</f>
        <v>1</v>
      </c>
      <c r="E3049" s="1">
        <f>IF(Tabela1[[#This Row],[promien]]=40000,1,0)</f>
        <v>0</v>
      </c>
      <c r="F3049" s="1">
        <v>3.1695637914070187</v>
      </c>
      <c r="G3049" s="1">
        <v>2.79711378172256E-2</v>
      </c>
    </row>
    <row r="3050" spans="1:7">
      <c r="A3050">
        <v>31</v>
      </c>
      <c r="B3050">
        <v>24</v>
      </c>
      <c r="C3050" s="1">
        <f>(Tabela1[[#This Row],[x]]-H$3)*(Tabela1[[#This Row],[x]]-H$3) +(Tabela1[[#This Row],[y]]-H$4)*(Tabela1[[#This Row],[y]]-H$4)</f>
        <v>59537</v>
      </c>
      <c r="D3050" s="1">
        <f>IF(Tabela1[[#This Row],[promien]]&lt;40000,1,0)</f>
        <v>0</v>
      </c>
      <c r="E3050" s="1">
        <f>IF(Tabela1[[#This Row],[promien]]=40000,1,0)</f>
        <v>0</v>
      </c>
      <c r="F3050" s="1">
        <v>3.1685245901639343</v>
      </c>
      <c r="G3050" s="1">
        <v>2.6931936574141169E-2</v>
      </c>
    </row>
    <row r="3051" spans="1:7">
      <c r="A3051">
        <v>326</v>
      </c>
      <c r="B3051">
        <v>76</v>
      </c>
      <c r="C3051" s="1">
        <f>(Tabela1[[#This Row],[x]]-H$3)*(Tabela1[[#This Row],[x]]-H$3) +(Tabela1[[#This Row],[y]]-H$4)*(Tabela1[[#This Row],[y]]-H$4)</f>
        <v>31252</v>
      </c>
      <c r="D3051" s="1">
        <f>IF(Tabela1[[#This Row],[promien]]&lt;40000,1,0)</f>
        <v>1</v>
      </c>
      <c r="E3051" s="1">
        <f>IF(Tabela1[[#This Row],[promien]]=40000,1,0)</f>
        <v>0</v>
      </c>
      <c r="F3051" s="1">
        <v>3.1687971156997707</v>
      </c>
      <c r="G3051" s="1">
        <v>2.7204462109977623E-2</v>
      </c>
    </row>
    <row r="3052" spans="1:7">
      <c r="A3052">
        <v>238</v>
      </c>
      <c r="B3052">
        <v>389</v>
      </c>
      <c r="C3052" s="1">
        <f>(Tabela1[[#This Row],[x]]-H$3)*(Tabela1[[#This Row],[x]]-H$3) +(Tabela1[[#This Row],[y]]-H$4)*(Tabela1[[#This Row],[y]]-H$4)</f>
        <v>37165</v>
      </c>
      <c r="D3052" s="1">
        <f>IF(Tabela1[[#This Row],[promien]]&lt;40000,1,0)</f>
        <v>1</v>
      </c>
      <c r="E3052" s="1">
        <f>IF(Tabela1[[#This Row],[promien]]=40000,1,0)</f>
        <v>0</v>
      </c>
      <c r="F3052" s="1">
        <v>3.1690694626474443</v>
      </c>
      <c r="G3052" s="1">
        <v>2.7476809057651153E-2</v>
      </c>
    </row>
    <row r="3053" spans="1:7">
      <c r="A3053">
        <v>197</v>
      </c>
      <c r="B3053">
        <v>396</v>
      </c>
      <c r="C3053" s="1">
        <f>(Tabela1[[#This Row],[x]]-H$3)*(Tabela1[[#This Row],[x]]-H$3) +(Tabela1[[#This Row],[y]]-H$4)*(Tabela1[[#This Row],[y]]-H$4)</f>
        <v>38425</v>
      </c>
      <c r="D3053" s="1">
        <f>IF(Tabela1[[#This Row],[promien]]&lt;40000,1,0)</f>
        <v>1</v>
      </c>
      <c r="E3053" s="1">
        <f>IF(Tabela1[[#This Row],[promien]]=40000,1,0)</f>
        <v>0</v>
      </c>
      <c r="F3053" s="1">
        <v>3.1693416311824434</v>
      </c>
      <c r="G3053" s="1">
        <v>2.774897759265027E-2</v>
      </c>
    </row>
    <row r="3054" spans="1:7">
      <c r="A3054">
        <v>354</v>
      </c>
      <c r="B3054">
        <v>171</v>
      </c>
      <c r="C3054" s="1">
        <f>(Tabela1[[#This Row],[x]]-H$3)*(Tabela1[[#This Row],[x]]-H$3) +(Tabela1[[#This Row],[y]]-H$4)*(Tabela1[[#This Row],[y]]-H$4)</f>
        <v>24557</v>
      </c>
      <c r="D3054" s="1">
        <f>IF(Tabela1[[#This Row],[promien]]&lt;40000,1,0)</f>
        <v>1</v>
      </c>
      <c r="E3054" s="1">
        <f>IF(Tabela1[[#This Row],[promien]]=40000,1,0)</f>
        <v>0</v>
      </c>
      <c r="F3054" s="1">
        <v>3.1696136214800261</v>
      </c>
      <c r="G3054" s="1">
        <v>2.8020967890233006E-2</v>
      </c>
    </row>
    <row r="3055" spans="1:7">
      <c r="A3055">
        <v>330</v>
      </c>
      <c r="B3055">
        <v>24</v>
      </c>
      <c r="C3055" s="1">
        <f>(Tabela1[[#This Row],[x]]-H$3)*(Tabela1[[#This Row],[x]]-H$3) +(Tabela1[[#This Row],[y]]-H$4)*(Tabela1[[#This Row],[y]]-H$4)</f>
        <v>47876</v>
      </c>
      <c r="D3055" s="1">
        <f>IF(Tabela1[[#This Row],[promien]]&lt;40000,1,0)</f>
        <v>0</v>
      </c>
      <c r="E3055" s="1">
        <f>IF(Tabela1[[#This Row],[promien]]=40000,1,0)</f>
        <v>0</v>
      </c>
      <c r="F3055" s="1">
        <v>3.1685761047463177</v>
      </c>
      <c r="G3055" s="1">
        <v>2.6983451156524563E-2</v>
      </c>
    </row>
    <row r="3056" spans="1:7">
      <c r="A3056">
        <v>39</v>
      </c>
      <c r="B3056">
        <v>234</v>
      </c>
      <c r="C3056" s="1">
        <f>(Tabela1[[#This Row],[x]]-H$3)*(Tabela1[[#This Row],[x]]-H$3) +(Tabela1[[#This Row],[y]]-H$4)*(Tabela1[[#This Row],[y]]-H$4)</f>
        <v>27077</v>
      </c>
      <c r="D3056" s="1">
        <f>IF(Tabela1[[#This Row],[promien]]&lt;40000,1,0)</f>
        <v>1</v>
      </c>
      <c r="E3056" s="1">
        <f>IF(Tabela1[[#This Row],[promien]]=40000,1,0)</f>
        <v>0</v>
      </c>
      <c r="F3056" s="1">
        <v>3.168848167539267</v>
      </c>
      <c r="G3056" s="1">
        <v>2.7255513949473897E-2</v>
      </c>
    </row>
    <row r="3057" spans="1:7">
      <c r="A3057">
        <v>178</v>
      </c>
      <c r="B3057">
        <v>165</v>
      </c>
      <c r="C3057" s="1">
        <f>(Tabela1[[#This Row],[x]]-H$3)*(Tabela1[[#This Row],[x]]-H$3) +(Tabela1[[#This Row],[y]]-H$4)*(Tabela1[[#This Row],[y]]-H$4)</f>
        <v>1709</v>
      </c>
      <c r="D3057" s="1">
        <f>IF(Tabela1[[#This Row],[promien]]&lt;40000,1,0)</f>
        <v>1</v>
      </c>
      <c r="E3057" s="1">
        <f>IF(Tabela1[[#This Row],[promien]]=40000,1,0)</f>
        <v>0</v>
      </c>
      <c r="F3057" s="1">
        <v>3.1691200523388945</v>
      </c>
      <c r="G3057" s="1">
        <v>2.7527398749101373E-2</v>
      </c>
    </row>
    <row r="3058" spans="1:7">
      <c r="A3058">
        <v>171</v>
      </c>
      <c r="B3058">
        <v>260</v>
      </c>
      <c r="C3058" s="1">
        <f>(Tabela1[[#This Row],[x]]-H$3)*(Tabela1[[#This Row],[x]]-H$3) +(Tabela1[[#This Row],[y]]-H$4)*(Tabela1[[#This Row],[y]]-H$4)</f>
        <v>4441</v>
      </c>
      <c r="D3058" s="1">
        <f>IF(Tabela1[[#This Row],[promien]]&lt;40000,1,0)</f>
        <v>1</v>
      </c>
      <c r="E3058" s="1">
        <f>IF(Tabela1[[#This Row],[promien]]=40000,1,0)</f>
        <v>0</v>
      </c>
      <c r="F3058" s="1">
        <v>3.1693917593198169</v>
      </c>
      <c r="G3058" s="1">
        <v>2.7799105730023754E-2</v>
      </c>
    </row>
    <row r="3059" spans="1:7">
      <c r="A3059">
        <v>346</v>
      </c>
      <c r="B3059">
        <v>316</v>
      </c>
      <c r="C3059" s="1">
        <f>(Tabela1[[#This Row],[x]]-H$3)*(Tabela1[[#This Row],[x]]-H$3) +(Tabela1[[#This Row],[y]]-H$4)*(Tabela1[[#This Row],[y]]-H$4)</f>
        <v>34772</v>
      </c>
      <c r="D3059" s="1">
        <f>IF(Tabela1[[#This Row],[promien]]&lt;40000,1,0)</f>
        <v>1</v>
      </c>
      <c r="E3059" s="1">
        <f>IF(Tabela1[[#This Row],[promien]]=40000,1,0)</f>
        <v>0</v>
      </c>
      <c r="F3059" s="1">
        <v>3.1696632886564235</v>
      </c>
      <c r="G3059" s="1">
        <v>2.8070635066630434E-2</v>
      </c>
    </row>
    <row r="3060" spans="1:7">
      <c r="A3060">
        <v>390</v>
      </c>
      <c r="B3060">
        <v>65</v>
      </c>
      <c r="C3060" s="1">
        <f>(Tabela1[[#This Row],[x]]-H$3)*(Tabela1[[#This Row],[x]]-H$3) +(Tabela1[[#This Row],[y]]-H$4)*(Tabela1[[#This Row],[y]]-H$4)</f>
        <v>54325</v>
      </c>
      <c r="D3060" s="1">
        <f>IF(Tabela1[[#This Row],[promien]]&lt;40000,1,0)</f>
        <v>0</v>
      </c>
      <c r="E3060" s="1">
        <f>IF(Tabela1[[#This Row],[promien]]=40000,1,0)</f>
        <v>0</v>
      </c>
      <c r="F3060" s="1">
        <v>3.168627450980392</v>
      </c>
      <c r="G3060" s="1">
        <v>2.7034797390598886E-2</v>
      </c>
    </row>
    <row r="3061" spans="1:7">
      <c r="A3061">
        <v>222</v>
      </c>
      <c r="B3061">
        <v>60</v>
      </c>
      <c r="C3061" s="1">
        <f>(Tabela1[[#This Row],[x]]-H$3)*(Tabela1[[#This Row],[x]]-H$3) +(Tabela1[[#This Row],[y]]-H$4)*(Tabela1[[#This Row],[y]]-H$4)</f>
        <v>20084</v>
      </c>
      <c r="D3061" s="1">
        <f>IF(Tabela1[[#This Row],[promien]]&lt;40000,1,0)</f>
        <v>1</v>
      </c>
      <c r="E3061" s="1">
        <f>IF(Tabela1[[#This Row],[promien]]=40000,1,0)</f>
        <v>0</v>
      </c>
      <c r="F3061" s="1">
        <v>3.1688990525971903</v>
      </c>
      <c r="G3061" s="1">
        <v>2.7306399007397175E-2</v>
      </c>
    </row>
    <row r="3062" spans="1:7">
      <c r="A3062">
        <v>178</v>
      </c>
      <c r="B3062">
        <v>276</v>
      </c>
      <c r="C3062" s="1">
        <f>(Tabela1[[#This Row],[x]]-H$3)*(Tabela1[[#This Row],[x]]-H$3) +(Tabela1[[#This Row],[y]]-H$4)*(Tabela1[[#This Row],[y]]-H$4)</f>
        <v>6260</v>
      </c>
      <c r="D3062" s="1">
        <f>IF(Tabela1[[#This Row],[promien]]&lt;40000,1,0)</f>
        <v>1</v>
      </c>
      <c r="E3062" s="1">
        <f>IF(Tabela1[[#This Row],[promien]]=40000,1,0)</f>
        <v>0</v>
      </c>
      <c r="F3062" s="1">
        <v>3.1691704768125408</v>
      </c>
      <c r="G3062" s="1">
        <v>2.757782322274771E-2</v>
      </c>
    </row>
    <row r="3063" spans="1:7">
      <c r="A3063">
        <v>324</v>
      </c>
      <c r="B3063">
        <v>16</v>
      </c>
      <c r="C3063" s="1">
        <f>(Tabela1[[#This Row],[x]]-H$3)*(Tabela1[[#This Row],[x]]-H$3) +(Tabela1[[#This Row],[y]]-H$4)*(Tabela1[[#This Row],[y]]-H$4)</f>
        <v>49232</v>
      </c>
      <c r="D3063" s="1">
        <f>IF(Tabela1[[#This Row],[promien]]&lt;40000,1,0)</f>
        <v>0</v>
      </c>
      <c r="E3063" s="1">
        <f>IF(Tabela1[[#This Row],[promien]]=40000,1,0)</f>
        <v>0</v>
      </c>
      <c r="F3063" s="1">
        <v>3.168135814560888</v>
      </c>
      <c r="G3063" s="1">
        <v>2.6543160971094881E-2</v>
      </c>
    </row>
    <row r="3064" spans="1:7">
      <c r="A3064">
        <v>291</v>
      </c>
      <c r="B3064">
        <v>106</v>
      </c>
      <c r="C3064" s="1">
        <f>(Tabela1[[#This Row],[x]]-H$3)*(Tabela1[[#This Row],[x]]-H$3) +(Tabela1[[#This Row],[y]]-H$4)*(Tabela1[[#This Row],[y]]-H$4)</f>
        <v>17117</v>
      </c>
      <c r="D3064" s="1">
        <f>IF(Tabela1[[#This Row],[promien]]&lt;40000,1,0)</f>
        <v>1</v>
      </c>
      <c r="E3064" s="1">
        <f>IF(Tabela1[[#This Row],[promien]]=40000,1,0)</f>
        <v>0</v>
      </c>
      <c r="F3064" s="1">
        <v>3.1684073107049606</v>
      </c>
      <c r="G3064" s="1">
        <v>2.6814657115167506E-2</v>
      </c>
    </row>
    <row r="3065" spans="1:7">
      <c r="A3065">
        <v>150</v>
      </c>
      <c r="B3065">
        <v>87</v>
      </c>
      <c r="C3065" s="1">
        <f>(Tabela1[[#This Row],[x]]-H$3)*(Tabela1[[#This Row],[x]]-H$3) +(Tabela1[[#This Row],[y]]-H$4)*(Tabela1[[#This Row],[y]]-H$4)</f>
        <v>15269</v>
      </c>
      <c r="D3065" s="1">
        <f>IF(Tabela1[[#This Row],[promien]]&lt;40000,1,0)</f>
        <v>1</v>
      </c>
      <c r="E3065" s="1">
        <f>IF(Tabela1[[#This Row],[promien]]=40000,1,0)</f>
        <v>0</v>
      </c>
      <c r="F3065" s="1">
        <v>3.1686786296900489</v>
      </c>
      <c r="G3065" s="1">
        <v>2.708597610025576E-2</v>
      </c>
    </row>
    <row r="3066" spans="1:7">
      <c r="A3066">
        <v>122</v>
      </c>
      <c r="B3066">
        <v>353</v>
      </c>
      <c r="C3066" s="1">
        <f>(Tabela1[[#This Row],[x]]-H$3)*(Tabela1[[#This Row],[x]]-H$3) +(Tabela1[[#This Row],[y]]-H$4)*(Tabela1[[#This Row],[y]]-H$4)</f>
        <v>29493</v>
      </c>
      <c r="D3066" s="1">
        <f>IF(Tabela1[[#This Row],[promien]]&lt;40000,1,0)</f>
        <v>1</v>
      </c>
      <c r="E3066" s="1">
        <f>IF(Tabela1[[#This Row],[promien]]=40000,1,0)</f>
        <v>0</v>
      </c>
      <c r="F3066" s="1">
        <v>3.1689497716894977</v>
      </c>
      <c r="G3066" s="1">
        <v>2.7357118099704536E-2</v>
      </c>
    </row>
    <row r="3067" spans="1:7">
      <c r="A3067">
        <v>221</v>
      </c>
      <c r="B3067">
        <v>70</v>
      </c>
      <c r="C3067" s="1">
        <f>(Tabela1[[#This Row],[x]]-H$3)*(Tabela1[[#This Row],[x]]-H$3) +(Tabela1[[#This Row],[y]]-H$4)*(Tabela1[[#This Row],[y]]-H$4)</f>
        <v>17341</v>
      </c>
      <c r="D3067" s="1">
        <f>IF(Tabela1[[#This Row],[promien]]&lt;40000,1,0)</f>
        <v>1</v>
      </c>
      <c r="E3067" s="1">
        <f>IF(Tabela1[[#This Row],[promien]]=40000,1,0)</f>
        <v>0</v>
      </c>
      <c r="F3067" s="1">
        <v>3.1692207368764267</v>
      </c>
      <c r="G3067" s="1">
        <v>2.7628083286633576E-2</v>
      </c>
    </row>
    <row r="3068" spans="1:7">
      <c r="A3068">
        <v>383</v>
      </c>
      <c r="B3068">
        <v>172</v>
      </c>
      <c r="C3068" s="1">
        <f>(Tabela1[[#This Row],[x]]-H$3)*(Tabela1[[#This Row],[x]]-H$3) +(Tabela1[[#This Row],[y]]-H$4)*(Tabela1[[#This Row],[y]]-H$4)</f>
        <v>34273</v>
      </c>
      <c r="D3068" s="1">
        <f>IF(Tabela1[[#This Row],[promien]]&lt;40000,1,0)</f>
        <v>1</v>
      </c>
      <c r="E3068" s="1">
        <f>IF(Tabela1[[#This Row],[promien]]=40000,1,0)</f>
        <v>0</v>
      </c>
      <c r="F3068" s="1">
        <v>3.1694915254237288</v>
      </c>
      <c r="G3068" s="1">
        <v>2.789887183393569E-2</v>
      </c>
    </row>
    <row r="3069" spans="1:7">
      <c r="A3069">
        <v>373</v>
      </c>
      <c r="B3069">
        <v>26</v>
      </c>
      <c r="C3069" s="1">
        <f>(Tabela1[[#This Row],[x]]-H$3)*(Tabela1[[#This Row],[x]]-H$3) +(Tabela1[[#This Row],[y]]-H$4)*(Tabela1[[#This Row],[y]]-H$4)</f>
        <v>60205</v>
      </c>
      <c r="D3069" s="1">
        <f>IF(Tabela1[[#This Row],[promien]]&lt;40000,1,0)</f>
        <v>0</v>
      </c>
      <c r="E3069" s="1">
        <f>IF(Tabela1[[#This Row],[promien]]=40000,1,0)</f>
        <v>0</v>
      </c>
      <c r="F3069" s="1">
        <v>3.1684587813620073</v>
      </c>
      <c r="G3069" s="1">
        <v>2.6866127772214199E-2</v>
      </c>
    </row>
    <row r="3070" spans="1:7">
      <c r="A3070">
        <v>231</v>
      </c>
      <c r="B3070">
        <v>305</v>
      </c>
      <c r="C3070" s="1">
        <f>(Tabela1[[#This Row],[x]]-H$3)*(Tabela1[[#This Row],[x]]-H$3) +(Tabela1[[#This Row],[y]]-H$4)*(Tabela1[[#This Row],[y]]-H$4)</f>
        <v>11986</v>
      </c>
      <c r="D3070" s="1">
        <f>IF(Tabela1[[#This Row],[promien]]&lt;40000,1,0)</f>
        <v>1</v>
      </c>
      <c r="E3070" s="1">
        <f>IF(Tabela1[[#This Row],[promien]]=40000,1,0)</f>
        <v>0</v>
      </c>
      <c r="F3070" s="1">
        <v>3.1687296416938109</v>
      </c>
      <c r="G3070" s="1">
        <v>2.7136988104017767E-2</v>
      </c>
    </row>
    <row r="3071" spans="1:7">
      <c r="A3071">
        <v>140</v>
      </c>
      <c r="B3071">
        <v>383</v>
      </c>
      <c r="C3071" s="1">
        <f>(Tabela1[[#This Row],[x]]-H$3)*(Tabela1[[#This Row],[x]]-H$3) +(Tabela1[[#This Row],[y]]-H$4)*(Tabela1[[#This Row],[y]]-H$4)</f>
        <v>37089</v>
      </c>
      <c r="D3071" s="1">
        <f>IF(Tabela1[[#This Row],[promien]]&lt;40000,1,0)</f>
        <v>1</v>
      </c>
      <c r="E3071" s="1">
        <f>IF(Tabela1[[#This Row],[promien]]=40000,1,0)</f>
        <v>0</v>
      </c>
      <c r="F3071" s="1">
        <v>3.1690003256268318</v>
      </c>
      <c r="G3071" s="1">
        <v>2.7407672037038644E-2</v>
      </c>
    </row>
    <row r="3072" spans="1:7">
      <c r="A3072">
        <v>224</v>
      </c>
      <c r="B3072">
        <v>328</v>
      </c>
      <c r="C3072" s="1">
        <f>(Tabela1[[#This Row],[x]]-H$3)*(Tabela1[[#This Row],[x]]-H$3) +(Tabela1[[#This Row],[y]]-H$4)*(Tabela1[[#This Row],[y]]-H$4)</f>
        <v>16960</v>
      </c>
      <c r="D3072" s="1">
        <f>IF(Tabela1[[#This Row],[promien]]&lt;40000,1,0)</f>
        <v>1</v>
      </c>
      <c r="E3072" s="1">
        <f>IF(Tabela1[[#This Row],[promien]]=40000,1,0)</f>
        <v>0</v>
      </c>
      <c r="F3072" s="1">
        <v>3.1692708333333335</v>
      </c>
      <c r="G3072" s="1">
        <v>2.7678179743540365E-2</v>
      </c>
    </row>
    <row r="3073" spans="1:7">
      <c r="A3073">
        <v>98</v>
      </c>
      <c r="B3073">
        <v>315</v>
      </c>
      <c r="C3073" s="1">
        <f>(Tabela1[[#This Row],[x]]-H$3)*(Tabela1[[#This Row],[x]]-H$3) +(Tabela1[[#This Row],[y]]-H$4)*(Tabela1[[#This Row],[y]]-H$4)</f>
        <v>23629</v>
      </c>
      <c r="D3073" s="1">
        <f>IF(Tabela1[[#This Row],[promien]]&lt;40000,1,0)</f>
        <v>1</v>
      </c>
      <c r="E3073" s="1">
        <f>IF(Tabela1[[#This Row],[promien]]=40000,1,0)</f>
        <v>0</v>
      </c>
      <c r="F3073" s="1">
        <v>3.1695411649853562</v>
      </c>
      <c r="G3073" s="1">
        <v>2.7948511395563091E-2</v>
      </c>
    </row>
    <row r="3074" spans="1:7">
      <c r="A3074">
        <v>56</v>
      </c>
      <c r="B3074">
        <v>126</v>
      </c>
      <c r="C3074" s="1">
        <f>(Tabela1[[#This Row],[x]]-H$3)*(Tabela1[[#This Row],[x]]-H$3) +(Tabela1[[#This Row],[y]]-H$4)*(Tabela1[[#This Row],[y]]-H$4)</f>
        <v>26212</v>
      </c>
      <c r="D3074" s="1">
        <f>IF(Tabela1[[#This Row],[promien]]&lt;40000,1,0)</f>
        <v>1</v>
      </c>
      <c r="E3074" s="1">
        <f>IF(Tabela1[[#This Row],[promien]]=40000,1,0)</f>
        <v>0</v>
      </c>
      <c r="F3074" s="1">
        <v>3.1698113207547172</v>
      </c>
      <c r="G3074" s="1">
        <v>2.8218667164924049E-2</v>
      </c>
    </row>
    <row r="3075" spans="1:7">
      <c r="A3075">
        <v>305</v>
      </c>
      <c r="B3075">
        <v>34</v>
      </c>
      <c r="C3075" s="1">
        <f>(Tabela1[[#This Row],[x]]-H$3)*(Tabela1[[#This Row],[x]]-H$3) +(Tabela1[[#This Row],[y]]-H$4)*(Tabela1[[#This Row],[y]]-H$4)</f>
        <v>38581</v>
      </c>
      <c r="D3075" s="1">
        <f>IF(Tabela1[[#This Row],[promien]]&lt;40000,1,0)</f>
        <v>1</v>
      </c>
      <c r="E3075" s="1">
        <f>IF(Tabela1[[#This Row],[promien]]=40000,1,0)</f>
        <v>0</v>
      </c>
      <c r="F3075" s="1">
        <v>3.170081300813008</v>
      </c>
      <c r="G3075" s="1">
        <v>2.8488647223214869E-2</v>
      </c>
    </row>
    <row r="3076" spans="1:7">
      <c r="A3076">
        <v>53</v>
      </c>
      <c r="B3076">
        <v>225</v>
      </c>
      <c r="C3076" s="1">
        <f>(Tabela1[[#This Row],[x]]-H$3)*(Tabela1[[#This Row],[x]]-H$3) +(Tabela1[[#This Row],[y]]-H$4)*(Tabela1[[#This Row],[y]]-H$4)</f>
        <v>22234</v>
      </c>
      <c r="D3076" s="1">
        <f>IF(Tabela1[[#This Row],[promien]]&lt;40000,1,0)</f>
        <v>1</v>
      </c>
      <c r="E3076" s="1">
        <f>IF(Tabela1[[#This Row],[promien]]=40000,1,0)</f>
        <v>0</v>
      </c>
      <c r="F3076" s="1">
        <v>3.1703511053315996</v>
      </c>
      <c r="G3076" s="1">
        <v>2.8758451741806468E-2</v>
      </c>
    </row>
    <row r="3077" spans="1:7">
      <c r="A3077">
        <v>90</v>
      </c>
      <c r="B3077">
        <v>158</v>
      </c>
      <c r="C3077" s="1">
        <f>(Tabela1[[#This Row],[x]]-H$3)*(Tabela1[[#This Row],[x]]-H$3) +(Tabela1[[#This Row],[y]]-H$4)*(Tabela1[[#This Row],[y]]-H$4)</f>
        <v>13864</v>
      </c>
      <c r="D3077" s="1">
        <f>IF(Tabela1[[#This Row],[promien]]&lt;40000,1,0)</f>
        <v>1</v>
      </c>
      <c r="E3077" s="1">
        <f>IF(Tabela1[[#This Row],[promien]]=40000,1,0)</f>
        <v>0</v>
      </c>
      <c r="F3077" s="1">
        <v>3.1706207344816382</v>
      </c>
      <c r="G3077" s="1">
        <v>2.9028080891845054E-2</v>
      </c>
    </row>
    <row r="3078" spans="1:7">
      <c r="A3078">
        <v>296</v>
      </c>
      <c r="B3078">
        <v>45</v>
      </c>
      <c r="C3078" s="1">
        <f>(Tabela1[[#This Row],[x]]-H$3)*(Tabela1[[#This Row],[x]]-H$3) +(Tabela1[[#This Row],[y]]-H$4)*(Tabela1[[#This Row],[y]]-H$4)</f>
        <v>33241</v>
      </c>
      <c r="D3078" s="1">
        <f>IF(Tabela1[[#This Row],[promien]]&lt;40000,1,0)</f>
        <v>1</v>
      </c>
      <c r="E3078" s="1">
        <f>IF(Tabela1[[#This Row],[promien]]=40000,1,0)</f>
        <v>0</v>
      </c>
      <c r="F3078" s="1">
        <v>3.1708901884340479</v>
      </c>
      <c r="G3078" s="1">
        <v>2.9297534844254791E-2</v>
      </c>
    </row>
    <row r="3079" spans="1:7">
      <c r="A3079">
        <v>66</v>
      </c>
      <c r="B3079">
        <v>165</v>
      </c>
      <c r="C3079" s="1">
        <f>(Tabela1[[#This Row],[x]]-H$3)*(Tabela1[[#This Row],[x]]-H$3) +(Tabela1[[#This Row],[y]]-H$4)*(Tabela1[[#This Row],[y]]-H$4)</f>
        <v>19181</v>
      </c>
      <c r="D3079" s="1">
        <f>IF(Tabela1[[#This Row],[promien]]&lt;40000,1,0)</f>
        <v>1</v>
      </c>
      <c r="E3079" s="1">
        <f>IF(Tabela1[[#This Row],[promien]]=40000,1,0)</f>
        <v>0</v>
      </c>
      <c r="F3079" s="1">
        <v>3.1711594673595322</v>
      </c>
      <c r="G3079" s="1">
        <v>2.9566813769739131E-2</v>
      </c>
    </row>
    <row r="3080" spans="1:7">
      <c r="A3080">
        <v>134</v>
      </c>
      <c r="B3080">
        <v>308</v>
      </c>
      <c r="C3080" s="1">
        <f>(Tabela1[[#This Row],[x]]-H$3)*(Tabela1[[#This Row],[x]]-H$3) +(Tabela1[[#This Row],[y]]-H$4)*(Tabela1[[#This Row],[y]]-H$4)</f>
        <v>16020</v>
      </c>
      <c r="D3080" s="1">
        <f>IF(Tabela1[[#This Row],[promien]]&lt;40000,1,0)</f>
        <v>1</v>
      </c>
      <c r="E3080" s="1">
        <f>IF(Tabela1[[#This Row],[promien]]=40000,1,0)</f>
        <v>0</v>
      </c>
      <c r="F3080" s="1">
        <v>3.1714285714285713</v>
      </c>
      <c r="G3080" s="1">
        <v>2.9835917838778148E-2</v>
      </c>
    </row>
    <row r="3081" spans="1:7">
      <c r="A3081">
        <v>154</v>
      </c>
      <c r="B3081">
        <v>321</v>
      </c>
      <c r="C3081" s="1">
        <f>(Tabela1[[#This Row],[x]]-H$3)*(Tabela1[[#This Row],[x]]-H$3) +(Tabela1[[#This Row],[y]]-H$4)*(Tabela1[[#This Row],[y]]-H$4)</f>
        <v>16757</v>
      </c>
      <c r="D3081" s="1">
        <f>IF(Tabela1[[#This Row],[promien]]&lt;40000,1,0)</f>
        <v>1</v>
      </c>
      <c r="E3081" s="1">
        <f>IF(Tabela1[[#This Row],[promien]]=40000,1,0)</f>
        <v>0</v>
      </c>
      <c r="F3081" s="1">
        <v>3.1716975008114248</v>
      </c>
      <c r="G3081" s="1">
        <v>3.0104847221631648E-2</v>
      </c>
    </row>
    <row r="3082" spans="1:7">
      <c r="A3082">
        <v>331</v>
      </c>
      <c r="B3082">
        <v>49</v>
      </c>
      <c r="C3082" s="1">
        <f>(Tabela1[[#This Row],[x]]-H$3)*(Tabela1[[#This Row],[x]]-H$3) +(Tabela1[[#This Row],[y]]-H$4)*(Tabela1[[#This Row],[y]]-H$4)</f>
        <v>39962</v>
      </c>
      <c r="D3082" s="1">
        <f>IF(Tabela1[[#This Row],[promien]]&lt;40000,1,0)</f>
        <v>1</v>
      </c>
      <c r="E3082" s="1">
        <f>IF(Tabela1[[#This Row],[promien]]=40000,1,0)</f>
        <v>0</v>
      </c>
      <c r="F3082" s="1">
        <v>3.171966255678131</v>
      </c>
      <c r="G3082" s="1">
        <v>3.0373602088337837E-2</v>
      </c>
    </row>
    <row r="3083" spans="1:7">
      <c r="A3083">
        <v>376</v>
      </c>
      <c r="B3083">
        <v>83</v>
      </c>
      <c r="C3083" s="1">
        <f>(Tabela1[[#This Row],[x]]-H$3)*(Tabela1[[#This Row],[x]]-H$3) +(Tabela1[[#This Row],[y]]-H$4)*(Tabela1[[#This Row],[y]]-H$4)</f>
        <v>44665</v>
      </c>
      <c r="D3083" s="1">
        <f>IF(Tabela1[[#This Row],[promien]]&lt;40000,1,0)</f>
        <v>0</v>
      </c>
      <c r="E3083" s="1">
        <f>IF(Tabela1[[#This Row],[promien]]=40000,1,0)</f>
        <v>0</v>
      </c>
      <c r="F3083" s="1">
        <v>3.1709373986376908</v>
      </c>
      <c r="G3083" s="1">
        <v>2.9344745047897636E-2</v>
      </c>
    </row>
    <row r="3084" spans="1:7">
      <c r="A3084">
        <v>338</v>
      </c>
      <c r="B3084">
        <v>19</v>
      </c>
      <c r="C3084" s="1">
        <f>(Tabela1[[#This Row],[x]]-H$3)*(Tabela1[[#This Row],[x]]-H$3) +(Tabela1[[#This Row],[y]]-H$4)*(Tabela1[[#This Row],[y]]-H$4)</f>
        <v>51805</v>
      </c>
      <c r="D3084" s="1">
        <f>IF(Tabela1[[#This Row],[promien]]&lt;40000,1,0)</f>
        <v>0</v>
      </c>
      <c r="E3084" s="1">
        <f>IF(Tabela1[[#This Row],[promien]]=40000,1,0)</f>
        <v>0</v>
      </c>
      <c r="F3084" s="1">
        <v>3.1699092088197145</v>
      </c>
      <c r="G3084" s="1">
        <v>2.8316555229921381E-2</v>
      </c>
    </row>
    <row r="3085" spans="1:7">
      <c r="A3085">
        <v>346</v>
      </c>
      <c r="B3085">
        <v>262</v>
      </c>
      <c r="C3085" s="1">
        <f>(Tabela1[[#This Row],[x]]-H$3)*(Tabela1[[#This Row],[x]]-H$3) +(Tabela1[[#This Row],[y]]-H$4)*(Tabela1[[#This Row],[y]]-H$4)</f>
        <v>25160</v>
      </c>
      <c r="D3085" s="1">
        <f>IF(Tabela1[[#This Row],[promien]]&lt;40000,1,0)</f>
        <v>1</v>
      </c>
      <c r="E3085" s="1">
        <f>IF(Tabela1[[#This Row],[promien]]=40000,1,0)</f>
        <v>0</v>
      </c>
      <c r="F3085" s="1">
        <v>3.1701782820097244</v>
      </c>
      <c r="G3085" s="1">
        <v>2.8585628419931286E-2</v>
      </c>
    </row>
    <row r="3086" spans="1:7">
      <c r="A3086">
        <v>245</v>
      </c>
      <c r="B3086">
        <v>81</v>
      </c>
      <c r="C3086" s="1">
        <f>(Tabela1[[#This Row],[x]]-H$3)*(Tabela1[[#This Row],[x]]-H$3) +(Tabela1[[#This Row],[y]]-H$4)*(Tabela1[[#This Row],[y]]-H$4)</f>
        <v>16186</v>
      </c>
      <c r="D3086" s="1">
        <f>IF(Tabela1[[#This Row],[promien]]&lt;40000,1,0)</f>
        <v>1</v>
      </c>
      <c r="E3086" s="1">
        <f>IF(Tabela1[[#This Row],[promien]]=40000,1,0)</f>
        <v>0</v>
      </c>
      <c r="F3086" s="1">
        <v>3.1704471808165913</v>
      </c>
      <c r="G3086" s="1">
        <v>2.8854527226798155E-2</v>
      </c>
    </row>
    <row r="3087" spans="1:7">
      <c r="A3087">
        <v>178</v>
      </c>
      <c r="B3087">
        <v>256</v>
      </c>
      <c r="C3087" s="1">
        <f>(Tabela1[[#This Row],[x]]-H$3)*(Tabela1[[#This Row],[x]]-H$3) +(Tabela1[[#This Row],[y]]-H$4)*(Tabela1[[#This Row],[y]]-H$4)</f>
        <v>3620</v>
      </c>
      <c r="D3087" s="1">
        <f>IF(Tabela1[[#This Row],[promien]]&lt;40000,1,0)</f>
        <v>1</v>
      </c>
      <c r="E3087" s="1">
        <f>IF(Tabela1[[#This Row],[promien]]=40000,1,0)</f>
        <v>0</v>
      </c>
      <c r="F3087" s="1">
        <v>3.1707159054097831</v>
      </c>
      <c r="G3087" s="1">
        <v>2.9123251819989981E-2</v>
      </c>
    </row>
    <row r="3088" spans="1:7">
      <c r="A3088">
        <v>223</v>
      </c>
      <c r="B3088">
        <v>99</v>
      </c>
      <c r="C3088" s="1">
        <f>(Tabela1[[#This Row],[x]]-H$3)*(Tabela1[[#This Row],[x]]-H$3) +(Tabela1[[#This Row],[y]]-H$4)*(Tabela1[[#This Row],[y]]-H$4)</f>
        <v>10730</v>
      </c>
      <c r="D3088" s="1">
        <f>IF(Tabela1[[#This Row],[promien]]&lt;40000,1,0)</f>
        <v>1</v>
      </c>
      <c r="E3088" s="1">
        <f>IF(Tabela1[[#This Row],[promien]]=40000,1,0)</f>
        <v>0</v>
      </c>
      <c r="F3088" s="1">
        <v>3.1709844559585494</v>
      </c>
      <c r="G3088" s="1">
        <v>2.939180236875627E-2</v>
      </c>
    </row>
    <row r="3089" spans="1:7">
      <c r="A3089">
        <v>249</v>
      </c>
      <c r="B3089">
        <v>282</v>
      </c>
      <c r="C3089" s="1">
        <f>(Tabela1[[#This Row],[x]]-H$3)*(Tabela1[[#This Row],[x]]-H$3) +(Tabela1[[#This Row],[y]]-H$4)*(Tabela1[[#This Row],[y]]-H$4)</f>
        <v>9125</v>
      </c>
      <c r="D3089" s="1">
        <f>IF(Tabela1[[#This Row],[promien]]&lt;40000,1,0)</f>
        <v>1</v>
      </c>
      <c r="E3089" s="1">
        <f>IF(Tabela1[[#This Row],[promien]]=40000,1,0)</f>
        <v>0</v>
      </c>
      <c r="F3089" s="1">
        <v>3.1712528326319198</v>
      </c>
      <c r="G3089" s="1">
        <v>2.96601790421267E-2</v>
      </c>
    </row>
    <row r="3090" spans="1:7">
      <c r="A3090">
        <v>396</v>
      </c>
      <c r="B3090">
        <v>267</v>
      </c>
      <c r="C3090" s="1">
        <f>(Tabela1[[#This Row],[x]]-H$3)*(Tabela1[[#This Row],[x]]-H$3) +(Tabela1[[#This Row],[y]]-H$4)*(Tabela1[[#This Row],[y]]-H$4)</f>
        <v>42905</v>
      </c>
      <c r="D3090" s="1">
        <f>IF(Tabela1[[#This Row],[promien]]&lt;40000,1,0)</f>
        <v>0</v>
      </c>
      <c r="E3090" s="1">
        <f>IF(Tabela1[[#This Row],[promien]]=40000,1,0)</f>
        <v>0</v>
      </c>
      <c r="F3090" s="1">
        <v>3.1702265372168283</v>
      </c>
      <c r="G3090" s="1">
        <v>2.8633883627035228E-2</v>
      </c>
    </row>
    <row r="3091" spans="1:7">
      <c r="A3091">
        <v>121</v>
      </c>
      <c r="B3091">
        <v>374</v>
      </c>
      <c r="C3091" s="1">
        <f>(Tabela1[[#This Row],[x]]-H$3)*(Tabela1[[#This Row],[x]]-H$3) +(Tabela1[[#This Row],[y]]-H$4)*(Tabela1[[#This Row],[y]]-H$4)</f>
        <v>36517</v>
      </c>
      <c r="D3091" s="1">
        <f>IF(Tabela1[[#This Row],[promien]]&lt;40000,1,0)</f>
        <v>1</v>
      </c>
      <c r="E3091" s="1">
        <f>IF(Tabela1[[#This Row],[promien]]=40000,1,0)</f>
        <v>0</v>
      </c>
      <c r="F3091" s="1">
        <v>3.1704949854416045</v>
      </c>
      <c r="G3091" s="1">
        <v>2.8902331851811347E-2</v>
      </c>
    </row>
    <row r="3092" spans="1:7">
      <c r="A3092">
        <v>54</v>
      </c>
      <c r="B3092">
        <v>234</v>
      </c>
      <c r="C3092" s="1">
        <f>(Tabela1[[#This Row],[x]]-H$3)*(Tabela1[[#This Row],[x]]-H$3) +(Tabela1[[#This Row],[y]]-H$4)*(Tabela1[[#This Row],[y]]-H$4)</f>
        <v>22472</v>
      </c>
      <c r="D3092" s="1">
        <f>IF(Tabela1[[#This Row],[promien]]&lt;40000,1,0)</f>
        <v>1</v>
      </c>
      <c r="E3092" s="1">
        <f>IF(Tabela1[[#This Row],[promien]]=40000,1,0)</f>
        <v>0</v>
      </c>
      <c r="F3092" s="1">
        <v>3.1707632600258733</v>
      </c>
      <c r="G3092" s="1">
        <v>2.917060643608016E-2</v>
      </c>
    </row>
    <row r="3093" spans="1:7">
      <c r="A3093">
        <v>218</v>
      </c>
      <c r="B3093">
        <v>158</v>
      </c>
      <c r="C3093" s="1">
        <f>(Tabela1[[#This Row],[x]]-H$3)*(Tabela1[[#This Row],[x]]-H$3) +(Tabela1[[#This Row],[y]]-H$4)*(Tabela1[[#This Row],[y]]-H$4)</f>
        <v>2088</v>
      </c>
      <c r="D3093" s="1">
        <f>IF(Tabela1[[#This Row],[promien]]&lt;40000,1,0)</f>
        <v>1</v>
      </c>
      <c r="E3093" s="1">
        <f>IF(Tabela1[[#This Row],[promien]]=40000,1,0)</f>
        <v>0</v>
      </c>
      <c r="F3093" s="1">
        <v>3.1710313611380538</v>
      </c>
      <c r="G3093" s="1">
        <v>2.9438707548260723E-2</v>
      </c>
    </row>
    <row r="3094" spans="1:7">
      <c r="A3094">
        <v>2</v>
      </c>
      <c r="B3094">
        <v>113</v>
      </c>
      <c r="C3094" s="1">
        <f>(Tabela1[[#This Row],[x]]-H$3)*(Tabela1[[#This Row],[x]]-H$3) +(Tabela1[[#This Row],[y]]-H$4)*(Tabela1[[#This Row],[y]]-H$4)</f>
        <v>46773</v>
      </c>
      <c r="D3094" s="1">
        <f>IF(Tabela1[[#This Row],[promien]]&lt;40000,1,0)</f>
        <v>0</v>
      </c>
      <c r="E3094" s="1">
        <f>IF(Tabela1[[#This Row],[promien]]=40000,1,0)</f>
        <v>0</v>
      </c>
      <c r="F3094" s="1">
        <v>3.170006464124111</v>
      </c>
      <c r="G3094" s="1">
        <v>2.8413810534317907E-2</v>
      </c>
    </row>
    <row r="3095" spans="1:7">
      <c r="A3095">
        <v>67</v>
      </c>
      <c r="B3095">
        <v>159</v>
      </c>
      <c r="C3095" s="1">
        <f>(Tabela1[[#This Row],[x]]-H$3)*(Tabela1[[#This Row],[x]]-H$3) +(Tabela1[[#This Row],[y]]-H$4)*(Tabela1[[#This Row],[y]]-H$4)</f>
        <v>19370</v>
      </c>
      <c r="D3095" s="1">
        <f>IF(Tabela1[[#This Row],[promien]]&lt;40000,1,0)</f>
        <v>1</v>
      </c>
      <c r="E3095" s="1">
        <f>IF(Tabela1[[#This Row],[promien]]=40000,1,0)</f>
        <v>0</v>
      </c>
      <c r="F3095" s="1">
        <v>3.1702746365105008</v>
      </c>
      <c r="G3095" s="1">
        <v>2.8681982920707672E-2</v>
      </c>
    </row>
    <row r="3096" spans="1:7">
      <c r="A3096">
        <v>230</v>
      </c>
      <c r="B3096">
        <v>119</v>
      </c>
      <c r="C3096" s="1">
        <f>(Tabela1[[#This Row],[x]]-H$3)*(Tabela1[[#This Row],[x]]-H$3) +(Tabela1[[#This Row],[y]]-H$4)*(Tabela1[[#This Row],[y]]-H$4)</f>
        <v>7461</v>
      </c>
      <c r="D3096" s="1">
        <f>IF(Tabela1[[#This Row],[promien]]&lt;40000,1,0)</f>
        <v>1</v>
      </c>
      <c r="E3096" s="1">
        <f>IF(Tabela1[[#This Row],[promien]]=40000,1,0)</f>
        <v>0</v>
      </c>
      <c r="F3096" s="1">
        <v>3.1705426356589146</v>
      </c>
      <c r="G3096" s="1">
        <v>2.8949982069121472E-2</v>
      </c>
    </row>
    <row r="3097" spans="1:7">
      <c r="A3097">
        <v>139</v>
      </c>
      <c r="B3097">
        <v>136</v>
      </c>
      <c r="C3097" s="1">
        <f>(Tabela1[[#This Row],[x]]-H$3)*(Tabela1[[#This Row],[x]]-H$3) +(Tabela1[[#This Row],[y]]-H$4)*(Tabela1[[#This Row],[y]]-H$4)</f>
        <v>7817</v>
      </c>
      <c r="D3097" s="1">
        <f>IF(Tabela1[[#This Row],[promien]]&lt;40000,1,0)</f>
        <v>1</v>
      </c>
      <c r="E3097" s="1">
        <f>IF(Tabela1[[#This Row],[promien]]=40000,1,0)</f>
        <v>0</v>
      </c>
      <c r="F3097" s="1">
        <v>3.1708104617371649</v>
      </c>
      <c r="G3097" s="1">
        <v>2.9217808147371738E-2</v>
      </c>
    </row>
    <row r="3098" spans="1:7">
      <c r="A3098">
        <v>36</v>
      </c>
      <c r="B3098">
        <v>368</v>
      </c>
      <c r="C3098" s="1">
        <f>(Tabela1[[#This Row],[x]]-H$3)*(Tabela1[[#This Row],[x]]-H$3) +(Tabela1[[#This Row],[y]]-H$4)*(Tabela1[[#This Row],[y]]-H$4)</f>
        <v>55120</v>
      </c>
      <c r="D3098" s="1">
        <f>IF(Tabela1[[#This Row],[promien]]&lt;40000,1,0)</f>
        <v>0</v>
      </c>
      <c r="E3098" s="1">
        <f>IF(Tabela1[[#This Row],[promien]]=40000,1,0)</f>
        <v>0</v>
      </c>
      <c r="F3098" s="1">
        <v>3.169786959328599</v>
      </c>
      <c r="G3098" s="1">
        <v>2.819430573880588E-2</v>
      </c>
    </row>
    <row r="3099" spans="1:7">
      <c r="A3099">
        <v>277</v>
      </c>
      <c r="B3099">
        <v>362</v>
      </c>
      <c r="C3099" s="1">
        <f>(Tabela1[[#This Row],[x]]-H$3)*(Tabela1[[#This Row],[x]]-H$3) +(Tabela1[[#This Row],[y]]-H$4)*(Tabela1[[#This Row],[y]]-H$4)</f>
        <v>32173</v>
      </c>
      <c r="D3099" s="1">
        <f>IF(Tabela1[[#This Row],[promien]]&lt;40000,1,0)</f>
        <v>1</v>
      </c>
      <c r="E3099" s="1">
        <f>IF(Tabela1[[#This Row],[promien]]=40000,1,0)</f>
        <v>0</v>
      </c>
      <c r="F3099" s="1">
        <v>3.1700548564052919</v>
      </c>
      <c r="G3099" s="1">
        <v>2.8462202815498827E-2</v>
      </c>
    </row>
    <row r="3100" spans="1:7">
      <c r="A3100">
        <v>139</v>
      </c>
      <c r="B3100">
        <v>122</v>
      </c>
      <c r="C3100" s="1">
        <f>(Tabela1[[#This Row],[x]]-H$3)*(Tabela1[[#This Row],[x]]-H$3) +(Tabela1[[#This Row],[y]]-H$4)*(Tabela1[[#This Row],[y]]-H$4)</f>
        <v>9805</v>
      </c>
      <c r="D3100" s="1">
        <f>IF(Tabela1[[#This Row],[promien]]&lt;40000,1,0)</f>
        <v>1</v>
      </c>
      <c r="E3100" s="1">
        <f>IF(Tabela1[[#This Row],[promien]]=40000,1,0)</f>
        <v>0</v>
      </c>
      <c r="F3100" s="1">
        <v>3.1703225806451614</v>
      </c>
      <c r="G3100" s="1">
        <v>2.8729927055368254E-2</v>
      </c>
    </row>
    <row r="3101" spans="1:7">
      <c r="A3101">
        <v>295</v>
      </c>
      <c r="B3101">
        <v>366</v>
      </c>
      <c r="C3101" s="1">
        <f>(Tabela1[[#This Row],[x]]-H$3)*(Tabela1[[#This Row],[x]]-H$3) +(Tabela1[[#This Row],[y]]-H$4)*(Tabela1[[#This Row],[y]]-H$4)</f>
        <v>36581</v>
      </c>
      <c r="D3101" s="1">
        <f>IF(Tabela1[[#This Row],[promien]]&lt;40000,1,0)</f>
        <v>1</v>
      </c>
      <c r="E3101" s="1">
        <f>IF(Tabela1[[#This Row],[promien]]=40000,1,0)</f>
        <v>0</v>
      </c>
      <c r="F3101" s="1">
        <v>3.1705901322154144</v>
      </c>
      <c r="G3101" s="1">
        <v>2.8997478625621298E-2</v>
      </c>
    </row>
    <row r="3102" spans="1:7">
      <c r="A3102">
        <v>343</v>
      </c>
      <c r="B3102">
        <v>145</v>
      </c>
      <c r="C3102" s="1">
        <f>(Tabela1[[#This Row],[x]]-H$3)*(Tabela1[[#This Row],[x]]-H$3) +(Tabela1[[#This Row],[y]]-H$4)*(Tabela1[[#This Row],[y]]-H$4)</f>
        <v>23474</v>
      </c>
      <c r="D3102" s="1">
        <f>IF(Tabela1[[#This Row],[promien]]&lt;40000,1,0)</f>
        <v>1</v>
      </c>
      <c r="E3102" s="1">
        <f>IF(Tabela1[[#This Row],[promien]]=40000,1,0)</f>
        <v>0</v>
      </c>
      <c r="F3102" s="1">
        <v>3.1708575112830433</v>
      </c>
      <c r="G3102" s="1">
        <v>2.9264857693250157E-2</v>
      </c>
    </row>
    <row r="3103" spans="1:7">
      <c r="A3103">
        <v>271</v>
      </c>
      <c r="B3103">
        <v>120</v>
      </c>
      <c r="C3103" s="1">
        <f>(Tabela1[[#This Row],[x]]-H$3)*(Tabela1[[#This Row],[x]]-H$3) +(Tabela1[[#This Row],[y]]-H$4)*(Tabela1[[#This Row],[y]]-H$4)</f>
        <v>11441</v>
      </c>
      <c r="D3103" s="1">
        <f>IF(Tabela1[[#This Row],[promien]]&lt;40000,1,0)</f>
        <v>1</v>
      </c>
      <c r="E3103" s="1">
        <f>IF(Tabela1[[#This Row],[promien]]=40000,1,0)</f>
        <v>0</v>
      </c>
      <c r="F3103" s="1">
        <v>3.1711247180148243</v>
      </c>
      <c r="G3103" s="1">
        <v>2.9532064425031201E-2</v>
      </c>
    </row>
    <row r="3104" spans="1:7">
      <c r="A3104">
        <v>235</v>
      </c>
      <c r="B3104">
        <v>106</v>
      </c>
      <c r="C3104" s="1">
        <f>(Tabela1[[#This Row],[x]]-H$3)*(Tabela1[[#This Row],[x]]-H$3) +(Tabela1[[#This Row],[y]]-H$4)*(Tabela1[[#This Row],[y]]-H$4)</f>
        <v>10061</v>
      </c>
      <c r="D3104" s="1">
        <f>IF(Tabela1[[#This Row],[promien]]&lt;40000,1,0)</f>
        <v>1</v>
      </c>
      <c r="E3104" s="1">
        <f>IF(Tabela1[[#This Row],[promien]]=40000,1,0)</f>
        <v>0</v>
      </c>
      <c r="F3104" s="1">
        <v>3.1713917525773194</v>
      </c>
      <c r="G3104" s="1">
        <v>2.9799098987526307E-2</v>
      </c>
    </row>
    <row r="3105" spans="1:7">
      <c r="A3105">
        <v>338</v>
      </c>
      <c r="B3105">
        <v>316</v>
      </c>
      <c r="C3105" s="1">
        <f>(Tabela1[[#This Row],[x]]-H$3)*(Tabela1[[#This Row],[x]]-H$3) +(Tabela1[[#This Row],[y]]-H$4)*(Tabela1[[#This Row],[y]]-H$4)</f>
        <v>32500</v>
      </c>
      <c r="D3105" s="1">
        <f>IF(Tabela1[[#This Row],[promien]]&lt;40000,1,0)</f>
        <v>1</v>
      </c>
      <c r="E3105" s="1">
        <f>IF(Tabela1[[#This Row],[promien]]=40000,1,0)</f>
        <v>0</v>
      </c>
      <c r="F3105" s="1">
        <v>3.171658615136876</v>
      </c>
      <c r="G3105" s="1">
        <v>3.0065961547082853E-2</v>
      </c>
    </row>
    <row r="3106" spans="1:7">
      <c r="A3106">
        <v>205</v>
      </c>
      <c r="B3106">
        <v>75</v>
      </c>
      <c r="C3106" s="1">
        <f>(Tabela1[[#This Row],[x]]-H$3)*(Tabela1[[#This Row],[x]]-H$3) +(Tabela1[[#This Row],[y]]-H$4)*(Tabela1[[#This Row],[y]]-H$4)</f>
        <v>15650</v>
      </c>
      <c r="D3106" s="1">
        <f>IF(Tabela1[[#This Row],[promien]]&lt;40000,1,0)</f>
        <v>1</v>
      </c>
      <c r="E3106" s="1">
        <f>IF(Tabela1[[#This Row],[promien]]=40000,1,0)</f>
        <v>0</v>
      </c>
      <c r="F3106" s="1">
        <v>3.1719253058596264</v>
      </c>
      <c r="G3106" s="1">
        <v>3.0332652269833282E-2</v>
      </c>
    </row>
    <row r="3107" spans="1:7">
      <c r="A3107">
        <v>177</v>
      </c>
      <c r="B3107">
        <v>236</v>
      </c>
      <c r="C3107" s="1">
        <f>(Tabela1[[#This Row],[x]]-H$3)*(Tabela1[[#This Row],[x]]-H$3) +(Tabela1[[#This Row],[y]]-H$4)*(Tabela1[[#This Row],[y]]-H$4)</f>
        <v>1825</v>
      </c>
      <c r="D3107" s="1">
        <f>IF(Tabela1[[#This Row],[promien]]&lt;40000,1,0)</f>
        <v>1</v>
      </c>
      <c r="E3107" s="1">
        <f>IF(Tabela1[[#This Row],[promien]]=40000,1,0)</f>
        <v>0</v>
      </c>
      <c r="F3107" s="1">
        <v>3.17219182491149</v>
      </c>
      <c r="G3107" s="1">
        <v>3.0599171321696872E-2</v>
      </c>
    </row>
    <row r="3108" spans="1:7">
      <c r="A3108">
        <v>200</v>
      </c>
      <c r="B3108">
        <v>266</v>
      </c>
      <c r="C3108" s="1">
        <f>(Tabela1[[#This Row],[x]]-H$3)*(Tabela1[[#This Row],[x]]-H$3) +(Tabela1[[#This Row],[y]]-H$4)*(Tabela1[[#This Row],[y]]-H$4)</f>
        <v>4356</v>
      </c>
      <c r="D3108" s="1">
        <f>IF(Tabela1[[#This Row],[promien]]&lt;40000,1,0)</f>
        <v>1</v>
      </c>
      <c r="E3108" s="1">
        <f>IF(Tabela1[[#This Row],[promien]]=40000,1,0)</f>
        <v>0</v>
      </c>
      <c r="F3108" s="1">
        <v>3.1724581724581724</v>
      </c>
      <c r="G3108" s="1">
        <v>3.0865518868379294E-2</v>
      </c>
    </row>
    <row r="3109" spans="1:7">
      <c r="A3109">
        <v>317</v>
      </c>
      <c r="B3109">
        <v>310</v>
      </c>
      <c r="C3109" s="1">
        <f>(Tabela1[[#This Row],[x]]-H$3)*(Tabela1[[#This Row],[x]]-H$3) +(Tabela1[[#This Row],[y]]-H$4)*(Tabela1[[#This Row],[y]]-H$4)</f>
        <v>25789</v>
      </c>
      <c r="D3109" s="1">
        <f>IF(Tabela1[[#This Row],[promien]]&lt;40000,1,0)</f>
        <v>1</v>
      </c>
      <c r="E3109" s="1">
        <f>IF(Tabela1[[#This Row],[promien]]=40000,1,0)</f>
        <v>0</v>
      </c>
      <c r="F3109" s="1">
        <v>3.1727243486651657</v>
      </c>
      <c r="G3109" s="1">
        <v>3.1131695075372612E-2</v>
      </c>
    </row>
    <row r="3110" spans="1:7">
      <c r="A3110">
        <v>17</v>
      </c>
      <c r="B3110">
        <v>391</v>
      </c>
      <c r="C3110" s="1">
        <f>(Tabela1[[#This Row],[x]]-H$3)*(Tabela1[[#This Row],[x]]-H$3) +(Tabela1[[#This Row],[y]]-H$4)*(Tabela1[[#This Row],[y]]-H$4)</f>
        <v>69970</v>
      </c>
      <c r="D3110" s="1">
        <f>IF(Tabela1[[#This Row],[promien]]&lt;40000,1,0)</f>
        <v>0</v>
      </c>
      <c r="E3110" s="1">
        <f>IF(Tabela1[[#This Row],[promien]]=40000,1,0)</f>
        <v>0</v>
      </c>
      <c r="F3110" s="1">
        <v>3.1717041800643089</v>
      </c>
      <c r="G3110" s="1">
        <v>3.011152647451576E-2</v>
      </c>
    </row>
    <row r="3111" spans="1:7">
      <c r="A3111">
        <v>183</v>
      </c>
      <c r="B3111">
        <v>10</v>
      </c>
      <c r="C3111" s="1">
        <f>(Tabela1[[#This Row],[x]]-H$3)*(Tabela1[[#This Row],[x]]-H$3) +(Tabela1[[#This Row],[y]]-H$4)*(Tabela1[[#This Row],[y]]-H$4)</f>
        <v>36389</v>
      </c>
      <c r="D3111" s="1">
        <f>IF(Tabela1[[#This Row],[promien]]&lt;40000,1,0)</f>
        <v>1</v>
      </c>
      <c r="E3111" s="1">
        <f>IF(Tabela1[[#This Row],[promien]]=40000,1,0)</f>
        <v>0</v>
      </c>
      <c r="F3111" s="1">
        <v>3.1719704275152685</v>
      </c>
      <c r="G3111" s="1">
        <v>3.037777392547536E-2</v>
      </c>
    </row>
    <row r="3112" spans="1:7">
      <c r="A3112">
        <v>339</v>
      </c>
      <c r="B3112">
        <v>44</v>
      </c>
      <c r="C3112" s="1">
        <f>(Tabela1[[#This Row],[x]]-H$3)*(Tabela1[[#This Row],[x]]-H$3) +(Tabela1[[#This Row],[y]]-H$4)*(Tabela1[[#This Row],[y]]-H$4)</f>
        <v>43657</v>
      </c>
      <c r="D3112" s="1">
        <f>IF(Tabela1[[#This Row],[promien]]&lt;40000,1,0)</f>
        <v>0</v>
      </c>
      <c r="E3112" s="1">
        <f>IF(Tabela1[[#This Row],[promien]]=40000,1,0)</f>
        <v>0</v>
      </c>
      <c r="F3112" s="1">
        <v>3.1709511568123392</v>
      </c>
      <c r="G3112" s="1">
        <v>2.9358503222546073E-2</v>
      </c>
    </row>
    <row r="3113" spans="1:7">
      <c r="A3113">
        <v>71</v>
      </c>
      <c r="B3113">
        <v>40</v>
      </c>
      <c r="C3113" s="1">
        <f>(Tabela1[[#This Row],[x]]-H$3)*(Tabela1[[#This Row],[x]]-H$3) +(Tabela1[[#This Row],[y]]-H$4)*(Tabela1[[#This Row],[y]]-H$4)</f>
        <v>42241</v>
      </c>
      <c r="D3113" s="1">
        <f>IF(Tabela1[[#This Row],[promien]]&lt;40000,1,0)</f>
        <v>0</v>
      </c>
      <c r="E3113" s="1">
        <f>IF(Tabela1[[#This Row],[promien]]=40000,1,0)</f>
        <v>0</v>
      </c>
      <c r="F3113" s="1">
        <v>3.1699325409572761</v>
      </c>
      <c r="G3113" s="1">
        <v>2.8339887367482941E-2</v>
      </c>
    </row>
    <row r="3114" spans="1:7">
      <c r="A3114">
        <v>99</v>
      </c>
      <c r="B3114">
        <v>297</v>
      </c>
      <c r="C3114" s="1">
        <f>(Tabela1[[#This Row],[x]]-H$3)*(Tabela1[[#This Row],[x]]-H$3) +(Tabela1[[#This Row],[y]]-H$4)*(Tabela1[[#This Row],[y]]-H$4)</f>
        <v>19610</v>
      </c>
      <c r="D3114" s="1">
        <f>IF(Tabela1[[#This Row],[promien]]&lt;40000,1,0)</f>
        <v>1</v>
      </c>
      <c r="E3114" s="1">
        <f>IF(Tabela1[[#This Row],[promien]]=40000,1,0)</f>
        <v>0</v>
      </c>
      <c r="F3114" s="1">
        <v>3.1701991008349388</v>
      </c>
      <c r="G3114" s="1">
        <v>2.8606447245145716E-2</v>
      </c>
    </row>
    <row r="3115" spans="1:7">
      <c r="A3115">
        <v>228</v>
      </c>
      <c r="B3115">
        <v>272</v>
      </c>
      <c r="C3115" s="1">
        <f>(Tabela1[[#This Row],[x]]-H$3)*(Tabela1[[#This Row],[x]]-H$3) +(Tabela1[[#This Row],[y]]-H$4)*(Tabela1[[#This Row],[y]]-H$4)</f>
        <v>5968</v>
      </c>
      <c r="D3115" s="1">
        <f>IF(Tabela1[[#This Row],[promien]]&lt;40000,1,0)</f>
        <v>1</v>
      </c>
      <c r="E3115" s="1">
        <f>IF(Tabela1[[#This Row],[promien]]=40000,1,0)</f>
        <v>0</v>
      </c>
      <c r="F3115" s="1">
        <v>3.1704654895666131</v>
      </c>
      <c r="G3115" s="1">
        <v>2.8872835976819999E-2</v>
      </c>
    </row>
    <row r="3116" spans="1:7">
      <c r="A3116">
        <v>62</v>
      </c>
      <c r="B3116">
        <v>112</v>
      </c>
      <c r="C3116" s="1">
        <f>(Tabela1[[#This Row],[x]]-H$3)*(Tabela1[[#This Row],[x]]-H$3) +(Tabela1[[#This Row],[y]]-H$4)*(Tabela1[[#This Row],[y]]-H$4)</f>
        <v>26788</v>
      </c>
      <c r="D3116" s="1">
        <f>IF(Tabela1[[#This Row],[promien]]&lt;40000,1,0)</f>
        <v>1</v>
      </c>
      <c r="E3116" s="1">
        <f>IF(Tabela1[[#This Row],[promien]]=40000,1,0)</f>
        <v>0</v>
      </c>
      <c r="F3116" s="1">
        <v>3.1707317073170733</v>
      </c>
      <c r="G3116" s="1">
        <v>2.9139053727280206E-2</v>
      </c>
    </row>
    <row r="3117" spans="1:7">
      <c r="A3117">
        <v>24</v>
      </c>
      <c r="B3117">
        <v>28</v>
      </c>
      <c r="C3117" s="1">
        <f>(Tabela1[[#This Row],[x]]-H$3)*(Tabela1[[#This Row],[x]]-H$3) +(Tabela1[[#This Row],[y]]-H$4)*(Tabela1[[#This Row],[y]]-H$4)</f>
        <v>60560</v>
      </c>
      <c r="D3117" s="1">
        <f>IF(Tabela1[[#This Row],[promien]]&lt;40000,1,0)</f>
        <v>0</v>
      </c>
      <c r="E3117" s="1">
        <f>IF(Tabela1[[#This Row],[promien]]=40000,1,0)</f>
        <v>0</v>
      </c>
      <c r="F3117" s="1">
        <v>3.1697144690407444</v>
      </c>
      <c r="G3117" s="1">
        <v>2.8121815450951271E-2</v>
      </c>
    </row>
    <row r="3118" spans="1:7">
      <c r="A3118">
        <v>147</v>
      </c>
      <c r="B3118">
        <v>311</v>
      </c>
      <c r="C3118" s="1">
        <f>(Tabela1[[#This Row],[x]]-H$3)*(Tabela1[[#This Row],[x]]-H$3) +(Tabela1[[#This Row],[y]]-H$4)*(Tabela1[[#This Row],[y]]-H$4)</f>
        <v>15130</v>
      </c>
      <c r="D3118" s="1">
        <f>IF(Tabela1[[#This Row],[promien]]&lt;40000,1,0)</f>
        <v>1</v>
      </c>
      <c r="E3118" s="1">
        <f>IF(Tabela1[[#This Row],[promien]]=40000,1,0)</f>
        <v>0</v>
      </c>
      <c r="F3118" s="1">
        <v>3.1699807568954457</v>
      </c>
      <c r="G3118" s="1">
        <v>2.8388103305652557E-2</v>
      </c>
    </row>
    <row r="3119" spans="1:7">
      <c r="A3119">
        <v>115</v>
      </c>
      <c r="B3119">
        <v>362</v>
      </c>
      <c r="C3119" s="1">
        <f>(Tabela1[[#This Row],[x]]-H$3)*(Tabela1[[#This Row],[x]]-H$3) +(Tabela1[[#This Row],[y]]-H$4)*(Tabela1[[#This Row],[y]]-H$4)</f>
        <v>33469</v>
      </c>
      <c r="D3119" s="1">
        <f>IF(Tabela1[[#This Row],[promien]]&lt;40000,1,0)</f>
        <v>1</v>
      </c>
      <c r="E3119" s="1">
        <f>IF(Tabela1[[#This Row],[promien]]=40000,1,0)</f>
        <v>0</v>
      </c>
      <c r="F3119" s="1">
        <v>3.1702468739980763</v>
      </c>
      <c r="G3119" s="1">
        <v>2.8654220408283138E-2</v>
      </c>
    </row>
    <row r="3120" spans="1:7">
      <c r="A3120">
        <v>164</v>
      </c>
      <c r="B3120">
        <v>77</v>
      </c>
      <c r="C3120" s="1">
        <f>(Tabela1[[#This Row],[x]]-H$3)*(Tabela1[[#This Row],[x]]-H$3) +(Tabela1[[#This Row],[y]]-H$4)*(Tabela1[[#This Row],[y]]-H$4)</f>
        <v>16425</v>
      </c>
      <c r="D3120" s="1">
        <f>IF(Tabela1[[#This Row],[promien]]&lt;40000,1,0)</f>
        <v>1</v>
      </c>
      <c r="E3120" s="1">
        <f>IF(Tabela1[[#This Row],[promien]]=40000,1,0)</f>
        <v>0</v>
      </c>
      <c r="F3120" s="1">
        <v>3.1705128205128204</v>
      </c>
      <c r="G3120" s="1">
        <v>2.8920166923027235E-2</v>
      </c>
    </row>
    <row r="3121" spans="1:7">
      <c r="A3121">
        <v>16</v>
      </c>
      <c r="B3121">
        <v>294</v>
      </c>
      <c r="C3121" s="1">
        <f>(Tabela1[[#This Row],[x]]-H$3)*(Tabela1[[#This Row],[x]]-H$3) +(Tabela1[[#This Row],[y]]-H$4)*(Tabela1[[#This Row],[y]]-H$4)</f>
        <v>42692</v>
      </c>
      <c r="D3121" s="1">
        <f>IF(Tabela1[[#This Row],[promien]]&lt;40000,1,0)</f>
        <v>0</v>
      </c>
      <c r="E3121" s="1">
        <f>IF(Tabela1[[#This Row],[promien]]=40000,1,0)</f>
        <v>0</v>
      </c>
      <c r="F3121" s="1">
        <v>3.1694969561038131</v>
      </c>
      <c r="G3121" s="1">
        <v>2.7904302514019985E-2</v>
      </c>
    </row>
    <row r="3122" spans="1:7">
      <c r="A3122">
        <v>103</v>
      </c>
      <c r="B3122">
        <v>16</v>
      </c>
      <c r="C3122" s="1">
        <f>(Tabela1[[#This Row],[x]]-H$3)*(Tabela1[[#This Row],[x]]-H$3) +(Tabela1[[#This Row],[y]]-H$4)*(Tabela1[[#This Row],[y]]-H$4)</f>
        <v>43265</v>
      </c>
      <c r="D3122" s="1">
        <f>IF(Tabela1[[#This Row],[promien]]&lt;40000,1,0)</f>
        <v>0</v>
      </c>
      <c r="E3122" s="1">
        <f>IF(Tabela1[[#This Row],[promien]]=40000,1,0)</f>
        <v>0</v>
      </c>
      <c r="F3122" s="1">
        <v>3.1684817424727738</v>
      </c>
      <c r="G3122" s="1">
        <v>2.6889088882980694E-2</v>
      </c>
    </row>
    <row r="3123" spans="1:7">
      <c r="A3123">
        <v>8</v>
      </c>
      <c r="B3123">
        <v>10</v>
      </c>
      <c r="C3123" s="1">
        <f>(Tabela1[[#This Row],[x]]-H$3)*(Tabela1[[#This Row],[x]]-H$3) +(Tabela1[[#This Row],[y]]-H$4)*(Tabela1[[#This Row],[y]]-H$4)</f>
        <v>72964</v>
      </c>
      <c r="D3123" s="1">
        <f>IF(Tabela1[[#This Row],[promien]]&lt;40000,1,0)</f>
        <v>0</v>
      </c>
      <c r="E3123" s="1">
        <f>IF(Tabela1[[#This Row],[promien]]=40000,1,0)</f>
        <v>0</v>
      </c>
      <c r="F3123" s="1">
        <v>3.1674671789945563</v>
      </c>
      <c r="G3123" s="1">
        <v>2.5874525404763205E-2</v>
      </c>
    </row>
    <row r="3124" spans="1:7">
      <c r="A3124">
        <v>300</v>
      </c>
      <c r="B3124">
        <v>382</v>
      </c>
      <c r="C3124" s="1">
        <f>(Tabela1[[#This Row],[x]]-H$3)*(Tabela1[[#This Row],[x]]-H$3) +(Tabela1[[#This Row],[y]]-H$4)*(Tabela1[[#This Row],[y]]-H$4)</f>
        <v>43124</v>
      </c>
      <c r="D3124" s="1">
        <f>IF(Tabela1[[#This Row],[promien]]&lt;40000,1,0)</f>
        <v>0</v>
      </c>
      <c r="E3124" s="1">
        <f>IF(Tabela1[[#This Row],[promien]]=40000,1,0)</f>
        <v>0</v>
      </c>
      <c r="F3124" s="1">
        <v>3.1664532650448143</v>
      </c>
      <c r="G3124" s="1">
        <v>2.4860611455021164E-2</v>
      </c>
    </row>
    <row r="3125" spans="1:7">
      <c r="A3125">
        <v>177</v>
      </c>
      <c r="B3125">
        <v>355</v>
      </c>
      <c r="C3125" s="1">
        <f>(Tabela1[[#This Row],[x]]-H$3)*(Tabela1[[#This Row],[x]]-H$3) +(Tabela1[[#This Row],[y]]-H$4)*(Tabela1[[#This Row],[y]]-H$4)</f>
        <v>24554</v>
      </c>
      <c r="D3125" s="1">
        <f>IF(Tabela1[[#This Row],[promien]]&lt;40000,1,0)</f>
        <v>1</v>
      </c>
      <c r="E3125" s="1">
        <f>IF(Tabela1[[#This Row],[promien]]=40000,1,0)</f>
        <v>0</v>
      </c>
      <c r="F3125" s="1">
        <v>3.1667200000000002</v>
      </c>
      <c r="G3125" s="1">
        <v>2.5127346410207085E-2</v>
      </c>
    </row>
    <row r="3126" spans="1:7">
      <c r="A3126">
        <v>275</v>
      </c>
      <c r="B3126">
        <v>277</v>
      </c>
      <c r="C3126" s="1">
        <f>(Tabela1[[#This Row],[x]]-H$3)*(Tabela1[[#This Row],[x]]-H$3) +(Tabela1[[#This Row],[y]]-H$4)*(Tabela1[[#This Row],[y]]-H$4)</f>
        <v>11554</v>
      </c>
      <c r="D3126" s="1">
        <f>IF(Tabela1[[#This Row],[promien]]&lt;40000,1,0)</f>
        <v>1</v>
      </c>
      <c r="E3126" s="1">
        <f>IF(Tabela1[[#This Row],[promien]]=40000,1,0)</f>
        <v>0</v>
      </c>
      <c r="F3126" s="1">
        <v>3.1669865642994242</v>
      </c>
      <c r="G3126" s="1">
        <v>2.539391070963104E-2</v>
      </c>
    </row>
    <row r="3127" spans="1:7">
      <c r="A3127">
        <v>99</v>
      </c>
      <c r="B3127">
        <v>198</v>
      </c>
      <c r="C3127" s="1">
        <f>(Tabela1[[#This Row],[x]]-H$3)*(Tabela1[[#This Row],[x]]-H$3) +(Tabela1[[#This Row],[y]]-H$4)*(Tabela1[[#This Row],[y]]-H$4)</f>
        <v>10205</v>
      </c>
      <c r="D3127" s="1">
        <f>IF(Tabela1[[#This Row],[promien]]&lt;40000,1,0)</f>
        <v>1</v>
      </c>
      <c r="E3127" s="1">
        <f>IF(Tabela1[[#This Row],[promien]]=40000,1,0)</f>
        <v>0</v>
      </c>
      <c r="F3127" s="1">
        <v>3.1672529581068116</v>
      </c>
      <c r="G3127" s="1">
        <v>2.5660304517018506E-2</v>
      </c>
    </row>
    <row r="3128" spans="1:7">
      <c r="A3128">
        <v>359</v>
      </c>
      <c r="B3128">
        <v>78</v>
      </c>
      <c r="C3128" s="1">
        <f>(Tabela1[[#This Row],[x]]-H$3)*(Tabela1[[#This Row],[x]]-H$3) +(Tabela1[[#This Row],[y]]-H$4)*(Tabela1[[#This Row],[y]]-H$4)</f>
        <v>40165</v>
      </c>
      <c r="D3128" s="1">
        <f>IF(Tabela1[[#This Row],[promien]]&lt;40000,1,0)</f>
        <v>0</v>
      </c>
      <c r="E3128" s="1">
        <f>IF(Tabela1[[#This Row],[promien]]=40000,1,0)</f>
        <v>0</v>
      </c>
      <c r="F3128" s="1">
        <v>3.1662404092071612</v>
      </c>
      <c r="G3128" s="1">
        <v>2.4647755617368095E-2</v>
      </c>
    </row>
    <row r="3129" spans="1:7">
      <c r="A3129">
        <v>200</v>
      </c>
      <c r="B3129">
        <v>78</v>
      </c>
      <c r="C3129" s="1">
        <f>(Tabela1[[#This Row],[x]]-H$3)*(Tabela1[[#This Row],[x]]-H$3) +(Tabela1[[#This Row],[y]]-H$4)*(Tabela1[[#This Row],[y]]-H$4)</f>
        <v>14884</v>
      </c>
      <c r="D3129" s="1">
        <f>IF(Tabela1[[#This Row],[promien]]&lt;40000,1,0)</f>
        <v>1</v>
      </c>
      <c r="E3129" s="1">
        <f>IF(Tabela1[[#This Row],[promien]]=40000,1,0)</f>
        <v>0</v>
      </c>
      <c r="F3129" s="1">
        <v>3.1665068712048576</v>
      </c>
      <c r="G3129" s="1">
        <v>2.4914217615064516E-2</v>
      </c>
    </row>
    <row r="3130" spans="1:7">
      <c r="A3130">
        <v>266</v>
      </c>
      <c r="B3130">
        <v>45</v>
      </c>
      <c r="C3130" s="1">
        <f>(Tabela1[[#This Row],[x]]-H$3)*(Tabela1[[#This Row],[x]]-H$3) +(Tabela1[[#This Row],[y]]-H$4)*(Tabela1[[#This Row],[y]]-H$4)</f>
        <v>28381</v>
      </c>
      <c r="D3130" s="1">
        <f>IF(Tabela1[[#This Row],[promien]]&lt;40000,1,0)</f>
        <v>1</v>
      </c>
      <c r="E3130" s="1">
        <f>IF(Tabela1[[#This Row],[promien]]=40000,1,0)</f>
        <v>0</v>
      </c>
      <c r="F3130" s="1">
        <v>3.1667731629392972</v>
      </c>
      <c r="G3130" s="1">
        <v>2.518050934950411E-2</v>
      </c>
    </row>
    <row r="3131" spans="1:7">
      <c r="A3131">
        <v>136</v>
      </c>
      <c r="B3131">
        <v>93</v>
      </c>
      <c r="C3131" s="1">
        <f>(Tabela1[[#This Row],[x]]-H$3)*(Tabela1[[#This Row],[x]]-H$3) +(Tabela1[[#This Row],[y]]-H$4)*(Tabela1[[#This Row],[y]]-H$4)</f>
        <v>15545</v>
      </c>
      <c r="D3131" s="1">
        <f>IF(Tabela1[[#This Row],[promien]]&lt;40000,1,0)</f>
        <v>1</v>
      </c>
      <c r="E3131" s="1">
        <f>IF(Tabela1[[#This Row],[promien]]=40000,1,0)</f>
        <v>0</v>
      </c>
      <c r="F3131" s="1">
        <v>3.1670392845736188</v>
      </c>
      <c r="G3131" s="1">
        <v>2.5446630983825713E-2</v>
      </c>
    </row>
    <row r="3132" spans="1:7">
      <c r="A3132">
        <v>319</v>
      </c>
      <c r="B3132">
        <v>330</v>
      </c>
      <c r="C3132" s="1">
        <f>(Tabela1[[#This Row],[x]]-H$3)*(Tabela1[[#This Row],[x]]-H$3) +(Tabela1[[#This Row],[y]]-H$4)*(Tabela1[[#This Row],[y]]-H$4)</f>
        <v>31061</v>
      </c>
      <c r="D3132" s="1">
        <f>IF(Tabela1[[#This Row],[promien]]&lt;40000,1,0)</f>
        <v>1</v>
      </c>
      <c r="E3132" s="1">
        <f>IF(Tabela1[[#This Row],[promien]]=40000,1,0)</f>
        <v>0</v>
      </c>
      <c r="F3132" s="1">
        <v>3.1673052362707534</v>
      </c>
      <c r="G3132" s="1">
        <v>2.5712582680960328E-2</v>
      </c>
    </row>
    <row r="3133" spans="1:7">
      <c r="A3133">
        <v>396</v>
      </c>
      <c r="B3133">
        <v>325</v>
      </c>
      <c r="C3133" s="1">
        <f>(Tabela1[[#This Row],[x]]-H$3)*(Tabela1[[#This Row],[x]]-H$3) +(Tabela1[[#This Row],[y]]-H$4)*(Tabela1[[#This Row],[y]]-H$4)</f>
        <v>54041</v>
      </c>
      <c r="D3133" s="1">
        <f>IF(Tabela1[[#This Row],[promien]]&lt;40000,1,0)</f>
        <v>0</v>
      </c>
      <c r="E3133" s="1">
        <f>IF(Tabela1[[#This Row],[promien]]=40000,1,0)</f>
        <v>0</v>
      </c>
      <c r="F3133" s="1">
        <v>3.1662942866262367</v>
      </c>
      <c r="G3133" s="1">
        <v>2.4701633036443571E-2</v>
      </c>
    </row>
    <row r="3134" spans="1:7">
      <c r="A3134">
        <v>184</v>
      </c>
      <c r="B3134">
        <v>40</v>
      </c>
      <c r="C3134" s="1">
        <f>(Tabela1[[#This Row],[x]]-H$3)*(Tabela1[[#This Row],[x]]-H$3) +(Tabela1[[#This Row],[y]]-H$4)*(Tabela1[[#This Row],[y]]-H$4)</f>
        <v>25856</v>
      </c>
      <c r="D3134" s="1">
        <f>IF(Tabela1[[#This Row],[promien]]&lt;40000,1,0)</f>
        <v>1</v>
      </c>
      <c r="E3134" s="1">
        <f>IF(Tabela1[[#This Row],[promien]]=40000,1,0)</f>
        <v>0</v>
      </c>
      <c r="F3134" s="1">
        <v>3.1665603063178049</v>
      </c>
      <c r="G3134" s="1">
        <v>2.4967652728011824E-2</v>
      </c>
    </row>
    <row r="3135" spans="1:7">
      <c r="A3135">
        <v>164</v>
      </c>
      <c r="B3135">
        <v>186</v>
      </c>
      <c r="C3135" s="1">
        <f>(Tabela1[[#This Row],[x]]-H$3)*(Tabela1[[#This Row],[x]]-H$3) +(Tabela1[[#This Row],[y]]-H$4)*(Tabela1[[#This Row],[y]]-H$4)</f>
        <v>1492</v>
      </c>
      <c r="D3135" s="1">
        <f>IF(Tabela1[[#This Row],[promien]]&lt;40000,1,0)</f>
        <v>1</v>
      </c>
      <c r="E3135" s="1">
        <f>IF(Tabela1[[#This Row],[promien]]=40000,1,0)</f>
        <v>0</v>
      </c>
      <c r="F3135" s="1">
        <v>3.1668261562998405</v>
      </c>
      <c r="G3135" s="1">
        <v>2.5233502710047429E-2</v>
      </c>
    </row>
    <row r="3136" spans="1:7">
      <c r="A3136">
        <v>220</v>
      </c>
      <c r="B3136">
        <v>82</v>
      </c>
      <c r="C3136" s="1">
        <f>(Tabela1[[#This Row],[x]]-H$3)*(Tabela1[[#This Row],[x]]-H$3) +(Tabela1[[#This Row],[y]]-H$4)*(Tabela1[[#This Row],[y]]-H$4)</f>
        <v>14324</v>
      </c>
      <c r="D3136" s="1">
        <f>IF(Tabela1[[#This Row],[promien]]&lt;40000,1,0)</f>
        <v>1</v>
      </c>
      <c r="E3136" s="1">
        <f>IF(Tabela1[[#This Row],[promien]]=40000,1,0)</f>
        <v>0</v>
      </c>
      <c r="F3136" s="1">
        <v>3.1670918367346941</v>
      </c>
      <c r="G3136" s="1">
        <v>2.5499183144900961E-2</v>
      </c>
    </row>
    <row r="3137" spans="1:7">
      <c r="A3137">
        <v>173</v>
      </c>
      <c r="B3137">
        <v>255</v>
      </c>
      <c r="C3137" s="1">
        <f>(Tabela1[[#This Row],[x]]-H$3)*(Tabela1[[#This Row],[x]]-H$3) +(Tabela1[[#This Row],[y]]-H$4)*(Tabela1[[#This Row],[y]]-H$4)</f>
        <v>3754</v>
      </c>
      <c r="D3137" s="1">
        <f>IF(Tabela1[[#This Row],[promien]]&lt;40000,1,0)</f>
        <v>1</v>
      </c>
      <c r="E3137" s="1">
        <f>IF(Tabela1[[#This Row],[promien]]=40000,1,0)</f>
        <v>0</v>
      </c>
      <c r="F3137" s="1">
        <v>3.1673573477845074</v>
      </c>
      <c r="G3137" s="1">
        <v>2.5764694194714277E-2</v>
      </c>
    </row>
    <row r="3138" spans="1:7">
      <c r="A3138">
        <v>338</v>
      </c>
      <c r="B3138">
        <v>162</v>
      </c>
      <c r="C3138" s="1">
        <f>(Tabela1[[#This Row],[x]]-H$3)*(Tabela1[[#This Row],[x]]-H$3) +(Tabela1[[#This Row],[y]]-H$4)*(Tabela1[[#This Row],[y]]-H$4)</f>
        <v>20488</v>
      </c>
      <c r="D3138" s="1">
        <f>IF(Tabela1[[#This Row],[promien]]&lt;40000,1,0)</f>
        <v>1</v>
      </c>
      <c r="E3138" s="1">
        <f>IF(Tabela1[[#This Row],[promien]]=40000,1,0)</f>
        <v>0</v>
      </c>
      <c r="F3138" s="1">
        <v>3.1676226896112172</v>
      </c>
      <c r="G3138" s="1">
        <v>2.6030036021424063E-2</v>
      </c>
    </row>
    <row r="3139" spans="1:7">
      <c r="A3139">
        <v>22</v>
      </c>
      <c r="B3139">
        <v>85</v>
      </c>
      <c r="C3139" s="1">
        <f>(Tabela1[[#This Row],[x]]-H$3)*(Tabela1[[#This Row],[x]]-H$3) +(Tabela1[[#This Row],[y]]-H$4)*(Tabela1[[#This Row],[y]]-H$4)</f>
        <v>44909</v>
      </c>
      <c r="D3139" s="1">
        <f>IF(Tabela1[[#This Row],[promien]]&lt;40000,1,0)</f>
        <v>0</v>
      </c>
      <c r="E3139" s="1">
        <f>IF(Tabela1[[#This Row],[promien]]=40000,1,0)</f>
        <v>0</v>
      </c>
      <c r="F3139" s="1">
        <v>3.1666135712010193</v>
      </c>
      <c r="G3139" s="1">
        <v>2.5020917611226157E-2</v>
      </c>
    </row>
    <row r="3140" spans="1:7">
      <c r="A3140">
        <v>135</v>
      </c>
      <c r="B3140">
        <v>390</v>
      </c>
      <c r="C3140" s="1">
        <f>(Tabela1[[#This Row],[x]]-H$3)*(Tabela1[[#This Row],[x]]-H$3) +(Tabela1[[#This Row],[y]]-H$4)*(Tabela1[[#This Row],[y]]-H$4)</f>
        <v>40325</v>
      </c>
      <c r="D3140" s="1">
        <f>IF(Tabela1[[#This Row],[promien]]&lt;40000,1,0)</f>
        <v>0</v>
      </c>
      <c r="E3140" s="1">
        <f>IF(Tabela1[[#This Row],[promien]]=40000,1,0)</f>
        <v>0</v>
      </c>
      <c r="F3140" s="1">
        <v>3.1656050955414012</v>
      </c>
      <c r="G3140" s="1">
        <v>2.4012441951608121E-2</v>
      </c>
    </row>
    <row r="3141" spans="1:7">
      <c r="A3141">
        <v>91</v>
      </c>
      <c r="B3141">
        <v>360</v>
      </c>
      <c r="C3141" s="1">
        <f>(Tabela1[[#This Row],[x]]-H$3)*(Tabela1[[#This Row],[x]]-H$3) +(Tabela1[[#This Row],[y]]-H$4)*(Tabela1[[#This Row],[y]]-H$4)</f>
        <v>37481</v>
      </c>
      <c r="D3141" s="1">
        <f>IF(Tabela1[[#This Row],[promien]]&lt;40000,1,0)</f>
        <v>1</v>
      </c>
      <c r="E3141" s="1">
        <f>IF(Tabela1[[#This Row],[promien]]=40000,1,0)</f>
        <v>0</v>
      </c>
      <c r="F3141" s="1">
        <v>3.165870741801974</v>
      </c>
      <c r="G3141" s="1">
        <v>2.4278088212180915E-2</v>
      </c>
    </row>
    <row r="3142" spans="1:7">
      <c r="A3142">
        <v>227</v>
      </c>
      <c r="B3142">
        <v>252</v>
      </c>
      <c r="C3142" s="1">
        <f>(Tabela1[[#This Row],[x]]-H$3)*(Tabela1[[#This Row],[x]]-H$3) +(Tabela1[[#This Row],[y]]-H$4)*(Tabela1[[#This Row],[y]]-H$4)</f>
        <v>3433</v>
      </c>
      <c r="D3142" s="1">
        <f>IF(Tabela1[[#This Row],[promien]]&lt;40000,1,0)</f>
        <v>1</v>
      </c>
      <c r="E3142" s="1">
        <f>IF(Tabela1[[#This Row],[promien]]=40000,1,0)</f>
        <v>0</v>
      </c>
      <c r="F3142" s="1">
        <v>3.1661362189688096</v>
      </c>
      <c r="G3142" s="1">
        <v>2.4543565379016474E-2</v>
      </c>
    </row>
    <row r="3143" spans="1:7">
      <c r="A3143">
        <v>41</v>
      </c>
      <c r="B3143">
        <v>29</v>
      </c>
      <c r="C3143" s="1">
        <f>(Tabela1[[#This Row],[x]]-H$3)*(Tabela1[[#This Row],[x]]-H$3) +(Tabela1[[#This Row],[y]]-H$4)*(Tabela1[[#This Row],[y]]-H$4)</f>
        <v>54522</v>
      </c>
      <c r="D3143" s="1">
        <f>IF(Tabela1[[#This Row],[promien]]&lt;40000,1,0)</f>
        <v>0</v>
      </c>
      <c r="E3143" s="1">
        <f>IF(Tabela1[[#This Row],[promien]]=40000,1,0)</f>
        <v>0</v>
      </c>
      <c r="F3143" s="1">
        <v>3.1651288577791918</v>
      </c>
      <c r="G3143" s="1">
        <v>2.3536204189398724E-2</v>
      </c>
    </row>
    <row r="3144" spans="1:7">
      <c r="A3144">
        <v>317</v>
      </c>
      <c r="B3144">
        <v>286</v>
      </c>
      <c r="C3144" s="1">
        <f>(Tabela1[[#This Row],[x]]-H$3)*(Tabela1[[#This Row],[x]]-H$3) +(Tabela1[[#This Row],[y]]-H$4)*(Tabela1[[#This Row],[y]]-H$4)</f>
        <v>21085</v>
      </c>
      <c r="D3144" s="1">
        <f>IF(Tabela1[[#This Row],[promien]]&lt;40000,1,0)</f>
        <v>1</v>
      </c>
      <c r="E3144" s="1">
        <f>IF(Tabela1[[#This Row],[promien]]=40000,1,0)</f>
        <v>0</v>
      </c>
      <c r="F3144" s="1">
        <v>3.1653944020356235</v>
      </c>
      <c r="G3144" s="1">
        <v>2.3801748445830384E-2</v>
      </c>
    </row>
    <row r="3145" spans="1:7">
      <c r="A3145">
        <v>162</v>
      </c>
      <c r="B3145">
        <v>79</v>
      </c>
      <c r="C3145" s="1">
        <f>(Tabela1[[#This Row],[x]]-H$3)*(Tabela1[[#This Row],[x]]-H$3) +(Tabela1[[#This Row],[y]]-H$4)*(Tabela1[[#This Row],[y]]-H$4)</f>
        <v>16085</v>
      </c>
      <c r="D3145" s="1">
        <f>IF(Tabela1[[#This Row],[promien]]&lt;40000,1,0)</f>
        <v>1</v>
      </c>
      <c r="E3145" s="1">
        <f>IF(Tabela1[[#This Row],[promien]]=40000,1,0)</f>
        <v>0</v>
      </c>
      <c r="F3145" s="1">
        <v>3.1656597774244832</v>
      </c>
      <c r="G3145" s="1">
        <v>2.4067123834690118E-2</v>
      </c>
    </row>
    <row r="3146" spans="1:7">
      <c r="A3146">
        <v>284</v>
      </c>
      <c r="B3146">
        <v>197</v>
      </c>
      <c r="C3146" s="1">
        <f>(Tabela1[[#This Row],[x]]-H$3)*(Tabela1[[#This Row],[x]]-H$3) +(Tabela1[[#This Row],[y]]-H$4)*(Tabela1[[#This Row],[y]]-H$4)</f>
        <v>7065</v>
      </c>
      <c r="D3146" s="1">
        <f>IF(Tabela1[[#This Row],[promien]]&lt;40000,1,0)</f>
        <v>1</v>
      </c>
      <c r="E3146" s="1">
        <f>IF(Tabela1[[#This Row],[promien]]=40000,1,0)</f>
        <v>0</v>
      </c>
      <c r="F3146" s="1">
        <v>3.1659249841068022</v>
      </c>
      <c r="G3146" s="1">
        <v>2.4332330517009115E-2</v>
      </c>
    </row>
    <row r="3147" spans="1:7">
      <c r="A3147">
        <v>133</v>
      </c>
      <c r="B3147">
        <v>218</v>
      </c>
      <c r="C3147" s="1">
        <f>(Tabela1[[#This Row],[x]]-H$3)*(Tabela1[[#This Row],[x]]-H$3) +(Tabela1[[#This Row],[y]]-H$4)*(Tabela1[[#This Row],[y]]-H$4)</f>
        <v>4813</v>
      </c>
      <c r="D3147" s="1">
        <f>IF(Tabela1[[#This Row],[promien]]&lt;40000,1,0)</f>
        <v>1</v>
      </c>
      <c r="E3147" s="1">
        <f>IF(Tabela1[[#This Row],[promien]]=40000,1,0)</f>
        <v>0</v>
      </c>
      <c r="F3147" s="1">
        <v>3.1661900222434065</v>
      </c>
      <c r="G3147" s="1">
        <v>2.4597368653613394E-2</v>
      </c>
    </row>
    <row r="3148" spans="1:7">
      <c r="A3148">
        <v>115</v>
      </c>
      <c r="B3148">
        <v>66</v>
      </c>
      <c r="C3148" s="1">
        <f>(Tabela1[[#This Row],[x]]-H$3)*(Tabela1[[#This Row],[x]]-H$3) +(Tabela1[[#This Row],[y]]-H$4)*(Tabela1[[#This Row],[y]]-H$4)</f>
        <v>25181</v>
      </c>
      <c r="D3148" s="1">
        <f>IF(Tabela1[[#This Row],[promien]]&lt;40000,1,0)</f>
        <v>1</v>
      </c>
      <c r="E3148" s="1">
        <f>IF(Tabela1[[#This Row],[promien]]=40000,1,0)</f>
        <v>0</v>
      </c>
      <c r="F3148" s="1">
        <v>3.1664548919949174</v>
      </c>
      <c r="G3148" s="1">
        <v>2.4862238405124248E-2</v>
      </c>
    </row>
    <row r="3149" spans="1:7">
      <c r="A3149">
        <v>370</v>
      </c>
      <c r="B3149">
        <v>333</v>
      </c>
      <c r="C3149" s="1">
        <f>(Tabela1[[#This Row],[x]]-H$3)*(Tabela1[[#This Row],[x]]-H$3) +(Tabela1[[#This Row],[y]]-H$4)*(Tabela1[[#This Row],[y]]-H$4)</f>
        <v>46589</v>
      </c>
      <c r="D3149" s="1">
        <f>IF(Tabela1[[#This Row],[promien]]&lt;40000,1,0)</f>
        <v>0</v>
      </c>
      <c r="E3149" s="1">
        <f>IF(Tabela1[[#This Row],[promien]]=40000,1,0)</f>
        <v>0</v>
      </c>
      <c r="F3149" s="1">
        <v>3.1654493489996822</v>
      </c>
      <c r="G3149" s="1">
        <v>2.3856695409889106E-2</v>
      </c>
    </row>
    <row r="3150" spans="1:7">
      <c r="A3150">
        <v>188</v>
      </c>
      <c r="B3150">
        <v>375</v>
      </c>
      <c r="C3150" s="1">
        <f>(Tabela1[[#This Row],[x]]-H$3)*(Tabela1[[#This Row],[x]]-H$3) +(Tabela1[[#This Row],[y]]-H$4)*(Tabela1[[#This Row],[y]]-H$4)</f>
        <v>30769</v>
      </c>
      <c r="D3150" s="1">
        <f>IF(Tabela1[[#This Row],[promien]]&lt;40000,1,0)</f>
        <v>1</v>
      </c>
      <c r="E3150" s="1">
        <f>IF(Tabela1[[#This Row],[promien]]=40000,1,0)</f>
        <v>0</v>
      </c>
      <c r="F3150" s="1">
        <v>3.1657142857142859</v>
      </c>
      <c r="G3150" s="1">
        <v>2.4121632124492809E-2</v>
      </c>
    </row>
    <row r="3151" spans="1:7">
      <c r="A3151">
        <v>365</v>
      </c>
      <c r="B3151">
        <v>269</v>
      </c>
      <c r="C3151" s="1">
        <f>(Tabela1[[#This Row],[x]]-H$3)*(Tabela1[[#This Row],[x]]-H$3) +(Tabela1[[#This Row],[y]]-H$4)*(Tabela1[[#This Row],[y]]-H$4)</f>
        <v>31986</v>
      </c>
      <c r="D3151" s="1">
        <f>IF(Tabela1[[#This Row],[promien]]&lt;40000,1,0)</f>
        <v>1</v>
      </c>
      <c r="E3151" s="1">
        <f>IF(Tabela1[[#This Row],[promien]]=40000,1,0)</f>
        <v>0</v>
      </c>
      <c r="F3151" s="1">
        <v>3.1659790542684862</v>
      </c>
      <c r="G3151" s="1">
        <v>2.4386400678693132E-2</v>
      </c>
    </row>
    <row r="3152" spans="1:7">
      <c r="A3152">
        <v>271</v>
      </c>
      <c r="B3152">
        <v>50</v>
      </c>
      <c r="C3152" s="1">
        <f>(Tabela1[[#This Row],[x]]-H$3)*(Tabela1[[#This Row],[x]]-H$3) +(Tabela1[[#This Row],[y]]-H$4)*(Tabela1[[#This Row],[y]]-H$4)</f>
        <v>27541</v>
      </c>
      <c r="D3152" s="1">
        <f>IF(Tabela1[[#This Row],[promien]]&lt;40000,1,0)</f>
        <v>1</v>
      </c>
      <c r="E3152" s="1">
        <f>IF(Tabela1[[#This Row],[promien]]=40000,1,0)</f>
        <v>0</v>
      </c>
      <c r="F3152" s="1">
        <v>3.1662436548223352</v>
      </c>
      <c r="G3152" s="1">
        <v>2.4651001232542047E-2</v>
      </c>
    </row>
    <row r="3153" spans="1:7">
      <c r="A3153">
        <v>278</v>
      </c>
      <c r="B3153">
        <v>158</v>
      </c>
      <c r="C3153" s="1">
        <f>(Tabela1[[#This Row],[x]]-H$3)*(Tabela1[[#This Row],[x]]-H$3) +(Tabela1[[#This Row],[y]]-H$4)*(Tabela1[[#This Row],[y]]-H$4)</f>
        <v>7848</v>
      </c>
      <c r="D3153" s="1">
        <f>IF(Tabela1[[#This Row],[promien]]&lt;40000,1,0)</f>
        <v>1</v>
      </c>
      <c r="E3153" s="1">
        <f>IF(Tabela1[[#This Row],[promien]]=40000,1,0)</f>
        <v>0</v>
      </c>
      <c r="F3153" s="1">
        <v>3.1665080875356804</v>
      </c>
      <c r="G3153" s="1">
        <v>2.4915433945887244E-2</v>
      </c>
    </row>
    <row r="3154" spans="1:7">
      <c r="A3154">
        <v>47</v>
      </c>
      <c r="B3154">
        <v>8</v>
      </c>
      <c r="C3154" s="1">
        <f>(Tabela1[[#This Row],[x]]-H$3)*(Tabela1[[#This Row],[x]]-H$3) +(Tabela1[[#This Row],[y]]-H$4)*(Tabela1[[#This Row],[y]]-H$4)</f>
        <v>60273</v>
      </c>
      <c r="D3154" s="1">
        <f>IF(Tabela1[[#This Row],[promien]]&lt;40000,1,0)</f>
        <v>0</v>
      </c>
      <c r="E3154" s="1">
        <f>IF(Tabela1[[#This Row],[promien]]=40000,1,0)</f>
        <v>0</v>
      </c>
      <c r="F3154" s="1">
        <v>3.1655041217501587</v>
      </c>
      <c r="G3154" s="1">
        <v>2.3911468160365601E-2</v>
      </c>
    </row>
    <row r="3155" spans="1:7">
      <c r="A3155">
        <v>79</v>
      </c>
      <c r="B3155">
        <v>345</v>
      </c>
      <c r="C3155" s="1">
        <f>(Tabela1[[#This Row],[x]]-H$3)*(Tabela1[[#This Row],[x]]-H$3) +(Tabela1[[#This Row],[y]]-H$4)*(Tabela1[[#This Row],[y]]-H$4)</f>
        <v>35666</v>
      </c>
      <c r="D3155" s="1">
        <f>IF(Tabela1[[#This Row],[promien]]&lt;40000,1,0)</f>
        <v>1</v>
      </c>
      <c r="E3155" s="1">
        <f>IF(Tabela1[[#This Row],[promien]]=40000,1,0)</f>
        <v>0</v>
      </c>
      <c r="F3155" s="1">
        <v>3.1657686212361331</v>
      </c>
      <c r="G3155" s="1">
        <v>2.4175967646340002E-2</v>
      </c>
    </row>
    <row r="3156" spans="1:7">
      <c r="A3156">
        <v>25</v>
      </c>
      <c r="B3156">
        <v>210</v>
      </c>
      <c r="C3156" s="1">
        <f>(Tabela1[[#This Row],[x]]-H$3)*(Tabela1[[#This Row],[x]]-H$3) +(Tabela1[[#This Row],[y]]-H$4)*(Tabela1[[#This Row],[y]]-H$4)</f>
        <v>30725</v>
      </c>
      <c r="D3156" s="1">
        <f>IF(Tabela1[[#This Row],[promien]]&lt;40000,1,0)</f>
        <v>1</v>
      </c>
      <c r="E3156" s="1">
        <f>IF(Tabela1[[#This Row],[promien]]=40000,1,0)</f>
        <v>0</v>
      </c>
      <c r="F3156" s="1">
        <v>3.1660329531051965</v>
      </c>
      <c r="G3156" s="1">
        <v>2.4440299515403385E-2</v>
      </c>
    </row>
    <row r="3157" spans="1:7">
      <c r="A3157">
        <v>142</v>
      </c>
      <c r="B3157">
        <v>261</v>
      </c>
      <c r="C3157" s="1">
        <f>(Tabela1[[#This Row],[x]]-H$3)*(Tabela1[[#This Row],[x]]-H$3) +(Tabela1[[#This Row],[y]]-H$4)*(Tabela1[[#This Row],[y]]-H$4)</f>
        <v>7085</v>
      </c>
      <c r="D3157" s="1">
        <f>IF(Tabela1[[#This Row],[promien]]&lt;40000,1,0)</f>
        <v>1</v>
      </c>
      <c r="E3157" s="1">
        <f>IF(Tabela1[[#This Row],[promien]]=40000,1,0)</f>
        <v>0</v>
      </c>
      <c r="F3157" s="1">
        <v>3.1662971175166299</v>
      </c>
      <c r="G3157" s="1">
        <v>2.4704463926836784E-2</v>
      </c>
    </row>
    <row r="3158" spans="1:7">
      <c r="A3158">
        <v>366</v>
      </c>
      <c r="B3158">
        <v>371</v>
      </c>
      <c r="C3158" s="1">
        <f>(Tabela1[[#This Row],[x]]-H$3)*(Tabela1[[#This Row],[x]]-H$3) +(Tabela1[[#This Row],[y]]-H$4)*(Tabela1[[#This Row],[y]]-H$4)</f>
        <v>56797</v>
      </c>
      <c r="D3158" s="1">
        <f>IF(Tabela1[[#This Row],[promien]]&lt;40000,1,0)</f>
        <v>0</v>
      </c>
      <c r="E3158" s="1">
        <f>IF(Tabela1[[#This Row],[promien]]=40000,1,0)</f>
        <v>0</v>
      </c>
      <c r="F3158" s="1">
        <v>3.1652944901836606</v>
      </c>
      <c r="G3158" s="1">
        <v>2.3701836593867487E-2</v>
      </c>
    </row>
    <row r="3159" spans="1:7">
      <c r="A3159">
        <v>299</v>
      </c>
      <c r="B3159">
        <v>71</v>
      </c>
      <c r="C3159" s="1">
        <f>(Tabela1[[#This Row],[x]]-H$3)*(Tabela1[[#This Row],[x]]-H$3) +(Tabela1[[#This Row],[y]]-H$4)*(Tabela1[[#This Row],[y]]-H$4)</f>
        <v>26442</v>
      </c>
      <c r="D3159" s="1">
        <f>IF(Tabela1[[#This Row],[promien]]&lt;40000,1,0)</f>
        <v>1</v>
      </c>
      <c r="E3159" s="1">
        <f>IF(Tabela1[[#This Row],[promien]]=40000,1,0)</f>
        <v>0</v>
      </c>
      <c r="F3159" s="1">
        <v>3.1655587211142766</v>
      </c>
      <c r="G3159" s="1">
        <v>2.3966067524483492E-2</v>
      </c>
    </row>
    <row r="3160" spans="1:7">
      <c r="A3160">
        <v>247</v>
      </c>
      <c r="B3160">
        <v>226</v>
      </c>
      <c r="C3160" s="1">
        <f>(Tabela1[[#This Row],[x]]-H$3)*(Tabela1[[#This Row],[x]]-H$3) +(Tabela1[[#This Row],[y]]-H$4)*(Tabela1[[#This Row],[y]]-H$4)</f>
        <v>2885</v>
      </c>
      <c r="D3160" s="1">
        <f>IF(Tabela1[[#This Row],[promien]]&lt;40000,1,0)</f>
        <v>1</v>
      </c>
      <c r="E3160" s="1">
        <f>IF(Tabela1[[#This Row],[promien]]=40000,1,0)</f>
        <v>0</v>
      </c>
      <c r="F3160" s="1">
        <v>3.1658227848101266</v>
      </c>
      <c r="G3160" s="1">
        <v>2.4230131220333462E-2</v>
      </c>
    </row>
    <row r="3161" spans="1:7">
      <c r="A3161">
        <v>66</v>
      </c>
      <c r="B3161">
        <v>40</v>
      </c>
      <c r="C3161" s="1">
        <f>(Tabela1[[#This Row],[x]]-H$3)*(Tabela1[[#This Row],[x]]-H$3) +(Tabela1[[#This Row],[y]]-H$4)*(Tabela1[[#This Row],[y]]-H$4)</f>
        <v>43556</v>
      </c>
      <c r="D3161" s="1">
        <f>IF(Tabela1[[#This Row],[promien]]&lt;40000,1,0)</f>
        <v>0</v>
      </c>
      <c r="E3161" s="1">
        <f>IF(Tabela1[[#This Row],[promien]]=40000,1,0)</f>
        <v>0</v>
      </c>
      <c r="F3161" s="1">
        <v>3.1648212590952229</v>
      </c>
      <c r="G3161" s="1">
        <v>2.3228605505429822E-2</v>
      </c>
    </row>
    <row r="3162" spans="1:7">
      <c r="A3162">
        <v>14</v>
      </c>
      <c r="B3162">
        <v>148</v>
      </c>
      <c r="C3162" s="1">
        <f>(Tabela1[[#This Row],[x]]-H$3)*(Tabela1[[#This Row],[x]]-H$3) +(Tabela1[[#This Row],[y]]-H$4)*(Tabela1[[#This Row],[y]]-H$4)</f>
        <v>37300</v>
      </c>
      <c r="D3162" s="1">
        <f>IF(Tabela1[[#This Row],[promien]]&lt;40000,1,0)</f>
        <v>1</v>
      </c>
      <c r="E3162" s="1">
        <f>IF(Tabela1[[#This Row],[promien]]=40000,1,0)</f>
        <v>0</v>
      </c>
      <c r="F3162" s="1">
        <v>3.1650853889943074</v>
      </c>
      <c r="G3162" s="1">
        <v>2.3492735404514242E-2</v>
      </c>
    </row>
    <row r="3163" spans="1:7">
      <c r="A3163">
        <v>345</v>
      </c>
      <c r="B3163">
        <v>348</v>
      </c>
      <c r="C3163" s="1">
        <f>(Tabela1[[#This Row],[x]]-H$3)*(Tabela1[[#This Row],[x]]-H$3) +(Tabela1[[#This Row],[y]]-H$4)*(Tabela1[[#This Row],[y]]-H$4)</f>
        <v>42929</v>
      </c>
      <c r="D3163" s="1">
        <f>IF(Tabela1[[#This Row],[promien]]&lt;40000,1,0)</f>
        <v>0</v>
      </c>
      <c r="E3163" s="1">
        <f>IF(Tabela1[[#This Row],[promien]]=40000,1,0)</f>
        <v>0</v>
      </c>
      <c r="F3163" s="1">
        <v>3.1640847296870058</v>
      </c>
      <c r="G3163" s="1">
        <v>2.249207609721271E-2</v>
      </c>
    </row>
    <row r="3164" spans="1:7">
      <c r="A3164">
        <v>35</v>
      </c>
      <c r="B3164">
        <v>113</v>
      </c>
      <c r="C3164" s="1">
        <f>(Tabela1[[#This Row],[x]]-H$3)*(Tabela1[[#This Row],[x]]-H$3) +(Tabela1[[#This Row],[y]]-H$4)*(Tabela1[[#This Row],[y]]-H$4)</f>
        <v>34794</v>
      </c>
      <c r="D3164" s="1">
        <f>IF(Tabela1[[#This Row],[promien]]&lt;40000,1,0)</f>
        <v>1</v>
      </c>
      <c r="E3164" s="1">
        <f>IF(Tabela1[[#This Row],[promien]]=40000,1,0)</f>
        <v>0</v>
      </c>
      <c r="F3164" s="1">
        <v>3.1643489254108723</v>
      </c>
      <c r="G3164" s="1">
        <v>2.2756271821079199E-2</v>
      </c>
    </row>
    <row r="3165" spans="1:7">
      <c r="A3165">
        <v>268</v>
      </c>
      <c r="B3165">
        <v>96</v>
      </c>
      <c r="C3165" s="1">
        <f>(Tabela1[[#This Row],[x]]-H$3)*(Tabela1[[#This Row],[x]]-H$3) +(Tabela1[[#This Row],[y]]-H$4)*(Tabela1[[#This Row],[y]]-H$4)</f>
        <v>15440</v>
      </c>
      <c r="D3165" s="1">
        <f>IF(Tabela1[[#This Row],[promien]]&lt;40000,1,0)</f>
        <v>1</v>
      </c>
      <c r="E3165" s="1">
        <f>IF(Tabela1[[#This Row],[promien]]=40000,1,0)</f>
        <v>0</v>
      </c>
      <c r="F3165" s="1">
        <v>3.1646129541864139</v>
      </c>
      <c r="G3165" s="1">
        <v>2.3020300596620746E-2</v>
      </c>
    </row>
    <row r="3166" spans="1:7">
      <c r="A3166">
        <v>299</v>
      </c>
      <c r="B3166">
        <v>171</v>
      </c>
      <c r="C3166" s="1">
        <f>(Tabela1[[#This Row],[x]]-H$3)*(Tabela1[[#This Row],[x]]-H$3) +(Tabela1[[#This Row],[y]]-H$4)*(Tabela1[[#This Row],[y]]-H$4)</f>
        <v>10642</v>
      </c>
      <c r="D3166" s="1">
        <f>IF(Tabela1[[#This Row],[promien]]&lt;40000,1,0)</f>
        <v>1</v>
      </c>
      <c r="E3166" s="1">
        <f>IF(Tabela1[[#This Row],[promien]]=40000,1,0)</f>
        <v>0</v>
      </c>
      <c r="F3166" s="1">
        <v>3.1648768161718257</v>
      </c>
      <c r="G3166" s="1">
        <v>2.3284162582032586E-2</v>
      </c>
    </row>
    <row r="3167" spans="1:7">
      <c r="A3167">
        <v>304</v>
      </c>
      <c r="B3167">
        <v>228</v>
      </c>
      <c r="C3167" s="1">
        <f>(Tabela1[[#This Row],[x]]-H$3)*(Tabela1[[#This Row],[x]]-H$3) +(Tabela1[[#This Row],[y]]-H$4)*(Tabela1[[#This Row],[y]]-H$4)</f>
        <v>11600</v>
      </c>
      <c r="D3167" s="1">
        <f>IF(Tabela1[[#This Row],[promien]]&lt;40000,1,0)</f>
        <v>1</v>
      </c>
      <c r="E3167" s="1">
        <f>IF(Tabela1[[#This Row],[promien]]=40000,1,0)</f>
        <v>0</v>
      </c>
      <c r="F3167" s="1">
        <v>3.1651405115251028</v>
      </c>
      <c r="G3167" s="1">
        <v>2.3547857935309668E-2</v>
      </c>
    </row>
    <row r="3168" spans="1:7">
      <c r="A3168">
        <v>258</v>
      </c>
      <c r="B3168">
        <v>57</v>
      </c>
      <c r="C3168" s="1">
        <f>(Tabela1[[#This Row],[x]]-H$3)*(Tabela1[[#This Row],[x]]-H$3) +(Tabela1[[#This Row],[y]]-H$4)*(Tabela1[[#This Row],[y]]-H$4)</f>
        <v>23813</v>
      </c>
      <c r="D3168" s="1">
        <f>IF(Tabela1[[#This Row],[promien]]&lt;40000,1,0)</f>
        <v>1</v>
      </c>
      <c r="E3168" s="1">
        <f>IF(Tabela1[[#This Row],[promien]]=40000,1,0)</f>
        <v>0</v>
      </c>
      <c r="F3168" s="1">
        <v>3.1654040404040402</v>
      </c>
      <c r="G3168" s="1">
        <v>2.3811386814247104E-2</v>
      </c>
    </row>
    <row r="3169" spans="1:7">
      <c r="A3169">
        <v>89</v>
      </c>
      <c r="B3169">
        <v>182</v>
      </c>
      <c r="C3169" s="1">
        <f>(Tabela1[[#This Row],[x]]-H$3)*(Tabela1[[#This Row],[x]]-H$3) +(Tabela1[[#This Row],[y]]-H$4)*(Tabela1[[#This Row],[y]]-H$4)</f>
        <v>12645</v>
      </c>
      <c r="D3169" s="1">
        <f>IF(Tabela1[[#This Row],[promien]]&lt;40000,1,0)</f>
        <v>1</v>
      </c>
      <c r="E3169" s="1">
        <f>IF(Tabela1[[#This Row],[promien]]=40000,1,0)</f>
        <v>0</v>
      </c>
      <c r="F3169" s="1">
        <v>3.1656674029662355</v>
      </c>
      <c r="G3169" s="1">
        <v>2.4074749376442384E-2</v>
      </c>
    </row>
    <row r="3170" spans="1:7">
      <c r="A3170">
        <v>289</v>
      </c>
      <c r="B3170">
        <v>358</v>
      </c>
      <c r="C3170" s="1">
        <f>(Tabela1[[#This Row],[x]]-H$3)*(Tabela1[[#This Row],[x]]-H$3) +(Tabela1[[#This Row],[y]]-H$4)*(Tabela1[[#This Row],[y]]-H$4)</f>
        <v>32885</v>
      </c>
      <c r="D3170" s="1">
        <f>IF(Tabela1[[#This Row],[promien]]&lt;40000,1,0)</f>
        <v>1</v>
      </c>
      <c r="E3170" s="1">
        <f>IF(Tabela1[[#This Row],[promien]]=40000,1,0)</f>
        <v>0</v>
      </c>
      <c r="F3170" s="1">
        <v>3.1659305993690854</v>
      </c>
      <c r="G3170" s="1">
        <v>2.4337945779292269E-2</v>
      </c>
    </row>
    <row r="3171" spans="1:7">
      <c r="A3171">
        <v>151</v>
      </c>
      <c r="B3171">
        <v>397</v>
      </c>
      <c r="C3171" s="1">
        <f>(Tabela1[[#This Row],[x]]-H$3)*(Tabela1[[#This Row],[x]]-H$3) +(Tabela1[[#This Row],[y]]-H$4)*(Tabela1[[#This Row],[y]]-H$4)</f>
        <v>41210</v>
      </c>
      <c r="D3171" s="1">
        <f>IF(Tabela1[[#This Row],[promien]]&lt;40000,1,0)</f>
        <v>0</v>
      </c>
      <c r="E3171" s="1">
        <f>IF(Tabela1[[#This Row],[promien]]=40000,1,0)</f>
        <v>0</v>
      </c>
      <c r="F3171" s="1">
        <v>3.1649321980447809</v>
      </c>
      <c r="G3171" s="1">
        <v>2.333954445498776E-2</v>
      </c>
    </row>
    <row r="3172" spans="1:7">
      <c r="A3172">
        <v>202</v>
      </c>
      <c r="B3172">
        <v>50</v>
      </c>
      <c r="C3172" s="1">
        <f>(Tabela1[[#This Row],[x]]-H$3)*(Tabela1[[#This Row],[x]]-H$3) +(Tabela1[[#This Row],[y]]-H$4)*(Tabela1[[#This Row],[y]]-H$4)</f>
        <v>22504</v>
      </c>
      <c r="D3172" s="1">
        <f>IF(Tabela1[[#This Row],[promien]]&lt;40000,1,0)</f>
        <v>1</v>
      </c>
      <c r="E3172" s="1">
        <f>IF(Tabela1[[#This Row],[promien]]=40000,1,0)</f>
        <v>0</v>
      </c>
      <c r="F3172" s="1">
        <v>3.1651954602774275</v>
      </c>
      <c r="G3172" s="1">
        <v>2.360280668763437E-2</v>
      </c>
    </row>
    <row r="3173" spans="1:7">
      <c r="A3173">
        <v>343</v>
      </c>
      <c r="B3173">
        <v>48</v>
      </c>
      <c r="C3173" s="1">
        <f>(Tabela1[[#This Row],[x]]-H$3)*(Tabela1[[#This Row],[x]]-H$3) +(Tabela1[[#This Row],[y]]-H$4)*(Tabela1[[#This Row],[y]]-H$4)</f>
        <v>43553</v>
      </c>
      <c r="D3173" s="1">
        <f>IF(Tabela1[[#This Row],[promien]]&lt;40000,1,0)</f>
        <v>0</v>
      </c>
      <c r="E3173" s="1">
        <f>IF(Tabela1[[#This Row],[promien]]=40000,1,0)</f>
        <v>0</v>
      </c>
      <c r="F3173" s="1">
        <v>3.1641979199495744</v>
      </c>
      <c r="G3173" s="1">
        <v>2.2605266359781329E-2</v>
      </c>
    </row>
    <row r="3174" spans="1:7">
      <c r="A3174">
        <v>94</v>
      </c>
      <c r="B3174">
        <v>87</v>
      </c>
      <c r="C3174" s="1">
        <f>(Tabela1[[#This Row],[x]]-H$3)*(Tabela1[[#This Row],[x]]-H$3) +(Tabela1[[#This Row],[y]]-H$4)*(Tabela1[[#This Row],[y]]-H$4)</f>
        <v>24005</v>
      </c>
      <c r="D3174" s="1">
        <f>IF(Tabela1[[#This Row],[promien]]&lt;40000,1,0)</f>
        <v>1</v>
      </c>
      <c r="E3174" s="1">
        <f>IF(Tabela1[[#This Row],[promien]]=40000,1,0)</f>
        <v>0</v>
      </c>
      <c r="F3174" s="1">
        <v>3.1644612476370511</v>
      </c>
      <c r="G3174" s="1">
        <v>2.286859404725794E-2</v>
      </c>
    </row>
    <row r="3175" spans="1:7">
      <c r="A3175">
        <v>254</v>
      </c>
      <c r="B3175">
        <v>304</v>
      </c>
      <c r="C3175" s="1">
        <f>(Tabela1[[#This Row],[x]]-H$3)*(Tabela1[[#This Row],[x]]-H$3) +(Tabela1[[#This Row],[y]]-H$4)*(Tabela1[[#This Row],[y]]-H$4)</f>
        <v>13732</v>
      </c>
      <c r="D3175" s="1">
        <f>IF(Tabela1[[#This Row],[promien]]&lt;40000,1,0)</f>
        <v>1</v>
      </c>
      <c r="E3175" s="1">
        <f>IF(Tabela1[[#This Row],[promien]]=40000,1,0)</f>
        <v>0</v>
      </c>
      <c r="F3175" s="1">
        <v>3.1647244094488189</v>
      </c>
      <c r="G3175" s="1">
        <v>2.3131755859025827E-2</v>
      </c>
    </row>
    <row r="3176" spans="1:7">
      <c r="A3176">
        <v>318</v>
      </c>
      <c r="B3176">
        <v>175</v>
      </c>
      <c r="C3176" s="1">
        <f>(Tabela1[[#This Row],[x]]-H$3)*(Tabela1[[#This Row],[x]]-H$3) +(Tabela1[[#This Row],[y]]-H$4)*(Tabela1[[#This Row],[y]]-H$4)</f>
        <v>14549</v>
      </c>
      <c r="D3176" s="1">
        <f>IF(Tabela1[[#This Row],[promien]]&lt;40000,1,0)</f>
        <v>1</v>
      </c>
      <c r="E3176" s="1">
        <f>IF(Tabela1[[#This Row],[promien]]=40000,1,0)</f>
        <v>0</v>
      </c>
      <c r="F3176" s="1">
        <v>3.1649874055415617</v>
      </c>
      <c r="G3176" s="1">
        <v>2.3394751951768544E-2</v>
      </c>
    </row>
    <row r="3177" spans="1:7">
      <c r="A3177">
        <v>68</v>
      </c>
      <c r="B3177">
        <v>327</v>
      </c>
      <c r="C3177" s="1">
        <f>(Tabela1[[#This Row],[x]]-H$3)*(Tabela1[[#This Row],[x]]-H$3) +(Tabela1[[#This Row],[y]]-H$4)*(Tabela1[[#This Row],[y]]-H$4)</f>
        <v>33553</v>
      </c>
      <c r="D3177" s="1">
        <f>IF(Tabela1[[#This Row],[promien]]&lt;40000,1,0)</f>
        <v>1</v>
      </c>
      <c r="E3177" s="1">
        <f>IF(Tabela1[[#This Row],[promien]]=40000,1,0)</f>
        <v>0</v>
      </c>
      <c r="F3177" s="1">
        <v>3.165250236071766</v>
      </c>
      <c r="G3177" s="1">
        <v>2.3657582481972916E-2</v>
      </c>
    </row>
    <row r="3178" spans="1:7">
      <c r="A3178">
        <v>267</v>
      </c>
      <c r="B3178">
        <v>76</v>
      </c>
      <c r="C3178" s="1">
        <f>(Tabela1[[#This Row],[x]]-H$3)*(Tabela1[[#This Row],[x]]-H$3) +(Tabela1[[#This Row],[y]]-H$4)*(Tabela1[[#This Row],[y]]-H$4)</f>
        <v>19865</v>
      </c>
      <c r="D3178" s="1">
        <f>IF(Tabela1[[#This Row],[promien]]&lt;40000,1,0)</f>
        <v>1</v>
      </c>
      <c r="E3178" s="1">
        <f>IF(Tabela1[[#This Row],[promien]]=40000,1,0)</f>
        <v>0</v>
      </c>
      <c r="F3178" s="1">
        <v>3.1655129011957204</v>
      </c>
      <c r="G3178" s="1">
        <v>2.3920247605927258E-2</v>
      </c>
    </row>
    <row r="3179" spans="1:7">
      <c r="A3179">
        <v>11</v>
      </c>
      <c r="B3179">
        <v>126</v>
      </c>
      <c r="C3179" s="1">
        <f>(Tabela1[[#This Row],[x]]-H$3)*(Tabela1[[#This Row],[x]]-H$3) +(Tabela1[[#This Row],[y]]-H$4)*(Tabela1[[#This Row],[y]]-H$4)</f>
        <v>41197</v>
      </c>
      <c r="D3179" s="1">
        <f>IF(Tabela1[[#This Row],[promien]]&lt;40000,1,0)</f>
        <v>0</v>
      </c>
      <c r="E3179" s="1">
        <f>IF(Tabela1[[#This Row],[promien]]=40000,1,0)</f>
        <v>0</v>
      </c>
      <c r="F3179" s="1">
        <v>3.1645171437558979</v>
      </c>
      <c r="G3179" s="1">
        <v>2.2924490166104761E-2</v>
      </c>
    </row>
    <row r="3180" spans="1:7">
      <c r="A3180">
        <v>193</v>
      </c>
      <c r="B3180">
        <v>110</v>
      </c>
      <c r="C3180" s="1">
        <f>(Tabela1[[#This Row],[x]]-H$3)*(Tabela1[[#This Row],[x]]-H$3) +(Tabela1[[#This Row],[y]]-H$4)*(Tabela1[[#This Row],[y]]-H$4)</f>
        <v>8149</v>
      </c>
      <c r="D3180" s="1">
        <f>IF(Tabela1[[#This Row],[promien]]&lt;40000,1,0)</f>
        <v>1</v>
      </c>
      <c r="E3180" s="1">
        <f>IF(Tabela1[[#This Row],[promien]]=40000,1,0)</f>
        <v>0</v>
      </c>
      <c r="F3180" s="1">
        <v>3.1647798742138367</v>
      </c>
      <c r="G3180" s="1">
        <v>2.3187220624043547E-2</v>
      </c>
    </row>
    <row r="3181" spans="1:7">
      <c r="A3181">
        <v>237</v>
      </c>
      <c r="B3181">
        <v>21</v>
      </c>
      <c r="C3181" s="1">
        <f>(Tabela1[[#This Row],[x]]-H$3)*(Tabela1[[#This Row],[x]]-H$3) +(Tabela1[[#This Row],[y]]-H$4)*(Tabela1[[#This Row],[y]]-H$4)</f>
        <v>33410</v>
      </c>
      <c r="D3181" s="1">
        <f>IF(Tabela1[[#This Row],[promien]]&lt;40000,1,0)</f>
        <v>1</v>
      </c>
      <c r="E3181" s="1">
        <f>IF(Tabela1[[#This Row],[promien]]=40000,1,0)</f>
        <v>0</v>
      </c>
      <c r="F3181" s="1">
        <v>3.1650424394844388</v>
      </c>
      <c r="G3181" s="1">
        <v>2.3449785894645636E-2</v>
      </c>
    </row>
    <row r="3182" spans="1:7">
      <c r="A3182">
        <v>252</v>
      </c>
      <c r="B3182">
        <v>370</v>
      </c>
      <c r="C3182" s="1">
        <f>(Tabela1[[#This Row],[x]]-H$3)*(Tabela1[[#This Row],[x]]-H$3) +(Tabela1[[#This Row],[y]]-H$4)*(Tabela1[[#This Row],[y]]-H$4)</f>
        <v>31604</v>
      </c>
      <c r="D3182" s="1">
        <f>IF(Tabela1[[#This Row],[promien]]&lt;40000,1,0)</f>
        <v>1</v>
      </c>
      <c r="E3182" s="1">
        <f>IF(Tabela1[[#This Row],[promien]]=40000,1,0)</f>
        <v>0</v>
      </c>
      <c r="F3182" s="1">
        <v>3.1653048397234445</v>
      </c>
      <c r="G3182" s="1">
        <v>2.3712186133651336E-2</v>
      </c>
    </row>
    <row r="3183" spans="1:7">
      <c r="A3183">
        <v>300</v>
      </c>
      <c r="B3183">
        <v>301</v>
      </c>
      <c r="C3183" s="1">
        <f>(Tabela1[[#This Row],[x]]-H$3)*(Tabela1[[#This Row],[x]]-H$3) +(Tabela1[[#This Row],[y]]-H$4)*(Tabela1[[#This Row],[y]]-H$4)</f>
        <v>20201</v>
      </c>
      <c r="D3183" s="1">
        <f>IF(Tabela1[[#This Row],[promien]]&lt;40000,1,0)</f>
        <v>1</v>
      </c>
      <c r="E3183" s="1">
        <f>IF(Tabela1[[#This Row],[promien]]=40000,1,0)</f>
        <v>0</v>
      </c>
      <c r="F3183" s="1">
        <v>3.1655670750863965</v>
      </c>
      <c r="G3183" s="1">
        <v>2.3974421496603338E-2</v>
      </c>
    </row>
    <row r="3184" spans="1:7">
      <c r="A3184">
        <v>12</v>
      </c>
      <c r="B3184">
        <v>84</v>
      </c>
      <c r="C3184" s="1">
        <f>(Tabela1[[#This Row],[x]]-H$3)*(Tabela1[[#This Row],[x]]-H$3) +(Tabela1[[#This Row],[y]]-H$4)*(Tabela1[[#This Row],[y]]-H$4)</f>
        <v>48800</v>
      </c>
      <c r="D3184" s="1">
        <f>IF(Tabela1[[#This Row],[promien]]&lt;40000,1,0)</f>
        <v>0</v>
      </c>
      <c r="E3184" s="1">
        <f>IF(Tabela1[[#This Row],[promien]]=40000,1,0)</f>
        <v>0</v>
      </c>
      <c r="F3184" s="1">
        <v>3.1645728643216082</v>
      </c>
      <c r="G3184" s="1">
        <v>2.2980210731815109E-2</v>
      </c>
    </row>
    <row r="3185" spans="1:7">
      <c r="A3185">
        <v>282</v>
      </c>
      <c r="B3185">
        <v>272</v>
      </c>
      <c r="C3185" s="1">
        <f>(Tabela1[[#This Row],[x]]-H$3)*(Tabela1[[#This Row],[x]]-H$3) +(Tabela1[[#This Row],[y]]-H$4)*(Tabela1[[#This Row],[y]]-H$4)</f>
        <v>11908</v>
      </c>
      <c r="D3185" s="1">
        <f>IF(Tabela1[[#This Row],[promien]]&lt;40000,1,0)</f>
        <v>1</v>
      </c>
      <c r="E3185" s="1">
        <f>IF(Tabela1[[#This Row],[promien]]=40000,1,0)</f>
        <v>0</v>
      </c>
      <c r="F3185" s="1">
        <v>3.1648351648351647</v>
      </c>
      <c r="G3185" s="1">
        <v>2.3242511245371578E-2</v>
      </c>
    </row>
    <row r="3186" spans="1:7">
      <c r="A3186">
        <v>248</v>
      </c>
      <c r="B3186">
        <v>277</v>
      </c>
      <c r="C3186" s="1">
        <f>(Tabela1[[#This Row],[x]]-H$3)*(Tabela1[[#This Row],[x]]-H$3) +(Tabela1[[#This Row],[y]]-H$4)*(Tabela1[[#This Row],[y]]-H$4)</f>
        <v>8233</v>
      </c>
      <c r="D3186" s="1">
        <f>IF(Tabela1[[#This Row],[promien]]&lt;40000,1,0)</f>
        <v>1</v>
      </c>
      <c r="E3186" s="1">
        <f>IF(Tabela1[[#This Row],[promien]]=40000,1,0)</f>
        <v>0</v>
      </c>
      <c r="F3186" s="1">
        <v>3.1650973006905212</v>
      </c>
      <c r="G3186" s="1">
        <v>2.3504647100728082E-2</v>
      </c>
    </row>
    <row r="3187" spans="1:7">
      <c r="A3187">
        <v>167</v>
      </c>
      <c r="B3187">
        <v>385</v>
      </c>
      <c r="C3187" s="1">
        <f>(Tabela1[[#This Row],[x]]-H$3)*(Tabela1[[#This Row],[x]]-H$3) +(Tabela1[[#This Row],[y]]-H$4)*(Tabela1[[#This Row],[y]]-H$4)</f>
        <v>35314</v>
      </c>
      <c r="D3187" s="1">
        <f>IF(Tabela1[[#This Row],[promien]]&lt;40000,1,0)</f>
        <v>1</v>
      </c>
      <c r="E3187" s="1">
        <f>IF(Tabela1[[#This Row],[promien]]=40000,1,0)</f>
        <v>0</v>
      </c>
      <c r="F3187" s="1">
        <v>3.1653592720426733</v>
      </c>
      <c r="G3187" s="1">
        <v>2.3766618452880195E-2</v>
      </c>
    </row>
    <row r="3188" spans="1:7">
      <c r="A3188">
        <v>22</v>
      </c>
      <c r="B3188">
        <v>101</v>
      </c>
      <c r="C3188" s="1">
        <f>(Tabela1[[#This Row],[x]]-H$3)*(Tabela1[[#This Row],[x]]-H$3) +(Tabela1[[#This Row],[y]]-H$4)*(Tabela1[[#This Row],[y]]-H$4)</f>
        <v>41485</v>
      </c>
      <c r="D3188" s="1">
        <f>IF(Tabela1[[#This Row],[promien]]&lt;40000,1,0)</f>
        <v>0</v>
      </c>
      <c r="E3188" s="1">
        <f>IF(Tabela1[[#This Row],[promien]]=40000,1,0)</f>
        <v>0</v>
      </c>
      <c r="F3188" s="1">
        <v>3.164366373902133</v>
      </c>
      <c r="G3188" s="1">
        <v>2.2773720312339929E-2</v>
      </c>
    </row>
    <row r="3189" spans="1:7">
      <c r="A3189">
        <v>294</v>
      </c>
      <c r="B3189">
        <v>383</v>
      </c>
      <c r="C3189" s="1">
        <f>(Tabela1[[#This Row],[x]]-H$3)*(Tabela1[[#This Row],[x]]-H$3) +(Tabela1[[#This Row],[y]]-H$4)*(Tabela1[[#This Row],[y]]-H$4)</f>
        <v>42325</v>
      </c>
      <c r="D3189" s="1">
        <f>IF(Tabela1[[#This Row],[promien]]&lt;40000,1,0)</f>
        <v>0</v>
      </c>
      <c r="E3189" s="1">
        <f>IF(Tabela1[[#This Row],[promien]]=40000,1,0)</f>
        <v>0</v>
      </c>
      <c r="F3189" s="1">
        <v>3.1633740984634682</v>
      </c>
      <c r="G3189" s="1">
        <v>2.178144487367506E-2</v>
      </c>
    </row>
    <row r="3190" spans="1:7">
      <c r="A3190">
        <v>300</v>
      </c>
      <c r="B3190">
        <v>97</v>
      </c>
      <c r="C3190" s="1">
        <f>(Tabela1[[#This Row],[x]]-H$3)*(Tabela1[[#This Row],[x]]-H$3) +(Tabela1[[#This Row],[y]]-H$4)*(Tabela1[[#This Row],[y]]-H$4)</f>
        <v>20609</v>
      </c>
      <c r="D3190" s="1">
        <f>IF(Tabela1[[#This Row],[promien]]&lt;40000,1,0)</f>
        <v>1</v>
      </c>
      <c r="E3190" s="1">
        <f>IF(Tabela1[[#This Row],[promien]]=40000,1,0)</f>
        <v>0</v>
      </c>
      <c r="F3190" s="1">
        <v>3.1636363636363636</v>
      </c>
      <c r="G3190" s="1">
        <v>2.2043710046570464E-2</v>
      </c>
    </row>
    <row r="3191" spans="1:7">
      <c r="A3191">
        <v>269</v>
      </c>
      <c r="B3191">
        <v>182</v>
      </c>
      <c r="C3191" s="1">
        <f>(Tabela1[[#This Row],[x]]-H$3)*(Tabela1[[#This Row],[x]]-H$3) +(Tabela1[[#This Row],[y]]-H$4)*(Tabela1[[#This Row],[y]]-H$4)</f>
        <v>5085</v>
      </c>
      <c r="D3191" s="1">
        <f>IF(Tabela1[[#This Row],[promien]]&lt;40000,1,0)</f>
        <v>1</v>
      </c>
      <c r="E3191" s="1">
        <f>IF(Tabela1[[#This Row],[promien]]=40000,1,0)</f>
        <v>0</v>
      </c>
      <c r="F3191" s="1">
        <v>3.1638984644312127</v>
      </c>
      <c r="G3191" s="1">
        <v>2.2305810841419582E-2</v>
      </c>
    </row>
    <row r="3192" spans="1:7">
      <c r="A3192">
        <v>53</v>
      </c>
      <c r="B3192">
        <v>357</v>
      </c>
      <c r="C3192" s="1">
        <f>(Tabela1[[#This Row],[x]]-H$3)*(Tabela1[[#This Row],[x]]-H$3) +(Tabela1[[#This Row],[y]]-H$4)*(Tabela1[[#This Row],[y]]-H$4)</f>
        <v>46258</v>
      </c>
      <c r="D3192" s="1">
        <f>IF(Tabela1[[#This Row],[promien]]&lt;40000,1,0)</f>
        <v>0</v>
      </c>
      <c r="E3192" s="1">
        <f>IF(Tabela1[[#This Row],[promien]]=40000,1,0)</f>
        <v>0</v>
      </c>
      <c r="F3192" s="1">
        <v>3.162907268170426</v>
      </c>
      <c r="G3192" s="1">
        <v>2.1314614580632885E-2</v>
      </c>
    </row>
    <row r="3193" spans="1:7">
      <c r="A3193">
        <v>144</v>
      </c>
      <c r="B3193">
        <v>269</v>
      </c>
      <c r="C3193" s="1">
        <f>(Tabela1[[#This Row],[x]]-H$3)*(Tabela1[[#This Row],[x]]-H$3) +(Tabela1[[#This Row],[y]]-H$4)*(Tabela1[[#This Row],[y]]-H$4)</f>
        <v>7897</v>
      </c>
      <c r="D3193" s="1">
        <f>IF(Tabela1[[#This Row],[promien]]&lt;40000,1,0)</f>
        <v>1</v>
      </c>
      <c r="E3193" s="1">
        <f>IF(Tabela1[[#This Row],[promien]]=40000,1,0)</f>
        <v>0</v>
      </c>
      <c r="F3193" s="1">
        <v>3.1631694331349829</v>
      </c>
      <c r="G3193" s="1">
        <v>2.1576779545189773E-2</v>
      </c>
    </row>
    <row r="3194" spans="1:7">
      <c r="A3194">
        <v>216</v>
      </c>
      <c r="B3194">
        <v>387</v>
      </c>
      <c r="C3194" s="1">
        <f>(Tabela1[[#This Row],[x]]-H$3)*(Tabela1[[#This Row],[x]]-H$3) +(Tabela1[[#This Row],[y]]-H$4)*(Tabela1[[#This Row],[y]]-H$4)</f>
        <v>35225</v>
      </c>
      <c r="D3194" s="1">
        <f>IF(Tabela1[[#This Row],[promien]]&lt;40000,1,0)</f>
        <v>1</v>
      </c>
      <c r="E3194" s="1">
        <f>IF(Tabela1[[#This Row],[promien]]=40000,1,0)</f>
        <v>0</v>
      </c>
      <c r="F3194" s="1">
        <v>3.1634314339386349</v>
      </c>
      <c r="G3194" s="1">
        <v>2.1838780348841791E-2</v>
      </c>
    </row>
    <row r="3195" spans="1:7">
      <c r="A3195">
        <v>354</v>
      </c>
      <c r="B3195">
        <v>367</v>
      </c>
      <c r="C3195" s="1">
        <f>(Tabela1[[#This Row],[x]]-H$3)*(Tabela1[[#This Row],[x]]-H$3) +(Tabela1[[#This Row],[y]]-H$4)*(Tabela1[[#This Row],[y]]-H$4)</f>
        <v>51605</v>
      </c>
      <c r="D3195" s="1">
        <f>IF(Tabela1[[#This Row],[promien]]&lt;40000,1,0)</f>
        <v>0</v>
      </c>
      <c r="E3195" s="1">
        <f>IF(Tabela1[[#This Row],[promien]]=40000,1,0)</f>
        <v>0</v>
      </c>
      <c r="F3195" s="1">
        <v>3.1624413145539907</v>
      </c>
      <c r="G3195" s="1">
        <v>2.0848660964197574E-2</v>
      </c>
    </row>
    <row r="3196" spans="1:7">
      <c r="A3196">
        <v>7</v>
      </c>
      <c r="B3196">
        <v>73</v>
      </c>
      <c r="C3196" s="1">
        <f>(Tabela1[[#This Row],[x]]-H$3)*(Tabela1[[#This Row],[x]]-H$3) +(Tabela1[[#This Row],[y]]-H$4)*(Tabela1[[#This Row],[y]]-H$4)</f>
        <v>53378</v>
      </c>
      <c r="D3196" s="1">
        <f>IF(Tabela1[[#This Row],[promien]]&lt;40000,1,0)</f>
        <v>0</v>
      </c>
      <c r="E3196" s="1">
        <f>IF(Tabela1[[#This Row],[promien]]=40000,1,0)</f>
        <v>0</v>
      </c>
      <c r="F3196" s="1">
        <v>3.1614518147684607</v>
      </c>
      <c r="G3196" s="1">
        <v>1.9859161178667595E-2</v>
      </c>
    </row>
    <row r="3197" spans="1:7">
      <c r="A3197">
        <v>142</v>
      </c>
      <c r="B3197">
        <v>221</v>
      </c>
      <c r="C3197" s="1">
        <f>(Tabela1[[#This Row],[x]]-H$3)*(Tabela1[[#This Row],[x]]-H$3) +(Tabela1[[#This Row],[y]]-H$4)*(Tabela1[[#This Row],[y]]-H$4)</f>
        <v>3805</v>
      </c>
      <c r="D3197" s="1">
        <f>IF(Tabela1[[#This Row],[promien]]&lt;40000,1,0)</f>
        <v>1</v>
      </c>
      <c r="E3197" s="1">
        <f>IF(Tabela1[[#This Row],[promien]]=40000,1,0)</f>
        <v>0</v>
      </c>
      <c r="F3197" s="1">
        <v>3.1617141069752894</v>
      </c>
      <c r="G3197" s="1">
        <v>2.0121453385496313E-2</v>
      </c>
    </row>
    <row r="3198" spans="1:7">
      <c r="A3198">
        <v>283</v>
      </c>
      <c r="B3198">
        <v>27</v>
      </c>
      <c r="C3198" s="1">
        <f>(Tabela1[[#This Row],[x]]-H$3)*(Tabela1[[#This Row],[x]]-H$3) +(Tabela1[[#This Row],[y]]-H$4)*(Tabela1[[#This Row],[y]]-H$4)</f>
        <v>36818</v>
      </c>
      <c r="D3198" s="1">
        <f>IF(Tabela1[[#This Row],[promien]]&lt;40000,1,0)</f>
        <v>1</v>
      </c>
      <c r="E3198" s="1">
        <f>IF(Tabela1[[#This Row],[promien]]=40000,1,0)</f>
        <v>0</v>
      </c>
      <c r="F3198" s="1">
        <v>3.1619762351469669</v>
      </c>
      <c r="G3198" s="1">
        <v>2.0383581557173791E-2</v>
      </c>
    </row>
    <row r="3199" spans="1:7">
      <c r="A3199">
        <v>28</v>
      </c>
      <c r="B3199">
        <v>172</v>
      </c>
      <c r="C3199" s="1">
        <f>(Tabela1[[#This Row],[x]]-H$3)*(Tabela1[[#This Row],[x]]-H$3) +(Tabela1[[#This Row],[y]]-H$4)*(Tabela1[[#This Row],[y]]-H$4)</f>
        <v>30368</v>
      </c>
      <c r="D3199" s="1">
        <f>IF(Tabela1[[#This Row],[promien]]&lt;40000,1,0)</f>
        <v>1</v>
      </c>
      <c r="E3199" s="1">
        <f>IF(Tabela1[[#This Row],[promien]]=40000,1,0)</f>
        <v>0</v>
      </c>
      <c r="F3199" s="1">
        <v>3.1622381994373243</v>
      </c>
      <c r="G3199" s="1">
        <v>2.0645545847531199E-2</v>
      </c>
    </row>
    <row r="3200" spans="1:7">
      <c r="A3200">
        <v>92</v>
      </c>
      <c r="B3200">
        <v>36</v>
      </c>
      <c r="C3200" s="1">
        <f>(Tabela1[[#This Row],[x]]-H$3)*(Tabela1[[#This Row],[x]]-H$3) +(Tabela1[[#This Row],[y]]-H$4)*(Tabela1[[#This Row],[y]]-H$4)</f>
        <v>38560</v>
      </c>
      <c r="D3200" s="1">
        <f>IF(Tabela1[[#This Row],[promien]]&lt;40000,1,0)</f>
        <v>1</v>
      </c>
      <c r="E3200" s="1">
        <f>IF(Tabela1[[#This Row],[promien]]=40000,1,0)</f>
        <v>0</v>
      </c>
      <c r="F3200" s="1">
        <v>3.1625000000000001</v>
      </c>
      <c r="G3200" s="1">
        <v>2.0907346410206973E-2</v>
      </c>
    </row>
    <row r="3201" spans="1:7">
      <c r="A3201">
        <v>225</v>
      </c>
      <c r="B3201">
        <v>127</v>
      </c>
      <c r="C3201" s="1">
        <f>(Tabela1[[#This Row],[x]]-H$3)*(Tabela1[[#This Row],[x]]-H$3) +(Tabela1[[#This Row],[y]]-H$4)*(Tabela1[[#This Row],[y]]-H$4)</f>
        <v>5954</v>
      </c>
      <c r="D3201" s="1">
        <f>IF(Tabela1[[#This Row],[promien]]&lt;40000,1,0)</f>
        <v>1</v>
      </c>
      <c r="E3201" s="1">
        <f>IF(Tabela1[[#This Row],[promien]]=40000,1,0)</f>
        <v>0</v>
      </c>
      <c r="F3201" s="1">
        <v>3.1627616369884413</v>
      </c>
      <c r="G3201" s="1">
        <v>2.1168983398648145E-2</v>
      </c>
    </row>
    <row r="3202" spans="1:7">
      <c r="A3202">
        <v>68</v>
      </c>
      <c r="B3202">
        <v>398</v>
      </c>
      <c r="C3202" s="1">
        <f>(Tabela1[[#This Row],[x]]-H$3)*(Tabela1[[#This Row],[x]]-H$3) +(Tabela1[[#This Row],[y]]-H$4)*(Tabela1[[#This Row],[y]]-H$4)</f>
        <v>56628</v>
      </c>
      <c r="D3202" s="1">
        <f>IF(Tabela1[[#This Row],[promien]]&lt;40000,1,0)</f>
        <v>0</v>
      </c>
      <c r="E3202" s="1">
        <f>IF(Tabela1[[#This Row],[promien]]=40000,1,0)</f>
        <v>0</v>
      </c>
      <c r="F3202" s="1">
        <v>3.1617738913179263</v>
      </c>
      <c r="G3202" s="1">
        <v>2.0181237728133183E-2</v>
      </c>
    </row>
    <row r="3203" spans="1:7">
      <c r="A3203">
        <v>235</v>
      </c>
      <c r="B3203">
        <v>243</v>
      </c>
      <c r="C3203" s="1">
        <f>(Tabela1[[#This Row],[x]]-H$3)*(Tabela1[[#This Row],[x]]-H$3) +(Tabela1[[#This Row],[y]]-H$4)*(Tabela1[[#This Row],[y]]-H$4)</f>
        <v>3074</v>
      </c>
      <c r="D3203" s="1">
        <f>IF(Tabela1[[#This Row],[promien]]&lt;40000,1,0)</f>
        <v>1</v>
      </c>
      <c r="E3203" s="1">
        <f>IF(Tabela1[[#This Row],[promien]]=40000,1,0)</f>
        <v>0</v>
      </c>
      <c r="F3203" s="1">
        <v>3.1620355916328444</v>
      </c>
      <c r="G3203" s="1">
        <v>2.0442938043051306E-2</v>
      </c>
    </row>
    <row r="3204" spans="1:7">
      <c r="A3204">
        <v>259</v>
      </c>
      <c r="B3204">
        <v>299</v>
      </c>
      <c r="C3204" s="1">
        <f>(Tabela1[[#This Row],[x]]-H$3)*(Tabela1[[#This Row],[x]]-H$3) +(Tabela1[[#This Row],[y]]-H$4)*(Tabela1[[#This Row],[y]]-H$4)</f>
        <v>13282</v>
      </c>
      <c r="D3204" s="1">
        <f>IF(Tabela1[[#This Row],[promien]]&lt;40000,1,0)</f>
        <v>1</v>
      </c>
      <c r="E3204" s="1">
        <f>IF(Tabela1[[#This Row],[promien]]=40000,1,0)</f>
        <v>0</v>
      </c>
      <c r="F3204" s="1">
        <v>3.1622971285892634</v>
      </c>
      <c r="G3204" s="1">
        <v>2.0704474999470257E-2</v>
      </c>
    </row>
    <row r="3205" spans="1:7">
      <c r="A3205">
        <v>342</v>
      </c>
      <c r="B3205">
        <v>210</v>
      </c>
      <c r="C3205" s="1">
        <f>(Tabela1[[#This Row],[x]]-H$3)*(Tabela1[[#This Row],[x]]-H$3) +(Tabela1[[#This Row],[y]]-H$4)*(Tabela1[[#This Row],[y]]-H$4)</f>
        <v>20264</v>
      </c>
      <c r="D3205" s="1">
        <f>IF(Tabela1[[#This Row],[promien]]&lt;40000,1,0)</f>
        <v>1</v>
      </c>
      <c r="E3205" s="1">
        <f>IF(Tabela1[[#This Row],[promien]]=40000,1,0)</f>
        <v>0</v>
      </c>
      <c r="F3205" s="1">
        <v>3.1625585023400937</v>
      </c>
      <c r="G3205" s="1">
        <v>2.0965848750300609E-2</v>
      </c>
    </row>
    <row r="3206" spans="1:7">
      <c r="A3206">
        <v>51</v>
      </c>
      <c r="B3206">
        <v>310</v>
      </c>
      <c r="C3206" s="1">
        <f>(Tabela1[[#This Row],[x]]-H$3)*(Tabela1[[#This Row],[x]]-H$3) +(Tabela1[[#This Row],[y]]-H$4)*(Tabela1[[#This Row],[y]]-H$4)</f>
        <v>34301</v>
      </c>
      <c r="D3206" s="1">
        <f>IF(Tabela1[[#This Row],[promien]]&lt;40000,1,0)</f>
        <v>1</v>
      </c>
      <c r="E3206" s="1">
        <f>IF(Tabela1[[#This Row],[promien]]=40000,1,0)</f>
        <v>0</v>
      </c>
      <c r="F3206" s="1">
        <v>3.1628197130380538</v>
      </c>
      <c r="G3206" s="1">
        <v>2.1227059448260643E-2</v>
      </c>
    </row>
    <row r="3207" spans="1:7">
      <c r="A3207">
        <v>258</v>
      </c>
      <c r="B3207">
        <v>317</v>
      </c>
      <c r="C3207" s="1">
        <f>(Tabela1[[#This Row],[x]]-H$3)*(Tabela1[[#This Row],[x]]-H$3) +(Tabela1[[#This Row],[y]]-H$4)*(Tabela1[[#This Row],[y]]-H$4)</f>
        <v>17053</v>
      </c>
      <c r="D3207" s="1">
        <f>IF(Tabela1[[#This Row],[promien]]&lt;40000,1,0)</f>
        <v>1</v>
      </c>
      <c r="E3207" s="1">
        <f>IF(Tabela1[[#This Row],[promien]]=40000,1,0)</f>
        <v>0</v>
      </c>
      <c r="F3207" s="1">
        <v>3.1630807608356721</v>
      </c>
      <c r="G3207" s="1">
        <v>2.1488107245879018E-2</v>
      </c>
    </row>
    <row r="3208" spans="1:7">
      <c r="A3208">
        <v>395</v>
      </c>
      <c r="B3208">
        <v>128</v>
      </c>
      <c r="C3208" s="1">
        <f>(Tabela1[[#This Row],[x]]-H$3)*(Tabela1[[#This Row],[x]]-H$3) +(Tabela1[[#This Row],[y]]-H$4)*(Tabela1[[#This Row],[y]]-H$4)</f>
        <v>43209</v>
      </c>
      <c r="D3208" s="1">
        <f>IF(Tabela1[[#This Row],[promien]]&lt;40000,1,0)</f>
        <v>0</v>
      </c>
      <c r="E3208" s="1">
        <f>IF(Tabela1[[#This Row],[promien]]=40000,1,0)</f>
        <v>0</v>
      </c>
      <c r="F3208" s="1">
        <v>3.1620947630922691</v>
      </c>
      <c r="G3208" s="1">
        <v>2.0502109502475996E-2</v>
      </c>
    </row>
    <row r="3209" spans="1:7">
      <c r="A3209">
        <v>248</v>
      </c>
      <c r="B3209">
        <v>153</v>
      </c>
      <c r="C3209" s="1">
        <f>(Tabela1[[#This Row],[x]]-H$3)*(Tabela1[[#This Row],[x]]-H$3) +(Tabela1[[#This Row],[y]]-H$4)*(Tabela1[[#This Row],[y]]-H$4)</f>
        <v>4513</v>
      </c>
      <c r="D3209" s="1">
        <f>IF(Tabela1[[#This Row],[promien]]&lt;40000,1,0)</f>
        <v>1</v>
      </c>
      <c r="E3209" s="1">
        <f>IF(Tabela1[[#This Row],[promien]]=40000,1,0)</f>
        <v>0</v>
      </c>
      <c r="F3209" s="1">
        <v>3.1623558741040823</v>
      </c>
      <c r="G3209" s="1">
        <v>2.0763220514289138E-2</v>
      </c>
    </row>
    <row r="3210" spans="1:7">
      <c r="A3210">
        <v>140</v>
      </c>
      <c r="B3210">
        <v>46</v>
      </c>
      <c r="C3210" s="1">
        <f>(Tabela1[[#This Row],[x]]-H$3)*(Tabela1[[#This Row],[x]]-H$3) +(Tabela1[[#This Row],[y]]-H$4)*(Tabela1[[#This Row],[y]]-H$4)</f>
        <v>27316</v>
      </c>
      <c r="D3210" s="1">
        <f>IF(Tabela1[[#This Row],[promien]]&lt;40000,1,0)</f>
        <v>1</v>
      </c>
      <c r="E3210" s="1">
        <f>IF(Tabela1[[#This Row],[promien]]=40000,1,0)</f>
        <v>0</v>
      </c>
      <c r="F3210" s="1">
        <v>3.1626168224299067</v>
      </c>
      <c r="G3210" s="1">
        <v>2.10241688401136E-2</v>
      </c>
    </row>
    <row r="3211" spans="1:7">
      <c r="A3211">
        <v>140</v>
      </c>
      <c r="B3211">
        <v>348</v>
      </c>
      <c r="C3211" s="1">
        <f>(Tabela1[[#This Row],[x]]-H$3)*(Tabela1[[#This Row],[x]]-H$3) +(Tabela1[[#This Row],[y]]-H$4)*(Tabela1[[#This Row],[y]]-H$4)</f>
        <v>25504</v>
      </c>
      <c r="D3211" s="1">
        <f>IF(Tabela1[[#This Row],[promien]]&lt;40000,1,0)</f>
        <v>1</v>
      </c>
      <c r="E3211" s="1">
        <f>IF(Tabela1[[#This Row],[promien]]=40000,1,0)</f>
        <v>0</v>
      </c>
      <c r="F3211" s="1">
        <v>3.1628776082217378</v>
      </c>
      <c r="G3211" s="1">
        <v>2.1284954631944686E-2</v>
      </c>
    </row>
    <row r="3212" spans="1:7">
      <c r="A3212">
        <v>385</v>
      </c>
      <c r="B3212">
        <v>103</v>
      </c>
      <c r="C3212" s="1">
        <f>(Tabela1[[#This Row],[x]]-H$3)*(Tabela1[[#This Row],[x]]-H$3) +(Tabela1[[#This Row],[y]]-H$4)*(Tabela1[[#This Row],[y]]-H$4)</f>
        <v>43634</v>
      </c>
      <c r="D3212" s="1">
        <f>IF(Tabela1[[#This Row],[promien]]&lt;40000,1,0)</f>
        <v>0</v>
      </c>
      <c r="E3212" s="1">
        <f>IF(Tabela1[[#This Row],[promien]]=40000,1,0)</f>
        <v>0</v>
      </c>
      <c r="F3212" s="1">
        <v>3.1618929016189292</v>
      </c>
      <c r="G3212" s="1">
        <v>2.0300248029136103E-2</v>
      </c>
    </row>
    <row r="3213" spans="1:7">
      <c r="A3213">
        <v>400</v>
      </c>
      <c r="B3213">
        <v>291</v>
      </c>
      <c r="C3213" s="1">
        <f>(Tabela1[[#This Row],[x]]-H$3)*(Tabela1[[#This Row],[x]]-H$3) +(Tabela1[[#This Row],[y]]-H$4)*(Tabela1[[#This Row],[y]]-H$4)</f>
        <v>48281</v>
      </c>
      <c r="D3213" s="1">
        <f>IF(Tabela1[[#This Row],[promien]]&lt;40000,1,0)</f>
        <v>0</v>
      </c>
      <c r="E3213" s="1">
        <f>IF(Tabela1[[#This Row],[promien]]=40000,1,0)</f>
        <v>0</v>
      </c>
      <c r="F3213" s="1">
        <v>3.1609088079676315</v>
      </c>
      <c r="G3213" s="1">
        <v>1.9316154377838402E-2</v>
      </c>
    </row>
    <row r="3214" spans="1:7">
      <c r="A3214">
        <v>261</v>
      </c>
      <c r="B3214">
        <v>389</v>
      </c>
      <c r="C3214" s="1">
        <f>(Tabela1[[#This Row],[x]]-H$3)*(Tabela1[[#This Row],[x]]-H$3) +(Tabela1[[#This Row],[y]]-H$4)*(Tabela1[[#This Row],[y]]-H$4)</f>
        <v>39442</v>
      </c>
      <c r="D3214" s="1">
        <f>IF(Tabela1[[#This Row],[promien]]&lt;40000,1,0)</f>
        <v>1</v>
      </c>
      <c r="E3214" s="1">
        <f>IF(Tabela1[[#This Row],[promien]]=40000,1,0)</f>
        <v>0</v>
      </c>
      <c r="F3214" s="1">
        <v>3.1611698817672682</v>
      </c>
      <c r="G3214" s="1">
        <v>1.9577228177475092E-2</v>
      </c>
    </row>
    <row r="3215" spans="1:7">
      <c r="A3215">
        <v>341</v>
      </c>
      <c r="B3215">
        <v>281</v>
      </c>
      <c r="C3215" s="1">
        <f>(Tabela1[[#This Row],[x]]-H$3)*(Tabela1[[#This Row],[x]]-H$3) +(Tabela1[[#This Row],[y]]-H$4)*(Tabela1[[#This Row],[y]]-H$4)</f>
        <v>26442</v>
      </c>
      <c r="D3215" s="1">
        <f>IF(Tabela1[[#This Row],[promien]]&lt;40000,1,0)</f>
        <v>1</v>
      </c>
      <c r="E3215" s="1">
        <f>IF(Tabela1[[#This Row],[promien]]=40000,1,0)</f>
        <v>0</v>
      </c>
      <c r="F3215" s="1">
        <v>3.1614307931570762</v>
      </c>
      <c r="G3215" s="1">
        <v>1.9838139567283086E-2</v>
      </c>
    </row>
    <row r="3216" spans="1:7">
      <c r="A3216">
        <v>94</v>
      </c>
      <c r="B3216">
        <v>306</v>
      </c>
      <c r="C3216" s="1">
        <f>(Tabela1[[#This Row],[x]]-H$3)*(Tabela1[[#This Row],[x]]-H$3) +(Tabela1[[#This Row],[y]]-H$4)*(Tabela1[[#This Row],[y]]-H$4)</f>
        <v>22472</v>
      </c>
      <c r="D3216" s="1">
        <f>IF(Tabela1[[#This Row],[promien]]&lt;40000,1,0)</f>
        <v>1</v>
      </c>
      <c r="E3216" s="1">
        <f>IF(Tabela1[[#This Row],[promien]]=40000,1,0)</f>
        <v>0</v>
      </c>
      <c r="F3216" s="1">
        <v>3.1616915422885574</v>
      </c>
      <c r="G3216" s="1">
        <v>2.0098888698764306E-2</v>
      </c>
    </row>
    <row r="3217" spans="1:7">
      <c r="A3217">
        <v>306</v>
      </c>
      <c r="B3217">
        <v>358</v>
      </c>
      <c r="C3217" s="1">
        <f>(Tabela1[[#This Row],[x]]-H$3)*(Tabela1[[#This Row],[x]]-H$3) +(Tabela1[[#This Row],[y]]-H$4)*(Tabela1[[#This Row],[y]]-H$4)</f>
        <v>36200</v>
      </c>
      <c r="D3217" s="1">
        <f>IF(Tabela1[[#This Row],[promien]]&lt;40000,1,0)</f>
        <v>1</v>
      </c>
      <c r="E3217" s="1">
        <f>IF(Tabela1[[#This Row],[promien]]=40000,1,0)</f>
        <v>0</v>
      </c>
      <c r="F3217" s="1">
        <v>3.1619521293130246</v>
      </c>
      <c r="G3217" s="1">
        <v>2.035947572323149E-2</v>
      </c>
    </row>
    <row r="3218" spans="1:7">
      <c r="A3218">
        <v>359</v>
      </c>
      <c r="B3218">
        <v>65</v>
      </c>
      <c r="C3218" s="1">
        <f>(Tabela1[[#This Row],[x]]-H$3)*(Tabela1[[#This Row],[x]]-H$3) +(Tabela1[[#This Row],[y]]-H$4)*(Tabela1[[#This Row],[y]]-H$4)</f>
        <v>43506</v>
      </c>
      <c r="D3218" s="1">
        <f>IF(Tabela1[[#This Row],[promien]]&lt;40000,1,0)</f>
        <v>0</v>
      </c>
      <c r="E3218" s="1">
        <f>IF(Tabela1[[#This Row],[promien]]=40000,1,0)</f>
        <v>0</v>
      </c>
      <c r="F3218" s="1">
        <v>3.1609695463020508</v>
      </c>
      <c r="G3218" s="1">
        <v>1.9376892712257732E-2</v>
      </c>
    </row>
    <row r="3219" spans="1:7">
      <c r="A3219">
        <v>75</v>
      </c>
      <c r="B3219">
        <v>10</v>
      </c>
      <c r="C3219" s="1">
        <f>(Tabela1[[#This Row],[x]]-H$3)*(Tabela1[[#This Row],[x]]-H$3) +(Tabela1[[#This Row],[y]]-H$4)*(Tabela1[[#This Row],[y]]-H$4)</f>
        <v>51725</v>
      </c>
      <c r="D3219" s="1">
        <f>IF(Tabela1[[#This Row],[promien]]&lt;40000,1,0)</f>
        <v>0</v>
      </c>
      <c r="E3219" s="1">
        <f>IF(Tabela1[[#This Row],[promien]]=40000,1,0)</f>
        <v>0</v>
      </c>
      <c r="F3219" s="1">
        <v>3.1599875737806773</v>
      </c>
      <c r="G3219" s="1">
        <v>1.8394920190884179E-2</v>
      </c>
    </row>
    <row r="3220" spans="1:7">
      <c r="A3220">
        <v>228</v>
      </c>
      <c r="B3220">
        <v>232</v>
      </c>
      <c r="C3220" s="1">
        <f>(Tabela1[[#This Row],[x]]-H$3)*(Tabela1[[#This Row],[x]]-H$3) +(Tabela1[[#This Row],[y]]-H$4)*(Tabela1[[#This Row],[y]]-H$4)</f>
        <v>1808</v>
      </c>
      <c r="D3220" s="1">
        <f>IF(Tabela1[[#This Row],[promien]]&lt;40000,1,0)</f>
        <v>1</v>
      </c>
      <c r="E3220" s="1">
        <f>IF(Tabela1[[#This Row],[promien]]=40000,1,0)</f>
        <v>0</v>
      </c>
      <c r="F3220" s="1">
        <v>3.1602484472049688</v>
      </c>
      <c r="G3220" s="1">
        <v>1.8655793615175664E-2</v>
      </c>
    </row>
    <row r="3221" spans="1:7">
      <c r="A3221">
        <v>391</v>
      </c>
      <c r="B3221">
        <v>382</v>
      </c>
      <c r="C3221" s="1">
        <f>(Tabela1[[#This Row],[x]]-H$3)*(Tabela1[[#This Row],[x]]-H$3) +(Tabela1[[#This Row],[y]]-H$4)*(Tabela1[[#This Row],[y]]-H$4)</f>
        <v>69605</v>
      </c>
      <c r="D3221" s="1">
        <f>IF(Tabela1[[#This Row],[promien]]&lt;40000,1,0)</f>
        <v>0</v>
      </c>
      <c r="E3221" s="1">
        <f>IF(Tabela1[[#This Row],[promien]]=40000,1,0)</f>
        <v>0</v>
      </c>
      <c r="F3221" s="1">
        <v>3.1592673082893512</v>
      </c>
      <c r="G3221" s="1">
        <v>1.767465469955809E-2</v>
      </c>
    </row>
    <row r="3222" spans="1:7">
      <c r="A3222">
        <v>219</v>
      </c>
      <c r="B3222">
        <v>255</v>
      </c>
      <c r="C3222" s="1">
        <f>(Tabela1[[#This Row],[x]]-H$3)*(Tabela1[[#This Row],[x]]-H$3) +(Tabela1[[#This Row],[y]]-H$4)*(Tabela1[[#This Row],[y]]-H$4)</f>
        <v>3386</v>
      </c>
      <c r="D3222" s="1">
        <f>IF(Tabela1[[#This Row],[promien]]&lt;40000,1,0)</f>
        <v>1</v>
      </c>
      <c r="E3222" s="1">
        <f>IF(Tabela1[[#This Row],[promien]]=40000,1,0)</f>
        <v>0</v>
      </c>
      <c r="F3222" s="1">
        <v>3.1595282433271259</v>
      </c>
      <c r="G3222" s="1">
        <v>1.793558973733278E-2</v>
      </c>
    </row>
    <row r="3223" spans="1:7">
      <c r="A3223">
        <v>269</v>
      </c>
      <c r="B3223">
        <v>109</v>
      </c>
      <c r="C3223" s="1">
        <f>(Tabela1[[#This Row],[x]]-H$3)*(Tabela1[[#This Row],[x]]-H$3) +(Tabela1[[#This Row],[y]]-H$4)*(Tabela1[[#This Row],[y]]-H$4)</f>
        <v>13042</v>
      </c>
      <c r="D3223" s="1">
        <f>IF(Tabela1[[#This Row],[promien]]&lt;40000,1,0)</f>
        <v>1</v>
      </c>
      <c r="E3223" s="1">
        <f>IF(Tabela1[[#This Row],[promien]]=40000,1,0)</f>
        <v>0</v>
      </c>
      <c r="F3223" s="1">
        <v>3.1597890164443068</v>
      </c>
      <c r="G3223" s="1">
        <v>1.8196362854513648E-2</v>
      </c>
    </row>
    <row r="3224" spans="1:7">
      <c r="A3224">
        <v>270</v>
      </c>
      <c r="B3224">
        <v>302</v>
      </c>
      <c r="C3224" s="1">
        <f>(Tabela1[[#This Row],[x]]-H$3)*(Tabela1[[#This Row],[x]]-H$3) +(Tabela1[[#This Row],[y]]-H$4)*(Tabela1[[#This Row],[y]]-H$4)</f>
        <v>15304</v>
      </c>
      <c r="D3224" s="1">
        <f>IF(Tabela1[[#This Row],[promien]]&lt;40000,1,0)</f>
        <v>1</v>
      </c>
      <c r="E3224" s="1">
        <f>IF(Tabela1[[#This Row],[promien]]=40000,1,0)</f>
        <v>0</v>
      </c>
      <c r="F3224" s="1">
        <v>3.1600496277915631</v>
      </c>
      <c r="G3224" s="1">
        <v>1.8456974201769949E-2</v>
      </c>
    </row>
    <row r="3225" spans="1:7">
      <c r="A3225">
        <v>95</v>
      </c>
      <c r="B3225">
        <v>373</v>
      </c>
      <c r="C3225" s="1">
        <f>(Tabela1[[#This Row],[x]]-H$3)*(Tabela1[[#This Row],[x]]-H$3) +(Tabela1[[#This Row],[y]]-H$4)*(Tabela1[[#This Row],[y]]-H$4)</f>
        <v>40954</v>
      </c>
      <c r="D3225" s="1">
        <f>IF(Tabela1[[#This Row],[promien]]&lt;40000,1,0)</f>
        <v>0</v>
      </c>
      <c r="E3225" s="1">
        <f>IF(Tabela1[[#This Row],[promien]]=40000,1,0)</f>
        <v>0</v>
      </c>
      <c r="F3225" s="1">
        <v>3.1590697674418604</v>
      </c>
      <c r="G3225" s="1">
        <v>1.7477113852067294E-2</v>
      </c>
    </row>
    <row r="3226" spans="1:7">
      <c r="A3226">
        <v>231</v>
      </c>
      <c r="B3226">
        <v>394</v>
      </c>
      <c r="C3226" s="1">
        <f>(Tabela1[[#This Row],[x]]-H$3)*(Tabela1[[#This Row],[x]]-H$3) +(Tabela1[[#This Row],[y]]-H$4)*(Tabela1[[#This Row],[y]]-H$4)</f>
        <v>38597</v>
      </c>
      <c r="D3226" s="1">
        <f>IF(Tabela1[[#This Row],[promien]]&lt;40000,1,0)</f>
        <v>1</v>
      </c>
      <c r="E3226" s="1">
        <f>IF(Tabela1[[#This Row],[promien]]=40000,1,0)</f>
        <v>0</v>
      </c>
      <c r="F3226" s="1">
        <v>3.1593304401735898</v>
      </c>
      <c r="G3226" s="1">
        <v>1.7737786583796655E-2</v>
      </c>
    </row>
    <row r="3227" spans="1:7">
      <c r="A3227">
        <v>171</v>
      </c>
      <c r="B3227">
        <v>88</v>
      </c>
      <c r="C3227" s="1">
        <f>(Tabela1[[#This Row],[x]]-H$3)*(Tabela1[[#This Row],[x]]-H$3) +(Tabela1[[#This Row],[y]]-H$4)*(Tabela1[[#This Row],[y]]-H$4)</f>
        <v>13385</v>
      </c>
      <c r="D3227" s="1">
        <f>IF(Tabela1[[#This Row],[promien]]&lt;40000,1,0)</f>
        <v>1</v>
      </c>
      <c r="E3227" s="1">
        <f>IF(Tabela1[[#This Row],[promien]]=40000,1,0)</f>
        <v>0</v>
      </c>
      <c r="F3227" s="1">
        <v>3.1595909513480014</v>
      </c>
      <c r="G3227" s="1">
        <v>1.799829775820827E-2</v>
      </c>
    </row>
    <row r="3228" spans="1:7">
      <c r="A3228">
        <v>80</v>
      </c>
      <c r="B3228">
        <v>72</v>
      </c>
      <c r="C3228" s="1">
        <f>(Tabela1[[#This Row],[x]]-H$3)*(Tabela1[[#This Row],[x]]-H$3) +(Tabela1[[#This Row],[y]]-H$4)*(Tabela1[[#This Row],[y]]-H$4)</f>
        <v>30784</v>
      </c>
      <c r="D3228" s="1">
        <f>IF(Tabela1[[#This Row],[promien]]&lt;40000,1,0)</f>
        <v>1</v>
      </c>
      <c r="E3228" s="1">
        <f>IF(Tabela1[[#This Row],[promien]]=40000,1,0)</f>
        <v>0</v>
      </c>
      <c r="F3228" s="1">
        <v>3.1598513011152418</v>
      </c>
      <c r="G3228" s="1">
        <v>1.8258647525448701E-2</v>
      </c>
    </row>
    <row r="3229" spans="1:7">
      <c r="A3229">
        <v>260</v>
      </c>
      <c r="B3229">
        <v>365</v>
      </c>
      <c r="C3229" s="1">
        <f>(Tabela1[[#This Row],[x]]-H$3)*(Tabela1[[#This Row],[x]]-H$3) +(Tabela1[[#This Row],[y]]-H$4)*(Tabela1[[#This Row],[y]]-H$4)</f>
        <v>30825</v>
      </c>
      <c r="D3229" s="1">
        <f>IF(Tabela1[[#This Row],[promien]]&lt;40000,1,0)</f>
        <v>1</v>
      </c>
      <c r="E3229" s="1">
        <f>IF(Tabela1[[#This Row],[promien]]=40000,1,0)</f>
        <v>0</v>
      </c>
      <c r="F3229" s="1">
        <v>3.1601114896252711</v>
      </c>
      <c r="G3229" s="1">
        <v>1.8518836035477992E-2</v>
      </c>
    </row>
    <row r="3230" spans="1:7">
      <c r="A3230">
        <v>258</v>
      </c>
      <c r="B3230">
        <v>49</v>
      </c>
      <c r="C3230" s="1">
        <f>(Tabela1[[#This Row],[x]]-H$3)*(Tabela1[[#This Row],[x]]-H$3) +(Tabela1[[#This Row],[y]]-H$4)*(Tabela1[[#This Row],[y]]-H$4)</f>
        <v>26165</v>
      </c>
      <c r="D3230" s="1">
        <f>IF(Tabela1[[#This Row],[promien]]&lt;40000,1,0)</f>
        <v>1</v>
      </c>
      <c r="E3230" s="1">
        <f>IF(Tabela1[[#This Row],[promien]]=40000,1,0)</f>
        <v>0</v>
      </c>
      <c r="F3230" s="1">
        <v>3.1603715170278637</v>
      </c>
      <c r="G3230" s="1">
        <v>1.8778863438070559E-2</v>
      </c>
    </row>
    <row r="3231" spans="1:7">
      <c r="A3231">
        <v>124</v>
      </c>
      <c r="B3231">
        <v>237</v>
      </c>
      <c r="C3231" s="1">
        <f>(Tabela1[[#This Row],[x]]-H$3)*(Tabela1[[#This Row],[x]]-H$3) +(Tabela1[[#This Row],[y]]-H$4)*(Tabela1[[#This Row],[y]]-H$4)</f>
        <v>7145</v>
      </c>
      <c r="D3231" s="1">
        <f>IF(Tabela1[[#This Row],[promien]]&lt;40000,1,0)</f>
        <v>1</v>
      </c>
      <c r="E3231" s="1">
        <f>IF(Tabela1[[#This Row],[promien]]=40000,1,0)</f>
        <v>0</v>
      </c>
      <c r="F3231" s="1">
        <v>3.1606313834726092</v>
      </c>
      <c r="G3231" s="1">
        <v>1.9038729882816074E-2</v>
      </c>
    </row>
    <row r="3232" spans="1:7">
      <c r="A3232">
        <v>10</v>
      </c>
      <c r="B3232">
        <v>360</v>
      </c>
      <c r="C3232" s="1">
        <f>(Tabela1[[#This Row],[x]]-H$3)*(Tabela1[[#This Row],[x]]-H$3) +(Tabela1[[#This Row],[y]]-H$4)*(Tabela1[[#This Row],[y]]-H$4)</f>
        <v>61700</v>
      </c>
      <c r="D3232" s="1">
        <f>IF(Tabela1[[#This Row],[promien]]&lt;40000,1,0)</f>
        <v>0</v>
      </c>
      <c r="E3232" s="1">
        <f>IF(Tabela1[[#This Row],[promien]]=40000,1,0)</f>
        <v>0</v>
      </c>
      <c r="F3232" s="1">
        <v>3.1596534653465347</v>
      </c>
      <c r="G3232" s="1">
        <v>1.8060811756741568E-2</v>
      </c>
    </row>
    <row r="3233" spans="1:7">
      <c r="A3233">
        <v>370</v>
      </c>
      <c r="B3233">
        <v>163</v>
      </c>
      <c r="C3233" s="1">
        <f>(Tabela1[[#This Row],[x]]-H$3)*(Tabela1[[#This Row],[x]]-H$3) +(Tabela1[[#This Row],[y]]-H$4)*(Tabela1[[#This Row],[y]]-H$4)</f>
        <v>30269</v>
      </c>
      <c r="D3233" s="1">
        <f>IF(Tabela1[[#This Row],[promien]]&lt;40000,1,0)</f>
        <v>1</v>
      </c>
      <c r="E3233" s="1">
        <f>IF(Tabela1[[#This Row],[promien]]=40000,1,0)</f>
        <v>0</v>
      </c>
      <c r="F3233" s="1">
        <v>3.1599133931333125</v>
      </c>
      <c r="G3233" s="1">
        <v>1.8320739543519426E-2</v>
      </c>
    </row>
    <row r="3234" spans="1:7">
      <c r="A3234">
        <v>42</v>
      </c>
      <c r="B3234">
        <v>52</v>
      </c>
      <c r="C3234" s="1">
        <f>(Tabela1[[#This Row],[x]]-H$3)*(Tabela1[[#This Row],[x]]-H$3) +(Tabela1[[#This Row],[y]]-H$4)*(Tabela1[[#This Row],[y]]-H$4)</f>
        <v>46868</v>
      </c>
      <c r="D3234" s="1">
        <f>IF(Tabela1[[#This Row],[promien]]&lt;40000,1,0)</f>
        <v>0</v>
      </c>
      <c r="E3234" s="1">
        <f>IF(Tabela1[[#This Row],[promien]]=40000,1,0)</f>
        <v>0</v>
      </c>
      <c r="F3234" s="1">
        <v>3.1589363017934446</v>
      </c>
      <c r="G3234" s="1">
        <v>1.7343648203651529E-2</v>
      </c>
    </row>
    <row r="3235" spans="1:7">
      <c r="A3235">
        <v>280</v>
      </c>
      <c r="B3235">
        <v>17</v>
      </c>
      <c r="C3235" s="1">
        <f>(Tabela1[[#This Row],[x]]-H$3)*(Tabela1[[#This Row],[x]]-H$3) +(Tabela1[[#This Row],[y]]-H$4)*(Tabela1[[#This Row],[y]]-H$4)</f>
        <v>39889</v>
      </c>
      <c r="D3235" s="1">
        <f>IF(Tabela1[[#This Row],[promien]]&lt;40000,1,0)</f>
        <v>1</v>
      </c>
      <c r="E3235" s="1">
        <f>IF(Tabela1[[#This Row],[promien]]=40000,1,0)</f>
        <v>0</v>
      </c>
      <c r="F3235" s="1">
        <v>3.1591962905718702</v>
      </c>
      <c r="G3235" s="1">
        <v>1.760363698207712E-2</v>
      </c>
    </row>
    <row r="3236" spans="1:7">
      <c r="A3236">
        <v>334</v>
      </c>
      <c r="B3236">
        <v>282</v>
      </c>
      <c r="C3236" s="1">
        <f>(Tabela1[[#This Row],[x]]-H$3)*(Tabela1[[#This Row],[x]]-H$3) +(Tabela1[[#This Row],[y]]-H$4)*(Tabela1[[#This Row],[y]]-H$4)</f>
        <v>24680</v>
      </c>
      <c r="D3236" s="1">
        <f>IF(Tabela1[[#This Row],[promien]]&lt;40000,1,0)</f>
        <v>1</v>
      </c>
      <c r="E3236" s="1">
        <f>IF(Tabela1[[#This Row],[promien]]=40000,1,0)</f>
        <v>0</v>
      </c>
      <c r="F3236" s="1">
        <v>3.1594561186650187</v>
      </c>
      <c r="G3236" s="1">
        <v>1.7863465075225626E-2</v>
      </c>
    </row>
    <row r="3237" spans="1:7">
      <c r="A3237">
        <v>295</v>
      </c>
      <c r="B3237">
        <v>355</v>
      </c>
      <c r="C3237" s="1">
        <f>(Tabela1[[#This Row],[x]]-H$3)*(Tabela1[[#This Row],[x]]-H$3) +(Tabela1[[#This Row],[y]]-H$4)*(Tabela1[[#This Row],[y]]-H$4)</f>
        <v>33050</v>
      </c>
      <c r="D3237" s="1">
        <f>IF(Tabela1[[#This Row],[promien]]&lt;40000,1,0)</f>
        <v>1</v>
      </c>
      <c r="E3237" s="1">
        <f>IF(Tabela1[[#This Row],[promien]]=40000,1,0)</f>
        <v>0</v>
      </c>
      <c r="F3237" s="1">
        <v>3.1597157862218102</v>
      </c>
      <c r="G3237" s="1">
        <v>1.8123132632017036E-2</v>
      </c>
    </row>
    <row r="3238" spans="1:7">
      <c r="A3238">
        <v>389</v>
      </c>
      <c r="B3238">
        <v>241</v>
      </c>
      <c r="C3238" s="1">
        <f>(Tabela1[[#This Row],[x]]-H$3)*(Tabela1[[#This Row],[x]]-H$3) +(Tabela1[[#This Row],[y]]-H$4)*(Tabela1[[#This Row],[y]]-H$4)</f>
        <v>37402</v>
      </c>
      <c r="D3238" s="1">
        <f>IF(Tabela1[[#This Row],[promien]]&lt;40000,1,0)</f>
        <v>1</v>
      </c>
      <c r="E3238" s="1">
        <f>IF(Tabela1[[#This Row],[promien]]=40000,1,0)</f>
        <v>0</v>
      </c>
      <c r="F3238" s="1">
        <v>3.1599752933909819</v>
      </c>
      <c r="G3238" s="1">
        <v>1.8382639801188816E-2</v>
      </c>
    </row>
    <row r="3239" spans="1:7">
      <c r="A3239">
        <v>254</v>
      </c>
      <c r="B3239">
        <v>387</v>
      </c>
      <c r="C3239" s="1">
        <f>(Tabela1[[#This Row],[x]]-H$3)*(Tabela1[[#This Row],[x]]-H$3) +(Tabela1[[#This Row],[y]]-H$4)*(Tabela1[[#This Row],[y]]-H$4)</f>
        <v>37885</v>
      </c>
      <c r="D3239" s="1">
        <f>IF(Tabela1[[#This Row],[promien]]&lt;40000,1,0)</f>
        <v>1</v>
      </c>
      <c r="E3239" s="1">
        <f>IF(Tabela1[[#This Row],[promien]]=40000,1,0)</f>
        <v>0</v>
      </c>
      <c r="F3239" s="1">
        <v>3.1602346403210868</v>
      </c>
      <c r="G3239" s="1">
        <v>1.8641986731293692E-2</v>
      </c>
    </row>
    <row r="3240" spans="1:7">
      <c r="A3240">
        <v>137</v>
      </c>
      <c r="B3240">
        <v>189</v>
      </c>
      <c r="C3240" s="1">
        <f>(Tabela1[[#This Row],[x]]-H$3)*(Tabela1[[#This Row],[x]]-H$3) +(Tabela1[[#This Row],[y]]-H$4)*(Tabela1[[#This Row],[y]]-H$4)</f>
        <v>4090</v>
      </c>
      <c r="D3240" s="1">
        <f>IF(Tabela1[[#This Row],[promien]]&lt;40000,1,0)</f>
        <v>1</v>
      </c>
      <c r="E3240" s="1">
        <f>IF(Tabela1[[#This Row],[promien]]=40000,1,0)</f>
        <v>0</v>
      </c>
      <c r="F3240" s="1">
        <v>3.1604938271604937</v>
      </c>
      <c r="G3240" s="1">
        <v>1.8901173570700536E-2</v>
      </c>
    </row>
    <row r="3241" spans="1:7">
      <c r="A3241">
        <v>240</v>
      </c>
      <c r="B3241">
        <v>394</v>
      </c>
      <c r="C3241" s="1">
        <f>(Tabela1[[#This Row],[x]]-H$3)*(Tabela1[[#This Row],[x]]-H$3) +(Tabela1[[#This Row],[y]]-H$4)*(Tabela1[[#This Row],[y]]-H$4)</f>
        <v>39236</v>
      </c>
      <c r="D3241" s="1">
        <f>IF(Tabela1[[#This Row],[promien]]&lt;40000,1,0)</f>
        <v>1</v>
      </c>
      <c r="E3241" s="1">
        <f>IF(Tabela1[[#This Row],[promien]]=40000,1,0)</f>
        <v>0</v>
      </c>
      <c r="F3241" s="1">
        <v>3.1607528540573897</v>
      </c>
      <c r="G3241" s="1">
        <v>1.9160200467596589E-2</v>
      </c>
    </row>
    <row r="3242" spans="1:7">
      <c r="A3242">
        <v>371</v>
      </c>
      <c r="B3242">
        <v>29</v>
      </c>
      <c r="C3242" s="1">
        <f>(Tabela1[[#This Row],[x]]-H$3)*(Tabela1[[#This Row],[x]]-H$3) +(Tabela1[[#This Row],[y]]-H$4)*(Tabela1[[#This Row],[y]]-H$4)</f>
        <v>58482</v>
      </c>
      <c r="D3242" s="1">
        <f>IF(Tabela1[[#This Row],[promien]]&lt;40000,1,0)</f>
        <v>0</v>
      </c>
      <c r="E3242" s="1">
        <f>IF(Tabela1[[#This Row],[promien]]=40000,1,0)</f>
        <v>0</v>
      </c>
      <c r="F3242" s="1">
        <v>3.1597779148673659</v>
      </c>
      <c r="G3242" s="1">
        <v>1.8185261277572806E-2</v>
      </c>
    </row>
    <row r="3243" spans="1:7">
      <c r="A3243">
        <v>146</v>
      </c>
      <c r="B3243">
        <v>359</v>
      </c>
      <c r="C3243" s="1">
        <f>(Tabela1[[#This Row],[x]]-H$3)*(Tabela1[[#This Row],[x]]-H$3) +(Tabela1[[#This Row],[y]]-H$4)*(Tabela1[[#This Row],[y]]-H$4)</f>
        <v>28197</v>
      </c>
      <c r="D3243" s="1">
        <f>IF(Tabela1[[#This Row],[promien]]&lt;40000,1,0)</f>
        <v>1</v>
      </c>
      <c r="E3243" s="1">
        <f>IF(Tabela1[[#This Row],[promien]]=40000,1,0)</f>
        <v>0</v>
      </c>
      <c r="F3243" s="1">
        <v>3.160037002775208</v>
      </c>
      <c r="G3243" s="1">
        <v>1.8444349185414932E-2</v>
      </c>
    </row>
    <row r="3244" spans="1:7">
      <c r="A3244">
        <v>118</v>
      </c>
      <c r="B3244">
        <v>157</v>
      </c>
      <c r="C3244" s="1">
        <f>(Tabela1[[#This Row],[x]]-H$3)*(Tabela1[[#This Row],[x]]-H$3) +(Tabela1[[#This Row],[y]]-H$4)*(Tabela1[[#This Row],[y]]-H$4)</f>
        <v>8573</v>
      </c>
      <c r="D3244" s="1">
        <f>IF(Tabela1[[#This Row],[promien]]&lt;40000,1,0)</f>
        <v>1</v>
      </c>
      <c r="E3244" s="1">
        <f>IF(Tabela1[[#This Row],[promien]]=40000,1,0)</f>
        <v>0</v>
      </c>
      <c r="F3244" s="1">
        <v>3.1602959309494452</v>
      </c>
      <c r="G3244" s="1">
        <v>1.8703277359652049E-2</v>
      </c>
    </row>
    <row r="3245" spans="1:7">
      <c r="A3245">
        <v>367</v>
      </c>
      <c r="B3245">
        <v>204</v>
      </c>
      <c r="C3245" s="1">
        <f>(Tabela1[[#This Row],[x]]-H$3)*(Tabela1[[#This Row],[x]]-H$3) +(Tabela1[[#This Row],[y]]-H$4)*(Tabela1[[#This Row],[y]]-H$4)</f>
        <v>27905</v>
      </c>
      <c r="D3245" s="1">
        <f>IF(Tabela1[[#This Row],[promien]]&lt;40000,1,0)</f>
        <v>1</v>
      </c>
      <c r="E3245" s="1">
        <f>IF(Tabela1[[#This Row],[promien]]=40000,1,0)</f>
        <v>0</v>
      </c>
      <c r="F3245" s="1">
        <v>3.1605546995377503</v>
      </c>
      <c r="G3245" s="1">
        <v>1.896204594795714E-2</v>
      </c>
    </row>
    <row r="3246" spans="1:7">
      <c r="A3246">
        <v>294</v>
      </c>
      <c r="B3246">
        <v>260</v>
      </c>
      <c r="C3246" s="1">
        <f>(Tabela1[[#This Row],[x]]-H$3)*(Tabela1[[#This Row],[x]]-H$3) +(Tabela1[[#This Row],[y]]-H$4)*(Tabela1[[#This Row],[y]]-H$4)</f>
        <v>12436</v>
      </c>
      <c r="D3246" s="1">
        <f>IF(Tabela1[[#This Row],[promien]]&lt;40000,1,0)</f>
        <v>1</v>
      </c>
      <c r="E3246" s="1">
        <f>IF(Tabela1[[#This Row],[promien]]=40000,1,0)</f>
        <v>0</v>
      </c>
      <c r="F3246" s="1">
        <v>3.1608133086876156</v>
      </c>
      <c r="G3246" s="1">
        <v>1.9220655097822448E-2</v>
      </c>
    </row>
    <row r="3247" spans="1:7">
      <c r="A3247">
        <v>55</v>
      </c>
      <c r="B3247">
        <v>248</v>
      </c>
      <c r="C3247" s="1">
        <f>(Tabela1[[#This Row],[x]]-H$3)*(Tabela1[[#This Row],[x]]-H$3) +(Tabela1[[#This Row],[y]]-H$4)*(Tabela1[[#This Row],[y]]-H$4)</f>
        <v>23329</v>
      </c>
      <c r="D3247" s="1">
        <f>IF(Tabela1[[#This Row],[promien]]&lt;40000,1,0)</f>
        <v>1</v>
      </c>
      <c r="E3247" s="1">
        <f>IF(Tabela1[[#This Row],[promien]]=40000,1,0)</f>
        <v>0</v>
      </c>
      <c r="F3247" s="1">
        <v>3.1610717585463504</v>
      </c>
      <c r="G3247" s="1">
        <v>1.9479104956557247E-2</v>
      </c>
    </row>
    <row r="3248" spans="1:7">
      <c r="A3248">
        <v>73</v>
      </c>
      <c r="B3248">
        <v>335</v>
      </c>
      <c r="C3248" s="1">
        <f>(Tabela1[[#This Row],[x]]-H$3)*(Tabela1[[#This Row],[x]]-H$3) +(Tabela1[[#This Row],[y]]-H$4)*(Tabela1[[#This Row],[y]]-H$4)</f>
        <v>34354</v>
      </c>
      <c r="D3248" s="1">
        <f>IF(Tabela1[[#This Row],[promien]]&lt;40000,1,0)</f>
        <v>1</v>
      </c>
      <c r="E3248" s="1">
        <f>IF(Tabela1[[#This Row],[promien]]=40000,1,0)</f>
        <v>0</v>
      </c>
      <c r="F3248" s="1">
        <v>3.1613300492610836</v>
      </c>
      <c r="G3248" s="1">
        <v>1.9737395671290514E-2</v>
      </c>
    </row>
    <row r="3249" spans="1:7">
      <c r="A3249">
        <v>196</v>
      </c>
      <c r="B3249">
        <v>4</v>
      </c>
      <c r="C3249" s="1">
        <f>(Tabela1[[#This Row],[x]]-H$3)*(Tabela1[[#This Row],[x]]-H$3) +(Tabela1[[#This Row],[y]]-H$4)*(Tabela1[[#This Row],[y]]-H$4)</f>
        <v>38432</v>
      </c>
      <c r="D3249" s="1">
        <f>IF(Tabela1[[#This Row],[promien]]&lt;40000,1,0)</f>
        <v>1</v>
      </c>
      <c r="E3249" s="1">
        <f>IF(Tabela1[[#This Row],[promien]]=40000,1,0)</f>
        <v>0</v>
      </c>
      <c r="F3249" s="1">
        <v>3.1615881809787627</v>
      </c>
      <c r="G3249" s="1">
        <v>1.9995527388969592E-2</v>
      </c>
    </row>
    <row r="3250" spans="1:7">
      <c r="A3250">
        <v>75</v>
      </c>
      <c r="B3250">
        <v>144</v>
      </c>
      <c r="C3250" s="1">
        <f>(Tabela1[[#This Row],[x]]-H$3)*(Tabela1[[#This Row],[x]]-H$3) +(Tabela1[[#This Row],[y]]-H$4)*(Tabela1[[#This Row],[y]]-H$4)</f>
        <v>18761</v>
      </c>
      <c r="D3250" s="1">
        <f>IF(Tabela1[[#This Row],[promien]]&lt;40000,1,0)</f>
        <v>1</v>
      </c>
      <c r="E3250" s="1">
        <f>IF(Tabela1[[#This Row],[promien]]=40000,1,0)</f>
        <v>0</v>
      </c>
      <c r="F3250" s="1">
        <v>3.1618461538461538</v>
      </c>
      <c r="G3250" s="1">
        <v>2.0253500256360635E-2</v>
      </c>
    </row>
    <row r="3251" spans="1:7">
      <c r="A3251">
        <v>105</v>
      </c>
      <c r="B3251">
        <v>70</v>
      </c>
      <c r="C3251" s="1">
        <f>(Tabela1[[#This Row],[x]]-H$3)*(Tabela1[[#This Row],[x]]-H$3) +(Tabela1[[#This Row],[y]]-H$4)*(Tabela1[[#This Row],[y]]-H$4)</f>
        <v>25925</v>
      </c>
      <c r="D3251" s="1">
        <f>IF(Tabela1[[#This Row],[promien]]&lt;40000,1,0)</f>
        <v>1</v>
      </c>
      <c r="E3251" s="1">
        <f>IF(Tabela1[[#This Row],[promien]]=40000,1,0)</f>
        <v>0</v>
      </c>
      <c r="F3251" s="1">
        <v>3.1621039680098431</v>
      </c>
      <c r="G3251" s="1">
        <v>2.0511314420049942E-2</v>
      </c>
    </row>
    <row r="3252" spans="1:7">
      <c r="A3252">
        <v>142</v>
      </c>
      <c r="B3252">
        <v>106</v>
      </c>
      <c r="C3252" s="1">
        <f>(Tabela1[[#This Row],[x]]-H$3)*(Tabela1[[#This Row],[x]]-H$3) +(Tabela1[[#This Row],[y]]-H$4)*(Tabela1[[#This Row],[y]]-H$4)</f>
        <v>12200</v>
      </c>
      <c r="D3252" s="1">
        <f>IF(Tabela1[[#This Row],[promien]]&lt;40000,1,0)</f>
        <v>1</v>
      </c>
      <c r="E3252" s="1">
        <f>IF(Tabela1[[#This Row],[promien]]=40000,1,0)</f>
        <v>0</v>
      </c>
      <c r="F3252" s="1">
        <v>3.1623616236162362</v>
      </c>
      <c r="G3252" s="1">
        <v>2.0768970026443068E-2</v>
      </c>
    </row>
    <row r="3253" spans="1:7">
      <c r="A3253">
        <v>230</v>
      </c>
      <c r="B3253">
        <v>89</v>
      </c>
      <c r="C3253" s="1">
        <f>(Tabela1[[#This Row],[x]]-H$3)*(Tabela1[[#This Row],[x]]-H$3) +(Tabela1[[#This Row],[y]]-H$4)*(Tabela1[[#This Row],[y]]-H$4)</f>
        <v>13221</v>
      </c>
      <c r="D3253" s="1">
        <f>IF(Tabela1[[#This Row],[promien]]&lt;40000,1,0)</f>
        <v>1</v>
      </c>
      <c r="E3253" s="1">
        <f>IF(Tabela1[[#This Row],[promien]]=40000,1,0)</f>
        <v>0</v>
      </c>
      <c r="F3253" s="1">
        <v>3.1626191208115584</v>
      </c>
      <c r="G3253" s="1">
        <v>2.1026467221765266E-2</v>
      </c>
    </row>
    <row r="3254" spans="1:7">
      <c r="A3254">
        <v>363</v>
      </c>
      <c r="B3254">
        <v>156</v>
      </c>
      <c r="C3254" s="1">
        <f>(Tabela1[[#This Row],[x]]-H$3)*(Tabela1[[#This Row],[x]]-H$3) +(Tabela1[[#This Row],[y]]-H$4)*(Tabela1[[#This Row],[y]]-H$4)</f>
        <v>28505</v>
      </c>
      <c r="D3254" s="1">
        <f>IF(Tabela1[[#This Row],[promien]]&lt;40000,1,0)</f>
        <v>1</v>
      </c>
      <c r="E3254" s="1">
        <f>IF(Tabela1[[#This Row],[promien]]=40000,1,0)</f>
        <v>0</v>
      </c>
      <c r="F3254" s="1">
        <v>3.1628764597418564</v>
      </c>
      <c r="G3254" s="1">
        <v>2.1283806152063267E-2</v>
      </c>
    </row>
    <row r="3255" spans="1:7">
      <c r="A3255">
        <v>268</v>
      </c>
      <c r="B3255">
        <v>325</v>
      </c>
      <c r="C3255" s="1">
        <f>(Tabela1[[#This Row],[x]]-H$3)*(Tabela1[[#This Row],[x]]-H$3) +(Tabela1[[#This Row],[y]]-H$4)*(Tabela1[[#This Row],[y]]-H$4)</f>
        <v>20249</v>
      </c>
      <c r="D3255" s="1">
        <f>IF(Tabela1[[#This Row],[promien]]&lt;40000,1,0)</f>
        <v>1</v>
      </c>
      <c r="E3255" s="1">
        <f>IF(Tabela1[[#This Row],[promien]]=40000,1,0)</f>
        <v>0</v>
      </c>
      <c r="F3255" s="1">
        <v>3.1631336405529953</v>
      </c>
      <c r="G3255" s="1">
        <v>2.1540986963202169E-2</v>
      </c>
    </row>
    <row r="3256" spans="1:7">
      <c r="A3256">
        <v>176</v>
      </c>
      <c r="B3256">
        <v>373</v>
      </c>
      <c r="C3256" s="1">
        <f>(Tabela1[[#This Row],[x]]-H$3)*(Tabela1[[#This Row],[x]]-H$3) +(Tabela1[[#This Row],[y]]-H$4)*(Tabela1[[#This Row],[y]]-H$4)</f>
        <v>30505</v>
      </c>
      <c r="D3256" s="1">
        <f>IF(Tabela1[[#This Row],[promien]]&lt;40000,1,0)</f>
        <v>1</v>
      </c>
      <c r="E3256" s="1">
        <f>IF(Tabela1[[#This Row],[promien]]=40000,1,0)</f>
        <v>0</v>
      </c>
      <c r="F3256" s="1">
        <v>3.1633906633906634</v>
      </c>
      <c r="G3256" s="1">
        <v>2.1798009800870322E-2</v>
      </c>
    </row>
    <row r="3257" spans="1:7">
      <c r="A3257">
        <v>92</v>
      </c>
      <c r="B3257">
        <v>119</v>
      </c>
      <c r="C3257" s="1">
        <f>(Tabela1[[#This Row],[x]]-H$3)*(Tabela1[[#This Row],[x]]-H$3) +(Tabela1[[#This Row],[y]]-H$4)*(Tabela1[[#This Row],[y]]-H$4)</f>
        <v>18225</v>
      </c>
      <c r="D3257" s="1">
        <f>IF(Tabela1[[#This Row],[promien]]&lt;40000,1,0)</f>
        <v>1</v>
      </c>
      <c r="E3257" s="1">
        <f>IF(Tabela1[[#This Row],[promien]]=40000,1,0)</f>
        <v>0</v>
      </c>
      <c r="F3257" s="1">
        <v>3.1636475284003684</v>
      </c>
      <c r="G3257" s="1">
        <v>2.2054874810575331E-2</v>
      </c>
    </row>
    <row r="3258" spans="1:7">
      <c r="A3258">
        <v>241</v>
      </c>
      <c r="B3258">
        <v>120</v>
      </c>
      <c r="C3258" s="1">
        <f>(Tabela1[[#This Row],[x]]-H$3)*(Tabela1[[#This Row],[x]]-H$3) +(Tabela1[[#This Row],[y]]-H$4)*(Tabela1[[#This Row],[y]]-H$4)</f>
        <v>8081</v>
      </c>
      <c r="D3258" s="1">
        <f>IF(Tabela1[[#This Row],[promien]]&lt;40000,1,0)</f>
        <v>1</v>
      </c>
      <c r="E3258" s="1">
        <f>IF(Tabela1[[#This Row],[promien]]=40000,1,0)</f>
        <v>0</v>
      </c>
      <c r="F3258" s="1">
        <v>3.1639042357274403</v>
      </c>
      <c r="G3258" s="1">
        <v>2.2311582137647168E-2</v>
      </c>
    </row>
    <row r="3259" spans="1:7">
      <c r="A3259">
        <v>124</v>
      </c>
      <c r="B3259">
        <v>183</v>
      </c>
      <c r="C3259" s="1">
        <f>(Tabela1[[#This Row],[x]]-H$3)*(Tabela1[[#This Row],[x]]-H$3) +(Tabela1[[#This Row],[y]]-H$4)*(Tabela1[[#This Row],[y]]-H$4)</f>
        <v>6065</v>
      </c>
      <c r="D3259" s="1">
        <f>IF(Tabela1[[#This Row],[promien]]&lt;40000,1,0)</f>
        <v>1</v>
      </c>
      <c r="E3259" s="1">
        <f>IF(Tabela1[[#This Row],[promien]]=40000,1,0)</f>
        <v>0</v>
      </c>
      <c r="F3259" s="1">
        <v>3.16416078551703</v>
      </c>
      <c r="G3259" s="1">
        <v>2.2568131927236834E-2</v>
      </c>
    </row>
    <row r="3260" spans="1:7">
      <c r="A3260">
        <v>320</v>
      </c>
      <c r="B3260">
        <v>122</v>
      </c>
      <c r="C3260" s="1">
        <f>(Tabela1[[#This Row],[x]]-H$3)*(Tabela1[[#This Row],[x]]-H$3) +(Tabela1[[#This Row],[y]]-H$4)*(Tabela1[[#This Row],[y]]-H$4)</f>
        <v>20484</v>
      </c>
      <c r="D3260" s="1">
        <f>IF(Tabela1[[#This Row],[promien]]&lt;40000,1,0)</f>
        <v>1</v>
      </c>
      <c r="E3260" s="1">
        <f>IF(Tabela1[[#This Row],[promien]]=40000,1,0)</f>
        <v>0</v>
      </c>
      <c r="F3260" s="1">
        <v>3.1644171779141104</v>
      </c>
      <c r="G3260" s="1">
        <v>2.2824524324317252E-2</v>
      </c>
    </row>
    <row r="3261" spans="1:7">
      <c r="A3261">
        <v>159</v>
      </c>
      <c r="B3261">
        <v>42</v>
      </c>
      <c r="C3261" s="1">
        <f>(Tabela1[[#This Row],[x]]-H$3)*(Tabela1[[#This Row],[x]]-H$3) +(Tabela1[[#This Row],[y]]-H$4)*(Tabela1[[#This Row],[y]]-H$4)</f>
        <v>26645</v>
      </c>
      <c r="D3261" s="1">
        <f>IF(Tabela1[[#This Row],[promien]]&lt;40000,1,0)</f>
        <v>1</v>
      </c>
      <c r="E3261" s="1">
        <f>IF(Tabela1[[#This Row],[promien]]=40000,1,0)</f>
        <v>0</v>
      </c>
      <c r="F3261" s="1">
        <v>3.1646734130634773</v>
      </c>
      <c r="G3261" s="1">
        <v>2.3080759473684154E-2</v>
      </c>
    </row>
    <row r="3262" spans="1:7">
      <c r="A3262">
        <v>156</v>
      </c>
      <c r="B3262">
        <v>211</v>
      </c>
      <c r="C3262" s="1">
        <f>(Tabela1[[#This Row],[x]]-H$3)*(Tabela1[[#This Row],[x]]-H$3) +(Tabela1[[#This Row],[y]]-H$4)*(Tabela1[[#This Row],[y]]-H$4)</f>
        <v>2057</v>
      </c>
      <c r="D3262" s="1">
        <f>IF(Tabela1[[#This Row],[promien]]&lt;40000,1,0)</f>
        <v>1</v>
      </c>
      <c r="E3262" s="1">
        <f>IF(Tabela1[[#This Row],[promien]]=40000,1,0)</f>
        <v>0</v>
      </c>
      <c r="F3262" s="1">
        <v>3.1649294911097487</v>
      </c>
      <c r="G3262" s="1">
        <v>2.3336837519955633E-2</v>
      </c>
    </row>
    <row r="3263" spans="1:7">
      <c r="A3263">
        <v>58</v>
      </c>
      <c r="B3263">
        <v>350</v>
      </c>
      <c r="C3263" s="1">
        <f>(Tabela1[[#This Row],[x]]-H$3)*(Tabela1[[#This Row],[x]]-H$3) +(Tabela1[[#This Row],[y]]-H$4)*(Tabela1[[#This Row],[y]]-H$4)</f>
        <v>42664</v>
      </c>
      <c r="D3263" s="1">
        <f>IF(Tabela1[[#This Row],[promien]]&lt;40000,1,0)</f>
        <v>0</v>
      </c>
      <c r="E3263" s="1">
        <f>IF(Tabela1[[#This Row],[promien]]=40000,1,0)</f>
        <v>0</v>
      </c>
      <c r="F3263" s="1">
        <v>3.1639595464296661</v>
      </c>
      <c r="G3263" s="1">
        <v>2.2366892839873032E-2</v>
      </c>
    </row>
    <row r="3264" spans="1:7">
      <c r="A3264">
        <v>104</v>
      </c>
      <c r="B3264">
        <v>47</v>
      </c>
      <c r="C3264" s="1">
        <f>(Tabela1[[#This Row],[x]]-H$3)*(Tabela1[[#This Row],[x]]-H$3) +(Tabela1[[#This Row],[y]]-H$4)*(Tabela1[[#This Row],[y]]-H$4)</f>
        <v>32625</v>
      </c>
      <c r="D3264" s="1">
        <f>IF(Tabela1[[#This Row],[promien]]&lt;40000,1,0)</f>
        <v>1</v>
      </c>
      <c r="E3264" s="1">
        <f>IF(Tabela1[[#This Row],[promien]]=40000,1,0)</f>
        <v>0</v>
      </c>
      <c r="F3264" s="1">
        <v>3.1642156862745097</v>
      </c>
      <c r="G3264" s="1">
        <v>2.2623032684716549E-2</v>
      </c>
    </row>
    <row r="3265" spans="1:7">
      <c r="A3265">
        <v>141</v>
      </c>
      <c r="B3265">
        <v>225</v>
      </c>
      <c r="C3265" s="1">
        <f>(Tabela1[[#This Row],[x]]-H$3)*(Tabela1[[#This Row],[x]]-H$3) +(Tabela1[[#This Row],[y]]-H$4)*(Tabela1[[#This Row],[y]]-H$4)</f>
        <v>4106</v>
      </c>
      <c r="D3265" s="1">
        <f>IF(Tabela1[[#This Row],[promien]]&lt;40000,1,0)</f>
        <v>1</v>
      </c>
      <c r="E3265" s="1">
        <f>IF(Tabela1[[#This Row],[promien]]=40000,1,0)</f>
        <v>0</v>
      </c>
      <c r="F3265" s="1">
        <v>3.1644716692189894</v>
      </c>
      <c r="G3265" s="1">
        <v>2.2879015629196253E-2</v>
      </c>
    </row>
    <row r="3266" spans="1:7">
      <c r="A3266">
        <v>171</v>
      </c>
      <c r="B3266">
        <v>250</v>
      </c>
      <c r="C3266" s="1">
        <f>(Tabela1[[#This Row],[x]]-H$3)*(Tabela1[[#This Row],[x]]-H$3) +(Tabela1[[#This Row],[y]]-H$4)*(Tabela1[[#This Row],[y]]-H$4)</f>
        <v>3341</v>
      </c>
      <c r="D3266" s="1">
        <f>IF(Tabela1[[#This Row],[promien]]&lt;40000,1,0)</f>
        <v>1</v>
      </c>
      <c r="E3266" s="1">
        <f>IF(Tabela1[[#This Row],[promien]]=40000,1,0)</f>
        <v>0</v>
      </c>
      <c r="F3266" s="1">
        <v>3.164727495407226</v>
      </c>
      <c r="G3266" s="1">
        <v>2.3134841817432861E-2</v>
      </c>
    </row>
    <row r="3267" spans="1:7">
      <c r="A3267">
        <v>364</v>
      </c>
      <c r="B3267">
        <v>197</v>
      </c>
      <c r="C3267" s="1">
        <f>(Tabela1[[#This Row],[x]]-H$3)*(Tabela1[[#This Row],[x]]-H$3) +(Tabela1[[#This Row],[y]]-H$4)*(Tabela1[[#This Row],[y]]-H$4)</f>
        <v>26905</v>
      </c>
      <c r="D3267" s="1">
        <f>IF(Tabela1[[#This Row],[promien]]&lt;40000,1,0)</f>
        <v>1</v>
      </c>
      <c r="E3267" s="1">
        <f>IF(Tabela1[[#This Row],[promien]]=40000,1,0)</f>
        <v>0</v>
      </c>
      <c r="F3267" s="1">
        <v>3.1649831649831648</v>
      </c>
      <c r="G3267" s="1">
        <v>2.3390511393371671E-2</v>
      </c>
    </row>
    <row r="3268" spans="1:7">
      <c r="A3268">
        <v>191</v>
      </c>
      <c r="B3268">
        <v>376</v>
      </c>
      <c r="C3268" s="1">
        <f>(Tabela1[[#This Row],[x]]-H$3)*(Tabela1[[#This Row],[x]]-H$3) +(Tabela1[[#This Row],[y]]-H$4)*(Tabela1[[#This Row],[y]]-H$4)</f>
        <v>31057</v>
      </c>
      <c r="D3268" s="1">
        <f>IF(Tabela1[[#This Row],[promien]]&lt;40000,1,0)</f>
        <v>1</v>
      </c>
      <c r="E3268" s="1">
        <f>IF(Tabela1[[#This Row],[promien]]=40000,1,0)</f>
        <v>0</v>
      </c>
      <c r="F3268" s="1">
        <v>3.1652386780905752</v>
      </c>
      <c r="G3268" s="1">
        <v>2.3646024500782126E-2</v>
      </c>
    </row>
    <row r="3269" spans="1:7">
      <c r="A3269">
        <v>248</v>
      </c>
      <c r="B3269">
        <v>156</v>
      </c>
      <c r="C3269" s="1">
        <f>(Tabela1[[#This Row],[x]]-H$3)*(Tabela1[[#This Row],[x]]-H$3) +(Tabela1[[#This Row],[y]]-H$4)*(Tabela1[[#This Row],[y]]-H$4)</f>
        <v>4240</v>
      </c>
      <c r="D3269" s="1">
        <f>IF(Tabela1[[#This Row],[promien]]&lt;40000,1,0)</f>
        <v>1</v>
      </c>
      <c r="E3269" s="1">
        <f>IF(Tabela1[[#This Row],[promien]]=40000,1,0)</f>
        <v>0</v>
      </c>
      <c r="F3269" s="1">
        <v>3.16549403487305</v>
      </c>
      <c r="G3269" s="1">
        <v>2.3901381283256917E-2</v>
      </c>
    </row>
    <row r="3270" spans="1:7">
      <c r="A3270">
        <v>174</v>
      </c>
      <c r="B3270">
        <v>104</v>
      </c>
      <c r="C3270" s="1">
        <f>(Tabela1[[#This Row],[x]]-H$3)*(Tabela1[[#This Row],[x]]-H$3) +(Tabela1[[#This Row],[y]]-H$4)*(Tabela1[[#This Row],[y]]-H$4)</f>
        <v>9892</v>
      </c>
      <c r="D3270" s="1">
        <f>IF(Tabela1[[#This Row],[promien]]&lt;40000,1,0)</f>
        <v>1</v>
      </c>
      <c r="E3270" s="1">
        <f>IF(Tabela1[[#This Row],[promien]]=40000,1,0)</f>
        <v>0</v>
      </c>
      <c r="F3270" s="1">
        <v>3.165749235474006</v>
      </c>
      <c r="G3270" s="1">
        <v>2.415658188421288E-2</v>
      </c>
    </row>
    <row r="3271" spans="1:7">
      <c r="A3271">
        <v>227</v>
      </c>
      <c r="B3271">
        <v>155</v>
      </c>
      <c r="C3271" s="1">
        <f>(Tabela1[[#This Row],[x]]-H$3)*(Tabela1[[#This Row],[x]]-H$3) +(Tabela1[[#This Row],[y]]-H$4)*(Tabela1[[#This Row],[y]]-H$4)</f>
        <v>2754</v>
      </c>
      <c r="D3271" s="1">
        <f>IF(Tabela1[[#This Row],[promien]]&lt;40000,1,0)</f>
        <v>1</v>
      </c>
      <c r="E3271" s="1">
        <f>IF(Tabela1[[#This Row],[promien]]=40000,1,0)</f>
        <v>0</v>
      </c>
      <c r="F3271" s="1">
        <v>3.1660042800366859</v>
      </c>
      <c r="G3271" s="1">
        <v>2.4411626446892765E-2</v>
      </c>
    </row>
    <row r="3272" spans="1:7">
      <c r="A3272">
        <v>183</v>
      </c>
      <c r="B3272">
        <v>211</v>
      </c>
      <c r="C3272" s="1">
        <f>(Tabela1[[#This Row],[x]]-H$3)*(Tabela1[[#This Row],[x]]-H$3) +(Tabela1[[#This Row],[y]]-H$4)*(Tabela1[[#This Row],[y]]-H$4)</f>
        <v>410</v>
      </c>
      <c r="D3272" s="1">
        <f>IF(Tabela1[[#This Row],[promien]]&lt;40000,1,0)</f>
        <v>1</v>
      </c>
      <c r="E3272" s="1">
        <f>IF(Tabela1[[#This Row],[promien]]=40000,1,0)</f>
        <v>0</v>
      </c>
      <c r="F3272" s="1">
        <v>3.1662591687041566</v>
      </c>
      <c r="G3272" s="1">
        <v>2.4666515114363463E-2</v>
      </c>
    </row>
    <row r="3273" spans="1:7">
      <c r="A3273">
        <v>184</v>
      </c>
      <c r="B3273">
        <v>375</v>
      </c>
      <c r="C3273" s="1">
        <f>(Tabela1[[#This Row],[x]]-H$3)*(Tabela1[[#This Row],[x]]-H$3) +(Tabela1[[#This Row],[y]]-H$4)*(Tabela1[[#This Row],[y]]-H$4)</f>
        <v>30881</v>
      </c>
      <c r="D3273" s="1">
        <f>IF(Tabela1[[#This Row],[promien]]&lt;40000,1,0)</f>
        <v>1</v>
      </c>
      <c r="E3273" s="1">
        <f>IF(Tabela1[[#This Row],[promien]]=40000,1,0)</f>
        <v>0</v>
      </c>
      <c r="F3273" s="1">
        <v>3.1665139016193096</v>
      </c>
      <c r="G3273" s="1">
        <v>2.4921248029516452E-2</v>
      </c>
    </row>
    <row r="3274" spans="1:7">
      <c r="A3274">
        <v>49</v>
      </c>
      <c r="B3274">
        <v>183</v>
      </c>
      <c r="C3274" s="1">
        <f>(Tabela1[[#This Row],[x]]-H$3)*(Tabela1[[#This Row],[x]]-H$3) +(Tabela1[[#This Row],[y]]-H$4)*(Tabela1[[#This Row],[y]]-H$4)</f>
        <v>23090</v>
      </c>
      <c r="D3274" s="1">
        <f>IF(Tabela1[[#This Row],[promien]]&lt;40000,1,0)</f>
        <v>1</v>
      </c>
      <c r="E3274" s="1">
        <f>IF(Tabela1[[#This Row],[promien]]=40000,1,0)</f>
        <v>0</v>
      </c>
      <c r="F3274" s="1">
        <v>3.1667684789248627</v>
      </c>
      <c r="G3274" s="1">
        <v>2.5175825335069568E-2</v>
      </c>
    </row>
    <row r="3275" spans="1:7">
      <c r="A3275">
        <v>183</v>
      </c>
      <c r="B3275">
        <v>186</v>
      </c>
      <c r="C3275" s="1">
        <f>(Tabela1[[#This Row],[x]]-H$3)*(Tabela1[[#This Row],[x]]-H$3) +(Tabela1[[#This Row],[y]]-H$4)*(Tabela1[[#This Row],[y]]-H$4)</f>
        <v>485</v>
      </c>
      <c r="D3275" s="1">
        <f>IF(Tabela1[[#This Row],[promien]]&lt;40000,1,0)</f>
        <v>1</v>
      </c>
      <c r="E3275" s="1">
        <f>IF(Tabela1[[#This Row],[promien]]=40000,1,0)</f>
        <v>0</v>
      </c>
      <c r="F3275" s="1">
        <v>3.1670229007633588</v>
      </c>
      <c r="G3275" s="1">
        <v>2.5430247173565679E-2</v>
      </c>
    </row>
    <row r="3276" spans="1:7">
      <c r="A3276">
        <v>207</v>
      </c>
      <c r="B3276">
        <v>127</v>
      </c>
      <c r="C3276" s="1">
        <f>(Tabela1[[#This Row],[x]]-H$3)*(Tabela1[[#This Row],[x]]-H$3) +(Tabela1[[#This Row],[y]]-H$4)*(Tabela1[[#This Row],[y]]-H$4)</f>
        <v>5378</v>
      </c>
      <c r="D3276" s="1">
        <f>IF(Tabela1[[#This Row],[promien]]&lt;40000,1,0)</f>
        <v>1</v>
      </c>
      <c r="E3276" s="1">
        <f>IF(Tabela1[[#This Row],[promien]]=40000,1,0)</f>
        <v>0</v>
      </c>
      <c r="F3276" s="1">
        <v>3.1672771672771671</v>
      </c>
      <c r="G3276" s="1">
        <v>2.5684513687374011E-2</v>
      </c>
    </row>
    <row r="3277" spans="1:7">
      <c r="A3277">
        <v>328</v>
      </c>
      <c r="B3277">
        <v>5</v>
      </c>
      <c r="C3277" s="1">
        <f>(Tabela1[[#This Row],[x]]-H$3)*(Tabela1[[#This Row],[x]]-H$3) +(Tabela1[[#This Row],[y]]-H$4)*(Tabela1[[#This Row],[y]]-H$4)</f>
        <v>54409</v>
      </c>
      <c r="D3277" s="1">
        <f>IF(Tabela1[[#This Row],[promien]]&lt;40000,1,0)</f>
        <v>0</v>
      </c>
      <c r="E3277" s="1">
        <f>IF(Tabela1[[#This Row],[promien]]=40000,1,0)</f>
        <v>0</v>
      </c>
      <c r="F3277" s="1">
        <v>3.1663106499847422</v>
      </c>
      <c r="G3277" s="1">
        <v>2.4717996394949093E-2</v>
      </c>
    </row>
    <row r="3278" spans="1:7">
      <c r="A3278">
        <v>369</v>
      </c>
      <c r="B3278">
        <v>342</v>
      </c>
      <c r="C3278" s="1">
        <f>(Tabela1[[#This Row],[x]]-H$3)*(Tabela1[[#This Row],[x]]-H$3) +(Tabela1[[#This Row],[y]]-H$4)*(Tabela1[[#This Row],[y]]-H$4)</f>
        <v>48725</v>
      </c>
      <c r="D3278" s="1">
        <f>IF(Tabela1[[#This Row],[promien]]&lt;40000,1,0)</f>
        <v>0</v>
      </c>
      <c r="E3278" s="1">
        <f>IF(Tabela1[[#This Row],[promien]]=40000,1,0)</f>
        <v>0</v>
      </c>
      <c r="F3278" s="1">
        <v>3.1653447223917022</v>
      </c>
      <c r="G3278" s="1">
        <v>2.3752068801909054E-2</v>
      </c>
    </row>
    <row r="3279" spans="1:7">
      <c r="A3279">
        <v>325</v>
      </c>
      <c r="B3279">
        <v>51</v>
      </c>
      <c r="C3279" s="1">
        <f>(Tabela1[[#This Row],[x]]-H$3)*(Tabela1[[#This Row],[x]]-H$3) +(Tabela1[[#This Row],[y]]-H$4)*(Tabela1[[#This Row],[y]]-H$4)</f>
        <v>37826</v>
      </c>
      <c r="D3279" s="1">
        <f>IF(Tabela1[[#This Row],[promien]]&lt;40000,1,0)</f>
        <v>1</v>
      </c>
      <c r="E3279" s="1">
        <f>IF(Tabela1[[#This Row],[promien]]=40000,1,0)</f>
        <v>0</v>
      </c>
      <c r="F3279" s="1">
        <v>3.1655992680695335</v>
      </c>
      <c r="G3279" s="1">
        <v>2.4006614479740396E-2</v>
      </c>
    </row>
    <row r="3280" spans="1:7">
      <c r="A3280">
        <v>268</v>
      </c>
      <c r="B3280">
        <v>66</v>
      </c>
      <c r="C3280" s="1">
        <f>(Tabela1[[#This Row],[x]]-H$3)*(Tabela1[[#This Row],[x]]-H$3) +(Tabela1[[#This Row],[y]]-H$4)*(Tabela1[[#This Row],[y]]-H$4)</f>
        <v>22580</v>
      </c>
      <c r="D3280" s="1">
        <f>IF(Tabela1[[#This Row],[promien]]&lt;40000,1,0)</f>
        <v>1</v>
      </c>
      <c r="E3280" s="1">
        <f>IF(Tabela1[[#This Row],[promien]]=40000,1,0)</f>
        <v>0</v>
      </c>
      <c r="F3280" s="1">
        <v>3.1658536585365855</v>
      </c>
      <c r="G3280" s="1">
        <v>2.4261004946792397E-2</v>
      </c>
    </row>
    <row r="3281" spans="1:7">
      <c r="A3281">
        <v>203</v>
      </c>
      <c r="B3281">
        <v>359</v>
      </c>
      <c r="C3281" s="1">
        <f>(Tabela1[[#This Row],[x]]-H$3)*(Tabela1[[#This Row],[x]]-H$3) +(Tabela1[[#This Row],[y]]-H$4)*(Tabela1[[#This Row],[y]]-H$4)</f>
        <v>25290</v>
      </c>
      <c r="D3281" s="1">
        <f>IF(Tabela1[[#This Row],[promien]]&lt;40000,1,0)</f>
        <v>1</v>
      </c>
      <c r="E3281" s="1">
        <f>IF(Tabela1[[#This Row],[promien]]=40000,1,0)</f>
        <v>0</v>
      </c>
      <c r="F3281" s="1">
        <v>3.1661078939347758</v>
      </c>
      <c r="G3281" s="1">
        <v>2.4515240344982647E-2</v>
      </c>
    </row>
    <row r="3282" spans="1:7">
      <c r="A3282">
        <v>352</v>
      </c>
      <c r="B3282">
        <v>28</v>
      </c>
      <c r="C3282" s="1">
        <f>(Tabela1[[#This Row],[x]]-H$3)*(Tabela1[[#This Row],[x]]-H$3) +(Tabela1[[#This Row],[y]]-H$4)*(Tabela1[[#This Row],[y]]-H$4)</f>
        <v>52688</v>
      </c>
      <c r="D3282" s="1">
        <f>IF(Tabela1[[#This Row],[promien]]&lt;40000,1,0)</f>
        <v>0</v>
      </c>
      <c r="E3282" s="1">
        <f>IF(Tabela1[[#This Row],[promien]]=40000,1,0)</f>
        <v>0</v>
      </c>
      <c r="F3282" s="1">
        <v>3.1651432053625839</v>
      </c>
      <c r="G3282" s="1">
        <v>2.3550551772790751E-2</v>
      </c>
    </row>
    <row r="3283" spans="1:7">
      <c r="A3283">
        <v>102</v>
      </c>
      <c r="B3283">
        <v>183</v>
      </c>
      <c r="C3283" s="1">
        <f>(Tabela1[[#This Row],[x]]-H$3)*(Tabela1[[#This Row],[x]]-H$3) +(Tabela1[[#This Row],[y]]-H$4)*(Tabela1[[#This Row],[y]]-H$4)</f>
        <v>9893</v>
      </c>
      <c r="D3283" s="1">
        <f>IF(Tabela1[[#This Row],[promien]]&lt;40000,1,0)</f>
        <v>1</v>
      </c>
      <c r="E3283" s="1">
        <f>IF(Tabela1[[#This Row],[promien]]=40000,1,0)</f>
        <v>0</v>
      </c>
      <c r="F3283" s="1">
        <v>3.1653975022844958</v>
      </c>
      <c r="G3283" s="1">
        <v>2.3804848694702674E-2</v>
      </c>
    </row>
    <row r="3284" spans="1:7">
      <c r="A3284">
        <v>334</v>
      </c>
      <c r="B3284">
        <v>274</v>
      </c>
      <c r="C3284" s="1">
        <f>(Tabela1[[#This Row],[x]]-H$3)*(Tabela1[[#This Row],[x]]-H$3) +(Tabela1[[#This Row],[y]]-H$4)*(Tabela1[[#This Row],[y]]-H$4)</f>
        <v>23432</v>
      </c>
      <c r="D3284" s="1">
        <f>IF(Tabela1[[#This Row],[promien]]&lt;40000,1,0)</f>
        <v>1</v>
      </c>
      <c r="E3284" s="1">
        <f>IF(Tabela1[[#This Row],[promien]]=40000,1,0)</f>
        <v>0</v>
      </c>
      <c r="F3284" s="1">
        <v>3.1656516443361755</v>
      </c>
      <c r="G3284" s="1">
        <v>2.4058990746382403E-2</v>
      </c>
    </row>
    <row r="3285" spans="1:7">
      <c r="A3285">
        <v>36</v>
      </c>
      <c r="B3285">
        <v>305</v>
      </c>
      <c r="C3285" s="1">
        <f>(Tabela1[[#This Row],[x]]-H$3)*(Tabela1[[#This Row],[x]]-H$3) +(Tabela1[[#This Row],[y]]-H$4)*(Tabela1[[#This Row],[y]]-H$4)</f>
        <v>37921</v>
      </c>
      <c r="D3285" s="1">
        <f>IF(Tabela1[[#This Row],[promien]]&lt;40000,1,0)</f>
        <v>1</v>
      </c>
      <c r="E3285" s="1">
        <f>IF(Tabela1[[#This Row],[promien]]=40000,1,0)</f>
        <v>0</v>
      </c>
      <c r="F3285" s="1">
        <v>3.1659056316590561</v>
      </c>
      <c r="G3285" s="1">
        <v>2.4312978069263025E-2</v>
      </c>
    </row>
    <row r="3286" spans="1:7">
      <c r="A3286">
        <v>185</v>
      </c>
      <c r="B3286">
        <v>339</v>
      </c>
      <c r="C3286" s="1">
        <f>(Tabela1[[#This Row],[x]]-H$3)*(Tabela1[[#This Row],[x]]-H$3) +(Tabela1[[#This Row],[y]]-H$4)*(Tabela1[[#This Row],[y]]-H$4)</f>
        <v>19546</v>
      </c>
      <c r="D3286" s="1">
        <f>IF(Tabela1[[#This Row],[promien]]&lt;40000,1,0)</f>
        <v>1</v>
      </c>
      <c r="E3286" s="1">
        <f>IF(Tabela1[[#This Row],[promien]]=40000,1,0)</f>
        <v>0</v>
      </c>
      <c r="F3286" s="1">
        <v>3.1661594643944007</v>
      </c>
      <c r="G3286" s="1">
        <v>2.4566810804607542E-2</v>
      </c>
    </row>
    <row r="3287" spans="1:7">
      <c r="A3287">
        <v>86</v>
      </c>
      <c r="B3287">
        <v>63</v>
      </c>
      <c r="C3287" s="1">
        <f>(Tabela1[[#This Row],[x]]-H$3)*(Tabela1[[#This Row],[x]]-H$3) +(Tabela1[[#This Row],[y]]-H$4)*(Tabela1[[#This Row],[y]]-H$4)</f>
        <v>31765</v>
      </c>
      <c r="D3287" s="1">
        <f>IF(Tabela1[[#This Row],[promien]]&lt;40000,1,0)</f>
        <v>1</v>
      </c>
      <c r="E3287" s="1">
        <f>IF(Tabela1[[#This Row],[promien]]=40000,1,0)</f>
        <v>0</v>
      </c>
      <c r="F3287" s="1">
        <v>3.166413142683298</v>
      </c>
      <c r="G3287" s="1">
        <v>2.4820489093504872E-2</v>
      </c>
    </row>
    <row r="3288" spans="1:7">
      <c r="A3288">
        <v>79</v>
      </c>
      <c r="B3288">
        <v>379</v>
      </c>
      <c r="C3288" s="1">
        <f>(Tabela1[[#This Row],[x]]-H$3)*(Tabela1[[#This Row],[x]]-H$3) +(Tabela1[[#This Row],[y]]-H$4)*(Tabela1[[#This Row],[y]]-H$4)</f>
        <v>46682</v>
      </c>
      <c r="D3288" s="1">
        <f>IF(Tabela1[[#This Row],[promien]]&lt;40000,1,0)</f>
        <v>0</v>
      </c>
      <c r="E3288" s="1">
        <f>IF(Tabela1[[#This Row],[promien]]=40000,1,0)</f>
        <v>0</v>
      </c>
      <c r="F3288" s="1">
        <v>3.165450121654501</v>
      </c>
      <c r="G3288" s="1">
        <v>2.3857468064707898E-2</v>
      </c>
    </row>
    <row r="3289" spans="1:7">
      <c r="A3289">
        <v>144</v>
      </c>
      <c r="B3289">
        <v>176</v>
      </c>
      <c r="C3289" s="1">
        <f>(Tabela1[[#This Row],[x]]-H$3)*(Tabela1[[#This Row],[x]]-H$3) +(Tabela1[[#This Row],[y]]-H$4)*(Tabela1[[#This Row],[y]]-H$4)</f>
        <v>3712</v>
      </c>
      <c r="D3289" s="1">
        <f>IF(Tabela1[[#This Row],[promien]]&lt;40000,1,0)</f>
        <v>1</v>
      </c>
      <c r="E3289" s="1">
        <f>IF(Tabela1[[#This Row],[promien]]=40000,1,0)</f>
        <v>0</v>
      </c>
      <c r="F3289" s="1">
        <v>3.1657038613560351</v>
      </c>
      <c r="G3289" s="1">
        <v>2.4111207766241982E-2</v>
      </c>
    </row>
    <row r="3290" spans="1:7">
      <c r="A3290">
        <v>46</v>
      </c>
      <c r="B3290">
        <v>6</v>
      </c>
      <c r="C3290" s="1">
        <f>(Tabela1[[#This Row],[x]]-H$3)*(Tabela1[[#This Row],[x]]-H$3) +(Tabela1[[#This Row],[y]]-H$4)*(Tabela1[[#This Row],[y]]-H$4)</f>
        <v>61352</v>
      </c>
      <c r="D3290" s="1">
        <f>IF(Tabela1[[#This Row],[promien]]&lt;40000,1,0)</f>
        <v>0</v>
      </c>
      <c r="E3290" s="1">
        <f>IF(Tabela1[[#This Row],[promien]]=40000,1,0)</f>
        <v>0</v>
      </c>
      <c r="F3290" s="1">
        <v>3.1647416413373861</v>
      </c>
      <c r="G3290" s="1">
        <v>2.3148987747592997E-2</v>
      </c>
    </row>
    <row r="3291" spans="1:7">
      <c r="A3291">
        <v>382</v>
      </c>
      <c r="B3291">
        <v>167</v>
      </c>
      <c r="C3291" s="1">
        <f>(Tabela1[[#This Row],[x]]-H$3)*(Tabela1[[#This Row],[x]]-H$3) +(Tabela1[[#This Row],[y]]-H$4)*(Tabela1[[#This Row],[y]]-H$4)</f>
        <v>34213</v>
      </c>
      <c r="D3291" s="1">
        <f>IF(Tabela1[[#This Row],[promien]]&lt;40000,1,0)</f>
        <v>1</v>
      </c>
      <c r="E3291" s="1">
        <f>IF(Tabela1[[#This Row],[promien]]=40000,1,0)</f>
        <v>0</v>
      </c>
      <c r="F3291" s="1">
        <v>3.1649954421148587</v>
      </c>
      <c r="G3291" s="1">
        <v>2.340278852506561E-2</v>
      </c>
    </row>
    <row r="3292" spans="1:7">
      <c r="A3292">
        <v>193</v>
      </c>
      <c r="B3292">
        <v>61</v>
      </c>
      <c r="C3292" s="1">
        <f>(Tabela1[[#This Row],[x]]-H$3)*(Tabela1[[#This Row],[x]]-H$3) +(Tabela1[[#This Row],[y]]-H$4)*(Tabela1[[#This Row],[y]]-H$4)</f>
        <v>19370</v>
      </c>
      <c r="D3292" s="1">
        <f>IF(Tabela1[[#This Row],[promien]]&lt;40000,1,0)</f>
        <v>1</v>
      </c>
      <c r="E3292" s="1">
        <f>IF(Tabela1[[#This Row],[promien]]=40000,1,0)</f>
        <v>0</v>
      </c>
      <c r="F3292" s="1">
        <v>3.1652490886998783</v>
      </c>
      <c r="G3292" s="1">
        <v>2.3656435110085194E-2</v>
      </c>
    </row>
    <row r="3293" spans="1:7">
      <c r="A3293">
        <v>214</v>
      </c>
      <c r="B3293">
        <v>280</v>
      </c>
      <c r="C3293" s="1">
        <f>(Tabela1[[#This Row],[x]]-H$3)*(Tabela1[[#This Row],[x]]-H$3) +(Tabela1[[#This Row],[y]]-H$4)*(Tabela1[[#This Row],[y]]-H$4)</f>
        <v>6596</v>
      </c>
      <c r="D3293" s="1">
        <f>IF(Tabela1[[#This Row],[promien]]&lt;40000,1,0)</f>
        <v>1</v>
      </c>
      <c r="E3293" s="1">
        <f>IF(Tabela1[[#This Row],[promien]]=40000,1,0)</f>
        <v>0</v>
      </c>
      <c r="F3293" s="1">
        <v>3.1655025812329183</v>
      </c>
      <c r="G3293" s="1">
        <v>2.3909927643125162E-2</v>
      </c>
    </row>
    <row r="3294" spans="1:7">
      <c r="A3294">
        <v>19</v>
      </c>
      <c r="B3294">
        <v>70</v>
      </c>
      <c r="C3294" s="1">
        <f>(Tabela1[[#This Row],[x]]-H$3)*(Tabela1[[#This Row],[x]]-H$3) +(Tabela1[[#This Row],[y]]-H$4)*(Tabela1[[#This Row],[y]]-H$4)</f>
        <v>49661</v>
      </c>
      <c r="D3294" s="1">
        <f>IF(Tabela1[[#This Row],[promien]]&lt;40000,1,0)</f>
        <v>0</v>
      </c>
      <c r="E3294" s="1">
        <f>IF(Tabela1[[#This Row],[promien]]=40000,1,0)</f>
        <v>0</v>
      </c>
      <c r="F3294" s="1">
        <v>3.164541590771099</v>
      </c>
      <c r="G3294" s="1">
        <v>2.2948937181305862E-2</v>
      </c>
    </row>
    <row r="3295" spans="1:7">
      <c r="A3295">
        <v>349</v>
      </c>
      <c r="B3295">
        <v>80</v>
      </c>
      <c r="C3295" s="1">
        <f>(Tabela1[[#This Row],[x]]-H$3)*(Tabela1[[#This Row],[x]]-H$3) +(Tabela1[[#This Row],[y]]-H$4)*(Tabela1[[#This Row],[y]]-H$4)</f>
        <v>36601</v>
      </c>
      <c r="D3295" s="1">
        <f>IF(Tabela1[[#This Row],[promien]]&lt;40000,1,0)</f>
        <v>1</v>
      </c>
      <c r="E3295" s="1">
        <f>IF(Tabela1[[#This Row],[promien]]=40000,1,0)</f>
        <v>0</v>
      </c>
      <c r="F3295" s="1">
        <v>3.1647951441578148</v>
      </c>
      <c r="G3295" s="1">
        <v>2.3202490568021705E-2</v>
      </c>
    </row>
    <row r="3296" spans="1:7">
      <c r="A3296">
        <v>298</v>
      </c>
      <c r="B3296">
        <v>184</v>
      </c>
      <c r="C3296" s="1">
        <f>(Tabela1[[#This Row],[x]]-H$3)*(Tabela1[[#This Row],[x]]-H$3) +(Tabela1[[#This Row],[y]]-H$4)*(Tabela1[[#This Row],[y]]-H$4)</f>
        <v>9860</v>
      </c>
      <c r="D3296" s="1">
        <f>IF(Tabela1[[#This Row],[promien]]&lt;40000,1,0)</f>
        <v>1</v>
      </c>
      <c r="E3296" s="1">
        <f>IF(Tabela1[[#This Row],[promien]]=40000,1,0)</f>
        <v>0</v>
      </c>
      <c r="F3296" s="1">
        <v>3.1650485436893203</v>
      </c>
      <c r="G3296" s="1">
        <v>2.3455890099527199E-2</v>
      </c>
    </row>
    <row r="3297" spans="1:7">
      <c r="A3297">
        <v>164</v>
      </c>
      <c r="B3297">
        <v>101</v>
      </c>
      <c r="C3297" s="1">
        <f>(Tabela1[[#This Row],[x]]-H$3)*(Tabela1[[#This Row],[x]]-H$3) +(Tabela1[[#This Row],[y]]-H$4)*(Tabela1[[#This Row],[y]]-H$4)</f>
        <v>11097</v>
      </c>
      <c r="D3297" s="1">
        <f>IF(Tabela1[[#This Row],[promien]]&lt;40000,1,0)</f>
        <v>1</v>
      </c>
      <c r="E3297" s="1">
        <f>IF(Tabela1[[#This Row],[promien]]=40000,1,0)</f>
        <v>0</v>
      </c>
      <c r="F3297" s="1">
        <v>3.165301789505611</v>
      </c>
      <c r="G3297" s="1">
        <v>2.3709135915817914E-2</v>
      </c>
    </row>
    <row r="3298" spans="1:7">
      <c r="A3298">
        <v>9</v>
      </c>
      <c r="B3298">
        <v>248</v>
      </c>
      <c r="C3298" s="1">
        <f>(Tabela1[[#This Row],[x]]-H$3)*(Tabela1[[#This Row],[x]]-H$3) +(Tabela1[[#This Row],[y]]-H$4)*(Tabela1[[#This Row],[y]]-H$4)</f>
        <v>38785</v>
      </c>
      <c r="D3298" s="1">
        <f>IF(Tabela1[[#This Row],[promien]]&lt;40000,1,0)</f>
        <v>1</v>
      </c>
      <c r="E3298" s="1">
        <f>IF(Tabela1[[#This Row],[promien]]=40000,1,0)</f>
        <v>0</v>
      </c>
      <c r="F3298" s="1">
        <v>3.1655548817465129</v>
      </c>
      <c r="G3298" s="1">
        <v>2.3962228156719778E-2</v>
      </c>
    </row>
    <row r="3299" spans="1:7">
      <c r="A3299">
        <v>63</v>
      </c>
      <c r="B3299">
        <v>370</v>
      </c>
      <c r="C3299" s="1">
        <f>(Tabela1[[#This Row],[x]]-H$3)*(Tabela1[[#This Row],[x]]-H$3) +(Tabela1[[#This Row],[y]]-H$4)*(Tabela1[[#This Row],[y]]-H$4)</f>
        <v>47669</v>
      </c>
      <c r="D3299" s="1">
        <f>IF(Tabela1[[#This Row],[promien]]&lt;40000,1,0)</f>
        <v>0</v>
      </c>
      <c r="E3299" s="1">
        <f>IF(Tabela1[[#This Row],[promien]]=40000,1,0)</f>
        <v>0</v>
      </c>
      <c r="F3299" s="1">
        <v>3.1645953319187634</v>
      </c>
      <c r="G3299" s="1">
        <v>2.3002678328970294E-2</v>
      </c>
    </row>
    <row r="3300" spans="1:7">
      <c r="A3300">
        <v>382</v>
      </c>
      <c r="B3300">
        <v>107</v>
      </c>
      <c r="C3300" s="1">
        <f>(Tabela1[[#This Row],[x]]-H$3)*(Tabela1[[#This Row],[x]]-H$3) +(Tabela1[[#This Row],[y]]-H$4)*(Tabela1[[#This Row],[y]]-H$4)</f>
        <v>41773</v>
      </c>
      <c r="D3300" s="1">
        <f>IF(Tabela1[[#This Row],[promien]]&lt;40000,1,0)</f>
        <v>0</v>
      </c>
      <c r="E3300" s="1">
        <f>IF(Tabela1[[#This Row],[promien]]=40000,1,0)</f>
        <v>0</v>
      </c>
      <c r="F3300" s="1">
        <v>3.1636363636363636</v>
      </c>
      <c r="G3300" s="1">
        <v>2.2043710046570464E-2</v>
      </c>
    </row>
    <row r="3301" spans="1:7">
      <c r="A3301">
        <v>257</v>
      </c>
      <c r="B3301">
        <v>17</v>
      </c>
      <c r="C3301" s="1">
        <f>(Tabela1[[#This Row],[x]]-H$3)*(Tabela1[[#This Row],[x]]-H$3) +(Tabela1[[#This Row],[y]]-H$4)*(Tabela1[[#This Row],[y]]-H$4)</f>
        <v>36738</v>
      </c>
      <c r="D3301" s="1">
        <f>IF(Tabela1[[#This Row],[promien]]&lt;40000,1,0)</f>
        <v>1</v>
      </c>
      <c r="E3301" s="1">
        <f>IF(Tabela1[[#This Row],[promien]]=40000,1,0)</f>
        <v>0</v>
      </c>
      <c r="F3301" s="1">
        <v>3.163889730384732</v>
      </c>
      <c r="G3301" s="1">
        <v>2.2297076794938864E-2</v>
      </c>
    </row>
    <row r="3302" spans="1:7">
      <c r="A3302">
        <v>214</v>
      </c>
      <c r="B3302">
        <v>323</v>
      </c>
      <c r="C3302" s="1">
        <f>(Tabela1[[#This Row],[x]]-H$3)*(Tabela1[[#This Row],[x]]-H$3) +(Tabela1[[#This Row],[y]]-H$4)*(Tabela1[[#This Row],[y]]-H$4)</f>
        <v>15325</v>
      </c>
      <c r="D3302" s="1">
        <f>IF(Tabela1[[#This Row],[promien]]&lt;40000,1,0)</f>
        <v>1</v>
      </c>
      <c r="E3302" s="1">
        <f>IF(Tabela1[[#This Row],[promien]]=40000,1,0)</f>
        <v>0</v>
      </c>
      <c r="F3302" s="1">
        <v>3.1641429436705026</v>
      </c>
      <c r="G3302" s="1">
        <v>2.2550290080709523E-2</v>
      </c>
    </row>
    <row r="3303" spans="1:7">
      <c r="A3303">
        <v>69</v>
      </c>
      <c r="B3303">
        <v>228</v>
      </c>
      <c r="C3303" s="1">
        <f>(Tabela1[[#This Row],[x]]-H$3)*(Tabela1[[#This Row],[x]]-H$3) +(Tabela1[[#This Row],[y]]-H$4)*(Tabela1[[#This Row],[y]]-H$4)</f>
        <v>17945</v>
      </c>
      <c r="D3303" s="1">
        <f>IF(Tabela1[[#This Row],[promien]]&lt;40000,1,0)</f>
        <v>1</v>
      </c>
      <c r="E3303" s="1">
        <f>IF(Tabela1[[#This Row],[promien]]=40000,1,0)</f>
        <v>0</v>
      </c>
      <c r="F3303" s="1">
        <v>3.1643960036330609</v>
      </c>
      <c r="G3303" s="1">
        <v>2.2803350043267834E-2</v>
      </c>
    </row>
    <row r="3304" spans="1:7">
      <c r="A3304">
        <v>200</v>
      </c>
      <c r="B3304">
        <v>231</v>
      </c>
      <c r="C3304" s="1">
        <f>(Tabela1[[#This Row],[x]]-H$3)*(Tabela1[[#This Row],[x]]-H$3) +(Tabela1[[#This Row],[y]]-H$4)*(Tabela1[[#This Row],[y]]-H$4)</f>
        <v>961</v>
      </c>
      <c r="D3304" s="1">
        <f>IF(Tabela1[[#This Row],[promien]]&lt;40000,1,0)</f>
        <v>1</v>
      </c>
      <c r="E3304" s="1">
        <f>IF(Tabela1[[#This Row],[promien]]=40000,1,0)</f>
        <v>0</v>
      </c>
      <c r="F3304" s="1">
        <v>3.1646489104116222</v>
      </c>
      <c r="G3304" s="1">
        <v>2.3056256821829102E-2</v>
      </c>
    </row>
    <row r="3305" spans="1:7">
      <c r="A3305">
        <v>191</v>
      </c>
      <c r="B3305">
        <v>377</v>
      </c>
      <c r="C3305" s="1">
        <f>(Tabela1[[#This Row],[x]]-H$3)*(Tabela1[[#This Row],[x]]-H$3) +(Tabela1[[#This Row],[y]]-H$4)*(Tabela1[[#This Row],[y]]-H$4)</f>
        <v>31410</v>
      </c>
      <c r="D3305" s="1">
        <f>IF(Tabela1[[#This Row],[promien]]&lt;40000,1,0)</f>
        <v>1</v>
      </c>
      <c r="E3305" s="1">
        <f>IF(Tabela1[[#This Row],[promien]]=40000,1,0)</f>
        <v>0</v>
      </c>
      <c r="F3305" s="1">
        <v>3.1649016641452343</v>
      </c>
      <c r="G3305" s="1">
        <v>2.3309010555441212E-2</v>
      </c>
    </row>
    <row r="3306" spans="1:7">
      <c r="A3306">
        <v>103</v>
      </c>
      <c r="B3306">
        <v>143</v>
      </c>
      <c r="C3306" s="1">
        <f>(Tabela1[[#This Row],[x]]-H$3)*(Tabela1[[#This Row],[x]]-H$3) +(Tabela1[[#This Row],[y]]-H$4)*(Tabela1[[#This Row],[y]]-H$4)</f>
        <v>12658</v>
      </c>
      <c r="D3306" s="1">
        <f>IF(Tabela1[[#This Row],[promien]]&lt;40000,1,0)</f>
        <v>1</v>
      </c>
      <c r="E3306" s="1">
        <f>IF(Tabela1[[#This Row],[promien]]=40000,1,0)</f>
        <v>0</v>
      </c>
      <c r="F3306" s="1">
        <v>3.1651542649727769</v>
      </c>
      <c r="G3306" s="1">
        <v>2.3561611382983738E-2</v>
      </c>
    </row>
    <row r="3307" spans="1:7">
      <c r="A3307">
        <v>356</v>
      </c>
      <c r="B3307">
        <v>149</v>
      </c>
      <c r="C3307" s="1">
        <f>(Tabela1[[#This Row],[x]]-H$3)*(Tabela1[[#This Row],[x]]-H$3) +(Tabela1[[#This Row],[y]]-H$4)*(Tabela1[[#This Row],[y]]-H$4)</f>
        <v>26937</v>
      </c>
      <c r="D3307" s="1">
        <f>IF(Tabela1[[#This Row],[promien]]&lt;40000,1,0)</f>
        <v>1</v>
      </c>
      <c r="E3307" s="1">
        <f>IF(Tabela1[[#This Row],[promien]]=40000,1,0)</f>
        <v>0</v>
      </c>
      <c r="F3307" s="1">
        <v>3.1654067130329602</v>
      </c>
      <c r="G3307" s="1">
        <v>2.3814059443167057E-2</v>
      </c>
    </row>
    <row r="3308" spans="1:7">
      <c r="A3308">
        <v>372</v>
      </c>
      <c r="B3308">
        <v>387</v>
      </c>
      <c r="C3308" s="1">
        <f>(Tabela1[[#This Row],[x]]-H$3)*(Tabela1[[#This Row],[x]]-H$3) +(Tabela1[[#This Row],[y]]-H$4)*(Tabela1[[#This Row],[y]]-H$4)</f>
        <v>64553</v>
      </c>
      <c r="D3308" s="1">
        <f>IF(Tabela1[[#This Row],[promien]]&lt;40000,1,0)</f>
        <v>0</v>
      </c>
      <c r="E3308" s="1">
        <f>IF(Tabela1[[#This Row],[promien]]=40000,1,0)</f>
        <v>0</v>
      </c>
      <c r="F3308" s="1">
        <v>3.1644498186215237</v>
      </c>
      <c r="G3308" s="1">
        <v>2.2857165031730631E-2</v>
      </c>
    </row>
    <row r="3309" spans="1:7">
      <c r="A3309">
        <v>39</v>
      </c>
      <c r="B3309">
        <v>398</v>
      </c>
      <c r="C3309" s="1">
        <f>(Tabela1[[#This Row],[x]]-H$3)*(Tabela1[[#This Row],[x]]-H$3) +(Tabela1[[#This Row],[y]]-H$4)*(Tabela1[[#This Row],[y]]-H$4)</f>
        <v>65125</v>
      </c>
      <c r="D3309" s="1">
        <f>IF(Tabela1[[#This Row],[promien]]&lt;40000,1,0)</f>
        <v>0</v>
      </c>
      <c r="E3309" s="1">
        <f>IF(Tabela1[[#This Row],[promien]]=40000,1,0)</f>
        <v>0</v>
      </c>
      <c r="F3309" s="1">
        <v>3.1634935025687518</v>
      </c>
      <c r="G3309" s="1">
        <v>2.190084897895872E-2</v>
      </c>
    </row>
    <row r="3310" spans="1:7">
      <c r="A3310">
        <v>250</v>
      </c>
      <c r="B3310">
        <v>251</v>
      </c>
      <c r="C3310" s="1">
        <f>(Tabela1[[#This Row],[x]]-H$3)*(Tabela1[[#This Row],[x]]-H$3) +(Tabela1[[#This Row],[y]]-H$4)*(Tabela1[[#This Row],[y]]-H$4)</f>
        <v>5101</v>
      </c>
      <c r="D3310" s="1">
        <f>IF(Tabela1[[#This Row],[promien]]&lt;40000,1,0)</f>
        <v>1</v>
      </c>
      <c r="E3310" s="1">
        <f>IF(Tabela1[[#This Row],[promien]]=40000,1,0)</f>
        <v>0</v>
      </c>
      <c r="F3310" s="1">
        <v>3.1637462235649547</v>
      </c>
      <c r="G3310" s="1">
        <v>2.2153569975161602E-2</v>
      </c>
    </row>
    <row r="3311" spans="1:7">
      <c r="A3311">
        <v>170</v>
      </c>
      <c r="B3311">
        <v>392</v>
      </c>
      <c r="C3311" s="1">
        <f>(Tabela1[[#This Row],[x]]-H$3)*(Tabela1[[#This Row],[x]]-H$3) +(Tabela1[[#This Row],[y]]-H$4)*(Tabela1[[#This Row],[y]]-H$4)</f>
        <v>37764</v>
      </c>
      <c r="D3311" s="1">
        <f>IF(Tabela1[[#This Row],[promien]]&lt;40000,1,0)</f>
        <v>1</v>
      </c>
      <c r="E3311" s="1">
        <f>IF(Tabela1[[#This Row],[promien]]=40000,1,0)</f>
        <v>0</v>
      </c>
      <c r="F3311" s="1">
        <v>3.1639987919057688</v>
      </c>
      <c r="G3311" s="1">
        <v>2.240613831597571E-2</v>
      </c>
    </row>
    <row r="3312" spans="1:7">
      <c r="A3312">
        <v>207</v>
      </c>
      <c r="B3312">
        <v>72</v>
      </c>
      <c r="C3312" s="1">
        <f>(Tabela1[[#This Row],[x]]-H$3)*(Tabela1[[#This Row],[x]]-H$3) +(Tabela1[[#This Row],[y]]-H$4)*(Tabela1[[#This Row],[y]]-H$4)</f>
        <v>16433</v>
      </c>
      <c r="D3312" s="1">
        <f>IF(Tabela1[[#This Row],[promien]]&lt;40000,1,0)</f>
        <v>1</v>
      </c>
      <c r="E3312" s="1">
        <f>IF(Tabela1[[#This Row],[promien]]=40000,1,0)</f>
        <v>0</v>
      </c>
      <c r="F3312" s="1">
        <v>3.1642512077294684</v>
      </c>
      <c r="G3312" s="1">
        <v>2.2658554139675324E-2</v>
      </c>
    </row>
    <row r="3313" spans="1:7">
      <c r="A3313">
        <v>98</v>
      </c>
      <c r="B3313">
        <v>222</v>
      </c>
      <c r="C3313" s="1">
        <f>(Tabela1[[#This Row],[x]]-H$3)*(Tabela1[[#This Row],[x]]-H$3) +(Tabela1[[#This Row],[y]]-H$4)*(Tabela1[[#This Row],[y]]-H$4)</f>
        <v>10888</v>
      </c>
      <c r="D3313" s="1">
        <f>IF(Tabela1[[#This Row],[promien]]&lt;40000,1,0)</f>
        <v>1</v>
      </c>
      <c r="E3313" s="1">
        <f>IF(Tabela1[[#This Row],[promien]]=40000,1,0)</f>
        <v>0</v>
      </c>
      <c r="F3313" s="1">
        <v>3.1645034711741622</v>
      </c>
      <c r="G3313" s="1">
        <v>2.2910817584369081E-2</v>
      </c>
    </row>
    <row r="3314" spans="1:7">
      <c r="A3314">
        <v>377</v>
      </c>
      <c r="B3314">
        <v>398</v>
      </c>
      <c r="C3314" s="1">
        <f>(Tabela1[[#This Row],[x]]-H$3)*(Tabela1[[#This Row],[x]]-H$3) +(Tabela1[[#This Row],[y]]-H$4)*(Tabela1[[#This Row],[y]]-H$4)</f>
        <v>70533</v>
      </c>
      <c r="D3314" s="1">
        <f>IF(Tabela1[[#This Row],[promien]]&lt;40000,1,0)</f>
        <v>0</v>
      </c>
      <c r="E3314" s="1">
        <f>IF(Tabela1[[#This Row],[promien]]=40000,1,0)</f>
        <v>0</v>
      </c>
      <c r="F3314" s="1">
        <v>3.163548581774291</v>
      </c>
      <c r="G3314" s="1">
        <v>2.1955928184497875E-2</v>
      </c>
    </row>
    <row r="3315" spans="1:7">
      <c r="A3315">
        <v>247</v>
      </c>
      <c r="B3315">
        <v>33</v>
      </c>
      <c r="C3315" s="1">
        <f>(Tabela1[[#This Row],[x]]-H$3)*(Tabela1[[#This Row],[x]]-H$3) +(Tabela1[[#This Row],[y]]-H$4)*(Tabela1[[#This Row],[y]]-H$4)</f>
        <v>30098</v>
      </c>
      <c r="D3315" s="1">
        <f>IF(Tabela1[[#This Row],[promien]]&lt;40000,1,0)</f>
        <v>1</v>
      </c>
      <c r="E3315" s="1">
        <f>IF(Tabela1[[#This Row],[promien]]=40000,1,0)</f>
        <v>0</v>
      </c>
      <c r="F3315" s="1">
        <v>3.1638009049773754</v>
      </c>
      <c r="G3315" s="1">
        <v>2.2208251387582312E-2</v>
      </c>
    </row>
    <row r="3316" spans="1:7">
      <c r="A3316">
        <v>82</v>
      </c>
      <c r="B3316">
        <v>213</v>
      </c>
      <c r="C3316" s="1">
        <f>(Tabela1[[#This Row],[x]]-H$3)*(Tabela1[[#This Row],[x]]-H$3) +(Tabela1[[#This Row],[y]]-H$4)*(Tabela1[[#This Row],[y]]-H$4)</f>
        <v>14093</v>
      </c>
      <c r="D3316" s="1">
        <f>IF(Tabela1[[#This Row],[promien]]&lt;40000,1,0)</f>
        <v>1</v>
      </c>
      <c r="E3316" s="1">
        <f>IF(Tabela1[[#This Row],[promien]]=40000,1,0)</f>
        <v>0</v>
      </c>
      <c r="F3316" s="1">
        <v>3.164053075995175</v>
      </c>
      <c r="G3316" s="1">
        <v>2.246042240538193E-2</v>
      </c>
    </row>
    <row r="3317" spans="1:7">
      <c r="A3317">
        <v>94</v>
      </c>
      <c r="B3317">
        <v>81</v>
      </c>
      <c r="C3317" s="1">
        <f>(Tabela1[[#This Row],[x]]-H$3)*(Tabela1[[#This Row],[x]]-H$3) +(Tabela1[[#This Row],[y]]-H$4)*(Tabela1[[#This Row],[y]]-H$4)</f>
        <v>25397</v>
      </c>
      <c r="D3317" s="1">
        <f>IF(Tabela1[[#This Row],[promien]]&lt;40000,1,0)</f>
        <v>1</v>
      </c>
      <c r="E3317" s="1">
        <f>IF(Tabela1[[#This Row],[promien]]=40000,1,0)</f>
        <v>0</v>
      </c>
      <c r="F3317" s="1">
        <v>3.16430509496533</v>
      </c>
      <c r="G3317" s="1">
        <v>2.2712441375536851E-2</v>
      </c>
    </row>
    <row r="3318" spans="1:7">
      <c r="A3318">
        <v>226</v>
      </c>
      <c r="B3318">
        <v>83</v>
      </c>
      <c r="C3318" s="1">
        <f>(Tabela1[[#This Row],[x]]-H$3)*(Tabela1[[#This Row],[x]]-H$3) +(Tabela1[[#This Row],[y]]-H$4)*(Tabela1[[#This Row],[y]]-H$4)</f>
        <v>14365</v>
      </c>
      <c r="D3318" s="1">
        <f>IF(Tabela1[[#This Row],[promien]]&lt;40000,1,0)</f>
        <v>1</v>
      </c>
      <c r="E3318" s="1">
        <f>IF(Tabela1[[#This Row],[promien]]=40000,1,0)</f>
        <v>0</v>
      </c>
      <c r="F3318" s="1">
        <v>3.1645569620253164</v>
      </c>
      <c r="G3318" s="1">
        <v>2.2964308435523328E-2</v>
      </c>
    </row>
    <row r="3319" spans="1:7">
      <c r="A3319">
        <v>228</v>
      </c>
      <c r="B3319">
        <v>75</v>
      </c>
      <c r="C3319" s="1">
        <f>(Tabela1[[#This Row],[x]]-H$3)*(Tabela1[[#This Row],[x]]-H$3) +(Tabela1[[#This Row],[y]]-H$4)*(Tabela1[[#This Row],[y]]-H$4)</f>
        <v>16409</v>
      </c>
      <c r="D3319" s="1">
        <f>IF(Tabela1[[#This Row],[promien]]&lt;40000,1,0)</f>
        <v>1</v>
      </c>
      <c r="E3319" s="1">
        <f>IF(Tabela1[[#This Row],[promien]]=40000,1,0)</f>
        <v>0</v>
      </c>
      <c r="F3319" s="1">
        <v>3.1648086773124433</v>
      </c>
      <c r="G3319" s="1">
        <v>2.3216023722650192E-2</v>
      </c>
    </row>
    <row r="3320" spans="1:7">
      <c r="A3320">
        <v>290</v>
      </c>
      <c r="B3320">
        <v>388</v>
      </c>
      <c r="C3320" s="1">
        <f>(Tabela1[[#This Row],[x]]-H$3)*(Tabela1[[#This Row],[x]]-H$3) +(Tabela1[[#This Row],[y]]-H$4)*(Tabela1[[#This Row],[y]]-H$4)</f>
        <v>43444</v>
      </c>
      <c r="D3320" s="1">
        <f>IF(Tabela1[[#This Row],[promien]]&lt;40000,1,0)</f>
        <v>0</v>
      </c>
      <c r="E3320" s="1">
        <f>IF(Tabela1[[#This Row],[promien]]=40000,1,0)</f>
        <v>0</v>
      </c>
      <c r="F3320" s="1">
        <v>3.1638554216867472</v>
      </c>
      <c r="G3320" s="1">
        <v>2.2262768096954044E-2</v>
      </c>
    </row>
    <row r="3321" spans="1:7">
      <c r="A3321">
        <v>32</v>
      </c>
      <c r="B3321">
        <v>120</v>
      </c>
      <c r="C3321" s="1">
        <f>(Tabela1[[#This Row],[x]]-H$3)*(Tabela1[[#This Row],[x]]-H$3) +(Tabela1[[#This Row],[y]]-H$4)*(Tabela1[[#This Row],[y]]-H$4)</f>
        <v>34624</v>
      </c>
      <c r="D3321" s="1">
        <f>IF(Tabela1[[#This Row],[promien]]&lt;40000,1,0)</f>
        <v>1</v>
      </c>
      <c r="E3321" s="1">
        <f>IF(Tabela1[[#This Row],[promien]]=40000,1,0)</f>
        <v>0</v>
      </c>
      <c r="F3321" s="1">
        <v>3.1641071966275218</v>
      </c>
      <c r="G3321" s="1">
        <v>2.2514543037728707E-2</v>
      </c>
    </row>
    <row r="3322" spans="1:7">
      <c r="A3322">
        <v>178</v>
      </c>
      <c r="B3322">
        <v>11</v>
      </c>
      <c r="C3322" s="1">
        <f>(Tabela1[[#This Row],[x]]-H$3)*(Tabela1[[#This Row],[x]]-H$3) +(Tabela1[[#This Row],[y]]-H$4)*(Tabela1[[#This Row],[y]]-H$4)</f>
        <v>36205</v>
      </c>
      <c r="D3322" s="1">
        <f>IF(Tabela1[[#This Row],[promien]]&lt;40000,1,0)</f>
        <v>1</v>
      </c>
      <c r="E3322" s="1">
        <f>IF(Tabela1[[#This Row],[promien]]=40000,1,0)</f>
        <v>0</v>
      </c>
      <c r="F3322" s="1">
        <v>3.1643588199879589</v>
      </c>
      <c r="G3322" s="1">
        <v>2.2766166398165755E-2</v>
      </c>
    </row>
    <row r="3323" spans="1:7">
      <c r="A3323">
        <v>242</v>
      </c>
      <c r="B3323">
        <v>79</v>
      </c>
      <c r="C3323" s="1">
        <f>(Tabela1[[#This Row],[x]]-H$3)*(Tabela1[[#This Row],[x]]-H$3) +(Tabela1[[#This Row],[y]]-H$4)*(Tabela1[[#This Row],[y]]-H$4)</f>
        <v>16405</v>
      </c>
      <c r="D3323" s="1">
        <f>IF(Tabela1[[#This Row],[promien]]&lt;40000,1,0)</f>
        <v>1</v>
      </c>
      <c r="E3323" s="1">
        <f>IF(Tabela1[[#This Row],[promien]]=40000,1,0)</f>
        <v>0</v>
      </c>
      <c r="F3323" s="1">
        <v>3.1646102919049053</v>
      </c>
      <c r="G3323" s="1">
        <v>2.3017638315112166E-2</v>
      </c>
    </row>
    <row r="3324" spans="1:7">
      <c r="A3324">
        <v>113</v>
      </c>
      <c r="B3324">
        <v>274</v>
      </c>
      <c r="C3324" s="1">
        <f>(Tabela1[[#This Row],[x]]-H$3)*(Tabela1[[#This Row],[x]]-H$3) +(Tabela1[[#This Row],[y]]-H$4)*(Tabela1[[#This Row],[y]]-H$4)</f>
        <v>13045</v>
      </c>
      <c r="D3324" s="1">
        <f>IF(Tabela1[[#This Row],[promien]]&lt;40000,1,0)</f>
        <v>1</v>
      </c>
      <c r="E3324" s="1">
        <f>IF(Tabela1[[#This Row],[promien]]=40000,1,0)</f>
        <v>0</v>
      </c>
      <c r="F3324" s="1">
        <v>3.1648616125150419</v>
      </c>
      <c r="G3324" s="1">
        <v>2.3268958925248828E-2</v>
      </c>
    </row>
    <row r="3325" spans="1:7">
      <c r="A3325">
        <v>208</v>
      </c>
      <c r="B3325">
        <v>357</v>
      </c>
      <c r="C3325" s="1">
        <f>(Tabela1[[#This Row],[x]]-H$3)*(Tabela1[[#This Row],[x]]-H$3) +(Tabela1[[#This Row],[y]]-H$4)*(Tabela1[[#This Row],[y]]-H$4)</f>
        <v>24713</v>
      </c>
      <c r="D3325" s="1">
        <f>IF(Tabela1[[#This Row],[promien]]&lt;40000,1,0)</f>
        <v>1</v>
      </c>
      <c r="E3325" s="1">
        <f>IF(Tabela1[[#This Row],[promien]]=40000,1,0)</f>
        <v>0</v>
      </c>
      <c r="F3325" s="1">
        <v>3.1651127819548872</v>
      </c>
      <c r="G3325" s="1">
        <v>2.3520128365094095E-2</v>
      </c>
    </row>
    <row r="3326" spans="1:7">
      <c r="A3326">
        <v>255</v>
      </c>
      <c r="B3326">
        <v>298</v>
      </c>
      <c r="C3326" s="1">
        <f>(Tabela1[[#This Row],[x]]-H$3)*(Tabela1[[#This Row],[x]]-H$3) +(Tabela1[[#This Row],[y]]-H$4)*(Tabela1[[#This Row],[y]]-H$4)</f>
        <v>12629</v>
      </c>
      <c r="D3326" s="1">
        <f>IF(Tabela1[[#This Row],[promien]]&lt;40000,1,0)</f>
        <v>1</v>
      </c>
      <c r="E3326" s="1">
        <f>IF(Tabela1[[#This Row],[promien]]=40000,1,0)</f>
        <v>0</v>
      </c>
      <c r="F3326" s="1">
        <v>3.1653638003607938</v>
      </c>
      <c r="G3326" s="1">
        <v>2.3771146771000673E-2</v>
      </c>
    </row>
    <row r="3327" spans="1:7">
      <c r="A3327">
        <v>325</v>
      </c>
      <c r="B3327">
        <v>110</v>
      </c>
      <c r="C3327" s="1">
        <f>(Tabela1[[#This Row],[x]]-H$3)*(Tabela1[[#This Row],[x]]-H$3) +(Tabela1[[#This Row],[y]]-H$4)*(Tabela1[[#This Row],[y]]-H$4)</f>
        <v>23725</v>
      </c>
      <c r="D3327" s="1">
        <f>IF(Tabela1[[#This Row],[promien]]&lt;40000,1,0)</f>
        <v>1</v>
      </c>
      <c r="E3327" s="1">
        <f>IF(Tabela1[[#This Row],[promien]]=40000,1,0)</f>
        <v>0</v>
      </c>
      <c r="F3327" s="1">
        <v>3.165614667868951</v>
      </c>
      <c r="G3327" s="1">
        <v>2.4022014279157844E-2</v>
      </c>
    </row>
    <row r="3328" spans="1:7">
      <c r="A3328">
        <v>95</v>
      </c>
      <c r="B3328">
        <v>312</v>
      </c>
      <c r="C3328" s="1">
        <f>(Tabela1[[#This Row],[x]]-H$3)*(Tabela1[[#This Row],[x]]-H$3) +(Tabela1[[#This Row],[y]]-H$4)*(Tabela1[[#This Row],[y]]-H$4)</f>
        <v>23569</v>
      </c>
      <c r="D3328" s="1">
        <f>IF(Tabela1[[#This Row],[promien]]&lt;40000,1,0)</f>
        <v>1</v>
      </c>
      <c r="E3328" s="1">
        <f>IF(Tabela1[[#This Row],[promien]]=40000,1,0)</f>
        <v>0</v>
      </c>
      <c r="F3328" s="1">
        <v>3.1658653846153846</v>
      </c>
      <c r="G3328" s="1">
        <v>2.4272731025591465E-2</v>
      </c>
    </row>
    <row r="3329" spans="1:7">
      <c r="A3329">
        <v>28</v>
      </c>
      <c r="B3329">
        <v>265</v>
      </c>
      <c r="C3329" s="1">
        <f>(Tabela1[[#This Row],[x]]-H$3)*(Tabela1[[#This Row],[x]]-H$3) +(Tabela1[[#This Row],[y]]-H$4)*(Tabela1[[#This Row],[y]]-H$4)</f>
        <v>33809</v>
      </c>
      <c r="D3329" s="1">
        <f>IF(Tabela1[[#This Row],[promien]]&lt;40000,1,0)</f>
        <v>1</v>
      </c>
      <c r="E3329" s="1">
        <f>IF(Tabela1[[#This Row],[promien]]=40000,1,0)</f>
        <v>0</v>
      </c>
      <c r="F3329" s="1">
        <v>3.1661159507359566</v>
      </c>
      <c r="G3329" s="1">
        <v>2.4523297146163525E-2</v>
      </c>
    </row>
    <row r="3330" spans="1:7">
      <c r="A3330">
        <v>354</v>
      </c>
      <c r="B3330">
        <v>61</v>
      </c>
      <c r="C3330" s="1">
        <f>(Tabela1[[#This Row],[x]]-H$3)*(Tabela1[[#This Row],[x]]-H$3) +(Tabela1[[#This Row],[y]]-H$4)*(Tabela1[[#This Row],[y]]-H$4)</f>
        <v>43037</v>
      </c>
      <c r="D3330" s="1">
        <f>IF(Tabela1[[#This Row],[promien]]&lt;40000,1,0)</f>
        <v>0</v>
      </c>
      <c r="E3330" s="1">
        <f>IF(Tabela1[[#This Row],[promien]]=40000,1,0)</f>
        <v>0</v>
      </c>
      <c r="F3330" s="1">
        <v>3.1651651651651651</v>
      </c>
      <c r="G3330" s="1">
        <v>2.357251157537199E-2</v>
      </c>
    </row>
    <row r="3331" spans="1:7">
      <c r="A3331">
        <v>212</v>
      </c>
      <c r="B3331">
        <v>175</v>
      </c>
      <c r="C3331" s="1">
        <f>(Tabela1[[#This Row],[x]]-H$3)*(Tabela1[[#This Row],[x]]-H$3) +(Tabela1[[#This Row],[y]]-H$4)*(Tabela1[[#This Row],[y]]-H$4)</f>
        <v>769</v>
      </c>
      <c r="D3331" s="1">
        <f>IF(Tabela1[[#This Row],[promien]]&lt;40000,1,0)</f>
        <v>1</v>
      </c>
      <c r="E3331" s="1">
        <f>IF(Tabela1[[#This Row],[promien]]=40000,1,0)</f>
        <v>0</v>
      </c>
      <c r="F3331" s="1">
        <v>3.1654157910537375</v>
      </c>
      <c r="G3331" s="1">
        <v>2.3823137463944377E-2</v>
      </c>
    </row>
    <row r="3332" spans="1:7">
      <c r="A3332">
        <v>210</v>
      </c>
      <c r="B3332">
        <v>173</v>
      </c>
      <c r="C3332" s="1">
        <f>(Tabela1[[#This Row],[x]]-H$3)*(Tabela1[[#This Row],[x]]-H$3) +(Tabela1[[#This Row],[y]]-H$4)*(Tabela1[[#This Row],[y]]-H$4)</f>
        <v>829</v>
      </c>
      <c r="D3332" s="1">
        <f>IF(Tabela1[[#This Row],[promien]]&lt;40000,1,0)</f>
        <v>1</v>
      </c>
      <c r="E3332" s="1">
        <f>IF(Tabela1[[#This Row],[promien]]=40000,1,0)</f>
        <v>0</v>
      </c>
      <c r="F3332" s="1">
        <v>3.1656662665066024</v>
      </c>
      <c r="G3332" s="1">
        <v>2.4073612916809317E-2</v>
      </c>
    </row>
    <row r="3333" spans="1:7">
      <c r="A3333">
        <v>198</v>
      </c>
      <c r="B3333">
        <v>263</v>
      </c>
      <c r="C3333" s="1">
        <f>(Tabela1[[#This Row],[x]]-H$3)*(Tabela1[[#This Row],[x]]-H$3) +(Tabela1[[#This Row],[y]]-H$4)*(Tabela1[[#This Row],[y]]-H$4)</f>
        <v>3973</v>
      </c>
      <c r="D3333" s="1">
        <f>IF(Tabela1[[#This Row],[promien]]&lt;40000,1,0)</f>
        <v>1</v>
      </c>
      <c r="E3333" s="1">
        <f>IF(Tabela1[[#This Row],[promien]]=40000,1,0)</f>
        <v>0</v>
      </c>
      <c r="F3333" s="1">
        <v>3.1659165916591658</v>
      </c>
      <c r="G3333" s="1">
        <v>2.4323938069372719E-2</v>
      </c>
    </row>
    <row r="3334" spans="1:7">
      <c r="A3334">
        <v>85</v>
      </c>
      <c r="B3334">
        <v>138</v>
      </c>
      <c r="C3334" s="1">
        <f>(Tabela1[[#This Row],[x]]-H$3)*(Tabela1[[#This Row],[x]]-H$3) +(Tabela1[[#This Row],[y]]-H$4)*(Tabela1[[#This Row],[y]]-H$4)</f>
        <v>17069</v>
      </c>
      <c r="D3334" s="1">
        <f>IF(Tabela1[[#This Row],[promien]]&lt;40000,1,0)</f>
        <v>1</v>
      </c>
      <c r="E3334" s="1">
        <f>IF(Tabela1[[#This Row],[promien]]=40000,1,0)</f>
        <v>0</v>
      </c>
      <c r="F3334" s="1">
        <v>3.1661667666466706</v>
      </c>
      <c r="G3334" s="1">
        <v>2.4574113056877511E-2</v>
      </c>
    </row>
    <row r="3335" spans="1:7">
      <c r="A3335">
        <v>176</v>
      </c>
      <c r="B3335">
        <v>109</v>
      </c>
      <c r="C3335" s="1">
        <f>(Tabela1[[#This Row],[x]]-H$3)*(Tabela1[[#This Row],[x]]-H$3) +(Tabela1[[#This Row],[y]]-H$4)*(Tabela1[[#This Row],[y]]-H$4)</f>
        <v>8857</v>
      </c>
      <c r="D3335" s="1">
        <f>IF(Tabela1[[#This Row],[promien]]&lt;40000,1,0)</f>
        <v>1</v>
      </c>
      <c r="E3335" s="1">
        <f>IF(Tabela1[[#This Row],[promien]]=40000,1,0)</f>
        <v>0</v>
      </c>
      <c r="F3335" s="1">
        <v>3.1664167916041981</v>
      </c>
      <c r="G3335" s="1">
        <v>2.4824138014404973E-2</v>
      </c>
    </row>
    <row r="3336" spans="1:7">
      <c r="A3336">
        <v>319</v>
      </c>
      <c r="B3336">
        <v>223</v>
      </c>
      <c r="C3336" s="1">
        <f>(Tabela1[[#This Row],[x]]-H$3)*(Tabela1[[#This Row],[x]]-H$3) +(Tabela1[[#This Row],[y]]-H$4)*(Tabela1[[#This Row],[y]]-H$4)</f>
        <v>14690</v>
      </c>
      <c r="D3336" s="1">
        <f>IF(Tabela1[[#This Row],[promien]]&lt;40000,1,0)</f>
        <v>1</v>
      </c>
      <c r="E3336" s="1">
        <f>IF(Tabela1[[#This Row],[promien]]=40000,1,0)</f>
        <v>0</v>
      </c>
      <c r="F3336" s="1">
        <v>3.1666666666666665</v>
      </c>
      <c r="G3336" s="1">
        <v>2.5074013076873403E-2</v>
      </c>
    </row>
    <row r="3337" spans="1:7">
      <c r="A3337">
        <v>203</v>
      </c>
      <c r="B3337">
        <v>1</v>
      </c>
      <c r="C3337" s="1">
        <f>(Tabela1[[#This Row],[x]]-H$3)*(Tabela1[[#This Row],[x]]-H$3) +(Tabela1[[#This Row],[y]]-H$4)*(Tabela1[[#This Row],[y]]-H$4)</f>
        <v>39610</v>
      </c>
      <c r="D3337" s="1">
        <f>IF(Tabela1[[#This Row],[promien]]&lt;40000,1,0)</f>
        <v>1</v>
      </c>
      <c r="E3337" s="1">
        <f>IF(Tabela1[[#This Row],[promien]]=40000,1,0)</f>
        <v>0</v>
      </c>
      <c r="F3337" s="1">
        <v>3.1669163919688343</v>
      </c>
      <c r="G3337" s="1">
        <v>2.5323738379041227E-2</v>
      </c>
    </row>
    <row r="3338" spans="1:7">
      <c r="A3338">
        <v>280</v>
      </c>
      <c r="B3338">
        <v>165</v>
      </c>
      <c r="C3338" s="1">
        <f>(Tabela1[[#This Row],[x]]-H$3)*(Tabela1[[#This Row],[x]]-H$3) +(Tabela1[[#This Row],[y]]-H$4)*(Tabela1[[#This Row],[y]]-H$4)</f>
        <v>7625</v>
      </c>
      <c r="D3338" s="1">
        <f>IF(Tabela1[[#This Row],[promien]]&lt;40000,1,0)</f>
        <v>1</v>
      </c>
      <c r="E3338" s="1">
        <f>IF(Tabela1[[#This Row],[promien]]=40000,1,0)</f>
        <v>0</v>
      </c>
      <c r="F3338" s="1">
        <v>3.1671659676452966</v>
      </c>
      <c r="G3338" s="1">
        <v>2.5573314055503449E-2</v>
      </c>
    </row>
    <row r="3339" spans="1:7">
      <c r="A3339">
        <v>37</v>
      </c>
      <c r="B3339">
        <v>63</v>
      </c>
      <c r="C3339" s="1">
        <f>(Tabela1[[#This Row],[x]]-H$3)*(Tabela1[[#This Row],[x]]-H$3) +(Tabela1[[#This Row],[y]]-H$4)*(Tabela1[[#This Row],[y]]-H$4)</f>
        <v>45338</v>
      </c>
      <c r="D3339" s="1">
        <f>IF(Tabela1[[#This Row],[promien]]&lt;40000,1,0)</f>
        <v>0</v>
      </c>
      <c r="E3339" s="1">
        <f>IF(Tabela1[[#This Row],[promien]]=40000,1,0)</f>
        <v>0</v>
      </c>
      <c r="F3339" s="1">
        <v>3.1662174303683739</v>
      </c>
      <c r="G3339" s="1">
        <v>2.462477677858077E-2</v>
      </c>
    </row>
    <row r="3340" spans="1:7">
      <c r="A3340">
        <v>122</v>
      </c>
      <c r="B3340">
        <v>387</v>
      </c>
      <c r="C3340" s="1">
        <f>(Tabela1[[#This Row],[x]]-H$3)*(Tabela1[[#This Row],[x]]-H$3) +(Tabela1[[#This Row],[y]]-H$4)*(Tabela1[[#This Row],[y]]-H$4)</f>
        <v>41053</v>
      </c>
      <c r="D3340" s="1">
        <f>IF(Tabela1[[#This Row],[promien]]&lt;40000,1,0)</f>
        <v>0</v>
      </c>
      <c r="E3340" s="1">
        <f>IF(Tabela1[[#This Row],[promien]]=40000,1,0)</f>
        <v>0</v>
      </c>
      <c r="F3340" s="1">
        <v>3.1652694610778442</v>
      </c>
      <c r="G3340" s="1">
        <v>2.3676807488051121E-2</v>
      </c>
    </row>
    <row r="3341" spans="1:7">
      <c r="A3341">
        <v>268</v>
      </c>
      <c r="B3341">
        <v>288</v>
      </c>
      <c r="C3341" s="1">
        <f>(Tabela1[[#This Row],[x]]-H$3)*(Tabela1[[#This Row],[x]]-H$3) +(Tabela1[[#This Row],[y]]-H$4)*(Tabela1[[#This Row],[y]]-H$4)</f>
        <v>12368</v>
      </c>
      <c r="D3341" s="1">
        <f>IF(Tabela1[[#This Row],[promien]]&lt;40000,1,0)</f>
        <v>1</v>
      </c>
      <c r="E3341" s="1">
        <f>IF(Tabela1[[#This Row],[promien]]=40000,1,0)</f>
        <v>0</v>
      </c>
      <c r="F3341" s="1">
        <v>3.1655193055971265</v>
      </c>
      <c r="G3341" s="1">
        <v>2.3926652007333349E-2</v>
      </c>
    </row>
    <row r="3342" spans="1:7">
      <c r="A3342">
        <v>33</v>
      </c>
      <c r="B3342">
        <v>161</v>
      </c>
      <c r="C3342" s="1">
        <f>(Tabela1[[#This Row],[x]]-H$3)*(Tabela1[[#This Row],[x]]-H$3) +(Tabela1[[#This Row],[y]]-H$4)*(Tabela1[[#This Row],[y]]-H$4)</f>
        <v>29410</v>
      </c>
      <c r="D3342" s="1">
        <f>IF(Tabela1[[#This Row],[promien]]&lt;40000,1,0)</f>
        <v>1</v>
      </c>
      <c r="E3342" s="1">
        <f>IF(Tabela1[[#This Row],[promien]]=40000,1,0)</f>
        <v>0</v>
      </c>
      <c r="F3342" s="1">
        <v>3.165769000598444</v>
      </c>
      <c r="G3342" s="1">
        <v>2.41763470086509E-2</v>
      </c>
    </row>
    <row r="3343" spans="1:7">
      <c r="A3343">
        <v>36</v>
      </c>
      <c r="B3343">
        <v>106</v>
      </c>
      <c r="C3343" s="1">
        <f>(Tabela1[[#This Row],[x]]-H$3)*(Tabela1[[#This Row],[x]]-H$3) +(Tabela1[[#This Row],[y]]-H$4)*(Tabela1[[#This Row],[y]]-H$4)</f>
        <v>35732</v>
      </c>
      <c r="D3343" s="1">
        <f>IF(Tabela1[[#This Row],[promien]]&lt;40000,1,0)</f>
        <v>1</v>
      </c>
      <c r="E3343" s="1">
        <f>IF(Tabela1[[#This Row],[promien]]=40000,1,0)</f>
        <v>0</v>
      </c>
      <c r="F3343" s="1">
        <v>3.1660185462159736</v>
      </c>
      <c r="G3343" s="1">
        <v>2.4425892626180445E-2</v>
      </c>
    </row>
    <row r="3344" spans="1:7">
      <c r="A3344">
        <v>23</v>
      </c>
      <c r="B3344">
        <v>232</v>
      </c>
      <c r="C3344" s="1">
        <f>(Tabela1[[#This Row],[x]]-H$3)*(Tabela1[[#This Row],[x]]-H$3) +(Tabela1[[#This Row],[y]]-H$4)*(Tabela1[[#This Row],[y]]-H$4)</f>
        <v>32353</v>
      </c>
      <c r="D3344" s="1">
        <f>IF(Tabela1[[#This Row],[promien]]&lt;40000,1,0)</f>
        <v>1</v>
      </c>
      <c r="E3344" s="1">
        <f>IF(Tabela1[[#This Row],[promien]]=40000,1,0)</f>
        <v>0</v>
      </c>
      <c r="F3344" s="1">
        <v>3.1662679425837319</v>
      </c>
      <c r="G3344" s="1">
        <v>2.4675288993938782E-2</v>
      </c>
    </row>
    <row r="3345" spans="1:7">
      <c r="A3345">
        <v>269</v>
      </c>
      <c r="B3345">
        <v>57</v>
      </c>
      <c r="C3345" s="1">
        <f>(Tabela1[[#This Row],[x]]-H$3)*(Tabela1[[#This Row],[x]]-H$3) +(Tabela1[[#This Row],[y]]-H$4)*(Tabela1[[#This Row],[y]]-H$4)</f>
        <v>25210</v>
      </c>
      <c r="D3345" s="1">
        <f>IF(Tabela1[[#This Row],[promien]]&lt;40000,1,0)</f>
        <v>1</v>
      </c>
      <c r="E3345" s="1">
        <f>IF(Tabela1[[#This Row],[promien]]=40000,1,0)</f>
        <v>0</v>
      </c>
      <c r="F3345" s="1">
        <v>3.1665171898355755</v>
      </c>
      <c r="G3345" s="1">
        <v>2.4924536245782392E-2</v>
      </c>
    </row>
    <row r="3346" spans="1:7">
      <c r="A3346">
        <v>114</v>
      </c>
      <c r="B3346">
        <v>121</v>
      </c>
      <c r="C3346" s="1">
        <f>(Tabela1[[#This Row],[x]]-H$3)*(Tabela1[[#This Row],[x]]-H$3) +(Tabela1[[#This Row],[y]]-H$4)*(Tabela1[[#This Row],[y]]-H$4)</f>
        <v>13637</v>
      </c>
      <c r="D3346" s="1">
        <f>IF(Tabela1[[#This Row],[promien]]&lt;40000,1,0)</f>
        <v>1</v>
      </c>
      <c r="E3346" s="1">
        <f>IF(Tabela1[[#This Row],[promien]]=40000,1,0)</f>
        <v>0</v>
      </c>
      <c r="F3346" s="1">
        <v>3.1667662881052001</v>
      </c>
      <c r="G3346" s="1">
        <v>2.5173634515406995E-2</v>
      </c>
    </row>
    <row r="3347" spans="1:7">
      <c r="A3347">
        <v>121</v>
      </c>
      <c r="B3347">
        <v>269</v>
      </c>
      <c r="C3347" s="1">
        <f>(Tabela1[[#This Row],[x]]-H$3)*(Tabela1[[#This Row],[x]]-H$3) +(Tabela1[[#This Row],[y]]-H$4)*(Tabela1[[#This Row],[y]]-H$4)</f>
        <v>11002</v>
      </c>
      <c r="D3347" s="1">
        <f>IF(Tabela1[[#This Row],[promien]]&lt;40000,1,0)</f>
        <v>1</v>
      </c>
      <c r="E3347" s="1">
        <f>IF(Tabela1[[#This Row],[promien]]=40000,1,0)</f>
        <v>0</v>
      </c>
      <c r="F3347" s="1">
        <v>3.1670152375261429</v>
      </c>
      <c r="G3347" s="1">
        <v>2.5422583936349774E-2</v>
      </c>
    </row>
    <row r="3348" spans="1:7">
      <c r="A3348">
        <v>2</v>
      </c>
      <c r="B3348">
        <v>21</v>
      </c>
      <c r="C3348" s="1">
        <f>(Tabela1[[#This Row],[x]]-H$3)*(Tabela1[[#This Row],[x]]-H$3) +(Tabela1[[#This Row],[y]]-H$4)*(Tabela1[[#This Row],[y]]-H$4)</f>
        <v>71245</v>
      </c>
      <c r="D3348" s="1">
        <f>IF(Tabela1[[#This Row],[promien]]&lt;40000,1,0)</f>
        <v>0</v>
      </c>
      <c r="E3348" s="1">
        <f>IF(Tabela1[[#This Row],[promien]]=40000,1,0)</f>
        <v>0</v>
      </c>
      <c r="F3348" s="1">
        <v>3.1660692951015532</v>
      </c>
      <c r="G3348" s="1">
        <v>2.44766415117601E-2</v>
      </c>
    </row>
    <row r="3349" spans="1:7">
      <c r="A3349">
        <v>41</v>
      </c>
      <c r="B3349">
        <v>63</v>
      </c>
      <c r="C3349" s="1">
        <f>(Tabela1[[#This Row],[x]]-H$3)*(Tabela1[[#This Row],[x]]-H$3) +(Tabela1[[#This Row],[y]]-H$4)*(Tabela1[[#This Row],[y]]-H$4)</f>
        <v>44050</v>
      </c>
      <c r="D3349" s="1">
        <f>IF(Tabela1[[#This Row],[promien]]&lt;40000,1,0)</f>
        <v>0</v>
      </c>
      <c r="E3349" s="1">
        <f>IF(Tabela1[[#This Row],[promien]]=40000,1,0)</f>
        <v>0</v>
      </c>
      <c r="F3349" s="1">
        <v>3.1651239175873394</v>
      </c>
      <c r="G3349" s="1">
        <v>2.3531263997546237E-2</v>
      </c>
    </row>
    <row r="3350" spans="1:7">
      <c r="A3350">
        <v>153</v>
      </c>
      <c r="B3350">
        <v>398</v>
      </c>
      <c r="C3350" s="1">
        <f>(Tabela1[[#This Row],[x]]-H$3)*(Tabela1[[#This Row],[x]]-H$3) +(Tabela1[[#This Row],[y]]-H$4)*(Tabela1[[#This Row],[y]]-H$4)</f>
        <v>41413</v>
      </c>
      <c r="D3350" s="1">
        <f>IF(Tabela1[[#This Row],[promien]]&lt;40000,1,0)</f>
        <v>0</v>
      </c>
      <c r="E3350" s="1">
        <f>IF(Tabela1[[#This Row],[promien]]=40000,1,0)</f>
        <v>0</v>
      </c>
      <c r="F3350" s="1">
        <v>3.1641791044776117</v>
      </c>
      <c r="G3350" s="1">
        <v>2.2586450887818632E-2</v>
      </c>
    </row>
    <row r="3351" spans="1:7">
      <c r="A3351">
        <v>67</v>
      </c>
      <c r="B3351">
        <v>165</v>
      </c>
      <c r="C3351" s="1">
        <f>(Tabela1[[#This Row],[x]]-H$3)*(Tabela1[[#This Row],[x]]-H$3) +(Tabela1[[#This Row],[y]]-H$4)*(Tabela1[[#This Row],[y]]-H$4)</f>
        <v>18914</v>
      </c>
      <c r="D3351" s="1">
        <f>IF(Tabela1[[#This Row],[promien]]&lt;40000,1,0)</f>
        <v>1</v>
      </c>
      <c r="E3351" s="1">
        <f>IF(Tabela1[[#This Row],[promien]]=40000,1,0)</f>
        <v>0</v>
      </c>
      <c r="F3351" s="1">
        <v>3.1644285287973739</v>
      </c>
      <c r="G3351" s="1">
        <v>2.2835875207580791E-2</v>
      </c>
    </row>
    <row r="3352" spans="1:7">
      <c r="A3352">
        <v>110</v>
      </c>
      <c r="B3352">
        <v>80</v>
      </c>
      <c r="C3352" s="1">
        <f>(Tabela1[[#This Row],[x]]-H$3)*(Tabela1[[#This Row],[x]]-H$3) +(Tabela1[[#This Row],[y]]-H$4)*(Tabela1[[#This Row],[y]]-H$4)</f>
        <v>22500</v>
      </c>
      <c r="D3352" s="1">
        <f>IF(Tabela1[[#This Row],[promien]]&lt;40000,1,0)</f>
        <v>1</v>
      </c>
      <c r="E3352" s="1">
        <f>IF(Tabela1[[#This Row],[promien]]=40000,1,0)</f>
        <v>0</v>
      </c>
      <c r="F3352" s="1">
        <v>3.1646778042959429</v>
      </c>
      <c r="G3352" s="1">
        <v>2.3085150706149804E-2</v>
      </c>
    </row>
    <row r="3353" spans="1:7">
      <c r="A3353">
        <v>375</v>
      </c>
      <c r="B3353">
        <v>133</v>
      </c>
      <c r="C3353" s="1">
        <f>(Tabela1[[#This Row],[x]]-H$3)*(Tabela1[[#This Row],[x]]-H$3) +(Tabela1[[#This Row],[y]]-H$4)*(Tabela1[[#This Row],[y]]-H$4)</f>
        <v>35114</v>
      </c>
      <c r="D3353" s="1">
        <f>IF(Tabela1[[#This Row],[promien]]&lt;40000,1,0)</f>
        <v>1</v>
      </c>
      <c r="E3353" s="1">
        <f>IF(Tabela1[[#This Row],[promien]]=40000,1,0)</f>
        <v>0</v>
      </c>
      <c r="F3353" s="1">
        <v>3.1649269311064718</v>
      </c>
      <c r="G3353" s="1">
        <v>2.3334277516678714E-2</v>
      </c>
    </row>
    <row r="3354" spans="1:7">
      <c r="A3354">
        <v>154</v>
      </c>
      <c r="B3354">
        <v>49</v>
      </c>
      <c r="C3354" s="1">
        <f>(Tabela1[[#This Row],[x]]-H$3)*(Tabela1[[#This Row],[x]]-H$3) +(Tabela1[[#This Row],[y]]-H$4)*(Tabela1[[#This Row],[y]]-H$4)</f>
        <v>24917</v>
      </c>
      <c r="D3354" s="1">
        <f>IF(Tabela1[[#This Row],[promien]]&lt;40000,1,0)</f>
        <v>1</v>
      </c>
      <c r="E3354" s="1">
        <f>IF(Tabela1[[#This Row],[promien]]=40000,1,0)</f>
        <v>0</v>
      </c>
      <c r="F3354" s="1">
        <v>3.165175909361956</v>
      </c>
      <c r="G3354" s="1">
        <v>2.3583255772162914E-2</v>
      </c>
    </row>
    <row r="3355" spans="1:7">
      <c r="A3355">
        <v>396</v>
      </c>
      <c r="B3355">
        <v>127</v>
      </c>
      <c r="C3355" s="1">
        <f>(Tabela1[[#This Row],[x]]-H$3)*(Tabela1[[#This Row],[x]]-H$3) +(Tabela1[[#This Row],[y]]-H$4)*(Tabela1[[#This Row],[y]]-H$4)</f>
        <v>43745</v>
      </c>
      <c r="D3355" s="1">
        <f>IF(Tabela1[[#This Row],[promien]]&lt;40000,1,0)</f>
        <v>0</v>
      </c>
      <c r="E3355" s="1">
        <f>IF(Tabela1[[#This Row],[promien]]=40000,1,0)</f>
        <v>0</v>
      </c>
      <c r="F3355" s="1">
        <v>3.1642324888226527</v>
      </c>
      <c r="G3355" s="1">
        <v>2.2639835232859618E-2</v>
      </c>
    </row>
    <row r="3356" spans="1:7">
      <c r="A3356">
        <v>325</v>
      </c>
      <c r="B3356">
        <v>227</v>
      </c>
      <c r="C3356" s="1">
        <f>(Tabela1[[#This Row],[x]]-H$3)*(Tabela1[[#This Row],[x]]-H$3) +(Tabela1[[#This Row],[y]]-H$4)*(Tabela1[[#This Row],[y]]-H$4)</f>
        <v>16354</v>
      </c>
      <c r="D3356" s="1">
        <f>IF(Tabela1[[#This Row],[promien]]&lt;40000,1,0)</f>
        <v>1</v>
      </c>
      <c r="E3356" s="1">
        <f>IF(Tabela1[[#This Row],[promien]]=40000,1,0)</f>
        <v>0</v>
      </c>
      <c r="F3356" s="1">
        <v>3.164481525625745</v>
      </c>
      <c r="G3356" s="1">
        <v>2.2888872035951913E-2</v>
      </c>
    </row>
    <row r="3357" spans="1:7">
      <c r="A3357">
        <v>339</v>
      </c>
      <c r="B3357">
        <v>397</v>
      </c>
      <c r="C3357" s="1">
        <f>(Tabela1[[#This Row],[x]]-H$3)*(Tabela1[[#This Row],[x]]-H$3) +(Tabela1[[#This Row],[y]]-H$4)*(Tabela1[[#This Row],[y]]-H$4)</f>
        <v>58130</v>
      </c>
      <c r="D3357" s="1">
        <f>IF(Tabela1[[#This Row],[promien]]&lt;40000,1,0)</f>
        <v>0</v>
      </c>
      <c r="E3357" s="1">
        <f>IF(Tabela1[[#This Row],[promien]]=40000,1,0)</f>
        <v>0</v>
      </c>
      <c r="F3357" s="1">
        <v>3.163538873994638</v>
      </c>
      <c r="G3357" s="1">
        <v>2.1946220404844841E-2</v>
      </c>
    </row>
    <row r="3358" spans="1:7">
      <c r="A3358">
        <v>350</v>
      </c>
      <c r="B3358">
        <v>252</v>
      </c>
      <c r="C3358" s="1">
        <f>(Tabela1[[#This Row],[x]]-H$3)*(Tabela1[[#This Row],[x]]-H$3) +(Tabela1[[#This Row],[y]]-H$4)*(Tabela1[[#This Row],[y]]-H$4)</f>
        <v>25204</v>
      </c>
      <c r="D3358" s="1">
        <f>IF(Tabela1[[#This Row],[promien]]&lt;40000,1,0)</f>
        <v>1</v>
      </c>
      <c r="E3358" s="1">
        <f>IF(Tabela1[[#This Row],[promien]]=40000,1,0)</f>
        <v>0</v>
      </c>
      <c r="F3358" s="1">
        <v>3.1637879690291841</v>
      </c>
      <c r="G3358" s="1">
        <v>2.2195315439391017E-2</v>
      </c>
    </row>
    <row r="3359" spans="1:7">
      <c r="A3359">
        <v>159</v>
      </c>
      <c r="B3359">
        <v>351</v>
      </c>
      <c r="C3359" s="1">
        <f>(Tabela1[[#This Row],[x]]-H$3)*(Tabela1[[#This Row],[x]]-H$3) +(Tabela1[[#This Row],[y]]-H$4)*(Tabela1[[#This Row],[y]]-H$4)</f>
        <v>24482</v>
      </c>
      <c r="D3359" s="1">
        <f>IF(Tabela1[[#This Row],[promien]]&lt;40000,1,0)</f>
        <v>1</v>
      </c>
      <c r="E3359" s="1">
        <f>IF(Tabela1[[#This Row],[promien]]=40000,1,0)</f>
        <v>0</v>
      </c>
      <c r="F3359" s="1">
        <v>3.1640369157487349</v>
      </c>
      <c r="G3359" s="1">
        <v>2.2444262158941797E-2</v>
      </c>
    </row>
    <row r="3360" spans="1:7">
      <c r="A3360">
        <v>28</v>
      </c>
      <c r="B3360">
        <v>111</v>
      </c>
      <c r="C3360" s="1">
        <f>(Tabela1[[#This Row],[x]]-H$3)*(Tabela1[[#This Row],[x]]-H$3) +(Tabela1[[#This Row],[y]]-H$4)*(Tabela1[[#This Row],[y]]-H$4)</f>
        <v>37505</v>
      </c>
      <c r="D3360" s="1">
        <f>IF(Tabela1[[#This Row],[promien]]&lt;40000,1,0)</f>
        <v>1</v>
      </c>
      <c r="E3360" s="1">
        <f>IF(Tabela1[[#This Row],[promien]]=40000,1,0)</f>
        <v>0</v>
      </c>
      <c r="F3360" s="1">
        <v>3.1642857142857141</v>
      </c>
      <c r="G3360" s="1">
        <v>2.269306069592103E-2</v>
      </c>
    </row>
    <row r="3361" spans="1:7">
      <c r="A3361">
        <v>169</v>
      </c>
      <c r="B3361">
        <v>19</v>
      </c>
      <c r="C3361" s="1">
        <f>(Tabela1[[#This Row],[x]]-H$3)*(Tabela1[[#This Row],[x]]-H$3) +(Tabela1[[#This Row],[y]]-H$4)*(Tabela1[[#This Row],[y]]-H$4)</f>
        <v>33722</v>
      </c>
      <c r="D3361" s="1">
        <f>IF(Tabela1[[#This Row],[promien]]&lt;40000,1,0)</f>
        <v>1</v>
      </c>
      <c r="E3361" s="1">
        <f>IF(Tabela1[[#This Row],[promien]]=40000,1,0)</f>
        <v>0</v>
      </c>
      <c r="F3361" s="1">
        <v>3.1645343647723894</v>
      </c>
      <c r="G3361" s="1">
        <v>2.2941711182596247E-2</v>
      </c>
    </row>
    <row r="3362" spans="1:7">
      <c r="A3362">
        <v>127</v>
      </c>
      <c r="B3362">
        <v>117</v>
      </c>
      <c r="C3362" s="1">
        <f>(Tabela1[[#This Row],[x]]-H$3)*(Tabela1[[#This Row],[x]]-H$3) +(Tabela1[[#This Row],[y]]-H$4)*(Tabela1[[#This Row],[y]]-H$4)</f>
        <v>12218</v>
      </c>
      <c r="D3362" s="1">
        <f>IF(Tabela1[[#This Row],[promien]]&lt;40000,1,0)</f>
        <v>1</v>
      </c>
      <c r="E3362" s="1">
        <f>IF(Tabela1[[#This Row],[promien]]=40000,1,0)</f>
        <v>0</v>
      </c>
      <c r="F3362" s="1">
        <v>3.1647828673408687</v>
      </c>
      <c r="G3362" s="1">
        <v>2.319021375107555E-2</v>
      </c>
    </row>
    <row r="3363" spans="1:7">
      <c r="A3363">
        <v>184</v>
      </c>
      <c r="B3363">
        <v>254</v>
      </c>
      <c r="C3363" s="1">
        <f>(Tabela1[[#This Row],[x]]-H$3)*(Tabela1[[#This Row],[x]]-H$3) +(Tabela1[[#This Row],[y]]-H$4)*(Tabela1[[#This Row],[y]]-H$4)</f>
        <v>3172</v>
      </c>
      <c r="D3363" s="1">
        <f>IF(Tabela1[[#This Row],[promien]]&lt;40000,1,0)</f>
        <v>1</v>
      </c>
      <c r="E3363" s="1">
        <f>IF(Tabela1[[#This Row],[promien]]=40000,1,0)</f>
        <v>0</v>
      </c>
      <c r="F3363" s="1">
        <v>3.1650312221231043</v>
      </c>
      <c r="G3363" s="1">
        <v>2.3438568533311166E-2</v>
      </c>
    </row>
    <row r="3364" spans="1:7">
      <c r="A3364">
        <v>57</v>
      </c>
      <c r="B3364">
        <v>65</v>
      </c>
      <c r="C3364" s="1">
        <f>(Tabela1[[#This Row],[x]]-H$3)*(Tabela1[[#This Row],[x]]-H$3) +(Tabela1[[#This Row],[y]]-H$4)*(Tabela1[[#This Row],[y]]-H$4)</f>
        <v>38674</v>
      </c>
      <c r="D3364" s="1">
        <f>IF(Tabela1[[#This Row],[promien]]&lt;40000,1,0)</f>
        <v>1</v>
      </c>
      <c r="E3364" s="1">
        <f>IF(Tabela1[[#This Row],[promien]]=40000,1,0)</f>
        <v>0</v>
      </c>
      <c r="F3364" s="1">
        <v>3.1652794292508917</v>
      </c>
      <c r="G3364" s="1">
        <v>2.3686775661098558E-2</v>
      </c>
    </row>
    <row r="3365" spans="1:7">
      <c r="A3365">
        <v>229</v>
      </c>
      <c r="B3365">
        <v>93</v>
      </c>
      <c r="C3365" s="1">
        <f>(Tabela1[[#This Row],[x]]-H$3)*(Tabela1[[#This Row],[x]]-H$3) +(Tabela1[[#This Row],[y]]-H$4)*(Tabela1[[#This Row],[y]]-H$4)</f>
        <v>12290</v>
      </c>
      <c r="D3365" s="1">
        <f>IF(Tabela1[[#This Row],[promien]]&lt;40000,1,0)</f>
        <v>1</v>
      </c>
      <c r="E3365" s="1">
        <f>IF(Tabela1[[#This Row],[promien]]=40000,1,0)</f>
        <v>0</v>
      </c>
      <c r="F3365" s="1">
        <v>3.1655274888558691</v>
      </c>
      <c r="G3365" s="1">
        <v>2.3934835266075982E-2</v>
      </c>
    </row>
    <row r="3366" spans="1:7">
      <c r="A3366">
        <v>280</v>
      </c>
      <c r="B3366">
        <v>110</v>
      </c>
      <c r="C3366" s="1">
        <f>(Tabela1[[#This Row],[x]]-H$3)*(Tabela1[[#This Row],[x]]-H$3) +(Tabela1[[#This Row],[y]]-H$4)*(Tabela1[[#This Row],[y]]-H$4)</f>
        <v>14500</v>
      </c>
      <c r="D3366" s="1">
        <f>IF(Tabela1[[#This Row],[promien]]&lt;40000,1,0)</f>
        <v>1</v>
      </c>
      <c r="E3366" s="1">
        <f>IF(Tabela1[[#This Row],[promien]]=40000,1,0)</f>
        <v>0</v>
      </c>
      <c r="F3366" s="1">
        <v>3.1657754010695189</v>
      </c>
      <c r="G3366" s="1">
        <v>2.4182747479725819E-2</v>
      </c>
    </row>
    <row r="3367" spans="1:7">
      <c r="A3367">
        <v>83</v>
      </c>
      <c r="B3367">
        <v>22</v>
      </c>
      <c r="C3367" s="1">
        <f>(Tabela1[[#This Row],[x]]-H$3)*(Tabela1[[#This Row],[x]]-H$3) +(Tabela1[[#This Row],[y]]-H$4)*(Tabela1[[#This Row],[y]]-H$4)</f>
        <v>45373</v>
      </c>
      <c r="D3367" s="1">
        <f>IF(Tabela1[[#This Row],[promien]]&lt;40000,1,0)</f>
        <v>0</v>
      </c>
      <c r="E3367" s="1">
        <f>IF(Tabela1[[#This Row],[promien]]=40000,1,0)</f>
        <v>0</v>
      </c>
      <c r="F3367" s="1">
        <v>3.1648351648351647</v>
      </c>
      <c r="G3367" s="1">
        <v>2.3242511245371578E-2</v>
      </c>
    </row>
    <row r="3368" spans="1:7">
      <c r="A3368">
        <v>246</v>
      </c>
      <c r="B3368">
        <v>79</v>
      </c>
      <c r="C3368" s="1">
        <f>(Tabela1[[#This Row],[x]]-H$3)*(Tabela1[[#This Row],[x]]-H$3) +(Tabela1[[#This Row],[y]]-H$4)*(Tabela1[[#This Row],[y]]-H$4)</f>
        <v>16757</v>
      </c>
      <c r="D3368" s="1">
        <f>IF(Tabela1[[#This Row],[promien]]&lt;40000,1,0)</f>
        <v>1</v>
      </c>
      <c r="E3368" s="1">
        <f>IF(Tabela1[[#This Row],[promien]]=40000,1,0)</f>
        <v>0</v>
      </c>
      <c r="F3368" s="1">
        <v>3.165083135391924</v>
      </c>
      <c r="G3368" s="1">
        <v>2.3490481802130869E-2</v>
      </c>
    </row>
    <row r="3369" spans="1:7">
      <c r="A3369">
        <v>352</v>
      </c>
      <c r="B3369">
        <v>152</v>
      </c>
      <c r="C3369" s="1">
        <f>(Tabela1[[#This Row],[x]]-H$3)*(Tabela1[[#This Row],[x]]-H$3) +(Tabela1[[#This Row],[y]]-H$4)*(Tabela1[[#This Row],[y]]-H$4)</f>
        <v>25408</v>
      </c>
      <c r="D3369" s="1">
        <f>IF(Tabela1[[#This Row],[promien]]&lt;40000,1,0)</f>
        <v>1</v>
      </c>
      <c r="E3369" s="1">
        <f>IF(Tabela1[[#This Row],[promien]]=40000,1,0)</f>
        <v>0</v>
      </c>
      <c r="F3369" s="1">
        <v>3.1653309587414662</v>
      </c>
      <c r="G3369" s="1">
        <v>2.3738305151673078E-2</v>
      </c>
    </row>
    <row r="3370" spans="1:7">
      <c r="A3370">
        <v>281</v>
      </c>
      <c r="B3370">
        <v>133</v>
      </c>
      <c r="C3370" s="1">
        <f>(Tabela1[[#This Row],[x]]-H$3)*(Tabela1[[#This Row],[x]]-H$3) +(Tabela1[[#This Row],[y]]-H$4)*(Tabela1[[#This Row],[y]]-H$4)</f>
        <v>11050</v>
      </c>
      <c r="D3370" s="1">
        <f>IF(Tabela1[[#This Row],[promien]]&lt;40000,1,0)</f>
        <v>1</v>
      </c>
      <c r="E3370" s="1">
        <f>IF(Tabela1[[#This Row],[promien]]=40000,1,0)</f>
        <v>0</v>
      </c>
      <c r="F3370" s="1">
        <v>3.1655786350148367</v>
      </c>
      <c r="G3370" s="1">
        <v>2.3985981425043601E-2</v>
      </c>
    </row>
    <row r="3371" spans="1:7">
      <c r="A3371">
        <v>163</v>
      </c>
      <c r="B3371">
        <v>366</v>
      </c>
      <c r="C3371" s="1">
        <f>(Tabela1[[#This Row],[x]]-H$3)*(Tabela1[[#This Row],[x]]-H$3) +(Tabela1[[#This Row],[y]]-H$4)*(Tabela1[[#This Row],[y]]-H$4)</f>
        <v>28925</v>
      </c>
      <c r="D3371" s="1">
        <f>IF(Tabela1[[#This Row],[promien]]&lt;40000,1,0)</f>
        <v>1</v>
      </c>
      <c r="E3371" s="1">
        <f>IF(Tabela1[[#This Row],[promien]]=40000,1,0)</f>
        <v>0</v>
      </c>
      <c r="F3371" s="1">
        <v>3.1658261643429251</v>
      </c>
      <c r="G3371" s="1">
        <v>2.4233510753131959E-2</v>
      </c>
    </row>
    <row r="3372" spans="1:7">
      <c r="A3372">
        <v>312</v>
      </c>
      <c r="B3372">
        <v>249</v>
      </c>
      <c r="C3372" s="1">
        <f>(Tabela1[[#This Row],[x]]-H$3)*(Tabela1[[#This Row],[x]]-H$3) +(Tabela1[[#This Row],[y]]-H$4)*(Tabela1[[#This Row],[y]]-H$4)</f>
        <v>14945</v>
      </c>
      <c r="D3372" s="1">
        <f>IF(Tabela1[[#This Row],[promien]]&lt;40000,1,0)</f>
        <v>1</v>
      </c>
      <c r="E3372" s="1">
        <f>IF(Tabela1[[#This Row],[promien]]=40000,1,0)</f>
        <v>0</v>
      </c>
      <c r="F3372" s="1">
        <v>3.1660735468564649</v>
      </c>
      <c r="G3372" s="1">
        <v>2.4480893266671799E-2</v>
      </c>
    </row>
    <row r="3373" spans="1:7">
      <c r="A3373">
        <v>152</v>
      </c>
      <c r="B3373">
        <v>241</v>
      </c>
      <c r="C3373" s="1">
        <f>(Tabela1[[#This Row],[x]]-H$3)*(Tabela1[[#This Row],[x]]-H$3) +(Tabela1[[#This Row],[y]]-H$4)*(Tabela1[[#This Row],[y]]-H$4)</f>
        <v>3985</v>
      </c>
      <c r="D3373" s="1">
        <f>IF(Tabela1[[#This Row],[promien]]&lt;40000,1,0)</f>
        <v>1</v>
      </c>
      <c r="E3373" s="1">
        <f>IF(Tabela1[[#This Row],[promien]]=40000,1,0)</f>
        <v>0</v>
      </c>
      <c r="F3373" s="1">
        <v>3.1663207826860362</v>
      </c>
      <c r="G3373" s="1">
        <v>2.4728129096243112E-2</v>
      </c>
    </row>
    <row r="3374" spans="1:7">
      <c r="A3374">
        <v>360</v>
      </c>
      <c r="B3374">
        <v>134</v>
      </c>
      <c r="C3374" s="1">
        <f>(Tabela1[[#This Row],[x]]-H$3)*(Tabela1[[#This Row],[x]]-H$3) +(Tabela1[[#This Row],[y]]-H$4)*(Tabela1[[#This Row],[y]]-H$4)</f>
        <v>29956</v>
      </c>
      <c r="D3374" s="1">
        <f>IF(Tabela1[[#This Row],[promien]]&lt;40000,1,0)</f>
        <v>1</v>
      </c>
      <c r="E3374" s="1">
        <f>IF(Tabela1[[#This Row],[promien]]=40000,1,0)</f>
        <v>0</v>
      </c>
      <c r="F3374" s="1">
        <v>3.1665678719620627</v>
      </c>
      <c r="G3374" s="1">
        <v>2.497521837226957E-2</v>
      </c>
    </row>
    <row r="3375" spans="1:7">
      <c r="A3375">
        <v>304</v>
      </c>
      <c r="B3375">
        <v>128</v>
      </c>
      <c r="C3375" s="1">
        <f>(Tabela1[[#This Row],[x]]-H$3)*(Tabela1[[#This Row],[x]]-H$3) +(Tabela1[[#This Row],[y]]-H$4)*(Tabela1[[#This Row],[y]]-H$4)</f>
        <v>16000</v>
      </c>
      <c r="D3375" s="1">
        <f>IF(Tabela1[[#This Row],[promien]]&lt;40000,1,0)</f>
        <v>1</v>
      </c>
      <c r="E3375" s="1">
        <f>IF(Tabela1[[#This Row],[promien]]=40000,1,0)</f>
        <v>0</v>
      </c>
      <c r="F3375" s="1">
        <v>3.1668148148148147</v>
      </c>
      <c r="G3375" s="1">
        <v>2.5222161225021633E-2</v>
      </c>
    </row>
    <row r="3376" spans="1:7">
      <c r="A3376">
        <v>283</v>
      </c>
      <c r="B3376">
        <v>148</v>
      </c>
      <c r="C3376" s="1">
        <f>(Tabela1[[#This Row],[x]]-H$3)*(Tabela1[[#This Row],[x]]-H$3) +(Tabela1[[#This Row],[y]]-H$4)*(Tabela1[[#This Row],[y]]-H$4)</f>
        <v>9593</v>
      </c>
      <c r="D3376" s="1">
        <f>IF(Tabela1[[#This Row],[promien]]&lt;40000,1,0)</f>
        <v>1</v>
      </c>
      <c r="E3376" s="1">
        <f>IF(Tabela1[[#This Row],[promien]]=40000,1,0)</f>
        <v>0</v>
      </c>
      <c r="F3376" s="1">
        <v>3.1670616113744074</v>
      </c>
      <c r="G3376" s="1">
        <v>2.5468957784614332E-2</v>
      </c>
    </row>
    <row r="3377" spans="1:7">
      <c r="A3377">
        <v>247</v>
      </c>
      <c r="B3377">
        <v>342</v>
      </c>
      <c r="C3377" s="1">
        <f>(Tabela1[[#This Row],[x]]-H$3)*(Tabela1[[#This Row],[x]]-H$3) +(Tabela1[[#This Row],[y]]-H$4)*(Tabela1[[#This Row],[y]]-H$4)</f>
        <v>22373</v>
      </c>
      <c r="D3377" s="1">
        <f>IF(Tabela1[[#This Row],[promien]]&lt;40000,1,0)</f>
        <v>1</v>
      </c>
      <c r="E3377" s="1">
        <f>IF(Tabela1[[#This Row],[promien]]=40000,1,0)</f>
        <v>0</v>
      </c>
      <c r="F3377" s="1">
        <v>3.1673082617708026</v>
      </c>
      <c r="G3377" s="1">
        <v>2.5715608181009486E-2</v>
      </c>
    </row>
    <row r="3378" spans="1:7">
      <c r="A3378">
        <v>246</v>
      </c>
      <c r="B3378">
        <v>300</v>
      </c>
      <c r="C3378" s="1">
        <f>(Tabela1[[#This Row],[x]]-H$3)*(Tabela1[[#This Row],[x]]-H$3) +(Tabela1[[#This Row],[y]]-H$4)*(Tabela1[[#This Row],[y]]-H$4)</f>
        <v>12116</v>
      </c>
      <c r="D3378" s="1">
        <f>IF(Tabela1[[#This Row],[promien]]&lt;40000,1,0)</f>
        <v>1</v>
      </c>
      <c r="E3378" s="1">
        <f>IF(Tabela1[[#This Row],[promien]]=40000,1,0)</f>
        <v>0</v>
      </c>
      <c r="F3378" s="1">
        <v>3.167554766133807</v>
      </c>
      <c r="G3378" s="1">
        <v>2.5962112544013927E-2</v>
      </c>
    </row>
    <row r="3379" spans="1:7">
      <c r="A3379">
        <v>359</v>
      </c>
      <c r="B3379">
        <v>15</v>
      </c>
      <c r="C3379" s="1">
        <f>(Tabela1[[#This Row],[x]]-H$3)*(Tabela1[[#This Row],[x]]-H$3) +(Tabela1[[#This Row],[y]]-H$4)*(Tabela1[[#This Row],[y]]-H$4)</f>
        <v>59506</v>
      </c>
      <c r="D3379" s="1">
        <f>IF(Tabela1[[#This Row],[promien]]&lt;40000,1,0)</f>
        <v>0</v>
      </c>
      <c r="E3379" s="1">
        <f>IF(Tabela1[[#This Row],[promien]]=40000,1,0)</f>
        <v>0</v>
      </c>
      <c r="F3379" s="1">
        <v>3.1666173424089967</v>
      </c>
      <c r="G3379" s="1">
        <v>2.5024688819203611E-2</v>
      </c>
    </row>
    <row r="3380" spans="1:7">
      <c r="A3380">
        <v>305</v>
      </c>
      <c r="B3380">
        <v>129</v>
      </c>
      <c r="C3380" s="1">
        <f>(Tabela1[[#This Row],[x]]-H$3)*(Tabela1[[#This Row],[x]]-H$3) +(Tabela1[[#This Row],[y]]-H$4)*(Tabela1[[#This Row],[y]]-H$4)</f>
        <v>16066</v>
      </c>
      <c r="D3380" s="1">
        <f>IF(Tabela1[[#This Row],[promien]]&lt;40000,1,0)</f>
        <v>1</v>
      </c>
      <c r="E3380" s="1">
        <f>IF(Tabela1[[#This Row],[promien]]=40000,1,0)</f>
        <v>0</v>
      </c>
      <c r="F3380" s="1">
        <v>3.1668639053254437</v>
      </c>
      <c r="G3380" s="1">
        <v>2.5271251735650591E-2</v>
      </c>
    </row>
    <row r="3381" spans="1:7">
      <c r="A3381">
        <v>301</v>
      </c>
      <c r="B3381">
        <v>209</v>
      </c>
      <c r="C3381" s="1">
        <f>(Tabela1[[#This Row],[x]]-H$3)*(Tabela1[[#This Row],[x]]-H$3) +(Tabela1[[#This Row],[y]]-H$4)*(Tabela1[[#This Row],[y]]-H$4)</f>
        <v>10282</v>
      </c>
      <c r="D3381" s="1">
        <f>IF(Tabela1[[#This Row],[promien]]&lt;40000,1,0)</f>
        <v>1</v>
      </c>
      <c r="E3381" s="1">
        <f>IF(Tabela1[[#This Row],[promien]]=40000,1,0)</f>
        <v>0</v>
      </c>
      <c r="F3381" s="1">
        <v>3.1671103223898256</v>
      </c>
      <c r="G3381" s="1">
        <v>2.5517668800032478E-2</v>
      </c>
    </row>
    <row r="3382" spans="1:7">
      <c r="A3382">
        <v>201</v>
      </c>
      <c r="B3382">
        <v>322</v>
      </c>
      <c r="C3382" s="1">
        <f>(Tabela1[[#This Row],[x]]-H$3)*(Tabela1[[#This Row],[x]]-H$3) +(Tabela1[[#This Row],[y]]-H$4)*(Tabela1[[#This Row],[y]]-H$4)</f>
        <v>14885</v>
      </c>
      <c r="D3382" s="1">
        <f>IF(Tabela1[[#This Row],[promien]]&lt;40000,1,0)</f>
        <v>1</v>
      </c>
      <c r="E3382" s="1">
        <f>IF(Tabela1[[#This Row],[promien]]=40000,1,0)</f>
        <v>0</v>
      </c>
      <c r="F3382" s="1">
        <v>3.1673565937315198</v>
      </c>
      <c r="G3382" s="1">
        <v>2.5763940141726671E-2</v>
      </c>
    </row>
    <row r="3383" spans="1:7">
      <c r="A3383">
        <v>305</v>
      </c>
      <c r="B3383">
        <v>313</v>
      </c>
      <c r="C3383" s="1">
        <f>(Tabela1[[#This Row],[x]]-H$3)*(Tabela1[[#This Row],[x]]-H$3) +(Tabela1[[#This Row],[y]]-H$4)*(Tabela1[[#This Row],[y]]-H$4)</f>
        <v>23794</v>
      </c>
      <c r="D3383" s="1">
        <f>IF(Tabela1[[#This Row],[promien]]&lt;40000,1,0)</f>
        <v>1</v>
      </c>
      <c r="E3383" s="1">
        <f>IF(Tabela1[[#This Row],[promien]]=40000,1,0)</f>
        <v>0</v>
      </c>
      <c r="F3383" s="1">
        <v>3.1676027194797518</v>
      </c>
      <c r="G3383" s="1">
        <v>2.6010065889958689E-2</v>
      </c>
    </row>
    <row r="3384" spans="1:7">
      <c r="A3384">
        <v>336</v>
      </c>
      <c r="B3384">
        <v>190</v>
      </c>
      <c r="C3384" s="1">
        <f>(Tabela1[[#This Row],[x]]-H$3)*(Tabela1[[#This Row],[x]]-H$3) +(Tabela1[[#This Row],[y]]-H$4)*(Tabela1[[#This Row],[y]]-H$4)</f>
        <v>18596</v>
      </c>
      <c r="D3384" s="1">
        <f>IF(Tabela1[[#This Row],[promien]]&lt;40000,1,0)</f>
        <v>1</v>
      </c>
      <c r="E3384" s="1">
        <f>IF(Tabela1[[#This Row],[promien]]=40000,1,0)</f>
        <v>0</v>
      </c>
      <c r="F3384" s="1">
        <v>3.1678486997635935</v>
      </c>
      <c r="G3384" s="1">
        <v>2.6256046173800396E-2</v>
      </c>
    </row>
    <row r="3385" spans="1:7">
      <c r="A3385">
        <v>235</v>
      </c>
      <c r="B3385">
        <v>272</v>
      </c>
      <c r="C3385" s="1">
        <f>(Tabela1[[#This Row],[x]]-H$3)*(Tabela1[[#This Row],[x]]-H$3) +(Tabela1[[#This Row],[y]]-H$4)*(Tabela1[[#This Row],[y]]-H$4)</f>
        <v>6409</v>
      </c>
      <c r="D3385" s="1">
        <f>IF(Tabela1[[#This Row],[promien]]&lt;40000,1,0)</f>
        <v>1</v>
      </c>
      <c r="E3385" s="1">
        <f>IF(Tabela1[[#This Row],[promien]]=40000,1,0)</f>
        <v>0</v>
      </c>
      <c r="F3385" s="1">
        <v>3.1680945347119644</v>
      </c>
      <c r="G3385" s="1">
        <v>2.6501881122171334E-2</v>
      </c>
    </row>
    <row r="3386" spans="1:7">
      <c r="A3386">
        <v>22</v>
      </c>
      <c r="B3386">
        <v>380</v>
      </c>
      <c r="C3386" s="1">
        <f>(Tabela1[[#This Row],[x]]-H$3)*(Tabela1[[#This Row],[x]]-H$3) +(Tabela1[[#This Row],[y]]-H$4)*(Tabela1[[#This Row],[y]]-H$4)</f>
        <v>64084</v>
      </c>
      <c r="D3386" s="1">
        <f>IF(Tabela1[[#This Row],[promien]]&lt;40000,1,0)</f>
        <v>0</v>
      </c>
      <c r="E3386" s="1">
        <f>IF(Tabela1[[#This Row],[promien]]=40000,1,0)</f>
        <v>0</v>
      </c>
      <c r="F3386" s="1">
        <v>3.1671588895451861</v>
      </c>
      <c r="G3386" s="1">
        <v>2.556623595539298E-2</v>
      </c>
    </row>
    <row r="3387" spans="1:7">
      <c r="A3387">
        <v>278</v>
      </c>
      <c r="B3387">
        <v>389</v>
      </c>
      <c r="C3387" s="1">
        <f>(Tabela1[[#This Row],[x]]-H$3)*(Tabela1[[#This Row],[x]]-H$3) +(Tabela1[[#This Row],[y]]-H$4)*(Tabela1[[#This Row],[y]]-H$4)</f>
        <v>41805</v>
      </c>
      <c r="D3387" s="1">
        <f>IF(Tabela1[[#This Row],[promien]]&lt;40000,1,0)</f>
        <v>0</v>
      </c>
      <c r="E3387" s="1">
        <f>IF(Tabela1[[#This Row],[promien]]=40000,1,0)</f>
        <v>0</v>
      </c>
      <c r="F3387" s="1">
        <v>3.1662237968703866</v>
      </c>
      <c r="G3387" s="1">
        <v>2.4631143280593459E-2</v>
      </c>
    </row>
    <row r="3388" spans="1:7">
      <c r="A3388">
        <v>368</v>
      </c>
      <c r="B3388">
        <v>165</v>
      </c>
      <c r="C3388" s="1">
        <f>(Tabela1[[#This Row],[x]]-H$3)*(Tabela1[[#This Row],[x]]-H$3) +(Tabela1[[#This Row],[y]]-H$4)*(Tabela1[[#This Row],[y]]-H$4)</f>
        <v>29449</v>
      </c>
      <c r="D3388" s="1">
        <f>IF(Tabela1[[#This Row],[promien]]&lt;40000,1,0)</f>
        <v>1</v>
      </c>
      <c r="E3388" s="1">
        <f>IF(Tabela1[[#This Row],[promien]]=40000,1,0)</f>
        <v>0</v>
      </c>
      <c r="F3388" s="1">
        <v>3.166469893742621</v>
      </c>
      <c r="G3388" s="1">
        <v>2.4877240152827884E-2</v>
      </c>
    </row>
    <row r="3389" spans="1:7">
      <c r="A3389">
        <v>337</v>
      </c>
      <c r="B3389">
        <v>64</v>
      </c>
      <c r="C3389" s="1">
        <f>(Tabela1[[#This Row],[x]]-H$3)*(Tabela1[[#This Row],[x]]-H$3) +(Tabela1[[#This Row],[y]]-H$4)*(Tabela1[[#This Row],[y]]-H$4)</f>
        <v>37265</v>
      </c>
      <c r="D3389" s="1">
        <f>IF(Tabela1[[#This Row],[promien]]&lt;40000,1,0)</f>
        <v>1</v>
      </c>
      <c r="E3389" s="1">
        <f>IF(Tabela1[[#This Row],[promien]]=40000,1,0)</f>
        <v>0</v>
      </c>
      <c r="F3389" s="1">
        <v>3.1667158453821185</v>
      </c>
      <c r="G3389" s="1">
        <v>2.5123191792325361E-2</v>
      </c>
    </row>
    <row r="3390" spans="1:7">
      <c r="A3390">
        <v>89</v>
      </c>
      <c r="B3390">
        <v>206</v>
      </c>
      <c r="C3390" s="1">
        <f>(Tabela1[[#This Row],[x]]-H$3)*(Tabela1[[#This Row],[x]]-H$3) +(Tabela1[[#This Row],[y]]-H$4)*(Tabela1[[#This Row],[y]]-H$4)</f>
        <v>12357</v>
      </c>
      <c r="D3390" s="1">
        <f>IF(Tabela1[[#This Row],[promien]]&lt;40000,1,0)</f>
        <v>1</v>
      </c>
      <c r="E3390" s="1">
        <f>IF(Tabela1[[#This Row],[promien]]=40000,1,0)</f>
        <v>0</v>
      </c>
      <c r="F3390" s="1">
        <v>3.1669616519174042</v>
      </c>
      <c r="G3390" s="1">
        <v>2.5368998327611081E-2</v>
      </c>
    </row>
    <row r="3391" spans="1:7">
      <c r="A3391">
        <v>178</v>
      </c>
      <c r="B3391">
        <v>264</v>
      </c>
      <c r="C3391" s="1">
        <f>(Tabela1[[#This Row],[x]]-H$3)*(Tabela1[[#This Row],[x]]-H$3) +(Tabela1[[#This Row],[y]]-H$4)*(Tabela1[[#This Row],[y]]-H$4)</f>
        <v>4580</v>
      </c>
      <c r="D3391" s="1">
        <f>IF(Tabela1[[#This Row],[promien]]&lt;40000,1,0)</f>
        <v>1</v>
      </c>
      <c r="E3391" s="1">
        <f>IF(Tabela1[[#This Row],[promien]]=40000,1,0)</f>
        <v>0</v>
      </c>
      <c r="F3391" s="1">
        <v>3.1672073134768506</v>
      </c>
      <c r="G3391" s="1">
        <v>2.5614659887057467E-2</v>
      </c>
    </row>
    <row r="3392" spans="1:7">
      <c r="A3392">
        <v>112</v>
      </c>
      <c r="B3392">
        <v>231</v>
      </c>
      <c r="C3392" s="1">
        <f>(Tabela1[[#This Row],[x]]-H$3)*(Tabela1[[#This Row],[x]]-H$3) +(Tabela1[[#This Row],[y]]-H$4)*(Tabela1[[#This Row],[y]]-H$4)</f>
        <v>8705</v>
      </c>
      <c r="D3392" s="1">
        <f>IF(Tabela1[[#This Row],[promien]]&lt;40000,1,0)</f>
        <v>1</v>
      </c>
      <c r="E3392" s="1">
        <f>IF(Tabela1[[#This Row],[promien]]=40000,1,0)</f>
        <v>0</v>
      </c>
      <c r="F3392" s="1">
        <v>3.1674528301886791</v>
      </c>
      <c r="G3392" s="1">
        <v>2.5860176598885953E-2</v>
      </c>
    </row>
    <row r="3393" spans="1:7">
      <c r="A3393">
        <v>322</v>
      </c>
      <c r="B3393">
        <v>334</v>
      </c>
      <c r="C3393" s="1">
        <f>(Tabela1[[#This Row],[x]]-H$3)*(Tabela1[[#This Row],[x]]-H$3) +(Tabela1[[#This Row],[y]]-H$4)*(Tabela1[[#This Row],[y]]-H$4)</f>
        <v>32840</v>
      </c>
      <c r="D3393" s="1">
        <f>IF(Tabela1[[#This Row],[promien]]&lt;40000,1,0)</f>
        <v>1</v>
      </c>
      <c r="E3393" s="1">
        <f>IF(Tabela1[[#This Row],[promien]]=40000,1,0)</f>
        <v>0</v>
      </c>
      <c r="F3393" s="1">
        <v>3.167698202180961</v>
      </c>
      <c r="G3393" s="1">
        <v>2.6105548591167871E-2</v>
      </c>
    </row>
    <row r="3394" spans="1:7">
      <c r="A3394">
        <v>118</v>
      </c>
      <c r="B3394">
        <v>219</v>
      </c>
      <c r="C3394" s="1">
        <f>(Tabela1[[#This Row],[x]]-H$3)*(Tabela1[[#This Row],[x]]-H$3) +(Tabela1[[#This Row],[y]]-H$4)*(Tabela1[[#This Row],[y]]-H$4)</f>
        <v>7085</v>
      </c>
      <c r="D3394" s="1">
        <f>IF(Tabela1[[#This Row],[promien]]&lt;40000,1,0)</f>
        <v>1</v>
      </c>
      <c r="E3394" s="1">
        <f>IF(Tabela1[[#This Row],[promien]]=40000,1,0)</f>
        <v>0</v>
      </c>
      <c r="F3394" s="1">
        <v>3.1679434295816145</v>
      </c>
      <c r="G3394" s="1">
        <v>2.635077599182134E-2</v>
      </c>
    </row>
    <row r="3395" spans="1:7">
      <c r="A3395">
        <v>250</v>
      </c>
      <c r="B3395">
        <v>203</v>
      </c>
      <c r="C3395" s="1">
        <f>(Tabela1[[#This Row],[x]]-H$3)*(Tabela1[[#This Row],[x]]-H$3) +(Tabela1[[#This Row],[y]]-H$4)*(Tabela1[[#This Row],[y]]-H$4)</f>
        <v>2509</v>
      </c>
      <c r="D3395" s="1">
        <f>IF(Tabela1[[#This Row],[promien]]&lt;40000,1,0)</f>
        <v>1</v>
      </c>
      <c r="E3395" s="1">
        <f>IF(Tabela1[[#This Row],[promien]]=40000,1,0)</f>
        <v>0</v>
      </c>
      <c r="F3395" s="1">
        <v>3.1681885125184093</v>
      </c>
      <c r="G3395" s="1">
        <v>2.6595858928616156E-2</v>
      </c>
    </row>
    <row r="3396" spans="1:7">
      <c r="A3396">
        <v>261</v>
      </c>
      <c r="B3396">
        <v>31</v>
      </c>
      <c r="C3396" s="1">
        <f>(Tabela1[[#This Row],[x]]-H$3)*(Tabela1[[#This Row],[x]]-H$3) +(Tabela1[[#This Row],[y]]-H$4)*(Tabela1[[#This Row],[y]]-H$4)</f>
        <v>32282</v>
      </c>
      <c r="D3396" s="1">
        <f>IF(Tabela1[[#This Row],[promien]]&lt;40000,1,0)</f>
        <v>1</v>
      </c>
      <c r="E3396" s="1">
        <f>IF(Tabela1[[#This Row],[promien]]=40000,1,0)</f>
        <v>0</v>
      </c>
      <c r="F3396" s="1">
        <v>3.1684334511189634</v>
      </c>
      <c r="G3396" s="1">
        <v>2.6840797529170235E-2</v>
      </c>
    </row>
    <row r="3397" spans="1:7">
      <c r="A3397">
        <v>109</v>
      </c>
      <c r="B3397">
        <v>78</v>
      </c>
      <c r="C3397" s="1">
        <f>(Tabela1[[#This Row],[x]]-H$3)*(Tabela1[[#This Row],[x]]-H$3) +(Tabela1[[#This Row],[y]]-H$4)*(Tabela1[[#This Row],[y]]-H$4)</f>
        <v>23165</v>
      </c>
      <c r="D3397" s="1">
        <f>IF(Tabela1[[#This Row],[promien]]&lt;40000,1,0)</f>
        <v>1</v>
      </c>
      <c r="E3397" s="1">
        <f>IF(Tabela1[[#This Row],[promien]]=40000,1,0)</f>
        <v>0</v>
      </c>
      <c r="F3397" s="1">
        <v>3.168678245510745</v>
      </c>
      <c r="G3397" s="1">
        <v>2.7085591920951835E-2</v>
      </c>
    </row>
    <row r="3398" spans="1:7">
      <c r="A3398">
        <v>54</v>
      </c>
      <c r="B3398">
        <v>346</v>
      </c>
      <c r="C3398" s="1">
        <f>(Tabela1[[#This Row],[x]]-H$3)*(Tabela1[[#This Row],[x]]-H$3) +(Tabela1[[#This Row],[y]]-H$4)*(Tabela1[[#This Row],[y]]-H$4)</f>
        <v>42632</v>
      </c>
      <c r="D3398" s="1">
        <f>IF(Tabela1[[#This Row],[promien]]&lt;40000,1,0)</f>
        <v>0</v>
      </c>
      <c r="E3398" s="1">
        <f>IF(Tabela1[[#This Row],[promien]]=40000,1,0)</f>
        <v>0</v>
      </c>
      <c r="F3398" s="1">
        <v>3.1677457327839904</v>
      </c>
      <c r="G3398" s="1">
        <v>2.6153079194197293E-2</v>
      </c>
    </row>
    <row r="3399" spans="1:7">
      <c r="A3399">
        <v>349</v>
      </c>
      <c r="B3399">
        <v>184</v>
      </c>
      <c r="C3399" s="1">
        <f>(Tabela1[[#This Row],[x]]-H$3)*(Tabela1[[#This Row],[x]]-H$3) +(Tabela1[[#This Row],[y]]-H$4)*(Tabela1[[#This Row],[y]]-H$4)</f>
        <v>22457</v>
      </c>
      <c r="D3399" s="1">
        <f>IF(Tabela1[[#This Row],[promien]]&lt;40000,1,0)</f>
        <v>1</v>
      </c>
      <c r="E3399" s="1">
        <f>IF(Tabela1[[#This Row],[promien]]=40000,1,0)</f>
        <v>0</v>
      </c>
      <c r="F3399" s="1">
        <v>3.1679905854663137</v>
      </c>
      <c r="G3399" s="1">
        <v>2.6397931876520619E-2</v>
      </c>
    </row>
    <row r="3400" spans="1:7">
      <c r="A3400">
        <v>229</v>
      </c>
      <c r="B3400">
        <v>298</v>
      </c>
      <c r="C3400" s="1">
        <f>(Tabela1[[#This Row],[x]]-H$3)*(Tabela1[[#This Row],[x]]-H$3) +(Tabela1[[#This Row],[y]]-H$4)*(Tabela1[[#This Row],[y]]-H$4)</f>
        <v>10445</v>
      </c>
      <c r="D3400" s="1">
        <f>IF(Tabela1[[#This Row],[promien]]&lt;40000,1,0)</f>
        <v>1</v>
      </c>
      <c r="E3400" s="1">
        <f>IF(Tabela1[[#This Row],[promien]]=40000,1,0)</f>
        <v>0</v>
      </c>
      <c r="F3400" s="1">
        <v>3.1682352941176473</v>
      </c>
      <c r="G3400" s="1">
        <v>2.6642640527854144E-2</v>
      </c>
    </row>
    <row r="3401" spans="1:7">
      <c r="A3401">
        <v>130</v>
      </c>
      <c r="B3401">
        <v>312</v>
      </c>
      <c r="C3401" s="1">
        <f>(Tabela1[[#This Row],[x]]-H$3)*(Tabela1[[#This Row],[x]]-H$3) +(Tabela1[[#This Row],[y]]-H$4)*(Tabela1[[#This Row],[y]]-H$4)</f>
        <v>17444</v>
      </c>
      <c r="D3401" s="1">
        <f>IF(Tabela1[[#This Row],[promien]]&lt;40000,1,0)</f>
        <v>1</v>
      </c>
      <c r="E3401" s="1">
        <f>IF(Tabela1[[#This Row],[promien]]=40000,1,0)</f>
        <v>0</v>
      </c>
      <c r="F3401" s="1">
        <v>3.1684798588650396</v>
      </c>
      <c r="G3401" s="1">
        <v>2.6887205275246462E-2</v>
      </c>
    </row>
    <row r="3402" spans="1:7">
      <c r="A3402">
        <v>364</v>
      </c>
      <c r="B3402">
        <v>25</v>
      </c>
      <c r="C3402" s="1">
        <f>(Tabela1[[#This Row],[x]]-H$3)*(Tabela1[[#This Row],[x]]-H$3) +(Tabela1[[#This Row],[y]]-H$4)*(Tabela1[[#This Row],[y]]-H$4)</f>
        <v>57521</v>
      </c>
      <c r="D3402" s="1">
        <f>IF(Tabela1[[#This Row],[promien]]&lt;40000,1,0)</f>
        <v>0</v>
      </c>
      <c r="E3402" s="1">
        <f>IF(Tabela1[[#This Row],[promien]]=40000,1,0)</f>
        <v>0</v>
      </c>
      <c r="F3402" s="1">
        <v>3.1675485008818343</v>
      </c>
      <c r="G3402" s="1">
        <v>2.5955847292041145E-2</v>
      </c>
    </row>
    <row r="3403" spans="1:7">
      <c r="A3403">
        <v>195</v>
      </c>
      <c r="B3403">
        <v>77</v>
      </c>
      <c r="C3403" s="1">
        <f>(Tabela1[[#This Row],[x]]-H$3)*(Tabela1[[#This Row],[x]]-H$3) +(Tabela1[[#This Row],[y]]-H$4)*(Tabela1[[#This Row],[y]]-H$4)</f>
        <v>15154</v>
      </c>
      <c r="D3403" s="1">
        <f>IF(Tabela1[[#This Row],[promien]]&lt;40000,1,0)</f>
        <v>1</v>
      </c>
      <c r="E3403" s="1">
        <f>IF(Tabela1[[#This Row],[promien]]=40000,1,0)</f>
        <v>0</v>
      </c>
      <c r="F3403" s="1">
        <v>3.1677931237143695</v>
      </c>
      <c r="G3403" s="1">
        <v>2.620047012457638E-2</v>
      </c>
    </row>
    <row r="3404" spans="1:7">
      <c r="A3404">
        <v>111</v>
      </c>
      <c r="B3404">
        <v>61</v>
      </c>
      <c r="C3404" s="1">
        <f>(Tabela1[[#This Row],[x]]-H$3)*(Tabela1[[#This Row],[x]]-H$3) +(Tabela1[[#This Row],[y]]-H$4)*(Tabela1[[#This Row],[y]]-H$4)</f>
        <v>27242</v>
      </c>
      <c r="D3404" s="1">
        <f>IF(Tabela1[[#This Row],[promien]]&lt;40000,1,0)</f>
        <v>1</v>
      </c>
      <c r="E3404" s="1">
        <f>IF(Tabela1[[#This Row],[promien]]=40000,1,0)</f>
        <v>0</v>
      </c>
      <c r="F3404" s="1">
        <v>3.1680376028202115</v>
      </c>
      <c r="G3404" s="1">
        <v>2.6444949230418402E-2</v>
      </c>
    </row>
    <row r="3405" spans="1:7">
      <c r="A3405">
        <v>49</v>
      </c>
      <c r="B3405">
        <v>60</v>
      </c>
      <c r="C3405" s="1">
        <f>(Tabela1[[#This Row],[x]]-H$3)*(Tabela1[[#This Row],[x]]-H$3) +(Tabela1[[#This Row],[y]]-H$4)*(Tabela1[[#This Row],[y]]-H$4)</f>
        <v>42401</v>
      </c>
      <c r="D3405" s="1">
        <f>IF(Tabela1[[#This Row],[promien]]&lt;40000,1,0)</f>
        <v>0</v>
      </c>
      <c r="E3405" s="1">
        <f>IF(Tabela1[[#This Row],[promien]]=40000,1,0)</f>
        <v>0</v>
      </c>
      <c r="F3405" s="1">
        <v>3.1671071953010279</v>
      </c>
      <c r="G3405" s="1">
        <v>2.5514541711234795E-2</v>
      </c>
    </row>
    <row r="3406" spans="1:7">
      <c r="A3406">
        <v>87</v>
      </c>
      <c r="B3406">
        <v>325</v>
      </c>
      <c r="C3406" s="1">
        <f>(Tabela1[[#This Row],[x]]-H$3)*(Tabela1[[#This Row],[x]]-H$3) +(Tabela1[[#This Row],[y]]-H$4)*(Tabela1[[#This Row],[y]]-H$4)</f>
        <v>28394</v>
      </c>
      <c r="D3406" s="1">
        <f>IF(Tabela1[[#This Row],[promien]]&lt;40000,1,0)</f>
        <v>1</v>
      </c>
      <c r="E3406" s="1">
        <f>IF(Tabela1[[#This Row],[promien]]=40000,1,0)</f>
        <v>0</v>
      </c>
      <c r="F3406" s="1">
        <v>3.1673517322372282</v>
      </c>
      <c r="G3406" s="1">
        <v>2.5759078647435096E-2</v>
      </c>
    </row>
    <row r="3407" spans="1:7">
      <c r="A3407">
        <v>239</v>
      </c>
      <c r="B3407">
        <v>63</v>
      </c>
      <c r="C3407" s="1">
        <f>(Tabela1[[#This Row],[x]]-H$3)*(Tabela1[[#This Row],[x]]-H$3) +(Tabela1[[#This Row],[y]]-H$4)*(Tabela1[[#This Row],[y]]-H$4)</f>
        <v>20290</v>
      </c>
      <c r="D3407" s="1">
        <f>IF(Tabela1[[#This Row],[promien]]&lt;40000,1,0)</f>
        <v>1</v>
      </c>
      <c r="E3407" s="1">
        <f>IF(Tabela1[[#This Row],[promien]]=40000,1,0)</f>
        <v>0</v>
      </c>
      <c r="F3407" s="1">
        <v>3.167596125623716</v>
      </c>
      <c r="G3407" s="1">
        <v>2.6003472033922836E-2</v>
      </c>
    </row>
    <row r="3408" spans="1:7">
      <c r="A3408">
        <v>307</v>
      </c>
      <c r="B3408">
        <v>10</v>
      </c>
      <c r="C3408" s="1">
        <f>(Tabela1[[#This Row],[x]]-H$3)*(Tabela1[[#This Row],[x]]-H$3) +(Tabela1[[#This Row],[y]]-H$4)*(Tabela1[[#This Row],[y]]-H$4)</f>
        <v>47549</v>
      </c>
      <c r="D3408" s="1">
        <f>IF(Tabela1[[#This Row],[promien]]&lt;40000,1,0)</f>
        <v>0</v>
      </c>
      <c r="E3408" s="1">
        <f>IF(Tabela1[[#This Row],[promien]]=40000,1,0)</f>
        <v>0</v>
      </c>
      <c r="F3408" s="1">
        <v>3.1666666666666665</v>
      </c>
      <c r="G3408" s="1">
        <v>2.5074013076873403E-2</v>
      </c>
    </row>
    <row r="3409" spans="1:7">
      <c r="A3409">
        <v>352</v>
      </c>
      <c r="B3409">
        <v>181</v>
      </c>
      <c r="C3409" s="1">
        <f>(Tabela1[[#This Row],[x]]-H$3)*(Tabela1[[#This Row],[x]]-H$3) +(Tabela1[[#This Row],[y]]-H$4)*(Tabela1[[#This Row],[y]]-H$4)</f>
        <v>23465</v>
      </c>
      <c r="D3409" s="1">
        <f>IF(Tabela1[[#This Row],[promien]]&lt;40000,1,0)</f>
        <v>1</v>
      </c>
      <c r="E3409" s="1">
        <f>IF(Tabela1[[#This Row],[promien]]=40000,1,0)</f>
        <v>0</v>
      </c>
      <c r="F3409" s="1">
        <v>3.1669111176298035</v>
      </c>
      <c r="G3409" s="1">
        <v>2.5318464040010369E-2</v>
      </c>
    </row>
    <row r="3410" spans="1:7">
      <c r="A3410">
        <v>84</v>
      </c>
      <c r="B3410">
        <v>206</v>
      </c>
      <c r="C3410" s="1">
        <f>(Tabela1[[#This Row],[x]]-H$3)*(Tabela1[[#This Row],[x]]-H$3) +(Tabela1[[#This Row],[y]]-H$4)*(Tabela1[[#This Row],[y]]-H$4)</f>
        <v>13492</v>
      </c>
      <c r="D3410" s="1">
        <f>IF(Tabela1[[#This Row],[promien]]&lt;40000,1,0)</f>
        <v>1</v>
      </c>
      <c r="E3410" s="1">
        <f>IF(Tabela1[[#This Row],[promien]]=40000,1,0)</f>
        <v>0</v>
      </c>
      <c r="F3410" s="1">
        <v>3.1671554252199412</v>
      </c>
      <c r="G3410" s="1">
        <v>2.5562771630148085E-2</v>
      </c>
    </row>
    <row r="3411" spans="1:7">
      <c r="A3411">
        <v>337</v>
      </c>
      <c r="B3411">
        <v>122</v>
      </c>
      <c r="C3411" s="1">
        <f>(Tabela1[[#This Row],[x]]-H$3)*(Tabela1[[#This Row],[x]]-H$3) +(Tabela1[[#This Row],[y]]-H$4)*(Tabela1[[#This Row],[y]]-H$4)</f>
        <v>24853</v>
      </c>
      <c r="D3411" s="1">
        <f>IF(Tabela1[[#This Row],[promien]]&lt;40000,1,0)</f>
        <v>1</v>
      </c>
      <c r="E3411" s="1">
        <f>IF(Tabela1[[#This Row],[promien]]=40000,1,0)</f>
        <v>0</v>
      </c>
      <c r="F3411" s="1">
        <v>3.1673995895631779</v>
      </c>
      <c r="G3411" s="1">
        <v>2.5806935973384793E-2</v>
      </c>
    </row>
    <row r="3412" spans="1:7">
      <c r="A3412">
        <v>318</v>
      </c>
      <c r="B3412">
        <v>60</v>
      </c>
      <c r="C3412" s="1">
        <f>(Tabela1[[#This Row],[x]]-H$3)*(Tabela1[[#This Row],[x]]-H$3) +(Tabela1[[#This Row],[y]]-H$4)*(Tabela1[[#This Row],[y]]-H$4)</f>
        <v>33524</v>
      </c>
      <c r="D3412" s="1">
        <f>IF(Tabela1[[#This Row],[promien]]&lt;40000,1,0)</f>
        <v>1</v>
      </c>
      <c r="E3412" s="1">
        <f>IF(Tabela1[[#This Row],[promien]]=40000,1,0)</f>
        <v>0</v>
      </c>
      <c r="F3412" s="1">
        <v>3.1676436107854631</v>
      </c>
      <c r="G3412" s="1">
        <v>2.6050957195669966E-2</v>
      </c>
    </row>
    <row r="3413" spans="1:7">
      <c r="A3413">
        <v>50</v>
      </c>
      <c r="B3413">
        <v>346</v>
      </c>
      <c r="C3413" s="1">
        <f>(Tabela1[[#This Row],[x]]-H$3)*(Tabela1[[#This Row],[x]]-H$3) +(Tabela1[[#This Row],[y]]-H$4)*(Tabela1[[#This Row],[y]]-H$4)</f>
        <v>43816</v>
      </c>
      <c r="D3413" s="1">
        <f>IF(Tabela1[[#This Row],[promien]]&lt;40000,1,0)</f>
        <v>0</v>
      </c>
      <c r="E3413" s="1">
        <f>IF(Tabela1[[#This Row],[promien]]=40000,1,0)</f>
        <v>0</v>
      </c>
      <c r="F3413" s="1">
        <v>3.166715499560504</v>
      </c>
      <c r="G3413" s="1">
        <v>2.5122845970710905E-2</v>
      </c>
    </row>
    <row r="3414" spans="1:7">
      <c r="A3414">
        <v>34</v>
      </c>
      <c r="B3414">
        <v>50</v>
      </c>
      <c r="C3414" s="1">
        <f>(Tabela1[[#This Row],[x]]-H$3)*(Tabela1[[#This Row],[x]]-H$3) +(Tabela1[[#This Row],[y]]-H$4)*(Tabela1[[#This Row],[y]]-H$4)</f>
        <v>50056</v>
      </c>
      <c r="D3414" s="1">
        <f>IF(Tabela1[[#This Row],[promien]]&lt;40000,1,0)</f>
        <v>0</v>
      </c>
      <c r="E3414" s="1">
        <f>IF(Tabela1[[#This Row],[promien]]=40000,1,0)</f>
        <v>0</v>
      </c>
      <c r="F3414" s="1">
        <v>3.1657879320445224</v>
      </c>
      <c r="G3414" s="1">
        <v>2.4195278454729241E-2</v>
      </c>
    </row>
    <row r="3415" spans="1:7">
      <c r="A3415">
        <v>346</v>
      </c>
      <c r="B3415">
        <v>99</v>
      </c>
      <c r="C3415" s="1">
        <f>(Tabela1[[#This Row],[x]]-H$3)*(Tabela1[[#This Row],[x]]-H$3) +(Tabela1[[#This Row],[y]]-H$4)*(Tabela1[[#This Row],[y]]-H$4)</f>
        <v>31517</v>
      </c>
      <c r="D3415" s="1">
        <f>IF(Tabela1[[#This Row],[promien]]&lt;40000,1,0)</f>
        <v>1</v>
      </c>
      <c r="E3415" s="1">
        <f>IF(Tabela1[[#This Row],[promien]]=40000,1,0)</f>
        <v>0</v>
      </c>
      <c r="F3415" s="1">
        <v>3.1660322108345533</v>
      </c>
      <c r="G3415" s="1">
        <v>2.4439557244760213E-2</v>
      </c>
    </row>
    <row r="3416" spans="1:7">
      <c r="A3416">
        <v>245</v>
      </c>
      <c r="B3416">
        <v>302</v>
      </c>
      <c r="C3416" s="1">
        <f>(Tabela1[[#This Row],[x]]-H$3)*(Tabela1[[#This Row],[x]]-H$3) +(Tabela1[[#This Row],[y]]-H$4)*(Tabela1[[#This Row],[y]]-H$4)</f>
        <v>12429</v>
      </c>
      <c r="D3416" s="1">
        <f>IF(Tabela1[[#This Row],[promien]]&lt;40000,1,0)</f>
        <v>1</v>
      </c>
      <c r="E3416" s="1">
        <f>IF(Tabela1[[#This Row],[promien]]=40000,1,0)</f>
        <v>0</v>
      </c>
      <c r="F3416" s="1">
        <v>3.1662763466042154</v>
      </c>
      <c r="G3416" s="1">
        <v>2.4683693014422303E-2</v>
      </c>
    </row>
    <row r="3417" spans="1:7">
      <c r="A3417">
        <v>25</v>
      </c>
      <c r="B3417">
        <v>341</v>
      </c>
      <c r="C3417" s="1">
        <f>(Tabela1[[#This Row],[x]]-H$3)*(Tabela1[[#This Row],[x]]-H$3) +(Tabela1[[#This Row],[y]]-H$4)*(Tabela1[[#This Row],[y]]-H$4)</f>
        <v>50506</v>
      </c>
      <c r="D3417" s="1">
        <f>IF(Tabela1[[#This Row],[promien]]&lt;40000,1,0)</f>
        <v>0</v>
      </c>
      <c r="E3417" s="1">
        <f>IF(Tabela1[[#This Row],[promien]]=40000,1,0)</f>
        <v>0</v>
      </c>
      <c r="F3417" s="1">
        <v>3.1653497219783437</v>
      </c>
      <c r="G3417" s="1">
        <v>2.3757068388550628E-2</v>
      </c>
    </row>
    <row r="3418" spans="1:7">
      <c r="A3418">
        <v>363</v>
      </c>
      <c r="B3418">
        <v>98</v>
      </c>
      <c r="C3418" s="1">
        <f>(Tabela1[[#This Row],[x]]-H$3)*(Tabela1[[#This Row],[x]]-H$3) +(Tabela1[[#This Row],[y]]-H$4)*(Tabela1[[#This Row],[y]]-H$4)</f>
        <v>36973</v>
      </c>
      <c r="D3418" s="1">
        <f>IF(Tabela1[[#This Row],[promien]]&lt;40000,1,0)</f>
        <v>1</v>
      </c>
      <c r="E3418" s="1">
        <f>IF(Tabela1[[#This Row],[promien]]=40000,1,0)</f>
        <v>0</v>
      </c>
      <c r="F3418" s="1">
        <v>3.1655939145699241</v>
      </c>
      <c r="G3418" s="1">
        <v>2.4001260980131001E-2</v>
      </c>
    </row>
    <row r="3419" spans="1:7">
      <c r="A3419">
        <v>310</v>
      </c>
      <c r="B3419">
        <v>144</v>
      </c>
      <c r="C3419" s="1">
        <f>(Tabela1[[#This Row],[x]]-H$3)*(Tabela1[[#This Row],[x]]-H$3) +(Tabela1[[#This Row],[y]]-H$4)*(Tabela1[[#This Row],[y]]-H$4)</f>
        <v>15236</v>
      </c>
      <c r="D3419" s="1">
        <f>IF(Tabela1[[#This Row],[promien]]&lt;40000,1,0)</f>
        <v>1</v>
      </c>
      <c r="E3419" s="1">
        <f>IF(Tabela1[[#This Row],[promien]]=40000,1,0)</f>
        <v>0</v>
      </c>
      <c r="F3419" s="1">
        <v>3.1658379643170518</v>
      </c>
      <c r="G3419" s="1">
        <v>2.4245310727258662E-2</v>
      </c>
    </row>
    <row r="3420" spans="1:7">
      <c r="A3420">
        <v>313</v>
      </c>
      <c r="B3420">
        <v>62</v>
      </c>
      <c r="C3420" s="1">
        <f>(Tabela1[[#This Row],[x]]-H$3)*(Tabela1[[#This Row],[x]]-H$3) +(Tabela1[[#This Row],[y]]-H$4)*(Tabela1[[#This Row],[y]]-H$4)</f>
        <v>31813</v>
      </c>
      <c r="D3420" s="1">
        <f>IF(Tabela1[[#This Row],[promien]]&lt;40000,1,0)</f>
        <v>1</v>
      </c>
      <c r="E3420" s="1">
        <f>IF(Tabela1[[#This Row],[promien]]=40000,1,0)</f>
        <v>0</v>
      </c>
      <c r="F3420" s="1">
        <v>3.1660818713450292</v>
      </c>
      <c r="G3420" s="1">
        <v>2.4489217755236048E-2</v>
      </c>
    </row>
    <row r="3421" spans="1:7">
      <c r="A3421">
        <v>249</v>
      </c>
      <c r="B3421">
        <v>80</v>
      </c>
      <c r="C3421" s="1">
        <f>(Tabela1[[#This Row],[x]]-H$3)*(Tabela1[[#This Row],[x]]-H$3) +(Tabela1[[#This Row],[y]]-H$4)*(Tabela1[[#This Row],[y]]-H$4)</f>
        <v>16801</v>
      </c>
      <c r="D3421" s="1">
        <f>IF(Tabela1[[#This Row],[promien]]&lt;40000,1,0)</f>
        <v>1</v>
      </c>
      <c r="E3421" s="1">
        <f>IF(Tabela1[[#This Row],[promien]]=40000,1,0)</f>
        <v>0</v>
      </c>
      <c r="F3421" s="1">
        <v>3.1663256357790122</v>
      </c>
      <c r="G3421" s="1">
        <v>2.4732982189219044E-2</v>
      </c>
    </row>
    <row r="3422" spans="1:7">
      <c r="A3422">
        <v>92</v>
      </c>
      <c r="B3422">
        <v>263</v>
      </c>
      <c r="C3422" s="1">
        <f>(Tabela1[[#This Row],[x]]-H$3)*(Tabela1[[#This Row],[x]]-H$3) +(Tabela1[[#This Row],[y]]-H$4)*(Tabela1[[#This Row],[y]]-H$4)</f>
        <v>15633</v>
      </c>
      <c r="D3422" s="1">
        <f>IF(Tabela1[[#This Row],[promien]]&lt;40000,1,0)</f>
        <v>1</v>
      </c>
      <c r="E3422" s="1">
        <f>IF(Tabela1[[#This Row],[promien]]=40000,1,0)</f>
        <v>0</v>
      </c>
      <c r="F3422" s="1">
        <v>3.1665692577440092</v>
      </c>
      <c r="G3422" s="1">
        <v>2.4976604154216098E-2</v>
      </c>
    </row>
    <row r="3423" spans="1:7">
      <c r="A3423">
        <v>231</v>
      </c>
      <c r="B3423">
        <v>357</v>
      </c>
      <c r="C3423" s="1">
        <f>(Tabela1[[#This Row],[x]]-H$3)*(Tabela1[[#This Row],[x]]-H$3) +(Tabela1[[#This Row],[y]]-H$4)*(Tabela1[[#This Row],[y]]-H$4)</f>
        <v>25610</v>
      </c>
      <c r="D3423" s="1">
        <f>IF(Tabela1[[#This Row],[promien]]&lt;40000,1,0)</f>
        <v>1</v>
      </c>
      <c r="E3423" s="1">
        <f>IF(Tabela1[[#This Row],[promien]]=40000,1,0)</f>
        <v>0</v>
      </c>
      <c r="F3423" s="1">
        <v>3.1668127373648844</v>
      </c>
      <c r="G3423" s="1">
        <v>2.5220083775091329E-2</v>
      </c>
    </row>
    <row r="3424" spans="1:7">
      <c r="A3424">
        <v>59</v>
      </c>
      <c r="B3424">
        <v>162</v>
      </c>
      <c r="C3424" s="1">
        <f>(Tabela1[[#This Row],[x]]-H$3)*(Tabela1[[#This Row],[x]]-H$3) +(Tabela1[[#This Row],[y]]-H$4)*(Tabela1[[#This Row],[y]]-H$4)</f>
        <v>21325</v>
      </c>
      <c r="D3424" s="1">
        <f>IF(Tabela1[[#This Row],[promien]]&lt;40000,1,0)</f>
        <v>1</v>
      </c>
      <c r="E3424" s="1">
        <f>IF(Tabela1[[#This Row],[promien]]=40000,1,0)</f>
        <v>0</v>
      </c>
      <c r="F3424" s="1">
        <v>3.167056074766355</v>
      </c>
      <c r="G3424" s="1">
        <v>2.5463421176561862E-2</v>
      </c>
    </row>
    <row r="3425" spans="1:7">
      <c r="A3425">
        <v>195</v>
      </c>
      <c r="B3425">
        <v>264</v>
      </c>
      <c r="C3425" s="1">
        <f>(Tabela1[[#This Row],[x]]-H$3)*(Tabela1[[#This Row],[x]]-H$3) +(Tabela1[[#This Row],[y]]-H$4)*(Tabela1[[#This Row],[y]]-H$4)</f>
        <v>4121</v>
      </c>
      <c r="D3425" s="1">
        <f>IF(Tabela1[[#This Row],[promien]]&lt;40000,1,0)</f>
        <v>1</v>
      </c>
      <c r="E3425" s="1">
        <f>IF(Tabela1[[#This Row],[promien]]=40000,1,0)</f>
        <v>0</v>
      </c>
      <c r="F3425" s="1">
        <v>3.1672992700729927</v>
      </c>
      <c r="G3425" s="1">
        <v>2.5706616483199607E-2</v>
      </c>
    </row>
    <row r="3426" spans="1:7">
      <c r="A3426">
        <v>225</v>
      </c>
      <c r="B3426">
        <v>342</v>
      </c>
      <c r="C3426" s="1">
        <f>(Tabela1[[#This Row],[x]]-H$3)*(Tabela1[[#This Row],[x]]-H$3) +(Tabela1[[#This Row],[y]]-H$4)*(Tabela1[[#This Row],[y]]-H$4)</f>
        <v>20789</v>
      </c>
      <c r="D3426" s="1">
        <f>IF(Tabela1[[#This Row],[promien]]&lt;40000,1,0)</f>
        <v>1</v>
      </c>
      <c r="E3426" s="1">
        <f>IF(Tabela1[[#This Row],[promien]]=40000,1,0)</f>
        <v>0</v>
      </c>
      <c r="F3426" s="1">
        <v>3.1675423234092235</v>
      </c>
      <c r="G3426" s="1">
        <v>2.5949669819430365E-2</v>
      </c>
    </row>
    <row r="3427" spans="1:7">
      <c r="A3427">
        <v>252</v>
      </c>
      <c r="B3427">
        <v>93</v>
      </c>
      <c r="C3427" s="1">
        <f>(Tabela1[[#This Row],[x]]-H$3)*(Tabela1[[#This Row],[x]]-H$3) +(Tabela1[[#This Row],[y]]-H$4)*(Tabela1[[#This Row],[y]]-H$4)</f>
        <v>14153</v>
      </c>
      <c r="D3427" s="1">
        <f>IF(Tabela1[[#This Row],[promien]]&lt;40000,1,0)</f>
        <v>1</v>
      </c>
      <c r="E3427" s="1">
        <f>IF(Tabela1[[#This Row],[promien]]=40000,1,0)</f>
        <v>0</v>
      </c>
      <c r="F3427" s="1">
        <v>3.1677852348993287</v>
      </c>
      <c r="G3427" s="1">
        <v>2.6192581309535612E-2</v>
      </c>
    </row>
    <row r="3428" spans="1:7">
      <c r="A3428">
        <v>74</v>
      </c>
      <c r="B3428">
        <v>355</v>
      </c>
      <c r="C3428" s="1">
        <f>(Tabela1[[#This Row],[x]]-H$3)*(Tabela1[[#This Row],[x]]-H$3) +(Tabela1[[#This Row],[y]]-H$4)*(Tabela1[[#This Row],[y]]-H$4)</f>
        <v>39901</v>
      </c>
      <c r="D3428" s="1">
        <f>IF(Tabela1[[#This Row],[promien]]&lt;40000,1,0)</f>
        <v>1</v>
      </c>
      <c r="E3428" s="1">
        <f>IF(Tabela1[[#This Row],[promien]]=40000,1,0)</f>
        <v>0</v>
      </c>
      <c r="F3428" s="1">
        <v>3.1680280046674447</v>
      </c>
      <c r="G3428" s="1">
        <v>2.6435351077651603E-2</v>
      </c>
    </row>
    <row r="3429" spans="1:7">
      <c r="A3429">
        <v>294</v>
      </c>
      <c r="B3429">
        <v>208</v>
      </c>
      <c r="C3429" s="1">
        <f>(Tabela1[[#This Row],[x]]-H$3)*(Tabela1[[#This Row],[x]]-H$3) +(Tabela1[[#This Row],[y]]-H$4)*(Tabela1[[#This Row],[y]]-H$4)</f>
        <v>8900</v>
      </c>
      <c r="D3429" s="1">
        <f>IF(Tabela1[[#This Row],[promien]]&lt;40000,1,0)</f>
        <v>1</v>
      </c>
      <c r="E3429" s="1">
        <f>IF(Tabela1[[#This Row],[promien]]=40000,1,0)</f>
        <v>0</v>
      </c>
      <c r="F3429" s="1">
        <v>3.1682706328375621</v>
      </c>
      <c r="G3429" s="1">
        <v>2.6677979247768935E-2</v>
      </c>
    </row>
    <row r="3430" spans="1:7">
      <c r="A3430">
        <v>162</v>
      </c>
      <c r="B3430">
        <v>187</v>
      </c>
      <c r="C3430" s="1">
        <f>(Tabela1[[#This Row],[x]]-H$3)*(Tabela1[[#This Row],[x]]-H$3) +(Tabela1[[#This Row],[y]]-H$4)*(Tabela1[[#This Row],[y]]-H$4)</f>
        <v>1613</v>
      </c>
      <c r="D3430" s="1">
        <f>IF(Tabela1[[#This Row],[promien]]&lt;40000,1,0)</f>
        <v>1</v>
      </c>
      <c r="E3430" s="1">
        <f>IF(Tabela1[[#This Row],[promien]]=40000,1,0)</f>
        <v>0</v>
      </c>
      <c r="F3430" s="1">
        <v>3.1685131195335279</v>
      </c>
      <c r="G3430" s="1">
        <v>2.6920465943734762E-2</v>
      </c>
    </row>
    <row r="3431" spans="1:7">
      <c r="A3431">
        <v>51</v>
      </c>
      <c r="B3431">
        <v>46</v>
      </c>
      <c r="C3431" s="1">
        <f>(Tabela1[[#This Row],[x]]-H$3)*(Tabela1[[#This Row],[x]]-H$3) +(Tabela1[[#This Row],[y]]-H$4)*(Tabela1[[#This Row],[y]]-H$4)</f>
        <v>45917</v>
      </c>
      <c r="D3431" s="1">
        <f>IF(Tabela1[[#This Row],[promien]]&lt;40000,1,0)</f>
        <v>0</v>
      </c>
      <c r="E3431" s="1">
        <f>IF(Tabela1[[#This Row],[promien]]=40000,1,0)</f>
        <v>0</v>
      </c>
      <c r="F3431" s="1">
        <v>3.1675896240163217</v>
      </c>
      <c r="G3431" s="1">
        <v>2.5996970426528598E-2</v>
      </c>
    </row>
    <row r="3432" spans="1:7">
      <c r="A3432">
        <v>177</v>
      </c>
      <c r="B3432">
        <v>103</v>
      </c>
      <c r="C3432" s="1">
        <f>(Tabela1[[#This Row],[x]]-H$3)*(Tabela1[[#This Row],[x]]-H$3) +(Tabela1[[#This Row],[y]]-H$4)*(Tabela1[[#This Row],[y]]-H$4)</f>
        <v>9938</v>
      </c>
      <c r="D3432" s="1">
        <f>IF(Tabela1[[#This Row],[promien]]&lt;40000,1,0)</f>
        <v>1</v>
      </c>
      <c r="E3432" s="1">
        <f>IF(Tabela1[[#This Row],[promien]]=40000,1,0)</f>
        <v>0</v>
      </c>
      <c r="F3432" s="1">
        <v>3.1678321678321679</v>
      </c>
      <c r="G3432" s="1">
        <v>2.6239514242374806E-2</v>
      </c>
    </row>
    <row r="3433" spans="1:7">
      <c r="A3433">
        <v>31</v>
      </c>
      <c r="B3433">
        <v>309</v>
      </c>
      <c r="C3433" s="1">
        <f>(Tabela1[[#This Row],[x]]-H$3)*(Tabela1[[#This Row],[x]]-H$3) +(Tabela1[[#This Row],[y]]-H$4)*(Tabela1[[#This Row],[y]]-H$4)</f>
        <v>40442</v>
      </c>
      <c r="D3433" s="1">
        <f>IF(Tabela1[[#This Row],[promien]]&lt;40000,1,0)</f>
        <v>0</v>
      </c>
      <c r="E3433" s="1">
        <f>IF(Tabela1[[#This Row],[promien]]=40000,1,0)</f>
        <v>0</v>
      </c>
      <c r="F3433" s="1">
        <v>3.1669094086804543</v>
      </c>
      <c r="G3433" s="1">
        <v>2.5316755090661225E-2</v>
      </c>
    </row>
    <row r="3434" spans="1:7">
      <c r="A3434">
        <v>323</v>
      </c>
      <c r="B3434">
        <v>380</v>
      </c>
      <c r="C3434" s="1">
        <f>(Tabela1[[#This Row],[x]]-H$3)*(Tabela1[[#This Row],[x]]-H$3) +(Tabela1[[#This Row],[y]]-H$4)*(Tabela1[[#This Row],[y]]-H$4)</f>
        <v>47529</v>
      </c>
      <c r="D3434" s="1">
        <f>IF(Tabela1[[#This Row],[promien]]&lt;40000,1,0)</f>
        <v>0</v>
      </c>
      <c r="E3434" s="1">
        <f>IF(Tabela1[[#This Row],[promien]]=40000,1,0)</f>
        <v>0</v>
      </c>
      <c r="F3434" s="1">
        <v>3.1659871869539895</v>
      </c>
      <c r="G3434" s="1">
        <v>2.4394533364196391E-2</v>
      </c>
    </row>
    <row r="3435" spans="1:7">
      <c r="A3435">
        <v>138</v>
      </c>
      <c r="B3435">
        <v>347</v>
      </c>
      <c r="C3435" s="1">
        <f>(Tabela1[[#This Row],[x]]-H$3)*(Tabela1[[#This Row],[x]]-H$3) +(Tabela1[[#This Row],[y]]-H$4)*(Tabela1[[#This Row],[y]]-H$4)</f>
        <v>25453</v>
      </c>
      <c r="D3435" s="1">
        <f>IF(Tabela1[[#This Row],[promien]]&lt;40000,1,0)</f>
        <v>1</v>
      </c>
      <c r="E3435" s="1">
        <f>IF(Tabela1[[#This Row],[promien]]=40000,1,0)</f>
        <v>0</v>
      </c>
      <c r="F3435" s="1">
        <v>3.1662299854439593</v>
      </c>
      <c r="G3435" s="1">
        <v>2.4637331854166167E-2</v>
      </c>
    </row>
    <row r="3436" spans="1:7">
      <c r="A3436">
        <v>109</v>
      </c>
      <c r="B3436">
        <v>383</v>
      </c>
      <c r="C3436" s="1">
        <f>(Tabela1[[#This Row],[x]]-H$3)*(Tabela1[[#This Row],[x]]-H$3) +(Tabela1[[#This Row],[y]]-H$4)*(Tabela1[[#This Row],[y]]-H$4)</f>
        <v>41770</v>
      </c>
      <c r="D3436" s="1">
        <f>IF(Tabela1[[#This Row],[promien]]&lt;40000,1,0)</f>
        <v>0</v>
      </c>
      <c r="E3436" s="1">
        <f>IF(Tabela1[[#This Row],[promien]]=40000,1,0)</f>
        <v>0</v>
      </c>
      <c r="F3436" s="1">
        <v>3.1653084982537836</v>
      </c>
      <c r="G3436" s="1">
        <v>2.371584466399046E-2</v>
      </c>
    </row>
    <row r="3437" spans="1:7">
      <c r="A3437">
        <v>100</v>
      </c>
      <c r="B3437">
        <v>221</v>
      </c>
      <c r="C3437" s="1">
        <f>(Tabela1[[#This Row],[x]]-H$3)*(Tabela1[[#This Row],[x]]-H$3) +(Tabela1[[#This Row],[y]]-H$4)*(Tabela1[[#This Row],[y]]-H$4)</f>
        <v>10441</v>
      </c>
      <c r="D3437" s="1">
        <f>IF(Tabela1[[#This Row],[promien]]&lt;40000,1,0)</f>
        <v>1</v>
      </c>
      <c r="E3437" s="1">
        <f>IF(Tabela1[[#This Row],[promien]]=40000,1,0)</f>
        <v>0</v>
      </c>
      <c r="F3437" s="1">
        <v>3.1655513529240618</v>
      </c>
      <c r="G3437" s="1">
        <v>2.3958699334268641E-2</v>
      </c>
    </row>
    <row r="3438" spans="1:7">
      <c r="A3438">
        <v>357</v>
      </c>
      <c r="B3438">
        <v>135</v>
      </c>
      <c r="C3438" s="1">
        <f>(Tabela1[[#This Row],[x]]-H$3)*(Tabela1[[#This Row],[x]]-H$3) +(Tabela1[[#This Row],[y]]-H$4)*(Tabela1[[#This Row],[y]]-H$4)</f>
        <v>28874</v>
      </c>
      <c r="D3438" s="1">
        <f>IF(Tabela1[[#This Row],[promien]]&lt;40000,1,0)</f>
        <v>1</v>
      </c>
      <c r="E3438" s="1">
        <f>IF(Tabela1[[#This Row],[promien]]=40000,1,0)</f>
        <v>0</v>
      </c>
      <c r="F3438" s="1">
        <v>3.1657940663176265</v>
      </c>
      <c r="G3438" s="1">
        <v>2.4201412727833382E-2</v>
      </c>
    </row>
    <row r="3439" spans="1:7">
      <c r="A3439">
        <v>384</v>
      </c>
      <c r="B3439">
        <v>168</v>
      </c>
      <c r="C3439" s="1">
        <f>(Tabela1[[#This Row],[x]]-H$3)*(Tabela1[[#This Row],[x]]-H$3) +(Tabela1[[#This Row],[y]]-H$4)*(Tabela1[[#This Row],[y]]-H$4)</f>
        <v>34880</v>
      </c>
      <c r="D3439" s="1">
        <f>IF(Tabela1[[#This Row],[promien]]&lt;40000,1,0)</f>
        <v>1</v>
      </c>
      <c r="E3439" s="1">
        <f>IF(Tabela1[[#This Row],[promien]]=40000,1,0)</f>
        <v>0</v>
      </c>
      <c r="F3439" s="1">
        <v>3.1660366385577201</v>
      </c>
      <c r="G3439" s="1">
        <v>2.444398496792699E-2</v>
      </c>
    </row>
    <row r="3440" spans="1:7">
      <c r="A3440">
        <v>242</v>
      </c>
      <c r="B3440">
        <v>21</v>
      </c>
      <c r="C3440" s="1">
        <f>(Tabela1[[#This Row],[x]]-H$3)*(Tabela1[[#This Row],[x]]-H$3) +(Tabela1[[#This Row],[y]]-H$4)*(Tabela1[[#This Row],[y]]-H$4)</f>
        <v>33805</v>
      </c>
      <c r="D3440" s="1">
        <f>IF(Tabela1[[#This Row],[promien]]&lt;40000,1,0)</f>
        <v>1</v>
      </c>
      <c r="E3440" s="1">
        <f>IF(Tabela1[[#This Row],[promien]]=40000,1,0)</f>
        <v>0</v>
      </c>
      <c r="F3440" s="1">
        <v>3.1662790697674419</v>
      </c>
      <c r="G3440" s="1">
        <v>2.4686416177648773E-2</v>
      </c>
    </row>
    <row r="3441" spans="1:7">
      <c r="A3441">
        <v>196</v>
      </c>
      <c r="B3441">
        <v>273</v>
      </c>
      <c r="C3441" s="1">
        <f>(Tabela1[[#This Row],[x]]-H$3)*(Tabela1[[#This Row],[x]]-H$3) +(Tabela1[[#This Row],[y]]-H$4)*(Tabela1[[#This Row],[y]]-H$4)</f>
        <v>5345</v>
      </c>
      <c r="D3441" s="1">
        <f>IF(Tabela1[[#This Row],[promien]]&lt;40000,1,0)</f>
        <v>1</v>
      </c>
      <c r="E3441" s="1">
        <f>IF(Tabela1[[#This Row],[promien]]=40000,1,0)</f>
        <v>0</v>
      </c>
      <c r="F3441" s="1">
        <v>3.1665213600697473</v>
      </c>
      <c r="G3441" s="1">
        <v>2.4928706479954155E-2</v>
      </c>
    </row>
    <row r="3442" spans="1:7">
      <c r="A3442">
        <v>247</v>
      </c>
      <c r="B3442">
        <v>263</v>
      </c>
      <c r="C3442" s="1">
        <f>(Tabela1[[#This Row],[x]]-H$3)*(Tabela1[[#This Row],[x]]-H$3) +(Tabela1[[#This Row],[y]]-H$4)*(Tabela1[[#This Row],[y]]-H$4)</f>
        <v>6178</v>
      </c>
      <c r="D3442" s="1">
        <f>IF(Tabela1[[#This Row],[promien]]&lt;40000,1,0)</f>
        <v>1</v>
      </c>
      <c r="E3442" s="1">
        <f>IF(Tabela1[[#This Row],[promien]]=40000,1,0)</f>
        <v>0</v>
      </c>
      <c r="F3442" s="1">
        <v>3.1667635095874491</v>
      </c>
      <c r="G3442" s="1">
        <v>2.5170855997656005E-2</v>
      </c>
    </row>
    <row r="3443" spans="1:7">
      <c r="A3443">
        <v>311</v>
      </c>
      <c r="B3443">
        <v>204</v>
      </c>
      <c r="C3443" s="1">
        <f>(Tabela1[[#This Row],[x]]-H$3)*(Tabela1[[#This Row],[x]]-H$3) +(Tabela1[[#This Row],[y]]-H$4)*(Tabela1[[#This Row],[y]]-H$4)</f>
        <v>12337</v>
      </c>
      <c r="D3443" s="1">
        <f>IF(Tabela1[[#This Row],[promien]]&lt;40000,1,0)</f>
        <v>1</v>
      </c>
      <c r="E3443" s="1">
        <f>IF(Tabela1[[#This Row],[promien]]=40000,1,0)</f>
        <v>0</v>
      </c>
      <c r="F3443" s="1">
        <v>3.1670055184432182</v>
      </c>
      <c r="G3443" s="1">
        <v>2.5412864853425088E-2</v>
      </c>
    </row>
    <row r="3444" spans="1:7">
      <c r="A3444">
        <v>41</v>
      </c>
      <c r="B3444">
        <v>217</v>
      </c>
      <c r="C3444" s="1">
        <f>(Tabela1[[#This Row],[x]]-H$3)*(Tabela1[[#This Row],[x]]-H$3) +(Tabela1[[#This Row],[y]]-H$4)*(Tabela1[[#This Row],[y]]-H$4)</f>
        <v>25570</v>
      </c>
      <c r="D3444" s="1">
        <f>IF(Tabela1[[#This Row],[promien]]&lt;40000,1,0)</f>
        <v>1</v>
      </c>
      <c r="E3444" s="1">
        <f>IF(Tabela1[[#This Row],[promien]]=40000,1,0)</f>
        <v>0</v>
      </c>
      <c r="F3444" s="1">
        <v>3.1672473867595818</v>
      </c>
      <c r="G3444" s="1">
        <v>2.5654733169788724E-2</v>
      </c>
    </row>
    <row r="3445" spans="1:7">
      <c r="A3445">
        <v>295</v>
      </c>
      <c r="B3445">
        <v>296</v>
      </c>
      <c r="C3445" s="1">
        <f>(Tabela1[[#This Row],[x]]-H$3)*(Tabela1[[#This Row],[x]]-H$3) +(Tabela1[[#This Row],[y]]-H$4)*(Tabela1[[#This Row],[y]]-H$4)</f>
        <v>18241</v>
      </c>
      <c r="D3445" s="1">
        <f>IF(Tabela1[[#This Row],[promien]]&lt;40000,1,0)</f>
        <v>1</v>
      </c>
      <c r="E3445" s="1">
        <f>IF(Tabela1[[#This Row],[promien]]=40000,1,0)</f>
        <v>0</v>
      </c>
      <c r="F3445" s="1">
        <v>3.1674891146589261</v>
      </c>
      <c r="G3445" s="1">
        <v>2.5896461069133014E-2</v>
      </c>
    </row>
    <row r="3446" spans="1:7">
      <c r="A3446">
        <v>242</v>
      </c>
      <c r="B3446">
        <v>233</v>
      </c>
      <c r="C3446" s="1">
        <f>(Tabela1[[#This Row],[x]]-H$3)*(Tabela1[[#This Row],[x]]-H$3) +(Tabela1[[#This Row],[y]]-H$4)*(Tabela1[[#This Row],[y]]-H$4)</f>
        <v>2853</v>
      </c>
      <c r="D3446" s="1">
        <f>IF(Tabela1[[#This Row],[promien]]&lt;40000,1,0)</f>
        <v>1</v>
      </c>
      <c r="E3446" s="1">
        <f>IF(Tabela1[[#This Row],[promien]]=40000,1,0)</f>
        <v>0</v>
      </c>
      <c r="F3446" s="1">
        <v>3.1677307022634937</v>
      </c>
      <c r="G3446" s="1">
        <v>2.613804867370062E-2</v>
      </c>
    </row>
    <row r="3447" spans="1:7">
      <c r="A3447">
        <v>342</v>
      </c>
      <c r="B3447">
        <v>287</v>
      </c>
      <c r="C3447" s="1">
        <f>(Tabela1[[#This Row],[x]]-H$3)*(Tabela1[[#This Row],[x]]-H$3) +(Tabela1[[#This Row],[y]]-H$4)*(Tabela1[[#This Row],[y]]-H$4)</f>
        <v>27733</v>
      </c>
      <c r="D3447" s="1">
        <f>IF(Tabela1[[#This Row],[promien]]&lt;40000,1,0)</f>
        <v>1</v>
      </c>
      <c r="E3447" s="1">
        <f>IF(Tabela1[[#This Row],[promien]]=40000,1,0)</f>
        <v>0</v>
      </c>
      <c r="F3447" s="1">
        <v>3.1679721496953874</v>
      </c>
      <c r="G3447" s="1">
        <v>2.6379496105594313E-2</v>
      </c>
    </row>
    <row r="3448" spans="1:7">
      <c r="A3448">
        <v>33</v>
      </c>
      <c r="B3448">
        <v>271</v>
      </c>
      <c r="C3448" s="1">
        <f>(Tabela1[[#This Row],[x]]-H$3)*(Tabela1[[#This Row],[x]]-H$3) +(Tabela1[[#This Row],[y]]-H$4)*(Tabela1[[#This Row],[y]]-H$4)</f>
        <v>32930</v>
      </c>
      <c r="D3448" s="1">
        <f>IF(Tabela1[[#This Row],[promien]]&lt;40000,1,0)</f>
        <v>1</v>
      </c>
      <c r="E3448" s="1">
        <f>IF(Tabela1[[#This Row],[promien]]=40000,1,0)</f>
        <v>0</v>
      </c>
      <c r="F3448" s="1">
        <v>3.1682134570765661</v>
      </c>
      <c r="G3448" s="1">
        <v>2.6620803486772981E-2</v>
      </c>
    </row>
    <row r="3449" spans="1:7">
      <c r="A3449">
        <v>255</v>
      </c>
      <c r="B3449">
        <v>210</v>
      </c>
      <c r="C3449" s="1">
        <f>(Tabela1[[#This Row],[x]]-H$3)*(Tabela1[[#This Row],[x]]-H$3) +(Tabela1[[#This Row],[y]]-H$4)*(Tabela1[[#This Row],[y]]-H$4)</f>
        <v>3125</v>
      </c>
      <c r="D3449" s="1">
        <f>IF(Tabela1[[#This Row],[promien]]&lt;40000,1,0)</f>
        <v>1</v>
      </c>
      <c r="E3449" s="1">
        <f>IF(Tabela1[[#This Row],[promien]]=40000,1,0)</f>
        <v>0</v>
      </c>
      <c r="F3449" s="1">
        <v>3.1684546245288487</v>
      </c>
      <c r="G3449" s="1">
        <v>2.6861970939055624E-2</v>
      </c>
    </row>
    <row r="3450" spans="1:7">
      <c r="A3450">
        <v>89</v>
      </c>
      <c r="B3450">
        <v>114</v>
      </c>
      <c r="C3450" s="1">
        <f>(Tabela1[[#This Row],[x]]-H$3)*(Tabela1[[#This Row],[x]]-H$3) +(Tabela1[[#This Row],[y]]-H$4)*(Tabela1[[#This Row],[y]]-H$4)</f>
        <v>19717</v>
      </c>
      <c r="D3450" s="1">
        <f>IF(Tabela1[[#This Row],[promien]]&lt;40000,1,0)</f>
        <v>1</v>
      </c>
      <c r="E3450" s="1">
        <f>IF(Tabela1[[#This Row],[promien]]=40000,1,0)</f>
        <v>0</v>
      </c>
      <c r="F3450" s="1">
        <v>3.1686956521739131</v>
      </c>
      <c r="G3450" s="1">
        <v>2.7102998584120019E-2</v>
      </c>
    </row>
    <row r="3451" spans="1:7">
      <c r="A3451">
        <v>277</v>
      </c>
      <c r="B3451">
        <v>18</v>
      </c>
      <c r="C3451" s="1">
        <f>(Tabela1[[#This Row],[x]]-H$3)*(Tabela1[[#This Row],[x]]-H$3) +(Tabela1[[#This Row],[y]]-H$4)*(Tabela1[[#This Row],[y]]-H$4)</f>
        <v>39053</v>
      </c>
      <c r="D3451" s="1">
        <f>IF(Tabela1[[#This Row],[promien]]&lt;40000,1,0)</f>
        <v>1</v>
      </c>
      <c r="E3451" s="1">
        <f>IF(Tabela1[[#This Row],[promien]]=40000,1,0)</f>
        <v>0</v>
      </c>
      <c r="F3451" s="1">
        <v>3.1689365401332945</v>
      </c>
      <c r="G3451" s="1">
        <v>2.7343886543501394E-2</v>
      </c>
    </row>
    <row r="3452" spans="1:7">
      <c r="A3452">
        <v>304</v>
      </c>
      <c r="B3452">
        <v>392</v>
      </c>
      <c r="C3452" s="1">
        <f>(Tabela1[[#This Row],[x]]-H$3)*(Tabela1[[#This Row],[x]]-H$3) +(Tabela1[[#This Row],[y]]-H$4)*(Tabela1[[#This Row],[y]]-H$4)</f>
        <v>47680</v>
      </c>
      <c r="D3452" s="1">
        <f>IF(Tabela1[[#This Row],[promien]]&lt;40000,1,0)</f>
        <v>0</v>
      </c>
      <c r="E3452" s="1">
        <f>IF(Tabela1[[#This Row],[promien]]=40000,1,0)</f>
        <v>0</v>
      </c>
      <c r="F3452" s="1">
        <v>3.168018539976825</v>
      </c>
      <c r="G3452" s="1">
        <v>2.6425886387031916E-2</v>
      </c>
    </row>
    <row r="3453" spans="1:7">
      <c r="A3453">
        <v>329</v>
      </c>
      <c r="B3453">
        <v>201</v>
      </c>
      <c r="C3453" s="1">
        <f>(Tabela1[[#This Row],[x]]-H$3)*(Tabela1[[#This Row],[x]]-H$3) +(Tabela1[[#This Row],[y]]-H$4)*(Tabela1[[#This Row],[y]]-H$4)</f>
        <v>16642</v>
      </c>
      <c r="D3453" s="1">
        <f>IF(Tabela1[[#This Row],[promien]]&lt;40000,1,0)</f>
        <v>1</v>
      </c>
      <c r="E3453" s="1">
        <f>IF(Tabela1[[#This Row],[promien]]=40000,1,0)</f>
        <v>0</v>
      </c>
      <c r="F3453" s="1">
        <v>3.1682594845062266</v>
      </c>
      <c r="G3453" s="1">
        <v>2.6666830916433515E-2</v>
      </c>
    </row>
    <row r="3454" spans="1:7">
      <c r="A3454">
        <v>52</v>
      </c>
      <c r="B3454">
        <v>47</v>
      </c>
      <c r="C3454" s="1">
        <f>(Tabela1[[#This Row],[x]]-H$3)*(Tabela1[[#This Row],[x]]-H$3) +(Tabela1[[#This Row],[y]]-H$4)*(Tabela1[[#This Row],[y]]-H$4)</f>
        <v>45313</v>
      </c>
      <c r="D3454" s="1">
        <f>IF(Tabela1[[#This Row],[promien]]&lt;40000,1,0)</f>
        <v>0</v>
      </c>
      <c r="E3454" s="1">
        <f>IF(Tabela1[[#This Row],[promien]]=40000,1,0)</f>
        <v>0</v>
      </c>
      <c r="F3454" s="1">
        <v>3.1673422119281991</v>
      </c>
      <c r="G3454" s="1">
        <v>2.5749558338405976E-2</v>
      </c>
    </row>
    <row r="3455" spans="1:7">
      <c r="A3455">
        <v>154</v>
      </c>
      <c r="B3455">
        <v>15</v>
      </c>
      <c r="C3455" s="1">
        <f>(Tabela1[[#This Row],[x]]-H$3)*(Tabela1[[#This Row],[x]]-H$3) +(Tabela1[[#This Row],[y]]-H$4)*(Tabela1[[#This Row],[y]]-H$4)</f>
        <v>36341</v>
      </c>
      <c r="D3455" s="1">
        <f>IF(Tabela1[[#This Row],[promien]]&lt;40000,1,0)</f>
        <v>1</v>
      </c>
      <c r="E3455" s="1">
        <f>IF(Tabela1[[#This Row],[promien]]=40000,1,0)</f>
        <v>0</v>
      </c>
      <c r="F3455" s="1">
        <v>3.1675832127351664</v>
      </c>
      <c r="G3455" s="1">
        <v>2.5990559145373293E-2</v>
      </c>
    </row>
    <row r="3456" spans="1:7">
      <c r="A3456">
        <v>376</v>
      </c>
      <c r="B3456">
        <v>277</v>
      </c>
      <c r="C3456" s="1">
        <f>(Tabela1[[#This Row],[x]]-H$3)*(Tabela1[[#This Row],[x]]-H$3) +(Tabela1[[#This Row],[y]]-H$4)*(Tabela1[[#This Row],[y]]-H$4)</f>
        <v>36905</v>
      </c>
      <c r="D3456" s="1">
        <f>IF(Tabela1[[#This Row],[promien]]&lt;40000,1,0)</f>
        <v>1</v>
      </c>
      <c r="E3456" s="1">
        <f>IF(Tabela1[[#This Row],[promien]]=40000,1,0)</f>
        <v>0</v>
      </c>
      <c r="F3456" s="1">
        <v>3.167824074074074</v>
      </c>
      <c r="G3456" s="1">
        <v>2.6231420484280843E-2</v>
      </c>
    </row>
    <row r="3457" spans="1:7">
      <c r="A3457">
        <v>134</v>
      </c>
      <c r="B3457">
        <v>380</v>
      </c>
      <c r="C3457" s="1">
        <f>(Tabela1[[#This Row],[x]]-H$3)*(Tabela1[[#This Row],[x]]-H$3) +(Tabela1[[#This Row],[y]]-H$4)*(Tabela1[[#This Row],[y]]-H$4)</f>
        <v>36756</v>
      </c>
      <c r="D3457" s="1">
        <f>IF(Tabela1[[#This Row],[promien]]&lt;40000,1,0)</f>
        <v>1</v>
      </c>
      <c r="E3457" s="1">
        <f>IF(Tabela1[[#This Row],[promien]]=40000,1,0)</f>
        <v>0</v>
      </c>
      <c r="F3457" s="1">
        <v>3.1680647960659529</v>
      </c>
      <c r="G3457" s="1">
        <v>2.647214247615981E-2</v>
      </c>
    </row>
    <row r="3458" spans="1:7">
      <c r="A3458">
        <v>168</v>
      </c>
      <c r="B3458">
        <v>293</v>
      </c>
      <c r="C3458" s="1">
        <f>(Tabela1[[#This Row],[x]]-H$3)*(Tabela1[[#This Row],[x]]-H$3) +(Tabela1[[#This Row],[y]]-H$4)*(Tabela1[[#This Row],[y]]-H$4)</f>
        <v>9673</v>
      </c>
      <c r="D3458" s="1">
        <f>IF(Tabela1[[#This Row],[promien]]&lt;40000,1,0)</f>
        <v>1</v>
      </c>
      <c r="E3458" s="1">
        <f>IF(Tabela1[[#This Row],[promien]]=40000,1,0)</f>
        <v>0</v>
      </c>
      <c r="F3458" s="1">
        <v>3.1683053788316946</v>
      </c>
      <c r="G3458" s="1">
        <v>2.6712725241901492E-2</v>
      </c>
    </row>
    <row r="3459" spans="1:7">
      <c r="A3459">
        <v>40</v>
      </c>
      <c r="B3459">
        <v>249</v>
      </c>
      <c r="C3459" s="1">
        <f>(Tabela1[[#This Row],[x]]-H$3)*(Tabela1[[#This Row],[x]]-H$3) +(Tabela1[[#This Row],[y]]-H$4)*(Tabela1[[#This Row],[y]]-H$4)</f>
        <v>28001</v>
      </c>
      <c r="D3459" s="1">
        <f>IF(Tabela1[[#This Row],[promien]]&lt;40000,1,0)</f>
        <v>1</v>
      </c>
      <c r="E3459" s="1">
        <f>IF(Tabela1[[#This Row],[promien]]=40000,1,0)</f>
        <v>0</v>
      </c>
      <c r="F3459" s="1">
        <v>3.1685458224920495</v>
      </c>
      <c r="G3459" s="1">
        <v>2.6953168902256408E-2</v>
      </c>
    </row>
    <row r="3460" spans="1:7">
      <c r="A3460">
        <v>13</v>
      </c>
      <c r="B3460">
        <v>197</v>
      </c>
      <c r="C3460" s="1">
        <f>(Tabela1[[#This Row],[x]]-H$3)*(Tabela1[[#This Row],[x]]-H$3) +(Tabela1[[#This Row],[y]]-H$4)*(Tabela1[[#This Row],[y]]-H$4)</f>
        <v>34978</v>
      </c>
      <c r="D3460" s="1">
        <f>IF(Tabela1[[#This Row],[promien]]&lt;40000,1,0)</f>
        <v>1</v>
      </c>
      <c r="E3460" s="1">
        <f>IF(Tabela1[[#This Row],[promien]]=40000,1,0)</f>
        <v>0</v>
      </c>
      <c r="F3460" s="1">
        <v>3.1687861271676301</v>
      </c>
      <c r="G3460" s="1">
        <v>2.7193473577836969E-2</v>
      </c>
    </row>
    <row r="3461" spans="1:7">
      <c r="A3461">
        <v>31</v>
      </c>
      <c r="B3461">
        <v>245</v>
      </c>
      <c r="C3461" s="1">
        <f>(Tabela1[[#This Row],[x]]-H$3)*(Tabela1[[#This Row],[x]]-H$3) +(Tabela1[[#This Row],[y]]-H$4)*(Tabela1[[#This Row],[y]]-H$4)</f>
        <v>30586</v>
      </c>
      <c r="D3461" s="1">
        <f>IF(Tabela1[[#This Row],[promien]]&lt;40000,1,0)</f>
        <v>1</v>
      </c>
      <c r="E3461" s="1">
        <f>IF(Tabela1[[#This Row],[promien]]=40000,1,0)</f>
        <v>0</v>
      </c>
      <c r="F3461" s="1">
        <v>3.1690262929789079</v>
      </c>
      <c r="G3461" s="1">
        <v>2.7433639389114806E-2</v>
      </c>
    </row>
    <row r="3462" spans="1:7">
      <c r="A3462">
        <v>164</v>
      </c>
      <c r="B3462">
        <v>72</v>
      </c>
      <c r="C3462" s="1">
        <f>(Tabela1[[#This Row],[x]]-H$3)*(Tabela1[[#This Row],[x]]-H$3) +(Tabela1[[#This Row],[y]]-H$4)*(Tabela1[[#This Row],[y]]-H$4)</f>
        <v>17680</v>
      </c>
      <c r="D3462" s="1">
        <f>IF(Tabela1[[#This Row],[promien]]&lt;40000,1,0)</f>
        <v>1</v>
      </c>
      <c r="E3462" s="1">
        <f>IF(Tabela1[[#This Row],[promien]]=40000,1,0)</f>
        <v>0</v>
      </c>
      <c r="F3462" s="1">
        <v>3.1692663200462161</v>
      </c>
      <c r="G3462" s="1">
        <v>2.7673666456422996E-2</v>
      </c>
    </row>
    <row r="3463" spans="1:7">
      <c r="A3463">
        <v>371</v>
      </c>
      <c r="B3463">
        <v>311</v>
      </c>
      <c r="C3463" s="1">
        <f>(Tabela1[[#This Row],[x]]-H$3)*(Tabela1[[#This Row],[x]]-H$3) +(Tabela1[[#This Row],[y]]-H$4)*(Tabela1[[#This Row],[y]]-H$4)</f>
        <v>41562</v>
      </c>
      <c r="D3463" s="1">
        <f>IF(Tabela1[[#This Row],[promien]]&lt;40000,1,0)</f>
        <v>0</v>
      </c>
      <c r="E3463" s="1">
        <f>IF(Tabela1[[#This Row],[promien]]=40000,1,0)</f>
        <v>0</v>
      </c>
      <c r="F3463" s="1">
        <v>3.168351140629512</v>
      </c>
      <c r="G3463" s="1">
        <v>2.6758487039718837E-2</v>
      </c>
    </row>
    <row r="3464" spans="1:7">
      <c r="A3464">
        <v>187</v>
      </c>
      <c r="B3464">
        <v>312</v>
      </c>
      <c r="C3464" s="1">
        <f>(Tabela1[[#This Row],[x]]-H$3)*(Tabela1[[#This Row],[x]]-H$3) +(Tabela1[[#This Row],[y]]-H$4)*(Tabela1[[#This Row],[y]]-H$4)</f>
        <v>12713</v>
      </c>
      <c r="D3464" s="1">
        <f>IF(Tabela1[[#This Row],[promien]]&lt;40000,1,0)</f>
        <v>1</v>
      </c>
      <c r="E3464" s="1">
        <f>IF(Tabela1[[#This Row],[promien]]=40000,1,0)</f>
        <v>0</v>
      </c>
      <c r="F3464" s="1">
        <v>3.1685912240184759</v>
      </c>
      <c r="G3464" s="1">
        <v>2.6998570428682811E-2</v>
      </c>
    </row>
    <row r="3465" spans="1:7">
      <c r="A3465">
        <v>134</v>
      </c>
      <c r="B3465">
        <v>379</v>
      </c>
      <c r="C3465" s="1">
        <f>(Tabela1[[#This Row],[x]]-H$3)*(Tabela1[[#This Row],[x]]-H$3) +(Tabela1[[#This Row],[y]]-H$4)*(Tabela1[[#This Row],[y]]-H$4)</f>
        <v>36397</v>
      </c>
      <c r="D3465" s="1">
        <f>IF(Tabela1[[#This Row],[promien]]&lt;40000,1,0)</f>
        <v>1</v>
      </c>
      <c r="E3465" s="1">
        <f>IF(Tabela1[[#This Row],[promien]]=40000,1,0)</f>
        <v>0</v>
      </c>
      <c r="F3465" s="1">
        <v>3.168831168831169</v>
      </c>
      <c r="G3465" s="1">
        <v>2.7238515241375882E-2</v>
      </c>
    </row>
    <row r="3466" spans="1:7">
      <c r="A3466">
        <v>245</v>
      </c>
      <c r="B3466">
        <v>71</v>
      </c>
      <c r="C3466" s="1">
        <f>(Tabela1[[#This Row],[x]]-H$3)*(Tabela1[[#This Row],[x]]-H$3) +(Tabela1[[#This Row],[y]]-H$4)*(Tabela1[[#This Row],[y]]-H$4)</f>
        <v>18666</v>
      </c>
      <c r="D3466" s="1">
        <f>IF(Tabela1[[#This Row],[promien]]&lt;40000,1,0)</f>
        <v>1</v>
      </c>
      <c r="E3466" s="1">
        <f>IF(Tabela1[[#This Row],[promien]]=40000,1,0)</f>
        <v>0</v>
      </c>
      <c r="F3466" s="1">
        <v>3.1690709751875361</v>
      </c>
      <c r="G3466" s="1">
        <v>2.7478321597742994E-2</v>
      </c>
    </row>
    <row r="3467" spans="1:7">
      <c r="A3467">
        <v>75</v>
      </c>
      <c r="B3467">
        <v>37</v>
      </c>
      <c r="C3467" s="1">
        <f>(Tabela1[[#This Row],[x]]-H$3)*(Tabela1[[#This Row],[x]]-H$3) +(Tabela1[[#This Row],[y]]-H$4)*(Tabela1[[#This Row],[y]]-H$4)</f>
        <v>42194</v>
      </c>
      <c r="D3467" s="1">
        <f>IF(Tabela1[[#This Row],[promien]]&lt;40000,1,0)</f>
        <v>0</v>
      </c>
      <c r="E3467" s="1">
        <f>IF(Tabela1[[#This Row],[promien]]=40000,1,0)</f>
        <v>0</v>
      </c>
      <c r="F3467" s="1">
        <v>3.1681569079896166</v>
      </c>
      <c r="G3467" s="1">
        <v>2.6564254399823461E-2</v>
      </c>
    </row>
    <row r="3468" spans="1:7">
      <c r="A3468">
        <v>371</v>
      </c>
      <c r="B3468">
        <v>170</v>
      </c>
      <c r="C3468" s="1">
        <f>(Tabela1[[#This Row],[x]]-H$3)*(Tabela1[[#This Row],[x]]-H$3) +(Tabela1[[#This Row],[y]]-H$4)*(Tabela1[[#This Row],[y]]-H$4)</f>
        <v>30141</v>
      </c>
      <c r="D3468" s="1">
        <f>IF(Tabela1[[#This Row],[promien]]&lt;40000,1,0)</f>
        <v>1</v>
      </c>
      <c r="E3468" s="1">
        <f>IF(Tabela1[[#This Row],[promien]]=40000,1,0)</f>
        <v>0</v>
      </c>
      <c r="F3468" s="1">
        <v>3.1683967704728953</v>
      </c>
      <c r="G3468" s="1">
        <v>2.6804116883102136E-2</v>
      </c>
    </row>
    <row r="3469" spans="1:7">
      <c r="A3469">
        <v>182</v>
      </c>
      <c r="B3469">
        <v>33</v>
      </c>
      <c r="C3469" s="1">
        <f>(Tabela1[[#This Row],[x]]-H$3)*(Tabela1[[#This Row],[x]]-H$3) +(Tabela1[[#This Row],[y]]-H$4)*(Tabela1[[#This Row],[y]]-H$4)</f>
        <v>28213</v>
      </c>
      <c r="D3469" s="1">
        <f>IF(Tabela1[[#This Row],[promien]]&lt;40000,1,0)</f>
        <v>1</v>
      </c>
      <c r="E3469" s="1">
        <f>IF(Tabela1[[#This Row],[promien]]=40000,1,0)</f>
        <v>0</v>
      </c>
      <c r="F3469" s="1">
        <v>3.1686364946670511</v>
      </c>
      <c r="G3469" s="1">
        <v>2.7043841077257991E-2</v>
      </c>
    </row>
    <row r="3470" spans="1:7">
      <c r="A3470">
        <v>292</v>
      </c>
      <c r="B3470">
        <v>321</v>
      </c>
      <c r="C3470" s="1">
        <f>(Tabela1[[#This Row],[x]]-H$3)*(Tabela1[[#This Row],[x]]-H$3) +(Tabela1[[#This Row],[y]]-H$4)*(Tabela1[[#This Row],[y]]-H$4)</f>
        <v>23105</v>
      </c>
      <c r="D3470" s="1">
        <f>IF(Tabela1[[#This Row],[promien]]&lt;40000,1,0)</f>
        <v>1</v>
      </c>
      <c r="E3470" s="1">
        <f>IF(Tabela1[[#This Row],[promien]]=40000,1,0)</f>
        <v>0</v>
      </c>
      <c r="F3470" s="1">
        <v>3.1688760806916427</v>
      </c>
      <c r="G3470" s="1">
        <v>2.7283427101849611E-2</v>
      </c>
    </row>
    <row r="3471" spans="1:7">
      <c r="A3471">
        <v>294</v>
      </c>
      <c r="B3471">
        <v>33</v>
      </c>
      <c r="C3471" s="1">
        <f>(Tabela1[[#This Row],[x]]-H$3)*(Tabela1[[#This Row],[x]]-H$3) +(Tabela1[[#This Row],[y]]-H$4)*(Tabela1[[#This Row],[y]]-H$4)</f>
        <v>36725</v>
      </c>
      <c r="D3471" s="1">
        <f>IF(Tabela1[[#This Row],[promien]]&lt;40000,1,0)</f>
        <v>1</v>
      </c>
      <c r="E3471" s="1">
        <f>IF(Tabela1[[#This Row],[promien]]=40000,1,0)</f>
        <v>0</v>
      </c>
      <c r="F3471" s="1">
        <v>3.1691155286660906</v>
      </c>
      <c r="G3471" s="1">
        <v>2.7522875076297471E-2</v>
      </c>
    </row>
    <row r="3472" spans="1:7">
      <c r="A3472">
        <v>231</v>
      </c>
      <c r="B3472">
        <v>79</v>
      </c>
      <c r="C3472" s="1">
        <f>(Tabela1[[#This Row],[x]]-H$3)*(Tabela1[[#This Row],[x]]-H$3) +(Tabela1[[#This Row],[y]]-H$4)*(Tabela1[[#This Row],[y]]-H$4)</f>
        <v>15602</v>
      </c>
      <c r="D3472" s="1">
        <f>IF(Tabela1[[#This Row],[promien]]&lt;40000,1,0)</f>
        <v>1</v>
      </c>
      <c r="E3472" s="1">
        <f>IF(Tabela1[[#This Row],[promien]]=40000,1,0)</f>
        <v>0</v>
      </c>
      <c r="F3472" s="1">
        <v>3.1693548387096775</v>
      </c>
      <c r="G3472" s="1">
        <v>2.7762185119884375E-2</v>
      </c>
    </row>
    <row r="3473" spans="1:7">
      <c r="A3473">
        <v>177</v>
      </c>
      <c r="B3473">
        <v>256</v>
      </c>
      <c r="C3473" s="1">
        <f>(Tabela1[[#This Row],[x]]-H$3)*(Tabela1[[#This Row],[x]]-H$3) +(Tabela1[[#This Row],[y]]-H$4)*(Tabela1[[#This Row],[y]]-H$4)</f>
        <v>3665</v>
      </c>
      <c r="D3473" s="1">
        <f>IF(Tabela1[[#This Row],[promien]]&lt;40000,1,0)</f>
        <v>1</v>
      </c>
      <c r="E3473" s="1">
        <f>IF(Tabela1[[#This Row],[promien]]=40000,1,0)</f>
        <v>0</v>
      </c>
      <c r="F3473" s="1">
        <v>3.169594010941549</v>
      </c>
      <c r="G3473" s="1">
        <v>2.8001357351755907E-2</v>
      </c>
    </row>
    <row r="3474" spans="1:7">
      <c r="A3474">
        <v>184</v>
      </c>
      <c r="B3474">
        <v>48</v>
      </c>
      <c r="C3474" s="1">
        <f>(Tabela1[[#This Row],[x]]-H$3)*(Tabela1[[#This Row],[x]]-H$3) +(Tabela1[[#This Row],[y]]-H$4)*(Tabela1[[#This Row],[y]]-H$4)</f>
        <v>23360</v>
      </c>
      <c r="D3474" s="1">
        <f>IF(Tabela1[[#This Row],[promien]]&lt;40000,1,0)</f>
        <v>1</v>
      </c>
      <c r="E3474" s="1">
        <f>IF(Tabela1[[#This Row],[promien]]=40000,1,0)</f>
        <v>0</v>
      </c>
      <c r="F3474" s="1">
        <v>3.169833045480714</v>
      </c>
      <c r="G3474" s="1">
        <v>2.8240391890920868E-2</v>
      </c>
    </row>
    <row r="3475" spans="1:7">
      <c r="A3475">
        <v>283</v>
      </c>
      <c r="B3475">
        <v>196</v>
      </c>
      <c r="C3475" s="1">
        <f>(Tabela1[[#This Row],[x]]-H$3)*(Tabela1[[#This Row],[x]]-H$3) +(Tabela1[[#This Row],[y]]-H$4)*(Tabela1[[#This Row],[y]]-H$4)</f>
        <v>6905</v>
      </c>
      <c r="D3475" s="1">
        <f>IF(Tabela1[[#This Row],[promien]]&lt;40000,1,0)</f>
        <v>1</v>
      </c>
      <c r="E3475" s="1">
        <f>IF(Tabela1[[#This Row],[promien]]=40000,1,0)</f>
        <v>0</v>
      </c>
      <c r="F3475" s="1">
        <v>3.1700719424460431</v>
      </c>
      <c r="G3475" s="1">
        <v>2.8479288856249951E-2</v>
      </c>
    </row>
    <row r="3476" spans="1:7">
      <c r="A3476">
        <v>43</v>
      </c>
      <c r="B3476">
        <v>148</v>
      </c>
      <c r="C3476" s="1">
        <f>(Tabela1[[#This Row],[x]]-H$3)*(Tabela1[[#This Row],[x]]-H$3) +(Tabela1[[#This Row],[y]]-H$4)*(Tabela1[[#This Row],[y]]-H$4)</f>
        <v>27353</v>
      </c>
      <c r="D3476" s="1">
        <f>IF(Tabela1[[#This Row],[promien]]&lt;40000,1,0)</f>
        <v>1</v>
      </c>
      <c r="E3476" s="1">
        <f>IF(Tabela1[[#This Row],[promien]]=40000,1,0)</f>
        <v>0</v>
      </c>
      <c r="F3476" s="1">
        <v>3.1703107019562715</v>
      </c>
      <c r="G3476" s="1">
        <v>2.8718048366478399E-2</v>
      </c>
    </row>
    <row r="3477" spans="1:7">
      <c r="A3477">
        <v>348</v>
      </c>
      <c r="B3477">
        <v>209</v>
      </c>
      <c r="C3477" s="1">
        <f>(Tabela1[[#This Row],[x]]-H$3)*(Tabela1[[#This Row],[x]]-H$3) +(Tabela1[[#This Row],[y]]-H$4)*(Tabela1[[#This Row],[y]]-H$4)</f>
        <v>21985</v>
      </c>
      <c r="D3477" s="1">
        <f>IF(Tabela1[[#This Row],[promien]]&lt;40000,1,0)</f>
        <v>1</v>
      </c>
      <c r="E3477" s="1">
        <f>IF(Tabela1[[#This Row],[promien]]=40000,1,0)</f>
        <v>0</v>
      </c>
      <c r="F3477" s="1">
        <v>3.1705493241299969</v>
      </c>
      <c r="G3477" s="1">
        <v>2.8956670540203788E-2</v>
      </c>
    </row>
    <row r="3478" spans="1:7">
      <c r="A3478">
        <v>192</v>
      </c>
      <c r="B3478">
        <v>236</v>
      </c>
      <c r="C3478" s="1">
        <f>(Tabela1[[#This Row],[x]]-H$3)*(Tabela1[[#This Row],[x]]-H$3) +(Tabela1[[#This Row],[y]]-H$4)*(Tabela1[[#This Row],[y]]-H$4)</f>
        <v>1360</v>
      </c>
      <c r="D3478" s="1">
        <f>IF(Tabela1[[#This Row],[promien]]&lt;40000,1,0)</f>
        <v>1</v>
      </c>
      <c r="E3478" s="1">
        <f>IF(Tabela1[[#This Row],[promien]]=40000,1,0)</f>
        <v>0</v>
      </c>
      <c r="F3478" s="1">
        <v>3.1707878090856814</v>
      </c>
      <c r="G3478" s="1">
        <v>2.9195155495888248E-2</v>
      </c>
    </row>
    <row r="3479" spans="1:7">
      <c r="A3479">
        <v>278</v>
      </c>
      <c r="B3479">
        <v>116</v>
      </c>
      <c r="C3479" s="1">
        <f>(Tabela1[[#This Row],[x]]-H$3)*(Tabela1[[#This Row],[x]]-H$3) +(Tabela1[[#This Row],[y]]-H$4)*(Tabela1[[#This Row],[y]]-H$4)</f>
        <v>13140</v>
      </c>
      <c r="D3479" s="1">
        <f>IF(Tabela1[[#This Row],[promien]]&lt;40000,1,0)</f>
        <v>1</v>
      </c>
      <c r="E3479" s="1">
        <f>IF(Tabela1[[#This Row],[promien]]=40000,1,0)</f>
        <v>0</v>
      </c>
      <c r="F3479" s="1">
        <v>3.1710261569416498</v>
      </c>
      <c r="G3479" s="1">
        <v>2.9433503351856682E-2</v>
      </c>
    </row>
    <row r="3480" spans="1:7">
      <c r="A3480">
        <v>220</v>
      </c>
      <c r="B3480">
        <v>393</v>
      </c>
      <c r="C3480" s="1">
        <f>(Tabela1[[#This Row],[x]]-H$3)*(Tabela1[[#This Row],[x]]-H$3) +(Tabela1[[#This Row],[y]]-H$4)*(Tabela1[[#This Row],[y]]-H$4)</f>
        <v>37649</v>
      </c>
      <c r="D3480" s="1">
        <f>IF(Tabela1[[#This Row],[promien]]&lt;40000,1,0)</f>
        <v>1</v>
      </c>
      <c r="E3480" s="1">
        <f>IF(Tabela1[[#This Row],[promien]]=40000,1,0)</f>
        <v>0</v>
      </c>
      <c r="F3480" s="1">
        <v>3.1712643678160921</v>
      </c>
      <c r="G3480" s="1">
        <v>2.9671714226298995E-2</v>
      </c>
    </row>
    <row r="3481" spans="1:7">
      <c r="A3481">
        <v>248</v>
      </c>
      <c r="B3481">
        <v>83</v>
      </c>
      <c r="C3481" s="1">
        <f>(Tabela1[[#This Row],[x]]-H$3)*(Tabela1[[#This Row],[x]]-H$3) +(Tabela1[[#This Row],[y]]-H$4)*(Tabela1[[#This Row],[y]]-H$4)</f>
        <v>15993</v>
      </c>
      <c r="D3481" s="1">
        <f>IF(Tabela1[[#This Row],[promien]]&lt;40000,1,0)</f>
        <v>1</v>
      </c>
      <c r="E3481" s="1">
        <f>IF(Tabela1[[#This Row],[promien]]=40000,1,0)</f>
        <v>0</v>
      </c>
      <c r="F3481" s="1">
        <v>3.171502441827061</v>
      </c>
      <c r="G3481" s="1">
        <v>2.9909788237267865E-2</v>
      </c>
    </row>
    <row r="3482" spans="1:7">
      <c r="A3482">
        <v>229</v>
      </c>
      <c r="B3482">
        <v>172</v>
      </c>
      <c r="C3482" s="1">
        <f>(Tabela1[[#This Row],[x]]-H$3)*(Tabela1[[#This Row],[x]]-H$3) +(Tabela1[[#This Row],[y]]-H$4)*(Tabela1[[#This Row],[y]]-H$4)</f>
        <v>1625</v>
      </c>
      <c r="D3482" s="1">
        <f>IF(Tabela1[[#This Row],[promien]]&lt;40000,1,0)</f>
        <v>1</v>
      </c>
      <c r="E3482" s="1">
        <f>IF(Tabela1[[#This Row],[promien]]=40000,1,0)</f>
        <v>0</v>
      </c>
      <c r="F3482" s="1">
        <v>3.1717403790924754</v>
      </c>
      <c r="G3482" s="1">
        <v>3.0147725502682299E-2</v>
      </c>
    </row>
    <row r="3483" spans="1:7">
      <c r="A3483">
        <v>265</v>
      </c>
      <c r="B3483">
        <v>229</v>
      </c>
      <c r="C3483" s="1">
        <f>(Tabela1[[#This Row],[x]]-H$3)*(Tabela1[[#This Row],[x]]-H$3) +(Tabela1[[#This Row],[y]]-H$4)*(Tabela1[[#This Row],[y]]-H$4)</f>
        <v>5066</v>
      </c>
      <c r="D3483" s="1">
        <f>IF(Tabela1[[#This Row],[promien]]&lt;40000,1,0)</f>
        <v>1</v>
      </c>
      <c r="E3483" s="1">
        <f>IF(Tabela1[[#This Row],[promien]]=40000,1,0)</f>
        <v>0</v>
      </c>
      <c r="F3483" s="1">
        <v>3.1719781797301176</v>
      </c>
      <c r="G3483" s="1">
        <v>3.0385526140324526E-2</v>
      </c>
    </row>
    <row r="3484" spans="1:7">
      <c r="A3484">
        <v>27</v>
      </c>
      <c r="B3484">
        <v>24</v>
      </c>
      <c r="C3484" s="1">
        <f>(Tabela1[[#This Row],[x]]-H$3)*(Tabela1[[#This Row],[x]]-H$3) +(Tabela1[[#This Row],[y]]-H$4)*(Tabela1[[#This Row],[y]]-H$4)</f>
        <v>60905</v>
      </c>
      <c r="D3484" s="1">
        <f>IF(Tabela1[[#This Row],[promien]]&lt;40000,1,0)</f>
        <v>0</v>
      </c>
      <c r="E3484" s="1">
        <f>IF(Tabela1[[#This Row],[promien]]=40000,1,0)</f>
        <v>0</v>
      </c>
      <c r="F3484" s="1">
        <v>3.1710677382319172</v>
      </c>
      <c r="G3484" s="1">
        <v>2.9475084642124116E-2</v>
      </c>
    </row>
    <row r="3485" spans="1:7">
      <c r="A3485">
        <v>154</v>
      </c>
      <c r="B3485">
        <v>84</v>
      </c>
      <c r="C3485" s="1">
        <f>(Tabela1[[#This Row],[x]]-H$3)*(Tabela1[[#This Row],[x]]-H$3) +(Tabela1[[#This Row],[y]]-H$4)*(Tabela1[[#This Row],[y]]-H$4)</f>
        <v>15572</v>
      </c>
      <c r="D3485" s="1">
        <f>IF(Tabela1[[#This Row],[promien]]&lt;40000,1,0)</f>
        <v>1</v>
      </c>
      <c r="E3485" s="1">
        <f>IF(Tabela1[[#This Row],[promien]]=40000,1,0)</f>
        <v>0</v>
      </c>
      <c r="F3485" s="1">
        <v>3.1713055954088953</v>
      </c>
      <c r="G3485" s="1">
        <v>2.9712941819102223E-2</v>
      </c>
    </row>
    <row r="3486" spans="1:7">
      <c r="A3486">
        <v>388</v>
      </c>
      <c r="B3486">
        <v>258</v>
      </c>
      <c r="C3486" s="1">
        <f>(Tabela1[[#This Row],[x]]-H$3)*(Tabela1[[#This Row],[x]]-H$3) +(Tabela1[[#This Row],[y]]-H$4)*(Tabela1[[#This Row],[y]]-H$4)</f>
        <v>38708</v>
      </c>
      <c r="D3486" s="1">
        <f>IF(Tabela1[[#This Row],[promien]]&lt;40000,1,0)</f>
        <v>1</v>
      </c>
      <c r="E3486" s="1">
        <f>IF(Tabela1[[#This Row],[promien]]=40000,1,0)</f>
        <v>0</v>
      </c>
      <c r="F3486" s="1">
        <v>3.1715433161216295</v>
      </c>
      <c r="G3486" s="1">
        <v>2.9950662531836425E-2</v>
      </c>
    </row>
    <row r="3487" spans="1:7">
      <c r="A3487">
        <v>269</v>
      </c>
      <c r="B3487">
        <v>40</v>
      </c>
      <c r="C3487" s="1">
        <f>(Tabela1[[#This Row],[x]]-H$3)*(Tabela1[[#This Row],[x]]-H$3) +(Tabela1[[#This Row],[y]]-H$4)*(Tabela1[[#This Row],[y]]-H$4)</f>
        <v>30361</v>
      </c>
      <c r="D3487" s="1">
        <f>IF(Tabela1[[#This Row],[promien]]&lt;40000,1,0)</f>
        <v>1</v>
      </c>
      <c r="E3487" s="1">
        <f>IF(Tabela1[[#This Row],[promien]]=40000,1,0)</f>
        <v>0</v>
      </c>
      <c r="F3487" s="1">
        <v>3.171780900487525</v>
      </c>
      <c r="G3487" s="1">
        <v>3.0188246897731918E-2</v>
      </c>
    </row>
    <row r="3488" spans="1:7">
      <c r="A3488">
        <v>25</v>
      </c>
      <c r="B3488">
        <v>187</v>
      </c>
      <c r="C3488" s="1">
        <f>(Tabela1[[#This Row],[x]]-H$3)*(Tabela1[[#This Row],[x]]-H$3) +(Tabela1[[#This Row],[y]]-H$4)*(Tabela1[[#This Row],[y]]-H$4)</f>
        <v>30794</v>
      </c>
      <c r="D3488" s="1">
        <f>IF(Tabela1[[#This Row],[promien]]&lt;40000,1,0)</f>
        <v>1</v>
      </c>
      <c r="E3488" s="1">
        <f>IF(Tabela1[[#This Row],[promien]]=40000,1,0)</f>
        <v>0</v>
      </c>
      <c r="F3488" s="1">
        <v>3.1720183486238533</v>
      </c>
      <c r="G3488" s="1">
        <v>3.0425695034060229E-2</v>
      </c>
    </row>
    <row r="3489" spans="1:7">
      <c r="A3489">
        <v>346</v>
      </c>
      <c r="B3489">
        <v>393</v>
      </c>
      <c r="C3489" s="1">
        <f>(Tabela1[[#This Row],[x]]-H$3)*(Tabela1[[#This Row],[x]]-H$3) +(Tabela1[[#This Row],[y]]-H$4)*(Tabela1[[#This Row],[y]]-H$4)</f>
        <v>58565</v>
      </c>
      <c r="D3489" s="1">
        <f>IF(Tabela1[[#This Row],[promien]]&lt;40000,1,0)</f>
        <v>0</v>
      </c>
      <c r="E3489" s="1">
        <f>IF(Tabela1[[#This Row],[promien]]=40000,1,0)</f>
        <v>0</v>
      </c>
      <c r="F3489" s="1">
        <v>3.1711092003439383</v>
      </c>
      <c r="G3489" s="1">
        <v>2.9516546754145168E-2</v>
      </c>
    </row>
    <row r="3490" spans="1:7">
      <c r="A3490">
        <v>213</v>
      </c>
      <c r="B3490">
        <v>222</v>
      </c>
      <c r="C3490" s="1">
        <f>(Tabela1[[#This Row],[x]]-H$3)*(Tabela1[[#This Row],[x]]-H$3) +(Tabela1[[#This Row],[y]]-H$4)*(Tabela1[[#This Row],[y]]-H$4)</f>
        <v>653</v>
      </c>
      <c r="D3490" s="1">
        <f>IF(Tabela1[[#This Row],[promien]]&lt;40000,1,0)</f>
        <v>1</v>
      </c>
      <c r="E3490" s="1">
        <f>IF(Tabela1[[#This Row],[promien]]=40000,1,0)</f>
        <v>0</v>
      </c>
      <c r="F3490" s="1">
        <v>3.17134670487106</v>
      </c>
      <c r="G3490" s="1">
        <v>2.9754051281266847E-2</v>
      </c>
    </row>
    <row r="3491" spans="1:7">
      <c r="A3491">
        <v>11</v>
      </c>
      <c r="B3491">
        <v>22</v>
      </c>
      <c r="C3491" s="1">
        <f>(Tabela1[[#This Row],[x]]-H$3)*(Tabela1[[#This Row],[x]]-H$3) +(Tabela1[[#This Row],[y]]-H$4)*(Tabela1[[#This Row],[y]]-H$4)</f>
        <v>67405</v>
      </c>
      <c r="D3491" s="1">
        <f>IF(Tabela1[[#This Row],[promien]]&lt;40000,1,0)</f>
        <v>0</v>
      </c>
      <c r="E3491" s="1">
        <f>IF(Tabela1[[#This Row],[promien]]=40000,1,0)</f>
        <v>0</v>
      </c>
      <c r="F3491" s="1">
        <v>3.1704382698367231</v>
      </c>
      <c r="G3491" s="1">
        <v>2.8845616246929939E-2</v>
      </c>
    </row>
    <row r="3492" spans="1:7">
      <c r="A3492">
        <v>4</v>
      </c>
      <c r="B3492">
        <v>268</v>
      </c>
      <c r="C3492" s="1">
        <f>(Tabela1[[#This Row],[x]]-H$3)*(Tabela1[[#This Row],[x]]-H$3) +(Tabela1[[#This Row],[y]]-H$4)*(Tabela1[[#This Row],[y]]-H$4)</f>
        <v>43040</v>
      </c>
      <c r="D3492" s="1">
        <f>IF(Tabela1[[#This Row],[promien]]&lt;40000,1,0)</f>
        <v>0</v>
      </c>
      <c r="E3492" s="1">
        <f>IF(Tabela1[[#This Row],[promien]]=40000,1,0)</f>
        <v>0</v>
      </c>
      <c r="F3492" s="1">
        <v>3.1695303550973652</v>
      </c>
      <c r="G3492" s="1">
        <v>2.7937701507572132E-2</v>
      </c>
    </row>
    <row r="3493" spans="1:7">
      <c r="A3493">
        <v>192</v>
      </c>
      <c r="B3493">
        <v>215</v>
      </c>
      <c r="C3493" s="1">
        <f>(Tabela1[[#This Row],[x]]-H$3)*(Tabela1[[#This Row],[x]]-H$3) +(Tabela1[[#This Row],[y]]-H$4)*(Tabela1[[#This Row],[y]]-H$4)</f>
        <v>289</v>
      </c>
      <c r="D3493" s="1">
        <f>IF(Tabela1[[#This Row],[promien]]&lt;40000,1,0)</f>
        <v>1</v>
      </c>
      <c r="E3493" s="1">
        <f>IF(Tabela1[[#This Row],[promien]]=40000,1,0)</f>
        <v>0</v>
      </c>
      <c r="F3493" s="1">
        <v>3.1697681076438591</v>
      </c>
      <c r="G3493" s="1">
        <v>2.8175454054065963E-2</v>
      </c>
    </row>
    <row r="3494" spans="1:7">
      <c r="A3494">
        <v>330</v>
      </c>
      <c r="B3494">
        <v>154</v>
      </c>
      <c r="C3494" s="1">
        <f>(Tabela1[[#This Row],[x]]-H$3)*(Tabela1[[#This Row],[x]]-H$3) +(Tabela1[[#This Row],[y]]-H$4)*(Tabela1[[#This Row],[y]]-H$4)</f>
        <v>19016</v>
      </c>
      <c r="D3494" s="1">
        <f>IF(Tabela1[[#This Row],[promien]]&lt;40000,1,0)</f>
        <v>1</v>
      </c>
      <c r="E3494" s="1">
        <f>IF(Tabela1[[#This Row],[promien]]=40000,1,0)</f>
        <v>0</v>
      </c>
      <c r="F3494" s="1">
        <v>3.1700057240984547</v>
      </c>
      <c r="G3494" s="1">
        <v>2.8413070508661598E-2</v>
      </c>
    </row>
    <row r="3495" spans="1:7">
      <c r="A3495">
        <v>60</v>
      </c>
      <c r="B3495">
        <v>228</v>
      </c>
      <c r="C3495" s="1">
        <f>(Tabela1[[#This Row],[x]]-H$3)*(Tabela1[[#This Row],[x]]-H$3) +(Tabela1[[#This Row],[y]]-H$4)*(Tabela1[[#This Row],[y]]-H$4)</f>
        <v>20384</v>
      </c>
      <c r="D3495" s="1">
        <f>IF(Tabela1[[#This Row],[promien]]&lt;40000,1,0)</f>
        <v>1</v>
      </c>
      <c r="E3495" s="1">
        <f>IF(Tabela1[[#This Row],[promien]]=40000,1,0)</f>
        <v>0</v>
      </c>
      <c r="F3495" s="1">
        <v>3.1702432045779685</v>
      </c>
      <c r="G3495" s="1">
        <v>2.8650550988175372E-2</v>
      </c>
    </row>
    <row r="3496" spans="1:7">
      <c r="A3496">
        <v>287</v>
      </c>
      <c r="B3496">
        <v>395</v>
      </c>
      <c r="C3496" s="1">
        <f>(Tabela1[[#This Row],[x]]-H$3)*(Tabela1[[#This Row],[x]]-H$3) +(Tabela1[[#This Row],[y]]-H$4)*(Tabela1[[#This Row],[y]]-H$4)</f>
        <v>45594</v>
      </c>
      <c r="D3496" s="1">
        <f>IF(Tabela1[[#This Row],[promien]]&lt;40000,1,0)</f>
        <v>0</v>
      </c>
      <c r="E3496" s="1">
        <f>IF(Tabela1[[#This Row],[promien]]=40000,1,0)</f>
        <v>0</v>
      </c>
      <c r="F3496" s="1">
        <v>3.1693363844393594</v>
      </c>
      <c r="G3496" s="1">
        <v>2.7743730849566273E-2</v>
      </c>
    </row>
    <row r="3497" spans="1:7">
      <c r="A3497">
        <v>270</v>
      </c>
      <c r="B3497">
        <v>171</v>
      </c>
      <c r="C3497" s="1">
        <f>(Tabela1[[#This Row],[x]]-H$3)*(Tabela1[[#This Row],[x]]-H$3) +(Tabela1[[#This Row],[y]]-H$4)*(Tabela1[[#This Row],[y]]-H$4)</f>
        <v>5741</v>
      </c>
      <c r="D3497" s="1">
        <f>IF(Tabela1[[#This Row],[promien]]&lt;40000,1,0)</f>
        <v>1</v>
      </c>
      <c r="E3497" s="1">
        <f>IF(Tabela1[[#This Row],[promien]]=40000,1,0)</f>
        <v>0</v>
      </c>
      <c r="F3497" s="1">
        <v>3.1695739205032885</v>
      </c>
      <c r="G3497" s="1">
        <v>2.798126691349534E-2</v>
      </c>
    </row>
    <row r="3498" spans="1:7">
      <c r="A3498">
        <v>207</v>
      </c>
      <c r="B3498">
        <v>169</v>
      </c>
      <c r="C3498" s="1">
        <f>(Tabela1[[#This Row],[x]]-H$3)*(Tabela1[[#This Row],[x]]-H$3) +(Tabela1[[#This Row],[y]]-H$4)*(Tabela1[[#This Row],[y]]-H$4)</f>
        <v>1010</v>
      </c>
      <c r="D3498" s="1">
        <f>IF(Tabela1[[#This Row],[promien]]&lt;40000,1,0)</f>
        <v>1</v>
      </c>
      <c r="E3498" s="1">
        <f>IF(Tabela1[[#This Row],[promien]]=40000,1,0)</f>
        <v>0</v>
      </c>
      <c r="F3498" s="1">
        <v>3.1698113207547172</v>
      </c>
      <c r="G3498" s="1">
        <v>2.8218667164924049E-2</v>
      </c>
    </row>
    <row r="3499" spans="1:7">
      <c r="A3499">
        <v>334</v>
      </c>
      <c r="B3499">
        <v>173</v>
      </c>
      <c r="C3499" s="1">
        <f>(Tabela1[[#This Row],[x]]-H$3)*(Tabela1[[#This Row],[x]]-H$3) +(Tabela1[[#This Row],[y]]-H$4)*(Tabela1[[#This Row],[y]]-H$4)</f>
        <v>18685</v>
      </c>
      <c r="D3499" s="1">
        <f>IF(Tabela1[[#This Row],[promien]]&lt;40000,1,0)</f>
        <v>1</v>
      </c>
      <c r="E3499" s="1">
        <f>IF(Tabela1[[#This Row],[promien]]=40000,1,0)</f>
        <v>0</v>
      </c>
      <c r="F3499" s="1">
        <v>3.1700485853100888</v>
      </c>
      <c r="G3499" s="1">
        <v>2.8455931720295702E-2</v>
      </c>
    </row>
    <row r="3500" spans="1:7">
      <c r="A3500">
        <v>283</v>
      </c>
      <c r="B3500">
        <v>165</v>
      </c>
      <c r="C3500" s="1">
        <f>(Tabela1[[#This Row],[x]]-H$3)*(Tabela1[[#This Row],[x]]-H$3) +(Tabela1[[#This Row],[y]]-H$4)*(Tabela1[[#This Row],[y]]-H$4)</f>
        <v>8114</v>
      </c>
      <c r="D3500" s="1">
        <f>IF(Tabela1[[#This Row],[promien]]&lt;40000,1,0)</f>
        <v>1</v>
      </c>
      <c r="E3500" s="1">
        <f>IF(Tabela1[[#This Row],[promien]]=40000,1,0)</f>
        <v>0</v>
      </c>
      <c r="F3500" s="1">
        <v>3.1702857142857144</v>
      </c>
      <c r="G3500" s="1">
        <v>2.8693060695921258E-2</v>
      </c>
    </row>
    <row r="3501" spans="1:7">
      <c r="A3501">
        <v>98</v>
      </c>
      <c r="B3501">
        <v>368</v>
      </c>
      <c r="C3501" s="1">
        <f>(Tabela1[[#This Row],[x]]-H$3)*(Tabela1[[#This Row],[x]]-H$3) +(Tabela1[[#This Row],[y]]-H$4)*(Tabela1[[#This Row],[y]]-H$4)</f>
        <v>38628</v>
      </c>
      <c r="D3501" s="1">
        <f>IF(Tabela1[[#This Row],[promien]]&lt;40000,1,0)</f>
        <v>1</v>
      </c>
      <c r="E3501" s="1">
        <f>IF(Tabela1[[#This Row],[promien]]=40000,1,0)</f>
        <v>0</v>
      </c>
      <c r="F3501" s="1">
        <v>3.170522707797772</v>
      </c>
      <c r="G3501" s="1">
        <v>2.8930054207978895E-2</v>
      </c>
    </row>
    <row r="3502" spans="1:7">
      <c r="A3502">
        <v>342</v>
      </c>
      <c r="B3502">
        <v>191</v>
      </c>
      <c r="C3502" s="1">
        <f>(Tabela1[[#This Row],[x]]-H$3)*(Tabela1[[#This Row],[x]]-H$3) +(Tabela1[[#This Row],[y]]-H$4)*(Tabela1[[#This Row],[y]]-H$4)</f>
        <v>20245</v>
      </c>
      <c r="D3502" s="1">
        <f>IF(Tabela1[[#This Row],[promien]]&lt;40000,1,0)</f>
        <v>1</v>
      </c>
      <c r="E3502" s="1">
        <f>IF(Tabela1[[#This Row],[promien]]=40000,1,0)</f>
        <v>0</v>
      </c>
      <c r="F3502" s="1">
        <v>3.1707595659623071</v>
      </c>
      <c r="G3502" s="1">
        <v>2.9166912372514009E-2</v>
      </c>
    </row>
    <row r="3503" spans="1:7">
      <c r="A3503">
        <v>242</v>
      </c>
      <c r="B3503">
        <v>53</v>
      </c>
      <c r="C3503" s="1">
        <f>(Tabela1[[#This Row],[x]]-H$3)*(Tabela1[[#This Row],[x]]-H$3) +(Tabela1[[#This Row],[y]]-H$4)*(Tabela1[[#This Row],[y]]-H$4)</f>
        <v>23373</v>
      </c>
      <c r="D3503" s="1">
        <f>IF(Tabela1[[#This Row],[promien]]&lt;40000,1,0)</f>
        <v>1</v>
      </c>
      <c r="E3503" s="1">
        <f>IF(Tabela1[[#This Row],[promien]]=40000,1,0)</f>
        <v>0</v>
      </c>
      <c r="F3503" s="1">
        <v>3.1709962888952328</v>
      </c>
      <c r="G3503" s="1">
        <v>2.9403635305439657E-2</v>
      </c>
    </row>
    <row r="3504" spans="1:7">
      <c r="A3504">
        <v>255</v>
      </c>
      <c r="B3504">
        <v>301</v>
      </c>
      <c r="C3504" s="1">
        <f>(Tabela1[[#This Row],[x]]-H$3)*(Tabela1[[#This Row],[x]]-H$3) +(Tabela1[[#This Row],[y]]-H$4)*(Tabela1[[#This Row],[y]]-H$4)</f>
        <v>13226</v>
      </c>
      <c r="D3504" s="1">
        <f>IF(Tabela1[[#This Row],[promien]]&lt;40000,1,0)</f>
        <v>1</v>
      </c>
      <c r="E3504" s="1">
        <f>IF(Tabela1[[#This Row],[promien]]=40000,1,0)</f>
        <v>0</v>
      </c>
      <c r="F3504" s="1">
        <v>3.1712328767123288</v>
      </c>
      <c r="G3504" s="1">
        <v>2.9640223122535669E-2</v>
      </c>
    </row>
    <row r="3505" spans="1:7">
      <c r="A3505">
        <v>227</v>
      </c>
      <c r="B3505">
        <v>245</v>
      </c>
      <c r="C3505" s="1">
        <f>(Tabela1[[#This Row],[x]]-H$3)*(Tabela1[[#This Row],[x]]-H$3) +(Tabela1[[#This Row],[y]]-H$4)*(Tabela1[[#This Row],[y]]-H$4)</f>
        <v>2754</v>
      </c>
      <c r="D3505" s="1">
        <f>IF(Tabela1[[#This Row],[promien]]&lt;40000,1,0)</f>
        <v>1</v>
      </c>
      <c r="E3505" s="1">
        <f>IF(Tabela1[[#This Row],[promien]]=40000,1,0)</f>
        <v>0</v>
      </c>
      <c r="F3505" s="1">
        <v>3.171469329529244</v>
      </c>
      <c r="G3505" s="1">
        <v>2.987667593945087E-2</v>
      </c>
    </row>
    <row r="3506" spans="1:7">
      <c r="A3506">
        <v>261</v>
      </c>
      <c r="B3506">
        <v>49</v>
      </c>
      <c r="C3506" s="1">
        <f>(Tabela1[[#This Row],[x]]-H$3)*(Tabela1[[#This Row],[x]]-H$3) +(Tabela1[[#This Row],[y]]-H$4)*(Tabela1[[#This Row],[y]]-H$4)</f>
        <v>26522</v>
      </c>
      <c r="D3506" s="1">
        <f>IF(Tabela1[[#This Row],[promien]]&lt;40000,1,0)</f>
        <v>1</v>
      </c>
      <c r="E3506" s="1">
        <f>IF(Tabela1[[#This Row],[promien]]=40000,1,0)</f>
        <v>0</v>
      </c>
      <c r="F3506" s="1">
        <v>3.1717056474614944</v>
      </c>
      <c r="G3506" s="1">
        <v>3.0112993871701299E-2</v>
      </c>
    </row>
    <row r="3507" spans="1:7">
      <c r="A3507">
        <v>354</v>
      </c>
      <c r="B3507">
        <v>378</v>
      </c>
      <c r="C3507" s="1">
        <f>(Tabela1[[#This Row],[x]]-H$3)*(Tabela1[[#This Row],[x]]-H$3) +(Tabela1[[#This Row],[y]]-H$4)*(Tabela1[[#This Row],[y]]-H$4)</f>
        <v>55400</v>
      </c>
      <c r="D3507" s="1">
        <f>IF(Tabela1[[#This Row],[promien]]&lt;40000,1,0)</f>
        <v>0</v>
      </c>
      <c r="E3507" s="1">
        <f>IF(Tabela1[[#This Row],[promien]]=40000,1,0)</f>
        <v>0</v>
      </c>
      <c r="F3507" s="1">
        <v>3.1708012546335897</v>
      </c>
      <c r="G3507" s="1">
        <v>2.9208601043796634E-2</v>
      </c>
    </row>
    <row r="3508" spans="1:7">
      <c r="A3508">
        <v>128</v>
      </c>
      <c r="B3508">
        <v>117</v>
      </c>
      <c r="C3508" s="1">
        <f>(Tabela1[[#This Row],[x]]-H$3)*(Tabela1[[#This Row],[x]]-H$3) +(Tabela1[[#This Row],[y]]-H$4)*(Tabela1[[#This Row],[y]]-H$4)</f>
        <v>12073</v>
      </c>
      <c r="D3508" s="1">
        <f>IF(Tabela1[[#This Row],[promien]]&lt;40000,1,0)</f>
        <v>1</v>
      </c>
      <c r="E3508" s="1">
        <f>IF(Tabela1[[#This Row],[promien]]=40000,1,0)</f>
        <v>0</v>
      </c>
      <c r="F3508" s="1">
        <v>3.1710376282782211</v>
      </c>
      <c r="G3508" s="1">
        <v>2.9444974688427994E-2</v>
      </c>
    </row>
    <row r="3509" spans="1:7">
      <c r="A3509">
        <v>233</v>
      </c>
      <c r="B3509">
        <v>294</v>
      </c>
      <c r="C3509" s="1">
        <f>(Tabela1[[#This Row],[x]]-H$3)*(Tabela1[[#This Row],[x]]-H$3) +(Tabela1[[#This Row],[y]]-H$4)*(Tabela1[[#This Row],[y]]-H$4)</f>
        <v>9925</v>
      </c>
      <c r="D3509" s="1">
        <f>IF(Tabela1[[#This Row],[promien]]&lt;40000,1,0)</f>
        <v>1</v>
      </c>
      <c r="E3509" s="1">
        <f>IF(Tabela1[[#This Row],[promien]]=40000,1,0)</f>
        <v>0</v>
      </c>
      <c r="F3509" s="1">
        <v>3.1712738671986322</v>
      </c>
      <c r="G3509" s="1">
        <v>2.968121360883913E-2</v>
      </c>
    </row>
    <row r="3510" spans="1:7">
      <c r="A3510">
        <v>7</v>
      </c>
      <c r="B3510">
        <v>126</v>
      </c>
      <c r="C3510" s="1">
        <f>(Tabela1[[#This Row],[x]]-H$3)*(Tabela1[[#This Row],[x]]-H$3) +(Tabela1[[#This Row],[y]]-H$4)*(Tabela1[[#This Row],[y]]-H$4)</f>
        <v>42725</v>
      </c>
      <c r="D3510" s="1">
        <f>IF(Tabela1[[#This Row],[promien]]&lt;40000,1,0)</f>
        <v>0</v>
      </c>
      <c r="E3510" s="1">
        <f>IF(Tabela1[[#This Row],[promien]]=40000,1,0)</f>
        <v>0</v>
      </c>
      <c r="F3510" s="1">
        <v>3.1703703703703705</v>
      </c>
      <c r="G3510" s="1">
        <v>2.8777716780577389E-2</v>
      </c>
    </row>
    <row r="3511" spans="1:7">
      <c r="A3511">
        <v>273</v>
      </c>
      <c r="B3511">
        <v>94</v>
      </c>
      <c r="C3511" s="1">
        <f>(Tabela1[[#This Row],[x]]-H$3)*(Tabela1[[#This Row],[x]]-H$3) +(Tabela1[[#This Row],[y]]-H$4)*(Tabela1[[#This Row],[y]]-H$4)</f>
        <v>16565</v>
      </c>
      <c r="D3511" s="1">
        <f>IF(Tabela1[[#This Row],[promien]]&lt;40000,1,0)</f>
        <v>1</v>
      </c>
      <c r="E3511" s="1">
        <f>IF(Tabela1[[#This Row],[promien]]=40000,1,0)</f>
        <v>0</v>
      </c>
      <c r="F3511" s="1">
        <v>3.1706066647678726</v>
      </c>
      <c r="G3511" s="1">
        <v>2.9014011178079446E-2</v>
      </c>
    </row>
    <row r="3512" spans="1:7">
      <c r="A3512">
        <v>118</v>
      </c>
      <c r="B3512">
        <v>250</v>
      </c>
      <c r="C3512" s="1">
        <f>(Tabela1[[#This Row],[x]]-H$3)*(Tabela1[[#This Row],[x]]-H$3) +(Tabela1[[#This Row],[y]]-H$4)*(Tabela1[[#This Row],[y]]-H$4)</f>
        <v>9224</v>
      </c>
      <c r="D3512" s="1">
        <f>IF(Tabela1[[#This Row],[promien]]&lt;40000,1,0)</f>
        <v>1</v>
      </c>
      <c r="E3512" s="1">
        <f>IF(Tabela1[[#This Row],[promien]]=40000,1,0)</f>
        <v>0</v>
      </c>
      <c r="F3512" s="1">
        <v>3.1708428246013667</v>
      </c>
      <c r="G3512" s="1">
        <v>2.9250171011573567E-2</v>
      </c>
    </row>
    <row r="3513" spans="1:7">
      <c r="A3513">
        <v>224</v>
      </c>
      <c r="B3513">
        <v>105</v>
      </c>
      <c r="C3513" s="1">
        <f>(Tabela1[[#This Row],[x]]-H$3)*(Tabela1[[#This Row],[x]]-H$3) +(Tabela1[[#This Row],[y]]-H$4)*(Tabela1[[#This Row],[y]]-H$4)</f>
        <v>9601</v>
      </c>
      <c r="D3513" s="1">
        <f>IF(Tabela1[[#This Row],[promien]]&lt;40000,1,0)</f>
        <v>1</v>
      </c>
      <c r="E3513" s="1">
        <f>IF(Tabela1[[#This Row],[promien]]=40000,1,0)</f>
        <v>0</v>
      </c>
      <c r="F3513" s="1">
        <v>3.1710788499857672</v>
      </c>
      <c r="G3513" s="1">
        <v>2.9486196395974051E-2</v>
      </c>
    </row>
    <row r="3514" spans="1:7">
      <c r="A3514">
        <v>117</v>
      </c>
      <c r="B3514">
        <v>69</v>
      </c>
      <c r="C3514" s="1">
        <f>(Tabela1[[#This Row],[x]]-H$3)*(Tabela1[[#This Row],[x]]-H$3) +(Tabela1[[#This Row],[y]]-H$4)*(Tabela1[[#This Row],[y]]-H$4)</f>
        <v>24050</v>
      </c>
      <c r="D3514" s="1">
        <f>IF(Tabela1[[#This Row],[promien]]&lt;40000,1,0)</f>
        <v>1</v>
      </c>
      <c r="E3514" s="1">
        <f>IF(Tabela1[[#This Row],[promien]]=40000,1,0)</f>
        <v>0</v>
      </c>
      <c r="F3514" s="1">
        <v>3.1713147410358564</v>
      </c>
      <c r="G3514" s="1">
        <v>2.9722087446063306E-2</v>
      </c>
    </row>
    <row r="3515" spans="1:7">
      <c r="A3515">
        <v>210</v>
      </c>
      <c r="B3515">
        <v>376</v>
      </c>
      <c r="C3515" s="1">
        <f>(Tabela1[[#This Row],[x]]-H$3)*(Tabela1[[#This Row],[x]]-H$3) +(Tabela1[[#This Row],[y]]-H$4)*(Tabela1[[#This Row],[y]]-H$4)</f>
        <v>31076</v>
      </c>
      <c r="D3515" s="1">
        <f>IF(Tabela1[[#This Row],[promien]]&lt;40000,1,0)</f>
        <v>1</v>
      </c>
      <c r="E3515" s="1">
        <f>IF(Tabela1[[#This Row],[promien]]=40000,1,0)</f>
        <v>0</v>
      </c>
      <c r="F3515" s="1">
        <v>3.1715504978662872</v>
      </c>
      <c r="G3515" s="1">
        <v>2.9957844276494061E-2</v>
      </c>
    </row>
    <row r="3516" spans="1:7">
      <c r="A3516">
        <v>38</v>
      </c>
      <c r="B3516">
        <v>63</v>
      </c>
      <c r="C3516" s="1">
        <f>(Tabela1[[#This Row],[x]]-H$3)*(Tabela1[[#This Row],[x]]-H$3) +(Tabela1[[#This Row],[y]]-H$4)*(Tabela1[[#This Row],[y]]-H$4)</f>
        <v>45013</v>
      </c>
      <c r="D3516" s="1">
        <f>IF(Tabela1[[#This Row],[promien]]&lt;40000,1,0)</f>
        <v>0</v>
      </c>
      <c r="E3516" s="1">
        <f>IF(Tabela1[[#This Row],[promien]]=40000,1,0)</f>
        <v>0</v>
      </c>
      <c r="F3516" s="1">
        <v>3.1706484641638224</v>
      </c>
      <c r="G3516" s="1">
        <v>2.9055810574029284E-2</v>
      </c>
    </row>
    <row r="3517" spans="1:7">
      <c r="A3517">
        <v>300</v>
      </c>
      <c r="B3517">
        <v>149</v>
      </c>
      <c r="C3517" s="1">
        <f>(Tabela1[[#This Row],[x]]-H$3)*(Tabela1[[#This Row],[x]]-H$3) +(Tabela1[[#This Row],[y]]-H$4)*(Tabela1[[#This Row],[y]]-H$4)</f>
        <v>12601</v>
      </c>
      <c r="D3517" s="1">
        <f>IF(Tabela1[[#This Row],[promien]]&lt;40000,1,0)</f>
        <v>1</v>
      </c>
      <c r="E3517" s="1">
        <f>IF(Tabela1[[#This Row],[promien]]=40000,1,0)</f>
        <v>0</v>
      </c>
      <c r="F3517" s="1">
        <v>3.1708842763719081</v>
      </c>
      <c r="G3517" s="1">
        <v>2.9291622782114946E-2</v>
      </c>
    </row>
    <row r="3518" spans="1:7">
      <c r="A3518">
        <v>109</v>
      </c>
      <c r="B3518">
        <v>227</v>
      </c>
      <c r="C3518" s="1">
        <f>(Tabela1[[#This Row],[x]]-H$3)*(Tabela1[[#This Row],[x]]-H$3) +(Tabela1[[#This Row],[y]]-H$4)*(Tabela1[[#This Row],[y]]-H$4)</f>
        <v>9010</v>
      </c>
      <c r="D3518" s="1">
        <f>IF(Tabela1[[#This Row],[promien]]&lt;40000,1,0)</f>
        <v>1</v>
      </c>
      <c r="E3518" s="1">
        <f>IF(Tabela1[[#This Row],[promien]]=40000,1,0)</f>
        <v>0</v>
      </c>
      <c r="F3518" s="1">
        <v>3.1711199545196136</v>
      </c>
      <c r="G3518" s="1">
        <v>2.9527300929820477E-2</v>
      </c>
    </row>
    <row r="3519" spans="1:7">
      <c r="A3519">
        <v>128</v>
      </c>
      <c r="B3519">
        <v>221</v>
      </c>
      <c r="C3519" s="1">
        <f>(Tabela1[[#This Row],[x]]-H$3)*(Tabela1[[#This Row],[x]]-H$3) +(Tabela1[[#This Row],[y]]-H$4)*(Tabela1[[#This Row],[y]]-H$4)</f>
        <v>5625</v>
      </c>
      <c r="D3519" s="1">
        <f>IF(Tabela1[[#This Row],[promien]]&lt;40000,1,0)</f>
        <v>1</v>
      </c>
      <c r="E3519" s="1">
        <f>IF(Tabela1[[#This Row],[promien]]=40000,1,0)</f>
        <v>0</v>
      </c>
      <c r="F3519" s="1">
        <v>3.1713554987212276</v>
      </c>
      <c r="G3519" s="1">
        <v>2.9762845131434457E-2</v>
      </c>
    </row>
    <row r="3520" spans="1:7">
      <c r="A3520">
        <v>88</v>
      </c>
      <c r="B3520">
        <v>209</v>
      </c>
      <c r="C3520" s="1">
        <f>(Tabela1[[#This Row],[x]]-H$3)*(Tabela1[[#This Row],[x]]-H$3) +(Tabela1[[#This Row],[y]]-H$4)*(Tabela1[[#This Row],[y]]-H$4)</f>
        <v>12625</v>
      </c>
      <c r="D3520" s="1">
        <f>IF(Tabela1[[#This Row],[promien]]&lt;40000,1,0)</f>
        <v>1</v>
      </c>
      <c r="E3520" s="1">
        <f>IF(Tabela1[[#This Row],[promien]]=40000,1,0)</f>
        <v>0</v>
      </c>
      <c r="F3520" s="1">
        <v>3.1715909090909089</v>
      </c>
      <c r="G3520" s="1">
        <v>2.9998255501115789E-2</v>
      </c>
    </row>
    <row r="3521" spans="1:7">
      <c r="A3521">
        <v>326</v>
      </c>
      <c r="B3521">
        <v>43</v>
      </c>
      <c r="C3521" s="1">
        <f>(Tabela1[[#This Row],[x]]-H$3)*(Tabela1[[#This Row],[x]]-H$3) +(Tabela1[[#This Row],[y]]-H$4)*(Tabela1[[#This Row],[y]]-H$4)</f>
        <v>40525</v>
      </c>
      <c r="D3521" s="1">
        <f>IF(Tabela1[[#This Row],[promien]]&lt;40000,1,0)</f>
        <v>0</v>
      </c>
      <c r="E3521" s="1">
        <f>IF(Tabela1[[#This Row],[promien]]=40000,1,0)</f>
        <v>0</v>
      </c>
      <c r="F3521" s="1">
        <v>3.1706901448452145</v>
      </c>
      <c r="G3521" s="1">
        <v>2.9097491255421382E-2</v>
      </c>
    </row>
    <row r="3522" spans="1:7">
      <c r="A3522">
        <v>216</v>
      </c>
      <c r="B3522">
        <v>91</v>
      </c>
      <c r="C3522" s="1">
        <f>(Tabela1[[#This Row],[x]]-H$3)*(Tabela1[[#This Row],[x]]-H$3) +(Tabela1[[#This Row],[y]]-H$4)*(Tabela1[[#This Row],[y]]-H$4)</f>
        <v>12137</v>
      </c>
      <c r="D3522" s="1">
        <f>IF(Tabela1[[#This Row],[promien]]&lt;40000,1,0)</f>
        <v>1</v>
      </c>
      <c r="E3522" s="1">
        <f>IF(Tabela1[[#This Row],[promien]]=40000,1,0)</f>
        <v>0</v>
      </c>
      <c r="F3522" s="1">
        <v>3.1709256104486085</v>
      </c>
      <c r="G3522" s="1">
        <v>2.9332956858815429E-2</v>
      </c>
    </row>
    <row r="3523" spans="1:7">
      <c r="A3523">
        <v>19</v>
      </c>
      <c r="B3523">
        <v>173</v>
      </c>
      <c r="C3523" s="1">
        <f>(Tabela1[[#This Row],[x]]-H$3)*(Tabela1[[#This Row],[x]]-H$3) +(Tabela1[[#This Row],[y]]-H$4)*(Tabela1[[#This Row],[y]]-H$4)</f>
        <v>33490</v>
      </c>
      <c r="D3523" s="1">
        <f>IF(Tabela1[[#This Row],[promien]]&lt;40000,1,0)</f>
        <v>1</v>
      </c>
      <c r="E3523" s="1">
        <f>IF(Tabela1[[#This Row],[promien]]=40000,1,0)</f>
        <v>0</v>
      </c>
      <c r="F3523" s="1">
        <v>3.1711609423786546</v>
      </c>
      <c r="G3523" s="1">
        <v>2.956828878886153E-2</v>
      </c>
    </row>
    <row r="3524" spans="1:7">
      <c r="A3524">
        <v>242</v>
      </c>
      <c r="B3524">
        <v>147</v>
      </c>
      <c r="C3524" s="1">
        <f>(Tabela1[[#This Row],[x]]-H$3)*(Tabela1[[#This Row],[x]]-H$3) +(Tabela1[[#This Row],[y]]-H$4)*(Tabela1[[#This Row],[y]]-H$4)</f>
        <v>4573</v>
      </c>
      <c r="D3524" s="1">
        <f>IF(Tabela1[[#This Row],[promien]]&lt;40000,1,0)</f>
        <v>1</v>
      </c>
      <c r="E3524" s="1">
        <f>IF(Tabela1[[#This Row],[promien]]=40000,1,0)</f>
        <v>0</v>
      </c>
      <c r="F3524" s="1">
        <v>3.1713961407491489</v>
      </c>
      <c r="G3524" s="1">
        <v>2.9803487159355768E-2</v>
      </c>
    </row>
    <row r="3525" spans="1:7">
      <c r="A3525">
        <v>382</v>
      </c>
      <c r="B3525">
        <v>350</v>
      </c>
      <c r="C3525" s="1">
        <f>(Tabela1[[#This Row],[x]]-H$3)*(Tabela1[[#This Row],[x]]-H$3) +(Tabela1[[#This Row],[y]]-H$4)*(Tabela1[[#This Row],[y]]-H$4)</f>
        <v>55624</v>
      </c>
      <c r="D3525" s="1">
        <f>IF(Tabela1[[#This Row],[promien]]&lt;40000,1,0)</f>
        <v>0</v>
      </c>
      <c r="E3525" s="1">
        <f>IF(Tabela1[[#This Row],[promien]]=40000,1,0)</f>
        <v>0</v>
      </c>
      <c r="F3525" s="1">
        <v>3.170496453900709</v>
      </c>
      <c r="G3525" s="1">
        <v>2.8903800310915884E-2</v>
      </c>
    </row>
    <row r="3526" spans="1:7">
      <c r="A3526">
        <v>99</v>
      </c>
      <c r="B3526">
        <v>112</v>
      </c>
      <c r="C3526" s="1">
        <f>(Tabela1[[#This Row],[x]]-H$3)*(Tabela1[[#This Row],[x]]-H$3) +(Tabela1[[#This Row],[y]]-H$4)*(Tabela1[[#This Row],[y]]-H$4)</f>
        <v>17945</v>
      </c>
      <c r="D3526" s="1">
        <f>IF(Tabela1[[#This Row],[promien]]&lt;40000,1,0)</f>
        <v>1</v>
      </c>
      <c r="E3526" s="1">
        <f>IF(Tabela1[[#This Row],[promien]]=40000,1,0)</f>
        <v>0</v>
      </c>
      <c r="F3526" s="1">
        <v>3.1707317073170733</v>
      </c>
      <c r="G3526" s="1">
        <v>2.9139053727280206E-2</v>
      </c>
    </row>
    <row r="3527" spans="1:7">
      <c r="A3527">
        <v>218</v>
      </c>
      <c r="B3527">
        <v>259</v>
      </c>
      <c r="C3527" s="1">
        <f>(Tabela1[[#This Row],[x]]-H$3)*(Tabela1[[#This Row],[x]]-H$3) +(Tabela1[[#This Row],[y]]-H$4)*(Tabela1[[#This Row],[y]]-H$4)</f>
        <v>3805</v>
      </c>
      <c r="D3527" s="1">
        <f>IF(Tabela1[[#This Row],[promien]]&lt;40000,1,0)</f>
        <v>1</v>
      </c>
      <c r="E3527" s="1">
        <f>IF(Tabela1[[#This Row],[promien]]=40000,1,0)</f>
        <v>0</v>
      </c>
      <c r="F3527" s="1">
        <v>3.1709668273320104</v>
      </c>
      <c r="G3527" s="1">
        <v>2.9374173742217291E-2</v>
      </c>
    </row>
    <row r="3528" spans="1:7">
      <c r="A3528">
        <v>9</v>
      </c>
      <c r="B3528">
        <v>253</v>
      </c>
      <c r="C3528" s="1">
        <f>(Tabela1[[#This Row],[x]]-H$3)*(Tabela1[[#This Row],[x]]-H$3) +(Tabela1[[#This Row],[y]]-H$4)*(Tabela1[[#This Row],[y]]-H$4)</f>
        <v>39290</v>
      </c>
      <c r="D3528" s="1">
        <f>IF(Tabela1[[#This Row],[promien]]&lt;40000,1,0)</f>
        <v>1</v>
      </c>
      <c r="E3528" s="1">
        <f>IF(Tabela1[[#This Row],[promien]]=40000,1,0)</f>
        <v>0</v>
      </c>
      <c r="F3528" s="1">
        <v>3.1712018140589571</v>
      </c>
      <c r="G3528" s="1">
        <v>2.9609160469163953E-2</v>
      </c>
    </row>
    <row r="3529" spans="1:7">
      <c r="A3529">
        <v>225</v>
      </c>
      <c r="B3529">
        <v>351</v>
      </c>
      <c r="C3529" s="1">
        <f>(Tabela1[[#This Row],[x]]-H$3)*(Tabela1[[#This Row],[x]]-H$3) +(Tabela1[[#This Row],[y]]-H$4)*(Tabela1[[#This Row],[y]]-H$4)</f>
        <v>23426</v>
      </c>
      <c r="D3529" s="1">
        <f>IF(Tabela1[[#This Row],[promien]]&lt;40000,1,0)</f>
        <v>1</v>
      </c>
      <c r="E3529" s="1">
        <f>IF(Tabela1[[#This Row],[promien]]=40000,1,0)</f>
        <v>0</v>
      </c>
      <c r="F3529" s="1">
        <v>3.1714366676112213</v>
      </c>
      <c r="G3529" s="1">
        <v>2.9844014021428222E-2</v>
      </c>
    </row>
    <row r="3530" spans="1:7">
      <c r="A3530">
        <v>274</v>
      </c>
      <c r="B3530">
        <v>359</v>
      </c>
      <c r="C3530" s="1">
        <f>(Tabela1[[#This Row],[x]]-H$3)*(Tabela1[[#This Row],[x]]-H$3) +(Tabela1[[#This Row],[y]]-H$4)*(Tabela1[[#This Row],[y]]-H$4)</f>
        <v>30757</v>
      </c>
      <c r="D3530" s="1">
        <f>IF(Tabela1[[#This Row],[promien]]&lt;40000,1,0)</f>
        <v>1</v>
      </c>
      <c r="E3530" s="1">
        <f>IF(Tabela1[[#This Row],[promien]]=40000,1,0)</f>
        <v>0</v>
      </c>
      <c r="F3530" s="1">
        <v>3.1716713881019829</v>
      </c>
      <c r="G3530" s="1">
        <v>3.0078734512189786E-2</v>
      </c>
    </row>
    <row r="3531" spans="1:7">
      <c r="A3531">
        <v>166</v>
      </c>
      <c r="B3531">
        <v>50</v>
      </c>
      <c r="C3531" s="1">
        <f>(Tabela1[[#This Row],[x]]-H$3)*(Tabela1[[#This Row],[x]]-H$3) +(Tabela1[[#This Row],[y]]-H$4)*(Tabela1[[#This Row],[y]]-H$4)</f>
        <v>23656</v>
      </c>
      <c r="D3531" s="1">
        <f>IF(Tabela1[[#This Row],[promien]]&lt;40000,1,0)</f>
        <v>1</v>
      </c>
      <c r="E3531" s="1">
        <f>IF(Tabela1[[#This Row],[promien]]=40000,1,0)</f>
        <v>0</v>
      </c>
      <c r="F3531" s="1">
        <v>3.1719059756442936</v>
      </c>
      <c r="G3531" s="1">
        <v>3.0313322054500436E-2</v>
      </c>
    </row>
    <row r="3532" spans="1:7">
      <c r="A3532">
        <v>0</v>
      </c>
      <c r="B3532">
        <v>282</v>
      </c>
      <c r="C3532" s="1">
        <f>(Tabela1[[#This Row],[x]]-H$3)*(Tabela1[[#This Row],[x]]-H$3) +(Tabela1[[#This Row],[y]]-H$4)*(Tabela1[[#This Row],[y]]-H$4)</f>
        <v>46724</v>
      </c>
      <c r="D3532" s="1">
        <f>IF(Tabela1[[#This Row],[promien]]&lt;40000,1,0)</f>
        <v>0</v>
      </c>
      <c r="E3532" s="1">
        <f>IF(Tabela1[[#This Row],[promien]]=40000,1,0)</f>
        <v>0</v>
      </c>
      <c r="F3532" s="1">
        <v>3.1710079275198186</v>
      </c>
      <c r="G3532" s="1">
        <v>2.9415273930025521E-2</v>
      </c>
    </row>
    <row r="3533" spans="1:7">
      <c r="A3533">
        <v>228</v>
      </c>
      <c r="B3533">
        <v>195</v>
      </c>
      <c r="C3533" s="1">
        <f>(Tabela1[[#This Row],[x]]-H$3)*(Tabela1[[#This Row],[x]]-H$3) +(Tabela1[[#This Row],[y]]-H$4)*(Tabela1[[#This Row],[y]]-H$4)</f>
        <v>809</v>
      </c>
      <c r="D3533" s="1">
        <f>IF(Tabela1[[#This Row],[promien]]&lt;40000,1,0)</f>
        <v>1</v>
      </c>
      <c r="E3533" s="1">
        <f>IF(Tabela1[[#This Row],[promien]]=40000,1,0)</f>
        <v>0</v>
      </c>
      <c r="F3533" s="1">
        <v>3.1712425700537787</v>
      </c>
      <c r="G3533" s="1">
        <v>2.9649916463985626E-2</v>
      </c>
    </row>
    <row r="3534" spans="1:7">
      <c r="A3534">
        <v>239</v>
      </c>
      <c r="B3534">
        <v>132</v>
      </c>
      <c r="C3534" s="1">
        <f>(Tabela1[[#This Row],[x]]-H$3)*(Tabela1[[#This Row],[x]]-H$3) +(Tabela1[[#This Row],[y]]-H$4)*(Tabela1[[#This Row],[y]]-H$4)</f>
        <v>6145</v>
      </c>
      <c r="D3534" s="1">
        <f>IF(Tabela1[[#This Row],[promien]]&lt;40000,1,0)</f>
        <v>1</v>
      </c>
      <c r="E3534" s="1">
        <f>IF(Tabela1[[#This Row],[promien]]=40000,1,0)</f>
        <v>0</v>
      </c>
      <c r="F3534" s="1">
        <v>3.171477079796265</v>
      </c>
      <c r="G3534" s="1">
        <v>2.9884426206471915E-2</v>
      </c>
    </row>
    <row r="3535" spans="1:7">
      <c r="A3535">
        <v>399</v>
      </c>
      <c r="B3535">
        <v>186</v>
      </c>
      <c r="C3535" s="1">
        <f>(Tabela1[[#This Row],[x]]-H$3)*(Tabela1[[#This Row],[x]]-H$3) +(Tabela1[[#This Row],[y]]-H$4)*(Tabela1[[#This Row],[y]]-H$4)</f>
        <v>39797</v>
      </c>
      <c r="D3535" s="1">
        <f>IF(Tabela1[[#This Row],[promien]]&lt;40000,1,0)</f>
        <v>1</v>
      </c>
      <c r="E3535" s="1">
        <f>IF(Tabela1[[#This Row],[promien]]=40000,1,0)</f>
        <v>0</v>
      </c>
      <c r="F3535" s="1">
        <v>3.1717114568599718</v>
      </c>
      <c r="G3535" s="1">
        <v>3.0118803270178685E-2</v>
      </c>
    </row>
    <row r="3536" spans="1:7">
      <c r="A3536">
        <v>363</v>
      </c>
      <c r="B3536">
        <v>374</v>
      </c>
      <c r="C3536" s="1">
        <f>(Tabela1[[#This Row],[x]]-H$3)*(Tabela1[[#This Row],[x]]-H$3) +(Tabela1[[#This Row],[y]]-H$4)*(Tabela1[[#This Row],[y]]-H$4)</f>
        <v>56845</v>
      </c>
      <c r="D3536" s="1">
        <f>IF(Tabela1[[#This Row],[promien]]&lt;40000,1,0)</f>
        <v>0</v>
      </c>
      <c r="E3536" s="1">
        <f>IF(Tabela1[[#This Row],[promien]]=40000,1,0)</f>
        <v>0</v>
      </c>
      <c r="F3536" s="1">
        <v>3.1708144796380089</v>
      </c>
      <c r="G3536" s="1">
        <v>2.9221826048215771E-2</v>
      </c>
    </row>
    <row r="3537" spans="1:7">
      <c r="A3537">
        <v>121</v>
      </c>
      <c r="B3537">
        <v>17</v>
      </c>
      <c r="C3537" s="1">
        <f>(Tabela1[[#This Row],[x]]-H$3)*(Tabela1[[#This Row],[x]]-H$3) +(Tabela1[[#This Row],[y]]-H$4)*(Tabela1[[#This Row],[y]]-H$4)</f>
        <v>39730</v>
      </c>
      <c r="D3537" s="1">
        <f>IF(Tabela1[[#This Row],[promien]]&lt;40000,1,0)</f>
        <v>1</v>
      </c>
      <c r="E3537" s="1">
        <f>IF(Tabela1[[#This Row],[promien]]=40000,1,0)</f>
        <v>0</v>
      </c>
      <c r="F3537" s="1">
        <v>3.1710489115069267</v>
      </c>
      <c r="G3537" s="1">
        <v>2.9456257917133577E-2</v>
      </c>
    </row>
    <row r="3538" spans="1:7">
      <c r="A3538">
        <v>35</v>
      </c>
      <c r="B3538">
        <v>40</v>
      </c>
      <c r="C3538" s="1">
        <f>(Tabela1[[#This Row],[x]]-H$3)*(Tabela1[[#This Row],[x]]-H$3) +(Tabela1[[#This Row],[y]]-H$4)*(Tabela1[[#This Row],[y]]-H$4)</f>
        <v>52825</v>
      </c>
      <c r="D3538" s="1">
        <f>IF(Tabela1[[#This Row],[promien]]&lt;40000,1,0)</f>
        <v>0</v>
      </c>
      <c r="E3538" s="1">
        <f>IF(Tabela1[[#This Row],[promien]]=40000,1,0)</f>
        <v>0</v>
      </c>
      <c r="F3538" s="1">
        <v>3.1701526286037307</v>
      </c>
      <c r="G3538" s="1">
        <v>2.8559975013937589E-2</v>
      </c>
    </row>
    <row r="3539" spans="1:7">
      <c r="A3539">
        <v>188</v>
      </c>
      <c r="B3539">
        <v>208</v>
      </c>
      <c r="C3539" s="1">
        <f>(Tabela1[[#This Row],[x]]-H$3)*(Tabela1[[#This Row],[x]]-H$3) +(Tabela1[[#This Row],[y]]-H$4)*(Tabela1[[#This Row],[y]]-H$4)</f>
        <v>208</v>
      </c>
      <c r="D3539" s="1">
        <f>IF(Tabela1[[#This Row],[promien]]&lt;40000,1,0)</f>
        <v>1</v>
      </c>
      <c r="E3539" s="1">
        <f>IF(Tabela1[[#This Row],[promien]]=40000,1,0)</f>
        <v>0</v>
      </c>
      <c r="F3539" s="1">
        <v>3.1703871150042384</v>
      </c>
      <c r="G3539" s="1">
        <v>2.8794461414445305E-2</v>
      </c>
    </row>
    <row r="3540" spans="1:7">
      <c r="A3540">
        <v>364</v>
      </c>
      <c r="B3540">
        <v>24</v>
      </c>
      <c r="C3540" s="1">
        <f>(Tabela1[[#This Row],[x]]-H$3)*(Tabela1[[#This Row],[x]]-H$3) +(Tabela1[[#This Row],[y]]-H$4)*(Tabela1[[#This Row],[y]]-H$4)</f>
        <v>57872</v>
      </c>
      <c r="D3540" s="1">
        <f>IF(Tabela1[[#This Row],[promien]]&lt;40000,1,0)</f>
        <v>0</v>
      </c>
      <c r="E3540" s="1">
        <f>IF(Tabela1[[#This Row],[promien]]=40000,1,0)</f>
        <v>0</v>
      </c>
      <c r="F3540" s="1">
        <v>3.1694915254237288</v>
      </c>
      <c r="G3540" s="1">
        <v>2.789887183393569E-2</v>
      </c>
    </row>
    <row r="3541" spans="1:7">
      <c r="A3541">
        <v>15</v>
      </c>
      <c r="B3541">
        <v>83</v>
      </c>
      <c r="C3541" s="1">
        <f>(Tabela1[[#This Row],[x]]-H$3)*(Tabela1[[#This Row],[x]]-H$3) +(Tabela1[[#This Row],[y]]-H$4)*(Tabela1[[#This Row],[y]]-H$4)</f>
        <v>47914</v>
      </c>
      <c r="D3541" s="1">
        <f>IF(Tabela1[[#This Row],[promien]]&lt;40000,1,0)</f>
        <v>0</v>
      </c>
      <c r="E3541" s="1">
        <f>IF(Tabela1[[#This Row],[promien]]=40000,1,0)</f>
        <v>0</v>
      </c>
      <c r="F3541" s="1">
        <v>3.1685964416831403</v>
      </c>
      <c r="G3541" s="1">
        <v>2.7003788093347136E-2</v>
      </c>
    </row>
    <row r="3542" spans="1:7">
      <c r="A3542">
        <v>355</v>
      </c>
      <c r="B3542">
        <v>372</v>
      </c>
      <c r="C3542" s="1">
        <f>(Tabela1[[#This Row],[x]]-H$3)*(Tabela1[[#This Row],[x]]-H$3) +(Tabela1[[#This Row],[y]]-H$4)*(Tabela1[[#This Row],[y]]-H$4)</f>
        <v>53609</v>
      </c>
      <c r="D3542" s="1">
        <f>IF(Tabela1[[#This Row],[promien]]&lt;40000,1,0)</f>
        <v>0</v>
      </c>
      <c r="E3542" s="1">
        <f>IF(Tabela1[[#This Row],[promien]]=40000,1,0)</f>
        <v>0</v>
      </c>
      <c r="F3542" s="1">
        <v>3.1677018633540373</v>
      </c>
      <c r="G3542" s="1">
        <v>2.6109209764244135E-2</v>
      </c>
    </row>
    <row r="3543" spans="1:7">
      <c r="A3543">
        <v>253</v>
      </c>
      <c r="B3543">
        <v>318</v>
      </c>
      <c r="C3543" s="1">
        <f>(Tabela1[[#This Row],[x]]-H$3)*(Tabela1[[#This Row],[x]]-H$3) +(Tabela1[[#This Row],[y]]-H$4)*(Tabela1[[#This Row],[y]]-H$4)</f>
        <v>16733</v>
      </c>
      <c r="D3543" s="1">
        <f>IF(Tabela1[[#This Row],[promien]]&lt;40000,1,0)</f>
        <v>1</v>
      </c>
      <c r="E3543" s="1">
        <f>IF(Tabela1[[#This Row],[promien]]=40000,1,0)</f>
        <v>0</v>
      </c>
      <c r="F3543" s="1">
        <v>3.1679367767428732</v>
      </c>
      <c r="G3543" s="1">
        <v>2.6344123153080101E-2</v>
      </c>
    </row>
    <row r="3544" spans="1:7">
      <c r="A3544">
        <v>64</v>
      </c>
      <c r="B3544">
        <v>76</v>
      </c>
      <c r="C3544" s="1">
        <f>(Tabela1[[#This Row],[x]]-H$3)*(Tabela1[[#This Row],[x]]-H$3) +(Tabela1[[#This Row],[y]]-H$4)*(Tabela1[[#This Row],[y]]-H$4)</f>
        <v>33872</v>
      </c>
      <c r="D3544" s="1">
        <f>IF(Tabela1[[#This Row],[promien]]&lt;40000,1,0)</f>
        <v>1</v>
      </c>
      <c r="E3544" s="1">
        <f>IF(Tabela1[[#This Row],[promien]]=40000,1,0)</f>
        <v>0</v>
      </c>
      <c r="F3544" s="1">
        <v>3.1681715575620766</v>
      </c>
      <c r="G3544" s="1">
        <v>2.6578903972283463E-2</v>
      </c>
    </row>
    <row r="3545" spans="1:7">
      <c r="A3545">
        <v>147</v>
      </c>
      <c r="B3545">
        <v>22</v>
      </c>
      <c r="C3545" s="1">
        <f>(Tabela1[[#This Row],[x]]-H$3)*(Tabela1[[#This Row],[x]]-H$3) +(Tabela1[[#This Row],[y]]-H$4)*(Tabela1[[#This Row],[y]]-H$4)</f>
        <v>34493</v>
      </c>
      <c r="D3545" s="1">
        <f>IF(Tabela1[[#This Row],[promien]]&lt;40000,1,0)</f>
        <v>1</v>
      </c>
      <c r="E3545" s="1">
        <f>IF(Tabela1[[#This Row],[promien]]=40000,1,0)</f>
        <v>0</v>
      </c>
      <c r="F3545" s="1">
        <v>3.1684062059238363</v>
      </c>
      <c r="G3545" s="1">
        <v>2.6813552334043145E-2</v>
      </c>
    </row>
    <row r="3546" spans="1:7">
      <c r="A3546">
        <v>331</v>
      </c>
      <c r="B3546">
        <v>135</v>
      </c>
      <c r="C3546" s="1">
        <f>(Tabela1[[#This Row],[x]]-H$3)*(Tabela1[[#This Row],[x]]-H$3) +(Tabela1[[#This Row],[y]]-H$4)*(Tabela1[[#This Row],[y]]-H$4)</f>
        <v>21386</v>
      </c>
      <c r="D3546" s="1">
        <f>IF(Tabela1[[#This Row],[promien]]&lt;40000,1,0)</f>
        <v>1</v>
      </c>
      <c r="E3546" s="1">
        <f>IF(Tabela1[[#This Row],[promien]]=40000,1,0)</f>
        <v>0</v>
      </c>
      <c r="F3546" s="1">
        <v>3.1686407219402142</v>
      </c>
      <c r="G3546" s="1">
        <v>2.7048068350421062E-2</v>
      </c>
    </row>
    <row r="3547" spans="1:7">
      <c r="A3547">
        <v>369</v>
      </c>
      <c r="B3547">
        <v>4</v>
      </c>
      <c r="C3547" s="1">
        <f>(Tabela1[[#This Row],[x]]-H$3)*(Tabela1[[#This Row],[x]]-H$3) +(Tabela1[[#This Row],[y]]-H$4)*(Tabela1[[#This Row],[y]]-H$4)</f>
        <v>66977</v>
      </c>
      <c r="D3547" s="1">
        <f>IF(Tabela1[[#This Row],[promien]]&lt;40000,1,0)</f>
        <v>0</v>
      </c>
      <c r="E3547" s="1">
        <f>IF(Tabela1[[#This Row],[promien]]=40000,1,0)</f>
        <v>0</v>
      </c>
      <c r="F3547" s="1">
        <v>3.1677473921623909</v>
      </c>
      <c r="G3547" s="1">
        <v>2.6154738572597758E-2</v>
      </c>
    </row>
    <row r="3548" spans="1:7">
      <c r="A3548">
        <v>176</v>
      </c>
      <c r="B3548">
        <v>269</v>
      </c>
      <c r="C3548" s="1">
        <f>(Tabela1[[#This Row],[x]]-H$3)*(Tabela1[[#This Row],[x]]-H$3) +(Tabela1[[#This Row],[y]]-H$4)*(Tabela1[[#This Row],[y]]-H$4)</f>
        <v>5337</v>
      </c>
      <c r="D3548" s="1">
        <f>IF(Tabela1[[#This Row],[promien]]&lt;40000,1,0)</f>
        <v>1</v>
      </c>
      <c r="E3548" s="1">
        <f>IF(Tabela1[[#This Row],[promien]]=40000,1,0)</f>
        <v>0</v>
      </c>
      <c r="F3548" s="1">
        <v>3.1679819616685458</v>
      </c>
      <c r="G3548" s="1">
        <v>2.6389308078752727E-2</v>
      </c>
    </row>
    <row r="3549" spans="1:7">
      <c r="A3549">
        <v>238</v>
      </c>
      <c r="B3549">
        <v>157</v>
      </c>
      <c r="C3549" s="1">
        <f>(Tabela1[[#This Row],[x]]-H$3)*(Tabela1[[#This Row],[x]]-H$3) +(Tabela1[[#This Row],[y]]-H$4)*(Tabela1[[#This Row],[y]]-H$4)</f>
        <v>3293</v>
      </c>
      <c r="D3549" s="1">
        <f>IF(Tabela1[[#This Row],[promien]]&lt;40000,1,0)</f>
        <v>1</v>
      </c>
      <c r="E3549" s="1">
        <f>IF(Tabela1[[#This Row],[promien]]=40000,1,0)</f>
        <v>0</v>
      </c>
      <c r="F3549" s="1">
        <v>3.1682163989856296</v>
      </c>
      <c r="G3549" s="1">
        <v>2.6623745395836451E-2</v>
      </c>
    </row>
    <row r="3550" spans="1:7">
      <c r="A3550">
        <v>188</v>
      </c>
      <c r="B3550">
        <v>396</v>
      </c>
      <c r="C3550" s="1">
        <f>(Tabela1[[#This Row],[x]]-H$3)*(Tabela1[[#This Row],[x]]-H$3) +(Tabela1[[#This Row],[y]]-H$4)*(Tabela1[[#This Row],[y]]-H$4)</f>
        <v>38560</v>
      </c>
      <c r="D3550" s="1">
        <f>IF(Tabela1[[#This Row],[promien]]&lt;40000,1,0)</f>
        <v>1</v>
      </c>
      <c r="E3550" s="1">
        <f>IF(Tabela1[[#This Row],[promien]]=40000,1,0)</f>
        <v>0</v>
      </c>
      <c r="F3550" s="1">
        <v>3.1684507042253522</v>
      </c>
      <c r="G3550" s="1">
        <v>2.6858050635559128E-2</v>
      </c>
    </row>
    <row r="3551" spans="1:7">
      <c r="A3551">
        <v>394</v>
      </c>
      <c r="B3551">
        <v>125</v>
      </c>
      <c r="C3551" s="1">
        <f>(Tabela1[[#This Row],[x]]-H$3)*(Tabela1[[#This Row],[x]]-H$3) +(Tabela1[[#This Row],[y]]-H$4)*(Tabela1[[#This Row],[y]]-H$4)</f>
        <v>43261</v>
      </c>
      <c r="D3551" s="1">
        <f>IF(Tabela1[[#This Row],[promien]]&lt;40000,1,0)</f>
        <v>0</v>
      </c>
      <c r="E3551" s="1">
        <f>IF(Tabela1[[#This Row],[promien]]=40000,1,0)</f>
        <v>0</v>
      </c>
      <c r="F3551" s="1">
        <v>3.1675584342438752</v>
      </c>
      <c r="G3551" s="1">
        <v>2.596578065408206E-2</v>
      </c>
    </row>
    <row r="3552" spans="1:7">
      <c r="A3552">
        <v>146</v>
      </c>
      <c r="B3552">
        <v>21</v>
      </c>
      <c r="C3552" s="1">
        <f>(Tabela1[[#This Row],[x]]-H$3)*(Tabela1[[#This Row],[x]]-H$3) +(Tabela1[[#This Row],[y]]-H$4)*(Tabela1[[#This Row],[y]]-H$4)</f>
        <v>34957</v>
      </c>
      <c r="D3552" s="1">
        <f>IF(Tabela1[[#This Row],[promien]]&lt;40000,1,0)</f>
        <v>1</v>
      </c>
      <c r="E3552" s="1">
        <f>IF(Tabela1[[#This Row],[promien]]=40000,1,0)</f>
        <v>0</v>
      </c>
      <c r="F3552" s="1">
        <v>3.1677927927927927</v>
      </c>
      <c r="G3552" s="1">
        <v>2.6200139202999573E-2</v>
      </c>
    </row>
    <row r="3553" spans="1:7">
      <c r="A3553">
        <v>72</v>
      </c>
      <c r="B3553">
        <v>183</v>
      </c>
      <c r="C3553" s="1">
        <f>(Tabela1[[#This Row],[x]]-H$3)*(Tabela1[[#This Row],[x]]-H$3) +(Tabela1[[#This Row],[y]]-H$4)*(Tabela1[[#This Row],[y]]-H$4)</f>
        <v>16673</v>
      </c>
      <c r="D3553" s="1">
        <f>IF(Tabela1[[#This Row],[promien]]&lt;40000,1,0)</f>
        <v>1</v>
      </c>
      <c r="E3553" s="1">
        <f>IF(Tabela1[[#This Row],[promien]]=40000,1,0)</f>
        <v>0</v>
      </c>
      <c r="F3553" s="1">
        <v>3.1680270194202085</v>
      </c>
      <c r="G3553" s="1">
        <v>2.6434365830415363E-2</v>
      </c>
    </row>
    <row r="3554" spans="1:7">
      <c r="A3554">
        <v>22</v>
      </c>
      <c r="B3554">
        <v>329</v>
      </c>
      <c r="C3554" s="1">
        <f>(Tabela1[[#This Row],[x]]-H$3)*(Tabela1[[#This Row],[x]]-H$3) +(Tabela1[[#This Row],[y]]-H$4)*(Tabela1[[#This Row],[y]]-H$4)</f>
        <v>48325</v>
      </c>
      <c r="D3554" s="1">
        <f>IF(Tabela1[[#This Row],[promien]]&lt;40000,1,0)</f>
        <v>0</v>
      </c>
      <c r="E3554" s="1">
        <f>IF(Tabela1[[#This Row],[promien]]=40000,1,0)</f>
        <v>0</v>
      </c>
      <c r="F3554" s="1">
        <v>3.1671356218345528</v>
      </c>
      <c r="G3554" s="1">
        <v>2.5542968244759656E-2</v>
      </c>
    </row>
    <row r="3555" spans="1:7">
      <c r="A3555">
        <v>43</v>
      </c>
      <c r="B3555">
        <v>343</v>
      </c>
      <c r="C3555" s="1">
        <f>(Tabela1[[#This Row],[x]]-H$3)*(Tabela1[[#This Row],[x]]-H$3) +(Tabela1[[#This Row],[y]]-H$4)*(Tabela1[[#This Row],[y]]-H$4)</f>
        <v>45098</v>
      </c>
      <c r="D3555" s="1">
        <f>IF(Tabela1[[#This Row],[promien]]&lt;40000,1,0)</f>
        <v>0</v>
      </c>
      <c r="E3555" s="1">
        <f>IF(Tabela1[[#This Row],[promien]]=40000,1,0)</f>
        <v>0</v>
      </c>
      <c r="F3555" s="1">
        <v>3.1662447257383968</v>
      </c>
      <c r="G3555" s="1">
        <v>2.4652072148603654E-2</v>
      </c>
    </row>
    <row r="3556" spans="1:7">
      <c r="A3556">
        <v>185</v>
      </c>
      <c r="B3556">
        <v>286</v>
      </c>
      <c r="C3556" s="1">
        <f>(Tabela1[[#This Row],[x]]-H$3)*(Tabela1[[#This Row],[x]]-H$3) +(Tabela1[[#This Row],[y]]-H$4)*(Tabela1[[#This Row],[y]]-H$4)</f>
        <v>7621</v>
      </c>
      <c r="D3556" s="1">
        <f>IF(Tabela1[[#This Row],[promien]]&lt;40000,1,0)</f>
        <v>1</v>
      </c>
      <c r="E3556" s="1">
        <f>IF(Tabela1[[#This Row],[promien]]=40000,1,0)</f>
        <v>0</v>
      </c>
      <c r="F3556" s="1">
        <v>3.1664791901012372</v>
      </c>
      <c r="G3556" s="1">
        <v>2.4886536511444124E-2</v>
      </c>
    </row>
    <row r="3557" spans="1:7">
      <c r="A3557">
        <v>301</v>
      </c>
      <c r="B3557">
        <v>9</v>
      </c>
      <c r="C3557" s="1">
        <f>(Tabela1[[#This Row],[x]]-H$3)*(Tabela1[[#This Row],[x]]-H$3) +(Tabela1[[#This Row],[y]]-H$4)*(Tabela1[[#This Row],[y]]-H$4)</f>
        <v>46682</v>
      </c>
      <c r="D3557" s="1">
        <f>IF(Tabela1[[#This Row],[promien]]&lt;40000,1,0)</f>
        <v>0</v>
      </c>
      <c r="E3557" s="1">
        <f>IF(Tabela1[[#This Row],[promien]]=40000,1,0)</f>
        <v>0</v>
      </c>
      <c r="F3557" s="1">
        <v>3.1655889794770875</v>
      </c>
      <c r="G3557" s="1">
        <v>2.399632588729439E-2</v>
      </c>
    </row>
    <row r="3558" spans="1:7">
      <c r="A3558">
        <v>174</v>
      </c>
      <c r="B3558">
        <v>149</v>
      </c>
      <c r="C3558" s="1">
        <f>(Tabela1[[#This Row],[x]]-H$3)*(Tabela1[[#This Row],[x]]-H$3) +(Tabela1[[#This Row],[y]]-H$4)*(Tabela1[[#This Row],[y]]-H$4)</f>
        <v>3277</v>
      </c>
      <c r="D3558" s="1">
        <f>IF(Tabela1[[#This Row],[promien]]&lt;40000,1,0)</f>
        <v>1</v>
      </c>
      <c r="E3558" s="1">
        <f>IF(Tabela1[[#This Row],[promien]]=40000,1,0)</f>
        <v>0</v>
      </c>
      <c r="F3558" s="1">
        <v>3.1658234963462619</v>
      </c>
      <c r="G3558" s="1">
        <v>2.4230842756468807E-2</v>
      </c>
    </row>
    <row r="3559" spans="1:7">
      <c r="A3559">
        <v>391</v>
      </c>
      <c r="B3559">
        <v>398</v>
      </c>
      <c r="C3559" s="1">
        <f>(Tabela1[[#This Row],[x]]-H$3)*(Tabela1[[#This Row],[x]]-H$3) +(Tabela1[[#This Row],[y]]-H$4)*(Tabela1[[#This Row],[y]]-H$4)</f>
        <v>75685</v>
      </c>
      <c r="D3559" s="1">
        <f>IF(Tabela1[[#This Row],[promien]]&lt;40000,1,0)</f>
        <v>0</v>
      </c>
      <c r="E3559" s="1">
        <f>IF(Tabela1[[#This Row],[promien]]=40000,1,0)</f>
        <v>0</v>
      </c>
      <c r="F3559" s="1">
        <v>3.164933970216353</v>
      </c>
      <c r="G3559" s="1">
        <v>2.3341316626559916E-2</v>
      </c>
    </row>
    <row r="3560" spans="1:7">
      <c r="A3560">
        <v>373</v>
      </c>
      <c r="B3560">
        <v>41</v>
      </c>
      <c r="C3560" s="1">
        <f>(Tabela1[[#This Row],[x]]-H$3)*(Tabela1[[#This Row],[x]]-H$3) +(Tabela1[[#This Row],[y]]-H$4)*(Tabela1[[#This Row],[y]]-H$4)</f>
        <v>55210</v>
      </c>
      <c r="D3560" s="1">
        <f>IF(Tabela1[[#This Row],[promien]]&lt;40000,1,0)</f>
        <v>0</v>
      </c>
      <c r="E3560" s="1">
        <f>IF(Tabela1[[#This Row],[promien]]=40000,1,0)</f>
        <v>0</v>
      </c>
      <c r="F3560" s="1">
        <v>3.1640449438202247</v>
      </c>
      <c r="G3560" s="1">
        <v>2.2452290230431604E-2</v>
      </c>
    </row>
    <row r="3561" spans="1:7">
      <c r="A3561">
        <v>366</v>
      </c>
      <c r="B3561">
        <v>296</v>
      </c>
      <c r="C3561" s="1">
        <f>(Tabela1[[#This Row],[x]]-H$3)*(Tabela1[[#This Row],[x]]-H$3) +(Tabela1[[#This Row],[y]]-H$4)*(Tabela1[[#This Row],[y]]-H$4)</f>
        <v>36772</v>
      </c>
      <c r="D3561" s="1">
        <f>IF(Tabela1[[#This Row],[promien]]&lt;40000,1,0)</f>
        <v>1</v>
      </c>
      <c r="E3561" s="1">
        <f>IF(Tabela1[[#This Row],[promien]]=40000,1,0)</f>
        <v>0</v>
      </c>
      <c r="F3561" s="1">
        <v>3.1642796967144062</v>
      </c>
      <c r="G3561" s="1">
        <v>2.2687043124613115E-2</v>
      </c>
    </row>
    <row r="3562" spans="1:7">
      <c r="A3562">
        <v>184</v>
      </c>
      <c r="B3562">
        <v>394</v>
      </c>
      <c r="C3562" s="1">
        <f>(Tabela1[[#This Row],[x]]-H$3)*(Tabela1[[#This Row],[x]]-H$3) +(Tabela1[[#This Row],[y]]-H$4)*(Tabela1[[#This Row],[y]]-H$4)</f>
        <v>37892</v>
      </c>
      <c r="D3562" s="1">
        <f>IF(Tabela1[[#This Row],[promien]]&lt;40000,1,0)</f>
        <v>1</v>
      </c>
      <c r="E3562" s="1">
        <f>IF(Tabela1[[#This Row],[promien]]=40000,1,0)</f>
        <v>0</v>
      </c>
      <c r="F3562" s="1">
        <v>3.1645143177989894</v>
      </c>
      <c r="G3562" s="1">
        <v>2.292166420919628E-2</v>
      </c>
    </row>
    <row r="3563" spans="1:7">
      <c r="A3563">
        <v>8</v>
      </c>
      <c r="B3563">
        <v>172</v>
      </c>
      <c r="C3563" s="1">
        <f>(Tabela1[[#This Row],[x]]-H$3)*(Tabela1[[#This Row],[x]]-H$3) +(Tabela1[[#This Row],[y]]-H$4)*(Tabela1[[#This Row],[y]]-H$4)</f>
        <v>37648</v>
      </c>
      <c r="D3563" s="1">
        <f>IF(Tabela1[[#This Row],[promien]]&lt;40000,1,0)</f>
        <v>1</v>
      </c>
      <c r="E3563" s="1">
        <f>IF(Tabela1[[#This Row],[promien]]=40000,1,0)</f>
        <v>0</v>
      </c>
      <c r="F3563" s="1">
        <v>3.1647488071849565</v>
      </c>
      <c r="G3563" s="1">
        <v>2.3156153595163431E-2</v>
      </c>
    </row>
    <row r="3564" spans="1:7">
      <c r="A3564">
        <v>144</v>
      </c>
      <c r="B3564">
        <v>332</v>
      </c>
      <c r="C3564" s="1">
        <f>(Tabela1[[#This Row],[x]]-H$3)*(Tabela1[[#This Row],[x]]-H$3) +(Tabela1[[#This Row],[y]]-H$4)*(Tabela1[[#This Row],[y]]-H$4)</f>
        <v>20560</v>
      </c>
      <c r="D3564" s="1">
        <f>IF(Tabela1[[#This Row],[promien]]&lt;40000,1,0)</f>
        <v>1</v>
      </c>
      <c r="E3564" s="1">
        <f>IF(Tabela1[[#This Row],[promien]]=40000,1,0)</f>
        <v>0</v>
      </c>
      <c r="F3564" s="1">
        <v>3.1649831649831648</v>
      </c>
      <c r="G3564" s="1">
        <v>2.3390511393371671E-2</v>
      </c>
    </row>
    <row r="3565" spans="1:7">
      <c r="A3565">
        <v>32</v>
      </c>
      <c r="B3565">
        <v>397</v>
      </c>
      <c r="C3565" s="1">
        <f>(Tabela1[[#This Row],[x]]-H$3)*(Tabela1[[#This Row],[x]]-H$3) +(Tabela1[[#This Row],[y]]-H$4)*(Tabela1[[#This Row],[y]]-H$4)</f>
        <v>67033</v>
      </c>
      <c r="D3565" s="1">
        <f>IF(Tabela1[[#This Row],[promien]]&lt;40000,1,0)</f>
        <v>0</v>
      </c>
      <c r="E3565" s="1">
        <f>IF(Tabela1[[#This Row],[promien]]=40000,1,0)</f>
        <v>0</v>
      </c>
      <c r="F3565" s="1">
        <v>3.1640953716690041</v>
      </c>
      <c r="G3565" s="1">
        <v>2.2502718079211004E-2</v>
      </c>
    </row>
    <row r="3566" spans="1:7">
      <c r="A3566">
        <v>332</v>
      </c>
      <c r="B3566">
        <v>35</v>
      </c>
      <c r="C3566" s="1">
        <f>(Tabela1[[#This Row],[x]]-H$3)*(Tabela1[[#This Row],[x]]-H$3) +(Tabela1[[#This Row],[y]]-H$4)*(Tabela1[[#This Row],[y]]-H$4)</f>
        <v>44649</v>
      </c>
      <c r="D3566" s="1">
        <f>IF(Tabela1[[#This Row],[promien]]&lt;40000,1,0)</f>
        <v>0</v>
      </c>
      <c r="E3566" s="1">
        <f>IF(Tabela1[[#This Row],[promien]]=40000,1,0)</f>
        <v>0</v>
      </c>
      <c r="F3566" s="1">
        <v>3.1632080762759394</v>
      </c>
      <c r="G3566" s="1">
        <v>2.1615422686146246E-2</v>
      </c>
    </row>
    <row r="3567" spans="1:7">
      <c r="A3567">
        <v>35</v>
      </c>
      <c r="B3567">
        <v>206</v>
      </c>
      <c r="C3567" s="1">
        <f>(Tabela1[[#This Row],[x]]-H$3)*(Tabela1[[#This Row],[x]]-H$3) +(Tabela1[[#This Row],[y]]-H$4)*(Tabela1[[#This Row],[y]]-H$4)</f>
        <v>27261</v>
      </c>
      <c r="D3567" s="1">
        <f>IF(Tabela1[[#This Row],[promien]]&lt;40000,1,0)</f>
        <v>1</v>
      </c>
      <c r="E3567" s="1">
        <f>IF(Tabela1[[#This Row],[promien]]=40000,1,0)</f>
        <v>0</v>
      </c>
      <c r="F3567" s="1">
        <v>3.1634426689094477</v>
      </c>
      <c r="G3567" s="1">
        <v>2.1850015319654581E-2</v>
      </c>
    </row>
    <row r="3568" spans="1:7">
      <c r="A3568">
        <v>109</v>
      </c>
      <c r="B3568">
        <v>386</v>
      </c>
      <c r="C3568" s="1">
        <f>(Tabela1[[#This Row],[x]]-H$3)*(Tabela1[[#This Row],[x]]-H$3) +(Tabela1[[#This Row],[y]]-H$4)*(Tabela1[[#This Row],[y]]-H$4)</f>
        <v>42877</v>
      </c>
      <c r="D3568" s="1">
        <f>IF(Tabela1[[#This Row],[promien]]&lt;40000,1,0)</f>
        <v>0</v>
      </c>
      <c r="E3568" s="1">
        <f>IF(Tabela1[[#This Row],[promien]]=40000,1,0)</f>
        <v>0</v>
      </c>
      <c r="F3568" s="1">
        <v>3.1625560538116591</v>
      </c>
      <c r="G3568" s="1">
        <v>2.0963400221865935E-2</v>
      </c>
    </row>
    <row r="3569" spans="1:7">
      <c r="A3569">
        <v>57</v>
      </c>
      <c r="B3569">
        <v>341</v>
      </c>
      <c r="C3569" s="1">
        <f>(Tabela1[[#This Row],[x]]-H$3)*(Tabela1[[#This Row],[x]]-H$3) +(Tabela1[[#This Row],[y]]-H$4)*(Tabela1[[#This Row],[y]]-H$4)</f>
        <v>40330</v>
      </c>
      <c r="D3569" s="1">
        <f>IF(Tabela1[[#This Row],[promien]]&lt;40000,1,0)</f>
        <v>0</v>
      </c>
      <c r="E3569" s="1">
        <f>IF(Tabela1[[#This Row],[promien]]=40000,1,0)</f>
        <v>0</v>
      </c>
      <c r="F3569" s="1">
        <v>3.1616699355561781</v>
      </c>
      <c r="G3569" s="1">
        <v>2.007728196638503E-2</v>
      </c>
    </row>
    <row r="3570" spans="1:7">
      <c r="A3570">
        <v>266</v>
      </c>
      <c r="B3570">
        <v>379</v>
      </c>
      <c r="C3570" s="1">
        <f>(Tabela1[[#This Row],[x]]-H$3)*(Tabela1[[#This Row],[x]]-H$3) +(Tabela1[[#This Row],[y]]-H$4)*(Tabela1[[#This Row],[y]]-H$4)</f>
        <v>36397</v>
      </c>
      <c r="D3570" s="1">
        <f>IF(Tabela1[[#This Row],[promien]]&lt;40000,1,0)</f>
        <v>1</v>
      </c>
      <c r="E3570" s="1">
        <f>IF(Tabela1[[#This Row],[promien]]=40000,1,0)</f>
        <v>0</v>
      </c>
      <c r="F3570" s="1">
        <v>3.1619047619047618</v>
      </c>
      <c r="G3570" s="1">
        <v>2.0312108314968658E-2</v>
      </c>
    </row>
    <row r="3571" spans="1:7">
      <c r="A3571">
        <v>232</v>
      </c>
      <c r="B3571">
        <v>125</v>
      </c>
      <c r="C3571" s="1">
        <f>(Tabela1[[#This Row],[x]]-H$3)*(Tabela1[[#This Row],[x]]-H$3) +(Tabela1[[#This Row],[y]]-H$4)*(Tabela1[[#This Row],[y]]-H$4)</f>
        <v>6649</v>
      </c>
      <c r="D3571" s="1">
        <f>IF(Tabela1[[#This Row],[promien]]&lt;40000,1,0)</f>
        <v>1</v>
      </c>
      <c r="E3571" s="1">
        <f>IF(Tabela1[[#This Row],[promien]]=40000,1,0)</f>
        <v>0</v>
      </c>
      <c r="F3571" s="1">
        <v>3.162139456734808</v>
      </c>
      <c r="G3571" s="1">
        <v>2.0546803145014891E-2</v>
      </c>
    </row>
    <row r="3572" spans="1:7">
      <c r="A3572">
        <v>362</v>
      </c>
      <c r="B3572">
        <v>104</v>
      </c>
      <c r="C3572" s="1">
        <f>(Tabela1[[#This Row],[x]]-H$3)*(Tabela1[[#This Row],[x]]-H$3) +(Tabela1[[#This Row],[y]]-H$4)*(Tabela1[[#This Row],[y]]-H$4)</f>
        <v>35460</v>
      </c>
      <c r="D3572" s="1">
        <f>IF(Tabela1[[#This Row],[promien]]&lt;40000,1,0)</f>
        <v>1</v>
      </c>
      <c r="E3572" s="1">
        <f>IF(Tabela1[[#This Row],[promien]]=40000,1,0)</f>
        <v>0</v>
      </c>
      <c r="F3572" s="1">
        <v>3.1623740201567747</v>
      </c>
      <c r="G3572" s="1">
        <v>2.0781366566981596E-2</v>
      </c>
    </row>
    <row r="3573" spans="1:7">
      <c r="A3573">
        <v>273</v>
      </c>
      <c r="B3573">
        <v>357</v>
      </c>
      <c r="C3573" s="1">
        <f>(Tabela1[[#This Row],[x]]-H$3)*(Tabela1[[#This Row],[x]]-H$3) +(Tabela1[[#This Row],[y]]-H$4)*(Tabela1[[#This Row],[y]]-H$4)</f>
        <v>29978</v>
      </c>
      <c r="D3573" s="1">
        <f>IF(Tabela1[[#This Row],[promien]]&lt;40000,1,0)</f>
        <v>1</v>
      </c>
      <c r="E3573" s="1">
        <f>IF(Tabela1[[#This Row],[promien]]=40000,1,0)</f>
        <v>0</v>
      </c>
      <c r="F3573" s="1">
        <v>3.1626084522809963</v>
      </c>
      <c r="G3573" s="1">
        <v>2.101579869120318E-2</v>
      </c>
    </row>
    <row r="3574" spans="1:7">
      <c r="A3574">
        <v>133</v>
      </c>
      <c r="B3574">
        <v>63</v>
      </c>
      <c r="C3574" s="1">
        <f>(Tabela1[[#This Row],[x]]-H$3)*(Tabela1[[#This Row],[x]]-H$3) +(Tabela1[[#This Row],[y]]-H$4)*(Tabela1[[#This Row],[y]]-H$4)</f>
        <v>23258</v>
      </c>
      <c r="D3574" s="1">
        <f>IF(Tabela1[[#This Row],[promien]]&lt;40000,1,0)</f>
        <v>1</v>
      </c>
      <c r="E3574" s="1">
        <f>IF(Tabela1[[#This Row],[promien]]=40000,1,0)</f>
        <v>0</v>
      </c>
      <c r="F3574" s="1">
        <v>3.1628427532176833</v>
      </c>
      <c r="G3574" s="1">
        <v>2.1250099627890151E-2</v>
      </c>
    </row>
    <row r="3575" spans="1:7">
      <c r="A3575">
        <v>81</v>
      </c>
      <c r="B3575">
        <v>387</v>
      </c>
      <c r="C3575" s="1">
        <f>(Tabela1[[#This Row],[x]]-H$3)*(Tabela1[[#This Row],[x]]-H$3) +(Tabela1[[#This Row],[y]]-H$4)*(Tabela1[[#This Row],[y]]-H$4)</f>
        <v>49130</v>
      </c>
      <c r="D3575" s="1">
        <f>IF(Tabela1[[#This Row],[promien]]&lt;40000,1,0)</f>
        <v>0</v>
      </c>
      <c r="E3575" s="1">
        <f>IF(Tabela1[[#This Row],[promien]]=40000,1,0)</f>
        <v>0</v>
      </c>
      <c r="F3575" s="1">
        <v>3.1619580419580418</v>
      </c>
      <c r="G3575" s="1">
        <v>2.0365388368248638E-2</v>
      </c>
    </row>
    <row r="3576" spans="1:7">
      <c r="A3576">
        <v>9</v>
      </c>
      <c r="B3576">
        <v>356</v>
      </c>
      <c r="C3576" s="1">
        <f>(Tabela1[[#This Row],[x]]-H$3)*(Tabela1[[#This Row],[x]]-H$3) +(Tabela1[[#This Row],[y]]-H$4)*(Tabela1[[#This Row],[y]]-H$4)</f>
        <v>60817</v>
      </c>
      <c r="D3576" s="1">
        <f>IF(Tabela1[[#This Row],[promien]]&lt;40000,1,0)</f>
        <v>0</v>
      </c>
      <c r="E3576" s="1">
        <f>IF(Tabela1[[#This Row],[promien]]=40000,1,0)</f>
        <v>0</v>
      </c>
      <c r="F3576" s="1">
        <v>3.1610738255033559</v>
      </c>
      <c r="G3576" s="1">
        <v>1.94811719135628E-2</v>
      </c>
    </row>
    <row r="3577" spans="1:7">
      <c r="A3577">
        <v>198</v>
      </c>
      <c r="B3577">
        <v>394</v>
      </c>
      <c r="C3577" s="1">
        <f>(Tabela1[[#This Row],[x]]-H$3)*(Tabela1[[#This Row],[x]]-H$3) +(Tabela1[[#This Row],[y]]-H$4)*(Tabela1[[#This Row],[y]]-H$4)</f>
        <v>37640</v>
      </c>
      <c r="D3577" s="1">
        <f>IF(Tabela1[[#This Row],[promien]]&lt;40000,1,0)</f>
        <v>1</v>
      </c>
      <c r="E3577" s="1">
        <f>IF(Tabela1[[#This Row],[promien]]=40000,1,0)</f>
        <v>0</v>
      </c>
      <c r="F3577" s="1">
        <v>3.1613083589600222</v>
      </c>
      <c r="G3577" s="1">
        <v>1.9715705370229042E-2</v>
      </c>
    </row>
    <row r="3578" spans="1:7">
      <c r="A3578">
        <v>163</v>
      </c>
      <c r="B3578">
        <v>330</v>
      </c>
      <c r="C3578" s="1">
        <f>(Tabela1[[#This Row],[x]]-H$3)*(Tabela1[[#This Row],[x]]-H$3) +(Tabela1[[#This Row],[y]]-H$4)*(Tabela1[[#This Row],[y]]-H$4)</f>
        <v>18269</v>
      </c>
      <c r="D3578" s="1">
        <f>IF(Tabela1[[#This Row],[promien]]&lt;40000,1,0)</f>
        <v>1</v>
      </c>
      <c r="E3578" s="1">
        <f>IF(Tabela1[[#This Row],[promien]]=40000,1,0)</f>
        <v>0</v>
      </c>
      <c r="F3578" s="1">
        <v>3.1615427613191729</v>
      </c>
      <c r="G3578" s="1">
        <v>1.9950107729379774E-2</v>
      </c>
    </row>
    <row r="3579" spans="1:7">
      <c r="A3579">
        <v>239</v>
      </c>
      <c r="B3579">
        <v>166</v>
      </c>
      <c r="C3579" s="1">
        <f>(Tabela1[[#This Row],[x]]-H$3)*(Tabela1[[#This Row],[x]]-H$3) +(Tabela1[[#This Row],[y]]-H$4)*(Tabela1[[#This Row],[y]]-H$4)</f>
        <v>2677</v>
      </c>
      <c r="D3579" s="1">
        <f>IF(Tabela1[[#This Row],[promien]]&lt;40000,1,0)</f>
        <v>1</v>
      </c>
      <c r="E3579" s="1">
        <f>IF(Tabela1[[#This Row],[promien]]=40000,1,0)</f>
        <v>0</v>
      </c>
      <c r="F3579" s="1">
        <v>3.1617770326906958</v>
      </c>
      <c r="G3579" s="1">
        <v>2.018437910090265E-2</v>
      </c>
    </row>
    <row r="3580" spans="1:7">
      <c r="A3580">
        <v>8</v>
      </c>
      <c r="B3580">
        <v>218</v>
      </c>
      <c r="C3580" s="1">
        <f>(Tabela1[[#This Row],[x]]-H$3)*(Tabela1[[#This Row],[x]]-H$3) +(Tabela1[[#This Row],[y]]-H$4)*(Tabela1[[#This Row],[y]]-H$4)</f>
        <v>37188</v>
      </c>
      <c r="D3580" s="1">
        <f>IF(Tabela1[[#This Row],[promien]]&lt;40000,1,0)</f>
        <v>1</v>
      </c>
      <c r="E3580" s="1">
        <f>IF(Tabela1[[#This Row],[promien]]=40000,1,0)</f>
        <v>0</v>
      </c>
      <c r="F3580" s="1">
        <v>3.1620111731843576</v>
      </c>
      <c r="G3580" s="1">
        <v>2.0418519594564533E-2</v>
      </c>
    </row>
    <row r="3581" spans="1:7">
      <c r="A3581">
        <v>263</v>
      </c>
      <c r="B3581">
        <v>40</v>
      </c>
      <c r="C3581" s="1">
        <f>(Tabela1[[#This Row],[x]]-H$3)*(Tabela1[[#This Row],[x]]-H$3) +(Tabela1[[#This Row],[y]]-H$4)*(Tabela1[[#This Row],[y]]-H$4)</f>
        <v>29569</v>
      </c>
      <c r="D3581" s="1">
        <f>IF(Tabela1[[#This Row],[promien]]&lt;40000,1,0)</f>
        <v>1</v>
      </c>
      <c r="E3581" s="1">
        <f>IF(Tabela1[[#This Row],[promien]]=40000,1,0)</f>
        <v>0</v>
      </c>
      <c r="F3581" s="1">
        <v>3.1622451829098019</v>
      </c>
      <c r="G3581" s="1">
        <v>2.0652529320008828E-2</v>
      </c>
    </row>
    <row r="3582" spans="1:7">
      <c r="A3582">
        <v>175</v>
      </c>
      <c r="B3582">
        <v>285</v>
      </c>
      <c r="C3582" s="1">
        <f>(Tabela1[[#This Row],[x]]-H$3)*(Tabela1[[#This Row],[x]]-H$3) +(Tabela1[[#This Row],[y]]-H$4)*(Tabela1[[#This Row],[y]]-H$4)</f>
        <v>7850</v>
      </c>
      <c r="D3582" s="1">
        <f>IF(Tabela1[[#This Row],[promien]]&lt;40000,1,0)</f>
        <v>1</v>
      </c>
      <c r="E3582" s="1">
        <f>IF(Tabela1[[#This Row],[promien]]=40000,1,0)</f>
        <v>0</v>
      </c>
      <c r="F3582" s="1">
        <v>3.1624790619765495</v>
      </c>
      <c r="G3582" s="1">
        <v>2.0886408386756372E-2</v>
      </c>
    </row>
    <row r="3583" spans="1:7">
      <c r="A3583">
        <v>111</v>
      </c>
      <c r="B3583">
        <v>331</v>
      </c>
      <c r="C3583" s="1">
        <f>(Tabela1[[#This Row],[x]]-H$3)*(Tabela1[[#This Row],[x]]-H$3) +(Tabela1[[#This Row],[y]]-H$4)*(Tabela1[[#This Row],[y]]-H$4)</f>
        <v>25082</v>
      </c>
      <c r="D3583" s="1">
        <f>IF(Tabela1[[#This Row],[promien]]&lt;40000,1,0)</f>
        <v>1</v>
      </c>
      <c r="E3583" s="1">
        <f>IF(Tabela1[[#This Row],[promien]]=40000,1,0)</f>
        <v>0</v>
      </c>
      <c r="F3583" s="1">
        <v>3.1627128104939994</v>
      </c>
      <c r="G3583" s="1">
        <v>2.1120156904206322E-2</v>
      </c>
    </row>
    <row r="3584" spans="1:7">
      <c r="A3584">
        <v>119</v>
      </c>
      <c r="B3584">
        <v>173</v>
      </c>
      <c r="C3584" s="1">
        <f>(Tabela1[[#This Row],[x]]-H$3)*(Tabela1[[#This Row],[x]]-H$3) +(Tabela1[[#This Row],[y]]-H$4)*(Tabela1[[#This Row],[y]]-H$4)</f>
        <v>7290</v>
      </c>
      <c r="D3584" s="1">
        <f>IF(Tabela1[[#This Row],[promien]]&lt;40000,1,0)</f>
        <v>1</v>
      </c>
      <c r="E3584" s="1">
        <f>IF(Tabela1[[#This Row],[promien]]=40000,1,0)</f>
        <v>0</v>
      </c>
      <c r="F3584" s="1">
        <v>3.1629464285714284</v>
      </c>
      <c r="G3584" s="1">
        <v>2.1353774981635265E-2</v>
      </c>
    </row>
    <row r="3585" spans="1:7">
      <c r="A3585">
        <v>59</v>
      </c>
      <c r="B3585">
        <v>146</v>
      </c>
      <c r="C3585" s="1">
        <f>(Tabela1[[#This Row],[x]]-H$3)*(Tabela1[[#This Row],[x]]-H$3) +(Tabela1[[#This Row],[y]]-H$4)*(Tabela1[[#This Row],[y]]-H$4)</f>
        <v>22797</v>
      </c>
      <c r="D3585" s="1">
        <f>IF(Tabela1[[#This Row],[promien]]&lt;40000,1,0)</f>
        <v>1</v>
      </c>
      <c r="E3585" s="1">
        <f>IF(Tabela1[[#This Row],[promien]]=40000,1,0)</f>
        <v>0</v>
      </c>
      <c r="F3585" s="1">
        <v>3.1631799163179917</v>
      </c>
      <c r="G3585" s="1">
        <v>2.1587262728198553E-2</v>
      </c>
    </row>
    <row r="3586" spans="1:7">
      <c r="A3586">
        <v>141</v>
      </c>
      <c r="B3586">
        <v>235</v>
      </c>
      <c r="C3586" s="1">
        <f>(Tabela1[[#This Row],[x]]-H$3)*(Tabela1[[#This Row],[x]]-H$3) +(Tabela1[[#This Row],[y]]-H$4)*(Tabela1[[#This Row],[y]]-H$4)</f>
        <v>4706</v>
      </c>
      <c r="D3586" s="1">
        <f>IF(Tabela1[[#This Row],[promien]]&lt;40000,1,0)</f>
        <v>1</v>
      </c>
      <c r="E3586" s="1">
        <f>IF(Tabela1[[#This Row],[promien]]=40000,1,0)</f>
        <v>0</v>
      </c>
      <c r="F3586" s="1">
        <v>3.1634132738427216</v>
      </c>
      <c r="G3586" s="1">
        <v>2.1820620252928524E-2</v>
      </c>
    </row>
    <row r="3587" spans="1:7">
      <c r="A3587">
        <v>385</v>
      </c>
      <c r="B3587">
        <v>63</v>
      </c>
      <c r="C3587" s="1">
        <f>(Tabela1[[#This Row],[x]]-H$3)*(Tabela1[[#This Row],[x]]-H$3) +(Tabela1[[#This Row],[y]]-H$4)*(Tabela1[[#This Row],[y]]-H$4)</f>
        <v>52994</v>
      </c>
      <c r="D3587" s="1">
        <f>IF(Tabela1[[#This Row],[promien]]&lt;40000,1,0)</f>
        <v>0</v>
      </c>
      <c r="E3587" s="1">
        <f>IF(Tabela1[[#This Row],[promien]]=40000,1,0)</f>
        <v>0</v>
      </c>
      <c r="F3587" s="1">
        <v>3.1625313632562029</v>
      </c>
      <c r="G3587" s="1">
        <v>2.0938709666409761E-2</v>
      </c>
    </row>
    <row r="3588" spans="1:7">
      <c r="A3588">
        <v>203</v>
      </c>
      <c r="B3588">
        <v>380</v>
      </c>
      <c r="C3588" s="1">
        <f>(Tabela1[[#This Row],[x]]-H$3)*(Tabela1[[#This Row],[x]]-H$3) +(Tabela1[[#This Row],[y]]-H$4)*(Tabela1[[#This Row],[y]]-H$4)</f>
        <v>32409</v>
      </c>
      <c r="D3588" s="1">
        <f>IF(Tabela1[[#This Row],[promien]]&lt;40000,1,0)</f>
        <v>1</v>
      </c>
      <c r="E3588" s="1">
        <f>IF(Tabela1[[#This Row],[promien]]=40000,1,0)</f>
        <v>0</v>
      </c>
      <c r="F3588" s="1">
        <v>3.1627647714604237</v>
      </c>
      <c r="G3588" s="1">
        <v>2.1172117870630558E-2</v>
      </c>
    </row>
    <row r="3589" spans="1:7">
      <c r="A3589">
        <v>22</v>
      </c>
      <c r="B3589">
        <v>12</v>
      </c>
      <c r="C3589" s="1">
        <f>(Tabela1[[#This Row],[x]]-H$3)*(Tabela1[[#This Row],[x]]-H$3) +(Tabela1[[#This Row],[y]]-H$4)*(Tabela1[[#This Row],[y]]-H$4)</f>
        <v>67028</v>
      </c>
      <c r="D3589" s="1">
        <f>IF(Tabela1[[#This Row],[promien]]&lt;40000,1,0)</f>
        <v>0</v>
      </c>
      <c r="E3589" s="1">
        <f>IF(Tabela1[[#This Row],[promien]]=40000,1,0)</f>
        <v>0</v>
      </c>
      <c r="F3589" s="1">
        <v>3.1618835330175536</v>
      </c>
      <c r="G3589" s="1">
        <v>2.0290879427760533E-2</v>
      </c>
    </row>
    <row r="3590" spans="1:7">
      <c r="A3590">
        <v>297</v>
      </c>
      <c r="B3590">
        <v>105</v>
      </c>
      <c r="C3590" s="1">
        <f>(Tabela1[[#This Row],[x]]-H$3)*(Tabela1[[#This Row],[x]]-H$3) +(Tabela1[[#This Row],[y]]-H$4)*(Tabela1[[#This Row],[y]]-H$4)</f>
        <v>18434</v>
      </c>
      <c r="D3590" s="1">
        <f>IF(Tabela1[[#This Row],[promien]]&lt;40000,1,0)</f>
        <v>1</v>
      </c>
      <c r="E3590" s="1">
        <f>IF(Tabela1[[#This Row],[promien]]=40000,1,0)</f>
        <v>0</v>
      </c>
      <c r="F3590" s="1">
        <v>3.1621169916434542</v>
      </c>
      <c r="G3590" s="1">
        <v>2.0524338053661051E-2</v>
      </c>
    </row>
    <row r="3591" spans="1:7">
      <c r="A3591">
        <v>133</v>
      </c>
      <c r="B3591">
        <v>67</v>
      </c>
      <c r="C3591" s="1">
        <f>(Tabela1[[#This Row],[x]]-H$3)*(Tabela1[[#This Row],[x]]-H$3) +(Tabela1[[#This Row],[y]]-H$4)*(Tabela1[[#This Row],[y]]-H$4)</f>
        <v>22178</v>
      </c>
      <c r="D3591" s="1">
        <f>IF(Tabela1[[#This Row],[promien]]&lt;40000,1,0)</f>
        <v>1</v>
      </c>
      <c r="E3591" s="1">
        <f>IF(Tabela1[[#This Row],[promien]]=40000,1,0)</f>
        <v>0</v>
      </c>
      <c r="F3591" s="1">
        <v>3.1623503202450571</v>
      </c>
      <c r="G3591" s="1">
        <v>2.0757666655264018E-2</v>
      </c>
    </row>
    <row r="3592" spans="1:7">
      <c r="A3592">
        <v>201</v>
      </c>
      <c r="B3592">
        <v>64</v>
      </c>
      <c r="C3592" s="1">
        <f>(Tabela1[[#This Row],[x]]-H$3)*(Tabela1[[#This Row],[x]]-H$3) +(Tabela1[[#This Row],[y]]-H$4)*(Tabela1[[#This Row],[y]]-H$4)</f>
        <v>18497</v>
      </c>
      <c r="D3592" s="1">
        <f>IF(Tabela1[[#This Row],[promien]]&lt;40000,1,0)</f>
        <v>1</v>
      </c>
      <c r="E3592" s="1">
        <f>IF(Tabela1[[#This Row],[promien]]=40000,1,0)</f>
        <v>0</v>
      </c>
      <c r="F3592" s="1">
        <v>3.1625835189309579</v>
      </c>
      <c r="G3592" s="1">
        <v>2.0990865341164788E-2</v>
      </c>
    </row>
    <row r="3593" spans="1:7">
      <c r="A3593">
        <v>387</v>
      </c>
      <c r="B3593">
        <v>97</v>
      </c>
      <c r="C3593" s="1">
        <f>(Tabela1[[#This Row],[x]]-H$3)*(Tabela1[[#This Row],[x]]-H$3) +(Tabela1[[#This Row],[y]]-H$4)*(Tabela1[[#This Row],[y]]-H$4)</f>
        <v>45578</v>
      </c>
      <c r="D3593" s="1">
        <f>IF(Tabela1[[#This Row],[promien]]&lt;40000,1,0)</f>
        <v>0</v>
      </c>
      <c r="E3593" s="1">
        <f>IF(Tabela1[[#This Row],[promien]]=40000,1,0)</f>
        <v>0</v>
      </c>
      <c r="F3593" s="1">
        <v>3.1617033119955469</v>
      </c>
      <c r="G3593" s="1">
        <v>2.0110658405753767E-2</v>
      </c>
    </row>
    <row r="3594" spans="1:7">
      <c r="A3594">
        <v>116</v>
      </c>
      <c r="B3594">
        <v>282</v>
      </c>
      <c r="C3594" s="1">
        <f>(Tabela1[[#This Row],[x]]-H$3)*(Tabela1[[#This Row],[x]]-H$3) +(Tabela1[[#This Row],[y]]-H$4)*(Tabela1[[#This Row],[y]]-H$4)</f>
        <v>13780</v>
      </c>
      <c r="D3594" s="1">
        <f>IF(Tabela1[[#This Row],[promien]]&lt;40000,1,0)</f>
        <v>1</v>
      </c>
      <c r="E3594" s="1">
        <f>IF(Tabela1[[#This Row],[promien]]=40000,1,0)</f>
        <v>0</v>
      </c>
      <c r="F3594" s="1">
        <v>3.1619365609348913</v>
      </c>
      <c r="G3594" s="1">
        <v>2.0343907345098167E-2</v>
      </c>
    </row>
    <row r="3595" spans="1:7">
      <c r="A3595">
        <v>202</v>
      </c>
      <c r="B3595">
        <v>148</v>
      </c>
      <c r="C3595" s="1">
        <f>(Tabela1[[#This Row],[x]]-H$3)*(Tabela1[[#This Row],[x]]-H$3) +(Tabela1[[#This Row],[y]]-H$4)*(Tabela1[[#This Row],[y]]-H$4)</f>
        <v>2708</v>
      </c>
      <c r="D3595" s="1">
        <f>IF(Tabela1[[#This Row],[promien]]&lt;40000,1,0)</f>
        <v>1</v>
      </c>
      <c r="E3595" s="1">
        <f>IF(Tabela1[[#This Row],[promien]]=40000,1,0)</f>
        <v>0</v>
      </c>
      <c r="F3595" s="1">
        <v>3.1621696801112655</v>
      </c>
      <c r="G3595" s="1">
        <v>2.0577026521472419E-2</v>
      </c>
    </row>
    <row r="3596" spans="1:7">
      <c r="A3596">
        <v>266</v>
      </c>
      <c r="B3596">
        <v>211</v>
      </c>
      <c r="C3596" s="1">
        <f>(Tabela1[[#This Row],[x]]-H$3)*(Tabela1[[#This Row],[x]]-H$3) +(Tabela1[[#This Row],[y]]-H$4)*(Tabela1[[#This Row],[y]]-H$4)</f>
        <v>4477</v>
      </c>
      <c r="D3596" s="1">
        <f>IF(Tabela1[[#This Row],[promien]]&lt;40000,1,0)</f>
        <v>1</v>
      </c>
      <c r="E3596" s="1">
        <f>IF(Tabela1[[#This Row],[promien]]=40000,1,0)</f>
        <v>0</v>
      </c>
      <c r="F3596" s="1">
        <v>3.1624026696329253</v>
      </c>
      <c r="G3596" s="1">
        <v>2.0810016043132151E-2</v>
      </c>
    </row>
    <row r="3597" spans="1:7">
      <c r="A3597">
        <v>358</v>
      </c>
      <c r="B3597">
        <v>376</v>
      </c>
      <c r="C3597" s="1">
        <f>(Tabela1[[#This Row],[x]]-H$3)*(Tabela1[[#This Row],[x]]-H$3) +(Tabela1[[#This Row],[y]]-H$4)*(Tabela1[[#This Row],[y]]-H$4)</f>
        <v>55940</v>
      </c>
      <c r="D3597" s="1">
        <f>IF(Tabela1[[#This Row],[promien]]&lt;40000,1,0)</f>
        <v>0</v>
      </c>
      <c r="E3597" s="1">
        <f>IF(Tabela1[[#This Row],[promien]]=40000,1,0)</f>
        <v>0</v>
      </c>
      <c r="F3597" s="1">
        <v>3.1615234917987212</v>
      </c>
      <c r="G3597" s="1">
        <v>1.9930838208928048E-2</v>
      </c>
    </row>
    <row r="3598" spans="1:7">
      <c r="A3598">
        <v>91</v>
      </c>
      <c r="B3598">
        <v>173</v>
      </c>
      <c r="C3598" s="1">
        <f>(Tabela1[[#This Row],[x]]-H$3)*(Tabela1[[#This Row],[x]]-H$3) +(Tabela1[[#This Row],[y]]-H$4)*(Tabela1[[#This Row],[y]]-H$4)</f>
        <v>12610</v>
      </c>
      <c r="D3598" s="1">
        <f>IF(Tabela1[[#This Row],[promien]]&lt;40000,1,0)</f>
        <v>1</v>
      </c>
      <c r="E3598" s="1">
        <f>IF(Tabela1[[#This Row],[promien]]=40000,1,0)</f>
        <v>0</v>
      </c>
      <c r="F3598" s="1">
        <v>3.1617565314063367</v>
      </c>
      <c r="G3598" s="1">
        <v>2.0163877816543607E-2</v>
      </c>
    </row>
    <row r="3599" spans="1:7">
      <c r="A3599">
        <v>33</v>
      </c>
      <c r="B3599">
        <v>316</v>
      </c>
      <c r="C3599" s="1">
        <f>(Tabela1[[#This Row],[x]]-H$3)*(Tabela1[[#This Row],[x]]-H$3) +(Tabela1[[#This Row],[y]]-H$4)*(Tabela1[[#This Row],[y]]-H$4)</f>
        <v>41345</v>
      </c>
      <c r="D3599" s="1">
        <f>IF(Tabela1[[#This Row],[promien]]&lt;40000,1,0)</f>
        <v>0</v>
      </c>
      <c r="E3599" s="1">
        <f>IF(Tabela1[[#This Row],[promien]]=40000,1,0)</f>
        <v>0</v>
      </c>
      <c r="F3599" s="1">
        <v>3.1608780216726871</v>
      </c>
      <c r="G3599" s="1">
        <v>1.9285368082893939E-2</v>
      </c>
    </row>
    <row r="3600" spans="1:7">
      <c r="A3600">
        <v>259</v>
      </c>
      <c r="B3600">
        <v>75</v>
      </c>
      <c r="C3600" s="1">
        <f>(Tabela1[[#This Row],[x]]-H$3)*(Tabela1[[#This Row],[x]]-H$3) +(Tabela1[[#This Row],[y]]-H$4)*(Tabela1[[#This Row],[y]]-H$4)</f>
        <v>19106</v>
      </c>
      <c r="D3600" s="1">
        <f>IF(Tabela1[[#This Row],[promien]]&lt;40000,1,0)</f>
        <v>1</v>
      </c>
      <c r="E3600" s="1">
        <f>IF(Tabela1[[#This Row],[promien]]=40000,1,0)</f>
        <v>0</v>
      </c>
      <c r="F3600" s="1">
        <v>3.161111111111111</v>
      </c>
      <c r="G3600" s="1">
        <v>1.9518457521317867E-2</v>
      </c>
    </row>
    <row r="3601" spans="1:7">
      <c r="A3601">
        <v>294</v>
      </c>
      <c r="B3601">
        <v>103</v>
      </c>
      <c r="C3601" s="1">
        <f>(Tabela1[[#This Row],[x]]-H$3)*(Tabela1[[#This Row],[x]]-H$3) +(Tabela1[[#This Row],[y]]-H$4)*(Tabela1[[#This Row],[y]]-H$4)</f>
        <v>18245</v>
      </c>
      <c r="D3601" s="1">
        <f>IF(Tabela1[[#This Row],[promien]]&lt;40000,1,0)</f>
        <v>1</v>
      </c>
      <c r="E3601" s="1">
        <f>IF(Tabela1[[#This Row],[promien]]=40000,1,0)</f>
        <v>0</v>
      </c>
      <c r="F3601" s="1">
        <v>3.1613440710913636</v>
      </c>
      <c r="G3601" s="1">
        <v>1.9751417501570501E-2</v>
      </c>
    </row>
    <row r="3602" spans="1:7">
      <c r="A3602">
        <v>276</v>
      </c>
      <c r="B3602">
        <v>63</v>
      </c>
      <c r="C3602" s="1">
        <f>(Tabela1[[#This Row],[x]]-H$3)*(Tabela1[[#This Row],[x]]-H$3) +(Tabela1[[#This Row],[y]]-H$4)*(Tabela1[[#This Row],[y]]-H$4)</f>
        <v>24545</v>
      </c>
      <c r="D3602" s="1">
        <f>IF(Tabela1[[#This Row],[promien]]&lt;40000,1,0)</f>
        <v>1</v>
      </c>
      <c r="E3602" s="1">
        <f>IF(Tabela1[[#This Row],[promien]]=40000,1,0)</f>
        <v>0</v>
      </c>
      <c r="F3602" s="1">
        <v>3.1615769017212658</v>
      </c>
      <c r="G3602" s="1">
        <v>1.9984248131472704E-2</v>
      </c>
    </row>
    <row r="3603" spans="1:7">
      <c r="A3603">
        <v>229</v>
      </c>
      <c r="B3603">
        <v>26</v>
      </c>
      <c r="C3603" s="1">
        <f>(Tabela1[[#This Row],[x]]-H$3)*(Tabela1[[#This Row],[x]]-H$3) +(Tabela1[[#This Row],[y]]-H$4)*(Tabela1[[#This Row],[y]]-H$4)</f>
        <v>31117</v>
      </c>
      <c r="D3603" s="1">
        <f>IF(Tabela1[[#This Row],[promien]]&lt;40000,1,0)</f>
        <v>1</v>
      </c>
      <c r="E3603" s="1">
        <f>IF(Tabela1[[#This Row],[promien]]=40000,1,0)</f>
        <v>0</v>
      </c>
      <c r="F3603" s="1">
        <v>3.1618096031085208</v>
      </c>
      <c r="G3603" s="1">
        <v>2.0216949518727656E-2</v>
      </c>
    </row>
    <row r="3604" spans="1:7">
      <c r="A3604">
        <v>284</v>
      </c>
      <c r="B3604">
        <v>214</v>
      </c>
      <c r="C3604" s="1">
        <f>(Tabela1[[#This Row],[x]]-H$3)*(Tabela1[[#This Row],[x]]-H$3) +(Tabela1[[#This Row],[y]]-H$4)*(Tabela1[[#This Row],[y]]-H$4)</f>
        <v>7252</v>
      </c>
      <c r="D3604" s="1">
        <f>IF(Tabela1[[#This Row],[promien]]&lt;40000,1,0)</f>
        <v>1</v>
      </c>
      <c r="E3604" s="1">
        <f>IF(Tabela1[[#This Row],[promien]]=40000,1,0)</f>
        <v>0</v>
      </c>
      <c r="F3604" s="1">
        <v>3.1620421753607104</v>
      </c>
      <c r="G3604" s="1">
        <v>2.0449521770917301E-2</v>
      </c>
    </row>
    <row r="3605" spans="1:7">
      <c r="A3605">
        <v>334</v>
      </c>
      <c r="B3605">
        <v>241</v>
      </c>
      <c r="C3605" s="1">
        <f>(Tabela1[[#This Row],[x]]-H$3)*(Tabela1[[#This Row],[x]]-H$3) +(Tabela1[[#This Row],[y]]-H$4)*(Tabela1[[#This Row],[y]]-H$4)</f>
        <v>19637</v>
      </c>
      <c r="D3605" s="1">
        <f>IF(Tabela1[[#This Row],[promien]]&lt;40000,1,0)</f>
        <v>1</v>
      </c>
      <c r="E3605" s="1">
        <f>IF(Tabela1[[#This Row],[promien]]=40000,1,0)</f>
        <v>0</v>
      </c>
      <c r="F3605" s="1">
        <v>3.1622746185852981</v>
      </c>
      <c r="G3605" s="1">
        <v>2.0681964995505009E-2</v>
      </c>
    </row>
    <row r="3606" spans="1:7">
      <c r="A3606">
        <v>262</v>
      </c>
      <c r="B3606">
        <v>126</v>
      </c>
      <c r="C3606" s="1">
        <f>(Tabela1[[#This Row],[x]]-H$3)*(Tabela1[[#This Row],[x]]-H$3) +(Tabela1[[#This Row],[y]]-H$4)*(Tabela1[[#This Row],[y]]-H$4)</f>
        <v>9320</v>
      </c>
      <c r="D3606" s="1">
        <f>IF(Tabela1[[#This Row],[promien]]&lt;40000,1,0)</f>
        <v>1</v>
      </c>
      <c r="E3606" s="1">
        <f>IF(Tabela1[[#This Row],[promien]]=40000,1,0)</f>
        <v>0</v>
      </c>
      <c r="F3606" s="1">
        <v>3.1625069328896283</v>
      </c>
      <c r="G3606" s="1">
        <v>2.0914279299835137E-2</v>
      </c>
    </row>
    <row r="3607" spans="1:7">
      <c r="A3607">
        <v>356</v>
      </c>
      <c r="B3607">
        <v>245</v>
      </c>
      <c r="C3607" s="1">
        <f>(Tabela1[[#This Row],[x]]-H$3)*(Tabela1[[#This Row],[x]]-H$3) +(Tabela1[[#This Row],[y]]-H$4)*(Tabela1[[#This Row],[y]]-H$4)</f>
        <v>26361</v>
      </c>
      <c r="D3607" s="1">
        <f>IF(Tabela1[[#This Row],[promien]]&lt;40000,1,0)</f>
        <v>1</v>
      </c>
      <c r="E3607" s="1">
        <f>IF(Tabela1[[#This Row],[promien]]=40000,1,0)</f>
        <v>0</v>
      </c>
      <c r="F3607" s="1">
        <v>3.1627391183809261</v>
      </c>
      <c r="G3607" s="1">
        <v>2.1146464791133024E-2</v>
      </c>
    </row>
    <row r="3608" spans="1:7">
      <c r="A3608">
        <v>398</v>
      </c>
      <c r="B3608">
        <v>328</v>
      </c>
      <c r="C3608" s="1">
        <f>(Tabela1[[#This Row],[x]]-H$3)*(Tabela1[[#This Row],[x]]-H$3) +(Tabela1[[#This Row],[y]]-H$4)*(Tabela1[[#This Row],[y]]-H$4)</f>
        <v>55588</v>
      </c>
      <c r="D3608" s="1">
        <f>IF(Tabela1[[#This Row],[promien]]&lt;40000,1,0)</f>
        <v>0</v>
      </c>
      <c r="E3608" s="1">
        <f>IF(Tabela1[[#This Row],[promien]]=40000,1,0)</f>
        <v>0</v>
      </c>
      <c r="F3608" s="1">
        <v>3.161862527716186</v>
      </c>
      <c r="G3608" s="1">
        <v>2.0269874126392917E-2</v>
      </c>
    </row>
    <row r="3609" spans="1:7">
      <c r="A3609">
        <v>190</v>
      </c>
      <c r="B3609">
        <v>121</v>
      </c>
      <c r="C3609" s="1">
        <f>(Tabela1[[#This Row],[x]]-H$3)*(Tabela1[[#This Row],[x]]-H$3) +(Tabela1[[#This Row],[y]]-H$4)*(Tabela1[[#This Row],[y]]-H$4)</f>
        <v>6341</v>
      </c>
      <c r="D3609" s="1">
        <f>IF(Tabela1[[#This Row],[promien]]&lt;40000,1,0)</f>
        <v>1</v>
      </c>
      <c r="E3609" s="1">
        <f>IF(Tabela1[[#This Row],[promien]]=40000,1,0)</f>
        <v>0</v>
      </c>
      <c r="F3609" s="1">
        <v>3.1620947630922691</v>
      </c>
      <c r="G3609" s="1">
        <v>2.0502109502475996E-2</v>
      </c>
    </row>
    <row r="3610" spans="1:7">
      <c r="A3610">
        <v>168</v>
      </c>
      <c r="B3610">
        <v>62</v>
      </c>
      <c r="C3610" s="1">
        <f>(Tabela1[[#This Row],[x]]-H$3)*(Tabela1[[#This Row],[x]]-H$3) +(Tabela1[[#This Row],[y]]-H$4)*(Tabela1[[#This Row],[y]]-H$4)</f>
        <v>20068</v>
      </c>
      <c r="D3610" s="1">
        <f>IF(Tabela1[[#This Row],[promien]]&lt;40000,1,0)</f>
        <v>1</v>
      </c>
      <c r="E3610" s="1">
        <f>IF(Tabela1[[#This Row],[promien]]=40000,1,0)</f>
        <v>0</v>
      </c>
      <c r="F3610" s="1">
        <v>3.162326869806094</v>
      </c>
      <c r="G3610" s="1">
        <v>2.0734216216300894E-2</v>
      </c>
    </row>
    <row r="3611" spans="1:7">
      <c r="A3611">
        <v>226</v>
      </c>
      <c r="B3611">
        <v>227</v>
      </c>
      <c r="C3611" s="1">
        <f>(Tabela1[[#This Row],[x]]-H$3)*(Tabela1[[#This Row],[x]]-H$3) +(Tabela1[[#This Row],[y]]-H$4)*(Tabela1[[#This Row],[y]]-H$4)</f>
        <v>1405</v>
      </c>
      <c r="D3611" s="1">
        <f>IF(Tabela1[[#This Row],[promien]]&lt;40000,1,0)</f>
        <v>1</v>
      </c>
      <c r="E3611" s="1">
        <f>IF(Tabela1[[#This Row],[promien]]=40000,1,0)</f>
        <v>0</v>
      </c>
      <c r="F3611" s="1">
        <v>3.1625588479645526</v>
      </c>
      <c r="G3611" s="1">
        <v>2.0966194374759439E-2</v>
      </c>
    </row>
    <row r="3612" spans="1:7">
      <c r="A3612">
        <v>53</v>
      </c>
      <c r="B3612">
        <v>335</v>
      </c>
      <c r="C3612" s="1">
        <f>(Tabela1[[#This Row],[x]]-H$3)*(Tabela1[[#This Row],[x]]-H$3) +(Tabela1[[#This Row],[y]]-H$4)*(Tabela1[[#This Row],[y]]-H$4)</f>
        <v>39834</v>
      </c>
      <c r="D3612" s="1">
        <f>IF(Tabela1[[#This Row],[promien]]&lt;40000,1,0)</f>
        <v>1</v>
      </c>
      <c r="E3612" s="1">
        <f>IF(Tabela1[[#This Row],[promien]]=40000,1,0)</f>
        <v>0</v>
      </c>
      <c r="F3612" s="1">
        <v>3.1627906976744184</v>
      </c>
      <c r="G3612" s="1">
        <v>2.1198044084625334E-2</v>
      </c>
    </row>
    <row r="3613" spans="1:7">
      <c r="A3613">
        <v>143</v>
      </c>
      <c r="B3613">
        <v>390</v>
      </c>
      <c r="C3613" s="1">
        <f>(Tabela1[[#This Row],[x]]-H$3)*(Tabela1[[#This Row],[x]]-H$3) +(Tabela1[[#This Row],[y]]-H$4)*(Tabela1[[#This Row],[y]]-H$4)</f>
        <v>39349</v>
      </c>
      <c r="D3613" s="1">
        <f>IF(Tabela1[[#This Row],[promien]]&lt;40000,1,0)</f>
        <v>1</v>
      </c>
      <c r="E3613" s="1">
        <f>IF(Tabela1[[#This Row],[promien]]=40000,1,0)</f>
        <v>0</v>
      </c>
      <c r="F3613" s="1">
        <v>3.1630224190423473</v>
      </c>
      <c r="G3613" s="1">
        <v>2.142976545255415E-2</v>
      </c>
    </row>
    <row r="3614" spans="1:7">
      <c r="A3614">
        <v>142</v>
      </c>
      <c r="B3614">
        <v>342</v>
      </c>
      <c r="C3614" s="1">
        <f>(Tabela1[[#This Row],[x]]-H$3)*(Tabela1[[#This Row],[x]]-H$3) +(Tabela1[[#This Row],[y]]-H$4)*(Tabela1[[#This Row],[y]]-H$4)</f>
        <v>23528</v>
      </c>
      <c r="D3614" s="1">
        <f>IF(Tabela1[[#This Row],[promien]]&lt;40000,1,0)</f>
        <v>1</v>
      </c>
      <c r="E3614" s="1">
        <f>IF(Tabela1[[#This Row],[promien]]=40000,1,0)</f>
        <v>0</v>
      </c>
      <c r="F3614" s="1">
        <v>3.1632540121748756</v>
      </c>
      <c r="G3614" s="1">
        <v>2.1661358585082446E-2</v>
      </c>
    </row>
    <row r="3615" spans="1:7">
      <c r="A3615">
        <v>333</v>
      </c>
      <c r="B3615">
        <v>330</v>
      </c>
      <c r="C3615" s="1">
        <f>(Tabela1[[#This Row],[x]]-H$3)*(Tabela1[[#This Row],[x]]-H$3) +(Tabela1[[#This Row],[y]]-H$4)*(Tabela1[[#This Row],[y]]-H$4)</f>
        <v>34589</v>
      </c>
      <c r="D3615" s="1">
        <f>IF(Tabela1[[#This Row],[promien]]&lt;40000,1,0)</f>
        <v>1</v>
      </c>
      <c r="E3615" s="1">
        <f>IF(Tabela1[[#This Row],[promien]]=40000,1,0)</f>
        <v>0</v>
      </c>
      <c r="F3615" s="1">
        <v>3.1634854771784231</v>
      </c>
      <c r="G3615" s="1">
        <v>2.1892823588629984E-2</v>
      </c>
    </row>
    <row r="3616" spans="1:7">
      <c r="A3616">
        <v>3</v>
      </c>
      <c r="B3616">
        <v>339</v>
      </c>
      <c r="C3616" s="1">
        <f>(Tabela1[[#This Row],[x]]-H$3)*(Tabela1[[#This Row],[x]]-H$3) +(Tabela1[[#This Row],[y]]-H$4)*(Tabela1[[#This Row],[y]]-H$4)</f>
        <v>58130</v>
      </c>
      <c r="D3616" s="1">
        <f>IF(Tabela1[[#This Row],[promien]]&lt;40000,1,0)</f>
        <v>0</v>
      </c>
      <c r="E3616" s="1">
        <f>IF(Tabela1[[#This Row],[promien]]=40000,1,0)</f>
        <v>0</v>
      </c>
      <c r="F3616" s="1">
        <v>3.1626106194690267</v>
      </c>
      <c r="G3616" s="1">
        <v>2.1017965879233547E-2</v>
      </c>
    </row>
    <row r="3617" spans="1:7">
      <c r="A3617">
        <v>89</v>
      </c>
      <c r="B3617">
        <v>203</v>
      </c>
      <c r="C3617" s="1">
        <f>(Tabela1[[#This Row],[x]]-H$3)*(Tabela1[[#This Row],[x]]-H$3) +(Tabela1[[#This Row],[y]]-H$4)*(Tabela1[[#This Row],[y]]-H$4)</f>
        <v>12330</v>
      </c>
      <c r="D3617" s="1">
        <f>IF(Tabela1[[#This Row],[promien]]&lt;40000,1,0)</f>
        <v>1</v>
      </c>
      <c r="E3617" s="1">
        <f>IF(Tabela1[[#This Row],[promien]]=40000,1,0)</f>
        <v>0</v>
      </c>
      <c r="F3617" s="1">
        <v>3.1628421343654964</v>
      </c>
      <c r="G3617" s="1">
        <v>2.1249480775703322E-2</v>
      </c>
    </row>
    <row r="3618" spans="1:7">
      <c r="A3618">
        <v>274</v>
      </c>
      <c r="B3618">
        <v>372</v>
      </c>
      <c r="C3618" s="1">
        <f>(Tabela1[[#This Row],[x]]-H$3)*(Tabela1[[#This Row],[x]]-H$3) +(Tabela1[[#This Row],[y]]-H$4)*(Tabela1[[#This Row],[y]]-H$4)</f>
        <v>35060</v>
      </c>
      <c r="D3618" s="1">
        <f>IF(Tabela1[[#This Row],[promien]]&lt;40000,1,0)</f>
        <v>1</v>
      </c>
      <c r="E3618" s="1">
        <f>IF(Tabela1[[#This Row],[promien]]=40000,1,0)</f>
        <v>0</v>
      </c>
      <c r="F3618" s="1">
        <v>3.1630735212824765</v>
      </c>
      <c r="G3618" s="1">
        <v>2.1480867692683425E-2</v>
      </c>
    </row>
    <row r="3619" spans="1:7">
      <c r="A3619">
        <v>288</v>
      </c>
      <c r="B3619">
        <v>386</v>
      </c>
      <c r="C3619" s="1">
        <f>(Tabela1[[#This Row],[x]]-H$3)*(Tabela1[[#This Row],[x]]-H$3) +(Tabela1[[#This Row],[y]]-H$4)*(Tabela1[[#This Row],[y]]-H$4)</f>
        <v>42340</v>
      </c>
      <c r="D3619" s="1">
        <f>IF(Tabela1[[#This Row],[promien]]&lt;40000,1,0)</f>
        <v>0</v>
      </c>
      <c r="E3619" s="1">
        <f>IF(Tabela1[[#This Row],[promien]]=40000,1,0)</f>
        <v>0</v>
      </c>
      <c r="F3619" s="1">
        <v>3.1621995026250347</v>
      </c>
      <c r="G3619" s="1">
        <v>2.060684903524157E-2</v>
      </c>
    </row>
    <row r="3620" spans="1:7">
      <c r="A3620">
        <v>59</v>
      </c>
      <c r="B3620">
        <v>116</v>
      </c>
      <c r="C3620" s="1">
        <f>(Tabela1[[#This Row],[x]]-H$3)*(Tabela1[[#This Row],[x]]-H$3) +(Tabela1[[#This Row],[y]]-H$4)*(Tabela1[[#This Row],[y]]-H$4)</f>
        <v>26937</v>
      </c>
      <c r="D3620" s="1">
        <f>IF(Tabela1[[#This Row],[promien]]&lt;40000,1,0)</f>
        <v>1</v>
      </c>
      <c r="E3620" s="1">
        <f>IF(Tabela1[[#This Row],[promien]]=40000,1,0)</f>
        <v>0</v>
      </c>
      <c r="F3620" s="1">
        <v>3.1624309392265193</v>
      </c>
      <c r="G3620" s="1">
        <v>2.0838285636726184E-2</v>
      </c>
    </row>
    <row r="3621" spans="1:7">
      <c r="A3621">
        <v>325</v>
      </c>
      <c r="B3621">
        <v>35</v>
      </c>
      <c r="C3621" s="1">
        <f>(Tabela1[[#This Row],[x]]-H$3)*(Tabela1[[#This Row],[x]]-H$3) +(Tabela1[[#This Row],[y]]-H$4)*(Tabela1[[#This Row],[y]]-H$4)</f>
        <v>42850</v>
      </c>
      <c r="D3621" s="1">
        <f>IF(Tabela1[[#This Row],[promien]]&lt;40000,1,0)</f>
        <v>0</v>
      </c>
      <c r="E3621" s="1">
        <f>IF(Tabela1[[#This Row],[promien]]=40000,1,0)</f>
        <v>0</v>
      </c>
      <c r="F3621" s="1">
        <v>3.1615575807787906</v>
      </c>
      <c r="G3621" s="1">
        <v>1.996492718899745E-2</v>
      </c>
    </row>
    <row r="3622" spans="1:7">
      <c r="A3622">
        <v>227</v>
      </c>
      <c r="B3622">
        <v>165</v>
      </c>
      <c r="C3622" s="1">
        <f>(Tabela1[[#This Row],[x]]-H$3)*(Tabela1[[#This Row],[x]]-H$3) +(Tabela1[[#This Row],[y]]-H$4)*(Tabela1[[#This Row],[y]]-H$4)</f>
        <v>1954</v>
      </c>
      <c r="D3622" s="1">
        <f>IF(Tabela1[[#This Row],[promien]]&lt;40000,1,0)</f>
        <v>1</v>
      </c>
      <c r="E3622" s="1">
        <f>IF(Tabela1[[#This Row],[promien]]=40000,1,0)</f>
        <v>0</v>
      </c>
      <c r="F3622" s="1">
        <v>3.161789066813915</v>
      </c>
      <c r="G3622" s="1">
        <v>2.0196413224121912E-2</v>
      </c>
    </row>
    <row r="3623" spans="1:7">
      <c r="A3623">
        <v>302</v>
      </c>
      <c r="B3623">
        <v>169</v>
      </c>
      <c r="C3623" s="1">
        <f>(Tabela1[[#This Row],[x]]-H$3)*(Tabela1[[#This Row],[x]]-H$3) +(Tabela1[[#This Row],[y]]-H$4)*(Tabela1[[#This Row],[y]]-H$4)</f>
        <v>11365</v>
      </c>
      <c r="D3623" s="1">
        <f>IF(Tabela1[[#This Row],[promien]]&lt;40000,1,0)</f>
        <v>1</v>
      </c>
      <c r="E3623" s="1">
        <f>IF(Tabela1[[#This Row],[promien]]=40000,1,0)</f>
        <v>0</v>
      </c>
      <c r="F3623" s="1">
        <v>3.1620204250621033</v>
      </c>
      <c r="G3623" s="1">
        <v>2.042777147231023E-2</v>
      </c>
    </row>
    <row r="3624" spans="1:7">
      <c r="A3624">
        <v>195</v>
      </c>
      <c r="B3624">
        <v>62</v>
      </c>
      <c r="C3624" s="1">
        <f>(Tabela1[[#This Row],[x]]-H$3)*(Tabela1[[#This Row],[x]]-H$3) +(Tabela1[[#This Row],[y]]-H$4)*(Tabela1[[#This Row],[y]]-H$4)</f>
        <v>19069</v>
      </c>
      <c r="D3624" s="1">
        <f>IF(Tabela1[[#This Row],[promien]]&lt;40000,1,0)</f>
        <v>1</v>
      </c>
      <c r="E3624" s="1">
        <f>IF(Tabela1[[#This Row],[promien]]=40000,1,0)</f>
        <v>0</v>
      </c>
      <c r="F3624" s="1">
        <v>3.1622516556291389</v>
      </c>
      <c r="G3624" s="1">
        <v>2.0659002039345786E-2</v>
      </c>
    </row>
    <row r="3625" spans="1:7">
      <c r="A3625">
        <v>247</v>
      </c>
      <c r="B3625">
        <v>318</v>
      </c>
      <c r="C3625" s="1">
        <f>(Tabela1[[#This Row],[x]]-H$3)*(Tabela1[[#This Row],[x]]-H$3) +(Tabela1[[#This Row],[y]]-H$4)*(Tabela1[[#This Row],[y]]-H$4)</f>
        <v>16133</v>
      </c>
      <c r="D3625" s="1">
        <f>IF(Tabela1[[#This Row],[promien]]&lt;40000,1,0)</f>
        <v>1</v>
      </c>
      <c r="E3625" s="1">
        <f>IF(Tabela1[[#This Row],[promien]]=40000,1,0)</f>
        <v>0</v>
      </c>
      <c r="F3625" s="1">
        <v>3.1624827586206896</v>
      </c>
      <c r="G3625" s="1">
        <v>2.08901050308965E-2</v>
      </c>
    </row>
    <row r="3626" spans="1:7">
      <c r="A3626">
        <v>91</v>
      </c>
      <c r="B3626">
        <v>29</v>
      </c>
      <c r="C3626" s="1">
        <f>(Tabela1[[#This Row],[x]]-H$3)*(Tabela1[[#This Row],[x]]-H$3) +(Tabela1[[#This Row],[y]]-H$4)*(Tabela1[[#This Row],[y]]-H$4)</f>
        <v>41122</v>
      </c>
      <c r="D3626" s="1">
        <f>IF(Tabela1[[#This Row],[promien]]&lt;40000,1,0)</f>
        <v>0</v>
      </c>
      <c r="E3626" s="1">
        <f>IF(Tabela1[[#This Row],[promien]]=40000,1,0)</f>
        <v>0</v>
      </c>
      <c r="F3626" s="1">
        <v>3.1616105901820188</v>
      </c>
      <c r="G3626" s="1">
        <v>2.0017936592225727E-2</v>
      </c>
    </row>
    <row r="3627" spans="1:7">
      <c r="A3627">
        <v>195</v>
      </c>
      <c r="B3627">
        <v>387</v>
      </c>
      <c r="C3627" s="1">
        <f>(Tabela1[[#This Row],[x]]-H$3)*(Tabela1[[#This Row],[x]]-H$3) +(Tabela1[[#This Row],[y]]-H$4)*(Tabela1[[#This Row],[y]]-H$4)</f>
        <v>34994</v>
      </c>
      <c r="D3627" s="1">
        <f>IF(Tabela1[[#This Row],[promien]]&lt;40000,1,0)</f>
        <v>1</v>
      </c>
      <c r="E3627" s="1">
        <f>IF(Tabela1[[#This Row],[promien]]=40000,1,0)</f>
        <v>0</v>
      </c>
      <c r="F3627" s="1">
        <v>3.1618417424869039</v>
      </c>
      <c r="G3627" s="1">
        <v>2.0249088897110745E-2</v>
      </c>
    </row>
    <row r="3628" spans="1:7">
      <c r="A3628">
        <v>288</v>
      </c>
      <c r="B3628">
        <v>209</v>
      </c>
      <c r="C3628" s="1">
        <f>(Tabela1[[#This Row],[x]]-H$3)*(Tabela1[[#This Row],[x]]-H$3) +(Tabela1[[#This Row],[y]]-H$4)*(Tabela1[[#This Row],[y]]-H$4)</f>
        <v>7825</v>
      </c>
      <c r="D3628" s="1">
        <f>IF(Tabela1[[#This Row],[promien]]&lt;40000,1,0)</f>
        <v>1</v>
      </c>
      <c r="E3628" s="1">
        <f>IF(Tabela1[[#This Row],[promien]]=40000,1,0)</f>
        <v>0</v>
      </c>
      <c r="F3628" s="1">
        <v>3.1620727673649394</v>
      </c>
      <c r="G3628" s="1">
        <v>2.0480113775146247E-2</v>
      </c>
    </row>
    <row r="3629" spans="1:7">
      <c r="A3629">
        <v>76</v>
      </c>
      <c r="B3629">
        <v>195</v>
      </c>
      <c r="C3629" s="1">
        <f>(Tabela1[[#This Row],[x]]-H$3)*(Tabela1[[#This Row],[x]]-H$3) +(Tabela1[[#This Row],[y]]-H$4)*(Tabela1[[#This Row],[y]]-H$4)</f>
        <v>15401</v>
      </c>
      <c r="D3629" s="1">
        <f>IF(Tabela1[[#This Row],[promien]]&lt;40000,1,0)</f>
        <v>1</v>
      </c>
      <c r="E3629" s="1">
        <f>IF(Tabela1[[#This Row],[promien]]=40000,1,0)</f>
        <v>0</v>
      </c>
      <c r="F3629" s="1">
        <v>3.162303664921466</v>
      </c>
      <c r="G3629" s="1">
        <v>2.0711011331672857E-2</v>
      </c>
    </row>
    <row r="3630" spans="1:7">
      <c r="A3630">
        <v>296</v>
      </c>
      <c r="B3630">
        <v>242</v>
      </c>
      <c r="C3630" s="1">
        <f>(Tabela1[[#This Row],[x]]-H$3)*(Tabela1[[#This Row],[x]]-H$3) +(Tabela1[[#This Row],[y]]-H$4)*(Tabela1[[#This Row],[y]]-H$4)</f>
        <v>10980</v>
      </c>
      <c r="D3630" s="1">
        <f>IF(Tabela1[[#This Row],[promien]]&lt;40000,1,0)</f>
        <v>1</v>
      </c>
      <c r="E3630" s="1">
        <f>IF(Tabela1[[#This Row],[promien]]=40000,1,0)</f>
        <v>0</v>
      </c>
      <c r="F3630" s="1">
        <v>3.162534435261708</v>
      </c>
      <c r="G3630" s="1">
        <v>2.094178167191485E-2</v>
      </c>
    </row>
    <row r="3631" spans="1:7">
      <c r="A3631">
        <v>289</v>
      </c>
      <c r="B3631">
        <v>309</v>
      </c>
      <c r="C3631" s="1">
        <f>(Tabela1[[#This Row],[x]]-H$3)*(Tabela1[[#This Row],[x]]-H$3) +(Tabela1[[#This Row],[y]]-H$4)*(Tabela1[[#This Row],[y]]-H$4)</f>
        <v>19802</v>
      </c>
      <c r="D3631" s="1">
        <f>IF(Tabela1[[#This Row],[promien]]&lt;40000,1,0)</f>
        <v>1</v>
      </c>
      <c r="E3631" s="1">
        <f>IF(Tabela1[[#This Row],[promien]]=40000,1,0)</f>
        <v>0</v>
      </c>
      <c r="F3631" s="1">
        <v>3.1627650784907737</v>
      </c>
      <c r="G3631" s="1">
        <v>2.1172424900980591E-2</v>
      </c>
    </row>
    <row r="3632" spans="1:7">
      <c r="A3632">
        <v>70</v>
      </c>
      <c r="B3632">
        <v>142</v>
      </c>
      <c r="C3632" s="1">
        <f>(Tabela1[[#This Row],[x]]-H$3)*(Tabela1[[#This Row],[x]]-H$3) +(Tabela1[[#This Row],[y]]-H$4)*(Tabela1[[#This Row],[y]]-H$4)</f>
        <v>20264</v>
      </c>
      <c r="D3632" s="1">
        <f>IF(Tabela1[[#This Row],[promien]]&lt;40000,1,0)</f>
        <v>1</v>
      </c>
      <c r="E3632" s="1">
        <f>IF(Tabela1[[#This Row],[promien]]=40000,1,0)</f>
        <v>0</v>
      </c>
      <c r="F3632" s="1">
        <v>3.1629955947136565</v>
      </c>
      <c r="G3632" s="1">
        <v>2.1402941123863428E-2</v>
      </c>
    </row>
    <row r="3633" spans="1:7">
      <c r="A3633">
        <v>373</v>
      </c>
      <c r="B3633">
        <v>145</v>
      </c>
      <c r="C3633" s="1">
        <f>(Tabela1[[#This Row],[x]]-H$3)*(Tabela1[[#This Row],[x]]-H$3) +(Tabela1[[#This Row],[y]]-H$4)*(Tabela1[[#This Row],[y]]-H$4)</f>
        <v>32954</v>
      </c>
      <c r="D3633" s="1">
        <f>IF(Tabela1[[#This Row],[promien]]&lt;40000,1,0)</f>
        <v>1</v>
      </c>
      <c r="E3633" s="1">
        <f>IF(Tabela1[[#This Row],[promien]]=40000,1,0)</f>
        <v>0</v>
      </c>
      <c r="F3633" s="1">
        <v>3.1632259840352326</v>
      </c>
      <c r="G3633" s="1">
        <v>2.1633330445439469E-2</v>
      </c>
    </row>
    <row r="3634" spans="1:7">
      <c r="A3634">
        <v>261</v>
      </c>
      <c r="B3634">
        <v>79</v>
      </c>
      <c r="C3634" s="1">
        <f>(Tabela1[[#This Row],[x]]-H$3)*(Tabela1[[#This Row],[x]]-H$3) +(Tabela1[[#This Row],[y]]-H$4)*(Tabela1[[#This Row],[y]]-H$4)</f>
        <v>18362</v>
      </c>
      <c r="D3634" s="1">
        <f>IF(Tabela1[[#This Row],[promien]]&lt;40000,1,0)</f>
        <v>1</v>
      </c>
      <c r="E3634" s="1">
        <f>IF(Tabela1[[#This Row],[promien]]=40000,1,0)</f>
        <v>0</v>
      </c>
      <c r="F3634" s="1">
        <v>3.1634562465602643</v>
      </c>
      <c r="G3634" s="1">
        <v>2.1863592970471135E-2</v>
      </c>
    </row>
    <row r="3635" spans="1:7">
      <c r="A3635">
        <v>33</v>
      </c>
      <c r="B3635">
        <v>174</v>
      </c>
      <c r="C3635" s="1">
        <f>(Tabela1[[#This Row],[x]]-H$3)*(Tabela1[[#This Row],[x]]-H$3) +(Tabela1[[#This Row],[y]]-H$4)*(Tabela1[[#This Row],[y]]-H$4)</f>
        <v>28565</v>
      </c>
      <c r="D3635" s="1">
        <f>IF(Tabela1[[#This Row],[promien]]&lt;40000,1,0)</f>
        <v>1</v>
      </c>
      <c r="E3635" s="1">
        <f>IF(Tabela1[[#This Row],[promien]]=40000,1,0)</f>
        <v>0</v>
      </c>
      <c r="F3635" s="1">
        <v>3.1636863823933976</v>
      </c>
      <c r="G3635" s="1">
        <v>2.2093728803604495E-2</v>
      </c>
    </row>
    <row r="3636" spans="1:7">
      <c r="A3636">
        <v>323</v>
      </c>
      <c r="B3636">
        <v>369</v>
      </c>
      <c r="C3636" s="1">
        <f>(Tabela1[[#This Row],[x]]-H$3)*(Tabela1[[#This Row],[x]]-H$3) +(Tabela1[[#This Row],[y]]-H$4)*(Tabela1[[#This Row],[y]]-H$4)</f>
        <v>43690</v>
      </c>
      <c r="D3636" s="1">
        <f>IF(Tabela1[[#This Row],[promien]]&lt;40000,1,0)</f>
        <v>0</v>
      </c>
      <c r="E3636" s="1">
        <f>IF(Tabela1[[#This Row],[promien]]=40000,1,0)</f>
        <v>0</v>
      </c>
      <c r="F3636" s="1">
        <v>3.1628162816281629</v>
      </c>
      <c r="G3636" s="1">
        <v>2.1223628038369746E-2</v>
      </c>
    </row>
    <row r="3637" spans="1:7">
      <c r="A3637">
        <v>226</v>
      </c>
      <c r="B3637">
        <v>362</v>
      </c>
      <c r="C3637" s="1">
        <f>(Tabela1[[#This Row],[x]]-H$3)*(Tabela1[[#This Row],[x]]-H$3) +(Tabela1[[#This Row],[y]]-H$4)*(Tabela1[[#This Row],[y]]-H$4)</f>
        <v>26920</v>
      </c>
      <c r="D3637" s="1">
        <f>IF(Tabela1[[#This Row],[promien]]&lt;40000,1,0)</f>
        <v>1</v>
      </c>
      <c r="E3637" s="1">
        <f>IF(Tabela1[[#This Row],[promien]]=40000,1,0)</f>
        <v>0</v>
      </c>
      <c r="F3637" s="1">
        <v>3.1630464668682983</v>
      </c>
      <c r="G3637" s="1">
        <v>2.1453813278505152E-2</v>
      </c>
    </row>
    <row r="3638" spans="1:7">
      <c r="A3638">
        <v>346</v>
      </c>
      <c r="B3638">
        <v>393</v>
      </c>
      <c r="C3638" s="1">
        <f>(Tabela1[[#This Row],[x]]-H$3)*(Tabela1[[#This Row],[x]]-H$3) +(Tabela1[[#This Row],[y]]-H$4)*(Tabela1[[#This Row],[y]]-H$4)</f>
        <v>58565</v>
      </c>
      <c r="D3638" s="1">
        <f>IF(Tabela1[[#This Row],[promien]]&lt;40000,1,0)</f>
        <v>0</v>
      </c>
      <c r="E3638" s="1">
        <f>IF(Tabela1[[#This Row],[promien]]=40000,1,0)</f>
        <v>0</v>
      </c>
      <c r="F3638" s="1">
        <v>3.1621770203408466</v>
      </c>
      <c r="G3638" s="1">
        <v>2.0584366751053462E-2</v>
      </c>
    </row>
    <row r="3639" spans="1:7">
      <c r="A3639">
        <v>175</v>
      </c>
      <c r="B3639">
        <v>13</v>
      </c>
      <c r="C3639" s="1">
        <f>(Tabela1[[#This Row],[x]]-H$3)*(Tabela1[[#This Row],[x]]-H$3) +(Tabela1[[#This Row],[y]]-H$4)*(Tabela1[[#This Row],[y]]-H$4)</f>
        <v>35594</v>
      </c>
      <c r="D3639" s="1">
        <f>IF(Tabela1[[#This Row],[promien]]&lt;40000,1,0)</f>
        <v>1</v>
      </c>
      <c r="E3639" s="1">
        <f>IF(Tabela1[[#This Row],[promien]]=40000,1,0)</f>
        <v>0</v>
      </c>
      <c r="F3639" s="1">
        <v>3.1624072547403133</v>
      </c>
      <c r="G3639" s="1">
        <v>2.081460115052014E-2</v>
      </c>
    </row>
    <row r="3640" spans="1:7">
      <c r="A3640">
        <v>200</v>
      </c>
      <c r="B3640">
        <v>340</v>
      </c>
      <c r="C3640" s="1">
        <f>(Tabela1[[#This Row],[x]]-H$3)*(Tabela1[[#This Row],[x]]-H$3) +(Tabela1[[#This Row],[y]]-H$4)*(Tabela1[[#This Row],[y]]-H$4)</f>
        <v>19600</v>
      </c>
      <c r="D3640" s="1">
        <f>IF(Tabela1[[#This Row],[promien]]&lt;40000,1,0)</f>
        <v>1</v>
      </c>
      <c r="E3640" s="1">
        <f>IF(Tabela1[[#This Row],[promien]]=40000,1,0)</f>
        <v>0</v>
      </c>
      <c r="F3640" s="1">
        <v>3.1626373626373625</v>
      </c>
      <c r="G3640" s="1">
        <v>2.1044709047569388E-2</v>
      </c>
    </row>
    <row r="3641" spans="1:7">
      <c r="A3641">
        <v>381</v>
      </c>
      <c r="B3641">
        <v>373</v>
      </c>
      <c r="C3641" s="1">
        <f>(Tabela1[[#This Row],[x]]-H$3)*(Tabela1[[#This Row],[x]]-H$3) +(Tabela1[[#This Row],[y]]-H$4)*(Tabela1[[#This Row],[y]]-H$4)</f>
        <v>62690</v>
      </c>
      <c r="D3641" s="1">
        <f>IF(Tabela1[[#This Row],[promien]]&lt;40000,1,0)</f>
        <v>0</v>
      </c>
      <c r="E3641" s="1">
        <f>IF(Tabela1[[#This Row],[promien]]=40000,1,0)</f>
        <v>0</v>
      </c>
      <c r="F3641" s="1">
        <v>3.161768744850316</v>
      </c>
      <c r="G3641" s="1">
        <v>2.0176091260522888E-2</v>
      </c>
    </row>
    <row r="3642" spans="1:7">
      <c r="A3642">
        <v>114</v>
      </c>
      <c r="B3642">
        <v>375</v>
      </c>
      <c r="C3642" s="1">
        <f>(Tabela1[[#This Row],[x]]-H$3)*(Tabela1[[#This Row],[x]]-H$3) +(Tabela1[[#This Row],[y]]-H$4)*(Tabela1[[#This Row],[y]]-H$4)</f>
        <v>38021</v>
      </c>
      <c r="D3642" s="1">
        <f>IF(Tabela1[[#This Row],[promien]]&lt;40000,1,0)</f>
        <v>1</v>
      </c>
      <c r="E3642" s="1">
        <f>IF(Tabela1[[#This Row],[promien]]=40000,1,0)</f>
        <v>0</v>
      </c>
      <c r="F3642" s="1">
        <v>3.1619989017023613</v>
      </c>
      <c r="G3642" s="1">
        <v>2.0406248112568193E-2</v>
      </c>
    </row>
    <row r="3643" spans="1:7">
      <c r="A3643">
        <v>185</v>
      </c>
      <c r="B3643">
        <v>82</v>
      </c>
      <c r="C3643" s="1">
        <f>(Tabela1[[#This Row],[x]]-H$3)*(Tabela1[[#This Row],[x]]-H$3) +(Tabela1[[#This Row],[y]]-H$4)*(Tabela1[[#This Row],[y]]-H$4)</f>
        <v>14149</v>
      </c>
      <c r="D3643" s="1">
        <f>IF(Tabela1[[#This Row],[promien]]&lt;40000,1,0)</f>
        <v>1</v>
      </c>
      <c r="E3643" s="1">
        <f>IF(Tabela1[[#This Row],[promien]]=40000,1,0)</f>
        <v>0</v>
      </c>
      <c r="F3643" s="1">
        <v>3.1622289321987371</v>
      </c>
      <c r="G3643" s="1">
        <v>2.0636278608944014E-2</v>
      </c>
    </row>
    <row r="3644" spans="1:7">
      <c r="A3644">
        <v>259</v>
      </c>
      <c r="B3644">
        <v>294</v>
      </c>
      <c r="C3644" s="1">
        <f>(Tabela1[[#This Row],[x]]-H$3)*(Tabela1[[#This Row],[x]]-H$3) +(Tabela1[[#This Row],[y]]-H$4)*(Tabela1[[#This Row],[y]]-H$4)</f>
        <v>12317</v>
      </c>
      <c r="D3644" s="1">
        <f>IF(Tabela1[[#This Row],[promien]]&lt;40000,1,0)</f>
        <v>1</v>
      </c>
      <c r="E3644" s="1">
        <f>IF(Tabela1[[#This Row],[promien]]=40000,1,0)</f>
        <v>0</v>
      </c>
      <c r="F3644" s="1">
        <v>3.1624588364434687</v>
      </c>
      <c r="G3644" s="1">
        <v>2.0866182853675586E-2</v>
      </c>
    </row>
    <row r="3645" spans="1:7">
      <c r="A3645">
        <v>258</v>
      </c>
      <c r="B3645">
        <v>246</v>
      </c>
      <c r="C3645" s="1">
        <f>(Tabela1[[#This Row],[x]]-H$3)*(Tabela1[[#This Row],[x]]-H$3) +(Tabela1[[#This Row],[y]]-H$4)*(Tabela1[[#This Row],[y]]-H$4)</f>
        <v>5480</v>
      </c>
      <c r="D3645" s="1">
        <f>IF(Tabela1[[#This Row],[promien]]&lt;40000,1,0)</f>
        <v>1</v>
      </c>
      <c r="E3645" s="1">
        <f>IF(Tabela1[[#This Row],[promien]]=40000,1,0)</f>
        <v>0</v>
      </c>
      <c r="F3645" s="1">
        <v>3.1626886145404662</v>
      </c>
      <c r="G3645" s="1">
        <v>2.109596095067312E-2</v>
      </c>
    </row>
    <row r="3646" spans="1:7">
      <c r="A3646">
        <v>59</v>
      </c>
      <c r="B3646">
        <v>91</v>
      </c>
      <c r="C3646" s="1">
        <f>(Tabela1[[#This Row],[x]]-H$3)*(Tabela1[[#This Row],[x]]-H$3) +(Tabela1[[#This Row],[y]]-H$4)*(Tabela1[[#This Row],[y]]-H$4)</f>
        <v>31762</v>
      </c>
      <c r="D3646" s="1">
        <f>IF(Tabela1[[#This Row],[promien]]&lt;40000,1,0)</f>
        <v>1</v>
      </c>
      <c r="E3646" s="1">
        <f>IF(Tabela1[[#This Row],[promien]]=40000,1,0)</f>
        <v>0</v>
      </c>
      <c r="F3646" s="1">
        <v>3.1629182665935272</v>
      </c>
      <c r="G3646" s="1">
        <v>2.1325613003734034E-2</v>
      </c>
    </row>
    <row r="3647" spans="1:7">
      <c r="A3647">
        <v>114</v>
      </c>
      <c r="B3647">
        <v>134</v>
      </c>
      <c r="C3647" s="1">
        <f>(Tabela1[[#This Row],[x]]-H$3)*(Tabela1[[#This Row],[x]]-H$3) +(Tabela1[[#This Row],[y]]-H$4)*(Tabela1[[#This Row],[y]]-H$4)</f>
        <v>11752</v>
      </c>
      <c r="D3647" s="1">
        <f>IF(Tabela1[[#This Row],[promien]]&lt;40000,1,0)</f>
        <v>1</v>
      </c>
      <c r="E3647" s="1">
        <f>IF(Tabela1[[#This Row],[promien]]=40000,1,0)</f>
        <v>0</v>
      </c>
      <c r="F3647" s="1">
        <v>3.1631477927063338</v>
      </c>
      <c r="G3647" s="1">
        <v>2.1555139116540722E-2</v>
      </c>
    </row>
    <row r="3648" spans="1:7">
      <c r="A3648">
        <v>215</v>
      </c>
      <c r="B3648">
        <v>61</v>
      </c>
      <c r="C3648" s="1">
        <f>(Tabela1[[#This Row],[x]]-H$3)*(Tabela1[[#This Row],[x]]-H$3) +(Tabela1[[#This Row],[y]]-H$4)*(Tabela1[[#This Row],[y]]-H$4)</f>
        <v>19546</v>
      </c>
      <c r="D3648" s="1">
        <f>IF(Tabela1[[#This Row],[promien]]&lt;40000,1,0)</f>
        <v>1</v>
      </c>
      <c r="E3648" s="1">
        <f>IF(Tabela1[[#This Row],[promien]]=40000,1,0)</f>
        <v>0</v>
      </c>
      <c r="F3648" s="1">
        <v>3.1633771929824563</v>
      </c>
      <c r="G3648" s="1">
        <v>2.1784539392663227E-2</v>
      </c>
    </row>
    <row r="3649" spans="1:7">
      <c r="A3649">
        <v>23</v>
      </c>
      <c r="B3649">
        <v>317</v>
      </c>
      <c r="C3649" s="1">
        <f>(Tabela1[[#This Row],[x]]-H$3)*(Tabela1[[#This Row],[x]]-H$3) +(Tabela1[[#This Row],[y]]-H$4)*(Tabela1[[#This Row],[y]]-H$4)</f>
        <v>45018</v>
      </c>
      <c r="D3649" s="1">
        <f>IF(Tabela1[[#This Row],[promien]]&lt;40000,1,0)</f>
        <v>0</v>
      </c>
      <c r="E3649" s="1">
        <f>IF(Tabela1[[#This Row],[promien]]=40000,1,0)</f>
        <v>0</v>
      </c>
      <c r="F3649" s="1">
        <v>3.162510276788161</v>
      </c>
      <c r="G3649" s="1">
        <v>2.0917623198367874E-2</v>
      </c>
    </row>
    <row r="3650" spans="1:7">
      <c r="A3650">
        <v>9</v>
      </c>
      <c r="B3650">
        <v>321</v>
      </c>
      <c r="C3650" s="1">
        <f>(Tabela1[[#This Row],[x]]-H$3)*(Tabela1[[#This Row],[x]]-H$3) +(Tabela1[[#This Row],[y]]-H$4)*(Tabela1[[#This Row],[y]]-H$4)</f>
        <v>51122</v>
      </c>
      <c r="D3650" s="1">
        <f>IF(Tabela1[[#This Row],[promien]]&lt;40000,1,0)</f>
        <v>0</v>
      </c>
      <c r="E3650" s="1">
        <f>IF(Tabela1[[#This Row],[promien]]=40000,1,0)</f>
        <v>0</v>
      </c>
      <c r="F3650" s="1">
        <v>3.1616438356164385</v>
      </c>
      <c r="G3650" s="1">
        <v>2.0051182026645353E-2</v>
      </c>
    </row>
    <row r="3651" spans="1:7">
      <c r="A3651">
        <v>41</v>
      </c>
      <c r="B3651">
        <v>252</v>
      </c>
      <c r="C3651" s="1">
        <f>(Tabela1[[#This Row],[x]]-H$3)*(Tabela1[[#This Row],[x]]-H$3) +(Tabela1[[#This Row],[y]]-H$4)*(Tabela1[[#This Row],[y]]-H$4)</f>
        <v>27985</v>
      </c>
      <c r="D3651" s="1">
        <f>IF(Tabela1[[#This Row],[promien]]&lt;40000,1,0)</f>
        <v>1</v>
      </c>
      <c r="E3651" s="1">
        <f>IF(Tabela1[[#This Row],[promien]]=40000,1,0)</f>
        <v>0</v>
      </c>
      <c r="F3651" s="1">
        <v>3.1618734593262121</v>
      </c>
      <c r="G3651" s="1">
        <v>2.0280805736418994E-2</v>
      </c>
    </row>
    <row r="3652" spans="1:7">
      <c r="A3652">
        <v>59</v>
      </c>
      <c r="B3652">
        <v>316</v>
      </c>
      <c r="C3652" s="1">
        <f>(Tabela1[[#This Row],[x]]-H$3)*(Tabela1[[#This Row],[x]]-H$3) +(Tabela1[[#This Row],[y]]-H$4)*(Tabela1[[#This Row],[y]]-H$4)</f>
        <v>33337</v>
      </c>
      <c r="D3652" s="1">
        <f>IF(Tabela1[[#This Row],[promien]]&lt;40000,1,0)</f>
        <v>1</v>
      </c>
      <c r="E3652" s="1">
        <f>IF(Tabela1[[#This Row],[promien]]=40000,1,0)</f>
        <v>0</v>
      </c>
      <c r="F3652" s="1">
        <v>3.1621029572836803</v>
      </c>
      <c r="G3652" s="1">
        <v>2.0510303693887177E-2</v>
      </c>
    </row>
    <row r="3653" spans="1:7">
      <c r="A3653">
        <v>89</v>
      </c>
      <c r="B3653">
        <v>167</v>
      </c>
      <c r="C3653" s="1">
        <f>(Tabela1[[#This Row],[x]]-H$3)*(Tabela1[[#This Row],[x]]-H$3) +(Tabela1[[#This Row],[y]]-H$4)*(Tabela1[[#This Row],[y]]-H$4)</f>
        <v>13410</v>
      </c>
      <c r="D3653" s="1">
        <f>IF(Tabela1[[#This Row],[promien]]&lt;40000,1,0)</f>
        <v>1</v>
      </c>
      <c r="E3653" s="1">
        <f>IF(Tabela1[[#This Row],[promien]]=40000,1,0)</f>
        <v>0</v>
      </c>
      <c r="F3653" s="1">
        <v>3.162332329592116</v>
      </c>
      <c r="G3653" s="1">
        <v>2.0739676002322849E-2</v>
      </c>
    </row>
    <row r="3654" spans="1:7">
      <c r="A3654">
        <v>73</v>
      </c>
      <c r="B3654">
        <v>209</v>
      </c>
      <c r="C3654" s="1">
        <f>(Tabela1[[#This Row],[x]]-H$3)*(Tabela1[[#This Row],[x]]-H$3) +(Tabela1[[#This Row],[y]]-H$4)*(Tabela1[[#This Row],[y]]-H$4)</f>
        <v>16210</v>
      </c>
      <c r="D3654" s="1">
        <f>IF(Tabela1[[#This Row],[promien]]&lt;40000,1,0)</f>
        <v>1</v>
      </c>
      <c r="E3654" s="1">
        <f>IF(Tabela1[[#This Row],[promien]]=40000,1,0)</f>
        <v>0</v>
      </c>
      <c r="F3654" s="1">
        <v>3.1625615763546797</v>
      </c>
      <c r="G3654" s="1">
        <v>2.0968922764886599E-2</v>
      </c>
    </row>
    <row r="3655" spans="1:7">
      <c r="A3655">
        <v>205</v>
      </c>
      <c r="B3655">
        <v>147</v>
      </c>
      <c r="C3655" s="1">
        <f>(Tabela1[[#This Row],[x]]-H$3)*(Tabela1[[#This Row],[x]]-H$3) +(Tabela1[[#This Row],[y]]-H$4)*(Tabela1[[#This Row],[y]]-H$4)</f>
        <v>2834</v>
      </c>
      <c r="D3655" s="1">
        <f>IF(Tabela1[[#This Row],[promien]]&lt;40000,1,0)</f>
        <v>1</v>
      </c>
      <c r="E3655" s="1">
        <f>IF(Tabela1[[#This Row],[promien]]=40000,1,0)</f>
        <v>0</v>
      </c>
      <c r="F3655" s="1">
        <v>3.1627906976744184</v>
      </c>
      <c r="G3655" s="1">
        <v>2.1198044084625334E-2</v>
      </c>
    </row>
    <row r="3656" spans="1:7">
      <c r="A3656">
        <v>324</v>
      </c>
      <c r="B3656">
        <v>400</v>
      </c>
      <c r="C3656" s="1">
        <f>(Tabela1[[#This Row],[x]]-H$3)*(Tabela1[[#This Row],[x]]-H$3) +(Tabela1[[#This Row],[y]]-H$4)*(Tabela1[[#This Row],[y]]-H$4)</f>
        <v>55376</v>
      </c>
      <c r="D3656" s="1">
        <f>IF(Tabela1[[#This Row],[promien]]&lt;40000,1,0)</f>
        <v>0</v>
      </c>
      <c r="E3656" s="1">
        <f>IF(Tabela1[[#This Row],[promien]]=40000,1,0)</f>
        <v>0</v>
      </c>
      <c r="F3656" s="1">
        <v>3.1619256017505473</v>
      </c>
      <c r="G3656" s="1">
        <v>2.033294816075415E-2</v>
      </c>
    </row>
    <row r="3657" spans="1:7">
      <c r="A3657">
        <v>162</v>
      </c>
      <c r="B3657">
        <v>170</v>
      </c>
      <c r="C3657" s="1">
        <f>(Tabela1[[#This Row],[x]]-H$3)*(Tabela1[[#This Row],[x]]-H$3) +(Tabela1[[#This Row],[y]]-H$4)*(Tabela1[[#This Row],[y]]-H$4)</f>
        <v>2344</v>
      </c>
      <c r="D3657" s="1">
        <f>IF(Tabela1[[#This Row],[promien]]&lt;40000,1,0)</f>
        <v>1</v>
      </c>
      <c r="E3657" s="1">
        <f>IF(Tabela1[[#This Row],[promien]]=40000,1,0)</f>
        <v>0</v>
      </c>
      <c r="F3657" s="1">
        <v>3.1621547716707683</v>
      </c>
      <c r="G3657" s="1">
        <v>2.0562118080975189E-2</v>
      </c>
    </row>
    <row r="3658" spans="1:7">
      <c r="A3658">
        <v>9</v>
      </c>
      <c r="B3658">
        <v>30</v>
      </c>
      <c r="C3658" s="1">
        <f>(Tabela1[[#This Row],[x]]-H$3)*(Tabela1[[#This Row],[x]]-H$3) +(Tabela1[[#This Row],[y]]-H$4)*(Tabela1[[#This Row],[y]]-H$4)</f>
        <v>65381</v>
      </c>
      <c r="D3658" s="1">
        <f>IF(Tabela1[[#This Row],[promien]]&lt;40000,1,0)</f>
        <v>0</v>
      </c>
      <c r="E3658" s="1">
        <f>IF(Tabela1[[#This Row],[promien]]=40000,1,0)</f>
        <v>0</v>
      </c>
      <c r="F3658" s="1">
        <v>3.161290322580645</v>
      </c>
      <c r="G3658" s="1">
        <v>1.9697668990851902E-2</v>
      </c>
    </row>
    <row r="3659" spans="1:7">
      <c r="A3659">
        <v>202</v>
      </c>
      <c r="B3659">
        <v>61</v>
      </c>
      <c r="C3659" s="1">
        <f>(Tabela1[[#This Row],[x]]-H$3)*(Tabela1[[#This Row],[x]]-H$3) +(Tabela1[[#This Row],[y]]-H$4)*(Tabela1[[#This Row],[y]]-H$4)</f>
        <v>19325</v>
      </c>
      <c r="D3659" s="1">
        <f>IF(Tabela1[[#This Row],[promien]]&lt;40000,1,0)</f>
        <v>1</v>
      </c>
      <c r="E3659" s="1">
        <f>IF(Tabela1[[#This Row],[promien]]=40000,1,0)</f>
        <v>0</v>
      </c>
      <c r="F3659" s="1">
        <v>3.161519540858158</v>
      </c>
      <c r="G3659" s="1">
        <v>1.992688726836489E-2</v>
      </c>
    </row>
    <row r="3660" spans="1:7">
      <c r="A3660">
        <v>24</v>
      </c>
      <c r="B3660">
        <v>109</v>
      </c>
      <c r="C3660" s="1">
        <f>(Tabela1[[#This Row],[x]]-H$3)*(Tabela1[[#This Row],[x]]-H$3) +(Tabela1[[#This Row],[y]]-H$4)*(Tabela1[[#This Row],[y]]-H$4)</f>
        <v>39257</v>
      </c>
      <c r="D3660" s="1">
        <f>IF(Tabela1[[#This Row],[promien]]&lt;40000,1,0)</f>
        <v>1</v>
      </c>
      <c r="E3660" s="1">
        <f>IF(Tabela1[[#This Row],[promien]]=40000,1,0)</f>
        <v>0</v>
      </c>
      <c r="F3660" s="1">
        <v>3.1617486338797813</v>
      </c>
      <c r="G3660" s="1">
        <v>2.0155980289988218E-2</v>
      </c>
    </row>
    <row r="3661" spans="1:7">
      <c r="A3661">
        <v>161</v>
      </c>
      <c r="B3661">
        <v>259</v>
      </c>
      <c r="C3661" s="1">
        <f>(Tabela1[[#This Row],[x]]-H$3)*(Tabela1[[#This Row],[x]]-H$3) +(Tabela1[[#This Row],[y]]-H$4)*(Tabela1[[#This Row],[y]]-H$4)</f>
        <v>5002</v>
      </c>
      <c r="D3661" s="1">
        <f>IF(Tabela1[[#This Row],[promien]]&lt;40000,1,0)</f>
        <v>1</v>
      </c>
      <c r="E3661" s="1">
        <f>IF(Tabela1[[#This Row],[promien]]=40000,1,0)</f>
        <v>0</v>
      </c>
      <c r="F3661" s="1">
        <v>3.1619776017481565</v>
      </c>
      <c r="G3661" s="1">
        <v>2.0384948158363336E-2</v>
      </c>
    </row>
    <row r="3662" spans="1:7">
      <c r="A3662">
        <v>63</v>
      </c>
      <c r="B3662">
        <v>154</v>
      </c>
      <c r="C3662" s="1">
        <f>(Tabela1[[#This Row],[x]]-H$3)*(Tabela1[[#This Row],[x]]-H$3) +(Tabela1[[#This Row],[y]]-H$4)*(Tabela1[[#This Row],[y]]-H$4)</f>
        <v>20885</v>
      </c>
      <c r="D3662" s="1">
        <f>IF(Tabela1[[#This Row],[promien]]&lt;40000,1,0)</f>
        <v>1</v>
      </c>
      <c r="E3662" s="1">
        <f>IF(Tabela1[[#This Row],[promien]]=40000,1,0)</f>
        <v>0</v>
      </c>
      <c r="F3662" s="1">
        <v>3.1622064445658111</v>
      </c>
      <c r="G3662" s="1">
        <v>2.0613790976018009E-2</v>
      </c>
    </row>
    <row r="3663" spans="1:7">
      <c r="A3663">
        <v>136</v>
      </c>
      <c r="B3663">
        <v>140</v>
      </c>
      <c r="C3663" s="1">
        <f>(Tabela1[[#This Row],[x]]-H$3)*(Tabela1[[#This Row],[x]]-H$3) +(Tabela1[[#This Row],[y]]-H$4)*(Tabela1[[#This Row],[y]]-H$4)</f>
        <v>7696</v>
      </c>
      <c r="D3663" s="1">
        <f>IF(Tabela1[[#This Row],[promien]]&lt;40000,1,0)</f>
        <v>1</v>
      </c>
      <c r="E3663" s="1">
        <f>IF(Tabela1[[#This Row],[promien]]=40000,1,0)</f>
        <v>0</v>
      </c>
      <c r="F3663" s="1">
        <v>3.1624351624351625</v>
      </c>
      <c r="G3663" s="1">
        <v>2.0842508845369423E-2</v>
      </c>
    </row>
    <row r="3664" spans="1:7">
      <c r="A3664">
        <v>95</v>
      </c>
      <c r="B3664">
        <v>205</v>
      </c>
      <c r="C3664" s="1">
        <f>(Tabela1[[#This Row],[x]]-H$3)*(Tabela1[[#This Row],[x]]-H$3) +(Tabela1[[#This Row],[y]]-H$4)*(Tabela1[[#This Row],[y]]-H$4)</f>
        <v>11050</v>
      </c>
      <c r="D3664" s="1">
        <f>IF(Tabela1[[#This Row],[promien]]&lt;40000,1,0)</f>
        <v>1</v>
      </c>
      <c r="E3664" s="1">
        <f>IF(Tabela1[[#This Row],[promien]]=40000,1,0)</f>
        <v>0</v>
      </c>
      <c r="F3664" s="1">
        <v>3.1626637554585151</v>
      </c>
      <c r="G3664" s="1">
        <v>2.1071101868721964E-2</v>
      </c>
    </row>
    <row r="3665" spans="1:7">
      <c r="A3665">
        <v>26</v>
      </c>
      <c r="B3665">
        <v>165</v>
      </c>
      <c r="C3665" s="1">
        <f>(Tabela1[[#This Row],[x]]-H$3)*(Tabela1[[#This Row],[x]]-H$3) +(Tabela1[[#This Row],[y]]-H$4)*(Tabela1[[#This Row],[y]]-H$4)</f>
        <v>31501</v>
      </c>
      <c r="D3665" s="1">
        <f>IF(Tabela1[[#This Row],[promien]]&lt;40000,1,0)</f>
        <v>1</v>
      </c>
      <c r="E3665" s="1">
        <f>IF(Tabela1[[#This Row],[promien]]=40000,1,0)</f>
        <v>0</v>
      </c>
      <c r="F3665" s="1">
        <v>3.1628922237380626</v>
      </c>
      <c r="G3665" s="1">
        <v>2.1299570148269442E-2</v>
      </c>
    </row>
    <row r="3666" spans="1:7">
      <c r="A3666">
        <v>18</v>
      </c>
      <c r="B3666">
        <v>326</v>
      </c>
      <c r="C3666" s="1">
        <f>(Tabela1[[#This Row],[x]]-H$3)*(Tabela1[[#This Row],[x]]-H$3) +(Tabela1[[#This Row],[y]]-H$4)*(Tabela1[[#This Row],[y]]-H$4)</f>
        <v>49000</v>
      </c>
      <c r="D3666" s="1">
        <f>IF(Tabela1[[#This Row],[promien]]&lt;40000,1,0)</f>
        <v>0</v>
      </c>
      <c r="E3666" s="1">
        <f>IF(Tabela1[[#This Row],[promien]]=40000,1,0)</f>
        <v>0</v>
      </c>
      <c r="F3666" s="1">
        <v>3.1620294599018002</v>
      </c>
      <c r="G3666" s="1">
        <v>2.0436806312007061E-2</v>
      </c>
    </row>
    <row r="3667" spans="1:7">
      <c r="A3667">
        <v>356</v>
      </c>
      <c r="B3667">
        <v>219</v>
      </c>
      <c r="C3667" s="1">
        <f>(Tabela1[[#This Row],[x]]-H$3)*(Tabela1[[#This Row],[x]]-H$3) +(Tabela1[[#This Row],[y]]-H$4)*(Tabela1[[#This Row],[y]]-H$4)</f>
        <v>24697</v>
      </c>
      <c r="D3667" s="1">
        <f>IF(Tabela1[[#This Row],[promien]]&lt;40000,1,0)</f>
        <v>1</v>
      </c>
      <c r="E3667" s="1">
        <f>IF(Tabela1[[#This Row],[promien]]=40000,1,0)</f>
        <v>0</v>
      </c>
      <c r="F3667" s="1">
        <v>3.1622579765475867</v>
      </c>
      <c r="G3667" s="1">
        <v>2.0665322957793553E-2</v>
      </c>
    </row>
    <row r="3668" spans="1:7">
      <c r="A3668">
        <v>82</v>
      </c>
      <c r="B3668">
        <v>137</v>
      </c>
      <c r="C3668" s="1">
        <f>(Tabela1[[#This Row],[x]]-H$3)*(Tabela1[[#This Row],[x]]-H$3) +(Tabela1[[#This Row],[y]]-H$4)*(Tabela1[[#This Row],[y]]-H$4)</f>
        <v>17893</v>
      </c>
      <c r="D3668" s="1">
        <f>IF(Tabela1[[#This Row],[promien]]&lt;40000,1,0)</f>
        <v>1</v>
      </c>
      <c r="E3668" s="1">
        <f>IF(Tabela1[[#This Row],[promien]]=40000,1,0)</f>
        <v>0</v>
      </c>
      <c r="F3668" s="1">
        <v>3.162486368593239</v>
      </c>
      <c r="G3668" s="1">
        <v>2.0893715003445834E-2</v>
      </c>
    </row>
    <row r="3669" spans="1:7">
      <c r="A3669">
        <v>196</v>
      </c>
      <c r="B3669">
        <v>325</v>
      </c>
      <c r="C3669" s="1">
        <f>(Tabela1[[#This Row],[x]]-H$3)*(Tabela1[[#This Row],[x]]-H$3) +(Tabela1[[#This Row],[y]]-H$4)*(Tabela1[[#This Row],[y]]-H$4)</f>
        <v>15641</v>
      </c>
      <c r="D3669" s="1">
        <f>IF(Tabela1[[#This Row],[promien]]&lt;40000,1,0)</f>
        <v>1</v>
      </c>
      <c r="E3669" s="1">
        <f>IF(Tabela1[[#This Row],[promien]]=40000,1,0)</f>
        <v>0</v>
      </c>
      <c r="F3669" s="1">
        <v>3.1627146361406377</v>
      </c>
      <c r="G3669" s="1">
        <v>2.1121982550844631E-2</v>
      </c>
    </row>
    <row r="3670" spans="1:7">
      <c r="A3670">
        <v>156</v>
      </c>
      <c r="B3670">
        <v>359</v>
      </c>
      <c r="C3670" s="1">
        <f>(Tabela1[[#This Row],[x]]-H$3)*(Tabela1[[#This Row],[x]]-H$3) +(Tabela1[[#This Row],[y]]-H$4)*(Tabela1[[#This Row],[y]]-H$4)</f>
        <v>27217</v>
      </c>
      <c r="D3670" s="1">
        <f>IF(Tabela1[[#This Row],[promien]]&lt;40000,1,0)</f>
        <v>1</v>
      </c>
      <c r="E3670" s="1">
        <f>IF(Tabela1[[#This Row],[promien]]=40000,1,0)</f>
        <v>0</v>
      </c>
      <c r="F3670" s="1">
        <v>3.1629427792915532</v>
      </c>
      <c r="G3670" s="1">
        <v>2.1350125701760092E-2</v>
      </c>
    </row>
    <row r="3671" spans="1:7">
      <c r="A3671">
        <v>192</v>
      </c>
      <c r="B3671">
        <v>324</v>
      </c>
      <c r="C3671" s="1">
        <f>(Tabela1[[#This Row],[x]]-H$3)*(Tabela1[[#This Row],[x]]-H$3) +(Tabela1[[#This Row],[y]]-H$4)*(Tabela1[[#This Row],[y]]-H$4)</f>
        <v>15440</v>
      </c>
      <c r="D3671" s="1">
        <f>IF(Tabela1[[#This Row],[promien]]&lt;40000,1,0)</f>
        <v>1</v>
      </c>
      <c r="E3671" s="1">
        <f>IF(Tabela1[[#This Row],[promien]]=40000,1,0)</f>
        <v>0</v>
      </c>
      <c r="F3671" s="1">
        <v>3.1631707981476436</v>
      </c>
      <c r="G3671" s="1">
        <v>2.1578144557850454E-2</v>
      </c>
    </row>
    <row r="3672" spans="1:7">
      <c r="A3672">
        <v>140</v>
      </c>
      <c r="B3672">
        <v>357</v>
      </c>
      <c r="C3672" s="1">
        <f>(Tabela1[[#This Row],[x]]-H$3)*(Tabela1[[#This Row],[x]]-H$3) +(Tabela1[[#This Row],[y]]-H$4)*(Tabela1[[#This Row],[y]]-H$4)</f>
        <v>28249</v>
      </c>
      <c r="D3672" s="1">
        <f>IF(Tabela1[[#This Row],[promien]]&lt;40000,1,0)</f>
        <v>1</v>
      </c>
      <c r="E3672" s="1">
        <f>IF(Tabela1[[#This Row],[promien]]=40000,1,0)</f>
        <v>0</v>
      </c>
      <c r="F3672" s="1">
        <v>3.1633986928104574</v>
      </c>
      <c r="G3672" s="1">
        <v>2.1806039220664264E-2</v>
      </c>
    </row>
    <row r="3673" spans="1:7">
      <c r="A3673">
        <v>179</v>
      </c>
      <c r="B3673">
        <v>39</v>
      </c>
      <c r="C3673" s="1">
        <f>(Tabela1[[#This Row],[x]]-H$3)*(Tabela1[[#This Row],[x]]-H$3) +(Tabela1[[#This Row],[y]]-H$4)*(Tabela1[[#This Row],[y]]-H$4)</f>
        <v>26362</v>
      </c>
      <c r="D3673" s="1">
        <f>IF(Tabela1[[#This Row],[promien]]&lt;40000,1,0)</f>
        <v>1</v>
      </c>
      <c r="E3673" s="1">
        <f>IF(Tabela1[[#This Row],[promien]]=40000,1,0)</f>
        <v>0</v>
      </c>
      <c r="F3673" s="1">
        <v>3.1636264633814322</v>
      </c>
      <c r="G3673" s="1">
        <v>2.2033809791639047E-2</v>
      </c>
    </row>
    <row r="3674" spans="1:7">
      <c r="A3674">
        <v>193</v>
      </c>
      <c r="B3674">
        <v>225</v>
      </c>
      <c r="C3674" s="1">
        <f>(Tabela1[[#This Row],[x]]-H$3)*(Tabela1[[#This Row],[x]]-H$3) +(Tabela1[[#This Row],[y]]-H$4)*(Tabela1[[#This Row],[y]]-H$4)</f>
        <v>674</v>
      </c>
      <c r="D3674" s="1">
        <f>IF(Tabela1[[#This Row],[promien]]&lt;40000,1,0)</f>
        <v>1</v>
      </c>
      <c r="E3674" s="1">
        <f>IF(Tabela1[[#This Row],[promien]]=40000,1,0)</f>
        <v>0</v>
      </c>
      <c r="F3674" s="1">
        <v>3.1638541099618944</v>
      </c>
      <c r="G3674" s="1">
        <v>2.2261456372101307E-2</v>
      </c>
    </row>
    <row r="3675" spans="1:7">
      <c r="A3675">
        <v>23</v>
      </c>
      <c r="B3675">
        <v>201</v>
      </c>
      <c r="C3675" s="1">
        <f>(Tabela1[[#This Row],[x]]-H$3)*(Tabela1[[#This Row],[x]]-H$3) +(Tabela1[[#This Row],[y]]-H$4)*(Tabela1[[#This Row],[y]]-H$4)</f>
        <v>31330</v>
      </c>
      <c r="D3675" s="1">
        <f>IF(Tabela1[[#This Row],[promien]]&lt;40000,1,0)</f>
        <v>1</v>
      </c>
      <c r="E3675" s="1">
        <f>IF(Tabela1[[#This Row],[promien]]=40000,1,0)</f>
        <v>0</v>
      </c>
      <c r="F3675" s="1">
        <v>3.1640816326530614</v>
      </c>
      <c r="G3675" s="1">
        <v>2.24889790632683E-2</v>
      </c>
    </row>
    <row r="3676" spans="1:7">
      <c r="A3676">
        <v>390</v>
      </c>
      <c r="B3676">
        <v>297</v>
      </c>
      <c r="C3676" s="1">
        <f>(Tabela1[[#This Row],[x]]-H$3)*(Tabela1[[#This Row],[x]]-H$3) +(Tabela1[[#This Row],[y]]-H$4)*(Tabela1[[#This Row],[y]]-H$4)</f>
        <v>45509</v>
      </c>
      <c r="D3676" s="1">
        <f>IF(Tabela1[[#This Row],[promien]]&lt;40000,1,0)</f>
        <v>0</v>
      </c>
      <c r="E3676" s="1">
        <f>IF(Tabela1[[#This Row],[promien]]=40000,1,0)</f>
        <v>0</v>
      </c>
      <c r="F3676" s="1">
        <v>3.1632208922742109</v>
      </c>
      <c r="G3676" s="1">
        <v>2.1628238684417767E-2</v>
      </c>
    </row>
    <row r="3677" spans="1:7">
      <c r="A3677">
        <v>162</v>
      </c>
      <c r="B3677">
        <v>355</v>
      </c>
      <c r="C3677" s="1">
        <f>(Tabela1[[#This Row],[x]]-H$3)*(Tabela1[[#This Row],[x]]-H$3) +(Tabela1[[#This Row],[y]]-H$4)*(Tabela1[[#This Row],[y]]-H$4)</f>
        <v>25469</v>
      </c>
      <c r="D3677" s="1">
        <f>IF(Tabela1[[#This Row],[promien]]&lt;40000,1,0)</f>
        <v>1</v>
      </c>
      <c r="E3677" s="1">
        <f>IF(Tabela1[[#This Row],[promien]]=40000,1,0)</f>
        <v>0</v>
      </c>
      <c r="F3677" s="1">
        <v>3.1634484634212674</v>
      </c>
      <c r="G3677" s="1">
        <v>2.1855809831474282E-2</v>
      </c>
    </row>
    <row r="3678" spans="1:7">
      <c r="A3678">
        <v>341</v>
      </c>
      <c r="B3678">
        <v>73</v>
      </c>
      <c r="C3678" s="1">
        <f>(Tabela1[[#This Row],[x]]-H$3)*(Tabela1[[#This Row],[x]]-H$3) +(Tabela1[[#This Row],[y]]-H$4)*(Tabela1[[#This Row],[y]]-H$4)</f>
        <v>36010</v>
      </c>
      <c r="D3678" s="1">
        <f>IF(Tabela1[[#This Row],[promien]]&lt;40000,1,0)</f>
        <v>1</v>
      </c>
      <c r="E3678" s="1">
        <f>IF(Tabela1[[#This Row],[promien]]=40000,1,0)</f>
        <v>0</v>
      </c>
      <c r="F3678" s="1">
        <v>3.1636759108210986</v>
      </c>
      <c r="G3678" s="1">
        <v>2.2083257231305442E-2</v>
      </c>
    </row>
    <row r="3679" spans="1:7">
      <c r="A3679">
        <v>218</v>
      </c>
      <c r="B3679">
        <v>309</v>
      </c>
      <c r="C3679" s="1">
        <f>(Tabela1[[#This Row],[x]]-H$3)*(Tabela1[[#This Row],[x]]-H$3) +(Tabela1[[#This Row],[y]]-H$4)*(Tabela1[[#This Row],[y]]-H$4)</f>
        <v>12205</v>
      </c>
      <c r="D3679" s="1">
        <f>IF(Tabela1[[#This Row],[promien]]&lt;40000,1,0)</f>
        <v>1</v>
      </c>
      <c r="E3679" s="1">
        <f>IF(Tabela1[[#This Row],[promien]]=40000,1,0)</f>
        <v>0</v>
      </c>
      <c r="F3679" s="1">
        <v>3.1639032345746125</v>
      </c>
      <c r="G3679" s="1">
        <v>2.2310580984819417E-2</v>
      </c>
    </row>
    <row r="3680" spans="1:7">
      <c r="A3680">
        <v>255</v>
      </c>
      <c r="B3680">
        <v>205</v>
      </c>
      <c r="C3680" s="1">
        <f>(Tabela1[[#This Row],[x]]-H$3)*(Tabela1[[#This Row],[x]]-H$3) +(Tabela1[[#This Row],[y]]-H$4)*(Tabela1[[#This Row],[y]]-H$4)</f>
        <v>3050</v>
      </c>
      <c r="D3680" s="1">
        <f>IF(Tabela1[[#This Row],[promien]]&lt;40000,1,0)</f>
        <v>1</v>
      </c>
      <c r="E3680" s="1">
        <f>IF(Tabela1[[#This Row],[promien]]=40000,1,0)</f>
        <v>0</v>
      </c>
      <c r="F3680" s="1">
        <v>3.1641304347826087</v>
      </c>
      <c r="G3680" s="1">
        <v>2.2537781192815576E-2</v>
      </c>
    </row>
    <row r="3681" spans="1:7">
      <c r="A3681">
        <v>392</v>
      </c>
      <c r="B3681">
        <v>300</v>
      </c>
      <c r="C3681" s="1">
        <f>(Tabela1[[#This Row],[x]]-H$3)*(Tabela1[[#This Row],[x]]-H$3) +(Tabela1[[#This Row],[y]]-H$4)*(Tabela1[[#This Row],[y]]-H$4)</f>
        <v>46864</v>
      </c>
      <c r="D3681" s="1">
        <f>IF(Tabela1[[#This Row],[promien]]&lt;40000,1,0)</f>
        <v>0</v>
      </c>
      <c r="E3681" s="1">
        <f>IF(Tabela1[[#This Row],[promien]]=40000,1,0)</f>
        <v>0</v>
      </c>
      <c r="F3681" s="1">
        <v>3.163270850312415</v>
      </c>
      <c r="G3681" s="1">
        <v>2.1678196722621834E-2</v>
      </c>
    </row>
    <row r="3682" spans="1:7">
      <c r="A3682">
        <v>231</v>
      </c>
      <c r="B3682">
        <v>75</v>
      </c>
      <c r="C3682" s="1">
        <f>(Tabela1[[#This Row],[x]]-H$3)*(Tabela1[[#This Row],[x]]-H$3) +(Tabela1[[#This Row],[y]]-H$4)*(Tabela1[[#This Row],[y]]-H$4)</f>
        <v>16586</v>
      </c>
      <c r="D3682" s="1">
        <f>IF(Tabela1[[#This Row],[promien]]&lt;40000,1,0)</f>
        <v>1</v>
      </c>
      <c r="E3682" s="1">
        <f>IF(Tabela1[[#This Row],[promien]]=40000,1,0)</f>
        <v>0</v>
      </c>
      <c r="F3682" s="1">
        <v>3.1634980988593155</v>
      </c>
      <c r="G3682" s="1">
        <v>2.1905445269522428E-2</v>
      </c>
    </row>
    <row r="3683" spans="1:7">
      <c r="A3683">
        <v>369</v>
      </c>
      <c r="B3683">
        <v>224</v>
      </c>
      <c r="C3683" s="1">
        <f>(Tabela1[[#This Row],[x]]-H$3)*(Tabela1[[#This Row],[x]]-H$3) +(Tabela1[[#This Row],[y]]-H$4)*(Tabela1[[#This Row],[y]]-H$4)</f>
        <v>29137</v>
      </c>
      <c r="D3683" s="1">
        <f>IF(Tabela1[[#This Row],[promien]]&lt;40000,1,0)</f>
        <v>1</v>
      </c>
      <c r="E3683" s="1">
        <f>IF(Tabela1[[#This Row],[promien]]=40000,1,0)</f>
        <v>0</v>
      </c>
      <c r="F3683" s="1">
        <v>3.1637252240021723</v>
      </c>
      <c r="G3683" s="1">
        <v>2.2132570412379149E-2</v>
      </c>
    </row>
    <row r="3684" spans="1:7">
      <c r="A3684">
        <v>367</v>
      </c>
      <c r="B3684">
        <v>270</v>
      </c>
      <c r="C3684" s="1">
        <f>(Tabela1[[#This Row],[x]]-H$3)*(Tabela1[[#This Row],[x]]-H$3) +(Tabela1[[#This Row],[y]]-H$4)*(Tabela1[[#This Row],[y]]-H$4)</f>
        <v>32789</v>
      </c>
      <c r="D3684" s="1">
        <f>IF(Tabela1[[#This Row],[promien]]&lt;40000,1,0)</f>
        <v>1</v>
      </c>
      <c r="E3684" s="1">
        <f>IF(Tabela1[[#This Row],[promien]]=40000,1,0)</f>
        <v>0</v>
      </c>
      <c r="F3684" s="1">
        <v>3.1639522258414767</v>
      </c>
      <c r="G3684" s="1">
        <v>2.2359572251683613E-2</v>
      </c>
    </row>
    <row r="3685" spans="1:7">
      <c r="A3685">
        <v>238</v>
      </c>
      <c r="B3685">
        <v>203</v>
      </c>
      <c r="C3685" s="1">
        <f>(Tabela1[[#This Row],[x]]-H$3)*(Tabela1[[#This Row],[x]]-H$3) +(Tabela1[[#This Row],[y]]-H$4)*(Tabela1[[#This Row],[y]]-H$4)</f>
        <v>1453</v>
      </c>
      <c r="D3685" s="1">
        <f>IF(Tabela1[[#This Row],[promien]]&lt;40000,1,0)</f>
        <v>1</v>
      </c>
      <c r="E3685" s="1">
        <f>IF(Tabela1[[#This Row],[promien]]=40000,1,0)</f>
        <v>0</v>
      </c>
      <c r="F3685" s="1">
        <v>3.1641791044776117</v>
      </c>
      <c r="G3685" s="1">
        <v>2.2586450887818632E-2</v>
      </c>
    </row>
    <row r="3686" spans="1:7">
      <c r="A3686">
        <v>381</v>
      </c>
      <c r="B3686">
        <v>91</v>
      </c>
      <c r="C3686" s="1">
        <f>(Tabela1[[#This Row],[x]]-H$3)*(Tabela1[[#This Row],[x]]-H$3) +(Tabela1[[#This Row],[y]]-H$4)*(Tabela1[[#This Row],[y]]-H$4)</f>
        <v>44642</v>
      </c>
      <c r="D3686" s="1">
        <f>IF(Tabela1[[#This Row],[promien]]&lt;40000,1,0)</f>
        <v>0</v>
      </c>
      <c r="E3686" s="1">
        <f>IF(Tabela1[[#This Row],[promien]]=40000,1,0)</f>
        <v>0</v>
      </c>
      <c r="F3686" s="1">
        <v>3.1633206728160608</v>
      </c>
      <c r="G3686" s="1">
        <v>2.1728019226267659E-2</v>
      </c>
    </row>
    <row r="3687" spans="1:7">
      <c r="A3687">
        <v>266</v>
      </c>
      <c r="B3687">
        <v>183</v>
      </c>
      <c r="C3687" s="1">
        <f>(Tabela1[[#This Row],[x]]-H$3)*(Tabela1[[#This Row],[x]]-H$3) +(Tabela1[[#This Row],[y]]-H$4)*(Tabela1[[#This Row],[y]]-H$4)</f>
        <v>4645</v>
      </c>
      <c r="D3687" s="1">
        <f>IF(Tabela1[[#This Row],[promien]]&lt;40000,1,0)</f>
        <v>1</v>
      </c>
      <c r="E3687" s="1">
        <f>IF(Tabela1[[#This Row],[promien]]=40000,1,0)</f>
        <v>0</v>
      </c>
      <c r="F3687" s="1">
        <v>3.1635475996745321</v>
      </c>
      <c r="G3687" s="1">
        <v>2.1954946084739024E-2</v>
      </c>
    </row>
    <row r="3688" spans="1:7">
      <c r="A3688">
        <v>40</v>
      </c>
      <c r="B3688">
        <v>275</v>
      </c>
      <c r="C3688" s="1">
        <f>(Tabela1[[#This Row],[x]]-H$3)*(Tabela1[[#This Row],[x]]-H$3) +(Tabela1[[#This Row],[y]]-H$4)*(Tabela1[[#This Row],[y]]-H$4)</f>
        <v>31225</v>
      </c>
      <c r="D3688" s="1">
        <f>IF(Tabela1[[#This Row],[promien]]&lt;40000,1,0)</f>
        <v>1</v>
      </c>
      <c r="E3688" s="1">
        <f>IF(Tabela1[[#This Row],[promien]]=40000,1,0)</f>
        <v>0</v>
      </c>
      <c r="F3688" s="1">
        <v>3.163774403470716</v>
      </c>
      <c r="G3688" s="1">
        <v>2.2181749880922919E-2</v>
      </c>
    </row>
    <row r="3689" spans="1:7">
      <c r="A3689">
        <v>41</v>
      </c>
      <c r="B3689">
        <v>84</v>
      </c>
      <c r="C3689" s="1">
        <f>(Tabela1[[#This Row],[x]]-H$3)*(Tabela1[[#This Row],[x]]-H$3) +(Tabela1[[#This Row],[y]]-H$4)*(Tabela1[[#This Row],[y]]-H$4)</f>
        <v>38737</v>
      </c>
      <c r="D3689" s="1">
        <f>IF(Tabela1[[#This Row],[promien]]&lt;40000,1,0)</f>
        <v>1</v>
      </c>
      <c r="E3689" s="1">
        <f>IF(Tabela1[[#This Row],[promien]]=40000,1,0)</f>
        <v>0</v>
      </c>
      <c r="F3689" s="1">
        <v>3.1640010843046897</v>
      </c>
      <c r="G3689" s="1">
        <v>2.2408430714896621E-2</v>
      </c>
    </row>
    <row r="3690" spans="1:7">
      <c r="A3690">
        <v>326</v>
      </c>
      <c r="B3690">
        <v>193</v>
      </c>
      <c r="C3690" s="1">
        <f>(Tabela1[[#This Row],[x]]-H$3)*(Tabela1[[#This Row],[x]]-H$3) +(Tabela1[[#This Row],[y]]-H$4)*(Tabela1[[#This Row],[y]]-H$4)</f>
        <v>15925</v>
      </c>
      <c r="D3690" s="1">
        <f>IF(Tabela1[[#This Row],[promien]]&lt;40000,1,0)</f>
        <v>1</v>
      </c>
      <c r="E3690" s="1">
        <f>IF(Tabela1[[#This Row],[promien]]=40000,1,0)</f>
        <v>0</v>
      </c>
      <c r="F3690" s="1">
        <v>3.1642276422764226</v>
      </c>
      <c r="G3690" s="1">
        <v>2.2634988686629498E-2</v>
      </c>
    </row>
    <row r="3691" spans="1:7">
      <c r="A3691">
        <v>297</v>
      </c>
      <c r="B3691">
        <v>307</v>
      </c>
      <c r="C3691" s="1">
        <f>(Tabela1[[#This Row],[x]]-H$3)*(Tabela1[[#This Row],[x]]-H$3) +(Tabela1[[#This Row],[y]]-H$4)*(Tabela1[[#This Row],[y]]-H$4)</f>
        <v>20858</v>
      </c>
      <c r="D3691" s="1">
        <f>IF(Tabela1[[#This Row],[promien]]&lt;40000,1,0)</f>
        <v>1</v>
      </c>
      <c r="E3691" s="1">
        <f>IF(Tabela1[[#This Row],[promien]]=40000,1,0)</f>
        <v>0</v>
      </c>
      <c r="F3691" s="1">
        <v>3.1644540774857761</v>
      </c>
      <c r="G3691" s="1">
        <v>2.2861423895983002E-2</v>
      </c>
    </row>
    <row r="3692" spans="1:7">
      <c r="A3692">
        <v>280</v>
      </c>
      <c r="B3692">
        <v>273</v>
      </c>
      <c r="C3692" s="1">
        <f>(Tabela1[[#This Row],[x]]-H$3)*(Tabela1[[#This Row],[x]]-H$3) +(Tabela1[[#This Row],[y]]-H$4)*(Tabela1[[#This Row],[y]]-H$4)</f>
        <v>11729</v>
      </c>
      <c r="D3692" s="1">
        <f>IF(Tabela1[[#This Row],[promien]]&lt;40000,1,0)</f>
        <v>1</v>
      </c>
      <c r="E3692" s="1">
        <f>IF(Tabela1[[#This Row],[promien]]=40000,1,0)</f>
        <v>0</v>
      </c>
      <c r="F3692" s="1">
        <v>3.1646803900325029</v>
      </c>
      <c r="G3692" s="1">
        <v>2.3087736442709783E-2</v>
      </c>
    </row>
    <row r="3693" spans="1:7">
      <c r="A3693">
        <v>98</v>
      </c>
      <c r="B3693">
        <v>281</v>
      </c>
      <c r="C3693" s="1">
        <f>(Tabela1[[#This Row],[x]]-H$3)*(Tabela1[[#This Row],[x]]-H$3) +(Tabela1[[#This Row],[y]]-H$4)*(Tabela1[[#This Row],[y]]-H$4)</f>
        <v>16965</v>
      </c>
      <c r="D3693" s="1">
        <f>IF(Tabela1[[#This Row],[promien]]&lt;40000,1,0)</f>
        <v>1</v>
      </c>
      <c r="E3693" s="1">
        <f>IF(Tabela1[[#This Row],[promien]]=40000,1,0)</f>
        <v>0</v>
      </c>
      <c r="F3693" s="1">
        <v>3.1649065800162468</v>
      </c>
      <c r="G3693" s="1">
        <v>2.3313926426453691E-2</v>
      </c>
    </row>
    <row r="3694" spans="1:7">
      <c r="A3694">
        <v>24</v>
      </c>
      <c r="B3694">
        <v>55</v>
      </c>
      <c r="C3694" s="1">
        <f>(Tabela1[[#This Row],[x]]-H$3)*(Tabela1[[#This Row],[x]]-H$3) +(Tabela1[[#This Row],[y]]-H$4)*(Tabela1[[#This Row],[y]]-H$4)</f>
        <v>52001</v>
      </c>
      <c r="D3694" s="1">
        <f>IF(Tabela1[[#This Row],[promien]]&lt;40000,1,0)</f>
        <v>0</v>
      </c>
      <c r="E3694" s="1">
        <f>IF(Tabela1[[#This Row],[promien]]=40000,1,0)</f>
        <v>0</v>
      </c>
      <c r="F3694" s="1">
        <v>3.1640498105035193</v>
      </c>
      <c r="G3694" s="1">
        <v>2.2457156913726184E-2</v>
      </c>
    </row>
    <row r="3695" spans="1:7">
      <c r="A3695">
        <v>56</v>
      </c>
      <c r="B3695">
        <v>122</v>
      </c>
      <c r="C3695" s="1">
        <f>(Tabela1[[#This Row],[x]]-H$3)*(Tabela1[[#This Row],[x]]-H$3) +(Tabela1[[#This Row],[y]]-H$4)*(Tabela1[[#This Row],[y]]-H$4)</f>
        <v>26820</v>
      </c>
      <c r="D3695" s="1">
        <f>IF(Tabela1[[#This Row],[promien]]&lt;40000,1,0)</f>
        <v>1</v>
      </c>
      <c r="E3695" s="1">
        <f>IF(Tabela1[[#This Row],[promien]]=40000,1,0)</f>
        <v>0</v>
      </c>
      <c r="F3695" s="1">
        <v>3.1642760487144792</v>
      </c>
      <c r="G3695" s="1">
        <v>2.268339512468609E-2</v>
      </c>
    </row>
    <row r="3696" spans="1:7">
      <c r="A3696">
        <v>55</v>
      </c>
      <c r="B3696">
        <v>12</v>
      </c>
      <c r="C3696" s="1">
        <f>(Tabela1[[#This Row],[x]]-H$3)*(Tabela1[[#This Row],[x]]-H$3) +(Tabela1[[#This Row],[y]]-H$4)*(Tabela1[[#This Row],[y]]-H$4)</f>
        <v>56369</v>
      </c>
      <c r="D3696" s="1">
        <f>IF(Tabela1[[#This Row],[promien]]&lt;40000,1,0)</f>
        <v>0</v>
      </c>
      <c r="E3696" s="1">
        <f>IF(Tabela1[[#This Row],[promien]]=40000,1,0)</f>
        <v>0</v>
      </c>
      <c r="F3696" s="1">
        <v>3.1634199134199132</v>
      </c>
      <c r="G3696" s="1">
        <v>2.1827259830120127E-2</v>
      </c>
    </row>
    <row r="3697" spans="1:7">
      <c r="A3697">
        <v>89</v>
      </c>
      <c r="B3697">
        <v>249</v>
      </c>
      <c r="C3697" s="1">
        <f>(Tabela1[[#This Row],[x]]-H$3)*(Tabela1[[#This Row],[x]]-H$3) +(Tabela1[[#This Row],[y]]-H$4)*(Tabela1[[#This Row],[y]]-H$4)</f>
        <v>14722</v>
      </c>
      <c r="D3697" s="1">
        <f>IF(Tabela1[[#This Row],[promien]]&lt;40000,1,0)</f>
        <v>1</v>
      </c>
      <c r="E3697" s="1">
        <f>IF(Tabela1[[#This Row],[promien]]=40000,1,0)</f>
        <v>0</v>
      </c>
      <c r="F3697" s="1">
        <v>3.1636461996213145</v>
      </c>
      <c r="G3697" s="1">
        <v>2.2053546031521432E-2</v>
      </c>
    </row>
    <row r="3698" spans="1:7">
      <c r="A3698">
        <v>81</v>
      </c>
      <c r="B3698">
        <v>166</v>
      </c>
      <c r="C3698" s="1">
        <f>(Tabela1[[#This Row],[x]]-H$3)*(Tabela1[[#This Row],[x]]-H$3) +(Tabela1[[#This Row],[y]]-H$4)*(Tabela1[[#This Row],[y]]-H$4)</f>
        <v>15317</v>
      </c>
      <c r="D3698" s="1">
        <f>IF(Tabela1[[#This Row],[promien]]&lt;40000,1,0)</f>
        <v>1</v>
      </c>
      <c r="E3698" s="1">
        <f>IF(Tabela1[[#This Row],[promien]]=40000,1,0)</f>
        <v>0</v>
      </c>
      <c r="F3698" s="1">
        <v>3.163872363439697</v>
      </c>
      <c r="G3698" s="1">
        <v>2.2279709849903906E-2</v>
      </c>
    </row>
    <row r="3699" spans="1:7">
      <c r="A3699">
        <v>111</v>
      </c>
      <c r="B3699">
        <v>240</v>
      </c>
      <c r="C3699" s="1">
        <f>(Tabela1[[#This Row],[x]]-H$3)*(Tabela1[[#This Row],[x]]-H$3) +(Tabela1[[#This Row],[y]]-H$4)*(Tabela1[[#This Row],[y]]-H$4)</f>
        <v>9521</v>
      </c>
      <c r="D3699" s="1">
        <f>IF(Tabela1[[#This Row],[promien]]&lt;40000,1,0)</f>
        <v>1</v>
      </c>
      <c r="E3699" s="1">
        <f>IF(Tabela1[[#This Row],[promien]]=40000,1,0)</f>
        <v>0</v>
      </c>
      <c r="F3699" s="1">
        <v>3.1640984049743173</v>
      </c>
      <c r="G3699" s="1">
        <v>2.2505751384524153E-2</v>
      </c>
    </row>
    <row r="3700" spans="1:7">
      <c r="A3700">
        <v>351</v>
      </c>
      <c r="B3700">
        <v>226</v>
      </c>
      <c r="C3700" s="1">
        <f>(Tabela1[[#This Row],[x]]-H$3)*(Tabela1[[#This Row],[x]]-H$3) +(Tabela1[[#This Row],[y]]-H$4)*(Tabela1[[#This Row],[y]]-H$4)</f>
        <v>23477</v>
      </c>
      <c r="D3700" s="1">
        <f>IF(Tabela1[[#This Row],[promien]]&lt;40000,1,0)</f>
        <v>1</v>
      </c>
      <c r="E3700" s="1">
        <f>IF(Tabela1[[#This Row],[promien]]=40000,1,0)</f>
        <v>0</v>
      </c>
      <c r="F3700" s="1">
        <v>3.1643243243243244</v>
      </c>
      <c r="G3700" s="1">
        <v>2.2731670734531306E-2</v>
      </c>
    </row>
    <row r="3701" spans="1:7">
      <c r="A3701">
        <v>216</v>
      </c>
      <c r="B3701">
        <v>6</v>
      </c>
      <c r="C3701" s="1">
        <f>(Tabela1[[#This Row],[x]]-H$3)*(Tabela1[[#This Row],[x]]-H$3) +(Tabela1[[#This Row],[y]]-H$4)*(Tabela1[[#This Row],[y]]-H$4)</f>
        <v>37892</v>
      </c>
      <c r="D3701" s="1">
        <f>IF(Tabela1[[#This Row],[promien]]&lt;40000,1,0)</f>
        <v>1</v>
      </c>
      <c r="E3701" s="1">
        <f>IF(Tabela1[[#This Row],[promien]]=40000,1,0)</f>
        <v>0</v>
      </c>
      <c r="F3701" s="1">
        <v>3.1645501215887597</v>
      </c>
      <c r="G3701" s="1">
        <v>2.2957467998966585E-2</v>
      </c>
    </row>
    <row r="3702" spans="1:7">
      <c r="A3702">
        <v>163</v>
      </c>
      <c r="B3702">
        <v>140</v>
      </c>
      <c r="C3702" s="1">
        <f>(Tabela1[[#This Row],[x]]-H$3)*(Tabela1[[#This Row],[x]]-H$3) +(Tabela1[[#This Row],[y]]-H$4)*(Tabela1[[#This Row],[y]]-H$4)</f>
        <v>4969</v>
      </c>
      <c r="D3702" s="1">
        <f>IF(Tabela1[[#This Row],[promien]]&lt;40000,1,0)</f>
        <v>1</v>
      </c>
      <c r="E3702" s="1">
        <f>IF(Tabela1[[#This Row],[promien]]=40000,1,0)</f>
        <v>0</v>
      </c>
      <c r="F3702" s="1">
        <v>3.1647757968665586</v>
      </c>
      <c r="G3702" s="1">
        <v>2.3183143276765517E-2</v>
      </c>
    </row>
    <row r="3703" spans="1:7">
      <c r="A3703">
        <v>155</v>
      </c>
      <c r="B3703">
        <v>241</v>
      </c>
      <c r="C3703" s="1">
        <f>(Tabela1[[#This Row],[x]]-H$3)*(Tabela1[[#This Row],[x]]-H$3) +(Tabela1[[#This Row],[y]]-H$4)*(Tabela1[[#This Row],[y]]-H$4)</f>
        <v>3706</v>
      </c>
      <c r="D3703" s="1">
        <f>IF(Tabela1[[#This Row],[promien]]&lt;40000,1,0)</f>
        <v>1</v>
      </c>
      <c r="E3703" s="1">
        <f>IF(Tabela1[[#This Row],[promien]]=40000,1,0)</f>
        <v>0</v>
      </c>
      <c r="F3703" s="1">
        <v>3.1650013502565488</v>
      </c>
      <c r="G3703" s="1">
        <v>2.3408696666755713E-2</v>
      </c>
    </row>
    <row r="3704" spans="1:7">
      <c r="A3704">
        <v>180</v>
      </c>
      <c r="B3704">
        <v>35</v>
      </c>
      <c r="C3704" s="1">
        <f>(Tabela1[[#This Row],[x]]-H$3)*(Tabela1[[#This Row],[x]]-H$3) +(Tabela1[[#This Row],[y]]-H$4)*(Tabela1[[#This Row],[y]]-H$4)</f>
        <v>27625</v>
      </c>
      <c r="D3704" s="1">
        <f>IF(Tabela1[[#This Row],[promien]]&lt;40000,1,0)</f>
        <v>1</v>
      </c>
      <c r="E3704" s="1">
        <f>IF(Tabela1[[#This Row],[promien]]=40000,1,0)</f>
        <v>0</v>
      </c>
      <c r="F3704" s="1">
        <v>3.1652267818574513</v>
      </c>
      <c r="G3704" s="1">
        <v>2.3634128267658205E-2</v>
      </c>
    </row>
    <row r="3705" spans="1:7">
      <c r="A3705">
        <v>176</v>
      </c>
      <c r="B3705">
        <v>202</v>
      </c>
      <c r="C3705" s="1">
        <f>(Tabela1[[#This Row],[x]]-H$3)*(Tabela1[[#This Row],[x]]-H$3) +(Tabela1[[#This Row],[y]]-H$4)*(Tabela1[[#This Row],[y]]-H$4)</f>
        <v>580</v>
      </c>
      <c r="D3705" s="1">
        <f>IF(Tabela1[[#This Row],[promien]]&lt;40000,1,0)</f>
        <v>1</v>
      </c>
      <c r="E3705" s="1">
        <f>IF(Tabela1[[#This Row],[promien]]=40000,1,0)</f>
        <v>0</v>
      </c>
      <c r="F3705" s="1">
        <v>3.1654520917678814</v>
      </c>
      <c r="G3705" s="1">
        <v>2.3859438178088332E-2</v>
      </c>
    </row>
    <row r="3706" spans="1:7">
      <c r="A3706">
        <v>348</v>
      </c>
      <c r="B3706">
        <v>346</v>
      </c>
      <c r="C3706" s="1">
        <f>(Tabela1[[#This Row],[x]]-H$3)*(Tabela1[[#This Row],[x]]-H$3) +(Tabela1[[#This Row],[y]]-H$4)*(Tabela1[[#This Row],[y]]-H$4)</f>
        <v>43220</v>
      </c>
      <c r="D3706" s="1">
        <f>IF(Tabela1[[#This Row],[promien]]&lt;40000,1,0)</f>
        <v>0</v>
      </c>
      <c r="E3706" s="1">
        <f>IF(Tabela1[[#This Row],[promien]]=40000,1,0)</f>
        <v>0</v>
      </c>
      <c r="F3706" s="1">
        <v>3.1645979492714518</v>
      </c>
      <c r="G3706" s="1">
        <v>2.3005295681658655E-2</v>
      </c>
    </row>
    <row r="3707" spans="1:7">
      <c r="A3707">
        <v>119</v>
      </c>
      <c r="B3707">
        <v>227</v>
      </c>
      <c r="C3707" s="1">
        <f>(Tabela1[[#This Row],[x]]-H$3)*(Tabela1[[#This Row],[x]]-H$3) +(Tabela1[[#This Row],[y]]-H$4)*(Tabela1[[#This Row],[y]]-H$4)</f>
        <v>7290</v>
      </c>
      <c r="D3707" s="1">
        <f>IF(Tabela1[[#This Row],[promien]]&lt;40000,1,0)</f>
        <v>1</v>
      </c>
      <c r="E3707" s="1">
        <f>IF(Tabela1[[#This Row],[promien]]=40000,1,0)</f>
        <v>0</v>
      </c>
      <c r="F3707" s="1">
        <v>3.1648233072565417</v>
      </c>
      <c r="G3707" s="1">
        <v>2.3230653666748591E-2</v>
      </c>
    </row>
    <row r="3708" spans="1:7">
      <c r="A3708">
        <v>255</v>
      </c>
      <c r="B3708">
        <v>232</v>
      </c>
      <c r="C3708" s="1">
        <f>(Tabela1[[#This Row],[x]]-H$3)*(Tabela1[[#This Row],[x]]-H$3) +(Tabela1[[#This Row],[y]]-H$4)*(Tabela1[[#This Row],[y]]-H$4)</f>
        <v>4049</v>
      </c>
      <c r="D3708" s="1">
        <f>IF(Tabela1[[#This Row],[promien]]&lt;40000,1,0)</f>
        <v>1</v>
      </c>
      <c r="E3708" s="1">
        <f>IF(Tabela1[[#This Row],[promien]]=40000,1,0)</f>
        <v>0</v>
      </c>
      <c r="F3708" s="1">
        <v>3.1650485436893203</v>
      </c>
      <c r="G3708" s="1">
        <v>2.3455890099527199E-2</v>
      </c>
    </row>
    <row r="3709" spans="1:7">
      <c r="A3709">
        <v>372</v>
      </c>
      <c r="B3709">
        <v>185</v>
      </c>
      <c r="C3709" s="1">
        <f>(Tabela1[[#This Row],[x]]-H$3)*(Tabela1[[#This Row],[x]]-H$3) +(Tabela1[[#This Row],[y]]-H$4)*(Tabela1[[#This Row],[y]]-H$4)</f>
        <v>29809</v>
      </c>
      <c r="D3709" s="1">
        <f>IF(Tabela1[[#This Row],[promien]]&lt;40000,1,0)</f>
        <v>1</v>
      </c>
      <c r="E3709" s="1">
        <f>IF(Tabela1[[#This Row],[promien]]=40000,1,0)</f>
        <v>0</v>
      </c>
      <c r="F3709" s="1">
        <v>3.1652736586681045</v>
      </c>
      <c r="G3709" s="1">
        <v>2.368100507831139E-2</v>
      </c>
    </row>
    <row r="3710" spans="1:7">
      <c r="A3710">
        <v>204</v>
      </c>
      <c r="B3710">
        <v>229</v>
      </c>
      <c r="C3710" s="1">
        <f>(Tabela1[[#This Row],[x]]-H$3)*(Tabela1[[#This Row],[x]]-H$3) +(Tabela1[[#This Row],[y]]-H$4)*(Tabela1[[#This Row],[y]]-H$4)</f>
        <v>857</v>
      </c>
      <c r="D3710" s="1">
        <f>IF(Tabela1[[#This Row],[promien]]&lt;40000,1,0)</f>
        <v>1</v>
      </c>
      <c r="E3710" s="1">
        <f>IF(Tabela1[[#This Row],[promien]]=40000,1,0)</f>
        <v>0</v>
      </c>
      <c r="F3710" s="1">
        <v>3.1654986522911051</v>
      </c>
      <c r="G3710" s="1">
        <v>2.3905998701311937E-2</v>
      </c>
    </row>
    <row r="3711" spans="1:7">
      <c r="A3711">
        <v>58</v>
      </c>
      <c r="B3711">
        <v>176</v>
      </c>
      <c r="C3711" s="1">
        <f>(Tabela1[[#This Row],[x]]-H$3)*(Tabela1[[#This Row],[x]]-H$3) +(Tabela1[[#This Row],[y]]-H$4)*(Tabela1[[#This Row],[y]]-H$4)</f>
        <v>20740</v>
      </c>
      <c r="D3711" s="1">
        <f>IF(Tabela1[[#This Row],[promien]]&lt;40000,1,0)</f>
        <v>1</v>
      </c>
      <c r="E3711" s="1">
        <f>IF(Tabela1[[#This Row],[promien]]=40000,1,0)</f>
        <v>0</v>
      </c>
      <c r="F3711" s="1">
        <v>3.165723524656427</v>
      </c>
      <c r="G3711" s="1">
        <v>2.4130871066633919E-2</v>
      </c>
    </row>
    <row r="3712" spans="1:7">
      <c r="A3712">
        <v>98</v>
      </c>
      <c r="B3712">
        <v>292</v>
      </c>
      <c r="C3712" s="1">
        <f>(Tabela1[[#This Row],[x]]-H$3)*(Tabela1[[#This Row],[x]]-H$3) +(Tabela1[[#This Row],[y]]-H$4)*(Tabela1[[#This Row],[y]]-H$4)</f>
        <v>18868</v>
      </c>
      <c r="D3712" s="1">
        <f>IF(Tabela1[[#This Row],[promien]]&lt;40000,1,0)</f>
        <v>1</v>
      </c>
      <c r="E3712" s="1">
        <f>IF(Tabela1[[#This Row],[promien]]=40000,1,0)</f>
        <v>0</v>
      </c>
      <c r="F3712" s="1">
        <v>3.165948275862069</v>
      </c>
      <c r="G3712" s="1">
        <v>2.4355622272275834E-2</v>
      </c>
    </row>
    <row r="3713" spans="1:7">
      <c r="A3713">
        <v>7</v>
      </c>
      <c r="B3713">
        <v>34</v>
      </c>
      <c r="C3713" s="1">
        <f>(Tabela1[[#This Row],[x]]-H$3)*(Tabela1[[#This Row],[x]]-H$3) +(Tabela1[[#This Row],[y]]-H$4)*(Tabela1[[#This Row],[y]]-H$4)</f>
        <v>64805</v>
      </c>
      <c r="D3713" s="1">
        <f>IF(Tabela1[[#This Row],[promien]]&lt;40000,1,0)</f>
        <v>0</v>
      </c>
      <c r="E3713" s="1">
        <f>IF(Tabela1[[#This Row],[promien]]=40000,1,0)</f>
        <v>0</v>
      </c>
      <c r="F3713" s="1">
        <v>3.1650956100188528</v>
      </c>
      <c r="G3713" s="1">
        <v>2.350295642905964E-2</v>
      </c>
    </row>
    <row r="3714" spans="1:7">
      <c r="A3714">
        <v>373</v>
      </c>
      <c r="B3714">
        <v>251</v>
      </c>
      <c r="C3714" s="1">
        <f>(Tabela1[[#This Row],[x]]-H$3)*(Tabela1[[#This Row],[x]]-H$3) +(Tabela1[[#This Row],[y]]-H$4)*(Tabela1[[#This Row],[y]]-H$4)</f>
        <v>32530</v>
      </c>
      <c r="D3714" s="1">
        <f>IF(Tabela1[[#This Row],[promien]]&lt;40000,1,0)</f>
        <v>1</v>
      </c>
      <c r="E3714" s="1">
        <f>IF(Tabela1[[#This Row],[promien]]=40000,1,0)</f>
        <v>0</v>
      </c>
      <c r="F3714" s="1">
        <v>3.1653204092622511</v>
      </c>
      <c r="G3714" s="1">
        <v>2.3727755672457995E-2</v>
      </c>
    </row>
    <row r="3715" spans="1:7">
      <c r="A3715">
        <v>115</v>
      </c>
      <c r="B3715">
        <v>280</v>
      </c>
      <c r="C3715" s="1">
        <f>(Tabela1[[#This Row],[x]]-H$3)*(Tabela1[[#This Row],[x]]-H$3) +(Tabela1[[#This Row],[y]]-H$4)*(Tabela1[[#This Row],[y]]-H$4)</f>
        <v>13625</v>
      </c>
      <c r="D3715" s="1">
        <f>IF(Tabela1[[#This Row],[promien]]&lt;40000,1,0)</f>
        <v>1</v>
      </c>
      <c r="E3715" s="1">
        <f>IF(Tabela1[[#This Row],[promien]]=40000,1,0)</f>
        <v>0</v>
      </c>
      <c r="F3715" s="1">
        <v>3.1655450874831765</v>
      </c>
      <c r="G3715" s="1">
        <v>2.3952433893383418E-2</v>
      </c>
    </row>
    <row r="3716" spans="1:7">
      <c r="A3716">
        <v>193</v>
      </c>
      <c r="B3716">
        <v>179</v>
      </c>
      <c r="C3716" s="1">
        <f>(Tabela1[[#This Row],[x]]-H$3)*(Tabela1[[#This Row],[x]]-H$3) +(Tabela1[[#This Row],[y]]-H$4)*(Tabela1[[#This Row],[y]]-H$4)</f>
        <v>490</v>
      </c>
      <c r="D3716" s="1">
        <f>IF(Tabela1[[#This Row],[promien]]&lt;40000,1,0)</f>
        <v>1</v>
      </c>
      <c r="E3716" s="1">
        <f>IF(Tabela1[[#This Row],[promien]]=40000,1,0)</f>
        <v>0</v>
      </c>
      <c r="F3716" s="1">
        <v>3.1657696447793326</v>
      </c>
      <c r="G3716" s="1">
        <v>2.4176991189539532E-2</v>
      </c>
    </row>
    <row r="3717" spans="1:7">
      <c r="A3717">
        <v>222</v>
      </c>
      <c r="B3717">
        <v>34</v>
      </c>
      <c r="C3717" s="1">
        <f>(Tabela1[[#This Row],[x]]-H$3)*(Tabela1[[#This Row],[x]]-H$3) +(Tabela1[[#This Row],[y]]-H$4)*(Tabela1[[#This Row],[y]]-H$4)</f>
        <v>28040</v>
      </c>
      <c r="D3717" s="1">
        <f>IF(Tabela1[[#This Row],[promien]]&lt;40000,1,0)</f>
        <v>1</v>
      </c>
      <c r="E3717" s="1">
        <f>IF(Tabela1[[#This Row],[promien]]=40000,1,0)</f>
        <v>0</v>
      </c>
      <c r="F3717" s="1">
        <v>3.1659940812483187</v>
      </c>
      <c r="G3717" s="1">
        <v>2.4401427658525598E-2</v>
      </c>
    </row>
    <row r="3718" spans="1:7">
      <c r="A3718">
        <v>39</v>
      </c>
      <c r="B3718">
        <v>396</v>
      </c>
      <c r="C3718" s="1">
        <f>(Tabela1[[#This Row],[x]]-H$3)*(Tabela1[[#This Row],[x]]-H$3) +(Tabela1[[#This Row],[y]]-H$4)*(Tabela1[[#This Row],[y]]-H$4)</f>
        <v>64337</v>
      </c>
      <c r="D3718" s="1">
        <f>IF(Tabela1[[#This Row],[promien]]&lt;40000,1,0)</f>
        <v>0</v>
      </c>
      <c r="E3718" s="1">
        <f>IF(Tabela1[[#This Row],[promien]]=40000,1,0)</f>
        <v>0</v>
      </c>
      <c r="F3718" s="1">
        <v>3.1651425497579342</v>
      </c>
      <c r="G3718" s="1">
        <v>2.3549896168141071E-2</v>
      </c>
    </row>
    <row r="3719" spans="1:7">
      <c r="A3719">
        <v>199</v>
      </c>
      <c r="B3719">
        <v>382</v>
      </c>
      <c r="C3719" s="1">
        <f>(Tabela1[[#This Row],[x]]-H$3)*(Tabela1[[#This Row],[x]]-H$3) +(Tabela1[[#This Row],[y]]-H$4)*(Tabela1[[#This Row],[y]]-H$4)</f>
        <v>33125</v>
      </c>
      <c r="D3719" s="1">
        <f>IF(Tabela1[[#This Row],[promien]]&lt;40000,1,0)</f>
        <v>1</v>
      </c>
      <c r="E3719" s="1">
        <f>IF(Tabela1[[#This Row],[promien]]=40000,1,0)</f>
        <v>0</v>
      </c>
      <c r="F3719" s="1">
        <v>3.1653670341489648</v>
      </c>
      <c r="G3719" s="1">
        <v>2.3774380559171693E-2</v>
      </c>
    </row>
    <row r="3720" spans="1:7">
      <c r="A3720">
        <v>332</v>
      </c>
      <c r="B3720">
        <v>110</v>
      </c>
      <c r="C3720" s="1">
        <f>(Tabela1[[#This Row],[x]]-H$3)*(Tabela1[[#This Row],[x]]-H$3) +(Tabela1[[#This Row],[y]]-H$4)*(Tabela1[[#This Row],[y]]-H$4)</f>
        <v>25524</v>
      </c>
      <c r="D3720" s="1">
        <f>IF(Tabela1[[#This Row],[promien]]&lt;40000,1,0)</f>
        <v>1</v>
      </c>
      <c r="E3720" s="1">
        <f>IF(Tabela1[[#This Row],[promien]]=40000,1,0)</f>
        <v>0</v>
      </c>
      <c r="F3720" s="1">
        <v>3.1655913978494623</v>
      </c>
      <c r="G3720" s="1">
        <v>2.3998744259669191E-2</v>
      </c>
    </row>
    <row r="3721" spans="1:7">
      <c r="A3721">
        <v>162</v>
      </c>
      <c r="B3721">
        <v>54</v>
      </c>
      <c r="C3721" s="1">
        <f>(Tabela1[[#This Row],[x]]-H$3)*(Tabela1[[#This Row],[x]]-H$3) +(Tabela1[[#This Row],[y]]-H$4)*(Tabela1[[#This Row],[y]]-H$4)</f>
        <v>22760</v>
      </c>
      <c r="D3721" s="1">
        <f>IF(Tabela1[[#This Row],[promien]]&lt;40000,1,0)</f>
        <v>1</v>
      </c>
      <c r="E3721" s="1">
        <f>IF(Tabela1[[#This Row],[promien]]=40000,1,0)</f>
        <v>0</v>
      </c>
      <c r="F3721" s="1">
        <v>3.165815640956732</v>
      </c>
      <c r="G3721" s="1">
        <v>2.4222987366938842E-2</v>
      </c>
    </row>
    <row r="3722" spans="1:7">
      <c r="A3722">
        <v>317</v>
      </c>
      <c r="B3722">
        <v>71</v>
      </c>
      <c r="C3722" s="1">
        <f>(Tabela1[[#This Row],[x]]-H$3)*(Tabela1[[#This Row],[x]]-H$3) +(Tabela1[[#This Row],[y]]-H$4)*(Tabela1[[#This Row],[y]]-H$4)</f>
        <v>30330</v>
      </c>
      <c r="D3722" s="1">
        <f>IF(Tabela1[[#This Row],[promien]]&lt;40000,1,0)</f>
        <v>1</v>
      </c>
      <c r="E3722" s="1">
        <f>IF(Tabela1[[#This Row],[promien]]=40000,1,0)</f>
        <v>0</v>
      </c>
      <c r="F3722" s="1">
        <v>3.1660397635679742</v>
      </c>
      <c r="G3722" s="1">
        <v>2.4447109978181114E-2</v>
      </c>
    </row>
    <row r="3723" spans="1:7">
      <c r="A3723">
        <v>92</v>
      </c>
      <c r="B3723">
        <v>167</v>
      </c>
      <c r="C3723" s="1">
        <f>(Tabela1[[#This Row],[x]]-H$3)*(Tabela1[[#This Row],[x]]-H$3) +(Tabela1[[#This Row],[y]]-H$4)*(Tabela1[[#This Row],[y]]-H$4)</f>
        <v>12753</v>
      </c>
      <c r="D3723" s="1">
        <f>IF(Tabela1[[#This Row],[promien]]&lt;40000,1,0)</f>
        <v>1</v>
      </c>
      <c r="E3723" s="1">
        <f>IF(Tabela1[[#This Row],[promien]]=40000,1,0)</f>
        <v>0</v>
      </c>
      <c r="F3723" s="1">
        <v>3.1662637657802848</v>
      </c>
      <c r="G3723" s="1">
        <v>2.4671112190491673E-2</v>
      </c>
    </row>
    <row r="3724" spans="1:7">
      <c r="A3724">
        <v>367</v>
      </c>
      <c r="B3724">
        <v>220</v>
      </c>
      <c r="C3724" s="1">
        <f>(Tabela1[[#This Row],[x]]-H$3)*(Tabela1[[#This Row],[x]]-H$3) +(Tabela1[[#This Row],[y]]-H$4)*(Tabela1[[#This Row],[y]]-H$4)</f>
        <v>28289</v>
      </c>
      <c r="D3724" s="1">
        <f>IF(Tabela1[[#This Row],[promien]]&lt;40000,1,0)</f>
        <v>1</v>
      </c>
      <c r="E3724" s="1">
        <f>IF(Tabela1[[#This Row],[promien]]=40000,1,0)</f>
        <v>0</v>
      </c>
      <c r="F3724" s="1">
        <v>3.1664876476906554</v>
      </c>
      <c r="G3724" s="1">
        <v>2.4894994100862267E-2</v>
      </c>
    </row>
    <row r="3725" spans="1:7">
      <c r="A3725">
        <v>346</v>
      </c>
      <c r="B3725">
        <v>308</v>
      </c>
      <c r="C3725" s="1">
        <f>(Tabela1[[#This Row],[x]]-H$3)*(Tabela1[[#This Row],[x]]-H$3) +(Tabela1[[#This Row],[y]]-H$4)*(Tabela1[[#This Row],[y]]-H$4)</f>
        <v>32980</v>
      </c>
      <c r="D3725" s="1">
        <f>IF(Tabela1[[#This Row],[promien]]&lt;40000,1,0)</f>
        <v>1</v>
      </c>
      <c r="E3725" s="1">
        <f>IF(Tabela1[[#This Row],[promien]]=40000,1,0)</f>
        <v>0</v>
      </c>
      <c r="F3725" s="1">
        <v>3.166711409395973</v>
      </c>
      <c r="G3725" s="1">
        <v>2.5118755806179838E-2</v>
      </c>
    </row>
    <row r="3726" spans="1:7">
      <c r="A3726">
        <v>295</v>
      </c>
      <c r="B3726">
        <v>294</v>
      </c>
      <c r="C3726" s="1">
        <f>(Tabela1[[#This Row],[x]]-H$3)*(Tabela1[[#This Row],[x]]-H$3) +(Tabela1[[#This Row],[y]]-H$4)*(Tabela1[[#This Row],[y]]-H$4)</f>
        <v>17861</v>
      </c>
      <c r="D3726" s="1">
        <f>IF(Tabela1[[#This Row],[promien]]&lt;40000,1,0)</f>
        <v>1</v>
      </c>
      <c r="E3726" s="1">
        <f>IF(Tabela1[[#This Row],[promien]]=40000,1,0)</f>
        <v>0</v>
      </c>
      <c r="F3726" s="1">
        <v>3.1669350509930219</v>
      </c>
      <c r="G3726" s="1">
        <v>2.5342397403228745E-2</v>
      </c>
    </row>
    <row r="3727" spans="1:7">
      <c r="A3727">
        <v>184</v>
      </c>
      <c r="B3727">
        <v>214</v>
      </c>
      <c r="C3727" s="1">
        <f>(Tabela1[[#This Row],[x]]-H$3)*(Tabela1[[#This Row],[x]]-H$3) +(Tabela1[[#This Row],[y]]-H$4)*(Tabela1[[#This Row],[y]]-H$4)</f>
        <v>452</v>
      </c>
      <c r="D3727" s="1">
        <f>IF(Tabela1[[#This Row],[promien]]&lt;40000,1,0)</f>
        <v>1</v>
      </c>
      <c r="E3727" s="1">
        <f>IF(Tabela1[[#This Row],[promien]]=40000,1,0)</f>
        <v>0</v>
      </c>
      <c r="F3727" s="1">
        <v>3.1671585725784812</v>
      </c>
      <c r="G3727" s="1">
        <v>2.5565918988688097E-2</v>
      </c>
    </row>
    <row r="3728" spans="1:7">
      <c r="A3728">
        <v>208</v>
      </c>
      <c r="B3728">
        <v>374</v>
      </c>
      <c r="C3728" s="1">
        <f>(Tabela1[[#This Row],[x]]-H$3)*(Tabela1[[#This Row],[x]]-H$3) +(Tabela1[[#This Row],[y]]-H$4)*(Tabela1[[#This Row],[y]]-H$4)</f>
        <v>30340</v>
      </c>
      <c r="D3728" s="1">
        <f>IF(Tabela1[[#This Row],[promien]]&lt;40000,1,0)</f>
        <v>1</v>
      </c>
      <c r="E3728" s="1">
        <f>IF(Tabela1[[#This Row],[promien]]=40000,1,0)</f>
        <v>0</v>
      </c>
      <c r="F3728" s="1">
        <v>3.1673819742489271</v>
      </c>
      <c r="G3728" s="1">
        <v>2.5789320659133974E-2</v>
      </c>
    </row>
    <row r="3729" spans="1:7">
      <c r="A3729">
        <v>165</v>
      </c>
      <c r="B3729">
        <v>116</v>
      </c>
      <c r="C3729" s="1">
        <f>(Tabela1[[#This Row],[x]]-H$3)*(Tabela1[[#This Row],[x]]-H$3) +(Tabela1[[#This Row],[y]]-H$4)*(Tabela1[[#This Row],[y]]-H$4)</f>
        <v>8281</v>
      </c>
      <c r="D3729" s="1">
        <f>IF(Tabela1[[#This Row],[promien]]&lt;40000,1,0)</f>
        <v>1</v>
      </c>
      <c r="E3729" s="1">
        <f>IF(Tabela1[[#This Row],[promien]]=40000,1,0)</f>
        <v>0</v>
      </c>
      <c r="F3729" s="1">
        <v>3.1676052561008312</v>
      </c>
      <c r="G3729" s="1">
        <v>2.6012602511038097E-2</v>
      </c>
    </row>
    <row r="3730" spans="1:7">
      <c r="A3730">
        <v>275</v>
      </c>
      <c r="B3730">
        <v>253</v>
      </c>
      <c r="C3730" s="1">
        <f>(Tabela1[[#This Row],[x]]-H$3)*(Tabela1[[#This Row],[x]]-H$3) +(Tabela1[[#This Row],[y]]-H$4)*(Tabela1[[#This Row],[y]]-H$4)</f>
        <v>8434</v>
      </c>
      <c r="D3730" s="1">
        <f>IF(Tabela1[[#This Row],[promien]]&lt;40000,1,0)</f>
        <v>1</v>
      </c>
      <c r="E3730" s="1">
        <f>IF(Tabela1[[#This Row],[promien]]=40000,1,0)</f>
        <v>0</v>
      </c>
      <c r="F3730" s="1">
        <v>3.1678284182305632</v>
      </c>
      <c r="G3730" s="1">
        <v>2.6235764640770043E-2</v>
      </c>
    </row>
    <row r="3731" spans="1:7">
      <c r="A3731">
        <v>69</v>
      </c>
      <c r="B3731">
        <v>323</v>
      </c>
      <c r="C3731" s="1">
        <f>(Tabela1[[#This Row],[x]]-H$3)*(Tabela1[[#This Row],[x]]-H$3) +(Tabela1[[#This Row],[y]]-H$4)*(Tabela1[[#This Row],[y]]-H$4)</f>
        <v>32290</v>
      </c>
      <c r="D3731" s="1">
        <f>IF(Tabela1[[#This Row],[promien]]&lt;40000,1,0)</f>
        <v>1</v>
      </c>
      <c r="E3731" s="1">
        <f>IF(Tabela1[[#This Row],[promien]]=40000,1,0)</f>
        <v>0</v>
      </c>
      <c r="F3731" s="1">
        <v>3.1680514607343877</v>
      </c>
      <c r="G3731" s="1">
        <v>2.6458807144594587E-2</v>
      </c>
    </row>
    <row r="3732" spans="1:7">
      <c r="A3732">
        <v>312</v>
      </c>
      <c r="B3732">
        <v>261</v>
      </c>
      <c r="C3732" s="1">
        <f>(Tabela1[[#This Row],[x]]-H$3)*(Tabela1[[#This Row],[x]]-H$3) +(Tabela1[[#This Row],[y]]-H$4)*(Tabela1[[#This Row],[y]]-H$4)</f>
        <v>16265</v>
      </c>
      <c r="D3732" s="1">
        <f>IF(Tabela1[[#This Row],[promien]]&lt;40000,1,0)</f>
        <v>1</v>
      </c>
      <c r="E3732" s="1">
        <f>IF(Tabela1[[#This Row],[promien]]=40000,1,0)</f>
        <v>0</v>
      </c>
      <c r="F3732" s="1">
        <v>3.1682743837084675</v>
      </c>
      <c r="G3732" s="1">
        <v>2.6681730118674363E-2</v>
      </c>
    </row>
    <row r="3733" spans="1:7">
      <c r="A3733">
        <v>338</v>
      </c>
      <c r="B3733">
        <v>52</v>
      </c>
      <c r="C3733" s="1">
        <f>(Tabela1[[#This Row],[x]]-H$3)*(Tabela1[[#This Row],[x]]-H$3) +(Tabela1[[#This Row],[y]]-H$4)*(Tabela1[[#This Row],[y]]-H$4)</f>
        <v>40948</v>
      </c>
      <c r="D3733" s="1">
        <f>IF(Tabela1[[#This Row],[promien]]&lt;40000,1,0)</f>
        <v>0</v>
      </c>
      <c r="E3733" s="1">
        <f>IF(Tabela1[[#This Row],[promien]]=40000,1,0)</f>
        <v>0</v>
      </c>
      <c r="F3733" s="1">
        <v>3.1674256630056257</v>
      </c>
      <c r="G3733" s="1">
        <v>2.5833009415832553E-2</v>
      </c>
    </row>
    <row r="3734" spans="1:7">
      <c r="A3734">
        <v>208</v>
      </c>
      <c r="B3734">
        <v>191</v>
      </c>
      <c r="C3734" s="1">
        <f>(Tabela1[[#This Row],[x]]-H$3)*(Tabela1[[#This Row],[x]]-H$3) +(Tabela1[[#This Row],[y]]-H$4)*(Tabela1[[#This Row],[y]]-H$4)</f>
        <v>145</v>
      </c>
      <c r="D3734" s="1">
        <f>IF(Tabela1[[#This Row],[promien]]&lt;40000,1,0)</f>
        <v>1</v>
      </c>
      <c r="E3734" s="1">
        <f>IF(Tabela1[[#This Row],[promien]]=40000,1,0)</f>
        <v>0</v>
      </c>
      <c r="F3734" s="1">
        <v>3.167648634172469</v>
      </c>
      <c r="G3734" s="1">
        <v>2.6055980582675886E-2</v>
      </c>
    </row>
    <row r="3735" spans="1:7">
      <c r="A3735">
        <v>196</v>
      </c>
      <c r="B3735">
        <v>57</v>
      </c>
      <c r="C3735" s="1">
        <f>(Tabela1[[#This Row],[x]]-H$3)*(Tabela1[[#This Row],[x]]-H$3) +(Tabela1[[#This Row],[y]]-H$4)*(Tabela1[[#This Row],[y]]-H$4)</f>
        <v>20465</v>
      </c>
      <c r="D3735" s="1">
        <f>IF(Tabela1[[#This Row],[promien]]&lt;40000,1,0)</f>
        <v>1</v>
      </c>
      <c r="E3735" s="1">
        <f>IF(Tabela1[[#This Row],[promien]]=40000,1,0)</f>
        <v>0</v>
      </c>
      <c r="F3735" s="1">
        <v>3.1678714859437749</v>
      </c>
      <c r="G3735" s="1">
        <v>2.6278832353981763E-2</v>
      </c>
    </row>
    <row r="3736" spans="1:7">
      <c r="A3736">
        <v>165</v>
      </c>
      <c r="B3736">
        <v>208</v>
      </c>
      <c r="C3736" s="1">
        <f>(Tabela1[[#This Row],[x]]-H$3)*(Tabela1[[#This Row],[x]]-H$3) +(Tabela1[[#This Row],[y]]-H$4)*(Tabela1[[#This Row],[y]]-H$4)</f>
        <v>1289</v>
      </c>
      <c r="D3736" s="1">
        <f>IF(Tabela1[[#This Row],[promien]]&lt;40000,1,0)</f>
        <v>1</v>
      </c>
      <c r="E3736" s="1">
        <f>IF(Tabela1[[#This Row],[promien]]=40000,1,0)</f>
        <v>0</v>
      </c>
      <c r="F3736" s="1">
        <v>3.1680942184154177</v>
      </c>
      <c r="G3736" s="1">
        <v>2.6501564825624602E-2</v>
      </c>
    </row>
    <row r="3737" spans="1:7">
      <c r="A3737">
        <v>358</v>
      </c>
      <c r="B3737">
        <v>191</v>
      </c>
      <c r="C3737" s="1">
        <f>(Tabela1[[#This Row],[x]]-H$3)*(Tabela1[[#This Row],[x]]-H$3) +(Tabela1[[#This Row],[y]]-H$4)*(Tabela1[[#This Row],[y]]-H$4)</f>
        <v>25045</v>
      </c>
      <c r="D3737" s="1">
        <f>IF(Tabela1[[#This Row],[promien]]&lt;40000,1,0)</f>
        <v>1</v>
      </c>
      <c r="E3737" s="1">
        <f>IF(Tabela1[[#This Row],[promien]]=40000,1,0)</f>
        <v>0</v>
      </c>
      <c r="F3737" s="1">
        <v>3.1683168316831685</v>
      </c>
      <c r="G3737" s="1">
        <v>2.672417809337535E-2</v>
      </c>
    </row>
    <row r="3738" spans="1:7">
      <c r="A3738">
        <v>163</v>
      </c>
      <c r="B3738">
        <v>174</v>
      </c>
      <c r="C3738" s="1">
        <f>(Tabela1[[#This Row],[x]]-H$3)*(Tabela1[[#This Row],[x]]-H$3) +(Tabela1[[#This Row],[y]]-H$4)*(Tabela1[[#This Row],[y]]-H$4)</f>
        <v>2045</v>
      </c>
      <c r="D3738" s="1">
        <f>IF(Tabela1[[#This Row],[promien]]&lt;40000,1,0)</f>
        <v>1</v>
      </c>
      <c r="E3738" s="1">
        <f>IF(Tabela1[[#This Row],[promien]]=40000,1,0)</f>
        <v>0</v>
      </c>
      <c r="F3738" s="1">
        <v>3.1685393258426968</v>
      </c>
      <c r="G3738" s="1">
        <v>2.6946672252903703E-2</v>
      </c>
    </row>
    <row r="3739" spans="1:7">
      <c r="A3739">
        <v>7</v>
      </c>
      <c r="B3739">
        <v>186</v>
      </c>
      <c r="C3739" s="1">
        <f>(Tabela1[[#This Row],[x]]-H$3)*(Tabela1[[#This Row],[x]]-H$3) +(Tabela1[[#This Row],[y]]-H$4)*(Tabela1[[#This Row],[y]]-H$4)</f>
        <v>37445</v>
      </c>
      <c r="D3739" s="1">
        <f>IF(Tabela1[[#This Row],[promien]]&lt;40000,1,0)</f>
        <v>1</v>
      </c>
      <c r="E3739" s="1">
        <f>IF(Tabela1[[#This Row],[promien]]=40000,1,0)</f>
        <v>0</v>
      </c>
      <c r="F3739" s="1">
        <v>3.1687617009895694</v>
      </c>
      <c r="G3739" s="1">
        <v>2.7169047399776325E-2</v>
      </c>
    </row>
    <row r="3740" spans="1:7">
      <c r="A3740">
        <v>357</v>
      </c>
      <c r="B3740">
        <v>292</v>
      </c>
      <c r="C3740" s="1">
        <f>(Tabela1[[#This Row],[x]]-H$3)*(Tabela1[[#This Row],[x]]-H$3) +(Tabela1[[#This Row],[y]]-H$4)*(Tabela1[[#This Row],[y]]-H$4)</f>
        <v>33113</v>
      </c>
      <c r="D3740" s="1">
        <f>IF(Tabela1[[#This Row],[promien]]&lt;40000,1,0)</f>
        <v>1</v>
      </c>
      <c r="E3740" s="1">
        <f>IF(Tabela1[[#This Row],[promien]]=40000,1,0)</f>
        <v>0</v>
      </c>
      <c r="F3740" s="1">
        <v>3.1689839572192513</v>
      </c>
      <c r="G3740" s="1">
        <v>2.7391303629458186E-2</v>
      </c>
    </row>
    <row r="3741" spans="1:7">
      <c r="A3741">
        <v>24</v>
      </c>
      <c r="B3741">
        <v>25</v>
      </c>
      <c r="C3741" s="1">
        <f>(Tabela1[[#This Row],[x]]-H$3)*(Tabela1[[#This Row],[x]]-H$3) +(Tabela1[[#This Row],[y]]-H$4)*(Tabela1[[#This Row],[y]]-H$4)</f>
        <v>61601</v>
      </c>
      <c r="D3741" s="1">
        <f>IF(Tabela1[[#This Row],[promien]]&lt;40000,1,0)</f>
        <v>0</v>
      </c>
      <c r="E3741" s="1">
        <f>IF(Tabela1[[#This Row],[promien]]=40000,1,0)</f>
        <v>0</v>
      </c>
      <c r="F3741" s="1">
        <v>3.1681368618016572</v>
      </c>
      <c r="G3741" s="1">
        <v>2.6544208211864095E-2</v>
      </c>
    </row>
    <row r="3742" spans="1:7">
      <c r="A3742">
        <v>251</v>
      </c>
      <c r="B3742">
        <v>168</v>
      </c>
      <c r="C3742" s="1">
        <f>(Tabela1[[#This Row],[x]]-H$3)*(Tabela1[[#This Row],[x]]-H$3) +(Tabela1[[#This Row],[y]]-H$4)*(Tabela1[[#This Row],[y]]-H$4)</f>
        <v>3625</v>
      </c>
      <c r="D3742" s="1">
        <f>IF(Tabela1[[#This Row],[promien]]&lt;40000,1,0)</f>
        <v>1</v>
      </c>
      <c r="E3742" s="1">
        <f>IF(Tabela1[[#This Row],[promien]]=40000,1,0)</f>
        <v>0</v>
      </c>
      <c r="F3742" s="1">
        <v>3.168359166221272</v>
      </c>
      <c r="G3742" s="1">
        <v>2.6766512631478889E-2</v>
      </c>
    </row>
    <row r="3743" spans="1:7">
      <c r="A3743">
        <v>51</v>
      </c>
      <c r="B3743">
        <v>321</v>
      </c>
      <c r="C3743" s="1">
        <f>(Tabela1[[#This Row],[x]]-H$3)*(Tabela1[[#This Row],[x]]-H$3) +(Tabela1[[#This Row],[y]]-H$4)*(Tabela1[[#This Row],[y]]-H$4)</f>
        <v>36842</v>
      </c>
      <c r="D3743" s="1">
        <f>IF(Tabela1[[#This Row],[promien]]&lt;40000,1,0)</f>
        <v>1</v>
      </c>
      <c r="E3743" s="1">
        <f>IF(Tabela1[[#This Row],[promien]]=40000,1,0)</f>
        <v>0</v>
      </c>
      <c r="F3743" s="1">
        <v>3.1685813518567993</v>
      </c>
      <c r="G3743" s="1">
        <v>2.6988698267006228E-2</v>
      </c>
    </row>
    <row r="3744" spans="1:7">
      <c r="A3744">
        <v>62</v>
      </c>
      <c r="B3744">
        <v>96</v>
      </c>
      <c r="C3744" s="1">
        <f>(Tabela1[[#This Row],[x]]-H$3)*(Tabela1[[#This Row],[x]]-H$3) +(Tabela1[[#This Row],[y]]-H$4)*(Tabela1[[#This Row],[y]]-H$4)</f>
        <v>29860</v>
      </c>
      <c r="D3744" s="1">
        <f>IF(Tabela1[[#This Row],[promien]]&lt;40000,1,0)</f>
        <v>1</v>
      </c>
      <c r="E3744" s="1">
        <f>IF(Tabela1[[#This Row],[promien]]=40000,1,0)</f>
        <v>0</v>
      </c>
      <c r="F3744" s="1">
        <v>3.1688034188034186</v>
      </c>
      <c r="G3744" s="1">
        <v>2.7210765213625532E-2</v>
      </c>
    </row>
    <row r="3745" spans="1:7">
      <c r="A3745">
        <v>20</v>
      </c>
      <c r="B3745">
        <v>168</v>
      </c>
      <c r="C3745" s="1">
        <f>(Tabela1[[#This Row],[x]]-H$3)*(Tabela1[[#This Row],[x]]-H$3) +(Tabela1[[#This Row],[y]]-H$4)*(Tabela1[[#This Row],[y]]-H$4)</f>
        <v>33424</v>
      </c>
      <c r="D3745" s="1">
        <f>IF(Tabela1[[#This Row],[promien]]&lt;40000,1,0)</f>
        <v>1</v>
      </c>
      <c r="E3745" s="1">
        <f>IF(Tabela1[[#This Row],[promien]]=40000,1,0)</f>
        <v>0</v>
      </c>
      <c r="F3745" s="1">
        <v>3.1690253671562081</v>
      </c>
      <c r="G3745" s="1">
        <v>2.7432713566414968E-2</v>
      </c>
    </row>
    <row r="3746" spans="1:7">
      <c r="A3746">
        <v>203</v>
      </c>
      <c r="B3746">
        <v>63</v>
      </c>
      <c r="C3746" s="1">
        <f>(Tabela1[[#This Row],[x]]-H$3)*(Tabela1[[#This Row],[x]]-H$3) +(Tabela1[[#This Row],[y]]-H$4)*(Tabela1[[#This Row],[y]]-H$4)</f>
        <v>18778</v>
      </c>
      <c r="D3746" s="1">
        <f>IF(Tabela1[[#This Row],[promien]]&lt;40000,1,0)</f>
        <v>1</v>
      </c>
      <c r="E3746" s="1">
        <f>IF(Tabela1[[#This Row],[promien]]=40000,1,0)</f>
        <v>0</v>
      </c>
      <c r="F3746" s="1">
        <v>3.1692471970101441</v>
      </c>
      <c r="G3746" s="1">
        <v>2.7654543420351008E-2</v>
      </c>
    </row>
    <row r="3747" spans="1:7">
      <c r="A3747">
        <v>119</v>
      </c>
      <c r="B3747">
        <v>236</v>
      </c>
      <c r="C3747" s="1">
        <f>(Tabela1[[#This Row],[x]]-H$3)*(Tabela1[[#This Row],[x]]-H$3) +(Tabela1[[#This Row],[y]]-H$4)*(Tabela1[[#This Row],[y]]-H$4)</f>
        <v>7857</v>
      </c>
      <c r="D3747" s="1">
        <f>IF(Tabela1[[#This Row],[promien]]&lt;40000,1,0)</f>
        <v>1</v>
      </c>
      <c r="E3747" s="1">
        <f>IF(Tabela1[[#This Row],[promien]]=40000,1,0)</f>
        <v>0</v>
      </c>
      <c r="F3747" s="1">
        <v>3.1694689084601015</v>
      </c>
      <c r="G3747" s="1">
        <v>2.7876254870308426E-2</v>
      </c>
    </row>
    <row r="3748" spans="1:7">
      <c r="A3748">
        <v>142</v>
      </c>
      <c r="B3748">
        <v>363</v>
      </c>
      <c r="C3748" s="1">
        <f>(Tabela1[[#This Row],[x]]-H$3)*(Tabela1[[#This Row],[x]]-H$3) +(Tabela1[[#This Row],[y]]-H$4)*(Tabela1[[#This Row],[y]]-H$4)</f>
        <v>29933</v>
      </c>
      <c r="D3748" s="1">
        <f>IF(Tabela1[[#This Row],[promien]]&lt;40000,1,0)</f>
        <v>1</v>
      </c>
      <c r="E3748" s="1">
        <f>IF(Tabela1[[#This Row],[promien]]=40000,1,0)</f>
        <v>0</v>
      </c>
      <c r="F3748" s="1">
        <v>3.1696905016008539</v>
      </c>
      <c r="G3748" s="1">
        <v>2.8097848011060744E-2</v>
      </c>
    </row>
    <row r="3749" spans="1:7">
      <c r="A3749">
        <v>44</v>
      </c>
      <c r="B3749">
        <v>242</v>
      </c>
      <c r="C3749" s="1">
        <f>(Tabela1[[#This Row],[x]]-H$3)*(Tabela1[[#This Row],[x]]-H$3) +(Tabela1[[#This Row],[y]]-H$4)*(Tabela1[[#This Row],[y]]-H$4)</f>
        <v>26100</v>
      </c>
      <c r="D3749" s="1">
        <f>IF(Tabela1[[#This Row],[promien]]&lt;40000,1,0)</f>
        <v>1</v>
      </c>
      <c r="E3749" s="1">
        <f>IF(Tabela1[[#This Row],[promien]]=40000,1,0)</f>
        <v>0</v>
      </c>
      <c r="F3749" s="1">
        <v>3.1699119765270738</v>
      </c>
      <c r="G3749" s="1">
        <v>2.8319322937280678E-2</v>
      </c>
    </row>
    <row r="3750" spans="1:7">
      <c r="A3750">
        <v>106</v>
      </c>
      <c r="B3750">
        <v>295</v>
      </c>
      <c r="C3750" s="1">
        <f>(Tabela1[[#This Row],[x]]-H$3)*(Tabela1[[#This Row],[x]]-H$3) +(Tabela1[[#This Row],[y]]-H$4)*(Tabela1[[#This Row],[y]]-H$4)</f>
        <v>17861</v>
      </c>
      <c r="D3750" s="1">
        <f>IF(Tabela1[[#This Row],[promien]]&lt;40000,1,0)</f>
        <v>1</v>
      </c>
      <c r="E3750" s="1">
        <f>IF(Tabela1[[#This Row],[promien]]=40000,1,0)</f>
        <v>0</v>
      </c>
      <c r="F3750" s="1">
        <v>3.1701333333333332</v>
      </c>
      <c r="G3750" s="1">
        <v>2.8540679743540132E-2</v>
      </c>
    </row>
    <row r="3751" spans="1:7">
      <c r="A3751">
        <v>21</v>
      </c>
      <c r="B3751">
        <v>159</v>
      </c>
      <c r="C3751" s="1">
        <f>(Tabela1[[#This Row],[x]]-H$3)*(Tabela1[[#This Row],[x]]-H$3) +(Tabela1[[#This Row],[y]]-H$4)*(Tabela1[[#This Row],[y]]-H$4)</f>
        <v>33722</v>
      </c>
      <c r="D3751" s="1">
        <f>IF(Tabela1[[#This Row],[promien]]&lt;40000,1,0)</f>
        <v>1</v>
      </c>
      <c r="E3751" s="1">
        <f>IF(Tabela1[[#This Row],[promien]]=40000,1,0)</f>
        <v>0</v>
      </c>
      <c r="F3751" s="1">
        <v>3.1703545721141029</v>
      </c>
      <c r="G3751" s="1">
        <v>2.876191852430976E-2</v>
      </c>
    </row>
    <row r="3752" spans="1:7">
      <c r="A3752">
        <v>157</v>
      </c>
      <c r="B3752">
        <v>68</v>
      </c>
      <c r="C3752" s="1">
        <f>(Tabela1[[#This Row],[x]]-H$3)*(Tabela1[[#This Row],[x]]-H$3) +(Tabela1[[#This Row],[y]]-H$4)*(Tabela1[[#This Row],[y]]-H$4)</f>
        <v>19273</v>
      </c>
      <c r="D3752" s="1">
        <f>IF(Tabela1[[#This Row],[promien]]&lt;40000,1,0)</f>
        <v>1</v>
      </c>
      <c r="E3752" s="1">
        <f>IF(Tabela1[[#This Row],[promien]]=40000,1,0)</f>
        <v>0</v>
      </c>
      <c r="F3752" s="1">
        <v>3.1705756929637525</v>
      </c>
      <c r="G3752" s="1">
        <v>2.8983039373959407E-2</v>
      </c>
    </row>
    <row r="3753" spans="1:7">
      <c r="A3753">
        <v>205</v>
      </c>
      <c r="B3753">
        <v>281</v>
      </c>
      <c r="C3753" s="1">
        <f>(Tabela1[[#This Row],[x]]-H$3)*(Tabela1[[#This Row],[x]]-H$3) +(Tabela1[[#This Row],[y]]-H$4)*(Tabela1[[#This Row],[y]]-H$4)</f>
        <v>6586</v>
      </c>
      <c r="D3753" s="1">
        <f>IF(Tabela1[[#This Row],[promien]]&lt;40000,1,0)</f>
        <v>1</v>
      </c>
      <c r="E3753" s="1">
        <f>IF(Tabela1[[#This Row],[promien]]=40000,1,0)</f>
        <v>0</v>
      </c>
      <c r="F3753" s="1">
        <v>3.1707966959765521</v>
      </c>
      <c r="G3753" s="1">
        <v>2.9204042386758999E-2</v>
      </c>
    </row>
    <row r="3754" spans="1:7">
      <c r="A3754">
        <v>166</v>
      </c>
      <c r="B3754">
        <v>26</v>
      </c>
      <c r="C3754" s="1">
        <f>(Tabela1[[#This Row],[x]]-H$3)*(Tabela1[[#This Row],[x]]-H$3) +(Tabela1[[#This Row],[y]]-H$4)*(Tabela1[[#This Row],[y]]-H$4)</f>
        <v>31432</v>
      </c>
      <c r="D3754" s="1">
        <f>IF(Tabela1[[#This Row],[promien]]&lt;40000,1,0)</f>
        <v>1</v>
      </c>
      <c r="E3754" s="1">
        <f>IF(Tabela1[[#This Row],[promien]]=40000,1,0)</f>
        <v>0</v>
      </c>
      <c r="F3754" s="1">
        <v>3.1710175812466703</v>
      </c>
      <c r="G3754" s="1">
        <v>2.9424927656877209E-2</v>
      </c>
    </row>
    <row r="3755" spans="1:7">
      <c r="A3755">
        <v>168</v>
      </c>
      <c r="B3755">
        <v>164</v>
      </c>
      <c r="C3755" s="1">
        <f>(Tabela1[[#This Row],[x]]-H$3)*(Tabela1[[#This Row],[x]]-H$3) +(Tabela1[[#This Row],[y]]-H$4)*(Tabela1[[#This Row],[y]]-H$4)</f>
        <v>2320</v>
      </c>
      <c r="D3755" s="1">
        <f>IF(Tabela1[[#This Row],[promien]]&lt;40000,1,0)</f>
        <v>1</v>
      </c>
      <c r="E3755" s="1">
        <f>IF(Tabela1[[#This Row],[promien]]=40000,1,0)</f>
        <v>0</v>
      </c>
      <c r="F3755" s="1">
        <v>3.1712383488681759</v>
      </c>
      <c r="G3755" s="1">
        <v>2.9645695278382789E-2</v>
      </c>
    </row>
    <row r="3756" spans="1:7">
      <c r="A3756">
        <v>49</v>
      </c>
      <c r="B3756">
        <v>47</v>
      </c>
      <c r="C3756" s="1">
        <f>(Tabela1[[#This Row],[x]]-H$3)*(Tabela1[[#This Row],[x]]-H$3) +(Tabela1[[#This Row],[y]]-H$4)*(Tabela1[[#This Row],[y]]-H$4)</f>
        <v>46210</v>
      </c>
      <c r="D3756" s="1">
        <f>IF(Tabela1[[#This Row],[promien]]&lt;40000,1,0)</f>
        <v>0</v>
      </c>
      <c r="E3756" s="1">
        <f>IF(Tabela1[[#This Row],[promien]]=40000,1,0)</f>
        <v>0</v>
      </c>
      <c r="F3756" s="1">
        <v>3.1703940362087328</v>
      </c>
      <c r="G3756" s="1">
        <v>2.8801382618939719E-2</v>
      </c>
    </row>
    <row r="3757" spans="1:7">
      <c r="A3757">
        <v>232</v>
      </c>
      <c r="B3757">
        <v>146</v>
      </c>
      <c r="C3757" s="1">
        <f>(Tabela1[[#This Row],[x]]-H$3)*(Tabela1[[#This Row],[x]]-H$3) +(Tabela1[[#This Row],[y]]-H$4)*(Tabela1[[#This Row],[y]]-H$4)</f>
        <v>3940</v>
      </c>
      <c r="D3757" s="1">
        <f>IF(Tabela1[[#This Row],[promien]]&lt;40000,1,0)</f>
        <v>1</v>
      </c>
      <c r="E3757" s="1">
        <f>IF(Tabela1[[#This Row],[promien]]=40000,1,0)</f>
        <v>0</v>
      </c>
      <c r="F3757" s="1">
        <v>3.1706148522757518</v>
      </c>
      <c r="G3757" s="1">
        <v>2.9022198685958678E-2</v>
      </c>
    </row>
    <row r="3758" spans="1:7">
      <c r="A3758">
        <v>105</v>
      </c>
      <c r="B3758">
        <v>188</v>
      </c>
      <c r="C3758" s="1">
        <f>(Tabela1[[#This Row],[x]]-H$3)*(Tabela1[[#This Row],[x]]-H$3) +(Tabela1[[#This Row],[y]]-H$4)*(Tabela1[[#This Row],[y]]-H$4)</f>
        <v>9169</v>
      </c>
      <c r="D3758" s="1">
        <f>IF(Tabela1[[#This Row],[promien]]&lt;40000,1,0)</f>
        <v>1</v>
      </c>
      <c r="E3758" s="1">
        <f>IF(Tabela1[[#This Row],[promien]]=40000,1,0)</f>
        <v>0</v>
      </c>
      <c r="F3758" s="1">
        <v>3.1708355508249069</v>
      </c>
      <c r="G3758" s="1">
        <v>2.9242897235113752E-2</v>
      </c>
    </row>
    <row r="3759" spans="1:7">
      <c r="A3759">
        <v>260</v>
      </c>
      <c r="B3759">
        <v>223</v>
      </c>
      <c r="C3759" s="1">
        <f>(Tabela1[[#This Row],[x]]-H$3)*(Tabela1[[#This Row],[x]]-H$3) +(Tabela1[[#This Row],[y]]-H$4)*(Tabela1[[#This Row],[y]]-H$4)</f>
        <v>4129</v>
      </c>
      <c r="D3759" s="1">
        <f>IF(Tabela1[[#This Row],[promien]]&lt;40000,1,0)</f>
        <v>1</v>
      </c>
      <c r="E3759" s="1">
        <f>IF(Tabela1[[#This Row],[promien]]=40000,1,0)</f>
        <v>0</v>
      </c>
      <c r="F3759" s="1">
        <v>3.1710561319499866</v>
      </c>
      <c r="G3759" s="1">
        <v>2.9463478360193474E-2</v>
      </c>
    </row>
    <row r="3760" spans="1:7">
      <c r="A3760">
        <v>320</v>
      </c>
      <c r="B3760">
        <v>381</v>
      </c>
      <c r="C3760" s="1">
        <f>(Tabela1[[#This Row],[x]]-H$3)*(Tabela1[[#This Row],[x]]-H$3) +(Tabela1[[#This Row],[y]]-H$4)*(Tabela1[[#This Row],[y]]-H$4)</f>
        <v>47161</v>
      </c>
      <c r="D3760" s="1">
        <f>IF(Tabela1[[#This Row],[promien]]&lt;40000,1,0)</f>
        <v>0</v>
      </c>
      <c r="E3760" s="1">
        <f>IF(Tabela1[[#This Row],[promien]]=40000,1,0)</f>
        <v>0</v>
      </c>
      <c r="F3760" s="1">
        <v>3.1702127659574466</v>
      </c>
      <c r="G3760" s="1">
        <v>2.8620112367653494E-2</v>
      </c>
    </row>
    <row r="3761" spans="1:7">
      <c r="A3761">
        <v>169</v>
      </c>
      <c r="B3761">
        <v>91</v>
      </c>
      <c r="C3761" s="1">
        <f>(Tabela1[[#This Row],[x]]-H$3)*(Tabela1[[#This Row],[x]]-H$3) +(Tabela1[[#This Row],[y]]-H$4)*(Tabela1[[#This Row],[y]]-H$4)</f>
        <v>12842</v>
      </c>
      <c r="D3761" s="1">
        <f>IF(Tabela1[[#This Row],[promien]]&lt;40000,1,0)</f>
        <v>1</v>
      </c>
      <c r="E3761" s="1">
        <f>IF(Tabela1[[#This Row],[promien]]=40000,1,0)</f>
        <v>0</v>
      </c>
      <c r="F3761" s="1">
        <v>3.1704333953735708</v>
      </c>
      <c r="G3761" s="1">
        <v>2.8840741783777712E-2</v>
      </c>
    </row>
    <row r="3762" spans="1:7">
      <c r="A3762">
        <v>341</v>
      </c>
      <c r="B3762">
        <v>10</v>
      </c>
      <c r="C3762" s="1">
        <f>(Tabela1[[#This Row],[x]]-H$3)*(Tabela1[[#This Row],[x]]-H$3) +(Tabela1[[#This Row],[y]]-H$4)*(Tabela1[[#This Row],[y]]-H$4)</f>
        <v>55981</v>
      </c>
      <c r="D3762" s="1">
        <f>IF(Tabela1[[#This Row],[promien]]&lt;40000,1,0)</f>
        <v>0</v>
      </c>
      <c r="E3762" s="1">
        <f>IF(Tabela1[[#This Row],[promien]]=40000,1,0)</f>
        <v>0</v>
      </c>
      <c r="F3762" s="1">
        <v>3.1695906432748537</v>
      </c>
      <c r="G3762" s="1">
        <v>2.799798968506062E-2</v>
      </c>
    </row>
    <row r="3763" spans="1:7">
      <c r="A3763">
        <v>47</v>
      </c>
      <c r="B3763">
        <v>400</v>
      </c>
      <c r="C3763" s="1">
        <f>(Tabela1[[#This Row],[x]]-H$3)*(Tabela1[[#This Row],[x]]-H$3) +(Tabela1[[#This Row],[y]]-H$4)*(Tabela1[[#This Row],[y]]-H$4)</f>
        <v>63409</v>
      </c>
      <c r="D3763" s="1">
        <f>IF(Tabela1[[#This Row],[promien]]&lt;40000,1,0)</f>
        <v>0</v>
      </c>
      <c r="E3763" s="1">
        <f>IF(Tabela1[[#This Row],[promien]]=40000,1,0)</f>
        <v>0</v>
      </c>
      <c r="F3763" s="1">
        <v>3.1687483390911506</v>
      </c>
      <c r="G3763" s="1">
        <v>2.7155685501357496E-2</v>
      </c>
    </row>
    <row r="3764" spans="1:7">
      <c r="A3764">
        <v>232</v>
      </c>
      <c r="B3764">
        <v>112</v>
      </c>
      <c r="C3764" s="1">
        <f>(Tabela1[[#This Row],[x]]-H$3)*(Tabela1[[#This Row],[x]]-H$3) +(Tabela1[[#This Row],[y]]-H$4)*(Tabela1[[#This Row],[y]]-H$4)</f>
        <v>8768</v>
      </c>
      <c r="D3764" s="1">
        <f>IF(Tabela1[[#This Row],[promien]]&lt;40000,1,0)</f>
        <v>1</v>
      </c>
      <c r="E3764" s="1">
        <f>IF(Tabela1[[#This Row],[promien]]=40000,1,0)</f>
        <v>0</v>
      </c>
      <c r="F3764" s="1">
        <v>3.1689691817215726</v>
      </c>
      <c r="G3764" s="1">
        <v>2.7376528131779487E-2</v>
      </c>
    </row>
    <row r="3765" spans="1:7">
      <c r="A3765">
        <v>192</v>
      </c>
      <c r="B3765">
        <v>144</v>
      </c>
      <c r="C3765" s="1">
        <f>(Tabela1[[#This Row],[x]]-H$3)*(Tabela1[[#This Row],[x]]-H$3) +(Tabela1[[#This Row],[y]]-H$4)*(Tabela1[[#This Row],[y]]-H$4)</f>
        <v>3200</v>
      </c>
      <c r="D3765" s="1">
        <f>IF(Tabela1[[#This Row],[promien]]&lt;40000,1,0)</f>
        <v>1</v>
      </c>
      <c r="E3765" s="1">
        <f>IF(Tabela1[[#This Row],[promien]]=40000,1,0)</f>
        <v>0</v>
      </c>
      <c r="F3765" s="1">
        <v>3.1691899070385126</v>
      </c>
      <c r="G3765" s="1">
        <v>2.7597253448719439E-2</v>
      </c>
    </row>
    <row r="3766" spans="1:7">
      <c r="A3766">
        <v>374</v>
      </c>
      <c r="B3766">
        <v>159</v>
      </c>
      <c r="C3766" s="1">
        <f>(Tabela1[[#This Row],[x]]-H$3)*(Tabela1[[#This Row],[x]]-H$3) +(Tabela1[[#This Row],[y]]-H$4)*(Tabela1[[#This Row],[y]]-H$4)</f>
        <v>31957</v>
      </c>
      <c r="D3766" s="1">
        <f>IF(Tabela1[[#This Row],[promien]]&lt;40000,1,0)</f>
        <v>1</v>
      </c>
      <c r="E3766" s="1">
        <f>IF(Tabela1[[#This Row],[promien]]=40000,1,0)</f>
        <v>0</v>
      </c>
      <c r="F3766" s="1">
        <v>3.1694105151354224</v>
      </c>
      <c r="G3766" s="1">
        <v>2.7817861545629263E-2</v>
      </c>
    </row>
    <row r="3767" spans="1:7">
      <c r="A3767">
        <v>107</v>
      </c>
      <c r="B3767">
        <v>33</v>
      </c>
      <c r="C3767" s="1">
        <f>(Tabela1[[#This Row],[x]]-H$3)*(Tabela1[[#This Row],[x]]-H$3) +(Tabela1[[#This Row],[y]]-H$4)*(Tabela1[[#This Row],[y]]-H$4)</f>
        <v>36538</v>
      </c>
      <c r="D3767" s="1">
        <f>IF(Tabela1[[#This Row],[promien]]&lt;40000,1,0)</f>
        <v>1</v>
      </c>
      <c r="E3767" s="1">
        <f>IF(Tabela1[[#This Row],[promien]]=40000,1,0)</f>
        <v>0</v>
      </c>
      <c r="F3767" s="1">
        <v>3.1696310061056545</v>
      </c>
      <c r="G3767" s="1">
        <v>2.8038352515861398E-2</v>
      </c>
    </row>
    <row r="3768" spans="1:7">
      <c r="A3768">
        <v>204</v>
      </c>
      <c r="B3768">
        <v>358</v>
      </c>
      <c r="C3768" s="1">
        <f>(Tabela1[[#This Row],[x]]-H$3)*(Tabela1[[#This Row],[x]]-H$3) +(Tabela1[[#This Row],[y]]-H$4)*(Tabela1[[#This Row],[y]]-H$4)</f>
        <v>24980</v>
      </c>
      <c r="D3768" s="1">
        <f>IF(Tabela1[[#This Row],[promien]]&lt;40000,1,0)</f>
        <v>1</v>
      </c>
      <c r="E3768" s="1">
        <f>IF(Tabela1[[#This Row],[promien]]=40000,1,0)</f>
        <v>0</v>
      </c>
      <c r="F3768" s="1">
        <v>3.1698513800424628</v>
      </c>
      <c r="G3768" s="1">
        <v>2.8258726452669691E-2</v>
      </c>
    </row>
    <row r="3769" spans="1:7">
      <c r="A3769">
        <v>110</v>
      </c>
      <c r="B3769">
        <v>8</v>
      </c>
      <c r="C3769" s="1">
        <f>(Tabela1[[#This Row],[x]]-H$3)*(Tabela1[[#This Row],[x]]-H$3) +(Tabela1[[#This Row],[y]]-H$4)*(Tabela1[[#This Row],[y]]-H$4)</f>
        <v>44964</v>
      </c>
      <c r="D3769" s="1">
        <f>IF(Tabela1[[#This Row],[promien]]&lt;40000,1,0)</f>
        <v>0</v>
      </c>
      <c r="E3769" s="1">
        <f>IF(Tabela1[[#This Row],[promien]]=40000,1,0)</f>
        <v>0</v>
      </c>
      <c r="F3769" s="1">
        <v>3.1690103475723004</v>
      </c>
      <c r="G3769" s="1">
        <v>2.7417693982507263E-2</v>
      </c>
    </row>
    <row r="3770" spans="1:7">
      <c r="A3770">
        <v>391</v>
      </c>
      <c r="B3770">
        <v>377</v>
      </c>
      <c r="C3770" s="1">
        <f>(Tabela1[[#This Row],[x]]-H$3)*(Tabela1[[#This Row],[x]]-H$3) +(Tabela1[[#This Row],[y]]-H$4)*(Tabela1[[#This Row],[y]]-H$4)</f>
        <v>67810</v>
      </c>
      <c r="D3770" s="1">
        <f>IF(Tabela1[[#This Row],[promien]]&lt;40000,1,0)</f>
        <v>0</v>
      </c>
      <c r="E3770" s="1">
        <f>IF(Tabela1[[#This Row],[promien]]=40000,1,0)</f>
        <v>0</v>
      </c>
      <c r="F3770" s="1">
        <v>3.1681697612732096</v>
      </c>
      <c r="G3770" s="1">
        <v>2.6577107683416479E-2</v>
      </c>
    </row>
    <row r="3771" spans="1:7">
      <c r="A3771">
        <v>98</v>
      </c>
      <c r="B3771">
        <v>134</v>
      </c>
      <c r="C3771" s="1">
        <f>(Tabela1[[#This Row],[x]]-H$3)*(Tabela1[[#This Row],[x]]-H$3) +(Tabela1[[#This Row],[y]]-H$4)*(Tabela1[[#This Row],[y]]-H$4)</f>
        <v>14760</v>
      </c>
      <c r="D3771" s="1">
        <f>IF(Tabela1[[#This Row],[promien]]&lt;40000,1,0)</f>
        <v>1</v>
      </c>
      <c r="E3771" s="1">
        <f>IF(Tabela1[[#This Row],[promien]]=40000,1,0)</f>
        <v>0</v>
      </c>
      <c r="F3771" s="1">
        <v>3.1683903473879607</v>
      </c>
      <c r="G3771" s="1">
        <v>2.6797693798167543E-2</v>
      </c>
    </row>
    <row r="3772" spans="1:7">
      <c r="A3772">
        <v>344</v>
      </c>
      <c r="B3772">
        <v>279</v>
      </c>
      <c r="C3772" s="1">
        <f>(Tabela1[[#This Row],[x]]-H$3)*(Tabela1[[#This Row],[x]]-H$3) +(Tabela1[[#This Row],[y]]-H$4)*(Tabela1[[#This Row],[y]]-H$4)</f>
        <v>26977</v>
      </c>
      <c r="D3772" s="1">
        <f>IF(Tabela1[[#This Row],[promien]]&lt;40000,1,0)</f>
        <v>1</v>
      </c>
      <c r="E3772" s="1">
        <f>IF(Tabela1[[#This Row],[promien]]=40000,1,0)</f>
        <v>0</v>
      </c>
      <c r="F3772" s="1">
        <v>3.1686108165429481</v>
      </c>
      <c r="G3772" s="1">
        <v>2.7018162953154956E-2</v>
      </c>
    </row>
    <row r="3773" spans="1:7">
      <c r="A3773">
        <v>231</v>
      </c>
      <c r="B3773">
        <v>375</v>
      </c>
      <c r="C3773" s="1">
        <f>(Tabela1[[#This Row],[x]]-H$3)*(Tabela1[[#This Row],[x]]-H$3) +(Tabela1[[#This Row],[y]]-H$4)*(Tabela1[[#This Row],[y]]-H$4)</f>
        <v>31586</v>
      </c>
      <c r="D3773" s="1">
        <f>IF(Tabela1[[#This Row],[promien]]&lt;40000,1,0)</f>
        <v>1</v>
      </c>
      <c r="E3773" s="1">
        <f>IF(Tabela1[[#This Row],[promien]]=40000,1,0)</f>
        <v>0</v>
      </c>
      <c r="F3773" s="1">
        <v>3.168831168831169</v>
      </c>
      <c r="G3773" s="1">
        <v>2.7238515241375882E-2</v>
      </c>
    </row>
    <row r="3774" spans="1:7">
      <c r="A3774">
        <v>291</v>
      </c>
      <c r="B3774">
        <v>198</v>
      </c>
      <c r="C3774" s="1">
        <f>(Tabela1[[#This Row],[x]]-H$3)*(Tabela1[[#This Row],[x]]-H$3) +(Tabela1[[#This Row],[y]]-H$4)*(Tabela1[[#This Row],[y]]-H$4)</f>
        <v>8285</v>
      </c>
      <c r="D3774" s="1">
        <f>IF(Tabela1[[#This Row],[promien]]&lt;40000,1,0)</f>
        <v>1</v>
      </c>
      <c r="E3774" s="1">
        <f>IF(Tabela1[[#This Row],[promien]]=40000,1,0)</f>
        <v>0</v>
      </c>
      <c r="F3774" s="1">
        <v>3.169051404345522</v>
      </c>
      <c r="G3774" s="1">
        <v>2.74587507557289E-2</v>
      </c>
    </row>
    <row r="3775" spans="1:7">
      <c r="A3775">
        <v>375</v>
      </c>
      <c r="B3775">
        <v>201</v>
      </c>
      <c r="C3775" s="1">
        <f>(Tabela1[[#This Row],[x]]-H$3)*(Tabela1[[#This Row],[x]]-H$3) +(Tabela1[[#This Row],[y]]-H$4)*(Tabela1[[#This Row],[y]]-H$4)</f>
        <v>30626</v>
      </c>
      <c r="D3775" s="1">
        <f>IF(Tabela1[[#This Row],[promien]]&lt;40000,1,0)</f>
        <v>1</v>
      </c>
      <c r="E3775" s="1">
        <f>IF(Tabela1[[#This Row],[promien]]=40000,1,0)</f>
        <v>0</v>
      </c>
      <c r="F3775" s="1">
        <v>3.169271523178808</v>
      </c>
      <c r="G3775" s="1">
        <v>2.7678869589014887E-2</v>
      </c>
    </row>
    <row r="3776" spans="1:7">
      <c r="A3776">
        <v>79</v>
      </c>
      <c r="B3776">
        <v>56</v>
      </c>
      <c r="C3776" s="1">
        <f>(Tabela1[[#This Row],[x]]-H$3)*(Tabela1[[#This Row],[x]]-H$3) +(Tabela1[[#This Row],[y]]-H$4)*(Tabela1[[#This Row],[y]]-H$4)</f>
        <v>35377</v>
      </c>
      <c r="D3776" s="1">
        <f>IF(Tabela1[[#This Row],[promien]]&lt;40000,1,0)</f>
        <v>1</v>
      </c>
      <c r="E3776" s="1">
        <f>IF(Tabela1[[#This Row],[promien]]=40000,1,0)</f>
        <v>0</v>
      </c>
      <c r="F3776" s="1">
        <v>3.1694915254237288</v>
      </c>
      <c r="G3776" s="1">
        <v>2.789887183393569E-2</v>
      </c>
    </row>
    <row r="3777" spans="1:7">
      <c r="A3777">
        <v>209</v>
      </c>
      <c r="B3777">
        <v>74</v>
      </c>
      <c r="C3777" s="1">
        <f>(Tabela1[[#This Row],[x]]-H$3)*(Tabela1[[#This Row],[x]]-H$3) +(Tabela1[[#This Row],[y]]-H$4)*(Tabela1[[#This Row],[y]]-H$4)</f>
        <v>15957</v>
      </c>
      <c r="D3777" s="1">
        <f>IF(Tabela1[[#This Row],[promien]]&lt;40000,1,0)</f>
        <v>1</v>
      </c>
      <c r="E3777" s="1">
        <f>IF(Tabela1[[#This Row],[promien]]=40000,1,0)</f>
        <v>0</v>
      </c>
      <c r="F3777" s="1">
        <v>3.1697114111728886</v>
      </c>
      <c r="G3777" s="1">
        <v>2.8118757583095455E-2</v>
      </c>
    </row>
    <row r="3778" spans="1:7">
      <c r="A3778">
        <v>312</v>
      </c>
      <c r="B3778">
        <v>43</v>
      </c>
      <c r="C3778" s="1">
        <f>(Tabela1[[#This Row],[x]]-H$3)*(Tabela1[[#This Row],[x]]-H$3) +(Tabela1[[#This Row],[y]]-H$4)*(Tabela1[[#This Row],[y]]-H$4)</f>
        <v>37193</v>
      </c>
      <c r="D3778" s="1">
        <f>IF(Tabela1[[#This Row],[promien]]&lt;40000,1,0)</f>
        <v>1</v>
      </c>
      <c r="E3778" s="1">
        <f>IF(Tabela1[[#This Row],[promien]]=40000,1,0)</f>
        <v>0</v>
      </c>
      <c r="F3778" s="1">
        <v>3.1699311805187929</v>
      </c>
      <c r="G3778" s="1">
        <v>2.8338526928999741E-2</v>
      </c>
    </row>
    <row r="3779" spans="1:7">
      <c r="A3779">
        <v>74</v>
      </c>
      <c r="B3779">
        <v>225</v>
      </c>
      <c r="C3779" s="1">
        <f>(Tabela1[[#This Row],[x]]-H$3)*(Tabela1[[#This Row],[x]]-H$3) +(Tabela1[[#This Row],[y]]-H$4)*(Tabela1[[#This Row],[y]]-H$4)</f>
        <v>16501</v>
      </c>
      <c r="D3779" s="1">
        <f>IF(Tabela1[[#This Row],[promien]]&lt;40000,1,0)</f>
        <v>1</v>
      </c>
      <c r="E3779" s="1">
        <f>IF(Tabela1[[#This Row],[promien]]=40000,1,0)</f>
        <v>0</v>
      </c>
      <c r="F3779" s="1">
        <v>3.1701508335538504</v>
      </c>
      <c r="G3779" s="1">
        <v>2.8558179964057295E-2</v>
      </c>
    </row>
    <row r="3780" spans="1:7">
      <c r="A3780">
        <v>194</v>
      </c>
      <c r="B3780">
        <v>242</v>
      </c>
      <c r="C3780" s="1">
        <f>(Tabela1[[#This Row],[x]]-H$3)*(Tabela1[[#This Row],[x]]-H$3) +(Tabela1[[#This Row],[y]]-H$4)*(Tabela1[[#This Row],[y]]-H$4)</f>
        <v>1800</v>
      </c>
      <c r="D3780" s="1">
        <f>IF(Tabela1[[#This Row],[promien]]&lt;40000,1,0)</f>
        <v>1</v>
      </c>
      <c r="E3780" s="1">
        <f>IF(Tabela1[[#This Row],[promien]]=40000,1,0)</f>
        <v>0</v>
      </c>
      <c r="F3780" s="1">
        <v>3.1703703703703705</v>
      </c>
      <c r="G3780" s="1">
        <v>2.8777716780577389E-2</v>
      </c>
    </row>
    <row r="3781" spans="1:7">
      <c r="A3781">
        <v>39</v>
      </c>
      <c r="B3781">
        <v>291</v>
      </c>
      <c r="C3781" s="1">
        <f>(Tabela1[[#This Row],[x]]-H$3)*(Tabela1[[#This Row],[x]]-H$3) +(Tabela1[[#This Row],[y]]-H$4)*(Tabela1[[#This Row],[y]]-H$4)</f>
        <v>34202</v>
      </c>
      <c r="D3781" s="1">
        <f>IF(Tabela1[[#This Row],[promien]]&lt;40000,1,0)</f>
        <v>1</v>
      </c>
      <c r="E3781" s="1">
        <f>IF(Tabela1[[#This Row],[promien]]=40000,1,0)</f>
        <v>0</v>
      </c>
      <c r="F3781" s="1">
        <v>3.170589791060566</v>
      </c>
      <c r="G3781" s="1">
        <v>2.8997137470772927E-2</v>
      </c>
    </row>
    <row r="3782" spans="1:7">
      <c r="A3782">
        <v>205</v>
      </c>
      <c r="B3782">
        <v>376</v>
      </c>
      <c r="C3782" s="1">
        <f>(Tabela1[[#This Row],[x]]-H$3)*(Tabela1[[#This Row],[x]]-H$3) +(Tabela1[[#This Row],[y]]-H$4)*(Tabela1[[#This Row],[y]]-H$4)</f>
        <v>31001</v>
      </c>
      <c r="D3782" s="1">
        <f>IF(Tabela1[[#This Row],[promien]]&lt;40000,1,0)</f>
        <v>1</v>
      </c>
      <c r="E3782" s="1">
        <f>IF(Tabela1[[#This Row],[promien]]=40000,1,0)</f>
        <v>0</v>
      </c>
      <c r="F3782" s="1">
        <v>3.1708090957165522</v>
      </c>
      <c r="G3782" s="1">
        <v>2.9216442126759112E-2</v>
      </c>
    </row>
    <row r="3783" spans="1:7">
      <c r="A3783">
        <v>391</v>
      </c>
      <c r="B3783">
        <v>197</v>
      </c>
      <c r="C3783" s="1">
        <f>(Tabela1[[#This Row],[x]]-H$3)*(Tabela1[[#This Row],[x]]-H$3) +(Tabela1[[#This Row],[y]]-H$4)*(Tabela1[[#This Row],[y]]-H$4)</f>
        <v>36490</v>
      </c>
      <c r="D3783" s="1">
        <f>IF(Tabela1[[#This Row],[promien]]&lt;40000,1,0)</f>
        <v>1</v>
      </c>
      <c r="E3783" s="1">
        <f>IF(Tabela1[[#This Row],[promien]]=40000,1,0)</f>
        <v>0</v>
      </c>
      <c r="F3783" s="1">
        <v>3.1710282844303461</v>
      </c>
      <c r="G3783" s="1">
        <v>2.9435630840553006E-2</v>
      </c>
    </row>
    <row r="3784" spans="1:7">
      <c r="A3784">
        <v>339</v>
      </c>
      <c r="B3784">
        <v>331</v>
      </c>
      <c r="C3784" s="1">
        <f>(Tabela1[[#This Row],[x]]-H$3)*(Tabela1[[#This Row],[x]]-H$3) +(Tabela1[[#This Row],[y]]-H$4)*(Tabela1[[#This Row],[y]]-H$4)</f>
        <v>36482</v>
      </c>
      <c r="D3784" s="1">
        <f>IF(Tabela1[[#This Row],[promien]]&lt;40000,1,0)</f>
        <v>1</v>
      </c>
      <c r="E3784" s="1">
        <f>IF(Tabela1[[#This Row],[promien]]=40000,1,0)</f>
        <v>0</v>
      </c>
      <c r="F3784" s="1">
        <v>3.1712473572938689</v>
      </c>
      <c r="G3784" s="1">
        <v>2.9654703704075747E-2</v>
      </c>
    </row>
    <row r="3785" spans="1:7">
      <c r="A3785">
        <v>360</v>
      </c>
      <c r="B3785">
        <v>55</v>
      </c>
      <c r="C3785" s="1">
        <f>(Tabela1[[#This Row],[x]]-H$3)*(Tabela1[[#This Row],[x]]-H$3) +(Tabela1[[#This Row],[y]]-H$4)*(Tabela1[[#This Row],[y]]-H$4)</f>
        <v>46625</v>
      </c>
      <c r="D3785" s="1">
        <f>IF(Tabela1[[#This Row],[promien]]&lt;40000,1,0)</f>
        <v>0</v>
      </c>
      <c r="E3785" s="1">
        <f>IF(Tabela1[[#This Row],[promien]]=40000,1,0)</f>
        <v>0</v>
      </c>
      <c r="F3785" s="1">
        <v>3.1704095112285335</v>
      </c>
      <c r="G3785" s="1">
        <v>2.8816857638740423E-2</v>
      </c>
    </row>
    <row r="3786" spans="1:7">
      <c r="A3786">
        <v>154</v>
      </c>
      <c r="B3786">
        <v>371</v>
      </c>
      <c r="C3786" s="1">
        <f>(Tabela1[[#This Row],[x]]-H$3)*(Tabela1[[#This Row],[x]]-H$3) +(Tabela1[[#This Row],[y]]-H$4)*(Tabela1[[#This Row],[y]]-H$4)</f>
        <v>31357</v>
      </c>
      <c r="D3786" s="1">
        <f>IF(Tabela1[[#This Row],[promien]]&lt;40000,1,0)</f>
        <v>1</v>
      </c>
      <c r="E3786" s="1">
        <f>IF(Tabela1[[#This Row],[promien]]=40000,1,0)</f>
        <v>0</v>
      </c>
      <c r="F3786" s="1">
        <v>3.1706286318013737</v>
      </c>
      <c r="G3786" s="1">
        <v>2.9035978211580549E-2</v>
      </c>
    </row>
    <row r="3787" spans="1:7">
      <c r="A3787">
        <v>128</v>
      </c>
      <c r="B3787">
        <v>79</v>
      </c>
      <c r="C3787" s="1">
        <f>(Tabela1[[#This Row],[x]]-H$3)*(Tabela1[[#This Row],[x]]-H$3) +(Tabela1[[#This Row],[y]]-H$4)*(Tabela1[[#This Row],[y]]-H$4)</f>
        <v>19825</v>
      </c>
      <c r="D3787" s="1">
        <f>IF(Tabela1[[#This Row],[promien]]&lt;40000,1,0)</f>
        <v>1</v>
      </c>
      <c r="E3787" s="1">
        <f>IF(Tabela1[[#This Row],[promien]]=40000,1,0)</f>
        <v>0</v>
      </c>
      <c r="F3787" s="1">
        <v>3.1708476366517031</v>
      </c>
      <c r="G3787" s="1">
        <v>2.9254983061909989E-2</v>
      </c>
    </row>
    <row r="3788" spans="1:7">
      <c r="A3788">
        <v>144</v>
      </c>
      <c r="B3788">
        <v>0</v>
      </c>
      <c r="C3788" s="1">
        <f>(Tabela1[[#This Row],[x]]-H$3)*(Tabela1[[#This Row],[x]]-H$3) +(Tabela1[[#This Row],[y]]-H$4)*(Tabela1[[#This Row],[y]]-H$4)</f>
        <v>43136</v>
      </c>
      <c r="D3788" s="1">
        <f>IF(Tabela1[[#This Row],[promien]]&lt;40000,1,0)</f>
        <v>0</v>
      </c>
      <c r="E3788" s="1">
        <f>IF(Tabela1[[#This Row],[promien]]=40000,1,0)</f>
        <v>0</v>
      </c>
      <c r="F3788" s="1">
        <v>3.1700105596620909</v>
      </c>
      <c r="G3788" s="1">
        <v>2.8417906072297772E-2</v>
      </c>
    </row>
    <row r="3789" spans="1:7">
      <c r="A3789">
        <v>115</v>
      </c>
      <c r="B3789">
        <v>275</v>
      </c>
      <c r="C3789" s="1">
        <f>(Tabela1[[#This Row],[x]]-H$3)*(Tabela1[[#This Row],[x]]-H$3) +(Tabela1[[#This Row],[y]]-H$4)*(Tabela1[[#This Row],[y]]-H$4)</f>
        <v>12850</v>
      </c>
      <c r="D3789" s="1">
        <f>IF(Tabela1[[#This Row],[promien]]&lt;40000,1,0)</f>
        <v>1</v>
      </c>
      <c r="E3789" s="1">
        <f>IF(Tabela1[[#This Row],[promien]]=40000,1,0)</f>
        <v>0</v>
      </c>
      <c r="F3789" s="1">
        <v>3.1702296120348379</v>
      </c>
      <c r="G3789" s="1">
        <v>2.8636958445044769E-2</v>
      </c>
    </row>
    <row r="3790" spans="1:7">
      <c r="A3790">
        <v>70</v>
      </c>
      <c r="B3790">
        <v>209</v>
      </c>
      <c r="C3790" s="1">
        <f>(Tabela1[[#This Row],[x]]-H$3)*(Tabela1[[#This Row],[x]]-H$3) +(Tabela1[[#This Row],[y]]-H$4)*(Tabela1[[#This Row],[y]]-H$4)</f>
        <v>16981</v>
      </c>
      <c r="D3790" s="1">
        <f>IF(Tabela1[[#This Row],[promien]]&lt;40000,1,0)</f>
        <v>1</v>
      </c>
      <c r="E3790" s="1">
        <f>IF(Tabela1[[#This Row],[promien]]=40000,1,0)</f>
        <v>0</v>
      </c>
      <c r="F3790" s="1">
        <v>3.170448548812665</v>
      </c>
      <c r="G3790" s="1">
        <v>2.8855895222871908E-2</v>
      </c>
    </row>
    <row r="3791" spans="1:7">
      <c r="A3791">
        <v>260</v>
      </c>
      <c r="B3791">
        <v>356</v>
      </c>
      <c r="C3791" s="1">
        <f>(Tabela1[[#This Row],[x]]-H$3)*(Tabela1[[#This Row],[x]]-H$3) +(Tabela1[[#This Row],[y]]-H$4)*(Tabela1[[#This Row],[y]]-H$4)</f>
        <v>27936</v>
      </c>
      <c r="D3791" s="1">
        <f>IF(Tabela1[[#This Row],[promien]]&lt;40000,1,0)</f>
        <v>1</v>
      </c>
      <c r="E3791" s="1">
        <f>IF(Tabela1[[#This Row],[promien]]=40000,1,0)</f>
        <v>0</v>
      </c>
      <c r="F3791" s="1">
        <v>3.1706673700870485</v>
      </c>
      <c r="G3791" s="1">
        <v>2.9074716497255348E-2</v>
      </c>
    </row>
    <row r="3792" spans="1:7">
      <c r="A3792">
        <v>139</v>
      </c>
      <c r="B3792">
        <v>373</v>
      </c>
      <c r="C3792" s="1">
        <f>(Tabela1[[#This Row],[x]]-H$3)*(Tabela1[[#This Row],[x]]-H$3) +(Tabela1[[#This Row],[y]]-H$4)*(Tabela1[[#This Row],[y]]-H$4)</f>
        <v>33650</v>
      </c>
      <c r="D3792" s="1">
        <f>IF(Tabela1[[#This Row],[promien]]&lt;40000,1,0)</f>
        <v>1</v>
      </c>
      <c r="E3792" s="1">
        <f>IF(Tabela1[[#This Row],[promien]]=40000,1,0)</f>
        <v>0</v>
      </c>
      <c r="F3792" s="1">
        <v>3.1708860759493671</v>
      </c>
      <c r="G3792" s="1">
        <v>2.9293422359573995E-2</v>
      </c>
    </row>
    <row r="3793" spans="1:7">
      <c r="A3793">
        <v>282</v>
      </c>
      <c r="B3793">
        <v>115</v>
      </c>
      <c r="C3793" s="1">
        <f>(Tabela1[[#This Row],[x]]-H$3)*(Tabela1[[#This Row],[x]]-H$3) +(Tabela1[[#This Row],[y]]-H$4)*(Tabela1[[#This Row],[y]]-H$4)</f>
        <v>13949</v>
      </c>
      <c r="D3793" s="1">
        <f>IF(Tabela1[[#This Row],[promien]]&lt;40000,1,0)</f>
        <v>1</v>
      </c>
      <c r="E3793" s="1">
        <f>IF(Tabela1[[#This Row],[promien]]=40000,1,0)</f>
        <v>0</v>
      </c>
      <c r="F3793" s="1">
        <v>3.1711046664909044</v>
      </c>
      <c r="G3793" s="1">
        <v>2.9512012901111273E-2</v>
      </c>
    </row>
    <row r="3794" spans="1:7">
      <c r="A3794">
        <v>180</v>
      </c>
      <c r="B3794">
        <v>44</v>
      </c>
      <c r="C3794" s="1">
        <f>(Tabela1[[#This Row],[x]]-H$3)*(Tabela1[[#This Row],[x]]-H$3) +(Tabela1[[#This Row],[y]]-H$4)*(Tabela1[[#This Row],[y]]-H$4)</f>
        <v>24736</v>
      </c>
      <c r="D3794" s="1">
        <f>IF(Tabela1[[#This Row],[promien]]&lt;40000,1,0)</f>
        <v>1</v>
      </c>
      <c r="E3794" s="1">
        <f>IF(Tabela1[[#This Row],[promien]]=40000,1,0)</f>
        <v>0</v>
      </c>
      <c r="F3794" s="1">
        <v>3.1713231418028465</v>
      </c>
      <c r="G3794" s="1">
        <v>2.9730488213053352E-2</v>
      </c>
    </row>
    <row r="3795" spans="1:7">
      <c r="A3795">
        <v>264</v>
      </c>
      <c r="B3795">
        <v>153</v>
      </c>
      <c r="C3795" s="1">
        <f>(Tabela1[[#This Row],[x]]-H$3)*(Tabela1[[#This Row],[x]]-H$3) +(Tabela1[[#This Row],[y]]-H$4)*(Tabela1[[#This Row],[y]]-H$4)</f>
        <v>6305</v>
      </c>
      <c r="D3795" s="1">
        <f>IF(Tabela1[[#This Row],[promien]]&lt;40000,1,0)</f>
        <v>1</v>
      </c>
      <c r="E3795" s="1">
        <f>IF(Tabela1[[#This Row],[promien]]=40000,1,0)</f>
        <v>0</v>
      </c>
      <c r="F3795" s="1">
        <v>3.1715415019762845</v>
      </c>
      <c r="G3795" s="1">
        <v>2.9948848386491367E-2</v>
      </c>
    </row>
    <row r="3796" spans="1:7">
      <c r="A3796">
        <v>327</v>
      </c>
      <c r="B3796">
        <v>324</v>
      </c>
      <c r="C3796" s="1">
        <f>(Tabela1[[#This Row],[x]]-H$3)*(Tabela1[[#This Row],[x]]-H$3) +(Tabela1[[#This Row],[y]]-H$4)*(Tabela1[[#This Row],[y]]-H$4)</f>
        <v>31505</v>
      </c>
      <c r="D3796" s="1">
        <f>IF(Tabela1[[#This Row],[promien]]&lt;40000,1,0)</f>
        <v>1</v>
      </c>
      <c r="E3796" s="1">
        <f>IF(Tabela1[[#This Row],[promien]]=40000,1,0)</f>
        <v>0</v>
      </c>
      <c r="F3796" s="1">
        <v>3.1717597471022128</v>
      </c>
      <c r="G3796" s="1">
        <v>3.016709351241964E-2</v>
      </c>
    </row>
    <row r="3797" spans="1:7">
      <c r="A3797">
        <v>116</v>
      </c>
      <c r="B3797">
        <v>312</v>
      </c>
      <c r="C3797" s="1">
        <f>(Tabela1[[#This Row],[x]]-H$3)*(Tabela1[[#This Row],[x]]-H$3) +(Tabela1[[#This Row],[y]]-H$4)*(Tabela1[[#This Row],[y]]-H$4)</f>
        <v>19600</v>
      </c>
      <c r="D3797" s="1">
        <f>IF(Tabela1[[#This Row],[promien]]&lt;40000,1,0)</f>
        <v>1</v>
      </c>
      <c r="E3797" s="1">
        <f>IF(Tabela1[[#This Row],[promien]]=40000,1,0)</f>
        <v>0</v>
      </c>
      <c r="F3797" s="1">
        <v>3.1719778772715301</v>
      </c>
      <c r="G3797" s="1">
        <v>3.0385223681737017E-2</v>
      </c>
    </row>
    <row r="3798" spans="1:7">
      <c r="A3798">
        <v>44</v>
      </c>
      <c r="B3798">
        <v>358</v>
      </c>
      <c r="C3798" s="1">
        <f>(Tabela1[[#This Row],[x]]-H$3)*(Tabela1[[#This Row],[x]]-H$3) +(Tabela1[[#This Row],[y]]-H$4)*(Tabela1[[#This Row],[y]]-H$4)</f>
        <v>49300</v>
      </c>
      <c r="D3798" s="1">
        <f>IF(Tabela1[[#This Row],[promien]]&lt;40000,1,0)</f>
        <v>0</v>
      </c>
      <c r="E3798" s="1">
        <f>IF(Tabela1[[#This Row],[promien]]=40000,1,0)</f>
        <v>0</v>
      </c>
      <c r="F3798" s="1">
        <v>3.1711427066877302</v>
      </c>
      <c r="G3798" s="1">
        <v>2.9550053097937123E-2</v>
      </c>
    </row>
    <row r="3799" spans="1:7">
      <c r="A3799">
        <v>123</v>
      </c>
      <c r="B3799">
        <v>322</v>
      </c>
      <c r="C3799" s="1">
        <f>(Tabela1[[#This Row],[x]]-H$3)*(Tabela1[[#This Row],[x]]-H$3) +(Tabela1[[#This Row],[y]]-H$4)*(Tabela1[[#This Row],[y]]-H$4)</f>
        <v>20813</v>
      </c>
      <c r="D3799" s="1">
        <f>IF(Tabela1[[#This Row],[promien]]&lt;40000,1,0)</f>
        <v>1</v>
      </c>
      <c r="E3799" s="1">
        <f>IF(Tabela1[[#This Row],[promien]]=40000,1,0)</f>
        <v>0</v>
      </c>
      <c r="F3799" s="1">
        <v>3.1713608844432746</v>
      </c>
      <c r="G3799" s="1">
        <v>2.9768230853481459E-2</v>
      </c>
    </row>
    <row r="3800" spans="1:7">
      <c r="A3800">
        <v>399</v>
      </c>
      <c r="B3800">
        <v>226</v>
      </c>
      <c r="C3800" s="1">
        <f>(Tabela1[[#This Row],[x]]-H$3)*(Tabela1[[#This Row],[x]]-H$3) +(Tabela1[[#This Row],[y]]-H$4)*(Tabela1[[#This Row],[y]]-H$4)</f>
        <v>40277</v>
      </c>
      <c r="D3800" s="1">
        <f>IF(Tabela1[[#This Row],[promien]]&lt;40000,1,0)</f>
        <v>0</v>
      </c>
      <c r="E3800" s="1">
        <f>IF(Tabela1[[#This Row],[promien]]=40000,1,0)</f>
        <v>0</v>
      </c>
      <c r="F3800" s="1">
        <v>3.1705263157894739</v>
      </c>
      <c r="G3800" s="1">
        <v>2.8933662199680743E-2</v>
      </c>
    </row>
    <row r="3801" spans="1:7">
      <c r="A3801">
        <v>370</v>
      </c>
      <c r="B3801">
        <v>145</v>
      </c>
      <c r="C3801" s="1">
        <f>(Tabela1[[#This Row],[x]]-H$3)*(Tabela1[[#This Row],[x]]-H$3) +(Tabela1[[#This Row],[y]]-H$4)*(Tabela1[[#This Row],[y]]-H$4)</f>
        <v>31925</v>
      </c>
      <c r="D3801" s="1">
        <f>IF(Tabela1[[#This Row],[promien]]&lt;40000,1,0)</f>
        <v>1</v>
      </c>
      <c r="E3801" s="1">
        <f>IF(Tabela1[[#This Row],[promien]]=40000,1,0)</f>
        <v>0</v>
      </c>
      <c r="F3801" s="1">
        <v>3.1707445409102868</v>
      </c>
      <c r="G3801" s="1">
        <v>2.9151887320493675E-2</v>
      </c>
    </row>
    <row r="3802" spans="1:7">
      <c r="A3802">
        <v>278</v>
      </c>
      <c r="B3802">
        <v>245</v>
      </c>
      <c r="C3802" s="1">
        <f>(Tabela1[[#This Row],[x]]-H$3)*(Tabela1[[#This Row],[x]]-H$3) +(Tabela1[[#This Row],[y]]-H$4)*(Tabela1[[#This Row],[y]]-H$4)</f>
        <v>8109</v>
      </c>
      <c r="D3802" s="1">
        <f>IF(Tabela1[[#This Row],[promien]]&lt;40000,1,0)</f>
        <v>1</v>
      </c>
      <c r="E3802" s="1">
        <f>IF(Tabela1[[#This Row],[promien]]=40000,1,0)</f>
        <v>0</v>
      </c>
      <c r="F3802" s="1">
        <v>3.1709626512361915</v>
      </c>
      <c r="G3802" s="1">
        <v>2.936999764639836E-2</v>
      </c>
    </row>
    <row r="3803" spans="1:7">
      <c r="A3803">
        <v>121</v>
      </c>
      <c r="B3803">
        <v>320</v>
      </c>
      <c r="C3803" s="1">
        <f>(Tabela1[[#This Row],[x]]-H$3)*(Tabela1[[#This Row],[x]]-H$3) +(Tabela1[[#This Row],[y]]-H$4)*(Tabela1[[#This Row],[y]]-H$4)</f>
        <v>20641</v>
      </c>
      <c r="D3803" s="1">
        <f>IF(Tabela1[[#This Row],[promien]]&lt;40000,1,0)</f>
        <v>1</v>
      </c>
      <c r="E3803" s="1">
        <f>IF(Tabela1[[#This Row],[promien]]=40000,1,0)</f>
        <v>0</v>
      </c>
      <c r="F3803" s="1">
        <v>3.1711806468577439</v>
      </c>
      <c r="G3803" s="1">
        <v>2.9587993267950807E-2</v>
      </c>
    </row>
    <row r="3804" spans="1:7">
      <c r="A3804">
        <v>378</v>
      </c>
      <c r="B3804">
        <v>95</v>
      </c>
      <c r="C3804" s="1">
        <f>(Tabela1[[#This Row],[x]]-H$3)*(Tabela1[[#This Row],[x]]-H$3) +(Tabela1[[#This Row],[y]]-H$4)*(Tabela1[[#This Row],[y]]-H$4)</f>
        <v>42709</v>
      </c>
      <c r="D3804" s="1">
        <f>IF(Tabela1[[#This Row],[promien]]&lt;40000,1,0)</f>
        <v>0</v>
      </c>
      <c r="E3804" s="1">
        <f>IF(Tabela1[[#This Row],[promien]]=40000,1,0)</f>
        <v>0</v>
      </c>
      <c r="F3804" s="1">
        <v>3.170347003154574</v>
      </c>
      <c r="G3804" s="1">
        <v>2.8754349564780846E-2</v>
      </c>
    </row>
    <row r="3805" spans="1:7">
      <c r="A3805">
        <v>388</v>
      </c>
      <c r="B3805">
        <v>363</v>
      </c>
      <c r="C3805" s="1">
        <f>(Tabela1[[#This Row],[x]]-H$3)*(Tabela1[[#This Row],[x]]-H$3) +(Tabela1[[#This Row],[y]]-H$4)*(Tabela1[[#This Row],[y]]-H$4)</f>
        <v>61913</v>
      </c>
      <c r="D3805" s="1">
        <f>IF(Tabela1[[#This Row],[promien]]&lt;40000,1,0)</f>
        <v>0</v>
      </c>
      <c r="E3805" s="1">
        <f>IF(Tabela1[[#This Row],[promien]]=40000,1,0)</f>
        <v>0</v>
      </c>
      <c r="F3805" s="1">
        <v>3.169513797634691</v>
      </c>
      <c r="G3805" s="1">
        <v>2.7921144044897872E-2</v>
      </c>
    </row>
    <row r="3806" spans="1:7">
      <c r="A3806">
        <v>242</v>
      </c>
      <c r="B3806">
        <v>392</v>
      </c>
      <c r="C3806" s="1">
        <f>(Tabela1[[#This Row],[x]]-H$3)*(Tabela1[[#This Row],[x]]-H$3) +(Tabela1[[#This Row],[y]]-H$4)*(Tabela1[[#This Row],[y]]-H$4)</f>
        <v>38628</v>
      </c>
      <c r="D3806" s="1">
        <f>IF(Tabela1[[#This Row],[promien]]&lt;40000,1,0)</f>
        <v>1</v>
      </c>
      <c r="E3806" s="1">
        <f>IF(Tabela1[[#This Row],[promien]]=40000,1,0)</f>
        <v>0</v>
      </c>
      <c r="F3806" s="1">
        <v>3.1697320021019442</v>
      </c>
      <c r="G3806" s="1">
        <v>2.8139348512151052E-2</v>
      </c>
    </row>
    <row r="3807" spans="1:7">
      <c r="A3807">
        <v>353</v>
      </c>
      <c r="B3807">
        <v>324</v>
      </c>
      <c r="C3807" s="1">
        <f>(Tabela1[[#This Row],[x]]-H$3)*(Tabela1[[#This Row],[x]]-H$3) +(Tabela1[[#This Row],[y]]-H$4)*(Tabela1[[#This Row],[y]]-H$4)</f>
        <v>38785</v>
      </c>
      <c r="D3807" s="1">
        <f>IF(Tabela1[[#This Row],[promien]]&lt;40000,1,0)</f>
        <v>1</v>
      </c>
      <c r="E3807" s="1">
        <f>IF(Tabela1[[#This Row],[promien]]=40000,1,0)</f>
        <v>0</v>
      </c>
      <c r="F3807" s="1">
        <v>3.1699500919359074</v>
      </c>
      <c r="G3807" s="1">
        <v>2.8357438346114261E-2</v>
      </c>
    </row>
    <row r="3808" spans="1:7">
      <c r="A3808">
        <v>140</v>
      </c>
      <c r="B3808">
        <v>139</v>
      </c>
      <c r="C3808" s="1">
        <f>(Tabela1[[#This Row],[x]]-H$3)*(Tabela1[[#This Row],[x]]-H$3) +(Tabela1[[#This Row],[y]]-H$4)*(Tabela1[[#This Row],[y]]-H$4)</f>
        <v>7321</v>
      </c>
      <c r="D3808" s="1">
        <f>IF(Tabela1[[#This Row],[promien]]&lt;40000,1,0)</f>
        <v>1</v>
      </c>
      <c r="E3808" s="1">
        <f>IF(Tabela1[[#This Row],[promien]]=40000,1,0)</f>
        <v>0</v>
      </c>
      <c r="F3808" s="1">
        <v>3.1701680672268906</v>
      </c>
      <c r="G3808" s="1">
        <v>2.857541363709748E-2</v>
      </c>
    </row>
    <row r="3809" spans="1:7">
      <c r="A3809">
        <v>64</v>
      </c>
      <c r="B3809">
        <v>170</v>
      </c>
      <c r="C3809" s="1">
        <f>(Tabela1[[#This Row],[x]]-H$3)*(Tabela1[[#This Row],[x]]-H$3) +(Tabela1[[#This Row],[y]]-H$4)*(Tabela1[[#This Row],[y]]-H$4)</f>
        <v>19396</v>
      </c>
      <c r="D3809" s="1">
        <f>IF(Tabela1[[#This Row],[promien]]&lt;40000,1,0)</f>
        <v>1</v>
      </c>
      <c r="E3809" s="1">
        <f>IF(Tabela1[[#This Row],[promien]]=40000,1,0)</f>
        <v>0</v>
      </c>
      <c r="F3809" s="1">
        <v>3.1703859280651088</v>
      </c>
      <c r="G3809" s="1">
        <v>2.8793274475315656E-2</v>
      </c>
    </row>
    <row r="3810" spans="1:7">
      <c r="A3810">
        <v>210</v>
      </c>
      <c r="B3810">
        <v>180</v>
      </c>
      <c r="C3810" s="1">
        <f>(Tabela1[[#This Row],[x]]-H$3)*(Tabela1[[#This Row],[x]]-H$3) +(Tabela1[[#This Row],[y]]-H$4)*(Tabela1[[#This Row],[y]]-H$4)</f>
        <v>500</v>
      </c>
      <c r="D3810" s="1">
        <f>IF(Tabela1[[#This Row],[promien]]&lt;40000,1,0)</f>
        <v>1</v>
      </c>
      <c r="E3810" s="1">
        <f>IF(Tabela1[[#This Row],[promien]]=40000,1,0)</f>
        <v>0</v>
      </c>
      <c r="F3810" s="1">
        <v>3.1706036745406823</v>
      </c>
      <c r="G3810" s="1">
        <v>2.9011020950889144E-2</v>
      </c>
    </row>
    <row r="3811" spans="1:7">
      <c r="A3811">
        <v>204</v>
      </c>
      <c r="B3811">
        <v>197</v>
      </c>
      <c r="C3811" s="1">
        <f>(Tabela1[[#This Row],[x]]-H$3)*(Tabela1[[#This Row],[x]]-H$3) +(Tabela1[[#This Row],[y]]-H$4)*(Tabela1[[#This Row],[y]]-H$4)</f>
        <v>25</v>
      </c>
      <c r="D3811" s="1">
        <f>IF(Tabela1[[#This Row],[promien]]&lt;40000,1,0)</f>
        <v>1</v>
      </c>
      <c r="E3811" s="1">
        <f>IF(Tabela1[[#This Row],[promien]]=40000,1,0)</f>
        <v>0</v>
      </c>
      <c r="F3811" s="1">
        <v>3.1708213067436368</v>
      </c>
      <c r="G3811" s="1">
        <v>2.9228653153843709E-2</v>
      </c>
    </row>
    <row r="3812" spans="1:7">
      <c r="A3812">
        <v>255</v>
      </c>
      <c r="B3812">
        <v>234</v>
      </c>
      <c r="C3812" s="1">
        <f>(Tabela1[[#This Row],[x]]-H$3)*(Tabela1[[#This Row],[x]]-H$3) +(Tabela1[[#This Row],[y]]-H$4)*(Tabela1[[#This Row],[y]]-H$4)</f>
        <v>4181</v>
      </c>
      <c r="D3812" s="1">
        <f>IF(Tabela1[[#This Row],[promien]]&lt;40000,1,0)</f>
        <v>1</v>
      </c>
      <c r="E3812" s="1">
        <f>IF(Tabela1[[#This Row],[promien]]=40000,1,0)</f>
        <v>0</v>
      </c>
      <c r="F3812" s="1">
        <v>3.1710388247639036</v>
      </c>
      <c r="G3812" s="1">
        <v>2.9446171174110525E-2</v>
      </c>
    </row>
    <row r="3813" spans="1:7">
      <c r="A3813">
        <v>179</v>
      </c>
      <c r="B3813">
        <v>141</v>
      </c>
      <c r="C3813" s="1">
        <f>(Tabela1[[#This Row],[x]]-H$3)*(Tabela1[[#This Row],[x]]-H$3) +(Tabela1[[#This Row],[y]]-H$4)*(Tabela1[[#This Row],[y]]-H$4)</f>
        <v>3922</v>
      </c>
      <c r="D3813" s="1">
        <f>IF(Tabela1[[#This Row],[promien]]&lt;40000,1,0)</f>
        <v>1</v>
      </c>
      <c r="E3813" s="1">
        <f>IF(Tabela1[[#This Row],[promien]]=40000,1,0)</f>
        <v>0</v>
      </c>
      <c r="F3813" s="1">
        <v>3.1712562286913193</v>
      </c>
      <c r="G3813" s="1">
        <v>2.9663575101526174E-2</v>
      </c>
    </row>
    <row r="3814" spans="1:7">
      <c r="A3814">
        <v>306</v>
      </c>
      <c r="B3814">
        <v>10</v>
      </c>
      <c r="C3814" s="1">
        <f>(Tabela1[[#This Row],[x]]-H$3)*(Tabela1[[#This Row],[x]]-H$3) +(Tabela1[[#This Row],[y]]-H$4)*(Tabela1[[#This Row],[y]]-H$4)</f>
        <v>47336</v>
      </c>
      <c r="D3814" s="1">
        <f>IF(Tabela1[[#This Row],[promien]]&lt;40000,1,0)</f>
        <v>0</v>
      </c>
      <c r="E3814" s="1">
        <f>IF(Tabela1[[#This Row],[promien]]=40000,1,0)</f>
        <v>0</v>
      </c>
      <c r="F3814" s="1">
        <v>3.1704247509176717</v>
      </c>
      <c r="G3814" s="1">
        <v>2.8832097327878614E-2</v>
      </c>
    </row>
    <row r="3815" spans="1:7">
      <c r="A3815">
        <v>24</v>
      </c>
      <c r="B3815">
        <v>183</v>
      </c>
      <c r="C3815" s="1">
        <f>(Tabela1[[#This Row],[x]]-H$3)*(Tabela1[[#This Row],[x]]-H$3) +(Tabela1[[#This Row],[y]]-H$4)*(Tabela1[[#This Row],[y]]-H$4)</f>
        <v>31265</v>
      </c>
      <c r="D3815" s="1">
        <f>IF(Tabela1[[#This Row],[promien]]&lt;40000,1,0)</f>
        <v>1</v>
      </c>
      <c r="E3815" s="1">
        <f>IF(Tabela1[[#This Row],[promien]]=40000,1,0)</f>
        <v>0</v>
      </c>
      <c r="F3815" s="1">
        <v>3.1706422018348626</v>
      </c>
      <c r="G3815" s="1">
        <v>2.9049548245069445E-2</v>
      </c>
    </row>
    <row r="3816" spans="1:7">
      <c r="A3816">
        <v>153</v>
      </c>
      <c r="B3816">
        <v>155</v>
      </c>
      <c r="C3816" s="1">
        <f>(Tabela1[[#This Row],[x]]-H$3)*(Tabela1[[#This Row],[x]]-H$3) +(Tabela1[[#This Row],[y]]-H$4)*(Tabela1[[#This Row],[y]]-H$4)</f>
        <v>4234</v>
      </c>
      <c r="D3816" s="1">
        <f>IF(Tabela1[[#This Row],[promien]]&lt;40000,1,0)</f>
        <v>1</v>
      </c>
      <c r="E3816" s="1">
        <f>IF(Tabela1[[#This Row],[promien]]=40000,1,0)</f>
        <v>0</v>
      </c>
      <c r="F3816" s="1">
        <v>3.1708595387840672</v>
      </c>
      <c r="G3816" s="1">
        <v>2.9266885194274117E-2</v>
      </c>
    </row>
    <row r="3817" spans="1:7">
      <c r="A3817">
        <v>308</v>
      </c>
      <c r="B3817">
        <v>139</v>
      </c>
      <c r="C3817" s="1">
        <f>(Tabela1[[#This Row],[x]]-H$3)*(Tabela1[[#This Row],[x]]-H$3) +(Tabela1[[#This Row],[y]]-H$4)*(Tabela1[[#This Row],[y]]-H$4)</f>
        <v>15385</v>
      </c>
      <c r="D3817" s="1">
        <f>IF(Tabela1[[#This Row],[promien]]&lt;40000,1,0)</f>
        <v>1</v>
      </c>
      <c r="E3817" s="1">
        <f>IF(Tabela1[[#This Row],[promien]]=40000,1,0)</f>
        <v>0</v>
      </c>
      <c r="F3817" s="1">
        <v>3.1710767618548599</v>
      </c>
      <c r="G3817" s="1">
        <v>2.9484108265066755E-2</v>
      </c>
    </row>
    <row r="3818" spans="1:7">
      <c r="A3818">
        <v>128</v>
      </c>
      <c r="B3818">
        <v>17</v>
      </c>
      <c r="C3818" s="1">
        <f>(Tabela1[[#This Row],[x]]-H$3)*(Tabela1[[#This Row],[x]]-H$3) +(Tabela1[[#This Row],[y]]-H$4)*(Tabela1[[#This Row],[y]]-H$4)</f>
        <v>38673</v>
      </c>
      <c r="D3818" s="1">
        <f>IF(Tabela1[[#This Row],[promien]]&lt;40000,1,0)</f>
        <v>1</v>
      </c>
      <c r="E3818" s="1">
        <f>IF(Tabela1[[#This Row],[promien]]=40000,1,0)</f>
        <v>0</v>
      </c>
      <c r="F3818" s="1">
        <v>3.1712938711367209</v>
      </c>
      <c r="G3818" s="1">
        <v>2.9701217546927783E-2</v>
      </c>
    </row>
    <row r="3819" spans="1:7">
      <c r="A3819">
        <v>225</v>
      </c>
      <c r="B3819">
        <v>91</v>
      </c>
      <c r="C3819" s="1">
        <f>(Tabela1[[#This Row],[x]]-H$3)*(Tabela1[[#This Row],[x]]-H$3) +(Tabela1[[#This Row],[y]]-H$4)*(Tabela1[[#This Row],[y]]-H$4)</f>
        <v>12506</v>
      </c>
      <c r="D3819" s="1">
        <f>IF(Tabela1[[#This Row],[promien]]&lt;40000,1,0)</f>
        <v>1</v>
      </c>
      <c r="E3819" s="1">
        <f>IF(Tabela1[[#This Row],[promien]]=40000,1,0)</f>
        <v>0</v>
      </c>
      <c r="F3819" s="1">
        <v>3.1715108667190366</v>
      </c>
      <c r="G3819" s="1">
        <v>2.9918213129243476E-2</v>
      </c>
    </row>
    <row r="3820" spans="1:7">
      <c r="A3820">
        <v>262</v>
      </c>
      <c r="B3820">
        <v>109</v>
      </c>
      <c r="C3820" s="1">
        <f>(Tabela1[[#This Row],[x]]-H$3)*(Tabela1[[#This Row],[x]]-H$3) +(Tabela1[[#This Row],[y]]-H$4)*(Tabela1[[#This Row],[y]]-H$4)</f>
        <v>12125</v>
      </c>
      <c r="D3820" s="1">
        <f>IF(Tabela1[[#This Row],[promien]]&lt;40000,1,0)</f>
        <v>1</v>
      </c>
      <c r="E3820" s="1">
        <f>IF(Tabela1[[#This Row],[promien]]=40000,1,0)</f>
        <v>0</v>
      </c>
      <c r="F3820" s="1">
        <v>3.1717277486910995</v>
      </c>
      <c r="G3820" s="1">
        <v>3.0135095101306408E-2</v>
      </c>
    </row>
    <row r="3821" spans="1:7">
      <c r="A3821">
        <v>291</v>
      </c>
      <c r="B3821">
        <v>180</v>
      </c>
      <c r="C3821" s="1">
        <f>(Tabela1[[#This Row],[x]]-H$3)*(Tabela1[[#This Row],[x]]-H$3) +(Tabela1[[#This Row],[y]]-H$4)*(Tabela1[[#This Row],[y]]-H$4)</f>
        <v>8681</v>
      </c>
      <c r="D3821" s="1">
        <f>IF(Tabela1[[#This Row],[promien]]&lt;40000,1,0)</f>
        <v>1</v>
      </c>
      <c r="E3821" s="1">
        <f>IF(Tabela1[[#This Row],[promien]]=40000,1,0)</f>
        <v>0</v>
      </c>
      <c r="F3821" s="1">
        <v>3.1719445171421095</v>
      </c>
      <c r="G3821" s="1">
        <v>3.0351863552316338E-2</v>
      </c>
    </row>
    <row r="3822" spans="1:7">
      <c r="A3822">
        <v>46</v>
      </c>
      <c r="B3822">
        <v>179</v>
      </c>
      <c r="C3822" s="1">
        <f>(Tabela1[[#This Row],[x]]-H$3)*(Tabela1[[#This Row],[x]]-H$3) +(Tabela1[[#This Row],[y]]-H$4)*(Tabela1[[#This Row],[y]]-H$4)</f>
        <v>24157</v>
      </c>
      <c r="D3822" s="1">
        <f>IF(Tabela1[[#This Row],[promien]]&lt;40000,1,0)</f>
        <v>1</v>
      </c>
      <c r="E3822" s="1">
        <f>IF(Tabela1[[#This Row],[promien]]=40000,1,0)</f>
        <v>0</v>
      </c>
      <c r="F3822" s="1">
        <v>3.172161172161172</v>
      </c>
      <c r="G3822" s="1">
        <v>3.0568518571378878E-2</v>
      </c>
    </row>
    <row r="3823" spans="1:7">
      <c r="A3823">
        <v>345</v>
      </c>
      <c r="B3823">
        <v>2</v>
      </c>
      <c r="C3823" s="1">
        <f>(Tabela1[[#This Row],[x]]-H$3)*(Tabela1[[#This Row],[x]]-H$3) +(Tabela1[[#This Row],[y]]-H$4)*(Tabela1[[#This Row],[y]]-H$4)</f>
        <v>60229</v>
      </c>
      <c r="D3823" s="1">
        <f>IF(Tabela1[[#This Row],[promien]]&lt;40000,1,0)</f>
        <v>0</v>
      </c>
      <c r="E3823" s="1">
        <f>IF(Tabela1[[#This Row],[promien]]=40000,1,0)</f>
        <v>0</v>
      </c>
      <c r="F3823" s="1">
        <v>3.1713314151190164</v>
      </c>
      <c r="G3823" s="1">
        <v>2.9738761529223279E-2</v>
      </c>
    </row>
    <row r="3824" spans="1:7">
      <c r="A3824">
        <v>21</v>
      </c>
      <c r="B3824">
        <v>115</v>
      </c>
      <c r="C3824" s="1">
        <f>(Tabela1[[#This Row],[x]]-H$3)*(Tabela1[[#This Row],[x]]-H$3) +(Tabela1[[#This Row],[y]]-H$4)*(Tabela1[[#This Row],[y]]-H$4)</f>
        <v>39266</v>
      </c>
      <c r="D3824" s="1">
        <f>IF(Tabela1[[#This Row],[promien]]&lt;40000,1,0)</f>
        <v>1</v>
      </c>
      <c r="E3824" s="1">
        <f>IF(Tabela1[[#This Row],[promien]]=40000,1,0)</f>
        <v>0</v>
      </c>
      <c r="F3824" s="1">
        <v>3.1715481171548117</v>
      </c>
      <c r="G3824" s="1">
        <v>2.9955463565018547E-2</v>
      </c>
    </row>
    <row r="3825" spans="1:7">
      <c r="A3825">
        <v>83</v>
      </c>
      <c r="B3825">
        <v>47</v>
      </c>
      <c r="C3825" s="1">
        <f>(Tabela1[[#This Row],[x]]-H$3)*(Tabela1[[#This Row],[x]]-H$3) +(Tabela1[[#This Row],[y]]-H$4)*(Tabela1[[#This Row],[y]]-H$4)</f>
        <v>37098</v>
      </c>
      <c r="D3825" s="1">
        <f>IF(Tabela1[[#This Row],[promien]]&lt;40000,1,0)</f>
        <v>1</v>
      </c>
      <c r="E3825" s="1">
        <f>IF(Tabela1[[#This Row],[promien]]=40000,1,0)</f>
        <v>0</v>
      </c>
      <c r="F3825" s="1">
        <v>3.171764705882353</v>
      </c>
      <c r="G3825" s="1">
        <v>3.0172052292559925E-2</v>
      </c>
    </row>
    <row r="3826" spans="1:7">
      <c r="A3826">
        <v>243</v>
      </c>
      <c r="B3826">
        <v>27</v>
      </c>
      <c r="C3826" s="1">
        <f>(Tabela1[[#This Row],[x]]-H$3)*(Tabela1[[#This Row],[x]]-H$3) +(Tabela1[[#This Row],[y]]-H$4)*(Tabela1[[#This Row],[y]]-H$4)</f>
        <v>31778</v>
      </c>
      <c r="D3826" s="1">
        <f>IF(Tabela1[[#This Row],[promien]]&lt;40000,1,0)</f>
        <v>1</v>
      </c>
      <c r="E3826" s="1">
        <f>IF(Tabela1[[#This Row],[promien]]=40000,1,0)</f>
        <v>0</v>
      </c>
      <c r="F3826" s="1">
        <v>3.1719811813904863</v>
      </c>
      <c r="G3826" s="1">
        <v>3.0388527800693232E-2</v>
      </c>
    </row>
    <row r="3827" spans="1:7">
      <c r="A3827">
        <v>73</v>
      </c>
      <c r="B3827">
        <v>47</v>
      </c>
      <c r="C3827" s="1">
        <f>(Tabela1[[#This Row],[x]]-H$3)*(Tabela1[[#This Row],[x]]-H$3) +(Tabela1[[#This Row],[y]]-H$4)*(Tabela1[[#This Row],[y]]-H$4)</f>
        <v>39538</v>
      </c>
      <c r="D3827" s="1">
        <f>IF(Tabela1[[#This Row],[promien]]&lt;40000,1,0)</f>
        <v>1</v>
      </c>
      <c r="E3827" s="1">
        <f>IF(Tabela1[[#This Row],[promien]]=40000,1,0)</f>
        <v>0</v>
      </c>
      <c r="F3827" s="1">
        <v>3.1721975437679646</v>
      </c>
      <c r="G3827" s="1">
        <v>3.0604890178171473E-2</v>
      </c>
    </row>
    <row r="3828" spans="1:7">
      <c r="A3828">
        <v>277</v>
      </c>
      <c r="B3828">
        <v>21</v>
      </c>
      <c r="C3828" s="1">
        <f>(Tabela1[[#This Row],[x]]-H$3)*(Tabela1[[#This Row],[x]]-H$3) +(Tabela1[[#This Row],[y]]-H$4)*(Tabela1[[#This Row],[y]]-H$4)</f>
        <v>37970</v>
      </c>
      <c r="D3828" s="1">
        <f>IF(Tabela1[[#This Row],[promien]]&lt;40000,1,0)</f>
        <v>1</v>
      </c>
      <c r="E3828" s="1">
        <f>IF(Tabela1[[#This Row],[promien]]=40000,1,0)</f>
        <v>0</v>
      </c>
      <c r="F3828" s="1">
        <v>3.1724137931034484</v>
      </c>
      <c r="G3828" s="1">
        <v>3.0821139513655282E-2</v>
      </c>
    </row>
    <row r="3829" spans="1:7">
      <c r="A3829">
        <v>265</v>
      </c>
      <c r="B3829">
        <v>262</v>
      </c>
      <c r="C3829" s="1">
        <f>(Tabela1[[#This Row],[x]]-H$3)*(Tabela1[[#This Row],[x]]-H$3) +(Tabela1[[#This Row],[y]]-H$4)*(Tabela1[[#This Row],[y]]-H$4)</f>
        <v>8069</v>
      </c>
      <c r="D3829" s="1">
        <f>IF(Tabela1[[#This Row],[promien]]&lt;40000,1,0)</f>
        <v>1</v>
      </c>
      <c r="E3829" s="1">
        <f>IF(Tabela1[[#This Row],[promien]]=40000,1,0)</f>
        <v>0</v>
      </c>
      <c r="F3829" s="1">
        <v>3.1726299294855052</v>
      </c>
      <c r="G3829" s="1">
        <v>3.1037275895712035E-2</v>
      </c>
    </row>
    <row r="3830" spans="1:7">
      <c r="A3830">
        <v>44</v>
      </c>
      <c r="B3830">
        <v>139</v>
      </c>
      <c r="C3830" s="1">
        <f>(Tabela1[[#This Row],[x]]-H$3)*(Tabela1[[#This Row],[x]]-H$3) +(Tabela1[[#This Row],[y]]-H$4)*(Tabela1[[#This Row],[y]]-H$4)</f>
        <v>28057</v>
      </c>
      <c r="D3830" s="1">
        <f>IF(Tabela1[[#This Row],[promien]]&lt;40000,1,0)</f>
        <v>1</v>
      </c>
      <c r="E3830" s="1">
        <f>IF(Tabela1[[#This Row],[promien]]=40000,1,0)</f>
        <v>0</v>
      </c>
      <c r="F3830" s="1">
        <v>3.1728459530026112</v>
      </c>
      <c r="G3830" s="1">
        <v>3.125329941281807E-2</v>
      </c>
    </row>
    <row r="3831" spans="1:7">
      <c r="A3831">
        <v>229</v>
      </c>
      <c r="B3831">
        <v>119</v>
      </c>
      <c r="C3831" s="1">
        <f>(Tabela1[[#This Row],[x]]-H$3)*(Tabela1[[#This Row],[x]]-H$3) +(Tabela1[[#This Row],[y]]-H$4)*(Tabela1[[#This Row],[y]]-H$4)</f>
        <v>7402</v>
      </c>
      <c r="D3831" s="1">
        <f>IF(Tabela1[[#This Row],[promien]]&lt;40000,1,0)</f>
        <v>1</v>
      </c>
      <c r="E3831" s="1">
        <f>IF(Tabela1[[#This Row],[promien]]=40000,1,0)</f>
        <v>0</v>
      </c>
      <c r="F3831" s="1">
        <v>3.1730618637431478</v>
      </c>
      <c r="G3831" s="1">
        <v>3.1469210153354688E-2</v>
      </c>
    </row>
    <row r="3832" spans="1:7">
      <c r="A3832">
        <v>41</v>
      </c>
      <c r="B3832">
        <v>307</v>
      </c>
      <c r="C3832" s="1">
        <f>(Tabela1[[#This Row],[x]]-H$3)*(Tabela1[[#This Row],[x]]-H$3) +(Tabela1[[#This Row],[y]]-H$4)*(Tabela1[[#This Row],[y]]-H$4)</f>
        <v>36730</v>
      </c>
      <c r="D3832" s="1">
        <f>IF(Tabela1[[#This Row],[promien]]&lt;40000,1,0)</f>
        <v>1</v>
      </c>
      <c r="E3832" s="1">
        <f>IF(Tabela1[[#This Row],[promien]]=40000,1,0)</f>
        <v>0</v>
      </c>
      <c r="F3832" s="1">
        <v>3.173277661795407</v>
      </c>
      <c r="G3832" s="1">
        <v>3.1685008205613929E-2</v>
      </c>
    </row>
    <row r="3833" spans="1:7">
      <c r="A3833">
        <v>62</v>
      </c>
      <c r="B3833">
        <v>24</v>
      </c>
      <c r="C3833" s="1">
        <f>(Tabela1[[#This Row],[x]]-H$3)*(Tabela1[[#This Row],[x]]-H$3) +(Tabela1[[#This Row],[y]]-H$4)*(Tabela1[[#This Row],[y]]-H$4)</f>
        <v>50020</v>
      </c>
      <c r="D3833" s="1">
        <f>IF(Tabela1[[#This Row],[promien]]&lt;40000,1,0)</f>
        <v>0</v>
      </c>
      <c r="E3833" s="1">
        <f>IF(Tabela1[[#This Row],[promien]]=40000,1,0)</f>
        <v>0</v>
      </c>
      <c r="F3833" s="1">
        <v>3.1724497782415861</v>
      </c>
      <c r="G3833" s="1">
        <v>3.0857124651793022E-2</v>
      </c>
    </row>
    <row r="3834" spans="1:7">
      <c r="A3834">
        <v>296</v>
      </c>
      <c r="B3834">
        <v>150</v>
      </c>
      <c r="C3834" s="1">
        <f>(Tabela1[[#This Row],[x]]-H$3)*(Tabela1[[#This Row],[x]]-H$3) +(Tabela1[[#This Row],[y]]-H$4)*(Tabela1[[#This Row],[y]]-H$4)</f>
        <v>11716</v>
      </c>
      <c r="D3834" s="1">
        <f>IF(Tabela1[[#This Row],[promien]]&lt;40000,1,0)</f>
        <v>1</v>
      </c>
      <c r="E3834" s="1">
        <f>IF(Tabela1[[#This Row],[promien]]=40000,1,0)</f>
        <v>0</v>
      </c>
      <c r="F3834" s="1">
        <v>3.1726656233698489</v>
      </c>
      <c r="G3834" s="1">
        <v>3.1072969780055804E-2</v>
      </c>
    </row>
    <row r="3835" spans="1:7">
      <c r="A3835">
        <v>295</v>
      </c>
      <c r="B3835">
        <v>72</v>
      </c>
      <c r="C3835" s="1">
        <f>(Tabela1[[#This Row],[x]]-H$3)*(Tabela1[[#This Row],[x]]-H$3) +(Tabela1[[#This Row],[y]]-H$4)*(Tabela1[[#This Row],[y]]-H$4)</f>
        <v>25409</v>
      </c>
      <c r="D3835" s="1">
        <f>IF(Tabela1[[#This Row],[promien]]&lt;40000,1,0)</f>
        <v>1</v>
      </c>
      <c r="E3835" s="1">
        <f>IF(Tabela1[[#This Row],[promien]]=40000,1,0)</f>
        <v>0</v>
      </c>
      <c r="F3835" s="1">
        <v>3.1728813559322036</v>
      </c>
      <c r="G3835" s="1">
        <v>3.1288702342410435E-2</v>
      </c>
    </row>
    <row r="3836" spans="1:7">
      <c r="A3836">
        <v>131</v>
      </c>
      <c r="B3836">
        <v>261</v>
      </c>
      <c r="C3836" s="1">
        <f>(Tabela1[[#This Row],[x]]-H$3)*(Tabela1[[#This Row],[x]]-H$3) +(Tabela1[[#This Row],[y]]-H$4)*(Tabela1[[#This Row],[y]]-H$4)</f>
        <v>8482</v>
      </c>
      <c r="D3836" s="1">
        <f>IF(Tabela1[[#This Row],[promien]]&lt;40000,1,0)</f>
        <v>1</v>
      </c>
      <c r="E3836" s="1">
        <f>IF(Tabela1[[#This Row],[promien]]=40000,1,0)</f>
        <v>0</v>
      </c>
      <c r="F3836" s="1">
        <v>3.1730969760166841</v>
      </c>
      <c r="G3836" s="1">
        <v>3.1504322426890941E-2</v>
      </c>
    </row>
    <row r="3837" spans="1:7">
      <c r="A3837">
        <v>301</v>
      </c>
      <c r="B3837">
        <v>123</v>
      </c>
      <c r="C3837" s="1">
        <f>(Tabela1[[#This Row],[x]]-H$3)*(Tabela1[[#This Row],[x]]-H$3) +(Tabela1[[#This Row],[y]]-H$4)*(Tabela1[[#This Row],[y]]-H$4)</f>
        <v>16130</v>
      </c>
      <c r="D3837" s="1">
        <f>IF(Tabela1[[#This Row],[promien]]&lt;40000,1,0)</f>
        <v>1</v>
      </c>
      <c r="E3837" s="1">
        <f>IF(Tabela1[[#This Row],[promien]]=40000,1,0)</f>
        <v>0</v>
      </c>
      <c r="F3837" s="1">
        <v>3.1733124837112325</v>
      </c>
      <c r="G3837" s="1">
        <v>3.1719830121439418E-2</v>
      </c>
    </row>
    <row r="3838" spans="1:7">
      <c r="A3838">
        <v>400</v>
      </c>
      <c r="B3838">
        <v>379</v>
      </c>
      <c r="C3838" s="1">
        <f>(Tabela1[[#This Row],[x]]-H$3)*(Tabela1[[#This Row],[x]]-H$3) +(Tabela1[[#This Row],[y]]-H$4)*(Tabela1[[#This Row],[y]]-H$4)</f>
        <v>72041</v>
      </c>
      <c r="D3838" s="1">
        <f>IF(Tabela1[[#This Row],[promien]]&lt;40000,1,0)</f>
        <v>0</v>
      </c>
      <c r="E3838" s="1">
        <f>IF(Tabela1[[#This Row],[promien]]=40000,1,0)</f>
        <v>0</v>
      </c>
      <c r="F3838" s="1">
        <v>3.1724856696195936</v>
      </c>
      <c r="G3838" s="1">
        <v>3.0893016029800435E-2</v>
      </c>
    </row>
    <row r="3839" spans="1:7">
      <c r="A3839">
        <v>112</v>
      </c>
      <c r="B3839">
        <v>321</v>
      </c>
      <c r="C3839" s="1">
        <f>(Tabela1[[#This Row],[x]]-H$3)*(Tabela1[[#This Row],[x]]-H$3) +(Tabela1[[#This Row],[y]]-H$4)*(Tabela1[[#This Row],[y]]-H$4)</f>
        <v>22385</v>
      </c>
      <c r="D3839" s="1">
        <f>IF(Tabela1[[#This Row],[promien]]&lt;40000,1,0)</f>
        <v>1</v>
      </c>
      <c r="E3839" s="1">
        <f>IF(Tabela1[[#This Row],[promien]]=40000,1,0)</f>
        <v>0</v>
      </c>
      <c r="F3839" s="1">
        <v>3.1727012242771555</v>
      </c>
      <c r="G3839" s="1">
        <v>3.1108570687362391E-2</v>
      </c>
    </row>
    <row r="3840" spans="1:7">
      <c r="A3840">
        <v>292</v>
      </c>
      <c r="B3840">
        <v>57</v>
      </c>
      <c r="C3840" s="1">
        <f>(Tabela1[[#This Row],[x]]-H$3)*(Tabela1[[#This Row],[x]]-H$3) +(Tabela1[[#This Row],[y]]-H$4)*(Tabela1[[#This Row],[y]]-H$4)</f>
        <v>28913</v>
      </c>
      <c r="D3840" s="1">
        <f>IF(Tabela1[[#This Row],[promien]]&lt;40000,1,0)</f>
        <v>1</v>
      </c>
      <c r="E3840" s="1">
        <f>IF(Tabela1[[#This Row],[promien]]=40000,1,0)</f>
        <v>0</v>
      </c>
      <c r="F3840" s="1">
        <v>3.1729166666666666</v>
      </c>
      <c r="G3840" s="1">
        <v>3.1324013076873491E-2</v>
      </c>
    </row>
    <row r="3841" spans="1:7">
      <c r="A3841">
        <v>45</v>
      </c>
      <c r="B3841">
        <v>392</v>
      </c>
      <c r="C3841" s="1">
        <f>(Tabela1[[#This Row],[x]]-H$3)*(Tabela1[[#This Row],[x]]-H$3) +(Tabela1[[#This Row],[y]]-H$4)*(Tabela1[[#This Row],[y]]-H$4)</f>
        <v>60889</v>
      </c>
      <c r="D3841" s="1">
        <f>IF(Tabela1[[#This Row],[promien]]&lt;40000,1,0)</f>
        <v>0</v>
      </c>
      <c r="E3841" s="1">
        <f>IF(Tabela1[[#This Row],[promien]]=40000,1,0)</f>
        <v>0</v>
      </c>
      <c r="F3841" s="1">
        <v>3.1720906014058841</v>
      </c>
      <c r="G3841" s="1">
        <v>3.0497947816090942E-2</v>
      </c>
    </row>
    <row r="3842" spans="1:7">
      <c r="A3842">
        <v>364</v>
      </c>
      <c r="B3842">
        <v>189</v>
      </c>
      <c r="C3842" s="1">
        <f>(Tabela1[[#This Row],[x]]-H$3)*(Tabela1[[#This Row],[x]]-H$3) +(Tabela1[[#This Row],[y]]-H$4)*(Tabela1[[#This Row],[y]]-H$4)</f>
        <v>27017</v>
      </c>
      <c r="D3842" s="1">
        <f>IF(Tabela1[[#This Row],[promien]]&lt;40000,1,0)</f>
        <v>1</v>
      </c>
      <c r="E3842" s="1">
        <f>IF(Tabela1[[#This Row],[promien]]=40000,1,0)</f>
        <v>0</v>
      </c>
      <c r="F3842" s="1">
        <v>3.1723060905778242</v>
      </c>
      <c r="G3842" s="1">
        <v>3.0713436988031084E-2</v>
      </c>
    </row>
    <row r="3843" spans="1:7">
      <c r="A3843">
        <v>34</v>
      </c>
      <c r="B3843">
        <v>279</v>
      </c>
      <c r="C3843" s="1">
        <f>(Tabela1[[#This Row],[x]]-H$3)*(Tabela1[[#This Row],[x]]-H$3) +(Tabela1[[#This Row],[y]]-H$4)*(Tabela1[[#This Row],[y]]-H$4)</f>
        <v>33797</v>
      </c>
      <c r="D3843" s="1">
        <f>IF(Tabela1[[#This Row],[promien]]&lt;40000,1,0)</f>
        <v>1</v>
      </c>
      <c r="E3843" s="1">
        <f>IF(Tabela1[[#This Row],[promien]]=40000,1,0)</f>
        <v>0</v>
      </c>
      <c r="F3843" s="1">
        <v>3.1725214676034348</v>
      </c>
      <c r="G3843" s="1">
        <v>3.092881401364167E-2</v>
      </c>
    </row>
    <row r="3844" spans="1:7">
      <c r="A3844">
        <v>314</v>
      </c>
      <c r="B3844">
        <v>206</v>
      </c>
      <c r="C3844" s="1">
        <f>(Tabela1[[#This Row],[x]]-H$3)*(Tabela1[[#This Row],[x]]-H$3) +(Tabela1[[#This Row],[y]]-H$4)*(Tabela1[[#This Row],[y]]-H$4)</f>
        <v>13032</v>
      </c>
      <c r="D3844" s="1">
        <f>IF(Tabela1[[#This Row],[promien]]&lt;40000,1,0)</f>
        <v>1</v>
      </c>
      <c r="E3844" s="1">
        <f>IF(Tabela1[[#This Row],[promien]]=40000,1,0)</f>
        <v>0</v>
      </c>
      <c r="F3844" s="1">
        <v>3.1727367325702391</v>
      </c>
      <c r="G3844" s="1">
        <v>3.1144078980446022E-2</v>
      </c>
    </row>
    <row r="3845" spans="1:7">
      <c r="A3845">
        <v>385</v>
      </c>
      <c r="B3845">
        <v>363</v>
      </c>
      <c r="C3845" s="1">
        <f>(Tabela1[[#This Row],[x]]-H$3)*(Tabela1[[#This Row],[x]]-H$3) +(Tabela1[[#This Row],[y]]-H$4)*(Tabela1[[#This Row],[y]]-H$4)</f>
        <v>60794</v>
      </c>
      <c r="D3845" s="1">
        <f>IF(Tabela1[[#This Row],[promien]]&lt;40000,1,0)</f>
        <v>0</v>
      </c>
      <c r="E3845" s="1">
        <f>IF(Tabela1[[#This Row],[promien]]=40000,1,0)</f>
        <v>0</v>
      </c>
      <c r="F3845" s="1">
        <v>3.1719115734720416</v>
      </c>
      <c r="G3845" s="1">
        <v>3.0318919882248441E-2</v>
      </c>
    </row>
    <row r="3846" spans="1:7">
      <c r="A3846">
        <v>384</v>
      </c>
      <c r="B3846">
        <v>321</v>
      </c>
      <c r="C3846" s="1">
        <f>(Tabela1[[#This Row],[x]]-H$3)*(Tabela1[[#This Row],[x]]-H$3) +(Tabela1[[#This Row],[y]]-H$4)*(Tabela1[[#This Row],[y]]-H$4)</f>
        <v>48497</v>
      </c>
      <c r="D3846" s="1">
        <f>IF(Tabela1[[#This Row],[promien]]&lt;40000,1,0)</f>
        <v>0</v>
      </c>
      <c r="E3846" s="1">
        <f>IF(Tabela1[[#This Row],[promien]]=40000,1,0)</f>
        <v>0</v>
      </c>
      <c r="F3846" s="1">
        <v>3.1710868434737391</v>
      </c>
      <c r="G3846" s="1">
        <v>2.9494189883946031E-2</v>
      </c>
    </row>
    <row r="3847" spans="1:7">
      <c r="A3847">
        <v>52</v>
      </c>
      <c r="B3847">
        <v>37</v>
      </c>
      <c r="C3847" s="1">
        <f>(Tabela1[[#This Row],[x]]-H$3)*(Tabela1[[#This Row],[x]]-H$3) +(Tabela1[[#This Row],[y]]-H$4)*(Tabela1[[#This Row],[y]]-H$4)</f>
        <v>48473</v>
      </c>
      <c r="D3847" s="1">
        <f>IF(Tabela1[[#This Row],[promien]]&lt;40000,1,0)</f>
        <v>0</v>
      </c>
      <c r="E3847" s="1">
        <f>IF(Tabela1[[#This Row],[promien]]=40000,1,0)</f>
        <v>0</v>
      </c>
      <c r="F3847" s="1">
        <v>3.1702625422407071</v>
      </c>
      <c r="G3847" s="1">
        <v>2.8669888650914022E-2</v>
      </c>
    </row>
    <row r="3848" spans="1:7">
      <c r="A3848">
        <v>29</v>
      </c>
      <c r="B3848">
        <v>317</v>
      </c>
      <c r="C3848" s="1">
        <f>(Tabela1[[#This Row],[x]]-H$3)*(Tabela1[[#This Row],[x]]-H$3) +(Tabela1[[#This Row],[y]]-H$4)*(Tabela1[[#This Row],[y]]-H$4)</f>
        <v>42930</v>
      </c>
      <c r="D3848" s="1">
        <f>IF(Tabela1[[#This Row],[promien]]&lt;40000,1,0)</f>
        <v>0</v>
      </c>
      <c r="E3848" s="1">
        <f>IF(Tabela1[[#This Row],[promien]]=40000,1,0)</f>
        <v>0</v>
      </c>
      <c r="F3848" s="1">
        <v>3.1694386694386694</v>
      </c>
      <c r="G3848" s="1">
        <v>2.7846015848876249E-2</v>
      </c>
    </row>
    <row r="3849" spans="1:7">
      <c r="A3849">
        <v>322</v>
      </c>
      <c r="B3849">
        <v>303</v>
      </c>
      <c r="C3849" s="1">
        <f>(Tabela1[[#This Row],[x]]-H$3)*(Tabela1[[#This Row],[x]]-H$3) +(Tabela1[[#This Row],[y]]-H$4)*(Tabela1[[#This Row],[y]]-H$4)</f>
        <v>25493</v>
      </c>
      <c r="D3849" s="1">
        <f>IF(Tabela1[[#This Row],[promien]]&lt;40000,1,0)</f>
        <v>1</v>
      </c>
      <c r="E3849" s="1">
        <f>IF(Tabela1[[#This Row],[promien]]=40000,1,0)</f>
        <v>0</v>
      </c>
      <c r="F3849" s="1">
        <v>3.1696544557027799</v>
      </c>
      <c r="G3849" s="1">
        <v>2.8061802112986811E-2</v>
      </c>
    </row>
    <row r="3850" spans="1:7">
      <c r="A3850">
        <v>379</v>
      </c>
      <c r="B3850">
        <v>204</v>
      </c>
      <c r="C3850" s="1">
        <f>(Tabela1[[#This Row],[x]]-H$3)*(Tabela1[[#This Row],[x]]-H$3) +(Tabela1[[#This Row],[y]]-H$4)*(Tabela1[[#This Row],[y]]-H$4)</f>
        <v>32057</v>
      </c>
      <c r="D3850" s="1">
        <f>IF(Tabela1[[#This Row],[promien]]&lt;40000,1,0)</f>
        <v>1</v>
      </c>
      <c r="E3850" s="1">
        <f>IF(Tabela1[[#This Row],[promien]]=40000,1,0)</f>
        <v>0</v>
      </c>
      <c r="F3850" s="1">
        <v>3.1698701298701297</v>
      </c>
      <c r="G3850" s="1">
        <v>2.8277476280336611E-2</v>
      </c>
    </row>
    <row r="3851" spans="1:7">
      <c r="A3851">
        <v>267</v>
      </c>
      <c r="B3851">
        <v>269</v>
      </c>
      <c r="C3851" s="1">
        <f>(Tabela1[[#This Row],[x]]-H$3)*(Tabela1[[#This Row],[x]]-H$3) +(Tabela1[[#This Row],[y]]-H$4)*(Tabela1[[#This Row],[y]]-H$4)</f>
        <v>9250</v>
      </c>
      <c r="D3851" s="1">
        <f>IF(Tabela1[[#This Row],[promien]]&lt;40000,1,0)</f>
        <v>1</v>
      </c>
      <c r="E3851" s="1">
        <f>IF(Tabela1[[#This Row],[promien]]=40000,1,0)</f>
        <v>0</v>
      </c>
      <c r="F3851" s="1">
        <v>3.1700856920280445</v>
      </c>
      <c r="G3851" s="1">
        <v>2.849303843825135E-2</v>
      </c>
    </row>
    <row r="3852" spans="1:7">
      <c r="A3852">
        <v>349</v>
      </c>
      <c r="B3852">
        <v>94</v>
      </c>
      <c r="C3852" s="1">
        <f>(Tabela1[[#This Row],[x]]-H$3)*(Tabela1[[#This Row],[x]]-H$3) +(Tabela1[[#This Row],[y]]-H$4)*(Tabela1[[#This Row],[y]]-H$4)</f>
        <v>33437</v>
      </c>
      <c r="D3852" s="1">
        <f>IF(Tabela1[[#This Row],[promien]]&lt;40000,1,0)</f>
        <v>1</v>
      </c>
      <c r="E3852" s="1">
        <f>IF(Tabela1[[#This Row],[promien]]=40000,1,0)</f>
        <v>0</v>
      </c>
      <c r="F3852" s="1">
        <v>3.1703011422637593</v>
      </c>
      <c r="G3852" s="1">
        <v>2.8708488673966137E-2</v>
      </c>
    </row>
    <row r="3853" spans="1:7">
      <c r="A3853">
        <v>118</v>
      </c>
      <c r="B3853">
        <v>277</v>
      </c>
      <c r="C3853" s="1">
        <f>(Tabela1[[#This Row],[x]]-H$3)*(Tabela1[[#This Row],[x]]-H$3) +(Tabela1[[#This Row],[y]]-H$4)*(Tabela1[[#This Row],[y]]-H$4)</f>
        <v>12653</v>
      </c>
      <c r="D3853" s="1">
        <f>IF(Tabela1[[#This Row],[promien]]&lt;40000,1,0)</f>
        <v>1</v>
      </c>
      <c r="E3853" s="1">
        <f>IF(Tabela1[[#This Row],[promien]]=40000,1,0)</f>
        <v>0</v>
      </c>
      <c r="F3853" s="1">
        <v>3.1705164806644173</v>
      </c>
      <c r="G3853" s="1">
        <v>2.8923827074624153E-2</v>
      </c>
    </row>
    <row r="3854" spans="1:7">
      <c r="A3854">
        <v>215</v>
      </c>
      <c r="B3854">
        <v>93</v>
      </c>
      <c r="C3854" s="1">
        <f>(Tabela1[[#This Row],[x]]-H$3)*(Tabela1[[#This Row],[x]]-H$3) +(Tabela1[[#This Row],[y]]-H$4)*(Tabela1[[#This Row],[y]]-H$4)</f>
        <v>11674</v>
      </c>
      <c r="D3854" s="1">
        <f>IF(Tabela1[[#This Row],[promien]]&lt;40000,1,0)</f>
        <v>1</v>
      </c>
      <c r="E3854" s="1">
        <f>IF(Tabela1[[#This Row],[promien]]=40000,1,0)</f>
        <v>0</v>
      </c>
      <c r="F3854" s="1">
        <v>3.1707317073170733</v>
      </c>
      <c r="G3854" s="1">
        <v>2.9139053727280206E-2</v>
      </c>
    </row>
    <row r="3855" spans="1:7">
      <c r="A3855">
        <v>15</v>
      </c>
      <c r="B3855">
        <v>149</v>
      </c>
      <c r="C3855" s="1">
        <f>(Tabela1[[#This Row],[x]]-H$3)*(Tabela1[[#This Row],[x]]-H$3) +(Tabela1[[#This Row],[y]]-H$4)*(Tabela1[[#This Row],[y]]-H$4)</f>
        <v>36826</v>
      </c>
      <c r="D3855" s="1">
        <f>IF(Tabela1[[#This Row],[promien]]&lt;40000,1,0)</f>
        <v>1</v>
      </c>
      <c r="E3855" s="1">
        <f>IF(Tabela1[[#This Row],[promien]]=40000,1,0)</f>
        <v>0</v>
      </c>
      <c r="F3855" s="1">
        <v>3.1709468223086898</v>
      </c>
      <c r="G3855" s="1">
        <v>2.9354168718896734E-2</v>
      </c>
    </row>
    <row r="3856" spans="1:7">
      <c r="A3856">
        <v>284</v>
      </c>
      <c r="B3856">
        <v>4</v>
      </c>
      <c r="C3856" s="1">
        <f>(Tabela1[[#This Row],[x]]-H$3)*(Tabela1[[#This Row],[x]]-H$3) +(Tabela1[[#This Row],[y]]-H$4)*(Tabela1[[#This Row],[y]]-H$4)</f>
        <v>45472</v>
      </c>
      <c r="D3856" s="1">
        <f>IF(Tabela1[[#This Row],[promien]]&lt;40000,1,0)</f>
        <v>0</v>
      </c>
      <c r="E3856" s="1">
        <f>IF(Tabela1[[#This Row],[promien]]=40000,1,0)</f>
        <v>0</v>
      </c>
      <c r="F3856" s="1">
        <v>3.1701244813278007</v>
      </c>
      <c r="G3856" s="1">
        <v>2.8531827738007554E-2</v>
      </c>
    </row>
    <row r="3857" spans="1:7">
      <c r="A3857">
        <v>178</v>
      </c>
      <c r="B3857">
        <v>386</v>
      </c>
      <c r="C3857" s="1">
        <f>(Tabela1[[#This Row],[x]]-H$3)*(Tabela1[[#This Row],[x]]-H$3) +(Tabela1[[#This Row],[y]]-H$4)*(Tabela1[[#This Row],[y]]-H$4)</f>
        <v>35080</v>
      </c>
      <c r="D3857" s="1">
        <f>IF(Tabela1[[#This Row],[promien]]&lt;40000,1,0)</f>
        <v>1</v>
      </c>
      <c r="E3857" s="1">
        <f>IF(Tabela1[[#This Row],[promien]]=40000,1,0)</f>
        <v>0</v>
      </c>
      <c r="F3857" s="1">
        <v>3.1703396422089707</v>
      </c>
      <c r="G3857" s="1">
        <v>2.8746988619177571E-2</v>
      </c>
    </row>
    <row r="3858" spans="1:7">
      <c r="A3858">
        <v>227</v>
      </c>
      <c r="B3858">
        <v>135</v>
      </c>
      <c r="C3858" s="1">
        <f>(Tabela1[[#This Row],[x]]-H$3)*(Tabela1[[#This Row],[x]]-H$3) +(Tabela1[[#This Row],[y]]-H$4)*(Tabela1[[#This Row],[y]]-H$4)</f>
        <v>4954</v>
      </c>
      <c r="D3858" s="1">
        <f>IF(Tabela1[[#This Row],[promien]]&lt;40000,1,0)</f>
        <v>1</v>
      </c>
      <c r="E3858" s="1">
        <f>IF(Tabela1[[#This Row],[promien]]=40000,1,0)</f>
        <v>0</v>
      </c>
      <c r="F3858" s="1">
        <v>3.1705546915500258</v>
      </c>
      <c r="G3858" s="1">
        <v>2.8962037960232667E-2</v>
      </c>
    </row>
    <row r="3859" spans="1:7">
      <c r="A3859">
        <v>159</v>
      </c>
      <c r="B3859">
        <v>267</v>
      </c>
      <c r="C3859" s="1">
        <f>(Tabela1[[#This Row],[x]]-H$3)*(Tabela1[[#This Row],[x]]-H$3) +(Tabela1[[#This Row],[y]]-H$4)*(Tabela1[[#This Row],[y]]-H$4)</f>
        <v>6170</v>
      </c>
      <c r="D3859" s="1">
        <f>IF(Tabela1[[#This Row],[promien]]&lt;40000,1,0)</f>
        <v>1</v>
      </c>
      <c r="E3859" s="1">
        <f>IF(Tabela1[[#This Row],[promien]]=40000,1,0)</f>
        <v>0</v>
      </c>
      <c r="F3859" s="1">
        <v>3.1707696294376784</v>
      </c>
      <c r="G3859" s="1">
        <v>2.9176975847885256E-2</v>
      </c>
    </row>
    <row r="3860" spans="1:7">
      <c r="A3860">
        <v>9</v>
      </c>
      <c r="B3860">
        <v>301</v>
      </c>
      <c r="C3860" s="1">
        <f>(Tabela1[[#This Row],[x]]-H$3)*(Tabela1[[#This Row],[x]]-H$3) +(Tabela1[[#This Row],[y]]-H$4)*(Tabela1[[#This Row],[y]]-H$4)</f>
        <v>46682</v>
      </c>
      <c r="D3860" s="1">
        <f>IF(Tabela1[[#This Row],[promien]]&lt;40000,1,0)</f>
        <v>0</v>
      </c>
      <c r="E3860" s="1">
        <f>IF(Tabela1[[#This Row],[promien]]=40000,1,0)</f>
        <v>0</v>
      </c>
      <c r="F3860" s="1">
        <v>3.1699481865284973</v>
      </c>
      <c r="G3860" s="1">
        <v>2.8355532938704187E-2</v>
      </c>
    </row>
    <row r="3861" spans="1:7">
      <c r="A3861">
        <v>271</v>
      </c>
      <c r="B3861">
        <v>79</v>
      </c>
      <c r="C3861" s="1">
        <f>(Tabela1[[#This Row],[x]]-H$3)*(Tabela1[[#This Row],[x]]-H$3) +(Tabela1[[#This Row],[y]]-H$4)*(Tabela1[[#This Row],[y]]-H$4)</f>
        <v>19682</v>
      </c>
      <c r="D3861" s="1">
        <f>IF(Tabela1[[#This Row],[promien]]&lt;40000,1,0)</f>
        <v>1</v>
      </c>
      <c r="E3861" s="1">
        <f>IF(Tabela1[[#This Row],[promien]]=40000,1,0)</f>
        <v>0</v>
      </c>
      <c r="F3861" s="1">
        <v>3.1701631701631703</v>
      </c>
      <c r="G3861" s="1">
        <v>2.8570516573377169E-2</v>
      </c>
    </row>
    <row r="3862" spans="1:7">
      <c r="A3862">
        <v>333</v>
      </c>
      <c r="B3862">
        <v>148</v>
      </c>
      <c r="C3862" s="1">
        <f>(Tabela1[[#This Row],[x]]-H$3)*(Tabela1[[#This Row],[x]]-H$3) +(Tabela1[[#This Row],[y]]-H$4)*(Tabela1[[#This Row],[y]]-H$4)</f>
        <v>20393</v>
      </c>
      <c r="D3862" s="1">
        <f>IF(Tabela1[[#This Row],[promien]]&lt;40000,1,0)</f>
        <v>1</v>
      </c>
      <c r="E3862" s="1">
        <f>IF(Tabela1[[#This Row],[promien]]=40000,1,0)</f>
        <v>0</v>
      </c>
      <c r="F3862" s="1">
        <v>3.1703780424650438</v>
      </c>
      <c r="G3862" s="1">
        <v>2.8785388875250728E-2</v>
      </c>
    </row>
    <row r="3863" spans="1:7">
      <c r="A3863">
        <v>284</v>
      </c>
      <c r="B3863">
        <v>140</v>
      </c>
      <c r="C3863" s="1">
        <f>(Tabela1[[#This Row],[x]]-H$3)*(Tabela1[[#This Row],[x]]-H$3) +(Tabela1[[#This Row],[y]]-H$4)*(Tabela1[[#This Row],[y]]-H$4)</f>
        <v>10656</v>
      </c>
      <c r="D3863" s="1">
        <f>IF(Tabela1[[#This Row],[promien]]&lt;40000,1,0)</f>
        <v>1</v>
      </c>
      <c r="E3863" s="1">
        <f>IF(Tabela1[[#This Row],[promien]]=40000,1,0)</f>
        <v>0</v>
      </c>
      <c r="F3863" s="1">
        <v>3.1705928035205799</v>
      </c>
      <c r="G3863" s="1">
        <v>2.9000149930786812E-2</v>
      </c>
    </row>
    <row r="3864" spans="1:7">
      <c r="A3864">
        <v>22</v>
      </c>
      <c r="B3864">
        <v>140</v>
      </c>
      <c r="C3864" s="1">
        <f>(Tabela1[[#This Row],[x]]-H$3)*(Tabela1[[#This Row],[x]]-H$3) +(Tabela1[[#This Row],[y]]-H$4)*(Tabela1[[#This Row],[y]]-H$4)</f>
        <v>35284</v>
      </c>
      <c r="D3864" s="1">
        <f>IF(Tabela1[[#This Row],[promien]]&lt;40000,1,0)</f>
        <v>1</v>
      </c>
      <c r="E3864" s="1">
        <f>IF(Tabela1[[#This Row],[promien]]=40000,1,0)</f>
        <v>0</v>
      </c>
      <c r="F3864" s="1">
        <v>3.170807453416149</v>
      </c>
      <c r="G3864" s="1">
        <v>2.9214799826355886E-2</v>
      </c>
    </row>
    <row r="3865" spans="1:7">
      <c r="A3865">
        <v>181</v>
      </c>
      <c r="B3865">
        <v>236</v>
      </c>
      <c r="C3865" s="1">
        <f>(Tabela1[[#This Row],[x]]-H$3)*(Tabela1[[#This Row],[x]]-H$3) +(Tabela1[[#This Row],[y]]-H$4)*(Tabela1[[#This Row],[y]]-H$4)</f>
        <v>1657</v>
      </c>
      <c r="D3865" s="1">
        <f>IF(Tabela1[[#This Row],[promien]]&lt;40000,1,0)</f>
        <v>1</v>
      </c>
      <c r="E3865" s="1">
        <f>IF(Tabela1[[#This Row],[promien]]=40000,1,0)</f>
        <v>0</v>
      </c>
      <c r="F3865" s="1">
        <v>3.1710219922380336</v>
      </c>
      <c r="G3865" s="1">
        <v>2.9429338648240488E-2</v>
      </c>
    </row>
    <row r="3866" spans="1:7">
      <c r="A3866">
        <v>119</v>
      </c>
      <c r="B3866">
        <v>311</v>
      </c>
      <c r="C3866" s="1">
        <f>(Tabela1[[#This Row],[x]]-H$3)*(Tabela1[[#This Row],[x]]-H$3) +(Tabela1[[#This Row],[y]]-H$4)*(Tabela1[[#This Row],[y]]-H$4)</f>
        <v>18882</v>
      </c>
      <c r="D3866" s="1">
        <f>IF(Tabela1[[#This Row],[promien]]&lt;40000,1,0)</f>
        <v>1</v>
      </c>
      <c r="E3866" s="1">
        <f>IF(Tabela1[[#This Row],[promien]]=40000,1,0)</f>
        <v>0</v>
      </c>
      <c r="F3866" s="1">
        <v>3.1712364200724261</v>
      </c>
      <c r="G3866" s="1">
        <v>2.9643766482633005E-2</v>
      </c>
    </row>
    <row r="3867" spans="1:7">
      <c r="A3867">
        <v>321</v>
      </c>
      <c r="B3867">
        <v>133</v>
      </c>
      <c r="C3867" s="1">
        <f>(Tabela1[[#This Row],[x]]-H$3)*(Tabela1[[#This Row],[x]]-H$3) +(Tabela1[[#This Row],[y]]-H$4)*(Tabela1[[#This Row],[y]]-H$4)</f>
        <v>19130</v>
      </c>
      <c r="D3867" s="1">
        <f>IF(Tabela1[[#This Row],[promien]]&lt;40000,1,0)</f>
        <v>1</v>
      </c>
      <c r="E3867" s="1">
        <f>IF(Tabela1[[#This Row],[promien]]=40000,1,0)</f>
        <v>0</v>
      </c>
      <c r="F3867" s="1">
        <v>3.1714507370054306</v>
      </c>
      <c r="G3867" s="1">
        <v>2.9858083415637449E-2</v>
      </c>
    </row>
    <row r="3868" spans="1:7">
      <c r="A3868">
        <v>378</v>
      </c>
      <c r="B3868">
        <v>117</v>
      </c>
      <c r="C3868" s="1">
        <f>(Tabela1[[#This Row],[x]]-H$3)*(Tabela1[[#This Row],[x]]-H$3) +(Tabela1[[#This Row],[y]]-H$4)*(Tabela1[[#This Row],[y]]-H$4)</f>
        <v>38573</v>
      </c>
      <c r="D3868" s="1">
        <f>IF(Tabela1[[#This Row],[promien]]&lt;40000,1,0)</f>
        <v>1</v>
      </c>
      <c r="E3868" s="1">
        <f>IF(Tabela1[[#This Row],[promien]]=40000,1,0)</f>
        <v>0</v>
      </c>
      <c r="F3868" s="1">
        <v>3.1716649431230608</v>
      </c>
      <c r="G3868" s="1">
        <v>3.0072289533267682E-2</v>
      </c>
    </row>
    <row r="3869" spans="1:7">
      <c r="A3869">
        <v>179</v>
      </c>
      <c r="B3869">
        <v>165</v>
      </c>
      <c r="C3869" s="1">
        <f>(Tabela1[[#This Row],[x]]-H$3)*(Tabela1[[#This Row],[x]]-H$3) +(Tabela1[[#This Row],[y]]-H$4)*(Tabela1[[#This Row],[y]]-H$4)</f>
        <v>1666</v>
      </c>
      <c r="D3869" s="1">
        <f>IF(Tabela1[[#This Row],[promien]]&lt;40000,1,0)</f>
        <v>1</v>
      </c>
      <c r="E3869" s="1">
        <f>IF(Tabela1[[#This Row],[promien]]=40000,1,0)</f>
        <v>0</v>
      </c>
      <c r="F3869" s="1">
        <v>3.1718790385112432</v>
      </c>
      <c r="G3869" s="1">
        <v>3.0286384921450082E-2</v>
      </c>
    </row>
    <row r="3870" spans="1:7">
      <c r="A3870">
        <v>352</v>
      </c>
      <c r="B3870">
        <v>297</v>
      </c>
      <c r="C3870" s="1">
        <f>(Tabela1[[#This Row],[x]]-H$3)*(Tabela1[[#This Row],[x]]-H$3) +(Tabela1[[#This Row],[y]]-H$4)*(Tabela1[[#This Row],[y]]-H$4)</f>
        <v>32513</v>
      </c>
      <c r="D3870" s="1">
        <f>IF(Tabela1[[#This Row],[promien]]&lt;40000,1,0)</f>
        <v>1</v>
      </c>
      <c r="E3870" s="1">
        <f>IF(Tabela1[[#This Row],[promien]]=40000,1,0)</f>
        <v>0</v>
      </c>
      <c r="F3870" s="1">
        <v>3.172093023255814</v>
      </c>
      <c r="G3870" s="1">
        <v>3.0500369666020877E-2</v>
      </c>
    </row>
    <row r="3871" spans="1:7">
      <c r="A3871">
        <v>373</v>
      </c>
      <c r="B3871">
        <v>155</v>
      </c>
      <c r="C3871" s="1">
        <f>(Tabela1[[#This Row],[x]]-H$3)*(Tabela1[[#This Row],[x]]-H$3) +(Tabela1[[#This Row],[y]]-H$4)*(Tabela1[[#This Row],[y]]-H$4)</f>
        <v>31954</v>
      </c>
      <c r="D3871" s="1">
        <f>IF(Tabela1[[#This Row],[promien]]&lt;40000,1,0)</f>
        <v>1</v>
      </c>
      <c r="E3871" s="1">
        <f>IF(Tabela1[[#This Row],[promien]]=40000,1,0)</f>
        <v>0</v>
      </c>
      <c r="F3871" s="1">
        <v>3.1723068974425215</v>
      </c>
      <c r="G3871" s="1">
        <v>3.0714243852728362E-2</v>
      </c>
    </row>
    <row r="3872" spans="1:7">
      <c r="A3872">
        <v>237</v>
      </c>
      <c r="B3872">
        <v>85</v>
      </c>
      <c r="C3872" s="1">
        <f>(Tabela1[[#This Row],[x]]-H$3)*(Tabela1[[#This Row],[x]]-H$3) +(Tabela1[[#This Row],[y]]-H$4)*(Tabela1[[#This Row],[y]]-H$4)</f>
        <v>14594</v>
      </c>
      <c r="D3872" s="1">
        <f>IF(Tabela1[[#This Row],[promien]]&lt;40000,1,0)</f>
        <v>1</v>
      </c>
      <c r="E3872" s="1">
        <f>IF(Tabela1[[#This Row],[promien]]=40000,1,0)</f>
        <v>0</v>
      </c>
      <c r="F3872" s="1">
        <v>3.1725206611570247</v>
      </c>
      <c r="G3872" s="1">
        <v>3.0928007567231575E-2</v>
      </c>
    </row>
    <row r="3873" spans="1:7">
      <c r="A3873">
        <v>35</v>
      </c>
      <c r="B3873">
        <v>386</v>
      </c>
      <c r="C3873" s="1">
        <f>(Tabela1[[#This Row],[x]]-H$3)*(Tabela1[[#This Row],[x]]-H$3) +(Tabela1[[#This Row],[y]]-H$4)*(Tabela1[[#This Row],[y]]-H$4)</f>
        <v>61821</v>
      </c>
      <c r="D3873" s="1">
        <f>IF(Tabela1[[#This Row],[promien]]&lt;40000,1,0)</f>
        <v>0</v>
      </c>
      <c r="E3873" s="1">
        <f>IF(Tabela1[[#This Row],[promien]]=40000,1,0)</f>
        <v>0</v>
      </c>
      <c r="F3873" s="1">
        <v>3.1717015233668993</v>
      </c>
      <c r="G3873" s="1">
        <v>3.010886977710614E-2</v>
      </c>
    </row>
    <row r="3874" spans="1:7">
      <c r="A3874">
        <v>92</v>
      </c>
      <c r="B3874">
        <v>365</v>
      </c>
      <c r="C3874" s="1">
        <f>(Tabela1[[#This Row],[x]]-H$3)*(Tabela1[[#This Row],[x]]-H$3) +(Tabela1[[#This Row],[y]]-H$4)*(Tabela1[[#This Row],[y]]-H$4)</f>
        <v>38889</v>
      </c>
      <c r="D3874" s="1">
        <f>IF(Tabela1[[#This Row],[promien]]&lt;40000,1,0)</f>
        <v>1</v>
      </c>
      <c r="E3874" s="1">
        <f>IF(Tabela1[[#This Row],[promien]]=40000,1,0)</f>
        <v>0</v>
      </c>
      <c r="F3874" s="1">
        <v>3.1719153329891583</v>
      </c>
      <c r="G3874" s="1">
        <v>3.0322679399365171E-2</v>
      </c>
    </row>
    <row r="3875" spans="1:7">
      <c r="A3875">
        <v>240</v>
      </c>
      <c r="B3875">
        <v>125</v>
      </c>
      <c r="C3875" s="1">
        <f>(Tabela1[[#This Row],[x]]-H$3)*(Tabela1[[#This Row],[x]]-H$3) +(Tabela1[[#This Row],[y]]-H$4)*(Tabela1[[#This Row],[y]]-H$4)</f>
        <v>7225</v>
      </c>
      <c r="D3875" s="1">
        <f>IF(Tabela1[[#This Row],[promien]]&lt;40000,1,0)</f>
        <v>1</v>
      </c>
      <c r="E3875" s="1">
        <f>IF(Tabela1[[#This Row],[promien]]=40000,1,0)</f>
        <v>0</v>
      </c>
      <c r="F3875" s="1">
        <v>3.1721290322580646</v>
      </c>
      <c r="G3875" s="1">
        <v>3.0536378668271524E-2</v>
      </c>
    </row>
    <row r="3876" spans="1:7">
      <c r="A3876">
        <v>228</v>
      </c>
      <c r="B3876">
        <v>377</v>
      </c>
      <c r="C3876" s="1">
        <f>(Tabela1[[#This Row],[x]]-H$3)*(Tabela1[[#This Row],[x]]-H$3) +(Tabela1[[#This Row],[y]]-H$4)*(Tabela1[[#This Row],[y]]-H$4)</f>
        <v>32113</v>
      </c>
      <c r="D3876" s="1">
        <f>IF(Tabela1[[#This Row],[promien]]&lt;40000,1,0)</f>
        <v>1</v>
      </c>
      <c r="E3876" s="1">
        <f>IF(Tabela1[[#This Row],[promien]]=40000,1,0)</f>
        <v>0</v>
      </c>
      <c r="F3876" s="1">
        <v>3.17234262125903</v>
      </c>
      <c r="G3876" s="1">
        <v>3.0749967669236877E-2</v>
      </c>
    </row>
    <row r="3877" spans="1:7">
      <c r="A3877">
        <v>399</v>
      </c>
      <c r="B3877">
        <v>117</v>
      </c>
      <c r="C3877" s="1">
        <f>(Tabela1[[#This Row],[x]]-H$3)*(Tabela1[[#This Row],[x]]-H$3) +(Tabela1[[#This Row],[y]]-H$4)*(Tabela1[[#This Row],[y]]-H$4)</f>
        <v>46490</v>
      </c>
      <c r="D3877" s="1">
        <f>IF(Tabela1[[#This Row],[promien]]&lt;40000,1,0)</f>
        <v>0</v>
      </c>
      <c r="E3877" s="1">
        <f>IF(Tabela1[[#This Row],[promien]]=40000,1,0)</f>
        <v>0</v>
      </c>
      <c r="F3877" s="1">
        <v>3.1715243745163786</v>
      </c>
      <c r="G3877" s="1">
        <v>2.993172092658547E-2</v>
      </c>
    </row>
    <row r="3878" spans="1:7">
      <c r="A3878">
        <v>109</v>
      </c>
      <c r="B3878">
        <v>57</v>
      </c>
      <c r="C3878" s="1">
        <f>(Tabela1[[#This Row],[x]]-H$3)*(Tabela1[[#This Row],[x]]-H$3) +(Tabela1[[#This Row],[y]]-H$4)*(Tabela1[[#This Row],[y]]-H$4)</f>
        <v>28730</v>
      </c>
      <c r="D3878" s="1">
        <f>IF(Tabela1[[#This Row],[promien]]&lt;40000,1,0)</f>
        <v>1</v>
      </c>
      <c r="E3878" s="1">
        <f>IF(Tabela1[[#This Row],[promien]]=40000,1,0)</f>
        <v>0</v>
      </c>
      <c r="F3878" s="1">
        <v>3.1717380092831355</v>
      </c>
      <c r="G3878" s="1">
        <v>3.0145355693342424E-2</v>
      </c>
    </row>
    <row r="3879" spans="1:7">
      <c r="A3879">
        <v>272</v>
      </c>
      <c r="B3879">
        <v>172</v>
      </c>
      <c r="C3879" s="1">
        <f>(Tabela1[[#This Row],[x]]-H$3)*(Tabela1[[#This Row],[x]]-H$3) +(Tabela1[[#This Row],[y]]-H$4)*(Tabela1[[#This Row],[y]]-H$4)</f>
        <v>5968</v>
      </c>
      <c r="D3879" s="1">
        <f>IF(Tabela1[[#This Row],[promien]]&lt;40000,1,0)</f>
        <v>1</v>
      </c>
      <c r="E3879" s="1">
        <f>IF(Tabela1[[#This Row],[promien]]=40000,1,0)</f>
        <v>0</v>
      </c>
      <c r="F3879" s="1">
        <v>3.17195153390049</v>
      </c>
      <c r="G3879" s="1">
        <v>3.035888031069689E-2</v>
      </c>
    </row>
    <row r="3880" spans="1:7">
      <c r="A3880">
        <v>363</v>
      </c>
      <c r="B3880">
        <v>133</v>
      </c>
      <c r="C3880" s="1">
        <f>(Tabela1[[#This Row],[x]]-H$3)*(Tabela1[[#This Row],[x]]-H$3) +(Tabela1[[#This Row],[y]]-H$4)*(Tabela1[[#This Row],[y]]-H$4)</f>
        <v>31058</v>
      </c>
      <c r="D3880" s="1">
        <f>IF(Tabela1[[#This Row],[promien]]&lt;40000,1,0)</f>
        <v>1</v>
      </c>
      <c r="E3880" s="1">
        <f>IF(Tabela1[[#This Row],[promien]]=40000,1,0)</f>
        <v>0</v>
      </c>
      <c r="F3880" s="1">
        <v>3.1721649484536081</v>
      </c>
      <c r="G3880" s="1">
        <v>3.0572294863814964E-2</v>
      </c>
    </row>
    <row r="3881" spans="1:7">
      <c r="A3881">
        <v>220</v>
      </c>
      <c r="B3881">
        <v>124</v>
      </c>
      <c r="C3881" s="1">
        <f>(Tabela1[[#This Row],[x]]-H$3)*(Tabela1[[#This Row],[x]]-H$3) +(Tabela1[[#This Row],[y]]-H$4)*(Tabela1[[#This Row],[y]]-H$4)</f>
        <v>6176</v>
      </c>
      <c r="D3881" s="1">
        <f>IF(Tabela1[[#This Row],[promien]]&lt;40000,1,0)</f>
        <v>1</v>
      </c>
      <c r="E3881" s="1">
        <f>IF(Tabela1[[#This Row],[promien]]=40000,1,0)</f>
        <v>0</v>
      </c>
      <c r="F3881" s="1">
        <v>3.1723782530275701</v>
      </c>
      <c r="G3881" s="1">
        <v>3.0785599437777034E-2</v>
      </c>
    </row>
    <row r="3882" spans="1:7">
      <c r="A3882">
        <v>251</v>
      </c>
      <c r="B3882">
        <v>150</v>
      </c>
      <c r="C3882" s="1">
        <f>(Tabela1[[#This Row],[x]]-H$3)*(Tabela1[[#This Row],[x]]-H$3) +(Tabela1[[#This Row],[y]]-H$4)*(Tabela1[[#This Row],[y]]-H$4)</f>
        <v>5101</v>
      </c>
      <c r="D3882" s="1">
        <f>IF(Tabela1[[#This Row],[promien]]&lt;40000,1,0)</f>
        <v>1</v>
      </c>
      <c r="E3882" s="1">
        <f>IF(Tabela1[[#This Row],[promien]]=40000,1,0)</f>
        <v>0</v>
      </c>
      <c r="F3882" s="1">
        <v>3.1725914477073673</v>
      </c>
      <c r="G3882" s="1">
        <v>3.0998794117574224E-2</v>
      </c>
    </row>
    <row r="3883" spans="1:7">
      <c r="A3883">
        <v>228</v>
      </c>
      <c r="B3883">
        <v>23</v>
      </c>
      <c r="C3883" s="1">
        <f>(Tabela1[[#This Row],[x]]-H$3)*(Tabela1[[#This Row],[x]]-H$3) +(Tabela1[[#This Row],[y]]-H$4)*(Tabela1[[#This Row],[y]]-H$4)</f>
        <v>32113</v>
      </c>
      <c r="D3883" s="1">
        <f>IF(Tabela1[[#This Row],[promien]]&lt;40000,1,0)</f>
        <v>1</v>
      </c>
      <c r="E3883" s="1">
        <f>IF(Tabela1[[#This Row],[promien]]=40000,1,0)</f>
        <v>0</v>
      </c>
      <c r="F3883" s="1">
        <v>3.1728045325779037</v>
      </c>
      <c r="G3883" s="1">
        <v>3.121187898811062E-2</v>
      </c>
    </row>
    <row r="3884" spans="1:7">
      <c r="A3884">
        <v>217</v>
      </c>
      <c r="B3884">
        <v>137</v>
      </c>
      <c r="C3884" s="1">
        <f>(Tabela1[[#This Row],[x]]-H$3)*(Tabela1[[#This Row],[x]]-H$3) +(Tabela1[[#This Row],[y]]-H$4)*(Tabela1[[#This Row],[y]]-H$4)</f>
        <v>4258</v>
      </c>
      <c r="D3884" s="1">
        <f>IF(Tabela1[[#This Row],[promien]]&lt;40000,1,0)</f>
        <v>1</v>
      </c>
      <c r="E3884" s="1">
        <f>IF(Tabela1[[#This Row],[promien]]=40000,1,0)</f>
        <v>0</v>
      </c>
      <c r="F3884" s="1">
        <v>3.1730175077239959</v>
      </c>
      <c r="G3884" s="1">
        <v>3.1424854134202818E-2</v>
      </c>
    </row>
    <row r="3885" spans="1:7">
      <c r="A3885">
        <v>111</v>
      </c>
      <c r="B3885">
        <v>100</v>
      </c>
      <c r="C3885" s="1">
        <f>(Tabela1[[#This Row],[x]]-H$3)*(Tabela1[[#This Row],[x]]-H$3) +(Tabela1[[#This Row],[y]]-H$4)*(Tabela1[[#This Row],[y]]-H$4)</f>
        <v>17921</v>
      </c>
      <c r="D3885" s="1">
        <f>IF(Tabela1[[#This Row],[promien]]&lt;40000,1,0)</f>
        <v>1</v>
      </c>
      <c r="E3885" s="1">
        <f>IF(Tabela1[[#This Row],[promien]]=40000,1,0)</f>
        <v>0</v>
      </c>
      <c r="F3885" s="1">
        <v>3.173230373230373</v>
      </c>
      <c r="G3885" s="1">
        <v>3.1637719640579931E-2</v>
      </c>
    </row>
    <row r="3886" spans="1:7">
      <c r="A3886">
        <v>174</v>
      </c>
      <c r="B3886">
        <v>358</v>
      </c>
      <c r="C3886" s="1">
        <f>(Tabela1[[#This Row],[x]]-H$3)*(Tabela1[[#This Row],[x]]-H$3) +(Tabela1[[#This Row],[y]]-H$4)*(Tabela1[[#This Row],[y]]-H$4)</f>
        <v>25640</v>
      </c>
      <c r="D3886" s="1">
        <f>IF(Tabela1[[#This Row],[promien]]&lt;40000,1,0)</f>
        <v>1</v>
      </c>
      <c r="E3886" s="1">
        <f>IF(Tabela1[[#This Row],[promien]]=40000,1,0)</f>
        <v>0</v>
      </c>
      <c r="F3886" s="1">
        <v>3.173443129181678</v>
      </c>
      <c r="G3886" s="1">
        <v>3.1850475591884919E-2</v>
      </c>
    </row>
    <row r="3887" spans="1:7">
      <c r="A3887">
        <v>100</v>
      </c>
      <c r="B3887">
        <v>68</v>
      </c>
      <c r="C3887" s="1">
        <f>(Tabela1[[#This Row],[x]]-H$3)*(Tabela1[[#This Row],[x]]-H$3) +(Tabela1[[#This Row],[y]]-H$4)*(Tabela1[[#This Row],[y]]-H$4)</f>
        <v>27424</v>
      </c>
      <c r="D3887" s="1">
        <f>IF(Tabela1[[#This Row],[promien]]&lt;40000,1,0)</f>
        <v>1</v>
      </c>
      <c r="E3887" s="1">
        <f>IF(Tabela1[[#This Row],[promien]]=40000,1,0)</f>
        <v>0</v>
      </c>
      <c r="F3887" s="1">
        <v>3.1736557756624646</v>
      </c>
      <c r="G3887" s="1">
        <v>3.2063122072671479E-2</v>
      </c>
    </row>
    <row r="3888" spans="1:7">
      <c r="A3888">
        <v>309</v>
      </c>
      <c r="B3888">
        <v>52</v>
      </c>
      <c r="C3888" s="1">
        <f>(Tabela1[[#This Row],[x]]-H$3)*(Tabela1[[#This Row],[x]]-H$3) +(Tabela1[[#This Row],[y]]-H$4)*(Tabela1[[#This Row],[y]]-H$4)</f>
        <v>33785</v>
      </c>
      <c r="D3888" s="1">
        <f>IF(Tabela1[[#This Row],[promien]]&lt;40000,1,0)</f>
        <v>1</v>
      </c>
      <c r="E3888" s="1">
        <f>IF(Tabela1[[#This Row],[promien]]=40000,1,0)</f>
        <v>0</v>
      </c>
      <c r="F3888" s="1">
        <v>3.1738683127572016</v>
      </c>
      <c r="G3888" s="1">
        <v>3.2275659167408488E-2</v>
      </c>
    </row>
    <row r="3889" spans="1:7">
      <c r="A3889">
        <v>110</v>
      </c>
      <c r="B3889">
        <v>241</v>
      </c>
      <c r="C3889" s="1">
        <f>(Tabela1[[#This Row],[x]]-H$3)*(Tabela1[[#This Row],[x]]-H$3) +(Tabela1[[#This Row],[y]]-H$4)*(Tabela1[[#This Row],[y]]-H$4)</f>
        <v>9781</v>
      </c>
      <c r="D3889" s="1">
        <f>IF(Tabela1[[#This Row],[promien]]&lt;40000,1,0)</f>
        <v>1</v>
      </c>
      <c r="E3889" s="1">
        <f>IF(Tabela1[[#This Row],[promien]]=40000,1,0)</f>
        <v>0</v>
      </c>
      <c r="F3889" s="1">
        <v>3.17408074055027</v>
      </c>
      <c r="G3889" s="1">
        <v>3.2488086960476892E-2</v>
      </c>
    </row>
    <row r="3890" spans="1:7">
      <c r="A3890">
        <v>269</v>
      </c>
      <c r="B3890">
        <v>327</v>
      </c>
      <c r="C3890" s="1">
        <f>(Tabela1[[#This Row],[x]]-H$3)*(Tabela1[[#This Row],[x]]-H$3) +(Tabela1[[#This Row],[y]]-H$4)*(Tabela1[[#This Row],[y]]-H$4)</f>
        <v>20890</v>
      </c>
      <c r="D3890" s="1">
        <f>IF(Tabela1[[#This Row],[promien]]&lt;40000,1,0)</f>
        <v>1</v>
      </c>
      <c r="E3890" s="1">
        <f>IF(Tabela1[[#This Row],[promien]]=40000,1,0)</f>
        <v>0</v>
      </c>
      <c r="F3890" s="1">
        <v>3.1742930591259642</v>
      </c>
      <c r="G3890" s="1">
        <v>3.270040553617104E-2</v>
      </c>
    </row>
    <row r="3891" spans="1:7">
      <c r="A3891">
        <v>72</v>
      </c>
      <c r="B3891">
        <v>257</v>
      </c>
      <c r="C3891" s="1">
        <f>(Tabela1[[#This Row],[x]]-H$3)*(Tabela1[[#This Row],[x]]-H$3) +(Tabela1[[#This Row],[y]]-H$4)*(Tabela1[[#This Row],[y]]-H$4)</f>
        <v>19633</v>
      </c>
      <c r="D3891" s="1">
        <f>IF(Tabela1[[#This Row],[promien]]&lt;40000,1,0)</f>
        <v>1</v>
      </c>
      <c r="E3891" s="1">
        <f>IF(Tabela1[[#This Row],[promien]]=40000,1,0)</f>
        <v>0</v>
      </c>
      <c r="F3891" s="1">
        <v>3.1745052685684914</v>
      </c>
      <c r="G3891" s="1">
        <v>3.291261497869824E-2</v>
      </c>
    </row>
    <row r="3892" spans="1:7">
      <c r="A3892">
        <v>329</v>
      </c>
      <c r="B3892">
        <v>204</v>
      </c>
      <c r="C3892" s="1">
        <f>(Tabela1[[#This Row],[x]]-H$3)*(Tabela1[[#This Row],[x]]-H$3) +(Tabela1[[#This Row],[y]]-H$4)*(Tabela1[[#This Row],[y]]-H$4)</f>
        <v>16657</v>
      </c>
      <c r="D3892" s="1">
        <f>IF(Tabela1[[#This Row],[promien]]&lt;40000,1,0)</f>
        <v>1</v>
      </c>
      <c r="E3892" s="1">
        <f>IF(Tabela1[[#This Row],[promien]]=40000,1,0)</f>
        <v>0</v>
      </c>
      <c r="F3892" s="1">
        <v>3.1747173689619732</v>
      </c>
      <c r="G3892" s="1">
        <v>3.3124715372180091E-2</v>
      </c>
    </row>
    <row r="3893" spans="1:7">
      <c r="A3893">
        <v>168</v>
      </c>
      <c r="B3893">
        <v>348</v>
      </c>
      <c r="C3893" s="1">
        <f>(Tabela1[[#This Row],[x]]-H$3)*(Tabela1[[#This Row],[x]]-H$3) +(Tabela1[[#This Row],[y]]-H$4)*(Tabela1[[#This Row],[y]]-H$4)</f>
        <v>22928</v>
      </c>
      <c r="D3893" s="1">
        <f>IF(Tabela1[[#This Row],[promien]]&lt;40000,1,0)</f>
        <v>1</v>
      </c>
      <c r="E3893" s="1">
        <f>IF(Tabela1[[#This Row],[promien]]=40000,1,0)</f>
        <v>0</v>
      </c>
      <c r="F3893" s="1">
        <v>3.1749293603904443</v>
      </c>
      <c r="G3893" s="1">
        <v>3.333670680065115E-2</v>
      </c>
    </row>
    <row r="3894" spans="1:7">
      <c r="A3894">
        <v>248</v>
      </c>
      <c r="B3894">
        <v>352</v>
      </c>
      <c r="C3894" s="1">
        <f>(Tabela1[[#This Row],[x]]-H$3)*(Tabela1[[#This Row],[x]]-H$3) +(Tabela1[[#This Row],[y]]-H$4)*(Tabela1[[#This Row],[y]]-H$4)</f>
        <v>25408</v>
      </c>
      <c r="D3894" s="1">
        <f>IF(Tabela1[[#This Row],[promien]]&lt;40000,1,0)</f>
        <v>1</v>
      </c>
      <c r="E3894" s="1">
        <f>IF(Tabela1[[#This Row],[promien]]=40000,1,0)</f>
        <v>0</v>
      </c>
      <c r="F3894" s="1">
        <v>3.1751412429378529</v>
      </c>
      <c r="G3894" s="1">
        <v>3.3548589348059821E-2</v>
      </c>
    </row>
    <row r="3895" spans="1:7">
      <c r="A3895">
        <v>42</v>
      </c>
      <c r="B3895">
        <v>267</v>
      </c>
      <c r="C3895" s="1">
        <f>(Tabela1[[#This Row],[x]]-H$3)*(Tabela1[[#This Row],[x]]-H$3) +(Tabela1[[#This Row],[y]]-H$4)*(Tabela1[[#This Row],[y]]-H$4)</f>
        <v>29453</v>
      </c>
      <c r="D3895" s="1">
        <f>IF(Tabela1[[#This Row],[promien]]&lt;40000,1,0)</f>
        <v>1</v>
      </c>
      <c r="E3895" s="1">
        <f>IF(Tabela1[[#This Row],[promien]]=40000,1,0)</f>
        <v>0</v>
      </c>
      <c r="F3895" s="1">
        <v>3.1753530166880615</v>
      </c>
      <c r="G3895" s="1">
        <v>3.3760363098268353E-2</v>
      </c>
    </row>
    <row r="3896" spans="1:7">
      <c r="A3896">
        <v>369</v>
      </c>
      <c r="B3896">
        <v>110</v>
      </c>
      <c r="C3896" s="1">
        <f>(Tabela1[[#This Row],[x]]-H$3)*(Tabela1[[#This Row],[x]]-H$3) +(Tabela1[[#This Row],[y]]-H$4)*(Tabela1[[#This Row],[y]]-H$4)</f>
        <v>36661</v>
      </c>
      <c r="D3896" s="1">
        <f>IF(Tabela1[[#This Row],[promien]]&lt;40000,1,0)</f>
        <v>1</v>
      </c>
      <c r="E3896" s="1">
        <f>IF(Tabela1[[#This Row],[promien]]=40000,1,0)</f>
        <v>0</v>
      </c>
      <c r="F3896" s="1">
        <v>3.175564681724846</v>
      </c>
      <c r="G3896" s="1">
        <v>3.3972028135052845E-2</v>
      </c>
    </row>
    <row r="3897" spans="1:7">
      <c r="A3897">
        <v>116</v>
      </c>
      <c r="B3897">
        <v>342</v>
      </c>
      <c r="C3897" s="1">
        <f>(Tabela1[[#This Row],[x]]-H$3)*(Tabela1[[#This Row],[x]]-H$3) +(Tabela1[[#This Row],[y]]-H$4)*(Tabela1[[#This Row],[y]]-H$4)</f>
        <v>27220</v>
      </c>
      <c r="D3897" s="1">
        <f>IF(Tabela1[[#This Row],[promien]]&lt;40000,1,0)</f>
        <v>1</v>
      </c>
      <c r="E3897" s="1">
        <f>IF(Tabela1[[#This Row],[promien]]=40000,1,0)</f>
        <v>0</v>
      </c>
      <c r="F3897" s="1">
        <v>3.1757762381318964</v>
      </c>
      <c r="G3897" s="1">
        <v>3.418358454210324E-2</v>
      </c>
    </row>
    <row r="3898" spans="1:7">
      <c r="A3898">
        <v>158</v>
      </c>
      <c r="B3898">
        <v>222</v>
      </c>
      <c r="C3898" s="1">
        <f>(Tabela1[[#This Row],[x]]-H$3)*(Tabela1[[#This Row],[x]]-H$3) +(Tabela1[[#This Row],[y]]-H$4)*(Tabela1[[#This Row],[y]]-H$4)</f>
        <v>2248</v>
      </c>
      <c r="D3898" s="1">
        <f>IF(Tabela1[[#This Row],[promien]]&lt;40000,1,0)</f>
        <v>1</v>
      </c>
      <c r="E3898" s="1">
        <f>IF(Tabela1[[#This Row],[promien]]=40000,1,0)</f>
        <v>0</v>
      </c>
      <c r="F3898" s="1">
        <v>3.1759876859928169</v>
      </c>
      <c r="G3898" s="1">
        <v>3.4395032403023773E-2</v>
      </c>
    </row>
    <row r="3899" spans="1:7">
      <c r="A3899">
        <v>228</v>
      </c>
      <c r="B3899">
        <v>268</v>
      </c>
      <c r="C3899" s="1">
        <f>(Tabela1[[#This Row],[x]]-H$3)*(Tabela1[[#This Row],[x]]-H$3) +(Tabela1[[#This Row],[y]]-H$4)*(Tabela1[[#This Row],[y]]-H$4)</f>
        <v>5408</v>
      </c>
      <c r="D3899" s="1">
        <f>IF(Tabela1[[#This Row],[promien]]&lt;40000,1,0)</f>
        <v>1</v>
      </c>
      <c r="E3899" s="1">
        <f>IF(Tabela1[[#This Row],[promien]]=40000,1,0)</f>
        <v>0</v>
      </c>
      <c r="F3899" s="1">
        <v>3.1761990253911261</v>
      </c>
      <c r="G3899" s="1">
        <v>3.4606371801332969E-2</v>
      </c>
    </row>
    <row r="3900" spans="1:7">
      <c r="A3900">
        <v>250</v>
      </c>
      <c r="B3900">
        <v>327</v>
      </c>
      <c r="C3900" s="1">
        <f>(Tabela1[[#This Row],[x]]-H$3)*(Tabela1[[#This Row],[x]]-H$3) +(Tabela1[[#This Row],[y]]-H$4)*(Tabela1[[#This Row],[y]]-H$4)</f>
        <v>18629</v>
      </c>
      <c r="D3900" s="1">
        <f>IF(Tabela1[[#This Row],[promien]]&lt;40000,1,0)</f>
        <v>1</v>
      </c>
      <c r="E3900" s="1">
        <f>IF(Tabela1[[#This Row],[promien]]=40000,1,0)</f>
        <v>0</v>
      </c>
      <c r="F3900" s="1">
        <v>3.1764102564102563</v>
      </c>
      <c r="G3900" s="1">
        <v>3.48176028204632E-2</v>
      </c>
    </row>
    <row r="3901" spans="1:7">
      <c r="A3901">
        <v>251</v>
      </c>
      <c r="B3901">
        <v>82</v>
      </c>
      <c r="C3901" s="1">
        <f>(Tabela1[[#This Row],[x]]-H$3)*(Tabela1[[#This Row],[x]]-H$3) +(Tabela1[[#This Row],[y]]-H$4)*(Tabela1[[#This Row],[y]]-H$4)</f>
        <v>16525</v>
      </c>
      <c r="D3901" s="1">
        <f>IF(Tabela1[[#This Row],[promien]]&lt;40000,1,0)</f>
        <v>1</v>
      </c>
      <c r="E3901" s="1">
        <f>IF(Tabela1[[#This Row],[promien]]=40000,1,0)</f>
        <v>0</v>
      </c>
      <c r="F3901" s="1">
        <v>3.1766213791335556</v>
      </c>
      <c r="G3901" s="1">
        <v>3.5028725543762462E-2</v>
      </c>
    </row>
    <row r="3902" spans="1:7">
      <c r="A3902">
        <v>36</v>
      </c>
      <c r="B3902">
        <v>373</v>
      </c>
      <c r="C3902" s="1">
        <f>(Tabela1[[#This Row],[x]]-H$3)*(Tabela1[[#This Row],[x]]-H$3) +(Tabela1[[#This Row],[y]]-H$4)*(Tabela1[[#This Row],[y]]-H$4)</f>
        <v>56825</v>
      </c>
      <c r="D3902" s="1">
        <f>IF(Tabela1[[#This Row],[promien]]&lt;40000,1,0)</f>
        <v>0</v>
      </c>
      <c r="E3902" s="1">
        <f>IF(Tabela1[[#This Row],[promien]]=40000,1,0)</f>
        <v>0</v>
      </c>
      <c r="F3902" s="1">
        <v>3.1758072783188109</v>
      </c>
      <c r="G3902" s="1">
        <v>3.4214624729017817E-2</v>
      </c>
    </row>
    <row r="3903" spans="1:7">
      <c r="A3903">
        <v>207</v>
      </c>
      <c r="B3903">
        <v>51</v>
      </c>
      <c r="C3903" s="1">
        <f>(Tabela1[[#This Row],[x]]-H$3)*(Tabela1[[#This Row],[x]]-H$3) +(Tabela1[[#This Row],[y]]-H$4)*(Tabela1[[#This Row],[y]]-H$4)</f>
        <v>22250</v>
      </c>
      <c r="D3903" s="1">
        <f>IF(Tabela1[[#This Row],[promien]]&lt;40000,1,0)</f>
        <v>1</v>
      </c>
      <c r="E3903" s="1">
        <f>IF(Tabela1[[#This Row],[promien]]=40000,1,0)</f>
        <v>0</v>
      </c>
      <c r="F3903" s="1">
        <v>3.1760184473481936</v>
      </c>
      <c r="G3903" s="1">
        <v>3.4425793758400491E-2</v>
      </c>
    </row>
    <row r="3904" spans="1:7">
      <c r="A3904">
        <v>355</v>
      </c>
      <c r="B3904">
        <v>180</v>
      </c>
      <c r="C3904" s="1">
        <f>(Tabela1[[#This Row],[x]]-H$3)*(Tabela1[[#This Row],[x]]-H$3) +(Tabela1[[#This Row],[y]]-H$4)*(Tabela1[[#This Row],[y]]-H$4)</f>
        <v>24425</v>
      </c>
      <c r="D3904" s="1">
        <f>IF(Tabela1[[#This Row],[promien]]&lt;40000,1,0)</f>
        <v>1</v>
      </c>
      <c r="E3904" s="1">
        <f>IF(Tabela1[[#This Row],[promien]]=40000,1,0)</f>
        <v>0</v>
      </c>
      <c r="F3904" s="1">
        <v>3.1762295081967213</v>
      </c>
      <c r="G3904" s="1">
        <v>3.4636854606928225E-2</v>
      </c>
    </row>
    <row r="3905" spans="1:7">
      <c r="A3905">
        <v>311</v>
      </c>
      <c r="B3905">
        <v>196</v>
      </c>
      <c r="C3905" s="1">
        <f>(Tabela1[[#This Row],[x]]-H$3)*(Tabela1[[#This Row],[x]]-H$3) +(Tabela1[[#This Row],[y]]-H$4)*(Tabela1[[#This Row],[y]]-H$4)</f>
        <v>12337</v>
      </c>
      <c r="D3905" s="1">
        <f>IF(Tabela1[[#This Row],[promien]]&lt;40000,1,0)</f>
        <v>1</v>
      </c>
      <c r="E3905" s="1">
        <f>IF(Tabela1[[#This Row],[promien]]=40000,1,0)</f>
        <v>0</v>
      </c>
      <c r="F3905" s="1">
        <v>3.1764404609475032</v>
      </c>
      <c r="G3905" s="1">
        <v>3.4847807357710092E-2</v>
      </c>
    </row>
    <row r="3906" spans="1:7">
      <c r="A3906">
        <v>173</v>
      </c>
      <c r="B3906">
        <v>175</v>
      </c>
      <c r="C3906" s="1">
        <f>(Tabela1[[#This Row],[x]]-H$3)*(Tabela1[[#This Row],[x]]-H$3) +(Tabela1[[#This Row],[y]]-H$4)*(Tabela1[[#This Row],[y]]-H$4)</f>
        <v>1354</v>
      </c>
      <c r="D3906" s="1">
        <f>IF(Tabela1[[#This Row],[promien]]&lt;40000,1,0)</f>
        <v>1</v>
      </c>
      <c r="E3906" s="1">
        <f>IF(Tabela1[[#This Row],[promien]]=40000,1,0)</f>
        <v>0</v>
      </c>
      <c r="F3906" s="1">
        <v>3.1766513056835639</v>
      </c>
      <c r="G3906" s="1">
        <v>3.5058652093770792E-2</v>
      </c>
    </row>
    <row r="3907" spans="1:7">
      <c r="A3907">
        <v>133</v>
      </c>
      <c r="B3907">
        <v>62</v>
      </c>
      <c r="C3907" s="1">
        <f>(Tabela1[[#This Row],[x]]-H$3)*(Tabela1[[#This Row],[x]]-H$3) +(Tabela1[[#This Row],[y]]-H$4)*(Tabela1[[#This Row],[y]]-H$4)</f>
        <v>23533</v>
      </c>
      <c r="D3907" s="1">
        <f>IF(Tabela1[[#This Row],[promien]]&lt;40000,1,0)</f>
        <v>1</v>
      </c>
      <c r="E3907" s="1">
        <f>IF(Tabela1[[#This Row],[promien]]=40000,1,0)</f>
        <v>0</v>
      </c>
      <c r="F3907" s="1">
        <v>3.1768620424878424</v>
      </c>
      <c r="G3907" s="1">
        <v>3.5269388898049314E-2</v>
      </c>
    </row>
    <row r="3908" spans="1:7">
      <c r="A3908">
        <v>130</v>
      </c>
      <c r="B3908">
        <v>339</v>
      </c>
      <c r="C3908" s="1">
        <f>(Tabela1[[#This Row],[x]]-H$3)*(Tabela1[[#This Row],[x]]-H$3) +(Tabela1[[#This Row],[y]]-H$4)*(Tabela1[[#This Row],[y]]-H$4)</f>
        <v>24221</v>
      </c>
      <c r="D3908" s="1">
        <f>IF(Tabela1[[#This Row],[promien]]&lt;40000,1,0)</f>
        <v>1</v>
      </c>
      <c r="E3908" s="1">
        <f>IF(Tabela1[[#This Row],[promien]]=40000,1,0)</f>
        <v>0</v>
      </c>
      <c r="F3908" s="1">
        <v>3.1770726714431934</v>
      </c>
      <c r="G3908" s="1">
        <v>3.548001785340027E-2</v>
      </c>
    </row>
    <row r="3909" spans="1:7">
      <c r="A3909">
        <v>138</v>
      </c>
      <c r="B3909">
        <v>319</v>
      </c>
      <c r="C3909" s="1">
        <f>(Tabela1[[#This Row],[x]]-H$3)*(Tabela1[[#This Row],[x]]-H$3) +(Tabela1[[#This Row],[y]]-H$4)*(Tabela1[[#This Row],[y]]-H$4)</f>
        <v>18005</v>
      </c>
      <c r="D3909" s="1">
        <f>IF(Tabela1[[#This Row],[promien]]&lt;40000,1,0)</f>
        <v>1</v>
      </c>
      <c r="E3909" s="1">
        <f>IF(Tabela1[[#This Row],[promien]]=40000,1,0)</f>
        <v>0</v>
      </c>
      <c r="F3909" s="1">
        <v>3.177283192632387</v>
      </c>
      <c r="G3909" s="1">
        <v>3.5690539042593894E-2</v>
      </c>
    </row>
    <row r="3910" spans="1:7">
      <c r="A3910">
        <v>64</v>
      </c>
      <c r="B3910">
        <v>354</v>
      </c>
      <c r="C3910" s="1">
        <f>(Tabela1[[#This Row],[x]]-H$3)*(Tabela1[[#This Row],[x]]-H$3) +(Tabela1[[#This Row],[y]]-H$4)*(Tabela1[[#This Row],[y]]-H$4)</f>
        <v>42212</v>
      </c>
      <c r="D3910" s="1">
        <f>IF(Tabela1[[#This Row],[promien]]&lt;40000,1,0)</f>
        <v>0</v>
      </c>
      <c r="E3910" s="1">
        <f>IF(Tabela1[[#This Row],[promien]]=40000,1,0)</f>
        <v>0</v>
      </c>
      <c r="F3910" s="1">
        <v>3.1764705882352939</v>
      </c>
      <c r="G3910" s="1">
        <v>3.4877934645500819E-2</v>
      </c>
    </row>
    <row r="3911" spans="1:7">
      <c r="A3911">
        <v>299</v>
      </c>
      <c r="B3911">
        <v>344</v>
      </c>
      <c r="C3911" s="1">
        <f>(Tabela1[[#This Row],[x]]-H$3)*(Tabela1[[#This Row],[x]]-H$3) +(Tabela1[[#This Row],[y]]-H$4)*(Tabela1[[#This Row],[y]]-H$4)</f>
        <v>30537</v>
      </c>
      <c r="D3911" s="1">
        <f>IF(Tabela1[[#This Row],[promien]]&lt;40000,1,0)</f>
        <v>1</v>
      </c>
      <c r="E3911" s="1">
        <f>IF(Tabela1[[#This Row],[promien]]=40000,1,0)</f>
        <v>0</v>
      </c>
      <c r="F3911" s="1">
        <v>3.1766811557146508</v>
      </c>
      <c r="G3911" s="1">
        <v>3.5088502124857701E-2</v>
      </c>
    </row>
    <row r="3912" spans="1:7">
      <c r="A3912">
        <v>286</v>
      </c>
      <c r="B3912">
        <v>323</v>
      </c>
      <c r="C3912" s="1">
        <f>(Tabela1[[#This Row],[x]]-H$3)*(Tabela1[[#This Row],[x]]-H$3) +(Tabela1[[#This Row],[y]]-H$4)*(Tabela1[[#This Row],[y]]-H$4)</f>
        <v>22525</v>
      </c>
      <c r="D3912" s="1">
        <f>IF(Tabela1[[#This Row],[promien]]&lt;40000,1,0)</f>
        <v>1</v>
      </c>
      <c r="E3912" s="1">
        <f>IF(Tabela1[[#This Row],[promien]]=40000,1,0)</f>
        <v>0</v>
      </c>
      <c r="F3912" s="1">
        <v>3.1768916155419222</v>
      </c>
      <c r="G3912" s="1">
        <v>3.5298961952129115E-2</v>
      </c>
    </row>
    <row r="3913" spans="1:7">
      <c r="A3913">
        <v>371</v>
      </c>
      <c r="B3913">
        <v>272</v>
      </c>
      <c r="C3913" s="1">
        <f>(Tabela1[[#This Row],[x]]-H$3)*(Tabela1[[#This Row],[x]]-H$3) +(Tabela1[[#This Row],[y]]-H$4)*(Tabela1[[#This Row],[y]]-H$4)</f>
        <v>34425</v>
      </c>
      <c r="D3913" s="1">
        <f>IF(Tabela1[[#This Row],[promien]]&lt;40000,1,0)</f>
        <v>1</v>
      </c>
      <c r="E3913" s="1">
        <f>IF(Tabela1[[#This Row],[promien]]=40000,1,0)</f>
        <v>0</v>
      </c>
      <c r="F3913" s="1">
        <v>3.1771019677996422</v>
      </c>
      <c r="G3913" s="1">
        <v>3.5509314209849041E-2</v>
      </c>
    </row>
    <row r="3914" spans="1:7">
      <c r="A3914">
        <v>32</v>
      </c>
      <c r="B3914">
        <v>287</v>
      </c>
      <c r="C3914" s="1">
        <f>(Tabela1[[#This Row],[x]]-H$3)*(Tabela1[[#This Row],[x]]-H$3) +(Tabela1[[#This Row],[y]]-H$4)*(Tabela1[[#This Row],[y]]-H$4)</f>
        <v>35793</v>
      </c>
      <c r="D3914" s="1">
        <f>IF(Tabela1[[#This Row],[promien]]&lt;40000,1,0)</f>
        <v>1</v>
      </c>
      <c r="E3914" s="1">
        <f>IF(Tabela1[[#This Row],[promien]]=40000,1,0)</f>
        <v>0</v>
      </c>
      <c r="F3914" s="1">
        <v>3.1773122125702606</v>
      </c>
      <c r="G3914" s="1">
        <v>3.5719558980467525E-2</v>
      </c>
    </row>
    <row r="3915" spans="1:7">
      <c r="A3915">
        <v>106</v>
      </c>
      <c r="B3915">
        <v>76</v>
      </c>
      <c r="C3915" s="1">
        <f>(Tabela1[[#This Row],[x]]-H$3)*(Tabela1[[#This Row],[x]]-H$3) +(Tabela1[[#This Row],[y]]-H$4)*(Tabela1[[#This Row],[y]]-H$4)</f>
        <v>24212</v>
      </c>
      <c r="D3915" s="1">
        <f>IF(Tabela1[[#This Row],[promien]]&lt;40000,1,0)</f>
        <v>1</v>
      </c>
      <c r="E3915" s="1">
        <f>IF(Tabela1[[#This Row],[promien]]=40000,1,0)</f>
        <v>0</v>
      </c>
      <c r="F3915" s="1">
        <v>3.1775223499361429</v>
      </c>
      <c r="G3915" s="1">
        <v>3.5929696346349793E-2</v>
      </c>
    </row>
    <row r="3916" spans="1:7">
      <c r="A3916">
        <v>308</v>
      </c>
      <c r="B3916">
        <v>169</v>
      </c>
      <c r="C3916" s="1">
        <f>(Tabela1[[#This Row],[x]]-H$3)*(Tabela1[[#This Row],[x]]-H$3) +(Tabela1[[#This Row],[y]]-H$4)*(Tabela1[[#This Row],[y]]-H$4)</f>
        <v>12625</v>
      </c>
      <c r="D3916" s="1">
        <f>IF(Tabela1[[#This Row],[promien]]&lt;40000,1,0)</f>
        <v>1</v>
      </c>
      <c r="E3916" s="1">
        <f>IF(Tabela1[[#This Row],[promien]]=40000,1,0)</f>
        <v>0</v>
      </c>
      <c r="F3916" s="1">
        <v>3.1777323799795711</v>
      </c>
      <c r="G3916" s="1">
        <v>3.6139726389778026E-2</v>
      </c>
    </row>
    <row r="3917" spans="1:7">
      <c r="A3917">
        <v>53</v>
      </c>
      <c r="B3917">
        <v>81</v>
      </c>
      <c r="C3917" s="1">
        <f>(Tabela1[[#This Row],[x]]-H$3)*(Tabela1[[#This Row],[x]]-H$3) +(Tabela1[[#This Row],[y]]-H$4)*(Tabela1[[#This Row],[y]]-H$4)</f>
        <v>35770</v>
      </c>
      <c r="D3917" s="1">
        <f>IF(Tabela1[[#This Row],[promien]]&lt;40000,1,0)</f>
        <v>1</v>
      </c>
      <c r="E3917" s="1">
        <f>IF(Tabela1[[#This Row],[promien]]=40000,1,0)</f>
        <v>0</v>
      </c>
      <c r="F3917" s="1">
        <v>3.1779423027827418</v>
      </c>
      <c r="G3917" s="1">
        <v>3.6349649192948696E-2</v>
      </c>
    </row>
    <row r="3918" spans="1:7">
      <c r="A3918">
        <v>199</v>
      </c>
      <c r="B3918">
        <v>365</v>
      </c>
      <c r="C3918" s="1">
        <f>(Tabela1[[#This Row],[x]]-H$3)*(Tabela1[[#This Row],[x]]-H$3) +(Tabela1[[#This Row],[y]]-H$4)*(Tabela1[[#This Row],[y]]-H$4)</f>
        <v>27226</v>
      </c>
      <c r="D3918" s="1">
        <f>IF(Tabela1[[#This Row],[promien]]&lt;40000,1,0)</f>
        <v>1</v>
      </c>
      <c r="E3918" s="1">
        <f>IF(Tabela1[[#This Row],[promien]]=40000,1,0)</f>
        <v>0</v>
      </c>
      <c r="F3918" s="1">
        <v>3.1781521184277692</v>
      </c>
      <c r="G3918" s="1">
        <v>3.6559464837976119E-2</v>
      </c>
    </row>
    <row r="3919" spans="1:7">
      <c r="A3919">
        <v>11</v>
      </c>
      <c r="B3919">
        <v>71</v>
      </c>
      <c r="C3919" s="1">
        <f>(Tabela1[[#This Row],[x]]-H$3)*(Tabela1[[#This Row],[x]]-H$3) +(Tabela1[[#This Row],[y]]-H$4)*(Tabela1[[#This Row],[y]]-H$4)</f>
        <v>52362</v>
      </c>
      <c r="D3919" s="1">
        <f>IF(Tabela1[[#This Row],[promien]]&lt;40000,1,0)</f>
        <v>0</v>
      </c>
      <c r="E3919" s="1">
        <f>IF(Tabela1[[#This Row],[promien]]=40000,1,0)</f>
        <v>0</v>
      </c>
      <c r="F3919" s="1">
        <v>3.1773411584587907</v>
      </c>
      <c r="G3919" s="1">
        <v>3.574850486899761E-2</v>
      </c>
    </row>
    <row r="3920" spans="1:7">
      <c r="A3920">
        <v>227</v>
      </c>
      <c r="B3920">
        <v>101</v>
      </c>
      <c r="C3920" s="1">
        <f>(Tabela1[[#This Row],[x]]-H$3)*(Tabela1[[#This Row],[x]]-H$3) +(Tabela1[[#This Row],[y]]-H$4)*(Tabela1[[#This Row],[y]]-H$4)</f>
        <v>10530</v>
      </c>
      <c r="D3920" s="1">
        <f>IF(Tabela1[[#This Row],[promien]]&lt;40000,1,0)</f>
        <v>1</v>
      </c>
      <c r="E3920" s="1">
        <f>IF(Tabela1[[#This Row],[promien]]=40000,1,0)</f>
        <v>0</v>
      </c>
      <c r="F3920" s="1">
        <v>3.1775510204081634</v>
      </c>
      <c r="G3920" s="1">
        <v>3.595836681837028E-2</v>
      </c>
    </row>
    <row r="3921" spans="1:7">
      <c r="A3921">
        <v>27</v>
      </c>
      <c r="B3921">
        <v>328</v>
      </c>
      <c r="C3921" s="1">
        <f>(Tabela1[[#This Row],[x]]-H$3)*(Tabela1[[#This Row],[x]]-H$3) +(Tabela1[[#This Row],[y]]-H$4)*(Tabela1[[#This Row],[y]]-H$4)</f>
        <v>46313</v>
      </c>
      <c r="D3921" s="1">
        <f>IF(Tabela1[[#This Row],[promien]]&lt;40000,1,0)</f>
        <v>0</v>
      </c>
      <c r="E3921" s="1">
        <f>IF(Tabela1[[#This Row],[promien]]=40000,1,0)</f>
        <v>0</v>
      </c>
      <c r="F3921" s="1">
        <v>3.1767406273909717</v>
      </c>
      <c r="G3921" s="1">
        <v>3.5147973801178622E-2</v>
      </c>
    </row>
    <row r="3922" spans="1:7">
      <c r="A3922">
        <v>274</v>
      </c>
      <c r="B3922">
        <v>192</v>
      </c>
      <c r="C3922" s="1">
        <f>(Tabela1[[#This Row],[x]]-H$3)*(Tabela1[[#This Row],[x]]-H$3) +(Tabela1[[#This Row],[y]]-H$4)*(Tabela1[[#This Row],[y]]-H$4)</f>
        <v>5540</v>
      </c>
      <c r="D3922" s="1">
        <f>IF(Tabela1[[#This Row],[promien]]&lt;40000,1,0)</f>
        <v>1</v>
      </c>
      <c r="E3922" s="1">
        <f>IF(Tabela1[[#This Row],[promien]]=40000,1,0)</f>
        <v>0</v>
      </c>
      <c r="F3922" s="1">
        <v>3.1769505354411014</v>
      </c>
      <c r="G3922" s="1">
        <v>3.5357881851308282E-2</v>
      </c>
    </row>
    <row r="3923" spans="1:7">
      <c r="A3923">
        <v>59</v>
      </c>
      <c r="B3923">
        <v>374</v>
      </c>
      <c r="C3923" s="1">
        <f>(Tabela1[[#This Row],[x]]-H$3)*(Tabela1[[#This Row],[x]]-H$3) +(Tabela1[[#This Row],[y]]-H$4)*(Tabela1[[#This Row],[y]]-H$4)</f>
        <v>50157</v>
      </c>
      <c r="D3923" s="1">
        <f>IF(Tabela1[[#This Row],[promien]]&lt;40000,1,0)</f>
        <v>0</v>
      </c>
      <c r="E3923" s="1">
        <f>IF(Tabela1[[#This Row],[promien]]=40000,1,0)</f>
        <v>0</v>
      </c>
      <c r="F3923" s="1">
        <v>3.1761407086413458</v>
      </c>
      <c r="G3923" s="1">
        <v>3.4548055051552673E-2</v>
      </c>
    </row>
    <row r="3924" spans="1:7">
      <c r="A3924">
        <v>337</v>
      </c>
      <c r="B3924">
        <v>94</v>
      </c>
      <c r="C3924" s="1">
        <f>(Tabela1[[#This Row],[x]]-H$3)*(Tabela1[[#This Row],[x]]-H$3) +(Tabela1[[#This Row],[y]]-H$4)*(Tabela1[[#This Row],[y]]-H$4)</f>
        <v>30005</v>
      </c>
      <c r="D3924" s="1">
        <f>IF(Tabela1[[#This Row],[promien]]&lt;40000,1,0)</f>
        <v>1</v>
      </c>
      <c r="E3924" s="1">
        <f>IF(Tabela1[[#This Row],[promien]]=40000,1,0)</f>
        <v>0</v>
      </c>
      <c r="F3924" s="1">
        <v>3.1763506625891949</v>
      </c>
      <c r="G3924" s="1">
        <v>3.4758008999401735E-2</v>
      </c>
    </row>
    <row r="3925" spans="1:7">
      <c r="A3925">
        <v>294</v>
      </c>
      <c r="B3925">
        <v>50</v>
      </c>
      <c r="C3925" s="1">
        <f>(Tabela1[[#This Row],[x]]-H$3)*(Tabela1[[#This Row],[x]]-H$3) +(Tabela1[[#This Row],[y]]-H$4)*(Tabela1[[#This Row],[y]]-H$4)</f>
        <v>31336</v>
      </c>
      <c r="D3925" s="1">
        <f>IF(Tabela1[[#This Row],[promien]]&lt;40000,1,0)</f>
        <v>1</v>
      </c>
      <c r="E3925" s="1">
        <f>IF(Tabela1[[#This Row],[promien]]=40000,1,0)</f>
        <v>0</v>
      </c>
      <c r="F3925" s="1">
        <v>3.17656050955414</v>
      </c>
      <c r="G3925" s="1">
        <v>3.4967855964346928E-2</v>
      </c>
    </row>
    <row r="3926" spans="1:7">
      <c r="A3926">
        <v>9</v>
      </c>
      <c r="B3926">
        <v>336</v>
      </c>
      <c r="C3926" s="1">
        <f>(Tabela1[[#This Row],[x]]-H$3)*(Tabela1[[#This Row],[x]]-H$3) +(Tabela1[[#This Row],[y]]-H$4)*(Tabela1[[#This Row],[y]]-H$4)</f>
        <v>54977</v>
      </c>
      <c r="D3926" s="1">
        <f>IF(Tabela1[[#This Row],[promien]]&lt;40000,1,0)</f>
        <v>0</v>
      </c>
      <c r="E3926" s="1">
        <f>IF(Tabela1[[#This Row],[promien]]=40000,1,0)</f>
        <v>0</v>
      </c>
      <c r="F3926" s="1">
        <v>3.1757514009169636</v>
      </c>
      <c r="G3926" s="1">
        <v>3.4158747327170502E-2</v>
      </c>
    </row>
    <row r="3927" spans="1:7">
      <c r="A3927">
        <v>396</v>
      </c>
      <c r="B3927">
        <v>229</v>
      </c>
      <c r="C3927" s="1">
        <f>(Tabela1[[#This Row],[x]]-H$3)*(Tabela1[[#This Row],[x]]-H$3) +(Tabela1[[#This Row],[y]]-H$4)*(Tabela1[[#This Row],[y]]-H$4)</f>
        <v>39257</v>
      </c>
      <c r="D3927" s="1">
        <f>IF(Tabela1[[#This Row],[promien]]&lt;40000,1,0)</f>
        <v>1</v>
      </c>
      <c r="E3927" s="1">
        <f>IF(Tabela1[[#This Row],[promien]]=40000,1,0)</f>
        <v>0</v>
      </c>
      <c r="F3927" s="1">
        <v>3.1759612936083523</v>
      </c>
      <c r="G3927" s="1">
        <v>3.4368640018559216E-2</v>
      </c>
    </row>
    <row r="3928" spans="1:7">
      <c r="A3928">
        <v>354</v>
      </c>
      <c r="B3928">
        <v>140</v>
      </c>
      <c r="C3928" s="1">
        <f>(Tabela1[[#This Row],[x]]-H$3)*(Tabela1[[#This Row],[x]]-H$3) +(Tabela1[[#This Row],[y]]-H$4)*(Tabela1[[#This Row],[y]]-H$4)</f>
        <v>27316</v>
      </c>
      <c r="D3928" s="1">
        <f>IF(Tabela1[[#This Row],[promien]]&lt;40000,1,0)</f>
        <v>1</v>
      </c>
      <c r="E3928" s="1">
        <f>IF(Tabela1[[#This Row],[promien]]=40000,1,0)</f>
        <v>0</v>
      </c>
      <c r="F3928" s="1">
        <v>3.1761710794297353</v>
      </c>
      <c r="G3928" s="1">
        <v>3.4578425839942195E-2</v>
      </c>
    </row>
    <row r="3929" spans="1:7">
      <c r="A3929">
        <v>177</v>
      </c>
      <c r="B3929">
        <v>197</v>
      </c>
      <c r="C3929" s="1">
        <f>(Tabela1[[#This Row],[x]]-H$3)*(Tabela1[[#This Row],[x]]-H$3) +(Tabela1[[#This Row],[y]]-H$4)*(Tabela1[[#This Row],[y]]-H$4)</f>
        <v>538</v>
      </c>
      <c r="D3929" s="1">
        <f>IF(Tabela1[[#This Row],[promien]]&lt;40000,1,0)</f>
        <v>1</v>
      </c>
      <c r="E3929" s="1">
        <f>IF(Tabela1[[#This Row],[promien]]=40000,1,0)</f>
        <v>0</v>
      </c>
      <c r="F3929" s="1">
        <v>3.1763807584627131</v>
      </c>
      <c r="G3929" s="1">
        <v>3.4788104872919945E-2</v>
      </c>
    </row>
    <row r="3930" spans="1:7">
      <c r="A3930">
        <v>147</v>
      </c>
      <c r="B3930">
        <v>223</v>
      </c>
      <c r="C3930" s="1">
        <f>(Tabela1[[#This Row],[x]]-H$3)*(Tabela1[[#This Row],[x]]-H$3) +(Tabela1[[#This Row],[y]]-H$4)*(Tabela1[[#This Row],[y]]-H$4)</f>
        <v>3338</v>
      </c>
      <c r="D3930" s="1">
        <f>IF(Tabela1[[#This Row],[promien]]&lt;40000,1,0)</f>
        <v>1</v>
      </c>
      <c r="E3930" s="1">
        <f>IF(Tabela1[[#This Row],[promien]]=40000,1,0)</f>
        <v>0</v>
      </c>
      <c r="F3930" s="1">
        <v>3.1765903307888039</v>
      </c>
      <c r="G3930" s="1">
        <v>3.4997677199010813E-2</v>
      </c>
    </row>
    <row r="3931" spans="1:7">
      <c r="A3931">
        <v>149</v>
      </c>
      <c r="B3931">
        <v>333</v>
      </c>
      <c r="C3931" s="1">
        <f>(Tabela1[[#This Row],[x]]-H$3)*(Tabela1[[#This Row],[x]]-H$3) +(Tabela1[[#This Row],[y]]-H$4)*(Tabela1[[#This Row],[y]]-H$4)</f>
        <v>20290</v>
      </c>
      <c r="D3931" s="1">
        <f>IF(Tabela1[[#This Row],[promien]]&lt;40000,1,0)</f>
        <v>1</v>
      </c>
      <c r="E3931" s="1">
        <f>IF(Tabela1[[#This Row],[promien]]=40000,1,0)</f>
        <v>0</v>
      </c>
      <c r="F3931" s="1">
        <v>3.1767997964894428</v>
      </c>
      <c r="G3931" s="1">
        <v>3.5207142899649657E-2</v>
      </c>
    </row>
    <row r="3932" spans="1:7">
      <c r="A3932">
        <v>389</v>
      </c>
      <c r="B3932">
        <v>244</v>
      </c>
      <c r="C3932" s="1">
        <f>(Tabela1[[#This Row],[x]]-H$3)*(Tabela1[[#This Row],[x]]-H$3) +(Tabela1[[#This Row],[y]]-H$4)*(Tabela1[[#This Row],[y]]-H$4)</f>
        <v>37657</v>
      </c>
      <c r="D3932" s="1">
        <f>IF(Tabela1[[#This Row],[promien]]&lt;40000,1,0)</f>
        <v>1</v>
      </c>
      <c r="E3932" s="1">
        <f>IF(Tabela1[[#This Row],[promien]]=40000,1,0)</f>
        <v>0</v>
      </c>
      <c r="F3932" s="1">
        <v>3.1770091556459819</v>
      </c>
      <c r="G3932" s="1">
        <v>3.5416502056188737E-2</v>
      </c>
    </row>
    <row r="3933" spans="1:7">
      <c r="A3933">
        <v>239</v>
      </c>
      <c r="B3933">
        <v>241</v>
      </c>
      <c r="C3933" s="1">
        <f>(Tabela1[[#This Row],[x]]-H$3)*(Tabela1[[#This Row],[x]]-H$3) +(Tabela1[[#This Row],[y]]-H$4)*(Tabela1[[#This Row],[y]]-H$4)</f>
        <v>3202</v>
      </c>
      <c r="D3933" s="1">
        <f>IF(Tabela1[[#This Row],[promien]]&lt;40000,1,0)</f>
        <v>1</v>
      </c>
      <c r="E3933" s="1">
        <f>IF(Tabela1[[#This Row],[promien]]=40000,1,0)</f>
        <v>0</v>
      </c>
      <c r="F3933" s="1">
        <v>3.1772184083396899</v>
      </c>
      <c r="G3933" s="1">
        <v>3.5625754749896821E-2</v>
      </c>
    </row>
    <row r="3934" spans="1:7">
      <c r="A3934">
        <v>313</v>
      </c>
      <c r="B3934">
        <v>306</v>
      </c>
      <c r="C3934" s="1">
        <f>(Tabela1[[#This Row],[x]]-H$3)*(Tabela1[[#This Row],[x]]-H$3) +(Tabela1[[#This Row],[y]]-H$4)*(Tabela1[[#This Row],[y]]-H$4)</f>
        <v>24005</v>
      </c>
      <c r="D3934" s="1">
        <f>IF(Tabela1[[#This Row],[promien]]&lt;40000,1,0)</f>
        <v>1</v>
      </c>
      <c r="E3934" s="1">
        <f>IF(Tabela1[[#This Row],[promien]]=40000,1,0)</f>
        <v>0</v>
      </c>
      <c r="F3934" s="1">
        <v>3.1774275546517541</v>
      </c>
      <c r="G3934" s="1">
        <v>3.5834901061960966E-2</v>
      </c>
    </row>
    <row r="3935" spans="1:7">
      <c r="A3935">
        <v>56</v>
      </c>
      <c r="B3935">
        <v>314</v>
      </c>
      <c r="C3935" s="1">
        <f>(Tabela1[[#This Row],[x]]-H$3)*(Tabela1[[#This Row],[x]]-H$3) +(Tabela1[[#This Row],[y]]-H$4)*(Tabela1[[#This Row],[y]]-H$4)</f>
        <v>33732</v>
      </c>
      <c r="D3935" s="1">
        <f>IF(Tabela1[[#This Row],[promien]]&lt;40000,1,0)</f>
        <v>1</v>
      </c>
      <c r="E3935" s="1">
        <f>IF(Tabela1[[#This Row],[promien]]=40000,1,0)</f>
        <v>0</v>
      </c>
      <c r="F3935" s="1">
        <v>3.1776365946632783</v>
      </c>
      <c r="G3935" s="1">
        <v>3.6043941073485186E-2</v>
      </c>
    </row>
    <row r="3936" spans="1:7">
      <c r="A3936">
        <v>63</v>
      </c>
      <c r="B3936">
        <v>235</v>
      </c>
      <c r="C3936" s="1">
        <f>(Tabela1[[#This Row],[x]]-H$3)*(Tabela1[[#This Row],[x]]-H$3) +(Tabela1[[#This Row],[y]]-H$4)*(Tabela1[[#This Row],[y]]-H$4)</f>
        <v>19994</v>
      </c>
      <c r="D3936" s="1">
        <f>IF(Tabela1[[#This Row],[promien]]&lt;40000,1,0)</f>
        <v>1</v>
      </c>
      <c r="E3936" s="1">
        <f>IF(Tabela1[[#This Row],[promien]]=40000,1,0)</f>
        <v>0</v>
      </c>
      <c r="F3936" s="1">
        <v>3.1778455284552845</v>
      </c>
      <c r="G3936" s="1">
        <v>3.6252874865491336E-2</v>
      </c>
    </row>
    <row r="3937" spans="1:7">
      <c r="A3937">
        <v>399</v>
      </c>
      <c r="B3937">
        <v>314</v>
      </c>
      <c r="C3937" s="1">
        <f>(Tabela1[[#This Row],[x]]-H$3)*(Tabela1[[#This Row],[x]]-H$3) +(Tabela1[[#This Row],[y]]-H$4)*(Tabela1[[#This Row],[y]]-H$4)</f>
        <v>52597</v>
      </c>
      <c r="D3937" s="1">
        <f>IF(Tabela1[[#This Row],[promien]]&lt;40000,1,0)</f>
        <v>0</v>
      </c>
      <c r="E3937" s="1">
        <f>IF(Tabela1[[#This Row],[promien]]=40000,1,0)</f>
        <v>0</v>
      </c>
      <c r="F3937" s="1">
        <v>3.177038354076708</v>
      </c>
      <c r="G3937" s="1">
        <v>3.5445700486914866E-2</v>
      </c>
    </row>
    <row r="3938" spans="1:7">
      <c r="A3938">
        <v>25</v>
      </c>
      <c r="B3938">
        <v>306</v>
      </c>
      <c r="C3938" s="1">
        <f>(Tabela1[[#This Row],[x]]-H$3)*(Tabela1[[#This Row],[x]]-H$3) +(Tabela1[[#This Row],[y]]-H$4)*(Tabela1[[#This Row],[y]]-H$4)</f>
        <v>41861</v>
      </c>
      <c r="D3938" s="1">
        <f>IF(Tabela1[[#This Row],[promien]]&lt;40000,1,0)</f>
        <v>0</v>
      </c>
      <c r="E3938" s="1">
        <f>IF(Tabela1[[#This Row],[promien]]=40000,1,0)</f>
        <v>0</v>
      </c>
      <c r="F3938" s="1">
        <v>3.1762315896394107</v>
      </c>
      <c r="G3938" s="1">
        <v>3.4638936049617541E-2</v>
      </c>
    </row>
    <row r="3939" spans="1:7">
      <c r="A3939">
        <v>317</v>
      </c>
      <c r="B3939">
        <v>152</v>
      </c>
      <c r="C3939" s="1">
        <f>(Tabela1[[#This Row],[x]]-H$3)*(Tabela1[[#This Row],[x]]-H$3) +(Tabela1[[#This Row],[y]]-H$4)*(Tabela1[[#This Row],[y]]-H$4)</f>
        <v>15993</v>
      </c>
      <c r="D3939" s="1">
        <f>IF(Tabela1[[#This Row],[promien]]&lt;40000,1,0)</f>
        <v>1</v>
      </c>
      <c r="E3939" s="1">
        <f>IF(Tabela1[[#This Row],[promien]]=40000,1,0)</f>
        <v>0</v>
      </c>
      <c r="F3939" s="1">
        <v>3.1764407209951764</v>
      </c>
      <c r="G3939" s="1">
        <v>3.4848067405383265E-2</v>
      </c>
    </row>
    <row r="3940" spans="1:7">
      <c r="A3940">
        <v>111</v>
      </c>
      <c r="B3940">
        <v>391</v>
      </c>
      <c r="C3940" s="1">
        <f>(Tabela1[[#This Row],[x]]-H$3)*(Tabela1[[#This Row],[x]]-H$3) +(Tabela1[[#This Row],[y]]-H$4)*(Tabela1[[#This Row],[y]]-H$4)</f>
        <v>44402</v>
      </c>
      <c r="D3940" s="1">
        <f>IF(Tabela1[[#This Row],[promien]]&lt;40000,1,0)</f>
        <v>0</v>
      </c>
      <c r="E3940" s="1">
        <f>IF(Tabela1[[#This Row],[promien]]=40000,1,0)</f>
        <v>0</v>
      </c>
      <c r="F3940" s="1">
        <v>3.1756345177664973</v>
      </c>
      <c r="G3940" s="1">
        <v>3.4041864176704184E-2</v>
      </c>
    </row>
    <row r="3941" spans="1:7">
      <c r="A3941">
        <v>123</v>
      </c>
      <c r="B3941">
        <v>119</v>
      </c>
      <c r="C3941" s="1">
        <f>(Tabela1[[#This Row],[x]]-H$3)*(Tabela1[[#This Row],[x]]-H$3) +(Tabela1[[#This Row],[y]]-H$4)*(Tabela1[[#This Row],[y]]-H$4)</f>
        <v>12490</v>
      </c>
      <c r="D3941" s="1">
        <f>IF(Tabela1[[#This Row],[promien]]&lt;40000,1,0)</f>
        <v>1</v>
      </c>
      <c r="E3941" s="1">
        <f>IF(Tabela1[[#This Row],[promien]]=40000,1,0)</f>
        <v>0</v>
      </c>
      <c r="F3941" s="1">
        <v>3.1758436944937833</v>
      </c>
      <c r="G3941" s="1">
        <v>3.4251040903990226E-2</v>
      </c>
    </row>
    <row r="3942" spans="1:7">
      <c r="A3942">
        <v>388</v>
      </c>
      <c r="B3942">
        <v>114</v>
      </c>
      <c r="C3942" s="1">
        <f>(Tabela1[[#This Row],[x]]-H$3)*(Tabela1[[#This Row],[x]]-H$3) +(Tabela1[[#This Row],[y]]-H$4)*(Tabela1[[#This Row],[y]]-H$4)</f>
        <v>42740</v>
      </c>
      <c r="D3942" s="1">
        <f>IF(Tabela1[[#This Row],[promien]]&lt;40000,1,0)</f>
        <v>0</v>
      </c>
      <c r="E3942" s="1">
        <f>IF(Tabela1[[#This Row],[promien]]=40000,1,0)</f>
        <v>0</v>
      </c>
      <c r="F3942" s="1">
        <v>3.1750380517503807</v>
      </c>
      <c r="G3942" s="1">
        <v>3.3445398160587558E-2</v>
      </c>
    </row>
    <row r="3943" spans="1:7">
      <c r="A3943">
        <v>48</v>
      </c>
      <c r="B3943">
        <v>178</v>
      </c>
      <c r="C3943" s="1">
        <f>(Tabela1[[#This Row],[x]]-H$3)*(Tabela1[[#This Row],[x]]-H$3) +(Tabela1[[#This Row],[y]]-H$4)*(Tabela1[[#This Row],[y]]-H$4)</f>
        <v>23588</v>
      </c>
      <c r="D3943" s="1">
        <f>IF(Tabela1[[#This Row],[promien]]&lt;40000,1,0)</f>
        <v>1</v>
      </c>
      <c r="E3943" s="1">
        <f>IF(Tabela1[[#This Row],[promien]]=40000,1,0)</f>
        <v>0</v>
      </c>
      <c r="F3943" s="1">
        <v>3.1752472736495054</v>
      </c>
      <c r="G3943" s="1">
        <v>3.3654620059712315E-2</v>
      </c>
    </row>
    <row r="3944" spans="1:7">
      <c r="A3944">
        <v>376</v>
      </c>
      <c r="B3944">
        <v>362</v>
      </c>
      <c r="C3944" s="1">
        <f>(Tabela1[[#This Row],[x]]-H$3)*(Tabela1[[#This Row],[x]]-H$3) +(Tabela1[[#This Row],[y]]-H$4)*(Tabela1[[#This Row],[y]]-H$4)</f>
        <v>57220</v>
      </c>
      <c r="D3944" s="1">
        <f>IF(Tabela1[[#This Row],[promien]]&lt;40000,1,0)</f>
        <v>0</v>
      </c>
      <c r="E3944" s="1">
        <f>IF(Tabela1[[#This Row],[promien]]=40000,1,0)</f>
        <v>0</v>
      </c>
      <c r="F3944" s="1">
        <v>3.1744421906693714</v>
      </c>
      <c r="G3944" s="1">
        <v>3.2849537079578273E-2</v>
      </c>
    </row>
    <row r="3945" spans="1:7">
      <c r="A3945">
        <v>57</v>
      </c>
      <c r="B3945">
        <v>222</v>
      </c>
      <c r="C3945" s="1">
        <f>(Tabela1[[#This Row],[x]]-H$3)*(Tabela1[[#This Row],[x]]-H$3) +(Tabela1[[#This Row],[y]]-H$4)*(Tabela1[[#This Row],[y]]-H$4)</f>
        <v>20933</v>
      </c>
      <c r="D3945" s="1">
        <f>IF(Tabela1[[#This Row],[promien]]&lt;40000,1,0)</f>
        <v>1</v>
      </c>
      <c r="E3945" s="1">
        <f>IF(Tabela1[[#This Row],[promien]]=40000,1,0)</f>
        <v>0</v>
      </c>
      <c r="F3945" s="1">
        <v>3.1746514575411915</v>
      </c>
      <c r="G3945" s="1">
        <v>3.3058803951398374E-2</v>
      </c>
    </row>
    <row r="3946" spans="1:7">
      <c r="A3946">
        <v>303</v>
      </c>
      <c r="B3946">
        <v>65</v>
      </c>
      <c r="C3946" s="1">
        <f>(Tabela1[[#This Row],[x]]-H$3)*(Tabela1[[#This Row],[x]]-H$3) +(Tabela1[[#This Row],[y]]-H$4)*(Tabela1[[#This Row],[y]]-H$4)</f>
        <v>28834</v>
      </c>
      <c r="D3946" s="1">
        <f>IF(Tabela1[[#This Row],[promien]]&lt;40000,1,0)</f>
        <v>1</v>
      </c>
      <c r="E3946" s="1">
        <f>IF(Tabela1[[#This Row],[promien]]=40000,1,0)</f>
        <v>0</v>
      </c>
      <c r="F3946" s="1">
        <v>3.1748606183476937</v>
      </c>
      <c r="G3946" s="1">
        <v>3.3267964757900614E-2</v>
      </c>
    </row>
    <row r="3947" spans="1:7">
      <c r="A3947">
        <v>147</v>
      </c>
      <c r="B3947">
        <v>320</v>
      </c>
      <c r="C3947" s="1">
        <f>(Tabela1[[#This Row],[x]]-H$3)*(Tabela1[[#This Row],[x]]-H$3) +(Tabela1[[#This Row],[y]]-H$4)*(Tabela1[[#This Row],[y]]-H$4)</f>
        <v>17209</v>
      </c>
      <c r="D3947" s="1">
        <f>IF(Tabela1[[#This Row],[promien]]&lt;40000,1,0)</f>
        <v>1</v>
      </c>
      <c r="E3947" s="1">
        <f>IF(Tabela1[[#This Row],[promien]]=40000,1,0)</f>
        <v>0</v>
      </c>
      <c r="F3947" s="1">
        <v>3.1750696731694958</v>
      </c>
      <c r="G3947" s="1">
        <v>3.3477019579702727E-2</v>
      </c>
    </row>
    <row r="3948" spans="1:7">
      <c r="A3948">
        <v>376</v>
      </c>
      <c r="B3948">
        <v>155</v>
      </c>
      <c r="C3948" s="1">
        <f>(Tabela1[[#This Row],[x]]-H$3)*(Tabela1[[#This Row],[x]]-H$3) +(Tabela1[[#This Row],[y]]-H$4)*(Tabela1[[#This Row],[y]]-H$4)</f>
        <v>33001</v>
      </c>
      <c r="D3948" s="1">
        <f>IF(Tabela1[[#This Row],[promien]]&lt;40000,1,0)</f>
        <v>1</v>
      </c>
      <c r="E3948" s="1">
        <f>IF(Tabela1[[#This Row],[promien]]=40000,1,0)</f>
        <v>0</v>
      </c>
      <c r="F3948" s="1">
        <v>3.1752786220871325</v>
      </c>
      <c r="G3948" s="1">
        <v>3.3685968497339402E-2</v>
      </c>
    </row>
    <row r="3949" spans="1:7">
      <c r="A3949">
        <v>108</v>
      </c>
      <c r="B3949">
        <v>72</v>
      </c>
      <c r="C3949" s="1">
        <f>(Tabela1[[#This Row],[x]]-H$3)*(Tabela1[[#This Row],[x]]-H$3) +(Tabela1[[#This Row],[y]]-H$4)*(Tabela1[[#This Row],[y]]-H$4)</f>
        <v>24848</v>
      </c>
      <c r="D3949" s="1">
        <f>IF(Tabela1[[#This Row],[promien]]&lt;40000,1,0)</f>
        <v>1</v>
      </c>
      <c r="E3949" s="1">
        <f>IF(Tabela1[[#This Row],[promien]]=40000,1,0)</f>
        <v>0</v>
      </c>
      <c r="F3949" s="1">
        <v>3.1754874651810585</v>
      </c>
      <c r="G3949" s="1">
        <v>3.3894811591265395E-2</v>
      </c>
    </row>
    <row r="3950" spans="1:7">
      <c r="A3950">
        <v>225</v>
      </c>
      <c r="B3950">
        <v>206</v>
      </c>
      <c r="C3950" s="1">
        <f>(Tabela1[[#This Row],[x]]-H$3)*(Tabela1[[#This Row],[x]]-H$3) +(Tabela1[[#This Row],[y]]-H$4)*(Tabela1[[#This Row],[y]]-H$4)</f>
        <v>661</v>
      </c>
      <c r="D3950" s="1">
        <f>IF(Tabela1[[#This Row],[promien]]&lt;40000,1,0)</f>
        <v>1</v>
      </c>
      <c r="E3950" s="1">
        <f>IF(Tabela1[[#This Row],[promien]]=40000,1,0)</f>
        <v>0</v>
      </c>
      <c r="F3950" s="1">
        <v>3.1756962025316455</v>
      </c>
      <c r="G3950" s="1">
        <v>3.4103548941852413E-2</v>
      </c>
    </row>
    <row r="3951" spans="1:7">
      <c r="A3951">
        <v>392</v>
      </c>
      <c r="B3951">
        <v>161</v>
      </c>
      <c r="C3951" s="1">
        <f>(Tabela1[[#This Row],[x]]-H$3)*(Tabela1[[#This Row],[x]]-H$3) +(Tabela1[[#This Row],[y]]-H$4)*(Tabela1[[#This Row],[y]]-H$4)</f>
        <v>38385</v>
      </c>
      <c r="D3951" s="1">
        <f>IF(Tabela1[[#This Row],[promien]]&lt;40000,1,0)</f>
        <v>1</v>
      </c>
      <c r="E3951" s="1">
        <f>IF(Tabela1[[#This Row],[promien]]=40000,1,0)</f>
        <v>0</v>
      </c>
      <c r="F3951" s="1">
        <v>3.1759048342191849</v>
      </c>
      <c r="G3951" s="1">
        <v>3.4312180629391786E-2</v>
      </c>
    </row>
    <row r="3952" spans="1:7">
      <c r="A3952">
        <v>67</v>
      </c>
      <c r="B3952">
        <v>143</v>
      </c>
      <c r="C3952" s="1">
        <f>(Tabela1[[#This Row],[x]]-H$3)*(Tabela1[[#This Row],[x]]-H$3) +(Tabela1[[#This Row],[y]]-H$4)*(Tabela1[[#This Row],[y]]-H$4)</f>
        <v>20938</v>
      </c>
      <c r="D3952" s="1">
        <f>IF(Tabela1[[#This Row],[promien]]&lt;40000,1,0)</f>
        <v>1</v>
      </c>
      <c r="E3952" s="1">
        <f>IF(Tabela1[[#This Row],[promien]]=40000,1,0)</f>
        <v>0</v>
      </c>
      <c r="F3952" s="1">
        <v>3.1761133603238867</v>
      </c>
      <c r="G3952" s="1">
        <v>3.4520706734093576E-2</v>
      </c>
    </row>
    <row r="3953" spans="1:7">
      <c r="A3953">
        <v>155</v>
      </c>
      <c r="B3953">
        <v>258</v>
      </c>
      <c r="C3953" s="1">
        <f>(Tabela1[[#This Row],[x]]-H$3)*(Tabela1[[#This Row],[x]]-H$3) +(Tabela1[[#This Row],[y]]-H$4)*(Tabela1[[#This Row],[y]]-H$4)</f>
        <v>5389</v>
      </c>
      <c r="D3953" s="1">
        <f>IF(Tabela1[[#This Row],[promien]]&lt;40000,1,0)</f>
        <v>1</v>
      </c>
      <c r="E3953" s="1">
        <f>IF(Tabela1[[#This Row],[promien]]=40000,1,0)</f>
        <v>0</v>
      </c>
      <c r="F3953" s="1">
        <v>3.1763217809258792</v>
      </c>
      <c r="G3953" s="1">
        <v>3.472912733608613E-2</v>
      </c>
    </row>
    <row r="3954" spans="1:7">
      <c r="A3954">
        <v>154</v>
      </c>
      <c r="B3954">
        <v>333</v>
      </c>
      <c r="C3954" s="1">
        <f>(Tabela1[[#This Row],[x]]-H$3)*(Tabela1[[#This Row],[x]]-H$3) +(Tabela1[[#This Row],[y]]-H$4)*(Tabela1[[#This Row],[y]]-H$4)</f>
        <v>19805</v>
      </c>
      <c r="D3954" s="1">
        <f>IF(Tabela1[[#This Row],[promien]]&lt;40000,1,0)</f>
        <v>1</v>
      </c>
      <c r="E3954" s="1">
        <f>IF(Tabela1[[#This Row],[promien]]=40000,1,0)</f>
        <v>0</v>
      </c>
      <c r="F3954" s="1">
        <v>3.1765300961052101</v>
      </c>
      <c r="G3954" s="1">
        <v>3.4937442515416972E-2</v>
      </c>
    </row>
    <row r="3955" spans="1:7">
      <c r="A3955">
        <v>52</v>
      </c>
      <c r="B3955">
        <v>110</v>
      </c>
      <c r="C3955" s="1">
        <f>(Tabela1[[#This Row],[x]]-H$3)*(Tabela1[[#This Row],[x]]-H$3) +(Tabela1[[#This Row],[y]]-H$4)*(Tabela1[[#This Row],[y]]-H$4)</f>
        <v>30004</v>
      </c>
      <c r="D3955" s="1">
        <f>IF(Tabela1[[#This Row],[promien]]&lt;40000,1,0)</f>
        <v>1</v>
      </c>
      <c r="E3955" s="1">
        <f>IF(Tabela1[[#This Row],[promien]]=40000,1,0)</f>
        <v>0</v>
      </c>
      <c r="F3955" s="1">
        <v>3.1767383059418459</v>
      </c>
      <c r="G3955" s="1">
        <v>3.5145652352052803E-2</v>
      </c>
    </row>
    <row r="3956" spans="1:7">
      <c r="A3956">
        <v>375</v>
      </c>
      <c r="B3956">
        <v>282</v>
      </c>
      <c r="C3956" s="1">
        <f>(Tabela1[[#This Row],[x]]-H$3)*(Tabela1[[#This Row],[x]]-H$3) +(Tabela1[[#This Row],[y]]-H$4)*(Tabela1[[#This Row],[y]]-H$4)</f>
        <v>37349</v>
      </c>
      <c r="D3956" s="1">
        <f>IF(Tabela1[[#This Row],[promien]]&lt;40000,1,0)</f>
        <v>1</v>
      </c>
      <c r="E3956" s="1">
        <f>IF(Tabela1[[#This Row],[promien]]=40000,1,0)</f>
        <v>0</v>
      </c>
      <c r="F3956" s="1">
        <v>3.1769464105156726</v>
      </c>
      <c r="G3956" s="1">
        <v>3.5353756925879498E-2</v>
      </c>
    </row>
    <row r="3957" spans="1:7">
      <c r="A3957">
        <v>303</v>
      </c>
      <c r="B3957">
        <v>209</v>
      </c>
      <c r="C3957" s="1">
        <f>(Tabela1[[#This Row],[x]]-H$3)*(Tabela1[[#This Row],[x]]-H$3) +(Tabela1[[#This Row],[y]]-H$4)*(Tabela1[[#This Row],[y]]-H$4)</f>
        <v>10690</v>
      </c>
      <c r="D3957" s="1">
        <f>IF(Tabela1[[#This Row],[promien]]&lt;40000,1,0)</f>
        <v>1</v>
      </c>
      <c r="E3957" s="1">
        <f>IF(Tabela1[[#This Row],[promien]]=40000,1,0)</f>
        <v>0</v>
      </c>
      <c r="F3957" s="1">
        <v>3.1771544099064948</v>
      </c>
      <c r="G3957" s="1">
        <v>3.5561756316701665E-2</v>
      </c>
    </row>
    <row r="3958" spans="1:7">
      <c r="A3958">
        <v>151</v>
      </c>
      <c r="B3958">
        <v>46</v>
      </c>
      <c r="C3958" s="1">
        <f>(Tabela1[[#This Row],[x]]-H$3)*(Tabela1[[#This Row],[x]]-H$3) +(Tabela1[[#This Row],[y]]-H$4)*(Tabela1[[#This Row],[y]]-H$4)</f>
        <v>26117</v>
      </c>
      <c r="D3958" s="1">
        <f>IF(Tabela1[[#This Row],[promien]]&lt;40000,1,0)</f>
        <v>1</v>
      </c>
      <c r="E3958" s="1">
        <f>IF(Tabela1[[#This Row],[promien]]=40000,1,0)</f>
        <v>0</v>
      </c>
      <c r="F3958" s="1">
        <v>3.1773623041940375</v>
      </c>
      <c r="G3958" s="1">
        <v>3.5769650604244418E-2</v>
      </c>
    </row>
    <row r="3959" spans="1:7">
      <c r="A3959">
        <v>273</v>
      </c>
      <c r="B3959">
        <v>164</v>
      </c>
      <c r="C3959" s="1">
        <f>(Tabela1[[#This Row],[x]]-H$3)*(Tabela1[[#This Row],[x]]-H$3) +(Tabela1[[#This Row],[y]]-H$4)*(Tabela1[[#This Row],[y]]-H$4)</f>
        <v>6625</v>
      </c>
      <c r="D3959" s="1">
        <f>IF(Tabela1[[#This Row],[promien]]&lt;40000,1,0)</f>
        <v>1</v>
      </c>
      <c r="E3959" s="1">
        <f>IF(Tabela1[[#This Row],[promien]]=40000,1,0)</f>
        <v>0</v>
      </c>
      <c r="F3959" s="1">
        <v>3.1775700934579438</v>
      </c>
      <c r="G3959" s="1">
        <v>3.5977439868150718E-2</v>
      </c>
    </row>
    <row r="3960" spans="1:7">
      <c r="A3960">
        <v>274</v>
      </c>
      <c r="B3960">
        <v>197</v>
      </c>
      <c r="C3960" s="1">
        <f>(Tabela1[[#This Row],[x]]-H$3)*(Tabela1[[#This Row],[x]]-H$3) +(Tabela1[[#This Row],[y]]-H$4)*(Tabela1[[#This Row],[y]]-H$4)</f>
        <v>5485</v>
      </c>
      <c r="D3960" s="1">
        <f>IF(Tabela1[[#This Row],[promien]]&lt;40000,1,0)</f>
        <v>1</v>
      </c>
      <c r="E3960" s="1">
        <f>IF(Tabela1[[#This Row],[promien]]=40000,1,0)</f>
        <v>0</v>
      </c>
      <c r="F3960" s="1">
        <v>3.1777777777777776</v>
      </c>
      <c r="G3960" s="1">
        <v>3.6185124187984474E-2</v>
      </c>
    </row>
    <row r="3961" spans="1:7">
      <c r="A3961">
        <v>266</v>
      </c>
      <c r="B3961">
        <v>309</v>
      </c>
      <c r="C3961" s="1">
        <f>(Tabela1[[#This Row],[x]]-H$3)*(Tabela1[[#This Row],[x]]-H$3) +(Tabela1[[#This Row],[y]]-H$4)*(Tabela1[[#This Row],[y]]-H$4)</f>
        <v>16237</v>
      </c>
      <c r="D3961" s="1">
        <f>IF(Tabela1[[#This Row],[promien]]&lt;40000,1,0)</f>
        <v>1</v>
      </c>
      <c r="E3961" s="1">
        <f>IF(Tabela1[[#This Row],[promien]]=40000,1,0)</f>
        <v>0</v>
      </c>
      <c r="F3961" s="1">
        <v>3.1779853572330219</v>
      </c>
      <c r="G3961" s="1">
        <v>3.6392703643228774E-2</v>
      </c>
    </row>
    <row r="3962" spans="1:7">
      <c r="A3962">
        <v>318</v>
      </c>
      <c r="B3962">
        <v>227</v>
      </c>
      <c r="C3962" s="1">
        <f>(Tabela1[[#This Row],[x]]-H$3)*(Tabela1[[#This Row],[x]]-H$3) +(Tabela1[[#This Row],[y]]-H$4)*(Tabela1[[#This Row],[y]]-H$4)</f>
        <v>14653</v>
      </c>
      <c r="D3962" s="1">
        <f>IF(Tabela1[[#This Row],[promien]]&lt;40000,1,0)</f>
        <v>1</v>
      </c>
      <c r="E3962" s="1">
        <f>IF(Tabela1[[#This Row],[promien]]=40000,1,0)</f>
        <v>0</v>
      </c>
      <c r="F3962" s="1">
        <v>3.1781928319030794</v>
      </c>
      <c r="G3962" s="1">
        <v>3.6600178313286325E-2</v>
      </c>
    </row>
    <row r="3963" spans="1:7">
      <c r="A3963">
        <v>160</v>
      </c>
      <c r="B3963">
        <v>259</v>
      </c>
      <c r="C3963" s="1">
        <f>(Tabela1[[#This Row],[x]]-H$3)*(Tabela1[[#This Row],[x]]-H$3) +(Tabela1[[#This Row],[y]]-H$4)*(Tabela1[[#This Row],[y]]-H$4)</f>
        <v>5081</v>
      </c>
      <c r="D3963" s="1">
        <f>IF(Tabela1[[#This Row],[promien]]&lt;40000,1,0)</f>
        <v>1</v>
      </c>
      <c r="E3963" s="1">
        <f>IF(Tabela1[[#This Row],[promien]]=40000,1,0)</f>
        <v>0</v>
      </c>
      <c r="F3963" s="1">
        <v>3.1784002018672721</v>
      </c>
      <c r="G3963" s="1">
        <v>3.6807548277479007E-2</v>
      </c>
    </row>
    <row r="3964" spans="1:7">
      <c r="A3964">
        <v>176</v>
      </c>
      <c r="B3964">
        <v>373</v>
      </c>
      <c r="C3964" s="1">
        <f>(Tabela1[[#This Row],[x]]-H$3)*(Tabela1[[#This Row],[x]]-H$3) +(Tabela1[[#This Row],[y]]-H$4)*(Tabela1[[#This Row],[y]]-H$4)</f>
        <v>30505</v>
      </c>
      <c r="D3964" s="1">
        <f>IF(Tabela1[[#This Row],[promien]]&lt;40000,1,0)</f>
        <v>1</v>
      </c>
      <c r="E3964" s="1">
        <f>IF(Tabela1[[#This Row],[promien]]=40000,1,0)</f>
        <v>0</v>
      </c>
      <c r="F3964" s="1">
        <v>3.1786074672048437</v>
      </c>
      <c r="G3964" s="1">
        <v>3.7014813615050546E-2</v>
      </c>
    </row>
    <row r="3965" spans="1:7">
      <c r="A3965">
        <v>69</v>
      </c>
      <c r="B3965">
        <v>3</v>
      </c>
      <c r="C3965" s="1">
        <f>(Tabela1[[#This Row],[x]]-H$3)*(Tabela1[[#This Row],[x]]-H$3) +(Tabela1[[#This Row],[y]]-H$4)*(Tabela1[[#This Row],[y]]-H$4)</f>
        <v>55970</v>
      </c>
      <c r="D3965" s="1">
        <f>IF(Tabela1[[#This Row],[promien]]&lt;40000,1,0)</f>
        <v>0</v>
      </c>
      <c r="E3965" s="1">
        <f>IF(Tabela1[[#This Row],[promien]]=40000,1,0)</f>
        <v>0</v>
      </c>
      <c r="F3965" s="1">
        <v>3.1778058007566203</v>
      </c>
      <c r="G3965" s="1">
        <v>3.621314716682722E-2</v>
      </c>
    </row>
    <row r="3966" spans="1:7">
      <c r="A3966">
        <v>217</v>
      </c>
      <c r="B3966">
        <v>68</v>
      </c>
      <c r="C3966" s="1">
        <f>(Tabela1[[#This Row],[x]]-H$3)*(Tabela1[[#This Row],[x]]-H$3) +(Tabela1[[#This Row],[y]]-H$4)*(Tabela1[[#This Row],[y]]-H$4)</f>
        <v>17713</v>
      </c>
      <c r="D3966" s="1">
        <f>IF(Tabela1[[#This Row],[promien]]&lt;40000,1,0)</f>
        <v>1</v>
      </c>
      <c r="E3966" s="1">
        <f>IF(Tabela1[[#This Row],[promien]]=40000,1,0)</f>
        <v>0</v>
      </c>
      <c r="F3966" s="1">
        <v>3.178013111447302</v>
      </c>
      <c r="G3966" s="1">
        <v>3.6420457857508914E-2</v>
      </c>
    </row>
    <row r="3967" spans="1:7">
      <c r="A3967">
        <v>144</v>
      </c>
      <c r="B3967">
        <v>346</v>
      </c>
      <c r="C3967" s="1">
        <f>(Tabela1[[#This Row],[x]]-H$3)*(Tabela1[[#This Row],[x]]-H$3) +(Tabela1[[#This Row],[y]]-H$4)*(Tabela1[[#This Row],[y]]-H$4)</f>
        <v>24452</v>
      </c>
      <c r="D3967" s="1">
        <f>IF(Tabela1[[#This Row],[promien]]&lt;40000,1,0)</f>
        <v>1</v>
      </c>
      <c r="E3967" s="1">
        <f>IF(Tabela1[[#This Row],[promien]]=40000,1,0)</f>
        <v>0</v>
      </c>
      <c r="F3967" s="1">
        <v>3.1782203176203678</v>
      </c>
      <c r="G3967" s="1">
        <v>3.6627664030574714E-2</v>
      </c>
    </row>
    <row r="3968" spans="1:7">
      <c r="A3968">
        <v>355</v>
      </c>
      <c r="B3968">
        <v>138</v>
      </c>
      <c r="C3968" s="1">
        <f>(Tabela1[[#This Row],[x]]-H$3)*(Tabela1[[#This Row],[x]]-H$3) +(Tabela1[[#This Row],[y]]-H$4)*(Tabela1[[#This Row],[y]]-H$4)</f>
        <v>27869</v>
      </c>
      <c r="D3968" s="1">
        <f>IF(Tabela1[[#This Row],[promien]]&lt;40000,1,0)</f>
        <v>1</v>
      </c>
      <c r="E3968" s="1">
        <f>IF(Tabela1[[#This Row],[promien]]=40000,1,0)</f>
        <v>0</v>
      </c>
      <c r="F3968" s="1">
        <v>3.1784274193548385</v>
      </c>
      <c r="G3968" s="1">
        <v>3.6834765765045407E-2</v>
      </c>
    </row>
    <row r="3969" spans="1:7">
      <c r="A3969">
        <v>19</v>
      </c>
      <c r="B3969">
        <v>22</v>
      </c>
      <c r="C3969" s="1">
        <f>(Tabela1[[#This Row],[x]]-H$3)*(Tabela1[[#This Row],[x]]-H$3) +(Tabela1[[#This Row],[y]]-H$4)*(Tabela1[[#This Row],[y]]-H$4)</f>
        <v>64445</v>
      </c>
      <c r="D3969" s="1">
        <f>IF(Tabela1[[#This Row],[promien]]&lt;40000,1,0)</f>
        <v>0</v>
      </c>
      <c r="E3969" s="1">
        <f>IF(Tabela1[[#This Row],[promien]]=40000,1,0)</f>
        <v>0</v>
      </c>
      <c r="F3969" s="1">
        <v>3.1776266061980349</v>
      </c>
      <c r="G3969" s="1">
        <v>3.6033952608241826E-2</v>
      </c>
    </row>
    <row r="3970" spans="1:7">
      <c r="A3970">
        <v>213</v>
      </c>
      <c r="B3970">
        <v>305</v>
      </c>
      <c r="C3970" s="1">
        <f>(Tabela1[[#This Row],[x]]-H$3)*(Tabela1[[#This Row],[x]]-H$3) +(Tabela1[[#This Row],[y]]-H$4)*(Tabela1[[#This Row],[y]]-H$4)</f>
        <v>11194</v>
      </c>
      <c r="D3970" s="1">
        <f>IF(Tabela1[[#This Row],[promien]]&lt;40000,1,0)</f>
        <v>1</v>
      </c>
      <c r="E3970" s="1">
        <f>IF(Tabela1[[#This Row],[promien]]=40000,1,0)</f>
        <v>0</v>
      </c>
      <c r="F3970" s="1">
        <v>3.1778337531486147</v>
      </c>
      <c r="G3970" s="1">
        <v>3.6241099558821599E-2</v>
      </c>
    </row>
    <row r="3971" spans="1:7">
      <c r="A3971">
        <v>144</v>
      </c>
      <c r="B3971">
        <v>370</v>
      </c>
      <c r="C3971" s="1">
        <f>(Tabela1[[#This Row],[x]]-H$3)*(Tabela1[[#This Row],[x]]-H$3) +(Tabela1[[#This Row],[y]]-H$4)*(Tabela1[[#This Row],[y]]-H$4)</f>
        <v>32036</v>
      </c>
      <c r="D3971" s="1">
        <f>IF(Tabela1[[#This Row],[promien]]&lt;40000,1,0)</f>
        <v>1</v>
      </c>
      <c r="E3971" s="1">
        <f>IF(Tabela1[[#This Row],[promien]]=40000,1,0)</f>
        <v>0</v>
      </c>
      <c r="F3971" s="1">
        <v>3.1780407957693275</v>
      </c>
      <c r="G3971" s="1">
        <v>3.6448142179534404E-2</v>
      </c>
    </row>
    <row r="3972" spans="1:7">
      <c r="A3972">
        <v>101</v>
      </c>
      <c r="B3972">
        <v>29</v>
      </c>
      <c r="C3972" s="1">
        <f>(Tabela1[[#This Row],[x]]-H$3)*(Tabela1[[#This Row],[x]]-H$3) +(Tabela1[[#This Row],[y]]-H$4)*(Tabela1[[#This Row],[y]]-H$4)</f>
        <v>39042</v>
      </c>
      <c r="D3972" s="1">
        <f>IF(Tabela1[[#This Row],[promien]]&lt;40000,1,0)</f>
        <v>1</v>
      </c>
      <c r="E3972" s="1">
        <f>IF(Tabela1[[#This Row],[promien]]=40000,1,0)</f>
        <v>0</v>
      </c>
      <c r="F3972" s="1">
        <v>3.178247734138973</v>
      </c>
      <c r="G3972" s="1">
        <v>3.6655080549179875E-2</v>
      </c>
    </row>
    <row r="3973" spans="1:7">
      <c r="A3973">
        <v>89</v>
      </c>
      <c r="B3973">
        <v>378</v>
      </c>
      <c r="C3973" s="1">
        <f>(Tabela1[[#This Row],[x]]-H$3)*(Tabela1[[#This Row],[x]]-H$3) +(Tabela1[[#This Row],[y]]-H$4)*(Tabela1[[#This Row],[y]]-H$4)</f>
        <v>44005</v>
      </c>
      <c r="D3973" s="1">
        <f>IF(Tabela1[[#This Row],[promien]]&lt;40000,1,0)</f>
        <v>0</v>
      </c>
      <c r="E3973" s="1">
        <f>IF(Tabela1[[#This Row],[promien]]=40000,1,0)</f>
        <v>0</v>
      </c>
      <c r="F3973" s="1">
        <v>3.177447772464133</v>
      </c>
      <c r="G3973" s="1">
        <v>3.5855118874339897E-2</v>
      </c>
    </row>
    <row r="3974" spans="1:7">
      <c r="A3974">
        <v>278</v>
      </c>
      <c r="B3974">
        <v>177</v>
      </c>
      <c r="C3974" s="1">
        <f>(Tabela1[[#This Row],[x]]-H$3)*(Tabela1[[#This Row],[x]]-H$3) +(Tabela1[[#This Row],[y]]-H$4)*(Tabela1[[#This Row],[y]]-H$4)</f>
        <v>6613</v>
      </c>
      <c r="D3974" s="1">
        <f>IF(Tabela1[[#This Row],[promien]]&lt;40000,1,0)</f>
        <v>1</v>
      </c>
      <c r="E3974" s="1">
        <f>IF(Tabela1[[#This Row],[promien]]=40000,1,0)</f>
        <v>0</v>
      </c>
      <c r="F3974" s="1">
        <v>3.1776547559134372</v>
      </c>
      <c r="G3974" s="1">
        <v>3.6062102323644041E-2</v>
      </c>
    </row>
    <row r="3975" spans="1:7">
      <c r="A3975">
        <v>375</v>
      </c>
      <c r="B3975">
        <v>167</v>
      </c>
      <c r="C3975" s="1">
        <f>(Tabela1[[#This Row],[x]]-H$3)*(Tabela1[[#This Row],[x]]-H$3) +(Tabela1[[#This Row],[y]]-H$4)*(Tabela1[[#This Row],[y]]-H$4)</f>
        <v>31714</v>
      </c>
      <c r="D3975" s="1">
        <f>IF(Tabela1[[#This Row],[promien]]&lt;40000,1,0)</f>
        <v>1</v>
      </c>
      <c r="E3975" s="1">
        <f>IF(Tabela1[[#This Row],[promien]]=40000,1,0)</f>
        <v>0</v>
      </c>
      <c r="F3975" s="1">
        <v>3.1778616352201259</v>
      </c>
      <c r="G3975" s="1">
        <v>3.6268981630332764E-2</v>
      </c>
    </row>
    <row r="3976" spans="1:7">
      <c r="A3976">
        <v>246</v>
      </c>
      <c r="B3976">
        <v>327</v>
      </c>
      <c r="C3976" s="1">
        <f>(Tabela1[[#This Row],[x]]-H$3)*(Tabela1[[#This Row],[x]]-H$3) +(Tabela1[[#This Row],[y]]-H$4)*(Tabela1[[#This Row],[y]]-H$4)</f>
        <v>18245</v>
      </c>
      <c r="D3976" s="1">
        <f>IF(Tabela1[[#This Row],[promien]]&lt;40000,1,0)</f>
        <v>1</v>
      </c>
      <c r="E3976" s="1">
        <f>IF(Tabela1[[#This Row],[promien]]=40000,1,0)</f>
        <v>0</v>
      </c>
      <c r="F3976" s="1">
        <v>3.1780684104627768</v>
      </c>
      <c r="G3976" s="1">
        <v>3.6475756872983656E-2</v>
      </c>
    </row>
    <row r="3977" spans="1:7">
      <c r="A3977">
        <v>57</v>
      </c>
      <c r="B3977">
        <v>320</v>
      </c>
      <c r="C3977" s="1">
        <f>(Tabela1[[#This Row],[x]]-H$3)*(Tabela1[[#This Row],[x]]-H$3) +(Tabela1[[#This Row],[y]]-H$4)*(Tabela1[[#This Row],[y]]-H$4)</f>
        <v>34849</v>
      </c>
      <c r="D3977" s="1">
        <f>IF(Tabela1[[#This Row],[promien]]&lt;40000,1,0)</f>
        <v>1</v>
      </c>
      <c r="E3977" s="1">
        <f>IF(Tabela1[[#This Row],[promien]]=40000,1,0)</f>
        <v>0</v>
      </c>
      <c r="F3977" s="1">
        <v>3.1782750817198893</v>
      </c>
      <c r="G3977" s="1">
        <v>3.6682428130096145E-2</v>
      </c>
    </row>
    <row r="3978" spans="1:7">
      <c r="A3978">
        <v>106</v>
      </c>
      <c r="B3978">
        <v>309</v>
      </c>
      <c r="C3978" s="1">
        <f>(Tabela1[[#This Row],[x]]-H$3)*(Tabela1[[#This Row],[x]]-H$3) +(Tabela1[[#This Row],[y]]-H$4)*(Tabela1[[#This Row],[y]]-H$4)</f>
        <v>20717</v>
      </c>
      <c r="D3978" s="1">
        <f>IF(Tabela1[[#This Row],[promien]]&lt;40000,1,0)</f>
        <v>1</v>
      </c>
      <c r="E3978" s="1">
        <f>IF(Tabela1[[#This Row],[promien]]=40000,1,0)</f>
        <v>0</v>
      </c>
      <c r="F3978" s="1">
        <v>3.1784816490698842</v>
      </c>
      <c r="G3978" s="1">
        <v>3.6888995480091058E-2</v>
      </c>
    </row>
    <row r="3979" spans="1:7">
      <c r="A3979">
        <v>175</v>
      </c>
      <c r="B3979">
        <v>314</v>
      </c>
      <c r="C3979" s="1">
        <f>(Tabela1[[#This Row],[x]]-H$3)*(Tabela1[[#This Row],[x]]-H$3) +(Tabela1[[#This Row],[y]]-H$4)*(Tabela1[[#This Row],[y]]-H$4)</f>
        <v>13621</v>
      </c>
      <c r="D3979" s="1">
        <f>IF(Tabela1[[#This Row],[promien]]&lt;40000,1,0)</f>
        <v>1</v>
      </c>
      <c r="E3979" s="1">
        <f>IF(Tabela1[[#This Row],[promien]]=40000,1,0)</f>
        <v>0</v>
      </c>
      <c r="F3979" s="1">
        <v>3.1786881125911033</v>
      </c>
      <c r="G3979" s="1">
        <v>3.7095459001310171E-2</v>
      </c>
    </row>
    <row r="3980" spans="1:7">
      <c r="A3980">
        <v>371</v>
      </c>
      <c r="B3980">
        <v>32</v>
      </c>
      <c r="C3980" s="1">
        <f>(Tabela1[[#This Row],[x]]-H$3)*(Tabela1[[#This Row],[x]]-H$3) +(Tabela1[[#This Row],[y]]-H$4)*(Tabela1[[#This Row],[y]]-H$4)</f>
        <v>57465</v>
      </c>
      <c r="D3980" s="1">
        <f>IF(Tabela1[[#This Row],[promien]]&lt;40000,1,0)</f>
        <v>0</v>
      </c>
      <c r="E3980" s="1">
        <f>IF(Tabela1[[#This Row],[promien]]=40000,1,0)</f>
        <v>0</v>
      </c>
      <c r="F3980" s="1">
        <v>3.1778894472361809</v>
      </c>
      <c r="G3980" s="1">
        <v>3.6296793646387826E-2</v>
      </c>
    </row>
    <row r="3981" spans="1:7">
      <c r="A3981">
        <v>230</v>
      </c>
      <c r="B3981">
        <v>325</v>
      </c>
      <c r="C3981" s="1">
        <f>(Tabela1[[#This Row],[x]]-H$3)*(Tabela1[[#This Row],[x]]-H$3) +(Tabela1[[#This Row],[y]]-H$4)*(Tabela1[[#This Row],[y]]-H$4)</f>
        <v>16525</v>
      </c>
      <c r="D3981" s="1">
        <f>IF(Tabela1[[#This Row],[promien]]&lt;40000,1,0)</f>
        <v>1</v>
      </c>
      <c r="E3981" s="1">
        <f>IF(Tabela1[[#This Row],[promien]]=40000,1,0)</f>
        <v>0</v>
      </c>
      <c r="F3981" s="1">
        <v>3.1780959557900026</v>
      </c>
      <c r="G3981" s="1">
        <v>3.6503302200209475E-2</v>
      </c>
    </row>
    <row r="3982" spans="1:7">
      <c r="A3982">
        <v>70</v>
      </c>
      <c r="B3982">
        <v>36</v>
      </c>
      <c r="C3982" s="1">
        <f>(Tabela1[[#This Row],[x]]-H$3)*(Tabela1[[#This Row],[x]]-H$3) +(Tabela1[[#This Row],[y]]-H$4)*(Tabela1[[#This Row],[y]]-H$4)</f>
        <v>43796</v>
      </c>
      <c r="D3982" s="1">
        <f>IF(Tabela1[[#This Row],[promien]]&lt;40000,1,0)</f>
        <v>0</v>
      </c>
      <c r="E3982" s="1">
        <f>IF(Tabela1[[#This Row],[promien]]=40000,1,0)</f>
        <v>0</v>
      </c>
      <c r="F3982" s="1">
        <v>3.1772978402812657</v>
      </c>
      <c r="G3982" s="1">
        <v>3.5705186691472601E-2</v>
      </c>
    </row>
    <row r="3983" spans="1:7">
      <c r="A3983">
        <v>302</v>
      </c>
      <c r="B3983">
        <v>348</v>
      </c>
      <c r="C3983" s="1">
        <f>(Tabela1[[#This Row],[x]]-H$3)*(Tabela1[[#This Row],[x]]-H$3) +(Tabela1[[#This Row],[y]]-H$4)*(Tabela1[[#This Row],[y]]-H$4)</f>
        <v>32308</v>
      </c>
      <c r="D3983" s="1">
        <f>IF(Tabela1[[#This Row],[promien]]&lt;40000,1,0)</f>
        <v>1</v>
      </c>
      <c r="E3983" s="1">
        <f>IF(Tabela1[[#This Row],[promien]]=40000,1,0)</f>
        <v>0</v>
      </c>
      <c r="F3983" s="1">
        <v>3.1775043936731109</v>
      </c>
      <c r="G3983" s="1">
        <v>3.5911740083317767E-2</v>
      </c>
    </row>
    <row r="3984" spans="1:7">
      <c r="A3984">
        <v>23</v>
      </c>
      <c r="B3984">
        <v>351</v>
      </c>
      <c r="C3984" s="1">
        <f>(Tabela1[[#This Row],[x]]-H$3)*(Tabela1[[#This Row],[x]]-H$3) +(Tabela1[[#This Row],[y]]-H$4)*(Tabela1[[#This Row],[y]]-H$4)</f>
        <v>54130</v>
      </c>
      <c r="D3984" s="1">
        <f>IF(Tabela1[[#This Row],[promien]]&lt;40000,1,0)</f>
        <v>0</v>
      </c>
      <c r="E3984" s="1">
        <f>IF(Tabela1[[#This Row],[promien]]=40000,1,0)</f>
        <v>0</v>
      </c>
      <c r="F3984" s="1">
        <v>3.1767068273092369</v>
      </c>
      <c r="G3984" s="1">
        <v>3.5114173719443809E-2</v>
      </c>
    </row>
    <row r="3985" spans="1:7">
      <c r="A3985">
        <v>44</v>
      </c>
      <c r="B3985">
        <v>387</v>
      </c>
      <c r="C3985" s="1">
        <f>(Tabela1[[#This Row],[x]]-H$3)*(Tabela1[[#This Row],[x]]-H$3) +(Tabela1[[#This Row],[y]]-H$4)*(Tabela1[[#This Row],[y]]-H$4)</f>
        <v>59305</v>
      </c>
      <c r="D3985" s="1">
        <f>IF(Tabela1[[#This Row],[promien]]&lt;40000,1,0)</f>
        <v>0</v>
      </c>
      <c r="E3985" s="1">
        <f>IF(Tabela1[[#This Row],[promien]]=40000,1,0)</f>
        <v>0</v>
      </c>
      <c r="F3985" s="1">
        <v>3.1759096612296109</v>
      </c>
      <c r="G3985" s="1">
        <v>3.431700763981782E-2</v>
      </c>
    </row>
    <row r="3986" spans="1:7">
      <c r="A3986">
        <v>289</v>
      </c>
      <c r="B3986">
        <v>76</v>
      </c>
      <c r="C3986" s="1">
        <f>(Tabela1[[#This Row],[x]]-H$3)*(Tabela1[[#This Row],[x]]-H$3) +(Tabela1[[#This Row],[y]]-H$4)*(Tabela1[[#This Row],[y]]-H$4)</f>
        <v>23297</v>
      </c>
      <c r="D3986" s="1">
        <f>IF(Tabela1[[#This Row],[promien]]&lt;40000,1,0)</f>
        <v>1</v>
      </c>
      <c r="E3986" s="1">
        <f>IF(Tabela1[[#This Row],[promien]]=40000,1,0)</f>
        <v>0</v>
      </c>
      <c r="F3986" s="1">
        <v>3.1761164074259911</v>
      </c>
      <c r="G3986" s="1">
        <v>3.452375383619799E-2</v>
      </c>
    </row>
    <row r="3987" spans="1:7">
      <c r="A3987">
        <v>301</v>
      </c>
      <c r="B3987">
        <v>375</v>
      </c>
      <c r="C3987" s="1">
        <f>(Tabela1[[#This Row],[x]]-H$3)*(Tabela1[[#This Row],[x]]-H$3) +(Tabela1[[#This Row],[y]]-H$4)*(Tabela1[[#This Row],[y]]-H$4)</f>
        <v>40826</v>
      </c>
      <c r="D3987" s="1">
        <f>IF(Tabela1[[#This Row],[promien]]&lt;40000,1,0)</f>
        <v>0</v>
      </c>
      <c r="E3987" s="1">
        <f>IF(Tabela1[[#This Row],[promien]]=40000,1,0)</f>
        <v>0</v>
      </c>
      <c r="F3987" s="1">
        <v>3.1753197893152745</v>
      </c>
      <c r="G3987" s="1">
        <v>3.3727135725481361E-2</v>
      </c>
    </row>
    <row r="3988" spans="1:7">
      <c r="A3988">
        <v>39</v>
      </c>
      <c r="B3988">
        <v>65</v>
      </c>
      <c r="C3988" s="1">
        <f>(Tabela1[[#This Row],[x]]-H$3)*(Tabela1[[#This Row],[x]]-H$3) +(Tabela1[[#This Row],[y]]-H$4)*(Tabela1[[#This Row],[y]]-H$4)</f>
        <v>44146</v>
      </c>
      <c r="D3988" s="1">
        <f>IF(Tabela1[[#This Row],[promien]]&lt;40000,1,0)</f>
        <v>0</v>
      </c>
      <c r="E3988" s="1">
        <f>IF(Tabela1[[#This Row],[promien]]=40000,1,0)</f>
        <v>0</v>
      </c>
      <c r="F3988" s="1">
        <v>3.1745235707121364</v>
      </c>
      <c r="G3988" s="1">
        <v>3.2930917122343306E-2</v>
      </c>
    </row>
    <row r="3989" spans="1:7">
      <c r="A3989">
        <v>344</v>
      </c>
      <c r="B3989">
        <v>310</v>
      </c>
      <c r="C3989" s="1">
        <f>(Tabela1[[#This Row],[x]]-H$3)*(Tabela1[[#This Row],[x]]-H$3) +(Tabela1[[#This Row],[y]]-H$4)*(Tabela1[[#This Row],[y]]-H$4)</f>
        <v>32836</v>
      </c>
      <c r="D3989" s="1">
        <f>IF(Tabela1[[#This Row],[promien]]&lt;40000,1,0)</f>
        <v>1</v>
      </c>
      <c r="E3989" s="1">
        <f>IF(Tabela1[[#This Row],[promien]]=40000,1,0)</f>
        <v>0</v>
      </c>
      <c r="F3989" s="1">
        <v>3.1747305088994735</v>
      </c>
      <c r="G3989" s="1">
        <v>3.3137855309680386E-2</v>
      </c>
    </row>
    <row r="3990" spans="1:7">
      <c r="A3990">
        <v>141</v>
      </c>
      <c r="B3990">
        <v>254</v>
      </c>
      <c r="C3990" s="1">
        <f>(Tabela1[[#This Row],[x]]-H$3)*(Tabela1[[#This Row],[x]]-H$3) +(Tabela1[[#This Row],[y]]-H$4)*(Tabela1[[#This Row],[y]]-H$4)</f>
        <v>6397</v>
      </c>
      <c r="D3990" s="1">
        <f>IF(Tabela1[[#This Row],[promien]]&lt;40000,1,0)</f>
        <v>1</v>
      </c>
      <c r="E3990" s="1">
        <f>IF(Tabela1[[#This Row],[promien]]=40000,1,0)</f>
        <v>0</v>
      </c>
      <c r="F3990" s="1">
        <v>3.1749373433583958</v>
      </c>
      <c r="G3990" s="1">
        <v>3.334468976860272E-2</v>
      </c>
    </row>
    <row r="3991" spans="1:7">
      <c r="A3991">
        <v>352</v>
      </c>
      <c r="B3991">
        <v>80</v>
      </c>
      <c r="C3991" s="1">
        <f>(Tabela1[[#This Row],[x]]-H$3)*(Tabela1[[#This Row],[x]]-H$3) +(Tabela1[[#This Row],[y]]-H$4)*(Tabela1[[#This Row],[y]]-H$4)</f>
        <v>37504</v>
      </c>
      <c r="D3991" s="1">
        <f>IF(Tabela1[[#This Row],[promien]]&lt;40000,1,0)</f>
        <v>1</v>
      </c>
      <c r="E3991" s="1">
        <f>IF(Tabela1[[#This Row],[promien]]=40000,1,0)</f>
        <v>0</v>
      </c>
      <c r="F3991" s="1">
        <v>3.1751440741668753</v>
      </c>
      <c r="G3991" s="1">
        <v>3.3551420577082158E-2</v>
      </c>
    </row>
    <row r="3992" spans="1:7">
      <c r="A3992">
        <v>394</v>
      </c>
      <c r="B3992">
        <v>4</v>
      </c>
      <c r="C3992" s="1">
        <f>(Tabela1[[#This Row],[x]]-H$3)*(Tabela1[[#This Row],[x]]-H$3) +(Tabela1[[#This Row],[y]]-H$4)*(Tabela1[[#This Row],[y]]-H$4)</f>
        <v>76052</v>
      </c>
      <c r="D3992" s="1">
        <f>IF(Tabela1[[#This Row],[promien]]&lt;40000,1,0)</f>
        <v>0</v>
      </c>
      <c r="E3992" s="1">
        <f>IF(Tabela1[[#This Row],[promien]]=40000,1,0)</f>
        <v>0</v>
      </c>
      <c r="F3992" s="1">
        <v>3.1743486973947896</v>
      </c>
      <c r="G3992" s="1">
        <v>3.2756043804996526E-2</v>
      </c>
    </row>
    <row r="3993" spans="1:7">
      <c r="A3993">
        <v>80</v>
      </c>
      <c r="B3993">
        <v>14</v>
      </c>
      <c r="C3993" s="1">
        <f>(Tabela1[[#This Row],[x]]-H$3)*(Tabela1[[#This Row],[x]]-H$3) +(Tabela1[[#This Row],[y]]-H$4)*(Tabela1[[#This Row],[y]]-H$4)</f>
        <v>48996</v>
      </c>
      <c r="D3993" s="1">
        <f>IF(Tabela1[[#This Row],[promien]]&lt;40000,1,0)</f>
        <v>0</v>
      </c>
      <c r="E3993" s="1">
        <f>IF(Tabela1[[#This Row],[promien]]=40000,1,0)</f>
        <v>0</v>
      </c>
      <c r="F3993" s="1">
        <v>3.1735537190082646</v>
      </c>
      <c r="G3993" s="1">
        <v>3.1961065418471435E-2</v>
      </c>
    </row>
    <row r="3994" spans="1:7">
      <c r="A3994">
        <v>264</v>
      </c>
      <c r="B3994">
        <v>329</v>
      </c>
      <c r="C3994" s="1">
        <f>(Tabela1[[#This Row],[x]]-H$3)*(Tabela1[[#This Row],[x]]-H$3) +(Tabela1[[#This Row],[y]]-H$4)*(Tabela1[[#This Row],[y]]-H$4)</f>
        <v>20737</v>
      </c>
      <c r="D3994" s="1">
        <f>IF(Tabela1[[#This Row],[promien]]&lt;40000,1,0)</f>
        <v>1</v>
      </c>
      <c r="E3994" s="1">
        <f>IF(Tabela1[[#This Row],[promien]]=40000,1,0)</f>
        <v>0</v>
      </c>
      <c r="F3994" s="1">
        <v>3.1737606409614423</v>
      </c>
      <c r="G3994" s="1">
        <v>3.2167987371649165E-2</v>
      </c>
    </row>
    <row r="3995" spans="1:7">
      <c r="A3995">
        <v>333</v>
      </c>
      <c r="B3995">
        <v>129</v>
      </c>
      <c r="C3995" s="1">
        <f>(Tabela1[[#This Row],[x]]-H$3)*(Tabela1[[#This Row],[x]]-H$3) +(Tabela1[[#This Row],[y]]-H$4)*(Tabela1[[#This Row],[y]]-H$4)</f>
        <v>22730</v>
      </c>
      <c r="D3995" s="1">
        <f>IF(Tabela1[[#This Row],[promien]]&lt;40000,1,0)</f>
        <v>1</v>
      </c>
      <c r="E3995" s="1">
        <f>IF(Tabela1[[#This Row],[promien]]=40000,1,0)</f>
        <v>0</v>
      </c>
      <c r="F3995" s="1">
        <v>3.1739674593241554</v>
      </c>
      <c r="G3995" s="1">
        <v>3.2374805734362244E-2</v>
      </c>
    </row>
    <row r="3996" spans="1:7">
      <c r="A3996">
        <v>323</v>
      </c>
      <c r="B3996">
        <v>386</v>
      </c>
      <c r="C3996" s="1">
        <f>(Tabela1[[#This Row],[x]]-H$3)*(Tabela1[[#This Row],[x]]-H$3) +(Tabela1[[#This Row],[y]]-H$4)*(Tabela1[[#This Row],[y]]-H$4)</f>
        <v>49725</v>
      </c>
      <c r="D3996" s="1">
        <f>IF(Tabela1[[#This Row],[promien]]&lt;40000,1,0)</f>
        <v>0</v>
      </c>
      <c r="E3996" s="1">
        <f>IF(Tabela1[[#This Row],[promien]]=40000,1,0)</f>
        <v>0</v>
      </c>
      <c r="F3996" s="1">
        <v>3.1731731731731734</v>
      </c>
      <c r="G3996" s="1">
        <v>3.1580519583380262E-2</v>
      </c>
    </row>
    <row r="3997" spans="1:7">
      <c r="A3997">
        <v>92</v>
      </c>
      <c r="B3997">
        <v>382</v>
      </c>
      <c r="C3997" s="1">
        <f>(Tabela1[[#This Row],[x]]-H$3)*(Tabela1[[#This Row],[x]]-H$3) +(Tabela1[[#This Row],[y]]-H$4)*(Tabela1[[#This Row],[y]]-H$4)</f>
        <v>44788</v>
      </c>
      <c r="D3997" s="1">
        <f>IF(Tabela1[[#This Row],[promien]]&lt;40000,1,0)</f>
        <v>0</v>
      </c>
      <c r="E3997" s="1">
        <f>IF(Tabela1[[#This Row],[promien]]=40000,1,0)</f>
        <v>0</v>
      </c>
      <c r="F3997" s="1">
        <v>3.1723792844633474</v>
      </c>
      <c r="G3997" s="1">
        <v>3.0786630873554266E-2</v>
      </c>
    </row>
    <row r="3998" spans="1:7">
      <c r="A3998">
        <v>159</v>
      </c>
      <c r="B3998">
        <v>279</v>
      </c>
      <c r="C3998" s="1">
        <f>(Tabela1[[#This Row],[x]]-H$3)*(Tabela1[[#This Row],[x]]-H$3) +(Tabela1[[#This Row],[y]]-H$4)*(Tabela1[[#This Row],[y]]-H$4)</f>
        <v>7922</v>
      </c>
      <c r="D3998" s="1">
        <f>IF(Tabela1[[#This Row],[promien]]&lt;40000,1,0)</f>
        <v>1</v>
      </c>
      <c r="E3998" s="1">
        <f>IF(Tabela1[[#This Row],[promien]]=40000,1,0)</f>
        <v>0</v>
      </c>
      <c r="F3998" s="1">
        <v>3.1725862931465731</v>
      </c>
      <c r="G3998" s="1">
        <v>3.0993639556780028E-2</v>
      </c>
    </row>
    <row r="3999" spans="1:7">
      <c r="A3999">
        <v>56</v>
      </c>
      <c r="B3999">
        <v>336</v>
      </c>
      <c r="C3999" s="1">
        <f>(Tabela1[[#This Row],[x]]-H$3)*(Tabela1[[#This Row],[x]]-H$3) +(Tabela1[[#This Row],[y]]-H$4)*(Tabela1[[#This Row],[y]]-H$4)</f>
        <v>39232</v>
      </c>
      <c r="D3999" s="1">
        <f>IF(Tabela1[[#This Row],[promien]]&lt;40000,1,0)</f>
        <v>1</v>
      </c>
      <c r="E3999" s="1">
        <f>IF(Tabela1[[#This Row],[promien]]=40000,1,0)</f>
        <v>0</v>
      </c>
      <c r="F3999" s="1">
        <v>3.172793198299575</v>
      </c>
      <c r="G3999" s="1">
        <v>3.1200544709781841E-2</v>
      </c>
    </row>
    <row r="4000" spans="1:7">
      <c r="A4000">
        <v>123</v>
      </c>
      <c r="B4000">
        <v>140</v>
      </c>
      <c r="C4000" s="1">
        <f>(Tabela1[[#This Row],[x]]-H$3)*(Tabela1[[#This Row],[x]]-H$3) +(Tabela1[[#This Row],[y]]-H$4)*(Tabela1[[#This Row],[y]]-H$4)</f>
        <v>9529</v>
      </c>
      <c r="D4000" s="1">
        <f>IF(Tabela1[[#This Row],[promien]]&lt;40000,1,0)</f>
        <v>1</v>
      </c>
      <c r="E4000" s="1">
        <f>IF(Tabela1[[#This Row],[promien]]=40000,1,0)</f>
        <v>0</v>
      </c>
      <c r="F4000" s="1">
        <v>3.173</v>
      </c>
      <c r="G4000" s="1">
        <v>3.1407346410206927E-2</v>
      </c>
    </row>
    <row r="4001" spans="1:7">
      <c r="A4001">
        <v>77</v>
      </c>
      <c r="B4001">
        <v>184</v>
      </c>
      <c r="C4001" s="1">
        <f>(Tabela1[[#This Row],[x]]-H$3)*(Tabela1[[#This Row],[x]]-H$3) +(Tabela1[[#This Row],[y]]-H$4)*(Tabela1[[#This Row],[y]]-H$4)</f>
        <v>15385</v>
      </c>
      <c r="D4001" s="1">
        <f>IF(Tabela1[[#This Row],[promien]]&lt;40000,1,0)</f>
        <v>1</v>
      </c>
      <c r="E4001" s="1">
        <f>IF(Tabela1[[#This Row],[promien]]=40000,1,0)</f>
        <v>0</v>
      </c>
      <c r="F4001" s="1">
        <v>3.1732066983254188</v>
      </c>
      <c r="G4001" s="1">
        <v>3.1614044735625679E-2</v>
      </c>
    </row>
    <row r="4002" spans="1:7">
      <c r="A4002">
        <v>176</v>
      </c>
      <c r="B4002">
        <v>99</v>
      </c>
      <c r="C4002" s="1">
        <f>(Tabela1[[#This Row],[x]]-H$3)*(Tabela1[[#This Row],[x]]-H$3) +(Tabela1[[#This Row],[y]]-H$4)*(Tabela1[[#This Row],[y]]-H$4)</f>
        <v>10777</v>
      </c>
      <c r="D4002" s="1">
        <f>IF(Tabela1[[#This Row],[promien]]&lt;40000,1,0)</f>
        <v>1</v>
      </c>
      <c r="E4002" s="1">
        <f>IF(Tabela1[[#This Row],[promien]]=40000,1,0)</f>
        <v>0</v>
      </c>
      <c r="F4002" s="1">
        <v>3.1734132933533234</v>
      </c>
      <c r="G4002" s="1">
        <v>3.1820639763530334E-2</v>
      </c>
    </row>
    <row r="4003" spans="1:7">
      <c r="A4003">
        <v>237</v>
      </c>
      <c r="B4003">
        <v>135</v>
      </c>
      <c r="C4003" s="1">
        <f>(Tabela1[[#This Row],[x]]-H$3)*(Tabela1[[#This Row],[x]]-H$3) +(Tabela1[[#This Row],[y]]-H$4)*(Tabela1[[#This Row],[y]]-H$4)</f>
        <v>5594</v>
      </c>
      <c r="D4003" s="1">
        <f>IF(Tabela1[[#This Row],[promien]]&lt;40000,1,0)</f>
        <v>1</v>
      </c>
      <c r="E4003" s="1">
        <f>IF(Tabela1[[#This Row],[promien]]=40000,1,0)</f>
        <v>0</v>
      </c>
      <c r="F4003" s="1">
        <v>3.173619785161129</v>
      </c>
      <c r="G4003" s="1">
        <v>3.2027131571335854E-2</v>
      </c>
    </row>
    <row r="4004" spans="1:7">
      <c r="A4004">
        <v>339</v>
      </c>
      <c r="B4004">
        <v>143</v>
      </c>
      <c r="C4004" s="1">
        <f>(Tabela1[[#This Row],[x]]-H$3)*(Tabela1[[#This Row],[x]]-H$3) +(Tabela1[[#This Row],[y]]-H$4)*(Tabela1[[#This Row],[y]]-H$4)</f>
        <v>22570</v>
      </c>
      <c r="D4004" s="1">
        <f>IF(Tabela1[[#This Row],[promien]]&lt;40000,1,0)</f>
        <v>1</v>
      </c>
      <c r="E4004" s="1">
        <f>IF(Tabela1[[#This Row],[promien]]=40000,1,0)</f>
        <v>0</v>
      </c>
      <c r="F4004" s="1">
        <v>3.1738261738261739</v>
      </c>
      <c r="G4004" s="1">
        <v>3.2233520236380819E-2</v>
      </c>
    </row>
    <row r="4005" spans="1:7">
      <c r="A4005">
        <v>105</v>
      </c>
      <c r="B4005">
        <v>318</v>
      </c>
      <c r="C4005" s="1">
        <f>(Tabela1[[#This Row],[x]]-H$3)*(Tabela1[[#This Row],[x]]-H$3) +(Tabela1[[#This Row],[y]]-H$4)*(Tabela1[[#This Row],[y]]-H$4)</f>
        <v>22949</v>
      </c>
      <c r="D4005" s="1">
        <f>IF(Tabela1[[#This Row],[promien]]&lt;40000,1,0)</f>
        <v>1</v>
      </c>
      <c r="E4005" s="1">
        <f>IF(Tabela1[[#This Row],[promien]]=40000,1,0)</f>
        <v>0</v>
      </c>
      <c r="F4005" s="1">
        <v>3.1740324594257179</v>
      </c>
      <c r="G4005" s="1">
        <v>3.2439805835924762E-2</v>
      </c>
    </row>
    <row r="4006" spans="1:7">
      <c r="A4006">
        <v>284</v>
      </c>
      <c r="B4006">
        <v>254</v>
      </c>
      <c r="C4006" s="1">
        <f>(Tabela1[[#This Row],[x]]-H$3)*(Tabela1[[#This Row],[x]]-H$3) +(Tabela1[[#This Row],[y]]-H$4)*(Tabela1[[#This Row],[y]]-H$4)</f>
        <v>9972</v>
      </c>
      <c r="D4006" s="1">
        <f>IF(Tabela1[[#This Row],[promien]]&lt;40000,1,0)</f>
        <v>1</v>
      </c>
      <c r="E4006" s="1">
        <f>IF(Tabela1[[#This Row],[promien]]=40000,1,0)</f>
        <v>0</v>
      </c>
      <c r="F4006" s="1">
        <v>3.1742386420369444</v>
      </c>
      <c r="G4006" s="1">
        <v>3.2645988447151275E-2</v>
      </c>
    </row>
    <row r="4007" spans="1:7">
      <c r="A4007">
        <v>138</v>
      </c>
      <c r="B4007">
        <v>165</v>
      </c>
      <c r="C4007" s="1">
        <f>(Tabela1[[#This Row],[x]]-H$3)*(Tabela1[[#This Row],[x]]-H$3) +(Tabela1[[#This Row],[y]]-H$4)*(Tabela1[[#This Row],[y]]-H$4)</f>
        <v>5069</v>
      </c>
      <c r="D4007" s="1">
        <f>IF(Tabela1[[#This Row],[promien]]&lt;40000,1,0)</f>
        <v>1</v>
      </c>
      <c r="E4007" s="1">
        <f>IF(Tabela1[[#This Row],[promien]]=40000,1,0)</f>
        <v>0</v>
      </c>
      <c r="F4007" s="1">
        <v>3.1744447217369602</v>
      </c>
      <c r="G4007" s="1">
        <v>3.2852068147167124E-2</v>
      </c>
    </row>
    <row r="4008" spans="1:7">
      <c r="A4008">
        <v>275</v>
      </c>
      <c r="B4008">
        <v>273</v>
      </c>
      <c r="C4008" s="1">
        <f>(Tabela1[[#This Row],[x]]-H$3)*(Tabela1[[#This Row],[x]]-H$3) +(Tabela1[[#This Row],[y]]-H$4)*(Tabela1[[#This Row],[y]]-H$4)</f>
        <v>10954</v>
      </c>
      <c r="D4008" s="1">
        <f>IF(Tabela1[[#This Row],[promien]]&lt;40000,1,0)</f>
        <v>1</v>
      </c>
      <c r="E4008" s="1">
        <f>IF(Tabela1[[#This Row],[promien]]=40000,1,0)</f>
        <v>0</v>
      </c>
      <c r="F4008" s="1">
        <v>3.1746506986027945</v>
      </c>
      <c r="G4008" s="1">
        <v>3.3058045013001358E-2</v>
      </c>
    </row>
    <row r="4009" spans="1:7">
      <c r="A4009">
        <v>91</v>
      </c>
      <c r="B4009">
        <v>267</v>
      </c>
      <c r="C4009" s="1">
        <f>(Tabela1[[#This Row],[x]]-H$3)*(Tabela1[[#This Row],[x]]-H$3) +(Tabela1[[#This Row],[y]]-H$4)*(Tabela1[[#This Row],[y]]-H$4)</f>
        <v>16370</v>
      </c>
      <c r="D4009" s="1">
        <f>IF(Tabela1[[#This Row],[promien]]&lt;40000,1,0)</f>
        <v>1</v>
      </c>
      <c r="E4009" s="1">
        <f>IF(Tabela1[[#This Row],[promien]]=40000,1,0)</f>
        <v>0</v>
      </c>
      <c r="F4009" s="1">
        <v>3.1748565727113993</v>
      </c>
      <c r="G4009" s="1">
        <v>3.32639191216062E-2</v>
      </c>
    </row>
    <row r="4010" spans="1:7">
      <c r="A4010">
        <v>237</v>
      </c>
      <c r="B4010">
        <v>45</v>
      </c>
      <c r="C4010" s="1">
        <f>(Tabela1[[#This Row],[x]]-H$3)*(Tabela1[[#This Row],[x]]-H$3) +(Tabela1[[#This Row],[y]]-H$4)*(Tabela1[[#This Row],[y]]-H$4)</f>
        <v>25394</v>
      </c>
      <c r="D4010" s="1">
        <f>IF(Tabela1[[#This Row],[promien]]&lt;40000,1,0)</f>
        <v>1</v>
      </c>
      <c r="E4010" s="1">
        <f>IF(Tabela1[[#This Row],[promien]]=40000,1,0)</f>
        <v>0</v>
      </c>
      <c r="F4010" s="1">
        <v>3.175062344139651</v>
      </c>
      <c r="G4010" s="1">
        <v>3.3469690549857933E-2</v>
      </c>
    </row>
    <row r="4011" spans="1:7">
      <c r="A4011">
        <v>299</v>
      </c>
      <c r="B4011">
        <v>350</v>
      </c>
      <c r="C4011" s="1">
        <f>(Tabela1[[#This Row],[x]]-H$3)*(Tabela1[[#This Row],[x]]-H$3) +(Tabela1[[#This Row],[y]]-H$4)*(Tabela1[[#This Row],[y]]-H$4)</f>
        <v>32301</v>
      </c>
      <c r="D4011" s="1">
        <f>IF(Tabela1[[#This Row],[promien]]&lt;40000,1,0)</f>
        <v>1</v>
      </c>
      <c r="E4011" s="1">
        <f>IF(Tabela1[[#This Row],[promien]]=40000,1,0)</f>
        <v>0</v>
      </c>
      <c r="F4011" s="1">
        <v>3.1752680129643482</v>
      </c>
      <c r="G4011" s="1">
        <v>3.3675359374555125E-2</v>
      </c>
    </row>
    <row r="4012" spans="1:7">
      <c r="A4012">
        <v>358</v>
      </c>
      <c r="B4012">
        <v>92</v>
      </c>
      <c r="C4012" s="1">
        <f>(Tabela1[[#This Row],[x]]-H$3)*(Tabela1[[#This Row],[x]]-H$3) +(Tabela1[[#This Row],[y]]-H$4)*(Tabela1[[#This Row],[y]]-H$4)</f>
        <v>36628</v>
      </c>
      <c r="D4012" s="1">
        <f>IF(Tabela1[[#This Row],[promien]]&lt;40000,1,0)</f>
        <v>1</v>
      </c>
      <c r="E4012" s="1">
        <f>IF(Tabela1[[#This Row],[promien]]=40000,1,0)</f>
        <v>0</v>
      </c>
      <c r="F4012" s="1">
        <v>3.1754735792622135</v>
      </c>
      <c r="G4012" s="1">
        <v>3.3880925672420403E-2</v>
      </c>
    </row>
    <row r="4013" spans="1:7">
      <c r="A4013">
        <v>393</v>
      </c>
      <c r="B4013">
        <v>369</v>
      </c>
      <c r="C4013" s="1">
        <f>(Tabela1[[#This Row],[x]]-H$3)*(Tabela1[[#This Row],[x]]-H$3) +(Tabela1[[#This Row],[y]]-H$4)*(Tabela1[[#This Row],[y]]-H$4)</f>
        <v>65810</v>
      </c>
      <c r="D4013" s="1">
        <f>IF(Tabela1[[#This Row],[promien]]&lt;40000,1,0)</f>
        <v>0</v>
      </c>
      <c r="E4013" s="1">
        <f>IF(Tabela1[[#This Row],[promien]]=40000,1,0)</f>
        <v>0</v>
      </c>
      <c r="F4013" s="1">
        <v>3.1746822825816099</v>
      </c>
      <c r="G4013" s="1">
        <v>3.3089628991816777E-2</v>
      </c>
    </row>
    <row r="4014" spans="1:7">
      <c r="A4014">
        <v>316</v>
      </c>
      <c r="B4014">
        <v>106</v>
      </c>
      <c r="C4014" s="1">
        <f>(Tabela1[[#This Row],[x]]-H$3)*(Tabela1[[#This Row],[x]]-H$3) +(Tabela1[[#This Row],[y]]-H$4)*(Tabela1[[#This Row],[y]]-H$4)</f>
        <v>22292</v>
      </c>
      <c r="D4014" s="1">
        <f>IF(Tabela1[[#This Row],[promien]]&lt;40000,1,0)</f>
        <v>1</v>
      </c>
      <c r="E4014" s="1">
        <f>IF(Tabela1[[#This Row],[promien]]=40000,1,0)</f>
        <v>0</v>
      </c>
      <c r="F4014" s="1">
        <v>3.1748878923766815</v>
      </c>
      <c r="G4014" s="1">
        <v>3.3295238786888337E-2</v>
      </c>
    </row>
    <row r="4015" spans="1:7">
      <c r="A4015">
        <v>53</v>
      </c>
      <c r="B4015">
        <v>277</v>
      </c>
      <c r="C4015" s="1">
        <f>(Tabela1[[#This Row],[x]]-H$3)*(Tabela1[[#This Row],[x]]-H$3) +(Tabela1[[#This Row],[y]]-H$4)*(Tabela1[[#This Row],[y]]-H$4)</f>
        <v>27538</v>
      </c>
      <c r="D4015" s="1">
        <f>IF(Tabela1[[#This Row],[promien]]&lt;40000,1,0)</f>
        <v>1</v>
      </c>
      <c r="E4015" s="1">
        <f>IF(Tabela1[[#This Row],[promien]]=40000,1,0)</f>
        <v>0</v>
      </c>
      <c r="F4015" s="1">
        <v>3.1750933997509341</v>
      </c>
      <c r="G4015" s="1">
        <v>3.350074616114096E-2</v>
      </c>
    </row>
    <row r="4016" spans="1:7">
      <c r="A4016">
        <v>305</v>
      </c>
      <c r="B4016">
        <v>68</v>
      </c>
      <c r="C4016" s="1">
        <f>(Tabela1[[#This Row],[x]]-H$3)*(Tabela1[[#This Row],[x]]-H$3) +(Tabela1[[#This Row],[y]]-H$4)*(Tabela1[[#This Row],[y]]-H$4)</f>
        <v>28449</v>
      </c>
      <c r="D4016" s="1">
        <f>IF(Tabela1[[#This Row],[promien]]&lt;40000,1,0)</f>
        <v>1</v>
      </c>
      <c r="E4016" s="1">
        <f>IF(Tabela1[[#This Row],[promien]]=40000,1,0)</f>
        <v>0</v>
      </c>
      <c r="F4016" s="1">
        <v>3.1752988047808763</v>
      </c>
      <c r="G4016" s="1">
        <v>3.3706151191083222E-2</v>
      </c>
    </row>
    <row r="4017" spans="1:7">
      <c r="A4017">
        <v>205</v>
      </c>
      <c r="B4017">
        <v>317</v>
      </c>
      <c r="C4017" s="1">
        <f>(Tabela1[[#This Row],[x]]-H$3)*(Tabela1[[#This Row],[x]]-H$3) +(Tabela1[[#This Row],[y]]-H$4)*(Tabela1[[#This Row],[y]]-H$4)</f>
        <v>13714</v>
      </c>
      <c r="D4017" s="1">
        <f>IF(Tabela1[[#This Row],[promien]]&lt;40000,1,0)</f>
        <v>1</v>
      </c>
      <c r="E4017" s="1">
        <f>IF(Tabela1[[#This Row],[promien]]=40000,1,0)</f>
        <v>0</v>
      </c>
      <c r="F4017" s="1">
        <v>3.1755041075429427</v>
      </c>
      <c r="G4017" s="1">
        <v>3.391145395314954E-2</v>
      </c>
    </row>
    <row r="4018" spans="1:7">
      <c r="A4018">
        <v>216</v>
      </c>
      <c r="B4018">
        <v>63</v>
      </c>
      <c r="C4018" s="1">
        <f>(Tabela1[[#This Row],[x]]-H$3)*(Tabela1[[#This Row],[x]]-H$3) +(Tabela1[[#This Row],[y]]-H$4)*(Tabela1[[#This Row],[y]]-H$4)</f>
        <v>19025</v>
      </c>
      <c r="D4018" s="1">
        <f>IF(Tabela1[[#This Row],[promien]]&lt;40000,1,0)</f>
        <v>1</v>
      </c>
      <c r="E4018" s="1">
        <f>IF(Tabela1[[#This Row],[promien]]=40000,1,0)</f>
        <v>0</v>
      </c>
      <c r="F4018" s="1">
        <v>3.1757093081134893</v>
      </c>
      <c r="G4018" s="1">
        <v>3.4116654523696166E-2</v>
      </c>
    </row>
    <row r="4019" spans="1:7">
      <c r="A4019">
        <v>372</v>
      </c>
      <c r="B4019">
        <v>71</v>
      </c>
      <c r="C4019" s="1">
        <f>(Tabela1[[#This Row],[x]]-H$3)*(Tabela1[[#This Row],[x]]-H$3) +(Tabela1[[#This Row],[y]]-H$4)*(Tabela1[[#This Row],[y]]-H$4)</f>
        <v>46225</v>
      </c>
      <c r="D4019" s="1">
        <f>IF(Tabela1[[#This Row],[promien]]&lt;40000,1,0)</f>
        <v>0</v>
      </c>
      <c r="E4019" s="1">
        <f>IF(Tabela1[[#This Row],[promien]]=40000,1,0)</f>
        <v>0</v>
      </c>
      <c r="F4019" s="1">
        <v>3.1749191341129634</v>
      </c>
      <c r="G4019" s="1">
        <v>3.3326480523170332E-2</v>
      </c>
    </row>
    <row r="4020" spans="1:7">
      <c r="A4020">
        <v>341</v>
      </c>
      <c r="B4020">
        <v>13</v>
      </c>
      <c r="C4020" s="1">
        <f>(Tabela1[[#This Row],[x]]-H$3)*(Tabela1[[#This Row],[x]]-H$3) +(Tabela1[[#This Row],[y]]-H$4)*(Tabela1[[#This Row],[y]]-H$4)</f>
        <v>54850</v>
      </c>
      <c r="D4020" s="1">
        <f>IF(Tabela1[[#This Row],[promien]]&lt;40000,1,0)</f>
        <v>0</v>
      </c>
      <c r="E4020" s="1">
        <f>IF(Tabela1[[#This Row],[promien]]=40000,1,0)</f>
        <v>0</v>
      </c>
      <c r="F4020" s="1">
        <v>3.1741293532338308</v>
      </c>
      <c r="G4020" s="1">
        <v>3.2536699644037714E-2</v>
      </c>
    </row>
    <row r="4021" spans="1:7">
      <c r="A4021">
        <v>207</v>
      </c>
      <c r="B4021">
        <v>295</v>
      </c>
      <c r="C4021" s="1">
        <f>(Tabela1[[#This Row],[x]]-H$3)*(Tabela1[[#This Row],[x]]-H$3) +(Tabela1[[#This Row],[y]]-H$4)*(Tabela1[[#This Row],[y]]-H$4)</f>
        <v>9074</v>
      </c>
      <c r="D4021" s="1">
        <f>IF(Tabela1[[#This Row],[promien]]&lt;40000,1,0)</f>
        <v>1</v>
      </c>
      <c r="E4021" s="1">
        <f>IF(Tabela1[[#This Row],[promien]]=40000,1,0)</f>
        <v>0</v>
      </c>
      <c r="F4021" s="1">
        <v>3.1743347426013431</v>
      </c>
      <c r="G4021" s="1">
        <v>3.2742089011549957E-2</v>
      </c>
    </row>
    <row r="4022" spans="1:7">
      <c r="A4022">
        <v>347</v>
      </c>
      <c r="B4022">
        <v>278</v>
      </c>
      <c r="C4022" s="1">
        <f>(Tabela1[[#This Row],[x]]-H$3)*(Tabela1[[#This Row],[x]]-H$3) +(Tabela1[[#This Row],[y]]-H$4)*(Tabela1[[#This Row],[y]]-H$4)</f>
        <v>27693</v>
      </c>
      <c r="D4022" s="1">
        <f>IF(Tabela1[[#This Row],[promien]]&lt;40000,1,0)</f>
        <v>1</v>
      </c>
      <c r="E4022" s="1">
        <f>IF(Tabela1[[#This Row],[promien]]=40000,1,0)</f>
        <v>0</v>
      </c>
      <c r="F4022" s="1">
        <v>3.1745400298359026</v>
      </c>
      <c r="G4022" s="1">
        <v>3.2947376246109439E-2</v>
      </c>
    </row>
    <row r="4023" spans="1:7">
      <c r="A4023">
        <v>209</v>
      </c>
      <c r="B4023">
        <v>32</v>
      </c>
      <c r="C4023" s="1">
        <f>(Tabela1[[#This Row],[x]]-H$3)*(Tabela1[[#This Row],[x]]-H$3) +(Tabela1[[#This Row],[y]]-H$4)*(Tabela1[[#This Row],[y]]-H$4)</f>
        <v>28305</v>
      </c>
      <c r="D4023" s="1">
        <f>IF(Tabela1[[#This Row],[promien]]&lt;40000,1,0)</f>
        <v>1</v>
      </c>
      <c r="E4023" s="1">
        <f>IF(Tabela1[[#This Row],[promien]]=40000,1,0)</f>
        <v>0</v>
      </c>
      <c r="F4023" s="1">
        <v>3.1747452150136715</v>
      </c>
      <c r="G4023" s="1">
        <v>3.3152561423878346E-2</v>
      </c>
    </row>
    <row r="4024" spans="1:7">
      <c r="A4024">
        <v>88</v>
      </c>
      <c r="B4024">
        <v>352</v>
      </c>
      <c r="C4024" s="1">
        <f>(Tabela1[[#This Row],[x]]-H$3)*(Tabela1[[#This Row],[x]]-H$3) +(Tabela1[[#This Row],[y]]-H$4)*(Tabela1[[#This Row],[y]]-H$4)</f>
        <v>35648</v>
      </c>
      <c r="D4024" s="1">
        <f>IF(Tabela1[[#This Row],[promien]]&lt;40000,1,0)</f>
        <v>1</v>
      </c>
      <c r="E4024" s="1">
        <f>IF(Tabela1[[#This Row],[promien]]=40000,1,0)</f>
        <v>0</v>
      </c>
      <c r="F4024" s="1">
        <v>3.1749502982107356</v>
      </c>
      <c r="G4024" s="1">
        <v>3.3357644620942484E-2</v>
      </c>
    </row>
    <row r="4025" spans="1:7">
      <c r="A4025">
        <v>300</v>
      </c>
      <c r="B4025">
        <v>15</v>
      </c>
      <c r="C4025" s="1">
        <f>(Tabela1[[#This Row],[x]]-H$3)*(Tabela1[[#This Row],[x]]-H$3) +(Tabela1[[#This Row],[y]]-H$4)*(Tabela1[[#This Row],[y]]-H$4)</f>
        <v>44225</v>
      </c>
      <c r="D4025" s="1">
        <f>IF(Tabela1[[#This Row],[promien]]&lt;40000,1,0)</f>
        <v>0</v>
      </c>
      <c r="E4025" s="1">
        <f>IF(Tabela1[[#This Row],[promien]]=40000,1,0)</f>
        <v>0</v>
      </c>
      <c r="F4025" s="1">
        <v>3.1741614906832298</v>
      </c>
      <c r="G4025" s="1">
        <v>3.256883709343672E-2</v>
      </c>
    </row>
    <row r="4026" spans="1:7">
      <c r="A4026">
        <v>313</v>
      </c>
      <c r="B4026">
        <v>130</v>
      </c>
      <c r="C4026" s="1">
        <f>(Tabela1[[#This Row],[x]]-H$3)*(Tabela1[[#This Row],[x]]-H$3) +(Tabela1[[#This Row],[y]]-H$4)*(Tabela1[[#This Row],[y]]-H$4)</f>
        <v>17669</v>
      </c>
      <c r="D4026" s="1">
        <f>IF(Tabela1[[#This Row],[promien]]&lt;40000,1,0)</f>
        <v>1</v>
      </c>
      <c r="E4026" s="1">
        <f>IF(Tabela1[[#This Row],[promien]]=40000,1,0)</f>
        <v>0</v>
      </c>
      <c r="F4026" s="1">
        <v>3.1743666169895679</v>
      </c>
      <c r="G4026" s="1">
        <v>3.2773963399774786E-2</v>
      </c>
    </row>
    <row r="4027" spans="1:7">
      <c r="A4027">
        <v>280</v>
      </c>
      <c r="B4027">
        <v>282</v>
      </c>
      <c r="C4027" s="1">
        <f>(Tabela1[[#This Row],[x]]-H$3)*(Tabela1[[#This Row],[x]]-H$3) +(Tabela1[[#This Row],[y]]-H$4)*(Tabela1[[#This Row],[y]]-H$4)</f>
        <v>13124</v>
      </c>
      <c r="D4027" s="1">
        <f>IF(Tabela1[[#This Row],[promien]]&lt;40000,1,0)</f>
        <v>1</v>
      </c>
      <c r="E4027" s="1">
        <f>IF(Tabela1[[#This Row],[promien]]=40000,1,0)</f>
        <v>0</v>
      </c>
      <c r="F4027" s="1">
        <v>3.1745716414204121</v>
      </c>
      <c r="G4027" s="1">
        <v>3.2978987830619033E-2</v>
      </c>
    </row>
    <row r="4028" spans="1:7">
      <c r="A4028">
        <v>103</v>
      </c>
      <c r="B4028">
        <v>25</v>
      </c>
      <c r="C4028" s="1">
        <f>(Tabela1[[#This Row],[x]]-H$3)*(Tabela1[[#This Row],[x]]-H$3) +(Tabela1[[#This Row],[y]]-H$4)*(Tabela1[[#This Row],[y]]-H$4)</f>
        <v>40034</v>
      </c>
      <c r="D4028" s="1">
        <f>IF(Tabela1[[#This Row],[promien]]&lt;40000,1,0)</f>
        <v>0</v>
      </c>
      <c r="E4028" s="1">
        <f>IF(Tabela1[[#This Row],[promien]]=40000,1,0)</f>
        <v>0</v>
      </c>
      <c r="F4028" s="1">
        <v>3.173783515392254</v>
      </c>
      <c r="G4028" s="1">
        <v>3.2190861802460891E-2</v>
      </c>
    </row>
    <row r="4029" spans="1:7">
      <c r="A4029">
        <v>3</v>
      </c>
      <c r="B4029">
        <v>185</v>
      </c>
      <c r="C4029" s="1">
        <f>(Tabela1[[#This Row],[x]]-H$3)*(Tabela1[[#This Row],[x]]-H$3) +(Tabela1[[#This Row],[y]]-H$4)*(Tabela1[[#This Row],[y]]-H$4)</f>
        <v>39034</v>
      </c>
      <c r="D4029" s="1">
        <f>IF(Tabela1[[#This Row],[promien]]&lt;40000,1,0)</f>
        <v>1</v>
      </c>
      <c r="E4029" s="1">
        <f>IF(Tabela1[[#This Row],[promien]]=40000,1,0)</f>
        <v>0</v>
      </c>
      <c r="F4029" s="1">
        <v>3.1739885827748822</v>
      </c>
      <c r="G4029" s="1">
        <v>3.2395929185089045E-2</v>
      </c>
    </row>
    <row r="4030" spans="1:7">
      <c r="A4030">
        <v>173</v>
      </c>
      <c r="B4030">
        <v>343</v>
      </c>
      <c r="C4030" s="1">
        <f>(Tabela1[[#This Row],[x]]-H$3)*(Tabela1[[#This Row],[x]]-H$3) +(Tabela1[[#This Row],[y]]-H$4)*(Tabela1[[#This Row],[y]]-H$4)</f>
        <v>21178</v>
      </c>
      <c r="D4030" s="1">
        <f>IF(Tabela1[[#This Row],[promien]]&lt;40000,1,0)</f>
        <v>1</v>
      </c>
      <c r="E4030" s="1">
        <f>IF(Tabela1[[#This Row],[promien]]=40000,1,0)</f>
        <v>0</v>
      </c>
      <c r="F4030" s="1">
        <v>3.1741935483870969</v>
      </c>
      <c r="G4030" s="1">
        <v>3.260089479730377E-2</v>
      </c>
    </row>
    <row r="4031" spans="1:7">
      <c r="A4031">
        <v>393</v>
      </c>
      <c r="B4031">
        <v>18</v>
      </c>
      <c r="C4031" s="1">
        <f>(Tabela1[[#This Row],[x]]-H$3)*(Tabela1[[#This Row],[x]]-H$3) +(Tabela1[[#This Row],[y]]-H$4)*(Tabela1[[#This Row],[y]]-H$4)</f>
        <v>70373</v>
      </c>
      <c r="D4031" s="1">
        <f>IF(Tabela1[[#This Row],[promien]]&lt;40000,1,0)</f>
        <v>0</v>
      </c>
      <c r="E4031" s="1">
        <f>IF(Tabela1[[#This Row],[promien]]=40000,1,0)</f>
        <v>0</v>
      </c>
      <c r="F4031" s="1">
        <v>3.1734061027040434</v>
      </c>
      <c r="G4031" s="1">
        <v>3.1813449114250325E-2</v>
      </c>
    </row>
    <row r="4032" spans="1:7">
      <c r="A4032">
        <v>112</v>
      </c>
      <c r="B4032">
        <v>212</v>
      </c>
      <c r="C4032" s="1">
        <f>(Tabela1[[#This Row],[x]]-H$3)*(Tabela1[[#This Row],[x]]-H$3) +(Tabela1[[#This Row],[y]]-H$4)*(Tabela1[[#This Row],[y]]-H$4)</f>
        <v>7888</v>
      </c>
      <c r="D4032" s="1">
        <f>IF(Tabela1[[#This Row],[promien]]&lt;40000,1,0)</f>
        <v>1</v>
      </c>
      <c r="E4032" s="1">
        <f>IF(Tabela1[[#This Row],[promien]]=40000,1,0)</f>
        <v>0</v>
      </c>
      <c r="F4032" s="1">
        <v>3.1736111111111112</v>
      </c>
      <c r="G4032" s="1">
        <v>3.2018457521318044E-2</v>
      </c>
    </row>
    <row r="4033" spans="1:7">
      <c r="A4033">
        <v>130</v>
      </c>
      <c r="B4033">
        <v>334</v>
      </c>
      <c r="C4033" s="1">
        <f>(Tabela1[[#This Row],[x]]-H$3)*(Tabela1[[#This Row],[x]]-H$3) +(Tabela1[[#This Row],[y]]-H$4)*(Tabela1[[#This Row],[y]]-H$4)</f>
        <v>22856</v>
      </c>
      <c r="D4033" s="1">
        <f>IF(Tabela1[[#This Row],[promien]]&lt;40000,1,0)</f>
        <v>1</v>
      </c>
      <c r="E4033" s="1">
        <f>IF(Tabela1[[#This Row],[promien]]=40000,1,0)</f>
        <v>0</v>
      </c>
      <c r="F4033" s="1">
        <v>3.1738160178527153</v>
      </c>
      <c r="G4033" s="1">
        <v>3.2223364262922161E-2</v>
      </c>
    </row>
    <row r="4034" spans="1:7">
      <c r="A4034">
        <v>324</v>
      </c>
      <c r="B4034">
        <v>115</v>
      </c>
      <c r="C4034" s="1">
        <f>(Tabela1[[#This Row],[x]]-H$3)*(Tabela1[[#This Row],[x]]-H$3) +(Tabela1[[#This Row],[y]]-H$4)*(Tabela1[[#This Row],[y]]-H$4)</f>
        <v>22601</v>
      </c>
      <c r="D4034" s="1">
        <f>IF(Tabela1[[#This Row],[promien]]&lt;40000,1,0)</f>
        <v>1</v>
      </c>
      <c r="E4034" s="1">
        <f>IF(Tabela1[[#This Row],[promien]]=40000,1,0)</f>
        <v>0</v>
      </c>
      <c r="F4034" s="1">
        <v>3.174020823004462</v>
      </c>
      <c r="G4034" s="1">
        <v>3.2428169414668861E-2</v>
      </c>
    </row>
    <row r="4035" spans="1:7">
      <c r="A4035">
        <v>254</v>
      </c>
      <c r="B4035">
        <v>158</v>
      </c>
      <c r="C4035" s="1">
        <f>(Tabela1[[#This Row],[x]]-H$3)*(Tabela1[[#This Row],[x]]-H$3) +(Tabela1[[#This Row],[y]]-H$4)*(Tabela1[[#This Row],[y]]-H$4)</f>
        <v>4680</v>
      </c>
      <c r="D4035" s="1">
        <f>IF(Tabela1[[#This Row],[promien]]&lt;40000,1,0)</f>
        <v>1</v>
      </c>
      <c r="E4035" s="1">
        <f>IF(Tabela1[[#This Row],[promien]]=40000,1,0)</f>
        <v>0</v>
      </c>
      <c r="F4035" s="1">
        <v>3.1742255266418837</v>
      </c>
      <c r="G4035" s="1">
        <v>3.2632873052090616E-2</v>
      </c>
    </row>
    <row r="4036" spans="1:7">
      <c r="A4036">
        <v>23</v>
      </c>
      <c r="B4036">
        <v>238</v>
      </c>
      <c r="C4036" s="1">
        <f>(Tabela1[[#This Row],[x]]-H$3)*(Tabela1[[#This Row],[x]]-H$3) +(Tabela1[[#This Row],[y]]-H$4)*(Tabela1[[#This Row],[y]]-H$4)</f>
        <v>32773</v>
      </c>
      <c r="D4036" s="1">
        <f>IF(Tabela1[[#This Row],[promien]]&lt;40000,1,0)</f>
        <v>1</v>
      </c>
      <c r="E4036" s="1">
        <f>IF(Tabela1[[#This Row],[promien]]=40000,1,0)</f>
        <v>0</v>
      </c>
      <c r="F4036" s="1">
        <v>3.1744301288404362</v>
      </c>
      <c r="G4036" s="1">
        <v>3.2837475250643067E-2</v>
      </c>
    </row>
    <row r="4037" spans="1:7">
      <c r="A4037">
        <v>180</v>
      </c>
      <c r="B4037">
        <v>183</v>
      </c>
      <c r="C4037" s="1">
        <f>(Tabela1[[#This Row],[x]]-H$3)*(Tabela1[[#This Row],[x]]-H$3) +(Tabela1[[#This Row],[y]]-H$4)*(Tabela1[[#This Row],[y]]-H$4)</f>
        <v>689</v>
      </c>
      <c r="D4037" s="1">
        <f>IF(Tabela1[[#This Row],[promien]]&lt;40000,1,0)</f>
        <v>1</v>
      </c>
      <c r="E4037" s="1">
        <f>IF(Tabela1[[#This Row],[promien]]=40000,1,0)</f>
        <v>0</v>
      </c>
      <c r="F4037" s="1">
        <v>3.1746346296755017</v>
      </c>
      <c r="G4037" s="1">
        <v>3.304197608570858E-2</v>
      </c>
    </row>
    <row r="4038" spans="1:7">
      <c r="A4038">
        <v>371</v>
      </c>
      <c r="B4038">
        <v>345</v>
      </c>
      <c r="C4038" s="1">
        <f>(Tabela1[[#This Row],[x]]-H$3)*(Tabela1[[#This Row],[x]]-H$3) +(Tabela1[[#This Row],[y]]-H$4)*(Tabela1[[#This Row],[y]]-H$4)</f>
        <v>50266</v>
      </c>
      <c r="D4038" s="1">
        <f>IF(Tabela1[[#This Row],[promien]]&lt;40000,1,0)</f>
        <v>0</v>
      </c>
      <c r="E4038" s="1">
        <f>IF(Tabela1[[#This Row],[promien]]=40000,1,0)</f>
        <v>0</v>
      </c>
      <c r="F4038" s="1">
        <v>3.1738484398216937</v>
      </c>
      <c r="G4038" s="1">
        <v>3.2255786231900618E-2</v>
      </c>
    </row>
    <row r="4039" spans="1:7">
      <c r="A4039">
        <v>281</v>
      </c>
      <c r="B4039">
        <v>8</v>
      </c>
      <c r="C4039" s="1">
        <f>(Tabela1[[#This Row],[x]]-H$3)*(Tabela1[[#This Row],[x]]-H$3) +(Tabela1[[#This Row],[y]]-H$4)*(Tabela1[[#This Row],[y]]-H$4)</f>
        <v>43425</v>
      </c>
      <c r="D4039" s="1">
        <f>IF(Tabela1[[#This Row],[promien]]&lt;40000,1,0)</f>
        <v>0</v>
      </c>
      <c r="E4039" s="1">
        <f>IF(Tabela1[[#This Row],[promien]]=40000,1,0)</f>
        <v>0</v>
      </c>
      <c r="F4039" s="1">
        <v>3.1730626392671453</v>
      </c>
      <c r="G4039" s="1">
        <v>3.1469985677352152E-2</v>
      </c>
    </row>
    <row r="4040" spans="1:7">
      <c r="A4040">
        <v>211</v>
      </c>
      <c r="B4040">
        <v>308</v>
      </c>
      <c r="C4040" s="1">
        <f>(Tabela1[[#This Row],[x]]-H$3)*(Tabela1[[#This Row],[x]]-H$3) +(Tabela1[[#This Row],[y]]-H$4)*(Tabela1[[#This Row],[y]]-H$4)</f>
        <v>11785</v>
      </c>
      <c r="D4040" s="1">
        <f>IF(Tabela1[[#This Row],[promien]]&lt;40000,1,0)</f>
        <v>1</v>
      </c>
      <c r="E4040" s="1">
        <f>IF(Tabela1[[#This Row],[promien]]=40000,1,0)</f>
        <v>0</v>
      </c>
      <c r="F4040" s="1">
        <v>3.1732673267326734</v>
      </c>
      <c r="G4040" s="1">
        <v>3.1674673142880305E-2</v>
      </c>
    </row>
    <row r="4041" spans="1:7">
      <c r="A4041">
        <v>37</v>
      </c>
      <c r="B4041">
        <v>194</v>
      </c>
      <c r="C4041" s="1">
        <f>(Tabela1[[#This Row],[x]]-H$3)*(Tabela1[[#This Row],[x]]-H$3) +(Tabela1[[#This Row],[y]]-H$4)*(Tabela1[[#This Row],[y]]-H$4)</f>
        <v>26605</v>
      </c>
      <c r="D4041" s="1">
        <f>IF(Tabela1[[#This Row],[promien]]&lt;40000,1,0)</f>
        <v>1</v>
      </c>
      <c r="E4041" s="1">
        <f>IF(Tabela1[[#This Row],[promien]]=40000,1,0)</f>
        <v>0</v>
      </c>
      <c r="F4041" s="1">
        <v>3.1734719128928481</v>
      </c>
      <c r="G4041" s="1">
        <v>3.1879259303055019E-2</v>
      </c>
    </row>
    <row r="4042" spans="1:7">
      <c r="A4042">
        <v>91</v>
      </c>
      <c r="B4042">
        <v>119</v>
      </c>
      <c r="C4042" s="1">
        <f>(Tabela1[[#This Row],[x]]-H$3)*(Tabela1[[#This Row],[x]]-H$3) +(Tabela1[[#This Row],[y]]-H$4)*(Tabela1[[#This Row],[y]]-H$4)</f>
        <v>18442</v>
      </c>
      <c r="D4042" s="1">
        <f>IF(Tabela1[[#This Row],[promien]]&lt;40000,1,0)</f>
        <v>1</v>
      </c>
      <c r="E4042" s="1">
        <f>IF(Tabela1[[#This Row],[promien]]=40000,1,0)</f>
        <v>0</v>
      </c>
      <c r="F4042" s="1">
        <v>3.1736763978228599</v>
      </c>
      <c r="G4042" s="1">
        <v>3.2083744233066813E-2</v>
      </c>
    </row>
    <row r="4043" spans="1:7">
      <c r="A4043">
        <v>7</v>
      </c>
      <c r="B4043">
        <v>54</v>
      </c>
      <c r="C4043" s="1">
        <f>(Tabela1[[#This Row],[x]]-H$3)*(Tabela1[[#This Row],[x]]-H$3) +(Tabela1[[#This Row],[y]]-H$4)*(Tabela1[[#This Row],[y]]-H$4)</f>
        <v>58565</v>
      </c>
      <c r="D4043" s="1">
        <f>IF(Tabela1[[#This Row],[promien]]&lt;40000,1,0)</f>
        <v>0</v>
      </c>
      <c r="E4043" s="1">
        <f>IF(Tabela1[[#This Row],[promien]]=40000,1,0)</f>
        <v>0</v>
      </c>
      <c r="F4043" s="1">
        <v>3.1728914172644078</v>
      </c>
      <c r="G4043" s="1">
        <v>3.1298763674614705E-2</v>
      </c>
    </row>
    <row r="4044" spans="1:7">
      <c r="A4044">
        <v>58</v>
      </c>
      <c r="B4044">
        <v>275</v>
      </c>
      <c r="C4044" s="1">
        <f>(Tabela1[[#This Row],[x]]-H$3)*(Tabela1[[#This Row],[x]]-H$3) +(Tabela1[[#This Row],[y]]-H$4)*(Tabela1[[#This Row],[y]]-H$4)</f>
        <v>25789</v>
      </c>
      <c r="D4044" s="1">
        <f>IF(Tabela1[[#This Row],[promien]]&lt;40000,1,0)</f>
        <v>1</v>
      </c>
      <c r="E4044" s="1">
        <f>IF(Tabela1[[#This Row],[promien]]=40000,1,0)</f>
        <v>0</v>
      </c>
      <c r="F4044" s="1">
        <v>3.1730959446092979</v>
      </c>
      <c r="G4044" s="1">
        <v>3.1503291019504776E-2</v>
      </c>
    </row>
    <row r="4045" spans="1:7">
      <c r="A4045">
        <v>297</v>
      </c>
      <c r="B4045">
        <v>375</v>
      </c>
      <c r="C4045" s="1">
        <f>(Tabela1[[#This Row],[x]]-H$3)*(Tabela1[[#This Row],[x]]-H$3) +(Tabela1[[#This Row],[y]]-H$4)*(Tabela1[[#This Row],[y]]-H$4)</f>
        <v>40034</v>
      </c>
      <c r="D4045" s="1">
        <f>IF(Tabela1[[#This Row],[promien]]&lt;40000,1,0)</f>
        <v>0</v>
      </c>
      <c r="E4045" s="1">
        <f>IF(Tabela1[[#This Row],[promien]]=40000,1,0)</f>
        <v>0</v>
      </c>
      <c r="F4045" s="1">
        <v>3.1723114956736711</v>
      </c>
      <c r="G4045" s="1">
        <v>3.0718842083877984E-2</v>
      </c>
    </row>
    <row r="4046" spans="1:7">
      <c r="A4046">
        <v>139</v>
      </c>
      <c r="B4046">
        <v>283</v>
      </c>
      <c r="C4046" s="1">
        <f>(Tabela1[[#This Row],[x]]-H$3)*(Tabela1[[#This Row],[x]]-H$3) +(Tabela1[[#This Row],[y]]-H$4)*(Tabela1[[#This Row],[y]]-H$4)</f>
        <v>10610</v>
      </c>
      <c r="D4046" s="1">
        <f>IF(Tabela1[[#This Row],[promien]]&lt;40000,1,0)</f>
        <v>1</v>
      </c>
      <c r="E4046" s="1">
        <f>IF(Tabela1[[#This Row],[promien]]=40000,1,0)</f>
        <v>0</v>
      </c>
      <c r="F4046" s="1">
        <v>3.1725160652496291</v>
      </c>
      <c r="G4046" s="1">
        <v>3.0923411659836031E-2</v>
      </c>
    </row>
    <row r="4047" spans="1:7">
      <c r="A4047">
        <v>147</v>
      </c>
      <c r="B4047">
        <v>365</v>
      </c>
      <c r="C4047" s="1">
        <f>(Tabela1[[#This Row],[x]]-H$3)*(Tabela1[[#This Row],[x]]-H$3) +(Tabela1[[#This Row],[y]]-H$4)*(Tabela1[[#This Row],[y]]-H$4)</f>
        <v>30034</v>
      </c>
      <c r="D4047" s="1">
        <f>IF(Tabela1[[#This Row],[promien]]&lt;40000,1,0)</f>
        <v>1</v>
      </c>
      <c r="E4047" s="1">
        <f>IF(Tabela1[[#This Row],[promien]]=40000,1,0)</f>
        <v>0</v>
      </c>
      <c r="F4047" s="1">
        <v>3.1727205337286879</v>
      </c>
      <c r="G4047" s="1">
        <v>3.1127880138894781E-2</v>
      </c>
    </row>
    <row r="4048" spans="1:7">
      <c r="A4048">
        <v>100</v>
      </c>
      <c r="B4048">
        <v>109</v>
      </c>
      <c r="C4048" s="1">
        <f>(Tabela1[[#This Row],[x]]-H$3)*(Tabela1[[#This Row],[x]]-H$3) +(Tabela1[[#This Row],[y]]-H$4)*(Tabela1[[#This Row],[y]]-H$4)</f>
        <v>18281</v>
      </c>
      <c r="D4048" s="1">
        <f>IF(Tabela1[[#This Row],[promien]]&lt;40000,1,0)</f>
        <v>1</v>
      </c>
      <c r="E4048" s="1">
        <f>IF(Tabela1[[#This Row],[promien]]=40000,1,0)</f>
        <v>0</v>
      </c>
      <c r="F4048" s="1">
        <v>3.1729249011857705</v>
      </c>
      <c r="G4048" s="1">
        <v>3.1332247595977414E-2</v>
      </c>
    </row>
    <row r="4049" spans="1:7">
      <c r="A4049">
        <v>263</v>
      </c>
      <c r="B4049">
        <v>304</v>
      </c>
      <c r="C4049" s="1">
        <f>(Tabela1[[#This Row],[x]]-H$3)*(Tabela1[[#This Row],[x]]-H$3) +(Tabela1[[#This Row],[y]]-H$4)*(Tabela1[[#This Row],[y]]-H$4)</f>
        <v>14785</v>
      </c>
      <c r="D4049" s="1">
        <f>IF(Tabela1[[#This Row],[promien]]&lt;40000,1,0)</f>
        <v>1</v>
      </c>
      <c r="E4049" s="1">
        <f>IF(Tabela1[[#This Row],[promien]]=40000,1,0)</f>
        <v>0</v>
      </c>
      <c r="F4049" s="1">
        <v>3.1731291676957274</v>
      </c>
      <c r="G4049" s="1">
        <v>3.1536514105934277E-2</v>
      </c>
    </row>
    <row r="4050" spans="1:7">
      <c r="A4050">
        <v>204</v>
      </c>
      <c r="B4050">
        <v>252</v>
      </c>
      <c r="C4050" s="1">
        <f>(Tabela1[[#This Row],[x]]-H$3)*(Tabela1[[#This Row],[x]]-H$3) +(Tabela1[[#This Row],[y]]-H$4)*(Tabela1[[#This Row],[y]]-H$4)</f>
        <v>2720</v>
      </c>
      <c r="D4050" s="1">
        <f>IF(Tabela1[[#This Row],[promien]]&lt;40000,1,0)</f>
        <v>1</v>
      </c>
      <c r="E4050" s="1">
        <f>IF(Tabela1[[#This Row],[promien]]=40000,1,0)</f>
        <v>0</v>
      </c>
      <c r="F4050" s="1">
        <v>3.1733333333333333</v>
      </c>
      <c r="G4050" s="1">
        <v>3.1740679743540223E-2</v>
      </c>
    </row>
    <row r="4051" spans="1:7">
      <c r="A4051">
        <v>356</v>
      </c>
      <c r="B4051">
        <v>45</v>
      </c>
      <c r="C4051" s="1">
        <f>(Tabela1[[#This Row],[x]]-H$3)*(Tabela1[[#This Row],[x]]-H$3) +(Tabela1[[#This Row],[y]]-H$4)*(Tabela1[[#This Row],[y]]-H$4)</f>
        <v>48361</v>
      </c>
      <c r="D4051" s="1">
        <f>IF(Tabela1[[#This Row],[promien]]&lt;40000,1,0)</f>
        <v>0</v>
      </c>
      <c r="E4051" s="1">
        <f>IF(Tabela1[[#This Row],[promien]]=40000,1,0)</f>
        <v>0</v>
      </c>
      <c r="F4051" s="1">
        <v>3.1725499876573684</v>
      </c>
      <c r="G4051" s="1">
        <v>3.0957334067575282E-2</v>
      </c>
    </row>
    <row r="4052" spans="1:7">
      <c r="A4052">
        <v>368</v>
      </c>
      <c r="B4052">
        <v>234</v>
      </c>
      <c r="C4052" s="1">
        <f>(Tabela1[[#This Row],[x]]-H$3)*(Tabela1[[#This Row],[x]]-H$3) +(Tabela1[[#This Row],[y]]-H$4)*(Tabela1[[#This Row],[y]]-H$4)</f>
        <v>29380</v>
      </c>
      <c r="D4052" s="1">
        <f>IF(Tabela1[[#This Row],[promien]]&lt;40000,1,0)</f>
        <v>1</v>
      </c>
      <c r="E4052" s="1">
        <f>IF(Tabela1[[#This Row],[promien]]=40000,1,0)</f>
        <v>0</v>
      </c>
      <c r="F4052" s="1">
        <v>3.1727541954590324</v>
      </c>
      <c r="G4052" s="1">
        <v>3.1161541869239251E-2</v>
      </c>
    </row>
    <row r="4053" spans="1:7">
      <c r="A4053">
        <v>197</v>
      </c>
      <c r="B4053">
        <v>265</v>
      </c>
      <c r="C4053" s="1">
        <f>(Tabela1[[#This Row],[x]]-H$3)*(Tabela1[[#This Row],[x]]-H$3) +(Tabela1[[#This Row],[y]]-H$4)*(Tabela1[[#This Row],[y]]-H$4)</f>
        <v>4234</v>
      </c>
      <c r="D4053" s="1">
        <f>IF(Tabela1[[#This Row],[promien]]&lt;40000,1,0)</f>
        <v>1</v>
      </c>
      <c r="E4053" s="1">
        <f>IF(Tabela1[[#This Row],[promien]]=40000,1,0)</f>
        <v>0</v>
      </c>
      <c r="F4053" s="1">
        <v>3.1729583024919812</v>
      </c>
      <c r="G4053" s="1">
        <v>3.136564890218807E-2</v>
      </c>
    </row>
    <row r="4054" spans="1:7">
      <c r="A4054">
        <v>194</v>
      </c>
      <c r="B4054">
        <v>45</v>
      </c>
      <c r="C4054" s="1">
        <f>(Tabela1[[#This Row],[x]]-H$3)*(Tabela1[[#This Row],[x]]-H$3) +(Tabela1[[#This Row],[y]]-H$4)*(Tabela1[[#This Row],[y]]-H$4)</f>
        <v>24061</v>
      </c>
      <c r="D4054" s="1">
        <f>IF(Tabela1[[#This Row],[promien]]&lt;40000,1,0)</f>
        <v>1</v>
      </c>
      <c r="E4054" s="1">
        <f>IF(Tabela1[[#This Row],[promien]]=40000,1,0)</f>
        <v>0</v>
      </c>
      <c r="F4054" s="1">
        <v>3.1731623088307845</v>
      </c>
      <c r="G4054" s="1">
        <v>3.1569655240991423E-2</v>
      </c>
    </row>
    <row r="4055" spans="1:7">
      <c r="A4055">
        <v>202</v>
      </c>
      <c r="B4055">
        <v>68</v>
      </c>
      <c r="C4055" s="1">
        <f>(Tabela1[[#This Row],[x]]-H$3)*(Tabela1[[#This Row],[x]]-H$3) +(Tabela1[[#This Row],[y]]-H$4)*(Tabela1[[#This Row],[y]]-H$4)</f>
        <v>17428</v>
      </c>
      <c r="D4055" s="1">
        <f>IF(Tabela1[[#This Row],[promien]]&lt;40000,1,0)</f>
        <v>1</v>
      </c>
      <c r="E4055" s="1">
        <f>IF(Tabela1[[#This Row],[promien]]=40000,1,0)</f>
        <v>0</v>
      </c>
      <c r="F4055" s="1">
        <v>3.1733662145499384</v>
      </c>
      <c r="G4055" s="1">
        <v>3.1773560960145275E-2</v>
      </c>
    </row>
    <row r="4056" spans="1:7">
      <c r="A4056">
        <v>129</v>
      </c>
      <c r="B4056">
        <v>16</v>
      </c>
      <c r="C4056" s="1">
        <f>(Tabela1[[#This Row],[x]]-H$3)*(Tabela1[[#This Row],[x]]-H$3) +(Tabela1[[#This Row],[y]]-H$4)*(Tabela1[[#This Row],[y]]-H$4)</f>
        <v>38897</v>
      </c>
      <c r="D4056" s="1">
        <f>IF(Tabela1[[#This Row],[promien]]&lt;40000,1,0)</f>
        <v>1</v>
      </c>
      <c r="E4056" s="1">
        <f>IF(Tabela1[[#This Row],[promien]]=40000,1,0)</f>
        <v>0</v>
      </c>
      <c r="F4056" s="1">
        <v>3.1735700197238659</v>
      </c>
      <c r="G4056" s="1">
        <v>3.197736613407276E-2</v>
      </c>
    </row>
    <row r="4057" spans="1:7">
      <c r="A4057">
        <v>50</v>
      </c>
      <c r="B4057">
        <v>289</v>
      </c>
      <c r="C4057" s="1">
        <f>(Tabela1[[#This Row],[x]]-H$3)*(Tabela1[[#This Row],[x]]-H$3) +(Tabela1[[#This Row],[y]]-H$4)*(Tabela1[[#This Row],[y]]-H$4)</f>
        <v>30421</v>
      </c>
      <c r="D4057" s="1">
        <f>IF(Tabela1[[#This Row],[promien]]&lt;40000,1,0)</f>
        <v>1</v>
      </c>
      <c r="E4057" s="1">
        <f>IF(Tabela1[[#This Row],[promien]]=40000,1,0)</f>
        <v>0</v>
      </c>
      <c r="F4057" s="1">
        <v>3.1737737244269164</v>
      </c>
      <c r="G4057" s="1">
        <v>3.2181070837123293E-2</v>
      </c>
    </row>
    <row r="4058" spans="1:7">
      <c r="A4058">
        <v>75</v>
      </c>
      <c r="B4058">
        <v>214</v>
      </c>
      <c r="C4058" s="1">
        <f>(Tabela1[[#This Row],[x]]-H$3)*(Tabela1[[#This Row],[x]]-H$3) +(Tabela1[[#This Row],[y]]-H$4)*(Tabela1[[#This Row],[y]]-H$4)</f>
        <v>15821</v>
      </c>
      <c r="D4058" s="1">
        <f>IF(Tabela1[[#This Row],[promien]]&lt;40000,1,0)</f>
        <v>1</v>
      </c>
      <c r="E4058" s="1">
        <f>IF(Tabela1[[#This Row],[promien]]=40000,1,0)</f>
        <v>0</v>
      </c>
      <c r="F4058" s="1">
        <v>3.1739773287333661</v>
      </c>
      <c r="G4058" s="1">
        <v>3.2384675143573016E-2</v>
      </c>
    </row>
    <row r="4059" spans="1:7">
      <c r="A4059">
        <v>331</v>
      </c>
      <c r="B4059">
        <v>276</v>
      </c>
      <c r="C4059" s="1">
        <f>(Tabela1[[#This Row],[x]]-H$3)*(Tabela1[[#This Row],[x]]-H$3) +(Tabela1[[#This Row],[y]]-H$4)*(Tabela1[[#This Row],[y]]-H$4)</f>
        <v>22937</v>
      </c>
      <c r="D4059" s="1">
        <f>IF(Tabela1[[#This Row],[promien]]&lt;40000,1,0)</f>
        <v>1</v>
      </c>
      <c r="E4059" s="1">
        <f>IF(Tabela1[[#This Row],[promien]]=40000,1,0)</f>
        <v>0</v>
      </c>
      <c r="F4059" s="1">
        <v>3.1741808327174179</v>
      </c>
      <c r="G4059" s="1">
        <v>3.2588179127624795E-2</v>
      </c>
    </row>
    <row r="4060" spans="1:7">
      <c r="A4060">
        <v>233</v>
      </c>
      <c r="B4060">
        <v>65</v>
      </c>
      <c r="C4060" s="1">
        <f>(Tabela1[[#This Row],[x]]-H$3)*(Tabela1[[#This Row],[x]]-H$3) +(Tabela1[[#This Row],[y]]-H$4)*(Tabela1[[#This Row],[y]]-H$4)</f>
        <v>19314</v>
      </c>
      <c r="D4060" s="1">
        <f>IF(Tabela1[[#This Row],[promien]]&lt;40000,1,0)</f>
        <v>1</v>
      </c>
      <c r="E4060" s="1">
        <f>IF(Tabela1[[#This Row],[promien]]=40000,1,0)</f>
        <v>0</v>
      </c>
      <c r="F4060" s="1">
        <v>3.1743842364532018</v>
      </c>
      <c r="G4060" s="1">
        <v>3.2791582863408664E-2</v>
      </c>
    </row>
    <row r="4061" spans="1:7">
      <c r="A4061">
        <v>378</v>
      </c>
      <c r="B4061">
        <v>137</v>
      </c>
      <c r="C4061" s="1">
        <f>(Tabela1[[#This Row],[x]]-H$3)*(Tabela1[[#This Row],[x]]-H$3) +(Tabela1[[#This Row],[y]]-H$4)*(Tabela1[[#This Row],[y]]-H$4)</f>
        <v>35653</v>
      </c>
      <c r="D4061" s="1">
        <f>IF(Tabela1[[#This Row],[promien]]&lt;40000,1,0)</f>
        <v>1</v>
      </c>
      <c r="E4061" s="1">
        <f>IF(Tabela1[[#This Row],[promien]]=40000,1,0)</f>
        <v>0</v>
      </c>
      <c r="F4061" s="1">
        <v>3.1745875400147745</v>
      </c>
      <c r="G4061" s="1">
        <v>3.2994886424981384E-2</v>
      </c>
    </row>
    <row r="4062" spans="1:7">
      <c r="A4062">
        <v>379</v>
      </c>
      <c r="B4062">
        <v>136</v>
      </c>
      <c r="C4062" s="1">
        <f>(Tabela1[[#This Row],[x]]-H$3)*(Tabela1[[#This Row],[x]]-H$3) +(Tabela1[[#This Row],[y]]-H$4)*(Tabela1[[#This Row],[y]]-H$4)</f>
        <v>36137</v>
      </c>
      <c r="D4062" s="1">
        <f>IF(Tabela1[[#This Row],[promien]]&lt;40000,1,0)</f>
        <v>1</v>
      </c>
      <c r="E4062" s="1">
        <f>IF(Tabela1[[#This Row],[promien]]=40000,1,0)</f>
        <v>0</v>
      </c>
      <c r="F4062" s="1">
        <v>3.17479074347612</v>
      </c>
      <c r="G4062" s="1">
        <v>3.3198089886326887E-2</v>
      </c>
    </row>
    <row r="4063" spans="1:7">
      <c r="A4063">
        <v>105</v>
      </c>
      <c r="B4063">
        <v>334</v>
      </c>
      <c r="C4063" s="1">
        <f>(Tabela1[[#This Row],[x]]-H$3)*(Tabela1[[#This Row],[x]]-H$3) +(Tabela1[[#This Row],[y]]-H$4)*(Tabela1[[#This Row],[y]]-H$4)</f>
        <v>26981</v>
      </c>
      <c r="D4063" s="1">
        <f>IF(Tabela1[[#This Row],[promien]]&lt;40000,1,0)</f>
        <v>1</v>
      </c>
      <c r="E4063" s="1">
        <f>IF(Tabela1[[#This Row],[promien]]=40000,1,0)</f>
        <v>0</v>
      </c>
      <c r="F4063" s="1">
        <v>3.1749938469111494</v>
      </c>
      <c r="G4063" s="1">
        <v>3.3401193321356271E-2</v>
      </c>
    </row>
    <row r="4064" spans="1:7">
      <c r="A4064">
        <v>168</v>
      </c>
      <c r="B4064">
        <v>51</v>
      </c>
      <c r="C4064" s="1">
        <f>(Tabela1[[#This Row],[x]]-H$3)*(Tabela1[[#This Row],[x]]-H$3) +(Tabela1[[#This Row],[y]]-H$4)*(Tabela1[[#This Row],[y]]-H$4)</f>
        <v>23225</v>
      </c>
      <c r="D4064" s="1">
        <f>IF(Tabela1[[#This Row],[promien]]&lt;40000,1,0)</f>
        <v>1</v>
      </c>
      <c r="E4064" s="1">
        <f>IF(Tabela1[[#This Row],[promien]]=40000,1,0)</f>
        <v>0</v>
      </c>
      <c r="F4064" s="1">
        <v>3.1751968503937009</v>
      </c>
      <c r="G4064" s="1">
        <v>3.3604196803907804E-2</v>
      </c>
    </row>
    <row r="4065" spans="1:7">
      <c r="A4065">
        <v>68</v>
      </c>
      <c r="B4065">
        <v>15</v>
      </c>
      <c r="C4065" s="1">
        <f>(Tabela1[[#This Row],[x]]-H$3)*(Tabela1[[#This Row],[x]]-H$3) +(Tabela1[[#This Row],[y]]-H$4)*(Tabela1[[#This Row],[y]]-H$4)</f>
        <v>51649</v>
      </c>
      <c r="D4065" s="1">
        <f>IF(Tabela1[[#This Row],[promien]]&lt;40000,1,0)</f>
        <v>0</v>
      </c>
      <c r="E4065" s="1">
        <f>IF(Tabela1[[#This Row],[promien]]=40000,1,0)</f>
        <v>0</v>
      </c>
      <c r="F4065" s="1">
        <v>3.1744157441574417</v>
      </c>
      <c r="G4065" s="1">
        <v>3.2823090567648538E-2</v>
      </c>
    </row>
    <row r="4066" spans="1:7">
      <c r="A4066">
        <v>65</v>
      </c>
      <c r="B4066">
        <v>354</v>
      </c>
      <c r="C4066" s="1">
        <f>(Tabela1[[#This Row],[x]]-H$3)*(Tabela1[[#This Row],[x]]-H$3) +(Tabela1[[#This Row],[y]]-H$4)*(Tabela1[[#This Row],[y]]-H$4)</f>
        <v>41941</v>
      </c>
      <c r="D4066" s="1">
        <f>IF(Tabela1[[#This Row],[promien]]&lt;40000,1,0)</f>
        <v>0</v>
      </c>
      <c r="E4066" s="1">
        <f>IF(Tabela1[[#This Row],[promien]]=40000,1,0)</f>
        <v>0</v>
      </c>
      <c r="F4066" s="1">
        <v>3.1736350221347762</v>
      </c>
      <c r="G4066" s="1">
        <v>3.2042368544983102E-2</v>
      </c>
    </row>
    <row r="4067" spans="1:7">
      <c r="A4067">
        <v>132</v>
      </c>
      <c r="B4067">
        <v>283</v>
      </c>
      <c r="C4067" s="1">
        <f>(Tabela1[[#This Row],[x]]-H$3)*(Tabela1[[#This Row],[x]]-H$3) +(Tabela1[[#This Row],[y]]-H$4)*(Tabela1[[#This Row],[y]]-H$4)</f>
        <v>11513</v>
      </c>
      <c r="D4067" s="1">
        <f>IF(Tabela1[[#This Row],[promien]]&lt;40000,1,0)</f>
        <v>1</v>
      </c>
      <c r="E4067" s="1">
        <f>IF(Tabela1[[#This Row],[promien]]=40000,1,0)</f>
        <v>0</v>
      </c>
      <c r="F4067" s="1">
        <v>3.1738382099827884</v>
      </c>
      <c r="G4067" s="1">
        <v>3.2245556392995312E-2</v>
      </c>
    </row>
    <row r="4068" spans="1:7">
      <c r="A4068">
        <v>112</v>
      </c>
      <c r="B4068">
        <v>314</v>
      </c>
      <c r="C4068" s="1">
        <f>(Tabela1[[#This Row],[x]]-H$3)*(Tabela1[[#This Row],[x]]-H$3) +(Tabela1[[#This Row],[y]]-H$4)*(Tabela1[[#This Row],[y]]-H$4)</f>
        <v>20740</v>
      </c>
      <c r="D4068" s="1">
        <f>IF(Tabela1[[#This Row],[promien]]&lt;40000,1,0)</f>
        <v>1</v>
      </c>
      <c r="E4068" s="1">
        <f>IF(Tabela1[[#This Row],[promien]]=40000,1,0)</f>
        <v>0</v>
      </c>
      <c r="F4068" s="1">
        <v>3.1740412979351031</v>
      </c>
      <c r="G4068" s="1">
        <v>3.2448644345310029E-2</v>
      </c>
    </row>
    <row r="4069" spans="1:7">
      <c r="A4069">
        <v>29</v>
      </c>
      <c r="B4069">
        <v>7</v>
      </c>
      <c r="C4069" s="1">
        <f>(Tabela1[[#This Row],[x]]-H$3)*(Tabela1[[#This Row],[x]]-H$3) +(Tabela1[[#This Row],[y]]-H$4)*(Tabela1[[#This Row],[y]]-H$4)</f>
        <v>66490</v>
      </c>
      <c r="D4069" s="1">
        <f>IF(Tabela1[[#This Row],[promien]]&lt;40000,1,0)</f>
        <v>0</v>
      </c>
      <c r="E4069" s="1">
        <f>IF(Tabela1[[#This Row],[promien]]=40000,1,0)</f>
        <v>0</v>
      </c>
      <c r="F4069" s="1">
        <v>3.1732612435487835</v>
      </c>
      <c r="G4069" s="1">
        <v>3.1668589958990356E-2</v>
      </c>
    </row>
    <row r="4070" spans="1:7">
      <c r="A4070">
        <v>378</v>
      </c>
      <c r="B4070">
        <v>381</v>
      </c>
      <c r="C4070" s="1">
        <f>(Tabela1[[#This Row],[x]]-H$3)*(Tabela1[[#This Row],[x]]-H$3) +(Tabela1[[#This Row],[y]]-H$4)*(Tabela1[[#This Row],[y]]-H$4)</f>
        <v>64445</v>
      </c>
      <c r="D4070" s="1">
        <f>IF(Tabela1[[#This Row],[promien]]&lt;40000,1,0)</f>
        <v>0</v>
      </c>
      <c r="E4070" s="1">
        <f>IF(Tabela1[[#This Row],[promien]]=40000,1,0)</f>
        <v>0</v>
      </c>
      <c r="F4070" s="1">
        <v>3.1724815724815727</v>
      </c>
      <c r="G4070" s="1">
        <v>3.0888918891779582E-2</v>
      </c>
    </row>
    <row r="4071" spans="1:7">
      <c r="A4071">
        <v>366</v>
      </c>
      <c r="B4071">
        <v>42</v>
      </c>
      <c r="C4071" s="1">
        <f>(Tabela1[[#This Row],[x]]-H$3)*(Tabela1[[#This Row],[x]]-H$3) +(Tabela1[[#This Row],[y]]-H$4)*(Tabela1[[#This Row],[y]]-H$4)</f>
        <v>52520</v>
      </c>
      <c r="D4071" s="1">
        <f>IF(Tabela1[[#This Row],[promien]]&lt;40000,1,0)</f>
        <v>0</v>
      </c>
      <c r="E4071" s="1">
        <f>IF(Tabela1[[#This Row],[promien]]=40000,1,0)</f>
        <v>0</v>
      </c>
      <c r="F4071" s="1">
        <v>3.171702284450995</v>
      </c>
      <c r="G4071" s="1">
        <v>3.0109630861201886E-2</v>
      </c>
    </row>
    <row r="4072" spans="1:7">
      <c r="A4072">
        <v>334</v>
      </c>
      <c r="B4072">
        <v>324</v>
      </c>
      <c r="C4072" s="1">
        <f>(Tabela1[[#This Row],[x]]-H$3)*(Tabela1[[#This Row],[x]]-H$3) +(Tabela1[[#This Row],[y]]-H$4)*(Tabela1[[#This Row],[y]]-H$4)</f>
        <v>33332</v>
      </c>
      <c r="D4072" s="1">
        <f>IF(Tabela1[[#This Row],[promien]]&lt;40000,1,0)</f>
        <v>1</v>
      </c>
      <c r="E4072" s="1">
        <f>IF(Tabela1[[#This Row],[promien]]=40000,1,0)</f>
        <v>0</v>
      </c>
      <c r="F4072" s="1">
        <v>3.1719056974459723</v>
      </c>
      <c r="G4072" s="1">
        <v>3.0313043856179167E-2</v>
      </c>
    </row>
    <row r="4073" spans="1:7">
      <c r="A4073">
        <v>257</v>
      </c>
      <c r="B4073">
        <v>170</v>
      </c>
      <c r="C4073" s="1">
        <f>(Tabela1[[#This Row],[x]]-H$3)*(Tabela1[[#This Row],[x]]-H$3) +(Tabela1[[#This Row],[y]]-H$4)*(Tabela1[[#This Row],[y]]-H$4)</f>
        <v>4149</v>
      </c>
      <c r="D4073" s="1">
        <f>IF(Tabela1[[#This Row],[promien]]&lt;40000,1,0)</f>
        <v>1</v>
      </c>
      <c r="E4073" s="1">
        <f>IF(Tabela1[[#This Row],[promien]]=40000,1,0)</f>
        <v>0</v>
      </c>
      <c r="F4073" s="1">
        <v>3.1721090105573286</v>
      </c>
      <c r="G4073" s="1">
        <v>3.0516356967535518E-2</v>
      </c>
    </row>
    <row r="4074" spans="1:7">
      <c r="A4074">
        <v>292</v>
      </c>
      <c r="B4074">
        <v>372</v>
      </c>
      <c r="C4074" s="1">
        <f>(Tabela1[[#This Row],[x]]-H$3)*(Tabela1[[#This Row],[x]]-H$3) +(Tabela1[[#This Row],[y]]-H$4)*(Tabela1[[#This Row],[y]]-H$4)</f>
        <v>38048</v>
      </c>
      <c r="D4074" s="1">
        <f>IF(Tabela1[[#This Row],[promien]]&lt;40000,1,0)</f>
        <v>1</v>
      </c>
      <c r="E4074" s="1">
        <f>IF(Tabela1[[#This Row],[promien]]=40000,1,0)</f>
        <v>0</v>
      </c>
      <c r="F4074" s="1">
        <v>3.1723122238586154</v>
      </c>
      <c r="G4074" s="1">
        <v>3.0719570268822327E-2</v>
      </c>
    </row>
    <row r="4075" spans="1:7">
      <c r="A4075">
        <v>50</v>
      </c>
      <c r="B4075">
        <v>211</v>
      </c>
      <c r="C4075" s="1">
        <f>(Tabela1[[#This Row],[x]]-H$3)*(Tabela1[[#This Row],[x]]-H$3) +(Tabela1[[#This Row],[y]]-H$4)*(Tabela1[[#This Row],[y]]-H$4)</f>
        <v>22621</v>
      </c>
      <c r="D4075" s="1">
        <f>IF(Tabela1[[#This Row],[promien]]&lt;40000,1,0)</f>
        <v>1</v>
      </c>
      <c r="E4075" s="1">
        <f>IF(Tabela1[[#This Row],[promien]]=40000,1,0)</f>
        <v>0</v>
      </c>
      <c r="F4075" s="1">
        <v>3.172515337423313</v>
      </c>
      <c r="G4075" s="1">
        <v>3.0922683833519926E-2</v>
      </c>
    </row>
    <row r="4076" spans="1:7">
      <c r="A4076">
        <v>52</v>
      </c>
      <c r="B4076">
        <v>299</v>
      </c>
      <c r="C4076" s="1">
        <f>(Tabela1[[#This Row],[x]]-H$3)*(Tabela1[[#This Row],[x]]-H$3) +(Tabela1[[#This Row],[y]]-H$4)*(Tabela1[[#This Row],[y]]-H$4)</f>
        <v>31705</v>
      </c>
      <c r="D4076" s="1">
        <f>IF(Tabela1[[#This Row],[promien]]&lt;40000,1,0)</f>
        <v>1</v>
      </c>
      <c r="E4076" s="1">
        <f>IF(Tabela1[[#This Row],[promien]]=40000,1,0)</f>
        <v>0</v>
      </c>
      <c r="F4076" s="1">
        <v>3.172718351324828</v>
      </c>
      <c r="G4076" s="1">
        <v>3.112569773503493E-2</v>
      </c>
    </row>
    <row r="4077" spans="1:7">
      <c r="A4077">
        <v>230</v>
      </c>
      <c r="B4077">
        <v>240</v>
      </c>
      <c r="C4077" s="1">
        <f>(Tabela1[[#This Row],[x]]-H$3)*(Tabela1[[#This Row],[x]]-H$3) +(Tabela1[[#This Row],[y]]-H$4)*(Tabela1[[#This Row],[y]]-H$4)</f>
        <v>2500</v>
      </c>
      <c r="D4077" s="1">
        <f>IF(Tabela1[[#This Row],[promien]]&lt;40000,1,0)</f>
        <v>1</v>
      </c>
      <c r="E4077" s="1">
        <f>IF(Tabela1[[#This Row],[promien]]=40000,1,0)</f>
        <v>0</v>
      </c>
      <c r="F4077" s="1">
        <v>3.1729212656364973</v>
      </c>
      <c r="G4077" s="1">
        <v>3.1328612046704229E-2</v>
      </c>
    </row>
    <row r="4078" spans="1:7">
      <c r="A4078">
        <v>269</v>
      </c>
      <c r="B4078">
        <v>359</v>
      </c>
      <c r="C4078" s="1">
        <f>(Tabela1[[#This Row],[x]]-H$3)*(Tabela1[[#This Row],[x]]-H$3) +(Tabela1[[#This Row],[y]]-H$4)*(Tabela1[[#This Row],[y]]-H$4)</f>
        <v>30042</v>
      </c>
      <c r="D4078" s="1">
        <f>IF(Tabela1[[#This Row],[promien]]&lt;40000,1,0)</f>
        <v>1</v>
      </c>
      <c r="E4078" s="1">
        <f>IF(Tabela1[[#This Row],[promien]]=40000,1,0)</f>
        <v>0</v>
      </c>
      <c r="F4078" s="1">
        <v>3.1731240804315841</v>
      </c>
      <c r="G4078" s="1">
        <v>3.1531426841790999E-2</v>
      </c>
    </row>
    <row r="4079" spans="1:7">
      <c r="A4079">
        <v>348</v>
      </c>
      <c r="B4079">
        <v>103</v>
      </c>
      <c r="C4079" s="1">
        <f>(Tabela1[[#This Row],[x]]-H$3)*(Tabela1[[#This Row],[x]]-H$3) +(Tabela1[[#This Row],[y]]-H$4)*(Tabela1[[#This Row],[y]]-H$4)</f>
        <v>31313</v>
      </c>
      <c r="D4079" s="1">
        <f>IF(Tabela1[[#This Row],[promien]]&lt;40000,1,0)</f>
        <v>1</v>
      </c>
      <c r="E4079" s="1">
        <f>IF(Tabela1[[#This Row],[promien]]=40000,1,0)</f>
        <v>0</v>
      </c>
      <c r="F4079" s="1">
        <v>3.17332679578328</v>
      </c>
      <c r="G4079" s="1">
        <v>3.1734142193486914E-2</v>
      </c>
    </row>
    <row r="4080" spans="1:7">
      <c r="A4080">
        <v>224</v>
      </c>
      <c r="B4080">
        <v>275</v>
      </c>
      <c r="C4080" s="1">
        <f>(Tabela1[[#This Row],[x]]-H$3)*(Tabela1[[#This Row],[x]]-H$3) +(Tabela1[[#This Row],[y]]-H$4)*(Tabela1[[#This Row],[y]]-H$4)</f>
        <v>6201</v>
      </c>
      <c r="D4080" s="1">
        <f>IF(Tabela1[[#This Row],[promien]]&lt;40000,1,0)</f>
        <v>1</v>
      </c>
      <c r="E4080" s="1">
        <f>IF(Tabela1[[#This Row],[promien]]=40000,1,0)</f>
        <v>0</v>
      </c>
      <c r="F4080" s="1">
        <v>3.1735294117647057</v>
      </c>
      <c r="G4080" s="1">
        <v>3.1936758174912594E-2</v>
      </c>
    </row>
    <row r="4081" spans="1:7">
      <c r="A4081">
        <v>350</v>
      </c>
      <c r="B4081">
        <v>343</v>
      </c>
      <c r="C4081" s="1">
        <f>(Tabela1[[#This Row],[x]]-H$3)*(Tabela1[[#This Row],[x]]-H$3) +(Tabela1[[#This Row],[y]]-H$4)*(Tabela1[[#This Row],[y]]-H$4)</f>
        <v>42949</v>
      </c>
      <c r="D4081" s="1">
        <f>IF(Tabela1[[#This Row],[promien]]&lt;40000,1,0)</f>
        <v>0</v>
      </c>
      <c r="E4081" s="1">
        <f>IF(Tabela1[[#This Row],[promien]]=40000,1,0)</f>
        <v>0</v>
      </c>
      <c r="F4081" s="1">
        <v>3.1727517765253612</v>
      </c>
      <c r="G4081" s="1">
        <v>3.1159122935568107E-2</v>
      </c>
    </row>
    <row r="4082" spans="1:7">
      <c r="A4082">
        <v>5</v>
      </c>
      <c r="B4082">
        <v>309</v>
      </c>
      <c r="C4082" s="1">
        <f>(Tabela1[[#This Row],[x]]-H$3)*(Tabela1[[#This Row],[x]]-H$3) +(Tabela1[[#This Row],[y]]-H$4)*(Tabela1[[#This Row],[y]]-H$4)</f>
        <v>49906</v>
      </c>
      <c r="D4082" s="1">
        <f>IF(Tabela1[[#This Row],[promien]]&lt;40000,1,0)</f>
        <v>0</v>
      </c>
      <c r="E4082" s="1">
        <f>IF(Tabela1[[#This Row],[promien]]=40000,1,0)</f>
        <v>0</v>
      </c>
      <c r="F4082" s="1">
        <v>3.1719745222929938</v>
      </c>
      <c r="G4082" s="1">
        <v>3.0381868703200698E-2</v>
      </c>
    </row>
    <row r="4083" spans="1:7">
      <c r="A4083">
        <v>10</v>
      </c>
      <c r="B4083">
        <v>83</v>
      </c>
      <c r="C4083" s="1">
        <f>(Tabela1[[#This Row],[x]]-H$3)*(Tabela1[[#This Row],[x]]-H$3) +(Tabela1[[#This Row],[y]]-H$4)*(Tabela1[[#This Row],[y]]-H$4)</f>
        <v>49789</v>
      </c>
      <c r="D4083" s="1">
        <f>IF(Tabela1[[#This Row],[promien]]&lt;40000,1,0)</f>
        <v>0</v>
      </c>
      <c r="E4083" s="1">
        <f>IF(Tabela1[[#This Row],[promien]]=40000,1,0)</f>
        <v>0</v>
      </c>
      <c r="F4083" s="1">
        <v>3.1711976487876563</v>
      </c>
      <c r="G4083" s="1">
        <v>2.9604995197863193E-2</v>
      </c>
    </row>
    <row r="4084" spans="1:7">
      <c r="A4084">
        <v>57</v>
      </c>
      <c r="B4084">
        <v>75</v>
      </c>
      <c r="C4084" s="1">
        <f>(Tabela1[[#This Row],[x]]-H$3)*(Tabela1[[#This Row],[x]]-H$3) +(Tabela1[[#This Row],[y]]-H$4)*(Tabela1[[#This Row],[y]]-H$4)</f>
        <v>36074</v>
      </c>
      <c r="D4084" s="1">
        <f>IF(Tabela1[[#This Row],[promien]]&lt;40000,1,0)</f>
        <v>1</v>
      </c>
      <c r="E4084" s="1">
        <f>IF(Tabela1[[#This Row],[promien]]=40000,1,0)</f>
        <v>0</v>
      </c>
      <c r="F4084" s="1">
        <v>3.1714005876591576</v>
      </c>
      <c r="G4084" s="1">
        <v>2.9807934069364439E-2</v>
      </c>
    </row>
    <row r="4085" spans="1:7">
      <c r="A4085">
        <v>242</v>
      </c>
      <c r="B4085">
        <v>284</v>
      </c>
      <c r="C4085" s="1">
        <f>(Tabela1[[#This Row],[x]]-H$3)*(Tabela1[[#This Row],[x]]-H$3) +(Tabela1[[#This Row],[y]]-H$4)*(Tabela1[[#This Row],[y]]-H$4)</f>
        <v>8820</v>
      </c>
      <c r="D4085" s="1">
        <f>IF(Tabela1[[#This Row],[promien]]&lt;40000,1,0)</f>
        <v>1</v>
      </c>
      <c r="E4085" s="1">
        <f>IF(Tabela1[[#This Row],[promien]]=40000,1,0)</f>
        <v>0</v>
      </c>
      <c r="F4085" s="1">
        <v>3.1716034271725828</v>
      </c>
      <c r="G4085" s="1">
        <v>3.0010773582789696E-2</v>
      </c>
    </row>
    <row r="4086" spans="1:7">
      <c r="A4086">
        <v>190</v>
      </c>
      <c r="B4086">
        <v>29</v>
      </c>
      <c r="C4086" s="1">
        <f>(Tabela1[[#This Row],[x]]-H$3)*(Tabela1[[#This Row],[x]]-H$3) +(Tabela1[[#This Row],[y]]-H$4)*(Tabela1[[#This Row],[y]]-H$4)</f>
        <v>29341</v>
      </c>
      <c r="D4086" s="1">
        <f>IF(Tabela1[[#This Row],[promien]]&lt;40000,1,0)</f>
        <v>1</v>
      </c>
      <c r="E4086" s="1">
        <f>IF(Tabela1[[#This Row],[promien]]=40000,1,0)</f>
        <v>0</v>
      </c>
      <c r="F4086" s="1">
        <v>3.1718061674008808</v>
      </c>
      <c r="G4086" s="1">
        <v>3.0213513811087722E-2</v>
      </c>
    </row>
    <row r="4087" spans="1:7">
      <c r="A4087">
        <v>20</v>
      </c>
      <c r="B4087">
        <v>278</v>
      </c>
      <c r="C4087" s="1">
        <f>(Tabela1[[#This Row],[x]]-H$3)*(Tabela1[[#This Row],[x]]-H$3) +(Tabela1[[#This Row],[y]]-H$4)*(Tabela1[[#This Row],[y]]-H$4)</f>
        <v>38484</v>
      </c>
      <c r="D4087" s="1">
        <f>IF(Tabela1[[#This Row],[promien]]&lt;40000,1,0)</f>
        <v>1</v>
      </c>
      <c r="E4087" s="1">
        <f>IF(Tabela1[[#This Row],[promien]]=40000,1,0)</f>
        <v>0</v>
      </c>
      <c r="F4087" s="1">
        <v>3.1720088084169316</v>
      </c>
      <c r="G4087" s="1">
        <v>3.0416154827138442E-2</v>
      </c>
    </row>
    <row r="4088" spans="1:7">
      <c r="A4088">
        <v>126</v>
      </c>
      <c r="B4088">
        <v>164</v>
      </c>
      <c r="C4088" s="1">
        <f>(Tabela1[[#This Row],[x]]-H$3)*(Tabela1[[#This Row],[x]]-H$3) +(Tabela1[[#This Row],[y]]-H$4)*(Tabela1[[#This Row],[y]]-H$4)</f>
        <v>6772</v>
      </c>
      <c r="D4088" s="1">
        <f>IF(Tabela1[[#This Row],[promien]]&lt;40000,1,0)</f>
        <v>1</v>
      </c>
      <c r="E4088" s="1">
        <f>IF(Tabela1[[#This Row],[promien]]=40000,1,0)</f>
        <v>0</v>
      </c>
      <c r="F4088" s="1">
        <v>3.1722113502935421</v>
      </c>
      <c r="G4088" s="1">
        <v>3.0618696703748949E-2</v>
      </c>
    </row>
    <row r="4089" spans="1:7">
      <c r="A4089">
        <v>117</v>
      </c>
      <c r="B4089">
        <v>288</v>
      </c>
      <c r="C4089" s="1">
        <f>(Tabela1[[#This Row],[x]]-H$3)*(Tabela1[[#This Row],[x]]-H$3) +(Tabela1[[#This Row],[y]]-H$4)*(Tabela1[[#This Row],[y]]-H$4)</f>
        <v>14633</v>
      </c>
      <c r="D4089" s="1">
        <f>IF(Tabela1[[#This Row],[promien]]&lt;40000,1,0)</f>
        <v>1</v>
      </c>
      <c r="E4089" s="1">
        <f>IF(Tabela1[[#This Row],[promien]]=40000,1,0)</f>
        <v>0</v>
      </c>
      <c r="F4089" s="1">
        <v>3.1724137931034484</v>
      </c>
      <c r="G4089" s="1">
        <v>3.0821139513655282E-2</v>
      </c>
    </row>
    <row r="4090" spans="1:7">
      <c r="A4090">
        <v>1</v>
      </c>
      <c r="B4090">
        <v>295</v>
      </c>
      <c r="C4090" s="1">
        <f>(Tabela1[[#This Row],[x]]-H$3)*(Tabela1[[#This Row],[x]]-H$3) +(Tabela1[[#This Row],[y]]-H$4)*(Tabela1[[#This Row],[y]]-H$4)</f>
        <v>48626</v>
      </c>
      <c r="D4090" s="1">
        <f>IF(Tabela1[[#This Row],[promien]]&lt;40000,1,0)</f>
        <v>0</v>
      </c>
      <c r="E4090" s="1">
        <f>IF(Tabela1[[#This Row],[promien]]=40000,1,0)</f>
        <v>0</v>
      </c>
      <c r="F4090" s="1">
        <v>3.1716381418092912</v>
      </c>
      <c r="G4090" s="1">
        <v>3.004548821949804E-2</v>
      </c>
    </row>
    <row r="4091" spans="1:7">
      <c r="A4091">
        <v>46</v>
      </c>
      <c r="B4091">
        <v>379</v>
      </c>
      <c r="C4091" s="1">
        <f>(Tabela1[[#This Row],[x]]-H$3)*(Tabela1[[#This Row],[x]]-H$3) +(Tabela1[[#This Row],[y]]-H$4)*(Tabela1[[#This Row],[y]]-H$4)</f>
        <v>55757</v>
      </c>
      <c r="D4091" s="1">
        <f>IF(Tabela1[[#This Row],[promien]]&lt;40000,1,0)</f>
        <v>0</v>
      </c>
      <c r="E4091" s="1">
        <f>IF(Tabela1[[#This Row],[promien]]=40000,1,0)</f>
        <v>0</v>
      </c>
      <c r="F4091" s="1">
        <v>3.1708628697140062</v>
      </c>
      <c r="G4091" s="1">
        <v>2.92702161242131E-2</v>
      </c>
    </row>
    <row r="4092" spans="1:7">
      <c r="A4092">
        <v>271</v>
      </c>
      <c r="B4092">
        <v>391</v>
      </c>
      <c r="C4092" s="1">
        <f>(Tabela1[[#This Row],[x]]-H$3)*(Tabela1[[#This Row],[x]]-H$3) +(Tabela1[[#This Row],[y]]-H$4)*(Tabela1[[#This Row],[y]]-H$4)</f>
        <v>41522</v>
      </c>
      <c r="D4092" s="1">
        <f>IF(Tabela1[[#This Row],[promien]]&lt;40000,1,0)</f>
        <v>0</v>
      </c>
      <c r="E4092" s="1">
        <f>IF(Tabela1[[#This Row],[promien]]=40000,1,0)</f>
        <v>0</v>
      </c>
      <c r="F4092" s="1">
        <v>3.1700879765395893</v>
      </c>
      <c r="G4092" s="1">
        <v>2.8495322949796176E-2</v>
      </c>
    </row>
    <row r="4093" spans="1:7">
      <c r="A4093">
        <v>305</v>
      </c>
      <c r="B4093">
        <v>298</v>
      </c>
      <c r="C4093" s="1">
        <f>(Tabela1[[#This Row],[x]]-H$3)*(Tabela1[[#This Row],[x]]-H$3) +(Tabela1[[#This Row],[y]]-H$4)*(Tabela1[[#This Row],[y]]-H$4)</f>
        <v>20629</v>
      </c>
      <c r="D4093" s="1">
        <f>IF(Tabela1[[#This Row],[promien]]&lt;40000,1,0)</f>
        <v>1</v>
      </c>
      <c r="E4093" s="1">
        <f>IF(Tabela1[[#This Row],[promien]]=40000,1,0)</f>
        <v>0</v>
      </c>
      <c r="F4093" s="1">
        <v>3.1702907402882969</v>
      </c>
      <c r="G4093" s="1">
        <v>2.8698086698503822E-2</v>
      </c>
    </row>
    <row r="4094" spans="1:7">
      <c r="A4094">
        <v>199</v>
      </c>
      <c r="B4094">
        <v>129</v>
      </c>
      <c r="C4094" s="1">
        <f>(Tabela1[[#This Row],[x]]-H$3)*(Tabela1[[#This Row],[x]]-H$3) +(Tabela1[[#This Row],[y]]-H$4)*(Tabela1[[#This Row],[y]]-H$4)</f>
        <v>5042</v>
      </c>
      <c r="D4094" s="1">
        <f>IF(Tabela1[[#This Row],[promien]]&lt;40000,1,0)</f>
        <v>1</v>
      </c>
      <c r="E4094" s="1">
        <f>IF(Tabela1[[#This Row],[promien]]=40000,1,0)</f>
        <v>0</v>
      </c>
      <c r="F4094" s="1">
        <v>3.1704934049829019</v>
      </c>
      <c r="G4094" s="1">
        <v>2.890075139310877E-2</v>
      </c>
    </row>
    <row r="4095" spans="1:7">
      <c r="A4095">
        <v>216</v>
      </c>
      <c r="B4095">
        <v>302</v>
      </c>
      <c r="C4095" s="1">
        <f>(Tabela1[[#This Row],[x]]-H$3)*(Tabela1[[#This Row],[x]]-H$3) +(Tabela1[[#This Row],[y]]-H$4)*(Tabela1[[#This Row],[y]]-H$4)</f>
        <v>10660</v>
      </c>
      <c r="D4095" s="1">
        <f>IF(Tabela1[[#This Row],[promien]]&lt;40000,1,0)</f>
        <v>1</v>
      </c>
      <c r="E4095" s="1">
        <f>IF(Tabela1[[#This Row],[promien]]=40000,1,0)</f>
        <v>0</v>
      </c>
      <c r="F4095" s="1">
        <v>3.1706959706959705</v>
      </c>
      <c r="G4095" s="1">
        <v>2.9103317106177418E-2</v>
      </c>
    </row>
    <row r="4096" spans="1:7">
      <c r="A4096">
        <v>320</v>
      </c>
      <c r="B4096">
        <v>303</v>
      </c>
      <c r="C4096" s="1">
        <f>(Tabela1[[#This Row],[x]]-H$3)*(Tabela1[[#This Row],[x]]-H$3) +(Tabela1[[#This Row],[y]]-H$4)*(Tabela1[[#This Row],[y]]-H$4)</f>
        <v>25009</v>
      </c>
      <c r="D4096" s="1">
        <f>IF(Tabela1[[#This Row],[promien]]&lt;40000,1,0)</f>
        <v>1</v>
      </c>
      <c r="E4096" s="1">
        <f>IF(Tabela1[[#This Row],[promien]]=40000,1,0)</f>
        <v>0</v>
      </c>
      <c r="F4096" s="1">
        <v>3.1708984375</v>
      </c>
      <c r="G4096" s="1">
        <v>2.9305783910206884E-2</v>
      </c>
    </row>
    <row r="4097" spans="1:7">
      <c r="A4097">
        <v>124</v>
      </c>
      <c r="B4097">
        <v>79</v>
      </c>
      <c r="C4097" s="1">
        <f>(Tabela1[[#This Row],[x]]-H$3)*(Tabela1[[#This Row],[x]]-H$3) +(Tabela1[[#This Row],[y]]-H$4)*(Tabela1[[#This Row],[y]]-H$4)</f>
        <v>20417</v>
      </c>
      <c r="D4097" s="1">
        <f>IF(Tabela1[[#This Row],[promien]]&lt;40000,1,0)</f>
        <v>1</v>
      </c>
      <c r="E4097" s="1">
        <f>IF(Tabela1[[#This Row],[promien]]=40000,1,0)</f>
        <v>0</v>
      </c>
      <c r="F4097" s="1">
        <v>3.171100805467415</v>
      </c>
      <c r="G4097" s="1">
        <v>2.9508151877621902E-2</v>
      </c>
    </row>
    <row r="4098" spans="1:7">
      <c r="A4098">
        <v>155</v>
      </c>
      <c r="B4098">
        <v>171</v>
      </c>
      <c r="C4098" s="1">
        <f>(Tabela1[[#This Row],[x]]-H$3)*(Tabela1[[#This Row],[x]]-H$3) +(Tabela1[[#This Row],[y]]-H$4)*(Tabela1[[#This Row],[y]]-H$4)</f>
        <v>2866</v>
      </c>
      <c r="D4098" s="1">
        <f>IF(Tabela1[[#This Row],[promien]]&lt;40000,1,0)</f>
        <v>1</v>
      </c>
      <c r="E4098" s="1">
        <f>IF(Tabela1[[#This Row],[promien]]=40000,1,0)</f>
        <v>0</v>
      </c>
      <c r="F4098" s="1">
        <v>3.171303074670571</v>
      </c>
      <c r="G4098" s="1">
        <v>2.9710421080777927E-2</v>
      </c>
    </row>
    <row r="4099" spans="1:7">
      <c r="A4099">
        <v>338</v>
      </c>
      <c r="B4099">
        <v>35</v>
      </c>
      <c r="C4099" s="1">
        <f>(Tabela1[[#This Row],[x]]-H$3)*(Tabela1[[#This Row],[x]]-H$3) +(Tabela1[[#This Row],[y]]-H$4)*(Tabela1[[#This Row],[y]]-H$4)</f>
        <v>46269</v>
      </c>
      <c r="D4099" s="1">
        <f>IF(Tabela1[[#This Row],[promien]]&lt;40000,1,0)</f>
        <v>0</v>
      </c>
      <c r="E4099" s="1">
        <f>IF(Tabela1[[#This Row],[promien]]=40000,1,0)</f>
        <v>0</v>
      </c>
      <c r="F4099" s="1">
        <v>3.1705293974140036</v>
      </c>
      <c r="G4099" s="1">
        <v>2.893674382421052E-2</v>
      </c>
    </row>
    <row r="4100" spans="1:7">
      <c r="A4100">
        <v>398</v>
      </c>
      <c r="B4100">
        <v>370</v>
      </c>
      <c r="C4100" s="1">
        <f>(Tabela1[[#This Row],[x]]-H$3)*(Tabela1[[#This Row],[x]]-H$3) +(Tabela1[[#This Row],[y]]-H$4)*(Tabela1[[#This Row],[y]]-H$4)</f>
        <v>68104</v>
      </c>
      <c r="D4100" s="1">
        <f>IF(Tabela1[[#This Row],[promien]]&lt;40000,1,0)</f>
        <v>0</v>
      </c>
      <c r="E4100" s="1">
        <f>IF(Tabela1[[#This Row],[promien]]=40000,1,0)</f>
        <v>0</v>
      </c>
      <c r="F4100" s="1">
        <v>3.1697560975609758</v>
      </c>
      <c r="G4100" s="1">
        <v>2.8163443971182645E-2</v>
      </c>
    </row>
    <row r="4101" spans="1:7">
      <c r="A4101">
        <v>165</v>
      </c>
      <c r="B4101">
        <v>93</v>
      </c>
      <c r="C4101" s="1">
        <f>(Tabela1[[#This Row],[x]]-H$3)*(Tabela1[[#This Row],[x]]-H$3) +(Tabela1[[#This Row],[y]]-H$4)*(Tabela1[[#This Row],[y]]-H$4)</f>
        <v>12674</v>
      </c>
      <c r="D4101" s="1">
        <f>IF(Tabela1[[#This Row],[promien]]&lt;40000,1,0)</f>
        <v>1</v>
      </c>
      <c r="E4101" s="1">
        <f>IF(Tabela1[[#This Row],[promien]]=40000,1,0)</f>
        <v>0</v>
      </c>
      <c r="F4101" s="1">
        <v>3.1699585466959279</v>
      </c>
      <c r="G4101" s="1">
        <v>2.8365893106134799E-2</v>
      </c>
    </row>
    <row r="4102" spans="1:7">
      <c r="A4102">
        <v>349</v>
      </c>
      <c r="B4102">
        <v>194</v>
      </c>
      <c r="C4102" s="1">
        <f>(Tabela1[[#This Row],[x]]-H$3)*(Tabela1[[#This Row],[x]]-H$3) +(Tabela1[[#This Row],[y]]-H$4)*(Tabela1[[#This Row],[y]]-H$4)</f>
        <v>22237</v>
      </c>
      <c r="D4102" s="1">
        <f>IF(Tabela1[[#This Row],[promien]]&lt;40000,1,0)</f>
        <v>1</v>
      </c>
      <c r="E4102" s="1">
        <f>IF(Tabela1[[#This Row],[promien]]=40000,1,0)</f>
        <v>0</v>
      </c>
      <c r="F4102" s="1">
        <v>3.1701608971233544</v>
      </c>
      <c r="G4102" s="1">
        <v>2.8568243533561244E-2</v>
      </c>
    </row>
    <row r="4103" spans="1:7">
      <c r="A4103">
        <v>126</v>
      </c>
      <c r="B4103">
        <v>239</v>
      </c>
      <c r="C4103" s="1">
        <f>(Tabela1[[#This Row],[x]]-H$3)*(Tabela1[[#This Row],[x]]-H$3) +(Tabela1[[#This Row],[y]]-H$4)*(Tabela1[[#This Row],[y]]-H$4)</f>
        <v>6997</v>
      </c>
      <c r="D4103" s="1">
        <f>IF(Tabela1[[#This Row],[promien]]&lt;40000,1,0)</f>
        <v>1</v>
      </c>
      <c r="E4103" s="1">
        <f>IF(Tabela1[[#This Row],[promien]]=40000,1,0)</f>
        <v>0</v>
      </c>
      <c r="F4103" s="1">
        <v>3.1703631489154276</v>
      </c>
      <c r="G4103" s="1">
        <v>2.8770495325634471E-2</v>
      </c>
    </row>
    <row r="4104" spans="1:7">
      <c r="A4104">
        <v>285</v>
      </c>
      <c r="B4104">
        <v>10</v>
      </c>
      <c r="C4104" s="1">
        <f>(Tabela1[[#This Row],[x]]-H$3)*(Tabela1[[#This Row],[x]]-H$3) +(Tabela1[[#This Row],[y]]-H$4)*(Tabela1[[#This Row],[y]]-H$4)</f>
        <v>43325</v>
      </c>
      <c r="D4104" s="1">
        <f>IF(Tabela1[[#This Row],[promien]]&lt;40000,1,0)</f>
        <v>0</v>
      </c>
      <c r="E4104" s="1">
        <f>IF(Tabela1[[#This Row],[promien]]=40000,1,0)</f>
        <v>0</v>
      </c>
      <c r="F4104" s="1">
        <v>3.1695906432748537</v>
      </c>
      <c r="G4104" s="1">
        <v>2.799798968506062E-2</v>
      </c>
    </row>
    <row r="4105" spans="1:7">
      <c r="A4105">
        <v>133</v>
      </c>
      <c r="B4105">
        <v>145</v>
      </c>
      <c r="C4105" s="1">
        <f>(Tabela1[[#This Row],[x]]-H$3)*(Tabela1[[#This Row],[x]]-H$3) +(Tabela1[[#This Row],[y]]-H$4)*(Tabela1[[#This Row],[y]]-H$4)</f>
        <v>7514</v>
      </c>
      <c r="D4105" s="1">
        <f>IF(Tabela1[[#This Row],[promien]]&lt;40000,1,0)</f>
        <v>1</v>
      </c>
      <c r="E4105" s="1">
        <f>IF(Tabela1[[#This Row],[promien]]=40000,1,0)</f>
        <v>0</v>
      </c>
      <c r="F4105" s="1">
        <v>3.1697929354445797</v>
      </c>
      <c r="G4105" s="1">
        <v>2.8200281854786624E-2</v>
      </c>
    </row>
    <row r="4106" spans="1:7">
      <c r="A4106">
        <v>185</v>
      </c>
      <c r="B4106">
        <v>212</v>
      </c>
      <c r="C4106" s="1">
        <f>(Tabela1[[#This Row],[x]]-H$3)*(Tabela1[[#This Row],[x]]-H$3) +(Tabela1[[#This Row],[y]]-H$4)*(Tabela1[[#This Row],[y]]-H$4)</f>
        <v>369</v>
      </c>
      <c r="D4106" s="1">
        <f>IF(Tabela1[[#This Row],[promien]]&lt;40000,1,0)</f>
        <v>1</v>
      </c>
      <c r="E4106" s="1">
        <f>IF(Tabela1[[#This Row],[promien]]=40000,1,0)</f>
        <v>0</v>
      </c>
      <c r="F4106" s="1">
        <v>3.1699951290793962</v>
      </c>
      <c r="G4106" s="1">
        <v>2.8402475489603063E-2</v>
      </c>
    </row>
    <row r="4107" spans="1:7">
      <c r="A4107">
        <v>202</v>
      </c>
      <c r="B4107">
        <v>379</v>
      </c>
      <c r="C4107" s="1">
        <f>(Tabela1[[#This Row],[x]]-H$3)*(Tabela1[[#This Row],[x]]-H$3) +(Tabela1[[#This Row],[y]]-H$4)*(Tabela1[[#This Row],[y]]-H$4)</f>
        <v>32045</v>
      </c>
      <c r="D4107" s="1">
        <f>IF(Tabela1[[#This Row],[promien]]&lt;40000,1,0)</f>
        <v>1</v>
      </c>
      <c r="E4107" s="1">
        <f>IF(Tabela1[[#This Row],[promien]]=40000,1,0)</f>
        <v>0</v>
      </c>
      <c r="F4107" s="1">
        <v>3.1701972242512784</v>
      </c>
      <c r="G4107" s="1">
        <v>2.8604570661485251E-2</v>
      </c>
    </row>
    <row r="4108" spans="1:7">
      <c r="A4108">
        <v>66</v>
      </c>
      <c r="B4108">
        <v>112</v>
      </c>
      <c r="C4108" s="1">
        <f>(Tabela1[[#This Row],[x]]-H$3)*(Tabela1[[#This Row],[x]]-H$3) +(Tabela1[[#This Row],[y]]-H$4)*(Tabela1[[#This Row],[y]]-H$4)</f>
        <v>25700</v>
      </c>
      <c r="D4108" s="1">
        <f>IF(Tabela1[[#This Row],[promien]]&lt;40000,1,0)</f>
        <v>1</v>
      </c>
      <c r="E4108" s="1">
        <f>IF(Tabela1[[#This Row],[promien]]=40000,1,0)</f>
        <v>0</v>
      </c>
      <c r="F4108" s="1">
        <v>3.1703992210321323</v>
      </c>
      <c r="G4108" s="1">
        <v>2.8806567442339226E-2</v>
      </c>
    </row>
    <row r="4109" spans="1:7">
      <c r="A4109">
        <v>385</v>
      </c>
      <c r="B4109">
        <v>388</v>
      </c>
      <c r="C4109" s="1">
        <f>(Tabela1[[#This Row],[x]]-H$3)*(Tabela1[[#This Row],[x]]-H$3) +(Tabela1[[#This Row],[y]]-H$4)*(Tabela1[[#This Row],[y]]-H$4)</f>
        <v>69569</v>
      </c>
      <c r="D4109" s="1">
        <f>IF(Tabela1[[#This Row],[promien]]&lt;40000,1,0)</f>
        <v>0</v>
      </c>
      <c r="E4109" s="1">
        <f>IF(Tabela1[[#This Row],[promien]]=40000,1,0)</f>
        <v>0</v>
      </c>
      <c r="F4109" s="1">
        <v>3.1696276466293503</v>
      </c>
      <c r="G4109" s="1">
        <v>2.8034993039557143E-2</v>
      </c>
    </row>
    <row r="4110" spans="1:7">
      <c r="A4110">
        <v>389</v>
      </c>
      <c r="B4110">
        <v>324</v>
      </c>
      <c r="C4110" s="1">
        <f>(Tabela1[[#This Row],[x]]-H$3)*(Tabela1[[#This Row],[x]]-H$3) +(Tabela1[[#This Row],[y]]-H$4)*(Tabela1[[#This Row],[y]]-H$4)</f>
        <v>51097</v>
      </c>
      <c r="D4110" s="1">
        <f>IF(Tabela1[[#This Row],[promien]]&lt;40000,1,0)</f>
        <v>0</v>
      </c>
      <c r="E4110" s="1">
        <f>IF(Tabela1[[#This Row],[promien]]=40000,1,0)</f>
        <v>0</v>
      </c>
      <c r="F4110" s="1">
        <v>3.1688564476885643</v>
      </c>
      <c r="G4110" s="1">
        <v>2.7263794098771221E-2</v>
      </c>
    </row>
    <row r="4111" spans="1:7">
      <c r="A4111">
        <v>188</v>
      </c>
      <c r="B4111">
        <v>357</v>
      </c>
      <c r="C4111" s="1">
        <f>(Tabela1[[#This Row],[x]]-H$3)*(Tabela1[[#This Row],[x]]-H$3) +(Tabela1[[#This Row],[y]]-H$4)*(Tabela1[[#This Row],[y]]-H$4)</f>
        <v>24793</v>
      </c>
      <c r="D4111" s="1">
        <f>IF(Tabela1[[#This Row],[promien]]&lt;40000,1,0)</f>
        <v>1</v>
      </c>
      <c r="E4111" s="1">
        <f>IF(Tabela1[[#This Row],[promien]]=40000,1,0)</f>
        <v>0</v>
      </c>
      <c r="F4111" s="1">
        <v>3.1690586232060327</v>
      </c>
      <c r="G4111" s="1">
        <v>2.7465969616239594E-2</v>
      </c>
    </row>
    <row r="4112" spans="1:7">
      <c r="A4112">
        <v>312</v>
      </c>
      <c r="B4112">
        <v>218</v>
      </c>
      <c r="C4112" s="1">
        <f>(Tabela1[[#This Row],[x]]-H$3)*(Tabela1[[#This Row],[x]]-H$3) +(Tabela1[[#This Row],[y]]-H$4)*(Tabela1[[#This Row],[y]]-H$4)</f>
        <v>12868</v>
      </c>
      <c r="D4112" s="1">
        <f>IF(Tabela1[[#This Row],[promien]]&lt;40000,1,0)</f>
        <v>1</v>
      </c>
      <c r="E4112" s="1">
        <f>IF(Tabela1[[#This Row],[promien]]=40000,1,0)</f>
        <v>0</v>
      </c>
      <c r="F4112" s="1">
        <v>3.1692607003891049</v>
      </c>
      <c r="G4112" s="1">
        <v>2.7668046799311785E-2</v>
      </c>
    </row>
    <row r="4113" spans="1:7">
      <c r="A4113">
        <v>240</v>
      </c>
      <c r="B4113">
        <v>2</v>
      </c>
      <c r="C4113" s="1">
        <f>(Tabela1[[#This Row],[x]]-H$3)*(Tabela1[[#This Row],[x]]-H$3) +(Tabela1[[#This Row],[y]]-H$4)*(Tabela1[[#This Row],[y]]-H$4)</f>
        <v>40804</v>
      </c>
      <c r="D4113" s="1">
        <f>IF(Tabela1[[#This Row],[promien]]&lt;40000,1,0)</f>
        <v>0</v>
      </c>
      <c r="E4113" s="1">
        <f>IF(Tabela1[[#This Row],[promien]]=40000,1,0)</f>
        <v>0</v>
      </c>
      <c r="F4113" s="1">
        <v>3.1684901531728666</v>
      </c>
      <c r="G4113" s="1">
        <v>2.6897499583073525E-2</v>
      </c>
    </row>
    <row r="4114" spans="1:7">
      <c r="A4114">
        <v>336</v>
      </c>
      <c r="B4114">
        <v>6</v>
      </c>
      <c r="C4114" s="1">
        <f>(Tabela1[[#This Row],[x]]-H$3)*(Tabela1[[#This Row],[x]]-H$3) +(Tabela1[[#This Row],[y]]-H$4)*(Tabela1[[#This Row],[y]]-H$4)</f>
        <v>56132</v>
      </c>
      <c r="D4114" s="1">
        <f>IF(Tabela1[[#This Row],[promien]]&lt;40000,1,0)</f>
        <v>0</v>
      </c>
      <c r="E4114" s="1">
        <f>IF(Tabela1[[#This Row],[promien]]=40000,1,0)</f>
        <v>0</v>
      </c>
      <c r="F4114" s="1">
        <v>3.1677199805542053</v>
      </c>
      <c r="G4114" s="1">
        <v>2.6127326964412223E-2</v>
      </c>
    </row>
    <row r="4115" spans="1:7">
      <c r="A4115">
        <v>253</v>
      </c>
      <c r="B4115">
        <v>40</v>
      </c>
      <c r="C4115" s="1">
        <f>(Tabela1[[#This Row],[x]]-H$3)*(Tabela1[[#This Row],[x]]-H$3) +(Tabela1[[#This Row],[y]]-H$4)*(Tabela1[[#This Row],[y]]-H$4)</f>
        <v>28409</v>
      </c>
      <c r="D4115" s="1">
        <f>IF(Tabela1[[#This Row],[promien]]&lt;40000,1,0)</f>
        <v>1</v>
      </c>
      <c r="E4115" s="1">
        <f>IF(Tabela1[[#This Row],[promien]]=40000,1,0)</f>
        <v>0</v>
      </c>
      <c r="F4115" s="1">
        <v>3.1679222357229646</v>
      </c>
      <c r="G4115" s="1">
        <v>2.6329582133171492E-2</v>
      </c>
    </row>
    <row r="4116" spans="1:7">
      <c r="A4116">
        <v>88</v>
      </c>
      <c r="B4116">
        <v>146</v>
      </c>
      <c r="C4116" s="1">
        <f>(Tabela1[[#This Row],[x]]-H$3)*(Tabela1[[#This Row],[x]]-H$3) +(Tabela1[[#This Row],[y]]-H$4)*(Tabela1[[#This Row],[y]]-H$4)</f>
        <v>15460</v>
      </c>
      <c r="D4116" s="1">
        <f>IF(Tabela1[[#This Row],[promien]]&lt;40000,1,0)</f>
        <v>1</v>
      </c>
      <c r="E4116" s="1">
        <f>IF(Tabela1[[#This Row],[promien]]=40000,1,0)</f>
        <v>0</v>
      </c>
      <c r="F4116" s="1">
        <v>3.1681243926141884</v>
      </c>
      <c r="G4116" s="1">
        <v>2.6531739024395318E-2</v>
      </c>
    </row>
    <row r="4117" spans="1:7">
      <c r="A4117">
        <v>55</v>
      </c>
      <c r="B4117">
        <v>151</v>
      </c>
      <c r="C4117" s="1">
        <f>(Tabela1[[#This Row],[x]]-H$3)*(Tabela1[[#This Row],[x]]-H$3) +(Tabela1[[#This Row],[y]]-H$4)*(Tabela1[[#This Row],[y]]-H$4)</f>
        <v>23426</v>
      </c>
      <c r="D4117" s="1">
        <f>IF(Tabela1[[#This Row],[promien]]&lt;40000,1,0)</f>
        <v>1</v>
      </c>
      <c r="E4117" s="1">
        <f>IF(Tabela1[[#This Row],[promien]]=40000,1,0)</f>
        <v>0</v>
      </c>
      <c r="F4117" s="1">
        <v>3.1683264512994898</v>
      </c>
      <c r="G4117" s="1">
        <v>2.6733797709696638E-2</v>
      </c>
    </row>
    <row r="4118" spans="1:7">
      <c r="A4118">
        <v>399</v>
      </c>
      <c r="B4118">
        <v>169</v>
      </c>
      <c r="C4118" s="1">
        <f>(Tabela1[[#This Row],[x]]-H$3)*(Tabela1[[#This Row],[x]]-H$3) +(Tabela1[[#This Row],[y]]-H$4)*(Tabela1[[#This Row],[y]]-H$4)</f>
        <v>40562</v>
      </c>
      <c r="D4118" s="1">
        <f>IF(Tabela1[[#This Row],[promien]]&lt;40000,1,0)</f>
        <v>0</v>
      </c>
      <c r="E4118" s="1">
        <f>IF(Tabela1[[#This Row],[promien]]=40000,1,0)</f>
        <v>0</v>
      </c>
      <c r="F4118" s="1">
        <v>3.167557066537154</v>
      </c>
      <c r="G4118" s="1">
        <v>2.5964412947360849E-2</v>
      </c>
    </row>
    <row r="4119" spans="1:7">
      <c r="A4119">
        <v>396</v>
      </c>
      <c r="B4119">
        <v>129</v>
      </c>
      <c r="C4119" s="1">
        <f>(Tabela1[[#This Row],[x]]-H$3)*(Tabela1[[#This Row],[x]]-H$3) +(Tabela1[[#This Row],[y]]-H$4)*(Tabela1[[#This Row],[y]]-H$4)</f>
        <v>43457</v>
      </c>
      <c r="D4119" s="1">
        <f>IF(Tabela1[[#This Row],[promien]]&lt;40000,1,0)</f>
        <v>0</v>
      </c>
      <c r="E4119" s="1">
        <f>IF(Tabela1[[#This Row],[promien]]=40000,1,0)</f>
        <v>0</v>
      </c>
      <c r="F4119" s="1">
        <v>3.166788055353241</v>
      </c>
      <c r="G4119" s="1">
        <v>2.5195401763447922E-2</v>
      </c>
    </row>
    <row r="4120" spans="1:7">
      <c r="A4120">
        <v>237</v>
      </c>
      <c r="B4120">
        <v>244</v>
      </c>
      <c r="C4120" s="1">
        <f>(Tabela1[[#This Row],[x]]-H$3)*(Tabela1[[#This Row],[x]]-H$3) +(Tabela1[[#This Row],[y]]-H$4)*(Tabela1[[#This Row],[y]]-H$4)</f>
        <v>3305</v>
      </c>
      <c r="D4120" s="1">
        <f>IF(Tabela1[[#This Row],[promien]]&lt;40000,1,0)</f>
        <v>1</v>
      </c>
      <c r="E4120" s="1">
        <f>IF(Tabela1[[#This Row],[promien]]=40000,1,0)</f>
        <v>0</v>
      </c>
      <c r="F4120" s="1">
        <v>3.1669902912621359</v>
      </c>
      <c r="G4120" s="1">
        <v>2.5397637672342821E-2</v>
      </c>
    </row>
    <row r="4121" spans="1:7">
      <c r="A4121">
        <v>81</v>
      </c>
      <c r="B4121">
        <v>143</v>
      </c>
      <c r="C4121" s="1">
        <f>(Tabela1[[#This Row],[x]]-H$3)*(Tabela1[[#This Row],[x]]-H$3) +(Tabela1[[#This Row],[y]]-H$4)*(Tabela1[[#This Row],[y]]-H$4)</f>
        <v>17410</v>
      </c>
      <c r="D4121" s="1">
        <f>IF(Tabela1[[#This Row],[promien]]&lt;40000,1,0)</f>
        <v>1</v>
      </c>
      <c r="E4121" s="1">
        <f>IF(Tabela1[[#This Row],[promien]]=40000,1,0)</f>
        <v>0</v>
      </c>
      <c r="F4121" s="1">
        <v>3.1671924290220819</v>
      </c>
      <c r="G4121" s="1">
        <v>2.5599775432288752E-2</v>
      </c>
    </row>
    <row r="4122" spans="1:7">
      <c r="A4122">
        <v>296</v>
      </c>
      <c r="B4122">
        <v>33</v>
      </c>
      <c r="C4122" s="1">
        <f>(Tabela1[[#This Row],[x]]-H$3)*(Tabela1[[#This Row],[x]]-H$3) +(Tabela1[[#This Row],[y]]-H$4)*(Tabela1[[#This Row],[y]]-H$4)</f>
        <v>37105</v>
      </c>
      <c r="D4122" s="1">
        <f>IF(Tabela1[[#This Row],[promien]]&lt;40000,1,0)</f>
        <v>1</v>
      </c>
      <c r="E4122" s="1">
        <f>IF(Tabela1[[#This Row],[promien]]=40000,1,0)</f>
        <v>0</v>
      </c>
      <c r="F4122" s="1">
        <v>3.1673944687045124</v>
      </c>
      <c r="G4122" s="1">
        <v>2.580181511471924E-2</v>
      </c>
    </row>
    <row r="4123" spans="1:7">
      <c r="A4123">
        <v>57</v>
      </c>
      <c r="B4123">
        <v>276</v>
      </c>
      <c r="C4123" s="1">
        <f>(Tabela1[[#This Row],[x]]-H$3)*(Tabela1[[#This Row],[x]]-H$3) +(Tabela1[[#This Row],[y]]-H$4)*(Tabela1[[#This Row],[y]]-H$4)</f>
        <v>26225</v>
      </c>
      <c r="D4123" s="1">
        <f>IF(Tabela1[[#This Row],[promien]]&lt;40000,1,0)</f>
        <v>1</v>
      </c>
      <c r="E4123" s="1">
        <f>IF(Tabela1[[#This Row],[promien]]=40000,1,0)</f>
        <v>0</v>
      </c>
      <c r="F4123" s="1">
        <v>3.1675964103807908</v>
      </c>
      <c r="G4123" s="1">
        <v>2.6003756790997645E-2</v>
      </c>
    </row>
    <row r="4124" spans="1:7">
      <c r="A4124">
        <v>75</v>
      </c>
      <c r="B4124">
        <v>7</v>
      </c>
      <c r="C4124" s="1">
        <f>(Tabela1[[#This Row],[x]]-H$3)*(Tabela1[[#This Row],[x]]-H$3) +(Tabela1[[#This Row],[y]]-H$4)*(Tabela1[[#This Row],[y]]-H$4)</f>
        <v>52874</v>
      </c>
      <c r="D4124" s="1">
        <f>IF(Tabela1[[#This Row],[promien]]&lt;40000,1,0)</f>
        <v>0</v>
      </c>
      <c r="E4124" s="1">
        <f>IF(Tabela1[[#This Row],[promien]]=40000,1,0)</f>
        <v>0</v>
      </c>
      <c r="F4124" s="1">
        <v>3.1668283220174587</v>
      </c>
      <c r="G4124" s="1">
        <v>2.5235668427665559E-2</v>
      </c>
    </row>
    <row r="4125" spans="1:7">
      <c r="A4125">
        <v>365</v>
      </c>
      <c r="B4125">
        <v>335</v>
      </c>
      <c r="C4125" s="1">
        <f>(Tabela1[[#This Row],[x]]-H$3)*(Tabela1[[#This Row],[x]]-H$3) +(Tabela1[[#This Row],[y]]-H$4)*(Tabela1[[#This Row],[y]]-H$4)</f>
        <v>45450</v>
      </c>
      <c r="D4125" s="1">
        <f>IF(Tabela1[[#This Row],[promien]]&lt;40000,1,0)</f>
        <v>0</v>
      </c>
      <c r="E4125" s="1">
        <f>IF(Tabela1[[#This Row],[promien]]=40000,1,0)</f>
        <v>0</v>
      </c>
      <c r="F4125" s="1">
        <v>3.166060606060606</v>
      </c>
      <c r="G4125" s="1">
        <v>2.4467952470812904E-2</v>
      </c>
    </row>
    <row r="4126" spans="1:7">
      <c r="A4126">
        <v>172</v>
      </c>
      <c r="B4126">
        <v>236</v>
      </c>
      <c r="C4126" s="1">
        <f>(Tabela1[[#This Row],[x]]-H$3)*(Tabela1[[#This Row],[x]]-H$3) +(Tabela1[[#This Row],[y]]-H$4)*(Tabela1[[#This Row],[y]]-H$4)</f>
        <v>2080</v>
      </c>
      <c r="D4126" s="1">
        <f>IF(Tabela1[[#This Row],[promien]]&lt;40000,1,0)</f>
        <v>1</v>
      </c>
      <c r="E4126" s="1">
        <f>IF(Tabela1[[#This Row],[promien]]=40000,1,0)</f>
        <v>0</v>
      </c>
      <c r="F4126" s="1">
        <v>3.1662627241880754</v>
      </c>
      <c r="G4126" s="1">
        <v>2.4670070598282301E-2</v>
      </c>
    </row>
    <row r="4127" spans="1:7">
      <c r="A4127">
        <v>354</v>
      </c>
      <c r="B4127">
        <v>41</v>
      </c>
      <c r="C4127" s="1">
        <f>(Tabela1[[#This Row],[x]]-H$3)*(Tabela1[[#This Row],[x]]-H$3) +(Tabela1[[#This Row],[y]]-H$4)*(Tabela1[[#This Row],[y]]-H$4)</f>
        <v>48997</v>
      </c>
      <c r="D4127" s="1">
        <f>IF(Tabela1[[#This Row],[promien]]&lt;40000,1,0)</f>
        <v>0</v>
      </c>
      <c r="E4127" s="1">
        <f>IF(Tabela1[[#This Row],[promien]]=40000,1,0)</f>
        <v>0</v>
      </c>
      <c r="F4127" s="1">
        <v>3.1654955173249335</v>
      </c>
      <c r="G4127" s="1">
        <v>2.3902863735140389E-2</v>
      </c>
    </row>
    <row r="4128" spans="1:7">
      <c r="A4128">
        <v>289</v>
      </c>
      <c r="B4128">
        <v>318</v>
      </c>
      <c r="C4128" s="1">
        <f>(Tabela1[[#This Row],[x]]-H$3)*(Tabela1[[#This Row],[x]]-H$3) +(Tabela1[[#This Row],[y]]-H$4)*(Tabela1[[#This Row],[y]]-H$4)</f>
        <v>21845</v>
      </c>
      <c r="D4128" s="1">
        <f>IF(Tabela1[[#This Row],[promien]]&lt;40000,1,0)</f>
        <v>1</v>
      </c>
      <c r="E4128" s="1">
        <f>IF(Tabela1[[#This Row],[promien]]=40000,1,0)</f>
        <v>0</v>
      </c>
      <c r="F4128" s="1">
        <v>3.1656976744186047</v>
      </c>
      <c r="G4128" s="1">
        <v>2.4105020828811607E-2</v>
      </c>
    </row>
    <row r="4129" spans="1:7">
      <c r="A4129">
        <v>147</v>
      </c>
      <c r="B4129">
        <v>136</v>
      </c>
      <c r="C4129" s="1">
        <f>(Tabela1[[#This Row],[x]]-H$3)*(Tabela1[[#This Row],[x]]-H$3) +(Tabela1[[#This Row],[y]]-H$4)*(Tabela1[[#This Row],[y]]-H$4)</f>
        <v>6905</v>
      </c>
      <c r="D4129" s="1">
        <f>IF(Tabela1[[#This Row],[promien]]&lt;40000,1,0)</f>
        <v>1</v>
      </c>
      <c r="E4129" s="1">
        <f>IF(Tabela1[[#This Row],[promien]]=40000,1,0)</f>
        <v>0</v>
      </c>
      <c r="F4129" s="1">
        <v>3.1658997335916688</v>
      </c>
      <c r="G4129" s="1">
        <v>2.4307080001875647E-2</v>
      </c>
    </row>
    <row r="4130" spans="1:7">
      <c r="A4130">
        <v>337</v>
      </c>
      <c r="B4130">
        <v>290</v>
      </c>
      <c r="C4130" s="1">
        <f>(Tabela1[[#This Row],[x]]-H$3)*(Tabela1[[#This Row],[x]]-H$3) +(Tabela1[[#This Row],[y]]-H$4)*(Tabela1[[#This Row],[y]]-H$4)</f>
        <v>26869</v>
      </c>
      <c r="D4130" s="1">
        <f>IF(Tabela1[[#This Row],[promien]]&lt;40000,1,0)</f>
        <v>1</v>
      </c>
      <c r="E4130" s="1">
        <f>IF(Tabela1[[#This Row],[promien]]=40000,1,0)</f>
        <v>0</v>
      </c>
      <c r="F4130" s="1">
        <v>3.1661016949152541</v>
      </c>
      <c r="G4130" s="1">
        <v>2.4509041325460945E-2</v>
      </c>
    </row>
    <row r="4131" spans="1:7">
      <c r="A4131">
        <v>78</v>
      </c>
      <c r="B4131">
        <v>51</v>
      </c>
      <c r="C4131" s="1">
        <f>(Tabela1[[#This Row],[x]]-H$3)*(Tabela1[[#This Row],[x]]-H$3) +(Tabela1[[#This Row],[y]]-H$4)*(Tabela1[[#This Row],[y]]-H$4)</f>
        <v>37085</v>
      </c>
      <c r="D4131" s="1">
        <f>IF(Tabela1[[#This Row],[promien]]&lt;40000,1,0)</f>
        <v>1</v>
      </c>
      <c r="E4131" s="1">
        <f>IF(Tabela1[[#This Row],[promien]]=40000,1,0)</f>
        <v>0</v>
      </c>
      <c r="F4131" s="1">
        <v>3.1663035584604211</v>
      </c>
      <c r="G4131" s="1">
        <v>2.4710904870627992E-2</v>
      </c>
    </row>
    <row r="4132" spans="1:7">
      <c r="A4132">
        <v>202</v>
      </c>
      <c r="B4132">
        <v>341</v>
      </c>
      <c r="C4132" s="1">
        <f>(Tabela1[[#This Row],[x]]-H$3)*(Tabela1[[#This Row],[x]]-H$3) +(Tabela1[[#This Row],[y]]-H$4)*(Tabela1[[#This Row],[y]]-H$4)</f>
        <v>19885</v>
      </c>
      <c r="D4132" s="1">
        <f>IF(Tabela1[[#This Row],[promien]]&lt;40000,1,0)</f>
        <v>1</v>
      </c>
      <c r="E4132" s="1">
        <f>IF(Tabela1[[#This Row],[promien]]=40000,1,0)</f>
        <v>0</v>
      </c>
      <c r="F4132" s="1">
        <v>3.1665053242981607</v>
      </c>
      <c r="G4132" s="1">
        <v>2.4912670708367557E-2</v>
      </c>
    </row>
    <row r="4133" spans="1:7">
      <c r="A4133">
        <v>147</v>
      </c>
      <c r="B4133">
        <v>135</v>
      </c>
      <c r="C4133" s="1">
        <f>(Tabela1[[#This Row],[x]]-H$3)*(Tabela1[[#This Row],[x]]-H$3) +(Tabela1[[#This Row],[y]]-H$4)*(Tabela1[[#This Row],[y]]-H$4)</f>
        <v>7034</v>
      </c>
      <c r="D4133" s="1">
        <f>IF(Tabela1[[#This Row],[promien]]&lt;40000,1,0)</f>
        <v>1</v>
      </c>
      <c r="E4133" s="1">
        <f>IF(Tabela1[[#This Row],[promien]]=40000,1,0)</f>
        <v>0</v>
      </c>
      <c r="F4133" s="1">
        <v>3.1667069924993951</v>
      </c>
      <c r="G4133" s="1">
        <v>2.5114338909602019E-2</v>
      </c>
    </row>
    <row r="4134" spans="1:7">
      <c r="A4134">
        <v>104</v>
      </c>
      <c r="B4134">
        <v>338</v>
      </c>
      <c r="C4134" s="1">
        <f>(Tabela1[[#This Row],[x]]-H$3)*(Tabela1[[#This Row],[x]]-H$3) +(Tabela1[[#This Row],[y]]-H$4)*(Tabela1[[#This Row],[y]]-H$4)</f>
        <v>28260</v>
      </c>
      <c r="D4134" s="1">
        <f>IF(Tabela1[[#This Row],[promien]]&lt;40000,1,0)</f>
        <v>1</v>
      </c>
      <c r="E4134" s="1">
        <f>IF(Tabela1[[#This Row],[promien]]=40000,1,0)</f>
        <v>0</v>
      </c>
      <c r="F4134" s="1">
        <v>3.166908563134978</v>
      </c>
      <c r="G4134" s="1">
        <v>2.5315909545184923E-2</v>
      </c>
    </row>
    <row r="4135" spans="1:7">
      <c r="A4135">
        <v>4</v>
      </c>
      <c r="B4135">
        <v>334</v>
      </c>
      <c r="C4135" s="1">
        <f>(Tabela1[[#This Row],[x]]-H$3)*(Tabela1[[#This Row],[x]]-H$3) +(Tabela1[[#This Row],[y]]-H$4)*(Tabela1[[#This Row],[y]]-H$4)</f>
        <v>56372</v>
      </c>
      <c r="D4135" s="1">
        <f>IF(Tabela1[[#This Row],[promien]]&lt;40000,1,0)</f>
        <v>0</v>
      </c>
      <c r="E4135" s="1">
        <f>IF(Tabela1[[#This Row],[promien]]=40000,1,0)</f>
        <v>0</v>
      </c>
      <c r="F4135" s="1">
        <v>3.1661426844014509</v>
      </c>
      <c r="G4135" s="1">
        <v>2.4550030811657741E-2</v>
      </c>
    </row>
    <row r="4136" spans="1:7">
      <c r="A4136">
        <v>361</v>
      </c>
      <c r="B4136">
        <v>362</v>
      </c>
      <c r="C4136" s="1">
        <f>(Tabela1[[#This Row],[x]]-H$3)*(Tabela1[[#This Row],[x]]-H$3) +(Tabela1[[#This Row],[y]]-H$4)*(Tabela1[[#This Row],[y]]-H$4)</f>
        <v>52165</v>
      </c>
      <c r="D4136" s="1">
        <f>IF(Tabela1[[#This Row],[promien]]&lt;40000,1,0)</f>
        <v>0</v>
      </c>
      <c r="E4136" s="1">
        <f>IF(Tabela1[[#This Row],[promien]]=40000,1,0)</f>
        <v>0</v>
      </c>
      <c r="F4136" s="1">
        <v>3.1653771760154741</v>
      </c>
      <c r="G4136" s="1">
        <v>2.3784522425680965E-2</v>
      </c>
    </row>
    <row r="4137" spans="1:7">
      <c r="A4137">
        <v>226</v>
      </c>
      <c r="B4137">
        <v>123</v>
      </c>
      <c r="C4137" s="1">
        <f>(Tabela1[[#This Row],[x]]-H$3)*(Tabela1[[#This Row],[x]]-H$3) +(Tabela1[[#This Row],[y]]-H$4)*(Tabela1[[#This Row],[y]]-H$4)</f>
        <v>6605</v>
      </c>
      <c r="D4137" s="1">
        <f>IF(Tabela1[[#This Row],[promien]]&lt;40000,1,0)</f>
        <v>1</v>
      </c>
      <c r="E4137" s="1">
        <f>IF(Tabela1[[#This Row],[promien]]=40000,1,0)</f>
        <v>0</v>
      </c>
      <c r="F4137" s="1">
        <v>3.1655789219240997</v>
      </c>
      <c r="G4137" s="1">
        <v>2.3986268334306615E-2</v>
      </c>
    </row>
    <row r="4138" spans="1:7">
      <c r="A4138">
        <v>275</v>
      </c>
      <c r="B4138">
        <v>76</v>
      </c>
      <c r="C4138" s="1">
        <f>(Tabela1[[#This Row],[x]]-H$3)*(Tabela1[[#This Row],[x]]-H$3) +(Tabela1[[#This Row],[y]]-H$4)*(Tabela1[[#This Row],[y]]-H$4)</f>
        <v>21001</v>
      </c>
      <c r="D4138" s="1">
        <f>IF(Tabela1[[#This Row],[promien]]&lt;40000,1,0)</f>
        <v>1</v>
      </c>
      <c r="E4138" s="1">
        <f>IF(Tabela1[[#This Row],[promien]]=40000,1,0)</f>
        <v>0</v>
      </c>
      <c r="F4138" s="1">
        <v>3.165780570323828</v>
      </c>
      <c r="G4138" s="1">
        <v>2.4187916734034864E-2</v>
      </c>
    </row>
    <row r="4139" spans="1:7">
      <c r="A4139">
        <v>358</v>
      </c>
      <c r="B4139">
        <v>25</v>
      </c>
      <c r="C4139" s="1">
        <f>(Tabela1[[#This Row],[x]]-H$3)*(Tabela1[[#This Row],[x]]-H$3) +(Tabela1[[#This Row],[y]]-H$4)*(Tabela1[[#This Row],[y]]-H$4)</f>
        <v>55589</v>
      </c>
      <c r="D4139" s="1">
        <f>IF(Tabela1[[#This Row],[promien]]&lt;40000,1,0)</f>
        <v>0</v>
      </c>
      <c r="E4139" s="1">
        <f>IF(Tabela1[[#This Row],[promien]]=40000,1,0)</f>
        <v>0</v>
      </c>
      <c r="F4139" s="1">
        <v>3.1650157042763953</v>
      </c>
      <c r="G4139" s="1">
        <v>2.342305068660222E-2</v>
      </c>
    </row>
    <row r="4140" spans="1:7">
      <c r="A4140">
        <v>229</v>
      </c>
      <c r="B4140">
        <v>39</v>
      </c>
      <c r="C4140" s="1">
        <f>(Tabela1[[#This Row],[x]]-H$3)*(Tabela1[[#This Row],[x]]-H$3) +(Tabela1[[#This Row],[y]]-H$4)*(Tabela1[[#This Row],[y]]-H$4)</f>
        <v>26762</v>
      </c>
      <c r="D4140" s="1">
        <f>IF(Tabela1[[#This Row],[promien]]&lt;40000,1,0)</f>
        <v>1</v>
      </c>
      <c r="E4140" s="1">
        <f>IF(Tabela1[[#This Row],[promien]]=40000,1,0)</f>
        <v>0</v>
      </c>
      <c r="F4140" s="1">
        <v>3.1652173913043478</v>
      </c>
      <c r="G4140" s="1">
        <v>2.3624737714554644E-2</v>
      </c>
    </row>
    <row r="4141" spans="1:7">
      <c r="A4141">
        <v>185</v>
      </c>
      <c r="B4141">
        <v>214</v>
      </c>
      <c r="C4141" s="1">
        <f>(Tabela1[[#This Row],[x]]-H$3)*(Tabela1[[#This Row],[x]]-H$3) +(Tabela1[[#This Row],[y]]-H$4)*(Tabela1[[#This Row],[y]]-H$4)</f>
        <v>421</v>
      </c>
      <c r="D4141" s="1">
        <f>IF(Tabela1[[#This Row],[promien]]&lt;40000,1,0)</f>
        <v>1</v>
      </c>
      <c r="E4141" s="1">
        <f>IF(Tabela1[[#This Row],[promien]]=40000,1,0)</f>
        <v>0</v>
      </c>
      <c r="F4141" s="1">
        <v>3.1654189809224826</v>
      </c>
      <c r="G4141" s="1">
        <v>2.3826327332689523E-2</v>
      </c>
    </row>
    <row r="4142" spans="1:7">
      <c r="A4142">
        <v>86</v>
      </c>
      <c r="B4142">
        <v>89</v>
      </c>
      <c r="C4142" s="1">
        <f>(Tabela1[[#This Row],[x]]-H$3)*(Tabela1[[#This Row],[x]]-H$3) +(Tabela1[[#This Row],[y]]-H$4)*(Tabela1[[#This Row],[y]]-H$4)</f>
        <v>25317</v>
      </c>
      <c r="D4142" s="1">
        <f>IF(Tabela1[[#This Row],[promien]]&lt;40000,1,0)</f>
        <v>1</v>
      </c>
      <c r="E4142" s="1">
        <f>IF(Tabela1[[#This Row],[promien]]=40000,1,0)</f>
        <v>0</v>
      </c>
      <c r="F4142" s="1">
        <v>3.165620473201352</v>
      </c>
      <c r="G4142" s="1">
        <v>2.4027819611558865E-2</v>
      </c>
    </row>
    <row r="4143" spans="1:7">
      <c r="A4143">
        <v>357</v>
      </c>
      <c r="B4143">
        <v>34</v>
      </c>
      <c r="C4143" s="1">
        <f>(Tabela1[[#This Row],[x]]-H$3)*(Tabela1[[#This Row],[x]]-H$3) +(Tabela1[[#This Row],[y]]-H$4)*(Tabela1[[#This Row],[y]]-H$4)</f>
        <v>52205</v>
      </c>
      <c r="D4143" s="1">
        <f>IF(Tabela1[[#This Row],[promien]]&lt;40000,1,0)</f>
        <v>0</v>
      </c>
      <c r="E4143" s="1">
        <f>IF(Tabela1[[#This Row],[promien]]=40000,1,0)</f>
        <v>0</v>
      </c>
      <c r="F4143" s="1">
        <v>3.1648563842626118</v>
      </c>
      <c r="G4143" s="1">
        <v>2.3263730672818728E-2</v>
      </c>
    </row>
    <row r="4144" spans="1:7">
      <c r="A4144">
        <v>109</v>
      </c>
      <c r="B4144">
        <v>352</v>
      </c>
      <c r="C4144" s="1">
        <f>(Tabela1[[#This Row],[x]]-H$3)*(Tabela1[[#This Row],[x]]-H$3) +(Tabela1[[#This Row],[y]]-H$4)*(Tabela1[[#This Row],[y]]-H$4)</f>
        <v>31385</v>
      </c>
      <c r="D4144" s="1">
        <f>IF(Tabela1[[#This Row],[promien]]&lt;40000,1,0)</f>
        <v>1</v>
      </c>
      <c r="E4144" s="1">
        <f>IF(Tabela1[[#This Row],[promien]]=40000,1,0)</f>
        <v>0</v>
      </c>
      <c r="F4144" s="1">
        <v>3.1650579150579152</v>
      </c>
      <c r="G4144" s="1">
        <v>2.3465261468122112E-2</v>
      </c>
    </row>
    <row r="4145" spans="1:7">
      <c r="A4145">
        <v>375</v>
      </c>
      <c r="B4145">
        <v>5</v>
      </c>
      <c r="C4145" s="1">
        <f>(Tabela1[[#This Row],[x]]-H$3)*(Tabela1[[#This Row],[x]]-H$3) +(Tabela1[[#This Row],[y]]-H$4)*(Tabela1[[#This Row],[y]]-H$4)</f>
        <v>68650</v>
      </c>
      <c r="D4145" s="1">
        <f>IF(Tabela1[[#This Row],[promien]]&lt;40000,1,0)</f>
        <v>0</v>
      </c>
      <c r="E4145" s="1">
        <f>IF(Tabela1[[#This Row],[promien]]=40000,1,0)</f>
        <v>0</v>
      </c>
      <c r="F4145" s="1">
        <v>3.1642943305186972</v>
      </c>
      <c r="G4145" s="1">
        <v>2.2701676928904124E-2</v>
      </c>
    </row>
    <row r="4146" spans="1:7">
      <c r="A4146">
        <v>331</v>
      </c>
      <c r="B4146">
        <v>68</v>
      </c>
      <c r="C4146" s="1">
        <f>(Tabela1[[#This Row],[x]]-H$3)*(Tabela1[[#This Row],[x]]-H$3) +(Tabela1[[#This Row],[y]]-H$4)*(Tabela1[[#This Row],[y]]-H$4)</f>
        <v>34585</v>
      </c>
      <c r="D4146" s="1">
        <f>IF(Tabela1[[#This Row],[promien]]&lt;40000,1,0)</f>
        <v>1</v>
      </c>
      <c r="E4146" s="1">
        <f>IF(Tabela1[[#This Row],[promien]]=40000,1,0)</f>
        <v>0</v>
      </c>
      <c r="F4146" s="1">
        <v>3.1644958996623251</v>
      </c>
      <c r="G4146" s="1">
        <v>2.2903246072532024E-2</v>
      </c>
    </row>
    <row r="4147" spans="1:7">
      <c r="A4147">
        <v>388</v>
      </c>
      <c r="B4147">
        <v>385</v>
      </c>
      <c r="C4147" s="1">
        <f>(Tabela1[[#This Row],[x]]-H$3)*(Tabela1[[#This Row],[x]]-H$3) +(Tabela1[[#This Row],[y]]-H$4)*(Tabela1[[#This Row],[y]]-H$4)</f>
        <v>69569</v>
      </c>
      <c r="D4147" s="1">
        <f>IF(Tabela1[[#This Row],[promien]]&lt;40000,1,0)</f>
        <v>0</v>
      </c>
      <c r="E4147" s="1">
        <f>IF(Tabela1[[#This Row],[promien]]=40000,1,0)</f>
        <v>0</v>
      </c>
      <c r="F4147" s="1">
        <v>3.1637328189052325</v>
      </c>
      <c r="G4147" s="1">
        <v>2.2140165315439386E-2</v>
      </c>
    </row>
    <row r="4148" spans="1:7">
      <c r="A4148">
        <v>41</v>
      </c>
      <c r="B4148">
        <v>170</v>
      </c>
      <c r="C4148" s="1">
        <f>(Tabela1[[#This Row],[x]]-H$3)*(Tabela1[[#This Row],[x]]-H$3) +(Tabela1[[#This Row],[y]]-H$4)*(Tabela1[[#This Row],[y]]-H$4)</f>
        <v>26181</v>
      </c>
      <c r="D4148" s="1">
        <f>IF(Tabela1[[#This Row],[promien]]&lt;40000,1,0)</f>
        <v>1</v>
      </c>
      <c r="E4148" s="1">
        <f>IF(Tabela1[[#This Row],[promien]]=40000,1,0)</f>
        <v>0</v>
      </c>
      <c r="F4148" s="1">
        <v>3.1639344262295084</v>
      </c>
      <c r="G4148" s="1">
        <v>2.2341772639715263E-2</v>
      </c>
    </row>
    <row r="4149" spans="1:7">
      <c r="A4149">
        <v>131</v>
      </c>
      <c r="B4149">
        <v>70</v>
      </c>
      <c r="C4149" s="1">
        <f>(Tabela1[[#This Row],[x]]-H$3)*(Tabela1[[#This Row],[x]]-H$3) +(Tabela1[[#This Row],[y]]-H$4)*(Tabela1[[#This Row],[y]]-H$4)</f>
        <v>21661</v>
      </c>
      <c r="D4149" s="1">
        <f>IF(Tabela1[[#This Row],[promien]]&lt;40000,1,0)</f>
        <v>1</v>
      </c>
      <c r="E4149" s="1">
        <f>IF(Tabela1[[#This Row],[promien]]=40000,1,0)</f>
        <v>0</v>
      </c>
      <c r="F4149" s="1">
        <v>3.1641359363702097</v>
      </c>
      <c r="G4149" s="1">
        <v>2.2543282780416618E-2</v>
      </c>
    </row>
    <row r="4150" spans="1:7">
      <c r="A4150">
        <v>318</v>
      </c>
      <c r="B4150">
        <v>324</v>
      </c>
      <c r="C4150" s="1">
        <f>(Tabela1[[#This Row],[x]]-H$3)*(Tabela1[[#This Row],[x]]-H$3) +(Tabela1[[#This Row],[y]]-H$4)*(Tabela1[[#This Row],[y]]-H$4)</f>
        <v>29300</v>
      </c>
      <c r="D4150" s="1">
        <f>IF(Tabela1[[#This Row],[promien]]&lt;40000,1,0)</f>
        <v>1</v>
      </c>
      <c r="E4150" s="1">
        <f>IF(Tabela1[[#This Row],[promien]]=40000,1,0)</f>
        <v>0</v>
      </c>
      <c r="F4150" s="1">
        <v>3.1643373493975901</v>
      </c>
      <c r="G4150" s="1">
        <v>2.2744695807797033E-2</v>
      </c>
    </row>
    <row r="4151" spans="1:7">
      <c r="A4151">
        <v>188</v>
      </c>
      <c r="B4151">
        <v>37</v>
      </c>
      <c r="C4151" s="1">
        <f>(Tabela1[[#This Row],[x]]-H$3)*(Tabela1[[#This Row],[x]]-H$3) +(Tabela1[[#This Row],[y]]-H$4)*(Tabela1[[#This Row],[y]]-H$4)</f>
        <v>26713</v>
      </c>
      <c r="D4151" s="1">
        <f>IF(Tabela1[[#This Row],[promien]]&lt;40000,1,0)</f>
        <v>1</v>
      </c>
      <c r="E4151" s="1">
        <f>IF(Tabela1[[#This Row],[promien]]=40000,1,0)</f>
        <v>0</v>
      </c>
      <c r="F4151" s="1">
        <v>3.1645386653818357</v>
      </c>
      <c r="G4151" s="1">
        <v>2.2946011792042587E-2</v>
      </c>
    </row>
    <row r="4152" spans="1:7">
      <c r="A4152">
        <v>214</v>
      </c>
      <c r="B4152">
        <v>295</v>
      </c>
      <c r="C4152" s="1">
        <f>(Tabela1[[#This Row],[x]]-H$3)*(Tabela1[[#This Row],[x]]-H$3) +(Tabela1[[#This Row],[y]]-H$4)*(Tabela1[[#This Row],[y]]-H$4)</f>
        <v>9221</v>
      </c>
      <c r="D4152" s="1">
        <f>IF(Tabela1[[#This Row],[promien]]&lt;40000,1,0)</f>
        <v>1</v>
      </c>
      <c r="E4152" s="1">
        <f>IF(Tabela1[[#This Row],[promien]]=40000,1,0)</f>
        <v>0</v>
      </c>
      <c r="F4152" s="1">
        <v>3.1647398843930636</v>
      </c>
      <c r="G4152" s="1">
        <v>2.3147230803270524E-2</v>
      </c>
    </row>
    <row r="4153" spans="1:7">
      <c r="A4153">
        <v>208</v>
      </c>
      <c r="B4153">
        <v>101</v>
      </c>
      <c r="C4153" s="1">
        <f>(Tabela1[[#This Row],[x]]-H$3)*(Tabela1[[#This Row],[x]]-H$3) +(Tabela1[[#This Row],[y]]-H$4)*(Tabela1[[#This Row],[y]]-H$4)</f>
        <v>9865</v>
      </c>
      <c r="D4153" s="1">
        <f>IF(Tabela1[[#This Row],[promien]]&lt;40000,1,0)</f>
        <v>1</v>
      </c>
      <c r="E4153" s="1">
        <f>IF(Tabela1[[#This Row],[promien]]=40000,1,0)</f>
        <v>0</v>
      </c>
      <c r="F4153" s="1">
        <v>3.1649410065013241</v>
      </c>
      <c r="G4153" s="1">
        <v>2.3348352911531034E-2</v>
      </c>
    </row>
    <row r="4154" spans="1:7">
      <c r="A4154">
        <v>139</v>
      </c>
      <c r="B4154">
        <v>151</v>
      </c>
      <c r="C4154" s="1">
        <f>(Tabela1[[#This Row],[x]]-H$3)*(Tabela1[[#This Row],[x]]-H$3) +(Tabela1[[#This Row],[y]]-H$4)*(Tabela1[[#This Row],[y]]-H$4)</f>
        <v>6122</v>
      </c>
      <c r="D4154" s="1">
        <f>IF(Tabela1[[#This Row],[promien]]&lt;40000,1,0)</f>
        <v>1</v>
      </c>
      <c r="E4154" s="1">
        <f>IF(Tabela1[[#This Row],[promien]]=40000,1,0)</f>
        <v>0</v>
      </c>
      <c r="F4154" s="1">
        <v>3.1651420317766008</v>
      </c>
      <c r="G4154" s="1">
        <v>2.354937818680769E-2</v>
      </c>
    </row>
    <row r="4155" spans="1:7">
      <c r="A4155">
        <v>343</v>
      </c>
      <c r="B4155">
        <v>385</v>
      </c>
      <c r="C4155" s="1">
        <f>(Tabela1[[#This Row],[x]]-H$3)*(Tabela1[[#This Row],[x]]-H$3) +(Tabela1[[#This Row],[y]]-H$4)*(Tabela1[[#This Row],[y]]-H$4)</f>
        <v>54674</v>
      </c>
      <c r="D4155" s="1">
        <f>IF(Tabela1[[#This Row],[promien]]&lt;40000,1,0)</f>
        <v>0</v>
      </c>
      <c r="E4155" s="1">
        <f>IF(Tabela1[[#This Row],[promien]]=40000,1,0)</f>
        <v>0</v>
      </c>
      <c r="F4155" s="1">
        <v>3.1643802647412755</v>
      </c>
      <c r="G4155" s="1">
        <v>2.2787611151482423E-2</v>
      </c>
    </row>
    <row r="4156" spans="1:7">
      <c r="A4156">
        <v>147</v>
      </c>
      <c r="B4156">
        <v>24</v>
      </c>
      <c r="C4156" s="1">
        <f>(Tabela1[[#This Row],[x]]-H$3)*(Tabela1[[#This Row],[x]]-H$3) +(Tabela1[[#This Row],[y]]-H$4)*(Tabela1[[#This Row],[y]]-H$4)</f>
        <v>33785</v>
      </c>
      <c r="D4156" s="1">
        <f>IF(Tabela1[[#This Row],[promien]]&lt;40000,1,0)</f>
        <v>1</v>
      </c>
      <c r="E4156" s="1">
        <f>IF(Tabela1[[#This Row],[promien]]=40000,1,0)</f>
        <v>0</v>
      </c>
      <c r="F4156" s="1">
        <v>3.1645813282001924</v>
      </c>
      <c r="G4156" s="1">
        <v>2.2988674610399329E-2</v>
      </c>
    </row>
    <row r="4157" spans="1:7">
      <c r="A4157">
        <v>192</v>
      </c>
      <c r="B4157">
        <v>312</v>
      </c>
      <c r="C4157" s="1">
        <f>(Tabela1[[#This Row],[x]]-H$3)*(Tabela1[[#This Row],[x]]-H$3) +(Tabela1[[#This Row],[y]]-H$4)*(Tabela1[[#This Row],[y]]-H$4)</f>
        <v>12608</v>
      </c>
      <c r="D4157" s="1">
        <f>IF(Tabela1[[#This Row],[promien]]&lt;40000,1,0)</f>
        <v>1</v>
      </c>
      <c r="E4157" s="1">
        <f>IF(Tabela1[[#This Row],[promien]]=40000,1,0)</f>
        <v>0</v>
      </c>
      <c r="F4157" s="1">
        <v>3.1647822949242244</v>
      </c>
      <c r="G4157" s="1">
        <v>2.3189641334431244E-2</v>
      </c>
    </row>
    <row r="4158" spans="1:7">
      <c r="A4158">
        <v>366</v>
      </c>
      <c r="B4158">
        <v>369</v>
      </c>
      <c r="C4158" s="1">
        <f>(Tabela1[[#This Row],[x]]-H$3)*(Tabela1[[#This Row],[x]]-H$3) +(Tabela1[[#This Row],[y]]-H$4)*(Tabela1[[#This Row],[y]]-H$4)</f>
        <v>56117</v>
      </c>
      <c r="D4158" s="1">
        <f>IF(Tabela1[[#This Row],[promien]]&lt;40000,1,0)</f>
        <v>0</v>
      </c>
      <c r="E4158" s="1">
        <f>IF(Tabela1[[#This Row],[promien]]=40000,1,0)</f>
        <v>0</v>
      </c>
      <c r="F4158" s="1">
        <v>3.1640211640211642</v>
      </c>
      <c r="G4158" s="1">
        <v>2.2428510431371063E-2</v>
      </c>
    </row>
    <row r="4159" spans="1:7">
      <c r="A4159">
        <v>158</v>
      </c>
      <c r="B4159">
        <v>285</v>
      </c>
      <c r="C4159" s="1">
        <f>(Tabela1[[#This Row],[x]]-H$3)*(Tabela1[[#This Row],[x]]-H$3) +(Tabela1[[#This Row],[y]]-H$4)*(Tabela1[[#This Row],[y]]-H$4)</f>
        <v>8989</v>
      </c>
      <c r="D4159" s="1">
        <f>IF(Tabela1[[#This Row],[promien]]&lt;40000,1,0)</f>
        <v>1</v>
      </c>
      <c r="E4159" s="1">
        <f>IF(Tabela1[[#This Row],[promien]]=40000,1,0)</f>
        <v>0</v>
      </c>
      <c r="F4159" s="1">
        <v>3.1642221687905745</v>
      </c>
      <c r="G4159" s="1">
        <v>2.262951520078138E-2</v>
      </c>
    </row>
    <row r="4160" spans="1:7">
      <c r="A4160">
        <v>282</v>
      </c>
      <c r="B4160">
        <v>339</v>
      </c>
      <c r="C4160" s="1">
        <f>(Tabela1[[#This Row],[x]]-H$3)*(Tabela1[[#This Row],[x]]-H$3) +(Tabela1[[#This Row],[y]]-H$4)*(Tabela1[[#This Row],[y]]-H$4)</f>
        <v>26045</v>
      </c>
      <c r="D4160" s="1">
        <f>IF(Tabela1[[#This Row],[promien]]&lt;40000,1,0)</f>
        <v>1</v>
      </c>
      <c r="E4160" s="1">
        <f>IF(Tabela1[[#This Row],[promien]]=40000,1,0)</f>
        <v>0</v>
      </c>
      <c r="F4160" s="1">
        <v>3.164423076923077</v>
      </c>
      <c r="G4160" s="1">
        <v>2.2830423333283889E-2</v>
      </c>
    </row>
    <row r="4161" spans="1:7">
      <c r="A4161">
        <v>178</v>
      </c>
      <c r="B4161">
        <v>198</v>
      </c>
      <c r="C4161" s="1">
        <f>(Tabela1[[#This Row],[x]]-H$3)*(Tabela1[[#This Row],[x]]-H$3) +(Tabela1[[#This Row],[y]]-H$4)*(Tabela1[[#This Row],[y]]-H$4)</f>
        <v>488</v>
      </c>
      <c r="D4161" s="1">
        <f>IF(Tabela1[[#This Row],[promien]]&lt;40000,1,0)</f>
        <v>1</v>
      </c>
      <c r="E4161" s="1">
        <f>IF(Tabela1[[#This Row],[promien]]=40000,1,0)</f>
        <v>0</v>
      </c>
      <c r="F4161" s="1">
        <v>3.164623888488344</v>
      </c>
      <c r="G4161" s="1">
        <v>2.3031234898550856E-2</v>
      </c>
    </row>
    <row r="4162" spans="1:7">
      <c r="A4162">
        <v>181</v>
      </c>
      <c r="B4162">
        <v>270</v>
      </c>
      <c r="C4162" s="1">
        <f>(Tabela1[[#This Row],[x]]-H$3)*(Tabela1[[#This Row],[x]]-H$3) +(Tabela1[[#This Row],[y]]-H$4)*(Tabela1[[#This Row],[y]]-H$4)</f>
        <v>5261</v>
      </c>
      <c r="D4162" s="1">
        <f>IF(Tabela1[[#This Row],[promien]]&lt;40000,1,0)</f>
        <v>1</v>
      </c>
      <c r="E4162" s="1">
        <f>IF(Tabela1[[#This Row],[promien]]=40000,1,0)</f>
        <v>0</v>
      </c>
      <c r="F4162" s="1">
        <v>3.1648246035559828</v>
      </c>
      <c r="G4162" s="1">
        <v>2.3231949966189713E-2</v>
      </c>
    </row>
    <row r="4163" spans="1:7">
      <c r="A4163">
        <v>303</v>
      </c>
      <c r="B4163">
        <v>20</v>
      </c>
      <c r="C4163" s="1">
        <f>(Tabela1[[#This Row],[x]]-H$3)*(Tabela1[[#This Row],[x]]-H$3) +(Tabela1[[#This Row],[y]]-H$4)*(Tabela1[[#This Row],[y]]-H$4)</f>
        <v>43009</v>
      </c>
      <c r="D4163" s="1">
        <f>IF(Tabela1[[#This Row],[promien]]&lt;40000,1,0)</f>
        <v>0</v>
      </c>
      <c r="E4163" s="1">
        <f>IF(Tabela1[[#This Row],[promien]]=40000,1,0)</f>
        <v>0</v>
      </c>
      <c r="F4163" s="1">
        <v>3.1640643766514533</v>
      </c>
      <c r="G4163" s="1">
        <v>2.2471723061660231E-2</v>
      </c>
    </row>
    <row r="4164" spans="1:7">
      <c r="A4164">
        <v>3</v>
      </c>
      <c r="B4164">
        <v>308</v>
      </c>
      <c r="C4164" s="1">
        <f>(Tabela1[[#This Row],[x]]-H$3)*(Tabela1[[#This Row],[x]]-H$3) +(Tabela1[[#This Row],[y]]-H$4)*(Tabela1[[#This Row],[y]]-H$4)</f>
        <v>50473</v>
      </c>
      <c r="D4164" s="1">
        <f>IF(Tabela1[[#This Row],[promien]]&lt;40000,1,0)</f>
        <v>0</v>
      </c>
      <c r="E4164" s="1">
        <f>IF(Tabela1[[#This Row],[promien]]=40000,1,0)</f>
        <v>0</v>
      </c>
      <c r="F4164" s="1">
        <v>3.1633045148895294</v>
      </c>
      <c r="G4164" s="1">
        <v>2.1711861299736235E-2</v>
      </c>
    </row>
    <row r="4165" spans="1:7">
      <c r="A4165">
        <v>138</v>
      </c>
      <c r="B4165">
        <v>187</v>
      </c>
      <c r="C4165" s="1">
        <f>(Tabela1[[#This Row],[x]]-H$3)*(Tabela1[[#This Row],[x]]-H$3) +(Tabela1[[#This Row],[y]]-H$4)*(Tabela1[[#This Row],[y]]-H$4)</f>
        <v>4013</v>
      </c>
      <c r="D4165" s="1">
        <f>IF(Tabela1[[#This Row],[promien]]&lt;40000,1,0)</f>
        <v>1</v>
      </c>
      <c r="E4165" s="1">
        <f>IF(Tabela1[[#This Row],[promien]]=40000,1,0)</f>
        <v>0</v>
      </c>
      <c r="F4165" s="1">
        <v>3.1635054021608644</v>
      </c>
      <c r="G4165" s="1">
        <v>2.1912748571071283E-2</v>
      </c>
    </row>
    <row r="4166" spans="1:7">
      <c r="A4166">
        <v>290</v>
      </c>
      <c r="B4166">
        <v>267</v>
      </c>
      <c r="C4166" s="1">
        <f>(Tabela1[[#This Row],[x]]-H$3)*(Tabela1[[#This Row],[x]]-H$3) +(Tabela1[[#This Row],[y]]-H$4)*(Tabela1[[#This Row],[y]]-H$4)</f>
        <v>12589</v>
      </c>
      <c r="D4166" s="1">
        <f>IF(Tabela1[[#This Row],[promien]]&lt;40000,1,0)</f>
        <v>1</v>
      </c>
      <c r="E4166" s="1">
        <f>IF(Tabela1[[#This Row],[promien]]=40000,1,0)</f>
        <v>0</v>
      </c>
      <c r="F4166" s="1">
        <v>3.1637061929908787</v>
      </c>
      <c r="G4166" s="1">
        <v>2.2113539401085625E-2</v>
      </c>
    </row>
    <row r="4167" spans="1:7">
      <c r="A4167">
        <v>143</v>
      </c>
      <c r="B4167">
        <v>61</v>
      </c>
      <c r="C4167" s="1">
        <f>(Tabela1[[#This Row],[x]]-H$3)*(Tabela1[[#This Row],[x]]-H$3) +(Tabela1[[#This Row],[y]]-H$4)*(Tabela1[[#This Row],[y]]-H$4)</f>
        <v>22570</v>
      </c>
      <c r="D4167" s="1">
        <f>IF(Tabela1[[#This Row],[promien]]&lt;40000,1,0)</f>
        <v>1</v>
      </c>
      <c r="E4167" s="1">
        <f>IF(Tabela1[[#This Row],[promien]]=40000,1,0)</f>
        <v>0</v>
      </c>
      <c r="F4167" s="1">
        <v>3.1639068874490039</v>
      </c>
      <c r="G4167" s="1">
        <v>2.231423385921083E-2</v>
      </c>
    </row>
    <row r="4168" spans="1:7">
      <c r="A4168">
        <v>165</v>
      </c>
      <c r="B4168">
        <v>154</v>
      </c>
      <c r="C4168" s="1">
        <f>(Tabela1[[#This Row],[x]]-H$3)*(Tabela1[[#This Row],[x]]-H$3) +(Tabela1[[#This Row],[y]]-H$4)*(Tabela1[[#This Row],[y]]-H$4)</f>
        <v>3341</v>
      </c>
      <c r="D4168" s="1">
        <f>IF(Tabela1[[#This Row],[promien]]&lt;40000,1,0)</f>
        <v>1</v>
      </c>
      <c r="E4168" s="1">
        <f>IF(Tabela1[[#This Row],[promien]]=40000,1,0)</f>
        <v>0</v>
      </c>
      <c r="F4168" s="1">
        <v>3.1641074856046063</v>
      </c>
      <c r="G4168" s="1">
        <v>2.2514832014813191E-2</v>
      </c>
    </row>
    <row r="4169" spans="1:7">
      <c r="A4169">
        <v>12</v>
      </c>
      <c r="B4169">
        <v>220</v>
      </c>
      <c r="C4169" s="1">
        <f>(Tabela1[[#This Row],[x]]-H$3)*(Tabela1[[#This Row],[x]]-H$3) +(Tabela1[[#This Row],[y]]-H$4)*(Tabela1[[#This Row],[y]]-H$4)</f>
        <v>35744</v>
      </c>
      <c r="D4169" s="1">
        <f>IF(Tabela1[[#This Row],[promien]]&lt;40000,1,0)</f>
        <v>1</v>
      </c>
      <c r="E4169" s="1">
        <f>IF(Tabela1[[#This Row],[promien]]=40000,1,0)</f>
        <v>0</v>
      </c>
      <c r="F4169" s="1">
        <v>3.1643079875269851</v>
      </c>
      <c r="G4169" s="1">
        <v>2.2715333937191939E-2</v>
      </c>
    </row>
    <row r="4170" spans="1:7">
      <c r="A4170">
        <v>301</v>
      </c>
      <c r="B4170">
        <v>220</v>
      </c>
      <c r="C4170" s="1">
        <f>(Tabela1[[#This Row],[x]]-H$3)*(Tabela1[[#This Row],[x]]-H$3) +(Tabela1[[#This Row],[y]]-H$4)*(Tabela1[[#This Row],[y]]-H$4)</f>
        <v>10601</v>
      </c>
      <c r="D4170" s="1">
        <f>IF(Tabela1[[#This Row],[promien]]&lt;40000,1,0)</f>
        <v>1</v>
      </c>
      <c r="E4170" s="1">
        <f>IF(Tabela1[[#This Row],[promien]]=40000,1,0)</f>
        <v>0</v>
      </c>
      <c r="F4170" s="1">
        <v>3.1645083932853719</v>
      </c>
      <c r="G4170" s="1">
        <v>2.2915739695578807E-2</v>
      </c>
    </row>
    <row r="4171" spans="1:7">
      <c r="A4171">
        <v>399</v>
      </c>
      <c r="B4171">
        <v>22</v>
      </c>
      <c r="C4171" s="1">
        <f>(Tabela1[[#This Row],[x]]-H$3)*(Tabela1[[#This Row],[x]]-H$3) +(Tabela1[[#This Row],[y]]-H$4)*(Tabela1[[#This Row],[y]]-H$4)</f>
        <v>71285</v>
      </c>
      <c r="D4171" s="1">
        <f>IF(Tabela1[[#This Row],[promien]]&lt;40000,1,0)</f>
        <v>0</v>
      </c>
      <c r="E4171" s="1">
        <f>IF(Tabela1[[#This Row],[promien]]=40000,1,0)</f>
        <v>0</v>
      </c>
      <c r="F4171" s="1">
        <v>3.1637497003116759</v>
      </c>
      <c r="G4171" s="1">
        <v>2.2157046721882789E-2</v>
      </c>
    </row>
    <row r="4172" spans="1:7">
      <c r="A4172">
        <v>250</v>
      </c>
      <c r="B4172">
        <v>200</v>
      </c>
      <c r="C4172" s="1">
        <f>(Tabela1[[#This Row],[x]]-H$3)*(Tabela1[[#This Row],[x]]-H$3) +(Tabela1[[#This Row],[y]]-H$4)*(Tabela1[[#This Row],[y]]-H$4)</f>
        <v>2500</v>
      </c>
      <c r="D4172" s="1">
        <f>IF(Tabela1[[#This Row],[promien]]&lt;40000,1,0)</f>
        <v>1</v>
      </c>
      <c r="E4172" s="1">
        <f>IF(Tabela1[[#This Row],[promien]]=40000,1,0)</f>
        <v>0</v>
      </c>
      <c r="F4172" s="1">
        <v>3.1639501438159154</v>
      </c>
      <c r="G4172" s="1">
        <v>2.2357490226122323E-2</v>
      </c>
    </row>
    <row r="4173" spans="1:7">
      <c r="A4173">
        <v>243</v>
      </c>
      <c r="B4173">
        <v>393</v>
      </c>
      <c r="C4173" s="1">
        <f>(Tabela1[[#This Row],[x]]-H$3)*(Tabela1[[#This Row],[x]]-H$3) +(Tabela1[[#This Row],[y]]-H$4)*(Tabela1[[#This Row],[y]]-H$4)</f>
        <v>39098</v>
      </c>
      <c r="D4173" s="1">
        <f>IF(Tabela1[[#This Row],[promien]]&lt;40000,1,0)</f>
        <v>1</v>
      </c>
      <c r="E4173" s="1">
        <f>IF(Tabela1[[#This Row],[promien]]=40000,1,0)</f>
        <v>0</v>
      </c>
      <c r="F4173" s="1">
        <v>3.1641504912532952</v>
      </c>
      <c r="G4173" s="1">
        <v>2.2557837663502056E-2</v>
      </c>
    </row>
    <row r="4174" spans="1:7">
      <c r="A4174">
        <v>211</v>
      </c>
      <c r="B4174">
        <v>128</v>
      </c>
      <c r="C4174" s="1">
        <f>(Tabela1[[#This Row],[x]]-H$3)*(Tabela1[[#This Row],[x]]-H$3) +(Tabela1[[#This Row],[y]]-H$4)*(Tabela1[[#This Row],[y]]-H$4)</f>
        <v>5305</v>
      </c>
      <c r="D4174" s="1">
        <f>IF(Tabela1[[#This Row],[promien]]&lt;40000,1,0)</f>
        <v>1</v>
      </c>
      <c r="E4174" s="1">
        <f>IF(Tabela1[[#This Row],[promien]]=40000,1,0)</f>
        <v>0</v>
      </c>
      <c r="F4174" s="1">
        <v>3.1643507426928608</v>
      </c>
      <c r="G4174" s="1">
        <v>2.2758089103067647E-2</v>
      </c>
    </row>
    <row r="4175" spans="1:7">
      <c r="A4175">
        <v>109</v>
      </c>
      <c r="B4175">
        <v>184</v>
      </c>
      <c r="C4175" s="1">
        <f>(Tabela1[[#This Row],[x]]-H$3)*(Tabela1[[#This Row],[x]]-H$3) +(Tabela1[[#This Row],[y]]-H$4)*(Tabela1[[#This Row],[y]]-H$4)</f>
        <v>8537</v>
      </c>
      <c r="D4175" s="1">
        <f>IF(Tabela1[[#This Row],[promien]]&lt;40000,1,0)</f>
        <v>1</v>
      </c>
      <c r="E4175" s="1">
        <f>IF(Tabela1[[#This Row],[promien]]=40000,1,0)</f>
        <v>0</v>
      </c>
      <c r="F4175" s="1">
        <v>3.164550898203593</v>
      </c>
      <c r="G4175" s="1">
        <v>2.2958244613799916E-2</v>
      </c>
    </row>
    <row r="4176" spans="1:7">
      <c r="A4176">
        <v>167</v>
      </c>
      <c r="B4176">
        <v>159</v>
      </c>
      <c r="C4176" s="1">
        <f>(Tabela1[[#This Row],[x]]-H$3)*(Tabela1[[#This Row],[x]]-H$3) +(Tabela1[[#This Row],[y]]-H$4)*(Tabela1[[#This Row],[y]]-H$4)</f>
        <v>2770</v>
      </c>
      <c r="D4176" s="1">
        <f>IF(Tabela1[[#This Row],[promien]]&lt;40000,1,0)</f>
        <v>1</v>
      </c>
      <c r="E4176" s="1">
        <f>IF(Tabela1[[#This Row],[promien]]=40000,1,0)</f>
        <v>0</v>
      </c>
      <c r="F4176" s="1">
        <v>3.1647509578544062</v>
      </c>
      <c r="G4176" s="1">
        <v>2.3158304264613072E-2</v>
      </c>
    </row>
    <row r="4177" spans="1:7">
      <c r="A4177">
        <v>104</v>
      </c>
      <c r="B4177">
        <v>288</v>
      </c>
      <c r="C4177" s="1">
        <f>(Tabela1[[#This Row],[x]]-H$3)*(Tabela1[[#This Row],[x]]-H$3) +(Tabela1[[#This Row],[y]]-H$4)*(Tabela1[[#This Row],[y]]-H$4)</f>
        <v>16960</v>
      </c>
      <c r="D4177" s="1">
        <f>IF(Tabela1[[#This Row],[promien]]&lt;40000,1,0)</f>
        <v>1</v>
      </c>
      <c r="E4177" s="1">
        <f>IF(Tabela1[[#This Row],[promien]]=40000,1,0)</f>
        <v>0</v>
      </c>
      <c r="F4177" s="1">
        <v>3.1649509217141487</v>
      </c>
      <c r="G4177" s="1">
        <v>2.3358268124355597E-2</v>
      </c>
    </row>
    <row r="4178" spans="1:7">
      <c r="A4178">
        <v>124</v>
      </c>
      <c r="B4178">
        <v>11</v>
      </c>
      <c r="C4178" s="1">
        <f>(Tabela1[[#This Row],[x]]-H$3)*(Tabela1[[#This Row],[x]]-H$3) +(Tabela1[[#This Row],[y]]-H$4)*(Tabela1[[#This Row],[y]]-H$4)</f>
        <v>41497</v>
      </c>
      <c r="D4178" s="1">
        <f>IF(Tabela1[[#This Row],[promien]]&lt;40000,1,0)</f>
        <v>0</v>
      </c>
      <c r="E4178" s="1">
        <f>IF(Tabela1[[#This Row],[promien]]=40000,1,0)</f>
        <v>0</v>
      </c>
      <c r="F4178" s="1">
        <v>3.1641933939684059</v>
      </c>
      <c r="G4178" s="1">
        <v>2.2600740378612816E-2</v>
      </c>
    </row>
    <row r="4179" spans="1:7">
      <c r="A4179">
        <v>362</v>
      </c>
      <c r="B4179">
        <v>70</v>
      </c>
      <c r="C4179" s="1">
        <f>(Tabela1[[#This Row],[x]]-H$3)*(Tabela1[[#This Row],[x]]-H$3) +(Tabela1[[#This Row],[y]]-H$4)*(Tabela1[[#This Row],[y]]-H$4)</f>
        <v>43144</v>
      </c>
      <c r="D4179" s="1">
        <f>IF(Tabela1[[#This Row],[promien]]&lt;40000,1,0)</f>
        <v>0</v>
      </c>
      <c r="E4179" s="1">
        <f>IF(Tabela1[[#This Row],[promien]]=40000,1,0)</f>
        <v>0</v>
      </c>
      <c r="F4179" s="1">
        <v>3.1634362287628619</v>
      </c>
      <c r="G4179" s="1">
        <v>2.1843575173068785E-2</v>
      </c>
    </row>
    <row r="4180" spans="1:7">
      <c r="A4180">
        <v>310</v>
      </c>
      <c r="B4180">
        <v>82</v>
      </c>
      <c r="C4180" s="1">
        <f>(Tabela1[[#This Row],[x]]-H$3)*(Tabela1[[#This Row],[x]]-H$3) +(Tabela1[[#This Row],[y]]-H$4)*(Tabela1[[#This Row],[y]]-H$4)</f>
        <v>26024</v>
      </c>
      <c r="D4180" s="1">
        <f>IF(Tabela1[[#This Row],[promien]]&lt;40000,1,0)</f>
        <v>1</v>
      </c>
      <c r="E4180" s="1">
        <f>IF(Tabela1[[#This Row],[promien]]=40000,1,0)</f>
        <v>0</v>
      </c>
      <c r="F4180" s="1">
        <v>3.1636363636363636</v>
      </c>
      <c r="G4180" s="1">
        <v>2.2043710046570464E-2</v>
      </c>
    </row>
    <row r="4181" spans="1:7">
      <c r="A4181">
        <v>207</v>
      </c>
      <c r="B4181">
        <v>229</v>
      </c>
      <c r="C4181" s="1">
        <f>(Tabela1[[#This Row],[x]]-H$3)*(Tabela1[[#This Row],[x]]-H$3) +(Tabela1[[#This Row],[y]]-H$4)*(Tabela1[[#This Row],[y]]-H$4)</f>
        <v>890</v>
      </c>
      <c r="D4181" s="1">
        <f>IF(Tabela1[[#This Row],[promien]]&lt;40000,1,0)</f>
        <v>1</v>
      </c>
      <c r="E4181" s="1">
        <f>IF(Tabela1[[#This Row],[promien]]=40000,1,0)</f>
        <v>0</v>
      </c>
      <c r="F4181" s="1">
        <v>3.1638364027744559</v>
      </c>
      <c r="G4181" s="1">
        <v>2.2243749184662764E-2</v>
      </c>
    </row>
    <row r="4182" spans="1:7">
      <c r="A4182">
        <v>70</v>
      </c>
      <c r="B4182">
        <v>2</v>
      </c>
      <c r="C4182" s="1">
        <f>(Tabela1[[#This Row],[x]]-H$3)*(Tabela1[[#This Row],[x]]-H$3) +(Tabela1[[#This Row],[y]]-H$4)*(Tabela1[[#This Row],[y]]-H$4)</f>
        <v>56104</v>
      </c>
      <c r="D4182" s="1">
        <f>IF(Tabela1[[#This Row],[promien]]&lt;40000,1,0)</f>
        <v>0</v>
      </c>
      <c r="E4182" s="1">
        <f>IF(Tabela1[[#This Row],[promien]]=40000,1,0)</f>
        <v>0</v>
      </c>
      <c r="F4182" s="1">
        <v>3.1630798660927786</v>
      </c>
      <c r="G4182" s="1">
        <v>2.1487212502985464E-2</v>
      </c>
    </row>
    <row r="4183" spans="1:7">
      <c r="A4183">
        <v>167</v>
      </c>
      <c r="B4183">
        <v>87</v>
      </c>
      <c r="C4183" s="1">
        <f>(Tabela1[[#This Row],[x]]-H$3)*(Tabela1[[#This Row],[x]]-H$3) +(Tabela1[[#This Row],[y]]-H$4)*(Tabela1[[#This Row],[y]]-H$4)</f>
        <v>13858</v>
      </c>
      <c r="D4183" s="1">
        <f>IF(Tabela1[[#This Row],[promien]]&lt;40000,1,0)</f>
        <v>1</v>
      </c>
      <c r="E4183" s="1">
        <f>IF(Tabela1[[#This Row],[promien]]=40000,1,0)</f>
        <v>0</v>
      </c>
      <c r="F4183" s="1">
        <v>3.1632799426249103</v>
      </c>
      <c r="G4183" s="1">
        <v>2.1687289035117185E-2</v>
      </c>
    </row>
    <row r="4184" spans="1:7">
      <c r="A4184">
        <v>104</v>
      </c>
      <c r="B4184">
        <v>34</v>
      </c>
      <c r="C4184" s="1">
        <f>(Tabela1[[#This Row],[x]]-H$3)*(Tabela1[[#This Row],[x]]-H$3) +(Tabela1[[#This Row],[y]]-H$4)*(Tabela1[[#This Row],[y]]-H$4)</f>
        <v>36772</v>
      </c>
      <c r="D4184" s="1">
        <f>IF(Tabela1[[#This Row],[promien]]&lt;40000,1,0)</f>
        <v>1</v>
      </c>
      <c r="E4184" s="1">
        <f>IF(Tabela1[[#This Row],[promien]]=40000,1,0)</f>
        <v>0</v>
      </c>
      <c r="F4184" s="1">
        <v>3.1634799235181643</v>
      </c>
      <c r="G4184" s="1">
        <v>2.18872699283712E-2</v>
      </c>
    </row>
    <row r="4185" spans="1:7">
      <c r="A4185">
        <v>199</v>
      </c>
      <c r="B4185">
        <v>94</v>
      </c>
      <c r="C4185" s="1">
        <f>(Tabela1[[#This Row],[x]]-H$3)*(Tabela1[[#This Row],[x]]-H$3) +(Tabela1[[#This Row],[y]]-H$4)*(Tabela1[[#This Row],[y]]-H$4)</f>
        <v>11237</v>
      </c>
      <c r="D4185" s="1">
        <f>IF(Tabela1[[#This Row],[promien]]&lt;40000,1,0)</f>
        <v>1</v>
      </c>
      <c r="E4185" s="1">
        <f>IF(Tabela1[[#This Row],[promien]]=40000,1,0)</f>
        <v>0</v>
      </c>
      <c r="F4185" s="1">
        <v>3.1636798088410991</v>
      </c>
      <c r="G4185" s="1">
        <v>2.2087155251306001E-2</v>
      </c>
    </row>
    <row r="4186" spans="1:7">
      <c r="A4186">
        <v>329</v>
      </c>
      <c r="B4186">
        <v>10</v>
      </c>
      <c r="C4186" s="1">
        <f>(Tabela1[[#This Row],[x]]-H$3)*(Tabela1[[#This Row],[x]]-H$3) +(Tabela1[[#This Row],[y]]-H$4)*(Tabela1[[#This Row],[y]]-H$4)</f>
        <v>52741</v>
      </c>
      <c r="D4186" s="1">
        <f>IF(Tabela1[[#This Row],[promien]]&lt;40000,1,0)</f>
        <v>0</v>
      </c>
      <c r="E4186" s="1">
        <f>IF(Tabela1[[#This Row],[promien]]=40000,1,0)</f>
        <v>0</v>
      </c>
      <c r="F4186" s="1">
        <v>3.1629240324892498</v>
      </c>
      <c r="G4186" s="1">
        <v>2.1331378899456688E-2</v>
      </c>
    </row>
    <row r="4187" spans="1:7">
      <c r="A4187">
        <v>124</v>
      </c>
      <c r="B4187">
        <v>272</v>
      </c>
      <c r="C4187" s="1">
        <f>(Tabela1[[#This Row],[x]]-H$3)*(Tabela1[[#This Row],[x]]-H$3) +(Tabela1[[#This Row],[y]]-H$4)*(Tabela1[[#This Row],[y]]-H$4)</f>
        <v>10960</v>
      </c>
      <c r="D4187" s="1">
        <f>IF(Tabela1[[#This Row],[promien]]&lt;40000,1,0)</f>
        <v>1</v>
      </c>
      <c r="E4187" s="1">
        <f>IF(Tabela1[[#This Row],[promien]]=40000,1,0)</f>
        <v>0</v>
      </c>
      <c r="F4187" s="1">
        <v>3.1631239550991164</v>
      </c>
      <c r="G4187" s="1">
        <v>2.1531301509323253E-2</v>
      </c>
    </row>
    <row r="4188" spans="1:7">
      <c r="A4188">
        <v>388</v>
      </c>
      <c r="B4188">
        <v>31</v>
      </c>
      <c r="C4188" s="1">
        <f>(Tabela1[[#This Row],[x]]-H$3)*(Tabela1[[#This Row],[x]]-H$3) +(Tabela1[[#This Row],[y]]-H$4)*(Tabela1[[#This Row],[y]]-H$4)</f>
        <v>63905</v>
      </c>
      <c r="D4188" s="1">
        <f>IF(Tabela1[[#This Row],[promien]]&lt;40000,1,0)</f>
        <v>0</v>
      </c>
      <c r="E4188" s="1">
        <f>IF(Tabela1[[#This Row],[promien]]=40000,1,0)</f>
        <v>0</v>
      </c>
      <c r="F4188" s="1">
        <v>3.1623686723973257</v>
      </c>
      <c r="G4188" s="1">
        <v>2.0776018807532548E-2</v>
      </c>
    </row>
    <row r="4189" spans="1:7">
      <c r="A4189">
        <v>171</v>
      </c>
      <c r="B4189">
        <v>280</v>
      </c>
      <c r="C4189" s="1">
        <f>(Tabela1[[#This Row],[x]]-H$3)*(Tabela1[[#This Row],[x]]-H$3) +(Tabela1[[#This Row],[y]]-H$4)*(Tabela1[[#This Row],[y]]-H$4)</f>
        <v>7241</v>
      </c>
      <c r="D4189" s="1">
        <f>IF(Tabela1[[#This Row],[promien]]&lt;40000,1,0)</f>
        <v>1</v>
      </c>
      <c r="E4189" s="1">
        <f>IF(Tabela1[[#This Row],[promien]]=40000,1,0)</f>
        <v>0</v>
      </c>
      <c r="F4189" s="1">
        <v>3.1625686321317739</v>
      </c>
      <c r="G4189" s="1">
        <v>2.0975978541980744E-2</v>
      </c>
    </row>
    <row r="4190" spans="1:7">
      <c r="A4190">
        <v>321</v>
      </c>
      <c r="B4190">
        <v>360</v>
      </c>
      <c r="C4190" s="1">
        <f>(Tabela1[[#This Row],[x]]-H$3)*(Tabela1[[#This Row],[x]]-H$3) +(Tabela1[[#This Row],[y]]-H$4)*(Tabela1[[#This Row],[y]]-H$4)</f>
        <v>40241</v>
      </c>
      <c r="D4190" s="1">
        <f>IF(Tabela1[[#This Row],[promien]]&lt;40000,1,0)</f>
        <v>0</v>
      </c>
      <c r="E4190" s="1">
        <f>IF(Tabela1[[#This Row],[promien]]=40000,1,0)</f>
        <v>0</v>
      </c>
      <c r="F4190" s="1">
        <v>3.1618138424821001</v>
      </c>
      <c r="G4190" s="1">
        <v>2.0221188892306952E-2</v>
      </c>
    </row>
    <row r="4191" spans="1:7">
      <c r="A4191">
        <v>187</v>
      </c>
      <c r="B4191">
        <v>74</v>
      </c>
      <c r="C4191" s="1">
        <f>(Tabela1[[#This Row],[x]]-H$3)*(Tabela1[[#This Row],[x]]-H$3) +(Tabela1[[#This Row],[y]]-H$4)*(Tabela1[[#This Row],[y]]-H$4)</f>
        <v>16045</v>
      </c>
      <c r="D4191" s="1">
        <f>IF(Tabela1[[#This Row],[promien]]&lt;40000,1,0)</f>
        <v>1</v>
      </c>
      <c r="E4191" s="1">
        <f>IF(Tabela1[[#This Row],[promien]]=40000,1,0)</f>
        <v>0</v>
      </c>
      <c r="F4191" s="1">
        <v>3.1620138391791937</v>
      </c>
      <c r="G4191" s="1">
        <v>2.0421185589400537E-2</v>
      </c>
    </row>
    <row r="4192" spans="1:7">
      <c r="A4192">
        <v>302</v>
      </c>
      <c r="B4192">
        <v>172</v>
      </c>
      <c r="C4192" s="1">
        <f>(Tabela1[[#This Row],[x]]-H$3)*(Tabela1[[#This Row],[x]]-H$3) +(Tabela1[[#This Row],[y]]-H$4)*(Tabela1[[#This Row],[y]]-H$4)</f>
        <v>11188</v>
      </c>
      <c r="D4192" s="1">
        <f>IF(Tabela1[[#This Row],[promien]]&lt;40000,1,0)</f>
        <v>1</v>
      </c>
      <c r="E4192" s="1">
        <f>IF(Tabela1[[#This Row],[promien]]=40000,1,0)</f>
        <v>0</v>
      </c>
      <c r="F4192" s="1">
        <v>3.1622137404580153</v>
      </c>
      <c r="G4192" s="1">
        <v>2.0621086868222172E-2</v>
      </c>
    </row>
    <row r="4193" spans="1:7">
      <c r="A4193">
        <v>36</v>
      </c>
      <c r="B4193">
        <v>236</v>
      </c>
      <c r="C4193" s="1">
        <f>(Tabela1[[#This Row],[x]]-H$3)*(Tabela1[[#This Row],[x]]-H$3) +(Tabela1[[#This Row],[y]]-H$4)*(Tabela1[[#This Row],[y]]-H$4)</f>
        <v>28192</v>
      </c>
      <c r="D4193" s="1">
        <f>IF(Tabela1[[#This Row],[promien]]&lt;40000,1,0)</f>
        <v>1</v>
      </c>
      <c r="E4193" s="1">
        <f>IF(Tabela1[[#This Row],[promien]]=40000,1,0)</f>
        <v>0</v>
      </c>
      <c r="F4193" s="1">
        <v>3.1624135463868353</v>
      </c>
      <c r="G4193" s="1">
        <v>2.0820892797042134E-2</v>
      </c>
    </row>
    <row r="4194" spans="1:7">
      <c r="A4194">
        <v>193</v>
      </c>
      <c r="B4194">
        <v>261</v>
      </c>
      <c r="C4194" s="1">
        <f>(Tabela1[[#This Row],[x]]-H$3)*(Tabela1[[#This Row],[x]]-H$3) +(Tabela1[[#This Row],[y]]-H$4)*(Tabela1[[#This Row],[y]]-H$4)</f>
        <v>3770</v>
      </c>
      <c r="D4194" s="1">
        <f>IF(Tabela1[[#This Row],[promien]]&lt;40000,1,0)</f>
        <v>1</v>
      </c>
      <c r="E4194" s="1">
        <f>IF(Tabela1[[#This Row],[promien]]=40000,1,0)</f>
        <v>0</v>
      </c>
      <c r="F4194" s="1">
        <v>3.1626132570338581</v>
      </c>
      <c r="G4194" s="1">
        <v>2.1020603444064978E-2</v>
      </c>
    </row>
    <row r="4195" spans="1:7">
      <c r="A4195">
        <v>196</v>
      </c>
      <c r="B4195">
        <v>209</v>
      </c>
      <c r="C4195" s="1">
        <f>(Tabela1[[#This Row],[x]]-H$3)*(Tabela1[[#This Row],[x]]-H$3) +(Tabela1[[#This Row],[y]]-H$4)*(Tabela1[[#This Row],[y]]-H$4)</f>
        <v>97</v>
      </c>
      <c r="D4195" s="1">
        <f>IF(Tabela1[[#This Row],[promien]]&lt;40000,1,0)</f>
        <v>1</v>
      </c>
      <c r="E4195" s="1">
        <f>IF(Tabela1[[#This Row],[promien]]=40000,1,0)</f>
        <v>0</v>
      </c>
      <c r="F4195" s="1">
        <v>3.1628128724672231</v>
      </c>
      <c r="G4195" s="1">
        <v>2.1220218877429975E-2</v>
      </c>
    </row>
    <row r="4196" spans="1:7">
      <c r="A4196">
        <v>281</v>
      </c>
      <c r="B4196">
        <v>64</v>
      </c>
      <c r="C4196" s="1">
        <f>(Tabela1[[#This Row],[x]]-H$3)*(Tabela1[[#This Row],[x]]-H$3) +(Tabela1[[#This Row],[y]]-H$4)*(Tabela1[[#This Row],[y]]-H$4)</f>
        <v>25057</v>
      </c>
      <c r="D4196" s="1">
        <f>IF(Tabela1[[#This Row],[promien]]&lt;40000,1,0)</f>
        <v>1</v>
      </c>
      <c r="E4196" s="1">
        <f>IF(Tabela1[[#This Row],[promien]]=40000,1,0)</f>
        <v>0</v>
      </c>
      <c r="F4196" s="1">
        <v>3.1630123927550047</v>
      </c>
      <c r="G4196" s="1">
        <v>2.141973916521156E-2</v>
      </c>
    </row>
    <row r="4197" spans="1:7">
      <c r="A4197">
        <v>382</v>
      </c>
      <c r="B4197">
        <v>219</v>
      </c>
      <c r="C4197" s="1">
        <f>(Tabela1[[#This Row],[x]]-H$3)*(Tabela1[[#This Row],[x]]-H$3) +(Tabela1[[#This Row],[y]]-H$4)*(Tabela1[[#This Row],[y]]-H$4)</f>
        <v>33485</v>
      </c>
      <c r="D4197" s="1">
        <f>IF(Tabela1[[#This Row],[promien]]&lt;40000,1,0)</f>
        <v>1</v>
      </c>
      <c r="E4197" s="1">
        <f>IF(Tabela1[[#This Row],[promien]]=40000,1,0)</f>
        <v>0</v>
      </c>
      <c r="F4197" s="1">
        <v>3.1632118179652133</v>
      </c>
      <c r="G4197" s="1">
        <v>2.1619164375420219E-2</v>
      </c>
    </row>
    <row r="4198" spans="1:7">
      <c r="A4198">
        <v>196</v>
      </c>
      <c r="B4198">
        <v>337</v>
      </c>
      <c r="C4198" s="1">
        <f>(Tabela1[[#This Row],[x]]-H$3)*(Tabela1[[#This Row],[x]]-H$3) +(Tabela1[[#This Row],[y]]-H$4)*(Tabela1[[#This Row],[y]]-H$4)</f>
        <v>18785</v>
      </c>
      <c r="D4198" s="1">
        <f>IF(Tabela1[[#This Row],[promien]]&lt;40000,1,0)</f>
        <v>1</v>
      </c>
      <c r="E4198" s="1">
        <f>IF(Tabela1[[#This Row],[promien]]=40000,1,0)</f>
        <v>0</v>
      </c>
      <c r="F4198" s="1">
        <v>3.1634111481657934</v>
      </c>
      <c r="G4198" s="1">
        <v>2.1818494576000269E-2</v>
      </c>
    </row>
    <row r="4199" spans="1:7">
      <c r="A4199">
        <v>67</v>
      </c>
      <c r="B4199">
        <v>38</v>
      </c>
      <c r="C4199" s="1">
        <f>(Tabela1[[#This Row],[x]]-H$3)*(Tabela1[[#This Row],[x]]-H$3) +(Tabela1[[#This Row],[y]]-H$4)*(Tabela1[[#This Row],[y]]-H$4)</f>
        <v>43933</v>
      </c>
      <c r="D4199" s="1">
        <f>IF(Tabela1[[#This Row],[promien]]&lt;40000,1,0)</f>
        <v>0</v>
      </c>
      <c r="E4199" s="1">
        <f>IF(Tabela1[[#This Row],[promien]]=40000,1,0)</f>
        <v>0</v>
      </c>
      <c r="F4199" s="1">
        <v>3.1626577756608718</v>
      </c>
      <c r="G4199" s="1">
        <v>2.106512207107869E-2</v>
      </c>
    </row>
    <row r="4200" spans="1:7">
      <c r="A4200">
        <v>390</v>
      </c>
      <c r="B4200">
        <v>102</v>
      </c>
      <c r="C4200" s="1">
        <f>(Tabela1[[#This Row],[x]]-H$3)*(Tabela1[[#This Row],[x]]-H$3) +(Tabela1[[#This Row],[y]]-H$4)*(Tabela1[[#This Row],[y]]-H$4)</f>
        <v>45704</v>
      </c>
      <c r="D4200" s="1">
        <f>IF(Tabela1[[#This Row],[promien]]&lt;40000,1,0)</f>
        <v>0</v>
      </c>
      <c r="E4200" s="1">
        <f>IF(Tabela1[[#This Row],[promien]]=40000,1,0)</f>
        <v>0</v>
      </c>
      <c r="F4200" s="1">
        <v>3.1619047619047618</v>
      </c>
      <c r="G4200" s="1">
        <v>2.0312108314968658E-2</v>
      </c>
    </row>
    <row r="4201" spans="1:7">
      <c r="A4201">
        <v>188</v>
      </c>
      <c r="B4201">
        <v>2</v>
      </c>
      <c r="C4201" s="1">
        <f>(Tabela1[[#This Row],[x]]-H$3)*(Tabela1[[#This Row],[x]]-H$3) +(Tabela1[[#This Row],[y]]-H$4)*(Tabela1[[#This Row],[y]]-H$4)</f>
        <v>39348</v>
      </c>
      <c r="D4201" s="1">
        <f>IF(Tabela1[[#This Row],[promien]]&lt;40000,1,0)</f>
        <v>1</v>
      </c>
      <c r="E4201" s="1">
        <f>IF(Tabela1[[#This Row],[promien]]=40000,1,0)</f>
        <v>0</v>
      </c>
      <c r="F4201" s="1">
        <v>3.1621042608902643</v>
      </c>
      <c r="G4201" s="1">
        <v>2.0511607300471191E-2</v>
      </c>
    </row>
    <row r="4202" spans="1:7">
      <c r="A4202">
        <v>21</v>
      </c>
      <c r="B4202">
        <v>66</v>
      </c>
      <c r="C4202" s="1">
        <f>(Tabela1[[#This Row],[x]]-H$3)*(Tabela1[[#This Row],[x]]-H$3) +(Tabela1[[#This Row],[y]]-H$4)*(Tabela1[[#This Row],[y]]-H$4)</f>
        <v>49997</v>
      </c>
      <c r="D4202" s="1">
        <f>IF(Tabela1[[#This Row],[promien]]&lt;40000,1,0)</f>
        <v>0</v>
      </c>
      <c r="E4202" s="1">
        <f>IF(Tabela1[[#This Row],[promien]]=40000,1,0)</f>
        <v>0</v>
      </c>
      <c r="F4202" s="1">
        <v>3.1613517372679678</v>
      </c>
      <c r="G4202" s="1">
        <v>1.9759083678174694E-2</v>
      </c>
    </row>
    <row r="4203" spans="1:7">
      <c r="A4203">
        <v>313</v>
      </c>
      <c r="B4203">
        <v>336</v>
      </c>
      <c r="C4203" s="1">
        <f>(Tabela1[[#This Row],[x]]-H$3)*(Tabela1[[#This Row],[x]]-H$3) +(Tabela1[[#This Row],[y]]-H$4)*(Tabela1[[#This Row],[y]]-H$4)</f>
        <v>31265</v>
      </c>
      <c r="D4203" s="1">
        <f>IF(Tabela1[[#This Row],[promien]]&lt;40000,1,0)</f>
        <v>1</v>
      </c>
      <c r="E4203" s="1">
        <f>IF(Tabela1[[#This Row],[promien]]=40000,1,0)</f>
        <v>0</v>
      </c>
      <c r="F4203" s="1">
        <v>3.1615512729003092</v>
      </c>
      <c r="G4203" s="1">
        <v>1.9958619310516124E-2</v>
      </c>
    </row>
    <row r="4204" spans="1:7">
      <c r="A4204">
        <v>52</v>
      </c>
      <c r="B4204">
        <v>165</v>
      </c>
      <c r="C4204" s="1">
        <f>(Tabela1[[#This Row],[x]]-H$3)*(Tabela1[[#This Row],[x]]-H$3) +(Tabela1[[#This Row],[y]]-H$4)*(Tabela1[[#This Row],[y]]-H$4)</f>
        <v>23129</v>
      </c>
      <c r="D4204" s="1">
        <f>IF(Tabela1[[#This Row],[promien]]&lt;40000,1,0)</f>
        <v>1</v>
      </c>
      <c r="E4204" s="1">
        <f>IF(Tabela1[[#This Row],[promien]]=40000,1,0)</f>
        <v>0</v>
      </c>
      <c r="F4204" s="1">
        <v>3.1617507136060894</v>
      </c>
      <c r="G4204" s="1">
        <v>2.0158060016296275E-2</v>
      </c>
    </row>
    <row r="4205" spans="1:7">
      <c r="A4205">
        <v>226</v>
      </c>
      <c r="B4205">
        <v>35</v>
      </c>
      <c r="C4205" s="1">
        <f>(Tabela1[[#This Row],[x]]-H$3)*(Tabela1[[#This Row],[x]]-H$3) +(Tabela1[[#This Row],[y]]-H$4)*(Tabela1[[#This Row],[y]]-H$4)</f>
        <v>27901</v>
      </c>
      <c r="D4205" s="1">
        <f>IF(Tabela1[[#This Row],[promien]]&lt;40000,1,0)</f>
        <v>1</v>
      </c>
      <c r="E4205" s="1">
        <f>IF(Tabela1[[#This Row],[promien]]=40000,1,0)</f>
        <v>0</v>
      </c>
      <c r="F4205" s="1">
        <v>3.1619500594530323</v>
      </c>
      <c r="G4205" s="1">
        <v>2.0357405863239197E-2</v>
      </c>
    </row>
    <row r="4206" spans="1:7">
      <c r="A4206">
        <v>386</v>
      </c>
      <c r="B4206">
        <v>364</v>
      </c>
      <c r="C4206" s="1">
        <f>(Tabela1[[#This Row],[x]]-H$3)*(Tabela1[[#This Row],[x]]-H$3) +(Tabela1[[#This Row],[y]]-H$4)*(Tabela1[[#This Row],[y]]-H$4)</f>
        <v>61492</v>
      </c>
      <c r="D4206" s="1">
        <f>IF(Tabela1[[#This Row],[promien]]&lt;40000,1,0)</f>
        <v>0</v>
      </c>
      <c r="E4206" s="1">
        <f>IF(Tabela1[[#This Row],[promien]]=40000,1,0)</f>
        <v>0</v>
      </c>
      <c r="F4206" s="1">
        <v>3.1611982881597718</v>
      </c>
      <c r="G4206" s="1">
        <v>1.9605634569978658E-2</v>
      </c>
    </row>
    <row r="4207" spans="1:7">
      <c r="A4207">
        <v>83</v>
      </c>
      <c r="B4207">
        <v>68</v>
      </c>
      <c r="C4207" s="1">
        <f>(Tabela1[[#This Row],[x]]-H$3)*(Tabela1[[#This Row],[x]]-H$3) +(Tabela1[[#This Row],[y]]-H$4)*(Tabela1[[#This Row],[y]]-H$4)</f>
        <v>31113</v>
      </c>
      <c r="D4207" s="1">
        <f>IF(Tabela1[[#This Row],[promien]]&lt;40000,1,0)</f>
        <v>1</v>
      </c>
      <c r="E4207" s="1">
        <f>IF(Tabela1[[#This Row],[promien]]=40000,1,0)</f>
        <v>0</v>
      </c>
      <c r="F4207" s="1">
        <v>3.1613976705490847</v>
      </c>
      <c r="G4207" s="1">
        <v>1.9805016959291599E-2</v>
      </c>
    </row>
    <row r="4208" spans="1:7">
      <c r="A4208">
        <v>28</v>
      </c>
      <c r="B4208">
        <v>376</v>
      </c>
      <c r="C4208" s="1">
        <f>(Tabela1[[#This Row],[x]]-H$3)*(Tabela1[[#This Row],[x]]-H$3) +(Tabela1[[#This Row],[y]]-H$4)*(Tabela1[[#This Row],[y]]-H$4)</f>
        <v>60560</v>
      </c>
      <c r="D4208" s="1">
        <f>IF(Tabela1[[#This Row],[promien]]&lt;40000,1,0)</f>
        <v>0</v>
      </c>
      <c r="E4208" s="1">
        <f>IF(Tabela1[[#This Row],[promien]]=40000,1,0)</f>
        <v>0</v>
      </c>
      <c r="F4208" s="1">
        <v>3.1606463878326996</v>
      </c>
      <c r="G4208" s="1">
        <v>1.9053734242906462E-2</v>
      </c>
    </row>
    <row r="4209" spans="1:7">
      <c r="A4209">
        <v>35</v>
      </c>
      <c r="B4209">
        <v>3</v>
      </c>
      <c r="C4209" s="1">
        <f>(Tabela1[[#This Row],[x]]-H$3)*(Tabela1[[#This Row],[x]]-H$3) +(Tabela1[[#This Row],[y]]-H$4)*(Tabela1[[#This Row],[y]]-H$4)</f>
        <v>66034</v>
      </c>
      <c r="D4209" s="1">
        <f>IF(Tabela1[[#This Row],[promien]]&lt;40000,1,0)</f>
        <v>0</v>
      </c>
      <c r="E4209" s="1">
        <f>IF(Tabela1[[#This Row],[promien]]=40000,1,0)</f>
        <v>0</v>
      </c>
      <c r="F4209" s="1">
        <v>3.159895462105013</v>
      </c>
      <c r="G4209" s="1">
        <v>1.8302808515219926E-2</v>
      </c>
    </row>
    <row r="4210" spans="1:7">
      <c r="A4210">
        <v>159</v>
      </c>
      <c r="B4210">
        <v>356</v>
      </c>
      <c r="C4210" s="1">
        <f>(Tabela1[[#This Row],[x]]-H$3)*(Tabela1[[#This Row],[x]]-H$3) +(Tabela1[[#This Row],[y]]-H$4)*(Tabela1[[#This Row],[y]]-H$4)</f>
        <v>26017</v>
      </c>
      <c r="D4210" s="1">
        <f>IF(Tabela1[[#This Row],[promien]]&lt;40000,1,0)</f>
        <v>1</v>
      </c>
      <c r="E4210" s="1">
        <f>IF(Tabela1[[#This Row],[promien]]=40000,1,0)</f>
        <v>0</v>
      </c>
      <c r="F4210" s="1">
        <v>3.1600950118764843</v>
      </c>
      <c r="G4210" s="1">
        <v>1.8502358286691223E-2</v>
      </c>
    </row>
    <row r="4211" spans="1:7">
      <c r="A4211">
        <v>269</v>
      </c>
      <c r="B4211">
        <v>163</v>
      </c>
      <c r="C4211" s="1">
        <f>(Tabela1[[#This Row],[x]]-H$3)*(Tabela1[[#This Row],[x]]-H$3) +(Tabela1[[#This Row],[y]]-H$4)*(Tabela1[[#This Row],[y]]-H$4)</f>
        <v>6130</v>
      </c>
      <c r="D4211" s="1">
        <f>IF(Tabela1[[#This Row],[promien]]&lt;40000,1,0)</f>
        <v>1</v>
      </c>
      <c r="E4211" s="1">
        <f>IF(Tabela1[[#This Row],[promien]]=40000,1,0)</f>
        <v>0</v>
      </c>
      <c r="F4211" s="1">
        <v>3.1602944668724771</v>
      </c>
      <c r="G4211" s="1">
        <v>1.8701813282683943E-2</v>
      </c>
    </row>
    <row r="4212" spans="1:7">
      <c r="A4212">
        <v>382</v>
      </c>
      <c r="B4212">
        <v>242</v>
      </c>
      <c r="C4212" s="1">
        <f>(Tabela1[[#This Row],[x]]-H$3)*(Tabela1[[#This Row],[x]]-H$3) +(Tabela1[[#This Row],[y]]-H$4)*(Tabela1[[#This Row],[y]]-H$4)</f>
        <v>34888</v>
      </c>
      <c r="D4212" s="1">
        <f>IF(Tabela1[[#This Row],[promien]]&lt;40000,1,0)</f>
        <v>1</v>
      </c>
      <c r="E4212" s="1">
        <f>IF(Tabela1[[#This Row],[promien]]=40000,1,0)</f>
        <v>0</v>
      </c>
      <c r="F4212" s="1">
        <v>3.1604938271604937</v>
      </c>
      <c r="G4212" s="1">
        <v>1.8901173570700536E-2</v>
      </c>
    </row>
    <row r="4213" spans="1:7">
      <c r="A4213">
        <v>177</v>
      </c>
      <c r="B4213">
        <v>144</v>
      </c>
      <c r="C4213" s="1">
        <f>(Tabela1[[#This Row],[x]]-H$3)*(Tabela1[[#This Row],[x]]-H$3) +(Tabela1[[#This Row],[y]]-H$4)*(Tabela1[[#This Row],[y]]-H$4)</f>
        <v>3665</v>
      </c>
      <c r="D4213" s="1">
        <f>IF(Tabela1[[#This Row],[promien]]&lt;40000,1,0)</f>
        <v>1</v>
      </c>
      <c r="E4213" s="1">
        <f>IF(Tabela1[[#This Row],[promien]]=40000,1,0)</f>
        <v>0</v>
      </c>
      <c r="F4213" s="1">
        <v>3.1606930928079753</v>
      </c>
      <c r="G4213" s="1">
        <v>1.9100439218182164E-2</v>
      </c>
    </row>
    <row r="4214" spans="1:7">
      <c r="A4214">
        <v>144</v>
      </c>
      <c r="B4214">
        <v>185</v>
      </c>
      <c r="C4214" s="1">
        <f>(Tabela1[[#This Row],[x]]-H$3)*(Tabela1[[#This Row],[x]]-H$3) +(Tabela1[[#This Row],[y]]-H$4)*(Tabela1[[#This Row],[y]]-H$4)</f>
        <v>3361</v>
      </c>
      <c r="D4214" s="1">
        <f>IF(Tabela1[[#This Row],[promien]]&lt;40000,1,0)</f>
        <v>1</v>
      </c>
      <c r="E4214" s="1">
        <f>IF(Tabela1[[#This Row],[promien]]=40000,1,0)</f>
        <v>0</v>
      </c>
      <c r="F4214" s="1">
        <v>3.1608922638822969</v>
      </c>
      <c r="G4214" s="1">
        <v>1.9299610292503822E-2</v>
      </c>
    </row>
    <row r="4215" spans="1:7">
      <c r="A4215">
        <v>231</v>
      </c>
      <c r="B4215">
        <v>104</v>
      </c>
      <c r="C4215" s="1">
        <f>(Tabela1[[#This Row],[x]]-H$3)*(Tabela1[[#This Row],[x]]-H$3) +(Tabela1[[#This Row],[y]]-H$4)*(Tabela1[[#This Row],[y]]-H$4)</f>
        <v>10177</v>
      </c>
      <c r="D4215" s="1">
        <f>IF(Tabela1[[#This Row],[promien]]&lt;40000,1,0)</f>
        <v>1</v>
      </c>
      <c r="E4215" s="1">
        <f>IF(Tabela1[[#This Row],[promien]]=40000,1,0)</f>
        <v>0</v>
      </c>
      <c r="F4215" s="1">
        <v>3.161091340450771</v>
      </c>
      <c r="G4215" s="1">
        <v>1.9498686860977887E-2</v>
      </c>
    </row>
    <row r="4216" spans="1:7">
      <c r="A4216">
        <v>35</v>
      </c>
      <c r="B4216">
        <v>11</v>
      </c>
      <c r="C4216" s="1">
        <f>(Tabela1[[#This Row],[x]]-H$3)*(Tabela1[[#This Row],[x]]-H$3) +(Tabela1[[#This Row],[y]]-H$4)*(Tabela1[[#This Row],[y]]-H$4)</f>
        <v>62946</v>
      </c>
      <c r="D4216" s="1">
        <f>IF(Tabela1[[#This Row],[promien]]&lt;40000,1,0)</f>
        <v>0</v>
      </c>
      <c r="E4216" s="1">
        <f>IF(Tabela1[[#This Row],[promien]]=40000,1,0)</f>
        <v>0</v>
      </c>
      <c r="F4216" s="1">
        <v>3.1603415559772294</v>
      </c>
      <c r="G4216" s="1">
        <v>1.8748902387436317E-2</v>
      </c>
    </row>
    <row r="4217" spans="1:7">
      <c r="A4217">
        <v>158</v>
      </c>
      <c r="B4217">
        <v>111</v>
      </c>
      <c r="C4217" s="1">
        <f>(Tabela1[[#This Row],[x]]-H$3)*(Tabela1[[#This Row],[x]]-H$3) +(Tabela1[[#This Row],[y]]-H$4)*(Tabela1[[#This Row],[y]]-H$4)</f>
        <v>9685</v>
      </c>
      <c r="D4217" s="1">
        <f>IF(Tabela1[[#This Row],[promien]]&lt;40000,1,0)</f>
        <v>1</v>
      </c>
      <c r="E4217" s="1">
        <f>IF(Tabela1[[#This Row],[promien]]=40000,1,0)</f>
        <v>0</v>
      </c>
      <c r="F4217" s="1">
        <v>3.1605406687218403</v>
      </c>
      <c r="G4217" s="1">
        <v>1.8948015132047136E-2</v>
      </c>
    </row>
    <row r="4218" spans="1:7">
      <c r="A4218">
        <v>80</v>
      </c>
      <c r="B4218">
        <v>154</v>
      </c>
      <c r="C4218" s="1">
        <f>(Tabela1[[#This Row],[x]]-H$3)*(Tabela1[[#This Row],[x]]-H$3) +(Tabela1[[#This Row],[y]]-H$4)*(Tabela1[[#This Row],[y]]-H$4)</f>
        <v>16516</v>
      </c>
      <c r="D4218" s="1">
        <f>IF(Tabela1[[#This Row],[promien]]&lt;40000,1,0)</f>
        <v>1</v>
      </c>
      <c r="E4218" s="1">
        <f>IF(Tabela1[[#This Row],[promien]]=40000,1,0)</f>
        <v>0</v>
      </c>
      <c r="F4218" s="1">
        <v>3.1607396870554765</v>
      </c>
      <c r="G4218" s="1">
        <v>1.9147033465683361E-2</v>
      </c>
    </row>
    <row r="4219" spans="1:7">
      <c r="A4219">
        <v>33</v>
      </c>
      <c r="B4219">
        <v>128</v>
      </c>
      <c r="C4219" s="1">
        <f>(Tabela1[[#This Row],[x]]-H$3)*(Tabela1[[#This Row],[x]]-H$3) +(Tabela1[[#This Row],[y]]-H$4)*(Tabela1[[#This Row],[y]]-H$4)</f>
        <v>33073</v>
      </c>
      <c r="D4219" s="1">
        <f>IF(Tabela1[[#This Row],[promien]]&lt;40000,1,0)</f>
        <v>1</v>
      </c>
      <c r="E4219" s="1">
        <f>IF(Tabela1[[#This Row],[promien]]=40000,1,0)</f>
        <v>0</v>
      </c>
      <c r="F4219" s="1">
        <v>3.1609386110452715</v>
      </c>
      <c r="G4219" s="1">
        <v>1.9345957455478402E-2</v>
      </c>
    </row>
    <row r="4220" spans="1:7">
      <c r="A4220">
        <v>241</v>
      </c>
      <c r="B4220">
        <v>211</v>
      </c>
      <c r="C4220" s="1">
        <f>(Tabela1[[#This Row],[x]]-H$3)*(Tabela1[[#This Row],[x]]-H$3) +(Tabela1[[#This Row],[y]]-H$4)*(Tabela1[[#This Row],[y]]-H$4)</f>
        <v>1802</v>
      </c>
      <c r="D4220" s="1">
        <f>IF(Tabela1[[#This Row],[promien]]&lt;40000,1,0)</f>
        <v>1</v>
      </c>
      <c r="E4220" s="1">
        <f>IF(Tabela1[[#This Row],[promien]]=40000,1,0)</f>
        <v>0</v>
      </c>
      <c r="F4220" s="1">
        <v>3.1611374407582939</v>
      </c>
      <c r="G4220" s="1">
        <v>1.9544787168500832E-2</v>
      </c>
    </row>
    <row r="4221" spans="1:7">
      <c r="A4221">
        <v>177</v>
      </c>
      <c r="B4221">
        <v>105</v>
      </c>
      <c r="C4221" s="1">
        <f>(Tabela1[[#This Row],[x]]-H$3)*(Tabela1[[#This Row],[x]]-H$3) +(Tabela1[[#This Row],[y]]-H$4)*(Tabela1[[#This Row],[y]]-H$4)</f>
        <v>9554</v>
      </c>
      <c r="D4221" s="1">
        <f>IF(Tabela1[[#This Row],[promien]]&lt;40000,1,0)</f>
        <v>1</v>
      </c>
      <c r="E4221" s="1">
        <f>IF(Tabela1[[#This Row],[promien]]=40000,1,0)</f>
        <v>0</v>
      </c>
      <c r="F4221" s="1">
        <v>3.1613361762615493</v>
      </c>
      <c r="G4221" s="1">
        <v>1.9743522671756164E-2</v>
      </c>
    </row>
    <row r="4222" spans="1:7">
      <c r="A4222">
        <v>37</v>
      </c>
      <c r="B4222">
        <v>37</v>
      </c>
      <c r="C4222" s="1">
        <f>(Tabela1[[#This Row],[x]]-H$3)*(Tabela1[[#This Row],[x]]-H$3) +(Tabela1[[#This Row],[y]]-H$4)*(Tabela1[[#This Row],[y]]-H$4)</f>
        <v>53138</v>
      </c>
      <c r="D4222" s="1">
        <f>IF(Tabela1[[#This Row],[promien]]&lt;40000,1,0)</f>
        <v>0</v>
      </c>
      <c r="E4222" s="1">
        <f>IF(Tabela1[[#This Row],[promien]]=40000,1,0)</f>
        <v>0</v>
      </c>
      <c r="F4222" s="1">
        <v>3.1605873993368072</v>
      </c>
      <c r="G4222" s="1">
        <v>1.8994745747014097E-2</v>
      </c>
    </row>
    <row r="4223" spans="1:7">
      <c r="A4223">
        <v>282</v>
      </c>
      <c r="B4223">
        <v>306</v>
      </c>
      <c r="C4223" s="1">
        <f>(Tabela1[[#This Row],[x]]-H$3)*(Tabela1[[#This Row],[x]]-H$3) +(Tabela1[[#This Row],[y]]-H$4)*(Tabela1[[#This Row],[y]]-H$4)</f>
        <v>17960</v>
      </c>
      <c r="D4223" s="1">
        <f>IF(Tabela1[[#This Row],[promien]]&lt;40000,1,0)</f>
        <v>1</v>
      </c>
      <c r="E4223" s="1">
        <f>IF(Tabela1[[#This Row],[promien]]=40000,1,0)</f>
        <v>0</v>
      </c>
      <c r="F4223" s="1">
        <v>3.1607861709685059</v>
      </c>
      <c r="G4223" s="1">
        <v>1.9193517378712777E-2</v>
      </c>
    </row>
    <row r="4224" spans="1:7">
      <c r="A4224">
        <v>231</v>
      </c>
      <c r="B4224">
        <v>39</v>
      </c>
      <c r="C4224" s="1">
        <f>(Tabela1[[#This Row],[x]]-H$3)*(Tabela1[[#This Row],[x]]-H$3) +(Tabela1[[#This Row],[y]]-H$4)*(Tabela1[[#This Row],[y]]-H$4)</f>
        <v>26882</v>
      </c>
      <c r="D4224" s="1">
        <f>IF(Tabela1[[#This Row],[promien]]&lt;40000,1,0)</f>
        <v>1</v>
      </c>
      <c r="E4224" s="1">
        <f>IF(Tabela1[[#This Row],[promien]]=40000,1,0)</f>
        <v>0</v>
      </c>
      <c r="F4224" s="1">
        <v>3.1609848484848486</v>
      </c>
      <c r="G4224" s="1">
        <v>1.9392194895055503E-2</v>
      </c>
    </row>
    <row r="4225" spans="1:7">
      <c r="A4225">
        <v>324</v>
      </c>
      <c r="B4225">
        <v>154</v>
      </c>
      <c r="C4225" s="1">
        <f>(Tabela1[[#This Row],[x]]-H$3)*(Tabela1[[#This Row],[x]]-H$3) +(Tabela1[[#This Row],[y]]-H$4)*(Tabela1[[#This Row],[y]]-H$4)</f>
        <v>17492</v>
      </c>
      <c r="D4225" s="1">
        <f>IF(Tabela1[[#This Row],[promien]]&lt;40000,1,0)</f>
        <v>1</v>
      </c>
      <c r="E4225" s="1">
        <f>IF(Tabela1[[#This Row],[promien]]=40000,1,0)</f>
        <v>0</v>
      </c>
      <c r="F4225" s="1">
        <v>3.1611834319526628</v>
      </c>
      <c r="G4225" s="1">
        <v>1.959077836286971E-2</v>
      </c>
    </row>
    <row r="4226" spans="1:7">
      <c r="A4226">
        <v>145</v>
      </c>
      <c r="B4226">
        <v>345</v>
      </c>
      <c r="C4226" s="1">
        <f>(Tabela1[[#This Row],[x]]-H$3)*(Tabela1[[#This Row],[x]]-H$3) +(Tabela1[[#This Row],[y]]-H$4)*(Tabela1[[#This Row],[y]]-H$4)</f>
        <v>24050</v>
      </c>
      <c r="D4226" s="1">
        <f>IF(Tabela1[[#This Row],[promien]]&lt;40000,1,0)</f>
        <v>1</v>
      </c>
      <c r="E4226" s="1">
        <f>IF(Tabela1[[#This Row],[promien]]=40000,1,0)</f>
        <v>0</v>
      </c>
      <c r="F4226" s="1">
        <v>3.1613819214387129</v>
      </c>
      <c r="G4226" s="1">
        <v>1.9789267848919767E-2</v>
      </c>
    </row>
    <row r="4227" spans="1:7">
      <c r="A4227">
        <v>161</v>
      </c>
      <c r="B4227">
        <v>383</v>
      </c>
      <c r="C4227" s="1">
        <f>(Tabela1[[#This Row],[x]]-H$3)*(Tabela1[[#This Row],[x]]-H$3) +(Tabela1[[#This Row],[y]]-H$4)*(Tabela1[[#This Row],[y]]-H$4)</f>
        <v>35010</v>
      </c>
      <c r="D4227" s="1">
        <f>IF(Tabela1[[#This Row],[promien]]&lt;40000,1,0)</f>
        <v>1</v>
      </c>
      <c r="E4227" s="1">
        <f>IF(Tabela1[[#This Row],[promien]]=40000,1,0)</f>
        <v>0</v>
      </c>
      <c r="F4227" s="1">
        <v>3.1615803170096997</v>
      </c>
      <c r="G4227" s="1">
        <v>1.9987663419906543E-2</v>
      </c>
    </row>
    <row r="4228" spans="1:7">
      <c r="A4228">
        <v>200</v>
      </c>
      <c r="B4228">
        <v>274</v>
      </c>
      <c r="C4228" s="1">
        <f>(Tabela1[[#This Row],[x]]-H$3)*(Tabela1[[#This Row],[x]]-H$3) +(Tabela1[[#This Row],[y]]-H$4)*(Tabela1[[#This Row],[y]]-H$4)</f>
        <v>5476</v>
      </c>
      <c r="D4228" s="1">
        <f>IF(Tabela1[[#This Row],[promien]]&lt;40000,1,0)</f>
        <v>1</v>
      </c>
      <c r="E4228" s="1">
        <f>IF(Tabela1[[#This Row],[promien]]=40000,1,0)</f>
        <v>0</v>
      </c>
      <c r="F4228" s="1">
        <v>3.161778618732261</v>
      </c>
      <c r="G4228" s="1">
        <v>2.0185965142467843E-2</v>
      </c>
    </row>
    <row r="4229" spans="1:7">
      <c r="A4229">
        <v>46</v>
      </c>
      <c r="B4229">
        <v>136</v>
      </c>
      <c r="C4229" s="1">
        <f>(Tabela1[[#This Row],[x]]-H$3)*(Tabela1[[#This Row],[x]]-H$3) +(Tabela1[[#This Row],[y]]-H$4)*(Tabela1[[#This Row],[y]]-H$4)</f>
        <v>27812</v>
      </c>
      <c r="D4229" s="1">
        <f>IF(Tabela1[[#This Row],[promien]]&lt;40000,1,0)</f>
        <v>1</v>
      </c>
      <c r="E4229" s="1">
        <f>IF(Tabela1[[#This Row],[promien]]=40000,1,0)</f>
        <v>0</v>
      </c>
      <c r="F4229" s="1">
        <v>3.1619768266729724</v>
      </c>
      <c r="G4229" s="1">
        <v>2.0384173083179302E-2</v>
      </c>
    </row>
    <row r="4230" spans="1:7">
      <c r="A4230">
        <v>248</v>
      </c>
      <c r="B4230">
        <v>208</v>
      </c>
      <c r="C4230" s="1">
        <f>(Tabela1[[#This Row],[x]]-H$3)*(Tabela1[[#This Row],[x]]-H$3) +(Tabela1[[#This Row],[y]]-H$4)*(Tabela1[[#This Row],[y]]-H$4)</f>
        <v>2368</v>
      </c>
      <c r="D4230" s="1">
        <f>IF(Tabela1[[#This Row],[promien]]&lt;40000,1,0)</f>
        <v>1</v>
      </c>
      <c r="E4230" s="1">
        <f>IF(Tabela1[[#This Row],[promien]]=40000,1,0)</f>
        <v>0</v>
      </c>
      <c r="F4230" s="1">
        <v>3.1621749408983453</v>
      </c>
      <c r="G4230" s="1">
        <v>2.0582287308552161E-2</v>
      </c>
    </row>
    <row r="4231" spans="1:7">
      <c r="A4231">
        <v>243</v>
      </c>
      <c r="B4231">
        <v>7</v>
      </c>
      <c r="C4231" s="1">
        <f>(Tabela1[[#This Row],[x]]-H$3)*(Tabela1[[#This Row],[x]]-H$3) +(Tabela1[[#This Row],[y]]-H$4)*(Tabela1[[#This Row],[y]]-H$4)</f>
        <v>39098</v>
      </c>
      <c r="D4231" s="1">
        <f>IF(Tabela1[[#This Row],[promien]]&lt;40000,1,0)</f>
        <v>1</v>
      </c>
      <c r="E4231" s="1">
        <f>IF(Tabela1[[#This Row],[promien]]=40000,1,0)</f>
        <v>0</v>
      </c>
      <c r="F4231" s="1">
        <v>3.1623729614748286</v>
      </c>
      <c r="G4231" s="1">
        <v>2.0780307885035487E-2</v>
      </c>
    </row>
    <row r="4232" spans="1:7">
      <c r="A4232">
        <v>151</v>
      </c>
      <c r="B4232">
        <v>145</v>
      </c>
      <c r="C4232" s="1">
        <f>(Tabela1[[#This Row],[x]]-H$3)*(Tabela1[[#This Row],[x]]-H$3) +(Tabela1[[#This Row],[y]]-H$4)*(Tabela1[[#This Row],[y]]-H$4)</f>
        <v>5426</v>
      </c>
      <c r="D4232" s="1">
        <f>IF(Tabela1[[#This Row],[promien]]&lt;40000,1,0)</f>
        <v>1</v>
      </c>
      <c r="E4232" s="1">
        <f>IF(Tabela1[[#This Row],[promien]]=40000,1,0)</f>
        <v>0</v>
      </c>
      <c r="F4232" s="1">
        <v>3.1625708884688093</v>
      </c>
      <c r="G4232" s="1">
        <v>2.0978234879016178E-2</v>
      </c>
    </row>
    <row r="4233" spans="1:7">
      <c r="A4233">
        <v>272</v>
      </c>
      <c r="B4233">
        <v>325</v>
      </c>
      <c r="C4233" s="1">
        <f>(Tabela1[[#This Row],[x]]-H$3)*(Tabela1[[#This Row],[x]]-H$3) +(Tabela1[[#This Row],[y]]-H$4)*(Tabela1[[#This Row],[y]]-H$4)</f>
        <v>20809</v>
      </c>
      <c r="D4233" s="1">
        <f>IF(Tabela1[[#This Row],[promien]]&lt;40000,1,0)</f>
        <v>1</v>
      </c>
      <c r="E4233" s="1">
        <f>IF(Tabela1[[#This Row],[promien]]=40000,1,0)</f>
        <v>0</v>
      </c>
      <c r="F4233" s="1">
        <v>3.1627687219466099</v>
      </c>
      <c r="G4233" s="1">
        <v>2.1176068356816735E-2</v>
      </c>
    </row>
    <row r="4234" spans="1:7">
      <c r="A4234">
        <v>5</v>
      </c>
      <c r="B4234">
        <v>84</v>
      </c>
      <c r="C4234" s="1">
        <f>(Tabela1[[#This Row],[x]]-H$3)*(Tabela1[[#This Row],[x]]-H$3) +(Tabela1[[#This Row],[y]]-H$4)*(Tabela1[[#This Row],[y]]-H$4)</f>
        <v>51481</v>
      </c>
      <c r="D4234" s="1">
        <f>IF(Tabela1[[#This Row],[promien]]&lt;40000,1,0)</f>
        <v>0</v>
      </c>
      <c r="E4234" s="1">
        <f>IF(Tabela1[[#This Row],[promien]]=40000,1,0)</f>
        <v>0</v>
      </c>
      <c r="F4234" s="1">
        <v>3.1620217288615966</v>
      </c>
      <c r="G4234" s="1">
        <v>2.0429075271803487E-2</v>
      </c>
    </row>
    <row r="4235" spans="1:7">
      <c r="A4235">
        <v>265</v>
      </c>
      <c r="B4235">
        <v>252</v>
      </c>
      <c r="C4235" s="1">
        <f>(Tabela1[[#This Row],[x]]-H$3)*(Tabela1[[#This Row],[x]]-H$3) +(Tabela1[[#This Row],[y]]-H$4)*(Tabela1[[#This Row],[y]]-H$4)</f>
        <v>6929</v>
      </c>
      <c r="D4235" s="1">
        <f>IF(Tabela1[[#This Row],[promien]]&lt;40000,1,0)</f>
        <v>1</v>
      </c>
      <c r="E4235" s="1">
        <f>IF(Tabela1[[#This Row],[promien]]=40000,1,0)</f>
        <v>0</v>
      </c>
      <c r="F4235" s="1">
        <v>3.1622195985832349</v>
      </c>
      <c r="G4235" s="1">
        <v>2.0626944993441754E-2</v>
      </c>
    </row>
    <row r="4236" spans="1:7">
      <c r="A4236">
        <v>394</v>
      </c>
      <c r="B4236">
        <v>19</v>
      </c>
      <c r="C4236" s="1">
        <f>(Tabela1[[#This Row],[x]]-H$3)*(Tabela1[[#This Row],[x]]-H$3) +(Tabela1[[#This Row],[y]]-H$4)*(Tabela1[[#This Row],[y]]-H$4)</f>
        <v>70397</v>
      </c>
      <c r="D4236" s="1">
        <f>IF(Tabela1[[#This Row],[promien]]&lt;40000,1,0)</f>
        <v>0</v>
      </c>
      <c r="E4236" s="1">
        <f>IF(Tabela1[[#This Row],[promien]]=40000,1,0)</f>
        <v>0</v>
      </c>
      <c r="F4236" s="1">
        <v>3.1614730878186967</v>
      </c>
      <c r="G4236" s="1">
        <v>1.9880434228903621E-2</v>
      </c>
    </row>
    <row r="4237" spans="1:7">
      <c r="A4237">
        <v>228</v>
      </c>
      <c r="B4237">
        <v>92</v>
      </c>
      <c r="C4237" s="1">
        <f>(Tabela1[[#This Row],[x]]-H$3)*(Tabela1[[#This Row],[x]]-H$3) +(Tabela1[[#This Row],[y]]-H$4)*(Tabela1[[#This Row],[y]]-H$4)</f>
        <v>12448</v>
      </c>
      <c r="D4237" s="1">
        <f>IF(Tabela1[[#This Row],[promien]]&lt;40000,1,0)</f>
        <v>1</v>
      </c>
      <c r="E4237" s="1">
        <f>IF(Tabela1[[#This Row],[promien]]=40000,1,0)</f>
        <v>0</v>
      </c>
      <c r="F4237" s="1">
        <v>3.1616709936275669</v>
      </c>
      <c r="G4237" s="1">
        <v>2.0078340037773756E-2</v>
      </c>
    </row>
    <row r="4238" spans="1:7">
      <c r="A4238">
        <v>352</v>
      </c>
      <c r="B4238">
        <v>134</v>
      </c>
      <c r="C4238" s="1">
        <f>(Tabela1[[#This Row],[x]]-H$3)*(Tabela1[[#This Row],[x]]-H$3) +(Tabela1[[#This Row],[y]]-H$4)*(Tabela1[[#This Row],[y]]-H$4)</f>
        <v>27460</v>
      </c>
      <c r="D4238" s="1">
        <f>IF(Tabela1[[#This Row],[promien]]&lt;40000,1,0)</f>
        <v>1</v>
      </c>
      <c r="E4238" s="1">
        <f>IF(Tabela1[[#This Row],[promien]]=40000,1,0)</f>
        <v>0</v>
      </c>
      <c r="F4238" s="1">
        <v>3.1618688060405851</v>
      </c>
      <c r="G4238" s="1">
        <v>2.0276152450791951E-2</v>
      </c>
    </row>
    <row r="4239" spans="1:7">
      <c r="A4239">
        <v>101</v>
      </c>
      <c r="B4239">
        <v>131</v>
      </c>
      <c r="C4239" s="1">
        <f>(Tabela1[[#This Row],[x]]-H$3)*(Tabela1[[#This Row],[x]]-H$3) +(Tabela1[[#This Row],[y]]-H$4)*(Tabela1[[#This Row],[y]]-H$4)</f>
        <v>14562</v>
      </c>
      <c r="D4239" s="1">
        <f>IF(Tabela1[[#This Row],[promien]]&lt;40000,1,0)</f>
        <v>1</v>
      </c>
      <c r="E4239" s="1">
        <f>IF(Tabela1[[#This Row],[promien]]=40000,1,0)</f>
        <v>0</v>
      </c>
      <c r="F4239" s="1">
        <v>3.16206652512385</v>
      </c>
      <c r="G4239" s="1">
        <v>2.0473871534056887E-2</v>
      </c>
    </row>
    <row r="4240" spans="1:7">
      <c r="A4240">
        <v>264</v>
      </c>
      <c r="B4240">
        <v>287</v>
      </c>
      <c r="C4240" s="1">
        <f>(Tabela1[[#This Row],[x]]-H$3)*(Tabela1[[#This Row],[x]]-H$3) +(Tabela1[[#This Row],[y]]-H$4)*(Tabela1[[#This Row],[y]]-H$4)</f>
        <v>11665</v>
      </c>
      <c r="D4240" s="1">
        <f>IF(Tabela1[[#This Row],[promien]]&lt;40000,1,0)</f>
        <v>1</v>
      </c>
      <c r="E4240" s="1">
        <f>IF(Tabela1[[#This Row],[promien]]=40000,1,0)</f>
        <v>0</v>
      </c>
      <c r="F4240" s="1">
        <v>3.1622641509433964</v>
      </c>
      <c r="G4240" s="1">
        <v>2.0671497353603296E-2</v>
      </c>
    </row>
    <row r="4241" spans="1:7">
      <c r="A4241">
        <v>161</v>
      </c>
      <c r="B4241">
        <v>59</v>
      </c>
      <c r="C4241" s="1">
        <f>(Tabela1[[#This Row],[x]]-H$3)*(Tabela1[[#This Row],[x]]-H$3) +(Tabela1[[#This Row],[y]]-H$4)*(Tabela1[[#This Row],[y]]-H$4)</f>
        <v>21402</v>
      </c>
      <c r="D4241" s="1">
        <f>IF(Tabela1[[#This Row],[promien]]&lt;40000,1,0)</f>
        <v>1</v>
      </c>
      <c r="E4241" s="1">
        <f>IF(Tabela1[[#This Row],[promien]]=40000,1,0)</f>
        <v>0</v>
      </c>
      <c r="F4241" s="1">
        <v>3.1624616835651969</v>
      </c>
      <c r="G4241" s="1">
        <v>2.0869029975403741E-2</v>
      </c>
    </row>
    <row r="4242" spans="1:7">
      <c r="A4242">
        <v>15</v>
      </c>
      <c r="B4242">
        <v>25</v>
      </c>
      <c r="C4242" s="1">
        <f>(Tabela1[[#This Row],[x]]-H$3)*(Tabela1[[#This Row],[x]]-H$3) +(Tabela1[[#This Row],[y]]-H$4)*(Tabela1[[#This Row],[y]]-H$4)</f>
        <v>64850</v>
      </c>
      <c r="D4242" s="1">
        <f>IF(Tabela1[[#This Row],[promien]]&lt;40000,1,0)</f>
        <v>0</v>
      </c>
      <c r="E4242" s="1">
        <f>IF(Tabela1[[#This Row],[promien]]=40000,1,0)</f>
        <v>0</v>
      </c>
      <c r="F4242" s="1">
        <v>3.1617161716171616</v>
      </c>
      <c r="G4242" s="1">
        <v>2.0123518027368448E-2</v>
      </c>
    </row>
    <row r="4243" spans="1:7">
      <c r="A4243">
        <v>209</v>
      </c>
      <c r="B4243">
        <v>364</v>
      </c>
      <c r="C4243" s="1">
        <f>(Tabela1[[#This Row],[x]]-H$3)*(Tabela1[[#This Row],[x]]-H$3) +(Tabela1[[#This Row],[y]]-H$4)*(Tabela1[[#This Row],[y]]-H$4)</f>
        <v>26977</v>
      </c>
      <c r="D4243" s="1">
        <f>IF(Tabela1[[#This Row],[promien]]&lt;40000,1,0)</f>
        <v>1</v>
      </c>
      <c r="E4243" s="1">
        <f>IF(Tabela1[[#This Row],[promien]]=40000,1,0)</f>
        <v>0</v>
      </c>
      <c r="F4243" s="1">
        <v>3.1619137402781052</v>
      </c>
      <c r="G4243" s="1">
        <v>2.0321086688312118E-2</v>
      </c>
    </row>
    <row r="4244" spans="1:7">
      <c r="A4244">
        <v>313</v>
      </c>
      <c r="B4244">
        <v>309</v>
      </c>
      <c r="C4244" s="1">
        <f>(Tabela1[[#This Row],[x]]-H$3)*(Tabela1[[#This Row],[x]]-H$3) +(Tabela1[[#This Row],[y]]-H$4)*(Tabela1[[#This Row],[y]]-H$4)</f>
        <v>24650</v>
      </c>
      <c r="D4244" s="1">
        <f>IF(Tabela1[[#This Row],[promien]]&lt;40000,1,0)</f>
        <v>1</v>
      </c>
      <c r="E4244" s="1">
        <f>IF(Tabela1[[#This Row],[promien]]=40000,1,0)</f>
        <v>0</v>
      </c>
      <c r="F4244" s="1">
        <v>3.1621112158341189</v>
      </c>
      <c r="G4244" s="1">
        <v>2.05185622443258E-2</v>
      </c>
    </row>
    <row r="4245" spans="1:7">
      <c r="A4245">
        <v>12</v>
      </c>
      <c r="B4245">
        <v>201</v>
      </c>
      <c r="C4245" s="1">
        <f>(Tabela1[[#This Row],[x]]-H$3)*(Tabela1[[#This Row],[x]]-H$3) +(Tabela1[[#This Row],[y]]-H$4)*(Tabela1[[#This Row],[y]]-H$4)</f>
        <v>35345</v>
      </c>
      <c r="D4245" s="1">
        <f>IF(Tabela1[[#This Row],[promien]]&lt;40000,1,0)</f>
        <v>1</v>
      </c>
      <c r="E4245" s="1">
        <f>IF(Tabela1[[#This Row],[promien]]=40000,1,0)</f>
        <v>0</v>
      </c>
      <c r="F4245" s="1">
        <v>3.1623085983510011</v>
      </c>
      <c r="G4245" s="1">
        <v>2.0715944761207972E-2</v>
      </c>
    </row>
    <row r="4246" spans="1:7">
      <c r="A4246">
        <v>282</v>
      </c>
      <c r="B4246">
        <v>173</v>
      </c>
      <c r="C4246" s="1">
        <f>(Tabela1[[#This Row],[x]]-H$3)*(Tabela1[[#This Row],[x]]-H$3) +(Tabela1[[#This Row],[y]]-H$4)*(Tabela1[[#This Row],[y]]-H$4)</f>
        <v>7453</v>
      </c>
      <c r="D4246" s="1">
        <f>IF(Tabela1[[#This Row],[promien]]&lt;40000,1,0)</f>
        <v>1</v>
      </c>
      <c r="E4246" s="1">
        <f>IF(Tabela1[[#This Row],[promien]]=40000,1,0)</f>
        <v>0</v>
      </c>
      <c r="F4246" s="1">
        <v>3.1625058878944889</v>
      </c>
      <c r="G4246" s="1">
        <v>2.0913234304695827E-2</v>
      </c>
    </row>
    <row r="4247" spans="1:7">
      <c r="A4247">
        <v>134</v>
      </c>
      <c r="B4247">
        <v>256</v>
      </c>
      <c r="C4247" s="1">
        <f>(Tabela1[[#This Row],[x]]-H$3)*(Tabela1[[#This Row],[x]]-H$3) +(Tabela1[[#This Row],[y]]-H$4)*(Tabela1[[#This Row],[y]]-H$4)</f>
        <v>7492</v>
      </c>
      <c r="D4247" s="1">
        <f>IF(Tabela1[[#This Row],[promien]]&lt;40000,1,0)</f>
        <v>1</v>
      </c>
      <c r="E4247" s="1">
        <f>IF(Tabela1[[#This Row],[promien]]=40000,1,0)</f>
        <v>0</v>
      </c>
      <c r="F4247" s="1">
        <v>3.1627030845302566</v>
      </c>
      <c r="G4247" s="1">
        <v>2.1110430940463498E-2</v>
      </c>
    </row>
    <row r="4248" spans="1:7">
      <c r="A4248">
        <v>231</v>
      </c>
      <c r="B4248">
        <v>244</v>
      </c>
      <c r="C4248" s="1">
        <f>(Tabela1[[#This Row],[x]]-H$3)*(Tabela1[[#This Row],[x]]-H$3) +(Tabela1[[#This Row],[y]]-H$4)*(Tabela1[[#This Row],[y]]-H$4)</f>
        <v>2897</v>
      </c>
      <c r="D4248" s="1">
        <f>IF(Tabela1[[#This Row],[promien]]&lt;40000,1,0)</f>
        <v>1</v>
      </c>
      <c r="E4248" s="1">
        <f>IF(Tabela1[[#This Row],[promien]]=40000,1,0)</f>
        <v>0</v>
      </c>
      <c r="F4248" s="1">
        <v>3.162900188323917</v>
      </c>
      <c r="G4248" s="1">
        <v>2.1307534734123834E-2</v>
      </c>
    </row>
    <row r="4249" spans="1:7">
      <c r="A4249">
        <v>60</v>
      </c>
      <c r="B4249">
        <v>344</v>
      </c>
      <c r="C4249" s="1">
        <f>(Tabela1[[#This Row],[x]]-H$3)*(Tabela1[[#This Row],[x]]-H$3) +(Tabela1[[#This Row],[y]]-H$4)*(Tabela1[[#This Row],[y]]-H$4)</f>
        <v>40336</v>
      </c>
      <c r="D4249" s="1">
        <f>IF(Tabela1[[#This Row],[promien]]&lt;40000,1,0)</f>
        <v>0</v>
      </c>
      <c r="E4249" s="1">
        <f>IF(Tabela1[[#This Row],[promien]]=40000,1,0)</f>
        <v>0</v>
      </c>
      <c r="F4249" s="1">
        <v>3.1621558013650271</v>
      </c>
      <c r="G4249" s="1">
        <v>2.0563147775233936E-2</v>
      </c>
    </row>
    <row r="4250" spans="1:7">
      <c r="A4250">
        <v>92</v>
      </c>
      <c r="B4250">
        <v>337</v>
      </c>
      <c r="C4250" s="1">
        <f>(Tabela1[[#This Row],[x]]-H$3)*(Tabela1[[#This Row],[x]]-H$3) +(Tabela1[[#This Row],[y]]-H$4)*(Tabela1[[#This Row],[y]]-H$4)</f>
        <v>30433</v>
      </c>
      <c r="D4250" s="1">
        <f>IF(Tabela1[[#This Row],[promien]]&lt;40000,1,0)</f>
        <v>1</v>
      </c>
      <c r="E4250" s="1">
        <f>IF(Tabela1[[#This Row],[promien]]=40000,1,0)</f>
        <v>0</v>
      </c>
      <c r="F4250" s="1">
        <v>3.1623529411764704</v>
      </c>
      <c r="G4250" s="1">
        <v>2.0760287586677251E-2</v>
      </c>
    </row>
    <row r="4251" spans="1:7">
      <c r="A4251">
        <v>367</v>
      </c>
      <c r="B4251">
        <v>212</v>
      </c>
      <c r="C4251" s="1">
        <f>(Tabela1[[#This Row],[x]]-H$3)*(Tabela1[[#This Row],[x]]-H$3) +(Tabela1[[#This Row],[y]]-H$4)*(Tabela1[[#This Row],[y]]-H$4)</f>
        <v>28033</v>
      </c>
      <c r="D4251" s="1">
        <f>IF(Tabela1[[#This Row],[promien]]&lt;40000,1,0)</f>
        <v>1</v>
      </c>
      <c r="E4251" s="1">
        <f>IF(Tabela1[[#This Row],[promien]]=40000,1,0)</f>
        <v>0</v>
      </c>
      <c r="F4251" s="1">
        <v>3.1625499882380614</v>
      </c>
      <c r="G4251" s="1">
        <v>2.0957334648268322E-2</v>
      </c>
    </row>
    <row r="4252" spans="1:7">
      <c r="A4252">
        <v>226</v>
      </c>
      <c r="B4252">
        <v>141</v>
      </c>
      <c r="C4252" s="1">
        <f>(Tabela1[[#This Row],[x]]-H$3)*(Tabela1[[#This Row],[x]]-H$3) +(Tabela1[[#This Row],[y]]-H$4)*(Tabela1[[#This Row],[y]]-H$4)</f>
        <v>4157</v>
      </c>
      <c r="D4252" s="1">
        <f>IF(Tabela1[[#This Row],[promien]]&lt;40000,1,0)</f>
        <v>1</v>
      </c>
      <c r="E4252" s="1">
        <f>IF(Tabela1[[#This Row],[promien]]=40000,1,0)</f>
        <v>0</v>
      </c>
      <c r="F4252" s="1">
        <v>3.1627469426152399</v>
      </c>
      <c r="G4252" s="1">
        <v>2.1154289025446804E-2</v>
      </c>
    </row>
    <row r="4253" spans="1:7">
      <c r="A4253">
        <v>239</v>
      </c>
      <c r="B4253">
        <v>337</v>
      </c>
      <c r="C4253" s="1">
        <f>(Tabela1[[#This Row],[x]]-H$3)*(Tabela1[[#This Row],[x]]-H$3) +(Tabela1[[#This Row],[y]]-H$4)*(Tabela1[[#This Row],[y]]-H$4)</f>
        <v>20290</v>
      </c>
      <c r="D4253" s="1">
        <f>IF(Tabela1[[#This Row],[promien]]&lt;40000,1,0)</f>
        <v>1</v>
      </c>
      <c r="E4253" s="1">
        <f>IF(Tabela1[[#This Row],[promien]]=40000,1,0)</f>
        <v>0</v>
      </c>
      <c r="F4253" s="1">
        <v>3.1629438043733833</v>
      </c>
      <c r="G4253" s="1">
        <v>2.1351150783590178E-2</v>
      </c>
    </row>
    <row r="4254" spans="1:7">
      <c r="A4254">
        <v>289</v>
      </c>
      <c r="B4254">
        <v>358</v>
      </c>
      <c r="C4254" s="1">
        <f>(Tabela1[[#This Row],[x]]-H$3)*(Tabela1[[#This Row],[x]]-H$3) +(Tabela1[[#This Row],[y]]-H$4)*(Tabela1[[#This Row],[y]]-H$4)</f>
        <v>32885</v>
      </c>
      <c r="D4254" s="1">
        <f>IF(Tabela1[[#This Row],[promien]]&lt;40000,1,0)</f>
        <v>1</v>
      </c>
      <c r="E4254" s="1">
        <f>IF(Tabela1[[#This Row],[promien]]=40000,1,0)</f>
        <v>0</v>
      </c>
      <c r="F4254" s="1">
        <v>3.1631405735778091</v>
      </c>
      <c r="G4254" s="1">
        <v>2.1547919988015973E-2</v>
      </c>
    </row>
    <row r="4255" spans="1:7">
      <c r="A4255">
        <v>245</v>
      </c>
      <c r="B4255">
        <v>169</v>
      </c>
      <c r="C4255" s="1">
        <f>(Tabela1[[#This Row],[x]]-H$3)*(Tabela1[[#This Row],[x]]-H$3) +(Tabela1[[#This Row],[y]]-H$4)*(Tabela1[[#This Row],[y]]-H$4)</f>
        <v>2986</v>
      </c>
      <c r="D4255" s="1">
        <f>IF(Tabela1[[#This Row],[promien]]&lt;40000,1,0)</f>
        <v>1</v>
      </c>
      <c r="E4255" s="1">
        <f>IF(Tabela1[[#This Row],[promien]]=40000,1,0)</f>
        <v>0</v>
      </c>
      <c r="F4255" s="1">
        <v>3.1633372502937722</v>
      </c>
      <c r="G4255" s="1">
        <v>2.1744596703979102E-2</v>
      </c>
    </row>
    <row r="4256" spans="1:7">
      <c r="A4256">
        <v>144</v>
      </c>
      <c r="B4256">
        <v>49</v>
      </c>
      <c r="C4256" s="1">
        <f>(Tabela1[[#This Row],[x]]-H$3)*(Tabela1[[#This Row],[x]]-H$3) +(Tabela1[[#This Row],[y]]-H$4)*(Tabela1[[#This Row],[y]]-H$4)</f>
        <v>25937</v>
      </c>
      <c r="D4256" s="1">
        <f>IF(Tabela1[[#This Row],[promien]]&lt;40000,1,0)</f>
        <v>1</v>
      </c>
      <c r="E4256" s="1">
        <f>IF(Tabela1[[#This Row],[promien]]=40000,1,0)</f>
        <v>0</v>
      </c>
      <c r="F4256" s="1">
        <v>3.1635338345864663</v>
      </c>
      <c r="G4256" s="1">
        <v>2.1941180996673193E-2</v>
      </c>
    </row>
    <row r="4257" spans="1:7">
      <c r="A4257">
        <v>341</v>
      </c>
      <c r="B4257">
        <v>161</v>
      </c>
      <c r="C4257" s="1">
        <f>(Tabela1[[#This Row],[x]]-H$3)*(Tabela1[[#This Row],[x]]-H$3) +(Tabela1[[#This Row],[y]]-H$4)*(Tabela1[[#This Row],[y]]-H$4)</f>
        <v>21402</v>
      </c>
      <c r="D4257" s="1">
        <f>IF(Tabela1[[#This Row],[promien]]&lt;40000,1,0)</f>
        <v>1</v>
      </c>
      <c r="E4257" s="1">
        <f>IF(Tabela1[[#This Row],[promien]]=40000,1,0)</f>
        <v>0</v>
      </c>
      <c r="F4257" s="1">
        <v>3.1637303265210241</v>
      </c>
      <c r="G4257" s="1">
        <v>2.2137672931231034E-2</v>
      </c>
    </row>
    <row r="4258" spans="1:7">
      <c r="A4258">
        <v>309</v>
      </c>
      <c r="B4258">
        <v>126</v>
      </c>
      <c r="C4258" s="1">
        <f>(Tabela1[[#This Row],[x]]-H$3)*(Tabela1[[#This Row],[x]]-H$3) +(Tabela1[[#This Row],[y]]-H$4)*(Tabela1[[#This Row],[y]]-H$4)</f>
        <v>17357</v>
      </c>
      <c r="D4258" s="1">
        <f>IF(Tabela1[[#This Row],[promien]]&lt;40000,1,0)</f>
        <v>1</v>
      </c>
      <c r="E4258" s="1">
        <f>IF(Tabela1[[#This Row],[promien]]=40000,1,0)</f>
        <v>0</v>
      </c>
      <c r="F4258" s="1">
        <v>3.1639267261625177</v>
      </c>
      <c r="G4258" s="1">
        <v>2.2334072572724573E-2</v>
      </c>
    </row>
    <row r="4259" spans="1:7">
      <c r="A4259">
        <v>19</v>
      </c>
      <c r="B4259">
        <v>10</v>
      </c>
      <c r="C4259" s="1">
        <f>(Tabela1[[#This Row],[x]]-H$3)*(Tabela1[[#This Row],[x]]-H$3) +(Tabela1[[#This Row],[y]]-H$4)*(Tabela1[[#This Row],[y]]-H$4)</f>
        <v>68861</v>
      </c>
      <c r="D4259" s="1">
        <f>IF(Tabela1[[#This Row],[promien]]&lt;40000,1,0)</f>
        <v>0</v>
      </c>
      <c r="E4259" s="1">
        <f>IF(Tabela1[[#This Row],[promien]]=40000,1,0)</f>
        <v>0</v>
      </c>
      <c r="F4259" s="1">
        <v>3.1631838459732333</v>
      </c>
      <c r="G4259" s="1">
        <v>2.1591192383440205E-2</v>
      </c>
    </row>
    <row r="4260" spans="1:7">
      <c r="A4260">
        <v>4</v>
      </c>
      <c r="B4260">
        <v>296</v>
      </c>
      <c r="C4260" s="1">
        <f>(Tabela1[[#This Row],[x]]-H$3)*(Tabela1[[#This Row],[x]]-H$3) +(Tabela1[[#This Row],[y]]-H$4)*(Tabela1[[#This Row],[y]]-H$4)</f>
        <v>47632</v>
      </c>
      <c r="D4260" s="1">
        <f>IF(Tabela1[[#This Row],[promien]]&lt;40000,1,0)</f>
        <v>0</v>
      </c>
      <c r="E4260" s="1">
        <f>IF(Tabela1[[#This Row],[promien]]=40000,1,0)</f>
        <v>0</v>
      </c>
      <c r="F4260" s="1">
        <v>3.1624413145539907</v>
      </c>
      <c r="G4260" s="1">
        <v>2.0848660964197574E-2</v>
      </c>
    </row>
    <row r="4261" spans="1:7">
      <c r="A4261">
        <v>121</v>
      </c>
      <c r="B4261">
        <v>100</v>
      </c>
      <c r="C4261" s="1">
        <f>(Tabela1[[#This Row],[x]]-H$3)*(Tabela1[[#This Row],[x]]-H$3) +(Tabela1[[#This Row],[y]]-H$4)*(Tabela1[[#This Row],[y]]-H$4)</f>
        <v>16241</v>
      </c>
      <c r="D4261" s="1">
        <f>IF(Tabela1[[#This Row],[promien]]&lt;40000,1,0)</f>
        <v>1</v>
      </c>
      <c r="E4261" s="1">
        <f>IF(Tabela1[[#This Row],[promien]]=40000,1,0)</f>
        <v>0</v>
      </c>
      <c r="F4261" s="1">
        <v>3.1626378784322928</v>
      </c>
      <c r="G4261" s="1">
        <v>2.104522484249971E-2</v>
      </c>
    </row>
    <row r="4262" spans="1:7">
      <c r="A4262">
        <v>319</v>
      </c>
      <c r="B4262">
        <v>242</v>
      </c>
      <c r="C4262" s="1">
        <f>(Tabela1[[#This Row],[x]]-H$3)*(Tabela1[[#This Row],[x]]-H$3) +(Tabela1[[#This Row],[y]]-H$4)*(Tabela1[[#This Row],[y]]-H$4)</f>
        <v>15925</v>
      </c>
      <c r="D4262" s="1">
        <f>IF(Tabela1[[#This Row],[promien]]&lt;40000,1,0)</f>
        <v>1</v>
      </c>
      <c r="E4262" s="1">
        <f>IF(Tabela1[[#This Row],[promien]]=40000,1,0)</f>
        <v>0</v>
      </c>
      <c r="F4262" s="1">
        <v>3.1628343500703897</v>
      </c>
      <c r="G4262" s="1">
        <v>2.1241696480596595E-2</v>
      </c>
    </row>
    <row r="4263" spans="1:7">
      <c r="A4263">
        <v>244</v>
      </c>
      <c r="B4263">
        <v>304</v>
      </c>
      <c r="C4263" s="1">
        <f>(Tabela1[[#This Row],[x]]-H$3)*(Tabela1[[#This Row],[x]]-H$3) +(Tabela1[[#This Row],[y]]-H$4)*(Tabela1[[#This Row],[y]]-H$4)</f>
        <v>12752</v>
      </c>
      <c r="D4263" s="1">
        <f>IF(Tabela1[[#This Row],[promien]]&lt;40000,1,0)</f>
        <v>1</v>
      </c>
      <c r="E4263" s="1">
        <f>IF(Tabela1[[#This Row],[promien]]=40000,1,0)</f>
        <v>0</v>
      </c>
      <c r="F4263" s="1">
        <v>3.1630307295331925</v>
      </c>
      <c r="G4263" s="1">
        <v>2.1438075943399415E-2</v>
      </c>
    </row>
    <row r="4264" spans="1:7">
      <c r="A4264">
        <v>133</v>
      </c>
      <c r="B4264">
        <v>326</v>
      </c>
      <c r="C4264" s="1">
        <f>(Tabela1[[#This Row],[x]]-H$3)*(Tabela1[[#This Row],[x]]-H$3) +(Tabela1[[#This Row],[y]]-H$4)*(Tabela1[[#This Row],[y]]-H$4)</f>
        <v>20365</v>
      </c>
      <c r="D4264" s="1">
        <f>IF(Tabela1[[#This Row],[promien]]&lt;40000,1,0)</f>
        <v>1</v>
      </c>
      <c r="E4264" s="1">
        <f>IF(Tabela1[[#This Row],[promien]]=40000,1,0)</f>
        <v>0</v>
      </c>
      <c r="F4264" s="1">
        <v>3.1632270168855534</v>
      </c>
      <c r="G4264" s="1">
        <v>2.1634363295760295E-2</v>
      </c>
    </row>
    <row r="4265" spans="1:7">
      <c r="A4265">
        <v>329</v>
      </c>
      <c r="B4265">
        <v>60</v>
      </c>
      <c r="C4265" s="1">
        <f>(Tabela1[[#This Row],[x]]-H$3)*(Tabela1[[#This Row],[x]]-H$3) +(Tabela1[[#This Row],[y]]-H$4)*(Tabela1[[#This Row],[y]]-H$4)</f>
        <v>36241</v>
      </c>
      <c r="D4265" s="1">
        <f>IF(Tabela1[[#This Row],[promien]]&lt;40000,1,0)</f>
        <v>1</v>
      </c>
      <c r="E4265" s="1">
        <f>IF(Tabela1[[#This Row],[promien]]=40000,1,0)</f>
        <v>0</v>
      </c>
      <c r="F4265" s="1">
        <v>3.1634232121922627</v>
      </c>
      <c r="G4265" s="1">
        <v>2.183055860246963E-2</v>
      </c>
    </row>
    <row r="4266" spans="1:7">
      <c r="A4266">
        <v>217</v>
      </c>
      <c r="B4266">
        <v>14</v>
      </c>
      <c r="C4266" s="1">
        <f>(Tabela1[[#This Row],[x]]-H$3)*(Tabela1[[#This Row],[x]]-H$3) +(Tabela1[[#This Row],[y]]-H$4)*(Tabela1[[#This Row],[y]]-H$4)</f>
        <v>34885</v>
      </c>
      <c r="D4266" s="1">
        <f>IF(Tabela1[[#This Row],[promien]]&lt;40000,1,0)</f>
        <v>1</v>
      </c>
      <c r="E4266" s="1">
        <f>IF(Tabela1[[#This Row],[promien]]=40000,1,0)</f>
        <v>0</v>
      </c>
      <c r="F4266" s="1">
        <v>3.1636193155180496</v>
      </c>
      <c r="G4266" s="1">
        <v>2.202666192825653E-2</v>
      </c>
    </row>
    <row r="4267" spans="1:7">
      <c r="A4267">
        <v>244</v>
      </c>
      <c r="B4267">
        <v>298</v>
      </c>
      <c r="C4267" s="1">
        <f>(Tabela1[[#This Row],[x]]-H$3)*(Tabela1[[#This Row],[x]]-H$3) +(Tabela1[[#This Row],[y]]-H$4)*(Tabela1[[#This Row],[y]]-H$4)</f>
        <v>11540</v>
      </c>
      <c r="D4267" s="1">
        <f>IF(Tabela1[[#This Row],[promien]]&lt;40000,1,0)</f>
        <v>1</v>
      </c>
      <c r="E4267" s="1">
        <f>IF(Tabela1[[#This Row],[promien]]=40000,1,0)</f>
        <v>0</v>
      </c>
      <c r="F4267" s="1">
        <v>3.1638153269275837</v>
      </c>
      <c r="G4267" s="1">
        <v>2.2222673337790599E-2</v>
      </c>
    </row>
    <row r="4268" spans="1:7">
      <c r="A4268">
        <v>59</v>
      </c>
      <c r="B4268">
        <v>130</v>
      </c>
      <c r="C4268" s="1">
        <f>(Tabela1[[#This Row],[x]]-H$3)*(Tabela1[[#This Row],[x]]-H$3) +(Tabela1[[#This Row],[y]]-H$4)*(Tabela1[[#This Row],[y]]-H$4)</f>
        <v>24781</v>
      </c>
      <c r="D4268" s="1">
        <f>IF(Tabela1[[#This Row],[promien]]&lt;40000,1,0)</f>
        <v>1</v>
      </c>
      <c r="E4268" s="1">
        <f>IF(Tabela1[[#This Row],[promien]]=40000,1,0)</f>
        <v>0</v>
      </c>
      <c r="F4268" s="1">
        <v>3.1640112464854733</v>
      </c>
      <c r="G4268" s="1">
        <v>2.2418592895680156E-2</v>
      </c>
    </row>
    <row r="4269" spans="1:7">
      <c r="A4269">
        <v>38</v>
      </c>
      <c r="B4269">
        <v>13</v>
      </c>
      <c r="C4269" s="1">
        <f>(Tabela1[[#This Row],[x]]-H$3)*(Tabela1[[#This Row],[x]]-H$3) +(Tabela1[[#This Row],[y]]-H$4)*(Tabela1[[#This Row],[y]]-H$4)</f>
        <v>61213</v>
      </c>
      <c r="D4269" s="1">
        <f>IF(Tabela1[[#This Row],[promien]]&lt;40000,1,0)</f>
        <v>0</v>
      </c>
      <c r="E4269" s="1">
        <f>IF(Tabela1[[#This Row],[promien]]=40000,1,0)</f>
        <v>0</v>
      </c>
      <c r="F4269" s="1">
        <v>3.1632700866713517</v>
      </c>
      <c r="G4269" s="1">
        <v>2.1677433081558561E-2</v>
      </c>
    </row>
    <row r="4270" spans="1:7">
      <c r="A4270">
        <v>6</v>
      </c>
      <c r="B4270">
        <v>99</v>
      </c>
      <c r="C4270" s="1">
        <f>(Tabela1[[#This Row],[x]]-H$3)*(Tabela1[[#This Row],[x]]-H$3) +(Tabela1[[#This Row],[y]]-H$4)*(Tabela1[[#This Row],[y]]-H$4)</f>
        <v>47837</v>
      </c>
      <c r="D4270" s="1">
        <f>IF(Tabela1[[#This Row],[promien]]&lt;40000,1,0)</f>
        <v>0</v>
      </c>
      <c r="E4270" s="1">
        <f>IF(Tabela1[[#This Row],[promien]]=40000,1,0)</f>
        <v>0</v>
      </c>
      <c r="F4270" s="1">
        <v>3.162529274004684</v>
      </c>
      <c r="G4270" s="1">
        <v>2.0936620414890861E-2</v>
      </c>
    </row>
    <row r="4271" spans="1:7">
      <c r="A4271">
        <v>329</v>
      </c>
      <c r="B4271">
        <v>61</v>
      </c>
      <c r="C4271" s="1">
        <f>(Tabela1[[#This Row],[x]]-H$3)*(Tabela1[[#This Row],[x]]-H$3) +(Tabela1[[#This Row],[y]]-H$4)*(Tabela1[[#This Row],[y]]-H$4)</f>
        <v>35962</v>
      </c>
      <c r="D4271" s="1">
        <f>IF(Tabela1[[#This Row],[promien]]&lt;40000,1,0)</f>
        <v>1</v>
      </c>
      <c r="E4271" s="1">
        <f>IF(Tabela1[[#This Row],[promien]]=40000,1,0)</f>
        <v>0</v>
      </c>
      <c r="F4271" s="1">
        <v>3.1627253570592369</v>
      </c>
      <c r="G4271" s="1">
        <v>2.1132703469443737E-2</v>
      </c>
    </row>
    <row r="4272" spans="1:7">
      <c r="A4272">
        <v>123</v>
      </c>
      <c r="B4272">
        <v>49</v>
      </c>
      <c r="C4272" s="1">
        <f>(Tabela1[[#This Row],[x]]-H$3)*(Tabela1[[#This Row],[x]]-H$3) +(Tabela1[[#This Row],[y]]-H$4)*(Tabela1[[#This Row],[y]]-H$4)</f>
        <v>28730</v>
      </c>
      <c r="D4272" s="1">
        <f>IF(Tabela1[[#This Row],[promien]]&lt;40000,1,0)</f>
        <v>1</v>
      </c>
      <c r="E4272" s="1">
        <f>IF(Tabela1[[#This Row],[promien]]=40000,1,0)</f>
        <v>0</v>
      </c>
      <c r="F4272" s="1">
        <v>3.1629213483146068</v>
      </c>
      <c r="G4272" s="1">
        <v>2.132869472481369E-2</v>
      </c>
    </row>
    <row r="4273" spans="1:7">
      <c r="A4273">
        <v>182</v>
      </c>
      <c r="B4273">
        <v>224</v>
      </c>
      <c r="C4273" s="1">
        <f>(Tabela1[[#This Row],[x]]-H$3)*(Tabela1[[#This Row],[x]]-H$3) +(Tabela1[[#This Row],[y]]-H$4)*(Tabela1[[#This Row],[y]]-H$4)</f>
        <v>900</v>
      </c>
      <c r="D4273" s="1">
        <f>IF(Tabela1[[#This Row],[promien]]&lt;40000,1,0)</f>
        <v>1</v>
      </c>
      <c r="E4273" s="1">
        <f>IF(Tabela1[[#This Row],[promien]]=40000,1,0)</f>
        <v>0</v>
      </c>
      <c r="F4273" s="1">
        <v>3.1631172478352445</v>
      </c>
      <c r="G4273" s="1">
        <v>2.1524594245451389E-2</v>
      </c>
    </row>
    <row r="4274" spans="1:7">
      <c r="A4274">
        <v>111</v>
      </c>
      <c r="B4274">
        <v>266</v>
      </c>
      <c r="C4274" s="1">
        <f>(Tabela1[[#This Row],[x]]-H$3)*(Tabela1[[#This Row],[x]]-H$3) +(Tabela1[[#This Row],[y]]-H$4)*(Tabela1[[#This Row],[y]]-H$4)</f>
        <v>12277</v>
      </c>
      <c r="D4274" s="1">
        <f>IF(Tabela1[[#This Row],[promien]]&lt;40000,1,0)</f>
        <v>1</v>
      </c>
      <c r="E4274" s="1">
        <f>IF(Tabela1[[#This Row],[promien]]=40000,1,0)</f>
        <v>0</v>
      </c>
      <c r="F4274" s="1">
        <v>3.1633130556855407</v>
      </c>
      <c r="G4274" s="1">
        <v>2.1720402095747549E-2</v>
      </c>
    </row>
    <row r="4275" spans="1:7">
      <c r="A4275">
        <v>258</v>
      </c>
      <c r="B4275">
        <v>250</v>
      </c>
      <c r="C4275" s="1">
        <f>(Tabela1[[#This Row],[x]]-H$3)*(Tabela1[[#This Row],[x]]-H$3) +(Tabela1[[#This Row],[y]]-H$4)*(Tabela1[[#This Row],[y]]-H$4)</f>
        <v>5864</v>
      </c>
      <c r="D4275" s="1">
        <f>IF(Tabela1[[#This Row],[promien]]&lt;40000,1,0)</f>
        <v>1</v>
      </c>
      <c r="E4275" s="1">
        <f>IF(Tabela1[[#This Row],[promien]]=40000,1,0)</f>
        <v>0</v>
      </c>
      <c r="F4275" s="1">
        <v>3.1635087719298247</v>
      </c>
      <c r="G4275" s="1">
        <v>2.1916118340031598E-2</v>
      </c>
    </row>
    <row r="4276" spans="1:7">
      <c r="A4276">
        <v>33</v>
      </c>
      <c r="B4276">
        <v>312</v>
      </c>
      <c r="C4276" s="1">
        <f>(Tabela1[[#This Row],[x]]-H$3)*(Tabela1[[#This Row],[x]]-H$3) +(Tabela1[[#This Row],[y]]-H$4)*(Tabela1[[#This Row],[y]]-H$4)</f>
        <v>40433</v>
      </c>
      <c r="D4276" s="1">
        <f>IF(Tabela1[[#This Row],[promien]]&lt;40000,1,0)</f>
        <v>0</v>
      </c>
      <c r="E4276" s="1">
        <f>IF(Tabela1[[#This Row],[promien]]=40000,1,0)</f>
        <v>0</v>
      </c>
      <c r="F4276" s="1">
        <v>3.1627689429373245</v>
      </c>
      <c r="G4276" s="1">
        <v>2.1176289347531352E-2</v>
      </c>
    </row>
    <row r="4277" spans="1:7">
      <c r="A4277">
        <v>372</v>
      </c>
      <c r="B4277">
        <v>169</v>
      </c>
      <c r="C4277" s="1">
        <f>(Tabela1[[#This Row],[x]]-H$3)*(Tabela1[[#This Row],[x]]-H$3) +(Tabela1[[#This Row],[y]]-H$4)*(Tabela1[[#This Row],[y]]-H$4)</f>
        <v>30545</v>
      </c>
      <c r="D4277" s="1">
        <f>IF(Tabela1[[#This Row],[promien]]&lt;40000,1,0)</f>
        <v>1</v>
      </c>
      <c r="E4277" s="1">
        <f>IF(Tabela1[[#This Row],[promien]]=40000,1,0)</f>
        <v>0</v>
      </c>
      <c r="F4277" s="1">
        <v>3.1629646948795886</v>
      </c>
      <c r="G4277" s="1">
        <v>2.1372041289795529E-2</v>
      </c>
    </row>
    <row r="4278" spans="1:7">
      <c r="A4278">
        <v>83</v>
      </c>
      <c r="B4278">
        <v>354</v>
      </c>
      <c r="C4278" s="1">
        <f>(Tabela1[[#This Row],[x]]-H$3)*(Tabela1[[#This Row],[x]]-H$3) +(Tabela1[[#This Row],[y]]-H$4)*(Tabela1[[#This Row],[y]]-H$4)</f>
        <v>37405</v>
      </c>
      <c r="D4278" s="1">
        <f>IF(Tabela1[[#This Row],[promien]]&lt;40000,1,0)</f>
        <v>1</v>
      </c>
      <c r="E4278" s="1">
        <f>IF(Tabela1[[#This Row],[promien]]=40000,1,0)</f>
        <v>0</v>
      </c>
      <c r="F4278" s="1">
        <v>3.1631603553062178</v>
      </c>
      <c r="G4278" s="1">
        <v>2.1567701716424637E-2</v>
      </c>
    </row>
    <row r="4279" spans="1:7">
      <c r="A4279">
        <v>1</v>
      </c>
      <c r="B4279">
        <v>273</v>
      </c>
      <c r="C4279" s="1">
        <f>(Tabela1[[#This Row],[x]]-H$3)*(Tabela1[[#This Row],[x]]-H$3) +(Tabela1[[#This Row],[y]]-H$4)*(Tabela1[[#This Row],[y]]-H$4)</f>
        <v>44930</v>
      </c>
      <c r="D4279" s="1">
        <f>IF(Tabela1[[#This Row],[promien]]&lt;40000,1,0)</f>
        <v>0</v>
      </c>
      <c r="E4279" s="1">
        <f>IF(Tabela1[[#This Row],[promien]]=40000,1,0)</f>
        <v>0</v>
      </c>
      <c r="F4279" s="1">
        <v>3.162421126431409</v>
      </c>
      <c r="G4279" s="1">
        <v>2.082847284161593E-2</v>
      </c>
    </row>
    <row r="4280" spans="1:7">
      <c r="A4280">
        <v>131</v>
      </c>
      <c r="B4280">
        <v>319</v>
      </c>
      <c r="C4280" s="1">
        <f>(Tabela1[[#This Row],[x]]-H$3)*(Tabela1[[#This Row],[x]]-H$3) +(Tabela1[[#This Row],[y]]-H$4)*(Tabela1[[#This Row],[y]]-H$4)</f>
        <v>18922</v>
      </c>
      <c r="D4280" s="1">
        <f>IF(Tabela1[[#This Row],[promien]]&lt;40000,1,0)</f>
        <v>1</v>
      </c>
      <c r="E4280" s="1">
        <f>IF(Tabela1[[#This Row],[promien]]=40000,1,0)</f>
        <v>0</v>
      </c>
      <c r="F4280" s="1">
        <v>3.1626168224299067</v>
      </c>
      <c r="G4280" s="1">
        <v>2.10241688401136E-2</v>
      </c>
    </row>
    <row r="4281" spans="1:7">
      <c r="A4281">
        <v>105</v>
      </c>
      <c r="B4281">
        <v>121</v>
      </c>
      <c r="C4281" s="1">
        <f>(Tabela1[[#This Row],[x]]-H$3)*(Tabela1[[#This Row],[x]]-H$3) +(Tabela1[[#This Row],[y]]-H$4)*(Tabela1[[#This Row],[y]]-H$4)</f>
        <v>15266</v>
      </c>
      <c r="D4281" s="1">
        <f>IF(Tabela1[[#This Row],[promien]]&lt;40000,1,0)</f>
        <v>1</v>
      </c>
      <c r="E4281" s="1">
        <f>IF(Tabela1[[#This Row],[promien]]=40000,1,0)</f>
        <v>0</v>
      </c>
      <c r="F4281" s="1">
        <v>3.1628124270030367</v>
      </c>
      <c r="G4281" s="1">
        <v>2.1219773413243548E-2</v>
      </c>
    </row>
    <row r="4282" spans="1:7">
      <c r="A4282">
        <v>360</v>
      </c>
      <c r="B4282">
        <v>143</v>
      </c>
      <c r="C4282" s="1">
        <f>(Tabela1[[#This Row],[x]]-H$3)*(Tabela1[[#This Row],[x]]-H$3) +(Tabela1[[#This Row],[y]]-H$4)*(Tabela1[[#This Row],[y]]-H$4)</f>
        <v>28849</v>
      </c>
      <c r="D4282" s="1">
        <f>IF(Tabela1[[#This Row],[promien]]&lt;40000,1,0)</f>
        <v>1</v>
      </c>
      <c r="E4282" s="1">
        <f>IF(Tabela1[[#This Row],[promien]]=40000,1,0)</f>
        <v>0</v>
      </c>
      <c r="F4282" s="1">
        <v>3.163007940214853</v>
      </c>
      <c r="G4282" s="1">
        <v>2.1415286625059871E-2</v>
      </c>
    </row>
    <row r="4283" spans="1:7">
      <c r="A4283">
        <v>178</v>
      </c>
      <c r="B4283">
        <v>146</v>
      </c>
      <c r="C4283" s="1">
        <f>(Tabela1[[#This Row],[x]]-H$3)*(Tabela1[[#This Row],[x]]-H$3) +(Tabela1[[#This Row],[y]]-H$4)*(Tabela1[[#This Row],[y]]-H$4)</f>
        <v>3400</v>
      </c>
      <c r="D4283" s="1">
        <f>IF(Tabela1[[#This Row],[promien]]&lt;40000,1,0)</f>
        <v>1</v>
      </c>
      <c r="E4283" s="1">
        <f>IF(Tabela1[[#This Row],[promien]]=40000,1,0)</f>
        <v>0</v>
      </c>
      <c r="F4283" s="1">
        <v>3.1632033621293485</v>
      </c>
      <c r="G4283" s="1">
        <v>2.1610708539555379E-2</v>
      </c>
    </row>
    <row r="4284" spans="1:7">
      <c r="A4284">
        <v>152</v>
      </c>
      <c r="B4284">
        <v>76</v>
      </c>
      <c r="C4284" s="1">
        <f>(Tabela1[[#This Row],[x]]-H$3)*(Tabela1[[#This Row],[x]]-H$3) +(Tabela1[[#This Row],[y]]-H$4)*(Tabela1[[#This Row],[y]]-H$4)</f>
        <v>17680</v>
      </c>
      <c r="D4284" s="1">
        <f>IF(Tabela1[[#This Row],[promien]]&lt;40000,1,0)</f>
        <v>1</v>
      </c>
      <c r="E4284" s="1">
        <f>IF(Tabela1[[#This Row],[promien]]=40000,1,0)</f>
        <v>0</v>
      </c>
      <c r="F4284" s="1">
        <v>3.1633986928104574</v>
      </c>
      <c r="G4284" s="1">
        <v>2.1806039220664264E-2</v>
      </c>
    </row>
    <row r="4285" spans="1:7">
      <c r="A4285">
        <v>145</v>
      </c>
      <c r="B4285">
        <v>100</v>
      </c>
      <c r="C4285" s="1">
        <f>(Tabela1[[#This Row],[x]]-H$3)*(Tabela1[[#This Row],[x]]-H$3) +(Tabela1[[#This Row],[y]]-H$4)*(Tabela1[[#This Row],[y]]-H$4)</f>
        <v>13025</v>
      </c>
      <c r="D4285" s="1">
        <f>IF(Tabela1[[#This Row],[promien]]&lt;40000,1,0)</f>
        <v>1</v>
      </c>
      <c r="E4285" s="1">
        <f>IF(Tabela1[[#This Row],[promien]]=40000,1,0)</f>
        <v>0</v>
      </c>
      <c r="F4285" s="1">
        <v>3.1635939323220539</v>
      </c>
      <c r="G4285" s="1">
        <v>2.2001278732260765E-2</v>
      </c>
    </row>
    <row r="4286" spans="1:7">
      <c r="A4286">
        <v>286</v>
      </c>
      <c r="B4286">
        <v>223</v>
      </c>
      <c r="C4286" s="1">
        <f>(Tabela1[[#This Row],[x]]-H$3)*(Tabela1[[#This Row],[x]]-H$3) +(Tabela1[[#This Row],[y]]-H$4)*(Tabela1[[#This Row],[y]]-H$4)</f>
        <v>7925</v>
      </c>
      <c r="D4286" s="1">
        <f>IF(Tabela1[[#This Row],[promien]]&lt;40000,1,0)</f>
        <v>1</v>
      </c>
      <c r="E4286" s="1">
        <f>IF(Tabela1[[#This Row],[promien]]=40000,1,0)</f>
        <v>0</v>
      </c>
      <c r="F4286" s="1">
        <v>3.1637890807279514</v>
      </c>
      <c r="G4286" s="1">
        <v>2.2196427138158281E-2</v>
      </c>
    </row>
    <row r="4287" spans="1:7">
      <c r="A4287">
        <v>48</v>
      </c>
      <c r="B4287">
        <v>66</v>
      </c>
      <c r="C4287" s="1">
        <f>(Tabela1[[#This Row],[x]]-H$3)*(Tabela1[[#This Row],[x]]-H$3) +(Tabela1[[#This Row],[y]]-H$4)*(Tabela1[[#This Row],[y]]-H$4)</f>
        <v>41060</v>
      </c>
      <c r="D4287" s="1">
        <f>IF(Tabela1[[#This Row],[promien]]&lt;40000,1,0)</f>
        <v>0</v>
      </c>
      <c r="E4287" s="1">
        <f>IF(Tabela1[[#This Row],[promien]]=40000,1,0)</f>
        <v>0</v>
      </c>
      <c r="F4287" s="1">
        <v>3.1630510846745978</v>
      </c>
      <c r="G4287" s="1">
        <v>2.1458431084804719E-2</v>
      </c>
    </row>
    <row r="4288" spans="1:7">
      <c r="A4288">
        <v>255</v>
      </c>
      <c r="B4288">
        <v>378</v>
      </c>
      <c r="C4288" s="1">
        <f>(Tabela1[[#This Row],[x]]-H$3)*(Tabela1[[#This Row],[x]]-H$3) +(Tabela1[[#This Row],[y]]-H$4)*(Tabela1[[#This Row],[y]]-H$4)</f>
        <v>34709</v>
      </c>
      <c r="D4288" s="1">
        <f>IF(Tabela1[[#This Row],[promien]]&lt;40000,1,0)</f>
        <v>1</v>
      </c>
      <c r="E4288" s="1">
        <f>IF(Tabela1[[#This Row],[promien]]=40000,1,0)</f>
        <v>0</v>
      </c>
      <c r="F4288" s="1">
        <v>3.1632462686567164</v>
      </c>
      <c r="G4288" s="1">
        <v>2.1653615066923315E-2</v>
      </c>
    </row>
    <row r="4289" spans="1:7">
      <c r="A4289">
        <v>25</v>
      </c>
      <c r="B4289">
        <v>72</v>
      </c>
      <c r="C4289" s="1">
        <f>(Tabela1[[#This Row],[x]]-H$3)*(Tabela1[[#This Row],[x]]-H$3) +(Tabela1[[#This Row],[y]]-H$4)*(Tabela1[[#This Row],[y]]-H$4)</f>
        <v>47009</v>
      </c>
      <c r="D4289" s="1">
        <f>IF(Tabela1[[#This Row],[promien]]&lt;40000,1,0)</f>
        <v>0</v>
      </c>
      <c r="E4289" s="1">
        <f>IF(Tabela1[[#This Row],[promien]]=40000,1,0)</f>
        <v>0</v>
      </c>
      <c r="F4289" s="1">
        <v>3.1625087432968058</v>
      </c>
      <c r="G4289" s="1">
        <v>2.0916089707012642E-2</v>
      </c>
    </row>
    <row r="4290" spans="1:7">
      <c r="A4290">
        <v>292</v>
      </c>
      <c r="B4290">
        <v>43</v>
      </c>
      <c r="C4290" s="1">
        <f>(Tabela1[[#This Row],[x]]-H$3)*(Tabela1[[#This Row],[x]]-H$3) +(Tabela1[[#This Row],[y]]-H$4)*(Tabela1[[#This Row],[y]]-H$4)</f>
        <v>33113</v>
      </c>
      <c r="D4290" s="1">
        <f>IF(Tabela1[[#This Row],[promien]]&lt;40000,1,0)</f>
        <v>1</v>
      </c>
      <c r="E4290" s="1">
        <f>IF(Tabela1[[#This Row],[promien]]=40000,1,0)</f>
        <v>0</v>
      </c>
      <c r="F4290" s="1">
        <v>3.1627039627039628</v>
      </c>
      <c r="G4290" s="1">
        <v>2.1111309114169696E-2</v>
      </c>
    </row>
    <row r="4291" spans="1:7">
      <c r="A4291">
        <v>277</v>
      </c>
      <c r="B4291">
        <v>128</v>
      </c>
      <c r="C4291" s="1">
        <f>(Tabela1[[#This Row],[x]]-H$3)*(Tabela1[[#This Row],[x]]-H$3) +(Tabela1[[#This Row],[y]]-H$4)*(Tabela1[[#This Row],[y]]-H$4)</f>
        <v>11113</v>
      </c>
      <c r="D4291" s="1">
        <f>IF(Tabela1[[#This Row],[promien]]&lt;40000,1,0)</f>
        <v>1</v>
      </c>
      <c r="E4291" s="1">
        <f>IF(Tabela1[[#This Row],[promien]]=40000,1,0)</f>
        <v>0</v>
      </c>
      <c r="F4291" s="1">
        <v>3.1628990911209507</v>
      </c>
      <c r="G4291" s="1">
        <v>2.1306437531157574E-2</v>
      </c>
    </row>
    <row r="4292" spans="1:7">
      <c r="A4292">
        <v>114</v>
      </c>
      <c r="B4292">
        <v>346</v>
      </c>
      <c r="C4292" s="1">
        <f>(Tabela1[[#This Row],[x]]-H$3)*(Tabela1[[#This Row],[x]]-H$3) +(Tabela1[[#This Row],[y]]-H$4)*(Tabela1[[#This Row],[y]]-H$4)</f>
        <v>28712</v>
      </c>
      <c r="D4292" s="1">
        <f>IF(Tabela1[[#This Row],[promien]]&lt;40000,1,0)</f>
        <v>1</v>
      </c>
      <c r="E4292" s="1">
        <f>IF(Tabela1[[#This Row],[promien]]=40000,1,0)</f>
        <v>0</v>
      </c>
      <c r="F4292" s="1">
        <v>3.1630941286113701</v>
      </c>
      <c r="G4292" s="1">
        <v>2.1501475021576955E-2</v>
      </c>
    </row>
    <row r="4293" spans="1:7">
      <c r="A4293">
        <v>15</v>
      </c>
      <c r="B4293">
        <v>2</v>
      </c>
      <c r="C4293" s="1">
        <f>(Tabela1[[#This Row],[x]]-H$3)*(Tabela1[[#This Row],[x]]-H$3) +(Tabela1[[#This Row],[y]]-H$4)*(Tabela1[[#This Row],[y]]-H$4)</f>
        <v>73429</v>
      </c>
      <c r="D4293" s="1">
        <f>IF(Tabela1[[#This Row],[promien]]&lt;40000,1,0)</f>
        <v>0</v>
      </c>
      <c r="E4293" s="1">
        <f>IF(Tabela1[[#This Row],[promien]]=40000,1,0)</f>
        <v>0</v>
      </c>
      <c r="F4293" s="1">
        <v>3.1623573258793383</v>
      </c>
      <c r="G4293" s="1">
        <v>2.076467228954515E-2</v>
      </c>
    </row>
    <row r="4294" spans="1:7">
      <c r="A4294">
        <v>349</v>
      </c>
      <c r="B4294">
        <v>335</v>
      </c>
      <c r="C4294" s="1">
        <f>(Tabela1[[#This Row],[x]]-H$3)*(Tabela1[[#This Row],[x]]-H$3) +(Tabela1[[#This Row],[y]]-H$4)*(Tabela1[[#This Row],[y]]-H$4)</f>
        <v>40426</v>
      </c>
      <c r="D4294" s="1">
        <f>IF(Tabela1[[#This Row],[promien]]&lt;40000,1,0)</f>
        <v>0</v>
      </c>
      <c r="E4294" s="1">
        <f>IF(Tabela1[[#This Row],[promien]]=40000,1,0)</f>
        <v>0</v>
      </c>
      <c r="F4294" s="1">
        <v>3.1616208663251046</v>
      </c>
      <c r="G4294" s="1">
        <v>2.0028212735311524E-2</v>
      </c>
    </row>
    <row r="4295" spans="1:7">
      <c r="A4295">
        <v>258</v>
      </c>
      <c r="B4295">
        <v>29</v>
      </c>
      <c r="C4295" s="1">
        <f>(Tabela1[[#This Row],[x]]-H$3)*(Tabela1[[#This Row],[x]]-H$3) +(Tabela1[[#This Row],[y]]-H$4)*(Tabela1[[#This Row],[y]]-H$4)</f>
        <v>32605</v>
      </c>
      <c r="D4295" s="1">
        <f>IF(Tabela1[[#This Row],[promien]]&lt;40000,1,0)</f>
        <v>1</v>
      </c>
      <c r="E4295" s="1">
        <f>IF(Tabela1[[#This Row],[promien]]=40000,1,0)</f>
        <v>0</v>
      </c>
      <c r="F4295" s="1">
        <v>3.1618160651920837</v>
      </c>
      <c r="G4295" s="1">
        <v>2.0223411602290575E-2</v>
      </c>
    </row>
    <row r="4296" spans="1:7">
      <c r="A4296">
        <v>163</v>
      </c>
      <c r="B4296">
        <v>40</v>
      </c>
      <c r="C4296" s="1">
        <f>(Tabela1[[#This Row],[x]]-H$3)*(Tabela1[[#This Row],[x]]-H$3) +(Tabela1[[#This Row],[y]]-H$4)*(Tabela1[[#This Row],[y]]-H$4)</f>
        <v>26969</v>
      </c>
      <c r="D4296" s="1">
        <f>IF(Tabela1[[#This Row],[promien]]&lt;40000,1,0)</f>
        <v>1</v>
      </c>
      <c r="E4296" s="1">
        <f>IF(Tabela1[[#This Row],[promien]]=40000,1,0)</f>
        <v>0</v>
      </c>
      <c r="F4296" s="1">
        <v>3.1620111731843576</v>
      </c>
      <c r="G4296" s="1">
        <v>2.0418519594564533E-2</v>
      </c>
    </row>
    <row r="4297" spans="1:7">
      <c r="A4297">
        <v>245</v>
      </c>
      <c r="B4297">
        <v>135</v>
      </c>
      <c r="C4297" s="1">
        <f>(Tabela1[[#This Row],[x]]-H$3)*(Tabela1[[#This Row],[x]]-H$3) +(Tabela1[[#This Row],[y]]-H$4)*(Tabela1[[#This Row],[y]]-H$4)</f>
        <v>6250</v>
      </c>
      <c r="D4297" s="1">
        <f>IF(Tabela1[[#This Row],[promien]]&lt;40000,1,0)</f>
        <v>1</v>
      </c>
      <c r="E4297" s="1">
        <f>IF(Tabela1[[#This Row],[promien]]=40000,1,0)</f>
        <v>0</v>
      </c>
      <c r="F4297" s="1">
        <v>3.1622061903653713</v>
      </c>
      <c r="G4297" s="1">
        <v>2.0613536775578201E-2</v>
      </c>
    </row>
    <row r="4298" spans="1:7">
      <c r="A4298">
        <v>183</v>
      </c>
      <c r="B4298">
        <v>149</v>
      </c>
      <c r="C4298" s="1">
        <f>(Tabela1[[#This Row],[x]]-H$3)*(Tabela1[[#This Row],[x]]-H$3) +(Tabela1[[#This Row],[y]]-H$4)*(Tabela1[[#This Row],[y]]-H$4)</f>
        <v>2890</v>
      </c>
      <c r="D4298" s="1">
        <f>IF(Tabela1[[#This Row],[promien]]&lt;40000,1,0)</f>
        <v>1</v>
      </c>
      <c r="E4298" s="1">
        <f>IF(Tabela1[[#This Row],[promien]]=40000,1,0)</f>
        <v>0</v>
      </c>
      <c r="F4298" s="1">
        <v>3.1624011167985109</v>
      </c>
      <c r="G4298" s="1">
        <v>2.0808463208717765E-2</v>
      </c>
    </row>
    <row r="4299" spans="1:7">
      <c r="A4299">
        <v>298</v>
      </c>
      <c r="B4299">
        <v>199</v>
      </c>
      <c r="C4299" s="1">
        <f>(Tabela1[[#This Row],[x]]-H$3)*(Tabela1[[#This Row],[x]]-H$3) +(Tabela1[[#This Row],[y]]-H$4)*(Tabela1[[#This Row],[y]]-H$4)</f>
        <v>9605</v>
      </c>
      <c r="D4299" s="1">
        <f>IF(Tabela1[[#This Row],[promien]]&lt;40000,1,0)</f>
        <v>1</v>
      </c>
      <c r="E4299" s="1">
        <f>IF(Tabela1[[#This Row],[promien]]=40000,1,0)</f>
        <v>0</v>
      </c>
      <c r="F4299" s="1">
        <v>3.1625959525471039</v>
      </c>
      <c r="G4299" s="1">
        <v>2.100329895731079E-2</v>
      </c>
    </row>
    <row r="4300" spans="1:7">
      <c r="A4300">
        <v>135</v>
      </c>
      <c r="B4300">
        <v>175</v>
      </c>
      <c r="C4300" s="1">
        <f>(Tabela1[[#This Row],[x]]-H$3)*(Tabela1[[#This Row],[x]]-H$3) +(Tabela1[[#This Row],[y]]-H$4)*(Tabela1[[#This Row],[y]]-H$4)</f>
        <v>4850</v>
      </c>
      <c r="D4300" s="1">
        <f>IF(Tabela1[[#This Row],[promien]]&lt;40000,1,0)</f>
        <v>1</v>
      </c>
      <c r="E4300" s="1">
        <f>IF(Tabela1[[#This Row],[promien]]=40000,1,0)</f>
        <v>0</v>
      </c>
      <c r="F4300" s="1">
        <v>3.1627906976744184</v>
      </c>
      <c r="G4300" s="1">
        <v>2.1198044084625334E-2</v>
      </c>
    </row>
    <row r="4301" spans="1:7">
      <c r="A4301">
        <v>361</v>
      </c>
      <c r="B4301">
        <v>141</v>
      </c>
      <c r="C4301" s="1">
        <f>(Tabela1[[#This Row],[x]]-H$3)*(Tabela1[[#This Row],[x]]-H$3) +(Tabela1[[#This Row],[y]]-H$4)*(Tabela1[[#This Row],[y]]-H$4)</f>
        <v>29402</v>
      </c>
      <c r="D4301" s="1">
        <f>IF(Tabela1[[#This Row],[promien]]&lt;40000,1,0)</f>
        <v>1</v>
      </c>
      <c r="E4301" s="1">
        <f>IF(Tabela1[[#This Row],[promien]]=40000,1,0)</f>
        <v>0</v>
      </c>
      <c r="F4301" s="1">
        <v>3.1629853522436644</v>
      </c>
      <c r="G4301" s="1">
        <v>2.1392698653871278E-2</v>
      </c>
    </row>
    <row r="4302" spans="1:7">
      <c r="A4302">
        <v>390</v>
      </c>
      <c r="B4302">
        <v>44</v>
      </c>
      <c r="C4302" s="1">
        <f>(Tabela1[[#This Row],[x]]-H$3)*(Tabela1[[#This Row],[x]]-H$3) +(Tabela1[[#This Row],[y]]-H$4)*(Tabela1[[#This Row],[y]]-H$4)</f>
        <v>60436</v>
      </c>
      <c r="D4302" s="1">
        <f>IF(Tabela1[[#This Row],[promien]]&lt;40000,1,0)</f>
        <v>0</v>
      </c>
      <c r="E4302" s="1">
        <f>IF(Tabela1[[#This Row],[promien]]=40000,1,0)</f>
        <v>0</v>
      </c>
      <c r="F4302" s="1">
        <v>3.1622501162250116</v>
      </c>
      <c r="G4302" s="1">
        <v>2.0657462635218504E-2</v>
      </c>
    </row>
    <row r="4303" spans="1:7">
      <c r="A4303">
        <v>147</v>
      </c>
      <c r="B4303">
        <v>375</v>
      </c>
      <c r="C4303" s="1">
        <f>(Tabela1[[#This Row],[x]]-H$3)*(Tabela1[[#This Row],[x]]-H$3) +(Tabela1[[#This Row],[y]]-H$4)*(Tabela1[[#This Row],[y]]-H$4)</f>
        <v>33434</v>
      </c>
      <c r="D4303" s="1">
        <f>IF(Tabela1[[#This Row],[promien]]&lt;40000,1,0)</f>
        <v>1</v>
      </c>
      <c r="E4303" s="1">
        <f>IF(Tabela1[[#This Row],[promien]]=40000,1,0)</f>
        <v>0</v>
      </c>
      <c r="F4303" s="1">
        <v>3.1624448059493377</v>
      </c>
      <c r="G4303" s="1">
        <v>2.0852152359544629E-2</v>
      </c>
    </row>
    <row r="4304" spans="1:7">
      <c r="A4304">
        <v>170</v>
      </c>
      <c r="B4304">
        <v>99</v>
      </c>
      <c r="C4304" s="1">
        <f>(Tabela1[[#This Row],[x]]-H$3)*(Tabela1[[#This Row],[x]]-H$3) +(Tabela1[[#This Row],[y]]-H$4)*(Tabela1[[#This Row],[y]]-H$4)</f>
        <v>11101</v>
      </c>
      <c r="D4304" s="1">
        <f>IF(Tabela1[[#This Row],[promien]]&lt;40000,1,0)</f>
        <v>1</v>
      </c>
      <c r="E4304" s="1">
        <f>IF(Tabela1[[#This Row],[promien]]=40000,1,0)</f>
        <v>0</v>
      </c>
      <c r="F4304" s="1">
        <v>3.1626394052044611</v>
      </c>
      <c r="G4304" s="1">
        <v>2.1046751614667958E-2</v>
      </c>
    </row>
    <row r="4305" spans="1:7">
      <c r="A4305">
        <v>21</v>
      </c>
      <c r="B4305">
        <v>270</v>
      </c>
      <c r="C4305" s="1">
        <f>(Tabela1[[#This Row],[x]]-H$3)*(Tabela1[[#This Row],[x]]-H$3) +(Tabela1[[#This Row],[y]]-H$4)*(Tabela1[[#This Row],[y]]-H$4)</f>
        <v>36941</v>
      </c>
      <c r="D4305" s="1">
        <f>IF(Tabela1[[#This Row],[promien]]&lt;40000,1,0)</f>
        <v>1</v>
      </c>
      <c r="E4305" s="1">
        <f>IF(Tabela1[[#This Row],[promien]]=40000,1,0)</f>
        <v>0</v>
      </c>
      <c r="F4305" s="1">
        <v>3.1628339140534263</v>
      </c>
      <c r="G4305" s="1">
        <v>2.1241260463633171E-2</v>
      </c>
    </row>
    <row r="4306" spans="1:7">
      <c r="A4306">
        <v>276</v>
      </c>
      <c r="B4306">
        <v>37</v>
      </c>
      <c r="C4306" s="1">
        <f>(Tabela1[[#This Row],[x]]-H$3)*(Tabela1[[#This Row],[x]]-H$3) +(Tabela1[[#This Row],[y]]-H$4)*(Tabela1[[#This Row],[y]]-H$4)</f>
        <v>32345</v>
      </c>
      <c r="D4306" s="1">
        <f>IF(Tabela1[[#This Row],[promien]]&lt;40000,1,0)</f>
        <v>1</v>
      </c>
      <c r="E4306" s="1">
        <f>IF(Tabela1[[#This Row],[promien]]=40000,1,0)</f>
        <v>0</v>
      </c>
      <c r="F4306" s="1">
        <v>3.1630283325592199</v>
      </c>
      <c r="G4306" s="1">
        <v>2.1435678969426775E-2</v>
      </c>
    </row>
    <row r="4307" spans="1:7">
      <c r="A4307">
        <v>147</v>
      </c>
      <c r="B4307">
        <v>134</v>
      </c>
      <c r="C4307" s="1">
        <f>(Tabela1[[#This Row],[x]]-H$3)*(Tabela1[[#This Row],[x]]-H$3) +(Tabela1[[#This Row],[y]]-H$4)*(Tabela1[[#This Row],[y]]-H$4)</f>
        <v>7165</v>
      </c>
      <c r="D4307" s="1">
        <f>IF(Tabela1[[#This Row],[promien]]&lt;40000,1,0)</f>
        <v>1</v>
      </c>
      <c r="E4307" s="1">
        <f>IF(Tabela1[[#This Row],[promien]]=40000,1,0)</f>
        <v>0</v>
      </c>
      <c r="F4307" s="1">
        <v>3.1632226607847689</v>
      </c>
      <c r="G4307" s="1">
        <v>2.1630007194975764E-2</v>
      </c>
    </row>
    <row r="4308" spans="1:7">
      <c r="A4308">
        <v>296</v>
      </c>
      <c r="B4308">
        <v>62</v>
      </c>
      <c r="C4308" s="1">
        <f>(Tabela1[[#This Row],[x]]-H$3)*(Tabela1[[#This Row],[x]]-H$3) +(Tabela1[[#This Row],[y]]-H$4)*(Tabela1[[#This Row],[y]]-H$4)</f>
        <v>28260</v>
      </c>
      <c r="D4308" s="1">
        <f>IF(Tabela1[[#This Row],[promien]]&lt;40000,1,0)</f>
        <v>1</v>
      </c>
      <c r="E4308" s="1">
        <f>IF(Tabela1[[#This Row],[promien]]=40000,1,0)</f>
        <v>0</v>
      </c>
      <c r="F4308" s="1">
        <v>3.1634168987929434</v>
      </c>
      <c r="G4308" s="1">
        <v>2.1824245203150294E-2</v>
      </c>
    </row>
    <row r="4309" spans="1:7">
      <c r="A4309">
        <v>294</v>
      </c>
      <c r="B4309">
        <v>50</v>
      </c>
      <c r="C4309" s="1">
        <f>(Tabela1[[#This Row],[x]]-H$3)*(Tabela1[[#This Row],[x]]-H$3) +(Tabela1[[#This Row],[y]]-H$4)*(Tabela1[[#This Row],[y]]-H$4)</f>
        <v>31336</v>
      </c>
      <c r="D4309" s="1">
        <f>IF(Tabela1[[#This Row],[promien]]&lt;40000,1,0)</f>
        <v>1</v>
      </c>
      <c r="E4309" s="1">
        <f>IF(Tabela1[[#This Row],[promien]]=40000,1,0)</f>
        <v>0</v>
      </c>
      <c r="F4309" s="1">
        <v>3.1636110466465537</v>
      </c>
      <c r="G4309" s="1">
        <v>2.2018393056760566E-2</v>
      </c>
    </row>
    <row r="4310" spans="1:7">
      <c r="A4310">
        <v>107</v>
      </c>
      <c r="B4310">
        <v>150</v>
      </c>
      <c r="C4310" s="1">
        <f>(Tabela1[[#This Row],[x]]-H$3)*(Tabela1[[#This Row],[x]]-H$3) +(Tabela1[[#This Row],[y]]-H$4)*(Tabela1[[#This Row],[y]]-H$4)</f>
        <v>11149</v>
      </c>
      <c r="D4310" s="1">
        <f>IF(Tabela1[[#This Row],[promien]]&lt;40000,1,0)</f>
        <v>1</v>
      </c>
      <c r="E4310" s="1">
        <f>IF(Tabela1[[#This Row],[promien]]=40000,1,0)</f>
        <v>0</v>
      </c>
      <c r="F4310" s="1">
        <v>3.1638051044083526</v>
      </c>
      <c r="G4310" s="1">
        <v>2.2212450818559493E-2</v>
      </c>
    </row>
    <row r="4311" spans="1:7">
      <c r="A4311">
        <v>32</v>
      </c>
      <c r="B4311">
        <v>270</v>
      </c>
      <c r="C4311" s="1">
        <f>(Tabela1[[#This Row],[x]]-H$3)*(Tabela1[[#This Row],[x]]-H$3) +(Tabela1[[#This Row],[y]]-H$4)*(Tabela1[[#This Row],[y]]-H$4)</f>
        <v>33124</v>
      </c>
      <c r="D4311" s="1">
        <f>IF(Tabela1[[#This Row],[promien]]&lt;40000,1,0)</f>
        <v>1</v>
      </c>
      <c r="E4311" s="1">
        <f>IF(Tabela1[[#This Row],[promien]]=40000,1,0)</f>
        <v>0</v>
      </c>
      <c r="F4311" s="1">
        <v>3.1639990721410345</v>
      </c>
      <c r="G4311" s="1">
        <v>2.2406418551241369E-2</v>
      </c>
    </row>
    <row r="4312" spans="1:7">
      <c r="A4312">
        <v>328</v>
      </c>
      <c r="B4312">
        <v>395</v>
      </c>
      <c r="C4312" s="1">
        <f>(Tabela1[[#This Row],[x]]-H$3)*(Tabela1[[#This Row],[x]]-H$3) +(Tabela1[[#This Row],[y]]-H$4)*(Tabela1[[#This Row],[y]]-H$4)</f>
        <v>54409</v>
      </c>
      <c r="D4312" s="1">
        <f>IF(Tabela1[[#This Row],[promien]]&lt;40000,1,0)</f>
        <v>0</v>
      </c>
      <c r="E4312" s="1">
        <f>IF(Tabela1[[#This Row],[promien]]=40000,1,0)</f>
        <v>0</v>
      </c>
      <c r="F4312" s="1">
        <v>3.1632653061224492</v>
      </c>
      <c r="G4312" s="1">
        <v>2.1672652532656045E-2</v>
      </c>
    </row>
    <row r="4313" spans="1:7">
      <c r="A4313">
        <v>94</v>
      </c>
      <c r="B4313">
        <v>255</v>
      </c>
      <c r="C4313" s="1">
        <f>(Tabela1[[#This Row],[x]]-H$3)*(Tabela1[[#This Row],[x]]-H$3) +(Tabela1[[#This Row],[y]]-H$4)*(Tabela1[[#This Row],[y]]-H$4)</f>
        <v>14261</v>
      </c>
      <c r="D4313" s="1">
        <f>IF(Tabela1[[#This Row],[promien]]&lt;40000,1,0)</f>
        <v>1</v>
      </c>
      <c r="E4313" s="1">
        <f>IF(Tabela1[[#This Row],[promien]]=40000,1,0)</f>
        <v>0</v>
      </c>
      <c r="F4313" s="1">
        <v>3.1634593090656158</v>
      </c>
      <c r="G4313" s="1">
        <v>2.1866655475822672E-2</v>
      </c>
    </row>
    <row r="4314" spans="1:7">
      <c r="A4314">
        <v>53</v>
      </c>
      <c r="B4314">
        <v>259</v>
      </c>
      <c r="C4314" s="1">
        <f>(Tabela1[[#This Row],[x]]-H$3)*(Tabela1[[#This Row],[x]]-H$3) +(Tabela1[[#This Row],[y]]-H$4)*(Tabela1[[#This Row],[y]]-H$4)</f>
        <v>25090</v>
      </c>
      <c r="D4314" s="1">
        <f>IF(Tabela1[[#This Row],[promien]]&lt;40000,1,0)</f>
        <v>1</v>
      </c>
      <c r="E4314" s="1">
        <f>IF(Tabela1[[#This Row],[promien]]=40000,1,0)</f>
        <v>0</v>
      </c>
      <c r="F4314" s="1">
        <v>3.1636532220676865</v>
      </c>
      <c r="G4314" s="1">
        <v>2.2060568477893394E-2</v>
      </c>
    </row>
    <row r="4315" spans="1:7">
      <c r="A4315">
        <v>229</v>
      </c>
      <c r="B4315">
        <v>339</v>
      </c>
      <c r="C4315" s="1">
        <f>(Tabela1[[#This Row],[x]]-H$3)*(Tabela1[[#This Row],[x]]-H$3) +(Tabela1[[#This Row],[y]]-H$4)*(Tabela1[[#This Row],[y]]-H$4)</f>
        <v>20162</v>
      </c>
      <c r="D4315" s="1">
        <f>IF(Tabela1[[#This Row],[promien]]&lt;40000,1,0)</f>
        <v>1</v>
      </c>
      <c r="E4315" s="1">
        <f>IF(Tabela1[[#This Row],[promien]]=40000,1,0)</f>
        <v>0</v>
      </c>
      <c r="F4315" s="1">
        <v>3.1638470451911935</v>
      </c>
      <c r="G4315" s="1">
        <v>2.2254391601400414E-2</v>
      </c>
    </row>
    <row r="4316" spans="1:7">
      <c r="A4316">
        <v>291</v>
      </c>
      <c r="B4316">
        <v>367</v>
      </c>
      <c r="C4316" s="1">
        <f>(Tabela1[[#This Row],[x]]-H$3)*(Tabela1[[#This Row],[x]]-H$3) +(Tabela1[[#This Row],[y]]-H$4)*(Tabela1[[#This Row],[y]]-H$4)</f>
        <v>36170</v>
      </c>
      <c r="D4316" s="1">
        <f>IF(Tabela1[[#This Row],[promien]]&lt;40000,1,0)</f>
        <v>1</v>
      </c>
      <c r="E4316" s="1">
        <f>IF(Tabela1[[#This Row],[promien]]=40000,1,0)</f>
        <v>0</v>
      </c>
      <c r="F4316" s="1">
        <v>3.16404077849861</v>
      </c>
      <c r="G4316" s="1">
        <v>2.2448124908816869E-2</v>
      </c>
    </row>
    <row r="4317" spans="1:7">
      <c r="A4317">
        <v>198</v>
      </c>
      <c r="B4317">
        <v>341</v>
      </c>
      <c r="C4317" s="1">
        <f>(Tabela1[[#This Row],[x]]-H$3)*(Tabela1[[#This Row],[x]]-H$3) +(Tabela1[[#This Row],[y]]-H$4)*(Tabela1[[#This Row],[y]]-H$4)</f>
        <v>19885</v>
      </c>
      <c r="D4317" s="1">
        <f>IF(Tabela1[[#This Row],[promien]]&lt;40000,1,0)</f>
        <v>1</v>
      </c>
      <c r="E4317" s="1">
        <f>IF(Tabela1[[#This Row],[promien]]=40000,1,0)</f>
        <v>0</v>
      </c>
      <c r="F4317" s="1">
        <v>3.1642344220523513</v>
      </c>
      <c r="G4317" s="1">
        <v>2.2641768462558165E-2</v>
      </c>
    </row>
    <row r="4318" spans="1:7">
      <c r="A4318">
        <v>32</v>
      </c>
      <c r="B4318">
        <v>280</v>
      </c>
      <c r="C4318" s="1">
        <f>(Tabela1[[#This Row],[x]]-H$3)*(Tabela1[[#This Row],[x]]-H$3) +(Tabela1[[#This Row],[y]]-H$4)*(Tabela1[[#This Row],[y]]-H$4)</f>
        <v>34624</v>
      </c>
      <c r="D4318" s="1">
        <f>IF(Tabela1[[#This Row],[promien]]&lt;40000,1,0)</f>
        <v>1</v>
      </c>
      <c r="E4318" s="1">
        <f>IF(Tabela1[[#This Row],[promien]]=40000,1,0)</f>
        <v>0</v>
      </c>
      <c r="F4318" s="1">
        <v>3.1644279759147755</v>
      </c>
      <c r="G4318" s="1">
        <v>2.2835322324982421E-2</v>
      </c>
    </row>
    <row r="4319" spans="1:7">
      <c r="A4319">
        <v>57</v>
      </c>
      <c r="B4319">
        <v>84</v>
      </c>
      <c r="C4319" s="1">
        <f>(Tabela1[[#This Row],[x]]-H$3)*(Tabela1[[#This Row],[x]]-H$3) +(Tabela1[[#This Row],[y]]-H$4)*(Tabela1[[#This Row],[y]]-H$4)</f>
        <v>33905</v>
      </c>
      <c r="D4319" s="1">
        <f>IF(Tabela1[[#This Row],[promien]]&lt;40000,1,0)</f>
        <v>1</v>
      </c>
      <c r="E4319" s="1">
        <f>IF(Tabela1[[#This Row],[promien]]=40000,1,0)</f>
        <v>0</v>
      </c>
      <c r="F4319" s="1">
        <v>3.1646214401481823</v>
      </c>
      <c r="G4319" s="1">
        <v>2.3028786558389136E-2</v>
      </c>
    </row>
    <row r="4320" spans="1:7">
      <c r="A4320">
        <v>292</v>
      </c>
      <c r="B4320">
        <v>271</v>
      </c>
      <c r="C4320" s="1">
        <f>(Tabela1[[#This Row],[x]]-H$3)*(Tabela1[[#This Row],[x]]-H$3) +(Tabela1[[#This Row],[y]]-H$4)*(Tabela1[[#This Row],[y]]-H$4)</f>
        <v>13505</v>
      </c>
      <c r="D4320" s="1">
        <f>IF(Tabela1[[#This Row],[promien]]&lt;40000,1,0)</f>
        <v>1</v>
      </c>
      <c r="E4320" s="1">
        <f>IF(Tabela1[[#This Row],[promien]]=40000,1,0)</f>
        <v>0</v>
      </c>
      <c r="F4320" s="1">
        <v>3.164814814814815</v>
      </c>
      <c r="G4320" s="1">
        <v>2.3222161225021853E-2</v>
      </c>
    </row>
    <row r="4321" spans="1:7">
      <c r="A4321">
        <v>348</v>
      </c>
      <c r="B4321">
        <v>210</v>
      </c>
      <c r="C4321" s="1">
        <f>(Tabela1[[#This Row],[x]]-H$3)*(Tabela1[[#This Row],[x]]-H$3) +(Tabela1[[#This Row],[y]]-H$4)*(Tabela1[[#This Row],[y]]-H$4)</f>
        <v>22004</v>
      </c>
      <c r="D4321" s="1">
        <f>IF(Tabela1[[#This Row],[promien]]&lt;40000,1,0)</f>
        <v>1</v>
      </c>
      <c r="E4321" s="1">
        <f>IF(Tabela1[[#This Row],[promien]]=40000,1,0)</f>
        <v>0</v>
      </c>
      <c r="F4321" s="1">
        <v>3.1650080999768573</v>
      </c>
      <c r="G4321" s="1">
        <v>2.3415446387064165E-2</v>
      </c>
    </row>
    <row r="4322" spans="1:7">
      <c r="A4322">
        <v>337</v>
      </c>
      <c r="B4322">
        <v>208</v>
      </c>
      <c r="C4322" s="1">
        <f>(Tabela1[[#This Row],[x]]-H$3)*(Tabela1[[#This Row],[x]]-H$3) +(Tabela1[[#This Row],[y]]-H$4)*(Tabela1[[#This Row],[y]]-H$4)</f>
        <v>18833</v>
      </c>
      <c r="D4322" s="1">
        <f>IF(Tabela1[[#This Row],[promien]]&lt;40000,1,0)</f>
        <v>1</v>
      </c>
      <c r="E4322" s="1">
        <f>IF(Tabela1[[#This Row],[promien]]=40000,1,0)</f>
        <v>0</v>
      </c>
      <c r="F4322" s="1">
        <v>3.1652012956964368</v>
      </c>
      <c r="G4322" s="1">
        <v>2.3608642106643707E-2</v>
      </c>
    </row>
    <row r="4323" spans="1:7">
      <c r="A4323">
        <v>325</v>
      </c>
      <c r="B4323">
        <v>275</v>
      </c>
      <c r="C4323" s="1">
        <f>(Tabela1[[#This Row],[x]]-H$3)*(Tabela1[[#This Row],[x]]-H$3) +(Tabela1[[#This Row],[y]]-H$4)*(Tabela1[[#This Row],[y]]-H$4)</f>
        <v>21250</v>
      </c>
      <c r="D4323" s="1">
        <f>IF(Tabela1[[#This Row],[promien]]&lt;40000,1,0)</f>
        <v>1</v>
      </c>
      <c r="E4323" s="1">
        <f>IF(Tabela1[[#This Row],[promien]]=40000,1,0)</f>
        <v>0</v>
      </c>
      <c r="F4323" s="1">
        <v>3.1653944020356235</v>
      </c>
      <c r="G4323" s="1">
        <v>2.3801748445830384E-2</v>
      </c>
    </row>
    <row r="4324" spans="1:7">
      <c r="A4324">
        <v>396</v>
      </c>
      <c r="B4324">
        <v>274</v>
      </c>
      <c r="C4324" s="1">
        <f>(Tabela1[[#This Row],[x]]-H$3)*(Tabela1[[#This Row],[x]]-H$3) +(Tabela1[[#This Row],[y]]-H$4)*(Tabela1[[#This Row],[y]]-H$4)</f>
        <v>43892</v>
      </c>
      <c r="D4324" s="1">
        <f>IF(Tabela1[[#This Row],[promien]]&lt;40000,1,0)</f>
        <v>0</v>
      </c>
      <c r="E4324" s="1">
        <f>IF(Tabela1[[#This Row],[promien]]=40000,1,0)</f>
        <v>0</v>
      </c>
      <c r="F4324" s="1">
        <v>3.1646623496762256</v>
      </c>
      <c r="G4324" s="1">
        <v>2.3069696086432501E-2</v>
      </c>
    </row>
    <row r="4325" spans="1:7">
      <c r="A4325">
        <v>118</v>
      </c>
      <c r="B4325">
        <v>65</v>
      </c>
      <c r="C4325" s="1">
        <f>(Tabela1[[#This Row],[x]]-H$3)*(Tabela1[[#This Row],[x]]-H$3) +(Tabela1[[#This Row],[y]]-H$4)*(Tabela1[[#This Row],[y]]-H$4)</f>
        <v>24949</v>
      </c>
      <c r="D4325" s="1">
        <f>IF(Tabela1[[#This Row],[promien]]&lt;40000,1,0)</f>
        <v>1</v>
      </c>
      <c r="E4325" s="1">
        <f>IF(Tabela1[[#This Row],[promien]]=40000,1,0)</f>
        <v>0</v>
      </c>
      <c r="F4325" s="1">
        <v>3.16485549132948</v>
      </c>
      <c r="G4325" s="1">
        <v>2.3262837739686848E-2</v>
      </c>
    </row>
    <row r="4326" spans="1:7">
      <c r="A4326">
        <v>303</v>
      </c>
      <c r="B4326">
        <v>350</v>
      </c>
      <c r="C4326" s="1">
        <f>(Tabela1[[#This Row],[x]]-H$3)*(Tabela1[[#This Row],[x]]-H$3) +(Tabela1[[#This Row],[y]]-H$4)*(Tabela1[[#This Row],[y]]-H$4)</f>
        <v>33109</v>
      </c>
      <c r="D4326" s="1">
        <f>IF(Tabela1[[#This Row],[promien]]&lt;40000,1,0)</f>
        <v>1</v>
      </c>
      <c r="E4326" s="1">
        <f>IF(Tabela1[[#This Row],[promien]]=40000,1,0)</f>
        <v>0</v>
      </c>
      <c r="F4326" s="1">
        <v>3.1650485436893203</v>
      </c>
      <c r="G4326" s="1">
        <v>2.3455890099527199E-2</v>
      </c>
    </row>
    <row r="4327" spans="1:7">
      <c r="A4327">
        <v>137</v>
      </c>
      <c r="B4327">
        <v>125</v>
      </c>
      <c r="C4327" s="1">
        <f>(Tabela1[[#This Row],[x]]-H$3)*(Tabela1[[#This Row],[x]]-H$3) +(Tabela1[[#This Row],[y]]-H$4)*(Tabela1[[#This Row],[y]]-H$4)</f>
        <v>9594</v>
      </c>
      <c r="D4327" s="1">
        <f>IF(Tabela1[[#This Row],[promien]]&lt;40000,1,0)</f>
        <v>1</v>
      </c>
      <c r="E4327" s="1">
        <f>IF(Tabela1[[#This Row],[promien]]=40000,1,0)</f>
        <v>0</v>
      </c>
      <c r="F4327" s="1">
        <v>3.1652415068176567</v>
      </c>
      <c r="G4327" s="1">
        <v>2.3648853227863587E-2</v>
      </c>
    </row>
    <row r="4328" spans="1:7">
      <c r="A4328">
        <v>129</v>
      </c>
      <c r="B4328">
        <v>156</v>
      </c>
      <c r="C4328" s="1">
        <f>(Tabela1[[#This Row],[x]]-H$3)*(Tabela1[[#This Row],[x]]-H$3) +(Tabela1[[#This Row],[y]]-H$4)*(Tabela1[[#This Row],[y]]-H$4)</f>
        <v>6977</v>
      </c>
      <c r="D4328" s="1">
        <f>IF(Tabela1[[#This Row],[promien]]&lt;40000,1,0)</f>
        <v>1</v>
      </c>
      <c r="E4328" s="1">
        <f>IF(Tabela1[[#This Row],[promien]]=40000,1,0)</f>
        <v>0</v>
      </c>
      <c r="F4328" s="1">
        <v>3.1654343807763401</v>
      </c>
      <c r="G4328" s="1">
        <v>2.3841727186546979E-2</v>
      </c>
    </row>
    <row r="4329" spans="1:7">
      <c r="A4329">
        <v>237</v>
      </c>
      <c r="B4329">
        <v>166</v>
      </c>
      <c r="C4329" s="1">
        <f>(Tabela1[[#This Row],[x]]-H$3)*(Tabela1[[#This Row],[x]]-H$3) +(Tabela1[[#This Row],[y]]-H$4)*(Tabela1[[#This Row],[y]]-H$4)</f>
        <v>2525</v>
      </c>
      <c r="D4329" s="1">
        <f>IF(Tabela1[[#This Row],[promien]]&lt;40000,1,0)</f>
        <v>1</v>
      </c>
      <c r="E4329" s="1">
        <f>IF(Tabela1[[#This Row],[promien]]=40000,1,0)</f>
        <v>0</v>
      </c>
      <c r="F4329" s="1">
        <v>3.1656271656271655</v>
      </c>
      <c r="G4329" s="1">
        <v>2.4034512037372391E-2</v>
      </c>
    </row>
    <row r="4330" spans="1:7">
      <c r="A4330">
        <v>58</v>
      </c>
      <c r="B4330">
        <v>1</v>
      </c>
      <c r="C4330" s="1">
        <f>(Tabela1[[#This Row],[x]]-H$3)*(Tabela1[[#This Row],[x]]-H$3) +(Tabela1[[#This Row],[y]]-H$4)*(Tabela1[[#This Row],[y]]-H$4)</f>
        <v>59765</v>
      </c>
      <c r="D4330" s="1">
        <f>IF(Tabela1[[#This Row],[promien]]&lt;40000,1,0)</f>
        <v>0</v>
      </c>
      <c r="E4330" s="1">
        <f>IF(Tabela1[[#This Row],[promien]]=40000,1,0)</f>
        <v>0</v>
      </c>
      <c r="F4330" s="1">
        <v>3.1648960739030021</v>
      </c>
      <c r="G4330" s="1">
        <v>2.3303420313208978E-2</v>
      </c>
    </row>
    <row r="4331" spans="1:7">
      <c r="A4331">
        <v>185</v>
      </c>
      <c r="B4331">
        <v>399</v>
      </c>
      <c r="C4331" s="1">
        <f>(Tabela1[[#This Row],[x]]-H$3)*(Tabela1[[#This Row],[x]]-H$3) +(Tabela1[[#This Row],[y]]-H$4)*(Tabela1[[#This Row],[y]]-H$4)</f>
        <v>39826</v>
      </c>
      <c r="D4331" s="1">
        <f>IF(Tabela1[[#This Row],[promien]]&lt;40000,1,0)</f>
        <v>1</v>
      </c>
      <c r="E4331" s="1">
        <f>IF(Tabela1[[#This Row],[promien]]=40000,1,0)</f>
        <v>0</v>
      </c>
      <c r="F4331" s="1">
        <v>3.1650888940198567</v>
      </c>
      <c r="G4331" s="1">
        <v>2.3496240430063597E-2</v>
      </c>
    </row>
    <row r="4332" spans="1:7">
      <c r="A4332">
        <v>339</v>
      </c>
      <c r="B4332">
        <v>115</v>
      </c>
      <c r="C4332" s="1">
        <f>(Tabela1[[#This Row],[x]]-H$3)*(Tabela1[[#This Row],[x]]-H$3) +(Tabela1[[#This Row],[y]]-H$4)*(Tabela1[[#This Row],[y]]-H$4)</f>
        <v>26546</v>
      </c>
      <c r="D4332" s="1">
        <f>IF(Tabela1[[#This Row],[promien]]&lt;40000,1,0)</f>
        <v>1</v>
      </c>
      <c r="E4332" s="1">
        <f>IF(Tabela1[[#This Row],[promien]]=40000,1,0)</f>
        <v>0</v>
      </c>
      <c r="F4332" s="1">
        <v>3.1652816251154201</v>
      </c>
      <c r="G4332" s="1">
        <v>2.3688971525626989E-2</v>
      </c>
    </row>
    <row r="4333" spans="1:7">
      <c r="A4333">
        <v>132</v>
      </c>
      <c r="B4333">
        <v>123</v>
      </c>
      <c r="C4333" s="1">
        <f>(Tabela1[[#This Row],[x]]-H$3)*(Tabela1[[#This Row],[x]]-H$3) +(Tabela1[[#This Row],[y]]-H$4)*(Tabela1[[#This Row],[y]]-H$4)</f>
        <v>10553</v>
      </c>
      <c r="D4333" s="1">
        <f>IF(Tabela1[[#This Row],[promien]]&lt;40000,1,0)</f>
        <v>1</v>
      </c>
      <c r="E4333" s="1">
        <f>IF(Tabela1[[#This Row],[promien]]=40000,1,0)</f>
        <v>0</v>
      </c>
      <c r="F4333" s="1">
        <v>3.165474267251327</v>
      </c>
      <c r="G4333" s="1">
        <v>2.3881613661533851E-2</v>
      </c>
    </row>
    <row r="4334" spans="1:7">
      <c r="A4334">
        <v>18</v>
      </c>
      <c r="B4334">
        <v>35</v>
      </c>
      <c r="C4334" s="1">
        <f>(Tabela1[[#This Row],[x]]-H$3)*(Tabela1[[#This Row],[x]]-H$3) +(Tabela1[[#This Row],[y]]-H$4)*(Tabela1[[#This Row],[y]]-H$4)</f>
        <v>60349</v>
      </c>
      <c r="D4334" s="1">
        <f>IF(Tabela1[[#This Row],[promien]]&lt;40000,1,0)</f>
        <v>0</v>
      </c>
      <c r="E4334" s="1">
        <f>IF(Tabela1[[#This Row],[promien]]=40000,1,0)</f>
        <v>0</v>
      </c>
      <c r="F4334" s="1">
        <v>3.1647438855560681</v>
      </c>
      <c r="G4334" s="1">
        <v>2.3151231966274999E-2</v>
      </c>
    </row>
    <row r="4335" spans="1:7">
      <c r="A4335">
        <v>222</v>
      </c>
      <c r="B4335">
        <v>235</v>
      </c>
      <c r="C4335" s="1">
        <f>(Tabela1[[#This Row],[x]]-H$3)*(Tabela1[[#This Row],[x]]-H$3) +(Tabela1[[#This Row],[y]]-H$4)*(Tabela1[[#This Row],[y]]-H$4)</f>
        <v>1709</v>
      </c>
      <c r="D4335" s="1">
        <f>IF(Tabela1[[#This Row],[promien]]&lt;40000,1,0)</f>
        <v>1</v>
      </c>
      <c r="E4335" s="1">
        <f>IF(Tabela1[[#This Row],[promien]]=40000,1,0)</f>
        <v>0</v>
      </c>
      <c r="F4335" s="1">
        <v>3.1649365628604382</v>
      </c>
      <c r="G4335" s="1">
        <v>2.3343909270645113E-2</v>
      </c>
    </row>
    <row r="4336" spans="1:7">
      <c r="A4336">
        <v>371</v>
      </c>
      <c r="B4336">
        <v>303</v>
      </c>
      <c r="C4336" s="1">
        <f>(Tabela1[[#This Row],[x]]-H$3)*(Tabela1[[#This Row],[x]]-H$3) +(Tabela1[[#This Row],[y]]-H$4)*(Tabela1[[#This Row],[y]]-H$4)</f>
        <v>39850</v>
      </c>
      <c r="D4336" s="1">
        <f>IF(Tabela1[[#This Row],[promien]]&lt;40000,1,0)</f>
        <v>1</v>
      </c>
      <c r="E4336" s="1">
        <f>IF(Tabela1[[#This Row],[promien]]=40000,1,0)</f>
        <v>0</v>
      </c>
      <c r="F4336" s="1">
        <v>3.165129151291513</v>
      </c>
      <c r="G4336" s="1">
        <v>2.3536497701719838E-2</v>
      </c>
    </row>
    <row r="4337" spans="1:7">
      <c r="A4337">
        <v>54</v>
      </c>
      <c r="B4337">
        <v>352</v>
      </c>
      <c r="C4337" s="1">
        <f>(Tabela1[[#This Row],[x]]-H$3)*(Tabela1[[#This Row],[x]]-H$3) +(Tabela1[[#This Row],[y]]-H$4)*(Tabela1[[#This Row],[y]]-H$4)</f>
        <v>44420</v>
      </c>
      <c r="D4337" s="1">
        <f>IF(Tabela1[[#This Row],[promien]]&lt;40000,1,0)</f>
        <v>0</v>
      </c>
      <c r="E4337" s="1">
        <f>IF(Tabela1[[#This Row],[promien]]=40000,1,0)</f>
        <v>0</v>
      </c>
      <c r="F4337" s="1">
        <v>3.1643993543924371</v>
      </c>
      <c r="G4337" s="1">
        <v>2.280670080264402E-2</v>
      </c>
    </row>
    <row r="4338" spans="1:7">
      <c r="A4338">
        <v>213</v>
      </c>
      <c r="B4338">
        <v>135</v>
      </c>
      <c r="C4338" s="1">
        <f>(Tabela1[[#This Row],[x]]-H$3)*(Tabela1[[#This Row],[x]]-H$3) +(Tabela1[[#This Row],[y]]-H$4)*(Tabela1[[#This Row],[y]]-H$4)</f>
        <v>4394</v>
      </c>
      <c r="D4338" s="1">
        <f>IF(Tabela1[[#This Row],[promien]]&lt;40000,1,0)</f>
        <v>1</v>
      </c>
      <c r="E4338" s="1">
        <f>IF(Tabela1[[#This Row],[promien]]=40000,1,0)</f>
        <v>0</v>
      </c>
      <c r="F4338" s="1">
        <v>3.164591977869986</v>
      </c>
      <c r="G4338" s="1">
        <v>2.2999324280192912E-2</v>
      </c>
    </row>
    <row r="4339" spans="1:7">
      <c r="A4339">
        <v>7</v>
      </c>
      <c r="B4339">
        <v>187</v>
      </c>
      <c r="C4339" s="1">
        <f>(Tabela1[[#This Row],[x]]-H$3)*(Tabela1[[#This Row],[x]]-H$3) +(Tabela1[[#This Row],[y]]-H$4)*(Tabela1[[#This Row],[y]]-H$4)</f>
        <v>37418</v>
      </c>
      <c r="D4339" s="1">
        <f>IF(Tabela1[[#This Row],[promien]]&lt;40000,1,0)</f>
        <v>1</v>
      </c>
      <c r="E4339" s="1">
        <f>IF(Tabela1[[#This Row],[promien]]=40000,1,0)</f>
        <v>0</v>
      </c>
      <c r="F4339" s="1">
        <v>3.1647845125604976</v>
      </c>
      <c r="G4339" s="1">
        <v>2.3191858970704526E-2</v>
      </c>
    </row>
    <row r="4340" spans="1:7">
      <c r="A4340">
        <v>262</v>
      </c>
      <c r="B4340">
        <v>115</v>
      </c>
      <c r="C4340" s="1">
        <f>(Tabela1[[#This Row],[x]]-H$3)*(Tabela1[[#This Row],[x]]-H$3) +(Tabela1[[#This Row],[y]]-H$4)*(Tabela1[[#This Row],[y]]-H$4)</f>
        <v>11069</v>
      </c>
      <c r="D4340" s="1">
        <f>IF(Tabela1[[#This Row],[promien]]&lt;40000,1,0)</f>
        <v>1</v>
      </c>
      <c r="E4340" s="1">
        <f>IF(Tabela1[[#This Row],[promien]]=40000,1,0)</f>
        <v>0</v>
      </c>
      <c r="F4340" s="1">
        <v>3.1649769585253456</v>
      </c>
      <c r="G4340" s="1">
        <v>2.3384304935552436E-2</v>
      </c>
    </row>
    <row r="4341" spans="1:7">
      <c r="A4341">
        <v>388</v>
      </c>
      <c r="B4341">
        <v>320</v>
      </c>
      <c r="C4341" s="1">
        <f>(Tabela1[[#This Row],[x]]-H$3)*(Tabela1[[#This Row],[x]]-H$3) +(Tabela1[[#This Row],[y]]-H$4)*(Tabela1[[#This Row],[y]]-H$4)</f>
        <v>49744</v>
      </c>
      <c r="D4341" s="1">
        <f>IF(Tabela1[[#This Row],[promien]]&lt;40000,1,0)</f>
        <v>0</v>
      </c>
      <c r="E4341" s="1">
        <f>IF(Tabela1[[#This Row],[promien]]=40000,1,0)</f>
        <v>0</v>
      </c>
      <c r="F4341" s="1">
        <v>3.1642478691545728</v>
      </c>
      <c r="G4341" s="1">
        <v>2.2655215564779674E-2</v>
      </c>
    </row>
    <row r="4342" spans="1:7">
      <c r="A4342">
        <v>112</v>
      </c>
      <c r="B4342">
        <v>297</v>
      </c>
      <c r="C4342" s="1">
        <f>(Tabela1[[#This Row],[x]]-H$3)*(Tabela1[[#This Row],[x]]-H$3) +(Tabela1[[#This Row],[y]]-H$4)*(Tabela1[[#This Row],[y]]-H$4)</f>
        <v>17153</v>
      </c>
      <c r="D4342" s="1">
        <f>IF(Tabela1[[#This Row],[promien]]&lt;40000,1,0)</f>
        <v>1</v>
      </c>
      <c r="E4342" s="1">
        <f>IF(Tabela1[[#This Row],[promien]]=40000,1,0)</f>
        <v>0</v>
      </c>
      <c r="F4342" s="1">
        <v>3.1644403500690927</v>
      </c>
      <c r="G4342" s="1">
        <v>2.2847696479299628E-2</v>
      </c>
    </row>
    <row r="4343" spans="1:7">
      <c r="A4343">
        <v>312</v>
      </c>
      <c r="B4343">
        <v>249</v>
      </c>
      <c r="C4343" s="1">
        <f>(Tabela1[[#This Row],[x]]-H$3)*(Tabela1[[#This Row],[x]]-H$3) +(Tabela1[[#This Row],[y]]-H$4)*(Tabela1[[#This Row],[y]]-H$4)</f>
        <v>14945</v>
      </c>
      <c r="D4343" s="1">
        <f>IF(Tabela1[[#This Row],[promien]]&lt;40000,1,0)</f>
        <v>1</v>
      </c>
      <c r="E4343" s="1">
        <f>IF(Tabela1[[#This Row],[promien]]=40000,1,0)</f>
        <v>0</v>
      </c>
      <c r="F4343" s="1">
        <v>3.1646327423440019</v>
      </c>
      <c r="G4343" s="1">
        <v>2.3040088754208821E-2</v>
      </c>
    </row>
    <row r="4344" spans="1:7">
      <c r="A4344">
        <v>97</v>
      </c>
      <c r="B4344">
        <v>71</v>
      </c>
      <c r="C4344" s="1">
        <f>(Tabela1[[#This Row],[x]]-H$3)*(Tabela1[[#This Row],[x]]-H$3) +(Tabela1[[#This Row],[y]]-H$4)*(Tabela1[[#This Row],[y]]-H$4)</f>
        <v>27250</v>
      </c>
      <c r="D4344" s="1">
        <f>IF(Tabela1[[#This Row],[promien]]&lt;40000,1,0)</f>
        <v>1</v>
      </c>
      <c r="E4344" s="1">
        <f>IF(Tabela1[[#This Row],[promien]]=40000,1,0)</f>
        <v>0</v>
      </c>
      <c r="F4344" s="1">
        <v>3.1648250460405158</v>
      </c>
      <c r="G4344" s="1">
        <v>2.3232392450722728E-2</v>
      </c>
    </row>
    <row r="4345" spans="1:7">
      <c r="A4345">
        <v>29</v>
      </c>
      <c r="B4345">
        <v>100</v>
      </c>
      <c r="C4345" s="1">
        <f>(Tabela1[[#This Row],[x]]-H$3)*(Tabela1[[#This Row],[x]]-H$3) +(Tabela1[[#This Row],[y]]-H$4)*(Tabela1[[#This Row],[y]]-H$4)</f>
        <v>39241</v>
      </c>
      <c r="D4345" s="1">
        <f>IF(Tabela1[[#This Row],[promien]]&lt;40000,1,0)</f>
        <v>1</v>
      </c>
      <c r="E4345" s="1">
        <f>IF(Tabela1[[#This Row],[promien]]=40000,1,0)</f>
        <v>0</v>
      </c>
      <c r="F4345" s="1">
        <v>3.1650172612197927</v>
      </c>
      <c r="G4345" s="1">
        <v>2.3424607629999539E-2</v>
      </c>
    </row>
    <row r="4346" spans="1:7">
      <c r="A4346">
        <v>249</v>
      </c>
      <c r="B4346">
        <v>348</v>
      </c>
      <c r="C4346" s="1">
        <f>(Tabela1[[#This Row],[x]]-H$3)*(Tabela1[[#This Row],[x]]-H$3) +(Tabela1[[#This Row],[y]]-H$4)*(Tabela1[[#This Row],[y]]-H$4)</f>
        <v>24305</v>
      </c>
      <c r="D4346" s="1">
        <f>IF(Tabela1[[#This Row],[promien]]&lt;40000,1,0)</f>
        <v>1</v>
      </c>
      <c r="E4346" s="1">
        <f>IF(Tabela1[[#This Row],[promien]]=40000,1,0)</f>
        <v>0</v>
      </c>
      <c r="F4346" s="1">
        <v>3.1652093879429359</v>
      </c>
      <c r="G4346" s="1">
        <v>2.3616734353142821E-2</v>
      </c>
    </row>
    <row r="4347" spans="1:7">
      <c r="A4347">
        <v>177</v>
      </c>
      <c r="B4347">
        <v>87</v>
      </c>
      <c r="C4347" s="1">
        <f>(Tabela1[[#This Row],[x]]-H$3)*(Tabela1[[#This Row],[x]]-H$3) +(Tabela1[[#This Row],[y]]-H$4)*(Tabela1[[#This Row],[y]]-H$4)</f>
        <v>13298</v>
      </c>
      <c r="D4347" s="1">
        <f>IF(Tabela1[[#This Row],[promien]]&lt;40000,1,0)</f>
        <v>1</v>
      </c>
      <c r="E4347" s="1">
        <f>IF(Tabela1[[#This Row],[promien]]=40000,1,0)</f>
        <v>0</v>
      </c>
      <c r="F4347" s="1">
        <v>3.1654014262709915</v>
      </c>
      <c r="G4347" s="1">
        <v>2.3808772681198409E-2</v>
      </c>
    </row>
    <row r="4348" spans="1:7">
      <c r="A4348">
        <v>373</v>
      </c>
      <c r="B4348">
        <v>17</v>
      </c>
      <c r="C4348" s="1">
        <f>(Tabela1[[#This Row],[x]]-H$3)*(Tabela1[[#This Row],[x]]-H$3) +(Tabela1[[#This Row],[y]]-H$4)*(Tabela1[[#This Row],[y]]-H$4)</f>
        <v>63418</v>
      </c>
      <c r="D4348" s="1">
        <f>IF(Tabela1[[#This Row],[promien]]&lt;40000,1,0)</f>
        <v>0</v>
      </c>
      <c r="E4348" s="1">
        <f>IF(Tabela1[[#This Row],[promien]]=40000,1,0)</f>
        <v>0</v>
      </c>
      <c r="F4348" s="1">
        <v>3.1646734130634773</v>
      </c>
      <c r="G4348" s="1">
        <v>2.3080759473684154E-2</v>
      </c>
    </row>
    <row r="4349" spans="1:7">
      <c r="A4349">
        <v>303</v>
      </c>
      <c r="B4349">
        <v>39</v>
      </c>
      <c r="C4349" s="1">
        <f>(Tabela1[[#This Row],[x]]-H$3)*(Tabela1[[#This Row],[x]]-H$3) +(Tabela1[[#This Row],[y]]-H$4)*(Tabela1[[#This Row],[y]]-H$4)</f>
        <v>36530</v>
      </c>
      <c r="D4349" s="1">
        <f>IF(Tabela1[[#This Row],[promien]]&lt;40000,1,0)</f>
        <v>1</v>
      </c>
      <c r="E4349" s="1">
        <f>IF(Tabela1[[#This Row],[promien]]=40000,1,0)</f>
        <v>0</v>
      </c>
      <c r="F4349" s="1">
        <v>3.164865486318694</v>
      </c>
      <c r="G4349" s="1">
        <v>2.3272832728900905E-2</v>
      </c>
    </row>
    <row r="4350" spans="1:7">
      <c r="A4350">
        <v>138</v>
      </c>
      <c r="B4350">
        <v>263</v>
      </c>
      <c r="C4350" s="1">
        <f>(Tabela1[[#This Row],[x]]-H$3)*(Tabela1[[#This Row],[x]]-H$3) +(Tabela1[[#This Row],[y]]-H$4)*(Tabela1[[#This Row],[y]]-H$4)</f>
        <v>7813</v>
      </c>
      <c r="D4350" s="1">
        <f>IF(Tabela1[[#This Row],[promien]]&lt;40000,1,0)</f>
        <v>1</v>
      </c>
      <c r="E4350" s="1">
        <f>IF(Tabela1[[#This Row],[promien]]=40000,1,0)</f>
        <v>0</v>
      </c>
      <c r="F4350" s="1">
        <v>3.165057471264368</v>
      </c>
      <c r="G4350" s="1">
        <v>2.3464817674574867E-2</v>
      </c>
    </row>
    <row r="4351" spans="1:7">
      <c r="A4351">
        <v>234</v>
      </c>
      <c r="B4351">
        <v>100</v>
      </c>
      <c r="C4351" s="1">
        <f>(Tabela1[[#This Row],[x]]-H$3)*(Tabela1[[#This Row],[x]]-H$3) +(Tabela1[[#This Row],[y]]-H$4)*(Tabela1[[#This Row],[y]]-H$4)</f>
        <v>11156</v>
      </c>
      <c r="D4351" s="1">
        <f>IF(Tabela1[[#This Row],[promien]]&lt;40000,1,0)</f>
        <v>1</v>
      </c>
      <c r="E4351" s="1">
        <f>IF(Tabela1[[#This Row],[promien]]=40000,1,0)</f>
        <v>0</v>
      </c>
      <c r="F4351" s="1">
        <v>3.1652493679613882</v>
      </c>
      <c r="G4351" s="1">
        <v>2.3656714371595111E-2</v>
      </c>
    </row>
    <row r="4352" spans="1:7">
      <c r="A4352">
        <v>345</v>
      </c>
      <c r="B4352">
        <v>308</v>
      </c>
      <c r="C4352" s="1">
        <f>(Tabela1[[#This Row],[x]]-H$3)*(Tabela1[[#This Row],[x]]-H$3) +(Tabela1[[#This Row],[y]]-H$4)*(Tabela1[[#This Row],[y]]-H$4)</f>
        <v>32689</v>
      </c>
      <c r="D4352" s="1">
        <f>IF(Tabela1[[#This Row],[promien]]&lt;40000,1,0)</f>
        <v>1</v>
      </c>
      <c r="E4352" s="1">
        <f>IF(Tabela1[[#This Row],[promien]]=40000,1,0)</f>
        <v>0</v>
      </c>
      <c r="F4352" s="1">
        <v>3.1654411764705883</v>
      </c>
      <c r="G4352" s="1">
        <v>2.3848522880795198E-2</v>
      </c>
    </row>
    <row r="4353" spans="1:7">
      <c r="A4353">
        <v>340</v>
      </c>
      <c r="B4353">
        <v>72</v>
      </c>
      <c r="C4353" s="1">
        <f>(Tabela1[[#This Row],[x]]-H$3)*(Tabela1[[#This Row],[x]]-H$3) +(Tabela1[[#This Row],[y]]-H$4)*(Tabela1[[#This Row],[y]]-H$4)</f>
        <v>35984</v>
      </c>
      <c r="D4353" s="1">
        <f>IF(Tabela1[[#This Row],[promien]]&lt;40000,1,0)</f>
        <v>1</v>
      </c>
      <c r="E4353" s="1">
        <f>IF(Tabela1[[#This Row],[promien]]=40000,1,0)</f>
        <v>0</v>
      </c>
      <c r="F4353" s="1">
        <v>3.1656328968527454</v>
      </c>
      <c r="G4353" s="1">
        <v>2.4040243262952288E-2</v>
      </c>
    </row>
    <row r="4354" spans="1:7">
      <c r="A4354">
        <v>171</v>
      </c>
      <c r="B4354">
        <v>144</v>
      </c>
      <c r="C4354" s="1">
        <f>(Tabela1[[#This Row],[x]]-H$3)*(Tabela1[[#This Row],[x]]-H$3) +(Tabela1[[#This Row],[y]]-H$4)*(Tabela1[[#This Row],[y]]-H$4)</f>
        <v>3977</v>
      </c>
      <c r="D4354" s="1">
        <f>IF(Tabela1[[#This Row],[promien]]&lt;40000,1,0)</f>
        <v>1</v>
      </c>
      <c r="E4354" s="1">
        <f>IF(Tabela1[[#This Row],[promien]]=40000,1,0)</f>
        <v>0</v>
      </c>
      <c r="F4354" s="1">
        <v>3.1658245291685807</v>
      </c>
      <c r="G4354" s="1">
        <v>2.4231875578787587E-2</v>
      </c>
    </row>
    <row r="4355" spans="1:7">
      <c r="A4355">
        <v>336</v>
      </c>
      <c r="B4355">
        <v>229</v>
      </c>
      <c r="C4355" s="1">
        <f>(Tabela1[[#This Row],[x]]-H$3)*(Tabela1[[#This Row],[x]]-H$3) +(Tabela1[[#This Row],[y]]-H$4)*(Tabela1[[#This Row],[y]]-H$4)</f>
        <v>19337</v>
      </c>
      <c r="D4355" s="1">
        <f>IF(Tabela1[[#This Row],[promien]]&lt;40000,1,0)</f>
        <v>1</v>
      </c>
      <c r="E4355" s="1">
        <f>IF(Tabela1[[#This Row],[promien]]=40000,1,0)</f>
        <v>0</v>
      </c>
      <c r="F4355" s="1">
        <v>3.1660160734787599</v>
      </c>
      <c r="G4355" s="1">
        <v>2.4423419888966791E-2</v>
      </c>
    </row>
    <row r="4356" spans="1:7">
      <c r="A4356">
        <v>373</v>
      </c>
      <c r="B4356">
        <v>23</v>
      </c>
      <c r="C4356" s="1">
        <f>(Tabela1[[#This Row],[x]]-H$3)*(Tabela1[[#This Row],[x]]-H$3) +(Tabela1[[#This Row],[y]]-H$4)*(Tabela1[[#This Row],[y]]-H$4)</f>
        <v>61258</v>
      </c>
      <c r="D4356" s="1">
        <f>IF(Tabela1[[#This Row],[promien]]&lt;40000,1,0)</f>
        <v>0</v>
      </c>
      <c r="E4356" s="1">
        <f>IF(Tabela1[[#This Row],[promien]]=40000,1,0)</f>
        <v>0</v>
      </c>
      <c r="F4356" s="1">
        <v>3.165289256198347</v>
      </c>
      <c r="G4356" s="1">
        <v>2.3696602608553885E-2</v>
      </c>
    </row>
    <row r="4357" spans="1:7">
      <c r="A4357">
        <v>82</v>
      </c>
      <c r="B4357">
        <v>210</v>
      </c>
      <c r="C4357" s="1">
        <f>(Tabela1[[#This Row],[x]]-H$3)*(Tabela1[[#This Row],[x]]-H$3) +(Tabela1[[#This Row],[y]]-H$4)*(Tabela1[[#This Row],[y]]-H$4)</f>
        <v>14024</v>
      </c>
      <c r="D4357" s="1">
        <f>IF(Tabela1[[#This Row],[promien]]&lt;40000,1,0)</f>
        <v>1</v>
      </c>
      <c r="E4357" s="1">
        <f>IF(Tabela1[[#This Row],[promien]]=40000,1,0)</f>
        <v>0</v>
      </c>
      <c r="F4357" s="1">
        <v>3.1654808354372275</v>
      </c>
      <c r="G4357" s="1">
        <v>2.3888181847434353E-2</v>
      </c>
    </row>
    <row r="4358" spans="1:7">
      <c r="A4358">
        <v>297</v>
      </c>
      <c r="B4358">
        <v>325</v>
      </c>
      <c r="C4358" s="1">
        <f>(Tabela1[[#This Row],[x]]-H$3)*(Tabela1[[#This Row],[x]]-H$3) +(Tabela1[[#This Row],[y]]-H$4)*(Tabela1[[#This Row],[y]]-H$4)</f>
        <v>25034</v>
      </c>
      <c r="D4358" s="1">
        <f>IF(Tabela1[[#This Row],[promien]]&lt;40000,1,0)</f>
        <v>1</v>
      </c>
      <c r="E4358" s="1">
        <f>IF(Tabela1[[#This Row],[promien]]=40000,1,0)</f>
        <v>0</v>
      </c>
      <c r="F4358" s="1">
        <v>3.1656723267553923</v>
      </c>
      <c r="G4358" s="1">
        <v>2.4079673165599225E-2</v>
      </c>
    </row>
    <row r="4359" spans="1:7">
      <c r="A4359">
        <v>211</v>
      </c>
      <c r="B4359">
        <v>361</v>
      </c>
      <c r="C4359" s="1">
        <f>(Tabela1[[#This Row],[x]]-H$3)*(Tabela1[[#This Row],[x]]-H$3) +(Tabela1[[#This Row],[y]]-H$4)*(Tabela1[[#This Row],[y]]-H$4)</f>
        <v>26042</v>
      </c>
      <c r="D4359" s="1">
        <f>IF(Tabela1[[#This Row],[promien]]&lt;40000,1,0)</f>
        <v>1</v>
      </c>
      <c r="E4359" s="1">
        <f>IF(Tabela1[[#This Row],[promien]]=40000,1,0)</f>
        <v>0</v>
      </c>
      <c r="F4359" s="1">
        <v>3.1658637302133519</v>
      </c>
      <c r="G4359" s="1">
        <v>2.4271076623558763E-2</v>
      </c>
    </row>
    <row r="4360" spans="1:7">
      <c r="A4360">
        <v>319</v>
      </c>
      <c r="B4360">
        <v>229</v>
      </c>
      <c r="C4360" s="1">
        <f>(Tabela1[[#This Row],[x]]-H$3)*(Tabela1[[#This Row],[x]]-H$3) +(Tabela1[[#This Row],[y]]-H$4)*(Tabela1[[#This Row],[y]]-H$4)</f>
        <v>15002</v>
      </c>
      <c r="D4360" s="1">
        <f>IF(Tabela1[[#This Row],[promien]]&lt;40000,1,0)</f>
        <v>1</v>
      </c>
      <c r="E4360" s="1">
        <f>IF(Tabela1[[#This Row],[promien]]=40000,1,0)</f>
        <v>0</v>
      </c>
      <c r="F4360" s="1">
        <v>3.1660550458715595</v>
      </c>
      <c r="G4360" s="1">
        <v>2.4462392281766387E-2</v>
      </c>
    </row>
    <row r="4361" spans="1:7">
      <c r="A4361">
        <v>216</v>
      </c>
      <c r="B4361">
        <v>96</v>
      </c>
      <c r="C4361" s="1">
        <f>(Tabela1[[#This Row],[x]]-H$3)*(Tabela1[[#This Row],[x]]-H$3) +(Tabela1[[#This Row],[y]]-H$4)*(Tabela1[[#This Row],[y]]-H$4)</f>
        <v>11072</v>
      </c>
      <c r="D4361" s="1">
        <f>IF(Tabela1[[#This Row],[promien]]&lt;40000,1,0)</f>
        <v>1</v>
      </c>
      <c r="E4361" s="1">
        <f>IF(Tabela1[[#This Row],[promien]]=40000,1,0)</f>
        <v>0</v>
      </c>
      <c r="F4361" s="1">
        <v>3.1662462737904149</v>
      </c>
      <c r="G4361" s="1">
        <v>2.4653620200621784E-2</v>
      </c>
    </row>
    <row r="4362" spans="1:7">
      <c r="A4362">
        <v>166</v>
      </c>
      <c r="B4362">
        <v>299</v>
      </c>
      <c r="C4362" s="1">
        <f>(Tabela1[[#This Row],[x]]-H$3)*(Tabela1[[#This Row],[x]]-H$3) +(Tabela1[[#This Row],[y]]-H$4)*(Tabela1[[#This Row],[y]]-H$4)</f>
        <v>10957</v>
      </c>
      <c r="D4362" s="1">
        <f>IF(Tabela1[[#This Row],[promien]]&lt;40000,1,0)</f>
        <v>1</v>
      </c>
      <c r="E4362" s="1">
        <f>IF(Tabela1[[#This Row],[promien]]=40000,1,0)</f>
        <v>0</v>
      </c>
      <c r="F4362" s="1">
        <v>3.1664374140302614</v>
      </c>
      <c r="G4362" s="1">
        <v>2.4844760440468239E-2</v>
      </c>
    </row>
    <row r="4363" spans="1:7">
      <c r="A4363">
        <v>223</v>
      </c>
      <c r="B4363">
        <v>214</v>
      </c>
      <c r="C4363" s="1">
        <f>(Tabela1[[#This Row],[x]]-H$3)*(Tabela1[[#This Row],[x]]-H$3) +(Tabela1[[#This Row],[y]]-H$4)*(Tabela1[[#This Row],[y]]-H$4)</f>
        <v>725</v>
      </c>
      <c r="D4363" s="1">
        <f>IF(Tabela1[[#This Row],[promien]]&lt;40000,1,0)</f>
        <v>1</v>
      </c>
      <c r="E4363" s="1">
        <f>IF(Tabela1[[#This Row],[promien]]=40000,1,0)</f>
        <v>0</v>
      </c>
      <c r="F4363" s="1">
        <v>3.1666284666513866</v>
      </c>
      <c r="G4363" s="1">
        <v>2.5035813061593526E-2</v>
      </c>
    </row>
    <row r="4364" spans="1:7">
      <c r="A4364">
        <v>399</v>
      </c>
      <c r="B4364">
        <v>175</v>
      </c>
      <c r="C4364" s="1">
        <f>(Tabela1[[#This Row],[x]]-H$3)*(Tabela1[[#This Row],[x]]-H$3) +(Tabela1[[#This Row],[y]]-H$4)*(Tabela1[[#This Row],[y]]-H$4)</f>
        <v>40226</v>
      </c>
      <c r="D4364" s="1">
        <f>IF(Tabela1[[#This Row],[promien]]&lt;40000,1,0)</f>
        <v>0</v>
      </c>
      <c r="E4364" s="1">
        <f>IF(Tabela1[[#This Row],[promien]]=40000,1,0)</f>
        <v>0</v>
      </c>
      <c r="F4364" s="1">
        <v>3.1659028414298809</v>
      </c>
      <c r="G4364" s="1">
        <v>2.431018784008776E-2</v>
      </c>
    </row>
    <row r="4365" spans="1:7">
      <c r="A4365">
        <v>145</v>
      </c>
      <c r="B4365">
        <v>264</v>
      </c>
      <c r="C4365" s="1">
        <f>(Tabela1[[#This Row],[x]]-H$3)*(Tabela1[[#This Row],[x]]-H$3) +(Tabela1[[#This Row],[y]]-H$4)*(Tabela1[[#This Row],[y]]-H$4)</f>
        <v>7121</v>
      </c>
      <c r="D4365" s="1">
        <f>IF(Tabela1[[#This Row],[promien]]&lt;40000,1,0)</f>
        <v>1</v>
      </c>
      <c r="E4365" s="1">
        <f>IF(Tabela1[[#This Row],[promien]]=40000,1,0)</f>
        <v>0</v>
      </c>
      <c r="F4365" s="1">
        <v>3.1660939289805268</v>
      </c>
      <c r="G4365" s="1">
        <v>2.4501275390733657E-2</v>
      </c>
    </row>
    <row r="4366" spans="1:7">
      <c r="A4366">
        <v>230</v>
      </c>
      <c r="B4366">
        <v>168</v>
      </c>
      <c r="C4366" s="1">
        <f>(Tabela1[[#This Row],[x]]-H$3)*(Tabela1[[#This Row],[x]]-H$3) +(Tabela1[[#This Row],[y]]-H$4)*(Tabela1[[#This Row],[y]]-H$4)</f>
        <v>1924</v>
      </c>
      <c r="D4366" s="1">
        <f>IF(Tabela1[[#This Row],[promien]]&lt;40000,1,0)</f>
        <v>1</v>
      </c>
      <c r="E4366" s="1">
        <f>IF(Tabela1[[#This Row],[promien]]=40000,1,0)</f>
        <v>0</v>
      </c>
      <c r="F4366" s="1">
        <v>3.1662849289967934</v>
      </c>
      <c r="G4366" s="1">
        <v>2.4692275407000253E-2</v>
      </c>
    </row>
    <row r="4367" spans="1:7">
      <c r="A4367">
        <v>285</v>
      </c>
      <c r="B4367">
        <v>221</v>
      </c>
      <c r="C4367" s="1">
        <f>(Tabela1[[#This Row],[x]]-H$3)*(Tabela1[[#This Row],[x]]-H$3) +(Tabela1[[#This Row],[y]]-H$4)*(Tabela1[[#This Row],[y]]-H$4)</f>
        <v>7666</v>
      </c>
      <c r="D4367" s="1">
        <f>IF(Tabela1[[#This Row],[promien]]&lt;40000,1,0)</f>
        <v>1</v>
      </c>
      <c r="E4367" s="1">
        <f>IF(Tabela1[[#This Row],[promien]]=40000,1,0)</f>
        <v>0</v>
      </c>
      <c r="F4367" s="1">
        <v>3.1664758415388139</v>
      </c>
      <c r="G4367" s="1">
        <v>2.488318794902078E-2</v>
      </c>
    </row>
    <row r="4368" spans="1:7">
      <c r="A4368">
        <v>113</v>
      </c>
      <c r="B4368">
        <v>373</v>
      </c>
      <c r="C4368" s="1">
        <f>(Tabela1[[#This Row],[x]]-H$3)*(Tabela1[[#This Row],[x]]-H$3) +(Tabela1[[#This Row],[y]]-H$4)*(Tabela1[[#This Row],[y]]-H$4)</f>
        <v>37498</v>
      </c>
      <c r="D4368" s="1">
        <f>IF(Tabela1[[#This Row],[promien]]&lt;40000,1,0)</f>
        <v>1</v>
      </c>
      <c r="E4368" s="1">
        <f>IF(Tabela1[[#This Row],[promien]]=40000,1,0)</f>
        <v>0</v>
      </c>
      <c r="F4368" s="1">
        <v>3.1666666666666665</v>
      </c>
      <c r="G4368" s="1">
        <v>2.5074013076873403E-2</v>
      </c>
    </row>
    <row r="4369" spans="1:7">
      <c r="A4369">
        <v>179</v>
      </c>
      <c r="B4369">
        <v>214</v>
      </c>
      <c r="C4369" s="1">
        <f>(Tabela1[[#This Row],[x]]-H$3)*(Tabela1[[#This Row],[x]]-H$3) +(Tabela1[[#This Row],[y]]-H$4)*(Tabela1[[#This Row],[y]]-H$4)</f>
        <v>637</v>
      </c>
      <c r="D4369" s="1">
        <f>IF(Tabela1[[#This Row],[promien]]&lt;40000,1,0)</f>
        <v>1</v>
      </c>
      <c r="E4369" s="1">
        <f>IF(Tabela1[[#This Row],[promien]]=40000,1,0)</f>
        <v>0</v>
      </c>
      <c r="F4369" s="1">
        <v>3.1668574044403752</v>
      </c>
      <c r="G4369" s="1">
        <v>2.5264750850582107E-2</v>
      </c>
    </row>
    <row r="4370" spans="1:7">
      <c r="A4370">
        <v>300</v>
      </c>
      <c r="B4370">
        <v>263</v>
      </c>
      <c r="C4370" s="1">
        <f>(Tabela1[[#This Row],[x]]-H$3)*(Tabela1[[#This Row],[x]]-H$3) +(Tabela1[[#This Row],[y]]-H$4)*(Tabela1[[#This Row],[y]]-H$4)</f>
        <v>13969</v>
      </c>
      <c r="D4370" s="1">
        <f>IF(Tabela1[[#This Row],[promien]]&lt;40000,1,0)</f>
        <v>1</v>
      </c>
      <c r="E4370" s="1">
        <f>IF(Tabela1[[#This Row],[promien]]=40000,1,0)</f>
        <v>0</v>
      </c>
      <c r="F4370" s="1">
        <v>3.1670480549199085</v>
      </c>
      <c r="G4370" s="1">
        <v>2.5455401330115368E-2</v>
      </c>
    </row>
    <row r="4371" spans="1:7">
      <c r="A4371">
        <v>53</v>
      </c>
      <c r="B4371">
        <v>316</v>
      </c>
      <c r="C4371" s="1">
        <f>(Tabela1[[#This Row],[x]]-H$3)*(Tabela1[[#This Row],[x]]-H$3) +(Tabela1[[#This Row],[y]]-H$4)*(Tabela1[[#This Row],[y]]-H$4)</f>
        <v>35065</v>
      </c>
      <c r="D4371" s="1">
        <f>IF(Tabela1[[#This Row],[promien]]&lt;40000,1,0)</f>
        <v>1</v>
      </c>
      <c r="E4371" s="1">
        <f>IF(Tabela1[[#This Row],[promien]]=40000,1,0)</f>
        <v>0</v>
      </c>
      <c r="F4371" s="1">
        <v>3.1672386181651797</v>
      </c>
      <c r="G4371" s="1">
        <v>2.5645964575386593E-2</v>
      </c>
    </row>
    <row r="4372" spans="1:7">
      <c r="A4372">
        <v>322</v>
      </c>
      <c r="B4372">
        <v>385</v>
      </c>
      <c r="C4372" s="1">
        <f>(Tabela1[[#This Row],[x]]-H$3)*(Tabela1[[#This Row],[x]]-H$3) +(Tabela1[[#This Row],[y]]-H$4)*(Tabela1[[#This Row],[y]]-H$4)</f>
        <v>49109</v>
      </c>
      <c r="D4372" s="1">
        <f>IF(Tabela1[[#This Row],[promien]]&lt;40000,1,0)</f>
        <v>0</v>
      </c>
      <c r="E4372" s="1">
        <f>IF(Tabela1[[#This Row],[promien]]=40000,1,0)</f>
        <v>0</v>
      </c>
      <c r="F4372" s="1">
        <v>3.1665141811527904</v>
      </c>
      <c r="G4372" s="1">
        <v>2.4921527562997259E-2</v>
      </c>
    </row>
    <row r="4373" spans="1:7">
      <c r="A4373">
        <v>183</v>
      </c>
      <c r="B4373">
        <v>79</v>
      </c>
      <c r="C4373" s="1">
        <f>(Tabela1[[#This Row],[x]]-H$3)*(Tabela1[[#This Row],[x]]-H$3) +(Tabela1[[#This Row],[y]]-H$4)*(Tabela1[[#This Row],[y]]-H$4)</f>
        <v>14930</v>
      </c>
      <c r="D4373" s="1">
        <f>IF(Tabela1[[#This Row],[promien]]&lt;40000,1,0)</f>
        <v>1</v>
      </c>
      <c r="E4373" s="1">
        <f>IF(Tabela1[[#This Row],[promien]]=40000,1,0)</f>
        <v>0</v>
      </c>
      <c r="F4373" s="1">
        <v>3.1667047793276928</v>
      </c>
      <c r="G4373" s="1">
        <v>2.5112125737899671E-2</v>
      </c>
    </row>
    <row r="4374" spans="1:7">
      <c r="A4374">
        <v>240</v>
      </c>
      <c r="B4374">
        <v>41</v>
      </c>
      <c r="C4374" s="1">
        <f>(Tabela1[[#This Row],[x]]-H$3)*(Tabela1[[#This Row],[x]]-H$3) +(Tabela1[[#This Row],[y]]-H$4)*(Tabela1[[#This Row],[y]]-H$4)</f>
        <v>26881</v>
      </c>
      <c r="D4374" s="1">
        <f>IF(Tabela1[[#This Row],[promien]]&lt;40000,1,0)</f>
        <v>1</v>
      </c>
      <c r="E4374" s="1">
        <f>IF(Tabela1[[#This Row],[promien]]=40000,1,0)</f>
        <v>0</v>
      </c>
      <c r="F4374" s="1">
        <v>3.1668952903520804</v>
      </c>
      <c r="G4374" s="1">
        <v>2.5302636762287278E-2</v>
      </c>
    </row>
    <row r="4375" spans="1:7">
      <c r="A4375">
        <v>372</v>
      </c>
      <c r="B4375">
        <v>264</v>
      </c>
      <c r="C4375" s="1">
        <f>(Tabela1[[#This Row],[x]]-H$3)*(Tabela1[[#This Row],[x]]-H$3) +(Tabela1[[#This Row],[y]]-H$4)*(Tabela1[[#This Row],[y]]-H$4)</f>
        <v>33680</v>
      </c>
      <c r="D4375" s="1">
        <f>IF(Tabela1[[#This Row],[promien]]&lt;40000,1,0)</f>
        <v>1</v>
      </c>
      <c r="E4375" s="1">
        <f>IF(Tabela1[[#This Row],[promien]]=40000,1,0)</f>
        <v>0</v>
      </c>
      <c r="F4375" s="1">
        <v>3.1670857142857143</v>
      </c>
      <c r="G4375" s="1">
        <v>2.5493060695921166E-2</v>
      </c>
    </row>
    <row r="4376" spans="1:7">
      <c r="A4376">
        <v>316</v>
      </c>
      <c r="B4376">
        <v>395</v>
      </c>
      <c r="C4376" s="1">
        <f>(Tabela1[[#This Row],[x]]-H$3)*(Tabela1[[#This Row],[x]]-H$3) +(Tabela1[[#This Row],[y]]-H$4)*(Tabela1[[#This Row],[y]]-H$4)</f>
        <v>51481</v>
      </c>
      <c r="D4376" s="1">
        <f>IF(Tabela1[[#This Row],[promien]]&lt;40000,1,0)</f>
        <v>0</v>
      </c>
      <c r="E4376" s="1">
        <f>IF(Tabela1[[#This Row],[promien]]=40000,1,0)</f>
        <v>0</v>
      </c>
      <c r="F4376" s="1">
        <v>3.16636197440585</v>
      </c>
      <c r="G4376" s="1">
        <v>2.4769320816056872E-2</v>
      </c>
    </row>
    <row r="4377" spans="1:7">
      <c r="A4377">
        <v>389</v>
      </c>
      <c r="B4377">
        <v>364</v>
      </c>
      <c r="C4377" s="1">
        <f>(Tabela1[[#This Row],[x]]-H$3)*(Tabela1[[#This Row],[x]]-H$3) +(Tabela1[[#This Row],[y]]-H$4)*(Tabela1[[#This Row],[y]]-H$4)</f>
        <v>62617</v>
      </c>
      <c r="D4377" s="1">
        <f>IF(Tabela1[[#This Row],[promien]]&lt;40000,1,0)</f>
        <v>0</v>
      </c>
      <c r="E4377" s="1">
        <f>IF(Tabela1[[#This Row],[promien]]=40000,1,0)</f>
        <v>0</v>
      </c>
      <c r="F4377" s="1">
        <v>3.1656385652273245</v>
      </c>
      <c r="G4377" s="1">
        <v>2.4045911637531336E-2</v>
      </c>
    </row>
    <row r="4378" spans="1:7">
      <c r="A4378">
        <v>305</v>
      </c>
      <c r="B4378">
        <v>126</v>
      </c>
      <c r="C4378" s="1">
        <f>(Tabela1[[#This Row],[x]]-H$3)*(Tabela1[[#This Row],[x]]-H$3) +(Tabela1[[#This Row],[y]]-H$4)*(Tabela1[[#This Row],[y]]-H$4)</f>
        <v>16501</v>
      </c>
      <c r="D4378" s="1">
        <f>IF(Tabela1[[#This Row],[promien]]&lt;40000,1,0)</f>
        <v>1</v>
      </c>
      <c r="E4378" s="1">
        <f>IF(Tabela1[[#This Row],[promien]]=40000,1,0)</f>
        <v>0</v>
      </c>
      <c r="F4378" s="1">
        <v>3.1658291457286434</v>
      </c>
      <c r="G4378" s="1">
        <v>2.4236492138850263E-2</v>
      </c>
    </row>
    <row r="4379" spans="1:7">
      <c r="A4379">
        <v>288</v>
      </c>
      <c r="B4379">
        <v>49</v>
      </c>
      <c r="C4379" s="1">
        <f>(Tabela1[[#This Row],[x]]-H$3)*(Tabela1[[#This Row],[x]]-H$3) +(Tabela1[[#This Row],[y]]-H$4)*(Tabela1[[#This Row],[y]]-H$4)</f>
        <v>30545</v>
      </c>
      <c r="D4379" s="1">
        <f>IF(Tabela1[[#This Row],[promien]]&lt;40000,1,0)</f>
        <v>1</v>
      </c>
      <c r="E4379" s="1">
        <f>IF(Tabela1[[#This Row],[promien]]=40000,1,0)</f>
        <v>0</v>
      </c>
      <c r="F4379" s="1">
        <v>3.166019639187029</v>
      </c>
      <c r="G4379" s="1">
        <v>2.4426985597235884E-2</v>
      </c>
    </row>
    <row r="4380" spans="1:7">
      <c r="A4380">
        <v>190</v>
      </c>
      <c r="B4380">
        <v>266</v>
      </c>
      <c r="C4380" s="1">
        <f>(Tabela1[[#This Row],[x]]-H$3)*(Tabela1[[#This Row],[x]]-H$3) +(Tabela1[[#This Row],[y]]-H$4)*(Tabela1[[#This Row],[y]]-H$4)</f>
        <v>4456</v>
      </c>
      <c r="D4380" s="1">
        <f>IF(Tabela1[[#This Row],[promien]]&lt;40000,1,0)</f>
        <v>1</v>
      </c>
      <c r="E4380" s="1">
        <f>IF(Tabela1[[#This Row],[promien]]=40000,1,0)</f>
        <v>0</v>
      </c>
      <c r="F4380" s="1">
        <v>3.1662100456621003</v>
      </c>
      <c r="G4380" s="1">
        <v>2.4617392072307176E-2</v>
      </c>
    </row>
    <row r="4381" spans="1:7">
      <c r="A4381">
        <v>194</v>
      </c>
      <c r="B4381">
        <v>77</v>
      </c>
      <c r="C4381" s="1">
        <f>(Tabela1[[#This Row],[x]]-H$3)*(Tabela1[[#This Row],[x]]-H$3) +(Tabela1[[#This Row],[y]]-H$4)*(Tabela1[[#This Row],[y]]-H$4)</f>
        <v>15165</v>
      </c>
      <c r="D4381" s="1">
        <f>IF(Tabela1[[#This Row],[promien]]&lt;40000,1,0)</f>
        <v>1</v>
      </c>
      <c r="E4381" s="1">
        <f>IF(Tabela1[[#This Row],[promien]]=40000,1,0)</f>
        <v>0</v>
      </c>
      <c r="F4381" s="1">
        <v>3.1664003652134216</v>
      </c>
      <c r="G4381" s="1">
        <v>2.4807711623628492E-2</v>
      </c>
    </row>
    <row r="4382" spans="1:7">
      <c r="A4382">
        <v>107</v>
      </c>
      <c r="B4382">
        <v>81</v>
      </c>
      <c r="C4382" s="1">
        <f>(Tabela1[[#This Row],[x]]-H$3)*(Tabela1[[#This Row],[x]]-H$3) +(Tabela1[[#This Row],[y]]-H$4)*(Tabela1[[#This Row],[y]]-H$4)</f>
        <v>22810</v>
      </c>
      <c r="D4382" s="1">
        <f>IF(Tabela1[[#This Row],[promien]]&lt;40000,1,0)</f>
        <v>1</v>
      </c>
      <c r="E4382" s="1">
        <f>IF(Tabela1[[#This Row],[promien]]=40000,1,0)</f>
        <v>0</v>
      </c>
      <c r="F4382" s="1">
        <v>3.1665905979005022</v>
      </c>
      <c r="G4382" s="1">
        <v>2.4997944310709119E-2</v>
      </c>
    </row>
    <row r="4383" spans="1:7">
      <c r="A4383">
        <v>124</v>
      </c>
      <c r="B4383">
        <v>185</v>
      </c>
      <c r="C4383" s="1">
        <f>(Tabela1[[#This Row],[x]]-H$3)*(Tabela1[[#This Row],[x]]-H$3) +(Tabela1[[#This Row],[y]]-H$4)*(Tabela1[[#This Row],[y]]-H$4)</f>
        <v>6001</v>
      </c>
      <c r="D4383" s="1">
        <f>IF(Tabela1[[#This Row],[promien]]&lt;40000,1,0)</f>
        <v>1</v>
      </c>
      <c r="E4383" s="1">
        <f>IF(Tabela1[[#This Row],[promien]]=40000,1,0)</f>
        <v>0</v>
      </c>
      <c r="F4383" s="1">
        <v>3.1667807437827973</v>
      </c>
      <c r="G4383" s="1">
        <v>2.5188090193004165E-2</v>
      </c>
    </row>
    <row r="4384" spans="1:7">
      <c r="A4384">
        <v>261</v>
      </c>
      <c r="B4384">
        <v>271</v>
      </c>
      <c r="C4384" s="1">
        <f>(Tabela1[[#This Row],[x]]-H$3)*(Tabela1[[#This Row],[x]]-H$3) +(Tabela1[[#This Row],[y]]-H$4)*(Tabela1[[#This Row],[y]]-H$4)</f>
        <v>8762</v>
      </c>
      <c r="D4384" s="1">
        <f>IF(Tabela1[[#This Row],[promien]]&lt;40000,1,0)</f>
        <v>1</v>
      </c>
      <c r="E4384" s="1">
        <f>IF(Tabela1[[#This Row],[promien]]=40000,1,0)</f>
        <v>0</v>
      </c>
      <c r="F4384" s="1">
        <v>3.1669708029197081</v>
      </c>
      <c r="G4384" s="1">
        <v>2.5378149329915001E-2</v>
      </c>
    </row>
    <row r="4385" spans="1:7">
      <c r="A4385">
        <v>324</v>
      </c>
      <c r="B4385">
        <v>279</v>
      </c>
      <c r="C4385" s="1">
        <f>(Tabela1[[#This Row],[x]]-H$3)*(Tabela1[[#This Row],[x]]-H$3) +(Tabela1[[#This Row],[y]]-H$4)*(Tabela1[[#This Row],[y]]-H$4)</f>
        <v>21617</v>
      </c>
      <c r="D4385" s="1">
        <f>IF(Tabela1[[#This Row],[promien]]&lt;40000,1,0)</f>
        <v>1</v>
      </c>
      <c r="E4385" s="1">
        <f>IF(Tabela1[[#This Row],[promien]]=40000,1,0)</f>
        <v>0</v>
      </c>
      <c r="F4385" s="1">
        <v>3.1671607753705815</v>
      </c>
      <c r="G4385" s="1">
        <v>2.5568121780788378E-2</v>
      </c>
    </row>
    <row r="4386" spans="1:7">
      <c r="A4386">
        <v>202</v>
      </c>
      <c r="B4386">
        <v>54</v>
      </c>
      <c r="C4386" s="1">
        <f>(Tabela1[[#This Row],[x]]-H$3)*(Tabela1[[#This Row],[x]]-H$3) +(Tabela1[[#This Row],[y]]-H$4)*(Tabela1[[#This Row],[y]]-H$4)</f>
        <v>21320</v>
      </c>
      <c r="D4386" s="1">
        <f>IF(Tabela1[[#This Row],[promien]]&lt;40000,1,0)</f>
        <v>1</v>
      </c>
      <c r="E4386" s="1">
        <f>IF(Tabela1[[#This Row],[promien]]=40000,1,0)</f>
        <v>0</v>
      </c>
      <c r="F4386" s="1">
        <v>3.1673506611947104</v>
      </c>
      <c r="G4386" s="1">
        <v>2.575800760491731E-2</v>
      </c>
    </row>
    <row r="4387" spans="1:7">
      <c r="A4387">
        <v>55</v>
      </c>
      <c r="B4387">
        <v>90</v>
      </c>
      <c r="C4387" s="1">
        <f>(Tabela1[[#This Row],[x]]-H$3)*(Tabela1[[#This Row],[x]]-H$3) +(Tabela1[[#This Row],[y]]-H$4)*(Tabela1[[#This Row],[y]]-H$4)</f>
        <v>33125</v>
      </c>
      <c r="D4387" s="1">
        <f>IF(Tabela1[[#This Row],[promien]]&lt;40000,1,0)</f>
        <v>1</v>
      </c>
      <c r="E4387" s="1">
        <f>IF(Tabela1[[#This Row],[promien]]=40000,1,0)</f>
        <v>0</v>
      </c>
      <c r="F4387" s="1">
        <v>3.1675404604513333</v>
      </c>
      <c r="G4387" s="1">
        <v>2.594780686154019E-2</v>
      </c>
    </row>
    <row r="4388" spans="1:7">
      <c r="A4388">
        <v>290</v>
      </c>
      <c r="B4388">
        <v>354</v>
      </c>
      <c r="C4388" s="1">
        <f>(Tabela1[[#This Row],[x]]-H$3)*(Tabela1[[#This Row],[x]]-H$3) +(Tabela1[[#This Row],[y]]-H$4)*(Tabela1[[#This Row],[y]]-H$4)</f>
        <v>31816</v>
      </c>
      <c r="D4388" s="1">
        <f>IF(Tabela1[[#This Row],[promien]]&lt;40000,1,0)</f>
        <v>1</v>
      </c>
      <c r="E4388" s="1">
        <f>IF(Tabela1[[#This Row],[promien]]=40000,1,0)</f>
        <v>0</v>
      </c>
      <c r="F4388" s="1">
        <v>3.1677301731996352</v>
      </c>
      <c r="G4388" s="1">
        <v>2.6137519609842119E-2</v>
      </c>
    </row>
    <row r="4389" spans="1:7">
      <c r="A4389">
        <v>47</v>
      </c>
      <c r="B4389">
        <v>378</v>
      </c>
      <c r="C4389" s="1">
        <f>(Tabela1[[#This Row],[x]]-H$3)*(Tabela1[[#This Row],[x]]-H$3) +(Tabela1[[#This Row],[y]]-H$4)*(Tabela1[[#This Row],[y]]-H$4)</f>
        <v>55093</v>
      </c>
      <c r="D4389" s="1">
        <f>IF(Tabela1[[#This Row],[promien]]&lt;40000,1,0)</f>
        <v>0</v>
      </c>
      <c r="E4389" s="1">
        <f>IF(Tabela1[[#This Row],[promien]]=40000,1,0)</f>
        <v>0</v>
      </c>
      <c r="F4389" s="1">
        <v>3.1670084301663248</v>
      </c>
      <c r="G4389" s="1">
        <v>2.5415776576531712E-2</v>
      </c>
    </row>
    <row r="4390" spans="1:7">
      <c r="A4390">
        <v>257</v>
      </c>
      <c r="B4390">
        <v>90</v>
      </c>
      <c r="C4390" s="1">
        <f>(Tabela1[[#This Row],[x]]-H$3)*(Tabela1[[#This Row],[x]]-H$3) +(Tabela1[[#This Row],[y]]-H$4)*(Tabela1[[#This Row],[y]]-H$4)</f>
        <v>15349</v>
      </c>
      <c r="D4390" s="1">
        <f>IF(Tabela1[[#This Row],[promien]]&lt;40000,1,0)</f>
        <v>1</v>
      </c>
      <c r="E4390" s="1">
        <f>IF(Tabela1[[#This Row],[promien]]=40000,1,0)</f>
        <v>0</v>
      </c>
      <c r="F4390" s="1">
        <v>3.1671981776765374</v>
      </c>
      <c r="G4390" s="1">
        <v>2.5605524086744325E-2</v>
      </c>
    </row>
    <row r="4391" spans="1:7">
      <c r="A4391">
        <v>93</v>
      </c>
      <c r="B4391">
        <v>109</v>
      </c>
      <c r="C4391" s="1">
        <f>(Tabela1[[#This Row],[x]]-H$3)*(Tabela1[[#This Row],[x]]-H$3) +(Tabela1[[#This Row],[y]]-H$4)*(Tabela1[[#This Row],[y]]-H$4)</f>
        <v>19730</v>
      </c>
      <c r="D4391" s="1">
        <f>IF(Tabela1[[#This Row],[promien]]&lt;40000,1,0)</f>
        <v>1</v>
      </c>
      <c r="E4391" s="1">
        <f>IF(Tabela1[[#This Row],[promien]]=40000,1,0)</f>
        <v>0</v>
      </c>
      <c r="F4391" s="1">
        <v>3.1673878387611021</v>
      </c>
      <c r="G4391" s="1">
        <v>2.5795185171308965E-2</v>
      </c>
    </row>
    <row r="4392" spans="1:7">
      <c r="A4392">
        <v>2</v>
      </c>
      <c r="B4392">
        <v>365</v>
      </c>
      <c r="C4392" s="1">
        <f>(Tabela1[[#This Row],[x]]-H$3)*(Tabela1[[#This Row],[x]]-H$3) +(Tabela1[[#This Row],[y]]-H$4)*(Tabela1[[#This Row],[y]]-H$4)</f>
        <v>66429</v>
      </c>
      <c r="D4392" s="1">
        <f>IF(Tabela1[[#This Row],[promien]]&lt;40000,1,0)</f>
        <v>0</v>
      </c>
      <c r="E4392" s="1">
        <f>IF(Tabela1[[#This Row],[promien]]=40000,1,0)</f>
        <v>0</v>
      </c>
      <c r="F4392" s="1">
        <v>3.1666666666666665</v>
      </c>
      <c r="G4392" s="1">
        <v>2.5074013076873403E-2</v>
      </c>
    </row>
    <row r="4393" spans="1:7">
      <c r="A4393">
        <v>295</v>
      </c>
      <c r="B4393">
        <v>73</v>
      </c>
      <c r="C4393" s="1">
        <f>(Tabela1[[#This Row],[x]]-H$3)*(Tabela1[[#This Row],[x]]-H$3) +(Tabela1[[#This Row],[y]]-H$4)*(Tabela1[[#This Row],[y]]-H$4)</f>
        <v>25154</v>
      </c>
      <c r="D4393" s="1">
        <f>IF(Tabela1[[#This Row],[promien]]&lt;40000,1,0)</f>
        <v>1</v>
      </c>
      <c r="E4393" s="1">
        <f>IF(Tabela1[[#This Row],[promien]]=40000,1,0)</f>
        <v>0</v>
      </c>
      <c r="F4393" s="1">
        <v>3.1668563623947188</v>
      </c>
      <c r="G4393" s="1">
        <v>2.5263708804925677E-2</v>
      </c>
    </row>
    <row r="4394" spans="1:7">
      <c r="A4394">
        <v>228</v>
      </c>
      <c r="B4394">
        <v>35</v>
      </c>
      <c r="C4394" s="1">
        <f>(Tabela1[[#This Row],[x]]-H$3)*(Tabela1[[#This Row],[x]]-H$3) +(Tabela1[[#This Row],[y]]-H$4)*(Tabela1[[#This Row],[y]]-H$4)</f>
        <v>28009</v>
      </c>
      <c r="D4394" s="1">
        <f>IF(Tabela1[[#This Row],[promien]]&lt;40000,1,0)</f>
        <v>1</v>
      </c>
      <c r="E4394" s="1">
        <f>IF(Tabela1[[#This Row],[promien]]=40000,1,0)</f>
        <v>0</v>
      </c>
      <c r="F4394" s="1">
        <v>3.1670459717796997</v>
      </c>
      <c r="G4394" s="1">
        <v>2.5453318189906593E-2</v>
      </c>
    </row>
    <row r="4395" spans="1:7">
      <c r="A4395">
        <v>118</v>
      </c>
      <c r="B4395">
        <v>132</v>
      </c>
      <c r="C4395" s="1">
        <f>(Tabela1[[#This Row],[x]]-H$3)*(Tabela1[[#This Row],[x]]-H$3) +(Tabela1[[#This Row],[y]]-H$4)*(Tabela1[[#This Row],[y]]-H$4)</f>
        <v>11348</v>
      </c>
      <c r="D4395" s="1">
        <f>IF(Tabela1[[#This Row],[promien]]&lt;40000,1,0)</f>
        <v>1</v>
      </c>
      <c r="E4395" s="1">
        <f>IF(Tabela1[[#This Row],[promien]]=40000,1,0)</f>
        <v>0</v>
      </c>
      <c r="F4395" s="1">
        <v>3.1672354948805461</v>
      </c>
      <c r="G4395" s="1">
        <v>2.5642841290753005E-2</v>
      </c>
    </row>
    <row r="4396" spans="1:7">
      <c r="A4396">
        <v>209</v>
      </c>
      <c r="B4396">
        <v>383</v>
      </c>
      <c r="C4396" s="1">
        <f>(Tabela1[[#This Row],[x]]-H$3)*(Tabela1[[#This Row],[x]]-H$3) +(Tabela1[[#This Row],[y]]-H$4)*(Tabela1[[#This Row],[y]]-H$4)</f>
        <v>33570</v>
      </c>
      <c r="D4396" s="1">
        <f>IF(Tabela1[[#This Row],[promien]]&lt;40000,1,0)</f>
        <v>1</v>
      </c>
      <c r="E4396" s="1">
        <f>IF(Tabela1[[#This Row],[promien]]=40000,1,0)</f>
        <v>0</v>
      </c>
      <c r="F4396" s="1">
        <v>3.167424931756142</v>
      </c>
      <c r="G4396" s="1">
        <v>2.5832278166348921E-2</v>
      </c>
    </row>
    <row r="4397" spans="1:7">
      <c r="A4397">
        <v>381</v>
      </c>
      <c r="B4397">
        <v>190</v>
      </c>
      <c r="C4397" s="1">
        <f>(Tabela1[[#This Row],[x]]-H$3)*(Tabela1[[#This Row],[x]]-H$3) +(Tabela1[[#This Row],[y]]-H$4)*(Tabela1[[#This Row],[y]]-H$4)</f>
        <v>32861</v>
      </c>
      <c r="D4397" s="1">
        <f>IF(Tabela1[[#This Row],[promien]]&lt;40000,1,0)</f>
        <v>1</v>
      </c>
      <c r="E4397" s="1">
        <f>IF(Tabela1[[#This Row],[promien]]=40000,1,0)</f>
        <v>0</v>
      </c>
      <c r="F4397" s="1">
        <v>3.1676142824653173</v>
      </c>
      <c r="G4397" s="1">
        <v>2.6021628875524172E-2</v>
      </c>
    </row>
    <row r="4398" spans="1:7">
      <c r="A4398">
        <v>363</v>
      </c>
      <c r="B4398">
        <v>272</v>
      </c>
      <c r="C4398" s="1">
        <f>(Tabela1[[#This Row],[x]]-H$3)*(Tabela1[[#This Row],[x]]-H$3) +(Tabela1[[#This Row],[y]]-H$4)*(Tabela1[[#This Row],[y]]-H$4)</f>
        <v>31753</v>
      </c>
      <c r="D4398" s="1">
        <f>IF(Tabela1[[#This Row],[promien]]&lt;40000,1,0)</f>
        <v>1</v>
      </c>
      <c r="E4398" s="1">
        <f>IF(Tabela1[[#This Row],[promien]]=40000,1,0)</f>
        <v>0</v>
      </c>
      <c r="F4398" s="1">
        <v>3.1678035470668484</v>
      </c>
      <c r="G4398" s="1">
        <v>2.6210893477055297E-2</v>
      </c>
    </row>
    <row r="4399" spans="1:7">
      <c r="A4399">
        <v>145</v>
      </c>
      <c r="B4399">
        <v>225</v>
      </c>
      <c r="C4399" s="1">
        <f>(Tabela1[[#This Row],[x]]-H$3)*(Tabela1[[#This Row],[x]]-H$3) +(Tabela1[[#This Row],[y]]-H$4)*(Tabela1[[#This Row],[y]]-H$4)</f>
        <v>3650</v>
      </c>
      <c r="D4399" s="1">
        <f>IF(Tabela1[[#This Row],[promien]]&lt;40000,1,0)</f>
        <v>1</v>
      </c>
      <c r="E4399" s="1">
        <f>IF(Tabela1[[#This Row],[promien]]=40000,1,0)</f>
        <v>0</v>
      </c>
      <c r="F4399" s="1">
        <v>3.1679927256194591</v>
      </c>
      <c r="G4399" s="1">
        <v>2.6400072029665989E-2</v>
      </c>
    </row>
    <row r="4400" spans="1:7">
      <c r="A4400">
        <v>94</v>
      </c>
      <c r="B4400">
        <v>392</v>
      </c>
      <c r="C4400" s="1">
        <f>(Tabela1[[#This Row],[x]]-H$3)*(Tabela1[[#This Row],[x]]-H$3) +(Tabela1[[#This Row],[y]]-H$4)*(Tabela1[[#This Row],[y]]-H$4)</f>
        <v>48100</v>
      </c>
      <c r="D4400" s="1">
        <f>IF(Tabela1[[#This Row],[promien]]&lt;40000,1,0)</f>
        <v>0</v>
      </c>
      <c r="E4400" s="1">
        <f>IF(Tabela1[[#This Row],[promien]]=40000,1,0)</f>
        <v>0</v>
      </c>
      <c r="F4400" s="1">
        <v>3.1672727272727275</v>
      </c>
      <c r="G4400" s="1">
        <v>2.5680073682934346E-2</v>
      </c>
    </row>
    <row r="4401" spans="1:7">
      <c r="A4401">
        <v>98</v>
      </c>
      <c r="B4401">
        <v>292</v>
      </c>
      <c r="C4401" s="1">
        <f>(Tabela1[[#This Row],[x]]-H$3)*(Tabela1[[#This Row],[x]]-H$3) +(Tabela1[[#This Row],[y]]-H$4)*(Tabela1[[#This Row],[y]]-H$4)</f>
        <v>18868</v>
      </c>
      <c r="D4401" s="1">
        <f>IF(Tabela1[[#This Row],[promien]]&lt;40000,1,0)</f>
        <v>1</v>
      </c>
      <c r="E4401" s="1">
        <f>IF(Tabela1[[#This Row],[promien]]=40000,1,0)</f>
        <v>0</v>
      </c>
      <c r="F4401" s="1">
        <v>3.1674619404680753</v>
      </c>
      <c r="G4401" s="1">
        <v>2.5869286878282161E-2</v>
      </c>
    </row>
    <row r="4402" spans="1:7">
      <c r="A4402">
        <v>155</v>
      </c>
      <c r="B4402">
        <v>115</v>
      </c>
      <c r="C4402" s="1">
        <f>(Tabela1[[#This Row],[x]]-H$3)*(Tabela1[[#This Row],[x]]-H$3) +(Tabela1[[#This Row],[y]]-H$4)*(Tabela1[[#This Row],[y]]-H$4)</f>
        <v>9250</v>
      </c>
      <c r="D4402" s="1">
        <f>IF(Tabela1[[#This Row],[promien]]&lt;40000,1,0)</f>
        <v>1</v>
      </c>
      <c r="E4402" s="1">
        <f>IF(Tabela1[[#This Row],[promien]]=40000,1,0)</f>
        <v>0</v>
      </c>
      <c r="F4402" s="1">
        <v>3.1676510676965015</v>
      </c>
      <c r="G4402" s="1">
        <v>2.6058414106708394E-2</v>
      </c>
    </row>
    <row r="4403" spans="1:7">
      <c r="A4403">
        <v>240</v>
      </c>
      <c r="B4403">
        <v>161</v>
      </c>
      <c r="C4403" s="1">
        <f>(Tabela1[[#This Row],[x]]-H$3)*(Tabela1[[#This Row],[x]]-H$3) +(Tabela1[[#This Row],[y]]-H$4)*(Tabela1[[#This Row],[y]]-H$4)</f>
        <v>3121</v>
      </c>
      <c r="D4403" s="1">
        <f>IF(Tabela1[[#This Row],[promien]]&lt;40000,1,0)</f>
        <v>1</v>
      </c>
      <c r="E4403" s="1">
        <f>IF(Tabela1[[#This Row],[promien]]=40000,1,0)</f>
        <v>0</v>
      </c>
      <c r="F4403" s="1">
        <v>3.1678401090165798</v>
      </c>
      <c r="G4403" s="1">
        <v>2.6247455426786637E-2</v>
      </c>
    </row>
    <row r="4404" spans="1:7">
      <c r="A4404">
        <v>181</v>
      </c>
      <c r="B4404">
        <v>16</v>
      </c>
      <c r="C4404" s="1">
        <f>(Tabela1[[#This Row],[x]]-H$3)*(Tabela1[[#This Row],[x]]-H$3) +(Tabela1[[#This Row],[y]]-H$4)*(Tabela1[[#This Row],[y]]-H$4)</f>
        <v>34217</v>
      </c>
      <c r="D4404" s="1">
        <f>IF(Tabela1[[#This Row],[promien]]&lt;40000,1,0)</f>
        <v>1</v>
      </c>
      <c r="E4404" s="1">
        <f>IF(Tabela1[[#This Row],[promien]]=40000,1,0)</f>
        <v>0</v>
      </c>
      <c r="F4404" s="1">
        <v>3.1680290644868303</v>
      </c>
      <c r="G4404" s="1">
        <v>2.6436410897037188E-2</v>
      </c>
    </row>
    <row r="4405" spans="1:7">
      <c r="A4405">
        <v>128</v>
      </c>
      <c r="B4405">
        <v>383</v>
      </c>
      <c r="C4405" s="1">
        <f>(Tabela1[[#This Row],[x]]-H$3)*(Tabela1[[#This Row],[x]]-H$3) +(Tabela1[[#This Row],[y]]-H$4)*(Tabela1[[#This Row],[y]]-H$4)</f>
        <v>38673</v>
      </c>
      <c r="D4405" s="1">
        <f>IF(Tabela1[[#This Row],[promien]]&lt;40000,1,0)</f>
        <v>1</v>
      </c>
      <c r="E4405" s="1">
        <f>IF(Tabela1[[#This Row],[promien]]=40000,1,0)</f>
        <v>0</v>
      </c>
      <c r="F4405" s="1">
        <v>3.1682179341657206</v>
      </c>
      <c r="G4405" s="1">
        <v>2.6625280575927501E-2</v>
      </c>
    </row>
    <row r="4406" spans="1:7">
      <c r="A4406">
        <v>378</v>
      </c>
      <c r="B4406">
        <v>226</v>
      </c>
      <c r="C4406" s="1">
        <f>(Tabela1[[#This Row],[x]]-H$3)*(Tabela1[[#This Row],[x]]-H$3) +(Tabela1[[#This Row],[y]]-H$4)*(Tabela1[[#This Row],[y]]-H$4)</f>
        <v>32360</v>
      </c>
      <c r="D4406" s="1">
        <f>IF(Tabela1[[#This Row],[promien]]&lt;40000,1,0)</f>
        <v>1</v>
      </c>
      <c r="E4406" s="1">
        <f>IF(Tabela1[[#This Row],[promien]]=40000,1,0)</f>
        <v>0</v>
      </c>
      <c r="F4406" s="1">
        <v>3.1684067181116657</v>
      </c>
      <c r="G4406" s="1">
        <v>2.6814064521872627E-2</v>
      </c>
    </row>
    <row r="4407" spans="1:7">
      <c r="A4407">
        <v>253</v>
      </c>
      <c r="B4407">
        <v>263</v>
      </c>
      <c r="C4407" s="1">
        <f>(Tabela1[[#This Row],[x]]-H$3)*(Tabela1[[#This Row],[x]]-H$3) +(Tabela1[[#This Row],[y]]-H$4)*(Tabela1[[#This Row],[y]]-H$4)</f>
        <v>6778</v>
      </c>
      <c r="D4407" s="1">
        <f>IF(Tabela1[[#This Row],[promien]]&lt;40000,1,0)</f>
        <v>1</v>
      </c>
      <c r="E4407" s="1">
        <f>IF(Tabela1[[#This Row],[promien]]=40000,1,0)</f>
        <v>0</v>
      </c>
      <c r="F4407" s="1">
        <v>3.168595416383027</v>
      </c>
      <c r="G4407" s="1">
        <v>2.7002762793233881E-2</v>
      </c>
    </row>
    <row r="4408" spans="1:7">
      <c r="A4408">
        <v>122</v>
      </c>
      <c r="B4408">
        <v>141</v>
      </c>
      <c r="C4408" s="1">
        <f>(Tabela1[[#This Row],[x]]-H$3)*(Tabela1[[#This Row],[x]]-H$3) +(Tabela1[[#This Row],[y]]-H$4)*(Tabela1[[#This Row],[y]]-H$4)</f>
        <v>9565</v>
      </c>
      <c r="D4408" s="1">
        <f>IF(Tabela1[[#This Row],[promien]]&lt;40000,1,0)</f>
        <v>1</v>
      </c>
      <c r="E4408" s="1">
        <f>IF(Tabela1[[#This Row],[promien]]=40000,1,0)</f>
        <v>0</v>
      </c>
      <c r="F4408" s="1">
        <v>3.1687840290381124</v>
      </c>
      <c r="G4408" s="1">
        <v>2.7191375448319288E-2</v>
      </c>
    </row>
    <row r="4409" spans="1:7">
      <c r="A4409">
        <v>277</v>
      </c>
      <c r="B4409">
        <v>157</v>
      </c>
      <c r="C4409" s="1">
        <f>(Tabela1[[#This Row],[x]]-H$3)*(Tabela1[[#This Row],[x]]-H$3) +(Tabela1[[#This Row],[y]]-H$4)*(Tabela1[[#This Row],[y]]-H$4)</f>
        <v>7778</v>
      </c>
      <c r="D4409" s="1">
        <f>IF(Tabela1[[#This Row],[promien]]&lt;40000,1,0)</f>
        <v>1</v>
      </c>
      <c r="E4409" s="1">
        <f>IF(Tabela1[[#This Row],[promien]]=40000,1,0)</f>
        <v>0</v>
      </c>
      <c r="F4409" s="1">
        <v>3.168972556135178</v>
      </c>
      <c r="G4409" s="1">
        <v>2.7379902545384915E-2</v>
      </c>
    </row>
    <row r="4410" spans="1:7">
      <c r="A4410">
        <v>69</v>
      </c>
      <c r="B4410">
        <v>209</v>
      </c>
      <c r="C4410" s="1">
        <f>(Tabela1[[#This Row],[x]]-H$3)*(Tabela1[[#This Row],[x]]-H$3) +(Tabela1[[#This Row],[y]]-H$4)*(Tabela1[[#This Row],[y]]-H$4)</f>
        <v>17242</v>
      </c>
      <c r="D4410" s="1">
        <f>IF(Tabela1[[#This Row],[promien]]&lt;40000,1,0)</f>
        <v>1</v>
      </c>
      <c r="E4410" s="1">
        <f>IF(Tabela1[[#This Row],[promien]]=40000,1,0)</f>
        <v>0</v>
      </c>
      <c r="F4410" s="1">
        <v>3.1691609977324262</v>
      </c>
      <c r="G4410" s="1">
        <v>2.7568344142633094E-2</v>
      </c>
    </row>
    <row r="4411" spans="1:7">
      <c r="A4411">
        <v>167</v>
      </c>
      <c r="B4411">
        <v>299</v>
      </c>
      <c r="C4411" s="1">
        <f>(Tabela1[[#This Row],[x]]-H$3)*(Tabela1[[#This Row],[x]]-H$3) +(Tabela1[[#This Row],[y]]-H$4)*(Tabela1[[#This Row],[y]]-H$4)</f>
        <v>10890</v>
      </c>
      <c r="D4411" s="1">
        <f>IF(Tabela1[[#This Row],[promien]]&lt;40000,1,0)</f>
        <v>1</v>
      </c>
      <c r="E4411" s="1">
        <f>IF(Tabela1[[#This Row],[promien]]=40000,1,0)</f>
        <v>0</v>
      </c>
      <c r="F4411" s="1">
        <v>3.1693493538880073</v>
      </c>
      <c r="G4411" s="1">
        <v>2.7756700298214199E-2</v>
      </c>
    </row>
    <row r="4412" spans="1:7">
      <c r="A4412">
        <v>74</v>
      </c>
      <c r="B4412">
        <v>319</v>
      </c>
      <c r="C4412" s="1">
        <f>(Tabela1[[#This Row],[x]]-H$3)*(Tabela1[[#This Row],[x]]-H$3) +(Tabela1[[#This Row],[y]]-H$4)*(Tabela1[[#This Row],[y]]-H$4)</f>
        <v>30037</v>
      </c>
      <c r="D4412" s="1">
        <f>IF(Tabela1[[#This Row],[promien]]&lt;40000,1,0)</f>
        <v>1</v>
      </c>
      <c r="E4412" s="1">
        <f>IF(Tabela1[[#This Row],[promien]]=40000,1,0)</f>
        <v>0</v>
      </c>
      <c r="F4412" s="1">
        <v>3.169537624660018</v>
      </c>
      <c r="G4412" s="1">
        <v>2.7944971070224867E-2</v>
      </c>
    </row>
    <row r="4413" spans="1:7">
      <c r="A4413">
        <v>131</v>
      </c>
      <c r="B4413">
        <v>81</v>
      </c>
      <c r="C4413" s="1">
        <f>(Tabela1[[#This Row],[x]]-H$3)*(Tabela1[[#This Row],[x]]-H$3) +(Tabela1[[#This Row],[y]]-H$4)*(Tabela1[[#This Row],[y]]-H$4)</f>
        <v>18922</v>
      </c>
      <c r="D4413" s="1">
        <f>IF(Tabela1[[#This Row],[promien]]&lt;40000,1,0)</f>
        <v>1</v>
      </c>
      <c r="E4413" s="1">
        <f>IF(Tabela1[[#This Row],[promien]]=40000,1,0)</f>
        <v>0</v>
      </c>
      <c r="F4413" s="1">
        <v>3.1697258101065033</v>
      </c>
      <c r="G4413" s="1">
        <v>2.8133156516710223E-2</v>
      </c>
    </row>
    <row r="4414" spans="1:7">
      <c r="A4414">
        <v>206</v>
      </c>
      <c r="B4414">
        <v>29</v>
      </c>
      <c r="C4414" s="1">
        <f>(Tabela1[[#This Row],[x]]-H$3)*(Tabela1[[#This Row],[x]]-H$3) +(Tabela1[[#This Row],[y]]-H$4)*(Tabela1[[#This Row],[y]]-H$4)</f>
        <v>29277</v>
      </c>
      <c r="D4414" s="1">
        <f>IF(Tabela1[[#This Row],[promien]]&lt;40000,1,0)</f>
        <v>1</v>
      </c>
      <c r="E4414" s="1">
        <f>IF(Tabela1[[#This Row],[promien]]=40000,1,0)</f>
        <v>0</v>
      </c>
      <c r="F4414" s="1">
        <v>3.1699139102854552</v>
      </c>
      <c r="G4414" s="1">
        <v>2.83212566956621E-2</v>
      </c>
    </row>
    <row r="4415" spans="1:7">
      <c r="A4415">
        <v>27</v>
      </c>
      <c r="B4415">
        <v>9</v>
      </c>
      <c r="C4415" s="1">
        <f>(Tabela1[[#This Row],[x]]-H$3)*(Tabela1[[#This Row],[x]]-H$3) +(Tabela1[[#This Row],[y]]-H$4)*(Tabela1[[#This Row],[y]]-H$4)</f>
        <v>66410</v>
      </c>
      <c r="D4415" s="1">
        <f>IF(Tabela1[[#This Row],[promien]]&lt;40000,1,0)</f>
        <v>0</v>
      </c>
      <c r="E4415" s="1">
        <f>IF(Tabela1[[#This Row],[promien]]=40000,1,0)</f>
        <v>0</v>
      </c>
      <c r="F4415" s="1">
        <v>3.1691959229898075</v>
      </c>
      <c r="G4415" s="1">
        <v>2.7603269400014341E-2</v>
      </c>
    </row>
    <row r="4416" spans="1:7">
      <c r="A4416">
        <v>54</v>
      </c>
      <c r="B4416">
        <v>225</v>
      </c>
      <c r="C4416" s="1">
        <f>(Tabela1[[#This Row],[x]]-H$3)*(Tabela1[[#This Row],[x]]-H$3) +(Tabela1[[#This Row],[y]]-H$4)*(Tabela1[[#This Row],[y]]-H$4)</f>
        <v>21941</v>
      </c>
      <c r="D4416" s="1">
        <f>IF(Tabela1[[#This Row],[promien]]&lt;40000,1,0)</f>
        <v>1</v>
      </c>
      <c r="E4416" s="1">
        <f>IF(Tabela1[[#This Row],[promien]]=40000,1,0)</f>
        <v>0</v>
      </c>
      <c r="F4416" s="1">
        <v>3.1693840579710146</v>
      </c>
      <c r="G4416" s="1">
        <v>2.7791404381221518E-2</v>
      </c>
    </row>
    <row r="4417" spans="1:7">
      <c r="A4417">
        <v>258</v>
      </c>
      <c r="B4417">
        <v>138</v>
      </c>
      <c r="C4417" s="1">
        <f>(Tabela1[[#This Row],[x]]-H$3)*(Tabela1[[#This Row],[x]]-H$3) +(Tabela1[[#This Row],[y]]-H$4)*(Tabela1[[#This Row],[y]]-H$4)</f>
        <v>7208</v>
      </c>
      <c r="D4417" s="1">
        <f>IF(Tabela1[[#This Row],[promien]]&lt;40000,1,0)</f>
        <v>1</v>
      </c>
      <c r="E4417" s="1">
        <f>IF(Tabela1[[#This Row],[promien]]=40000,1,0)</f>
        <v>0</v>
      </c>
      <c r="F4417" s="1">
        <v>3.1695721077654517</v>
      </c>
      <c r="G4417" s="1">
        <v>2.7979454175658613E-2</v>
      </c>
    </row>
    <row r="4418" spans="1:7">
      <c r="A4418">
        <v>258</v>
      </c>
      <c r="B4418">
        <v>110</v>
      </c>
      <c r="C4418" s="1">
        <f>(Tabela1[[#This Row],[x]]-H$3)*(Tabela1[[#This Row],[x]]-H$3) +(Tabela1[[#This Row],[y]]-H$4)*(Tabela1[[#This Row],[y]]-H$4)</f>
        <v>11464</v>
      </c>
      <c r="D4418" s="1">
        <f>IF(Tabela1[[#This Row],[promien]]&lt;40000,1,0)</f>
        <v>1</v>
      </c>
      <c r="E4418" s="1">
        <f>IF(Tabela1[[#This Row],[promien]]=40000,1,0)</f>
        <v>0</v>
      </c>
      <c r="F4418" s="1">
        <v>3.169760072430964</v>
      </c>
      <c r="G4418" s="1">
        <v>2.816741884117091E-2</v>
      </c>
    </row>
    <row r="4419" spans="1:7">
      <c r="A4419">
        <v>249</v>
      </c>
      <c r="B4419">
        <v>362</v>
      </c>
      <c r="C4419" s="1">
        <f>(Tabela1[[#This Row],[x]]-H$3)*(Tabela1[[#This Row],[x]]-H$3) +(Tabela1[[#This Row],[y]]-H$4)*(Tabela1[[#This Row],[y]]-H$4)</f>
        <v>28645</v>
      </c>
      <c r="D4419" s="1">
        <f>IF(Tabela1[[#This Row],[promien]]&lt;40000,1,0)</f>
        <v>1</v>
      </c>
      <c r="E4419" s="1">
        <f>IF(Tabela1[[#This Row],[promien]]=40000,1,0)</f>
        <v>0</v>
      </c>
      <c r="F4419" s="1">
        <v>3.1699479520253453</v>
      </c>
      <c r="G4419" s="1">
        <v>2.8355298435552179E-2</v>
      </c>
    </row>
    <row r="4420" spans="1:7">
      <c r="A4420">
        <v>97</v>
      </c>
      <c r="B4420">
        <v>336</v>
      </c>
      <c r="C4420" s="1">
        <f>(Tabela1[[#This Row],[x]]-H$3)*(Tabela1[[#This Row],[x]]-H$3) +(Tabela1[[#This Row],[y]]-H$4)*(Tabela1[[#This Row],[y]]-H$4)</f>
        <v>29105</v>
      </c>
      <c r="D4420" s="1">
        <f>IF(Tabela1[[#This Row],[promien]]&lt;40000,1,0)</f>
        <v>1</v>
      </c>
      <c r="E4420" s="1">
        <f>IF(Tabela1[[#This Row],[promien]]=40000,1,0)</f>
        <v>0</v>
      </c>
      <c r="F4420" s="1">
        <v>3.1701357466063347</v>
      </c>
      <c r="G4420" s="1">
        <v>2.8543093016541565E-2</v>
      </c>
    </row>
    <row r="4421" spans="1:7">
      <c r="A4421">
        <v>48</v>
      </c>
      <c r="B4421">
        <v>358</v>
      </c>
      <c r="C4421" s="1">
        <f>(Tabela1[[#This Row],[x]]-H$3)*(Tabela1[[#This Row],[x]]-H$3) +(Tabela1[[#This Row],[y]]-H$4)*(Tabela1[[#This Row],[y]]-H$4)</f>
        <v>48068</v>
      </c>
      <c r="D4421" s="1">
        <f>IF(Tabela1[[#This Row],[promien]]&lt;40000,1,0)</f>
        <v>0</v>
      </c>
      <c r="E4421" s="1">
        <f>IF(Tabela1[[#This Row],[promien]]=40000,1,0)</f>
        <v>0</v>
      </c>
      <c r="F4421" s="1">
        <v>3.1694186835557567</v>
      </c>
      <c r="G4421" s="1">
        <v>2.7826029965963617E-2</v>
      </c>
    </row>
    <row r="4422" spans="1:7">
      <c r="A4422">
        <v>77</v>
      </c>
      <c r="B4422">
        <v>98</v>
      </c>
      <c r="C4422" s="1">
        <f>(Tabela1[[#This Row],[x]]-H$3)*(Tabela1[[#This Row],[x]]-H$3) +(Tabela1[[#This Row],[y]]-H$4)*(Tabela1[[#This Row],[y]]-H$4)</f>
        <v>25533</v>
      </c>
      <c r="D4422" s="1">
        <f>IF(Tabela1[[#This Row],[promien]]&lt;40000,1,0)</f>
        <v>1</v>
      </c>
      <c r="E4422" s="1">
        <f>IF(Tabela1[[#This Row],[promien]]=40000,1,0)</f>
        <v>0</v>
      </c>
      <c r="F4422" s="1">
        <v>3.1696065128900948</v>
      </c>
      <c r="G4422" s="1">
        <v>2.8013859300301647E-2</v>
      </c>
    </row>
    <row r="4423" spans="1:7">
      <c r="A4423">
        <v>148</v>
      </c>
      <c r="B4423">
        <v>307</v>
      </c>
      <c r="C4423" s="1">
        <f>(Tabela1[[#This Row],[x]]-H$3)*(Tabela1[[#This Row],[x]]-H$3) +(Tabela1[[#This Row],[y]]-H$4)*(Tabela1[[#This Row],[y]]-H$4)</f>
        <v>14153</v>
      </c>
      <c r="D4423" s="1">
        <f>IF(Tabela1[[#This Row],[promien]]&lt;40000,1,0)</f>
        <v>1</v>
      </c>
      <c r="E4423" s="1">
        <f>IF(Tabela1[[#This Row],[promien]]=40000,1,0)</f>
        <v>0</v>
      </c>
      <c r="F4423" s="1">
        <v>3.1697942572914313</v>
      </c>
      <c r="G4423" s="1">
        <v>2.8201603701638156E-2</v>
      </c>
    </row>
    <row r="4424" spans="1:7">
      <c r="A4424">
        <v>349</v>
      </c>
      <c r="B4424">
        <v>343</v>
      </c>
      <c r="C4424" s="1">
        <f>(Tabela1[[#This Row],[x]]-H$3)*(Tabela1[[#This Row],[x]]-H$3) +(Tabela1[[#This Row],[y]]-H$4)*(Tabela1[[#This Row],[y]]-H$4)</f>
        <v>42650</v>
      </c>
      <c r="D4424" s="1">
        <f>IF(Tabela1[[#This Row],[promien]]&lt;40000,1,0)</f>
        <v>0</v>
      </c>
      <c r="E4424" s="1">
        <f>IF(Tabela1[[#This Row],[promien]]=40000,1,0)</f>
        <v>0</v>
      </c>
      <c r="F4424" s="1">
        <v>3.1690777576853528</v>
      </c>
      <c r="G4424" s="1">
        <v>2.7485104095559709E-2</v>
      </c>
    </row>
    <row r="4425" spans="1:7">
      <c r="A4425">
        <v>7</v>
      </c>
      <c r="B4425">
        <v>234</v>
      </c>
      <c r="C4425" s="1">
        <f>(Tabela1[[#This Row],[x]]-H$3)*(Tabela1[[#This Row],[x]]-H$3) +(Tabela1[[#This Row],[y]]-H$4)*(Tabela1[[#This Row],[y]]-H$4)</f>
        <v>38405</v>
      </c>
      <c r="D4425" s="1">
        <f>IF(Tabela1[[#This Row],[promien]]&lt;40000,1,0)</f>
        <v>1</v>
      </c>
      <c r="E4425" s="1">
        <f>IF(Tabela1[[#This Row],[promien]]=40000,1,0)</f>
        <v>0</v>
      </c>
      <c r="F4425" s="1">
        <v>3.1692655367231639</v>
      </c>
      <c r="G4425" s="1">
        <v>2.7672883133370796E-2</v>
      </c>
    </row>
    <row r="4426" spans="1:7">
      <c r="A4426">
        <v>108</v>
      </c>
      <c r="B4426">
        <v>248</v>
      </c>
      <c r="C4426" s="1">
        <f>(Tabela1[[#This Row],[x]]-H$3)*(Tabela1[[#This Row],[x]]-H$3) +(Tabela1[[#This Row],[y]]-H$4)*(Tabela1[[#This Row],[y]]-H$4)</f>
        <v>10768</v>
      </c>
      <c r="D4426" s="1">
        <f>IF(Tabela1[[#This Row],[promien]]&lt;40000,1,0)</f>
        <v>1</v>
      </c>
      <c r="E4426" s="1">
        <f>IF(Tabela1[[#This Row],[promien]]=40000,1,0)</f>
        <v>0</v>
      </c>
      <c r="F4426" s="1">
        <v>3.1694532309082692</v>
      </c>
      <c r="G4426" s="1">
        <v>2.7860577318476132E-2</v>
      </c>
    </row>
    <row r="4427" spans="1:7">
      <c r="A4427">
        <v>400</v>
      </c>
      <c r="B4427">
        <v>365</v>
      </c>
      <c r="C4427" s="1">
        <f>(Tabela1[[#This Row],[x]]-H$3)*(Tabela1[[#This Row],[x]]-H$3) +(Tabela1[[#This Row],[y]]-H$4)*(Tabela1[[#This Row],[y]]-H$4)</f>
        <v>67225</v>
      </c>
      <c r="D4427" s="1">
        <f>IF(Tabela1[[#This Row],[promien]]&lt;40000,1,0)</f>
        <v>0</v>
      </c>
      <c r="E4427" s="1">
        <f>IF(Tabela1[[#This Row],[promien]]=40000,1,0)</f>
        <v>0</v>
      </c>
      <c r="F4427" s="1">
        <v>3.1687372938784728</v>
      </c>
      <c r="G4427" s="1">
        <v>2.7144640288679689E-2</v>
      </c>
    </row>
    <row r="4428" spans="1:7">
      <c r="A4428">
        <v>339</v>
      </c>
      <c r="B4428">
        <v>318</v>
      </c>
      <c r="C4428" s="1">
        <f>(Tabela1[[#This Row],[x]]-H$3)*(Tabela1[[#This Row],[x]]-H$3) +(Tabela1[[#This Row],[y]]-H$4)*(Tabela1[[#This Row],[y]]-H$4)</f>
        <v>33245</v>
      </c>
      <c r="D4428" s="1">
        <f>IF(Tabela1[[#This Row],[promien]]&lt;40000,1,0)</f>
        <v>1</v>
      </c>
      <c r="E4428" s="1">
        <f>IF(Tabela1[[#This Row],[promien]]=40000,1,0)</f>
        <v>0</v>
      </c>
      <c r="F4428" s="1">
        <v>3.1689250225835592</v>
      </c>
      <c r="G4428" s="1">
        <v>2.7332368993766121E-2</v>
      </c>
    </row>
    <row r="4429" spans="1:7">
      <c r="A4429">
        <v>147</v>
      </c>
      <c r="B4429">
        <v>12</v>
      </c>
      <c r="C4429" s="1">
        <f>(Tabela1[[#This Row],[x]]-H$3)*(Tabela1[[#This Row],[x]]-H$3) +(Tabela1[[#This Row],[y]]-H$4)*(Tabela1[[#This Row],[y]]-H$4)</f>
        <v>38153</v>
      </c>
      <c r="D4429" s="1">
        <f>IF(Tabela1[[#This Row],[promien]]&lt;40000,1,0)</f>
        <v>1</v>
      </c>
      <c r="E4429" s="1">
        <f>IF(Tabela1[[#This Row],[promien]]=40000,1,0)</f>
        <v>0</v>
      </c>
      <c r="F4429" s="1">
        <v>3.1691126665161438</v>
      </c>
      <c r="G4429" s="1">
        <v>2.7520012926350645E-2</v>
      </c>
    </row>
    <row r="4430" spans="1:7">
      <c r="A4430">
        <v>348</v>
      </c>
      <c r="B4430">
        <v>375</v>
      </c>
      <c r="C4430" s="1">
        <f>(Tabela1[[#This Row],[x]]-H$3)*(Tabela1[[#This Row],[x]]-H$3) +(Tabela1[[#This Row],[y]]-H$4)*(Tabela1[[#This Row],[y]]-H$4)</f>
        <v>52529</v>
      </c>
      <c r="D4430" s="1">
        <f>IF(Tabela1[[#This Row],[promien]]&lt;40000,1,0)</f>
        <v>0</v>
      </c>
      <c r="E4430" s="1">
        <f>IF(Tabela1[[#This Row],[promien]]=40000,1,0)</f>
        <v>0</v>
      </c>
      <c r="F4430" s="1">
        <v>3.1683972911963885</v>
      </c>
      <c r="G4430" s="1">
        <v>2.680463760659535E-2</v>
      </c>
    </row>
    <row r="4431" spans="1:7">
      <c r="A4431">
        <v>206</v>
      </c>
      <c r="B4431">
        <v>155</v>
      </c>
      <c r="C4431" s="1">
        <f>(Tabela1[[#This Row],[x]]-H$3)*(Tabela1[[#This Row],[x]]-H$3) +(Tabela1[[#This Row],[y]]-H$4)*(Tabela1[[#This Row],[y]]-H$4)</f>
        <v>2061</v>
      </c>
      <c r="D4431" s="1">
        <f>IF(Tabela1[[#This Row],[promien]]&lt;40000,1,0)</f>
        <v>1</v>
      </c>
      <c r="E4431" s="1">
        <f>IF(Tabela1[[#This Row],[promien]]=40000,1,0)</f>
        <v>0</v>
      </c>
      <c r="F4431" s="1">
        <v>3.1685849695328367</v>
      </c>
      <c r="G4431" s="1">
        <v>2.6992315943043632E-2</v>
      </c>
    </row>
    <row r="4432" spans="1:7">
      <c r="A4432">
        <v>194</v>
      </c>
      <c r="B4432">
        <v>360</v>
      </c>
      <c r="C4432" s="1">
        <f>(Tabela1[[#This Row],[x]]-H$3)*(Tabela1[[#This Row],[x]]-H$3) +(Tabela1[[#This Row],[y]]-H$4)*(Tabela1[[#This Row],[y]]-H$4)</f>
        <v>25636</v>
      </c>
      <c r="D4432" s="1">
        <f>IF(Tabela1[[#This Row],[promien]]&lt;40000,1,0)</f>
        <v>1</v>
      </c>
      <c r="E4432" s="1">
        <f>IF(Tabela1[[#This Row],[promien]]=40000,1,0)</f>
        <v>0</v>
      </c>
      <c r="F4432" s="1">
        <v>3.1687725631768955</v>
      </c>
      <c r="G4432" s="1">
        <v>2.7179909587102369E-2</v>
      </c>
    </row>
    <row r="4433" spans="1:7">
      <c r="A4433">
        <v>111</v>
      </c>
      <c r="B4433">
        <v>189</v>
      </c>
      <c r="C4433" s="1">
        <f>(Tabela1[[#This Row],[x]]-H$3)*(Tabela1[[#This Row],[x]]-H$3) +(Tabela1[[#This Row],[y]]-H$4)*(Tabela1[[#This Row],[y]]-H$4)</f>
        <v>8042</v>
      </c>
      <c r="D4433" s="1">
        <f>IF(Tabela1[[#This Row],[promien]]&lt;40000,1,0)</f>
        <v>1</v>
      </c>
      <c r="E4433" s="1">
        <f>IF(Tabela1[[#This Row],[promien]]=40000,1,0)</f>
        <v>0</v>
      </c>
      <c r="F4433" s="1">
        <v>3.1689600721858788</v>
      </c>
      <c r="G4433" s="1">
        <v>2.7367418596085713E-2</v>
      </c>
    </row>
    <row r="4434" spans="1:7">
      <c r="A4434">
        <v>385</v>
      </c>
      <c r="B4434">
        <v>398</v>
      </c>
      <c r="C4434" s="1">
        <f>(Tabela1[[#This Row],[x]]-H$3)*(Tabela1[[#This Row],[x]]-H$3) +(Tabela1[[#This Row],[y]]-H$4)*(Tabela1[[#This Row],[y]]-H$4)</f>
        <v>73429</v>
      </c>
      <c r="D4434" s="1">
        <f>IF(Tabela1[[#This Row],[promien]]&lt;40000,1,0)</f>
        <v>0</v>
      </c>
      <c r="E4434" s="1">
        <f>IF(Tabela1[[#This Row],[promien]]=40000,1,0)</f>
        <v>0</v>
      </c>
      <c r="F4434" s="1">
        <v>3.1682453766350926</v>
      </c>
      <c r="G4434" s="1">
        <v>2.6652723045299531E-2</v>
      </c>
    </row>
    <row r="4435" spans="1:7">
      <c r="A4435">
        <v>217</v>
      </c>
      <c r="B4435">
        <v>88</v>
      </c>
      <c r="C4435" s="1">
        <f>(Tabela1[[#This Row],[x]]-H$3)*(Tabela1[[#This Row],[x]]-H$3) +(Tabela1[[#This Row],[y]]-H$4)*(Tabela1[[#This Row],[y]]-H$4)</f>
        <v>12833</v>
      </c>
      <c r="D4435" s="1">
        <f>IF(Tabela1[[#This Row],[promien]]&lt;40000,1,0)</f>
        <v>1</v>
      </c>
      <c r="E4435" s="1">
        <f>IF(Tabela1[[#This Row],[promien]]=40000,1,0)</f>
        <v>0</v>
      </c>
      <c r="F4435" s="1">
        <v>3.1684329199549044</v>
      </c>
      <c r="G4435" s="1">
        <v>2.6840266365111276E-2</v>
      </c>
    </row>
    <row r="4436" spans="1:7">
      <c r="A4436">
        <v>207</v>
      </c>
      <c r="B4436">
        <v>166</v>
      </c>
      <c r="C4436" s="1">
        <f>(Tabela1[[#This Row],[x]]-H$3)*(Tabela1[[#This Row],[x]]-H$3) +(Tabela1[[#This Row],[y]]-H$4)*(Tabela1[[#This Row],[y]]-H$4)</f>
        <v>1205</v>
      </c>
      <c r="D4436" s="1">
        <f>IF(Tabela1[[#This Row],[promien]]&lt;40000,1,0)</f>
        <v>1</v>
      </c>
      <c r="E4436" s="1">
        <f>IF(Tabela1[[#This Row],[promien]]=40000,1,0)</f>
        <v>0</v>
      </c>
      <c r="F4436" s="1">
        <v>3.168620378719567</v>
      </c>
      <c r="G4436" s="1">
        <v>2.7027725129773916E-2</v>
      </c>
    </row>
    <row r="4437" spans="1:7">
      <c r="A4437">
        <v>17</v>
      </c>
      <c r="B4437">
        <v>335</v>
      </c>
      <c r="C4437" s="1">
        <f>(Tabela1[[#This Row],[x]]-H$3)*(Tabela1[[#This Row],[x]]-H$3) +(Tabela1[[#This Row],[y]]-H$4)*(Tabela1[[#This Row],[y]]-H$4)</f>
        <v>51714</v>
      </c>
      <c r="D4437" s="1">
        <f>IF(Tabela1[[#This Row],[promien]]&lt;40000,1,0)</f>
        <v>0</v>
      </c>
      <c r="E4437" s="1">
        <f>IF(Tabela1[[#This Row],[promien]]=40000,1,0)</f>
        <v>0</v>
      </c>
      <c r="F4437" s="1">
        <v>3.1679062429569531</v>
      </c>
      <c r="G4437" s="1">
        <v>2.6313589367159995E-2</v>
      </c>
    </row>
    <row r="4438" spans="1:7">
      <c r="A4438">
        <v>333</v>
      </c>
      <c r="B4438">
        <v>160</v>
      </c>
      <c r="C4438" s="1">
        <f>(Tabela1[[#This Row],[x]]-H$3)*(Tabela1[[#This Row],[x]]-H$3) +(Tabela1[[#This Row],[y]]-H$4)*(Tabela1[[#This Row],[y]]-H$4)</f>
        <v>19289</v>
      </c>
      <c r="D4438" s="1">
        <f>IF(Tabela1[[#This Row],[promien]]&lt;40000,1,0)</f>
        <v>1</v>
      </c>
      <c r="E4438" s="1">
        <f>IF(Tabela1[[#This Row],[promien]]=40000,1,0)</f>
        <v>0</v>
      </c>
      <c r="F4438" s="1">
        <v>3.1680937359170795</v>
      </c>
      <c r="G4438" s="1">
        <v>2.6501082327286429E-2</v>
      </c>
    </row>
    <row r="4439" spans="1:7">
      <c r="A4439">
        <v>61</v>
      </c>
      <c r="B4439">
        <v>137</v>
      </c>
      <c r="C4439" s="1">
        <f>(Tabela1[[#This Row],[x]]-H$3)*(Tabela1[[#This Row],[x]]-H$3) +(Tabela1[[#This Row],[y]]-H$4)*(Tabela1[[#This Row],[y]]-H$4)</f>
        <v>23290</v>
      </c>
      <c r="D4439" s="1">
        <f>IF(Tabela1[[#This Row],[promien]]&lt;40000,1,0)</f>
        <v>1</v>
      </c>
      <c r="E4439" s="1">
        <f>IF(Tabela1[[#This Row],[promien]]=40000,1,0)</f>
        <v>0</v>
      </c>
      <c r="F4439" s="1">
        <v>3.1682811444018921</v>
      </c>
      <c r="G4439" s="1">
        <v>2.6688490812099008E-2</v>
      </c>
    </row>
    <row r="4440" spans="1:7">
      <c r="A4440">
        <v>33</v>
      </c>
      <c r="B4440">
        <v>371</v>
      </c>
      <c r="C4440" s="1">
        <f>(Tabela1[[#This Row],[x]]-H$3)*(Tabela1[[#This Row],[x]]-H$3) +(Tabela1[[#This Row],[y]]-H$4)*(Tabela1[[#This Row],[y]]-H$4)</f>
        <v>57130</v>
      </c>
      <c r="D4440" s="1">
        <f>IF(Tabela1[[#This Row],[promien]]&lt;40000,1,0)</f>
        <v>0</v>
      </c>
      <c r="E4440" s="1">
        <f>IF(Tabela1[[#This Row],[promien]]=40000,1,0)</f>
        <v>0</v>
      </c>
      <c r="F4440" s="1">
        <v>3.1675675675675676</v>
      </c>
      <c r="G4440" s="1">
        <v>2.5974913977774516E-2</v>
      </c>
    </row>
    <row r="4441" spans="1:7">
      <c r="A4441">
        <v>152</v>
      </c>
      <c r="B4441">
        <v>245</v>
      </c>
      <c r="C4441" s="1">
        <f>(Tabela1[[#This Row],[x]]-H$3)*(Tabela1[[#This Row],[x]]-H$3) +(Tabela1[[#This Row],[y]]-H$4)*(Tabela1[[#This Row],[y]]-H$4)</f>
        <v>4329</v>
      </c>
      <c r="D4441" s="1">
        <f>IF(Tabela1[[#This Row],[promien]]&lt;40000,1,0)</f>
        <v>1</v>
      </c>
      <c r="E4441" s="1">
        <f>IF(Tabela1[[#This Row],[promien]]=40000,1,0)</f>
        <v>0</v>
      </c>
      <c r="F4441" s="1">
        <v>3.1677550101328529</v>
      </c>
      <c r="G4441" s="1">
        <v>2.6162356543059762E-2</v>
      </c>
    </row>
    <row r="4442" spans="1:7">
      <c r="A4442">
        <v>72</v>
      </c>
      <c r="B4442">
        <v>306</v>
      </c>
      <c r="C4442" s="1">
        <f>(Tabela1[[#This Row],[x]]-H$3)*(Tabela1[[#This Row],[x]]-H$3) +(Tabela1[[#This Row],[y]]-H$4)*(Tabela1[[#This Row],[y]]-H$4)</f>
        <v>27620</v>
      </c>
      <c r="D4442" s="1">
        <f>IF(Tabela1[[#This Row],[promien]]&lt;40000,1,0)</f>
        <v>1</v>
      </c>
      <c r="E4442" s="1">
        <f>IF(Tabela1[[#This Row],[promien]]=40000,1,0)</f>
        <v>0</v>
      </c>
      <c r="F4442" s="1">
        <v>3.1679423683025663</v>
      </c>
      <c r="G4442" s="1">
        <v>2.6349714712773142E-2</v>
      </c>
    </row>
    <row r="4443" spans="1:7">
      <c r="A4443">
        <v>362</v>
      </c>
      <c r="B4443">
        <v>334</v>
      </c>
      <c r="C4443" s="1">
        <f>(Tabela1[[#This Row],[x]]-H$3)*(Tabela1[[#This Row],[x]]-H$3) +(Tabela1[[#This Row],[y]]-H$4)*(Tabela1[[#This Row],[y]]-H$4)</f>
        <v>44200</v>
      </c>
      <c r="D4443" s="1">
        <f>IF(Tabela1[[#This Row],[promien]]&lt;40000,1,0)</f>
        <v>0</v>
      </c>
      <c r="E4443" s="1">
        <f>IF(Tabela1[[#This Row],[promien]]=40000,1,0)</f>
        <v>0</v>
      </c>
      <c r="F4443" s="1">
        <v>3.1672293495386001</v>
      </c>
      <c r="G4443" s="1">
        <v>2.563669594880702E-2</v>
      </c>
    </row>
    <row r="4444" spans="1:7">
      <c r="A4444">
        <v>317</v>
      </c>
      <c r="B4444">
        <v>390</v>
      </c>
      <c r="C4444" s="1">
        <f>(Tabela1[[#This Row],[x]]-H$3)*(Tabela1[[#This Row],[x]]-H$3) +(Tabela1[[#This Row],[y]]-H$4)*(Tabela1[[#This Row],[y]]-H$4)</f>
        <v>49789</v>
      </c>
      <c r="D4444" s="1">
        <f>IF(Tabela1[[#This Row],[promien]]&lt;40000,1,0)</f>
        <v>0</v>
      </c>
      <c r="E4444" s="1">
        <f>IF(Tabela1[[#This Row],[promien]]=40000,1,0)</f>
        <v>0</v>
      </c>
      <c r="F4444" s="1">
        <v>3.1665166516651664</v>
      </c>
      <c r="G4444" s="1">
        <v>2.4923998075373266E-2</v>
      </c>
    </row>
    <row r="4445" spans="1:7">
      <c r="A4445">
        <v>170</v>
      </c>
      <c r="B4445">
        <v>316</v>
      </c>
      <c r="C4445" s="1">
        <f>(Tabela1[[#This Row],[x]]-H$3)*(Tabela1[[#This Row],[x]]-H$3) +(Tabela1[[#This Row],[y]]-H$4)*(Tabela1[[#This Row],[y]]-H$4)</f>
        <v>14356</v>
      </c>
      <c r="D4445" s="1">
        <f>IF(Tabela1[[#This Row],[promien]]&lt;40000,1,0)</f>
        <v>1</v>
      </c>
      <c r="E4445" s="1">
        <f>IF(Tabela1[[#This Row],[promien]]=40000,1,0)</f>
        <v>0</v>
      </c>
      <c r="F4445" s="1">
        <v>3.1667041619797525</v>
      </c>
      <c r="G4445" s="1">
        <v>2.5111508389959347E-2</v>
      </c>
    </row>
    <row r="4446" spans="1:7">
      <c r="A4446">
        <v>318</v>
      </c>
      <c r="B4446">
        <v>219</v>
      </c>
      <c r="C4446" s="1">
        <f>(Tabela1[[#This Row],[x]]-H$3)*(Tabela1[[#This Row],[x]]-H$3) +(Tabela1[[#This Row],[y]]-H$4)*(Tabela1[[#This Row],[y]]-H$4)</f>
        <v>14285</v>
      </c>
      <c r="D4446" s="1">
        <f>IF(Tabela1[[#This Row],[promien]]&lt;40000,1,0)</f>
        <v>1</v>
      </c>
      <c r="E4446" s="1">
        <f>IF(Tabela1[[#This Row],[promien]]=40000,1,0)</f>
        <v>0</v>
      </c>
      <c r="F4446" s="1">
        <v>3.1668915879442197</v>
      </c>
      <c r="G4446" s="1">
        <v>2.5298934354426539E-2</v>
      </c>
    </row>
    <row r="4447" spans="1:7">
      <c r="A4447">
        <v>390</v>
      </c>
      <c r="B4447">
        <v>343</v>
      </c>
      <c r="C4447" s="1">
        <f>(Tabela1[[#This Row],[x]]-H$3)*(Tabela1[[#This Row],[x]]-H$3) +(Tabela1[[#This Row],[y]]-H$4)*(Tabela1[[#This Row],[y]]-H$4)</f>
        <v>56549</v>
      </c>
      <c r="D4447" s="1">
        <f>IF(Tabela1[[#This Row],[promien]]&lt;40000,1,0)</f>
        <v>0</v>
      </c>
      <c r="E4447" s="1">
        <f>IF(Tabela1[[#This Row],[promien]]=40000,1,0)</f>
        <v>0</v>
      </c>
      <c r="F4447" s="1">
        <v>3.1661794468180795</v>
      </c>
      <c r="G4447" s="1">
        <v>2.4586793228286385E-2</v>
      </c>
    </row>
    <row r="4448" spans="1:7">
      <c r="A4448">
        <v>176</v>
      </c>
      <c r="B4448">
        <v>25</v>
      </c>
      <c r="C4448" s="1">
        <f>(Tabela1[[#This Row],[x]]-H$3)*(Tabela1[[#This Row],[x]]-H$3) +(Tabela1[[#This Row],[y]]-H$4)*(Tabela1[[#This Row],[y]]-H$4)</f>
        <v>31201</v>
      </c>
      <c r="D4448" s="1">
        <f>IF(Tabela1[[#This Row],[promien]]&lt;40000,1,0)</f>
        <v>1</v>
      </c>
      <c r="E4448" s="1">
        <f>IF(Tabela1[[#This Row],[promien]]=40000,1,0)</f>
        <v>0</v>
      </c>
      <c r="F4448" s="1">
        <v>3.1663669064748201</v>
      </c>
      <c r="G4448" s="1">
        <v>2.4774252885026993E-2</v>
      </c>
    </row>
    <row r="4449" spans="1:7">
      <c r="A4449">
        <v>335</v>
      </c>
      <c r="B4449">
        <v>81</v>
      </c>
      <c r="C4449" s="1">
        <f>(Tabela1[[#This Row],[x]]-H$3)*(Tabela1[[#This Row],[x]]-H$3) +(Tabela1[[#This Row],[y]]-H$4)*(Tabela1[[#This Row],[y]]-H$4)</f>
        <v>32386</v>
      </c>
      <c r="D4449" s="1">
        <f>IF(Tabela1[[#This Row],[promien]]&lt;40000,1,0)</f>
        <v>1</v>
      </c>
      <c r="E4449" s="1">
        <f>IF(Tabela1[[#This Row],[promien]]=40000,1,0)</f>
        <v>0</v>
      </c>
      <c r="F4449" s="1">
        <v>3.1665542818610923</v>
      </c>
      <c r="G4449" s="1">
        <v>2.4961628271299219E-2</v>
      </c>
    </row>
    <row r="4450" spans="1:7">
      <c r="A4450">
        <v>272</v>
      </c>
      <c r="B4450">
        <v>376</v>
      </c>
      <c r="C4450" s="1">
        <f>(Tabela1[[#This Row],[x]]-H$3)*(Tabela1[[#This Row],[x]]-H$3) +(Tabela1[[#This Row],[y]]-H$4)*(Tabela1[[#This Row],[y]]-H$4)</f>
        <v>36160</v>
      </c>
      <c r="D4450" s="1">
        <f>IF(Tabela1[[#This Row],[promien]]&lt;40000,1,0)</f>
        <v>1</v>
      </c>
      <c r="E4450" s="1">
        <f>IF(Tabela1[[#This Row],[promien]]=40000,1,0)</f>
        <v>0</v>
      </c>
      <c r="F4450" s="1">
        <v>3.1667415730337081</v>
      </c>
      <c r="G4450" s="1">
        <v>2.5148919443914952E-2</v>
      </c>
    </row>
    <row r="4451" spans="1:7">
      <c r="A4451">
        <v>361</v>
      </c>
      <c r="B4451">
        <v>398</v>
      </c>
      <c r="C4451" s="1">
        <f>(Tabela1[[#This Row],[x]]-H$3)*(Tabela1[[#This Row],[x]]-H$3) +(Tabela1[[#This Row],[y]]-H$4)*(Tabela1[[#This Row],[y]]-H$4)</f>
        <v>65125</v>
      </c>
      <c r="D4451" s="1">
        <f>IF(Tabela1[[#This Row],[promien]]&lt;40000,1,0)</f>
        <v>0</v>
      </c>
      <c r="E4451" s="1">
        <f>IF(Tabela1[[#This Row],[promien]]=40000,1,0)</f>
        <v>0</v>
      </c>
      <c r="F4451" s="1">
        <v>3.1660301055942486</v>
      </c>
      <c r="G4451" s="1">
        <v>2.4437452004455462E-2</v>
      </c>
    </row>
    <row r="4452" spans="1:7">
      <c r="A4452">
        <v>24</v>
      </c>
      <c r="B4452">
        <v>218</v>
      </c>
      <c r="C4452" s="1">
        <f>(Tabela1[[#This Row],[x]]-H$3)*(Tabela1[[#This Row],[x]]-H$3) +(Tabela1[[#This Row],[y]]-H$4)*(Tabela1[[#This Row],[y]]-H$4)</f>
        <v>31300</v>
      </c>
      <c r="D4452" s="1">
        <f>IF(Tabela1[[#This Row],[promien]]&lt;40000,1,0)</f>
        <v>1</v>
      </c>
      <c r="E4452" s="1">
        <f>IF(Tabela1[[#This Row],[promien]]=40000,1,0)</f>
        <v>0</v>
      </c>
      <c r="F4452" s="1">
        <v>3.1662174303683739</v>
      </c>
      <c r="G4452" s="1">
        <v>2.462477677858077E-2</v>
      </c>
    </row>
    <row r="4453" spans="1:7">
      <c r="A4453">
        <v>287</v>
      </c>
      <c r="B4453">
        <v>6</v>
      </c>
      <c r="C4453" s="1">
        <f>(Tabela1[[#This Row],[x]]-H$3)*(Tabela1[[#This Row],[x]]-H$3) +(Tabela1[[#This Row],[y]]-H$4)*(Tabela1[[#This Row],[y]]-H$4)</f>
        <v>45205</v>
      </c>
      <c r="D4453" s="1">
        <f>IF(Tabela1[[#This Row],[promien]]&lt;40000,1,0)</f>
        <v>0</v>
      </c>
      <c r="E4453" s="1">
        <f>IF(Tabela1[[#This Row],[promien]]=40000,1,0)</f>
        <v>0</v>
      </c>
      <c r="F4453" s="1">
        <v>3.165506400179654</v>
      </c>
      <c r="G4453" s="1">
        <v>2.3913746589860896E-2</v>
      </c>
    </row>
    <row r="4454" spans="1:7">
      <c r="A4454">
        <v>149</v>
      </c>
      <c r="B4454">
        <v>362</v>
      </c>
      <c r="C4454" s="1">
        <f>(Tabela1[[#This Row],[x]]-H$3)*(Tabela1[[#This Row],[x]]-H$3) +(Tabela1[[#This Row],[y]]-H$4)*(Tabela1[[#This Row],[y]]-H$4)</f>
        <v>28845</v>
      </c>
      <c r="D4454" s="1">
        <f>IF(Tabela1[[#This Row],[promien]]&lt;40000,1,0)</f>
        <v>1</v>
      </c>
      <c r="E4454" s="1">
        <f>IF(Tabela1[[#This Row],[promien]]=40000,1,0)</f>
        <v>0</v>
      </c>
      <c r="F4454" s="1">
        <v>3.1656937584193985</v>
      </c>
      <c r="G4454" s="1">
        <v>2.4101104829605369E-2</v>
      </c>
    </row>
    <row r="4455" spans="1:7">
      <c r="A4455">
        <v>247</v>
      </c>
      <c r="B4455">
        <v>79</v>
      </c>
      <c r="C4455" s="1">
        <f>(Tabela1[[#This Row],[x]]-H$3)*(Tabela1[[#This Row],[x]]-H$3) +(Tabela1[[#This Row],[y]]-H$4)*(Tabela1[[#This Row],[y]]-H$4)</f>
        <v>16850</v>
      </c>
      <c r="D4455" s="1">
        <f>IF(Tabela1[[#This Row],[promien]]&lt;40000,1,0)</f>
        <v>1</v>
      </c>
      <c r="E4455" s="1">
        <f>IF(Tabela1[[#This Row],[promien]]=40000,1,0)</f>
        <v>0</v>
      </c>
      <c r="F4455" s="1">
        <v>3.1658810325476994</v>
      </c>
      <c r="G4455" s="1">
        <v>2.4288378957906254E-2</v>
      </c>
    </row>
    <row r="4456" spans="1:7">
      <c r="A4456">
        <v>345</v>
      </c>
      <c r="B4456">
        <v>336</v>
      </c>
      <c r="C4456" s="1">
        <f>(Tabela1[[#This Row],[x]]-H$3)*(Tabela1[[#This Row],[x]]-H$3) +(Tabela1[[#This Row],[y]]-H$4)*(Tabela1[[#This Row],[y]]-H$4)</f>
        <v>39521</v>
      </c>
      <c r="D4456" s="1">
        <f>IF(Tabela1[[#This Row],[promien]]&lt;40000,1,0)</f>
        <v>1</v>
      </c>
      <c r="E4456" s="1">
        <f>IF(Tabela1[[#This Row],[promien]]=40000,1,0)</f>
        <v>0</v>
      </c>
      <c r="F4456" s="1">
        <v>3.1660682226211847</v>
      </c>
      <c r="G4456" s="1">
        <v>2.4475569031391586E-2</v>
      </c>
    </row>
    <row r="4457" spans="1:7">
      <c r="A4457">
        <v>113</v>
      </c>
      <c r="B4457">
        <v>318</v>
      </c>
      <c r="C4457" s="1">
        <f>(Tabela1[[#This Row],[x]]-H$3)*(Tabela1[[#This Row],[x]]-H$3) +(Tabela1[[#This Row],[y]]-H$4)*(Tabela1[[#This Row],[y]]-H$4)</f>
        <v>21493</v>
      </c>
      <c r="D4457" s="1">
        <f>IF(Tabela1[[#This Row],[promien]]&lt;40000,1,0)</f>
        <v>1</v>
      </c>
      <c r="E4457" s="1">
        <f>IF(Tabela1[[#This Row],[promien]]=40000,1,0)</f>
        <v>0</v>
      </c>
      <c r="F4457" s="1">
        <v>3.1662553286964328</v>
      </c>
      <c r="G4457" s="1">
        <v>2.4662675106639664E-2</v>
      </c>
    </row>
    <row r="4458" spans="1:7">
      <c r="A4458">
        <v>259</v>
      </c>
      <c r="B4458">
        <v>192</v>
      </c>
      <c r="C4458" s="1">
        <f>(Tabela1[[#This Row],[x]]-H$3)*(Tabela1[[#This Row],[x]]-H$3) +(Tabela1[[#This Row],[y]]-H$4)*(Tabela1[[#This Row],[y]]-H$4)</f>
        <v>3545</v>
      </c>
      <c r="D4458" s="1">
        <f>IF(Tabela1[[#This Row],[promien]]&lt;40000,1,0)</f>
        <v>1</v>
      </c>
      <c r="E4458" s="1">
        <f>IF(Tabela1[[#This Row],[promien]]=40000,1,0)</f>
        <v>0</v>
      </c>
      <c r="F4458" s="1">
        <v>3.1664423508299686</v>
      </c>
      <c r="G4458" s="1">
        <v>2.4849697240175495E-2</v>
      </c>
    </row>
    <row r="4459" spans="1:7">
      <c r="A4459">
        <v>253</v>
      </c>
      <c r="B4459">
        <v>260</v>
      </c>
      <c r="C4459" s="1">
        <f>(Tabela1[[#This Row],[x]]-H$3)*(Tabela1[[#This Row],[x]]-H$3) +(Tabela1[[#This Row],[y]]-H$4)*(Tabela1[[#This Row],[y]]-H$4)</f>
        <v>6409</v>
      </c>
      <c r="D4459" s="1">
        <f>IF(Tabela1[[#This Row],[promien]]&lt;40000,1,0)</f>
        <v>1</v>
      </c>
      <c r="E4459" s="1">
        <f>IF(Tabela1[[#This Row],[promien]]=40000,1,0)</f>
        <v>0</v>
      </c>
      <c r="F4459" s="1">
        <v>3.1666292890782688</v>
      </c>
      <c r="G4459" s="1">
        <v>2.5036635488475678E-2</v>
      </c>
    </row>
    <row r="4460" spans="1:7">
      <c r="A4460">
        <v>3</v>
      </c>
      <c r="B4460">
        <v>230</v>
      </c>
      <c r="C4460" s="1">
        <f>(Tabela1[[#This Row],[x]]-H$3)*(Tabela1[[#This Row],[x]]-H$3) +(Tabela1[[#This Row],[y]]-H$4)*(Tabela1[[#This Row],[y]]-H$4)</f>
        <v>39709</v>
      </c>
      <c r="D4460" s="1">
        <f>IF(Tabela1[[#This Row],[promien]]&lt;40000,1,0)</f>
        <v>1</v>
      </c>
      <c r="E4460" s="1">
        <f>IF(Tabela1[[#This Row],[promien]]=40000,1,0)</f>
        <v>0</v>
      </c>
      <c r="F4460" s="1">
        <v>3.166816143497758</v>
      </c>
      <c r="G4460" s="1">
        <v>2.5223489907964858E-2</v>
      </c>
    </row>
    <row r="4461" spans="1:7">
      <c r="A4461">
        <v>260</v>
      </c>
      <c r="B4461">
        <v>205</v>
      </c>
      <c r="C4461" s="1">
        <f>(Tabela1[[#This Row],[x]]-H$3)*(Tabela1[[#This Row],[x]]-H$3) +(Tabela1[[#This Row],[y]]-H$4)*(Tabela1[[#This Row],[y]]-H$4)</f>
        <v>3625</v>
      </c>
      <c r="D4461" s="1">
        <f>IF(Tabela1[[#This Row],[promien]]&lt;40000,1,0)</f>
        <v>1</v>
      </c>
      <c r="E4461" s="1">
        <f>IF(Tabela1[[#This Row],[promien]]=40000,1,0)</f>
        <v>0</v>
      </c>
      <c r="F4461" s="1">
        <v>3.1670029141448106</v>
      </c>
      <c r="G4461" s="1">
        <v>2.5410260555017494E-2</v>
      </c>
    </row>
    <row r="4462" spans="1:7">
      <c r="A4462">
        <v>273</v>
      </c>
      <c r="B4462">
        <v>172</v>
      </c>
      <c r="C4462" s="1">
        <f>(Tabela1[[#This Row],[x]]-H$3)*(Tabela1[[#This Row],[x]]-H$3) +(Tabela1[[#This Row],[y]]-H$4)*(Tabela1[[#This Row],[y]]-H$4)</f>
        <v>6113</v>
      </c>
      <c r="D4462" s="1">
        <f>IF(Tabela1[[#This Row],[promien]]&lt;40000,1,0)</f>
        <v>1</v>
      </c>
      <c r="E4462" s="1">
        <f>IF(Tabela1[[#This Row],[promien]]=40000,1,0)</f>
        <v>0</v>
      </c>
      <c r="F4462" s="1">
        <v>3.167189601075751</v>
      </c>
      <c r="G4462" s="1">
        <v>2.5596947485957866E-2</v>
      </c>
    </row>
    <row r="4463" spans="1:7">
      <c r="A4463">
        <v>207</v>
      </c>
      <c r="B4463">
        <v>78</v>
      </c>
      <c r="C4463" s="1">
        <f>(Tabela1[[#This Row],[x]]-H$3)*(Tabela1[[#This Row],[x]]-H$3) +(Tabela1[[#This Row],[y]]-H$4)*(Tabela1[[#This Row],[y]]-H$4)</f>
        <v>14933</v>
      </c>
      <c r="D4463" s="1">
        <f>IF(Tabela1[[#This Row],[promien]]&lt;40000,1,0)</f>
        <v>1</v>
      </c>
      <c r="E4463" s="1">
        <f>IF(Tabela1[[#This Row],[promien]]=40000,1,0)</f>
        <v>0</v>
      </c>
      <c r="F4463" s="1">
        <v>3.1673762043468519</v>
      </c>
      <c r="G4463" s="1">
        <v>2.5783550757058737E-2</v>
      </c>
    </row>
    <row r="4464" spans="1:7">
      <c r="A4464">
        <v>223</v>
      </c>
      <c r="B4464">
        <v>70</v>
      </c>
      <c r="C4464" s="1">
        <f>(Tabela1[[#This Row],[x]]-H$3)*(Tabela1[[#This Row],[x]]-H$3) +(Tabela1[[#This Row],[y]]-H$4)*(Tabela1[[#This Row],[y]]-H$4)</f>
        <v>17429</v>
      </c>
      <c r="D4464" s="1">
        <f>IF(Tabela1[[#This Row],[promien]]&lt;40000,1,0)</f>
        <v>1</v>
      </c>
      <c r="E4464" s="1">
        <f>IF(Tabela1[[#This Row],[promien]]=40000,1,0)</f>
        <v>0</v>
      </c>
      <c r="F4464" s="1">
        <v>3.1675627240143371</v>
      </c>
      <c r="G4464" s="1">
        <v>2.5970070424544023E-2</v>
      </c>
    </row>
    <row r="4465" spans="1:7">
      <c r="A4465">
        <v>65</v>
      </c>
      <c r="B4465">
        <v>340</v>
      </c>
      <c r="C4465" s="1">
        <f>(Tabela1[[#This Row],[x]]-H$3)*(Tabela1[[#This Row],[x]]-H$3) +(Tabela1[[#This Row],[y]]-H$4)*(Tabela1[[#This Row],[y]]-H$4)</f>
        <v>37825</v>
      </c>
      <c r="D4465" s="1">
        <f>IF(Tabela1[[#This Row],[promien]]&lt;40000,1,0)</f>
        <v>1</v>
      </c>
      <c r="E4465" s="1">
        <f>IF(Tabela1[[#This Row],[promien]]=40000,1,0)</f>
        <v>0</v>
      </c>
      <c r="F4465" s="1">
        <v>3.1677491601343784</v>
      </c>
      <c r="G4465" s="1">
        <v>2.6156506544585234E-2</v>
      </c>
    </row>
    <row r="4466" spans="1:7">
      <c r="A4466">
        <v>257</v>
      </c>
      <c r="B4466">
        <v>83</v>
      </c>
      <c r="C4466" s="1">
        <f>(Tabela1[[#This Row],[x]]-H$3)*(Tabela1[[#This Row],[x]]-H$3) +(Tabela1[[#This Row],[y]]-H$4)*(Tabela1[[#This Row],[y]]-H$4)</f>
        <v>16938</v>
      </c>
      <c r="D4466" s="1">
        <f>IF(Tabela1[[#This Row],[promien]]&lt;40000,1,0)</f>
        <v>1</v>
      </c>
      <c r="E4466" s="1">
        <f>IF(Tabela1[[#This Row],[promien]]=40000,1,0)</f>
        <v>0</v>
      </c>
      <c r="F4466" s="1">
        <v>3.167935512763099</v>
      </c>
      <c r="G4466" s="1">
        <v>2.6342859173305921E-2</v>
      </c>
    </row>
    <row r="4467" spans="1:7">
      <c r="A4467">
        <v>241</v>
      </c>
      <c r="B4467">
        <v>143</v>
      </c>
      <c r="C4467" s="1">
        <f>(Tabela1[[#This Row],[x]]-H$3)*(Tabela1[[#This Row],[x]]-H$3) +(Tabela1[[#This Row],[y]]-H$4)*(Tabela1[[#This Row],[y]]-H$4)</f>
        <v>4930</v>
      </c>
      <c r="D4467" s="1">
        <f>IF(Tabela1[[#This Row],[promien]]&lt;40000,1,0)</f>
        <v>1</v>
      </c>
      <c r="E4467" s="1">
        <f>IF(Tabela1[[#This Row],[promien]]=40000,1,0)</f>
        <v>0</v>
      </c>
      <c r="F4467" s="1">
        <v>3.1681217819565703</v>
      </c>
      <c r="G4467" s="1">
        <v>2.6529128366777233E-2</v>
      </c>
    </row>
    <row r="4468" spans="1:7">
      <c r="A4468">
        <v>55</v>
      </c>
      <c r="B4468">
        <v>71</v>
      </c>
      <c r="C4468" s="1">
        <f>(Tabela1[[#This Row],[x]]-H$3)*(Tabela1[[#This Row],[x]]-H$3) +(Tabela1[[#This Row],[y]]-H$4)*(Tabela1[[#This Row],[y]]-H$4)</f>
        <v>37666</v>
      </c>
      <c r="D4468" s="1">
        <f>IF(Tabela1[[#This Row],[promien]]&lt;40000,1,0)</f>
        <v>1</v>
      </c>
      <c r="E4468" s="1">
        <f>IF(Tabela1[[#This Row],[promien]]=40000,1,0)</f>
        <v>0</v>
      </c>
      <c r="F4468" s="1">
        <v>3.1683079677708146</v>
      </c>
      <c r="G4468" s="1">
        <v>2.6715314181021466E-2</v>
      </c>
    </row>
    <row r="4469" spans="1:7">
      <c r="A4469">
        <v>239</v>
      </c>
      <c r="B4469">
        <v>377</v>
      </c>
      <c r="C4469" s="1">
        <f>(Tabela1[[#This Row],[x]]-H$3)*(Tabela1[[#This Row],[x]]-H$3) +(Tabela1[[#This Row],[y]]-H$4)*(Tabela1[[#This Row],[y]]-H$4)</f>
        <v>32850</v>
      </c>
      <c r="D4469" s="1">
        <f>IF(Tabela1[[#This Row],[promien]]&lt;40000,1,0)</f>
        <v>1</v>
      </c>
      <c r="E4469" s="1">
        <f>IF(Tabela1[[#This Row],[promien]]=40000,1,0)</f>
        <v>0</v>
      </c>
      <c r="F4469" s="1">
        <v>3.1684940702618034</v>
      </c>
      <c r="G4469" s="1">
        <v>2.6901416672010292E-2</v>
      </c>
    </row>
    <row r="4470" spans="1:7">
      <c r="A4470">
        <v>115</v>
      </c>
      <c r="B4470">
        <v>10</v>
      </c>
      <c r="C4470" s="1">
        <f>(Tabela1[[#This Row],[x]]-H$3)*(Tabela1[[#This Row],[x]]-H$3) +(Tabela1[[#This Row],[y]]-H$4)*(Tabela1[[#This Row],[y]]-H$4)</f>
        <v>43325</v>
      </c>
      <c r="D4470" s="1">
        <f>IF(Tabela1[[#This Row],[promien]]&lt;40000,1,0)</f>
        <v>0</v>
      </c>
      <c r="E4470" s="1">
        <f>IF(Tabela1[[#This Row],[promien]]=40000,1,0)</f>
        <v>0</v>
      </c>
      <c r="F4470" s="1">
        <v>3.1677852348993287</v>
      </c>
      <c r="G4470" s="1">
        <v>2.6192581309535612E-2</v>
      </c>
    </row>
    <row r="4471" spans="1:7">
      <c r="A4471">
        <v>153</v>
      </c>
      <c r="B4471">
        <v>287</v>
      </c>
      <c r="C4471" s="1">
        <f>(Tabela1[[#This Row],[x]]-H$3)*(Tabela1[[#This Row],[x]]-H$3) +(Tabela1[[#This Row],[y]]-H$4)*(Tabela1[[#This Row],[y]]-H$4)</f>
        <v>9778</v>
      </c>
      <c r="D4471" s="1">
        <f>IF(Tabela1[[#This Row],[promien]]&lt;40000,1,0)</f>
        <v>1</v>
      </c>
      <c r="E4471" s="1">
        <f>IF(Tabela1[[#This Row],[promien]]=40000,1,0)</f>
        <v>0</v>
      </c>
      <c r="F4471" s="1">
        <v>3.1679713710579289</v>
      </c>
      <c r="G4471" s="1">
        <v>2.6378717468135804E-2</v>
      </c>
    </row>
    <row r="4472" spans="1:7">
      <c r="A4472">
        <v>268</v>
      </c>
      <c r="B4472">
        <v>286</v>
      </c>
      <c r="C4472" s="1">
        <f>(Tabela1[[#This Row],[x]]-H$3)*(Tabela1[[#This Row],[x]]-H$3) +(Tabela1[[#This Row],[y]]-H$4)*(Tabela1[[#This Row],[y]]-H$4)</f>
        <v>12020</v>
      </c>
      <c r="D4472" s="1">
        <f>IF(Tabela1[[#This Row],[promien]]&lt;40000,1,0)</f>
        <v>1</v>
      </c>
      <c r="E4472" s="1">
        <f>IF(Tabela1[[#This Row],[promien]]=40000,1,0)</f>
        <v>0</v>
      </c>
      <c r="F4472" s="1">
        <v>3.1681574239713775</v>
      </c>
      <c r="G4472" s="1">
        <v>2.6564770381584335E-2</v>
      </c>
    </row>
    <row r="4473" spans="1:7">
      <c r="A4473">
        <v>22</v>
      </c>
      <c r="B4473">
        <v>130</v>
      </c>
      <c r="C4473" s="1">
        <f>(Tabela1[[#This Row],[x]]-H$3)*(Tabela1[[#This Row],[x]]-H$3) +(Tabela1[[#This Row],[y]]-H$4)*(Tabela1[[#This Row],[y]]-H$4)</f>
        <v>36584</v>
      </c>
      <c r="D4473" s="1">
        <f>IF(Tabela1[[#This Row],[promien]]&lt;40000,1,0)</f>
        <v>1</v>
      </c>
      <c r="E4473" s="1">
        <f>IF(Tabela1[[#This Row],[promien]]=40000,1,0)</f>
        <v>0</v>
      </c>
      <c r="F4473" s="1">
        <v>3.1683433936955065</v>
      </c>
      <c r="G4473" s="1">
        <v>2.6750740105713433E-2</v>
      </c>
    </row>
    <row r="4474" spans="1:7">
      <c r="A4474">
        <v>1</v>
      </c>
      <c r="B4474">
        <v>158</v>
      </c>
      <c r="C4474" s="1">
        <f>(Tabela1[[#This Row],[x]]-H$3)*(Tabela1[[#This Row],[x]]-H$3) +(Tabela1[[#This Row],[y]]-H$4)*(Tabela1[[#This Row],[y]]-H$4)</f>
        <v>41365</v>
      </c>
      <c r="D4474" s="1">
        <f>IF(Tabela1[[#This Row],[promien]]&lt;40000,1,0)</f>
        <v>0</v>
      </c>
      <c r="E4474" s="1">
        <f>IF(Tabela1[[#This Row],[promien]]=40000,1,0)</f>
        <v>0</v>
      </c>
      <c r="F4474" s="1">
        <v>3.1676352257487705</v>
      </c>
      <c r="G4474" s="1">
        <v>2.6042572158977428E-2</v>
      </c>
    </row>
    <row r="4475" spans="1:7">
      <c r="A4475">
        <v>298</v>
      </c>
      <c r="B4475">
        <v>155</v>
      </c>
      <c r="C4475" s="1">
        <f>(Tabela1[[#This Row],[x]]-H$3)*(Tabela1[[#This Row],[x]]-H$3) +(Tabela1[[#This Row],[y]]-H$4)*(Tabela1[[#This Row],[y]]-H$4)</f>
        <v>11629</v>
      </c>
      <c r="D4475" s="1">
        <f>IF(Tabela1[[#This Row],[promien]]&lt;40000,1,0)</f>
        <v>1</v>
      </c>
      <c r="E4475" s="1">
        <f>IF(Tabela1[[#This Row],[promien]]=40000,1,0)</f>
        <v>0</v>
      </c>
      <c r="F4475" s="1">
        <v>3.1678212290502792</v>
      </c>
      <c r="G4475" s="1">
        <v>2.622857546048607E-2</v>
      </c>
    </row>
    <row r="4476" spans="1:7">
      <c r="A4476">
        <v>176</v>
      </c>
      <c r="B4476">
        <v>285</v>
      </c>
      <c r="C4476" s="1">
        <f>(Tabela1[[#This Row],[x]]-H$3)*(Tabela1[[#This Row],[x]]-H$3) +(Tabela1[[#This Row],[y]]-H$4)*(Tabela1[[#This Row],[y]]-H$4)</f>
        <v>7801</v>
      </c>
      <c r="D4476" s="1">
        <f>IF(Tabela1[[#This Row],[promien]]&lt;40000,1,0)</f>
        <v>1</v>
      </c>
      <c r="E4476" s="1">
        <f>IF(Tabela1[[#This Row],[promien]]=40000,1,0)</f>
        <v>0</v>
      </c>
      <c r="F4476" s="1">
        <v>3.1680071492403932</v>
      </c>
      <c r="G4476" s="1">
        <v>2.6414495650600056E-2</v>
      </c>
    </row>
    <row r="4477" spans="1:7">
      <c r="A4477">
        <v>268</v>
      </c>
      <c r="B4477">
        <v>189</v>
      </c>
      <c r="C4477" s="1">
        <f>(Tabela1[[#This Row],[x]]-H$3)*(Tabela1[[#This Row],[x]]-H$3) +(Tabela1[[#This Row],[y]]-H$4)*(Tabela1[[#This Row],[y]]-H$4)</f>
        <v>4745</v>
      </c>
      <c r="D4477" s="1">
        <f>IF(Tabela1[[#This Row],[promien]]&lt;40000,1,0)</f>
        <v>1</v>
      </c>
      <c r="E4477" s="1">
        <f>IF(Tabela1[[#This Row],[promien]]=40000,1,0)</f>
        <v>0</v>
      </c>
      <c r="F4477" s="1">
        <v>3.1681929863748044</v>
      </c>
      <c r="G4477" s="1">
        <v>2.6600332785011283E-2</v>
      </c>
    </row>
    <row r="4478" spans="1:7">
      <c r="A4478">
        <v>24</v>
      </c>
      <c r="B4478">
        <v>387</v>
      </c>
      <c r="C4478" s="1">
        <f>(Tabela1[[#This Row],[x]]-H$3)*(Tabela1[[#This Row],[x]]-H$3) +(Tabela1[[#This Row],[y]]-H$4)*(Tabela1[[#This Row],[y]]-H$4)</f>
        <v>65945</v>
      </c>
      <c r="D4478" s="1">
        <f>IF(Tabela1[[#This Row],[promien]]&lt;40000,1,0)</f>
        <v>0</v>
      </c>
      <c r="E4478" s="1">
        <f>IF(Tabela1[[#This Row],[promien]]=40000,1,0)</f>
        <v>0</v>
      </c>
      <c r="F4478" s="1">
        <v>3.1674854845913356</v>
      </c>
      <c r="G4478" s="1">
        <v>2.5892831001542493E-2</v>
      </c>
    </row>
    <row r="4479" spans="1:7">
      <c r="A4479">
        <v>244</v>
      </c>
      <c r="B4479">
        <v>290</v>
      </c>
      <c r="C4479" s="1">
        <f>(Tabela1[[#This Row],[x]]-H$3)*(Tabela1[[#This Row],[x]]-H$3) +(Tabela1[[#This Row],[y]]-H$4)*(Tabela1[[#This Row],[y]]-H$4)</f>
        <v>10036</v>
      </c>
      <c r="D4479" s="1">
        <f>IF(Tabela1[[#This Row],[promien]]&lt;40000,1,0)</f>
        <v>1</v>
      </c>
      <c r="E4479" s="1">
        <f>IF(Tabela1[[#This Row],[promien]]=40000,1,0)</f>
        <v>0</v>
      </c>
      <c r="F4479" s="1">
        <v>3.1676713552132174</v>
      </c>
      <c r="G4479" s="1">
        <v>2.6078701623424294E-2</v>
      </c>
    </row>
    <row r="4480" spans="1:7">
      <c r="A4480">
        <v>189</v>
      </c>
      <c r="B4480">
        <v>142</v>
      </c>
      <c r="C4480" s="1">
        <f>(Tabela1[[#This Row],[x]]-H$3)*(Tabela1[[#This Row],[x]]-H$3) +(Tabela1[[#This Row],[y]]-H$4)*(Tabela1[[#This Row],[y]]-H$4)</f>
        <v>3485</v>
      </c>
      <c r="D4480" s="1">
        <f>IF(Tabela1[[#This Row],[promien]]&lt;40000,1,0)</f>
        <v>1</v>
      </c>
      <c r="E4480" s="1">
        <f>IF(Tabela1[[#This Row],[promien]]=40000,1,0)</f>
        <v>0</v>
      </c>
      <c r="F4480" s="1">
        <v>3.1678571428571427</v>
      </c>
      <c r="G4480" s="1">
        <v>2.6264489267349589E-2</v>
      </c>
    </row>
    <row r="4481" spans="1:7">
      <c r="A4481">
        <v>141</v>
      </c>
      <c r="B4481">
        <v>167</v>
      </c>
      <c r="C4481" s="1">
        <f>(Tabela1[[#This Row],[x]]-H$3)*(Tabela1[[#This Row],[x]]-H$3) +(Tabela1[[#This Row],[y]]-H$4)*(Tabela1[[#This Row],[y]]-H$4)</f>
        <v>4570</v>
      </c>
      <c r="D4481" s="1">
        <f>IF(Tabela1[[#This Row],[promien]]&lt;40000,1,0)</f>
        <v>1</v>
      </c>
      <c r="E4481" s="1">
        <f>IF(Tabela1[[#This Row],[promien]]=40000,1,0)</f>
        <v>0</v>
      </c>
      <c r="F4481" s="1">
        <v>3.1680428475786653</v>
      </c>
      <c r="G4481" s="1">
        <v>2.6450193988872162E-2</v>
      </c>
    </row>
    <row r="4482" spans="1:7">
      <c r="A4482">
        <v>386</v>
      </c>
      <c r="B4482">
        <v>117</v>
      </c>
      <c r="C4482" s="1">
        <f>(Tabela1[[#This Row],[x]]-H$3)*(Tabela1[[#This Row],[x]]-H$3) +(Tabela1[[#This Row],[y]]-H$4)*(Tabela1[[#This Row],[y]]-H$4)</f>
        <v>41485</v>
      </c>
      <c r="D4482" s="1">
        <f>IF(Tabela1[[#This Row],[promien]]&lt;40000,1,0)</f>
        <v>0</v>
      </c>
      <c r="E4482" s="1">
        <f>IF(Tabela1[[#This Row],[promien]]=40000,1,0)</f>
        <v>0</v>
      </c>
      <c r="F4482" s="1">
        <v>3.1673360107095045</v>
      </c>
      <c r="G4482" s="1">
        <v>2.574335711971143E-2</v>
      </c>
    </row>
    <row r="4483" spans="1:7">
      <c r="A4483">
        <v>392</v>
      </c>
      <c r="B4483">
        <v>353</v>
      </c>
      <c r="C4483" s="1">
        <f>(Tabela1[[#This Row],[x]]-H$3)*(Tabela1[[#This Row],[x]]-H$3) +(Tabela1[[#This Row],[y]]-H$4)*(Tabela1[[#This Row],[y]]-H$4)</f>
        <v>60273</v>
      </c>
      <c r="D4483" s="1">
        <f>IF(Tabela1[[#This Row],[promien]]&lt;40000,1,0)</f>
        <v>0</v>
      </c>
      <c r="E4483" s="1">
        <f>IF(Tabela1[[#This Row],[promien]]=40000,1,0)</f>
        <v>0</v>
      </c>
      <c r="F4483" s="1">
        <v>3.1666294891813518</v>
      </c>
      <c r="G4483" s="1">
        <v>2.503683559155867E-2</v>
      </c>
    </row>
    <row r="4484" spans="1:7">
      <c r="A4484">
        <v>229</v>
      </c>
      <c r="B4484">
        <v>296</v>
      </c>
      <c r="C4484" s="1">
        <f>(Tabela1[[#This Row],[x]]-H$3)*(Tabela1[[#This Row],[x]]-H$3) +(Tabela1[[#This Row],[y]]-H$4)*(Tabela1[[#This Row],[y]]-H$4)</f>
        <v>10057</v>
      </c>
      <c r="D4484" s="1">
        <f>IF(Tabela1[[#This Row],[promien]]&lt;40000,1,0)</f>
        <v>1</v>
      </c>
      <c r="E4484" s="1">
        <f>IF(Tabela1[[#This Row],[promien]]=40000,1,0)</f>
        <v>0</v>
      </c>
      <c r="F4484" s="1">
        <v>3.1668153434433544</v>
      </c>
      <c r="G4484" s="1">
        <v>2.5222689853561242E-2</v>
      </c>
    </row>
    <row r="4485" spans="1:7">
      <c r="A4485">
        <v>354</v>
      </c>
      <c r="B4485">
        <v>5</v>
      </c>
      <c r="C4485" s="1">
        <f>(Tabela1[[#This Row],[x]]-H$3)*(Tabela1[[#This Row],[x]]-H$3) +(Tabela1[[#This Row],[y]]-H$4)*(Tabela1[[#This Row],[y]]-H$4)</f>
        <v>61741</v>
      </c>
      <c r="D4485" s="1">
        <f>IF(Tabela1[[#This Row],[promien]]&lt;40000,1,0)</f>
        <v>0</v>
      </c>
      <c r="E4485" s="1">
        <f>IF(Tabela1[[#This Row],[promien]]=40000,1,0)</f>
        <v>0</v>
      </c>
      <c r="F4485" s="1">
        <v>3.1661092530657746</v>
      </c>
      <c r="G4485" s="1">
        <v>2.4516599475981504E-2</v>
      </c>
    </row>
    <row r="4486" spans="1:7">
      <c r="A4486">
        <v>150</v>
      </c>
      <c r="B4486">
        <v>126</v>
      </c>
      <c r="C4486" s="1">
        <f>(Tabela1[[#This Row],[x]]-H$3)*(Tabela1[[#This Row],[x]]-H$3) +(Tabela1[[#This Row],[y]]-H$4)*(Tabela1[[#This Row],[y]]-H$4)</f>
        <v>7976</v>
      </c>
      <c r="D4486" s="1">
        <f>IF(Tabela1[[#This Row],[promien]]&lt;40000,1,0)</f>
        <v>1</v>
      </c>
      <c r="E4486" s="1">
        <f>IF(Tabela1[[#This Row],[promien]]=40000,1,0)</f>
        <v>0</v>
      </c>
      <c r="F4486" s="1">
        <v>3.1662951404369148</v>
      </c>
      <c r="G4486" s="1">
        <v>2.470248684712173E-2</v>
      </c>
    </row>
    <row r="4487" spans="1:7">
      <c r="A4487">
        <v>147</v>
      </c>
      <c r="B4487">
        <v>260</v>
      </c>
      <c r="C4487" s="1">
        <f>(Tabela1[[#This Row],[x]]-H$3)*(Tabela1[[#This Row],[x]]-H$3) +(Tabela1[[#This Row],[y]]-H$4)*(Tabela1[[#This Row],[y]]-H$4)</f>
        <v>6409</v>
      </c>
      <c r="D4487" s="1">
        <f>IF(Tabela1[[#This Row],[promien]]&lt;40000,1,0)</f>
        <v>1</v>
      </c>
      <c r="E4487" s="1">
        <f>IF(Tabela1[[#This Row],[promien]]=40000,1,0)</f>
        <v>0</v>
      </c>
      <c r="F4487" s="1">
        <v>3.1664809449520837</v>
      </c>
      <c r="G4487" s="1">
        <v>2.4888291362290538E-2</v>
      </c>
    </row>
    <row r="4488" spans="1:7">
      <c r="A4488">
        <v>105</v>
      </c>
      <c r="B4488">
        <v>94</v>
      </c>
      <c r="C4488" s="1">
        <f>(Tabela1[[#This Row],[x]]-H$3)*(Tabela1[[#This Row],[x]]-H$3) +(Tabela1[[#This Row],[y]]-H$4)*(Tabela1[[#This Row],[y]]-H$4)</f>
        <v>20261</v>
      </c>
      <c r="D4488" s="1">
        <f>IF(Tabela1[[#This Row],[promien]]&lt;40000,1,0)</f>
        <v>1</v>
      </c>
      <c r="E4488" s="1">
        <f>IF(Tabela1[[#This Row],[promien]]=40000,1,0)</f>
        <v>0</v>
      </c>
      <c r="F4488" s="1">
        <v>3.1666666666666665</v>
      </c>
      <c r="G4488" s="1">
        <v>2.5074013076873403E-2</v>
      </c>
    </row>
    <row r="4489" spans="1:7">
      <c r="A4489">
        <v>372</v>
      </c>
      <c r="B4489">
        <v>105</v>
      </c>
      <c r="C4489" s="1">
        <f>(Tabela1[[#This Row],[x]]-H$3)*(Tabela1[[#This Row],[x]]-H$3) +(Tabela1[[#This Row],[y]]-H$4)*(Tabela1[[#This Row],[y]]-H$4)</f>
        <v>38609</v>
      </c>
      <c r="D4489" s="1">
        <f>IF(Tabela1[[#This Row],[promien]]&lt;40000,1,0)</f>
        <v>1</v>
      </c>
      <c r="E4489" s="1">
        <f>IF(Tabela1[[#This Row],[promien]]=40000,1,0)</f>
        <v>0</v>
      </c>
      <c r="F4489" s="1">
        <v>3.1668523056359992</v>
      </c>
      <c r="G4489" s="1">
        <v>2.525965204620606E-2</v>
      </c>
    </row>
    <row r="4490" spans="1:7">
      <c r="A4490">
        <v>43</v>
      </c>
      <c r="B4490">
        <v>182</v>
      </c>
      <c r="C4490" s="1">
        <f>(Tabela1[[#This Row],[x]]-H$3)*(Tabela1[[#This Row],[x]]-H$3) +(Tabela1[[#This Row],[y]]-H$4)*(Tabela1[[#This Row],[y]]-H$4)</f>
        <v>24973</v>
      </c>
      <c r="D4490" s="1">
        <f>IF(Tabela1[[#This Row],[promien]]&lt;40000,1,0)</f>
        <v>1</v>
      </c>
      <c r="E4490" s="1">
        <f>IF(Tabela1[[#This Row],[promien]]=40000,1,0)</f>
        <v>0</v>
      </c>
      <c r="F4490" s="1">
        <v>3.1670378619153676</v>
      </c>
      <c r="G4490" s="1">
        <v>2.5445208325574509E-2</v>
      </c>
    </row>
    <row r="4491" spans="1:7">
      <c r="A4491">
        <v>358</v>
      </c>
      <c r="B4491">
        <v>139</v>
      </c>
      <c r="C4491" s="1">
        <f>(Tabela1[[#This Row],[x]]-H$3)*(Tabela1[[#This Row],[x]]-H$3) +(Tabela1[[#This Row],[y]]-H$4)*(Tabela1[[#This Row],[y]]-H$4)</f>
        <v>28685</v>
      </c>
      <c r="D4491" s="1">
        <f>IF(Tabela1[[#This Row],[promien]]&lt;40000,1,0)</f>
        <v>1</v>
      </c>
      <c r="E4491" s="1">
        <f>IF(Tabela1[[#This Row],[promien]]=40000,1,0)</f>
        <v>0</v>
      </c>
      <c r="F4491" s="1">
        <v>3.167223335560009</v>
      </c>
      <c r="G4491" s="1">
        <v>2.5630681970215896E-2</v>
      </c>
    </row>
    <row r="4492" spans="1:7">
      <c r="A4492">
        <v>45</v>
      </c>
      <c r="B4492">
        <v>376</v>
      </c>
      <c r="C4492" s="1">
        <f>(Tabela1[[#This Row],[x]]-H$3)*(Tabela1[[#This Row],[x]]-H$3) +(Tabela1[[#This Row],[y]]-H$4)*(Tabela1[[#This Row],[y]]-H$4)</f>
        <v>55001</v>
      </c>
      <c r="D4492" s="1">
        <f>IF(Tabela1[[#This Row],[promien]]&lt;40000,1,0)</f>
        <v>0</v>
      </c>
      <c r="E4492" s="1">
        <f>IF(Tabela1[[#This Row],[promien]]=40000,1,0)</f>
        <v>0</v>
      </c>
      <c r="F4492" s="1">
        <v>3.1665182546749779</v>
      </c>
      <c r="G4492" s="1">
        <v>2.4925601085184823E-2</v>
      </c>
    </row>
    <row r="4493" spans="1:7">
      <c r="A4493">
        <v>167</v>
      </c>
      <c r="B4493">
        <v>352</v>
      </c>
      <c r="C4493" s="1">
        <f>(Tabela1[[#This Row],[x]]-H$3)*(Tabela1[[#This Row],[x]]-H$3) +(Tabela1[[#This Row],[y]]-H$4)*(Tabela1[[#This Row],[y]]-H$4)</f>
        <v>24193</v>
      </c>
      <c r="D4493" s="1">
        <f>IF(Tabela1[[#This Row],[promien]]&lt;40000,1,0)</f>
        <v>1</v>
      </c>
      <c r="E4493" s="1">
        <f>IF(Tabela1[[#This Row],[promien]]=40000,1,0)</f>
        <v>0</v>
      </c>
      <c r="F4493" s="1">
        <v>3.1667037614066325</v>
      </c>
      <c r="G4493" s="1">
        <v>2.511110781683934E-2</v>
      </c>
    </row>
    <row r="4494" spans="1:7">
      <c r="A4494">
        <v>34</v>
      </c>
      <c r="B4494">
        <v>92</v>
      </c>
      <c r="C4494" s="1">
        <f>(Tabela1[[#This Row],[x]]-H$3)*(Tabela1[[#This Row],[x]]-H$3) +(Tabela1[[#This Row],[y]]-H$4)*(Tabela1[[#This Row],[y]]-H$4)</f>
        <v>39220</v>
      </c>
      <c r="D4494" s="1">
        <f>IF(Tabela1[[#This Row],[promien]]&lt;40000,1,0)</f>
        <v>1</v>
      </c>
      <c r="E4494" s="1">
        <f>IF(Tabela1[[#This Row],[promien]]=40000,1,0)</f>
        <v>0</v>
      </c>
      <c r="F4494" s="1">
        <v>3.1668891855807741</v>
      </c>
      <c r="G4494" s="1">
        <v>2.529653199098103E-2</v>
      </c>
    </row>
    <row r="4495" spans="1:7">
      <c r="A4495">
        <v>290</v>
      </c>
      <c r="B4495">
        <v>116</v>
      </c>
      <c r="C4495" s="1">
        <f>(Tabela1[[#This Row],[x]]-H$3)*(Tabela1[[#This Row],[x]]-H$3) +(Tabela1[[#This Row],[y]]-H$4)*(Tabela1[[#This Row],[y]]-H$4)</f>
        <v>15156</v>
      </c>
      <c r="D4495" s="1">
        <f>IF(Tabela1[[#This Row],[promien]]&lt;40000,1,0)</f>
        <v>1</v>
      </c>
      <c r="E4495" s="1">
        <f>IF(Tabela1[[#This Row],[promien]]=40000,1,0)</f>
        <v>0</v>
      </c>
      <c r="F4495" s="1">
        <v>3.1670745272525029</v>
      </c>
      <c r="G4495" s="1">
        <v>2.548187366270982E-2</v>
      </c>
    </row>
    <row r="4496" spans="1:7">
      <c r="A4496">
        <v>325</v>
      </c>
      <c r="B4496">
        <v>60</v>
      </c>
      <c r="C4496" s="1">
        <f>(Tabela1[[#This Row],[x]]-H$3)*(Tabela1[[#This Row],[x]]-H$3) +(Tabela1[[#This Row],[y]]-H$4)*(Tabela1[[#This Row],[y]]-H$4)</f>
        <v>35225</v>
      </c>
      <c r="D4496" s="1">
        <f>IF(Tabela1[[#This Row],[promien]]&lt;40000,1,0)</f>
        <v>1</v>
      </c>
      <c r="E4496" s="1">
        <f>IF(Tabela1[[#This Row],[promien]]=40000,1,0)</f>
        <v>0</v>
      </c>
      <c r="F4496" s="1">
        <v>3.1672597864768681</v>
      </c>
      <c r="G4496" s="1">
        <v>2.5667132887075006E-2</v>
      </c>
    </row>
    <row r="4497" spans="1:7">
      <c r="A4497">
        <v>74</v>
      </c>
      <c r="B4497">
        <v>191</v>
      </c>
      <c r="C4497" s="1">
        <f>(Tabela1[[#This Row],[x]]-H$3)*(Tabela1[[#This Row],[x]]-H$3) +(Tabela1[[#This Row],[y]]-H$4)*(Tabela1[[#This Row],[y]]-H$4)</f>
        <v>15957</v>
      </c>
      <c r="D4497" s="1">
        <f>IF(Tabela1[[#This Row],[promien]]&lt;40000,1,0)</f>
        <v>1</v>
      </c>
      <c r="E4497" s="1">
        <f>IF(Tabela1[[#This Row],[promien]]=40000,1,0)</f>
        <v>0</v>
      </c>
      <c r="F4497" s="1">
        <v>3.1674449633088724</v>
      </c>
      <c r="G4497" s="1">
        <v>2.5852309719079258E-2</v>
      </c>
    </row>
    <row r="4498" spans="1:7">
      <c r="A4498">
        <v>358</v>
      </c>
      <c r="B4498">
        <v>317</v>
      </c>
      <c r="C4498" s="1">
        <f>(Tabela1[[#This Row],[x]]-H$3)*(Tabela1[[#This Row],[x]]-H$3) +(Tabela1[[#This Row],[y]]-H$4)*(Tabela1[[#This Row],[y]]-H$4)</f>
        <v>38653</v>
      </c>
      <c r="D4498" s="1">
        <f>IF(Tabela1[[#This Row],[promien]]&lt;40000,1,0)</f>
        <v>1</v>
      </c>
      <c r="E4498" s="1">
        <f>IF(Tabela1[[#This Row],[promien]]=40000,1,0)</f>
        <v>0</v>
      </c>
      <c r="F4498" s="1">
        <v>3.1676300578034682</v>
      </c>
      <c r="G4498" s="1">
        <v>2.6037404213675064E-2</v>
      </c>
    </row>
    <row r="4499" spans="1:7">
      <c r="A4499">
        <v>342</v>
      </c>
      <c r="B4499">
        <v>160</v>
      </c>
      <c r="C4499" s="1">
        <f>(Tabela1[[#This Row],[x]]-H$3)*(Tabela1[[#This Row],[x]]-H$3) +(Tabela1[[#This Row],[y]]-H$4)*(Tabela1[[#This Row],[y]]-H$4)</f>
        <v>21764</v>
      </c>
      <c r="D4499" s="1">
        <f>IF(Tabela1[[#This Row],[promien]]&lt;40000,1,0)</f>
        <v>1</v>
      </c>
      <c r="E4499" s="1">
        <f>IF(Tabela1[[#This Row],[promien]]=40000,1,0)</f>
        <v>0</v>
      </c>
      <c r="F4499" s="1">
        <v>3.1678150700155592</v>
      </c>
      <c r="G4499" s="1">
        <v>2.622241642576606E-2</v>
      </c>
    </row>
    <row r="4500" spans="1:7">
      <c r="A4500">
        <v>223</v>
      </c>
      <c r="B4500">
        <v>359</v>
      </c>
      <c r="C4500" s="1">
        <f>(Tabela1[[#This Row],[x]]-H$3)*(Tabela1[[#This Row],[x]]-H$3) +(Tabela1[[#This Row],[y]]-H$4)*(Tabela1[[#This Row],[y]]-H$4)</f>
        <v>25810</v>
      </c>
      <c r="D4500" s="1">
        <f>IF(Tabela1[[#This Row],[promien]]&lt;40000,1,0)</f>
        <v>1</v>
      </c>
      <c r="E4500" s="1">
        <f>IF(Tabela1[[#This Row],[promien]]=40000,1,0)</f>
        <v>0</v>
      </c>
      <c r="F4500" s="1">
        <v>3.1680000000000001</v>
      </c>
      <c r="G4500" s="1">
        <v>2.6407346410207033E-2</v>
      </c>
    </row>
    <row r="4501" spans="1:7">
      <c r="A4501">
        <v>352</v>
      </c>
      <c r="B4501">
        <v>316</v>
      </c>
      <c r="C4501" s="1">
        <f>(Tabela1[[#This Row],[x]]-H$3)*(Tabela1[[#This Row],[x]]-H$3) +(Tabela1[[#This Row],[y]]-H$4)*(Tabela1[[#This Row],[y]]-H$4)</f>
        <v>36560</v>
      </c>
      <c r="D4501" s="1">
        <f>IF(Tabela1[[#This Row],[promien]]&lt;40000,1,0)</f>
        <v>1</v>
      </c>
      <c r="E4501" s="1">
        <f>IF(Tabela1[[#This Row],[promien]]=40000,1,0)</f>
        <v>0</v>
      </c>
      <c r="F4501" s="1">
        <v>3.1681848478115975</v>
      </c>
      <c r="G4501" s="1">
        <v>2.6592194221804366E-2</v>
      </c>
    </row>
    <row r="4502" spans="1:7">
      <c r="A4502">
        <v>115</v>
      </c>
      <c r="B4502">
        <v>86</v>
      </c>
      <c r="C4502" s="1">
        <f>(Tabela1[[#This Row],[x]]-H$3)*(Tabela1[[#This Row],[x]]-H$3) +(Tabela1[[#This Row],[y]]-H$4)*(Tabela1[[#This Row],[y]]-H$4)</f>
        <v>20221</v>
      </c>
      <c r="D4502" s="1">
        <f>IF(Tabela1[[#This Row],[promien]]&lt;40000,1,0)</f>
        <v>1</v>
      </c>
      <c r="E4502" s="1">
        <f>IF(Tabela1[[#This Row],[promien]]=40000,1,0)</f>
        <v>0</v>
      </c>
      <c r="F4502" s="1">
        <v>3.1683696135051087</v>
      </c>
      <c r="G4502" s="1">
        <v>2.677695991531559E-2</v>
      </c>
    </row>
    <row r="4503" spans="1:7">
      <c r="A4503">
        <v>64</v>
      </c>
      <c r="B4503">
        <v>257</v>
      </c>
      <c r="C4503" s="1">
        <f>(Tabela1[[#This Row],[x]]-H$3)*(Tabela1[[#This Row],[x]]-H$3) +(Tabela1[[#This Row],[y]]-H$4)*(Tabela1[[#This Row],[y]]-H$4)</f>
        <v>21745</v>
      </c>
      <c r="D4503" s="1">
        <f>IF(Tabela1[[#This Row],[promien]]&lt;40000,1,0)</f>
        <v>1</v>
      </c>
      <c r="E4503" s="1">
        <f>IF(Tabela1[[#This Row],[promien]]=40000,1,0)</f>
        <v>0</v>
      </c>
      <c r="F4503" s="1">
        <v>3.1685542971352434</v>
      </c>
      <c r="G4503" s="1">
        <v>2.6961643545450276E-2</v>
      </c>
    </row>
    <row r="4504" spans="1:7">
      <c r="A4504">
        <v>227</v>
      </c>
      <c r="B4504">
        <v>216</v>
      </c>
      <c r="C4504" s="1">
        <f>(Tabela1[[#This Row],[x]]-H$3)*(Tabela1[[#This Row],[x]]-H$3) +(Tabela1[[#This Row],[y]]-H$4)*(Tabela1[[#This Row],[y]]-H$4)</f>
        <v>985</v>
      </c>
      <c r="D4504" s="1">
        <f>IF(Tabela1[[#This Row],[promien]]&lt;40000,1,0)</f>
        <v>1</v>
      </c>
      <c r="E4504" s="1">
        <f>IF(Tabela1[[#This Row],[promien]]=40000,1,0)</f>
        <v>0</v>
      </c>
      <c r="F4504" s="1">
        <v>3.1687388987566609</v>
      </c>
      <c r="G4504" s="1">
        <v>2.7146245166867811E-2</v>
      </c>
    </row>
    <row r="4505" spans="1:7">
      <c r="A4505">
        <v>163</v>
      </c>
      <c r="B4505">
        <v>211</v>
      </c>
      <c r="C4505" s="1">
        <f>(Tabela1[[#This Row],[x]]-H$3)*(Tabela1[[#This Row],[x]]-H$3) +(Tabela1[[#This Row],[y]]-H$4)*(Tabela1[[#This Row],[y]]-H$4)</f>
        <v>1490</v>
      </c>
      <c r="D4505" s="1">
        <f>IF(Tabela1[[#This Row],[promien]]&lt;40000,1,0)</f>
        <v>1</v>
      </c>
      <c r="E4505" s="1">
        <f>IF(Tabela1[[#This Row],[promien]]=40000,1,0)</f>
        <v>0</v>
      </c>
      <c r="F4505" s="1">
        <v>3.1689234184239732</v>
      </c>
      <c r="G4505" s="1">
        <v>2.7330764834180066E-2</v>
      </c>
    </row>
    <row r="4506" spans="1:7">
      <c r="A4506">
        <v>118</v>
      </c>
      <c r="B4506">
        <v>160</v>
      </c>
      <c r="C4506" s="1">
        <f>(Tabela1[[#This Row],[x]]-H$3)*(Tabela1[[#This Row],[x]]-H$3) +(Tabela1[[#This Row],[y]]-H$4)*(Tabela1[[#This Row],[y]]-H$4)</f>
        <v>8324</v>
      </c>
      <c r="D4506" s="1">
        <f>IF(Tabela1[[#This Row],[promien]]&lt;40000,1,0)</f>
        <v>1</v>
      </c>
      <c r="E4506" s="1">
        <f>IF(Tabela1[[#This Row],[promien]]=40000,1,0)</f>
        <v>0</v>
      </c>
      <c r="F4506" s="1">
        <v>3.1691078561917445</v>
      </c>
      <c r="G4506" s="1">
        <v>2.7515202601951394E-2</v>
      </c>
    </row>
    <row r="4507" spans="1:7">
      <c r="A4507">
        <v>282</v>
      </c>
      <c r="B4507">
        <v>38</v>
      </c>
      <c r="C4507" s="1">
        <f>(Tabela1[[#This Row],[x]]-H$3)*(Tabela1[[#This Row],[x]]-H$3) +(Tabela1[[#This Row],[y]]-H$4)*(Tabela1[[#This Row],[y]]-H$4)</f>
        <v>32968</v>
      </c>
      <c r="D4507" s="1">
        <f>IF(Tabela1[[#This Row],[promien]]&lt;40000,1,0)</f>
        <v>1</v>
      </c>
      <c r="E4507" s="1">
        <f>IF(Tabela1[[#This Row],[promien]]=40000,1,0)</f>
        <v>0</v>
      </c>
      <c r="F4507" s="1">
        <v>3.1692922121144886</v>
      </c>
      <c r="G4507" s="1">
        <v>2.7699558524695522E-2</v>
      </c>
    </row>
    <row r="4508" spans="1:7">
      <c r="A4508">
        <v>14</v>
      </c>
      <c r="B4508">
        <v>100</v>
      </c>
      <c r="C4508" s="1">
        <f>(Tabela1[[#This Row],[x]]-H$3)*(Tabela1[[#This Row],[x]]-H$3) +(Tabela1[[#This Row],[y]]-H$4)*(Tabela1[[#This Row],[y]]-H$4)</f>
        <v>44596</v>
      </c>
      <c r="D4508" s="1">
        <f>IF(Tabela1[[#This Row],[promien]]&lt;40000,1,0)</f>
        <v>0</v>
      </c>
      <c r="E4508" s="1">
        <f>IF(Tabela1[[#This Row],[promien]]=40000,1,0)</f>
        <v>0</v>
      </c>
      <c r="F4508" s="1">
        <v>3.168589174800355</v>
      </c>
      <c r="G4508" s="1">
        <v>2.6996521210561841E-2</v>
      </c>
    </row>
    <row r="4509" spans="1:7">
      <c r="A4509">
        <v>83</v>
      </c>
      <c r="B4509">
        <v>251</v>
      </c>
      <c r="C4509" s="1">
        <f>(Tabela1[[#This Row],[x]]-H$3)*(Tabela1[[#This Row],[x]]-H$3) +(Tabela1[[#This Row],[y]]-H$4)*(Tabela1[[#This Row],[y]]-H$4)</f>
        <v>16290</v>
      </c>
      <c r="D4509" s="1">
        <f>IF(Tabela1[[#This Row],[promien]]&lt;40000,1,0)</f>
        <v>1</v>
      </c>
      <c r="E4509" s="1">
        <f>IF(Tabela1[[#This Row],[promien]]=40000,1,0)</f>
        <v>0</v>
      </c>
      <c r="F4509" s="1">
        <v>3.1687735639831449</v>
      </c>
      <c r="G4509" s="1">
        <v>2.7180910393351798E-2</v>
      </c>
    </row>
    <row r="4510" spans="1:7">
      <c r="A4510">
        <v>267</v>
      </c>
      <c r="B4510">
        <v>260</v>
      </c>
      <c r="C4510" s="1">
        <f>(Tabela1[[#This Row],[x]]-H$3)*(Tabela1[[#This Row],[x]]-H$3) +(Tabela1[[#This Row],[y]]-H$4)*(Tabela1[[#This Row],[y]]-H$4)</f>
        <v>8089</v>
      </c>
      <c r="D4510" s="1">
        <f>IF(Tabela1[[#This Row],[promien]]&lt;40000,1,0)</f>
        <v>1</v>
      </c>
      <c r="E4510" s="1">
        <f>IF(Tabela1[[#This Row],[promien]]=40000,1,0)</f>
        <v>0</v>
      </c>
      <c r="F4510" s="1">
        <v>3.1689578713968958</v>
      </c>
      <c r="G4510" s="1">
        <v>2.736521780710266E-2</v>
      </c>
    </row>
    <row r="4511" spans="1:7">
      <c r="A4511">
        <v>282</v>
      </c>
      <c r="B4511">
        <v>344</v>
      </c>
      <c r="C4511" s="1">
        <f>(Tabela1[[#This Row],[x]]-H$3)*(Tabela1[[#This Row],[x]]-H$3) +(Tabela1[[#This Row],[y]]-H$4)*(Tabela1[[#This Row],[y]]-H$4)</f>
        <v>27460</v>
      </c>
      <c r="D4511" s="1">
        <f>IF(Tabela1[[#This Row],[promien]]&lt;40000,1,0)</f>
        <v>1</v>
      </c>
      <c r="E4511" s="1">
        <f>IF(Tabela1[[#This Row],[promien]]=40000,1,0)</f>
        <v>0</v>
      </c>
      <c r="F4511" s="1">
        <v>3.1691420970959876</v>
      </c>
      <c r="G4511" s="1">
        <v>2.7549443506194482E-2</v>
      </c>
    </row>
    <row r="4512" spans="1:7">
      <c r="A4512">
        <v>82</v>
      </c>
      <c r="B4512">
        <v>320</v>
      </c>
      <c r="C4512" s="1">
        <f>(Tabela1[[#This Row],[x]]-H$3)*(Tabela1[[#This Row],[x]]-H$3) +(Tabela1[[#This Row],[y]]-H$4)*(Tabela1[[#This Row],[y]]-H$4)</f>
        <v>28324</v>
      </c>
      <c r="D4512" s="1">
        <f>IF(Tabela1[[#This Row],[promien]]&lt;40000,1,0)</f>
        <v>1</v>
      </c>
      <c r="E4512" s="1">
        <f>IF(Tabela1[[#This Row],[promien]]=40000,1,0)</f>
        <v>0</v>
      </c>
      <c r="F4512" s="1">
        <v>3.1693262411347516</v>
      </c>
      <c r="G4512" s="1">
        <v>2.7733587544958471E-2</v>
      </c>
    </row>
    <row r="4513" spans="1:7">
      <c r="A4513">
        <v>311</v>
      </c>
      <c r="B4513">
        <v>43</v>
      </c>
      <c r="C4513" s="1">
        <f>(Tabela1[[#This Row],[x]]-H$3)*(Tabela1[[#This Row],[x]]-H$3) +(Tabela1[[#This Row],[y]]-H$4)*(Tabela1[[#This Row],[y]]-H$4)</f>
        <v>36970</v>
      </c>
      <c r="D4513" s="1">
        <f>IF(Tabela1[[#This Row],[promien]]&lt;40000,1,0)</f>
        <v>1</v>
      </c>
      <c r="E4513" s="1">
        <f>IF(Tabela1[[#This Row],[promien]]=40000,1,0)</f>
        <v>0</v>
      </c>
      <c r="F4513" s="1">
        <v>3.1695103035674719</v>
      </c>
      <c r="G4513" s="1">
        <v>2.791764997767876E-2</v>
      </c>
    </row>
    <row r="4514" spans="1:7">
      <c r="A4514">
        <v>137</v>
      </c>
      <c r="B4514">
        <v>263</v>
      </c>
      <c r="C4514" s="1">
        <f>(Tabela1[[#This Row],[x]]-H$3)*(Tabela1[[#This Row],[x]]-H$3) +(Tabela1[[#This Row],[y]]-H$4)*(Tabela1[[#This Row],[y]]-H$4)</f>
        <v>7938</v>
      </c>
      <c r="D4514" s="1">
        <f>IF(Tabela1[[#This Row],[promien]]&lt;40000,1,0)</f>
        <v>1</v>
      </c>
      <c r="E4514" s="1">
        <f>IF(Tabela1[[#This Row],[promien]]=40000,1,0)</f>
        <v>0</v>
      </c>
      <c r="F4514" s="1">
        <v>3.1696942844483829</v>
      </c>
      <c r="G4514" s="1">
        <v>2.8101630858589743E-2</v>
      </c>
    </row>
    <row r="4515" spans="1:7">
      <c r="A4515">
        <v>82</v>
      </c>
      <c r="B4515">
        <v>53</v>
      </c>
      <c r="C4515" s="1">
        <f>(Tabela1[[#This Row],[x]]-H$3)*(Tabela1[[#This Row],[x]]-H$3) +(Tabela1[[#This Row],[y]]-H$4)*(Tabela1[[#This Row],[y]]-H$4)</f>
        <v>35533</v>
      </c>
      <c r="D4515" s="1">
        <f>IF(Tabela1[[#This Row],[promien]]&lt;40000,1,0)</f>
        <v>1</v>
      </c>
      <c r="E4515" s="1">
        <f>IF(Tabela1[[#This Row],[promien]]=40000,1,0)</f>
        <v>0</v>
      </c>
      <c r="F4515" s="1">
        <v>3.1698781838316723</v>
      </c>
      <c r="G4515" s="1">
        <v>2.8285530241879187E-2</v>
      </c>
    </row>
    <row r="4516" spans="1:7">
      <c r="A4516">
        <v>63</v>
      </c>
      <c r="B4516">
        <v>221</v>
      </c>
      <c r="C4516" s="1">
        <f>(Tabela1[[#This Row],[x]]-H$3)*(Tabela1[[#This Row],[x]]-H$3) +(Tabela1[[#This Row],[y]]-H$4)*(Tabela1[[#This Row],[y]]-H$4)</f>
        <v>19210</v>
      </c>
      <c r="D4516" s="1">
        <f>IF(Tabela1[[#This Row],[promien]]&lt;40000,1,0)</f>
        <v>1</v>
      </c>
      <c r="E4516" s="1">
        <f>IF(Tabela1[[#This Row],[promien]]=40000,1,0)</f>
        <v>0</v>
      </c>
      <c r="F4516" s="1">
        <v>3.1700620017714791</v>
      </c>
      <c r="G4516" s="1">
        <v>2.8469348181686005E-2</v>
      </c>
    </row>
    <row r="4517" spans="1:7">
      <c r="A4517">
        <v>248</v>
      </c>
      <c r="B4517">
        <v>136</v>
      </c>
      <c r="C4517" s="1">
        <f>(Tabela1[[#This Row],[x]]-H$3)*(Tabela1[[#This Row],[x]]-H$3) +(Tabela1[[#This Row],[y]]-H$4)*(Tabela1[[#This Row],[y]]-H$4)</f>
        <v>6400</v>
      </c>
      <c r="D4517" s="1">
        <f>IF(Tabela1[[#This Row],[promien]]&lt;40000,1,0)</f>
        <v>1</v>
      </c>
      <c r="E4517" s="1">
        <f>IF(Tabela1[[#This Row],[promien]]=40000,1,0)</f>
        <v>0</v>
      </c>
      <c r="F4517" s="1">
        <v>3.1702457383218952</v>
      </c>
      <c r="G4517" s="1">
        <v>2.8653084732102041E-2</v>
      </c>
    </row>
    <row r="4518" spans="1:7">
      <c r="A4518">
        <v>271</v>
      </c>
      <c r="B4518">
        <v>121</v>
      </c>
      <c r="C4518" s="1">
        <f>(Tabela1[[#This Row],[x]]-H$3)*(Tabela1[[#This Row],[x]]-H$3) +(Tabela1[[#This Row],[y]]-H$4)*(Tabela1[[#This Row],[y]]-H$4)</f>
        <v>11282</v>
      </c>
      <c r="D4518" s="1">
        <f>IF(Tabela1[[#This Row],[promien]]&lt;40000,1,0)</f>
        <v>1</v>
      </c>
      <c r="E4518" s="1">
        <f>IF(Tabela1[[#This Row],[promien]]=40000,1,0)</f>
        <v>0</v>
      </c>
      <c r="F4518" s="1">
        <v>3.1704293935369634</v>
      </c>
      <c r="G4518" s="1">
        <v>2.8836739947170287E-2</v>
      </c>
    </row>
    <row r="4519" spans="1:7">
      <c r="A4519">
        <v>142</v>
      </c>
      <c r="B4519">
        <v>350</v>
      </c>
      <c r="C4519" s="1">
        <f>(Tabela1[[#This Row],[x]]-H$3)*(Tabela1[[#This Row],[x]]-H$3) +(Tabela1[[#This Row],[y]]-H$4)*(Tabela1[[#This Row],[y]]-H$4)</f>
        <v>25864</v>
      </c>
      <c r="D4519" s="1">
        <f>IF(Tabela1[[#This Row],[promien]]&lt;40000,1,0)</f>
        <v>1</v>
      </c>
      <c r="E4519" s="1">
        <f>IF(Tabela1[[#This Row],[promien]]=40000,1,0)</f>
        <v>0</v>
      </c>
      <c r="F4519" s="1">
        <v>3.1706129674706793</v>
      </c>
      <c r="G4519" s="1">
        <v>2.9020313880886217E-2</v>
      </c>
    </row>
    <row r="4520" spans="1:7">
      <c r="A4520">
        <v>158</v>
      </c>
      <c r="B4520">
        <v>374</v>
      </c>
      <c r="C4520" s="1">
        <f>(Tabela1[[#This Row],[x]]-H$3)*(Tabela1[[#This Row],[x]]-H$3) +(Tabela1[[#This Row],[y]]-H$4)*(Tabela1[[#This Row],[y]]-H$4)</f>
        <v>32040</v>
      </c>
      <c r="D4520" s="1">
        <f>IF(Tabela1[[#This Row],[promien]]&lt;40000,1,0)</f>
        <v>1</v>
      </c>
      <c r="E4520" s="1">
        <f>IF(Tabela1[[#This Row],[promien]]=40000,1,0)</f>
        <v>0</v>
      </c>
      <c r="F4520" s="1">
        <v>3.1707964601769913</v>
      </c>
      <c r="G4520" s="1">
        <v>2.9203806587198233E-2</v>
      </c>
    </row>
    <row r="4521" spans="1:7">
      <c r="A4521">
        <v>197</v>
      </c>
      <c r="B4521">
        <v>266</v>
      </c>
      <c r="C4521" s="1">
        <f>(Tabela1[[#This Row],[x]]-H$3)*(Tabela1[[#This Row],[x]]-H$3) +(Tabela1[[#This Row],[y]]-H$4)*(Tabela1[[#This Row],[y]]-H$4)</f>
        <v>4365</v>
      </c>
      <c r="D4521" s="1">
        <f>IF(Tabela1[[#This Row],[promien]]&lt;40000,1,0)</f>
        <v>1</v>
      </c>
      <c r="E4521" s="1">
        <f>IF(Tabela1[[#This Row],[promien]]=40000,1,0)</f>
        <v>0</v>
      </c>
      <c r="F4521" s="1">
        <v>3.1709798717097986</v>
      </c>
      <c r="G4521" s="1">
        <v>2.9387218120005443E-2</v>
      </c>
    </row>
    <row r="4522" spans="1:7">
      <c r="A4522">
        <v>307</v>
      </c>
      <c r="B4522">
        <v>162</v>
      </c>
      <c r="C4522" s="1">
        <f>(Tabela1[[#This Row],[x]]-H$3)*(Tabela1[[#This Row],[x]]-H$3) +(Tabela1[[#This Row],[y]]-H$4)*(Tabela1[[#This Row],[y]]-H$4)</f>
        <v>12893</v>
      </c>
      <c r="D4522" s="1">
        <f>IF(Tabela1[[#This Row],[promien]]&lt;40000,1,0)</f>
        <v>1</v>
      </c>
      <c r="E4522" s="1">
        <f>IF(Tabela1[[#This Row],[promien]]=40000,1,0)</f>
        <v>0</v>
      </c>
      <c r="F4522" s="1">
        <v>3.1711632021229543</v>
      </c>
      <c r="G4522" s="1">
        <v>2.9570548533161212E-2</v>
      </c>
    </row>
    <row r="4523" spans="1:7">
      <c r="A4523">
        <v>365</v>
      </c>
      <c r="B4523">
        <v>74</v>
      </c>
      <c r="C4523" s="1">
        <f>(Tabela1[[#This Row],[x]]-H$3)*(Tabela1[[#This Row],[x]]-H$3) +(Tabela1[[#This Row],[y]]-H$4)*(Tabela1[[#This Row],[y]]-H$4)</f>
        <v>43101</v>
      </c>
      <c r="D4523" s="1">
        <f>IF(Tabela1[[#This Row],[promien]]&lt;40000,1,0)</f>
        <v>0</v>
      </c>
      <c r="E4523" s="1">
        <f>IF(Tabela1[[#This Row],[promien]]=40000,1,0)</f>
        <v>0</v>
      </c>
      <c r="F4523" s="1">
        <v>3.1704620826884811</v>
      </c>
      <c r="G4523" s="1">
        <v>2.8869429098687949E-2</v>
      </c>
    </row>
    <row r="4524" spans="1:7">
      <c r="A4524">
        <v>53</v>
      </c>
      <c r="B4524">
        <v>152</v>
      </c>
      <c r="C4524" s="1">
        <f>(Tabela1[[#This Row],[x]]-H$3)*(Tabela1[[#This Row],[x]]-H$3) +(Tabela1[[#This Row],[y]]-H$4)*(Tabela1[[#This Row],[y]]-H$4)</f>
        <v>23913</v>
      </c>
      <c r="D4524" s="1">
        <f>IF(Tabela1[[#This Row],[promien]]&lt;40000,1,0)</f>
        <v>1</v>
      </c>
      <c r="E4524" s="1">
        <f>IF(Tabela1[[#This Row],[promien]]=40000,1,0)</f>
        <v>0</v>
      </c>
      <c r="F4524" s="1">
        <v>3.1706454465075153</v>
      </c>
      <c r="G4524" s="1">
        <v>2.9052792917722225E-2</v>
      </c>
    </row>
    <row r="4525" spans="1:7">
      <c r="A4525">
        <v>182</v>
      </c>
      <c r="B4525">
        <v>167</v>
      </c>
      <c r="C4525" s="1">
        <f>(Tabela1[[#This Row],[x]]-H$3)*(Tabela1[[#This Row],[x]]-H$3) +(Tabela1[[#This Row],[y]]-H$4)*(Tabela1[[#This Row],[y]]-H$4)</f>
        <v>1413</v>
      </c>
      <c r="D4525" s="1">
        <f>IF(Tabela1[[#This Row],[promien]]&lt;40000,1,0)</f>
        <v>1</v>
      </c>
      <c r="E4525" s="1">
        <f>IF(Tabela1[[#This Row],[promien]]=40000,1,0)</f>
        <v>0</v>
      </c>
      <c r="F4525" s="1">
        <v>3.1708287292817681</v>
      </c>
      <c r="G4525" s="1">
        <v>2.923607569197495E-2</v>
      </c>
    </row>
    <row r="4526" spans="1:7">
      <c r="A4526">
        <v>112</v>
      </c>
      <c r="B4526">
        <v>199</v>
      </c>
      <c r="C4526" s="1">
        <f>(Tabela1[[#This Row],[x]]-H$3)*(Tabela1[[#This Row],[x]]-H$3) +(Tabela1[[#This Row],[y]]-H$4)*(Tabela1[[#This Row],[y]]-H$4)</f>
        <v>7745</v>
      </c>
      <c r="D4526" s="1">
        <f>IF(Tabela1[[#This Row],[promien]]&lt;40000,1,0)</f>
        <v>1</v>
      </c>
      <c r="E4526" s="1">
        <f>IF(Tabela1[[#This Row],[promien]]=40000,1,0)</f>
        <v>0</v>
      </c>
      <c r="F4526" s="1">
        <v>3.171011931064958</v>
      </c>
      <c r="G4526" s="1">
        <v>2.9419277475164929E-2</v>
      </c>
    </row>
    <row r="4527" spans="1:7">
      <c r="A4527">
        <v>309</v>
      </c>
      <c r="B4527">
        <v>386</v>
      </c>
      <c r="C4527" s="1">
        <f>(Tabela1[[#This Row],[x]]-H$3)*(Tabela1[[#This Row],[x]]-H$3) +(Tabela1[[#This Row],[y]]-H$4)*(Tabela1[[#This Row],[y]]-H$4)</f>
        <v>46477</v>
      </c>
      <c r="D4527" s="1">
        <f>IF(Tabela1[[#This Row],[promien]]&lt;40000,1,0)</f>
        <v>0</v>
      </c>
      <c r="E4527" s="1">
        <f>IF(Tabela1[[#This Row],[promien]]=40000,1,0)</f>
        <v>0</v>
      </c>
      <c r="F4527" s="1">
        <v>3.1703114645460571</v>
      </c>
      <c r="G4527" s="1">
        <v>2.871881095626394E-2</v>
      </c>
    </row>
    <row r="4528" spans="1:7">
      <c r="A4528">
        <v>221</v>
      </c>
      <c r="B4528">
        <v>220</v>
      </c>
      <c r="C4528" s="1">
        <f>(Tabela1[[#This Row],[x]]-H$3)*(Tabela1[[#This Row],[x]]-H$3) +(Tabela1[[#This Row],[y]]-H$4)*(Tabela1[[#This Row],[y]]-H$4)</f>
        <v>841</v>
      </c>
      <c r="D4528" s="1">
        <f>IF(Tabela1[[#This Row],[promien]]&lt;40000,1,0)</f>
        <v>1</v>
      </c>
      <c r="E4528" s="1">
        <f>IF(Tabela1[[#This Row],[promien]]=40000,1,0)</f>
        <v>0</v>
      </c>
      <c r="F4528" s="1">
        <v>3.170494699646643</v>
      </c>
      <c r="G4528" s="1">
        <v>2.8902046056849873E-2</v>
      </c>
    </row>
    <row r="4529" spans="1:7">
      <c r="A4529">
        <v>351</v>
      </c>
      <c r="B4529">
        <v>80</v>
      </c>
      <c r="C4529" s="1">
        <f>(Tabela1[[#This Row],[x]]-H$3)*(Tabela1[[#This Row],[x]]-H$3) +(Tabela1[[#This Row],[y]]-H$4)*(Tabela1[[#This Row],[y]]-H$4)</f>
        <v>37201</v>
      </c>
      <c r="D4529" s="1">
        <f>IF(Tabela1[[#This Row],[promien]]&lt;40000,1,0)</f>
        <v>1</v>
      </c>
      <c r="E4529" s="1">
        <f>IF(Tabela1[[#This Row],[promien]]=40000,1,0)</f>
        <v>0</v>
      </c>
      <c r="F4529" s="1">
        <v>3.1706778538308678</v>
      </c>
      <c r="G4529" s="1">
        <v>2.9085200241074638E-2</v>
      </c>
    </row>
    <row r="4530" spans="1:7">
      <c r="A4530">
        <v>365</v>
      </c>
      <c r="B4530">
        <v>249</v>
      </c>
      <c r="C4530" s="1">
        <f>(Tabela1[[#This Row],[x]]-H$3)*(Tabela1[[#This Row],[x]]-H$3) +(Tabela1[[#This Row],[y]]-H$4)*(Tabela1[[#This Row],[y]]-H$4)</f>
        <v>29626</v>
      </c>
      <c r="D4530" s="1">
        <f>IF(Tabela1[[#This Row],[promien]]&lt;40000,1,0)</f>
        <v>1</v>
      </c>
      <c r="E4530" s="1">
        <f>IF(Tabela1[[#This Row],[promien]]=40000,1,0)</f>
        <v>0</v>
      </c>
      <c r="F4530" s="1">
        <v>3.1708609271523178</v>
      </c>
      <c r="G4530" s="1">
        <v>2.9268273562524705E-2</v>
      </c>
    </row>
    <row r="4531" spans="1:7">
      <c r="A4531">
        <v>358</v>
      </c>
      <c r="B4531">
        <v>300</v>
      </c>
      <c r="C4531" s="1">
        <f>(Tabela1[[#This Row],[x]]-H$3)*(Tabela1[[#This Row],[x]]-H$3) +(Tabela1[[#This Row],[y]]-H$4)*(Tabela1[[#This Row],[y]]-H$4)</f>
        <v>34964</v>
      </c>
      <c r="D4531" s="1">
        <f>IF(Tabela1[[#This Row],[promien]]&lt;40000,1,0)</f>
        <v>1</v>
      </c>
      <c r="E4531" s="1">
        <f>IF(Tabela1[[#This Row],[promien]]=40000,1,0)</f>
        <v>0</v>
      </c>
      <c r="F4531" s="1">
        <v>3.171043919664533</v>
      </c>
      <c r="G4531" s="1">
        <v>2.9451266074739912E-2</v>
      </c>
    </row>
    <row r="4532" spans="1:7">
      <c r="A4532">
        <v>125</v>
      </c>
      <c r="B4532">
        <v>183</v>
      </c>
      <c r="C4532" s="1">
        <f>(Tabela1[[#This Row],[x]]-H$3)*(Tabela1[[#This Row],[x]]-H$3) +(Tabela1[[#This Row],[y]]-H$4)*(Tabela1[[#This Row],[y]]-H$4)</f>
        <v>5914</v>
      </c>
      <c r="D4532" s="1">
        <f>IF(Tabela1[[#This Row],[promien]]&lt;40000,1,0)</f>
        <v>1</v>
      </c>
      <c r="E4532" s="1">
        <f>IF(Tabela1[[#This Row],[promien]]=40000,1,0)</f>
        <v>0</v>
      </c>
      <c r="F4532" s="1">
        <v>3.1712268314210061</v>
      </c>
      <c r="G4532" s="1">
        <v>2.9634177831213027E-2</v>
      </c>
    </row>
    <row r="4533" spans="1:7">
      <c r="A4533">
        <v>7</v>
      </c>
      <c r="B4533">
        <v>206</v>
      </c>
      <c r="C4533" s="1">
        <f>(Tabela1[[#This Row],[x]]-H$3)*(Tabela1[[#This Row],[x]]-H$3) +(Tabela1[[#This Row],[y]]-H$4)*(Tabela1[[#This Row],[y]]-H$4)</f>
        <v>37285</v>
      </c>
      <c r="D4533" s="1">
        <f>IF(Tabela1[[#This Row],[promien]]&lt;40000,1,0)</f>
        <v>1</v>
      </c>
      <c r="E4533" s="1">
        <f>IF(Tabela1[[#This Row],[promien]]=40000,1,0)</f>
        <v>0</v>
      </c>
      <c r="F4533" s="1">
        <v>3.171409662475182</v>
      </c>
      <c r="G4533" s="1">
        <v>2.9817008885388852E-2</v>
      </c>
    </row>
    <row r="4534" spans="1:7">
      <c r="A4534">
        <v>297</v>
      </c>
      <c r="B4534">
        <v>138</v>
      </c>
      <c r="C4534" s="1">
        <f>(Tabela1[[#This Row],[x]]-H$3)*(Tabela1[[#This Row],[x]]-H$3) +(Tabela1[[#This Row],[y]]-H$4)*(Tabela1[[#This Row],[y]]-H$4)</f>
        <v>13253</v>
      </c>
      <c r="D4534" s="1">
        <f>IF(Tabela1[[#This Row],[promien]]&lt;40000,1,0)</f>
        <v>1</v>
      </c>
      <c r="E4534" s="1">
        <f>IF(Tabela1[[#This Row],[promien]]=40000,1,0)</f>
        <v>0</v>
      </c>
      <c r="F4534" s="1">
        <v>3.1715924128804587</v>
      </c>
      <c r="G4534" s="1">
        <v>2.9999759290665562E-2</v>
      </c>
    </row>
    <row r="4535" spans="1:7">
      <c r="A4535">
        <v>243</v>
      </c>
      <c r="B4535">
        <v>83</v>
      </c>
      <c r="C4535" s="1">
        <f>(Tabela1[[#This Row],[x]]-H$3)*(Tabela1[[#This Row],[x]]-H$3) +(Tabela1[[#This Row],[y]]-H$4)*(Tabela1[[#This Row],[y]]-H$4)</f>
        <v>15538</v>
      </c>
      <c r="D4535" s="1">
        <f>IF(Tabela1[[#This Row],[promien]]&lt;40000,1,0)</f>
        <v>1</v>
      </c>
      <c r="E4535" s="1">
        <f>IF(Tabela1[[#This Row],[promien]]=40000,1,0)</f>
        <v>0</v>
      </c>
      <c r="F4535" s="1">
        <v>3.1717750826901874</v>
      </c>
      <c r="G4535" s="1">
        <v>3.0182429100394259E-2</v>
      </c>
    </row>
    <row r="4536" spans="1:7">
      <c r="A4536">
        <v>195</v>
      </c>
      <c r="B4536">
        <v>261</v>
      </c>
      <c r="C4536" s="1">
        <f>(Tabela1[[#This Row],[x]]-H$3)*(Tabela1[[#This Row],[x]]-H$3) +(Tabela1[[#This Row],[y]]-H$4)*(Tabela1[[#This Row],[y]]-H$4)</f>
        <v>3746</v>
      </c>
      <c r="D4536" s="1">
        <f>IF(Tabela1[[#This Row],[promien]]&lt;40000,1,0)</f>
        <v>1</v>
      </c>
      <c r="E4536" s="1">
        <f>IF(Tabela1[[#This Row],[promien]]=40000,1,0)</f>
        <v>0</v>
      </c>
      <c r="F4536" s="1">
        <v>3.1719576719576721</v>
      </c>
      <c r="G4536" s="1">
        <v>3.0365018367878971E-2</v>
      </c>
    </row>
    <row r="4537" spans="1:7">
      <c r="A4537">
        <v>10</v>
      </c>
      <c r="B4537">
        <v>133</v>
      </c>
      <c r="C4537" s="1">
        <f>(Tabela1[[#This Row],[x]]-H$3)*(Tabela1[[#This Row],[x]]-H$3) +(Tabela1[[#This Row],[y]]-H$4)*(Tabela1[[#This Row],[y]]-H$4)</f>
        <v>40589</v>
      </c>
      <c r="D4537" s="1">
        <f>IF(Tabela1[[#This Row],[promien]]&lt;40000,1,0)</f>
        <v>0</v>
      </c>
      <c r="E4537" s="1">
        <f>IF(Tabela1[[#This Row],[promien]]=40000,1,0)</f>
        <v>0</v>
      </c>
      <c r="F4537" s="1">
        <v>3.1712585408860479</v>
      </c>
      <c r="G4537" s="1">
        <v>2.9665887296254745E-2</v>
      </c>
    </row>
    <row r="4538" spans="1:7">
      <c r="A4538">
        <v>364</v>
      </c>
      <c r="B4538">
        <v>35</v>
      </c>
      <c r="C4538" s="1">
        <f>(Tabela1[[#This Row],[x]]-H$3)*(Tabela1[[#This Row],[x]]-H$3) +(Tabela1[[#This Row],[y]]-H$4)*(Tabela1[[#This Row],[y]]-H$4)</f>
        <v>54121</v>
      </c>
      <c r="D4538" s="1">
        <f>IF(Tabela1[[#This Row],[promien]]&lt;40000,1,0)</f>
        <v>0</v>
      </c>
      <c r="E4538" s="1">
        <f>IF(Tabela1[[#This Row],[promien]]=40000,1,0)</f>
        <v>0</v>
      </c>
      <c r="F4538" s="1">
        <v>3.1705597179374174</v>
      </c>
      <c r="G4538" s="1">
        <v>2.8967064347624305E-2</v>
      </c>
    </row>
    <row r="4539" spans="1:7">
      <c r="A4539">
        <v>207</v>
      </c>
      <c r="B4539">
        <v>198</v>
      </c>
      <c r="C4539" s="1">
        <f>(Tabela1[[#This Row],[x]]-H$3)*(Tabela1[[#This Row],[x]]-H$3) +(Tabela1[[#This Row],[y]]-H$4)*(Tabela1[[#This Row],[y]]-H$4)</f>
        <v>53</v>
      </c>
      <c r="D4539" s="1">
        <f>IF(Tabela1[[#This Row],[promien]]&lt;40000,1,0)</f>
        <v>1</v>
      </c>
      <c r="E4539" s="1">
        <f>IF(Tabela1[[#This Row],[promien]]=40000,1,0)</f>
        <v>0</v>
      </c>
      <c r="F4539" s="1">
        <v>3.1707424542850848</v>
      </c>
      <c r="G4539" s="1">
        <v>2.9149800695291717E-2</v>
      </c>
    </row>
    <row r="4540" spans="1:7">
      <c r="A4540">
        <v>89</v>
      </c>
      <c r="B4540">
        <v>66</v>
      </c>
      <c r="C4540" s="1">
        <f>(Tabela1[[#This Row],[x]]-H$3)*(Tabela1[[#This Row],[x]]-H$3) +(Tabela1[[#This Row],[y]]-H$4)*(Tabela1[[#This Row],[y]]-H$4)</f>
        <v>30277</v>
      </c>
      <c r="D4540" s="1">
        <f>IF(Tabela1[[#This Row],[promien]]&lt;40000,1,0)</f>
        <v>1</v>
      </c>
      <c r="E4540" s="1">
        <f>IF(Tabela1[[#This Row],[promien]]=40000,1,0)</f>
        <v>0</v>
      </c>
      <c r="F4540" s="1">
        <v>3.1709251101321585</v>
      </c>
      <c r="G4540" s="1">
        <v>2.9332456542365382E-2</v>
      </c>
    </row>
    <row r="4541" spans="1:7">
      <c r="A4541">
        <v>240</v>
      </c>
      <c r="B4541">
        <v>209</v>
      </c>
      <c r="C4541" s="1">
        <f>(Tabela1[[#This Row],[x]]-H$3)*(Tabela1[[#This Row],[x]]-H$3) +(Tabela1[[#This Row],[y]]-H$4)*(Tabela1[[#This Row],[y]]-H$4)</f>
        <v>1681</v>
      </c>
      <c r="D4541" s="1">
        <f>IF(Tabela1[[#This Row],[promien]]&lt;40000,1,0)</f>
        <v>1</v>
      </c>
      <c r="E4541" s="1">
        <f>IF(Tabela1[[#This Row],[promien]]=40000,1,0)</f>
        <v>0</v>
      </c>
      <c r="F4541" s="1">
        <v>3.1711076855318212</v>
      </c>
      <c r="G4541" s="1">
        <v>2.9515031942028092E-2</v>
      </c>
    </row>
    <row r="4542" spans="1:7">
      <c r="A4542">
        <v>6</v>
      </c>
      <c r="B4542">
        <v>138</v>
      </c>
      <c r="C4542" s="1">
        <f>(Tabela1[[#This Row],[x]]-H$3)*(Tabela1[[#This Row],[x]]-H$3) +(Tabela1[[#This Row],[y]]-H$4)*(Tabela1[[#This Row],[y]]-H$4)</f>
        <v>41480</v>
      </c>
      <c r="D4542" s="1">
        <f>IF(Tabela1[[#This Row],[promien]]&lt;40000,1,0)</f>
        <v>0</v>
      </c>
      <c r="E4542" s="1">
        <f>IF(Tabela1[[#This Row],[promien]]=40000,1,0)</f>
        <v>0</v>
      </c>
      <c r="F4542" s="1">
        <v>3.1704095112285335</v>
      </c>
      <c r="G4542" s="1">
        <v>2.8816857638740423E-2</v>
      </c>
    </row>
    <row r="4543" spans="1:7">
      <c r="A4543">
        <v>187</v>
      </c>
      <c r="B4543">
        <v>20</v>
      </c>
      <c r="C4543" s="1">
        <f>(Tabela1[[#This Row],[x]]-H$3)*(Tabela1[[#This Row],[x]]-H$3) +(Tabela1[[#This Row],[y]]-H$4)*(Tabela1[[#This Row],[y]]-H$4)</f>
        <v>32569</v>
      </c>
      <c r="D4543" s="1">
        <f>IF(Tabela1[[#This Row],[promien]]&lt;40000,1,0)</f>
        <v>1</v>
      </c>
      <c r="E4543" s="1">
        <f>IF(Tabela1[[#This Row],[promien]]=40000,1,0)</f>
        <v>0</v>
      </c>
      <c r="F4543" s="1">
        <v>3.1705921197446623</v>
      </c>
      <c r="G4543" s="1">
        <v>2.8999466154869147E-2</v>
      </c>
    </row>
    <row r="4544" spans="1:7">
      <c r="A4544">
        <v>20</v>
      </c>
      <c r="B4544">
        <v>196</v>
      </c>
      <c r="C4544" s="1">
        <f>(Tabela1[[#This Row],[x]]-H$3)*(Tabela1[[#This Row],[x]]-H$3) +(Tabela1[[#This Row],[y]]-H$4)*(Tabela1[[#This Row],[y]]-H$4)</f>
        <v>32416</v>
      </c>
      <c r="D4544" s="1">
        <f>IF(Tabela1[[#This Row],[promien]]&lt;40000,1,0)</f>
        <v>1</v>
      </c>
      <c r="E4544" s="1">
        <f>IF(Tabela1[[#This Row],[promien]]=40000,1,0)</f>
        <v>0</v>
      </c>
      <c r="F4544" s="1">
        <v>3.170774647887324</v>
      </c>
      <c r="G4544" s="1">
        <v>2.9181994297530878E-2</v>
      </c>
    </row>
    <row r="4545" spans="1:7">
      <c r="A4545">
        <v>123</v>
      </c>
      <c r="B4545">
        <v>1</v>
      </c>
      <c r="C4545" s="1">
        <f>(Tabela1[[#This Row],[x]]-H$3)*(Tabela1[[#This Row],[x]]-H$3) +(Tabela1[[#This Row],[y]]-H$4)*(Tabela1[[#This Row],[y]]-H$4)</f>
        <v>45530</v>
      </c>
      <c r="D4545" s="1">
        <f>IF(Tabela1[[#This Row],[promien]]&lt;40000,1,0)</f>
        <v>0</v>
      </c>
      <c r="E4545" s="1">
        <f>IF(Tabela1[[#This Row],[promien]]=40000,1,0)</f>
        <v>0</v>
      </c>
      <c r="F4545" s="1">
        <v>3.1700770077007703</v>
      </c>
      <c r="G4545" s="1">
        <v>2.8484354110977161E-2</v>
      </c>
    </row>
    <row r="4546" spans="1:7">
      <c r="A4546">
        <v>219</v>
      </c>
      <c r="B4546">
        <v>148</v>
      </c>
      <c r="C4546" s="1">
        <f>(Tabela1[[#This Row],[x]]-H$3)*(Tabela1[[#This Row],[x]]-H$3) +(Tabela1[[#This Row],[y]]-H$4)*(Tabela1[[#This Row],[y]]-H$4)</f>
        <v>3065</v>
      </c>
      <c r="D4546" s="1">
        <f>IF(Tabela1[[#This Row],[promien]]&lt;40000,1,0)</f>
        <v>1</v>
      </c>
      <c r="E4546" s="1">
        <f>IF(Tabela1[[#This Row],[promien]]=40000,1,0)</f>
        <v>0</v>
      </c>
      <c r="F4546" s="1">
        <v>3.1702595688517379</v>
      </c>
      <c r="G4546" s="1">
        <v>2.8666915261944759E-2</v>
      </c>
    </row>
    <row r="4547" spans="1:7">
      <c r="A4547">
        <v>284</v>
      </c>
      <c r="B4547">
        <v>235</v>
      </c>
      <c r="C4547" s="1">
        <f>(Tabela1[[#This Row],[x]]-H$3)*(Tabela1[[#This Row],[x]]-H$3) +(Tabela1[[#This Row],[y]]-H$4)*(Tabela1[[#This Row],[y]]-H$4)</f>
        <v>8281</v>
      </c>
      <c r="D4547" s="1">
        <f>IF(Tabela1[[#This Row],[promien]]&lt;40000,1,0)</f>
        <v>1</v>
      </c>
      <c r="E4547" s="1">
        <f>IF(Tabela1[[#This Row],[promien]]=40000,1,0)</f>
        <v>0</v>
      </c>
      <c r="F4547" s="1">
        <v>3.1704420497031007</v>
      </c>
      <c r="G4547" s="1">
        <v>2.8849396113307613E-2</v>
      </c>
    </row>
    <row r="4548" spans="1:7">
      <c r="A4548">
        <v>163</v>
      </c>
      <c r="B4548">
        <v>260</v>
      </c>
      <c r="C4548" s="1">
        <f>(Tabela1[[#This Row],[x]]-H$3)*(Tabela1[[#This Row],[x]]-H$3) +(Tabela1[[#This Row],[y]]-H$4)*(Tabela1[[#This Row],[y]]-H$4)</f>
        <v>4969</v>
      </c>
      <c r="D4548" s="1">
        <f>IF(Tabela1[[#This Row],[promien]]&lt;40000,1,0)</f>
        <v>1</v>
      </c>
      <c r="E4548" s="1">
        <f>IF(Tabela1[[#This Row],[promien]]=40000,1,0)</f>
        <v>0</v>
      </c>
      <c r="F4548" s="1">
        <v>3.1706244503078276</v>
      </c>
      <c r="G4548" s="1">
        <v>2.9031796718034464E-2</v>
      </c>
    </row>
    <row r="4549" spans="1:7">
      <c r="A4549">
        <v>307</v>
      </c>
      <c r="B4549">
        <v>3</v>
      </c>
      <c r="C4549" s="1">
        <f>(Tabela1[[#This Row],[x]]-H$3)*(Tabela1[[#This Row],[x]]-H$3) +(Tabela1[[#This Row],[y]]-H$4)*(Tabela1[[#This Row],[y]]-H$4)</f>
        <v>50258</v>
      </c>
      <c r="D4549" s="1">
        <f>IF(Tabela1[[#This Row],[promien]]&lt;40000,1,0)</f>
        <v>0</v>
      </c>
      <c r="E4549" s="1">
        <f>IF(Tabela1[[#This Row],[promien]]=40000,1,0)</f>
        <v>0</v>
      </c>
      <c r="F4549" s="1">
        <v>3.1699274565838644</v>
      </c>
      <c r="G4549" s="1">
        <v>2.8334802994071318E-2</v>
      </c>
    </row>
    <row r="4550" spans="1:7">
      <c r="A4550">
        <v>173</v>
      </c>
      <c r="B4550">
        <v>367</v>
      </c>
      <c r="C4550" s="1">
        <f>(Tabela1[[#This Row],[x]]-H$3)*(Tabela1[[#This Row],[x]]-H$3) +(Tabela1[[#This Row],[y]]-H$4)*(Tabela1[[#This Row],[y]]-H$4)</f>
        <v>28618</v>
      </c>
      <c r="D4550" s="1">
        <f>IF(Tabela1[[#This Row],[promien]]&lt;40000,1,0)</f>
        <v>1</v>
      </c>
      <c r="E4550" s="1">
        <f>IF(Tabela1[[#This Row],[promien]]=40000,1,0)</f>
        <v>0</v>
      </c>
      <c r="F4550" s="1">
        <v>3.1701098901098903</v>
      </c>
      <c r="G4550" s="1">
        <v>2.8517236520097189E-2</v>
      </c>
    </row>
    <row r="4551" spans="1:7">
      <c r="A4551">
        <v>373</v>
      </c>
      <c r="B4551">
        <v>18</v>
      </c>
      <c r="C4551" s="1">
        <f>(Tabela1[[#This Row],[x]]-H$3)*(Tabela1[[#This Row],[x]]-H$3) +(Tabela1[[#This Row],[y]]-H$4)*(Tabela1[[#This Row],[y]]-H$4)</f>
        <v>63053</v>
      </c>
      <c r="D4551" s="1">
        <f>IF(Tabela1[[#This Row],[promien]]&lt;40000,1,0)</f>
        <v>0</v>
      </c>
      <c r="E4551" s="1">
        <f>IF(Tabela1[[#This Row],[promien]]=40000,1,0)</f>
        <v>0</v>
      </c>
      <c r="F4551" s="1">
        <v>3.1694133157547792</v>
      </c>
      <c r="G4551" s="1">
        <v>2.7820662164986132E-2</v>
      </c>
    </row>
    <row r="4552" spans="1:7">
      <c r="A4552">
        <v>379</v>
      </c>
      <c r="B4552">
        <v>144</v>
      </c>
      <c r="C4552" s="1">
        <f>(Tabela1[[#This Row],[x]]-H$3)*(Tabela1[[#This Row],[x]]-H$3) +(Tabela1[[#This Row],[y]]-H$4)*(Tabela1[[#This Row],[y]]-H$4)</f>
        <v>35177</v>
      </c>
      <c r="D4552" s="1">
        <f>IF(Tabela1[[#This Row],[promien]]&lt;40000,1,0)</f>
        <v>1</v>
      </c>
      <c r="E4552" s="1">
        <f>IF(Tabela1[[#This Row],[promien]]=40000,1,0)</f>
        <v>0</v>
      </c>
      <c r="F4552" s="1">
        <v>3.1695957820738139</v>
      </c>
      <c r="G4552" s="1">
        <v>2.8003128484020756E-2</v>
      </c>
    </row>
    <row r="4553" spans="1:7">
      <c r="A4553">
        <v>217</v>
      </c>
      <c r="B4553">
        <v>71</v>
      </c>
      <c r="C4553" s="1">
        <f>(Tabela1[[#This Row],[x]]-H$3)*(Tabela1[[#This Row],[x]]-H$3) +(Tabela1[[#This Row],[y]]-H$4)*(Tabela1[[#This Row],[y]]-H$4)</f>
        <v>16930</v>
      </c>
      <c r="D4553" s="1">
        <f>IF(Tabela1[[#This Row],[promien]]&lt;40000,1,0)</f>
        <v>1</v>
      </c>
      <c r="E4553" s="1">
        <f>IF(Tabela1[[#This Row],[promien]]=40000,1,0)</f>
        <v>0</v>
      </c>
      <c r="F4553" s="1">
        <v>3.1697781682407205</v>
      </c>
      <c r="G4553" s="1">
        <v>2.8185514650927335E-2</v>
      </c>
    </row>
    <row r="4554" spans="1:7">
      <c r="A4554">
        <v>207</v>
      </c>
      <c r="B4554">
        <v>185</v>
      </c>
      <c r="C4554" s="1">
        <f>(Tabela1[[#This Row],[x]]-H$3)*(Tabela1[[#This Row],[x]]-H$3) +(Tabela1[[#This Row],[y]]-H$4)*(Tabela1[[#This Row],[y]]-H$4)</f>
        <v>274</v>
      </c>
      <c r="D4554" s="1">
        <f>IF(Tabela1[[#This Row],[promien]]&lt;40000,1,0)</f>
        <v>1</v>
      </c>
      <c r="E4554" s="1">
        <f>IF(Tabela1[[#This Row],[promien]]=40000,1,0)</f>
        <v>0</v>
      </c>
      <c r="F4554" s="1">
        <v>3.1699604743083003</v>
      </c>
      <c r="G4554" s="1">
        <v>2.8367820718507186E-2</v>
      </c>
    </row>
    <row r="4555" spans="1:7">
      <c r="A4555">
        <v>130</v>
      </c>
      <c r="B4555">
        <v>147</v>
      </c>
      <c r="C4555" s="1">
        <f>(Tabela1[[#This Row],[x]]-H$3)*(Tabela1[[#This Row],[x]]-H$3) +(Tabela1[[#This Row],[y]]-H$4)*(Tabela1[[#This Row],[y]]-H$4)</f>
        <v>7709</v>
      </c>
      <c r="D4555" s="1">
        <f>IF(Tabela1[[#This Row],[promien]]&lt;40000,1,0)</f>
        <v>1</v>
      </c>
      <c r="E4555" s="1">
        <f>IF(Tabela1[[#This Row],[promien]]=40000,1,0)</f>
        <v>0</v>
      </c>
      <c r="F4555" s="1">
        <v>3.1701427003293086</v>
      </c>
      <c r="G4555" s="1">
        <v>2.8550046739515444E-2</v>
      </c>
    </row>
    <row r="4556" spans="1:7">
      <c r="A4556">
        <v>157</v>
      </c>
      <c r="B4556">
        <v>32</v>
      </c>
      <c r="C4556" s="1">
        <f>(Tabela1[[#This Row],[x]]-H$3)*(Tabela1[[#This Row],[x]]-H$3) +(Tabela1[[#This Row],[y]]-H$4)*(Tabela1[[#This Row],[y]]-H$4)</f>
        <v>30073</v>
      </c>
      <c r="D4556" s="1">
        <f>IF(Tabela1[[#This Row],[promien]]&lt;40000,1,0)</f>
        <v>1</v>
      </c>
      <c r="E4556" s="1">
        <f>IF(Tabela1[[#This Row],[promien]]=40000,1,0)</f>
        <v>0</v>
      </c>
      <c r="F4556" s="1">
        <v>3.1703248463564528</v>
      </c>
      <c r="G4556" s="1">
        <v>2.8732192766659725E-2</v>
      </c>
    </row>
    <row r="4557" spans="1:7">
      <c r="A4557">
        <v>273</v>
      </c>
      <c r="B4557">
        <v>200</v>
      </c>
      <c r="C4557" s="1">
        <f>(Tabela1[[#This Row],[x]]-H$3)*(Tabela1[[#This Row],[x]]-H$3) +(Tabela1[[#This Row],[y]]-H$4)*(Tabela1[[#This Row],[y]]-H$4)</f>
        <v>5329</v>
      </c>
      <c r="D4557" s="1">
        <f>IF(Tabela1[[#This Row],[promien]]&lt;40000,1,0)</f>
        <v>1</v>
      </c>
      <c r="E4557" s="1">
        <f>IF(Tabela1[[#This Row],[promien]]=40000,1,0)</f>
        <v>0</v>
      </c>
      <c r="F4557" s="1">
        <v>3.1705069124423964</v>
      </c>
      <c r="G4557" s="1">
        <v>2.8914258852603236E-2</v>
      </c>
    </row>
    <row r="4558" spans="1:7">
      <c r="A4558">
        <v>164</v>
      </c>
      <c r="B4558">
        <v>105</v>
      </c>
      <c r="C4558" s="1">
        <f>(Tabela1[[#This Row],[x]]-H$3)*(Tabela1[[#This Row],[x]]-H$3) +(Tabela1[[#This Row],[y]]-H$4)*(Tabela1[[#This Row],[y]]-H$4)</f>
        <v>10321</v>
      </c>
      <c r="D4558" s="1">
        <f>IF(Tabela1[[#This Row],[promien]]&lt;40000,1,0)</f>
        <v>1</v>
      </c>
      <c r="E4558" s="1">
        <f>IF(Tabela1[[#This Row],[promien]]=40000,1,0)</f>
        <v>0</v>
      </c>
      <c r="F4558" s="1">
        <v>3.1706888986397543</v>
      </c>
      <c r="G4558" s="1">
        <v>2.9096245049961222E-2</v>
      </c>
    </row>
    <row r="4559" spans="1:7">
      <c r="A4559">
        <v>290</v>
      </c>
      <c r="B4559">
        <v>98</v>
      </c>
      <c r="C4559" s="1">
        <f>(Tabela1[[#This Row],[x]]-H$3)*(Tabela1[[#This Row],[x]]-H$3) +(Tabela1[[#This Row],[y]]-H$4)*(Tabela1[[#This Row],[y]]-H$4)</f>
        <v>18504</v>
      </c>
      <c r="D4559" s="1">
        <f>IF(Tabela1[[#This Row],[promien]]&lt;40000,1,0)</f>
        <v>1</v>
      </c>
      <c r="E4559" s="1">
        <f>IF(Tabela1[[#This Row],[promien]]=40000,1,0)</f>
        <v>0</v>
      </c>
      <c r="F4559" s="1">
        <v>3.1708708050010967</v>
      </c>
      <c r="G4559" s="1">
        <v>2.9278151411303632E-2</v>
      </c>
    </row>
    <row r="4560" spans="1:7">
      <c r="A4560">
        <v>191</v>
      </c>
      <c r="B4560">
        <v>41</v>
      </c>
      <c r="C4560" s="1">
        <f>(Tabela1[[#This Row],[x]]-H$3)*(Tabela1[[#This Row],[x]]-H$3) +(Tabela1[[#This Row],[y]]-H$4)*(Tabela1[[#This Row],[y]]-H$4)</f>
        <v>25362</v>
      </c>
      <c r="D4560" s="1">
        <f>IF(Tabela1[[#This Row],[promien]]&lt;40000,1,0)</f>
        <v>1</v>
      </c>
      <c r="E4560" s="1">
        <f>IF(Tabela1[[#This Row],[promien]]=40000,1,0)</f>
        <v>0</v>
      </c>
      <c r="F4560" s="1">
        <v>3.1710526315789473</v>
      </c>
      <c r="G4560" s="1">
        <v>2.9459977989154229E-2</v>
      </c>
    </row>
    <row r="4561" spans="1:7">
      <c r="A4561">
        <v>25</v>
      </c>
      <c r="B4561">
        <v>277</v>
      </c>
      <c r="C4561" s="1">
        <f>(Tabela1[[#This Row],[x]]-H$3)*(Tabela1[[#This Row],[x]]-H$3) +(Tabela1[[#This Row],[y]]-H$4)*(Tabela1[[#This Row],[y]]-H$4)</f>
        <v>36554</v>
      </c>
      <c r="D4561" s="1">
        <f>IF(Tabela1[[#This Row],[promien]]&lt;40000,1,0)</f>
        <v>1</v>
      </c>
      <c r="E4561" s="1">
        <f>IF(Tabela1[[#This Row],[promien]]=40000,1,0)</f>
        <v>0</v>
      </c>
      <c r="F4561" s="1">
        <v>3.1712343784257837</v>
      </c>
      <c r="G4561" s="1">
        <v>2.964172483599059E-2</v>
      </c>
    </row>
    <row r="4562" spans="1:7">
      <c r="A4562">
        <v>180</v>
      </c>
      <c r="B4562">
        <v>351</v>
      </c>
      <c r="C4562" s="1">
        <f>(Tabela1[[#This Row],[x]]-H$3)*(Tabela1[[#This Row],[x]]-H$3) +(Tabela1[[#This Row],[y]]-H$4)*(Tabela1[[#This Row],[y]]-H$4)</f>
        <v>23201</v>
      </c>
      <c r="D4562" s="1">
        <f>IF(Tabela1[[#This Row],[promien]]&lt;40000,1,0)</f>
        <v>1</v>
      </c>
      <c r="E4562" s="1">
        <f>IF(Tabela1[[#This Row],[promien]]=40000,1,0)</f>
        <v>0</v>
      </c>
      <c r="F4562" s="1">
        <v>3.1714160455940377</v>
      </c>
      <c r="G4562" s="1">
        <v>2.9823392004244553E-2</v>
      </c>
    </row>
    <row r="4563" spans="1:7">
      <c r="A4563">
        <v>47</v>
      </c>
      <c r="B4563">
        <v>96</v>
      </c>
      <c r="C4563" s="1">
        <f>(Tabela1[[#This Row],[x]]-H$3)*(Tabela1[[#This Row],[x]]-H$3) +(Tabela1[[#This Row],[y]]-H$4)*(Tabela1[[#This Row],[y]]-H$4)</f>
        <v>34225</v>
      </c>
      <c r="D4563" s="1">
        <f>IF(Tabela1[[#This Row],[promien]]&lt;40000,1,0)</f>
        <v>1</v>
      </c>
      <c r="E4563" s="1">
        <f>IF(Tabela1[[#This Row],[promien]]=40000,1,0)</f>
        <v>0</v>
      </c>
      <c r="F4563" s="1">
        <v>3.1715976331360949</v>
      </c>
      <c r="G4563" s="1">
        <v>3.0004979546301769E-2</v>
      </c>
    </row>
    <row r="4564" spans="1:7">
      <c r="A4564">
        <v>267</v>
      </c>
      <c r="B4564">
        <v>109</v>
      </c>
      <c r="C4564" s="1">
        <f>(Tabela1[[#This Row],[x]]-H$3)*(Tabela1[[#This Row],[x]]-H$3) +(Tabela1[[#This Row],[y]]-H$4)*(Tabela1[[#This Row],[y]]-H$4)</f>
        <v>12770</v>
      </c>
      <c r="D4564" s="1">
        <f>IF(Tabela1[[#This Row],[promien]]&lt;40000,1,0)</f>
        <v>1</v>
      </c>
      <c r="E4564" s="1">
        <f>IF(Tabela1[[#This Row],[promien]]=40000,1,0)</f>
        <v>0</v>
      </c>
      <c r="F4564" s="1">
        <v>3.1717791411042944</v>
      </c>
      <c r="G4564" s="1">
        <v>3.0186487514501259E-2</v>
      </c>
    </row>
    <row r="4565" spans="1:7">
      <c r="A4565">
        <v>200</v>
      </c>
      <c r="B4565">
        <v>336</v>
      </c>
      <c r="C4565" s="1">
        <f>(Tabela1[[#This Row],[x]]-H$3)*(Tabela1[[#This Row],[x]]-H$3) +(Tabela1[[#This Row],[y]]-H$4)*(Tabela1[[#This Row],[y]]-H$4)</f>
        <v>18496</v>
      </c>
      <c r="D4565" s="1">
        <f>IF(Tabela1[[#This Row],[promien]]&lt;40000,1,0)</f>
        <v>1</v>
      </c>
      <c r="E4565" s="1">
        <f>IF(Tabela1[[#This Row],[promien]]=40000,1,0)</f>
        <v>0</v>
      </c>
      <c r="F4565" s="1">
        <v>3.1719605695509312</v>
      </c>
      <c r="G4565" s="1">
        <v>3.0367915961138081E-2</v>
      </c>
    </row>
    <row r="4566" spans="1:7">
      <c r="A4566">
        <v>72</v>
      </c>
      <c r="B4566">
        <v>243</v>
      </c>
      <c r="C4566" s="1">
        <f>(Tabela1[[#This Row],[x]]-H$3)*(Tabela1[[#This Row],[x]]-H$3) +(Tabela1[[#This Row],[y]]-H$4)*(Tabela1[[#This Row],[y]]-H$4)</f>
        <v>18233</v>
      </c>
      <c r="D4566" s="1">
        <f>IF(Tabela1[[#This Row],[promien]]&lt;40000,1,0)</f>
        <v>1</v>
      </c>
      <c r="E4566" s="1">
        <f>IF(Tabela1[[#This Row],[promien]]=40000,1,0)</f>
        <v>0</v>
      </c>
      <c r="F4566" s="1">
        <v>3.1721419185282524</v>
      </c>
      <c r="G4566" s="1">
        <v>3.0549264938459331E-2</v>
      </c>
    </row>
    <row r="4567" spans="1:7">
      <c r="A4567">
        <v>312</v>
      </c>
      <c r="B4567">
        <v>292</v>
      </c>
      <c r="C4567" s="1">
        <f>(Tabela1[[#This Row],[x]]-H$3)*(Tabela1[[#This Row],[x]]-H$3) +(Tabela1[[#This Row],[y]]-H$4)*(Tabela1[[#This Row],[y]]-H$4)</f>
        <v>21008</v>
      </c>
      <c r="D4567" s="1">
        <f>IF(Tabela1[[#This Row],[promien]]&lt;40000,1,0)</f>
        <v>1</v>
      </c>
      <c r="E4567" s="1">
        <f>IF(Tabela1[[#This Row],[promien]]=40000,1,0)</f>
        <v>0</v>
      </c>
      <c r="F4567" s="1">
        <v>3.1723231880884608</v>
      </c>
      <c r="G4567" s="1">
        <v>3.0730534498667694E-2</v>
      </c>
    </row>
    <row r="4568" spans="1:7">
      <c r="A4568">
        <v>279</v>
      </c>
      <c r="B4568">
        <v>195</v>
      </c>
      <c r="C4568" s="1">
        <f>(Tabela1[[#This Row],[x]]-H$3)*(Tabela1[[#This Row],[x]]-H$3) +(Tabela1[[#This Row],[y]]-H$4)*(Tabela1[[#This Row],[y]]-H$4)</f>
        <v>6266</v>
      </c>
      <c r="D4568" s="1">
        <f>IF(Tabela1[[#This Row],[promien]]&lt;40000,1,0)</f>
        <v>1</v>
      </c>
      <c r="E4568" s="1">
        <f>IF(Tabela1[[#This Row],[promien]]=40000,1,0)</f>
        <v>0</v>
      </c>
      <c r="F4568" s="1">
        <v>3.1725043782837128</v>
      </c>
      <c r="G4568" s="1">
        <v>3.0911724693919673E-2</v>
      </c>
    </row>
    <row r="4569" spans="1:7">
      <c r="A4569">
        <v>47</v>
      </c>
      <c r="B4569">
        <v>214</v>
      </c>
      <c r="C4569" s="1">
        <f>(Tabela1[[#This Row],[x]]-H$3)*(Tabela1[[#This Row],[x]]-H$3) +(Tabela1[[#This Row],[y]]-H$4)*(Tabela1[[#This Row],[y]]-H$4)</f>
        <v>23605</v>
      </c>
      <c r="D4569" s="1">
        <f>IF(Tabela1[[#This Row],[promien]]&lt;40000,1,0)</f>
        <v>1</v>
      </c>
      <c r="E4569" s="1">
        <f>IF(Tabela1[[#This Row],[promien]]=40000,1,0)</f>
        <v>0</v>
      </c>
      <c r="F4569" s="1">
        <v>3.1726854891661196</v>
      </c>
      <c r="G4569" s="1">
        <v>3.1092835576326472E-2</v>
      </c>
    </row>
    <row r="4570" spans="1:7">
      <c r="A4570">
        <v>59</v>
      </c>
      <c r="B4570">
        <v>195</v>
      </c>
      <c r="C4570" s="1">
        <f>(Tabela1[[#This Row],[x]]-H$3)*(Tabela1[[#This Row],[x]]-H$3) +(Tabela1[[#This Row],[y]]-H$4)*(Tabela1[[#This Row],[y]]-H$4)</f>
        <v>19906</v>
      </c>
      <c r="D4570" s="1">
        <f>IF(Tabela1[[#This Row],[promien]]&lt;40000,1,0)</f>
        <v>1</v>
      </c>
      <c r="E4570" s="1">
        <f>IF(Tabela1[[#This Row],[promien]]=40000,1,0)</f>
        <v>0</v>
      </c>
      <c r="F4570" s="1">
        <v>3.1728665207877462</v>
      </c>
      <c r="G4570" s="1">
        <v>3.1273867197953109E-2</v>
      </c>
    </row>
    <row r="4571" spans="1:7">
      <c r="A4571">
        <v>159</v>
      </c>
      <c r="B4571">
        <v>217</v>
      </c>
      <c r="C4571" s="1">
        <f>(Tabela1[[#This Row],[x]]-H$3)*(Tabela1[[#This Row],[x]]-H$3) +(Tabela1[[#This Row],[y]]-H$4)*(Tabela1[[#This Row],[y]]-H$4)</f>
        <v>1970</v>
      </c>
      <c r="D4571" s="1">
        <f>IF(Tabela1[[#This Row],[promien]]&lt;40000,1,0)</f>
        <v>1</v>
      </c>
      <c r="E4571" s="1">
        <f>IF(Tabela1[[#This Row],[promien]]=40000,1,0)</f>
        <v>0</v>
      </c>
      <c r="F4571" s="1">
        <v>3.1730474732006124</v>
      </c>
      <c r="G4571" s="1">
        <v>3.1454819610819307E-2</v>
      </c>
    </row>
    <row r="4572" spans="1:7">
      <c r="A4572">
        <v>371</v>
      </c>
      <c r="B4572">
        <v>41</v>
      </c>
      <c r="C4572" s="1">
        <f>(Tabela1[[#This Row],[x]]-H$3)*(Tabela1[[#This Row],[x]]-H$3) +(Tabela1[[#This Row],[y]]-H$4)*(Tabela1[[#This Row],[y]]-H$4)</f>
        <v>54522</v>
      </c>
      <c r="D4572" s="1">
        <f>IF(Tabela1[[#This Row],[promien]]&lt;40000,1,0)</f>
        <v>0</v>
      </c>
      <c r="E4572" s="1">
        <f>IF(Tabela1[[#This Row],[promien]]=40000,1,0)</f>
        <v>0</v>
      </c>
      <c r="F4572" s="1">
        <v>3.1723534558180226</v>
      </c>
      <c r="G4572" s="1">
        <v>3.0760802228229522E-2</v>
      </c>
    </row>
    <row r="4573" spans="1:7">
      <c r="A4573">
        <v>5</v>
      </c>
      <c r="B4573">
        <v>258</v>
      </c>
      <c r="C4573" s="1">
        <f>(Tabela1[[#This Row],[x]]-H$3)*(Tabela1[[#This Row],[x]]-H$3) +(Tabela1[[#This Row],[y]]-H$4)*(Tabela1[[#This Row],[y]]-H$4)</f>
        <v>41389</v>
      </c>
      <c r="D4573" s="1">
        <f>IF(Tabela1[[#This Row],[promien]]&lt;40000,1,0)</f>
        <v>0</v>
      </c>
      <c r="E4573" s="1">
        <f>IF(Tabela1[[#This Row],[promien]]=40000,1,0)</f>
        <v>0</v>
      </c>
      <c r="F4573" s="1">
        <v>3.1716597419636998</v>
      </c>
      <c r="G4573" s="1">
        <v>3.0067088373906703E-2</v>
      </c>
    </row>
    <row r="4574" spans="1:7">
      <c r="A4574">
        <v>43</v>
      </c>
      <c r="B4574">
        <v>97</v>
      </c>
      <c r="C4574" s="1">
        <f>(Tabela1[[#This Row],[x]]-H$3)*(Tabela1[[#This Row],[x]]-H$3) +(Tabela1[[#This Row],[y]]-H$4)*(Tabela1[[#This Row],[y]]-H$4)</f>
        <v>35258</v>
      </c>
      <c r="D4574" s="1">
        <f>IF(Tabela1[[#This Row],[promien]]&lt;40000,1,0)</f>
        <v>1</v>
      </c>
      <c r="E4574" s="1">
        <f>IF(Tabela1[[#This Row],[promien]]=40000,1,0)</f>
        <v>0</v>
      </c>
      <c r="F4574" s="1">
        <v>3.1718408395277655</v>
      </c>
      <c r="G4574" s="1">
        <v>3.0248185937972405E-2</v>
      </c>
    </row>
    <row r="4575" spans="1:7">
      <c r="A4575">
        <v>13</v>
      </c>
      <c r="B4575">
        <v>335</v>
      </c>
      <c r="C4575" s="1">
        <f>(Tabela1[[#This Row],[x]]-H$3)*(Tabela1[[#This Row],[x]]-H$3) +(Tabela1[[#This Row],[y]]-H$4)*(Tabela1[[#This Row],[y]]-H$4)</f>
        <v>53194</v>
      </c>
      <c r="D4575" s="1">
        <f>IF(Tabela1[[#This Row],[promien]]&lt;40000,1,0)</f>
        <v>0</v>
      </c>
      <c r="E4575" s="1">
        <f>IF(Tabela1[[#This Row],[promien]]=40000,1,0)</f>
        <v>0</v>
      </c>
      <c r="F4575" s="1">
        <v>3.1711475409836067</v>
      </c>
      <c r="G4575" s="1">
        <v>2.9554887393813623E-2</v>
      </c>
    </row>
    <row r="4576" spans="1:7">
      <c r="A4576">
        <v>384</v>
      </c>
      <c r="B4576">
        <v>185</v>
      </c>
      <c r="C4576" s="1">
        <f>(Tabela1[[#This Row],[x]]-H$3)*(Tabela1[[#This Row],[x]]-H$3) +(Tabela1[[#This Row],[y]]-H$4)*(Tabela1[[#This Row],[y]]-H$4)</f>
        <v>34081</v>
      </c>
      <c r="D4576" s="1">
        <f>IF(Tabela1[[#This Row],[promien]]&lt;40000,1,0)</f>
        <v>1</v>
      </c>
      <c r="E4576" s="1">
        <f>IF(Tabela1[[#This Row],[promien]]=40000,1,0)</f>
        <v>0</v>
      </c>
      <c r="F4576" s="1">
        <v>3.1713286713286712</v>
      </c>
      <c r="G4576" s="1">
        <v>2.9736017738878129E-2</v>
      </c>
    </row>
    <row r="4577" spans="1:7">
      <c r="A4577">
        <v>367</v>
      </c>
      <c r="B4577">
        <v>131</v>
      </c>
      <c r="C4577" s="1">
        <f>(Tabela1[[#This Row],[x]]-H$3)*(Tabela1[[#This Row],[x]]-H$3) +(Tabela1[[#This Row],[y]]-H$4)*(Tabela1[[#This Row],[y]]-H$4)</f>
        <v>32650</v>
      </c>
      <c r="D4577" s="1">
        <f>IF(Tabela1[[#This Row],[promien]]&lt;40000,1,0)</f>
        <v>1</v>
      </c>
      <c r="E4577" s="1">
        <f>IF(Tabela1[[#This Row],[promien]]=40000,1,0)</f>
        <v>0</v>
      </c>
      <c r="F4577" s="1">
        <v>3.1715097225256716</v>
      </c>
      <c r="G4577" s="1">
        <v>2.9917068935878532E-2</v>
      </c>
    </row>
    <row r="4578" spans="1:7">
      <c r="A4578">
        <v>21</v>
      </c>
      <c r="B4578">
        <v>165</v>
      </c>
      <c r="C4578" s="1">
        <f>(Tabela1[[#This Row],[x]]-H$3)*(Tabela1[[#This Row],[x]]-H$3) +(Tabela1[[#This Row],[y]]-H$4)*(Tabela1[[#This Row],[y]]-H$4)</f>
        <v>33266</v>
      </c>
      <c r="D4578" s="1">
        <f>IF(Tabela1[[#This Row],[promien]]&lt;40000,1,0)</f>
        <v>1</v>
      </c>
      <c r="E4578" s="1">
        <f>IF(Tabela1[[#This Row],[promien]]=40000,1,0)</f>
        <v>0</v>
      </c>
      <c r="F4578" s="1">
        <v>3.1716906946264745</v>
      </c>
      <c r="G4578" s="1">
        <v>3.0098041036681344E-2</v>
      </c>
    </row>
    <row r="4579" spans="1:7">
      <c r="A4579">
        <v>163</v>
      </c>
      <c r="B4579">
        <v>394</v>
      </c>
      <c r="C4579" s="1">
        <f>(Tabela1[[#This Row],[x]]-H$3)*(Tabela1[[#This Row],[x]]-H$3) +(Tabela1[[#This Row],[y]]-H$4)*(Tabela1[[#This Row],[y]]-H$4)</f>
        <v>39005</v>
      </c>
      <c r="D4579" s="1">
        <f>IF(Tabela1[[#This Row],[promien]]&lt;40000,1,0)</f>
        <v>1</v>
      </c>
      <c r="E4579" s="1">
        <f>IF(Tabela1[[#This Row],[promien]]=40000,1,0)</f>
        <v>0</v>
      </c>
      <c r="F4579" s="1">
        <v>3.1718715876829</v>
      </c>
      <c r="G4579" s="1">
        <v>3.0278934093106891E-2</v>
      </c>
    </row>
    <row r="4580" spans="1:7">
      <c r="A4580">
        <v>102</v>
      </c>
      <c r="B4580">
        <v>341</v>
      </c>
      <c r="C4580" s="1">
        <f>(Tabela1[[#This Row],[x]]-H$3)*(Tabela1[[#This Row],[x]]-H$3) +(Tabela1[[#This Row],[y]]-H$4)*(Tabela1[[#This Row],[y]]-H$4)</f>
        <v>29485</v>
      </c>
      <c r="D4580" s="1">
        <f>IF(Tabela1[[#This Row],[promien]]&lt;40000,1,0)</f>
        <v>1</v>
      </c>
      <c r="E4580" s="1">
        <f>IF(Tabela1[[#This Row],[promien]]=40000,1,0)</f>
        <v>0</v>
      </c>
      <c r="F4580" s="1">
        <v>3.1720524017467251</v>
      </c>
      <c r="G4580" s="1">
        <v>3.0459748156931976E-2</v>
      </c>
    </row>
    <row r="4581" spans="1:7">
      <c r="A4581">
        <v>121</v>
      </c>
      <c r="B4581">
        <v>302</v>
      </c>
      <c r="C4581" s="1">
        <f>(Tabela1[[#This Row],[x]]-H$3)*(Tabela1[[#This Row],[x]]-H$3) +(Tabela1[[#This Row],[y]]-H$4)*(Tabela1[[#This Row],[y]]-H$4)</f>
        <v>16645</v>
      </c>
      <c r="D4581" s="1">
        <f>IF(Tabela1[[#This Row],[promien]]&lt;40000,1,0)</f>
        <v>1</v>
      </c>
      <c r="E4581" s="1">
        <f>IF(Tabela1[[#This Row],[promien]]=40000,1,0)</f>
        <v>0</v>
      </c>
      <c r="F4581" s="1">
        <v>3.172233136869679</v>
      </c>
      <c r="G4581" s="1">
        <v>3.0640483279885888E-2</v>
      </c>
    </row>
    <row r="4582" spans="1:7">
      <c r="A4582">
        <v>20</v>
      </c>
      <c r="B4582">
        <v>239</v>
      </c>
      <c r="C4582" s="1">
        <f>(Tabela1[[#This Row],[x]]-H$3)*(Tabela1[[#This Row],[x]]-H$3) +(Tabela1[[#This Row],[y]]-H$4)*(Tabela1[[#This Row],[y]]-H$4)</f>
        <v>33921</v>
      </c>
      <c r="D4582" s="1">
        <f>IF(Tabela1[[#This Row],[promien]]&lt;40000,1,0)</f>
        <v>1</v>
      </c>
      <c r="E4582" s="1">
        <f>IF(Tabela1[[#This Row],[promien]]=40000,1,0)</f>
        <v>0</v>
      </c>
      <c r="F4582" s="1">
        <v>3.1724137931034484</v>
      </c>
      <c r="G4582" s="1">
        <v>3.0821139513655282E-2</v>
      </c>
    </row>
    <row r="4583" spans="1:7">
      <c r="A4583">
        <v>159</v>
      </c>
      <c r="B4583">
        <v>380</v>
      </c>
      <c r="C4583" s="1">
        <f>(Tabela1[[#This Row],[x]]-H$3)*(Tabela1[[#This Row],[x]]-H$3) +(Tabela1[[#This Row],[y]]-H$4)*(Tabela1[[#This Row],[y]]-H$4)</f>
        <v>34081</v>
      </c>
      <c r="D4583" s="1">
        <f>IF(Tabela1[[#This Row],[promien]]&lt;40000,1,0)</f>
        <v>1</v>
      </c>
      <c r="E4583" s="1">
        <f>IF(Tabela1[[#This Row],[promien]]=40000,1,0)</f>
        <v>0</v>
      </c>
      <c r="F4583" s="1">
        <v>3.1725943704996729</v>
      </c>
      <c r="G4583" s="1">
        <v>3.100171690987974E-2</v>
      </c>
    </row>
    <row r="4584" spans="1:7">
      <c r="A4584">
        <v>322</v>
      </c>
      <c r="B4584">
        <v>399</v>
      </c>
      <c r="C4584" s="1">
        <f>(Tabela1[[#This Row],[x]]-H$3)*(Tabela1[[#This Row],[x]]-H$3) +(Tabela1[[#This Row],[y]]-H$4)*(Tabela1[[#This Row],[y]]-H$4)</f>
        <v>54485</v>
      </c>
      <c r="D4584" s="1">
        <f>IF(Tabela1[[#This Row],[promien]]&lt;40000,1,0)</f>
        <v>0</v>
      </c>
      <c r="E4584" s="1">
        <f>IF(Tabela1[[#This Row],[promien]]=40000,1,0)</f>
        <v>0</v>
      </c>
      <c r="F4584" s="1">
        <v>3.1719022687609075</v>
      </c>
      <c r="G4584" s="1">
        <v>3.0309615171114412E-2</v>
      </c>
    </row>
    <row r="4585" spans="1:7">
      <c r="A4585">
        <v>85</v>
      </c>
      <c r="B4585">
        <v>273</v>
      </c>
      <c r="C4585" s="1">
        <f>(Tabela1[[#This Row],[x]]-H$3)*(Tabela1[[#This Row],[x]]-H$3) +(Tabela1[[#This Row],[y]]-H$4)*(Tabela1[[#This Row],[y]]-H$4)</f>
        <v>18554</v>
      </c>
      <c r="D4585" s="1">
        <f>IF(Tabela1[[#This Row],[promien]]&lt;40000,1,0)</f>
        <v>1</v>
      </c>
      <c r="E4585" s="1">
        <f>IF(Tabela1[[#This Row],[promien]]=40000,1,0)</f>
        <v>0</v>
      </c>
      <c r="F4585" s="1">
        <v>3.1720828789531081</v>
      </c>
      <c r="G4585" s="1">
        <v>3.0490225363315027E-2</v>
      </c>
    </row>
    <row r="4586" spans="1:7">
      <c r="A4586">
        <v>357</v>
      </c>
      <c r="B4586">
        <v>367</v>
      </c>
      <c r="C4586" s="1">
        <f>(Tabela1[[#This Row],[x]]-H$3)*(Tabela1[[#This Row],[x]]-H$3) +(Tabela1[[#This Row],[y]]-H$4)*(Tabela1[[#This Row],[y]]-H$4)</f>
        <v>52538</v>
      </c>
      <c r="D4586" s="1">
        <f>IF(Tabela1[[#This Row],[promien]]&lt;40000,1,0)</f>
        <v>0</v>
      </c>
      <c r="E4586" s="1">
        <f>IF(Tabela1[[#This Row],[promien]]=40000,1,0)</f>
        <v>0</v>
      </c>
      <c r="F4586" s="1">
        <v>3.1713911905800263</v>
      </c>
      <c r="G4586" s="1">
        <v>2.979853699023316E-2</v>
      </c>
    </row>
    <row r="4587" spans="1:7">
      <c r="A4587">
        <v>322</v>
      </c>
      <c r="B4587">
        <v>301</v>
      </c>
      <c r="C4587" s="1">
        <f>(Tabela1[[#This Row],[x]]-H$3)*(Tabela1[[#This Row],[x]]-H$3) +(Tabela1[[#This Row],[y]]-H$4)*(Tabela1[[#This Row],[y]]-H$4)</f>
        <v>25085</v>
      </c>
      <c r="D4587" s="1">
        <f>IF(Tabela1[[#This Row],[promien]]&lt;40000,1,0)</f>
        <v>1</v>
      </c>
      <c r="E4587" s="1">
        <f>IF(Tabela1[[#This Row],[promien]]=40000,1,0)</f>
        <v>0</v>
      </c>
      <c r="F4587" s="1">
        <v>3.1715718334423371</v>
      </c>
      <c r="G4587" s="1">
        <v>2.9979179852543947E-2</v>
      </c>
    </row>
    <row r="4588" spans="1:7">
      <c r="A4588">
        <v>283</v>
      </c>
      <c r="B4588">
        <v>287</v>
      </c>
      <c r="C4588" s="1">
        <f>(Tabela1[[#This Row],[x]]-H$3)*(Tabela1[[#This Row],[x]]-H$3) +(Tabela1[[#This Row],[y]]-H$4)*(Tabela1[[#This Row],[y]]-H$4)</f>
        <v>14458</v>
      </c>
      <c r="D4588" s="1">
        <f>IF(Tabela1[[#This Row],[promien]]&lt;40000,1,0)</f>
        <v>1</v>
      </c>
      <c r="E4588" s="1">
        <f>IF(Tabela1[[#This Row],[promien]]=40000,1,0)</f>
        <v>0</v>
      </c>
      <c r="F4588" s="1">
        <v>3.1717523975588491</v>
      </c>
      <c r="G4588" s="1">
        <v>3.0159743969055963E-2</v>
      </c>
    </row>
    <row r="4589" spans="1:7">
      <c r="A4589">
        <v>118</v>
      </c>
      <c r="B4589">
        <v>279</v>
      </c>
      <c r="C4589" s="1">
        <f>(Tabela1[[#This Row],[x]]-H$3)*(Tabela1[[#This Row],[x]]-H$3) +(Tabela1[[#This Row],[y]]-H$4)*(Tabela1[[#This Row],[y]]-H$4)</f>
        <v>12965</v>
      </c>
      <c r="D4589" s="1">
        <f>IF(Tabela1[[#This Row],[promien]]&lt;40000,1,0)</f>
        <v>1</v>
      </c>
      <c r="E4589" s="1">
        <f>IF(Tabela1[[#This Row],[promien]]=40000,1,0)</f>
        <v>0</v>
      </c>
      <c r="F4589" s="1">
        <v>3.1719328829810416</v>
      </c>
      <c r="G4589" s="1">
        <v>3.0340229391248474E-2</v>
      </c>
    </row>
    <row r="4590" spans="1:7">
      <c r="A4590">
        <v>125</v>
      </c>
      <c r="B4590">
        <v>93</v>
      </c>
      <c r="C4590" s="1">
        <f>(Tabela1[[#This Row],[x]]-H$3)*(Tabela1[[#This Row],[x]]-H$3) +(Tabela1[[#This Row],[y]]-H$4)*(Tabela1[[#This Row],[y]]-H$4)</f>
        <v>17074</v>
      </c>
      <c r="D4590" s="1">
        <f>IF(Tabela1[[#This Row],[promien]]&lt;40000,1,0)</f>
        <v>1</v>
      </c>
      <c r="E4590" s="1">
        <f>IF(Tabela1[[#This Row],[promien]]=40000,1,0)</f>
        <v>0</v>
      </c>
      <c r="F4590" s="1">
        <v>3.1721132897603486</v>
      </c>
      <c r="G4590" s="1">
        <v>3.0520636170555449E-2</v>
      </c>
    </row>
    <row r="4591" spans="1:7">
      <c r="A4591">
        <v>11</v>
      </c>
      <c r="B4591">
        <v>95</v>
      </c>
      <c r="C4591" s="1">
        <f>(Tabela1[[#This Row],[x]]-H$3)*(Tabela1[[#This Row],[x]]-H$3) +(Tabela1[[#This Row],[y]]-H$4)*(Tabela1[[#This Row],[y]]-H$4)</f>
        <v>46746</v>
      </c>
      <c r="D4591" s="1">
        <f>IF(Tabela1[[#This Row],[promien]]&lt;40000,1,0)</f>
        <v>0</v>
      </c>
      <c r="E4591" s="1">
        <f>IF(Tabela1[[#This Row],[promien]]=40000,1,0)</f>
        <v>0</v>
      </c>
      <c r="F4591" s="1">
        <v>3.1714223480723156</v>
      </c>
      <c r="G4591" s="1">
        <v>2.9829694482522484E-2</v>
      </c>
    </row>
    <row r="4592" spans="1:7">
      <c r="A4592">
        <v>252</v>
      </c>
      <c r="B4592">
        <v>293</v>
      </c>
      <c r="C4592" s="1">
        <f>(Tabela1[[#This Row],[x]]-H$3)*(Tabela1[[#This Row],[x]]-H$3) +(Tabela1[[#This Row],[y]]-H$4)*(Tabela1[[#This Row],[y]]-H$4)</f>
        <v>11353</v>
      </c>
      <c r="D4592" s="1">
        <f>IF(Tabela1[[#This Row],[promien]]&lt;40000,1,0)</f>
        <v>1</v>
      </c>
      <c r="E4592" s="1">
        <f>IF(Tabela1[[#This Row],[promien]]=40000,1,0)</f>
        <v>0</v>
      </c>
      <c r="F4592" s="1">
        <v>3.1716027874564459</v>
      </c>
      <c r="G4592" s="1">
        <v>3.0010133866652744E-2</v>
      </c>
    </row>
    <row r="4593" spans="1:7">
      <c r="A4593">
        <v>169</v>
      </c>
      <c r="B4593">
        <v>186</v>
      </c>
      <c r="C4593" s="1">
        <f>(Tabela1[[#This Row],[x]]-H$3)*(Tabela1[[#This Row],[x]]-H$3) +(Tabela1[[#This Row],[y]]-H$4)*(Tabela1[[#This Row],[y]]-H$4)</f>
        <v>1157</v>
      </c>
      <c r="D4593" s="1">
        <f>IF(Tabela1[[#This Row],[promien]]&lt;40000,1,0)</f>
        <v>1</v>
      </c>
      <c r="E4593" s="1">
        <f>IF(Tabela1[[#This Row],[promien]]=40000,1,0)</f>
        <v>0</v>
      </c>
      <c r="F4593" s="1">
        <v>3.171783148269105</v>
      </c>
      <c r="G4593" s="1">
        <v>3.0190494679311897E-2</v>
      </c>
    </row>
    <row r="4594" spans="1:7">
      <c r="A4594">
        <v>291</v>
      </c>
      <c r="B4594">
        <v>321</v>
      </c>
      <c r="C4594" s="1">
        <f>(Tabela1[[#This Row],[x]]-H$3)*(Tabela1[[#This Row],[x]]-H$3) +(Tabela1[[#This Row],[y]]-H$4)*(Tabela1[[#This Row],[y]]-H$4)</f>
        <v>22922</v>
      </c>
      <c r="D4594" s="1">
        <f>IF(Tabela1[[#This Row],[promien]]&lt;40000,1,0)</f>
        <v>1</v>
      </c>
      <c r="E4594" s="1">
        <f>IF(Tabela1[[#This Row],[promien]]=40000,1,0)</f>
        <v>0</v>
      </c>
      <c r="F4594" s="1">
        <v>3.1719634305616022</v>
      </c>
      <c r="G4594" s="1">
        <v>3.0370776971809121E-2</v>
      </c>
    </row>
    <row r="4595" spans="1:7">
      <c r="A4595">
        <v>104</v>
      </c>
      <c r="B4595">
        <v>175</v>
      </c>
      <c r="C4595" s="1">
        <f>(Tabela1[[#This Row],[x]]-H$3)*(Tabela1[[#This Row],[x]]-H$3) +(Tabela1[[#This Row],[y]]-H$4)*(Tabela1[[#This Row],[y]]-H$4)</f>
        <v>9841</v>
      </c>
      <c r="D4595" s="1">
        <f>IF(Tabela1[[#This Row],[promien]]&lt;40000,1,0)</f>
        <v>1</v>
      </c>
      <c r="E4595" s="1">
        <f>IF(Tabela1[[#This Row],[promien]]=40000,1,0)</f>
        <v>0</v>
      </c>
      <c r="F4595" s="1">
        <v>3.1721436343852014</v>
      </c>
      <c r="G4595" s="1">
        <v>3.05509807954083E-2</v>
      </c>
    </row>
    <row r="4596" spans="1:7">
      <c r="A4596">
        <v>30</v>
      </c>
      <c r="B4596">
        <v>27</v>
      </c>
      <c r="C4596" s="1">
        <f>(Tabela1[[#This Row],[x]]-H$3)*(Tabela1[[#This Row],[x]]-H$3) +(Tabela1[[#This Row],[y]]-H$4)*(Tabela1[[#This Row],[y]]-H$4)</f>
        <v>58829</v>
      </c>
      <c r="D4596" s="1">
        <f>IF(Tabela1[[#This Row],[promien]]&lt;40000,1,0)</f>
        <v>0</v>
      </c>
      <c r="E4596" s="1">
        <f>IF(Tabela1[[#This Row],[promien]]=40000,1,0)</f>
        <v>0</v>
      </c>
      <c r="F4596" s="1">
        <v>3.1714534377719756</v>
      </c>
      <c r="G4596" s="1">
        <v>2.986078418218252E-2</v>
      </c>
    </row>
    <row r="4597" spans="1:7">
      <c r="A4597">
        <v>160</v>
      </c>
      <c r="B4597">
        <v>164</v>
      </c>
      <c r="C4597" s="1">
        <f>(Tabela1[[#This Row],[x]]-H$3)*(Tabela1[[#This Row],[x]]-H$3) +(Tabela1[[#This Row],[y]]-H$4)*(Tabela1[[#This Row],[y]]-H$4)</f>
        <v>2896</v>
      </c>
      <c r="D4597" s="1">
        <f>IF(Tabela1[[#This Row],[promien]]&lt;40000,1,0)</f>
        <v>1</v>
      </c>
      <c r="E4597" s="1">
        <f>IF(Tabela1[[#This Row],[promien]]=40000,1,0)</f>
        <v>0</v>
      </c>
      <c r="F4597" s="1">
        <v>3.1716336741353057</v>
      </c>
      <c r="G4597" s="1">
        <v>3.0041020545512609E-2</v>
      </c>
    </row>
    <row r="4598" spans="1:7">
      <c r="A4598">
        <v>332</v>
      </c>
      <c r="B4598">
        <v>149</v>
      </c>
      <c r="C4598" s="1">
        <f>(Tabela1[[#This Row],[x]]-H$3)*(Tabela1[[#This Row],[x]]-H$3) +(Tabela1[[#This Row],[y]]-H$4)*(Tabela1[[#This Row],[y]]-H$4)</f>
        <v>20025</v>
      </c>
      <c r="D4598" s="1">
        <f>IF(Tabela1[[#This Row],[promien]]&lt;40000,1,0)</f>
        <v>1</v>
      </c>
      <c r="E4598" s="1">
        <f>IF(Tabela1[[#This Row],[promien]]=40000,1,0)</f>
        <v>0</v>
      </c>
      <c r="F4598" s="1">
        <v>3.1718138321009133</v>
      </c>
      <c r="G4598" s="1">
        <v>3.0221178511120161E-2</v>
      </c>
    </row>
    <row r="4599" spans="1:7">
      <c r="A4599">
        <v>399</v>
      </c>
      <c r="B4599">
        <v>358</v>
      </c>
      <c r="C4599" s="1">
        <f>(Tabela1[[#This Row],[x]]-H$3)*(Tabela1[[#This Row],[x]]-H$3) +(Tabela1[[#This Row],[y]]-H$4)*(Tabela1[[#This Row],[y]]-H$4)</f>
        <v>64565</v>
      </c>
      <c r="D4599" s="1">
        <f>IF(Tabela1[[#This Row],[promien]]&lt;40000,1,0)</f>
        <v>0</v>
      </c>
      <c r="E4599" s="1">
        <f>IF(Tabela1[[#This Row],[promien]]=40000,1,0)</f>
        <v>0</v>
      </c>
      <c r="F4599" s="1">
        <v>3.1711241574255271</v>
      </c>
      <c r="G4599" s="1">
        <v>2.9531503835733997E-2</v>
      </c>
    </row>
    <row r="4600" spans="1:7">
      <c r="A4600">
        <v>53</v>
      </c>
      <c r="B4600">
        <v>346</v>
      </c>
      <c r="C4600" s="1">
        <f>(Tabela1[[#This Row],[x]]-H$3)*(Tabela1[[#This Row],[x]]-H$3) +(Tabela1[[#This Row],[y]]-H$4)*(Tabela1[[#This Row],[y]]-H$4)</f>
        <v>42925</v>
      </c>
      <c r="D4600" s="1">
        <f>IF(Tabela1[[#This Row],[promien]]&lt;40000,1,0)</f>
        <v>0</v>
      </c>
      <c r="E4600" s="1">
        <f>IF(Tabela1[[#This Row],[promien]]=40000,1,0)</f>
        <v>0</v>
      </c>
      <c r="F4600" s="1">
        <v>3.1704347826086958</v>
      </c>
      <c r="G4600" s="1">
        <v>2.8842129018902707E-2</v>
      </c>
    </row>
    <row r="4601" spans="1:7">
      <c r="A4601">
        <v>31</v>
      </c>
      <c r="B4601">
        <v>44</v>
      </c>
      <c r="C4601" s="1">
        <f>(Tabela1[[#This Row],[x]]-H$3)*(Tabela1[[#This Row],[x]]-H$3) +(Tabela1[[#This Row],[y]]-H$4)*(Tabela1[[#This Row],[y]]-H$4)</f>
        <v>52897</v>
      </c>
      <c r="D4601" s="1">
        <f>IF(Tabela1[[#This Row],[promien]]&lt;40000,1,0)</f>
        <v>0</v>
      </c>
      <c r="E4601" s="1">
        <f>IF(Tabela1[[#This Row],[promien]]=40000,1,0)</f>
        <v>0</v>
      </c>
      <c r="F4601" s="1">
        <v>3.1697457074549011</v>
      </c>
      <c r="G4601" s="1">
        <v>2.8153053865108024E-2</v>
      </c>
    </row>
    <row r="4602" spans="1:7">
      <c r="A4602">
        <v>176</v>
      </c>
      <c r="B4602">
        <v>26</v>
      </c>
      <c r="C4602" s="1">
        <f>(Tabela1[[#This Row],[x]]-H$3)*(Tabela1[[#This Row],[x]]-H$3) +(Tabela1[[#This Row],[y]]-H$4)*(Tabela1[[#This Row],[y]]-H$4)</f>
        <v>30852</v>
      </c>
      <c r="D4602" s="1">
        <f>IF(Tabela1[[#This Row],[promien]]&lt;40000,1,0)</f>
        <v>1</v>
      </c>
      <c r="E4602" s="1">
        <f>IF(Tabela1[[#This Row],[promien]]=40000,1,0)</f>
        <v>0</v>
      </c>
      <c r="F4602" s="1">
        <v>3.1699261190786614</v>
      </c>
      <c r="G4602" s="1">
        <v>2.8333465488868281E-2</v>
      </c>
    </row>
    <row r="4603" spans="1:7">
      <c r="A4603">
        <v>6</v>
      </c>
      <c r="B4603">
        <v>250</v>
      </c>
      <c r="C4603" s="1">
        <f>(Tabela1[[#This Row],[x]]-H$3)*(Tabela1[[#This Row],[x]]-H$3) +(Tabela1[[#This Row],[y]]-H$4)*(Tabela1[[#This Row],[y]]-H$4)</f>
        <v>40136</v>
      </c>
      <c r="D4603" s="1">
        <f>IF(Tabela1[[#This Row],[promien]]&lt;40000,1,0)</f>
        <v>0</v>
      </c>
      <c r="E4603" s="1">
        <f>IF(Tabela1[[#This Row],[promien]]=40000,1,0)</f>
        <v>0</v>
      </c>
      <c r="F4603" s="1">
        <v>3.1692374538344557</v>
      </c>
      <c r="G4603" s="1">
        <v>2.7644800244662537E-2</v>
      </c>
    </row>
    <row r="4604" spans="1:7">
      <c r="A4604">
        <v>324</v>
      </c>
      <c r="B4604">
        <v>135</v>
      </c>
      <c r="C4604" s="1">
        <f>(Tabela1[[#This Row],[x]]-H$3)*(Tabela1[[#This Row],[x]]-H$3) +(Tabela1[[#This Row],[y]]-H$4)*(Tabela1[[#This Row],[y]]-H$4)</f>
        <v>19601</v>
      </c>
      <c r="D4604" s="1">
        <f>IF(Tabela1[[#This Row],[promien]]&lt;40000,1,0)</f>
        <v>1</v>
      </c>
      <c r="E4604" s="1">
        <f>IF(Tabela1[[#This Row],[promien]]=40000,1,0)</f>
        <v>0</v>
      </c>
      <c r="F4604" s="1">
        <v>3.1694178974804519</v>
      </c>
      <c r="G4604" s="1">
        <v>2.7825243890658768E-2</v>
      </c>
    </row>
    <row r="4605" spans="1:7">
      <c r="A4605">
        <v>131</v>
      </c>
      <c r="B4605">
        <v>79</v>
      </c>
      <c r="C4605" s="1">
        <f>(Tabela1[[#This Row],[x]]-H$3)*(Tabela1[[#This Row],[x]]-H$3) +(Tabela1[[#This Row],[y]]-H$4)*(Tabela1[[#This Row],[y]]-H$4)</f>
        <v>19402</v>
      </c>
      <c r="D4605" s="1">
        <f>IF(Tabela1[[#This Row],[promien]]&lt;40000,1,0)</f>
        <v>1</v>
      </c>
      <c r="E4605" s="1">
        <f>IF(Tabela1[[#This Row],[promien]]=40000,1,0)</f>
        <v>0</v>
      </c>
      <c r="F4605" s="1">
        <v>3.169598262757872</v>
      </c>
      <c r="G4605" s="1">
        <v>2.8005609168078927E-2</v>
      </c>
    </row>
    <row r="4606" spans="1:7">
      <c r="A4606">
        <v>297</v>
      </c>
      <c r="B4606">
        <v>169</v>
      </c>
      <c r="C4606" s="1">
        <f>(Tabela1[[#This Row],[x]]-H$3)*(Tabela1[[#This Row],[x]]-H$3) +(Tabela1[[#This Row],[y]]-H$4)*(Tabela1[[#This Row],[y]]-H$4)</f>
        <v>10370</v>
      </c>
      <c r="D4606" s="1">
        <f>IF(Tabela1[[#This Row],[promien]]&lt;40000,1,0)</f>
        <v>1</v>
      </c>
      <c r="E4606" s="1">
        <f>IF(Tabela1[[#This Row],[promien]]=40000,1,0)</f>
        <v>0</v>
      </c>
      <c r="F4606" s="1">
        <v>3.1697785497177593</v>
      </c>
      <c r="G4606" s="1">
        <v>2.8185896127966181E-2</v>
      </c>
    </row>
    <row r="4607" spans="1:7">
      <c r="A4607">
        <v>181</v>
      </c>
      <c r="B4607">
        <v>93</v>
      </c>
      <c r="C4607" s="1">
        <f>(Tabela1[[#This Row],[x]]-H$3)*(Tabela1[[#This Row],[x]]-H$3) +(Tabela1[[#This Row],[y]]-H$4)*(Tabela1[[#This Row],[y]]-H$4)</f>
        <v>11810</v>
      </c>
      <c r="D4607" s="1">
        <f>IF(Tabela1[[#This Row],[promien]]&lt;40000,1,0)</f>
        <v>1</v>
      </c>
      <c r="E4607" s="1">
        <f>IF(Tabela1[[#This Row],[promien]]=40000,1,0)</f>
        <v>0</v>
      </c>
      <c r="F4607" s="1">
        <v>3.1699587584111137</v>
      </c>
      <c r="G4607" s="1">
        <v>2.8366104821320626E-2</v>
      </c>
    </row>
    <row r="4608" spans="1:7">
      <c r="A4608">
        <v>23</v>
      </c>
      <c r="B4608">
        <v>254</v>
      </c>
      <c r="C4608" s="1">
        <f>(Tabela1[[#This Row],[x]]-H$3)*(Tabela1[[#This Row],[x]]-H$3) +(Tabela1[[#This Row],[y]]-H$4)*(Tabela1[[#This Row],[y]]-H$4)</f>
        <v>34245</v>
      </c>
      <c r="D4608" s="1">
        <f>IF(Tabela1[[#This Row],[promien]]&lt;40000,1,0)</f>
        <v>1</v>
      </c>
      <c r="E4608" s="1">
        <f>IF(Tabela1[[#This Row],[promien]]=40000,1,0)</f>
        <v>0</v>
      </c>
      <c r="F4608" s="1">
        <v>3.1701388888888888</v>
      </c>
      <c r="G4608" s="1">
        <v>2.8546235299095724E-2</v>
      </c>
    </row>
    <row r="4609" spans="1:7">
      <c r="A4609">
        <v>208</v>
      </c>
      <c r="B4609">
        <v>21</v>
      </c>
      <c r="C4609" s="1">
        <f>(Tabela1[[#This Row],[x]]-H$3)*(Tabela1[[#This Row],[x]]-H$3) +(Tabela1[[#This Row],[y]]-H$4)*(Tabela1[[#This Row],[y]]-H$4)</f>
        <v>32105</v>
      </c>
      <c r="D4609" s="1">
        <f>IF(Tabela1[[#This Row],[promien]]&lt;40000,1,0)</f>
        <v>1</v>
      </c>
      <c r="E4609" s="1">
        <f>IF(Tabela1[[#This Row],[promien]]=40000,1,0)</f>
        <v>0</v>
      </c>
      <c r="F4609" s="1">
        <v>3.1703189412019963</v>
      </c>
      <c r="G4609" s="1">
        <v>2.8726287612203194E-2</v>
      </c>
    </row>
    <row r="4610" spans="1:7">
      <c r="A4610">
        <v>92</v>
      </c>
      <c r="B4610">
        <v>127</v>
      </c>
      <c r="C4610" s="1">
        <f>(Tabela1[[#This Row],[x]]-H$3)*(Tabela1[[#This Row],[x]]-H$3) +(Tabela1[[#This Row],[y]]-H$4)*(Tabela1[[#This Row],[y]]-H$4)</f>
        <v>16993</v>
      </c>
      <c r="D4610" s="1">
        <f>IF(Tabela1[[#This Row],[promien]]&lt;40000,1,0)</f>
        <v>1</v>
      </c>
      <c r="E4610" s="1">
        <f>IF(Tabela1[[#This Row],[promien]]=40000,1,0)</f>
        <v>0</v>
      </c>
      <c r="F4610" s="1">
        <v>3.1704989154013017</v>
      </c>
      <c r="G4610" s="1">
        <v>2.8906261811508571E-2</v>
      </c>
    </row>
    <row r="4611" spans="1:7">
      <c r="A4611">
        <v>212</v>
      </c>
      <c r="B4611">
        <v>128</v>
      </c>
      <c r="C4611" s="1">
        <f>(Tabela1[[#This Row],[x]]-H$3)*(Tabela1[[#This Row],[x]]-H$3) +(Tabela1[[#This Row],[y]]-H$4)*(Tabela1[[#This Row],[y]]-H$4)</f>
        <v>5328</v>
      </c>
      <c r="D4611" s="1">
        <f>IF(Tabela1[[#This Row],[promien]]&lt;40000,1,0)</f>
        <v>1</v>
      </c>
      <c r="E4611" s="1">
        <f>IF(Tabela1[[#This Row],[promien]]=40000,1,0)</f>
        <v>0</v>
      </c>
      <c r="F4611" s="1">
        <v>3.1706788115376274</v>
      </c>
      <c r="G4611" s="1">
        <v>2.9086157947834312E-2</v>
      </c>
    </row>
    <row r="4612" spans="1:7">
      <c r="A4612">
        <v>296</v>
      </c>
      <c r="B4612">
        <v>356</v>
      </c>
      <c r="C4612" s="1">
        <f>(Tabela1[[#This Row],[x]]-H$3)*(Tabela1[[#This Row],[x]]-H$3) +(Tabela1[[#This Row],[y]]-H$4)*(Tabela1[[#This Row],[y]]-H$4)</f>
        <v>33552</v>
      </c>
      <c r="D4612" s="1">
        <f>IF(Tabela1[[#This Row],[promien]]&lt;40000,1,0)</f>
        <v>1</v>
      </c>
      <c r="E4612" s="1">
        <f>IF(Tabela1[[#This Row],[promien]]=40000,1,0)</f>
        <v>0</v>
      </c>
      <c r="F4612" s="1">
        <v>3.170858629661752</v>
      </c>
      <c r="G4612" s="1">
        <v>2.926597607195891E-2</v>
      </c>
    </row>
    <row r="4613" spans="1:7">
      <c r="A4613">
        <v>301</v>
      </c>
      <c r="B4613">
        <v>56</v>
      </c>
      <c r="C4613" s="1">
        <f>(Tabela1[[#This Row],[x]]-H$3)*(Tabela1[[#This Row],[x]]-H$3) +(Tabela1[[#This Row],[y]]-H$4)*(Tabela1[[#This Row],[y]]-H$4)</f>
        <v>30937</v>
      </c>
      <c r="D4613" s="1">
        <f>IF(Tabela1[[#This Row],[promien]]&lt;40000,1,0)</f>
        <v>1</v>
      </c>
      <c r="E4613" s="1">
        <f>IF(Tabela1[[#This Row],[promien]]=40000,1,0)</f>
        <v>0</v>
      </c>
      <c r="F4613" s="1">
        <v>3.1710383698244091</v>
      </c>
      <c r="G4613" s="1">
        <v>2.9445716234616004E-2</v>
      </c>
    </row>
    <row r="4614" spans="1:7">
      <c r="A4614">
        <v>57</v>
      </c>
      <c r="B4614">
        <v>57</v>
      </c>
      <c r="C4614" s="1">
        <f>(Tabela1[[#This Row],[x]]-H$3)*(Tabela1[[#This Row],[x]]-H$3) +(Tabela1[[#This Row],[y]]-H$4)*(Tabela1[[#This Row],[y]]-H$4)</f>
        <v>40898</v>
      </c>
      <c r="D4614" s="1">
        <f>IF(Tabela1[[#This Row],[promien]]&lt;40000,1,0)</f>
        <v>0</v>
      </c>
      <c r="E4614" s="1">
        <f>IF(Tabela1[[#This Row],[promien]]=40000,1,0)</f>
        <v>0</v>
      </c>
      <c r="F4614" s="1">
        <v>3.1703511053315996</v>
      </c>
      <c r="G4614" s="1">
        <v>2.8758451741806468E-2</v>
      </c>
    </row>
    <row r="4615" spans="1:7">
      <c r="A4615">
        <v>204</v>
      </c>
      <c r="B4615">
        <v>380</v>
      </c>
      <c r="C4615" s="1">
        <f>(Tabela1[[#This Row],[x]]-H$3)*(Tabela1[[#This Row],[x]]-H$3) +(Tabela1[[#This Row],[y]]-H$4)*(Tabela1[[#This Row],[y]]-H$4)</f>
        <v>32416</v>
      </c>
      <c r="D4615" s="1">
        <f>IF(Tabela1[[#This Row],[promien]]&lt;40000,1,0)</f>
        <v>1</v>
      </c>
      <c r="E4615" s="1">
        <f>IF(Tabela1[[#This Row],[promien]]=40000,1,0)</f>
        <v>0</v>
      </c>
      <c r="F4615" s="1">
        <v>3.1705308775731309</v>
      </c>
      <c r="G4615" s="1">
        <v>2.8938223983337785E-2</v>
      </c>
    </row>
    <row r="4616" spans="1:7">
      <c r="A4616">
        <v>273</v>
      </c>
      <c r="B4616">
        <v>75</v>
      </c>
      <c r="C4616" s="1">
        <f>(Tabela1[[#This Row],[x]]-H$3)*(Tabela1[[#This Row],[x]]-H$3) +(Tabela1[[#This Row],[y]]-H$4)*(Tabela1[[#This Row],[y]]-H$4)</f>
        <v>20954</v>
      </c>
      <c r="D4616" s="1">
        <f>IF(Tabela1[[#This Row],[promien]]&lt;40000,1,0)</f>
        <v>1</v>
      </c>
      <c r="E4616" s="1">
        <f>IF(Tabela1[[#This Row],[promien]]=40000,1,0)</f>
        <v>0</v>
      </c>
      <c r="F4616" s="1">
        <v>3.1707105719237436</v>
      </c>
      <c r="G4616" s="1">
        <v>2.9117918333950499E-2</v>
      </c>
    </row>
    <row r="4617" spans="1:7">
      <c r="A4617">
        <v>173</v>
      </c>
      <c r="B4617">
        <v>59</v>
      </c>
      <c r="C4617" s="1">
        <f>(Tabela1[[#This Row],[x]]-H$3)*(Tabela1[[#This Row],[x]]-H$3) +(Tabela1[[#This Row],[y]]-H$4)*(Tabela1[[#This Row],[y]]-H$4)</f>
        <v>20610</v>
      </c>
      <c r="D4617" s="1">
        <f>IF(Tabela1[[#This Row],[promien]]&lt;40000,1,0)</f>
        <v>1</v>
      </c>
      <c r="E4617" s="1">
        <f>IF(Tabela1[[#This Row],[promien]]=40000,1,0)</f>
        <v>0</v>
      </c>
      <c r="F4617" s="1">
        <v>3.1708901884340479</v>
      </c>
      <c r="G4617" s="1">
        <v>2.9297534844254791E-2</v>
      </c>
    </row>
    <row r="4618" spans="1:7">
      <c r="A4618">
        <v>291</v>
      </c>
      <c r="B4618">
        <v>371</v>
      </c>
      <c r="C4618" s="1">
        <f>(Tabela1[[#This Row],[x]]-H$3)*(Tabela1[[#This Row],[x]]-H$3) +(Tabela1[[#This Row],[y]]-H$4)*(Tabela1[[#This Row],[y]]-H$4)</f>
        <v>37522</v>
      </c>
      <c r="D4618" s="1">
        <f>IF(Tabela1[[#This Row],[promien]]&lt;40000,1,0)</f>
        <v>1</v>
      </c>
      <c r="E4618" s="1">
        <f>IF(Tabela1[[#This Row],[promien]]=40000,1,0)</f>
        <v>0</v>
      </c>
      <c r="F4618" s="1">
        <v>3.1710697271546122</v>
      </c>
      <c r="G4618" s="1">
        <v>2.9477073564819101E-2</v>
      </c>
    </row>
    <row r="4619" spans="1:7">
      <c r="A4619">
        <v>238</v>
      </c>
      <c r="B4619">
        <v>270</v>
      </c>
      <c r="C4619" s="1">
        <f>(Tabela1[[#This Row],[x]]-H$3)*(Tabela1[[#This Row],[x]]-H$3) +(Tabela1[[#This Row],[y]]-H$4)*(Tabela1[[#This Row],[y]]-H$4)</f>
        <v>6344</v>
      </c>
      <c r="D4619" s="1">
        <f>IF(Tabela1[[#This Row],[promien]]&lt;40000,1,0)</f>
        <v>1</v>
      </c>
      <c r="E4619" s="1">
        <f>IF(Tabela1[[#This Row],[promien]]=40000,1,0)</f>
        <v>0</v>
      </c>
      <c r="F4619" s="1">
        <v>3.1712491881359601</v>
      </c>
      <c r="G4619" s="1">
        <v>2.9656534546167013E-2</v>
      </c>
    </row>
    <row r="4620" spans="1:7">
      <c r="A4620">
        <v>145</v>
      </c>
      <c r="B4620">
        <v>271</v>
      </c>
      <c r="C4620" s="1">
        <f>(Tabela1[[#This Row],[x]]-H$3)*(Tabela1[[#This Row],[x]]-H$3) +(Tabela1[[#This Row],[y]]-H$4)*(Tabela1[[#This Row],[y]]-H$4)</f>
        <v>8066</v>
      </c>
      <c r="D4620" s="1">
        <f>IF(Tabela1[[#This Row],[promien]]&lt;40000,1,0)</f>
        <v>1</v>
      </c>
      <c r="E4620" s="1">
        <f>IF(Tabela1[[#This Row],[promien]]=40000,1,0)</f>
        <v>0</v>
      </c>
      <c r="F4620" s="1">
        <v>3.1714285714285713</v>
      </c>
      <c r="G4620" s="1">
        <v>2.9835917838778148E-2</v>
      </c>
    </row>
    <row r="4621" spans="1:7">
      <c r="A4621">
        <v>197</v>
      </c>
      <c r="B4621">
        <v>152</v>
      </c>
      <c r="C4621" s="1">
        <f>(Tabela1[[#This Row],[x]]-H$3)*(Tabela1[[#This Row],[x]]-H$3) +(Tabela1[[#This Row],[y]]-H$4)*(Tabela1[[#This Row],[y]]-H$4)</f>
        <v>2313</v>
      </c>
      <c r="D4621" s="1">
        <f>IF(Tabela1[[#This Row],[promien]]&lt;40000,1,0)</f>
        <v>1</v>
      </c>
      <c r="E4621" s="1">
        <f>IF(Tabela1[[#This Row],[promien]]=40000,1,0)</f>
        <v>0</v>
      </c>
      <c r="F4621" s="1">
        <v>3.1716078770828826</v>
      </c>
      <c r="G4621" s="1">
        <v>3.0015223493089493E-2</v>
      </c>
    </row>
    <row r="4622" spans="1:7">
      <c r="A4622">
        <v>66</v>
      </c>
      <c r="B4622">
        <v>282</v>
      </c>
      <c r="C4622" s="1">
        <f>(Tabela1[[#This Row],[x]]-H$3)*(Tabela1[[#This Row],[x]]-H$3) +(Tabela1[[#This Row],[y]]-H$4)*(Tabela1[[#This Row],[y]]-H$4)</f>
        <v>24680</v>
      </c>
      <c r="D4622" s="1">
        <f>IF(Tabela1[[#This Row],[promien]]&lt;40000,1,0)</f>
        <v>1</v>
      </c>
      <c r="E4622" s="1">
        <f>IF(Tabela1[[#This Row],[promien]]=40000,1,0)</f>
        <v>0</v>
      </c>
      <c r="F4622" s="1">
        <v>3.1717871051492859</v>
      </c>
      <c r="G4622" s="1">
        <v>3.0194451559492741E-2</v>
      </c>
    </row>
    <row r="4623" spans="1:7">
      <c r="A4623">
        <v>20</v>
      </c>
      <c r="B4623">
        <v>238</v>
      </c>
      <c r="C4623" s="1">
        <f>(Tabela1[[#This Row],[x]]-H$3)*(Tabela1[[#This Row],[x]]-H$3) +(Tabela1[[#This Row],[y]]-H$4)*(Tabela1[[#This Row],[y]]-H$4)</f>
        <v>33844</v>
      </c>
      <c r="D4623" s="1">
        <f>IF(Tabela1[[#This Row],[promien]]&lt;40000,1,0)</f>
        <v>1</v>
      </c>
      <c r="E4623" s="1">
        <f>IF(Tabela1[[#This Row],[promien]]=40000,1,0)</f>
        <v>0</v>
      </c>
      <c r="F4623" s="1">
        <v>3.171966255678131</v>
      </c>
      <c r="G4623" s="1">
        <v>3.0373602088337837E-2</v>
      </c>
    </row>
    <row r="4624" spans="1:7">
      <c r="A4624">
        <v>358</v>
      </c>
      <c r="B4624">
        <v>140</v>
      </c>
      <c r="C4624" s="1">
        <f>(Tabela1[[#This Row],[x]]-H$3)*(Tabela1[[#This Row],[x]]-H$3) +(Tabela1[[#This Row],[y]]-H$4)*(Tabela1[[#This Row],[y]]-H$4)</f>
        <v>28564</v>
      </c>
      <c r="D4624" s="1">
        <f>IF(Tabela1[[#This Row],[promien]]&lt;40000,1,0)</f>
        <v>1</v>
      </c>
      <c r="E4624" s="1">
        <f>IF(Tabela1[[#This Row],[promien]]=40000,1,0)</f>
        <v>0</v>
      </c>
      <c r="F4624" s="1">
        <v>3.172145328719723</v>
      </c>
      <c r="G4624" s="1">
        <v>3.0552675129929874E-2</v>
      </c>
    </row>
    <row r="4625" spans="1:7">
      <c r="A4625">
        <v>160</v>
      </c>
      <c r="B4625">
        <v>313</v>
      </c>
      <c r="C4625" s="1">
        <f>(Tabela1[[#This Row],[x]]-H$3)*(Tabela1[[#This Row],[x]]-H$3) +(Tabela1[[#This Row],[y]]-H$4)*(Tabela1[[#This Row],[y]]-H$4)</f>
        <v>14369</v>
      </c>
      <c r="D4625" s="1">
        <f>IF(Tabela1[[#This Row],[promien]]&lt;40000,1,0)</f>
        <v>1</v>
      </c>
      <c r="E4625" s="1">
        <f>IF(Tabela1[[#This Row],[promien]]=40000,1,0)</f>
        <v>0</v>
      </c>
      <c r="F4625" s="1">
        <v>3.1723243243243244</v>
      </c>
      <c r="G4625" s="1">
        <v>3.0731670734531313E-2</v>
      </c>
    </row>
    <row r="4626" spans="1:7">
      <c r="A4626">
        <v>95</v>
      </c>
      <c r="B4626">
        <v>83</v>
      </c>
      <c r="C4626" s="1">
        <f>(Tabela1[[#This Row],[x]]-H$3)*(Tabela1[[#This Row],[x]]-H$3) +(Tabela1[[#This Row],[y]]-H$4)*(Tabela1[[#This Row],[y]]-H$4)</f>
        <v>24714</v>
      </c>
      <c r="D4626" s="1">
        <f>IF(Tabela1[[#This Row],[promien]]&lt;40000,1,0)</f>
        <v>1</v>
      </c>
      <c r="E4626" s="1">
        <f>IF(Tabela1[[#This Row],[promien]]=40000,1,0)</f>
        <v>0</v>
      </c>
      <c r="F4626" s="1">
        <v>3.1725032425421529</v>
      </c>
      <c r="G4626" s="1">
        <v>3.0910588952359763E-2</v>
      </c>
    </row>
    <row r="4627" spans="1:7">
      <c r="A4627">
        <v>216</v>
      </c>
      <c r="B4627">
        <v>37</v>
      </c>
      <c r="C4627" s="1">
        <f>(Tabela1[[#This Row],[x]]-H$3)*(Tabela1[[#This Row],[x]]-H$3) +(Tabela1[[#This Row],[y]]-H$4)*(Tabela1[[#This Row],[y]]-H$4)</f>
        <v>26825</v>
      </c>
      <c r="D4627" s="1">
        <f>IF(Tabela1[[#This Row],[promien]]&lt;40000,1,0)</f>
        <v>1</v>
      </c>
      <c r="E4627" s="1">
        <f>IF(Tabela1[[#This Row],[promien]]=40000,1,0)</f>
        <v>0</v>
      </c>
      <c r="F4627" s="1">
        <v>3.1726820834233846</v>
      </c>
      <c r="G4627" s="1">
        <v>3.1089429833591531E-2</v>
      </c>
    </row>
    <row r="4628" spans="1:7">
      <c r="A4628">
        <v>212</v>
      </c>
      <c r="B4628">
        <v>145</v>
      </c>
      <c r="C4628" s="1">
        <f>(Tabela1[[#This Row],[x]]-H$3)*(Tabela1[[#This Row],[x]]-H$3) +(Tabela1[[#This Row],[y]]-H$4)*(Tabela1[[#This Row],[y]]-H$4)</f>
        <v>3169</v>
      </c>
      <c r="D4628" s="1">
        <f>IF(Tabela1[[#This Row],[promien]]&lt;40000,1,0)</f>
        <v>1</v>
      </c>
      <c r="E4628" s="1">
        <f>IF(Tabela1[[#This Row],[promien]]=40000,1,0)</f>
        <v>0</v>
      </c>
      <c r="F4628" s="1">
        <v>3.1728608470181503</v>
      </c>
      <c r="G4628" s="1">
        <v>3.1268193428357183E-2</v>
      </c>
    </row>
    <row r="4629" spans="1:7">
      <c r="A4629">
        <v>120</v>
      </c>
      <c r="B4629">
        <v>351</v>
      </c>
      <c r="C4629" s="1">
        <f>(Tabela1[[#This Row],[x]]-H$3)*(Tabela1[[#This Row],[x]]-H$3) +(Tabela1[[#This Row],[y]]-H$4)*(Tabela1[[#This Row],[y]]-H$4)</f>
        <v>29201</v>
      </c>
      <c r="D4629" s="1">
        <f>IF(Tabela1[[#This Row],[promien]]&lt;40000,1,0)</f>
        <v>1</v>
      </c>
      <c r="E4629" s="1">
        <f>IF(Tabela1[[#This Row],[promien]]=40000,1,0)</f>
        <v>0</v>
      </c>
      <c r="F4629" s="1">
        <v>3.1730395333765391</v>
      </c>
      <c r="G4629" s="1">
        <v>3.1446879786745985E-2</v>
      </c>
    </row>
    <row r="4630" spans="1:7">
      <c r="A4630">
        <v>277</v>
      </c>
      <c r="B4630">
        <v>254</v>
      </c>
      <c r="C4630" s="1">
        <f>(Tabela1[[#This Row],[x]]-H$3)*(Tabela1[[#This Row],[x]]-H$3) +(Tabela1[[#This Row],[y]]-H$4)*(Tabela1[[#This Row],[y]]-H$4)</f>
        <v>8845</v>
      </c>
      <c r="D4630" s="1">
        <f>IF(Tabela1[[#This Row],[promien]]&lt;40000,1,0)</f>
        <v>1</v>
      </c>
      <c r="E4630" s="1">
        <f>IF(Tabela1[[#This Row],[promien]]=40000,1,0)</f>
        <v>0</v>
      </c>
      <c r="F4630" s="1">
        <v>3.1732181425485959</v>
      </c>
      <c r="G4630" s="1">
        <v>3.1625488958802794E-2</v>
      </c>
    </row>
    <row r="4631" spans="1:7">
      <c r="A4631">
        <v>88</v>
      </c>
      <c r="B4631">
        <v>160</v>
      </c>
      <c r="C4631" s="1">
        <f>(Tabela1[[#This Row],[x]]-H$3)*(Tabela1[[#This Row],[x]]-H$3) +(Tabela1[[#This Row],[y]]-H$4)*(Tabela1[[#This Row],[y]]-H$4)</f>
        <v>14144</v>
      </c>
      <c r="D4631" s="1">
        <f>IF(Tabela1[[#This Row],[promien]]&lt;40000,1,0)</f>
        <v>1</v>
      </c>
      <c r="E4631" s="1">
        <f>IF(Tabela1[[#This Row],[promien]]=40000,1,0)</f>
        <v>0</v>
      </c>
      <c r="F4631" s="1">
        <v>3.173396674584323</v>
      </c>
      <c r="G4631" s="1">
        <v>3.1804020994529836E-2</v>
      </c>
    </row>
    <row r="4632" spans="1:7">
      <c r="A4632">
        <v>260</v>
      </c>
      <c r="B4632">
        <v>226</v>
      </c>
      <c r="C4632" s="1">
        <f>(Tabela1[[#This Row],[x]]-H$3)*(Tabela1[[#This Row],[x]]-H$3) +(Tabela1[[#This Row],[y]]-H$4)*(Tabela1[[#This Row],[y]]-H$4)</f>
        <v>4276</v>
      </c>
      <c r="D4632" s="1">
        <f>IF(Tabela1[[#This Row],[promien]]&lt;40000,1,0)</f>
        <v>1</v>
      </c>
      <c r="E4632" s="1">
        <f>IF(Tabela1[[#This Row],[promien]]=40000,1,0)</f>
        <v>0</v>
      </c>
      <c r="F4632" s="1">
        <v>3.1735751295336789</v>
      </c>
      <c r="G4632" s="1">
        <v>3.1982475943885813E-2</v>
      </c>
    </row>
    <row r="4633" spans="1:7">
      <c r="A4633">
        <v>298</v>
      </c>
      <c r="B4633">
        <v>191</v>
      </c>
      <c r="C4633" s="1">
        <f>(Tabela1[[#This Row],[x]]-H$3)*(Tabela1[[#This Row],[x]]-H$3) +(Tabela1[[#This Row],[y]]-H$4)*(Tabela1[[#This Row],[y]]-H$4)</f>
        <v>9685</v>
      </c>
      <c r="D4633" s="1">
        <f>IF(Tabela1[[#This Row],[promien]]&lt;40000,1,0)</f>
        <v>1</v>
      </c>
      <c r="E4633" s="1">
        <f>IF(Tabela1[[#This Row],[promien]]=40000,1,0)</f>
        <v>0</v>
      </c>
      <c r="F4633" s="1">
        <v>3.173753507446579</v>
      </c>
      <c r="G4633" s="1">
        <v>3.2160853856785909E-2</v>
      </c>
    </row>
    <row r="4634" spans="1:7">
      <c r="A4634">
        <v>40</v>
      </c>
      <c r="B4634">
        <v>98</v>
      </c>
      <c r="C4634" s="1">
        <f>(Tabela1[[#This Row],[x]]-H$3)*(Tabela1[[#This Row],[x]]-H$3) +(Tabela1[[#This Row],[y]]-H$4)*(Tabela1[[#This Row],[y]]-H$4)</f>
        <v>36004</v>
      </c>
      <c r="D4634" s="1">
        <f>IF(Tabela1[[#This Row],[promien]]&lt;40000,1,0)</f>
        <v>1</v>
      </c>
      <c r="E4634" s="1">
        <f>IF(Tabela1[[#This Row],[promien]]=40000,1,0)</f>
        <v>0</v>
      </c>
      <c r="F4634" s="1">
        <v>3.1739318083728958</v>
      </c>
      <c r="G4634" s="1">
        <v>3.2339154783102675E-2</v>
      </c>
    </row>
    <row r="4635" spans="1:7">
      <c r="A4635">
        <v>145</v>
      </c>
      <c r="B4635">
        <v>299</v>
      </c>
      <c r="C4635" s="1">
        <f>(Tabela1[[#This Row],[x]]-H$3)*(Tabela1[[#This Row],[x]]-H$3) +(Tabela1[[#This Row],[y]]-H$4)*(Tabela1[[#This Row],[y]]-H$4)</f>
        <v>12826</v>
      </c>
      <c r="D4635" s="1">
        <f>IF(Tabela1[[#This Row],[promien]]&lt;40000,1,0)</f>
        <v>1</v>
      </c>
      <c r="E4635" s="1">
        <f>IF(Tabela1[[#This Row],[promien]]=40000,1,0)</f>
        <v>0</v>
      </c>
      <c r="F4635" s="1">
        <v>3.1741100323624596</v>
      </c>
      <c r="G4635" s="1">
        <v>3.2517378772666472E-2</v>
      </c>
    </row>
    <row r="4636" spans="1:7">
      <c r="A4636">
        <v>100</v>
      </c>
      <c r="B4636">
        <v>109</v>
      </c>
      <c r="C4636" s="1">
        <f>(Tabela1[[#This Row],[x]]-H$3)*(Tabela1[[#This Row],[x]]-H$3) +(Tabela1[[#This Row],[y]]-H$4)*(Tabela1[[#This Row],[y]]-H$4)</f>
        <v>18281</v>
      </c>
      <c r="D4636" s="1">
        <f>IF(Tabela1[[#This Row],[promien]]&lt;40000,1,0)</f>
        <v>1</v>
      </c>
      <c r="E4636" s="1">
        <f>IF(Tabela1[[#This Row],[promien]]=40000,1,0)</f>
        <v>0</v>
      </c>
      <c r="F4636" s="1">
        <v>3.1742881794650559</v>
      </c>
      <c r="G4636" s="1">
        <v>3.269552587526281E-2</v>
      </c>
    </row>
    <row r="4637" spans="1:7">
      <c r="A4637">
        <v>105</v>
      </c>
      <c r="B4637">
        <v>396</v>
      </c>
      <c r="C4637" s="1">
        <f>(Tabela1[[#This Row],[x]]-H$3)*(Tabela1[[#This Row],[x]]-H$3) +(Tabela1[[#This Row],[y]]-H$4)*(Tabela1[[#This Row],[y]]-H$4)</f>
        <v>47441</v>
      </c>
      <c r="D4637" s="1">
        <f>IF(Tabela1[[#This Row],[promien]]&lt;40000,1,0)</f>
        <v>0</v>
      </c>
      <c r="E4637" s="1">
        <f>IF(Tabela1[[#This Row],[promien]]=40000,1,0)</f>
        <v>0</v>
      </c>
      <c r="F4637" s="1">
        <v>3.1736036230321329</v>
      </c>
      <c r="G4637" s="1">
        <v>3.2010969442339832E-2</v>
      </c>
    </row>
    <row r="4638" spans="1:7">
      <c r="A4638">
        <v>325</v>
      </c>
      <c r="B4638">
        <v>345</v>
      </c>
      <c r="C4638" s="1">
        <f>(Tabela1[[#This Row],[x]]-H$3)*(Tabela1[[#This Row],[x]]-H$3) +(Tabela1[[#This Row],[y]]-H$4)*(Tabela1[[#This Row],[y]]-H$4)</f>
        <v>36650</v>
      </c>
      <c r="D4638" s="1">
        <f>IF(Tabela1[[#This Row],[promien]]&lt;40000,1,0)</f>
        <v>1</v>
      </c>
      <c r="E4638" s="1">
        <f>IF(Tabela1[[#This Row],[promien]]=40000,1,0)</f>
        <v>0</v>
      </c>
      <c r="F4638" s="1">
        <v>3.173781802501078</v>
      </c>
      <c r="G4638" s="1">
        <v>3.2189148911284882E-2</v>
      </c>
    </row>
    <row r="4639" spans="1:7">
      <c r="A4639">
        <v>41</v>
      </c>
      <c r="B4639">
        <v>249</v>
      </c>
      <c r="C4639" s="1">
        <f>(Tabela1[[#This Row],[x]]-H$3)*(Tabela1[[#This Row],[x]]-H$3) +(Tabela1[[#This Row],[y]]-H$4)*(Tabela1[[#This Row],[y]]-H$4)</f>
        <v>27682</v>
      </c>
      <c r="D4639" s="1">
        <f>IF(Tabela1[[#This Row],[promien]]&lt;40000,1,0)</f>
        <v>1</v>
      </c>
      <c r="E4639" s="1">
        <f>IF(Tabela1[[#This Row],[promien]]=40000,1,0)</f>
        <v>0</v>
      </c>
      <c r="F4639" s="1">
        <v>3.1739599051519725</v>
      </c>
      <c r="G4639" s="1">
        <v>3.2367251562179344E-2</v>
      </c>
    </row>
    <row r="4640" spans="1:7">
      <c r="A4640">
        <v>118</v>
      </c>
      <c r="B4640">
        <v>388</v>
      </c>
      <c r="C4640" s="1">
        <f>(Tabela1[[#This Row],[x]]-H$3)*(Tabela1[[#This Row],[x]]-H$3) +(Tabela1[[#This Row],[y]]-H$4)*(Tabela1[[#This Row],[y]]-H$4)</f>
        <v>42068</v>
      </c>
      <c r="D4640" s="1">
        <f>IF(Tabela1[[#This Row],[promien]]&lt;40000,1,0)</f>
        <v>0</v>
      </c>
      <c r="E4640" s="1">
        <f>IF(Tabela1[[#This Row],[promien]]=40000,1,0)</f>
        <v>0</v>
      </c>
      <c r="F4640" s="1">
        <v>3.1732758620689654</v>
      </c>
      <c r="G4640" s="1">
        <v>3.1683208479172276E-2</v>
      </c>
    </row>
    <row r="4641" spans="1:7">
      <c r="A4641">
        <v>344</v>
      </c>
      <c r="B4641">
        <v>305</v>
      </c>
      <c r="C4641" s="1">
        <f>(Tabela1[[#This Row],[x]]-H$3)*(Tabela1[[#This Row],[x]]-H$3) +(Tabela1[[#This Row],[y]]-H$4)*(Tabela1[[#This Row],[y]]-H$4)</f>
        <v>31761</v>
      </c>
      <c r="D4641" s="1">
        <f>IF(Tabela1[[#This Row],[promien]]&lt;40000,1,0)</f>
        <v>1</v>
      </c>
      <c r="E4641" s="1">
        <f>IF(Tabela1[[#This Row],[promien]]=40000,1,0)</f>
        <v>0</v>
      </c>
      <c r="F4641" s="1">
        <v>3.1734539969834086</v>
      </c>
      <c r="G4641" s="1">
        <v>3.186134339361546E-2</v>
      </c>
    </row>
    <row r="4642" spans="1:7">
      <c r="A4642">
        <v>66</v>
      </c>
      <c r="B4642">
        <v>39</v>
      </c>
      <c r="C4642" s="1">
        <f>(Tabela1[[#This Row],[x]]-H$3)*(Tabela1[[#This Row],[x]]-H$3) +(Tabela1[[#This Row],[y]]-H$4)*(Tabela1[[#This Row],[y]]-H$4)</f>
        <v>43877</v>
      </c>
      <c r="D4642" s="1">
        <f>IF(Tabela1[[#This Row],[promien]]&lt;40000,1,0)</f>
        <v>0</v>
      </c>
      <c r="E4642" s="1">
        <f>IF(Tabela1[[#This Row],[promien]]=40000,1,0)</f>
        <v>0</v>
      </c>
      <c r="F4642" s="1">
        <v>3.172770357604481</v>
      </c>
      <c r="G4642" s="1">
        <v>3.117770401468789E-2</v>
      </c>
    </row>
    <row r="4643" spans="1:7">
      <c r="A4643">
        <v>269</v>
      </c>
      <c r="B4643">
        <v>166</v>
      </c>
      <c r="C4643" s="1">
        <f>(Tabela1[[#This Row],[x]]-H$3)*(Tabela1[[#This Row],[x]]-H$3) +(Tabela1[[#This Row],[y]]-H$4)*(Tabela1[[#This Row],[y]]-H$4)</f>
        <v>5917</v>
      </c>
      <c r="D4643" s="1">
        <f>IF(Tabela1[[#This Row],[promien]]&lt;40000,1,0)</f>
        <v>1</v>
      </c>
      <c r="E4643" s="1">
        <f>IF(Tabela1[[#This Row],[promien]]=40000,1,0)</f>
        <v>0</v>
      </c>
      <c r="F4643" s="1">
        <v>3.1729485246607796</v>
      </c>
      <c r="G4643" s="1">
        <v>3.1355871070986474E-2</v>
      </c>
    </row>
    <row r="4644" spans="1:7">
      <c r="A4644">
        <v>30</v>
      </c>
      <c r="B4644">
        <v>87</v>
      </c>
      <c r="C4644" s="1">
        <f>(Tabela1[[#This Row],[x]]-H$3)*(Tabela1[[#This Row],[x]]-H$3) +(Tabela1[[#This Row],[y]]-H$4)*(Tabela1[[#This Row],[y]]-H$4)</f>
        <v>41669</v>
      </c>
      <c r="D4644" s="1">
        <f>IF(Tabela1[[#This Row],[promien]]&lt;40000,1,0)</f>
        <v>0</v>
      </c>
      <c r="E4644" s="1">
        <f>IF(Tabela1[[#This Row],[promien]]=40000,1,0)</f>
        <v>0</v>
      </c>
      <c r="F4644" s="1">
        <v>3.1722652885443585</v>
      </c>
      <c r="G4644" s="1">
        <v>3.0672634954565403E-2</v>
      </c>
    </row>
    <row r="4645" spans="1:7">
      <c r="A4645">
        <v>271</v>
      </c>
      <c r="B4645">
        <v>169</v>
      </c>
      <c r="C4645" s="1">
        <f>(Tabela1[[#This Row],[x]]-H$3)*(Tabela1[[#This Row],[x]]-H$3) +(Tabela1[[#This Row],[y]]-H$4)*(Tabela1[[#This Row],[y]]-H$4)</f>
        <v>6002</v>
      </c>
      <c r="D4645" s="1">
        <f>IF(Tabela1[[#This Row],[promien]]&lt;40000,1,0)</f>
        <v>1</v>
      </c>
      <c r="E4645" s="1">
        <f>IF(Tabela1[[#This Row],[promien]]=40000,1,0)</f>
        <v>0</v>
      </c>
      <c r="F4645" s="1">
        <v>3.1724434876210981</v>
      </c>
      <c r="G4645" s="1">
        <v>3.0850834031304952E-2</v>
      </c>
    </row>
    <row r="4646" spans="1:7">
      <c r="A4646">
        <v>293</v>
      </c>
      <c r="B4646">
        <v>149</v>
      </c>
      <c r="C4646" s="1">
        <f>(Tabela1[[#This Row],[x]]-H$3)*(Tabela1[[#This Row],[x]]-H$3) +(Tabela1[[#This Row],[y]]-H$4)*(Tabela1[[#This Row],[y]]-H$4)</f>
        <v>11250</v>
      </c>
      <c r="D4646" s="1">
        <f>IF(Tabela1[[#This Row],[promien]]&lt;40000,1,0)</f>
        <v>1</v>
      </c>
      <c r="E4646" s="1">
        <f>IF(Tabela1[[#This Row],[promien]]=40000,1,0)</f>
        <v>0</v>
      </c>
      <c r="F4646" s="1">
        <v>3.1726216099870856</v>
      </c>
      <c r="G4646" s="1">
        <v>3.1028956397292529E-2</v>
      </c>
    </row>
    <row r="4647" spans="1:7">
      <c r="A4647">
        <v>62</v>
      </c>
      <c r="B4647">
        <v>77</v>
      </c>
      <c r="C4647" s="1">
        <f>(Tabela1[[#This Row],[x]]-H$3)*(Tabela1[[#This Row],[x]]-H$3) +(Tabela1[[#This Row],[y]]-H$4)*(Tabela1[[#This Row],[y]]-H$4)</f>
        <v>34173</v>
      </c>
      <c r="D4647" s="1">
        <f>IF(Tabela1[[#This Row],[promien]]&lt;40000,1,0)</f>
        <v>1</v>
      </c>
      <c r="E4647" s="1">
        <f>IF(Tabela1[[#This Row],[promien]]=40000,1,0)</f>
        <v>0</v>
      </c>
      <c r="F4647" s="1">
        <v>3.1727996556918443</v>
      </c>
      <c r="G4647" s="1">
        <v>3.1207002102051185E-2</v>
      </c>
    </row>
    <row r="4648" spans="1:7">
      <c r="A4648">
        <v>188</v>
      </c>
      <c r="B4648">
        <v>43</v>
      </c>
      <c r="C4648" s="1">
        <f>(Tabela1[[#This Row],[x]]-H$3)*(Tabela1[[#This Row],[x]]-H$3) +(Tabela1[[#This Row],[y]]-H$4)*(Tabela1[[#This Row],[y]]-H$4)</f>
        <v>24793</v>
      </c>
      <c r="D4648" s="1">
        <f>IF(Tabela1[[#This Row],[promien]]&lt;40000,1,0)</f>
        <v>1</v>
      </c>
      <c r="E4648" s="1">
        <f>IF(Tabela1[[#This Row],[promien]]=40000,1,0)</f>
        <v>0</v>
      </c>
      <c r="F4648" s="1">
        <v>3.1729776247848536</v>
      </c>
      <c r="G4648" s="1">
        <v>3.1384971195060452E-2</v>
      </c>
    </row>
    <row r="4649" spans="1:7">
      <c r="A4649">
        <v>350</v>
      </c>
      <c r="B4649">
        <v>1</v>
      </c>
      <c r="C4649" s="1">
        <f>(Tabela1[[#This Row],[x]]-H$3)*(Tabela1[[#This Row],[x]]-H$3) +(Tabela1[[#This Row],[y]]-H$4)*(Tabela1[[#This Row],[y]]-H$4)</f>
        <v>62101</v>
      </c>
      <c r="D4649" s="1">
        <f>IF(Tabela1[[#This Row],[promien]]&lt;40000,1,0)</f>
        <v>0</v>
      </c>
      <c r="E4649" s="1">
        <f>IF(Tabela1[[#This Row],[promien]]=40000,1,0)</f>
        <v>0</v>
      </c>
      <c r="F4649" s="1">
        <v>3.1722951172295115</v>
      </c>
      <c r="G4649" s="1">
        <v>3.0702463639718403E-2</v>
      </c>
    </row>
    <row r="4650" spans="1:7">
      <c r="A4650">
        <v>12</v>
      </c>
      <c r="B4650">
        <v>277</v>
      </c>
      <c r="C4650" s="1">
        <f>(Tabela1[[#This Row],[x]]-H$3)*(Tabela1[[#This Row],[x]]-H$3) +(Tabela1[[#This Row],[y]]-H$4)*(Tabela1[[#This Row],[y]]-H$4)</f>
        <v>41273</v>
      </c>
      <c r="D4650" s="1">
        <f>IF(Tabela1[[#This Row],[promien]]&lt;40000,1,0)</f>
        <v>0</v>
      </c>
      <c r="E4650" s="1">
        <f>IF(Tabela1[[#This Row],[promien]]=40000,1,0)</f>
        <v>0</v>
      </c>
      <c r="F4650" s="1">
        <v>3.1716129032258062</v>
      </c>
      <c r="G4650" s="1">
        <v>3.002024963601313E-2</v>
      </c>
    </row>
    <row r="4651" spans="1:7">
      <c r="A4651">
        <v>374</v>
      </c>
      <c r="B4651">
        <v>231</v>
      </c>
      <c r="C4651" s="1">
        <f>(Tabela1[[#This Row],[x]]-H$3)*(Tabela1[[#This Row],[x]]-H$3) +(Tabela1[[#This Row],[y]]-H$4)*(Tabela1[[#This Row],[y]]-H$4)</f>
        <v>31237</v>
      </c>
      <c r="D4651" s="1">
        <f>IF(Tabela1[[#This Row],[promien]]&lt;40000,1,0)</f>
        <v>1</v>
      </c>
      <c r="E4651" s="1">
        <f>IF(Tabela1[[#This Row],[promien]]=40000,1,0)</f>
        <v>0</v>
      </c>
      <c r="F4651" s="1">
        <v>3.1717910126854441</v>
      </c>
      <c r="G4651" s="1">
        <v>3.019835909565094E-2</v>
      </c>
    </row>
    <row r="4652" spans="1:7">
      <c r="A4652">
        <v>287</v>
      </c>
      <c r="B4652">
        <v>142</v>
      </c>
      <c r="C4652" s="1">
        <f>(Tabela1[[#This Row],[x]]-H$3)*(Tabela1[[#This Row],[x]]-H$3) +(Tabela1[[#This Row],[y]]-H$4)*(Tabela1[[#This Row],[y]]-H$4)</f>
        <v>10933</v>
      </c>
      <c r="D4652" s="1">
        <f>IF(Tabela1[[#This Row],[promien]]&lt;40000,1,0)</f>
        <v>1</v>
      </c>
      <c r="E4652" s="1">
        <f>IF(Tabela1[[#This Row],[promien]]=40000,1,0)</f>
        <v>0</v>
      </c>
      <c r="F4652" s="1">
        <v>3.1719690455717973</v>
      </c>
      <c r="G4652" s="1">
        <v>3.0376391982004147E-2</v>
      </c>
    </row>
    <row r="4653" spans="1:7">
      <c r="A4653">
        <v>274</v>
      </c>
      <c r="B4653">
        <v>69</v>
      </c>
      <c r="C4653" s="1">
        <f>(Tabela1[[#This Row],[x]]-H$3)*(Tabela1[[#This Row],[x]]-H$3) +(Tabela1[[#This Row],[y]]-H$4)*(Tabela1[[#This Row],[y]]-H$4)</f>
        <v>22637</v>
      </c>
      <c r="D4653" s="1">
        <f>IF(Tabela1[[#This Row],[promien]]&lt;40000,1,0)</f>
        <v>1</v>
      </c>
      <c r="E4653" s="1">
        <f>IF(Tabela1[[#This Row],[promien]]=40000,1,0)</f>
        <v>0</v>
      </c>
      <c r="F4653" s="1">
        <v>3.1721470019342362</v>
      </c>
      <c r="G4653" s="1">
        <v>3.0554348344443039E-2</v>
      </c>
    </row>
    <row r="4654" spans="1:7">
      <c r="A4654">
        <v>167</v>
      </c>
      <c r="B4654">
        <v>162</v>
      </c>
      <c r="C4654" s="1">
        <f>(Tabela1[[#This Row],[x]]-H$3)*(Tabela1[[#This Row],[x]]-H$3) +(Tabela1[[#This Row],[y]]-H$4)*(Tabela1[[#This Row],[y]]-H$4)</f>
        <v>2533</v>
      </c>
      <c r="D4654" s="1">
        <f>IF(Tabela1[[#This Row],[promien]]&lt;40000,1,0)</f>
        <v>1</v>
      </c>
      <c r="E4654" s="1">
        <f>IF(Tabela1[[#This Row],[promien]]=40000,1,0)</f>
        <v>0</v>
      </c>
      <c r="F4654" s="1">
        <v>3.1723248818220884</v>
      </c>
      <c r="G4654" s="1">
        <v>3.0732228232295267E-2</v>
      </c>
    </row>
    <row r="4655" spans="1:7">
      <c r="A4655">
        <v>400</v>
      </c>
      <c r="B4655">
        <v>211</v>
      </c>
      <c r="C4655" s="1">
        <f>(Tabela1[[#This Row],[x]]-H$3)*(Tabela1[[#This Row],[x]]-H$3) +(Tabela1[[#This Row],[y]]-H$4)*(Tabela1[[#This Row],[y]]-H$4)</f>
        <v>40121</v>
      </c>
      <c r="D4655" s="1">
        <f>IF(Tabela1[[#This Row],[promien]]&lt;40000,1,0)</f>
        <v>0</v>
      </c>
      <c r="E4655" s="1">
        <f>IF(Tabela1[[#This Row],[promien]]=40000,1,0)</f>
        <v>0</v>
      </c>
      <c r="F4655" s="1">
        <v>3.1716433941997852</v>
      </c>
      <c r="G4655" s="1">
        <v>3.0050740609992133E-2</v>
      </c>
    </row>
    <row r="4656" spans="1:7">
      <c r="A4656">
        <v>300</v>
      </c>
      <c r="B4656">
        <v>393</v>
      </c>
      <c r="C4656" s="1">
        <f>(Tabela1[[#This Row],[x]]-H$3)*(Tabela1[[#This Row],[x]]-H$3) +(Tabela1[[#This Row],[y]]-H$4)*(Tabela1[[#This Row],[y]]-H$4)</f>
        <v>47249</v>
      </c>
      <c r="D4656" s="1">
        <f>IF(Tabela1[[#This Row],[promien]]&lt;40000,1,0)</f>
        <v>0</v>
      </c>
      <c r="E4656" s="1">
        <f>IF(Tabela1[[#This Row],[promien]]=40000,1,0)</f>
        <v>0</v>
      </c>
      <c r="F4656" s="1">
        <v>3.1709621993127146</v>
      </c>
      <c r="G4656" s="1">
        <v>2.9369545722921497E-2</v>
      </c>
    </row>
    <row r="4657" spans="1:7">
      <c r="A4657">
        <v>38</v>
      </c>
      <c r="B4657">
        <v>149</v>
      </c>
      <c r="C4657" s="1">
        <f>(Tabela1[[#This Row],[x]]-H$3)*(Tabela1[[#This Row],[x]]-H$3) +(Tabela1[[#This Row],[y]]-H$4)*(Tabela1[[#This Row],[y]]-H$4)</f>
        <v>28845</v>
      </c>
      <c r="D4657" s="1">
        <f>IF(Tabela1[[#This Row],[promien]]&lt;40000,1,0)</f>
        <v>1</v>
      </c>
      <c r="E4657" s="1">
        <f>IF(Tabela1[[#This Row],[promien]]=40000,1,0)</f>
        <v>0</v>
      </c>
      <c r="F4657" s="1">
        <v>3.1711402190251237</v>
      </c>
      <c r="G4657" s="1">
        <v>2.9547565435330547E-2</v>
      </c>
    </row>
    <row r="4658" spans="1:7">
      <c r="A4658">
        <v>94</v>
      </c>
      <c r="B4658">
        <v>219</v>
      </c>
      <c r="C4658" s="1">
        <f>(Tabela1[[#This Row],[x]]-H$3)*(Tabela1[[#This Row],[x]]-H$3) +(Tabela1[[#This Row],[y]]-H$4)*(Tabela1[[#This Row],[y]]-H$4)</f>
        <v>11597</v>
      </c>
      <c r="D4658" s="1">
        <f>IF(Tabela1[[#This Row],[promien]]&lt;40000,1,0)</f>
        <v>1</v>
      </c>
      <c r="E4658" s="1">
        <f>IF(Tabela1[[#This Row],[promien]]=40000,1,0)</f>
        <v>0</v>
      </c>
      <c r="F4658" s="1">
        <v>3.1713181623014171</v>
      </c>
      <c r="G4658" s="1">
        <v>2.9725508711623938E-2</v>
      </c>
    </row>
    <row r="4659" spans="1:7">
      <c r="A4659">
        <v>119</v>
      </c>
      <c r="B4659">
        <v>366</v>
      </c>
      <c r="C4659" s="1">
        <f>(Tabela1[[#This Row],[x]]-H$3)*(Tabela1[[#This Row],[x]]-H$3) +(Tabela1[[#This Row],[y]]-H$4)*(Tabela1[[#This Row],[y]]-H$4)</f>
        <v>34117</v>
      </c>
      <c r="D4659" s="1">
        <f>IF(Tabela1[[#This Row],[promien]]&lt;40000,1,0)</f>
        <v>1</v>
      </c>
      <c r="E4659" s="1">
        <f>IF(Tabela1[[#This Row],[promien]]=40000,1,0)</f>
        <v>0</v>
      </c>
      <c r="F4659" s="1">
        <v>3.1714960291908136</v>
      </c>
      <c r="G4659" s="1">
        <v>2.9903375601020521E-2</v>
      </c>
    </row>
    <row r="4660" spans="1:7">
      <c r="A4660">
        <v>307</v>
      </c>
      <c r="B4660">
        <v>268</v>
      </c>
      <c r="C4660" s="1">
        <f>(Tabela1[[#This Row],[x]]-H$3)*(Tabela1[[#This Row],[x]]-H$3) +(Tabela1[[#This Row],[y]]-H$4)*(Tabela1[[#This Row],[y]]-H$4)</f>
        <v>16073</v>
      </c>
      <c r="D4660" s="1">
        <f>IF(Tabela1[[#This Row],[promien]]&lt;40000,1,0)</f>
        <v>1</v>
      </c>
      <c r="E4660" s="1">
        <f>IF(Tabela1[[#This Row],[promien]]=40000,1,0)</f>
        <v>0</v>
      </c>
      <c r="F4660" s="1">
        <v>3.1716738197424892</v>
      </c>
      <c r="G4660" s="1">
        <v>3.0081166152696071E-2</v>
      </c>
    </row>
    <row r="4661" spans="1:7">
      <c r="A4661">
        <v>136</v>
      </c>
      <c r="B4661">
        <v>12</v>
      </c>
      <c r="C4661" s="1">
        <f>(Tabela1[[#This Row],[x]]-H$3)*(Tabela1[[#This Row],[x]]-H$3) +(Tabela1[[#This Row],[y]]-H$4)*(Tabela1[[#This Row],[y]]-H$4)</f>
        <v>39440</v>
      </c>
      <c r="D4661" s="1">
        <f>IF(Tabela1[[#This Row],[promien]]&lt;40000,1,0)</f>
        <v>1</v>
      </c>
      <c r="E4661" s="1">
        <f>IF(Tabela1[[#This Row],[promien]]=40000,1,0)</f>
        <v>0</v>
      </c>
      <c r="F4661" s="1">
        <v>3.1718515340055782</v>
      </c>
      <c r="G4661" s="1">
        <v>3.0258880415785061E-2</v>
      </c>
    </row>
    <row r="4662" spans="1:7">
      <c r="A4662">
        <v>221</v>
      </c>
      <c r="B4662">
        <v>214</v>
      </c>
      <c r="C4662" s="1">
        <f>(Tabela1[[#This Row],[x]]-H$3)*(Tabela1[[#This Row],[x]]-H$3) +(Tabela1[[#This Row],[y]]-H$4)*(Tabela1[[#This Row],[y]]-H$4)</f>
        <v>637</v>
      </c>
      <c r="D4662" s="1">
        <f>IF(Tabela1[[#This Row],[promien]]&lt;40000,1,0)</f>
        <v>1</v>
      </c>
      <c r="E4662" s="1">
        <f>IF(Tabela1[[#This Row],[promien]]=40000,1,0)</f>
        <v>0</v>
      </c>
      <c r="F4662" s="1">
        <v>3.172029172029172</v>
      </c>
      <c r="G4662" s="1">
        <v>3.043651843937889E-2</v>
      </c>
    </row>
    <row r="4663" spans="1:7">
      <c r="A4663">
        <v>88</v>
      </c>
      <c r="B4663">
        <v>389</v>
      </c>
      <c r="C4663" s="1">
        <f>(Tabela1[[#This Row],[x]]-H$3)*(Tabela1[[#This Row],[x]]-H$3) +(Tabela1[[#This Row],[y]]-H$4)*(Tabela1[[#This Row],[y]]-H$4)</f>
        <v>48265</v>
      </c>
      <c r="D4663" s="1">
        <f>IF(Tabela1[[#This Row],[promien]]&lt;40000,1,0)</f>
        <v>0</v>
      </c>
      <c r="E4663" s="1">
        <f>IF(Tabela1[[#This Row],[promien]]=40000,1,0)</f>
        <v>0</v>
      </c>
      <c r="F4663" s="1">
        <v>3.171348917006219</v>
      </c>
      <c r="G4663" s="1">
        <v>2.9756263416425899E-2</v>
      </c>
    </row>
    <row r="4664" spans="1:7">
      <c r="A4664">
        <v>154</v>
      </c>
      <c r="B4664">
        <v>129</v>
      </c>
      <c r="C4664" s="1">
        <f>(Tabela1[[#This Row],[x]]-H$3)*(Tabela1[[#This Row],[x]]-H$3) +(Tabela1[[#This Row],[y]]-H$4)*(Tabela1[[#This Row],[y]]-H$4)</f>
        <v>7157</v>
      </c>
      <c r="D4664" s="1">
        <f>IF(Tabela1[[#This Row],[promien]]&lt;40000,1,0)</f>
        <v>1</v>
      </c>
      <c r="E4664" s="1">
        <f>IF(Tabela1[[#This Row],[promien]]=40000,1,0)</f>
        <v>0</v>
      </c>
      <c r="F4664" s="1">
        <v>3.1715265866209261</v>
      </c>
      <c r="G4664" s="1">
        <v>2.9933933031133009E-2</v>
      </c>
    </row>
    <row r="4665" spans="1:7">
      <c r="A4665">
        <v>7</v>
      </c>
      <c r="B4665">
        <v>150</v>
      </c>
      <c r="C4665" s="1">
        <f>(Tabela1[[#This Row],[x]]-H$3)*(Tabela1[[#This Row],[x]]-H$3) +(Tabela1[[#This Row],[y]]-H$4)*(Tabela1[[#This Row],[y]]-H$4)</f>
        <v>39749</v>
      </c>
      <c r="D4665" s="1">
        <f>IF(Tabela1[[#This Row],[promien]]&lt;40000,1,0)</f>
        <v>1</v>
      </c>
      <c r="E4665" s="1">
        <f>IF(Tabela1[[#This Row],[promien]]=40000,1,0)</f>
        <v>0</v>
      </c>
      <c r="F4665" s="1">
        <v>3.1717041800643089</v>
      </c>
      <c r="G4665" s="1">
        <v>3.011152647451576E-2</v>
      </c>
    </row>
    <row r="4666" spans="1:7">
      <c r="A4666">
        <v>4</v>
      </c>
      <c r="B4666">
        <v>55</v>
      </c>
      <c r="C4666" s="1">
        <f>(Tabela1[[#This Row],[x]]-H$3)*(Tabela1[[#This Row],[x]]-H$3) +(Tabela1[[#This Row],[y]]-H$4)*(Tabela1[[#This Row],[y]]-H$4)</f>
        <v>59441</v>
      </c>
      <c r="D4666" s="1">
        <f>IF(Tabela1[[#This Row],[promien]]&lt;40000,1,0)</f>
        <v>0</v>
      </c>
      <c r="E4666" s="1">
        <f>IF(Tabela1[[#This Row],[promien]]=40000,1,0)</f>
        <v>0</v>
      </c>
      <c r="F4666" s="1">
        <v>3.1710244320617229</v>
      </c>
      <c r="G4666" s="1">
        <v>2.9431778471929793E-2</v>
      </c>
    </row>
    <row r="4667" spans="1:7">
      <c r="A4667">
        <v>100</v>
      </c>
      <c r="B4667">
        <v>91</v>
      </c>
      <c r="C4667" s="1">
        <f>(Tabela1[[#This Row],[x]]-H$3)*(Tabela1[[#This Row],[x]]-H$3) +(Tabela1[[#This Row],[y]]-H$4)*(Tabela1[[#This Row],[y]]-H$4)</f>
        <v>21881</v>
      </c>
      <c r="D4667" s="1">
        <f>IF(Tabela1[[#This Row],[promien]]&lt;40000,1,0)</f>
        <v>1</v>
      </c>
      <c r="E4667" s="1">
        <f>IF(Tabela1[[#This Row],[promien]]=40000,1,0)</f>
        <v>0</v>
      </c>
      <c r="F4667" s="1">
        <v>3.1712020569959289</v>
      </c>
      <c r="G4667" s="1">
        <v>2.9609403406135826E-2</v>
      </c>
    </row>
    <row r="4668" spans="1:7">
      <c r="A4668">
        <v>308</v>
      </c>
      <c r="B4668">
        <v>87</v>
      </c>
      <c r="C4668" s="1">
        <f>(Tabela1[[#This Row],[x]]-H$3)*(Tabela1[[#This Row],[x]]-H$3) +(Tabela1[[#This Row],[y]]-H$4)*(Tabela1[[#This Row],[y]]-H$4)</f>
        <v>24433</v>
      </c>
      <c r="D4668" s="1">
        <f>IF(Tabela1[[#This Row],[promien]]&lt;40000,1,0)</f>
        <v>1</v>
      </c>
      <c r="E4668" s="1">
        <f>IF(Tabela1[[#This Row],[promien]]=40000,1,0)</f>
        <v>0</v>
      </c>
      <c r="F4668" s="1">
        <v>3.1713796058269068</v>
      </c>
      <c r="G4668" s="1">
        <v>2.9786952237113695E-2</v>
      </c>
    </row>
    <row r="4669" spans="1:7">
      <c r="A4669">
        <v>101</v>
      </c>
      <c r="B4669">
        <v>295</v>
      </c>
      <c r="C4669" s="1">
        <f>(Tabela1[[#This Row],[x]]-H$3)*(Tabela1[[#This Row],[x]]-H$3) +(Tabela1[[#This Row],[y]]-H$4)*(Tabela1[[#This Row],[y]]-H$4)</f>
        <v>18826</v>
      </c>
      <c r="D4669" s="1">
        <f>IF(Tabela1[[#This Row],[promien]]&lt;40000,1,0)</f>
        <v>1</v>
      </c>
      <c r="E4669" s="1">
        <f>IF(Tabela1[[#This Row],[promien]]=40000,1,0)</f>
        <v>0</v>
      </c>
      <c r="F4669" s="1">
        <v>3.1715570786035552</v>
      </c>
      <c r="G4669" s="1">
        <v>2.9964425013762064E-2</v>
      </c>
    </row>
    <row r="4670" spans="1:7">
      <c r="A4670">
        <v>0</v>
      </c>
      <c r="B4670">
        <v>267</v>
      </c>
      <c r="C4670" s="1">
        <f>(Tabela1[[#This Row],[x]]-H$3)*(Tabela1[[#This Row],[x]]-H$3) +(Tabela1[[#This Row],[y]]-H$4)*(Tabela1[[#This Row],[y]]-H$4)</f>
        <v>44489</v>
      </c>
      <c r="D4670" s="1">
        <f>IF(Tabela1[[#This Row],[promien]]&lt;40000,1,0)</f>
        <v>0</v>
      </c>
      <c r="E4670" s="1">
        <f>IF(Tabela1[[#This Row],[promien]]=40000,1,0)</f>
        <v>0</v>
      </c>
      <c r="F4670" s="1">
        <v>3.1708779443254818</v>
      </c>
      <c r="G4670" s="1">
        <v>2.928529073568864E-2</v>
      </c>
    </row>
    <row r="4671" spans="1:7">
      <c r="A4671">
        <v>68</v>
      </c>
      <c r="B4671">
        <v>289</v>
      </c>
      <c r="C4671" s="1">
        <f>(Tabela1[[#This Row],[x]]-H$3)*(Tabela1[[#This Row],[x]]-H$3) +(Tabela1[[#This Row],[y]]-H$4)*(Tabela1[[#This Row],[y]]-H$4)</f>
        <v>25345</v>
      </c>
      <c r="D4671" s="1">
        <f>IF(Tabela1[[#This Row],[promien]]&lt;40000,1,0)</f>
        <v>1</v>
      </c>
      <c r="E4671" s="1">
        <f>IF(Tabela1[[#This Row],[promien]]=40000,1,0)</f>
        <v>0</v>
      </c>
      <c r="F4671" s="1">
        <v>3.1710554485120959</v>
      </c>
      <c r="G4671" s="1">
        <v>2.9462794922302749E-2</v>
      </c>
    </row>
    <row r="4672" spans="1:7">
      <c r="A4672">
        <v>121</v>
      </c>
      <c r="B4672">
        <v>254</v>
      </c>
      <c r="C4672" s="1">
        <f>(Tabela1[[#This Row],[x]]-H$3)*(Tabela1[[#This Row],[x]]-H$3) +(Tabela1[[#This Row],[y]]-H$4)*(Tabela1[[#This Row],[y]]-H$4)</f>
        <v>9157</v>
      </c>
      <c r="D4672" s="1">
        <f>IF(Tabela1[[#This Row],[promien]]&lt;40000,1,0)</f>
        <v>1</v>
      </c>
      <c r="E4672" s="1">
        <f>IF(Tabela1[[#This Row],[promien]]=40000,1,0)</f>
        <v>0</v>
      </c>
      <c r="F4672" s="1">
        <v>3.1712328767123288</v>
      </c>
      <c r="G4672" s="1">
        <v>2.9640223122535669E-2</v>
      </c>
    </row>
    <row r="4673" spans="1:7">
      <c r="A4673">
        <v>17</v>
      </c>
      <c r="B4673">
        <v>360</v>
      </c>
      <c r="C4673" s="1">
        <f>(Tabela1[[#This Row],[x]]-H$3)*(Tabela1[[#This Row],[x]]-H$3) +(Tabela1[[#This Row],[y]]-H$4)*(Tabela1[[#This Row],[y]]-H$4)</f>
        <v>59089</v>
      </c>
      <c r="D4673" s="1">
        <f>IF(Tabela1[[#This Row],[promien]]&lt;40000,1,0)</f>
        <v>0</v>
      </c>
      <c r="E4673" s="1">
        <f>IF(Tabela1[[#This Row],[promien]]=40000,1,0)</f>
        <v>0</v>
      </c>
      <c r="F4673" s="1">
        <v>3.1705542478065483</v>
      </c>
      <c r="G4673" s="1">
        <v>2.8961594216755149E-2</v>
      </c>
    </row>
    <row r="4674" spans="1:7">
      <c r="A4674">
        <v>124</v>
      </c>
      <c r="B4674">
        <v>156</v>
      </c>
      <c r="C4674" s="1">
        <f>(Tabela1[[#This Row],[x]]-H$3)*(Tabela1[[#This Row],[x]]-H$3) +(Tabela1[[#This Row],[y]]-H$4)*(Tabela1[[#This Row],[y]]-H$4)</f>
        <v>7712</v>
      </c>
      <c r="D4674" s="1">
        <f>IF(Tabela1[[#This Row],[promien]]&lt;40000,1,0)</f>
        <v>1</v>
      </c>
      <c r="E4674" s="1">
        <f>IF(Tabela1[[#This Row],[promien]]=40000,1,0)</f>
        <v>0</v>
      </c>
      <c r="F4674" s="1">
        <v>3.1707317073170733</v>
      </c>
      <c r="G4674" s="1">
        <v>2.9139053727280206E-2</v>
      </c>
    </row>
    <row r="4675" spans="1:7">
      <c r="A4675">
        <v>128</v>
      </c>
      <c r="B4675">
        <v>188</v>
      </c>
      <c r="C4675" s="1">
        <f>(Tabela1[[#This Row],[x]]-H$3)*(Tabela1[[#This Row],[x]]-H$3) +(Tabela1[[#This Row],[y]]-H$4)*(Tabela1[[#This Row],[y]]-H$4)</f>
        <v>5328</v>
      </c>
      <c r="D4675" s="1">
        <f>IF(Tabela1[[#This Row],[promien]]&lt;40000,1,0)</f>
        <v>1</v>
      </c>
      <c r="E4675" s="1">
        <f>IF(Tabela1[[#This Row],[promien]]=40000,1,0)</f>
        <v>0</v>
      </c>
      <c r="F4675" s="1">
        <v>3.1709090909090909</v>
      </c>
      <c r="G4675" s="1">
        <v>2.9316437319297783E-2</v>
      </c>
    </row>
    <row r="4676" spans="1:7">
      <c r="A4676">
        <v>74</v>
      </c>
      <c r="B4676">
        <v>326</v>
      </c>
      <c r="C4676" s="1">
        <f>(Tabela1[[#This Row],[x]]-H$3)*(Tabela1[[#This Row],[x]]-H$3) +(Tabela1[[#This Row],[y]]-H$4)*(Tabela1[[#This Row],[y]]-H$4)</f>
        <v>31752</v>
      </c>
      <c r="D4676" s="1">
        <f>IF(Tabela1[[#This Row],[promien]]&lt;40000,1,0)</f>
        <v>1</v>
      </c>
      <c r="E4676" s="1">
        <f>IF(Tabela1[[#This Row],[promien]]=40000,1,0)</f>
        <v>0</v>
      </c>
      <c r="F4676" s="1">
        <v>3.1710863986313087</v>
      </c>
      <c r="G4676" s="1">
        <v>2.9493745041515584E-2</v>
      </c>
    </row>
    <row r="4677" spans="1:7">
      <c r="A4677">
        <v>169</v>
      </c>
      <c r="B4677">
        <v>395</v>
      </c>
      <c r="C4677" s="1">
        <f>(Tabela1[[#This Row],[x]]-H$3)*(Tabela1[[#This Row],[x]]-H$3) +(Tabela1[[#This Row],[y]]-H$4)*(Tabela1[[#This Row],[y]]-H$4)</f>
        <v>38986</v>
      </c>
      <c r="D4677" s="1">
        <f>IF(Tabela1[[#This Row],[promien]]&lt;40000,1,0)</f>
        <v>1</v>
      </c>
      <c r="E4677" s="1">
        <f>IF(Tabela1[[#This Row],[promien]]=40000,1,0)</f>
        <v>0</v>
      </c>
      <c r="F4677" s="1">
        <v>3.1712636305323927</v>
      </c>
      <c r="G4677" s="1">
        <v>2.967097694259957E-2</v>
      </c>
    </row>
    <row r="4678" spans="1:7">
      <c r="A4678">
        <v>197</v>
      </c>
      <c r="B4678">
        <v>270</v>
      </c>
      <c r="C4678" s="1">
        <f>(Tabela1[[#This Row],[x]]-H$3)*(Tabela1[[#This Row],[x]]-H$3) +(Tabela1[[#This Row],[y]]-H$4)*(Tabela1[[#This Row],[y]]-H$4)</f>
        <v>4909</v>
      </c>
      <c r="D4678" s="1">
        <f>IF(Tabela1[[#This Row],[promien]]&lt;40000,1,0)</f>
        <v>1</v>
      </c>
      <c r="E4678" s="1">
        <f>IF(Tabela1[[#This Row],[promien]]=40000,1,0)</f>
        <v>0</v>
      </c>
      <c r="F4678" s="1">
        <v>3.1714407866609662</v>
      </c>
      <c r="G4678" s="1">
        <v>2.9848133071173066E-2</v>
      </c>
    </row>
    <row r="4679" spans="1:7">
      <c r="A4679">
        <v>202</v>
      </c>
      <c r="B4679">
        <v>115</v>
      </c>
      <c r="C4679" s="1">
        <f>(Tabela1[[#This Row],[x]]-H$3)*(Tabela1[[#This Row],[x]]-H$3) +(Tabela1[[#This Row],[y]]-H$4)*(Tabela1[[#This Row],[y]]-H$4)</f>
        <v>7229</v>
      </c>
      <c r="D4679" s="1">
        <f>IF(Tabela1[[#This Row],[promien]]&lt;40000,1,0)</f>
        <v>1</v>
      </c>
      <c r="E4679" s="1">
        <f>IF(Tabela1[[#This Row],[promien]]=40000,1,0)</f>
        <v>0</v>
      </c>
      <c r="F4679" s="1">
        <v>3.1716178670656121</v>
      </c>
      <c r="G4679" s="1">
        <v>3.002521347581899E-2</v>
      </c>
    </row>
    <row r="4680" spans="1:7">
      <c r="A4680">
        <v>336</v>
      </c>
      <c r="B4680">
        <v>136</v>
      </c>
      <c r="C4680" s="1">
        <f>(Tabela1[[#This Row],[x]]-H$3)*(Tabela1[[#This Row],[x]]-H$3) +(Tabela1[[#This Row],[y]]-H$4)*(Tabela1[[#This Row],[y]]-H$4)</f>
        <v>22592</v>
      </c>
      <c r="D4680" s="1">
        <f>IF(Tabela1[[#This Row],[promien]]&lt;40000,1,0)</f>
        <v>1</v>
      </c>
      <c r="E4680" s="1">
        <f>IF(Tabela1[[#This Row],[promien]]=40000,1,0)</f>
        <v>0</v>
      </c>
      <c r="F4680" s="1">
        <v>3.1717948717948716</v>
      </c>
      <c r="G4680" s="1">
        <v>3.0202218205078513E-2</v>
      </c>
    </row>
    <row r="4681" spans="1:7">
      <c r="A4681">
        <v>145</v>
      </c>
      <c r="B4681">
        <v>159</v>
      </c>
      <c r="C4681" s="1">
        <f>(Tabela1[[#This Row],[x]]-H$3)*(Tabela1[[#This Row],[x]]-H$3) +(Tabela1[[#This Row],[y]]-H$4)*(Tabela1[[#This Row],[y]]-H$4)</f>
        <v>4706</v>
      </c>
      <c r="D4681" s="1">
        <f>IF(Tabela1[[#This Row],[promien]]&lt;40000,1,0)</f>
        <v>1</v>
      </c>
      <c r="E4681" s="1">
        <f>IF(Tabela1[[#This Row],[promien]]=40000,1,0)</f>
        <v>0</v>
      </c>
      <c r="F4681" s="1">
        <v>3.1719718008972442</v>
      </c>
      <c r="G4681" s="1">
        <v>3.037914730745106E-2</v>
      </c>
    </row>
    <row r="4682" spans="1:7">
      <c r="A4682">
        <v>98</v>
      </c>
      <c r="B4682">
        <v>296</v>
      </c>
      <c r="C4682" s="1">
        <f>(Tabela1[[#This Row],[x]]-H$3)*(Tabela1[[#This Row],[x]]-H$3) +(Tabela1[[#This Row],[y]]-H$4)*(Tabela1[[#This Row],[y]]-H$4)</f>
        <v>19620</v>
      </c>
      <c r="D4682" s="1">
        <f>IF(Tabela1[[#This Row],[promien]]&lt;40000,1,0)</f>
        <v>1</v>
      </c>
      <c r="E4682" s="1">
        <f>IF(Tabela1[[#This Row],[promien]]=40000,1,0)</f>
        <v>0</v>
      </c>
      <c r="F4682" s="1">
        <v>3.1721486544211874</v>
      </c>
      <c r="G4682" s="1">
        <v>3.0556000831394314E-2</v>
      </c>
    </row>
    <row r="4683" spans="1:7">
      <c r="A4683">
        <v>374</v>
      </c>
      <c r="B4683">
        <v>92</v>
      </c>
      <c r="C4683" s="1">
        <f>(Tabela1[[#This Row],[x]]-H$3)*(Tabela1[[#This Row],[x]]-H$3) +(Tabela1[[#This Row],[y]]-H$4)*(Tabela1[[#This Row],[y]]-H$4)</f>
        <v>41940</v>
      </c>
      <c r="D4683" s="1">
        <f>IF(Tabela1[[#This Row],[promien]]&lt;40000,1,0)</f>
        <v>0</v>
      </c>
      <c r="E4683" s="1">
        <f>IF(Tabela1[[#This Row],[promien]]=40000,1,0)</f>
        <v>0</v>
      </c>
      <c r="F4683" s="1">
        <v>3.1714712790945976</v>
      </c>
      <c r="G4683" s="1">
        <v>2.9878625504804468E-2</v>
      </c>
    </row>
    <row r="4684" spans="1:7">
      <c r="A4684">
        <v>2</v>
      </c>
      <c r="B4684">
        <v>324</v>
      </c>
      <c r="C4684" s="1">
        <f>(Tabela1[[#This Row],[x]]-H$3)*(Tabela1[[#This Row],[x]]-H$3) +(Tabela1[[#This Row],[y]]-H$4)*(Tabela1[[#This Row],[y]]-H$4)</f>
        <v>54580</v>
      </c>
      <c r="D4684" s="1">
        <f>IF(Tabela1[[#This Row],[promien]]&lt;40000,1,0)</f>
        <v>0</v>
      </c>
      <c r="E4684" s="1">
        <f>IF(Tabela1[[#This Row],[promien]]=40000,1,0)</f>
        <v>0</v>
      </c>
      <c r="F4684" s="1">
        <v>3.1707941929974379</v>
      </c>
      <c r="G4684" s="1">
        <v>2.9201539407644805E-2</v>
      </c>
    </row>
    <row r="4685" spans="1:7">
      <c r="A4685">
        <v>362</v>
      </c>
      <c r="B4685">
        <v>307</v>
      </c>
      <c r="C4685" s="1">
        <f>(Tabela1[[#This Row],[x]]-H$3)*(Tabela1[[#This Row],[x]]-H$3) +(Tabela1[[#This Row],[y]]-H$4)*(Tabela1[[#This Row],[y]]-H$4)</f>
        <v>37693</v>
      </c>
      <c r="D4685" s="1">
        <f>IF(Tabela1[[#This Row],[promien]]&lt;40000,1,0)</f>
        <v>1</v>
      </c>
      <c r="E4685" s="1">
        <f>IF(Tabela1[[#This Row],[promien]]=40000,1,0)</f>
        <v>0</v>
      </c>
      <c r="F4685" s="1">
        <v>3.1709711846318038</v>
      </c>
      <c r="G4685" s="1">
        <v>2.9378531042010714E-2</v>
      </c>
    </row>
    <row r="4686" spans="1:7">
      <c r="A4686">
        <v>82</v>
      </c>
      <c r="B4686">
        <v>157</v>
      </c>
      <c r="C4686" s="1">
        <f>(Tabela1[[#This Row],[x]]-H$3)*(Tabela1[[#This Row],[x]]-H$3) +(Tabela1[[#This Row],[y]]-H$4)*(Tabela1[[#This Row],[y]]-H$4)</f>
        <v>15773</v>
      </c>
      <c r="D4686" s="1">
        <f>IF(Tabela1[[#This Row],[promien]]&lt;40000,1,0)</f>
        <v>1</v>
      </c>
      <c r="E4686" s="1">
        <f>IF(Tabela1[[#This Row],[promien]]=40000,1,0)</f>
        <v>0</v>
      </c>
      <c r="F4686" s="1">
        <v>3.1711481007255653</v>
      </c>
      <c r="G4686" s="1">
        <v>2.9555447135772184E-2</v>
      </c>
    </row>
    <row r="4687" spans="1:7">
      <c r="A4687">
        <v>379</v>
      </c>
      <c r="B4687">
        <v>89</v>
      </c>
      <c r="C4687" s="1">
        <f>(Tabela1[[#This Row],[x]]-H$3)*(Tabela1[[#This Row],[x]]-H$3) +(Tabela1[[#This Row],[y]]-H$4)*(Tabela1[[#This Row],[y]]-H$4)</f>
        <v>44362</v>
      </c>
      <c r="D4687" s="1">
        <f>IF(Tabela1[[#This Row],[promien]]&lt;40000,1,0)</f>
        <v>0</v>
      </c>
      <c r="E4687" s="1">
        <f>IF(Tabela1[[#This Row],[promien]]=40000,1,0)</f>
        <v>0</v>
      </c>
      <c r="F4687" s="1">
        <v>3.1704715169618094</v>
      </c>
      <c r="G4687" s="1">
        <v>2.8878863372016284E-2</v>
      </c>
    </row>
    <row r="4688" spans="1:7">
      <c r="A4688">
        <v>113</v>
      </c>
      <c r="B4688">
        <v>252</v>
      </c>
      <c r="C4688" s="1">
        <f>(Tabela1[[#This Row],[x]]-H$3)*(Tabela1[[#This Row],[x]]-H$3) +(Tabela1[[#This Row],[y]]-H$4)*(Tabela1[[#This Row],[y]]-H$4)</f>
        <v>10273</v>
      </c>
      <c r="D4688" s="1">
        <f>IF(Tabela1[[#This Row],[promien]]&lt;40000,1,0)</f>
        <v>1</v>
      </c>
      <c r="E4688" s="1">
        <f>IF(Tabela1[[#This Row],[promien]]=40000,1,0)</f>
        <v>0</v>
      </c>
      <c r="F4688" s="1">
        <v>3.1706484641638224</v>
      </c>
      <c r="G4688" s="1">
        <v>2.9055810574029284E-2</v>
      </c>
    </row>
    <row r="4689" spans="1:7">
      <c r="A4689">
        <v>171</v>
      </c>
      <c r="B4689">
        <v>96</v>
      </c>
      <c r="C4689" s="1">
        <f>(Tabela1[[#This Row],[x]]-H$3)*(Tabela1[[#This Row],[x]]-H$3) +(Tabela1[[#This Row],[y]]-H$4)*(Tabela1[[#This Row],[y]]-H$4)</f>
        <v>11657</v>
      </c>
      <c r="D4689" s="1">
        <f>IF(Tabela1[[#This Row],[promien]]&lt;40000,1,0)</f>
        <v>1</v>
      </c>
      <c r="E4689" s="1">
        <f>IF(Tabela1[[#This Row],[promien]]=40000,1,0)</f>
        <v>0</v>
      </c>
      <c r="F4689" s="1">
        <v>3.1708253358925145</v>
      </c>
      <c r="G4689" s="1">
        <v>2.9232682302721358E-2</v>
      </c>
    </row>
    <row r="4690" spans="1:7">
      <c r="A4690">
        <v>379</v>
      </c>
      <c r="B4690">
        <v>380</v>
      </c>
      <c r="C4690" s="1">
        <f>(Tabela1[[#This Row],[x]]-H$3)*(Tabela1[[#This Row],[x]]-H$3) +(Tabela1[[#This Row],[y]]-H$4)*(Tabela1[[#This Row],[y]]-H$4)</f>
        <v>64441</v>
      </c>
      <c r="D4690" s="1">
        <f>IF(Tabela1[[#This Row],[promien]]&lt;40000,1,0)</f>
        <v>0</v>
      </c>
      <c r="E4690" s="1">
        <f>IF(Tabela1[[#This Row],[promien]]=40000,1,0)</f>
        <v>0</v>
      </c>
      <c r="F4690" s="1">
        <v>3.1701492537313434</v>
      </c>
      <c r="G4690" s="1">
        <v>2.8556600141550259E-2</v>
      </c>
    </row>
    <row r="4691" spans="1:7">
      <c r="A4691">
        <v>23</v>
      </c>
      <c r="B4691">
        <v>73</v>
      </c>
      <c r="C4691" s="1">
        <f>(Tabela1[[#This Row],[x]]-H$3)*(Tabela1[[#This Row],[x]]-H$3) +(Tabela1[[#This Row],[y]]-H$4)*(Tabela1[[#This Row],[y]]-H$4)</f>
        <v>47458</v>
      </c>
      <c r="D4691" s="1">
        <f>IF(Tabela1[[#This Row],[promien]]&lt;40000,1,0)</f>
        <v>0</v>
      </c>
      <c r="E4691" s="1">
        <f>IF(Tabela1[[#This Row],[promien]]=40000,1,0)</f>
        <v>0</v>
      </c>
      <c r="F4691" s="1">
        <v>3.1694734598166701</v>
      </c>
      <c r="G4691" s="1">
        <v>2.7880806226876942E-2</v>
      </c>
    </row>
    <row r="4692" spans="1:7">
      <c r="A4692">
        <v>226</v>
      </c>
      <c r="B4692">
        <v>320</v>
      </c>
      <c r="C4692" s="1">
        <f>(Tabela1[[#This Row],[x]]-H$3)*(Tabela1[[#This Row],[x]]-H$3) +(Tabela1[[#This Row],[y]]-H$4)*(Tabela1[[#This Row],[y]]-H$4)</f>
        <v>15076</v>
      </c>
      <c r="D4692" s="1">
        <f>IF(Tabela1[[#This Row],[promien]]&lt;40000,1,0)</f>
        <v>1</v>
      </c>
      <c r="E4692" s="1">
        <f>IF(Tabela1[[#This Row],[promien]]=40000,1,0)</f>
        <v>0</v>
      </c>
      <c r="F4692" s="1">
        <v>3.1696504688832055</v>
      </c>
      <c r="G4692" s="1">
        <v>2.8057815293412336E-2</v>
      </c>
    </row>
    <row r="4693" spans="1:7">
      <c r="A4693">
        <v>347</v>
      </c>
      <c r="B4693">
        <v>225</v>
      </c>
      <c r="C4693" s="1">
        <f>(Tabela1[[#This Row],[x]]-H$3)*(Tabela1[[#This Row],[x]]-H$3) +(Tabela1[[#This Row],[y]]-H$4)*(Tabela1[[#This Row],[y]]-H$4)</f>
        <v>22234</v>
      </c>
      <c r="D4693" s="1">
        <f>IF(Tabela1[[#This Row],[promien]]&lt;40000,1,0)</f>
        <v>1</v>
      </c>
      <c r="E4693" s="1">
        <f>IF(Tabela1[[#This Row],[promien]]=40000,1,0)</f>
        <v>0</v>
      </c>
      <c r="F4693" s="1">
        <v>3.1698274025143833</v>
      </c>
      <c r="G4693" s="1">
        <v>2.8234748924590214E-2</v>
      </c>
    </row>
    <row r="4694" spans="1:7">
      <c r="A4694">
        <v>303</v>
      </c>
      <c r="B4694">
        <v>359</v>
      </c>
      <c r="C4694" s="1">
        <f>(Tabela1[[#This Row],[x]]-H$3)*(Tabela1[[#This Row],[x]]-H$3) +(Tabela1[[#This Row],[y]]-H$4)*(Tabela1[[#This Row],[y]]-H$4)</f>
        <v>35890</v>
      </c>
      <c r="D4694" s="1">
        <f>IF(Tabela1[[#This Row],[promien]]&lt;40000,1,0)</f>
        <v>1</v>
      </c>
      <c r="E4694" s="1">
        <f>IF(Tabela1[[#This Row],[promien]]=40000,1,0)</f>
        <v>0</v>
      </c>
      <c r="F4694" s="1">
        <v>3.1700042607584149</v>
      </c>
      <c r="G4694" s="1">
        <v>2.8411607168621789E-2</v>
      </c>
    </row>
    <row r="4695" spans="1:7">
      <c r="A4695">
        <v>299</v>
      </c>
      <c r="B4695">
        <v>359</v>
      </c>
      <c r="C4695" s="1">
        <f>(Tabela1[[#This Row],[x]]-H$3)*(Tabela1[[#This Row],[x]]-H$3) +(Tabela1[[#This Row],[y]]-H$4)*(Tabela1[[#This Row],[y]]-H$4)</f>
        <v>35082</v>
      </c>
      <c r="D4695" s="1">
        <f>IF(Tabela1[[#This Row],[promien]]&lt;40000,1,0)</f>
        <v>1</v>
      </c>
      <c r="E4695" s="1">
        <f>IF(Tabela1[[#This Row],[promien]]=40000,1,0)</f>
        <v>0</v>
      </c>
      <c r="F4695" s="1">
        <v>3.1701810436634719</v>
      </c>
      <c r="G4695" s="1">
        <v>2.8588390073678749E-2</v>
      </c>
    </row>
    <row r="4696" spans="1:7">
      <c r="A4696">
        <v>121</v>
      </c>
      <c r="B4696">
        <v>200</v>
      </c>
      <c r="C4696" s="1">
        <f>(Tabela1[[#This Row],[x]]-H$3)*(Tabela1[[#This Row],[x]]-H$3) +(Tabela1[[#This Row],[y]]-H$4)*(Tabela1[[#This Row],[y]]-H$4)</f>
        <v>6241</v>
      </c>
      <c r="D4696" s="1">
        <f>IF(Tabela1[[#This Row],[promien]]&lt;40000,1,0)</f>
        <v>1</v>
      </c>
      <c r="E4696" s="1">
        <f>IF(Tabela1[[#This Row],[promien]]=40000,1,0)</f>
        <v>0</v>
      </c>
      <c r="F4696" s="1">
        <v>3.1703577512776833</v>
      </c>
      <c r="G4696" s="1">
        <v>2.8765097687890151E-2</v>
      </c>
    </row>
    <row r="4697" spans="1:7">
      <c r="A4697">
        <v>372</v>
      </c>
      <c r="B4697">
        <v>367</v>
      </c>
      <c r="C4697" s="1">
        <f>(Tabela1[[#This Row],[x]]-H$3)*(Tabela1[[#This Row],[x]]-H$3) +(Tabela1[[#This Row],[y]]-H$4)*(Tabela1[[#This Row],[y]]-H$4)</f>
        <v>57473</v>
      </c>
      <c r="D4697" s="1">
        <f>IF(Tabela1[[#This Row],[promien]]&lt;40000,1,0)</f>
        <v>0</v>
      </c>
      <c r="E4697" s="1">
        <f>IF(Tabela1[[#This Row],[promien]]=40000,1,0)</f>
        <v>0</v>
      </c>
      <c r="F4697" s="1">
        <v>3.1696827762401534</v>
      </c>
      <c r="G4697" s="1">
        <v>2.8090122650360261E-2</v>
      </c>
    </row>
    <row r="4698" spans="1:7">
      <c r="A4698">
        <v>95</v>
      </c>
      <c r="B4698">
        <v>142</v>
      </c>
      <c r="C4698" s="1">
        <f>(Tabela1[[#This Row],[x]]-H$3)*(Tabela1[[#This Row],[x]]-H$3) +(Tabela1[[#This Row],[y]]-H$4)*(Tabela1[[#This Row],[y]]-H$4)</f>
        <v>14389</v>
      </c>
      <c r="D4698" s="1">
        <f>IF(Tabela1[[#This Row],[promien]]&lt;40000,1,0)</f>
        <v>1</v>
      </c>
      <c r="E4698" s="1">
        <f>IF(Tabela1[[#This Row],[promien]]=40000,1,0)</f>
        <v>0</v>
      </c>
      <c r="F4698" s="1">
        <v>3.1698595146871007</v>
      </c>
      <c r="G4698" s="1">
        <v>2.8266861097307583E-2</v>
      </c>
    </row>
    <row r="4699" spans="1:7">
      <c r="A4699">
        <v>29</v>
      </c>
      <c r="B4699">
        <v>209</v>
      </c>
      <c r="C4699" s="1">
        <f>(Tabela1[[#This Row],[x]]-H$3)*(Tabela1[[#This Row],[x]]-H$3) +(Tabela1[[#This Row],[y]]-H$4)*(Tabela1[[#This Row],[y]]-H$4)</f>
        <v>29322</v>
      </c>
      <c r="D4699" s="1">
        <f>IF(Tabela1[[#This Row],[promien]]&lt;40000,1,0)</f>
        <v>1</v>
      </c>
      <c r="E4699" s="1">
        <f>IF(Tabela1[[#This Row],[promien]]=40000,1,0)</f>
        <v>0</v>
      </c>
      <c r="F4699" s="1">
        <v>3.1700361779101938</v>
      </c>
      <c r="G4699" s="1">
        <v>2.8443524320400648E-2</v>
      </c>
    </row>
    <row r="4700" spans="1:7">
      <c r="A4700">
        <v>229</v>
      </c>
      <c r="B4700">
        <v>160</v>
      </c>
      <c r="C4700" s="1">
        <f>(Tabela1[[#This Row],[x]]-H$3)*(Tabela1[[#This Row],[x]]-H$3) +(Tabela1[[#This Row],[y]]-H$4)*(Tabela1[[#This Row],[y]]-H$4)</f>
        <v>2441</v>
      </c>
      <c r="D4700" s="1">
        <f>IF(Tabela1[[#This Row],[promien]]&lt;40000,1,0)</f>
        <v>1</v>
      </c>
      <c r="E4700" s="1">
        <f>IF(Tabela1[[#This Row],[promien]]=40000,1,0)</f>
        <v>0</v>
      </c>
      <c r="F4700" s="1">
        <v>3.1702127659574466</v>
      </c>
      <c r="G4700" s="1">
        <v>2.8620112367653494E-2</v>
      </c>
    </row>
    <row r="4701" spans="1:7">
      <c r="A4701">
        <v>110</v>
      </c>
      <c r="B4701">
        <v>55</v>
      </c>
      <c r="C4701" s="1">
        <f>(Tabela1[[#This Row],[x]]-H$3)*(Tabela1[[#This Row],[x]]-H$3) +(Tabela1[[#This Row],[y]]-H$4)*(Tabela1[[#This Row],[y]]-H$4)</f>
        <v>29125</v>
      </c>
      <c r="D4701" s="1">
        <f>IF(Tabela1[[#This Row],[promien]]&lt;40000,1,0)</f>
        <v>1</v>
      </c>
      <c r="E4701" s="1">
        <f>IF(Tabela1[[#This Row],[promien]]=40000,1,0)</f>
        <v>0</v>
      </c>
      <c r="F4701" s="1">
        <v>3.1703892788768346</v>
      </c>
      <c r="G4701" s="1">
        <v>2.8796625287041522E-2</v>
      </c>
    </row>
    <row r="4702" spans="1:7">
      <c r="A4702">
        <v>146</v>
      </c>
      <c r="B4702">
        <v>391</v>
      </c>
      <c r="C4702" s="1">
        <f>(Tabela1[[#This Row],[x]]-H$3)*(Tabela1[[#This Row],[x]]-H$3) +(Tabela1[[#This Row],[y]]-H$4)*(Tabela1[[#This Row],[y]]-H$4)</f>
        <v>39397</v>
      </c>
      <c r="D4702" s="1">
        <f>IF(Tabela1[[#This Row],[promien]]&lt;40000,1,0)</f>
        <v>1</v>
      </c>
      <c r="E4702" s="1">
        <f>IF(Tabela1[[#This Row],[promien]]=40000,1,0)</f>
        <v>0</v>
      </c>
      <c r="F4702" s="1">
        <v>3.1705657167162911</v>
      </c>
      <c r="G4702" s="1">
        <v>2.8973063126497944E-2</v>
      </c>
    </row>
    <row r="4703" spans="1:7">
      <c r="A4703">
        <v>310</v>
      </c>
      <c r="B4703">
        <v>54</v>
      </c>
      <c r="C4703" s="1">
        <f>(Tabela1[[#This Row],[x]]-H$3)*(Tabela1[[#This Row],[x]]-H$3) +(Tabela1[[#This Row],[y]]-H$4)*(Tabela1[[#This Row],[y]]-H$4)</f>
        <v>33416</v>
      </c>
      <c r="D4703" s="1">
        <f>IF(Tabela1[[#This Row],[promien]]&lt;40000,1,0)</f>
        <v>1</v>
      </c>
      <c r="E4703" s="1">
        <f>IF(Tabela1[[#This Row],[promien]]=40000,1,0)</f>
        <v>0</v>
      </c>
      <c r="F4703" s="1">
        <v>3.1707420795237082</v>
      </c>
      <c r="G4703" s="1">
        <v>2.9149425933915118E-2</v>
      </c>
    </row>
    <row r="4704" spans="1:7">
      <c r="A4704">
        <v>166</v>
      </c>
      <c r="B4704">
        <v>75</v>
      </c>
      <c r="C4704" s="1">
        <f>(Tabela1[[#This Row],[x]]-H$3)*(Tabela1[[#This Row],[x]]-H$3) +(Tabela1[[#This Row],[y]]-H$4)*(Tabela1[[#This Row],[y]]-H$4)</f>
        <v>16781</v>
      </c>
      <c r="D4704" s="1">
        <f>IF(Tabela1[[#This Row],[promien]]&lt;40000,1,0)</f>
        <v>1</v>
      </c>
      <c r="E4704" s="1">
        <f>IF(Tabela1[[#This Row],[promien]]=40000,1,0)</f>
        <v>0</v>
      </c>
      <c r="F4704" s="1">
        <v>3.170918367346939</v>
      </c>
      <c r="G4704" s="1">
        <v>2.9325713757145877E-2</v>
      </c>
    </row>
    <row r="4705" spans="1:7">
      <c r="A4705">
        <v>48</v>
      </c>
      <c r="B4705">
        <v>48</v>
      </c>
      <c r="C4705" s="1">
        <f>(Tabela1[[#This Row],[x]]-H$3)*(Tabela1[[#This Row],[x]]-H$3) +(Tabela1[[#This Row],[y]]-H$4)*(Tabela1[[#This Row],[y]]-H$4)</f>
        <v>46208</v>
      </c>
      <c r="D4705" s="1">
        <f>IF(Tabela1[[#This Row],[promien]]&lt;40000,1,0)</f>
        <v>0</v>
      </c>
      <c r="E4705" s="1">
        <f>IF(Tabela1[[#This Row],[promien]]=40000,1,0)</f>
        <v>0</v>
      </c>
      <c r="F4705" s="1">
        <v>3.1702444208289053</v>
      </c>
      <c r="G4705" s="1">
        <v>2.8651767239112225E-2</v>
      </c>
    </row>
    <row r="4706" spans="1:7">
      <c r="A4706">
        <v>325</v>
      </c>
      <c r="B4706">
        <v>343</v>
      </c>
      <c r="C4706" s="1">
        <f>(Tabela1[[#This Row],[x]]-H$3)*(Tabela1[[#This Row],[x]]-H$3) +(Tabela1[[#This Row],[y]]-H$4)*(Tabela1[[#This Row],[y]]-H$4)</f>
        <v>36074</v>
      </c>
      <c r="D4706" s="1">
        <f>IF(Tabela1[[#This Row],[promien]]&lt;40000,1,0)</f>
        <v>1</v>
      </c>
      <c r="E4706" s="1">
        <f>IF(Tabela1[[#This Row],[promien]]=40000,1,0)</f>
        <v>0</v>
      </c>
      <c r="F4706" s="1">
        <v>3.1704207394815129</v>
      </c>
      <c r="G4706" s="1">
        <v>2.8828085891719812E-2</v>
      </c>
    </row>
    <row r="4707" spans="1:7">
      <c r="A4707">
        <v>246</v>
      </c>
      <c r="B4707">
        <v>84</v>
      </c>
      <c r="C4707" s="1">
        <f>(Tabela1[[#This Row],[x]]-H$3)*(Tabela1[[#This Row],[x]]-H$3) +(Tabela1[[#This Row],[y]]-H$4)*(Tabela1[[#This Row],[y]]-H$4)</f>
        <v>15572</v>
      </c>
      <c r="D4707" s="1">
        <f>IF(Tabela1[[#This Row],[promien]]&lt;40000,1,0)</f>
        <v>1</v>
      </c>
      <c r="E4707" s="1">
        <f>IF(Tabela1[[#This Row],[promien]]=40000,1,0)</f>
        <v>0</v>
      </c>
      <c r="F4707" s="1">
        <v>3.1705969832164862</v>
      </c>
      <c r="G4707" s="1">
        <v>2.9004329626693082E-2</v>
      </c>
    </row>
    <row r="4708" spans="1:7">
      <c r="A4708">
        <v>280</v>
      </c>
      <c r="B4708">
        <v>194</v>
      </c>
      <c r="C4708" s="1">
        <f>(Tabela1[[#This Row],[x]]-H$3)*(Tabela1[[#This Row],[x]]-H$3) +(Tabela1[[#This Row],[y]]-H$4)*(Tabela1[[#This Row],[y]]-H$4)</f>
        <v>6436</v>
      </c>
      <c r="D4708" s="1">
        <f>IF(Tabela1[[#This Row],[promien]]&lt;40000,1,0)</f>
        <v>1</v>
      </c>
      <c r="E4708" s="1">
        <f>IF(Tabela1[[#This Row],[promien]]=40000,1,0)</f>
        <v>0</v>
      </c>
      <c r="F4708" s="1">
        <v>3.1707731520815634</v>
      </c>
      <c r="G4708" s="1">
        <v>2.918049849177029E-2</v>
      </c>
    </row>
    <row r="4709" spans="1:7">
      <c r="A4709">
        <v>71</v>
      </c>
      <c r="B4709">
        <v>90</v>
      </c>
      <c r="C4709" s="1">
        <f>(Tabela1[[#This Row],[x]]-H$3)*(Tabela1[[#This Row],[x]]-H$3) +(Tabela1[[#This Row],[y]]-H$4)*(Tabela1[[#This Row],[y]]-H$4)</f>
        <v>28741</v>
      </c>
      <c r="D4709" s="1">
        <f>IF(Tabela1[[#This Row],[promien]]&lt;40000,1,0)</f>
        <v>1</v>
      </c>
      <c r="E4709" s="1">
        <f>IF(Tabela1[[#This Row],[promien]]=40000,1,0)</f>
        <v>0</v>
      </c>
      <c r="F4709" s="1">
        <v>3.1709492461244424</v>
      </c>
      <c r="G4709" s="1">
        <v>2.9356592534649284E-2</v>
      </c>
    </row>
    <row r="4710" spans="1:7">
      <c r="A4710">
        <v>384</v>
      </c>
      <c r="B4710">
        <v>236</v>
      </c>
      <c r="C4710" s="1">
        <f>(Tabela1[[#This Row],[x]]-H$3)*(Tabela1[[#This Row],[x]]-H$3) +(Tabela1[[#This Row],[y]]-H$4)*(Tabela1[[#This Row],[y]]-H$4)</f>
        <v>35152</v>
      </c>
      <c r="D4710" s="1">
        <f>IF(Tabela1[[#This Row],[promien]]&lt;40000,1,0)</f>
        <v>1</v>
      </c>
      <c r="E4710" s="1">
        <f>IF(Tabela1[[#This Row],[promien]]=40000,1,0)</f>
        <v>0</v>
      </c>
      <c r="F4710" s="1">
        <v>3.1711252653927815</v>
      </c>
      <c r="G4710" s="1">
        <v>2.9532611802988384E-2</v>
      </c>
    </row>
    <row r="4711" spans="1:7">
      <c r="A4711">
        <v>97</v>
      </c>
      <c r="B4711">
        <v>300</v>
      </c>
      <c r="C4711" s="1">
        <f>(Tabela1[[#This Row],[x]]-H$3)*(Tabela1[[#This Row],[x]]-H$3) +(Tabela1[[#This Row],[y]]-H$4)*(Tabela1[[#This Row],[y]]-H$4)</f>
        <v>20609</v>
      </c>
      <c r="D4711" s="1">
        <f>IF(Tabela1[[#This Row],[promien]]&lt;40000,1,0)</f>
        <v>1</v>
      </c>
      <c r="E4711" s="1">
        <f>IF(Tabela1[[#This Row],[promien]]=40000,1,0)</f>
        <v>0</v>
      </c>
      <c r="F4711" s="1">
        <v>3.1713012099341964</v>
      </c>
      <c r="G4711" s="1">
        <v>2.9708556344403281E-2</v>
      </c>
    </row>
    <row r="4712" spans="1:7">
      <c r="A4712">
        <v>206</v>
      </c>
      <c r="B4712">
        <v>215</v>
      </c>
      <c r="C4712" s="1">
        <f>(Tabela1[[#This Row],[x]]-H$3)*(Tabela1[[#This Row],[x]]-H$3) +(Tabela1[[#This Row],[y]]-H$4)*(Tabela1[[#This Row],[y]]-H$4)</f>
        <v>261</v>
      </c>
      <c r="D4712" s="1">
        <f>IF(Tabela1[[#This Row],[promien]]&lt;40000,1,0)</f>
        <v>1</v>
      </c>
      <c r="E4712" s="1">
        <f>IF(Tabela1[[#This Row],[promien]]=40000,1,0)</f>
        <v>0</v>
      </c>
      <c r="F4712" s="1">
        <v>3.171477079796265</v>
      </c>
      <c r="G4712" s="1">
        <v>2.9884426206471915E-2</v>
      </c>
    </row>
    <row r="4713" spans="1:7">
      <c r="A4713">
        <v>180</v>
      </c>
      <c r="B4713">
        <v>297</v>
      </c>
      <c r="C4713" s="1">
        <f>(Tabela1[[#This Row],[x]]-H$3)*(Tabela1[[#This Row],[x]]-H$3) +(Tabela1[[#This Row],[y]]-H$4)*(Tabela1[[#This Row],[y]]-H$4)</f>
        <v>9809</v>
      </c>
      <c r="D4713" s="1">
        <f>IF(Tabela1[[#This Row],[promien]]&lt;40000,1,0)</f>
        <v>1</v>
      </c>
      <c r="E4713" s="1">
        <f>IF(Tabela1[[#This Row],[promien]]=40000,1,0)</f>
        <v>0</v>
      </c>
      <c r="F4713" s="1">
        <v>3.1716528750265223</v>
      </c>
      <c r="G4713" s="1">
        <v>3.0060221436729151E-2</v>
      </c>
    </row>
    <row r="4714" spans="1:7">
      <c r="A4714">
        <v>166</v>
      </c>
      <c r="B4714">
        <v>120</v>
      </c>
      <c r="C4714" s="1">
        <f>(Tabela1[[#This Row],[x]]-H$3)*(Tabela1[[#This Row],[x]]-H$3) +(Tabela1[[#This Row],[y]]-H$4)*(Tabela1[[#This Row],[y]]-H$4)</f>
        <v>7556</v>
      </c>
      <c r="D4714" s="1">
        <f>IF(Tabela1[[#This Row],[promien]]&lt;40000,1,0)</f>
        <v>1</v>
      </c>
      <c r="E4714" s="1">
        <f>IF(Tabela1[[#This Row],[promien]]=40000,1,0)</f>
        <v>0</v>
      </c>
      <c r="F4714" s="1">
        <v>3.1718285956724648</v>
      </c>
      <c r="G4714" s="1">
        <v>3.0235942082671663E-2</v>
      </c>
    </row>
    <row r="4715" spans="1:7">
      <c r="A4715">
        <v>202</v>
      </c>
      <c r="B4715">
        <v>280</v>
      </c>
      <c r="C4715" s="1">
        <f>(Tabela1[[#This Row],[x]]-H$3)*(Tabela1[[#This Row],[x]]-H$3) +(Tabela1[[#This Row],[y]]-H$4)*(Tabela1[[#This Row],[y]]-H$4)</f>
        <v>6404</v>
      </c>
      <c r="D4715" s="1">
        <f>IF(Tabela1[[#This Row],[promien]]&lt;40000,1,0)</f>
        <v>1</v>
      </c>
      <c r="E4715" s="1">
        <f>IF(Tabela1[[#This Row],[promien]]=40000,1,0)</f>
        <v>0</v>
      </c>
      <c r="F4715" s="1">
        <v>3.1720042417815484</v>
      </c>
      <c r="G4715" s="1">
        <v>3.0411588191755268E-2</v>
      </c>
    </row>
    <row r="4716" spans="1:7">
      <c r="A4716">
        <v>231</v>
      </c>
      <c r="B4716">
        <v>361</v>
      </c>
      <c r="C4716" s="1">
        <f>(Tabela1[[#This Row],[x]]-H$3)*(Tabela1[[#This Row],[x]]-H$3) +(Tabela1[[#This Row],[y]]-H$4)*(Tabela1[[#This Row],[y]]-H$4)</f>
        <v>26882</v>
      </c>
      <c r="D4716" s="1">
        <f>IF(Tabela1[[#This Row],[promien]]&lt;40000,1,0)</f>
        <v>1</v>
      </c>
      <c r="E4716" s="1">
        <f>IF(Tabela1[[#This Row],[promien]]=40000,1,0)</f>
        <v>0</v>
      </c>
      <c r="F4716" s="1">
        <v>3.1721798134011876</v>
      </c>
      <c r="G4716" s="1">
        <v>3.0587159811394482E-2</v>
      </c>
    </row>
    <row r="4717" spans="1:7">
      <c r="A4717">
        <v>171</v>
      </c>
      <c r="B4717">
        <v>129</v>
      </c>
      <c r="C4717" s="1">
        <f>(Tabela1[[#This Row],[x]]-H$3)*(Tabela1[[#This Row],[x]]-H$3) +(Tabela1[[#This Row],[y]]-H$4)*(Tabela1[[#This Row],[y]]-H$4)</f>
        <v>5882</v>
      </c>
      <c r="D4717" s="1">
        <f>IF(Tabela1[[#This Row],[promien]]&lt;40000,1,0)</f>
        <v>1</v>
      </c>
      <c r="E4717" s="1">
        <f>IF(Tabela1[[#This Row],[promien]]=40000,1,0)</f>
        <v>0</v>
      </c>
      <c r="F4717" s="1">
        <v>3.1723553105787579</v>
      </c>
      <c r="G4717" s="1">
        <v>3.0762656988964743E-2</v>
      </c>
    </row>
    <row r="4718" spans="1:7">
      <c r="A4718">
        <v>164</v>
      </c>
      <c r="B4718">
        <v>278</v>
      </c>
      <c r="C4718" s="1">
        <f>(Tabela1[[#This Row],[x]]-H$3)*(Tabela1[[#This Row],[x]]-H$3) +(Tabela1[[#This Row],[y]]-H$4)*(Tabela1[[#This Row],[y]]-H$4)</f>
        <v>7380</v>
      </c>
      <c r="D4718" s="1">
        <f>IF(Tabela1[[#This Row],[promien]]&lt;40000,1,0)</f>
        <v>1</v>
      </c>
      <c r="E4718" s="1">
        <f>IF(Tabela1[[#This Row],[promien]]=40000,1,0)</f>
        <v>0</v>
      </c>
      <c r="F4718" s="1">
        <v>3.1725307333615937</v>
      </c>
      <c r="G4718" s="1">
        <v>3.0938079771800631E-2</v>
      </c>
    </row>
    <row r="4719" spans="1:7">
      <c r="A4719">
        <v>65</v>
      </c>
      <c r="B4719">
        <v>232</v>
      </c>
      <c r="C4719" s="1">
        <f>(Tabela1[[#This Row],[x]]-H$3)*(Tabela1[[#This Row],[x]]-H$3) +(Tabela1[[#This Row],[y]]-H$4)*(Tabela1[[#This Row],[y]]-H$4)</f>
        <v>19249</v>
      </c>
      <c r="D4719" s="1">
        <f>IF(Tabela1[[#This Row],[promien]]&lt;40000,1,0)</f>
        <v>1</v>
      </c>
      <c r="E4719" s="1">
        <f>IF(Tabela1[[#This Row],[promien]]=40000,1,0)</f>
        <v>0</v>
      </c>
      <c r="F4719" s="1">
        <v>3.1727060817969908</v>
      </c>
      <c r="G4719" s="1">
        <v>3.1113428207197646E-2</v>
      </c>
    </row>
    <row r="4720" spans="1:7">
      <c r="A4720">
        <v>34</v>
      </c>
      <c r="B4720">
        <v>385</v>
      </c>
      <c r="C4720" s="1">
        <f>(Tabela1[[#This Row],[x]]-H$3)*(Tabela1[[#This Row],[x]]-H$3) +(Tabela1[[#This Row],[y]]-H$4)*(Tabela1[[#This Row],[y]]-H$4)</f>
        <v>61781</v>
      </c>
      <c r="D4720" s="1">
        <f>IF(Tabela1[[#This Row],[promien]]&lt;40000,1,0)</f>
        <v>0</v>
      </c>
      <c r="E4720" s="1">
        <f>IF(Tabela1[[#This Row],[promien]]=40000,1,0)</f>
        <v>0</v>
      </c>
      <c r="F4720" s="1">
        <v>3.1720338983050849</v>
      </c>
      <c r="G4720" s="1">
        <v>3.0441244715291749E-2</v>
      </c>
    </row>
    <row r="4721" spans="1:7">
      <c r="A4721">
        <v>372</v>
      </c>
      <c r="B4721">
        <v>60</v>
      </c>
      <c r="C4721" s="1">
        <f>(Tabela1[[#This Row],[x]]-H$3)*(Tabela1[[#This Row],[x]]-H$3) +(Tabela1[[#This Row],[y]]-H$4)*(Tabela1[[#This Row],[y]]-H$4)</f>
        <v>49184</v>
      </c>
      <c r="D4721" s="1">
        <f>IF(Tabela1[[#This Row],[promien]]&lt;40000,1,0)</f>
        <v>0</v>
      </c>
      <c r="E4721" s="1">
        <f>IF(Tabela1[[#This Row],[promien]]=40000,1,0)</f>
        <v>0</v>
      </c>
      <c r="F4721" s="1">
        <v>3.1713619995763609</v>
      </c>
      <c r="G4721" s="1">
        <v>2.9769345986567775E-2</v>
      </c>
    </row>
    <row r="4722" spans="1:7">
      <c r="A4722">
        <v>224</v>
      </c>
      <c r="B4722">
        <v>221</v>
      </c>
      <c r="C4722" s="1">
        <f>(Tabela1[[#This Row],[x]]-H$3)*(Tabela1[[#This Row],[x]]-H$3) +(Tabela1[[#This Row],[y]]-H$4)*(Tabela1[[#This Row],[y]]-H$4)</f>
        <v>1017</v>
      </c>
      <c r="D4722" s="1">
        <f>IF(Tabela1[[#This Row],[promien]]&lt;40000,1,0)</f>
        <v>1</v>
      </c>
      <c r="E4722" s="1">
        <f>IF(Tabela1[[#This Row],[promien]]=40000,1,0)</f>
        <v>0</v>
      </c>
      <c r="F4722" s="1">
        <v>3.1715374841168997</v>
      </c>
      <c r="G4722" s="1">
        <v>2.9944830527106614E-2</v>
      </c>
    </row>
    <row r="4723" spans="1:7">
      <c r="A4723">
        <v>26</v>
      </c>
      <c r="B4723">
        <v>58</v>
      </c>
      <c r="C4723" s="1">
        <f>(Tabela1[[#This Row],[x]]-H$3)*(Tabela1[[#This Row],[x]]-H$3) +(Tabela1[[#This Row],[y]]-H$4)*(Tabela1[[#This Row],[y]]-H$4)</f>
        <v>50440</v>
      </c>
      <c r="D4723" s="1">
        <f>IF(Tabela1[[#This Row],[promien]]&lt;40000,1,0)</f>
        <v>0</v>
      </c>
      <c r="E4723" s="1">
        <f>IF(Tabela1[[#This Row],[promien]]=40000,1,0)</f>
        <v>0</v>
      </c>
      <c r="F4723" s="1">
        <v>3.1708659750158796</v>
      </c>
      <c r="G4723" s="1">
        <v>2.9273321426086518E-2</v>
      </c>
    </row>
    <row r="4724" spans="1:7">
      <c r="A4724">
        <v>5</v>
      </c>
      <c r="B4724">
        <v>270</v>
      </c>
      <c r="C4724" s="1">
        <f>(Tabela1[[#This Row],[x]]-H$3)*(Tabela1[[#This Row],[x]]-H$3) +(Tabela1[[#This Row],[y]]-H$4)*(Tabela1[[#This Row],[y]]-H$4)</f>
        <v>42925</v>
      </c>
      <c r="D4724" s="1">
        <f>IF(Tabela1[[#This Row],[promien]]&lt;40000,1,0)</f>
        <v>0</v>
      </c>
      <c r="E4724" s="1">
        <f>IF(Tabela1[[#This Row],[promien]]=40000,1,0)</f>
        <v>0</v>
      </c>
      <c r="F4724" s="1">
        <v>3.1701947502116852</v>
      </c>
      <c r="G4724" s="1">
        <v>2.8602096621892059E-2</v>
      </c>
    </row>
    <row r="4725" spans="1:7">
      <c r="A4725">
        <v>263</v>
      </c>
      <c r="B4725">
        <v>105</v>
      </c>
      <c r="C4725" s="1">
        <f>(Tabela1[[#This Row],[x]]-H$3)*(Tabela1[[#This Row],[x]]-H$3) +(Tabela1[[#This Row],[y]]-H$4)*(Tabela1[[#This Row],[y]]-H$4)</f>
        <v>12994</v>
      </c>
      <c r="D4725" s="1">
        <f>IF(Tabela1[[#This Row],[promien]]&lt;40000,1,0)</f>
        <v>1</v>
      </c>
      <c r="E4725" s="1">
        <f>IF(Tabela1[[#This Row],[promien]]=40000,1,0)</f>
        <v>0</v>
      </c>
      <c r="F4725" s="1">
        <v>3.1703703703703705</v>
      </c>
      <c r="G4725" s="1">
        <v>2.8777716780577389E-2</v>
      </c>
    </row>
    <row r="4726" spans="1:7">
      <c r="A4726">
        <v>390</v>
      </c>
      <c r="B4726">
        <v>100</v>
      </c>
      <c r="C4726" s="1">
        <f>(Tabela1[[#This Row],[x]]-H$3)*(Tabela1[[#This Row],[x]]-H$3) +(Tabela1[[#This Row],[y]]-H$4)*(Tabela1[[#This Row],[y]]-H$4)</f>
        <v>46100</v>
      </c>
      <c r="D4726" s="1">
        <f>IF(Tabela1[[#This Row],[promien]]&lt;40000,1,0)</f>
        <v>0</v>
      </c>
      <c r="E4726" s="1">
        <f>IF(Tabela1[[#This Row],[promien]]=40000,1,0)</f>
        <v>0</v>
      </c>
      <c r="F4726" s="1">
        <v>3.1696995344900549</v>
      </c>
      <c r="G4726" s="1">
        <v>2.810688090026181E-2</v>
      </c>
    </row>
    <row r="4727" spans="1:7">
      <c r="A4727">
        <v>129</v>
      </c>
      <c r="B4727">
        <v>318</v>
      </c>
      <c r="C4727" s="1">
        <f>(Tabela1[[#This Row],[x]]-H$3)*(Tabela1[[#This Row],[x]]-H$3) +(Tabela1[[#This Row],[y]]-H$4)*(Tabela1[[#This Row],[y]]-H$4)</f>
        <v>18965</v>
      </c>
      <c r="D4727" s="1">
        <f>IF(Tabela1[[#This Row],[promien]]&lt;40000,1,0)</f>
        <v>1</v>
      </c>
      <c r="E4727" s="1">
        <f>IF(Tabela1[[#This Row],[promien]]=40000,1,0)</f>
        <v>0</v>
      </c>
      <c r="F4727" s="1">
        <v>3.1698751851068332</v>
      </c>
      <c r="G4727" s="1">
        <v>2.8282531517040077E-2</v>
      </c>
    </row>
    <row r="4728" spans="1:7">
      <c r="A4728">
        <v>129</v>
      </c>
      <c r="B4728">
        <v>45</v>
      </c>
      <c r="C4728" s="1">
        <f>(Tabela1[[#This Row],[x]]-H$3)*(Tabela1[[#This Row],[x]]-H$3) +(Tabela1[[#This Row],[y]]-H$4)*(Tabela1[[#This Row],[y]]-H$4)</f>
        <v>29066</v>
      </c>
      <c r="D4728" s="1">
        <f>IF(Tabela1[[#This Row],[promien]]&lt;40000,1,0)</f>
        <v>1</v>
      </c>
      <c r="E4728" s="1">
        <f>IF(Tabela1[[#This Row],[promien]]=40000,1,0)</f>
        <v>0</v>
      </c>
      <c r="F4728" s="1">
        <v>3.1700507614213196</v>
      </c>
      <c r="G4728" s="1">
        <v>2.8458107831526469E-2</v>
      </c>
    </row>
    <row r="4729" spans="1:7">
      <c r="A4729">
        <v>283</v>
      </c>
      <c r="B4729">
        <v>335</v>
      </c>
      <c r="C4729" s="1">
        <f>(Tabela1[[#This Row],[x]]-H$3)*(Tabela1[[#This Row],[x]]-H$3) +(Tabela1[[#This Row],[y]]-H$4)*(Tabela1[[#This Row],[y]]-H$4)</f>
        <v>25114</v>
      </c>
      <c r="D4729" s="1">
        <f>IF(Tabela1[[#This Row],[promien]]&lt;40000,1,0)</f>
        <v>1</v>
      </c>
      <c r="E4729" s="1">
        <f>IF(Tabela1[[#This Row],[promien]]=40000,1,0)</f>
        <v>0</v>
      </c>
      <c r="F4729" s="1">
        <v>3.1702262634806515</v>
      </c>
      <c r="G4729" s="1">
        <v>2.8633609890858391E-2</v>
      </c>
    </row>
    <row r="4730" spans="1:7">
      <c r="A4730">
        <v>278</v>
      </c>
      <c r="B4730">
        <v>147</v>
      </c>
      <c r="C4730" s="1">
        <f>(Tabela1[[#This Row],[x]]-H$3)*(Tabela1[[#This Row],[x]]-H$3) +(Tabela1[[#This Row],[y]]-H$4)*(Tabela1[[#This Row],[y]]-H$4)</f>
        <v>8893</v>
      </c>
      <c r="D4730" s="1">
        <f>IF(Tabela1[[#This Row],[promien]]&lt;40000,1,0)</f>
        <v>1</v>
      </c>
      <c r="E4730" s="1">
        <f>IF(Tabela1[[#This Row],[promien]]=40000,1,0)</f>
        <v>0</v>
      </c>
      <c r="F4730" s="1">
        <v>3.1704016913319237</v>
      </c>
      <c r="G4730" s="1">
        <v>2.8809037742130617E-2</v>
      </c>
    </row>
    <row r="4731" spans="1:7">
      <c r="A4731">
        <v>278</v>
      </c>
      <c r="B4731">
        <v>151</v>
      </c>
      <c r="C4731" s="1">
        <f>(Tabela1[[#This Row],[x]]-H$3)*(Tabela1[[#This Row],[x]]-H$3) +(Tabela1[[#This Row],[y]]-H$4)*(Tabela1[[#This Row],[y]]-H$4)</f>
        <v>8485</v>
      </c>
      <c r="D4731" s="1">
        <f>IF(Tabela1[[#This Row],[promien]]&lt;40000,1,0)</f>
        <v>1</v>
      </c>
      <c r="E4731" s="1">
        <f>IF(Tabela1[[#This Row],[promien]]=40000,1,0)</f>
        <v>0</v>
      </c>
      <c r="F4731" s="1">
        <v>3.1705770450221942</v>
      </c>
      <c r="G4731" s="1">
        <v>2.8984391432401058E-2</v>
      </c>
    </row>
    <row r="4732" spans="1:7">
      <c r="A4732">
        <v>60</v>
      </c>
      <c r="B4732">
        <v>251</v>
      </c>
      <c r="C4732" s="1">
        <f>(Tabela1[[#This Row],[x]]-H$3)*(Tabela1[[#This Row],[x]]-H$3) +(Tabela1[[#This Row],[y]]-H$4)*(Tabela1[[#This Row],[y]]-H$4)</f>
        <v>22201</v>
      </c>
      <c r="D4732" s="1">
        <f>IF(Tabela1[[#This Row],[promien]]&lt;40000,1,0)</f>
        <v>1</v>
      </c>
      <c r="E4732" s="1">
        <f>IF(Tabela1[[#This Row],[promien]]=40000,1,0)</f>
        <v>0</v>
      </c>
      <c r="F4732" s="1">
        <v>3.1707523245984786</v>
      </c>
      <c r="G4732" s="1">
        <v>2.9159671008685439E-2</v>
      </c>
    </row>
    <row r="4733" spans="1:7">
      <c r="A4733">
        <v>231</v>
      </c>
      <c r="B4733">
        <v>369</v>
      </c>
      <c r="C4733" s="1">
        <f>(Tabela1[[#This Row],[x]]-H$3)*(Tabela1[[#This Row],[x]]-H$3) +(Tabela1[[#This Row],[y]]-H$4)*(Tabela1[[#This Row],[y]]-H$4)</f>
        <v>29522</v>
      </c>
      <c r="D4733" s="1">
        <f>IF(Tabela1[[#This Row],[promien]]&lt;40000,1,0)</f>
        <v>1</v>
      </c>
      <c r="E4733" s="1">
        <f>IF(Tabela1[[#This Row],[promien]]=40000,1,0)</f>
        <v>0</v>
      </c>
      <c r="F4733" s="1">
        <v>3.170927530107754</v>
      </c>
      <c r="G4733" s="1">
        <v>2.9334876517960851E-2</v>
      </c>
    </row>
    <row r="4734" spans="1:7">
      <c r="A4734">
        <v>293</v>
      </c>
      <c r="B4734">
        <v>117</v>
      </c>
      <c r="C4734" s="1">
        <f>(Tabela1[[#This Row],[x]]-H$3)*(Tabela1[[#This Row],[x]]-H$3) +(Tabela1[[#This Row],[y]]-H$4)*(Tabela1[[#This Row],[y]]-H$4)</f>
        <v>15538</v>
      </c>
      <c r="D4734" s="1">
        <f>IF(Tabela1[[#This Row],[promien]]&lt;40000,1,0)</f>
        <v>1</v>
      </c>
      <c r="E4734" s="1">
        <f>IF(Tabela1[[#This Row],[promien]]=40000,1,0)</f>
        <v>0</v>
      </c>
      <c r="F4734" s="1">
        <v>3.171102661596958</v>
      </c>
      <c r="G4734" s="1">
        <v>2.9510008007164856E-2</v>
      </c>
    </row>
    <row r="4735" spans="1:7">
      <c r="A4735">
        <v>233</v>
      </c>
      <c r="B4735">
        <v>4</v>
      </c>
      <c r="C4735" s="1">
        <f>(Tabela1[[#This Row],[x]]-H$3)*(Tabela1[[#This Row],[x]]-H$3) +(Tabela1[[#This Row],[y]]-H$4)*(Tabela1[[#This Row],[y]]-H$4)</f>
        <v>39505</v>
      </c>
      <c r="D4735" s="1">
        <f>IF(Tabela1[[#This Row],[promien]]&lt;40000,1,0)</f>
        <v>1</v>
      </c>
      <c r="E4735" s="1">
        <f>IF(Tabela1[[#This Row],[promien]]=40000,1,0)</f>
        <v>0</v>
      </c>
      <c r="F4735" s="1">
        <v>3.1712777191129882</v>
      </c>
      <c r="G4735" s="1">
        <v>2.9685065523195053E-2</v>
      </c>
    </row>
    <row r="4736" spans="1:7">
      <c r="A4736">
        <v>213</v>
      </c>
      <c r="B4736">
        <v>158</v>
      </c>
      <c r="C4736" s="1">
        <f>(Tabela1[[#This Row],[x]]-H$3)*(Tabela1[[#This Row],[x]]-H$3) +(Tabela1[[#This Row],[y]]-H$4)*(Tabela1[[#This Row],[y]]-H$4)</f>
        <v>1933</v>
      </c>
      <c r="D4736" s="1">
        <f>IF(Tabela1[[#This Row],[promien]]&lt;40000,1,0)</f>
        <v>1</v>
      </c>
      <c r="E4736" s="1">
        <f>IF(Tabela1[[#This Row],[promien]]=40000,1,0)</f>
        <v>0</v>
      </c>
      <c r="F4736" s="1">
        <v>3.1714527027027026</v>
      </c>
      <c r="G4736" s="1">
        <v>2.9860049112909515E-2</v>
      </c>
    </row>
    <row r="4737" spans="1:7">
      <c r="A4737">
        <v>338</v>
      </c>
      <c r="B4737">
        <v>1</v>
      </c>
      <c r="C4737" s="1">
        <f>(Tabela1[[#This Row],[x]]-H$3)*(Tabela1[[#This Row],[x]]-H$3) +(Tabela1[[#This Row],[y]]-H$4)*(Tabela1[[#This Row],[y]]-H$4)</f>
        <v>58645</v>
      </c>
      <c r="D4737" s="1">
        <f>IF(Tabela1[[#This Row],[promien]]&lt;40000,1,0)</f>
        <v>0</v>
      </c>
      <c r="E4737" s="1">
        <f>IF(Tabela1[[#This Row],[promien]]=40000,1,0)</f>
        <v>0</v>
      </c>
      <c r="F4737" s="1">
        <v>3.1707831961156852</v>
      </c>
      <c r="G4737" s="1">
        <v>2.9190542525892038E-2</v>
      </c>
    </row>
    <row r="4738" spans="1:7">
      <c r="A4738">
        <v>113</v>
      </c>
      <c r="B4738">
        <v>290</v>
      </c>
      <c r="C4738" s="1">
        <f>(Tabela1[[#This Row],[x]]-H$3)*(Tabela1[[#This Row],[x]]-H$3) +(Tabela1[[#This Row],[y]]-H$4)*(Tabela1[[#This Row],[y]]-H$4)</f>
        <v>15669</v>
      </c>
      <c r="D4738" s="1">
        <f>IF(Tabela1[[#This Row],[promien]]&lt;40000,1,0)</f>
        <v>1</v>
      </c>
      <c r="E4738" s="1">
        <f>IF(Tabela1[[#This Row],[promien]]=40000,1,0)</f>
        <v>0</v>
      </c>
      <c r="F4738" s="1">
        <v>3.1709582102152809</v>
      </c>
      <c r="G4738" s="1">
        <v>2.9365556625487788E-2</v>
      </c>
    </row>
    <row r="4739" spans="1:7">
      <c r="A4739">
        <v>174</v>
      </c>
      <c r="B4739">
        <v>20</v>
      </c>
      <c r="C4739" s="1">
        <f>(Tabela1[[#This Row],[x]]-H$3)*(Tabela1[[#This Row],[x]]-H$3) +(Tabela1[[#This Row],[y]]-H$4)*(Tabela1[[#This Row],[y]]-H$4)</f>
        <v>33076</v>
      </c>
      <c r="D4739" s="1">
        <f>IF(Tabela1[[#This Row],[promien]]&lt;40000,1,0)</f>
        <v>1</v>
      </c>
      <c r="E4739" s="1">
        <f>IF(Tabela1[[#This Row],[promien]]=40000,1,0)</f>
        <v>0</v>
      </c>
      <c r="F4739" s="1">
        <v>3.1711331504536822</v>
      </c>
      <c r="G4739" s="1">
        <v>2.9540496863889043E-2</v>
      </c>
    </row>
    <row r="4740" spans="1:7">
      <c r="A4740">
        <v>288</v>
      </c>
      <c r="B4740">
        <v>15</v>
      </c>
      <c r="C4740" s="1">
        <f>(Tabela1[[#This Row],[x]]-H$3)*(Tabela1[[#This Row],[x]]-H$3) +(Tabela1[[#This Row],[y]]-H$4)*(Tabela1[[#This Row],[y]]-H$4)</f>
        <v>41969</v>
      </c>
      <c r="D4740" s="1">
        <f>IF(Tabela1[[#This Row],[promien]]&lt;40000,1,0)</f>
        <v>0</v>
      </c>
      <c r="E4740" s="1">
        <f>IF(Tabela1[[#This Row],[promien]]=40000,1,0)</f>
        <v>0</v>
      </c>
      <c r="F4740" s="1">
        <v>3.1704641350210969</v>
      </c>
      <c r="G4740" s="1">
        <v>2.8871481431303803E-2</v>
      </c>
    </row>
    <row r="4741" spans="1:7">
      <c r="A4741">
        <v>312</v>
      </c>
      <c r="B4741">
        <v>25</v>
      </c>
      <c r="C4741" s="1">
        <f>(Tabela1[[#This Row],[x]]-H$3)*(Tabela1[[#This Row],[x]]-H$3) +(Tabela1[[#This Row],[y]]-H$4)*(Tabela1[[#This Row],[y]]-H$4)</f>
        <v>43169</v>
      </c>
      <c r="D4741" s="1">
        <f>IF(Tabela1[[#This Row],[promien]]&lt;40000,1,0)</f>
        <v>0</v>
      </c>
      <c r="E4741" s="1">
        <f>IF(Tabela1[[#This Row],[promien]]=40000,1,0)</f>
        <v>0</v>
      </c>
      <c r="F4741" s="1">
        <v>3.1697954018139631</v>
      </c>
      <c r="G4741" s="1">
        <v>2.8202748224170016E-2</v>
      </c>
    </row>
    <row r="4742" spans="1:7">
      <c r="A4742">
        <v>87</v>
      </c>
      <c r="B4742">
        <v>261</v>
      </c>
      <c r="C4742" s="1">
        <f>(Tabela1[[#This Row],[x]]-H$3)*(Tabela1[[#This Row],[x]]-H$3) +(Tabela1[[#This Row],[y]]-H$4)*(Tabela1[[#This Row],[y]]-H$4)</f>
        <v>16490</v>
      </c>
      <c r="D4742" s="1">
        <f>IF(Tabela1[[#This Row],[promien]]&lt;40000,1,0)</f>
        <v>1</v>
      </c>
      <c r="E4742" s="1">
        <f>IF(Tabela1[[#This Row],[promien]]=40000,1,0)</f>
        <v>0</v>
      </c>
      <c r="F4742" s="1">
        <v>3.1699704765921553</v>
      </c>
      <c r="G4742" s="1">
        <v>2.8377823002362135E-2</v>
      </c>
    </row>
    <row r="4743" spans="1:7">
      <c r="A4743">
        <v>106</v>
      </c>
      <c r="B4743">
        <v>77</v>
      </c>
      <c r="C4743" s="1">
        <f>(Tabela1[[#This Row],[x]]-H$3)*(Tabela1[[#This Row],[x]]-H$3) +(Tabela1[[#This Row],[y]]-H$4)*(Tabela1[[#This Row],[y]]-H$4)</f>
        <v>23965</v>
      </c>
      <c r="D4743" s="1">
        <f>IF(Tabela1[[#This Row],[promien]]&lt;40000,1,0)</f>
        <v>1</v>
      </c>
      <c r="E4743" s="1">
        <f>IF(Tabela1[[#This Row],[promien]]=40000,1,0)</f>
        <v>0</v>
      </c>
      <c r="F4743" s="1">
        <v>3.1701454775458568</v>
      </c>
      <c r="G4743" s="1">
        <v>2.8552823956063733E-2</v>
      </c>
    </row>
    <row r="4744" spans="1:7">
      <c r="A4744">
        <v>206</v>
      </c>
      <c r="B4744">
        <v>327</v>
      </c>
      <c r="C4744" s="1">
        <f>(Tabela1[[#This Row],[x]]-H$3)*(Tabela1[[#This Row],[x]]-H$3) +(Tabela1[[#This Row],[y]]-H$4)*(Tabela1[[#This Row],[y]]-H$4)</f>
        <v>16165</v>
      </c>
      <c r="D4744" s="1">
        <f>IF(Tabela1[[#This Row],[promien]]&lt;40000,1,0)</f>
        <v>1</v>
      </c>
      <c r="E4744" s="1">
        <f>IF(Tabela1[[#This Row],[promien]]=40000,1,0)</f>
        <v>0</v>
      </c>
      <c r="F4744" s="1">
        <v>3.1703204047217537</v>
      </c>
      <c r="G4744" s="1">
        <v>2.8727751131960577E-2</v>
      </c>
    </row>
    <row r="4745" spans="1:7">
      <c r="A4745">
        <v>215</v>
      </c>
      <c r="B4745">
        <v>321</v>
      </c>
      <c r="C4745" s="1">
        <f>(Tabela1[[#This Row],[x]]-H$3)*(Tabela1[[#This Row],[x]]-H$3) +(Tabela1[[#This Row],[y]]-H$4)*(Tabela1[[#This Row],[y]]-H$4)</f>
        <v>14866</v>
      </c>
      <c r="D4745" s="1">
        <f>IF(Tabela1[[#This Row],[promien]]&lt;40000,1,0)</f>
        <v>1</v>
      </c>
      <c r="E4745" s="1">
        <f>IF(Tabela1[[#This Row],[promien]]=40000,1,0)</f>
        <v>0</v>
      </c>
      <c r="F4745" s="1">
        <v>3.1704952581664911</v>
      </c>
      <c r="G4745" s="1">
        <v>2.8902604576698021E-2</v>
      </c>
    </row>
    <row r="4746" spans="1:7">
      <c r="A4746">
        <v>320</v>
      </c>
      <c r="B4746">
        <v>347</v>
      </c>
      <c r="C4746" s="1">
        <f>(Tabela1[[#This Row],[x]]-H$3)*(Tabela1[[#This Row],[x]]-H$3) +(Tabela1[[#This Row],[y]]-H$4)*(Tabela1[[#This Row],[y]]-H$4)</f>
        <v>36009</v>
      </c>
      <c r="D4746" s="1">
        <f>IF(Tabela1[[#This Row],[promien]]&lt;40000,1,0)</f>
        <v>1</v>
      </c>
      <c r="E4746" s="1">
        <f>IF(Tabela1[[#This Row],[promien]]=40000,1,0)</f>
        <v>0</v>
      </c>
      <c r="F4746" s="1">
        <v>3.170670037926675</v>
      </c>
      <c r="G4746" s="1">
        <v>2.9077384336881895E-2</v>
      </c>
    </row>
    <row r="4747" spans="1:7">
      <c r="A4747">
        <v>127</v>
      </c>
      <c r="B4747">
        <v>217</v>
      </c>
      <c r="C4747" s="1">
        <f>(Tabela1[[#This Row],[x]]-H$3)*(Tabela1[[#This Row],[x]]-H$3) +(Tabela1[[#This Row],[y]]-H$4)*(Tabela1[[#This Row],[y]]-H$4)</f>
        <v>5618</v>
      </c>
      <c r="D4747" s="1">
        <f>IF(Tabela1[[#This Row],[promien]]&lt;40000,1,0)</f>
        <v>1</v>
      </c>
      <c r="E4747" s="1">
        <f>IF(Tabela1[[#This Row],[promien]]=40000,1,0)</f>
        <v>0</v>
      </c>
      <c r="F4747" s="1">
        <v>3.170844744048873</v>
      </c>
      <c r="G4747" s="1">
        <v>2.9252090459079838E-2</v>
      </c>
    </row>
    <row r="4748" spans="1:7">
      <c r="A4748">
        <v>290</v>
      </c>
      <c r="B4748">
        <v>115</v>
      </c>
      <c r="C4748" s="1">
        <f>(Tabela1[[#This Row],[x]]-H$3)*(Tabela1[[#This Row],[x]]-H$3) +(Tabela1[[#This Row],[y]]-H$4)*(Tabela1[[#This Row],[y]]-H$4)</f>
        <v>15325</v>
      </c>
      <c r="D4748" s="1">
        <f>IF(Tabela1[[#This Row],[promien]]&lt;40000,1,0)</f>
        <v>1</v>
      </c>
      <c r="E4748" s="1">
        <f>IF(Tabela1[[#This Row],[promien]]=40000,1,0)</f>
        <v>0</v>
      </c>
      <c r="F4748" s="1">
        <v>3.1710193765796126</v>
      </c>
      <c r="G4748" s="1">
        <v>2.942672298981952E-2</v>
      </c>
    </row>
    <row r="4749" spans="1:7">
      <c r="A4749">
        <v>309</v>
      </c>
      <c r="B4749">
        <v>353</v>
      </c>
      <c r="C4749" s="1">
        <f>(Tabela1[[#This Row],[x]]-H$3)*(Tabela1[[#This Row],[x]]-H$3) +(Tabela1[[#This Row],[y]]-H$4)*(Tabela1[[#This Row],[y]]-H$4)</f>
        <v>35290</v>
      </c>
      <c r="D4749" s="1">
        <f>IF(Tabela1[[#This Row],[promien]]&lt;40000,1,0)</f>
        <v>1</v>
      </c>
      <c r="E4749" s="1">
        <f>IF(Tabela1[[#This Row],[promien]]=40000,1,0)</f>
        <v>0</v>
      </c>
      <c r="F4749" s="1">
        <v>3.1711939355653822</v>
      </c>
      <c r="G4749" s="1">
        <v>2.9601281975589089E-2</v>
      </c>
    </row>
    <row r="4750" spans="1:7">
      <c r="A4750">
        <v>55</v>
      </c>
      <c r="B4750">
        <v>178</v>
      </c>
      <c r="C4750" s="1">
        <f>(Tabela1[[#This Row],[x]]-H$3)*(Tabela1[[#This Row],[x]]-H$3) +(Tabela1[[#This Row],[y]]-H$4)*(Tabela1[[#This Row],[y]]-H$4)</f>
        <v>21509</v>
      </c>
      <c r="D4750" s="1">
        <f>IF(Tabela1[[#This Row],[promien]]&lt;40000,1,0)</f>
        <v>1</v>
      </c>
      <c r="E4750" s="1">
        <f>IF(Tabela1[[#This Row],[promien]]=40000,1,0)</f>
        <v>0</v>
      </c>
      <c r="F4750" s="1">
        <v>3.1713684210526316</v>
      </c>
      <c r="G4750" s="1">
        <v>2.9775767462838498E-2</v>
      </c>
    </row>
    <row r="4751" spans="1:7">
      <c r="A4751">
        <v>277</v>
      </c>
      <c r="B4751">
        <v>315</v>
      </c>
      <c r="C4751" s="1">
        <f>(Tabela1[[#This Row],[x]]-H$3)*(Tabela1[[#This Row],[x]]-H$3) +(Tabela1[[#This Row],[y]]-H$4)*(Tabela1[[#This Row],[y]]-H$4)</f>
        <v>19154</v>
      </c>
      <c r="D4751" s="1">
        <f>IF(Tabela1[[#This Row],[promien]]&lt;40000,1,0)</f>
        <v>1</v>
      </c>
      <c r="E4751" s="1">
        <f>IF(Tabela1[[#This Row],[promien]]=40000,1,0)</f>
        <v>0</v>
      </c>
      <c r="F4751" s="1">
        <v>3.1715428330877709</v>
      </c>
      <c r="G4751" s="1">
        <v>2.9950179497977736E-2</v>
      </c>
    </row>
    <row r="4752" spans="1:7">
      <c r="A4752">
        <v>99</v>
      </c>
      <c r="B4752">
        <v>205</v>
      </c>
      <c r="C4752" s="1">
        <f>(Tabela1[[#This Row],[x]]-H$3)*(Tabela1[[#This Row],[x]]-H$3) +(Tabela1[[#This Row],[y]]-H$4)*(Tabela1[[#This Row],[y]]-H$4)</f>
        <v>10226</v>
      </c>
      <c r="D4752" s="1">
        <f>IF(Tabela1[[#This Row],[promien]]&lt;40000,1,0)</f>
        <v>1</v>
      </c>
      <c r="E4752" s="1">
        <f>IF(Tabela1[[#This Row],[promien]]=40000,1,0)</f>
        <v>0</v>
      </c>
      <c r="F4752" s="1">
        <v>3.1717171717171717</v>
      </c>
      <c r="G4752" s="1">
        <v>3.0124518127378597E-2</v>
      </c>
    </row>
    <row r="4753" spans="1:7">
      <c r="A4753">
        <v>42</v>
      </c>
      <c r="B4753">
        <v>382</v>
      </c>
      <c r="C4753" s="1">
        <f>(Tabela1[[#This Row],[x]]-H$3)*(Tabela1[[#This Row],[x]]-H$3) +(Tabela1[[#This Row],[y]]-H$4)*(Tabela1[[#This Row],[y]]-H$4)</f>
        <v>58088</v>
      </c>
      <c r="D4753" s="1">
        <f>IF(Tabela1[[#This Row],[promien]]&lt;40000,1,0)</f>
        <v>0</v>
      </c>
      <c r="E4753" s="1">
        <f>IF(Tabela1[[#This Row],[promien]]=40000,1,0)</f>
        <v>0</v>
      </c>
      <c r="F4753" s="1">
        <v>3.1710498632442667</v>
      </c>
      <c r="G4753" s="1">
        <v>2.9457209654473626E-2</v>
      </c>
    </row>
    <row r="4754" spans="1:7">
      <c r="A4754">
        <v>211</v>
      </c>
      <c r="B4754">
        <v>383</v>
      </c>
      <c r="C4754" s="1">
        <f>(Tabela1[[#This Row],[x]]-H$3)*(Tabela1[[#This Row],[x]]-H$3) +(Tabela1[[#This Row],[y]]-H$4)*(Tabela1[[#This Row],[y]]-H$4)</f>
        <v>33610</v>
      </c>
      <c r="D4754" s="1">
        <f>IF(Tabela1[[#This Row],[promien]]&lt;40000,1,0)</f>
        <v>1</v>
      </c>
      <c r="E4754" s="1">
        <f>IF(Tabela1[[#This Row],[promien]]=40000,1,0)</f>
        <v>0</v>
      </c>
      <c r="F4754" s="1">
        <v>3.1712242322254944</v>
      </c>
      <c r="G4754" s="1">
        <v>2.9631578635701317E-2</v>
      </c>
    </row>
    <row r="4755" spans="1:7">
      <c r="A4755">
        <v>29</v>
      </c>
      <c r="B4755">
        <v>320</v>
      </c>
      <c r="C4755" s="1">
        <f>(Tabela1[[#This Row],[x]]-H$3)*(Tabela1[[#This Row],[x]]-H$3) +(Tabela1[[#This Row],[y]]-H$4)*(Tabela1[[#This Row],[y]]-H$4)</f>
        <v>43641</v>
      </c>
      <c r="D4755" s="1">
        <f>IF(Tabela1[[#This Row],[promien]]&lt;40000,1,0)</f>
        <v>0</v>
      </c>
      <c r="E4755" s="1">
        <f>IF(Tabela1[[#This Row],[promien]]=40000,1,0)</f>
        <v>0</v>
      </c>
      <c r="F4755" s="1">
        <v>3.1705573080967402</v>
      </c>
      <c r="G4755" s="1">
        <v>2.8964654506947074E-2</v>
      </c>
    </row>
    <row r="4756" spans="1:7">
      <c r="A4756">
        <v>134</v>
      </c>
      <c r="B4756">
        <v>192</v>
      </c>
      <c r="C4756" s="1">
        <f>(Tabela1[[#This Row],[x]]-H$3)*(Tabela1[[#This Row],[x]]-H$3) +(Tabela1[[#This Row],[y]]-H$4)*(Tabela1[[#This Row],[y]]-H$4)</f>
        <v>4420</v>
      </c>
      <c r="D4756" s="1">
        <f>IF(Tabela1[[#This Row],[promien]]&lt;40000,1,0)</f>
        <v>1</v>
      </c>
      <c r="E4756" s="1">
        <f>IF(Tabela1[[#This Row],[promien]]=40000,1,0)</f>
        <v>0</v>
      </c>
      <c r="F4756" s="1">
        <v>3.1707317073170733</v>
      </c>
      <c r="G4756" s="1">
        <v>2.9139053727280206E-2</v>
      </c>
    </row>
    <row r="4757" spans="1:7">
      <c r="A4757">
        <v>26</v>
      </c>
      <c r="B4757">
        <v>30</v>
      </c>
      <c r="C4757" s="1">
        <f>(Tabela1[[#This Row],[x]]-H$3)*(Tabela1[[#This Row],[x]]-H$3) +(Tabela1[[#This Row],[y]]-H$4)*(Tabela1[[#This Row],[y]]-H$4)</f>
        <v>59176</v>
      </c>
      <c r="D4757" s="1">
        <f>IF(Tabela1[[#This Row],[promien]]&lt;40000,1,0)</f>
        <v>0</v>
      </c>
      <c r="E4757" s="1">
        <f>IF(Tabela1[[#This Row],[promien]]=40000,1,0)</f>
        <v>0</v>
      </c>
      <c r="F4757" s="1">
        <v>3.1700651671221358</v>
      </c>
      <c r="G4757" s="1">
        <v>2.8472513532342703E-2</v>
      </c>
    </row>
    <row r="4758" spans="1:7">
      <c r="A4758">
        <v>297</v>
      </c>
      <c r="B4758">
        <v>9</v>
      </c>
      <c r="C4758" s="1">
        <f>(Tabela1[[#This Row],[x]]-H$3)*(Tabela1[[#This Row],[x]]-H$3) +(Tabela1[[#This Row],[y]]-H$4)*(Tabela1[[#This Row],[y]]-H$4)</f>
        <v>45890</v>
      </c>
      <c r="D4758" s="1">
        <f>IF(Tabela1[[#This Row],[promien]]&lt;40000,1,0)</f>
        <v>0</v>
      </c>
      <c r="E4758" s="1">
        <f>IF(Tabela1[[#This Row],[promien]]=40000,1,0)</f>
        <v>0</v>
      </c>
      <c r="F4758" s="1">
        <v>3.1693989071038251</v>
      </c>
      <c r="G4758" s="1">
        <v>2.7806253514031987E-2</v>
      </c>
    </row>
    <row r="4759" spans="1:7">
      <c r="A4759">
        <v>95</v>
      </c>
      <c r="B4759">
        <v>213</v>
      </c>
      <c r="C4759" s="1">
        <f>(Tabela1[[#This Row],[x]]-H$3)*(Tabela1[[#This Row],[x]]-H$3) +(Tabela1[[#This Row],[y]]-H$4)*(Tabela1[[#This Row],[y]]-H$4)</f>
        <v>11194</v>
      </c>
      <c r="D4759" s="1">
        <f>IF(Tabela1[[#This Row],[promien]]&lt;40000,1,0)</f>
        <v>1</v>
      </c>
      <c r="E4759" s="1">
        <f>IF(Tabela1[[#This Row],[promien]]=40000,1,0)</f>
        <v>0</v>
      </c>
      <c r="F4759" s="1">
        <v>3.1695734397982771</v>
      </c>
      <c r="G4759" s="1">
        <v>2.7980786208483988E-2</v>
      </c>
    </row>
    <row r="4760" spans="1:7">
      <c r="A4760">
        <v>28</v>
      </c>
      <c r="B4760">
        <v>52</v>
      </c>
      <c r="C4760" s="1">
        <f>(Tabela1[[#This Row],[x]]-H$3)*(Tabela1[[#This Row],[x]]-H$3) +(Tabela1[[#This Row],[y]]-H$4)*(Tabela1[[#This Row],[y]]-H$4)</f>
        <v>51488</v>
      </c>
      <c r="D4760" s="1">
        <f>IF(Tabela1[[#This Row],[promien]]&lt;40000,1,0)</f>
        <v>0</v>
      </c>
      <c r="E4760" s="1">
        <f>IF(Tabela1[[#This Row],[promien]]=40000,1,0)</f>
        <v>0</v>
      </c>
      <c r="F4760" s="1">
        <v>3.1689075630252099</v>
      </c>
      <c r="G4760" s="1">
        <v>2.7314909435416812E-2</v>
      </c>
    </row>
    <row r="4761" spans="1:7">
      <c r="A4761">
        <v>176</v>
      </c>
      <c r="B4761">
        <v>190</v>
      </c>
      <c r="C4761" s="1">
        <f>(Tabela1[[#This Row],[x]]-H$3)*(Tabela1[[#This Row],[x]]-H$3) +(Tabela1[[#This Row],[y]]-H$4)*(Tabela1[[#This Row],[y]]-H$4)</f>
        <v>676</v>
      </c>
      <c r="D4761" s="1">
        <f>IF(Tabela1[[#This Row],[promien]]&lt;40000,1,0)</f>
        <v>1</v>
      </c>
      <c r="E4761" s="1">
        <f>IF(Tabela1[[#This Row],[promien]]=40000,1,0)</f>
        <v>0</v>
      </c>
      <c r="F4761" s="1">
        <v>3.1690821256038646</v>
      </c>
      <c r="G4761" s="1">
        <v>2.7489472014071481E-2</v>
      </c>
    </row>
    <row r="4762" spans="1:7">
      <c r="A4762">
        <v>145</v>
      </c>
      <c r="B4762">
        <v>280</v>
      </c>
      <c r="C4762" s="1">
        <f>(Tabela1[[#This Row],[x]]-H$3)*(Tabela1[[#This Row],[x]]-H$3) +(Tabela1[[#This Row],[y]]-H$4)*(Tabela1[[#This Row],[y]]-H$4)</f>
        <v>9425</v>
      </c>
      <c r="D4762" s="1">
        <f>IF(Tabela1[[#This Row],[promien]]&lt;40000,1,0)</f>
        <v>1</v>
      </c>
      <c r="E4762" s="1">
        <f>IF(Tabela1[[#This Row],[promien]]=40000,1,0)</f>
        <v>0</v>
      </c>
      <c r="F4762" s="1">
        <v>3.1692566148677028</v>
      </c>
      <c r="G4762" s="1">
        <v>2.766396127790971E-2</v>
      </c>
    </row>
    <row r="4763" spans="1:7">
      <c r="A4763">
        <v>56</v>
      </c>
      <c r="B4763">
        <v>270</v>
      </c>
      <c r="C4763" s="1">
        <f>(Tabela1[[#This Row],[x]]-H$3)*(Tabela1[[#This Row],[x]]-H$3) +(Tabela1[[#This Row],[y]]-H$4)*(Tabela1[[#This Row],[y]]-H$4)</f>
        <v>25636</v>
      </c>
      <c r="D4763" s="1">
        <f>IF(Tabela1[[#This Row],[promien]]&lt;40000,1,0)</f>
        <v>1</v>
      </c>
      <c r="E4763" s="1">
        <f>IF(Tabela1[[#This Row],[promien]]=40000,1,0)</f>
        <v>0</v>
      </c>
      <c r="F4763" s="1">
        <v>3.1694310308629015</v>
      </c>
      <c r="G4763" s="1">
        <v>2.7838377273108339E-2</v>
      </c>
    </row>
    <row r="4764" spans="1:7">
      <c r="A4764">
        <v>156</v>
      </c>
      <c r="B4764">
        <v>230</v>
      </c>
      <c r="C4764" s="1">
        <f>(Tabela1[[#This Row],[x]]-H$3)*(Tabela1[[#This Row],[x]]-H$3) +(Tabela1[[#This Row],[y]]-H$4)*(Tabela1[[#This Row],[y]]-H$4)</f>
        <v>2836</v>
      </c>
      <c r="D4764" s="1">
        <f>IF(Tabela1[[#This Row],[promien]]&lt;40000,1,0)</f>
        <v>1</v>
      </c>
      <c r="E4764" s="1">
        <f>IF(Tabela1[[#This Row],[promien]]=40000,1,0)</f>
        <v>0</v>
      </c>
      <c r="F4764" s="1">
        <v>3.1696053736356005</v>
      </c>
      <c r="G4764" s="1">
        <v>2.8012720045807349E-2</v>
      </c>
    </row>
    <row r="4765" spans="1:7">
      <c r="A4765">
        <v>395</v>
      </c>
      <c r="B4765">
        <v>183</v>
      </c>
      <c r="C4765" s="1">
        <f>(Tabela1[[#This Row],[x]]-H$3)*(Tabela1[[#This Row],[x]]-H$3) +(Tabela1[[#This Row],[y]]-H$4)*(Tabela1[[#This Row],[y]]-H$4)</f>
        <v>38314</v>
      </c>
      <c r="D4765" s="1">
        <f>IF(Tabela1[[#This Row],[promien]]&lt;40000,1,0)</f>
        <v>1</v>
      </c>
      <c r="E4765" s="1">
        <f>IF(Tabela1[[#This Row],[promien]]=40000,1,0)</f>
        <v>0</v>
      </c>
      <c r="F4765" s="1">
        <v>3.1697796432318994</v>
      </c>
      <c r="G4765" s="1">
        <v>2.8186989642106308E-2</v>
      </c>
    </row>
    <row r="4766" spans="1:7">
      <c r="A4766">
        <v>86</v>
      </c>
      <c r="B4766">
        <v>224</v>
      </c>
      <c r="C4766" s="1">
        <f>(Tabela1[[#This Row],[x]]-H$3)*(Tabela1[[#This Row],[x]]-H$3) +(Tabela1[[#This Row],[y]]-H$4)*(Tabela1[[#This Row],[y]]-H$4)</f>
        <v>13572</v>
      </c>
      <c r="D4766" s="1">
        <f>IF(Tabela1[[#This Row],[promien]]&lt;40000,1,0)</f>
        <v>1</v>
      </c>
      <c r="E4766" s="1">
        <f>IF(Tabela1[[#This Row],[promien]]=40000,1,0)</f>
        <v>0</v>
      </c>
      <c r="F4766" s="1">
        <v>3.1699538396978597</v>
      </c>
      <c r="G4766" s="1">
        <v>2.8361186108066594E-2</v>
      </c>
    </row>
    <row r="4767" spans="1:7">
      <c r="A4767">
        <v>275</v>
      </c>
      <c r="B4767">
        <v>119</v>
      </c>
      <c r="C4767" s="1">
        <f>(Tabela1[[#This Row],[x]]-H$3)*(Tabela1[[#This Row],[x]]-H$3) +(Tabela1[[#This Row],[y]]-H$4)*(Tabela1[[#This Row],[y]]-H$4)</f>
        <v>12186</v>
      </c>
      <c r="D4767" s="1">
        <f>IF(Tabela1[[#This Row],[promien]]&lt;40000,1,0)</f>
        <v>1</v>
      </c>
      <c r="E4767" s="1">
        <f>IF(Tabela1[[#This Row],[promien]]=40000,1,0)</f>
        <v>0</v>
      </c>
      <c r="F4767" s="1">
        <v>3.170127963079505</v>
      </c>
      <c r="G4767" s="1">
        <v>2.8535309489711835E-2</v>
      </c>
    </row>
    <row r="4768" spans="1:7">
      <c r="A4768">
        <v>92</v>
      </c>
      <c r="B4768">
        <v>63</v>
      </c>
      <c r="C4768" s="1">
        <f>(Tabela1[[#This Row],[x]]-H$3)*(Tabela1[[#This Row],[x]]-H$3) +(Tabela1[[#This Row],[y]]-H$4)*(Tabela1[[#This Row],[y]]-H$4)</f>
        <v>30433</v>
      </c>
      <c r="D4768" s="1">
        <f>IF(Tabela1[[#This Row],[promien]]&lt;40000,1,0)</f>
        <v>1</v>
      </c>
      <c r="E4768" s="1">
        <f>IF(Tabela1[[#This Row],[promien]]=40000,1,0)</f>
        <v>0</v>
      </c>
      <c r="F4768" s="1">
        <v>3.1703020134228188</v>
      </c>
      <c r="G4768" s="1">
        <v>2.8709359833025694E-2</v>
      </c>
    </row>
    <row r="4769" spans="1:7">
      <c r="A4769">
        <v>48</v>
      </c>
      <c r="B4769">
        <v>47</v>
      </c>
      <c r="C4769" s="1">
        <f>(Tabela1[[#This Row],[x]]-H$3)*(Tabela1[[#This Row],[x]]-H$3) +(Tabela1[[#This Row],[y]]-H$4)*(Tabela1[[#This Row],[y]]-H$4)</f>
        <v>46513</v>
      </c>
      <c r="D4769" s="1">
        <f>IF(Tabela1[[#This Row],[promien]]&lt;40000,1,0)</f>
        <v>0</v>
      </c>
      <c r="E4769" s="1">
        <f>IF(Tabela1[[#This Row],[promien]]=40000,1,0)</f>
        <v>0</v>
      </c>
      <c r="F4769" s="1">
        <v>3.1696372405116375</v>
      </c>
      <c r="G4769" s="1">
        <v>2.8044586921844417E-2</v>
      </c>
    </row>
    <row r="4770" spans="1:7">
      <c r="A4770">
        <v>380</v>
      </c>
      <c r="B4770">
        <v>349</v>
      </c>
      <c r="C4770" s="1">
        <f>(Tabela1[[#This Row],[x]]-H$3)*(Tabela1[[#This Row],[x]]-H$3) +(Tabela1[[#This Row],[y]]-H$4)*(Tabela1[[#This Row],[y]]-H$4)</f>
        <v>54601</v>
      </c>
      <c r="D4770" s="1">
        <f>IF(Tabela1[[#This Row],[promien]]&lt;40000,1,0)</f>
        <v>0</v>
      </c>
      <c r="E4770" s="1">
        <f>IF(Tabela1[[#This Row],[promien]]=40000,1,0)</f>
        <v>0</v>
      </c>
      <c r="F4770" s="1">
        <v>3.1689727463312369</v>
      </c>
      <c r="G4770" s="1">
        <v>2.7380092741443818E-2</v>
      </c>
    </row>
    <row r="4771" spans="1:7">
      <c r="A4771">
        <v>176</v>
      </c>
      <c r="B4771">
        <v>111</v>
      </c>
      <c r="C4771" s="1">
        <f>(Tabela1[[#This Row],[x]]-H$3)*(Tabela1[[#This Row],[x]]-H$3) +(Tabela1[[#This Row],[y]]-H$4)*(Tabela1[[#This Row],[y]]-H$4)</f>
        <v>8497</v>
      </c>
      <c r="D4771" s="1">
        <f>IF(Tabela1[[#This Row],[promien]]&lt;40000,1,0)</f>
        <v>1</v>
      </c>
      <c r="E4771" s="1">
        <f>IF(Tabela1[[#This Row],[promien]]=40000,1,0)</f>
        <v>0</v>
      </c>
      <c r="F4771" s="1">
        <v>3.169146929364913</v>
      </c>
      <c r="G4771" s="1">
        <v>2.755427577511993E-2</v>
      </c>
    </row>
    <row r="4772" spans="1:7">
      <c r="A4772">
        <v>270</v>
      </c>
      <c r="B4772">
        <v>52</v>
      </c>
      <c r="C4772" s="1">
        <f>(Tabela1[[#This Row],[x]]-H$3)*(Tabela1[[#This Row],[x]]-H$3) +(Tabela1[[#This Row],[y]]-H$4)*(Tabela1[[#This Row],[y]]-H$4)</f>
        <v>26804</v>
      </c>
      <c r="D4772" s="1">
        <f>IF(Tabela1[[#This Row],[promien]]&lt;40000,1,0)</f>
        <v>1</v>
      </c>
      <c r="E4772" s="1">
        <f>IF(Tabela1[[#This Row],[promien]]=40000,1,0)</f>
        <v>0</v>
      </c>
      <c r="F4772" s="1">
        <v>3.1693210393964795</v>
      </c>
      <c r="G4772" s="1">
        <v>2.7728385806686351E-2</v>
      </c>
    </row>
    <row r="4773" spans="1:7">
      <c r="A4773">
        <v>5</v>
      </c>
      <c r="B4773">
        <v>251</v>
      </c>
      <c r="C4773" s="1">
        <f>(Tabela1[[#This Row],[x]]-H$3)*(Tabela1[[#This Row],[x]]-H$3) +(Tabela1[[#This Row],[y]]-H$4)*(Tabela1[[#This Row],[y]]-H$4)</f>
        <v>40626</v>
      </c>
      <c r="D4773" s="1">
        <f>IF(Tabela1[[#This Row],[promien]]&lt;40000,1,0)</f>
        <v>0</v>
      </c>
      <c r="E4773" s="1">
        <f>IF(Tabela1[[#This Row],[promien]]=40000,1,0)</f>
        <v>0</v>
      </c>
      <c r="F4773" s="1">
        <v>3.1686570291221452</v>
      </c>
      <c r="G4773" s="1">
        <v>2.7064375532352081E-2</v>
      </c>
    </row>
    <row r="4774" spans="1:7">
      <c r="A4774">
        <v>244</v>
      </c>
      <c r="B4774">
        <v>68</v>
      </c>
      <c r="C4774" s="1">
        <f>(Tabela1[[#This Row],[x]]-H$3)*(Tabela1[[#This Row],[x]]-H$3) +(Tabela1[[#This Row],[y]]-H$4)*(Tabela1[[#This Row],[y]]-H$4)</f>
        <v>19360</v>
      </c>
      <c r="D4774" s="1">
        <f>IF(Tabela1[[#This Row],[promien]]&lt;40000,1,0)</f>
        <v>1</v>
      </c>
      <c r="E4774" s="1">
        <f>IF(Tabela1[[#This Row],[promien]]=40000,1,0)</f>
        <v>0</v>
      </c>
      <c r="F4774" s="1">
        <v>3.168831168831169</v>
      </c>
      <c r="G4774" s="1">
        <v>2.7238515241375882E-2</v>
      </c>
    </row>
    <row r="4775" spans="1:7">
      <c r="A4775">
        <v>386</v>
      </c>
      <c r="B4775">
        <v>348</v>
      </c>
      <c r="C4775" s="1">
        <f>(Tabela1[[#This Row],[x]]-H$3)*(Tabela1[[#This Row],[x]]-H$3) +(Tabela1[[#This Row],[y]]-H$4)*(Tabela1[[#This Row],[y]]-H$4)</f>
        <v>56500</v>
      </c>
      <c r="D4775" s="1">
        <f>IF(Tabela1[[#This Row],[promien]]&lt;40000,1,0)</f>
        <v>0</v>
      </c>
      <c r="E4775" s="1">
        <f>IF(Tabela1[[#This Row],[promien]]=40000,1,0)</f>
        <v>0</v>
      </c>
      <c r="F4775" s="1">
        <v>3.1681675392670159</v>
      </c>
      <c r="G4775" s="1">
        <v>2.657488567722277E-2</v>
      </c>
    </row>
    <row r="4776" spans="1:7">
      <c r="A4776">
        <v>245</v>
      </c>
      <c r="B4776">
        <v>329</v>
      </c>
      <c r="C4776" s="1">
        <f>(Tabela1[[#This Row],[x]]-H$3)*(Tabela1[[#This Row],[x]]-H$3) +(Tabela1[[#This Row],[y]]-H$4)*(Tabela1[[#This Row],[y]]-H$4)</f>
        <v>18666</v>
      </c>
      <c r="D4776" s="1">
        <f>IF(Tabela1[[#This Row],[promien]]&lt;40000,1,0)</f>
        <v>1</v>
      </c>
      <c r="E4776" s="1">
        <f>IF(Tabela1[[#This Row],[promien]]=40000,1,0)</f>
        <v>0</v>
      </c>
      <c r="F4776" s="1">
        <v>3.1683417085427137</v>
      </c>
      <c r="G4776" s="1">
        <v>2.674905495292057E-2</v>
      </c>
    </row>
    <row r="4777" spans="1:7">
      <c r="A4777">
        <v>218</v>
      </c>
      <c r="B4777">
        <v>203</v>
      </c>
      <c r="C4777" s="1">
        <f>(Tabela1[[#This Row],[x]]-H$3)*(Tabela1[[#This Row],[x]]-H$3) +(Tabela1[[#This Row],[y]]-H$4)*(Tabela1[[#This Row],[y]]-H$4)</f>
        <v>333</v>
      </c>
      <c r="D4777" s="1">
        <f>IF(Tabela1[[#This Row],[promien]]&lt;40000,1,0)</f>
        <v>1</v>
      </c>
      <c r="E4777" s="1">
        <f>IF(Tabela1[[#This Row],[promien]]=40000,1,0)</f>
        <v>0</v>
      </c>
      <c r="F4777" s="1">
        <v>3.1685158048984721</v>
      </c>
      <c r="G4777" s="1">
        <v>2.692315130867895E-2</v>
      </c>
    </row>
    <row r="4778" spans="1:7">
      <c r="A4778">
        <v>31</v>
      </c>
      <c r="B4778">
        <v>382</v>
      </c>
      <c r="C4778" s="1">
        <f>(Tabela1[[#This Row],[x]]-H$3)*(Tabela1[[#This Row],[x]]-H$3) +(Tabela1[[#This Row],[y]]-H$4)*(Tabela1[[#This Row],[y]]-H$4)</f>
        <v>61685</v>
      </c>
      <c r="D4778" s="1">
        <f>IF(Tabela1[[#This Row],[promien]]&lt;40000,1,0)</f>
        <v>0</v>
      </c>
      <c r="E4778" s="1">
        <f>IF(Tabela1[[#This Row],[promien]]=40000,1,0)</f>
        <v>0</v>
      </c>
      <c r="F4778" s="1">
        <v>3.1678526580159061</v>
      </c>
      <c r="G4778" s="1">
        <v>2.6260004426112982E-2</v>
      </c>
    </row>
    <row r="4779" spans="1:7">
      <c r="A4779">
        <v>199</v>
      </c>
      <c r="B4779">
        <v>161</v>
      </c>
      <c r="C4779" s="1">
        <f>(Tabela1[[#This Row],[x]]-H$3)*(Tabela1[[#This Row],[x]]-H$3) +(Tabela1[[#This Row],[y]]-H$4)*(Tabela1[[#This Row],[y]]-H$4)</f>
        <v>1522</v>
      </c>
      <c r="D4779" s="1">
        <f>IF(Tabela1[[#This Row],[promien]]&lt;40000,1,0)</f>
        <v>1</v>
      </c>
      <c r="E4779" s="1">
        <f>IF(Tabela1[[#This Row],[promien]]=40000,1,0)</f>
        <v>0</v>
      </c>
      <c r="F4779" s="1">
        <v>3.1680267838459928</v>
      </c>
      <c r="G4779" s="1">
        <v>2.6434130256199673E-2</v>
      </c>
    </row>
    <row r="4780" spans="1:7">
      <c r="A4780">
        <v>350</v>
      </c>
      <c r="B4780">
        <v>182</v>
      </c>
      <c r="C4780" s="1">
        <f>(Tabela1[[#This Row],[x]]-H$3)*(Tabela1[[#This Row],[x]]-H$3) +(Tabela1[[#This Row],[y]]-H$4)*(Tabela1[[#This Row],[y]]-H$4)</f>
        <v>22824</v>
      </c>
      <c r="D4780" s="1">
        <f>IF(Tabela1[[#This Row],[promien]]&lt;40000,1,0)</f>
        <v>1</v>
      </c>
      <c r="E4780" s="1">
        <f>IF(Tabela1[[#This Row],[promien]]=40000,1,0)</f>
        <v>0</v>
      </c>
      <c r="F4780" s="1">
        <v>3.1682008368200836</v>
      </c>
      <c r="G4780" s="1">
        <v>2.6608183230290461E-2</v>
      </c>
    </row>
    <row r="4781" spans="1:7">
      <c r="A4781">
        <v>209</v>
      </c>
      <c r="B4781">
        <v>135</v>
      </c>
      <c r="C4781" s="1">
        <f>(Tabela1[[#This Row],[x]]-H$3)*(Tabela1[[#This Row],[x]]-H$3) +(Tabela1[[#This Row],[y]]-H$4)*(Tabela1[[#This Row],[y]]-H$4)</f>
        <v>4306</v>
      </c>
      <c r="D4781" s="1">
        <f>IF(Tabela1[[#This Row],[promien]]&lt;40000,1,0)</f>
        <v>1</v>
      </c>
      <c r="E4781" s="1">
        <f>IF(Tabela1[[#This Row],[promien]]=40000,1,0)</f>
        <v>0</v>
      </c>
      <c r="F4781" s="1">
        <v>3.1683748169838948</v>
      </c>
      <c r="G4781" s="1">
        <v>2.6782163394101666E-2</v>
      </c>
    </row>
    <row r="4782" spans="1:7">
      <c r="A4782">
        <v>182</v>
      </c>
      <c r="B4782">
        <v>340</v>
      </c>
      <c r="C4782" s="1">
        <f>(Tabela1[[#This Row],[x]]-H$3)*(Tabela1[[#This Row],[x]]-H$3) +(Tabela1[[#This Row],[y]]-H$4)*(Tabela1[[#This Row],[y]]-H$4)</f>
        <v>19924</v>
      </c>
      <c r="D4782" s="1">
        <f>IF(Tabela1[[#This Row],[promien]]&lt;40000,1,0)</f>
        <v>1</v>
      </c>
      <c r="E4782" s="1">
        <f>IF(Tabela1[[#This Row],[promien]]=40000,1,0)</f>
        <v>0</v>
      </c>
      <c r="F4782" s="1">
        <v>3.1685487243831032</v>
      </c>
      <c r="G4782" s="1">
        <v>2.6956070793310083E-2</v>
      </c>
    </row>
    <row r="4783" spans="1:7">
      <c r="A4783">
        <v>223</v>
      </c>
      <c r="B4783">
        <v>81</v>
      </c>
      <c r="C4783" s="1">
        <f>(Tabela1[[#This Row],[x]]-H$3)*(Tabela1[[#This Row],[x]]-H$3) +(Tabela1[[#This Row],[y]]-H$4)*(Tabela1[[#This Row],[y]]-H$4)</f>
        <v>14690</v>
      </c>
      <c r="D4783" s="1">
        <f>IF(Tabela1[[#This Row],[promien]]&lt;40000,1,0)</f>
        <v>1</v>
      </c>
      <c r="E4783" s="1">
        <f>IF(Tabela1[[#This Row],[promien]]=40000,1,0)</f>
        <v>0</v>
      </c>
      <c r="F4783" s="1">
        <v>3.1687225590633492</v>
      </c>
      <c r="G4783" s="1">
        <v>2.7129905473556093E-2</v>
      </c>
    </row>
    <row r="4784" spans="1:7">
      <c r="A4784">
        <v>384</v>
      </c>
      <c r="B4784">
        <v>367</v>
      </c>
      <c r="C4784" s="1">
        <f>(Tabela1[[#This Row],[x]]-H$3)*(Tabela1[[#This Row],[x]]-H$3) +(Tabela1[[#This Row],[y]]-H$4)*(Tabela1[[#This Row],[y]]-H$4)</f>
        <v>61745</v>
      </c>
      <c r="D4784" s="1">
        <f>IF(Tabela1[[#This Row],[promien]]&lt;40000,1,0)</f>
        <v>0</v>
      </c>
      <c r="E4784" s="1">
        <f>IF(Tabela1[[#This Row],[promien]]=40000,1,0)</f>
        <v>0</v>
      </c>
      <c r="F4784" s="1">
        <v>3.1680602006688963</v>
      </c>
      <c r="G4784" s="1">
        <v>2.6467547079103149E-2</v>
      </c>
    </row>
    <row r="4785" spans="1:7">
      <c r="A4785">
        <v>332</v>
      </c>
      <c r="B4785">
        <v>375</v>
      </c>
      <c r="C4785" s="1">
        <f>(Tabela1[[#This Row],[x]]-H$3)*(Tabela1[[#This Row],[x]]-H$3) +(Tabela1[[#This Row],[y]]-H$4)*(Tabela1[[#This Row],[y]]-H$4)</f>
        <v>48049</v>
      </c>
      <c r="D4785" s="1">
        <f>IF(Tabela1[[#This Row],[promien]]&lt;40000,1,0)</f>
        <v>0</v>
      </c>
      <c r="E4785" s="1">
        <f>IF(Tabela1[[#This Row],[promien]]=40000,1,0)</f>
        <v>0</v>
      </c>
      <c r="F4785" s="1">
        <v>3.1673981191222569</v>
      </c>
      <c r="G4785" s="1">
        <v>2.5805465532463767E-2</v>
      </c>
    </row>
    <row r="4786" spans="1:7">
      <c r="A4786">
        <v>110</v>
      </c>
      <c r="B4786">
        <v>349</v>
      </c>
      <c r="C4786" s="1">
        <f>(Tabela1[[#This Row],[x]]-H$3)*(Tabela1[[#This Row],[x]]-H$3) +(Tabela1[[#This Row],[y]]-H$4)*(Tabela1[[#This Row],[y]]-H$4)</f>
        <v>30301</v>
      </c>
      <c r="D4786" s="1">
        <f>IF(Tabela1[[#This Row],[promien]]&lt;40000,1,0)</f>
        <v>1</v>
      </c>
      <c r="E4786" s="1">
        <f>IF(Tabela1[[#This Row],[promien]]=40000,1,0)</f>
        <v>0</v>
      </c>
      <c r="F4786" s="1">
        <v>3.1675720852486418</v>
      </c>
      <c r="G4786" s="1">
        <v>2.597943165884864E-2</v>
      </c>
    </row>
    <row r="4787" spans="1:7">
      <c r="A4787">
        <v>78</v>
      </c>
      <c r="B4787">
        <v>48</v>
      </c>
      <c r="C4787" s="1">
        <f>(Tabela1[[#This Row],[x]]-H$3)*(Tabela1[[#This Row],[x]]-H$3) +(Tabela1[[#This Row],[y]]-H$4)*(Tabela1[[#This Row],[y]]-H$4)</f>
        <v>37988</v>
      </c>
      <c r="D4787" s="1">
        <f>IF(Tabela1[[#This Row],[promien]]&lt;40000,1,0)</f>
        <v>1</v>
      </c>
      <c r="E4787" s="1">
        <f>IF(Tabela1[[#This Row],[promien]]=40000,1,0)</f>
        <v>0</v>
      </c>
      <c r="F4787" s="1">
        <v>3.1677459786922917</v>
      </c>
      <c r="G4787" s="1">
        <v>2.615332510249857E-2</v>
      </c>
    </row>
    <row r="4788" spans="1:7">
      <c r="A4788">
        <v>38</v>
      </c>
      <c r="B4788">
        <v>56</v>
      </c>
      <c r="C4788" s="1">
        <f>(Tabela1[[#This Row],[x]]-H$3)*(Tabela1[[#This Row],[x]]-H$3) +(Tabela1[[#This Row],[y]]-H$4)*(Tabela1[[#This Row],[y]]-H$4)</f>
        <v>46980</v>
      </c>
      <c r="D4788" s="1">
        <f>IF(Tabela1[[#This Row],[promien]]&lt;40000,1,0)</f>
        <v>0</v>
      </c>
      <c r="E4788" s="1">
        <f>IF(Tabela1[[#This Row],[promien]]=40000,1,0)</f>
        <v>0</v>
      </c>
      <c r="F4788" s="1">
        <v>3.1670843776106934</v>
      </c>
      <c r="G4788" s="1">
        <v>2.5491724020900275E-2</v>
      </c>
    </row>
    <row r="4789" spans="1:7">
      <c r="A4789">
        <v>181</v>
      </c>
      <c r="B4789">
        <v>83</v>
      </c>
      <c r="C4789" s="1">
        <f>(Tabela1[[#This Row],[x]]-H$3)*(Tabela1[[#This Row],[x]]-H$3) +(Tabela1[[#This Row],[y]]-H$4)*(Tabela1[[#This Row],[y]]-H$4)</f>
        <v>14050</v>
      </c>
      <c r="D4789" s="1">
        <f>IF(Tabela1[[#This Row],[promien]]&lt;40000,1,0)</f>
        <v>1</v>
      </c>
      <c r="E4789" s="1">
        <f>IF(Tabela1[[#This Row],[promien]]=40000,1,0)</f>
        <v>0</v>
      </c>
      <c r="F4789" s="1">
        <v>3.1672583002714556</v>
      </c>
      <c r="G4789" s="1">
        <v>2.5665646681662491E-2</v>
      </c>
    </row>
    <row r="4790" spans="1:7">
      <c r="A4790">
        <v>358</v>
      </c>
      <c r="B4790">
        <v>379</v>
      </c>
      <c r="C4790" s="1">
        <f>(Tabela1[[#This Row],[x]]-H$3)*(Tabela1[[#This Row],[x]]-H$3) +(Tabela1[[#This Row],[y]]-H$4)*(Tabela1[[#This Row],[y]]-H$4)</f>
        <v>57005</v>
      </c>
      <c r="D4790" s="1">
        <f>IF(Tabela1[[#This Row],[promien]]&lt;40000,1,0)</f>
        <v>0</v>
      </c>
      <c r="E4790" s="1">
        <f>IF(Tabela1[[#This Row],[promien]]=40000,1,0)</f>
        <v>0</v>
      </c>
      <c r="F4790" s="1">
        <v>3.1665970772442589</v>
      </c>
      <c r="G4790" s="1">
        <v>2.5004423654465757E-2</v>
      </c>
    </row>
    <row r="4791" spans="1:7">
      <c r="A4791">
        <v>207</v>
      </c>
      <c r="B4791">
        <v>301</v>
      </c>
      <c r="C4791" s="1">
        <f>(Tabela1[[#This Row],[x]]-H$3)*(Tabela1[[#This Row],[x]]-H$3) +(Tabela1[[#This Row],[y]]-H$4)*(Tabela1[[#This Row],[y]]-H$4)</f>
        <v>10250</v>
      </c>
      <c r="D4791" s="1">
        <f>IF(Tabela1[[#This Row],[promien]]&lt;40000,1,0)</f>
        <v>1</v>
      </c>
      <c r="E4791" s="1">
        <f>IF(Tabela1[[#This Row],[promien]]=40000,1,0)</f>
        <v>0</v>
      </c>
      <c r="F4791" s="1">
        <v>3.166771029012732</v>
      </c>
      <c r="G4791" s="1">
        <v>2.5178375422938881E-2</v>
      </c>
    </row>
    <row r="4792" spans="1:7">
      <c r="A4792">
        <v>173</v>
      </c>
      <c r="B4792">
        <v>98</v>
      </c>
      <c r="C4792" s="1">
        <f>(Tabela1[[#This Row],[x]]-H$3)*(Tabela1[[#This Row],[x]]-H$3) +(Tabela1[[#This Row],[y]]-H$4)*(Tabela1[[#This Row],[y]]-H$4)</f>
        <v>11133</v>
      </c>
      <c r="D4792" s="1">
        <f>IF(Tabela1[[#This Row],[promien]]&lt;40000,1,0)</f>
        <v>1</v>
      </c>
      <c r="E4792" s="1">
        <f>IF(Tabela1[[#This Row],[promien]]=40000,1,0)</f>
        <v>0</v>
      </c>
      <c r="F4792" s="1">
        <v>3.1669449081803007</v>
      </c>
      <c r="G4792" s="1">
        <v>2.5352254590507606E-2</v>
      </c>
    </row>
    <row r="4793" spans="1:7">
      <c r="A4793">
        <v>399</v>
      </c>
      <c r="B4793">
        <v>361</v>
      </c>
      <c r="C4793" s="1">
        <f>(Tabela1[[#This Row],[x]]-H$3)*(Tabela1[[#This Row],[x]]-H$3) +(Tabela1[[#This Row],[y]]-H$4)*(Tabela1[[#This Row],[y]]-H$4)</f>
        <v>65522</v>
      </c>
      <c r="D4793" s="1">
        <f>IF(Tabela1[[#This Row],[promien]]&lt;40000,1,0)</f>
        <v>0</v>
      </c>
      <c r="E4793" s="1">
        <f>IF(Tabela1[[#This Row],[promien]]=40000,1,0)</f>
        <v>0</v>
      </c>
      <c r="F4793" s="1">
        <v>3.1662841644064259</v>
      </c>
      <c r="G4793" s="1">
        <v>2.4691510816632789E-2</v>
      </c>
    </row>
    <row r="4794" spans="1:7">
      <c r="A4794">
        <v>350</v>
      </c>
      <c r="B4794">
        <v>91</v>
      </c>
      <c r="C4794" s="1">
        <f>(Tabela1[[#This Row],[x]]-H$3)*(Tabela1[[#This Row],[x]]-H$3) +(Tabela1[[#This Row],[y]]-H$4)*(Tabela1[[#This Row],[y]]-H$4)</f>
        <v>34381</v>
      </c>
      <c r="D4794" s="1">
        <f>IF(Tabela1[[#This Row],[promien]]&lt;40000,1,0)</f>
        <v>1</v>
      </c>
      <c r="E4794" s="1">
        <f>IF(Tabela1[[#This Row],[promien]]=40000,1,0)</f>
        <v>0</v>
      </c>
      <c r="F4794" s="1">
        <v>3.1664580725907383</v>
      </c>
      <c r="G4794" s="1">
        <v>2.4865419000945188E-2</v>
      </c>
    </row>
    <row r="4795" spans="1:7">
      <c r="A4795">
        <v>247</v>
      </c>
      <c r="B4795">
        <v>354</v>
      </c>
      <c r="C4795" s="1">
        <f>(Tabela1[[#This Row],[x]]-H$3)*(Tabela1[[#This Row],[x]]-H$3) +(Tabela1[[#This Row],[y]]-H$4)*(Tabela1[[#This Row],[y]]-H$4)</f>
        <v>25925</v>
      </c>
      <c r="D4795" s="1">
        <f>IF(Tabela1[[#This Row],[promien]]&lt;40000,1,0)</f>
        <v>1</v>
      </c>
      <c r="E4795" s="1">
        <f>IF(Tabela1[[#This Row],[promien]]=40000,1,0)</f>
        <v>0</v>
      </c>
      <c r="F4795" s="1">
        <v>3.1666319082377479</v>
      </c>
      <c r="G4795" s="1">
        <v>2.5039254647954756E-2</v>
      </c>
    </row>
    <row r="4796" spans="1:7">
      <c r="A4796">
        <v>193</v>
      </c>
      <c r="B4796">
        <v>348</v>
      </c>
      <c r="C4796" s="1">
        <f>(Tabela1[[#This Row],[x]]-H$3)*(Tabela1[[#This Row],[x]]-H$3) +(Tabela1[[#This Row],[y]]-H$4)*(Tabela1[[#This Row],[y]]-H$4)</f>
        <v>21953</v>
      </c>
      <c r="D4796" s="1">
        <f>IF(Tabela1[[#This Row],[promien]]&lt;40000,1,0)</f>
        <v>1</v>
      </c>
      <c r="E4796" s="1">
        <f>IF(Tabela1[[#This Row],[promien]]=40000,1,0)</f>
        <v>0</v>
      </c>
      <c r="F4796" s="1">
        <v>3.1668056713928272</v>
      </c>
      <c r="G4796" s="1">
        <v>2.5213017803034088E-2</v>
      </c>
    </row>
    <row r="4797" spans="1:7">
      <c r="A4797">
        <v>198</v>
      </c>
      <c r="B4797">
        <v>33</v>
      </c>
      <c r="C4797" s="1">
        <f>(Tabela1[[#This Row],[x]]-H$3)*(Tabela1[[#This Row],[x]]-H$3) +(Tabela1[[#This Row],[y]]-H$4)*(Tabela1[[#This Row],[y]]-H$4)</f>
        <v>27893</v>
      </c>
      <c r="D4797" s="1">
        <f>IF(Tabela1[[#This Row],[promien]]&lt;40000,1,0)</f>
        <v>1</v>
      </c>
      <c r="E4797" s="1">
        <f>IF(Tabela1[[#This Row],[promien]]=40000,1,0)</f>
        <v>0</v>
      </c>
      <c r="F4797" s="1">
        <v>3.1669793621013134</v>
      </c>
      <c r="G4797" s="1">
        <v>2.5386708511520251E-2</v>
      </c>
    </row>
    <row r="4798" spans="1:7">
      <c r="A4798">
        <v>161</v>
      </c>
      <c r="B4798">
        <v>344</v>
      </c>
      <c r="C4798" s="1">
        <f>(Tabela1[[#This Row],[x]]-H$3)*(Tabela1[[#This Row],[x]]-H$3) +(Tabela1[[#This Row],[y]]-H$4)*(Tabela1[[#This Row],[y]]-H$4)</f>
        <v>22257</v>
      </c>
      <c r="D4798" s="1">
        <f>IF(Tabela1[[#This Row],[promien]]&lt;40000,1,0)</f>
        <v>1</v>
      </c>
      <c r="E4798" s="1">
        <f>IF(Tabela1[[#This Row],[promien]]=40000,1,0)</f>
        <v>0</v>
      </c>
      <c r="F4798" s="1">
        <v>3.1671529804085035</v>
      </c>
      <c r="G4798" s="1">
        <v>2.5560326818710344E-2</v>
      </c>
    </row>
    <row r="4799" spans="1:7">
      <c r="A4799">
        <v>362</v>
      </c>
      <c r="B4799">
        <v>33</v>
      </c>
      <c r="C4799" s="1">
        <f>(Tabela1[[#This Row],[x]]-H$3)*(Tabela1[[#This Row],[x]]-H$3) +(Tabela1[[#This Row],[y]]-H$4)*(Tabela1[[#This Row],[y]]-H$4)</f>
        <v>54133</v>
      </c>
      <c r="D4799" s="1">
        <f>IF(Tabela1[[#This Row],[promien]]&lt;40000,1,0)</f>
        <v>0</v>
      </c>
      <c r="E4799" s="1">
        <f>IF(Tabela1[[#This Row],[promien]]=40000,1,0)</f>
        <v>0</v>
      </c>
      <c r="F4799" s="1">
        <v>3.1664930193790375</v>
      </c>
      <c r="G4799" s="1">
        <v>2.4900365789244372E-2</v>
      </c>
    </row>
    <row r="4800" spans="1:7">
      <c r="A4800">
        <v>179</v>
      </c>
      <c r="B4800">
        <v>354</v>
      </c>
      <c r="C4800" s="1">
        <f>(Tabela1[[#This Row],[x]]-H$3)*(Tabela1[[#This Row],[x]]-H$3) +(Tabela1[[#This Row],[y]]-H$4)*(Tabela1[[#This Row],[y]]-H$4)</f>
        <v>24157</v>
      </c>
      <c r="D4800" s="1">
        <f>IF(Tabela1[[#This Row],[promien]]&lt;40000,1,0)</f>
        <v>1</v>
      </c>
      <c r="E4800" s="1">
        <f>IF(Tabela1[[#This Row],[promien]]=40000,1,0)</f>
        <v>0</v>
      </c>
      <c r="F4800" s="1">
        <v>3.1666666666666665</v>
      </c>
      <c r="G4800" s="1">
        <v>2.5074013076873403E-2</v>
      </c>
    </row>
    <row r="4801" spans="1:7">
      <c r="A4801">
        <v>78</v>
      </c>
      <c r="B4801">
        <v>237</v>
      </c>
      <c r="C4801" s="1">
        <f>(Tabela1[[#This Row],[x]]-H$3)*(Tabela1[[#This Row],[x]]-H$3) +(Tabela1[[#This Row],[y]]-H$4)*(Tabela1[[#This Row],[y]]-H$4)</f>
        <v>16253</v>
      </c>
      <c r="D4801" s="1">
        <f>IF(Tabela1[[#This Row],[promien]]&lt;40000,1,0)</f>
        <v>1</v>
      </c>
      <c r="E4801" s="1">
        <f>IF(Tabela1[[#This Row],[promien]]=40000,1,0)</f>
        <v>0</v>
      </c>
      <c r="F4801" s="1">
        <v>3.1668402416163297</v>
      </c>
      <c r="G4801" s="1">
        <v>2.5247588026536594E-2</v>
      </c>
    </row>
    <row r="4802" spans="1:7">
      <c r="A4802">
        <v>122</v>
      </c>
      <c r="B4802">
        <v>152</v>
      </c>
      <c r="C4802" s="1">
        <f>(Tabela1[[#This Row],[x]]-H$3)*(Tabela1[[#This Row],[x]]-H$3) +(Tabela1[[#This Row],[y]]-H$4)*(Tabela1[[#This Row],[y]]-H$4)</f>
        <v>8388</v>
      </c>
      <c r="D4802" s="1">
        <f>IF(Tabela1[[#This Row],[promien]]&lt;40000,1,0)</f>
        <v>1</v>
      </c>
      <c r="E4802" s="1">
        <f>IF(Tabela1[[#This Row],[promien]]=40000,1,0)</f>
        <v>0</v>
      </c>
      <c r="F4802" s="1">
        <v>3.1670137442732194</v>
      </c>
      <c r="G4802" s="1">
        <v>2.542109068342624E-2</v>
      </c>
    </row>
    <row r="4803" spans="1:7">
      <c r="A4803">
        <v>265</v>
      </c>
      <c r="B4803">
        <v>295</v>
      </c>
      <c r="C4803" s="1">
        <f>(Tabela1[[#This Row],[x]]-H$3)*(Tabela1[[#This Row],[x]]-H$3) +(Tabela1[[#This Row],[y]]-H$4)*(Tabela1[[#This Row],[y]]-H$4)</f>
        <v>13250</v>
      </c>
      <c r="D4803" s="1">
        <f>IF(Tabela1[[#This Row],[promien]]&lt;40000,1,0)</f>
        <v>1</v>
      </c>
      <c r="E4803" s="1">
        <f>IF(Tabela1[[#This Row],[promien]]=40000,1,0)</f>
        <v>0</v>
      </c>
      <c r="F4803" s="1">
        <v>3.16718717468249</v>
      </c>
      <c r="G4803" s="1">
        <v>2.5594521092696887E-2</v>
      </c>
    </row>
    <row r="4804" spans="1:7">
      <c r="A4804">
        <v>270</v>
      </c>
      <c r="B4804">
        <v>100</v>
      </c>
      <c r="C4804" s="1">
        <f>(Tabela1[[#This Row],[x]]-H$3)*(Tabela1[[#This Row],[x]]-H$3) +(Tabela1[[#This Row],[y]]-H$4)*(Tabela1[[#This Row],[y]]-H$4)</f>
        <v>14900</v>
      </c>
      <c r="D4804" s="1">
        <f>IF(Tabela1[[#This Row],[promien]]&lt;40000,1,0)</f>
        <v>1</v>
      </c>
      <c r="E4804" s="1">
        <f>IF(Tabela1[[#This Row],[promien]]=40000,1,0)</f>
        <v>0</v>
      </c>
      <c r="F4804" s="1">
        <v>3.1673605328892589</v>
      </c>
      <c r="G4804" s="1">
        <v>2.5767879299465779E-2</v>
      </c>
    </row>
    <row r="4805" spans="1:7">
      <c r="A4805">
        <v>78</v>
      </c>
      <c r="B4805">
        <v>211</v>
      </c>
      <c r="C4805" s="1">
        <f>(Tabela1[[#This Row],[x]]-H$3)*(Tabela1[[#This Row],[x]]-H$3) +(Tabela1[[#This Row],[y]]-H$4)*(Tabela1[[#This Row],[y]]-H$4)</f>
        <v>15005</v>
      </c>
      <c r="D4805" s="1">
        <f>IF(Tabela1[[#This Row],[promien]]&lt;40000,1,0)</f>
        <v>1</v>
      </c>
      <c r="E4805" s="1">
        <f>IF(Tabela1[[#This Row],[promien]]=40000,1,0)</f>
        <v>0</v>
      </c>
      <c r="F4805" s="1">
        <v>3.1675338189386055</v>
      </c>
      <c r="G4805" s="1">
        <v>2.5941165348812412E-2</v>
      </c>
    </row>
    <row r="4806" spans="1:7">
      <c r="A4806">
        <v>398</v>
      </c>
      <c r="B4806">
        <v>107</v>
      </c>
      <c r="C4806" s="1">
        <f>(Tabela1[[#This Row],[x]]-H$3)*(Tabela1[[#This Row],[x]]-H$3) +(Tabela1[[#This Row],[y]]-H$4)*(Tabela1[[#This Row],[y]]-H$4)</f>
        <v>47853</v>
      </c>
      <c r="D4806" s="1">
        <f>IF(Tabela1[[#This Row],[promien]]&lt;40000,1,0)</f>
        <v>0</v>
      </c>
      <c r="E4806" s="1">
        <f>IF(Tabela1[[#This Row],[promien]]=40000,1,0)</f>
        <v>0</v>
      </c>
      <c r="F4806" s="1">
        <v>3.1668747399084478</v>
      </c>
      <c r="G4806" s="1">
        <v>2.5282086318654695E-2</v>
      </c>
    </row>
    <row r="4807" spans="1:7">
      <c r="A4807">
        <v>84</v>
      </c>
      <c r="B4807">
        <v>153</v>
      </c>
      <c r="C4807" s="1">
        <f>(Tabela1[[#This Row],[x]]-H$3)*(Tabela1[[#This Row],[x]]-H$3) +(Tabela1[[#This Row],[y]]-H$4)*(Tabela1[[#This Row],[y]]-H$4)</f>
        <v>15665</v>
      </c>
      <c r="D4807" s="1">
        <f>IF(Tabela1[[#This Row],[promien]]&lt;40000,1,0)</f>
        <v>1</v>
      </c>
      <c r="E4807" s="1">
        <f>IF(Tabela1[[#This Row],[promien]]=40000,1,0)</f>
        <v>0</v>
      </c>
      <c r="F4807" s="1">
        <v>3.1670480549199085</v>
      </c>
      <c r="G4807" s="1">
        <v>2.5455401330115368E-2</v>
      </c>
    </row>
    <row r="4808" spans="1:7">
      <c r="A4808">
        <v>123</v>
      </c>
      <c r="B4808">
        <v>207</v>
      </c>
      <c r="C4808" s="1">
        <f>(Tabela1[[#This Row],[x]]-H$3)*(Tabela1[[#This Row],[x]]-H$3) +(Tabela1[[#This Row],[y]]-H$4)*(Tabela1[[#This Row],[y]]-H$4)</f>
        <v>5978</v>
      </c>
      <c r="D4808" s="1">
        <f>IF(Tabela1[[#This Row],[promien]]&lt;40000,1,0)</f>
        <v>1</v>
      </c>
      <c r="E4808" s="1">
        <f>IF(Tabela1[[#This Row],[promien]]=40000,1,0)</f>
        <v>0</v>
      </c>
      <c r="F4808" s="1">
        <v>3.1672212978369383</v>
      </c>
      <c r="G4808" s="1">
        <v>2.5628644247145171E-2</v>
      </c>
    </row>
    <row r="4809" spans="1:7">
      <c r="A4809">
        <v>177</v>
      </c>
      <c r="B4809">
        <v>324</v>
      </c>
      <c r="C4809" s="1">
        <f>(Tabela1[[#This Row],[x]]-H$3)*(Tabela1[[#This Row],[x]]-H$3) +(Tabela1[[#This Row],[y]]-H$4)*(Tabela1[[#This Row],[y]]-H$4)</f>
        <v>15905</v>
      </c>
      <c r="D4809" s="1">
        <f>IF(Tabela1[[#This Row],[promien]]&lt;40000,1,0)</f>
        <v>1</v>
      </c>
      <c r="E4809" s="1">
        <f>IF(Tabela1[[#This Row],[promien]]=40000,1,0)</f>
        <v>0</v>
      </c>
      <c r="F4809" s="1">
        <v>3.1673944687045124</v>
      </c>
      <c r="G4809" s="1">
        <v>2.580181511471924E-2</v>
      </c>
    </row>
    <row r="4810" spans="1:7">
      <c r="A4810">
        <v>144</v>
      </c>
      <c r="B4810">
        <v>114</v>
      </c>
      <c r="C4810" s="1">
        <f>(Tabela1[[#This Row],[x]]-H$3)*(Tabela1[[#This Row],[x]]-H$3) +(Tabela1[[#This Row],[y]]-H$4)*(Tabela1[[#This Row],[y]]-H$4)</f>
        <v>10532</v>
      </c>
      <c r="D4810" s="1">
        <f>IF(Tabela1[[#This Row],[promien]]&lt;40000,1,0)</f>
        <v>1</v>
      </c>
      <c r="E4810" s="1">
        <f>IF(Tabela1[[#This Row],[promien]]=40000,1,0)</f>
        <v>0</v>
      </c>
      <c r="F4810" s="1">
        <v>3.1675675675675676</v>
      </c>
      <c r="G4810" s="1">
        <v>2.5974913977774516E-2</v>
      </c>
    </row>
    <row r="4811" spans="1:7">
      <c r="A4811">
        <v>313</v>
      </c>
      <c r="B4811">
        <v>79</v>
      </c>
      <c r="C4811" s="1">
        <f>(Tabela1[[#This Row],[x]]-H$3)*(Tabela1[[#This Row],[x]]-H$3) +(Tabela1[[#This Row],[y]]-H$4)*(Tabela1[[#This Row],[y]]-H$4)</f>
        <v>27410</v>
      </c>
      <c r="D4811" s="1">
        <f>IF(Tabela1[[#This Row],[promien]]&lt;40000,1,0)</f>
        <v>1</v>
      </c>
      <c r="E4811" s="1">
        <f>IF(Tabela1[[#This Row],[promien]]=40000,1,0)</f>
        <v>0</v>
      </c>
      <c r="F4811" s="1">
        <v>3.1677405944710038</v>
      </c>
      <c r="G4811" s="1">
        <v>2.6147940881210641E-2</v>
      </c>
    </row>
    <row r="4812" spans="1:7">
      <c r="A4812">
        <v>258</v>
      </c>
      <c r="B4812">
        <v>21</v>
      </c>
      <c r="C4812" s="1">
        <f>(Tabela1[[#This Row],[x]]-H$3)*(Tabela1[[#This Row],[x]]-H$3) +(Tabela1[[#This Row],[y]]-H$4)*(Tabela1[[#This Row],[y]]-H$4)</f>
        <v>35405</v>
      </c>
      <c r="D4812" s="1">
        <f>IF(Tabela1[[#This Row],[promien]]&lt;40000,1,0)</f>
        <v>1</v>
      </c>
      <c r="E4812" s="1">
        <f>IF(Tabela1[[#This Row],[promien]]=40000,1,0)</f>
        <v>0</v>
      </c>
      <c r="F4812" s="1">
        <v>3.167913549459684</v>
      </c>
      <c r="G4812" s="1">
        <v>2.6320895869890837E-2</v>
      </c>
    </row>
    <row r="4813" spans="1:7">
      <c r="A4813">
        <v>67</v>
      </c>
      <c r="B4813">
        <v>176</v>
      </c>
      <c r="C4813" s="1">
        <f>(Tabela1[[#This Row],[x]]-H$3)*(Tabela1[[#This Row],[x]]-H$3) +(Tabela1[[#This Row],[y]]-H$4)*(Tabela1[[#This Row],[y]]-H$4)</f>
        <v>18265</v>
      </c>
      <c r="D4813" s="1">
        <f>IF(Tabela1[[#This Row],[promien]]&lt;40000,1,0)</f>
        <v>1</v>
      </c>
      <c r="E4813" s="1">
        <f>IF(Tabela1[[#This Row],[promien]]=40000,1,0)</f>
        <v>0</v>
      </c>
      <c r="F4813" s="1">
        <v>3.1680864325784333</v>
      </c>
      <c r="G4813" s="1">
        <v>2.6493778988640138E-2</v>
      </c>
    </row>
    <row r="4814" spans="1:7">
      <c r="A4814">
        <v>230</v>
      </c>
      <c r="B4814">
        <v>171</v>
      </c>
      <c r="C4814" s="1">
        <f>(Tabela1[[#This Row],[x]]-H$3)*(Tabela1[[#This Row],[x]]-H$3) +(Tabela1[[#This Row],[y]]-H$4)*(Tabela1[[#This Row],[y]]-H$4)</f>
        <v>1741</v>
      </c>
      <c r="D4814" s="1">
        <f>IF(Tabela1[[#This Row],[promien]]&lt;40000,1,0)</f>
        <v>1</v>
      </c>
      <c r="E4814" s="1">
        <f>IF(Tabela1[[#This Row],[promien]]=40000,1,0)</f>
        <v>0</v>
      </c>
      <c r="F4814" s="1">
        <v>3.1682592438720398</v>
      </c>
      <c r="G4814" s="1">
        <v>2.6666590282246716E-2</v>
      </c>
    </row>
    <row r="4815" spans="1:7">
      <c r="A4815">
        <v>57</v>
      </c>
      <c r="B4815">
        <v>256</v>
      </c>
      <c r="C4815" s="1">
        <f>(Tabela1[[#This Row],[x]]-H$3)*(Tabela1[[#This Row],[x]]-H$3) +(Tabela1[[#This Row],[y]]-H$4)*(Tabela1[[#This Row],[y]]-H$4)</f>
        <v>23585</v>
      </c>
      <c r="D4815" s="1">
        <f>IF(Tabela1[[#This Row],[promien]]&lt;40000,1,0)</f>
        <v>1</v>
      </c>
      <c r="E4815" s="1">
        <f>IF(Tabela1[[#This Row],[promien]]=40000,1,0)</f>
        <v>0</v>
      </c>
      <c r="F4815" s="1">
        <v>3.1684319833852546</v>
      </c>
      <c r="G4815" s="1">
        <v>2.6839329795461442E-2</v>
      </c>
    </row>
    <row r="4816" spans="1:7">
      <c r="A4816">
        <v>57</v>
      </c>
      <c r="B4816">
        <v>364</v>
      </c>
      <c r="C4816" s="1">
        <f>(Tabela1[[#This Row],[x]]-H$3)*(Tabela1[[#This Row],[x]]-H$3) +(Tabela1[[#This Row],[y]]-H$4)*(Tabela1[[#This Row],[y]]-H$4)</f>
        <v>47345</v>
      </c>
      <c r="D4816" s="1">
        <f>IF(Tabela1[[#This Row],[promien]]&lt;40000,1,0)</f>
        <v>0</v>
      </c>
      <c r="E4816" s="1">
        <f>IF(Tabela1[[#This Row],[promien]]=40000,1,0)</f>
        <v>0</v>
      </c>
      <c r="F4816" s="1">
        <v>3.1677740863787376</v>
      </c>
      <c r="G4816" s="1">
        <v>2.618143278894447E-2</v>
      </c>
    </row>
    <row r="4817" spans="1:7">
      <c r="A4817">
        <v>32</v>
      </c>
      <c r="B4817">
        <v>291</v>
      </c>
      <c r="C4817" s="1">
        <f>(Tabela1[[#This Row],[x]]-H$3)*(Tabela1[[#This Row],[x]]-H$3) +(Tabela1[[#This Row],[y]]-H$4)*(Tabela1[[#This Row],[y]]-H$4)</f>
        <v>36505</v>
      </c>
      <c r="D4817" s="1">
        <f>IF(Tabela1[[#This Row],[promien]]&lt;40000,1,0)</f>
        <v>1</v>
      </c>
      <c r="E4817" s="1">
        <f>IF(Tabela1[[#This Row],[promien]]=40000,1,0)</f>
        <v>0</v>
      </c>
      <c r="F4817" s="1">
        <v>3.1679468548889349</v>
      </c>
      <c r="G4817" s="1">
        <v>2.6354201299141788E-2</v>
      </c>
    </row>
    <row r="4818" spans="1:7">
      <c r="A4818">
        <v>7</v>
      </c>
      <c r="B4818">
        <v>329</v>
      </c>
      <c r="C4818" s="1">
        <f>(Tabela1[[#This Row],[x]]-H$3)*(Tabela1[[#This Row],[x]]-H$3) +(Tabela1[[#This Row],[y]]-H$4)*(Tabela1[[#This Row],[y]]-H$4)</f>
        <v>53890</v>
      </c>
      <c r="D4818" s="1">
        <f>IF(Tabela1[[#This Row],[promien]]&lt;40000,1,0)</f>
        <v>0</v>
      </c>
      <c r="E4818" s="1">
        <f>IF(Tabela1[[#This Row],[promien]]=40000,1,0)</f>
        <v>0</v>
      </c>
      <c r="F4818" s="1">
        <v>3.1672893316728934</v>
      </c>
      <c r="G4818" s="1">
        <v>2.5696678083100277E-2</v>
      </c>
    </row>
    <row r="4819" spans="1:7">
      <c r="A4819">
        <v>128</v>
      </c>
      <c r="B4819">
        <v>287</v>
      </c>
      <c r="C4819" s="1">
        <f>(Tabela1[[#This Row],[x]]-H$3)*(Tabela1[[#This Row],[x]]-H$3) +(Tabela1[[#This Row],[y]]-H$4)*(Tabela1[[#This Row],[y]]-H$4)</f>
        <v>12753</v>
      </c>
      <c r="D4819" s="1">
        <f>IF(Tabela1[[#This Row],[promien]]&lt;40000,1,0)</f>
        <v>1</v>
      </c>
      <c r="E4819" s="1">
        <f>IF(Tabela1[[#This Row],[promien]]=40000,1,0)</f>
        <v>0</v>
      </c>
      <c r="F4819" s="1">
        <v>3.1674621290724216</v>
      </c>
      <c r="G4819" s="1">
        <v>2.5869475482628523E-2</v>
      </c>
    </row>
    <row r="4820" spans="1:7">
      <c r="A4820">
        <v>292</v>
      </c>
      <c r="B4820">
        <v>323</v>
      </c>
      <c r="C4820" s="1">
        <f>(Tabela1[[#This Row],[x]]-H$3)*(Tabela1[[#This Row],[x]]-H$3) +(Tabela1[[#This Row],[y]]-H$4)*(Tabela1[[#This Row],[y]]-H$4)</f>
        <v>23593</v>
      </c>
      <c r="D4820" s="1">
        <f>IF(Tabela1[[#This Row],[promien]]&lt;40000,1,0)</f>
        <v>1</v>
      </c>
      <c r="E4820" s="1">
        <f>IF(Tabela1[[#This Row],[promien]]=40000,1,0)</f>
        <v>0</v>
      </c>
      <c r="F4820" s="1">
        <v>3.1676348547717841</v>
      </c>
      <c r="G4820" s="1">
        <v>2.6042201181990965E-2</v>
      </c>
    </row>
    <row r="4821" spans="1:7">
      <c r="A4821">
        <v>390</v>
      </c>
      <c r="B4821">
        <v>367</v>
      </c>
      <c r="C4821" s="1">
        <f>(Tabela1[[#This Row],[x]]-H$3)*(Tabela1[[#This Row],[x]]-H$3) +(Tabela1[[#This Row],[y]]-H$4)*(Tabela1[[#This Row],[y]]-H$4)</f>
        <v>63989</v>
      </c>
      <c r="D4821" s="1">
        <f>IF(Tabela1[[#This Row],[promien]]&lt;40000,1,0)</f>
        <v>0</v>
      </c>
      <c r="E4821" s="1">
        <f>IF(Tabela1[[#This Row],[promien]]=40000,1,0)</f>
        <v>0</v>
      </c>
      <c r="F4821" s="1">
        <v>3.166977805434557</v>
      </c>
      <c r="G4821" s="1">
        <v>2.5385151844763865E-2</v>
      </c>
    </row>
    <row r="4822" spans="1:7">
      <c r="A4822">
        <v>150</v>
      </c>
      <c r="B4822">
        <v>264</v>
      </c>
      <c r="C4822" s="1">
        <f>(Tabela1[[#This Row],[x]]-H$3)*(Tabela1[[#This Row],[x]]-H$3) +(Tabela1[[#This Row],[y]]-H$4)*(Tabela1[[#This Row],[y]]-H$4)</f>
        <v>6596</v>
      </c>
      <c r="D4822" s="1">
        <f>IF(Tabela1[[#This Row],[promien]]&lt;40000,1,0)</f>
        <v>1</v>
      </c>
      <c r="E4822" s="1">
        <f>IF(Tabela1[[#This Row],[promien]]=40000,1,0)</f>
        <v>0</v>
      </c>
      <c r="F4822" s="1">
        <v>3.1671505599336376</v>
      </c>
      <c r="G4822" s="1">
        <v>2.5557906343844472E-2</v>
      </c>
    </row>
    <row r="4823" spans="1:7">
      <c r="A4823">
        <v>148</v>
      </c>
      <c r="B4823">
        <v>45</v>
      </c>
      <c r="C4823" s="1">
        <f>(Tabela1[[#This Row],[x]]-H$3)*(Tabela1[[#This Row],[x]]-H$3) +(Tabela1[[#This Row],[y]]-H$4)*(Tabela1[[#This Row],[y]]-H$4)</f>
        <v>26729</v>
      </c>
      <c r="D4823" s="1">
        <f>IF(Tabela1[[#This Row],[promien]]&lt;40000,1,0)</f>
        <v>1</v>
      </c>
      <c r="E4823" s="1">
        <f>IF(Tabela1[[#This Row],[promien]]=40000,1,0)</f>
        <v>0</v>
      </c>
      <c r="F4823" s="1">
        <v>3.1673232427949407</v>
      </c>
      <c r="G4823" s="1">
        <v>2.5730589205147592E-2</v>
      </c>
    </row>
    <row r="4824" spans="1:7">
      <c r="A4824">
        <v>193</v>
      </c>
      <c r="B4824">
        <v>57</v>
      </c>
      <c r="C4824" s="1">
        <f>(Tabela1[[#This Row],[x]]-H$3)*(Tabela1[[#This Row],[x]]-H$3) +(Tabela1[[#This Row],[y]]-H$4)*(Tabela1[[#This Row],[y]]-H$4)</f>
        <v>20498</v>
      </c>
      <c r="D4824" s="1">
        <f>IF(Tabela1[[#This Row],[promien]]&lt;40000,1,0)</f>
        <v>1</v>
      </c>
      <c r="E4824" s="1">
        <f>IF(Tabela1[[#This Row],[promien]]=40000,1,0)</f>
        <v>0</v>
      </c>
      <c r="F4824" s="1">
        <v>3.1674958540630183</v>
      </c>
      <c r="G4824" s="1">
        <v>2.5903200473225141E-2</v>
      </c>
    </row>
    <row r="4825" spans="1:7">
      <c r="A4825">
        <v>388</v>
      </c>
      <c r="B4825">
        <v>188</v>
      </c>
      <c r="C4825" s="1">
        <f>(Tabela1[[#This Row],[x]]-H$3)*(Tabela1[[#This Row],[x]]-H$3) +(Tabela1[[#This Row],[y]]-H$4)*(Tabela1[[#This Row],[y]]-H$4)</f>
        <v>35488</v>
      </c>
      <c r="D4825" s="1">
        <f>IF(Tabela1[[#This Row],[promien]]&lt;40000,1,0)</f>
        <v>1</v>
      </c>
      <c r="E4825" s="1">
        <f>IF(Tabela1[[#This Row],[promien]]=40000,1,0)</f>
        <v>0</v>
      </c>
      <c r="F4825" s="1">
        <v>3.1676683937823835</v>
      </c>
      <c r="G4825" s="1">
        <v>2.6075740192590402E-2</v>
      </c>
    </row>
    <row r="4826" spans="1:7">
      <c r="A4826">
        <v>43</v>
      </c>
      <c r="B4826">
        <v>3</v>
      </c>
      <c r="C4826" s="1">
        <f>(Tabela1[[#This Row],[x]]-H$3)*(Tabela1[[#This Row],[x]]-H$3) +(Tabela1[[#This Row],[y]]-H$4)*(Tabela1[[#This Row],[y]]-H$4)</f>
        <v>63458</v>
      </c>
      <c r="D4826" s="1">
        <f>IF(Tabela1[[#This Row],[promien]]&lt;40000,1,0)</f>
        <v>0</v>
      </c>
      <c r="E4826" s="1">
        <f>IF(Tabela1[[#This Row],[promien]]=40000,1,0)</f>
        <v>0</v>
      </c>
      <c r="F4826" s="1">
        <v>3.1670120182345629</v>
      </c>
      <c r="G4826" s="1">
        <v>2.5419364644769793E-2</v>
      </c>
    </row>
    <row r="4827" spans="1:7">
      <c r="A4827">
        <v>98</v>
      </c>
      <c r="B4827">
        <v>325</v>
      </c>
      <c r="C4827" s="1">
        <f>(Tabela1[[#This Row],[x]]-H$3)*(Tabela1[[#This Row],[x]]-H$3) +(Tabela1[[#This Row],[y]]-H$4)*(Tabela1[[#This Row],[y]]-H$4)</f>
        <v>26029</v>
      </c>
      <c r="D4827" s="1">
        <f>IF(Tabela1[[#This Row],[promien]]&lt;40000,1,0)</f>
        <v>1</v>
      </c>
      <c r="E4827" s="1">
        <f>IF(Tabela1[[#This Row],[promien]]=40000,1,0)</f>
        <v>0</v>
      </c>
      <c r="F4827" s="1">
        <v>3.1671845866998134</v>
      </c>
      <c r="G4827" s="1">
        <v>2.5591933110020282E-2</v>
      </c>
    </row>
    <row r="4828" spans="1:7">
      <c r="A4828">
        <v>232</v>
      </c>
      <c r="B4828">
        <v>5</v>
      </c>
      <c r="C4828" s="1">
        <f>(Tabela1[[#This Row],[x]]-H$3)*(Tabela1[[#This Row],[x]]-H$3) +(Tabela1[[#This Row],[y]]-H$4)*(Tabela1[[#This Row],[y]]-H$4)</f>
        <v>39049</v>
      </c>
      <c r="D4828" s="1">
        <f>IF(Tabela1[[#This Row],[promien]]&lt;40000,1,0)</f>
        <v>1</v>
      </c>
      <c r="E4828" s="1">
        <f>IF(Tabela1[[#This Row],[promien]]=40000,1,0)</f>
        <v>0</v>
      </c>
      <c r="F4828" s="1">
        <v>3.1673570836785419</v>
      </c>
      <c r="G4828" s="1">
        <v>2.5764430088748735E-2</v>
      </c>
    </row>
    <row r="4829" spans="1:7">
      <c r="A4829">
        <v>385</v>
      </c>
      <c r="B4829">
        <v>197</v>
      </c>
      <c r="C4829" s="1">
        <f>(Tabela1[[#This Row],[x]]-H$3)*(Tabela1[[#This Row],[x]]-H$3) +(Tabela1[[#This Row],[y]]-H$4)*(Tabela1[[#This Row],[y]]-H$4)</f>
        <v>34234</v>
      </c>
      <c r="D4829" s="1">
        <f>IF(Tabela1[[#This Row],[promien]]&lt;40000,1,0)</f>
        <v>1</v>
      </c>
      <c r="E4829" s="1">
        <f>IF(Tabela1[[#This Row],[promien]]=40000,1,0)</f>
        <v>0</v>
      </c>
      <c r="F4829" s="1">
        <v>3.1675295092151585</v>
      </c>
      <c r="G4829" s="1">
        <v>2.5936855625365407E-2</v>
      </c>
    </row>
    <row r="4830" spans="1:7">
      <c r="A4830">
        <v>140</v>
      </c>
      <c r="B4830">
        <v>225</v>
      </c>
      <c r="C4830" s="1">
        <f>(Tabela1[[#This Row],[x]]-H$3)*(Tabela1[[#This Row],[x]]-H$3) +(Tabela1[[#This Row],[y]]-H$4)*(Tabela1[[#This Row],[y]]-H$4)</f>
        <v>4225</v>
      </c>
      <c r="D4830" s="1">
        <f>IF(Tabela1[[#This Row],[promien]]&lt;40000,1,0)</f>
        <v>1</v>
      </c>
      <c r="E4830" s="1">
        <f>IF(Tabela1[[#This Row],[promien]]=40000,1,0)</f>
        <v>0</v>
      </c>
      <c r="F4830" s="1">
        <v>3.1677018633540373</v>
      </c>
      <c r="G4830" s="1">
        <v>2.6109209764244135E-2</v>
      </c>
    </row>
    <row r="4831" spans="1:7">
      <c r="A4831">
        <v>164</v>
      </c>
      <c r="B4831">
        <v>72</v>
      </c>
      <c r="C4831" s="1">
        <f>(Tabela1[[#This Row],[x]]-H$3)*(Tabela1[[#This Row],[x]]-H$3) +(Tabela1[[#This Row],[y]]-H$4)*(Tabela1[[#This Row],[y]]-H$4)</f>
        <v>17680</v>
      </c>
      <c r="D4831" s="1">
        <f>IF(Tabela1[[#This Row],[promien]]&lt;40000,1,0)</f>
        <v>1</v>
      </c>
      <c r="E4831" s="1">
        <f>IF(Tabela1[[#This Row],[promien]]=40000,1,0)</f>
        <v>0</v>
      </c>
      <c r="F4831" s="1">
        <v>3.1678741461395155</v>
      </c>
      <c r="G4831" s="1">
        <v>2.6281492549722341E-2</v>
      </c>
    </row>
    <row r="4832" spans="1:7">
      <c r="A4832">
        <v>228</v>
      </c>
      <c r="B4832">
        <v>196</v>
      </c>
      <c r="C4832" s="1">
        <f>(Tabela1[[#This Row],[x]]-H$3)*(Tabela1[[#This Row],[x]]-H$3) +(Tabela1[[#This Row],[y]]-H$4)*(Tabela1[[#This Row],[y]]-H$4)</f>
        <v>800</v>
      </c>
      <c r="D4832" s="1">
        <f>IF(Tabela1[[#This Row],[promien]]&lt;40000,1,0)</f>
        <v>1</v>
      </c>
      <c r="E4832" s="1">
        <f>IF(Tabela1[[#This Row],[promien]]=40000,1,0)</f>
        <v>0</v>
      </c>
      <c r="F4832" s="1">
        <v>3.1680463576158941</v>
      </c>
      <c r="G4832" s="1">
        <v>2.6453704026101033E-2</v>
      </c>
    </row>
    <row r="4833" spans="1:7">
      <c r="A4833">
        <v>75</v>
      </c>
      <c r="B4833">
        <v>354</v>
      </c>
      <c r="C4833" s="1">
        <f>(Tabela1[[#This Row],[x]]-H$3)*(Tabela1[[#This Row],[x]]-H$3) +(Tabela1[[#This Row],[y]]-H$4)*(Tabela1[[#This Row],[y]]-H$4)</f>
        <v>39341</v>
      </c>
      <c r="D4833" s="1">
        <f>IF(Tabela1[[#This Row],[promien]]&lt;40000,1,0)</f>
        <v>1</v>
      </c>
      <c r="E4833" s="1">
        <f>IF(Tabela1[[#This Row],[promien]]=40000,1,0)</f>
        <v>0</v>
      </c>
      <c r="F4833" s="1">
        <v>3.1682184978274366</v>
      </c>
      <c r="G4833" s="1">
        <v>2.662584423764347E-2</v>
      </c>
    </row>
    <row r="4834" spans="1:7">
      <c r="A4834">
        <v>57</v>
      </c>
      <c r="B4834">
        <v>278</v>
      </c>
      <c r="C4834" s="1">
        <f>(Tabela1[[#This Row],[x]]-H$3)*(Tabela1[[#This Row],[x]]-H$3) +(Tabela1[[#This Row],[y]]-H$4)*(Tabela1[[#This Row],[y]]-H$4)</f>
        <v>26533</v>
      </c>
      <c r="D4834" s="1">
        <f>IF(Tabela1[[#This Row],[promien]]&lt;40000,1,0)</f>
        <v>1</v>
      </c>
      <c r="E4834" s="1">
        <f>IF(Tabela1[[#This Row],[promien]]=40000,1,0)</f>
        <v>0</v>
      </c>
      <c r="F4834" s="1">
        <v>3.1683905668183701</v>
      </c>
      <c r="G4834" s="1">
        <v>2.6797913228576942E-2</v>
      </c>
    </row>
    <row r="4835" spans="1:7">
      <c r="A4835">
        <v>250</v>
      </c>
      <c r="B4835">
        <v>147</v>
      </c>
      <c r="C4835" s="1">
        <f>(Tabela1[[#This Row],[x]]-H$3)*(Tabela1[[#This Row],[x]]-H$3) +(Tabela1[[#This Row],[y]]-H$4)*(Tabela1[[#This Row],[y]]-H$4)</f>
        <v>5309</v>
      </c>
      <c r="D4835" s="1">
        <f>IF(Tabela1[[#This Row],[promien]]&lt;40000,1,0)</f>
        <v>1</v>
      </c>
      <c r="E4835" s="1">
        <f>IF(Tabela1[[#This Row],[promien]]=40000,1,0)</f>
        <v>0</v>
      </c>
      <c r="F4835" s="1">
        <v>3.168562564632885</v>
      </c>
      <c r="G4835" s="1">
        <v>2.6969911043091876E-2</v>
      </c>
    </row>
    <row r="4836" spans="1:7">
      <c r="A4836">
        <v>30</v>
      </c>
      <c r="B4836">
        <v>84</v>
      </c>
      <c r="C4836" s="1">
        <f>(Tabela1[[#This Row],[x]]-H$3)*(Tabela1[[#This Row],[x]]-H$3) +(Tabela1[[#This Row],[y]]-H$4)*(Tabela1[[#This Row],[y]]-H$4)</f>
        <v>42356</v>
      </c>
      <c r="D4836" s="1">
        <f>IF(Tabela1[[#This Row],[promien]]&lt;40000,1,0)</f>
        <v>0</v>
      </c>
      <c r="E4836" s="1">
        <f>IF(Tabela1[[#This Row],[promien]]=40000,1,0)</f>
        <v>0</v>
      </c>
      <c r="F4836" s="1">
        <v>3.1679073614557485</v>
      </c>
      <c r="G4836" s="1">
        <v>2.6314707865955356E-2</v>
      </c>
    </row>
    <row r="4837" spans="1:7">
      <c r="A4837">
        <v>359</v>
      </c>
      <c r="B4837">
        <v>314</v>
      </c>
      <c r="C4837" s="1">
        <f>(Tabela1[[#This Row],[x]]-H$3)*(Tabela1[[#This Row],[x]]-H$3) +(Tabela1[[#This Row],[y]]-H$4)*(Tabela1[[#This Row],[y]]-H$4)</f>
        <v>38277</v>
      </c>
      <c r="D4837" s="1">
        <f>IF(Tabela1[[#This Row],[promien]]&lt;40000,1,0)</f>
        <v>1</v>
      </c>
      <c r="E4837" s="1">
        <f>IF(Tabela1[[#This Row],[promien]]=40000,1,0)</f>
        <v>0</v>
      </c>
      <c r="F4837" s="1">
        <v>3.1680793880504443</v>
      </c>
      <c r="G4837" s="1">
        <v>2.6486734460651196E-2</v>
      </c>
    </row>
    <row r="4838" spans="1:7">
      <c r="A4838">
        <v>360</v>
      </c>
      <c r="B4838">
        <v>307</v>
      </c>
      <c r="C4838" s="1">
        <f>(Tabela1[[#This Row],[x]]-H$3)*(Tabela1[[#This Row],[x]]-H$3) +(Tabela1[[#This Row],[y]]-H$4)*(Tabela1[[#This Row],[y]]-H$4)</f>
        <v>37049</v>
      </c>
      <c r="D4838" s="1">
        <f>IF(Tabela1[[#This Row],[promien]]&lt;40000,1,0)</f>
        <v>1</v>
      </c>
      <c r="E4838" s="1">
        <f>IF(Tabela1[[#This Row],[promien]]=40000,1,0)</f>
        <v>0</v>
      </c>
      <c r="F4838" s="1">
        <v>3.1682513435303843</v>
      </c>
      <c r="G4838" s="1">
        <v>2.6658689940591174E-2</v>
      </c>
    </row>
    <row r="4839" spans="1:7">
      <c r="A4839">
        <v>289</v>
      </c>
      <c r="B4839">
        <v>360</v>
      </c>
      <c r="C4839" s="1">
        <f>(Tabela1[[#This Row],[x]]-H$3)*(Tabela1[[#This Row],[x]]-H$3) +(Tabela1[[#This Row],[y]]-H$4)*(Tabela1[[#This Row],[y]]-H$4)</f>
        <v>33521</v>
      </c>
      <c r="D4839" s="1">
        <f>IF(Tabela1[[#This Row],[promien]]&lt;40000,1,0)</f>
        <v>1</v>
      </c>
      <c r="E4839" s="1">
        <f>IF(Tabela1[[#This Row],[promien]]=40000,1,0)</f>
        <v>0</v>
      </c>
      <c r="F4839" s="1">
        <v>3.1684232279396571</v>
      </c>
      <c r="G4839" s="1">
        <v>2.6830574349864023E-2</v>
      </c>
    </row>
    <row r="4840" spans="1:7">
      <c r="A4840">
        <v>26</v>
      </c>
      <c r="B4840">
        <v>354</v>
      </c>
      <c r="C4840" s="1">
        <f>(Tabela1[[#This Row],[x]]-H$3)*(Tabela1[[#This Row],[x]]-H$3) +(Tabela1[[#This Row],[y]]-H$4)*(Tabela1[[#This Row],[y]]-H$4)</f>
        <v>53992</v>
      </c>
      <c r="D4840" s="1">
        <f>IF(Tabela1[[#This Row],[promien]]&lt;40000,1,0)</f>
        <v>0</v>
      </c>
      <c r="E4840" s="1">
        <f>IF(Tabela1[[#This Row],[promien]]=40000,1,0)</f>
        <v>0</v>
      </c>
      <c r="F4840" s="1">
        <v>3.1677685950413221</v>
      </c>
      <c r="G4840" s="1">
        <v>2.6175941451529017E-2</v>
      </c>
    </row>
    <row r="4841" spans="1:7">
      <c r="A4841">
        <v>388</v>
      </c>
      <c r="B4841">
        <v>9</v>
      </c>
      <c r="C4841" s="1">
        <f>(Tabela1[[#This Row],[x]]-H$3)*(Tabela1[[#This Row],[x]]-H$3) +(Tabela1[[#This Row],[y]]-H$4)*(Tabela1[[#This Row],[y]]-H$4)</f>
        <v>71825</v>
      </c>
      <c r="D4841" s="1">
        <f>IF(Tabela1[[#This Row],[promien]]&lt;40000,1,0)</f>
        <v>0</v>
      </c>
      <c r="E4841" s="1">
        <f>IF(Tabela1[[#This Row],[promien]]=40000,1,0)</f>
        <v>0</v>
      </c>
      <c r="F4841" s="1">
        <v>3.1671142325965711</v>
      </c>
      <c r="G4841" s="1">
        <v>2.5521579006777984E-2</v>
      </c>
    </row>
    <row r="4842" spans="1:7">
      <c r="A4842">
        <v>134</v>
      </c>
      <c r="B4842">
        <v>290</v>
      </c>
      <c r="C4842" s="1">
        <f>(Tabela1[[#This Row],[x]]-H$3)*(Tabela1[[#This Row],[x]]-H$3) +(Tabela1[[#This Row],[y]]-H$4)*(Tabela1[[#This Row],[y]]-H$4)</f>
        <v>12456</v>
      </c>
      <c r="D4842" s="1">
        <f>IF(Tabela1[[#This Row],[promien]]&lt;40000,1,0)</f>
        <v>1</v>
      </c>
      <c r="E4842" s="1">
        <f>IF(Tabela1[[#This Row],[promien]]=40000,1,0)</f>
        <v>0</v>
      </c>
      <c r="F4842" s="1">
        <v>3.1672862453531598</v>
      </c>
      <c r="G4842" s="1">
        <v>2.5693591763366719E-2</v>
      </c>
    </row>
    <row r="4843" spans="1:7">
      <c r="A4843">
        <v>392</v>
      </c>
      <c r="B4843">
        <v>393</v>
      </c>
      <c r="C4843" s="1">
        <f>(Tabela1[[#This Row],[x]]-H$3)*(Tabela1[[#This Row],[x]]-H$3) +(Tabela1[[#This Row],[y]]-H$4)*(Tabela1[[#This Row],[y]]-H$4)</f>
        <v>74113</v>
      </c>
      <c r="D4843" s="1">
        <f>IF(Tabela1[[#This Row],[promien]]&lt;40000,1,0)</f>
        <v>0</v>
      </c>
      <c r="E4843" s="1">
        <f>IF(Tabela1[[#This Row],[promien]]=40000,1,0)</f>
        <v>0</v>
      </c>
      <c r="F4843" s="1">
        <v>3.1666322527359076</v>
      </c>
      <c r="G4843" s="1">
        <v>2.5039599146114533E-2</v>
      </c>
    </row>
    <row r="4844" spans="1:7">
      <c r="A4844">
        <v>67</v>
      </c>
      <c r="B4844">
        <v>75</v>
      </c>
      <c r="C4844" s="1">
        <f>(Tabela1[[#This Row],[x]]-H$3)*(Tabela1[[#This Row],[x]]-H$3) +(Tabela1[[#This Row],[y]]-H$4)*(Tabela1[[#This Row],[y]]-H$4)</f>
        <v>33314</v>
      </c>
      <c r="D4844" s="1">
        <f>IF(Tabela1[[#This Row],[promien]]&lt;40000,1,0)</f>
        <v>1</v>
      </c>
      <c r="E4844" s="1">
        <f>IF(Tabela1[[#This Row],[promien]]=40000,1,0)</f>
        <v>0</v>
      </c>
      <c r="F4844" s="1">
        <v>3.1668042939719241</v>
      </c>
      <c r="G4844" s="1">
        <v>2.5211640382130973E-2</v>
      </c>
    </row>
    <row r="4845" spans="1:7">
      <c r="A4845">
        <v>286</v>
      </c>
      <c r="B4845">
        <v>92</v>
      </c>
      <c r="C4845" s="1">
        <f>(Tabela1[[#This Row],[x]]-H$3)*(Tabela1[[#This Row],[x]]-H$3) +(Tabela1[[#This Row],[y]]-H$4)*(Tabela1[[#This Row],[y]]-H$4)</f>
        <v>19060</v>
      </c>
      <c r="D4845" s="1">
        <f>IF(Tabela1[[#This Row],[promien]]&lt;40000,1,0)</f>
        <v>1</v>
      </c>
      <c r="E4845" s="1">
        <f>IF(Tabela1[[#This Row],[promien]]=40000,1,0)</f>
        <v>0</v>
      </c>
      <c r="F4845" s="1">
        <v>3.1669762641898864</v>
      </c>
      <c r="G4845" s="1">
        <v>2.5383610600093309E-2</v>
      </c>
    </row>
    <row r="4846" spans="1:7">
      <c r="A4846">
        <v>190</v>
      </c>
      <c r="B4846">
        <v>32</v>
      </c>
      <c r="C4846" s="1">
        <f>(Tabela1[[#This Row],[x]]-H$3)*(Tabela1[[#This Row],[x]]-H$3) +(Tabela1[[#This Row],[y]]-H$4)*(Tabela1[[#This Row],[y]]-H$4)</f>
        <v>28324</v>
      </c>
      <c r="D4846" s="1">
        <f>IF(Tabela1[[#This Row],[promien]]&lt;40000,1,0)</f>
        <v>1</v>
      </c>
      <c r="E4846" s="1">
        <f>IF(Tabela1[[#This Row],[promien]]=40000,1,0)</f>
        <v>0</v>
      </c>
      <c r="F4846" s="1">
        <v>3.1671481634337599</v>
      </c>
      <c r="G4846" s="1">
        <v>2.5555509843966817E-2</v>
      </c>
    </row>
    <row r="4847" spans="1:7">
      <c r="A4847">
        <v>333</v>
      </c>
      <c r="B4847">
        <v>99</v>
      </c>
      <c r="C4847" s="1">
        <f>(Tabela1[[#This Row],[x]]-H$3)*(Tabela1[[#This Row],[x]]-H$3) +(Tabela1[[#This Row],[y]]-H$4)*(Tabela1[[#This Row],[y]]-H$4)</f>
        <v>27890</v>
      </c>
      <c r="D4847" s="1">
        <f>IF(Tabela1[[#This Row],[promien]]&lt;40000,1,0)</f>
        <v>1</v>
      </c>
      <c r="E4847" s="1">
        <f>IF(Tabela1[[#This Row],[promien]]=40000,1,0)</f>
        <v>0</v>
      </c>
      <c r="F4847" s="1">
        <v>3.1673199917474726</v>
      </c>
      <c r="G4847" s="1">
        <v>2.5727338157679469E-2</v>
      </c>
    </row>
    <row r="4848" spans="1:7">
      <c r="A4848">
        <v>25</v>
      </c>
      <c r="B4848">
        <v>96</v>
      </c>
      <c r="C4848" s="1">
        <f>(Tabela1[[#This Row],[x]]-H$3)*(Tabela1[[#This Row],[x]]-H$3) +(Tabela1[[#This Row],[y]]-H$4)*(Tabela1[[#This Row],[y]]-H$4)</f>
        <v>41441</v>
      </c>
      <c r="D4848" s="1">
        <f>IF(Tabela1[[#This Row],[promien]]&lt;40000,1,0)</f>
        <v>0</v>
      </c>
      <c r="E4848" s="1">
        <f>IF(Tabela1[[#This Row],[promien]]=40000,1,0)</f>
        <v>0</v>
      </c>
      <c r="F4848" s="1">
        <v>3.1666666666666665</v>
      </c>
      <c r="G4848" s="1">
        <v>2.5074013076873403E-2</v>
      </c>
    </row>
    <row r="4849" spans="1:7">
      <c r="A4849">
        <v>317</v>
      </c>
      <c r="B4849">
        <v>2</v>
      </c>
      <c r="C4849" s="1">
        <f>(Tabela1[[#This Row],[x]]-H$3)*(Tabela1[[#This Row],[x]]-H$3) +(Tabela1[[#This Row],[y]]-H$4)*(Tabela1[[#This Row],[y]]-H$4)</f>
        <v>52893</v>
      </c>
      <c r="D4849" s="1">
        <f>IF(Tabela1[[#This Row],[promien]]&lt;40000,1,0)</f>
        <v>0</v>
      </c>
      <c r="E4849" s="1">
        <f>IF(Tabela1[[#This Row],[promien]]=40000,1,0)</f>
        <v>0</v>
      </c>
      <c r="F4849" s="1">
        <v>3.1660136110538257</v>
      </c>
      <c r="G4849" s="1">
        <v>2.4420957464032611E-2</v>
      </c>
    </row>
    <row r="4850" spans="1:7">
      <c r="A4850">
        <v>122</v>
      </c>
      <c r="B4850">
        <v>291</v>
      </c>
      <c r="C4850" s="1">
        <f>(Tabela1[[#This Row],[x]]-H$3)*(Tabela1[[#This Row],[x]]-H$3) +(Tabela1[[#This Row],[y]]-H$4)*(Tabela1[[#This Row],[y]]-H$4)</f>
        <v>14365</v>
      </c>
      <c r="D4850" s="1">
        <f>IF(Tabela1[[#This Row],[promien]]&lt;40000,1,0)</f>
        <v>1</v>
      </c>
      <c r="E4850" s="1">
        <f>IF(Tabela1[[#This Row],[promien]]=40000,1,0)</f>
        <v>0</v>
      </c>
      <c r="F4850" s="1">
        <v>3.1661855670103094</v>
      </c>
      <c r="G4850" s="1">
        <v>2.4592913420516282E-2</v>
      </c>
    </row>
    <row r="4851" spans="1:7">
      <c r="A4851">
        <v>323</v>
      </c>
      <c r="B4851">
        <v>314</v>
      </c>
      <c r="C4851" s="1">
        <f>(Tabela1[[#This Row],[x]]-H$3)*(Tabela1[[#This Row],[x]]-H$3) +(Tabela1[[#This Row],[y]]-H$4)*(Tabela1[[#This Row],[y]]-H$4)</f>
        <v>28125</v>
      </c>
      <c r="D4851" s="1">
        <f>IF(Tabela1[[#This Row],[promien]]&lt;40000,1,0)</f>
        <v>1</v>
      </c>
      <c r="E4851" s="1">
        <f>IF(Tabela1[[#This Row],[promien]]=40000,1,0)</f>
        <v>0</v>
      </c>
      <c r="F4851" s="1">
        <v>3.1663574520717379</v>
      </c>
      <c r="G4851" s="1">
        <v>2.4764798481944794E-2</v>
      </c>
    </row>
    <row r="4852" spans="1:7">
      <c r="A4852">
        <v>56</v>
      </c>
      <c r="B4852">
        <v>9</v>
      </c>
      <c r="C4852" s="1">
        <f>(Tabela1[[#This Row],[x]]-H$3)*(Tabela1[[#This Row],[x]]-H$3) +(Tabela1[[#This Row],[y]]-H$4)*(Tabela1[[#This Row],[y]]-H$4)</f>
        <v>57217</v>
      </c>
      <c r="D4852" s="1">
        <f>IF(Tabela1[[#This Row],[promien]]&lt;40000,1,0)</f>
        <v>0</v>
      </c>
      <c r="E4852" s="1">
        <f>IF(Tabela1[[#This Row],[promien]]=40000,1,0)</f>
        <v>0</v>
      </c>
      <c r="F4852" s="1">
        <v>3.1657048639736192</v>
      </c>
      <c r="G4852" s="1">
        <v>2.4112210383826049E-2</v>
      </c>
    </row>
    <row r="4853" spans="1:7">
      <c r="A4853">
        <v>2</v>
      </c>
      <c r="B4853">
        <v>273</v>
      </c>
      <c r="C4853" s="1">
        <f>(Tabela1[[#This Row],[x]]-H$3)*(Tabela1[[#This Row],[x]]-H$3) +(Tabela1[[#This Row],[y]]-H$4)*(Tabela1[[#This Row],[y]]-H$4)</f>
        <v>44533</v>
      </c>
      <c r="D4853" s="1">
        <f>IF(Tabela1[[#This Row],[promien]]&lt;40000,1,0)</f>
        <v>0</v>
      </c>
      <c r="E4853" s="1">
        <f>IF(Tabela1[[#This Row],[promien]]=40000,1,0)</f>
        <v>0</v>
      </c>
      <c r="F4853" s="1">
        <v>3.1650525448176388</v>
      </c>
      <c r="G4853" s="1">
        <v>2.3459891227845642E-2</v>
      </c>
    </row>
    <row r="4854" spans="1:7">
      <c r="A4854">
        <v>180</v>
      </c>
      <c r="B4854">
        <v>229</v>
      </c>
      <c r="C4854" s="1">
        <f>(Tabela1[[#This Row],[x]]-H$3)*(Tabela1[[#This Row],[x]]-H$3) +(Tabela1[[#This Row],[y]]-H$4)*(Tabela1[[#This Row],[y]]-H$4)</f>
        <v>1241</v>
      </c>
      <c r="D4854" s="1">
        <f>IF(Tabela1[[#This Row],[promien]]&lt;40000,1,0)</f>
        <v>1</v>
      </c>
      <c r="E4854" s="1">
        <f>IF(Tabela1[[#This Row],[promien]]=40000,1,0)</f>
        <v>0</v>
      </c>
      <c r="F4854" s="1">
        <v>3.1652245570663369</v>
      </c>
      <c r="G4854" s="1">
        <v>2.3631903476543759E-2</v>
      </c>
    </row>
    <row r="4855" spans="1:7">
      <c r="A4855">
        <v>377</v>
      </c>
      <c r="B4855">
        <v>288</v>
      </c>
      <c r="C4855" s="1">
        <f>(Tabela1[[#This Row],[x]]-H$3)*(Tabela1[[#This Row],[x]]-H$3) +(Tabela1[[#This Row],[y]]-H$4)*(Tabela1[[#This Row],[y]]-H$4)</f>
        <v>39073</v>
      </c>
      <c r="D4855" s="1">
        <f>IF(Tabela1[[#This Row],[promien]]&lt;40000,1,0)</f>
        <v>1</v>
      </c>
      <c r="E4855" s="1">
        <f>IF(Tabela1[[#This Row],[promien]]=40000,1,0)</f>
        <v>0</v>
      </c>
      <c r="F4855" s="1">
        <v>3.165396498455201</v>
      </c>
      <c r="G4855" s="1">
        <v>2.3803844865407875E-2</v>
      </c>
    </row>
    <row r="4856" spans="1:7">
      <c r="A4856">
        <v>286</v>
      </c>
      <c r="B4856">
        <v>118</v>
      </c>
      <c r="C4856" s="1">
        <f>(Tabela1[[#This Row],[x]]-H$3)*(Tabela1[[#This Row],[x]]-H$3) +(Tabela1[[#This Row],[y]]-H$4)*(Tabela1[[#This Row],[y]]-H$4)</f>
        <v>14120</v>
      </c>
      <c r="D4856" s="1">
        <f>IF(Tabela1[[#This Row],[promien]]&lt;40000,1,0)</f>
        <v>1</v>
      </c>
      <c r="E4856" s="1">
        <f>IF(Tabela1[[#This Row],[promien]]=40000,1,0)</f>
        <v>0</v>
      </c>
      <c r="F4856" s="1">
        <v>3.1655683690280068</v>
      </c>
      <c r="G4856" s="1">
        <v>2.3975715438213641E-2</v>
      </c>
    </row>
    <row r="4857" spans="1:7">
      <c r="A4857">
        <v>196</v>
      </c>
      <c r="B4857">
        <v>18</v>
      </c>
      <c r="C4857" s="1">
        <f>(Tabela1[[#This Row],[x]]-H$3)*(Tabela1[[#This Row],[x]]-H$3) +(Tabela1[[#This Row],[y]]-H$4)*(Tabela1[[#This Row],[y]]-H$4)</f>
        <v>33140</v>
      </c>
      <c r="D4857" s="1">
        <f>IF(Tabela1[[#This Row],[promien]]&lt;40000,1,0)</f>
        <v>1</v>
      </c>
      <c r="E4857" s="1">
        <f>IF(Tabela1[[#This Row],[promien]]=40000,1,0)</f>
        <v>0</v>
      </c>
      <c r="F4857" s="1">
        <v>3.1657401688284947</v>
      </c>
      <c r="G4857" s="1">
        <v>2.4147515238701622E-2</v>
      </c>
    </row>
    <row r="4858" spans="1:7">
      <c r="A4858">
        <v>79</v>
      </c>
      <c r="B4858">
        <v>315</v>
      </c>
      <c r="C4858" s="1">
        <f>(Tabela1[[#This Row],[x]]-H$3)*(Tabela1[[#This Row],[x]]-H$3) +(Tabela1[[#This Row],[y]]-H$4)*(Tabela1[[#This Row],[y]]-H$4)</f>
        <v>27866</v>
      </c>
      <c r="D4858" s="1">
        <f>IF(Tabela1[[#This Row],[promien]]&lt;40000,1,0)</f>
        <v>1</v>
      </c>
      <c r="E4858" s="1">
        <f>IF(Tabela1[[#This Row],[promien]]=40000,1,0)</f>
        <v>0</v>
      </c>
      <c r="F4858" s="1">
        <v>3.1659118979003704</v>
      </c>
      <c r="G4858" s="1">
        <v>2.4319244310577304E-2</v>
      </c>
    </row>
    <row r="4859" spans="1:7">
      <c r="A4859">
        <v>313</v>
      </c>
      <c r="B4859">
        <v>114</v>
      </c>
      <c r="C4859" s="1">
        <f>(Tabela1[[#This Row],[x]]-H$3)*(Tabela1[[#This Row],[x]]-H$3) +(Tabela1[[#This Row],[y]]-H$4)*(Tabela1[[#This Row],[y]]-H$4)</f>
        <v>20165</v>
      </c>
      <c r="D4859" s="1">
        <f>IF(Tabela1[[#This Row],[promien]]&lt;40000,1,0)</f>
        <v>1</v>
      </c>
      <c r="E4859" s="1">
        <f>IF(Tabela1[[#This Row],[promien]]=40000,1,0)</f>
        <v>0</v>
      </c>
      <c r="F4859" s="1">
        <v>3.166083556287302</v>
      </c>
      <c r="G4859" s="1">
        <v>2.4490902697508865E-2</v>
      </c>
    </row>
    <row r="4860" spans="1:7">
      <c r="A4860">
        <v>338</v>
      </c>
      <c r="B4860">
        <v>236</v>
      </c>
      <c r="C4860" s="1">
        <f>(Tabela1[[#This Row],[x]]-H$3)*(Tabela1[[#This Row],[x]]-H$3) +(Tabela1[[#This Row],[y]]-H$4)*(Tabela1[[#This Row],[y]]-H$4)</f>
        <v>20340</v>
      </c>
      <c r="D4860" s="1">
        <f>IF(Tabela1[[#This Row],[promien]]&lt;40000,1,0)</f>
        <v>1</v>
      </c>
      <c r="E4860" s="1">
        <f>IF(Tabela1[[#This Row],[promien]]=40000,1,0)</f>
        <v>0</v>
      </c>
      <c r="F4860" s="1">
        <v>3.1662551440329216</v>
      </c>
      <c r="G4860" s="1">
        <v>2.4662490443128515E-2</v>
      </c>
    </row>
    <row r="4861" spans="1:7">
      <c r="A4861">
        <v>55</v>
      </c>
      <c r="B4861">
        <v>4</v>
      </c>
      <c r="C4861" s="1">
        <f>(Tabela1[[#This Row],[x]]-H$3)*(Tabela1[[#This Row],[x]]-H$3) +(Tabela1[[#This Row],[y]]-H$4)*(Tabela1[[#This Row],[y]]-H$4)</f>
        <v>59441</v>
      </c>
      <c r="D4861" s="1">
        <f>IF(Tabela1[[#This Row],[promien]]&lt;40000,1,0)</f>
        <v>0</v>
      </c>
      <c r="E4861" s="1">
        <f>IF(Tabela1[[#This Row],[promien]]=40000,1,0)</f>
        <v>0</v>
      </c>
      <c r="F4861" s="1">
        <v>3.1656037852293766</v>
      </c>
      <c r="G4861" s="1">
        <v>2.4011131639583461E-2</v>
      </c>
    </row>
    <row r="4862" spans="1:7">
      <c r="A4862">
        <v>295</v>
      </c>
      <c r="B4862">
        <v>15</v>
      </c>
      <c r="C4862" s="1">
        <f>(Tabela1[[#This Row],[x]]-H$3)*(Tabela1[[#This Row],[x]]-H$3) +(Tabela1[[#This Row],[y]]-H$4)*(Tabela1[[#This Row],[y]]-H$4)</f>
        <v>43250</v>
      </c>
      <c r="D4862" s="1">
        <f>IF(Tabela1[[#This Row],[promien]]&lt;40000,1,0)</f>
        <v>0</v>
      </c>
      <c r="E4862" s="1">
        <f>IF(Tabela1[[#This Row],[promien]]=40000,1,0)</f>
        <v>0</v>
      </c>
      <c r="F4862" s="1">
        <v>3.1649526943644593</v>
      </c>
      <c r="G4862" s="1">
        <v>2.3360040774666135E-2</v>
      </c>
    </row>
    <row r="4863" spans="1:7">
      <c r="A4863">
        <v>147</v>
      </c>
      <c r="B4863">
        <v>150</v>
      </c>
      <c r="C4863" s="1">
        <f>(Tabela1[[#This Row],[x]]-H$3)*(Tabela1[[#This Row],[x]]-H$3) +(Tabela1[[#This Row],[y]]-H$4)*(Tabela1[[#This Row],[y]]-H$4)</f>
        <v>5309</v>
      </c>
      <c r="D4863" s="1">
        <f>IF(Tabela1[[#This Row],[promien]]&lt;40000,1,0)</f>
        <v>1</v>
      </c>
      <c r="E4863" s="1">
        <f>IF(Tabela1[[#This Row],[promien]]=40000,1,0)</f>
        <v>0</v>
      </c>
      <c r="F4863" s="1">
        <v>3.1651244088011516</v>
      </c>
      <c r="G4863" s="1">
        <v>2.3531755211358529E-2</v>
      </c>
    </row>
    <row r="4864" spans="1:7">
      <c r="A4864">
        <v>213</v>
      </c>
      <c r="B4864">
        <v>104</v>
      </c>
      <c r="C4864" s="1">
        <f>(Tabela1[[#This Row],[x]]-H$3)*(Tabela1[[#This Row],[x]]-H$3) +(Tabela1[[#This Row],[y]]-H$4)*(Tabela1[[#This Row],[y]]-H$4)</f>
        <v>9385</v>
      </c>
      <c r="D4864" s="1">
        <f>IF(Tabela1[[#This Row],[promien]]&lt;40000,1,0)</f>
        <v>1</v>
      </c>
      <c r="E4864" s="1">
        <f>IF(Tabela1[[#This Row],[promien]]=40000,1,0)</f>
        <v>0</v>
      </c>
      <c r="F4864" s="1">
        <v>3.1652960526315788</v>
      </c>
      <c r="G4864" s="1">
        <v>2.3703399041785644E-2</v>
      </c>
    </row>
    <row r="4865" spans="1:7">
      <c r="A4865">
        <v>123</v>
      </c>
      <c r="B4865">
        <v>163</v>
      </c>
      <c r="C4865" s="1">
        <f>(Tabela1[[#This Row],[x]]-H$3)*(Tabela1[[#This Row],[x]]-H$3) +(Tabela1[[#This Row],[y]]-H$4)*(Tabela1[[#This Row],[y]]-H$4)</f>
        <v>7298</v>
      </c>
      <c r="D4865" s="1">
        <f>IF(Tabela1[[#This Row],[promien]]&lt;40000,1,0)</f>
        <v>1</v>
      </c>
      <c r="E4865" s="1">
        <f>IF(Tabela1[[#This Row],[promien]]=40000,1,0)</f>
        <v>0</v>
      </c>
      <c r="F4865" s="1">
        <v>3.1654676258992804</v>
      </c>
      <c r="G4865" s="1">
        <v>2.3874972309487319E-2</v>
      </c>
    </row>
    <row r="4866" spans="1:7">
      <c r="A4866">
        <v>40</v>
      </c>
      <c r="B4866">
        <v>216</v>
      </c>
      <c r="C4866" s="1">
        <f>(Tabela1[[#This Row],[x]]-H$3)*(Tabela1[[#This Row],[x]]-H$3) +(Tabela1[[#This Row],[y]]-H$4)*(Tabela1[[#This Row],[y]]-H$4)</f>
        <v>25856</v>
      </c>
      <c r="D4866" s="1">
        <f>IF(Tabela1[[#This Row],[promien]]&lt;40000,1,0)</f>
        <v>1</v>
      </c>
      <c r="E4866" s="1">
        <f>IF(Tabela1[[#This Row],[promien]]=40000,1,0)</f>
        <v>0</v>
      </c>
      <c r="F4866" s="1">
        <v>3.1656391286477601</v>
      </c>
      <c r="G4866" s="1">
        <v>2.4046475057966976E-2</v>
      </c>
    </row>
    <row r="4867" spans="1:7">
      <c r="A4867">
        <v>369</v>
      </c>
      <c r="B4867">
        <v>278</v>
      </c>
      <c r="C4867" s="1">
        <f>(Tabela1[[#This Row],[x]]-H$3)*(Tabela1[[#This Row],[x]]-H$3) +(Tabela1[[#This Row],[y]]-H$4)*(Tabela1[[#This Row],[y]]-H$4)</f>
        <v>34645</v>
      </c>
      <c r="D4867" s="1">
        <f>IF(Tabela1[[#This Row],[promien]]&lt;40000,1,0)</f>
        <v>1</v>
      </c>
      <c r="E4867" s="1">
        <f>IF(Tabela1[[#This Row],[promien]]=40000,1,0)</f>
        <v>0</v>
      </c>
      <c r="F4867" s="1">
        <v>3.1658105609204847</v>
      </c>
      <c r="G4867" s="1">
        <v>2.4217907330691624E-2</v>
      </c>
    </row>
    <row r="4868" spans="1:7">
      <c r="A4868">
        <v>367</v>
      </c>
      <c r="B4868">
        <v>281</v>
      </c>
      <c r="C4868" s="1">
        <f>(Tabela1[[#This Row],[x]]-H$3)*(Tabela1[[#This Row],[x]]-H$3) +(Tabela1[[#This Row],[y]]-H$4)*(Tabela1[[#This Row],[y]]-H$4)</f>
        <v>34450</v>
      </c>
      <c r="D4868" s="1">
        <f>IF(Tabela1[[#This Row],[promien]]&lt;40000,1,0)</f>
        <v>1</v>
      </c>
      <c r="E4868" s="1">
        <f>IF(Tabela1[[#This Row],[promien]]=40000,1,0)</f>
        <v>0</v>
      </c>
      <c r="F4868" s="1">
        <v>3.1659819227608876</v>
      </c>
      <c r="G4868" s="1">
        <v>2.4389269171094519E-2</v>
      </c>
    </row>
    <row r="4869" spans="1:7">
      <c r="A4869">
        <v>234</v>
      </c>
      <c r="B4869">
        <v>245</v>
      </c>
      <c r="C4869" s="1">
        <f>(Tabela1[[#This Row],[x]]-H$3)*(Tabela1[[#This Row],[x]]-H$3) +(Tabela1[[#This Row],[y]]-H$4)*(Tabela1[[#This Row],[y]]-H$4)</f>
        <v>3181</v>
      </c>
      <c r="D4869" s="1">
        <f>IF(Tabela1[[#This Row],[promien]]&lt;40000,1,0)</f>
        <v>1</v>
      </c>
      <c r="E4869" s="1">
        <f>IF(Tabela1[[#This Row],[promien]]=40000,1,0)</f>
        <v>0</v>
      </c>
      <c r="F4869" s="1">
        <v>3.1661532142123638</v>
      </c>
      <c r="G4869" s="1">
        <v>2.4560560622570726E-2</v>
      </c>
    </row>
    <row r="4870" spans="1:7">
      <c r="A4870">
        <v>330</v>
      </c>
      <c r="B4870">
        <v>232</v>
      </c>
      <c r="C4870" s="1">
        <f>(Tabela1[[#This Row],[x]]-H$3)*(Tabela1[[#This Row],[x]]-H$3) +(Tabela1[[#This Row],[y]]-H$4)*(Tabela1[[#This Row],[y]]-H$4)</f>
        <v>17924</v>
      </c>
      <c r="D4870" s="1">
        <f>IF(Tabela1[[#This Row],[promien]]&lt;40000,1,0)</f>
        <v>1</v>
      </c>
      <c r="E4870" s="1">
        <f>IF(Tabela1[[#This Row],[promien]]=40000,1,0)</f>
        <v>0</v>
      </c>
      <c r="F4870" s="1">
        <v>3.1663244353182751</v>
      </c>
      <c r="G4870" s="1">
        <v>2.4731781728482005E-2</v>
      </c>
    </row>
    <row r="4871" spans="1:7">
      <c r="A4871">
        <v>103</v>
      </c>
      <c r="B4871">
        <v>255</v>
      </c>
      <c r="C4871" s="1">
        <f>(Tabela1[[#This Row],[x]]-H$3)*(Tabela1[[#This Row],[x]]-H$3) +(Tabela1[[#This Row],[y]]-H$4)*(Tabela1[[#This Row],[y]]-H$4)</f>
        <v>12434</v>
      </c>
      <c r="D4871" s="1">
        <f>IF(Tabela1[[#This Row],[promien]]&lt;40000,1,0)</f>
        <v>1</v>
      </c>
      <c r="E4871" s="1">
        <f>IF(Tabela1[[#This Row],[promien]]=40000,1,0)</f>
        <v>0</v>
      </c>
      <c r="F4871" s="1">
        <v>3.1664955861219464</v>
      </c>
      <c r="G4871" s="1">
        <v>2.4902932532153255E-2</v>
      </c>
    </row>
    <row r="4872" spans="1:7">
      <c r="A4872">
        <v>92</v>
      </c>
      <c r="B4872">
        <v>330</v>
      </c>
      <c r="C4872" s="1">
        <f>(Tabela1[[#This Row],[x]]-H$3)*(Tabela1[[#This Row],[x]]-H$3) +(Tabela1[[#This Row],[y]]-H$4)*(Tabela1[[#This Row],[y]]-H$4)</f>
        <v>28564</v>
      </c>
      <c r="D4872" s="1">
        <f>IF(Tabela1[[#This Row],[promien]]&lt;40000,1,0)</f>
        <v>1</v>
      </c>
      <c r="E4872" s="1">
        <f>IF(Tabela1[[#This Row],[promien]]=40000,1,0)</f>
        <v>0</v>
      </c>
      <c r="F4872" s="1">
        <v>3.1666666666666665</v>
      </c>
      <c r="G4872" s="1">
        <v>2.5074013076873403E-2</v>
      </c>
    </row>
    <row r="4873" spans="1:7">
      <c r="A4873">
        <v>290</v>
      </c>
      <c r="B4873">
        <v>339</v>
      </c>
      <c r="C4873" s="1">
        <f>(Tabela1[[#This Row],[x]]-H$3)*(Tabela1[[#This Row],[x]]-H$3) +(Tabela1[[#This Row],[y]]-H$4)*(Tabela1[[#This Row],[y]]-H$4)</f>
        <v>27421</v>
      </c>
      <c r="D4873" s="1">
        <f>IF(Tabela1[[#This Row],[promien]]&lt;40000,1,0)</f>
        <v>1</v>
      </c>
      <c r="E4873" s="1">
        <f>IF(Tabela1[[#This Row],[promien]]=40000,1,0)</f>
        <v>0</v>
      </c>
      <c r="F4873" s="1">
        <v>3.1668376769956907</v>
      </c>
      <c r="G4873" s="1">
        <v>2.5245023405897626E-2</v>
      </c>
    </row>
    <row r="4874" spans="1:7">
      <c r="A4874">
        <v>329</v>
      </c>
      <c r="B4874">
        <v>152</v>
      </c>
      <c r="C4874" s="1">
        <f>(Tabela1[[#This Row],[x]]-H$3)*(Tabela1[[#This Row],[x]]-H$3) +(Tabela1[[#This Row],[y]]-H$4)*(Tabela1[[#This Row],[y]]-H$4)</f>
        <v>18945</v>
      </c>
      <c r="D4874" s="1">
        <f>IF(Tabela1[[#This Row],[promien]]&lt;40000,1,0)</f>
        <v>1</v>
      </c>
      <c r="E4874" s="1">
        <f>IF(Tabela1[[#This Row],[promien]]=40000,1,0)</f>
        <v>0</v>
      </c>
      <c r="F4874" s="1">
        <v>3.1670086171522365</v>
      </c>
      <c r="G4874" s="1">
        <v>2.5415963562443356E-2</v>
      </c>
    </row>
    <row r="4875" spans="1:7">
      <c r="A4875">
        <v>79</v>
      </c>
      <c r="B4875">
        <v>346</v>
      </c>
      <c r="C4875" s="1">
        <f>(Tabela1[[#This Row],[x]]-H$3)*(Tabela1[[#This Row],[x]]-H$3) +(Tabela1[[#This Row],[y]]-H$4)*(Tabela1[[#This Row],[y]]-H$4)</f>
        <v>35957</v>
      </c>
      <c r="D4875" s="1">
        <f>IF(Tabela1[[#This Row],[promien]]&lt;40000,1,0)</f>
        <v>1</v>
      </c>
      <c r="E4875" s="1">
        <f>IF(Tabela1[[#This Row],[promien]]=40000,1,0)</f>
        <v>0</v>
      </c>
      <c r="F4875" s="1">
        <v>3.1671794871794874</v>
      </c>
      <c r="G4875" s="1">
        <v>2.5586833589694269E-2</v>
      </c>
    </row>
    <row r="4876" spans="1:7">
      <c r="A4876">
        <v>109</v>
      </c>
      <c r="B4876">
        <v>139</v>
      </c>
      <c r="C4876" s="1">
        <f>(Tabela1[[#This Row],[x]]-H$3)*(Tabela1[[#This Row],[x]]-H$3) +(Tabela1[[#This Row],[y]]-H$4)*(Tabela1[[#This Row],[y]]-H$4)</f>
        <v>12002</v>
      </c>
      <c r="D4876" s="1">
        <f>IF(Tabela1[[#This Row],[promien]]&lt;40000,1,0)</f>
        <v>1</v>
      </c>
      <c r="E4876" s="1">
        <f>IF(Tabela1[[#This Row],[promien]]=40000,1,0)</f>
        <v>0</v>
      </c>
      <c r="F4876" s="1">
        <v>3.1673502871205907</v>
      </c>
      <c r="G4876" s="1">
        <v>2.575763353079763E-2</v>
      </c>
    </row>
    <row r="4877" spans="1:7">
      <c r="A4877">
        <v>314</v>
      </c>
      <c r="B4877">
        <v>277</v>
      </c>
      <c r="C4877" s="1">
        <f>(Tabela1[[#This Row],[x]]-H$3)*(Tabela1[[#This Row],[x]]-H$3) +(Tabela1[[#This Row],[y]]-H$4)*(Tabela1[[#This Row],[y]]-H$4)</f>
        <v>18925</v>
      </c>
      <c r="D4877" s="1">
        <f>IF(Tabela1[[#This Row],[promien]]&lt;40000,1,0)</f>
        <v>1</v>
      </c>
      <c r="E4877" s="1">
        <f>IF(Tabela1[[#This Row],[promien]]=40000,1,0)</f>
        <v>0</v>
      </c>
      <c r="F4877" s="1">
        <v>3.1675210170186592</v>
      </c>
      <c r="G4877" s="1">
        <v>2.5928363428866064E-2</v>
      </c>
    </row>
    <row r="4878" spans="1:7">
      <c r="A4878">
        <v>32</v>
      </c>
      <c r="B4878">
        <v>116</v>
      </c>
      <c r="C4878" s="1">
        <f>(Tabela1[[#This Row],[x]]-H$3)*(Tabela1[[#This Row],[x]]-H$3) +(Tabela1[[#This Row],[y]]-H$4)*(Tabela1[[#This Row],[y]]-H$4)</f>
        <v>35280</v>
      </c>
      <c r="D4878" s="1">
        <f>IF(Tabela1[[#This Row],[promien]]&lt;40000,1,0)</f>
        <v>1</v>
      </c>
      <c r="E4878" s="1">
        <f>IF(Tabela1[[#This Row],[promien]]=40000,1,0)</f>
        <v>0</v>
      </c>
      <c r="F4878" s="1">
        <v>3.1676916769167693</v>
      </c>
      <c r="G4878" s="1">
        <v>2.6099023326976223E-2</v>
      </c>
    </row>
    <row r="4879" spans="1:7">
      <c r="A4879">
        <v>109</v>
      </c>
      <c r="B4879">
        <v>126</v>
      </c>
      <c r="C4879" s="1">
        <f>(Tabela1[[#This Row],[x]]-H$3)*(Tabela1[[#This Row],[x]]-H$3) +(Tabela1[[#This Row],[y]]-H$4)*(Tabela1[[#This Row],[y]]-H$4)</f>
        <v>13757</v>
      </c>
      <c r="D4879" s="1">
        <f>IF(Tabela1[[#This Row],[promien]]&lt;40000,1,0)</f>
        <v>1</v>
      </c>
      <c r="E4879" s="1">
        <f>IF(Tabela1[[#This Row],[promien]]=40000,1,0)</f>
        <v>0</v>
      </c>
      <c r="F4879" s="1">
        <v>3.1678622668579628</v>
      </c>
      <c r="G4879" s="1">
        <v>2.6269613268169678E-2</v>
      </c>
    </row>
    <row r="4880" spans="1:7">
      <c r="A4880">
        <v>326</v>
      </c>
      <c r="B4880">
        <v>53</v>
      </c>
      <c r="C4880" s="1">
        <f>(Tabela1[[#This Row],[x]]-H$3)*(Tabela1[[#This Row],[x]]-H$3) +(Tabela1[[#This Row],[y]]-H$4)*(Tabela1[[#This Row],[y]]-H$4)</f>
        <v>37485</v>
      </c>
      <c r="D4880" s="1">
        <f>IF(Tabela1[[#This Row],[promien]]&lt;40000,1,0)</f>
        <v>1</v>
      </c>
      <c r="E4880" s="1">
        <f>IF(Tabela1[[#This Row],[promien]]=40000,1,0)</f>
        <v>0</v>
      </c>
      <c r="F4880" s="1">
        <v>3.168032786885246</v>
      </c>
      <c r="G4880" s="1">
        <v>2.6440133295452917E-2</v>
      </c>
    </row>
    <row r="4881" spans="1:7">
      <c r="A4881">
        <v>313</v>
      </c>
      <c r="B4881">
        <v>171</v>
      </c>
      <c r="C4881" s="1">
        <f>(Tabela1[[#This Row],[x]]-H$3)*(Tabela1[[#This Row],[x]]-H$3) +(Tabela1[[#This Row],[y]]-H$4)*(Tabela1[[#This Row],[y]]-H$4)</f>
        <v>13610</v>
      </c>
      <c r="D4881" s="1">
        <f>IF(Tabela1[[#This Row],[promien]]&lt;40000,1,0)</f>
        <v>1</v>
      </c>
      <c r="E4881" s="1">
        <f>IF(Tabela1[[#This Row],[promien]]=40000,1,0)</f>
        <v>0</v>
      </c>
      <c r="F4881" s="1">
        <v>3.16820323704159</v>
      </c>
      <c r="G4881" s="1">
        <v>2.6610583451796899E-2</v>
      </c>
    </row>
    <row r="4882" spans="1:7">
      <c r="A4882">
        <v>312</v>
      </c>
      <c r="B4882">
        <v>308</v>
      </c>
      <c r="C4882" s="1">
        <f>(Tabela1[[#This Row],[x]]-H$3)*(Tabela1[[#This Row],[x]]-H$3) +(Tabela1[[#This Row],[y]]-H$4)*(Tabela1[[#This Row],[y]]-H$4)</f>
        <v>24208</v>
      </c>
      <c r="D4882" s="1">
        <f>IF(Tabela1[[#This Row],[promien]]&lt;40000,1,0)</f>
        <v>1</v>
      </c>
      <c r="E4882" s="1">
        <f>IF(Tabela1[[#This Row],[promien]]=40000,1,0)</f>
        <v>0</v>
      </c>
      <c r="F4882" s="1">
        <v>3.1683736173699302</v>
      </c>
      <c r="G4882" s="1">
        <v>2.6780963780137057E-2</v>
      </c>
    </row>
    <row r="4883" spans="1:7">
      <c r="A4883">
        <v>32</v>
      </c>
      <c r="B4883">
        <v>219</v>
      </c>
      <c r="C4883" s="1">
        <f>(Tabela1[[#This Row],[x]]-H$3)*(Tabela1[[#This Row],[x]]-H$3) +(Tabela1[[#This Row],[y]]-H$4)*(Tabela1[[#This Row],[y]]-H$4)</f>
        <v>28585</v>
      </c>
      <c r="D4883" s="1">
        <f>IF(Tabela1[[#This Row],[promien]]&lt;40000,1,0)</f>
        <v>1</v>
      </c>
      <c r="E4883" s="1">
        <f>IF(Tabela1[[#This Row],[promien]]=40000,1,0)</f>
        <v>0</v>
      </c>
      <c r="F4883" s="1">
        <v>3.1685439279131682</v>
      </c>
      <c r="G4883" s="1">
        <v>2.6951274323375074E-2</v>
      </c>
    </row>
    <row r="4884" spans="1:7">
      <c r="A4884">
        <v>191</v>
      </c>
      <c r="B4884">
        <v>9</v>
      </c>
      <c r="C4884" s="1">
        <f>(Tabela1[[#This Row],[x]]-H$3)*(Tabela1[[#This Row],[x]]-H$3) +(Tabela1[[#This Row],[y]]-H$4)*(Tabela1[[#This Row],[y]]-H$4)</f>
        <v>36562</v>
      </c>
      <c r="D4884" s="1">
        <f>IF(Tabela1[[#This Row],[promien]]&lt;40000,1,0)</f>
        <v>1</v>
      </c>
      <c r="E4884" s="1">
        <f>IF(Tabela1[[#This Row],[promien]]=40000,1,0)</f>
        <v>0</v>
      </c>
      <c r="F4884" s="1">
        <v>3.1687141687141689</v>
      </c>
      <c r="G4884" s="1">
        <v>2.7121515124375772E-2</v>
      </c>
    </row>
    <row r="4885" spans="1:7">
      <c r="A4885">
        <v>96</v>
      </c>
      <c r="B4885">
        <v>77</v>
      </c>
      <c r="C4885" s="1">
        <f>(Tabela1[[#This Row],[x]]-H$3)*(Tabela1[[#This Row],[x]]-H$3) +(Tabela1[[#This Row],[y]]-H$4)*(Tabela1[[#This Row],[y]]-H$4)</f>
        <v>25945</v>
      </c>
      <c r="D4885" s="1">
        <f>IF(Tabela1[[#This Row],[promien]]&lt;40000,1,0)</f>
        <v>1</v>
      </c>
      <c r="E4885" s="1">
        <f>IF(Tabela1[[#This Row],[promien]]=40000,1,0)</f>
        <v>0</v>
      </c>
      <c r="F4885" s="1">
        <v>3.1688843398157625</v>
      </c>
      <c r="G4885" s="1">
        <v>2.7291686225969336E-2</v>
      </c>
    </row>
    <row r="4886" spans="1:7">
      <c r="A4886">
        <v>259</v>
      </c>
      <c r="B4886">
        <v>177</v>
      </c>
      <c r="C4886" s="1">
        <f>(Tabela1[[#This Row],[x]]-H$3)*(Tabela1[[#This Row],[x]]-H$3) +(Tabela1[[#This Row],[y]]-H$4)*(Tabela1[[#This Row],[y]]-H$4)</f>
        <v>4010</v>
      </c>
      <c r="D4886" s="1">
        <f>IF(Tabela1[[#This Row],[promien]]&lt;40000,1,0)</f>
        <v>1</v>
      </c>
      <c r="E4886" s="1">
        <f>IF(Tabela1[[#This Row],[promien]]=40000,1,0)</f>
        <v>0</v>
      </c>
      <c r="F4886" s="1">
        <v>3.1690544412607449</v>
      </c>
      <c r="G4886" s="1">
        <v>2.7461787670951754E-2</v>
      </c>
    </row>
    <row r="4887" spans="1:7">
      <c r="A4887">
        <v>64</v>
      </c>
      <c r="B4887">
        <v>366</v>
      </c>
      <c r="C4887" s="1">
        <f>(Tabela1[[#This Row],[x]]-H$3)*(Tabela1[[#This Row],[x]]-H$3) +(Tabela1[[#This Row],[y]]-H$4)*(Tabela1[[#This Row],[y]]-H$4)</f>
        <v>46052</v>
      </c>
      <c r="D4887" s="1">
        <f>IF(Tabela1[[#This Row],[promien]]&lt;40000,1,0)</f>
        <v>0</v>
      </c>
      <c r="E4887" s="1">
        <f>IF(Tabela1[[#This Row],[promien]]=40000,1,0)</f>
        <v>0</v>
      </c>
      <c r="F4887" s="1">
        <v>3.1684059750358093</v>
      </c>
      <c r="G4887" s="1">
        <v>2.6813321446016225E-2</v>
      </c>
    </row>
    <row r="4888" spans="1:7">
      <c r="A4888">
        <v>284</v>
      </c>
      <c r="B4888">
        <v>323</v>
      </c>
      <c r="C4888" s="1">
        <f>(Tabela1[[#This Row],[x]]-H$3)*(Tabela1[[#This Row],[x]]-H$3) +(Tabela1[[#This Row],[y]]-H$4)*(Tabela1[[#This Row],[y]]-H$4)</f>
        <v>22185</v>
      </c>
      <c r="D4888" s="1">
        <f>IF(Tabela1[[#This Row],[promien]]&lt;40000,1,0)</f>
        <v>1</v>
      </c>
      <c r="E4888" s="1">
        <f>IF(Tabela1[[#This Row],[promien]]=40000,1,0)</f>
        <v>0</v>
      </c>
      <c r="F4888" s="1">
        <v>3.1685761047463177</v>
      </c>
      <c r="G4888" s="1">
        <v>2.6983451156524563E-2</v>
      </c>
    </row>
    <row r="4889" spans="1:7">
      <c r="A4889">
        <v>82</v>
      </c>
      <c r="B4889">
        <v>347</v>
      </c>
      <c r="C4889" s="1">
        <f>(Tabela1[[#This Row],[x]]-H$3)*(Tabela1[[#This Row],[x]]-H$3) +(Tabela1[[#This Row],[y]]-H$4)*(Tabela1[[#This Row],[y]]-H$4)</f>
        <v>35533</v>
      </c>
      <c r="D4889" s="1">
        <f>IF(Tabela1[[#This Row],[promien]]&lt;40000,1,0)</f>
        <v>1</v>
      </c>
      <c r="E4889" s="1">
        <f>IF(Tabela1[[#This Row],[promien]]=40000,1,0)</f>
        <v>0</v>
      </c>
      <c r="F4889" s="1">
        <v>3.1687461648598894</v>
      </c>
      <c r="G4889" s="1">
        <v>2.7153511270096242E-2</v>
      </c>
    </row>
    <row r="4890" spans="1:7">
      <c r="A4890">
        <v>324</v>
      </c>
      <c r="B4890">
        <v>318</v>
      </c>
      <c r="C4890" s="1">
        <f>(Tabela1[[#This Row],[x]]-H$3)*(Tabela1[[#This Row],[x]]-H$3) +(Tabela1[[#This Row],[y]]-H$4)*(Tabela1[[#This Row],[y]]-H$4)</f>
        <v>29300</v>
      </c>
      <c r="D4890" s="1">
        <f>IF(Tabela1[[#This Row],[promien]]&lt;40000,1,0)</f>
        <v>1</v>
      </c>
      <c r="E4890" s="1">
        <f>IF(Tabela1[[#This Row],[promien]]=40000,1,0)</f>
        <v>0</v>
      </c>
      <c r="F4890" s="1">
        <v>3.1689161554192231</v>
      </c>
      <c r="G4890" s="1">
        <v>2.7323501829429997E-2</v>
      </c>
    </row>
    <row r="4891" spans="1:7">
      <c r="A4891">
        <v>342</v>
      </c>
      <c r="B4891">
        <v>391</v>
      </c>
      <c r="C4891" s="1">
        <f>(Tabela1[[#This Row],[x]]-H$3)*(Tabela1[[#This Row],[x]]-H$3) +(Tabela1[[#This Row],[y]]-H$4)*(Tabela1[[#This Row],[y]]-H$4)</f>
        <v>56645</v>
      </c>
      <c r="D4891" s="1">
        <f>IF(Tabela1[[#This Row],[promien]]&lt;40000,1,0)</f>
        <v>0</v>
      </c>
      <c r="E4891" s="1">
        <f>IF(Tabela1[[#This Row],[promien]]=40000,1,0)</f>
        <v>0</v>
      </c>
      <c r="F4891" s="1">
        <v>3.1682682478020854</v>
      </c>
      <c r="G4891" s="1">
        <v>2.6675594212292264E-2</v>
      </c>
    </row>
    <row r="4892" spans="1:7">
      <c r="A4892">
        <v>186</v>
      </c>
      <c r="B4892">
        <v>309</v>
      </c>
      <c r="C4892" s="1">
        <f>(Tabela1[[#This Row],[x]]-H$3)*(Tabela1[[#This Row],[x]]-H$3) +(Tabela1[[#This Row],[y]]-H$4)*(Tabela1[[#This Row],[y]]-H$4)</f>
        <v>12077</v>
      </c>
      <c r="D4892" s="1">
        <f>IF(Tabela1[[#This Row],[promien]]&lt;40000,1,0)</f>
        <v>1</v>
      </c>
      <c r="E4892" s="1">
        <f>IF(Tabela1[[#This Row],[promien]]=40000,1,0)</f>
        <v>0</v>
      </c>
      <c r="F4892" s="1">
        <v>3.1684382665576449</v>
      </c>
      <c r="G4892" s="1">
        <v>2.6845612967851817E-2</v>
      </c>
    </row>
    <row r="4893" spans="1:7">
      <c r="A4893">
        <v>174</v>
      </c>
      <c r="B4893">
        <v>83</v>
      </c>
      <c r="C4893" s="1">
        <f>(Tabela1[[#This Row],[x]]-H$3)*(Tabela1[[#This Row],[x]]-H$3) +(Tabela1[[#This Row],[y]]-H$4)*(Tabela1[[#This Row],[y]]-H$4)</f>
        <v>14365</v>
      </c>
      <c r="D4893" s="1">
        <f>IF(Tabela1[[#This Row],[promien]]&lt;40000,1,0)</f>
        <v>1</v>
      </c>
      <c r="E4893" s="1">
        <f>IF(Tabela1[[#This Row],[promien]]=40000,1,0)</f>
        <v>0</v>
      </c>
      <c r="F4893" s="1">
        <v>3.1686082158185163</v>
      </c>
      <c r="G4893" s="1">
        <v>2.7015562228723145E-2</v>
      </c>
    </row>
    <row r="4894" spans="1:7">
      <c r="A4894">
        <v>85</v>
      </c>
      <c r="B4894">
        <v>47</v>
      </c>
      <c r="C4894" s="1">
        <f>(Tabela1[[#This Row],[x]]-H$3)*(Tabela1[[#This Row],[x]]-H$3) +(Tabela1[[#This Row],[y]]-H$4)*(Tabela1[[#This Row],[y]]-H$4)</f>
        <v>36634</v>
      </c>
      <c r="D4894" s="1">
        <f>IF(Tabela1[[#This Row],[promien]]&lt;40000,1,0)</f>
        <v>1</v>
      </c>
      <c r="E4894" s="1">
        <f>IF(Tabela1[[#This Row],[promien]]=40000,1,0)</f>
        <v>0</v>
      </c>
      <c r="F4894" s="1">
        <v>3.1687780956272986</v>
      </c>
      <c r="G4894" s="1">
        <v>2.7185442037505503E-2</v>
      </c>
    </row>
    <row r="4895" spans="1:7">
      <c r="A4895">
        <v>369</v>
      </c>
      <c r="B4895">
        <v>7</v>
      </c>
      <c r="C4895" s="1">
        <f>(Tabela1[[#This Row],[x]]-H$3)*(Tabela1[[#This Row],[x]]-H$3) +(Tabela1[[#This Row],[y]]-H$4)*(Tabela1[[#This Row],[y]]-H$4)</f>
        <v>65810</v>
      </c>
      <c r="D4895" s="1">
        <f>IF(Tabela1[[#This Row],[promien]]&lt;40000,1,0)</f>
        <v>0</v>
      </c>
      <c r="E4895" s="1">
        <f>IF(Tabela1[[#This Row],[promien]]=40000,1,0)</f>
        <v>0</v>
      </c>
      <c r="F4895" s="1">
        <v>3.1681307456588357</v>
      </c>
      <c r="G4895" s="1">
        <v>2.6538092069042563E-2</v>
      </c>
    </row>
    <row r="4896" spans="1:7">
      <c r="A4896">
        <v>133</v>
      </c>
      <c r="B4896">
        <v>140</v>
      </c>
      <c r="C4896" s="1">
        <f>(Tabela1[[#This Row],[x]]-H$3)*(Tabela1[[#This Row],[x]]-H$3) +(Tabela1[[#This Row],[y]]-H$4)*(Tabela1[[#This Row],[y]]-H$4)</f>
        <v>8089</v>
      </c>
      <c r="D4896" s="1">
        <f>IF(Tabela1[[#This Row],[promien]]&lt;40000,1,0)</f>
        <v>1</v>
      </c>
      <c r="E4896" s="1">
        <f>IF(Tabela1[[#This Row],[promien]]=40000,1,0)</f>
        <v>0</v>
      </c>
      <c r="F4896" s="1">
        <v>3.1683006535947711</v>
      </c>
      <c r="G4896" s="1">
        <v>2.6708000004977972E-2</v>
      </c>
    </row>
    <row r="4897" spans="1:7">
      <c r="A4897">
        <v>344</v>
      </c>
      <c r="B4897">
        <v>172</v>
      </c>
      <c r="C4897" s="1">
        <f>(Tabela1[[#This Row],[x]]-H$3)*(Tabela1[[#This Row],[x]]-H$3) +(Tabela1[[#This Row],[y]]-H$4)*(Tabela1[[#This Row],[y]]-H$4)</f>
        <v>21520</v>
      </c>
      <c r="D4897" s="1">
        <f>IF(Tabela1[[#This Row],[promien]]&lt;40000,1,0)</f>
        <v>1</v>
      </c>
      <c r="E4897" s="1">
        <f>IF(Tabela1[[#This Row],[promien]]=40000,1,0)</f>
        <v>0</v>
      </c>
      <c r="F4897" s="1">
        <v>3.1684704921380438</v>
      </c>
      <c r="G4897" s="1">
        <v>2.6877838548250654E-2</v>
      </c>
    </row>
    <row r="4898" spans="1:7">
      <c r="A4898">
        <v>28</v>
      </c>
      <c r="B4898">
        <v>142</v>
      </c>
      <c r="C4898" s="1">
        <f>(Tabela1[[#This Row],[x]]-H$3)*(Tabela1[[#This Row],[x]]-H$3) +(Tabela1[[#This Row],[y]]-H$4)*(Tabela1[[#This Row],[y]]-H$4)</f>
        <v>32948</v>
      </c>
      <c r="D4898" s="1">
        <f>IF(Tabela1[[#This Row],[promien]]&lt;40000,1,0)</f>
        <v>1</v>
      </c>
      <c r="E4898" s="1">
        <f>IF(Tabela1[[#This Row],[promien]]=40000,1,0)</f>
        <v>0</v>
      </c>
      <c r="F4898" s="1">
        <v>3.1686402613311557</v>
      </c>
      <c r="G4898" s="1">
        <v>2.7047607741362611E-2</v>
      </c>
    </row>
    <row r="4899" spans="1:7">
      <c r="A4899">
        <v>224</v>
      </c>
      <c r="B4899">
        <v>68</v>
      </c>
      <c r="C4899" s="1">
        <f>(Tabela1[[#This Row],[x]]-H$3)*(Tabela1[[#This Row],[x]]-H$3) +(Tabela1[[#This Row],[y]]-H$4)*(Tabela1[[#This Row],[y]]-H$4)</f>
        <v>18000</v>
      </c>
      <c r="D4899" s="1">
        <f>IF(Tabela1[[#This Row],[promien]]&lt;40000,1,0)</f>
        <v>1</v>
      </c>
      <c r="E4899" s="1">
        <f>IF(Tabela1[[#This Row],[promien]]=40000,1,0)</f>
        <v>0</v>
      </c>
      <c r="F4899" s="1">
        <v>3.1688099612165748</v>
      </c>
      <c r="G4899" s="1">
        <v>2.721730762678165E-2</v>
      </c>
    </row>
    <row r="4900" spans="1:7">
      <c r="A4900">
        <v>253</v>
      </c>
      <c r="B4900">
        <v>362</v>
      </c>
      <c r="C4900" s="1">
        <f>(Tabela1[[#This Row],[x]]-H$3)*(Tabela1[[#This Row],[x]]-H$3) +(Tabela1[[#This Row],[y]]-H$4)*(Tabela1[[#This Row],[y]]-H$4)</f>
        <v>29053</v>
      </c>
      <c r="D4900" s="1">
        <f>IF(Tabela1[[#This Row],[promien]]&lt;40000,1,0)</f>
        <v>1</v>
      </c>
      <c r="E4900" s="1">
        <f>IF(Tabela1[[#This Row],[promien]]=40000,1,0)</f>
        <v>0</v>
      </c>
      <c r="F4900" s="1">
        <v>3.1689795918367345</v>
      </c>
      <c r="G4900" s="1">
        <v>2.7386938246941384E-2</v>
      </c>
    </row>
    <row r="4901" spans="1:7">
      <c r="A4901">
        <v>35</v>
      </c>
      <c r="B4901">
        <v>377</v>
      </c>
      <c r="C4901" s="1">
        <f>(Tabela1[[#This Row],[x]]-H$3)*(Tabela1[[#This Row],[x]]-H$3) +(Tabela1[[#This Row],[y]]-H$4)*(Tabela1[[#This Row],[y]]-H$4)</f>
        <v>58554</v>
      </c>
      <c r="D4901" s="1">
        <f>IF(Tabela1[[#This Row],[promien]]&lt;40000,1,0)</f>
        <v>0</v>
      </c>
      <c r="E4901" s="1">
        <f>IF(Tabela1[[#This Row],[promien]]=40000,1,0)</f>
        <v>0</v>
      </c>
      <c r="F4901" s="1">
        <v>3.1683329932666804</v>
      </c>
      <c r="G4901" s="1">
        <v>2.674033967688727E-2</v>
      </c>
    </row>
    <row r="4902" spans="1:7">
      <c r="A4902">
        <v>238</v>
      </c>
      <c r="B4902">
        <v>62</v>
      </c>
      <c r="C4902" s="1">
        <f>(Tabela1[[#This Row],[x]]-H$3)*(Tabela1[[#This Row],[x]]-H$3) +(Tabela1[[#This Row],[y]]-H$4)*(Tabela1[[#This Row],[y]]-H$4)</f>
        <v>20488</v>
      </c>
      <c r="D4902" s="1">
        <f>IF(Tabela1[[#This Row],[promien]]&lt;40000,1,0)</f>
        <v>1</v>
      </c>
      <c r="E4902" s="1">
        <f>IF(Tabela1[[#This Row],[promien]]=40000,1,0)</f>
        <v>0</v>
      </c>
      <c r="F4902" s="1">
        <v>3.168502651978784</v>
      </c>
      <c r="G4902" s="1">
        <v>2.6909998388990886E-2</v>
      </c>
    </row>
    <row r="4903" spans="1:7">
      <c r="A4903">
        <v>45</v>
      </c>
      <c r="B4903">
        <v>362</v>
      </c>
      <c r="C4903" s="1">
        <f>(Tabela1[[#This Row],[x]]-H$3)*(Tabela1[[#This Row],[x]]-H$3) +(Tabela1[[#This Row],[y]]-H$4)*(Tabela1[[#This Row],[y]]-H$4)</f>
        <v>50269</v>
      </c>
      <c r="D4903" s="1">
        <f>IF(Tabela1[[#This Row],[promien]]&lt;40000,1,0)</f>
        <v>0</v>
      </c>
      <c r="E4903" s="1">
        <f>IF(Tabela1[[#This Row],[promien]]=40000,1,0)</f>
        <v>0</v>
      </c>
      <c r="F4903" s="1">
        <v>3.1678564144401387</v>
      </c>
      <c r="G4903" s="1">
        <v>2.6263760850345541E-2</v>
      </c>
    </row>
    <row r="4904" spans="1:7">
      <c r="A4904">
        <v>198</v>
      </c>
      <c r="B4904">
        <v>87</v>
      </c>
      <c r="C4904" s="1">
        <f>(Tabela1[[#This Row],[x]]-H$3)*(Tabela1[[#This Row],[x]]-H$3) +(Tabela1[[#This Row],[y]]-H$4)*(Tabela1[[#This Row],[y]]-H$4)</f>
        <v>12773</v>
      </c>
      <c r="D4904" s="1">
        <f>IF(Tabela1[[#This Row],[promien]]&lt;40000,1,0)</f>
        <v>1</v>
      </c>
      <c r="E4904" s="1">
        <f>IF(Tabela1[[#This Row],[promien]]=40000,1,0)</f>
        <v>0</v>
      </c>
      <c r="F4904" s="1">
        <v>3.1680261011419248</v>
      </c>
      <c r="G4904" s="1">
        <v>2.6433447552131728E-2</v>
      </c>
    </row>
    <row r="4905" spans="1:7">
      <c r="A4905">
        <v>204</v>
      </c>
      <c r="B4905">
        <v>372</v>
      </c>
      <c r="C4905" s="1">
        <f>(Tabela1[[#This Row],[x]]-H$3)*(Tabela1[[#This Row],[x]]-H$3) +(Tabela1[[#This Row],[y]]-H$4)*(Tabela1[[#This Row],[y]]-H$4)</f>
        <v>29600</v>
      </c>
      <c r="D4905" s="1">
        <f>IF(Tabela1[[#This Row],[promien]]&lt;40000,1,0)</f>
        <v>1</v>
      </c>
      <c r="E4905" s="1">
        <f>IF(Tabela1[[#This Row],[promien]]=40000,1,0)</f>
        <v>0</v>
      </c>
      <c r="F4905" s="1">
        <v>3.1681957186544341</v>
      </c>
      <c r="G4905" s="1">
        <v>2.6603065064640941E-2</v>
      </c>
    </row>
    <row r="4906" spans="1:7">
      <c r="A4906">
        <v>208</v>
      </c>
      <c r="B4906">
        <v>56</v>
      </c>
      <c r="C4906" s="1">
        <f>(Tabela1[[#This Row],[x]]-H$3)*(Tabela1[[#This Row],[x]]-H$3) +(Tabela1[[#This Row],[y]]-H$4)*(Tabela1[[#This Row],[y]]-H$4)</f>
        <v>20800</v>
      </c>
      <c r="D4906" s="1">
        <f>IF(Tabela1[[#This Row],[promien]]&lt;40000,1,0)</f>
        <v>1</v>
      </c>
      <c r="E4906" s="1">
        <f>IF(Tabela1[[#This Row],[promien]]=40000,1,0)</f>
        <v>0</v>
      </c>
      <c r="F4906" s="1">
        <v>3.1683652670199756</v>
      </c>
      <c r="G4906" s="1">
        <v>2.6772613430182446E-2</v>
      </c>
    </row>
    <row r="4907" spans="1:7">
      <c r="A4907">
        <v>32</v>
      </c>
      <c r="B4907">
        <v>109</v>
      </c>
      <c r="C4907" s="1">
        <f>(Tabela1[[#This Row],[x]]-H$3)*(Tabela1[[#This Row],[x]]-H$3) +(Tabela1[[#This Row],[y]]-H$4)*(Tabela1[[#This Row],[y]]-H$4)</f>
        <v>36505</v>
      </c>
      <c r="D4907" s="1">
        <f>IF(Tabela1[[#This Row],[promien]]&lt;40000,1,0)</f>
        <v>1</v>
      </c>
      <c r="E4907" s="1">
        <f>IF(Tabela1[[#This Row],[promien]]=40000,1,0)</f>
        <v>0</v>
      </c>
      <c r="F4907" s="1">
        <v>3.1685347462808231</v>
      </c>
      <c r="G4907" s="1">
        <v>2.6942092691029984E-2</v>
      </c>
    </row>
    <row r="4908" spans="1:7">
      <c r="A4908">
        <v>243</v>
      </c>
      <c r="B4908">
        <v>77</v>
      </c>
      <c r="C4908" s="1">
        <f>(Tabela1[[#This Row],[x]]-H$3)*(Tabela1[[#This Row],[x]]-H$3) +(Tabela1[[#This Row],[y]]-H$4)*(Tabela1[[#This Row],[y]]-H$4)</f>
        <v>16978</v>
      </c>
      <c r="D4908" s="1">
        <f>IF(Tabela1[[#This Row],[promien]]&lt;40000,1,0)</f>
        <v>1</v>
      </c>
      <c r="E4908" s="1">
        <f>IF(Tabela1[[#This Row],[promien]]=40000,1,0)</f>
        <v>0</v>
      </c>
      <c r="F4908" s="1">
        <v>3.1687041564792175</v>
      </c>
      <c r="G4908" s="1">
        <v>2.7111502889424433E-2</v>
      </c>
    </row>
    <row r="4909" spans="1:7">
      <c r="A4909">
        <v>382</v>
      </c>
      <c r="B4909">
        <v>169</v>
      </c>
      <c r="C4909" s="1">
        <f>(Tabela1[[#This Row],[x]]-H$3)*(Tabela1[[#This Row],[x]]-H$3) +(Tabela1[[#This Row],[y]]-H$4)*(Tabela1[[#This Row],[y]]-H$4)</f>
        <v>34085</v>
      </c>
      <c r="D4909" s="1">
        <f>IF(Tabela1[[#This Row],[promien]]&lt;40000,1,0)</f>
        <v>1</v>
      </c>
      <c r="E4909" s="1">
        <f>IF(Tabela1[[#This Row],[promien]]=40000,1,0)</f>
        <v>0</v>
      </c>
      <c r="F4909" s="1">
        <v>3.1688734976573638</v>
      </c>
      <c r="G4909" s="1">
        <v>2.7280844067570698E-2</v>
      </c>
    </row>
    <row r="4910" spans="1:7">
      <c r="A4910">
        <v>152</v>
      </c>
      <c r="B4910">
        <v>54</v>
      </c>
      <c r="C4910" s="1">
        <f>(Tabela1[[#This Row],[x]]-H$3)*(Tabela1[[#This Row],[x]]-H$3) +(Tabela1[[#This Row],[y]]-H$4)*(Tabela1[[#This Row],[y]]-H$4)</f>
        <v>23620</v>
      </c>
      <c r="D4910" s="1">
        <f>IF(Tabela1[[#This Row],[promien]]&lt;40000,1,0)</f>
        <v>1</v>
      </c>
      <c r="E4910" s="1">
        <f>IF(Tabela1[[#This Row],[promien]]=40000,1,0)</f>
        <v>0</v>
      </c>
      <c r="F4910" s="1">
        <v>3.1690427698574339</v>
      </c>
      <c r="G4910" s="1">
        <v>2.7450116267640823E-2</v>
      </c>
    </row>
    <row r="4911" spans="1:7">
      <c r="A4911">
        <v>66</v>
      </c>
      <c r="B4911">
        <v>383</v>
      </c>
      <c r="C4911" s="1">
        <f>(Tabela1[[#This Row],[x]]-H$3)*(Tabela1[[#This Row],[x]]-H$3) +(Tabela1[[#This Row],[y]]-H$4)*(Tabela1[[#This Row],[y]]-H$4)</f>
        <v>51445</v>
      </c>
      <c r="D4911" s="1">
        <f>IF(Tabela1[[#This Row],[promien]]&lt;40000,1,0)</f>
        <v>0</v>
      </c>
      <c r="E4911" s="1">
        <f>IF(Tabela1[[#This Row],[promien]]=40000,1,0)</f>
        <v>0</v>
      </c>
      <c r="F4911" s="1">
        <v>3.1683974750559969</v>
      </c>
      <c r="G4911" s="1">
        <v>2.6804821466203776E-2</v>
      </c>
    </row>
    <row r="4912" spans="1:7">
      <c r="A4912">
        <v>215</v>
      </c>
      <c r="B4912">
        <v>208</v>
      </c>
      <c r="C4912" s="1">
        <f>(Tabela1[[#This Row],[x]]-H$3)*(Tabela1[[#This Row],[x]]-H$3) +(Tabela1[[#This Row],[y]]-H$4)*(Tabela1[[#This Row],[y]]-H$4)</f>
        <v>289</v>
      </c>
      <c r="D4912" s="1">
        <f>IF(Tabela1[[#This Row],[promien]]&lt;40000,1,0)</f>
        <v>1</v>
      </c>
      <c r="E4912" s="1">
        <f>IF(Tabela1[[#This Row],[promien]]=40000,1,0)</f>
        <v>0</v>
      </c>
      <c r="F4912" s="1">
        <v>3.1685667752442996</v>
      </c>
      <c r="G4912" s="1">
        <v>2.6974121654506522E-2</v>
      </c>
    </row>
    <row r="4913" spans="1:7">
      <c r="A4913">
        <v>229</v>
      </c>
      <c r="B4913">
        <v>190</v>
      </c>
      <c r="C4913" s="1">
        <f>(Tabela1[[#This Row],[x]]-H$3)*(Tabela1[[#This Row],[x]]-H$3) +(Tabela1[[#This Row],[y]]-H$4)*(Tabela1[[#This Row],[y]]-H$4)</f>
        <v>941</v>
      </c>
      <c r="D4913" s="1">
        <f>IF(Tabela1[[#This Row],[promien]]&lt;40000,1,0)</f>
        <v>1</v>
      </c>
      <c r="E4913" s="1">
        <f>IF(Tabela1[[#This Row],[promien]]=40000,1,0)</f>
        <v>0</v>
      </c>
      <c r="F4913" s="1">
        <v>3.1687360065133321</v>
      </c>
      <c r="G4913" s="1">
        <v>2.7143352923538977E-2</v>
      </c>
    </row>
    <row r="4914" spans="1:7">
      <c r="A4914">
        <v>259</v>
      </c>
      <c r="B4914">
        <v>40</v>
      </c>
      <c r="C4914" s="1">
        <f>(Tabela1[[#This Row],[x]]-H$3)*(Tabela1[[#This Row],[x]]-H$3) +(Tabela1[[#This Row],[y]]-H$4)*(Tabela1[[#This Row],[y]]-H$4)</f>
        <v>29081</v>
      </c>
      <c r="D4914" s="1">
        <f>IF(Tabela1[[#This Row],[promien]]&lt;40000,1,0)</f>
        <v>1</v>
      </c>
      <c r="E4914" s="1">
        <f>IF(Tabela1[[#This Row],[promien]]=40000,1,0)</f>
        <v>0</v>
      </c>
      <c r="F4914" s="1">
        <v>3.168905168905169</v>
      </c>
      <c r="G4914" s="1">
        <v>2.7312515315375929E-2</v>
      </c>
    </row>
    <row r="4915" spans="1:7">
      <c r="A4915">
        <v>14</v>
      </c>
      <c r="B4915">
        <v>196</v>
      </c>
      <c r="C4915" s="1">
        <f>(Tabela1[[#This Row],[x]]-H$3)*(Tabela1[[#This Row],[x]]-H$3) +(Tabela1[[#This Row],[y]]-H$4)*(Tabela1[[#This Row],[y]]-H$4)</f>
        <v>34612</v>
      </c>
      <c r="D4915" s="1">
        <f>IF(Tabela1[[#This Row],[promien]]&lt;40000,1,0)</f>
        <v>1</v>
      </c>
      <c r="E4915" s="1">
        <f>IF(Tabela1[[#This Row],[promien]]=40000,1,0)</f>
        <v>0</v>
      </c>
      <c r="F4915" s="1">
        <v>3.1690742624618515</v>
      </c>
      <c r="G4915" s="1">
        <v>2.7481608872058416E-2</v>
      </c>
    </row>
    <row r="4916" spans="1:7">
      <c r="A4916">
        <v>391</v>
      </c>
      <c r="B4916">
        <v>162</v>
      </c>
      <c r="C4916" s="1">
        <f>(Tabela1[[#This Row],[x]]-H$3)*(Tabela1[[#This Row],[x]]-H$3) +(Tabela1[[#This Row],[y]]-H$4)*(Tabela1[[#This Row],[y]]-H$4)</f>
        <v>37925</v>
      </c>
      <c r="D4916" s="1">
        <f>IF(Tabela1[[#This Row],[promien]]&lt;40000,1,0)</f>
        <v>1</v>
      </c>
      <c r="E4916" s="1">
        <f>IF(Tabela1[[#This Row],[promien]]=40000,1,0)</f>
        <v>0</v>
      </c>
      <c r="F4916" s="1">
        <v>3.1692432872253864</v>
      </c>
      <c r="G4916" s="1">
        <v>2.765063363559328E-2</v>
      </c>
    </row>
    <row r="4917" spans="1:7">
      <c r="A4917">
        <v>390</v>
      </c>
      <c r="B4917">
        <v>192</v>
      </c>
      <c r="C4917" s="1">
        <f>(Tabela1[[#This Row],[x]]-H$3)*(Tabela1[[#This Row],[x]]-H$3) +(Tabela1[[#This Row],[y]]-H$4)*(Tabela1[[#This Row],[y]]-H$4)</f>
        <v>36164</v>
      </c>
      <c r="D4917" s="1">
        <f>IF(Tabela1[[#This Row],[promien]]&lt;40000,1,0)</f>
        <v>1</v>
      </c>
      <c r="E4917" s="1">
        <f>IF(Tabela1[[#This Row],[promien]]=40000,1,0)</f>
        <v>0</v>
      </c>
      <c r="F4917" s="1">
        <v>3.1694122432377467</v>
      </c>
      <c r="G4917" s="1">
        <v>2.7819589647953613E-2</v>
      </c>
    </row>
    <row r="4918" spans="1:7">
      <c r="A4918">
        <v>228</v>
      </c>
      <c r="B4918">
        <v>182</v>
      </c>
      <c r="C4918" s="1">
        <f>(Tabela1[[#This Row],[x]]-H$3)*(Tabela1[[#This Row],[x]]-H$3) +(Tabela1[[#This Row],[y]]-H$4)*(Tabela1[[#This Row],[y]]-H$4)</f>
        <v>1108</v>
      </c>
      <c r="D4918" s="1">
        <f>IF(Tabela1[[#This Row],[promien]]&lt;40000,1,0)</f>
        <v>1</v>
      </c>
      <c r="E4918" s="1">
        <f>IF(Tabela1[[#This Row],[promien]]=40000,1,0)</f>
        <v>0</v>
      </c>
      <c r="F4918" s="1">
        <v>3.1695811305408701</v>
      </c>
      <c r="G4918" s="1">
        <v>2.7988476951076979E-2</v>
      </c>
    </row>
    <row r="4919" spans="1:7">
      <c r="A4919">
        <v>328</v>
      </c>
      <c r="B4919">
        <v>338</v>
      </c>
      <c r="C4919" s="1">
        <f>(Tabela1[[#This Row],[x]]-H$3)*(Tabela1[[#This Row],[x]]-H$3) +(Tabela1[[#This Row],[y]]-H$4)*(Tabela1[[#This Row],[y]]-H$4)</f>
        <v>35428</v>
      </c>
      <c r="D4919" s="1">
        <f>IF(Tabela1[[#This Row],[promien]]&lt;40000,1,0)</f>
        <v>1</v>
      </c>
      <c r="E4919" s="1">
        <f>IF(Tabela1[[#This Row],[promien]]=40000,1,0)</f>
        <v>0</v>
      </c>
      <c r="F4919" s="1">
        <v>3.1697499491766621</v>
      </c>
      <c r="G4919" s="1">
        <v>2.8157295586868969E-2</v>
      </c>
    </row>
    <row r="4920" spans="1:7">
      <c r="A4920">
        <v>68</v>
      </c>
      <c r="B4920">
        <v>322</v>
      </c>
      <c r="C4920" s="1">
        <f>(Tabela1[[#This Row],[x]]-H$3)*(Tabela1[[#This Row],[x]]-H$3) +(Tabela1[[#This Row],[y]]-H$4)*(Tabela1[[#This Row],[y]]-H$4)</f>
        <v>32308</v>
      </c>
      <c r="D4920" s="1">
        <f>IF(Tabela1[[#This Row],[promien]]&lt;40000,1,0)</f>
        <v>1</v>
      </c>
      <c r="E4920" s="1">
        <f>IF(Tabela1[[#This Row],[promien]]=40000,1,0)</f>
        <v>0</v>
      </c>
      <c r="F4920" s="1">
        <v>3.1699186991869919</v>
      </c>
      <c r="G4920" s="1">
        <v>2.8326045597198757E-2</v>
      </c>
    </row>
    <row r="4921" spans="1:7">
      <c r="A4921">
        <v>64</v>
      </c>
      <c r="B4921">
        <v>294</v>
      </c>
      <c r="C4921" s="1">
        <f>(Tabela1[[#This Row],[x]]-H$3)*(Tabela1[[#This Row],[x]]-H$3) +(Tabela1[[#This Row],[y]]-H$4)*(Tabela1[[#This Row],[y]]-H$4)</f>
        <v>27332</v>
      </c>
      <c r="D4921" s="1">
        <f>IF(Tabela1[[#This Row],[promien]]&lt;40000,1,0)</f>
        <v>1</v>
      </c>
      <c r="E4921" s="1">
        <f>IF(Tabela1[[#This Row],[promien]]=40000,1,0)</f>
        <v>0</v>
      </c>
      <c r="F4921" s="1">
        <v>3.1700873806136962</v>
      </c>
      <c r="G4921" s="1">
        <v>2.8494727023903099E-2</v>
      </c>
    </row>
    <row r="4922" spans="1:7">
      <c r="A4922">
        <v>85</v>
      </c>
      <c r="B4922">
        <v>104</v>
      </c>
      <c r="C4922" s="1">
        <f>(Tabela1[[#This Row],[x]]-H$3)*(Tabela1[[#This Row],[x]]-H$3) +(Tabela1[[#This Row],[y]]-H$4)*(Tabela1[[#This Row],[y]]-H$4)</f>
        <v>22441</v>
      </c>
      <c r="D4922" s="1">
        <f>IF(Tabela1[[#This Row],[promien]]&lt;40000,1,0)</f>
        <v>1</v>
      </c>
      <c r="E4922" s="1">
        <f>IF(Tabela1[[#This Row],[promien]]=40000,1,0)</f>
        <v>0</v>
      </c>
      <c r="F4922" s="1">
        <v>3.1702559934985777</v>
      </c>
      <c r="G4922" s="1">
        <v>2.8663339908784558E-2</v>
      </c>
    </row>
    <row r="4923" spans="1:7">
      <c r="A4923">
        <v>287</v>
      </c>
      <c r="B4923">
        <v>322</v>
      </c>
      <c r="C4923" s="1">
        <f>(Tabela1[[#This Row],[x]]-H$3)*(Tabela1[[#This Row],[x]]-H$3) +(Tabela1[[#This Row],[y]]-H$4)*(Tabela1[[#This Row],[y]]-H$4)</f>
        <v>22453</v>
      </c>
      <c r="D4923" s="1">
        <f>IF(Tabela1[[#This Row],[promien]]&lt;40000,1,0)</f>
        <v>1</v>
      </c>
      <c r="E4923" s="1">
        <f>IF(Tabela1[[#This Row],[promien]]=40000,1,0)</f>
        <v>0</v>
      </c>
      <c r="F4923" s="1">
        <v>3.1704245378834046</v>
      </c>
      <c r="G4923" s="1">
        <v>2.8831884293611498E-2</v>
      </c>
    </row>
    <row r="4924" spans="1:7">
      <c r="A4924">
        <v>69</v>
      </c>
      <c r="B4924">
        <v>12</v>
      </c>
      <c r="C4924" s="1">
        <f>(Tabela1[[#This Row],[x]]-H$3)*(Tabela1[[#This Row],[x]]-H$3) +(Tabela1[[#This Row],[y]]-H$4)*(Tabela1[[#This Row],[y]]-H$4)</f>
        <v>52505</v>
      </c>
      <c r="D4924" s="1">
        <f>IF(Tabela1[[#This Row],[promien]]&lt;40000,1,0)</f>
        <v>0</v>
      </c>
      <c r="E4924" s="1">
        <f>IF(Tabela1[[#This Row],[promien]]=40000,1,0)</f>
        <v>0</v>
      </c>
      <c r="F4924" s="1">
        <v>3.1697806661251016</v>
      </c>
      <c r="G4924" s="1">
        <v>2.8188012535308449E-2</v>
      </c>
    </row>
    <row r="4925" spans="1:7">
      <c r="A4925">
        <v>227</v>
      </c>
      <c r="B4925">
        <v>141</v>
      </c>
      <c r="C4925" s="1">
        <f>(Tabela1[[#This Row],[x]]-H$3)*(Tabela1[[#This Row],[x]]-H$3) +(Tabela1[[#This Row],[y]]-H$4)*(Tabela1[[#This Row],[y]]-H$4)</f>
        <v>4210</v>
      </c>
      <c r="D4925" s="1">
        <f>IF(Tabela1[[#This Row],[promien]]&lt;40000,1,0)</f>
        <v>1</v>
      </c>
      <c r="E4925" s="1">
        <f>IF(Tabela1[[#This Row],[promien]]=40000,1,0)</f>
        <v>0</v>
      </c>
      <c r="F4925" s="1">
        <v>3.1699492385786803</v>
      </c>
      <c r="G4925" s="1">
        <v>2.8356584988887157E-2</v>
      </c>
    </row>
    <row r="4926" spans="1:7">
      <c r="A4926">
        <v>33</v>
      </c>
      <c r="B4926">
        <v>166</v>
      </c>
      <c r="C4926" s="1">
        <f>(Tabela1[[#This Row],[x]]-H$3)*(Tabela1[[#This Row],[x]]-H$3) +(Tabela1[[#This Row],[y]]-H$4)*(Tabela1[[#This Row],[y]]-H$4)</f>
        <v>29045</v>
      </c>
      <c r="D4926" s="1">
        <f>IF(Tabela1[[#This Row],[promien]]&lt;40000,1,0)</f>
        <v>1</v>
      </c>
      <c r="E4926" s="1">
        <f>IF(Tabela1[[#This Row],[promien]]=40000,1,0)</f>
        <v>0</v>
      </c>
      <c r="F4926" s="1">
        <v>3.1701177425903371</v>
      </c>
      <c r="G4926" s="1">
        <v>2.8525089000543957E-2</v>
      </c>
    </row>
    <row r="4927" spans="1:7">
      <c r="A4927">
        <v>141</v>
      </c>
      <c r="B4927">
        <v>242</v>
      </c>
      <c r="C4927" s="1">
        <f>(Tabela1[[#This Row],[x]]-H$3)*(Tabela1[[#This Row],[x]]-H$3) +(Tabela1[[#This Row],[y]]-H$4)*(Tabela1[[#This Row],[y]]-H$4)</f>
        <v>5245</v>
      </c>
      <c r="D4927" s="1">
        <f>IF(Tabela1[[#This Row],[promien]]&lt;40000,1,0)</f>
        <v>1</v>
      </c>
      <c r="E4927" s="1">
        <f>IF(Tabela1[[#This Row],[promien]]=40000,1,0)</f>
        <v>0</v>
      </c>
      <c r="F4927" s="1">
        <v>3.1702861782017453</v>
      </c>
      <c r="G4927" s="1">
        <v>2.8693524611952181E-2</v>
      </c>
    </row>
    <row r="4928" spans="1:7">
      <c r="A4928">
        <v>334</v>
      </c>
      <c r="B4928">
        <v>169</v>
      </c>
      <c r="C4928" s="1">
        <f>(Tabela1[[#This Row],[x]]-H$3)*(Tabela1[[#This Row],[x]]-H$3) +(Tabela1[[#This Row],[y]]-H$4)*(Tabela1[[#This Row],[y]]-H$4)</f>
        <v>18917</v>
      </c>
      <c r="D4928" s="1">
        <f>IF(Tabela1[[#This Row],[promien]]&lt;40000,1,0)</f>
        <v>1</v>
      </c>
      <c r="E4928" s="1">
        <f>IF(Tabela1[[#This Row],[promien]]=40000,1,0)</f>
        <v>0</v>
      </c>
      <c r="F4928" s="1">
        <v>3.1704545454545454</v>
      </c>
      <c r="G4928" s="1">
        <v>2.8861891864752298E-2</v>
      </c>
    </row>
    <row r="4929" spans="1:7">
      <c r="A4929">
        <v>43</v>
      </c>
      <c r="B4929">
        <v>256</v>
      </c>
      <c r="C4929" s="1">
        <f>(Tabela1[[#This Row],[x]]-H$3)*(Tabela1[[#This Row],[x]]-H$3) +(Tabela1[[#This Row],[y]]-H$4)*(Tabela1[[#This Row],[y]]-H$4)</f>
        <v>27785</v>
      </c>
      <c r="D4929" s="1">
        <f>IF(Tabela1[[#This Row],[promien]]&lt;40000,1,0)</f>
        <v>1</v>
      </c>
      <c r="E4929" s="1">
        <f>IF(Tabela1[[#This Row],[promien]]=40000,1,0)</f>
        <v>0</v>
      </c>
      <c r="F4929" s="1">
        <v>3.1706228443903428</v>
      </c>
      <c r="G4929" s="1">
        <v>2.9030190800549693E-2</v>
      </c>
    </row>
    <row r="4930" spans="1:7">
      <c r="A4930">
        <v>87</v>
      </c>
      <c r="B4930">
        <v>381</v>
      </c>
      <c r="C4930" s="1">
        <f>(Tabela1[[#This Row],[x]]-H$3)*(Tabela1[[#This Row],[x]]-H$3) +(Tabela1[[#This Row],[y]]-H$4)*(Tabela1[[#This Row],[y]]-H$4)</f>
        <v>45530</v>
      </c>
      <c r="D4930" s="1">
        <f>IF(Tabela1[[#This Row],[promien]]&lt;40000,1,0)</f>
        <v>0</v>
      </c>
      <c r="E4930" s="1">
        <f>IF(Tabela1[[#This Row],[promien]]=40000,1,0)</f>
        <v>0</v>
      </c>
      <c r="F4930" s="1">
        <v>3.1699797160243408</v>
      </c>
      <c r="G4930" s="1">
        <v>2.8387062434547694E-2</v>
      </c>
    </row>
    <row r="4931" spans="1:7">
      <c r="A4931">
        <v>111</v>
      </c>
      <c r="B4931">
        <v>49</v>
      </c>
      <c r="C4931" s="1">
        <f>(Tabela1[[#This Row],[x]]-H$3)*(Tabela1[[#This Row],[x]]-H$3) +(Tabela1[[#This Row],[y]]-H$4)*(Tabela1[[#This Row],[y]]-H$4)</f>
        <v>30722</v>
      </c>
      <c r="D4931" s="1">
        <f>IF(Tabela1[[#This Row],[promien]]&lt;40000,1,0)</f>
        <v>1</v>
      </c>
      <c r="E4931" s="1">
        <f>IF(Tabela1[[#This Row],[promien]]=40000,1,0)</f>
        <v>0</v>
      </c>
      <c r="F4931" s="1">
        <v>3.1701480429933078</v>
      </c>
      <c r="G4931" s="1">
        <v>2.8555389403514653E-2</v>
      </c>
    </row>
    <row r="4932" spans="1:7">
      <c r="A4932">
        <v>197</v>
      </c>
      <c r="B4932">
        <v>387</v>
      </c>
      <c r="C4932" s="1">
        <f>(Tabela1[[#This Row],[x]]-H$3)*(Tabela1[[#This Row],[x]]-H$3) +(Tabela1[[#This Row],[y]]-H$4)*(Tabela1[[#This Row],[y]]-H$4)</f>
        <v>34978</v>
      </c>
      <c r="D4932" s="1">
        <f>IF(Tabela1[[#This Row],[promien]]&lt;40000,1,0)</f>
        <v>1</v>
      </c>
      <c r="E4932" s="1">
        <f>IF(Tabela1[[#This Row],[promien]]=40000,1,0)</f>
        <v>0</v>
      </c>
      <c r="F4932" s="1">
        <v>3.170316301703163</v>
      </c>
      <c r="G4932" s="1">
        <v>2.8723648113369915E-2</v>
      </c>
    </row>
    <row r="4933" spans="1:7">
      <c r="A4933">
        <v>255</v>
      </c>
      <c r="B4933">
        <v>238</v>
      </c>
      <c r="C4933" s="1">
        <f>(Tabela1[[#This Row],[x]]-H$3)*(Tabela1[[#This Row],[x]]-H$3) +(Tabela1[[#This Row],[y]]-H$4)*(Tabela1[[#This Row],[y]]-H$4)</f>
        <v>4469</v>
      </c>
      <c r="D4933" s="1">
        <f>IF(Tabela1[[#This Row],[promien]]&lt;40000,1,0)</f>
        <v>1</v>
      </c>
      <c r="E4933" s="1">
        <f>IF(Tabela1[[#This Row],[promien]]=40000,1,0)</f>
        <v>0</v>
      </c>
      <c r="F4933" s="1">
        <v>3.1704844921954187</v>
      </c>
      <c r="G4933" s="1">
        <v>2.8891838605625608E-2</v>
      </c>
    </row>
    <row r="4934" spans="1:7">
      <c r="A4934">
        <v>345</v>
      </c>
      <c r="B4934">
        <v>47</v>
      </c>
      <c r="C4934" s="1">
        <f>(Tabela1[[#This Row],[x]]-H$3)*(Tabela1[[#This Row],[x]]-H$3) +(Tabela1[[#This Row],[y]]-H$4)*(Tabela1[[#This Row],[y]]-H$4)</f>
        <v>44434</v>
      </c>
      <c r="D4934" s="1">
        <f>IF(Tabela1[[#This Row],[promien]]&lt;40000,1,0)</f>
        <v>0</v>
      </c>
      <c r="E4934" s="1">
        <f>IF(Tabela1[[#This Row],[promien]]=40000,1,0)</f>
        <v>0</v>
      </c>
      <c r="F4934" s="1">
        <v>3.1698419132549653</v>
      </c>
      <c r="G4934" s="1">
        <v>2.8249259665172222E-2</v>
      </c>
    </row>
    <row r="4935" spans="1:7">
      <c r="A4935">
        <v>385</v>
      </c>
      <c r="B4935">
        <v>238</v>
      </c>
      <c r="C4935" s="1">
        <f>(Tabela1[[#This Row],[x]]-H$3)*(Tabela1[[#This Row],[x]]-H$3) +(Tabela1[[#This Row],[y]]-H$4)*(Tabela1[[#This Row],[y]]-H$4)</f>
        <v>35669</v>
      </c>
      <c r="D4935" s="1">
        <f>IF(Tabela1[[#This Row],[promien]]&lt;40000,1,0)</f>
        <v>1</v>
      </c>
      <c r="E4935" s="1">
        <f>IF(Tabela1[[#This Row],[promien]]=40000,1,0)</f>
        <v>0</v>
      </c>
      <c r="F4935" s="1">
        <v>3.1700101317122593</v>
      </c>
      <c r="G4935" s="1">
        <v>2.84174781224662E-2</v>
      </c>
    </row>
    <row r="4936" spans="1:7">
      <c r="A4936">
        <v>209</v>
      </c>
      <c r="B4936">
        <v>182</v>
      </c>
      <c r="C4936" s="1">
        <f>(Tabela1[[#This Row],[x]]-H$3)*(Tabela1[[#This Row],[x]]-H$3) +(Tabela1[[#This Row],[y]]-H$4)*(Tabela1[[#This Row],[y]]-H$4)</f>
        <v>405</v>
      </c>
      <c r="D4936" s="1">
        <f>IF(Tabela1[[#This Row],[promien]]&lt;40000,1,0)</f>
        <v>1</v>
      </c>
      <c r="E4936" s="1">
        <f>IF(Tabela1[[#This Row],[promien]]=40000,1,0)</f>
        <v>0</v>
      </c>
      <c r="F4936" s="1">
        <v>3.1701782820097244</v>
      </c>
      <c r="G4936" s="1">
        <v>2.8585628419931286E-2</v>
      </c>
    </row>
    <row r="4937" spans="1:7">
      <c r="A4937">
        <v>371</v>
      </c>
      <c r="B4937">
        <v>284</v>
      </c>
      <c r="C4937" s="1">
        <f>(Tabela1[[#This Row],[x]]-H$3)*(Tabela1[[#This Row],[x]]-H$3) +(Tabela1[[#This Row],[y]]-H$4)*(Tabela1[[#This Row],[y]]-H$4)</f>
        <v>36297</v>
      </c>
      <c r="D4937" s="1">
        <f>IF(Tabela1[[#This Row],[promien]]&lt;40000,1,0)</f>
        <v>1</v>
      </c>
      <c r="E4937" s="1">
        <f>IF(Tabela1[[#This Row],[promien]]=40000,1,0)</f>
        <v>0</v>
      </c>
      <c r="F4937" s="1">
        <v>3.1703463641887786</v>
      </c>
      <c r="G4937" s="1">
        <v>2.875371059898546E-2</v>
      </c>
    </row>
    <row r="4938" spans="1:7">
      <c r="A4938">
        <v>115</v>
      </c>
      <c r="B4938">
        <v>78</v>
      </c>
      <c r="C4938" s="1">
        <f>(Tabela1[[#This Row],[x]]-H$3)*(Tabela1[[#This Row],[x]]-H$3) +(Tabela1[[#This Row],[y]]-H$4)*(Tabela1[[#This Row],[y]]-H$4)</f>
        <v>22109</v>
      </c>
      <c r="D4938" s="1">
        <f>IF(Tabela1[[#This Row],[promien]]&lt;40000,1,0)</f>
        <v>1</v>
      </c>
      <c r="E4938" s="1">
        <f>IF(Tabela1[[#This Row],[promien]]=40000,1,0)</f>
        <v>0</v>
      </c>
      <c r="F4938" s="1">
        <v>3.1705143782908061</v>
      </c>
      <c r="G4938" s="1">
        <v>2.8921724701012952E-2</v>
      </c>
    </row>
    <row r="4939" spans="1:7">
      <c r="A4939">
        <v>79</v>
      </c>
      <c r="B4939">
        <v>65</v>
      </c>
      <c r="C4939" s="1">
        <f>(Tabela1[[#This Row],[x]]-H$3)*(Tabela1[[#This Row],[x]]-H$3) +(Tabela1[[#This Row],[y]]-H$4)*(Tabela1[[#This Row],[y]]-H$4)</f>
        <v>32866</v>
      </c>
      <c r="D4939" s="1">
        <f>IF(Tabela1[[#This Row],[promien]]&lt;40000,1,0)</f>
        <v>1</v>
      </c>
      <c r="E4939" s="1">
        <f>IF(Tabela1[[#This Row],[promien]]=40000,1,0)</f>
        <v>0</v>
      </c>
      <c r="F4939" s="1">
        <v>3.1706823243571574</v>
      </c>
      <c r="G4939" s="1">
        <v>2.908967076736424E-2</v>
      </c>
    </row>
    <row r="4940" spans="1:7">
      <c r="A4940">
        <v>399</v>
      </c>
      <c r="B4940">
        <v>124</v>
      </c>
      <c r="C4940" s="1">
        <f>(Tabela1[[#This Row],[x]]-H$3)*(Tabela1[[#This Row],[x]]-H$3) +(Tabela1[[#This Row],[y]]-H$4)*(Tabela1[[#This Row],[y]]-H$4)</f>
        <v>45377</v>
      </c>
      <c r="D4940" s="1">
        <f>IF(Tabela1[[#This Row],[promien]]&lt;40000,1,0)</f>
        <v>0</v>
      </c>
      <c r="E4940" s="1">
        <f>IF(Tabela1[[#This Row],[promien]]=40000,1,0)</f>
        <v>0</v>
      </c>
      <c r="F4940" s="1">
        <v>3.1700404858299596</v>
      </c>
      <c r="G4940" s="1">
        <v>2.8447832240166449E-2</v>
      </c>
    </row>
    <row r="4941" spans="1:7">
      <c r="A4941">
        <v>326</v>
      </c>
      <c r="B4941">
        <v>110</v>
      </c>
      <c r="C4941" s="1">
        <f>(Tabela1[[#This Row],[x]]-H$3)*(Tabela1[[#This Row],[x]]-H$3) +(Tabela1[[#This Row],[y]]-H$4)*(Tabela1[[#This Row],[y]]-H$4)</f>
        <v>23976</v>
      </c>
      <c r="D4941" s="1">
        <f>IF(Tabela1[[#This Row],[promien]]&lt;40000,1,0)</f>
        <v>1</v>
      </c>
      <c r="E4941" s="1">
        <f>IF(Tabela1[[#This Row],[promien]]=40000,1,0)</f>
        <v>0</v>
      </c>
      <c r="F4941" s="1">
        <v>3.1702084598259463</v>
      </c>
      <c r="G4941" s="1">
        <v>2.8615806236153229E-2</v>
      </c>
    </row>
    <row r="4942" spans="1:7">
      <c r="A4942">
        <v>156</v>
      </c>
      <c r="B4942">
        <v>361</v>
      </c>
      <c r="C4942" s="1">
        <f>(Tabela1[[#This Row],[x]]-H$3)*(Tabela1[[#This Row],[x]]-H$3) +(Tabela1[[#This Row],[y]]-H$4)*(Tabela1[[#This Row],[y]]-H$4)</f>
        <v>27857</v>
      </c>
      <c r="D4942" s="1">
        <f>IF(Tabela1[[#This Row],[promien]]&lt;40000,1,0)</f>
        <v>1</v>
      </c>
      <c r="E4942" s="1">
        <f>IF(Tabela1[[#This Row],[promien]]=40000,1,0)</f>
        <v>0</v>
      </c>
      <c r="F4942" s="1">
        <v>3.1703763658437878</v>
      </c>
      <c r="G4942" s="1">
        <v>2.8783712253994675E-2</v>
      </c>
    </row>
    <row r="4943" spans="1:7">
      <c r="A4943">
        <v>399</v>
      </c>
      <c r="B4943">
        <v>43</v>
      </c>
      <c r="C4943" s="1">
        <f>(Tabela1[[#This Row],[x]]-H$3)*(Tabela1[[#This Row],[x]]-H$3) +(Tabela1[[#This Row],[y]]-H$4)*(Tabela1[[#This Row],[y]]-H$4)</f>
        <v>64250</v>
      </c>
      <c r="D4943" s="1">
        <f>IF(Tabela1[[#This Row],[promien]]&lt;40000,1,0)</f>
        <v>0</v>
      </c>
      <c r="E4943" s="1">
        <f>IF(Tabela1[[#This Row],[promien]]=40000,1,0)</f>
        <v>0</v>
      </c>
      <c r="F4943" s="1">
        <v>3.1697349787578393</v>
      </c>
      <c r="G4943" s="1">
        <v>2.8142325168046156E-2</v>
      </c>
    </row>
    <row r="4944" spans="1:7">
      <c r="A4944">
        <v>35</v>
      </c>
      <c r="B4944">
        <v>142</v>
      </c>
      <c r="C4944" s="1">
        <f>(Tabela1[[#This Row],[x]]-H$3)*(Tabela1[[#This Row],[x]]-H$3) +(Tabela1[[#This Row],[y]]-H$4)*(Tabela1[[#This Row],[y]]-H$4)</f>
        <v>30589</v>
      </c>
      <c r="D4944" s="1">
        <f>IF(Tabela1[[#This Row],[promien]]&lt;40000,1,0)</f>
        <v>1</v>
      </c>
      <c r="E4944" s="1">
        <f>IF(Tabela1[[#This Row],[promien]]=40000,1,0)</f>
        <v>0</v>
      </c>
      <c r="F4944" s="1">
        <v>3.1699029126213594</v>
      </c>
      <c r="G4944" s="1">
        <v>2.8310259031566254E-2</v>
      </c>
    </row>
    <row r="4945" spans="1:7">
      <c r="A4945">
        <v>355</v>
      </c>
      <c r="B4945">
        <v>236</v>
      </c>
      <c r="C4945" s="1">
        <f>(Tabela1[[#This Row],[x]]-H$3)*(Tabela1[[#This Row],[x]]-H$3) +(Tabela1[[#This Row],[y]]-H$4)*(Tabela1[[#This Row],[y]]-H$4)</f>
        <v>25321</v>
      </c>
      <c r="D4945" s="1">
        <f>IF(Tabela1[[#This Row],[promien]]&lt;40000,1,0)</f>
        <v>1</v>
      </c>
      <c r="E4945" s="1">
        <f>IF(Tabela1[[#This Row],[promien]]=40000,1,0)</f>
        <v>0</v>
      </c>
      <c r="F4945" s="1">
        <v>3.1700707785642064</v>
      </c>
      <c r="G4945" s="1">
        <v>2.8478124974413266E-2</v>
      </c>
    </row>
    <row r="4946" spans="1:7">
      <c r="A4946">
        <v>123</v>
      </c>
      <c r="B4946">
        <v>211</v>
      </c>
      <c r="C4946" s="1">
        <f>(Tabela1[[#This Row],[x]]-H$3)*(Tabela1[[#This Row],[x]]-H$3) +(Tabela1[[#This Row],[y]]-H$4)*(Tabela1[[#This Row],[y]]-H$4)</f>
        <v>6050</v>
      </c>
      <c r="D4946" s="1">
        <f>IF(Tabela1[[#This Row],[promien]]&lt;40000,1,0)</f>
        <v>1</v>
      </c>
      <c r="E4946" s="1">
        <f>IF(Tabela1[[#This Row],[promien]]=40000,1,0)</f>
        <v>0</v>
      </c>
      <c r="F4946" s="1">
        <v>3.170238576627578</v>
      </c>
      <c r="G4946" s="1">
        <v>2.8645923037784904E-2</v>
      </c>
    </row>
    <row r="4947" spans="1:7">
      <c r="A4947">
        <v>125</v>
      </c>
      <c r="B4947">
        <v>150</v>
      </c>
      <c r="C4947" s="1">
        <f>(Tabela1[[#This Row],[x]]-H$3)*(Tabela1[[#This Row],[x]]-H$3) +(Tabela1[[#This Row],[y]]-H$4)*(Tabela1[[#This Row],[y]]-H$4)</f>
        <v>8125</v>
      </c>
      <c r="D4947" s="1">
        <f>IF(Tabela1[[#This Row],[promien]]&lt;40000,1,0)</f>
        <v>1</v>
      </c>
      <c r="E4947" s="1">
        <f>IF(Tabela1[[#This Row],[promien]]=40000,1,0)</f>
        <v>0</v>
      </c>
      <c r="F4947" s="1">
        <v>3.1704063068526378</v>
      </c>
      <c r="G4947" s="1">
        <v>2.8813653262844685E-2</v>
      </c>
    </row>
    <row r="4948" spans="1:7">
      <c r="A4948">
        <v>166</v>
      </c>
      <c r="B4948">
        <v>3</v>
      </c>
      <c r="C4948" s="1">
        <f>(Tabela1[[#This Row],[x]]-H$3)*(Tabela1[[#This Row],[x]]-H$3) +(Tabela1[[#This Row],[y]]-H$4)*(Tabela1[[#This Row],[y]]-H$4)</f>
        <v>39965</v>
      </c>
      <c r="D4948" s="1">
        <f>IF(Tabela1[[#This Row],[promien]]&lt;40000,1,0)</f>
        <v>1</v>
      </c>
      <c r="E4948" s="1">
        <f>IF(Tabela1[[#This Row],[promien]]=40000,1,0)</f>
        <v>0</v>
      </c>
      <c r="F4948" s="1">
        <v>3.1705739692805173</v>
      </c>
      <c r="G4948" s="1">
        <v>2.8981315690724152E-2</v>
      </c>
    </row>
    <row r="4949" spans="1:7">
      <c r="A4949">
        <v>303</v>
      </c>
      <c r="B4949">
        <v>6</v>
      </c>
      <c r="C4949" s="1">
        <f>(Tabela1[[#This Row],[x]]-H$3)*(Tabela1[[#This Row],[x]]-H$3) +(Tabela1[[#This Row],[y]]-H$4)*(Tabela1[[#This Row],[y]]-H$4)</f>
        <v>48245</v>
      </c>
      <c r="D4949" s="1">
        <f>IF(Tabela1[[#This Row],[promien]]&lt;40000,1,0)</f>
        <v>0</v>
      </c>
      <c r="E4949" s="1">
        <f>IF(Tabela1[[#This Row],[promien]]=40000,1,0)</f>
        <v>0</v>
      </c>
      <c r="F4949" s="1">
        <v>3.1699333198625985</v>
      </c>
      <c r="G4949" s="1">
        <v>2.8340666272805404E-2</v>
      </c>
    </row>
    <row r="4950" spans="1:7">
      <c r="A4950">
        <v>76</v>
      </c>
      <c r="B4950">
        <v>70</v>
      </c>
      <c r="C4950" s="1">
        <f>(Tabela1[[#This Row],[x]]-H$3)*(Tabela1[[#This Row],[x]]-H$3) +(Tabela1[[#This Row],[y]]-H$4)*(Tabela1[[#This Row],[y]]-H$4)</f>
        <v>32276</v>
      </c>
      <c r="D4950" s="1">
        <f>IF(Tabela1[[#This Row],[promien]]&lt;40000,1,0)</f>
        <v>1</v>
      </c>
      <c r="E4950" s="1">
        <f>IF(Tabela1[[#This Row],[promien]]=40000,1,0)</f>
        <v>0</v>
      </c>
      <c r="F4950" s="1">
        <v>3.1701010101010101</v>
      </c>
      <c r="G4950" s="1">
        <v>2.850835651121697E-2</v>
      </c>
    </row>
    <row r="4951" spans="1:7">
      <c r="A4951">
        <v>19</v>
      </c>
      <c r="B4951">
        <v>56</v>
      </c>
      <c r="C4951" s="1">
        <f>(Tabela1[[#This Row],[x]]-H$3)*(Tabela1[[#This Row],[x]]-H$3) +(Tabela1[[#This Row],[y]]-H$4)*(Tabela1[[#This Row],[y]]-H$4)</f>
        <v>53497</v>
      </c>
      <c r="D4951" s="1">
        <f>IF(Tabela1[[#This Row],[promien]]&lt;40000,1,0)</f>
        <v>0</v>
      </c>
      <c r="E4951" s="1">
        <f>IF(Tabela1[[#This Row],[promien]]=40000,1,0)</f>
        <v>0</v>
      </c>
      <c r="F4951" s="1">
        <v>3.1694607150070695</v>
      </c>
      <c r="G4951" s="1">
        <v>2.786806141727638E-2</v>
      </c>
    </row>
    <row r="4952" spans="1:7">
      <c r="A4952">
        <v>337</v>
      </c>
      <c r="B4952">
        <v>134</v>
      </c>
      <c r="C4952" s="1">
        <f>(Tabela1[[#This Row],[x]]-H$3)*(Tabela1[[#This Row],[x]]-H$3) +(Tabela1[[#This Row],[y]]-H$4)*(Tabela1[[#This Row],[y]]-H$4)</f>
        <v>23125</v>
      </c>
      <c r="D4952" s="1">
        <f>IF(Tabela1[[#This Row],[promien]]&lt;40000,1,0)</f>
        <v>1</v>
      </c>
      <c r="E4952" s="1">
        <f>IF(Tabela1[[#This Row],[promien]]=40000,1,0)</f>
        <v>0</v>
      </c>
      <c r="F4952" s="1">
        <v>3.1696284329563813</v>
      </c>
      <c r="G4952" s="1">
        <v>2.8035779366588187E-2</v>
      </c>
    </row>
    <row r="4953" spans="1:7">
      <c r="A4953">
        <v>164</v>
      </c>
      <c r="B4953">
        <v>360</v>
      </c>
      <c r="C4953" s="1">
        <f>(Tabela1[[#This Row],[x]]-H$3)*(Tabela1[[#This Row],[x]]-H$3) +(Tabela1[[#This Row],[y]]-H$4)*(Tabela1[[#This Row],[y]]-H$4)</f>
        <v>26896</v>
      </c>
      <c r="D4953" s="1">
        <f>IF(Tabela1[[#This Row],[promien]]&lt;40000,1,0)</f>
        <v>1</v>
      </c>
      <c r="E4953" s="1">
        <f>IF(Tabela1[[#This Row],[promien]]=40000,1,0)</f>
        <v>0</v>
      </c>
      <c r="F4953" s="1">
        <v>3.1697960831819101</v>
      </c>
      <c r="G4953" s="1">
        <v>2.8203429592116969E-2</v>
      </c>
    </row>
    <row r="4954" spans="1:7">
      <c r="A4954">
        <v>357</v>
      </c>
      <c r="B4954">
        <v>5</v>
      </c>
      <c r="C4954" s="1">
        <f>(Tabela1[[#This Row],[x]]-H$3)*(Tabela1[[#This Row],[x]]-H$3) +(Tabela1[[#This Row],[y]]-H$4)*(Tabela1[[#This Row],[y]]-H$4)</f>
        <v>62674</v>
      </c>
      <c r="D4954" s="1">
        <f>IF(Tabela1[[#This Row],[promien]]&lt;40000,1,0)</f>
        <v>0</v>
      </c>
      <c r="E4954" s="1">
        <f>IF(Tabela1[[#This Row],[promien]]=40000,1,0)</f>
        <v>0</v>
      </c>
      <c r="F4954" s="1">
        <v>3.1691562373839322</v>
      </c>
      <c r="G4954" s="1">
        <v>2.7563583794139035E-2</v>
      </c>
    </row>
    <row r="4955" spans="1:7">
      <c r="A4955">
        <v>50</v>
      </c>
      <c r="B4955">
        <v>283</v>
      </c>
      <c r="C4955" s="1">
        <f>(Tabela1[[#This Row],[x]]-H$3)*(Tabela1[[#This Row],[x]]-H$3) +(Tabela1[[#This Row],[y]]-H$4)*(Tabela1[[#This Row],[y]]-H$4)</f>
        <v>29389</v>
      </c>
      <c r="D4955" s="1">
        <f>IF(Tabela1[[#This Row],[promien]]&lt;40000,1,0)</f>
        <v>1</v>
      </c>
      <c r="E4955" s="1">
        <f>IF(Tabela1[[#This Row],[promien]]=40000,1,0)</f>
        <v>0</v>
      </c>
      <c r="F4955" s="1">
        <v>3.1693239152371344</v>
      </c>
      <c r="G4955" s="1">
        <v>2.7731261647341299E-2</v>
      </c>
    </row>
    <row r="4956" spans="1:7">
      <c r="A4956">
        <v>203</v>
      </c>
      <c r="B4956">
        <v>180</v>
      </c>
      <c r="C4956" s="1">
        <f>(Tabela1[[#This Row],[x]]-H$3)*(Tabela1[[#This Row],[x]]-H$3) +(Tabela1[[#This Row],[y]]-H$4)*(Tabela1[[#This Row],[y]]-H$4)</f>
        <v>409</v>
      </c>
      <c r="D4956" s="1">
        <f>IF(Tabela1[[#This Row],[promien]]&lt;40000,1,0)</f>
        <v>1</v>
      </c>
      <c r="E4956" s="1">
        <f>IF(Tabela1[[#This Row],[promien]]=40000,1,0)</f>
        <v>0</v>
      </c>
      <c r="F4956" s="1">
        <v>3.1694915254237288</v>
      </c>
      <c r="G4956" s="1">
        <v>2.789887183393569E-2</v>
      </c>
    </row>
    <row r="4957" spans="1:7">
      <c r="A4957">
        <v>264</v>
      </c>
      <c r="B4957">
        <v>14</v>
      </c>
      <c r="C4957" s="1">
        <f>(Tabela1[[#This Row],[x]]-H$3)*(Tabela1[[#This Row],[x]]-H$3) +(Tabela1[[#This Row],[y]]-H$4)*(Tabela1[[#This Row],[y]]-H$4)</f>
        <v>38692</v>
      </c>
      <c r="D4957" s="1">
        <f>IF(Tabela1[[#This Row],[promien]]&lt;40000,1,0)</f>
        <v>1</v>
      </c>
      <c r="E4957" s="1">
        <f>IF(Tabela1[[#This Row],[promien]]=40000,1,0)</f>
        <v>0</v>
      </c>
      <c r="F4957" s="1">
        <v>3.1696590679846683</v>
      </c>
      <c r="G4957" s="1">
        <v>2.8066414394875228E-2</v>
      </c>
    </row>
    <row r="4958" spans="1:7">
      <c r="A4958">
        <v>299</v>
      </c>
      <c r="B4958">
        <v>12</v>
      </c>
      <c r="C4958" s="1">
        <f>(Tabela1[[#This Row],[x]]-H$3)*(Tabela1[[#This Row],[x]]-H$3) +(Tabela1[[#This Row],[y]]-H$4)*(Tabela1[[#This Row],[y]]-H$4)</f>
        <v>45145</v>
      </c>
      <c r="D4958" s="1">
        <f>IF(Tabela1[[#This Row],[promien]]&lt;40000,1,0)</f>
        <v>0</v>
      </c>
      <c r="E4958" s="1">
        <f>IF(Tabela1[[#This Row],[promien]]=40000,1,0)</f>
        <v>0</v>
      </c>
      <c r="F4958" s="1">
        <v>3.1690197660346913</v>
      </c>
      <c r="G4958" s="1">
        <v>2.742711244489815E-2</v>
      </c>
    </row>
    <row r="4959" spans="1:7">
      <c r="A4959">
        <v>350</v>
      </c>
      <c r="B4959">
        <v>326</v>
      </c>
      <c r="C4959" s="1">
        <f>(Tabela1[[#This Row],[x]]-H$3)*(Tabela1[[#This Row],[x]]-H$3) +(Tabela1[[#This Row],[y]]-H$4)*(Tabela1[[#This Row],[y]]-H$4)</f>
        <v>38376</v>
      </c>
      <c r="D4959" s="1">
        <f>IF(Tabela1[[#This Row],[promien]]&lt;40000,1,0)</f>
        <v>1</v>
      </c>
      <c r="E4959" s="1">
        <f>IF(Tabela1[[#This Row],[promien]]=40000,1,0)</f>
        <v>0</v>
      </c>
      <c r="F4959" s="1">
        <v>3.1691873361564831</v>
      </c>
      <c r="G4959" s="1">
        <v>2.7594682566689954E-2</v>
      </c>
    </row>
    <row r="4960" spans="1:7">
      <c r="A4960">
        <v>358</v>
      </c>
      <c r="B4960">
        <v>170</v>
      </c>
      <c r="C4960" s="1">
        <f>(Tabela1[[#This Row],[x]]-H$3)*(Tabela1[[#This Row],[x]]-H$3) +(Tabela1[[#This Row],[y]]-H$4)*(Tabela1[[#This Row],[y]]-H$4)</f>
        <v>25864</v>
      </c>
      <c r="D4960" s="1">
        <f>IF(Tabela1[[#This Row],[promien]]&lt;40000,1,0)</f>
        <v>1</v>
      </c>
      <c r="E4960" s="1">
        <f>IF(Tabela1[[#This Row],[promien]]=40000,1,0)</f>
        <v>0</v>
      </c>
      <c r="F4960" s="1">
        <v>3.1693548387096775</v>
      </c>
      <c r="G4960" s="1">
        <v>2.7762185119884375E-2</v>
      </c>
    </row>
    <row r="4961" spans="1:7">
      <c r="A4961">
        <v>214</v>
      </c>
      <c r="B4961">
        <v>324</v>
      </c>
      <c r="C4961" s="1">
        <f>(Tabela1[[#This Row],[x]]-H$3)*(Tabela1[[#This Row],[x]]-H$3) +(Tabela1[[#This Row],[y]]-H$4)*(Tabela1[[#This Row],[y]]-H$4)</f>
        <v>15572</v>
      </c>
      <c r="D4961" s="1">
        <f>IF(Tabela1[[#This Row],[promien]]&lt;40000,1,0)</f>
        <v>1</v>
      </c>
      <c r="E4961" s="1">
        <f>IF(Tabela1[[#This Row],[promien]]=40000,1,0)</f>
        <v>0</v>
      </c>
      <c r="F4961" s="1">
        <v>3.1695222737351338</v>
      </c>
      <c r="G4961" s="1">
        <v>2.7929620145340728E-2</v>
      </c>
    </row>
    <row r="4962" spans="1:7">
      <c r="A4962">
        <v>325</v>
      </c>
      <c r="B4962">
        <v>233</v>
      </c>
      <c r="C4962" s="1">
        <f>(Tabela1[[#This Row],[x]]-H$3)*(Tabela1[[#This Row],[x]]-H$3) +(Tabela1[[#This Row],[y]]-H$4)*(Tabela1[[#This Row],[y]]-H$4)</f>
        <v>16714</v>
      </c>
      <c r="D4962" s="1">
        <f>IF(Tabela1[[#This Row],[promien]]&lt;40000,1,0)</f>
        <v>1</v>
      </c>
      <c r="E4962" s="1">
        <f>IF(Tabela1[[#This Row],[promien]]=40000,1,0)</f>
        <v>0</v>
      </c>
      <c r="F4962" s="1">
        <v>3.1696896412736799</v>
      </c>
      <c r="G4962" s="1">
        <v>2.8096987683886798E-2</v>
      </c>
    </row>
    <row r="4963" spans="1:7">
      <c r="A4963">
        <v>334</v>
      </c>
      <c r="B4963">
        <v>362</v>
      </c>
      <c r="C4963" s="1">
        <f>(Tabela1[[#This Row],[x]]-H$3)*(Tabela1[[#This Row],[x]]-H$3) +(Tabela1[[#This Row],[y]]-H$4)*(Tabela1[[#This Row],[y]]-H$4)</f>
        <v>44200</v>
      </c>
      <c r="D4963" s="1">
        <f>IF(Tabela1[[#This Row],[promien]]&lt;40000,1,0)</f>
        <v>0</v>
      </c>
      <c r="E4963" s="1">
        <f>IF(Tabela1[[#This Row],[promien]]=40000,1,0)</f>
        <v>0</v>
      </c>
      <c r="F4963" s="1">
        <v>3.1690509772315134</v>
      </c>
      <c r="G4963" s="1">
        <v>2.7458323641720295E-2</v>
      </c>
    </row>
    <row r="4964" spans="1:7">
      <c r="A4964">
        <v>66</v>
      </c>
      <c r="B4964">
        <v>159</v>
      </c>
      <c r="C4964" s="1">
        <f>(Tabela1[[#This Row],[x]]-H$3)*(Tabela1[[#This Row],[x]]-H$3) +(Tabela1[[#This Row],[y]]-H$4)*(Tabela1[[#This Row],[y]]-H$4)</f>
        <v>19637</v>
      </c>
      <c r="D4964" s="1">
        <f>IF(Tabela1[[#This Row],[promien]]&lt;40000,1,0)</f>
        <v>1</v>
      </c>
      <c r="E4964" s="1">
        <f>IF(Tabela1[[#This Row],[promien]]=40000,1,0)</f>
        <v>0</v>
      </c>
      <c r="F4964" s="1">
        <v>3.1692183722804188</v>
      </c>
      <c r="G4964" s="1">
        <v>2.7625718690625689E-2</v>
      </c>
    </row>
    <row r="4965" spans="1:7">
      <c r="A4965">
        <v>110</v>
      </c>
      <c r="B4965">
        <v>268</v>
      </c>
      <c r="C4965" s="1">
        <f>(Tabela1[[#This Row],[x]]-H$3)*(Tabela1[[#This Row],[x]]-H$3) +(Tabela1[[#This Row],[y]]-H$4)*(Tabela1[[#This Row],[y]]-H$4)</f>
        <v>12724</v>
      </c>
      <c r="D4965" s="1">
        <f>IF(Tabela1[[#This Row],[promien]]&lt;40000,1,0)</f>
        <v>1</v>
      </c>
      <c r="E4965" s="1">
        <f>IF(Tabela1[[#This Row],[promien]]=40000,1,0)</f>
        <v>0</v>
      </c>
      <c r="F4965" s="1">
        <v>3.1693856998992951</v>
      </c>
      <c r="G4965" s="1">
        <v>2.7793046309501968E-2</v>
      </c>
    </row>
    <row r="4966" spans="1:7">
      <c r="A4966">
        <v>319</v>
      </c>
      <c r="B4966">
        <v>9</v>
      </c>
      <c r="C4966" s="1">
        <f>(Tabela1[[#This Row],[x]]-H$3)*(Tabela1[[#This Row],[x]]-H$3) +(Tabela1[[#This Row],[y]]-H$4)*(Tabela1[[#This Row],[y]]-H$4)</f>
        <v>50642</v>
      </c>
      <c r="D4966" s="1">
        <f>IF(Tabela1[[#This Row],[promien]]&lt;40000,1,0)</f>
        <v>0</v>
      </c>
      <c r="E4966" s="1">
        <f>IF(Tabela1[[#This Row],[promien]]=40000,1,0)</f>
        <v>0</v>
      </c>
      <c r="F4966" s="1">
        <v>3.1687474828836084</v>
      </c>
      <c r="G4966" s="1">
        <v>2.7154829293815297E-2</v>
      </c>
    </row>
    <row r="4967" spans="1:7">
      <c r="A4967">
        <v>399</v>
      </c>
      <c r="B4967">
        <v>125</v>
      </c>
      <c r="C4967" s="1">
        <f>(Tabela1[[#This Row],[x]]-H$3)*(Tabela1[[#This Row],[x]]-H$3) +(Tabela1[[#This Row],[y]]-H$4)*(Tabela1[[#This Row],[y]]-H$4)</f>
        <v>45226</v>
      </c>
      <c r="D4967" s="1">
        <f>IF(Tabela1[[#This Row],[promien]]&lt;40000,1,0)</f>
        <v>0</v>
      </c>
      <c r="E4967" s="1">
        <f>IF(Tabela1[[#This Row],[promien]]=40000,1,0)</f>
        <v>0</v>
      </c>
      <c r="F4967" s="1">
        <v>3.1681095228508154</v>
      </c>
      <c r="G4967" s="1">
        <v>2.6516869261022258E-2</v>
      </c>
    </row>
    <row r="4968" spans="1:7">
      <c r="A4968">
        <v>98</v>
      </c>
      <c r="B4968">
        <v>271</v>
      </c>
      <c r="C4968" s="1">
        <f>(Tabela1[[#This Row],[x]]-H$3)*(Tabela1[[#This Row],[x]]-H$3) +(Tabela1[[#This Row],[y]]-H$4)*(Tabela1[[#This Row],[y]]-H$4)</f>
        <v>15445</v>
      </c>
      <c r="D4968" s="1">
        <f>IF(Tabela1[[#This Row],[promien]]&lt;40000,1,0)</f>
        <v>1</v>
      </c>
      <c r="E4968" s="1">
        <f>IF(Tabela1[[#This Row],[promien]]=40000,1,0)</f>
        <v>0</v>
      </c>
      <c r="F4968" s="1">
        <v>3.1682769726247986</v>
      </c>
      <c r="G4968" s="1">
        <v>2.6684319035005455E-2</v>
      </c>
    </row>
    <row r="4969" spans="1:7">
      <c r="A4969">
        <v>225</v>
      </c>
      <c r="B4969">
        <v>293</v>
      </c>
      <c r="C4969" s="1">
        <f>(Tabela1[[#This Row],[x]]-H$3)*(Tabela1[[#This Row],[x]]-H$3) +(Tabela1[[#This Row],[y]]-H$4)*(Tabela1[[#This Row],[y]]-H$4)</f>
        <v>9274</v>
      </c>
      <c r="D4969" s="1">
        <f>IF(Tabela1[[#This Row],[promien]]&lt;40000,1,0)</f>
        <v>1</v>
      </c>
      <c r="E4969" s="1">
        <f>IF(Tabela1[[#This Row],[promien]]=40000,1,0)</f>
        <v>0</v>
      </c>
      <c r="F4969" s="1">
        <v>3.1684443550010064</v>
      </c>
      <c r="G4969" s="1">
        <v>2.6851701411213291E-2</v>
      </c>
    </row>
    <row r="4970" spans="1:7">
      <c r="A4970">
        <v>18</v>
      </c>
      <c r="B4970">
        <v>391</v>
      </c>
      <c r="C4970" s="1">
        <f>(Tabela1[[#This Row],[x]]-H$3)*(Tabela1[[#This Row],[x]]-H$3) +(Tabela1[[#This Row],[y]]-H$4)*(Tabela1[[#This Row],[y]]-H$4)</f>
        <v>69605</v>
      </c>
      <c r="D4970" s="1">
        <f>IF(Tabela1[[#This Row],[promien]]&lt;40000,1,0)</f>
        <v>0</v>
      </c>
      <c r="E4970" s="1">
        <f>IF(Tabela1[[#This Row],[promien]]=40000,1,0)</f>
        <v>0</v>
      </c>
      <c r="F4970" s="1">
        <v>3.1678068410462776</v>
      </c>
      <c r="G4970" s="1">
        <v>2.6214187456484517E-2</v>
      </c>
    </row>
    <row r="4971" spans="1:7">
      <c r="A4971">
        <v>398</v>
      </c>
      <c r="B4971">
        <v>266</v>
      </c>
      <c r="C4971" s="1">
        <f>(Tabela1[[#This Row],[x]]-H$3)*(Tabela1[[#This Row],[x]]-H$3) +(Tabela1[[#This Row],[y]]-H$4)*(Tabela1[[#This Row],[y]]-H$4)</f>
        <v>43560</v>
      </c>
      <c r="D4971" s="1">
        <f>IF(Tabela1[[#This Row],[promien]]&lt;40000,1,0)</f>
        <v>0</v>
      </c>
      <c r="E4971" s="1">
        <f>IF(Tabela1[[#This Row],[promien]]=40000,1,0)</f>
        <v>0</v>
      </c>
      <c r="F4971" s="1">
        <v>3.1671695835847919</v>
      </c>
      <c r="G4971" s="1">
        <v>2.5576929994998832E-2</v>
      </c>
    </row>
    <row r="4972" spans="1:7">
      <c r="A4972">
        <v>276</v>
      </c>
      <c r="B4972">
        <v>303</v>
      </c>
      <c r="C4972" s="1">
        <f>(Tabela1[[#This Row],[x]]-H$3)*(Tabela1[[#This Row],[x]]-H$3) +(Tabela1[[#This Row],[y]]-H$4)*(Tabela1[[#This Row],[y]]-H$4)</f>
        <v>16385</v>
      </c>
      <c r="D4972" s="1">
        <f>IF(Tabela1[[#This Row],[promien]]&lt;40000,1,0)</f>
        <v>1</v>
      </c>
      <c r="E4972" s="1">
        <f>IF(Tabela1[[#This Row],[promien]]=40000,1,0)</f>
        <v>0</v>
      </c>
      <c r="F4972" s="1">
        <v>3.1673370876910698</v>
      </c>
      <c r="G4972" s="1">
        <v>2.5744434101276692E-2</v>
      </c>
    </row>
    <row r="4973" spans="1:7">
      <c r="A4973">
        <v>262</v>
      </c>
      <c r="B4973">
        <v>178</v>
      </c>
      <c r="C4973" s="1">
        <f>(Tabela1[[#This Row],[x]]-H$3)*(Tabela1[[#This Row],[x]]-H$3) +(Tabela1[[#This Row],[y]]-H$4)*(Tabela1[[#This Row],[y]]-H$4)</f>
        <v>4328</v>
      </c>
      <c r="D4973" s="1">
        <f>IF(Tabela1[[#This Row],[promien]]&lt;40000,1,0)</f>
        <v>1</v>
      </c>
      <c r="E4973" s="1">
        <f>IF(Tabela1[[#This Row],[promien]]=40000,1,0)</f>
        <v>0</v>
      </c>
      <c r="F4973" s="1">
        <v>3.1675045244319326</v>
      </c>
      <c r="G4973" s="1">
        <v>2.5911870842139528E-2</v>
      </c>
    </row>
    <row r="4974" spans="1:7">
      <c r="A4974">
        <v>244</v>
      </c>
      <c r="B4974">
        <v>304</v>
      </c>
      <c r="C4974" s="1">
        <f>(Tabela1[[#This Row],[x]]-H$3)*(Tabela1[[#This Row],[x]]-H$3) +(Tabela1[[#This Row],[y]]-H$4)*(Tabela1[[#This Row],[y]]-H$4)</f>
        <v>12752</v>
      </c>
      <c r="D4974" s="1">
        <f>IF(Tabela1[[#This Row],[promien]]&lt;40000,1,0)</f>
        <v>1</v>
      </c>
      <c r="E4974" s="1">
        <f>IF(Tabela1[[#This Row],[promien]]=40000,1,0)</f>
        <v>0</v>
      </c>
      <c r="F4974" s="1">
        <v>3.1676718938480097</v>
      </c>
      <c r="G4974" s="1">
        <v>2.6079240258216618E-2</v>
      </c>
    </row>
    <row r="4975" spans="1:7">
      <c r="A4975">
        <v>165</v>
      </c>
      <c r="B4975">
        <v>188</v>
      </c>
      <c r="C4975" s="1">
        <f>(Tabela1[[#This Row],[x]]-H$3)*(Tabela1[[#This Row],[x]]-H$3) +(Tabela1[[#This Row],[y]]-H$4)*(Tabela1[[#This Row],[y]]-H$4)</f>
        <v>1369</v>
      </c>
      <c r="D4975" s="1">
        <f>IF(Tabela1[[#This Row],[promien]]&lt;40000,1,0)</f>
        <v>1</v>
      </c>
      <c r="E4975" s="1">
        <f>IF(Tabela1[[#This Row],[promien]]=40000,1,0)</f>
        <v>0</v>
      </c>
      <c r="F4975" s="1">
        <v>3.1678391959798997</v>
      </c>
      <c r="G4975" s="1">
        <v>2.6246542390106598E-2</v>
      </c>
    </row>
    <row r="4976" spans="1:7">
      <c r="A4976">
        <v>326</v>
      </c>
      <c r="B4976">
        <v>211</v>
      </c>
      <c r="C4976" s="1">
        <f>(Tabela1[[#This Row],[x]]-H$3)*(Tabela1[[#This Row],[x]]-H$3) +(Tabela1[[#This Row],[y]]-H$4)*(Tabela1[[#This Row],[y]]-H$4)</f>
        <v>15997</v>
      </c>
      <c r="D4976" s="1">
        <f>IF(Tabela1[[#This Row],[promien]]&lt;40000,1,0)</f>
        <v>1</v>
      </c>
      <c r="E4976" s="1">
        <f>IF(Tabela1[[#This Row],[promien]]=40000,1,0)</f>
        <v>0</v>
      </c>
      <c r="F4976" s="1">
        <v>3.168006430868167</v>
      </c>
      <c r="G4976" s="1">
        <v>2.6413777278373907E-2</v>
      </c>
    </row>
    <row r="4977" spans="1:7">
      <c r="A4977">
        <v>135</v>
      </c>
      <c r="B4977">
        <v>45</v>
      </c>
      <c r="C4977" s="1">
        <f>(Tabela1[[#This Row],[x]]-H$3)*(Tabela1[[#This Row],[x]]-H$3) +(Tabela1[[#This Row],[y]]-H$4)*(Tabela1[[#This Row],[y]]-H$4)</f>
        <v>28250</v>
      </c>
      <c r="D4977" s="1">
        <f>IF(Tabela1[[#This Row],[promien]]&lt;40000,1,0)</f>
        <v>1</v>
      </c>
      <c r="E4977" s="1">
        <f>IF(Tabela1[[#This Row],[promien]]=40000,1,0)</f>
        <v>0</v>
      </c>
      <c r="F4977" s="1">
        <v>3.1681735985533455</v>
      </c>
      <c r="G4977" s="1">
        <v>2.6580944963552344E-2</v>
      </c>
    </row>
    <row r="4978" spans="1:7">
      <c r="A4978">
        <v>51</v>
      </c>
      <c r="B4978">
        <v>32</v>
      </c>
      <c r="C4978" s="1">
        <f>(Tabela1[[#This Row],[x]]-H$3)*(Tabela1[[#This Row],[x]]-H$3) +(Tabela1[[#This Row],[y]]-H$4)*(Tabela1[[#This Row],[y]]-H$4)</f>
        <v>50425</v>
      </c>
      <c r="D4978" s="1">
        <f>IF(Tabela1[[#This Row],[promien]]&lt;40000,1,0)</f>
        <v>0</v>
      </c>
      <c r="E4978" s="1">
        <f>IF(Tabela1[[#This Row],[promien]]=40000,1,0)</f>
        <v>0</v>
      </c>
      <c r="F4978" s="1">
        <v>3.1675371635194858</v>
      </c>
      <c r="G4978" s="1">
        <v>2.5944509929692661E-2</v>
      </c>
    </row>
    <row r="4979" spans="1:7">
      <c r="A4979">
        <v>285</v>
      </c>
      <c r="B4979">
        <v>344</v>
      </c>
      <c r="C4979" s="1">
        <f>(Tabela1[[#This Row],[x]]-H$3)*(Tabela1[[#This Row],[x]]-H$3) +(Tabela1[[#This Row],[y]]-H$4)*(Tabela1[[#This Row],[y]]-H$4)</f>
        <v>27961</v>
      </c>
      <c r="D4979" s="1">
        <f>IF(Tabela1[[#This Row],[promien]]&lt;40000,1,0)</f>
        <v>1</v>
      </c>
      <c r="E4979" s="1">
        <f>IF(Tabela1[[#This Row],[promien]]=40000,1,0)</f>
        <v>0</v>
      </c>
      <c r="F4979" s="1">
        <v>3.1677043583048805</v>
      </c>
      <c r="G4979" s="1">
        <v>2.6111704715087392E-2</v>
      </c>
    </row>
    <row r="4980" spans="1:7">
      <c r="A4980">
        <v>364</v>
      </c>
      <c r="B4980">
        <v>349</v>
      </c>
      <c r="C4980" s="1">
        <f>(Tabela1[[#This Row],[x]]-H$3)*(Tabela1[[#This Row],[x]]-H$3) +(Tabela1[[#This Row],[y]]-H$4)*(Tabela1[[#This Row],[y]]-H$4)</f>
        <v>49097</v>
      </c>
      <c r="D4980" s="1">
        <f>IF(Tabela1[[#This Row],[promien]]&lt;40000,1,0)</f>
        <v>0</v>
      </c>
      <c r="E4980" s="1">
        <f>IF(Tabela1[[#This Row],[promien]]=40000,1,0)</f>
        <v>0</v>
      </c>
      <c r="F4980" s="1">
        <v>3.1670682730923696</v>
      </c>
      <c r="G4980" s="1">
        <v>2.5475619502576485E-2</v>
      </c>
    </row>
    <row r="4981" spans="1:7">
      <c r="A4981">
        <v>244</v>
      </c>
      <c r="B4981">
        <v>400</v>
      </c>
      <c r="C4981" s="1">
        <f>(Tabela1[[#This Row],[x]]-H$3)*(Tabela1[[#This Row],[x]]-H$3) +(Tabela1[[#This Row],[y]]-H$4)*(Tabela1[[#This Row],[y]]-H$4)</f>
        <v>41936</v>
      </c>
      <c r="D4981" s="1">
        <f>IF(Tabela1[[#This Row],[promien]]&lt;40000,1,0)</f>
        <v>0</v>
      </c>
      <c r="E4981" s="1">
        <f>IF(Tabela1[[#This Row],[promien]]=40000,1,0)</f>
        <v>0</v>
      </c>
      <c r="F4981" s="1">
        <v>3.166432443284481</v>
      </c>
      <c r="G4981" s="1">
        <v>2.4839789694687919E-2</v>
      </c>
    </row>
    <row r="4982" spans="1:7">
      <c r="A4982">
        <v>273</v>
      </c>
      <c r="B4982">
        <v>392</v>
      </c>
      <c r="C4982" s="1">
        <f>(Tabela1[[#This Row],[x]]-H$3)*(Tabela1[[#This Row],[x]]-H$3) +(Tabela1[[#This Row],[y]]-H$4)*(Tabela1[[#This Row],[y]]-H$4)</f>
        <v>42193</v>
      </c>
      <c r="D4982" s="1">
        <f>IF(Tabela1[[#This Row],[promien]]&lt;40000,1,0)</f>
        <v>0</v>
      </c>
      <c r="E4982" s="1">
        <f>IF(Tabela1[[#This Row],[promien]]=40000,1,0)</f>
        <v>0</v>
      </c>
      <c r="F4982" s="1">
        <v>3.1657968687274187</v>
      </c>
      <c r="G4982" s="1">
        <v>2.4204215137625607E-2</v>
      </c>
    </row>
    <row r="4983" spans="1:7">
      <c r="A4983">
        <v>342</v>
      </c>
      <c r="B4983">
        <v>20</v>
      </c>
      <c r="C4983" s="1">
        <f>(Tabela1[[#This Row],[x]]-H$3)*(Tabela1[[#This Row],[x]]-H$3) +(Tabela1[[#This Row],[y]]-H$4)*(Tabela1[[#This Row],[y]]-H$4)</f>
        <v>52564</v>
      </c>
      <c r="D4983" s="1">
        <f>IF(Tabela1[[#This Row],[promien]]&lt;40000,1,0)</f>
        <v>0</v>
      </c>
      <c r="E4983" s="1">
        <f>IF(Tabela1[[#This Row],[promien]]=40000,1,0)</f>
        <v>0</v>
      </c>
      <c r="F4983" s="1">
        <v>3.1651615492675096</v>
      </c>
      <c r="G4983" s="1">
        <v>2.3568895677716473E-2</v>
      </c>
    </row>
    <row r="4984" spans="1:7">
      <c r="A4984">
        <v>184</v>
      </c>
      <c r="B4984">
        <v>269</v>
      </c>
      <c r="C4984" s="1">
        <f>(Tabela1[[#This Row],[x]]-H$3)*(Tabela1[[#This Row],[x]]-H$3) +(Tabela1[[#This Row],[y]]-H$4)*(Tabela1[[#This Row],[y]]-H$4)</f>
        <v>5017</v>
      </c>
      <c r="D4984" s="1">
        <f>IF(Tabela1[[#This Row],[promien]]&lt;40000,1,0)</f>
        <v>1</v>
      </c>
      <c r="E4984" s="1">
        <f>IF(Tabela1[[#This Row],[promien]]=40000,1,0)</f>
        <v>0</v>
      </c>
      <c r="F4984" s="1">
        <v>3.1653290529695024</v>
      </c>
      <c r="G4984" s="1">
        <v>2.3736399379709283E-2</v>
      </c>
    </row>
    <row r="4985" spans="1:7">
      <c r="A4985">
        <v>195</v>
      </c>
      <c r="B4985">
        <v>337</v>
      </c>
      <c r="C4985" s="1">
        <f>(Tabela1[[#This Row],[x]]-H$3)*(Tabela1[[#This Row],[x]]-H$3) +(Tabela1[[#This Row],[y]]-H$4)*(Tabela1[[#This Row],[y]]-H$4)</f>
        <v>18794</v>
      </c>
      <c r="D4985" s="1">
        <f>IF(Tabela1[[#This Row],[promien]]&lt;40000,1,0)</f>
        <v>1</v>
      </c>
      <c r="E4985" s="1">
        <f>IF(Tabela1[[#This Row],[promien]]=40000,1,0)</f>
        <v>0</v>
      </c>
      <c r="F4985" s="1">
        <v>3.165496489468405</v>
      </c>
      <c r="G4985" s="1">
        <v>2.390383587861189E-2</v>
      </c>
    </row>
    <row r="4986" spans="1:7">
      <c r="A4986">
        <v>1</v>
      </c>
      <c r="B4986">
        <v>241</v>
      </c>
      <c r="C4986" s="1">
        <f>(Tabela1[[#This Row],[x]]-H$3)*(Tabela1[[#This Row],[x]]-H$3) +(Tabela1[[#This Row],[y]]-H$4)*(Tabela1[[#This Row],[y]]-H$4)</f>
        <v>41282</v>
      </c>
      <c r="D4986" s="1">
        <f>IF(Tabela1[[#This Row],[promien]]&lt;40000,1,0)</f>
        <v>0</v>
      </c>
      <c r="E4986" s="1">
        <f>IF(Tabela1[[#This Row],[promien]]=40000,1,0)</f>
        <v>0</v>
      </c>
      <c r="F4986" s="1">
        <v>3.1648616125150419</v>
      </c>
      <c r="G4986" s="1">
        <v>2.3268958925248828E-2</v>
      </c>
    </row>
    <row r="4987" spans="1:7">
      <c r="A4987">
        <v>201</v>
      </c>
      <c r="B4987">
        <v>239</v>
      </c>
      <c r="C4987" s="1">
        <f>(Tabela1[[#This Row],[x]]-H$3)*(Tabela1[[#This Row],[x]]-H$3) +(Tabela1[[#This Row],[y]]-H$4)*(Tabela1[[#This Row],[y]]-H$4)</f>
        <v>1522</v>
      </c>
      <c r="D4987" s="1">
        <f>IF(Tabela1[[#This Row],[promien]]&lt;40000,1,0)</f>
        <v>1</v>
      </c>
      <c r="E4987" s="1">
        <f>IF(Tabela1[[#This Row],[promien]]=40000,1,0)</f>
        <v>0</v>
      </c>
      <c r="F4987" s="1">
        <v>3.1650290755965509</v>
      </c>
      <c r="G4987" s="1">
        <v>2.3436422006757773E-2</v>
      </c>
    </row>
    <row r="4988" spans="1:7">
      <c r="A4988">
        <v>93</v>
      </c>
      <c r="B4988">
        <v>187</v>
      </c>
      <c r="C4988" s="1">
        <f>(Tabela1[[#This Row],[x]]-H$3)*(Tabela1[[#This Row],[x]]-H$3) +(Tabela1[[#This Row],[y]]-H$4)*(Tabela1[[#This Row],[y]]-H$4)</f>
        <v>11618</v>
      </c>
      <c r="D4988" s="1">
        <f>IF(Tabela1[[#This Row],[promien]]&lt;40000,1,0)</f>
        <v>1</v>
      </c>
      <c r="E4988" s="1">
        <f>IF(Tabela1[[#This Row],[promien]]=40000,1,0)</f>
        <v>0</v>
      </c>
      <c r="F4988" s="1">
        <v>3.1651964715316758</v>
      </c>
      <c r="G4988" s="1">
        <v>2.360381794188271E-2</v>
      </c>
    </row>
    <row r="4989" spans="1:7">
      <c r="A4989">
        <v>194</v>
      </c>
      <c r="B4989">
        <v>139</v>
      </c>
      <c r="C4989" s="1">
        <f>(Tabela1[[#This Row],[x]]-H$3)*(Tabela1[[#This Row],[x]]-H$3) +(Tabela1[[#This Row],[y]]-H$4)*(Tabela1[[#This Row],[y]]-H$4)</f>
        <v>3757</v>
      </c>
      <c r="D4989" s="1">
        <f>IF(Tabela1[[#This Row],[promien]]&lt;40000,1,0)</f>
        <v>1</v>
      </c>
      <c r="E4989" s="1">
        <f>IF(Tabela1[[#This Row],[promien]]=40000,1,0)</f>
        <v>0</v>
      </c>
      <c r="F4989" s="1">
        <v>3.1653638003607938</v>
      </c>
      <c r="G4989" s="1">
        <v>2.3771146771000673E-2</v>
      </c>
    </row>
    <row r="4990" spans="1:7">
      <c r="A4990">
        <v>115</v>
      </c>
      <c r="B4990">
        <v>380</v>
      </c>
      <c r="C4990" s="1">
        <f>(Tabela1[[#This Row],[x]]-H$3)*(Tabela1[[#This Row],[x]]-H$3) +(Tabela1[[#This Row],[y]]-H$4)*(Tabela1[[#This Row],[y]]-H$4)</f>
        <v>39625</v>
      </c>
      <c r="D4990" s="1">
        <f>IF(Tabela1[[#This Row],[promien]]&lt;40000,1,0)</f>
        <v>1</v>
      </c>
      <c r="E4990" s="1">
        <f>IF(Tabela1[[#This Row],[promien]]=40000,1,0)</f>
        <v>0</v>
      </c>
      <c r="F4990" s="1">
        <v>3.1655310621242485</v>
      </c>
      <c r="G4990" s="1">
        <v>2.3938408534455391E-2</v>
      </c>
    </row>
    <row r="4991" spans="1:7">
      <c r="A4991">
        <v>3</v>
      </c>
      <c r="B4991">
        <v>50</v>
      </c>
      <c r="C4991" s="1">
        <f>(Tabela1[[#This Row],[x]]-H$3)*(Tabela1[[#This Row],[x]]-H$3) +(Tabela1[[#This Row],[y]]-H$4)*(Tabela1[[#This Row],[y]]-H$4)</f>
        <v>61309</v>
      </c>
      <c r="D4991" s="1">
        <f>IF(Tabela1[[#This Row],[promien]]&lt;40000,1,0)</f>
        <v>0</v>
      </c>
      <c r="E4991" s="1">
        <f>IF(Tabela1[[#This Row],[promien]]=40000,1,0)</f>
        <v>0</v>
      </c>
      <c r="F4991" s="1">
        <v>3.1648968142656781</v>
      </c>
      <c r="G4991" s="1">
        <v>2.3304160675885033E-2</v>
      </c>
    </row>
    <row r="4992" spans="1:7">
      <c r="A4992">
        <v>29</v>
      </c>
      <c r="B4992">
        <v>166</v>
      </c>
      <c r="C4992" s="1">
        <f>(Tabela1[[#This Row],[x]]-H$3)*(Tabela1[[#This Row],[x]]-H$3) +(Tabela1[[#This Row],[y]]-H$4)*(Tabela1[[#This Row],[y]]-H$4)</f>
        <v>30397</v>
      </c>
      <c r="D4992" s="1">
        <f>IF(Tabela1[[#This Row],[promien]]&lt;40000,1,0)</f>
        <v>1</v>
      </c>
      <c r="E4992" s="1">
        <f>IF(Tabela1[[#This Row],[promien]]=40000,1,0)</f>
        <v>0</v>
      </c>
      <c r="F4992" s="1">
        <v>3.1650641025641026</v>
      </c>
      <c r="G4992" s="1">
        <v>2.3471448974309528E-2</v>
      </c>
    </row>
    <row r="4993" spans="1:7">
      <c r="A4993">
        <v>274</v>
      </c>
      <c r="B4993">
        <v>111</v>
      </c>
      <c r="C4993" s="1">
        <f>(Tabela1[[#This Row],[x]]-H$3)*(Tabela1[[#This Row],[x]]-H$3) +(Tabela1[[#This Row],[y]]-H$4)*(Tabela1[[#This Row],[y]]-H$4)</f>
        <v>13397</v>
      </c>
      <c r="D4993" s="1">
        <f>IF(Tabela1[[#This Row],[promien]]&lt;40000,1,0)</f>
        <v>1</v>
      </c>
      <c r="E4993" s="1">
        <f>IF(Tabela1[[#This Row],[promien]]=40000,1,0)</f>
        <v>0</v>
      </c>
      <c r="F4993" s="1">
        <v>3.1652313238533947</v>
      </c>
      <c r="G4993" s="1">
        <v>2.3638670263601558E-2</v>
      </c>
    </row>
    <row r="4994" spans="1:7">
      <c r="A4994">
        <v>354</v>
      </c>
      <c r="B4994">
        <v>53</v>
      </c>
      <c r="C4994" s="1">
        <f>(Tabela1[[#This Row],[x]]-H$3)*(Tabela1[[#This Row],[x]]-H$3) +(Tabela1[[#This Row],[y]]-H$4)*(Tabela1[[#This Row],[y]]-H$4)</f>
        <v>45325</v>
      </c>
      <c r="D4994" s="1">
        <f>IF(Tabela1[[#This Row],[promien]]&lt;40000,1,0)</f>
        <v>0</v>
      </c>
      <c r="E4994" s="1">
        <f>IF(Tabela1[[#This Row],[promien]]=40000,1,0)</f>
        <v>0</v>
      </c>
      <c r="F4994" s="1">
        <v>3.1645975170204244</v>
      </c>
      <c r="G4994" s="1">
        <v>2.3004863430631239E-2</v>
      </c>
    </row>
    <row r="4995" spans="1:7">
      <c r="A4995">
        <v>153</v>
      </c>
      <c r="B4995">
        <v>150</v>
      </c>
      <c r="C4995" s="1">
        <f>(Tabela1[[#This Row],[x]]-H$3)*(Tabela1[[#This Row],[x]]-H$3) +(Tabela1[[#This Row],[y]]-H$4)*(Tabela1[[#This Row],[y]]-H$4)</f>
        <v>4709</v>
      </c>
      <c r="D4995" s="1">
        <f>IF(Tabela1[[#This Row],[promien]]&lt;40000,1,0)</f>
        <v>1</v>
      </c>
      <c r="E4995" s="1">
        <f>IF(Tabela1[[#This Row],[promien]]=40000,1,0)</f>
        <v>0</v>
      </c>
      <c r="F4995" s="1">
        <v>3.1647647647647648</v>
      </c>
      <c r="G4995" s="1">
        <v>2.3172111174971644E-2</v>
      </c>
    </row>
    <row r="4996" spans="1:7">
      <c r="A4996">
        <v>206</v>
      </c>
      <c r="B4996">
        <v>162</v>
      </c>
      <c r="C4996" s="1">
        <f>(Tabela1[[#This Row],[x]]-H$3)*(Tabela1[[#This Row],[x]]-H$3) +(Tabela1[[#This Row],[y]]-H$4)*(Tabela1[[#This Row],[y]]-H$4)</f>
        <v>1480</v>
      </c>
      <c r="D4996" s="1">
        <f>IF(Tabela1[[#This Row],[promien]]&lt;40000,1,0)</f>
        <v>1</v>
      </c>
      <c r="E4996" s="1">
        <f>IF(Tabela1[[#This Row],[promien]]=40000,1,0)</f>
        <v>0</v>
      </c>
      <c r="F4996" s="1">
        <v>3.1649319455564453</v>
      </c>
      <c r="G4996" s="1">
        <v>2.3339291966652187E-2</v>
      </c>
    </row>
    <row r="4997" spans="1:7">
      <c r="A4997">
        <v>170</v>
      </c>
      <c r="B4997">
        <v>194</v>
      </c>
      <c r="C4997" s="1">
        <f>(Tabela1[[#This Row],[x]]-H$3)*(Tabela1[[#This Row],[x]]-H$3) +(Tabela1[[#This Row],[y]]-H$4)*(Tabela1[[#This Row],[y]]-H$4)</f>
        <v>936</v>
      </c>
      <c r="D4997" s="1">
        <f>IF(Tabela1[[#This Row],[promien]]&lt;40000,1,0)</f>
        <v>1</v>
      </c>
      <c r="E4997" s="1">
        <f>IF(Tabela1[[#This Row],[promien]]=40000,1,0)</f>
        <v>0</v>
      </c>
      <c r="F4997" s="1">
        <v>3.1650990594356614</v>
      </c>
      <c r="G4997" s="1">
        <v>2.3506405845868272E-2</v>
      </c>
    </row>
    <row r="4998" spans="1:7">
      <c r="A4998">
        <v>329</v>
      </c>
      <c r="B4998">
        <v>122</v>
      </c>
      <c r="C4998" s="1">
        <f>(Tabela1[[#This Row],[x]]-H$3)*(Tabela1[[#This Row],[x]]-H$3) +(Tabela1[[#This Row],[y]]-H$4)*(Tabela1[[#This Row],[y]]-H$4)</f>
        <v>22725</v>
      </c>
      <c r="D4998" s="1">
        <f>IF(Tabela1[[#This Row],[promien]]&lt;40000,1,0)</f>
        <v>1</v>
      </c>
      <c r="E4998" s="1">
        <f>IF(Tabela1[[#This Row],[promien]]=40000,1,0)</f>
        <v>0</v>
      </c>
      <c r="F4998" s="1">
        <v>3.1652661064425769</v>
      </c>
      <c r="G4998" s="1">
        <v>2.3673452852783772E-2</v>
      </c>
    </row>
    <row r="4999" spans="1:7">
      <c r="A4999">
        <v>170</v>
      </c>
      <c r="B4999">
        <v>381</v>
      </c>
      <c r="C4999" s="1">
        <f>(Tabela1[[#This Row],[x]]-H$3)*(Tabela1[[#This Row],[x]]-H$3) +(Tabela1[[#This Row],[y]]-H$4)*(Tabela1[[#This Row],[y]]-H$4)</f>
        <v>33661</v>
      </c>
      <c r="D4999" s="1">
        <f>IF(Tabela1[[#This Row],[promien]]&lt;40000,1,0)</f>
        <v>1</v>
      </c>
      <c r="E4999" s="1">
        <f>IF(Tabela1[[#This Row],[promien]]=40000,1,0)</f>
        <v>0</v>
      </c>
      <c r="F4999" s="1">
        <v>3.1654330866173233</v>
      </c>
      <c r="G4999" s="1">
        <v>2.3840433027530139E-2</v>
      </c>
    </row>
    <row r="5000" spans="1:7">
      <c r="A5000">
        <v>266</v>
      </c>
      <c r="B5000">
        <v>193</v>
      </c>
      <c r="C5000" s="1">
        <f>(Tabela1[[#This Row],[x]]-H$3)*(Tabela1[[#This Row],[x]]-H$3) +(Tabela1[[#This Row],[y]]-H$4)*(Tabela1[[#This Row],[y]]-H$4)</f>
        <v>4405</v>
      </c>
      <c r="D5000" s="1">
        <f>IF(Tabela1[[#This Row],[promien]]&lt;40000,1,0)</f>
        <v>1</v>
      </c>
      <c r="E5000" s="1">
        <f>IF(Tabela1[[#This Row],[promien]]=40000,1,0)</f>
        <v>0</v>
      </c>
      <c r="F5000" s="1">
        <v>3.1656</v>
      </c>
      <c r="G5000" s="1">
        <v>2.4007346410206853E-2</v>
      </c>
    </row>
    <row r="5001" spans="1:7">
      <c r="A5001">
        <v>20</v>
      </c>
      <c r="B5001">
        <v>66</v>
      </c>
      <c r="C5001" s="1">
        <f>(Tabela1[[#This Row],[x]]-H$3)*(Tabela1[[#This Row],[x]]-H$3) +(Tabela1[[#This Row],[y]]-H$4)*(Tabela1[[#This Row],[y]]-H$4)</f>
        <v>50356</v>
      </c>
      <c r="D5001" s="1">
        <f>IF(Tabela1[[#This Row],[promien]]&lt;40000,1,0)</f>
        <v>0</v>
      </c>
      <c r="E5001" s="1">
        <f>IF(Tabela1[[#This Row],[promien]]=40000,1,0)</f>
        <v>0</v>
      </c>
      <c r="F5001" s="1">
        <v>3.1649670065986801</v>
      </c>
      <c r="G5001" s="1">
        <v>2.3374353008887017E-2</v>
      </c>
    </row>
    <row r="5002" spans="1:7">
      <c r="A5002">
        <v>200</v>
      </c>
      <c r="B5002">
        <v>400</v>
      </c>
      <c r="C5002" s="1">
        <f>(Tabela1[[#This Row],[x]]-H$3)*(Tabela1[[#This Row],[x]]-H$3) +(Tabela1[[#This Row],[y]]-H$4)*(Tabela1[[#This Row],[y]]-H$4)</f>
        <v>40000</v>
      </c>
      <c r="D5002" s="1">
        <f>IF(Tabela1[[#This Row],[promien]]&lt;40000,1,0)</f>
        <v>0</v>
      </c>
      <c r="E5002" s="1">
        <f>IF(Tabela1[[#This Row],[promien]]=40000,1,0)</f>
        <v>1</v>
      </c>
      <c r="F5002" s="1">
        <v>3.1651339464214314</v>
      </c>
      <c r="G5002" s="1">
        <v>2.3541292831638305E-2</v>
      </c>
    </row>
    <row r="5003" spans="1:7">
      <c r="A5003">
        <v>166</v>
      </c>
      <c r="B5003">
        <v>347</v>
      </c>
      <c r="C5003" s="1">
        <f>(Tabela1[[#This Row],[x]]-H$3)*(Tabela1[[#This Row],[x]]-H$3) +(Tabela1[[#This Row],[y]]-H$4)*(Tabela1[[#This Row],[y]]-H$4)</f>
        <v>22765</v>
      </c>
      <c r="D5003" s="1">
        <f>IF(Tabela1[[#This Row],[promien]]&lt;40000,1,0)</f>
        <v>1</v>
      </c>
      <c r="E5003" s="1">
        <f>IF(Tabela1[[#This Row],[promien]]=40000,1,0)</f>
        <v>0</v>
      </c>
      <c r="F5003" s="1">
        <v>3.1653008195082952</v>
      </c>
      <c r="G5003" s="1">
        <v>2.3708165918502111E-2</v>
      </c>
    </row>
    <row r="5004" spans="1:7">
      <c r="A5004">
        <v>3</v>
      </c>
      <c r="B5004">
        <v>256</v>
      </c>
      <c r="C5004" s="1">
        <f>(Tabela1[[#This Row],[x]]-H$3)*(Tabela1[[#This Row],[x]]-H$3) +(Tabela1[[#This Row],[y]]-H$4)*(Tabela1[[#This Row],[y]]-H$4)</f>
        <v>41945</v>
      </c>
      <c r="D5004" s="1">
        <f>IF(Tabela1[[#This Row],[promien]]&lt;40000,1,0)</f>
        <v>0</v>
      </c>
      <c r="E5004" s="1">
        <f>IF(Tabela1[[#This Row],[promien]]=40000,1,0)</f>
        <v>0</v>
      </c>
      <c r="F5004" s="1">
        <v>3.1646682653876899</v>
      </c>
      <c r="G5004" s="1">
        <v>2.3075611797896745E-2</v>
      </c>
    </row>
    <row r="5005" spans="1:7">
      <c r="A5005">
        <v>30</v>
      </c>
      <c r="B5005">
        <v>279</v>
      </c>
      <c r="C5005" s="1">
        <f>(Tabela1[[#This Row],[x]]-H$3)*(Tabela1[[#This Row],[x]]-H$3) +(Tabela1[[#This Row],[y]]-H$4)*(Tabela1[[#This Row],[y]]-H$4)</f>
        <v>35141</v>
      </c>
      <c r="D5005" s="1">
        <f>IF(Tabela1[[#This Row],[promien]]&lt;40000,1,0)</f>
        <v>1</v>
      </c>
      <c r="E5005" s="1">
        <f>IF(Tabela1[[#This Row],[promien]]=40000,1,0)</f>
        <v>0</v>
      </c>
      <c r="F5005" s="1">
        <v>3.1648351648351647</v>
      </c>
      <c r="G5005" s="1">
        <v>2.3242511245371578E-2</v>
      </c>
    </row>
    <row r="5006" spans="1:7">
      <c r="A5006">
        <v>191</v>
      </c>
      <c r="B5006">
        <v>78</v>
      </c>
      <c r="C5006" s="1">
        <f>(Tabela1[[#This Row],[x]]-H$3)*(Tabela1[[#This Row],[x]]-H$3) +(Tabela1[[#This Row],[y]]-H$4)*(Tabela1[[#This Row],[y]]-H$4)</f>
        <v>14965</v>
      </c>
      <c r="D5006" s="1">
        <f>IF(Tabela1[[#This Row],[promien]]&lt;40000,1,0)</f>
        <v>1</v>
      </c>
      <c r="E5006" s="1">
        <f>IF(Tabela1[[#This Row],[promien]]=40000,1,0)</f>
        <v>0</v>
      </c>
      <c r="F5006" s="1">
        <v>3.1650019976028765</v>
      </c>
      <c r="G5006" s="1">
        <v>2.3409344013083366E-2</v>
      </c>
    </row>
    <row r="5007" spans="1:7">
      <c r="A5007">
        <v>299</v>
      </c>
      <c r="B5007">
        <v>140</v>
      </c>
      <c r="C5007" s="1">
        <f>(Tabela1[[#This Row],[x]]-H$3)*(Tabela1[[#This Row],[x]]-H$3) +(Tabela1[[#This Row],[y]]-H$4)*(Tabela1[[#This Row],[y]]-H$4)</f>
        <v>13401</v>
      </c>
      <c r="D5007" s="1">
        <f>IF(Tabela1[[#This Row],[promien]]&lt;40000,1,0)</f>
        <v>1</v>
      </c>
      <c r="E5007" s="1">
        <f>IF(Tabela1[[#This Row],[promien]]=40000,1,0)</f>
        <v>0</v>
      </c>
      <c r="F5007" s="1">
        <v>3.1651687637307768</v>
      </c>
      <c r="G5007" s="1">
        <v>2.3576110140983708E-2</v>
      </c>
    </row>
    <row r="5008" spans="1:7">
      <c r="A5008">
        <v>226</v>
      </c>
      <c r="B5008">
        <v>164</v>
      </c>
      <c r="C5008" s="1">
        <f>(Tabela1[[#This Row],[x]]-H$3)*(Tabela1[[#This Row],[x]]-H$3) +(Tabela1[[#This Row],[y]]-H$4)*(Tabela1[[#This Row],[y]]-H$4)</f>
        <v>1972</v>
      </c>
      <c r="D5008" s="1">
        <f>IF(Tabela1[[#This Row],[promien]]&lt;40000,1,0)</f>
        <v>1</v>
      </c>
      <c r="E5008" s="1">
        <f>IF(Tabela1[[#This Row],[promien]]=40000,1,0)</f>
        <v>0</v>
      </c>
      <c r="F5008" s="1">
        <v>3.1653354632587858</v>
      </c>
      <c r="G5008" s="1">
        <v>2.374280966899267E-2</v>
      </c>
    </row>
    <row r="5009" spans="1:7">
      <c r="A5009">
        <v>49</v>
      </c>
      <c r="B5009">
        <v>99</v>
      </c>
      <c r="C5009" s="1">
        <f>(Tabela1[[#This Row],[x]]-H$3)*(Tabela1[[#This Row],[x]]-H$3) +(Tabela1[[#This Row],[y]]-H$4)*(Tabela1[[#This Row],[y]]-H$4)</f>
        <v>33002</v>
      </c>
      <c r="D5009" s="1">
        <f>IF(Tabela1[[#This Row],[promien]]&lt;40000,1,0)</f>
        <v>1</v>
      </c>
      <c r="E5009" s="1">
        <f>IF(Tabela1[[#This Row],[promien]]=40000,1,0)</f>
        <v>0</v>
      </c>
      <c r="F5009" s="1">
        <v>3.1655020962267919</v>
      </c>
      <c r="G5009" s="1">
        <v>2.390944263699879E-2</v>
      </c>
    </row>
    <row r="5010" spans="1:7">
      <c r="A5010">
        <v>188</v>
      </c>
      <c r="B5010">
        <v>111</v>
      </c>
      <c r="C5010" s="1">
        <f>(Tabela1[[#This Row],[x]]-H$3)*(Tabela1[[#This Row],[x]]-H$3) +(Tabela1[[#This Row],[y]]-H$4)*(Tabela1[[#This Row],[y]]-H$4)</f>
        <v>8065</v>
      </c>
      <c r="D5010" s="1">
        <f>IF(Tabela1[[#This Row],[promien]]&lt;40000,1,0)</f>
        <v>1</v>
      </c>
      <c r="E5010" s="1">
        <f>IF(Tabela1[[#This Row],[promien]]=40000,1,0)</f>
        <v>0</v>
      </c>
      <c r="F5010" s="1">
        <v>3.1656686626746509</v>
      </c>
      <c r="G5010" s="1">
        <v>2.4076009084857741E-2</v>
      </c>
    </row>
    <row r="5011" spans="1:7">
      <c r="A5011">
        <v>147</v>
      </c>
      <c r="B5011">
        <v>383</v>
      </c>
      <c r="C5011" s="1">
        <f>(Tabela1[[#This Row],[x]]-H$3)*(Tabela1[[#This Row],[x]]-H$3) +(Tabela1[[#This Row],[y]]-H$4)*(Tabela1[[#This Row],[y]]-H$4)</f>
        <v>36298</v>
      </c>
      <c r="D5011" s="1">
        <f>IF(Tabela1[[#This Row],[promien]]&lt;40000,1,0)</f>
        <v>1</v>
      </c>
      <c r="E5011" s="1">
        <f>IF(Tabela1[[#This Row],[promien]]=40000,1,0)</f>
        <v>0</v>
      </c>
      <c r="F5011" s="1">
        <v>3.1658351626421872</v>
      </c>
      <c r="G5011" s="1">
        <v>2.4242509052394112E-2</v>
      </c>
    </row>
    <row r="5012" spans="1:7">
      <c r="A5012">
        <v>4</v>
      </c>
      <c r="B5012">
        <v>290</v>
      </c>
      <c r="C5012" s="1">
        <f>(Tabela1[[#This Row],[x]]-H$3)*(Tabela1[[#This Row],[x]]-H$3) +(Tabela1[[#This Row],[y]]-H$4)*(Tabela1[[#This Row],[y]]-H$4)</f>
        <v>46516</v>
      </c>
      <c r="D5012" s="1">
        <f>IF(Tabela1[[#This Row],[promien]]&lt;40000,1,0)</f>
        <v>0</v>
      </c>
      <c r="E5012" s="1">
        <f>IF(Tabela1[[#This Row],[promien]]=40000,1,0)</f>
        <v>0</v>
      </c>
      <c r="F5012" s="1">
        <v>3.1652035115722268</v>
      </c>
      <c r="G5012" s="1">
        <v>2.3610857982433675E-2</v>
      </c>
    </row>
    <row r="5013" spans="1:7">
      <c r="A5013">
        <v>249</v>
      </c>
      <c r="B5013">
        <v>359</v>
      </c>
      <c r="C5013" s="1">
        <f>(Tabela1[[#This Row],[x]]-H$3)*(Tabela1[[#This Row],[x]]-H$3) +(Tabela1[[#This Row],[y]]-H$4)*(Tabela1[[#This Row],[y]]-H$4)</f>
        <v>27682</v>
      </c>
      <c r="D5013" s="1">
        <f>IF(Tabela1[[#This Row],[promien]]&lt;40000,1,0)</f>
        <v>1</v>
      </c>
      <c r="E5013" s="1">
        <f>IF(Tabela1[[#This Row],[promien]]=40000,1,0)</f>
        <v>0</v>
      </c>
      <c r="F5013" s="1">
        <v>3.1653700379014564</v>
      </c>
      <c r="G5013" s="1">
        <v>2.3777384311663319E-2</v>
      </c>
    </row>
    <row r="5014" spans="1:7">
      <c r="A5014">
        <v>256</v>
      </c>
      <c r="B5014">
        <v>281</v>
      </c>
      <c r="C5014" s="1">
        <f>(Tabela1[[#This Row],[x]]-H$3)*(Tabela1[[#This Row],[x]]-H$3) +(Tabela1[[#This Row],[y]]-H$4)*(Tabela1[[#This Row],[y]]-H$4)</f>
        <v>9697</v>
      </c>
      <c r="D5014" s="1">
        <f>IF(Tabela1[[#This Row],[promien]]&lt;40000,1,0)</f>
        <v>1</v>
      </c>
      <c r="E5014" s="1">
        <f>IF(Tabela1[[#This Row],[promien]]=40000,1,0)</f>
        <v>0</v>
      </c>
      <c r="F5014" s="1">
        <v>3.1655364978061429</v>
      </c>
      <c r="G5014" s="1">
        <v>2.3943844216349763E-2</v>
      </c>
    </row>
    <row r="5015" spans="1:7">
      <c r="A5015">
        <v>154</v>
      </c>
      <c r="B5015">
        <v>4</v>
      </c>
      <c r="C5015" s="1">
        <f>(Tabela1[[#This Row],[x]]-H$3)*(Tabela1[[#This Row],[x]]-H$3) +(Tabela1[[#This Row],[y]]-H$4)*(Tabela1[[#This Row],[y]]-H$4)</f>
        <v>40532</v>
      </c>
      <c r="D5015" s="1">
        <f>IF(Tabela1[[#This Row],[promien]]&lt;40000,1,0)</f>
        <v>0</v>
      </c>
      <c r="E5015" s="1">
        <f>IF(Tabela1[[#This Row],[promien]]=40000,1,0)</f>
        <v>0</v>
      </c>
      <c r="F5015" s="1">
        <v>3.1649052841475571</v>
      </c>
      <c r="G5015" s="1">
        <v>2.3312630557764003E-2</v>
      </c>
    </row>
    <row r="5016" spans="1:7">
      <c r="A5016">
        <v>299</v>
      </c>
      <c r="B5016">
        <v>197</v>
      </c>
      <c r="C5016" s="1">
        <f>(Tabela1[[#This Row],[x]]-H$3)*(Tabela1[[#This Row],[x]]-H$3) +(Tabela1[[#This Row],[y]]-H$4)*(Tabela1[[#This Row],[y]]-H$4)</f>
        <v>9810</v>
      </c>
      <c r="D5016" s="1">
        <f>IF(Tabela1[[#This Row],[promien]]&lt;40000,1,0)</f>
        <v>1</v>
      </c>
      <c r="E5016" s="1">
        <f>IF(Tabela1[[#This Row],[promien]]=40000,1,0)</f>
        <v>0</v>
      </c>
      <c r="F5016" s="1">
        <v>3.165071770334928</v>
      </c>
      <c r="G5016" s="1">
        <v>2.347911674513492E-2</v>
      </c>
    </row>
    <row r="5017" spans="1:7">
      <c r="A5017">
        <v>283</v>
      </c>
      <c r="B5017">
        <v>242</v>
      </c>
      <c r="C5017" s="1">
        <f>(Tabela1[[#This Row],[x]]-H$3)*(Tabela1[[#This Row],[x]]-H$3) +(Tabela1[[#This Row],[y]]-H$4)*(Tabela1[[#This Row],[y]]-H$4)</f>
        <v>8653</v>
      </c>
      <c r="D5017" s="1">
        <f>IF(Tabela1[[#This Row],[promien]]&lt;40000,1,0)</f>
        <v>1</v>
      </c>
      <c r="E5017" s="1">
        <f>IF(Tabela1[[#This Row],[promien]]=40000,1,0)</f>
        <v>0</v>
      </c>
      <c r="F5017" s="1">
        <v>3.1652381901534783</v>
      </c>
      <c r="G5017" s="1">
        <v>2.3645536563685177E-2</v>
      </c>
    </row>
    <row r="5018" spans="1:7">
      <c r="A5018">
        <v>198</v>
      </c>
      <c r="B5018">
        <v>169</v>
      </c>
      <c r="C5018" s="1">
        <f>(Tabela1[[#This Row],[x]]-H$3)*(Tabela1[[#This Row],[x]]-H$3) +(Tabela1[[#This Row],[y]]-H$4)*(Tabela1[[#This Row],[y]]-H$4)</f>
        <v>965</v>
      </c>
      <c r="D5018" s="1">
        <f>IF(Tabela1[[#This Row],[promien]]&lt;40000,1,0)</f>
        <v>1</v>
      </c>
      <c r="E5018" s="1">
        <f>IF(Tabela1[[#This Row],[promien]]=40000,1,0)</f>
        <v>0</v>
      </c>
      <c r="F5018" s="1">
        <v>3.1654045436428855</v>
      </c>
      <c r="G5018" s="1">
        <v>2.3811890053092366E-2</v>
      </c>
    </row>
    <row r="5019" spans="1:7">
      <c r="A5019">
        <v>356</v>
      </c>
      <c r="B5019">
        <v>122</v>
      </c>
      <c r="C5019" s="1">
        <f>(Tabela1[[#This Row],[x]]-H$3)*(Tabela1[[#This Row],[x]]-H$3) +(Tabela1[[#This Row],[y]]-H$4)*(Tabela1[[#This Row],[y]]-H$4)</f>
        <v>30420</v>
      </c>
      <c r="D5019" s="1">
        <f>IF(Tabela1[[#This Row],[promien]]&lt;40000,1,0)</f>
        <v>1</v>
      </c>
      <c r="E5019" s="1">
        <f>IF(Tabela1[[#This Row],[promien]]=40000,1,0)</f>
        <v>0</v>
      </c>
      <c r="F5019" s="1">
        <v>3.1655708308427974</v>
      </c>
      <c r="G5019" s="1">
        <v>2.3978177253004329E-2</v>
      </c>
    </row>
    <row r="5020" spans="1:7">
      <c r="A5020">
        <v>164</v>
      </c>
      <c r="B5020">
        <v>59</v>
      </c>
      <c r="C5020" s="1">
        <f>(Tabela1[[#This Row],[x]]-H$3)*(Tabela1[[#This Row],[x]]-H$3) +(Tabela1[[#This Row],[y]]-H$4)*(Tabela1[[#This Row],[y]]-H$4)</f>
        <v>21177</v>
      </c>
      <c r="D5020" s="1">
        <f>IF(Tabela1[[#This Row],[promien]]&lt;40000,1,0)</f>
        <v>1</v>
      </c>
      <c r="E5020" s="1">
        <f>IF(Tabela1[[#This Row],[promien]]=40000,1,0)</f>
        <v>0</v>
      </c>
      <c r="F5020" s="1">
        <v>3.1657370517928287</v>
      </c>
      <c r="G5020" s="1">
        <v>2.41443982030356E-2</v>
      </c>
    </row>
    <row r="5021" spans="1:7">
      <c r="A5021">
        <v>137</v>
      </c>
      <c r="B5021">
        <v>63</v>
      </c>
      <c r="C5021" s="1">
        <f>(Tabela1[[#This Row],[x]]-H$3)*(Tabela1[[#This Row],[x]]-H$3) +(Tabela1[[#This Row],[y]]-H$4)*(Tabela1[[#This Row],[y]]-H$4)</f>
        <v>22738</v>
      </c>
      <c r="D5021" s="1">
        <f>IF(Tabela1[[#This Row],[promien]]&lt;40000,1,0)</f>
        <v>1</v>
      </c>
      <c r="E5021" s="1">
        <f>IF(Tabela1[[#This Row],[promien]]=40000,1,0)</f>
        <v>0</v>
      </c>
      <c r="F5021" s="1">
        <v>3.1659032065325632</v>
      </c>
      <c r="G5021" s="1">
        <v>2.431055294277007E-2</v>
      </c>
    </row>
    <row r="5022" spans="1:7">
      <c r="A5022">
        <v>310</v>
      </c>
      <c r="B5022">
        <v>39</v>
      </c>
      <c r="C5022" s="1">
        <f>(Tabela1[[#This Row],[x]]-H$3)*(Tabela1[[#This Row],[x]]-H$3) +(Tabela1[[#This Row],[y]]-H$4)*(Tabela1[[#This Row],[y]]-H$4)</f>
        <v>38021</v>
      </c>
      <c r="D5022" s="1">
        <f>IF(Tabela1[[#This Row],[promien]]&lt;40000,1,0)</f>
        <v>1</v>
      </c>
      <c r="E5022" s="1">
        <f>IF(Tabela1[[#This Row],[promien]]=40000,1,0)</f>
        <v>0</v>
      </c>
      <c r="F5022" s="1">
        <v>3.1660692951015532</v>
      </c>
      <c r="G5022" s="1">
        <v>2.44766415117601E-2</v>
      </c>
    </row>
    <row r="5023" spans="1:7">
      <c r="A5023">
        <v>103</v>
      </c>
      <c r="B5023">
        <v>24</v>
      </c>
      <c r="C5023" s="1">
        <f>(Tabela1[[#This Row],[x]]-H$3)*(Tabela1[[#This Row],[x]]-H$3) +(Tabela1[[#This Row],[y]]-H$4)*(Tabela1[[#This Row],[y]]-H$4)</f>
        <v>40385</v>
      </c>
      <c r="D5023" s="1">
        <f>IF(Tabela1[[#This Row],[promien]]&lt;40000,1,0)</f>
        <v>0</v>
      </c>
      <c r="E5023" s="1">
        <f>IF(Tabela1[[#This Row],[promien]]=40000,1,0)</f>
        <v>0</v>
      </c>
      <c r="F5023" s="1">
        <v>3.1654389806888314</v>
      </c>
      <c r="G5023" s="1">
        <v>2.3846327099038334E-2</v>
      </c>
    </row>
    <row r="5024" spans="1:7">
      <c r="A5024">
        <v>283</v>
      </c>
      <c r="B5024">
        <v>25</v>
      </c>
      <c r="C5024" s="1">
        <f>(Tabela1[[#This Row],[x]]-H$3)*(Tabela1[[#This Row],[x]]-H$3) +(Tabela1[[#This Row],[y]]-H$4)*(Tabela1[[#This Row],[y]]-H$4)</f>
        <v>37514</v>
      </c>
      <c r="D5024" s="1">
        <f>IF(Tabela1[[#This Row],[promien]]&lt;40000,1,0)</f>
        <v>1</v>
      </c>
      <c r="E5024" s="1">
        <f>IF(Tabela1[[#This Row],[promien]]=40000,1,0)</f>
        <v>0</v>
      </c>
      <c r="F5024" s="1">
        <v>3.1656050955414012</v>
      </c>
      <c r="G5024" s="1">
        <v>2.4012441951608121E-2</v>
      </c>
    </row>
    <row r="5025" spans="1:7">
      <c r="A5025">
        <v>342</v>
      </c>
      <c r="B5025">
        <v>331</v>
      </c>
      <c r="C5025" s="1">
        <f>(Tabela1[[#This Row],[x]]-H$3)*(Tabela1[[#This Row],[x]]-H$3) +(Tabela1[[#This Row],[y]]-H$4)*(Tabela1[[#This Row],[y]]-H$4)</f>
        <v>37325</v>
      </c>
      <c r="D5025" s="1">
        <f>IF(Tabela1[[#This Row],[promien]]&lt;40000,1,0)</f>
        <v>1</v>
      </c>
      <c r="E5025" s="1">
        <f>IF(Tabela1[[#This Row],[promien]]=40000,1,0)</f>
        <v>0</v>
      </c>
      <c r="F5025" s="1">
        <v>3.1657711442786072</v>
      </c>
      <c r="G5025" s="1">
        <v>2.4178490688814058E-2</v>
      </c>
    </row>
    <row r="5026" spans="1:7">
      <c r="A5026">
        <v>39</v>
      </c>
      <c r="B5026">
        <v>68</v>
      </c>
      <c r="C5026" s="1">
        <f>(Tabela1[[#This Row],[x]]-H$3)*(Tabela1[[#This Row],[x]]-H$3) +(Tabela1[[#This Row],[y]]-H$4)*(Tabela1[[#This Row],[y]]-H$4)</f>
        <v>43345</v>
      </c>
      <c r="D5026" s="1">
        <f>IF(Tabela1[[#This Row],[promien]]&lt;40000,1,0)</f>
        <v>0</v>
      </c>
      <c r="E5026" s="1">
        <f>IF(Tabela1[[#This Row],[promien]]=40000,1,0)</f>
        <v>0</v>
      </c>
      <c r="F5026" s="1">
        <v>3.165141265419817</v>
      </c>
      <c r="G5026" s="1">
        <v>2.354861183002388E-2</v>
      </c>
    </row>
    <row r="5027" spans="1:7">
      <c r="A5027">
        <v>86</v>
      </c>
      <c r="B5027">
        <v>212</v>
      </c>
      <c r="C5027" s="1">
        <f>(Tabela1[[#This Row],[x]]-H$3)*(Tabela1[[#This Row],[x]]-H$3) +(Tabela1[[#This Row],[y]]-H$4)*(Tabela1[[#This Row],[y]]-H$4)</f>
        <v>13140</v>
      </c>
      <c r="D5027" s="1">
        <f>IF(Tabela1[[#This Row],[promien]]&lt;40000,1,0)</f>
        <v>1</v>
      </c>
      <c r="E5027" s="1">
        <f>IF(Tabela1[[#This Row],[promien]]=40000,1,0)</f>
        <v>0</v>
      </c>
      <c r="F5027" s="1">
        <v>3.1653073403620451</v>
      </c>
      <c r="G5027" s="1">
        <v>2.3714686772251969E-2</v>
      </c>
    </row>
    <row r="5028" spans="1:7">
      <c r="A5028">
        <v>93</v>
      </c>
      <c r="B5028">
        <v>367</v>
      </c>
      <c r="C5028" s="1">
        <f>(Tabela1[[#This Row],[x]]-H$3)*(Tabela1[[#This Row],[x]]-H$3) +(Tabela1[[#This Row],[y]]-H$4)*(Tabela1[[#This Row],[y]]-H$4)</f>
        <v>39338</v>
      </c>
      <c r="D5028" s="1">
        <f>IF(Tabela1[[#This Row],[promien]]&lt;40000,1,0)</f>
        <v>1</v>
      </c>
      <c r="E5028" s="1">
        <f>IF(Tabela1[[#This Row],[promien]]=40000,1,0)</f>
        <v>0</v>
      </c>
      <c r="F5028" s="1">
        <v>3.1654733492442322</v>
      </c>
      <c r="G5028" s="1">
        <v>2.3880695654439066E-2</v>
      </c>
    </row>
    <row r="5029" spans="1:7">
      <c r="A5029">
        <v>62</v>
      </c>
      <c r="B5029">
        <v>24</v>
      </c>
      <c r="C5029" s="1">
        <f>(Tabela1[[#This Row],[x]]-H$3)*(Tabela1[[#This Row],[x]]-H$3) +(Tabela1[[#This Row],[y]]-H$4)*(Tabela1[[#This Row],[y]]-H$4)</f>
        <v>50020</v>
      </c>
      <c r="D5029" s="1">
        <f>IF(Tabela1[[#This Row],[promien]]&lt;40000,1,0)</f>
        <v>0</v>
      </c>
      <c r="E5029" s="1">
        <f>IF(Tabela1[[#This Row],[promien]]=40000,1,0)</f>
        <v>0</v>
      </c>
      <c r="F5029" s="1">
        <v>3.1648439053489761</v>
      </c>
      <c r="G5029" s="1">
        <v>2.3251251759182967E-2</v>
      </c>
    </row>
    <row r="5030" spans="1:7">
      <c r="A5030">
        <v>326</v>
      </c>
      <c r="B5030">
        <v>328</v>
      </c>
      <c r="C5030" s="1">
        <f>(Tabela1[[#This Row],[x]]-H$3)*(Tabela1[[#This Row],[x]]-H$3) +(Tabela1[[#This Row],[y]]-H$4)*(Tabela1[[#This Row],[y]]-H$4)</f>
        <v>32260</v>
      </c>
      <c r="D5030" s="1">
        <f>IF(Tabela1[[#This Row],[promien]]&lt;40000,1,0)</f>
        <v>1</v>
      </c>
      <c r="E5030" s="1">
        <f>IF(Tabela1[[#This Row],[promien]]=40000,1,0)</f>
        <v>0</v>
      </c>
      <c r="F5030" s="1">
        <v>3.1650099403578529</v>
      </c>
      <c r="G5030" s="1">
        <v>2.3417286768059764E-2</v>
      </c>
    </row>
    <row r="5031" spans="1:7">
      <c r="A5031">
        <v>281</v>
      </c>
      <c r="B5031">
        <v>388</v>
      </c>
      <c r="C5031" s="1">
        <f>(Tabela1[[#This Row],[x]]-H$3)*(Tabela1[[#This Row],[x]]-H$3) +(Tabela1[[#This Row],[y]]-H$4)*(Tabela1[[#This Row],[y]]-H$4)</f>
        <v>41905</v>
      </c>
      <c r="D5031" s="1">
        <f>IF(Tabela1[[#This Row],[promien]]&lt;40000,1,0)</f>
        <v>0</v>
      </c>
      <c r="E5031" s="1">
        <f>IF(Tabela1[[#This Row],[promien]]=40000,1,0)</f>
        <v>0</v>
      </c>
      <c r="F5031" s="1">
        <v>3.1643808387994437</v>
      </c>
      <c r="G5031" s="1">
        <v>2.2788185209650536E-2</v>
      </c>
    </row>
    <row r="5032" spans="1:7">
      <c r="A5032">
        <v>197</v>
      </c>
      <c r="B5032">
        <v>202</v>
      </c>
      <c r="C5032" s="1">
        <f>(Tabela1[[#This Row],[x]]-H$3)*(Tabela1[[#This Row],[x]]-H$3) +(Tabela1[[#This Row],[y]]-H$4)*(Tabela1[[#This Row],[y]]-H$4)</f>
        <v>13</v>
      </c>
      <c r="D5032" s="1">
        <f>IF(Tabela1[[#This Row],[promien]]&lt;40000,1,0)</f>
        <v>1</v>
      </c>
      <c r="E5032" s="1">
        <f>IF(Tabela1[[#This Row],[promien]]=40000,1,0)</f>
        <v>0</v>
      </c>
      <c r="F5032" s="1">
        <v>3.1645468998410173</v>
      </c>
      <c r="G5032" s="1">
        <v>2.295424625122422E-2</v>
      </c>
    </row>
    <row r="5033" spans="1:7">
      <c r="A5033">
        <v>339</v>
      </c>
      <c r="B5033">
        <v>298</v>
      </c>
      <c r="C5033" s="1">
        <f>(Tabela1[[#This Row],[x]]-H$3)*(Tabela1[[#This Row],[x]]-H$3) +(Tabela1[[#This Row],[y]]-H$4)*(Tabela1[[#This Row],[y]]-H$4)</f>
        <v>28925</v>
      </c>
      <c r="D5033" s="1">
        <f>IF(Tabela1[[#This Row],[promien]]&lt;40000,1,0)</f>
        <v>1</v>
      </c>
      <c r="E5033" s="1">
        <f>IF(Tabela1[[#This Row],[promien]]=40000,1,0)</f>
        <v>0</v>
      </c>
      <c r="F5033" s="1">
        <v>3.1647128948937016</v>
      </c>
      <c r="G5033" s="1">
        <v>2.312024130390844E-2</v>
      </c>
    </row>
    <row r="5034" spans="1:7">
      <c r="A5034">
        <v>264</v>
      </c>
      <c r="B5034">
        <v>117</v>
      </c>
      <c r="C5034" s="1">
        <f>(Tabela1[[#This Row],[x]]-H$3)*(Tabela1[[#This Row],[x]]-H$3) +(Tabela1[[#This Row],[y]]-H$4)*(Tabela1[[#This Row],[y]]-H$4)</f>
        <v>10985</v>
      </c>
      <c r="D5034" s="1">
        <f>IF(Tabela1[[#This Row],[promien]]&lt;40000,1,0)</f>
        <v>1</v>
      </c>
      <c r="E5034" s="1">
        <f>IF(Tabela1[[#This Row],[promien]]=40000,1,0)</f>
        <v>0</v>
      </c>
      <c r="F5034" s="1">
        <v>3.1648788239968217</v>
      </c>
      <c r="G5034" s="1">
        <v>2.3286170407028628E-2</v>
      </c>
    </row>
    <row r="5035" spans="1:7">
      <c r="A5035">
        <v>389</v>
      </c>
      <c r="B5035">
        <v>370</v>
      </c>
      <c r="C5035" s="1">
        <f>(Tabela1[[#This Row],[x]]-H$3)*(Tabela1[[#This Row],[x]]-H$3) +(Tabela1[[#This Row],[y]]-H$4)*(Tabela1[[#This Row],[y]]-H$4)</f>
        <v>64621</v>
      </c>
      <c r="D5035" s="1">
        <f>IF(Tabela1[[#This Row],[promien]]&lt;40000,1,0)</f>
        <v>0</v>
      </c>
      <c r="E5035" s="1">
        <f>IF(Tabela1[[#This Row],[promien]]=40000,1,0)</f>
        <v>0</v>
      </c>
      <c r="F5035" s="1">
        <v>3.1642502482621651</v>
      </c>
      <c r="G5035" s="1">
        <v>2.2657594672371939E-2</v>
      </c>
    </row>
    <row r="5036" spans="1:7">
      <c r="A5036">
        <v>319</v>
      </c>
      <c r="B5036">
        <v>166</v>
      </c>
      <c r="C5036" s="1">
        <f>(Tabela1[[#This Row],[x]]-H$3)*(Tabela1[[#This Row],[x]]-H$3) +(Tabela1[[#This Row],[y]]-H$4)*(Tabela1[[#This Row],[y]]-H$4)</f>
        <v>15317</v>
      </c>
      <c r="D5036" s="1">
        <f>IF(Tabela1[[#This Row],[promien]]&lt;40000,1,0)</f>
        <v>1</v>
      </c>
      <c r="E5036" s="1">
        <f>IF(Tabela1[[#This Row],[promien]]=40000,1,0)</f>
        <v>0</v>
      </c>
      <c r="F5036" s="1">
        <v>3.1644162033359811</v>
      </c>
      <c r="G5036" s="1">
        <v>2.2823549746187943E-2</v>
      </c>
    </row>
    <row r="5037" spans="1:7">
      <c r="A5037">
        <v>86</v>
      </c>
      <c r="B5037">
        <v>276</v>
      </c>
      <c r="C5037" s="1">
        <f>(Tabela1[[#This Row],[x]]-H$3)*(Tabela1[[#This Row],[x]]-H$3) +(Tabela1[[#This Row],[y]]-H$4)*(Tabela1[[#This Row],[y]]-H$4)</f>
        <v>18772</v>
      </c>
      <c r="D5037" s="1">
        <f>IF(Tabela1[[#This Row],[promien]]&lt;40000,1,0)</f>
        <v>1</v>
      </c>
      <c r="E5037" s="1">
        <f>IF(Tabela1[[#This Row],[promien]]=40000,1,0)</f>
        <v>0</v>
      </c>
      <c r="F5037" s="1">
        <v>3.1645820925153862</v>
      </c>
      <c r="G5037" s="1">
        <v>2.2989438925593131E-2</v>
      </c>
    </row>
    <row r="5038" spans="1:7">
      <c r="A5038">
        <v>143</v>
      </c>
      <c r="B5038">
        <v>92</v>
      </c>
      <c r="C5038" s="1">
        <f>(Tabela1[[#This Row],[x]]-H$3)*(Tabela1[[#This Row],[x]]-H$3) +(Tabela1[[#This Row],[y]]-H$4)*(Tabela1[[#This Row],[y]]-H$4)</f>
        <v>14913</v>
      </c>
      <c r="D5038" s="1">
        <f>IF(Tabela1[[#This Row],[promien]]&lt;40000,1,0)</f>
        <v>1</v>
      </c>
      <c r="E5038" s="1">
        <f>IF(Tabela1[[#This Row],[promien]]=40000,1,0)</f>
        <v>0</v>
      </c>
      <c r="F5038" s="1">
        <v>3.164747915839619</v>
      </c>
      <c r="G5038" s="1">
        <v>2.3155262249825892E-2</v>
      </c>
    </row>
    <row r="5039" spans="1:7">
      <c r="A5039">
        <v>217</v>
      </c>
      <c r="B5039">
        <v>86</v>
      </c>
      <c r="C5039" s="1">
        <f>(Tabela1[[#This Row],[x]]-H$3)*(Tabela1[[#This Row],[x]]-H$3) +(Tabela1[[#This Row],[y]]-H$4)*(Tabela1[[#This Row],[y]]-H$4)</f>
        <v>13285</v>
      </c>
      <c r="D5039" s="1">
        <f>IF(Tabela1[[#This Row],[promien]]&lt;40000,1,0)</f>
        <v>1</v>
      </c>
      <c r="E5039" s="1">
        <f>IF(Tabela1[[#This Row],[promien]]=40000,1,0)</f>
        <v>0</v>
      </c>
      <c r="F5039" s="1">
        <v>3.1649136733478866</v>
      </c>
      <c r="G5039" s="1">
        <v>2.3321019758093531E-2</v>
      </c>
    </row>
    <row r="5040" spans="1:7">
      <c r="A5040">
        <v>238</v>
      </c>
      <c r="B5040">
        <v>222</v>
      </c>
      <c r="C5040" s="1">
        <f>(Tabela1[[#This Row],[x]]-H$3)*(Tabela1[[#This Row],[x]]-H$3) +(Tabela1[[#This Row],[y]]-H$4)*(Tabela1[[#This Row],[y]]-H$4)</f>
        <v>1928</v>
      </c>
      <c r="D5040" s="1">
        <f>IF(Tabela1[[#This Row],[promien]]&lt;40000,1,0)</f>
        <v>1</v>
      </c>
      <c r="E5040" s="1">
        <f>IF(Tabela1[[#This Row],[promien]]=40000,1,0)</f>
        <v>0</v>
      </c>
      <c r="F5040" s="1">
        <v>3.1650793650793649</v>
      </c>
      <c r="G5040" s="1">
        <v>2.3486711489571821E-2</v>
      </c>
    </row>
    <row r="5041" spans="1:7">
      <c r="A5041">
        <v>90</v>
      </c>
      <c r="B5041">
        <v>148</v>
      </c>
      <c r="C5041" s="1">
        <f>(Tabela1[[#This Row],[x]]-H$3)*(Tabela1[[#This Row],[x]]-H$3) +(Tabela1[[#This Row],[y]]-H$4)*(Tabela1[[#This Row],[y]]-H$4)</f>
        <v>14804</v>
      </c>
      <c r="D5041" s="1">
        <f>IF(Tabela1[[#This Row],[promien]]&lt;40000,1,0)</f>
        <v>1</v>
      </c>
      <c r="E5041" s="1">
        <f>IF(Tabela1[[#This Row],[promien]]=40000,1,0)</f>
        <v>0</v>
      </c>
      <c r="F5041" s="1">
        <v>3.1652449910731999</v>
      </c>
      <c r="G5041" s="1">
        <v>2.3652337483406782E-2</v>
      </c>
    </row>
    <row r="5042" spans="1:7">
      <c r="A5042">
        <v>300</v>
      </c>
      <c r="B5042">
        <v>278</v>
      </c>
      <c r="C5042" s="1">
        <f>(Tabela1[[#This Row],[x]]-H$3)*(Tabela1[[#This Row],[x]]-H$3) +(Tabela1[[#This Row],[y]]-H$4)*(Tabela1[[#This Row],[y]]-H$4)</f>
        <v>16084</v>
      </c>
      <c r="D5042" s="1">
        <f>IF(Tabela1[[#This Row],[promien]]&lt;40000,1,0)</f>
        <v>1</v>
      </c>
      <c r="E5042" s="1">
        <f>IF(Tabela1[[#This Row],[promien]]=40000,1,0)</f>
        <v>0</v>
      </c>
      <c r="F5042" s="1">
        <v>3.1654105513685047</v>
      </c>
      <c r="G5042" s="1">
        <v>2.3817897778711572E-2</v>
      </c>
    </row>
    <row r="5043" spans="1:7">
      <c r="A5043">
        <v>95</v>
      </c>
      <c r="B5043">
        <v>329</v>
      </c>
      <c r="C5043" s="1">
        <f>(Tabela1[[#This Row],[x]]-H$3)*(Tabela1[[#This Row],[x]]-H$3) +(Tabela1[[#This Row],[y]]-H$4)*(Tabela1[[#This Row],[y]]-H$4)</f>
        <v>27666</v>
      </c>
      <c r="D5043" s="1">
        <f>IF(Tabela1[[#This Row],[promien]]&lt;40000,1,0)</f>
        <v>1</v>
      </c>
      <c r="E5043" s="1">
        <f>IF(Tabela1[[#This Row],[promien]]=40000,1,0)</f>
        <v>0</v>
      </c>
      <c r="F5043" s="1">
        <v>3.1655760460043623</v>
      </c>
      <c r="G5043" s="1">
        <v>2.3983392414569149E-2</v>
      </c>
    </row>
    <row r="5044" spans="1:7">
      <c r="A5044">
        <v>209</v>
      </c>
      <c r="B5044">
        <v>104</v>
      </c>
      <c r="C5044" s="1">
        <f>(Tabela1[[#This Row],[x]]-H$3)*(Tabela1[[#This Row],[x]]-H$3) +(Tabela1[[#This Row],[y]]-H$4)*(Tabela1[[#This Row],[y]]-H$4)</f>
        <v>9297</v>
      </c>
      <c r="D5044" s="1">
        <f>IF(Tabela1[[#This Row],[promien]]&lt;40000,1,0)</f>
        <v>1</v>
      </c>
      <c r="E5044" s="1">
        <f>IF(Tabela1[[#This Row],[promien]]=40000,1,0)</f>
        <v>0</v>
      </c>
      <c r="F5044" s="1">
        <v>3.1657414750198254</v>
      </c>
      <c r="G5044" s="1">
        <v>2.4148821430032275E-2</v>
      </c>
    </row>
    <row r="5045" spans="1:7">
      <c r="A5045">
        <v>136</v>
      </c>
      <c r="B5045">
        <v>32</v>
      </c>
      <c r="C5045" s="1">
        <f>(Tabela1[[#This Row],[x]]-H$3)*(Tabela1[[#This Row],[x]]-H$3) +(Tabela1[[#This Row],[y]]-H$4)*(Tabela1[[#This Row],[y]]-H$4)</f>
        <v>32320</v>
      </c>
      <c r="D5045" s="1">
        <f>IF(Tabela1[[#This Row],[promien]]&lt;40000,1,0)</f>
        <v>1</v>
      </c>
      <c r="E5045" s="1">
        <f>IF(Tabela1[[#This Row],[promien]]=40000,1,0)</f>
        <v>0</v>
      </c>
      <c r="F5045" s="1">
        <v>3.1659068384539149</v>
      </c>
      <c r="G5045" s="1">
        <v>2.4314184864121735E-2</v>
      </c>
    </row>
    <row r="5046" spans="1:7">
      <c r="A5046">
        <v>143</v>
      </c>
      <c r="B5046">
        <v>231</v>
      </c>
      <c r="C5046" s="1">
        <f>(Tabela1[[#This Row],[x]]-H$3)*(Tabela1[[#This Row],[x]]-H$3) +(Tabela1[[#This Row],[y]]-H$4)*(Tabela1[[#This Row],[y]]-H$4)</f>
        <v>4210</v>
      </c>
      <c r="D5046" s="1">
        <f>IF(Tabela1[[#This Row],[promien]]&lt;40000,1,0)</f>
        <v>1</v>
      </c>
      <c r="E5046" s="1">
        <f>IF(Tabela1[[#This Row],[promien]]=40000,1,0)</f>
        <v>0</v>
      </c>
      <c r="F5046" s="1">
        <v>3.1660721363456203</v>
      </c>
      <c r="G5046" s="1">
        <v>2.4479482755827231E-2</v>
      </c>
    </row>
    <row r="5047" spans="1:7">
      <c r="A5047">
        <v>31</v>
      </c>
      <c r="B5047">
        <v>354</v>
      </c>
      <c r="C5047" s="1">
        <f>(Tabela1[[#This Row],[x]]-H$3)*(Tabela1[[#This Row],[x]]-H$3) +(Tabela1[[#This Row],[y]]-H$4)*(Tabela1[[#This Row],[y]]-H$4)</f>
        <v>52277</v>
      </c>
      <c r="D5047" s="1">
        <f>IF(Tabela1[[#This Row],[promien]]&lt;40000,1,0)</f>
        <v>0</v>
      </c>
      <c r="E5047" s="1">
        <f>IF(Tabela1[[#This Row],[promien]]=40000,1,0)</f>
        <v>0</v>
      </c>
      <c r="F5047" s="1">
        <v>3.1654448187041808</v>
      </c>
      <c r="G5047" s="1">
        <v>2.3852165114387702E-2</v>
      </c>
    </row>
    <row r="5048" spans="1:7">
      <c r="A5048">
        <v>116</v>
      </c>
      <c r="B5048">
        <v>380</v>
      </c>
      <c r="C5048" s="1">
        <f>(Tabela1[[#This Row],[x]]-H$3)*(Tabela1[[#This Row],[x]]-H$3) +(Tabela1[[#This Row],[y]]-H$4)*(Tabela1[[#This Row],[y]]-H$4)</f>
        <v>39456</v>
      </c>
      <c r="D5048" s="1">
        <f>IF(Tabela1[[#This Row],[promien]]&lt;40000,1,0)</f>
        <v>1</v>
      </c>
      <c r="E5048" s="1">
        <f>IF(Tabela1[[#This Row],[promien]]=40000,1,0)</f>
        <v>0</v>
      </c>
      <c r="F5048" s="1">
        <v>3.165610142630745</v>
      </c>
      <c r="G5048" s="1">
        <v>2.4017489040951912E-2</v>
      </c>
    </row>
    <row r="5049" spans="1:7">
      <c r="A5049">
        <v>41</v>
      </c>
      <c r="B5049">
        <v>25</v>
      </c>
      <c r="C5049" s="1">
        <f>(Tabela1[[#This Row],[x]]-H$3)*(Tabela1[[#This Row],[x]]-H$3) +(Tabela1[[#This Row],[y]]-H$4)*(Tabela1[[#This Row],[y]]-H$4)</f>
        <v>55906</v>
      </c>
      <c r="D5049" s="1">
        <f>IF(Tabela1[[#This Row],[promien]]&lt;40000,1,0)</f>
        <v>0</v>
      </c>
      <c r="E5049" s="1">
        <f>IF(Tabela1[[#This Row],[promien]]=40000,1,0)</f>
        <v>0</v>
      </c>
      <c r="F5049" s="1">
        <v>3.1649831649831648</v>
      </c>
      <c r="G5049" s="1">
        <v>2.3390511393371671E-2</v>
      </c>
    </row>
    <row r="5050" spans="1:7">
      <c r="A5050">
        <v>182</v>
      </c>
      <c r="B5050">
        <v>142</v>
      </c>
      <c r="C5050" s="1">
        <f>(Tabela1[[#This Row],[x]]-H$3)*(Tabela1[[#This Row],[x]]-H$3) +(Tabela1[[#This Row],[y]]-H$4)*(Tabela1[[#This Row],[y]]-H$4)</f>
        <v>3688</v>
      </c>
      <c r="D5050" s="1">
        <f>IF(Tabela1[[#This Row],[promien]]&lt;40000,1,0)</f>
        <v>1</v>
      </c>
      <c r="E5050" s="1">
        <f>IF(Tabela1[[#This Row],[promien]]=40000,1,0)</f>
        <v>0</v>
      </c>
      <c r="F5050" s="1">
        <v>3.1651485148514853</v>
      </c>
      <c r="G5050" s="1">
        <v>2.3555861261692179E-2</v>
      </c>
    </row>
    <row r="5051" spans="1:7">
      <c r="A5051">
        <v>171</v>
      </c>
      <c r="B5051">
        <v>398</v>
      </c>
      <c r="C5051" s="1">
        <f>(Tabela1[[#This Row],[x]]-H$3)*(Tabela1[[#This Row],[x]]-H$3) +(Tabela1[[#This Row],[y]]-H$4)*(Tabela1[[#This Row],[y]]-H$4)</f>
        <v>40045</v>
      </c>
      <c r="D5051" s="1">
        <f>IF(Tabela1[[#This Row],[promien]]&lt;40000,1,0)</f>
        <v>0</v>
      </c>
      <c r="E5051" s="1">
        <f>IF(Tabela1[[#This Row],[promien]]=40000,1,0)</f>
        <v>0</v>
      </c>
      <c r="F5051" s="1">
        <v>3.1645218768560679</v>
      </c>
      <c r="G5051" s="1">
        <v>2.2929223266274779E-2</v>
      </c>
    </row>
    <row r="5052" spans="1:7">
      <c r="A5052">
        <v>48</v>
      </c>
      <c r="B5052">
        <v>133</v>
      </c>
      <c r="C5052" s="1">
        <f>(Tabela1[[#This Row],[x]]-H$3)*(Tabela1[[#This Row],[x]]-H$3) +(Tabela1[[#This Row],[y]]-H$4)*(Tabela1[[#This Row],[y]]-H$4)</f>
        <v>27593</v>
      </c>
      <c r="D5052" s="1">
        <f>IF(Tabela1[[#This Row],[promien]]&lt;40000,1,0)</f>
        <v>1</v>
      </c>
      <c r="E5052" s="1">
        <f>IF(Tabela1[[#This Row],[promien]]=40000,1,0)</f>
        <v>0</v>
      </c>
      <c r="F5052" s="1">
        <v>3.1646872525732381</v>
      </c>
      <c r="G5052" s="1">
        <v>2.3094598983445014E-2</v>
      </c>
    </row>
    <row r="5053" spans="1:7">
      <c r="A5053">
        <v>359</v>
      </c>
      <c r="B5053">
        <v>77</v>
      </c>
      <c r="C5053" s="1">
        <f>(Tabela1[[#This Row],[x]]-H$3)*(Tabela1[[#This Row],[x]]-H$3) +(Tabela1[[#This Row],[y]]-H$4)*(Tabela1[[#This Row],[y]]-H$4)</f>
        <v>40410</v>
      </c>
      <c r="D5053" s="1">
        <f>IF(Tabela1[[#This Row],[promien]]&lt;40000,1,0)</f>
        <v>0</v>
      </c>
      <c r="E5053" s="1">
        <f>IF(Tabela1[[#This Row],[promien]]=40000,1,0)</f>
        <v>0</v>
      </c>
      <c r="F5053" s="1">
        <v>3.1640609538887787</v>
      </c>
      <c r="G5053" s="1">
        <v>2.2468300298985611E-2</v>
      </c>
    </row>
    <row r="5054" spans="1:7">
      <c r="A5054">
        <v>344</v>
      </c>
      <c r="B5054">
        <v>234</v>
      </c>
      <c r="C5054" s="1">
        <f>(Tabela1[[#This Row],[x]]-H$3)*(Tabela1[[#This Row],[x]]-H$3) +(Tabela1[[#This Row],[y]]-H$4)*(Tabela1[[#This Row],[y]]-H$4)</f>
        <v>21892</v>
      </c>
      <c r="D5054" s="1">
        <f>IF(Tabela1[[#This Row],[promien]]&lt;40000,1,0)</f>
        <v>1</v>
      </c>
      <c r="E5054" s="1">
        <f>IF(Tabela1[[#This Row],[promien]]=40000,1,0)</f>
        <v>0</v>
      </c>
      <c r="F5054" s="1">
        <v>3.1642263553620893</v>
      </c>
      <c r="G5054" s="1">
        <v>2.2633701772296178E-2</v>
      </c>
    </row>
    <row r="5055" spans="1:7">
      <c r="A5055">
        <v>354</v>
      </c>
      <c r="B5055">
        <v>223</v>
      </c>
      <c r="C5055" s="1">
        <f>(Tabela1[[#This Row],[x]]-H$3)*(Tabela1[[#This Row],[x]]-H$3) +(Tabela1[[#This Row],[y]]-H$4)*(Tabela1[[#This Row],[y]]-H$4)</f>
        <v>24245</v>
      </c>
      <c r="D5055" s="1">
        <f>IF(Tabela1[[#This Row],[promien]]&lt;40000,1,0)</f>
        <v>1</v>
      </c>
      <c r="E5055" s="1">
        <f>IF(Tabela1[[#This Row],[promien]]=40000,1,0)</f>
        <v>0</v>
      </c>
      <c r="F5055" s="1">
        <v>3.1643916913946586</v>
      </c>
      <c r="G5055" s="1">
        <v>2.2799037804865474E-2</v>
      </c>
    </row>
    <row r="5056" spans="1:7">
      <c r="A5056">
        <v>33</v>
      </c>
      <c r="B5056">
        <v>46</v>
      </c>
      <c r="C5056" s="1">
        <f>(Tabela1[[#This Row],[x]]-H$3)*(Tabela1[[#This Row],[x]]-H$3) +(Tabela1[[#This Row],[y]]-H$4)*(Tabela1[[#This Row],[y]]-H$4)</f>
        <v>51605</v>
      </c>
      <c r="D5056" s="1">
        <f>IF(Tabela1[[#This Row],[promien]]&lt;40000,1,0)</f>
        <v>0</v>
      </c>
      <c r="E5056" s="1">
        <f>IF(Tabela1[[#This Row],[promien]]=40000,1,0)</f>
        <v>0</v>
      </c>
      <c r="F5056" s="1">
        <v>3.1637658227848102</v>
      </c>
      <c r="G5056" s="1">
        <v>2.2173169195017106E-2</v>
      </c>
    </row>
    <row r="5057" spans="1:7">
      <c r="A5057">
        <v>318</v>
      </c>
      <c r="B5057">
        <v>145</v>
      </c>
      <c r="C5057" s="1">
        <f>(Tabela1[[#This Row],[x]]-H$3)*(Tabela1[[#This Row],[x]]-H$3) +(Tabela1[[#This Row],[y]]-H$4)*(Tabela1[[#This Row],[y]]-H$4)</f>
        <v>16949</v>
      </c>
      <c r="D5057" s="1">
        <f>IF(Tabela1[[#This Row],[promien]]&lt;40000,1,0)</f>
        <v>1</v>
      </c>
      <c r="E5057" s="1">
        <f>IF(Tabela1[[#This Row],[promien]]=40000,1,0)</f>
        <v>0</v>
      </c>
      <c r="F5057" s="1">
        <v>3.1639311844967373</v>
      </c>
      <c r="G5057" s="1">
        <v>2.2338530906944154E-2</v>
      </c>
    </row>
    <row r="5058" spans="1:7">
      <c r="A5058">
        <v>44</v>
      </c>
      <c r="B5058">
        <v>40</v>
      </c>
      <c r="C5058" s="1">
        <f>(Tabela1[[#This Row],[x]]-H$3)*(Tabela1[[#This Row],[x]]-H$3) +(Tabela1[[#This Row],[y]]-H$4)*(Tabela1[[#This Row],[y]]-H$4)</f>
        <v>49936</v>
      </c>
      <c r="D5058" s="1">
        <f>IF(Tabela1[[#This Row],[promien]]&lt;40000,1,0)</f>
        <v>0</v>
      </c>
      <c r="E5058" s="1">
        <f>IF(Tabela1[[#This Row],[promien]]=40000,1,0)</f>
        <v>0</v>
      </c>
      <c r="F5058" s="1">
        <v>3.1633056544088571</v>
      </c>
      <c r="G5058" s="1">
        <v>2.1713000819064021E-2</v>
      </c>
    </row>
    <row r="5059" spans="1:7">
      <c r="A5059">
        <v>192</v>
      </c>
      <c r="B5059">
        <v>223</v>
      </c>
      <c r="C5059" s="1">
        <f>(Tabela1[[#This Row],[x]]-H$3)*(Tabela1[[#This Row],[x]]-H$3) +(Tabela1[[#This Row],[y]]-H$4)*(Tabela1[[#This Row],[y]]-H$4)</f>
        <v>593</v>
      </c>
      <c r="D5059" s="1">
        <f>IF(Tabela1[[#This Row],[promien]]&lt;40000,1,0)</f>
        <v>1</v>
      </c>
      <c r="E5059" s="1">
        <f>IF(Tabela1[[#This Row],[promien]]=40000,1,0)</f>
        <v>0</v>
      </c>
      <c r="F5059" s="1">
        <v>3.1634710417078473</v>
      </c>
      <c r="G5059" s="1">
        <v>2.1878388118054204E-2</v>
      </c>
    </row>
    <row r="5060" spans="1:7">
      <c r="A5060">
        <v>191</v>
      </c>
      <c r="B5060">
        <v>188</v>
      </c>
      <c r="C5060" s="1">
        <f>(Tabela1[[#This Row],[x]]-H$3)*(Tabela1[[#This Row],[x]]-H$3) +(Tabela1[[#This Row],[y]]-H$4)*(Tabela1[[#This Row],[y]]-H$4)</f>
        <v>225</v>
      </c>
      <c r="D5060" s="1">
        <f>IF(Tabela1[[#This Row],[promien]]&lt;40000,1,0)</f>
        <v>1</v>
      </c>
      <c r="E5060" s="1">
        <f>IF(Tabela1[[#This Row],[promien]]=40000,1,0)</f>
        <v>0</v>
      </c>
      <c r="F5060" s="1">
        <v>3.1636363636363636</v>
      </c>
      <c r="G5060" s="1">
        <v>2.2043710046570464E-2</v>
      </c>
    </row>
    <row r="5061" spans="1:7">
      <c r="A5061">
        <v>265</v>
      </c>
      <c r="B5061">
        <v>37</v>
      </c>
      <c r="C5061" s="1">
        <f>(Tabela1[[#This Row],[x]]-H$3)*(Tabela1[[#This Row],[x]]-H$3) +(Tabela1[[#This Row],[y]]-H$4)*(Tabela1[[#This Row],[y]]-H$4)</f>
        <v>30794</v>
      </c>
      <c r="D5061" s="1">
        <f>IF(Tabela1[[#This Row],[promien]]&lt;40000,1,0)</f>
        <v>1</v>
      </c>
      <c r="E5061" s="1">
        <f>IF(Tabela1[[#This Row],[promien]]=40000,1,0)</f>
        <v>0</v>
      </c>
      <c r="F5061" s="1">
        <v>3.1638016202331554</v>
      </c>
      <c r="G5061" s="1">
        <v>2.2208966643362249E-2</v>
      </c>
    </row>
    <row r="5062" spans="1:7">
      <c r="A5062">
        <v>364</v>
      </c>
      <c r="B5062">
        <v>375</v>
      </c>
      <c r="C5062" s="1">
        <f>(Tabela1[[#This Row],[x]]-H$3)*(Tabela1[[#This Row],[x]]-H$3) +(Tabela1[[#This Row],[y]]-H$4)*(Tabela1[[#This Row],[y]]-H$4)</f>
        <v>57521</v>
      </c>
      <c r="D5062" s="1">
        <f>IF(Tabela1[[#This Row],[promien]]&lt;40000,1,0)</f>
        <v>0</v>
      </c>
      <c r="E5062" s="1">
        <f>IF(Tabela1[[#This Row],[promien]]=40000,1,0)</f>
        <v>0</v>
      </c>
      <c r="F5062" s="1">
        <v>3.1631766100355589</v>
      </c>
      <c r="G5062" s="1">
        <v>2.1583956445765828E-2</v>
      </c>
    </row>
    <row r="5063" spans="1:7">
      <c r="A5063">
        <v>67</v>
      </c>
      <c r="B5063">
        <v>256</v>
      </c>
      <c r="C5063" s="1">
        <f>(Tabela1[[#This Row],[x]]-H$3)*(Tabela1[[#This Row],[x]]-H$3) +(Tabela1[[#This Row],[y]]-H$4)*(Tabela1[[#This Row],[y]]-H$4)</f>
        <v>20825</v>
      </c>
      <c r="D5063" s="1">
        <f>IF(Tabela1[[#This Row],[promien]]&lt;40000,1,0)</f>
        <v>1</v>
      </c>
      <c r="E5063" s="1">
        <f>IF(Tabela1[[#This Row],[promien]]=40000,1,0)</f>
        <v>0</v>
      </c>
      <c r="F5063" s="1">
        <v>3.1633418921587992</v>
      </c>
      <c r="G5063" s="1">
        <v>2.1749238569006124E-2</v>
      </c>
    </row>
    <row r="5064" spans="1:7">
      <c r="A5064">
        <v>105</v>
      </c>
      <c r="B5064">
        <v>63</v>
      </c>
      <c r="C5064" s="1">
        <f>(Tabela1[[#This Row],[x]]-H$3)*(Tabela1[[#This Row],[x]]-H$3) +(Tabela1[[#This Row],[y]]-H$4)*(Tabela1[[#This Row],[y]]-H$4)</f>
        <v>27794</v>
      </c>
      <c r="D5064" s="1">
        <f>IF(Tabela1[[#This Row],[promien]]&lt;40000,1,0)</f>
        <v>1</v>
      </c>
      <c r="E5064" s="1">
        <f>IF(Tabela1[[#This Row],[promien]]=40000,1,0)</f>
        <v>0</v>
      </c>
      <c r="F5064" s="1">
        <v>3.1635071090047395</v>
      </c>
      <c r="G5064" s="1">
        <v>2.191445541494641E-2</v>
      </c>
    </row>
    <row r="5065" spans="1:7">
      <c r="A5065">
        <v>81</v>
      </c>
      <c r="B5065">
        <v>73</v>
      </c>
      <c r="C5065" s="1">
        <f>(Tabela1[[#This Row],[x]]-H$3)*(Tabela1[[#This Row],[x]]-H$3) +(Tabela1[[#This Row],[y]]-H$4)*(Tabela1[[#This Row],[y]]-H$4)</f>
        <v>30290</v>
      </c>
      <c r="D5065" s="1">
        <f>IF(Tabela1[[#This Row],[promien]]&lt;40000,1,0)</f>
        <v>1</v>
      </c>
      <c r="E5065" s="1">
        <f>IF(Tabela1[[#This Row],[promien]]=40000,1,0)</f>
        <v>0</v>
      </c>
      <c r="F5065" s="1">
        <v>3.1636722606120435</v>
      </c>
      <c r="G5065" s="1">
        <v>2.2079607022250425E-2</v>
      </c>
    </row>
    <row r="5066" spans="1:7">
      <c r="A5066">
        <v>125</v>
      </c>
      <c r="B5066">
        <v>368</v>
      </c>
      <c r="C5066" s="1">
        <f>(Tabela1[[#This Row],[x]]-H$3)*(Tabela1[[#This Row],[x]]-H$3) +(Tabela1[[#This Row],[y]]-H$4)*(Tabela1[[#This Row],[y]]-H$4)</f>
        <v>33849</v>
      </c>
      <c r="D5066" s="1">
        <f>IF(Tabela1[[#This Row],[promien]]&lt;40000,1,0)</f>
        <v>1</v>
      </c>
      <c r="E5066" s="1">
        <f>IF(Tabela1[[#This Row],[promien]]=40000,1,0)</f>
        <v>0</v>
      </c>
      <c r="F5066" s="1">
        <v>3.1638373470193448</v>
      </c>
      <c r="G5066" s="1">
        <v>2.224469342955171E-2</v>
      </c>
    </row>
    <row r="5067" spans="1:7">
      <c r="A5067">
        <v>151</v>
      </c>
      <c r="B5067">
        <v>279</v>
      </c>
      <c r="C5067" s="1">
        <f>(Tabela1[[#This Row],[x]]-H$3)*(Tabela1[[#This Row],[x]]-H$3) +(Tabela1[[#This Row],[y]]-H$4)*(Tabela1[[#This Row],[y]]-H$4)</f>
        <v>8642</v>
      </c>
      <c r="D5067" s="1">
        <f>IF(Tabela1[[#This Row],[promien]]&lt;40000,1,0)</f>
        <v>1</v>
      </c>
      <c r="E5067" s="1">
        <f>IF(Tabela1[[#This Row],[promien]]=40000,1,0)</f>
        <v>0</v>
      </c>
      <c r="F5067" s="1">
        <v>3.1640023682652458</v>
      </c>
      <c r="G5067" s="1">
        <v>2.2409714675452719E-2</v>
      </c>
    </row>
    <row r="5068" spans="1:7">
      <c r="A5068">
        <v>41</v>
      </c>
      <c r="B5068">
        <v>222</v>
      </c>
      <c r="C5068" s="1">
        <f>(Tabela1[[#This Row],[x]]-H$3)*(Tabela1[[#This Row],[x]]-H$3) +(Tabela1[[#This Row],[y]]-H$4)*(Tabela1[[#This Row],[y]]-H$4)</f>
        <v>25765</v>
      </c>
      <c r="D5068" s="1">
        <f>IF(Tabela1[[#This Row],[promien]]&lt;40000,1,0)</f>
        <v>1</v>
      </c>
      <c r="E5068" s="1">
        <f>IF(Tabela1[[#This Row],[promien]]=40000,1,0)</f>
        <v>0</v>
      </c>
      <c r="F5068" s="1">
        <v>3.1641673243883188</v>
      </c>
      <c r="G5068" s="1">
        <v>2.2574670798525709E-2</v>
      </c>
    </row>
    <row r="5069" spans="1:7">
      <c r="A5069">
        <v>190</v>
      </c>
      <c r="B5069">
        <v>23</v>
      </c>
      <c r="C5069" s="1">
        <f>(Tabela1[[#This Row],[x]]-H$3)*(Tabela1[[#This Row],[x]]-H$3) +(Tabela1[[#This Row],[y]]-H$4)*(Tabela1[[#This Row],[y]]-H$4)</f>
        <v>31429</v>
      </c>
      <c r="D5069" s="1">
        <f>IF(Tabela1[[#This Row],[promien]]&lt;40000,1,0)</f>
        <v>1</v>
      </c>
      <c r="E5069" s="1">
        <f>IF(Tabela1[[#This Row],[promien]]=40000,1,0)</f>
        <v>0</v>
      </c>
      <c r="F5069" s="1">
        <v>3.1643322154271059</v>
      </c>
      <c r="G5069" s="1">
        <v>2.2739561837312738E-2</v>
      </c>
    </row>
    <row r="5070" spans="1:7">
      <c r="A5070">
        <v>316</v>
      </c>
      <c r="B5070">
        <v>29</v>
      </c>
      <c r="C5070" s="1">
        <f>(Tabela1[[#This Row],[x]]-H$3)*(Tabela1[[#This Row],[x]]-H$3) +(Tabela1[[#This Row],[y]]-H$4)*(Tabela1[[#This Row],[y]]-H$4)</f>
        <v>42697</v>
      </c>
      <c r="D5070" s="1">
        <f>IF(Tabela1[[#This Row],[promien]]&lt;40000,1,0)</f>
        <v>0</v>
      </c>
      <c r="E5070" s="1">
        <f>IF(Tabela1[[#This Row],[promien]]=40000,1,0)</f>
        <v>0</v>
      </c>
      <c r="F5070" s="1">
        <v>3.16370808678501</v>
      </c>
      <c r="G5070" s="1">
        <v>2.2115433195216916E-2</v>
      </c>
    </row>
    <row r="5071" spans="1:7">
      <c r="A5071">
        <v>304</v>
      </c>
      <c r="B5071">
        <v>222</v>
      </c>
      <c r="C5071" s="1">
        <f>(Tabela1[[#This Row],[x]]-H$3)*(Tabela1[[#This Row],[x]]-H$3) +(Tabela1[[#This Row],[y]]-H$4)*(Tabela1[[#This Row],[y]]-H$4)</f>
        <v>11300</v>
      </c>
      <c r="D5071" s="1">
        <f>IF(Tabela1[[#This Row],[promien]]&lt;40000,1,0)</f>
        <v>1</v>
      </c>
      <c r="E5071" s="1">
        <f>IF(Tabela1[[#This Row],[promien]]=40000,1,0)</f>
        <v>0</v>
      </c>
      <c r="F5071" s="1">
        <v>3.1638730033523959</v>
      </c>
      <c r="G5071" s="1">
        <v>2.2280349762602736E-2</v>
      </c>
    </row>
    <row r="5072" spans="1:7">
      <c r="A5072">
        <v>97</v>
      </c>
      <c r="B5072">
        <v>270</v>
      </c>
      <c r="C5072" s="1">
        <f>(Tabela1[[#This Row],[x]]-H$3)*(Tabela1[[#This Row],[x]]-H$3) +(Tabela1[[#This Row],[y]]-H$4)*(Tabela1[[#This Row],[y]]-H$4)</f>
        <v>15509</v>
      </c>
      <c r="D5072" s="1">
        <f>IF(Tabela1[[#This Row],[promien]]&lt;40000,1,0)</f>
        <v>1</v>
      </c>
      <c r="E5072" s="1">
        <f>IF(Tabela1[[#This Row],[promien]]=40000,1,0)</f>
        <v>0</v>
      </c>
      <c r="F5072" s="1">
        <v>3.1640378548895898</v>
      </c>
      <c r="G5072" s="1">
        <v>2.2445201299796658E-2</v>
      </c>
    </row>
    <row r="5073" spans="1:7">
      <c r="A5073">
        <v>300</v>
      </c>
      <c r="B5073">
        <v>53</v>
      </c>
      <c r="C5073" s="1">
        <f>(Tabela1[[#This Row],[x]]-H$3)*(Tabela1[[#This Row],[x]]-H$3) +(Tabela1[[#This Row],[y]]-H$4)*(Tabela1[[#This Row],[y]]-H$4)</f>
        <v>31609</v>
      </c>
      <c r="D5073" s="1">
        <f>IF(Tabela1[[#This Row],[promien]]&lt;40000,1,0)</f>
        <v>1</v>
      </c>
      <c r="E5073" s="1">
        <f>IF(Tabela1[[#This Row],[promien]]=40000,1,0)</f>
        <v>0</v>
      </c>
      <c r="F5073" s="1">
        <v>3.1642026414350481</v>
      </c>
      <c r="G5073" s="1">
        <v>2.2609987845255031E-2</v>
      </c>
    </row>
    <row r="5074" spans="1:7">
      <c r="A5074">
        <v>386</v>
      </c>
      <c r="B5074">
        <v>230</v>
      </c>
      <c r="C5074" s="1">
        <f>(Tabela1[[#This Row],[x]]-H$3)*(Tabela1[[#This Row],[x]]-H$3) +(Tabela1[[#This Row],[y]]-H$4)*(Tabela1[[#This Row],[y]]-H$4)</f>
        <v>35496</v>
      </c>
      <c r="D5074" s="1">
        <f>IF(Tabela1[[#This Row],[promien]]&lt;40000,1,0)</f>
        <v>1</v>
      </c>
      <c r="E5074" s="1">
        <f>IF(Tabela1[[#This Row],[promien]]=40000,1,0)</f>
        <v>0</v>
      </c>
      <c r="F5074" s="1">
        <v>3.1643673630271976</v>
      </c>
      <c r="G5074" s="1">
        <v>2.277470943740445E-2</v>
      </c>
    </row>
    <row r="5075" spans="1:7">
      <c r="A5075">
        <v>355</v>
      </c>
      <c r="B5075">
        <v>191</v>
      </c>
      <c r="C5075" s="1">
        <f>(Tabela1[[#This Row],[x]]-H$3)*(Tabela1[[#This Row],[x]]-H$3) +(Tabela1[[#This Row],[y]]-H$4)*(Tabela1[[#This Row],[y]]-H$4)</f>
        <v>24106</v>
      </c>
      <c r="D5075" s="1">
        <f>IF(Tabela1[[#This Row],[promien]]&lt;40000,1,0)</f>
        <v>1</v>
      </c>
      <c r="E5075" s="1">
        <f>IF(Tabela1[[#This Row],[promien]]=40000,1,0)</f>
        <v>0</v>
      </c>
      <c r="F5075" s="1">
        <v>3.1645320197044335</v>
      </c>
      <c r="G5075" s="1">
        <v>2.2939366114640425E-2</v>
      </c>
    </row>
    <row r="5076" spans="1:7">
      <c r="A5076">
        <v>359</v>
      </c>
      <c r="B5076">
        <v>362</v>
      </c>
      <c r="C5076" s="1">
        <f>(Tabela1[[#This Row],[x]]-H$3)*(Tabela1[[#This Row],[x]]-H$3) +(Tabela1[[#This Row],[y]]-H$4)*(Tabela1[[#This Row],[y]]-H$4)</f>
        <v>51525</v>
      </c>
      <c r="D5076" s="1">
        <f>IF(Tabela1[[#This Row],[promien]]&lt;40000,1,0)</f>
        <v>0</v>
      </c>
      <c r="E5076" s="1">
        <f>IF(Tabela1[[#This Row],[promien]]=40000,1,0)</f>
        <v>0</v>
      </c>
      <c r="F5076" s="1">
        <v>3.1639085894405041</v>
      </c>
      <c r="G5076" s="1">
        <v>2.2315935850711011E-2</v>
      </c>
    </row>
    <row r="5077" spans="1:7">
      <c r="A5077">
        <v>17</v>
      </c>
      <c r="B5077">
        <v>165</v>
      </c>
      <c r="C5077" s="1">
        <f>(Tabela1[[#This Row],[x]]-H$3)*(Tabela1[[#This Row],[x]]-H$3) +(Tabela1[[#This Row],[y]]-H$4)*(Tabela1[[#This Row],[y]]-H$4)</f>
        <v>34714</v>
      </c>
      <c r="D5077" s="1">
        <f>IF(Tabela1[[#This Row],[promien]]&lt;40000,1,0)</f>
        <v>1</v>
      </c>
      <c r="E5077" s="1">
        <f>IF(Tabela1[[#This Row],[promien]]=40000,1,0)</f>
        <v>0</v>
      </c>
      <c r="F5077" s="1">
        <v>3.1640732716170965</v>
      </c>
      <c r="G5077" s="1">
        <v>2.248061802730339E-2</v>
      </c>
    </row>
    <row r="5078" spans="1:7">
      <c r="A5078">
        <v>256</v>
      </c>
      <c r="B5078">
        <v>367</v>
      </c>
      <c r="C5078" s="1">
        <f>(Tabela1[[#This Row],[x]]-H$3)*(Tabela1[[#This Row],[x]]-H$3) +(Tabela1[[#This Row],[y]]-H$4)*(Tabela1[[#This Row],[y]]-H$4)</f>
        <v>31025</v>
      </c>
      <c r="D5078" s="1">
        <f>IF(Tabela1[[#This Row],[promien]]&lt;40000,1,0)</f>
        <v>1</v>
      </c>
      <c r="E5078" s="1">
        <f>IF(Tabela1[[#This Row],[promien]]=40000,1,0)</f>
        <v>0</v>
      </c>
      <c r="F5078" s="1">
        <v>3.1642378889326506</v>
      </c>
      <c r="G5078" s="1">
        <v>2.264523534285745E-2</v>
      </c>
    </row>
    <row r="5079" spans="1:7">
      <c r="A5079">
        <v>333</v>
      </c>
      <c r="B5079">
        <v>67</v>
      </c>
      <c r="C5079" s="1">
        <f>(Tabela1[[#This Row],[x]]-H$3)*(Tabela1[[#This Row],[x]]-H$3) +(Tabela1[[#This Row],[y]]-H$4)*(Tabela1[[#This Row],[y]]-H$4)</f>
        <v>35378</v>
      </c>
      <c r="D5079" s="1">
        <f>IF(Tabela1[[#This Row],[promien]]&lt;40000,1,0)</f>
        <v>1</v>
      </c>
      <c r="E5079" s="1">
        <f>IF(Tabela1[[#This Row],[promien]]=40000,1,0)</f>
        <v>0</v>
      </c>
      <c r="F5079" s="1">
        <v>3.1644024414254774</v>
      </c>
      <c r="G5079" s="1">
        <v>2.2809787835684325E-2</v>
      </c>
    </row>
    <row r="5080" spans="1:7">
      <c r="A5080">
        <v>336</v>
      </c>
      <c r="B5080">
        <v>365</v>
      </c>
      <c r="C5080" s="1">
        <f>(Tabela1[[#This Row],[x]]-H$3)*(Tabela1[[#This Row],[x]]-H$3) +(Tabela1[[#This Row],[y]]-H$4)*(Tabela1[[#This Row],[y]]-H$4)</f>
        <v>45721</v>
      </c>
      <c r="D5080" s="1">
        <f>IF(Tabela1[[#This Row],[promien]]&lt;40000,1,0)</f>
        <v>0</v>
      </c>
      <c r="E5080" s="1">
        <f>IF(Tabela1[[#This Row],[promien]]=40000,1,0)</f>
        <v>0</v>
      </c>
      <c r="F5080" s="1">
        <v>3.163779527559055</v>
      </c>
      <c r="G5080" s="1">
        <v>2.2186873969261889E-2</v>
      </c>
    </row>
    <row r="5081" spans="1:7">
      <c r="A5081">
        <v>50</v>
      </c>
      <c r="B5081">
        <v>262</v>
      </c>
      <c r="C5081" s="1">
        <f>(Tabela1[[#This Row],[x]]-H$3)*(Tabela1[[#This Row],[x]]-H$3) +(Tabela1[[#This Row],[y]]-H$4)*(Tabela1[[#This Row],[y]]-H$4)</f>
        <v>26344</v>
      </c>
      <c r="D5081" s="1">
        <f>IF(Tabela1[[#This Row],[promien]]&lt;40000,1,0)</f>
        <v>1</v>
      </c>
      <c r="E5081" s="1">
        <f>IF(Tabela1[[#This Row],[promien]]=40000,1,0)</f>
        <v>0</v>
      </c>
      <c r="F5081" s="1">
        <v>3.1639441054910451</v>
      </c>
      <c r="G5081" s="1">
        <v>2.2351451901251984E-2</v>
      </c>
    </row>
    <row r="5082" spans="1:7">
      <c r="A5082">
        <v>223</v>
      </c>
      <c r="B5082">
        <v>123</v>
      </c>
      <c r="C5082" s="1">
        <f>(Tabela1[[#This Row],[x]]-H$3)*(Tabela1[[#This Row],[x]]-H$3) +(Tabela1[[#This Row],[y]]-H$4)*(Tabela1[[#This Row],[y]]-H$4)</f>
        <v>6458</v>
      </c>
      <c r="D5082" s="1">
        <f>IF(Tabela1[[#This Row],[promien]]&lt;40000,1,0)</f>
        <v>1</v>
      </c>
      <c r="E5082" s="1">
        <f>IF(Tabela1[[#This Row],[promien]]=40000,1,0)</f>
        <v>0</v>
      </c>
      <c r="F5082" s="1">
        <v>3.164108618654073</v>
      </c>
      <c r="G5082" s="1">
        <v>2.2515965064279886E-2</v>
      </c>
    </row>
    <row r="5083" spans="1:7">
      <c r="A5083">
        <v>146</v>
      </c>
      <c r="B5083">
        <v>68</v>
      </c>
      <c r="C5083" s="1">
        <f>(Tabela1[[#This Row],[x]]-H$3)*(Tabela1[[#This Row],[x]]-H$3) +(Tabela1[[#This Row],[y]]-H$4)*(Tabela1[[#This Row],[y]]-H$4)</f>
        <v>20340</v>
      </c>
      <c r="D5083" s="1">
        <f>IF(Tabela1[[#This Row],[promien]]&lt;40000,1,0)</f>
        <v>1</v>
      </c>
      <c r="E5083" s="1">
        <f>IF(Tabela1[[#This Row],[promien]]=40000,1,0)</f>
        <v>0</v>
      </c>
      <c r="F5083" s="1">
        <v>3.1642730670863664</v>
      </c>
      <c r="G5083" s="1">
        <v>2.2680413496573237E-2</v>
      </c>
    </row>
    <row r="5084" spans="1:7">
      <c r="A5084">
        <v>367</v>
      </c>
      <c r="B5084">
        <v>156</v>
      </c>
      <c r="C5084" s="1">
        <f>(Tabela1[[#This Row],[x]]-H$3)*(Tabela1[[#This Row],[x]]-H$3) +(Tabela1[[#This Row],[y]]-H$4)*(Tabela1[[#This Row],[y]]-H$4)</f>
        <v>29825</v>
      </c>
      <c r="D5084" s="1">
        <f>IF(Tabela1[[#This Row],[promien]]&lt;40000,1,0)</f>
        <v>1</v>
      </c>
      <c r="E5084" s="1">
        <f>IF(Tabela1[[#This Row],[promien]]=40000,1,0)</f>
        <v>0</v>
      </c>
      <c r="F5084" s="1">
        <v>3.1644374508261213</v>
      </c>
      <c r="G5084" s="1">
        <v>2.2844797236328152E-2</v>
      </c>
    </row>
    <row r="5085" spans="1:7">
      <c r="A5085">
        <v>31</v>
      </c>
      <c r="B5085">
        <v>164</v>
      </c>
      <c r="C5085" s="1">
        <f>(Tabela1[[#This Row],[x]]-H$3)*(Tabela1[[#This Row],[x]]-H$3) +(Tabela1[[#This Row],[y]]-H$4)*(Tabela1[[#This Row],[y]]-H$4)</f>
        <v>29857</v>
      </c>
      <c r="D5085" s="1">
        <f>IF(Tabela1[[#This Row],[promien]]&lt;40000,1,0)</f>
        <v>1</v>
      </c>
      <c r="E5085" s="1">
        <f>IF(Tabela1[[#This Row],[promien]]=40000,1,0)</f>
        <v>0</v>
      </c>
      <c r="F5085" s="1">
        <v>3.1646017699115045</v>
      </c>
      <c r="G5085" s="1">
        <v>2.3009116321711431E-2</v>
      </c>
    </row>
    <row r="5086" spans="1:7">
      <c r="A5086">
        <v>282</v>
      </c>
      <c r="B5086">
        <v>16</v>
      </c>
      <c r="C5086" s="1">
        <f>(Tabela1[[#This Row],[x]]-H$3)*(Tabela1[[#This Row],[x]]-H$3) +(Tabela1[[#This Row],[y]]-H$4)*(Tabela1[[#This Row],[y]]-H$4)</f>
        <v>40580</v>
      </c>
      <c r="D5086" s="1">
        <f>IF(Tabela1[[#This Row],[promien]]&lt;40000,1,0)</f>
        <v>0</v>
      </c>
      <c r="E5086" s="1">
        <f>IF(Tabela1[[#This Row],[promien]]=40000,1,0)</f>
        <v>0</v>
      </c>
      <c r="F5086" s="1">
        <v>3.163979551710578</v>
      </c>
      <c r="G5086" s="1">
        <v>2.2386898120784871E-2</v>
      </c>
    </row>
    <row r="5087" spans="1:7">
      <c r="A5087">
        <v>8</v>
      </c>
      <c r="B5087">
        <v>362</v>
      </c>
      <c r="C5087" s="1">
        <f>(Tabela1[[#This Row],[x]]-H$3)*(Tabela1[[#This Row],[x]]-H$3) +(Tabela1[[#This Row],[y]]-H$4)*(Tabela1[[#This Row],[y]]-H$4)</f>
        <v>63108</v>
      </c>
      <c r="D5087" s="1">
        <f>IF(Tabela1[[#This Row],[promien]]&lt;40000,1,0)</f>
        <v>0</v>
      </c>
      <c r="E5087" s="1">
        <f>IF(Tabela1[[#This Row],[promien]]=40000,1,0)</f>
        <v>0</v>
      </c>
      <c r="F5087" s="1">
        <v>3.1633575781403578</v>
      </c>
      <c r="G5087" s="1">
        <v>2.1764924550564668E-2</v>
      </c>
    </row>
    <row r="5088" spans="1:7">
      <c r="A5088">
        <v>148</v>
      </c>
      <c r="B5088">
        <v>256</v>
      </c>
      <c r="C5088" s="1">
        <f>(Tabela1[[#This Row],[x]]-H$3)*(Tabela1[[#This Row],[x]]-H$3) +(Tabela1[[#This Row],[y]]-H$4)*(Tabela1[[#This Row],[y]]-H$4)</f>
        <v>5840</v>
      </c>
      <c r="D5088" s="1">
        <f>IF(Tabela1[[#This Row],[promien]]&lt;40000,1,0)</f>
        <v>1</v>
      </c>
      <c r="E5088" s="1">
        <f>IF(Tabela1[[#This Row],[promien]]=40000,1,0)</f>
        <v>0</v>
      </c>
      <c r="F5088" s="1">
        <v>3.1635220125786163</v>
      </c>
      <c r="G5088" s="1">
        <v>2.19293589888232E-2</v>
      </c>
    </row>
    <row r="5089" spans="1:7">
      <c r="A5089">
        <v>376</v>
      </c>
      <c r="B5089">
        <v>36</v>
      </c>
      <c r="C5089" s="1">
        <f>(Tabela1[[#This Row],[x]]-H$3)*(Tabela1[[#This Row],[x]]-H$3) +(Tabela1[[#This Row],[y]]-H$4)*(Tabela1[[#This Row],[y]]-H$4)</f>
        <v>57872</v>
      </c>
      <c r="D5089" s="1">
        <f>IF(Tabela1[[#This Row],[promien]]&lt;40000,1,0)</f>
        <v>0</v>
      </c>
      <c r="E5089" s="1">
        <f>IF(Tabela1[[#This Row],[promien]]=40000,1,0)</f>
        <v>0</v>
      </c>
      <c r="F5089" s="1">
        <v>3.1629003733542937</v>
      </c>
      <c r="G5089" s="1">
        <v>2.1307719764500632E-2</v>
      </c>
    </row>
    <row r="5090" spans="1:7">
      <c r="A5090">
        <v>178</v>
      </c>
      <c r="B5090">
        <v>275</v>
      </c>
      <c r="C5090" s="1">
        <f>(Tabela1[[#This Row],[x]]-H$3)*(Tabela1[[#This Row],[x]]-H$3) +(Tabela1[[#This Row],[y]]-H$4)*(Tabela1[[#This Row],[y]]-H$4)</f>
        <v>6109</v>
      </c>
      <c r="D5090" s="1">
        <f>IF(Tabela1[[#This Row],[promien]]&lt;40000,1,0)</f>
        <v>1</v>
      </c>
      <c r="E5090" s="1">
        <f>IF(Tabela1[[#This Row],[promien]]=40000,1,0)</f>
        <v>0</v>
      </c>
      <c r="F5090" s="1">
        <v>3.1630648330058939</v>
      </c>
      <c r="G5090" s="1">
        <v>2.1472179416100801E-2</v>
      </c>
    </row>
    <row r="5091" spans="1:7">
      <c r="A5091">
        <v>193</v>
      </c>
      <c r="B5091">
        <v>140</v>
      </c>
      <c r="C5091" s="1">
        <f>(Tabela1[[#This Row],[x]]-H$3)*(Tabela1[[#This Row],[x]]-H$3) +(Tabela1[[#This Row],[y]]-H$4)*(Tabela1[[#This Row],[y]]-H$4)</f>
        <v>3649</v>
      </c>
      <c r="D5091" s="1">
        <f>IF(Tabela1[[#This Row],[promien]]&lt;40000,1,0)</f>
        <v>1</v>
      </c>
      <c r="E5091" s="1">
        <f>IF(Tabela1[[#This Row],[promien]]=40000,1,0)</f>
        <v>0</v>
      </c>
      <c r="F5091" s="1">
        <v>3.1632292280494991</v>
      </c>
      <c r="G5091" s="1">
        <v>2.1636574459706015E-2</v>
      </c>
    </row>
    <row r="5092" spans="1:7">
      <c r="A5092">
        <v>360</v>
      </c>
      <c r="B5092">
        <v>270</v>
      </c>
      <c r="C5092" s="1">
        <f>(Tabela1[[#This Row],[x]]-H$3)*(Tabela1[[#This Row],[x]]-H$3) +(Tabela1[[#This Row],[y]]-H$4)*(Tabela1[[#This Row],[y]]-H$4)</f>
        <v>30500</v>
      </c>
      <c r="D5092" s="1">
        <f>IF(Tabela1[[#This Row],[promien]]&lt;40000,1,0)</f>
        <v>1</v>
      </c>
      <c r="E5092" s="1">
        <f>IF(Tabela1[[#This Row],[promien]]=40000,1,0)</f>
        <v>0</v>
      </c>
      <c r="F5092" s="1">
        <v>3.1633935585231736</v>
      </c>
      <c r="G5092" s="1">
        <v>2.1800904933380494E-2</v>
      </c>
    </row>
    <row r="5093" spans="1:7">
      <c r="A5093">
        <v>157</v>
      </c>
      <c r="B5093">
        <v>339</v>
      </c>
      <c r="C5093" s="1">
        <f>(Tabela1[[#This Row],[x]]-H$3)*(Tabela1[[#This Row],[x]]-H$3) +(Tabela1[[#This Row],[y]]-H$4)*(Tabela1[[#This Row],[y]]-H$4)</f>
        <v>21170</v>
      </c>
      <c r="D5093" s="1">
        <f>IF(Tabela1[[#This Row],[promien]]&lt;40000,1,0)</f>
        <v>1</v>
      </c>
      <c r="E5093" s="1">
        <f>IF(Tabela1[[#This Row],[promien]]=40000,1,0)</f>
        <v>0</v>
      </c>
      <c r="F5093" s="1">
        <v>3.1635578244649518</v>
      </c>
      <c r="G5093" s="1">
        <v>2.1965170875158702E-2</v>
      </c>
    </row>
    <row r="5094" spans="1:7">
      <c r="A5094">
        <v>201</v>
      </c>
      <c r="B5094">
        <v>143</v>
      </c>
      <c r="C5094" s="1">
        <f>(Tabela1[[#This Row],[x]]-H$3)*(Tabela1[[#This Row],[x]]-H$3) +(Tabela1[[#This Row],[y]]-H$4)*(Tabela1[[#This Row],[y]]-H$4)</f>
        <v>3250</v>
      </c>
      <c r="D5094" s="1">
        <f>IF(Tabela1[[#This Row],[promien]]&lt;40000,1,0)</f>
        <v>1</v>
      </c>
      <c r="E5094" s="1">
        <f>IF(Tabela1[[#This Row],[promien]]=40000,1,0)</f>
        <v>0</v>
      </c>
      <c r="F5094" s="1">
        <v>3.1637220259128385</v>
      </c>
      <c r="G5094" s="1">
        <v>2.2129372323045349E-2</v>
      </c>
    </row>
    <row r="5095" spans="1:7">
      <c r="A5095">
        <v>179</v>
      </c>
      <c r="B5095">
        <v>24</v>
      </c>
      <c r="C5095" s="1">
        <f>(Tabela1[[#This Row],[x]]-H$3)*(Tabela1[[#This Row],[x]]-H$3) +(Tabela1[[#This Row],[y]]-H$4)*(Tabela1[[#This Row],[y]]-H$4)</f>
        <v>31417</v>
      </c>
      <c r="D5095" s="1">
        <f>IF(Tabela1[[#This Row],[promien]]&lt;40000,1,0)</f>
        <v>1</v>
      </c>
      <c r="E5095" s="1">
        <f>IF(Tabela1[[#This Row],[promien]]=40000,1,0)</f>
        <v>0</v>
      </c>
      <c r="F5095" s="1">
        <v>3.1638861629048085</v>
      </c>
      <c r="G5095" s="1">
        <v>2.2293509315015392E-2</v>
      </c>
    </row>
    <row r="5096" spans="1:7">
      <c r="A5096">
        <v>140</v>
      </c>
      <c r="B5096">
        <v>384</v>
      </c>
      <c r="C5096" s="1">
        <f>(Tabela1[[#This Row],[x]]-H$3)*(Tabela1[[#This Row],[x]]-H$3) +(Tabela1[[#This Row],[y]]-H$4)*(Tabela1[[#This Row],[y]]-H$4)</f>
        <v>37456</v>
      </c>
      <c r="D5096" s="1">
        <f>IF(Tabela1[[#This Row],[promien]]&lt;40000,1,0)</f>
        <v>1</v>
      </c>
      <c r="E5096" s="1">
        <f>IF(Tabela1[[#This Row],[promien]]=40000,1,0)</f>
        <v>0</v>
      </c>
      <c r="F5096" s="1">
        <v>3.1640502354788067</v>
      </c>
      <c r="G5096" s="1">
        <v>2.2457581889013589E-2</v>
      </c>
    </row>
    <row r="5097" spans="1:7">
      <c r="A5097">
        <v>295</v>
      </c>
      <c r="B5097">
        <v>114</v>
      </c>
      <c r="C5097" s="1">
        <f>(Tabela1[[#This Row],[x]]-H$3)*(Tabela1[[#This Row],[x]]-H$3) +(Tabela1[[#This Row],[y]]-H$4)*(Tabela1[[#This Row],[y]]-H$4)</f>
        <v>16421</v>
      </c>
      <c r="D5097" s="1">
        <f>IF(Tabela1[[#This Row],[promien]]&lt;40000,1,0)</f>
        <v>1</v>
      </c>
      <c r="E5097" s="1">
        <f>IF(Tabela1[[#This Row],[promien]]=40000,1,0)</f>
        <v>0</v>
      </c>
      <c r="F5097" s="1">
        <v>3.1642142436727485</v>
      </c>
      <c r="G5097" s="1">
        <v>2.262159008295539E-2</v>
      </c>
    </row>
    <row r="5098" spans="1:7">
      <c r="A5098">
        <v>252</v>
      </c>
      <c r="B5098">
        <v>226</v>
      </c>
      <c r="C5098" s="1">
        <f>(Tabela1[[#This Row],[x]]-H$3)*(Tabela1[[#This Row],[x]]-H$3) +(Tabela1[[#This Row],[y]]-H$4)*(Tabela1[[#This Row],[y]]-H$4)</f>
        <v>3380</v>
      </c>
      <c r="D5098" s="1">
        <f>IF(Tabela1[[#This Row],[promien]]&lt;40000,1,0)</f>
        <v>1</v>
      </c>
      <c r="E5098" s="1">
        <f>IF(Tabela1[[#This Row],[promien]]=40000,1,0)</f>
        <v>0</v>
      </c>
      <c r="F5098" s="1">
        <v>3.1643781875245196</v>
      </c>
      <c r="G5098" s="1">
        <v>2.2785533934726487E-2</v>
      </c>
    </row>
    <row r="5099" spans="1:7">
      <c r="A5099">
        <v>248</v>
      </c>
      <c r="B5099">
        <v>229</v>
      </c>
      <c r="C5099" s="1">
        <f>(Tabela1[[#This Row],[x]]-H$3)*(Tabela1[[#This Row],[x]]-H$3) +(Tabela1[[#This Row],[y]]-H$4)*(Tabela1[[#This Row],[y]]-H$4)</f>
        <v>3145</v>
      </c>
      <c r="D5099" s="1">
        <f>IF(Tabela1[[#This Row],[promien]]&lt;40000,1,0)</f>
        <v>1</v>
      </c>
      <c r="E5099" s="1">
        <f>IF(Tabela1[[#This Row],[promien]]=40000,1,0)</f>
        <v>0</v>
      </c>
      <c r="F5099" s="1">
        <v>3.1645420670719751</v>
      </c>
      <c r="G5099" s="1">
        <v>2.2949413482181935E-2</v>
      </c>
    </row>
    <row r="5100" spans="1:7">
      <c r="A5100">
        <v>33</v>
      </c>
      <c r="B5100">
        <v>298</v>
      </c>
      <c r="C5100" s="1">
        <f>(Tabela1[[#This Row],[x]]-H$3)*(Tabela1[[#This Row],[x]]-H$3) +(Tabela1[[#This Row],[y]]-H$4)*(Tabela1[[#This Row],[y]]-H$4)</f>
        <v>37493</v>
      </c>
      <c r="D5100" s="1">
        <f>IF(Tabela1[[#This Row],[promien]]&lt;40000,1,0)</f>
        <v>1</v>
      </c>
      <c r="E5100" s="1">
        <f>IF(Tabela1[[#This Row],[promien]]=40000,1,0)</f>
        <v>0</v>
      </c>
      <c r="F5100" s="1">
        <v>3.164705882352941</v>
      </c>
      <c r="G5100" s="1">
        <v>2.3113228763147919E-2</v>
      </c>
    </row>
    <row r="5101" spans="1:7">
      <c r="A5101">
        <v>194</v>
      </c>
      <c r="B5101">
        <v>4</v>
      </c>
      <c r="C5101" s="1">
        <f>(Tabela1[[#This Row],[x]]-H$3)*(Tabela1[[#This Row],[x]]-H$3) +(Tabela1[[#This Row],[y]]-H$4)*(Tabela1[[#This Row],[y]]-H$4)</f>
        <v>38452</v>
      </c>
      <c r="D5101" s="1">
        <f>IF(Tabela1[[#This Row],[promien]]&lt;40000,1,0)</f>
        <v>1</v>
      </c>
      <c r="E5101" s="1">
        <f>IF(Tabela1[[#This Row],[promien]]=40000,1,0)</f>
        <v>0</v>
      </c>
      <c r="F5101" s="1">
        <v>3.1648696334052149</v>
      </c>
      <c r="G5101" s="1">
        <v>2.3276979815421761E-2</v>
      </c>
    </row>
    <row r="5102" spans="1:7">
      <c r="A5102">
        <v>177</v>
      </c>
      <c r="B5102">
        <v>211</v>
      </c>
      <c r="C5102" s="1">
        <f>(Tabela1[[#This Row],[x]]-H$3)*(Tabela1[[#This Row],[x]]-H$3) +(Tabela1[[#This Row],[y]]-H$4)*(Tabela1[[#This Row],[y]]-H$4)</f>
        <v>650</v>
      </c>
      <c r="D5102" s="1">
        <f>IF(Tabela1[[#This Row],[promien]]&lt;40000,1,0)</f>
        <v>1</v>
      </c>
      <c r="E5102" s="1">
        <f>IF(Tabela1[[#This Row],[promien]]=40000,1,0)</f>
        <v>0</v>
      </c>
      <c r="F5102" s="1">
        <v>3.1650333202665619</v>
      </c>
      <c r="G5102" s="1">
        <v>2.3440666676768807E-2</v>
      </c>
    </row>
    <row r="5103" spans="1:7">
      <c r="A5103">
        <v>320</v>
      </c>
      <c r="B5103">
        <v>64</v>
      </c>
      <c r="C5103" s="1">
        <f>(Tabela1[[#This Row],[x]]-H$3)*(Tabela1[[#This Row],[x]]-H$3) +(Tabela1[[#This Row],[y]]-H$4)*(Tabela1[[#This Row],[y]]-H$4)</f>
        <v>32896</v>
      </c>
      <c r="D5103" s="1">
        <f>IF(Tabela1[[#This Row],[promien]]&lt;40000,1,0)</f>
        <v>1</v>
      </c>
      <c r="E5103" s="1">
        <f>IF(Tabela1[[#This Row],[promien]]=40000,1,0)</f>
        <v>0</v>
      </c>
      <c r="F5103" s="1">
        <v>3.1651969429747209</v>
      </c>
      <c r="G5103" s="1">
        <v>2.3604289384927757E-2</v>
      </c>
    </row>
    <row r="5104" spans="1:7">
      <c r="A5104">
        <v>116</v>
      </c>
      <c r="B5104">
        <v>85</v>
      </c>
      <c r="C5104" s="1">
        <f>(Tabela1[[#This Row],[x]]-H$3)*(Tabela1[[#This Row],[x]]-H$3) +(Tabela1[[#This Row],[y]]-H$4)*(Tabela1[[#This Row],[y]]-H$4)</f>
        <v>20281</v>
      </c>
      <c r="D5104" s="1">
        <f>IF(Tabela1[[#This Row],[promien]]&lt;40000,1,0)</f>
        <v>1</v>
      </c>
      <c r="E5104" s="1">
        <f>IF(Tabela1[[#This Row],[promien]]=40000,1,0)</f>
        <v>0</v>
      </c>
      <c r="F5104" s="1">
        <v>3.165360501567398</v>
      </c>
      <c r="G5104" s="1">
        <v>2.3767847977604895E-2</v>
      </c>
    </row>
    <row r="5105" spans="1:7">
      <c r="A5105">
        <v>168</v>
      </c>
      <c r="B5105">
        <v>381</v>
      </c>
      <c r="C5105" s="1">
        <f>(Tabela1[[#This Row],[x]]-H$3)*(Tabela1[[#This Row],[x]]-H$3) +(Tabela1[[#This Row],[y]]-H$4)*(Tabela1[[#This Row],[y]]-H$4)</f>
        <v>33785</v>
      </c>
      <c r="D5105" s="1">
        <f>IF(Tabela1[[#This Row],[promien]]&lt;40000,1,0)</f>
        <v>1</v>
      </c>
      <c r="E5105" s="1">
        <f>IF(Tabela1[[#This Row],[promien]]=40000,1,0)</f>
        <v>0</v>
      </c>
      <c r="F5105" s="1">
        <v>3.1655239960822721</v>
      </c>
      <c r="G5105" s="1">
        <v>2.3931342492478969E-2</v>
      </c>
    </row>
    <row r="5106" spans="1:7">
      <c r="A5106">
        <v>188</v>
      </c>
      <c r="B5106">
        <v>274</v>
      </c>
      <c r="C5106" s="1">
        <f>(Tabela1[[#This Row],[x]]-H$3)*(Tabela1[[#This Row],[x]]-H$3) +(Tabela1[[#This Row],[y]]-H$4)*(Tabela1[[#This Row],[y]]-H$4)</f>
        <v>5620</v>
      </c>
      <c r="D5106" s="1">
        <f>IF(Tabela1[[#This Row],[promien]]&lt;40000,1,0)</f>
        <v>1</v>
      </c>
      <c r="E5106" s="1">
        <f>IF(Tabela1[[#This Row],[promien]]=40000,1,0)</f>
        <v>0</v>
      </c>
      <c r="F5106" s="1">
        <v>3.1656874265569916</v>
      </c>
      <c r="G5106" s="1">
        <v>2.409477296719853E-2</v>
      </c>
    </row>
    <row r="5107" spans="1:7">
      <c r="A5107">
        <v>60</v>
      </c>
      <c r="B5107">
        <v>117</v>
      </c>
      <c r="C5107" s="1">
        <f>(Tabela1[[#This Row],[x]]-H$3)*(Tabela1[[#This Row],[x]]-H$3) +(Tabela1[[#This Row],[y]]-H$4)*(Tabela1[[#This Row],[y]]-H$4)</f>
        <v>26489</v>
      </c>
      <c r="D5107" s="1">
        <f>IF(Tabela1[[#This Row],[promien]]&lt;40000,1,0)</f>
        <v>1</v>
      </c>
      <c r="E5107" s="1">
        <f>IF(Tabela1[[#This Row],[promien]]=40000,1,0)</f>
        <v>0</v>
      </c>
      <c r="F5107" s="1">
        <v>3.1658507930291755</v>
      </c>
      <c r="G5107" s="1">
        <v>2.4258139439382376E-2</v>
      </c>
    </row>
    <row r="5108" spans="1:7">
      <c r="A5108">
        <v>327</v>
      </c>
      <c r="B5108">
        <v>341</v>
      </c>
      <c r="C5108" s="1">
        <f>(Tabela1[[#This Row],[x]]-H$3)*(Tabela1[[#This Row],[x]]-H$3) +(Tabela1[[#This Row],[y]]-H$4)*(Tabela1[[#This Row],[y]]-H$4)</f>
        <v>36010</v>
      </c>
      <c r="D5108" s="1">
        <f>IF(Tabela1[[#This Row],[promien]]&lt;40000,1,0)</f>
        <v>1</v>
      </c>
      <c r="E5108" s="1">
        <f>IF(Tabela1[[#This Row],[promien]]=40000,1,0)</f>
        <v>0</v>
      </c>
      <c r="F5108" s="1">
        <v>3.1660140955364136</v>
      </c>
      <c r="G5108" s="1">
        <v>2.4421441946620437E-2</v>
      </c>
    </row>
    <row r="5109" spans="1:7">
      <c r="A5109">
        <v>315</v>
      </c>
      <c r="B5109">
        <v>382</v>
      </c>
      <c r="C5109" s="1">
        <f>(Tabela1[[#This Row],[x]]-H$3)*(Tabela1[[#This Row],[x]]-H$3) +(Tabela1[[#This Row],[y]]-H$4)*(Tabela1[[#This Row],[y]]-H$4)</f>
        <v>46349</v>
      </c>
      <c r="D5109" s="1">
        <f>IF(Tabela1[[#This Row],[promien]]&lt;40000,1,0)</f>
        <v>0</v>
      </c>
      <c r="E5109" s="1">
        <f>IF(Tabela1[[#This Row],[promien]]=40000,1,0)</f>
        <v>0</v>
      </c>
      <c r="F5109" s="1">
        <v>3.1653944020356235</v>
      </c>
      <c r="G5109" s="1">
        <v>2.3801748445830384E-2</v>
      </c>
    </row>
    <row r="5110" spans="1:7">
      <c r="A5110">
        <v>383</v>
      </c>
      <c r="B5110">
        <v>397</v>
      </c>
      <c r="C5110" s="1">
        <f>(Tabela1[[#This Row],[x]]-H$3)*(Tabela1[[#This Row],[x]]-H$3) +(Tabela1[[#This Row],[y]]-H$4)*(Tabela1[[#This Row],[y]]-H$4)</f>
        <v>72298</v>
      </c>
      <c r="D5110" s="1">
        <f>IF(Tabela1[[#This Row],[promien]]&lt;40000,1,0)</f>
        <v>0</v>
      </c>
      <c r="E5110" s="1">
        <f>IF(Tabela1[[#This Row],[promien]]=40000,1,0)</f>
        <v>0</v>
      </c>
      <c r="F5110" s="1">
        <v>3.1647749510763208</v>
      </c>
      <c r="G5110" s="1">
        <v>2.318229748652767E-2</v>
      </c>
    </row>
    <row r="5111" spans="1:7">
      <c r="A5111">
        <v>118</v>
      </c>
      <c r="B5111">
        <v>77</v>
      </c>
      <c r="C5111" s="1">
        <f>(Tabela1[[#This Row],[x]]-H$3)*(Tabela1[[#This Row],[x]]-H$3) +(Tabela1[[#This Row],[y]]-H$4)*(Tabela1[[#This Row],[y]]-H$4)</f>
        <v>21853</v>
      </c>
      <c r="D5111" s="1">
        <f>IF(Tabela1[[#This Row],[promien]]&lt;40000,1,0)</f>
        <v>1</v>
      </c>
      <c r="E5111" s="1">
        <f>IF(Tabela1[[#This Row],[promien]]=40000,1,0)</f>
        <v>0</v>
      </c>
      <c r="F5111" s="1">
        <v>3.1649383682253962</v>
      </c>
      <c r="G5111" s="1">
        <v>2.3345714635603088E-2</v>
      </c>
    </row>
    <row r="5112" spans="1:7">
      <c r="A5112">
        <v>242</v>
      </c>
      <c r="B5112">
        <v>354</v>
      </c>
      <c r="C5112" s="1">
        <f>(Tabela1[[#This Row],[x]]-H$3)*(Tabela1[[#This Row],[x]]-H$3) +(Tabela1[[#This Row],[y]]-H$4)*(Tabela1[[#This Row],[y]]-H$4)</f>
        <v>25480</v>
      </c>
      <c r="D5112" s="1">
        <f>IF(Tabela1[[#This Row],[promien]]&lt;40000,1,0)</f>
        <v>1</v>
      </c>
      <c r="E5112" s="1">
        <f>IF(Tabela1[[#This Row],[promien]]=40000,1,0)</f>
        <v>0</v>
      </c>
      <c r="F5112" s="1">
        <v>3.1651017214397497</v>
      </c>
      <c r="G5112" s="1">
        <v>2.3509067849956544E-2</v>
      </c>
    </row>
    <row r="5113" spans="1:7">
      <c r="A5113">
        <v>146</v>
      </c>
      <c r="B5113">
        <v>144</v>
      </c>
      <c r="C5113" s="1">
        <f>(Tabela1[[#This Row],[x]]-H$3)*(Tabela1[[#This Row],[x]]-H$3) +(Tabela1[[#This Row],[y]]-H$4)*(Tabela1[[#This Row],[y]]-H$4)</f>
        <v>6052</v>
      </c>
      <c r="D5113" s="1">
        <f>IF(Tabela1[[#This Row],[promien]]&lt;40000,1,0)</f>
        <v>1</v>
      </c>
      <c r="E5113" s="1">
        <f>IF(Tabela1[[#This Row],[promien]]=40000,1,0)</f>
        <v>0</v>
      </c>
      <c r="F5113" s="1">
        <v>3.1652650107568943</v>
      </c>
      <c r="G5113" s="1">
        <v>2.3672357167101143E-2</v>
      </c>
    </row>
    <row r="5114" spans="1:7">
      <c r="A5114">
        <v>7</v>
      </c>
      <c r="B5114">
        <v>329</v>
      </c>
      <c r="C5114" s="1">
        <f>(Tabela1[[#This Row],[x]]-H$3)*(Tabela1[[#This Row],[x]]-H$3) +(Tabela1[[#This Row],[y]]-H$4)*(Tabela1[[#This Row],[y]]-H$4)</f>
        <v>53890</v>
      </c>
      <c r="D5114" s="1">
        <f>IF(Tabela1[[#This Row],[promien]]&lt;40000,1,0)</f>
        <v>0</v>
      </c>
      <c r="E5114" s="1">
        <f>IF(Tabela1[[#This Row],[promien]]=40000,1,0)</f>
        <v>0</v>
      </c>
      <c r="F5114" s="1">
        <v>3.1646460696128274</v>
      </c>
      <c r="G5114" s="1">
        <v>2.3053416023034234E-2</v>
      </c>
    </row>
    <row r="5115" spans="1:7">
      <c r="A5115">
        <v>48</v>
      </c>
      <c r="B5115">
        <v>251</v>
      </c>
      <c r="C5115" s="1">
        <f>(Tabela1[[#This Row],[x]]-H$3)*(Tabela1[[#This Row],[x]]-H$3) +(Tabela1[[#This Row],[y]]-H$4)*(Tabela1[[#This Row],[y]]-H$4)</f>
        <v>25705</v>
      </c>
      <c r="D5115" s="1">
        <f>IF(Tabela1[[#This Row],[promien]]&lt;40000,1,0)</f>
        <v>1</v>
      </c>
      <c r="E5115" s="1">
        <f>IF(Tabela1[[#This Row],[promien]]=40000,1,0)</f>
        <v>0</v>
      </c>
      <c r="F5115" s="1">
        <v>3.1648093841642231</v>
      </c>
      <c r="G5115" s="1">
        <v>2.3216730574429967E-2</v>
      </c>
    </row>
    <row r="5116" spans="1:7">
      <c r="A5116">
        <v>325</v>
      </c>
      <c r="B5116">
        <v>369</v>
      </c>
      <c r="C5116" s="1">
        <f>(Tabela1[[#This Row],[x]]-H$3)*(Tabela1[[#This Row],[x]]-H$3) +(Tabela1[[#This Row],[y]]-H$4)*(Tabela1[[#This Row],[y]]-H$4)</f>
        <v>44186</v>
      </c>
      <c r="D5116" s="1">
        <f>IF(Tabela1[[#This Row],[promien]]&lt;40000,1,0)</f>
        <v>0</v>
      </c>
      <c r="E5116" s="1">
        <f>IF(Tabela1[[#This Row],[promien]]=40000,1,0)</f>
        <v>0</v>
      </c>
      <c r="F5116" s="1">
        <v>3.1641907740422206</v>
      </c>
      <c r="G5116" s="1">
        <v>2.2598120452427484E-2</v>
      </c>
    </row>
    <row r="5117" spans="1:7">
      <c r="A5117">
        <v>365</v>
      </c>
      <c r="B5117">
        <v>229</v>
      </c>
      <c r="C5117" s="1">
        <f>(Tabela1[[#This Row],[x]]-H$3)*(Tabela1[[#This Row],[x]]-H$3) +(Tabela1[[#This Row],[y]]-H$4)*(Tabela1[[#This Row],[y]]-H$4)</f>
        <v>28066</v>
      </c>
      <c r="D5117" s="1">
        <f>IF(Tabela1[[#This Row],[promien]]&lt;40000,1,0)</f>
        <v>1</v>
      </c>
      <c r="E5117" s="1">
        <f>IF(Tabela1[[#This Row],[promien]]=40000,1,0)</f>
        <v>0</v>
      </c>
      <c r="F5117" s="1">
        <v>3.1643541137385185</v>
      </c>
      <c r="G5117" s="1">
        <v>2.2761460148725376E-2</v>
      </c>
    </row>
    <row r="5118" spans="1:7">
      <c r="A5118">
        <v>217</v>
      </c>
      <c r="B5118">
        <v>389</v>
      </c>
      <c r="C5118" s="1">
        <f>(Tabela1[[#This Row],[x]]-H$3)*(Tabela1[[#This Row],[x]]-H$3) +(Tabela1[[#This Row],[y]]-H$4)*(Tabela1[[#This Row],[y]]-H$4)</f>
        <v>36010</v>
      </c>
      <c r="D5118" s="1">
        <f>IF(Tabela1[[#This Row],[promien]]&lt;40000,1,0)</f>
        <v>1</v>
      </c>
      <c r="E5118" s="1">
        <f>IF(Tabela1[[#This Row],[promien]]=40000,1,0)</f>
        <v>0</v>
      </c>
      <c r="F5118" s="1">
        <v>3.1645173896053147</v>
      </c>
      <c r="G5118" s="1">
        <v>2.2924736015521585E-2</v>
      </c>
    </row>
    <row r="5119" spans="1:7">
      <c r="A5119">
        <v>223</v>
      </c>
      <c r="B5119">
        <v>9</v>
      </c>
      <c r="C5119" s="1">
        <f>(Tabela1[[#This Row],[x]]-H$3)*(Tabela1[[#This Row],[x]]-H$3) +(Tabela1[[#This Row],[y]]-H$4)*(Tabela1[[#This Row],[y]]-H$4)</f>
        <v>37010</v>
      </c>
      <c r="D5119" s="1">
        <f>IF(Tabela1[[#This Row],[promien]]&lt;40000,1,0)</f>
        <v>1</v>
      </c>
      <c r="E5119" s="1">
        <f>IF(Tabela1[[#This Row],[promien]]=40000,1,0)</f>
        <v>0</v>
      </c>
      <c r="F5119" s="1">
        <v>3.1646806016800157</v>
      </c>
      <c r="G5119" s="1">
        <v>2.3087948090222632E-2</v>
      </c>
    </row>
    <row r="5120" spans="1:7">
      <c r="A5120">
        <v>231</v>
      </c>
      <c r="B5120">
        <v>227</v>
      </c>
      <c r="C5120" s="1">
        <f>(Tabela1[[#This Row],[x]]-H$3)*(Tabela1[[#This Row],[x]]-H$3) +(Tabela1[[#This Row],[y]]-H$4)*(Tabela1[[#This Row],[y]]-H$4)</f>
        <v>1690</v>
      </c>
      <c r="D5120" s="1">
        <f>IF(Tabela1[[#This Row],[promien]]&lt;40000,1,0)</f>
        <v>1</v>
      </c>
      <c r="E5120" s="1">
        <f>IF(Tabela1[[#This Row],[promien]]=40000,1,0)</f>
        <v>0</v>
      </c>
      <c r="F5120" s="1">
        <v>3.1648437500000002</v>
      </c>
      <c r="G5120" s="1">
        <v>2.3251096410207062E-2</v>
      </c>
    </row>
    <row r="5121" spans="1:7">
      <c r="A5121">
        <v>139</v>
      </c>
      <c r="B5121">
        <v>112</v>
      </c>
      <c r="C5121" s="1">
        <f>(Tabela1[[#This Row],[x]]-H$3)*(Tabela1[[#This Row],[x]]-H$3) +(Tabela1[[#This Row],[y]]-H$4)*(Tabela1[[#This Row],[y]]-H$4)</f>
        <v>11465</v>
      </c>
      <c r="D5121" s="1">
        <f>IF(Tabela1[[#This Row],[promien]]&lt;40000,1,0)</f>
        <v>1</v>
      </c>
      <c r="E5121" s="1">
        <f>IF(Tabela1[[#This Row],[promien]]=40000,1,0)</f>
        <v>0</v>
      </c>
      <c r="F5121" s="1">
        <v>3.1650068346026168</v>
      </c>
      <c r="G5121" s="1">
        <v>2.3414181012823665E-2</v>
      </c>
    </row>
    <row r="5122" spans="1:7">
      <c r="A5122">
        <v>386</v>
      </c>
      <c r="B5122">
        <v>143</v>
      </c>
      <c r="C5122" s="1">
        <f>(Tabela1[[#This Row],[x]]-H$3)*(Tabela1[[#This Row],[x]]-H$3) +(Tabela1[[#This Row],[y]]-H$4)*(Tabela1[[#This Row],[y]]-H$4)</f>
        <v>37845</v>
      </c>
      <c r="D5122" s="1">
        <f>IF(Tabela1[[#This Row],[promien]]&lt;40000,1,0)</f>
        <v>1</v>
      </c>
      <c r="E5122" s="1">
        <f>IF(Tabela1[[#This Row],[promien]]=40000,1,0)</f>
        <v>0</v>
      </c>
      <c r="F5122" s="1">
        <v>3.1651698555251855</v>
      </c>
      <c r="G5122" s="1">
        <v>2.3577201935392367E-2</v>
      </c>
    </row>
    <row r="5123" spans="1:7">
      <c r="A5123">
        <v>57</v>
      </c>
      <c r="B5123">
        <v>51</v>
      </c>
      <c r="C5123" s="1">
        <f>(Tabela1[[#This Row],[x]]-H$3)*(Tabela1[[#This Row],[x]]-H$3) +(Tabela1[[#This Row],[y]]-H$4)*(Tabela1[[#This Row],[y]]-H$4)</f>
        <v>42650</v>
      </c>
      <c r="D5123" s="1">
        <f>IF(Tabela1[[#This Row],[promien]]&lt;40000,1,0)</f>
        <v>0</v>
      </c>
      <c r="E5123" s="1">
        <f>IF(Tabela1[[#This Row],[promien]]=40000,1,0)</f>
        <v>0</v>
      </c>
      <c r="F5123" s="1">
        <v>3.1645520203006052</v>
      </c>
      <c r="G5123" s="1">
        <v>2.2959366710812112E-2</v>
      </c>
    </row>
    <row r="5124" spans="1:7">
      <c r="A5124">
        <v>318</v>
      </c>
      <c r="B5124">
        <v>217</v>
      </c>
      <c r="C5124" s="1">
        <f>(Tabela1[[#This Row],[x]]-H$3)*(Tabela1[[#This Row],[x]]-H$3) +(Tabela1[[#This Row],[y]]-H$4)*(Tabela1[[#This Row],[y]]-H$4)</f>
        <v>14213</v>
      </c>
      <c r="D5124" s="1">
        <f>IF(Tabela1[[#This Row],[promien]]&lt;40000,1,0)</f>
        <v>1</v>
      </c>
      <c r="E5124" s="1">
        <f>IF(Tabela1[[#This Row],[promien]]=40000,1,0)</f>
        <v>0</v>
      </c>
      <c r="F5124" s="1">
        <v>3.1647150663544106</v>
      </c>
      <c r="G5124" s="1">
        <v>2.3122412764617462E-2</v>
      </c>
    </row>
    <row r="5125" spans="1:7">
      <c r="A5125">
        <v>336</v>
      </c>
      <c r="B5125">
        <v>399</v>
      </c>
      <c r="C5125" s="1">
        <f>(Tabela1[[#This Row],[x]]-H$3)*(Tabela1[[#This Row],[x]]-H$3) +(Tabela1[[#This Row],[y]]-H$4)*(Tabela1[[#This Row],[y]]-H$4)</f>
        <v>58097</v>
      </c>
      <c r="D5125" s="1">
        <f>IF(Tabela1[[#This Row],[promien]]&lt;40000,1,0)</f>
        <v>0</v>
      </c>
      <c r="E5125" s="1">
        <f>IF(Tabela1[[#This Row],[promien]]=40000,1,0)</f>
        <v>0</v>
      </c>
      <c r="F5125" s="1">
        <v>3.1640975609756099</v>
      </c>
      <c r="G5125" s="1">
        <v>2.2504907385816786E-2</v>
      </c>
    </row>
    <row r="5126" spans="1:7">
      <c r="A5126">
        <v>360</v>
      </c>
      <c r="B5126">
        <v>114</v>
      </c>
      <c r="C5126" s="1">
        <f>(Tabela1[[#This Row],[x]]-H$3)*(Tabela1[[#This Row],[x]]-H$3) +(Tabela1[[#This Row],[y]]-H$4)*(Tabela1[[#This Row],[y]]-H$4)</f>
        <v>32996</v>
      </c>
      <c r="D5126" s="1">
        <f>IF(Tabela1[[#This Row],[promien]]&lt;40000,1,0)</f>
        <v>1</v>
      </c>
      <c r="E5126" s="1">
        <f>IF(Tabela1[[#This Row],[promien]]=40000,1,0)</f>
        <v>0</v>
      </c>
      <c r="F5126" s="1">
        <v>3.164260632071791</v>
      </c>
      <c r="G5126" s="1">
        <v>2.2667978481997864E-2</v>
      </c>
    </row>
    <row r="5127" spans="1:7">
      <c r="A5127">
        <v>133</v>
      </c>
      <c r="B5127">
        <v>57</v>
      </c>
      <c r="C5127" s="1">
        <f>(Tabela1[[#This Row],[x]]-H$3)*(Tabela1[[#This Row],[x]]-H$3) +(Tabela1[[#This Row],[y]]-H$4)*(Tabela1[[#This Row],[y]]-H$4)</f>
        <v>24938</v>
      </c>
      <c r="D5127" s="1">
        <f>IF(Tabela1[[#This Row],[promien]]&lt;40000,1,0)</f>
        <v>1</v>
      </c>
      <c r="E5127" s="1">
        <f>IF(Tabela1[[#This Row],[promien]]=40000,1,0)</f>
        <v>0</v>
      </c>
      <c r="F5127" s="1">
        <v>3.1644236395552956</v>
      </c>
      <c r="G5127" s="1">
        <v>2.2830985965502482E-2</v>
      </c>
    </row>
    <row r="5128" spans="1:7">
      <c r="A5128">
        <v>232</v>
      </c>
      <c r="B5128">
        <v>387</v>
      </c>
      <c r="C5128" s="1">
        <f>(Tabela1[[#This Row],[x]]-H$3)*(Tabela1[[#This Row],[x]]-H$3) +(Tabela1[[#This Row],[y]]-H$4)*(Tabela1[[#This Row],[y]]-H$4)</f>
        <v>35993</v>
      </c>
      <c r="D5128" s="1">
        <f>IF(Tabela1[[#This Row],[promien]]&lt;40000,1,0)</f>
        <v>1</v>
      </c>
      <c r="E5128" s="1">
        <f>IF(Tabela1[[#This Row],[promien]]=40000,1,0)</f>
        <v>0</v>
      </c>
      <c r="F5128" s="1">
        <v>3.1645865834633384</v>
      </c>
      <c r="G5128" s="1">
        <v>2.2993929873545316E-2</v>
      </c>
    </row>
    <row r="5129" spans="1:7">
      <c r="A5129">
        <v>153</v>
      </c>
      <c r="B5129">
        <v>207</v>
      </c>
      <c r="C5129" s="1">
        <f>(Tabela1[[#This Row],[x]]-H$3)*(Tabela1[[#This Row],[x]]-H$3) +(Tabela1[[#This Row],[y]]-H$4)*(Tabela1[[#This Row],[y]]-H$4)</f>
        <v>2258</v>
      </c>
      <c r="D5129" s="1">
        <f>IF(Tabela1[[#This Row],[promien]]&lt;40000,1,0)</f>
        <v>1</v>
      </c>
      <c r="E5129" s="1">
        <f>IF(Tabela1[[#This Row],[promien]]=40000,1,0)</f>
        <v>0</v>
      </c>
      <c r="F5129" s="1">
        <v>3.1647494638331057</v>
      </c>
      <c r="G5129" s="1">
        <v>2.315681024331262E-2</v>
      </c>
    </row>
    <row r="5130" spans="1:7">
      <c r="A5130">
        <v>188</v>
      </c>
      <c r="B5130">
        <v>10</v>
      </c>
      <c r="C5130" s="1">
        <f>(Tabela1[[#This Row],[x]]-H$3)*(Tabela1[[#This Row],[x]]-H$3) +(Tabela1[[#This Row],[y]]-H$4)*(Tabela1[[#This Row],[y]]-H$4)</f>
        <v>36244</v>
      </c>
      <c r="D5130" s="1">
        <f>IF(Tabela1[[#This Row],[promien]]&lt;40000,1,0)</f>
        <v>1</v>
      </c>
      <c r="E5130" s="1">
        <f>IF(Tabela1[[#This Row],[promien]]=40000,1,0)</f>
        <v>0</v>
      </c>
      <c r="F5130" s="1">
        <v>3.1649122807017545</v>
      </c>
      <c r="G5130" s="1">
        <v>2.3319627111961339E-2</v>
      </c>
    </row>
    <row r="5131" spans="1:7">
      <c r="A5131">
        <v>216</v>
      </c>
      <c r="B5131">
        <v>101</v>
      </c>
      <c r="C5131" s="1">
        <f>(Tabela1[[#This Row],[x]]-H$3)*(Tabela1[[#This Row],[x]]-H$3) +(Tabela1[[#This Row],[y]]-H$4)*(Tabela1[[#This Row],[y]]-H$4)</f>
        <v>10057</v>
      </c>
      <c r="D5131" s="1">
        <f>IF(Tabela1[[#This Row],[promien]]&lt;40000,1,0)</f>
        <v>1</v>
      </c>
      <c r="E5131" s="1">
        <f>IF(Tabela1[[#This Row],[promien]]=40000,1,0)</f>
        <v>0</v>
      </c>
      <c r="F5131" s="1">
        <v>3.1650750341064122</v>
      </c>
      <c r="G5131" s="1">
        <v>2.3482380516619106E-2</v>
      </c>
    </row>
    <row r="5132" spans="1:7">
      <c r="A5132">
        <v>43</v>
      </c>
      <c r="B5132">
        <v>85</v>
      </c>
      <c r="C5132" s="1">
        <f>(Tabela1[[#This Row],[x]]-H$3)*(Tabela1[[#This Row],[x]]-H$3) +(Tabela1[[#This Row],[y]]-H$4)*(Tabela1[[#This Row],[y]]-H$4)</f>
        <v>37874</v>
      </c>
      <c r="D5132" s="1">
        <f>IF(Tabela1[[#This Row],[promien]]&lt;40000,1,0)</f>
        <v>1</v>
      </c>
      <c r="E5132" s="1">
        <f>IF(Tabela1[[#This Row],[promien]]=40000,1,0)</f>
        <v>0</v>
      </c>
      <c r="F5132" s="1">
        <v>3.1652377240841778</v>
      </c>
      <c r="G5132" s="1">
        <v>2.364507049438469E-2</v>
      </c>
    </row>
    <row r="5133" spans="1:7">
      <c r="A5133">
        <v>252</v>
      </c>
      <c r="B5133">
        <v>203</v>
      </c>
      <c r="C5133" s="1">
        <f>(Tabela1[[#This Row],[x]]-H$3)*(Tabela1[[#This Row],[x]]-H$3) +(Tabela1[[#This Row],[y]]-H$4)*(Tabela1[[#This Row],[y]]-H$4)</f>
        <v>2713</v>
      </c>
      <c r="D5133" s="1">
        <f>IF(Tabela1[[#This Row],[promien]]&lt;40000,1,0)</f>
        <v>1</v>
      </c>
      <c r="E5133" s="1">
        <f>IF(Tabela1[[#This Row],[promien]]=40000,1,0)</f>
        <v>0</v>
      </c>
      <c r="F5133" s="1">
        <v>3.1654003506721216</v>
      </c>
      <c r="G5133" s="1">
        <v>2.3807697082328438E-2</v>
      </c>
    </row>
    <row r="5134" spans="1:7">
      <c r="A5134">
        <v>393</v>
      </c>
      <c r="B5134">
        <v>258</v>
      </c>
      <c r="C5134" s="1">
        <f>(Tabela1[[#This Row],[x]]-H$3)*(Tabela1[[#This Row],[x]]-H$3) +(Tabela1[[#This Row],[y]]-H$4)*(Tabela1[[#This Row],[y]]-H$4)</f>
        <v>40613</v>
      </c>
      <c r="D5134" s="1">
        <f>IF(Tabela1[[#This Row],[promien]]&lt;40000,1,0)</f>
        <v>0</v>
      </c>
      <c r="E5134" s="1">
        <f>IF(Tabela1[[#This Row],[promien]]=40000,1,0)</f>
        <v>0</v>
      </c>
      <c r="F5134" s="1">
        <v>3.1647837943124268</v>
      </c>
      <c r="G5134" s="1">
        <v>2.319114072263373E-2</v>
      </c>
    </row>
    <row r="5135" spans="1:7">
      <c r="A5135">
        <v>14</v>
      </c>
      <c r="B5135">
        <v>7</v>
      </c>
      <c r="C5135" s="1">
        <f>(Tabela1[[#This Row],[x]]-H$3)*(Tabela1[[#This Row],[x]]-H$3) +(Tabela1[[#This Row],[y]]-H$4)*(Tabela1[[#This Row],[y]]-H$4)</f>
        <v>71845</v>
      </c>
      <c r="D5135" s="1">
        <f>IF(Tabela1[[#This Row],[promien]]&lt;40000,1,0)</f>
        <v>0</v>
      </c>
      <c r="E5135" s="1">
        <f>IF(Tabela1[[#This Row],[promien]]=40000,1,0)</f>
        <v>0</v>
      </c>
      <c r="F5135" s="1">
        <v>3.1641674780915285</v>
      </c>
      <c r="G5135" s="1">
        <v>2.2574824501735424E-2</v>
      </c>
    </row>
    <row r="5136" spans="1:7">
      <c r="A5136">
        <v>253</v>
      </c>
      <c r="B5136">
        <v>295</v>
      </c>
      <c r="C5136" s="1">
        <f>(Tabela1[[#This Row],[x]]-H$3)*(Tabela1[[#This Row],[x]]-H$3) +(Tabela1[[#This Row],[y]]-H$4)*(Tabela1[[#This Row],[y]]-H$4)</f>
        <v>11834</v>
      </c>
      <c r="D5136" s="1">
        <f>IF(Tabela1[[#This Row],[promien]]&lt;40000,1,0)</f>
        <v>1</v>
      </c>
      <c r="E5136" s="1">
        <f>IF(Tabela1[[#This Row],[promien]]=40000,1,0)</f>
        <v>0</v>
      </c>
      <c r="F5136" s="1">
        <v>3.1643302180685358</v>
      </c>
      <c r="G5136" s="1">
        <v>2.2737564478742645E-2</v>
      </c>
    </row>
    <row r="5137" spans="1:7">
      <c r="A5137">
        <v>2</v>
      </c>
      <c r="B5137">
        <v>298</v>
      </c>
      <c r="C5137" s="1">
        <f>(Tabela1[[#This Row],[x]]-H$3)*(Tabela1[[#This Row],[x]]-H$3) +(Tabela1[[#This Row],[y]]-H$4)*(Tabela1[[#This Row],[y]]-H$4)</f>
        <v>48808</v>
      </c>
      <c r="D5137" s="1">
        <f>IF(Tabela1[[#This Row],[promien]]&lt;40000,1,0)</f>
        <v>0</v>
      </c>
      <c r="E5137" s="1">
        <f>IF(Tabela1[[#This Row],[promien]]=40000,1,0)</f>
        <v>0</v>
      </c>
      <c r="F5137" s="1">
        <v>3.1637142300953864</v>
      </c>
      <c r="G5137" s="1">
        <v>2.2121576505593321E-2</v>
      </c>
    </row>
    <row r="5138" spans="1:7">
      <c r="A5138">
        <v>275</v>
      </c>
      <c r="B5138">
        <v>316</v>
      </c>
      <c r="C5138" s="1">
        <f>(Tabela1[[#This Row],[x]]-H$3)*(Tabela1[[#This Row],[x]]-H$3) +(Tabela1[[#This Row],[y]]-H$4)*(Tabela1[[#This Row],[y]]-H$4)</f>
        <v>19081</v>
      </c>
      <c r="D5138" s="1">
        <f>IF(Tabela1[[#This Row],[promien]]&lt;40000,1,0)</f>
        <v>1</v>
      </c>
      <c r="E5138" s="1">
        <f>IF(Tabela1[[#This Row],[promien]]=40000,1,0)</f>
        <v>0</v>
      </c>
      <c r="F5138" s="1">
        <v>3.1638769949396655</v>
      </c>
      <c r="G5138" s="1">
        <v>2.2284341349872339E-2</v>
      </c>
    </row>
    <row r="5139" spans="1:7">
      <c r="A5139">
        <v>158</v>
      </c>
      <c r="B5139">
        <v>236</v>
      </c>
      <c r="C5139" s="1">
        <f>(Tabela1[[#This Row],[x]]-H$3)*(Tabela1[[#This Row],[x]]-H$3) +(Tabela1[[#This Row],[y]]-H$4)*(Tabela1[[#This Row],[y]]-H$4)</f>
        <v>3060</v>
      </c>
      <c r="D5139" s="1">
        <f>IF(Tabela1[[#This Row],[promien]]&lt;40000,1,0)</f>
        <v>1</v>
      </c>
      <c r="E5139" s="1">
        <f>IF(Tabela1[[#This Row],[promien]]=40000,1,0)</f>
        <v>0</v>
      </c>
      <c r="F5139" s="1">
        <v>3.1640396964389961</v>
      </c>
      <c r="G5139" s="1">
        <v>2.2447042849202958E-2</v>
      </c>
    </row>
    <row r="5140" spans="1:7">
      <c r="A5140">
        <v>150</v>
      </c>
      <c r="B5140">
        <v>113</v>
      </c>
      <c r="C5140" s="1">
        <f>(Tabela1[[#This Row],[x]]-H$3)*(Tabela1[[#This Row],[x]]-H$3) +(Tabela1[[#This Row],[y]]-H$4)*(Tabela1[[#This Row],[y]]-H$4)</f>
        <v>10069</v>
      </c>
      <c r="D5140" s="1">
        <f>IF(Tabela1[[#This Row],[promien]]&lt;40000,1,0)</f>
        <v>1</v>
      </c>
      <c r="E5140" s="1">
        <f>IF(Tabela1[[#This Row],[promien]]=40000,1,0)</f>
        <v>0</v>
      </c>
      <c r="F5140" s="1">
        <v>3.1642023346303501</v>
      </c>
      <c r="G5140" s="1">
        <v>2.2609681040556939E-2</v>
      </c>
    </row>
    <row r="5141" spans="1:7">
      <c r="A5141">
        <v>275</v>
      </c>
      <c r="B5141">
        <v>166</v>
      </c>
      <c r="C5141" s="1">
        <f>(Tabela1[[#This Row],[x]]-H$3)*(Tabela1[[#This Row],[x]]-H$3) +(Tabela1[[#This Row],[y]]-H$4)*(Tabela1[[#This Row],[y]]-H$4)</f>
        <v>6781</v>
      </c>
      <c r="D5141" s="1">
        <f>IF(Tabela1[[#This Row],[promien]]&lt;40000,1,0)</f>
        <v>1</v>
      </c>
      <c r="E5141" s="1">
        <f>IF(Tabela1[[#This Row],[promien]]=40000,1,0)</f>
        <v>0</v>
      </c>
      <c r="F5141" s="1">
        <v>3.1643649095506712</v>
      </c>
      <c r="G5141" s="1">
        <v>2.2772255960878063E-2</v>
      </c>
    </row>
    <row r="5142" spans="1:7">
      <c r="A5142">
        <v>188</v>
      </c>
      <c r="B5142">
        <v>90</v>
      </c>
      <c r="C5142" s="1">
        <f>(Tabela1[[#This Row],[x]]-H$3)*(Tabela1[[#This Row],[x]]-H$3) +(Tabela1[[#This Row],[y]]-H$4)*(Tabela1[[#This Row],[y]]-H$4)</f>
        <v>12244</v>
      </c>
      <c r="D5142" s="1">
        <f>IF(Tabela1[[#This Row],[promien]]&lt;40000,1,0)</f>
        <v>1</v>
      </c>
      <c r="E5142" s="1">
        <f>IF(Tabela1[[#This Row],[promien]]=40000,1,0)</f>
        <v>0</v>
      </c>
      <c r="F5142" s="1">
        <v>3.164527421236873</v>
      </c>
      <c r="G5142" s="1">
        <v>2.2934767647079912E-2</v>
      </c>
    </row>
    <row r="5143" spans="1:7">
      <c r="A5143">
        <v>170</v>
      </c>
      <c r="B5143">
        <v>103</v>
      </c>
      <c r="C5143" s="1">
        <f>(Tabela1[[#This Row],[x]]-H$3)*(Tabela1[[#This Row],[x]]-H$3) +(Tabela1[[#This Row],[y]]-H$4)*(Tabela1[[#This Row],[y]]-H$4)</f>
        <v>10309</v>
      </c>
      <c r="D5143" s="1">
        <f>IF(Tabela1[[#This Row],[promien]]&lt;40000,1,0)</f>
        <v>1</v>
      </c>
      <c r="E5143" s="1">
        <f>IF(Tabela1[[#This Row],[promien]]=40000,1,0)</f>
        <v>0</v>
      </c>
      <c r="F5143" s="1">
        <v>3.1646898697258408</v>
      </c>
      <c r="G5143" s="1">
        <v>2.3097216136047649E-2</v>
      </c>
    </row>
    <row r="5144" spans="1:7">
      <c r="A5144">
        <v>348</v>
      </c>
      <c r="B5144">
        <v>123</v>
      </c>
      <c r="C5144" s="1">
        <f>(Tabela1[[#This Row],[x]]-H$3)*(Tabela1[[#This Row],[x]]-H$3) +(Tabela1[[#This Row],[y]]-H$4)*(Tabela1[[#This Row],[y]]-H$4)</f>
        <v>27833</v>
      </c>
      <c r="D5144" s="1">
        <f>IF(Tabela1[[#This Row],[promien]]&lt;40000,1,0)</f>
        <v>1</v>
      </c>
      <c r="E5144" s="1">
        <f>IF(Tabela1[[#This Row],[promien]]=40000,1,0)</f>
        <v>0</v>
      </c>
      <c r="F5144" s="1">
        <v>3.1648522550544325</v>
      </c>
      <c r="G5144" s="1">
        <v>2.3259601464639346E-2</v>
      </c>
    </row>
    <row r="5145" spans="1:7">
      <c r="A5145">
        <v>56</v>
      </c>
      <c r="B5145">
        <v>94</v>
      </c>
      <c r="C5145" s="1">
        <f>(Tabela1[[#This Row],[x]]-H$3)*(Tabela1[[#This Row],[x]]-H$3) +(Tabela1[[#This Row],[y]]-H$4)*(Tabela1[[#This Row],[y]]-H$4)</f>
        <v>31972</v>
      </c>
      <c r="D5145" s="1">
        <f>IF(Tabela1[[#This Row],[promien]]&lt;40000,1,0)</f>
        <v>1</v>
      </c>
      <c r="E5145" s="1">
        <f>IF(Tabela1[[#This Row],[promien]]=40000,1,0)</f>
        <v>0</v>
      </c>
      <c r="F5145" s="1">
        <v>3.1650145772594751</v>
      </c>
      <c r="G5145" s="1">
        <v>2.3421923669681988E-2</v>
      </c>
    </row>
    <row r="5146" spans="1:7">
      <c r="A5146">
        <v>343</v>
      </c>
      <c r="B5146">
        <v>216</v>
      </c>
      <c r="C5146" s="1">
        <f>(Tabela1[[#This Row],[x]]-H$3)*(Tabela1[[#This Row],[x]]-H$3) +(Tabela1[[#This Row],[y]]-H$4)*(Tabela1[[#This Row],[y]]-H$4)</f>
        <v>20705</v>
      </c>
      <c r="D5146" s="1">
        <f>IF(Tabela1[[#This Row],[promien]]&lt;40000,1,0)</f>
        <v>1</v>
      </c>
      <c r="E5146" s="1">
        <f>IF(Tabela1[[#This Row],[promien]]=40000,1,0)</f>
        <v>0</v>
      </c>
      <c r="F5146" s="1">
        <v>3.165176836377769</v>
      </c>
      <c r="G5146" s="1">
        <v>2.3584182787975916E-2</v>
      </c>
    </row>
    <row r="5147" spans="1:7">
      <c r="A5147">
        <v>135</v>
      </c>
      <c r="B5147">
        <v>128</v>
      </c>
      <c r="C5147" s="1">
        <f>(Tabela1[[#This Row],[x]]-H$3)*(Tabela1[[#This Row],[x]]-H$3) +(Tabela1[[#This Row],[y]]-H$4)*(Tabela1[[#This Row],[y]]-H$4)</f>
        <v>9409</v>
      </c>
      <c r="D5147" s="1">
        <f>IF(Tabela1[[#This Row],[promien]]&lt;40000,1,0)</f>
        <v>1</v>
      </c>
      <c r="E5147" s="1">
        <f>IF(Tabela1[[#This Row],[promien]]=40000,1,0)</f>
        <v>0</v>
      </c>
      <c r="F5147" s="1">
        <v>3.1653390324460853</v>
      </c>
      <c r="G5147" s="1">
        <v>2.3746378856292161E-2</v>
      </c>
    </row>
    <row r="5148" spans="1:7">
      <c r="A5148">
        <v>397</v>
      </c>
      <c r="B5148">
        <v>280</v>
      </c>
      <c r="C5148" s="1">
        <f>(Tabela1[[#This Row],[x]]-H$3)*(Tabela1[[#This Row],[x]]-H$3) +(Tabela1[[#This Row],[y]]-H$4)*(Tabela1[[#This Row],[y]]-H$4)</f>
        <v>45209</v>
      </c>
      <c r="D5148" s="1">
        <f>IF(Tabela1[[#This Row],[promien]]&lt;40000,1,0)</f>
        <v>0</v>
      </c>
      <c r="E5148" s="1">
        <f>IF(Tabela1[[#This Row],[promien]]=40000,1,0)</f>
        <v>0</v>
      </c>
      <c r="F5148" s="1">
        <v>3.1647241647241646</v>
      </c>
      <c r="G5148" s="1">
        <v>2.3131511134371507E-2</v>
      </c>
    </row>
    <row r="5149" spans="1:7">
      <c r="A5149">
        <v>177</v>
      </c>
      <c r="B5149">
        <v>218</v>
      </c>
      <c r="C5149" s="1">
        <f>(Tabela1[[#This Row],[x]]-H$3)*(Tabela1[[#This Row],[x]]-H$3) +(Tabela1[[#This Row],[y]]-H$4)*(Tabela1[[#This Row],[y]]-H$4)</f>
        <v>853</v>
      </c>
      <c r="D5149" s="1">
        <f>IF(Tabela1[[#This Row],[promien]]&lt;40000,1,0)</f>
        <v>1</v>
      </c>
      <c r="E5149" s="1">
        <f>IF(Tabela1[[#This Row],[promien]]=40000,1,0)</f>
        <v>0</v>
      </c>
      <c r="F5149" s="1">
        <v>3.1648863857059624</v>
      </c>
      <c r="G5149" s="1">
        <v>2.3293732116169252E-2</v>
      </c>
    </row>
    <row r="5150" spans="1:7">
      <c r="A5150">
        <v>43</v>
      </c>
      <c r="B5150">
        <v>325</v>
      </c>
      <c r="C5150" s="1">
        <f>(Tabela1[[#This Row],[x]]-H$3)*(Tabela1[[#This Row],[x]]-H$3) +(Tabela1[[#This Row],[y]]-H$4)*(Tabela1[[#This Row],[y]]-H$4)</f>
        <v>40274</v>
      </c>
      <c r="D5150" s="1">
        <f>IF(Tabela1[[#This Row],[promien]]&lt;40000,1,0)</f>
        <v>0</v>
      </c>
      <c r="E5150" s="1">
        <f>IF(Tabela1[[#This Row],[promien]]=40000,1,0)</f>
        <v>0</v>
      </c>
      <c r="F5150" s="1">
        <v>3.1642718446601941</v>
      </c>
      <c r="G5150" s="1">
        <v>2.267919107040095E-2</v>
      </c>
    </row>
    <row r="5151" spans="1:7">
      <c r="A5151">
        <v>233</v>
      </c>
      <c r="B5151">
        <v>35</v>
      </c>
      <c r="C5151" s="1">
        <f>(Tabela1[[#This Row],[x]]-H$3)*(Tabela1[[#This Row],[x]]-H$3) +(Tabela1[[#This Row],[y]]-H$4)*(Tabela1[[#This Row],[y]]-H$4)</f>
        <v>28314</v>
      </c>
      <c r="D5151" s="1">
        <f>IF(Tabela1[[#This Row],[promien]]&lt;40000,1,0)</f>
        <v>1</v>
      </c>
      <c r="E5151" s="1">
        <f>IF(Tabela1[[#This Row],[promien]]=40000,1,0)</f>
        <v>0</v>
      </c>
      <c r="F5151" s="1">
        <v>3.1644340904678705</v>
      </c>
      <c r="G5151" s="1">
        <v>2.2841436878077381E-2</v>
      </c>
    </row>
    <row r="5152" spans="1:7">
      <c r="A5152">
        <v>208</v>
      </c>
      <c r="B5152">
        <v>115</v>
      </c>
      <c r="C5152" s="1">
        <f>(Tabela1[[#This Row],[x]]-H$3)*(Tabela1[[#This Row],[x]]-H$3) +(Tabela1[[#This Row],[y]]-H$4)*(Tabela1[[#This Row],[y]]-H$4)</f>
        <v>7289</v>
      </c>
      <c r="D5152" s="1">
        <f>IF(Tabela1[[#This Row],[promien]]&lt;40000,1,0)</f>
        <v>1</v>
      </c>
      <c r="E5152" s="1">
        <f>IF(Tabela1[[#This Row],[promien]]=40000,1,0)</f>
        <v>0</v>
      </c>
      <c r="F5152" s="1">
        <v>3.1645962732919255</v>
      </c>
      <c r="G5152" s="1">
        <v>2.3003619702132383E-2</v>
      </c>
    </row>
    <row r="5153" spans="1:7">
      <c r="A5153">
        <v>49</v>
      </c>
      <c r="B5153">
        <v>83</v>
      </c>
      <c r="C5153" s="1">
        <f>(Tabela1[[#This Row],[x]]-H$3)*(Tabela1[[#This Row],[x]]-H$3) +(Tabela1[[#This Row],[y]]-H$4)*(Tabela1[[#This Row],[y]]-H$4)</f>
        <v>36490</v>
      </c>
      <c r="D5153" s="1">
        <f>IF(Tabela1[[#This Row],[promien]]&lt;40000,1,0)</f>
        <v>1</v>
      </c>
      <c r="E5153" s="1">
        <f>IF(Tabela1[[#This Row],[promien]]=40000,1,0)</f>
        <v>0</v>
      </c>
      <c r="F5153" s="1">
        <v>3.164758393169028</v>
      </c>
      <c r="G5153" s="1">
        <v>2.3165739579234845E-2</v>
      </c>
    </row>
    <row r="5154" spans="1:7">
      <c r="A5154">
        <v>309</v>
      </c>
      <c r="B5154">
        <v>155</v>
      </c>
      <c r="C5154" s="1">
        <f>(Tabela1[[#This Row],[x]]-H$3)*(Tabela1[[#This Row],[x]]-H$3) +(Tabela1[[#This Row],[y]]-H$4)*(Tabela1[[#This Row],[y]]-H$4)</f>
        <v>13906</v>
      </c>
      <c r="D5154" s="1">
        <f>IF(Tabela1[[#This Row],[promien]]&lt;40000,1,0)</f>
        <v>1</v>
      </c>
      <c r="E5154" s="1">
        <f>IF(Tabela1[[#This Row],[promien]]=40000,1,0)</f>
        <v>0</v>
      </c>
      <c r="F5154" s="1">
        <v>3.164920450135817</v>
      </c>
      <c r="G5154" s="1">
        <v>2.3327796546023905E-2</v>
      </c>
    </row>
    <row r="5155" spans="1:7">
      <c r="A5155">
        <v>166</v>
      </c>
      <c r="B5155">
        <v>44</v>
      </c>
      <c r="C5155" s="1">
        <f>(Tabela1[[#This Row],[x]]-H$3)*(Tabela1[[#This Row],[x]]-H$3) +(Tabela1[[#This Row],[y]]-H$4)*(Tabela1[[#This Row],[y]]-H$4)</f>
        <v>25492</v>
      </c>
      <c r="D5155" s="1">
        <f>IF(Tabela1[[#This Row],[promien]]&lt;40000,1,0)</f>
        <v>1</v>
      </c>
      <c r="E5155" s="1">
        <f>IF(Tabela1[[#This Row],[promien]]=40000,1,0)</f>
        <v>0</v>
      </c>
      <c r="F5155" s="1">
        <v>3.1650824442289038</v>
      </c>
      <c r="G5155" s="1">
        <v>2.3489790639110719E-2</v>
      </c>
    </row>
    <row r="5156" spans="1:7">
      <c r="A5156">
        <v>338</v>
      </c>
      <c r="B5156">
        <v>171</v>
      </c>
      <c r="C5156" s="1">
        <f>(Tabela1[[#This Row],[x]]-H$3)*(Tabela1[[#This Row],[x]]-H$3) +(Tabela1[[#This Row],[y]]-H$4)*(Tabela1[[#This Row],[y]]-H$4)</f>
        <v>19885</v>
      </c>
      <c r="D5156" s="1">
        <f>IF(Tabela1[[#This Row],[promien]]&lt;40000,1,0)</f>
        <v>1</v>
      </c>
      <c r="E5156" s="1">
        <f>IF(Tabela1[[#This Row],[promien]]=40000,1,0)</f>
        <v>0</v>
      </c>
      <c r="F5156" s="1">
        <v>3.165244375484872</v>
      </c>
      <c r="G5156" s="1">
        <v>2.3651721895078914E-2</v>
      </c>
    </row>
    <row r="5157" spans="1:7">
      <c r="A5157">
        <v>170</v>
      </c>
      <c r="B5157">
        <v>276</v>
      </c>
      <c r="C5157" s="1">
        <f>(Tabela1[[#This Row],[x]]-H$3)*(Tabela1[[#This Row],[x]]-H$3) +(Tabela1[[#This Row],[y]]-H$4)*(Tabela1[[#This Row],[y]]-H$4)</f>
        <v>6676</v>
      </c>
      <c r="D5157" s="1">
        <f>IF(Tabela1[[#This Row],[promien]]&lt;40000,1,0)</f>
        <v>1</v>
      </c>
      <c r="E5157" s="1">
        <f>IF(Tabela1[[#This Row],[promien]]=40000,1,0)</f>
        <v>0</v>
      </c>
      <c r="F5157" s="1">
        <v>3.1654062439402755</v>
      </c>
      <c r="G5157" s="1">
        <v>2.3813590350482361E-2</v>
      </c>
    </row>
    <row r="5158" spans="1:7">
      <c r="A5158">
        <v>117</v>
      </c>
      <c r="B5158">
        <v>326</v>
      </c>
      <c r="C5158" s="1">
        <f>(Tabela1[[#This Row],[x]]-H$3)*(Tabela1[[#This Row],[x]]-H$3) +(Tabela1[[#This Row],[y]]-H$4)*(Tabela1[[#This Row],[y]]-H$4)</f>
        <v>22765</v>
      </c>
      <c r="D5158" s="1">
        <f>IF(Tabela1[[#This Row],[promien]]&lt;40000,1,0)</f>
        <v>1</v>
      </c>
      <c r="E5158" s="1">
        <f>IF(Tabela1[[#This Row],[promien]]=40000,1,0)</f>
        <v>0</v>
      </c>
      <c r="F5158" s="1">
        <v>3.1655680496316401</v>
      </c>
      <c r="G5158" s="1">
        <v>2.3975396041846952E-2</v>
      </c>
    </row>
    <row r="5159" spans="1:7">
      <c r="A5159">
        <v>381</v>
      </c>
      <c r="B5159">
        <v>375</v>
      </c>
      <c r="C5159" s="1">
        <f>(Tabela1[[#This Row],[x]]-H$3)*(Tabela1[[#This Row],[x]]-H$3) +(Tabela1[[#This Row],[y]]-H$4)*(Tabela1[[#This Row],[y]]-H$4)</f>
        <v>63386</v>
      </c>
      <c r="D5159" s="1">
        <f>IF(Tabela1[[#This Row],[promien]]&lt;40000,1,0)</f>
        <v>0</v>
      </c>
      <c r="E5159" s="1">
        <f>IF(Tabela1[[#This Row],[promien]]=40000,1,0)</f>
        <v>0</v>
      </c>
      <c r="F5159" s="1">
        <v>3.164954448536538</v>
      </c>
      <c r="G5159" s="1">
        <v>2.336179494674484E-2</v>
      </c>
    </row>
    <row r="5160" spans="1:7">
      <c r="A5160">
        <v>115</v>
      </c>
      <c r="B5160">
        <v>107</v>
      </c>
      <c r="C5160" s="1">
        <f>(Tabela1[[#This Row],[x]]-H$3)*(Tabela1[[#This Row],[x]]-H$3) +(Tabela1[[#This Row],[y]]-H$4)*(Tabela1[[#This Row],[y]]-H$4)</f>
        <v>15874</v>
      </c>
      <c r="D5160" s="1">
        <f>IF(Tabela1[[#This Row],[promien]]&lt;40000,1,0)</f>
        <v>1</v>
      </c>
      <c r="E5160" s="1">
        <f>IF(Tabela1[[#This Row],[promien]]=40000,1,0)</f>
        <v>0</v>
      </c>
      <c r="F5160" s="1">
        <v>3.1651162790697676</v>
      </c>
      <c r="G5160" s="1">
        <v>2.3523625479974442E-2</v>
      </c>
    </row>
    <row r="5161" spans="1:7">
      <c r="A5161">
        <v>323</v>
      </c>
      <c r="B5161">
        <v>125</v>
      </c>
      <c r="C5161" s="1">
        <f>(Tabela1[[#This Row],[x]]-H$3)*(Tabela1[[#This Row],[x]]-H$3) +(Tabela1[[#This Row],[y]]-H$4)*(Tabela1[[#This Row],[y]]-H$4)</f>
        <v>20754</v>
      </c>
      <c r="D5161" s="1">
        <f>IF(Tabela1[[#This Row],[promien]]&lt;40000,1,0)</f>
        <v>1</v>
      </c>
      <c r="E5161" s="1">
        <f>IF(Tabela1[[#This Row],[promien]]=40000,1,0)</f>
        <v>0</v>
      </c>
      <c r="F5161" s="1">
        <v>3.1652780468901374</v>
      </c>
      <c r="G5161" s="1">
        <v>2.3685393300344249E-2</v>
      </c>
    </row>
    <row r="5162" spans="1:7">
      <c r="A5162">
        <v>14</v>
      </c>
      <c r="B5162">
        <v>44</v>
      </c>
      <c r="C5162" s="1">
        <f>(Tabela1[[#This Row],[x]]-H$3)*(Tabela1[[#This Row],[x]]-H$3) +(Tabela1[[#This Row],[y]]-H$4)*(Tabela1[[#This Row],[y]]-H$4)</f>
        <v>58932</v>
      </c>
      <c r="D5162" s="1">
        <f>IF(Tabela1[[#This Row],[promien]]&lt;40000,1,0)</f>
        <v>0</v>
      </c>
      <c r="E5162" s="1">
        <f>IF(Tabela1[[#This Row],[promien]]=40000,1,0)</f>
        <v>0</v>
      </c>
      <c r="F5162" s="1">
        <v>3.1646648585819448</v>
      </c>
      <c r="G5162" s="1">
        <v>2.3072204992151679E-2</v>
      </c>
    </row>
    <row r="5163" spans="1:7">
      <c r="A5163">
        <v>201</v>
      </c>
      <c r="B5163">
        <v>320</v>
      </c>
      <c r="C5163" s="1">
        <f>(Tabela1[[#This Row],[x]]-H$3)*(Tabela1[[#This Row],[x]]-H$3) +(Tabela1[[#This Row],[y]]-H$4)*(Tabela1[[#This Row],[y]]-H$4)</f>
        <v>14401</v>
      </c>
      <c r="D5163" s="1">
        <f>IF(Tabela1[[#This Row],[promien]]&lt;40000,1,0)</f>
        <v>1</v>
      </c>
      <c r="E5163" s="1">
        <f>IF(Tabela1[[#This Row],[promien]]=40000,1,0)</f>
        <v>0</v>
      </c>
      <c r="F5163" s="1">
        <v>3.1648266511717993</v>
      </c>
      <c r="G5163" s="1">
        <v>2.3233997582006172E-2</v>
      </c>
    </row>
    <row r="5164" spans="1:7">
      <c r="A5164">
        <v>151</v>
      </c>
      <c r="B5164">
        <v>101</v>
      </c>
      <c r="C5164" s="1">
        <f>(Tabela1[[#This Row],[x]]-H$3)*(Tabela1[[#This Row],[x]]-H$3) +(Tabela1[[#This Row],[y]]-H$4)*(Tabela1[[#This Row],[y]]-H$4)</f>
        <v>12202</v>
      </c>
      <c r="D5164" s="1">
        <f>IF(Tabela1[[#This Row],[promien]]&lt;40000,1,0)</f>
        <v>1</v>
      </c>
      <c r="E5164" s="1">
        <f>IF(Tabela1[[#This Row],[promien]]=40000,1,0)</f>
        <v>0</v>
      </c>
      <c r="F5164" s="1">
        <v>3.1649883810999224</v>
      </c>
      <c r="G5164" s="1">
        <v>2.3395727510129305E-2</v>
      </c>
    </row>
    <row r="5165" spans="1:7">
      <c r="A5165">
        <v>206</v>
      </c>
      <c r="B5165">
        <v>8</v>
      </c>
      <c r="C5165" s="1">
        <f>(Tabela1[[#This Row],[x]]-H$3)*(Tabela1[[#This Row],[x]]-H$3) +(Tabela1[[#This Row],[y]]-H$4)*(Tabela1[[#This Row],[y]]-H$4)</f>
        <v>36900</v>
      </c>
      <c r="D5165" s="1">
        <f>IF(Tabela1[[#This Row],[promien]]&lt;40000,1,0)</f>
        <v>1</v>
      </c>
      <c r="E5165" s="1">
        <f>IF(Tabela1[[#This Row],[promien]]=40000,1,0)</f>
        <v>0</v>
      </c>
      <c r="F5165" s="1">
        <v>3.1651500484027104</v>
      </c>
      <c r="G5165" s="1">
        <v>2.3557394812917298E-2</v>
      </c>
    </row>
    <row r="5166" spans="1:7">
      <c r="A5166">
        <v>120</v>
      </c>
      <c r="B5166">
        <v>86</v>
      </c>
      <c r="C5166" s="1">
        <f>(Tabela1[[#This Row],[x]]-H$3)*(Tabela1[[#This Row],[x]]-H$3) +(Tabela1[[#This Row],[y]]-H$4)*(Tabela1[[#This Row],[y]]-H$4)</f>
        <v>19396</v>
      </c>
      <c r="D5166" s="1">
        <f>IF(Tabela1[[#This Row],[promien]]&lt;40000,1,0)</f>
        <v>1</v>
      </c>
      <c r="E5166" s="1">
        <f>IF(Tabela1[[#This Row],[promien]]=40000,1,0)</f>
        <v>0</v>
      </c>
      <c r="F5166" s="1">
        <v>3.1653116531165311</v>
      </c>
      <c r="G5166" s="1">
        <v>2.3718999526737949E-2</v>
      </c>
    </row>
    <row r="5167" spans="1:7">
      <c r="A5167">
        <v>44</v>
      </c>
      <c r="B5167">
        <v>154</v>
      </c>
      <c r="C5167" s="1">
        <f>(Tabela1[[#This Row],[x]]-H$3)*(Tabela1[[#This Row],[x]]-H$3) +(Tabela1[[#This Row],[y]]-H$4)*(Tabela1[[#This Row],[y]]-H$4)</f>
        <v>26452</v>
      </c>
      <c r="D5167" s="1">
        <f>IF(Tabela1[[#This Row],[promien]]&lt;40000,1,0)</f>
        <v>1</v>
      </c>
      <c r="E5167" s="1">
        <f>IF(Tabela1[[#This Row],[promien]]=40000,1,0)</f>
        <v>0</v>
      </c>
      <c r="F5167" s="1">
        <v>3.1654731952777242</v>
      </c>
      <c r="G5167" s="1">
        <v>2.3880541687931078E-2</v>
      </c>
    </row>
    <row r="5168" spans="1:7">
      <c r="A5168">
        <v>349</v>
      </c>
      <c r="B5168">
        <v>107</v>
      </c>
      <c r="C5168" s="1">
        <f>(Tabela1[[#This Row],[x]]-H$3)*(Tabela1[[#This Row],[x]]-H$3) +(Tabela1[[#This Row],[y]]-H$4)*(Tabela1[[#This Row],[y]]-H$4)</f>
        <v>30850</v>
      </c>
      <c r="D5168" s="1">
        <f>IF(Tabela1[[#This Row],[promien]]&lt;40000,1,0)</f>
        <v>1</v>
      </c>
      <c r="E5168" s="1">
        <f>IF(Tabela1[[#This Row],[promien]]=40000,1,0)</f>
        <v>0</v>
      </c>
      <c r="F5168" s="1">
        <v>3.1656346749226008</v>
      </c>
      <c r="G5168" s="1">
        <v>2.4042021332807639E-2</v>
      </c>
    </row>
    <row r="5169" spans="1:7">
      <c r="A5169">
        <v>369</v>
      </c>
      <c r="B5169">
        <v>269</v>
      </c>
      <c r="C5169" s="1">
        <f>(Tabela1[[#This Row],[x]]-H$3)*(Tabela1[[#This Row],[x]]-H$3) +(Tabela1[[#This Row],[y]]-H$4)*(Tabela1[[#This Row],[y]]-H$4)</f>
        <v>33322</v>
      </c>
      <c r="D5169" s="1">
        <f>IF(Tabela1[[#This Row],[promien]]&lt;40000,1,0)</f>
        <v>1</v>
      </c>
      <c r="E5169" s="1">
        <f>IF(Tabela1[[#This Row],[promien]]=40000,1,0)</f>
        <v>0</v>
      </c>
      <c r="F5169" s="1">
        <v>3.1657960920874442</v>
      </c>
      <c r="G5169" s="1">
        <v>2.4203438497651053E-2</v>
      </c>
    </row>
    <row r="5170" spans="1:7">
      <c r="A5170">
        <v>74</v>
      </c>
      <c r="B5170">
        <v>52</v>
      </c>
      <c r="C5170" s="1">
        <f>(Tabela1[[#This Row],[x]]-H$3)*(Tabela1[[#This Row],[x]]-H$3) +(Tabela1[[#This Row],[y]]-H$4)*(Tabela1[[#This Row],[y]]-H$4)</f>
        <v>37780</v>
      </c>
      <c r="D5170" s="1">
        <f>IF(Tabela1[[#This Row],[promien]]&lt;40000,1,0)</f>
        <v>1</v>
      </c>
      <c r="E5170" s="1">
        <f>IF(Tabela1[[#This Row],[promien]]=40000,1,0)</f>
        <v>0</v>
      </c>
      <c r="F5170" s="1">
        <v>3.1659574468085108</v>
      </c>
      <c r="G5170" s="1">
        <v>2.4364793218717651E-2</v>
      </c>
    </row>
    <row r="5171" spans="1:7">
      <c r="A5171">
        <v>307</v>
      </c>
      <c r="B5171">
        <v>250</v>
      </c>
      <c r="C5171" s="1">
        <f>(Tabela1[[#This Row],[x]]-H$3)*(Tabela1[[#This Row],[x]]-H$3) +(Tabela1[[#This Row],[y]]-H$4)*(Tabela1[[#This Row],[y]]-H$4)</f>
        <v>13949</v>
      </c>
      <c r="D5171" s="1">
        <f>IF(Tabela1[[#This Row],[promien]]&lt;40000,1,0)</f>
        <v>1</v>
      </c>
      <c r="E5171" s="1">
        <f>IF(Tabela1[[#This Row],[promien]]=40000,1,0)</f>
        <v>0</v>
      </c>
      <c r="F5171" s="1">
        <v>3.1661187391220267</v>
      </c>
      <c r="G5171" s="1">
        <v>2.4526085532233566E-2</v>
      </c>
    </row>
    <row r="5172" spans="1:7">
      <c r="A5172">
        <v>313</v>
      </c>
      <c r="B5172">
        <v>283</v>
      </c>
      <c r="C5172" s="1">
        <f>(Tabela1[[#This Row],[x]]-H$3)*(Tabela1[[#This Row],[x]]-H$3) +(Tabela1[[#This Row],[y]]-H$4)*(Tabela1[[#This Row],[y]]-H$4)</f>
        <v>19658</v>
      </c>
      <c r="D5172" s="1">
        <f>IF(Tabela1[[#This Row],[promien]]&lt;40000,1,0)</f>
        <v>1</v>
      </c>
      <c r="E5172" s="1">
        <f>IF(Tabela1[[#This Row],[promien]]=40000,1,0)</f>
        <v>0</v>
      </c>
      <c r="F5172" s="1">
        <v>3.1662799690641918</v>
      </c>
      <c r="G5172" s="1">
        <v>2.468731547439873E-2</v>
      </c>
    </row>
    <row r="5173" spans="1:7">
      <c r="A5173">
        <v>242</v>
      </c>
      <c r="B5173">
        <v>183</v>
      </c>
      <c r="C5173" s="1">
        <f>(Tabela1[[#This Row],[x]]-H$3)*(Tabela1[[#This Row],[x]]-H$3) +(Tabela1[[#This Row],[y]]-H$4)*(Tabela1[[#This Row],[y]]-H$4)</f>
        <v>2053</v>
      </c>
      <c r="D5173" s="1">
        <f>IF(Tabela1[[#This Row],[promien]]&lt;40000,1,0)</f>
        <v>1</v>
      </c>
      <c r="E5173" s="1">
        <f>IF(Tabela1[[#This Row],[promien]]=40000,1,0)</f>
        <v>0</v>
      </c>
      <c r="F5173" s="1">
        <v>3.1664411366711773</v>
      </c>
      <c r="G5173" s="1">
        <v>2.4848483081384209E-2</v>
      </c>
    </row>
    <row r="5174" spans="1:7">
      <c r="A5174">
        <v>386</v>
      </c>
      <c r="B5174">
        <v>242</v>
      </c>
      <c r="C5174" s="1">
        <f>(Tabela1[[#This Row],[x]]-H$3)*(Tabela1[[#This Row],[x]]-H$3) +(Tabela1[[#This Row],[y]]-H$4)*(Tabela1[[#This Row],[y]]-H$4)</f>
        <v>36360</v>
      </c>
      <c r="D5174" s="1">
        <f>IF(Tabela1[[#This Row],[promien]]&lt;40000,1,0)</f>
        <v>1</v>
      </c>
      <c r="E5174" s="1">
        <f>IF(Tabela1[[#This Row],[promien]]=40000,1,0)</f>
        <v>0</v>
      </c>
      <c r="F5174" s="1">
        <v>3.1666022419791262</v>
      </c>
      <c r="G5174" s="1">
        <v>2.5009588389333093E-2</v>
      </c>
    </row>
    <row r="5175" spans="1:7">
      <c r="A5175">
        <v>378</v>
      </c>
      <c r="B5175">
        <v>20</v>
      </c>
      <c r="C5175" s="1">
        <f>(Tabela1[[#This Row],[x]]-H$3)*(Tabela1[[#This Row],[x]]-H$3) +(Tabela1[[#This Row],[y]]-H$4)*(Tabela1[[#This Row],[y]]-H$4)</f>
        <v>64084</v>
      </c>
      <c r="D5175" s="1">
        <f>IF(Tabela1[[#This Row],[promien]]&lt;40000,1,0)</f>
        <v>0</v>
      </c>
      <c r="E5175" s="1">
        <f>IF(Tabela1[[#This Row],[promien]]=40000,1,0)</f>
        <v>0</v>
      </c>
      <c r="F5175" s="1">
        <v>3.1659903381642511</v>
      </c>
      <c r="G5175" s="1">
        <v>2.4397684574458012E-2</v>
      </c>
    </row>
    <row r="5176" spans="1:7">
      <c r="A5176">
        <v>84</v>
      </c>
      <c r="B5176">
        <v>379</v>
      </c>
      <c r="C5176" s="1">
        <f>(Tabela1[[#This Row],[x]]-H$3)*(Tabela1[[#This Row],[x]]-H$3) +(Tabela1[[#This Row],[y]]-H$4)*(Tabela1[[#This Row],[y]]-H$4)</f>
        <v>45497</v>
      </c>
      <c r="D5176" s="1">
        <f>IF(Tabela1[[#This Row],[promien]]&lt;40000,1,0)</f>
        <v>0</v>
      </c>
      <c r="E5176" s="1">
        <f>IF(Tabela1[[#This Row],[promien]]=40000,1,0)</f>
        <v>0</v>
      </c>
      <c r="F5176" s="1">
        <v>3.1653786707882534</v>
      </c>
      <c r="G5176" s="1">
        <v>2.3786017198460296E-2</v>
      </c>
    </row>
    <row r="5177" spans="1:7">
      <c r="A5177">
        <v>332</v>
      </c>
      <c r="B5177">
        <v>217</v>
      </c>
      <c r="C5177" s="1">
        <f>(Tabela1[[#This Row],[x]]-H$3)*(Tabela1[[#This Row],[x]]-H$3) +(Tabela1[[#This Row],[y]]-H$4)*(Tabela1[[#This Row],[y]]-H$4)</f>
        <v>17713</v>
      </c>
      <c r="D5177" s="1">
        <f>IF(Tabela1[[#This Row],[promien]]&lt;40000,1,0)</f>
        <v>1</v>
      </c>
      <c r="E5177" s="1">
        <f>IF(Tabela1[[#This Row],[promien]]=40000,1,0)</f>
        <v>0</v>
      </c>
      <c r="F5177" s="1">
        <v>3.1655398879660033</v>
      </c>
      <c r="G5177" s="1">
        <v>2.3947234376210158E-2</v>
      </c>
    </row>
    <row r="5178" spans="1:7">
      <c r="A5178">
        <v>281</v>
      </c>
      <c r="B5178">
        <v>126</v>
      </c>
      <c r="C5178" s="1">
        <f>(Tabela1[[#This Row],[x]]-H$3)*(Tabela1[[#This Row],[x]]-H$3) +(Tabela1[[#This Row],[y]]-H$4)*(Tabela1[[#This Row],[y]]-H$4)</f>
        <v>12037</v>
      </c>
      <c r="D5178" s="1">
        <f>IF(Tabela1[[#This Row],[promien]]&lt;40000,1,0)</f>
        <v>1</v>
      </c>
      <c r="E5178" s="1">
        <f>IF(Tabela1[[#This Row],[promien]]=40000,1,0)</f>
        <v>0</v>
      </c>
      <c r="F5178" s="1">
        <v>3.1657010428736965</v>
      </c>
      <c r="G5178" s="1">
        <v>2.4108389283903353E-2</v>
      </c>
    </row>
    <row r="5179" spans="1:7">
      <c r="A5179">
        <v>60</v>
      </c>
      <c r="B5179">
        <v>382</v>
      </c>
      <c r="C5179" s="1">
        <f>(Tabela1[[#This Row],[x]]-H$3)*(Tabela1[[#This Row],[x]]-H$3) +(Tabela1[[#This Row],[y]]-H$4)*(Tabela1[[#This Row],[y]]-H$4)</f>
        <v>52724</v>
      </c>
      <c r="D5179" s="1">
        <f>IF(Tabela1[[#This Row],[promien]]&lt;40000,1,0)</f>
        <v>0</v>
      </c>
      <c r="E5179" s="1">
        <f>IF(Tabela1[[#This Row],[promien]]=40000,1,0)</f>
        <v>0</v>
      </c>
      <c r="F5179" s="1">
        <v>3.1650897856729099</v>
      </c>
      <c r="G5179" s="1">
        <v>2.3497132083116767E-2</v>
      </c>
    </row>
    <row r="5180" spans="1:7">
      <c r="A5180">
        <v>168</v>
      </c>
      <c r="B5180">
        <v>172</v>
      </c>
      <c r="C5180" s="1">
        <f>(Tabela1[[#This Row],[x]]-H$3)*(Tabela1[[#This Row],[x]]-H$3) +(Tabela1[[#This Row],[y]]-H$4)*(Tabela1[[#This Row],[y]]-H$4)</f>
        <v>1808</v>
      </c>
      <c r="D5180" s="1">
        <f>IF(Tabela1[[#This Row],[promien]]&lt;40000,1,0)</f>
        <v>1</v>
      </c>
      <c r="E5180" s="1">
        <f>IF(Tabela1[[#This Row],[promien]]=40000,1,0)</f>
        <v>0</v>
      </c>
      <c r="F5180" s="1">
        <v>3.1652509652509653</v>
      </c>
      <c r="G5180" s="1">
        <v>2.365831166117216E-2</v>
      </c>
    </row>
    <row r="5181" spans="1:7">
      <c r="A5181">
        <v>136</v>
      </c>
      <c r="B5181">
        <v>199</v>
      </c>
      <c r="C5181" s="1">
        <f>(Tabela1[[#This Row],[x]]-H$3)*(Tabela1[[#This Row],[x]]-H$3) +(Tabela1[[#This Row],[y]]-H$4)*(Tabela1[[#This Row],[y]]-H$4)</f>
        <v>4097</v>
      </c>
      <c r="D5181" s="1">
        <f>IF(Tabela1[[#This Row],[promien]]&lt;40000,1,0)</f>
        <v>1</v>
      </c>
      <c r="E5181" s="1">
        <f>IF(Tabela1[[#This Row],[promien]]=40000,1,0)</f>
        <v>0</v>
      </c>
      <c r="F5181" s="1">
        <v>3.1654120826095347</v>
      </c>
      <c r="G5181" s="1">
        <v>2.3819429019741545E-2</v>
      </c>
    </row>
    <row r="5182" spans="1:7">
      <c r="A5182">
        <v>354</v>
      </c>
      <c r="B5182">
        <v>11</v>
      </c>
      <c r="C5182" s="1">
        <f>(Tabela1[[#This Row],[x]]-H$3)*(Tabela1[[#This Row],[x]]-H$3) +(Tabela1[[#This Row],[y]]-H$4)*(Tabela1[[#This Row],[y]]-H$4)</f>
        <v>59437</v>
      </c>
      <c r="D5182" s="1">
        <f>IF(Tabela1[[#This Row],[promien]]&lt;40000,1,0)</f>
        <v>0</v>
      </c>
      <c r="E5182" s="1">
        <f>IF(Tabela1[[#This Row],[promien]]=40000,1,0)</f>
        <v>0</v>
      </c>
      <c r="F5182" s="1">
        <v>3.1648012350443846</v>
      </c>
      <c r="G5182" s="1">
        <v>2.3208581454591481E-2</v>
      </c>
    </row>
    <row r="5183" spans="1:7">
      <c r="A5183">
        <v>296</v>
      </c>
      <c r="B5183">
        <v>189</v>
      </c>
      <c r="C5183" s="1">
        <f>(Tabela1[[#This Row],[x]]-H$3)*(Tabela1[[#This Row],[x]]-H$3) +(Tabela1[[#This Row],[y]]-H$4)*(Tabela1[[#This Row],[y]]-H$4)</f>
        <v>9337</v>
      </c>
      <c r="D5183" s="1">
        <f>IF(Tabela1[[#This Row],[promien]]&lt;40000,1,0)</f>
        <v>1</v>
      </c>
      <c r="E5183" s="1">
        <f>IF(Tabela1[[#This Row],[promien]]=40000,1,0)</f>
        <v>0</v>
      </c>
      <c r="F5183" s="1">
        <v>3.1649623770017365</v>
      </c>
      <c r="G5183" s="1">
        <v>2.3369723411943433E-2</v>
      </c>
    </row>
    <row r="5184" spans="1:7">
      <c r="A5184">
        <v>353</v>
      </c>
      <c r="B5184">
        <v>125</v>
      </c>
      <c r="C5184" s="1">
        <f>(Tabela1[[#This Row],[x]]-H$3)*(Tabela1[[#This Row],[x]]-H$3) +(Tabela1[[#This Row],[y]]-H$4)*(Tabela1[[#This Row],[y]]-H$4)</f>
        <v>29034</v>
      </c>
      <c r="D5184" s="1">
        <f>IF(Tabela1[[#This Row],[promien]]&lt;40000,1,0)</f>
        <v>1</v>
      </c>
      <c r="E5184" s="1">
        <f>IF(Tabela1[[#This Row],[promien]]=40000,1,0)</f>
        <v>0</v>
      </c>
      <c r="F5184" s="1">
        <v>3.1651234567901234</v>
      </c>
      <c r="G5184" s="1">
        <v>2.3530803200330297E-2</v>
      </c>
    </row>
    <row r="5185" spans="1:7">
      <c r="A5185">
        <v>230</v>
      </c>
      <c r="B5185">
        <v>95</v>
      </c>
      <c r="C5185" s="1">
        <f>(Tabela1[[#This Row],[x]]-H$3)*(Tabela1[[#This Row],[x]]-H$3) +(Tabela1[[#This Row],[y]]-H$4)*(Tabela1[[#This Row],[y]]-H$4)</f>
        <v>11925</v>
      </c>
      <c r="D5185" s="1">
        <f>IF(Tabela1[[#This Row],[promien]]&lt;40000,1,0)</f>
        <v>1</v>
      </c>
      <c r="E5185" s="1">
        <f>IF(Tabela1[[#This Row],[promien]]=40000,1,0)</f>
        <v>0</v>
      </c>
      <c r="F5185" s="1">
        <v>3.165284474445516</v>
      </c>
      <c r="G5185" s="1">
        <v>2.3691820855722856E-2</v>
      </c>
    </row>
    <row r="5186" spans="1:7">
      <c r="A5186">
        <v>205</v>
      </c>
      <c r="B5186">
        <v>89</v>
      </c>
      <c r="C5186" s="1">
        <f>(Tabela1[[#This Row],[x]]-H$3)*(Tabela1[[#This Row],[x]]-H$3) +(Tabela1[[#This Row],[y]]-H$4)*(Tabela1[[#This Row],[y]]-H$4)</f>
        <v>12346</v>
      </c>
      <c r="D5186" s="1">
        <f>IF(Tabela1[[#This Row],[promien]]&lt;40000,1,0)</f>
        <v>1</v>
      </c>
      <c r="E5186" s="1">
        <f>IF(Tabela1[[#This Row],[promien]]=40000,1,0)</f>
        <v>0</v>
      </c>
      <c r="F5186" s="1">
        <v>3.1654454300038566</v>
      </c>
      <c r="G5186" s="1">
        <v>2.385277641406347E-2</v>
      </c>
    </row>
    <row r="5187" spans="1:7">
      <c r="A5187">
        <v>178</v>
      </c>
      <c r="B5187">
        <v>296</v>
      </c>
      <c r="C5187" s="1">
        <f>(Tabela1[[#This Row],[x]]-H$3)*(Tabela1[[#This Row],[x]]-H$3) +(Tabela1[[#This Row],[y]]-H$4)*(Tabela1[[#This Row],[y]]-H$4)</f>
        <v>9700</v>
      </c>
      <c r="D5187" s="1">
        <f>IF(Tabela1[[#This Row],[promien]]&lt;40000,1,0)</f>
        <v>1</v>
      </c>
      <c r="E5187" s="1">
        <f>IF(Tabela1[[#This Row],[promien]]=40000,1,0)</f>
        <v>0</v>
      </c>
      <c r="F5187" s="1">
        <v>3.1656063235010605</v>
      </c>
      <c r="G5187" s="1">
        <v>2.401366991126741E-2</v>
      </c>
    </row>
    <row r="5188" spans="1:7">
      <c r="A5188">
        <v>268</v>
      </c>
      <c r="B5188">
        <v>74</v>
      </c>
      <c r="C5188" s="1">
        <f>(Tabela1[[#This Row],[x]]-H$3)*(Tabela1[[#This Row],[x]]-H$3) +(Tabela1[[#This Row],[y]]-H$4)*(Tabela1[[#This Row],[y]]-H$4)</f>
        <v>20500</v>
      </c>
      <c r="D5188" s="1">
        <f>IF(Tabela1[[#This Row],[promien]]&lt;40000,1,0)</f>
        <v>1</v>
      </c>
      <c r="E5188" s="1">
        <f>IF(Tabela1[[#This Row],[promien]]=40000,1,0)</f>
        <v>0</v>
      </c>
      <c r="F5188" s="1">
        <v>3.1657671549730146</v>
      </c>
      <c r="G5188" s="1">
        <v>2.4174501383221525E-2</v>
      </c>
    </row>
    <row r="5189" spans="1:7">
      <c r="A5189">
        <v>69</v>
      </c>
      <c r="B5189">
        <v>215</v>
      </c>
      <c r="C5189" s="1">
        <f>(Tabela1[[#This Row],[x]]-H$3)*(Tabela1[[#This Row],[x]]-H$3) +(Tabela1[[#This Row],[y]]-H$4)*(Tabela1[[#This Row],[y]]-H$4)</f>
        <v>17386</v>
      </c>
      <c r="D5189" s="1">
        <f>IF(Tabela1[[#This Row],[promien]]&lt;40000,1,0)</f>
        <v>1</v>
      </c>
      <c r="E5189" s="1">
        <f>IF(Tabela1[[#This Row],[promien]]=40000,1,0)</f>
        <v>0</v>
      </c>
      <c r="F5189" s="1">
        <v>3.1659279244555791</v>
      </c>
      <c r="G5189" s="1">
        <v>2.4335270865786018E-2</v>
      </c>
    </row>
    <row r="5190" spans="1:7">
      <c r="A5190">
        <v>118</v>
      </c>
      <c r="B5190">
        <v>10</v>
      </c>
      <c r="C5190" s="1">
        <f>(Tabela1[[#This Row],[x]]-H$3)*(Tabela1[[#This Row],[x]]-H$3) +(Tabela1[[#This Row],[y]]-H$4)*(Tabela1[[#This Row],[y]]-H$4)</f>
        <v>42824</v>
      </c>
      <c r="D5190" s="1">
        <f>IF(Tabela1[[#This Row],[promien]]&lt;40000,1,0)</f>
        <v>0</v>
      </c>
      <c r="E5190" s="1">
        <f>IF(Tabela1[[#This Row],[promien]]=40000,1,0)</f>
        <v>0</v>
      </c>
      <c r="F5190" s="1">
        <v>3.1653179190751444</v>
      </c>
      <c r="G5190" s="1">
        <v>2.3725265485351255E-2</v>
      </c>
    </row>
    <row r="5191" spans="1:7">
      <c r="A5191">
        <v>15</v>
      </c>
      <c r="B5191">
        <v>54</v>
      </c>
      <c r="C5191" s="1">
        <f>(Tabela1[[#This Row],[x]]-H$3)*(Tabela1[[#This Row],[x]]-H$3) +(Tabela1[[#This Row],[y]]-H$4)*(Tabela1[[#This Row],[y]]-H$4)</f>
        <v>55541</v>
      </c>
      <c r="D5191" s="1">
        <f>IF(Tabela1[[#This Row],[promien]]&lt;40000,1,0)</f>
        <v>0</v>
      </c>
      <c r="E5191" s="1">
        <f>IF(Tabela1[[#This Row],[promien]]=40000,1,0)</f>
        <v>0</v>
      </c>
      <c r="F5191" s="1">
        <v>3.1647081487189368</v>
      </c>
      <c r="G5191" s="1">
        <v>2.3115495129143682E-2</v>
      </c>
    </row>
    <row r="5192" spans="1:7">
      <c r="A5192">
        <v>14</v>
      </c>
      <c r="B5192">
        <v>245</v>
      </c>
      <c r="C5192" s="1">
        <f>(Tabela1[[#This Row],[x]]-H$3)*(Tabela1[[#This Row],[x]]-H$3) +(Tabela1[[#This Row],[y]]-H$4)*(Tabela1[[#This Row],[y]]-H$4)</f>
        <v>36621</v>
      </c>
      <c r="D5192" s="1">
        <f>IF(Tabela1[[#This Row],[promien]]&lt;40000,1,0)</f>
        <v>1</v>
      </c>
      <c r="E5192" s="1">
        <f>IF(Tabela1[[#This Row],[promien]]=40000,1,0)</f>
        <v>0</v>
      </c>
      <c r="F5192" s="1">
        <v>3.1648690292758088</v>
      </c>
      <c r="G5192" s="1">
        <v>2.3276375686015705E-2</v>
      </c>
    </row>
    <row r="5193" spans="1:7">
      <c r="A5193">
        <v>154</v>
      </c>
      <c r="B5193">
        <v>241</v>
      </c>
      <c r="C5193" s="1">
        <f>(Tabela1[[#This Row],[x]]-H$3)*(Tabela1[[#This Row],[x]]-H$3) +(Tabela1[[#This Row],[y]]-H$4)*(Tabela1[[#This Row],[y]]-H$4)</f>
        <v>3797</v>
      </c>
      <c r="D5193" s="1">
        <f>IF(Tabela1[[#This Row],[promien]]&lt;40000,1,0)</f>
        <v>1</v>
      </c>
      <c r="E5193" s="1">
        <f>IF(Tabela1[[#This Row],[promien]]=40000,1,0)</f>
        <v>0</v>
      </c>
      <c r="F5193" s="1">
        <v>3.1650298478721357</v>
      </c>
      <c r="G5193" s="1">
        <v>2.3437194282342588E-2</v>
      </c>
    </row>
    <row r="5194" spans="1:7">
      <c r="A5194">
        <v>273</v>
      </c>
      <c r="B5194">
        <v>267</v>
      </c>
      <c r="C5194" s="1">
        <f>(Tabela1[[#This Row],[x]]-H$3)*(Tabela1[[#This Row],[x]]-H$3) +(Tabela1[[#This Row],[y]]-H$4)*(Tabela1[[#This Row],[y]]-H$4)</f>
        <v>9818</v>
      </c>
      <c r="D5194" s="1">
        <f>IF(Tabela1[[#This Row],[promien]]&lt;40000,1,0)</f>
        <v>1</v>
      </c>
      <c r="E5194" s="1">
        <f>IF(Tabela1[[#This Row],[promien]]=40000,1,0)</f>
        <v>0</v>
      </c>
      <c r="F5194" s="1">
        <v>3.1651906045437044</v>
      </c>
      <c r="G5194" s="1">
        <v>2.3597950953911262E-2</v>
      </c>
    </row>
    <row r="5195" spans="1:7">
      <c r="A5195">
        <v>138</v>
      </c>
      <c r="B5195">
        <v>379</v>
      </c>
      <c r="C5195" s="1">
        <f>(Tabela1[[#This Row],[x]]-H$3)*(Tabela1[[#This Row],[x]]-H$3) +(Tabela1[[#This Row],[y]]-H$4)*(Tabela1[[#This Row],[y]]-H$4)</f>
        <v>35885</v>
      </c>
      <c r="D5195" s="1">
        <f>IF(Tabela1[[#This Row],[promien]]&lt;40000,1,0)</f>
        <v>1</v>
      </c>
      <c r="E5195" s="1">
        <f>IF(Tabela1[[#This Row],[promien]]=40000,1,0)</f>
        <v>0</v>
      </c>
      <c r="F5195" s="1">
        <v>3.1653512993262751</v>
      </c>
      <c r="G5195" s="1">
        <v>2.3758645736482009E-2</v>
      </c>
    </row>
    <row r="5196" spans="1:7">
      <c r="A5196">
        <v>55</v>
      </c>
      <c r="B5196">
        <v>255</v>
      </c>
      <c r="C5196" s="1">
        <f>(Tabela1[[#This Row],[x]]-H$3)*(Tabela1[[#This Row],[x]]-H$3) +(Tabela1[[#This Row],[y]]-H$4)*(Tabela1[[#This Row],[y]]-H$4)</f>
        <v>24050</v>
      </c>
      <c r="D5196" s="1">
        <f>IF(Tabela1[[#This Row],[promien]]&lt;40000,1,0)</f>
        <v>1</v>
      </c>
      <c r="E5196" s="1">
        <f>IF(Tabela1[[#This Row],[promien]]=40000,1,0)</f>
        <v>0</v>
      </c>
      <c r="F5196" s="1">
        <v>3.1655119322555811</v>
      </c>
      <c r="G5196" s="1">
        <v>2.3919278665788024E-2</v>
      </c>
    </row>
    <row r="5197" spans="1:7">
      <c r="A5197">
        <v>65</v>
      </c>
      <c r="B5197">
        <v>241</v>
      </c>
      <c r="C5197" s="1">
        <f>(Tabela1[[#This Row],[x]]-H$3)*(Tabela1[[#This Row],[x]]-H$3) +(Tabela1[[#This Row],[y]]-H$4)*(Tabela1[[#This Row],[y]]-H$4)</f>
        <v>19906</v>
      </c>
      <c r="D5197" s="1">
        <f>IF(Tabela1[[#This Row],[promien]]&lt;40000,1,0)</f>
        <v>1</v>
      </c>
      <c r="E5197" s="1">
        <f>IF(Tabela1[[#This Row],[promien]]=40000,1,0)</f>
        <v>0</v>
      </c>
      <c r="F5197" s="1">
        <v>3.1656725033673272</v>
      </c>
      <c r="G5197" s="1">
        <v>2.4079849777534079E-2</v>
      </c>
    </row>
    <row r="5198" spans="1:7">
      <c r="A5198">
        <v>248</v>
      </c>
      <c r="B5198">
        <v>22</v>
      </c>
      <c r="C5198" s="1">
        <f>(Tabela1[[#This Row],[x]]-H$3)*(Tabela1[[#This Row],[x]]-H$3) +(Tabela1[[#This Row],[y]]-H$4)*(Tabela1[[#This Row],[y]]-H$4)</f>
        <v>33988</v>
      </c>
      <c r="D5198" s="1">
        <f>IF(Tabela1[[#This Row],[promien]]&lt;40000,1,0)</f>
        <v>1</v>
      </c>
      <c r="E5198" s="1">
        <f>IF(Tabela1[[#This Row],[promien]]=40000,1,0)</f>
        <v>0</v>
      </c>
      <c r="F5198" s="1">
        <v>3.1658330126971914</v>
      </c>
      <c r="G5198" s="1">
        <v>2.4240359107398302E-2</v>
      </c>
    </row>
    <row r="5199" spans="1:7">
      <c r="A5199">
        <v>353</v>
      </c>
      <c r="B5199">
        <v>196</v>
      </c>
      <c r="C5199" s="1">
        <f>(Tabela1[[#This Row],[x]]-H$3)*(Tabela1[[#This Row],[x]]-H$3) +(Tabela1[[#This Row],[y]]-H$4)*(Tabela1[[#This Row],[y]]-H$4)</f>
        <v>23425</v>
      </c>
      <c r="D5199" s="1">
        <f>IF(Tabela1[[#This Row],[promien]]&lt;40000,1,0)</f>
        <v>1</v>
      </c>
      <c r="E5199" s="1">
        <f>IF(Tabela1[[#This Row],[promien]]=40000,1,0)</f>
        <v>0</v>
      </c>
      <c r="F5199" s="1">
        <v>3.1659934602808231</v>
      </c>
      <c r="G5199" s="1">
        <v>2.4400806691029953E-2</v>
      </c>
    </row>
    <row r="5200" spans="1:7">
      <c r="A5200">
        <v>193</v>
      </c>
      <c r="B5200">
        <v>53</v>
      </c>
      <c r="C5200" s="1">
        <f>(Tabela1[[#This Row],[x]]-H$3)*(Tabela1[[#This Row],[x]]-H$3) +(Tabela1[[#This Row],[y]]-H$4)*(Tabela1[[#This Row],[y]]-H$4)</f>
        <v>21658</v>
      </c>
      <c r="D5200" s="1">
        <f>IF(Tabela1[[#This Row],[promien]]&lt;40000,1,0)</f>
        <v>1</v>
      </c>
      <c r="E5200" s="1">
        <f>IF(Tabela1[[#This Row],[promien]]=40000,1,0)</f>
        <v>0</v>
      </c>
      <c r="F5200" s="1">
        <v>3.1661538461538461</v>
      </c>
      <c r="G5200" s="1">
        <v>2.456119256405298E-2</v>
      </c>
    </row>
    <row r="5201" spans="1:7">
      <c r="A5201">
        <v>135</v>
      </c>
      <c r="B5201">
        <v>23</v>
      </c>
      <c r="C5201" s="1">
        <f>(Tabela1[[#This Row],[x]]-H$3)*(Tabela1[[#This Row],[x]]-H$3) +(Tabela1[[#This Row],[y]]-H$4)*(Tabela1[[#This Row],[y]]-H$4)</f>
        <v>35554</v>
      </c>
      <c r="D5201" s="1">
        <f>IF(Tabela1[[#This Row],[promien]]&lt;40000,1,0)</f>
        <v>1</v>
      </c>
      <c r="E5201" s="1">
        <f>IF(Tabela1[[#This Row],[promien]]=40000,1,0)</f>
        <v>0</v>
      </c>
      <c r="F5201" s="1">
        <v>3.1663141703518556</v>
      </c>
      <c r="G5201" s="1">
        <v>2.4721516762062468E-2</v>
      </c>
    </row>
    <row r="5202" spans="1:7">
      <c r="A5202">
        <v>341</v>
      </c>
      <c r="B5202">
        <v>173</v>
      </c>
      <c r="C5202" s="1">
        <f>(Tabela1[[#This Row],[x]]-H$3)*(Tabela1[[#This Row],[x]]-H$3) +(Tabela1[[#This Row],[y]]-H$4)*(Tabela1[[#This Row],[y]]-H$4)</f>
        <v>20610</v>
      </c>
      <c r="D5202" s="1">
        <f>IF(Tabela1[[#This Row],[promien]]&lt;40000,1,0)</f>
        <v>1</v>
      </c>
      <c r="E5202" s="1">
        <f>IF(Tabela1[[#This Row],[promien]]=40000,1,0)</f>
        <v>0</v>
      </c>
      <c r="F5202" s="1">
        <v>3.1664744329104191</v>
      </c>
      <c r="G5202" s="1">
        <v>2.4881779320625963E-2</v>
      </c>
    </row>
    <row r="5203" spans="1:7">
      <c r="A5203">
        <v>188</v>
      </c>
      <c r="B5203">
        <v>67</v>
      </c>
      <c r="C5203" s="1">
        <f>(Tabela1[[#This Row],[x]]-H$3)*(Tabela1[[#This Row],[x]]-H$3) +(Tabela1[[#This Row],[y]]-H$4)*(Tabela1[[#This Row],[y]]-H$4)</f>
        <v>17833</v>
      </c>
      <c r="D5203" s="1">
        <f>IF(Tabela1[[#This Row],[promien]]&lt;40000,1,0)</f>
        <v>1</v>
      </c>
      <c r="E5203" s="1">
        <f>IF(Tabela1[[#This Row],[promien]]=40000,1,0)</f>
        <v>0</v>
      </c>
      <c r="F5203" s="1">
        <v>3.1666346338650779</v>
      </c>
      <c r="G5203" s="1">
        <v>2.5041980275284814E-2</v>
      </c>
    </row>
    <row r="5204" spans="1:7">
      <c r="A5204">
        <v>283</v>
      </c>
      <c r="B5204">
        <v>211</v>
      </c>
      <c r="C5204" s="1">
        <f>(Tabela1[[#This Row],[x]]-H$3)*(Tabela1[[#This Row],[x]]-H$3) +(Tabela1[[#This Row],[y]]-H$4)*(Tabela1[[#This Row],[y]]-H$4)</f>
        <v>7010</v>
      </c>
      <c r="D5204" s="1">
        <f>IF(Tabela1[[#This Row],[promien]]&lt;40000,1,0)</f>
        <v>1</v>
      </c>
      <c r="E5204" s="1">
        <f>IF(Tabela1[[#This Row],[promien]]=40000,1,0)</f>
        <v>0</v>
      </c>
      <c r="F5204" s="1">
        <v>3.1667947732513451</v>
      </c>
      <c r="G5204" s="1">
        <v>2.5202119661551947E-2</v>
      </c>
    </row>
    <row r="5205" spans="1:7">
      <c r="A5205">
        <v>361</v>
      </c>
      <c r="B5205">
        <v>226</v>
      </c>
      <c r="C5205" s="1">
        <f>(Tabela1[[#This Row],[x]]-H$3)*(Tabela1[[#This Row],[x]]-H$3) +(Tabela1[[#This Row],[y]]-H$4)*(Tabela1[[#This Row],[y]]-H$4)</f>
        <v>26597</v>
      </c>
      <c r="D5205" s="1">
        <f>IF(Tabela1[[#This Row],[promien]]&lt;40000,1,0)</f>
        <v>1</v>
      </c>
      <c r="E5205" s="1">
        <f>IF(Tabela1[[#This Row],[promien]]=40000,1,0)</f>
        <v>0</v>
      </c>
      <c r="F5205" s="1">
        <v>3.1669548511047072</v>
      </c>
      <c r="G5205" s="1">
        <v>2.5362197514914087E-2</v>
      </c>
    </row>
    <row r="5206" spans="1:7">
      <c r="A5206">
        <v>223</v>
      </c>
      <c r="B5206">
        <v>12</v>
      </c>
      <c r="C5206" s="1">
        <f>(Tabela1[[#This Row],[x]]-H$3)*(Tabela1[[#This Row],[x]]-H$3) +(Tabela1[[#This Row],[y]]-H$4)*(Tabela1[[#This Row],[y]]-H$4)</f>
        <v>35873</v>
      </c>
      <c r="D5206" s="1">
        <f>IF(Tabela1[[#This Row],[promien]]&lt;40000,1,0)</f>
        <v>1</v>
      </c>
      <c r="E5206" s="1">
        <f>IF(Tabela1[[#This Row],[promien]]=40000,1,0)</f>
        <v>0</v>
      </c>
      <c r="F5206" s="1">
        <v>3.1671148674606222</v>
      </c>
      <c r="G5206" s="1">
        <v>2.5522213870829091E-2</v>
      </c>
    </row>
    <row r="5207" spans="1:7">
      <c r="A5207">
        <v>392</v>
      </c>
      <c r="B5207">
        <v>201</v>
      </c>
      <c r="C5207" s="1">
        <f>(Tabela1[[#This Row],[x]]-H$3)*(Tabela1[[#This Row],[x]]-H$3) +(Tabela1[[#This Row],[y]]-H$4)*(Tabela1[[#This Row],[y]]-H$4)</f>
        <v>36865</v>
      </c>
      <c r="D5207" s="1">
        <f>IF(Tabela1[[#This Row],[promien]]&lt;40000,1,0)</f>
        <v>1</v>
      </c>
      <c r="E5207" s="1">
        <f>IF(Tabela1[[#This Row],[promien]]=40000,1,0)</f>
        <v>0</v>
      </c>
      <c r="F5207" s="1">
        <v>3.1672748223545226</v>
      </c>
      <c r="G5207" s="1">
        <v>2.5682168764729507E-2</v>
      </c>
    </row>
    <row r="5208" spans="1:7">
      <c r="A5208">
        <v>214</v>
      </c>
      <c r="B5208">
        <v>102</v>
      </c>
      <c r="C5208" s="1">
        <f>(Tabela1[[#This Row],[x]]-H$3)*(Tabela1[[#This Row],[x]]-H$3) +(Tabela1[[#This Row],[y]]-H$4)*(Tabela1[[#This Row],[y]]-H$4)</f>
        <v>9800</v>
      </c>
      <c r="D5208" s="1">
        <f>IF(Tabela1[[#This Row],[promien]]&lt;40000,1,0)</f>
        <v>1</v>
      </c>
      <c r="E5208" s="1">
        <f>IF(Tabela1[[#This Row],[promien]]=40000,1,0)</f>
        <v>0</v>
      </c>
      <c r="F5208" s="1">
        <v>3.1674347158218126</v>
      </c>
      <c r="G5208" s="1">
        <v>2.5842062232019458E-2</v>
      </c>
    </row>
    <row r="5209" spans="1:7">
      <c r="A5209">
        <v>202</v>
      </c>
      <c r="B5209">
        <v>164</v>
      </c>
      <c r="C5209" s="1">
        <f>(Tabela1[[#This Row],[x]]-H$3)*(Tabela1[[#This Row],[x]]-H$3) +(Tabela1[[#This Row],[y]]-H$4)*(Tabela1[[#This Row],[y]]-H$4)</f>
        <v>1300</v>
      </c>
      <c r="D5209" s="1">
        <f>IF(Tabela1[[#This Row],[promien]]&lt;40000,1,0)</f>
        <v>1</v>
      </c>
      <c r="E5209" s="1">
        <f>IF(Tabela1[[#This Row],[promien]]=40000,1,0)</f>
        <v>0</v>
      </c>
      <c r="F5209" s="1">
        <v>3.1675945478978691</v>
      </c>
      <c r="G5209" s="1">
        <v>2.6001894308075979E-2</v>
      </c>
    </row>
    <row r="5210" spans="1:7">
      <c r="A5210">
        <v>249</v>
      </c>
      <c r="B5210">
        <v>260</v>
      </c>
      <c r="C5210" s="1">
        <f>(Tabela1[[#This Row],[x]]-H$3)*(Tabela1[[#This Row],[x]]-H$3) +(Tabela1[[#This Row],[y]]-H$4)*(Tabela1[[#This Row],[y]]-H$4)</f>
        <v>6001</v>
      </c>
      <c r="D5210" s="1">
        <f>IF(Tabela1[[#This Row],[promien]]&lt;40000,1,0)</f>
        <v>1</v>
      </c>
      <c r="E5210" s="1">
        <f>IF(Tabela1[[#This Row],[promien]]=40000,1,0)</f>
        <v>0</v>
      </c>
      <c r="F5210" s="1">
        <v>3.1677543186180421</v>
      </c>
      <c r="G5210" s="1">
        <v>2.6161665028249015E-2</v>
      </c>
    </row>
    <row r="5211" spans="1:7">
      <c r="A5211">
        <v>82</v>
      </c>
      <c r="B5211">
        <v>348</v>
      </c>
      <c r="C5211" s="1">
        <f>(Tabela1[[#This Row],[x]]-H$3)*(Tabela1[[#This Row],[x]]-H$3) +(Tabela1[[#This Row],[y]]-H$4)*(Tabela1[[#This Row],[y]]-H$4)</f>
        <v>35828</v>
      </c>
      <c r="D5211" s="1">
        <f>IF(Tabela1[[#This Row],[promien]]&lt;40000,1,0)</f>
        <v>1</v>
      </c>
      <c r="E5211" s="1">
        <f>IF(Tabela1[[#This Row],[promien]]=40000,1,0)</f>
        <v>0</v>
      </c>
      <c r="F5211" s="1">
        <v>3.167914028017655</v>
      </c>
      <c r="G5211" s="1">
        <v>2.6321374427861866E-2</v>
      </c>
    </row>
    <row r="5212" spans="1:7">
      <c r="A5212">
        <v>185</v>
      </c>
      <c r="B5212">
        <v>80</v>
      </c>
      <c r="C5212" s="1">
        <f>(Tabela1[[#This Row],[x]]-H$3)*(Tabela1[[#This Row],[x]]-H$3) +(Tabela1[[#This Row],[y]]-H$4)*(Tabela1[[#This Row],[y]]-H$4)</f>
        <v>14625</v>
      </c>
      <c r="D5212" s="1">
        <f>IF(Tabela1[[#This Row],[promien]]&lt;40000,1,0)</f>
        <v>1</v>
      </c>
      <c r="E5212" s="1">
        <f>IF(Tabela1[[#This Row],[promien]]=40000,1,0)</f>
        <v>0</v>
      </c>
      <c r="F5212" s="1">
        <v>3.168073676132003</v>
      </c>
      <c r="G5212" s="1">
        <v>2.6481022542209853E-2</v>
      </c>
    </row>
    <row r="5213" spans="1:7">
      <c r="A5213">
        <v>318</v>
      </c>
      <c r="B5213">
        <v>312</v>
      </c>
      <c r="C5213" s="1">
        <f>(Tabela1[[#This Row],[x]]-H$3)*(Tabela1[[#This Row],[x]]-H$3) +(Tabela1[[#This Row],[y]]-H$4)*(Tabela1[[#This Row],[y]]-H$4)</f>
        <v>26468</v>
      </c>
      <c r="D5213" s="1">
        <f>IF(Tabela1[[#This Row],[promien]]&lt;40000,1,0)</f>
        <v>1</v>
      </c>
      <c r="E5213" s="1">
        <f>IF(Tabela1[[#This Row],[promien]]=40000,1,0)</f>
        <v>0</v>
      </c>
      <c r="F5213" s="1">
        <v>3.1682332629963552</v>
      </c>
      <c r="G5213" s="1">
        <v>2.6640609406562099E-2</v>
      </c>
    </row>
    <row r="5214" spans="1:7">
      <c r="A5214">
        <v>96</v>
      </c>
      <c r="B5214">
        <v>279</v>
      </c>
      <c r="C5214" s="1">
        <f>(Tabela1[[#This Row],[x]]-H$3)*(Tabela1[[#This Row],[x]]-H$3) +(Tabela1[[#This Row],[y]]-H$4)*(Tabela1[[#This Row],[y]]-H$4)</f>
        <v>17057</v>
      </c>
      <c r="D5214" s="1">
        <f>IF(Tabela1[[#This Row],[promien]]&lt;40000,1,0)</f>
        <v>1</v>
      </c>
      <c r="E5214" s="1">
        <f>IF(Tabela1[[#This Row],[promien]]=40000,1,0)</f>
        <v>0</v>
      </c>
      <c r="F5214" s="1">
        <v>3.1683927886459533</v>
      </c>
      <c r="G5214" s="1">
        <v>2.680013505616019E-2</v>
      </c>
    </row>
    <row r="5215" spans="1:7">
      <c r="A5215">
        <v>349</v>
      </c>
      <c r="B5215">
        <v>37</v>
      </c>
      <c r="C5215" s="1">
        <f>(Tabela1[[#This Row],[x]]-H$3)*(Tabela1[[#This Row],[x]]-H$3) +(Tabela1[[#This Row],[y]]-H$4)*(Tabela1[[#This Row],[y]]-H$4)</f>
        <v>48770</v>
      </c>
      <c r="D5215" s="1">
        <f>IF(Tabela1[[#This Row],[promien]]&lt;40000,1,0)</f>
        <v>0</v>
      </c>
      <c r="E5215" s="1">
        <f>IF(Tabela1[[#This Row],[promien]]=40000,1,0)</f>
        <v>0</v>
      </c>
      <c r="F5215" s="1">
        <v>3.1677852348993287</v>
      </c>
      <c r="G5215" s="1">
        <v>2.6192581309535612E-2</v>
      </c>
    </row>
    <row r="5216" spans="1:7">
      <c r="A5216">
        <v>110</v>
      </c>
      <c r="B5216">
        <v>373</v>
      </c>
      <c r="C5216" s="1">
        <f>(Tabela1[[#This Row],[x]]-H$3)*(Tabela1[[#This Row],[x]]-H$3) +(Tabela1[[#This Row],[y]]-H$4)*(Tabela1[[#This Row],[y]]-H$4)</f>
        <v>38029</v>
      </c>
      <c r="D5216" s="1">
        <f>IF(Tabela1[[#This Row],[promien]]&lt;40000,1,0)</f>
        <v>1</v>
      </c>
      <c r="E5216" s="1">
        <f>IF(Tabela1[[#This Row],[promien]]=40000,1,0)</f>
        <v>0</v>
      </c>
      <c r="F5216" s="1">
        <v>3.1679447852760738</v>
      </c>
      <c r="G5216" s="1">
        <v>2.63521316862807E-2</v>
      </c>
    </row>
    <row r="5217" spans="1:7">
      <c r="A5217">
        <v>151</v>
      </c>
      <c r="B5217">
        <v>365</v>
      </c>
      <c r="C5217" s="1">
        <f>(Tabela1[[#This Row],[x]]-H$3)*(Tabela1[[#This Row],[x]]-H$3) +(Tabela1[[#This Row],[y]]-H$4)*(Tabela1[[#This Row],[y]]-H$4)</f>
        <v>29626</v>
      </c>
      <c r="D5217" s="1">
        <f>IF(Tabela1[[#This Row],[promien]]&lt;40000,1,0)</f>
        <v>1</v>
      </c>
      <c r="E5217" s="1">
        <f>IF(Tabela1[[#This Row],[promien]]=40000,1,0)</f>
        <v>0</v>
      </c>
      <c r="F5217" s="1">
        <v>3.1681042744872534</v>
      </c>
      <c r="G5217" s="1">
        <v>2.6511620897460286E-2</v>
      </c>
    </row>
    <row r="5218" spans="1:7">
      <c r="A5218">
        <v>221</v>
      </c>
      <c r="B5218">
        <v>149</v>
      </c>
      <c r="C5218" s="1">
        <f>(Tabela1[[#This Row],[x]]-H$3)*(Tabela1[[#This Row],[x]]-H$3) +(Tabela1[[#This Row],[y]]-H$4)*(Tabela1[[#This Row],[y]]-H$4)</f>
        <v>3042</v>
      </c>
      <c r="D5218" s="1">
        <f>IF(Tabela1[[#This Row],[promien]]&lt;40000,1,0)</f>
        <v>1</v>
      </c>
      <c r="E5218" s="1">
        <f>IF(Tabela1[[#This Row],[promien]]=40000,1,0)</f>
        <v>0</v>
      </c>
      <c r="F5218" s="1">
        <v>3.1682637025680336</v>
      </c>
      <c r="G5218" s="1">
        <v>2.6671048978240464E-2</v>
      </c>
    </row>
    <row r="5219" spans="1:7">
      <c r="A5219">
        <v>74</v>
      </c>
      <c r="B5219">
        <v>15</v>
      </c>
      <c r="C5219" s="1">
        <f>(Tabela1[[#This Row],[x]]-H$3)*(Tabela1[[#This Row],[x]]-H$3) +(Tabela1[[#This Row],[y]]-H$4)*(Tabela1[[#This Row],[y]]-H$4)</f>
        <v>50101</v>
      </c>
      <c r="D5219" s="1">
        <f>IF(Tabela1[[#This Row],[promien]]&lt;40000,1,0)</f>
        <v>0</v>
      </c>
      <c r="E5219" s="1">
        <f>IF(Tabela1[[#This Row],[promien]]=40000,1,0)</f>
        <v>0</v>
      </c>
      <c r="F5219" s="1">
        <v>3.1676566392029124</v>
      </c>
      <c r="G5219" s="1">
        <v>2.6063985613119289E-2</v>
      </c>
    </row>
    <row r="5220" spans="1:7">
      <c r="A5220">
        <v>159</v>
      </c>
      <c r="B5220">
        <v>49</v>
      </c>
      <c r="C5220" s="1">
        <f>(Tabela1[[#This Row],[x]]-H$3)*(Tabela1[[#This Row],[x]]-H$3) +(Tabela1[[#This Row],[y]]-H$4)*(Tabela1[[#This Row],[y]]-H$4)</f>
        <v>24482</v>
      </c>
      <c r="D5220" s="1">
        <f>IF(Tabela1[[#This Row],[promien]]&lt;40000,1,0)</f>
        <v>1</v>
      </c>
      <c r="E5220" s="1">
        <f>IF(Tabela1[[#This Row],[promien]]=40000,1,0)</f>
        <v>0</v>
      </c>
      <c r="F5220" s="1">
        <v>3.1678160919540228</v>
      </c>
      <c r="G5220" s="1">
        <v>2.622343836422969E-2</v>
      </c>
    </row>
    <row r="5221" spans="1:7">
      <c r="A5221">
        <v>82</v>
      </c>
      <c r="B5221">
        <v>299</v>
      </c>
      <c r="C5221" s="1">
        <f>(Tabela1[[#This Row],[x]]-H$3)*(Tabela1[[#This Row],[x]]-H$3) +(Tabela1[[#This Row],[y]]-H$4)*(Tabela1[[#This Row],[y]]-H$4)</f>
        <v>23725</v>
      </c>
      <c r="D5221" s="1">
        <f>IF(Tabela1[[#This Row],[promien]]&lt;40000,1,0)</f>
        <v>1</v>
      </c>
      <c r="E5221" s="1">
        <f>IF(Tabela1[[#This Row],[promien]]=40000,1,0)</f>
        <v>0</v>
      </c>
      <c r="F5221" s="1">
        <v>3.167975483623827</v>
      </c>
      <c r="G5221" s="1">
        <v>2.6382830034033855E-2</v>
      </c>
    </row>
    <row r="5222" spans="1:7">
      <c r="A5222">
        <v>290</v>
      </c>
      <c r="B5222">
        <v>358</v>
      </c>
      <c r="C5222" s="1">
        <f>(Tabela1[[#This Row],[x]]-H$3)*(Tabela1[[#This Row],[x]]-H$3) +(Tabela1[[#This Row],[y]]-H$4)*(Tabela1[[#This Row],[y]]-H$4)</f>
        <v>33064</v>
      </c>
      <c r="D5222" s="1">
        <f>IF(Tabela1[[#This Row],[promien]]&lt;40000,1,0)</f>
        <v>1</v>
      </c>
      <c r="E5222" s="1">
        <f>IF(Tabela1[[#This Row],[promien]]=40000,1,0)</f>
        <v>0</v>
      </c>
      <c r="F5222" s="1">
        <v>3.1681348142474146</v>
      </c>
      <c r="G5222" s="1">
        <v>2.6542160657621494E-2</v>
      </c>
    </row>
    <row r="5223" spans="1:7">
      <c r="A5223">
        <v>301</v>
      </c>
      <c r="B5223">
        <v>151</v>
      </c>
      <c r="C5223" s="1">
        <f>(Tabela1[[#This Row],[x]]-H$3)*(Tabela1[[#This Row],[x]]-H$3) +(Tabela1[[#This Row],[y]]-H$4)*(Tabela1[[#This Row],[y]]-H$4)</f>
        <v>12602</v>
      </c>
      <c r="D5223" s="1">
        <f>IF(Tabela1[[#This Row],[promien]]&lt;40000,1,0)</f>
        <v>1</v>
      </c>
      <c r="E5223" s="1">
        <f>IF(Tabela1[[#This Row],[promien]]=40000,1,0)</f>
        <v>0</v>
      </c>
      <c r="F5223" s="1">
        <v>3.1682940838598506</v>
      </c>
      <c r="G5223" s="1">
        <v>2.6701430270057447E-2</v>
      </c>
    </row>
    <row r="5224" spans="1:7">
      <c r="A5224">
        <v>370</v>
      </c>
      <c r="B5224">
        <v>376</v>
      </c>
      <c r="C5224" s="1">
        <f>(Tabela1[[#This Row],[x]]-H$3)*(Tabela1[[#This Row],[x]]-H$3) +(Tabela1[[#This Row],[y]]-H$4)*(Tabela1[[#This Row],[y]]-H$4)</f>
        <v>59876</v>
      </c>
      <c r="D5224" s="1">
        <f>IF(Tabela1[[#This Row],[promien]]&lt;40000,1,0)</f>
        <v>0</v>
      </c>
      <c r="E5224" s="1">
        <f>IF(Tabela1[[#This Row],[promien]]=40000,1,0)</f>
        <v>0</v>
      </c>
      <c r="F5224" s="1">
        <v>3.1676875957120978</v>
      </c>
      <c r="G5224" s="1">
        <v>2.6094942122304676E-2</v>
      </c>
    </row>
    <row r="5225" spans="1:7">
      <c r="A5225">
        <v>139</v>
      </c>
      <c r="B5225">
        <v>316</v>
      </c>
      <c r="C5225" s="1">
        <f>(Tabela1[[#This Row],[x]]-H$3)*(Tabela1[[#This Row],[x]]-H$3) +(Tabela1[[#This Row],[y]]-H$4)*(Tabela1[[#This Row],[y]]-H$4)</f>
        <v>17177</v>
      </c>
      <c r="D5225" s="1">
        <f>IF(Tabela1[[#This Row],[promien]]&lt;40000,1,0)</f>
        <v>1</v>
      </c>
      <c r="E5225" s="1">
        <f>IF(Tabela1[[#This Row],[promien]]=40000,1,0)</f>
        <v>0</v>
      </c>
      <c r="F5225" s="1">
        <v>3.1678468899521532</v>
      </c>
      <c r="G5225" s="1">
        <v>2.6254236362360128E-2</v>
      </c>
    </row>
    <row r="5226" spans="1:7">
      <c r="A5226">
        <v>95</v>
      </c>
      <c r="B5226">
        <v>180</v>
      </c>
      <c r="C5226" s="1">
        <f>(Tabela1[[#This Row],[x]]-H$3)*(Tabela1[[#This Row],[x]]-H$3) +(Tabela1[[#This Row],[y]]-H$4)*(Tabela1[[#This Row],[y]]-H$4)</f>
        <v>11425</v>
      </c>
      <c r="D5226" s="1">
        <f>IF(Tabela1[[#This Row],[promien]]&lt;40000,1,0)</f>
        <v>1</v>
      </c>
      <c r="E5226" s="1">
        <f>IF(Tabela1[[#This Row],[promien]]=40000,1,0)</f>
        <v>0</v>
      </c>
      <c r="F5226" s="1">
        <v>3.1680061232300036</v>
      </c>
      <c r="G5226" s="1">
        <v>2.6413469640210518E-2</v>
      </c>
    </row>
    <row r="5227" spans="1:7">
      <c r="A5227">
        <v>180</v>
      </c>
      <c r="B5227">
        <v>343</v>
      </c>
      <c r="C5227" s="1">
        <f>(Tabela1[[#This Row],[x]]-H$3)*(Tabela1[[#This Row],[x]]-H$3) +(Tabela1[[#This Row],[y]]-H$4)*(Tabela1[[#This Row],[y]]-H$4)</f>
        <v>20849</v>
      </c>
      <c r="D5227" s="1">
        <f>IF(Tabela1[[#This Row],[promien]]&lt;40000,1,0)</f>
        <v>1</v>
      </c>
      <c r="E5227" s="1">
        <f>IF(Tabela1[[#This Row],[promien]]=40000,1,0)</f>
        <v>0</v>
      </c>
      <c r="F5227" s="1">
        <v>3.1681652955806392</v>
      </c>
      <c r="G5227" s="1">
        <v>2.657264199084608E-2</v>
      </c>
    </row>
    <row r="5228" spans="1:7">
      <c r="A5228">
        <v>263</v>
      </c>
      <c r="B5228">
        <v>39</v>
      </c>
      <c r="C5228" s="1">
        <f>(Tabela1[[#This Row],[x]]-H$3)*(Tabela1[[#This Row],[x]]-H$3) +(Tabela1[[#This Row],[y]]-H$4)*(Tabela1[[#This Row],[y]]-H$4)</f>
        <v>29890</v>
      </c>
      <c r="D5228" s="1">
        <f>IF(Tabela1[[#This Row],[promien]]&lt;40000,1,0)</f>
        <v>1</v>
      </c>
      <c r="E5228" s="1">
        <f>IF(Tabela1[[#This Row],[promien]]=40000,1,0)</f>
        <v>0</v>
      </c>
      <c r="F5228" s="1">
        <v>3.1683244070390209</v>
      </c>
      <c r="G5228" s="1">
        <v>2.6731753449227735E-2</v>
      </c>
    </row>
    <row r="5229" spans="1:7">
      <c r="A5229">
        <v>196</v>
      </c>
      <c r="B5229">
        <v>204</v>
      </c>
      <c r="C5229" s="1">
        <f>(Tabela1[[#This Row],[x]]-H$3)*(Tabela1[[#This Row],[x]]-H$3) +(Tabela1[[#This Row],[y]]-H$4)*(Tabela1[[#This Row],[y]]-H$4)</f>
        <v>32</v>
      </c>
      <c r="D5229" s="1">
        <f>IF(Tabela1[[#This Row],[promien]]&lt;40000,1,0)</f>
        <v>1</v>
      </c>
      <c r="E5229" s="1">
        <f>IF(Tabela1[[#This Row],[promien]]=40000,1,0)</f>
        <v>0</v>
      </c>
      <c r="F5229" s="1">
        <v>3.1684834576400842</v>
      </c>
      <c r="G5229" s="1">
        <v>2.6890804050291095E-2</v>
      </c>
    </row>
    <row r="5230" spans="1:7">
      <c r="A5230">
        <v>269</v>
      </c>
      <c r="B5230">
        <v>263</v>
      </c>
      <c r="C5230" s="1">
        <f>(Tabela1[[#This Row],[x]]-H$3)*(Tabela1[[#This Row],[x]]-H$3) +(Tabela1[[#This Row],[y]]-H$4)*(Tabela1[[#This Row],[y]]-H$4)</f>
        <v>8730</v>
      </c>
      <c r="D5230" s="1">
        <f>IF(Tabela1[[#This Row],[promien]]&lt;40000,1,0)</f>
        <v>1</v>
      </c>
      <c r="E5230" s="1">
        <f>IF(Tabela1[[#This Row],[promien]]=40000,1,0)</f>
        <v>0</v>
      </c>
      <c r="F5230" s="1">
        <v>3.1686424474187382</v>
      </c>
      <c r="G5230" s="1">
        <v>2.7049793828945123E-2</v>
      </c>
    </row>
    <row r="5231" spans="1:7">
      <c r="A5231">
        <v>122</v>
      </c>
      <c r="B5231">
        <v>374</v>
      </c>
      <c r="C5231" s="1">
        <f>(Tabela1[[#This Row],[x]]-H$3)*(Tabela1[[#This Row],[x]]-H$3) +(Tabela1[[#This Row],[y]]-H$4)*(Tabela1[[#This Row],[y]]-H$4)</f>
        <v>36360</v>
      </c>
      <c r="D5231" s="1">
        <f>IF(Tabela1[[#This Row],[promien]]&lt;40000,1,0)</f>
        <v>1</v>
      </c>
      <c r="E5231" s="1">
        <f>IF(Tabela1[[#This Row],[promien]]=40000,1,0)</f>
        <v>0</v>
      </c>
      <c r="F5231" s="1">
        <v>3.1688013764098644</v>
      </c>
      <c r="G5231" s="1">
        <v>2.7208722820071252E-2</v>
      </c>
    </row>
    <row r="5232" spans="1:7">
      <c r="A5232">
        <v>125</v>
      </c>
      <c r="B5232">
        <v>182</v>
      </c>
      <c r="C5232" s="1">
        <f>(Tabela1[[#This Row],[x]]-H$3)*(Tabela1[[#This Row],[x]]-H$3) +(Tabela1[[#This Row],[y]]-H$4)*(Tabela1[[#This Row],[y]]-H$4)</f>
        <v>5949</v>
      </c>
      <c r="D5232" s="1">
        <f>IF(Tabela1[[#This Row],[promien]]&lt;40000,1,0)</f>
        <v>1</v>
      </c>
      <c r="E5232" s="1">
        <f>IF(Tabela1[[#This Row],[promien]]=40000,1,0)</f>
        <v>0</v>
      </c>
      <c r="F5232" s="1">
        <v>3.1689602446483178</v>
      </c>
      <c r="G5232" s="1">
        <v>2.736759105852471E-2</v>
      </c>
    </row>
    <row r="5233" spans="1:7">
      <c r="A5233">
        <v>189</v>
      </c>
      <c r="B5233">
        <v>15</v>
      </c>
      <c r="C5233" s="1">
        <f>(Tabela1[[#This Row],[x]]-H$3)*(Tabela1[[#This Row],[x]]-H$3) +(Tabela1[[#This Row],[y]]-H$4)*(Tabela1[[#This Row],[y]]-H$4)</f>
        <v>34346</v>
      </c>
      <c r="D5233" s="1">
        <f>IF(Tabela1[[#This Row],[promien]]&lt;40000,1,0)</f>
        <v>1</v>
      </c>
      <c r="E5233" s="1">
        <f>IF(Tabela1[[#This Row],[promien]]=40000,1,0)</f>
        <v>0</v>
      </c>
      <c r="F5233" s="1">
        <v>3.1691190521689281</v>
      </c>
      <c r="G5233" s="1">
        <v>2.752639857913497E-2</v>
      </c>
    </row>
    <row r="5234" spans="1:7">
      <c r="A5234">
        <v>376</v>
      </c>
      <c r="B5234">
        <v>33</v>
      </c>
      <c r="C5234" s="1">
        <f>(Tabela1[[#This Row],[x]]-H$3)*(Tabela1[[#This Row],[x]]-H$3) +(Tabela1[[#This Row],[y]]-H$4)*(Tabela1[[#This Row],[y]]-H$4)</f>
        <v>58865</v>
      </c>
      <c r="D5234" s="1">
        <f>IF(Tabela1[[#This Row],[promien]]&lt;40000,1,0)</f>
        <v>0</v>
      </c>
      <c r="E5234" s="1">
        <f>IF(Tabela1[[#This Row],[promien]]=40000,1,0)</f>
        <v>0</v>
      </c>
      <c r="F5234" s="1">
        <v>3.1685135651509362</v>
      </c>
      <c r="G5234" s="1">
        <v>2.6920911561143068E-2</v>
      </c>
    </row>
    <row r="5235" spans="1:7">
      <c r="A5235">
        <v>139</v>
      </c>
      <c r="B5235">
        <v>72</v>
      </c>
      <c r="C5235" s="1">
        <f>(Tabela1[[#This Row],[x]]-H$3)*(Tabela1[[#This Row],[x]]-H$3) +(Tabela1[[#This Row],[y]]-H$4)*(Tabela1[[#This Row],[y]]-H$4)</f>
        <v>20105</v>
      </c>
      <c r="D5235" s="1">
        <f>IF(Tabela1[[#This Row],[promien]]&lt;40000,1,0)</f>
        <v>1</v>
      </c>
      <c r="E5235" s="1">
        <f>IF(Tabela1[[#This Row],[promien]]=40000,1,0)</f>
        <v>0</v>
      </c>
      <c r="F5235" s="1">
        <v>3.1686723973256923</v>
      </c>
      <c r="G5235" s="1">
        <v>2.7079743735899164E-2</v>
      </c>
    </row>
    <row r="5236" spans="1:7">
      <c r="A5236">
        <v>197</v>
      </c>
      <c r="B5236">
        <v>23</v>
      </c>
      <c r="C5236" s="1">
        <f>(Tabela1[[#This Row],[x]]-H$3)*(Tabela1[[#This Row],[x]]-H$3) +(Tabela1[[#This Row],[y]]-H$4)*(Tabela1[[#This Row],[y]]-H$4)</f>
        <v>31338</v>
      </c>
      <c r="D5236" s="1">
        <f>IF(Tabela1[[#This Row],[promien]]&lt;40000,1,0)</f>
        <v>1</v>
      </c>
      <c r="E5236" s="1">
        <f>IF(Tabela1[[#This Row],[promien]]=40000,1,0)</f>
        <v>0</v>
      </c>
      <c r="F5236" s="1">
        <v>3.168831168831169</v>
      </c>
      <c r="G5236" s="1">
        <v>2.7238515241375882E-2</v>
      </c>
    </row>
    <row r="5237" spans="1:7">
      <c r="A5237">
        <v>148</v>
      </c>
      <c r="B5237">
        <v>5</v>
      </c>
      <c r="C5237" s="1">
        <f>(Tabela1[[#This Row],[x]]-H$3)*(Tabela1[[#This Row],[x]]-H$3) +(Tabela1[[#This Row],[y]]-H$4)*(Tabela1[[#This Row],[y]]-H$4)</f>
        <v>40729</v>
      </c>
      <c r="D5237" s="1">
        <f>IF(Tabela1[[#This Row],[promien]]&lt;40000,1,0)</f>
        <v>0</v>
      </c>
      <c r="E5237" s="1">
        <f>IF(Tabela1[[#This Row],[promien]]=40000,1,0)</f>
        <v>0</v>
      </c>
      <c r="F5237" s="1">
        <v>3.1682260836356693</v>
      </c>
      <c r="G5237" s="1">
        <v>2.663343004587615E-2</v>
      </c>
    </row>
    <row r="5238" spans="1:7">
      <c r="A5238">
        <v>13</v>
      </c>
      <c r="B5238">
        <v>105</v>
      </c>
      <c r="C5238" s="1">
        <f>(Tabela1[[#This Row],[x]]-H$3)*(Tabela1[[#This Row],[x]]-H$3) +(Tabela1[[#This Row],[y]]-H$4)*(Tabela1[[#This Row],[y]]-H$4)</f>
        <v>43994</v>
      </c>
      <c r="D5238" s="1">
        <f>IF(Tabela1[[#This Row],[promien]]&lt;40000,1,0)</f>
        <v>0</v>
      </c>
      <c r="E5238" s="1">
        <f>IF(Tabela1[[#This Row],[promien]]=40000,1,0)</f>
        <v>0</v>
      </c>
      <c r="F5238" s="1">
        <v>3.1676212294768997</v>
      </c>
      <c r="G5238" s="1">
        <v>2.6028575887106609E-2</v>
      </c>
    </row>
    <row r="5239" spans="1:7">
      <c r="A5239">
        <v>28</v>
      </c>
      <c r="B5239">
        <v>121</v>
      </c>
      <c r="C5239" s="1">
        <f>(Tabela1[[#This Row],[x]]-H$3)*(Tabela1[[#This Row],[x]]-H$3) +(Tabela1[[#This Row],[y]]-H$4)*(Tabela1[[#This Row],[y]]-H$4)</f>
        <v>35825</v>
      </c>
      <c r="D5239" s="1">
        <f>IF(Tabela1[[#This Row],[promien]]&lt;40000,1,0)</f>
        <v>1</v>
      </c>
      <c r="E5239" s="1">
        <f>IF(Tabela1[[#This Row],[promien]]=40000,1,0)</f>
        <v>0</v>
      </c>
      <c r="F5239" s="1">
        <v>3.1677801107081502</v>
      </c>
      <c r="G5239" s="1">
        <v>2.6187457118357127E-2</v>
      </c>
    </row>
    <row r="5240" spans="1:7">
      <c r="A5240">
        <v>95</v>
      </c>
      <c r="B5240">
        <v>310</v>
      </c>
      <c r="C5240" s="1">
        <f>(Tabela1[[#This Row],[x]]-H$3)*(Tabela1[[#This Row],[x]]-H$3) +(Tabela1[[#This Row],[y]]-H$4)*(Tabela1[[#This Row],[y]]-H$4)</f>
        <v>23125</v>
      </c>
      <c r="D5240" s="1">
        <f>IF(Tabela1[[#This Row],[promien]]&lt;40000,1,0)</f>
        <v>1</v>
      </c>
      <c r="E5240" s="1">
        <f>IF(Tabela1[[#This Row],[promien]]=40000,1,0)</f>
        <v>0</v>
      </c>
      <c r="F5240" s="1">
        <v>3.16793893129771</v>
      </c>
      <c r="G5240" s="1">
        <v>2.6346277707916865E-2</v>
      </c>
    </row>
    <row r="5241" spans="1:7">
      <c r="A5241">
        <v>16</v>
      </c>
      <c r="B5241">
        <v>177</v>
      </c>
      <c r="C5241" s="1">
        <f>(Tabela1[[#This Row],[x]]-H$3)*(Tabela1[[#This Row],[x]]-H$3) +(Tabela1[[#This Row],[y]]-H$4)*(Tabela1[[#This Row],[y]]-H$4)</f>
        <v>34385</v>
      </c>
      <c r="D5241" s="1">
        <f>IF(Tabela1[[#This Row],[promien]]&lt;40000,1,0)</f>
        <v>1</v>
      </c>
      <c r="E5241" s="1">
        <f>IF(Tabela1[[#This Row],[promien]]=40000,1,0)</f>
        <v>0</v>
      </c>
      <c r="F5241" s="1">
        <v>3.1680976912802898</v>
      </c>
      <c r="G5241" s="1">
        <v>2.6505037690496724E-2</v>
      </c>
    </row>
    <row r="5242" spans="1:7">
      <c r="A5242">
        <v>36</v>
      </c>
      <c r="B5242">
        <v>107</v>
      </c>
      <c r="C5242" s="1">
        <f>(Tabela1[[#This Row],[x]]-H$3)*(Tabela1[[#This Row],[x]]-H$3) +(Tabela1[[#This Row],[y]]-H$4)*(Tabela1[[#This Row],[y]]-H$4)</f>
        <v>35545</v>
      </c>
      <c r="D5242" s="1">
        <f>IF(Tabela1[[#This Row],[promien]]&lt;40000,1,0)</f>
        <v>1</v>
      </c>
      <c r="E5242" s="1">
        <f>IF(Tabela1[[#This Row],[promien]]=40000,1,0)</f>
        <v>0</v>
      </c>
      <c r="F5242" s="1">
        <v>3.1682563906905763</v>
      </c>
      <c r="G5242" s="1">
        <v>2.666373710078318E-2</v>
      </c>
    </row>
    <row r="5243" spans="1:7">
      <c r="A5243">
        <v>329</v>
      </c>
      <c r="B5243">
        <v>81</v>
      </c>
      <c r="C5243" s="1">
        <f>(Tabela1[[#This Row],[x]]-H$3)*(Tabela1[[#This Row],[x]]-H$3) +(Tabela1[[#This Row],[y]]-H$4)*(Tabela1[[#This Row],[y]]-H$4)</f>
        <v>30802</v>
      </c>
      <c r="D5243" s="1">
        <f>IF(Tabela1[[#This Row],[promien]]&lt;40000,1,0)</f>
        <v>1</v>
      </c>
      <c r="E5243" s="1">
        <f>IF(Tabela1[[#This Row],[promien]]=40000,1,0)</f>
        <v>0</v>
      </c>
      <c r="F5243" s="1">
        <v>3.168415029563227</v>
      </c>
      <c r="G5243" s="1">
        <v>2.6822375973433843E-2</v>
      </c>
    </row>
    <row r="5244" spans="1:7">
      <c r="A5244">
        <v>24</v>
      </c>
      <c r="B5244">
        <v>69</v>
      </c>
      <c r="C5244" s="1">
        <f>(Tabela1[[#This Row],[x]]-H$3)*(Tabela1[[#This Row],[x]]-H$3) +(Tabela1[[#This Row],[y]]-H$4)*(Tabela1[[#This Row],[y]]-H$4)</f>
        <v>48137</v>
      </c>
      <c r="D5244" s="1">
        <f>IF(Tabela1[[#This Row],[promien]]&lt;40000,1,0)</f>
        <v>0</v>
      </c>
      <c r="E5244" s="1">
        <f>IF(Tabela1[[#This Row],[promien]]=40000,1,0)</f>
        <v>0</v>
      </c>
      <c r="F5244" s="1">
        <v>3.167810831426392</v>
      </c>
      <c r="G5244" s="1">
        <v>2.6218177836598855E-2</v>
      </c>
    </row>
    <row r="5245" spans="1:7">
      <c r="A5245">
        <v>335</v>
      </c>
      <c r="B5245">
        <v>52</v>
      </c>
      <c r="C5245" s="1">
        <f>(Tabela1[[#This Row],[x]]-H$3)*(Tabela1[[#This Row],[x]]-H$3) +(Tabela1[[#This Row],[y]]-H$4)*(Tabela1[[#This Row],[y]]-H$4)</f>
        <v>40129</v>
      </c>
      <c r="D5245" s="1">
        <f>IF(Tabela1[[#This Row],[promien]]&lt;40000,1,0)</f>
        <v>0</v>
      </c>
      <c r="E5245" s="1">
        <f>IF(Tabela1[[#This Row],[promien]]=40000,1,0)</f>
        <v>0</v>
      </c>
      <c r="F5245" s="1">
        <v>3.1672068636796951</v>
      </c>
      <c r="G5245" s="1">
        <v>2.5614210089901945E-2</v>
      </c>
    </row>
    <row r="5246" spans="1:7">
      <c r="A5246">
        <v>264</v>
      </c>
      <c r="B5246">
        <v>311</v>
      </c>
      <c r="C5246" s="1">
        <f>(Tabela1[[#This Row],[x]]-H$3)*(Tabela1[[#This Row],[x]]-H$3) +(Tabela1[[#This Row],[y]]-H$4)*(Tabela1[[#This Row],[y]]-H$4)</f>
        <v>16417</v>
      </c>
      <c r="D5246" s="1">
        <f>IF(Tabela1[[#This Row],[promien]]&lt;40000,1,0)</f>
        <v>1</v>
      </c>
      <c r="E5246" s="1">
        <f>IF(Tabela1[[#This Row],[promien]]=40000,1,0)</f>
        <v>0</v>
      </c>
      <c r="F5246" s="1">
        <v>3.1673656118947768</v>
      </c>
      <c r="G5246" s="1">
        <v>2.5772958304983717E-2</v>
      </c>
    </row>
    <row r="5247" spans="1:7">
      <c r="A5247">
        <v>399</v>
      </c>
      <c r="B5247">
        <v>25</v>
      </c>
      <c r="C5247" s="1">
        <f>(Tabela1[[#This Row],[x]]-H$3)*(Tabela1[[#This Row],[x]]-H$3) +(Tabela1[[#This Row],[y]]-H$4)*(Tabela1[[#This Row],[y]]-H$4)</f>
        <v>70226</v>
      </c>
      <c r="D5247" s="1">
        <f>IF(Tabela1[[#This Row],[promien]]&lt;40000,1,0)</f>
        <v>0</v>
      </c>
      <c r="E5247" s="1">
        <f>IF(Tabela1[[#This Row],[promien]]=40000,1,0)</f>
        <v>0</v>
      </c>
      <c r="F5247" s="1">
        <v>3.1667619592147895</v>
      </c>
      <c r="G5247" s="1">
        <v>2.5169305624996419E-2</v>
      </c>
    </row>
    <row r="5248" spans="1:7">
      <c r="A5248">
        <v>8</v>
      </c>
      <c r="B5248">
        <v>18</v>
      </c>
      <c r="C5248" s="1">
        <f>(Tabela1[[#This Row],[x]]-H$3)*(Tabela1[[#This Row],[x]]-H$3) +(Tabela1[[#This Row],[y]]-H$4)*(Tabela1[[#This Row],[y]]-H$4)</f>
        <v>69988</v>
      </c>
      <c r="D5248" s="1">
        <f>IF(Tabela1[[#This Row],[promien]]&lt;40000,1,0)</f>
        <v>0</v>
      </c>
      <c r="E5248" s="1">
        <f>IF(Tabela1[[#This Row],[promien]]=40000,1,0)</f>
        <v>0</v>
      </c>
      <c r="F5248" s="1">
        <v>3.1661585365853657</v>
      </c>
      <c r="G5248" s="1">
        <v>2.4565882995572608E-2</v>
      </c>
    </row>
    <row r="5249" spans="1:7">
      <c r="A5249">
        <v>225</v>
      </c>
      <c r="B5249">
        <v>304</v>
      </c>
      <c r="C5249" s="1">
        <f>(Tabela1[[#This Row],[x]]-H$3)*(Tabela1[[#This Row],[x]]-H$3) +(Tabela1[[#This Row],[y]]-H$4)*(Tabela1[[#This Row],[y]]-H$4)</f>
        <v>11441</v>
      </c>
      <c r="D5249" s="1">
        <f>IF(Tabela1[[#This Row],[promien]]&lt;40000,1,0)</f>
        <v>1</v>
      </c>
      <c r="E5249" s="1">
        <f>IF(Tabela1[[#This Row],[promien]]=40000,1,0)</f>
        <v>0</v>
      </c>
      <c r="F5249" s="1">
        <v>3.166317393789293</v>
      </c>
      <c r="G5249" s="1">
        <v>2.4724740199499884E-2</v>
      </c>
    </row>
    <row r="5250" spans="1:7">
      <c r="A5250">
        <v>46</v>
      </c>
      <c r="B5250">
        <v>274</v>
      </c>
      <c r="C5250" s="1">
        <f>(Tabela1[[#This Row],[x]]-H$3)*(Tabela1[[#This Row],[x]]-H$3) +(Tabela1[[#This Row],[y]]-H$4)*(Tabela1[[#This Row],[y]]-H$4)</f>
        <v>29192</v>
      </c>
      <c r="D5250" s="1">
        <f>IF(Tabela1[[#This Row],[promien]]&lt;40000,1,0)</f>
        <v>1</v>
      </c>
      <c r="E5250" s="1">
        <f>IF(Tabela1[[#This Row],[promien]]=40000,1,0)</f>
        <v>0</v>
      </c>
      <c r="F5250" s="1">
        <v>3.1664761904761907</v>
      </c>
      <c r="G5250" s="1">
        <v>2.488353688639755E-2</v>
      </c>
    </row>
    <row r="5251" spans="1:7">
      <c r="A5251">
        <v>59</v>
      </c>
      <c r="B5251">
        <v>18</v>
      </c>
      <c r="C5251" s="1">
        <f>(Tabela1[[#This Row],[x]]-H$3)*(Tabela1[[#This Row],[x]]-H$3) +(Tabela1[[#This Row],[y]]-H$4)*(Tabela1[[#This Row],[y]]-H$4)</f>
        <v>53005</v>
      </c>
      <c r="D5251" s="1">
        <f>IF(Tabela1[[#This Row],[promien]]&lt;40000,1,0)</f>
        <v>0</v>
      </c>
      <c r="E5251" s="1">
        <f>IF(Tabela1[[#This Row],[promien]]=40000,1,0)</f>
        <v>0</v>
      </c>
      <c r="F5251" s="1">
        <v>3.1658731670158065</v>
      </c>
      <c r="G5251" s="1">
        <v>2.4280513426013339E-2</v>
      </c>
    </row>
    <row r="5252" spans="1:7">
      <c r="A5252">
        <v>77</v>
      </c>
      <c r="B5252">
        <v>347</v>
      </c>
      <c r="C5252" s="1">
        <f>(Tabela1[[#This Row],[x]]-H$3)*(Tabela1[[#This Row],[x]]-H$3) +(Tabela1[[#This Row],[y]]-H$4)*(Tabela1[[#This Row],[y]]-H$4)</f>
        <v>36738</v>
      </c>
      <c r="D5252" s="1">
        <f>IF(Tabela1[[#This Row],[promien]]&lt;40000,1,0)</f>
        <v>1</v>
      </c>
      <c r="E5252" s="1">
        <f>IF(Tabela1[[#This Row],[promien]]=40000,1,0)</f>
        <v>0</v>
      </c>
      <c r="F5252" s="1">
        <v>3.1660319878141658</v>
      </c>
      <c r="G5252" s="1">
        <v>2.4439334224372722E-2</v>
      </c>
    </row>
    <row r="5253" spans="1:7">
      <c r="A5253">
        <v>213</v>
      </c>
      <c r="B5253">
        <v>359</v>
      </c>
      <c r="C5253" s="1">
        <f>(Tabela1[[#This Row],[x]]-H$3)*(Tabela1[[#This Row],[x]]-H$3) +(Tabela1[[#This Row],[y]]-H$4)*(Tabela1[[#This Row],[y]]-H$4)</f>
        <v>25450</v>
      </c>
      <c r="D5253" s="1">
        <f>IF(Tabela1[[#This Row],[promien]]&lt;40000,1,0)</f>
        <v>1</v>
      </c>
      <c r="E5253" s="1">
        <f>IF(Tabela1[[#This Row],[promien]]=40000,1,0)</f>
        <v>0</v>
      </c>
      <c r="F5253" s="1">
        <v>3.1661907481439178</v>
      </c>
      <c r="G5253" s="1">
        <v>2.459809455412465E-2</v>
      </c>
    </row>
    <row r="5254" spans="1:7">
      <c r="A5254">
        <v>250</v>
      </c>
      <c r="B5254">
        <v>235</v>
      </c>
      <c r="C5254" s="1">
        <f>(Tabela1[[#This Row],[x]]-H$3)*(Tabela1[[#This Row],[x]]-H$3) +(Tabela1[[#This Row],[y]]-H$4)*(Tabela1[[#This Row],[y]]-H$4)</f>
        <v>3725</v>
      </c>
      <c r="D5254" s="1">
        <f>IF(Tabela1[[#This Row],[promien]]&lt;40000,1,0)</f>
        <v>1</v>
      </c>
      <c r="E5254" s="1">
        <f>IF(Tabela1[[#This Row],[promien]]=40000,1,0)</f>
        <v>0</v>
      </c>
      <c r="F5254" s="1">
        <v>3.1663494480395888</v>
      </c>
      <c r="G5254" s="1">
        <v>2.4756794449795727E-2</v>
      </c>
    </row>
    <row r="5255" spans="1:7">
      <c r="A5255">
        <v>314</v>
      </c>
      <c r="B5255">
        <v>76</v>
      </c>
      <c r="C5255" s="1">
        <f>(Tabela1[[#This Row],[x]]-H$3)*(Tabela1[[#This Row],[x]]-H$3) +(Tabela1[[#This Row],[y]]-H$4)*(Tabela1[[#This Row],[y]]-H$4)</f>
        <v>28372</v>
      </c>
      <c r="D5255" s="1">
        <f>IF(Tabela1[[#This Row],[promien]]&lt;40000,1,0)</f>
        <v>1</v>
      </c>
      <c r="E5255" s="1">
        <f>IF(Tabela1[[#This Row],[promien]]=40000,1,0)</f>
        <v>0</v>
      </c>
      <c r="F5255" s="1">
        <v>3.1665080875356804</v>
      </c>
      <c r="G5255" s="1">
        <v>2.4915433945887244E-2</v>
      </c>
    </row>
    <row r="5256" spans="1:7">
      <c r="A5256">
        <v>351</v>
      </c>
      <c r="B5256">
        <v>254</v>
      </c>
      <c r="C5256" s="1">
        <f>(Tabela1[[#This Row],[x]]-H$3)*(Tabela1[[#This Row],[x]]-H$3) +(Tabela1[[#This Row],[y]]-H$4)*(Tabela1[[#This Row],[y]]-H$4)</f>
        <v>25717</v>
      </c>
      <c r="D5256" s="1">
        <f>IF(Tabela1[[#This Row],[promien]]&lt;40000,1,0)</f>
        <v>1</v>
      </c>
      <c r="E5256" s="1">
        <f>IF(Tabela1[[#This Row],[promien]]=40000,1,0)</f>
        <v>0</v>
      </c>
      <c r="F5256" s="1">
        <v>3.1666666666666665</v>
      </c>
      <c r="G5256" s="1">
        <v>2.5074013076873403E-2</v>
      </c>
    </row>
    <row r="5257" spans="1:7">
      <c r="A5257">
        <v>286</v>
      </c>
      <c r="B5257">
        <v>367</v>
      </c>
      <c r="C5257" s="1">
        <f>(Tabela1[[#This Row],[x]]-H$3)*(Tabela1[[#This Row],[x]]-H$3) +(Tabela1[[#This Row],[y]]-H$4)*(Tabela1[[#This Row],[y]]-H$4)</f>
        <v>35285</v>
      </c>
      <c r="D5257" s="1">
        <f>IF(Tabela1[[#This Row],[promien]]&lt;40000,1,0)</f>
        <v>1</v>
      </c>
      <c r="E5257" s="1">
        <f>IF(Tabela1[[#This Row],[promien]]=40000,1,0)</f>
        <v>0</v>
      </c>
      <c r="F5257" s="1">
        <v>3.1668251854669962</v>
      </c>
      <c r="G5257" s="1">
        <v>2.523253187720309E-2</v>
      </c>
    </row>
    <row r="5258" spans="1:7">
      <c r="A5258">
        <v>291</v>
      </c>
      <c r="B5258">
        <v>130</v>
      </c>
      <c r="C5258" s="1">
        <f>(Tabela1[[#This Row],[x]]-H$3)*(Tabela1[[#This Row],[x]]-H$3) +(Tabela1[[#This Row],[y]]-H$4)*(Tabela1[[#This Row],[y]]-H$4)</f>
        <v>13181</v>
      </c>
      <c r="D5258" s="1">
        <f>IF(Tabela1[[#This Row],[promien]]&lt;40000,1,0)</f>
        <v>1</v>
      </c>
      <c r="E5258" s="1">
        <f>IF(Tabela1[[#This Row],[promien]]=40000,1,0)</f>
        <v>0</v>
      </c>
      <c r="F5258" s="1">
        <v>3.1669836439710917</v>
      </c>
      <c r="G5258" s="1">
        <v>2.539099038129855E-2</v>
      </c>
    </row>
    <row r="5259" spans="1:7">
      <c r="A5259">
        <v>313</v>
      </c>
      <c r="B5259">
        <v>199</v>
      </c>
      <c r="C5259" s="1">
        <f>(Tabela1[[#This Row],[x]]-H$3)*(Tabela1[[#This Row],[x]]-H$3) +(Tabela1[[#This Row],[y]]-H$4)*(Tabela1[[#This Row],[y]]-H$4)</f>
        <v>12770</v>
      </c>
      <c r="D5259" s="1">
        <f>IF(Tabela1[[#This Row],[promien]]&lt;40000,1,0)</f>
        <v>1</v>
      </c>
      <c r="E5259" s="1">
        <f>IF(Tabela1[[#This Row],[promien]]=40000,1,0)</f>
        <v>0</v>
      </c>
      <c r="F5259" s="1">
        <v>3.1671420422133485</v>
      </c>
      <c r="G5259" s="1">
        <v>2.554938862355538E-2</v>
      </c>
    </row>
    <row r="5260" spans="1:7">
      <c r="A5260">
        <v>112</v>
      </c>
      <c r="B5260">
        <v>75</v>
      </c>
      <c r="C5260" s="1">
        <f>(Tabela1[[#This Row],[x]]-H$3)*(Tabela1[[#This Row],[x]]-H$3) +(Tabela1[[#This Row],[y]]-H$4)*(Tabela1[[#This Row],[y]]-H$4)</f>
        <v>23369</v>
      </c>
      <c r="D5260" s="1">
        <f>IF(Tabela1[[#This Row],[promien]]&lt;40000,1,0)</f>
        <v>1</v>
      </c>
      <c r="E5260" s="1">
        <f>IF(Tabela1[[#This Row],[promien]]=40000,1,0)</f>
        <v>0</v>
      </c>
      <c r="F5260" s="1">
        <v>3.167300380228137</v>
      </c>
      <c r="G5260" s="1">
        <v>2.5707726638343864E-2</v>
      </c>
    </row>
    <row r="5261" spans="1:7">
      <c r="A5261">
        <v>168</v>
      </c>
      <c r="B5261">
        <v>39</v>
      </c>
      <c r="C5261" s="1">
        <f>(Tabela1[[#This Row],[x]]-H$3)*(Tabela1[[#This Row],[x]]-H$3) +(Tabela1[[#This Row],[y]]-H$4)*(Tabela1[[#This Row],[y]]-H$4)</f>
        <v>26945</v>
      </c>
      <c r="D5261" s="1">
        <f>IF(Tabela1[[#This Row],[promien]]&lt;40000,1,0)</f>
        <v>1</v>
      </c>
      <c r="E5261" s="1">
        <f>IF(Tabela1[[#This Row],[promien]]=40000,1,0)</f>
        <v>0</v>
      </c>
      <c r="F5261" s="1">
        <v>3.1674586580498003</v>
      </c>
      <c r="G5261" s="1">
        <v>2.5866004460007197E-2</v>
      </c>
    </row>
    <row r="5262" spans="1:7">
      <c r="A5262">
        <v>246</v>
      </c>
      <c r="B5262">
        <v>350</v>
      </c>
      <c r="C5262" s="1">
        <f>(Tabela1[[#This Row],[x]]-H$3)*(Tabela1[[#This Row],[x]]-H$3) +(Tabela1[[#This Row],[y]]-H$4)*(Tabela1[[#This Row],[y]]-H$4)</f>
        <v>24616</v>
      </c>
      <c r="D5262" s="1">
        <f>IF(Tabela1[[#This Row],[promien]]&lt;40000,1,0)</f>
        <v>1</v>
      </c>
      <c r="E5262" s="1">
        <f>IF(Tabela1[[#This Row],[promien]]=40000,1,0)</f>
        <v>0</v>
      </c>
      <c r="F5262" s="1">
        <v>3.1676168757126568</v>
      </c>
      <c r="G5262" s="1">
        <v>2.6024222122863705E-2</v>
      </c>
    </row>
    <row r="5263" spans="1:7">
      <c r="A5263">
        <v>13</v>
      </c>
      <c r="B5263">
        <v>205</v>
      </c>
      <c r="C5263" s="1">
        <f>(Tabela1[[#This Row],[x]]-H$3)*(Tabela1[[#This Row],[x]]-H$3) +(Tabela1[[#This Row],[y]]-H$4)*(Tabela1[[#This Row],[y]]-H$4)</f>
        <v>34994</v>
      </c>
      <c r="D5263" s="1">
        <f>IF(Tabela1[[#This Row],[promien]]&lt;40000,1,0)</f>
        <v>1</v>
      </c>
      <c r="E5263" s="1">
        <f>IF(Tabela1[[#This Row],[promien]]=40000,1,0)</f>
        <v>0</v>
      </c>
      <c r="F5263" s="1">
        <v>3.1677750332509977</v>
      </c>
      <c r="G5263" s="1">
        <v>2.6182379661204624E-2</v>
      </c>
    </row>
    <row r="5264" spans="1:7">
      <c r="A5264">
        <v>334</v>
      </c>
      <c r="B5264">
        <v>138</v>
      </c>
      <c r="C5264" s="1">
        <f>(Tabela1[[#This Row],[x]]-H$3)*(Tabela1[[#This Row],[x]]-H$3) +(Tabela1[[#This Row],[y]]-H$4)*(Tabela1[[#This Row],[y]]-H$4)</f>
        <v>21800</v>
      </c>
      <c r="D5264" s="1">
        <f>IF(Tabela1[[#This Row],[promien]]&lt;40000,1,0)</f>
        <v>1</v>
      </c>
      <c r="E5264" s="1">
        <f>IF(Tabela1[[#This Row],[promien]]=40000,1,0)</f>
        <v>0</v>
      </c>
      <c r="F5264" s="1">
        <v>3.1679331306990881</v>
      </c>
      <c r="G5264" s="1">
        <v>2.6340477109294991E-2</v>
      </c>
    </row>
    <row r="5265" spans="1:7">
      <c r="A5265">
        <v>33</v>
      </c>
      <c r="B5265">
        <v>379</v>
      </c>
      <c r="C5265" s="1">
        <f>(Tabela1[[#This Row],[x]]-H$3)*(Tabela1[[#This Row],[x]]-H$3) +(Tabela1[[#This Row],[y]]-H$4)*(Tabela1[[#This Row],[y]]-H$4)</f>
        <v>59930</v>
      </c>
      <c r="D5265" s="1">
        <f>IF(Tabela1[[#This Row],[promien]]&lt;40000,1,0)</f>
        <v>0</v>
      </c>
      <c r="E5265" s="1">
        <f>IF(Tabela1[[#This Row],[promien]]=40000,1,0)</f>
        <v>0</v>
      </c>
      <c r="F5265" s="1">
        <v>3.1673314339981005</v>
      </c>
      <c r="G5265" s="1">
        <v>2.5738780408307349E-2</v>
      </c>
    </row>
    <row r="5266" spans="1:7">
      <c r="A5266">
        <v>70</v>
      </c>
      <c r="B5266">
        <v>244</v>
      </c>
      <c r="C5266" s="1">
        <f>(Tabela1[[#This Row],[x]]-H$3)*(Tabela1[[#This Row],[x]]-H$3) +(Tabela1[[#This Row],[y]]-H$4)*(Tabela1[[#This Row],[y]]-H$4)</f>
        <v>18836</v>
      </c>
      <c r="D5266" s="1">
        <f>IF(Tabela1[[#This Row],[promien]]&lt;40000,1,0)</f>
        <v>1</v>
      </c>
      <c r="E5266" s="1">
        <f>IF(Tabela1[[#This Row],[promien]]=40000,1,0)</f>
        <v>0</v>
      </c>
      <c r="F5266" s="1">
        <v>3.1674895556399543</v>
      </c>
      <c r="G5266" s="1">
        <v>2.5896902050161152E-2</v>
      </c>
    </row>
    <row r="5267" spans="1:7">
      <c r="A5267">
        <v>126</v>
      </c>
      <c r="B5267">
        <v>328</v>
      </c>
      <c r="C5267" s="1">
        <f>(Tabela1[[#This Row],[x]]-H$3)*(Tabela1[[#This Row],[x]]-H$3) +(Tabela1[[#This Row],[y]]-H$4)*(Tabela1[[#This Row],[y]]-H$4)</f>
        <v>21860</v>
      </c>
      <c r="D5267" s="1">
        <f>IF(Tabela1[[#This Row],[promien]]&lt;40000,1,0)</f>
        <v>1</v>
      </c>
      <c r="E5267" s="1">
        <f>IF(Tabela1[[#This Row],[promien]]=40000,1,0)</f>
        <v>0</v>
      </c>
      <c r="F5267" s="1">
        <v>3.1676476172394152</v>
      </c>
      <c r="G5267" s="1">
        <v>2.605496364962212E-2</v>
      </c>
    </row>
    <row r="5268" spans="1:7">
      <c r="A5268">
        <v>278</v>
      </c>
      <c r="B5268">
        <v>115</v>
      </c>
      <c r="C5268" s="1">
        <f>(Tabela1[[#This Row],[x]]-H$3)*(Tabela1[[#This Row],[x]]-H$3) +(Tabela1[[#This Row],[y]]-H$4)*(Tabela1[[#This Row],[y]]-H$4)</f>
        <v>13309</v>
      </c>
      <c r="D5268" s="1">
        <f>IF(Tabela1[[#This Row],[promien]]&lt;40000,1,0)</f>
        <v>1</v>
      </c>
      <c r="E5268" s="1">
        <f>IF(Tabela1[[#This Row],[promien]]=40000,1,0)</f>
        <v>0</v>
      </c>
      <c r="F5268" s="1">
        <v>3.1678056188306756</v>
      </c>
      <c r="G5268" s="1">
        <v>2.6212965240882458E-2</v>
      </c>
    </row>
    <row r="5269" spans="1:7">
      <c r="A5269">
        <v>93</v>
      </c>
      <c r="B5269">
        <v>193</v>
      </c>
      <c r="C5269" s="1">
        <f>(Tabela1[[#This Row],[x]]-H$3)*(Tabela1[[#This Row],[x]]-H$3) +(Tabela1[[#This Row],[y]]-H$4)*(Tabela1[[#This Row],[y]]-H$4)</f>
        <v>11498</v>
      </c>
      <c r="D5269" s="1">
        <f>IF(Tabela1[[#This Row],[promien]]&lt;40000,1,0)</f>
        <v>1</v>
      </c>
      <c r="E5269" s="1">
        <f>IF(Tabela1[[#This Row],[promien]]=40000,1,0)</f>
        <v>0</v>
      </c>
      <c r="F5269" s="1">
        <v>3.1679635604479026</v>
      </c>
      <c r="G5269" s="1">
        <v>2.63709068581095E-2</v>
      </c>
    </row>
    <row r="5270" spans="1:7">
      <c r="A5270">
        <v>396</v>
      </c>
      <c r="B5270">
        <v>172</v>
      </c>
      <c r="C5270" s="1">
        <f>(Tabela1[[#This Row],[x]]-H$3)*(Tabela1[[#This Row],[x]]-H$3) +(Tabela1[[#This Row],[y]]-H$4)*(Tabela1[[#This Row],[y]]-H$4)</f>
        <v>39200</v>
      </c>
      <c r="D5270" s="1">
        <f>IF(Tabela1[[#This Row],[promien]]&lt;40000,1,0)</f>
        <v>1</v>
      </c>
      <c r="E5270" s="1">
        <f>IF(Tabela1[[#This Row],[promien]]=40000,1,0)</f>
        <v>0</v>
      </c>
      <c r="F5270" s="1">
        <v>3.1681214421252371</v>
      </c>
      <c r="G5270" s="1">
        <v>2.6528788535443937E-2</v>
      </c>
    </row>
    <row r="5271" spans="1:7">
      <c r="A5271">
        <v>337</v>
      </c>
      <c r="B5271">
        <v>280</v>
      </c>
      <c r="C5271" s="1">
        <f>(Tabela1[[#This Row],[x]]-H$3)*(Tabela1[[#This Row],[x]]-H$3) +(Tabela1[[#This Row],[y]]-H$4)*(Tabela1[[#This Row],[y]]-H$4)</f>
        <v>25169</v>
      </c>
      <c r="D5271" s="1">
        <f>IF(Tabela1[[#This Row],[promien]]&lt;40000,1,0)</f>
        <v>1</v>
      </c>
      <c r="E5271" s="1">
        <f>IF(Tabela1[[#This Row],[promien]]=40000,1,0)</f>
        <v>0</v>
      </c>
      <c r="F5271" s="1">
        <v>3.1682792638967938</v>
      </c>
      <c r="G5271" s="1">
        <v>2.6686610307000702E-2</v>
      </c>
    </row>
    <row r="5272" spans="1:7">
      <c r="A5272">
        <v>100</v>
      </c>
      <c r="B5272">
        <v>264</v>
      </c>
      <c r="C5272" s="1">
        <f>(Tabela1[[#This Row],[x]]-H$3)*(Tabela1[[#This Row],[x]]-H$3) +(Tabela1[[#This Row],[y]]-H$4)*(Tabela1[[#This Row],[y]]-H$4)</f>
        <v>14096</v>
      </c>
      <c r="D5272" s="1">
        <f>IF(Tabela1[[#This Row],[promien]]&lt;40000,1,0)</f>
        <v>1</v>
      </c>
      <c r="E5272" s="1">
        <f>IF(Tabela1[[#This Row],[promien]]=40000,1,0)</f>
        <v>0</v>
      </c>
      <c r="F5272" s="1">
        <v>3.1684370257966616</v>
      </c>
      <c r="G5272" s="1">
        <v>2.6844372206868528E-2</v>
      </c>
    </row>
    <row r="5273" spans="1:7">
      <c r="A5273">
        <v>247</v>
      </c>
      <c r="B5273">
        <v>345</v>
      </c>
      <c r="C5273" s="1">
        <f>(Tabela1[[#This Row],[x]]-H$3)*(Tabela1[[#This Row],[x]]-H$3) +(Tabela1[[#This Row],[y]]-H$4)*(Tabela1[[#This Row],[y]]-H$4)</f>
        <v>23234</v>
      </c>
      <c r="D5273" s="1">
        <f>IF(Tabela1[[#This Row],[promien]]&lt;40000,1,0)</f>
        <v>1</v>
      </c>
      <c r="E5273" s="1">
        <f>IF(Tabela1[[#This Row],[promien]]=40000,1,0)</f>
        <v>0</v>
      </c>
      <c r="F5273" s="1">
        <v>3.1685947278589039</v>
      </c>
      <c r="G5273" s="1">
        <v>2.7002074269110832E-2</v>
      </c>
    </row>
    <row r="5274" spans="1:7">
      <c r="A5274">
        <v>342</v>
      </c>
      <c r="B5274">
        <v>182</v>
      </c>
      <c r="C5274" s="1">
        <f>(Tabela1[[#This Row],[x]]-H$3)*(Tabela1[[#This Row],[x]]-H$3) +(Tabela1[[#This Row],[y]]-H$4)*(Tabela1[[#This Row],[y]]-H$4)</f>
        <v>20488</v>
      </c>
      <c r="D5274" s="1">
        <f>IF(Tabela1[[#This Row],[promien]]&lt;40000,1,0)</f>
        <v>1</v>
      </c>
      <c r="E5274" s="1">
        <f>IF(Tabela1[[#This Row],[promien]]=40000,1,0)</f>
        <v>0</v>
      </c>
      <c r="F5274" s="1">
        <v>3.1687523701175579</v>
      </c>
      <c r="G5274" s="1">
        <v>2.7159716527764832E-2</v>
      </c>
    </row>
    <row r="5275" spans="1:7">
      <c r="A5275">
        <v>174</v>
      </c>
      <c r="B5275">
        <v>207</v>
      </c>
      <c r="C5275" s="1">
        <f>(Tabela1[[#This Row],[x]]-H$3)*(Tabela1[[#This Row],[x]]-H$3) +(Tabela1[[#This Row],[y]]-H$4)*(Tabela1[[#This Row],[y]]-H$4)</f>
        <v>725</v>
      </c>
      <c r="D5275" s="1">
        <f>IF(Tabela1[[#This Row],[promien]]&lt;40000,1,0)</f>
        <v>1</v>
      </c>
      <c r="E5275" s="1">
        <f>IF(Tabela1[[#This Row],[promien]]=40000,1,0)</f>
        <v>0</v>
      </c>
      <c r="F5275" s="1">
        <v>3.1689099526066351</v>
      </c>
      <c r="G5275" s="1">
        <v>2.7317299016841989E-2</v>
      </c>
    </row>
    <row r="5276" spans="1:7">
      <c r="A5276">
        <v>200</v>
      </c>
      <c r="B5276">
        <v>217</v>
      </c>
      <c r="C5276" s="1">
        <f>(Tabela1[[#This Row],[x]]-H$3)*(Tabela1[[#This Row],[x]]-H$3) +(Tabela1[[#This Row],[y]]-H$4)*(Tabela1[[#This Row],[y]]-H$4)</f>
        <v>289</v>
      </c>
      <c r="D5276" s="1">
        <f>IF(Tabela1[[#This Row],[promien]]&lt;40000,1,0)</f>
        <v>1</v>
      </c>
      <c r="E5276" s="1">
        <f>IF(Tabela1[[#This Row],[promien]]=40000,1,0)</f>
        <v>0</v>
      </c>
      <c r="F5276" s="1">
        <v>3.1690674753601211</v>
      </c>
      <c r="G5276" s="1">
        <v>2.7474821770328006E-2</v>
      </c>
    </row>
    <row r="5277" spans="1:7">
      <c r="A5277">
        <v>179</v>
      </c>
      <c r="B5277">
        <v>58</v>
      </c>
      <c r="C5277" s="1">
        <f>(Tabela1[[#This Row],[x]]-H$3)*(Tabela1[[#This Row],[x]]-H$3) +(Tabela1[[#This Row],[y]]-H$4)*(Tabela1[[#This Row],[y]]-H$4)</f>
        <v>20605</v>
      </c>
      <c r="D5277" s="1">
        <f>IF(Tabela1[[#This Row],[promien]]&lt;40000,1,0)</f>
        <v>1</v>
      </c>
      <c r="E5277" s="1">
        <f>IF(Tabela1[[#This Row],[promien]]=40000,1,0)</f>
        <v>0</v>
      </c>
      <c r="F5277" s="1">
        <v>3.1692249384119764</v>
      </c>
      <c r="G5277" s="1">
        <v>2.7632284822183273E-2</v>
      </c>
    </row>
    <row r="5278" spans="1:7">
      <c r="A5278">
        <v>157</v>
      </c>
      <c r="B5278">
        <v>314</v>
      </c>
      <c r="C5278" s="1">
        <f>(Tabela1[[#This Row],[x]]-H$3)*(Tabela1[[#This Row],[x]]-H$3) +(Tabela1[[#This Row],[y]]-H$4)*(Tabela1[[#This Row],[y]]-H$4)</f>
        <v>14845</v>
      </c>
      <c r="D5278" s="1">
        <f>IF(Tabela1[[#This Row],[promien]]&lt;40000,1,0)</f>
        <v>1</v>
      </c>
      <c r="E5278" s="1">
        <f>IF(Tabela1[[#This Row],[promien]]=40000,1,0)</f>
        <v>0</v>
      </c>
      <c r="F5278" s="1">
        <v>3.1693823417961351</v>
      </c>
      <c r="G5278" s="1">
        <v>2.7789688206341978E-2</v>
      </c>
    </row>
    <row r="5279" spans="1:7">
      <c r="A5279">
        <v>97</v>
      </c>
      <c r="B5279">
        <v>96</v>
      </c>
      <c r="C5279" s="1">
        <f>(Tabela1[[#This Row],[x]]-H$3)*(Tabela1[[#This Row],[x]]-H$3) +(Tabela1[[#This Row],[y]]-H$4)*(Tabela1[[#This Row],[y]]-H$4)</f>
        <v>21425</v>
      </c>
      <c r="D5279" s="1">
        <f>IF(Tabela1[[#This Row],[promien]]&lt;40000,1,0)</f>
        <v>1</v>
      </c>
      <c r="E5279" s="1">
        <f>IF(Tabela1[[#This Row],[promien]]=40000,1,0)</f>
        <v>0</v>
      </c>
      <c r="F5279" s="1">
        <v>3.1695396855465052</v>
      </c>
      <c r="G5279" s="1">
        <v>2.7947031956712109E-2</v>
      </c>
    </row>
    <row r="5280" spans="1:7">
      <c r="A5280">
        <v>164</v>
      </c>
      <c r="B5280">
        <v>360</v>
      </c>
      <c r="C5280" s="1">
        <f>(Tabela1[[#This Row],[x]]-H$3)*(Tabela1[[#This Row],[x]]-H$3) +(Tabela1[[#This Row],[y]]-H$4)*(Tabela1[[#This Row],[y]]-H$4)</f>
        <v>26896</v>
      </c>
      <c r="D5280" s="1">
        <f>IF(Tabela1[[#This Row],[promien]]&lt;40000,1,0)</f>
        <v>1</v>
      </c>
      <c r="E5280" s="1">
        <f>IF(Tabela1[[#This Row],[promien]]=40000,1,0)</f>
        <v>0</v>
      </c>
      <c r="F5280" s="1">
        <v>3.1696969696969699</v>
      </c>
      <c r="G5280" s="1">
        <v>2.8104316107176786E-2</v>
      </c>
    </row>
    <row r="5281" spans="1:7">
      <c r="A5281">
        <v>118</v>
      </c>
      <c r="B5281">
        <v>51</v>
      </c>
      <c r="C5281" s="1">
        <f>(Tabela1[[#This Row],[x]]-H$3)*(Tabela1[[#This Row],[x]]-H$3) +(Tabela1[[#This Row],[y]]-H$4)*(Tabela1[[#This Row],[y]]-H$4)</f>
        <v>28925</v>
      </c>
      <c r="D5281" s="1">
        <f>IF(Tabela1[[#This Row],[promien]]&lt;40000,1,0)</f>
        <v>1</v>
      </c>
      <c r="E5281" s="1">
        <f>IF(Tabela1[[#This Row],[promien]]=40000,1,0)</f>
        <v>0</v>
      </c>
      <c r="F5281" s="1">
        <v>3.169854194281386</v>
      </c>
      <c r="G5281" s="1">
        <v>2.8261540691592923E-2</v>
      </c>
    </row>
    <row r="5282" spans="1:7">
      <c r="A5282">
        <v>379</v>
      </c>
      <c r="B5282">
        <v>24</v>
      </c>
      <c r="C5282" s="1">
        <f>(Tabela1[[#This Row],[x]]-H$3)*(Tabela1[[#This Row],[x]]-H$3) +(Tabela1[[#This Row],[y]]-H$4)*(Tabela1[[#This Row],[y]]-H$4)</f>
        <v>63017</v>
      </c>
      <c r="D5282" s="1">
        <f>IF(Tabela1[[#This Row],[promien]]&lt;40000,1,0)</f>
        <v>0</v>
      </c>
      <c r="E5282" s="1">
        <f>IF(Tabela1[[#This Row],[promien]]=40000,1,0)</f>
        <v>0</v>
      </c>
      <c r="F5282" s="1">
        <v>3.1692540704278684</v>
      </c>
      <c r="G5282" s="1">
        <v>2.7661416838075326E-2</v>
      </c>
    </row>
    <row r="5283" spans="1:7">
      <c r="A5283">
        <v>106</v>
      </c>
      <c r="B5283">
        <v>222</v>
      </c>
      <c r="C5283" s="1">
        <f>(Tabela1[[#This Row],[x]]-H$3)*(Tabela1[[#This Row],[x]]-H$3) +(Tabela1[[#This Row],[y]]-H$4)*(Tabela1[[#This Row],[y]]-H$4)</f>
        <v>9320</v>
      </c>
      <c r="D5283" s="1">
        <f>IF(Tabela1[[#This Row],[promien]]&lt;40000,1,0)</f>
        <v>1</v>
      </c>
      <c r="E5283" s="1">
        <f>IF(Tabela1[[#This Row],[promien]]=40000,1,0)</f>
        <v>0</v>
      </c>
      <c r="F5283" s="1">
        <v>3.1694113193261404</v>
      </c>
      <c r="G5283" s="1">
        <v>2.7818665736347281E-2</v>
      </c>
    </row>
    <row r="5284" spans="1:7">
      <c r="A5284">
        <v>78</v>
      </c>
      <c r="B5284">
        <v>128</v>
      </c>
      <c r="C5284" s="1">
        <f>(Tabela1[[#This Row],[x]]-H$3)*(Tabela1[[#This Row],[x]]-H$3) +(Tabela1[[#This Row],[y]]-H$4)*(Tabela1[[#This Row],[y]]-H$4)</f>
        <v>20068</v>
      </c>
      <c r="D5284" s="1">
        <f>IF(Tabela1[[#This Row],[promien]]&lt;40000,1,0)</f>
        <v>1</v>
      </c>
      <c r="E5284" s="1">
        <f>IF(Tabela1[[#This Row],[promien]]=40000,1,0)</f>
        <v>0</v>
      </c>
      <c r="F5284" s="1">
        <v>3.1695685087055261</v>
      </c>
      <c r="G5284" s="1">
        <v>2.7975855115732973E-2</v>
      </c>
    </row>
    <row r="5285" spans="1:7">
      <c r="A5285">
        <v>166</v>
      </c>
      <c r="B5285">
        <v>374</v>
      </c>
      <c r="C5285" s="1">
        <f>(Tabela1[[#This Row],[x]]-H$3)*(Tabela1[[#This Row],[x]]-H$3) +(Tabela1[[#This Row],[y]]-H$4)*(Tabela1[[#This Row],[y]]-H$4)</f>
        <v>31432</v>
      </c>
      <c r="D5285" s="1">
        <f>IF(Tabela1[[#This Row],[promien]]&lt;40000,1,0)</f>
        <v>1</v>
      </c>
      <c r="E5285" s="1">
        <f>IF(Tabela1[[#This Row],[promien]]=40000,1,0)</f>
        <v>0</v>
      </c>
      <c r="F5285" s="1">
        <v>3.1697256385998109</v>
      </c>
      <c r="G5285" s="1">
        <v>2.8132985010017819E-2</v>
      </c>
    </row>
    <row r="5286" spans="1:7">
      <c r="A5286">
        <v>152</v>
      </c>
      <c r="B5286">
        <v>351</v>
      </c>
      <c r="C5286" s="1">
        <f>(Tabela1[[#This Row],[x]]-H$3)*(Tabela1[[#This Row],[x]]-H$3) +(Tabela1[[#This Row],[y]]-H$4)*(Tabela1[[#This Row],[y]]-H$4)</f>
        <v>25105</v>
      </c>
      <c r="D5286" s="1">
        <f>IF(Tabela1[[#This Row],[promien]]&lt;40000,1,0)</f>
        <v>1</v>
      </c>
      <c r="E5286" s="1">
        <f>IF(Tabela1[[#This Row],[promien]]=40000,1,0)</f>
        <v>0</v>
      </c>
      <c r="F5286" s="1">
        <v>3.1698827090427546</v>
      </c>
      <c r="G5286" s="1">
        <v>2.8290055452961482E-2</v>
      </c>
    </row>
    <row r="5287" spans="1:7">
      <c r="A5287">
        <v>288</v>
      </c>
      <c r="B5287">
        <v>8</v>
      </c>
      <c r="C5287" s="1">
        <f>(Tabela1[[#This Row],[x]]-H$3)*(Tabela1[[#This Row],[x]]-H$3) +(Tabela1[[#This Row],[y]]-H$4)*(Tabela1[[#This Row],[y]]-H$4)</f>
        <v>44608</v>
      </c>
      <c r="D5287" s="1">
        <f>IF(Tabela1[[#This Row],[promien]]&lt;40000,1,0)</f>
        <v>0</v>
      </c>
      <c r="E5287" s="1">
        <f>IF(Tabela1[[#This Row],[promien]]=40000,1,0)</f>
        <v>0</v>
      </c>
      <c r="F5287" s="1">
        <v>3.1692831473425382</v>
      </c>
      <c r="G5287" s="1">
        <v>2.7690493752745127E-2</v>
      </c>
    </row>
    <row r="5288" spans="1:7">
      <c r="A5288">
        <v>221</v>
      </c>
      <c r="B5288">
        <v>118</v>
      </c>
      <c r="C5288" s="1">
        <f>(Tabela1[[#This Row],[x]]-H$3)*(Tabela1[[#This Row],[x]]-H$3) +(Tabela1[[#This Row],[y]]-H$4)*(Tabela1[[#This Row],[y]]-H$4)</f>
        <v>7165</v>
      </c>
      <c r="D5288" s="1">
        <f>IF(Tabela1[[#This Row],[promien]]&lt;40000,1,0)</f>
        <v>1</v>
      </c>
      <c r="E5288" s="1">
        <f>IF(Tabela1[[#This Row],[promien]]=40000,1,0)</f>
        <v>0</v>
      </c>
      <c r="F5288" s="1">
        <v>3.1694402420574885</v>
      </c>
      <c r="G5288" s="1">
        <v>2.7847588467695417E-2</v>
      </c>
    </row>
    <row r="5289" spans="1:7">
      <c r="A5289">
        <v>242</v>
      </c>
      <c r="B5289">
        <v>131</v>
      </c>
      <c r="C5289" s="1">
        <f>(Tabela1[[#This Row],[x]]-H$3)*(Tabela1[[#This Row],[x]]-H$3) +(Tabela1[[#This Row],[y]]-H$4)*(Tabela1[[#This Row],[y]]-H$4)</f>
        <v>6525</v>
      </c>
      <c r="D5289" s="1">
        <f>IF(Tabela1[[#This Row],[promien]]&lt;40000,1,0)</f>
        <v>1</v>
      </c>
      <c r="E5289" s="1">
        <f>IF(Tabela1[[#This Row],[promien]]=40000,1,0)</f>
        <v>0</v>
      </c>
      <c r="F5289" s="1">
        <v>3.1695972773681227</v>
      </c>
      <c r="G5289" s="1">
        <v>2.8004623778329574E-2</v>
      </c>
    </row>
    <row r="5290" spans="1:7">
      <c r="A5290">
        <v>162</v>
      </c>
      <c r="B5290">
        <v>165</v>
      </c>
      <c r="C5290" s="1">
        <f>(Tabela1[[#This Row],[x]]-H$3)*(Tabela1[[#This Row],[x]]-H$3) +(Tabela1[[#This Row],[y]]-H$4)*(Tabela1[[#This Row],[y]]-H$4)</f>
        <v>2669</v>
      </c>
      <c r="D5290" s="1">
        <f>IF(Tabela1[[#This Row],[promien]]&lt;40000,1,0)</f>
        <v>1</v>
      </c>
      <c r="E5290" s="1">
        <f>IF(Tabela1[[#This Row],[promien]]=40000,1,0)</f>
        <v>0</v>
      </c>
      <c r="F5290" s="1">
        <v>3.1697542533081284</v>
      </c>
      <c r="G5290" s="1">
        <v>2.8161599718335317E-2</v>
      </c>
    </row>
    <row r="5291" spans="1:7">
      <c r="A5291">
        <v>351</v>
      </c>
      <c r="B5291">
        <v>349</v>
      </c>
      <c r="C5291" s="1">
        <f>(Tabela1[[#This Row],[x]]-H$3)*(Tabela1[[#This Row],[x]]-H$3) +(Tabela1[[#This Row],[y]]-H$4)*(Tabela1[[#This Row],[y]]-H$4)</f>
        <v>45002</v>
      </c>
      <c r="D5291" s="1">
        <f>IF(Tabela1[[#This Row],[promien]]&lt;40000,1,0)</f>
        <v>0</v>
      </c>
      <c r="E5291" s="1">
        <f>IF(Tabela1[[#This Row],[promien]]=40000,1,0)</f>
        <v>0</v>
      </c>
      <c r="F5291" s="1">
        <v>3.1691551691551694</v>
      </c>
      <c r="G5291" s="1">
        <v>2.7562515565376255E-2</v>
      </c>
    </row>
    <row r="5292" spans="1:7">
      <c r="A5292">
        <v>188</v>
      </c>
      <c r="B5292">
        <v>194</v>
      </c>
      <c r="C5292" s="1">
        <f>(Tabela1[[#This Row],[x]]-H$3)*(Tabela1[[#This Row],[x]]-H$3) +(Tabela1[[#This Row],[y]]-H$4)*(Tabela1[[#This Row],[y]]-H$4)</f>
        <v>180</v>
      </c>
      <c r="D5292" s="1">
        <f>IF(Tabela1[[#This Row],[promien]]&lt;40000,1,0)</f>
        <v>1</v>
      </c>
      <c r="E5292" s="1">
        <f>IF(Tabela1[[#This Row],[promien]]=40000,1,0)</f>
        <v>0</v>
      </c>
      <c r="F5292" s="1">
        <v>3.1693121693121693</v>
      </c>
      <c r="G5292" s="1">
        <v>2.7719515722376187E-2</v>
      </c>
    </row>
    <row r="5293" spans="1:7">
      <c r="A5293">
        <v>111</v>
      </c>
      <c r="B5293">
        <v>85</v>
      </c>
      <c r="C5293" s="1">
        <f>(Tabela1[[#This Row],[x]]-H$3)*(Tabela1[[#This Row],[x]]-H$3) +(Tabela1[[#This Row],[y]]-H$4)*(Tabela1[[#This Row],[y]]-H$4)</f>
        <v>21146</v>
      </c>
      <c r="D5293" s="1">
        <f>IF(Tabela1[[#This Row],[promien]]&lt;40000,1,0)</f>
        <v>1</v>
      </c>
      <c r="E5293" s="1">
        <f>IF(Tabela1[[#This Row],[promien]]=40000,1,0)</f>
        <v>0</v>
      </c>
      <c r="F5293" s="1">
        <v>3.1694691101454753</v>
      </c>
      <c r="G5293" s="1">
        <v>2.7876456555682161E-2</v>
      </c>
    </row>
    <row r="5294" spans="1:7">
      <c r="A5294">
        <v>82</v>
      </c>
      <c r="B5294">
        <v>15</v>
      </c>
      <c r="C5294" s="1">
        <f>(Tabela1[[#This Row],[x]]-H$3)*(Tabela1[[#This Row],[x]]-H$3) +(Tabela1[[#This Row],[y]]-H$4)*(Tabela1[[#This Row],[y]]-H$4)</f>
        <v>48149</v>
      </c>
      <c r="D5294" s="1">
        <f>IF(Tabela1[[#This Row],[promien]]&lt;40000,1,0)</f>
        <v>0</v>
      </c>
      <c r="E5294" s="1">
        <f>IF(Tabela1[[#This Row],[promien]]=40000,1,0)</f>
        <v>0</v>
      </c>
      <c r="F5294" s="1">
        <v>3.1688704193426522</v>
      </c>
      <c r="G5294" s="1">
        <v>2.7277765752859118E-2</v>
      </c>
    </row>
    <row r="5295" spans="1:7">
      <c r="A5295">
        <v>332</v>
      </c>
      <c r="B5295">
        <v>188</v>
      </c>
      <c r="C5295" s="1">
        <f>(Tabela1[[#This Row],[x]]-H$3)*(Tabela1[[#This Row],[x]]-H$3) +(Tabela1[[#This Row],[y]]-H$4)*(Tabela1[[#This Row],[y]]-H$4)</f>
        <v>17568</v>
      </c>
      <c r="D5295" s="1">
        <f>IF(Tabela1[[#This Row],[promien]]&lt;40000,1,0)</f>
        <v>1</v>
      </c>
      <c r="E5295" s="1">
        <f>IF(Tabela1[[#This Row],[promien]]=40000,1,0)</f>
        <v>0</v>
      </c>
      <c r="F5295" s="1">
        <v>3.1690273843248349</v>
      </c>
      <c r="G5295" s="1">
        <v>2.7434730735041768E-2</v>
      </c>
    </row>
    <row r="5296" spans="1:7">
      <c r="A5296">
        <v>257</v>
      </c>
      <c r="B5296">
        <v>185</v>
      </c>
      <c r="C5296" s="1">
        <f>(Tabela1[[#This Row],[x]]-H$3)*(Tabela1[[#This Row],[x]]-H$3) +(Tabela1[[#This Row],[y]]-H$4)*(Tabela1[[#This Row],[y]]-H$4)</f>
        <v>3474</v>
      </c>
      <c r="D5296" s="1">
        <f>IF(Tabela1[[#This Row],[promien]]&lt;40000,1,0)</f>
        <v>1</v>
      </c>
      <c r="E5296" s="1">
        <f>IF(Tabela1[[#This Row],[promien]]=40000,1,0)</f>
        <v>0</v>
      </c>
      <c r="F5296" s="1">
        <v>3.1691842900302114</v>
      </c>
      <c r="G5296" s="1">
        <v>2.7591636440418288E-2</v>
      </c>
    </row>
    <row r="5297" spans="1:7">
      <c r="A5297">
        <v>5</v>
      </c>
      <c r="B5297">
        <v>390</v>
      </c>
      <c r="C5297" s="1">
        <f>(Tabela1[[#This Row],[x]]-H$3)*(Tabela1[[#This Row],[x]]-H$3) +(Tabela1[[#This Row],[y]]-H$4)*(Tabela1[[#This Row],[y]]-H$4)</f>
        <v>74125</v>
      </c>
      <c r="D5297" s="1">
        <f>IF(Tabela1[[#This Row],[promien]]&lt;40000,1,0)</f>
        <v>0</v>
      </c>
      <c r="E5297" s="1">
        <f>IF(Tabela1[[#This Row],[promien]]=40000,1,0)</f>
        <v>0</v>
      </c>
      <c r="F5297" s="1">
        <v>3.1685859920709838</v>
      </c>
      <c r="G5297" s="1">
        <v>2.6993338481190676E-2</v>
      </c>
    </row>
    <row r="5298" spans="1:7">
      <c r="A5298">
        <v>170</v>
      </c>
      <c r="B5298">
        <v>396</v>
      </c>
      <c r="C5298" s="1">
        <f>(Tabela1[[#This Row],[x]]-H$3)*(Tabela1[[#This Row],[x]]-H$3) +(Tabela1[[#This Row],[y]]-H$4)*(Tabela1[[#This Row],[y]]-H$4)</f>
        <v>39316</v>
      </c>
      <c r="D5298" s="1">
        <f>IF(Tabela1[[#This Row],[promien]]&lt;40000,1,0)</f>
        <v>1</v>
      </c>
      <c r="E5298" s="1">
        <f>IF(Tabela1[[#This Row],[promien]]=40000,1,0)</f>
        <v>0</v>
      </c>
      <c r="F5298" s="1">
        <v>3.1687429218573047</v>
      </c>
      <c r="G5298" s="1">
        <v>2.7150268267511546E-2</v>
      </c>
    </row>
    <row r="5299" spans="1:7">
      <c r="A5299">
        <v>111</v>
      </c>
      <c r="B5299">
        <v>52</v>
      </c>
      <c r="C5299" s="1">
        <f>(Tabela1[[#This Row],[x]]-H$3)*(Tabela1[[#This Row],[x]]-H$3) +(Tabela1[[#This Row],[y]]-H$4)*(Tabela1[[#This Row],[y]]-H$4)</f>
        <v>29825</v>
      </c>
      <c r="D5299" s="1">
        <f>IF(Tabela1[[#This Row],[promien]]&lt;40000,1,0)</f>
        <v>1</v>
      </c>
      <c r="E5299" s="1">
        <f>IF(Tabela1[[#This Row],[promien]]=40000,1,0)</f>
        <v>0</v>
      </c>
      <c r="F5299" s="1">
        <v>3.1688997924136628</v>
      </c>
      <c r="G5299" s="1">
        <v>2.7307138823869703E-2</v>
      </c>
    </row>
    <row r="5300" spans="1:7">
      <c r="A5300">
        <v>44</v>
      </c>
      <c r="B5300">
        <v>60</v>
      </c>
      <c r="C5300" s="1">
        <f>(Tabela1[[#This Row],[x]]-H$3)*(Tabela1[[#This Row],[x]]-H$3) +(Tabela1[[#This Row],[y]]-H$4)*(Tabela1[[#This Row],[y]]-H$4)</f>
        <v>43936</v>
      </c>
      <c r="D5300" s="1">
        <f>IF(Tabela1[[#This Row],[promien]]&lt;40000,1,0)</f>
        <v>0</v>
      </c>
      <c r="E5300" s="1">
        <f>IF(Tabela1[[#This Row],[promien]]=40000,1,0)</f>
        <v>0</v>
      </c>
      <c r="F5300" s="1">
        <v>3.1683018867924528</v>
      </c>
      <c r="G5300" s="1">
        <v>2.6709233202659721E-2</v>
      </c>
    </row>
    <row r="5301" spans="1:7">
      <c r="A5301">
        <v>384</v>
      </c>
      <c r="B5301">
        <v>117</v>
      </c>
      <c r="C5301" s="1">
        <f>(Tabela1[[#This Row],[x]]-H$3)*(Tabela1[[#This Row],[x]]-H$3) +(Tabela1[[#This Row],[y]]-H$4)*(Tabela1[[#This Row],[y]]-H$4)</f>
        <v>40745</v>
      </c>
      <c r="D5301" s="1">
        <f>IF(Tabela1[[#This Row],[promien]]&lt;40000,1,0)</f>
        <v>0</v>
      </c>
      <c r="E5301" s="1">
        <f>IF(Tabela1[[#This Row],[promien]]=40000,1,0)</f>
        <v>0</v>
      </c>
      <c r="F5301" s="1">
        <v>3.1677042067534429</v>
      </c>
      <c r="G5301" s="1">
        <v>2.611155316364977E-2</v>
      </c>
    </row>
    <row r="5302" spans="1:7">
      <c r="A5302">
        <v>193</v>
      </c>
      <c r="B5302">
        <v>179</v>
      </c>
      <c r="C5302" s="1">
        <f>(Tabela1[[#This Row],[x]]-H$3)*(Tabela1[[#This Row],[x]]-H$3) +(Tabela1[[#This Row],[y]]-H$4)*(Tabela1[[#This Row],[y]]-H$4)</f>
        <v>490</v>
      </c>
      <c r="D5302" s="1">
        <f>IF(Tabela1[[#This Row],[promien]]&lt;40000,1,0)</f>
        <v>1</v>
      </c>
      <c r="E5302" s="1">
        <f>IF(Tabela1[[#This Row],[promien]]=40000,1,0)</f>
        <v>0</v>
      </c>
      <c r="F5302" s="1">
        <v>3.1678611844586948</v>
      </c>
      <c r="G5302" s="1">
        <v>2.6268530868901685E-2</v>
      </c>
    </row>
    <row r="5303" spans="1:7">
      <c r="A5303">
        <v>346</v>
      </c>
      <c r="B5303">
        <v>398</v>
      </c>
      <c r="C5303" s="1">
        <f>(Tabela1[[#This Row],[x]]-H$3)*(Tabela1[[#This Row],[x]]-H$3) +(Tabela1[[#This Row],[y]]-H$4)*(Tabela1[[#This Row],[y]]-H$4)</f>
        <v>60520</v>
      </c>
      <c r="D5303" s="1">
        <f>IF(Tabela1[[#This Row],[promien]]&lt;40000,1,0)</f>
        <v>0</v>
      </c>
      <c r="E5303" s="1">
        <f>IF(Tabela1[[#This Row],[promien]]=40000,1,0)</f>
        <v>0</v>
      </c>
      <c r="F5303" s="1">
        <v>3.1672638129360737</v>
      </c>
      <c r="G5303" s="1">
        <v>2.5671159346280614E-2</v>
      </c>
    </row>
    <row r="5304" spans="1:7">
      <c r="A5304">
        <v>48</v>
      </c>
      <c r="B5304">
        <v>349</v>
      </c>
      <c r="C5304" s="1">
        <f>(Tabela1[[#This Row],[x]]-H$3)*(Tabela1[[#This Row],[x]]-H$3) +(Tabela1[[#This Row],[y]]-H$4)*(Tabela1[[#This Row],[y]]-H$4)</f>
        <v>45305</v>
      </c>
      <c r="D5304" s="1">
        <f>IF(Tabela1[[#This Row],[promien]]&lt;40000,1,0)</f>
        <v>0</v>
      </c>
      <c r="E5304" s="1">
        <f>IF(Tabela1[[#This Row],[promien]]=40000,1,0)</f>
        <v>0</v>
      </c>
      <c r="F5304" s="1">
        <v>3.1666666666666665</v>
      </c>
      <c r="G5304" s="1">
        <v>2.5074013076873403E-2</v>
      </c>
    </row>
    <row r="5305" spans="1:7">
      <c r="A5305">
        <v>177</v>
      </c>
      <c r="B5305">
        <v>342</v>
      </c>
      <c r="C5305" s="1">
        <f>(Tabela1[[#This Row],[x]]-H$3)*(Tabela1[[#This Row],[x]]-H$3) +(Tabela1[[#This Row],[y]]-H$4)*(Tabela1[[#This Row],[y]]-H$4)</f>
        <v>20693</v>
      </c>
      <c r="D5305" s="1">
        <f>IF(Tabela1[[#This Row],[promien]]&lt;40000,1,0)</f>
        <v>1</v>
      </c>
      <c r="E5305" s="1">
        <f>IF(Tabela1[[#This Row],[promien]]=40000,1,0)</f>
        <v>0</v>
      </c>
      <c r="F5305" s="1">
        <v>3.1668237511781339</v>
      </c>
      <c r="G5305" s="1">
        <v>2.5231097588340745E-2</v>
      </c>
    </row>
    <row r="5306" spans="1:7">
      <c r="A5306">
        <v>101</v>
      </c>
      <c r="B5306">
        <v>207</v>
      </c>
      <c r="C5306" s="1">
        <f>(Tabela1[[#This Row],[x]]-H$3)*(Tabela1[[#This Row],[x]]-H$3) +(Tabela1[[#This Row],[y]]-H$4)*(Tabela1[[#This Row],[y]]-H$4)</f>
        <v>9850</v>
      </c>
      <c r="D5306" s="1">
        <f>IF(Tabela1[[#This Row],[promien]]&lt;40000,1,0)</f>
        <v>1</v>
      </c>
      <c r="E5306" s="1">
        <f>IF(Tabela1[[#This Row],[promien]]=40000,1,0)</f>
        <v>0</v>
      </c>
      <c r="F5306" s="1">
        <v>3.1669807764794573</v>
      </c>
      <c r="G5306" s="1">
        <v>2.5388122889664189E-2</v>
      </c>
    </row>
    <row r="5307" spans="1:7">
      <c r="A5307">
        <v>205</v>
      </c>
      <c r="B5307">
        <v>169</v>
      </c>
      <c r="C5307" s="1">
        <f>(Tabela1[[#This Row],[x]]-H$3)*(Tabela1[[#This Row],[x]]-H$3) +(Tabela1[[#This Row],[y]]-H$4)*(Tabela1[[#This Row],[y]]-H$4)</f>
        <v>986</v>
      </c>
      <c r="D5307" s="1">
        <f>IF(Tabela1[[#This Row],[promien]]&lt;40000,1,0)</f>
        <v>1</v>
      </c>
      <c r="E5307" s="1">
        <f>IF(Tabela1[[#This Row],[promien]]=40000,1,0)</f>
        <v>0</v>
      </c>
      <c r="F5307" s="1">
        <v>3.1671377426041079</v>
      </c>
      <c r="G5307" s="1">
        <v>2.5545089014314737E-2</v>
      </c>
    </row>
    <row r="5308" spans="1:7">
      <c r="A5308">
        <v>227</v>
      </c>
      <c r="B5308">
        <v>302</v>
      </c>
      <c r="C5308" s="1">
        <f>(Tabela1[[#This Row],[x]]-H$3)*(Tabela1[[#This Row],[x]]-H$3) +(Tabela1[[#This Row],[y]]-H$4)*(Tabela1[[#This Row],[y]]-H$4)</f>
        <v>11133</v>
      </c>
      <c r="D5308" s="1">
        <f>IF(Tabela1[[#This Row],[promien]]&lt;40000,1,0)</f>
        <v>1</v>
      </c>
      <c r="E5308" s="1">
        <f>IF(Tabela1[[#This Row],[promien]]=40000,1,0)</f>
        <v>0</v>
      </c>
      <c r="F5308" s="1">
        <v>3.1672946495855312</v>
      </c>
      <c r="G5308" s="1">
        <v>2.5701995995738081E-2</v>
      </c>
    </row>
    <row r="5309" spans="1:7">
      <c r="A5309">
        <v>385</v>
      </c>
      <c r="B5309">
        <v>125</v>
      </c>
      <c r="C5309" s="1">
        <f>(Tabela1[[#This Row],[x]]-H$3)*(Tabela1[[#This Row],[x]]-H$3) +(Tabela1[[#This Row],[y]]-H$4)*(Tabela1[[#This Row],[y]]-H$4)</f>
        <v>39850</v>
      </c>
      <c r="D5309" s="1">
        <f>IF(Tabela1[[#This Row],[promien]]&lt;40000,1,0)</f>
        <v>1</v>
      </c>
      <c r="E5309" s="1">
        <f>IF(Tabela1[[#This Row],[promien]]=40000,1,0)</f>
        <v>0</v>
      </c>
      <c r="F5309" s="1">
        <v>3.1674514974571482</v>
      </c>
      <c r="G5309" s="1">
        <v>2.5858843867355041E-2</v>
      </c>
    </row>
    <row r="5310" spans="1:7">
      <c r="A5310">
        <v>48</v>
      </c>
      <c r="B5310">
        <v>88</v>
      </c>
      <c r="C5310" s="1">
        <f>(Tabela1[[#This Row],[x]]-H$3)*(Tabela1[[#This Row],[x]]-H$3) +(Tabela1[[#This Row],[y]]-H$4)*(Tabela1[[#This Row],[y]]-H$4)</f>
        <v>35648</v>
      </c>
      <c r="D5310" s="1">
        <f>IF(Tabela1[[#This Row],[promien]]&lt;40000,1,0)</f>
        <v>1</v>
      </c>
      <c r="E5310" s="1">
        <f>IF(Tabela1[[#This Row],[promien]]=40000,1,0)</f>
        <v>0</v>
      </c>
      <c r="F5310" s="1">
        <v>3.1676082862523542</v>
      </c>
      <c r="G5310" s="1">
        <v>2.6015632662561128E-2</v>
      </c>
    </row>
    <row r="5311" spans="1:7">
      <c r="A5311">
        <v>51</v>
      </c>
      <c r="B5311">
        <v>110</v>
      </c>
      <c r="C5311" s="1">
        <f>(Tabela1[[#This Row],[x]]-H$3)*(Tabela1[[#This Row],[x]]-H$3) +(Tabela1[[#This Row],[y]]-H$4)*(Tabela1[[#This Row],[y]]-H$4)</f>
        <v>30301</v>
      </c>
      <c r="D5311" s="1">
        <f>IF(Tabela1[[#This Row],[promien]]&lt;40000,1,0)</f>
        <v>1</v>
      </c>
      <c r="E5311" s="1">
        <f>IF(Tabela1[[#This Row],[promien]]=40000,1,0)</f>
        <v>0</v>
      </c>
      <c r="F5311" s="1">
        <v>3.1677650160045188</v>
      </c>
      <c r="G5311" s="1">
        <v>2.6172362414725647E-2</v>
      </c>
    </row>
    <row r="5312" spans="1:7">
      <c r="A5312">
        <v>201</v>
      </c>
      <c r="B5312">
        <v>95</v>
      </c>
      <c r="C5312" s="1">
        <f>(Tabela1[[#This Row],[x]]-H$3)*(Tabela1[[#This Row],[x]]-H$3) +(Tabela1[[#This Row],[y]]-H$4)*(Tabela1[[#This Row],[y]]-H$4)</f>
        <v>11026</v>
      </c>
      <c r="D5312" s="1">
        <f>IF(Tabela1[[#This Row],[promien]]&lt;40000,1,0)</f>
        <v>1</v>
      </c>
      <c r="E5312" s="1">
        <f>IF(Tabela1[[#This Row],[promien]]=40000,1,0)</f>
        <v>0</v>
      </c>
      <c r="F5312" s="1">
        <v>3.1679216867469879</v>
      </c>
      <c r="G5312" s="1">
        <v>2.6329033157194814E-2</v>
      </c>
    </row>
    <row r="5313" spans="1:7">
      <c r="A5313">
        <v>388</v>
      </c>
      <c r="B5313">
        <v>333</v>
      </c>
      <c r="C5313" s="1">
        <f>(Tabela1[[#This Row],[x]]-H$3)*(Tabela1[[#This Row],[x]]-H$3) +(Tabela1[[#This Row],[y]]-H$4)*(Tabela1[[#This Row],[y]]-H$4)</f>
        <v>53033</v>
      </c>
      <c r="D5313" s="1">
        <f>IF(Tabela1[[#This Row],[promien]]&lt;40000,1,0)</f>
        <v>0</v>
      </c>
      <c r="E5313" s="1">
        <f>IF(Tabela1[[#This Row],[promien]]=40000,1,0)</f>
        <v>0</v>
      </c>
      <c r="F5313" s="1">
        <v>3.1673254281949936</v>
      </c>
      <c r="G5313" s="1">
        <v>2.5732774605200515E-2</v>
      </c>
    </row>
    <row r="5314" spans="1:7">
      <c r="A5314">
        <v>7</v>
      </c>
      <c r="B5314">
        <v>294</v>
      </c>
      <c r="C5314" s="1">
        <f>(Tabela1[[#This Row],[x]]-H$3)*(Tabela1[[#This Row],[x]]-H$3) +(Tabela1[[#This Row],[y]]-H$4)*(Tabela1[[#This Row],[y]]-H$4)</f>
        <v>46085</v>
      </c>
      <c r="D5314" s="1">
        <f>IF(Tabela1[[#This Row],[promien]]&lt;40000,1,0)</f>
        <v>0</v>
      </c>
      <c r="E5314" s="1">
        <f>IF(Tabela1[[#This Row],[promien]]=40000,1,0)</f>
        <v>0</v>
      </c>
      <c r="F5314" s="1">
        <v>3.1667293940534438</v>
      </c>
      <c r="G5314" s="1">
        <v>2.5136740463650664E-2</v>
      </c>
    </row>
    <row r="5315" spans="1:7">
      <c r="A5315">
        <v>357</v>
      </c>
      <c r="B5315">
        <v>304</v>
      </c>
      <c r="C5315" s="1">
        <f>(Tabela1[[#This Row],[x]]-H$3)*(Tabela1[[#This Row],[x]]-H$3) +(Tabela1[[#This Row],[y]]-H$4)*(Tabela1[[#This Row],[y]]-H$4)</f>
        <v>35465</v>
      </c>
      <c r="D5315" s="1">
        <f>IF(Tabela1[[#This Row],[promien]]&lt;40000,1,0)</f>
        <v>1</v>
      </c>
      <c r="E5315" s="1">
        <f>IF(Tabela1[[#This Row],[promien]]=40000,1,0)</f>
        <v>0</v>
      </c>
      <c r="F5315" s="1">
        <v>3.1668861712135468</v>
      </c>
      <c r="G5315" s="1">
        <v>2.5293517623753647E-2</v>
      </c>
    </row>
    <row r="5316" spans="1:7">
      <c r="A5316">
        <v>360</v>
      </c>
      <c r="B5316">
        <v>12</v>
      </c>
      <c r="C5316" s="1">
        <f>(Tabela1[[#This Row],[x]]-H$3)*(Tabela1[[#This Row],[x]]-H$3) +(Tabela1[[#This Row],[y]]-H$4)*(Tabela1[[#This Row],[y]]-H$4)</f>
        <v>60944</v>
      </c>
      <c r="D5316" s="1">
        <f>IF(Tabela1[[#This Row],[promien]]&lt;40000,1,0)</f>
        <v>0</v>
      </c>
      <c r="E5316" s="1">
        <f>IF(Tabela1[[#This Row],[promien]]=40000,1,0)</f>
        <v>0</v>
      </c>
      <c r="F5316" s="1">
        <v>3.1662904439428141</v>
      </c>
      <c r="G5316" s="1">
        <v>2.4697790353020999E-2</v>
      </c>
    </row>
    <row r="5317" spans="1:7">
      <c r="A5317">
        <v>235</v>
      </c>
      <c r="B5317">
        <v>265</v>
      </c>
      <c r="C5317" s="1">
        <f>(Tabela1[[#This Row],[x]]-H$3)*(Tabela1[[#This Row],[x]]-H$3) +(Tabela1[[#This Row],[y]]-H$4)*(Tabela1[[#This Row],[y]]-H$4)</f>
        <v>5450</v>
      </c>
      <c r="D5317" s="1">
        <f>IF(Tabela1[[#This Row],[promien]]&lt;40000,1,0)</f>
        <v>1</v>
      </c>
      <c r="E5317" s="1">
        <f>IF(Tabela1[[#This Row],[promien]]=40000,1,0)</f>
        <v>0</v>
      </c>
      <c r="F5317" s="1">
        <v>3.1664472446868537</v>
      </c>
      <c r="G5317" s="1">
        <v>2.4854591097060563E-2</v>
      </c>
    </row>
    <row r="5318" spans="1:7">
      <c r="A5318">
        <v>17</v>
      </c>
      <c r="B5318">
        <v>388</v>
      </c>
      <c r="C5318" s="1">
        <f>(Tabela1[[#This Row],[x]]-H$3)*(Tabela1[[#This Row],[x]]-H$3) +(Tabela1[[#This Row],[y]]-H$4)*(Tabela1[[#This Row],[y]]-H$4)</f>
        <v>68833</v>
      </c>
      <c r="D5318" s="1">
        <f>IF(Tabela1[[#This Row],[promien]]&lt;40000,1,0)</f>
        <v>0</v>
      </c>
      <c r="E5318" s="1">
        <f>IF(Tabela1[[#This Row],[promien]]=40000,1,0)</f>
        <v>0</v>
      </c>
      <c r="F5318" s="1">
        <v>3.1658518239939828</v>
      </c>
      <c r="G5318" s="1">
        <v>2.4259170404189678E-2</v>
      </c>
    </row>
    <row r="5319" spans="1:7">
      <c r="A5319">
        <v>196</v>
      </c>
      <c r="B5319">
        <v>169</v>
      </c>
      <c r="C5319" s="1">
        <f>(Tabela1[[#This Row],[x]]-H$3)*(Tabela1[[#This Row],[x]]-H$3) +(Tabela1[[#This Row],[y]]-H$4)*(Tabela1[[#This Row],[y]]-H$4)</f>
        <v>977</v>
      </c>
      <c r="D5319" s="1">
        <f>IF(Tabela1[[#This Row],[promien]]&lt;40000,1,0)</f>
        <v>1</v>
      </c>
      <c r="E5319" s="1">
        <f>IF(Tabela1[[#This Row],[promien]]=40000,1,0)</f>
        <v>0</v>
      </c>
      <c r="F5319" s="1">
        <v>3.1660086482421508</v>
      </c>
      <c r="G5319" s="1">
        <v>2.4415994652357664E-2</v>
      </c>
    </row>
    <row r="5320" spans="1:7">
      <c r="A5320">
        <v>210</v>
      </c>
      <c r="B5320">
        <v>100</v>
      </c>
      <c r="C5320" s="1">
        <f>(Tabela1[[#This Row],[x]]-H$3)*(Tabela1[[#This Row],[x]]-H$3) +(Tabela1[[#This Row],[y]]-H$4)*(Tabela1[[#This Row],[y]]-H$4)</f>
        <v>10100</v>
      </c>
      <c r="D5320" s="1">
        <f>IF(Tabela1[[#This Row],[promien]]&lt;40000,1,0)</f>
        <v>1</v>
      </c>
      <c r="E5320" s="1">
        <f>IF(Tabela1[[#This Row],[promien]]=40000,1,0)</f>
        <v>0</v>
      </c>
      <c r="F5320" s="1">
        <v>3.1661654135338346</v>
      </c>
      <c r="G5320" s="1">
        <v>2.4572759944041511E-2</v>
      </c>
    </row>
    <row r="5321" spans="1:7">
      <c r="A5321">
        <v>245</v>
      </c>
      <c r="B5321">
        <v>40</v>
      </c>
      <c r="C5321" s="1">
        <f>(Tabela1[[#This Row],[x]]-H$3)*(Tabela1[[#This Row],[x]]-H$3) +(Tabela1[[#This Row],[y]]-H$4)*(Tabela1[[#This Row],[y]]-H$4)</f>
        <v>27625</v>
      </c>
      <c r="D5321" s="1">
        <f>IF(Tabela1[[#This Row],[promien]]&lt;40000,1,0)</f>
        <v>1</v>
      </c>
      <c r="E5321" s="1">
        <f>IF(Tabela1[[#This Row],[promien]]=40000,1,0)</f>
        <v>0</v>
      </c>
      <c r="F5321" s="1">
        <v>3.166322119902274</v>
      </c>
      <c r="G5321" s="1">
        <v>2.4729466312480852E-2</v>
      </c>
    </row>
    <row r="5322" spans="1:7">
      <c r="A5322">
        <v>171</v>
      </c>
      <c r="B5322">
        <v>197</v>
      </c>
      <c r="C5322" s="1">
        <f>(Tabela1[[#This Row],[x]]-H$3)*(Tabela1[[#This Row],[x]]-H$3) +(Tabela1[[#This Row],[y]]-H$4)*(Tabela1[[#This Row],[y]]-H$4)</f>
        <v>850</v>
      </c>
      <c r="D5322" s="1">
        <f>IF(Tabela1[[#This Row],[promien]]&lt;40000,1,0)</f>
        <v>1</v>
      </c>
      <c r="E5322" s="1">
        <f>IF(Tabela1[[#This Row],[promien]]=40000,1,0)</f>
        <v>0</v>
      </c>
      <c r="F5322" s="1">
        <v>3.166478767380684</v>
      </c>
      <c r="G5322" s="1">
        <v>2.4886113790890896E-2</v>
      </c>
    </row>
    <row r="5323" spans="1:7">
      <c r="A5323">
        <v>236</v>
      </c>
      <c r="B5323">
        <v>166</v>
      </c>
      <c r="C5323" s="1">
        <f>(Tabela1[[#This Row],[x]]-H$3)*(Tabela1[[#This Row],[x]]-H$3) +(Tabela1[[#This Row],[y]]-H$4)*(Tabela1[[#This Row],[y]]-H$4)</f>
        <v>2452</v>
      </c>
      <c r="D5323" s="1">
        <f>IF(Tabela1[[#This Row],[promien]]&lt;40000,1,0)</f>
        <v>1</v>
      </c>
      <c r="E5323" s="1">
        <f>IF(Tabela1[[#This Row],[promien]]=40000,1,0)</f>
        <v>0</v>
      </c>
      <c r="F5323" s="1">
        <v>3.1666353560022542</v>
      </c>
      <c r="G5323" s="1">
        <v>2.5042702412461093E-2</v>
      </c>
    </row>
    <row r="5324" spans="1:7">
      <c r="A5324">
        <v>95</v>
      </c>
      <c r="B5324">
        <v>93</v>
      </c>
      <c r="C5324" s="1">
        <f>(Tabela1[[#This Row],[x]]-H$3)*(Tabela1[[#This Row],[x]]-H$3) +(Tabela1[[#This Row],[y]]-H$4)*(Tabela1[[#This Row],[y]]-H$4)</f>
        <v>22474</v>
      </c>
      <c r="D5324" s="1">
        <f>IF(Tabela1[[#This Row],[promien]]&lt;40000,1,0)</f>
        <v>1</v>
      </c>
      <c r="E5324" s="1">
        <f>IF(Tabela1[[#This Row],[promien]]=40000,1,0)</f>
        <v>0</v>
      </c>
      <c r="F5324" s="1">
        <v>3.1667918858001505</v>
      </c>
      <c r="G5324" s="1">
        <v>2.5199232210357358E-2</v>
      </c>
    </row>
    <row r="5325" spans="1:7">
      <c r="A5325">
        <v>218</v>
      </c>
      <c r="B5325">
        <v>288</v>
      </c>
      <c r="C5325" s="1">
        <f>(Tabela1[[#This Row],[x]]-H$3)*(Tabela1[[#This Row],[x]]-H$3) +(Tabela1[[#This Row],[y]]-H$4)*(Tabela1[[#This Row],[y]]-H$4)</f>
        <v>8068</v>
      </c>
      <c r="D5325" s="1">
        <f>IF(Tabela1[[#This Row],[promien]]&lt;40000,1,0)</f>
        <v>1</v>
      </c>
      <c r="E5325" s="1">
        <f>IF(Tabela1[[#This Row],[promien]]=40000,1,0)</f>
        <v>0</v>
      </c>
      <c r="F5325" s="1">
        <v>3.1669483568075116</v>
      </c>
      <c r="G5325" s="1">
        <v>2.5355703217718517E-2</v>
      </c>
    </row>
    <row r="5326" spans="1:7">
      <c r="A5326">
        <v>45</v>
      </c>
      <c r="B5326">
        <v>226</v>
      </c>
      <c r="C5326" s="1">
        <f>(Tabela1[[#This Row],[x]]-H$3)*(Tabela1[[#This Row],[x]]-H$3) +(Tabela1[[#This Row],[y]]-H$4)*(Tabela1[[#This Row],[y]]-H$4)</f>
        <v>24701</v>
      </c>
      <c r="D5326" s="1">
        <f>IF(Tabela1[[#This Row],[promien]]&lt;40000,1,0)</f>
        <v>1</v>
      </c>
      <c r="E5326" s="1">
        <f>IF(Tabela1[[#This Row],[promien]]=40000,1,0)</f>
        <v>0</v>
      </c>
      <c r="F5326" s="1">
        <v>3.1671047690574539</v>
      </c>
      <c r="G5326" s="1">
        <v>2.5512115467660745E-2</v>
      </c>
    </row>
    <row r="5327" spans="1:7">
      <c r="A5327">
        <v>87</v>
      </c>
      <c r="B5327">
        <v>384</v>
      </c>
      <c r="C5327" s="1">
        <f>(Tabela1[[#This Row],[x]]-H$3)*(Tabela1[[#This Row],[x]]-H$3) +(Tabela1[[#This Row],[y]]-H$4)*(Tabela1[[#This Row],[y]]-H$4)</f>
        <v>46625</v>
      </c>
      <c r="D5327" s="1">
        <f>IF(Tabela1[[#This Row],[promien]]&lt;40000,1,0)</f>
        <v>0</v>
      </c>
      <c r="E5327" s="1">
        <f>IF(Tabela1[[#This Row],[promien]]=40000,1,0)</f>
        <v>0</v>
      </c>
      <c r="F5327" s="1">
        <v>3.1665102308991928</v>
      </c>
      <c r="G5327" s="1">
        <v>2.4917577309399697E-2</v>
      </c>
    </row>
    <row r="5328" spans="1:7">
      <c r="A5328">
        <v>170</v>
      </c>
      <c r="B5328">
        <v>16</v>
      </c>
      <c r="C5328" s="1">
        <f>(Tabela1[[#This Row],[x]]-H$3)*(Tabela1[[#This Row],[x]]-H$3) +(Tabela1[[#This Row],[y]]-H$4)*(Tabela1[[#This Row],[y]]-H$4)</f>
        <v>34756</v>
      </c>
      <c r="D5328" s="1">
        <f>IF(Tabela1[[#This Row],[promien]]&lt;40000,1,0)</f>
        <v>1</v>
      </c>
      <c r="E5328" s="1">
        <f>IF(Tabela1[[#This Row],[promien]]=40000,1,0)</f>
        <v>0</v>
      </c>
      <c r="F5328" s="1">
        <v>3.1666666666666665</v>
      </c>
      <c r="G5328" s="1">
        <v>2.5074013076873403E-2</v>
      </c>
    </row>
    <row r="5329" spans="1:7">
      <c r="A5329">
        <v>254</v>
      </c>
      <c r="B5329">
        <v>209</v>
      </c>
      <c r="C5329" s="1">
        <f>(Tabela1[[#This Row],[x]]-H$3)*(Tabela1[[#This Row],[x]]-H$3) +(Tabela1[[#This Row],[y]]-H$4)*(Tabela1[[#This Row],[y]]-H$4)</f>
        <v>2997</v>
      </c>
      <c r="D5329" s="1">
        <f>IF(Tabela1[[#This Row],[promien]]&lt;40000,1,0)</f>
        <v>1</v>
      </c>
      <c r="E5329" s="1">
        <f>IF(Tabela1[[#This Row],[promien]]=40000,1,0)</f>
        <v>0</v>
      </c>
      <c r="F5329" s="1">
        <v>3.1668230437230251</v>
      </c>
      <c r="G5329" s="1">
        <v>2.5230390133232028E-2</v>
      </c>
    </row>
    <row r="5330" spans="1:7">
      <c r="A5330">
        <v>55</v>
      </c>
      <c r="B5330">
        <v>157</v>
      </c>
      <c r="C5330" s="1">
        <f>(Tabela1[[#This Row],[x]]-H$3)*(Tabela1[[#This Row],[x]]-H$3) +(Tabela1[[#This Row],[y]]-H$4)*(Tabela1[[#This Row],[y]]-H$4)</f>
        <v>22874</v>
      </c>
      <c r="D5330" s="1">
        <f>IF(Tabela1[[#This Row],[promien]]&lt;40000,1,0)</f>
        <v>1</v>
      </c>
      <c r="E5330" s="1">
        <f>IF(Tabela1[[#This Row],[promien]]=40000,1,0)</f>
        <v>0</v>
      </c>
      <c r="F5330" s="1">
        <v>3.1669793621013134</v>
      </c>
      <c r="G5330" s="1">
        <v>2.5386708511520251E-2</v>
      </c>
    </row>
    <row r="5331" spans="1:7">
      <c r="A5331">
        <v>44</v>
      </c>
      <c r="B5331">
        <v>31</v>
      </c>
      <c r="C5331" s="1">
        <f>(Tabela1[[#This Row],[x]]-H$3)*(Tabela1[[#This Row],[x]]-H$3) +(Tabela1[[#This Row],[y]]-H$4)*(Tabela1[[#This Row],[y]]-H$4)</f>
        <v>52897</v>
      </c>
      <c r="D5331" s="1">
        <f>IF(Tabela1[[#This Row],[promien]]&lt;40000,1,0)</f>
        <v>0</v>
      </c>
      <c r="E5331" s="1">
        <f>IF(Tabela1[[#This Row],[promien]]=40000,1,0)</f>
        <v>0</v>
      </c>
      <c r="F5331" s="1">
        <v>3.1663852935659351</v>
      </c>
      <c r="G5331" s="1">
        <v>2.4792639976142006E-2</v>
      </c>
    </row>
    <row r="5332" spans="1:7">
      <c r="A5332">
        <v>304</v>
      </c>
      <c r="B5332">
        <v>131</v>
      </c>
      <c r="C5332" s="1">
        <f>(Tabela1[[#This Row],[x]]-H$3)*(Tabela1[[#This Row],[x]]-H$3) +(Tabela1[[#This Row],[y]]-H$4)*(Tabela1[[#This Row],[y]]-H$4)</f>
        <v>15577</v>
      </c>
      <c r="D5332" s="1">
        <f>IF(Tabela1[[#This Row],[promien]]&lt;40000,1,0)</f>
        <v>1</v>
      </c>
      <c r="E5332" s="1">
        <f>IF(Tabela1[[#This Row],[promien]]=40000,1,0)</f>
        <v>0</v>
      </c>
      <c r="F5332" s="1">
        <v>3.1665416354088523</v>
      </c>
      <c r="G5332" s="1">
        <v>2.4948981819059135E-2</v>
      </c>
    </row>
    <row r="5333" spans="1:7">
      <c r="A5333">
        <v>219</v>
      </c>
      <c r="B5333">
        <v>98</v>
      </c>
      <c r="C5333" s="1">
        <f>(Tabela1[[#This Row],[x]]-H$3)*(Tabela1[[#This Row],[x]]-H$3) +(Tabela1[[#This Row],[y]]-H$4)*(Tabela1[[#This Row],[y]]-H$4)</f>
        <v>10765</v>
      </c>
      <c r="D5333" s="1">
        <f>IF(Tabela1[[#This Row],[promien]]&lt;40000,1,0)</f>
        <v>1</v>
      </c>
      <c r="E5333" s="1">
        <f>IF(Tabela1[[#This Row],[promien]]=40000,1,0)</f>
        <v>0</v>
      </c>
      <c r="F5333" s="1">
        <v>3.1666979186199136</v>
      </c>
      <c r="G5333" s="1">
        <v>2.5105265030120449E-2</v>
      </c>
    </row>
    <row r="5334" spans="1:7">
      <c r="A5334">
        <v>331</v>
      </c>
      <c r="B5334">
        <v>116</v>
      </c>
      <c r="C5334" s="1">
        <f>(Tabela1[[#This Row],[x]]-H$3)*(Tabela1[[#This Row],[x]]-H$3) +(Tabela1[[#This Row],[y]]-H$4)*(Tabela1[[#This Row],[y]]-H$4)</f>
        <v>24217</v>
      </c>
      <c r="D5334" s="1">
        <f>IF(Tabela1[[#This Row],[promien]]&lt;40000,1,0)</f>
        <v>1</v>
      </c>
      <c r="E5334" s="1">
        <f>IF(Tabela1[[#This Row],[promien]]=40000,1,0)</f>
        <v>0</v>
      </c>
      <c r="F5334" s="1">
        <v>3.1668541432320958</v>
      </c>
      <c r="G5334" s="1">
        <v>2.5261489642302681E-2</v>
      </c>
    </row>
    <row r="5335" spans="1:7">
      <c r="A5335">
        <v>89</v>
      </c>
      <c r="B5335">
        <v>89</v>
      </c>
      <c r="C5335" s="1">
        <f>(Tabela1[[#This Row],[x]]-H$3)*(Tabela1[[#This Row],[x]]-H$3) +(Tabela1[[#This Row],[y]]-H$4)*(Tabela1[[#This Row],[y]]-H$4)</f>
        <v>24642</v>
      </c>
      <c r="D5335" s="1">
        <f>IF(Tabela1[[#This Row],[promien]]&lt;40000,1,0)</f>
        <v>1</v>
      </c>
      <c r="E5335" s="1">
        <f>IF(Tabela1[[#This Row],[promien]]=40000,1,0)</f>
        <v>0</v>
      </c>
      <c r="F5335" s="1">
        <v>3.1670103092783504</v>
      </c>
      <c r="G5335" s="1">
        <v>2.541765568855725E-2</v>
      </c>
    </row>
    <row r="5336" spans="1:7">
      <c r="A5336">
        <v>362</v>
      </c>
      <c r="B5336">
        <v>13</v>
      </c>
      <c r="C5336" s="1">
        <f>(Tabela1[[#This Row],[x]]-H$3)*(Tabela1[[#This Row],[x]]-H$3) +(Tabela1[[#This Row],[y]]-H$4)*(Tabela1[[#This Row],[y]]-H$4)</f>
        <v>61213</v>
      </c>
      <c r="D5336" s="1">
        <f>IF(Tabela1[[#This Row],[promien]]&lt;40000,1,0)</f>
        <v>0</v>
      </c>
      <c r="E5336" s="1">
        <f>IF(Tabela1[[#This Row],[promien]]=40000,1,0)</f>
        <v>0</v>
      </c>
      <c r="F5336" s="1">
        <v>3.1664167916041981</v>
      </c>
      <c r="G5336" s="1">
        <v>2.4824138014404973E-2</v>
      </c>
    </row>
    <row r="5337" spans="1:7">
      <c r="A5337">
        <v>127</v>
      </c>
      <c r="B5337">
        <v>386</v>
      </c>
      <c r="C5337" s="1">
        <f>(Tabela1[[#This Row],[x]]-H$3)*(Tabela1[[#This Row],[x]]-H$3) +(Tabela1[[#This Row],[y]]-H$4)*(Tabela1[[#This Row],[y]]-H$4)</f>
        <v>39925</v>
      </c>
      <c r="D5337" s="1">
        <f>IF(Tabela1[[#This Row],[promien]]&lt;40000,1,0)</f>
        <v>1</v>
      </c>
      <c r="E5337" s="1">
        <f>IF(Tabela1[[#This Row],[promien]]=40000,1,0)</f>
        <v>0</v>
      </c>
      <c r="F5337" s="1">
        <v>3.1665729810755106</v>
      </c>
      <c r="G5337" s="1">
        <v>2.4980327485717435E-2</v>
      </c>
    </row>
    <row r="5338" spans="1:7">
      <c r="A5338">
        <v>152</v>
      </c>
      <c r="B5338">
        <v>391</v>
      </c>
      <c r="C5338" s="1">
        <f>(Tabela1[[#This Row],[x]]-H$3)*(Tabela1[[#This Row],[x]]-H$3) +(Tabela1[[#This Row],[y]]-H$4)*(Tabela1[[#This Row],[y]]-H$4)</f>
        <v>38785</v>
      </c>
      <c r="D5338" s="1">
        <f>IF(Tabela1[[#This Row],[promien]]&lt;40000,1,0)</f>
        <v>1</v>
      </c>
      <c r="E5338" s="1">
        <f>IF(Tabela1[[#This Row],[promien]]=40000,1,0)</f>
        <v>0</v>
      </c>
      <c r="F5338" s="1">
        <v>3.1667291120269763</v>
      </c>
      <c r="G5338" s="1">
        <v>2.5136458437183151E-2</v>
      </c>
    </row>
    <row r="5339" spans="1:7">
      <c r="A5339">
        <v>294</v>
      </c>
      <c r="B5339">
        <v>392</v>
      </c>
      <c r="C5339" s="1">
        <f>(Tabela1[[#This Row],[x]]-H$3)*(Tabela1[[#This Row],[x]]-H$3) +(Tabela1[[#This Row],[y]]-H$4)*(Tabela1[[#This Row],[y]]-H$4)</f>
        <v>45700</v>
      </c>
      <c r="D5339" s="1">
        <f>IF(Tabela1[[#This Row],[promien]]&lt;40000,1,0)</f>
        <v>0</v>
      </c>
      <c r="E5339" s="1">
        <f>IF(Tabela1[[#This Row],[promien]]=40000,1,0)</f>
        <v>0</v>
      </c>
      <c r="F5339" s="1">
        <v>3.1661359805206968</v>
      </c>
      <c r="G5339" s="1">
        <v>2.4543326930903664E-2</v>
      </c>
    </row>
    <row r="5340" spans="1:7">
      <c r="A5340">
        <v>355</v>
      </c>
      <c r="B5340">
        <v>191</v>
      </c>
      <c r="C5340" s="1">
        <f>(Tabela1[[#This Row],[x]]-H$3)*(Tabela1[[#This Row],[x]]-H$3) +(Tabela1[[#This Row],[y]]-H$4)*(Tabela1[[#This Row],[y]]-H$4)</f>
        <v>24106</v>
      </c>
      <c r="D5340" s="1">
        <f>IF(Tabela1[[#This Row],[promien]]&lt;40000,1,0)</f>
        <v>1</v>
      </c>
      <c r="E5340" s="1">
        <f>IF(Tabela1[[#This Row],[promien]]=40000,1,0)</f>
        <v>0</v>
      </c>
      <c r="F5340" s="1">
        <v>3.1662921348314605</v>
      </c>
      <c r="G5340" s="1">
        <v>2.4699481241667431E-2</v>
      </c>
    </row>
    <row r="5341" spans="1:7">
      <c r="A5341">
        <v>76</v>
      </c>
      <c r="B5341">
        <v>268</v>
      </c>
      <c r="C5341" s="1">
        <f>(Tabela1[[#This Row],[x]]-H$3)*(Tabela1[[#This Row],[x]]-H$3) +(Tabela1[[#This Row],[y]]-H$4)*(Tabela1[[#This Row],[y]]-H$4)</f>
        <v>20000</v>
      </c>
      <c r="D5341" s="1">
        <f>IF(Tabela1[[#This Row],[promien]]&lt;40000,1,0)</f>
        <v>1</v>
      </c>
      <c r="E5341" s="1">
        <f>IF(Tabela1[[#This Row],[promien]]=40000,1,0)</f>
        <v>0</v>
      </c>
      <c r="F5341" s="1">
        <v>3.1664482306684141</v>
      </c>
      <c r="G5341" s="1">
        <v>2.4855577078620961E-2</v>
      </c>
    </row>
    <row r="5342" spans="1:7">
      <c r="A5342">
        <v>102</v>
      </c>
      <c r="B5342">
        <v>314</v>
      </c>
      <c r="C5342" s="1">
        <f>(Tabela1[[#This Row],[x]]-H$3)*(Tabela1[[#This Row],[x]]-H$3) +(Tabela1[[#This Row],[y]]-H$4)*(Tabela1[[#This Row],[y]]-H$4)</f>
        <v>22600</v>
      </c>
      <c r="D5342" s="1">
        <f>IF(Tabela1[[#This Row],[promien]]&lt;40000,1,0)</f>
        <v>1</v>
      </c>
      <c r="E5342" s="1">
        <f>IF(Tabela1[[#This Row],[promien]]=40000,1,0)</f>
        <v>0</v>
      </c>
      <c r="F5342" s="1">
        <v>3.1666042680643955</v>
      </c>
      <c r="G5342" s="1">
        <v>2.5011614474602428E-2</v>
      </c>
    </row>
    <row r="5343" spans="1:7">
      <c r="A5343">
        <v>333</v>
      </c>
      <c r="B5343">
        <v>254</v>
      </c>
      <c r="C5343" s="1">
        <f>(Tabela1[[#This Row],[x]]-H$3)*(Tabela1[[#This Row],[x]]-H$3) +(Tabela1[[#This Row],[y]]-H$4)*(Tabela1[[#This Row],[y]]-H$4)</f>
        <v>20605</v>
      </c>
      <c r="D5343" s="1">
        <f>IF(Tabela1[[#This Row],[promien]]&lt;40000,1,0)</f>
        <v>1</v>
      </c>
      <c r="E5343" s="1">
        <f>IF(Tabela1[[#This Row],[promien]]=40000,1,0)</f>
        <v>0</v>
      </c>
      <c r="F5343" s="1">
        <v>3.1667602470522178</v>
      </c>
      <c r="G5343" s="1">
        <v>2.5167593462424698E-2</v>
      </c>
    </row>
    <row r="5344" spans="1:7">
      <c r="A5344">
        <v>23</v>
      </c>
      <c r="B5344">
        <v>138</v>
      </c>
      <c r="C5344" s="1">
        <f>(Tabela1[[#This Row],[x]]-H$3)*(Tabela1[[#This Row],[x]]-H$3) +(Tabela1[[#This Row],[y]]-H$4)*(Tabela1[[#This Row],[y]]-H$4)</f>
        <v>35173</v>
      </c>
      <c r="D5344" s="1">
        <f>IF(Tabela1[[#This Row],[promien]]&lt;40000,1,0)</f>
        <v>1</v>
      </c>
      <c r="E5344" s="1">
        <f>IF(Tabela1[[#This Row],[promien]]=40000,1,0)</f>
        <v>0</v>
      </c>
      <c r="F5344" s="1">
        <v>3.1669161676646707</v>
      </c>
      <c r="G5344" s="1">
        <v>2.532351407487754E-2</v>
      </c>
    </row>
    <row r="5345" spans="1:7">
      <c r="A5345">
        <v>355</v>
      </c>
      <c r="B5345">
        <v>104</v>
      </c>
      <c r="C5345" s="1">
        <f>(Tabela1[[#This Row],[x]]-H$3)*(Tabela1[[#This Row],[x]]-H$3) +(Tabela1[[#This Row],[y]]-H$4)*(Tabela1[[#This Row],[y]]-H$4)</f>
        <v>33241</v>
      </c>
      <c r="D5345" s="1">
        <f>IF(Tabela1[[#This Row],[promien]]&lt;40000,1,0)</f>
        <v>1</v>
      </c>
      <c r="E5345" s="1">
        <f>IF(Tabela1[[#This Row],[promien]]=40000,1,0)</f>
        <v>0</v>
      </c>
      <c r="F5345" s="1">
        <v>3.1670720299345181</v>
      </c>
      <c r="G5345" s="1">
        <v>2.5479376344724969E-2</v>
      </c>
    </row>
    <row r="5346" spans="1:7">
      <c r="A5346">
        <v>11</v>
      </c>
      <c r="B5346">
        <v>374</v>
      </c>
      <c r="C5346" s="1">
        <f>(Tabela1[[#This Row],[x]]-H$3)*(Tabela1[[#This Row],[x]]-H$3) +(Tabela1[[#This Row],[y]]-H$4)*(Tabela1[[#This Row],[y]]-H$4)</f>
        <v>65997</v>
      </c>
      <c r="D5346" s="1">
        <f>IF(Tabela1[[#This Row],[promien]]&lt;40000,1,0)</f>
        <v>0</v>
      </c>
      <c r="E5346" s="1">
        <f>IF(Tabela1[[#This Row],[promien]]=40000,1,0)</f>
        <v>0</v>
      </c>
      <c r="F5346" s="1">
        <v>3.1664796109240552</v>
      </c>
      <c r="G5346" s="1">
        <v>2.488695733426205E-2</v>
      </c>
    </row>
    <row r="5347" spans="1:7">
      <c r="A5347">
        <v>154</v>
      </c>
      <c r="B5347">
        <v>376</v>
      </c>
      <c r="C5347" s="1">
        <f>(Tabela1[[#This Row],[x]]-H$3)*(Tabela1[[#This Row],[x]]-H$3) +(Tabela1[[#This Row],[y]]-H$4)*(Tabela1[[#This Row],[y]]-H$4)</f>
        <v>33092</v>
      </c>
      <c r="D5347" s="1">
        <f>IF(Tabela1[[#This Row],[promien]]&lt;40000,1,0)</f>
        <v>1</v>
      </c>
      <c r="E5347" s="1">
        <f>IF(Tabela1[[#This Row],[promien]]=40000,1,0)</f>
        <v>0</v>
      </c>
      <c r="F5347" s="1">
        <v>3.166635496540116</v>
      </c>
      <c r="G5347" s="1">
        <v>2.5042842950322886E-2</v>
      </c>
    </row>
    <row r="5348" spans="1:7">
      <c r="A5348">
        <v>181</v>
      </c>
      <c r="B5348">
        <v>210</v>
      </c>
      <c r="C5348" s="1">
        <f>(Tabela1[[#This Row],[x]]-H$3)*(Tabela1[[#This Row],[x]]-H$3) +(Tabela1[[#This Row],[y]]-H$4)*(Tabela1[[#This Row],[y]]-H$4)</f>
        <v>461</v>
      </c>
      <c r="D5348" s="1">
        <f>IF(Tabela1[[#This Row],[promien]]&lt;40000,1,0)</f>
        <v>1</v>
      </c>
      <c r="E5348" s="1">
        <f>IF(Tabela1[[#This Row],[promien]]=40000,1,0)</f>
        <v>0</v>
      </c>
      <c r="F5348" s="1">
        <v>3.1667913238593868</v>
      </c>
      <c r="G5348" s="1">
        <v>2.5198670269593659E-2</v>
      </c>
    </row>
    <row r="5349" spans="1:7">
      <c r="A5349">
        <v>36</v>
      </c>
      <c r="B5349">
        <v>142</v>
      </c>
      <c r="C5349" s="1">
        <f>(Tabela1[[#This Row],[x]]-H$3)*(Tabela1[[#This Row],[x]]-H$3) +(Tabela1[[#This Row],[y]]-H$4)*(Tabela1[[#This Row],[y]]-H$4)</f>
        <v>30260</v>
      </c>
      <c r="D5349" s="1">
        <f>IF(Tabela1[[#This Row],[promien]]&lt;40000,1,0)</f>
        <v>1</v>
      </c>
      <c r="E5349" s="1">
        <f>IF(Tabela1[[#This Row],[promien]]=40000,1,0)</f>
        <v>0</v>
      </c>
      <c r="F5349" s="1">
        <v>3.1669470929145636</v>
      </c>
      <c r="G5349" s="1">
        <v>2.5354439324770439E-2</v>
      </c>
    </row>
    <row r="5350" spans="1:7">
      <c r="A5350">
        <v>40</v>
      </c>
      <c r="B5350">
        <v>323</v>
      </c>
      <c r="C5350" s="1">
        <f>(Tabela1[[#This Row],[x]]-H$3)*(Tabela1[[#This Row],[x]]-H$3) +(Tabela1[[#This Row],[y]]-H$4)*(Tabela1[[#This Row],[y]]-H$4)</f>
        <v>40729</v>
      </c>
      <c r="D5350" s="1">
        <f>IF(Tabela1[[#This Row],[promien]]&lt;40000,1,0)</f>
        <v>0</v>
      </c>
      <c r="E5350" s="1">
        <f>IF(Tabela1[[#This Row],[promien]]=40000,1,0)</f>
        <v>0</v>
      </c>
      <c r="F5350" s="1">
        <v>3.1663551401869161</v>
      </c>
      <c r="G5350" s="1">
        <v>2.476248659712299E-2</v>
      </c>
    </row>
    <row r="5351" spans="1:7">
      <c r="A5351">
        <v>57</v>
      </c>
      <c r="B5351">
        <v>215</v>
      </c>
      <c r="C5351" s="1">
        <f>(Tabela1[[#This Row],[x]]-H$3)*(Tabela1[[#This Row],[x]]-H$3) +(Tabela1[[#This Row],[y]]-H$4)*(Tabela1[[#This Row],[y]]-H$4)</f>
        <v>20674</v>
      </c>
      <c r="D5351" s="1">
        <f>IF(Tabela1[[#This Row],[promien]]&lt;40000,1,0)</f>
        <v>1</v>
      </c>
      <c r="E5351" s="1">
        <f>IF(Tabela1[[#This Row],[promien]]=40000,1,0)</f>
        <v>0</v>
      </c>
      <c r="F5351" s="1">
        <v>3.1665109325359744</v>
      </c>
      <c r="G5351" s="1">
        <v>2.491827894618126E-2</v>
      </c>
    </row>
    <row r="5352" spans="1:7">
      <c r="A5352">
        <v>24</v>
      </c>
      <c r="B5352">
        <v>261</v>
      </c>
      <c r="C5352" s="1">
        <f>(Tabela1[[#This Row],[x]]-H$3)*(Tabela1[[#This Row],[x]]-H$3) +(Tabela1[[#This Row],[y]]-H$4)*(Tabela1[[#This Row],[y]]-H$4)</f>
        <v>34697</v>
      </c>
      <c r="D5352" s="1">
        <f>IF(Tabela1[[#This Row],[promien]]&lt;40000,1,0)</f>
        <v>1</v>
      </c>
      <c r="E5352" s="1">
        <f>IF(Tabela1[[#This Row],[promien]]=40000,1,0)</f>
        <v>0</v>
      </c>
      <c r="F5352" s="1">
        <v>3.1666666666666665</v>
      </c>
      <c r="G5352" s="1">
        <v>2.5074013076873403E-2</v>
      </c>
    </row>
    <row r="5353" spans="1:7">
      <c r="A5353">
        <v>359</v>
      </c>
      <c r="B5353">
        <v>242</v>
      </c>
      <c r="C5353" s="1">
        <f>(Tabela1[[#This Row],[x]]-H$3)*(Tabela1[[#This Row],[x]]-H$3) +(Tabela1[[#This Row],[y]]-H$4)*(Tabela1[[#This Row],[y]]-H$4)</f>
        <v>27045</v>
      </c>
      <c r="D5353" s="1">
        <f>IF(Tabela1[[#This Row],[promien]]&lt;40000,1,0)</f>
        <v>1</v>
      </c>
      <c r="E5353" s="1">
        <f>IF(Tabela1[[#This Row],[promien]]=40000,1,0)</f>
        <v>0</v>
      </c>
      <c r="F5353" s="1">
        <v>3.1668223426116198</v>
      </c>
      <c r="G5353" s="1">
        <v>2.5229689021826651E-2</v>
      </c>
    </row>
    <row r="5354" spans="1:7">
      <c r="A5354">
        <v>370</v>
      </c>
      <c r="B5354">
        <v>255</v>
      </c>
      <c r="C5354" s="1">
        <f>(Tabela1[[#This Row],[x]]-H$3)*(Tabela1[[#This Row],[x]]-H$3) +(Tabela1[[#This Row],[y]]-H$4)*(Tabela1[[#This Row],[y]]-H$4)</f>
        <v>31925</v>
      </c>
      <c r="D5354" s="1">
        <f>IF(Tabela1[[#This Row],[promien]]&lt;40000,1,0)</f>
        <v>1</v>
      </c>
      <c r="E5354" s="1">
        <f>IF(Tabela1[[#This Row],[promien]]=40000,1,0)</f>
        <v>0</v>
      </c>
      <c r="F5354" s="1">
        <v>3.1669779604034365</v>
      </c>
      <c r="G5354" s="1">
        <v>2.5385306813643371E-2</v>
      </c>
    </row>
    <row r="5355" spans="1:7">
      <c r="A5355">
        <v>82</v>
      </c>
      <c r="B5355">
        <v>173</v>
      </c>
      <c r="C5355" s="1">
        <f>(Tabela1[[#This Row],[x]]-H$3)*(Tabela1[[#This Row],[x]]-H$3) +(Tabela1[[#This Row],[y]]-H$4)*(Tabela1[[#This Row],[y]]-H$4)</f>
        <v>14653</v>
      </c>
      <c r="D5355" s="1">
        <f>IF(Tabela1[[#This Row],[promien]]&lt;40000,1,0)</f>
        <v>1</v>
      </c>
      <c r="E5355" s="1">
        <f>IF(Tabela1[[#This Row],[promien]]=40000,1,0)</f>
        <v>0</v>
      </c>
      <c r="F5355" s="1">
        <v>3.1671335200746964</v>
      </c>
      <c r="G5355" s="1">
        <v>2.554086648490328E-2</v>
      </c>
    </row>
    <row r="5356" spans="1:7">
      <c r="A5356">
        <v>29</v>
      </c>
      <c r="B5356">
        <v>164</v>
      </c>
      <c r="C5356" s="1">
        <f>(Tabela1[[#This Row],[x]]-H$3)*(Tabela1[[#This Row],[x]]-H$3) +(Tabela1[[#This Row],[y]]-H$4)*(Tabela1[[#This Row],[y]]-H$4)</f>
        <v>30537</v>
      </c>
      <c r="D5356" s="1">
        <f>IF(Tabela1[[#This Row],[promien]]&lt;40000,1,0)</f>
        <v>1</v>
      </c>
      <c r="E5356" s="1">
        <f>IF(Tabela1[[#This Row],[promien]]=40000,1,0)</f>
        <v>0</v>
      </c>
      <c r="F5356" s="1">
        <v>3.1672890216579539</v>
      </c>
      <c r="G5356" s="1">
        <v>2.569636806816078E-2</v>
      </c>
    </row>
    <row r="5357" spans="1:7">
      <c r="A5357">
        <v>343</v>
      </c>
      <c r="B5357">
        <v>158</v>
      </c>
      <c r="C5357" s="1">
        <f>(Tabela1[[#This Row],[x]]-H$3)*(Tabela1[[#This Row],[x]]-H$3) +(Tabela1[[#This Row],[y]]-H$4)*(Tabela1[[#This Row],[y]]-H$4)</f>
        <v>22213</v>
      </c>
      <c r="D5357" s="1">
        <f>IF(Tabela1[[#This Row],[promien]]&lt;40000,1,0)</f>
        <v>1</v>
      </c>
      <c r="E5357" s="1">
        <f>IF(Tabela1[[#This Row],[promien]]=40000,1,0)</f>
        <v>0</v>
      </c>
      <c r="F5357" s="1">
        <v>3.1674444651857381</v>
      </c>
      <c r="G5357" s="1">
        <v>2.5851811595944962E-2</v>
      </c>
    </row>
    <row r="5358" spans="1:7">
      <c r="A5358">
        <v>352</v>
      </c>
      <c r="B5358">
        <v>135</v>
      </c>
      <c r="C5358" s="1">
        <f>(Tabela1[[#This Row],[x]]-H$3)*(Tabela1[[#This Row],[x]]-H$3) +(Tabela1[[#This Row],[y]]-H$4)*(Tabela1[[#This Row],[y]]-H$4)</f>
        <v>27329</v>
      </c>
      <c r="D5358" s="1">
        <f>IF(Tabela1[[#This Row],[promien]]&lt;40000,1,0)</f>
        <v>1</v>
      </c>
      <c r="E5358" s="1">
        <f>IF(Tabela1[[#This Row],[promien]]=40000,1,0)</f>
        <v>0</v>
      </c>
      <c r="F5358" s="1">
        <v>3.1675998506905563</v>
      </c>
      <c r="G5358" s="1">
        <v>2.6007197100763157E-2</v>
      </c>
    </row>
    <row r="5359" spans="1:7">
      <c r="A5359">
        <v>207</v>
      </c>
      <c r="B5359">
        <v>4</v>
      </c>
      <c r="C5359" s="1">
        <f>(Tabela1[[#This Row],[x]]-H$3)*(Tabela1[[#This Row],[x]]-H$3) +(Tabela1[[#This Row],[y]]-H$4)*(Tabela1[[#This Row],[y]]-H$4)</f>
        <v>38465</v>
      </c>
      <c r="D5359" s="1">
        <f>IF(Tabela1[[#This Row],[promien]]&lt;40000,1,0)</f>
        <v>1</v>
      </c>
      <c r="E5359" s="1">
        <f>IF(Tabela1[[#This Row],[promien]]=40000,1,0)</f>
        <v>0</v>
      </c>
      <c r="F5359" s="1">
        <v>3.1677551782048892</v>
      </c>
      <c r="G5359" s="1">
        <v>2.616252461509605E-2</v>
      </c>
    </row>
    <row r="5360" spans="1:7">
      <c r="A5360">
        <v>220</v>
      </c>
      <c r="B5360">
        <v>5</v>
      </c>
      <c r="C5360" s="1">
        <f>(Tabela1[[#This Row],[x]]-H$3)*(Tabela1[[#This Row],[x]]-H$3) +(Tabela1[[#This Row],[y]]-H$4)*(Tabela1[[#This Row],[y]]-H$4)</f>
        <v>38425</v>
      </c>
      <c r="D5360" s="1">
        <f>IF(Tabela1[[#This Row],[promien]]&lt;40000,1,0)</f>
        <v>1</v>
      </c>
      <c r="E5360" s="1">
        <f>IF(Tabela1[[#This Row],[promien]]=40000,1,0)</f>
        <v>0</v>
      </c>
      <c r="F5360" s="1">
        <v>3.1679104477611939</v>
      </c>
      <c r="G5360" s="1">
        <v>2.6317794171400788E-2</v>
      </c>
    </row>
    <row r="5361" spans="1:7">
      <c r="A5361">
        <v>23</v>
      </c>
      <c r="B5361">
        <v>393</v>
      </c>
      <c r="C5361" s="1">
        <f>(Tabela1[[#This Row],[x]]-H$3)*(Tabela1[[#This Row],[x]]-H$3) +(Tabela1[[#This Row],[y]]-H$4)*(Tabela1[[#This Row],[y]]-H$4)</f>
        <v>68578</v>
      </c>
      <c r="D5361" s="1">
        <f>IF(Tabela1[[#This Row],[promien]]&lt;40000,1,0)</f>
        <v>0</v>
      </c>
      <c r="E5361" s="1">
        <f>IF(Tabela1[[#This Row],[promien]]=40000,1,0)</f>
        <v>0</v>
      </c>
      <c r="F5361" s="1">
        <v>3.1673195299384442</v>
      </c>
      <c r="G5361" s="1">
        <v>2.5726876348651118E-2</v>
      </c>
    </row>
    <row r="5362" spans="1:7">
      <c r="A5362">
        <v>381</v>
      </c>
      <c r="B5362">
        <v>297</v>
      </c>
      <c r="C5362" s="1">
        <f>(Tabela1[[#This Row],[x]]-H$3)*(Tabela1[[#This Row],[x]]-H$3) +(Tabela1[[#This Row],[y]]-H$4)*(Tabela1[[#This Row],[y]]-H$4)</f>
        <v>42170</v>
      </c>
      <c r="D5362" s="1">
        <f>IF(Tabela1[[#This Row],[promien]]&lt;40000,1,0)</f>
        <v>0</v>
      </c>
      <c r="E5362" s="1">
        <f>IF(Tabela1[[#This Row],[promien]]=40000,1,0)</f>
        <v>0</v>
      </c>
      <c r="F5362" s="1">
        <v>3.1667288325251772</v>
      </c>
      <c r="G5362" s="1">
        <v>2.5136178935384113E-2</v>
      </c>
    </row>
    <row r="5363" spans="1:7">
      <c r="A5363">
        <v>95</v>
      </c>
      <c r="B5363">
        <v>126</v>
      </c>
      <c r="C5363" s="1">
        <f>(Tabela1[[#This Row],[x]]-H$3)*(Tabela1[[#This Row],[x]]-H$3) +(Tabela1[[#This Row],[y]]-H$4)*(Tabela1[[#This Row],[y]]-H$4)</f>
        <v>16501</v>
      </c>
      <c r="D5363" s="1">
        <f>IF(Tabela1[[#This Row],[promien]]&lt;40000,1,0)</f>
        <v>1</v>
      </c>
      <c r="E5363" s="1">
        <f>IF(Tabela1[[#This Row],[promien]]=40000,1,0)</f>
        <v>0</v>
      </c>
      <c r="F5363" s="1">
        <v>3.1668842066007832</v>
      </c>
      <c r="G5363" s="1">
        <v>2.5291553010990064E-2</v>
      </c>
    </row>
    <row r="5364" spans="1:7">
      <c r="A5364">
        <v>173</v>
      </c>
      <c r="B5364">
        <v>297</v>
      </c>
      <c r="C5364" s="1">
        <f>(Tabela1[[#This Row],[x]]-H$3)*(Tabela1[[#This Row],[x]]-H$3) +(Tabela1[[#This Row],[y]]-H$4)*(Tabela1[[#This Row],[y]]-H$4)</f>
        <v>10138</v>
      </c>
      <c r="D5364" s="1">
        <f>IF(Tabela1[[#This Row],[promien]]&lt;40000,1,0)</f>
        <v>1</v>
      </c>
      <c r="E5364" s="1">
        <f>IF(Tabela1[[#This Row],[promien]]=40000,1,0)</f>
        <v>0</v>
      </c>
      <c r="F5364" s="1">
        <v>3.1670395227442207</v>
      </c>
      <c r="G5364" s="1">
        <v>2.544686915442762E-2</v>
      </c>
    </row>
    <row r="5365" spans="1:7">
      <c r="A5365">
        <v>224</v>
      </c>
      <c r="B5365">
        <v>115</v>
      </c>
      <c r="C5365" s="1">
        <f>(Tabela1[[#This Row],[x]]-H$3)*(Tabela1[[#This Row],[x]]-H$3) +(Tabela1[[#This Row],[y]]-H$4)*(Tabela1[[#This Row],[y]]-H$4)</f>
        <v>7801</v>
      </c>
      <c r="D5365" s="1">
        <f>IF(Tabela1[[#This Row],[promien]]&lt;40000,1,0)</f>
        <v>1</v>
      </c>
      <c r="E5365" s="1">
        <f>IF(Tabela1[[#This Row],[promien]]=40000,1,0)</f>
        <v>0</v>
      </c>
      <c r="F5365" s="1">
        <v>3.1671947809878844</v>
      </c>
      <c r="G5365" s="1">
        <v>2.5602127398091312E-2</v>
      </c>
    </row>
    <row r="5366" spans="1:7">
      <c r="A5366">
        <v>110</v>
      </c>
      <c r="B5366">
        <v>348</v>
      </c>
      <c r="C5366" s="1">
        <f>(Tabela1[[#This Row],[x]]-H$3)*(Tabela1[[#This Row],[x]]-H$3) +(Tabela1[[#This Row],[y]]-H$4)*(Tabela1[[#This Row],[y]]-H$4)</f>
        <v>30004</v>
      </c>
      <c r="D5366" s="1">
        <f>IF(Tabela1[[#This Row],[promien]]&lt;40000,1,0)</f>
        <v>1</v>
      </c>
      <c r="E5366" s="1">
        <f>IF(Tabela1[[#This Row],[promien]]=40000,1,0)</f>
        <v>0</v>
      </c>
      <c r="F5366" s="1">
        <v>3.1673499813641448</v>
      </c>
      <c r="G5366" s="1">
        <v>2.575732777435169E-2</v>
      </c>
    </row>
    <row r="5367" spans="1:7">
      <c r="A5367">
        <v>56</v>
      </c>
      <c r="B5367">
        <v>369</v>
      </c>
      <c r="C5367" s="1">
        <f>(Tabela1[[#This Row],[x]]-H$3)*(Tabela1[[#This Row],[x]]-H$3) +(Tabela1[[#This Row],[y]]-H$4)*(Tabela1[[#This Row],[y]]-H$4)</f>
        <v>49297</v>
      </c>
      <c r="D5367" s="1">
        <f>IF(Tabela1[[#This Row],[promien]]&lt;40000,1,0)</f>
        <v>0</v>
      </c>
      <c r="E5367" s="1">
        <f>IF(Tabela1[[#This Row],[promien]]=40000,1,0)</f>
        <v>0</v>
      </c>
      <c r="F5367" s="1">
        <v>3.1667598285820757</v>
      </c>
      <c r="G5367" s="1">
        <v>2.5167174992282604E-2</v>
      </c>
    </row>
    <row r="5368" spans="1:7">
      <c r="A5368">
        <v>141</v>
      </c>
      <c r="B5368">
        <v>87</v>
      </c>
      <c r="C5368" s="1">
        <f>(Tabela1[[#This Row],[x]]-H$3)*(Tabela1[[#This Row],[x]]-H$3) +(Tabela1[[#This Row],[y]]-H$4)*(Tabela1[[#This Row],[y]]-H$4)</f>
        <v>16250</v>
      </c>
      <c r="D5368" s="1">
        <f>IF(Tabela1[[#This Row],[promien]]&lt;40000,1,0)</f>
        <v>1</v>
      </c>
      <c r="E5368" s="1">
        <f>IF(Tabela1[[#This Row],[promien]]=40000,1,0)</f>
        <v>0</v>
      </c>
      <c r="F5368" s="1">
        <v>3.1669150521609537</v>
      </c>
      <c r="G5368" s="1">
        <v>2.5322398571160587E-2</v>
      </c>
    </row>
    <row r="5369" spans="1:7">
      <c r="A5369">
        <v>381</v>
      </c>
      <c r="B5369">
        <v>129</v>
      </c>
      <c r="C5369" s="1">
        <f>(Tabela1[[#This Row],[x]]-H$3)*(Tabela1[[#This Row],[x]]-H$3) +(Tabela1[[#This Row],[y]]-H$4)*(Tabela1[[#This Row],[y]]-H$4)</f>
        <v>37802</v>
      </c>
      <c r="D5369" s="1">
        <f>IF(Tabela1[[#This Row],[promien]]&lt;40000,1,0)</f>
        <v>1</v>
      </c>
      <c r="E5369" s="1">
        <f>IF(Tabela1[[#This Row],[promien]]=40000,1,0)</f>
        <v>0</v>
      </c>
      <c r="F5369" s="1">
        <v>3.1670702179176757</v>
      </c>
      <c r="G5369" s="1">
        <v>2.5477564327882618E-2</v>
      </c>
    </row>
    <row r="5370" spans="1:7">
      <c r="A5370">
        <v>322</v>
      </c>
      <c r="B5370">
        <v>102</v>
      </c>
      <c r="C5370" s="1">
        <f>(Tabela1[[#This Row],[x]]-H$3)*(Tabela1[[#This Row],[x]]-H$3) +(Tabela1[[#This Row],[y]]-H$4)*(Tabela1[[#This Row],[y]]-H$4)</f>
        <v>24488</v>
      </c>
      <c r="D5370" s="1">
        <f>IF(Tabela1[[#This Row],[promien]]&lt;40000,1,0)</f>
        <v>1</v>
      </c>
      <c r="E5370" s="1">
        <f>IF(Tabela1[[#This Row],[promien]]=40000,1,0)</f>
        <v>0</v>
      </c>
      <c r="F5370" s="1">
        <v>3.167225325884544</v>
      </c>
      <c r="G5370" s="1">
        <v>2.5632672294750858E-2</v>
      </c>
    </row>
    <row r="5371" spans="1:7">
      <c r="A5371">
        <v>346</v>
      </c>
      <c r="B5371">
        <v>355</v>
      </c>
      <c r="C5371" s="1">
        <f>(Tabela1[[#This Row],[x]]-H$3)*(Tabela1[[#This Row],[x]]-H$3) +(Tabela1[[#This Row],[y]]-H$4)*(Tabela1[[#This Row],[y]]-H$4)</f>
        <v>45341</v>
      </c>
      <c r="D5371" s="1">
        <f>IF(Tabela1[[#This Row],[promien]]&lt;40000,1,0)</f>
        <v>0</v>
      </c>
      <c r="E5371" s="1">
        <f>IF(Tabela1[[#This Row],[promien]]=40000,1,0)</f>
        <v>0</v>
      </c>
      <c r="F5371" s="1">
        <v>3.1666356358220069</v>
      </c>
      <c r="G5371" s="1">
        <v>2.5042982232213795E-2</v>
      </c>
    </row>
    <row r="5372" spans="1:7">
      <c r="A5372">
        <v>111</v>
      </c>
      <c r="B5372">
        <v>25</v>
      </c>
      <c r="C5372" s="1">
        <f>(Tabela1[[#This Row],[x]]-H$3)*(Tabela1[[#This Row],[x]]-H$3) +(Tabela1[[#This Row],[y]]-H$4)*(Tabela1[[#This Row],[y]]-H$4)</f>
        <v>38546</v>
      </c>
      <c r="D5372" s="1">
        <f>IF(Tabela1[[#This Row],[promien]]&lt;40000,1,0)</f>
        <v>1</v>
      </c>
      <c r="E5372" s="1">
        <f>IF(Tabela1[[#This Row],[promien]]=40000,1,0)</f>
        <v>0</v>
      </c>
      <c r="F5372" s="1">
        <v>3.1667907669396871</v>
      </c>
      <c r="G5372" s="1">
        <v>2.5198113349893969E-2</v>
      </c>
    </row>
    <row r="5373" spans="1:7">
      <c r="A5373">
        <v>184</v>
      </c>
      <c r="B5373">
        <v>35</v>
      </c>
      <c r="C5373" s="1">
        <f>(Tabela1[[#This Row],[x]]-H$3)*(Tabela1[[#This Row],[x]]-H$3) +(Tabela1[[#This Row],[y]]-H$4)*(Tabela1[[#This Row],[y]]-H$4)</f>
        <v>27481</v>
      </c>
      <c r="D5373" s="1">
        <f>IF(Tabela1[[#This Row],[promien]]&lt;40000,1,0)</f>
        <v>1</v>
      </c>
      <c r="E5373" s="1">
        <f>IF(Tabela1[[#This Row],[promien]]=40000,1,0)</f>
        <v>0</v>
      </c>
      <c r="F5373" s="1">
        <v>3.1669458403126747</v>
      </c>
      <c r="G5373" s="1">
        <v>2.535318672288156E-2</v>
      </c>
    </row>
    <row r="5374" spans="1:7">
      <c r="A5374">
        <v>333</v>
      </c>
      <c r="B5374">
        <v>341</v>
      </c>
      <c r="C5374" s="1">
        <f>(Tabela1[[#This Row],[x]]-H$3)*(Tabela1[[#This Row],[x]]-H$3) +(Tabela1[[#This Row],[y]]-H$4)*(Tabela1[[#This Row],[y]]-H$4)</f>
        <v>37570</v>
      </c>
      <c r="D5374" s="1">
        <f>IF(Tabela1[[#This Row],[promien]]&lt;40000,1,0)</f>
        <v>1</v>
      </c>
      <c r="E5374" s="1">
        <f>IF(Tabela1[[#This Row],[promien]]=40000,1,0)</f>
        <v>0</v>
      </c>
      <c r="F5374" s="1">
        <v>3.1671008559732043</v>
      </c>
      <c r="G5374" s="1">
        <v>2.5508202383411227E-2</v>
      </c>
    </row>
    <row r="5375" spans="1:7">
      <c r="A5375">
        <v>191</v>
      </c>
      <c r="B5375">
        <v>342</v>
      </c>
      <c r="C5375" s="1">
        <f>(Tabela1[[#This Row],[x]]-H$3)*(Tabela1[[#This Row],[x]]-H$3) +(Tabela1[[#This Row],[y]]-H$4)*(Tabela1[[#This Row],[y]]-H$4)</f>
        <v>20245</v>
      </c>
      <c r="D5375" s="1">
        <f>IF(Tabela1[[#This Row],[promien]]&lt;40000,1,0)</f>
        <v>1</v>
      </c>
      <c r="E5375" s="1">
        <f>IF(Tabela1[[#This Row],[promien]]=40000,1,0)</f>
        <v>0</v>
      </c>
      <c r="F5375" s="1">
        <v>3.1672558139534885</v>
      </c>
      <c r="G5375" s="1">
        <v>2.5663160363695425E-2</v>
      </c>
    </row>
    <row r="5376" spans="1:7">
      <c r="A5376">
        <v>246</v>
      </c>
      <c r="B5376">
        <v>208</v>
      </c>
      <c r="C5376" s="1">
        <f>(Tabela1[[#This Row],[x]]-H$3)*(Tabela1[[#This Row],[x]]-H$3) +(Tabela1[[#This Row],[y]]-H$4)*(Tabela1[[#This Row],[y]]-H$4)</f>
        <v>2180</v>
      </c>
      <c r="D5376" s="1">
        <f>IF(Tabela1[[#This Row],[promien]]&lt;40000,1,0)</f>
        <v>1</v>
      </c>
      <c r="E5376" s="1">
        <f>IF(Tabela1[[#This Row],[promien]]=40000,1,0)</f>
        <v>0</v>
      </c>
      <c r="F5376" s="1">
        <v>3.1674107142857144</v>
      </c>
      <c r="G5376" s="1">
        <v>2.5818060695921297E-2</v>
      </c>
    </row>
    <row r="5377" spans="1:7">
      <c r="A5377">
        <v>134</v>
      </c>
      <c r="B5377">
        <v>160</v>
      </c>
      <c r="C5377" s="1">
        <f>(Tabela1[[#This Row],[x]]-H$3)*(Tabela1[[#This Row],[x]]-H$3) +(Tabela1[[#This Row],[y]]-H$4)*(Tabela1[[#This Row],[y]]-H$4)</f>
        <v>5956</v>
      </c>
      <c r="D5377" s="1">
        <f>IF(Tabela1[[#This Row],[promien]]&lt;40000,1,0)</f>
        <v>1</v>
      </c>
      <c r="E5377" s="1">
        <f>IF(Tabela1[[#This Row],[promien]]=40000,1,0)</f>
        <v>0</v>
      </c>
      <c r="F5377" s="1">
        <v>3.1675655570020456</v>
      </c>
      <c r="G5377" s="1">
        <v>2.5972903412252446E-2</v>
      </c>
    </row>
    <row r="5378" spans="1:7">
      <c r="A5378">
        <v>107</v>
      </c>
      <c r="B5378">
        <v>42</v>
      </c>
      <c r="C5378" s="1">
        <f>(Tabela1[[#This Row],[x]]-H$3)*(Tabela1[[#This Row],[x]]-H$3) +(Tabela1[[#This Row],[y]]-H$4)*(Tabela1[[#This Row],[y]]-H$4)</f>
        <v>33613</v>
      </c>
      <c r="D5378" s="1">
        <f>IF(Tabela1[[#This Row],[promien]]&lt;40000,1,0)</f>
        <v>1</v>
      </c>
      <c r="E5378" s="1">
        <f>IF(Tabela1[[#This Row],[promien]]=40000,1,0)</f>
        <v>0</v>
      </c>
      <c r="F5378" s="1">
        <v>3.1677203421346225</v>
      </c>
      <c r="G5378" s="1">
        <v>2.6127688544829386E-2</v>
      </c>
    </row>
    <row r="5379" spans="1:7">
      <c r="A5379">
        <v>342</v>
      </c>
      <c r="B5379">
        <v>314</v>
      </c>
      <c r="C5379" s="1">
        <f>(Tabela1[[#This Row],[x]]-H$3)*(Tabela1[[#This Row],[x]]-H$3) +(Tabela1[[#This Row],[y]]-H$4)*(Tabela1[[#This Row],[y]]-H$4)</f>
        <v>33160</v>
      </c>
      <c r="D5379" s="1">
        <f>IF(Tabela1[[#This Row],[promien]]&lt;40000,1,0)</f>
        <v>1</v>
      </c>
      <c r="E5379" s="1">
        <f>IF(Tabela1[[#This Row],[promien]]=40000,1,0)</f>
        <v>0</v>
      </c>
      <c r="F5379" s="1">
        <v>3.1678750697155604</v>
      </c>
      <c r="G5379" s="1">
        <v>2.6282416125767316E-2</v>
      </c>
    </row>
    <row r="5380" spans="1:7">
      <c r="A5380">
        <v>235</v>
      </c>
      <c r="B5380">
        <v>159</v>
      </c>
      <c r="C5380" s="1">
        <f>(Tabela1[[#This Row],[x]]-H$3)*(Tabela1[[#This Row],[x]]-H$3) +(Tabela1[[#This Row],[y]]-H$4)*(Tabela1[[#This Row],[y]]-H$4)</f>
        <v>2906</v>
      </c>
      <c r="D5380" s="1">
        <f>IF(Tabela1[[#This Row],[promien]]&lt;40000,1,0)</f>
        <v>1</v>
      </c>
      <c r="E5380" s="1">
        <f>IF(Tabela1[[#This Row],[promien]]=40000,1,0)</f>
        <v>0</v>
      </c>
      <c r="F5380" s="1">
        <v>3.1680297397769515</v>
      </c>
      <c r="G5380" s="1">
        <v>2.6437086187158343E-2</v>
      </c>
    </row>
    <row r="5381" spans="1:7">
      <c r="A5381">
        <v>168</v>
      </c>
      <c r="B5381">
        <v>251</v>
      </c>
      <c r="C5381" s="1">
        <f>(Tabela1[[#This Row],[x]]-H$3)*(Tabela1[[#This Row],[x]]-H$3) +(Tabela1[[#This Row],[y]]-H$4)*(Tabela1[[#This Row],[y]]-H$4)</f>
        <v>3625</v>
      </c>
      <c r="D5381" s="1">
        <f>IF(Tabela1[[#This Row],[promien]]&lt;40000,1,0)</f>
        <v>1</v>
      </c>
      <c r="E5381" s="1">
        <f>IF(Tabela1[[#This Row],[promien]]=40000,1,0)</f>
        <v>0</v>
      </c>
      <c r="F5381" s="1">
        <v>3.1681843523508642</v>
      </c>
      <c r="G5381" s="1">
        <v>2.6591698761071036E-2</v>
      </c>
    </row>
    <row r="5382" spans="1:7">
      <c r="A5382">
        <v>22</v>
      </c>
      <c r="B5382">
        <v>158</v>
      </c>
      <c r="C5382" s="1">
        <f>(Tabela1[[#This Row],[x]]-H$3)*(Tabela1[[#This Row],[x]]-H$3) +(Tabela1[[#This Row],[y]]-H$4)*(Tabela1[[#This Row],[y]]-H$4)</f>
        <v>33448</v>
      </c>
      <c r="D5382" s="1">
        <f>IF(Tabela1[[#This Row],[promien]]&lt;40000,1,0)</f>
        <v>1</v>
      </c>
      <c r="E5382" s="1">
        <f>IF(Tabela1[[#This Row],[promien]]=40000,1,0)</f>
        <v>0</v>
      </c>
      <c r="F5382" s="1">
        <v>3.1683389074693422</v>
      </c>
      <c r="G5382" s="1">
        <v>2.6746253879549098E-2</v>
      </c>
    </row>
    <row r="5383" spans="1:7">
      <c r="A5383">
        <v>321</v>
      </c>
      <c r="B5383">
        <v>113</v>
      </c>
      <c r="C5383" s="1">
        <f>(Tabela1[[#This Row],[x]]-H$3)*(Tabela1[[#This Row],[x]]-H$3) +(Tabela1[[#This Row],[y]]-H$4)*(Tabela1[[#This Row],[y]]-H$4)</f>
        <v>22210</v>
      </c>
      <c r="D5383" s="1">
        <f>IF(Tabela1[[#This Row],[promien]]&lt;40000,1,0)</f>
        <v>1</v>
      </c>
      <c r="E5383" s="1">
        <f>IF(Tabela1[[#This Row],[promien]]=40000,1,0)</f>
        <v>0</v>
      </c>
      <c r="F5383" s="1">
        <v>3.1684934051644063</v>
      </c>
      <c r="G5383" s="1">
        <v>2.6900751574613135E-2</v>
      </c>
    </row>
    <row r="5384" spans="1:7">
      <c r="A5384">
        <v>222</v>
      </c>
      <c r="B5384">
        <v>229</v>
      </c>
      <c r="C5384" s="1">
        <f>(Tabela1[[#This Row],[x]]-H$3)*(Tabela1[[#This Row],[x]]-H$3) +(Tabela1[[#This Row],[y]]-H$4)*(Tabela1[[#This Row],[y]]-H$4)</f>
        <v>1325</v>
      </c>
      <c r="D5384" s="1">
        <f>IF(Tabela1[[#This Row],[promien]]&lt;40000,1,0)</f>
        <v>1</v>
      </c>
      <c r="E5384" s="1">
        <f>IF(Tabela1[[#This Row],[promien]]=40000,1,0)</f>
        <v>0</v>
      </c>
      <c r="F5384" s="1">
        <v>3.1686478454680533</v>
      </c>
      <c r="G5384" s="1">
        <v>2.7055191878260221E-2</v>
      </c>
    </row>
    <row r="5385" spans="1:7">
      <c r="A5385">
        <v>260</v>
      </c>
      <c r="B5385">
        <v>353</v>
      </c>
      <c r="C5385" s="1">
        <f>(Tabela1[[#This Row],[x]]-H$3)*(Tabela1[[#This Row],[x]]-H$3) +(Tabela1[[#This Row],[y]]-H$4)*(Tabela1[[#This Row],[y]]-H$4)</f>
        <v>27009</v>
      </c>
      <c r="D5385" s="1">
        <f>IF(Tabela1[[#This Row],[promien]]&lt;40000,1,0)</f>
        <v>1</v>
      </c>
      <c r="E5385" s="1">
        <f>IF(Tabela1[[#This Row],[promien]]=40000,1,0)</f>
        <v>0</v>
      </c>
      <c r="F5385" s="1">
        <v>3.1688022284122561</v>
      </c>
      <c r="G5385" s="1">
        <v>2.7209574822463001E-2</v>
      </c>
    </row>
    <row r="5386" spans="1:7">
      <c r="A5386">
        <v>260</v>
      </c>
      <c r="B5386">
        <v>141</v>
      </c>
      <c r="C5386" s="1">
        <f>(Tabela1[[#This Row],[x]]-H$3)*(Tabela1[[#This Row],[x]]-H$3) +(Tabela1[[#This Row],[y]]-H$4)*(Tabela1[[#This Row],[y]]-H$4)</f>
        <v>7081</v>
      </c>
      <c r="D5386" s="1">
        <f>IF(Tabela1[[#This Row],[promien]]&lt;40000,1,0)</f>
        <v>1</v>
      </c>
      <c r="E5386" s="1">
        <f>IF(Tabela1[[#This Row],[promien]]=40000,1,0)</f>
        <v>0</v>
      </c>
      <c r="F5386" s="1">
        <v>3.1689565540289641</v>
      </c>
      <c r="G5386" s="1">
        <v>2.7363900439171029E-2</v>
      </c>
    </row>
    <row r="5387" spans="1:7">
      <c r="A5387">
        <v>161</v>
      </c>
      <c r="B5387">
        <v>194</v>
      </c>
      <c r="C5387" s="1">
        <f>(Tabela1[[#This Row],[x]]-H$3)*(Tabela1[[#This Row],[x]]-H$3) +(Tabela1[[#This Row],[y]]-H$4)*(Tabela1[[#This Row],[y]]-H$4)</f>
        <v>1557</v>
      </c>
      <c r="D5387" s="1">
        <f>IF(Tabela1[[#This Row],[promien]]&lt;40000,1,0)</f>
        <v>1</v>
      </c>
      <c r="E5387" s="1">
        <f>IF(Tabela1[[#This Row],[promien]]=40000,1,0)</f>
        <v>0</v>
      </c>
      <c r="F5387" s="1">
        <v>3.1691108223501021</v>
      </c>
      <c r="G5387" s="1">
        <v>2.7518168760308992E-2</v>
      </c>
    </row>
    <row r="5388" spans="1:7">
      <c r="A5388">
        <v>267</v>
      </c>
      <c r="B5388">
        <v>309</v>
      </c>
      <c r="C5388" s="1">
        <f>(Tabela1[[#This Row],[x]]-H$3)*(Tabela1[[#This Row],[x]]-H$3) +(Tabela1[[#This Row],[y]]-H$4)*(Tabela1[[#This Row],[y]]-H$4)</f>
        <v>16370</v>
      </c>
      <c r="D5388" s="1">
        <f>IF(Tabela1[[#This Row],[promien]]&lt;40000,1,0)</f>
        <v>1</v>
      </c>
      <c r="E5388" s="1">
        <f>IF(Tabela1[[#This Row],[promien]]=40000,1,0)</f>
        <v>0</v>
      </c>
      <c r="F5388" s="1">
        <v>3.1692650334075725</v>
      </c>
      <c r="G5388" s="1">
        <v>2.7672379817779369E-2</v>
      </c>
    </row>
    <row r="5389" spans="1:7">
      <c r="A5389">
        <v>137</v>
      </c>
      <c r="B5389">
        <v>400</v>
      </c>
      <c r="C5389" s="1">
        <f>(Tabela1[[#This Row],[x]]-H$3)*(Tabela1[[#This Row],[x]]-H$3) +(Tabela1[[#This Row],[y]]-H$4)*(Tabela1[[#This Row],[y]]-H$4)</f>
        <v>43969</v>
      </c>
      <c r="D5389" s="1">
        <f>IF(Tabela1[[#This Row],[promien]]&lt;40000,1,0)</f>
        <v>0</v>
      </c>
      <c r="E5389" s="1">
        <f>IF(Tabela1[[#This Row],[promien]]=40000,1,0)</f>
        <v>0</v>
      </c>
      <c r="F5389" s="1">
        <v>3.168676934496196</v>
      </c>
      <c r="G5389" s="1">
        <v>2.7084280906402913E-2</v>
      </c>
    </row>
    <row r="5390" spans="1:7">
      <c r="A5390">
        <v>56</v>
      </c>
      <c r="B5390">
        <v>319</v>
      </c>
      <c r="C5390" s="1">
        <f>(Tabela1[[#This Row],[x]]-H$3)*(Tabela1[[#This Row],[x]]-H$3) +(Tabela1[[#This Row],[y]]-H$4)*(Tabela1[[#This Row],[y]]-H$4)</f>
        <v>34897</v>
      </c>
      <c r="D5390" s="1">
        <f>IF(Tabela1[[#This Row],[promien]]&lt;40000,1,0)</f>
        <v>1</v>
      </c>
      <c r="E5390" s="1">
        <f>IF(Tabela1[[#This Row],[promien]]=40000,1,0)</f>
        <v>0</v>
      </c>
      <c r="F5390" s="1">
        <v>3.168831168831169</v>
      </c>
      <c r="G5390" s="1">
        <v>2.7238515241375882E-2</v>
      </c>
    </row>
    <row r="5391" spans="1:7">
      <c r="A5391">
        <v>97</v>
      </c>
      <c r="B5391">
        <v>143</v>
      </c>
      <c r="C5391" s="1">
        <f>(Tabela1[[#This Row],[x]]-H$3)*(Tabela1[[#This Row],[x]]-H$3) +(Tabela1[[#This Row],[y]]-H$4)*(Tabela1[[#This Row],[y]]-H$4)</f>
        <v>13858</v>
      </c>
      <c r="D5391" s="1">
        <f>IF(Tabela1[[#This Row],[promien]]&lt;40000,1,0)</f>
        <v>1</v>
      </c>
      <c r="E5391" s="1">
        <f>IF(Tabela1[[#This Row],[promien]]=40000,1,0)</f>
        <v>0</v>
      </c>
      <c r="F5391" s="1">
        <v>3.1689853459469486</v>
      </c>
      <c r="G5391" s="1">
        <v>2.7392692357155468E-2</v>
      </c>
    </row>
    <row r="5392" spans="1:7">
      <c r="A5392">
        <v>97</v>
      </c>
      <c r="B5392">
        <v>16</v>
      </c>
      <c r="C5392" s="1">
        <f>(Tabela1[[#This Row],[x]]-H$3)*(Tabela1[[#This Row],[x]]-H$3) +(Tabela1[[#This Row],[y]]-H$4)*(Tabela1[[#This Row],[y]]-H$4)</f>
        <v>44465</v>
      </c>
      <c r="D5392" s="1">
        <f>IF(Tabela1[[#This Row],[promien]]&lt;40000,1,0)</f>
        <v>0</v>
      </c>
      <c r="E5392" s="1">
        <f>IF(Tabela1[[#This Row],[promien]]=40000,1,0)</f>
        <v>0</v>
      </c>
      <c r="F5392" s="1">
        <v>3.1683976261127595</v>
      </c>
      <c r="G5392" s="1">
        <v>2.680497252296643E-2</v>
      </c>
    </row>
    <row r="5393" spans="1:7">
      <c r="A5393">
        <v>303</v>
      </c>
      <c r="B5393">
        <v>368</v>
      </c>
      <c r="C5393" s="1">
        <f>(Tabela1[[#This Row],[x]]-H$3)*(Tabela1[[#This Row],[x]]-H$3) +(Tabela1[[#This Row],[y]]-H$4)*(Tabela1[[#This Row],[y]]-H$4)</f>
        <v>38833</v>
      </c>
      <c r="D5393" s="1">
        <f>IF(Tabela1[[#This Row],[promien]]&lt;40000,1,0)</f>
        <v>1</v>
      </c>
      <c r="E5393" s="1">
        <f>IF(Tabela1[[#This Row],[promien]]=40000,1,0)</f>
        <v>0</v>
      </c>
      <c r="F5393" s="1">
        <v>3.1685518264416839</v>
      </c>
      <c r="G5393" s="1">
        <v>2.6959172851890756E-2</v>
      </c>
    </row>
    <row r="5394" spans="1:7">
      <c r="A5394">
        <v>385</v>
      </c>
      <c r="B5394">
        <v>56</v>
      </c>
      <c r="C5394" s="1">
        <f>(Tabela1[[#This Row],[x]]-H$3)*(Tabela1[[#This Row],[x]]-H$3) +(Tabela1[[#This Row],[y]]-H$4)*(Tabela1[[#This Row],[y]]-H$4)</f>
        <v>54961</v>
      </c>
      <c r="D5394" s="1">
        <f>IF(Tabela1[[#This Row],[promien]]&lt;40000,1,0)</f>
        <v>0</v>
      </c>
      <c r="E5394" s="1">
        <f>IF(Tabela1[[#This Row],[promien]]=40000,1,0)</f>
        <v>0</v>
      </c>
      <c r="F5394" s="1">
        <v>3.167964404894327</v>
      </c>
      <c r="G5394" s="1">
        <v>2.6371751304533841E-2</v>
      </c>
    </row>
    <row r="5395" spans="1:7">
      <c r="A5395">
        <v>343</v>
      </c>
      <c r="B5395">
        <v>178</v>
      </c>
      <c r="C5395" s="1">
        <f>(Tabela1[[#This Row],[x]]-H$3)*(Tabela1[[#This Row],[x]]-H$3) +(Tabela1[[#This Row],[y]]-H$4)*(Tabela1[[#This Row],[y]]-H$4)</f>
        <v>20933</v>
      </c>
      <c r="D5395" s="1">
        <f>IF(Tabela1[[#This Row],[promien]]&lt;40000,1,0)</f>
        <v>1</v>
      </c>
      <c r="E5395" s="1">
        <f>IF(Tabela1[[#This Row],[promien]]=40000,1,0)</f>
        <v>0</v>
      </c>
      <c r="F5395" s="1">
        <v>3.1681186283595921</v>
      </c>
      <c r="G5395" s="1">
        <v>2.652597476979901E-2</v>
      </c>
    </row>
    <row r="5396" spans="1:7">
      <c r="A5396">
        <v>228</v>
      </c>
      <c r="B5396">
        <v>243</v>
      </c>
      <c r="C5396" s="1">
        <f>(Tabela1[[#This Row],[x]]-H$3)*(Tabela1[[#This Row],[x]]-H$3) +(Tabela1[[#This Row],[y]]-H$4)*(Tabela1[[#This Row],[y]]-H$4)</f>
        <v>2633</v>
      </c>
      <c r="D5396" s="1">
        <f>IF(Tabela1[[#This Row],[promien]]&lt;40000,1,0)</f>
        <v>1</v>
      </c>
      <c r="E5396" s="1">
        <f>IF(Tabela1[[#This Row],[promien]]=40000,1,0)</f>
        <v>0</v>
      </c>
      <c r="F5396" s="1">
        <v>3.1682727946627129</v>
      </c>
      <c r="G5396" s="1">
        <v>2.6680141072919827E-2</v>
      </c>
    </row>
    <row r="5397" spans="1:7">
      <c r="A5397">
        <v>85</v>
      </c>
      <c r="B5397">
        <v>149</v>
      </c>
      <c r="C5397" s="1">
        <f>(Tabela1[[#This Row],[x]]-H$3)*(Tabela1[[#This Row],[x]]-H$3) +(Tabela1[[#This Row],[y]]-H$4)*(Tabela1[[#This Row],[y]]-H$4)</f>
        <v>15826</v>
      </c>
      <c r="D5397" s="1">
        <f>IF(Tabela1[[#This Row],[promien]]&lt;40000,1,0)</f>
        <v>1</v>
      </c>
      <c r="E5397" s="1">
        <f>IF(Tabela1[[#This Row],[promien]]=40000,1,0)</f>
        <v>0</v>
      </c>
      <c r="F5397" s="1">
        <v>3.168426903835464</v>
      </c>
      <c r="G5397" s="1">
        <v>2.6834250245670876E-2</v>
      </c>
    </row>
    <row r="5398" spans="1:7">
      <c r="A5398">
        <v>250</v>
      </c>
      <c r="B5398">
        <v>65</v>
      </c>
      <c r="C5398" s="1">
        <f>(Tabela1[[#This Row],[x]]-H$3)*(Tabela1[[#This Row],[x]]-H$3) +(Tabela1[[#This Row],[y]]-H$4)*(Tabela1[[#This Row],[y]]-H$4)</f>
        <v>20725</v>
      </c>
      <c r="D5398" s="1">
        <f>IF(Tabela1[[#This Row],[promien]]&lt;40000,1,0)</f>
        <v>1</v>
      </c>
      <c r="E5398" s="1">
        <f>IF(Tabela1[[#This Row],[promien]]=40000,1,0)</f>
        <v>0</v>
      </c>
      <c r="F5398" s="1">
        <v>3.1685809559095963</v>
      </c>
      <c r="G5398" s="1">
        <v>2.6988302319803203E-2</v>
      </c>
    </row>
    <row r="5399" spans="1:7">
      <c r="A5399">
        <v>218</v>
      </c>
      <c r="B5399">
        <v>95</v>
      </c>
      <c r="C5399" s="1">
        <f>(Tabela1[[#This Row],[x]]-H$3)*(Tabela1[[#This Row],[x]]-H$3) +(Tabela1[[#This Row],[y]]-H$4)*(Tabela1[[#This Row],[y]]-H$4)</f>
        <v>11349</v>
      </c>
      <c r="D5399" s="1">
        <f>IF(Tabela1[[#This Row],[promien]]&lt;40000,1,0)</f>
        <v>1</v>
      </c>
      <c r="E5399" s="1">
        <f>IF(Tabela1[[#This Row],[promien]]=40000,1,0)</f>
        <v>0</v>
      </c>
      <c r="F5399" s="1">
        <v>3.1687349509168365</v>
      </c>
      <c r="G5399" s="1">
        <v>2.714229732704343E-2</v>
      </c>
    </row>
    <row r="5400" spans="1:7">
      <c r="A5400">
        <v>213</v>
      </c>
      <c r="B5400">
        <v>385</v>
      </c>
      <c r="C5400" s="1">
        <f>(Tabela1[[#This Row],[x]]-H$3)*(Tabela1[[#This Row],[x]]-H$3) +(Tabela1[[#This Row],[y]]-H$4)*(Tabela1[[#This Row],[y]]-H$4)</f>
        <v>34394</v>
      </c>
      <c r="D5400" s="1">
        <f>IF(Tabela1[[#This Row],[promien]]&lt;40000,1,0)</f>
        <v>1</v>
      </c>
      <c r="E5400" s="1">
        <f>IF(Tabela1[[#This Row],[promien]]=40000,1,0)</f>
        <v>0</v>
      </c>
      <c r="F5400" s="1">
        <v>3.1688888888888891</v>
      </c>
      <c r="G5400" s="1">
        <v>2.7296235299095972E-2</v>
      </c>
    </row>
    <row r="5401" spans="1:7">
      <c r="A5401">
        <v>165</v>
      </c>
      <c r="B5401">
        <v>235</v>
      </c>
      <c r="C5401" s="1">
        <f>(Tabela1[[#This Row],[x]]-H$3)*(Tabela1[[#This Row],[x]]-H$3) +(Tabela1[[#This Row],[y]]-H$4)*(Tabela1[[#This Row],[y]]-H$4)</f>
        <v>2450</v>
      </c>
      <c r="D5401" s="1">
        <f>IF(Tabela1[[#This Row],[promien]]&lt;40000,1,0)</f>
        <v>1</v>
      </c>
      <c r="E5401" s="1">
        <f>IF(Tabela1[[#This Row],[promien]]=40000,1,0)</f>
        <v>0</v>
      </c>
      <c r="F5401" s="1">
        <v>3.1690427698574339</v>
      </c>
      <c r="G5401" s="1">
        <v>2.7450116267640823E-2</v>
      </c>
    </row>
    <row r="5402" spans="1:7">
      <c r="A5402">
        <v>182</v>
      </c>
      <c r="B5402">
        <v>382</v>
      </c>
      <c r="C5402" s="1">
        <f>(Tabela1[[#This Row],[x]]-H$3)*(Tabela1[[#This Row],[x]]-H$3) +(Tabela1[[#This Row],[y]]-H$4)*(Tabela1[[#This Row],[y]]-H$4)</f>
        <v>33448</v>
      </c>
      <c r="D5402" s="1">
        <f>IF(Tabela1[[#This Row],[promien]]&lt;40000,1,0)</f>
        <v>1</v>
      </c>
      <c r="E5402" s="1">
        <f>IF(Tabela1[[#This Row],[promien]]=40000,1,0)</f>
        <v>0</v>
      </c>
      <c r="F5402" s="1">
        <v>3.169196593854128</v>
      </c>
      <c r="G5402" s="1">
        <v>2.7603940264334881E-2</v>
      </c>
    </row>
    <row r="5403" spans="1:7">
      <c r="A5403">
        <v>131</v>
      </c>
      <c r="B5403">
        <v>29</v>
      </c>
      <c r="C5403" s="1">
        <f>(Tabela1[[#This Row],[x]]-H$3)*(Tabela1[[#This Row],[x]]-H$3) +(Tabela1[[#This Row],[y]]-H$4)*(Tabela1[[#This Row],[y]]-H$4)</f>
        <v>34002</v>
      </c>
      <c r="D5403" s="1">
        <f>IF(Tabela1[[#This Row],[promien]]&lt;40000,1,0)</f>
        <v>1</v>
      </c>
      <c r="E5403" s="1">
        <f>IF(Tabela1[[#This Row],[promien]]=40000,1,0)</f>
        <v>0</v>
      </c>
      <c r="F5403" s="1">
        <v>3.1693503609106051</v>
      </c>
      <c r="G5403" s="1">
        <v>2.7757707320811953E-2</v>
      </c>
    </row>
    <row r="5404" spans="1:7">
      <c r="A5404">
        <v>234</v>
      </c>
      <c r="B5404">
        <v>385</v>
      </c>
      <c r="C5404" s="1">
        <f>(Tabela1[[#This Row],[x]]-H$3)*(Tabela1[[#This Row],[x]]-H$3) +(Tabela1[[#This Row],[y]]-H$4)*(Tabela1[[#This Row],[y]]-H$4)</f>
        <v>35381</v>
      </c>
      <c r="D5404" s="1">
        <f>IF(Tabela1[[#This Row],[promien]]&lt;40000,1,0)</f>
        <v>1</v>
      </c>
      <c r="E5404" s="1">
        <f>IF(Tabela1[[#This Row],[promien]]=40000,1,0)</f>
        <v>0</v>
      </c>
      <c r="F5404" s="1">
        <v>3.1695040710584754</v>
      </c>
      <c r="G5404" s="1">
        <v>2.7911417468682309E-2</v>
      </c>
    </row>
    <row r="5405" spans="1:7">
      <c r="A5405">
        <v>35</v>
      </c>
      <c r="B5405">
        <v>356</v>
      </c>
      <c r="C5405" s="1">
        <f>(Tabela1[[#This Row],[x]]-H$3)*(Tabela1[[#This Row],[x]]-H$3) +(Tabela1[[#This Row],[y]]-H$4)*(Tabela1[[#This Row],[y]]-H$4)</f>
        <v>51561</v>
      </c>
      <c r="D5405" s="1">
        <f>IF(Tabela1[[#This Row],[promien]]&lt;40000,1,0)</f>
        <v>0</v>
      </c>
      <c r="E5405" s="1">
        <f>IF(Tabela1[[#This Row],[promien]]=40000,1,0)</f>
        <v>0</v>
      </c>
      <c r="F5405" s="1">
        <v>3.1689176688251619</v>
      </c>
      <c r="G5405" s="1">
        <v>2.7325015235368788E-2</v>
      </c>
    </row>
    <row r="5406" spans="1:7">
      <c r="A5406">
        <v>306</v>
      </c>
      <c r="B5406">
        <v>276</v>
      </c>
      <c r="C5406" s="1">
        <f>(Tabela1[[#This Row],[x]]-H$3)*(Tabela1[[#This Row],[x]]-H$3) +(Tabela1[[#This Row],[y]]-H$4)*(Tabela1[[#This Row],[y]]-H$4)</f>
        <v>17012</v>
      </c>
      <c r="D5406" s="1">
        <f>IF(Tabela1[[#This Row],[promien]]&lt;40000,1,0)</f>
        <v>1</v>
      </c>
      <c r="E5406" s="1">
        <f>IF(Tabela1[[#This Row],[promien]]=40000,1,0)</f>
        <v>0</v>
      </c>
      <c r="F5406" s="1">
        <v>3.169071402145764</v>
      </c>
      <c r="G5406" s="1">
        <v>2.7478748555970878E-2</v>
      </c>
    </row>
    <row r="5407" spans="1:7">
      <c r="A5407">
        <v>271</v>
      </c>
      <c r="B5407">
        <v>293</v>
      </c>
      <c r="C5407" s="1">
        <f>(Tabela1[[#This Row],[x]]-H$3)*(Tabela1[[#This Row],[x]]-H$3) +(Tabela1[[#This Row],[y]]-H$4)*(Tabela1[[#This Row],[y]]-H$4)</f>
        <v>13690</v>
      </c>
      <c r="D5407" s="1">
        <f>IF(Tabela1[[#This Row],[promien]]&lt;40000,1,0)</f>
        <v>1</v>
      </c>
      <c r="E5407" s="1">
        <f>IF(Tabela1[[#This Row],[promien]]=40000,1,0)</f>
        <v>0</v>
      </c>
      <c r="F5407" s="1">
        <v>3.1692250786018126</v>
      </c>
      <c r="G5407" s="1">
        <v>2.7632425012019457E-2</v>
      </c>
    </row>
    <row r="5408" spans="1:7">
      <c r="A5408">
        <v>200</v>
      </c>
      <c r="B5408">
        <v>140</v>
      </c>
      <c r="C5408" s="1">
        <f>(Tabela1[[#This Row],[x]]-H$3)*(Tabela1[[#This Row],[x]]-H$3) +(Tabela1[[#This Row],[y]]-H$4)*(Tabela1[[#This Row],[y]]-H$4)</f>
        <v>3600</v>
      </c>
      <c r="D5408" s="1">
        <f>IF(Tabela1[[#This Row],[promien]]&lt;40000,1,0)</f>
        <v>1</v>
      </c>
      <c r="E5408" s="1">
        <f>IF(Tabela1[[#This Row],[promien]]=40000,1,0)</f>
        <v>0</v>
      </c>
      <c r="F5408" s="1">
        <v>3.1693786982248522</v>
      </c>
      <c r="G5408" s="1">
        <v>2.7786044635059071E-2</v>
      </c>
    </row>
    <row r="5409" spans="1:7">
      <c r="A5409">
        <v>201</v>
      </c>
      <c r="B5409">
        <v>337</v>
      </c>
      <c r="C5409" s="1">
        <f>(Tabela1[[#This Row],[x]]-H$3)*(Tabela1[[#This Row],[x]]-H$3) +(Tabela1[[#This Row],[y]]-H$4)*(Tabela1[[#This Row],[y]]-H$4)</f>
        <v>18770</v>
      </c>
      <c r="D5409" s="1">
        <f>IF(Tabela1[[#This Row],[promien]]&lt;40000,1,0)</f>
        <v>1</v>
      </c>
      <c r="E5409" s="1">
        <f>IF(Tabela1[[#This Row],[promien]]=40000,1,0)</f>
        <v>0</v>
      </c>
      <c r="F5409" s="1">
        <v>3.1695322610464043</v>
      </c>
      <c r="G5409" s="1">
        <v>2.7939607456611171E-2</v>
      </c>
    </row>
    <row r="5410" spans="1:7">
      <c r="A5410">
        <v>231</v>
      </c>
      <c r="B5410">
        <v>365</v>
      </c>
      <c r="C5410" s="1">
        <f>(Tabela1[[#This Row],[x]]-H$3)*(Tabela1[[#This Row],[x]]-H$3) +(Tabela1[[#This Row],[y]]-H$4)*(Tabela1[[#This Row],[y]]-H$4)</f>
        <v>28186</v>
      </c>
      <c r="D5410" s="1">
        <f>IF(Tabela1[[#This Row],[promien]]&lt;40000,1,0)</f>
        <v>1</v>
      </c>
      <c r="E5410" s="1">
        <f>IF(Tabela1[[#This Row],[promien]]=40000,1,0)</f>
        <v>0</v>
      </c>
      <c r="F5410" s="1">
        <v>3.1696857670979668</v>
      </c>
      <c r="G5410" s="1">
        <v>2.8093113508173673E-2</v>
      </c>
    </row>
    <row r="5411" spans="1:7">
      <c r="A5411">
        <v>230</v>
      </c>
      <c r="B5411">
        <v>268</v>
      </c>
      <c r="C5411" s="1">
        <f>(Tabela1[[#This Row],[x]]-H$3)*(Tabela1[[#This Row],[x]]-H$3) +(Tabela1[[#This Row],[y]]-H$4)*(Tabela1[[#This Row],[y]]-H$4)</f>
        <v>5524</v>
      </c>
      <c r="D5411" s="1">
        <f>IF(Tabela1[[#This Row],[promien]]&lt;40000,1,0)</f>
        <v>1</v>
      </c>
      <c r="E5411" s="1">
        <f>IF(Tabela1[[#This Row],[promien]]=40000,1,0)</f>
        <v>0</v>
      </c>
      <c r="F5411" s="1">
        <v>3.1698392164110145</v>
      </c>
      <c r="G5411" s="1">
        <v>2.8246562821221399E-2</v>
      </c>
    </row>
    <row r="5412" spans="1:7">
      <c r="A5412">
        <v>342</v>
      </c>
      <c r="B5412">
        <v>102</v>
      </c>
      <c r="C5412" s="1">
        <f>(Tabela1[[#This Row],[x]]-H$3)*(Tabela1[[#This Row],[x]]-H$3) +(Tabela1[[#This Row],[y]]-H$4)*(Tabela1[[#This Row],[y]]-H$4)</f>
        <v>29768</v>
      </c>
      <c r="D5412" s="1">
        <f>IF(Tabela1[[#This Row],[promien]]&lt;40000,1,0)</f>
        <v>1</v>
      </c>
      <c r="E5412" s="1">
        <f>IF(Tabela1[[#This Row],[promien]]=40000,1,0)</f>
        <v>0</v>
      </c>
      <c r="F5412" s="1">
        <v>3.1699926090169992</v>
      </c>
      <c r="G5412" s="1">
        <v>2.8399955427206081E-2</v>
      </c>
    </row>
    <row r="5413" spans="1:7">
      <c r="A5413">
        <v>327</v>
      </c>
      <c r="B5413">
        <v>290</v>
      </c>
      <c r="C5413" s="1">
        <f>(Tabela1[[#This Row],[x]]-H$3)*(Tabela1[[#This Row],[x]]-H$3) +(Tabela1[[#This Row],[y]]-H$4)*(Tabela1[[#This Row],[y]]-H$4)</f>
        <v>24229</v>
      </c>
      <c r="D5413" s="1">
        <f>IF(Tabela1[[#This Row],[promien]]&lt;40000,1,0)</f>
        <v>1</v>
      </c>
      <c r="E5413" s="1">
        <f>IF(Tabela1[[#This Row],[promien]]=40000,1,0)</f>
        <v>0</v>
      </c>
      <c r="F5413" s="1">
        <v>3.170145944947349</v>
      </c>
      <c r="G5413" s="1">
        <v>2.855329135755591E-2</v>
      </c>
    </row>
    <row r="5414" spans="1:7">
      <c r="A5414">
        <v>207</v>
      </c>
      <c r="B5414">
        <v>340</v>
      </c>
      <c r="C5414" s="1">
        <f>(Tabela1[[#This Row],[x]]-H$3)*(Tabela1[[#This Row],[x]]-H$3) +(Tabela1[[#This Row],[y]]-H$4)*(Tabela1[[#This Row],[y]]-H$4)</f>
        <v>19649</v>
      </c>
      <c r="D5414" s="1">
        <f>IF(Tabela1[[#This Row],[promien]]&lt;40000,1,0)</f>
        <v>1</v>
      </c>
      <c r="E5414" s="1">
        <f>IF(Tabela1[[#This Row],[promien]]=40000,1,0)</f>
        <v>0</v>
      </c>
      <c r="F5414" s="1">
        <v>3.1702992242334687</v>
      </c>
      <c r="G5414" s="1">
        <v>2.8706570643675544E-2</v>
      </c>
    </row>
    <row r="5415" spans="1:7">
      <c r="A5415">
        <v>370</v>
      </c>
      <c r="B5415">
        <v>355</v>
      </c>
      <c r="C5415" s="1">
        <f>(Tabela1[[#This Row],[x]]-H$3)*(Tabela1[[#This Row],[x]]-H$3) +(Tabela1[[#This Row],[y]]-H$4)*(Tabela1[[#This Row],[y]]-H$4)</f>
        <v>52925</v>
      </c>
      <c r="D5415" s="1">
        <f>IF(Tabela1[[#This Row],[promien]]&lt;40000,1,0)</f>
        <v>0</v>
      </c>
      <c r="E5415" s="1">
        <f>IF(Tabela1[[#This Row],[promien]]=40000,1,0)</f>
        <v>0</v>
      </c>
      <c r="F5415" s="1">
        <v>3.1697137580794092</v>
      </c>
      <c r="G5415" s="1">
        <v>2.8121104489616133E-2</v>
      </c>
    </row>
    <row r="5416" spans="1:7">
      <c r="A5416">
        <v>53</v>
      </c>
      <c r="B5416">
        <v>226</v>
      </c>
      <c r="C5416" s="1">
        <f>(Tabela1[[#This Row],[x]]-H$3)*(Tabela1[[#This Row],[x]]-H$3) +(Tabela1[[#This Row],[y]]-H$4)*(Tabela1[[#This Row],[y]]-H$4)</f>
        <v>22285</v>
      </c>
      <c r="D5416" s="1">
        <f>IF(Tabela1[[#This Row],[promien]]&lt;40000,1,0)</f>
        <v>1</v>
      </c>
      <c r="E5416" s="1">
        <f>IF(Tabela1[[#This Row],[promien]]=40000,1,0)</f>
        <v>0</v>
      </c>
      <c r="F5416" s="1">
        <v>3.1698670605613</v>
      </c>
      <c r="G5416" s="1">
        <v>2.8274406971506849E-2</v>
      </c>
    </row>
    <row r="5417" spans="1:7">
      <c r="A5417">
        <v>66</v>
      </c>
      <c r="B5417">
        <v>199</v>
      </c>
      <c r="C5417" s="1">
        <f>(Tabela1[[#This Row],[x]]-H$3)*(Tabela1[[#This Row],[x]]-H$3) +(Tabela1[[#This Row],[y]]-H$4)*(Tabela1[[#This Row],[y]]-H$4)</f>
        <v>17957</v>
      </c>
      <c r="D5417" s="1">
        <f>IF(Tabela1[[#This Row],[promien]]&lt;40000,1,0)</f>
        <v>1</v>
      </c>
      <c r="E5417" s="1">
        <f>IF(Tabela1[[#This Row],[promien]]=40000,1,0)</f>
        <v>0</v>
      </c>
      <c r="F5417" s="1">
        <v>3.1700203064426806</v>
      </c>
      <c r="G5417" s="1">
        <v>2.8427652852887508E-2</v>
      </c>
    </row>
    <row r="5418" spans="1:7">
      <c r="A5418">
        <v>279</v>
      </c>
      <c r="B5418">
        <v>247</v>
      </c>
      <c r="C5418" s="1">
        <f>(Tabela1[[#This Row],[x]]-H$3)*(Tabela1[[#This Row],[x]]-H$3) +(Tabela1[[#This Row],[y]]-H$4)*(Tabela1[[#This Row],[y]]-H$4)</f>
        <v>8450</v>
      </c>
      <c r="D5418" s="1">
        <f>IF(Tabela1[[#This Row],[promien]]&lt;40000,1,0)</f>
        <v>1</v>
      </c>
      <c r="E5418" s="1">
        <f>IF(Tabela1[[#This Row],[promien]]=40000,1,0)</f>
        <v>0</v>
      </c>
      <c r="F5418" s="1">
        <v>3.170173495754891</v>
      </c>
      <c r="G5418" s="1">
        <v>2.8580842165097931E-2</v>
      </c>
    </row>
    <row r="5419" spans="1:7">
      <c r="A5419">
        <v>107</v>
      </c>
      <c r="B5419">
        <v>57</v>
      </c>
      <c r="C5419" s="1">
        <f>(Tabela1[[#This Row],[x]]-H$3)*(Tabela1[[#This Row],[x]]-H$3) +(Tabela1[[#This Row],[y]]-H$4)*(Tabela1[[#This Row],[y]]-H$4)</f>
        <v>29098</v>
      </c>
      <c r="D5419" s="1">
        <f>IF(Tabela1[[#This Row],[promien]]&lt;40000,1,0)</f>
        <v>1</v>
      </c>
      <c r="E5419" s="1">
        <f>IF(Tabela1[[#This Row],[promien]]=40000,1,0)</f>
        <v>0</v>
      </c>
      <c r="F5419" s="1">
        <v>3.1703266285292488</v>
      </c>
      <c r="G5419" s="1">
        <v>2.8733974939455731E-2</v>
      </c>
    </row>
    <row r="5420" spans="1:7">
      <c r="A5420">
        <v>271</v>
      </c>
      <c r="B5420">
        <v>120</v>
      </c>
      <c r="C5420" s="1">
        <f>(Tabela1[[#This Row],[x]]-H$3)*(Tabela1[[#This Row],[x]]-H$3) +(Tabela1[[#This Row],[y]]-H$4)*(Tabela1[[#This Row],[y]]-H$4)</f>
        <v>11441</v>
      </c>
      <c r="D5420" s="1">
        <f>IF(Tabela1[[#This Row],[promien]]&lt;40000,1,0)</f>
        <v>1</v>
      </c>
      <c r="E5420" s="1">
        <f>IF(Tabela1[[#This Row],[promien]]=40000,1,0)</f>
        <v>0</v>
      </c>
      <c r="F5420" s="1">
        <v>3.1704797047970481</v>
      </c>
      <c r="G5420" s="1">
        <v>2.8887051207254988E-2</v>
      </c>
    </row>
    <row r="5421" spans="1:7">
      <c r="A5421">
        <v>167</v>
      </c>
      <c r="B5421">
        <v>78</v>
      </c>
      <c r="C5421" s="1">
        <f>(Tabela1[[#This Row],[x]]-H$3)*(Tabela1[[#This Row],[x]]-H$3) +(Tabela1[[#This Row],[y]]-H$4)*(Tabela1[[#This Row],[y]]-H$4)</f>
        <v>15973</v>
      </c>
      <c r="D5421" s="1">
        <f>IF(Tabela1[[#This Row],[promien]]&lt;40000,1,0)</f>
        <v>1</v>
      </c>
      <c r="E5421" s="1">
        <f>IF(Tabela1[[#This Row],[promien]]=40000,1,0)</f>
        <v>0</v>
      </c>
      <c r="F5421" s="1">
        <v>3.1706327245895589</v>
      </c>
      <c r="G5421" s="1">
        <v>2.9040070999765799E-2</v>
      </c>
    </row>
    <row r="5422" spans="1:7">
      <c r="A5422">
        <v>244</v>
      </c>
      <c r="B5422">
        <v>30</v>
      </c>
      <c r="C5422" s="1">
        <f>(Tabela1[[#This Row],[x]]-H$3)*(Tabela1[[#This Row],[x]]-H$3) +(Tabela1[[#This Row],[y]]-H$4)*(Tabela1[[#This Row],[y]]-H$4)</f>
        <v>30836</v>
      </c>
      <c r="D5422" s="1">
        <f>IF(Tabela1[[#This Row],[promien]]&lt;40000,1,0)</f>
        <v>1</v>
      </c>
      <c r="E5422" s="1">
        <f>IF(Tabela1[[#This Row],[promien]]=40000,1,0)</f>
        <v>0</v>
      </c>
      <c r="F5422" s="1">
        <v>3.1707856879380301</v>
      </c>
      <c r="G5422" s="1">
        <v>2.9193034348236946E-2</v>
      </c>
    </row>
    <row r="5423" spans="1:7">
      <c r="A5423">
        <v>296</v>
      </c>
      <c r="B5423">
        <v>63</v>
      </c>
      <c r="C5423" s="1">
        <f>(Tabela1[[#This Row],[x]]-H$3)*(Tabela1[[#This Row],[x]]-H$3) +(Tabela1[[#This Row],[y]]-H$4)*(Tabela1[[#This Row],[y]]-H$4)</f>
        <v>27985</v>
      </c>
      <c r="D5423" s="1">
        <f>IF(Tabela1[[#This Row],[promien]]&lt;40000,1,0)</f>
        <v>1</v>
      </c>
      <c r="E5423" s="1">
        <f>IF(Tabela1[[#This Row],[promien]]=40000,1,0)</f>
        <v>0</v>
      </c>
      <c r="F5423" s="1">
        <v>3.1709385948736863</v>
      </c>
      <c r="G5423" s="1">
        <v>2.9345941283893229E-2</v>
      </c>
    </row>
    <row r="5424" spans="1:7">
      <c r="A5424">
        <v>6</v>
      </c>
      <c r="B5424">
        <v>341</v>
      </c>
      <c r="C5424" s="1">
        <f>(Tabela1[[#This Row],[x]]-H$3)*(Tabela1[[#This Row],[x]]-H$3) +(Tabela1[[#This Row],[y]]-H$4)*(Tabela1[[#This Row],[y]]-H$4)</f>
        <v>57517</v>
      </c>
      <c r="D5424" s="1">
        <f>IF(Tabela1[[#This Row],[promien]]&lt;40000,1,0)</f>
        <v>0</v>
      </c>
      <c r="E5424" s="1">
        <f>IF(Tabela1[[#This Row],[promien]]=40000,1,0)</f>
        <v>0</v>
      </c>
      <c r="F5424" s="1">
        <v>3.1703539823008851</v>
      </c>
      <c r="G5424" s="1">
        <v>2.8761328711091938E-2</v>
      </c>
    </row>
    <row r="5425" spans="1:7">
      <c r="A5425">
        <v>100</v>
      </c>
      <c r="B5425">
        <v>53</v>
      </c>
      <c r="C5425" s="1">
        <f>(Tabela1[[#This Row],[x]]-H$3)*(Tabela1[[#This Row],[x]]-H$3) +(Tabela1[[#This Row],[y]]-H$4)*(Tabela1[[#This Row],[y]]-H$4)</f>
        <v>31609</v>
      </c>
      <c r="D5425" s="1">
        <f>IF(Tabela1[[#This Row],[promien]]&lt;40000,1,0)</f>
        <v>1</v>
      </c>
      <c r="E5425" s="1">
        <f>IF(Tabela1[[#This Row],[promien]]=40000,1,0)</f>
        <v>0</v>
      </c>
      <c r="F5425" s="1">
        <v>3.1705069124423964</v>
      </c>
      <c r="G5425" s="1">
        <v>2.8914258852603236E-2</v>
      </c>
    </row>
    <row r="5426" spans="1:7">
      <c r="A5426">
        <v>87</v>
      </c>
      <c r="B5426">
        <v>271</v>
      </c>
      <c r="C5426" s="1">
        <f>(Tabela1[[#This Row],[x]]-H$3)*(Tabela1[[#This Row],[x]]-H$3) +(Tabela1[[#This Row],[y]]-H$4)*(Tabela1[[#This Row],[y]]-H$4)</f>
        <v>17810</v>
      </c>
      <c r="D5426" s="1">
        <f>IF(Tabela1[[#This Row],[promien]]&lt;40000,1,0)</f>
        <v>1</v>
      </c>
      <c r="E5426" s="1">
        <f>IF(Tabela1[[#This Row],[promien]]=40000,1,0)</f>
        <v>0</v>
      </c>
      <c r="F5426" s="1">
        <v>3.1706597862145225</v>
      </c>
      <c r="G5426" s="1">
        <v>2.9067132624729375E-2</v>
      </c>
    </row>
    <row r="5427" spans="1:7">
      <c r="A5427">
        <v>201</v>
      </c>
      <c r="B5427">
        <v>228</v>
      </c>
      <c r="C5427" s="1">
        <f>(Tabela1[[#This Row],[x]]-H$3)*(Tabela1[[#This Row],[x]]-H$3) +(Tabela1[[#This Row],[y]]-H$4)*(Tabela1[[#This Row],[y]]-H$4)</f>
        <v>785</v>
      </c>
      <c r="D5427" s="1">
        <f>IF(Tabela1[[#This Row],[promien]]&lt;40000,1,0)</f>
        <v>1</v>
      </c>
      <c r="E5427" s="1">
        <f>IF(Tabela1[[#This Row],[promien]]=40000,1,0)</f>
        <v>0</v>
      </c>
      <c r="F5427" s="1">
        <v>3.1708126036484248</v>
      </c>
      <c r="G5427" s="1">
        <v>2.921995005863165E-2</v>
      </c>
    </row>
    <row r="5428" spans="1:7">
      <c r="A5428">
        <v>3</v>
      </c>
      <c r="B5428">
        <v>340</v>
      </c>
      <c r="C5428" s="1">
        <f>(Tabela1[[#This Row],[x]]-H$3)*(Tabela1[[#This Row],[x]]-H$3) +(Tabela1[[#This Row],[y]]-H$4)*(Tabela1[[#This Row],[y]]-H$4)</f>
        <v>58409</v>
      </c>
      <c r="D5428" s="1">
        <f>IF(Tabela1[[#This Row],[promien]]&lt;40000,1,0)</f>
        <v>0</v>
      </c>
      <c r="E5428" s="1">
        <f>IF(Tabela1[[#This Row],[promien]]=40000,1,0)</f>
        <v>0</v>
      </c>
      <c r="F5428" s="1">
        <v>3.1702284450994842</v>
      </c>
      <c r="G5428" s="1">
        <v>2.8635791509691089E-2</v>
      </c>
    </row>
    <row r="5429" spans="1:7">
      <c r="A5429">
        <v>316</v>
      </c>
      <c r="B5429">
        <v>162</v>
      </c>
      <c r="C5429" s="1">
        <f>(Tabela1[[#This Row],[x]]-H$3)*(Tabela1[[#This Row],[x]]-H$3) +(Tabela1[[#This Row],[y]]-H$4)*(Tabela1[[#This Row],[y]]-H$4)</f>
        <v>14900</v>
      </c>
      <c r="D5429" s="1">
        <f>IF(Tabela1[[#This Row],[promien]]&lt;40000,1,0)</f>
        <v>1</v>
      </c>
      <c r="E5429" s="1">
        <f>IF(Tabela1[[#This Row],[promien]]=40000,1,0)</f>
        <v>0</v>
      </c>
      <c r="F5429" s="1">
        <v>3.1703812856879718</v>
      </c>
      <c r="G5429" s="1">
        <v>2.8788632098178724E-2</v>
      </c>
    </row>
    <row r="5430" spans="1:7">
      <c r="A5430">
        <v>376</v>
      </c>
      <c r="B5430">
        <v>184</v>
      </c>
      <c r="C5430" s="1">
        <f>(Tabela1[[#This Row],[x]]-H$3)*(Tabela1[[#This Row],[x]]-H$3) +(Tabela1[[#This Row],[y]]-H$4)*(Tabela1[[#This Row],[y]]-H$4)</f>
        <v>31232</v>
      </c>
      <c r="D5430" s="1">
        <f>IF(Tabela1[[#This Row],[promien]]&lt;40000,1,0)</f>
        <v>1</v>
      </c>
      <c r="E5430" s="1">
        <f>IF(Tabela1[[#This Row],[promien]]=40000,1,0)</f>
        <v>0</v>
      </c>
      <c r="F5430" s="1">
        <v>3.1705340699815836</v>
      </c>
      <c r="G5430" s="1">
        <v>2.8941416391790487E-2</v>
      </c>
    </row>
    <row r="5431" spans="1:7">
      <c r="A5431">
        <v>164</v>
      </c>
      <c r="B5431">
        <v>352</v>
      </c>
      <c r="C5431" s="1">
        <f>(Tabela1[[#This Row],[x]]-H$3)*(Tabela1[[#This Row],[x]]-H$3) +(Tabela1[[#This Row],[y]]-H$4)*(Tabela1[[#This Row],[y]]-H$4)</f>
        <v>24400</v>
      </c>
      <c r="D5431" s="1">
        <f>IF(Tabela1[[#This Row],[promien]]&lt;40000,1,0)</f>
        <v>1</v>
      </c>
      <c r="E5431" s="1">
        <f>IF(Tabela1[[#This Row],[promien]]=40000,1,0)</f>
        <v>0</v>
      </c>
      <c r="F5431" s="1">
        <v>3.170686798011416</v>
      </c>
      <c r="G5431" s="1">
        <v>2.9094144421622836E-2</v>
      </c>
    </row>
    <row r="5432" spans="1:7">
      <c r="A5432">
        <v>317</v>
      </c>
      <c r="B5432">
        <v>72</v>
      </c>
      <c r="C5432" s="1">
        <f>(Tabela1[[#This Row],[x]]-H$3)*(Tabela1[[#This Row],[x]]-H$3) +(Tabela1[[#This Row],[y]]-H$4)*(Tabela1[[#This Row],[y]]-H$4)</f>
        <v>30073</v>
      </c>
      <c r="D5432" s="1">
        <f>IF(Tabela1[[#This Row],[promien]]&lt;40000,1,0)</f>
        <v>1</v>
      </c>
      <c r="E5432" s="1">
        <f>IF(Tabela1[[#This Row],[promien]]=40000,1,0)</f>
        <v>0</v>
      </c>
      <c r="F5432" s="1">
        <v>3.1708394698085418</v>
      </c>
      <c r="G5432" s="1">
        <v>2.9246816218748695E-2</v>
      </c>
    </row>
    <row r="5433" spans="1:7">
      <c r="A5433">
        <v>384</v>
      </c>
      <c r="B5433">
        <v>310</v>
      </c>
      <c r="C5433" s="1">
        <f>(Tabela1[[#This Row],[x]]-H$3)*(Tabela1[[#This Row],[x]]-H$3) +(Tabela1[[#This Row],[y]]-H$4)*(Tabela1[[#This Row],[y]]-H$4)</f>
        <v>45956</v>
      </c>
      <c r="D5433" s="1">
        <f>IF(Tabela1[[#This Row],[promien]]&lt;40000,1,0)</f>
        <v>0</v>
      </c>
      <c r="E5433" s="1">
        <f>IF(Tabela1[[#This Row],[promien]]=40000,1,0)</f>
        <v>0</v>
      </c>
      <c r="F5433" s="1">
        <v>3.1702558439168049</v>
      </c>
      <c r="G5433" s="1">
        <v>2.8663190327011812E-2</v>
      </c>
    </row>
    <row r="5434" spans="1:7">
      <c r="A5434">
        <v>100</v>
      </c>
      <c r="B5434">
        <v>329</v>
      </c>
      <c r="C5434" s="1">
        <f>(Tabela1[[#This Row],[x]]-H$3)*(Tabela1[[#This Row],[x]]-H$3) +(Tabela1[[#This Row],[y]]-H$4)*(Tabela1[[#This Row],[y]]-H$4)</f>
        <v>26641</v>
      </c>
      <c r="D5434" s="1">
        <f>IF(Tabela1[[#This Row],[promien]]&lt;40000,1,0)</f>
        <v>1</v>
      </c>
      <c r="E5434" s="1">
        <f>IF(Tabela1[[#This Row],[promien]]=40000,1,0)</f>
        <v>0</v>
      </c>
      <c r="F5434" s="1">
        <v>3.1704085388295913</v>
      </c>
      <c r="G5434" s="1">
        <v>2.8815885239798167E-2</v>
      </c>
    </row>
    <row r="5435" spans="1:7">
      <c r="A5435">
        <v>333</v>
      </c>
      <c r="B5435">
        <v>62</v>
      </c>
      <c r="C5435" s="1">
        <f>(Tabela1[[#This Row],[x]]-H$3)*(Tabela1[[#This Row],[x]]-H$3) +(Tabela1[[#This Row],[y]]-H$4)*(Tabela1[[#This Row],[y]]-H$4)</f>
        <v>36733</v>
      </c>
      <c r="D5435" s="1">
        <f>IF(Tabela1[[#This Row],[promien]]&lt;40000,1,0)</f>
        <v>1</v>
      </c>
      <c r="E5435" s="1">
        <f>IF(Tabela1[[#This Row],[promien]]=40000,1,0)</f>
        <v>0</v>
      </c>
      <c r="F5435" s="1">
        <v>3.1705611775528979</v>
      </c>
      <c r="G5435" s="1">
        <v>2.8968523963104786E-2</v>
      </c>
    </row>
    <row r="5436" spans="1:7">
      <c r="A5436">
        <v>34</v>
      </c>
      <c r="B5436">
        <v>226</v>
      </c>
      <c r="C5436" s="1">
        <f>(Tabela1[[#This Row],[x]]-H$3)*(Tabela1[[#This Row],[x]]-H$3) +(Tabela1[[#This Row],[y]]-H$4)*(Tabela1[[#This Row],[y]]-H$4)</f>
        <v>28232</v>
      </c>
      <c r="D5436" s="1">
        <f>IF(Tabela1[[#This Row],[promien]]&lt;40000,1,0)</f>
        <v>1</v>
      </c>
      <c r="E5436" s="1">
        <f>IF(Tabela1[[#This Row],[promien]]=40000,1,0)</f>
        <v>0</v>
      </c>
      <c r="F5436" s="1">
        <v>3.1707137601177338</v>
      </c>
      <c r="G5436" s="1">
        <v>2.9121106527940643E-2</v>
      </c>
    </row>
    <row r="5437" spans="1:7">
      <c r="A5437">
        <v>142</v>
      </c>
      <c r="B5437">
        <v>48</v>
      </c>
      <c r="C5437" s="1">
        <f>(Tabela1[[#This Row],[x]]-H$3)*(Tabela1[[#This Row],[x]]-H$3) +(Tabela1[[#This Row],[y]]-H$4)*(Tabela1[[#This Row],[y]]-H$4)</f>
        <v>26468</v>
      </c>
      <c r="D5437" s="1">
        <f>IF(Tabela1[[#This Row],[promien]]&lt;40000,1,0)</f>
        <v>1</v>
      </c>
      <c r="E5437" s="1">
        <f>IF(Tabela1[[#This Row],[promien]]=40000,1,0)</f>
        <v>0</v>
      </c>
      <c r="F5437" s="1">
        <v>3.1708662865550856</v>
      </c>
      <c r="G5437" s="1">
        <v>2.9273632965292506E-2</v>
      </c>
    </row>
    <row r="5438" spans="1:7">
      <c r="A5438">
        <v>296</v>
      </c>
      <c r="B5438">
        <v>105</v>
      </c>
      <c r="C5438" s="1">
        <f>(Tabela1[[#This Row],[x]]-H$3)*(Tabela1[[#This Row],[x]]-H$3) +(Tabela1[[#This Row],[y]]-H$4)*(Tabela1[[#This Row],[y]]-H$4)</f>
        <v>18241</v>
      </c>
      <c r="D5438" s="1">
        <f>IF(Tabela1[[#This Row],[promien]]&lt;40000,1,0)</f>
        <v>1</v>
      </c>
      <c r="E5438" s="1">
        <f>IF(Tabela1[[#This Row],[promien]]=40000,1,0)</f>
        <v>0</v>
      </c>
      <c r="F5438" s="1">
        <v>3.1710187568959176</v>
      </c>
      <c r="G5438" s="1">
        <v>2.9426103306124496E-2</v>
      </c>
    </row>
    <row r="5439" spans="1:7">
      <c r="A5439">
        <v>322</v>
      </c>
      <c r="B5439">
        <v>29</v>
      </c>
      <c r="C5439" s="1">
        <f>(Tabela1[[#This Row],[x]]-H$3)*(Tabela1[[#This Row],[x]]-H$3) +(Tabela1[[#This Row],[y]]-H$4)*(Tabela1[[#This Row],[y]]-H$4)</f>
        <v>44125</v>
      </c>
      <c r="D5439" s="1">
        <f>IF(Tabela1[[#This Row],[promien]]&lt;40000,1,0)</f>
        <v>0</v>
      </c>
      <c r="E5439" s="1">
        <f>IF(Tabela1[[#This Row],[promien]]=40000,1,0)</f>
        <v>0</v>
      </c>
      <c r="F5439" s="1">
        <v>3.1704357418643134</v>
      </c>
      <c r="G5439" s="1">
        <v>2.8843088274520312E-2</v>
      </c>
    </row>
    <row r="5440" spans="1:7">
      <c r="A5440">
        <v>133</v>
      </c>
      <c r="B5440">
        <v>245</v>
      </c>
      <c r="C5440" s="1">
        <f>(Tabela1[[#This Row],[x]]-H$3)*(Tabela1[[#This Row],[x]]-H$3) +(Tabela1[[#This Row],[y]]-H$4)*(Tabela1[[#This Row],[y]]-H$4)</f>
        <v>6514</v>
      </c>
      <c r="D5440" s="1">
        <f>IF(Tabela1[[#This Row],[promien]]&lt;40000,1,0)</f>
        <v>1</v>
      </c>
      <c r="E5440" s="1">
        <f>IF(Tabela1[[#This Row],[promien]]=40000,1,0)</f>
        <v>0</v>
      </c>
      <c r="F5440" s="1">
        <v>3.1705882352941175</v>
      </c>
      <c r="G5440" s="1">
        <v>2.8995581704324369E-2</v>
      </c>
    </row>
    <row r="5441" spans="1:7">
      <c r="A5441">
        <v>364</v>
      </c>
      <c r="B5441">
        <v>175</v>
      </c>
      <c r="C5441" s="1">
        <f>(Tabela1[[#This Row],[x]]-H$3)*(Tabela1[[#This Row],[x]]-H$3) +(Tabela1[[#This Row],[y]]-H$4)*(Tabela1[[#This Row],[y]]-H$4)</f>
        <v>27521</v>
      </c>
      <c r="D5441" s="1">
        <f>IF(Tabela1[[#This Row],[promien]]&lt;40000,1,0)</f>
        <v>1</v>
      </c>
      <c r="E5441" s="1">
        <f>IF(Tabela1[[#This Row],[promien]]=40000,1,0)</f>
        <v>0</v>
      </c>
      <c r="F5441" s="1">
        <v>3.170740672670465</v>
      </c>
      <c r="G5441" s="1">
        <v>2.9148019080671883E-2</v>
      </c>
    </row>
    <row r="5442" spans="1:7">
      <c r="A5442">
        <v>95</v>
      </c>
      <c r="B5442">
        <v>186</v>
      </c>
      <c r="C5442" s="1">
        <f>(Tabela1[[#This Row],[x]]-H$3)*(Tabela1[[#This Row],[x]]-H$3) +(Tabela1[[#This Row],[y]]-H$4)*(Tabela1[[#This Row],[y]]-H$4)</f>
        <v>11221</v>
      </c>
      <c r="D5442" s="1">
        <f>IF(Tabela1[[#This Row],[promien]]&lt;40000,1,0)</f>
        <v>1</v>
      </c>
      <c r="E5442" s="1">
        <f>IF(Tabela1[[#This Row],[promien]]=40000,1,0)</f>
        <v>0</v>
      </c>
      <c r="F5442" s="1">
        <v>3.1708930540242557</v>
      </c>
      <c r="G5442" s="1">
        <v>2.9300400434462581E-2</v>
      </c>
    </row>
    <row r="5443" spans="1:7">
      <c r="A5443">
        <v>359</v>
      </c>
      <c r="B5443">
        <v>290</v>
      </c>
      <c r="C5443" s="1">
        <f>(Tabela1[[#This Row],[x]]-H$3)*(Tabela1[[#This Row],[x]]-H$3) +(Tabela1[[#This Row],[y]]-H$4)*(Tabela1[[#This Row],[y]]-H$4)</f>
        <v>33381</v>
      </c>
      <c r="D5443" s="1">
        <f>IF(Tabela1[[#This Row],[promien]]&lt;40000,1,0)</f>
        <v>1</v>
      </c>
      <c r="E5443" s="1">
        <f>IF(Tabela1[[#This Row],[promien]]=40000,1,0)</f>
        <v>0</v>
      </c>
      <c r="F5443" s="1">
        <v>3.171045379386368</v>
      </c>
      <c r="G5443" s="1">
        <v>2.9452725796574875E-2</v>
      </c>
    </row>
    <row r="5444" spans="1:7">
      <c r="A5444">
        <v>240</v>
      </c>
      <c r="B5444">
        <v>87</v>
      </c>
      <c r="C5444" s="1">
        <f>(Tabela1[[#This Row],[x]]-H$3)*(Tabela1[[#This Row],[x]]-H$3) +(Tabela1[[#This Row],[y]]-H$4)*(Tabela1[[#This Row],[y]]-H$4)</f>
        <v>14369</v>
      </c>
      <c r="D5444" s="1">
        <f>IF(Tabela1[[#This Row],[promien]]&lt;40000,1,0)</f>
        <v>1</v>
      </c>
      <c r="E5444" s="1">
        <f>IF(Tabela1[[#This Row],[promien]]=40000,1,0)</f>
        <v>0</v>
      </c>
      <c r="F5444" s="1">
        <v>3.1711976487876563</v>
      </c>
      <c r="G5444" s="1">
        <v>2.9604995197863193E-2</v>
      </c>
    </row>
    <row r="5445" spans="1:7">
      <c r="A5445">
        <v>36</v>
      </c>
      <c r="B5445">
        <v>254</v>
      </c>
      <c r="C5445" s="1">
        <f>(Tabela1[[#This Row],[x]]-H$3)*(Tabela1[[#This Row],[x]]-H$3) +(Tabela1[[#This Row],[y]]-H$4)*(Tabela1[[#This Row],[y]]-H$4)</f>
        <v>29812</v>
      </c>
      <c r="D5445" s="1">
        <f>IF(Tabela1[[#This Row],[promien]]&lt;40000,1,0)</f>
        <v>1</v>
      </c>
      <c r="E5445" s="1">
        <f>IF(Tabela1[[#This Row],[promien]]=40000,1,0)</f>
        <v>0</v>
      </c>
      <c r="F5445" s="1">
        <v>3.1713498622589533</v>
      </c>
      <c r="G5445" s="1">
        <v>2.9757208669160207E-2</v>
      </c>
    </row>
    <row r="5446" spans="1:7">
      <c r="A5446">
        <v>226</v>
      </c>
      <c r="B5446">
        <v>54</v>
      </c>
      <c r="C5446" s="1">
        <f>(Tabela1[[#This Row],[x]]-H$3)*(Tabela1[[#This Row],[x]]-H$3) +(Tabela1[[#This Row],[y]]-H$4)*(Tabela1[[#This Row],[y]]-H$4)</f>
        <v>21992</v>
      </c>
      <c r="D5446" s="1">
        <f>IF(Tabela1[[#This Row],[promien]]&lt;40000,1,0)</f>
        <v>1</v>
      </c>
      <c r="E5446" s="1">
        <f>IF(Tabela1[[#This Row],[promien]]=40000,1,0)</f>
        <v>0</v>
      </c>
      <c r="F5446" s="1">
        <v>3.1715020198310686</v>
      </c>
      <c r="G5446" s="1">
        <v>2.9909366241275492E-2</v>
      </c>
    </row>
    <row r="5447" spans="1:7">
      <c r="A5447">
        <v>306</v>
      </c>
      <c r="B5447">
        <v>87</v>
      </c>
      <c r="C5447" s="1">
        <f>(Tabela1[[#This Row],[x]]-H$3)*(Tabela1[[#This Row],[x]]-H$3) +(Tabela1[[#This Row],[y]]-H$4)*(Tabela1[[#This Row],[y]]-H$4)</f>
        <v>24005</v>
      </c>
      <c r="D5447" s="1">
        <f>IF(Tabela1[[#This Row],[promien]]&lt;40000,1,0)</f>
        <v>1</v>
      </c>
      <c r="E5447" s="1">
        <f>IF(Tabela1[[#This Row],[promien]]=40000,1,0)</f>
        <v>0</v>
      </c>
      <c r="F5447" s="1">
        <v>3.17165412153479</v>
      </c>
      <c r="G5447" s="1">
        <v>3.0061467944996867E-2</v>
      </c>
    </row>
    <row r="5448" spans="1:7">
      <c r="A5448">
        <v>301</v>
      </c>
      <c r="B5448">
        <v>309</v>
      </c>
      <c r="C5448" s="1">
        <f>(Tabela1[[#This Row],[x]]-H$3)*(Tabela1[[#This Row],[x]]-H$3) +(Tabela1[[#This Row],[y]]-H$4)*(Tabela1[[#This Row],[y]]-H$4)</f>
        <v>22082</v>
      </c>
      <c r="D5448" s="1">
        <f>IF(Tabela1[[#This Row],[promien]]&lt;40000,1,0)</f>
        <v>1</v>
      </c>
      <c r="E5448" s="1">
        <f>IF(Tabela1[[#This Row],[promien]]=40000,1,0)</f>
        <v>0</v>
      </c>
      <c r="F5448" s="1">
        <v>3.1718061674008808</v>
      </c>
      <c r="G5448" s="1">
        <v>3.0213513811087722E-2</v>
      </c>
    </row>
    <row r="5449" spans="1:7">
      <c r="A5449">
        <v>375</v>
      </c>
      <c r="B5449">
        <v>184</v>
      </c>
      <c r="C5449" s="1">
        <f>(Tabela1[[#This Row],[x]]-H$3)*(Tabela1[[#This Row],[x]]-H$3) +(Tabela1[[#This Row],[y]]-H$4)*(Tabela1[[#This Row],[y]]-H$4)</f>
        <v>30881</v>
      </c>
      <c r="D5449" s="1">
        <f>IF(Tabela1[[#This Row],[promien]]&lt;40000,1,0)</f>
        <v>1</v>
      </c>
      <c r="E5449" s="1">
        <f>IF(Tabela1[[#This Row],[promien]]=40000,1,0)</f>
        <v>0</v>
      </c>
      <c r="F5449" s="1">
        <v>3.1719581574600846</v>
      </c>
      <c r="G5449" s="1">
        <v>3.0365503870291466E-2</v>
      </c>
    </row>
    <row r="5450" spans="1:7">
      <c r="A5450">
        <v>218</v>
      </c>
      <c r="B5450">
        <v>209</v>
      </c>
      <c r="C5450" s="1">
        <f>(Tabela1[[#This Row],[x]]-H$3)*(Tabela1[[#This Row],[x]]-H$3) +(Tabela1[[#This Row],[y]]-H$4)*(Tabela1[[#This Row],[y]]-H$4)</f>
        <v>405</v>
      </c>
      <c r="D5450" s="1">
        <f>IF(Tabela1[[#This Row],[promien]]&lt;40000,1,0)</f>
        <v>1</v>
      </c>
      <c r="E5450" s="1">
        <f>IF(Tabela1[[#This Row],[promien]]=40000,1,0)</f>
        <v>0</v>
      </c>
      <c r="F5450" s="1">
        <v>3.1721100917431193</v>
      </c>
      <c r="G5450" s="1">
        <v>3.0517438153326193E-2</v>
      </c>
    </row>
    <row r="5451" spans="1:7">
      <c r="A5451">
        <v>275</v>
      </c>
      <c r="B5451">
        <v>235</v>
      </c>
      <c r="C5451" s="1">
        <f>(Tabela1[[#This Row],[x]]-H$3)*(Tabela1[[#This Row],[x]]-H$3) +(Tabela1[[#This Row],[y]]-H$4)*(Tabela1[[#This Row],[y]]-H$4)</f>
        <v>6850</v>
      </c>
      <c r="D5451" s="1">
        <f>IF(Tabela1[[#This Row],[promien]]&lt;40000,1,0)</f>
        <v>1</v>
      </c>
      <c r="E5451" s="1">
        <f>IF(Tabela1[[#This Row],[promien]]=40000,1,0)</f>
        <v>0</v>
      </c>
      <c r="F5451" s="1">
        <v>3.1722619702806822</v>
      </c>
      <c r="G5451" s="1">
        <v>3.0669316690889126E-2</v>
      </c>
    </row>
    <row r="5452" spans="1:7">
      <c r="A5452">
        <v>71</v>
      </c>
      <c r="B5452">
        <v>380</v>
      </c>
      <c r="C5452" s="1">
        <f>(Tabela1[[#This Row],[x]]-H$3)*(Tabela1[[#This Row],[x]]-H$3) +(Tabela1[[#This Row],[y]]-H$4)*(Tabela1[[#This Row],[y]]-H$4)</f>
        <v>49041</v>
      </c>
      <c r="D5452" s="1">
        <f>IF(Tabela1[[#This Row],[promien]]&lt;40000,1,0)</f>
        <v>0</v>
      </c>
      <c r="E5452" s="1">
        <f>IF(Tabela1[[#This Row],[promien]]=40000,1,0)</f>
        <v>0</v>
      </c>
      <c r="F5452" s="1">
        <v>3.1716801173881146</v>
      </c>
      <c r="G5452" s="1">
        <v>3.0087463798321501E-2</v>
      </c>
    </row>
    <row r="5453" spans="1:7">
      <c r="A5453">
        <v>124</v>
      </c>
      <c r="B5453">
        <v>173</v>
      </c>
      <c r="C5453" s="1">
        <f>(Tabela1[[#This Row],[x]]-H$3)*(Tabela1[[#This Row],[x]]-H$3) +(Tabela1[[#This Row],[y]]-H$4)*(Tabela1[[#This Row],[y]]-H$4)</f>
        <v>6505</v>
      </c>
      <c r="D5453" s="1">
        <f>IF(Tabela1[[#This Row],[promien]]&lt;40000,1,0)</f>
        <v>1</v>
      </c>
      <c r="E5453" s="1">
        <f>IF(Tabela1[[#This Row],[promien]]=40000,1,0)</f>
        <v>0</v>
      </c>
      <c r="F5453" s="1">
        <v>3.1718320190720704</v>
      </c>
      <c r="G5453" s="1">
        <v>3.0239365482277236E-2</v>
      </c>
    </row>
    <row r="5454" spans="1:7">
      <c r="A5454">
        <v>115</v>
      </c>
      <c r="B5454">
        <v>246</v>
      </c>
      <c r="C5454" s="1">
        <f>(Tabela1[[#This Row],[x]]-H$3)*(Tabela1[[#This Row],[x]]-H$3) +(Tabela1[[#This Row],[y]]-H$4)*(Tabela1[[#This Row],[y]]-H$4)</f>
        <v>9341</v>
      </c>
      <c r="D5454" s="1">
        <f>IF(Tabela1[[#This Row],[promien]]&lt;40000,1,0)</f>
        <v>1</v>
      </c>
      <c r="E5454" s="1">
        <f>IF(Tabela1[[#This Row],[promien]]=40000,1,0)</f>
        <v>0</v>
      </c>
      <c r="F5454" s="1">
        <v>3.1719838650531722</v>
      </c>
      <c r="G5454" s="1">
        <v>3.0391211463379086E-2</v>
      </c>
    </row>
    <row r="5455" spans="1:7">
      <c r="A5455">
        <v>99</v>
      </c>
      <c r="B5455">
        <v>395</v>
      </c>
      <c r="C5455" s="1">
        <f>(Tabela1[[#This Row],[x]]-H$3)*(Tabela1[[#This Row],[x]]-H$3) +(Tabela1[[#This Row],[y]]-H$4)*(Tabela1[[#This Row],[y]]-H$4)</f>
        <v>48226</v>
      </c>
      <c r="D5455" s="1">
        <f>IF(Tabela1[[#This Row],[promien]]&lt;40000,1,0)</f>
        <v>0</v>
      </c>
      <c r="E5455" s="1">
        <f>IF(Tabela1[[#This Row],[promien]]=40000,1,0)</f>
        <v>0</v>
      </c>
      <c r="F5455" s="1">
        <v>3.1714023831347387</v>
      </c>
      <c r="G5455" s="1">
        <v>2.980972954494554E-2</v>
      </c>
    </row>
    <row r="5456" spans="1:7">
      <c r="A5456">
        <v>377</v>
      </c>
      <c r="B5456">
        <v>73</v>
      </c>
      <c r="C5456" s="1">
        <f>(Tabela1[[#This Row],[x]]-H$3)*(Tabela1[[#This Row],[x]]-H$3) +(Tabela1[[#This Row],[y]]-H$4)*(Tabela1[[#This Row],[y]]-H$4)</f>
        <v>47458</v>
      </c>
      <c r="D5456" s="1">
        <f>IF(Tabela1[[#This Row],[promien]]&lt;40000,1,0)</f>
        <v>0</v>
      </c>
      <c r="E5456" s="1">
        <f>IF(Tabela1[[#This Row],[promien]]=40000,1,0)</f>
        <v>0</v>
      </c>
      <c r="F5456" s="1">
        <v>3.1708211143695015</v>
      </c>
      <c r="G5456" s="1">
        <v>2.9228460779708421E-2</v>
      </c>
    </row>
    <row r="5457" spans="1:7">
      <c r="A5457">
        <v>224</v>
      </c>
      <c r="B5457">
        <v>168</v>
      </c>
      <c r="C5457" s="1">
        <f>(Tabela1[[#This Row],[x]]-H$3)*(Tabela1[[#This Row],[x]]-H$3) +(Tabela1[[#This Row],[y]]-H$4)*(Tabela1[[#This Row],[y]]-H$4)</f>
        <v>1600</v>
      </c>
      <c r="D5457" s="1">
        <f>IF(Tabela1[[#This Row],[promien]]&lt;40000,1,0)</f>
        <v>1</v>
      </c>
      <c r="E5457" s="1">
        <f>IF(Tabela1[[#This Row],[promien]]=40000,1,0)</f>
        <v>0</v>
      </c>
      <c r="F5457" s="1">
        <v>3.1709730621220449</v>
      </c>
      <c r="G5457" s="1">
        <v>2.9380408532251767E-2</v>
      </c>
    </row>
    <row r="5458" spans="1:7">
      <c r="A5458">
        <v>384</v>
      </c>
      <c r="B5458">
        <v>373</v>
      </c>
      <c r="C5458" s="1">
        <f>(Tabela1[[#This Row],[x]]-H$3)*(Tabela1[[#This Row],[x]]-H$3) +(Tabela1[[#This Row],[y]]-H$4)*(Tabela1[[#This Row],[y]]-H$4)</f>
        <v>63785</v>
      </c>
      <c r="D5458" s="1">
        <f>IF(Tabela1[[#This Row],[promien]]&lt;40000,1,0)</f>
        <v>0</v>
      </c>
      <c r="E5458" s="1">
        <f>IF(Tabela1[[#This Row],[promien]]=40000,1,0)</f>
        <v>0</v>
      </c>
      <c r="F5458" s="1">
        <v>3.1703920850128253</v>
      </c>
      <c r="G5458" s="1">
        <v>2.8799431423032207E-2</v>
      </c>
    </row>
    <row r="5459" spans="1:7">
      <c r="A5459">
        <v>228</v>
      </c>
      <c r="B5459">
        <v>88</v>
      </c>
      <c r="C5459" s="1">
        <f>(Tabela1[[#This Row],[x]]-H$3)*(Tabela1[[#This Row],[x]]-H$3) +(Tabela1[[#This Row],[y]]-H$4)*(Tabela1[[#This Row],[y]]-H$4)</f>
        <v>13328</v>
      </c>
      <c r="D5459" s="1">
        <f>IF(Tabela1[[#This Row],[promien]]&lt;40000,1,0)</f>
        <v>1</v>
      </c>
      <c r="E5459" s="1">
        <f>IF(Tabela1[[#This Row],[promien]]=40000,1,0)</f>
        <v>0</v>
      </c>
      <c r="F5459" s="1">
        <v>3.1705440556878548</v>
      </c>
      <c r="G5459" s="1">
        <v>2.8951402098061685E-2</v>
      </c>
    </row>
    <row r="5460" spans="1:7">
      <c r="A5460">
        <v>201</v>
      </c>
      <c r="B5460">
        <v>235</v>
      </c>
      <c r="C5460" s="1">
        <f>(Tabela1[[#This Row],[x]]-H$3)*(Tabela1[[#This Row],[x]]-H$3) +(Tabela1[[#This Row],[y]]-H$4)*(Tabela1[[#This Row],[y]]-H$4)</f>
        <v>1226</v>
      </c>
      <c r="D5460" s="1">
        <f>IF(Tabela1[[#This Row],[promien]]&lt;40000,1,0)</f>
        <v>1</v>
      </c>
      <c r="E5460" s="1">
        <f>IF(Tabela1[[#This Row],[promien]]=40000,1,0)</f>
        <v>0</v>
      </c>
      <c r="F5460" s="1">
        <v>3.1706959706959705</v>
      </c>
      <c r="G5460" s="1">
        <v>2.9103317106177418E-2</v>
      </c>
    </row>
    <row r="5461" spans="1:7">
      <c r="A5461">
        <v>59</v>
      </c>
      <c r="B5461">
        <v>108</v>
      </c>
      <c r="C5461" s="1">
        <f>(Tabela1[[#This Row],[x]]-H$3)*(Tabela1[[#This Row],[x]]-H$3) +(Tabela1[[#This Row],[y]]-H$4)*(Tabela1[[#This Row],[y]]-H$4)</f>
        <v>28345</v>
      </c>
      <c r="D5461" s="1">
        <f>IF(Tabela1[[#This Row],[promien]]&lt;40000,1,0)</f>
        <v>1</v>
      </c>
      <c r="E5461" s="1">
        <f>IF(Tabela1[[#This Row],[promien]]=40000,1,0)</f>
        <v>0</v>
      </c>
      <c r="F5461" s="1">
        <v>3.1708478300677529</v>
      </c>
      <c r="G5461" s="1">
        <v>2.9255176477959832E-2</v>
      </c>
    </row>
    <row r="5462" spans="1:7">
      <c r="A5462">
        <v>71</v>
      </c>
      <c r="B5462">
        <v>55</v>
      </c>
      <c r="C5462" s="1">
        <f>(Tabela1[[#This Row],[x]]-H$3)*(Tabela1[[#This Row],[x]]-H$3) +(Tabela1[[#This Row],[y]]-H$4)*(Tabela1[[#This Row],[y]]-H$4)</f>
        <v>37666</v>
      </c>
      <c r="D5462" s="1">
        <f>IF(Tabela1[[#This Row],[promien]]&lt;40000,1,0)</f>
        <v>1</v>
      </c>
      <c r="E5462" s="1">
        <f>IF(Tabela1[[#This Row],[promien]]=40000,1,0)</f>
        <v>0</v>
      </c>
      <c r="F5462" s="1">
        <v>3.1709996338337607</v>
      </c>
      <c r="G5462" s="1">
        <v>2.9406980243967595E-2</v>
      </c>
    </row>
    <row r="5463" spans="1:7">
      <c r="A5463">
        <v>21</v>
      </c>
      <c r="B5463">
        <v>383</v>
      </c>
      <c r="C5463" s="1">
        <f>(Tabela1[[#This Row],[x]]-H$3)*(Tabela1[[#This Row],[x]]-H$3) +(Tabela1[[#This Row],[y]]-H$4)*(Tabela1[[#This Row],[y]]-H$4)</f>
        <v>65530</v>
      </c>
      <c r="D5463" s="1">
        <f>IF(Tabela1[[#This Row],[promien]]&lt;40000,1,0)</f>
        <v>0</v>
      </c>
      <c r="E5463" s="1">
        <f>IF(Tabela1[[#This Row],[promien]]=40000,1,0)</f>
        <v>0</v>
      </c>
      <c r="F5463" s="1">
        <v>3.1704191835987552</v>
      </c>
      <c r="G5463" s="1">
        <v>2.882653000896207E-2</v>
      </c>
    </row>
    <row r="5464" spans="1:7">
      <c r="A5464">
        <v>0</v>
      </c>
      <c r="B5464">
        <v>38</v>
      </c>
      <c r="C5464" s="1">
        <f>(Tabela1[[#This Row],[x]]-H$3)*(Tabela1[[#This Row],[x]]-H$3) +(Tabela1[[#This Row],[y]]-H$4)*(Tabela1[[#This Row],[y]]-H$4)</f>
        <v>66244</v>
      </c>
      <c r="D5464" s="1">
        <f>IF(Tabela1[[#This Row],[promien]]&lt;40000,1,0)</f>
        <v>0</v>
      </c>
      <c r="E5464" s="1">
        <f>IF(Tabela1[[#This Row],[promien]]=40000,1,0)</f>
        <v>0</v>
      </c>
      <c r="F5464" s="1">
        <v>3.1698389458272329</v>
      </c>
      <c r="G5464" s="1">
        <v>2.8246292237439796E-2</v>
      </c>
    </row>
    <row r="5465" spans="1:7">
      <c r="A5465">
        <v>63</v>
      </c>
      <c r="B5465">
        <v>70</v>
      </c>
      <c r="C5465" s="1">
        <f>(Tabela1[[#This Row],[x]]-H$3)*(Tabela1[[#This Row],[x]]-H$3) +(Tabela1[[#This Row],[y]]-H$4)*(Tabela1[[#This Row],[y]]-H$4)</f>
        <v>35669</v>
      </c>
      <c r="D5465" s="1">
        <f>IF(Tabela1[[#This Row],[promien]]&lt;40000,1,0)</f>
        <v>1</v>
      </c>
      <c r="E5465" s="1">
        <f>IF(Tabela1[[#This Row],[promien]]=40000,1,0)</f>
        <v>0</v>
      </c>
      <c r="F5465" s="1">
        <v>3.1699908508691674</v>
      </c>
      <c r="G5465" s="1">
        <v>2.8398197279374315E-2</v>
      </c>
    </row>
    <row r="5466" spans="1:7">
      <c r="A5466">
        <v>65</v>
      </c>
      <c r="B5466">
        <v>286</v>
      </c>
      <c r="C5466" s="1">
        <f>(Tabela1[[#This Row],[x]]-H$3)*(Tabela1[[#This Row],[x]]-H$3) +(Tabela1[[#This Row],[y]]-H$4)*(Tabela1[[#This Row],[y]]-H$4)</f>
        <v>25621</v>
      </c>
      <c r="D5466" s="1">
        <f>IF(Tabela1[[#This Row],[promien]]&lt;40000,1,0)</f>
        <v>1</v>
      </c>
      <c r="E5466" s="1">
        <f>IF(Tabela1[[#This Row],[promien]]=40000,1,0)</f>
        <v>0</v>
      </c>
      <c r="F5466" s="1">
        <v>3.1701427003293086</v>
      </c>
      <c r="G5466" s="1">
        <v>2.8550046739515444E-2</v>
      </c>
    </row>
    <row r="5467" spans="1:7">
      <c r="A5467">
        <v>195</v>
      </c>
      <c r="B5467">
        <v>236</v>
      </c>
      <c r="C5467" s="1">
        <f>(Tabela1[[#This Row],[x]]-H$3)*(Tabela1[[#This Row],[x]]-H$3) +(Tabela1[[#This Row],[y]]-H$4)*(Tabela1[[#This Row],[y]]-H$4)</f>
        <v>1321</v>
      </c>
      <c r="D5467" s="1">
        <f>IF(Tabela1[[#This Row],[promien]]&lt;40000,1,0)</f>
        <v>1</v>
      </c>
      <c r="E5467" s="1">
        <f>IF(Tabela1[[#This Row],[promien]]=40000,1,0)</f>
        <v>0</v>
      </c>
      <c r="F5467" s="1">
        <v>3.1702944942381563</v>
      </c>
      <c r="G5467" s="1">
        <v>2.870184064836323E-2</v>
      </c>
    </row>
    <row r="5468" spans="1:7">
      <c r="A5468">
        <v>332</v>
      </c>
      <c r="B5468">
        <v>47</v>
      </c>
      <c r="C5468" s="1">
        <f>(Tabela1[[#This Row],[x]]-H$3)*(Tabela1[[#This Row],[x]]-H$3) +(Tabela1[[#This Row],[y]]-H$4)*(Tabela1[[#This Row],[y]]-H$4)</f>
        <v>40833</v>
      </c>
      <c r="D5468" s="1">
        <f>IF(Tabela1[[#This Row],[promien]]&lt;40000,1,0)</f>
        <v>0</v>
      </c>
      <c r="E5468" s="1">
        <f>IF(Tabela1[[#This Row],[promien]]=40000,1,0)</f>
        <v>0</v>
      </c>
      <c r="F5468" s="1">
        <v>3.1697147037307976</v>
      </c>
      <c r="G5468" s="1">
        <v>2.812205014100444E-2</v>
      </c>
    </row>
    <row r="5469" spans="1:7">
      <c r="A5469">
        <v>275</v>
      </c>
      <c r="B5469">
        <v>252</v>
      </c>
      <c r="C5469" s="1">
        <f>(Tabela1[[#This Row],[x]]-H$3)*(Tabela1[[#This Row],[x]]-H$3) +(Tabela1[[#This Row],[y]]-H$4)*(Tabela1[[#This Row],[y]]-H$4)</f>
        <v>8329</v>
      </c>
      <c r="D5469" s="1">
        <f>IF(Tabela1[[#This Row],[promien]]&lt;40000,1,0)</f>
        <v>1</v>
      </c>
      <c r="E5469" s="1">
        <f>IF(Tabela1[[#This Row],[promien]]=40000,1,0)</f>
        <v>0</v>
      </c>
      <c r="F5469" s="1">
        <v>3.1698665203876395</v>
      </c>
      <c r="G5469" s="1">
        <v>2.8273866797846381E-2</v>
      </c>
    </row>
    <row r="5470" spans="1:7">
      <c r="A5470">
        <v>2</v>
      </c>
      <c r="B5470">
        <v>174</v>
      </c>
      <c r="C5470" s="1">
        <f>(Tabela1[[#This Row],[x]]-H$3)*(Tabela1[[#This Row],[x]]-H$3) +(Tabela1[[#This Row],[y]]-H$4)*(Tabela1[[#This Row],[y]]-H$4)</f>
        <v>39880</v>
      </c>
      <c r="D5470" s="1">
        <f>IF(Tabela1[[#This Row],[promien]]&lt;40000,1,0)</f>
        <v>1</v>
      </c>
      <c r="E5470" s="1">
        <f>IF(Tabela1[[#This Row],[promien]]=40000,1,0)</f>
        <v>0</v>
      </c>
      <c r="F5470" s="1">
        <v>3.1700182815356488</v>
      </c>
      <c r="G5470" s="1">
        <v>2.842562794585568E-2</v>
      </c>
    </row>
    <row r="5471" spans="1:7">
      <c r="A5471">
        <v>212</v>
      </c>
      <c r="B5471">
        <v>316</v>
      </c>
      <c r="C5471" s="1">
        <f>(Tabela1[[#This Row],[x]]-H$3)*(Tabela1[[#This Row],[x]]-H$3) +(Tabela1[[#This Row],[y]]-H$4)*(Tabela1[[#This Row],[y]]-H$4)</f>
        <v>13600</v>
      </c>
      <c r="D5471" s="1">
        <f>IF(Tabela1[[#This Row],[promien]]&lt;40000,1,0)</f>
        <v>1</v>
      </c>
      <c r="E5471" s="1">
        <f>IF(Tabela1[[#This Row],[promien]]=40000,1,0)</f>
        <v>0</v>
      </c>
      <c r="F5471" s="1">
        <v>3.1701699872052642</v>
      </c>
      <c r="G5471" s="1">
        <v>2.8577333615471101E-2</v>
      </c>
    </row>
    <row r="5472" spans="1:7">
      <c r="A5472">
        <v>86</v>
      </c>
      <c r="B5472">
        <v>156</v>
      </c>
      <c r="C5472" s="1">
        <f>(Tabela1[[#This Row],[x]]-H$3)*(Tabela1[[#This Row],[x]]-H$3) +(Tabela1[[#This Row],[y]]-H$4)*(Tabela1[[#This Row],[y]]-H$4)</f>
        <v>14932</v>
      </c>
      <c r="D5472" s="1">
        <f>IF(Tabela1[[#This Row],[promien]]&lt;40000,1,0)</f>
        <v>1</v>
      </c>
      <c r="E5472" s="1">
        <f>IF(Tabela1[[#This Row],[promien]]=40000,1,0)</f>
        <v>0</v>
      </c>
      <c r="F5472" s="1">
        <v>3.1703216374269005</v>
      </c>
      <c r="G5472" s="1">
        <v>2.8728983837107425E-2</v>
      </c>
    </row>
    <row r="5473" spans="1:7">
      <c r="A5473">
        <v>185</v>
      </c>
      <c r="B5473">
        <v>33</v>
      </c>
      <c r="C5473" s="1">
        <f>(Tabela1[[#This Row],[x]]-H$3)*(Tabela1[[#This Row],[x]]-H$3) +(Tabela1[[#This Row],[y]]-H$4)*(Tabela1[[#This Row],[y]]-H$4)</f>
        <v>28114</v>
      </c>
      <c r="D5473" s="1">
        <f>IF(Tabela1[[#This Row],[promien]]&lt;40000,1,0)</f>
        <v>1</v>
      </c>
      <c r="E5473" s="1">
        <f>IF(Tabela1[[#This Row],[promien]]=40000,1,0)</f>
        <v>0</v>
      </c>
      <c r="F5473" s="1">
        <v>3.1704732322309521</v>
      </c>
      <c r="G5473" s="1">
        <v>2.8880578641159005E-2</v>
      </c>
    </row>
    <row r="5474" spans="1:7">
      <c r="A5474">
        <v>41</v>
      </c>
      <c r="B5474">
        <v>80</v>
      </c>
      <c r="C5474" s="1">
        <f>(Tabela1[[#This Row],[x]]-H$3)*(Tabela1[[#This Row],[x]]-H$3) +(Tabela1[[#This Row],[y]]-H$4)*(Tabela1[[#This Row],[y]]-H$4)</f>
        <v>39681</v>
      </c>
      <c r="D5474" s="1">
        <f>IF(Tabela1[[#This Row],[promien]]&lt;40000,1,0)</f>
        <v>1</v>
      </c>
      <c r="E5474" s="1">
        <f>IF(Tabela1[[#This Row],[promien]]=40000,1,0)</f>
        <v>0</v>
      </c>
      <c r="F5474" s="1">
        <v>3.1706247716477893</v>
      </c>
      <c r="G5474" s="1">
        <v>2.9032118057996215E-2</v>
      </c>
    </row>
    <row r="5475" spans="1:7">
      <c r="A5475">
        <v>331</v>
      </c>
      <c r="B5475">
        <v>56</v>
      </c>
      <c r="C5475" s="1">
        <f>(Tabela1[[#This Row],[x]]-H$3)*(Tabela1[[#This Row],[x]]-H$3) +(Tabela1[[#This Row],[y]]-H$4)*(Tabela1[[#This Row],[y]]-H$4)</f>
        <v>37897</v>
      </c>
      <c r="D5475" s="1">
        <f>IF(Tabela1[[#This Row],[promien]]&lt;40000,1,0)</f>
        <v>1</v>
      </c>
      <c r="E5475" s="1">
        <f>IF(Tabela1[[#This Row],[promien]]=40000,1,0)</f>
        <v>0</v>
      </c>
      <c r="F5475" s="1">
        <v>3.1707762557077626</v>
      </c>
      <c r="G5475" s="1">
        <v>2.9183602117969443E-2</v>
      </c>
    </row>
    <row r="5476" spans="1:7">
      <c r="A5476">
        <v>3</v>
      </c>
      <c r="B5476">
        <v>46</v>
      </c>
      <c r="C5476" s="1">
        <f>(Tabela1[[#This Row],[x]]-H$3)*(Tabela1[[#This Row],[x]]-H$3) +(Tabela1[[#This Row],[y]]-H$4)*(Tabela1[[#This Row],[y]]-H$4)</f>
        <v>62525</v>
      </c>
      <c r="D5476" s="1">
        <f>IF(Tabela1[[#This Row],[promien]]&lt;40000,1,0)</f>
        <v>0</v>
      </c>
      <c r="E5476" s="1">
        <f>IF(Tabela1[[#This Row],[promien]]=40000,1,0)</f>
        <v>0</v>
      </c>
      <c r="F5476" s="1">
        <v>3.1701972242512784</v>
      </c>
      <c r="G5476" s="1">
        <v>2.8604570661485251E-2</v>
      </c>
    </row>
    <row r="5477" spans="1:7">
      <c r="A5477">
        <v>52</v>
      </c>
      <c r="B5477">
        <v>126</v>
      </c>
      <c r="C5477" s="1">
        <f>(Tabela1[[#This Row],[x]]-H$3)*(Tabela1[[#This Row],[x]]-H$3) +(Tabela1[[#This Row],[y]]-H$4)*(Tabela1[[#This Row],[y]]-H$4)</f>
        <v>27380</v>
      </c>
      <c r="D5477" s="1">
        <f>IF(Tabela1[[#This Row],[promien]]&lt;40000,1,0)</f>
        <v>1</v>
      </c>
      <c r="E5477" s="1">
        <f>IF(Tabela1[[#This Row],[promien]]=40000,1,0)</f>
        <v>0</v>
      </c>
      <c r="F5477" s="1">
        <v>3.1703487310571479</v>
      </c>
      <c r="G5477" s="1">
        <v>2.8756077467354757E-2</v>
      </c>
    </row>
    <row r="5478" spans="1:7">
      <c r="A5478">
        <v>362</v>
      </c>
      <c r="B5478">
        <v>154</v>
      </c>
      <c r="C5478" s="1">
        <f>(Tabela1[[#This Row],[x]]-H$3)*(Tabela1[[#This Row],[x]]-H$3) +(Tabela1[[#This Row],[y]]-H$4)*(Tabela1[[#This Row],[y]]-H$4)</f>
        <v>28360</v>
      </c>
      <c r="D5478" s="1">
        <f>IF(Tabela1[[#This Row],[promien]]&lt;40000,1,0)</f>
        <v>1</v>
      </c>
      <c r="E5478" s="1">
        <f>IF(Tabela1[[#This Row],[promien]]=40000,1,0)</f>
        <v>0</v>
      </c>
      <c r="F5478" s="1">
        <v>3.1705001825483752</v>
      </c>
      <c r="G5478" s="1">
        <v>2.8907528958582063E-2</v>
      </c>
    </row>
    <row r="5479" spans="1:7">
      <c r="A5479">
        <v>262</v>
      </c>
      <c r="B5479">
        <v>370</v>
      </c>
      <c r="C5479" s="1">
        <f>(Tabela1[[#This Row],[x]]-H$3)*(Tabela1[[#This Row],[x]]-H$3) +(Tabela1[[#This Row],[y]]-H$4)*(Tabela1[[#This Row],[y]]-H$4)</f>
        <v>32744</v>
      </c>
      <c r="D5479" s="1">
        <f>IF(Tabela1[[#This Row],[promien]]&lt;40000,1,0)</f>
        <v>1</v>
      </c>
      <c r="E5479" s="1">
        <f>IF(Tabela1[[#This Row],[promien]]=40000,1,0)</f>
        <v>0</v>
      </c>
      <c r="F5479" s="1">
        <v>3.1706515787552472</v>
      </c>
      <c r="G5479" s="1">
        <v>2.9058925165454053E-2</v>
      </c>
    </row>
    <row r="5480" spans="1:7">
      <c r="A5480">
        <v>304</v>
      </c>
      <c r="B5480">
        <v>391</v>
      </c>
      <c r="C5480" s="1">
        <f>(Tabela1[[#This Row],[x]]-H$3)*(Tabela1[[#This Row],[x]]-H$3) +(Tabela1[[#This Row],[y]]-H$4)*(Tabela1[[#This Row],[y]]-H$4)</f>
        <v>47297</v>
      </c>
      <c r="D5480" s="1">
        <f>IF(Tabela1[[#This Row],[promien]]&lt;40000,1,0)</f>
        <v>0</v>
      </c>
      <c r="E5480" s="1">
        <f>IF(Tabela1[[#This Row],[promien]]=40000,1,0)</f>
        <v>0</v>
      </c>
      <c r="F5480" s="1">
        <v>3.1700729927007298</v>
      </c>
      <c r="G5480" s="1">
        <v>2.8480339110936725E-2</v>
      </c>
    </row>
    <row r="5481" spans="1:7">
      <c r="A5481">
        <v>276</v>
      </c>
      <c r="B5481">
        <v>238</v>
      </c>
      <c r="C5481" s="1">
        <f>(Tabela1[[#This Row],[x]]-H$3)*(Tabela1[[#This Row],[x]]-H$3) +(Tabela1[[#This Row],[y]]-H$4)*(Tabela1[[#This Row],[y]]-H$4)</f>
        <v>7220</v>
      </c>
      <c r="D5481" s="1">
        <f>IF(Tabela1[[#This Row],[promien]]&lt;40000,1,0)</f>
        <v>1</v>
      </c>
      <c r="E5481" s="1">
        <f>IF(Tabela1[[#This Row],[promien]]=40000,1,0)</f>
        <v>0</v>
      </c>
      <c r="F5481" s="1">
        <v>3.1702244116037219</v>
      </c>
      <c r="G5481" s="1">
        <v>2.863175801392881E-2</v>
      </c>
    </row>
    <row r="5482" spans="1:7">
      <c r="A5482">
        <v>52</v>
      </c>
      <c r="B5482">
        <v>345</v>
      </c>
      <c r="C5482" s="1">
        <f>(Tabela1[[#This Row],[x]]-H$3)*(Tabela1[[#This Row],[x]]-H$3) +(Tabela1[[#This Row],[y]]-H$4)*(Tabela1[[#This Row],[y]]-H$4)</f>
        <v>42929</v>
      </c>
      <c r="D5482" s="1">
        <f>IF(Tabela1[[#This Row],[promien]]&lt;40000,1,0)</f>
        <v>0</v>
      </c>
      <c r="E5482" s="1">
        <f>IF(Tabela1[[#This Row],[promien]]=40000,1,0)</f>
        <v>0</v>
      </c>
      <c r="F5482" s="1">
        <v>3.169646114556731</v>
      </c>
      <c r="G5482" s="1">
        <v>2.8053460966937838E-2</v>
      </c>
    </row>
    <row r="5483" spans="1:7">
      <c r="A5483">
        <v>343</v>
      </c>
      <c r="B5483">
        <v>259</v>
      </c>
      <c r="C5483" s="1">
        <f>(Tabela1[[#This Row],[x]]-H$3)*(Tabela1[[#This Row],[x]]-H$3) +(Tabela1[[#This Row],[y]]-H$4)*(Tabela1[[#This Row],[y]]-H$4)</f>
        <v>23930</v>
      </c>
      <c r="D5483" s="1">
        <f>IF(Tabela1[[#This Row],[promien]]&lt;40000,1,0)</f>
        <v>1</v>
      </c>
      <c r="E5483" s="1">
        <f>IF(Tabela1[[#This Row],[promien]]=40000,1,0)</f>
        <v>0</v>
      </c>
      <c r="F5483" s="1">
        <v>3.1697975560824365</v>
      </c>
      <c r="G5483" s="1">
        <v>2.8204902492643402E-2</v>
      </c>
    </row>
    <row r="5484" spans="1:7">
      <c r="A5484">
        <v>79</v>
      </c>
      <c r="B5484">
        <v>310</v>
      </c>
      <c r="C5484" s="1">
        <f>(Tabela1[[#This Row],[x]]-H$3)*(Tabela1[[#This Row],[x]]-H$3) +(Tabela1[[#This Row],[y]]-H$4)*(Tabela1[[#This Row],[y]]-H$4)</f>
        <v>26741</v>
      </c>
      <c r="D5484" s="1">
        <f>IF(Tabela1[[#This Row],[promien]]&lt;40000,1,0)</f>
        <v>1</v>
      </c>
      <c r="E5484" s="1">
        <f>IF(Tabela1[[#This Row],[promien]]=40000,1,0)</f>
        <v>0</v>
      </c>
      <c r="F5484" s="1">
        <v>3.1699489423778262</v>
      </c>
      <c r="G5484" s="1">
        <v>2.835628878803309E-2</v>
      </c>
    </row>
    <row r="5485" spans="1:7">
      <c r="A5485">
        <v>361</v>
      </c>
      <c r="B5485">
        <v>351</v>
      </c>
      <c r="C5485" s="1">
        <f>(Tabela1[[#This Row],[x]]-H$3)*(Tabela1[[#This Row],[x]]-H$3) +(Tabela1[[#This Row],[y]]-H$4)*(Tabela1[[#This Row],[y]]-H$4)</f>
        <v>48722</v>
      </c>
      <c r="D5485" s="1">
        <f>IF(Tabela1[[#This Row],[promien]]&lt;40000,1,0)</f>
        <v>0</v>
      </c>
      <c r="E5485" s="1">
        <f>IF(Tabela1[[#This Row],[promien]]=40000,1,0)</f>
        <v>0</v>
      </c>
      <c r="F5485" s="1">
        <v>3.1693710118505014</v>
      </c>
      <c r="G5485" s="1">
        <v>2.7778358260708291E-2</v>
      </c>
    </row>
    <row r="5486" spans="1:7">
      <c r="A5486">
        <v>51</v>
      </c>
      <c r="B5486">
        <v>311</v>
      </c>
      <c r="C5486" s="1">
        <f>(Tabela1[[#This Row],[x]]-H$3)*(Tabela1[[#This Row],[x]]-H$3) +(Tabela1[[#This Row],[y]]-H$4)*(Tabela1[[#This Row],[y]]-H$4)</f>
        <v>34522</v>
      </c>
      <c r="D5486" s="1">
        <f>IF(Tabela1[[#This Row],[promien]]&lt;40000,1,0)</f>
        <v>1</v>
      </c>
      <c r="E5486" s="1">
        <f>IF(Tabela1[[#This Row],[promien]]=40000,1,0)</f>
        <v>0</v>
      </c>
      <c r="F5486" s="1">
        <v>3.169522420707255</v>
      </c>
      <c r="G5486" s="1">
        <v>2.7929767117461868E-2</v>
      </c>
    </row>
    <row r="5487" spans="1:7">
      <c r="A5487">
        <v>358</v>
      </c>
      <c r="B5487">
        <v>154</v>
      </c>
      <c r="C5487" s="1">
        <f>(Tabela1[[#This Row],[x]]-H$3)*(Tabela1[[#This Row],[x]]-H$3) +(Tabela1[[#This Row],[y]]-H$4)*(Tabela1[[#This Row],[y]]-H$4)</f>
        <v>27080</v>
      </c>
      <c r="D5487" s="1">
        <f>IF(Tabela1[[#This Row],[promien]]&lt;40000,1,0)</f>
        <v>1</v>
      </c>
      <c r="E5487" s="1">
        <f>IF(Tabela1[[#This Row],[promien]]=40000,1,0)</f>
        <v>0</v>
      </c>
      <c r="F5487" s="1">
        <v>3.1696737743757972</v>
      </c>
      <c r="G5487" s="1">
        <v>2.808112078600411E-2</v>
      </c>
    </row>
    <row r="5488" spans="1:7">
      <c r="A5488">
        <v>169</v>
      </c>
      <c r="B5488">
        <v>186</v>
      </c>
      <c r="C5488" s="1">
        <f>(Tabela1[[#This Row],[x]]-H$3)*(Tabela1[[#This Row],[x]]-H$3) +(Tabela1[[#This Row],[y]]-H$4)*(Tabela1[[#This Row],[y]]-H$4)</f>
        <v>1157</v>
      </c>
      <c r="D5488" s="1">
        <f>IF(Tabela1[[#This Row],[promien]]&lt;40000,1,0)</f>
        <v>1</v>
      </c>
      <c r="E5488" s="1">
        <f>IF(Tabela1[[#This Row],[promien]]=40000,1,0)</f>
        <v>0</v>
      </c>
      <c r="F5488" s="1">
        <v>3.1698250728862973</v>
      </c>
      <c r="G5488" s="1">
        <v>2.8232419296504219E-2</v>
      </c>
    </row>
    <row r="5489" spans="1:7">
      <c r="A5489">
        <v>16</v>
      </c>
      <c r="B5489">
        <v>121</v>
      </c>
      <c r="C5489" s="1">
        <f>(Tabela1[[#This Row],[x]]-H$3)*(Tabela1[[#This Row],[x]]-H$3) +(Tabela1[[#This Row],[y]]-H$4)*(Tabela1[[#This Row],[y]]-H$4)</f>
        <v>40097</v>
      </c>
      <c r="D5489" s="1">
        <f>IF(Tabela1[[#This Row],[promien]]&lt;40000,1,0)</f>
        <v>0</v>
      </c>
      <c r="E5489" s="1">
        <f>IF(Tabela1[[#This Row],[promien]]=40000,1,0)</f>
        <v>0</v>
      </c>
      <c r="F5489" s="1">
        <v>3.1692475860812532</v>
      </c>
      <c r="G5489" s="1">
        <v>2.7654932491460116E-2</v>
      </c>
    </row>
    <row r="5490" spans="1:7">
      <c r="A5490">
        <v>34</v>
      </c>
      <c r="B5490">
        <v>140</v>
      </c>
      <c r="C5490" s="1">
        <f>(Tabela1[[#This Row],[x]]-H$3)*(Tabela1[[#This Row],[x]]-H$3) +(Tabela1[[#This Row],[y]]-H$4)*(Tabela1[[#This Row],[y]]-H$4)</f>
        <v>31156</v>
      </c>
      <c r="D5490" s="1">
        <f>IF(Tabela1[[#This Row],[promien]]&lt;40000,1,0)</f>
        <v>1</v>
      </c>
      <c r="E5490" s="1">
        <f>IF(Tabela1[[#This Row],[promien]]=40000,1,0)</f>
        <v>0</v>
      </c>
      <c r="F5490" s="1">
        <v>3.1693989071038251</v>
      </c>
      <c r="G5490" s="1">
        <v>2.7806253514031987E-2</v>
      </c>
    </row>
    <row r="5491" spans="1:7">
      <c r="A5491">
        <v>132</v>
      </c>
      <c r="B5491">
        <v>187</v>
      </c>
      <c r="C5491" s="1">
        <f>(Tabela1[[#This Row],[x]]-H$3)*(Tabela1[[#This Row],[x]]-H$3) +(Tabela1[[#This Row],[y]]-H$4)*(Tabela1[[#This Row],[y]]-H$4)</f>
        <v>4793</v>
      </c>
      <c r="D5491" s="1">
        <f>IF(Tabela1[[#This Row],[promien]]&lt;40000,1,0)</f>
        <v>1</v>
      </c>
      <c r="E5491" s="1">
        <f>IF(Tabela1[[#This Row],[promien]]=40000,1,0)</f>
        <v>0</v>
      </c>
      <c r="F5491" s="1">
        <v>3.1695501730103808</v>
      </c>
      <c r="G5491" s="1">
        <v>2.7957519420587662E-2</v>
      </c>
    </row>
    <row r="5492" spans="1:7">
      <c r="A5492">
        <v>354</v>
      </c>
      <c r="B5492">
        <v>388</v>
      </c>
      <c r="C5492" s="1">
        <f>(Tabela1[[#This Row],[x]]-H$3)*(Tabela1[[#This Row],[x]]-H$3) +(Tabela1[[#This Row],[y]]-H$4)*(Tabela1[[#This Row],[y]]-H$4)</f>
        <v>59060</v>
      </c>
      <c r="D5492" s="1">
        <f>IF(Tabela1[[#This Row],[promien]]&lt;40000,1,0)</f>
        <v>0</v>
      </c>
      <c r="E5492" s="1">
        <f>IF(Tabela1[[#This Row],[promien]]=40000,1,0)</f>
        <v>0</v>
      </c>
      <c r="F5492" s="1">
        <v>3.1689730517115806</v>
      </c>
      <c r="G5492" s="1">
        <v>2.7380398121787497E-2</v>
      </c>
    </row>
    <row r="5493" spans="1:7">
      <c r="A5493">
        <v>25</v>
      </c>
      <c r="B5493">
        <v>135</v>
      </c>
      <c r="C5493" s="1">
        <f>(Tabela1[[#This Row],[x]]-H$3)*(Tabela1[[#This Row],[x]]-H$3) +(Tabela1[[#This Row],[y]]-H$4)*(Tabela1[[#This Row],[y]]-H$4)</f>
        <v>34850</v>
      </c>
      <c r="D5493" s="1">
        <f>IF(Tabela1[[#This Row],[promien]]&lt;40000,1,0)</f>
        <v>1</v>
      </c>
      <c r="E5493" s="1">
        <f>IF(Tabela1[[#This Row],[promien]]=40000,1,0)</f>
        <v>0</v>
      </c>
      <c r="F5493" s="1">
        <v>3.1691243400691791</v>
      </c>
      <c r="G5493" s="1">
        <v>2.7531686479385975E-2</v>
      </c>
    </row>
    <row r="5494" spans="1:7">
      <c r="A5494">
        <v>175</v>
      </c>
      <c r="B5494">
        <v>139</v>
      </c>
      <c r="C5494" s="1">
        <f>(Tabela1[[#This Row],[x]]-H$3)*(Tabela1[[#This Row],[x]]-H$3) +(Tabela1[[#This Row],[y]]-H$4)*(Tabela1[[#This Row],[y]]-H$4)</f>
        <v>4346</v>
      </c>
      <c r="D5494" s="1">
        <f>IF(Tabela1[[#This Row],[promien]]&lt;40000,1,0)</f>
        <v>1</v>
      </c>
      <c r="E5494" s="1">
        <f>IF(Tabela1[[#This Row],[promien]]=40000,1,0)</f>
        <v>0</v>
      </c>
      <c r="F5494" s="1">
        <v>3.1692755733527482</v>
      </c>
      <c r="G5494" s="1">
        <v>2.7682919762955116E-2</v>
      </c>
    </row>
    <row r="5495" spans="1:7">
      <c r="A5495">
        <v>116</v>
      </c>
      <c r="B5495">
        <v>372</v>
      </c>
      <c r="C5495" s="1">
        <f>(Tabela1[[#This Row],[x]]-H$3)*(Tabela1[[#This Row],[x]]-H$3) +(Tabela1[[#This Row],[y]]-H$4)*(Tabela1[[#This Row],[y]]-H$4)</f>
        <v>36640</v>
      </c>
      <c r="D5495" s="1">
        <f>IF(Tabela1[[#This Row],[promien]]&lt;40000,1,0)</f>
        <v>1</v>
      </c>
      <c r="E5495" s="1">
        <f>IF(Tabela1[[#This Row],[promien]]=40000,1,0)</f>
        <v>0</v>
      </c>
      <c r="F5495" s="1">
        <v>3.1694267515923569</v>
      </c>
      <c r="G5495" s="1">
        <v>2.7834098002563756E-2</v>
      </c>
    </row>
    <row r="5496" spans="1:7">
      <c r="A5496">
        <v>196</v>
      </c>
      <c r="B5496">
        <v>239</v>
      </c>
      <c r="C5496" s="1">
        <f>(Tabela1[[#This Row],[x]]-H$3)*(Tabela1[[#This Row],[x]]-H$3) +(Tabela1[[#This Row],[y]]-H$4)*(Tabela1[[#This Row],[y]]-H$4)</f>
        <v>1537</v>
      </c>
      <c r="D5496" s="1">
        <f>IF(Tabela1[[#This Row],[promien]]&lt;40000,1,0)</f>
        <v>1</v>
      </c>
      <c r="E5496" s="1">
        <f>IF(Tabela1[[#This Row],[promien]]=40000,1,0)</f>
        <v>0</v>
      </c>
      <c r="F5496" s="1">
        <v>3.1695778748180494</v>
      </c>
      <c r="G5496" s="1">
        <v>2.7985221228256307E-2</v>
      </c>
    </row>
    <row r="5497" spans="1:7">
      <c r="A5497">
        <v>201</v>
      </c>
      <c r="B5497">
        <v>40</v>
      </c>
      <c r="C5497" s="1">
        <f>(Tabela1[[#This Row],[x]]-H$3)*(Tabela1[[#This Row],[x]]-H$3) +(Tabela1[[#This Row],[y]]-H$4)*(Tabela1[[#This Row],[y]]-H$4)</f>
        <v>25601</v>
      </c>
      <c r="D5497" s="1">
        <f>IF(Tabela1[[#This Row],[promien]]&lt;40000,1,0)</f>
        <v>1</v>
      </c>
      <c r="E5497" s="1">
        <f>IF(Tabela1[[#This Row],[promien]]=40000,1,0)</f>
        <v>0</v>
      </c>
      <c r="F5497" s="1">
        <v>3.1697289430598508</v>
      </c>
      <c r="G5497" s="1">
        <v>2.813628947005764E-2</v>
      </c>
    </row>
    <row r="5498" spans="1:7">
      <c r="A5498">
        <v>144</v>
      </c>
      <c r="B5498">
        <v>107</v>
      </c>
      <c r="C5498" s="1">
        <f>(Tabela1[[#This Row],[x]]-H$3)*(Tabela1[[#This Row],[x]]-H$3) +(Tabela1[[#This Row],[y]]-H$4)*(Tabela1[[#This Row],[y]]-H$4)</f>
        <v>11785</v>
      </c>
      <c r="D5498" s="1">
        <f>IF(Tabela1[[#This Row],[promien]]&lt;40000,1,0)</f>
        <v>1</v>
      </c>
      <c r="E5498" s="1">
        <f>IF(Tabela1[[#This Row],[promien]]=40000,1,0)</f>
        <v>0</v>
      </c>
      <c r="F5498" s="1">
        <v>3.1698799563477627</v>
      </c>
      <c r="G5498" s="1">
        <v>2.8287302757969535E-2</v>
      </c>
    </row>
    <row r="5499" spans="1:7">
      <c r="A5499">
        <v>399</v>
      </c>
      <c r="B5499">
        <v>23</v>
      </c>
      <c r="C5499" s="1">
        <f>(Tabela1[[#This Row],[x]]-H$3)*(Tabela1[[#This Row],[x]]-H$3) +(Tabela1[[#This Row],[y]]-H$4)*(Tabela1[[#This Row],[y]]-H$4)</f>
        <v>70930</v>
      </c>
      <c r="D5499" s="1">
        <f>IF(Tabela1[[#This Row],[promien]]&lt;40000,1,0)</f>
        <v>0</v>
      </c>
      <c r="E5499" s="1">
        <f>IF(Tabela1[[#This Row],[promien]]=40000,1,0)</f>
        <v>0</v>
      </c>
      <c r="F5499" s="1">
        <v>3.1693035097290418</v>
      </c>
      <c r="G5499" s="1">
        <v>2.771085613924873E-2</v>
      </c>
    </row>
    <row r="5500" spans="1:7">
      <c r="A5500">
        <v>106</v>
      </c>
      <c r="B5500">
        <v>294</v>
      </c>
      <c r="C5500" s="1">
        <f>(Tabela1[[#This Row],[x]]-H$3)*(Tabela1[[#This Row],[x]]-H$3) +(Tabela1[[#This Row],[y]]-H$4)*(Tabela1[[#This Row],[y]]-H$4)</f>
        <v>17672</v>
      </c>
      <c r="D5500" s="1">
        <f>IF(Tabela1[[#This Row],[promien]]&lt;40000,1,0)</f>
        <v>1</v>
      </c>
      <c r="E5500" s="1">
        <f>IF(Tabela1[[#This Row],[promien]]=40000,1,0)</f>
        <v>0</v>
      </c>
      <c r="F5500" s="1">
        <v>3.1694545454545455</v>
      </c>
      <c r="G5500" s="1">
        <v>2.7861891864752408E-2</v>
      </c>
    </row>
    <row r="5501" spans="1:7">
      <c r="A5501">
        <v>326</v>
      </c>
      <c r="B5501">
        <v>245</v>
      </c>
      <c r="C5501" s="1">
        <f>(Tabela1[[#This Row],[x]]-H$3)*(Tabela1[[#This Row],[x]]-H$3) +(Tabela1[[#This Row],[y]]-H$4)*(Tabela1[[#This Row],[y]]-H$4)</f>
        <v>17901</v>
      </c>
      <c r="D5501" s="1">
        <f>IF(Tabela1[[#This Row],[promien]]&lt;40000,1,0)</f>
        <v>1</v>
      </c>
      <c r="E5501" s="1">
        <f>IF(Tabela1[[#This Row],[promien]]=40000,1,0)</f>
        <v>0</v>
      </c>
      <c r="F5501" s="1">
        <v>3.1696055262679512</v>
      </c>
      <c r="G5501" s="1">
        <v>2.8012872678158107E-2</v>
      </c>
    </row>
    <row r="5502" spans="1:7">
      <c r="A5502">
        <v>312</v>
      </c>
      <c r="B5502">
        <v>300</v>
      </c>
      <c r="C5502" s="1">
        <f>(Tabela1[[#This Row],[x]]-H$3)*(Tabela1[[#This Row],[x]]-H$3) +(Tabela1[[#This Row],[y]]-H$4)*(Tabela1[[#This Row],[y]]-H$4)</f>
        <v>22544</v>
      </c>
      <c r="D5502" s="1">
        <f>IF(Tabela1[[#This Row],[promien]]&lt;40000,1,0)</f>
        <v>1</v>
      </c>
      <c r="E5502" s="1">
        <f>IF(Tabela1[[#This Row],[promien]]=40000,1,0)</f>
        <v>0</v>
      </c>
      <c r="F5502" s="1">
        <v>3.1697564521992003</v>
      </c>
      <c r="G5502" s="1">
        <v>2.8163798609407209E-2</v>
      </c>
    </row>
    <row r="5503" spans="1:7">
      <c r="A5503">
        <v>251</v>
      </c>
      <c r="B5503">
        <v>50</v>
      </c>
      <c r="C5503" s="1">
        <f>(Tabela1[[#This Row],[x]]-H$3)*(Tabela1[[#This Row],[x]]-H$3) +(Tabela1[[#This Row],[y]]-H$4)*(Tabela1[[#This Row],[y]]-H$4)</f>
        <v>25101</v>
      </c>
      <c r="D5503" s="1">
        <f>IF(Tabela1[[#This Row],[promien]]&lt;40000,1,0)</f>
        <v>1</v>
      </c>
      <c r="E5503" s="1">
        <f>IF(Tabela1[[#This Row],[promien]]=40000,1,0)</f>
        <v>0</v>
      </c>
      <c r="F5503" s="1">
        <v>3.169907323278212</v>
      </c>
      <c r="G5503" s="1">
        <v>2.8314669688418892E-2</v>
      </c>
    </row>
    <row r="5504" spans="1:7">
      <c r="A5504">
        <v>355</v>
      </c>
      <c r="B5504">
        <v>306</v>
      </c>
      <c r="C5504" s="1">
        <f>(Tabela1[[#This Row],[x]]-H$3)*(Tabela1[[#This Row],[x]]-H$3) +(Tabela1[[#This Row],[y]]-H$4)*(Tabela1[[#This Row],[y]]-H$4)</f>
        <v>35261</v>
      </c>
      <c r="D5504" s="1">
        <f>IF(Tabela1[[#This Row],[promien]]&lt;40000,1,0)</f>
        <v>1</v>
      </c>
      <c r="E5504" s="1">
        <f>IF(Tabela1[[#This Row],[promien]]=40000,1,0)</f>
        <v>0</v>
      </c>
      <c r="F5504" s="1">
        <v>3.1700581395348837</v>
      </c>
      <c r="G5504" s="1">
        <v>2.8465485945090574E-2</v>
      </c>
    </row>
    <row r="5505" spans="1:7">
      <c r="A5505">
        <v>396</v>
      </c>
      <c r="B5505">
        <v>301</v>
      </c>
      <c r="C5505" s="1">
        <f>(Tabela1[[#This Row],[x]]-H$3)*(Tabela1[[#This Row],[x]]-H$3) +(Tabela1[[#This Row],[y]]-H$4)*(Tabela1[[#This Row],[y]]-H$4)</f>
        <v>48617</v>
      </c>
      <c r="D5505" s="1">
        <f>IF(Tabela1[[#This Row],[promien]]&lt;40000,1,0)</f>
        <v>0</v>
      </c>
      <c r="E5505" s="1">
        <f>IF(Tabela1[[#This Row],[promien]]=40000,1,0)</f>
        <v>0</v>
      </c>
      <c r="F5505" s="1">
        <v>3.169482288828338</v>
      </c>
      <c r="G5505" s="1">
        <v>2.788963523854493E-2</v>
      </c>
    </row>
    <row r="5506" spans="1:7">
      <c r="A5506">
        <v>171</v>
      </c>
      <c r="B5506">
        <v>1</v>
      </c>
      <c r="C5506" s="1">
        <f>(Tabela1[[#This Row],[x]]-H$3)*(Tabela1[[#This Row],[x]]-H$3) +(Tabela1[[#This Row],[y]]-H$4)*(Tabela1[[#This Row],[y]]-H$4)</f>
        <v>40442</v>
      </c>
      <c r="D5506" s="1">
        <f>IF(Tabela1[[#This Row],[promien]]&lt;40000,1,0)</f>
        <v>0</v>
      </c>
      <c r="E5506" s="1">
        <f>IF(Tabela1[[#This Row],[promien]]=40000,1,0)</f>
        <v>0</v>
      </c>
      <c r="F5506" s="1">
        <v>3.1689066472938614</v>
      </c>
      <c r="G5506" s="1">
        <v>2.7313993704068285E-2</v>
      </c>
    </row>
    <row r="5507" spans="1:7">
      <c r="A5507">
        <v>24</v>
      </c>
      <c r="B5507">
        <v>377</v>
      </c>
      <c r="C5507" s="1">
        <f>(Tabela1[[#This Row],[x]]-H$3)*(Tabela1[[#This Row],[x]]-H$3) +(Tabela1[[#This Row],[y]]-H$4)*(Tabela1[[#This Row],[y]]-H$4)</f>
        <v>62305</v>
      </c>
      <c r="D5507" s="1">
        <f>IF(Tabela1[[#This Row],[promien]]&lt;40000,1,0)</f>
        <v>0</v>
      </c>
      <c r="E5507" s="1">
        <f>IF(Tabela1[[#This Row],[promien]]=40000,1,0)</f>
        <v>0</v>
      </c>
      <c r="F5507" s="1">
        <v>3.1683312148175049</v>
      </c>
      <c r="G5507" s="1">
        <v>2.6738561227711788E-2</v>
      </c>
    </row>
    <row r="5508" spans="1:7">
      <c r="A5508">
        <v>345</v>
      </c>
      <c r="B5508">
        <v>123</v>
      </c>
      <c r="C5508" s="1">
        <f>(Tabela1[[#This Row],[x]]-H$3)*(Tabela1[[#This Row],[x]]-H$3) +(Tabela1[[#This Row],[y]]-H$4)*(Tabela1[[#This Row],[y]]-H$4)</f>
        <v>26954</v>
      </c>
      <c r="D5508" s="1">
        <f>IF(Tabela1[[#This Row],[promien]]&lt;40000,1,0)</f>
        <v>1</v>
      </c>
      <c r="E5508" s="1">
        <f>IF(Tabela1[[#This Row],[promien]]=40000,1,0)</f>
        <v>0</v>
      </c>
      <c r="F5508" s="1">
        <v>3.168482207697894</v>
      </c>
      <c r="G5508" s="1">
        <v>2.6889554108100899E-2</v>
      </c>
    </row>
    <row r="5509" spans="1:7">
      <c r="A5509">
        <v>271</v>
      </c>
      <c r="B5509">
        <v>68</v>
      </c>
      <c r="C5509" s="1">
        <f>(Tabela1[[#This Row],[x]]-H$3)*(Tabela1[[#This Row],[x]]-H$3) +(Tabela1[[#This Row],[y]]-H$4)*(Tabela1[[#This Row],[y]]-H$4)</f>
        <v>22465</v>
      </c>
      <c r="D5509" s="1">
        <f>IF(Tabela1[[#This Row],[promien]]&lt;40000,1,0)</f>
        <v>1</v>
      </c>
      <c r="E5509" s="1">
        <f>IF(Tabela1[[#This Row],[promien]]=40000,1,0)</f>
        <v>0</v>
      </c>
      <c r="F5509" s="1">
        <v>3.1686331457614814</v>
      </c>
      <c r="G5509" s="1">
        <v>2.7040492171688246E-2</v>
      </c>
    </row>
    <row r="5510" spans="1:7">
      <c r="A5510">
        <v>89</v>
      </c>
      <c r="B5510">
        <v>243</v>
      </c>
      <c r="C5510" s="1">
        <f>(Tabela1[[#This Row],[x]]-H$3)*(Tabela1[[#This Row],[x]]-H$3) +(Tabela1[[#This Row],[y]]-H$4)*(Tabela1[[#This Row],[y]]-H$4)</f>
        <v>14170</v>
      </c>
      <c r="D5510" s="1">
        <f>IF(Tabela1[[#This Row],[promien]]&lt;40000,1,0)</f>
        <v>1</v>
      </c>
      <c r="E5510" s="1">
        <f>IF(Tabela1[[#This Row],[promien]]=40000,1,0)</f>
        <v>0</v>
      </c>
      <c r="F5510" s="1">
        <v>3.1687840290381124</v>
      </c>
      <c r="G5510" s="1">
        <v>2.7191375448319288E-2</v>
      </c>
    </row>
    <row r="5511" spans="1:7">
      <c r="A5511">
        <v>40</v>
      </c>
      <c r="B5511">
        <v>266</v>
      </c>
      <c r="C5511" s="1">
        <f>(Tabela1[[#This Row],[x]]-H$3)*(Tabela1[[#This Row],[x]]-H$3) +(Tabela1[[#This Row],[y]]-H$4)*(Tabela1[[#This Row],[y]]-H$4)</f>
        <v>29956</v>
      </c>
      <c r="D5511" s="1">
        <f>IF(Tabela1[[#This Row],[promien]]&lt;40000,1,0)</f>
        <v>1</v>
      </c>
      <c r="E5511" s="1">
        <f>IF(Tabela1[[#This Row],[promien]]=40000,1,0)</f>
        <v>0</v>
      </c>
      <c r="F5511" s="1">
        <v>3.1689348575576122</v>
      </c>
      <c r="G5511" s="1">
        <v>2.7342203967819056E-2</v>
      </c>
    </row>
    <row r="5512" spans="1:7">
      <c r="A5512">
        <v>98</v>
      </c>
      <c r="B5512">
        <v>110</v>
      </c>
      <c r="C5512" s="1">
        <f>(Tabela1[[#This Row],[x]]-H$3)*(Tabela1[[#This Row],[x]]-H$3) +(Tabela1[[#This Row],[y]]-H$4)*(Tabela1[[#This Row],[y]]-H$4)</f>
        <v>18504</v>
      </c>
      <c r="D5512" s="1">
        <f>IF(Tabela1[[#This Row],[promien]]&lt;40000,1,0)</f>
        <v>1</v>
      </c>
      <c r="E5512" s="1">
        <f>IF(Tabela1[[#This Row],[promien]]=40000,1,0)</f>
        <v>0</v>
      </c>
      <c r="F5512" s="1">
        <v>3.1690856313497822</v>
      </c>
      <c r="G5512" s="1">
        <v>2.7492977759989046E-2</v>
      </c>
    </row>
    <row r="5513" spans="1:7">
      <c r="A5513">
        <v>8</v>
      </c>
      <c r="B5513">
        <v>327</v>
      </c>
      <c r="C5513" s="1">
        <f>(Tabela1[[#This Row],[x]]-H$3)*(Tabela1[[#This Row],[x]]-H$3) +(Tabela1[[#This Row],[y]]-H$4)*(Tabela1[[#This Row],[y]]-H$4)</f>
        <v>52993</v>
      </c>
      <c r="D5513" s="1">
        <f>IF(Tabela1[[#This Row],[promien]]&lt;40000,1,0)</f>
        <v>0</v>
      </c>
      <c r="E5513" s="1">
        <f>IF(Tabela1[[#This Row],[promien]]=40000,1,0)</f>
        <v>0</v>
      </c>
      <c r="F5513" s="1">
        <v>3.1685107926718663</v>
      </c>
      <c r="G5513" s="1">
        <v>2.6918139082073189E-2</v>
      </c>
    </row>
    <row r="5514" spans="1:7">
      <c r="A5514">
        <v>391</v>
      </c>
      <c r="B5514">
        <v>214</v>
      </c>
      <c r="C5514" s="1">
        <f>(Tabela1[[#This Row],[x]]-H$3)*(Tabela1[[#This Row],[x]]-H$3) +(Tabela1[[#This Row],[y]]-H$4)*(Tabela1[[#This Row],[y]]-H$4)</f>
        <v>36677</v>
      </c>
      <c r="D5514" s="1">
        <f>IF(Tabela1[[#This Row],[promien]]&lt;40000,1,0)</f>
        <v>1</v>
      </c>
      <c r="E5514" s="1">
        <f>IF(Tabela1[[#This Row],[promien]]=40000,1,0)</f>
        <v>0</v>
      </c>
      <c r="F5514" s="1">
        <v>3.1686615886833516</v>
      </c>
      <c r="G5514" s="1">
        <v>2.7068935093558455E-2</v>
      </c>
    </row>
    <row r="5515" spans="1:7">
      <c r="A5515">
        <v>50</v>
      </c>
      <c r="B5515">
        <v>115</v>
      </c>
      <c r="C5515" s="1">
        <f>(Tabela1[[#This Row],[x]]-H$3)*(Tabela1[[#This Row],[x]]-H$3) +(Tabela1[[#This Row],[y]]-H$4)*(Tabela1[[#This Row],[y]]-H$4)</f>
        <v>29725</v>
      </c>
      <c r="D5515" s="1">
        <f>IF(Tabela1[[#This Row],[promien]]&lt;40000,1,0)</f>
        <v>1</v>
      </c>
      <c r="E5515" s="1">
        <f>IF(Tabela1[[#This Row],[promien]]=40000,1,0)</f>
        <v>0</v>
      </c>
      <c r="F5515" s="1">
        <v>3.1688123300090663</v>
      </c>
      <c r="G5515" s="1">
        <v>2.7219676419273142E-2</v>
      </c>
    </row>
    <row r="5516" spans="1:7">
      <c r="A5516">
        <v>381</v>
      </c>
      <c r="B5516">
        <v>256</v>
      </c>
      <c r="C5516" s="1">
        <f>(Tabela1[[#This Row],[x]]-H$3)*(Tabela1[[#This Row],[x]]-H$3) +(Tabela1[[#This Row],[y]]-H$4)*(Tabela1[[#This Row],[y]]-H$4)</f>
        <v>35897</v>
      </c>
      <c r="D5516" s="1">
        <f>IF(Tabela1[[#This Row],[promien]]&lt;40000,1,0)</f>
        <v>1</v>
      </c>
      <c r="E5516" s="1">
        <f>IF(Tabela1[[#This Row],[promien]]=40000,1,0)</f>
        <v>0</v>
      </c>
      <c r="F5516" s="1">
        <v>3.1689630166787528</v>
      </c>
      <c r="G5516" s="1">
        <v>2.7370363088959682E-2</v>
      </c>
    </row>
    <row r="5517" spans="1:7">
      <c r="A5517">
        <v>232</v>
      </c>
      <c r="B5517">
        <v>310</v>
      </c>
      <c r="C5517" s="1">
        <f>(Tabela1[[#This Row],[x]]-H$3)*(Tabela1[[#This Row],[x]]-H$3) +(Tabela1[[#This Row],[y]]-H$4)*(Tabela1[[#This Row],[y]]-H$4)</f>
        <v>13124</v>
      </c>
      <c r="D5517" s="1">
        <f>IF(Tabela1[[#This Row],[promien]]&lt;40000,1,0)</f>
        <v>1</v>
      </c>
      <c r="E5517" s="1">
        <f>IF(Tabela1[[#This Row],[promien]]=40000,1,0)</f>
        <v>0</v>
      </c>
      <c r="F5517" s="1">
        <v>3.1691136487221314</v>
      </c>
      <c r="G5517" s="1">
        <v>2.75209951323383E-2</v>
      </c>
    </row>
    <row r="5518" spans="1:7">
      <c r="A5518">
        <v>59</v>
      </c>
      <c r="B5518">
        <v>299</v>
      </c>
      <c r="C5518" s="1">
        <f>(Tabela1[[#This Row],[x]]-H$3)*(Tabela1[[#This Row],[x]]-H$3) +(Tabela1[[#This Row],[y]]-H$4)*(Tabela1[[#This Row],[y]]-H$4)</f>
        <v>29682</v>
      </c>
      <c r="D5518" s="1">
        <f>IF(Tabela1[[#This Row],[promien]]&lt;40000,1,0)</f>
        <v>1</v>
      </c>
      <c r="E5518" s="1">
        <f>IF(Tabela1[[#This Row],[promien]]=40000,1,0)</f>
        <v>0</v>
      </c>
      <c r="F5518" s="1">
        <v>3.1692642261689019</v>
      </c>
      <c r="G5518" s="1">
        <v>2.7671572579108794E-2</v>
      </c>
    </row>
    <row r="5519" spans="1:7">
      <c r="A5519">
        <v>166</v>
      </c>
      <c r="B5519">
        <v>382</v>
      </c>
      <c r="C5519" s="1">
        <f>(Tabela1[[#This Row],[x]]-H$3)*(Tabela1[[#This Row],[x]]-H$3) +(Tabela1[[#This Row],[y]]-H$4)*(Tabela1[[#This Row],[y]]-H$4)</f>
        <v>34280</v>
      </c>
      <c r="D5519" s="1">
        <f>IF(Tabela1[[#This Row],[promien]]&lt;40000,1,0)</f>
        <v>1</v>
      </c>
      <c r="E5519" s="1">
        <f>IF(Tabela1[[#This Row],[promien]]=40000,1,0)</f>
        <v>0</v>
      </c>
      <c r="F5519" s="1">
        <v>3.1694147490487405</v>
      </c>
      <c r="G5519" s="1">
        <v>2.7822095458947427E-2</v>
      </c>
    </row>
    <row r="5520" spans="1:7">
      <c r="A5520">
        <v>112</v>
      </c>
      <c r="B5520">
        <v>283</v>
      </c>
      <c r="C5520" s="1">
        <f>(Tabela1[[#This Row],[x]]-H$3)*(Tabela1[[#This Row],[x]]-H$3) +(Tabela1[[#This Row],[y]]-H$4)*(Tabela1[[#This Row],[y]]-H$4)</f>
        <v>14633</v>
      </c>
      <c r="D5520" s="1">
        <f>IF(Tabela1[[#This Row],[promien]]&lt;40000,1,0)</f>
        <v>1</v>
      </c>
      <c r="E5520" s="1">
        <f>IF(Tabela1[[#This Row],[promien]]=40000,1,0)</f>
        <v>0</v>
      </c>
      <c r="F5520" s="1">
        <v>3.1695652173913045</v>
      </c>
      <c r="G5520" s="1">
        <v>2.7972563801511363E-2</v>
      </c>
    </row>
    <row r="5521" spans="1:7">
      <c r="A5521">
        <v>241</v>
      </c>
      <c r="B5521">
        <v>368</v>
      </c>
      <c r="C5521" s="1">
        <f>(Tabela1[[#This Row],[x]]-H$3)*(Tabela1[[#This Row],[x]]-H$3) +(Tabela1[[#This Row],[y]]-H$4)*(Tabela1[[#This Row],[y]]-H$4)</f>
        <v>29905</v>
      </c>
      <c r="D5521" s="1">
        <f>IF(Tabela1[[#This Row],[promien]]&lt;40000,1,0)</f>
        <v>1</v>
      </c>
      <c r="E5521" s="1">
        <f>IF(Tabela1[[#This Row],[promien]]=40000,1,0)</f>
        <v>0</v>
      </c>
      <c r="F5521" s="1">
        <v>3.1697156312262273</v>
      </c>
      <c r="G5521" s="1">
        <v>2.8122977636434232E-2</v>
      </c>
    </row>
    <row r="5522" spans="1:7">
      <c r="A5522">
        <v>236</v>
      </c>
      <c r="B5522">
        <v>31</v>
      </c>
      <c r="C5522" s="1">
        <f>(Tabela1[[#This Row],[x]]-H$3)*(Tabela1[[#This Row],[x]]-H$3) +(Tabela1[[#This Row],[y]]-H$4)*(Tabela1[[#This Row],[y]]-H$4)</f>
        <v>29857</v>
      </c>
      <c r="D5522" s="1">
        <f>IF(Tabela1[[#This Row],[promien]]&lt;40000,1,0)</f>
        <v>1</v>
      </c>
      <c r="E5522" s="1">
        <f>IF(Tabela1[[#This Row],[promien]]=40000,1,0)</f>
        <v>0</v>
      </c>
      <c r="F5522" s="1">
        <v>3.1698659905831219</v>
      </c>
      <c r="G5522" s="1">
        <v>2.827333699332879E-2</v>
      </c>
    </row>
    <row r="5523" spans="1:7">
      <c r="A5523">
        <v>252</v>
      </c>
      <c r="B5523">
        <v>345</v>
      </c>
      <c r="C5523" s="1">
        <f>(Tabela1[[#This Row],[x]]-H$3)*(Tabela1[[#This Row],[x]]-H$3) +(Tabela1[[#This Row],[y]]-H$4)*(Tabela1[[#This Row],[y]]-H$4)</f>
        <v>23729</v>
      </c>
      <c r="D5523" s="1">
        <f>IF(Tabela1[[#This Row],[promien]]&lt;40000,1,0)</f>
        <v>1</v>
      </c>
      <c r="E5523" s="1">
        <f>IF(Tabela1[[#This Row],[promien]]=40000,1,0)</f>
        <v>0</v>
      </c>
      <c r="F5523" s="1">
        <v>3.1700162954915805</v>
      </c>
      <c r="G5523" s="1">
        <v>2.8423641901787366E-2</v>
      </c>
    </row>
    <row r="5524" spans="1:7">
      <c r="A5524">
        <v>209</v>
      </c>
      <c r="B5524">
        <v>189</v>
      </c>
      <c r="C5524" s="1">
        <f>(Tabela1[[#This Row],[x]]-H$3)*(Tabela1[[#This Row],[x]]-H$3) +(Tabela1[[#This Row],[y]]-H$4)*(Tabela1[[#This Row],[y]]-H$4)</f>
        <v>202</v>
      </c>
      <c r="D5524" s="1">
        <f>IF(Tabela1[[#This Row],[promien]]&lt;40000,1,0)</f>
        <v>1</v>
      </c>
      <c r="E5524" s="1">
        <f>IF(Tabela1[[#This Row],[promien]]=40000,1,0)</f>
        <v>0</v>
      </c>
      <c r="F5524" s="1">
        <v>3.1701665459811732</v>
      </c>
      <c r="G5524" s="1">
        <v>2.8573892391380085E-2</v>
      </c>
    </row>
    <row r="5525" spans="1:7">
      <c r="A5525">
        <v>125</v>
      </c>
      <c r="B5525">
        <v>291</v>
      </c>
      <c r="C5525" s="1">
        <f>(Tabela1[[#This Row],[x]]-H$3)*(Tabela1[[#This Row],[x]]-H$3) +(Tabela1[[#This Row],[y]]-H$4)*(Tabela1[[#This Row],[y]]-H$4)</f>
        <v>13906</v>
      </c>
      <c r="D5525" s="1">
        <f>IF(Tabela1[[#This Row],[promien]]&lt;40000,1,0)</f>
        <v>1</v>
      </c>
      <c r="E5525" s="1">
        <f>IF(Tabela1[[#This Row],[promien]]=40000,1,0)</f>
        <v>0</v>
      </c>
      <c r="F5525" s="1">
        <v>3.170316742081448</v>
      </c>
      <c r="G5525" s="1">
        <v>2.8724088491654864E-2</v>
      </c>
    </row>
    <row r="5526" spans="1:7">
      <c r="A5526">
        <v>357</v>
      </c>
      <c r="B5526">
        <v>69</v>
      </c>
      <c r="C5526" s="1">
        <f>(Tabela1[[#This Row],[x]]-H$3)*(Tabela1[[#This Row],[x]]-H$3) +(Tabela1[[#This Row],[y]]-H$4)*(Tabela1[[#This Row],[y]]-H$4)</f>
        <v>41810</v>
      </c>
      <c r="D5526" s="1">
        <f>IF(Tabela1[[#This Row],[promien]]&lt;40000,1,0)</f>
        <v>0</v>
      </c>
      <c r="E5526" s="1">
        <f>IF(Tabela1[[#This Row],[promien]]=40000,1,0)</f>
        <v>0</v>
      </c>
      <c r="F5526" s="1">
        <v>3.1697430329352154</v>
      </c>
      <c r="G5526" s="1">
        <v>2.8150379345422305E-2</v>
      </c>
    </row>
    <row r="5527" spans="1:7">
      <c r="A5527">
        <v>166</v>
      </c>
      <c r="B5527">
        <v>113</v>
      </c>
      <c r="C5527" s="1">
        <f>(Tabela1[[#This Row],[x]]-H$3)*(Tabela1[[#This Row],[x]]-H$3) +(Tabela1[[#This Row],[y]]-H$4)*(Tabela1[[#This Row],[y]]-H$4)</f>
        <v>8725</v>
      </c>
      <c r="D5527" s="1">
        <f>IF(Tabela1[[#This Row],[promien]]&lt;40000,1,0)</f>
        <v>1</v>
      </c>
      <c r="E5527" s="1">
        <f>IF(Tabela1[[#This Row],[promien]]=40000,1,0)</f>
        <v>0</v>
      </c>
      <c r="F5527" s="1">
        <v>3.1698932513117422</v>
      </c>
      <c r="G5527" s="1">
        <v>2.8300597721949039E-2</v>
      </c>
    </row>
    <row r="5528" spans="1:7">
      <c r="A5528">
        <v>317</v>
      </c>
      <c r="B5528">
        <v>169</v>
      </c>
      <c r="C5528" s="1">
        <f>(Tabela1[[#This Row],[x]]-H$3)*(Tabela1[[#This Row],[x]]-H$3) +(Tabela1[[#This Row],[y]]-H$4)*(Tabela1[[#This Row],[y]]-H$4)</f>
        <v>14650</v>
      </c>
      <c r="D5528" s="1">
        <f>IF(Tabela1[[#This Row],[promien]]&lt;40000,1,0)</f>
        <v>1</v>
      </c>
      <c r="E5528" s="1">
        <f>IF(Tabela1[[#This Row],[promien]]=40000,1,0)</f>
        <v>0</v>
      </c>
      <c r="F5528" s="1">
        <v>3.1700434153400869</v>
      </c>
      <c r="G5528" s="1">
        <v>2.8450761750293818E-2</v>
      </c>
    </row>
    <row r="5529" spans="1:7">
      <c r="A5529">
        <v>141</v>
      </c>
      <c r="B5529">
        <v>149</v>
      </c>
      <c r="C5529" s="1">
        <f>(Tabela1[[#This Row],[x]]-H$3)*(Tabela1[[#This Row],[x]]-H$3) +(Tabela1[[#This Row],[y]]-H$4)*(Tabela1[[#This Row],[y]]-H$4)</f>
        <v>6082</v>
      </c>
      <c r="D5529" s="1">
        <f>IF(Tabela1[[#This Row],[promien]]&lt;40000,1,0)</f>
        <v>1</v>
      </c>
      <c r="E5529" s="1">
        <f>IF(Tabela1[[#This Row],[promien]]=40000,1,0)</f>
        <v>0</v>
      </c>
      <c r="F5529" s="1">
        <v>3.1701935250497377</v>
      </c>
      <c r="G5529" s="1">
        <v>2.860087145994461E-2</v>
      </c>
    </row>
    <row r="5530" spans="1:7">
      <c r="A5530">
        <v>66</v>
      </c>
      <c r="B5530">
        <v>388</v>
      </c>
      <c r="C5530" s="1">
        <f>(Tabela1[[#This Row],[x]]-H$3)*(Tabela1[[#This Row],[x]]-H$3) +(Tabela1[[#This Row],[y]]-H$4)*(Tabela1[[#This Row],[y]]-H$4)</f>
        <v>53300</v>
      </c>
      <c r="D5530" s="1">
        <f>IF(Tabela1[[#This Row],[promien]]&lt;40000,1,0)</f>
        <v>0</v>
      </c>
      <c r="E5530" s="1">
        <f>IF(Tabela1[[#This Row],[promien]]=40000,1,0)</f>
        <v>0</v>
      </c>
      <c r="F5530" s="1">
        <v>3.169620253164557</v>
      </c>
      <c r="G5530" s="1">
        <v>2.8027599574763862E-2</v>
      </c>
    </row>
    <row r="5531" spans="1:7">
      <c r="A5531">
        <v>284</v>
      </c>
      <c r="B5531">
        <v>133</v>
      </c>
      <c r="C5531" s="1">
        <f>(Tabela1[[#This Row],[x]]-H$3)*(Tabela1[[#This Row],[x]]-H$3) +(Tabela1[[#This Row],[y]]-H$4)*(Tabela1[[#This Row],[y]]-H$4)</f>
        <v>11545</v>
      </c>
      <c r="D5531" s="1">
        <f>IF(Tabela1[[#This Row],[promien]]&lt;40000,1,0)</f>
        <v>1</v>
      </c>
      <c r="E5531" s="1">
        <f>IF(Tabela1[[#This Row],[promien]]=40000,1,0)</f>
        <v>0</v>
      </c>
      <c r="F5531" s="1">
        <v>3.1697703851021517</v>
      </c>
      <c r="G5531" s="1">
        <v>2.8177731512358584E-2</v>
      </c>
    </row>
    <row r="5532" spans="1:7">
      <c r="A5532">
        <v>398</v>
      </c>
      <c r="B5532">
        <v>204</v>
      </c>
      <c r="C5532" s="1">
        <f>(Tabela1[[#This Row],[x]]-H$3)*(Tabela1[[#This Row],[x]]-H$3) +(Tabela1[[#This Row],[y]]-H$4)*(Tabela1[[#This Row],[y]]-H$4)</f>
        <v>39220</v>
      </c>
      <c r="D5532" s="1">
        <f>IF(Tabela1[[#This Row],[promien]]&lt;40000,1,0)</f>
        <v>1</v>
      </c>
      <c r="E5532" s="1">
        <f>IF(Tabela1[[#This Row],[promien]]=40000,1,0)</f>
        <v>0</v>
      </c>
      <c r="F5532" s="1">
        <v>3.1699204627621111</v>
      </c>
      <c r="G5532" s="1">
        <v>2.832780917231803E-2</v>
      </c>
    </row>
    <row r="5533" spans="1:7">
      <c r="A5533">
        <v>244</v>
      </c>
      <c r="B5533">
        <v>236</v>
      </c>
      <c r="C5533" s="1">
        <f>(Tabela1[[#This Row],[x]]-H$3)*(Tabela1[[#This Row],[x]]-H$3) +(Tabela1[[#This Row],[y]]-H$4)*(Tabela1[[#This Row],[y]]-H$4)</f>
        <v>3232</v>
      </c>
      <c r="D5533" s="1">
        <f>IF(Tabela1[[#This Row],[promien]]&lt;40000,1,0)</f>
        <v>1</v>
      </c>
      <c r="E5533" s="1">
        <f>IF(Tabela1[[#This Row],[promien]]=40000,1,0)</f>
        <v>0</v>
      </c>
      <c r="F5533" s="1">
        <v>3.170070486173866</v>
      </c>
      <c r="G5533" s="1">
        <v>2.8477832584072882E-2</v>
      </c>
    </row>
    <row r="5534" spans="1:7">
      <c r="A5534">
        <v>203</v>
      </c>
      <c r="B5534">
        <v>289</v>
      </c>
      <c r="C5534" s="1">
        <f>(Tabela1[[#This Row],[x]]-H$3)*(Tabela1[[#This Row],[x]]-H$3) +(Tabela1[[#This Row],[y]]-H$4)*(Tabela1[[#This Row],[y]]-H$4)</f>
        <v>7930</v>
      </c>
      <c r="D5534" s="1">
        <f>IF(Tabela1[[#This Row],[promien]]&lt;40000,1,0)</f>
        <v>1</v>
      </c>
      <c r="E5534" s="1">
        <f>IF(Tabela1[[#This Row],[promien]]=40000,1,0)</f>
        <v>0</v>
      </c>
      <c r="F5534" s="1">
        <v>3.1702204553668234</v>
      </c>
      <c r="G5534" s="1">
        <v>2.8627801777030282E-2</v>
      </c>
    </row>
    <row r="5535" spans="1:7">
      <c r="A5535">
        <v>51</v>
      </c>
      <c r="B5535">
        <v>372</v>
      </c>
      <c r="C5535" s="1">
        <f>(Tabela1[[#This Row],[x]]-H$3)*(Tabela1[[#This Row],[x]]-H$3) +(Tabela1[[#This Row],[y]]-H$4)*(Tabela1[[#This Row],[y]]-H$4)</f>
        <v>51785</v>
      </c>
      <c r="D5535" s="1">
        <f>IF(Tabela1[[#This Row],[promien]]&lt;40000,1,0)</f>
        <v>0</v>
      </c>
      <c r="E5535" s="1">
        <f>IF(Tabela1[[#This Row],[promien]]=40000,1,0)</f>
        <v>0</v>
      </c>
      <c r="F5535" s="1">
        <v>3.1696476964769649</v>
      </c>
      <c r="G5535" s="1">
        <v>2.8055042887171755E-2</v>
      </c>
    </row>
    <row r="5536" spans="1:7">
      <c r="A5536">
        <v>42</v>
      </c>
      <c r="B5536">
        <v>326</v>
      </c>
      <c r="C5536" s="1">
        <f>(Tabela1[[#This Row],[x]]-H$3)*(Tabela1[[#This Row],[x]]-H$3) +(Tabela1[[#This Row],[y]]-H$4)*(Tabela1[[#This Row],[y]]-H$4)</f>
        <v>40840</v>
      </c>
      <c r="D5536" s="1">
        <f>IF(Tabela1[[#This Row],[promien]]&lt;40000,1,0)</f>
        <v>0</v>
      </c>
      <c r="E5536" s="1">
        <f>IF(Tabela1[[#This Row],[promien]]=40000,1,0)</f>
        <v>0</v>
      </c>
      <c r="F5536" s="1">
        <v>3.1690751445086707</v>
      </c>
      <c r="G5536" s="1">
        <v>2.7482490918877556E-2</v>
      </c>
    </row>
    <row r="5537" spans="1:7">
      <c r="A5537">
        <v>242</v>
      </c>
      <c r="B5537">
        <v>316</v>
      </c>
      <c r="C5537" s="1">
        <f>(Tabela1[[#This Row],[x]]-H$3)*(Tabela1[[#This Row],[x]]-H$3) +(Tabela1[[#This Row],[y]]-H$4)*(Tabela1[[#This Row],[y]]-H$4)</f>
        <v>15220</v>
      </c>
      <c r="D5537" s="1">
        <f>IF(Tabela1[[#This Row],[promien]]&lt;40000,1,0)</f>
        <v>1</v>
      </c>
      <c r="E5537" s="1">
        <f>IF(Tabela1[[#This Row],[promien]]=40000,1,0)</f>
        <v>0</v>
      </c>
      <c r="F5537" s="1">
        <v>3.1692252122087772</v>
      </c>
      <c r="G5537" s="1">
        <v>2.763255861898406E-2</v>
      </c>
    </row>
    <row r="5538" spans="1:7">
      <c r="A5538">
        <v>80</v>
      </c>
      <c r="B5538">
        <v>80</v>
      </c>
      <c r="C5538" s="1">
        <f>(Tabela1[[#This Row],[x]]-H$3)*(Tabela1[[#This Row],[x]]-H$3) +(Tabela1[[#This Row],[y]]-H$4)*(Tabela1[[#This Row],[y]]-H$4)</f>
        <v>28800</v>
      </c>
      <c r="D5538" s="1">
        <f>IF(Tabela1[[#This Row],[promien]]&lt;40000,1,0)</f>
        <v>1</v>
      </c>
      <c r="E5538" s="1">
        <f>IF(Tabela1[[#This Row],[promien]]=40000,1,0)</f>
        <v>0</v>
      </c>
      <c r="F5538" s="1">
        <v>3.1693752257132539</v>
      </c>
      <c r="G5538" s="1">
        <v>2.7782572123460803E-2</v>
      </c>
    </row>
    <row r="5539" spans="1:7">
      <c r="A5539">
        <v>62</v>
      </c>
      <c r="B5539">
        <v>160</v>
      </c>
      <c r="C5539" s="1">
        <f>(Tabela1[[#This Row],[x]]-H$3)*(Tabela1[[#This Row],[x]]-H$3) +(Tabela1[[#This Row],[y]]-H$4)*(Tabela1[[#This Row],[y]]-H$4)</f>
        <v>20644</v>
      </c>
      <c r="D5539" s="1">
        <f>IF(Tabela1[[#This Row],[promien]]&lt;40000,1,0)</f>
        <v>1</v>
      </c>
      <c r="E5539" s="1">
        <f>IF(Tabela1[[#This Row],[promien]]=40000,1,0)</f>
        <v>0</v>
      </c>
      <c r="F5539" s="1">
        <v>3.1695251850514534</v>
      </c>
      <c r="G5539" s="1">
        <v>2.7932531461660304E-2</v>
      </c>
    </row>
    <row r="5540" spans="1:7">
      <c r="A5540">
        <v>392</v>
      </c>
      <c r="B5540">
        <v>113</v>
      </c>
      <c r="C5540" s="1">
        <f>(Tabela1[[#This Row],[x]]-H$3)*(Tabela1[[#This Row],[x]]-H$3) +(Tabela1[[#This Row],[y]]-H$4)*(Tabela1[[#This Row],[y]]-H$4)</f>
        <v>44433</v>
      </c>
      <c r="D5540" s="1">
        <f>IF(Tabela1[[#This Row],[promien]]&lt;40000,1,0)</f>
        <v>0</v>
      </c>
      <c r="E5540" s="1">
        <f>IF(Tabela1[[#This Row],[promien]]=40000,1,0)</f>
        <v>0</v>
      </c>
      <c r="F5540" s="1">
        <v>3.1689530685920579</v>
      </c>
      <c r="G5540" s="1">
        <v>2.7360415002264826E-2</v>
      </c>
    </row>
    <row r="5541" spans="1:7">
      <c r="A5541">
        <v>107</v>
      </c>
      <c r="B5541">
        <v>8</v>
      </c>
      <c r="C5541" s="1">
        <f>(Tabela1[[#This Row],[x]]-H$3)*(Tabela1[[#This Row],[x]]-H$3) +(Tabela1[[#This Row],[y]]-H$4)*(Tabela1[[#This Row],[y]]-H$4)</f>
        <v>45513</v>
      </c>
      <c r="D5541" s="1">
        <f>IF(Tabela1[[#This Row],[promien]]&lt;40000,1,0)</f>
        <v>0</v>
      </c>
      <c r="E5541" s="1">
        <f>IF(Tabela1[[#This Row],[promien]]=40000,1,0)</f>
        <v>0</v>
      </c>
      <c r="F5541" s="1">
        <v>3.1683811586356252</v>
      </c>
      <c r="G5541" s="1">
        <v>2.6788505045832078E-2</v>
      </c>
    </row>
    <row r="5542" spans="1:7">
      <c r="A5542">
        <v>62</v>
      </c>
      <c r="B5542">
        <v>330</v>
      </c>
      <c r="C5542" s="1">
        <f>(Tabela1[[#This Row],[x]]-H$3)*(Tabela1[[#This Row],[x]]-H$3) +(Tabela1[[#This Row],[y]]-H$4)*(Tabela1[[#This Row],[y]]-H$4)</f>
        <v>35944</v>
      </c>
      <c r="D5542" s="1">
        <f>IF(Tabela1[[#This Row],[promien]]&lt;40000,1,0)</f>
        <v>1</v>
      </c>
      <c r="E5542" s="1">
        <f>IF(Tabela1[[#This Row],[promien]]=40000,1,0)</f>
        <v>0</v>
      </c>
      <c r="F5542" s="1">
        <v>3.1685312161674486</v>
      </c>
      <c r="G5542" s="1">
        <v>2.6938562577655478E-2</v>
      </c>
    </row>
    <row r="5543" spans="1:7">
      <c r="A5543">
        <v>65</v>
      </c>
      <c r="B5543">
        <v>45</v>
      </c>
      <c r="C5543" s="1">
        <f>(Tabela1[[#This Row],[x]]-H$3)*(Tabela1[[#This Row],[x]]-H$3) +(Tabela1[[#This Row],[y]]-H$4)*(Tabela1[[#This Row],[y]]-H$4)</f>
        <v>42250</v>
      </c>
      <c r="D5543" s="1">
        <f>IF(Tabela1[[#This Row],[promien]]&lt;40000,1,0)</f>
        <v>0</v>
      </c>
      <c r="E5543" s="1">
        <f>IF(Tabela1[[#This Row],[promien]]=40000,1,0)</f>
        <v>0</v>
      </c>
      <c r="F5543" s="1">
        <v>3.1679595886703953</v>
      </c>
      <c r="G5543" s="1">
        <v>2.6366935080602172E-2</v>
      </c>
    </row>
    <row r="5544" spans="1:7">
      <c r="A5544">
        <v>316</v>
      </c>
      <c r="B5544">
        <v>157</v>
      </c>
      <c r="C5544" s="1">
        <f>(Tabela1[[#This Row],[x]]-H$3)*(Tabela1[[#This Row],[x]]-H$3) +(Tabela1[[#This Row],[y]]-H$4)*(Tabela1[[#This Row],[y]]-H$4)</f>
        <v>15305</v>
      </c>
      <c r="D5544" s="1">
        <f>IF(Tabela1[[#This Row],[promien]]&lt;40000,1,0)</f>
        <v>1</v>
      </c>
      <c r="E5544" s="1">
        <f>IF(Tabela1[[#This Row],[promien]]=40000,1,0)</f>
        <v>0</v>
      </c>
      <c r="F5544" s="1">
        <v>3.1681096681096683</v>
      </c>
      <c r="G5544" s="1">
        <v>2.6517014519875204E-2</v>
      </c>
    </row>
    <row r="5545" spans="1:7">
      <c r="A5545">
        <v>92</v>
      </c>
      <c r="B5545">
        <v>306</v>
      </c>
      <c r="C5545" s="1">
        <f>(Tabela1[[#This Row],[x]]-H$3)*(Tabela1[[#This Row],[x]]-H$3) +(Tabela1[[#This Row],[y]]-H$4)*(Tabela1[[#This Row],[y]]-H$4)</f>
        <v>22900</v>
      </c>
      <c r="D5545" s="1">
        <f>IF(Tabela1[[#This Row],[promien]]&lt;40000,1,0)</f>
        <v>1</v>
      </c>
      <c r="E5545" s="1">
        <f>IF(Tabela1[[#This Row],[promien]]=40000,1,0)</f>
        <v>0</v>
      </c>
      <c r="F5545" s="1">
        <v>3.1682596934174931</v>
      </c>
      <c r="G5545" s="1">
        <v>2.6667039827700023E-2</v>
      </c>
    </row>
    <row r="5546" spans="1:7">
      <c r="A5546">
        <v>54</v>
      </c>
      <c r="B5546">
        <v>165</v>
      </c>
      <c r="C5546" s="1">
        <f>(Tabela1[[#This Row],[x]]-H$3)*(Tabela1[[#This Row],[x]]-H$3) +(Tabela1[[#This Row],[y]]-H$4)*(Tabela1[[#This Row],[y]]-H$4)</f>
        <v>22541</v>
      </c>
      <c r="D5546" s="1">
        <f>IF(Tabela1[[#This Row],[promien]]&lt;40000,1,0)</f>
        <v>1</v>
      </c>
      <c r="E5546" s="1">
        <f>IF(Tabela1[[#This Row],[promien]]=40000,1,0)</f>
        <v>0</v>
      </c>
      <c r="F5546" s="1">
        <v>3.1684096646231517</v>
      </c>
      <c r="G5546" s="1">
        <v>2.681701103335854E-2</v>
      </c>
    </row>
    <row r="5547" spans="1:7">
      <c r="A5547">
        <v>359</v>
      </c>
      <c r="B5547">
        <v>346</v>
      </c>
      <c r="C5547" s="1">
        <f>(Tabela1[[#This Row],[x]]-H$3)*(Tabela1[[#This Row],[x]]-H$3) +(Tabela1[[#This Row],[y]]-H$4)*(Tabela1[[#This Row],[y]]-H$4)</f>
        <v>46597</v>
      </c>
      <c r="D5547" s="1">
        <f>IF(Tabela1[[#This Row],[promien]]&lt;40000,1,0)</f>
        <v>0</v>
      </c>
      <c r="E5547" s="1">
        <f>IF(Tabela1[[#This Row],[promien]]=40000,1,0)</f>
        <v>0</v>
      </c>
      <c r="F5547" s="1">
        <v>3.1678384712457186</v>
      </c>
      <c r="G5547" s="1">
        <v>2.6245817655925485E-2</v>
      </c>
    </row>
    <row r="5548" spans="1:7">
      <c r="A5548">
        <v>107</v>
      </c>
      <c r="B5548">
        <v>219</v>
      </c>
      <c r="C5548" s="1">
        <f>(Tabela1[[#This Row],[x]]-H$3)*(Tabela1[[#This Row],[x]]-H$3) +(Tabela1[[#This Row],[y]]-H$4)*(Tabela1[[#This Row],[y]]-H$4)</f>
        <v>9010</v>
      </c>
      <c r="D5548" s="1">
        <f>IF(Tabela1[[#This Row],[promien]]&lt;40000,1,0)</f>
        <v>1</v>
      </c>
      <c r="E5548" s="1">
        <f>IF(Tabela1[[#This Row],[promien]]=40000,1,0)</f>
        <v>0</v>
      </c>
      <c r="F5548" s="1">
        <v>3.1679884643114637</v>
      </c>
      <c r="G5548" s="1">
        <v>2.6395810721670632E-2</v>
      </c>
    </row>
    <row r="5549" spans="1:7">
      <c r="A5549">
        <v>335</v>
      </c>
      <c r="B5549">
        <v>76</v>
      </c>
      <c r="C5549" s="1">
        <f>(Tabela1[[#This Row],[x]]-H$3)*(Tabela1[[#This Row],[x]]-H$3) +(Tabela1[[#This Row],[y]]-H$4)*(Tabela1[[#This Row],[y]]-H$4)</f>
        <v>33601</v>
      </c>
      <c r="D5549" s="1">
        <f>IF(Tabela1[[#This Row],[promien]]&lt;40000,1,0)</f>
        <v>1</v>
      </c>
      <c r="E5549" s="1">
        <f>IF(Tabela1[[#This Row],[promien]]=40000,1,0)</f>
        <v>0</v>
      </c>
      <c r="F5549" s="1">
        <v>3.1681384033159126</v>
      </c>
      <c r="G5549" s="1">
        <v>2.654574972611945E-2</v>
      </c>
    </row>
    <row r="5550" spans="1:7">
      <c r="A5550">
        <v>2</v>
      </c>
      <c r="B5550">
        <v>164</v>
      </c>
      <c r="C5550" s="1">
        <f>(Tabela1[[#This Row],[x]]-H$3)*(Tabela1[[#This Row],[x]]-H$3) +(Tabela1[[#This Row],[y]]-H$4)*(Tabela1[[#This Row],[y]]-H$4)</f>
        <v>40500</v>
      </c>
      <c r="D5550" s="1">
        <f>IF(Tabela1[[#This Row],[promien]]&lt;40000,1,0)</f>
        <v>0</v>
      </c>
      <c r="E5550" s="1">
        <f>IF(Tabela1[[#This Row],[promien]]=40000,1,0)</f>
        <v>0</v>
      </c>
      <c r="F5550" s="1">
        <v>3.1675675675675676</v>
      </c>
      <c r="G5550" s="1">
        <v>2.5974913977774516E-2</v>
      </c>
    </row>
    <row r="5551" spans="1:7">
      <c r="A5551">
        <v>87</v>
      </c>
      <c r="B5551">
        <v>249</v>
      </c>
      <c r="C5551" s="1">
        <f>(Tabela1[[#This Row],[x]]-H$3)*(Tabela1[[#This Row],[x]]-H$3) +(Tabela1[[#This Row],[y]]-H$4)*(Tabela1[[#This Row],[y]]-H$4)</f>
        <v>15170</v>
      </c>
      <c r="D5551" s="1">
        <f>IF(Tabela1[[#This Row],[promien]]&lt;40000,1,0)</f>
        <v>1</v>
      </c>
      <c r="E5551" s="1">
        <f>IF(Tabela1[[#This Row],[promien]]=40000,1,0)</f>
        <v>0</v>
      </c>
      <c r="F5551" s="1">
        <v>3.1677175283732661</v>
      </c>
      <c r="G5551" s="1">
        <v>2.6124874783473029E-2</v>
      </c>
    </row>
    <row r="5552" spans="1:7">
      <c r="A5552">
        <v>343</v>
      </c>
      <c r="B5552">
        <v>308</v>
      </c>
      <c r="C5552" s="1">
        <f>(Tabela1[[#This Row],[x]]-H$3)*(Tabela1[[#This Row],[x]]-H$3) +(Tabela1[[#This Row],[y]]-H$4)*(Tabela1[[#This Row],[y]]-H$4)</f>
        <v>32113</v>
      </c>
      <c r="D5552" s="1">
        <f>IF(Tabela1[[#This Row],[promien]]&lt;40000,1,0)</f>
        <v>1</v>
      </c>
      <c r="E5552" s="1">
        <f>IF(Tabela1[[#This Row],[promien]]=40000,1,0)</f>
        <v>0</v>
      </c>
      <c r="F5552" s="1">
        <v>3.1678674351585014</v>
      </c>
      <c r="G5552" s="1">
        <v>2.6274781568708327E-2</v>
      </c>
    </row>
    <row r="5553" spans="1:7">
      <c r="A5553">
        <v>254</v>
      </c>
      <c r="B5553">
        <v>97</v>
      </c>
      <c r="C5553" s="1">
        <f>(Tabela1[[#This Row],[x]]-H$3)*(Tabela1[[#This Row],[x]]-H$3) +(Tabela1[[#This Row],[y]]-H$4)*(Tabela1[[#This Row],[y]]-H$4)</f>
        <v>13525</v>
      </c>
      <c r="D5553" s="1">
        <f>IF(Tabela1[[#This Row],[promien]]&lt;40000,1,0)</f>
        <v>1</v>
      </c>
      <c r="E5553" s="1">
        <f>IF(Tabela1[[#This Row],[promien]]=40000,1,0)</f>
        <v>0</v>
      </c>
      <c r="F5553" s="1">
        <v>3.1680172879524582</v>
      </c>
      <c r="G5553" s="1">
        <v>2.6424634362665067E-2</v>
      </c>
    </row>
    <row r="5554" spans="1:7">
      <c r="A5554">
        <v>301</v>
      </c>
      <c r="B5554">
        <v>122</v>
      </c>
      <c r="C5554" s="1">
        <f>(Tabela1[[#This Row],[x]]-H$3)*(Tabela1[[#This Row],[x]]-H$3) +(Tabela1[[#This Row],[y]]-H$4)*(Tabela1[[#This Row],[y]]-H$4)</f>
        <v>16285</v>
      </c>
      <c r="D5554" s="1">
        <f>IF(Tabela1[[#This Row],[promien]]&lt;40000,1,0)</f>
        <v>1</v>
      </c>
      <c r="E5554" s="1">
        <f>IF(Tabela1[[#This Row],[promien]]=40000,1,0)</f>
        <v>0</v>
      </c>
      <c r="F5554" s="1">
        <v>3.1681670867842997</v>
      </c>
      <c r="G5554" s="1">
        <v>2.6574433194506586E-2</v>
      </c>
    </row>
    <row r="5555" spans="1:7">
      <c r="A5555">
        <v>398</v>
      </c>
      <c r="B5555">
        <v>139</v>
      </c>
      <c r="C5555" s="1">
        <f>(Tabela1[[#This Row],[x]]-H$3)*(Tabela1[[#This Row],[x]]-H$3) +(Tabela1[[#This Row],[y]]-H$4)*(Tabela1[[#This Row],[y]]-H$4)</f>
        <v>42925</v>
      </c>
      <c r="D5555" s="1">
        <f>IF(Tabela1[[#This Row],[promien]]&lt;40000,1,0)</f>
        <v>0</v>
      </c>
      <c r="E5555" s="1">
        <f>IF(Tabela1[[#This Row],[promien]]=40000,1,0)</f>
        <v>0</v>
      </c>
      <c r="F5555" s="1">
        <v>3.1675967596759675</v>
      </c>
      <c r="G5555" s="1">
        <v>2.6004106086174428E-2</v>
      </c>
    </row>
    <row r="5556" spans="1:7">
      <c r="A5556">
        <v>261</v>
      </c>
      <c r="B5556">
        <v>13</v>
      </c>
      <c r="C5556" s="1">
        <f>(Tabela1[[#This Row],[x]]-H$3)*(Tabela1[[#This Row],[x]]-H$3) +(Tabela1[[#This Row],[y]]-H$4)*(Tabela1[[#This Row],[y]]-H$4)</f>
        <v>38690</v>
      </c>
      <c r="D5556" s="1">
        <f>IF(Tabela1[[#This Row],[promien]]&lt;40000,1,0)</f>
        <v>1</v>
      </c>
      <c r="E5556" s="1">
        <f>IF(Tabela1[[#This Row],[promien]]=40000,1,0)</f>
        <v>0</v>
      </c>
      <c r="F5556" s="1">
        <v>3.1677465802735782</v>
      </c>
      <c r="G5556" s="1">
        <v>2.6153926683785134E-2</v>
      </c>
    </row>
    <row r="5557" spans="1:7">
      <c r="A5557">
        <v>113</v>
      </c>
      <c r="B5557">
        <v>302</v>
      </c>
      <c r="C5557" s="1">
        <f>(Tabela1[[#This Row],[x]]-H$3)*(Tabela1[[#This Row],[x]]-H$3) +(Tabela1[[#This Row],[y]]-H$4)*(Tabela1[[#This Row],[y]]-H$4)</f>
        <v>17973</v>
      </c>
      <c r="D5557" s="1">
        <f>IF(Tabela1[[#This Row],[promien]]&lt;40000,1,0)</f>
        <v>1</v>
      </c>
      <c r="E5557" s="1">
        <f>IF(Tabela1[[#This Row],[promien]]=40000,1,0)</f>
        <v>0</v>
      </c>
      <c r="F5557" s="1">
        <v>3.1678963469497932</v>
      </c>
      <c r="G5557" s="1">
        <v>2.6303693360000047E-2</v>
      </c>
    </row>
    <row r="5558" spans="1:7">
      <c r="A5558">
        <v>57</v>
      </c>
      <c r="B5558">
        <v>216</v>
      </c>
      <c r="C5558" s="1">
        <f>(Tabela1[[#This Row],[x]]-H$3)*(Tabela1[[#This Row],[x]]-H$3) +(Tabela1[[#This Row],[y]]-H$4)*(Tabela1[[#This Row],[y]]-H$4)</f>
        <v>20705</v>
      </c>
      <c r="D5558" s="1">
        <f>IF(Tabela1[[#This Row],[promien]]&lt;40000,1,0)</f>
        <v>1</v>
      </c>
      <c r="E5558" s="1">
        <f>IF(Tabela1[[#This Row],[promien]]=40000,1,0)</f>
        <v>0</v>
      </c>
      <c r="F5558" s="1">
        <v>3.168046059733717</v>
      </c>
      <c r="G5558" s="1">
        <v>2.6453406143923885E-2</v>
      </c>
    </row>
    <row r="5559" spans="1:7">
      <c r="A5559">
        <v>220</v>
      </c>
      <c r="B5559">
        <v>86</v>
      </c>
      <c r="C5559" s="1">
        <f>(Tabela1[[#This Row],[x]]-H$3)*(Tabela1[[#This Row],[x]]-H$3) +(Tabela1[[#This Row],[y]]-H$4)*(Tabela1[[#This Row],[y]]-H$4)</f>
        <v>13396</v>
      </c>
      <c r="D5559" s="1">
        <f>IF(Tabela1[[#This Row],[promien]]&lt;40000,1,0)</f>
        <v>1</v>
      </c>
      <c r="E5559" s="1">
        <f>IF(Tabela1[[#This Row],[promien]]=40000,1,0)</f>
        <v>0</v>
      </c>
      <c r="F5559" s="1">
        <v>3.1681957186544341</v>
      </c>
      <c r="G5559" s="1">
        <v>2.6603065064640941E-2</v>
      </c>
    </row>
    <row r="5560" spans="1:7">
      <c r="A5560">
        <v>350</v>
      </c>
      <c r="B5560">
        <v>5</v>
      </c>
      <c r="C5560" s="1">
        <f>(Tabela1[[#This Row],[x]]-H$3)*(Tabela1[[#This Row],[x]]-H$3) +(Tabela1[[#This Row],[y]]-H$4)*(Tabela1[[#This Row],[y]]-H$4)</f>
        <v>60525</v>
      </c>
      <c r="D5560" s="1">
        <f>IF(Tabela1[[#This Row],[promien]]&lt;40000,1,0)</f>
        <v>0</v>
      </c>
      <c r="E5560" s="1">
        <f>IF(Tabela1[[#This Row],[promien]]=40000,1,0)</f>
        <v>0</v>
      </c>
      <c r="F5560" s="1">
        <v>3.1676258992805755</v>
      </c>
      <c r="G5560" s="1">
        <v>2.6033245690782358E-2</v>
      </c>
    </row>
    <row r="5561" spans="1:7">
      <c r="A5561">
        <v>376</v>
      </c>
      <c r="B5561">
        <v>275</v>
      </c>
      <c r="C5561" s="1">
        <f>(Tabela1[[#This Row],[x]]-H$3)*(Tabela1[[#This Row],[x]]-H$3) +(Tabela1[[#This Row],[y]]-H$4)*(Tabela1[[#This Row],[y]]-H$4)</f>
        <v>36601</v>
      </c>
      <c r="D5561" s="1">
        <f>IF(Tabela1[[#This Row],[promien]]&lt;40000,1,0)</f>
        <v>1</v>
      </c>
      <c r="E5561" s="1">
        <f>IF(Tabela1[[#This Row],[promien]]=40000,1,0)</f>
        <v>0</v>
      </c>
      <c r="F5561" s="1">
        <v>3.1677755799316669</v>
      </c>
      <c r="G5561" s="1">
        <v>2.6182926341873802E-2</v>
      </c>
    </row>
    <row r="5562" spans="1:7">
      <c r="A5562">
        <v>81</v>
      </c>
      <c r="B5562">
        <v>263</v>
      </c>
      <c r="C5562" s="1">
        <f>(Tabela1[[#This Row],[x]]-H$3)*(Tabela1[[#This Row],[x]]-H$3) +(Tabela1[[#This Row],[y]]-H$4)*(Tabela1[[#This Row],[y]]-H$4)</f>
        <v>18130</v>
      </c>
      <c r="D5562" s="1">
        <f>IF(Tabela1[[#This Row],[promien]]&lt;40000,1,0)</f>
        <v>1</v>
      </c>
      <c r="E5562" s="1">
        <f>IF(Tabela1[[#This Row],[promien]]=40000,1,0)</f>
        <v>0</v>
      </c>
      <c r="F5562" s="1">
        <v>3.1679252067601582</v>
      </c>
      <c r="G5562" s="1">
        <v>2.6332553170365092E-2</v>
      </c>
    </row>
    <row r="5563" spans="1:7">
      <c r="A5563">
        <v>36</v>
      </c>
      <c r="B5563">
        <v>359</v>
      </c>
      <c r="C5563" s="1">
        <f>(Tabela1[[#This Row],[x]]-H$3)*(Tabela1[[#This Row],[x]]-H$3) +(Tabela1[[#This Row],[y]]-H$4)*(Tabela1[[#This Row],[y]]-H$4)</f>
        <v>52177</v>
      </c>
      <c r="D5563" s="1">
        <f>IF(Tabela1[[#This Row],[promien]]&lt;40000,1,0)</f>
        <v>0</v>
      </c>
      <c r="E5563" s="1">
        <f>IF(Tabela1[[#This Row],[promien]]=40000,1,0)</f>
        <v>0</v>
      </c>
      <c r="F5563" s="1">
        <v>3.1673557433039727</v>
      </c>
      <c r="G5563" s="1">
        <v>2.5763089714179621E-2</v>
      </c>
    </row>
    <row r="5564" spans="1:7">
      <c r="A5564">
        <v>273</v>
      </c>
      <c r="B5564">
        <v>269</v>
      </c>
      <c r="C5564" s="1">
        <f>(Tabela1[[#This Row],[x]]-H$3)*(Tabela1[[#This Row],[x]]-H$3) +(Tabela1[[#This Row],[y]]-H$4)*(Tabela1[[#This Row],[y]]-H$4)</f>
        <v>10090</v>
      </c>
      <c r="D5564" s="1">
        <f>IF(Tabela1[[#This Row],[promien]]&lt;40000,1,0)</f>
        <v>1</v>
      </c>
      <c r="E5564" s="1">
        <f>IF(Tabela1[[#This Row],[promien]]=40000,1,0)</f>
        <v>0</v>
      </c>
      <c r="F5564" s="1">
        <v>3.1675053918044571</v>
      </c>
      <c r="G5564" s="1">
        <v>2.5912738214664E-2</v>
      </c>
    </row>
    <row r="5565" spans="1:7">
      <c r="A5565">
        <v>259</v>
      </c>
      <c r="B5565">
        <v>160</v>
      </c>
      <c r="C5565" s="1">
        <f>(Tabela1[[#This Row],[x]]-H$3)*(Tabela1[[#This Row],[x]]-H$3) +(Tabela1[[#This Row],[y]]-H$4)*(Tabela1[[#This Row],[y]]-H$4)</f>
        <v>5081</v>
      </c>
      <c r="D5565" s="1">
        <f>IF(Tabela1[[#This Row],[promien]]&lt;40000,1,0)</f>
        <v>1</v>
      </c>
      <c r="E5565" s="1">
        <f>IF(Tabela1[[#This Row],[promien]]=40000,1,0)</f>
        <v>0</v>
      </c>
      <c r="F5565" s="1">
        <v>3.1676549865229111</v>
      </c>
      <c r="G5565" s="1">
        <v>2.6062332933117993E-2</v>
      </c>
    </row>
    <row r="5566" spans="1:7">
      <c r="A5566">
        <v>253</v>
      </c>
      <c r="B5566">
        <v>43</v>
      </c>
      <c r="C5566" s="1">
        <f>(Tabela1[[#This Row],[x]]-H$3)*(Tabela1[[#This Row],[x]]-H$3) +(Tabela1[[#This Row],[y]]-H$4)*(Tabela1[[#This Row],[y]]-H$4)</f>
        <v>27458</v>
      </c>
      <c r="D5566" s="1">
        <f>IF(Tabela1[[#This Row],[promien]]&lt;40000,1,0)</f>
        <v>1</v>
      </c>
      <c r="E5566" s="1">
        <f>IF(Tabela1[[#This Row],[promien]]=40000,1,0)</f>
        <v>0</v>
      </c>
      <c r="F5566" s="1">
        <v>3.1678045274883218</v>
      </c>
      <c r="G5566" s="1">
        <v>2.6211873898528637E-2</v>
      </c>
    </row>
    <row r="5567" spans="1:7">
      <c r="A5567">
        <v>396</v>
      </c>
      <c r="B5567">
        <v>16</v>
      </c>
      <c r="C5567" s="1">
        <f>(Tabela1[[#This Row],[x]]-H$3)*(Tabela1[[#This Row],[x]]-H$3) +(Tabela1[[#This Row],[y]]-H$4)*(Tabela1[[#This Row],[y]]-H$4)</f>
        <v>72272</v>
      </c>
      <c r="D5567" s="1">
        <f>IF(Tabela1[[#This Row],[promien]]&lt;40000,1,0)</f>
        <v>0</v>
      </c>
      <c r="E5567" s="1">
        <f>IF(Tabela1[[#This Row],[promien]]=40000,1,0)</f>
        <v>0</v>
      </c>
      <c r="F5567" s="1">
        <v>3.1672354948805461</v>
      </c>
      <c r="G5567" s="1">
        <v>2.5642841290753005E-2</v>
      </c>
    </row>
    <row r="5568" spans="1:7">
      <c r="A5568">
        <v>65</v>
      </c>
      <c r="B5568">
        <v>351</v>
      </c>
      <c r="C5568" s="1">
        <f>(Tabela1[[#This Row],[x]]-H$3)*(Tabela1[[#This Row],[x]]-H$3) +(Tabela1[[#This Row],[y]]-H$4)*(Tabela1[[#This Row],[y]]-H$4)</f>
        <v>41026</v>
      </c>
      <c r="D5568" s="1">
        <f>IF(Tabela1[[#This Row],[promien]]&lt;40000,1,0)</f>
        <v>0</v>
      </c>
      <c r="E5568" s="1">
        <f>IF(Tabela1[[#This Row],[promien]]=40000,1,0)</f>
        <v>0</v>
      </c>
      <c r="F5568" s="1">
        <v>3.1666666666666665</v>
      </c>
      <c r="G5568" s="1">
        <v>2.5074013076873403E-2</v>
      </c>
    </row>
    <row r="5569" spans="1:7">
      <c r="A5569">
        <v>32</v>
      </c>
      <c r="B5569">
        <v>383</v>
      </c>
      <c r="C5569" s="1">
        <f>(Tabela1[[#This Row],[x]]-H$3)*(Tabela1[[#This Row],[x]]-H$3) +(Tabela1[[#This Row],[y]]-H$4)*(Tabela1[[#This Row],[y]]-H$4)</f>
        <v>61713</v>
      </c>
      <c r="D5569" s="1">
        <f>IF(Tabela1[[#This Row],[promien]]&lt;40000,1,0)</f>
        <v>0</v>
      </c>
      <c r="E5569" s="1">
        <f>IF(Tabela1[[#This Row],[promien]]=40000,1,0)</f>
        <v>0</v>
      </c>
      <c r="F5569" s="1">
        <v>3.1660980427365777</v>
      </c>
      <c r="G5569" s="1">
        <v>2.4505389146784573E-2</v>
      </c>
    </row>
    <row r="5570" spans="1:7">
      <c r="A5570">
        <v>280</v>
      </c>
      <c r="B5570">
        <v>176</v>
      </c>
      <c r="C5570" s="1">
        <f>(Tabela1[[#This Row],[x]]-H$3)*(Tabela1[[#This Row],[x]]-H$3) +(Tabela1[[#This Row],[y]]-H$4)*(Tabela1[[#This Row],[y]]-H$4)</f>
        <v>6976</v>
      </c>
      <c r="D5570" s="1">
        <f>IF(Tabela1[[#This Row],[promien]]&lt;40000,1,0)</f>
        <v>1</v>
      </c>
      <c r="E5570" s="1">
        <f>IF(Tabela1[[#This Row],[promien]]=40000,1,0)</f>
        <v>0</v>
      </c>
      <c r="F5570" s="1">
        <v>3.1662477558348296</v>
      </c>
      <c r="G5570" s="1">
        <v>2.4655102245036531E-2</v>
      </c>
    </row>
    <row r="5571" spans="1:7">
      <c r="A5571">
        <v>380</v>
      </c>
      <c r="B5571">
        <v>364</v>
      </c>
      <c r="C5571" s="1">
        <f>(Tabela1[[#This Row],[x]]-H$3)*(Tabela1[[#This Row],[x]]-H$3) +(Tabela1[[#This Row],[y]]-H$4)*(Tabela1[[#This Row],[y]]-H$4)</f>
        <v>59296</v>
      </c>
      <c r="D5571" s="1">
        <f>IF(Tabela1[[#This Row],[promien]]&lt;40000,1,0)</f>
        <v>0</v>
      </c>
      <c r="E5571" s="1">
        <f>IF(Tabela1[[#This Row],[promien]]=40000,1,0)</f>
        <v>0</v>
      </c>
      <c r="F5571" s="1">
        <v>3.1656794112367619</v>
      </c>
      <c r="G5571" s="1">
        <v>2.4086757646968771E-2</v>
      </c>
    </row>
    <row r="5572" spans="1:7">
      <c r="A5572">
        <v>206</v>
      </c>
      <c r="B5572">
        <v>353</v>
      </c>
      <c r="C5572" s="1">
        <f>(Tabela1[[#This Row],[x]]-H$3)*(Tabela1[[#This Row],[x]]-H$3) +(Tabela1[[#This Row],[y]]-H$4)*(Tabela1[[#This Row],[y]]-H$4)</f>
        <v>23445</v>
      </c>
      <c r="D5572" s="1">
        <f>IF(Tabela1[[#This Row],[promien]]&lt;40000,1,0)</f>
        <v>1</v>
      </c>
      <c r="E5572" s="1">
        <f>IF(Tabela1[[#This Row],[promien]]=40000,1,0)</f>
        <v>0</v>
      </c>
      <c r="F5572" s="1">
        <v>3.1658291457286434</v>
      </c>
      <c r="G5572" s="1">
        <v>2.4236492138850263E-2</v>
      </c>
    </row>
    <row r="5573" spans="1:7">
      <c r="A5573">
        <v>343</v>
      </c>
      <c r="B5573">
        <v>208</v>
      </c>
      <c r="C5573" s="1">
        <f>(Tabela1[[#This Row],[x]]-H$3)*(Tabela1[[#This Row],[x]]-H$3) +(Tabela1[[#This Row],[y]]-H$4)*(Tabela1[[#This Row],[y]]-H$4)</f>
        <v>20513</v>
      </c>
      <c r="D5573" s="1">
        <f>IF(Tabela1[[#This Row],[promien]]&lt;40000,1,0)</f>
        <v>1</v>
      </c>
      <c r="E5573" s="1">
        <f>IF(Tabela1[[#This Row],[promien]]=40000,1,0)</f>
        <v>0</v>
      </c>
      <c r="F5573" s="1">
        <v>3.1659788264848374</v>
      </c>
      <c r="G5573" s="1">
        <v>2.43861728950443E-2</v>
      </c>
    </row>
    <row r="5574" spans="1:7">
      <c r="A5574">
        <v>26</v>
      </c>
      <c r="B5574">
        <v>220</v>
      </c>
      <c r="C5574" s="1">
        <f>(Tabela1[[#This Row],[x]]-H$3)*(Tabela1[[#This Row],[x]]-H$3) +(Tabela1[[#This Row],[y]]-H$4)*(Tabela1[[#This Row],[y]]-H$4)</f>
        <v>30676</v>
      </c>
      <c r="D5574" s="1">
        <f>IF(Tabela1[[#This Row],[promien]]&lt;40000,1,0)</f>
        <v>1</v>
      </c>
      <c r="E5574" s="1">
        <f>IF(Tabela1[[#This Row],[promien]]=40000,1,0)</f>
        <v>0</v>
      </c>
      <c r="F5574" s="1">
        <v>3.1661284535342662</v>
      </c>
      <c r="G5574" s="1">
        <v>2.453579994447308E-2</v>
      </c>
    </row>
    <row r="5575" spans="1:7">
      <c r="A5575">
        <v>350</v>
      </c>
      <c r="B5575">
        <v>162</v>
      </c>
      <c r="C5575" s="1">
        <f>(Tabela1[[#This Row],[x]]-H$3)*(Tabela1[[#This Row],[x]]-H$3) +(Tabela1[[#This Row],[y]]-H$4)*(Tabela1[[#This Row],[y]]-H$4)</f>
        <v>23944</v>
      </c>
      <c r="D5575" s="1">
        <f>IF(Tabela1[[#This Row],[promien]]&lt;40000,1,0)</f>
        <v>1</v>
      </c>
      <c r="E5575" s="1">
        <f>IF(Tabela1[[#This Row],[promien]]=40000,1,0)</f>
        <v>0</v>
      </c>
      <c r="F5575" s="1">
        <v>3.1662780269058297</v>
      </c>
      <c r="G5575" s="1">
        <v>2.4685373316036596E-2</v>
      </c>
    </row>
    <row r="5576" spans="1:7">
      <c r="A5576">
        <v>254</v>
      </c>
      <c r="B5576">
        <v>277</v>
      </c>
      <c r="C5576" s="1">
        <f>(Tabela1[[#This Row],[x]]-H$3)*(Tabela1[[#This Row],[x]]-H$3) +(Tabela1[[#This Row],[y]]-H$4)*(Tabela1[[#This Row],[y]]-H$4)</f>
        <v>8845</v>
      </c>
      <c r="D5576" s="1">
        <f>IF(Tabela1[[#This Row],[promien]]&lt;40000,1,0)</f>
        <v>1</v>
      </c>
      <c r="E5576" s="1">
        <f>IF(Tabela1[[#This Row],[promien]]=40000,1,0)</f>
        <v>0</v>
      </c>
      <c r="F5576" s="1">
        <v>3.1664275466284075</v>
      </c>
      <c r="G5576" s="1">
        <v>2.4834893038614414E-2</v>
      </c>
    </row>
    <row r="5577" spans="1:7">
      <c r="A5577">
        <v>55</v>
      </c>
      <c r="B5577">
        <v>36</v>
      </c>
      <c r="C5577" s="1">
        <f>(Tabela1[[#This Row],[x]]-H$3)*(Tabela1[[#This Row],[x]]-H$3) +(Tabela1[[#This Row],[y]]-H$4)*(Tabela1[[#This Row],[y]]-H$4)</f>
        <v>47921</v>
      </c>
      <c r="D5577" s="1">
        <f>IF(Tabela1[[#This Row],[promien]]&lt;40000,1,0)</f>
        <v>0</v>
      </c>
      <c r="E5577" s="1">
        <f>IF(Tabela1[[#This Row],[promien]]=40000,1,0)</f>
        <v>0</v>
      </c>
      <c r="F5577" s="1">
        <v>3.1658597812443965</v>
      </c>
      <c r="G5577" s="1">
        <v>2.4267127654603371E-2</v>
      </c>
    </row>
    <row r="5578" spans="1:7">
      <c r="A5578">
        <v>88</v>
      </c>
      <c r="B5578">
        <v>396</v>
      </c>
      <c r="C5578" s="1">
        <f>(Tabela1[[#This Row],[x]]-H$3)*(Tabela1[[#This Row],[x]]-H$3) +(Tabela1[[#This Row],[y]]-H$4)*(Tabela1[[#This Row],[y]]-H$4)</f>
        <v>50960</v>
      </c>
      <c r="D5578" s="1">
        <f>IF(Tabela1[[#This Row],[promien]]&lt;40000,1,0)</f>
        <v>0</v>
      </c>
      <c r="E5578" s="1">
        <f>IF(Tabela1[[#This Row],[promien]]=40000,1,0)</f>
        <v>0</v>
      </c>
      <c r="F5578" s="1">
        <v>3.1652922194334887</v>
      </c>
      <c r="G5578" s="1">
        <v>2.3699565843695591E-2</v>
      </c>
    </row>
    <row r="5579" spans="1:7">
      <c r="A5579">
        <v>372</v>
      </c>
      <c r="B5579">
        <v>189</v>
      </c>
      <c r="C5579" s="1">
        <f>(Tabela1[[#This Row],[x]]-H$3)*(Tabela1[[#This Row],[x]]-H$3) +(Tabela1[[#This Row],[y]]-H$4)*(Tabela1[[#This Row],[y]]-H$4)</f>
        <v>29705</v>
      </c>
      <c r="D5579" s="1">
        <f>IF(Tabela1[[#This Row],[promien]]&lt;40000,1,0)</f>
        <v>1</v>
      </c>
      <c r="E5579" s="1">
        <f>IF(Tabela1[[#This Row],[promien]]=40000,1,0)</f>
        <v>0</v>
      </c>
      <c r="F5579" s="1">
        <v>3.1654418354543825</v>
      </c>
      <c r="G5579" s="1">
        <v>2.3849181864589397E-2</v>
      </c>
    </row>
    <row r="5580" spans="1:7">
      <c r="A5580">
        <v>303</v>
      </c>
      <c r="B5580">
        <v>225</v>
      </c>
      <c r="C5580" s="1">
        <f>(Tabela1[[#This Row],[x]]-H$3)*(Tabela1[[#This Row],[x]]-H$3) +(Tabela1[[#This Row],[y]]-H$4)*(Tabela1[[#This Row],[y]]-H$4)</f>
        <v>11234</v>
      </c>
      <c r="D5580" s="1">
        <f>IF(Tabela1[[#This Row],[promien]]&lt;40000,1,0)</f>
        <v>1</v>
      </c>
      <c r="E5580" s="1">
        <f>IF(Tabela1[[#This Row],[promien]]=40000,1,0)</f>
        <v>0</v>
      </c>
      <c r="F5580" s="1">
        <v>3.1655913978494623</v>
      </c>
      <c r="G5580" s="1">
        <v>2.3998744259669191E-2</v>
      </c>
    </row>
    <row r="5581" spans="1:7">
      <c r="A5581">
        <v>146</v>
      </c>
      <c r="B5581">
        <v>219</v>
      </c>
      <c r="C5581" s="1">
        <f>(Tabela1[[#This Row],[x]]-H$3)*(Tabela1[[#This Row],[x]]-H$3) +(Tabela1[[#This Row],[y]]-H$4)*(Tabela1[[#This Row],[y]]-H$4)</f>
        <v>3277</v>
      </c>
      <c r="D5581" s="1">
        <f>IF(Tabela1[[#This Row],[promien]]&lt;40000,1,0)</f>
        <v>1</v>
      </c>
      <c r="E5581" s="1">
        <f>IF(Tabela1[[#This Row],[promien]]=40000,1,0)</f>
        <v>0</v>
      </c>
      <c r="F5581" s="1">
        <v>3.1657409066475544</v>
      </c>
      <c r="G5581" s="1">
        <v>2.4148253057761249E-2</v>
      </c>
    </row>
    <row r="5582" spans="1:7">
      <c r="A5582">
        <v>204</v>
      </c>
      <c r="B5582">
        <v>326</v>
      </c>
      <c r="C5582" s="1">
        <f>(Tabela1[[#This Row],[x]]-H$3)*(Tabela1[[#This Row],[x]]-H$3) +(Tabela1[[#This Row],[y]]-H$4)*(Tabela1[[#This Row],[y]]-H$4)</f>
        <v>15892</v>
      </c>
      <c r="D5582" s="1">
        <f>IF(Tabela1[[#This Row],[promien]]&lt;40000,1,0)</f>
        <v>1</v>
      </c>
      <c r="E5582" s="1">
        <f>IF(Tabela1[[#This Row],[promien]]=40000,1,0)</f>
        <v>0</v>
      </c>
      <c r="F5582" s="1">
        <v>3.1658903618774632</v>
      </c>
      <c r="G5582" s="1">
        <v>2.4297708287670083E-2</v>
      </c>
    </row>
    <row r="5583" spans="1:7">
      <c r="A5583">
        <v>31</v>
      </c>
      <c r="B5583">
        <v>184</v>
      </c>
      <c r="C5583" s="1">
        <f>(Tabela1[[#This Row],[x]]-H$3)*(Tabela1[[#This Row],[x]]-H$3) +(Tabela1[[#This Row],[y]]-H$4)*(Tabela1[[#This Row],[y]]-H$4)</f>
        <v>28817</v>
      </c>
      <c r="D5583" s="1">
        <f>IF(Tabela1[[#This Row],[promien]]&lt;40000,1,0)</f>
        <v>1</v>
      </c>
      <c r="E5583" s="1">
        <f>IF(Tabela1[[#This Row],[promien]]=40000,1,0)</f>
        <v>0</v>
      </c>
      <c r="F5583" s="1">
        <v>3.1660397635679742</v>
      </c>
      <c r="G5583" s="1">
        <v>2.4447109978181114E-2</v>
      </c>
    </row>
    <row r="5584" spans="1:7">
      <c r="A5584">
        <v>220</v>
      </c>
      <c r="B5584">
        <v>389</v>
      </c>
      <c r="C5584" s="1">
        <f>(Tabela1[[#This Row],[x]]-H$3)*(Tabela1[[#This Row],[x]]-H$3) +(Tabela1[[#This Row],[y]]-H$4)*(Tabela1[[#This Row],[y]]-H$4)</f>
        <v>36121</v>
      </c>
      <c r="D5584" s="1">
        <f>IF(Tabela1[[#This Row],[promien]]&lt;40000,1,0)</f>
        <v>1</v>
      </c>
      <c r="E5584" s="1">
        <f>IF(Tabela1[[#This Row],[promien]]=40000,1,0)</f>
        <v>0</v>
      </c>
      <c r="F5584" s="1">
        <v>3.1661891117478511</v>
      </c>
      <c r="G5584" s="1">
        <v>2.4596458158057999E-2</v>
      </c>
    </row>
    <row r="5585" spans="1:7">
      <c r="A5585">
        <v>349</v>
      </c>
      <c r="B5585">
        <v>103</v>
      </c>
      <c r="C5585" s="1">
        <f>(Tabela1[[#This Row],[x]]-H$3)*(Tabela1[[#This Row],[x]]-H$3) +(Tabela1[[#This Row],[y]]-H$4)*(Tabela1[[#This Row],[y]]-H$4)</f>
        <v>31610</v>
      </c>
      <c r="D5585" s="1">
        <f>IF(Tabela1[[#This Row],[promien]]&lt;40000,1,0)</f>
        <v>1</v>
      </c>
      <c r="E5585" s="1">
        <f>IF(Tabela1[[#This Row],[promien]]=40000,1,0)</f>
        <v>0</v>
      </c>
      <c r="F5585" s="1">
        <v>3.1663384064458371</v>
      </c>
      <c r="G5585" s="1">
        <v>2.4745752856043968E-2</v>
      </c>
    </row>
    <row r="5586" spans="1:7">
      <c r="A5586">
        <v>348</v>
      </c>
      <c r="B5586">
        <v>29</v>
      </c>
      <c r="C5586" s="1">
        <f>(Tabela1[[#This Row],[x]]-H$3)*(Tabela1[[#This Row],[x]]-H$3) +(Tabela1[[#This Row],[y]]-H$4)*(Tabela1[[#This Row],[y]]-H$4)</f>
        <v>51145</v>
      </c>
      <c r="D5586" s="1">
        <f>IF(Tabela1[[#This Row],[promien]]&lt;40000,1,0)</f>
        <v>0</v>
      </c>
      <c r="E5586" s="1">
        <f>IF(Tabela1[[#This Row],[promien]]=40000,1,0)</f>
        <v>0</v>
      </c>
      <c r="F5586" s="1">
        <v>3.1657715717866095</v>
      </c>
      <c r="G5586" s="1">
        <v>2.417891819681639E-2</v>
      </c>
    </row>
    <row r="5587" spans="1:7">
      <c r="A5587">
        <v>22</v>
      </c>
      <c r="B5587">
        <v>255</v>
      </c>
      <c r="C5587" s="1">
        <f>(Tabela1[[#This Row],[x]]-H$3)*(Tabela1[[#This Row],[x]]-H$3) +(Tabela1[[#This Row],[y]]-H$4)*(Tabela1[[#This Row],[y]]-H$4)</f>
        <v>34709</v>
      </c>
      <c r="D5587" s="1">
        <f>IF(Tabela1[[#This Row],[promien]]&lt;40000,1,0)</f>
        <v>1</v>
      </c>
      <c r="E5587" s="1">
        <f>IF(Tabela1[[#This Row],[promien]]=40000,1,0)</f>
        <v>0</v>
      </c>
      <c r="F5587" s="1">
        <v>3.1659208877751923</v>
      </c>
      <c r="G5587" s="1">
        <v>2.43282341853992E-2</v>
      </c>
    </row>
    <row r="5588" spans="1:7">
      <c r="A5588">
        <v>203</v>
      </c>
      <c r="B5588">
        <v>129</v>
      </c>
      <c r="C5588" s="1">
        <f>(Tabela1[[#This Row],[x]]-H$3)*(Tabela1[[#This Row],[x]]-H$3) +(Tabela1[[#This Row],[y]]-H$4)*(Tabela1[[#This Row],[y]]-H$4)</f>
        <v>5050</v>
      </c>
      <c r="D5588" s="1">
        <f>IF(Tabela1[[#This Row],[promien]]&lt;40000,1,0)</f>
        <v>1</v>
      </c>
      <c r="E5588" s="1">
        <f>IF(Tabela1[[#This Row],[promien]]=40000,1,0)</f>
        <v>0</v>
      </c>
      <c r="F5588" s="1">
        <v>3.1660701503221187</v>
      </c>
      <c r="G5588" s="1">
        <v>2.4477496732325577E-2</v>
      </c>
    </row>
    <row r="5589" spans="1:7">
      <c r="A5589">
        <v>80</v>
      </c>
      <c r="B5589">
        <v>362</v>
      </c>
      <c r="C5589" s="1">
        <f>(Tabela1[[#This Row],[x]]-H$3)*(Tabela1[[#This Row],[x]]-H$3) +(Tabela1[[#This Row],[y]]-H$4)*(Tabela1[[#This Row],[y]]-H$4)</f>
        <v>40644</v>
      </c>
      <c r="D5589" s="1">
        <f>IF(Tabela1[[#This Row],[promien]]&lt;40000,1,0)</f>
        <v>0</v>
      </c>
      <c r="E5589" s="1">
        <f>IF(Tabela1[[#This Row],[promien]]=40000,1,0)</f>
        <v>0</v>
      </c>
      <c r="F5589" s="1">
        <v>3.1655036679191269</v>
      </c>
      <c r="G5589" s="1">
        <v>2.3911014329333735E-2</v>
      </c>
    </row>
    <row r="5590" spans="1:7">
      <c r="A5590">
        <v>373</v>
      </c>
      <c r="B5590">
        <v>50</v>
      </c>
      <c r="C5590" s="1">
        <f>(Tabela1[[#This Row],[x]]-H$3)*(Tabela1[[#This Row],[x]]-H$3) +(Tabela1[[#This Row],[y]]-H$4)*(Tabela1[[#This Row],[y]]-H$4)</f>
        <v>52429</v>
      </c>
      <c r="D5590" s="1">
        <f>IF(Tabela1[[#This Row],[promien]]&lt;40000,1,0)</f>
        <v>0</v>
      </c>
      <c r="E5590" s="1">
        <f>IF(Tabela1[[#This Row],[promien]]=40000,1,0)</f>
        <v>0</v>
      </c>
      <c r="F5590" s="1">
        <v>3.1649373881932021</v>
      </c>
      <c r="G5590" s="1">
        <v>2.3344734603409023E-2</v>
      </c>
    </row>
    <row r="5591" spans="1:7">
      <c r="A5591">
        <v>190</v>
      </c>
      <c r="B5591">
        <v>231</v>
      </c>
      <c r="C5591" s="1">
        <f>(Tabela1[[#This Row],[x]]-H$3)*(Tabela1[[#This Row],[x]]-H$3) +(Tabela1[[#This Row],[y]]-H$4)*(Tabela1[[#This Row],[y]]-H$4)</f>
        <v>1061</v>
      </c>
      <c r="D5591" s="1">
        <f>IF(Tabela1[[#This Row],[promien]]&lt;40000,1,0)</f>
        <v>1</v>
      </c>
      <c r="E5591" s="1">
        <f>IF(Tabela1[[#This Row],[promien]]=40000,1,0)</f>
        <v>0</v>
      </c>
      <c r="F5591" s="1">
        <v>3.1650867465569665</v>
      </c>
      <c r="G5591" s="1">
        <v>2.3494092967173419E-2</v>
      </c>
    </row>
    <row r="5592" spans="1:7">
      <c r="A5592">
        <v>141</v>
      </c>
      <c r="B5592">
        <v>380</v>
      </c>
      <c r="C5592" s="1">
        <f>(Tabela1[[#This Row],[x]]-H$3)*(Tabela1[[#This Row],[x]]-H$3) +(Tabela1[[#This Row],[y]]-H$4)*(Tabela1[[#This Row],[y]]-H$4)</f>
        <v>35881</v>
      </c>
      <c r="D5592" s="1">
        <f>IF(Tabela1[[#This Row],[promien]]&lt;40000,1,0)</f>
        <v>1</v>
      </c>
      <c r="E5592" s="1">
        <f>IF(Tabela1[[#This Row],[promien]]=40000,1,0)</f>
        <v>0</v>
      </c>
      <c r="F5592" s="1">
        <v>3.1652360515021458</v>
      </c>
      <c r="G5592" s="1">
        <v>2.3643397912352704E-2</v>
      </c>
    </row>
    <row r="5593" spans="1:7">
      <c r="A5593">
        <v>299</v>
      </c>
      <c r="B5593">
        <v>298</v>
      </c>
      <c r="C5593" s="1">
        <f>(Tabela1[[#This Row],[x]]-H$3)*(Tabela1[[#This Row],[x]]-H$3) +(Tabela1[[#This Row],[y]]-H$4)*(Tabela1[[#This Row],[y]]-H$4)</f>
        <v>19405</v>
      </c>
      <c r="D5593" s="1">
        <f>IF(Tabela1[[#This Row],[promien]]&lt;40000,1,0)</f>
        <v>1</v>
      </c>
      <c r="E5593" s="1">
        <f>IF(Tabela1[[#This Row],[promien]]=40000,1,0)</f>
        <v>0</v>
      </c>
      <c r="F5593" s="1">
        <v>3.1653853030573931</v>
      </c>
      <c r="G5593" s="1">
        <v>2.3792649467599958E-2</v>
      </c>
    </row>
    <row r="5594" spans="1:7">
      <c r="A5594">
        <v>248</v>
      </c>
      <c r="B5594">
        <v>45</v>
      </c>
      <c r="C5594" s="1">
        <f>(Tabela1[[#This Row],[x]]-H$3)*(Tabela1[[#This Row],[x]]-H$3) +(Tabela1[[#This Row],[y]]-H$4)*(Tabela1[[#This Row],[y]]-H$4)</f>
        <v>26329</v>
      </c>
      <c r="D5594" s="1">
        <f>IF(Tabela1[[#This Row],[promien]]&lt;40000,1,0)</f>
        <v>1</v>
      </c>
      <c r="E5594" s="1">
        <f>IF(Tabela1[[#This Row],[promien]]=40000,1,0)</f>
        <v>0</v>
      </c>
      <c r="F5594" s="1">
        <v>3.1655345012513405</v>
      </c>
      <c r="G5594" s="1">
        <v>2.3941847661547389E-2</v>
      </c>
    </row>
    <row r="5595" spans="1:7">
      <c r="A5595">
        <v>332</v>
      </c>
      <c r="B5595">
        <v>214</v>
      </c>
      <c r="C5595" s="1">
        <f>(Tabela1[[#This Row],[x]]-H$3)*(Tabela1[[#This Row],[x]]-H$3) +(Tabela1[[#This Row],[y]]-H$4)*(Tabela1[[#This Row],[y]]-H$4)</f>
        <v>17620</v>
      </c>
      <c r="D5595" s="1">
        <f>IF(Tabela1[[#This Row],[promien]]&lt;40000,1,0)</f>
        <v>1</v>
      </c>
      <c r="E5595" s="1">
        <f>IF(Tabela1[[#This Row],[promien]]=40000,1,0)</f>
        <v>0</v>
      </c>
      <c r="F5595" s="1">
        <v>3.1656836461126003</v>
      </c>
      <c r="G5595" s="1">
        <v>2.409099252280722E-2</v>
      </c>
    </row>
    <row r="5596" spans="1:7">
      <c r="A5596">
        <v>262</v>
      </c>
      <c r="B5596">
        <v>16</v>
      </c>
      <c r="C5596" s="1">
        <f>(Tabela1[[#This Row],[x]]-H$3)*(Tabela1[[#This Row],[x]]-H$3) +(Tabela1[[#This Row],[y]]-H$4)*(Tabela1[[#This Row],[y]]-H$4)</f>
        <v>37700</v>
      </c>
      <c r="D5596" s="1">
        <f>IF(Tabela1[[#This Row],[promien]]&lt;40000,1,0)</f>
        <v>1</v>
      </c>
      <c r="E5596" s="1">
        <f>IF(Tabela1[[#This Row],[promien]]=40000,1,0)</f>
        <v>0</v>
      </c>
      <c r="F5596" s="1">
        <v>3.1658327376697639</v>
      </c>
      <c r="G5596" s="1">
        <v>2.4240084079970803E-2</v>
      </c>
    </row>
    <row r="5597" spans="1:7">
      <c r="A5597">
        <v>316</v>
      </c>
      <c r="B5597">
        <v>75</v>
      </c>
      <c r="C5597" s="1">
        <f>(Tabela1[[#This Row],[x]]-H$3)*(Tabela1[[#This Row],[x]]-H$3) +(Tabela1[[#This Row],[y]]-H$4)*(Tabela1[[#This Row],[y]]-H$4)</f>
        <v>29081</v>
      </c>
      <c r="D5597" s="1">
        <f>IF(Tabela1[[#This Row],[promien]]&lt;40000,1,0)</f>
        <v>1</v>
      </c>
      <c r="E5597" s="1">
        <f>IF(Tabela1[[#This Row],[promien]]=40000,1,0)</f>
        <v>0</v>
      </c>
      <c r="F5597" s="1">
        <v>3.1659817759514026</v>
      </c>
      <c r="G5597" s="1">
        <v>2.4389122361609505E-2</v>
      </c>
    </row>
    <row r="5598" spans="1:7">
      <c r="A5598">
        <v>73</v>
      </c>
      <c r="B5598">
        <v>216</v>
      </c>
      <c r="C5598" s="1">
        <f>(Tabela1[[#This Row],[x]]-H$3)*(Tabela1[[#This Row],[x]]-H$3) +(Tabela1[[#This Row],[y]]-H$4)*(Tabela1[[#This Row],[y]]-H$4)</f>
        <v>16385</v>
      </c>
      <c r="D5598" s="1">
        <f>IF(Tabela1[[#This Row],[promien]]&lt;40000,1,0)</f>
        <v>1</v>
      </c>
      <c r="E5598" s="1">
        <f>IF(Tabela1[[#This Row],[promien]]=40000,1,0)</f>
        <v>0</v>
      </c>
      <c r="F5598" s="1">
        <v>3.1661307609860665</v>
      </c>
      <c r="G5598" s="1">
        <v>2.4538107396273379E-2</v>
      </c>
    </row>
    <row r="5599" spans="1:7">
      <c r="A5599">
        <v>342</v>
      </c>
      <c r="B5599">
        <v>277</v>
      </c>
      <c r="C5599" s="1">
        <f>(Tabela1[[#This Row],[x]]-H$3)*(Tabela1[[#This Row],[x]]-H$3) +(Tabela1[[#This Row],[y]]-H$4)*(Tabela1[[#This Row],[y]]-H$4)</f>
        <v>26093</v>
      </c>
      <c r="D5599" s="1">
        <f>IF(Tabela1[[#This Row],[promien]]&lt;40000,1,0)</f>
        <v>1</v>
      </c>
      <c r="E5599" s="1">
        <f>IF(Tabela1[[#This Row],[promien]]=40000,1,0)</f>
        <v>0</v>
      </c>
      <c r="F5599" s="1">
        <v>3.166279692802286</v>
      </c>
      <c r="G5599" s="1">
        <v>2.4687039212492934E-2</v>
      </c>
    </row>
    <row r="5600" spans="1:7">
      <c r="A5600">
        <v>307</v>
      </c>
      <c r="B5600">
        <v>99</v>
      </c>
      <c r="C5600" s="1">
        <f>(Tabela1[[#This Row],[x]]-H$3)*(Tabela1[[#This Row],[x]]-H$3) +(Tabela1[[#This Row],[y]]-H$4)*(Tabela1[[#This Row],[y]]-H$4)</f>
        <v>21650</v>
      </c>
      <c r="D5600" s="1">
        <f>IF(Tabela1[[#This Row],[promien]]&lt;40000,1,0)</f>
        <v>1</v>
      </c>
      <c r="E5600" s="1">
        <f>IF(Tabela1[[#This Row],[promien]]=40000,1,0)</f>
        <v>0</v>
      </c>
      <c r="F5600" s="1">
        <v>3.1664285714285714</v>
      </c>
      <c r="G5600" s="1">
        <v>2.4835917838778254E-2</v>
      </c>
    </row>
    <row r="5601" spans="1:7">
      <c r="A5601">
        <v>248</v>
      </c>
      <c r="B5601">
        <v>48</v>
      </c>
      <c r="C5601" s="1">
        <f>(Tabela1[[#This Row],[x]]-H$3)*(Tabela1[[#This Row],[x]]-H$3) +(Tabela1[[#This Row],[y]]-H$4)*(Tabela1[[#This Row],[y]]-H$4)</f>
        <v>25408</v>
      </c>
      <c r="D5601" s="1">
        <f>IF(Tabela1[[#This Row],[promien]]&lt;40000,1,0)</f>
        <v>1</v>
      </c>
      <c r="E5601" s="1">
        <f>IF(Tabela1[[#This Row],[promien]]=40000,1,0)</f>
        <v>0</v>
      </c>
      <c r="F5601" s="1">
        <v>3.1665773968934121</v>
      </c>
      <c r="G5601" s="1">
        <v>2.4984743303618995E-2</v>
      </c>
    </row>
    <row r="5602" spans="1:7">
      <c r="A5602">
        <v>192</v>
      </c>
      <c r="B5602">
        <v>168</v>
      </c>
      <c r="C5602" s="1">
        <f>(Tabela1[[#This Row],[x]]-H$3)*(Tabela1[[#This Row],[x]]-H$3) +(Tabela1[[#This Row],[y]]-H$4)*(Tabela1[[#This Row],[y]]-H$4)</f>
        <v>1088</v>
      </c>
      <c r="D5602" s="1">
        <f>IF(Tabela1[[#This Row],[promien]]&lt;40000,1,0)</f>
        <v>1</v>
      </c>
      <c r="E5602" s="1">
        <f>IF(Tabela1[[#This Row],[promien]]=40000,1,0)</f>
        <v>0</v>
      </c>
      <c r="F5602" s="1">
        <v>3.1667261692252766</v>
      </c>
      <c r="G5602" s="1">
        <v>2.5133515635483494E-2</v>
      </c>
    </row>
    <row r="5603" spans="1:7">
      <c r="A5603">
        <v>238</v>
      </c>
      <c r="B5603">
        <v>342</v>
      </c>
      <c r="C5603" s="1">
        <f>(Tabela1[[#This Row],[x]]-H$3)*(Tabela1[[#This Row],[x]]-H$3) +(Tabela1[[#This Row],[y]]-H$4)*(Tabela1[[#This Row],[y]]-H$4)</f>
        <v>21608</v>
      </c>
      <c r="D5603" s="1">
        <f>IF(Tabela1[[#This Row],[promien]]&lt;40000,1,0)</f>
        <v>1</v>
      </c>
      <c r="E5603" s="1">
        <f>IF(Tabela1[[#This Row],[promien]]=40000,1,0)</f>
        <v>0</v>
      </c>
      <c r="F5603" s="1">
        <v>3.1668748884526146</v>
      </c>
      <c r="G5603" s="1">
        <v>2.528223486282144E-2</v>
      </c>
    </row>
    <row r="5604" spans="1:7">
      <c r="A5604">
        <v>255</v>
      </c>
      <c r="B5604">
        <v>213</v>
      </c>
      <c r="C5604" s="1">
        <f>(Tabela1[[#This Row],[x]]-H$3)*(Tabela1[[#This Row],[x]]-H$3) +(Tabela1[[#This Row],[y]]-H$4)*(Tabela1[[#This Row],[y]]-H$4)</f>
        <v>3194</v>
      </c>
      <c r="D5604" s="1">
        <f>IF(Tabela1[[#This Row],[promien]]&lt;40000,1,0)</f>
        <v>1</v>
      </c>
      <c r="E5604" s="1">
        <f>IF(Tabela1[[#This Row],[promien]]=40000,1,0)</f>
        <v>0</v>
      </c>
      <c r="F5604" s="1">
        <v>3.1670235546038543</v>
      </c>
      <c r="G5604" s="1">
        <v>2.5430901014061202E-2</v>
      </c>
    </row>
    <row r="5605" spans="1:7">
      <c r="A5605">
        <v>164</v>
      </c>
      <c r="B5605">
        <v>226</v>
      </c>
      <c r="C5605" s="1">
        <f>(Tabela1[[#This Row],[x]]-H$3)*(Tabela1[[#This Row],[x]]-H$3) +(Tabela1[[#This Row],[y]]-H$4)*(Tabela1[[#This Row],[y]]-H$4)</f>
        <v>1972</v>
      </c>
      <c r="D5605" s="1">
        <f>IF(Tabela1[[#This Row],[promien]]&lt;40000,1,0)</f>
        <v>1</v>
      </c>
      <c r="E5605" s="1">
        <f>IF(Tabela1[[#This Row],[promien]]=40000,1,0)</f>
        <v>0</v>
      </c>
      <c r="F5605" s="1">
        <v>3.1671721677074043</v>
      </c>
      <c r="G5605" s="1">
        <v>2.5579514117611168E-2</v>
      </c>
    </row>
    <row r="5606" spans="1:7">
      <c r="A5606">
        <v>11</v>
      </c>
      <c r="B5606">
        <v>31</v>
      </c>
      <c r="C5606" s="1">
        <f>(Tabela1[[#This Row],[x]]-H$3)*(Tabela1[[#This Row],[x]]-H$3) +(Tabela1[[#This Row],[y]]-H$4)*(Tabela1[[#This Row],[y]]-H$4)</f>
        <v>64282</v>
      </c>
      <c r="D5606" s="1">
        <f>IF(Tabela1[[#This Row],[promien]]&lt;40000,1,0)</f>
        <v>0</v>
      </c>
      <c r="E5606" s="1">
        <f>IF(Tabela1[[#This Row],[promien]]=40000,1,0)</f>
        <v>0</v>
      </c>
      <c r="F5606" s="1">
        <v>3.1666072065643953</v>
      </c>
      <c r="G5606" s="1">
        <v>2.50145529746022E-2</v>
      </c>
    </row>
    <row r="5607" spans="1:7">
      <c r="A5607">
        <v>348</v>
      </c>
      <c r="B5607">
        <v>209</v>
      </c>
      <c r="C5607" s="1">
        <f>(Tabela1[[#This Row],[x]]-H$3)*(Tabela1[[#This Row],[x]]-H$3) +(Tabela1[[#This Row],[y]]-H$4)*(Tabela1[[#This Row],[y]]-H$4)</f>
        <v>21985</v>
      </c>
      <c r="D5607" s="1">
        <f>IF(Tabela1[[#This Row],[promien]]&lt;40000,1,0)</f>
        <v>1</v>
      </c>
      <c r="E5607" s="1">
        <f>IF(Tabela1[[#This Row],[promien]]=40000,1,0)</f>
        <v>0</v>
      </c>
      <c r="F5607" s="1">
        <v>3.1667558409131442</v>
      </c>
      <c r="G5607" s="1">
        <v>2.5163187323351099E-2</v>
      </c>
    </row>
    <row r="5608" spans="1:7">
      <c r="A5608">
        <v>72</v>
      </c>
      <c r="B5608">
        <v>10</v>
      </c>
      <c r="C5608" s="1">
        <f>(Tabela1[[#This Row],[x]]-H$3)*(Tabela1[[#This Row],[x]]-H$3) +(Tabela1[[#This Row],[y]]-H$4)*(Tabela1[[#This Row],[y]]-H$4)</f>
        <v>52484</v>
      </c>
      <c r="D5608" s="1">
        <f>IF(Tabela1[[#This Row],[promien]]&lt;40000,1,0)</f>
        <v>0</v>
      </c>
      <c r="E5608" s="1">
        <f>IF(Tabela1[[#This Row],[promien]]=40000,1,0)</f>
        <v>0</v>
      </c>
      <c r="F5608" s="1">
        <v>3.1661911554921542</v>
      </c>
      <c r="G5608" s="1">
        <v>2.4598501902361125E-2</v>
      </c>
    </row>
    <row r="5609" spans="1:7">
      <c r="A5609">
        <v>326</v>
      </c>
      <c r="B5609">
        <v>277</v>
      </c>
      <c r="C5609" s="1">
        <f>(Tabela1[[#This Row],[x]]-H$3)*(Tabela1[[#This Row],[x]]-H$3) +(Tabela1[[#This Row],[y]]-H$4)*(Tabela1[[#This Row],[y]]-H$4)</f>
        <v>21805</v>
      </c>
      <c r="D5609" s="1">
        <f>IF(Tabela1[[#This Row],[promien]]&lt;40000,1,0)</f>
        <v>1</v>
      </c>
      <c r="E5609" s="1">
        <f>IF(Tabela1[[#This Row],[promien]]=40000,1,0)</f>
        <v>0</v>
      </c>
      <c r="F5609" s="1">
        <v>3.1663398110180068</v>
      </c>
      <c r="G5609" s="1">
        <v>2.4747157428213651E-2</v>
      </c>
    </row>
    <row r="5610" spans="1:7">
      <c r="A5610">
        <v>244</v>
      </c>
      <c r="B5610">
        <v>20</v>
      </c>
      <c r="C5610" s="1">
        <f>(Tabela1[[#This Row],[x]]-H$3)*(Tabela1[[#This Row],[x]]-H$3) +(Tabela1[[#This Row],[y]]-H$4)*(Tabela1[[#This Row],[y]]-H$4)</f>
        <v>34336</v>
      </c>
      <c r="D5610" s="1">
        <f>IF(Tabela1[[#This Row],[promien]]&lt;40000,1,0)</f>
        <v>1</v>
      </c>
      <c r="E5610" s="1">
        <f>IF(Tabela1[[#This Row],[promien]]=40000,1,0)</f>
        <v>0</v>
      </c>
      <c r="F5610" s="1">
        <v>3.1664884135472371</v>
      </c>
      <c r="G5610" s="1">
        <v>2.4895759957443975E-2</v>
      </c>
    </row>
    <row r="5611" spans="1:7">
      <c r="A5611">
        <v>79</v>
      </c>
      <c r="B5611">
        <v>279</v>
      </c>
      <c r="C5611" s="1">
        <f>(Tabela1[[#This Row],[x]]-H$3)*(Tabela1[[#This Row],[x]]-H$3) +(Tabela1[[#This Row],[y]]-H$4)*(Tabela1[[#This Row],[y]]-H$4)</f>
        <v>20882</v>
      </c>
      <c r="D5611" s="1">
        <f>IF(Tabela1[[#This Row],[promien]]&lt;40000,1,0)</f>
        <v>1</v>
      </c>
      <c r="E5611" s="1">
        <f>IF(Tabela1[[#This Row],[promien]]=40000,1,0)</f>
        <v>0</v>
      </c>
      <c r="F5611" s="1">
        <v>3.1666369631081803</v>
      </c>
      <c r="G5611" s="1">
        <v>2.5044309518387209E-2</v>
      </c>
    </row>
    <row r="5612" spans="1:7">
      <c r="A5612">
        <v>255</v>
      </c>
      <c r="B5612">
        <v>342</v>
      </c>
      <c r="C5612" s="1">
        <f>(Tabela1[[#This Row],[x]]-H$3)*(Tabela1[[#This Row],[x]]-H$3) +(Tabela1[[#This Row],[y]]-H$4)*(Tabela1[[#This Row],[y]]-H$4)</f>
        <v>23189</v>
      </c>
      <c r="D5612" s="1">
        <f>IF(Tabela1[[#This Row],[promien]]&lt;40000,1,0)</f>
        <v>1</v>
      </c>
      <c r="E5612" s="1">
        <f>IF(Tabela1[[#This Row],[promien]]=40000,1,0)</f>
        <v>0</v>
      </c>
      <c r="F5612" s="1">
        <v>3.1667854597291516</v>
      </c>
      <c r="G5612" s="1">
        <v>2.5192806139358481E-2</v>
      </c>
    </row>
    <row r="5613" spans="1:7">
      <c r="A5613">
        <v>78</v>
      </c>
      <c r="B5613">
        <v>343</v>
      </c>
      <c r="C5613" s="1">
        <f>(Tabela1[[#This Row],[x]]-H$3)*(Tabela1[[#This Row],[x]]-H$3) +(Tabela1[[#This Row],[y]]-H$4)*(Tabela1[[#This Row],[y]]-H$4)</f>
        <v>35333</v>
      </c>
      <c r="D5613" s="1">
        <f>IF(Tabela1[[#This Row],[promien]]&lt;40000,1,0)</f>
        <v>1</v>
      </c>
      <c r="E5613" s="1">
        <f>IF(Tabela1[[#This Row],[promien]]=40000,1,0)</f>
        <v>0</v>
      </c>
      <c r="F5613" s="1">
        <v>3.1669339034384465</v>
      </c>
      <c r="G5613" s="1">
        <v>2.534124984865338E-2</v>
      </c>
    </row>
    <row r="5614" spans="1:7">
      <c r="A5614">
        <v>201</v>
      </c>
      <c r="B5614">
        <v>237</v>
      </c>
      <c r="C5614" s="1">
        <f>(Tabela1[[#This Row],[x]]-H$3)*(Tabela1[[#This Row],[x]]-H$3) +(Tabela1[[#This Row],[y]]-H$4)*(Tabela1[[#This Row],[y]]-H$4)</f>
        <v>1370</v>
      </c>
      <c r="D5614" s="1">
        <f>IF(Tabela1[[#This Row],[promien]]&lt;40000,1,0)</f>
        <v>1</v>
      </c>
      <c r="E5614" s="1">
        <f>IF(Tabela1[[#This Row],[promien]]=40000,1,0)</f>
        <v>0</v>
      </c>
      <c r="F5614" s="1">
        <v>3.1670822942643393</v>
      </c>
      <c r="G5614" s="1">
        <v>2.5489640674546177E-2</v>
      </c>
    </row>
    <row r="5615" spans="1:7">
      <c r="A5615">
        <v>180</v>
      </c>
      <c r="B5615">
        <v>137</v>
      </c>
      <c r="C5615" s="1">
        <f>(Tabela1[[#This Row],[x]]-H$3)*(Tabela1[[#This Row],[x]]-H$3) +(Tabela1[[#This Row],[y]]-H$4)*(Tabela1[[#This Row],[y]]-H$4)</f>
        <v>4369</v>
      </c>
      <c r="D5615" s="1">
        <f>IF(Tabela1[[#This Row],[promien]]&lt;40000,1,0)</f>
        <v>1</v>
      </c>
      <c r="E5615" s="1">
        <f>IF(Tabela1[[#This Row],[promien]]=40000,1,0)</f>
        <v>0</v>
      </c>
      <c r="F5615" s="1">
        <v>3.1672306322350847</v>
      </c>
      <c r="G5615" s="1">
        <v>2.5637978645291604E-2</v>
      </c>
    </row>
    <row r="5616" spans="1:7">
      <c r="A5616">
        <v>201</v>
      </c>
      <c r="B5616">
        <v>255</v>
      </c>
      <c r="C5616" s="1">
        <f>(Tabela1[[#This Row],[x]]-H$3)*(Tabela1[[#This Row],[x]]-H$3) +(Tabela1[[#This Row],[y]]-H$4)*(Tabela1[[#This Row],[y]]-H$4)</f>
        <v>3026</v>
      </c>
      <c r="D5616" s="1">
        <f>IF(Tabela1[[#This Row],[promien]]&lt;40000,1,0)</f>
        <v>1</v>
      </c>
      <c r="E5616" s="1">
        <f>IF(Tabela1[[#This Row],[promien]]=40000,1,0)</f>
        <v>0</v>
      </c>
      <c r="F5616" s="1">
        <v>3.1673789173789175</v>
      </c>
      <c r="G5616" s="1">
        <v>2.5786263789124408E-2</v>
      </c>
    </row>
    <row r="5617" spans="1:7">
      <c r="A5617">
        <v>19</v>
      </c>
      <c r="B5617">
        <v>208</v>
      </c>
      <c r="C5617" s="1">
        <f>(Tabela1[[#This Row],[x]]-H$3)*(Tabela1[[#This Row],[x]]-H$3) +(Tabela1[[#This Row],[y]]-H$4)*(Tabela1[[#This Row],[y]]-H$4)</f>
        <v>32825</v>
      </c>
      <c r="D5617" s="1">
        <f>IF(Tabela1[[#This Row],[promien]]&lt;40000,1,0)</f>
        <v>1</v>
      </c>
      <c r="E5617" s="1">
        <f>IF(Tabela1[[#This Row],[promien]]=40000,1,0)</f>
        <v>0</v>
      </c>
      <c r="F5617" s="1">
        <v>3.167527149724052</v>
      </c>
      <c r="G5617" s="1">
        <v>2.5934496134258911E-2</v>
      </c>
    </row>
    <row r="5618" spans="1:7">
      <c r="A5618">
        <v>313</v>
      </c>
      <c r="B5618">
        <v>76</v>
      </c>
      <c r="C5618" s="1">
        <f>(Tabela1[[#This Row],[x]]-H$3)*(Tabela1[[#This Row],[x]]-H$3) +(Tabela1[[#This Row],[y]]-H$4)*(Tabela1[[#This Row],[y]]-H$4)</f>
        <v>28145</v>
      </c>
      <c r="D5618" s="1">
        <f>IF(Tabela1[[#This Row],[promien]]&lt;40000,1,0)</f>
        <v>1</v>
      </c>
      <c r="E5618" s="1">
        <f>IF(Tabela1[[#This Row],[promien]]=40000,1,0)</f>
        <v>0</v>
      </c>
      <c r="F5618" s="1">
        <v>3.167675329298683</v>
      </c>
      <c r="G5618" s="1">
        <v>2.6082675708889891E-2</v>
      </c>
    </row>
    <row r="5619" spans="1:7">
      <c r="A5619">
        <v>367</v>
      </c>
      <c r="B5619">
        <v>268</v>
      </c>
      <c r="C5619" s="1">
        <f>(Tabela1[[#This Row],[x]]-H$3)*(Tabela1[[#This Row],[x]]-H$3) +(Tabela1[[#This Row],[y]]-H$4)*(Tabela1[[#This Row],[y]]-H$4)</f>
        <v>32513</v>
      </c>
      <c r="D5619" s="1">
        <f>IF(Tabela1[[#This Row],[promien]]&lt;40000,1,0)</f>
        <v>1</v>
      </c>
      <c r="E5619" s="1">
        <f>IF(Tabela1[[#This Row],[promien]]=40000,1,0)</f>
        <v>0</v>
      </c>
      <c r="F5619" s="1">
        <v>3.1678234561309844</v>
      </c>
      <c r="G5619" s="1">
        <v>2.6230802541191256E-2</v>
      </c>
    </row>
    <row r="5620" spans="1:7">
      <c r="A5620">
        <v>14</v>
      </c>
      <c r="B5620">
        <v>13</v>
      </c>
      <c r="C5620" s="1">
        <f>(Tabela1[[#This Row],[x]]-H$3)*(Tabela1[[#This Row],[x]]-H$3) +(Tabela1[[#This Row],[y]]-H$4)*(Tabela1[[#This Row],[y]]-H$4)</f>
        <v>69565</v>
      </c>
      <c r="D5620" s="1">
        <f>IF(Tabela1[[#This Row],[promien]]&lt;40000,1,0)</f>
        <v>0</v>
      </c>
      <c r="E5620" s="1">
        <f>IF(Tabela1[[#This Row],[promien]]=40000,1,0)</f>
        <v>0</v>
      </c>
      <c r="F5620" s="1">
        <v>3.1672597864768681</v>
      </c>
      <c r="G5620" s="1">
        <v>2.5667132887075006E-2</v>
      </c>
    </row>
    <row r="5621" spans="1:7">
      <c r="A5621">
        <v>320</v>
      </c>
      <c r="B5621">
        <v>211</v>
      </c>
      <c r="C5621" s="1">
        <f>(Tabela1[[#This Row],[x]]-H$3)*(Tabela1[[#This Row],[x]]-H$3) +(Tabela1[[#This Row],[y]]-H$4)*(Tabela1[[#This Row],[y]]-H$4)</f>
        <v>14521</v>
      </c>
      <c r="D5621" s="1">
        <f>IF(Tabela1[[#This Row],[promien]]&lt;40000,1,0)</f>
        <v>1</v>
      </c>
      <c r="E5621" s="1">
        <f>IF(Tabela1[[#This Row],[promien]]=40000,1,0)</f>
        <v>0</v>
      </c>
      <c r="F5621" s="1">
        <v>3.167407934531222</v>
      </c>
      <c r="G5621" s="1">
        <v>2.5815280941428931E-2</v>
      </c>
    </row>
    <row r="5622" spans="1:7">
      <c r="A5622">
        <v>105</v>
      </c>
      <c r="B5622">
        <v>66</v>
      </c>
      <c r="C5622" s="1">
        <f>(Tabela1[[#This Row],[x]]-H$3)*(Tabela1[[#This Row],[x]]-H$3) +(Tabela1[[#This Row],[y]]-H$4)*(Tabela1[[#This Row],[y]]-H$4)</f>
        <v>26981</v>
      </c>
      <c r="D5622" s="1">
        <f>IF(Tabela1[[#This Row],[promien]]&lt;40000,1,0)</f>
        <v>1</v>
      </c>
      <c r="E5622" s="1">
        <f>IF(Tabela1[[#This Row],[promien]]=40000,1,0)</f>
        <v>0</v>
      </c>
      <c r="F5622" s="1">
        <v>3.1675560298826042</v>
      </c>
      <c r="G5622" s="1">
        <v>2.5963376292811091E-2</v>
      </c>
    </row>
    <row r="5623" spans="1:7">
      <c r="A5623">
        <v>358</v>
      </c>
      <c r="B5623">
        <v>87</v>
      </c>
      <c r="C5623" s="1">
        <f>(Tabela1[[#This Row],[x]]-H$3)*(Tabela1[[#This Row],[x]]-H$3) +(Tabela1[[#This Row],[y]]-H$4)*(Tabela1[[#This Row],[y]]-H$4)</f>
        <v>37733</v>
      </c>
      <c r="D5623" s="1">
        <f>IF(Tabela1[[#This Row],[promien]]&lt;40000,1,0)</f>
        <v>1</v>
      </c>
      <c r="E5623" s="1">
        <f>IF(Tabela1[[#This Row],[promien]]=40000,1,0)</f>
        <v>0</v>
      </c>
      <c r="F5623" s="1">
        <v>3.1677040725591321</v>
      </c>
      <c r="G5623" s="1">
        <v>2.6111418969338995E-2</v>
      </c>
    </row>
    <row r="5624" spans="1:7">
      <c r="A5624">
        <v>292</v>
      </c>
      <c r="B5624">
        <v>76</v>
      </c>
      <c r="C5624" s="1">
        <f>(Tabela1[[#This Row],[x]]-H$3)*(Tabela1[[#This Row],[x]]-H$3) +(Tabela1[[#This Row],[y]]-H$4)*(Tabela1[[#This Row],[y]]-H$4)</f>
        <v>23840</v>
      </c>
      <c r="D5624" s="1">
        <f>IF(Tabela1[[#This Row],[promien]]&lt;40000,1,0)</f>
        <v>1</v>
      </c>
      <c r="E5624" s="1">
        <f>IF(Tabela1[[#This Row],[promien]]=40000,1,0)</f>
        <v>0</v>
      </c>
      <c r="F5624" s="1">
        <v>3.1678520625889046</v>
      </c>
      <c r="G5624" s="1">
        <v>2.62594089991115E-2</v>
      </c>
    </row>
    <row r="5625" spans="1:7">
      <c r="A5625">
        <v>42</v>
      </c>
      <c r="B5625">
        <v>80</v>
      </c>
      <c r="C5625" s="1">
        <f>(Tabela1[[#This Row],[x]]-H$3)*(Tabela1[[#This Row],[x]]-H$3) +(Tabela1[[#This Row],[y]]-H$4)*(Tabela1[[#This Row],[y]]-H$4)</f>
        <v>39364</v>
      </c>
      <c r="D5625" s="1">
        <f>IF(Tabela1[[#This Row],[promien]]&lt;40000,1,0)</f>
        <v>1</v>
      </c>
      <c r="E5625" s="1">
        <f>IF(Tabela1[[#This Row],[promien]]=40000,1,0)</f>
        <v>0</v>
      </c>
      <c r="F5625" s="1">
        <v>3.1680000000000001</v>
      </c>
      <c r="G5625" s="1">
        <v>2.6407346410207033E-2</v>
      </c>
    </row>
    <row r="5626" spans="1:7">
      <c r="A5626">
        <v>245</v>
      </c>
      <c r="B5626">
        <v>28</v>
      </c>
      <c r="C5626" s="1">
        <f>(Tabela1[[#This Row],[x]]-H$3)*(Tabela1[[#This Row],[x]]-H$3) +(Tabela1[[#This Row],[y]]-H$4)*(Tabela1[[#This Row],[y]]-H$4)</f>
        <v>31609</v>
      </c>
      <c r="D5626" s="1">
        <f>IF(Tabela1[[#This Row],[promien]]&lt;40000,1,0)</f>
        <v>1</v>
      </c>
      <c r="E5626" s="1">
        <f>IF(Tabela1[[#This Row],[promien]]=40000,1,0)</f>
        <v>0</v>
      </c>
      <c r="F5626" s="1">
        <v>3.1681478848204763</v>
      </c>
      <c r="G5626" s="1">
        <v>2.6555231230683152E-2</v>
      </c>
    </row>
    <row r="5627" spans="1:7">
      <c r="A5627">
        <v>226</v>
      </c>
      <c r="B5627">
        <v>373</v>
      </c>
      <c r="C5627" s="1">
        <f>(Tabela1[[#This Row],[x]]-H$3)*(Tabela1[[#This Row],[x]]-H$3) +(Tabela1[[#This Row],[y]]-H$4)*(Tabela1[[#This Row],[y]]-H$4)</f>
        <v>30605</v>
      </c>
      <c r="D5627" s="1">
        <f>IF(Tabela1[[#This Row],[promien]]&lt;40000,1,0)</f>
        <v>1</v>
      </c>
      <c r="E5627" s="1">
        <f>IF(Tabela1[[#This Row],[promien]]=40000,1,0)</f>
        <v>0</v>
      </c>
      <c r="F5627" s="1">
        <v>3.1682957170783723</v>
      </c>
      <c r="G5627" s="1">
        <v>2.6703063488579204E-2</v>
      </c>
    </row>
    <row r="5628" spans="1:7">
      <c r="A5628">
        <v>129</v>
      </c>
      <c r="B5628">
        <v>58</v>
      </c>
      <c r="C5628" s="1">
        <f>(Tabela1[[#This Row],[x]]-H$3)*(Tabela1[[#This Row],[x]]-H$3) +(Tabela1[[#This Row],[y]]-H$4)*(Tabela1[[#This Row],[y]]-H$4)</f>
        <v>25205</v>
      </c>
      <c r="D5628" s="1">
        <f>IF(Tabela1[[#This Row],[promien]]&lt;40000,1,0)</f>
        <v>1</v>
      </c>
      <c r="E5628" s="1">
        <f>IF(Tabela1[[#This Row],[promien]]=40000,1,0)</f>
        <v>0</v>
      </c>
      <c r="F5628" s="1">
        <v>3.1684434968017059</v>
      </c>
      <c r="G5628" s="1">
        <v>2.6850843211912778E-2</v>
      </c>
    </row>
    <row r="5629" spans="1:7">
      <c r="A5629">
        <v>140</v>
      </c>
      <c r="B5629">
        <v>225</v>
      </c>
      <c r="C5629" s="1">
        <f>(Tabela1[[#This Row],[x]]-H$3)*(Tabela1[[#This Row],[x]]-H$3) +(Tabela1[[#This Row],[y]]-H$4)*(Tabela1[[#This Row],[y]]-H$4)</f>
        <v>4225</v>
      </c>
      <c r="D5629" s="1">
        <f>IF(Tabela1[[#This Row],[promien]]&lt;40000,1,0)</f>
        <v>1</v>
      </c>
      <c r="E5629" s="1">
        <f>IF(Tabela1[[#This Row],[promien]]=40000,1,0)</f>
        <v>0</v>
      </c>
      <c r="F5629" s="1">
        <v>3.1685912240184759</v>
      </c>
      <c r="G5629" s="1">
        <v>2.6998570428682811E-2</v>
      </c>
    </row>
    <row r="5630" spans="1:7">
      <c r="A5630">
        <v>175</v>
      </c>
      <c r="B5630">
        <v>357</v>
      </c>
      <c r="C5630" s="1">
        <f>(Tabela1[[#This Row],[x]]-H$3)*(Tabela1[[#This Row],[x]]-H$3) +(Tabela1[[#This Row],[y]]-H$4)*(Tabela1[[#This Row],[y]]-H$4)</f>
        <v>25274</v>
      </c>
      <c r="D5630" s="1">
        <f>IF(Tabela1[[#This Row],[promien]]&lt;40000,1,0)</f>
        <v>1</v>
      </c>
      <c r="E5630" s="1">
        <f>IF(Tabela1[[#This Row],[promien]]=40000,1,0)</f>
        <v>0</v>
      </c>
      <c r="F5630" s="1">
        <v>3.1687388987566609</v>
      </c>
      <c r="G5630" s="1">
        <v>2.7146245166867811E-2</v>
      </c>
    </row>
    <row r="5631" spans="1:7">
      <c r="A5631">
        <v>135</v>
      </c>
      <c r="B5631">
        <v>58</v>
      </c>
      <c r="C5631" s="1">
        <f>(Tabela1[[#This Row],[x]]-H$3)*(Tabela1[[#This Row],[x]]-H$3) +(Tabela1[[#This Row],[y]]-H$4)*(Tabela1[[#This Row],[y]]-H$4)</f>
        <v>24389</v>
      </c>
      <c r="D5631" s="1">
        <f>IF(Tabela1[[#This Row],[promien]]&lt;40000,1,0)</f>
        <v>1</v>
      </c>
      <c r="E5631" s="1">
        <f>IF(Tabela1[[#This Row],[promien]]=40000,1,0)</f>
        <v>0</v>
      </c>
      <c r="F5631" s="1">
        <v>3.1688865210442194</v>
      </c>
      <c r="G5631" s="1">
        <v>2.7293867454426302E-2</v>
      </c>
    </row>
    <row r="5632" spans="1:7">
      <c r="A5632">
        <v>76</v>
      </c>
      <c r="B5632">
        <v>209</v>
      </c>
      <c r="C5632" s="1">
        <f>(Tabela1[[#This Row],[x]]-H$3)*(Tabela1[[#This Row],[x]]-H$3) +(Tabela1[[#This Row],[y]]-H$4)*(Tabela1[[#This Row],[y]]-H$4)</f>
        <v>15457</v>
      </c>
      <c r="D5632" s="1">
        <f>IF(Tabela1[[#This Row],[promien]]&lt;40000,1,0)</f>
        <v>1</v>
      </c>
      <c r="E5632" s="1">
        <f>IF(Tabela1[[#This Row],[promien]]=40000,1,0)</f>
        <v>0</v>
      </c>
      <c r="F5632" s="1">
        <v>3.1690340909090908</v>
      </c>
      <c r="G5632" s="1">
        <v>2.7441437319297712E-2</v>
      </c>
    </row>
    <row r="5633" spans="1:7">
      <c r="A5633">
        <v>254</v>
      </c>
      <c r="B5633">
        <v>143</v>
      </c>
      <c r="C5633" s="1">
        <f>(Tabela1[[#This Row],[x]]-H$3)*(Tabela1[[#This Row],[x]]-H$3) +(Tabela1[[#This Row],[y]]-H$4)*(Tabela1[[#This Row],[y]]-H$4)</f>
        <v>6165</v>
      </c>
      <c r="D5633" s="1">
        <f>IF(Tabela1[[#This Row],[promien]]&lt;40000,1,0)</f>
        <v>1</v>
      </c>
      <c r="E5633" s="1">
        <f>IF(Tabela1[[#This Row],[promien]]=40000,1,0)</f>
        <v>0</v>
      </c>
      <c r="F5633" s="1">
        <v>3.1691816083791942</v>
      </c>
      <c r="G5633" s="1">
        <v>2.7588954789401043E-2</v>
      </c>
    </row>
    <row r="5634" spans="1:7">
      <c r="A5634">
        <v>147</v>
      </c>
      <c r="B5634">
        <v>349</v>
      </c>
      <c r="C5634" s="1">
        <f>(Tabela1[[#This Row],[x]]-H$3)*(Tabela1[[#This Row],[x]]-H$3) +(Tabela1[[#This Row],[y]]-H$4)*(Tabela1[[#This Row],[y]]-H$4)</f>
        <v>25010</v>
      </c>
      <c r="D5634" s="1">
        <f>IF(Tabela1[[#This Row],[promien]]&lt;40000,1,0)</f>
        <v>1</v>
      </c>
      <c r="E5634" s="1">
        <f>IF(Tabela1[[#This Row],[promien]]=40000,1,0)</f>
        <v>0</v>
      </c>
      <c r="F5634" s="1">
        <v>3.169329073482428</v>
      </c>
      <c r="G5634" s="1">
        <v>2.7736419892634867E-2</v>
      </c>
    </row>
    <row r="5635" spans="1:7">
      <c r="A5635">
        <v>361</v>
      </c>
      <c r="B5635">
        <v>240</v>
      </c>
      <c r="C5635" s="1">
        <f>(Tabela1[[#This Row],[x]]-H$3)*(Tabela1[[#This Row],[x]]-H$3) +(Tabela1[[#This Row],[y]]-H$4)*(Tabela1[[#This Row],[y]]-H$4)</f>
        <v>27521</v>
      </c>
      <c r="D5635" s="1">
        <f>IF(Tabela1[[#This Row],[promien]]&lt;40000,1,0)</f>
        <v>1</v>
      </c>
      <c r="E5635" s="1">
        <f>IF(Tabela1[[#This Row],[promien]]=40000,1,0)</f>
        <v>0</v>
      </c>
      <c r="F5635" s="1">
        <v>3.1694764862466727</v>
      </c>
      <c r="G5635" s="1">
        <v>2.7883832656879548E-2</v>
      </c>
    </row>
    <row r="5636" spans="1:7">
      <c r="A5636">
        <v>81</v>
      </c>
      <c r="B5636">
        <v>377</v>
      </c>
      <c r="C5636" s="1">
        <f>(Tabela1[[#This Row],[x]]-H$3)*(Tabela1[[#This Row],[x]]-H$3) +(Tabela1[[#This Row],[y]]-H$4)*(Tabela1[[#This Row],[y]]-H$4)</f>
        <v>45490</v>
      </c>
      <c r="D5636" s="1">
        <f>IF(Tabela1[[#This Row],[promien]]&lt;40000,1,0)</f>
        <v>0</v>
      </c>
      <c r="E5636" s="1">
        <f>IF(Tabela1[[#This Row],[promien]]=40000,1,0)</f>
        <v>0</v>
      </c>
      <c r="F5636" s="1">
        <v>3.1689141234918381</v>
      </c>
      <c r="G5636" s="1">
        <v>2.7321469902044981E-2</v>
      </c>
    </row>
    <row r="5637" spans="1:7">
      <c r="A5637">
        <v>246</v>
      </c>
      <c r="B5637">
        <v>127</v>
      </c>
      <c r="C5637" s="1">
        <f>(Tabela1[[#This Row],[x]]-H$3)*(Tabela1[[#This Row],[x]]-H$3) +(Tabela1[[#This Row],[y]]-H$4)*(Tabela1[[#This Row],[y]]-H$4)</f>
        <v>7445</v>
      </c>
      <c r="D5637" s="1">
        <f>IF(Tabela1[[#This Row],[promien]]&lt;40000,1,0)</f>
        <v>1</v>
      </c>
      <c r="E5637" s="1">
        <f>IF(Tabela1[[#This Row],[promien]]=40000,1,0)</f>
        <v>0</v>
      </c>
      <c r="F5637" s="1">
        <v>3.1690615575660814</v>
      </c>
      <c r="G5637" s="1">
        <v>2.7468903976288317E-2</v>
      </c>
    </row>
    <row r="5638" spans="1:7">
      <c r="A5638">
        <v>77</v>
      </c>
      <c r="B5638">
        <v>70</v>
      </c>
      <c r="C5638" s="1">
        <f>(Tabela1[[#This Row],[x]]-H$3)*(Tabela1[[#This Row],[x]]-H$3) +(Tabela1[[#This Row],[y]]-H$4)*(Tabela1[[#This Row],[y]]-H$4)</f>
        <v>32029</v>
      </c>
      <c r="D5638" s="1">
        <f>IF(Tabela1[[#This Row],[promien]]&lt;40000,1,0)</f>
        <v>1</v>
      </c>
      <c r="E5638" s="1">
        <f>IF(Tabela1[[#This Row],[promien]]=40000,1,0)</f>
        <v>0</v>
      </c>
      <c r="F5638" s="1">
        <v>3.1692089393401917</v>
      </c>
      <c r="G5638" s="1">
        <v>2.7616285750398539E-2</v>
      </c>
    </row>
    <row r="5639" spans="1:7">
      <c r="A5639">
        <v>21</v>
      </c>
      <c r="B5639">
        <v>115</v>
      </c>
      <c r="C5639" s="1">
        <f>(Tabela1[[#This Row],[x]]-H$3)*(Tabela1[[#This Row],[x]]-H$3) +(Tabela1[[#This Row],[y]]-H$4)*(Tabela1[[#This Row],[y]]-H$4)</f>
        <v>39266</v>
      </c>
      <c r="D5639" s="1">
        <f>IF(Tabela1[[#This Row],[promien]]&lt;40000,1,0)</f>
        <v>1</v>
      </c>
      <c r="E5639" s="1">
        <f>IF(Tabela1[[#This Row],[promien]]=40000,1,0)</f>
        <v>0</v>
      </c>
      <c r="F5639" s="1">
        <v>3.1693562688419932</v>
      </c>
      <c r="G5639" s="1">
        <v>2.7763615252200058E-2</v>
      </c>
    </row>
    <row r="5640" spans="1:7">
      <c r="A5640">
        <v>85</v>
      </c>
      <c r="B5640">
        <v>13</v>
      </c>
      <c r="C5640" s="1">
        <f>(Tabela1[[#This Row],[x]]-H$3)*(Tabela1[[#This Row],[x]]-H$3) +(Tabela1[[#This Row],[y]]-H$4)*(Tabela1[[#This Row],[y]]-H$4)</f>
        <v>48194</v>
      </c>
      <c r="D5640" s="1">
        <f>IF(Tabela1[[#This Row],[promien]]&lt;40000,1,0)</f>
        <v>0</v>
      </c>
      <c r="E5640" s="1">
        <f>IF(Tabela1[[#This Row],[promien]]=40000,1,0)</f>
        <v>0</v>
      </c>
      <c r="F5640" s="1">
        <v>3.1687943262411347</v>
      </c>
      <c r="G5640" s="1">
        <v>2.7201672651341546E-2</v>
      </c>
    </row>
    <row r="5641" spans="1:7">
      <c r="A5641">
        <v>224</v>
      </c>
      <c r="B5641">
        <v>160</v>
      </c>
      <c r="C5641" s="1">
        <f>(Tabela1[[#This Row],[x]]-H$3)*(Tabela1[[#This Row],[x]]-H$3) +(Tabela1[[#This Row],[y]]-H$4)*(Tabela1[[#This Row],[y]]-H$4)</f>
        <v>2176</v>
      </c>
      <c r="D5641" s="1">
        <f>IF(Tabela1[[#This Row],[promien]]&lt;40000,1,0)</f>
        <v>1</v>
      </c>
      <c r="E5641" s="1">
        <f>IF(Tabela1[[#This Row],[promien]]=40000,1,0)</f>
        <v>0</v>
      </c>
      <c r="F5641" s="1">
        <v>3.1689416770076226</v>
      </c>
      <c r="G5641" s="1">
        <v>2.7349023417829521E-2</v>
      </c>
    </row>
    <row r="5642" spans="1:7">
      <c r="A5642">
        <v>228</v>
      </c>
      <c r="B5642">
        <v>229</v>
      </c>
      <c r="C5642" s="1">
        <f>(Tabela1[[#This Row],[x]]-H$3)*(Tabela1[[#This Row],[x]]-H$3) +(Tabela1[[#This Row],[y]]-H$4)*(Tabela1[[#This Row],[y]]-H$4)</f>
        <v>1625</v>
      </c>
      <c r="D5642" s="1">
        <f>IF(Tabela1[[#This Row],[promien]]&lt;40000,1,0)</f>
        <v>1</v>
      </c>
      <c r="E5642" s="1">
        <f>IF(Tabela1[[#This Row],[promien]]=40000,1,0)</f>
        <v>0</v>
      </c>
      <c r="F5642" s="1">
        <v>3.1690889755405887</v>
      </c>
      <c r="G5642" s="1">
        <v>2.7496321950795544E-2</v>
      </c>
    </row>
    <row r="5643" spans="1:7">
      <c r="A5643">
        <v>393</v>
      </c>
      <c r="B5643">
        <v>75</v>
      </c>
      <c r="C5643" s="1">
        <f>(Tabela1[[#This Row],[x]]-H$3)*(Tabela1[[#This Row],[x]]-H$3) +(Tabela1[[#This Row],[y]]-H$4)*(Tabela1[[#This Row],[y]]-H$4)</f>
        <v>52874</v>
      </c>
      <c r="D5643" s="1">
        <f>IF(Tabela1[[#This Row],[promien]]&lt;40000,1,0)</f>
        <v>0</v>
      </c>
      <c r="E5643" s="1">
        <f>IF(Tabela1[[#This Row],[promien]]=40000,1,0)</f>
        <v>0</v>
      </c>
      <c r="F5643" s="1">
        <v>3.1685273790536947</v>
      </c>
      <c r="G5643" s="1">
        <v>2.6934725463901632E-2</v>
      </c>
    </row>
    <row r="5644" spans="1:7">
      <c r="A5644">
        <v>204</v>
      </c>
      <c r="B5644">
        <v>383</v>
      </c>
      <c r="C5644" s="1">
        <f>(Tabela1[[#This Row],[x]]-H$3)*(Tabela1[[#This Row],[x]]-H$3) +(Tabela1[[#This Row],[y]]-H$4)*(Tabela1[[#This Row],[y]]-H$4)</f>
        <v>33505</v>
      </c>
      <c r="D5644" s="1">
        <f>IF(Tabela1[[#This Row],[promien]]&lt;40000,1,0)</f>
        <v>1</v>
      </c>
      <c r="E5644" s="1">
        <f>IF(Tabela1[[#This Row],[promien]]=40000,1,0)</f>
        <v>0</v>
      </c>
      <c r="F5644" s="1">
        <v>3.1686746987951806</v>
      </c>
      <c r="G5644" s="1">
        <v>2.7082045205387484E-2</v>
      </c>
    </row>
    <row r="5645" spans="1:7">
      <c r="A5645">
        <v>227</v>
      </c>
      <c r="B5645">
        <v>135</v>
      </c>
      <c r="C5645" s="1">
        <f>(Tabela1[[#This Row],[x]]-H$3)*(Tabela1[[#This Row],[x]]-H$3) +(Tabela1[[#This Row],[y]]-H$4)*(Tabela1[[#This Row],[y]]-H$4)</f>
        <v>4954</v>
      </c>
      <c r="D5645" s="1">
        <f>IF(Tabela1[[#This Row],[promien]]&lt;40000,1,0)</f>
        <v>1</v>
      </c>
      <c r="E5645" s="1">
        <f>IF(Tabela1[[#This Row],[promien]]=40000,1,0)</f>
        <v>0</v>
      </c>
      <c r="F5645" s="1">
        <v>3.1688219663418953</v>
      </c>
      <c r="G5645" s="1">
        <v>2.7229312752102164E-2</v>
      </c>
    </row>
    <row r="5646" spans="1:7">
      <c r="A5646">
        <v>360</v>
      </c>
      <c r="B5646">
        <v>383</v>
      </c>
      <c r="C5646" s="1">
        <f>(Tabela1[[#This Row],[x]]-H$3)*(Tabela1[[#This Row],[x]]-H$3) +(Tabela1[[#This Row],[y]]-H$4)*(Tabela1[[#This Row],[y]]-H$4)</f>
        <v>59089</v>
      </c>
      <c r="D5646" s="1">
        <f>IF(Tabela1[[#This Row],[promien]]&lt;40000,1,0)</f>
        <v>0</v>
      </c>
      <c r="E5646" s="1">
        <f>IF(Tabela1[[#This Row],[promien]]=40000,1,0)</f>
        <v>0</v>
      </c>
      <c r="F5646" s="1">
        <v>3.1682607155508324</v>
      </c>
      <c r="G5646" s="1">
        <v>2.6668061961039324E-2</v>
      </c>
    </row>
    <row r="5647" spans="1:7">
      <c r="A5647">
        <v>68</v>
      </c>
      <c r="B5647">
        <v>113</v>
      </c>
      <c r="C5647" s="1">
        <f>(Tabela1[[#This Row],[x]]-H$3)*(Tabela1[[#This Row],[x]]-H$3) +(Tabela1[[#This Row],[y]]-H$4)*(Tabela1[[#This Row],[y]]-H$4)</f>
        <v>24993</v>
      </c>
      <c r="D5647" s="1">
        <f>IF(Tabela1[[#This Row],[promien]]&lt;40000,1,0)</f>
        <v>1</v>
      </c>
      <c r="E5647" s="1">
        <f>IF(Tabela1[[#This Row],[promien]]=40000,1,0)</f>
        <v>0</v>
      </c>
      <c r="F5647" s="1">
        <v>3.1684080042500442</v>
      </c>
      <c r="G5647" s="1">
        <v>2.6815350660251092E-2</v>
      </c>
    </row>
    <row r="5648" spans="1:7">
      <c r="A5648">
        <v>135</v>
      </c>
      <c r="B5648">
        <v>36</v>
      </c>
      <c r="C5648" s="1">
        <f>(Tabela1[[#This Row],[x]]-H$3)*(Tabela1[[#This Row],[x]]-H$3) +(Tabela1[[#This Row],[y]]-H$4)*(Tabela1[[#This Row],[y]]-H$4)</f>
        <v>31121</v>
      </c>
      <c r="D5648" s="1">
        <f>IF(Tabela1[[#This Row],[promien]]&lt;40000,1,0)</f>
        <v>1</v>
      </c>
      <c r="E5648" s="1">
        <f>IF(Tabela1[[#This Row],[promien]]=40000,1,0)</f>
        <v>0</v>
      </c>
      <c r="F5648" s="1">
        <v>3.1685552407932009</v>
      </c>
      <c r="G5648" s="1">
        <v>2.6962587203407828E-2</v>
      </c>
    </row>
    <row r="5649" spans="1:7">
      <c r="A5649">
        <v>201</v>
      </c>
      <c r="B5649">
        <v>212</v>
      </c>
      <c r="C5649" s="1">
        <f>(Tabela1[[#This Row],[x]]-H$3)*(Tabela1[[#This Row],[x]]-H$3) +(Tabela1[[#This Row],[y]]-H$4)*(Tabela1[[#This Row],[y]]-H$4)</f>
        <v>145</v>
      </c>
      <c r="D5649" s="1">
        <f>IF(Tabela1[[#This Row],[promien]]&lt;40000,1,0)</f>
        <v>1</v>
      </c>
      <c r="E5649" s="1">
        <f>IF(Tabela1[[#This Row],[promien]]=40000,1,0)</f>
        <v>0</v>
      </c>
      <c r="F5649" s="1">
        <v>3.1687024252080014</v>
      </c>
      <c r="G5649" s="1">
        <v>2.7109771618208267E-2</v>
      </c>
    </row>
    <row r="5650" spans="1:7">
      <c r="A5650">
        <v>117</v>
      </c>
      <c r="B5650">
        <v>46</v>
      </c>
      <c r="C5650" s="1">
        <f>(Tabela1[[#This Row],[x]]-H$3)*(Tabela1[[#This Row],[x]]-H$3) +(Tabela1[[#This Row],[y]]-H$4)*(Tabela1[[#This Row],[y]]-H$4)</f>
        <v>30605</v>
      </c>
      <c r="D5650" s="1">
        <f>IF(Tabela1[[#This Row],[promien]]&lt;40000,1,0)</f>
        <v>1</v>
      </c>
      <c r="E5650" s="1">
        <f>IF(Tabela1[[#This Row],[promien]]=40000,1,0)</f>
        <v>0</v>
      </c>
      <c r="F5650" s="1">
        <v>3.1688495575221238</v>
      </c>
      <c r="G5650" s="1">
        <v>2.7256903932330712E-2</v>
      </c>
    </row>
    <row r="5651" spans="1:7">
      <c r="A5651">
        <v>257</v>
      </c>
      <c r="B5651">
        <v>121</v>
      </c>
      <c r="C5651" s="1">
        <f>(Tabela1[[#This Row],[x]]-H$3)*(Tabela1[[#This Row],[x]]-H$3) +(Tabela1[[#This Row],[y]]-H$4)*(Tabela1[[#This Row],[y]]-H$4)</f>
        <v>9490</v>
      </c>
      <c r="D5651" s="1">
        <f>IF(Tabela1[[#This Row],[promien]]&lt;40000,1,0)</f>
        <v>1</v>
      </c>
      <c r="E5651" s="1">
        <f>IF(Tabela1[[#This Row],[promien]]=40000,1,0)</f>
        <v>0</v>
      </c>
      <c r="F5651" s="1">
        <v>3.1689966377632279</v>
      </c>
      <c r="G5651" s="1">
        <v>2.7403984173434814E-2</v>
      </c>
    </row>
    <row r="5652" spans="1:7">
      <c r="A5652">
        <v>101</v>
      </c>
      <c r="B5652">
        <v>148</v>
      </c>
      <c r="C5652" s="1">
        <f>(Tabela1[[#This Row],[x]]-H$3)*(Tabela1[[#This Row],[x]]-H$3) +(Tabela1[[#This Row],[y]]-H$4)*(Tabela1[[#This Row],[y]]-H$4)</f>
        <v>12505</v>
      </c>
      <c r="D5652" s="1">
        <f>IF(Tabela1[[#This Row],[promien]]&lt;40000,1,0)</f>
        <v>1</v>
      </c>
      <c r="E5652" s="1">
        <f>IF(Tabela1[[#This Row],[promien]]=40000,1,0)</f>
        <v>0</v>
      </c>
      <c r="F5652" s="1">
        <v>3.1691436659589525</v>
      </c>
      <c r="G5652" s="1">
        <v>2.7551012369159356E-2</v>
      </c>
    </row>
    <row r="5653" spans="1:7">
      <c r="A5653">
        <v>213</v>
      </c>
      <c r="B5653">
        <v>374</v>
      </c>
      <c r="C5653" s="1">
        <f>(Tabela1[[#This Row],[x]]-H$3)*(Tabela1[[#This Row],[x]]-H$3) +(Tabela1[[#This Row],[y]]-H$4)*(Tabela1[[#This Row],[y]]-H$4)</f>
        <v>30445</v>
      </c>
      <c r="D5653" s="1">
        <f>IF(Tabela1[[#This Row],[promien]]&lt;40000,1,0)</f>
        <v>1</v>
      </c>
      <c r="E5653" s="1">
        <f>IF(Tabela1[[#This Row],[promien]]=40000,1,0)</f>
        <v>0</v>
      </c>
      <c r="F5653" s="1">
        <v>3.1692906421369185</v>
      </c>
      <c r="G5653" s="1">
        <v>2.7697988547125352E-2</v>
      </c>
    </row>
    <row r="5654" spans="1:7">
      <c r="A5654">
        <v>188</v>
      </c>
      <c r="B5654">
        <v>216</v>
      </c>
      <c r="C5654" s="1">
        <f>(Tabela1[[#This Row],[x]]-H$3)*(Tabela1[[#This Row],[x]]-H$3) +(Tabela1[[#This Row],[y]]-H$4)*(Tabela1[[#This Row],[y]]-H$4)</f>
        <v>400</v>
      </c>
      <c r="D5654" s="1">
        <f>IF(Tabela1[[#This Row],[promien]]&lt;40000,1,0)</f>
        <v>1</v>
      </c>
      <c r="E5654" s="1">
        <f>IF(Tabela1[[#This Row],[promien]]=40000,1,0)</f>
        <v>0</v>
      </c>
      <c r="F5654" s="1">
        <v>3.1694375663247261</v>
      </c>
      <c r="G5654" s="1">
        <v>2.7844912734932947E-2</v>
      </c>
    </row>
    <row r="5655" spans="1:7">
      <c r="A5655">
        <v>362</v>
      </c>
      <c r="B5655">
        <v>395</v>
      </c>
      <c r="C5655" s="1">
        <f>(Tabela1[[#This Row],[x]]-H$3)*(Tabela1[[#This Row],[x]]-H$3) +(Tabela1[[#This Row],[y]]-H$4)*(Tabela1[[#This Row],[y]]-H$4)</f>
        <v>64269</v>
      </c>
      <c r="D5655" s="1">
        <f>IF(Tabela1[[#This Row],[promien]]&lt;40000,1,0)</f>
        <v>0</v>
      </c>
      <c r="E5655" s="1">
        <f>IF(Tabela1[[#This Row],[promien]]=40000,1,0)</f>
        <v>0</v>
      </c>
      <c r="F5655" s="1">
        <v>3.1688770999115827</v>
      </c>
      <c r="G5655" s="1">
        <v>2.7284446321789613E-2</v>
      </c>
    </row>
    <row r="5656" spans="1:7">
      <c r="A5656">
        <v>130</v>
      </c>
      <c r="B5656">
        <v>357</v>
      </c>
      <c r="C5656" s="1">
        <f>(Tabela1[[#This Row],[x]]-H$3)*(Tabela1[[#This Row],[x]]-H$3) +(Tabela1[[#This Row],[y]]-H$4)*(Tabela1[[#This Row],[y]]-H$4)</f>
        <v>29549</v>
      </c>
      <c r="D5656" s="1">
        <f>IF(Tabela1[[#This Row],[promien]]&lt;40000,1,0)</f>
        <v>1</v>
      </c>
      <c r="E5656" s="1">
        <f>IF(Tabela1[[#This Row],[promien]]=40000,1,0)</f>
        <v>0</v>
      </c>
      <c r="F5656" s="1">
        <v>3.1690240452616689</v>
      </c>
      <c r="G5656" s="1">
        <v>2.7431391671875804E-2</v>
      </c>
    </row>
    <row r="5657" spans="1:7">
      <c r="A5657">
        <v>75</v>
      </c>
      <c r="B5657">
        <v>345</v>
      </c>
      <c r="C5657" s="1">
        <f>(Tabela1[[#This Row],[x]]-H$3)*(Tabela1[[#This Row],[x]]-H$3) +(Tabela1[[#This Row],[y]]-H$4)*(Tabela1[[#This Row],[y]]-H$4)</f>
        <v>36650</v>
      </c>
      <c r="D5657" s="1">
        <f>IF(Tabela1[[#This Row],[promien]]&lt;40000,1,0)</f>
        <v>1</v>
      </c>
      <c r="E5657" s="1">
        <f>IF(Tabela1[[#This Row],[promien]]=40000,1,0)</f>
        <v>0</v>
      </c>
      <c r="F5657" s="1">
        <v>3.1691709386600673</v>
      </c>
      <c r="G5657" s="1">
        <v>2.7578285070274156E-2</v>
      </c>
    </row>
    <row r="5658" spans="1:7">
      <c r="A5658">
        <v>12</v>
      </c>
      <c r="B5658">
        <v>34</v>
      </c>
      <c r="C5658" s="1">
        <f>(Tabela1[[#This Row],[x]]-H$3)*(Tabela1[[#This Row],[x]]-H$3) +(Tabela1[[#This Row],[y]]-H$4)*(Tabela1[[#This Row],[y]]-H$4)</f>
        <v>62900</v>
      </c>
      <c r="D5658" s="1">
        <f>IF(Tabela1[[#This Row],[promien]]&lt;40000,1,0)</f>
        <v>0</v>
      </c>
      <c r="E5658" s="1">
        <f>IF(Tabela1[[#This Row],[promien]]=40000,1,0)</f>
        <v>0</v>
      </c>
      <c r="F5658" s="1">
        <v>3.1686108165429481</v>
      </c>
      <c r="G5658" s="1">
        <v>2.7018162953154956E-2</v>
      </c>
    </row>
    <row r="5659" spans="1:7">
      <c r="A5659">
        <v>241</v>
      </c>
      <c r="B5659">
        <v>188</v>
      </c>
      <c r="C5659" s="1">
        <f>(Tabela1[[#This Row],[x]]-H$3)*(Tabela1[[#This Row],[x]]-H$3) +(Tabela1[[#This Row],[y]]-H$4)*(Tabela1[[#This Row],[y]]-H$4)</f>
        <v>1825</v>
      </c>
      <c r="D5659" s="1">
        <f>IF(Tabela1[[#This Row],[promien]]&lt;40000,1,0)</f>
        <v>1</v>
      </c>
      <c r="E5659" s="1">
        <f>IF(Tabela1[[#This Row],[promien]]=40000,1,0)</f>
        <v>0</v>
      </c>
      <c r="F5659" s="1">
        <v>3.1687577310478883</v>
      </c>
      <c r="G5659" s="1">
        <v>2.7165077458095155E-2</v>
      </c>
    </row>
    <row r="5660" spans="1:7">
      <c r="A5660">
        <v>25</v>
      </c>
      <c r="B5660">
        <v>283</v>
      </c>
      <c r="C5660" s="1">
        <f>(Tabela1[[#This Row],[x]]-H$3)*(Tabela1[[#This Row],[x]]-H$3) +(Tabela1[[#This Row],[y]]-H$4)*(Tabela1[[#This Row],[y]]-H$4)</f>
        <v>37514</v>
      </c>
      <c r="D5660" s="1">
        <f>IF(Tabela1[[#This Row],[promien]]&lt;40000,1,0)</f>
        <v>1</v>
      </c>
      <c r="E5660" s="1">
        <f>IF(Tabela1[[#This Row],[promien]]=40000,1,0)</f>
        <v>0</v>
      </c>
      <c r="F5660" s="1">
        <v>3.1689045936395761</v>
      </c>
      <c r="G5660" s="1">
        <v>2.731194004978299E-2</v>
      </c>
    </row>
    <row r="5661" spans="1:7">
      <c r="A5661">
        <v>190</v>
      </c>
      <c r="B5661">
        <v>246</v>
      </c>
      <c r="C5661" s="1">
        <f>(Tabela1[[#This Row],[x]]-H$3)*(Tabela1[[#This Row],[x]]-H$3) +(Tabela1[[#This Row],[y]]-H$4)*(Tabela1[[#This Row],[y]]-H$4)</f>
        <v>2216</v>
      </c>
      <c r="D5661" s="1">
        <f>IF(Tabela1[[#This Row],[promien]]&lt;40000,1,0)</f>
        <v>1</v>
      </c>
      <c r="E5661" s="1">
        <f>IF(Tabela1[[#This Row],[promien]]=40000,1,0)</f>
        <v>0</v>
      </c>
      <c r="F5661" s="1">
        <v>3.169051404345522</v>
      </c>
      <c r="G5661" s="1">
        <v>2.74587507557289E-2</v>
      </c>
    </row>
    <row r="5662" spans="1:7">
      <c r="A5662">
        <v>162</v>
      </c>
      <c r="B5662">
        <v>201</v>
      </c>
      <c r="C5662" s="1">
        <f>(Tabela1[[#This Row],[x]]-H$3)*(Tabela1[[#This Row],[x]]-H$3) +(Tabela1[[#This Row],[y]]-H$4)*(Tabela1[[#This Row],[y]]-H$4)</f>
        <v>1445</v>
      </c>
      <c r="D5662" s="1">
        <f>IF(Tabela1[[#This Row],[promien]]&lt;40000,1,0)</f>
        <v>1</v>
      </c>
      <c r="E5662" s="1">
        <f>IF(Tabela1[[#This Row],[promien]]=40000,1,0)</f>
        <v>0</v>
      </c>
      <c r="F5662" s="1">
        <v>3.1691981631932178</v>
      </c>
      <c r="G5662" s="1">
        <v>2.7605509603424672E-2</v>
      </c>
    </row>
    <row r="5663" spans="1:7">
      <c r="A5663">
        <v>56</v>
      </c>
      <c r="B5663">
        <v>376</v>
      </c>
      <c r="C5663" s="1">
        <f>(Tabela1[[#This Row],[x]]-H$3)*(Tabela1[[#This Row],[x]]-H$3) +(Tabela1[[#This Row],[y]]-H$4)*(Tabela1[[#This Row],[y]]-H$4)</f>
        <v>51712</v>
      </c>
      <c r="D5663" s="1">
        <f>IF(Tabela1[[#This Row],[promien]]&lt;40000,1,0)</f>
        <v>0</v>
      </c>
      <c r="E5663" s="1">
        <f>IF(Tabela1[[#This Row],[promien]]=40000,1,0)</f>
        <v>0</v>
      </c>
      <c r="F5663" s="1">
        <v>3.1686385308140563</v>
      </c>
      <c r="G5663" s="1">
        <v>2.7045877224263215E-2</v>
      </c>
    </row>
    <row r="5664" spans="1:7">
      <c r="A5664">
        <v>170</v>
      </c>
      <c r="B5664">
        <v>345</v>
      </c>
      <c r="C5664" s="1">
        <f>(Tabela1[[#This Row],[x]]-H$3)*(Tabela1[[#This Row],[x]]-H$3) +(Tabela1[[#This Row],[y]]-H$4)*(Tabela1[[#This Row],[y]]-H$4)</f>
        <v>21925</v>
      </c>
      <c r="D5664" s="1">
        <f>IF(Tabela1[[#This Row],[promien]]&lt;40000,1,0)</f>
        <v>1</v>
      </c>
      <c r="E5664" s="1">
        <f>IF(Tabela1[[#This Row],[promien]]=40000,1,0)</f>
        <v>0</v>
      </c>
      <c r="F5664" s="1">
        <v>3.1687853107344632</v>
      </c>
      <c r="G5664" s="1">
        <v>2.7192657144670118E-2</v>
      </c>
    </row>
    <row r="5665" spans="1:7">
      <c r="A5665">
        <v>75</v>
      </c>
      <c r="B5665">
        <v>268</v>
      </c>
      <c r="C5665" s="1">
        <f>(Tabela1[[#This Row],[x]]-H$3)*(Tabela1[[#This Row],[x]]-H$3) +(Tabela1[[#This Row],[y]]-H$4)*(Tabela1[[#This Row],[y]]-H$4)</f>
        <v>20249</v>
      </c>
      <c r="D5665" s="1">
        <f>IF(Tabela1[[#This Row],[promien]]&lt;40000,1,0)</f>
        <v>1</v>
      </c>
      <c r="E5665" s="1">
        <f>IF(Tabela1[[#This Row],[promien]]=40000,1,0)</f>
        <v>0</v>
      </c>
      <c r="F5665" s="1">
        <v>3.1689320388349516</v>
      </c>
      <c r="G5665" s="1">
        <v>2.7339385245158443E-2</v>
      </c>
    </row>
    <row r="5666" spans="1:7">
      <c r="A5666">
        <v>259</v>
      </c>
      <c r="B5666">
        <v>161</v>
      </c>
      <c r="C5666" s="1">
        <f>(Tabela1[[#This Row],[x]]-H$3)*(Tabela1[[#This Row],[x]]-H$3) +(Tabela1[[#This Row],[y]]-H$4)*(Tabela1[[#This Row],[y]]-H$4)</f>
        <v>5002</v>
      </c>
      <c r="D5666" s="1">
        <f>IF(Tabela1[[#This Row],[promien]]&lt;40000,1,0)</f>
        <v>1</v>
      </c>
      <c r="E5666" s="1">
        <f>IF(Tabela1[[#This Row],[promien]]=40000,1,0)</f>
        <v>0</v>
      </c>
      <c r="F5666" s="1">
        <v>3.169078715142958</v>
      </c>
      <c r="G5666" s="1">
        <v>2.7486061553164909E-2</v>
      </c>
    </row>
    <row r="5667" spans="1:7">
      <c r="A5667">
        <v>195</v>
      </c>
      <c r="B5667">
        <v>388</v>
      </c>
      <c r="C5667" s="1">
        <f>(Tabela1[[#This Row],[x]]-H$3)*(Tabela1[[#This Row],[x]]-H$3) +(Tabela1[[#This Row],[y]]-H$4)*(Tabela1[[#This Row],[y]]-H$4)</f>
        <v>35369</v>
      </c>
      <c r="D5667" s="1">
        <f>IF(Tabela1[[#This Row],[promien]]&lt;40000,1,0)</f>
        <v>1</v>
      </c>
      <c r="E5667" s="1">
        <f>IF(Tabela1[[#This Row],[promien]]=40000,1,0)</f>
        <v>0</v>
      </c>
      <c r="F5667" s="1">
        <v>3.1692253396859007</v>
      </c>
      <c r="G5667" s="1">
        <v>2.7632686096107584E-2</v>
      </c>
    </row>
    <row r="5668" spans="1:7">
      <c r="A5668">
        <v>364</v>
      </c>
      <c r="B5668">
        <v>186</v>
      </c>
      <c r="C5668" s="1">
        <f>(Tabela1[[#This Row],[x]]-H$3)*(Tabela1[[#This Row],[x]]-H$3) +(Tabela1[[#This Row],[y]]-H$4)*(Tabela1[[#This Row],[y]]-H$4)</f>
        <v>27092</v>
      </c>
      <c r="D5668" s="1">
        <f>IF(Tabela1[[#This Row],[promien]]&lt;40000,1,0)</f>
        <v>1</v>
      </c>
      <c r="E5668" s="1">
        <f>IF(Tabela1[[#This Row],[promien]]=40000,1,0)</f>
        <v>0</v>
      </c>
      <c r="F5668" s="1">
        <v>3.1693719124911786</v>
      </c>
      <c r="G5668" s="1">
        <v>2.777925890138544E-2</v>
      </c>
    </row>
    <row r="5669" spans="1:7">
      <c r="A5669">
        <v>268</v>
      </c>
      <c r="B5669">
        <v>351</v>
      </c>
      <c r="C5669" s="1">
        <f>(Tabela1[[#This Row],[x]]-H$3)*(Tabela1[[#This Row],[x]]-H$3) +(Tabela1[[#This Row],[y]]-H$4)*(Tabela1[[#This Row],[y]]-H$4)</f>
        <v>27425</v>
      </c>
      <c r="D5669" s="1">
        <f>IF(Tabela1[[#This Row],[promien]]&lt;40000,1,0)</f>
        <v>1</v>
      </c>
      <c r="E5669" s="1">
        <f>IF(Tabela1[[#This Row],[promien]]=40000,1,0)</f>
        <v>0</v>
      </c>
      <c r="F5669" s="1">
        <v>3.1695184335861706</v>
      </c>
      <c r="G5669" s="1">
        <v>2.7925779996377464E-2</v>
      </c>
    </row>
    <row r="5670" spans="1:7">
      <c r="A5670">
        <v>381</v>
      </c>
      <c r="B5670">
        <v>180</v>
      </c>
      <c r="C5670" s="1">
        <f>(Tabela1[[#This Row],[x]]-H$3)*(Tabela1[[#This Row],[x]]-H$3) +(Tabela1[[#This Row],[y]]-H$4)*(Tabela1[[#This Row],[y]]-H$4)</f>
        <v>33161</v>
      </c>
      <c r="D5670" s="1">
        <f>IF(Tabela1[[#This Row],[promien]]&lt;40000,1,0)</f>
        <v>1</v>
      </c>
      <c r="E5670" s="1">
        <f>IF(Tabela1[[#This Row],[promien]]=40000,1,0)</f>
        <v>0</v>
      </c>
      <c r="F5670" s="1">
        <v>3.1696649029982362</v>
      </c>
      <c r="G5670" s="1">
        <v>2.8072249408443106E-2</v>
      </c>
    </row>
    <row r="5671" spans="1:7">
      <c r="A5671">
        <v>0</v>
      </c>
      <c r="B5671">
        <v>317</v>
      </c>
      <c r="C5671" s="1">
        <f>(Tabela1[[#This Row],[x]]-H$3)*(Tabela1[[#This Row],[x]]-H$3) +(Tabela1[[#This Row],[y]]-H$4)*(Tabela1[[#This Row],[y]]-H$4)</f>
        <v>53689</v>
      </c>
      <c r="D5671" s="1">
        <f>IF(Tabela1[[#This Row],[promien]]&lt;40000,1,0)</f>
        <v>0</v>
      </c>
      <c r="E5671" s="1">
        <f>IF(Tabela1[[#This Row],[promien]]=40000,1,0)</f>
        <v>0</v>
      </c>
      <c r="F5671" s="1">
        <v>3.1691059777816966</v>
      </c>
      <c r="G5671" s="1">
        <v>2.7513324191903443E-2</v>
      </c>
    </row>
    <row r="5672" spans="1:7">
      <c r="A5672">
        <v>257</v>
      </c>
      <c r="B5672">
        <v>32</v>
      </c>
      <c r="C5672" s="1">
        <f>(Tabela1[[#This Row],[x]]-H$3)*(Tabela1[[#This Row],[x]]-H$3) +(Tabela1[[#This Row],[y]]-H$4)*(Tabela1[[#This Row],[y]]-H$4)</f>
        <v>31473</v>
      </c>
      <c r="D5672" s="1">
        <f>IF(Tabela1[[#This Row],[promien]]&lt;40000,1,0)</f>
        <v>1</v>
      </c>
      <c r="E5672" s="1">
        <f>IF(Tabela1[[#This Row],[promien]]=40000,1,0)</f>
        <v>0</v>
      </c>
      <c r="F5672" s="1">
        <v>3.1692524682651624</v>
      </c>
      <c r="G5672" s="1">
        <v>2.7659814675369265E-2</v>
      </c>
    </row>
    <row r="5673" spans="1:7">
      <c r="A5673">
        <v>268</v>
      </c>
      <c r="B5673">
        <v>346</v>
      </c>
      <c r="C5673" s="1">
        <f>(Tabela1[[#This Row],[x]]-H$3)*(Tabela1[[#This Row],[x]]-H$3) +(Tabela1[[#This Row],[y]]-H$4)*(Tabela1[[#This Row],[y]]-H$4)</f>
        <v>25940</v>
      </c>
      <c r="D5673" s="1">
        <f>IF(Tabela1[[#This Row],[promien]]&lt;40000,1,0)</f>
        <v>1</v>
      </c>
      <c r="E5673" s="1">
        <f>IF(Tabela1[[#This Row],[promien]]=40000,1,0)</f>
        <v>0</v>
      </c>
      <c r="F5673" s="1">
        <v>3.1693989071038251</v>
      </c>
      <c r="G5673" s="1">
        <v>2.7806253514031987E-2</v>
      </c>
    </row>
    <row r="5674" spans="1:7">
      <c r="A5674">
        <v>128</v>
      </c>
      <c r="B5674">
        <v>198</v>
      </c>
      <c r="C5674" s="1">
        <f>(Tabela1[[#This Row],[x]]-H$3)*(Tabela1[[#This Row],[x]]-H$3) +(Tabela1[[#This Row],[y]]-H$4)*(Tabela1[[#This Row],[y]]-H$4)</f>
        <v>5188</v>
      </c>
      <c r="D5674" s="1">
        <f>IF(Tabela1[[#This Row],[promien]]&lt;40000,1,0)</f>
        <v>1</v>
      </c>
      <c r="E5674" s="1">
        <f>IF(Tabela1[[#This Row],[promien]]=40000,1,0)</f>
        <v>0</v>
      </c>
      <c r="F5674" s="1">
        <v>3.1695452943249913</v>
      </c>
      <c r="G5674" s="1">
        <v>2.7952640735198209E-2</v>
      </c>
    </row>
    <row r="5675" spans="1:7">
      <c r="A5675">
        <v>220</v>
      </c>
      <c r="B5675">
        <v>323</v>
      </c>
      <c r="C5675" s="1">
        <f>(Tabela1[[#This Row],[x]]-H$3)*(Tabela1[[#This Row],[x]]-H$3) +(Tabela1[[#This Row],[y]]-H$4)*(Tabela1[[#This Row],[y]]-H$4)</f>
        <v>15529</v>
      </c>
      <c r="D5675" s="1">
        <f>IF(Tabela1[[#This Row],[promien]]&lt;40000,1,0)</f>
        <v>1</v>
      </c>
      <c r="E5675" s="1">
        <f>IF(Tabela1[[#This Row],[promien]]=40000,1,0)</f>
        <v>0</v>
      </c>
      <c r="F5675" s="1">
        <v>3.1696916299559472</v>
      </c>
      <c r="G5675" s="1">
        <v>2.8098976366154105E-2</v>
      </c>
    </row>
    <row r="5676" spans="1:7">
      <c r="A5676">
        <v>42</v>
      </c>
      <c r="B5676">
        <v>118</v>
      </c>
      <c r="C5676" s="1">
        <f>(Tabela1[[#This Row],[x]]-H$3)*(Tabela1[[#This Row],[x]]-H$3) +(Tabela1[[#This Row],[y]]-H$4)*(Tabela1[[#This Row],[y]]-H$4)</f>
        <v>31688</v>
      </c>
      <c r="D5676" s="1">
        <f>IF(Tabela1[[#This Row],[promien]]&lt;40000,1,0)</f>
        <v>1</v>
      </c>
      <c r="E5676" s="1">
        <f>IF(Tabela1[[#This Row],[promien]]=40000,1,0)</f>
        <v>0</v>
      </c>
      <c r="F5676" s="1">
        <v>3.1698379140239608</v>
      </c>
      <c r="G5676" s="1">
        <v>2.8245260434167641E-2</v>
      </c>
    </row>
    <row r="5677" spans="1:7">
      <c r="A5677">
        <v>249</v>
      </c>
      <c r="B5677">
        <v>105</v>
      </c>
      <c r="C5677" s="1">
        <f>(Tabela1[[#This Row],[x]]-H$3)*(Tabela1[[#This Row],[x]]-H$3) +(Tabela1[[#This Row],[y]]-H$4)*(Tabela1[[#This Row],[y]]-H$4)</f>
        <v>11426</v>
      </c>
      <c r="D5677" s="1">
        <f>IF(Tabela1[[#This Row],[promien]]&lt;40000,1,0)</f>
        <v>1</v>
      </c>
      <c r="E5677" s="1">
        <f>IF(Tabela1[[#This Row],[promien]]=40000,1,0)</f>
        <v>0</v>
      </c>
      <c r="F5677" s="1">
        <v>3.1699841465562799</v>
      </c>
      <c r="G5677" s="1">
        <v>2.8391492966486798E-2</v>
      </c>
    </row>
    <row r="5678" spans="1:7">
      <c r="A5678">
        <v>102</v>
      </c>
      <c r="B5678">
        <v>319</v>
      </c>
      <c r="C5678" s="1">
        <f>(Tabela1[[#This Row],[x]]-H$3)*(Tabela1[[#This Row],[x]]-H$3) +(Tabela1[[#This Row],[y]]-H$4)*(Tabela1[[#This Row],[y]]-H$4)</f>
        <v>23765</v>
      </c>
      <c r="D5678" s="1">
        <f>IF(Tabela1[[#This Row],[promien]]&lt;40000,1,0)</f>
        <v>1</v>
      </c>
      <c r="E5678" s="1">
        <f>IF(Tabela1[[#This Row],[promien]]=40000,1,0)</f>
        <v>0</v>
      </c>
      <c r="F5678" s="1">
        <v>3.170130327580134</v>
      </c>
      <c r="G5678" s="1">
        <v>2.8537673990340906E-2</v>
      </c>
    </row>
    <row r="5679" spans="1:7">
      <c r="A5679">
        <v>253</v>
      </c>
      <c r="B5679">
        <v>164</v>
      </c>
      <c r="C5679" s="1">
        <f>(Tabela1[[#This Row],[x]]-H$3)*(Tabela1[[#This Row],[x]]-H$3) +(Tabela1[[#This Row],[y]]-H$4)*(Tabela1[[#This Row],[y]]-H$4)</f>
        <v>4105</v>
      </c>
      <c r="D5679" s="1">
        <f>IF(Tabela1[[#This Row],[promien]]&lt;40000,1,0)</f>
        <v>1</v>
      </c>
      <c r="E5679" s="1">
        <f>IF(Tabela1[[#This Row],[promien]]=40000,1,0)</f>
        <v>0</v>
      </c>
      <c r="F5679" s="1">
        <v>3.1702764571227329</v>
      </c>
      <c r="G5679" s="1">
        <v>2.8683803532939756E-2</v>
      </c>
    </row>
    <row r="5680" spans="1:7">
      <c r="A5680">
        <v>368</v>
      </c>
      <c r="B5680">
        <v>61</v>
      </c>
      <c r="C5680" s="1">
        <f>(Tabela1[[#This Row],[x]]-H$3)*(Tabela1[[#This Row],[x]]-H$3) +(Tabela1[[#This Row],[y]]-H$4)*(Tabela1[[#This Row],[y]]-H$4)</f>
        <v>47545</v>
      </c>
      <c r="D5680" s="1">
        <f>IF(Tabela1[[#This Row],[promien]]&lt;40000,1,0)</f>
        <v>0</v>
      </c>
      <c r="E5680" s="1">
        <f>IF(Tabela1[[#This Row],[promien]]=40000,1,0)</f>
        <v>0</v>
      </c>
      <c r="F5680" s="1">
        <v>3.1697183098591548</v>
      </c>
      <c r="G5680" s="1">
        <v>2.8125656269361698E-2</v>
      </c>
    </row>
    <row r="5681" spans="1:7">
      <c r="A5681">
        <v>319</v>
      </c>
      <c r="B5681">
        <v>37</v>
      </c>
      <c r="C5681" s="1">
        <f>(Tabela1[[#This Row],[x]]-H$3)*(Tabela1[[#This Row],[x]]-H$3) +(Tabela1[[#This Row],[y]]-H$4)*(Tabela1[[#This Row],[y]]-H$4)</f>
        <v>40730</v>
      </c>
      <c r="D5681" s="1">
        <f>IF(Tabela1[[#This Row],[promien]]&lt;40000,1,0)</f>
        <v>0</v>
      </c>
      <c r="E5681" s="1">
        <f>IF(Tabela1[[#This Row],[promien]]=40000,1,0)</f>
        <v>0</v>
      </c>
      <c r="F5681" s="1">
        <v>3.169160359091709</v>
      </c>
      <c r="G5681" s="1">
        <v>2.7567705501915896E-2</v>
      </c>
    </row>
    <row r="5682" spans="1:7">
      <c r="A5682">
        <v>37</v>
      </c>
      <c r="B5682">
        <v>13</v>
      </c>
      <c r="C5682" s="1">
        <f>(Tabela1[[#This Row],[x]]-H$3)*(Tabela1[[#This Row],[x]]-H$3) +(Tabela1[[#This Row],[y]]-H$4)*(Tabela1[[#This Row],[y]]-H$4)</f>
        <v>61538</v>
      </c>
      <c r="D5682" s="1">
        <f>IF(Tabela1[[#This Row],[promien]]&lt;40000,1,0)</f>
        <v>0</v>
      </c>
      <c r="E5682" s="1">
        <f>IF(Tabela1[[#This Row],[promien]]=40000,1,0)</f>
        <v>0</v>
      </c>
      <c r="F5682" s="1">
        <v>3.1686026047166491</v>
      </c>
      <c r="G5682" s="1">
        <v>2.7009951126856002E-2</v>
      </c>
    </row>
    <row r="5683" spans="1:7">
      <c r="A5683">
        <v>353</v>
      </c>
      <c r="B5683">
        <v>282</v>
      </c>
      <c r="C5683" s="1">
        <f>(Tabela1[[#This Row],[x]]-H$3)*(Tabela1[[#This Row],[x]]-H$3) +(Tabela1[[#This Row],[y]]-H$4)*(Tabela1[[#This Row],[y]]-H$4)</f>
        <v>30133</v>
      </c>
      <c r="D5683" s="1">
        <f>IF(Tabela1[[#This Row],[promien]]&lt;40000,1,0)</f>
        <v>1</v>
      </c>
      <c r="E5683" s="1">
        <f>IF(Tabela1[[#This Row],[promien]]=40000,1,0)</f>
        <v>0</v>
      </c>
      <c r="F5683" s="1">
        <v>3.1687489002287523</v>
      </c>
      <c r="G5683" s="1">
        <v>2.7156246638959214E-2</v>
      </c>
    </row>
    <row r="5684" spans="1:7">
      <c r="A5684">
        <v>35</v>
      </c>
      <c r="B5684">
        <v>384</v>
      </c>
      <c r="C5684" s="1">
        <f>(Tabela1[[#This Row],[x]]-H$3)*(Tabela1[[#This Row],[x]]-H$3) +(Tabela1[[#This Row],[y]]-H$4)*(Tabela1[[#This Row],[y]]-H$4)</f>
        <v>61081</v>
      </c>
      <c r="D5684" s="1">
        <f>IF(Tabela1[[#This Row],[promien]]&lt;40000,1,0)</f>
        <v>0</v>
      </c>
      <c r="E5684" s="1">
        <f>IF(Tabela1[[#This Row],[promien]]=40000,1,0)</f>
        <v>0</v>
      </c>
      <c r="F5684" s="1">
        <v>3.1681914144968331</v>
      </c>
      <c r="G5684" s="1">
        <v>2.6598760907039942E-2</v>
      </c>
    </row>
    <row r="5685" spans="1:7">
      <c r="A5685">
        <v>179</v>
      </c>
      <c r="B5685">
        <v>64</v>
      </c>
      <c r="C5685" s="1">
        <f>(Tabela1[[#This Row],[x]]-H$3)*(Tabela1[[#This Row],[x]]-H$3) +(Tabela1[[#This Row],[y]]-H$4)*(Tabela1[[#This Row],[y]]-H$4)</f>
        <v>18937</v>
      </c>
      <c r="D5685" s="1">
        <f>IF(Tabela1[[#This Row],[promien]]&lt;40000,1,0)</f>
        <v>1</v>
      </c>
      <c r="E5685" s="1">
        <f>IF(Tabela1[[#This Row],[promien]]=40000,1,0)</f>
        <v>0</v>
      </c>
      <c r="F5685" s="1">
        <v>3.1683377308707126</v>
      </c>
      <c r="G5685" s="1">
        <v>2.674507728091946E-2</v>
      </c>
    </row>
    <row r="5686" spans="1:7">
      <c r="A5686">
        <v>33</v>
      </c>
      <c r="B5686">
        <v>195</v>
      </c>
      <c r="C5686" s="1">
        <f>(Tabela1[[#This Row],[x]]-H$3)*(Tabela1[[#This Row],[x]]-H$3) +(Tabela1[[#This Row],[y]]-H$4)*(Tabela1[[#This Row],[y]]-H$4)</f>
        <v>27914</v>
      </c>
      <c r="D5686" s="1">
        <f>IF(Tabela1[[#This Row],[promien]]&lt;40000,1,0)</f>
        <v>1</v>
      </c>
      <c r="E5686" s="1">
        <f>IF(Tabela1[[#This Row],[promien]]=40000,1,0)</f>
        <v>0</v>
      </c>
      <c r="F5686" s="1">
        <v>3.1684839957791064</v>
      </c>
      <c r="G5686" s="1">
        <v>2.6891342189313328E-2</v>
      </c>
    </row>
    <row r="5687" spans="1:7">
      <c r="A5687">
        <v>201</v>
      </c>
      <c r="B5687">
        <v>163</v>
      </c>
      <c r="C5687" s="1">
        <f>(Tabela1[[#This Row],[x]]-H$3)*(Tabela1[[#This Row],[x]]-H$3) +(Tabela1[[#This Row],[y]]-H$4)*(Tabela1[[#This Row],[y]]-H$4)</f>
        <v>1370</v>
      </c>
      <c r="D5687" s="1">
        <f>IF(Tabela1[[#This Row],[promien]]&lt;40000,1,0)</f>
        <v>1</v>
      </c>
      <c r="E5687" s="1">
        <f>IF(Tabela1[[#This Row],[promien]]=40000,1,0)</f>
        <v>0</v>
      </c>
      <c r="F5687" s="1">
        <v>3.1686302092491649</v>
      </c>
      <c r="G5687" s="1">
        <v>2.7037555659371826E-2</v>
      </c>
    </row>
    <row r="5688" spans="1:7">
      <c r="A5688">
        <v>81</v>
      </c>
      <c r="B5688">
        <v>375</v>
      </c>
      <c r="C5688" s="1">
        <f>(Tabela1[[#This Row],[x]]-H$3)*(Tabela1[[#This Row],[x]]-H$3) +(Tabela1[[#This Row],[y]]-H$4)*(Tabela1[[#This Row],[y]]-H$4)</f>
        <v>44786</v>
      </c>
      <c r="D5688" s="1">
        <f>IF(Tabela1[[#This Row],[promien]]&lt;40000,1,0)</f>
        <v>0</v>
      </c>
      <c r="E5688" s="1">
        <f>IF(Tabela1[[#This Row],[promien]]=40000,1,0)</f>
        <v>0</v>
      </c>
      <c r="F5688" s="1">
        <v>3.1680731364275667</v>
      </c>
      <c r="G5688" s="1">
        <v>2.64804828377736E-2</v>
      </c>
    </row>
    <row r="5689" spans="1:7">
      <c r="A5689">
        <v>355</v>
      </c>
      <c r="B5689">
        <v>196</v>
      </c>
      <c r="C5689" s="1">
        <f>(Tabela1[[#This Row],[x]]-H$3)*(Tabela1[[#This Row],[x]]-H$3) +(Tabela1[[#This Row],[y]]-H$4)*(Tabela1[[#This Row],[y]]-H$4)</f>
        <v>24041</v>
      </c>
      <c r="D5689" s="1">
        <f>IF(Tabela1[[#This Row],[promien]]&lt;40000,1,0)</f>
        <v>1</v>
      </c>
      <c r="E5689" s="1">
        <f>IF(Tabela1[[#This Row],[promien]]=40000,1,0)</f>
        <v>0</v>
      </c>
      <c r="F5689" s="1">
        <v>3.1682193707154158</v>
      </c>
      <c r="G5689" s="1">
        <v>2.6626717125622701E-2</v>
      </c>
    </row>
    <row r="5690" spans="1:7">
      <c r="A5690">
        <v>291</v>
      </c>
      <c r="B5690">
        <v>325</v>
      </c>
      <c r="C5690" s="1">
        <f>(Tabela1[[#This Row],[x]]-H$3)*(Tabela1[[#This Row],[x]]-H$3) +(Tabela1[[#This Row],[y]]-H$4)*(Tabela1[[#This Row],[y]]-H$4)</f>
        <v>23906</v>
      </c>
      <c r="D5690" s="1">
        <f>IF(Tabela1[[#This Row],[promien]]&lt;40000,1,0)</f>
        <v>1</v>
      </c>
      <c r="E5690" s="1">
        <f>IF(Tabela1[[#This Row],[promien]]=40000,1,0)</f>
        <v>0</v>
      </c>
      <c r="F5690" s="1">
        <v>3.1683655536028121</v>
      </c>
      <c r="G5690" s="1">
        <v>2.6772900013019019E-2</v>
      </c>
    </row>
    <row r="5691" spans="1:7">
      <c r="A5691">
        <v>363</v>
      </c>
      <c r="B5691">
        <v>95</v>
      </c>
      <c r="C5691" s="1">
        <f>(Tabela1[[#This Row],[x]]-H$3)*(Tabela1[[#This Row],[x]]-H$3) +(Tabela1[[#This Row],[y]]-H$4)*(Tabela1[[#This Row],[y]]-H$4)</f>
        <v>37594</v>
      </c>
      <c r="D5691" s="1">
        <f>IF(Tabela1[[#This Row],[promien]]&lt;40000,1,0)</f>
        <v>1</v>
      </c>
      <c r="E5691" s="1">
        <f>IF(Tabela1[[#This Row],[promien]]=40000,1,0)</f>
        <v>0</v>
      </c>
      <c r="F5691" s="1">
        <v>3.1685116851168513</v>
      </c>
      <c r="G5691" s="1">
        <v>2.6919031527058213E-2</v>
      </c>
    </row>
    <row r="5692" spans="1:7">
      <c r="A5692">
        <v>8</v>
      </c>
      <c r="B5692">
        <v>349</v>
      </c>
      <c r="C5692" s="1">
        <f>(Tabela1[[#This Row],[x]]-H$3)*(Tabela1[[#This Row],[x]]-H$3) +(Tabela1[[#This Row],[y]]-H$4)*(Tabela1[[#This Row],[y]]-H$4)</f>
        <v>59065</v>
      </c>
      <c r="D5692" s="1">
        <f>IF(Tabela1[[#This Row],[promien]]&lt;40000,1,0)</f>
        <v>0</v>
      </c>
      <c r="E5692" s="1">
        <f>IF(Tabela1[[#This Row],[promien]]=40000,1,0)</f>
        <v>0</v>
      </c>
      <c r="F5692" s="1">
        <v>3.167955024595924</v>
      </c>
      <c r="G5692" s="1">
        <v>2.6362371006130925E-2</v>
      </c>
    </row>
    <row r="5693" spans="1:7">
      <c r="A5693">
        <v>254</v>
      </c>
      <c r="B5693">
        <v>332</v>
      </c>
      <c r="C5693" s="1">
        <f>(Tabela1[[#This Row],[x]]-H$3)*(Tabela1[[#This Row],[x]]-H$3) +(Tabela1[[#This Row],[y]]-H$4)*(Tabela1[[#This Row],[y]]-H$4)</f>
        <v>20340</v>
      </c>
      <c r="D5693" s="1">
        <f>IF(Tabela1[[#This Row],[promien]]&lt;40000,1,0)</f>
        <v>1</v>
      </c>
      <c r="E5693" s="1">
        <f>IF(Tabela1[[#This Row],[promien]]=40000,1,0)</f>
        <v>0</v>
      </c>
      <c r="F5693" s="1">
        <v>3.1681011768838925</v>
      </c>
      <c r="G5693" s="1">
        <v>2.6508523294099362E-2</v>
      </c>
    </row>
    <row r="5694" spans="1:7">
      <c r="A5694">
        <v>321</v>
      </c>
      <c r="B5694">
        <v>170</v>
      </c>
      <c r="C5694" s="1">
        <f>(Tabela1[[#This Row],[x]]-H$3)*(Tabela1[[#This Row],[x]]-H$3) +(Tabela1[[#This Row],[y]]-H$4)*(Tabela1[[#This Row],[y]]-H$4)</f>
        <v>15541</v>
      </c>
      <c r="D5694" s="1">
        <f>IF(Tabela1[[#This Row],[promien]]&lt;40000,1,0)</f>
        <v>1</v>
      </c>
      <c r="E5694" s="1">
        <f>IF(Tabela1[[#This Row],[promien]]=40000,1,0)</f>
        <v>0</v>
      </c>
      <c r="F5694" s="1">
        <v>3.1682472778363189</v>
      </c>
      <c r="G5694" s="1">
        <v>2.665462424652576E-2</v>
      </c>
    </row>
    <row r="5695" spans="1:7">
      <c r="A5695">
        <v>98</v>
      </c>
      <c r="B5695">
        <v>224</v>
      </c>
      <c r="C5695" s="1">
        <f>(Tabela1[[#This Row],[x]]-H$3)*(Tabela1[[#This Row],[x]]-H$3) +(Tabela1[[#This Row],[y]]-H$4)*(Tabela1[[#This Row],[y]]-H$4)</f>
        <v>10980</v>
      </c>
      <c r="D5695" s="1">
        <f>IF(Tabela1[[#This Row],[promien]]&lt;40000,1,0)</f>
        <v>1</v>
      </c>
      <c r="E5695" s="1">
        <f>IF(Tabela1[[#This Row],[promien]]=40000,1,0)</f>
        <v>0</v>
      </c>
      <c r="F5695" s="1">
        <v>3.168393327480246</v>
      </c>
      <c r="G5695" s="1">
        <v>2.6800673890452931E-2</v>
      </c>
    </row>
    <row r="5696" spans="1:7">
      <c r="A5696">
        <v>235</v>
      </c>
      <c r="B5696">
        <v>336</v>
      </c>
      <c r="C5696" s="1">
        <f>(Tabela1[[#This Row],[x]]-H$3)*(Tabela1[[#This Row],[x]]-H$3) +(Tabela1[[#This Row],[y]]-H$4)*(Tabela1[[#This Row],[y]]-H$4)</f>
        <v>19721</v>
      </c>
      <c r="D5696" s="1">
        <f>IF(Tabela1[[#This Row],[promien]]&lt;40000,1,0)</f>
        <v>1</v>
      </c>
      <c r="E5696" s="1">
        <f>IF(Tabela1[[#This Row],[promien]]=40000,1,0)</f>
        <v>0</v>
      </c>
      <c r="F5696" s="1">
        <v>3.1685393258426968</v>
      </c>
      <c r="G5696" s="1">
        <v>2.6946672252903703E-2</v>
      </c>
    </row>
    <row r="5697" spans="1:7">
      <c r="A5697">
        <v>153</v>
      </c>
      <c r="B5697">
        <v>336</v>
      </c>
      <c r="C5697" s="1">
        <f>(Tabela1[[#This Row],[x]]-H$3)*(Tabela1[[#This Row],[x]]-H$3) +(Tabela1[[#This Row],[y]]-H$4)*(Tabela1[[#This Row],[y]]-H$4)</f>
        <v>20705</v>
      </c>
      <c r="D5697" s="1">
        <f>IF(Tabela1[[#This Row],[promien]]&lt;40000,1,0)</f>
        <v>1</v>
      </c>
      <c r="E5697" s="1">
        <f>IF(Tabela1[[#This Row],[promien]]=40000,1,0)</f>
        <v>0</v>
      </c>
      <c r="F5697" s="1">
        <v>3.1686852729506758</v>
      </c>
      <c r="G5697" s="1">
        <v>2.7092619360882697E-2</v>
      </c>
    </row>
    <row r="5698" spans="1:7">
      <c r="A5698">
        <v>224</v>
      </c>
      <c r="B5698">
        <v>370</v>
      </c>
      <c r="C5698" s="1">
        <f>(Tabela1[[#This Row],[x]]-H$3)*(Tabela1[[#This Row],[x]]-H$3) +(Tabela1[[#This Row],[y]]-H$4)*(Tabela1[[#This Row],[y]]-H$4)</f>
        <v>29476</v>
      </c>
      <c r="D5698" s="1">
        <f>IF(Tabela1[[#This Row],[promien]]&lt;40000,1,0)</f>
        <v>1</v>
      </c>
      <c r="E5698" s="1">
        <f>IF(Tabela1[[#This Row],[promien]]=40000,1,0)</f>
        <v>0</v>
      </c>
      <c r="F5698" s="1">
        <v>3.168831168831169</v>
      </c>
      <c r="G5698" s="1">
        <v>2.7238515241375882E-2</v>
      </c>
    </row>
    <row r="5699" spans="1:7">
      <c r="A5699">
        <v>382</v>
      </c>
      <c r="B5699">
        <v>148</v>
      </c>
      <c r="C5699" s="1">
        <f>(Tabela1[[#This Row],[x]]-H$3)*(Tabela1[[#This Row],[x]]-H$3) +(Tabela1[[#This Row],[y]]-H$4)*(Tabela1[[#This Row],[y]]-H$4)</f>
        <v>35828</v>
      </c>
      <c r="D5699" s="1">
        <f>IF(Tabela1[[#This Row],[promien]]&lt;40000,1,0)</f>
        <v>1</v>
      </c>
      <c r="E5699" s="1">
        <f>IF(Tabela1[[#This Row],[promien]]=40000,1,0)</f>
        <v>0</v>
      </c>
      <c r="F5699" s="1">
        <v>3.1689770135111424</v>
      </c>
      <c r="G5699" s="1">
        <v>2.7384359921349244E-2</v>
      </c>
    </row>
    <row r="5700" spans="1:7">
      <c r="A5700">
        <v>19</v>
      </c>
      <c r="B5700">
        <v>302</v>
      </c>
      <c r="C5700" s="1">
        <f>(Tabela1[[#This Row],[x]]-H$3)*(Tabela1[[#This Row],[x]]-H$3) +(Tabela1[[#This Row],[y]]-H$4)*(Tabela1[[#This Row],[y]]-H$4)</f>
        <v>43165</v>
      </c>
      <c r="D5700" s="1">
        <f>IF(Tabela1[[#This Row],[promien]]&lt;40000,1,0)</f>
        <v>0</v>
      </c>
      <c r="E5700" s="1">
        <f>IF(Tabela1[[#This Row],[promien]]=40000,1,0)</f>
        <v>0</v>
      </c>
      <c r="F5700" s="1">
        <v>3.168421052631579</v>
      </c>
      <c r="G5700" s="1">
        <v>2.6828399041785911E-2</v>
      </c>
    </row>
    <row r="5701" spans="1:7">
      <c r="A5701">
        <v>261</v>
      </c>
      <c r="B5701">
        <v>181</v>
      </c>
      <c r="C5701" s="1">
        <f>(Tabela1[[#This Row],[x]]-H$3)*(Tabela1[[#This Row],[x]]-H$3) +(Tabela1[[#This Row],[y]]-H$4)*(Tabela1[[#This Row],[y]]-H$4)</f>
        <v>4082</v>
      </c>
      <c r="D5701" s="1">
        <f>IF(Tabela1[[#This Row],[promien]]&lt;40000,1,0)</f>
        <v>1</v>
      </c>
      <c r="E5701" s="1">
        <f>IF(Tabela1[[#This Row],[promien]]=40000,1,0)</f>
        <v>0</v>
      </c>
      <c r="F5701" s="1">
        <v>3.1685669180845464</v>
      </c>
      <c r="G5701" s="1">
        <v>2.6974264494753264E-2</v>
      </c>
    </row>
    <row r="5702" spans="1:7">
      <c r="A5702">
        <v>312</v>
      </c>
      <c r="B5702">
        <v>373</v>
      </c>
      <c r="C5702" s="1">
        <f>(Tabela1[[#This Row],[x]]-H$3)*(Tabela1[[#This Row],[x]]-H$3) +(Tabela1[[#This Row],[y]]-H$4)*(Tabela1[[#This Row],[y]]-H$4)</f>
        <v>42473</v>
      </c>
      <c r="D5702" s="1">
        <f>IF(Tabela1[[#This Row],[promien]]&lt;40000,1,0)</f>
        <v>0</v>
      </c>
      <c r="E5702" s="1">
        <f>IF(Tabela1[[#This Row],[promien]]=40000,1,0)</f>
        <v>0</v>
      </c>
      <c r="F5702" s="1">
        <v>3.1680112241318836</v>
      </c>
      <c r="G5702" s="1">
        <v>2.6418570542090514E-2</v>
      </c>
    </row>
    <row r="5703" spans="1:7">
      <c r="A5703">
        <v>133</v>
      </c>
      <c r="B5703">
        <v>67</v>
      </c>
      <c r="C5703" s="1">
        <f>(Tabela1[[#This Row],[x]]-H$3)*(Tabela1[[#This Row],[x]]-H$3) +(Tabela1[[#This Row],[y]]-H$4)*(Tabela1[[#This Row],[y]]-H$4)</f>
        <v>22178</v>
      </c>
      <c r="D5703" s="1">
        <f>IF(Tabela1[[#This Row],[promien]]&lt;40000,1,0)</f>
        <v>1</v>
      </c>
      <c r="E5703" s="1">
        <f>IF(Tabela1[[#This Row],[promien]]=40000,1,0)</f>
        <v>0</v>
      </c>
      <c r="F5703" s="1">
        <v>3.1681571102928285</v>
      </c>
      <c r="G5703" s="1">
        <v>2.6564456703035422E-2</v>
      </c>
    </row>
    <row r="5704" spans="1:7">
      <c r="A5704">
        <v>57</v>
      </c>
      <c r="B5704">
        <v>240</v>
      </c>
      <c r="C5704" s="1">
        <f>(Tabela1[[#This Row],[x]]-H$3)*(Tabela1[[#This Row],[x]]-H$3) +(Tabela1[[#This Row],[y]]-H$4)*(Tabela1[[#This Row],[y]]-H$4)</f>
        <v>22049</v>
      </c>
      <c r="D5704" s="1">
        <f>IF(Tabela1[[#This Row],[promien]]&lt;40000,1,0)</f>
        <v>1</v>
      </c>
      <c r="E5704" s="1">
        <f>IF(Tabela1[[#This Row],[promien]]=40000,1,0)</f>
        <v>0</v>
      </c>
      <c r="F5704" s="1">
        <v>3.168302945301543</v>
      </c>
      <c r="G5704" s="1">
        <v>2.6710291711749878E-2</v>
      </c>
    </row>
    <row r="5705" spans="1:7">
      <c r="A5705">
        <v>147</v>
      </c>
      <c r="B5705">
        <v>253</v>
      </c>
      <c r="C5705" s="1">
        <f>(Tabela1[[#This Row],[x]]-H$3)*(Tabela1[[#This Row],[x]]-H$3) +(Tabela1[[#This Row],[y]]-H$4)*(Tabela1[[#This Row],[y]]-H$4)</f>
        <v>5618</v>
      </c>
      <c r="D5705" s="1">
        <f>IF(Tabela1[[#This Row],[promien]]&lt;40000,1,0)</f>
        <v>1</v>
      </c>
      <c r="E5705" s="1">
        <f>IF(Tabela1[[#This Row],[promien]]=40000,1,0)</f>
        <v>0</v>
      </c>
      <c r="F5705" s="1">
        <v>3.1684487291849255</v>
      </c>
      <c r="G5705" s="1">
        <v>2.6856075595132367E-2</v>
      </c>
    </row>
    <row r="5706" spans="1:7">
      <c r="A5706">
        <v>315</v>
      </c>
      <c r="B5706">
        <v>1</v>
      </c>
      <c r="C5706" s="1">
        <f>(Tabela1[[#This Row],[x]]-H$3)*(Tabela1[[#This Row],[x]]-H$3) +(Tabela1[[#This Row],[y]]-H$4)*(Tabela1[[#This Row],[y]]-H$4)</f>
        <v>52826</v>
      </c>
      <c r="D5706" s="1">
        <f>IF(Tabela1[[#This Row],[promien]]&lt;40000,1,0)</f>
        <v>0</v>
      </c>
      <c r="E5706" s="1">
        <f>IF(Tabela1[[#This Row],[promien]]=40000,1,0)</f>
        <v>0</v>
      </c>
      <c r="F5706" s="1">
        <v>3.1678934454959693</v>
      </c>
      <c r="G5706" s="1">
        <v>2.630079190617618E-2</v>
      </c>
    </row>
    <row r="5707" spans="1:7">
      <c r="A5707">
        <v>327</v>
      </c>
      <c r="B5707">
        <v>72</v>
      </c>
      <c r="C5707" s="1">
        <f>(Tabela1[[#This Row],[x]]-H$3)*(Tabela1[[#This Row],[x]]-H$3) +(Tabela1[[#This Row],[y]]-H$4)*(Tabela1[[#This Row],[y]]-H$4)</f>
        <v>32513</v>
      </c>
      <c r="D5707" s="1">
        <f>IF(Tabela1[[#This Row],[promien]]&lt;40000,1,0)</f>
        <v>1</v>
      </c>
      <c r="E5707" s="1">
        <f>IF(Tabela1[[#This Row],[promien]]=40000,1,0)</f>
        <v>0</v>
      </c>
      <c r="F5707" s="1">
        <v>3.1680392500438059</v>
      </c>
      <c r="G5707" s="1">
        <v>2.6446596454012816E-2</v>
      </c>
    </row>
    <row r="5708" spans="1:7">
      <c r="A5708">
        <v>309</v>
      </c>
      <c r="B5708">
        <v>314</v>
      </c>
      <c r="C5708" s="1">
        <f>(Tabela1[[#This Row],[x]]-H$3)*(Tabela1[[#This Row],[x]]-H$3) +(Tabela1[[#This Row],[y]]-H$4)*(Tabela1[[#This Row],[y]]-H$4)</f>
        <v>24877</v>
      </c>
      <c r="D5708" s="1">
        <f>IF(Tabela1[[#This Row],[promien]]&lt;40000,1,0)</f>
        <v>1</v>
      </c>
      <c r="E5708" s="1">
        <f>IF(Tabela1[[#This Row],[promien]]=40000,1,0)</f>
        <v>0</v>
      </c>
      <c r="F5708" s="1">
        <v>3.1681850035038543</v>
      </c>
      <c r="G5708" s="1">
        <v>2.6592349914061231E-2</v>
      </c>
    </row>
    <row r="5709" spans="1:7">
      <c r="A5709">
        <v>257</v>
      </c>
      <c r="B5709">
        <v>110</v>
      </c>
      <c r="C5709" s="1">
        <f>(Tabela1[[#This Row],[x]]-H$3)*(Tabela1[[#This Row],[x]]-H$3) +(Tabela1[[#This Row],[y]]-H$4)*(Tabela1[[#This Row],[y]]-H$4)</f>
        <v>11349</v>
      </c>
      <c r="D5709" s="1">
        <f>IF(Tabela1[[#This Row],[promien]]&lt;40000,1,0)</f>
        <v>1</v>
      </c>
      <c r="E5709" s="1">
        <f>IF(Tabela1[[#This Row],[promien]]=40000,1,0)</f>
        <v>0</v>
      </c>
      <c r="F5709" s="1">
        <v>3.1683307059029602</v>
      </c>
      <c r="G5709" s="1">
        <v>2.673805231316706E-2</v>
      </c>
    </row>
    <row r="5710" spans="1:7">
      <c r="A5710">
        <v>158</v>
      </c>
      <c r="B5710">
        <v>178</v>
      </c>
      <c r="C5710" s="1">
        <f>(Tabela1[[#This Row],[x]]-H$3)*(Tabela1[[#This Row],[x]]-H$3) +(Tabela1[[#This Row],[y]]-H$4)*(Tabela1[[#This Row],[y]]-H$4)</f>
        <v>2248</v>
      </c>
      <c r="D5710" s="1">
        <f>IF(Tabela1[[#This Row],[promien]]&lt;40000,1,0)</f>
        <v>1</v>
      </c>
      <c r="E5710" s="1">
        <f>IF(Tabela1[[#This Row],[promien]]=40000,1,0)</f>
        <v>0</v>
      </c>
      <c r="F5710" s="1">
        <v>3.1684763572679508</v>
      </c>
      <c r="G5710" s="1">
        <v>2.6883703678157733E-2</v>
      </c>
    </row>
    <row r="5711" spans="1:7">
      <c r="A5711">
        <v>28</v>
      </c>
      <c r="B5711">
        <v>186</v>
      </c>
      <c r="C5711" s="1">
        <f>(Tabela1[[#This Row],[x]]-H$3)*(Tabela1[[#This Row],[x]]-H$3) +(Tabela1[[#This Row],[y]]-H$4)*(Tabela1[[#This Row],[y]]-H$4)</f>
        <v>29780</v>
      </c>
      <c r="D5711" s="1">
        <f>IF(Tabela1[[#This Row],[promien]]&lt;40000,1,0)</f>
        <v>1</v>
      </c>
      <c r="E5711" s="1">
        <f>IF(Tabela1[[#This Row],[promien]]=40000,1,0)</f>
        <v>0</v>
      </c>
      <c r="F5711" s="1">
        <v>3.1686219576256347</v>
      </c>
      <c r="G5711" s="1">
        <v>2.7029304035841584E-2</v>
      </c>
    </row>
    <row r="5712" spans="1:7">
      <c r="A5712">
        <v>291</v>
      </c>
      <c r="B5712">
        <v>335</v>
      </c>
      <c r="C5712" s="1">
        <f>(Tabela1[[#This Row],[x]]-H$3)*(Tabela1[[#This Row],[x]]-H$3) +(Tabela1[[#This Row],[y]]-H$4)*(Tabela1[[#This Row],[y]]-H$4)</f>
        <v>26506</v>
      </c>
      <c r="D5712" s="1">
        <f>IF(Tabela1[[#This Row],[promien]]&lt;40000,1,0)</f>
        <v>1</v>
      </c>
      <c r="E5712" s="1">
        <f>IF(Tabela1[[#This Row],[promien]]=40000,1,0)</f>
        <v>0</v>
      </c>
      <c r="F5712" s="1">
        <v>3.168767507002801</v>
      </c>
      <c r="G5712" s="1">
        <v>2.7174853413007849E-2</v>
      </c>
    </row>
    <row r="5713" spans="1:7">
      <c r="A5713">
        <v>76</v>
      </c>
      <c r="B5713">
        <v>110</v>
      </c>
      <c r="C5713" s="1">
        <f>(Tabela1[[#This Row],[x]]-H$3)*(Tabela1[[#This Row],[x]]-H$3) +(Tabela1[[#This Row],[y]]-H$4)*(Tabela1[[#This Row],[y]]-H$4)</f>
        <v>23476</v>
      </c>
      <c r="D5713" s="1">
        <f>IF(Tabela1[[#This Row],[promien]]&lt;40000,1,0)</f>
        <v>1</v>
      </c>
      <c r="E5713" s="1">
        <f>IF(Tabela1[[#This Row],[promien]]=40000,1,0)</f>
        <v>0</v>
      </c>
      <c r="F5713" s="1">
        <v>3.1689130054262211</v>
      </c>
      <c r="G5713" s="1">
        <v>2.7320351836428003E-2</v>
      </c>
    </row>
    <row r="5714" spans="1:7">
      <c r="A5714">
        <v>355</v>
      </c>
      <c r="B5714">
        <v>365</v>
      </c>
      <c r="C5714" s="1">
        <f>(Tabela1[[#This Row],[x]]-H$3)*(Tabela1[[#This Row],[x]]-H$3) +(Tabela1[[#This Row],[y]]-H$4)*(Tabela1[[#This Row],[y]]-H$4)</f>
        <v>51250</v>
      </c>
      <c r="D5714" s="1">
        <f>IF(Tabela1[[#This Row],[promien]]&lt;40000,1,0)</f>
        <v>0</v>
      </c>
      <c r="E5714" s="1">
        <f>IF(Tabela1[[#This Row],[promien]]=40000,1,0)</f>
        <v>0</v>
      </c>
      <c r="F5714" s="1">
        <v>3.1683584179208961</v>
      </c>
      <c r="G5714" s="1">
        <v>2.6765764331103004E-2</v>
      </c>
    </row>
    <row r="5715" spans="1:7">
      <c r="A5715">
        <v>173</v>
      </c>
      <c r="B5715">
        <v>153</v>
      </c>
      <c r="C5715" s="1">
        <f>(Tabela1[[#This Row],[x]]-H$3)*(Tabela1[[#This Row],[x]]-H$3) +(Tabela1[[#This Row],[y]]-H$4)*(Tabela1[[#This Row],[y]]-H$4)</f>
        <v>2938</v>
      </c>
      <c r="D5715" s="1">
        <f>IF(Tabela1[[#This Row],[promien]]&lt;40000,1,0)</f>
        <v>1</v>
      </c>
      <c r="E5715" s="1">
        <f>IF(Tabela1[[#This Row],[promien]]=40000,1,0)</f>
        <v>0</v>
      </c>
      <c r="F5715" s="1">
        <v>3.1685039370078738</v>
      </c>
      <c r="G5715" s="1">
        <v>2.6911283418080689E-2</v>
      </c>
    </row>
    <row r="5716" spans="1:7">
      <c r="A5716">
        <v>310</v>
      </c>
      <c r="B5716">
        <v>157</v>
      </c>
      <c r="C5716" s="1">
        <f>(Tabela1[[#This Row],[x]]-H$3)*(Tabela1[[#This Row],[x]]-H$3) +(Tabela1[[#This Row],[y]]-H$4)*(Tabela1[[#This Row],[y]]-H$4)</f>
        <v>13949</v>
      </c>
      <c r="D5716" s="1">
        <f>IF(Tabela1[[#This Row],[promien]]&lt;40000,1,0)</f>
        <v>1</v>
      </c>
      <c r="E5716" s="1">
        <f>IF(Tabela1[[#This Row],[promien]]=40000,1,0)</f>
        <v>0</v>
      </c>
      <c r="F5716" s="1">
        <v>3.1686494051784466</v>
      </c>
      <c r="G5716" s="1">
        <v>2.7056751588653505E-2</v>
      </c>
    </row>
    <row r="5717" spans="1:7">
      <c r="A5717">
        <v>161</v>
      </c>
      <c r="B5717">
        <v>174</v>
      </c>
      <c r="C5717" s="1">
        <f>(Tabela1[[#This Row],[x]]-H$3)*(Tabela1[[#This Row],[x]]-H$3) +(Tabela1[[#This Row],[y]]-H$4)*(Tabela1[[#This Row],[y]]-H$4)</f>
        <v>2197</v>
      </c>
      <c r="D5717" s="1">
        <f>IF(Tabela1[[#This Row],[promien]]&lt;40000,1,0)</f>
        <v>1</v>
      </c>
      <c r="E5717" s="1">
        <f>IF(Tabela1[[#This Row],[promien]]=40000,1,0)</f>
        <v>0</v>
      </c>
      <c r="F5717" s="1">
        <v>3.1687948224593319</v>
      </c>
      <c r="G5717" s="1">
        <v>2.7202168869538745E-2</v>
      </c>
    </row>
    <row r="5718" spans="1:7">
      <c r="A5718">
        <v>238</v>
      </c>
      <c r="B5718">
        <v>339</v>
      </c>
      <c r="C5718" s="1">
        <f>(Tabela1[[#This Row],[x]]-H$3)*(Tabela1[[#This Row],[x]]-H$3) +(Tabela1[[#This Row],[y]]-H$4)*(Tabela1[[#This Row],[y]]-H$4)</f>
        <v>20765</v>
      </c>
      <c r="D5718" s="1">
        <f>IF(Tabela1[[#This Row],[promien]]&lt;40000,1,0)</f>
        <v>1</v>
      </c>
      <c r="E5718" s="1">
        <f>IF(Tabela1[[#This Row],[promien]]=40000,1,0)</f>
        <v>0</v>
      </c>
      <c r="F5718" s="1">
        <v>3.1689401888772299</v>
      </c>
      <c r="G5718" s="1">
        <v>2.734753528743683E-2</v>
      </c>
    </row>
    <row r="5719" spans="1:7">
      <c r="A5719">
        <v>288</v>
      </c>
      <c r="B5719">
        <v>1</v>
      </c>
      <c r="C5719" s="1">
        <f>(Tabela1[[#This Row],[x]]-H$3)*(Tabela1[[#This Row],[x]]-H$3) +(Tabela1[[#This Row],[y]]-H$4)*(Tabela1[[#This Row],[y]]-H$4)</f>
        <v>47345</v>
      </c>
      <c r="D5719" s="1">
        <f>IF(Tabela1[[#This Row],[promien]]&lt;40000,1,0)</f>
        <v>0</v>
      </c>
      <c r="E5719" s="1">
        <f>IF(Tabela1[[#This Row],[promien]]=40000,1,0)</f>
        <v>0</v>
      </c>
      <c r="F5719" s="1">
        <v>3.1683860814827769</v>
      </c>
      <c r="G5719" s="1">
        <v>2.6793427892983779E-2</v>
      </c>
    </row>
    <row r="5720" spans="1:7">
      <c r="A5720">
        <v>73</v>
      </c>
      <c r="B5720">
        <v>339</v>
      </c>
      <c r="C5720" s="1">
        <f>(Tabela1[[#This Row],[x]]-H$3)*(Tabela1[[#This Row],[x]]-H$3) +(Tabela1[[#This Row],[y]]-H$4)*(Tabela1[[#This Row],[y]]-H$4)</f>
        <v>35450</v>
      </c>
      <c r="D5720" s="1">
        <f>IF(Tabela1[[#This Row],[promien]]&lt;40000,1,0)</f>
        <v>1</v>
      </c>
      <c r="E5720" s="1">
        <f>IF(Tabela1[[#This Row],[promien]]=40000,1,0)</f>
        <v>0</v>
      </c>
      <c r="F5720" s="1">
        <v>3.1685314685314685</v>
      </c>
      <c r="G5720" s="1">
        <v>2.6938814941675382E-2</v>
      </c>
    </row>
    <row r="5721" spans="1:7">
      <c r="A5721">
        <v>177</v>
      </c>
      <c r="B5721">
        <v>244</v>
      </c>
      <c r="C5721" s="1">
        <f>(Tabela1[[#This Row],[x]]-H$3)*(Tabela1[[#This Row],[x]]-H$3) +(Tabela1[[#This Row],[y]]-H$4)*(Tabela1[[#This Row],[y]]-H$4)</f>
        <v>2465</v>
      </c>
      <c r="D5721" s="1">
        <f>IF(Tabela1[[#This Row],[promien]]&lt;40000,1,0)</f>
        <v>1</v>
      </c>
      <c r="E5721" s="1">
        <f>IF(Tabela1[[#This Row],[promien]]=40000,1,0)</f>
        <v>0</v>
      </c>
      <c r="F5721" s="1">
        <v>3.1686768047544134</v>
      </c>
      <c r="G5721" s="1">
        <v>2.7084151164620263E-2</v>
      </c>
    </row>
    <row r="5722" spans="1:7">
      <c r="A5722">
        <v>165</v>
      </c>
      <c r="B5722">
        <v>325</v>
      </c>
      <c r="C5722" s="1">
        <f>(Tabela1[[#This Row],[x]]-H$3)*(Tabela1[[#This Row],[x]]-H$3) +(Tabela1[[#This Row],[y]]-H$4)*(Tabela1[[#This Row],[y]]-H$4)</f>
        <v>16850</v>
      </c>
      <c r="D5722" s="1">
        <f>IF(Tabela1[[#This Row],[promien]]&lt;40000,1,0)</f>
        <v>1</v>
      </c>
      <c r="E5722" s="1">
        <f>IF(Tabela1[[#This Row],[promien]]=40000,1,0)</f>
        <v>0</v>
      </c>
      <c r="F5722" s="1">
        <v>3.1688220901782596</v>
      </c>
      <c r="G5722" s="1">
        <v>2.7229436588466438E-2</v>
      </c>
    </row>
    <row r="5723" spans="1:7">
      <c r="A5723">
        <v>286</v>
      </c>
      <c r="B5723">
        <v>121</v>
      </c>
      <c r="C5723" s="1">
        <f>(Tabela1[[#This Row],[x]]-H$3)*(Tabela1[[#This Row],[x]]-H$3) +(Tabela1[[#This Row],[y]]-H$4)*(Tabela1[[#This Row],[y]]-H$4)</f>
        <v>13637</v>
      </c>
      <c r="D5723" s="1">
        <f>IF(Tabela1[[#This Row],[promien]]&lt;40000,1,0)</f>
        <v>1</v>
      </c>
      <c r="E5723" s="1">
        <f>IF(Tabela1[[#This Row],[promien]]=40000,1,0)</f>
        <v>0</v>
      </c>
      <c r="F5723" s="1">
        <v>3.1689673248296346</v>
      </c>
      <c r="G5723" s="1">
        <v>2.7374671239841497E-2</v>
      </c>
    </row>
    <row r="5724" spans="1:7">
      <c r="A5724">
        <v>37</v>
      </c>
      <c r="B5724">
        <v>113</v>
      </c>
      <c r="C5724" s="1">
        <f>(Tabela1[[#This Row],[x]]-H$3)*(Tabela1[[#This Row],[x]]-H$3) +(Tabela1[[#This Row],[y]]-H$4)*(Tabela1[[#This Row],[y]]-H$4)</f>
        <v>34138</v>
      </c>
      <c r="D5724" s="1">
        <f>IF(Tabela1[[#This Row],[promien]]&lt;40000,1,0)</f>
        <v>1</v>
      </c>
      <c r="E5724" s="1">
        <f>IF(Tabela1[[#This Row],[promien]]=40000,1,0)</f>
        <v>0</v>
      </c>
      <c r="F5724" s="1">
        <v>3.1691125087351502</v>
      </c>
      <c r="G5724" s="1">
        <v>2.7519855145357042E-2</v>
      </c>
    </row>
    <row r="5725" spans="1:7">
      <c r="A5725">
        <v>27</v>
      </c>
      <c r="B5725">
        <v>80</v>
      </c>
      <c r="C5725" s="1">
        <f>(Tabela1[[#This Row],[x]]-H$3)*(Tabela1[[#This Row],[x]]-H$3) +(Tabela1[[#This Row],[y]]-H$4)*(Tabela1[[#This Row],[y]]-H$4)</f>
        <v>44329</v>
      </c>
      <c r="D5725" s="1">
        <f>IF(Tabela1[[#This Row],[promien]]&lt;40000,1,0)</f>
        <v>0</v>
      </c>
      <c r="E5725" s="1">
        <f>IF(Tabela1[[#This Row],[promien]]=40000,1,0)</f>
        <v>0</v>
      </c>
      <c r="F5725" s="1">
        <v>3.1685589519650654</v>
      </c>
      <c r="G5725" s="1">
        <v>2.6966298375272313E-2</v>
      </c>
    </row>
    <row r="5726" spans="1:7">
      <c r="A5726">
        <v>195</v>
      </c>
      <c r="B5726">
        <v>378</v>
      </c>
      <c r="C5726" s="1">
        <f>(Tabela1[[#This Row],[x]]-H$3)*(Tabela1[[#This Row],[x]]-H$3) +(Tabela1[[#This Row],[y]]-H$4)*(Tabela1[[#This Row],[y]]-H$4)</f>
        <v>31709</v>
      </c>
      <c r="D5726" s="1">
        <f>IF(Tabela1[[#This Row],[promien]]&lt;40000,1,0)</f>
        <v>1</v>
      </c>
      <c r="E5726" s="1">
        <f>IF(Tabela1[[#This Row],[promien]]=40000,1,0)</f>
        <v>0</v>
      </c>
      <c r="F5726" s="1">
        <v>3.1687041564792175</v>
      </c>
      <c r="G5726" s="1">
        <v>2.7111502889424433E-2</v>
      </c>
    </row>
    <row r="5727" spans="1:7">
      <c r="A5727">
        <v>289</v>
      </c>
      <c r="B5727">
        <v>117</v>
      </c>
      <c r="C5727" s="1">
        <f>(Tabela1[[#This Row],[x]]-H$3)*(Tabela1[[#This Row],[x]]-H$3) +(Tabela1[[#This Row],[y]]-H$4)*(Tabela1[[#This Row],[y]]-H$4)</f>
        <v>14810</v>
      </c>
      <c r="D5727" s="1">
        <f>IF(Tabela1[[#This Row],[promien]]&lt;40000,1,0)</f>
        <v>1</v>
      </c>
      <c r="E5727" s="1">
        <f>IF(Tabela1[[#This Row],[promien]]=40000,1,0)</f>
        <v>0</v>
      </c>
      <c r="F5727" s="1">
        <v>3.1688493102846169</v>
      </c>
      <c r="G5727" s="1">
        <v>2.72566566948238E-2</v>
      </c>
    </row>
    <row r="5728" spans="1:7">
      <c r="A5728">
        <v>186</v>
      </c>
      <c r="B5728">
        <v>385</v>
      </c>
      <c r="C5728" s="1">
        <f>(Tabela1[[#This Row],[x]]-H$3)*(Tabela1[[#This Row],[x]]-H$3) +(Tabela1[[#This Row],[y]]-H$4)*(Tabela1[[#This Row],[y]]-H$4)</f>
        <v>34421</v>
      </c>
      <c r="D5728" s="1">
        <f>IF(Tabela1[[#This Row],[promien]]&lt;40000,1,0)</f>
        <v>1</v>
      </c>
      <c r="E5728" s="1">
        <f>IF(Tabela1[[#This Row],[promien]]=40000,1,0)</f>
        <v>0</v>
      </c>
      <c r="F5728" s="1">
        <v>3.1689944134078214</v>
      </c>
      <c r="G5728" s="1">
        <v>2.7401759818028282E-2</v>
      </c>
    </row>
    <row r="5729" spans="1:7">
      <c r="A5729">
        <v>307</v>
      </c>
      <c r="B5729">
        <v>83</v>
      </c>
      <c r="C5729" s="1">
        <f>(Tabela1[[#This Row],[x]]-H$3)*(Tabela1[[#This Row],[x]]-H$3) +(Tabela1[[#This Row],[y]]-H$4)*(Tabela1[[#This Row],[y]]-H$4)</f>
        <v>25138</v>
      </c>
      <c r="D5729" s="1">
        <f>IF(Tabela1[[#This Row],[promien]]&lt;40000,1,0)</f>
        <v>1</v>
      </c>
      <c r="E5729" s="1">
        <f>IF(Tabela1[[#This Row],[promien]]=40000,1,0)</f>
        <v>0</v>
      </c>
      <c r="F5729" s="1">
        <v>3.1691394658753711</v>
      </c>
      <c r="G5729" s="1">
        <v>2.7546812285577982E-2</v>
      </c>
    </row>
    <row r="5730" spans="1:7">
      <c r="A5730">
        <v>283</v>
      </c>
      <c r="B5730">
        <v>193</v>
      </c>
      <c r="C5730" s="1">
        <f>(Tabela1[[#This Row],[x]]-H$3)*(Tabela1[[#This Row],[x]]-H$3) +(Tabela1[[#This Row],[y]]-H$4)*(Tabela1[[#This Row],[y]]-H$4)</f>
        <v>6938</v>
      </c>
      <c r="D5730" s="1">
        <f>IF(Tabela1[[#This Row],[promien]]&lt;40000,1,0)</f>
        <v>1</v>
      </c>
      <c r="E5730" s="1">
        <f>IF(Tabela1[[#This Row],[promien]]=40000,1,0)</f>
        <v>0</v>
      </c>
      <c r="F5730" s="1">
        <v>3.169284467713787</v>
      </c>
      <c r="G5730" s="1">
        <v>2.7691814123993908E-2</v>
      </c>
    </row>
    <row r="5731" spans="1:7">
      <c r="A5731">
        <v>224</v>
      </c>
      <c r="B5731">
        <v>257</v>
      </c>
      <c r="C5731" s="1">
        <f>(Tabela1[[#This Row],[x]]-H$3)*(Tabela1[[#This Row],[x]]-H$3) +(Tabela1[[#This Row],[y]]-H$4)*(Tabela1[[#This Row],[y]]-H$4)</f>
        <v>3825</v>
      </c>
      <c r="D5731" s="1">
        <f>IF(Tabela1[[#This Row],[promien]]&lt;40000,1,0)</f>
        <v>1</v>
      </c>
      <c r="E5731" s="1">
        <f>IF(Tabela1[[#This Row],[promien]]=40000,1,0)</f>
        <v>0</v>
      </c>
      <c r="F5731" s="1">
        <v>3.1694294189495724</v>
      </c>
      <c r="G5731" s="1">
        <v>2.7836765359779303E-2</v>
      </c>
    </row>
    <row r="5732" spans="1:7">
      <c r="A5732">
        <v>243</v>
      </c>
      <c r="B5732">
        <v>345</v>
      </c>
      <c r="C5732" s="1">
        <f>(Tabela1[[#This Row],[x]]-H$3)*(Tabela1[[#This Row],[x]]-H$3) +(Tabela1[[#This Row],[y]]-H$4)*(Tabela1[[#This Row],[y]]-H$4)</f>
        <v>22874</v>
      </c>
      <c r="D5732" s="1">
        <f>IF(Tabela1[[#This Row],[promien]]&lt;40000,1,0)</f>
        <v>1</v>
      </c>
      <c r="E5732" s="1">
        <f>IF(Tabela1[[#This Row],[promien]]=40000,1,0)</f>
        <v>0</v>
      </c>
      <c r="F5732" s="1">
        <v>3.1695743196092114</v>
      </c>
      <c r="G5732" s="1">
        <v>2.7981666019418316E-2</v>
      </c>
    </row>
    <row r="5733" spans="1:7">
      <c r="A5733">
        <v>144</v>
      </c>
      <c r="B5733">
        <v>86</v>
      </c>
      <c r="C5733" s="1">
        <f>(Tabela1[[#This Row],[x]]-H$3)*(Tabela1[[#This Row],[x]]-H$3) +(Tabela1[[#This Row],[y]]-H$4)*(Tabela1[[#This Row],[y]]-H$4)</f>
        <v>16132</v>
      </c>
      <c r="D5733" s="1">
        <f>IF(Tabela1[[#This Row],[promien]]&lt;40000,1,0)</f>
        <v>1</v>
      </c>
      <c r="E5733" s="1">
        <f>IF(Tabela1[[#This Row],[promien]]=40000,1,0)</f>
        <v>0</v>
      </c>
      <c r="F5733" s="1">
        <v>3.1697191697191696</v>
      </c>
      <c r="G5733" s="1">
        <v>2.8126516129376444E-2</v>
      </c>
    </row>
    <row r="5734" spans="1:7">
      <c r="A5734">
        <v>206</v>
      </c>
      <c r="B5734">
        <v>228</v>
      </c>
      <c r="C5734" s="1">
        <f>(Tabela1[[#This Row],[x]]-H$3)*(Tabela1[[#This Row],[x]]-H$3) +(Tabela1[[#This Row],[y]]-H$4)*(Tabela1[[#This Row],[y]]-H$4)</f>
        <v>820</v>
      </c>
      <c r="D5734" s="1">
        <f>IF(Tabela1[[#This Row],[promien]]&lt;40000,1,0)</f>
        <v>1</v>
      </c>
      <c r="E5734" s="1">
        <f>IF(Tabela1[[#This Row],[promien]]=40000,1,0)</f>
        <v>0</v>
      </c>
      <c r="F5734" s="1">
        <v>3.1698639693058945</v>
      </c>
      <c r="G5734" s="1">
        <v>2.8271315716101419E-2</v>
      </c>
    </row>
    <row r="5735" spans="1:7">
      <c r="A5735">
        <v>398</v>
      </c>
      <c r="B5735">
        <v>22</v>
      </c>
      <c r="C5735" s="1">
        <f>(Tabela1[[#This Row],[x]]-H$3)*(Tabela1[[#This Row],[x]]-H$3) +(Tabela1[[#This Row],[y]]-H$4)*(Tabela1[[#This Row],[y]]-H$4)</f>
        <v>70888</v>
      </c>
      <c r="D5735" s="1">
        <f>IF(Tabela1[[#This Row],[promien]]&lt;40000,1,0)</f>
        <v>0</v>
      </c>
      <c r="E5735" s="1">
        <f>IF(Tabela1[[#This Row],[promien]]=40000,1,0)</f>
        <v>0</v>
      </c>
      <c r="F5735" s="1">
        <v>3.1693112467306017</v>
      </c>
      <c r="G5735" s="1">
        <v>2.7718593140808601E-2</v>
      </c>
    </row>
    <row r="5736" spans="1:7">
      <c r="A5736">
        <v>49</v>
      </c>
      <c r="B5736">
        <v>117</v>
      </c>
      <c r="C5736" s="1">
        <f>(Tabela1[[#This Row],[x]]-H$3)*(Tabela1[[#This Row],[x]]-H$3) +(Tabela1[[#This Row],[y]]-H$4)*(Tabela1[[#This Row],[y]]-H$4)</f>
        <v>29690</v>
      </c>
      <c r="D5736" s="1">
        <f>IF(Tabela1[[#This Row],[promien]]&lt;40000,1,0)</f>
        <v>1</v>
      </c>
      <c r="E5736" s="1">
        <f>IF(Tabela1[[#This Row],[promien]]=40000,1,0)</f>
        <v>0</v>
      </c>
      <c r="F5736" s="1">
        <v>3.1694560669456067</v>
      </c>
      <c r="G5736" s="1">
        <v>2.7863413355813549E-2</v>
      </c>
    </row>
    <row r="5737" spans="1:7">
      <c r="A5737">
        <v>84</v>
      </c>
      <c r="B5737">
        <v>305</v>
      </c>
      <c r="C5737" s="1">
        <f>(Tabela1[[#This Row],[x]]-H$3)*(Tabela1[[#This Row],[x]]-H$3) +(Tabela1[[#This Row],[y]]-H$4)*(Tabela1[[#This Row],[y]]-H$4)</f>
        <v>24481</v>
      </c>
      <c r="D5737" s="1">
        <f>IF(Tabela1[[#This Row],[promien]]&lt;40000,1,0)</f>
        <v>1</v>
      </c>
      <c r="E5737" s="1">
        <f>IF(Tabela1[[#This Row],[promien]]=40000,1,0)</f>
        <v>0</v>
      </c>
      <c r="F5737" s="1">
        <v>3.1696008366742201</v>
      </c>
      <c r="G5737" s="1">
        <v>2.8008183084426985E-2</v>
      </c>
    </row>
    <row r="5738" spans="1:7">
      <c r="A5738">
        <v>372</v>
      </c>
      <c r="B5738">
        <v>5</v>
      </c>
      <c r="C5738" s="1">
        <f>(Tabela1[[#This Row],[x]]-H$3)*(Tabela1[[#This Row],[x]]-H$3) +(Tabela1[[#This Row],[y]]-H$4)*(Tabela1[[#This Row],[y]]-H$4)</f>
        <v>67609</v>
      </c>
      <c r="D5738" s="1">
        <f>IF(Tabela1[[#This Row],[promien]]&lt;40000,1,0)</f>
        <v>0</v>
      </c>
      <c r="E5738" s="1">
        <f>IF(Tabela1[[#This Row],[promien]]=40000,1,0)</f>
        <v>0</v>
      </c>
      <c r="F5738" s="1">
        <v>3.1690484489369117</v>
      </c>
      <c r="G5738" s="1">
        <v>2.7455795347118617E-2</v>
      </c>
    </row>
    <row r="5739" spans="1:7">
      <c r="A5739">
        <v>170</v>
      </c>
      <c r="B5739">
        <v>273</v>
      </c>
      <c r="C5739" s="1">
        <f>(Tabela1[[#This Row],[x]]-H$3)*(Tabela1[[#This Row],[x]]-H$3) +(Tabela1[[#This Row],[y]]-H$4)*(Tabela1[[#This Row],[y]]-H$4)</f>
        <v>6229</v>
      </c>
      <c r="D5739" s="1">
        <f>IF(Tabela1[[#This Row],[promien]]&lt;40000,1,0)</f>
        <v>1</v>
      </c>
      <c r="E5739" s="1">
        <f>IF(Tabela1[[#This Row],[promien]]=40000,1,0)</f>
        <v>0</v>
      </c>
      <c r="F5739" s="1">
        <v>3.1691932392402857</v>
      </c>
      <c r="G5739" s="1">
        <v>2.7600585650492615E-2</v>
      </c>
    </row>
    <row r="5740" spans="1:7">
      <c r="A5740">
        <v>139</v>
      </c>
      <c r="B5740">
        <v>220</v>
      </c>
      <c r="C5740" s="1">
        <f>(Tabela1[[#This Row],[x]]-H$3)*(Tabela1[[#This Row],[x]]-H$3) +(Tabela1[[#This Row],[y]]-H$4)*(Tabela1[[#This Row],[y]]-H$4)</f>
        <v>4121</v>
      </c>
      <c r="D5740" s="1">
        <f>IF(Tabela1[[#This Row],[promien]]&lt;40000,1,0)</f>
        <v>1</v>
      </c>
      <c r="E5740" s="1">
        <f>IF(Tabela1[[#This Row],[promien]]=40000,1,0)</f>
        <v>0</v>
      </c>
      <c r="F5740" s="1">
        <v>3.1693379790940766</v>
      </c>
      <c r="G5740" s="1">
        <v>2.7745325504283436E-2</v>
      </c>
    </row>
    <row r="5741" spans="1:7">
      <c r="A5741">
        <v>355</v>
      </c>
      <c r="B5741">
        <v>125</v>
      </c>
      <c r="C5741" s="1">
        <f>(Tabela1[[#This Row],[x]]-H$3)*(Tabela1[[#This Row],[x]]-H$3) +(Tabela1[[#This Row],[y]]-H$4)*(Tabela1[[#This Row],[y]]-H$4)</f>
        <v>29650</v>
      </c>
      <c r="D5741" s="1">
        <f>IF(Tabela1[[#This Row],[promien]]&lt;40000,1,0)</f>
        <v>1</v>
      </c>
      <c r="E5741" s="1">
        <f>IF(Tabela1[[#This Row],[promien]]=40000,1,0)</f>
        <v>0</v>
      </c>
      <c r="F5741" s="1">
        <v>3.1694826685246471</v>
      </c>
      <c r="G5741" s="1">
        <v>2.7890014934853991E-2</v>
      </c>
    </row>
    <row r="5742" spans="1:7">
      <c r="A5742">
        <v>48</v>
      </c>
      <c r="B5742">
        <v>274</v>
      </c>
      <c r="C5742" s="1">
        <f>(Tabela1[[#This Row],[x]]-H$3)*(Tabela1[[#This Row],[x]]-H$3) +(Tabela1[[#This Row],[y]]-H$4)*(Tabela1[[#This Row],[y]]-H$4)</f>
        <v>28580</v>
      </c>
      <c r="D5742" s="1">
        <f>IF(Tabela1[[#This Row],[promien]]&lt;40000,1,0)</f>
        <v>1</v>
      </c>
      <c r="E5742" s="1">
        <f>IF(Tabela1[[#This Row],[promien]]=40000,1,0)</f>
        <v>0</v>
      </c>
      <c r="F5742" s="1">
        <v>3.1696273075583421</v>
      </c>
      <c r="G5742" s="1">
        <v>2.8034653968548984E-2</v>
      </c>
    </row>
    <row r="5743" spans="1:7">
      <c r="A5743">
        <v>129</v>
      </c>
      <c r="B5743">
        <v>247</v>
      </c>
      <c r="C5743" s="1">
        <f>(Tabela1[[#This Row],[x]]-H$3)*(Tabela1[[#This Row],[x]]-H$3) +(Tabela1[[#This Row],[y]]-H$4)*(Tabela1[[#This Row],[y]]-H$4)</f>
        <v>7250</v>
      </c>
      <c r="D5743" s="1">
        <f>IF(Tabela1[[#This Row],[promien]]&lt;40000,1,0)</f>
        <v>1</v>
      </c>
      <c r="E5743" s="1">
        <f>IF(Tabela1[[#This Row],[promien]]=40000,1,0)</f>
        <v>0</v>
      </c>
      <c r="F5743" s="1">
        <v>3.1697718962214871</v>
      </c>
      <c r="G5743" s="1">
        <v>2.8179242631694024E-2</v>
      </c>
    </row>
    <row r="5744" spans="1:7">
      <c r="A5744">
        <v>297</v>
      </c>
      <c r="B5744">
        <v>226</v>
      </c>
      <c r="C5744" s="1">
        <f>(Tabela1[[#This Row],[x]]-H$3)*(Tabela1[[#This Row],[x]]-H$3) +(Tabela1[[#This Row],[y]]-H$4)*(Tabela1[[#This Row],[y]]-H$4)</f>
        <v>10085</v>
      </c>
      <c r="D5744" s="1">
        <f>IF(Tabela1[[#This Row],[promien]]&lt;40000,1,0)</f>
        <v>1</v>
      </c>
      <c r="E5744" s="1">
        <f>IF(Tabela1[[#This Row],[promien]]=40000,1,0)</f>
        <v>0</v>
      </c>
      <c r="F5744" s="1">
        <v>3.1699164345403901</v>
      </c>
      <c r="G5744" s="1">
        <v>2.8323780950596955E-2</v>
      </c>
    </row>
    <row r="5745" spans="1:7">
      <c r="A5745">
        <v>123</v>
      </c>
      <c r="B5745">
        <v>263</v>
      </c>
      <c r="C5745" s="1">
        <f>(Tabela1[[#This Row],[x]]-H$3)*(Tabela1[[#This Row],[x]]-H$3) +(Tabela1[[#This Row],[y]]-H$4)*(Tabela1[[#This Row],[y]]-H$4)</f>
        <v>9898</v>
      </c>
      <c r="D5745" s="1">
        <f>IF(Tabela1[[#This Row],[promien]]&lt;40000,1,0)</f>
        <v>1</v>
      </c>
      <c r="E5745" s="1">
        <f>IF(Tabela1[[#This Row],[promien]]=40000,1,0)</f>
        <v>0</v>
      </c>
      <c r="F5745" s="1">
        <v>3.1700609225413401</v>
      </c>
      <c r="G5745" s="1">
        <v>2.8468268951546971E-2</v>
      </c>
    </row>
    <row r="5746" spans="1:7">
      <c r="A5746">
        <v>59</v>
      </c>
      <c r="B5746">
        <v>361</v>
      </c>
      <c r="C5746" s="1">
        <f>(Tabela1[[#This Row],[x]]-H$3)*(Tabela1[[#This Row],[x]]-H$3) +(Tabela1[[#This Row],[y]]-H$4)*(Tabela1[[#This Row],[y]]-H$4)</f>
        <v>45802</v>
      </c>
      <c r="D5746" s="1">
        <f>IF(Tabela1[[#This Row],[promien]]&lt;40000,1,0)</f>
        <v>0</v>
      </c>
      <c r="E5746" s="1">
        <f>IF(Tabela1[[#This Row],[promien]]=40000,1,0)</f>
        <v>0</v>
      </c>
      <c r="F5746" s="1">
        <v>3.1695092238078661</v>
      </c>
      <c r="G5746" s="1">
        <v>2.7916570218073034E-2</v>
      </c>
    </row>
    <row r="5747" spans="1:7">
      <c r="A5747">
        <v>310</v>
      </c>
      <c r="B5747">
        <v>397</v>
      </c>
      <c r="C5747" s="1">
        <f>(Tabela1[[#This Row],[x]]-H$3)*(Tabela1[[#This Row],[x]]-H$3) +(Tabela1[[#This Row],[y]]-H$4)*(Tabela1[[#This Row],[y]]-H$4)</f>
        <v>50909</v>
      </c>
      <c r="D5747" s="1">
        <f>IF(Tabela1[[#This Row],[promien]]&lt;40000,1,0)</f>
        <v>0</v>
      </c>
      <c r="E5747" s="1">
        <f>IF(Tabela1[[#This Row],[promien]]=40000,1,0)</f>
        <v>0</v>
      </c>
      <c r="F5747" s="1">
        <v>3.1689577170697754</v>
      </c>
      <c r="G5747" s="1">
        <v>2.7365063479982243E-2</v>
      </c>
    </row>
    <row r="5748" spans="1:7">
      <c r="A5748">
        <v>249</v>
      </c>
      <c r="B5748">
        <v>167</v>
      </c>
      <c r="C5748" s="1">
        <f>(Tabela1[[#This Row],[x]]-H$3)*(Tabela1[[#This Row],[x]]-H$3) +(Tabela1[[#This Row],[y]]-H$4)*(Tabela1[[#This Row],[y]]-H$4)</f>
        <v>3490</v>
      </c>
      <c r="D5748" s="1">
        <f>IF(Tabela1[[#This Row],[promien]]&lt;40000,1,0)</f>
        <v>1</v>
      </c>
      <c r="E5748" s="1">
        <f>IF(Tabela1[[#This Row],[promien]]=40000,1,0)</f>
        <v>0</v>
      </c>
      <c r="F5748" s="1">
        <v>3.1691022964509394</v>
      </c>
      <c r="G5748" s="1">
        <v>2.7509642861146322E-2</v>
      </c>
    </row>
    <row r="5749" spans="1:7">
      <c r="A5749">
        <v>69</v>
      </c>
      <c r="B5749">
        <v>193</v>
      </c>
      <c r="C5749" s="1">
        <f>(Tabela1[[#This Row],[x]]-H$3)*(Tabela1[[#This Row],[x]]-H$3) +(Tabela1[[#This Row],[y]]-H$4)*(Tabela1[[#This Row],[y]]-H$4)</f>
        <v>17210</v>
      </c>
      <c r="D5749" s="1">
        <f>IF(Tabela1[[#This Row],[promien]]&lt;40000,1,0)</f>
        <v>1</v>
      </c>
      <c r="E5749" s="1">
        <f>IF(Tabela1[[#This Row],[promien]]=40000,1,0)</f>
        <v>0</v>
      </c>
      <c r="F5749" s="1">
        <v>3.1692468255348758</v>
      </c>
      <c r="G5749" s="1">
        <v>2.7654171945082684E-2</v>
      </c>
    </row>
    <row r="5750" spans="1:7">
      <c r="A5750">
        <v>187</v>
      </c>
      <c r="B5750">
        <v>180</v>
      </c>
      <c r="C5750" s="1">
        <f>(Tabela1[[#This Row],[x]]-H$3)*(Tabela1[[#This Row],[x]]-H$3) +(Tabela1[[#This Row],[y]]-H$4)*(Tabela1[[#This Row],[y]]-H$4)</f>
        <v>569</v>
      </c>
      <c r="D5750" s="1">
        <f>IF(Tabela1[[#This Row],[promien]]&lt;40000,1,0)</f>
        <v>1</v>
      </c>
      <c r="E5750" s="1">
        <f>IF(Tabela1[[#This Row],[promien]]=40000,1,0)</f>
        <v>0</v>
      </c>
      <c r="F5750" s="1">
        <v>3.1693913043478261</v>
      </c>
      <c r="G5750" s="1">
        <v>2.7798650758033006E-2</v>
      </c>
    </row>
    <row r="5751" spans="1:7">
      <c r="A5751">
        <v>1</v>
      </c>
      <c r="B5751">
        <v>384</v>
      </c>
      <c r="C5751" s="1">
        <f>(Tabela1[[#This Row],[x]]-H$3)*(Tabela1[[#This Row],[x]]-H$3) +(Tabela1[[#This Row],[y]]-H$4)*(Tabela1[[#This Row],[y]]-H$4)</f>
        <v>73457</v>
      </c>
      <c r="D5751" s="1">
        <f>IF(Tabela1[[#This Row],[promien]]&lt;40000,1,0)</f>
        <v>0</v>
      </c>
      <c r="E5751" s="1">
        <f>IF(Tabela1[[#This Row],[promien]]=40000,1,0)</f>
        <v>0</v>
      </c>
      <c r="F5751" s="1">
        <v>3.1688402017040516</v>
      </c>
      <c r="G5751" s="1">
        <v>2.7247548114258446E-2</v>
      </c>
    </row>
    <row r="5752" spans="1:7">
      <c r="A5752">
        <v>255</v>
      </c>
      <c r="B5752">
        <v>230</v>
      </c>
      <c r="C5752" s="1">
        <f>(Tabela1[[#This Row],[x]]-H$3)*(Tabela1[[#This Row],[x]]-H$3) +(Tabela1[[#This Row],[y]]-H$4)*(Tabela1[[#This Row],[y]]-H$4)</f>
        <v>3925</v>
      </c>
      <c r="D5752" s="1">
        <f>IF(Tabela1[[#This Row],[promien]]&lt;40000,1,0)</f>
        <v>1</v>
      </c>
      <c r="E5752" s="1">
        <f>IF(Tabela1[[#This Row],[promien]]=40000,1,0)</f>
        <v>0</v>
      </c>
      <c r="F5752" s="1">
        <v>3.1689847009735743</v>
      </c>
      <c r="G5752" s="1">
        <v>2.7392047383781204E-2</v>
      </c>
    </row>
    <row r="5753" spans="1:7">
      <c r="A5753">
        <v>145</v>
      </c>
      <c r="B5753">
        <v>93</v>
      </c>
      <c r="C5753" s="1">
        <f>(Tabela1[[#This Row],[x]]-H$3)*(Tabela1[[#This Row],[x]]-H$3) +(Tabela1[[#This Row],[y]]-H$4)*(Tabela1[[#This Row],[y]]-H$4)</f>
        <v>14474</v>
      </c>
      <c r="D5753" s="1">
        <f>IF(Tabela1[[#This Row],[promien]]&lt;40000,1,0)</f>
        <v>1</v>
      </c>
      <c r="E5753" s="1">
        <f>IF(Tabela1[[#This Row],[promien]]=40000,1,0)</f>
        <v>0</v>
      </c>
      <c r="F5753" s="1">
        <v>3.1691291500086911</v>
      </c>
      <c r="G5753" s="1">
        <v>2.7536496418897993E-2</v>
      </c>
    </row>
    <row r="5754" spans="1:7">
      <c r="A5754">
        <v>45</v>
      </c>
      <c r="B5754">
        <v>109</v>
      </c>
      <c r="C5754" s="1">
        <f>(Tabela1[[#This Row],[x]]-H$3)*(Tabela1[[#This Row],[x]]-H$3) +(Tabela1[[#This Row],[y]]-H$4)*(Tabela1[[#This Row],[y]]-H$4)</f>
        <v>32306</v>
      </c>
      <c r="D5754" s="1">
        <f>IF(Tabela1[[#This Row],[promien]]&lt;40000,1,0)</f>
        <v>1</v>
      </c>
      <c r="E5754" s="1">
        <f>IF(Tabela1[[#This Row],[promien]]=40000,1,0)</f>
        <v>0</v>
      </c>
      <c r="F5754" s="1">
        <v>3.1692735488355925</v>
      </c>
      <c r="G5754" s="1">
        <v>2.768089524579942E-2</v>
      </c>
    </row>
    <row r="5755" spans="1:7">
      <c r="A5755">
        <v>125</v>
      </c>
      <c r="B5755">
        <v>14</v>
      </c>
      <c r="C5755" s="1">
        <f>(Tabela1[[#This Row],[x]]-H$3)*(Tabela1[[#This Row],[x]]-H$3) +(Tabela1[[#This Row],[y]]-H$4)*(Tabela1[[#This Row],[y]]-H$4)</f>
        <v>40221</v>
      </c>
      <c r="D5755" s="1">
        <f>IF(Tabela1[[#This Row],[promien]]&lt;40000,1,0)</f>
        <v>0</v>
      </c>
      <c r="E5755" s="1">
        <f>IF(Tabela1[[#This Row],[promien]]=40000,1,0)</f>
        <v>0</v>
      </c>
      <c r="F5755" s="1">
        <v>3.1687228496959166</v>
      </c>
      <c r="G5755" s="1">
        <v>2.7130196106123439E-2</v>
      </c>
    </row>
    <row r="5756" spans="1:7">
      <c r="A5756">
        <v>25</v>
      </c>
      <c r="B5756">
        <v>291</v>
      </c>
      <c r="C5756" s="1">
        <f>(Tabela1[[#This Row],[x]]-H$3)*(Tabela1[[#This Row],[x]]-H$3) +(Tabela1[[#This Row],[y]]-H$4)*(Tabela1[[#This Row],[y]]-H$4)</f>
        <v>38906</v>
      </c>
      <c r="D5756" s="1">
        <f>IF(Tabela1[[#This Row],[promien]]&lt;40000,1,0)</f>
        <v>1</v>
      </c>
      <c r="E5756" s="1">
        <f>IF(Tabela1[[#This Row],[promien]]=40000,1,0)</f>
        <v>0</v>
      </c>
      <c r="F5756" s="1">
        <v>3.1688672689367618</v>
      </c>
      <c r="G5756" s="1">
        <v>2.7274615346968734E-2</v>
      </c>
    </row>
    <row r="5757" spans="1:7">
      <c r="A5757">
        <v>387</v>
      </c>
      <c r="B5757">
        <v>45</v>
      </c>
      <c r="C5757" s="1">
        <f>(Tabela1[[#This Row],[x]]-H$3)*(Tabela1[[#This Row],[x]]-H$3) +(Tabela1[[#This Row],[y]]-H$4)*(Tabela1[[#This Row],[y]]-H$4)</f>
        <v>58994</v>
      </c>
      <c r="D5757" s="1">
        <f>IF(Tabela1[[#This Row],[promien]]&lt;40000,1,0)</f>
        <v>0</v>
      </c>
      <c r="E5757" s="1">
        <f>IF(Tabela1[[#This Row],[promien]]=40000,1,0)</f>
        <v>0</v>
      </c>
      <c r="F5757" s="1">
        <v>3.1683168316831685</v>
      </c>
      <c r="G5757" s="1">
        <v>2.672417809337535E-2</v>
      </c>
    </row>
    <row r="5758" spans="1:7">
      <c r="A5758">
        <v>333</v>
      </c>
      <c r="B5758">
        <v>149</v>
      </c>
      <c r="C5758" s="1">
        <f>(Tabela1[[#This Row],[x]]-H$3)*(Tabela1[[#This Row],[x]]-H$3) +(Tabela1[[#This Row],[y]]-H$4)*(Tabela1[[#This Row],[y]]-H$4)</f>
        <v>20290</v>
      </c>
      <c r="D5758" s="1">
        <f>IF(Tabela1[[#This Row],[promien]]&lt;40000,1,0)</f>
        <v>1</v>
      </c>
      <c r="E5758" s="1">
        <f>IF(Tabela1[[#This Row],[promien]]=40000,1,0)</f>
        <v>0</v>
      </c>
      <c r="F5758" s="1">
        <v>3.1684612712747482</v>
      </c>
      <c r="G5758" s="1">
        <v>2.6868617684955076E-2</v>
      </c>
    </row>
    <row r="5759" spans="1:7">
      <c r="A5759">
        <v>200</v>
      </c>
      <c r="B5759">
        <v>239</v>
      </c>
      <c r="C5759" s="1">
        <f>(Tabela1[[#This Row],[x]]-H$3)*(Tabela1[[#This Row],[x]]-H$3) +(Tabela1[[#This Row],[y]]-H$4)*(Tabela1[[#This Row],[y]]-H$4)</f>
        <v>1521</v>
      </c>
      <c r="D5759" s="1">
        <f>IF(Tabela1[[#This Row],[promien]]&lt;40000,1,0)</f>
        <v>1</v>
      </c>
      <c r="E5759" s="1">
        <f>IF(Tabela1[[#This Row],[promien]]=40000,1,0)</f>
        <v>0</v>
      </c>
      <c r="F5759" s="1">
        <v>3.1686056607049835</v>
      </c>
      <c r="G5759" s="1">
        <v>2.7013007115190391E-2</v>
      </c>
    </row>
    <row r="5760" spans="1:7">
      <c r="A5760">
        <v>109</v>
      </c>
      <c r="B5760">
        <v>238</v>
      </c>
      <c r="C5760" s="1">
        <f>(Tabela1[[#This Row],[x]]-H$3)*(Tabela1[[#This Row],[x]]-H$3) +(Tabela1[[#This Row],[y]]-H$4)*(Tabela1[[#This Row],[y]]-H$4)</f>
        <v>9725</v>
      </c>
      <c r="D5760" s="1">
        <f>IF(Tabela1[[#This Row],[promien]]&lt;40000,1,0)</f>
        <v>1</v>
      </c>
      <c r="E5760" s="1">
        <f>IF(Tabela1[[#This Row],[promien]]=40000,1,0)</f>
        <v>0</v>
      </c>
      <c r="F5760" s="1">
        <v>3.1687500000000002</v>
      </c>
      <c r="G5760" s="1">
        <v>2.7157346410207062E-2</v>
      </c>
    </row>
    <row r="5761" spans="1:7">
      <c r="A5761">
        <v>227</v>
      </c>
      <c r="B5761">
        <v>7</v>
      </c>
      <c r="C5761" s="1">
        <f>(Tabela1[[#This Row],[x]]-H$3)*(Tabela1[[#This Row],[x]]-H$3) +(Tabela1[[#This Row],[y]]-H$4)*(Tabela1[[#This Row],[y]]-H$4)</f>
        <v>37978</v>
      </c>
      <c r="D5761" s="1">
        <f>IF(Tabela1[[#This Row],[promien]]&lt;40000,1,0)</f>
        <v>1</v>
      </c>
      <c r="E5761" s="1">
        <f>IF(Tabela1[[#This Row],[promien]]=40000,1,0)</f>
        <v>0</v>
      </c>
      <c r="F5761" s="1">
        <v>3.1688942891859053</v>
      </c>
      <c r="G5761" s="1">
        <v>2.7301635596112206E-2</v>
      </c>
    </row>
    <row r="5762" spans="1:7">
      <c r="A5762">
        <v>142</v>
      </c>
      <c r="B5762">
        <v>13</v>
      </c>
      <c r="C5762" s="1">
        <f>(Tabela1[[#This Row],[x]]-H$3)*(Tabela1[[#This Row],[x]]-H$3) +(Tabela1[[#This Row],[y]]-H$4)*(Tabela1[[#This Row],[y]]-H$4)</f>
        <v>38333</v>
      </c>
      <c r="D5762" s="1">
        <f>IF(Tabela1[[#This Row],[promien]]&lt;40000,1,0)</f>
        <v>1</v>
      </c>
      <c r="E5762" s="1">
        <f>IF(Tabela1[[#This Row],[promien]]=40000,1,0)</f>
        <v>0</v>
      </c>
      <c r="F5762" s="1">
        <v>3.1690385282887887</v>
      </c>
      <c r="G5762" s="1">
        <v>2.744587469899562E-2</v>
      </c>
    </row>
    <row r="5763" spans="1:7">
      <c r="A5763">
        <v>147</v>
      </c>
      <c r="B5763">
        <v>380</v>
      </c>
      <c r="C5763" s="1">
        <f>(Tabela1[[#This Row],[x]]-H$3)*(Tabela1[[#This Row],[x]]-H$3) +(Tabela1[[#This Row],[y]]-H$4)*(Tabela1[[#This Row],[y]]-H$4)</f>
        <v>35209</v>
      </c>
      <c r="D5763" s="1">
        <f>IF(Tabela1[[#This Row],[promien]]&lt;40000,1,0)</f>
        <v>1</v>
      </c>
      <c r="E5763" s="1">
        <f>IF(Tabela1[[#This Row],[promien]]=40000,1,0)</f>
        <v>0</v>
      </c>
      <c r="F5763" s="1">
        <v>3.1691827173347216</v>
      </c>
      <c r="G5763" s="1">
        <v>2.759006374492845E-2</v>
      </c>
    </row>
    <row r="5764" spans="1:7">
      <c r="A5764">
        <v>159</v>
      </c>
      <c r="B5764">
        <v>107</v>
      </c>
      <c r="C5764" s="1">
        <f>(Tabela1[[#This Row],[x]]-H$3)*(Tabela1[[#This Row],[x]]-H$3) +(Tabela1[[#This Row],[y]]-H$4)*(Tabela1[[#This Row],[y]]-H$4)</f>
        <v>10330</v>
      </c>
      <c r="D5764" s="1">
        <f>IF(Tabela1[[#This Row],[promien]]&lt;40000,1,0)</f>
        <v>1</v>
      </c>
      <c r="E5764" s="1">
        <f>IF(Tabela1[[#This Row],[promien]]=40000,1,0)</f>
        <v>0</v>
      </c>
      <c r="F5764" s="1">
        <v>3.1693268563497572</v>
      </c>
      <c r="G5764" s="1">
        <v>2.7734202759964077E-2</v>
      </c>
    </row>
    <row r="5765" spans="1:7">
      <c r="A5765">
        <v>17</v>
      </c>
      <c r="B5765">
        <v>72</v>
      </c>
      <c r="C5765" s="1">
        <f>(Tabela1[[#This Row],[x]]-H$3)*(Tabela1[[#This Row],[x]]-H$3) +(Tabela1[[#This Row],[y]]-H$4)*(Tabela1[[#This Row],[y]]-H$4)</f>
        <v>49873</v>
      </c>
      <c r="D5765" s="1">
        <f>IF(Tabela1[[#This Row],[promien]]&lt;40000,1,0)</f>
        <v>0</v>
      </c>
      <c r="E5765" s="1">
        <f>IF(Tabela1[[#This Row],[promien]]=40000,1,0)</f>
        <v>0</v>
      </c>
      <c r="F5765" s="1">
        <v>3.16877710320902</v>
      </c>
      <c r="G5765" s="1">
        <v>2.7184449619226836E-2</v>
      </c>
    </row>
    <row r="5766" spans="1:7">
      <c r="A5766">
        <v>374</v>
      </c>
      <c r="B5766">
        <v>18</v>
      </c>
      <c r="C5766" s="1">
        <f>(Tabela1[[#This Row],[x]]-H$3)*(Tabela1[[#This Row],[x]]-H$3) +(Tabela1[[#This Row],[y]]-H$4)*(Tabela1[[#This Row],[y]]-H$4)</f>
        <v>63400</v>
      </c>
      <c r="D5766" s="1">
        <f>IF(Tabela1[[#This Row],[promien]]&lt;40000,1,0)</f>
        <v>0</v>
      </c>
      <c r="E5766" s="1">
        <f>IF(Tabela1[[#This Row],[promien]]=40000,1,0)</f>
        <v>0</v>
      </c>
      <c r="F5766" s="1">
        <v>3.1682275407561566</v>
      </c>
      <c r="G5766" s="1">
        <v>2.663488716636353E-2</v>
      </c>
    </row>
    <row r="5767" spans="1:7">
      <c r="A5767">
        <v>385</v>
      </c>
      <c r="B5767">
        <v>267</v>
      </c>
      <c r="C5767" s="1">
        <f>(Tabela1[[#This Row],[x]]-H$3)*(Tabela1[[#This Row],[x]]-H$3) +(Tabela1[[#This Row],[y]]-H$4)*(Tabela1[[#This Row],[y]]-H$4)</f>
        <v>38714</v>
      </c>
      <c r="D5767" s="1">
        <f>IF(Tabela1[[#This Row],[promien]]&lt;40000,1,0)</f>
        <v>1</v>
      </c>
      <c r="E5767" s="1">
        <f>IF(Tabela1[[#This Row],[promien]]=40000,1,0)</f>
        <v>0</v>
      </c>
      <c r="F5767" s="1">
        <v>3.1683717704178949</v>
      </c>
      <c r="G5767" s="1">
        <v>2.6779116828101746E-2</v>
      </c>
    </row>
    <row r="5768" spans="1:7">
      <c r="A5768">
        <v>196</v>
      </c>
      <c r="B5768">
        <v>293</v>
      </c>
      <c r="C5768" s="1">
        <f>(Tabela1[[#This Row],[x]]-H$3)*(Tabela1[[#This Row],[x]]-H$3) +(Tabela1[[#This Row],[y]]-H$4)*(Tabela1[[#This Row],[y]]-H$4)</f>
        <v>8665</v>
      </c>
      <c r="D5768" s="1">
        <f>IF(Tabela1[[#This Row],[promien]]&lt;40000,1,0)</f>
        <v>1</v>
      </c>
      <c r="E5768" s="1">
        <f>IF(Tabela1[[#This Row],[promien]]=40000,1,0)</f>
        <v>0</v>
      </c>
      <c r="F5768" s="1">
        <v>3.1685159500693483</v>
      </c>
      <c r="G5768" s="1">
        <v>2.6923296479555159E-2</v>
      </c>
    </row>
    <row r="5769" spans="1:7">
      <c r="A5769">
        <v>328</v>
      </c>
      <c r="B5769">
        <v>307</v>
      </c>
      <c r="C5769" s="1">
        <f>(Tabela1[[#This Row],[x]]-H$3)*(Tabela1[[#This Row],[x]]-H$3) +(Tabela1[[#This Row],[y]]-H$4)*(Tabela1[[#This Row],[y]]-H$4)</f>
        <v>27833</v>
      </c>
      <c r="D5769" s="1">
        <f>IF(Tabela1[[#This Row],[promien]]&lt;40000,1,0)</f>
        <v>1</v>
      </c>
      <c r="E5769" s="1">
        <f>IF(Tabela1[[#This Row],[promien]]=40000,1,0)</f>
        <v>0</v>
      </c>
      <c r="F5769" s="1">
        <v>3.1686600797365227</v>
      </c>
      <c r="G5769" s="1">
        <v>2.7067426146729634E-2</v>
      </c>
    </row>
    <row r="5770" spans="1:7">
      <c r="A5770">
        <v>245</v>
      </c>
      <c r="B5770">
        <v>24</v>
      </c>
      <c r="C5770" s="1">
        <f>(Tabela1[[#This Row],[x]]-H$3)*(Tabela1[[#This Row],[x]]-H$3) +(Tabela1[[#This Row],[y]]-H$4)*(Tabela1[[#This Row],[y]]-H$4)</f>
        <v>33001</v>
      </c>
      <c r="D5770" s="1">
        <f>IF(Tabela1[[#This Row],[promien]]&lt;40000,1,0)</f>
        <v>1</v>
      </c>
      <c r="E5770" s="1">
        <f>IF(Tabela1[[#This Row],[promien]]=40000,1,0)</f>
        <v>0</v>
      </c>
      <c r="F5770" s="1">
        <v>3.1688041594454073</v>
      </c>
      <c r="G5770" s="1">
        <v>2.721150585561416E-2</v>
      </c>
    </row>
    <row r="5771" spans="1:7">
      <c r="A5771">
        <v>270</v>
      </c>
      <c r="B5771">
        <v>181</v>
      </c>
      <c r="C5771" s="1">
        <f>(Tabela1[[#This Row],[x]]-H$3)*(Tabela1[[#This Row],[x]]-H$3) +(Tabela1[[#This Row],[y]]-H$4)*(Tabela1[[#This Row],[y]]-H$4)</f>
        <v>5261</v>
      </c>
      <c r="D5771" s="1">
        <f>IF(Tabela1[[#This Row],[promien]]&lt;40000,1,0)</f>
        <v>1</v>
      </c>
      <c r="E5771" s="1">
        <f>IF(Tabela1[[#This Row],[promien]]=40000,1,0)</f>
        <v>0</v>
      </c>
      <c r="F5771" s="1">
        <v>3.1689481892219717</v>
      </c>
      <c r="G5771" s="1">
        <v>2.7355535632178629E-2</v>
      </c>
    </row>
    <row r="5772" spans="1:7">
      <c r="A5772">
        <v>1</v>
      </c>
      <c r="B5772">
        <v>380</v>
      </c>
      <c r="C5772" s="1">
        <f>(Tabela1[[#This Row],[x]]-H$3)*(Tabela1[[#This Row],[x]]-H$3) +(Tabela1[[#This Row],[y]]-H$4)*(Tabela1[[#This Row],[y]]-H$4)</f>
        <v>72001</v>
      </c>
      <c r="D5772" s="1">
        <f>IF(Tabela1[[#This Row],[promien]]&lt;40000,1,0)</f>
        <v>0</v>
      </c>
      <c r="E5772" s="1">
        <f>IF(Tabela1[[#This Row],[promien]]=40000,1,0)</f>
        <v>0</v>
      </c>
      <c r="F5772" s="1">
        <v>3.1683991683991684</v>
      </c>
      <c r="G5772" s="1">
        <v>2.6806514809375237E-2</v>
      </c>
    </row>
    <row r="5773" spans="1:7">
      <c r="A5773">
        <v>69</v>
      </c>
      <c r="B5773">
        <v>100</v>
      </c>
      <c r="C5773" s="1">
        <f>(Tabela1[[#This Row],[x]]-H$3)*(Tabela1[[#This Row],[x]]-H$3) +(Tabela1[[#This Row],[y]]-H$4)*(Tabela1[[#This Row],[y]]-H$4)</f>
        <v>27161</v>
      </c>
      <c r="D5773" s="1">
        <f>IF(Tabela1[[#This Row],[promien]]&lt;40000,1,0)</f>
        <v>1</v>
      </c>
      <c r="E5773" s="1">
        <f>IF(Tabela1[[#This Row],[promien]]=40000,1,0)</f>
        <v>0</v>
      </c>
      <c r="F5773" s="1">
        <v>3.1685432184306253</v>
      </c>
      <c r="G5773" s="1">
        <v>2.6950564840832136E-2</v>
      </c>
    </row>
    <row r="5774" spans="1:7">
      <c r="A5774">
        <v>258</v>
      </c>
      <c r="B5774">
        <v>199</v>
      </c>
      <c r="C5774" s="1">
        <f>(Tabela1[[#This Row],[x]]-H$3)*(Tabela1[[#This Row],[x]]-H$3) +(Tabela1[[#This Row],[y]]-H$4)*(Tabela1[[#This Row],[y]]-H$4)</f>
        <v>3365</v>
      </c>
      <c r="D5774" s="1">
        <f>IF(Tabela1[[#This Row],[promien]]&lt;40000,1,0)</f>
        <v>1</v>
      </c>
      <c r="E5774" s="1">
        <f>IF(Tabela1[[#This Row],[promien]]=40000,1,0)</f>
        <v>0</v>
      </c>
      <c r="F5774" s="1">
        <v>3.1686872185659856</v>
      </c>
      <c r="G5774" s="1">
        <v>2.7094564976192448E-2</v>
      </c>
    </row>
    <row r="5775" spans="1:7">
      <c r="A5775">
        <v>358</v>
      </c>
      <c r="B5775">
        <v>172</v>
      </c>
      <c r="C5775" s="1">
        <f>(Tabela1[[#This Row],[x]]-H$3)*(Tabela1[[#This Row],[x]]-H$3) +(Tabela1[[#This Row],[y]]-H$4)*(Tabela1[[#This Row],[y]]-H$4)</f>
        <v>25748</v>
      </c>
      <c r="D5775" s="1">
        <f>IF(Tabela1[[#This Row],[promien]]&lt;40000,1,0)</f>
        <v>1</v>
      </c>
      <c r="E5775" s="1">
        <f>IF(Tabela1[[#This Row],[promien]]=40000,1,0)</f>
        <v>0</v>
      </c>
      <c r="F5775" s="1">
        <v>3.168831168831169</v>
      </c>
      <c r="G5775" s="1">
        <v>2.7238515241375882E-2</v>
      </c>
    </row>
    <row r="5776" spans="1:7">
      <c r="A5776">
        <v>286</v>
      </c>
      <c r="B5776">
        <v>365</v>
      </c>
      <c r="C5776" s="1">
        <f>(Tabela1[[#This Row],[x]]-H$3)*(Tabela1[[#This Row],[x]]-H$3) +(Tabela1[[#This Row],[y]]-H$4)*(Tabela1[[#This Row],[y]]-H$4)</f>
        <v>34621</v>
      </c>
      <c r="D5776" s="1">
        <f>IF(Tabela1[[#This Row],[promien]]&lt;40000,1,0)</f>
        <v>1</v>
      </c>
      <c r="E5776" s="1">
        <f>IF(Tabela1[[#This Row],[promien]]=40000,1,0)</f>
        <v>0</v>
      </c>
      <c r="F5776" s="1">
        <v>3.1689750692520775</v>
      </c>
      <c r="G5776" s="1">
        <v>2.7382415662284387E-2</v>
      </c>
    </row>
    <row r="5777" spans="1:7">
      <c r="A5777">
        <v>322</v>
      </c>
      <c r="B5777">
        <v>238</v>
      </c>
      <c r="C5777" s="1">
        <f>(Tabela1[[#This Row],[x]]-H$3)*(Tabela1[[#This Row],[x]]-H$3) +(Tabela1[[#This Row],[y]]-H$4)*(Tabela1[[#This Row],[y]]-H$4)</f>
        <v>16328</v>
      </c>
      <c r="D5777" s="1">
        <f>IF(Tabela1[[#This Row],[promien]]&lt;40000,1,0)</f>
        <v>1</v>
      </c>
      <c r="E5777" s="1">
        <f>IF(Tabela1[[#This Row],[promien]]=40000,1,0)</f>
        <v>0</v>
      </c>
      <c r="F5777" s="1">
        <v>3.1691189198545957</v>
      </c>
      <c r="G5777" s="1">
        <v>2.752626626480259E-2</v>
      </c>
    </row>
    <row r="5778" spans="1:7">
      <c r="A5778">
        <v>59</v>
      </c>
      <c r="B5778">
        <v>243</v>
      </c>
      <c r="C5778" s="1">
        <f>(Tabela1[[#This Row],[x]]-H$3)*(Tabela1[[#This Row],[x]]-H$3) +(Tabela1[[#This Row],[y]]-H$4)*(Tabela1[[#This Row],[y]]-H$4)</f>
        <v>21730</v>
      </c>
      <c r="D5778" s="1">
        <f>IF(Tabela1[[#This Row],[promien]]&lt;40000,1,0)</f>
        <v>1</v>
      </c>
      <c r="E5778" s="1">
        <f>IF(Tabela1[[#This Row],[promien]]=40000,1,0)</f>
        <v>0</v>
      </c>
      <c r="F5778" s="1">
        <v>3.16926272066459</v>
      </c>
      <c r="G5778" s="1">
        <v>2.7670067074796911E-2</v>
      </c>
    </row>
    <row r="5779" spans="1:7">
      <c r="A5779">
        <v>378</v>
      </c>
      <c r="B5779">
        <v>330</v>
      </c>
      <c r="C5779" s="1">
        <f>(Tabela1[[#This Row],[x]]-H$3)*(Tabela1[[#This Row],[x]]-H$3) +(Tabela1[[#This Row],[y]]-H$4)*(Tabela1[[#This Row],[y]]-H$4)</f>
        <v>48584</v>
      </c>
      <c r="D5779" s="1">
        <f>IF(Tabela1[[#This Row],[promien]]&lt;40000,1,0)</f>
        <v>0</v>
      </c>
      <c r="E5779" s="1">
        <f>IF(Tabela1[[#This Row],[promien]]=40000,1,0)</f>
        <v>0</v>
      </c>
      <c r="F5779" s="1">
        <v>3.1687143104343312</v>
      </c>
      <c r="G5779" s="1">
        <v>2.7121656844538045E-2</v>
      </c>
    </row>
    <row r="5780" spans="1:7">
      <c r="A5780">
        <v>8</v>
      </c>
      <c r="B5780">
        <v>242</v>
      </c>
      <c r="C5780" s="1">
        <f>(Tabela1[[#This Row],[x]]-H$3)*(Tabela1[[#This Row],[x]]-H$3) +(Tabela1[[#This Row],[y]]-H$4)*(Tabela1[[#This Row],[y]]-H$4)</f>
        <v>38628</v>
      </c>
      <c r="D5780" s="1">
        <f>IF(Tabela1[[#This Row],[promien]]&lt;40000,1,0)</f>
        <v>1</v>
      </c>
      <c r="E5780" s="1">
        <f>IF(Tabela1[[#This Row],[promien]]=40000,1,0)</f>
        <v>0</v>
      </c>
      <c r="F5780" s="1">
        <v>3.1688581314878892</v>
      </c>
      <c r="G5780" s="1">
        <v>2.726547789809608E-2</v>
      </c>
    </row>
    <row r="5781" spans="1:7">
      <c r="A5781">
        <v>44</v>
      </c>
      <c r="B5781">
        <v>215</v>
      </c>
      <c r="C5781" s="1">
        <f>(Tabela1[[#This Row],[x]]-H$3)*(Tabela1[[#This Row],[x]]-H$3) +(Tabela1[[#This Row],[y]]-H$4)*(Tabela1[[#This Row],[y]]-H$4)</f>
        <v>24561</v>
      </c>
      <c r="D5781" s="1">
        <f>IF(Tabela1[[#This Row],[promien]]&lt;40000,1,0)</f>
        <v>1</v>
      </c>
      <c r="E5781" s="1">
        <f>IF(Tabela1[[#This Row],[promien]]=40000,1,0)</f>
        <v>0</v>
      </c>
      <c r="F5781" s="1">
        <v>3.1690019027849852</v>
      </c>
      <c r="G5781" s="1">
        <v>2.7409249195192054E-2</v>
      </c>
    </row>
    <row r="5782" spans="1:7">
      <c r="A5782">
        <v>321</v>
      </c>
      <c r="B5782">
        <v>128</v>
      </c>
      <c r="C5782" s="1">
        <f>(Tabela1[[#This Row],[x]]-H$3)*(Tabela1[[#This Row],[x]]-H$3) +(Tabela1[[#This Row],[y]]-H$4)*(Tabela1[[#This Row],[y]]-H$4)</f>
        <v>19825</v>
      </c>
      <c r="D5782" s="1">
        <f>IF(Tabela1[[#This Row],[promien]]&lt;40000,1,0)</f>
        <v>1</v>
      </c>
      <c r="E5782" s="1">
        <f>IF(Tabela1[[#This Row],[promien]]=40000,1,0)</f>
        <v>0</v>
      </c>
      <c r="F5782" s="1">
        <v>3.1691456243514353</v>
      </c>
      <c r="G5782" s="1">
        <v>2.7552970761642204E-2</v>
      </c>
    </row>
    <row r="5783" spans="1:7">
      <c r="A5783">
        <v>185</v>
      </c>
      <c r="B5783">
        <v>12</v>
      </c>
      <c r="C5783" s="1">
        <f>(Tabela1[[#This Row],[x]]-H$3)*(Tabela1[[#This Row],[x]]-H$3) +(Tabela1[[#This Row],[y]]-H$4)*(Tabela1[[#This Row],[y]]-H$4)</f>
        <v>35569</v>
      </c>
      <c r="D5783" s="1">
        <f>IF(Tabela1[[#This Row],[promien]]&lt;40000,1,0)</f>
        <v>1</v>
      </c>
      <c r="E5783" s="1">
        <f>IF(Tabela1[[#This Row],[promien]]=40000,1,0)</f>
        <v>0</v>
      </c>
      <c r="F5783" s="1">
        <v>3.1692892962130381</v>
      </c>
      <c r="G5783" s="1">
        <v>2.7696642623245005E-2</v>
      </c>
    </row>
    <row r="5784" spans="1:7">
      <c r="A5784">
        <v>296</v>
      </c>
      <c r="B5784">
        <v>207</v>
      </c>
      <c r="C5784" s="1">
        <f>(Tabela1[[#This Row],[x]]-H$3)*(Tabela1[[#This Row],[x]]-H$3) +(Tabela1[[#This Row],[y]]-H$4)*(Tabela1[[#This Row],[y]]-H$4)</f>
        <v>9265</v>
      </c>
      <c r="D5784" s="1">
        <f>IF(Tabela1[[#This Row],[promien]]&lt;40000,1,0)</f>
        <v>1</v>
      </c>
      <c r="E5784" s="1">
        <f>IF(Tabela1[[#This Row],[promien]]=40000,1,0)</f>
        <v>0</v>
      </c>
      <c r="F5784" s="1">
        <v>3.1694329183955738</v>
      </c>
      <c r="G5784" s="1">
        <v>2.7840264805780723E-2</v>
      </c>
    </row>
    <row r="5785" spans="1:7">
      <c r="A5785">
        <v>270</v>
      </c>
      <c r="B5785">
        <v>45</v>
      </c>
      <c r="C5785" s="1">
        <f>(Tabela1[[#This Row],[x]]-H$3)*(Tabela1[[#This Row],[x]]-H$3) +(Tabela1[[#This Row],[y]]-H$4)*(Tabela1[[#This Row],[y]]-H$4)</f>
        <v>28925</v>
      </c>
      <c r="D5785" s="1">
        <f>IF(Tabela1[[#This Row],[promien]]&lt;40000,1,0)</f>
        <v>1</v>
      </c>
      <c r="E5785" s="1">
        <f>IF(Tabela1[[#This Row],[promien]]=40000,1,0)</f>
        <v>0</v>
      </c>
      <c r="F5785" s="1">
        <v>3.1695764909248054</v>
      </c>
      <c r="G5785" s="1">
        <v>2.7983837335012307E-2</v>
      </c>
    </row>
    <row r="5786" spans="1:7">
      <c r="A5786">
        <v>171</v>
      </c>
      <c r="B5786">
        <v>349</v>
      </c>
      <c r="C5786" s="1">
        <f>(Tabela1[[#This Row],[x]]-H$3)*(Tabela1[[#This Row],[x]]-H$3) +(Tabela1[[#This Row],[y]]-H$4)*(Tabela1[[#This Row],[y]]-H$4)</f>
        <v>23042</v>
      </c>
      <c r="D5786" s="1">
        <f>IF(Tabela1[[#This Row],[promien]]&lt;40000,1,0)</f>
        <v>1</v>
      </c>
      <c r="E5786" s="1">
        <f>IF(Tabela1[[#This Row],[promien]]=40000,1,0)</f>
        <v>0</v>
      </c>
      <c r="F5786" s="1">
        <v>3.1697200138264776</v>
      </c>
      <c r="G5786" s="1">
        <v>2.8127360236684495E-2</v>
      </c>
    </row>
    <row r="5787" spans="1:7">
      <c r="A5787">
        <v>33</v>
      </c>
      <c r="B5787">
        <v>30</v>
      </c>
      <c r="C5787" s="1">
        <f>(Tabela1[[#This Row],[x]]-H$3)*(Tabela1[[#This Row],[x]]-H$3) +(Tabela1[[#This Row],[y]]-H$4)*(Tabela1[[#This Row],[y]]-H$4)</f>
        <v>56789</v>
      </c>
      <c r="D5787" s="1">
        <f>IF(Tabela1[[#This Row],[promien]]&lt;40000,1,0)</f>
        <v>0</v>
      </c>
      <c r="E5787" s="1">
        <f>IF(Tabela1[[#This Row],[promien]]=40000,1,0)</f>
        <v>0</v>
      </c>
      <c r="F5787" s="1">
        <v>3.1691722827026094</v>
      </c>
      <c r="G5787" s="1">
        <v>2.7579629112816306E-2</v>
      </c>
    </row>
    <row r="5788" spans="1:7">
      <c r="A5788">
        <v>61</v>
      </c>
      <c r="B5788">
        <v>104</v>
      </c>
      <c r="C5788" s="1">
        <f>(Tabela1[[#This Row],[x]]-H$3)*(Tabela1[[#This Row],[x]]-H$3) +(Tabela1[[#This Row],[y]]-H$4)*(Tabela1[[#This Row],[y]]-H$4)</f>
        <v>28537</v>
      </c>
      <c r="D5788" s="1">
        <f>IF(Tabela1[[#This Row],[promien]]&lt;40000,1,0)</f>
        <v>1</v>
      </c>
      <c r="E5788" s="1">
        <f>IF(Tabela1[[#This Row],[promien]]=40000,1,0)</f>
        <v>0</v>
      </c>
      <c r="F5788" s="1">
        <v>3.1693158258465792</v>
      </c>
      <c r="G5788" s="1">
        <v>2.7723172256786111E-2</v>
      </c>
    </row>
    <row r="5789" spans="1:7">
      <c r="A5789">
        <v>129</v>
      </c>
      <c r="B5789">
        <v>14</v>
      </c>
      <c r="C5789" s="1">
        <f>(Tabela1[[#This Row],[x]]-H$3)*(Tabela1[[#This Row],[x]]-H$3) +(Tabela1[[#This Row],[y]]-H$4)*(Tabela1[[#This Row],[y]]-H$4)</f>
        <v>39637</v>
      </c>
      <c r="D5789" s="1">
        <f>IF(Tabela1[[#This Row],[promien]]&lt;40000,1,0)</f>
        <v>1</v>
      </c>
      <c r="E5789" s="1">
        <f>IF(Tabela1[[#This Row],[promien]]=40000,1,0)</f>
        <v>0</v>
      </c>
      <c r="F5789" s="1">
        <v>3.1694593193988601</v>
      </c>
      <c r="G5789" s="1">
        <v>2.7866665809066937E-2</v>
      </c>
    </row>
    <row r="5790" spans="1:7">
      <c r="A5790">
        <v>328</v>
      </c>
      <c r="B5790">
        <v>112</v>
      </c>
      <c r="C5790" s="1">
        <f>(Tabela1[[#This Row],[x]]-H$3)*(Tabela1[[#This Row],[x]]-H$3) +(Tabela1[[#This Row],[y]]-H$4)*(Tabela1[[#This Row],[y]]-H$4)</f>
        <v>24128</v>
      </c>
      <c r="D5790" s="1">
        <f>IF(Tabela1[[#This Row],[promien]]&lt;40000,1,0)</f>
        <v>1</v>
      </c>
      <c r="E5790" s="1">
        <f>IF(Tabela1[[#This Row],[promien]]=40000,1,0)</f>
        <v>0</v>
      </c>
      <c r="F5790" s="1">
        <v>3.1696027633851469</v>
      </c>
      <c r="G5790" s="1">
        <v>2.8010109795353788E-2</v>
      </c>
    </row>
    <row r="5791" spans="1:7">
      <c r="A5791">
        <v>346</v>
      </c>
      <c r="B5791">
        <v>66</v>
      </c>
      <c r="C5791" s="1">
        <f>(Tabela1[[#This Row],[x]]-H$3)*(Tabela1[[#This Row],[x]]-H$3) +(Tabela1[[#This Row],[y]]-H$4)*(Tabela1[[#This Row],[y]]-H$4)</f>
        <v>39272</v>
      </c>
      <c r="D5791" s="1">
        <f>IF(Tabela1[[#This Row],[promien]]&lt;40000,1,0)</f>
        <v>1</v>
      </c>
      <c r="E5791" s="1">
        <f>IF(Tabela1[[#This Row],[promien]]=40000,1,0)</f>
        <v>0</v>
      </c>
      <c r="F5791" s="1">
        <v>3.1697461578311175</v>
      </c>
      <c r="G5791" s="1">
        <v>2.8153504241324345E-2</v>
      </c>
    </row>
    <row r="5792" spans="1:7">
      <c r="A5792">
        <v>59</v>
      </c>
      <c r="B5792">
        <v>375</v>
      </c>
      <c r="C5792" s="1">
        <f>(Tabela1[[#This Row],[x]]-H$3)*(Tabela1[[#This Row],[x]]-H$3) +(Tabela1[[#This Row],[y]]-H$4)*(Tabela1[[#This Row],[y]]-H$4)</f>
        <v>50506</v>
      </c>
      <c r="D5792" s="1">
        <f>IF(Tabela1[[#This Row],[promien]]&lt;40000,1,0)</f>
        <v>0</v>
      </c>
      <c r="E5792" s="1">
        <f>IF(Tabela1[[#This Row],[promien]]=40000,1,0)</f>
        <v>0</v>
      </c>
      <c r="F5792" s="1">
        <v>3.1691988950276242</v>
      </c>
      <c r="G5792" s="1">
        <v>2.7606241437831081E-2</v>
      </c>
    </row>
    <row r="5793" spans="1:7">
      <c r="A5793">
        <v>126</v>
      </c>
      <c r="B5793">
        <v>383</v>
      </c>
      <c r="C5793" s="1">
        <f>(Tabela1[[#This Row],[x]]-H$3)*(Tabela1[[#This Row],[x]]-H$3) +(Tabela1[[#This Row],[y]]-H$4)*(Tabela1[[#This Row],[y]]-H$4)</f>
        <v>38965</v>
      </c>
      <c r="D5793" s="1">
        <f>IF(Tabela1[[#This Row],[promien]]&lt;40000,1,0)</f>
        <v>1</v>
      </c>
      <c r="E5793" s="1">
        <f>IF(Tabela1[[#This Row],[promien]]=40000,1,0)</f>
        <v>0</v>
      </c>
      <c r="F5793" s="1">
        <v>3.1693423096841014</v>
      </c>
      <c r="G5793" s="1">
        <v>2.7749656094308239E-2</v>
      </c>
    </row>
    <row r="5794" spans="1:7">
      <c r="A5794">
        <v>68</v>
      </c>
      <c r="B5794">
        <v>131</v>
      </c>
      <c r="C5794" s="1">
        <f>(Tabela1[[#This Row],[x]]-H$3)*(Tabela1[[#This Row],[x]]-H$3) +(Tabela1[[#This Row],[y]]-H$4)*(Tabela1[[#This Row],[y]]-H$4)</f>
        <v>22185</v>
      </c>
      <c r="D5794" s="1">
        <f>IF(Tabela1[[#This Row],[promien]]&lt;40000,1,0)</f>
        <v>1</v>
      </c>
      <c r="E5794" s="1">
        <f>IF(Tabela1[[#This Row],[promien]]=40000,1,0)</f>
        <v>0</v>
      </c>
      <c r="F5794" s="1">
        <v>3.1694856748360372</v>
      </c>
      <c r="G5794" s="1">
        <v>2.7893021246244043E-2</v>
      </c>
    </row>
    <row r="5795" spans="1:7">
      <c r="A5795">
        <v>79</v>
      </c>
      <c r="B5795">
        <v>168</v>
      </c>
      <c r="C5795" s="1">
        <f>(Tabela1[[#This Row],[x]]-H$3)*(Tabela1[[#This Row],[x]]-H$3) +(Tabela1[[#This Row],[y]]-H$4)*(Tabela1[[#This Row],[y]]-H$4)</f>
        <v>15665</v>
      </c>
      <c r="D5795" s="1">
        <f>IF(Tabela1[[#This Row],[promien]]&lt;40000,1,0)</f>
        <v>1</v>
      </c>
      <c r="E5795" s="1">
        <f>IF(Tabela1[[#This Row],[promien]]=40000,1,0)</f>
        <v>0</v>
      </c>
      <c r="F5795" s="1">
        <v>3.1696289905090596</v>
      </c>
      <c r="G5795" s="1">
        <v>2.8036336919266436E-2</v>
      </c>
    </row>
    <row r="5796" spans="1:7">
      <c r="A5796">
        <v>179</v>
      </c>
      <c r="B5796">
        <v>77</v>
      </c>
      <c r="C5796" s="1">
        <f>(Tabela1[[#This Row],[x]]-H$3)*(Tabela1[[#This Row],[x]]-H$3) +(Tabela1[[#This Row],[y]]-H$4)*(Tabela1[[#This Row],[y]]-H$4)</f>
        <v>15570</v>
      </c>
      <c r="D5796" s="1">
        <f>IF(Tabela1[[#This Row],[promien]]&lt;40000,1,0)</f>
        <v>1</v>
      </c>
      <c r="E5796" s="1">
        <f>IF(Tabela1[[#This Row],[promien]]=40000,1,0)</f>
        <v>0</v>
      </c>
      <c r="F5796" s="1">
        <v>3.1697722567287783</v>
      </c>
      <c r="G5796" s="1">
        <v>2.8179603138985154E-2</v>
      </c>
    </row>
    <row r="5797" spans="1:7">
      <c r="A5797">
        <v>332</v>
      </c>
      <c r="B5797">
        <v>336</v>
      </c>
      <c r="C5797" s="1">
        <f>(Tabela1[[#This Row],[x]]-H$3)*(Tabela1[[#This Row],[x]]-H$3) +(Tabela1[[#This Row],[y]]-H$4)*(Tabela1[[#This Row],[y]]-H$4)</f>
        <v>35920</v>
      </c>
      <c r="D5797" s="1">
        <f>IF(Tabela1[[#This Row],[promien]]&lt;40000,1,0)</f>
        <v>1</v>
      </c>
      <c r="E5797" s="1">
        <f>IF(Tabela1[[#This Row],[promien]]=40000,1,0)</f>
        <v>0</v>
      </c>
      <c r="F5797" s="1">
        <v>3.1699154735207866</v>
      </c>
      <c r="G5797" s="1">
        <v>2.8322819930993504E-2</v>
      </c>
    </row>
    <row r="5798" spans="1:7">
      <c r="A5798">
        <v>178</v>
      </c>
      <c r="B5798">
        <v>258</v>
      </c>
      <c r="C5798" s="1">
        <f>(Tabela1[[#This Row],[x]]-H$3)*(Tabela1[[#This Row],[x]]-H$3) +(Tabela1[[#This Row],[y]]-H$4)*(Tabela1[[#This Row],[y]]-H$4)</f>
        <v>3848</v>
      </c>
      <c r="D5798" s="1">
        <f>IF(Tabela1[[#This Row],[promien]]&lt;40000,1,0)</f>
        <v>1</v>
      </c>
      <c r="E5798" s="1">
        <f>IF(Tabela1[[#This Row],[promien]]=40000,1,0)</f>
        <v>0</v>
      </c>
      <c r="F5798" s="1">
        <v>3.1700586409106588</v>
      </c>
      <c r="G5798" s="1">
        <v>2.8465987320865693E-2</v>
      </c>
    </row>
    <row r="5799" spans="1:7">
      <c r="A5799">
        <v>142</v>
      </c>
      <c r="B5799">
        <v>387</v>
      </c>
      <c r="C5799" s="1">
        <f>(Tabela1[[#This Row],[x]]-H$3)*(Tabela1[[#This Row],[x]]-H$3) +(Tabela1[[#This Row],[y]]-H$4)*(Tabela1[[#This Row],[y]]-H$4)</f>
        <v>38333</v>
      </c>
      <c r="D5799" s="1">
        <f>IF(Tabela1[[#This Row],[promien]]&lt;40000,1,0)</f>
        <v>1</v>
      </c>
      <c r="E5799" s="1">
        <f>IF(Tabela1[[#This Row],[promien]]=40000,1,0)</f>
        <v>0</v>
      </c>
      <c r="F5799" s="1">
        <v>3.1702017589239526</v>
      </c>
      <c r="G5799" s="1">
        <v>2.8609105334159501E-2</v>
      </c>
    </row>
    <row r="5800" spans="1:7">
      <c r="A5800">
        <v>201</v>
      </c>
      <c r="B5800">
        <v>385</v>
      </c>
      <c r="C5800" s="1">
        <f>(Tabela1[[#This Row],[x]]-H$3)*(Tabela1[[#This Row],[x]]-H$3) +(Tabela1[[#This Row],[y]]-H$4)*(Tabela1[[#This Row],[y]]-H$4)</f>
        <v>34226</v>
      </c>
      <c r="D5800" s="1">
        <f>IF(Tabela1[[#This Row],[promien]]&lt;40000,1,0)</f>
        <v>1</v>
      </c>
      <c r="E5800" s="1">
        <f>IF(Tabela1[[#This Row],[promien]]=40000,1,0)</f>
        <v>0</v>
      </c>
      <c r="F5800" s="1">
        <v>3.1703448275862067</v>
      </c>
      <c r="G5800" s="1">
        <v>2.875217399641361E-2</v>
      </c>
    </row>
    <row r="5801" spans="1:7">
      <c r="A5801">
        <v>22</v>
      </c>
      <c r="B5801">
        <v>58</v>
      </c>
      <c r="C5801" s="1">
        <f>(Tabela1[[#This Row],[x]]-H$3)*(Tabela1[[#This Row],[x]]-H$3) +(Tabela1[[#This Row],[y]]-H$4)*(Tabela1[[#This Row],[y]]-H$4)</f>
        <v>51848</v>
      </c>
      <c r="D5801" s="1">
        <f>IF(Tabela1[[#This Row],[promien]]&lt;40000,1,0)</f>
        <v>0</v>
      </c>
      <c r="E5801" s="1">
        <f>IF(Tabela1[[#This Row],[promien]]=40000,1,0)</f>
        <v>0</v>
      </c>
      <c r="F5801" s="1">
        <v>3.1697983106360974</v>
      </c>
      <c r="G5801" s="1">
        <v>2.8205657046304289E-2</v>
      </c>
    </row>
    <row r="5802" spans="1:7">
      <c r="A5802">
        <v>98</v>
      </c>
      <c r="B5802">
        <v>344</v>
      </c>
      <c r="C5802" s="1">
        <f>(Tabela1[[#This Row],[x]]-H$3)*(Tabela1[[#This Row],[x]]-H$3) +(Tabela1[[#This Row],[y]]-H$4)*(Tabela1[[#This Row],[y]]-H$4)</f>
        <v>31140</v>
      </c>
      <c r="D5802" s="1">
        <f>IF(Tabela1[[#This Row],[promien]]&lt;40000,1,0)</f>
        <v>1</v>
      </c>
      <c r="E5802" s="1">
        <f>IF(Tabela1[[#This Row],[promien]]=40000,1,0)</f>
        <v>0</v>
      </c>
      <c r="F5802" s="1">
        <v>3.1699413995174077</v>
      </c>
      <c r="G5802" s="1">
        <v>2.8348745927614605E-2</v>
      </c>
    </row>
    <row r="5803" spans="1:7">
      <c r="A5803">
        <v>320</v>
      </c>
      <c r="B5803">
        <v>240</v>
      </c>
      <c r="C5803" s="1">
        <f>(Tabela1[[#This Row],[x]]-H$3)*(Tabela1[[#This Row],[x]]-H$3) +(Tabela1[[#This Row],[y]]-H$4)*(Tabela1[[#This Row],[y]]-H$4)</f>
        <v>16000</v>
      </c>
      <c r="D5803" s="1">
        <f>IF(Tabela1[[#This Row],[promien]]&lt;40000,1,0)</f>
        <v>1</v>
      </c>
      <c r="E5803" s="1">
        <f>IF(Tabela1[[#This Row],[promien]]=40000,1,0)</f>
        <v>0</v>
      </c>
      <c r="F5803" s="1">
        <v>3.170084439083233</v>
      </c>
      <c r="G5803" s="1">
        <v>2.8491785493439892E-2</v>
      </c>
    </row>
    <row r="5804" spans="1:7">
      <c r="A5804">
        <v>384</v>
      </c>
      <c r="B5804">
        <v>196</v>
      </c>
      <c r="C5804" s="1">
        <f>(Tabela1[[#This Row],[x]]-H$3)*(Tabela1[[#This Row],[x]]-H$3) +(Tabela1[[#This Row],[y]]-H$4)*(Tabela1[[#This Row],[y]]-H$4)</f>
        <v>33872</v>
      </c>
      <c r="D5804" s="1">
        <f>IF(Tabela1[[#This Row],[promien]]&lt;40000,1,0)</f>
        <v>1</v>
      </c>
      <c r="E5804" s="1">
        <f>IF(Tabela1[[#This Row],[promien]]=40000,1,0)</f>
        <v>0</v>
      </c>
      <c r="F5804" s="1">
        <v>3.1702274293590627</v>
      </c>
      <c r="G5804" s="1">
        <v>2.8634775769269538E-2</v>
      </c>
    </row>
    <row r="5805" spans="1:7">
      <c r="A5805">
        <v>221</v>
      </c>
      <c r="B5805">
        <v>59</v>
      </c>
      <c r="C5805" s="1">
        <f>(Tabela1[[#This Row],[x]]-H$3)*(Tabela1[[#This Row],[x]]-H$3) +(Tabela1[[#This Row],[y]]-H$4)*(Tabela1[[#This Row],[y]]-H$4)</f>
        <v>20322</v>
      </c>
      <c r="D5805" s="1">
        <f>IF(Tabela1[[#This Row],[promien]]&lt;40000,1,0)</f>
        <v>1</v>
      </c>
      <c r="E5805" s="1">
        <f>IF(Tabela1[[#This Row],[promien]]=40000,1,0)</f>
        <v>0</v>
      </c>
      <c r="F5805" s="1">
        <v>3.1703703703703705</v>
      </c>
      <c r="G5805" s="1">
        <v>2.8777716780577389E-2</v>
      </c>
    </row>
    <row r="5806" spans="1:7">
      <c r="A5806">
        <v>384</v>
      </c>
      <c r="B5806">
        <v>341</v>
      </c>
      <c r="C5806" s="1">
        <f>(Tabela1[[#This Row],[x]]-H$3)*(Tabela1[[#This Row],[x]]-H$3) +(Tabela1[[#This Row],[y]]-H$4)*(Tabela1[[#This Row],[y]]-H$4)</f>
        <v>53737</v>
      </c>
      <c r="D5806" s="1">
        <f>IF(Tabela1[[#This Row],[promien]]&lt;40000,1,0)</f>
        <v>0</v>
      </c>
      <c r="E5806" s="1">
        <f>IF(Tabela1[[#This Row],[promien]]=40000,1,0)</f>
        <v>0</v>
      </c>
      <c r="F5806" s="1">
        <v>3.1698243196693077</v>
      </c>
      <c r="G5806" s="1">
        <v>2.823166607951455E-2</v>
      </c>
    </row>
    <row r="5807" spans="1:7">
      <c r="A5807">
        <v>156</v>
      </c>
      <c r="B5807">
        <v>114</v>
      </c>
      <c r="C5807" s="1">
        <f>(Tabela1[[#This Row],[x]]-H$3)*(Tabela1[[#This Row],[x]]-H$3) +(Tabela1[[#This Row],[y]]-H$4)*(Tabela1[[#This Row],[y]]-H$4)</f>
        <v>9332</v>
      </c>
      <c r="D5807" s="1">
        <f>IF(Tabela1[[#This Row],[promien]]&lt;40000,1,0)</f>
        <v>1</v>
      </c>
      <c r="E5807" s="1">
        <f>IF(Tabela1[[#This Row],[promien]]=40000,1,0)</f>
        <v>0</v>
      </c>
      <c r="F5807" s="1">
        <v>3.169967280867918</v>
      </c>
      <c r="G5807" s="1">
        <v>2.8374627278124898E-2</v>
      </c>
    </row>
    <row r="5808" spans="1:7">
      <c r="A5808">
        <v>169</v>
      </c>
      <c r="B5808">
        <v>315</v>
      </c>
      <c r="C5808" s="1">
        <f>(Tabela1[[#This Row],[x]]-H$3)*(Tabela1[[#This Row],[x]]-H$3) +(Tabela1[[#This Row],[y]]-H$4)*(Tabela1[[#This Row],[y]]-H$4)</f>
        <v>14186</v>
      </c>
      <c r="D5808" s="1">
        <f>IF(Tabela1[[#This Row],[promien]]&lt;40000,1,0)</f>
        <v>1</v>
      </c>
      <c r="E5808" s="1">
        <f>IF(Tabela1[[#This Row],[promien]]=40000,1,0)</f>
        <v>0</v>
      </c>
      <c r="F5808" s="1">
        <v>3.1701101928374658</v>
      </c>
      <c r="G5808" s="1">
        <v>2.8517539247672641E-2</v>
      </c>
    </row>
    <row r="5809" spans="1:7">
      <c r="A5809">
        <v>52</v>
      </c>
      <c r="B5809">
        <v>361</v>
      </c>
      <c r="C5809" s="1">
        <f>(Tabela1[[#This Row],[x]]-H$3)*(Tabela1[[#This Row],[x]]-H$3) +(Tabela1[[#This Row],[y]]-H$4)*(Tabela1[[#This Row],[y]]-H$4)</f>
        <v>47825</v>
      </c>
      <c r="D5809" s="1">
        <f>IF(Tabela1[[#This Row],[promien]]&lt;40000,1,0)</f>
        <v>0</v>
      </c>
      <c r="E5809" s="1">
        <f>IF(Tabela1[[#This Row],[promien]]=40000,1,0)</f>
        <v>0</v>
      </c>
      <c r="F5809" s="1">
        <v>3.1695644689275264</v>
      </c>
      <c r="G5809" s="1">
        <v>2.7971815337733297E-2</v>
      </c>
    </row>
    <row r="5810" spans="1:7">
      <c r="A5810">
        <v>81</v>
      </c>
      <c r="B5810">
        <v>215</v>
      </c>
      <c r="C5810" s="1">
        <f>(Tabela1[[#This Row],[x]]-H$3)*(Tabela1[[#This Row],[x]]-H$3) +(Tabela1[[#This Row],[y]]-H$4)*(Tabela1[[#This Row],[y]]-H$4)</f>
        <v>14386</v>
      </c>
      <c r="D5810" s="1">
        <f>IF(Tabela1[[#This Row],[promien]]&lt;40000,1,0)</f>
        <v>1</v>
      </c>
      <c r="E5810" s="1">
        <f>IF(Tabela1[[#This Row],[promien]]=40000,1,0)</f>
        <v>0</v>
      </c>
      <c r="F5810" s="1">
        <v>3.1697074010327024</v>
      </c>
      <c r="G5810" s="1">
        <v>2.8114747442909316E-2</v>
      </c>
    </row>
    <row r="5811" spans="1:7">
      <c r="A5811">
        <v>386</v>
      </c>
      <c r="B5811">
        <v>348</v>
      </c>
      <c r="C5811" s="1">
        <f>(Tabela1[[#This Row],[x]]-H$3)*(Tabela1[[#This Row],[x]]-H$3) +(Tabela1[[#This Row],[y]]-H$4)*(Tabela1[[#This Row],[y]]-H$4)</f>
        <v>56500</v>
      </c>
      <c r="D5811" s="1">
        <f>IF(Tabela1[[#This Row],[promien]]&lt;40000,1,0)</f>
        <v>0</v>
      </c>
      <c r="E5811" s="1">
        <f>IF(Tabela1[[#This Row],[promien]]=40000,1,0)</f>
        <v>0</v>
      </c>
      <c r="F5811" s="1">
        <v>3.1691619342626054</v>
      </c>
      <c r="G5811" s="1">
        <v>2.756928067281228E-2</v>
      </c>
    </row>
    <row r="5812" spans="1:7">
      <c r="A5812">
        <v>16</v>
      </c>
      <c r="B5812">
        <v>180</v>
      </c>
      <c r="C5812" s="1">
        <f>(Tabela1[[#This Row],[x]]-H$3)*(Tabela1[[#This Row],[x]]-H$3) +(Tabela1[[#This Row],[y]]-H$4)*(Tabela1[[#This Row],[y]]-H$4)</f>
        <v>34256</v>
      </c>
      <c r="D5812" s="1">
        <f>IF(Tabela1[[#This Row],[promien]]&lt;40000,1,0)</f>
        <v>1</v>
      </c>
      <c r="E5812" s="1">
        <f>IF(Tabela1[[#This Row],[promien]]=40000,1,0)</f>
        <v>0</v>
      </c>
      <c r="F5812" s="1">
        <v>3.1693048864418443</v>
      </c>
      <c r="G5812" s="1">
        <v>2.7712232852051155E-2</v>
      </c>
    </row>
    <row r="5813" spans="1:7">
      <c r="A5813">
        <v>58</v>
      </c>
      <c r="B5813">
        <v>368</v>
      </c>
      <c r="C5813" s="1">
        <f>(Tabela1[[#This Row],[x]]-H$3)*(Tabela1[[#This Row],[x]]-H$3) +(Tabela1[[#This Row],[y]]-H$4)*(Tabela1[[#This Row],[y]]-H$4)</f>
        <v>48388</v>
      </c>
      <c r="D5813" s="1">
        <f>IF(Tabela1[[#This Row],[promien]]&lt;40000,1,0)</f>
        <v>0</v>
      </c>
      <c r="E5813" s="1">
        <f>IF(Tabela1[[#This Row],[promien]]=40000,1,0)</f>
        <v>0</v>
      </c>
      <c r="F5813" s="1">
        <v>3.1687596765869603</v>
      </c>
      <c r="G5813" s="1">
        <v>2.7167022997167223E-2</v>
      </c>
    </row>
    <row r="5814" spans="1:7">
      <c r="A5814">
        <v>316</v>
      </c>
      <c r="B5814">
        <v>66</v>
      </c>
      <c r="C5814" s="1">
        <f>(Tabela1[[#This Row],[x]]-H$3)*(Tabela1[[#This Row],[x]]-H$3) +(Tabela1[[#This Row],[y]]-H$4)*(Tabela1[[#This Row],[y]]-H$4)</f>
        <v>31412</v>
      </c>
      <c r="D5814" s="1">
        <f>IF(Tabela1[[#This Row],[promien]]&lt;40000,1,0)</f>
        <v>1</v>
      </c>
      <c r="E5814" s="1">
        <f>IF(Tabela1[[#This Row],[promien]]=40000,1,0)</f>
        <v>0</v>
      </c>
      <c r="F5814" s="1">
        <v>3.1689026487788099</v>
      </c>
      <c r="G5814" s="1">
        <v>2.7309995189016778E-2</v>
      </c>
    </row>
    <row r="5815" spans="1:7">
      <c r="A5815">
        <v>276</v>
      </c>
      <c r="B5815">
        <v>172</v>
      </c>
      <c r="C5815" s="1">
        <f>(Tabela1[[#This Row],[x]]-H$3)*(Tabela1[[#This Row],[x]]-H$3) +(Tabela1[[#This Row],[y]]-H$4)*(Tabela1[[#This Row],[y]]-H$4)</f>
        <v>6560</v>
      </c>
      <c r="D5815" s="1">
        <f>IF(Tabela1[[#This Row],[promien]]&lt;40000,1,0)</f>
        <v>1</v>
      </c>
      <c r="E5815" s="1">
        <f>IF(Tabela1[[#This Row],[promien]]=40000,1,0)</f>
        <v>0</v>
      </c>
      <c r="F5815" s="1">
        <v>3.1690455717970765</v>
      </c>
      <c r="G5815" s="1">
        <v>2.745291820728335E-2</v>
      </c>
    </row>
    <row r="5816" spans="1:7">
      <c r="A5816">
        <v>129</v>
      </c>
      <c r="B5816">
        <v>136</v>
      </c>
      <c r="C5816" s="1">
        <f>(Tabela1[[#This Row],[x]]-H$3)*(Tabela1[[#This Row],[x]]-H$3) +(Tabela1[[#This Row],[y]]-H$4)*(Tabela1[[#This Row],[y]]-H$4)</f>
        <v>9137</v>
      </c>
      <c r="D5816" s="1">
        <f>IF(Tabela1[[#This Row],[promien]]&lt;40000,1,0)</f>
        <v>1</v>
      </c>
      <c r="E5816" s="1">
        <f>IF(Tabela1[[#This Row],[promien]]=40000,1,0)</f>
        <v>0</v>
      </c>
      <c r="F5816" s="1">
        <v>3.1691884456671251</v>
      </c>
      <c r="G5816" s="1">
        <v>2.7595792077331982E-2</v>
      </c>
    </row>
    <row r="5817" spans="1:7">
      <c r="A5817">
        <v>284</v>
      </c>
      <c r="B5817">
        <v>272</v>
      </c>
      <c r="C5817" s="1">
        <f>(Tabela1[[#This Row],[x]]-H$3)*(Tabela1[[#This Row],[x]]-H$3) +(Tabela1[[#This Row],[y]]-H$4)*(Tabela1[[#This Row],[y]]-H$4)</f>
        <v>12240</v>
      </c>
      <c r="D5817" s="1">
        <f>IF(Tabela1[[#This Row],[promien]]&lt;40000,1,0)</f>
        <v>1</v>
      </c>
      <c r="E5817" s="1">
        <f>IF(Tabela1[[#This Row],[promien]]=40000,1,0)</f>
        <v>0</v>
      </c>
      <c r="F5817" s="1">
        <v>3.1693312704143031</v>
      </c>
      <c r="G5817" s="1">
        <v>2.7738616824509954E-2</v>
      </c>
    </row>
    <row r="5818" spans="1:7">
      <c r="A5818">
        <v>174</v>
      </c>
      <c r="B5818">
        <v>323</v>
      </c>
      <c r="C5818" s="1">
        <f>(Tabela1[[#This Row],[x]]-H$3)*(Tabela1[[#This Row],[x]]-H$3) +(Tabela1[[#This Row],[y]]-H$4)*(Tabela1[[#This Row],[y]]-H$4)</f>
        <v>15805</v>
      </c>
      <c r="D5818" s="1">
        <f>IF(Tabela1[[#This Row],[promien]]&lt;40000,1,0)</f>
        <v>1</v>
      </c>
      <c r="E5818" s="1">
        <f>IF(Tabela1[[#This Row],[promien]]=40000,1,0)</f>
        <v>0</v>
      </c>
      <c r="F5818" s="1">
        <v>3.1694740460639395</v>
      </c>
      <c r="G5818" s="1">
        <v>2.7881392474146338E-2</v>
      </c>
    </row>
    <row r="5819" spans="1:7">
      <c r="A5819">
        <v>74</v>
      </c>
      <c r="B5819">
        <v>291</v>
      </c>
      <c r="C5819" s="1">
        <f>(Tabela1[[#This Row],[x]]-H$3)*(Tabela1[[#This Row],[x]]-H$3) +(Tabela1[[#This Row],[y]]-H$4)*(Tabela1[[#This Row],[y]]-H$4)</f>
        <v>24157</v>
      </c>
      <c r="D5819" s="1">
        <f>IF(Tabela1[[#This Row],[promien]]&lt;40000,1,0)</f>
        <v>1</v>
      </c>
      <c r="E5819" s="1">
        <f>IF(Tabela1[[#This Row],[promien]]=40000,1,0)</f>
        <v>0</v>
      </c>
      <c r="F5819" s="1">
        <v>3.1696167726413473</v>
      </c>
      <c r="G5819" s="1">
        <v>2.8024119051554219E-2</v>
      </c>
    </row>
    <row r="5820" spans="1:7">
      <c r="A5820">
        <v>56</v>
      </c>
      <c r="B5820">
        <v>45</v>
      </c>
      <c r="C5820" s="1">
        <f>(Tabela1[[#This Row],[x]]-H$3)*(Tabela1[[#This Row],[x]]-H$3) +(Tabela1[[#This Row],[y]]-H$4)*(Tabela1[[#This Row],[y]]-H$4)</f>
        <v>44761</v>
      </c>
      <c r="D5820" s="1">
        <f>IF(Tabela1[[#This Row],[promien]]&lt;40000,1,0)</f>
        <v>0</v>
      </c>
      <c r="E5820" s="1">
        <f>IF(Tabela1[[#This Row],[promien]]=40000,1,0)</f>
        <v>0</v>
      </c>
      <c r="F5820" s="1">
        <v>3.1690721649484535</v>
      </c>
      <c r="G5820" s="1">
        <v>2.7479511358660336E-2</v>
      </c>
    </row>
    <row r="5821" spans="1:7">
      <c r="A5821">
        <v>235</v>
      </c>
      <c r="B5821">
        <v>214</v>
      </c>
      <c r="C5821" s="1">
        <f>(Tabela1[[#This Row],[x]]-H$3)*(Tabela1[[#This Row],[x]]-H$3) +(Tabela1[[#This Row],[y]]-H$4)*(Tabela1[[#This Row],[y]]-H$4)</f>
        <v>1421</v>
      </c>
      <c r="D5821" s="1">
        <f>IF(Tabela1[[#This Row],[promien]]&lt;40000,1,0)</f>
        <v>1</v>
      </c>
      <c r="E5821" s="1">
        <f>IF(Tabela1[[#This Row],[promien]]=40000,1,0)</f>
        <v>0</v>
      </c>
      <c r="F5821" s="1">
        <v>3.169214911527229</v>
      </c>
      <c r="G5821" s="1">
        <v>2.762225793743589E-2</v>
      </c>
    </row>
    <row r="5822" spans="1:7">
      <c r="A5822">
        <v>47</v>
      </c>
      <c r="B5822">
        <v>151</v>
      </c>
      <c r="C5822" s="1">
        <f>(Tabela1[[#This Row],[x]]-H$3)*(Tabela1[[#This Row],[x]]-H$3) +(Tabela1[[#This Row],[y]]-H$4)*(Tabela1[[#This Row],[y]]-H$4)</f>
        <v>25810</v>
      </c>
      <c r="D5822" s="1">
        <f>IF(Tabela1[[#This Row],[promien]]&lt;40000,1,0)</f>
        <v>1</v>
      </c>
      <c r="E5822" s="1">
        <f>IF(Tabela1[[#This Row],[promien]]=40000,1,0)</f>
        <v>0</v>
      </c>
      <c r="F5822" s="1">
        <v>3.1693576090690483</v>
      </c>
      <c r="G5822" s="1">
        <v>2.7764955479255171E-2</v>
      </c>
    </row>
    <row r="5823" spans="1:7">
      <c r="A5823">
        <v>321</v>
      </c>
      <c r="B5823">
        <v>141</v>
      </c>
      <c r="C5823" s="1">
        <f>(Tabela1[[#This Row],[x]]-H$3)*(Tabela1[[#This Row],[x]]-H$3) +(Tabela1[[#This Row],[y]]-H$4)*(Tabela1[[#This Row],[y]]-H$4)</f>
        <v>18122</v>
      </c>
      <c r="D5823" s="1">
        <f>IF(Tabela1[[#This Row],[promien]]&lt;40000,1,0)</f>
        <v>1</v>
      </c>
      <c r="E5823" s="1">
        <f>IF(Tabela1[[#This Row],[promien]]=40000,1,0)</f>
        <v>0</v>
      </c>
      <c r="F5823" s="1">
        <v>3.1695002575991755</v>
      </c>
      <c r="G5823" s="1">
        <v>2.7907604009382414E-2</v>
      </c>
    </row>
    <row r="5824" spans="1:7">
      <c r="A5824">
        <v>263</v>
      </c>
      <c r="B5824">
        <v>225</v>
      </c>
      <c r="C5824" s="1">
        <f>(Tabela1[[#This Row],[x]]-H$3)*(Tabela1[[#This Row],[x]]-H$3) +(Tabela1[[#This Row],[y]]-H$4)*(Tabela1[[#This Row],[y]]-H$4)</f>
        <v>4594</v>
      </c>
      <c r="D5824" s="1">
        <f>IF(Tabela1[[#This Row],[promien]]&lt;40000,1,0)</f>
        <v>1</v>
      </c>
      <c r="E5824" s="1">
        <f>IF(Tabela1[[#This Row],[promien]]=40000,1,0)</f>
        <v>0</v>
      </c>
      <c r="F5824" s="1">
        <v>3.1696428571428572</v>
      </c>
      <c r="G5824" s="1">
        <v>2.805020355306409E-2</v>
      </c>
    </row>
    <row r="5825" spans="1:7">
      <c r="A5825">
        <v>313</v>
      </c>
      <c r="B5825">
        <v>386</v>
      </c>
      <c r="C5825" s="1">
        <f>(Tabela1[[#This Row],[x]]-H$3)*(Tabela1[[#This Row],[x]]-H$3) +(Tabela1[[#This Row],[y]]-H$4)*(Tabela1[[#This Row],[y]]-H$4)</f>
        <v>47365</v>
      </c>
      <c r="D5825" s="1">
        <f>IF(Tabela1[[#This Row],[promien]]&lt;40000,1,0)</f>
        <v>0</v>
      </c>
      <c r="E5825" s="1">
        <f>IF(Tabela1[[#This Row],[promien]]=40000,1,0)</f>
        <v>0</v>
      </c>
      <c r="F5825" s="1">
        <v>3.1690987124463521</v>
      </c>
      <c r="G5825" s="1">
        <v>2.750605885655899E-2</v>
      </c>
    </row>
    <row r="5826" spans="1:7">
      <c r="A5826">
        <v>162</v>
      </c>
      <c r="B5826">
        <v>15</v>
      </c>
      <c r="C5826" s="1">
        <f>(Tabela1[[#This Row],[x]]-H$3)*(Tabela1[[#This Row],[x]]-H$3) +(Tabela1[[#This Row],[y]]-H$4)*(Tabela1[[#This Row],[y]]-H$4)</f>
        <v>35669</v>
      </c>
      <c r="D5826" s="1">
        <f>IF(Tabela1[[#This Row],[promien]]&lt;40000,1,0)</f>
        <v>1</v>
      </c>
      <c r="E5826" s="1">
        <f>IF(Tabela1[[#This Row],[promien]]=40000,1,0)</f>
        <v>0</v>
      </c>
      <c r="F5826" s="1">
        <v>3.1692413319601784</v>
      </c>
      <c r="G5826" s="1">
        <v>2.7648678370385316E-2</v>
      </c>
    </row>
    <row r="5827" spans="1:7">
      <c r="A5827">
        <v>16</v>
      </c>
      <c r="B5827">
        <v>144</v>
      </c>
      <c r="C5827" s="1">
        <f>(Tabela1[[#This Row],[x]]-H$3)*(Tabela1[[#This Row],[x]]-H$3) +(Tabela1[[#This Row],[y]]-H$4)*(Tabela1[[#This Row],[y]]-H$4)</f>
        <v>36992</v>
      </c>
      <c r="D5827" s="1">
        <f>IF(Tabela1[[#This Row],[promien]]&lt;40000,1,0)</f>
        <v>1</v>
      </c>
      <c r="E5827" s="1">
        <f>IF(Tabela1[[#This Row],[promien]]=40000,1,0)</f>
        <v>0</v>
      </c>
      <c r="F5827" s="1">
        <v>3.169383902522739</v>
      </c>
      <c r="G5827" s="1">
        <v>2.7791248932945933E-2</v>
      </c>
    </row>
    <row r="5828" spans="1:7">
      <c r="A5828">
        <v>227</v>
      </c>
      <c r="B5828">
        <v>367</v>
      </c>
      <c r="C5828" s="1">
        <f>(Tabela1[[#This Row],[x]]-H$3)*(Tabela1[[#This Row],[x]]-H$3) +(Tabela1[[#This Row],[y]]-H$4)*(Tabela1[[#This Row],[y]]-H$4)</f>
        <v>28618</v>
      </c>
      <c r="D5828" s="1">
        <f>IF(Tabela1[[#This Row],[promien]]&lt;40000,1,0)</f>
        <v>1</v>
      </c>
      <c r="E5828" s="1">
        <f>IF(Tabela1[[#This Row],[promien]]=40000,1,0)</f>
        <v>0</v>
      </c>
      <c r="F5828" s="1">
        <v>3.1695264241592311</v>
      </c>
      <c r="G5828" s="1">
        <v>2.7933770569438021E-2</v>
      </c>
    </row>
    <row r="5829" spans="1:7">
      <c r="A5829">
        <v>179</v>
      </c>
      <c r="B5829">
        <v>212</v>
      </c>
      <c r="C5829" s="1">
        <f>(Tabela1[[#This Row],[x]]-H$3)*(Tabela1[[#This Row],[x]]-H$3) +(Tabela1[[#This Row],[y]]-H$4)*(Tabela1[[#This Row],[y]]-H$4)</f>
        <v>585</v>
      </c>
      <c r="D5829" s="1">
        <f>IF(Tabela1[[#This Row],[promien]]&lt;40000,1,0)</f>
        <v>1</v>
      </c>
      <c r="E5829" s="1">
        <f>IF(Tabela1[[#This Row],[promien]]=40000,1,0)</f>
        <v>0</v>
      </c>
      <c r="F5829" s="1">
        <v>3.1696688968948363</v>
      </c>
      <c r="G5829" s="1">
        <v>2.8076243305043214E-2</v>
      </c>
    </row>
    <row r="5830" spans="1:7">
      <c r="A5830">
        <v>301</v>
      </c>
      <c r="B5830">
        <v>350</v>
      </c>
      <c r="C5830" s="1">
        <f>(Tabela1[[#This Row],[x]]-H$3)*(Tabela1[[#This Row],[x]]-H$3) +(Tabela1[[#This Row],[y]]-H$4)*(Tabela1[[#This Row],[y]]-H$4)</f>
        <v>32701</v>
      </c>
      <c r="D5830" s="1">
        <f>IF(Tabela1[[#This Row],[promien]]&lt;40000,1,0)</f>
        <v>1</v>
      </c>
      <c r="E5830" s="1">
        <f>IF(Tabela1[[#This Row],[promien]]=40000,1,0)</f>
        <v>0</v>
      </c>
      <c r="F5830" s="1">
        <v>3.1698113207547172</v>
      </c>
      <c r="G5830" s="1">
        <v>2.8218667164924049E-2</v>
      </c>
    </row>
    <row r="5831" spans="1:7">
      <c r="A5831">
        <v>161</v>
      </c>
      <c r="B5831">
        <v>83</v>
      </c>
      <c r="C5831" s="1">
        <f>(Tabela1[[#This Row],[x]]-H$3)*(Tabela1[[#This Row],[x]]-H$3) +(Tabela1[[#This Row],[y]]-H$4)*(Tabela1[[#This Row],[y]]-H$4)</f>
        <v>15210</v>
      </c>
      <c r="D5831" s="1">
        <f>IF(Tabela1[[#This Row],[promien]]&lt;40000,1,0)</f>
        <v>1</v>
      </c>
      <c r="E5831" s="1">
        <f>IF(Tabela1[[#This Row],[promien]]=40000,1,0)</f>
        <v>0</v>
      </c>
      <c r="F5831" s="1">
        <v>3.1699536957640198</v>
      </c>
      <c r="G5831" s="1">
        <v>2.8361042174226636E-2</v>
      </c>
    </row>
    <row r="5832" spans="1:7">
      <c r="A5832">
        <v>342</v>
      </c>
      <c r="B5832">
        <v>67</v>
      </c>
      <c r="C5832" s="1">
        <f>(Tabela1[[#This Row],[x]]-H$3)*(Tabela1[[#This Row],[x]]-H$3) +(Tabela1[[#This Row],[y]]-H$4)*(Tabela1[[#This Row],[y]]-H$4)</f>
        <v>37853</v>
      </c>
      <c r="D5832" s="1">
        <f>IF(Tabela1[[#This Row],[promien]]&lt;40000,1,0)</f>
        <v>1</v>
      </c>
      <c r="E5832" s="1">
        <f>IF(Tabela1[[#This Row],[promien]]=40000,1,0)</f>
        <v>0</v>
      </c>
      <c r="F5832" s="1">
        <v>3.1700960219478738</v>
      </c>
      <c r="G5832" s="1">
        <v>2.850336835808065E-2</v>
      </c>
    </row>
    <row r="5833" spans="1:7">
      <c r="A5833">
        <v>322</v>
      </c>
      <c r="B5833">
        <v>308</v>
      </c>
      <c r="C5833" s="1">
        <f>(Tabela1[[#This Row],[x]]-H$3)*(Tabela1[[#This Row],[x]]-H$3) +(Tabela1[[#This Row],[y]]-H$4)*(Tabela1[[#This Row],[y]]-H$4)</f>
        <v>26548</v>
      </c>
      <c r="D5833" s="1">
        <f>IF(Tabela1[[#This Row],[promien]]&lt;40000,1,0)</f>
        <v>1</v>
      </c>
      <c r="E5833" s="1">
        <f>IF(Tabela1[[#This Row],[promien]]=40000,1,0)</f>
        <v>0</v>
      </c>
      <c r="F5833" s="1">
        <v>3.1702382993313902</v>
      </c>
      <c r="G5833" s="1">
        <v>2.8645645741597114E-2</v>
      </c>
    </row>
    <row r="5834" spans="1:7">
      <c r="A5834">
        <v>358</v>
      </c>
      <c r="B5834">
        <v>24</v>
      </c>
      <c r="C5834" s="1">
        <f>(Tabela1[[#This Row],[x]]-H$3)*(Tabela1[[#This Row],[x]]-H$3) +(Tabela1[[#This Row],[y]]-H$4)*(Tabela1[[#This Row],[y]]-H$4)</f>
        <v>55940</v>
      </c>
      <c r="D5834" s="1">
        <f>IF(Tabela1[[#This Row],[promien]]&lt;40000,1,0)</f>
        <v>0</v>
      </c>
      <c r="E5834" s="1">
        <f>IF(Tabela1[[#This Row],[promien]]=40000,1,0)</f>
        <v>0</v>
      </c>
      <c r="F5834" s="1">
        <v>3.1696948920123416</v>
      </c>
      <c r="G5834" s="1">
        <v>2.8102238422548442E-2</v>
      </c>
    </row>
    <row r="5835" spans="1:7">
      <c r="A5835">
        <v>66</v>
      </c>
      <c r="B5835">
        <v>12</v>
      </c>
      <c r="C5835" s="1">
        <f>(Tabela1[[#This Row],[x]]-H$3)*(Tabela1[[#This Row],[x]]-H$3) +(Tabela1[[#This Row],[y]]-H$4)*(Tabela1[[#This Row],[y]]-H$4)</f>
        <v>53300</v>
      </c>
      <c r="D5835" s="1">
        <f>IF(Tabela1[[#This Row],[promien]]&lt;40000,1,0)</f>
        <v>0</v>
      </c>
      <c r="E5835" s="1">
        <f>IF(Tabela1[[#This Row],[promien]]=40000,1,0)</f>
        <v>0</v>
      </c>
      <c r="F5835" s="1">
        <v>3.1691516709511567</v>
      </c>
      <c r="G5835" s="1">
        <v>2.7559017361363569E-2</v>
      </c>
    </row>
    <row r="5836" spans="1:7">
      <c r="A5836">
        <v>172</v>
      </c>
      <c r="B5836">
        <v>201</v>
      </c>
      <c r="C5836" s="1">
        <f>(Tabela1[[#This Row],[x]]-H$3)*(Tabela1[[#This Row],[x]]-H$3) +(Tabela1[[#This Row],[y]]-H$4)*(Tabela1[[#This Row],[y]]-H$4)</f>
        <v>785</v>
      </c>
      <c r="D5836" s="1">
        <f>IF(Tabela1[[#This Row],[promien]]&lt;40000,1,0)</f>
        <v>1</v>
      </c>
      <c r="E5836" s="1">
        <f>IF(Tabela1[[#This Row],[promien]]=40000,1,0)</f>
        <v>0</v>
      </c>
      <c r="F5836" s="1">
        <v>3.1692940370116518</v>
      </c>
      <c r="G5836" s="1">
        <v>2.7701383421858683E-2</v>
      </c>
    </row>
    <row r="5837" spans="1:7">
      <c r="A5837">
        <v>338</v>
      </c>
      <c r="B5837">
        <v>90</v>
      </c>
      <c r="C5837" s="1">
        <f>(Tabela1[[#This Row],[x]]-H$3)*(Tabela1[[#This Row],[x]]-H$3) +(Tabela1[[#This Row],[y]]-H$4)*(Tabela1[[#This Row],[y]]-H$4)</f>
        <v>31144</v>
      </c>
      <c r="D5837" s="1">
        <f>IF(Tabela1[[#This Row],[promien]]&lt;40000,1,0)</f>
        <v>1</v>
      </c>
      <c r="E5837" s="1">
        <f>IF(Tabela1[[#This Row],[promien]]=40000,1,0)</f>
        <v>0</v>
      </c>
      <c r="F5837" s="1">
        <v>3.1694363542915882</v>
      </c>
      <c r="G5837" s="1">
        <v>2.7843700701795093E-2</v>
      </c>
    </row>
    <row r="5838" spans="1:7">
      <c r="A5838">
        <v>233</v>
      </c>
      <c r="B5838">
        <v>171</v>
      </c>
      <c r="C5838" s="1">
        <f>(Tabela1[[#This Row],[x]]-H$3)*(Tabela1[[#This Row],[x]]-H$3) +(Tabela1[[#This Row],[y]]-H$4)*(Tabela1[[#This Row],[y]]-H$4)</f>
        <v>1930</v>
      </c>
      <c r="D5838" s="1">
        <f>IF(Tabela1[[#This Row],[promien]]&lt;40000,1,0)</f>
        <v>1</v>
      </c>
      <c r="E5838" s="1">
        <f>IF(Tabela1[[#This Row],[promien]]=40000,1,0)</f>
        <v>0</v>
      </c>
      <c r="F5838" s="1">
        <v>3.169578622816033</v>
      </c>
      <c r="G5838" s="1">
        <v>2.798596922623986E-2</v>
      </c>
    </row>
    <row r="5839" spans="1:7">
      <c r="A5839">
        <v>388</v>
      </c>
      <c r="B5839">
        <v>346</v>
      </c>
      <c r="C5839" s="1">
        <f>(Tabela1[[#This Row],[x]]-H$3)*(Tabela1[[#This Row],[x]]-H$3) +(Tabela1[[#This Row],[y]]-H$4)*(Tabela1[[#This Row],[y]]-H$4)</f>
        <v>56660</v>
      </c>
      <c r="D5839" s="1">
        <f>IF(Tabela1[[#This Row],[promien]]&lt;40000,1,0)</f>
        <v>0</v>
      </c>
      <c r="E5839" s="1">
        <f>IF(Tabela1[[#This Row],[promien]]=40000,1,0)</f>
        <v>0</v>
      </c>
      <c r="F5839" s="1">
        <v>3.1690357938003082</v>
      </c>
      <c r="G5839" s="1">
        <v>2.7443140210515082E-2</v>
      </c>
    </row>
    <row r="5840" spans="1:7">
      <c r="A5840">
        <v>234</v>
      </c>
      <c r="B5840">
        <v>236</v>
      </c>
      <c r="C5840" s="1">
        <f>(Tabela1[[#This Row],[x]]-H$3)*(Tabela1[[#This Row],[x]]-H$3) +(Tabela1[[#This Row],[y]]-H$4)*(Tabela1[[#This Row],[y]]-H$4)</f>
        <v>2452</v>
      </c>
      <c r="D5840" s="1">
        <f>IF(Tabela1[[#This Row],[promien]]&lt;40000,1,0)</f>
        <v>1</v>
      </c>
      <c r="E5840" s="1">
        <f>IF(Tabela1[[#This Row],[promien]]=40000,1,0)</f>
        <v>0</v>
      </c>
      <c r="F5840" s="1">
        <v>3.169178082191781</v>
      </c>
      <c r="G5840" s="1">
        <v>2.7585428601987871E-2</v>
      </c>
    </row>
    <row r="5841" spans="1:7">
      <c r="A5841">
        <v>98</v>
      </c>
      <c r="B5841">
        <v>249</v>
      </c>
      <c r="C5841" s="1">
        <f>(Tabela1[[#This Row],[x]]-H$3)*(Tabela1[[#This Row],[x]]-H$3) +(Tabela1[[#This Row],[y]]-H$4)*(Tabela1[[#This Row],[y]]-H$4)</f>
        <v>12805</v>
      </c>
      <c r="D5841" s="1">
        <f>IF(Tabela1[[#This Row],[promien]]&lt;40000,1,0)</f>
        <v>1</v>
      </c>
      <c r="E5841" s="1">
        <f>IF(Tabela1[[#This Row],[promien]]=40000,1,0)</f>
        <v>0</v>
      </c>
      <c r="F5841" s="1">
        <v>3.1693203218626946</v>
      </c>
      <c r="G5841" s="1">
        <v>2.7727668272901518E-2</v>
      </c>
    </row>
    <row r="5842" spans="1:7">
      <c r="A5842">
        <v>312</v>
      </c>
      <c r="B5842">
        <v>124</v>
      </c>
      <c r="C5842" s="1">
        <f>(Tabela1[[#This Row],[x]]-H$3)*(Tabela1[[#This Row],[x]]-H$3) +(Tabela1[[#This Row],[y]]-H$4)*(Tabela1[[#This Row],[y]]-H$4)</f>
        <v>18320</v>
      </c>
      <c r="D5842" s="1">
        <f>IF(Tabela1[[#This Row],[promien]]&lt;40000,1,0)</f>
        <v>1</v>
      </c>
      <c r="E5842" s="1">
        <f>IF(Tabela1[[#This Row],[promien]]=40000,1,0)</f>
        <v>0</v>
      </c>
      <c r="F5842" s="1">
        <v>3.1694625128380691</v>
      </c>
      <c r="G5842" s="1">
        <v>2.7869859248276008E-2</v>
      </c>
    </row>
    <row r="5843" spans="1:7">
      <c r="A5843">
        <v>179</v>
      </c>
      <c r="B5843">
        <v>2</v>
      </c>
      <c r="C5843" s="1">
        <f>(Tabela1[[#This Row],[x]]-H$3)*(Tabela1[[#This Row],[x]]-H$3) +(Tabela1[[#This Row],[y]]-H$4)*(Tabela1[[#This Row],[y]]-H$4)</f>
        <v>39645</v>
      </c>
      <c r="D5843" s="1">
        <f>IF(Tabela1[[#This Row],[promien]]&lt;40000,1,0)</f>
        <v>1</v>
      </c>
      <c r="E5843" s="1">
        <f>IF(Tabela1[[#This Row],[promien]]=40000,1,0)</f>
        <v>0</v>
      </c>
      <c r="F5843" s="1">
        <v>3.1696046551429062</v>
      </c>
      <c r="G5843" s="1">
        <v>2.8012001553113119E-2</v>
      </c>
    </row>
    <row r="5844" spans="1:7">
      <c r="A5844">
        <v>208</v>
      </c>
      <c r="B5844">
        <v>389</v>
      </c>
      <c r="C5844" s="1">
        <f>(Tabela1[[#This Row],[x]]-H$3)*(Tabela1[[#This Row],[x]]-H$3) +(Tabela1[[#This Row],[y]]-H$4)*(Tabela1[[#This Row],[y]]-H$4)</f>
        <v>35785</v>
      </c>
      <c r="D5844" s="1">
        <f>IF(Tabela1[[#This Row],[promien]]&lt;40000,1,0)</f>
        <v>1</v>
      </c>
      <c r="E5844" s="1">
        <f>IF(Tabela1[[#This Row],[promien]]=40000,1,0)</f>
        <v>0</v>
      </c>
      <c r="F5844" s="1">
        <v>3.1697467488021904</v>
      </c>
      <c r="G5844" s="1">
        <v>2.8154095212397312E-2</v>
      </c>
    </row>
    <row r="5845" spans="1:7">
      <c r="A5845">
        <v>342</v>
      </c>
      <c r="B5845">
        <v>205</v>
      </c>
      <c r="C5845" s="1">
        <f>(Tabela1[[#This Row],[x]]-H$3)*(Tabela1[[#This Row],[x]]-H$3) +(Tabela1[[#This Row],[y]]-H$4)*(Tabela1[[#This Row],[y]]-H$4)</f>
        <v>20189</v>
      </c>
      <c r="D5845" s="1">
        <f>IF(Tabela1[[#This Row],[promien]]&lt;40000,1,0)</f>
        <v>1</v>
      </c>
      <c r="E5845" s="1">
        <f>IF(Tabela1[[#This Row],[promien]]=40000,1,0)</f>
        <v>0</v>
      </c>
      <c r="F5845" s="1">
        <v>3.1698887938408897</v>
      </c>
      <c r="G5845" s="1">
        <v>2.8296140251096613E-2</v>
      </c>
    </row>
    <row r="5846" spans="1:7">
      <c r="A5846">
        <v>208</v>
      </c>
      <c r="B5846">
        <v>262</v>
      </c>
      <c r="C5846" s="1">
        <f>(Tabela1[[#This Row],[x]]-H$3)*(Tabela1[[#This Row],[x]]-H$3) +(Tabela1[[#This Row],[y]]-H$4)*(Tabela1[[#This Row],[y]]-H$4)</f>
        <v>3908</v>
      </c>
      <c r="D5846" s="1">
        <f>IF(Tabela1[[#This Row],[promien]]&lt;40000,1,0)</f>
        <v>1</v>
      </c>
      <c r="E5846" s="1">
        <f>IF(Tabela1[[#This Row],[promien]]=40000,1,0)</f>
        <v>0</v>
      </c>
      <c r="F5846" s="1">
        <v>3.1700307902839548</v>
      </c>
      <c r="G5846" s="1">
        <v>2.8438136694161731E-2</v>
      </c>
    </row>
    <row r="5847" spans="1:7">
      <c r="A5847">
        <v>170</v>
      </c>
      <c r="B5847">
        <v>316</v>
      </c>
      <c r="C5847" s="1">
        <f>(Tabela1[[#This Row],[x]]-H$3)*(Tabela1[[#This Row],[x]]-H$3) +(Tabela1[[#This Row],[y]]-H$4)*(Tabela1[[#This Row],[y]]-H$4)</f>
        <v>14356</v>
      </c>
      <c r="D5847" s="1">
        <f>IF(Tabela1[[#This Row],[promien]]&lt;40000,1,0)</f>
        <v>1</v>
      </c>
      <c r="E5847" s="1">
        <f>IF(Tabela1[[#This Row],[promien]]=40000,1,0)</f>
        <v>0</v>
      </c>
      <c r="F5847" s="1">
        <v>3.1701727381563196</v>
      </c>
      <c r="G5847" s="1">
        <v>2.8580084566526498E-2</v>
      </c>
    </row>
    <row r="5848" spans="1:7">
      <c r="A5848">
        <v>388</v>
      </c>
      <c r="B5848">
        <v>271</v>
      </c>
      <c r="C5848" s="1">
        <f>(Tabela1[[#This Row],[x]]-H$3)*(Tabela1[[#This Row],[x]]-H$3) +(Tabela1[[#This Row],[y]]-H$4)*(Tabela1[[#This Row],[y]]-H$4)</f>
        <v>40385</v>
      </c>
      <c r="D5848" s="1">
        <f>IF(Tabela1[[#This Row],[promien]]&lt;40000,1,0)</f>
        <v>0</v>
      </c>
      <c r="E5848" s="1">
        <f>IF(Tabela1[[#This Row],[promien]]=40000,1,0)</f>
        <v>0</v>
      </c>
      <c r="F5848" s="1">
        <v>3.1696306429548562</v>
      </c>
      <c r="G5848" s="1">
        <v>2.8037989365063076E-2</v>
      </c>
    </row>
    <row r="5849" spans="1:7">
      <c r="A5849">
        <v>8</v>
      </c>
      <c r="B5849">
        <v>397</v>
      </c>
      <c r="C5849" s="1">
        <f>(Tabela1[[#This Row],[x]]-H$3)*(Tabela1[[#This Row],[x]]-H$3) +(Tabela1[[#This Row],[y]]-H$4)*(Tabela1[[#This Row],[y]]-H$4)</f>
        <v>75673</v>
      </c>
      <c r="D5849" s="1">
        <f>IF(Tabela1[[#This Row],[promien]]&lt;40000,1,0)</f>
        <v>0</v>
      </c>
      <c r="E5849" s="1">
        <f>IF(Tabela1[[#This Row],[promien]]=40000,1,0)</f>
        <v>0</v>
      </c>
      <c r="F5849" s="1">
        <v>3.1690887331167721</v>
      </c>
      <c r="G5849" s="1">
        <v>2.7496079526978967E-2</v>
      </c>
    </row>
    <row r="5850" spans="1:7">
      <c r="A5850">
        <v>161</v>
      </c>
      <c r="B5850">
        <v>397</v>
      </c>
      <c r="C5850" s="1">
        <f>(Tabela1[[#This Row],[x]]-H$3)*(Tabela1[[#This Row],[x]]-H$3) +(Tabela1[[#This Row],[y]]-H$4)*(Tabela1[[#This Row],[y]]-H$4)</f>
        <v>40330</v>
      </c>
      <c r="D5850" s="1">
        <f>IF(Tabela1[[#This Row],[promien]]&lt;40000,1,0)</f>
        <v>0</v>
      </c>
      <c r="E5850" s="1">
        <f>IF(Tabela1[[#This Row],[promien]]=40000,1,0)</f>
        <v>0</v>
      </c>
      <c r="F5850" s="1">
        <v>3.1685470085470087</v>
      </c>
      <c r="G5850" s="1">
        <v>2.6954354957215543E-2</v>
      </c>
    </row>
    <row r="5851" spans="1:7">
      <c r="A5851">
        <v>224</v>
      </c>
      <c r="B5851">
        <v>18</v>
      </c>
      <c r="C5851" s="1">
        <f>(Tabela1[[#This Row],[x]]-H$3)*(Tabela1[[#This Row],[x]]-H$3) +(Tabela1[[#This Row],[y]]-H$4)*(Tabela1[[#This Row],[y]]-H$4)</f>
        <v>33700</v>
      </c>
      <c r="D5851" s="1">
        <f>IF(Tabela1[[#This Row],[promien]]&lt;40000,1,0)</f>
        <v>1</v>
      </c>
      <c r="E5851" s="1">
        <f>IF(Tabela1[[#This Row],[promien]]=40000,1,0)</f>
        <v>0</v>
      </c>
      <c r="F5851" s="1">
        <v>3.1686891129721415</v>
      </c>
      <c r="G5851" s="1">
        <v>2.7096459382348392E-2</v>
      </c>
    </row>
    <row r="5852" spans="1:7">
      <c r="A5852">
        <v>39</v>
      </c>
      <c r="B5852">
        <v>101</v>
      </c>
      <c r="C5852" s="1">
        <f>(Tabela1[[#This Row],[x]]-H$3)*(Tabela1[[#This Row],[x]]-H$3) +(Tabela1[[#This Row],[y]]-H$4)*(Tabela1[[#This Row],[y]]-H$4)</f>
        <v>35722</v>
      </c>
      <c r="D5852" s="1">
        <f>IF(Tabela1[[#This Row],[promien]]&lt;40000,1,0)</f>
        <v>1</v>
      </c>
      <c r="E5852" s="1">
        <f>IF(Tabela1[[#This Row],[promien]]=40000,1,0)</f>
        <v>0</v>
      </c>
      <c r="F5852" s="1">
        <v>3.168831168831169</v>
      </c>
      <c r="G5852" s="1">
        <v>2.7238515241375882E-2</v>
      </c>
    </row>
    <row r="5853" spans="1:7">
      <c r="A5853">
        <v>155</v>
      </c>
      <c r="B5853">
        <v>286</v>
      </c>
      <c r="C5853" s="1">
        <f>(Tabela1[[#This Row],[x]]-H$3)*(Tabela1[[#This Row],[x]]-H$3) +(Tabela1[[#This Row],[y]]-H$4)*(Tabela1[[#This Row],[y]]-H$4)</f>
        <v>9421</v>
      </c>
      <c r="D5853" s="1">
        <f>IF(Tabela1[[#This Row],[promien]]&lt;40000,1,0)</f>
        <v>1</v>
      </c>
      <c r="E5853" s="1">
        <f>IF(Tabela1[[#This Row],[promien]]=40000,1,0)</f>
        <v>0</v>
      </c>
      <c r="F5853" s="1">
        <v>3.1689731761489832</v>
      </c>
      <c r="G5853" s="1">
        <v>2.7380522559190101E-2</v>
      </c>
    </row>
    <row r="5854" spans="1:7">
      <c r="A5854">
        <v>259</v>
      </c>
      <c r="B5854">
        <v>183</v>
      </c>
      <c r="C5854" s="1">
        <f>(Tabela1[[#This Row],[x]]-H$3)*(Tabela1[[#This Row],[x]]-H$3) +(Tabela1[[#This Row],[y]]-H$4)*(Tabela1[[#This Row],[y]]-H$4)</f>
        <v>3770</v>
      </c>
      <c r="D5854" s="1">
        <f>IF(Tabela1[[#This Row],[promien]]&lt;40000,1,0)</f>
        <v>1</v>
      </c>
      <c r="E5854" s="1">
        <f>IF(Tabela1[[#This Row],[promien]]=40000,1,0)</f>
        <v>0</v>
      </c>
      <c r="F5854" s="1">
        <v>3.1691151349504612</v>
      </c>
      <c r="G5854" s="1">
        <v>2.7522481360668039E-2</v>
      </c>
    </row>
    <row r="5855" spans="1:7">
      <c r="A5855">
        <v>235</v>
      </c>
      <c r="B5855">
        <v>39</v>
      </c>
      <c r="C5855" s="1">
        <f>(Tabela1[[#This Row],[x]]-H$3)*(Tabela1[[#This Row],[x]]-H$3) +(Tabela1[[#This Row],[y]]-H$4)*(Tabela1[[#This Row],[y]]-H$4)</f>
        <v>27146</v>
      </c>
      <c r="D5855" s="1">
        <f>IF(Tabela1[[#This Row],[promien]]&lt;40000,1,0)</f>
        <v>1</v>
      </c>
      <c r="E5855" s="1">
        <f>IF(Tabela1[[#This Row],[promien]]=40000,1,0)</f>
        <v>0</v>
      </c>
      <c r="F5855" s="1">
        <v>3.1692570452604611</v>
      </c>
      <c r="G5855" s="1">
        <v>2.7664391670668032E-2</v>
      </c>
    </row>
    <row r="5856" spans="1:7">
      <c r="A5856">
        <v>199</v>
      </c>
      <c r="B5856">
        <v>186</v>
      </c>
      <c r="C5856" s="1">
        <f>(Tabela1[[#This Row],[x]]-H$3)*(Tabela1[[#This Row],[x]]-H$3) +(Tabela1[[#This Row],[y]]-H$4)*(Tabela1[[#This Row],[y]]-H$4)</f>
        <v>197</v>
      </c>
      <c r="D5856" s="1">
        <f>IF(Tabela1[[#This Row],[promien]]&lt;40000,1,0)</f>
        <v>1</v>
      </c>
      <c r="E5856" s="1">
        <f>IF(Tabela1[[#This Row],[promien]]=40000,1,0)</f>
        <v>0</v>
      </c>
      <c r="F5856" s="1">
        <v>3.1693989071038251</v>
      </c>
      <c r="G5856" s="1">
        <v>2.7806253514031987E-2</v>
      </c>
    </row>
    <row r="5857" spans="1:7">
      <c r="A5857">
        <v>271</v>
      </c>
      <c r="B5857">
        <v>63</v>
      </c>
      <c r="C5857" s="1">
        <f>(Tabela1[[#This Row],[x]]-H$3)*(Tabela1[[#This Row],[x]]-H$3) +(Tabela1[[#This Row],[y]]-H$4)*(Tabela1[[#This Row],[y]]-H$4)</f>
        <v>23810</v>
      </c>
      <c r="D5857" s="1">
        <f>IF(Tabela1[[#This Row],[promien]]&lt;40000,1,0)</f>
        <v>1</v>
      </c>
      <c r="E5857" s="1">
        <f>IF(Tabela1[[#This Row],[promien]]=40000,1,0)</f>
        <v>0</v>
      </c>
      <c r="F5857" s="1">
        <v>3.1695407205053781</v>
      </c>
      <c r="G5857" s="1">
        <v>2.7948066915584935E-2</v>
      </c>
    </row>
    <row r="5858" spans="1:7">
      <c r="A5858">
        <v>196</v>
      </c>
      <c r="B5858">
        <v>41</v>
      </c>
      <c r="C5858" s="1">
        <f>(Tabela1[[#This Row],[x]]-H$3)*(Tabela1[[#This Row],[x]]-H$3) +(Tabela1[[#This Row],[y]]-H$4)*(Tabela1[[#This Row],[y]]-H$4)</f>
        <v>25297</v>
      </c>
      <c r="D5858" s="1">
        <f>IF(Tabela1[[#This Row],[promien]]&lt;40000,1,0)</f>
        <v>1</v>
      </c>
      <c r="E5858" s="1">
        <f>IF(Tabela1[[#This Row],[promien]]=40000,1,0)</f>
        <v>0</v>
      </c>
      <c r="F5858" s="1">
        <v>3.1696824854899281</v>
      </c>
      <c r="G5858" s="1">
        <v>2.8089831900135032E-2</v>
      </c>
    </row>
    <row r="5859" spans="1:7">
      <c r="A5859">
        <v>72</v>
      </c>
      <c r="B5859">
        <v>116</v>
      </c>
      <c r="C5859" s="1">
        <f>(Tabela1[[#This Row],[x]]-H$3)*(Tabela1[[#This Row],[x]]-H$3) +(Tabela1[[#This Row],[y]]-H$4)*(Tabela1[[#This Row],[y]]-H$4)</f>
        <v>23440</v>
      </c>
      <c r="D5859" s="1">
        <f>IF(Tabela1[[#This Row],[promien]]&lt;40000,1,0)</f>
        <v>1</v>
      </c>
      <c r="E5859" s="1">
        <f>IF(Tabela1[[#This Row],[promien]]=40000,1,0)</f>
        <v>0</v>
      </c>
      <c r="F5859" s="1">
        <v>3.1698242020822667</v>
      </c>
      <c r="G5859" s="1">
        <v>2.8231548492473557E-2</v>
      </c>
    </row>
    <row r="5860" spans="1:7">
      <c r="A5860">
        <v>204</v>
      </c>
      <c r="B5860">
        <v>233</v>
      </c>
      <c r="C5860" s="1">
        <f>(Tabela1[[#This Row],[x]]-H$3)*(Tabela1[[#This Row],[x]]-H$3) +(Tabela1[[#This Row],[y]]-H$4)*(Tabela1[[#This Row],[y]]-H$4)</f>
        <v>1105</v>
      </c>
      <c r="D5860" s="1">
        <f>IF(Tabela1[[#This Row],[promien]]&lt;40000,1,0)</f>
        <v>1</v>
      </c>
      <c r="E5860" s="1">
        <f>IF(Tabela1[[#This Row],[promien]]=40000,1,0)</f>
        <v>0</v>
      </c>
      <c r="F5860" s="1">
        <v>3.1699658703071671</v>
      </c>
      <c r="G5860" s="1">
        <v>2.8373216717374028E-2</v>
      </c>
    </row>
    <row r="5861" spans="1:7">
      <c r="A5861">
        <v>387</v>
      </c>
      <c r="B5861">
        <v>326</v>
      </c>
      <c r="C5861" s="1">
        <f>(Tabela1[[#This Row],[x]]-H$3)*(Tabela1[[#This Row],[x]]-H$3) +(Tabela1[[#This Row],[y]]-H$4)*(Tabela1[[#This Row],[y]]-H$4)</f>
        <v>50845</v>
      </c>
      <c r="D5861" s="1">
        <f>IF(Tabela1[[#This Row],[promien]]&lt;40000,1,0)</f>
        <v>0</v>
      </c>
      <c r="E5861" s="1">
        <f>IF(Tabela1[[#This Row],[promien]]=40000,1,0)</f>
        <v>0</v>
      </c>
      <c r="F5861" s="1">
        <v>3.1694250127964509</v>
      </c>
      <c r="G5861" s="1">
        <v>2.7832359206657831E-2</v>
      </c>
    </row>
    <row r="5862" spans="1:7">
      <c r="A5862">
        <v>76</v>
      </c>
      <c r="B5862">
        <v>201</v>
      </c>
      <c r="C5862" s="1">
        <f>(Tabela1[[#This Row],[x]]-H$3)*(Tabela1[[#This Row],[x]]-H$3) +(Tabela1[[#This Row],[y]]-H$4)*(Tabela1[[#This Row],[y]]-H$4)</f>
        <v>15377</v>
      </c>
      <c r="D5862" s="1">
        <f>IF(Tabela1[[#This Row],[promien]]&lt;40000,1,0)</f>
        <v>1</v>
      </c>
      <c r="E5862" s="1">
        <f>IF(Tabela1[[#This Row],[promien]]=40000,1,0)</f>
        <v>0</v>
      </c>
      <c r="F5862" s="1">
        <v>3.1695667007847153</v>
      </c>
      <c r="G5862" s="1">
        <v>2.7974047194922136E-2</v>
      </c>
    </row>
    <row r="5863" spans="1:7">
      <c r="A5863">
        <v>19</v>
      </c>
      <c r="B5863">
        <v>91</v>
      </c>
      <c r="C5863" s="1">
        <f>(Tabela1[[#This Row],[x]]-H$3)*(Tabela1[[#This Row],[x]]-H$3) +(Tabela1[[#This Row],[y]]-H$4)*(Tabela1[[#This Row],[y]]-H$4)</f>
        <v>44642</v>
      </c>
      <c r="D5863" s="1">
        <f>IF(Tabela1[[#This Row],[promien]]&lt;40000,1,0)</f>
        <v>0</v>
      </c>
      <c r="E5863" s="1">
        <f>IF(Tabela1[[#This Row],[promien]]=40000,1,0)</f>
        <v>0</v>
      </c>
      <c r="F5863" s="1">
        <v>3.1690260958553642</v>
      </c>
      <c r="G5863" s="1">
        <v>2.7433442265571095E-2</v>
      </c>
    </row>
    <row r="5864" spans="1:7">
      <c r="A5864">
        <v>285</v>
      </c>
      <c r="B5864">
        <v>86</v>
      </c>
      <c r="C5864" s="1">
        <f>(Tabela1[[#This Row],[x]]-H$3)*(Tabela1[[#This Row],[x]]-H$3) +(Tabela1[[#This Row],[y]]-H$4)*(Tabela1[[#This Row],[y]]-H$4)</f>
        <v>20221</v>
      </c>
      <c r="D5864" s="1">
        <f>IF(Tabela1[[#This Row],[promien]]&lt;40000,1,0)</f>
        <v>1</v>
      </c>
      <c r="E5864" s="1">
        <f>IF(Tabela1[[#This Row],[promien]]=40000,1,0)</f>
        <v>0</v>
      </c>
      <c r="F5864" s="1">
        <v>3.169167803547067</v>
      </c>
      <c r="G5864" s="1">
        <v>2.7575149957273837E-2</v>
      </c>
    </row>
    <row r="5865" spans="1:7">
      <c r="A5865">
        <v>108</v>
      </c>
      <c r="B5865">
        <v>214</v>
      </c>
      <c r="C5865" s="1">
        <f>(Tabela1[[#This Row],[x]]-H$3)*(Tabela1[[#This Row],[x]]-H$3) +(Tabela1[[#This Row],[y]]-H$4)*(Tabela1[[#This Row],[y]]-H$4)</f>
        <v>8660</v>
      </c>
      <c r="D5865" s="1">
        <f>IF(Tabela1[[#This Row],[promien]]&lt;40000,1,0)</f>
        <v>1</v>
      </c>
      <c r="E5865" s="1">
        <f>IF(Tabela1[[#This Row],[promien]]=40000,1,0)</f>
        <v>0</v>
      </c>
      <c r="F5865" s="1">
        <v>3.1693094629156011</v>
      </c>
      <c r="G5865" s="1">
        <v>2.7716809325808001E-2</v>
      </c>
    </row>
    <row r="5866" spans="1:7">
      <c r="A5866">
        <v>21</v>
      </c>
      <c r="B5866">
        <v>380</v>
      </c>
      <c r="C5866" s="1">
        <f>(Tabela1[[#This Row],[x]]-H$3)*(Tabela1[[#This Row],[x]]-H$3) +(Tabela1[[#This Row],[y]]-H$4)*(Tabela1[[#This Row],[y]]-H$4)</f>
        <v>64441</v>
      </c>
      <c r="D5866" s="1">
        <f>IF(Tabela1[[#This Row],[promien]]&lt;40000,1,0)</f>
        <v>0</v>
      </c>
      <c r="E5866" s="1">
        <f>IF(Tabela1[[#This Row],[promien]]=40000,1,0)</f>
        <v>0</v>
      </c>
      <c r="F5866" s="1">
        <v>3.1687691783157179</v>
      </c>
      <c r="G5866" s="1">
        <v>2.71765247259248E-2</v>
      </c>
    </row>
    <row r="5867" spans="1:7">
      <c r="A5867">
        <v>327</v>
      </c>
      <c r="B5867">
        <v>292</v>
      </c>
      <c r="C5867" s="1">
        <f>(Tabela1[[#This Row],[x]]-H$3)*(Tabela1[[#This Row],[x]]-H$3) +(Tabela1[[#This Row],[y]]-H$4)*(Tabela1[[#This Row],[y]]-H$4)</f>
        <v>24593</v>
      </c>
      <c r="D5867" s="1">
        <f>IF(Tabela1[[#This Row],[promien]]&lt;40000,1,0)</f>
        <v>1</v>
      </c>
      <c r="E5867" s="1">
        <f>IF(Tabela1[[#This Row],[promien]]=40000,1,0)</f>
        <v>0</v>
      </c>
      <c r="F5867" s="1">
        <v>3.1689108573376514</v>
      </c>
      <c r="G5867" s="1">
        <v>2.7318203747858316E-2</v>
      </c>
    </row>
    <row r="5868" spans="1:7">
      <c r="A5868">
        <v>389</v>
      </c>
      <c r="B5868">
        <v>200</v>
      </c>
      <c r="C5868" s="1">
        <f>(Tabela1[[#This Row],[x]]-H$3)*(Tabela1[[#This Row],[x]]-H$3) +(Tabela1[[#This Row],[y]]-H$4)*(Tabela1[[#This Row],[y]]-H$4)</f>
        <v>35721</v>
      </c>
      <c r="D5868" s="1">
        <f>IF(Tabela1[[#This Row],[promien]]&lt;40000,1,0)</f>
        <v>1</v>
      </c>
      <c r="E5868" s="1">
        <f>IF(Tabela1[[#This Row],[promien]]=40000,1,0)</f>
        <v>0</v>
      </c>
      <c r="F5868" s="1">
        <v>3.1690524880708928</v>
      </c>
      <c r="G5868" s="1">
        <v>2.7459834481099676E-2</v>
      </c>
    </row>
    <row r="5869" spans="1:7">
      <c r="A5869">
        <v>112</v>
      </c>
      <c r="B5869">
        <v>349</v>
      </c>
      <c r="C5869" s="1">
        <f>(Tabela1[[#This Row],[x]]-H$3)*(Tabela1[[#This Row],[x]]-H$3) +(Tabela1[[#This Row],[y]]-H$4)*(Tabela1[[#This Row],[y]]-H$4)</f>
        <v>29945</v>
      </c>
      <c r="D5869" s="1">
        <f>IF(Tabela1[[#This Row],[promien]]&lt;40000,1,0)</f>
        <v>1</v>
      </c>
      <c r="E5869" s="1">
        <f>IF(Tabela1[[#This Row],[promien]]=40000,1,0)</f>
        <v>0</v>
      </c>
      <c r="F5869" s="1">
        <v>3.1691940705401263</v>
      </c>
      <c r="G5869" s="1">
        <v>2.7601416950333135E-2</v>
      </c>
    </row>
    <row r="5870" spans="1:7">
      <c r="A5870">
        <v>158</v>
      </c>
      <c r="B5870">
        <v>208</v>
      </c>
      <c r="C5870" s="1">
        <f>(Tabela1[[#This Row],[x]]-H$3)*(Tabela1[[#This Row],[x]]-H$3) +(Tabela1[[#This Row],[y]]-H$4)*(Tabela1[[#This Row],[y]]-H$4)</f>
        <v>1828</v>
      </c>
      <c r="D5870" s="1">
        <f>IF(Tabela1[[#This Row],[promien]]&lt;40000,1,0)</f>
        <v>1</v>
      </c>
      <c r="E5870" s="1">
        <f>IF(Tabela1[[#This Row],[promien]]=40000,1,0)</f>
        <v>0</v>
      </c>
      <c r="F5870" s="1">
        <v>3.169335604770017</v>
      </c>
      <c r="G5870" s="1">
        <v>2.7742951180223852E-2</v>
      </c>
    </row>
    <row r="5871" spans="1:7">
      <c r="A5871">
        <v>19</v>
      </c>
      <c r="B5871">
        <v>102</v>
      </c>
      <c r="C5871" s="1">
        <f>(Tabela1[[#This Row],[x]]-H$3)*(Tabela1[[#This Row],[x]]-H$3) +(Tabela1[[#This Row],[y]]-H$4)*(Tabela1[[#This Row],[y]]-H$4)</f>
        <v>42365</v>
      </c>
      <c r="D5871" s="1">
        <f>IF(Tabela1[[#This Row],[promien]]&lt;40000,1,0)</f>
        <v>0</v>
      </c>
      <c r="E5871" s="1">
        <f>IF(Tabela1[[#This Row],[promien]]=40000,1,0)</f>
        <v>0</v>
      </c>
      <c r="F5871" s="1">
        <v>3.1687957758473853</v>
      </c>
      <c r="G5871" s="1">
        <v>2.7203122257592138E-2</v>
      </c>
    </row>
    <row r="5872" spans="1:7">
      <c r="A5872">
        <v>350</v>
      </c>
      <c r="B5872">
        <v>175</v>
      </c>
      <c r="C5872" s="1">
        <f>(Tabela1[[#This Row],[x]]-H$3)*(Tabela1[[#This Row],[x]]-H$3) +(Tabela1[[#This Row],[y]]-H$4)*(Tabela1[[#This Row],[y]]-H$4)</f>
        <v>23125</v>
      </c>
      <c r="D5872" s="1">
        <f>IF(Tabela1[[#This Row],[promien]]&lt;40000,1,0)</f>
        <v>1</v>
      </c>
      <c r="E5872" s="1">
        <f>IF(Tabela1[[#This Row],[promien]]=40000,1,0)</f>
        <v>0</v>
      </c>
      <c r="F5872" s="1">
        <v>3.1689373297002725</v>
      </c>
      <c r="G5872" s="1">
        <v>2.7344676110479416E-2</v>
      </c>
    </row>
    <row r="5873" spans="1:7">
      <c r="A5873">
        <v>103</v>
      </c>
      <c r="B5873">
        <v>88</v>
      </c>
      <c r="C5873" s="1">
        <f>(Tabela1[[#This Row],[x]]-H$3)*(Tabela1[[#This Row],[x]]-H$3) +(Tabela1[[#This Row],[y]]-H$4)*(Tabela1[[#This Row],[y]]-H$4)</f>
        <v>21953</v>
      </c>
      <c r="D5873" s="1">
        <f>IF(Tabela1[[#This Row],[promien]]&lt;40000,1,0)</f>
        <v>1</v>
      </c>
      <c r="E5873" s="1">
        <f>IF(Tabela1[[#This Row],[promien]]=40000,1,0)</f>
        <v>0</v>
      </c>
      <c r="F5873" s="1">
        <v>3.1690788353482038</v>
      </c>
      <c r="G5873" s="1">
        <v>2.7486181758410666E-2</v>
      </c>
    </row>
    <row r="5874" spans="1:7">
      <c r="A5874">
        <v>60</v>
      </c>
      <c r="B5874">
        <v>214</v>
      </c>
      <c r="C5874" s="1">
        <f>(Tabela1[[#This Row],[x]]-H$3)*(Tabela1[[#This Row],[x]]-H$3) +(Tabela1[[#This Row],[y]]-H$4)*(Tabela1[[#This Row],[y]]-H$4)</f>
        <v>19796</v>
      </c>
      <c r="D5874" s="1">
        <f>IF(Tabela1[[#This Row],[promien]]&lt;40000,1,0)</f>
        <v>1</v>
      </c>
      <c r="E5874" s="1">
        <f>IF(Tabela1[[#This Row],[promien]]=40000,1,0)</f>
        <v>0</v>
      </c>
      <c r="F5874" s="1">
        <v>3.1692202928157984</v>
      </c>
      <c r="G5874" s="1">
        <v>2.7627639226005307E-2</v>
      </c>
    </row>
    <row r="5875" spans="1:7">
      <c r="A5875">
        <v>16</v>
      </c>
      <c r="B5875">
        <v>312</v>
      </c>
      <c r="C5875" s="1">
        <f>(Tabela1[[#This Row],[x]]-H$3)*(Tabela1[[#This Row],[x]]-H$3) +(Tabela1[[#This Row],[y]]-H$4)*(Tabela1[[#This Row],[y]]-H$4)</f>
        <v>46400</v>
      </c>
      <c r="D5875" s="1">
        <f>IF(Tabela1[[#This Row],[promien]]&lt;40000,1,0)</f>
        <v>0</v>
      </c>
      <c r="E5875" s="1">
        <f>IF(Tabela1[[#This Row],[promien]]=40000,1,0)</f>
        <v>0</v>
      </c>
      <c r="F5875" s="1">
        <v>3.1686808510638298</v>
      </c>
      <c r="G5875" s="1">
        <v>2.7088197474036679E-2</v>
      </c>
    </row>
    <row r="5876" spans="1:7">
      <c r="A5876">
        <v>244</v>
      </c>
      <c r="B5876">
        <v>293</v>
      </c>
      <c r="C5876" s="1">
        <f>(Tabela1[[#This Row],[x]]-H$3)*(Tabela1[[#This Row],[x]]-H$3) +(Tabela1[[#This Row],[y]]-H$4)*(Tabela1[[#This Row],[y]]-H$4)</f>
        <v>10585</v>
      </c>
      <c r="D5876" s="1">
        <f>IF(Tabela1[[#This Row],[promien]]&lt;40000,1,0)</f>
        <v>1</v>
      </c>
      <c r="E5876" s="1">
        <f>IF(Tabela1[[#This Row],[promien]]=40000,1,0)</f>
        <v>0</v>
      </c>
      <c r="F5876" s="1">
        <v>3.1688223281143637</v>
      </c>
      <c r="G5876" s="1">
        <v>2.7229674524570591E-2</v>
      </c>
    </row>
    <row r="5877" spans="1:7">
      <c r="A5877">
        <v>103</v>
      </c>
      <c r="B5877">
        <v>225</v>
      </c>
      <c r="C5877" s="1">
        <f>(Tabela1[[#This Row],[x]]-H$3)*(Tabela1[[#This Row],[x]]-H$3) +(Tabela1[[#This Row],[y]]-H$4)*(Tabela1[[#This Row],[y]]-H$4)</f>
        <v>10034</v>
      </c>
      <c r="D5877" s="1">
        <f>IF(Tabela1[[#This Row],[promien]]&lt;40000,1,0)</f>
        <v>1</v>
      </c>
      <c r="E5877" s="1">
        <f>IF(Tabela1[[#This Row],[promien]]=40000,1,0)</f>
        <v>0</v>
      </c>
      <c r="F5877" s="1">
        <v>3.1689637570188873</v>
      </c>
      <c r="G5877" s="1">
        <v>2.7371103429094212E-2</v>
      </c>
    </row>
    <row r="5878" spans="1:7">
      <c r="A5878">
        <v>95</v>
      </c>
      <c r="B5878">
        <v>161</v>
      </c>
      <c r="C5878" s="1">
        <f>(Tabela1[[#This Row],[x]]-H$3)*(Tabela1[[#This Row],[x]]-H$3) +(Tabela1[[#This Row],[y]]-H$4)*(Tabela1[[#This Row],[y]]-H$4)</f>
        <v>12546</v>
      </c>
      <c r="D5878" s="1">
        <f>IF(Tabela1[[#This Row],[promien]]&lt;40000,1,0)</f>
        <v>1</v>
      </c>
      <c r="E5878" s="1">
        <f>IF(Tabela1[[#This Row],[promien]]=40000,1,0)</f>
        <v>0</v>
      </c>
      <c r="F5878" s="1">
        <v>3.1691051378019734</v>
      </c>
      <c r="G5878" s="1">
        <v>2.7512484212180333E-2</v>
      </c>
    </row>
    <row r="5879" spans="1:7">
      <c r="A5879">
        <v>105</v>
      </c>
      <c r="B5879">
        <v>307</v>
      </c>
      <c r="C5879" s="1">
        <f>(Tabela1[[#This Row],[x]]-H$3)*(Tabela1[[#This Row],[x]]-H$3) +(Tabela1[[#This Row],[y]]-H$4)*(Tabela1[[#This Row],[y]]-H$4)</f>
        <v>20474</v>
      </c>
      <c r="D5879" s="1">
        <f>IF(Tabela1[[#This Row],[promien]]&lt;40000,1,0)</f>
        <v>1</v>
      </c>
      <c r="E5879" s="1">
        <f>IF(Tabela1[[#This Row],[promien]]=40000,1,0)</f>
        <v>0</v>
      </c>
      <c r="F5879" s="1">
        <v>3.1692464704881784</v>
      </c>
      <c r="G5879" s="1">
        <v>2.7653816898385308E-2</v>
      </c>
    </row>
    <row r="5880" spans="1:7">
      <c r="A5880">
        <v>248</v>
      </c>
      <c r="B5880">
        <v>214</v>
      </c>
      <c r="C5880" s="1">
        <f>(Tabela1[[#This Row],[x]]-H$3)*(Tabela1[[#This Row],[x]]-H$3) +(Tabela1[[#This Row],[y]]-H$4)*(Tabela1[[#This Row],[y]]-H$4)</f>
        <v>2500</v>
      </c>
      <c r="D5880" s="1">
        <f>IF(Tabela1[[#This Row],[promien]]&lt;40000,1,0)</f>
        <v>1</v>
      </c>
      <c r="E5880" s="1">
        <f>IF(Tabela1[[#This Row],[promien]]=40000,1,0)</f>
        <v>0</v>
      </c>
      <c r="F5880" s="1">
        <v>3.1693877551020408</v>
      </c>
      <c r="G5880" s="1">
        <v>2.7795101512247733E-2</v>
      </c>
    </row>
    <row r="5881" spans="1:7">
      <c r="A5881">
        <v>88</v>
      </c>
      <c r="B5881">
        <v>237</v>
      </c>
      <c r="C5881" s="1">
        <f>(Tabela1[[#This Row],[x]]-H$3)*(Tabela1[[#This Row],[x]]-H$3) +(Tabela1[[#This Row],[y]]-H$4)*(Tabela1[[#This Row],[y]]-H$4)</f>
        <v>13913</v>
      </c>
      <c r="D5881" s="1">
        <f>IF(Tabela1[[#This Row],[promien]]&lt;40000,1,0)</f>
        <v>1</v>
      </c>
      <c r="E5881" s="1">
        <f>IF(Tabela1[[#This Row],[promien]]=40000,1,0)</f>
        <v>0</v>
      </c>
      <c r="F5881" s="1">
        <v>3.1695289916680838</v>
      </c>
      <c r="G5881" s="1">
        <v>2.7936338078290657E-2</v>
      </c>
    </row>
    <row r="5882" spans="1:7">
      <c r="A5882">
        <v>117</v>
      </c>
      <c r="B5882">
        <v>271</v>
      </c>
      <c r="C5882" s="1">
        <f>(Tabela1[[#This Row],[x]]-H$3)*(Tabela1[[#This Row],[x]]-H$3) +(Tabela1[[#This Row],[y]]-H$4)*(Tabela1[[#This Row],[y]]-H$4)</f>
        <v>11930</v>
      </c>
      <c r="D5882" s="1">
        <f>IF(Tabela1[[#This Row],[promien]]&lt;40000,1,0)</f>
        <v>1</v>
      </c>
      <c r="E5882" s="1">
        <f>IF(Tabela1[[#This Row],[promien]]=40000,1,0)</f>
        <v>0</v>
      </c>
      <c r="F5882" s="1">
        <v>3.1696701802108125</v>
      </c>
      <c r="G5882" s="1">
        <v>2.8077526621019366E-2</v>
      </c>
    </row>
    <row r="5883" spans="1:7">
      <c r="A5883">
        <v>393</v>
      </c>
      <c r="B5883">
        <v>396</v>
      </c>
      <c r="C5883" s="1">
        <f>(Tabela1[[#This Row],[x]]-H$3)*(Tabela1[[#This Row],[x]]-H$3) +(Tabela1[[#This Row],[y]]-H$4)*(Tabela1[[#This Row],[y]]-H$4)</f>
        <v>75665</v>
      </c>
      <c r="D5883" s="1">
        <f>IF(Tabela1[[#This Row],[promien]]&lt;40000,1,0)</f>
        <v>0</v>
      </c>
      <c r="E5883" s="1">
        <f>IF(Tabela1[[#This Row],[promien]]=40000,1,0)</f>
        <v>0</v>
      </c>
      <c r="F5883" s="1">
        <v>3.1691313955464899</v>
      </c>
      <c r="G5883" s="1">
        <v>2.7538741956696811E-2</v>
      </c>
    </row>
    <row r="5884" spans="1:7">
      <c r="A5884">
        <v>347</v>
      </c>
      <c r="B5884">
        <v>232</v>
      </c>
      <c r="C5884" s="1">
        <f>(Tabela1[[#This Row],[x]]-H$3)*(Tabela1[[#This Row],[x]]-H$3) +(Tabela1[[#This Row],[y]]-H$4)*(Tabela1[[#This Row],[y]]-H$4)</f>
        <v>22633</v>
      </c>
      <c r="D5884" s="1">
        <f>IF(Tabela1[[#This Row],[promien]]&lt;40000,1,0)</f>
        <v>1</v>
      </c>
      <c r="E5884" s="1">
        <f>IF(Tabela1[[#This Row],[promien]]=40000,1,0)</f>
        <v>0</v>
      </c>
      <c r="F5884" s="1">
        <v>3.1692726036709722</v>
      </c>
      <c r="G5884" s="1">
        <v>2.7679950081179072E-2</v>
      </c>
    </row>
    <row r="5885" spans="1:7">
      <c r="A5885">
        <v>104</v>
      </c>
      <c r="B5885">
        <v>149</v>
      </c>
      <c r="C5885" s="1">
        <f>(Tabela1[[#This Row],[x]]-H$3)*(Tabela1[[#This Row],[x]]-H$3) +(Tabela1[[#This Row],[y]]-H$4)*(Tabela1[[#This Row],[y]]-H$4)</f>
        <v>11817</v>
      </c>
      <c r="D5885" s="1">
        <f>IF(Tabela1[[#This Row],[promien]]&lt;40000,1,0)</f>
        <v>1</v>
      </c>
      <c r="E5885" s="1">
        <f>IF(Tabela1[[#This Row],[promien]]=40000,1,0)</f>
        <v>0</v>
      </c>
      <c r="F5885" s="1">
        <v>3.1694137638062871</v>
      </c>
      <c r="G5885" s="1">
        <v>2.7821110216494027E-2</v>
      </c>
    </row>
    <row r="5886" spans="1:7">
      <c r="A5886">
        <v>229</v>
      </c>
      <c r="B5886">
        <v>242</v>
      </c>
      <c r="C5886" s="1">
        <f>(Tabela1[[#This Row],[x]]-H$3)*(Tabela1[[#This Row],[x]]-H$3) +(Tabela1[[#This Row],[y]]-H$4)*(Tabela1[[#This Row],[y]]-H$4)</f>
        <v>2605</v>
      </c>
      <c r="D5886" s="1">
        <f>IF(Tabela1[[#This Row],[promien]]&lt;40000,1,0)</f>
        <v>1</v>
      </c>
      <c r="E5886" s="1">
        <f>IF(Tabela1[[#This Row],[promien]]=40000,1,0)</f>
        <v>0</v>
      </c>
      <c r="F5886" s="1">
        <v>3.1695548759768943</v>
      </c>
      <c r="G5886" s="1">
        <v>2.7962222387101221E-2</v>
      </c>
    </row>
    <row r="5887" spans="1:7">
      <c r="A5887">
        <v>150</v>
      </c>
      <c r="B5887">
        <v>328</v>
      </c>
      <c r="C5887" s="1">
        <f>(Tabela1[[#This Row],[x]]-H$3)*(Tabela1[[#This Row],[x]]-H$3) +(Tabela1[[#This Row],[y]]-H$4)*(Tabela1[[#This Row],[y]]-H$4)</f>
        <v>18884</v>
      </c>
      <c r="D5887" s="1">
        <f>IF(Tabela1[[#This Row],[promien]]&lt;40000,1,0)</f>
        <v>1</v>
      </c>
      <c r="E5887" s="1">
        <f>IF(Tabela1[[#This Row],[promien]]=40000,1,0)</f>
        <v>0</v>
      </c>
      <c r="F5887" s="1">
        <v>3.1696959402072364</v>
      </c>
      <c r="G5887" s="1">
        <v>2.8103286617443324E-2</v>
      </c>
    </row>
    <row r="5888" spans="1:7">
      <c r="A5888">
        <v>345</v>
      </c>
      <c r="B5888">
        <v>341</v>
      </c>
      <c r="C5888" s="1">
        <f>(Tabela1[[#This Row],[x]]-H$3)*(Tabela1[[#This Row],[x]]-H$3) +(Tabela1[[#This Row],[y]]-H$4)*(Tabela1[[#This Row],[y]]-H$4)</f>
        <v>40906</v>
      </c>
      <c r="D5888" s="1">
        <f>IF(Tabela1[[#This Row],[promien]]&lt;40000,1,0)</f>
        <v>0</v>
      </c>
      <c r="E5888" s="1">
        <f>IF(Tabela1[[#This Row],[promien]]=40000,1,0)</f>
        <v>0</v>
      </c>
      <c r="F5888" s="1">
        <v>3.1691576086956523</v>
      </c>
      <c r="G5888" s="1">
        <v>2.7564955105859212E-2</v>
      </c>
    </row>
    <row r="5889" spans="1:7">
      <c r="A5889">
        <v>230</v>
      </c>
      <c r="B5889">
        <v>367</v>
      </c>
      <c r="C5889" s="1">
        <f>(Tabela1[[#This Row],[x]]-H$3)*(Tabela1[[#This Row],[x]]-H$3) +(Tabela1[[#This Row],[y]]-H$4)*(Tabela1[[#This Row],[y]]-H$4)</f>
        <v>28789</v>
      </c>
      <c r="D5889" s="1">
        <f>IF(Tabela1[[#This Row],[promien]]&lt;40000,1,0)</f>
        <v>1</v>
      </c>
      <c r="E5889" s="1">
        <f>IF(Tabela1[[#This Row],[promien]]=40000,1,0)</f>
        <v>0</v>
      </c>
      <c r="F5889" s="1">
        <v>3.1692986924775006</v>
      </c>
      <c r="G5889" s="1">
        <v>2.7706038887707507E-2</v>
      </c>
    </row>
    <row r="5890" spans="1:7">
      <c r="A5890">
        <v>58</v>
      </c>
      <c r="B5890">
        <v>285</v>
      </c>
      <c r="C5890" s="1">
        <f>(Tabela1[[#This Row],[x]]-H$3)*(Tabela1[[#This Row],[x]]-H$3) +(Tabela1[[#This Row],[y]]-H$4)*(Tabela1[[#This Row],[y]]-H$4)</f>
        <v>27389</v>
      </c>
      <c r="D5890" s="1">
        <f>IF(Tabela1[[#This Row],[promien]]&lt;40000,1,0)</f>
        <v>1</v>
      </c>
      <c r="E5890" s="1">
        <f>IF(Tabela1[[#This Row],[promien]]=40000,1,0)</f>
        <v>0</v>
      </c>
      <c r="F5890" s="1">
        <v>3.169439728353141</v>
      </c>
      <c r="G5890" s="1">
        <v>2.7847074763347912E-2</v>
      </c>
    </row>
    <row r="5891" spans="1:7">
      <c r="A5891">
        <v>279</v>
      </c>
      <c r="B5891">
        <v>206</v>
      </c>
      <c r="C5891" s="1">
        <f>(Tabela1[[#This Row],[x]]-H$3)*(Tabela1[[#This Row],[x]]-H$3) +(Tabela1[[#This Row],[y]]-H$4)*(Tabela1[[#This Row],[y]]-H$4)</f>
        <v>6277</v>
      </c>
      <c r="D5891" s="1">
        <f>IF(Tabela1[[#This Row],[promien]]&lt;40000,1,0)</f>
        <v>1</v>
      </c>
      <c r="E5891" s="1">
        <f>IF(Tabela1[[#This Row],[promien]]=40000,1,0)</f>
        <v>0</v>
      </c>
      <c r="F5891" s="1">
        <v>3.16958071634697</v>
      </c>
      <c r="G5891" s="1">
        <v>2.7988062757176912E-2</v>
      </c>
    </row>
    <row r="5892" spans="1:7">
      <c r="A5892">
        <v>148</v>
      </c>
      <c r="B5892">
        <v>97</v>
      </c>
      <c r="C5892" s="1">
        <f>(Tabela1[[#This Row],[x]]-H$3)*(Tabela1[[#This Row],[x]]-H$3) +(Tabela1[[#This Row],[y]]-H$4)*(Tabela1[[#This Row],[y]]-H$4)</f>
        <v>13313</v>
      </c>
      <c r="D5892" s="1">
        <f>IF(Tabela1[[#This Row],[promien]]&lt;40000,1,0)</f>
        <v>1</v>
      </c>
      <c r="E5892" s="1">
        <f>IF(Tabela1[[#This Row],[promien]]=40000,1,0)</f>
        <v>0</v>
      </c>
      <c r="F5892" s="1">
        <v>3.1697216564833672</v>
      </c>
      <c r="G5892" s="1">
        <v>2.8129002893574118E-2</v>
      </c>
    </row>
    <row r="5893" spans="1:7">
      <c r="A5893">
        <v>86</v>
      </c>
      <c r="B5893">
        <v>374</v>
      </c>
      <c r="C5893" s="1">
        <f>(Tabela1[[#This Row],[x]]-H$3)*(Tabela1[[#This Row],[x]]-H$3) +(Tabela1[[#This Row],[y]]-H$4)*(Tabela1[[#This Row],[y]]-H$4)</f>
        <v>43272</v>
      </c>
      <c r="D5893" s="1">
        <f>IF(Tabela1[[#This Row],[promien]]&lt;40000,1,0)</f>
        <v>0</v>
      </c>
      <c r="E5893" s="1">
        <f>IF(Tabela1[[#This Row],[promien]]=40000,1,0)</f>
        <v>0</v>
      </c>
      <c r="F5893" s="1">
        <v>3.169183777362973</v>
      </c>
      <c r="G5893" s="1">
        <v>2.7591123773179849E-2</v>
      </c>
    </row>
    <row r="5894" spans="1:7">
      <c r="A5894">
        <v>96</v>
      </c>
      <c r="B5894">
        <v>389</v>
      </c>
      <c r="C5894" s="1">
        <f>(Tabela1[[#This Row],[x]]-H$3)*(Tabela1[[#This Row],[x]]-H$3) +(Tabela1[[#This Row],[y]]-H$4)*(Tabela1[[#This Row],[y]]-H$4)</f>
        <v>46537</v>
      </c>
      <c r="D5894" s="1">
        <f>IF(Tabela1[[#This Row],[promien]]&lt;40000,1,0)</f>
        <v>0</v>
      </c>
      <c r="E5894" s="1">
        <f>IF(Tabela1[[#This Row],[promien]]=40000,1,0)</f>
        <v>0</v>
      </c>
      <c r="F5894" s="1">
        <v>3.1686460807600949</v>
      </c>
      <c r="G5894" s="1">
        <v>2.7053427170301791E-2</v>
      </c>
    </row>
    <row r="5895" spans="1:7">
      <c r="A5895">
        <v>356</v>
      </c>
      <c r="B5895">
        <v>161</v>
      </c>
      <c r="C5895" s="1">
        <f>(Tabela1[[#This Row],[x]]-H$3)*(Tabela1[[#This Row],[x]]-H$3) +(Tabela1[[#This Row],[y]]-H$4)*(Tabela1[[#This Row],[y]]-H$4)</f>
        <v>25857</v>
      </c>
      <c r="D5895" s="1">
        <f>IF(Tabela1[[#This Row],[promien]]&lt;40000,1,0)</f>
        <v>1</v>
      </c>
      <c r="E5895" s="1">
        <f>IF(Tabela1[[#This Row],[promien]]=40000,1,0)</f>
        <v>0</v>
      </c>
      <c r="F5895" s="1">
        <v>3.1687871077184053</v>
      </c>
      <c r="G5895" s="1">
        <v>2.7194454128612211E-2</v>
      </c>
    </row>
    <row r="5896" spans="1:7">
      <c r="A5896">
        <v>73</v>
      </c>
      <c r="B5896">
        <v>234</v>
      </c>
      <c r="C5896" s="1">
        <f>(Tabela1[[#This Row],[x]]-H$3)*(Tabela1[[#This Row],[x]]-H$3) +(Tabela1[[#This Row],[y]]-H$4)*(Tabela1[[#This Row],[y]]-H$4)</f>
        <v>17285</v>
      </c>
      <c r="D5896" s="1">
        <f>IF(Tabela1[[#This Row],[promien]]&lt;40000,1,0)</f>
        <v>1</v>
      </c>
      <c r="E5896" s="1">
        <f>IF(Tabela1[[#This Row],[promien]]=40000,1,0)</f>
        <v>0</v>
      </c>
      <c r="F5896" s="1">
        <v>3.1689280868385348</v>
      </c>
      <c r="G5896" s="1">
        <v>2.7335433248741658E-2</v>
      </c>
    </row>
    <row r="5897" spans="1:7">
      <c r="A5897">
        <v>131</v>
      </c>
      <c r="B5897">
        <v>350</v>
      </c>
      <c r="C5897" s="1">
        <f>(Tabela1[[#This Row],[x]]-H$3)*(Tabela1[[#This Row],[x]]-H$3) +(Tabela1[[#This Row],[y]]-H$4)*(Tabela1[[#This Row],[y]]-H$4)</f>
        <v>27261</v>
      </c>
      <c r="D5897" s="1">
        <f>IF(Tabela1[[#This Row],[promien]]&lt;40000,1,0)</f>
        <v>1</v>
      </c>
      <c r="E5897" s="1">
        <f>IF(Tabela1[[#This Row],[promien]]=40000,1,0)</f>
        <v>0</v>
      </c>
      <c r="F5897" s="1">
        <v>3.1690690181448193</v>
      </c>
      <c r="G5897" s="1">
        <v>2.7476364555026223E-2</v>
      </c>
    </row>
    <row r="5898" spans="1:7">
      <c r="A5898">
        <v>297</v>
      </c>
      <c r="B5898">
        <v>192</v>
      </c>
      <c r="C5898" s="1">
        <f>(Tabela1[[#This Row],[x]]-H$3)*(Tabela1[[#This Row],[x]]-H$3) +(Tabela1[[#This Row],[y]]-H$4)*(Tabela1[[#This Row],[y]]-H$4)</f>
        <v>9473</v>
      </c>
      <c r="D5898" s="1">
        <f>IF(Tabela1[[#This Row],[promien]]&lt;40000,1,0)</f>
        <v>1</v>
      </c>
      <c r="E5898" s="1">
        <f>IF(Tabela1[[#This Row],[promien]]=40000,1,0)</f>
        <v>0</v>
      </c>
      <c r="F5898" s="1">
        <v>3.16920990166158</v>
      </c>
      <c r="G5898" s="1">
        <v>2.7617248071786893E-2</v>
      </c>
    </row>
    <row r="5899" spans="1:7">
      <c r="A5899">
        <v>315</v>
      </c>
      <c r="B5899">
        <v>187</v>
      </c>
      <c r="C5899" s="1">
        <f>(Tabela1[[#This Row],[x]]-H$3)*(Tabela1[[#This Row],[x]]-H$3) +(Tabela1[[#This Row],[y]]-H$4)*(Tabela1[[#This Row],[y]]-H$4)</f>
        <v>13394</v>
      </c>
      <c r="D5899" s="1">
        <f>IF(Tabela1[[#This Row],[promien]]&lt;40000,1,0)</f>
        <v>1</v>
      </c>
      <c r="E5899" s="1">
        <f>IF(Tabela1[[#This Row],[promien]]=40000,1,0)</f>
        <v>0</v>
      </c>
      <c r="F5899" s="1">
        <v>3.1693507374131209</v>
      </c>
      <c r="G5899" s="1">
        <v>2.7758083823327784E-2</v>
      </c>
    </row>
    <row r="5900" spans="1:7">
      <c r="A5900">
        <v>216</v>
      </c>
      <c r="B5900">
        <v>243</v>
      </c>
      <c r="C5900" s="1">
        <f>(Tabela1[[#This Row],[x]]-H$3)*(Tabela1[[#This Row],[x]]-H$3) +(Tabela1[[#This Row],[y]]-H$4)*(Tabela1[[#This Row],[y]]-H$4)</f>
        <v>2105</v>
      </c>
      <c r="D5900" s="1">
        <f>IF(Tabela1[[#This Row],[promien]]&lt;40000,1,0)</f>
        <v>1</v>
      </c>
      <c r="E5900" s="1">
        <f>IF(Tabela1[[#This Row],[promien]]=40000,1,0)</f>
        <v>0</v>
      </c>
      <c r="F5900" s="1">
        <v>3.1694915254237288</v>
      </c>
      <c r="G5900" s="1">
        <v>2.789887183393569E-2</v>
      </c>
    </row>
    <row r="5901" spans="1:7">
      <c r="A5901">
        <v>400</v>
      </c>
      <c r="B5901">
        <v>144</v>
      </c>
      <c r="C5901" s="1">
        <f>(Tabela1[[#This Row],[x]]-H$3)*(Tabela1[[#This Row],[x]]-H$3) +(Tabela1[[#This Row],[y]]-H$4)*(Tabela1[[#This Row],[y]]-H$4)</f>
        <v>43136</v>
      </c>
      <c r="D5901" s="1">
        <f>IF(Tabela1[[#This Row],[promien]]&lt;40000,1,0)</f>
        <v>0</v>
      </c>
      <c r="E5901" s="1">
        <f>IF(Tabela1[[#This Row],[promien]]=40000,1,0)</f>
        <v>0</v>
      </c>
      <c r="F5901" s="1">
        <v>3.168954414506016</v>
      </c>
      <c r="G5901" s="1">
        <v>2.7361760916222888E-2</v>
      </c>
    </row>
    <row r="5902" spans="1:7">
      <c r="A5902">
        <v>296</v>
      </c>
      <c r="B5902">
        <v>362</v>
      </c>
      <c r="C5902" s="1">
        <f>(Tabela1[[#This Row],[x]]-H$3)*(Tabela1[[#This Row],[x]]-H$3) +(Tabela1[[#This Row],[y]]-H$4)*(Tabela1[[#This Row],[y]]-H$4)</f>
        <v>35460</v>
      </c>
      <c r="D5902" s="1">
        <f>IF(Tabela1[[#This Row],[promien]]&lt;40000,1,0)</f>
        <v>1</v>
      </c>
      <c r="E5902" s="1">
        <f>IF(Tabela1[[#This Row],[promien]]=40000,1,0)</f>
        <v>0</v>
      </c>
      <c r="F5902" s="1">
        <v>3.1690952219586581</v>
      </c>
      <c r="G5902" s="1">
        <v>2.7502568368864999E-2</v>
      </c>
    </row>
    <row r="5903" spans="1:7">
      <c r="A5903">
        <v>375</v>
      </c>
      <c r="B5903">
        <v>4</v>
      </c>
      <c r="C5903" s="1">
        <f>(Tabela1[[#This Row],[x]]-H$3)*(Tabela1[[#This Row],[x]]-H$3) +(Tabela1[[#This Row],[y]]-H$4)*(Tabela1[[#This Row],[y]]-H$4)</f>
        <v>69041</v>
      </c>
      <c r="D5903" s="1">
        <f>IF(Tabela1[[#This Row],[promien]]&lt;40000,1,0)</f>
        <v>0</v>
      </c>
      <c r="E5903" s="1">
        <f>IF(Tabela1[[#This Row],[promien]]=40000,1,0)</f>
        <v>0</v>
      </c>
      <c r="F5903" s="1">
        <v>3.1685583601558531</v>
      </c>
      <c r="G5903" s="1">
        <v>2.696570656606001E-2</v>
      </c>
    </row>
    <row r="5904" spans="1:7">
      <c r="A5904">
        <v>242</v>
      </c>
      <c r="B5904">
        <v>43</v>
      </c>
      <c r="C5904" s="1">
        <f>(Tabela1[[#This Row],[x]]-H$3)*(Tabela1[[#This Row],[x]]-H$3) +(Tabela1[[#This Row],[y]]-H$4)*(Tabela1[[#This Row],[y]]-H$4)</f>
        <v>26413</v>
      </c>
      <c r="D5904" s="1">
        <f>IF(Tabela1[[#This Row],[promien]]&lt;40000,1,0)</f>
        <v>1</v>
      </c>
      <c r="E5904" s="1">
        <f>IF(Tabela1[[#This Row],[promien]]=40000,1,0)</f>
        <v>0</v>
      </c>
      <c r="F5904" s="1">
        <v>3.1686991869918697</v>
      </c>
      <c r="G5904" s="1">
        <v>2.7106533402076582E-2</v>
      </c>
    </row>
    <row r="5905" spans="1:7">
      <c r="A5905">
        <v>21</v>
      </c>
      <c r="B5905">
        <v>320</v>
      </c>
      <c r="C5905" s="1">
        <f>(Tabela1[[#This Row],[x]]-H$3)*(Tabela1[[#This Row],[x]]-H$3) +(Tabela1[[#This Row],[y]]-H$4)*(Tabela1[[#This Row],[y]]-H$4)</f>
        <v>46441</v>
      </c>
      <c r="D5905" s="1">
        <f>IF(Tabela1[[#This Row],[promien]]&lt;40000,1,0)</f>
        <v>0</v>
      </c>
      <c r="E5905" s="1">
        <f>IF(Tabela1[[#This Row],[promien]]=40000,1,0)</f>
        <v>0</v>
      </c>
      <c r="F5905" s="1">
        <v>3.1681625740897545</v>
      </c>
      <c r="G5905" s="1">
        <v>2.656992049996143E-2</v>
      </c>
    </row>
    <row r="5906" spans="1:7">
      <c r="A5906">
        <v>74</v>
      </c>
      <c r="B5906">
        <v>290</v>
      </c>
      <c r="C5906" s="1">
        <f>(Tabela1[[#This Row],[x]]-H$3)*(Tabela1[[#This Row],[x]]-H$3) +(Tabela1[[#This Row],[y]]-H$4)*(Tabela1[[#This Row],[y]]-H$4)</f>
        <v>23976</v>
      </c>
      <c r="D5906" s="1">
        <f>IF(Tabela1[[#This Row],[promien]]&lt;40000,1,0)</f>
        <v>1</v>
      </c>
      <c r="E5906" s="1">
        <f>IF(Tabela1[[#This Row],[promien]]=40000,1,0)</f>
        <v>0</v>
      </c>
      <c r="F5906" s="1">
        <v>3.1683034202505924</v>
      </c>
      <c r="G5906" s="1">
        <v>2.6710766660799301E-2</v>
      </c>
    </row>
    <row r="5907" spans="1:7">
      <c r="A5907">
        <v>99</v>
      </c>
      <c r="B5907">
        <v>399</v>
      </c>
      <c r="C5907" s="1">
        <f>(Tabela1[[#This Row],[x]]-H$3)*(Tabela1[[#This Row],[x]]-H$3) +(Tabela1[[#This Row],[y]]-H$4)*(Tabela1[[#This Row],[y]]-H$4)</f>
        <v>49802</v>
      </c>
      <c r="D5907" s="1">
        <f>IF(Tabela1[[#This Row],[promien]]&lt;40000,1,0)</f>
        <v>0</v>
      </c>
      <c r="E5907" s="1">
        <f>IF(Tabela1[[#This Row],[promien]]=40000,1,0)</f>
        <v>0</v>
      </c>
      <c r="F5907" s="1">
        <v>3.1677670560352125</v>
      </c>
      <c r="G5907" s="1">
        <v>2.6174402445419354E-2</v>
      </c>
    </row>
    <row r="5908" spans="1:7">
      <c r="A5908">
        <v>135</v>
      </c>
      <c r="B5908">
        <v>213</v>
      </c>
      <c r="C5908" s="1">
        <f>(Tabela1[[#This Row],[x]]-H$3)*(Tabela1[[#This Row],[x]]-H$3) +(Tabela1[[#This Row],[y]]-H$4)*(Tabela1[[#This Row],[y]]-H$4)</f>
        <v>4394</v>
      </c>
      <c r="D5908" s="1">
        <f>IF(Tabela1[[#This Row],[promien]]&lt;40000,1,0)</f>
        <v>1</v>
      </c>
      <c r="E5908" s="1">
        <f>IF(Tabela1[[#This Row],[promien]]=40000,1,0)</f>
        <v>0</v>
      </c>
      <c r="F5908" s="1">
        <v>3.1679079214624237</v>
      </c>
      <c r="G5908" s="1">
        <v>2.631526787263061E-2</v>
      </c>
    </row>
    <row r="5909" spans="1:7">
      <c r="A5909">
        <v>188</v>
      </c>
      <c r="B5909">
        <v>204</v>
      </c>
      <c r="C5909" s="1">
        <f>(Tabela1[[#This Row],[x]]-H$3)*(Tabela1[[#This Row],[x]]-H$3) +(Tabela1[[#This Row],[y]]-H$4)*(Tabela1[[#This Row],[y]]-H$4)</f>
        <v>160</v>
      </c>
      <c r="D5909" s="1">
        <f>IF(Tabela1[[#This Row],[promien]]&lt;40000,1,0)</f>
        <v>1</v>
      </c>
      <c r="E5909" s="1">
        <f>IF(Tabela1[[#This Row],[promien]]=40000,1,0)</f>
        <v>0</v>
      </c>
      <c r="F5909" s="1">
        <v>3.1680487392113723</v>
      </c>
      <c r="G5909" s="1">
        <v>2.6456085621579195E-2</v>
      </c>
    </row>
    <row r="5910" spans="1:7">
      <c r="A5910">
        <v>118</v>
      </c>
      <c r="B5910">
        <v>86</v>
      </c>
      <c r="C5910" s="1">
        <f>(Tabela1[[#This Row],[x]]-H$3)*(Tabela1[[#This Row],[x]]-H$3) +(Tabela1[[#This Row],[y]]-H$4)*(Tabela1[[#This Row],[y]]-H$4)</f>
        <v>19720</v>
      </c>
      <c r="D5910" s="1">
        <f>IF(Tabela1[[#This Row],[promien]]&lt;40000,1,0)</f>
        <v>1</v>
      </c>
      <c r="E5910" s="1">
        <f>IF(Tabela1[[#This Row],[promien]]=40000,1,0)</f>
        <v>0</v>
      </c>
      <c r="F5910" s="1">
        <v>3.1681895093062606</v>
      </c>
      <c r="G5910" s="1">
        <v>2.6596855716467527E-2</v>
      </c>
    </row>
    <row r="5911" spans="1:7">
      <c r="A5911">
        <v>54</v>
      </c>
      <c r="B5911">
        <v>384</v>
      </c>
      <c r="C5911" s="1">
        <f>(Tabela1[[#This Row],[x]]-H$3)*(Tabela1[[#This Row],[x]]-H$3) +(Tabela1[[#This Row],[y]]-H$4)*(Tabela1[[#This Row],[y]]-H$4)</f>
        <v>55172</v>
      </c>
      <c r="D5911" s="1">
        <f>IF(Tabela1[[#This Row],[promien]]&lt;40000,1,0)</f>
        <v>0</v>
      </c>
      <c r="E5911" s="1">
        <f>IF(Tabela1[[#This Row],[promien]]=40000,1,0)</f>
        <v>0</v>
      </c>
      <c r="F5911" s="1">
        <v>3.1676535273219422</v>
      </c>
      <c r="G5911" s="1">
        <v>2.6060873732149048E-2</v>
      </c>
    </row>
    <row r="5912" spans="1:7">
      <c r="A5912">
        <v>381</v>
      </c>
      <c r="B5912">
        <v>331</v>
      </c>
      <c r="C5912" s="1">
        <f>(Tabela1[[#This Row],[x]]-H$3)*(Tabela1[[#This Row],[x]]-H$3) +(Tabela1[[#This Row],[y]]-H$4)*(Tabela1[[#This Row],[y]]-H$4)</f>
        <v>49922</v>
      </c>
      <c r="D5912" s="1">
        <f>IF(Tabela1[[#This Row],[promien]]&lt;40000,1,0)</f>
        <v>0</v>
      </c>
      <c r="E5912" s="1">
        <f>IF(Tabela1[[#This Row],[promien]]=40000,1,0)</f>
        <v>0</v>
      </c>
      <c r="F5912" s="1">
        <v>3.1671177266576453</v>
      </c>
      <c r="G5912" s="1">
        <v>2.5525073067852233E-2</v>
      </c>
    </row>
    <row r="5913" spans="1:7">
      <c r="A5913">
        <v>156</v>
      </c>
      <c r="B5913">
        <v>282</v>
      </c>
      <c r="C5913" s="1">
        <f>(Tabela1[[#This Row],[x]]-H$3)*(Tabela1[[#This Row],[x]]-H$3) +(Tabela1[[#This Row],[y]]-H$4)*(Tabela1[[#This Row],[y]]-H$4)</f>
        <v>8660</v>
      </c>
      <c r="D5913" s="1">
        <f>IF(Tabela1[[#This Row],[promien]]&lt;40000,1,0)</f>
        <v>1</v>
      </c>
      <c r="E5913" s="1">
        <f>IF(Tabela1[[#This Row],[promien]]=40000,1,0)</f>
        <v>0</v>
      </c>
      <c r="F5913" s="1">
        <v>3.1672585827836968</v>
      </c>
      <c r="G5913" s="1">
        <v>2.5665929193903647E-2</v>
      </c>
    </row>
    <row r="5914" spans="1:7">
      <c r="A5914">
        <v>247</v>
      </c>
      <c r="B5914">
        <v>386</v>
      </c>
      <c r="C5914" s="1">
        <f>(Tabela1[[#This Row],[x]]-H$3)*(Tabela1[[#This Row],[x]]-H$3) +(Tabela1[[#This Row],[y]]-H$4)*(Tabela1[[#This Row],[y]]-H$4)</f>
        <v>36805</v>
      </c>
      <c r="D5914" s="1">
        <f>IF(Tabela1[[#This Row],[promien]]&lt;40000,1,0)</f>
        <v>1</v>
      </c>
      <c r="E5914" s="1">
        <f>IF(Tabela1[[#This Row],[promien]]=40000,1,0)</f>
        <v>0</v>
      </c>
      <c r="F5914" s="1">
        <v>3.167399391274941</v>
      </c>
      <c r="G5914" s="1">
        <v>2.5806737685147851E-2</v>
      </c>
    </row>
    <row r="5915" spans="1:7">
      <c r="A5915">
        <v>97</v>
      </c>
      <c r="B5915">
        <v>18</v>
      </c>
      <c r="C5915" s="1">
        <f>(Tabela1[[#This Row],[x]]-H$3)*(Tabela1[[#This Row],[x]]-H$3) +(Tabela1[[#This Row],[y]]-H$4)*(Tabela1[[#This Row],[y]]-H$4)</f>
        <v>43733</v>
      </c>
      <c r="D5915" s="1">
        <f>IF(Tabela1[[#This Row],[promien]]&lt;40000,1,0)</f>
        <v>0</v>
      </c>
      <c r="E5915" s="1">
        <f>IF(Tabela1[[#This Row],[promien]]=40000,1,0)</f>
        <v>0</v>
      </c>
      <c r="F5915" s="1">
        <v>3.1668639053254437</v>
      </c>
      <c r="G5915" s="1">
        <v>2.5271251735650591E-2</v>
      </c>
    </row>
    <row r="5916" spans="1:7">
      <c r="A5916">
        <v>257</v>
      </c>
      <c r="B5916">
        <v>16</v>
      </c>
      <c r="C5916" s="1">
        <f>(Tabela1[[#This Row],[x]]-H$3)*(Tabela1[[#This Row],[x]]-H$3) +(Tabela1[[#This Row],[y]]-H$4)*(Tabela1[[#This Row],[y]]-H$4)</f>
        <v>37105</v>
      </c>
      <c r="D5916" s="1">
        <f>IF(Tabela1[[#This Row],[promien]]&lt;40000,1,0)</f>
        <v>1</v>
      </c>
      <c r="E5916" s="1">
        <f>IF(Tabela1[[#This Row],[promien]]=40000,1,0)</f>
        <v>0</v>
      </c>
      <c r="F5916" s="1">
        <v>3.1670047329276536</v>
      </c>
      <c r="G5916" s="1">
        <v>2.5412079337860494E-2</v>
      </c>
    </row>
    <row r="5917" spans="1:7">
      <c r="A5917">
        <v>122</v>
      </c>
      <c r="B5917">
        <v>187</v>
      </c>
      <c r="C5917" s="1">
        <f>(Tabela1[[#This Row],[x]]-H$3)*(Tabela1[[#This Row],[x]]-H$3) +(Tabela1[[#This Row],[y]]-H$4)*(Tabela1[[#This Row],[y]]-H$4)</f>
        <v>6253</v>
      </c>
      <c r="D5917" s="1">
        <f>IF(Tabela1[[#This Row],[promien]]&lt;40000,1,0)</f>
        <v>1</v>
      </c>
      <c r="E5917" s="1">
        <f>IF(Tabela1[[#This Row],[promien]]=40000,1,0)</f>
        <v>0</v>
      </c>
      <c r="F5917" s="1">
        <v>3.1671455129288493</v>
      </c>
      <c r="G5917" s="1">
        <v>2.5552859339056155E-2</v>
      </c>
    </row>
    <row r="5918" spans="1:7">
      <c r="A5918">
        <v>44</v>
      </c>
      <c r="B5918">
        <v>349</v>
      </c>
      <c r="C5918" s="1">
        <f>(Tabela1[[#This Row],[x]]-H$3)*(Tabela1[[#This Row],[x]]-H$3) +(Tabela1[[#This Row],[y]]-H$4)*(Tabela1[[#This Row],[y]]-H$4)</f>
        <v>46537</v>
      </c>
      <c r="D5918" s="1">
        <f>IF(Tabela1[[#This Row],[promien]]&lt;40000,1,0)</f>
        <v>0</v>
      </c>
      <c r="E5918" s="1">
        <f>IF(Tabela1[[#This Row],[promien]]=40000,1,0)</f>
        <v>0</v>
      </c>
      <c r="F5918" s="1">
        <v>3.166610341331531</v>
      </c>
      <c r="G5918" s="1">
        <v>2.5017687741737848E-2</v>
      </c>
    </row>
    <row r="5919" spans="1:7">
      <c r="A5919">
        <v>239</v>
      </c>
      <c r="B5919">
        <v>8</v>
      </c>
      <c r="C5919" s="1">
        <f>(Tabela1[[#This Row],[x]]-H$3)*(Tabela1[[#This Row],[x]]-H$3) +(Tabela1[[#This Row],[y]]-H$4)*(Tabela1[[#This Row],[y]]-H$4)</f>
        <v>38385</v>
      </c>
      <c r="D5919" s="1">
        <f>IF(Tabela1[[#This Row],[promien]]&lt;40000,1,0)</f>
        <v>1</v>
      </c>
      <c r="E5919" s="1">
        <f>IF(Tabela1[[#This Row],[promien]]=40000,1,0)</f>
        <v>0</v>
      </c>
      <c r="F5919" s="1">
        <v>3.1667511403953372</v>
      </c>
      <c r="G5919" s="1">
        <v>2.5158486805544111E-2</v>
      </c>
    </row>
    <row r="5920" spans="1:7">
      <c r="A5920">
        <v>348</v>
      </c>
      <c r="B5920">
        <v>374</v>
      </c>
      <c r="C5920" s="1">
        <f>(Tabela1[[#This Row],[x]]-H$3)*(Tabela1[[#This Row],[x]]-H$3) +(Tabela1[[#This Row],[y]]-H$4)*(Tabela1[[#This Row],[y]]-H$4)</f>
        <v>52180</v>
      </c>
      <c r="D5920" s="1">
        <f>IF(Tabela1[[#This Row],[promien]]&lt;40000,1,0)</f>
        <v>0</v>
      </c>
      <c r="E5920" s="1">
        <f>IF(Tabela1[[#This Row],[promien]]=40000,1,0)</f>
        <v>0</v>
      </c>
      <c r="F5920" s="1">
        <v>3.1662162162162164</v>
      </c>
      <c r="G5920" s="1">
        <v>2.462356262642329E-2</v>
      </c>
    </row>
    <row r="5921" spans="1:7">
      <c r="A5921">
        <v>389</v>
      </c>
      <c r="B5921">
        <v>189</v>
      </c>
      <c r="C5921" s="1">
        <f>(Tabela1[[#This Row],[x]]-H$3)*(Tabela1[[#This Row],[x]]-H$3) +(Tabela1[[#This Row],[y]]-H$4)*(Tabela1[[#This Row],[y]]-H$4)</f>
        <v>35842</v>
      </c>
      <c r="D5921" s="1">
        <f>IF(Tabela1[[#This Row],[promien]]&lt;40000,1,0)</f>
        <v>1</v>
      </c>
      <c r="E5921" s="1">
        <f>IF(Tabela1[[#This Row],[promien]]=40000,1,0)</f>
        <v>0</v>
      </c>
      <c r="F5921" s="1">
        <v>3.1663570342847493</v>
      </c>
      <c r="G5921" s="1">
        <v>2.4764380694956234E-2</v>
      </c>
    </row>
    <row r="5922" spans="1:7">
      <c r="A5922">
        <v>298</v>
      </c>
      <c r="B5922">
        <v>339</v>
      </c>
      <c r="C5922" s="1">
        <f>(Tabela1[[#This Row],[x]]-H$3)*(Tabela1[[#This Row],[x]]-H$3) +(Tabela1[[#This Row],[y]]-H$4)*(Tabela1[[#This Row],[y]]-H$4)</f>
        <v>28925</v>
      </c>
      <c r="D5922" s="1">
        <f>IF(Tabela1[[#This Row],[promien]]&lt;40000,1,0)</f>
        <v>1</v>
      </c>
      <c r="E5922" s="1">
        <f>IF(Tabela1[[#This Row],[promien]]=40000,1,0)</f>
        <v>0</v>
      </c>
      <c r="F5922" s="1">
        <v>3.1664978047956773</v>
      </c>
      <c r="G5922" s="1">
        <v>2.4905151205884213E-2</v>
      </c>
    </row>
    <row r="5923" spans="1:7">
      <c r="A5923">
        <v>278</v>
      </c>
      <c r="B5923">
        <v>72</v>
      </c>
      <c r="C5923" s="1">
        <f>(Tabela1[[#This Row],[x]]-H$3)*(Tabela1[[#This Row],[x]]-H$3) +(Tabela1[[#This Row],[y]]-H$4)*(Tabela1[[#This Row],[y]]-H$4)</f>
        <v>22468</v>
      </c>
      <c r="D5923" s="1">
        <f>IF(Tabela1[[#This Row],[promien]]&lt;40000,1,0)</f>
        <v>1</v>
      </c>
      <c r="E5923" s="1">
        <f>IF(Tabela1[[#This Row],[promien]]=40000,1,0)</f>
        <v>0</v>
      </c>
      <c r="F5923" s="1">
        <v>3.1666385277730877</v>
      </c>
      <c r="G5923" s="1">
        <v>2.5045874183294625E-2</v>
      </c>
    </row>
    <row r="5924" spans="1:7">
      <c r="A5924">
        <v>397</v>
      </c>
      <c r="B5924">
        <v>393</v>
      </c>
      <c r="C5924" s="1">
        <f>(Tabela1[[#This Row],[x]]-H$3)*(Tabela1[[#This Row],[x]]-H$3) +(Tabela1[[#This Row],[y]]-H$4)*(Tabela1[[#This Row],[y]]-H$4)</f>
        <v>76058</v>
      </c>
      <c r="D5924" s="1">
        <f>IF(Tabela1[[#This Row],[promien]]&lt;40000,1,0)</f>
        <v>0</v>
      </c>
      <c r="E5924" s="1">
        <f>IF(Tabela1[[#This Row],[promien]]=40000,1,0)</f>
        <v>0</v>
      </c>
      <c r="F5924" s="1">
        <v>3.1661039837947333</v>
      </c>
      <c r="G5924" s="1">
        <v>2.4511330204940229E-2</v>
      </c>
    </row>
    <row r="5925" spans="1:7">
      <c r="A5925">
        <v>288</v>
      </c>
      <c r="B5925">
        <v>69</v>
      </c>
      <c r="C5925" s="1">
        <f>(Tabela1[[#This Row],[x]]-H$3)*(Tabela1[[#This Row],[x]]-H$3) +(Tabela1[[#This Row],[y]]-H$4)*(Tabela1[[#This Row],[y]]-H$4)</f>
        <v>24905</v>
      </c>
      <c r="D5925" s="1">
        <f>IF(Tabela1[[#This Row],[promien]]&lt;40000,1,0)</f>
        <v>1</v>
      </c>
      <c r="E5925" s="1">
        <f>IF(Tabela1[[#This Row],[promien]]=40000,1,0)</f>
        <v>0</v>
      </c>
      <c r="F5925" s="1">
        <v>3.1662447257383968</v>
      </c>
      <c r="G5925" s="1">
        <v>2.4652072148603654E-2</v>
      </c>
    </row>
    <row r="5926" spans="1:7">
      <c r="A5926">
        <v>68</v>
      </c>
      <c r="B5926">
        <v>37</v>
      </c>
      <c r="C5926" s="1">
        <f>(Tabela1[[#This Row],[x]]-H$3)*(Tabela1[[#This Row],[x]]-H$3) +(Tabela1[[#This Row],[y]]-H$4)*(Tabela1[[#This Row],[y]]-H$4)</f>
        <v>43993</v>
      </c>
      <c r="D5926" s="1">
        <f>IF(Tabela1[[#This Row],[promien]]&lt;40000,1,0)</f>
        <v>0</v>
      </c>
      <c r="E5926" s="1">
        <f>IF(Tabela1[[#This Row],[promien]]=40000,1,0)</f>
        <v>0</v>
      </c>
      <c r="F5926" s="1">
        <v>3.1657104286196422</v>
      </c>
      <c r="G5926" s="1">
        <v>2.4117775029849131E-2</v>
      </c>
    </row>
    <row r="5927" spans="1:7">
      <c r="A5927">
        <v>45</v>
      </c>
      <c r="B5927">
        <v>296</v>
      </c>
      <c r="C5927" s="1">
        <f>(Tabela1[[#This Row],[x]]-H$3)*(Tabela1[[#This Row],[x]]-H$3) +(Tabela1[[#This Row],[y]]-H$4)*(Tabela1[[#This Row],[y]]-H$4)</f>
        <v>33241</v>
      </c>
      <c r="D5927" s="1">
        <f>IF(Tabela1[[#This Row],[promien]]&lt;40000,1,0)</f>
        <v>1</v>
      </c>
      <c r="E5927" s="1">
        <f>IF(Tabela1[[#This Row],[promien]]=40000,1,0)</f>
        <v>0</v>
      </c>
      <c r="F5927" s="1">
        <v>3.1658511894719084</v>
      </c>
      <c r="G5927" s="1">
        <v>2.425853588211524E-2</v>
      </c>
    </row>
    <row r="5928" spans="1:7">
      <c r="A5928">
        <v>174</v>
      </c>
      <c r="B5928">
        <v>67</v>
      </c>
      <c r="C5928" s="1">
        <f>(Tabela1[[#This Row],[x]]-H$3)*(Tabela1[[#This Row],[x]]-H$3) +(Tabela1[[#This Row],[y]]-H$4)*(Tabela1[[#This Row],[y]]-H$4)</f>
        <v>18365</v>
      </c>
      <c r="D5928" s="1">
        <f>IF(Tabela1[[#This Row],[promien]]&lt;40000,1,0)</f>
        <v>1</v>
      </c>
      <c r="E5928" s="1">
        <f>IF(Tabela1[[#This Row],[promien]]=40000,1,0)</f>
        <v>0</v>
      </c>
      <c r="F5928" s="1">
        <v>3.165991902834008</v>
      </c>
      <c r="G5928" s="1">
        <v>2.4399249244214882E-2</v>
      </c>
    </row>
    <row r="5929" spans="1:7">
      <c r="A5929">
        <v>307</v>
      </c>
      <c r="B5929">
        <v>30</v>
      </c>
      <c r="C5929" s="1">
        <f>(Tabela1[[#This Row],[x]]-H$3)*(Tabela1[[#This Row],[x]]-H$3) +(Tabela1[[#This Row],[y]]-H$4)*(Tabela1[[#This Row],[y]]-H$4)</f>
        <v>40349</v>
      </c>
      <c r="D5929" s="1">
        <f>IF(Tabela1[[#This Row],[promien]]&lt;40000,1,0)</f>
        <v>0</v>
      </c>
      <c r="E5929" s="1">
        <f>IF(Tabela1[[#This Row],[promien]]=40000,1,0)</f>
        <v>0</v>
      </c>
      <c r="F5929" s="1">
        <v>3.1654579187046719</v>
      </c>
      <c r="G5929" s="1">
        <v>2.3865265114878742E-2</v>
      </c>
    </row>
    <row r="5930" spans="1:7">
      <c r="A5930">
        <v>147</v>
      </c>
      <c r="B5930">
        <v>219</v>
      </c>
      <c r="C5930" s="1">
        <f>(Tabela1[[#This Row],[x]]-H$3)*(Tabela1[[#This Row],[x]]-H$3) +(Tabela1[[#This Row],[y]]-H$4)*(Tabela1[[#This Row],[y]]-H$4)</f>
        <v>3170</v>
      </c>
      <c r="D5930" s="1">
        <f>IF(Tabela1[[#This Row],[promien]]&lt;40000,1,0)</f>
        <v>1</v>
      </c>
      <c r="E5930" s="1">
        <f>IF(Tabela1[[#This Row],[promien]]=40000,1,0)</f>
        <v>0</v>
      </c>
      <c r="F5930" s="1">
        <v>3.1655986509274872</v>
      </c>
      <c r="G5930" s="1">
        <v>2.4005997337694041E-2</v>
      </c>
    </row>
    <row r="5931" spans="1:7">
      <c r="A5931">
        <v>101</v>
      </c>
      <c r="B5931">
        <v>48</v>
      </c>
      <c r="C5931" s="1">
        <f>(Tabela1[[#This Row],[x]]-H$3)*(Tabela1[[#This Row],[x]]-H$3) +(Tabela1[[#This Row],[y]]-H$4)*(Tabela1[[#This Row],[y]]-H$4)</f>
        <v>32905</v>
      </c>
      <c r="D5931" s="1">
        <f>IF(Tabela1[[#This Row],[promien]]&lt;40000,1,0)</f>
        <v>1</v>
      </c>
      <c r="E5931" s="1">
        <f>IF(Tabela1[[#This Row],[promien]]=40000,1,0)</f>
        <v>0</v>
      </c>
      <c r="F5931" s="1">
        <v>3.1657393356938122</v>
      </c>
      <c r="G5931" s="1">
        <v>2.4146682104019046E-2</v>
      </c>
    </row>
    <row r="5932" spans="1:7">
      <c r="A5932">
        <v>19</v>
      </c>
      <c r="B5932">
        <v>168</v>
      </c>
      <c r="C5932" s="1">
        <f>(Tabela1[[#This Row],[x]]-H$3)*(Tabela1[[#This Row],[x]]-H$3) +(Tabela1[[#This Row],[y]]-H$4)*(Tabela1[[#This Row],[y]]-H$4)</f>
        <v>33785</v>
      </c>
      <c r="D5932" s="1">
        <f>IF(Tabela1[[#This Row],[promien]]&lt;40000,1,0)</f>
        <v>1</v>
      </c>
      <c r="E5932" s="1">
        <f>IF(Tabela1[[#This Row],[promien]]=40000,1,0)</f>
        <v>0</v>
      </c>
      <c r="F5932" s="1">
        <v>3.1658799730276468</v>
      </c>
      <c r="G5932" s="1">
        <v>2.4287319437853672E-2</v>
      </c>
    </row>
    <row r="5933" spans="1:7">
      <c r="A5933">
        <v>340</v>
      </c>
      <c r="B5933">
        <v>2</v>
      </c>
      <c r="C5933" s="1">
        <f>(Tabela1[[#This Row],[x]]-H$3)*(Tabela1[[#This Row],[x]]-H$3) +(Tabela1[[#This Row],[y]]-H$4)*(Tabela1[[#This Row],[y]]-H$4)</f>
        <v>58804</v>
      </c>
      <c r="D5933" s="1">
        <f>IF(Tabela1[[#This Row],[promien]]&lt;40000,1,0)</f>
        <v>0</v>
      </c>
      <c r="E5933" s="1">
        <f>IF(Tabela1[[#This Row],[promien]]=40000,1,0)</f>
        <v>0</v>
      </c>
      <c r="F5933" s="1">
        <v>3.1653463677734703</v>
      </c>
      <c r="G5933" s="1">
        <v>2.3753714183677221E-2</v>
      </c>
    </row>
    <row r="5934" spans="1:7">
      <c r="A5934">
        <v>375</v>
      </c>
      <c r="B5934">
        <v>37</v>
      </c>
      <c r="C5934" s="1">
        <f>(Tabela1[[#This Row],[x]]-H$3)*(Tabela1[[#This Row],[x]]-H$3) +(Tabela1[[#This Row],[y]]-H$4)*(Tabela1[[#This Row],[y]]-H$4)</f>
        <v>57194</v>
      </c>
      <c r="D5934" s="1">
        <f>IF(Tabela1[[#This Row],[promien]]&lt;40000,1,0)</f>
        <v>0</v>
      </c>
      <c r="E5934" s="1">
        <f>IF(Tabela1[[#This Row],[promien]]=40000,1,0)</f>
        <v>0</v>
      </c>
      <c r="F5934" s="1">
        <v>3.1648129423660265</v>
      </c>
      <c r="G5934" s="1">
        <v>2.3220288776233389E-2</v>
      </c>
    </row>
    <row r="5935" spans="1:7">
      <c r="A5935">
        <v>384</v>
      </c>
      <c r="B5935">
        <v>342</v>
      </c>
      <c r="C5935" s="1">
        <f>(Tabela1[[#This Row],[x]]-H$3)*(Tabela1[[#This Row],[x]]-H$3) +(Tabela1[[#This Row],[y]]-H$4)*(Tabela1[[#This Row],[y]]-H$4)</f>
        <v>54020</v>
      </c>
      <c r="D5935" s="1">
        <f>IF(Tabela1[[#This Row],[promien]]&lt;40000,1,0)</f>
        <v>0</v>
      </c>
      <c r="E5935" s="1">
        <f>IF(Tabela1[[#This Row],[promien]]=40000,1,0)</f>
        <v>0</v>
      </c>
      <c r="F5935" s="1">
        <v>3.1642796967144062</v>
      </c>
      <c r="G5935" s="1">
        <v>2.2687043124613115E-2</v>
      </c>
    </row>
    <row r="5936" spans="1:7">
      <c r="A5936">
        <v>69</v>
      </c>
      <c r="B5936">
        <v>131</v>
      </c>
      <c r="C5936" s="1">
        <f>(Tabela1[[#This Row],[x]]-H$3)*(Tabela1[[#This Row],[x]]-H$3) +(Tabela1[[#This Row],[y]]-H$4)*(Tabela1[[#This Row],[y]]-H$4)</f>
        <v>21922</v>
      </c>
      <c r="D5936" s="1">
        <f>IF(Tabela1[[#This Row],[promien]]&lt;40000,1,0)</f>
        <v>1</v>
      </c>
      <c r="E5936" s="1">
        <f>IF(Tabela1[[#This Row],[promien]]=40000,1,0)</f>
        <v>0</v>
      </c>
      <c r="F5936" s="1">
        <v>3.164420485175202</v>
      </c>
      <c r="G5936" s="1">
        <v>2.2827831585408909E-2</v>
      </c>
    </row>
    <row r="5937" spans="1:7">
      <c r="A5937">
        <v>78</v>
      </c>
      <c r="B5937">
        <v>176</v>
      </c>
      <c r="C5937" s="1">
        <f>(Tabela1[[#This Row],[x]]-H$3)*(Tabela1[[#This Row],[x]]-H$3) +(Tabela1[[#This Row],[y]]-H$4)*(Tabela1[[#This Row],[y]]-H$4)</f>
        <v>15460</v>
      </c>
      <c r="D5937" s="1">
        <f>IF(Tabela1[[#This Row],[promien]]&lt;40000,1,0)</f>
        <v>1</v>
      </c>
      <c r="E5937" s="1">
        <f>IF(Tabela1[[#This Row],[promien]]=40000,1,0)</f>
        <v>0</v>
      </c>
      <c r="F5937" s="1">
        <v>3.164561226208523</v>
      </c>
      <c r="G5937" s="1">
        <v>2.2968572618729866E-2</v>
      </c>
    </row>
    <row r="5938" spans="1:7">
      <c r="A5938">
        <v>398</v>
      </c>
      <c r="B5938">
        <v>372</v>
      </c>
      <c r="C5938" s="1">
        <f>(Tabela1[[#This Row],[x]]-H$3)*(Tabela1[[#This Row],[x]]-H$3) +(Tabela1[[#This Row],[y]]-H$4)*(Tabela1[[#This Row],[y]]-H$4)</f>
        <v>68788</v>
      </c>
      <c r="D5938" s="1">
        <f>IF(Tabela1[[#This Row],[promien]]&lt;40000,1,0)</f>
        <v>0</v>
      </c>
      <c r="E5938" s="1">
        <f>IF(Tabela1[[#This Row],[promien]]=40000,1,0)</f>
        <v>0</v>
      </c>
      <c r="F5938" s="1">
        <v>3.1640282923543279</v>
      </c>
      <c r="G5938" s="1">
        <v>2.2435638764534804E-2</v>
      </c>
    </row>
    <row r="5939" spans="1:7">
      <c r="A5939">
        <v>307</v>
      </c>
      <c r="B5939">
        <v>273</v>
      </c>
      <c r="C5939" s="1">
        <f>(Tabela1[[#This Row],[x]]-H$3)*(Tabela1[[#This Row],[x]]-H$3) +(Tabela1[[#This Row],[y]]-H$4)*(Tabela1[[#This Row],[y]]-H$4)</f>
        <v>16778</v>
      </c>
      <c r="D5939" s="1">
        <f>IF(Tabela1[[#This Row],[promien]]&lt;40000,1,0)</f>
        <v>1</v>
      </c>
      <c r="E5939" s="1">
        <f>IF(Tabela1[[#This Row],[promien]]=40000,1,0)</f>
        <v>0</v>
      </c>
      <c r="F5939" s="1">
        <v>3.1641690520289609</v>
      </c>
      <c r="G5939" s="1">
        <v>2.2576398439167811E-2</v>
      </c>
    </row>
    <row r="5940" spans="1:7">
      <c r="A5940">
        <v>380</v>
      </c>
      <c r="B5940">
        <v>175</v>
      </c>
      <c r="C5940" s="1">
        <f>(Tabela1[[#This Row],[x]]-H$3)*(Tabela1[[#This Row],[x]]-H$3) +(Tabela1[[#This Row],[y]]-H$4)*(Tabela1[[#This Row],[y]]-H$4)</f>
        <v>33025</v>
      </c>
      <c r="D5940" s="1">
        <f>IF(Tabela1[[#This Row],[promien]]&lt;40000,1,0)</f>
        <v>1</v>
      </c>
      <c r="E5940" s="1">
        <f>IF(Tabela1[[#This Row],[promien]]=40000,1,0)</f>
        <v>0</v>
      </c>
      <c r="F5940" s="1">
        <v>3.1643097643097642</v>
      </c>
      <c r="G5940" s="1">
        <v>2.2717110719971068E-2</v>
      </c>
    </row>
    <row r="5941" spans="1:7">
      <c r="A5941">
        <v>294</v>
      </c>
      <c r="B5941">
        <v>366</v>
      </c>
      <c r="C5941" s="1">
        <f>(Tabela1[[#This Row],[x]]-H$3)*(Tabela1[[#This Row],[x]]-H$3) +(Tabela1[[#This Row],[y]]-H$4)*(Tabela1[[#This Row],[y]]-H$4)</f>
        <v>36392</v>
      </c>
      <c r="D5941" s="1">
        <f>IF(Tabela1[[#This Row],[promien]]&lt;40000,1,0)</f>
        <v>1</v>
      </c>
      <c r="E5941" s="1">
        <f>IF(Tabela1[[#This Row],[promien]]=40000,1,0)</f>
        <v>0</v>
      </c>
      <c r="F5941" s="1">
        <v>3.1644504292206701</v>
      </c>
      <c r="G5941" s="1">
        <v>2.2857775630876986E-2</v>
      </c>
    </row>
    <row r="5942" spans="1:7">
      <c r="A5942">
        <v>267</v>
      </c>
      <c r="B5942">
        <v>347</v>
      </c>
      <c r="C5942" s="1">
        <f>(Tabela1[[#This Row],[x]]-H$3)*(Tabela1[[#This Row],[x]]-H$3) +(Tabela1[[#This Row],[y]]-H$4)*(Tabela1[[#This Row],[y]]-H$4)</f>
        <v>26098</v>
      </c>
      <c r="D5942" s="1">
        <f>IF(Tabela1[[#This Row],[promien]]&lt;40000,1,0)</f>
        <v>1</v>
      </c>
      <c r="E5942" s="1">
        <f>IF(Tabela1[[#This Row],[promien]]=40000,1,0)</f>
        <v>0</v>
      </c>
      <c r="F5942" s="1">
        <v>3.1645910467855942</v>
      </c>
      <c r="G5942" s="1">
        <v>2.2998393195801103E-2</v>
      </c>
    </row>
    <row r="5943" spans="1:7">
      <c r="A5943">
        <v>4</v>
      </c>
      <c r="B5943">
        <v>216</v>
      </c>
      <c r="C5943" s="1">
        <f>(Tabela1[[#This Row],[x]]-H$3)*(Tabela1[[#This Row],[x]]-H$3) +(Tabela1[[#This Row],[y]]-H$4)*(Tabela1[[#This Row],[y]]-H$4)</f>
        <v>38672</v>
      </c>
      <c r="D5943" s="1">
        <f>IF(Tabela1[[#This Row],[promien]]&lt;40000,1,0)</f>
        <v>1</v>
      </c>
      <c r="E5943" s="1">
        <f>IF(Tabela1[[#This Row],[promien]]=40000,1,0)</f>
        <v>0</v>
      </c>
      <c r="F5943" s="1">
        <v>3.164731617028437</v>
      </c>
      <c r="G5943" s="1">
        <v>2.3138963438643856E-2</v>
      </c>
    </row>
    <row r="5944" spans="1:7">
      <c r="A5944">
        <v>377</v>
      </c>
      <c r="B5944">
        <v>9</v>
      </c>
      <c r="C5944" s="1">
        <f>(Tabela1[[#This Row],[x]]-H$3)*(Tabela1[[#This Row],[x]]-H$3) +(Tabela1[[#This Row],[y]]-H$4)*(Tabela1[[#This Row],[y]]-H$4)</f>
        <v>67810</v>
      </c>
      <c r="D5944" s="1">
        <f>IF(Tabela1[[#This Row],[promien]]&lt;40000,1,0)</f>
        <v>0</v>
      </c>
      <c r="E5944" s="1">
        <f>IF(Tabela1[[#This Row],[promien]]=40000,1,0)</f>
        <v>0</v>
      </c>
      <c r="F5944" s="1">
        <v>3.1641991924629878</v>
      </c>
      <c r="G5944" s="1">
        <v>2.2606538873194637E-2</v>
      </c>
    </row>
    <row r="5945" spans="1:7">
      <c r="A5945">
        <v>191</v>
      </c>
      <c r="B5945">
        <v>313</v>
      </c>
      <c r="C5945" s="1">
        <f>(Tabela1[[#This Row],[x]]-H$3)*(Tabela1[[#This Row],[x]]-H$3) +(Tabela1[[#This Row],[y]]-H$4)*(Tabela1[[#This Row],[y]]-H$4)</f>
        <v>12850</v>
      </c>
      <c r="D5945" s="1">
        <f>IF(Tabela1[[#This Row],[promien]]&lt;40000,1,0)</f>
        <v>1</v>
      </c>
      <c r="E5945" s="1">
        <f>IF(Tabela1[[#This Row],[promien]]=40000,1,0)</f>
        <v>0</v>
      </c>
      <c r="F5945" s="1">
        <v>3.1643397813288479</v>
      </c>
      <c r="G5945" s="1">
        <v>2.274712773905474E-2</v>
      </c>
    </row>
    <row r="5946" spans="1:7">
      <c r="A5946">
        <v>340</v>
      </c>
      <c r="B5946">
        <v>223</v>
      </c>
      <c r="C5946" s="1">
        <f>(Tabela1[[#This Row],[x]]-H$3)*(Tabela1[[#This Row],[x]]-H$3) +(Tabela1[[#This Row],[y]]-H$4)*(Tabela1[[#This Row],[y]]-H$4)</f>
        <v>20129</v>
      </c>
      <c r="D5946" s="1">
        <f>IF(Tabela1[[#This Row],[promien]]&lt;40000,1,0)</f>
        <v>1</v>
      </c>
      <c r="E5946" s="1">
        <f>IF(Tabela1[[#This Row],[promien]]=40000,1,0)</f>
        <v>0</v>
      </c>
      <c r="F5946" s="1">
        <v>3.1644803229061553</v>
      </c>
      <c r="G5946" s="1">
        <v>2.2887669316362214E-2</v>
      </c>
    </row>
    <row r="5947" spans="1:7">
      <c r="A5947">
        <v>353</v>
      </c>
      <c r="B5947">
        <v>187</v>
      </c>
      <c r="C5947" s="1">
        <f>(Tabela1[[#This Row],[x]]-H$3)*(Tabela1[[#This Row],[x]]-H$3) +(Tabela1[[#This Row],[y]]-H$4)*(Tabela1[[#This Row],[y]]-H$4)</f>
        <v>23578</v>
      </c>
      <c r="D5947" s="1">
        <f>IF(Tabela1[[#This Row],[promien]]&lt;40000,1,0)</f>
        <v>1</v>
      </c>
      <c r="E5947" s="1">
        <f>IF(Tabela1[[#This Row],[promien]]=40000,1,0)</f>
        <v>0</v>
      </c>
      <c r="F5947" s="1">
        <v>3.1646208172187658</v>
      </c>
      <c r="G5947" s="1">
        <v>2.3028163628972642E-2</v>
      </c>
    </row>
    <row r="5948" spans="1:7">
      <c r="A5948">
        <v>396</v>
      </c>
      <c r="B5948">
        <v>156</v>
      </c>
      <c r="C5948" s="1">
        <f>(Tabela1[[#This Row],[x]]-H$3)*(Tabela1[[#This Row],[x]]-H$3) +(Tabela1[[#This Row],[y]]-H$4)*(Tabela1[[#This Row],[y]]-H$4)</f>
        <v>40352</v>
      </c>
      <c r="D5948" s="1">
        <f>IF(Tabela1[[#This Row],[promien]]&lt;40000,1,0)</f>
        <v>0</v>
      </c>
      <c r="E5948" s="1">
        <f>IF(Tabela1[[#This Row],[promien]]=40000,1,0)</f>
        <v>0</v>
      </c>
      <c r="F5948" s="1">
        <v>3.1640887693342301</v>
      </c>
      <c r="G5948" s="1">
        <v>2.2496115744436995E-2</v>
      </c>
    </row>
    <row r="5949" spans="1:7">
      <c r="A5949">
        <v>78</v>
      </c>
      <c r="B5949">
        <v>236</v>
      </c>
      <c r="C5949" s="1">
        <f>(Tabela1[[#This Row],[x]]-H$3)*(Tabela1[[#This Row],[x]]-H$3) +(Tabela1[[#This Row],[y]]-H$4)*(Tabela1[[#This Row],[y]]-H$4)</f>
        <v>16180</v>
      </c>
      <c r="D5949" s="1">
        <f>IF(Tabela1[[#This Row],[promien]]&lt;40000,1,0)</f>
        <v>1</v>
      </c>
      <c r="E5949" s="1">
        <f>IF(Tabela1[[#This Row],[promien]]=40000,1,0)</f>
        <v>0</v>
      </c>
      <c r="F5949" s="1">
        <v>3.1642292822323079</v>
      </c>
      <c r="G5949" s="1">
        <v>2.2636628642514811E-2</v>
      </c>
    </row>
    <row r="5950" spans="1:7">
      <c r="A5950">
        <v>226</v>
      </c>
      <c r="B5950">
        <v>67</v>
      </c>
      <c r="C5950" s="1">
        <f>(Tabela1[[#This Row],[x]]-H$3)*(Tabela1[[#This Row],[x]]-H$3) +(Tabela1[[#This Row],[y]]-H$4)*(Tabela1[[#This Row],[y]]-H$4)</f>
        <v>18365</v>
      </c>
      <c r="D5950" s="1">
        <f>IF(Tabela1[[#This Row],[promien]]&lt;40000,1,0)</f>
        <v>1</v>
      </c>
      <c r="E5950" s="1">
        <f>IF(Tabela1[[#This Row],[promien]]=40000,1,0)</f>
        <v>0</v>
      </c>
      <c r="F5950" s="1">
        <v>3.1643697478991597</v>
      </c>
      <c r="G5950" s="1">
        <v>2.2777094309366586E-2</v>
      </c>
    </row>
    <row r="5951" spans="1:7">
      <c r="A5951">
        <v>318</v>
      </c>
      <c r="B5951">
        <v>23</v>
      </c>
      <c r="C5951" s="1">
        <f>(Tabela1[[#This Row],[x]]-H$3)*(Tabela1[[#This Row],[x]]-H$3) +(Tabela1[[#This Row],[y]]-H$4)*(Tabela1[[#This Row],[y]]-H$4)</f>
        <v>45253</v>
      </c>
      <c r="D5951" s="1">
        <f>IF(Tabela1[[#This Row],[promien]]&lt;40000,1,0)</f>
        <v>0</v>
      </c>
      <c r="E5951" s="1">
        <f>IF(Tabela1[[#This Row],[promien]]=40000,1,0)</f>
        <v>0</v>
      </c>
      <c r="F5951" s="1">
        <v>3.1638380104184169</v>
      </c>
      <c r="G5951" s="1">
        <v>2.224535682862383E-2</v>
      </c>
    </row>
    <row r="5952" spans="1:7">
      <c r="A5952">
        <v>30</v>
      </c>
      <c r="B5952">
        <v>327</v>
      </c>
      <c r="C5952" s="1">
        <f>(Tabela1[[#This Row],[x]]-H$3)*(Tabela1[[#This Row],[x]]-H$3) +(Tabela1[[#This Row],[y]]-H$4)*(Tabela1[[#This Row],[y]]-H$4)</f>
        <v>45029</v>
      </c>
      <c r="D5952" s="1">
        <f>IF(Tabela1[[#This Row],[promien]]&lt;40000,1,0)</f>
        <v>0</v>
      </c>
      <c r="E5952" s="1">
        <f>IF(Tabela1[[#This Row],[promien]]=40000,1,0)</f>
        <v>0</v>
      </c>
      <c r="F5952" s="1">
        <v>3.163306451612903</v>
      </c>
      <c r="G5952" s="1">
        <v>2.1713798023109909E-2</v>
      </c>
    </row>
    <row r="5953" spans="1:7">
      <c r="A5953">
        <v>387</v>
      </c>
      <c r="B5953">
        <v>349</v>
      </c>
      <c r="C5953" s="1">
        <f>(Tabela1[[#This Row],[x]]-H$3)*(Tabela1[[#This Row],[x]]-H$3) +(Tabela1[[#This Row],[y]]-H$4)*(Tabela1[[#This Row],[y]]-H$4)</f>
        <v>57170</v>
      </c>
      <c r="D5953" s="1">
        <f>IF(Tabela1[[#This Row],[promien]]&lt;40000,1,0)</f>
        <v>0</v>
      </c>
      <c r="E5953" s="1">
        <f>IF(Tabela1[[#This Row],[promien]]=40000,1,0)</f>
        <v>0</v>
      </c>
      <c r="F5953" s="1">
        <v>3.1627750713925753</v>
      </c>
      <c r="G5953" s="1">
        <v>2.1182417802782183E-2</v>
      </c>
    </row>
    <row r="5954" spans="1:7">
      <c r="A5954">
        <v>321</v>
      </c>
      <c r="B5954">
        <v>262</v>
      </c>
      <c r="C5954" s="1">
        <f>(Tabela1[[#This Row],[x]]-H$3)*(Tabela1[[#This Row],[x]]-H$3) +(Tabela1[[#This Row],[y]]-H$4)*(Tabela1[[#This Row],[y]]-H$4)</f>
        <v>18485</v>
      </c>
      <c r="D5954" s="1">
        <f>IF(Tabela1[[#This Row],[promien]]&lt;40000,1,0)</f>
        <v>1</v>
      </c>
      <c r="E5954" s="1">
        <f>IF(Tabela1[[#This Row],[promien]]=40000,1,0)</f>
        <v>0</v>
      </c>
      <c r="F5954" s="1">
        <v>3.1629156869331543</v>
      </c>
      <c r="G5954" s="1">
        <v>2.1323033343361164E-2</v>
      </c>
    </row>
    <row r="5955" spans="1:7">
      <c r="A5955">
        <v>380</v>
      </c>
      <c r="B5955">
        <v>97</v>
      </c>
      <c r="C5955" s="1">
        <f>(Tabela1[[#This Row],[x]]-H$3)*(Tabela1[[#This Row],[x]]-H$3) +(Tabela1[[#This Row],[y]]-H$4)*(Tabela1[[#This Row],[y]]-H$4)</f>
        <v>43009</v>
      </c>
      <c r="D5955" s="1">
        <f>IF(Tabela1[[#This Row],[promien]]&lt;40000,1,0)</f>
        <v>0</v>
      </c>
      <c r="E5955" s="1">
        <f>IF(Tabela1[[#This Row],[promien]]=40000,1,0)</f>
        <v>0</v>
      </c>
      <c r="F5955" s="1">
        <v>3.1623845507976491</v>
      </c>
      <c r="G5955" s="1">
        <v>2.0791897207856014E-2</v>
      </c>
    </row>
    <row r="5956" spans="1:7">
      <c r="A5956">
        <v>279</v>
      </c>
      <c r="B5956">
        <v>111</v>
      </c>
      <c r="C5956" s="1">
        <f>(Tabela1[[#This Row],[x]]-H$3)*(Tabela1[[#This Row],[x]]-H$3) +(Tabela1[[#This Row],[y]]-H$4)*(Tabela1[[#This Row],[y]]-H$4)</f>
        <v>14162</v>
      </c>
      <c r="D5956" s="1">
        <f>IF(Tabela1[[#This Row],[promien]]&lt;40000,1,0)</f>
        <v>1</v>
      </c>
      <c r="E5956" s="1">
        <f>IF(Tabela1[[#This Row],[promien]]=40000,1,0)</f>
        <v>0</v>
      </c>
      <c r="F5956" s="1">
        <v>3.16252518468771</v>
      </c>
      <c r="G5956" s="1">
        <v>2.0932531097916929E-2</v>
      </c>
    </row>
    <row r="5957" spans="1:7">
      <c r="A5957">
        <v>27</v>
      </c>
      <c r="B5957">
        <v>369</v>
      </c>
      <c r="C5957" s="1">
        <f>(Tabela1[[#This Row],[x]]-H$3)*(Tabela1[[#This Row],[x]]-H$3) +(Tabela1[[#This Row],[y]]-H$4)*(Tabela1[[#This Row],[y]]-H$4)</f>
        <v>58490</v>
      </c>
      <c r="D5957" s="1">
        <f>IF(Tabela1[[#This Row],[promien]]&lt;40000,1,0)</f>
        <v>0</v>
      </c>
      <c r="E5957" s="1">
        <f>IF(Tabela1[[#This Row],[promien]]=40000,1,0)</f>
        <v>0</v>
      </c>
      <c r="F5957" s="1">
        <v>3.1619942924290751</v>
      </c>
      <c r="G5957" s="1">
        <v>2.0401638839282032E-2</v>
      </c>
    </row>
    <row r="5958" spans="1:7">
      <c r="A5958">
        <v>160</v>
      </c>
      <c r="B5958">
        <v>198</v>
      </c>
      <c r="C5958" s="1">
        <f>(Tabela1[[#This Row],[x]]-H$3)*(Tabela1[[#This Row],[x]]-H$3) +(Tabela1[[#This Row],[y]]-H$4)*(Tabela1[[#This Row],[y]]-H$4)</f>
        <v>1604</v>
      </c>
      <c r="D5958" s="1">
        <f>IF(Tabela1[[#This Row],[promien]]&lt;40000,1,0)</f>
        <v>1</v>
      </c>
      <c r="E5958" s="1">
        <f>IF(Tabela1[[#This Row],[promien]]=40000,1,0)</f>
        <v>0</v>
      </c>
      <c r="F5958" s="1">
        <v>3.1621349446122862</v>
      </c>
      <c r="G5958" s="1">
        <v>2.0542291022493053E-2</v>
      </c>
    </row>
    <row r="5959" spans="1:7">
      <c r="A5959">
        <v>139</v>
      </c>
      <c r="B5959">
        <v>399</v>
      </c>
      <c r="C5959" s="1">
        <f>(Tabela1[[#This Row],[x]]-H$3)*(Tabela1[[#This Row],[x]]-H$3) +(Tabela1[[#This Row],[y]]-H$4)*(Tabela1[[#This Row],[y]]-H$4)</f>
        <v>43322</v>
      </c>
      <c r="D5959" s="1">
        <f>IF(Tabela1[[#This Row],[promien]]&lt;40000,1,0)</f>
        <v>0</v>
      </c>
      <c r="E5959" s="1">
        <f>IF(Tabela1[[#This Row],[promien]]=40000,1,0)</f>
        <v>0</v>
      </c>
      <c r="F5959" s="1">
        <v>3.1616042960228228</v>
      </c>
      <c r="G5959" s="1">
        <v>2.0011642433029664E-2</v>
      </c>
    </row>
    <row r="5960" spans="1:7">
      <c r="A5960">
        <v>100</v>
      </c>
      <c r="B5960">
        <v>257</v>
      </c>
      <c r="C5960" s="1">
        <f>(Tabela1[[#This Row],[x]]-H$3)*(Tabela1[[#This Row],[x]]-H$3) +(Tabela1[[#This Row],[y]]-H$4)*(Tabela1[[#This Row],[y]]-H$4)</f>
        <v>13249</v>
      </c>
      <c r="D5960" s="1">
        <f>IF(Tabela1[[#This Row],[promien]]&lt;40000,1,0)</f>
        <v>1</v>
      </c>
      <c r="E5960" s="1">
        <f>IF(Tabela1[[#This Row],[promien]]=40000,1,0)</f>
        <v>0</v>
      </c>
      <c r="F5960" s="1">
        <v>3.1617449664429529</v>
      </c>
      <c r="G5960" s="1">
        <v>2.0152312853159771E-2</v>
      </c>
    </row>
    <row r="5961" spans="1:7">
      <c r="A5961">
        <v>162</v>
      </c>
      <c r="B5961">
        <v>10</v>
      </c>
      <c r="C5961" s="1">
        <f>(Tabela1[[#This Row],[x]]-H$3)*(Tabela1[[#This Row],[x]]-H$3) +(Tabela1[[#This Row],[y]]-H$4)*(Tabela1[[#This Row],[y]]-H$4)</f>
        <v>37544</v>
      </c>
      <c r="D5961" s="1">
        <f>IF(Tabela1[[#This Row],[promien]]&lt;40000,1,0)</f>
        <v>1</v>
      </c>
      <c r="E5961" s="1">
        <f>IF(Tabela1[[#This Row],[promien]]=40000,1,0)</f>
        <v>0</v>
      </c>
      <c r="F5961" s="1">
        <v>3.1618855896661633</v>
      </c>
      <c r="G5961" s="1">
        <v>2.0292936076370172E-2</v>
      </c>
    </row>
    <row r="5962" spans="1:7">
      <c r="A5962">
        <v>340</v>
      </c>
      <c r="B5962">
        <v>11</v>
      </c>
      <c r="C5962" s="1">
        <f>(Tabela1[[#This Row],[x]]-H$3)*(Tabela1[[#This Row],[x]]-H$3) +(Tabela1[[#This Row],[y]]-H$4)*(Tabela1[[#This Row],[y]]-H$4)</f>
        <v>55321</v>
      </c>
      <c r="D5962" s="1">
        <f>IF(Tabela1[[#This Row],[promien]]&lt;40000,1,0)</f>
        <v>0</v>
      </c>
      <c r="E5962" s="1">
        <f>IF(Tabela1[[#This Row],[promien]]=40000,1,0)</f>
        <v>0</v>
      </c>
      <c r="F5962" s="1">
        <v>3.1613552499161357</v>
      </c>
      <c r="G5962" s="1">
        <v>1.9762596326342585E-2</v>
      </c>
    </row>
    <row r="5963" spans="1:7">
      <c r="A5963">
        <v>215</v>
      </c>
      <c r="B5963">
        <v>118</v>
      </c>
      <c r="C5963" s="1">
        <f>(Tabela1[[#This Row],[x]]-H$3)*(Tabela1[[#This Row],[x]]-H$3) +(Tabela1[[#This Row],[y]]-H$4)*(Tabela1[[#This Row],[y]]-H$4)</f>
        <v>6949</v>
      </c>
      <c r="D5963" s="1">
        <f>IF(Tabela1[[#This Row],[promien]]&lt;40000,1,0)</f>
        <v>1</v>
      </c>
      <c r="E5963" s="1">
        <f>IF(Tabela1[[#This Row],[promien]]=40000,1,0)</f>
        <v>0</v>
      </c>
      <c r="F5963" s="1">
        <v>3.1614958913298676</v>
      </c>
      <c r="G5963" s="1">
        <v>1.990323774007452E-2</v>
      </c>
    </row>
    <row r="5964" spans="1:7">
      <c r="A5964">
        <v>264</v>
      </c>
      <c r="B5964">
        <v>395</v>
      </c>
      <c r="C5964" s="1">
        <f>(Tabela1[[#This Row],[x]]-H$3)*(Tabela1[[#This Row],[x]]-H$3) +(Tabela1[[#This Row],[y]]-H$4)*(Tabela1[[#This Row],[y]]-H$4)</f>
        <v>42121</v>
      </c>
      <c r="D5964" s="1">
        <f>IF(Tabela1[[#This Row],[promien]]&lt;40000,1,0)</f>
        <v>0</v>
      </c>
      <c r="E5964" s="1">
        <f>IF(Tabela1[[#This Row],[promien]]=40000,1,0)</f>
        <v>0</v>
      </c>
      <c r="F5964" s="1">
        <v>3.1609657947686118</v>
      </c>
      <c r="G5964" s="1">
        <v>1.937314117881872E-2</v>
      </c>
    </row>
    <row r="5965" spans="1:7">
      <c r="A5965">
        <v>52</v>
      </c>
      <c r="B5965">
        <v>80</v>
      </c>
      <c r="C5965" s="1">
        <f>(Tabela1[[#This Row],[x]]-H$3)*(Tabela1[[#This Row],[x]]-H$3) +(Tabela1[[#This Row],[y]]-H$4)*(Tabela1[[#This Row],[y]]-H$4)</f>
        <v>36304</v>
      </c>
      <c r="D5965" s="1">
        <f>IF(Tabela1[[#This Row],[promien]]&lt;40000,1,0)</f>
        <v>1</v>
      </c>
      <c r="E5965" s="1">
        <f>IF(Tabela1[[#This Row],[promien]]=40000,1,0)</f>
        <v>0</v>
      </c>
      <c r="F5965" s="1">
        <v>3.1611064543168483</v>
      </c>
      <c r="G5965" s="1">
        <v>1.9513800727055219E-2</v>
      </c>
    </row>
    <row r="5966" spans="1:7">
      <c r="A5966">
        <v>35</v>
      </c>
      <c r="B5966">
        <v>277</v>
      </c>
      <c r="C5966" s="1">
        <f>(Tabela1[[#This Row],[x]]-H$3)*(Tabela1[[#This Row],[x]]-H$3) +(Tabela1[[#This Row],[y]]-H$4)*(Tabela1[[#This Row],[y]]-H$4)</f>
        <v>33154</v>
      </c>
      <c r="D5966" s="1">
        <f>IF(Tabela1[[#This Row],[promien]]&lt;40000,1,0)</f>
        <v>1</v>
      </c>
      <c r="E5966" s="1">
        <f>IF(Tabela1[[#This Row],[promien]]=40000,1,0)</f>
        <v>0</v>
      </c>
      <c r="F5966" s="1">
        <v>3.1612470667113644</v>
      </c>
      <c r="G5966" s="1">
        <v>1.9654413121571235E-2</v>
      </c>
    </row>
    <row r="5967" spans="1:7">
      <c r="A5967">
        <v>397</v>
      </c>
      <c r="B5967">
        <v>168</v>
      </c>
      <c r="C5967" s="1">
        <f>(Tabela1[[#This Row],[x]]-H$3)*(Tabela1[[#This Row],[x]]-H$3) +(Tabela1[[#This Row],[y]]-H$4)*(Tabela1[[#This Row],[y]]-H$4)</f>
        <v>39833</v>
      </c>
      <c r="D5967" s="1">
        <f>IF(Tabela1[[#This Row],[promien]]&lt;40000,1,0)</f>
        <v>1</v>
      </c>
      <c r="E5967" s="1">
        <f>IF(Tabela1[[#This Row],[promien]]=40000,1,0)</f>
        <v>0</v>
      </c>
      <c r="F5967" s="1">
        <v>3.1613876319758671</v>
      </c>
      <c r="G5967" s="1">
        <v>1.9794978386074025E-2</v>
      </c>
    </row>
    <row r="5968" spans="1:7">
      <c r="A5968">
        <v>49</v>
      </c>
      <c r="B5968">
        <v>191</v>
      </c>
      <c r="C5968" s="1">
        <f>(Tabela1[[#This Row],[x]]-H$3)*(Tabela1[[#This Row],[x]]-H$3) +(Tabela1[[#This Row],[y]]-H$4)*(Tabela1[[#This Row],[y]]-H$4)</f>
        <v>22882</v>
      </c>
      <c r="D5968" s="1">
        <f>IF(Tabela1[[#This Row],[promien]]&lt;40000,1,0)</f>
        <v>1</v>
      </c>
      <c r="E5968" s="1">
        <f>IF(Tabela1[[#This Row],[promien]]=40000,1,0)</f>
        <v>0</v>
      </c>
      <c r="F5968" s="1">
        <v>3.1615281501340484</v>
      </c>
      <c r="G5968" s="1">
        <v>1.9935496544255304E-2</v>
      </c>
    </row>
    <row r="5969" spans="1:7">
      <c r="A5969">
        <v>233</v>
      </c>
      <c r="B5969">
        <v>307</v>
      </c>
      <c r="C5969" s="1">
        <f>(Tabela1[[#This Row],[x]]-H$3)*(Tabela1[[#This Row],[x]]-H$3) +(Tabela1[[#This Row],[y]]-H$4)*(Tabela1[[#This Row],[y]]-H$4)</f>
        <v>12538</v>
      </c>
      <c r="D5969" s="1">
        <f>IF(Tabela1[[#This Row],[promien]]&lt;40000,1,0)</f>
        <v>1</v>
      </c>
      <c r="E5969" s="1">
        <f>IF(Tabela1[[#This Row],[promien]]=40000,1,0)</f>
        <v>0</v>
      </c>
      <c r="F5969" s="1">
        <v>3.161668621209583</v>
      </c>
      <c r="G5969" s="1">
        <v>2.0075967619789914E-2</v>
      </c>
    </row>
    <row r="5970" spans="1:7">
      <c r="A5970">
        <v>243</v>
      </c>
      <c r="B5970">
        <v>378</v>
      </c>
      <c r="C5970" s="1">
        <f>(Tabela1[[#This Row],[x]]-H$3)*(Tabela1[[#This Row],[x]]-H$3) +(Tabela1[[#This Row],[y]]-H$4)*(Tabela1[[#This Row],[y]]-H$4)</f>
        <v>33533</v>
      </c>
      <c r="D5970" s="1">
        <f>IF(Tabela1[[#This Row],[promien]]&lt;40000,1,0)</f>
        <v>1</v>
      </c>
      <c r="E5970" s="1">
        <f>IF(Tabela1[[#This Row],[promien]]=40000,1,0)</f>
        <v>0</v>
      </c>
      <c r="F5970" s="1">
        <v>3.1618090452261307</v>
      </c>
      <c r="G5970" s="1">
        <v>2.0216391636337594E-2</v>
      </c>
    </row>
    <row r="5971" spans="1:7">
      <c r="A5971">
        <v>223</v>
      </c>
      <c r="B5971">
        <v>100</v>
      </c>
      <c r="C5971" s="1">
        <f>(Tabela1[[#This Row],[x]]-H$3)*(Tabela1[[#This Row],[x]]-H$3) +(Tabela1[[#This Row],[y]]-H$4)*(Tabela1[[#This Row],[y]]-H$4)</f>
        <v>10529</v>
      </c>
      <c r="D5971" s="1">
        <f>IF(Tabela1[[#This Row],[promien]]&lt;40000,1,0)</f>
        <v>1</v>
      </c>
      <c r="E5971" s="1">
        <f>IF(Tabela1[[#This Row],[promien]]=40000,1,0)</f>
        <v>0</v>
      </c>
      <c r="F5971" s="1">
        <v>3.1619494222073357</v>
      </c>
      <c r="G5971" s="1">
        <v>2.0356768617542542E-2</v>
      </c>
    </row>
    <row r="5972" spans="1:7">
      <c r="A5972">
        <v>275</v>
      </c>
      <c r="B5972">
        <v>230</v>
      </c>
      <c r="C5972" s="1">
        <f>(Tabela1[[#This Row],[x]]-H$3)*(Tabela1[[#This Row],[x]]-H$3) +(Tabela1[[#This Row],[y]]-H$4)*(Tabela1[[#This Row],[y]]-H$4)</f>
        <v>6525</v>
      </c>
      <c r="D5972" s="1">
        <f>IF(Tabela1[[#This Row],[promien]]&lt;40000,1,0)</f>
        <v>1</v>
      </c>
      <c r="E5972" s="1">
        <f>IF(Tabela1[[#This Row],[promien]]=40000,1,0)</f>
        <v>0</v>
      </c>
      <c r="F5972" s="1">
        <v>3.1620897521768252</v>
      </c>
      <c r="G5972" s="1">
        <v>2.0497098587032081E-2</v>
      </c>
    </row>
    <row r="5973" spans="1:7">
      <c r="A5973">
        <v>121</v>
      </c>
      <c r="B5973">
        <v>138</v>
      </c>
      <c r="C5973" s="1">
        <f>(Tabela1[[#This Row],[x]]-H$3)*(Tabela1[[#This Row],[x]]-H$3) +(Tabela1[[#This Row],[y]]-H$4)*(Tabela1[[#This Row],[y]]-H$4)</f>
        <v>10085</v>
      </c>
      <c r="D5973" s="1">
        <f>IF(Tabela1[[#This Row],[promien]]&lt;40000,1,0)</f>
        <v>1</v>
      </c>
      <c r="E5973" s="1">
        <f>IF(Tabela1[[#This Row],[promien]]=40000,1,0)</f>
        <v>0</v>
      </c>
      <c r="F5973" s="1">
        <v>3.162230035158212</v>
      </c>
      <c r="G5973" s="1">
        <v>2.0637381568418878E-2</v>
      </c>
    </row>
    <row r="5974" spans="1:7">
      <c r="A5974">
        <v>229</v>
      </c>
      <c r="B5974">
        <v>297</v>
      </c>
      <c r="C5974" s="1">
        <f>(Tabela1[[#This Row],[x]]-H$3)*(Tabela1[[#This Row],[x]]-H$3) +(Tabela1[[#This Row],[y]]-H$4)*(Tabela1[[#This Row],[y]]-H$4)</f>
        <v>10250</v>
      </c>
      <c r="D5974" s="1">
        <f>IF(Tabela1[[#This Row],[promien]]&lt;40000,1,0)</f>
        <v>1</v>
      </c>
      <c r="E5974" s="1">
        <f>IF(Tabela1[[#This Row],[promien]]=40000,1,0)</f>
        <v>0</v>
      </c>
      <c r="F5974" s="1">
        <v>3.1623702711750923</v>
      </c>
      <c r="G5974" s="1">
        <v>2.0777617585299168E-2</v>
      </c>
    </row>
    <row r="5975" spans="1:7">
      <c r="A5975">
        <v>309</v>
      </c>
      <c r="B5975">
        <v>127</v>
      </c>
      <c r="C5975" s="1">
        <f>(Tabela1[[#This Row],[x]]-H$3)*(Tabela1[[#This Row],[x]]-H$3) +(Tabela1[[#This Row],[y]]-H$4)*(Tabela1[[#This Row],[y]]-H$4)</f>
        <v>17210</v>
      </c>
      <c r="D5975" s="1">
        <f>IF(Tabela1[[#This Row],[promien]]&lt;40000,1,0)</f>
        <v>1</v>
      </c>
      <c r="E5975" s="1">
        <f>IF(Tabela1[[#This Row],[promien]]=40000,1,0)</f>
        <v>0</v>
      </c>
      <c r="F5975" s="1">
        <v>3.1625104602510459</v>
      </c>
      <c r="G5975" s="1">
        <v>2.0917806661252758E-2</v>
      </c>
    </row>
    <row r="5976" spans="1:7">
      <c r="A5976">
        <v>75</v>
      </c>
      <c r="B5976">
        <v>232</v>
      </c>
      <c r="C5976" s="1">
        <f>(Tabela1[[#This Row],[x]]-H$3)*(Tabela1[[#This Row],[x]]-H$3) +(Tabela1[[#This Row],[y]]-H$4)*(Tabela1[[#This Row],[y]]-H$4)</f>
        <v>16649</v>
      </c>
      <c r="D5976" s="1">
        <f>IF(Tabela1[[#This Row],[promien]]&lt;40000,1,0)</f>
        <v>1</v>
      </c>
      <c r="E5976" s="1">
        <f>IF(Tabela1[[#This Row],[promien]]=40000,1,0)</f>
        <v>0</v>
      </c>
      <c r="F5976" s="1">
        <v>3.1626506024096384</v>
      </c>
      <c r="G5976" s="1">
        <v>2.105794881984524E-2</v>
      </c>
    </row>
    <row r="5977" spans="1:7">
      <c r="A5977">
        <v>39</v>
      </c>
      <c r="B5977">
        <v>283</v>
      </c>
      <c r="C5977" s="1">
        <f>(Tabela1[[#This Row],[x]]-H$3)*(Tabela1[[#This Row],[x]]-H$3) +(Tabela1[[#This Row],[y]]-H$4)*(Tabela1[[#This Row],[y]]-H$4)</f>
        <v>32810</v>
      </c>
      <c r="D5977" s="1">
        <f>IF(Tabela1[[#This Row],[promien]]&lt;40000,1,0)</f>
        <v>1</v>
      </c>
      <c r="E5977" s="1">
        <f>IF(Tabela1[[#This Row],[promien]]=40000,1,0)</f>
        <v>0</v>
      </c>
      <c r="F5977" s="1">
        <v>3.1627906976744184</v>
      </c>
      <c r="G5977" s="1">
        <v>2.1198044084625334E-2</v>
      </c>
    </row>
    <row r="5978" spans="1:7">
      <c r="A5978">
        <v>305</v>
      </c>
      <c r="B5978">
        <v>40</v>
      </c>
      <c r="C5978" s="1">
        <f>(Tabela1[[#This Row],[x]]-H$3)*(Tabela1[[#This Row],[x]]-H$3) +(Tabela1[[#This Row],[y]]-H$4)*(Tabela1[[#This Row],[y]]-H$4)</f>
        <v>36625</v>
      </c>
      <c r="D5978" s="1">
        <f>IF(Tabela1[[#This Row],[promien]]&lt;40000,1,0)</f>
        <v>1</v>
      </c>
      <c r="E5978" s="1">
        <f>IF(Tabela1[[#This Row],[promien]]=40000,1,0)</f>
        <v>0</v>
      </c>
      <c r="F5978" s="1">
        <v>3.1629307460689193</v>
      </c>
      <c r="G5978" s="1">
        <v>2.1338092479126214E-2</v>
      </c>
    </row>
    <row r="5979" spans="1:7">
      <c r="A5979">
        <v>20</v>
      </c>
      <c r="B5979">
        <v>311</v>
      </c>
      <c r="C5979" s="1">
        <f>(Tabela1[[#This Row],[x]]-H$3)*(Tabela1[[#This Row],[x]]-H$3) +(Tabela1[[#This Row],[y]]-H$4)*(Tabela1[[#This Row],[y]]-H$4)</f>
        <v>44721</v>
      </c>
      <c r="D5979" s="1">
        <f>IF(Tabela1[[#This Row],[promien]]&lt;40000,1,0)</f>
        <v>0</v>
      </c>
      <c r="E5979" s="1">
        <f>IF(Tabela1[[#This Row],[promien]]=40000,1,0)</f>
        <v>0</v>
      </c>
      <c r="F5979" s="1">
        <v>3.1624017394213078</v>
      </c>
      <c r="G5979" s="1">
        <v>2.080908583151464E-2</v>
      </c>
    </row>
    <row r="5980" spans="1:7">
      <c r="A5980">
        <v>1</v>
      </c>
      <c r="B5980">
        <v>194</v>
      </c>
      <c r="C5980" s="1">
        <f>(Tabela1[[#This Row],[x]]-H$3)*(Tabela1[[#This Row],[x]]-H$3) +(Tabela1[[#This Row],[y]]-H$4)*(Tabela1[[#This Row],[y]]-H$4)</f>
        <v>39637</v>
      </c>
      <c r="D5980" s="1">
        <f>IF(Tabela1[[#This Row],[promien]]&lt;40000,1,0)</f>
        <v>1</v>
      </c>
      <c r="E5980" s="1">
        <f>IF(Tabela1[[#This Row],[promien]]=40000,1,0)</f>
        <v>0</v>
      </c>
      <c r="F5980" s="1">
        <v>3.1625418060200667</v>
      </c>
      <c r="G5980" s="1">
        <v>2.0949152430273621E-2</v>
      </c>
    </row>
    <row r="5981" spans="1:7">
      <c r="A5981">
        <v>353</v>
      </c>
      <c r="B5981">
        <v>111</v>
      </c>
      <c r="C5981" s="1">
        <f>(Tabela1[[#This Row],[x]]-H$3)*(Tabela1[[#This Row],[x]]-H$3) +(Tabela1[[#This Row],[y]]-H$4)*(Tabela1[[#This Row],[y]]-H$4)</f>
        <v>31330</v>
      </c>
      <c r="D5981" s="1">
        <f>IF(Tabela1[[#This Row],[promien]]&lt;40000,1,0)</f>
        <v>1</v>
      </c>
      <c r="E5981" s="1">
        <f>IF(Tabela1[[#This Row],[promien]]=40000,1,0)</f>
        <v>0</v>
      </c>
      <c r="F5981" s="1">
        <v>3.1626818257816418</v>
      </c>
      <c r="G5981" s="1">
        <v>2.1089172191848693E-2</v>
      </c>
    </row>
    <row r="5982" spans="1:7">
      <c r="A5982">
        <v>317</v>
      </c>
      <c r="B5982">
        <v>390</v>
      </c>
      <c r="C5982" s="1">
        <f>(Tabela1[[#This Row],[x]]-H$3)*(Tabela1[[#This Row],[x]]-H$3) +(Tabela1[[#This Row],[y]]-H$4)*(Tabela1[[#This Row],[y]]-H$4)</f>
        <v>49789</v>
      </c>
      <c r="D5982" s="1">
        <f>IF(Tabela1[[#This Row],[promien]]&lt;40000,1,0)</f>
        <v>0</v>
      </c>
      <c r="E5982" s="1">
        <f>IF(Tabela1[[#This Row],[promien]]=40000,1,0)</f>
        <v>0</v>
      </c>
      <c r="F5982" s="1">
        <v>3.1621531260448013</v>
      </c>
      <c r="G5982" s="1">
        <v>2.0560472455008139E-2</v>
      </c>
    </row>
    <row r="5983" spans="1:7">
      <c r="A5983">
        <v>276</v>
      </c>
      <c r="B5983">
        <v>142</v>
      </c>
      <c r="C5983" s="1">
        <f>(Tabela1[[#This Row],[x]]-H$3)*(Tabela1[[#This Row],[x]]-H$3) +(Tabela1[[#This Row],[y]]-H$4)*(Tabela1[[#This Row],[y]]-H$4)</f>
        <v>9140</v>
      </c>
      <c r="D5983" s="1">
        <f>IF(Tabela1[[#This Row],[promien]]&lt;40000,1,0)</f>
        <v>1</v>
      </c>
      <c r="E5983" s="1">
        <f>IF(Tabela1[[#This Row],[promien]]=40000,1,0)</f>
        <v>0</v>
      </c>
      <c r="F5983" s="1">
        <v>3.1622931639645664</v>
      </c>
      <c r="G5983" s="1">
        <v>2.0700510374773273E-2</v>
      </c>
    </row>
    <row r="5984" spans="1:7">
      <c r="A5984">
        <v>104</v>
      </c>
      <c r="B5984">
        <v>243</v>
      </c>
      <c r="C5984" s="1">
        <f>(Tabela1[[#This Row],[x]]-H$3)*(Tabela1[[#This Row],[x]]-H$3) +(Tabela1[[#This Row],[y]]-H$4)*(Tabela1[[#This Row],[y]]-H$4)</f>
        <v>11065</v>
      </c>
      <c r="D5984" s="1">
        <f>IF(Tabela1[[#This Row],[promien]]&lt;40000,1,0)</f>
        <v>1</v>
      </c>
      <c r="E5984" s="1">
        <f>IF(Tabela1[[#This Row],[promien]]=40000,1,0)</f>
        <v>0</v>
      </c>
      <c r="F5984" s="1">
        <v>3.1624331550802141</v>
      </c>
      <c r="G5984" s="1">
        <v>2.0840501490420937E-2</v>
      </c>
    </row>
    <row r="5985" spans="1:7">
      <c r="A5985">
        <v>268</v>
      </c>
      <c r="B5985">
        <v>80</v>
      </c>
      <c r="C5985" s="1">
        <f>(Tabela1[[#This Row],[x]]-H$3)*(Tabela1[[#This Row],[x]]-H$3) +(Tabela1[[#This Row],[y]]-H$4)*(Tabela1[[#This Row],[y]]-H$4)</f>
        <v>19024</v>
      </c>
      <c r="D5985" s="1">
        <f>IF(Tabela1[[#This Row],[promien]]&lt;40000,1,0)</f>
        <v>1</v>
      </c>
      <c r="E5985" s="1">
        <f>IF(Tabela1[[#This Row],[promien]]=40000,1,0)</f>
        <v>0</v>
      </c>
      <c r="F5985" s="1">
        <v>3.1625730994152046</v>
      </c>
      <c r="G5985" s="1">
        <v>2.0980445825411476E-2</v>
      </c>
    </row>
    <row r="5986" spans="1:7">
      <c r="A5986">
        <v>299</v>
      </c>
      <c r="B5986">
        <v>82</v>
      </c>
      <c r="C5986" s="1">
        <f>(Tabela1[[#This Row],[x]]-H$3)*(Tabela1[[#This Row],[x]]-H$3) +(Tabela1[[#This Row],[y]]-H$4)*(Tabela1[[#This Row],[y]]-H$4)</f>
        <v>23725</v>
      </c>
      <c r="D5986" s="1">
        <f>IF(Tabela1[[#This Row],[promien]]&lt;40000,1,0)</f>
        <v>1</v>
      </c>
      <c r="E5986" s="1">
        <f>IF(Tabela1[[#This Row],[promien]]=40000,1,0)</f>
        <v>0</v>
      </c>
      <c r="F5986" s="1">
        <v>3.1627129969929837</v>
      </c>
      <c r="G5986" s="1">
        <v>2.1120343403190578E-2</v>
      </c>
    </row>
    <row r="5987" spans="1:7">
      <c r="A5987">
        <v>244</v>
      </c>
      <c r="B5987">
        <v>128</v>
      </c>
      <c r="C5987" s="1">
        <f>(Tabela1[[#This Row],[x]]-H$3)*(Tabela1[[#This Row],[x]]-H$3) +(Tabela1[[#This Row],[y]]-H$4)*(Tabela1[[#This Row],[y]]-H$4)</f>
        <v>7120</v>
      </c>
      <c r="D5987" s="1">
        <f>IF(Tabela1[[#This Row],[promien]]&lt;40000,1,0)</f>
        <v>1</v>
      </c>
      <c r="E5987" s="1">
        <f>IF(Tabela1[[#This Row],[promien]]=40000,1,0)</f>
        <v>0</v>
      </c>
      <c r="F5987" s="1">
        <v>3.1628528478369802</v>
      </c>
      <c r="G5987" s="1">
        <v>2.1260194247187059E-2</v>
      </c>
    </row>
    <row r="5988" spans="1:7">
      <c r="A5988">
        <v>139</v>
      </c>
      <c r="B5988">
        <v>204</v>
      </c>
      <c r="C5988" s="1">
        <f>(Tabela1[[#This Row],[x]]-H$3)*(Tabela1[[#This Row],[x]]-H$3) +(Tabela1[[#This Row],[y]]-H$4)*(Tabela1[[#This Row],[y]]-H$4)</f>
        <v>3737</v>
      </c>
      <c r="D5988" s="1">
        <f>IF(Tabela1[[#This Row],[promien]]&lt;40000,1,0)</f>
        <v>1</v>
      </c>
      <c r="E5988" s="1">
        <f>IF(Tabela1[[#This Row],[promien]]=40000,1,0)</f>
        <v>0</v>
      </c>
      <c r="F5988" s="1">
        <v>3.1629926519706077</v>
      </c>
      <c r="G5988" s="1">
        <v>2.1399998380814633E-2</v>
      </c>
    </row>
    <row r="5989" spans="1:7">
      <c r="A5989">
        <v>218</v>
      </c>
      <c r="B5989">
        <v>260</v>
      </c>
      <c r="C5989" s="1">
        <f>(Tabela1[[#This Row],[x]]-H$3)*(Tabela1[[#This Row],[x]]-H$3) +(Tabela1[[#This Row],[y]]-H$4)*(Tabela1[[#This Row],[y]]-H$4)</f>
        <v>3924</v>
      </c>
      <c r="D5989" s="1">
        <f>IF(Tabela1[[#This Row],[promien]]&lt;40000,1,0)</f>
        <v>1</v>
      </c>
      <c r="E5989" s="1">
        <f>IF(Tabela1[[#This Row],[promien]]=40000,1,0)</f>
        <v>0</v>
      </c>
      <c r="F5989" s="1">
        <v>3.163132409417265</v>
      </c>
      <c r="G5989" s="1">
        <v>2.1539755827471918E-2</v>
      </c>
    </row>
    <row r="5990" spans="1:7">
      <c r="A5990">
        <v>87</v>
      </c>
      <c r="B5990">
        <v>285</v>
      </c>
      <c r="C5990" s="1">
        <f>(Tabela1[[#This Row],[x]]-H$3)*(Tabela1[[#This Row],[x]]-H$3) +(Tabela1[[#This Row],[y]]-H$4)*(Tabela1[[#This Row],[y]]-H$4)</f>
        <v>19994</v>
      </c>
      <c r="D5990" s="1">
        <f>IF(Tabela1[[#This Row],[promien]]&lt;40000,1,0)</f>
        <v>1</v>
      </c>
      <c r="E5990" s="1">
        <f>IF(Tabela1[[#This Row],[promien]]=40000,1,0)</f>
        <v>0</v>
      </c>
      <c r="F5990" s="1">
        <v>3.1632721202003338</v>
      </c>
      <c r="G5990" s="1">
        <v>2.1679466610540654E-2</v>
      </c>
    </row>
    <row r="5991" spans="1:7">
      <c r="A5991">
        <v>171</v>
      </c>
      <c r="B5991">
        <v>369</v>
      </c>
      <c r="C5991" s="1">
        <f>(Tabela1[[#This Row],[x]]-H$3)*(Tabela1[[#This Row],[x]]-H$3) +(Tabela1[[#This Row],[y]]-H$4)*(Tabela1[[#This Row],[y]]-H$4)</f>
        <v>29402</v>
      </c>
      <c r="D5991" s="1">
        <f>IF(Tabela1[[#This Row],[promien]]&lt;40000,1,0)</f>
        <v>1</v>
      </c>
      <c r="E5991" s="1">
        <f>IF(Tabela1[[#This Row],[promien]]=40000,1,0)</f>
        <v>0</v>
      </c>
      <c r="F5991" s="1">
        <v>3.1634117843431815</v>
      </c>
      <c r="G5991" s="1">
        <v>2.1819130753388372E-2</v>
      </c>
    </row>
    <row r="5992" spans="1:7">
      <c r="A5992">
        <v>309</v>
      </c>
      <c r="B5992">
        <v>98</v>
      </c>
      <c r="C5992" s="1">
        <f>(Tabela1[[#This Row],[x]]-H$3)*(Tabela1[[#This Row],[x]]-H$3) +(Tabela1[[#This Row],[y]]-H$4)*(Tabela1[[#This Row],[y]]-H$4)</f>
        <v>22285</v>
      </c>
      <c r="D5992" s="1">
        <f>IF(Tabela1[[#This Row],[promien]]&lt;40000,1,0)</f>
        <v>1</v>
      </c>
      <c r="E5992" s="1">
        <f>IF(Tabela1[[#This Row],[promien]]=40000,1,0)</f>
        <v>0</v>
      </c>
      <c r="F5992" s="1">
        <v>3.1635514018691588</v>
      </c>
      <c r="G5992" s="1">
        <v>2.1958748279365725E-2</v>
      </c>
    </row>
    <row r="5993" spans="1:7">
      <c r="A5993">
        <v>248</v>
      </c>
      <c r="B5993">
        <v>328</v>
      </c>
      <c r="C5993" s="1">
        <f>(Tabela1[[#This Row],[x]]-H$3)*(Tabela1[[#This Row],[x]]-H$3) +(Tabela1[[#This Row],[y]]-H$4)*(Tabela1[[#This Row],[y]]-H$4)</f>
        <v>18688</v>
      </c>
      <c r="D5993" s="1">
        <f>IF(Tabela1[[#This Row],[promien]]&lt;40000,1,0)</f>
        <v>1</v>
      </c>
      <c r="E5993" s="1">
        <f>IF(Tabela1[[#This Row],[promien]]=40000,1,0)</f>
        <v>0</v>
      </c>
      <c r="F5993" s="1">
        <v>3.1636909728016018</v>
      </c>
      <c r="G5993" s="1">
        <v>2.2098319211808715E-2</v>
      </c>
    </row>
    <row r="5994" spans="1:7">
      <c r="A5994">
        <v>19</v>
      </c>
      <c r="B5994">
        <v>153</v>
      </c>
      <c r="C5994" s="1">
        <f>(Tabela1[[#This Row],[x]]-H$3)*(Tabela1[[#This Row],[x]]-H$3) +(Tabela1[[#This Row],[y]]-H$4)*(Tabela1[[#This Row],[y]]-H$4)</f>
        <v>34970</v>
      </c>
      <c r="D5994" s="1">
        <f>IF(Tabela1[[#This Row],[promien]]&lt;40000,1,0)</f>
        <v>1</v>
      </c>
      <c r="E5994" s="1">
        <f>IF(Tabela1[[#This Row],[promien]]=40000,1,0)</f>
        <v>0</v>
      </c>
      <c r="F5994" s="1">
        <v>3.1638304971638305</v>
      </c>
      <c r="G5994" s="1">
        <v>2.2237843574037353E-2</v>
      </c>
    </row>
    <row r="5995" spans="1:7">
      <c r="A5995">
        <v>159</v>
      </c>
      <c r="B5995">
        <v>153</v>
      </c>
      <c r="C5995" s="1">
        <f>(Tabela1[[#This Row],[x]]-H$3)*(Tabela1[[#This Row],[x]]-H$3) +(Tabela1[[#This Row],[y]]-H$4)*(Tabela1[[#This Row],[y]]-H$4)</f>
        <v>3890</v>
      </c>
      <c r="D5995" s="1">
        <f>IF(Tabela1[[#This Row],[promien]]&lt;40000,1,0)</f>
        <v>1</v>
      </c>
      <c r="E5995" s="1">
        <f>IF(Tabela1[[#This Row],[promien]]=40000,1,0)</f>
        <v>0</v>
      </c>
      <c r="F5995" s="1">
        <v>3.1639699749791492</v>
      </c>
      <c r="G5995" s="1">
        <v>2.2377321389356108E-2</v>
      </c>
    </row>
    <row r="5996" spans="1:7">
      <c r="A5996">
        <v>165</v>
      </c>
      <c r="B5996">
        <v>9</v>
      </c>
      <c r="C5996" s="1">
        <f>(Tabela1[[#This Row],[x]]-H$3)*(Tabela1[[#This Row],[x]]-H$3) +(Tabela1[[#This Row],[y]]-H$4)*(Tabela1[[#This Row],[y]]-H$4)</f>
        <v>37706</v>
      </c>
      <c r="D5996" s="1">
        <f>IF(Tabela1[[#This Row],[promien]]&lt;40000,1,0)</f>
        <v>1</v>
      </c>
      <c r="E5996" s="1">
        <f>IF(Tabela1[[#This Row],[promien]]=40000,1,0)</f>
        <v>0</v>
      </c>
      <c r="F5996" s="1">
        <v>3.164109406270847</v>
      </c>
      <c r="G5996" s="1">
        <v>2.2516752681053909E-2</v>
      </c>
    </row>
    <row r="5997" spans="1:7">
      <c r="A5997">
        <v>191</v>
      </c>
      <c r="B5997">
        <v>90</v>
      </c>
      <c r="C5997" s="1">
        <f>(Tabela1[[#This Row],[x]]-H$3)*(Tabela1[[#This Row],[x]]-H$3) +(Tabela1[[#This Row],[y]]-H$4)*(Tabela1[[#This Row],[y]]-H$4)</f>
        <v>12181</v>
      </c>
      <c r="D5997" s="1">
        <f>IF(Tabela1[[#This Row],[promien]]&lt;40000,1,0)</f>
        <v>1</v>
      </c>
      <c r="E5997" s="1">
        <f>IF(Tabela1[[#This Row],[promien]]=40000,1,0)</f>
        <v>0</v>
      </c>
      <c r="F5997" s="1">
        <v>3.1642487910621977</v>
      </c>
      <c r="G5997" s="1">
        <v>2.2656137472404581E-2</v>
      </c>
    </row>
    <row r="5998" spans="1:7">
      <c r="A5998">
        <v>74</v>
      </c>
      <c r="B5998">
        <v>208</v>
      </c>
      <c r="C5998" s="1">
        <f>(Tabela1[[#This Row],[x]]-H$3)*(Tabela1[[#This Row],[x]]-H$3) +(Tabela1[[#This Row],[y]]-H$4)*(Tabela1[[#This Row],[y]]-H$4)</f>
        <v>15940</v>
      </c>
      <c r="D5998" s="1">
        <f>IF(Tabela1[[#This Row],[promien]]&lt;40000,1,0)</f>
        <v>1</v>
      </c>
      <c r="E5998" s="1">
        <f>IF(Tabela1[[#This Row],[promien]]=40000,1,0)</f>
        <v>0</v>
      </c>
      <c r="F5998" s="1">
        <v>3.1643881293764586</v>
      </c>
      <c r="G5998" s="1">
        <v>2.279547578666552E-2</v>
      </c>
    </row>
    <row r="5999" spans="1:7">
      <c r="A5999">
        <v>19</v>
      </c>
      <c r="B5999">
        <v>178</v>
      </c>
      <c r="C5999" s="1">
        <f>(Tabela1[[#This Row],[x]]-H$3)*(Tabela1[[#This Row],[x]]-H$3) +(Tabela1[[#This Row],[y]]-H$4)*(Tabela1[[#This Row],[y]]-H$4)</f>
        <v>33245</v>
      </c>
      <c r="D5999" s="1">
        <f>IF(Tabela1[[#This Row],[promien]]&lt;40000,1,0)</f>
        <v>1</v>
      </c>
      <c r="E5999" s="1">
        <f>IF(Tabela1[[#This Row],[promien]]=40000,1,0)</f>
        <v>0</v>
      </c>
      <c r="F5999" s="1">
        <v>3.164527421236873</v>
      </c>
      <c r="G5999" s="1">
        <v>2.2934767647079912E-2</v>
      </c>
    </row>
    <row r="6000" spans="1:7">
      <c r="A6000">
        <v>144</v>
      </c>
      <c r="B6000">
        <v>126</v>
      </c>
      <c r="C6000" s="1">
        <f>(Tabela1[[#This Row],[x]]-H$3)*(Tabela1[[#This Row],[x]]-H$3) +(Tabela1[[#This Row],[y]]-H$4)*(Tabela1[[#This Row],[y]]-H$4)</f>
        <v>8612</v>
      </c>
      <c r="D6000" s="1">
        <f>IF(Tabela1[[#This Row],[promien]]&lt;40000,1,0)</f>
        <v>1</v>
      </c>
      <c r="E6000" s="1">
        <f>IF(Tabela1[[#This Row],[promien]]=40000,1,0)</f>
        <v>0</v>
      </c>
      <c r="F6000" s="1">
        <v>3.1646666666666667</v>
      </c>
      <c r="G6000" s="1">
        <v>2.3074013076873623E-2</v>
      </c>
    </row>
    <row r="6001" spans="1:7">
      <c r="A6001">
        <v>189</v>
      </c>
      <c r="B6001">
        <v>40</v>
      </c>
      <c r="C6001" s="1">
        <f>(Tabela1[[#This Row],[x]]-H$3)*(Tabela1[[#This Row],[x]]-H$3) +(Tabela1[[#This Row],[y]]-H$4)*(Tabela1[[#This Row],[y]]-H$4)</f>
        <v>25721</v>
      </c>
      <c r="D6001" s="1">
        <f>IF(Tabela1[[#This Row],[promien]]&lt;40000,1,0)</f>
        <v>1</v>
      </c>
      <c r="E6001" s="1">
        <f>IF(Tabela1[[#This Row],[promien]]=40000,1,0)</f>
        <v>0</v>
      </c>
      <c r="F6001" s="1">
        <v>3.1648058656890519</v>
      </c>
      <c r="G6001" s="1">
        <v>2.3213212099258751E-2</v>
      </c>
    </row>
    <row r="6002" spans="1:7">
      <c r="A6002">
        <v>54</v>
      </c>
      <c r="B6002">
        <v>299</v>
      </c>
      <c r="C6002" s="1">
        <f>(Tabela1[[#This Row],[x]]-H$3)*(Tabela1[[#This Row],[x]]-H$3) +(Tabela1[[#This Row],[y]]-H$4)*(Tabela1[[#This Row],[y]]-H$4)</f>
        <v>31117</v>
      </c>
      <c r="D6002" s="1">
        <f>IF(Tabela1[[#This Row],[promien]]&lt;40000,1,0)</f>
        <v>1</v>
      </c>
      <c r="E6002" s="1">
        <f>IF(Tabela1[[#This Row],[promien]]=40000,1,0)</f>
        <v>0</v>
      </c>
      <c r="F6002" s="1">
        <v>3.1649450183272241</v>
      </c>
      <c r="G6002" s="1">
        <v>2.3352364737430964E-2</v>
      </c>
    </row>
    <row r="6003" spans="1:7">
      <c r="A6003">
        <v>287</v>
      </c>
      <c r="B6003">
        <v>87</v>
      </c>
      <c r="C6003" s="1">
        <f>(Tabela1[[#This Row],[x]]-H$3)*(Tabela1[[#This Row],[x]]-H$3) +(Tabela1[[#This Row],[y]]-H$4)*(Tabela1[[#This Row],[y]]-H$4)</f>
        <v>20338</v>
      </c>
      <c r="D6003" s="1">
        <f>IF(Tabela1[[#This Row],[promien]]&lt;40000,1,0)</f>
        <v>1</v>
      </c>
      <c r="E6003" s="1">
        <f>IF(Tabela1[[#This Row],[promien]]=40000,1,0)</f>
        <v>0</v>
      </c>
      <c r="F6003" s="1">
        <v>3.1650841246043644</v>
      </c>
      <c r="G6003" s="1">
        <v>2.3491471014571275E-2</v>
      </c>
    </row>
    <row r="6004" spans="1:7">
      <c r="A6004">
        <v>149</v>
      </c>
      <c r="B6004">
        <v>212</v>
      </c>
      <c r="C6004" s="1">
        <f>(Tabela1[[#This Row],[x]]-H$3)*(Tabela1[[#This Row],[x]]-H$3) +(Tabela1[[#This Row],[y]]-H$4)*(Tabela1[[#This Row],[y]]-H$4)</f>
        <v>2745</v>
      </c>
      <c r="D6004" s="1">
        <f>IF(Tabela1[[#This Row],[promien]]&lt;40000,1,0)</f>
        <v>1</v>
      </c>
      <c r="E6004" s="1">
        <f>IF(Tabela1[[#This Row],[promien]]=40000,1,0)</f>
        <v>0</v>
      </c>
      <c r="F6004" s="1">
        <v>3.1652231845436374</v>
      </c>
      <c r="G6004" s="1">
        <v>2.3630530953844264E-2</v>
      </c>
    </row>
    <row r="6005" spans="1:7">
      <c r="A6005">
        <v>77</v>
      </c>
      <c r="B6005">
        <v>238</v>
      </c>
      <c r="C6005" s="1">
        <f>(Tabela1[[#This Row],[x]]-H$3)*(Tabela1[[#This Row],[x]]-H$3) +(Tabela1[[#This Row],[y]]-H$4)*(Tabela1[[#This Row],[y]]-H$4)</f>
        <v>16573</v>
      </c>
      <c r="D6005" s="1">
        <f>IF(Tabela1[[#This Row],[promien]]&lt;40000,1,0)</f>
        <v>1</v>
      </c>
      <c r="E6005" s="1">
        <f>IF(Tabela1[[#This Row],[promien]]=40000,1,0)</f>
        <v>0</v>
      </c>
      <c r="F6005" s="1">
        <v>3.165362198168193</v>
      </c>
      <c r="G6005" s="1">
        <v>2.3769544578399859E-2</v>
      </c>
    </row>
    <row r="6006" spans="1:7">
      <c r="A6006">
        <v>42</v>
      </c>
      <c r="B6006">
        <v>219</v>
      </c>
      <c r="C6006" s="1">
        <f>(Tabela1[[#This Row],[x]]-H$3)*(Tabela1[[#This Row],[x]]-H$3) +(Tabela1[[#This Row],[y]]-H$4)*(Tabela1[[#This Row],[y]]-H$4)</f>
        <v>25325</v>
      </c>
      <c r="D6006" s="1">
        <f>IF(Tabela1[[#This Row],[promien]]&lt;40000,1,0)</f>
        <v>1</v>
      </c>
      <c r="E6006" s="1">
        <f>IF(Tabela1[[#This Row],[promien]]=40000,1,0)</f>
        <v>0</v>
      </c>
      <c r="F6006" s="1">
        <v>3.1655011655011656</v>
      </c>
      <c r="G6006" s="1">
        <v>2.3908511911372443E-2</v>
      </c>
    </row>
    <row r="6007" spans="1:7">
      <c r="A6007">
        <v>72</v>
      </c>
      <c r="B6007">
        <v>35</v>
      </c>
      <c r="C6007" s="1">
        <f>(Tabela1[[#This Row],[x]]-H$3)*(Tabela1[[#This Row],[x]]-H$3) +(Tabela1[[#This Row],[y]]-H$4)*(Tabela1[[#This Row],[y]]-H$4)</f>
        <v>43609</v>
      </c>
      <c r="D6007" s="1">
        <f>IF(Tabela1[[#This Row],[promien]]&lt;40000,1,0)</f>
        <v>0</v>
      </c>
      <c r="E6007" s="1">
        <f>IF(Tabela1[[#This Row],[promien]]=40000,1,0)</f>
        <v>0</v>
      </c>
      <c r="F6007" s="1">
        <v>3.1649741967704346</v>
      </c>
      <c r="G6007" s="1">
        <v>2.3381543180641451E-2</v>
      </c>
    </row>
    <row r="6008" spans="1:7">
      <c r="A6008">
        <v>381</v>
      </c>
      <c r="B6008">
        <v>65</v>
      </c>
      <c r="C6008" s="1">
        <f>(Tabela1[[#This Row],[x]]-H$3)*(Tabela1[[#This Row],[x]]-H$3) +(Tabela1[[#This Row],[y]]-H$4)*(Tabela1[[#This Row],[y]]-H$4)</f>
        <v>50986</v>
      </c>
      <c r="D6008" s="1">
        <f>IF(Tabela1[[#This Row],[promien]]&lt;40000,1,0)</f>
        <v>0</v>
      </c>
      <c r="E6008" s="1">
        <f>IF(Tabela1[[#This Row],[promien]]=40000,1,0)</f>
        <v>0</v>
      </c>
      <c r="F6008" s="1">
        <v>3.1644474034620504</v>
      </c>
      <c r="G6008" s="1">
        <v>2.2854749872257329E-2</v>
      </c>
    </row>
    <row r="6009" spans="1:7">
      <c r="A6009">
        <v>21</v>
      </c>
      <c r="B6009">
        <v>107</v>
      </c>
      <c r="C6009" s="1">
        <f>(Tabela1[[#This Row],[x]]-H$3)*(Tabela1[[#This Row],[x]]-H$3) +(Tabela1[[#This Row],[y]]-H$4)*(Tabela1[[#This Row],[y]]-H$4)</f>
        <v>40690</v>
      </c>
      <c r="D6009" s="1">
        <f>IF(Tabela1[[#This Row],[promien]]&lt;40000,1,0)</f>
        <v>0</v>
      </c>
      <c r="E6009" s="1">
        <f>IF(Tabela1[[#This Row],[promien]]=40000,1,0)</f>
        <v>0</v>
      </c>
      <c r="F6009" s="1">
        <v>3.1639207854884339</v>
      </c>
      <c r="G6009" s="1">
        <v>2.2328131898640802E-2</v>
      </c>
    </row>
    <row r="6010" spans="1:7">
      <c r="A6010">
        <v>251</v>
      </c>
      <c r="B6010">
        <v>351</v>
      </c>
      <c r="C6010" s="1">
        <f>(Tabela1[[#This Row],[x]]-H$3)*(Tabela1[[#This Row],[x]]-H$3) +(Tabela1[[#This Row],[y]]-H$4)*(Tabela1[[#This Row],[y]]-H$4)</f>
        <v>25402</v>
      </c>
      <c r="D6010" s="1">
        <f>IF(Tabela1[[#This Row],[promien]]&lt;40000,1,0)</f>
        <v>1</v>
      </c>
      <c r="E6010" s="1">
        <f>IF(Tabela1[[#This Row],[promien]]=40000,1,0)</f>
        <v>0</v>
      </c>
      <c r="F6010" s="1">
        <v>3.1640599001663894</v>
      </c>
      <c r="G6010" s="1">
        <v>2.2467246576596267E-2</v>
      </c>
    </row>
    <row r="6011" spans="1:7">
      <c r="A6011">
        <v>294</v>
      </c>
      <c r="B6011">
        <v>373</v>
      </c>
      <c r="C6011" s="1">
        <f>(Tabela1[[#This Row],[x]]-H$3)*(Tabela1[[#This Row],[x]]-H$3) +(Tabela1[[#This Row],[y]]-H$4)*(Tabela1[[#This Row],[y]]-H$4)</f>
        <v>38765</v>
      </c>
      <c r="D6011" s="1">
        <f>IF(Tabela1[[#This Row],[promien]]&lt;40000,1,0)</f>
        <v>1</v>
      </c>
      <c r="E6011" s="1">
        <f>IF(Tabela1[[#This Row],[promien]]=40000,1,0)</f>
        <v>0</v>
      </c>
      <c r="F6011" s="1">
        <v>3.1641989685576442</v>
      </c>
      <c r="G6011" s="1">
        <v>2.2606314967851038E-2</v>
      </c>
    </row>
    <row r="6012" spans="1:7">
      <c r="A6012">
        <v>212</v>
      </c>
      <c r="B6012">
        <v>233</v>
      </c>
      <c r="C6012" s="1">
        <f>(Tabela1[[#This Row],[x]]-H$3)*(Tabela1[[#This Row],[x]]-H$3) +(Tabela1[[#This Row],[y]]-H$4)*(Tabela1[[#This Row],[y]]-H$4)</f>
        <v>1233</v>
      </c>
      <c r="D6012" s="1">
        <f>IF(Tabela1[[#This Row],[promien]]&lt;40000,1,0)</f>
        <v>1</v>
      </c>
      <c r="E6012" s="1">
        <f>IF(Tabela1[[#This Row],[promien]]=40000,1,0)</f>
        <v>0</v>
      </c>
      <c r="F6012" s="1">
        <v>3.1643379906852962</v>
      </c>
      <c r="G6012" s="1">
        <v>2.2745337095503082E-2</v>
      </c>
    </row>
    <row r="6013" spans="1:7">
      <c r="A6013">
        <v>164</v>
      </c>
      <c r="B6013">
        <v>326</v>
      </c>
      <c r="C6013" s="1">
        <f>(Tabela1[[#This Row],[x]]-H$3)*(Tabela1[[#This Row],[x]]-H$3) +(Tabela1[[#This Row],[y]]-H$4)*(Tabela1[[#This Row],[y]]-H$4)</f>
        <v>17172</v>
      </c>
      <c r="D6013" s="1">
        <f>IF(Tabela1[[#This Row],[promien]]&lt;40000,1,0)</f>
        <v>1</v>
      </c>
      <c r="E6013" s="1">
        <f>IF(Tabela1[[#This Row],[promien]]=40000,1,0)</f>
        <v>0</v>
      </c>
      <c r="F6013" s="1">
        <v>3.1644769665724266</v>
      </c>
      <c r="G6013" s="1">
        <v>2.2884312982633492E-2</v>
      </c>
    </row>
    <row r="6014" spans="1:7">
      <c r="A6014">
        <v>288</v>
      </c>
      <c r="B6014">
        <v>121</v>
      </c>
      <c r="C6014" s="1">
        <f>(Tabela1[[#This Row],[x]]-H$3)*(Tabela1[[#This Row],[x]]-H$3) +(Tabela1[[#This Row],[y]]-H$4)*(Tabela1[[#This Row],[y]]-H$4)</f>
        <v>13985</v>
      </c>
      <c r="D6014" s="1">
        <f>IF(Tabela1[[#This Row],[promien]]&lt;40000,1,0)</f>
        <v>1</v>
      </c>
      <c r="E6014" s="1">
        <f>IF(Tabela1[[#This Row],[promien]]=40000,1,0)</f>
        <v>0</v>
      </c>
      <c r="F6014" s="1">
        <v>3.1646158962421018</v>
      </c>
      <c r="G6014" s="1">
        <v>2.3023242652308706E-2</v>
      </c>
    </row>
    <row r="6015" spans="1:7">
      <c r="A6015">
        <v>127</v>
      </c>
      <c r="B6015">
        <v>168</v>
      </c>
      <c r="C6015" s="1">
        <f>(Tabela1[[#This Row],[x]]-H$3)*(Tabela1[[#This Row],[x]]-H$3) +(Tabela1[[#This Row],[y]]-H$4)*(Tabela1[[#This Row],[y]]-H$4)</f>
        <v>6353</v>
      </c>
      <c r="D6015" s="1">
        <f>IF(Tabela1[[#This Row],[promien]]&lt;40000,1,0)</f>
        <v>1</v>
      </c>
      <c r="E6015" s="1">
        <f>IF(Tabela1[[#This Row],[promien]]=40000,1,0)</f>
        <v>0</v>
      </c>
      <c r="F6015" s="1">
        <v>3.1647547797173732</v>
      </c>
      <c r="G6015" s="1">
        <v>2.3162126127580063E-2</v>
      </c>
    </row>
    <row r="6016" spans="1:7">
      <c r="A6016">
        <v>338</v>
      </c>
      <c r="B6016">
        <v>295</v>
      </c>
      <c r="C6016" s="1">
        <f>(Tabela1[[#This Row],[x]]-H$3)*(Tabela1[[#This Row],[x]]-H$3) +(Tabela1[[#This Row],[y]]-H$4)*(Tabela1[[#This Row],[y]]-H$4)</f>
        <v>28069</v>
      </c>
      <c r="D6016" s="1">
        <f>IF(Tabela1[[#This Row],[promien]]&lt;40000,1,0)</f>
        <v>1</v>
      </c>
      <c r="E6016" s="1">
        <f>IF(Tabela1[[#This Row],[promien]]=40000,1,0)</f>
        <v>0</v>
      </c>
      <c r="F6016" s="1">
        <v>3.1648936170212765</v>
      </c>
      <c r="G6016" s="1">
        <v>2.3300963431483357E-2</v>
      </c>
    </row>
    <row r="6017" spans="1:7">
      <c r="A6017">
        <v>236</v>
      </c>
      <c r="B6017">
        <v>173</v>
      </c>
      <c r="C6017" s="1">
        <f>(Tabela1[[#This Row],[x]]-H$3)*(Tabela1[[#This Row],[x]]-H$3) +(Tabela1[[#This Row],[y]]-H$4)*(Tabela1[[#This Row],[y]]-H$4)</f>
        <v>2025</v>
      </c>
      <c r="D6017" s="1">
        <f>IF(Tabela1[[#This Row],[promien]]&lt;40000,1,0)</f>
        <v>1</v>
      </c>
      <c r="E6017" s="1">
        <f>IF(Tabela1[[#This Row],[promien]]=40000,1,0)</f>
        <v>0</v>
      </c>
      <c r="F6017" s="1">
        <v>3.1650324081768324</v>
      </c>
      <c r="G6017" s="1">
        <v>2.3439754587039285E-2</v>
      </c>
    </row>
    <row r="6018" spans="1:7">
      <c r="A6018">
        <v>234</v>
      </c>
      <c r="B6018">
        <v>303</v>
      </c>
      <c r="C6018" s="1">
        <f>(Tabela1[[#This Row],[x]]-H$3)*(Tabela1[[#This Row],[x]]-H$3) +(Tabela1[[#This Row],[y]]-H$4)*(Tabela1[[#This Row],[y]]-H$4)</f>
        <v>11765</v>
      </c>
      <c r="D6018" s="1">
        <f>IF(Tabela1[[#This Row],[promien]]&lt;40000,1,0)</f>
        <v>1</v>
      </c>
      <c r="E6018" s="1">
        <f>IF(Tabela1[[#This Row],[promien]]=40000,1,0)</f>
        <v>0</v>
      </c>
      <c r="F6018" s="1">
        <v>3.1651711532070457</v>
      </c>
      <c r="G6018" s="1">
        <v>2.3578499617252557E-2</v>
      </c>
    </row>
    <row r="6019" spans="1:7">
      <c r="A6019">
        <v>218</v>
      </c>
      <c r="B6019">
        <v>97</v>
      </c>
      <c r="C6019" s="1">
        <f>(Tabela1[[#This Row],[x]]-H$3)*(Tabela1[[#This Row],[x]]-H$3) +(Tabela1[[#This Row],[y]]-H$4)*(Tabela1[[#This Row],[y]]-H$4)</f>
        <v>10933</v>
      </c>
      <c r="D6019" s="1">
        <f>IF(Tabela1[[#This Row],[promien]]&lt;40000,1,0)</f>
        <v>1</v>
      </c>
      <c r="E6019" s="1">
        <f>IF(Tabela1[[#This Row],[promien]]=40000,1,0)</f>
        <v>0</v>
      </c>
      <c r="F6019" s="1">
        <v>3.1653098521349063</v>
      </c>
      <c r="G6019" s="1">
        <v>2.3717198545113227E-2</v>
      </c>
    </row>
    <row r="6020" spans="1:7">
      <c r="A6020">
        <v>73</v>
      </c>
      <c r="B6020">
        <v>81</v>
      </c>
      <c r="C6020" s="1">
        <f>(Tabela1[[#This Row],[x]]-H$3)*(Tabela1[[#This Row],[x]]-H$3) +(Tabela1[[#This Row],[y]]-H$4)*(Tabela1[[#This Row],[y]]-H$4)</f>
        <v>30290</v>
      </c>
      <c r="D6020" s="1">
        <f>IF(Tabela1[[#This Row],[promien]]&lt;40000,1,0)</f>
        <v>1</v>
      </c>
      <c r="E6020" s="1">
        <f>IF(Tabela1[[#This Row],[promien]]=40000,1,0)</f>
        <v>0</v>
      </c>
      <c r="F6020" s="1">
        <v>3.1654485049833889</v>
      </c>
      <c r="G6020" s="1">
        <v>2.3855851393595806E-2</v>
      </c>
    </row>
    <row r="6021" spans="1:7">
      <c r="A6021">
        <v>261</v>
      </c>
      <c r="B6021">
        <v>345</v>
      </c>
      <c r="C6021" s="1">
        <f>(Tabela1[[#This Row],[x]]-H$3)*(Tabela1[[#This Row],[x]]-H$3) +(Tabela1[[#This Row],[y]]-H$4)*(Tabela1[[#This Row],[y]]-H$4)</f>
        <v>24746</v>
      </c>
      <c r="D6021" s="1">
        <f>IF(Tabela1[[#This Row],[promien]]&lt;40000,1,0)</f>
        <v>1</v>
      </c>
      <c r="E6021" s="1">
        <f>IF(Tabela1[[#This Row],[promien]]=40000,1,0)</f>
        <v>0</v>
      </c>
      <c r="F6021" s="1">
        <v>3.1655871117754524</v>
      </c>
      <c r="G6021" s="1">
        <v>2.3994458185659262E-2</v>
      </c>
    </row>
    <row r="6022" spans="1:7">
      <c r="A6022">
        <v>338</v>
      </c>
      <c r="B6022">
        <v>92</v>
      </c>
      <c r="C6022" s="1">
        <f>(Tabela1[[#This Row],[x]]-H$3)*(Tabela1[[#This Row],[x]]-H$3) +(Tabela1[[#This Row],[y]]-H$4)*(Tabela1[[#This Row],[y]]-H$4)</f>
        <v>30708</v>
      </c>
      <c r="D6022" s="1">
        <f>IF(Tabela1[[#This Row],[promien]]&lt;40000,1,0)</f>
        <v>1</v>
      </c>
      <c r="E6022" s="1">
        <f>IF(Tabela1[[#This Row],[promien]]=40000,1,0)</f>
        <v>0</v>
      </c>
      <c r="F6022" s="1">
        <v>3.1657256725340419</v>
      </c>
      <c r="G6022" s="1">
        <v>2.4133018944248796E-2</v>
      </c>
    </row>
    <row r="6023" spans="1:7">
      <c r="A6023">
        <v>100</v>
      </c>
      <c r="B6023">
        <v>313</v>
      </c>
      <c r="C6023" s="1">
        <f>(Tabela1[[#This Row],[x]]-H$3)*(Tabela1[[#This Row],[x]]-H$3) +(Tabela1[[#This Row],[y]]-H$4)*(Tabela1[[#This Row],[y]]-H$4)</f>
        <v>22769</v>
      </c>
      <c r="D6023" s="1">
        <f>IF(Tabela1[[#This Row],[promien]]&lt;40000,1,0)</f>
        <v>1</v>
      </c>
      <c r="E6023" s="1">
        <f>IF(Tabela1[[#This Row],[promien]]=40000,1,0)</f>
        <v>0</v>
      </c>
      <c r="F6023" s="1">
        <v>3.1658641872820854</v>
      </c>
      <c r="G6023" s="1">
        <v>2.4271533692292291E-2</v>
      </c>
    </row>
    <row r="6024" spans="1:7">
      <c r="A6024">
        <v>389</v>
      </c>
      <c r="B6024">
        <v>275</v>
      </c>
      <c r="C6024" s="1">
        <f>(Tabela1[[#This Row],[x]]-H$3)*(Tabela1[[#This Row],[x]]-H$3) +(Tabela1[[#This Row],[y]]-H$4)*(Tabela1[[#This Row],[y]]-H$4)</f>
        <v>41346</v>
      </c>
      <c r="D6024" s="1">
        <f>IF(Tabela1[[#This Row],[promien]]&lt;40000,1,0)</f>
        <v>0</v>
      </c>
      <c r="E6024" s="1">
        <f>IF(Tabela1[[#This Row],[promien]]=40000,1,0)</f>
        <v>0</v>
      </c>
      <c r="F6024" s="1">
        <v>3.1653386454183265</v>
      </c>
      <c r="G6024" s="1">
        <v>2.374599182853343E-2</v>
      </c>
    </row>
    <row r="6025" spans="1:7">
      <c r="A6025">
        <v>250</v>
      </c>
      <c r="B6025">
        <v>345</v>
      </c>
      <c r="C6025" s="1">
        <f>(Tabela1[[#This Row],[x]]-H$3)*(Tabela1[[#This Row],[x]]-H$3) +(Tabela1[[#This Row],[y]]-H$4)*(Tabela1[[#This Row],[y]]-H$4)</f>
        <v>23525</v>
      </c>
      <c r="D6025" s="1">
        <f>IF(Tabela1[[#This Row],[promien]]&lt;40000,1,0)</f>
        <v>1</v>
      </c>
      <c r="E6025" s="1">
        <f>IF(Tabela1[[#This Row],[promien]]=40000,1,0)</f>
        <v>0</v>
      </c>
      <c r="F6025" s="1">
        <v>3.1654771784232367</v>
      </c>
      <c r="G6025" s="1">
        <v>2.388452483344361E-2</v>
      </c>
    </row>
    <row r="6026" spans="1:7">
      <c r="A6026">
        <v>208</v>
      </c>
      <c r="B6026">
        <v>339</v>
      </c>
      <c r="C6026" s="1">
        <f>(Tabela1[[#This Row],[x]]-H$3)*(Tabela1[[#This Row],[x]]-H$3) +(Tabela1[[#This Row],[y]]-H$4)*(Tabela1[[#This Row],[y]]-H$4)</f>
        <v>19385</v>
      </c>
      <c r="D6026" s="1">
        <f>IF(Tabela1[[#This Row],[promien]]&lt;40000,1,0)</f>
        <v>1</v>
      </c>
      <c r="E6026" s="1">
        <f>IF(Tabela1[[#This Row],[promien]]=40000,1,0)</f>
        <v>0</v>
      </c>
      <c r="F6026" s="1">
        <v>3.1656156654497178</v>
      </c>
      <c r="G6026" s="1">
        <v>2.4023011859924726E-2</v>
      </c>
    </row>
    <row r="6027" spans="1:7">
      <c r="A6027">
        <v>105</v>
      </c>
      <c r="B6027">
        <v>204</v>
      </c>
      <c r="C6027" s="1">
        <f>(Tabela1[[#This Row],[x]]-H$3)*(Tabela1[[#This Row],[x]]-H$3) +(Tabela1[[#This Row],[y]]-H$4)*(Tabela1[[#This Row],[y]]-H$4)</f>
        <v>9041</v>
      </c>
      <c r="D6027" s="1">
        <f>IF(Tabela1[[#This Row],[promien]]&lt;40000,1,0)</f>
        <v>1</v>
      </c>
      <c r="E6027" s="1">
        <f>IF(Tabela1[[#This Row],[promien]]=40000,1,0)</f>
        <v>0</v>
      </c>
      <c r="F6027" s="1">
        <v>3.1657541065206569</v>
      </c>
      <c r="G6027" s="1">
        <v>2.4161452930863803E-2</v>
      </c>
    </row>
    <row r="6028" spans="1:7">
      <c r="A6028">
        <v>375</v>
      </c>
      <c r="B6028">
        <v>62</v>
      </c>
      <c r="C6028" s="1">
        <f>(Tabela1[[#This Row],[x]]-H$3)*(Tabela1[[#This Row],[x]]-H$3) +(Tabela1[[#This Row],[y]]-H$4)*(Tabela1[[#This Row],[y]]-H$4)</f>
        <v>49669</v>
      </c>
      <c r="D6028" s="1">
        <f>IF(Tabela1[[#This Row],[promien]]&lt;40000,1,0)</f>
        <v>0</v>
      </c>
      <c r="E6028" s="1">
        <f>IF(Tabela1[[#This Row],[promien]]=40000,1,0)</f>
        <v>0</v>
      </c>
      <c r="F6028" s="1">
        <v>3.1652289316522895</v>
      </c>
      <c r="G6028" s="1">
        <v>2.3636278062496352E-2</v>
      </c>
    </row>
    <row r="6029" spans="1:7">
      <c r="A6029">
        <v>270</v>
      </c>
      <c r="B6029">
        <v>232</v>
      </c>
      <c r="C6029" s="1">
        <f>(Tabela1[[#This Row],[x]]-H$3)*(Tabela1[[#This Row],[x]]-H$3) +(Tabela1[[#This Row],[y]]-H$4)*(Tabela1[[#This Row],[y]]-H$4)</f>
        <v>5924</v>
      </c>
      <c r="D6029" s="1">
        <f>IF(Tabela1[[#This Row],[promien]]&lt;40000,1,0)</f>
        <v>1</v>
      </c>
      <c r="E6029" s="1">
        <f>IF(Tabela1[[#This Row],[promien]]=40000,1,0)</f>
        <v>0</v>
      </c>
      <c r="F6029" s="1">
        <v>3.1653673909437718</v>
      </c>
      <c r="G6029" s="1">
        <v>2.3774737353978725E-2</v>
      </c>
    </row>
    <row r="6030" spans="1:7">
      <c r="A6030">
        <v>145</v>
      </c>
      <c r="B6030">
        <v>381</v>
      </c>
      <c r="C6030" s="1">
        <f>(Tabela1[[#This Row],[x]]-H$3)*(Tabela1[[#This Row],[x]]-H$3) +(Tabela1[[#This Row],[y]]-H$4)*(Tabela1[[#This Row],[y]]-H$4)</f>
        <v>35786</v>
      </c>
      <c r="D6030" s="1">
        <f>IF(Tabela1[[#This Row],[promien]]&lt;40000,1,0)</f>
        <v>1</v>
      </c>
      <c r="E6030" s="1">
        <f>IF(Tabela1[[#This Row],[promien]]=40000,1,0)</f>
        <v>0</v>
      </c>
      <c r="F6030" s="1">
        <v>3.1655058043117745</v>
      </c>
      <c r="G6030" s="1">
        <v>2.3913150721981413E-2</v>
      </c>
    </row>
    <row r="6031" spans="1:7">
      <c r="A6031">
        <v>67</v>
      </c>
      <c r="B6031">
        <v>38</v>
      </c>
      <c r="C6031" s="1">
        <f>(Tabela1[[#This Row],[x]]-H$3)*(Tabela1[[#This Row],[x]]-H$3) +(Tabela1[[#This Row],[y]]-H$4)*(Tabela1[[#This Row],[y]]-H$4)</f>
        <v>43933</v>
      </c>
      <c r="D6031" s="1">
        <f>IF(Tabela1[[#This Row],[promien]]&lt;40000,1,0)</f>
        <v>0</v>
      </c>
      <c r="E6031" s="1">
        <f>IF(Tabela1[[#This Row],[promien]]=40000,1,0)</f>
        <v>0</v>
      </c>
      <c r="F6031" s="1">
        <v>3.1649809318520976</v>
      </c>
      <c r="G6031" s="1">
        <v>2.3388278262304496E-2</v>
      </c>
    </row>
    <row r="6032" spans="1:7">
      <c r="A6032">
        <v>139</v>
      </c>
      <c r="B6032">
        <v>140</v>
      </c>
      <c r="C6032" s="1">
        <f>(Tabela1[[#This Row],[x]]-H$3)*(Tabela1[[#This Row],[x]]-H$3) +(Tabela1[[#This Row],[y]]-H$4)*(Tabela1[[#This Row],[y]]-H$4)</f>
        <v>7321</v>
      </c>
      <c r="D6032" s="1">
        <f>IF(Tabela1[[#This Row],[promien]]&lt;40000,1,0)</f>
        <v>1</v>
      </c>
      <c r="E6032" s="1">
        <f>IF(Tabela1[[#This Row],[promien]]=40000,1,0)</f>
        <v>0</v>
      </c>
      <c r="F6032" s="1">
        <v>3.1651193633952253</v>
      </c>
      <c r="G6032" s="1">
        <v>2.3526709805432144E-2</v>
      </c>
    </row>
    <row r="6033" spans="1:7">
      <c r="A6033">
        <v>222</v>
      </c>
      <c r="B6033">
        <v>377</v>
      </c>
      <c r="C6033" s="1">
        <f>(Tabela1[[#This Row],[x]]-H$3)*(Tabela1[[#This Row],[x]]-H$3) +(Tabela1[[#This Row],[y]]-H$4)*(Tabela1[[#This Row],[y]]-H$4)</f>
        <v>31813</v>
      </c>
      <c r="D6033" s="1">
        <f>IF(Tabela1[[#This Row],[promien]]&lt;40000,1,0)</f>
        <v>1</v>
      </c>
      <c r="E6033" s="1">
        <f>IF(Tabela1[[#This Row],[promien]]=40000,1,0)</f>
        <v>0</v>
      </c>
      <c r="F6033" s="1">
        <v>3.1652577490469085</v>
      </c>
      <c r="G6033" s="1">
        <v>2.366509545711537E-2</v>
      </c>
    </row>
    <row r="6034" spans="1:7">
      <c r="A6034">
        <v>212</v>
      </c>
      <c r="B6034">
        <v>387</v>
      </c>
      <c r="C6034" s="1">
        <f>(Tabela1[[#This Row],[x]]-H$3)*(Tabela1[[#This Row],[x]]-H$3) +(Tabela1[[#This Row],[y]]-H$4)*(Tabela1[[#This Row],[y]]-H$4)</f>
        <v>35113</v>
      </c>
      <c r="D6034" s="1">
        <f>IF(Tabela1[[#This Row],[promien]]&lt;40000,1,0)</f>
        <v>1</v>
      </c>
      <c r="E6034" s="1">
        <f>IF(Tabela1[[#This Row],[promien]]=40000,1,0)</f>
        <v>0</v>
      </c>
      <c r="F6034" s="1">
        <v>3.1653960888299637</v>
      </c>
      <c r="G6034" s="1">
        <v>2.380343524017059E-2</v>
      </c>
    </row>
    <row r="6035" spans="1:7">
      <c r="A6035">
        <v>48</v>
      </c>
      <c r="B6035">
        <v>251</v>
      </c>
      <c r="C6035" s="1">
        <f>(Tabela1[[#This Row],[x]]-H$3)*(Tabela1[[#This Row],[x]]-H$3) +(Tabela1[[#This Row],[y]]-H$4)*(Tabela1[[#This Row],[y]]-H$4)</f>
        <v>25705</v>
      </c>
      <c r="D6035" s="1">
        <f>IF(Tabela1[[#This Row],[promien]]&lt;40000,1,0)</f>
        <v>1</v>
      </c>
      <c r="E6035" s="1">
        <f>IF(Tabela1[[#This Row],[promien]]=40000,1,0)</f>
        <v>0</v>
      </c>
      <c r="F6035" s="1">
        <v>3.1655343827671913</v>
      </c>
      <c r="G6035" s="1">
        <v>2.394172917739823E-2</v>
      </c>
    </row>
    <row r="6036" spans="1:7">
      <c r="A6036">
        <v>72</v>
      </c>
      <c r="B6036">
        <v>136</v>
      </c>
      <c r="C6036" s="1">
        <f>(Tabela1[[#This Row],[x]]-H$3)*(Tabela1[[#This Row],[x]]-H$3) +(Tabela1[[#This Row],[y]]-H$4)*(Tabela1[[#This Row],[y]]-H$4)</f>
        <v>20480</v>
      </c>
      <c r="D6036" s="1">
        <f>IF(Tabela1[[#This Row],[promien]]&lt;40000,1,0)</f>
        <v>1</v>
      </c>
      <c r="E6036" s="1">
        <f>IF(Tabela1[[#This Row],[promien]]=40000,1,0)</f>
        <v>0</v>
      </c>
      <c r="F6036" s="1">
        <v>3.1656726308813785</v>
      </c>
      <c r="G6036" s="1">
        <v>2.4079977291585397E-2</v>
      </c>
    </row>
    <row r="6037" spans="1:7">
      <c r="A6037">
        <v>251</v>
      </c>
      <c r="B6037">
        <v>85</v>
      </c>
      <c r="C6037" s="1">
        <f>(Tabela1[[#This Row],[x]]-H$3)*(Tabela1[[#This Row],[x]]-H$3) +(Tabela1[[#This Row],[y]]-H$4)*(Tabela1[[#This Row],[y]]-H$4)</f>
        <v>15826</v>
      </c>
      <c r="D6037" s="1">
        <f>IF(Tabela1[[#This Row],[promien]]&lt;40000,1,0)</f>
        <v>1</v>
      </c>
      <c r="E6037" s="1">
        <f>IF(Tabela1[[#This Row],[promien]]=40000,1,0)</f>
        <v>0</v>
      </c>
      <c r="F6037" s="1">
        <v>3.1658108331952959</v>
      </c>
      <c r="G6037" s="1">
        <v>2.4218179605502765E-2</v>
      </c>
    </row>
    <row r="6038" spans="1:7">
      <c r="A6038">
        <v>114</v>
      </c>
      <c r="B6038">
        <v>55</v>
      </c>
      <c r="C6038" s="1">
        <f>(Tabela1[[#This Row],[x]]-H$3)*(Tabela1[[#This Row],[x]]-H$3) +(Tabela1[[#This Row],[y]]-H$4)*(Tabela1[[#This Row],[y]]-H$4)</f>
        <v>28421</v>
      </c>
      <c r="D6038" s="1">
        <f>IF(Tabela1[[#This Row],[promien]]&lt;40000,1,0)</f>
        <v>1</v>
      </c>
      <c r="E6038" s="1">
        <f>IF(Tabela1[[#This Row],[promien]]=40000,1,0)</f>
        <v>0</v>
      </c>
      <c r="F6038" s="1">
        <v>3.165948989731699</v>
      </c>
      <c r="G6038" s="1">
        <v>2.435633614190591E-2</v>
      </c>
    </row>
    <row r="6039" spans="1:7">
      <c r="A6039">
        <v>228</v>
      </c>
      <c r="B6039">
        <v>9</v>
      </c>
      <c r="C6039" s="1">
        <f>(Tabela1[[#This Row],[x]]-H$3)*(Tabela1[[#This Row],[x]]-H$3) +(Tabela1[[#This Row],[y]]-H$4)*(Tabela1[[#This Row],[y]]-H$4)</f>
        <v>37265</v>
      </c>
      <c r="D6039" s="1">
        <f>IF(Tabela1[[#This Row],[promien]]&lt;40000,1,0)</f>
        <v>1</v>
      </c>
      <c r="E6039" s="1">
        <f>IF(Tabela1[[#This Row],[promien]]=40000,1,0)</f>
        <v>0</v>
      </c>
      <c r="F6039" s="1">
        <v>3.1660871005133302</v>
      </c>
      <c r="G6039" s="1">
        <v>2.4494446923537083E-2</v>
      </c>
    </row>
    <row r="6040" spans="1:7">
      <c r="A6040">
        <v>361</v>
      </c>
      <c r="B6040">
        <v>49</v>
      </c>
      <c r="C6040" s="1">
        <f>(Tabela1[[#This Row],[x]]-H$3)*(Tabela1[[#This Row],[x]]-H$3) +(Tabela1[[#This Row],[y]]-H$4)*(Tabela1[[#This Row],[y]]-H$4)</f>
        <v>48722</v>
      </c>
      <c r="D6040" s="1">
        <f>IF(Tabela1[[#This Row],[promien]]&lt;40000,1,0)</f>
        <v>0</v>
      </c>
      <c r="E6040" s="1">
        <f>IF(Tabela1[[#This Row],[promien]]=40000,1,0)</f>
        <v>0</v>
      </c>
      <c r="F6040" s="1">
        <v>3.1655629139072849</v>
      </c>
      <c r="G6040" s="1">
        <v>2.3970260317491832E-2</v>
      </c>
    </row>
    <row r="6041" spans="1:7">
      <c r="A6041">
        <v>339</v>
      </c>
      <c r="B6041">
        <v>287</v>
      </c>
      <c r="C6041" s="1">
        <f>(Tabela1[[#This Row],[x]]-H$3)*(Tabela1[[#This Row],[x]]-H$3) +(Tabela1[[#This Row],[y]]-H$4)*(Tabela1[[#This Row],[y]]-H$4)</f>
        <v>26890</v>
      </c>
      <c r="D6041" s="1">
        <f>IF(Tabela1[[#This Row],[promien]]&lt;40000,1,0)</f>
        <v>1</v>
      </c>
      <c r="E6041" s="1">
        <f>IF(Tabela1[[#This Row],[promien]]=40000,1,0)</f>
        <v>0</v>
      </c>
      <c r="F6041" s="1">
        <v>3.1657010428736965</v>
      </c>
      <c r="G6041" s="1">
        <v>2.4108389283903353E-2</v>
      </c>
    </row>
    <row r="6042" spans="1:7">
      <c r="A6042">
        <v>282</v>
      </c>
      <c r="B6042">
        <v>369</v>
      </c>
      <c r="C6042" s="1">
        <f>(Tabela1[[#This Row],[x]]-H$3)*(Tabela1[[#This Row],[x]]-H$3) +(Tabela1[[#This Row],[y]]-H$4)*(Tabela1[[#This Row],[y]]-H$4)</f>
        <v>35285</v>
      </c>
      <c r="D6042" s="1">
        <f>IF(Tabela1[[#This Row],[promien]]&lt;40000,1,0)</f>
        <v>1</v>
      </c>
      <c r="E6042" s="1">
        <f>IF(Tabela1[[#This Row],[promien]]=40000,1,0)</f>
        <v>0</v>
      </c>
      <c r="F6042" s="1">
        <v>3.1658391261171799</v>
      </c>
      <c r="G6042" s="1">
        <v>2.4246472527386764E-2</v>
      </c>
    </row>
    <row r="6043" spans="1:7">
      <c r="A6043">
        <v>377</v>
      </c>
      <c r="B6043">
        <v>89</v>
      </c>
      <c r="C6043" s="1">
        <f>(Tabela1[[#This Row],[x]]-H$3)*(Tabela1[[#This Row],[x]]-H$3) +(Tabela1[[#This Row],[y]]-H$4)*(Tabela1[[#This Row],[y]]-H$4)</f>
        <v>43650</v>
      </c>
      <c r="D6043" s="1">
        <f>IF(Tabela1[[#This Row],[promien]]&lt;40000,1,0)</f>
        <v>0</v>
      </c>
      <c r="E6043" s="1">
        <f>IF(Tabela1[[#This Row],[promien]]=40000,1,0)</f>
        <v>0</v>
      </c>
      <c r="F6043" s="1">
        <v>3.1653152407744498</v>
      </c>
      <c r="G6043" s="1">
        <v>2.3722587184656696E-2</v>
      </c>
    </row>
    <row r="6044" spans="1:7">
      <c r="A6044">
        <v>353</v>
      </c>
      <c r="B6044">
        <v>327</v>
      </c>
      <c r="C6044" s="1">
        <f>(Tabela1[[#This Row],[x]]-H$3)*(Tabela1[[#This Row],[x]]-H$3) +(Tabela1[[#This Row],[y]]-H$4)*(Tabela1[[#This Row],[y]]-H$4)</f>
        <v>39538</v>
      </c>
      <c r="D6044" s="1">
        <f>IF(Tabela1[[#This Row],[promien]]&lt;40000,1,0)</f>
        <v>1</v>
      </c>
      <c r="E6044" s="1">
        <f>IF(Tabela1[[#This Row],[promien]]=40000,1,0)</f>
        <v>0</v>
      </c>
      <c r="F6044" s="1">
        <v>3.1654533421575115</v>
      </c>
      <c r="G6044" s="1">
        <v>2.3860688567718391E-2</v>
      </c>
    </row>
    <row r="6045" spans="1:7">
      <c r="A6045">
        <v>33</v>
      </c>
      <c r="B6045">
        <v>264</v>
      </c>
      <c r="C6045" s="1">
        <f>(Tabela1[[#This Row],[x]]-H$3)*(Tabela1[[#This Row],[x]]-H$3) +(Tabela1[[#This Row],[y]]-H$4)*(Tabela1[[#This Row],[y]]-H$4)</f>
        <v>31985</v>
      </c>
      <c r="D6045" s="1">
        <f>IF(Tabela1[[#This Row],[promien]]&lt;40000,1,0)</f>
        <v>1</v>
      </c>
      <c r="E6045" s="1">
        <f>IF(Tabela1[[#This Row],[promien]]=40000,1,0)</f>
        <v>0</v>
      </c>
      <c r="F6045" s="1">
        <v>3.1655913978494623</v>
      </c>
      <c r="G6045" s="1">
        <v>2.3998744259669191E-2</v>
      </c>
    </row>
    <row r="6046" spans="1:7">
      <c r="A6046">
        <v>393</v>
      </c>
      <c r="B6046">
        <v>274</v>
      </c>
      <c r="C6046" s="1">
        <f>(Tabela1[[#This Row],[x]]-H$3)*(Tabela1[[#This Row],[x]]-H$3) +(Tabela1[[#This Row],[y]]-H$4)*(Tabela1[[#This Row],[y]]-H$4)</f>
        <v>42725</v>
      </c>
      <c r="D6046" s="1">
        <f>IF(Tabela1[[#This Row],[promien]]&lt;40000,1,0)</f>
        <v>0</v>
      </c>
      <c r="E6046" s="1">
        <f>IF(Tabela1[[#This Row],[promien]]=40000,1,0)</f>
        <v>0</v>
      </c>
      <c r="F6046" s="1">
        <v>3.1650678134303671</v>
      </c>
      <c r="G6046" s="1">
        <v>2.3475159840574022E-2</v>
      </c>
    </row>
    <row r="6047" spans="1:7">
      <c r="A6047">
        <v>294</v>
      </c>
      <c r="B6047">
        <v>278</v>
      </c>
      <c r="C6047" s="1">
        <f>(Tabela1[[#This Row],[x]]-H$3)*(Tabela1[[#This Row],[x]]-H$3) +(Tabela1[[#This Row],[y]]-H$4)*(Tabela1[[#This Row],[y]]-H$4)</f>
        <v>14920</v>
      </c>
      <c r="D6047" s="1">
        <f>IF(Tabela1[[#This Row],[promien]]&lt;40000,1,0)</f>
        <v>1</v>
      </c>
      <c r="E6047" s="1">
        <f>IF(Tabela1[[#This Row],[promien]]=40000,1,0)</f>
        <v>0</v>
      </c>
      <c r="F6047" s="1">
        <v>3.1652058872168016</v>
      </c>
      <c r="G6047" s="1">
        <v>2.3613233627008512E-2</v>
      </c>
    </row>
    <row r="6048" spans="1:7">
      <c r="A6048">
        <v>240</v>
      </c>
      <c r="B6048">
        <v>120</v>
      </c>
      <c r="C6048" s="1">
        <f>(Tabela1[[#This Row],[x]]-H$3)*(Tabela1[[#This Row],[x]]-H$3) +(Tabela1[[#This Row],[y]]-H$4)*(Tabela1[[#This Row],[y]]-H$4)</f>
        <v>8000</v>
      </c>
      <c r="D6048" s="1">
        <f>IF(Tabela1[[#This Row],[promien]]&lt;40000,1,0)</f>
        <v>1</v>
      </c>
      <c r="E6048" s="1">
        <f>IF(Tabela1[[#This Row],[promien]]=40000,1,0)</f>
        <v>0</v>
      </c>
      <c r="F6048" s="1">
        <v>3.1653439153439153</v>
      </c>
      <c r="G6048" s="1">
        <v>2.3751261754122233E-2</v>
      </c>
    </row>
    <row r="6049" spans="1:7">
      <c r="A6049">
        <v>24</v>
      </c>
      <c r="B6049">
        <v>200</v>
      </c>
      <c r="C6049" s="1">
        <f>(Tabela1[[#This Row],[x]]-H$3)*(Tabela1[[#This Row],[x]]-H$3) +(Tabela1[[#This Row],[y]]-H$4)*(Tabela1[[#This Row],[y]]-H$4)</f>
        <v>30976</v>
      </c>
      <c r="D6049" s="1">
        <f>IF(Tabela1[[#This Row],[promien]]&lt;40000,1,0)</f>
        <v>1</v>
      </c>
      <c r="E6049" s="1">
        <f>IF(Tabela1[[#This Row],[promien]]=40000,1,0)</f>
        <v>0</v>
      </c>
      <c r="F6049" s="1">
        <v>3.1654818978343529</v>
      </c>
      <c r="G6049" s="1">
        <v>2.3889244244559737E-2</v>
      </c>
    </row>
    <row r="6050" spans="1:7">
      <c r="A6050">
        <v>216</v>
      </c>
      <c r="B6050">
        <v>234</v>
      </c>
      <c r="C6050" s="1">
        <f>(Tabela1[[#This Row],[x]]-H$3)*(Tabela1[[#This Row],[x]]-H$3) +(Tabela1[[#This Row],[y]]-H$4)*(Tabela1[[#This Row],[y]]-H$4)</f>
        <v>1412</v>
      </c>
      <c r="D6050" s="1">
        <f>IF(Tabela1[[#This Row],[promien]]&lt;40000,1,0)</f>
        <v>1</v>
      </c>
      <c r="E6050" s="1">
        <f>IF(Tabela1[[#This Row],[promien]]=40000,1,0)</f>
        <v>0</v>
      </c>
      <c r="F6050" s="1">
        <v>3.1656198347107436</v>
      </c>
      <c r="G6050" s="1">
        <v>2.402718112095048E-2</v>
      </c>
    </row>
    <row r="6051" spans="1:7">
      <c r="A6051">
        <v>350</v>
      </c>
      <c r="B6051">
        <v>86</v>
      </c>
      <c r="C6051" s="1">
        <f>(Tabela1[[#This Row],[x]]-H$3)*(Tabela1[[#This Row],[x]]-H$3) +(Tabela1[[#This Row],[y]]-H$4)*(Tabela1[[#This Row],[y]]-H$4)</f>
        <v>35496</v>
      </c>
      <c r="D6051" s="1">
        <f>IF(Tabela1[[#This Row],[promien]]&lt;40000,1,0)</f>
        <v>1</v>
      </c>
      <c r="E6051" s="1">
        <f>IF(Tabela1[[#This Row],[promien]]=40000,1,0)</f>
        <v>0</v>
      </c>
      <c r="F6051" s="1">
        <v>3.1657577259957033</v>
      </c>
      <c r="G6051" s="1">
        <v>2.4165072405910148E-2</v>
      </c>
    </row>
    <row r="6052" spans="1:7">
      <c r="A6052">
        <v>224</v>
      </c>
      <c r="B6052">
        <v>68</v>
      </c>
      <c r="C6052" s="1">
        <f>(Tabela1[[#This Row],[x]]-H$3)*(Tabela1[[#This Row],[x]]-H$3) +(Tabela1[[#This Row],[y]]-H$4)*(Tabela1[[#This Row],[y]]-H$4)</f>
        <v>18000</v>
      </c>
      <c r="D6052" s="1">
        <f>IF(Tabela1[[#This Row],[promien]]&lt;40000,1,0)</f>
        <v>1</v>
      </c>
      <c r="E6052" s="1">
        <f>IF(Tabela1[[#This Row],[promien]]=40000,1,0)</f>
        <v>0</v>
      </c>
      <c r="F6052" s="1">
        <v>3.1658955717118307</v>
      </c>
      <c r="G6052" s="1">
        <v>2.4302918122037553E-2</v>
      </c>
    </row>
    <row r="6053" spans="1:7">
      <c r="A6053">
        <v>292</v>
      </c>
      <c r="B6053">
        <v>320</v>
      </c>
      <c r="C6053" s="1">
        <f>(Tabela1[[#This Row],[x]]-H$3)*(Tabela1[[#This Row],[x]]-H$3) +(Tabela1[[#This Row],[y]]-H$4)*(Tabela1[[#This Row],[y]]-H$4)</f>
        <v>22864</v>
      </c>
      <c r="D6053" s="1">
        <f>IF(Tabela1[[#This Row],[promien]]&lt;40000,1,0)</f>
        <v>1</v>
      </c>
      <c r="E6053" s="1">
        <f>IF(Tabela1[[#This Row],[promien]]=40000,1,0)</f>
        <v>0</v>
      </c>
      <c r="F6053" s="1">
        <v>3.1660333718817117</v>
      </c>
      <c r="G6053" s="1">
        <v>2.4440718291918628E-2</v>
      </c>
    </row>
    <row r="6054" spans="1:7">
      <c r="A6054">
        <v>205</v>
      </c>
      <c r="B6054">
        <v>112</v>
      </c>
      <c r="C6054" s="1">
        <f>(Tabela1[[#This Row],[x]]-H$3)*(Tabela1[[#This Row],[x]]-H$3) +(Tabela1[[#This Row],[y]]-H$4)*(Tabela1[[#This Row],[y]]-H$4)</f>
        <v>7769</v>
      </c>
      <c r="D6054" s="1">
        <f>IF(Tabela1[[#This Row],[promien]]&lt;40000,1,0)</f>
        <v>1</v>
      </c>
      <c r="E6054" s="1">
        <f>IF(Tabela1[[#This Row],[promien]]=40000,1,0)</f>
        <v>0</v>
      </c>
      <c r="F6054" s="1">
        <v>3.1661711265279155</v>
      </c>
      <c r="G6054" s="1">
        <v>2.4578472938122431E-2</v>
      </c>
    </row>
    <row r="6055" spans="1:7">
      <c r="A6055">
        <v>116</v>
      </c>
      <c r="B6055">
        <v>162</v>
      </c>
      <c r="C6055" s="1">
        <f>(Tabela1[[#This Row],[x]]-H$3)*(Tabela1[[#This Row],[x]]-H$3) +(Tabela1[[#This Row],[y]]-H$4)*(Tabela1[[#This Row],[y]]-H$4)</f>
        <v>8500</v>
      </c>
      <c r="D6055" s="1">
        <f>IF(Tabela1[[#This Row],[promien]]&lt;40000,1,0)</f>
        <v>1</v>
      </c>
      <c r="E6055" s="1">
        <f>IF(Tabela1[[#This Row],[promien]]=40000,1,0)</f>
        <v>0</v>
      </c>
      <c r="F6055" s="1">
        <v>3.1663088356729974</v>
      </c>
      <c r="G6055" s="1">
        <v>2.4716182083204252E-2</v>
      </c>
    </row>
    <row r="6056" spans="1:7">
      <c r="A6056">
        <v>177</v>
      </c>
      <c r="B6056">
        <v>360</v>
      </c>
      <c r="C6056" s="1">
        <f>(Tabela1[[#This Row],[x]]-H$3)*(Tabela1[[#This Row],[x]]-H$3) +(Tabela1[[#This Row],[y]]-H$4)*(Tabela1[[#This Row],[y]]-H$4)</f>
        <v>26129</v>
      </c>
      <c r="D6056" s="1">
        <f>IF(Tabela1[[#This Row],[promien]]&lt;40000,1,0)</f>
        <v>1</v>
      </c>
      <c r="E6056" s="1">
        <f>IF(Tabela1[[#This Row],[promien]]=40000,1,0)</f>
        <v>0</v>
      </c>
      <c r="F6056" s="1">
        <v>3.1664464993394978</v>
      </c>
      <c r="G6056" s="1">
        <v>2.4853845749704728E-2</v>
      </c>
    </row>
    <row r="6057" spans="1:7">
      <c r="A6057">
        <v>62</v>
      </c>
      <c r="B6057">
        <v>31</v>
      </c>
      <c r="C6057" s="1">
        <f>(Tabela1[[#This Row],[x]]-H$3)*(Tabela1[[#This Row],[x]]-H$3) +(Tabela1[[#This Row],[y]]-H$4)*(Tabela1[[#This Row],[y]]-H$4)</f>
        <v>47605</v>
      </c>
      <c r="D6057" s="1">
        <f>IF(Tabela1[[#This Row],[promien]]&lt;40000,1,0)</f>
        <v>0</v>
      </c>
      <c r="E6057" s="1">
        <f>IF(Tabela1[[#This Row],[promien]]=40000,1,0)</f>
        <v>0</v>
      </c>
      <c r="F6057" s="1">
        <v>3.1659237246161465</v>
      </c>
      <c r="G6057" s="1">
        <v>2.4331071026353346E-2</v>
      </c>
    </row>
    <row r="6058" spans="1:7">
      <c r="A6058">
        <v>9</v>
      </c>
      <c r="B6058">
        <v>303</v>
      </c>
      <c r="C6058" s="1">
        <f>(Tabela1[[#This Row],[x]]-H$3)*(Tabela1[[#This Row],[x]]-H$3) +(Tabela1[[#This Row],[y]]-H$4)*(Tabela1[[#This Row],[y]]-H$4)</f>
        <v>47090</v>
      </c>
      <c r="D6058" s="1">
        <f>IF(Tabela1[[#This Row],[promien]]&lt;40000,1,0)</f>
        <v>0</v>
      </c>
      <c r="E6058" s="1">
        <f>IF(Tabela1[[#This Row],[promien]]=40000,1,0)</f>
        <v>0</v>
      </c>
      <c r="F6058" s="1">
        <v>3.1654011224826677</v>
      </c>
      <c r="G6058" s="1">
        <v>2.3808468892874579E-2</v>
      </c>
    </row>
    <row r="6059" spans="1:7">
      <c r="A6059">
        <v>28</v>
      </c>
      <c r="B6059">
        <v>84</v>
      </c>
      <c r="C6059" s="1">
        <f>(Tabela1[[#This Row],[x]]-H$3)*(Tabela1[[#This Row],[x]]-H$3) +(Tabela1[[#This Row],[y]]-H$4)*(Tabela1[[#This Row],[y]]-H$4)</f>
        <v>43040</v>
      </c>
      <c r="D6059" s="1">
        <f>IF(Tabela1[[#This Row],[promien]]&lt;40000,1,0)</f>
        <v>0</v>
      </c>
      <c r="E6059" s="1">
        <f>IF(Tabela1[[#This Row],[promien]]=40000,1,0)</f>
        <v>0</v>
      </c>
      <c r="F6059" s="1">
        <v>3.1648786928536063</v>
      </c>
      <c r="G6059" s="1">
        <v>2.328603926381323E-2</v>
      </c>
    </row>
    <row r="6060" spans="1:7">
      <c r="A6060">
        <v>273</v>
      </c>
      <c r="B6060">
        <v>278</v>
      </c>
      <c r="C6060" s="1">
        <f>(Tabela1[[#This Row],[x]]-H$3)*(Tabela1[[#This Row],[x]]-H$3) +(Tabela1[[#This Row],[y]]-H$4)*(Tabela1[[#This Row],[y]]-H$4)</f>
        <v>11413</v>
      </c>
      <c r="D6060" s="1">
        <f>IF(Tabela1[[#This Row],[promien]]&lt;40000,1,0)</f>
        <v>1</v>
      </c>
      <c r="E6060" s="1">
        <f>IF(Tabela1[[#This Row],[promien]]=40000,1,0)</f>
        <v>0</v>
      </c>
      <c r="F6060" s="1">
        <v>3.165016501650165</v>
      </c>
      <c r="G6060" s="1">
        <v>2.3423848060371899E-2</v>
      </c>
    </row>
    <row r="6061" spans="1:7">
      <c r="A6061">
        <v>247</v>
      </c>
      <c r="B6061">
        <v>205</v>
      </c>
      <c r="C6061" s="1">
        <f>(Tabela1[[#This Row],[x]]-H$3)*(Tabela1[[#This Row],[x]]-H$3) +(Tabela1[[#This Row],[y]]-H$4)*(Tabela1[[#This Row],[y]]-H$4)</f>
        <v>2234</v>
      </c>
      <c r="D6061" s="1">
        <f>IF(Tabela1[[#This Row],[promien]]&lt;40000,1,0)</f>
        <v>1</v>
      </c>
      <c r="E6061" s="1">
        <f>IF(Tabela1[[#This Row],[promien]]=40000,1,0)</f>
        <v>0</v>
      </c>
      <c r="F6061" s="1">
        <v>3.1651542649727769</v>
      </c>
      <c r="G6061" s="1">
        <v>2.3561611382983738E-2</v>
      </c>
    </row>
    <row r="6062" spans="1:7">
      <c r="A6062">
        <v>9</v>
      </c>
      <c r="B6062">
        <v>114</v>
      </c>
      <c r="C6062" s="1">
        <f>(Tabela1[[#This Row],[x]]-H$3)*(Tabela1[[#This Row],[x]]-H$3) +(Tabela1[[#This Row],[y]]-H$4)*(Tabela1[[#This Row],[y]]-H$4)</f>
        <v>43877</v>
      </c>
      <c r="D6062" s="1">
        <f>IF(Tabela1[[#This Row],[promien]]&lt;40000,1,0)</f>
        <v>0</v>
      </c>
      <c r="E6062" s="1">
        <f>IF(Tabela1[[#This Row],[promien]]=40000,1,0)</f>
        <v>0</v>
      </c>
      <c r="F6062" s="1">
        <v>3.16463213460904</v>
      </c>
      <c r="G6062" s="1">
        <v>2.303948101924691E-2</v>
      </c>
    </row>
    <row r="6063" spans="1:7">
      <c r="A6063">
        <v>249</v>
      </c>
      <c r="B6063">
        <v>115</v>
      </c>
      <c r="C6063" s="1">
        <f>(Tabela1[[#This Row],[x]]-H$3)*(Tabela1[[#This Row],[x]]-H$3) +(Tabela1[[#This Row],[y]]-H$4)*(Tabela1[[#This Row],[y]]-H$4)</f>
        <v>9626</v>
      </c>
      <c r="D6063" s="1">
        <f>IF(Tabela1[[#This Row],[promien]]&lt;40000,1,0)</f>
        <v>1</v>
      </c>
      <c r="E6063" s="1">
        <f>IF(Tabela1[[#This Row],[promien]]=40000,1,0)</f>
        <v>0</v>
      </c>
      <c r="F6063" s="1">
        <v>3.1647699158832263</v>
      </c>
      <c r="G6063" s="1">
        <v>2.3177262293433198E-2</v>
      </c>
    </row>
    <row r="6064" spans="1:7">
      <c r="A6064">
        <v>335</v>
      </c>
      <c r="B6064">
        <v>52</v>
      </c>
      <c r="C6064" s="1">
        <f>(Tabela1[[#This Row],[x]]-H$3)*(Tabela1[[#This Row],[x]]-H$3) +(Tabela1[[#This Row],[y]]-H$4)*(Tabela1[[#This Row],[y]]-H$4)</f>
        <v>40129</v>
      </c>
      <c r="D6064" s="1">
        <f>IF(Tabela1[[#This Row],[promien]]&lt;40000,1,0)</f>
        <v>0</v>
      </c>
      <c r="E6064" s="1">
        <f>IF(Tabela1[[#This Row],[promien]]=40000,1,0)</f>
        <v>0</v>
      </c>
      <c r="F6064" s="1">
        <v>3.1642480211081794</v>
      </c>
      <c r="G6064" s="1">
        <v>2.265536751838626E-2</v>
      </c>
    </row>
    <row r="6065" spans="1:7">
      <c r="A6065">
        <v>226</v>
      </c>
      <c r="B6065">
        <v>174</v>
      </c>
      <c r="C6065" s="1">
        <f>(Tabela1[[#This Row],[x]]-H$3)*(Tabela1[[#This Row],[x]]-H$3) +(Tabela1[[#This Row],[y]]-H$4)*(Tabela1[[#This Row],[y]]-H$4)</f>
        <v>1352</v>
      </c>
      <c r="D6065" s="1">
        <f>IF(Tabela1[[#This Row],[promien]]&lt;40000,1,0)</f>
        <v>1</v>
      </c>
      <c r="E6065" s="1">
        <f>IF(Tabela1[[#This Row],[promien]]=40000,1,0)</f>
        <v>0</v>
      </c>
      <c r="F6065" s="1">
        <v>3.1643858202802968</v>
      </c>
      <c r="G6065" s="1">
        <v>2.2793166690503686E-2</v>
      </c>
    </row>
    <row r="6066" spans="1:7">
      <c r="A6066">
        <v>297</v>
      </c>
      <c r="B6066">
        <v>284</v>
      </c>
      <c r="C6066" s="1">
        <f>(Tabela1[[#This Row],[x]]-H$3)*(Tabela1[[#This Row],[x]]-H$3) +(Tabela1[[#This Row],[y]]-H$4)*(Tabela1[[#This Row],[y]]-H$4)</f>
        <v>16465</v>
      </c>
      <c r="D6066" s="1">
        <f>IF(Tabela1[[#This Row],[promien]]&lt;40000,1,0)</f>
        <v>1</v>
      </c>
      <c r="E6066" s="1">
        <f>IF(Tabela1[[#This Row],[promien]]=40000,1,0)</f>
        <v>0</v>
      </c>
      <c r="F6066" s="1">
        <v>3.1645235740191229</v>
      </c>
      <c r="G6066" s="1">
        <v>2.293092042932976E-2</v>
      </c>
    </row>
    <row r="6067" spans="1:7">
      <c r="A6067">
        <v>204</v>
      </c>
      <c r="B6067">
        <v>242</v>
      </c>
      <c r="C6067" s="1">
        <f>(Tabela1[[#This Row],[x]]-H$3)*(Tabela1[[#This Row],[x]]-H$3) +(Tabela1[[#This Row],[y]]-H$4)*(Tabela1[[#This Row],[y]]-H$4)</f>
        <v>1780</v>
      </c>
      <c r="D6067" s="1">
        <f>IF(Tabela1[[#This Row],[promien]]&lt;40000,1,0)</f>
        <v>1</v>
      </c>
      <c r="E6067" s="1">
        <f>IF(Tabela1[[#This Row],[promien]]=40000,1,0)</f>
        <v>0</v>
      </c>
      <c r="F6067" s="1">
        <v>3.1646612823471236</v>
      </c>
      <c r="G6067" s="1">
        <v>2.3068628757330512E-2</v>
      </c>
    </row>
    <row r="6068" spans="1:7">
      <c r="A6068">
        <v>209</v>
      </c>
      <c r="B6068">
        <v>229</v>
      </c>
      <c r="C6068" s="1">
        <f>(Tabela1[[#This Row],[x]]-H$3)*(Tabela1[[#This Row],[x]]-H$3) +(Tabela1[[#This Row],[y]]-H$4)*(Tabela1[[#This Row],[y]]-H$4)</f>
        <v>922</v>
      </c>
      <c r="D6068" s="1">
        <f>IF(Tabela1[[#This Row],[promien]]&lt;40000,1,0)</f>
        <v>1</v>
      </c>
      <c r="E6068" s="1">
        <f>IF(Tabela1[[#This Row],[promien]]=40000,1,0)</f>
        <v>0</v>
      </c>
      <c r="F6068" s="1">
        <v>3.16479894528675</v>
      </c>
      <c r="G6068" s="1">
        <v>2.3206291696956871E-2</v>
      </c>
    </row>
    <row r="6069" spans="1:7">
      <c r="A6069">
        <v>187</v>
      </c>
      <c r="B6069">
        <v>105</v>
      </c>
      <c r="C6069" s="1">
        <f>(Tabela1[[#This Row],[x]]-H$3)*(Tabela1[[#This Row],[x]]-H$3) +(Tabela1[[#This Row],[y]]-H$4)*(Tabela1[[#This Row],[y]]-H$4)</f>
        <v>9194</v>
      </c>
      <c r="D6069" s="1">
        <f>IF(Tabela1[[#This Row],[promien]]&lt;40000,1,0)</f>
        <v>1</v>
      </c>
      <c r="E6069" s="1">
        <f>IF(Tabela1[[#This Row],[promien]]=40000,1,0)</f>
        <v>0</v>
      </c>
      <c r="F6069" s="1">
        <v>3.1649365628604382</v>
      </c>
      <c r="G6069" s="1">
        <v>2.3343909270645113E-2</v>
      </c>
    </row>
    <row r="6070" spans="1:7">
      <c r="A6070">
        <v>197</v>
      </c>
      <c r="B6070">
        <v>47</v>
      </c>
      <c r="C6070" s="1">
        <f>(Tabela1[[#This Row],[x]]-H$3)*(Tabela1[[#This Row],[x]]-H$3) +(Tabela1[[#This Row],[y]]-H$4)*(Tabela1[[#This Row],[y]]-H$4)</f>
        <v>23418</v>
      </c>
      <c r="D6070" s="1">
        <f>IF(Tabela1[[#This Row],[promien]]&lt;40000,1,0)</f>
        <v>1</v>
      </c>
      <c r="E6070" s="1">
        <f>IF(Tabela1[[#This Row],[promien]]=40000,1,0)</f>
        <v>0</v>
      </c>
      <c r="F6070" s="1">
        <v>3.1650741350906095</v>
      </c>
      <c r="G6070" s="1">
        <v>2.3481481500816415E-2</v>
      </c>
    </row>
    <row r="6071" spans="1:7">
      <c r="A6071">
        <v>127</v>
      </c>
      <c r="B6071">
        <v>383</v>
      </c>
      <c r="C6071" s="1">
        <f>(Tabela1[[#This Row],[x]]-H$3)*(Tabela1[[#This Row],[x]]-H$3) +(Tabela1[[#This Row],[y]]-H$4)*(Tabela1[[#This Row],[y]]-H$4)</f>
        <v>38818</v>
      </c>
      <c r="D6071" s="1">
        <f>IF(Tabela1[[#This Row],[promien]]&lt;40000,1,0)</f>
        <v>1</v>
      </c>
      <c r="E6071" s="1">
        <f>IF(Tabela1[[#This Row],[promien]]=40000,1,0)</f>
        <v>0</v>
      </c>
      <c r="F6071" s="1">
        <v>3.1652116619996704</v>
      </c>
      <c r="G6071" s="1">
        <v>2.3619008409877296E-2</v>
      </c>
    </row>
    <row r="6072" spans="1:7">
      <c r="A6072">
        <v>124</v>
      </c>
      <c r="B6072">
        <v>103</v>
      </c>
      <c r="C6072" s="1">
        <f>(Tabela1[[#This Row],[x]]-H$3)*(Tabela1[[#This Row],[x]]-H$3) +(Tabela1[[#This Row],[y]]-H$4)*(Tabela1[[#This Row],[y]]-H$4)</f>
        <v>15185</v>
      </c>
      <c r="D6072" s="1">
        <f>IF(Tabela1[[#This Row],[promien]]&lt;40000,1,0)</f>
        <v>1</v>
      </c>
      <c r="E6072" s="1">
        <f>IF(Tabela1[[#This Row],[promien]]=40000,1,0)</f>
        <v>0</v>
      </c>
      <c r="F6072" s="1">
        <v>3.1653491436100132</v>
      </c>
      <c r="G6072" s="1">
        <v>2.3756490020220067E-2</v>
      </c>
    </row>
    <row r="6073" spans="1:7">
      <c r="A6073">
        <v>250</v>
      </c>
      <c r="B6073">
        <v>249</v>
      </c>
      <c r="C6073" s="1">
        <f>(Tabela1[[#This Row],[x]]-H$3)*(Tabela1[[#This Row],[x]]-H$3) +(Tabela1[[#This Row],[y]]-H$4)*(Tabela1[[#This Row],[y]]-H$4)</f>
        <v>4901</v>
      </c>
      <c r="D6073" s="1">
        <f>IF(Tabela1[[#This Row],[promien]]&lt;40000,1,0)</f>
        <v>1</v>
      </c>
      <c r="E6073" s="1">
        <f>IF(Tabela1[[#This Row],[promien]]=40000,1,0)</f>
        <v>0</v>
      </c>
      <c r="F6073" s="1">
        <v>3.1654865799440146</v>
      </c>
      <c r="G6073" s="1">
        <v>2.3893926354221495E-2</v>
      </c>
    </row>
    <row r="6074" spans="1:7">
      <c r="A6074">
        <v>190</v>
      </c>
      <c r="B6074">
        <v>280</v>
      </c>
      <c r="C6074" s="1">
        <f>(Tabela1[[#This Row],[x]]-H$3)*(Tabela1[[#This Row],[x]]-H$3) +(Tabela1[[#This Row],[y]]-H$4)*(Tabela1[[#This Row],[y]]-H$4)</f>
        <v>6500</v>
      </c>
      <c r="D6074" s="1">
        <f>IF(Tabela1[[#This Row],[promien]]&lt;40000,1,0)</f>
        <v>1</v>
      </c>
      <c r="E6074" s="1">
        <f>IF(Tabela1[[#This Row],[promien]]=40000,1,0)</f>
        <v>0</v>
      </c>
      <c r="F6074" s="1">
        <v>3.1656239710240368</v>
      </c>
      <c r="G6074" s="1">
        <v>2.4031317434243693E-2</v>
      </c>
    </row>
    <row r="6075" spans="1:7">
      <c r="A6075">
        <v>217</v>
      </c>
      <c r="B6075">
        <v>396</v>
      </c>
      <c r="C6075" s="1">
        <f>(Tabela1[[#This Row],[x]]-H$3)*(Tabela1[[#This Row],[x]]-H$3) +(Tabela1[[#This Row],[y]]-H$4)*(Tabela1[[#This Row],[y]]-H$4)</f>
        <v>38705</v>
      </c>
      <c r="D6075" s="1">
        <f>IF(Tabela1[[#This Row],[promien]]&lt;40000,1,0)</f>
        <v>1</v>
      </c>
      <c r="E6075" s="1">
        <f>IF(Tabela1[[#This Row],[promien]]=40000,1,0)</f>
        <v>0</v>
      </c>
      <c r="F6075" s="1">
        <v>3.1657613168724281</v>
      </c>
      <c r="G6075" s="1">
        <v>2.4168663282635006E-2</v>
      </c>
    </row>
    <row r="6076" spans="1:7">
      <c r="A6076">
        <v>275</v>
      </c>
      <c r="B6076">
        <v>266</v>
      </c>
      <c r="C6076" s="1">
        <f>(Tabela1[[#This Row],[x]]-H$3)*(Tabela1[[#This Row],[x]]-H$3) +(Tabela1[[#This Row],[y]]-H$4)*(Tabela1[[#This Row],[y]]-H$4)</f>
        <v>9981</v>
      </c>
      <c r="D6076" s="1">
        <f>IF(Tabela1[[#This Row],[promien]]&lt;40000,1,0)</f>
        <v>1</v>
      </c>
      <c r="E6076" s="1">
        <f>IF(Tabela1[[#This Row],[promien]]=40000,1,0)</f>
        <v>0</v>
      </c>
      <c r="F6076" s="1">
        <v>3.1658986175115209</v>
      </c>
      <c r="G6076" s="1">
        <v>2.4305963921727791E-2</v>
      </c>
    </row>
    <row r="6077" spans="1:7">
      <c r="A6077">
        <v>183</v>
      </c>
      <c r="B6077">
        <v>380</v>
      </c>
      <c r="C6077" s="1">
        <f>(Tabela1[[#This Row],[x]]-H$3)*(Tabela1[[#This Row],[x]]-H$3) +(Tabela1[[#This Row],[y]]-H$4)*(Tabela1[[#This Row],[y]]-H$4)</f>
        <v>32689</v>
      </c>
      <c r="D6077" s="1">
        <f>IF(Tabela1[[#This Row],[promien]]&lt;40000,1,0)</f>
        <v>1</v>
      </c>
      <c r="E6077" s="1">
        <f>IF(Tabela1[[#This Row],[promien]]=40000,1,0)</f>
        <v>0</v>
      </c>
      <c r="F6077" s="1">
        <v>3.1660358729636333</v>
      </c>
      <c r="G6077" s="1">
        <v>2.4443219373840197E-2</v>
      </c>
    </row>
    <row r="6078" spans="1:7">
      <c r="A6078">
        <v>308</v>
      </c>
      <c r="B6078">
        <v>315</v>
      </c>
      <c r="C6078" s="1">
        <f>(Tabela1[[#This Row],[x]]-H$3)*(Tabela1[[#This Row],[x]]-H$3) +(Tabela1[[#This Row],[y]]-H$4)*(Tabela1[[#This Row],[y]]-H$4)</f>
        <v>24889</v>
      </c>
      <c r="D6078" s="1">
        <f>IF(Tabela1[[#This Row],[promien]]&lt;40000,1,0)</f>
        <v>1</v>
      </c>
      <c r="E6078" s="1">
        <f>IF(Tabela1[[#This Row],[promien]]=40000,1,0)</f>
        <v>0</v>
      </c>
      <c r="F6078" s="1">
        <v>3.1661730832510693</v>
      </c>
      <c r="G6078" s="1">
        <v>2.458042966127616E-2</v>
      </c>
    </row>
    <row r="6079" spans="1:7">
      <c r="A6079">
        <v>197</v>
      </c>
      <c r="B6079">
        <v>218</v>
      </c>
      <c r="C6079" s="1">
        <f>(Tabela1[[#This Row],[x]]-H$3)*(Tabela1[[#This Row],[x]]-H$3) +(Tabela1[[#This Row],[y]]-H$4)*(Tabela1[[#This Row],[y]]-H$4)</f>
        <v>333</v>
      </c>
      <c r="D6079" s="1">
        <f>IF(Tabela1[[#This Row],[promien]]&lt;40000,1,0)</f>
        <v>1</v>
      </c>
      <c r="E6079" s="1">
        <f>IF(Tabela1[[#This Row],[promien]]=40000,1,0)</f>
        <v>0</v>
      </c>
      <c r="F6079" s="1">
        <v>3.1663102483961176</v>
      </c>
      <c r="G6079" s="1">
        <v>2.4717594806324517E-2</v>
      </c>
    </row>
    <row r="6080" spans="1:7">
      <c r="A6080">
        <v>101</v>
      </c>
      <c r="B6080">
        <v>104</v>
      </c>
      <c r="C6080" s="1">
        <f>(Tabela1[[#This Row],[x]]-H$3)*(Tabela1[[#This Row],[x]]-H$3) +(Tabela1[[#This Row],[y]]-H$4)*(Tabela1[[#This Row],[y]]-H$4)</f>
        <v>19017</v>
      </c>
      <c r="D6080" s="1">
        <f>IF(Tabela1[[#This Row],[promien]]&lt;40000,1,0)</f>
        <v>1</v>
      </c>
      <c r="E6080" s="1">
        <f>IF(Tabela1[[#This Row],[promien]]=40000,1,0)</f>
        <v>0</v>
      </c>
      <c r="F6080" s="1">
        <v>3.1664473684210526</v>
      </c>
      <c r="G6080" s="1">
        <v>2.485471483125945E-2</v>
      </c>
    </row>
    <row r="6081" spans="1:7">
      <c r="A6081">
        <v>363</v>
      </c>
      <c r="B6081">
        <v>26</v>
      </c>
      <c r="C6081" s="1">
        <f>(Tabela1[[#This Row],[x]]-H$3)*(Tabela1[[#This Row],[x]]-H$3) +(Tabela1[[#This Row],[y]]-H$4)*(Tabela1[[#This Row],[y]]-H$4)</f>
        <v>56845</v>
      </c>
      <c r="D6081" s="1">
        <f>IF(Tabela1[[#This Row],[promien]]&lt;40000,1,0)</f>
        <v>0</v>
      </c>
      <c r="E6081" s="1">
        <f>IF(Tabela1[[#This Row],[promien]]=40000,1,0)</f>
        <v>0</v>
      </c>
      <c r="F6081" s="1">
        <v>3.1659266567998685</v>
      </c>
      <c r="G6081" s="1">
        <v>2.4334003210075394E-2</v>
      </c>
    </row>
    <row r="6082" spans="1:7">
      <c r="A6082">
        <v>184</v>
      </c>
      <c r="B6082">
        <v>301</v>
      </c>
      <c r="C6082" s="1">
        <f>(Tabela1[[#This Row],[x]]-H$3)*(Tabela1[[#This Row],[x]]-H$3) +(Tabela1[[#This Row],[y]]-H$4)*(Tabela1[[#This Row],[y]]-H$4)</f>
        <v>10457</v>
      </c>
      <c r="D6082" s="1">
        <f>IF(Tabela1[[#This Row],[promien]]&lt;40000,1,0)</f>
        <v>1</v>
      </c>
      <c r="E6082" s="1">
        <f>IF(Tabela1[[#This Row],[promien]]=40000,1,0)</f>
        <v>0</v>
      </c>
      <c r="F6082" s="1">
        <v>3.1660637948043409</v>
      </c>
      <c r="G6082" s="1">
        <v>2.4471141214547742E-2</v>
      </c>
    </row>
    <row r="6083" spans="1:7">
      <c r="A6083">
        <v>270</v>
      </c>
      <c r="B6083">
        <v>105</v>
      </c>
      <c r="C6083" s="1">
        <f>(Tabela1[[#This Row],[x]]-H$3)*(Tabela1[[#This Row],[x]]-H$3) +(Tabela1[[#This Row],[y]]-H$4)*(Tabela1[[#This Row],[y]]-H$4)</f>
        <v>13925</v>
      </c>
      <c r="D6083" s="1">
        <f>IF(Tabela1[[#This Row],[promien]]&lt;40000,1,0)</f>
        <v>1</v>
      </c>
      <c r="E6083" s="1">
        <f>IF(Tabela1[[#This Row],[promien]]=40000,1,0)</f>
        <v>0</v>
      </c>
      <c r="F6083" s="1">
        <v>3.1662008877198748</v>
      </c>
      <c r="G6083" s="1">
        <v>2.460823413008173E-2</v>
      </c>
    </row>
    <row r="6084" spans="1:7">
      <c r="A6084">
        <v>229</v>
      </c>
      <c r="B6084">
        <v>78</v>
      </c>
      <c r="C6084" s="1">
        <f>(Tabela1[[#This Row],[x]]-H$3)*(Tabela1[[#This Row],[x]]-H$3) +(Tabela1[[#This Row],[y]]-H$4)*(Tabela1[[#This Row],[y]]-H$4)</f>
        <v>15725</v>
      </c>
      <c r="D6084" s="1">
        <f>IF(Tabela1[[#This Row],[promien]]&lt;40000,1,0)</f>
        <v>1</v>
      </c>
      <c r="E6084" s="1">
        <f>IF(Tabela1[[#This Row],[promien]]=40000,1,0)</f>
        <v>0</v>
      </c>
      <c r="F6084" s="1">
        <v>3.1663379355687047</v>
      </c>
      <c r="G6084" s="1">
        <v>2.4745281978911571E-2</v>
      </c>
    </row>
    <row r="6085" spans="1:7">
      <c r="A6085">
        <v>325</v>
      </c>
      <c r="B6085">
        <v>217</v>
      </c>
      <c r="C6085" s="1">
        <f>(Tabela1[[#This Row],[x]]-H$3)*(Tabela1[[#This Row],[x]]-H$3) +(Tabela1[[#This Row],[y]]-H$4)*(Tabela1[[#This Row],[y]]-H$4)</f>
        <v>15914</v>
      </c>
      <c r="D6085" s="1">
        <f>IF(Tabela1[[#This Row],[promien]]&lt;40000,1,0)</f>
        <v>1</v>
      </c>
      <c r="E6085" s="1">
        <f>IF(Tabela1[[#This Row],[promien]]=40000,1,0)</f>
        <v>0</v>
      </c>
      <c r="F6085" s="1">
        <v>3.1664749383730486</v>
      </c>
      <c r="G6085" s="1">
        <v>2.4882284783255493E-2</v>
      </c>
    </row>
    <row r="6086" spans="1:7">
      <c r="A6086">
        <v>119</v>
      </c>
      <c r="B6086">
        <v>384</v>
      </c>
      <c r="C6086" s="1">
        <f>(Tabela1[[#This Row],[x]]-H$3)*(Tabela1[[#This Row],[x]]-H$3) +(Tabela1[[#This Row],[y]]-H$4)*(Tabela1[[#This Row],[y]]-H$4)</f>
        <v>40417</v>
      </c>
      <c r="D6086" s="1">
        <f>IF(Tabela1[[#This Row],[promien]]&lt;40000,1,0)</f>
        <v>0</v>
      </c>
      <c r="E6086" s="1">
        <f>IF(Tabela1[[#This Row],[promien]]=40000,1,0)</f>
        <v>0</v>
      </c>
      <c r="F6086" s="1">
        <v>3.1659546500164311</v>
      </c>
      <c r="G6086" s="1">
        <v>2.4361996426637944E-2</v>
      </c>
    </row>
    <row r="6087" spans="1:7">
      <c r="A6087">
        <v>327</v>
      </c>
      <c r="B6087">
        <v>164</v>
      </c>
      <c r="C6087" s="1">
        <f>(Tabela1[[#This Row],[x]]-H$3)*(Tabela1[[#This Row],[x]]-H$3) +(Tabela1[[#This Row],[y]]-H$4)*(Tabela1[[#This Row],[y]]-H$4)</f>
        <v>17425</v>
      </c>
      <c r="D6087" s="1">
        <f>IF(Tabela1[[#This Row],[promien]]&lt;40000,1,0)</f>
        <v>1</v>
      </c>
      <c r="E6087" s="1">
        <f>IF(Tabela1[[#This Row],[promien]]=40000,1,0)</f>
        <v>0</v>
      </c>
      <c r="F6087" s="1">
        <v>3.1660916707737803</v>
      </c>
      <c r="G6087" s="1">
        <v>2.4499017183987171E-2</v>
      </c>
    </row>
    <row r="6088" spans="1:7">
      <c r="A6088">
        <v>209</v>
      </c>
      <c r="B6088">
        <v>107</v>
      </c>
      <c r="C6088" s="1">
        <f>(Tabela1[[#This Row],[x]]-H$3)*(Tabela1[[#This Row],[x]]-H$3) +(Tabela1[[#This Row],[y]]-H$4)*(Tabela1[[#This Row],[y]]-H$4)</f>
        <v>8730</v>
      </c>
      <c r="D6088" s="1">
        <f>IF(Tabela1[[#This Row],[promien]]&lt;40000,1,0)</f>
        <v>1</v>
      </c>
      <c r="E6088" s="1">
        <f>IF(Tabela1[[#This Row],[promien]]=40000,1,0)</f>
        <v>0</v>
      </c>
      <c r="F6088" s="1">
        <v>3.1662286465177396</v>
      </c>
      <c r="G6088" s="1">
        <v>2.4635992927946493E-2</v>
      </c>
    </row>
    <row r="6089" spans="1:7">
      <c r="A6089">
        <v>330</v>
      </c>
      <c r="B6089">
        <v>353</v>
      </c>
      <c r="C6089" s="1">
        <f>(Tabela1[[#This Row],[x]]-H$3)*(Tabela1[[#This Row],[x]]-H$3) +(Tabela1[[#This Row],[y]]-H$4)*(Tabela1[[#This Row],[y]]-H$4)</f>
        <v>40309</v>
      </c>
      <c r="D6089" s="1">
        <f>IF(Tabela1[[#This Row],[promien]]&lt;40000,1,0)</f>
        <v>0</v>
      </c>
      <c r="E6089" s="1">
        <f>IF(Tabela1[[#This Row],[promien]]=40000,1,0)</f>
        <v>0</v>
      </c>
      <c r="F6089" s="1">
        <v>3.1657086549515521</v>
      </c>
      <c r="G6089" s="1">
        <v>2.4116001361758954E-2</v>
      </c>
    </row>
    <row r="6090" spans="1:7">
      <c r="A6090">
        <v>198</v>
      </c>
      <c r="B6090">
        <v>379</v>
      </c>
      <c r="C6090" s="1">
        <f>(Tabela1[[#This Row],[x]]-H$3)*(Tabela1[[#This Row],[x]]-H$3) +(Tabela1[[#This Row],[y]]-H$4)*(Tabela1[[#This Row],[y]]-H$4)</f>
        <v>32045</v>
      </c>
      <c r="D6090" s="1">
        <f>IF(Tabela1[[#This Row],[promien]]&lt;40000,1,0)</f>
        <v>1</v>
      </c>
      <c r="E6090" s="1">
        <f>IF(Tabela1[[#This Row],[promien]]=40000,1,0)</f>
        <v>0</v>
      </c>
      <c r="F6090" s="1">
        <v>3.1658456486042694</v>
      </c>
      <c r="G6090" s="1">
        <v>2.4252995014476308E-2</v>
      </c>
    </row>
    <row r="6091" spans="1:7">
      <c r="A6091">
        <v>79</v>
      </c>
      <c r="B6091">
        <v>313</v>
      </c>
      <c r="C6091" s="1">
        <f>(Tabela1[[#This Row],[x]]-H$3)*(Tabela1[[#This Row],[x]]-H$3) +(Tabela1[[#This Row],[y]]-H$4)*(Tabela1[[#This Row],[y]]-H$4)</f>
        <v>27410</v>
      </c>
      <c r="D6091" s="1">
        <f>IF(Tabela1[[#This Row],[promien]]&lt;40000,1,0)</f>
        <v>1</v>
      </c>
      <c r="E6091" s="1">
        <f>IF(Tabela1[[#This Row],[promien]]=40000,1,0)</f>
        <v>0</v>
      </c>
      <c r="F6091" s="1">
        <v>3.1659825972746676</v>
      </c>
      <c r="G6091" s="1">
        <v>2.438994368487446E-2</v>
      </c>
    </row>
    <row r="6092" spans="1:7">
      <c r="A6092">
        <v>235</v>
      </c>
      <c r="B6092">
        <v>27</v>
      </c>
      <c r="C6092" s="1">
        <f>(Tabela1[[#This Row],[x]]-H$3)*(Tabela1[[#This Row],[x]]-H$3) +(Tabela1[[#This Row],[y]]-H$4)*(Tabela1[[#This Row],[y]]-H$4)</f>
        <v>31154</v>
      </c>
      <c r="D6092" s="1">
        <f>IF(Tabela1[[#This Row],[promien]]&lt;40000,1,0)</f>
        <v>1</v>
      </c>
      <c r="E6092" s="1">
        <f>IF(Tabela1[[#This Row],[promien]]=40000,1,0)</f>
        <v>0</v>
      </c>
      <c r="F6092" s="1">
        <v>3.1661195009848981</v>
      </c>
      <c r="G6092" s="1">
        <v>2.4526847395105023E-2</v>
      </c>
    </row>
    <row r="6093" spans="1:7">
      <c r="A6093">
        <v>234</v>
      </c>
      <c r="B6093">
        <v>327</v>
      </c>
      <c r="C6093" s="1">
        <f>(Tabela1[[#This Row],[x]]-H$3)*(Tabela1[[#This Row],[x]]-H$3) +(Tabela1[[#This Row],[y]]-H$4)*(Tabela1[[#This Row],[y]]-H$4)</f>
        <v>17285</v>
      </c>
      <c r="D6093" s="1">
        <f>IF(Tabela1[[#This Row],[promien]]&lt;40000,1,0)</f>
        <v>1</v>
      </c>
      <c r="E6093" s="1">
        <f>IF(Tabela1[[#This Row],[promien]]=40000,1,0)</f>
        <v>0</v>
      </c>
      <c r="F6093" s="1">
        <v>3.1662563597570985</v>
      </c>
      <c r="G6093" s="1">
        <v>2.4663706167305399E-2</v>
      </c>
    </row>
    <row r="6094" spans="1:7">
      <c r="A6094">
        <v>370</v>
      </c>
      <c r="B6094">
        <v>153</v>
      </c>
      <c r="C6094" s="1">
        <f>(Tabela1[[#This Row],[x]]-H$3)*(Tabela1[[#This Row],[x]]-H$3) +(Tabela1[[#This Row],[y]]-H$4)*(Tabela1[[#This Row],[y]]-H$4)</f>
        <v>31109</v>
      </c>
      <c r="D6094" s="1">
        <f>IF(Tabela1[[#This Row],[promien]]&lt;40000,1,0)</f>
        <v>1</v>
      </c>
      <c r="E6094" s="1">
        <f>IF(Tabela1[[#This Row],[promien]]=40000,1,0)</f>
        <v>0</v>
      </c>
      <c r="F6094" s="1">
        <v>3.1663931736133901</v>
      </c>
      <c r="G6094" s="1">
        <v>2.4800520023597006E-2</v>
      </c>
    </row>
    <row r="6095" spans="1:7">
      <c r="A6095">
        <v>249</v>
      </c>
      <c r="B6095">
        <v>366</v>
      </c>
      <c r="C6095" s="1">
        <f>(Tabela1[[#This Row],[x]]-H$3)*(Tabela1[[#This Row],[x]]-H$3) +(Tabela1[[#This Row],[y]]-H$4)*(Tabela1[[#This Row],[y]]-H$4)</f>
        <v>29957</v>
      </c>
      <c r="D6095" s="1">
        <f>IF(Tabela1[[#This Row],[promien]]&lt;40000,1,0)</f>
        <v>1</v>
      </c>
      <c r="E6095" s="1">
        <f>IF(Tabela1[[#This Row],[promien]]=40000,1,0)</f>
        <v>0</v>
      </c>
      <c r="F6095" s="1">
        <v>3.1665299425758819</v>
      </c>
      <c r="G6095" s="1">
        <v>2.4937288986088824E-2</v>
      </c>
    </row>
    <row r="6096" spans="1:7">
      <c r="A6096">
        <v>130</v>
      </c>
      <c r="B6096">
        <v>13</v>
      </c>
      <c r="C6096" s="1">
        <f>(Tabela1[[#This Row],[x]]-H$3)*(Tabela1[[#This Row],[x]]-H$3) +(Tabela1[[#This Row],[y]]-H$4)*(Tabela1[[#This Row],[y]]-H$4)</f>
        <v>39869</v>
      </c>
      <c r="D6096" s="1">
        <f>IF(Tabela1[[#This Row],[promien]]&lt;40000,1,0)</f>
        <v>1</v>
      </c>
      <c r="E6096" s="1">
        <f>IF(Tabela1[[#This Row],[promien]]=40000,1,0)</f>
        <v>0</v>
      </c>
      <c r="F6096" s="1">
        <v>3.1666666666666665</v>
      </c>
      <c r="G6096" s="1">
        <v>2.5074013076873403E-2</v>
      </c>
    </row>
    <row r="6097" spans="1:7">
      <c r="A6097">
        <v>297</v>
      </c>
      <c r="B6097">
        <v>80</v>
      </c>
      <c r="C6097" s="1">
        <f>(Tabela1[[#This Row],[x]]-H$3)*(Tabela1[[#This Row],[x]]-H$3) +(Tabela1[[#This Row],[y]]-H$4)*(Tabela1[[#This Row],[y]]-H$4)</f>
        <v>23809</v>
      </c>
      <c r="D6097" s="1">
        <f>IF(Tabela1[[#This Row],[promien]]&lt;40000,1,0)</f>
        <v>1</v>
      </c>
      <c r="E6097" s="1">
        <f>IF(Tabela1[[#This Row],[promien]]=40000,1,0)</f>
        <v>0</v>
      </c>
      <c r="F6097" s="1">
        <v>3.1668033459078235</v>
      </c>
      <c r="G6097" s="1">
        <v>2.5210692318030414E-2</v>
      </c>
    </row>
    <row r="6098" spans="1:7">
      <c r="A6098">
        <v>371</v>
      </c>
      <c r="B6098">
        <v>72</v>
      </c>
      <c r="C6098" s="1">
        <f>(Tabela1[[#This Row],[x]]-H$3)*(Tabela1[[#This Row],[x]]-H$3) +(Tabela1[[#This Row],[y]]-H$4)*(Tabela1[[#This Row],[y]]-H$4)</f>
        <v>45625</v>
      </c>
      <c r="D6098" s="1">
        <f>IF(Tabela1[[#This Row],[promien]]&lt;40000,1,0)</f>
        <v>0</v>
      </c>
      <c r="E6098" s="1">
        <f>IF(Tabela1[[#This Row],[promien]]=40000,1,0)</f>
        <v>0</v>
      </c>
      <c r="F6098" s="1">
        <v>3.1662840275500166</v>
      </c>
      <c r="G6098" s="1">
        <v>2.4691373960223473E-2</v>
      </c>
    </row>
    <row r="6099" spans="1:7">
      <c r="A6099">
        <v>202</v>
      </c>
      <c r="B6099">
        <v>99</v>
      </c>
      <c r="C6099" s="1">
        <f>(Tabela1[[#This Row],[x]]-H$3)*(Tabela1[[#This Row],[x]]-H$3) +(Tabela1[[#This Row],[y]]-H$4)*(Tabela1[[#This Row],[y]]-H$4)</f>
        <v>10205</v>
      </c>
      <c r="D6099" s="1">
        <f>IF(Tabela1[[#This Row],[promien]]&lt;40000,1,0)</f>
        <v>1</v>
      </c>
      <c r="E6099" s="1">
        <f>IF(Tabela1[[#This Row],[promien]]=40000,1,0)</f>
        <v>0</v>
      </c>
      <c r="F6099" s="1">
        <v>3.1664207247089688</v>
      </c>
      <c r="G6099" s="1">
        <v>2.4828071119175732E-2</v>
      </c>
    </row>
    <row r="6100" spans="1:7">
      <c r="A6100">
        <v>246</v>
      </c>
      <c r="B6100">
        <v>86</v>
      </c>
      <c r="C6100" s="1">
        <f>(Tabela1[[#This Row],[x]]-H$3)*(Tabela1[[#This Row],[x]]-H$3) +(Tabela1[[#This Row],[y]]-H$4)*(Tabela1[[#This Row],[y]]-H$4)</f>
        <v>15112</v>
      </c>
      <c r="D6100" s="1">
        <f>IF(Tabela1[[#This Row],[promien]]&lt;40000,1,0)</f>
        <v>1</v>
      </c>
      <c r="E6100" s="1">
        <f>IF(Tabela1[[#This Row],[promien]]=40000,1,0)</f>
        <v>0</v>
      </c>
      <c r="F6100" s="1">
        <v>3.1665573770491804</v>
      </c>
      <c r="G6100" s="1">
        <v>2.4964723459387272E-2</v>
      </c>
    </row>
    <row r="6101" spans="1:7">
      <c r="A6101">
        <v>91</v>
      </c>
      <c r="B6101">
        <v>103</v>
      </c>
      <c r="C6101" s="1">
        <f>(Tabela1[[#This Row],[x]]-H$3)*(Tabela1[[#This Row],[x]]-H$3) +(Tabela1[[#This Row],[y]]-H$4)*(Tabela1[[#This Row],[y]]-H$4)</f>
        <v>21290</v>
      </c>
      <c r="D6101" s="1">
        <f>IF(Tabela1[[#This Row],[promien]]&lt;40000,1,0)</f>
        <v>1</v>
      </c>
      <c r="E6101" s="1">
        <f>IF(Tabela1[[#This Row],[promien]]=40000,1,0)</f>
        <v>0</v>
      </c>
      <c r="F6101" s="1">
        <v>3.1666939845926896</v>
      </c>
      <c r="G6101" s="1">
        <v>2.5101331002896465E-2</v>
      </c>
    </row>
    <row r="6102" spans="1:7">
      <c r="A6102">
        <v>287</v>
      </c>
      <c r="B6102">
        <v>50</v>
      </c>
      <c r="C6102" s="1">
        <f>(Tabela1[[#This Row],[x]]-H$3)*(Tabela1[[#This Row],[x]]-H$3) +(Tabela1[[#This Row],[y]]-H$4)*(Tabela1[[#This Row],[y]]-H$4)</f>
        <v>30069</v>
      </c>
      <c r="D6102" s="1">
        <f>IF(Tabela1[[#This Row],[promien]]&lt;40000,1,0)</f>
        <v>1</v>
      </c>
      <c r="E6102" s="1">
        <f>IF(Tabela1[[#This Row],[promien]]=40000,1,0)</f>
        <v>0</v>
      </c>
      <c r="F6102" s="1">
        <v>3.166830547361521</v>
      </c>
      <c r="G6102" s="1">
        <v>2.5237893771727915E-2</v>
      </c>
    </row>
    <row r="6103" spans="1:7">
      <c r="A6103">
        <v>186</v>
      </c>
      <c r="B6103">
        <v>266</v>
      </c>
      <c r="C6103" s="1">
        <f>(Tabela1[[#This Row],[x]]-H$3)*(Tabela1[[#This Row],[x]]-H$3) +(Tabela1[[#This Row],[y]]-H$4)*(Tabela1[[#This Row],[y]]-H$4)</f>
        <v>4552</v>
      </c>
      <c r="D6103" s="1">
        <f>IF(Tabela1[[#This Row],[promien]]&lt;40000,1,0)</f>
        <v>1</v>
      </c>
      <c r="E6103" s="1">
        <f>IF(Tabela1[[#This Row],[promien]]=40000,1,0)</f>
        <v>0</v>
      </c>
      <c r="F6103" s="1">
        <v>3.1669670653776829</v>
      </c>
      <c r="G6103" s="1">
        <v>2.5374411787889795E-2</v>
      </c>
    </row>
    <row r="6104" spans="1:7">
      <c r="A6104">
        <v>376</v>
      </c>
      <c r="B6104">
        <v>242</v>
      </c>
      <c r="C6104" s="1">
        <f>(Tabela1[[#This Row],[x]]-H$3)*(Tabela1[[#This Row],[x]]-H$3) +(Tabela1[[#This Row],[y]]-H$4)*(Tabela1[[#This Row],[y]]-H$4)</f>
        <v>32740</v>
      </c>
      <c r="D6104" s="1">
        <f>IF(Tabela1[[#This Row],[promien]]&lt;40000,1,0)</f>
        <v>1</v>
      </c>
      <c r="E6104" s="1">
        <f>IF(Tabela1[[#This Row],[promien]]=40000,1,0)</f>
        <v>0</v>
      </c>
      <c r="F6104" s="1">
        <v>3.1671035386631718</v>
      </c>
      <c r="G6104" s="1">
        <v>2.5510885073378731E-2</v>
      </c>
    </row>
    <row r="6105" spans="1:7">
      <c r="A6105">
        <v>148</v>
      </c>
      <c r="B6105">
        <v>142</v>
      </c>
      <c r="C6105" s="1">
        <f>(Tabela1[[#This Row],[x]]-H$3)*(Tabela1[[#This Row],[x]]-H$3) +(Tabela1[[#This Row],[y]]-H$4)*(Tabela1[[#This Row],[y]]-H$4)</f>
        <v>6068</v>
      </c>
      <c r="D6105" s="1">
        <f>IF(Tabela1[[#This Row],[promien]]&lt;40000,1,0)</f>
        <v>1</v>
      </c>
      <c r="E6105" s="1">
        <f>IF(Tabela1[[#This Row],[promien]]=40000,1,0)</f>
        <v>0</v>
      </c>
      <c r="F6105" s="1">
        <v>3.1672399672399671</v>
      </c>
      <c r="G6105" s="1">
        <v>2.5647313650174031E-2</v>
      </c>
    </row>
    <row r="6106" spans="1:7">
      <c r="A6106">
        <v>146</v>
      </c>
      <c r="B6106">
        <v>219</v>
      </c>
      <c r="C6106" s="1">
        <f>(Tabela1[[#This Row],[x]]-H$3)*(Tabela1[[#This Row],[x]]-H$3) +(Tabela1[[#This Row],[y]]-H$4)*(Tabela1[[#This Row],[y]]-H$4)</f>
        <v>3277</v>
      </c>
      <c r="D6106" s="1">
        <f>IF(Tabela1[[#This Row],[promien]]&lt;40000,1,0)</f>
        <v>1</v>
      </c>
      <c r="E6106" s="1">
        <f>IF(Tabela1[[#This Row],[promien]]=40000,1,0)</f>
        <v>0</v>
      </c>
      <c r="F6106" s="1">
        <v>3.1673763511300361</v>
      </c>
      <c r="G6106" s="1">
        <v>2.5783697540243011E-2</v>
      </c>
    </row>
    <row r="6107" spans="1:7">
      <c r="A6107">
        <v>358</v>
      </c>
      <c r="B6107">
        <v>200</v>
      </c>
      <c r="C6107" s="1">
        <f>(Tabela1[[#This Row],[x]]-H$3)*(Tabela1[[#This Row],[x]]-H$3) +(Tabela1[[#This Row],[y]]-H$4)*(Tabela1[[#This Row],[y]]-H$4)</f>
        <v>24964</v>
      </c>
      <c r="D6107" s="1">
        <f>IF(Tabela1[[#This Row],[promien]]&lt;40000,1,0)</f>
        <v>1</v>
      </c>
      <c r="E6107" s="1">
        <f>IF(Tabela1[[#This Row],[promien]]=40000,1,0)</f>
        <v>0</v>
      </c>
      <c r="F6107" s="1">
        <v>3.1675126903553301</v>
      </c>
      <c r="G6107" s="1">
        <v>2.5920036765537002E-2</v>
      </c>
    </row>
    <row r="6108" spans="1:7">
      <c r="A6108">
        <v>260</v>
      </c>
      <c r="B6108">
        <v>315</v>
      </c>
      <c r="C6108" s="1">
        <f>(Tabela1[[#This Row],[x]]-H$3)*(Tabela1[[#This Row],[x]]-H$3) +(Tabela1[[#This Row],[y]]-H$4)*(Tabela1[[#This Row],[y]]-H$4)</f>
        <v>16825</v>
      </c>
      <c r="D6108" s="1">
        <f>IF(Tabela1[[#This Row],[promien]]&lt;40000,1,0)</f>
        <v>1</v>
      </c>
      <c r="E6108" s="1">
        <f>IF(Tabela1[[#This Row],[promien]]=40000,1,0)</f>
        <v>0</v>
      </c>
      <c r="F6108" s="1">
        <v>3.1676489849377867</v>
      </c>
      <c r="G6108" s="1">
        <v>2.6056331347993567E-2</v>
      </c>
    </row>
    <row r="6109" spans="1:7">
      <c r="A6109">
        <v>225</v>
      </c>
      <c r="B6109">
        <v>127</v>
      </c>
      <c r="C6109" s="1">
        <f>(Tabela1[[#This Row],[x]]-H$3)*(Tabela1[[#This Row],[x]]-H$3) +(Tabela1[[#This Row],[y]]-H$4)*(Tabela1[[#This Row],[y]]-H$4)</f>
        <v>5954</v>
      </c>
      <c r="D6109" s="1">
        <f>IF(Tabela1[[#This Row],[promien]]&lt;40000,1,0)</f>
        <v>1</v>
      </c>
      <c r="E6109" s="1">
        <f>IF(Tabela1[[#This Row],[promien]]=40000,1,0)</f>
        <v>0</v>
      </c>
      <c r="F6109" s="1">
        <v>3.1677852348993287</v>
      </c>
      <c r="G6109" s="1">
        <v>2.6192581309535612E-2</v>
      </c>
    </row>
    <row r="6110" spans="1:7">
      <c r="A6110">
        <v>271</v>
      </c>
      <c r="B6110">
        <v>339</v>
      </c>
      <c r="C6110" s="1">
        <f>(Tabela1[[#This Row],[x]]-H$3)*(Tabela1[[#This Row],[x]]-H$3) +(Tabela1[[#This Row],[y]]-H$4)*(Tabela1[[#This Row],[y]]-H$4)</f>
        <v>24362</v>
      </c>
      <c r="D6110" s="1">
        <f>IF(Tabela1[[#This Row],[promien]]&lt;40000,1,0)</f>
        <v>1</v>
      </c>
      <c r="E6110" s="1">
        <f>IF(Tabela1[[#This Row],[promien]]=40000,1,0)</f>
        <v>0</v>
      </c>
      <c r="F6110" s="1">
        <v>3.1679214402618658</v>
      </c>
      <c r="G6110" s="1">
        <v>2.6328786672072724E-2</v>
      </c>
    </row>
    <row r="6111" spans="1:7">
      <c r="A6111">
        <v>19</v>
      </c>
      <c r="B6111">
        <v>15</v>
      </c>
      <c r="C6111" s="1">
        <f>(Tabela1[[#This Row],[x]]-H$3)*(Tabela1[[#This Row],[x]]-H$3) +(Tabela1[[#This Row],[y]]-H$4)*(Tabela1[[#This Row],[y]]-H$4)</f>
        <v>66986</v>
      </c>
      <c r="D6111" s="1">
        <f>IF(Tabela1[[#This Row],[promien]]&lt;40000,1,0)</f>
        <v>0</v>
      </c>
      <c r="E6111" s="1">
        <f>IF(Tabela1[[#This Row],[promien]]=40000,1,0)</f>
        <v>0</v>
      </c>
      <c r="F6111" s="1">
        <v>3.1674030436917033</v>
      </c>
      <c r="G6111" s="1">
        <v>2.5810390101910219E-2</v>
      </c>
    </row>
    <row r="6112" spans="1:7">
      <c r="A6112">
        <v>286</v>
      </c>
      <c r="B6112">
        <v>395</v>
      </c>
      <c r="C6112" s="1">
        <f>(Tabela1[[#This Row],[x]]-H$3)*(Tabela1[[#This Row],[x]]-H$3) +(Tabela1[[#This Row],[y]]-H$4)*(Tabela1[[#This Row],[y]]-H$4)</f>
        <v>45421</v>
      </c>
      <c r="D6112" s="1">
        <f>IF(Tabela1[[#This Row],[promien]]&lt;40000,1,0)</f>
        <v>0</v>
      </c>
      <c r="E6112" s="1">
        <f>IF(Tabela1[[#This Row],[promien]]=40000,1,0)</f>
        <v>0</v>
      </c>
      <c r="F6112" s="1">
        <v>3.1668848167539267</v>
      </c>
      <c r="G6112" s="1">
        <v>2.529216316413363E-2</v>
      </c>
    </row>
    <row r="6113" spans="1:7">
      <c r="A6113">
        <v>189</v>
      </c>
      <c r="B6113">
        <v>321</v>
      </c>
      <c r="C6113" s="1">
        <f>(Tabela1[[#This Row],[x]]-H$3)*(Tabela1[[#This Row],[x]]-H$3) +(Tabela1[[#This Row],[y]]-H$4)*(Tabela1[[#This Row],[y]]-H$4)</f>
        <v>14762</v>
      </c>
      <c r="D6113" s="1">
        <f>IF(Tabela1[[#This Row],[promien]]&lt;40000,1,0)</f>
        <v>1</v>
      </c>
      <c r="E6113" s="1">
        <f>IF(Tabela1[[#This Row],[promien]]=40000,1,0)</f>
        <v>0</v>
      </c>
      <c r="F6113" s="1">
        <v>3.1670211025682971</v>
      </c>
      <c r="G6113" s="1">
        <v>2.5428448978503937E-2</v>
      </c>
    </row>
    <row r="6114" spans="1:7">
      <c r="A6114">
        <v>74</v>
      </c>
      <c r="B6114">
        <v>346</v>
      </c>
      <c r="C6114" s="1">
        <f>(Tabela1[[#This Row],[x]]-H$3)*(Tabela1[[#This Row],[x]]-H$3) +(Tabela1[[#This Row],[y]]-H$4)*(Tabela1[[#This Row],[y]]-H$4)</f>
        <v>37192</v>
      </c>
      <c r="D6114" s="1">
        <f>IF(Tabela1[[#This Row],[promien]]&lt;40000,1,0)</f>
        <v>1</v>
      </c>
      <c r="E6114" s="1">
        <f>IF(Tabela1[[#This Row],[promien]]=40000,1,0)</f>
        <v>0</v>
      </c>
      <c r="F6114" s="1">
        <v>3.167157343801112</v>
      </c>
      <c r="G6114" s="1">
        <v>2.5564690211318908E-2</v>
      </c>
    </row>
    <row r="6115" spans="1:7">
      <c r="A6115">
        <v>399</v>
      </c>
      <c r="B6115">
        <v>312</v>
      </c>
      <c r="C6115" s="1">
        <f>(Tabela1[[#This Row],[x]]-H$3)*(Tabela1[[#This Row],[x]]-H$3) +(Tabela1[[#This Row],[y]]-H$4)*(Tabela1[[#This Row],[y]]-H$4)</f>
        <v>52145</v>
      </c>
      <c r="D6115" s="1">
        <f>IF(Tabela1[[#This Row],[promien]]&lt;40000,1,0)</f>
        <v>0</v>
      </c>
      <c r="E6115" s="1">
        <f>IF(Tabela1[[#This Row],[promien]]=40000,1,0)</f>
        <v>0</v>
      </c>
      <c r="F6115" s="1">
        <v>3.1666394112837284</v>
      </c>
      <c r="G6115" s="1">
        <v>2.5046757693935273E-2</v>
      </c>
    </row>
    <row r="6116" spans="1:7">
      <c r="A6116">
        <v>294</v>
      </c>
      <c r="B6116">
        <v>325</v>
      </c>
      <c r="C6116" s="1">
        <f>(Tabela1[[#This Row],[x]]-H$3)*(Tabela1[[#This Row],[x]]-H$3) +(Tabela1[[#This Row],[y]]-H$4)*(Tabela1[[#This Row],[y]]-H$4)</f>
        <v>24461</v>
      </c>
      <c r="D6116" s="1">
        <f>IF(Tabela1[[#This Row],[promien]]&lt;40000,1,0)</f>
        <v>1</v>
      </c>
      <c r="E6116" s="1">
        <f>IF(Tabela1[[#This Row],[promien]]=40000,1,0)</f>
        <v>0</v>
      </c>
      <c r="F6116" s="1">
        <v>3.1667756703727927</v>
      </c>
      <c r="G6116" s="1">
        <v>2.5183016782999612E-2</v>
      </c>
    </row>
    <row r="6117" spans="1:7">
      <c r="A6117">
        <v>344</v>
      </c>
      <c r="B6117">
        <v>367</v>
      </c>
      <c r="C6117" s="1">
        <f>(Tabela1[[#This Row],[x]]-H$3)*(Tabela1[[#This Row],[x]]-H$3) +(Tabela1[[#This Row],[y]]-H$4)*(Tabela1[[#This Row],[y]]-H$4)</f>
        <v>48625</v>
      </c>
      <c r="D6117" s="1">
        <f>IF(Tabela1[[#This Row],[promien]]&lt;40000,1,0)</f>
        <v>0</v>
      </c>
      <c r="E6117" s="1">
        <f>IF(Tabela1[[#This Row],[promien]]=40000,1,0)</f>
        <v>0</v>
      </c>
      <c r="F6117" s="1">
        <v>3.1662579695929378</v>
      </c>
      <c r="G6117" s="1">
        <v>2.4665316003144699E-2</v>
      </c>
    </row>
    <row r="6118" spans="1:7">
      <c r="A6118">
        <v>7</v>
      </c>
      <c r="B6118">
        <v>381</v>
      </c>
      <c r="C6118" s="1">
        <f>(Tabela1[[#This Row],[x]]-H$3)*(Tabela1[[#This Row],[x]]-H$3) +(Tabela1[[#This Row],[y]]-H$4)*(Tabela1[[#This Row],[y]]-H$4)</f>
        <v>70010</v>
      </c>
      <c r="D6118" s="1">
        <f>IF(Tabela1[[#This Row],[promien]]&lt;40000,1,0)</f>
        <v>0</v>
      </c>
      <c r="E6118" s="1">
        <f>IF(Tabela1[[#This Row],[promien]]=40000,1,0)</f>
        <v>0</v>
      </c>
      <c r="F6118" s="1">
        <v>3.165740438051651</v>
      </c>
      <c r="G6118" s="1">
        <v>2.4147784461857835E-2</v>
      </c>
    </row>
    <row r="6119" spans="1:7">
      <c r="A6119">
        <v>43</v>
      </c>
      <c r="B6119">
        <v>46</v>
      </c>
      <c r="C6119" s="1">
        <f>(Tabela1[[#This Row],[x]]-H$3)*(Tabela1[[#This Row],[x]]-H$3) +(Tabela1[[#This Row],[y]]-H$4)*(Tabela1[[#This Row],[y]]-H$4)</f>
        <v>48365</v>
      </c>
      <c r="D6119" s="1">
        <f>IF(Tabela1[[#This Row],[promien]]&lt;40000,1,0)</f>
        <v>0</v>
      </c>
      <c r="E6119" s="1">
        <f>IF(Tabela1[[#This Row],[promien]]=40000,1,0)</f>
        <v>0</v>
      </c>
      <c r="F6119" s="1">
        <v>3.1652230756659585</v>
      </c>
      <c r="G6119" s="1">
        <v>2.3630422076165392E-2</v>
      </c>
    </row>
    <row r="6120" spans="1:7">
      <c r="A6120">
        <v>243</v>
      </c>
      <c r="B6120">
        <v>221</v>
      </c>
      <c r="C6120" s="1">
        <f>(Tabela1[[#This Row],[x]]-H$3)*(Tabela1[[#This Row],[x]]-H$3) +(Tabela1[[#This Row],[y]]-H$4)*(Tabela1[[#This Row],[y]]-H$4)</f>
        <v>2290</v>
      </c>
      <c r="D6120" s="1">
        <f>IF(Tabela1[[#This Row],[promien]]&lt;40000,1,0)</f>
        <v>1</v>
      </c>
      <c r="E6120" s="1">
        <f>IF(Tabela1[[#This Row],[promien]]=40000,1,0)</f>
        <v>0</v>
      </c>
      <c r="F6120" s="1">
        <v>3.1653594771241829</v>
      </c>
      <c r="G6120" s="1">
        <v>2.3766823534389747E-2</v>
      </c>
    </row>
    <row r="6121" spans="1:7">
      <c r="A6121">
        <v>368</v>
      </c>
      <c r="B6121">
        <v>205</v>
      </c>
      <c r="C6121" s="1">
        <f>(Tabela1[[#This Row],[x]]-H$3)*(Tabela1[[#This Row],[x]]-H$3) +(Tabela1[[#This Row],[y]]-H$4)*(Tabela1[[#This Row],[y]]-H$4)</f>
        <v>28249</v>
      </c>
      <c r="D6121" s="1">
        <f>IF(Tabela1[[#This Row],[promien]]&lt;40000,1,0)</f>
        <v>1</v>
      </c>
      <c r="E6121" s="1">
        <f>IF(Tabela1[[#This Row],[promien]]=40000,1,0)</f>
        <v>0</v>
      </c>
      <c r="F6121" s="1">
        <v>3.1654958340140502</v>
      </c>
      <c r="G6121" s="1">
        <v>2.3903180424257098E-2</v>
      </c>
    </row>
    <row r="6122" spans="1:7">
      <c r="A6122">
        <v>310</v>
      </c>
      <c r="B6122">
        <v>88</v>
      </c>
      <c r="C6122" s="1">
        <f>(Tabela1[[#This Row],[x]]-H$3)*(Tabela1[[#This Row],[x]]-H$3) +(Tabela1[[#This Row],[y]]-H$4)*(Tabela1[[#This Row],[y]]-H$4)</f>
        <v>24644</v>
      </c>
      <c r="D6122" s="1">
        <f>IF(Tabela1[[#This Row],[promien]]&lt;40000,1,0)</f>
        <v>1</v>
      </c>
      <c r="E6122" s="1">
        <f>IF(Tabela1[[#This Row],[promien]]=40000,1,0)</f>
        <v>0</v>
      </c>
      <c r="F6122" s="1">
        <v>3.1656321463573995</v>
      </c>
      <c r="G6122" s="1">
        <v>2.4039492767606419E-2</v>
      </c>
    </row>
    <row r="6123" spans="1:7">
      <c r="A6123">
        <v>243</v>
      </c>
      <c r="B6123">
        <v>135</v>
      </c>
      <c r="C6123" s="1">
        <f>(Tabela1[[#This Row],[x]]-H$3)*(Tabela1[[#This Row],[x]]-H$3) +(Tabela1[[#This Row],[y]]-H$4)*(Tabela1[[#This Row],[y]]-H$4)</f>
        <v>6074</v>
      </c>
      <c r="D6123" s="1">
        <f>IF(Tabela1[[#This Row],[promien]]&lt;40000,1,0)</f>
        <v>1</v>
      </c>
      <c r="E6123" s="1">
        <f>IF(Tabela1[[#This Row],[promien]]=40000,1,0)</f>
        <v>0</v>
      </c>
      <c r="F6123" s="1">
        <v>3.1657684141760574</v>
      </c>
      <c r="G6123" s="1">
        <v>2.417576058626425E-2</v>
      </c>
    </row>
    <row r="6124" spans="1:7">
      <c r="A6124">
        <v>220</v>
      </c>
      <c r="B6124">
        <v>192</v>
      </c>
      <c r="C6124" s="1">
        <f>(Tabela1[[#This Row],[x]]-H$3)*(Tabela1[[#This Row],[x]]-H$3) +(Tabela1[[#This Row],[y]]-H$4)*(Tabela1[[#This Row],[y]]-H$4)</f>
        <v>464</v>
      </c>
      <c r="D6124" s="1">
        <f>IF(Tabela1[[#This Row],[promien]]&lt;40000,1,0)</f>
        <v>1</v>
      </c>
      <c r="E6124" s="1">
        <f>IF(Tabela1[[#This Row],[promien]]=40000,1,0)</f>
        <v>0</v>
      </c>
      <c r="F6124" s="1">
        <v>3.1659046374918356</v>
      </c>
      <c r="G6124" s="1">
        <v>2.4311983902042478E-2</v>
      </c>
    </row>
    <row r="6125" spans="1:7">
      <c r="A6125">
        <v>267</v>
      </c>
      <c r="B6125">
        <v>316</v>
      </c>
      <c r="C6125" s="1">
        <f>(Tabela1[[#This Row],[x]]-H$3)*(Tabela1[[#This Row],[x]]-H$3) +(Tabela1[[#This Row],[y]]-H$4)*(Tabela1[[#This Row],[y]]-H$4)</f>
        <v>17945</v>
      </c>
      <c r="D6125" s="1">
        <f>IF(Tabela1[[#This Row],[promien]]&lt;40000,1,0)</f>
        <v>1</v>
      </c>
      <c r="E6125" s="1">
        <f>IF(Tabela1[[#This Row],[promien]]=40000,1,0)</f>
        <v>0</v>
      </c>
      <c r="F6125" s="1">
        <v>3.1660408163265306</v>
      </c>
      <c r="G6125" s="1">
        <v>2.4448162736737444E-2</v>
      </c>
    </row>
    <row r="6126" spans="1:7">
      <c r="A6126">
        <v>15</v>
      </c>
      <c r="B6126">
        <v>369</v>
      </c>
      <c r="C6126" s="1">
        <f>(Tabela1[[#This Row],[x]]-H$3)*(Tabela1[[#This Row],[x]]-H$3) +(Tabela1[[#This Row],[y]]-H$4)*(Tabela1[[#This Row],[y]]-H$4)</f>
        <v>62786</v>
      </c>
      <c r="D6126" s="1">
        <f>IF(Tabela1[[#This Row],[promien]]&lt;40000,1,0)</f>
        <v>0</v>
      </c>
      <c r="E6126" s="1">
        <f>IF(Tabela1[[#This Row],[promien]]=40000,1,0)</f>
        <v>0</v>
      </c>
      <c r="F6126" s="1">
        <v>3.1655239960822721</v>
      </c>
      <c r="G6126" s="1">
        <v>2.3931342492478969E-2</v>
      </c>
    </row>
    <row r="6127" spans="1:7">
      <c r="A6127">
        <v>166</v>
      </c>
      <c r="B6127">
        <v>27</v>
      </c>
      <c r="C6127" s="1">
        <f>(Tabela1[[#This Row],[x]]-H$3)*(Tabela1[[#This Row],[x]]-H$3) +(Tabela1[[#This Row],[y]]-H$4)*(Tabela1[[#This Row],[y]]-H$4)</f>
        <v>31085</v>
      </c>
      <c r="D6127" s="1">
        <f>IF(Tabela1[[#This Row],[promien]]&lt;40000,1,0)</f>
        <v>1</v>
      </c>
      <c r="E6127" s="1">
        <f>IF(Tabela1[[#This Row],[promien]]=40000,1,0)</f>
        <v>0</v>
      </c>
      <c r="F6127" s="1">
        <v>3.1656601925901748</v>
      </c>
      <c r="G6127" s="1">
        <v>2.4067539000381721E-2</v>
      </c>
    </row>
    <row r="6128" spans="1:7">
      <c r="A6128">
        <v>76</v>
      </c>
      <c r="B6128">
        <v>47</v>
      </c>
      <c r="C6128" s="1">
        <f>(Tabela1[[#This Row],[x]]-H$3)*(Tabela1[[#This Row],[x]]-H$3) +(Tabela1[[#This Row],[y]]-H$4)*(Tabela1[[#This Row],[y]]-H$4)</f>
        <v>38785</v>
      </c>
      <c r="D6128" s="1">
        <f>IF(Tabela1[[#This Row],[promien]]&lt;40000,1,0)</f>
        <v>1</v>
      </c>
      <c r="E6128" s="1">
        <f>IF(Tabela1[[#This Row],[promien]]=40000,1,0)</f>
        <v>0</v>
      </c>
      <c r="F6128" s="1">
        <v>3.1657963446475197</v>
      </c>
      <c r="G6128" s="1">
        <v>2.4203691057726573E-2</v>
      </c>
    </row>
    <row r="6129" spans="1:7">
      <c r="A6129">
        <v>48</v>
      </c>
      <c r="B6129">
        <v>114</v>
      </c>
      <c r="C6129" s="1">
        <f>(Tabela1[[#This Row],[x]]-H$3)*(Tabela1[[#This Row],[x]]-H$3) +(Tabela1[[#This Row],[y]]-H$4)*(Tabela1[[#This Row],[y]]-H$4)</f>
        <v>30500</v>
      </c>
      <c r="D6129" s="1">
        <f>IF(Tabela1[[#This Row],[promien]]&lt;40000,1,0)</f>
        <v>1</v>
      </c>
      <c r="E6129" s="1">
        <f>IF(Tabela1[[#This Row],[promien]]=40000,1,0)</f>
        <v>0</v>
      </c>
      <c r="F6129" s="1">
        <v>3.1659324522760648</v>
      </c>
      <c r="G6129" s="1">
        <v>2.4339798686271674E-2</v>
      </c>
    </row>
    <row r="6130" spans="1:7">
      <c r="A6130">
        <v>69</v>
      </c>
      <c r="B6130">
        <v>3</v>
      </c>
      <c r="C6130" s="1">
        <f>(Tabela1[[#This Row],[x]]-H$3)*(Tabela1[[#This Row],[x]]-H$3) +(Tabela1[[#This Row],[y]]-H$4)*(Tabela1[[#This Row],[y]]-H$4)</f>
        <v>55970</v>
      </c>
      <c r="D6130" s="1">
        <f>IF(Tabela1[[#This Row],[promien]]&lt;40000,1,0)</f>
        <v>0</v>
      </c>
      <c r="E6130" s="1">
        <f>IF(Tabela1[[#This Row],[promien]]=40000,1,0)</f>
        <v>0</v>
      </c>
      <c r="F6130" s="1">
        <v>3.1654159869494292</v>
      </c>
      <c r="G6130" s="1">
        <v>2.3823333359636045E-2</v>
      </c>
    </row>
    <row r="6131" spans="1:7">
      <c r="A6131">
        <v>268</v>
      </c>
      <c r="B6131">
        <v>49</v>
      </c>
      <c r="C6131" s="1">
        <f>(Tabela1[[#This Row],[x]]-H$3)*(Tabela1[[#This Row],[x]]-H$3) +(Tabela1[[#This Row],[y]]-H$4)*(Tabela1[[#This Row],[y]]-H$4)</f>
        <v>27425</v>
      </c>
      <c r="D6131" s="1">
        <f>IF(Tabela1[[#This Row],[promien]]&lt;40000,1,0)</f>
        <v>1</v>
      </c>
      <c r="E6131" s="1">
        <f>IF(Tabela1[[#This Row],[promien]]=40000,1,0)</f>
        <v>0</v>
      </c>
      <c r="F6131" s="1">
        <v>3.1655521122166039</v>
      </c>
      <c r="G6131" s="1">
        <v>2.3959458626810815E-2</v>
      </c>
    </row>
    <row r="6132" spans="1:7">
      <c r="A6132">
        <v>327</v>
      </c>
      <c r="B6132">
        <v>142</v>
      </c>
      <c r="C6132" s="1">
        <f>(Tabela1[[#This Row],[x]]-H$3)*(Tabela1[[#This Row],[x]]-H$3) +(Tabela1[[#This Row],[y]]-H$4)*(Tabela1[[#This Row],[y]]-H$4)</f>
        <v>19493</v>
      </c>
      <c r="D6132" s="1">
        <f>IF(Tabela1[[#This Row],[promien]]&lt;40000,1,0)</f>
        <v>1</v>
      </c>
      <c r="E6132" s="1">
        <f>IF(Tabela1[[#This Row],[promien]]=40000,1,0)</f>
        <v>0</v>
      </c>
      <c r="F6132" s="1">
        <v>3.1656881930854532</v>
      </c>
      <c r="G6132" s="1">
        <v>2.4095539495660123E-2</v>
      </c>
    </row>
    <row r="6133" spans="1:7">
      <c r="A6133">
        <v>45</v>
      </c>
      <c r="B6133">
        <v>244</v>
      </c>
      <c r="C6133" s="1">
        <f>(Tabela1[[#This Row],[x]]-H$3)*(Tabela1[[#This Row],[x]]-H$3) +(Tabela1[[#This Row],[y]]-H$4)*(Tabela1[[#This Row],[y]]-H$4)</f>
        <v>25961</v>
      </c>
      <c r="D6133" s="1">
        <f>IF(Tabela1[[#This Row],[promien]]&lt;40000,1,0)</f>
        <v>1</v>
      </c>
      <c r="E6133" s="1">
        <f>IF(Tabela1[[#This Row],[promien]]=40000,1,0)</f>
        <v>0</v>
      </c>
      <c r="F6133" s="1">
        <v>3.1658242295776944</v>
      </c>
      <c r="G6133" s="1">
        <v>2.4231575987901266E-2</v>
      </c>
    </row>
    <row r="6134" spans="1:7">
      <c r="A6134">
        <v>217</v>
      </c>
      <c r="B6134">
        <v>174</v>
      </c>
      <c r="C6134" s="1">
        <f>(Tabela1[[#This Row],[x]]-H$3)*(Tabela1[[#This Row],[x]]-H$3) +(Tabela1[[#This Row],[y]]-H$4)*(Tabela1[[#This Row],[y]]-H$4)</f>
        <v>965</v>
      </c>
      <c r="D6134" s="1">
        <f>IF(Tabela1[[#This Row],[promien]]&lt;40000,1,0)</f>
        <v>1</v>
      </c>
      <c r="E6134" s="1">
        <f>IF(Tabela1[[#This Row],[promien]]=40000,1,0)</f>
        <v>0</v>
      </c>
      <c r="F6134" s="1">
        <v>3.1659602217150309</v>
      </c>
      <c r="G6134" s="1">
        <v>2.4367568125237771E-2</v>
      </c>
    </row>
    <row r="6135" spans="1:7">
      <c r="A6135">
        <v>217</v>
      </c>
      <c r="B6135">
        <v>7</v>
      </c>
      <c r="C6135" s="1">
        <f>(Tabela1[[#This Row],[x]]-H$3)*(Tabela1[[#This Row],[x]]-H$3) +(Tabela1[[#This Row],[y]]-H$4)*(Tabela1[[#This Row],[y]]-H$4)</f>
        <v>37538</v>
      </c>
      <c r="D6135" s="1">
        <f>IF(Tabela1[[#This Row],[promien]]&lt;40000,1,0)</f>
        <v>1</v>
      </c>
      <c r="E6135" s="1">
        <f>IF(Tabela1[[#This Row],[promien]]=40000,1,0)</f>
        <v>0</v>
      </c>
      <c r="F6135" s="1">
        <v>3.1660961695191525</v>
      </c>
      <c r="G6135" s="1">
        <v>2.4503515929359398E-2</v>
      </c>
    </row>
    <row r="6136" spans="1:7">
      <c r="A6136">
        <v>34</v>
      </c>
      <c r="B6136">
        <v>241</v>
      </c>
      <c r="C6136" s="1">
        <f>(Tabela1[[#This Row],[x]]-H$3)*(Tabela1[[#This Row],[x]]-H$3) +(Tabela1[[#This Row],[y]]-H$4)*(Tabela1[[#This Row],[y]]-H$4)</f>
        <v>29237</v>
      </c>
      <c r="D6136" s="1">
        <f>IF(Tabela1[[#This Row],[promien]]&lt;40000,1,0)</f>
        <v>1</v>
      </c>
      <c r="E6136" s="1">
        <f>IF(Tabela1[[#This Row],[promien]]=40000,1,0)</f>
        <v>0</v>
      </c>
      <c r="F6136" s="1">
        <v>3.1662320730117339</v>
      </c>
      <c r="G6136" s="1">
        <v>2.4639419421940811E-2</v>
      </c>
    </row>
    <row r="6137" spans="1:7">
      <c r="A6137">
        <v>59</v>
      </c>
      <c r="B6137">
        <v>319</v>
      </c>
      <c r="C6137" s="1">
        <f>(Tabela1[[#This Row],[x]]-H$3)*(Tabela1[[#This Row],[x]]-H$3) +(Tabela1[[#This Row],[y]]-H$4)*(Tabela1[[#This Row],[y]]-H$4)</f>
        <v>34042</v>
      </c>
      <c r="D6137" s="1">
        <f>IF(Tabela1[[#This Row],[promien]]&lt;40000,1,0)</f>
        <v>1</v>
      </c>
      <c r="E6137" s="1">
        <f>IF(Tabela1[[#This Row],[promien]]=40000,1,0)</f>
        <v>0</v>
      </c>
      <c r="F6137" s="1">
        <v>3.1663679322144369</v>
      </c>
      <c r="G6137" s="1">
        <v>2.4775278624643793E-2</v>
      </c>
    </row>
    <row r="6138" spans="1:7">
      <c r="A6138">
        <v>40</v>
      </c>
      <c r="B6138">
        <v>103</v>
      </c>
      <c r="C6138" s="1">
        <f>(Tabela1[[#This Row],[x]]-H$3)*(Tabela1[[#This Row],[x]]-H$3) +(Tabela1[[#This Row],[y]]-H$4)*(Tabela1[[#This Row],[y]]-H$4)</f>
        <v>35009</v>
      </c>
      <c r="D6138" s="1">
        <f>IF(Tabela1[[#This Row],[promien]]&lt;40000,1,0)</f>
        <v>1</v>
      </c>
      <c r="E6138" s="1">
        <f>IF(Tabela1[[#This Row],[promien]]=40000,1,0)</f>
        <v>0</v>
      </c>
      <c r="F6138" s="1">
        <v>3.1665037471489086</v>
      </c>
      <c r="G6138" s="1">
        <v>2.4911093559115471E-2</v>
      </c>
    </row>
    <row r="6139" spans="1:7">
      <c r="A6139">
        <v>128</v>
      </c>
      <c r="B6139">
        <v>33</v>
      </c>
      <c r="C6139" s="1">
        <f>(Tabela1[[#This Row],[x]]-H$3)*(Tabela1[[#This Row],[x]]-H$3) +(Tabela1[[#This Row],[y]]-H$4)*(Tabela1[[#This Row],[y]]-H$4)</f>
        <v>33073</v>
      </c>
      <c r="D6139" s="1">
        <f>IF(Tabela1[[#This Row],[promien]]&lt;40000,1,0)</f>
        <v>1</v>
      </c>
      <c r="E6139" s="1">
        <f>IF(Tabela1[[#This Row],[promien]]=40000,1,0)</f>
        <v>0</v>
      </c>
      <c r="F6139" s="1">
        <v>3.1666395178367814</v>
      </c>
      <c r="G6139" s="1">
        <v>2.5046864246988321E-2</v>
      </c>
    </row>
    <row r="6140" spans="1:7">
      <c r="A6140">
        <v>236</v>
      </c>
      <c r="B6140">
        <v>378</v>
      </c>
      <c r="C6140" s="1">
        <f>(Tabela1[[#This Row],[x]]-H$3)*(Tabela1[[#This Row],[x]]-H$3) +(Tabela1[[#This Row],[y]]-H$4)*(Tabela1[[#This Row],[y]]-H$4)</f>
        <v>32980</v>
      </c>
      <c r="D6140" s="1">
        <f>IF(Tabela1[[#This Row],[promien]]&lt;40000,1,0)</f>
        <v>1</v>
      </c>
      <c r="E6140" s="1">
        <f>IF(Tabela1[[#This Row],[promien]]=40000,1,0)</f>
        <v>0</v>
      </c>
      <c r="F6140" s="1">
        <v>3.1667752442996742</v>
      </c>
      <c r="G6140" s="1">
        <v>2.5182590709881048E-2</v>
      </c>
    </row>
    <row r="6141" spans="1:7">
      <c r="A6141">
        <v>165</v>
      </c>
      <c r="B6141">
        <v>232</v>
      </c>
      <c r="C6141" s="1">
        <f>(Tabela1[[#This Row],[x]]-H$3)*(Tabela1[[#This Row],[x]]-H$3) +(Tabela1[[#This Row],[y]]-H$4)*(Tabela1[[#This Row],[y]]-H$4)</f>
        <v>2249</v>
      </c>
      <c r="D6141" s="1">
        <f>IF(Tabela1[[#This Row],[promien]]&lt;40000,1,0)</f>
        <v>1</v>
      </c>
      <c r="E6141" s="1">
        <f>IF(Tabela1[[#This Row],[promien]]=40000,1,0)</f>
        <v>0</v>
      </c>
      <c r="F6141" s="1">
        <v>3.1669109265591922</v>
      </c>
      <c r="G6141" s="1">
        <v>2.5318272969399036E-2</v>
      </c>
    </row>
    <row r="6142" spans="1:7">
      <c r="A6142">
        <v>196</v>
      </c>
      <c r="B6142">
        <v>296</v>
      </c>
      <c r="C6142" s="1">
        <f>(Tabela1[[#This Row],[x]]-H$3)*(Tabela1[[#This Row],[x]]-H$3) +(Tabela1[[#This Row],[y]]-H$4)*(Tabela1[[#This Row],[y]]-H$4)</f>
        <v>9232</v>
      </c>
      <c r="D6142" s="1">
        <f>IF(Tabela1[[#This Row],[promien]]&lt;40000,1,0)</f>
        <v>1</v>
      </c>
      <c r="E6142" s="1">
        <f>IF(Tabela1[[#This Row],[promien]]=40000,1,0)</f>
        <v>0</v>
      </c>
      <c r="F6142" s="1">
        <v>3.1670465646369261</v>
      </c>
      <c r="G6142" s="1">
        <v>2.5453911047133015E-2</v>
      </c>
    </row>
    <row r="6143" spans="1:7">
      <c r="A6143">
        <v>202</v>
      </c>
      <c r="B6143">
        <v>339</v>
      </c>
      <c r="C6143" s="1">
        <f>(Tabela1[[#This Row],[x]]-H$3)*(Tabela1[[#This Row],[x]]-H$3) +(Tabela1[[#This Row],[y]]-H$4)*(Tabela1[[#This Row],[y]]-H$4)</f>
        <v>19325</v>
      </c>
      <c r="D6143" s="1">
        <f>IF(Tabela1[[#This Row],[promien]]&lt;40000,1,0)</f>
        <v>1</v>
      </c>
      <c r="E6143" s="1">
        <f>IF(Tabela1[[#This Row],[promien]]=40000,1,0)</f>
        <v>0</v>
      </c>
      <c r="F6143" s="1">
        <v>3.1671821585544522</v>
      </c>
      <c r="G6143" s="1">
        <v>2.558950496465906E-2</v>
      </c>
    </row>
    <row r="6144" spans="1:7">
      <c r="A6144">
        <v>64</v>
      </c>
      <c r="B6144">
        <v>314</v>
      </c>
      <c r="C6144" s="1">
        <f>(Tabela1[[#This Row],[x]]-H$3)*(Tabela1[[#This Row],[x]]-H$3) +(Tabela1[[#This Row],[y]]-H$4)*(Tabela1[[#This Row],[y]]-H$4)</f>
        <v>31492</v>
      </c>
      <c r="D6144" s="1">
        <f>IF(Tabela1[[#This Row],[promien]]&lt;40000,1,0)</f>
        <v>1</v>
      </c>
      <c r="E6144" s="1">
        <f>IF(Tabela1[[#This Row],[promien]]=40000,1,0)</f>
        <v>0</v>
      </c>
      <c r="F6144" s="1">
        <v>3.1673177083333335</v>
      </c>
      <c r="G6144" s="1">
        <v>2.5725054743540365E-2</v>
      </c>
    </row>
    <row r="6145" spans="1:7">
      <c r="A6145">
        <v>290</v>
      </c>
      <c r="B6145">
        <v>90</v>
      </c>
      <c r="C6145" s="1">
        <f>(Tabela1[[#This Row],[x]]-H$3)*(Tabela1[[#This Row],[x]]-H$3) +(Tabela1[[#This Row],[y]]-H$4)*(Tabela1[[#This Row],[y]]-H$4)</f>
        <v>20200</v>
      </c>
      <c r="D6145" s="1">
        <f>IF(Tabela1[[#This Row],[promien]]&lt;40000,1,0)</f>
        <v>1</v>
      </c>
      <c r="E6145" s="1">
        <f>IF(Tabela1[[#This Row],[promien]]=40000,1,0)</f>
        <v>0</v>
      </c>
      <c r="F6145" s="1">
        <v>3.1674532139951181</v>
      </c>
      <c r="G6145" s="1">
        <v>2.5860560405325028E-2</v>
      </c>
    </row>
    <row r="6146" spans="1:7">
      <c r="A6146">
        <v>68</v>
      </c>
      <c r="B6146">
        <v>167</v>
      </c>
      <c r="C6146" s="1">
        <f>(Tabela1[[#This Row],[x]]-H$3)*(Tabela1[[#This Row],[x]]-H$3) +(Tabela1[[#This Row],[y]]-H$4)*(Tabela1[[#This Row],[y]]-H$4)</f>
        <v>18513</v>
      </c>
      <c r="D6146" s="1">
        <f>IF(Tabela1[[#This Row],[promien]]&lt;40000,1,0)</f>
        <v>1</v>
      </c>
      <c r="E6146" s="1">
        <f>IF(Tabela1[[#This Row],[promien]]=40000,1,0)</f>
        <v>0</v>
      </c>
      <c r="F6146" s="1">
        <v>3.1675886755613405</v>
      </c>
      <c r="G6146" s="1">
        <v>2.5996021971547378E-2</v>
      </c>
    </row>
    <row r="6147" spans="1:7">
      <c r="A6147">
        <v>72</v>
      </c>
      <c r="B6147">
        <v>215</v>
      </c>
      <c r="C6147" s="1">
        <f>(Tabela1[[#This Row],[x]]-H$3)*(Tabela1[[#This Row],[x]]-H$3) +(Tabela1[[#This Row],[y]]-H$4)*(Tabela1[[#This Row],[y]]-H$4)</f>
        <v>16609</v>
      </c>
      <c r="D6147" s="1">
        <f>IF(Tabela1[[#This Row],[promien]]&lt;40000,1,0)</f>
        <v>1</v>
      </c>
      <c r="E6147" s="1">
        <f>IF(Tabela1[[#This Row],[promien]]=40000,1,0)</f>
        <v>0</v>
      </c>
      <c r="F6147" s="1">
        <v>3.167724093053522</v>
      </c>
      <c r="G6147" s="1">
        <v>2.6131439463728867E-2</v>
      </c>
    </row>
    <row r="6148" spans="1:7">
      <c r="A6148">
        <v>370</v>
      </c>
      <c r="B6148">
        <v>0</v>
      </c>
      <c r="C6148" s="1">
        <f>(Tabela1[[#This Row],[x]]-H$3)*(Tabela1[[#This Row],[x]]-H$3) +(Tabela1[[#This Row],[y]]-H$4)*(Tabela1[[#This Row],[y]]-H$4)</f>
        <v>68900</v>
      </c>
      <c r="D6148" s="1">
        <f>IF(Tabela1[[#This Row],[promien]]&lt;40000,1,0)</f>
        <v>0</v>
      </c>
      <c r="E6148" s="1">
        <f>IF(Tabela1[[#This Row],[promien]]=40000,1,0)</f>
        <v>0</v>
      </c>
      <c r="F6148" s="1">
        <v>3.1672088484059855</v>
      </c>
      <c r="G6148" s="1">
        <v>2.5616194816192372E-2</v>
      </c>
    </row>
    <row r="6149" spans="1:7">
      <c r="A6149">
        <v>120</v>
      </c>
      <c r="B6149">
        <v>181</v>
      </c>
      <c r="C6149" s="1">
        <f>(Tabela1[[#This Row],[x]]-H$3)*(Tabela1[[#This Row],[x]]-H$3) +(Tabela1[[#This Row],[y]]-H$4)*(Tabela1[[#This Row],[y]]-H$4)</f>
        <v>6761</v>
      </c>
      <c r="D6149" s="1">
        <f>IF(Tabela1[[#This Row],[promien]]&lt;40000,1,0)</f>
        <v>1</v>
      </c>
      <c r="E6149" s="1">
        <f>IF(Tabela1[[#This Row],[promien]]=40000,1,0)</f>
        <v>0</v>
      </c>
      <c r="F6149" s="1">
        <v>3.1673442836233532</v>
      </c>
      <c r="G6149" s="1">
        <v>2.5751630033560069E-2</v>
      </c>
    </row>
    <row r="6150" spans="1:7">
      <c r="A6150">
        <v>53</v>
      </c>
      <c r="B6150">
        <v>137</v>
      </c>
      <c r="C6150" s="1">
        <f>(Tabela1[[#This Row],[x]]-H$3)*(Tabela1[[#This Row],[x]]-H$3) +(Tabela1[[#This Row],[y]]-H$4)*(Tabela1[[#This Row],[y]]-H$4)</f>
        <v>25578</v>
      </c>
      <c r="D6150" s="1">
        <f>IF(Tabela1[[#This Row],[promien]]&lt;40000,1,0)</f>
        <v>1</v>
      </c>
      <c r="E6150" s="1">
        <f>IF(Tabela1[[#This Row],[promien]]=40000,1,0)</f>
        <v>0</v>
      </c>
      <c r="F6150" s="1">
        <v>3.167479674796748</v>
      </c>
      <c r="G6150" s="1">
        <v>2.5887021206954852E-2</v>
      </c>
    </row>
    <row r="6151" spans="1:7">
      <c r="A6151">
        <v>245</v>
      </c>
      <c r="B6151">
        <v>368</v>
      </c>
      <c r="C6151" s="1">
        <f>(Tabela1[[#This Row],[x]]-H$3)*(Tabela1[[#This Row],[x]]-H$3) +(Tabela1[[#This Row],[y]]-H$4)*(Tabela1[[#This Row],[y]]-H$4)</f>
        <v>30249</v>
      </c>
      <c r="D6151" s="1">
        <f>IF(Tabela1[[#This Row],[promien]]&lt;40000,1,0)</f>
        <v>1</v>
      </c>
      <c r="E6151" s="1">
        <f>IF(Tabela1[[#This Row],[promien]]=40000,1,0)</f>
        <v>0</v>
      </c>
      <c r="F6151" s="1">
        <v>3.1676150219476509</v>
      </c>
      <c r="G6151" s="1">
        <v>2.6022368357857761E-2</v>
      </c>
    </row>
    <row r="6152" spans="1:7">
      <c r="A6152">
        <v>221</v>
      </c>
      <c r="B6152">
        <v>258</v>
      </c>
      <c r="C6152" s="1">
        <f>(Tabela1[[#This Row],[x]]-H$3)*(Tabela1[[#This Row],[x]]-H$3) +(Tabela1[[#This Row],[y]]-H$4)*(Tabela1[[#This Row],[y]]-H$4)</f>
        <v>3805</v>
      </c>
      <c r="D6152" s="1">
        <f>IF(Tabela1[[#This Row],[promien]]&lt;40000,1,0)</f>
        <v>1</v>
      </c>
      <c r="E6152" s="1">
        <f>IF(Tabela1[[#This Row],[promien]]=40000,1,0)</f>
        <v>0</v>
      </c>
      <c r="F6152" s="1">
        <v>3.1677503250975292</v>
      </c>
      <c r="G6152" s="1">
        <v>2.6157671507736069E-2</v>
      </c>
    </row>
    <row r="6153" spans="1:7">
      <c r="A6153">
        <v>28</v>
      </c>
      <c r="B6153">
        <v>349</v>
      </c>
      <c r="C6153" s="1">
        <f>(Tabela1[[#This Row],[x]]-H$3)*(Tabela1[[#This Row],[x]]-H$3) +(Tabela1[[#This Row],[y]]-H$4)*(Tabela1[[#This Row],[y]]-H$4)</f>
        <v>51785</v>
      </c>
      <c r="D6153" s="1">
        <f>IF(Tabela1[[#This Row],[promien]]&lt;40000,1,0)</f>
        <v>0</v>
      </c>
      <c r="E6153" s="1">
        <f>IF(Tabela1[[#This Row],[promien]]=40000,1,0)</f>
        <v>0</v>
      </c>
      <c r="F6153" s="1">
        <v>3.1672354948805461</v>
      </c>
      <c r="G6153" s="1">
        <v>2.5642841290753005E-2</v>
      </c>
    </row>
    <row r="6154" spans="1:7">
      <c r="A6154">
        <v>147</v>
      </c>
      <c r="B6154">
        <v>47</v>
      </c>
      <c r="C6154" s="1">
        <f>(Tabela1[[#This Row],[x]]-H$3)*(Tabela1[[#This Row],[x]]-H$3) +(Tabela1[[#This Row],[y]]-H$4)*(Tabela1[[#This Row],[y]]-H$4)</f>
        <v>26218</v>
      </c>
      <c r="D6154" s="1">
        <f>IF(Tabela1[[#This Row],[promien]]&lt;40000,1,0)</f>
        <v>1</v>
      </c>
      <c r="E6154" s="1">
        <f>IF(Tabela1[[#This Row],[promien]]=40000,1,0)</f>
        <v>0</v>
      </c>
      <c r="F6154" s="1">
        <v>3.1673708157296065</v>
      </c>
      <c r="G6154" s="1">
        <v>2.5778162139813432E-2</v>
      </c>
    </row>
    <row r="6155" spans="1:7">
      <c r="A6155">
        <v>335</v>
      </c>
      <c r="B6155">
        <v>351</v>
      </c>
      <c r="C6155" s="1">
        <f>(Tabela1[[#This Row],[x]]-H$3)*(Tabela1[[#This Row],[x]]-H$3) +(Tabela1[[#This Row],[y]]-H$4)*(Tabela1[[#This Row],[y]]-H$4)</f>
        <v>41026</v>
      </c>
      <c r="D6155" s="1">
        <f>IF(Tabela1[[#This Row],[promien]]&lt;40000,1,0)</f>
        <v>0</v>
      </c>
      <c r="E6155" s="1">
        <f>IF(Tabela1[[#This Row],[promien]]=40000,1,0)</f>
        <v>0</v>
      </c>
      <c r="F6155" s="1">
        <v>3.1668562144597887</v>
      </c>
      <c r="G6155" s="1">
        <v>2.5263560869995594E-2</v>
      </c>
    </row>
    <row r="6156" spans="1:7">
      <c r="A6156">
        <v>58</v>
      </c>
      <c r="B6156">
        <v>186</v>
      </c>
      <c r="C6156" s="1">
        <f>(Tabela1[[#This Row],[x]]-H$3)*(Tabela1[[#This Row],[x]]-H$3) +(Tabela1[[#This Row],[y]]-H$4)*(Tabela1[[#This Row],[y]]-H$4)</f>
        <v>20360</v>
      </c>
      <c r="D6156" s="1">
        <f>IF(Tabela1[[#This Row],[promien]]&lt;40000,1,0)</f>
        <v>1</v>
      </c>
      <c r="E6156" s="1">
        <f>IF(Tabela1[[#This Row],[promien]]=40000,1,0)</f>
        <v>0</v>
      </c>
      <c r="F6156" s="1">
        <v>3.1669915529564654</v>
      </c>
      <c r="G6156" s="1">
        <v>2.5398899366672278E-2</v>
      </c>
    </row>
    <row r="6157" spans="1:7">
      <c r="A6157">
        <v>231</v>
      </c>
      <c r="B6157">
        <v>32</v>
      </c>
      <c r="C6157" s="1">
        <f>(Tabela1[[#This Row],[x]]-H$3)*(Tabela1[[#This Row],[x]]-H$3) +(Tabela1[[#This Row],[y]]-H$4)*(Tabela1[[#This Row],[y]]-H$4)</f>
        <v>29185</v>
      </c>
      <c r="D6157" s="1">
        <f>IF(Tabela1[[#This Row],[promien]]&lt;40000,1,0)</f>
        <v>1</v>
      </c>
      <c r="E6157" s="1">
        <f>IF(Tabela1[[#This Row],[promien]]=40000,1,0)</f>
        <v>0</v>
      </c>
      <c r="F6157" s="1">
        <v>3.1671268474906609</v>
      </c>
      <c r="G6157" s="1">
        <v>2.5534193900867752E-2</v>
      </c>
    </row>
    <row r="6158" spans="1:7">
      <c r="A6158">
        <v>252</v>
      </c>
      <c r="B6158">
        <v>98</v>
      </c>
      <c r="C6158" s="1">
        <f>(Tabela1[[#This Row],[x]]-H$3)*(Tabela1[[#This Row],[x]]-H$3) +(Tabela1[[#This Row],[y]]-H$4)*(Tabela1[[#This Row],[y]]-H$4)</f>
        <v>13108</v>
      </c>
      <c r="D6158" s="1">
        <f>IF(Tabela1[[#This Row],[promien]]&lt;40000,1,0)</f>
        <v>1</v>
      </c>
      <c r="E6158" s="1">
        <f>IF(Tabela1[[#This Row],[promien]]=40000,1,0)</f>
        <v>0</v>
      </c>
      <c r="F6158" s="1">
        <v>3.1672620980837936</v>
      </c>
      <c r="G6158" s="1">
        <v>2.5669444494000437E-2</v>
      </c>
    </row>
    <row r="6159" spans="1:7">
      <c r="A6159">
        <v>85</v>
      </c>
      <c r="B6159">
        <v>6</v>
      </c>
      <c r="C6159" s="1">
        <f>(Tabela1[[#This Row],[x]]-H$3)*(Tabela1[[#This Row],[x]]-H$3) +(Tabela1[[#This Row],[y]]-H$4)*(Tabela1[[#This Row],[y]]-H$4)</f>
        <v>50861</v>
      </c>
      <c r="D6159" s="1">
        <f>IF(Tabela1[[#This Row],[promien]]&lt;40000,1,0)</f>
        <v>0</v>
      </c>
      <c r="E6159" s="1">
        <f>IF(Tabela1[[#This Row],[promien]]=40000,1,0)</f>
        <v>0</v>
      </c>
      <c r="F6159" s="1">
        <v>3.1667478486767333</v>
      </c>
      <c r="G6159" s="1">
        <v>2.5155195086940196E-2</v>
      </c>
    </row>
    <row r="6160" spans="1:7">
      <c r="A6160">
        <v>313</v>
      </c>
      <c r="B6160">
        <v>62</v>
      </c>
      <c r="C6160" s="1">
        <f>(Tabela1[[#This Row],[x]]-H$3)*(Tabela1[[#This Row],[x]]-H$3) +(Tabela1[[#This Row],[y]]-H$4)*(Tabela1[[#This Row],[y]]-H$4)</f>
        <v>31813</v>
      </c>
      <c r="D6160" s="1">
        <f>IF(Tabela1[[#This Row],[promien]]&lt;40000,1,0)</f>
        <v>1</v>
      </c>
      <c r="E6160" s="1">
        <f>IF(Tabela1[[#This Row],[promien]]=40000,1,0)</f>
        <v>0</v>
      </c>
      <c r="F6160" s="1">
        <v>3.1668831168831169</v>
      </c>
      <c r="G6160" s="1">
        <v>2.5290463293323739E-2</v>
      </c>
    </row>
    <row r="6161" spans="1:7">
      <c r="A6161">
        <v>265</v>
      </c>
      <c r="B6161">
        <v>223</v>
      </c>
      <c r="C6161" s="1">
        <f>(Tabela1[[#This Row],[x]]-H$3)*(Tabela1[[#This Row],[x]]-H$3) +(Tabela1[[#This Row],[y]]-H$4)*(Tabela1[[#This Row],[y]]-H$4)</f>
        <v>4754</v>
      </c>
      <c r="D6161" s="1">
        <f>IF(Tabela1[[#This Row],[promien]]&lt;40000,1,0)</f>
        <v>1</v>
      </c>
      <c r="E6161" s="1">
        <f>IF(Tabela1[[#This Row],[promien]]=40000,1,0)</f>
        <v>0</v>
      </c>
      <c r="F6161" s="1">
        <v>3.1670183411783803</v>
      </c>
      <c r="G6161" s="1">
        <v>2.5425687588587209E-2</v>
      </c>
    </row>
    <row r="6162" spans="1:7">
      <c r="A6162">
        <v>315</v>
      </c>
      <c r="B6162">
        <v>53</v>
      </c>
      <c r="C6162" s="1">
        <f>(Tabela1[[#This Row],[x]]-H$3)*(Tabela1[[#This Row],[x]]-H$3) +(Tabela1[[#This Row],[y]]-H$4)*(Tabela1[[#This Row],[y]]-H$4)</f>
        <v>34834</v>
      </c>
      <c r="D6162" s="1">
        <f>IF(Tabela1[[#This Row],[promien]]&lt;40000,1,0)</f>
        <v>1</v>
      </c>
      <c r="E6162" s="1">
        <f>IF(Tabela1[[#This Row],[promien]]=40000,1,0)</f>
        <v>0</v>
      </c>
      <c r="F6162" s="1">
        <v>3.1671535215839013</v>
      </c>
      <c r="G6162" s="1">
        <v>2.5560867994108172E-2</v>
      </c>
    </row>
    <row r="6163" spans="1:7">
      <c r="A6163">
        <v>66</v>
      </c>
      <c r="B6163">
        <v>258</v>
      </c>
      <c r="C6163" s="1">
        <f>(Tabela1[[#This Row],[x]]-H$3)*(Tabela1[[#This Row],[x]]-H$3) +(Tabela1[[#This Row],[y]]-H$4)*(Tabela1[[#This Row],[y]]-H$4)</f>
        <v>21320</v>
      </c>
      <c r="D6163" s="1">
        <f>IF(Tabela1[[#This Row],[promien]]&lt;40000,1,0)</f>
        <v>1</v>
      </c>
      <c r="E6163" s="1">
        <f>IF(Tabela1[[#This Row],[promien]]=40000,1,0)</f>
        <v>0</v>
      </c>
      <c r="F6163" s="1">
        <v>3.1672886581210449</v>
      </c>
      <c r="G6163" s="1">
        <v>2.5696004531251759E-2</v>
      </c>
    </row>
    <row r="6164" spans="1:7">
      <c r="A6164">
        <v>75</v>
      </c>
      <c r="B6164">
        <v>180</v>
      </c>
      <c r="C6164" s="1">
        <f>(Tabela1[[#This Row],[x]]-H$3)*(Tabela1[[#This Row],[x]]-H$3) +(Tabela1[[#This Row],[y]]-H$4)*(Tabela1[[#This Row],[y]]-H$4)</f>
        <v>16025</v>
      </c>
      <c r="D6164" s="1">
        <f>IF(Tabela1[[#This Row],[promien]]&lt;40000,1,0)</f>
        <v>1</v>
      </c>
      <c r="E6164" s="1">
        <f>IF(Tabela1[[#This Row],[promien]]=40000,1,0)</f>
        <v>0</v>
      </c>
      <c r="F6164" s="1">
        <v>3.1674237508111616</v>
      </c>
      <c r="G6164" s="1">
        <v>2.5831097221368449E-2</v>
      </c>
    </row>
    <row r="6165" spans="1:7">
      <c r="A6165">
        <v>225</v>
      </c>
      <c r="B6165">
        <v>73</v>
      </c>
      <c r="C6165" s="1">
        <f>(Tabela1[[#This Row],[x]]-H$3)*(Tabela1[[#This Row],[x]]-H$3) +(Tabela1[[#This Row],[y]]-H$4)*(Tabela1[[#This Row],[y]]-H$4)</f>
        <v>16754</v>
      </c>
      <c r="D6165" s="1">
        <f>IF(Tabela1[[#This Row],[promien]]&lt;40000,1,0)</f>
        <v>1</v>
      </c>
      <c r="E6165" s="1">
        <f>IF(Tabela1[[#This Row],[promien]]=40000,1,0)</f>
        <v>0</v>
      </c>
      <c r="F6165" s="1">
        <v>3.1675587996755881</v>
      </c>
      <c r="G6165" s="1">
        <v>2.596614608579495E-2</v>
      </c>
    </row>
    <row r="6166" spans="1:7">
      <c r="A6166">
        <v>105</v>
      </c>
      <c r="B6166">
        <v>112</v>
      </c>
      <c r="C6166" s="1">
        <f>(Tabela1[[#This Row],[x]]-H$3)*(Tabela1[[#This Row],[x]]-H$3) +(Tabela1[[#This Row],[y]]-H$4)*(Tabela1[[#This Row],[y]]-H$4)</f>
        <v>16769</v>
      </c>
      <c r="D6166" s="1">
        <f>IF(Tabela1[[#This Row],[promien]]&lt;40000,1,0)</f>
        <v>1</v>
      </c>
      <c r="E6166" s="1">
        <f>IF(Tabela1[[#This Row],[promien]]=40000,1,0)</f>
        <v>0</v>
      </c>
      <c r="F6166" s="1">
        <v>3.1676938047356469</v>
      </c>
      <c r="G6166" s="1">
        <v>2.6101151145853763E-2</v>
      </c>
    </row>
    <row r="6167" spans="1:7">
      <c r="A6167">
        <v>362</v>
      </c>
      <c r="B6167">
        <v>55</v>
      </c>
      <c r="C6167" s="1">
        <f>(Tabela1[[#This Row],[x]]-H$3)*(Tabela1[[#This Row],[x]]-H$3) +(Tabela1[[#This Row],[y]]-H$4)*(Tabela1[[#This Row],[y]]-H$4)</f>
        <v>47269</v>
      </c>
      <c r="D6167" s="1">
        <f>IF(Tabela1[[#This Row],[promien]]&lt;40000,1,0)</f>
        <v>0</v>
      </c>
      <c r="E6167" s="1">
        <f>IF(Tabela1[[#This Row],[promien]]=40000,1,0)</f>
        <v>0</v>
      </c>
      <c r="F6167" s="1">
        <v>3.1671801524241934</v>
      </c>
      <c r="G6167" s="1">
        <v>2.5587498834400257E-2</v>
      </c>
    </row>
    <row r="6168" spans="1:7">
      <c r="A6168">
        <v>242</v>
      </c>
      <c r="B6168">
        <v>225</v>
      </c>
      <c r="C6168" s="1">
        <f>(Tabela1[[#This Row],[x]]-H$3)*(Tabela1[[#This Row],[x]]-H$3) +(Tabela1[[#This Row],[y]]-H$4)*(Tabela1[[#This Row],[y]]-H$4)</f>
        <v>2389</v>
      </c>
      <c r="D6168" s="1">
        <f>IF(Tabela1[[#This Row],[promien]]&lt;40000,1,0)</f>
        <v>1</v>
      </c>
      <c r="E6168" s="1">
        <f>IF(Tabela1[[#This Row],[promien]]=40000,1,0)</f>
        <v>0</v>
      </c>
      <c r="F6168" s="1">
        <v>3.1673151750972761</v>
      </c>
      <c r="G6168" s="1">
        <v>2.5722521507482998E-2</v>
      </c>
    </row>
    <row r="6169" spans="1:7">
      <c r="A6169">
        <v>359</v>
      </c>
      <c r="B6169">
        <v>160</v>
      </c>
      <c r="C6169" s="1">
        <f>(Tabela1[[#This Row],[x]]-H$3)*(Tabela1[[#This Row],[x]]-H$3) +(Tabela1[[#This Row],[y]]-H$4)*(Tabela1[[#This Row],[y]]-H$4)</f>
        <v>26881</v>
      </c>
      <c r="D6169" s="1">
        <f>IF(Tabela1[[#This Row],[promien]]&lt;40000,1,0)</f>
        <v>1</v>
      </c>
      <c r="E6169" s="1">
        <f>IF(Tabela1[[#This Row],[promien]]=40000,1,0)</f>
        <v>0</v>
      </c>
      <c r="F6169" s="1">
        <v>3.1674501539957856</v>
      </c>
      <c r="G6169" s="1">
        <v>2.585750040599244E-2</v>
      </c>
    </row>
    <row r="6170" spans="1:7">
      <c r="A6170">
        <v>333</v>
      </c>
      <c r="B6170">
        <v>238</v>
      </c>
      <c r="C6170" s="1">
        <f>(Tabela1[[#This Row],[x]]-H$3)*(Tabela1[[#This Row],[x]]-H$3) +(Tabela1[[#This Row],[y]]-H$4)*(Tabela1[[#This Row],[y]]-H$4)</f>
        <v>19133</v>
      </c>
      <c r="D6170" s="1">
        <f>IF(Tabela1[[#This Row],[promien]]&lt;40000,1,0)</f>
        <v>1</v>
      </c>
      <c r="E6170" s="1">
        <f>IF(Tabela1[[#This Row],[promien]]=40000,1,0)</f>
        <v>0</v>
      </c>
      <c r="F6170" s="1">
        <v>3.1675850891410047</v>
      </c>
      <c r="G6170" s="1">
        <v>2.5992435551211557E-2</v>
      </c>
    </row>
    <row r="6171" spans="1:7">
      <c r="A6171">
        <v>36</v>
      </c>
      <c r="B6171">
        <v>230</v>
      </c>
      <c r="C6171" s="1">
        <f>(Tabela1[[#This Row],[x]]-H$3)*(Tabela1[[#This Row],[x]]-H$3) +(Tabela1[[#This Row],[y]]-H$4)*(Tabela1[[#This Row],[y]]-H$4)</f>
        <v>27796</v>
      </c>
      <c r="D6171" s="1">
        <f>IF(Tabela1[[#This Row],[promien]]&lt;40000,1,0)</f>
        <v>1</v>
      </c>
      <c r="E6171" s="1">
        <f>IF(Tabela1[[#This Row],[promien]]=40000,1,0)</f>
        <v>0</v>
      </c>
      <c r="F6171" s="1">
        <v>3.1677199805542053</v>
      </c>
      <c r="G6171" s="1">
        <v>2.6127326964412223E-2</v>
      </c>
    </row>
    <row r="6172" spans="1:7">
      <c r="A6172">
        <v>292</v>
      </c>
      <c r="B6172">
        <v>383</v>
      </c>
      <c r="C6172" s="1">
        <f>(Tabela1[[#This Row],[x]]-H$3)*(Tabela1[[#This Row],[x]]-H$3) +(Tabela1[[#This Row],[y]]-H$4)*(Tabela1[[#This Row],[y]]-H$4)</f>
        <v>41953</v>
      </c>
      <c r="D6172" s="1">
        <f>IF(Tabela1[[#This Row],[promien]]&lt;40000,1,0)</f>
        <v>0</v>
      </c>
      <c r="E6172" s="1">
        <f>IF(Tabela1[[#This Row],[promien]]=40000,1,0)</f>
        <v>0</v>
      </c>
      <c r="F6172" s="1">
        <v>3.1672067401166557</v>
      </c>
      <c r="G6172" s="1">
        <v>2.5614086526862589E-2</v>
      </c>
    </row>
    <row r="6173" spans="1:7">
      <c r="A6173">
        <v>192</v>
      </c>
      <c r="B6173">
        <v>352</v>
      </c>
      <c r="C6173" s="1">
        <f>(Tabela1[[#This Row],[x]]-H$3)*(Tabela1[[#This Row],[x]]-H$3) +(Tabela1[[#This Row],[y]]-H$4)*(Tabela1[[#This Row],[y]]-H$4)</f>
        <v>23168</v>
      </c>
      <c r="D6173" s="1">
        <f>IF(Tabela1[[#This Row],[promien]]&lt;40000,1,0)</f>
        <v>1</v>
      </c>
      <c r="E6173" s="1">
        <f>IF(Tabela1[[#This Row],[promien]]=40000,1,0)</f>
        <v>0</v>
      </c>
      <c r="F6173" s="1">
        <v>3.1673416491171231</v>
      </c>
      <c r="G6173" s="1">
        <v>2.574899552733001E-2</v>
      </c>
    </row>
    <row r="6174" spans="1:7">
      <c r="A6174">
        <v>252</v>
      </c>
      <c r="B6174">
        <v>263</v>
      </c>
      <c r="C6174" s="1">
        <f>(Tabela1[[#This Row],[x]]-H$3)*(Tabela1[[#This Row],[x]]-H$3) +(Tabela1[[#This Row],[y]]-H$4)*(Tabela1[[#This Row],[y]]-H$4)</f>
        <v>6673</v>
      </c>
      <c r="D6174" s="1">
        <f>IF(Tabela1[[#This Row],[promien]]&lt;40000,1,0)</f>
        <v>1</v>
      </c>
      <c r="E6174" s="1">
        <f>IF(Tabela1[[#This Row],[promien]]=40000,1,0)</f>
        <v>0</v>
      </c>
      <c r="F6174" s="1">
        <v>3.1674765144152901</v>
      </c>
      <c r="G6174" s="1">
        <v>2.5883860825496985E-2</v>
      </c>
    </row>
    <row r="6175" spans="1:7">
      <c r="A6175">
        <v>236</v>
      </c>
      <c r="B6175">
        <v>123</v>
      </c>
      <c r="C6175" s="1">
        <f>(Tabela1[[#This Row],[x]]-H$3)*(Tabela1[[#This Row],[x]]-H$3) +(Tabela1[[#This Row],[y]]-H$4)*(Tabela1[[#This Row],[y]]-H$4)</f>
        <v>7225</v>
      </c>
      <c r="D6175" s="1">
        <f>IF(Tabela1[[#This Row],[promien]]&lt;40000,1,0)</f>
        <v>1</v>
      </c>
      <c r="E6175" s="1">
        <f>IF(Tabela1[[#This Row],[promien]]=40000,1,0)</f>
        <v>0</v>
      </c>
      <c r="F6175" s="1">
        <v>3.1676113360323885</v>
      </c>
      <c r="G6175" s="1">
        <v>2.601868244259542E-2</v>
      </c>
    </row>
    <row r="6176" spans="1:7">
      <c r="A6176">
        <v>153</v>
      </c>
      <c r="B6176">
        <v>134</v>
      </c>
      <c r="C6176" s="1">
        <f>(Tabela1[[#This Row],[x]]-H$3)*(Tabela1[[#This Row],[x]]-H$3) +(Tabela1[[#This Row],[y]]-H$4)*(Tabela1[[#This Row],[y]]-H$4)</f>
        <v>6565</v>
      </c>
      <c r="D6176" s="1">
        <f>IF(Tabela1[[#This Row],[promien]]&lt;40000,1,0)</f>
        <v>1</v>
      </c>
      <c r="E6176" s="1">
        <f>IF(Tabela1[[#This Row],[promien]]=40000,1,0)</f>
        <v>0</v>
      </c>
      <c r="F6176" s="1">
        <v>3.1677461139896375</v>
      </c>
      <c r="G6176" s="1">
        <v>2.6153460399844342E-2</v>
      </c>
    </row>
    <row r="6177" spans="1:7">
      <c r="A6177">
        <v>66</v>
      </c>
      <c r="B6177">
        <v>277</v>
      </c>
      <c r="C6177" s="1">
        <f>(Tabela1[[#This Row],[x]]-H$3)*(Tabela1[[#This Row],[x]]-H$3) +(Tabela1[[#This Row],[y]]-H$4)*(Tabela1[[#This Row],[y]]-H$4)</f>
        <v>23885</v>
      </c>
      <c r="D6177" s="1">
        <f>IF(Tabela1[[#This Row],[promien]]&lt;40000,1,0)</f>
        <v>1</v>
      </c>
      <c r="E6177" s="1">
        <f>IF(Tabela1[[#This Row],[promien]]=40000,1,0)</f>
        <v>0</v>
      </c>
      <c r="F6177" s="1">
        <v>3.1678808483082403</v>
      </c>
      <c r="G6177" s="1">
        <v>2.6288194718447233E-2</v>
      </c>
    </row>
    <row r="6178" spans="1:7">
      <c r="A6178">
        <v>107</v>
      </c>
      <c r="B6178">
        <v>248</v>
      </c>
      <c r="C6178" s="1">
        <f>(Tabela1[[#This Row],[x]]-H$3)*(Tabela1[[#This Row],[x]]-H$3) +(Tabela1[[#This Row],[y]]-H$4)*(Tabela1[[#This Row],[y]]-H$4)</f>
        <v>10953</v>
      </c>
      <c r="D6178" s="1">
        <f>IF(Tabela1[[#This Row],[promien]]&lt;40000,1,0)</f>
        <v>1</v>
      </c>
      <c r="E6178" s="1">
        <f>IF(Tabela1[[#This Row],[promien]]=40000,1,0)</f>
        <v>0</v>
      </c>
      <c r="F6178" s="1">
        <v>3.1680155390093883</v>
      </c>
      <c r="G6178" s="1">
        <v>2.6422885419595143E-2</v>
      </c>
    </row>
    <row r="6179" spans="1:7">
      <c r="A6179">
        <v>297</v>
      </c>
      <c r="B6179">
        <v>23</v>
      </c>
      <c r="C6179" s="1">
        <f>(Tabela1[[#This Row],[x]]-H$3)*(Tabela1[[#This Row],[x]]-H$3) +(Tabela1[[#This Row],[y]]-H$4)*(Tabela1[[#This Row],[y]]-H$4)</f>
        <v>40738</v>
      </c>
      <c r="D6179" s="1">
        <f>IF(Tabela1[[#This Row],[promien]]&lt;40000,1,0)</f>
        <v>0</v>
      </c>
      <c r="E6179" s="1">
        <f>IF(Tabela1[[#This Row],[promien]]=40000,1,0)</f>
        <v>0</v>
      </c>
      <c r="F6179" s="1">
        <v>3.1675028321734908</v>
      </c>
      <c r="G6179" s="1">
        <v>2.5910178583697707E-2</v>
      </c>
    </row>
    <row r="6180" spans="1:7">
      <c r="A6180">
        <v>356</v>
      </c>
      <c r="B6180">
        <v>120</v>
      </c>
      <c r="C6180" s="1">
        <f>(Tabela1[[#This Row],[x]]-H$3)*(Tabela1[[#This Row],[x]]-H$3) +(Tabela1[[#This Row],[y]]-H$4)*(Tabela1[[#This Row],[y]]-H$4)</f>
        <v>30736</v>
      </c>
      <c r="D6180" s="1">
        <f>IF(Tabela1[[#This Row],[promien]]&lt;40000,1,0)</f>
        <v>1</v>
      </c>
      <c r="E6180" s="1">
        <f>IF(Tabela1[[#This Row],[promien]]=40000,1,0)</f>
        <v>0</v>
      </c>
      <c r="F6180" s="1">
        <v>3.1676375404530743</v>
      </c>
      <c r="G6180" s="1">
        <v>2.6044886863281214E-2</v>
      </c>
    </row>
    <row r="6181" spans="1:7">
      <c r="A6181">
        <v>170</v>
      </c>
      <c r="B6181">
        <v>278</v>
      </c>
      <c r="C6181" s="1">
        <f>(Tabela1[[#This Row],[x]]-H$3)*(Tabela1[[#This Row],[x]]-H$3) +(Tabela1[[#This Row],[y]]-H$4)*(Tabela1[[#This Row],[y]]-H$4)</f>
        <v>6984</v>
      </c>
      <c r="D6181" s="1">
        <f>IF(Tabela1[[#This Row],[promien]]&lt;40000,1,0)</f>
        <v>1</v>
      </c>
      <c r="E6181" s="1">
        <f>IF(Tabela1[[#This Row],[promien]]=40000,1,0)</f>
        <v>0</v>
      </c>
      <c r="F6181" s="1">
        <v>3.1677722051447987</v>
      </c>
      <c r="G6181" s="1">
        <v>2.617955155500562E-2</v>
      </c>
    </row>
    <row r="6182" spans="1:7">
      <c r="A6182">
        <v>19</v>
      </c>
      <c r="B6182">
        <v>247</v>
      </c>
      <c r="C6182" s="1">
        <f>(Tabela1[[#This Row],[x]]-H$3)*(Tabela1[[#This Row],[x]]-H$3) +(Tabela1[[#This Row],[y]]-H$4)*(Tabela1[[#This Row],[y]]-H$4)</f>
        <v>34970</v>
      </c>
      <c r="D6182" s="1">
        <f>IF(Tabela1[[#This Row],[promien]]&lt;40000,1,0)</f>
        <v>1</v>
      </c>
      <c r="E6182" s="1">
        <f>IF(Tabela1[[#This Row],[promien]]=40000,1,0)</f>
        <v>0</v>
      </c>
      <c r="F6182" s="1">
        <v>3.1679068262698156</v>
      </c>
      <c r="G6182" s="1">
        <v>2.6314172680022452E-2</v>
      </c>
    </row>
    <row r="6183" spans="1:7">
      <c r="A6183">
        <v>310</v>
      </c>
      <c r="B6183">
        <v>391</v>
      </c>
      <c r="C6183" s="1">
        <f>(Tabela1[[#This Row],[x]]-H$3)*(Tabela1[[#This Row],[x]]-H$3) +(Tabela1[[#This Row],[y]]-H$4)*(Tabela1[[#This Row],[y]]-H$4)</f>
        <v>48581</v>
      </c>
      <c r="D6183" s="1">
        <f>IF(Tabela1[[#This Row],[promien]]&lt;40000,1,0)</f>
        <v>0</v>
      </c>
      <c r="E6183" s="1">
        <f>IF(Tabela1[[#This Row],[promien]]=40000,1,0)</f>
        <v>0</v>
      </c>
      <c r="F6183" s="1">
        <v>3.1673944687045124</v>
      </c>
      <c r="G6183" s="1">
        <v>2.580181511471924E-2</v>
      </c>
    </row>
    <row r="6184" spans="1:7">
      <c r="A6184">
        <v>104</v>
      </c>
      <c r="B6184">
        <v>180</v>
      </c>
      <c r="C6184" s="1">
        <f>(Tabela1[[#This Row],[x]]-H$3)*(Tabela1[[#This Row],[x]]-H$3) +(Tabela1[[#This Row],[y]]-H$4)*(Tabela1[[#This Row],[y]]-H$4)</f>
        <v>9616</v>
      </c>
      <c r="D6184" s="1">
        <f>IF(Tabela1[[#This Row],[promien]]&lt;40000,1,0)</f>
        <v>1</v>
      </c>
      <c r="E6184" s="1">
        <f>IF(Tabela1[[#This Row],[promien]]=40000,1,0)</f>
        <v>0</v>
      </c>
      <c r="F6184" s="1">
        <v>3.1675291073738681</v>
      </c>
      <c r="G6184" s="1">
        <v>2.5936453784074942E-2</v>
      </c>
    </row>
    <row r="6185" spans="1:7">
      <c r="A6185">
        <v>267</v>
      </c>
      <c r="B6185">
        <v>172</v>
      </c>
      <c r="C6185" s="1">
        <f>(Tabela1[[#This Row],[x]]-H$3)*(Tabela1[[#This Row],[x]]-H$3) +(Tabela1[[#This Row],[y]]-H$4)*(Tabela1[[#This Row],[y]]-H$4)</f>
        <v>5273</v>
      </c>
      <c r="D6185" s="1">
        <f>IF(Tabela1[[#This Row],[promien]]&lt;40000,1,0)</f>
        <v>1</v>
      </c>
      <c r="E6185" s="1">
        <f>IF(Tabela1[[#This Row],[promien]]=40000,1,0)</f>
        <v>0</v>
      </c>
      <c r="F6185" s="1">
        <v>3.1676637025060632</v>
      </c>
      <c r="G6185" s="1">
        <v>2.6071048916270101E-2</v>
      </c>
    </row>
    <row r="6186" spans="1:7">
      <c r="A6186">
        <v>263</v>
      </c>
      <c r="B6186">
        <v>295</v>
      </c>
      <c r="C6186" s="1">
        <f>(Tabela1[[#This Row],[x]]-H$3)*(Tabela1[[#This Row],[x]]-H$3) +(Tabela1[[#This Row],[y]]-H$4)*(Tabela1[[#This Row],[y]]-H$4)</f>
        <v>12994</v>
      </c>
      <c r="D6186" s="1">
        <f>IF(Tabela1[[#This Row],[promien]]&lt;40000,1,0)</f>
        <v>1</v>
      </c>
      <c r="E6186" s="1">
        <f>IF(Tabela1[[#This Row],[promien]]=40000,1,0)</f>
        <v>0</v>
      </c>
      <c r="F6186" s="1">
        <v>3.1677982541222116</v>
      </c>
      <c r="G6186" s="1">
        <v>2.6205600532418494E-2</v>
      </c>
    </row>
    <row r="6187" spans="1:7">
      <c r="A6187">
        <v>271</v>
      </c>
      <c r="B6187">
        <v>299</v>
      </c>
      <c r="C6187" s="1">
        <f>(Tabela1[[#This Row],[x]]-H$3)*(Tabela1[[#This Row],[x]]-H$3) +(Tabela1[[#This Row],[y]]-H$4)*(Tabela1[[#This Row],[y]]-H$4)</f>
        <v>14842</v>
      </c>
      <c r="D6187" s="1">
        <f>IF(Tabela1[[#This Row],[promien]]&lt;40000,1,0)</f>
        <v>1</v>
      </c>
      <c r="E6187" s="1">
        <f>IF(Tabela1[[#This Row],[promien]]=40000,1,0)</f>
        <v>0</v>
      </c>
      <c r="F6187" s="1">
        <v>3.1679327622434137</v>
      </c>
      <c r="G6187" s="1">
        <v>2.6340108653620575E-2</v>
      </c>
    </row>
    <row r="6188" spans="1:7">
      <c r="A6188">
        <v>292</v>
      </c>
      <c r="B6188">
        <v>358</v>
      </c>
      <c r="C6188" s="1">
        <f>(Tabela1[[#This Row],[x]]-H$3)*(Tabela1[[#This Row],[x]]-H$3) +(Tabela1[[#This Row],[y]]-H$4)*(Tabela1[[#This Row],[y]]-H$4)</f>
        <v>33428</v>
      </c>
      <c r="D6188" s="1">
        <f>IF(Tabela1[[#This Row],[promien]]&lt;40000,1,0)</f>
        <v>1</v>
      </c>
      <c r="E6188" s="1">
        <f>IF(Tabela1[[#This Row],[promien]]=40000,1,0)</f>
        <v>0</v>
      </c>
      <c r="F6188" s="1">
        <v>3.1680672268907561</v>
      </c>
      <c r="G6188" s="1">
        <v>2.6474573300963034E-2</v>
      </c>
    </row>
    <row r="6189" spans="1:7">
      <c r="A6189">
        <v>399</v>
      </c>
      <c r="B6189">
        <v>125</v>
      </c>
      <c r="C6189" s="1">
        <f>(Tabela1[[#This Row],[x]]-H$3)*(Tabela1[[#This Row],[x]]-H$3) +(Tabela1[[#This Row],[y]]-H$4)*(Tabela1[[#This Row],[y]]-H$4)</f>
        <v>45226</v>
      </c>
      <c r="D6189" s="1">
        <f>IF(Tabela1[[#This Row],[promien]]&lt;40000,1,0)</f>
        <v>0</v>
      </c>
      <c r="E6189" s="1">
        <f>IF(Tabela1[[#This Row],[promien]]=40000,1,0)</f>
        <v>0</v>
      </c>
      <c r="F6189" s="1">
        <v>3.1675553401195669</v>
      </c>
      <c r="G6189" s="1">
        <v>2.5962686529773737E-2</v>
      </c>
    </row>
    <row r="6190" spans="1:7">
      <c r="A6190">
        <v>261</v>
      </c>
      <c r="B6190">
        <v>326</v>
      </c>
      <c r="C6190" s="1">
        <f>(Tabela1[[#This Row],[x]]-H$3)*(Tabela1[[#This Row],[x]]-H$3) +(Tabela1[[#This Row],[y]]-H$4)*(Tabela1[[#This Row],[y]]-H$4)</f>
        <v>19597</v>
      </c>
      <c r="D6190" s="1">
        <f>IF(Tabela1[[#This Row],[promien]]&lt;40000,1,0)</f>
        <v>1</v>
      </c>
      <c r="E6190" s="1">
        <f>IF(Tabela1[[#This Row],[promien]]=40000,1,0)</f>
        <v>0</v>
      </c>
      <c r="F6190" s="1">
        <v>3.1676898222940224</v>
      </c>
      <c r="G6190" s="1">
        <v>2.609716870422929E-2</v>
      </c>
    </row>
    <row r="6191" spans="1:7">
      <c r="A6191">
        <v>128</v>
      </c>
      <c r="B6191">
        <v>256</v>
      </c>
      <c r="C6191" s="1">
        <f>(Tabela1[[#This Row],[x]]-H$3)*(Tabela1[[#This Row],[x]]-H$3) +(Tabela1[[#This Row],[y]]-H$4)*(Tabela1[[#This Row],[y]]-H$4)</f>
        <v>8320</v>
      </c>
      <c r="D6191" s="1">
        <f>IF(Tabela1[[#This Row],[promien]]&lt;40000,1,0)</f>
        <v>1</v>
      </c>
      <c r="E6191" s="1">
        <f>IF(Tabela1[[#This Row],[promien]]=40000,1,0)</f>
        <v>0</v>
      </c>
      <c r="F6191" s="1">
        <v>3.1678242610240672</v>
      </c>
      <c r="G6191" s="1">
        <v>2.6231607434274107E-2</v>
      </c>
    </row>
    <row r="6192" spans="1:7">
      <c r="A6192">
        <v>145</v>
      </c>
      <c r="B6192">
        <v>136</v>
      </c>
      <c r="C6192" s="1">
        <f>(Tabela1[[#This Row],[x]]-H$3)*(Tabela1[[#This Row],[x]]-H$3) +(Tabela1[[#This Row],[y]]-H$4)*(Tabela1[[#This Row],[y]]-H$4)</f>
        <v>7121</v>
      </c>
      <c r="D6192" s="1">
        <f>IF(Tabela1[[#This Row],[promien]]&lt;40000,1,0)</f>
        <v>1</v>
      </c>
      <c r="E6192" s="1">
        <f>IF(Tabela1[[#This Row],[promien]]=40000,1,0)</f>
        <v>0</v>
      </c>
      <c r="F6192" s="1">
        <v>3.1679586563307494</v>
      </c>
      <c r="G6192" s="1">
        <v>2.636600274095624E-2</v>
      </c>
    </row>
    <row r="6193" spans="1:7">
      <c r="A6193">
        <v>230</v>
      </c>
      <c r="B6193">
        <v>71</v>
      </c>
      <c r="C6193" s="1">
        <f>(Tabela1[[#This Row],[x]]-H$3)*(Tabela1[[#This Row],[x]]-H$3) +(Tabela1[[#This Row],[y]]-H$4)*(Tabela1[[#This Row],[y]]-H$4)</f>
        <v>17541</v>
      </c>
      <c r="D6193" s="1">
        <f>IF(Tabela1[[#This Row],[promien]]&lt;40000,1,0)</f>
        <v>1</v>
      </c>
      <c r="E6193" s="1">
        <f>IF(Tabela1[[#This Row],[promien]]=40000,1,0)</f>
        <v>0</v>
      </c>
      <c r="F6193" s="1">
        <v>3.168093008235104</v>
      </c>
      <c r="G6193" s="1">
        <v>2.6500354645310864E-2</v>
      </c>
    </row>
    <row r="6194" spans="1:7">
      <c r="A6194">
        <v>2</v>
      </c>
      <c r="B6194">
        <v>106</v>
      </c>
      <c r="C6194" s="1">
        <f>(Tabela1[[#This Row],[x]]-H$3)*(Tabela1[[#This Row],[x]]-H$3) +(Tabela1[[#This Row],[y]]-H$4)*(Tabela1[[#This Row],[y]]-H$4)</f>
        <v>48040</v>
      </c>
      <c r="D6194" s="1">
        <f>IF(Tabela1[[#This Row],[promien]]&lt;40000,1,0)</f>
        <v>0</v>
      </c>
      <c r="E6194" s="1">
        <f>IF(Tabela1[[#This Row],[promien]]=40000,1,0)</f>
        <v>0</v>
      </c>
      <c r="F6194" s="1">
        <v>3.1675815305134001</v>
      </c>
      <c r="G6194" s="1">
        <v>2.5988876923606963E-2</v>
      </c>
    </row>
    <row r="6195" spans="1:7">
      <c r="A6195">
        <v>209</v>
      </c>
      <c r="B6195">
        <v>101</v>
      </c>
      <c r="C6195" s="1">
        <f>(Tabela1[[#This Row],[x]]-H$3)*(Tabela1[[#This Row],[x]]-H$3) +(Tabela1[[#This Row],[y]]-H$4)*(Tabela1[[#This Row],[y]]-H$4)</f>
        <v>9882</v>
      </c>
      <c r="D6195" s="1">
        <f>IF(Tabela1[[#This Row],[promien]]&lt;40000,1,0)</f>
        <v>1</v>
      </c>
      <c r="E6195" s="1">
        <f>IF(Tabela1[[#This Row],[promien]]=40000,1,0)</f>
        <v>0</v>
      </c>
      <c r="F6195" s="1">
        <v>3.1677158999192896</v>
      </c>
      <c r="G6195" s="1">
        <v>2.6123246329496475E-2</v>
      </c>
    </row>
    <row r="6196" spans="1:7">
      <c r="A6196">
        <v>9</v>
      </c>
      <c r="B6196">
        <v>187</v>
      </c>
      <c r="C6196" s="1">
        <f>(Tabela1[[#This Row],[x]]-H$3)*(Tabela1[[#This Row],[x]]-H$3) +(Tabela1[[#This Row],[y]]-H$4)*(Tabela1[[#This Row],[y]]-H$4)</f>
        <v>36650</v>
      </c>
      <c r="D6196" s="1">
        <f>IF(Tabela1[[#This Row],[promien]]&lt;40000,1,0)</f>
        <v>1</v>
      </c>
      <c r="E6196" s="1">
        <f>IF(Tabela1[[#This Row],[promien]]=40000,1,0)</f>
        <v>0</v>
      </c>
      <c r="F6196" s="1">
        <v>3.1678502259522272</v>
      </c>
      <c r="G6196" s="1">
        <v>2.625757236243409E-2</v>
      </c>
    </row>
    <row r="6197" spans="1:7">
      <c r="A6197">
        <v>279</v>
      </c>
      <c r="B6197">
        <v>197</v>
      </c>
      <c r="C6197" s="1">
        <f>(Tabela1[[#This Row],[x]]-H$3)*(Tabela1[[#This Row],[x]]-H$3) +(Tabela1[[#This Row],[y]]-H$4)*(Tabela1[[#This Row],[y]]-H$4)</f>
        <v>6250</v>
      </c>
      <c r="D6197" s="1">
        <f>IF(Tabela1[[#This Row],[promien]]&lt;40000,1,0)</f>
        <v>1</v>
      </c>
      <c r="E6197" s="1">
        <f>IF(Tabela1[[#This Row],[promien]]=40000,1,0)</f>
        <v>0</v>
      </c>
      <c r="F6197" s="1">
        <v>3.1679845086332095</v>
      </c>
      <c r="G6197" s="1">
        <v>2.6391855043416346E-2</v>
      </c>
    </row>
    <row r="6198" spans="1:7">
      <c r="A6198">
        <v>134</v>
      </c>
      <c r="B6198">
        <v>105</v>
      </c>
      <c r="C6198" s="1">
        <f>(Tabela1[[#This Row],[x]]-H$3)*(Tabela1[[#This Row],[x]]-H$3) +(Tabela1[[#This Row],[y]]-H$4)*(Tabela1[[#This Row],[y]]-H$4)</f>
        <v>13381</v>
      </c>
      <c r="D6198" s="1">
        <f>IF(Tabela1[[#This Row],[promien]]&lt;40000,1,0)</f>
        <v>1</v>
      </c>
      <c r="E6198" s="1">
        <f>IF(Tabela1[[#This Row],[promien]]=40000,1,0)</f>
        <v>0</v>
      </c>
      <c r="F6198" s="1">
        <v>3.1681187479832205</v>
      </c>
      <c r="G6198" s="1">
        <v>2.6526094393427346E-2</v>
      </c>
    </row>
    <row r="6199" spans="1:7">
      <c r="A6199">
        <v>128</v>
      </c>
      <c r="B6199">
        <v>340</v>
      </c>
      <c r="C6199" s="1">
        <f>(Tabela1[[#This Row],[x]]-H$3)*(Tabela1[[#This Row],[x]]-H$3) +(Tabela1[[#This Row],[y]]-H$4)*(Tabela1[[#This Row],[y]]-H$4)</f>
        <v>24784</v>
      </c>
      <c r="D6199" s="1">
        <f>IF(Tabela1[[#This Row],[promien]]&lt;40000,1,0)</f>
        <v>1</v>
      </c>
      <c r="E6199" s="1">
        <f>IF(Tabela1[[#This Row],[promien]]=40000,1,0)</f>
        <v>0</v>
      </c>
      <c r="F6199" s="1">
        <v>3.1682529440232297</v>
      </c>
      <c r="G6199" s="1">
        <v>2.666029043343654E-2</v>
      </c>
    </row>
    <row r="6200" spans="1:7">
      <c r="A6200">
        <v>295</v>
      </c>
      <c r="B6200">
        <v>400</v>
      </c>
      <c r="C6200" s="1">
        <f>(Tabela1[[#This Row],[x]]-H$3)*(Tabela1[[#This Row],[x]]-H$3) +(Tabela1[[#This Row],[y]]-H$4)*(Tabela1[[#This Row],[y]]-H$4)</f>
        <v>49025</v>
      </c>
      <c r="D6200" s="1">
        <f>IF(Tabela1[[#This Row],[promien]]&lt;40000,1,0)</f>
        <v>0</v>
      </c>
      <c r="E6200" s="1">
        <f>IF(Tabela1[[#This Row],[promien]]=40000,1,0)</f>
        <v>0</v>
      </c>
      <c r="F6200" s="1">
        <v>3.1677419354838712</v>
      </c>
      <c r="G6200" s="1">
        <v>2.6149281894078058E-2</v>
      </c>
    </row>
    <row r="6201" spans="1:7">
      <c r="A6201">
        <v>314</v>
      </c>
      <c r="B6201">
        <v>75</v>
      </c>
      <c r="C6201" s="1">
        <f>(Tabela1[[#This Row],[x]]-H$3)*(Tabela1[[#This Row],[x]]-H$3) +(Tabela1[[#This Row],[y]]-H$4)*(Tabela1[[#This Row],[y]]-H$4)</f>
        <v>28621</v>
      </c>
      <c r="D6201" s="1">
        <f>IF(Tabela1[[#This Row],[promien]]&lt;40000,1,0)</f>
        <v>1</v>
      </c>
      <c r="E6201" s="1">
        <f>IF(Tabela1[[#This Row],[promien]]=40000,1,0)</f>
        <v>0</v>
      </c>
      <c r="F6201" s="1">
        <v>3.1678761490082246</v>
      </c>
      <c r="G6201" s="1">
        <v>2.6283495418431446E-2</v>
      </c>
    </row>
    <row r="6202" spans="1:7">
      <c r="A6202">
        <v>176</v>
      </c>
      <c r="B6202">
        <v>336</v>
      </c>
      <c r="C6202" s="1">
        <f>(Tabela1[[#This Row],[x]]-H$3)*(Tabela1[[#This Row],[x]]-H$3) +(Tabela1[[#This Row],[y]]-H$4)*(Tabela1[[#This Row],[y]]-H$4)</f>
        <v>19072</v>
      </c>
      <c r="D6202" s="1">
        <f>IF(Tabela1[[#This Row],[promien]]&lt;40000,1,0)</f>
        <v>1</v>
      </c>
      <c r="E6202" s="1">
        <f>IF(Tabela1[[#This Row],[promien]]=40000,1,0)</f>
        <v>0</v>
      </c>
      <c r="F6202" s="1">
        <v>3.1680103192518541</v>
      </c>
      <c r="G6202" s="1">
        <v>2.6417665662060941E-2</v>
      </c>
    </row>
    <row r="6203" spans="1:7">
      <c r="A6203">
        <v>196</v>
      </c>
      <c r="B6203">
        <v>313</v>
      </c>
      <c r="C6203" s="1">
        <f>(Tabela1[[#This Row],[x]]-H$3)*(Tabela1[[#This Row],[x]]-H$3) +(Tabela1[[#This Row],[y]]-H$4)*(Tabela1[[#This Row],[y]]-H$4)</f>
        <v>12785</v>
      </c>
      <c r="D6203" s="1">
        <f>IF(Tabela1[[#This Row],[promien]]&lt;40000,1,0)</f>
        <v>1</v>
      </c>
      <c r="E6203" s="1">
        <f>IF(Tabela1[[#This Row],[promien]]=40000,1,0)</f>
        <v>0</v>
      </c>
      <c r="F6203" s="1">
        <v>3.1681444462356922</v>
      </c>
      <c r="G6203" s="1">
        <v>2.655179264589913E-2</v>
      </c>
    </row>
    <row r="6204" spans="1:7">
      <c r="A6204">
        <v>323</v>
      </c>
      <c r="B6204">
        <v>116</v>
      </c>
      <c r="C6204" s="1">
        <f>(Tabela1[[#This Row],[x]]-H$3)*(Tabela1[[#This Row],[x]]-H$3) +(Tabela1[[#This Row],[y]]-H$4)*(Tabela1[[#This Row],[y]]-H$4)</f>
        <v>22185</v>
      </c>
      <c r="D6204" s="1">
        <f>IF(Tabela1[[#This Row],[promien]]&lt;40000,1,0)</f>
        <v>1</v>
      </c>
      <c r="E6204" s="1">
        <f>IF(Tabela1[[#This Row],[promien]]=40000,1,0)</f>
        <v>0</v>
      </c>
      <c r="F6204" s="1">
        <v>3.1682785299806575</v>
      </c>
      <c r="G6204" s="1">
        <v>2.6685876390864394E-2</v>
      </c>
    </row>
    <row r="6205" spans="1:7">
      <c r="A6205">
        <v>147</v>
      </c>
      <c r="B6205">
        <v>116</v>
      </c>
      <c r="C6205" s="1">
        <f>(Tabela1[[#This Row],[x]]-H$3)*(Tabela1[[#This Row],[x]]-H$3) +(Tabela1[[#This Row],[y]]-H$4)*(Tabela1[[#This Row],[y]]-H$4)</f>
        <v>9865</v>
      </c>
      <c r="D6205" s="1">
        <f>IF(Tabela1[[#This Row],[promien]]&lt;40000,1,0)</f>
        <v>1</v>
      </c>
      <c r="E6205" s="1">
        <f>IF(Tabela1[[#This Row],[promien]]=40000,1,0)</f>
        <v>0</v>
      </c>
      <c r="F6205" s="1">
        <v>3.1684125705076549</v>
      </c>
      <c r="G6205" s="1">
        <v>2.6819916917861786E-2</v>
      </c>
    </row>
    <row r="6206" spans="1:7">
      <c r="A6206">
        <v>377</v>
      </c>
      <c r="B6206">
        <v>359</v>
      </c>
      <c r="C6206" s="1">
        <f>(Tabela1[[#This Row],[x]]-H$3)*(Tabela1[[#This Row],[x]]-H$3) +(Tabela1[[#This Row],[y]]-H$4)*(Tabela1[[#This Row],[y]]-H$4)</f>
        <v>56610</v>
      </c>
      <c r="D6206" s="1">
        <f>IF(Tabela1[[#This Row],[promien]]&lt;40000,1,0)</f>
        <v>0</v>
      </c>
      <c r="E6206" s="1">
        <f>IF(Tabela1[[#This Row],[promien]]=40000,1,0)</f>
        <v>0</v>
      </c>
      <c r="F6206" s="1">
        <v>3.1679020302932646</v>
      </c>
      <c r="G6206" s="1">
        <v>2.6309376703471443E-2</v>
      </c>
    </row>
    <row r="6207" spans="1:7">
      <c r="A6207">
        <v>152</v>
      </c>
      <c r="B6207">
        <v>255</v>
      </c>
      <c r="C6207" s="1">
        <f>(Tabela1[[#This Row],[x]]-H$3)*(Tabela1[[#This Row],[x]]-H$3) +(Tabela1[[#This Row],[y]]-H$4)*(Tabela1[[#This Row],[y]]-H$4)</f>
        <v>5329</v>
      </c>
      <c r="D6207" s="1">
        <f>IF(Tabela1[[#This Row],[promien]]&lt;40000,1,0)</f>
        <v>1</v>
      </c>
      <c r="E6207" s="1">
        <f>IF(Tabela1[[#This Row],[promien]]=40000,1,0)</f>
        <v>0</v>
      </c>
      <c r="F6207" s="1">
        <v>3.1680360882874172</v>
      </c>
      <c r="G6207" s="1">
        <v>2.6443434697624113E-2</v>
      </c>
    </row>
    <row r="6208" spans="1:7">
      <c r="A6208">
        <v>224</v>
      </c>
      <c r="B6208">
        <v>135</v>
      </c>
      <c r="C6208" s="1">
        <f>(Tabela1[[#This Row],[x]]-H$3)*(Tabela1[[#This Row],[x]]-H$3) +(Tabela1[[#This Row],[y]]-H$4)*(Tabela1[[#This Row],[y]]-H$4)</f>
        <v>4801</v>
      </c>
      <c r="D6208" s="1">
        <f>IF(Tabela1[[#This Row],[promien]]&lt;40000,1,0)</f>
        <v>1</v>
      </c>
      <c r="E6208" s="1">
        <f>IF(Tabela1[[#This Row],[promien]]=40000,1,0)</f>
        <v>0</v>
      </c>
      <c r="F6208" s="1">
        <v>3.1681701030927836</v>
      </c>
      <c r="G6208" s="1">
        <v>2.6577449502990458E-2</v>
      </c>
    </row>
    <row r="6209" spans="1:7">
      <c r="A6209">
        <v>303</v>
      </c>
      <c r="B6209">
        <v>124</v>
      </c>
      <c r="C6209" s="1">
        <f>(Tabela1[[#This Row],[x]]-H$3)*(Tabela1[[#This Row],[x]]-H$3) +(Tabela1[[#This Row],[y]]-H$4)*(Tabela1[[#This Row],[y]]-H$4)</f>
        <v>16385</v>
      </c>
      <c r="D6209" s="1">
        <f>IF(Tabela1[[#This Row],[promien]]&lt;40000,1,0)</f>
        <v>1</v>
      </c>
      <c r="E6209" s="1">
        <f>IF(Tabela1[[#This Row],[promien]]=40000,1,0)</f>
        <v>0</v>
      </c>
      <c r="F6209" s="1">
        <v>3.1683040747302305</v>
      </c>
      <c r="G6209" s="1">
        <v>2.6711421140437341E-2</v>
      </c>
    </row>
    <row r="6210" spans="1:7">
      <c r="A6210">
        <v>39</v>
      </c>
      <c r="B6210">
        <v>103</v>
      </c>
      <c r="C6210" s="1">
        <f>(Tabela1[[#This Row],[x]]-H$3)*(Tabela1[[#This Row],[x]]-H$3) +(Tabela1[[#This Row],[y]]-H$4)*(Tabela1[[#This Row],[y]]-H$4)</f>
        <v>35330</v>
      </c>
      <c r="D6210" s="1">
        <f>IF(Tabela1[[#This Row],[promien]]&lt;40000,1,0)</f>
        <v>1</v>
      </c>
      <c r="E6210" s="1">
        <f>IF(Tabela1[[#This Row],[promien]]=40000,1,0)</f>
        <v>0</v>
      </c>
      <c r="F6210" s="1">
        <v>3.1684380032206119</v>
      </c>
      <c r="G6210" s="1">
        <v>2.6845349630818749E-2</v>
      </c>
    </row>
    <row r="6211" spans="1:7">
      <c r="A6211">
        <v>269</v>
      </c>
      <c r="B6211">
        <v>390</v>
      </c>
      <c r="C6211" s="1">
        <f>(Tabela1[[#This Row],[x]]-H$3)*(Tabela1[[#This Row],[x]]-H$3) +(Tabela1[[#This Row],[y]]-H$4)*(Tabela1[[#This Row],[y]]-H$4)</f>
        <v>40861</v>
      </c>
      <c r="D6211" s="1">
        <f>IF(Tabela1[[#This Row],[promien]]&lt;40000,1,0)</f>
        <v>0</v>
      </c>
      <c r="E6211" s="1">
        <f>IF(Tabela1[[#This Row],[promien]]=40000,1,0)</f>
        <v>0</v>
      </c>
      <c r="F6211" s="1">
        <v>3.1679278699082274</v>
      </c>
      <c r="G6211" s="1">
        <v>2.6335216318434274E-2</v>
      </c>
    </row>
    <row r="6212" spans="1:7">
      <c r="A6212">
        <v>277</v>
      </c>
      <c r="B6212">
        <v>258</v>
      </c>
      <c r="C6212" s="1">
        <f>(Tabela1[[#This Row],[x]]-H$3)*(Tabela1[[#This Row],[x]]-H$3) +(Tabela1[[#This Row],[y]]-H$4)*(Tabela1[[#This Row],[y]]-H$4)</f>
        <v>9293</v>
      </c>
      <c r="D6212" s="1">
        <f>IF(Tabela1[[#This Row],[promien]]&lt;40000,1,0)</f>
        <v>1</v>
      </c>
      <c r="E6212" s="1">
        <f>IF(Tabela1[[#This Row],[promien]]=40000,1,0)</f>
        <v>0</v>
      </c>
      <c r="F6212" s="1">
        <v>3.1680618158403089</v>
      </c>
      <c r="G6212" s="1">
        <v>2.6469162250515765E-2</v>
      </c>
    </row>
    <row r="6213" spans="1:7">
      <c r="A6213">
        <v>149</v>
      </c>
      <c r="B6213">
        <v>207</v>
      </c>
      <c r="C6213" s="1">
        <f>(Tabela1[[#This Row],[x]]-H$3)*(Tabela1[[#This Row],[x]]-H$3) +(Tabela1[[#This Row],[y]]-H$4)*(Tabela1[[#This Row],[y]]-H$4)</f>
        <v>2650</v>
      </c>
      <c r="D6213" s="1">
        <f>IF(Tabela1[[#This Row],[promien]]&lt;40000,1,0)</f>
        <v>1</v>
      </c>
      <c r="E6213" s="1">
        <f>IF(Tabela1[[#This Row],[promien]]=40000,1,0)</f>
        <v>0</v>
      </c>
      <c r="F6213" s="1">
        <v>3.1681957186544341</v>
      </c>
      <c r="G6213" s="1">
        <v>2.6603065064640941E-2</v>
      </c>
    </row>
    <row r="6214" spans="1:7">
      <c r="A6214">
        <v>43</v>
      </c>
      <c r="B6214">
        <v>117</v>
      </c>
      <c r="C6214" s="1">
        <f>(Tabela1[[#This Row],[x]]-H$3)*(Tabela1[[#This Row],[x]]-H$3) +(Tabela1[[#This Row],[y]]-H$4)*(Tabela1[[#This Row],[y]]-H$4)</f>
        <v>31538</v>
      </c>
      <c r="D6214" s="1">
        <f>IF(Tabela1[[#This Row],[promien]]&lt;40000,1,0)</f>
        <v>1</v>
      </c>
      <c r="E6214" s="1">
        <f>IF(Tabela1[[#This Row],[promien]]=40000,1,0)</f>
        <v>0</v>
      </c>
      <c r="F6214" s="1">
        <v>3.1683295783714196</v>
      </c>
      <c r="G6214" s="1">
        <v>2.6736924781626481E-2</v>
      </c>
    </row>
    <row r="6215" spans="1:7">
      <c r="A6215">
        <v>279</v>
      </c>
      <c r="B6215">
        <v>67</v>
      </c>
      <c r="C6215" s="1">
        <f>(Tabela1[[#This Row],[x]]-H$3)*(Tabela1[[#This Row],[x]]-H$3) +(Tabela1[[#This Row],[y]]-H$4)*(Tabela1[[#This Row],[y]]-H$4)</f>
        <v>23930</v>
      </c>
      <c r="D6215" s="1">
        <f>IF(Tabela1[[#This Row],[promien]]&lt;40000,1,0)</f>
        <v>1</v>
      </c>
      <c r="E6215" s="1">
        <f>IF(Tabela1[[#This Row],[promien]]=40000,1,0)</f>
        <v>0</v>
      </c>
      <c r="F6215" s="1">
        <v>3.1684633950120675</v>
      </c>
      <c r="G6215" s="1">
        <v>2.6870741422274413E-2</v>
      </c>
    </row>
    <row r="6216" spans="1:7">
      <c r="A6216">
        <v>319</v>
      </c>
      <c r="B6216">
        <v>315</v>
      </c>
      <c r="C6216" s="1">
        <f>(Tabela1[[#This Row],[x]]-H$3)*(Tabela1[[#This Row],[x]]-H$3) +(Tabela1[[#This Row],[y]]-H$4)*(Tabela1[[#This Row],[y]]-H$4)</f>
        <v>27386</v>
      </c>
      <c r="D6216" s="1">
        <f>IF(Tabela1[[#This Row],[promien]]&lt;40000,1,0)</f>
        <v>1</v>
      </c>
      <c r="E6216" s="1">
        <f>IF(Tabela1[[#This Row],[promien]]=40000,1,0)</f>
        <v>0</v>
      </c>
      <c r="F6216" s="1">
        <v>3.1685971685971688</v>
      </c>
      <c r="G6216" s="1">
        <v>2.7004515007375662E-2</v>
      </c>
    </row>
    <row r="6217" spans="1:7">
      <c r="A6217">
        <v>399</v>
      </c>
      <c r="B6217">
        <v>0</v>
      </c>
      <c r="C6217" s="1">
        <f>(Tabela1[[#This Row],[x]]-H$3)*(Tabela1[[#This Row],[x]]-H$3) +(Tabela1[[#This Row],[y]]-H$4)*(Tabela1[[#This Row],[y]]-H$4)</f>
        <v>79601</v>
      </c>
      <c r="D6217" s="1">
        <f>IF(Tabela1[[#This Row],[promien]]&lt;40000,1,0)</f>
        <v>0</v>
      </c>
      <c r="E6217" s="1">
        <f>IF(Tabela1[[#This Row],[promien]]=40000,1,0)</f>
        <v>0</v>
      </c>
      <c r="F6217" s="1">
        <v>3.1680875020106161</v>
      </c>
      <c r="G6217" s="1">
        <v>2.6494848420822947E-2</v>
      </c>
    </row>
    <row r="6218" spans="1:7">
      <c r="A6218">
        <v>191</v>
      </c>
      <c r="B6218">
        <v>195</v>
      </c>
      <c r="C6218" s="1">
        <f>(Tabela1[[#This Row],[x]]-H$3)*(Tabela1[[#This Row],[x]]-H$3) +(Tabela1[[#This Row],[y]]-H$4)*(Tabela1[[#This Row],[y]]-H$4)</f>
        <v>106</v>
      </c>
      <c r="D6218" s="1">
        <f>IF(Tabela1[[#This Row],[promien]]&lt;40000,1,0)</f>
        <v>1</v>
      </c>
      <c r="E6218" s="1">
        <f>IF(Tabela1[[#This Row],[promien]]=40000,1,0)</f>
        <v>0</v>
      </c>
      <c r="F6218" s="1">
        <v>3.1682212930202636</v>
      </c>
      <c r="G6218" s="1">
        <v>2.6628639430470447E-2</v>
      </c>
    </row>
    <row r="6219" spans="1:7">
      <c r="A6219">
        <v>102</v>
      </c>
      <c r="B6219">
        <v>14</v>
      </c>
      <c r="C6219" s="1">
        <f>(Tabela1[[#This Row],[x]]-H$3)*(Tabela1[[#This Row],[x]]-H$3) +(Tabela1[[#This Row],[y]]-H$4)*(Tabela1[[#This Row],[y]]-H$4)</f>
        <v>44200</v>
      </c>
      <c r="D6219" s="1">
        <f>IF(Tabela1[[#This Row],[promien]]&lt;40000,1,0)</f>
        <v>0</v>
      </c>
      <c r="E6219" s="1">
        <f>IF(Tabela1[[#This Row],[promien]]=40000,1,0)</f>
        <v>0</v>
      </c>
      <c r="F6219" s="1">
        <v>3.1677118507798681</v>
      </c>
      <c r="G6219" s="1">
        <v>2.6119197190074939E-2</v>
      </c>
    </row>
    <row r="6220" spans="1:7">
      <c r="A6220">
        <v>197</v>
      </c>
      <c r="B6220">
        <v>11</v>
      </c>
      <c r="C6220" s="1">
        <f>(Tabela1[[#This Row],[x]]-H$3)*(Tabela1[[#This Row],[x]]-H$3) +(Tabela1[[#This Row],[y]]-H$4)*(Tabela1[[#This Row],[y]]-H$4)</f>
        <v>35730</v>
      </c>
      <c r="D6220" s="1">
        <f>IF(Tabela1[[#This Row],[promien]]&lt;40000,1,0)</f>
        <v>1</v>
      </c>
      <c r="E6220" s="1">
        <f>IF(Tabela1[[#This Row],[promien]]=40000,1,0)</f>
        <v>0</v>
      </c>
      <c r="F6220" s="1">
        <v>3.1678456591639872</v>
      </c>
      <c r="G6220" s="1">
        <v>2.6253005574194077E-2</v>
      </c>
    </row>
    <row r="6221" spans="1:7">
      <c r="A6221">
        <v>277</v>
      </c>
      <c r="B6221">
        <v>174</v>
      </c>
      <c r="C6221" s="1">
        <f>(Tabela1[[#This Row],[x]]-H$3)*(Tabela1[[#This Row],[x]]-H$3) +(Tabela1[[#This Row],[y]]-H$4)*(Tabela1[[#This Row],[y]]-H$4)</f>
        <v>6605</v>
      </c>
      <c r="D6221" s="1">
        <f>IF(Tabela1[[#This Row],[promien]]&lt;40000,1,0)</f>
        <v>1</v>
      </c>
      <c r="E6221" s="1">
        <f>IF(Tabela1[[#This Row],[promien]]=40000,1,0)</f>
        <v>0</v>
      </c>
      <c r="F6221" s="1">
        <v>3.1679794245298183</v>
      </c>
      <c r="G6221" s="1">
        <v>2.6386770940025173E-2</v>
      </c>
    </row>
    <row r="6222" spans="1:7">
      <c r="A6222">
        <v>280</v>
      </c>
      <c r="B6222">
        <v>139</v>
      </c>
      <c r="C6222" s="1">
        <f>(Tabela1[[#This Row],[x]]-H$3)*(Tabela1[[#This Row],[x]]-H$3) +(Tabela1[[#This Row],[y]]-H$4)*(Tabela1[[#This Row],[y]]-H$4)</f>
        <v>10121</v>
      </c>
      <c r="D6222" s="1">
        <f>IF(Tabela1[[#This Row],[promien]]&lt;40000,1,0)</f>
        <v>1</v>
      </c>
      <c r="E6222" s="1">
        <f>IF(Tabela1[[#This Row],[promien]]=40000,1,0)</f>
        <v>0</v>
      </c>
      <c r="F6222" s="1">
        <v>3.1681131468981034</v>
      </c>
      <c r="G6222" s="1">
        <v>2.65204933083103E-2</v>
      </c>
    </row>
    <row r="6223" spans="1:7">
      <c r="A6223">
        <v>6</v>
      </c>
      <c r="B6223">
        <v>120</v>
      </c>
      <c r="C6223" s="1">
        <f>(Tabela1[[#This Row],[x]]-H$3)*(Tabela1[[#This Row],[x]]-H$3) +(Tabela1[[#This Row],[y]]-H$4)*(Tabela1[[#This Row],[y]]-H$4)</f>
        <v>44036</v>
      </c>
      <c r="D6223" s="1">
        <f>IF(Tabela1[[#This Row],[promien]]&lt;40000,1,0)</f>
        <v>0</v>
      </c>
      <c r="E6223" s="1">
        <f>IF(Tabela1[[#This Row],[promien]]=40000,1,0)</f>
        <v>0</v>
      </c>
      <c r="F6223" s="1">
        <v>3.1676040494938134</v>
      </c>
      <c r="G6223" s="1">
        <v>2.601139590402024E-2</v>
      </c>
    </row>
    <row r="6224" spans="1:7">
      <c r="A6224">
        <v>176</v>
      </c>
      <c r="B6224">
        <v>41</v>
      </c>
      <c r="C6224" s="1">
        <f>(Tabela1[[#This Row],[x]]-H$3)*(Tabela1[[#This Row],[x]]-H$3) +(Tabela1[[#This Row],[y]]-H$4)*(Tabela1[[#This Row],[y]]-H$4)</f>
        <v>25857</v>
      </c>
      <c r="D6224" s="1">
        <f>IF(Tabela1[[#This Row],[promien]]&lt;40000,1,0)</f>
        <v>1</v>
      </c>
      <c r="E6224" s="1">
        <f>IF(Tabela1[[#This Row],[promien]]=40000,1,0)</f>
        <v>0</v>
      </c>
      <c r="F6224" s="1">
        <v>3.1677377892030849</v>
      </c>
      <c r="G6224" s="1">
        <v>2.6145135613291792E-2</v>
      </c>
    </row>
    <row r="6225" spans="1:7">
      <c r="A6225">
        <v>298</v>
      </c>
      <c r="B6225">
        <v>125</v>
      </c>
      <c r="C6225" s="1">
        <f>(Tabela1[[#This Row],[x]]-H$3)*(Tabela1[[#This Row],[x]]-H$3) +(Tabela1[[#This Row],[y]]-H$4)*(Tabela1[[#This Row],[y]]-H$4)</f>
        <v>15229</v>
      </c>
      <c r="D6225" s="1">
        <f>IF(Tabela1[[#This Row],[promien]]&lt;40000,1,0)</f>
        <v>1</v>
      </c>
      <c r="E6225" s="1">
        <f>IF(Tabela1[[#This Row],[promien]]=40000,1,0)</f>
        <v>0</v>
      </c>
      <c r="F6225" s="1">
        <v>3.1678714859437749</v>
      </c>
      <c r="G6225" s="1">
        <v>2.6278832353981763E-2</v>
      </c>
    </row>
    <row r="6226" spans="1:7">
      <c r="A6226">
        <v>6</v>
      </c>
      <c r="B6226">
        <v>146</v>
      </c>
      <c r="C6226" s="1">
        <f>(Tabela1[[#This Row],[x]]-H$3)*(Tabela1[[#This Row],[x]]-H$3) +(Tabela1[[#This Row],[y]]-H$4)*(Tabela1[[#This Row],[y]]-H$4)</f>
        <v>40552</v>
      </c>
      <c r="D6226" s="1">
        <f>IF(Tabela1[[#This Row],[promien]]&lt;40000,1,0)</f>
        <v>0</v>
      </c>
      <c r="E6226" s="1">
        <f>IF(Tabela1[[#This Row],[promien]]=40000,1,0)</f>
        <v>0</v>
      </c>
      <c r="F6226" s="1">
        <v>3.167362672663026</v>
      </c>
      <c r="G6226" s="1">
        <v>2.5770019073232842E-2</v>
      </c>
    </row>
    <row r="6227" spans="1:7">
      <c r="A6227">
        <v>237</v>
      </c>
      <c r="B6227">
        <v>51</v>
      </c>
      <c r="C6227" s="1">
        <f>(Tabela1[[#This Row],[x]]-H$3)*(Tabela1[[#This Row],[x]]-H$3) +(Tabela1[[#This Row],[y]]-H$4)*(Tabela1[[#This Row],[y]]-H$4)</f>
        <v>23570</v>
      </c>
      <c r="D6227" s="1">
        <f>IF(Tabela1[[#This Row],[promien]]&lt;40000,1,0)</f>
        <v>1</v>
      </c>
      <c r="E6227" s="1">
        <f>IF(Tabela1[[#This Row],[promien]]=40000,1,0)</f>
        <v>0</v>
      </c>
      <c r="F6227" s="1">
        <v>3.1674963867030672</v>
      </c>
      <c r="G6227" s="1">
        <v>2.5903733113274097E-2</v>
      </c>
    </row>
    <row r="6228" spans="1:7">
      <c r="A6228">
        <v>277</v>
      </c>
      <c r="B6228">
        <v>397</v>
      </c>
      <c r="C6228" s="1">
        <f>(Tabela1[[#This Row],[x]]-H$3)*(Tabela1[[#This Row],[x]]-H$3) +(Tabela1[[#This Row],[y]]-H$4)*(Tabela1[[#This Row],[y]]-H$4)</f>
        <v>44738</v>
      </c>
      <c r="D6228" s="1">
        <f>IF(Tabela1[[#This Row],[promien]]&lt;40000,1,0)</f>
        <v>0</v>
      </c>
      <c r="E6228" s="1">
        <f>IF(Tabela1[[#This Row],[promien]]=40000,1,0)</f>
        <v>0</v>
      </c>
      <c r="F6228" s="1">
        <v>3.1669877970456004</v>
      </c>
      <c r="G6228" s="1">
        <v>2.539514345580729E-2</v>
      </c>
    </row>
    <row r="6229" spans="1:7">
      <c r="A6229">
        <v>326</v>
      </c>
      <c r="B6229">
        <v>94</v>
      </c>
      <c r="C6229" s="1">
        <f>(Tabela1[[#This Row],[x]]-H$3)*(Tabela1[[#This Row],[x]]-H$3) +(Tabela1[[#This Row],[y]]-H$4)*(Tabela1[[#This Row],[y]]-H$4)</f>
        <v>27112</v>
      </c>
      <c r="D6229" s="1">
        <f>IF(Tabela1[[#This Row],[promien]]&lt;40000,1,0)</f>
        <v>1</v>
      </c>
      <c r="E6229" s="1">
        <f>IF(Tabela1[[#This Row],[promien]]=40000,1,0)</f>
        <v>0</v>
      </c>
      <c r="F6229" s="1">
        <v>3.1671215283352061</v>
      </c>
      <c r="G6229" s="1">
        <v>2.5528874745412988E-2</v>
      </c>
    </row>
    <row r="6230" spans="1:7">
      <c r="A6230">
        <v>212</v>
      </c>
      <c r="B6230">
        <v>295</v>
      </c>
      <c r="C6230" s="1">
        <f>(Tabela1[[#This Row],[x]]-H$3)*(Tabela1[[#This Row],[x]]-H$3) +(Tabela1[[#This Row],[y]]-H$4)*(Tabela1[[#This Row],[y]]-H$4)</f>
        <v>9169</v>
      </c>
      <c r="D6230" s="1">
        <f>IF(Tabela1[[#This Row],[promien]]&lt;40000,1,0)</f>
        <v>1</v>
      </c>
      <c r="E6230" s="1">
        <f>IF(Tabela1[[#This Row],[promien]]=40000,1,0)</f>
        <v>0</v>
      </c>
      <c r="F6230" s="1">
        <v>3.1672552166934191</v>
      </c>
      <c r="G6230" s="1">
        <v>2.5662563103626024E-2</v>
      </c>
    </row>
    <row r="6231" spans="1:7">
      <c r="A6231">
        <v>25</v>
      </c>
      <c r="B6231">
        <v>307</v>
      </c>
      <c r="C6231" s="1">
        <f>(Tabela1[[#This Row],[x]]-H$3)*(Tabela1[[#This Row],[x]]-H$3) +(Tabela1[[#This Row],[y]]-H$4)*(Tabela1[[#This Row],[y]]-H$4)</f>
        <v>42074</v>
      </c>
      <c r="D6231" s="1">
        <f>IF(Tabela1[[#This Row],[promien]]&lt;40000,1,0)</f>
        <v>0</v>
      </c>
      <c r="E6231" s="1">
        <f>IF(Tabela1[[#This Row],[promien]]=40000,1,0)</f>
        <v>0</v>
      </c>
      <c r="F6231" s="1">
        <v>3.1667469106082491</v>
      </c>
      <c r="G6231" s="1">
        <v>2.5154257018455972E-2</v>
      </c>
    </row>
    <row r="6232" spans="1:7">
      <c r="A6232">
        <v>226</v>
      </c>
      <c r="B6232">
        <v>8</v>
      </c>
      <c r="C6232" s="1">
        <f>(Tabela1[[#This Row],[x]]-H$3)*(Tabela1[[#This Row],[x]]-H$3) +(Tabela1[[#This Row],[y]]-H$4)*(Tabela1[[#This Row],[y]]-H$4)</f>
        <v>37540</v>
      </c>
      <c r="D6232" s="1">
        <f>IF(Tabela1[[#This Row],[promien]]&lt;40000,1,0)</f>
        <v>1</v>
      </c>
      <c r="E6232" s="1">
        <f>IF(Tabela1[[#This Row],[promien]]=40000,1,0)</f>
        <v>0</v>
      </c>
      <c r="F6232" s="1">
        <v>3.1668806161745828</v>
      </c>
      <c r="G6232" s="1">
        <v>2.5287962584789714E-2</v>
      </c>
    </row>
    <row r="6233" spans="1:7">
      <c r="A6233">
        <v>154</v>
      </c>
      <c r="B6233">
        <v>55</v>
      </c>
      <c r="C6233" s="1">
        <f>(Tabela1[[#This Row],[x]]-H$3)*(Tabela1[[#This Row],[x]]-H$3) +(Tabela1[[#This Row],[y]]-H$4)*(Tabela1[[#This Row],[y]]-H$4)</f>
        <v>23141</v>
      </c>
      <c r="D6233" s="1">
        <f>IF(Tabela1[[#This Row],[promien]]&lt;40000,1,0)</f>
        <v>1</v>
      </c>
      <c r="E6233" s="1">
        <f>IF(Tabela1[[#This Row],[promien]]=40000,1,0)</f>
        <v>0</v>
      </c>
      <c r="F6233" s="1">
        <v>3.1670142788384408</v>
      </c>
      <c r="G6233" s="1">
        <v>2.5421625248647661E-2</v>
      </c>
    </row>
    <row r="6234" spans="1:7">
      <c r="A6234">
        <v>234</v>
      </c>
      <c r="B6234">
        <v>72</v>
      </c>
      <c r="C6234" s="1">
        <f>(Tabela1[[#This Row],[x]]-H$3)*(Tabela1[[#This Row],[x]]-H$3) +(Tabela1[[#This Row],[y]]-H$4)*(Tabela1[[#This Row],[y]]-H$4)</f>
        <v>17540</v>
      </c>
      <c r="D6234" s="1">
        <f>IF(Tabela1[[#This Row],[promien]]&lt;40000,1,0)</f>
        <v>1</v>
      </c>
      <c r="E6234" s="1">
        <f>IF(Tabela1[[#This Row],[promien]]=40000,1,0)</f>
        <v>0</v>
      </c>
      <c r="F6234" s="1">
        <v>3.1671478986204682</v>
      </c>
      <c r="G6234" s="1">
        <v>2.5555245030675078E-2</v>
      </c>
    </row>
    <row r="6235" spans="1:7">
      <c r="A6235">
        <v>259</v>
      </c>
      <c r="B6235">
        <v>143</v>
      </c>
      <c r="C6235" s="1">
        <f>(Tabela1[[#This Row],[x]]-H$3)*(Tabela1[[#This Row],[x]]-H$3) +(Tabela1[[#This Row],[y]]-H$4)*(Tabela1[[#This Row],[y]]-H$4)</f>
        <v>6730</v>
      </c>
      <c r="D6235" s="1">
        <f>IF(Tabela1[[#This Row],[promien]]&lt;40000,1,0)</f>
        <v>1</v>
      </c>
      <c r="E6235" s="1">
        <f>IF(Tabela1[[#This Row],[promien]]=40000,1,0)</f>
        <v>0</v>
      </c>
      <c r="F6235" s="1">
        <v>3.1672814755412992</v>
      </c>
      <c r="G6235" s="1">
        <v>2.5688821951506124E-2</v>
      </c>
    </row>
    <row r="6236" spans="1:7">
      <c r="A6236">
        <v>208</v>
      </c>
      <c r="B6236">
        <v>174</v>
      </c>
      <c r="C6236" s="1">
        <f>(Tabela1[[#This Row],[x]]-H$3)*(Tabela1[[#This Row],[x]]-H$3) +(Tabela1[[#This Row],[y]]-H$4)*(Tabela1[[#This Row],[y]]-H$4)</f>
        <v>740</v>
      </c>
      <c r="D6236" s="1">
        <f>IF(Tabela1[[#This Row],[promien]]&lt;40000,1,0)</f>
        <v>1</v>
      </c>
      <c r="E6236" s="1">
        <f>IF(Tabela1[[#This Row],[promien]]=40000,1,0)</f>
        <v>0</v>
      </c>
      <c r="F6236" s="1">
        <v>3.1674150096215521</v>
      </c>
      <c r="G6236" s="1">
        <v>2.5822356031758975E-2</v>
      </c>
    </row>
    <row r="6237" spans="1:7">
      <c r="A6237">
        <v>384</v>
      </c>
      <c r="B6237">
        <v>357</v>
      </c>
      <c r="C6237" s="1">
        <f>(Tabela1[[#This Row],[x]]-H$3)*(Tabela1[[#This Row],[x]]-H$3) +(Tabela1[[#This Row],[y]]-H$4)*(Tabela1[[#This Row],[y]]-H$4)</f>
        <v>58505</v>
      </c>
      <c r="D6237" s="1">
        <f>IF(Tabela1[[#This Row],[promien]]&lt;40000,1,0)</f>
        <v>0</v>
      </c>
      <c r="E6237" s="1">
        <f>IF(Tabela1[[#This Row],[promien]]=40000,1,0)</f>
        <v>0</v>
      </c>
      <c r="F6237" s="1">
        <v>3.1669071669071669</v>
      </c>
      <c r="G6237" s="1">
        <v>2.5314513317373777E-2</v>
      </c>
    </row>
    <row r="6238" spans="1:7">
      <c r="A6238">
        <v>32</v>
      </c>
      <c r="B6238">
        <v>318</v>
      </c>
      <c r="C6238" s="1">
        <f>(Tabela1[[#This Row],[x]]-H$3)*(Tabela1[[#This Row],[x]]-H$3) +(Tabela1[[#This Row],[y]]-H$4)*(Tabela1[[#This Row],[y]]-H$4)</f>
        <v>42148</v>
      </c>
      <c r="D6238" s="1">
        <f>IF(Tabela1[[#This Row],[promien]]&lt;40000,1,0)</f>
        <v>0</v>
      </c>
      <c r="E6238" s="1">
        <f>IF(Tabela1[[#This Row],[promien]]=40000,1,0)</f>
        <v>0</v>
      </c>
      <c r="F6238" s="1">
        <v>3.1663994870150689</v>
      </c>
      <c r="G6238" s="1">
        <v>2.4806833425275787E-2</v>
      </c>
    </row>
    <row r="6239" spans="1:7">
      <c r="A6239">
        <v>287</v>
      </c>
      <c r="B6239">
        <v>139</v>
      </c>
      <c r="C6239" s="1">
        <f>(Tabela1[[#This Row],[x]]-H$3)*(Tabela1[[#This Row],[x]]-H$3) +(Tabela1[[#This Row],[y]]-H$4)*(Tabela1[[#This Row],[y]]-H$4)</f>
        <v>11290</v>
      </c>
      <c r="D6239" s="1">
        <f>IF(Tabela1[[#This Row],[promien]]&lt;40000,1,0)</f>
        <v>1</v>
      </c>
      <c r="E6239" s="1">
        <f>IF(Tabela1[[#This Row],[promien]]=40000,1,0)</f>
        <v>0</v>
      </c>
      <c r="F6239" s="1">
        <v>3.1665330982529252</v>
      </c>
      <c r="G6239" s="1">
        <v>2.4940444663132055E-2</v>
      </c>
    </row>
    <row r="6240" spans="1:7">
      <c r="A6240">
        <v>220</v>
      </c>
      <c r="B6240">
        <v>29</v>
      </c>
      <c r="C6240" s="1">
        <f>(Tabela1[[#This Row],[x]]-H$3)*(Tabela1[[#This Row],[x]]-H$3) +(Tabela1[[#This Row],[y]]-H$4)*(Tabela1[[#This Row],[y]]-H$4)</f>
        <v>29641</v>
      </c>
      <c r="D6240" s="1">
        <f>IF(Tabela1[[#This Row],[promien]]&lt;40000,1,0)</f>
        <v>1</v>
      </c>
      <c r="E6240" s="1">
        <f>IF(Tabela1[[#This Row],[promien]]=40000,1,0)</f>
        <v>0</v>
      </c>
      <c r="F6240" s="1">
        <v>3.1666666666666665</v>
      </c>
      <c r="G6240" s="1">
        <v>2.5074013076873403E-2</v>
      </c>
    </row>
    <row r="6241" spans="1:7">
      <c r="A6241">
        <v>373</v>
      </c>
      <c r="B6241">
        <v>33</v>
      </c>
      <c r="C6241" s="1">
        <f>(Tabela1[[#This Row],[x]]-H$3)*(Tabela1[[#This Row],[x]]-H$3) +(Tabela1[[#This Row],[y]]-H$4)*(Tabela1[[#This Row],[y]]-H$4)</f>
        <v>57818</v>
      </c>
      <c r="D6241" s="1">
        <f>IF(Tabela1[[#This Row],[promien]]&lt;40000,1,0)</f>
        <v>0</v>
      </c>
      <c r="E6241" s="1">
        <f>IF(Tabela1[[#This Row],[promien]]=40000,1,0)</f>
        <v>0</v>
      </c>
      <c r="F6241" s="1">
        <v>3.1661592693478608</v>
      </c>
      <c r="G6241" s="1">
        <v>2.4566615758067734E-2</v>
      </c>
    </row>
    <row r="6242" spans="1:7">
      <c r="A6242">
        <v>154</v>
      </c>
      <c r="B6242">
        <v>67</v>
      </c>
      <c r="C6242" s="1">
        <f>(Tabela1[[#This Row],[x]]-H$3)*(Tabela1[[#This Row],[x]]-H$3) +(Tabela1[[#This Row],[y]]-H$4)*(Tabela1[[#This Row],[y]]-H$4)</f>
        <v>19805</v>
      </c>
      <c r="D6242" s="1">
        <f>IF(Tabela1[[#This Row],[promien]]&lt;40000,1,0)</f>
        <v>1</v>
      </c>
      <c r="E6242" s="1">
        <f>IF(Tabela1[[#This Row],[promien]]=40000,1,0)</f>
        <v>0</v>
      </c>
      <c r="F6242" s="1">
        <v>3.1662928548542135</v>
      </c>
      <c r="G6242" s="1">
        <v>2.4700201264420407E-2</v>
      </c>
    </row>
    <row r="6243" spans="1:7">
      <c r="A6243">
        <v>114</v>
      </c>
      <c r="B6243">
        <v>388</v>
      </c>
      <c r="C6243" s="1">
        <f>(Tabela1[[#This Row],[x]]-H$3)*(Tabela1[[#This Row],[x]]-H$3) +(Tabela1[[#This Row],[y]]-H$4)*(Tabela1[[#This Row],[y]]-H$4)</f>
        <v>42740</v>
      </c>
      <c r="D6243" s="1">
        <f>IF(Tabela1[[#This Row],[promien]]&lt;40000,1,0)</f>
        <v>0</v>
      </c>
      <c r="E6243" s="1">
        <f>IF(Tabela1[[#This Row],[promien]]=40000,1,0)</f>
        <v>0</v>
      </c>
      <c r="F6243" s="1">
        <v>3.1657856799615569</v>
      </c>
      <c r="G6243" s="1">
        <v>2.4193026371763793E-2</v>
      </c>
    </row>
    <row r="6244" spans="1:7">
      <c r="A6244">
        <v>57</v>
      </c>
      <c r="B6244">
        <v>132</v>
      </c>
      <c r="C6244" s="1">
        <f>(Tabela1[[#This Row],[x]]-H$3)*(Tabela1[[#This Row],[x]]-H$3) +(Tabela1[[#This Row],[y]]-H$4)*(Tabela1[[#This Row],[y]]-H$4)</f>
        <v>25073</v>
      </c>
      <c r="D6244" s="1">
        <f>IF(Tabela1[[#This Row],[promien]]&lt;40000,1,0)</f>
        <v>1</v>
      </c>
      <c r="E6244" s="1">
        <f>IF(Tabela1[[#This Row],[promien]]=40000,1,0)</f>
        <v>0</v>
      </c>
      <c r="F6244" s="1">
        <v>3.1659192825112106</v>
      </c>
      <c r="G6244" s="1">
        <v>2.4326628921417459E-2</v>
      </c>
    </row>
    <row r="6245" spans="1:7">
      <c r="A6245">
        <v>393</v>
      </c>
      <c r="B6245">
        <v>213</v>
      </c>
      <c r="C6245" s="1">
        <f>(Tabela1[[#This Row],[x]]-H$3)*(Tabela1[[#This Row],[x]]-H$3) +(Tabela1[[#This Row],[y]]-H$4)*(Tabela1[[#This Row],[y]]-H$4)</f>
        <v>37418</v>
      </c>
      <c r="D6245" s="1">
        <f>IF(Tabela1[[#This Row],[promien]]&lt;40000,1,0)</f>
        <v>1</v>
      </c>
      <c r="E6245" s="1">
        <f>IF(Tabela1[[#This Row],[promien]]=40000,1,0)</f>
        <v>0</v>
      </c>
      <c r="F6245" s="1">
        <v>3.1660528422738192</v>
      </c>
      <c r="G6245" s="1">
        <v>2.4460188684026107E-2</v>
      </c>
    </row>
    <row r="6246" spans="1:7">
      <c r="A6246">
        <v>339</v>
      </c>
      <c r="B6246">
        <v>268</v>
      </c>
      <c r="C6246" s="1">
        <f>(Tabela1[[#This Row],[x]]-H$3)*(Tabela1[[#This Row],[x]]-H$3) +(Tabela1[[#This Row],[y]]-H$4)*(Tabela1[[#This Row],[y]]-H$4)</f>
        <v>23945</v>
      </c>
      <c r="D6246" s="1">
        <f>IF(Tabela1[[#This Row],[promien]]&lt;40000,1,0)</f>
        <v>1</v>
      </c>
      <c r="E6246" s="1">
        <f>IF(Tabela1[[#This Row],[promien]]=40000,1,0)</f>
        <v>0</v>
      </c>
      <c r="F6246" s="1">
        <v>3.1661863592699326</v>
      </c>
      <c r="G6246" s="1">
        <v>2.4593705680139522E-2</v>
      </c>
    </row>
    <row r="6247" spans="1:7">
      <c r="A6247">
        <v>198</v>
      </c>
      <c r="B6247">
        <v>182</v>
      </c>
      <c r="C6247" s="1">
        <f>(Tabela1[[#This Row],[x]]-H$3)*(Tabela1[[#This Row],[x]]-H$3) +(Tabela1[[#This Row],[y]]-H$4)*(Tabela1[[#This Row],[y]]-H$4)</f>
        <v>328</v>
      </c>
      <c r="D6247" s="1">
        <f>IF(Tabela1[[#This Row],[promien]]&lt;40000,1,0)</f>
        <v>1</v>
      </c>
      <c r="E6247" s="1">
        <f>IF(Tabela1[[#This Row],[promien]]=40000,1,0)</f>
        <v>0</v>
      </c>
      <c r="F6247" s="1">
        <v>3.1663198335200895</v>
      </c>
      <c r="G6247" s="1">
        <v>2.4727179930296384E-2</v>
      </c>
    </row>
    <row r="6248" spans="1:7">
      <c r="A6248">
        <v>22</v>
      </c>
      <c r="B6248">
        <v>210</v>
      </c>
      <c r="C6248" s="1">
        <f>(Tabela1[[#This Row],[x]]-H$3)*(Tabela1[[#This Row],[x]]-H$3) +(Tabela1[[#This Row],[y]]-H$4)*(Tabela1[[#This Row],[y]]-H$4)</f>
        <v>31784</v>
      </c>
      <c r="D6248" s="1">
        <f>IF(Tabela1[[#This Row],[promien]]&lt;40000,1,0)</f>
        <v>1</v>
      </c>
      <c r="E6248" s="1">
        <f>IF(Tabela1[[#This Row],[promien]]=40000,1,0)</f>
        <v>0</v>
      </c>
      <c r="F6248" s="1">
        <v>3.1664532650448143</v>
      </c>
      <c r="G6248" s="1">
        <v>2.4860611455021164E-2</v>
      </c>
    </row>
    <row r="6249" spans="1:7">
      <c r="A6249">
        <v>66</v>
      </c>
      <c r="B6249">
        <v>232</v>
      </c>
      <c r="C6249" s="1">
        <f>(Tabela1[[#This Row],[x]]-H$3)*(Tabela1[[#This Row],[x]]-H$3) +(Tabela1[[#This Row],[y]]-H$4)*(Tabela1[[#This Row],[y]]-H$4)</f>
        <v>18980</v>
      </c>
      <c r="D6249" s="1">
        <f>IF(Tabela1[[#This Row],[promien]]&lt;40000,1,0)</f>
        <v>1</v>
      </c>
      <c r="E6249" s="1">
        <f>IF(Tabela1[[#This Row],[promien]]=40000,1,0)</f>
        <v>0</v>
      </c>
      <c r="F6249" s="1">
        <v>3.1665866538646181</v>
      </c>
      <c r="G6249" s="1">
        <v>2.4994000274825012E-2</v>
      </c>
    </row>
    <row r="6250" spans="1:7">
      <c r="A6250">
        <v>78</v>
      </c>
      <c r="B6250">
        <v>265</v>
      </c>
      <c r="C6250" s="1">
        <f>(Tabela1[[#This Row],[x]]-H$3)*(Tabela1[[#This Row],[x]]-H$3) +(Tabela1[[#This Row],[y]]-H$4)*(Tabela1[[#This Row],[y]]-H$4)</f>
        <v>19109</v>
      </c>
      <c r="D6250" s="1">
        <f>IF(Tabela1[[#This Row],[promien]]&lt;40000,1,0)</f>
        <v>1</v>
      </c>
      <c r="E6250" s="1">
        <f>IF(Tabela1[[#This Row],[promien]]=40000,1,0)</f>
        <v>0</v>
      </c>
      <c r="F6250" s="1">
        <v>3.1667200000000002</v>
      </c>
      <c r="G6250" s="1">
        <v>2.5127346410207085E-2</v>
      </c>
    </row>
    <row r="6251" spans="1:7">
      <c r="A6251">
        <v>364</v>
      </c>
      <c r="B6251">
        <v>285</v>
      </c>
      <c r="C6251" s="1">
        <f>(Tabela1[[#This Row],[x]]-H$3)*(Tabela1[[#This Row],[x]]-H$3) +(Tabela1[[#This Row],[y]]-H$4)*(Tabela1[[#This Row],[y]]-H$4)</f>
        <v>34121</v>
      </c>
      <c r="D6251" s="1">
        <f>IF(Tabela1[[#This Row],[promien]]&lt;40000,1,0)</f>
        <v>1</v>
      </c>
      <c r="E6251" s="1">
        <f>IF(Tabela1[[#This Row],[promien]]=40000,1,0)</f>
        <v>0</v>
      </c>
      <c r="F6251" s="1">
        <v>3.1668533034714446</v>
      </c>
      <c r="G6251" s="1">
        <v>2.5260649881651442E-2</v>
      </c>
    </row>
    <row r="6252" spans="1:7">
      <c r="A6252">
        <v>382</v>
      </c>
      <c r="B6252">
        <v>278</v>
      </c>
      <c r="C6252" s="1">
        <f>(Tabela1[[#This Row],[x]]-H$3)*(Tabela1[[#This Row],[x]]-H$3) +(Tabela1[[#This Row],[y]]-H$4)*(Tabela1[[#This Row],[y]]-H$4)</f>
        <v>39208</v>
      </c>
      <c r="D6252" s="1">
        <f>IF(Tabela1[[#This Row],[promien]]&lt;40000,1,0)</f>
        <v>1</v>
      </c>
      <c r="E6252" s="1">
        <f>IF(Tabela1[[#This Row],[promien]]=40000,1,0)</f>
        <v>0</v>
      </c>
      <c r="F6252" s="1">
        <v>3.1669865642994242</v>
      </c>
      <c r="G6252" s="1">
        <v>2.539391070963104E-2</v>
      </c>
    </row>
    <row r="6253" spans="1:7">
      <c r="A6253">
        <v>238</v>
      </c>
      <c r="B6253">
        <v>384</v>
      </c>
      <c r="C6253" s="1">
        <f>(Tabela1[[#This Row],[x]]-H$3)*(Tabela1[[#This Row],[x]]-H$3) +(Tabela1[[#This Row],[y]]-H$4)*(Tabela1[[#This Row],[y]]-H$4)</f>
        <v>35300</v>
      </c>
      <c r="D6253" s="1">
        <f>IF(Tabela1[[#This Row],[promien]]&lt;40000,1,0)</f>
        <v>1</v>
      </c>
      <c r="E6253" s="1">
        <f>IF(Tabela1[[#This Row],[promien]]=40000,1,0)</f>
        <v>0</v>
      </c>
      <c r="F6253" s="1">
        <v>3.1671197825043977</v>
      </c>
      <c r="G6253" s="1">
        <v>2.5527128914604624E-2</v>
      </c>
    </row>
    <row r="6254" spans="1:7">
      <c r="A6254">
        <v>379</v>
      </c>
      <c r="B6254">
        <v>238</v>
      </c>
      <c r="C6254" s="1">
        <f>(Tabela1[[#This Row],[x]]-H$3)*(Tabela1[[#This Row],[x]]-H$3) +(Tabela1[[#This Row],[y]]-H$4)*(Tabela1[[#This Row],[y]]-H$4)</f>
        <v>33485</v>
      </c>
      <c r="D6254" s="1">
        <f>IF(Tabela1[[#This Row],[promien]]&lt;40000,1,0)</f>
        <v>1</v>
      </c>
      <c r="E6254" s="1">
        <f>IF(Tabela1[[#This Row],[promien]]=40000,1,0)</f>
        <v>0</v>
      </c>
      <c r="F6254" s="1">
        <v>3.1672529581068116</v>
      </c>
      <c r="G6254" s="1">
        <v>2.5660304517018506E-2</v>
      </c>
    </row>
    <row r="6255" spans="1:7">
      <c r="A6255">
        <v>213</v>
      </c>
      <c r="B6255">
        <v>258</v>
      </c>
      <c r="C6255" s="1">
        <f>(Tabela1[[#This Row],[x]]-H$3)*(Tabela1[[#This Row],[x]]-H$3) +(Tabela1[[#This Row],[y]]-H$4)*(Tabela1[[#This Row],[y]]-H$4)</f>
        <v>3533</v>
      </c>
      <c r="D6255" s="1">
        <f>IF(Tabela1[[#This Row],[promien]]&lt;40000,1,0)</f>
        <v>1</v>
      </c>
      <c r="E6255" s="1">
        <f>IF(Tabela1[[#This Row],[promien]]=40000,1,0)</f>
        <v>0</v>
      </c>
      <c r="F6255" s="1">
        <v>3.1673860911270983</v>
      </c>
      <c r="G6255" s="1">
        <v>2.579343753730523E-2</v>
      </c>
    </row>
    <row r="6256" spans="1:7">
      <c r="A6256">
        <v>30</v>
      </c>
      <c r="B6256">
        <v>198</v>
      </c>
      <c r="C6256" s="1">
        <f>(Tabela1[[#This Row],[x]]-H$3)*(Tabela1[[#This Row],[x]]-H$3) +(Tabela1[[#This Row],[y]]-H$4)*(Tabela1[[#This Row],[y]]-H$4)</f>
        <v>28904</v>
      </c>
      <c r="D6256" s="1">
        <f>IF(Tabela1[[#This Row],[promien]]&lt;40000,1,0)</f>
        <v>1</v>
      </c>
      <c r="E6256" s="1">
        <f>IF(Tabela1[[#This Row],[promien]]=40000,1,0)</f>
        <v>0</v>
      </c>
      <c r="F6256" s="1">
        <v>3.1675191815856776</v>
      </c>
      <c r="G6256" s="1">
        <v>2.5926527995884463E-2</v>
      </c>
    </row>
    <row r="6257" spans="1:7">
      <c r="A6257">
        <v>5</v>
      </c>
      <c r="B6257">
        <v>376</v>
      </c>
      <c r="C6257" s="1">
        <f>(Tabela1[[#This Row],[x]]-H$3)*(Tabela1[[#This Row],[x]]-H$3) +(Tabela1[[#This Row],[y]]-H$4)*(Tabela1[[#This Row],[y]]-H$4)</f>
        <v>69001</v>
      </c>
      <c r="D6257" s="1">
        <f>IF(Tabela1[[#This Row],[promien]]&lt;40000,1,0)</f>
        <v>0</v>
      </c>
      <c r="E6257" s="1">
        <f>IF(Tabela1[[#This Row],[promien]]=40000,1,0)</f>
        <v>0</v>
      </c>
      <c r="F6257" s="1">
        <v>3.167012945501039</v>
      </c>
      <c r="G6257" s="1">
        <v>2.542029191124584E-2</v>
      </c>
    </row>
    <row r="6258" spans="1:7">
      <c r="A6258">
        <v>238</v>
      </c>
      <c r="B6258">
        <v>83</v>
      </c>
      <c r="C6258" s="1">
        <f>(Tabela1[[#This Row],[x]]-H$3)*(Tabela1[[#This Row],[x]]-H$3) +(Tabela1[[#This Row],[y]]-H$4)*(Tabela1[[#This Row],[y]]-H$4)</f>
        <v>15133</v>
      </c>
      <c r="D6258" s="1">
        <f>IF(Tabela1[[#This Row],[promien]]&lt;40000,1,0)</f>
        <v>1</v>
      </c>
      <c r="E6258" s="1">
        <f>IF(Tabela1[[#This Row],[promien]]=40000,1,0)</f>
        <v>0</v>
      </c>
      <c r="F6258" s="1">
        <v>3.1671460530520932</v>
      </c>
      <c r="G6258" s="1">
        <v>2.5553399462300064E-2</v>
      </c>
    </row>
    <row r="6259" spans="1:7">
      <c r="A6259">
        <v>384</v>
      </c>
      <c r="B6259">
        <v>89</v>
      </c>
      <c r="C6259" s="1">
        <f>(Tabela1[[#This Row],[x]]-H$3)*(Tabela1[[#This Row],[x]]-H$3) +(Tabela1[[#This Row],[y]]-H$4)*(Tabela1[[#This Row],[y]]-H$4)</f>
        <v>46177</v>
      </c>
      <c r="D6259" s="1">
        <f>IF(Tabela1[[#This Row],[promien]]&lt;40000,1,0)</f>
        <v>0</v>
      </c>
      <c r="E6259" s="1">
        <f>IF(Tabela1[[#This Row],[promien]]=40000,1,0)</f>
        <v>0</v>
      </c>
      <c r="F6259" s="1">
        <v>3.1666400383447835</v>
      </c>
      <c r="G6259" s="1">
        <v>2.5047384754990354E-2</v>
      </c>
    </row>
    <row r="6260" spans="1:7">
      <c r="A6260">
        <v>70</v>
      </c>
      <c r="B6260">
        <v>222</v>
      </c>
      <c r="C6260" s="1">
        <f>(Tabela1[[#This Row],[x]]-H$3)*(Tabela1[[#This Row],[x]]-H$3) +(Tabela1[[#This Row],[y]]-H$4)*(Tabela1[[#This Row],[y]]-H$4)</f>
        <v>17384</v>
      </c>
      <c r="D6260" s="1">
        <f>IF(Tabela1[[#This Row],[promien]]&lt;40000,1,0)</f>
        <v>1</v>
      </c>
      <c r="E6260" s="1">
        <f>IF(Tabela1[[#This Row],[promien]]=40000,1,0)</f>
        <v>0</v>
      </c>
      <c r="F6260" s="1">
        <v>3.1667731629392972</v>
      </c>
      <c r="G6260" s="1">
        <v>2.518050934950411E-2</v>
      </c>
    </row>
    <row r="6261" spans="1:7">
      <c r="A6261">
        <v>159</v>
      </c>
      <c r="B6261">
        <v>343</v>
      </c>
      <c r="C6261" s="1">
        <f>(Tabela1[[#This Row],[x]]-H$3)*(Tabela1[[#This Row],[x]]-H$3) +(Tabela1[[#This Row],[y]]-H$4)*(Tabela1[[#This Row],[y]]-H$4)</f>
        <v>22130</v>
      </c>
      <c r="D6261" s="1">
        <f>IF(Tabela1[[#This Row],[promien]]&lt;40000,1,0)</f>
        <v>1</v>
      </c>
      <c r="E6261" s="1">
        <f>IF(Tabela1[[#This Row],[promien]]=40000,1,0)</f>
        <v>0</v>
      </c>
      <c r="F6261" s="1">
        <v>3.1669062450087844</v>
      </c>
      <c r="G6261" s="1">
        <v>2.5313591418991255E-2</v>
      </c>
    </row>
    <row r="6262" spans="1:7">
      <c r="A6262">
        <v>301</v>
      </c>
      <c r="B6262">
        <v>251</v>
      </c>
      <c r="C6262" s="1">
        <f>(Tabela1[[#This Row],[x]]-H$3)*(Tabela1[[#This Row],[x]]-H$3) +(Tabela1[[#This Row],[y]]-H$4)*(Tabela1[[#This Row],[y]]-H$4)</f>
        <v>12802</v>
      </c>
      <c r="D6262" s="1">
        <f>IF(Tabela1[[#This Row],[promien]]&lt;40000,1,0)</f>
        <v>1</v>
      </c>
      <c r="E6262" s="1">
        <f>IF(Tabela1[[#This Row],[promien]]=40000,1,0)</f>
        <v>0</v>
      </c>
      <c r="F6262" s="1">
        <v>3.1670392845736188</v>
      </c>
      <c r="G6262" s="1">
        <v>2.5446630983825713E-2</v>
      </c>
    </row>
    <row r="6263" spans="1:7">
      <c r="A6263">
        <v>320</v>
      </c>
      <c r="B6263">
        <v>336</v>
      </c>
      <c r="C6263" s="1">
        <f>(Tabela1[[#This Row],[x]]-H$3)*(Tabela1[[#This Row],[x]]-H$3) +(Tabela1[[#This Row],[y]]-H$4)*(Tabela1[[#This Row],[y]]-H$4)</f>
        <v>32896</v>
      </c>
      <c r="D6263" s="1">
        <f>IF(Tabela1[[#This Row],[promien]]&lt;40000,1,0)</f>
        <v>1</v>
      </c>
      <c r="E6263" s="1">
        <f>IF(Tabela1[[#This Row],[promien]]=40000,1,0)</f>
        <v>0</v>
      </c>
      <c r="F6263" s="1">
        <v>3.1671722816541594</v>
      </c>
      <c r="G6263" s="1">
        <v>2.5579628064366311E-2</v>
      </c>
    </row>
    <row r="6264" spans="1:7">
      <c r="A6264">
        <v>186</v>
      </c>
      <c r="B6264">
        <v>1</v>
      </c>
      <c r="C6264" s="1">
        <f>(Tabela1[[#This Row],[x]]-H$3)*(Tabela1[[#This Row],[x]]-H$3) +(Tabela1[[#This Row],[y]]-H$4)*(Tabela1[[#This Row],[y]]-H$4)</f>
        <v>39797</v>
      </c>
      <c r="D6264" s="1">
        <f>IF(Tabela1[[#This Row],[promien]]&lt;40000,1,0)</f>
        <v>1</v>
      </c>
      <c r="E6264" s="1">
        <f>IF(Tabela1[[#This Row],[promien]]=40000,1,0)</f>
        <v>0</v>
      </c>
      <c r="F6264" s="1">
        <v>3.1673052362707534</v>
      </c>
      <c r="G6264" s="1">
        <v>2.5712582680960328E-2</v>
      </c>
    </row>
    <row r="6265" spans="1:7">
      <c r="A6265">
        <v>344</v>
      </c>
      <c r="B6265">
        <v>260</v>
      </c>
      <c r="C6265" s="1">
        <f>(Tabela1[[#This Row],[x]]-H$3)*(Tabela1[[#This Row],[x]]-H$3) +(Tabela1[[#This Row],[y]]-H$4)*(Tabela1[[#This Row],[y]]-H$4)</f>
        <v>24336</v>
      </c>
      <c r="D6265" s="1">
        <f>IF(Tabela1[[#This Row],[promien]]&lt;40000,1,0)</f>
        <v>1</v>
      </c>
      <c r="E6265" s="1">
        <f>IF(Tabela1[[#This Row],[promien]]=40000,1,0)</f>
        <v>0</v>
      </c>
      <c r="F6265" s="1">
        <v>3.1674381484437348</v>
      </c>
      <c r="G6265" s="1">
        <v>2.584549485394172E-2</v>
      </c>
    </row>
    <row r="6266" spans="1:7">
      <c r="A6266">
        <v>305</v>
      </c>
      <c r="B6266">
        <v>281</v>
      </c>
      <c r="C6266" s="1">
        <f>(Tabela1[[#This Row],[x]]-H$3)*(Tabela1[[#This Row],[x]]-H$3) +(Tabela1[[#This Row],[y]]-H$4)*(Tabela1[[#This Row],[y]]-H$4)</f>
        <v>17586</v>
      </c>
      <c r="D6266" s="1">
        <f>IF(Tabela1[[#This Row],[promien]]&lt;40000,1,0)</f>
        <v>1</v>
      </c>
      <c r="E6266" s="1">
        <f>IF(Tabela1[[#This Row],[promien]]=40000,1,0)</f>
        <v>0</v>
      </c>
      <c r="F6266" s="1">
        <v>3.1675710181934247</v>
      </c>
      <c r="G6266" s="1">
        <v>2.5978364603631565E-2</v>
      </c>
    </row>
    <row r="6267" spans="1:7">
      <c r="A6267">
        <v>353</v>
      </c>
      <c r="B6267">
        <v>115</v>
      </c>
      <c r="C6267" s="1">
        <f>(Tabela1[[#This Row],[x]]-H$3)*(Tabela1[[#This Row],[x]]-H$3) +(Tabela1[[#This Row],[y]]-H$4)*(Tabela1[[#This Row],[y]]-H$4)</f>
        <v>30634</v>
      </c>
      <c r="D6267" s="1">
        <f>IF(Tabela1[[#This Row],[promien]]&lt;40000,1,0)</f>
        <v>1</v>
      </c>
      <c r="E6267" s="1">
        <f>IF(Tabela1[[#This Row],[promien]]=40000,1,0)</f>
        <v>0</v>
      </c>
      <c r="F6267" s="1">
        <v>3.1677038455401307</v>
      </c>
      <c r="G6267" s="1">
        <v>2.611119195033762E-2</v>
      </c>
    </row>
    <row r="6268" spans="1:7">
      <c r="A6268">
        <v>88</v>
      </c>
      <c r="B6268">
        <v>220</v>
      </c>
      <c r="C6268" s="1">
        <f>(Tabela1[[#This Row],[x]]-H$3)*(Tabela1[[#This Row],[x]]-H$3) +(Tabela1[[#This Row],[y]]-H$4)*(Tabela1[[#This Row],[y]]-H$4)</f>
        <v>12944</v>
      </c>
      <c r="D6268" s="1">
        <f>IF(Tabela1[[#This Row],[promien]]&lt;40000,1,0)</f>
        <v>1</v>
      </c>
      <c r="E6268" s="1">
        <f>IF(Tabela1[[#This Row],[promien]]=40000,1,0)</f>
        <v>0</v>
      </c>
      <c r="F6268" s="1">
        <v>3.1678366305041479</v>
      </c>
      <c r="G6268" s="1">
        <v>2.6243976914354761E-2</v>
      </c>
    </row>
    <row r="6269" spans="1:7">
      <c r="A6269">
        <v>149</v>
      </c>
      <c r="B6269">
        <v>228</v>
      </c>
      <c r="C6269" s="1">
        <f>(Tabela1[[#This Row],[x]]-H$3)*(Tabela1[[#This Row],[x]]-H$3) +(Tabela1[[#This Row],[y]]-H$4)*(Tabela1[[#This Row],[y]]-H$4)</f>
        <v>3385</v>
      </c>
      <c r="D6269" s="1">
        <f>IF(Tabela1[[#This Row],[promien]]&lt;40000,1,0)</f>
        <v>1</v>
      </c>
      <c r="E6269" s="1">
        <f>IF(Tabela1[[#This Row],[promien]]=40000,1,0)</f>
        <v>0</v>
      </c>
      <c r="F6269" s="1">
        <v>3.1679693731057585</v>
      </c>
      <c r="G6269" s="1">
        <v>2.637671951596543E-2</v>
      </c>
    </row>
    <row r="6270" spans="1:7">
      <c r="A6270">
        <v>373</v>
      </c>
      <c r="B6270">
        <v>61</v>
      </c>
      <c r="C6270" s="1">
        <f>(Tabela1[[#This Row],[x]]-H$3)*(Tabela1[[#This Row],[x]]-H$3) +(Tabela1[[#This Row],[y]]-H$4)*(Tabela1[[#This Row],[y]]-H$4)</f>
        <v>49250</v>
      </c>
      <c r="D6270" s="1">
        <f>IF(Tabela1[[#This Row],[promien]]&lt;40000,1,0)</f>
        <v>0</v>
      </c>
      <c r="E6270" s="1">
        <f>IF(Tabela1[[#This Row],[promien]]=40000,1,0)</f>
        <v>0</v>
      </c>
      <c r="F6270" s="1">
        <v>3.1674641148325358</v>
      </c>
      <c r="G6270" s="1">
        <v>2.5871461242742644E-2</v>
      </c>
    </row>
    <row r="6271" spans="1:7">
      <c r="A6271">
        <v>345</v>
      </c>
      <c r="B6271">
        <v>352</v>
      </c>
      <c r="C6271" s="1">
        <f>(Tabela1[[#This Row],[x]]-H$3)*(Tabela1[[#This Row],[x]]-H$3) +(Tabela1[[#This Row],[y]]-H$4)*(Tabela1[[#This Row],[y]]-H$4)</f>
        <v>44129</v>
      </c>
      <c r="D6271" s="1">
        <f>IF(Tabela1[[#This Row],[promien]]&lt;40000,1,0)</f>
        <v>0</v>
      </c>
      <c r="E6271" s="1">
        <f>IF(Tabela1[[#This Row],[promien]]=40000,1,0)</f>
        <v>0</v>
      </c>
      <c r="F6271" s="1">
        <v>3.1669590177005262</v>
      </c>
      <c r="G6271" s="1">
        <v>2.5366364110733119E-2</v>
      </c>
    </row>
    <row r="6272" spans="1:7">
      <c r="A6272">
        <v>77</v>
      </c>
      <c r="B6272">
        <v>31</v>
      </c>
      <c r="C6272" s="1">
        <f>(Tabela1[[#This Row],[x]]-H$3)*(Tabela1[[#This Row],[x]]-H$3) +(Tabela1[[#This Row],[y]]-H$4)*(Tabela1[[#This Row],[y]]-H$4)</f>
        <v>43690</v>
      </c>
      <c r="D6272" s="1">
        <f>IF(Tabela1[[#This Row],[promien]]&lt;40000,1,0)</f>
        <v>0</v>
      </c>
      <c r="E6272" s="1">
        <f>IF(Tabela1[[#This Row],[promien]]=40000,1,0)</f>
        <v>0</v>
      </c>
      <c r="F6272" s="1">
        <v>3.166454081632653</v>
      </c>
      <c r="G6272" s="1">
        <v>2.4861428042859846E-2</v>
      </c>
    </row>
    <row r="6273" spans="1:7">
      <c r="A6273">
        <v>317</v>
      </c>
      <c r="B6273">
        <v>156</v>
      </c>
      <c r="C6273" s="1">
        <f>(Tabela1[[#This Row],[x]]-H$3)*(Tabela1[[#This Row],[x]]-H$3) +(Tabela1[[#This Row],[y]]-H$4)*(Tabela1[[#This Row],[y]]-H$4)</f>
        <v>15625</v>
      </c>
      <c r="D6273" s="1">
        <f>IF(Tabela1[[#This Row],[promien]]&lt;40000,1,0)</f>
        <v>1</v>
      </c>
      <c r="E6273" s="1">
        <f>IF(Tabela1[[#This Row],[promien]]=40000,1,0)</f>
        <v>0</v>
      </c>
      <c r="F6273" s="1">
        <v>3.1665869599872472</v>
      </c>
      <c r="G6273" s="1">
        <v>2.4994306397454036E-2</v>
      </c>
    </row>
    <row r="6274" spans="1:7">
      <c r="A6274">
        <v>37</v>
      </c>
      <c r="B6274">
        <v>310</v>
      </c>
      <c r="C6274" s="1">
        <f>(Tabela1[[#This Row],[x]]-H$3)*(Tabela1[[#This Row],[x]]-H$3) +(Tabela1[[#This Row],[y]]-H$4)*(Tabela1[[#This Row],[y]]-H$4)</f>
        <v>38669</v>
      </c>
      <c r="D6274" s="1">
        <f>IF(Tabela1[[#This Row],[promien]]&lt;40000,1,0)</f>
        <v>1</v>
      </c>
      <c r="E6274" s="1">
        <f>IF(Tabela1[[#This Row],[promien]]=40000,1,0)</f>
        <v>0</v>
      </c>
      <c r="F6274" s="1">
        <v>3.1667197959834237</v>
      </c>
      <c r="G6274" s="1">
        <v>2.5127142393630564E-2</v>
      </c>
    </row>
    <row r="6275" spans="1:7">
      <c r="A6275">
        <v>393</v>
      </c>
      <c r="B6275">
        <v>303</v>
      </c>
      <c r="C6275" s="1">
        <f>(Tabela1[[#This Row],[x]]-H$3)*(Tabela1[[#This Row],[x]]-H$3) +(Tabela1[[#This Row],[y]]-H$4)*(Tabela1[[#This Row],[y]]-H$4)</f>
        <v>47858</v>
      </c>
      <c r="D6275" s="1">
        <f>IF(Tabela1[[#This Row],[promien]]&lt;40000,1,0)</f>
        <v>0</v>
      </c>
      <c r="E6275" s="1">
        <f>IF(Tabela1[[#This Row],[promien]]=40000,1,0)</f>
        <v>0</v>
      </c>
      <c r="F6275" s="1">
        <v>3.1662151394422309</v>
      </c>
      <c r="G6275" s="1">
        <v>2.4622485852437759E-2</v>
      </c>
    </row>
    <row r="6276" spans="1:7">
      <c r="A6276">
        <v>243</v>
      </c>
      <c r="B6276">
        <v>125</v>
      </c>
      <c r="C6276" s="1">
        <f>(Tabela1[[#This Row],[x]]-H$3)*(Tabela1[[#This Row],[x]]-H$3) +(Tabela1[[#This Row],[y]]-H$4)*(Tabela1[[#This Row],[y]]-H$4)</f>
        <v>7474</v>
      </c>
      <c r="D6276" s="1">
        <f>IF(Tabela1[[#This Row],[promien]]&lt;40000,1,0)</f>
        <v>1</v>
      </c>
      <c r="E6276" s="1">
        <f>IF(Tabela1[[#This Row],[promien]]=40000,1,0)</f>
        <v>0</v>
      </c>
      <c r="F6276" s="1">
        <v>3.1663479923518163</v>
      </c>
      <c r="G6276" s="1">
        <v>2.4755338762023182E-2</v>
      </c>
    </row>
    <row r="6277" spans="1:7">
      <c r="A6277">
        <v>237</v>
      </c>
      <c r="B6277">
        <v>329</v>
      </c>
      <c r="C6277" s="1">
        <f>(Tabela1[[#This Row],[x]]-H$3)*(Tabela1[[#This Row],[x]]-H$3) +(Tabela1[[#This Row],[y]]-H$4)*(Tabela1[[#This Row],[y]]-H$4)</f>
        <v>18010</v>
      </c>
      <c r="D6277" s="1">
        <f>IF(Tabela1[[#This Row],[promien]]&lt;40000,1,0)</f>
        <v>1</v>
      </c>
      <c r="E6277" s="1">
        <f>IF(Tabela1[[#This Row],[promien]]=40000,1,0)</f>
        <v>0</v>
      </c>
      <c r="F6277" s="1">
        <v>3.1664808029313365</v>
      </c>
      <c r="G6277" s="1">
        <v>2.4888149341543375E-2</v>
      </c>
    </row>
    <row r="6278" spans="1:7">
      <c r="A6278">
        <v>150</v>
      </c>
      <c r="B6278">
        <v>106</v>
      </c>
      <c r="C6278" s="1">
        <f>(Tabela1[[#This Row],[x]]-H$3)*(Tabela1[[#This Row],[x]]-H$3) +(Tabela1[[#This Row],[y]]-H$4)*(Tabela1[[#This Row],[y]]-H$4)</f>
        <v>11336</v>
      </c>
      <c r="D6278" s="1">
        <f>IF(Tabela1[[#This Row],[promien]]&lt;40000,1,0)</f>
        <v>1</v>
      </c>
      <c r="E6278" s="1">
        <f>IF(Tabela1[[#This Row],[promien]]=40000,1,0)</f>
        <v>0</v>
      </c>
      <c r="F6278" s="1">
        <v>3.1666135712010193</v>
      </c>
      <c r="G6278" s="1">
        <v>2.5020917611226157E-2</v>
      </c>
    </row>
    <row r="6279" spans="1:7">
      <c r="A6279">
        <v>352</v>
      </c>
      <c r="B6279">
        <v>234</v>
      </c>
      <c r="C6279" s="1">
        <f>(Tabela1[[#This Row],[x]]-H$3)*(Tabela1[[#This Row],[x]]-H$3) +(Tabela1[[#This Row],[y]]-H$4)*(Tabela1[[#This Row],[y]]-H$4)</f>
        <v>24260</v>
      </c>
      <c r="D6279" s="1">
        <f>IF(Tabela1[[#This Row],[promien]]&lt;40000,1,0)</f>
        <v>1</v>
      </c>
      <c r="E6279" s="1">
        <f>IF(Tabela1[[#This Row],[promien]]=40000,1,0)</f>
        <v>0</v>
      </c>
      <c r="F6279" s="1">
        <v>3.1667462971810796</v>
      </c>
      <c r="G6279" s="1">
        <v>2.5153643591286468E-2</v>
      </c>
    </row>
    <row r="6280" spans="1:7">
      <c r="A6280">
        <v>27</v>
      </c>
      <c r="B6280">
        <v>265</v>
      </c>
      <c r="C6280" s="1">
        <f>(Tabela1[[#This Row],[x]]-H$3)*(Tabela1[[#This Row],[x]]-H$3) +(Tabela1[[#This Row],[y]]-H$4)*(Tabela1[[#This Row],[y]]-H$4)</f>
        <v>34154</v>
      </c>
      <c r="D6280" s="1">
        <f>IF(Tabela1[[#This Row],[promien]]&lt;40000,1,0)</f>
        <v>1</v>
      </c>
      <c r="E6280" s="1">
        <f>IF(Tabela1[[#This Row],[promien]]=40000,1,0)</f>
        <v>0</v>
      </c>
      <c r="F6280" s="1">
        <v>3.1668789808917199</v>
      </c>
      <c r="G6280" s="1">
        <v>2.5286327301926814E-2</v>
      </c>
    </row>
    <row r="6281" spans="1:7">
      <c r="A6281">
        <v>123</v>
      </c>
      <c r="B6281">
        <v>134</v>
      </c>
      <c r="C6281" s="1">
        <f>(Tabela1[[#This Row],[x]]-H$3)*(Tabela1[[#This Row],[x]]-H$3) +(Tabela1[[#This Row],[y]]-H$4)*(Tabela1[[#This Row],[y]]-H$4)</f>
        <v>10285</v>
      </c>
      <c r="D6281" s="1">
        <f>IF(Tabela1[[#This Row],[promien]]&lt;40000,1,0)</f>
        <v>1</v>
      </c>
      <c r="E6281" s="1">
        <f>IF(Tabela1[[#This Row],[promien]]=40000,1,0)</f>
        <v>0</v>
      </c>
      <c r="F6281" s="1">
        <v>3.1670116223531286</v>
      </c>
      <c r="G6281" s="1">
        <v>2.5418968763335492E-2</v>
      </c>
    </row>
    <row r="6282" spans="1:7">
      <c r="A6282">
        <v>49</v>
      </c>
      <c r="B6282">
        <v>133</v>
      </c>
      <c r="C6282" s="1">
        <f>(Tabela1[[#This Row],[x]]-H$3)*(Tabela1[[#This Row],[x]]-H$3) +(Tabela1[[#This Row],[y]]-H$4)*(Tabela1[[#This Row],[y]]-H$4)</f>
        <v>27290</v>
      </c>
      <c r="D6282" s="1">
        <f>IF(Tabela1[[#This Row],[promien]]&lt;40000,1,0)</f>
        <v>1</v>
      </c>
      <c r="E6282" s="1">
        <f>IF(Tabela1[[#This Row],[promien]]=40000,1,0)</f>
        <v>0</v>
      </c>
      <c r="F6282" s="1">
        <v>3.1671442215854824</v>
      </c>
      <c r="G6282" s="1">
        <v>2.5551567995689251E-2</v>
      </c>
    </row>
    <row r="6283" spans="1:7">
      <c r="A6283">
        <v>287</v>
      </c>
      <c r="B6283">
        <v>346</v>
      </c>
      <c r="C6283" s="1">
        <f>(Tabela1[[#This Row],[x]]-H$3)*(Tabela1[[#This Row],[x]]-H$3) +(Tabela1[[#This Row],[y]]-H$4)*(Tabela1[[#This Row],[y]]-H$4)</f>
        <v>28885</v>
      </c>
      <c r="D6283" s="1">
        <f>IF(Tabela1[[#This Row],[promien]]&lt;40000,1,0)</f>
        <v>1</v>
      </c>
      <c r="E6283" s="1">
        <f>IF(Tabela1[[#This Row],[promien]]=40000,1,0)</f>
        <v>0</v>
      </c>
      <c r="F6283" s="1">
        <v>3.1672767786089446</v>
      </c>
      <c r="G6283" s="1">
        <v>2.5684125019151516E-2</v>
      </c>
    </row>
    <row r="6284" spans="1:7">
      <c r="A6284">
        <v>65</v>
      </c>
      <c r="B6284">
        <v>139</v>
      </c>
      <c r="C6284" s="1">
        <f>(Tabela1[[#This Row],[x]]-H$3)*(Tabela1[[#This Row],[x]]-H$3) +(Tabela1[[#This Row],[y]]-H$4)*(Tabela1[[#This Row],[y]]-H$4)</f>
        <v>21946</v>
      </c>
      <c r="D6284" s="1">
        <f>IF(Tabela1[[#This Row],[promien]]&lt;40000,1,0)</f>
        <v>1</v>
      </c>
      <c r="E6284" s="1">
        <f>IF(Tabela1[[#This Row],[promien]]=40000,1,0)</f>
        <v>0</v>
      </c>
      <c r="F6284" s="1">
        <v>3.1674092934436664</v>
      </c>
      <c r="G6284" s="1">
        <v>2.581663985387328E-2</v>
      </c>
    </row>
    <row r="6285" spans="1:7">
      <c r="A6285">
        <v>302</v>
      </c>
      <c r="B6285">
        <v>288</v>
      </c>
      <c r="C6285" s="1">
        <f>(Tabela1[[#This Row],[x]]-H$3)*(Tabela1[[#This Row],[x]]-H$3) +(Tabela1[[#This Row],[y]]-H$4)*(Tabela1[[#This Row],[y]]-H$4)</f>
        <v>18148</v>
      </c>
      <c r="D6285" s="1">
        <f>IF(Tabela1[[#This Row],[promien]]&lt;40000,1,0)</f>
        <v>1</v>
      </c>
      <c r="E6285" s="1">
        <f>IF(Tabela1[[#This Row],[promien]]=40000,1,0)</f>
        <v>0</v>
      </c>
      <c r="F6285" s="1">
        <v>3.1675417661097853</v>
      </c>
      <c r="G6285" s="1">
        <v>2.5949112519992212E-2</v>
      </c>
    </row>
    <row r="6286" spans="1:7">
      <c r="A6286">
        <v>22</v>
      </c>
      <c r="B6286">
        <v>65</v>
      </c>
      <c r="C6286" s="1">
        <f>(Tabela1[[#This Row],[x]]-H$3)*(Tabela1[[#This Row],[x]]-H$3) +(Tabela1[[#This Row],[y]]-H$4)*(Tabela1[[#This Row],[y]]-H$4)</f>
        <v>49909</v>
      </c>
      <c r="D6286" s="1">
        <f>IF(Tabela1[[#This Row],[promien]]&lt;40000,1,0)</f>
        <v>0</v>
      </c>
      <c r="E6286" s="1">
        <f>IF(Tabela1[[#This Row],[promien]]=40000,1,0)</f>
        <v>0</v>
      </c>
      <c r="F6286" s="1">
        <v>3.1670378619153676</v>
      </c>
      <c r="G6286" s="1">
        <v>2.5445208325574509E-2</v>
      </c>
    </row>
    <row r="6287" spans="1:7">
      <c r="A6287">
        <v>378</v>
      </c>
      <c r="B6287">
        <v>199</v>
      </c>
      <c r="C6287" s="1">
        <f>(Tabela1[[#This Row],[x]]-H$3)*(Tabela1[[#This Row],[x]]-H$3) +(Tabela1[[#This Row],[y]]-H$4)*(Tabela1[[#This Row],[y]]-H$4)</f>
        <v>31685</v>
      </c>
      <c r="D6287" s="1">
        <f>IF(Tabela1[[#This Row],[promien]]&lt;40000,1,0)</f>
        <v>1</v>
      </c>
      <c r="E6287" s="1">
        <f>IF(Tabela1[[#This Row],[promien]]=40000,1,0)</f>
        <v>0</v>
      </c>
      <c r="F6287" s="1">
        <v>3.1671703515190073</v>
      </c>
      <c r="G6287" s="1">
        <v>2.557769792921416E-2</v>
      </c>
    </row>
    <row r="6288" spans="1:7">
      <c r="A6288">
        <v>107</v>
      </c>
      <c r="B6288">
        <v>147</v>
      </c>
      <c r="C6288" s="1">
        <f>(Tabela1[[#This Row],[x]]-H$3)*(Tabela1[[#This Row],[x]]-H$3) +(Tabela1[[#This Row],[y]]-H$4)*(Tabela1[[#This Row],[y]]-H$4)</f>
        <v>11458</v>
      </c>
      <c r="D6288" s="1">
        <f>IF(Tabela1[[#This Row],[promien]]&lt;40000,1,0)</f>
        <v>1</v>
      </c>
      <c r="E6288" s="1">
        <f>IF(Tabela1[[#This Row],[promien]]=40000,1,0)</f>
        <v>0</v>
      </c>
      <c r="F6288" s="1">
        <v>3.1673027989821882</v>
      </c>
      <c r="G6288" s="1">
        <v>2.5710145392395134E-2</v>
      </c>
    </row>
    <row r="6289" spans="1:7">
      <c r="A6289">
        <v>194</v>
      </c>
      <c r="B6289">
        <v>285</v>
      </c>
      <c r="C6289" s="1">
        <f>(Tabela1[[#This Row],[x]]-H$3)*(Tabela1[[#This Row],[x]]-H$3) +(Tabela1[[#This Row],[y]]-H$4)*(Tabela1[[#This Row],[y]]-H$4)</f>
        <v>7261</v>
      </c>
      <c r="D6289" s="1">
        <f>IF(Tabela1[[#This Row],[promien]]&lt;40000,1,0)</f>
        <v>1</v>
      </c>
      <c r="E6289" s="1">
        <f>IF(Tabela1[[#This Row],[promien]]=40000,1,0)</f>
        <v>0</v>
      </c>
      <c r="F6289" s="1">
        <v>3.1674352043250118</v>
      </c>
      <c r="G6289" s="1">
        <v>2.5842550735218683E-2</v>
      </c>
    </row>
    <row r="6290" spans="1:7">
      <c r="A6290">
        <v>87</v>
      </c>
      <c r="B6290">
        <v>253</v>
      </c>
      <c r="C6290" s="1">
        <f>(Tabela1[[#This Row],[x]]-H$3)*(Tabela1[[#This Row],[x]]-H$3) +(Tabela1[[#This Row],[y]]-H$4)*(Tabela1[[#This Row],[y]]-H$4)</f>
        <v>15578</v>
      </c>
      <c r="D6290" s="1">
        <f>IF(Tabela1[[#This Row],[promien]]&lt;40000,1,0)</f>
        <v>1</v>
      </c>
      <c r="E6290" s="1">
        <f>IF(Tabela1[[#This Row],[promien]]=40000,1,0)</f>
        <v>0</v>
      </c>
      <c r="F6290" s="1">
        <v>3.1675675675675676</v>
      </c>
      <c r="G6290" s="1">
        <v>2.5974913977774516E-2</v>
      </c>
    </row>
    <row r="6291" spans="1:7">
      <c r="A6291">
        <v>210</v>
      </c>
      <c r="B6291">
        <v>209</v>
      </c>
      <c r="C6291" s="1">
        <f>(Tabela1[[#This Row],[x]]-H$3)*(Tabela1[[#This Row],[x]]-H$3) +(Tabela1[[#This Row],[y]]-H$4)*(Tabela1[[#This Row],[y]]-H$4)</f>
        <v>181</v>
      </c>
      <c r="D6291" s="1">
        <f>IF(Tabela1[[#This Row],[promien]]&lt;40000,1,0)</f>
        <v>1</v>
      </c>
      <c r="E6291" s="1">
        <f>IF(Tabela1[[#This Row],[promien]]=40000,1,0)</f>
        <v>0</v>
      </c>
      <c r="F6291" s="1">
        <v>3.1676998887299317</v>
      </c>
      <c r="G6291" s="1">
        <v>2.6107235140138574E-2</v>
      </c>
    </row>
    <row r="6292" spans="1:7">
      <c r="A6292">
        <v>297</v>
      </c>
      <c r="B6292">
        <v>189</v>
      </c>
      <c r="C6292" s="1">
        <f>(Tabela1[[#This Row],[x]]-H$3)*(Tabela1[[#This Row],[x]]-H$3) +(Tabela1[[#This Row],[y]]-H$4)*(Tabela1[[#This Row],[y]]-H$4)</f>
        <v>9530</v>
      </c>
      <c r="D6292" s="1">
        <f>IF(Tabela1[[#This Row],[promien]]&lt;40000,1,0)</f>
        <v>1</v>
      </c>
      <c r="E6292" s="1">
        <f>IF(Tabela1[[#This Row],[promien]]=40000,1,0)</f>
        <v>0</v>
      </c>
      <c r="F6292" s="1">
        <v>3.1678321678321679</v>
      </c>
      <c r="G6292" s="1">
        <v>2.6239514242374806E-2</v>
      </c>
    </row>
    <row r="6293" spans="1:7">
      <c r="A6293">
        <v>148</v>
      </c>
      <c r="B6293">
        <v>380</v>
      </c>
      <c r="C6293" s="1">
        <f>(Tabela1[[#This Row],[x]]-H$3)*(Tabela1[[#This Row],[x]]-H$3) +(Tabela1[[#This Row],[y]]-H$4)*(Tabela1[[#This Row],[y]]-H$4)</f>
        <v>35104</v>
      </c>
      <c r="D6293" s="1">
        <f>IF(Tabela1[[#This Row],[promien]]&lt;40000,1,0)</f>
        <v>1</v>
      </c>
      <c r="E6293" s="1">
        <f>IF(Tabela1[[#This Row],[promien]]=40000,1,0)</f>
        <v>0</v>
      </c>
      <c r="F6293" s="1">
        <v>3.167964404894327</v>
      </c>
      <c r="G6293" s="1">
        <v>2.6371751304533841E-2</v>
      </c>
    </row>
    <row r="6294" spans="1:7">
      <c r="A6294">
        <v>217</v>
      </c>
      <c r="B6294">
        <v>383</v>
      </c>
      <c r="C6294" s="1">
        <f>(Tabela1[[#This Row],[x]]-H$3)*(Tabela1[[#This Row],[x]]-H$3) +(Tabela1[[#This Row],[y]]-H$4)*(Tabela1[[#This Row],[y]]-H$4)</f>
        <v>33778</v>
      </c>
      <c r="D6294" s="1">
        <f>IF(Tabela1[[#This Row],[promien]]&lt;40000,1,0)</f>
        <v>1</v>
      </c>
      <c r="E6294" s="1">
        <f>IF(Tabela1[[#This Row],[promien]]=40000,1,0)</f>
        <v>0</v>
      </c>
      <c r="F6294" s="1">
        <v>3.1680965999364474</v>
      </c>
      <c r="G6294" s="1">
        <v>2.6503946346654317E-2</v>
      </c>
    </row>
    <row r="6295" spans="1:7">
      <c r="A6295">
        <v>42</v>
      </c>
      <c r="B6295">
        <v>230</v>
      </c>
      <c r="C6295" s="1">
        <f>(Tabela1[[#This Row],[x]]-H$3)*(Tabela1[[#This Row],[x]]-H$3) +(Tabela1[[#This Row],[y]]-H$4)*(Tabela1[[#This Row],[y]]-H$4)</f>
        <v>25864</v>
      </c>
      <c r="D6295" s="1">
        <f>IF(Tabela1[[#This Row],[promien]]&lt;40000,1,0)</f>
        <v>1</v>
      </c>
      <c r="E6295" s="1">
        <f>IF(Tabela1[[#This Row],[promien]]=40000,1,0)</f>
        <v>0</v>
      </c>
      <c r="F6295" s="1">
        <v>3.1682287529785542</v>
      </c>
      <c r="G6295" s="1">
        <v>2.6636099388761103E-2</v>
      </c>
    </row>
    <row r="6296" spans="1:7">
      <c r="A6296">
        <v>247</v>
      </c>
      <c r="B6296">
        <v>211</v>
      </c>
      <c r="C6296" s="1">
        <f>(Tabela1[[#This Row],[x]]-H$3)*(Tabela1[[#This Row],[x]]-H$3) +(Tabela1[[#This Row],[y]]-H$4)*(Tabela1[[#This Row],[y]]-H$4)</f>
        <v>2330</v>
      </c>
      <c r="D6296" s="1">
        <f>IF(Tabela1[[#This Row],[promien]]&lt;40000,1,0)</f>
        <v>1</v>
      </c>
      <c r="E6296" s="1">
        <f>IF(Tabela1[[#This Row],[promien]]=40000,1,0)</f>
        <v>0</v>
      </c>
      <c r="F6296" s="1">
        <v>3.1683608640406606</v>
      </c>
      <c r="G6296" s="1">
        <v>2.6768210450867524E-2</v>
      </c>
    </row>
    <row r="6297" spans="1:7">
      <c r="A6297">
        <v>92</v>
      </c>
      <c r="B6297">
        <v>92</v>
      </c>
      <c r="C6297" s="1">
        <f>(Tabela1[[#This Row],[x]]-H$3)*(Tabela1[[#This Row],[x]]-H$3) +(Tabela1[[#This Row],[y]]-H$4)*(Tabela1[[#This Row],[y]]-H$4)</f>
        <v>23328</v>
      </c>
      <c r="D6297" s="1">
        <f>IF(Tabela1[[#This Row],[promien]]&lt;40000,1,0)</f>
        <v>1</v>
      </c>
      <c r="E6297" s="1">
        <f>IF(Tabela1[[#This Row],[promien]]=40000,1,0)</f>
        <v>0</v>
      </c>
      <c r="F6297" s="1">
        <v>3.1684929331427663</v>
      </c>
      <c r="G6297" s="1">
        <v>2.6900279552973139E-2</v>
      </c>
    </row>
    <row r="6298" spans="1:7">
      <c r="A6298">
        <v>372</v>
      </c>
      <c r="B6298">
        <v>273</v>
      </c>
      <c r="C6298" s="1">
        <f>(Tabela1[[#This Row],[x]]-H$3)*(Tabela1[[#This Row],[x]]-H$3) +(Tabela1[[#This Row],[y]]-H$4)*(Tabela1[[#This Row],[y]]-H$4)</f>
        <v>34913</v>
      </c>
      <c r="D6298" s="1">
        <f>IF(Tabela1[[#This Row],[promien]]&lt;40000,1,0)</f>
        <v>1</v>
      </c>
      <c r="E6298" s="1">
        <f>IF(Tabela1[[#This Row],[promien]]=40000,1,0)</f>
        <v>0</v>
      </c>
      <c r="F6298" s="1">
        <v>3.1686249603048586</v>
      </c>
      <c r="G6298" s="1">
        <v>2.7032306715065513E-2</v>
      </c>
    </row>
    <row r="6299" spans="1:7">
      <c r="A6299">
        <v>159</v>
      </c>
      <c r="B6299">
        <v>167</v>
      </c>
      <c r="C6299" s="1">
        <f>(Tabela1[[#This Row],[x]]-H$3)*(Tabela1[[#This Row],[x]]-H$3) +(Tabela1[[#This Row],[y]]-H$4)*(Tabela1[[#This Row],[y]]-H$4)</f>
        <v>2770</v>
      </c>
      <c r="D6299" s="1">
        <f>IF(Tabela1[[#This Row],[promien]]&lt;40000,1,0)</f>
        <v>1</v>
      </c>
      <c r="E6299" s="1">
        <f>IF(Tabela1[[#This Row],[promien]]=40000,1,0)</f>
        <v>0</v>
      </c>
      <c r="F6299" s="1">
        <v>3.168756945546912</v>
      </c>
      <c r="G6299" s="1">
        <v>2.7164291957118891E-2</v>
      </c>
    </row>
    <row r="6300" spans="1:7">
      <c r="A6300">
        <v>62</v>
      </c>
      <c r="B6300">
        <v>312</v>
      </c>
      <c r="C6300" s="1">
        <f>(Tabela1[[#This Row],[x]]-H$3)*(Tabela1[[#This Row],[x]]-H$3) +(Tabela1[[#This Row],[y]]-H$4)*(Tabela1[[#This Row],[y]]-H$4)</f>
        <v>31588</v>
      </c>
      <c r="D6300" s="1">
        <f>IF(Tabela1[[#This Row],[promien]]&lt;40000,1,0)</f>
        <v>1</v>
      </c>
      <c r="E6300" s="1">
        <f>IF(Tabela1[[#This Row],[promien]]=40000,1,0)</f>
        <v>0</v>
      </c>
      <c r="F6300" s="1">
        <v>3.1688888888888891</v>
      </c>
      <c r="G6300" s="1">
        <v>2.7296235299095972E-2</v>
      </c>
    </row>
    <row r="6301" spans="1:7">
      <c r="A6301">
        <v>166</v>
      </c>
      <c r="B6301">
        <v>227</v>
      </c>
      <c r="C6301" s="1">
        <f>(Tabela1[[#This Row],[x]]-H$3)*(Tabela1[[#This Row],[x]]-H$3) +(Tabela1[[#This Row],[y]]-H$4)*(Tabela1[[#This Row],[y]]-H$4)</f>
        <v>1885</v>
      </c>
      <c r="D6301" s="1">
        <f>IF(Tabela1[[#This Row],[promien]]&lt;40000,1,0)</f>
        <v>1</v>
      </c>
      <c r="E6301" s="1">
        <f>IF(Tabela1[[#This Row],[promien]]=40000,1,0)</f>
        <v>0</v>
      </c>
      <c r="F6301" s="1">
        <v>3.1690207903507379</v>
      </c>
      <c r="G6301" s="1">
        <v>2.7428136760944799E-2</v>
      </c>
    </row>
    <row r="6302" spans="1:7">
      <c r="A6302">
        <v>133</v>
      </c>
      <c r="B6302">
        <v>79</v>
      </c>
      <c r="C6302" s="1">
        <f>(Tabela1[[#This Row],[x]]-H$3)*(Tabela1[[#This Row],[x]]-H$3) +(Tabela1[[#This Row],[y]]-H$4)*(Tabela1[[#This Row],[y]]-H$4)</f>
        <v>19130</v>
      </c>
      <c r="D6302" s="1">
        <f>IF(Tabela1[[#This Row],[promien]]&lt;40000,1,0)</f>
        <v>1</v>
      </c>
      <c r="E6302" s="1">
        <f>IF(Tabela1[[#This Row],[promien]]=40000,1,0)</f>
        <v>0</v>
      </c>
      <c r="F6302" s="1">
        <v>3.1691526499523959</v>
      </c>
      <c r="G6302" s="1">
        <v>2.7559996362602757E-2</v>
      </c>
    </row>
    <row r="6303" spans="1:7">
      <c r="A6303">
        <v>177</v>
      </c>
      <c r="B6303">
        <v>200</v>
      </c>
      <c r="C6303" s="1">
        <f>(Tabela1[[#This Row],[x]]-H$3)*(Tabela1[[#This Row],[x]]-H$3) +(Tabela1[[#This Row],[y]]-H$4)*(Tabela1[[#This Row],[y]]-H$4)</f>
        <v>529</v>
      </c>
      <c r="D6303" s="1">
        <f>IF(Tabela1[[#This Row],[promien]]&lt;40000,1,0)</f>
        <v>1</v>
      </c>
      <c r="E6303" s="1">
        <f>IF(Tabela1[[#This Row],[promien]]=40000,1,0)</f>
        <v>0</v>
      </c>
      <c r="F6303" s="1">
        <v>3.169284467713787</v>
      </c>
      <c r="G6303" s="1">
        <v>2.7691814123993908E-2</v>
      </c>
    </row>
    <row r="6304" spans="1:7">
      <c r="A6304">
        <v>103</v>
      </c>
      <c r="B6304">
        <v>39</v>
      </c>
      <c r="C6304" s="1">
        <f>(Tabela1[[#This Row],[x]]-H$3)*(Tabela1[[#This Row],[x]]-H$3) +(Tabela1[[#This Row],[y]]-H$4)*(Tabela1[[#This Row],[y]]-H$4)</f>
        <v>35330</v>
      </c>
      <c r="D6304" s="1">
        <f>IF(Tabela1[[#This Row],[promien]]&lt;40000,1,0)</f>
        <v>1</v>
      </c>
      <c r="E6304" s="1">
        <f>IF(Tabela1[[#This Row],[promien]]=40000,1,0)</f>
        <v>0</v>
      </c>
      <c r="F6304" s="1">
        <v>3.1694162436548226</v>
      </c>
      <c r="G6304" s="1">
        <v>2.7823590065029435E-2</v>
      </c>
    </row>
    <row r="6305" spans="1:7">
      <c r="A6305">
        <v>369</v>
      </c>
      <c r="B6305">
        <v>242</v>
      </c>
      <c r="C6305" s="1">
        <f>(Tabela1[[#This Row],[x]]-H$3)*(Tabela1[[#This Row],[x]]-H$3) +(Tabela1[[#This Row],[y]]-H$4)*(Tabela1[[#This Row],[y]]-H$4)</f>
        <v>30325</v>
      </c>
      <c r="D6305" s="1">
        <f>IF(Tabela1[[#This Row],[promien]]&lt;40000,1,0)</f>
        <v>1</v>
      </c>
      <c r="E6305" s="1">
        <f>IF(Tabela1[[#This Row],[promien]]=40000,1,0)</f>
        <v>0</v>
      </c>
      <c r="F6305" s="1">
        <v>3.1695479777954003</v>
      </c>
      <c r="G6305" s="1">
        <v>2.7955324205607202E-2</v>
      </c>
    </row>
    <row r="6306" spans="1:7">
      <c r="A6306">
        <v>167</v>
      </c>
      <c r="B6306">
        <v>301</v>
      </c>
      <c r="C6306" s="1">
        <f>(Tabela1[[#This Row],[x]]-H$3)*(Tabela1[[#This Row],[x]]-H$3) +(Tabela1[[#This Row],[y]]-H$4)*(Tabela1[[#This Row],[y]]-H$4)</f>
        <v>11290</v>
      </c>
      <c r="D6306" s="1">
        <f>IF(Tabela1[[#This Row],[promien]]&lt;40000,1,0)</f>
        <v>1</v>
      </c>
      <c r="E6306" s="1">
        <f>IF(Tabela1[[#This Row],[promien]]=40000,1,0)</f>
        <v>0</v>
      </c>
      <c r="F6306" s="1">
        <v>3.1696796701554075</v>
      </c>
      <c r="G6306" s="1">
        <v>2.8087016565614409E-2</v>
      </c>
    </row>
    <row r="6307" spans="1:7">
      <c r="A6307">
        <v>295</v>
      </c>
      <c r="B6307">
        <v>242</v>
      </c>
      <c r="C6307" s="1">
        <f>(Tabela1[[#This Row],[x]]-H$3)*(Tabela1[[#This Row],[x]]-H$3) +(Tabela1[[#This Row],[y]]-H$4)*(Tabela1[[#This Row],[y]]-H$4)</f>
        <v>10789</v>
      </c>
      <c r="D6307" s="1">
        <f>IF(Tabela1[[#This Row],[promien]]&lt;40000,1,0)</f>
        <v>1</v>
      </c>
      <c r="E6307" s="1">
        <f>IF(Tabela1[[#This Row],[promien]]=40000,1,0)</f>
        <v>0</v>
      </c>
      <c r="F6307" s="1">
        <v>3.1698113207547172</v>
      </c>
      <c r="G6307" s="1">
        <v>2.8218667164924049E-2</v>
      </c>
    </row>
    <row r="6308" spans="1:7">
      <c r="A6308">
        <v>70</v>
      </c>
      <c r="B6308">
        <v>48</v>
      </c>
      <c r="C6308" s="1">
        <f>(Tabela1[[#This Row],[x]]-H$3)*(Tabela1[[#This Row],[x]]-H$3) +(Tabela1[[#This Row],[y]]-H$4)*(Tabela1[[#This Row],[y]]-H$4)</f>
        <v>40004</v>
      </c>
      <c r="D6308" s="1">
        <f>IF(Tabela1[[#This Row],[promien]]&lt;40000,1,0)</f>
        <v>0</v>
      </c>
      <c r="E6308" s="1">
        <f>IF(Tabela1[[#This Row],[promien]]=40000,1,0)</f>
        <v>0</v>
      </c>
      <c r="F6308" s="1">
        <v>3.169308814204185</v>
      </c>
      <c r="G6308" s="1">
        <v>2.771616061439186E-2</v>
      </c>
    </row>
    <row r="6309" spans="1:7">
      <c r="A6309">
        <v>143</v>
      </c>
      <c r="B6309">
        <v>55</v>
      </c>
      <c r="C6309" s="1">
        <f>(Tabela1[[#This Row],[x]]-H$3)*(Tabela1[[#This Row],[x]]-H$3) +(Tabela1[[#This Row],[y]]-H$4)*(Tabela1[[#This Row],[y]]-H$4)</f>
        <v>24274</v>
      </c>
      <c r="D6309" s="1">
        <f>IF(Tabela1[[#This Row],[promien]]&lt;40000,1,0)</f>
        <v>1</v>
      </c>
      <c r="E6309" s="1">
        <f>IF(Tabela1[[#This Row],[promien]]=40000,1,0)</f>
        <v>0</v>
      </c>
      <c r="F6309" s="1">
        <v>3.1694404818513235</v>
      </c>
      <c r="G6309" s="1">
        <v>2.7847828261530427E-2</v>
      </c>
    </row>
    <row r="6310" spans="1:7">
      <c r="A6310">
        <v>381</v>
      </c>
      <c r="B6310">
        <v>223</v>
      </c>
      <c r="C6310" s="1">
        <f>(Tabela1[[#This Row],[x]]-H$3)*(Tabela1[[#This Row],[x]]-H$3) +(Tabela1[[#This Row],[y]]-H$4)*(Tabela1[[#This Row],[y]]-H$4)</f>
        <v>33290</v>
      </c>
      <c r="D6310" s="1">
        <f>IF(Tabela1[[#This Row],[promien]]&lt;40000,1,0)</f>
        <v>1</v>
      </c>
      <c r="E6310" s="1">
        <f>IF(Tabela1[[#This Row],[promien]]=40000,1,0)</f>
        <v>0</v>
      </c>
      <c r="F6310" s="1">
        <v>3.1695721077654517</v>
      </c>
      <c r="G6310" s="1">
        <v>2.7979454175658613E-2</v>
      </c>
    </row>
    <row r="6311" spans="1:7">
      <c r="A6311">
        <v>156</v>
      </c>
      <c r="B6311">
        <v>13</v>
      </c>
      <c r="C6311" s="1">
        <f>(Tabela1[[#This Row],[x]]-H$3)*(Tabela1[[#This Row],[x]]-H$3) +(Tabela1[[#This Row],[y]]-H$4)*(Tabela1[[#This Row],[y]]-H$4)</f>
        <v>36905</v>
      </c>
      <c r="D6311" s="1">
        <f>IF(Tabela1[[#This Row],[promien]]&lt;40000,1,0)</f>
        <v>1</v>
      </c>
      <c r="E6311" s="1">
        <f>IF(Tabela1[[#This Row],[promien]]=40000,1,0)</f>
        <v>0</v>
      </c>
      <c r="F6311" s="1">
        <v>3.1697036919664079</v>
      </c>
      <c r="G6311" s="1">
        <v>2.8111038376614772E-2</v>
      </c>
    </row>
    <row r="6312" spans="1:7">
      <c r="A6312">
        <v>394</v>
      </c>
      <c r="B6312">
        <v>87</v>
      </c>
      <c r="C6312" s="1">
        <f>(Tabela1[[#This Row],[x]]-H$3)*(Tabela1[[#This Row],[x]]-H$3) +(Tabela1[[#This Row],[y]]-H$4)*(Tabela1[[#This Row],[y]]-H$4)</f>
        <v>50405</v>
      </c>
      <c r="D6312" s="1">
        <f>IF(Tabela1[[#This Row],[promien]]&lt;40000,1,0)</f>
        <v>0</v>
      </c>
      <c r="E6312" s="1">
        <f>IF(Tabela1[[#This Row],[promien]]=40000,1,0)</f>
        <v>0</v>
      </c>
      <c r="F6312" s="1">
        <v>3.1692015209125475</v>
      </c>
      <c r="G6312" s="1">
        <v>2.760886732275436E-2</v>
      </c>
    </row>
    <row r="6313" spans="1:7">
      <c r="A6313">
        <v>333</v>
      </c>
      <c r="B6313">
        <v>131</v>
      </c>
      <c r="C6313" s="1">
        <f>(Tabela1[[#This Row],[x]]-H$3)*(Tabela1[[#This Row],[x]]-H$3) +(Tabela1[[#This Row],[y]]-H$4)*(Tabela1[[#This Row],[y]]-H$4)</f>
        <v>22450</v>
      </c>
      <c r="D6313" s="1">
        <f>IF(Tabela1[[#This Row],[promien]]&lt;40000,1,0)</f>
        <v>1</v>
      </c>
      <c r="E6313" s="1">
        <f>IF(Tabela1[[#This Row],[promien]]=40000,1,0)</f>
        <v>0</v>
      </c>
      <c r="F6313" s="1">
        <v>3.1693331221289402</v>
      </c>
      <c r="G6313" s="1">
        <v>2.7740468539147134E-2</v>
      </c>
    </row>
    <row r="6314" spans="1:7">
      <c r="A6314">
        <v>243</v>
      </c>
      <c r="B6314">
        <v>149</v>
      </c>
      <c r="C6314" s="1">
        <f>(Tabela1[[#This Row],[x]]-H$3)*(Tabela1[[#This Row],[x]]-H$3) +(Tabela1[[#This Row],[y]]-H$4)*(Tabela1[[#This Row],[y]]-H$4)</f>
        <v>4450</v>
      </c>
      <c r="D6314" s="1">
        <f>IF(Tabela1[[#This Row],[promien]]&lt;40000,1,0)</f>
        <v>1</v>
      </c>
      <c r="E6314" s="1">
        <f>IF(Tabela1[[#This Row],[promien]]=40000,1,0)</f>
        <v>0</v>
      </c>
      <c r="F6314" s="1">
        <v>3.1694646816598038</v>
      </c>
      <c r="G6314" s="1">
        <v>2.7872028070010657E-2</v>
      </c>
    </row>
    <row r="6315" spans="1:7">
      <c r="A6315">
        <v>174</v>
      </c>
      <c r="B6315">
        <v>346</v>
      </c>
      <c r="C6315" s="1">
        <f>(Tabela1[[#This Row],[x]]-H$3)*(Tabela1[[#This Row],[x]]-H$3) +(Tabela1[[#This Row],[y]]-H$4)*(Tabela1[[#This Row],[y]]-H$4)</f>
        <v>21992</v>
      </c>
      <c r="D6315" s="1">
        <f>IF(Tabela1[[#This Row],[promien]]&lt;40000,1,0)</f>
        <v>1</v>
      </c>
      <c r="E6315" s="1">
        <f>IF(Tabela1[[#This Row],[promien]]=40000,1,0)</f>
        <v>0</v>
      </c>
      <c r="F6315" s="1">
        <v>3.1695961995249404</v>
      </c>
      <c r="G6315" s="1">
        <v>2.8003545935147311E-2</v>
      </c>
    </row>
    <row r="6316" spans="1:7">
      <c r="A6316">
        <v>75</v>
      </c>
      <c r="B6316">
        <v>169</v>
      </c>
      <c r="C6316" s="1">
        <f>(Tabela1[[#This Row],[x]]-H$3)*(Tabela1[[#This Row],[x]]-H$3) +(Tabela1[[#This Row],[y]]-H$4)*(Tabela1[[#This Row],[y]]-H$4)</f>
        <v>16586</v>
      </c>
      <c r="D6316" s="1">
        <f>IF(Tabela1[[#This Row],[promien]]&lt;40000,1,0)</f>
        <v>1</v>
      </c>
      <c r="E6316" s="1">
        <f>IF(Tabela1[[#This Row],[promien]]=40000,1,0)</f>
        <v>0</v>
      </c>
      <c r="F6316" s="1">
        <v>3.1697276757441419</v>
      </c>
      <c r="G6316" s="1">
        <v>2.8135022154348821E-2</v>
      </c>
    </row>
    <row r="6317" spans="1:7">
      <c r="A6317">
        <v>300</v>
      </c>
      <c r="B6317">
        <v>59</v>
      </c>
      <c r="C6317" s="1">
        <f>(Tabela1[[#This Row],[x]]-H$3)*(Tabela1[[#This Row],[x]]-H$3) +(Tabela1[[#This Row],[y]]-H$4)*(Tabela1[[#This Row],[y]]-H$4)</f>
        <v>29881</v>
      </c>
      <c r="D6317" s="1">
        <f>IF(Tabela1[[#This Row],[promien]]&lt;40000,1,0)</f>
        <v>1</v>
      </c>
      <c r="E6317" s="1">
        <f>IF(Tabela1[[#This Row],[promien]]=40000,1,0)</f>
        <v>0</v>
      </c>
      <c r="F6317" s="1">
        <v>3.1698591103371854</v>
      </c>
      <c r="G6317" s="1">
        <v>2.8266456747392255E-2</v>
      </c>
    </row>
    <row r="6318" spans="1:7">
      <c r="A6318">
        <v>52</v>
      </c>
      <c r="B6318">
        <v>289</v>
      </c>
      <c r="C6318" s="1">
        <f>(Tabela1[[#This Row],[x]]-H$3)*(Tabela1[[#This Row],[x]]-H$3) +(Tabela1[[#This Row],[y]]-H$4)*(Tabela1[[#This Row],[y]]-H$4)</f>
        <v>29825</v>
      </c>
      <c r="D6318" s="1">
        <f>IF(Tabela1[[#This Row],[promien]]&lt;40000,1,0)</f>
        <v>1</v>
      </c>
      <c r="E6318" s="1">
        <f>IF(Tabela1[[#This Row],[promien]]=40000,1,0)</f>
        <v>0</v>
      </c>
      <c r="F6318" s="1">
        <v>3.1699905033238367</v>
      </c>
      <c r="G6318" s="1">
        <v>2.8397849734043579E-2</v>
      </c>
    </row>
    <row r="6319" spans="1:7">
      <c r="A6319">
        <v>140</v>
      </c>
      <c r="B6319">
        <v>86</v>
      </c>
      <c r="C6319" s="1">
        <f>(Tabela1[[#This Row],[x]]-H$3)*(Tabela1[[#This Row],[x]]-H$3) +(Tabela1[[#This Row],[y]]-H$4)*(Tabela1[[#This Row],[y]]-H$4)</f>
        <v>16596</v>
      </c>
      <c r="D6319" s="1">
        <f>IF(Tabela1[[#This Row],[promien]]&lt;40000,1,0)</f>
        <v>1</v>
      </c>
      <c r="E6319" s="1">
        <f>IF(Tabela1[[#This Row],[promien]]=40000,1,0)</f>
        <v>0</v>
      </c>
      <c r="F6319" s="1">
        <v>3.1701218547238486</v>
      </c>
      <c r="G6319" s="1">
        <v>2.8529201134055437E-2</v>
      </c>
    </row>
    <row r="6320" spans="1:7">
      <c r="A6320">
        <v>371</v>
      </c>
      <c r="B6320">
        <v>247</v>
      </c>
      <c r="C6320" s="1">
        <f>(Tabela1[[#This Row],[x]]-H$3)*(Tabela1[[#This Row],[x]]-H$3) +(Tabela1[[#This Row],[y]]-H$4)*(Tabela1[[#This Row],[y]]-H$4)</f>
        <v>31450</v>
      </c>
      <c r="D6320" s="1">
        <f>IF(Tabela1[[#This Row],[promien]]&lt;40000,1,0)</f>
        <v>1</v>
      </c>
      <c r="E6320" s="1">
        <f>IF(Tabela1[[#This Row],[promien]]=40000,1,0)</f>
        <v>0</v>
      </c>
      <c r="F6320" s="1">
        <v>3.170253164556962</v>
      </c>
      <c r="G6320" s="1">
        <v>2.8660510967168928E-2</v>
      </c>
    </row>
    <row r="6321" spans="1:7">
      <c r="A6321">
        <v>212</v>
      </c>
      <c r="B6321">
        <v>147</v>
      </c>
      <c r="C6321" s="1">
        <f>(Tabela1[[#This Row],[x]]-H$3)*(Tabela1[[#This Row],[x]]-H$3) +(Tabela1[[#This Row],[y]]-H$4)*(Tabela1[[#This Row],[y]]-H$4)</f>
        <v>2953</v>
      </c>
      <c r="D6321" s="1">
        <f>IF(Tabela1[[#This Row],[promien]]&lt;40000,1,0)</f>
        <v>1</v>
      </c>
      <c r="E6321" s="1">
        <f>IF(Tabela1[[#This Row],[promien]]=40000,1,0)</f>
        <v>0</v>
      </c>
      <c r="F6321" s="1">
        <v>3.1703844328429045</v>
      </c>
      <c r="G6321" s="1">
        <v>2.8791779253111383E-2</v>
      </c>
    </row>
    <row r="6322" spans="1:7">
      <c r="A6322">
        <v>147</v>
      </c>
      <c r="B6322">
        <v>68</v>
      </c>
      <c r="C6322" s="1">
        <f>(Tabela1[[#This Row],[x]]-H$3)*(Tabela1[[#This Row],[x]]-H$3) +(Tabela1[[#This Row],[y]]-H$4)*(Tabela1[[#This Row],[y]]-H$4)</f>
        <v>20233</v>
      </c>
      <c r="D6322" s="1">
        <f>IF(Tabela1[[#This Row],[promien]]&lt;40000,1,0)</f>
        <v>1</v>
      </c>
      <c r="E6322" s="1">
        <f>IF(Tabela1[[#This Row],[promien]]=40000,1,0)</f>
        <v>0</v>
      </c>
      <c r="F6322" s="1">
        <v>3.1705156596013921</v>
      </c>
      <c r="G6322" s="1">
        <v>2.8923006011599028E-2</v>
      </c>
    </row>
    <row r="6323" spans="1:7">
      <c r="A6323">
        <v>333</v>
      </c>
      <c r="B6323">
        <v>130</v>
      </c>
      <c r="C6323" s="1">
        <f>(Tabela1[[#This Row],[x]]-H$3)*(Tabela1[[#This Row],[x]]-H$3) +(Tabela1[[#This Row],[y]]-H$4)*(Tabela1[[#This Row],[y]]-H$4)</f>
        <v>22589</v>
      </c>
      <c r="D6323" s="1">
        <f>IF(Tabela1[[#This Row],[promien]]&lt;40000,1,0)</f>
        <v>1</v>
      </c>
      <c r="E6323" s="1">
        <f>IF(Tabela1[[#This Row],[promien]]=40000,1,0)</f>
        <v>0</v>
      </c>
      <c r="F6323" s="1">
        <v>3.170646844852127</v>
      </c>
      <c r="G6323" s="1">
        <v>2.9054191262333884E-2</v>
      </c>
    </row>
    <row r="6324" spans="1:7">
      <c r="A6324">
        <v>13</v>
      </c>
      <c r="B6324">
        <v>238</v>
      </c>
      <c r="C6324" s="1">
        <f>(Tabela1[[#This Row],[x]]-H$3)*(Tabela1[[#This Row],[x]]-H$3) +(Tabela1[[#This Row],[y]]-H$4)*(Tabela1[[#This Row],[y]]-H$4)</f>
        <v>36413</v>
      </c>
      <c r="D6324" s="1">
        <f>IF(Tabela1[[#This Row],[promien]]&lt;40000,1,0)</f>
        <v>1</v>
      </c>
      <c r="E6324" s="1">
        <f>IF(Tabela1[[#This Row],[promien]]=40000,1,0)</f>
        <v>0</v>
      </c>
      <c r="F6324" s="1">
        <v>3.1707779886148009</v>
      </c>
      <c r="G6324" s="1">
        <v>2.9185335025007753E-2</v>
      </c>
    </row>
    <row r="6325" spans="1:7">
      <c r="A6325">
        <v>11</v>
      </c>
      <c r="B6325">
        <v>397</v>
      </c>
      <c r="C6325" s="1">
        <f>(Tabela1[[#This Row],[x]]-H$3)*(Tabela1[[#This Row],[x]]-H$3) +(Tabela1[[#This Row],[y]]-H$4)*(Tabela1[[#This Row],[y]]-H$4)</f>
        <v>74530</v>
      </c>
      <c r="D6325" s="1">
        <f>IF(Tabela1[[#This Row],[promien]]&lt;40000,1,0)</f>
        <v>0</v>
      </c>
      <c r="E6325" s="1">
        <f>IF(Tabela1[[#This Row],[promien]]=40000,1,0)</f>
        <v>0</v>
      </c>
      <c r="F6325" s="1">
        <v>3.1702766798418973</v>
      </c>
      <c r="G6325" s="1">
        <v>2.86840262521042E-2</v>
      </c>
    </row>
    <row r="6326" spans="1:7">
      <c r="A6326">
        <v>392</v>
      </c>
      <c r="B6326">
        <v>239</v>
      </c>
      <c r="C6326" s="1">
        <f>(Tabela1[[#This Row],[x]]-H$3)*(Tabela1[[#This Row],[x]]-H$3) +(Tabela1[[#This Row],[y]]-H$4)*(Tabela1[[#This Row],[y]]-H$4)</f>
        <v>38385</v>
      </c>
      <c r="D6326" s="1">
        <f>IF(Tabela1[[#This Row],[promien]]&lt;40000,1,0)</f>
        <v>1</v>
      </c>
      <c r="E6326" s="1">
        <f>IF(Tabela1[[#This Row],[promien]]=40000,1,0)</f>
        <v>0</v>
      </c>
      <c r="F6326" s="1">
        <v>3.1704078406576035</v>
      </c>
      <c r="G6326" s="1">
        <v>2.8815187067810388E-2</v>
      </c>
    </row>
    <row r="6327" spans="1:7">
      <c r="A6327">
        <v>42</v>
      </c>
      <c r="B6327">
        <v>316</v>
      </c>
      <c r="C6327" s="1">
        <f>(Tabela1[[#This Row],[x]]-H$3)*(Tabela1[[#This Row],[x]]-H$3) +(Tabela1[[#This Row],[y]]-H$4)*(Tabela1[[#This Row],[y]]-H$4)</f>
        <v>38420</v>
      </c>
      <c r="D6327" s="1">
        <f>IF(Tabela1[[#This Row],[promien]]&lt;40000,1,0)</f>
        <v>1</v>
      </c>
      <c r="E6327" s="1">
        <f>IF(Tabela1[[#This Row],[promien]]=40000,1,0)</f>
        <v>0</v>
      </c>
      <c r="F6327" s="1">
        <v>3.1705389600126441</v>
      </c>
      <c r="G6327" s="1">
        <v>2.8946306422851009E-2</v>
      </c>
    </row>
    <row r="6328" spans="1:7">
      <c r="A6328">
        <v>102</v>
      </c>
      <c r="B6328">
        <v>273</v>
      </c>
      <c r="C6328" s="1">
        <f>(Tabela1[[#This Row],[x]]-H$3)*(Tabela1[[#This Row],[x]]-H$3) +(Tabela1[[#This Row],[y]]-H$4)*(Tabela1[[#This Row],[y]]-H$4)</f>
        <v>14933</v>
      </c>
      <c r="D6328" s="1">
        <f>IF(Tabela1[[#This Row],[promien]]&lt;40000,1,0)</f>
        <v>1</v>
      </c>
      <c r="E6328" s="1">
        <f>IF(Tabela1[[#This Row],[promien]]=40000,1,0)</f>
        <v>0</v>
      </c>
      <c r="F6328" s="1">
        <v>3.170670037926675</v>
      </c>
      <c r="G6328" s="1">
        <v>2.9077384336881895E-2</v>
      </c>
    </row>
    <row r="6329" spans="1:7">
      <c r="A6329">
        <v>16</v>
      </c>
      <c r="B6329">
        <v>385</v>
      </c>
      <c r="C6329" s="1">
        <f>(Tabela1[[#This Row],[x]]-H$3)*(Tabela1[[#This Row],[x]]-H$3) +(Tabela1[[#This Row],[y]]-H$4)*(Tabela1[[#This Row],[y]]-H$4)</f>
        <v>68081</v>
      </c>
      <c r="D6329" s="1">
        <f>IF(Tabela1[[#This Row],[promien]]&lt;40000,1,0)</f>
        <v>0</v>
      </c>
      <c r="E6329" s="1">
        <f>IF(Tabela1[[#This Row],[promien]]=40000,1,0)</f>
        <v>0</v>
      </c>
      <c r="F6329" s="1">
        <v>3.1701690630431347</v>
      </c>
      <c r="G6329" s="1">
        <v>2.8576409453341611E-2</v>
      </c>
    </row>
    <row r="6330" spans="1:7">
      <c r="A6330">
        <v>129</v>
      </c>
      <c r="B6330">
        <v>286</v>
      </c>
      <c r="C6330" s="1">
        <f>(Tabela1[[#This Row],[x]]-H$3)*(Tabela1[[#This Row],[x]]-H$3) +(Tabela1[[#This Row],[y]]-H$4)*(Tabela1[[#This Row],[y]]-H$4)</f>
        <v>12437</v>
      </c>
      <c r="D6330" s="1">
        <f>IF(Tabela1[[#This Row],[promien]]&lt;40000,1,0)</f>
        <v>1</v>
      </c>
      <c r="E6330" s="1">
        <f>IF(Tabela1[[#This Row],[promien]]=40000,1,0)</f>
        <v>0</v>
      </c>
      <c r="F6330" s="1">
        <v>3.1703001579778829</v>
      </c>
      <c r="G6330" s="1">
        <v>2.8707504388089777E-2</v>
      </c>
    </row>
    <row r="6331" spans="1:7">
      <c r="A6331">
        <v>301</v>
      </c>
      <c r="B6331">
        <v>0</v>
      </c>
      <c r="C6331" s="1">
        <f>(Tabela1[[#This Row],[x]]-H$3)*(Tabela1[[#This Row],[x]]-H$3) +(Tabela1[[#This Row],[y]]-H$4)*(Tabela1[[#This Row],[y]]-H$4)</f>
        <v>50201</v>
      </c>
      <c r="D6331" s="1">
        <f>IF(Tabela1[[#This Row],[promien]]&lt;40000,1,0)</f>
        <v>0</v>
      </c>
      <c r="E6331" s="1">
        <f>IF(Tabela1[[#This Row],[promien]]=40000,1,0)</f>
        <v>0</v>
      </c>
      <c r="F6331" s="1">
        <v>3.1697993997788658</v>
      </c>
      <c r="G6331" s="1">
        <v>2.8206746189072707E-2</v>
      </c>
    </row>
    <row r="6332" spans="1:7">
      <c r="A6332">
        <v>358</v>
      </c>
      <c r="B6332">
        <v>142</v>
      </c>
      <c r="C6332" s="1">
        <f>(Tabela1[[#This Row],[x]]-H$3)*(Tabela1[[#This Row],[x]]-H$3) +(Tabela1[[#This Row],[y]]-H$4)*(Tabela1[[#This Row],[y]]-H$4)</f>
        <v>28328</v>
      </c>
      <c r="D6332" s="1">
        <f>IF(Tabela1[[#This Row],[promien]]&lt;40000,1,0)</f>
        <v>1</v>
      </c>
      <c r="E6332" s="1">
        <f>IF(Tabela1[[#This Row],[promien]]=40000,1,0)</f>
        <v>0</v>
      </c>
      <c r="F6332" s="1">
        <v>3.1699305116866707</v>
      </c>
      <c r="G6332" s="1">
        <v>2.8337858096877611E-2</v>
      </c>
    </row>
    <row r="6333" spans="1:7">
      <c r="A6333">
        <v>107</v>
      </c>
      <c r="B6333">
        <v>342</v>
      </c>
      <c r="C6333" s="1">
        <f>(Tabela1[[#This Row],[x]]-H$3)*(Tabela1[[#This Row],[x]]-H$3) +(Tabela1[[#This Row],[y]]-H$4)*(Tabela1[[#This Row],[y]]-H$4)</f>
        <v>28813</v>
      </c>
      <c r="D6333" s="1">
        <f>IF(Tabela1[[#This Row],[promien]]&lt;40000,1,0)</f>
        <v>1</v>
      </c>
      <c r="E6333" s="1">
        <f>IF(Tabela1[[#This Row],[promien]]=40000,1,0)</f>
        <v>0</v>
      </c>
      <c r="F6333" s="1">
        <v>3.1700615821885361</v>
      </c>
      <c r="G6333" s="1">
        <v>2.8468928598742949E-2</v>
      </c>
    </row>
    <row r="6334" spans="1:7">
      <c r="A6334">
        <v>175</v>
      </c>
      <c r="B6334">
        <v>208</v>
      </c>
      <c r="C6334" s="1">
        <f>(Tabela1[[#This Row],[x]]-H$3)*(Tabela1[[#This Row],[x]]-H$3) +(Tabela1[[#This Row],[y]]-H$4)*(Tabela1[[#This Row],[y]]-H$4)</f>
        <v>689</v>
      </c>
      <c r="D6334" s="1">
        <f>IF(Tabela1[[#This Row],[promien]]&lt;40000,1,0)</f>
        <v>1</v>
      </c>
      <c r="E6334" s="1">
        <f>IF(Tabela1[[#This Row],[promien]]=40000,1,0)</f>
        <v>0</v>
      </c>
      <c r="F6334" s="1">
        <v>3.1701926113040733</v>
      </c>
      <c r="G6334" s="1">
        <v>2.8599957714280144E-2</v>
      </c>
    </row>
    <row r="6335" spans="1:7">
      <c r="A6335">
        <v>232</v>
      </c>
      <c r="B6335">
        <v>72</v>
      </c>
      <c r="C6335" s="1">
        <f>(Tabela1[[#This Row],[x]]-H$3)*(Tabela1[[#This Row],[x]]-H$3) +(Tabela1[[#This Row],[y]]-H$4)*(Tabela1[[#This Row],[y]]-H$4)</f>
        <v>17408</v>
      </c>
      <c r="D6335" s="1">
        <f>IF(Tabela1[[#This Row],[promien]]&lt;40000,1,0)</f>
        <v>1</v>
      </c>
      <c r="E6335" s="1">
        <f>IF(Tabela1[[#This Row],[promien]]=40000,1,0)</f>
        <v>0</v>
      </c>
      <c r="F6335" s="1">
        <v>3.1703235990528809</v>
      </c>
      <c r="G6335" s="1">
        <v>2.8730945463087743E-2</v>
      </c>
    </row>
    <row r="6336" spans="1:7">
      <c r="A6336">
        <v>40</v>
      </c>
      <c r="B6336">
        <v>226</v>
      </c>
      <c r="C6336" s="1">
        <f>(Tabela1[[#This Row],[x]]-H$3)*(Tabela1[[#This Row],[x]]-H$3) +(Tabela1[[#This Row],[y]]-H$4)*(Tabela1[[#This Row],[y]]-H$4)</f>
        <v>26276</v>
      </c>
      <c r="D6336" s="1">
        <f>IF(Tabela1[[#This Row],[promien]]&lt;40000,1,0)</f>
        <v>1</v>
      </c>
      <c r="E6336" s="1">
        <f>IF(Tabela1[[#This Row],[promien]]=40000,1,0)</f>
        <v>0</v>
      </c>
      <c r="F6336" s="1">
        <v>3.1704545454545454</v>
      </c>
      <c r="G6336" s="1">
        <v>2.8861891864752298E-2</v>
      </c>
    </row>
    <row r="6337" spans="1:7">
      <c r="A6337">
        <v>342</v>
      </c>
      <c r="B6337">
        <v>285</v>
      </c>
      <c r="C6337" s="1">
        <f>(Tabela1[[#This Row],[x]]-H$3)*(Tabela1[[#This Row],[x]]-H$3) +(Tabela1[[#This Row],[y]]-H$4)*(Tabela1[[#This Row],[y]]-H$4)</f>
        <v>27389</v>
      </c>
      <c r="D6337" s="1">
        <f>IF(Tabela1[[#This Row],[promien]]&lt;40000,1,0)</f>
        <v>1</v>
      </c>
      <c r="E6337" s="1">
        <f>IF(Tabela1[[#This Row],[promien]]=40000,1,0)</f>
        <v>0</v>
      </c>
      <c r="F6337" s="1">
        <v>3.1705854505286415</v>
      </c>
      <c r="G6337" s="1">
        <v>2.8992796938848375E-2</v>
      </c>
    </row>
    <row r="6338" spans="1:7">
      <c r="A6338">
        <v>28</v>
      </c>
      <c r="B6338">
        <v>52</v>
      </c>
      <c r="C6338" s="1">
        <f>(Tabela1[[#This Row],[x]]-H$3)*(Tabela1[[#This Row],[x]]-H$3) +(Tabela1[[#This Row],[y]]-H$4)*(Tabela1[[#This Row],[y]]-H$4)</f>
        <v>51488</v>
      </c>
      <c r="D6338" s="1">
        <f>IF(Tabela1[[#This Row],[promien]]&lt;40000,1,0)</f>
        <v>0</v>
      </c>
      <c r="E6338" s="1">
        <f>IF(Tabela1[[#This Row],[promien]]=40000,1,0)</f>
        <v>0</v>
      </c>
      <c r="F6338" s="1">
        <v>3.1700852003786681</v>
      </c>
      <c r="G6338" s="1">
        <v>2.8492546788875028E-2</v>
      </c>
    </row>
    <row r="6339" spans="1:7">
      <c r="A6339">
        <v>189</v>
      </c>
      <c r="B6339">
        <v>107</v>
      </c>
      <c r="C6339" s="1">
        <f>(Tabela1[[#This Row],[x]]-H$3)*(Tabela1[[#This Row],[x]]-H$3) +(Tabela1[[#This Row],[y]]-H$4)*(Tabela1[[#This Row],[y]]-H$4)</f>
        <v>8770</v>
      </c>
      <c r="D6339" s="1">
        <f>IF(Tabela1[[#This Row],[promien]]&lt;40000,1,0)</f>
        <v>1</v>
      </c>
      <c r="E6339" s="1">
        <f>IF(Tabela1[[#This Row],[promien]]=40000,1,0)</f>
        <v>0</v>
      </c>
      <c r="F6339" s="1">
        <v>3.1702161224167851</v>
      </c>
      <c r="G6339" s="1">
        <v>2.862346882699196E-2</v>
      </c>
    </row>
    <row r="6340" spans="1:7">
      <c r="A6340">
        <v>300</v>
      </c>
      <c r="B6340">
        <v>260</v>
      </c>
      <c r="C6340" s="1">
        <f>(Tabela1[[#This Row],[x]]-H$3)*(Tabela1[[#This Row],[x]]-H$3) +(Tabela1[[#This Row],[y]]-H$4)*(Tabela1[[#This Row],[y]]-H$4)</f>
        <v>13600</v>
      </c>
      <c r="D6340" s="1">
        <f>IF(Tabela1[[#This Row],[promien]]&lt;40000,1,0)</f>
        <v>1</v>
      </c>
      <c r="E6340" s="1">
        <f>IF(Tabela1[[#This Row],[promien]]=40000,1,0)</f>
        <v>0</v>
      </c>
      <c r="F6340" s="1">
        <v>3.170347003154574</v>
      </c>
      <c r="G6340" s="1">
        <v>2.8754349564780846E-2</v>
      </c>
    </row>
    <row r="6341" spans="1:7">
      <c r="A6341">
        <v>139</v>
      </c>
      <c r="B6341">
        <v>135</v>
      </c>
      <c r="C6341" s="1">
        <f>(Tabela1[[#This Row],[x]]-H$3)*(Tabela1[[#This Row],[x]]-H$3) +(Tabela1[[#This Row],[y]]-H$4)*(Tabela1[[#This Row],[y]]-H$4)</f>
        <v>7946</v>
      </c>
      <c r="D6341" s="1">
        <f>IF(Tabela1[[#This Row],[promien]]&lt;40000,1,0)</f>
        <v>1</v>
      </c>
      <c r="E6341" s="1">
        <f>IF(Tabela1[[#This Row],[promien]]=40000,1,0)</f>
        <v>0</v>
      </c>
      <c r="F6341" s="1">
        <v>3.1704778426115756</v>
      </c>
      <c r="G6341" s="1">
        <v>2.8885189021782498E-2</v>
      </c>
    </row>
    <row r="6342" spans="1:7">
      <c r="A6342">
        <v>275</v>
      </c>
      <c r="B6342">
        <v>215</v>
      </c>
      <c r="C6342" s="1">
        <f>(Tabela1[[#This Row],[x]]-H$3)*(Tabela1[[#This Row],[x]]-H$3) +(Tabela1[[#This Row],[y]]-H$4)*(Tabela1[[#This Row],[y]]-H$4)</f>
        <v>5850</v>
      </c>
      <c r="D6342" s="1">
        <f>IF(Tabela1[[#This Row],[promien]]&lt;40000,1,0)</f>
        <v>1</v>
      </c>
      <c r="E6342" s="1">
        <f>IF(Tabela1[[#This Row],[promien]]=40000,1,0)</f>
        <v>0</v>
      </c>
      <c r="F6342" s="1">
        <v>3.1706086408073162</v>
      </c>
      <c r="G6342" s="1">
        <v>2.9015987217523076E-2</v>
      </c>
    </row>
    <row r="6343" spans="1:7">
      <c r="A6343">
        <v>64</v>
      </c>
      <c r="B6343">
        <v>322</v>
      </c>
      <c r="C6343" s="1">
        <f>(Tabela1[[#This Row],[x]]-H$3)*(Tabela1[[#This Row],[x]]-H$3) +(Tabela1[[#This Row],[y]]-H$4)*(Tabela1[[#This Row],[y]]-H$4)</f>
        <v>33380</v>
      </c>
      <c r="D6343" s="1">
        <f>IF(Tabela1[[#This Row],[promien]]&lt;40000,1,0)</f>
        <v>1</v>
      </c>
      <c r="E6343" s="1">
        <f>IF(Tabela1[[#This Row],[promien]]=40000,1,0)</f>
        <v>0</v>
      </c>
      <c r="F6343" s="1">
        <v>3.1707393977613116</v>
      </c>
      <c r="G6343" s="1">
        <v>2.9146744171518524E-2</v>
      </c>
    </row>
    <row r="6344" spans="1:7">
      <c r="A6344">
        <v>91</v>
      </c>
      <c r="B6344">
        <v>45</v>
      </c>
      <c r="C6344" s="1">
        <f>(Tabela1[[#This Row],[x]]-H$3)*(Tabela1[[#This Row],[x]]-H$3) +(Tabela1[[#This Row],[y]]-H$4)*(Tabela1[[#This Row],[y]]-H$4)</f>
        <v>35906</v>
      </c>
      <c r="D6344" s="1">
        <f>IF(Tabela1[[#This Row],[promien]]&lt;40000,1,0)</f>
        <v>1</v>
      </c>
      <c r="E6344" s="1">
        <f>IF(Tabela1[[#This Row],[promien]]=40000,1,0)</f>
        <v>0</v>
      </c>
      <c r="F6344" s="1">
        <v>3.1708701134930641</v>
      </c>
      <c r="G6344" s="1">
        <v>2.9277459903271019E-2</v>
      </c>
    </row>
    <row r="6345" spans="1:7">
      <c r="A6345">
        <v>343</v>
      </c>
      <c r="B6345">
        <v>2</v>
      </c>
      <c r="C6345" s="1">
        <f>(Tabela1[[#This Row],[x]]-H$3)*(Tabela1[[#This Row],[x]]-H$3) +(Tabela1[[#This Row],[y]]-H$4)*(Tabela1[[#This Row],[y]]-H$4)</f>
        <v>59653</v>
      </c>
      <c r="D6345" s="1">
        <f>IF(Tabela1[[#This Row],[promien]]&lt;40000,1,0)</f>
        <v>0</v>
      </c>
      <c r="E6345" s="1">
        <f>IF(Tabela1[[#This Row],[promien]]=40000,1,0)</f>
        <v>0</v>
      </c>
      <c r="F6345" s="1">
        <v>3.1703703703703705</v>
      </c>
      <c r="G6345" s="1">
        <v>2.8777716780577389E-2</v>
      </c>
    </row>
    <row r="6346" spans="1:7">
      <c r="A6346">
        <v>245</v>
      </c>
      <c r="B6346">
        <v>28</v>
      </c>
      <c r="C6346" s="1">
        <f>(Tabela1[[#This Row],[x]]-H$3)*(Tabela1[[#This Row],[x]]-H$3) +(Tabela1[[#This Row],[y]]-H$4)*(Tabela1[[#This Row],[y]]-H$4)</f>
        <v>31609</v>
      </c>
      <c r="D6346" s="1">
        <f>IF(Tabela1[[#This Row],[promien]]&lt;40000,1,0)</f>
        <v>1</v>
      </c>
      <c r="E6346" s="1">
        <f>IF(Tabela1[[#This Row],[promien]]=40000,1,0)</f>
        <v>0</v>
      </c>
      <c r="F6346" s="1">
        <v>3.170501103057044</v>
      </c>
      <c r="G6346" s="1">
        <v>2.8908449467250907E-2</v>
      </c>
    </row>
    <row r="6347" spans="1:7">
      <c r="A6347">
        <v>20</v>
      </c>
      <c r="B6347">
        <v>69</v>
      </c>
      <c r="C6347" s="1">
        <f>(Tabela1[[#This Row],[x]]-H$3)*(Tabela1[[#This Row],[x]]-H$3) +(Tabela1[[#This Row],[y]]-H$4)*(Tabela1[[#This Row],[y]]-H$4)</f>
        <v>49561</v>
      </c>
      <c r="D6347" s="1">
        <f>IF(Tabela1[[#This Row],[promien]]&lt;40000,1,0)</f>
        <v>0</v>
      </c>
      <c r="E6347" s="1">
        <f>IF(Tabela1[[#This Row],[promien]]=40000,1,0)</f>
        <v>0</v>
      </c>
      <c r="F6347" s="1">
        <v>3.1700015755475026</v>
      </c>
      <c r="G6347" s="1">
        <v>2.8408921957709499E-2</v>
      </c>
    </row>
    <row r="6348" spans="1:7">
      <c r="A6348">
        <v>312</v>
      </c>
      <c r="B6348">
        <v>235</v>
      </c>
      <c r="C6348" s="1">
        <f>(Tabela1[[#This Row],[x]]-H$3)*(Tabela1[[#This Row],[x]]-H$3) +(Tabela1[[#This Row],[y]]-H$4)*(Tabela1[[#This Row],[y]]-H$4)</f>
        <v>13769</v>
      </c>
      <c r="D6348" s="1">
        <f>IF(Tabela1[[#This Row],[promien]]&lt;40000,1,0)</f>
        <v>1</v>
      </c>
      <c r="E6348" s="1">
        <f>IF(Tabela1[[#This Row],[promien]]=40000,1,0)</f>
        <v>0</v>
      </c>
      <c r="F6348" s="1">
        <v>3.1701323251417768</v>
      </c>
      <c r="G6348" s="1">
        <v>2.853967155198367E-2</v>
      </c>
    </row>
    <row r="6349" spans="1:7">
      <c r="A6349">
        <v>259</v>
      </c>
      <c r="B6349">
        <v>253</v>
      </c>
      <c r="C6349" s="1">
        <f>(Tabela1[[#This Row],[x]]-H$3)*(Tabela1[[#This Row],[x]]-H$3) +(Tabela1[[#This Row],[y]]-H$4)*(Tabela1[[#This Row],[y]]-H$4)</f>
        <v>6290</v>
      </c>
      <c r="D6349" s="1">
        <f>IF(Tabela1[[#This Row],[promien]]&lt;40000,1,0)</f>
        <v>1</v>
      </c>
      <c r="E6349" s="1">
        <f>IF(Tabela1[[#This Row],[promien]]=40000,1,0)</f>
        <v>0</v>
      </c>
      <c r="F6349" s="1">
        <v>3.1702630335485904</v>
      </c>
      <c r="G6349" s="1">
        <v>2.8670379958797287E-2</v>
      </c>
    </row>
    <row r="6350" spans="1:7">
      <c r="A6350">
        <v>369</v>
      </c>
      <c r="B6350">
        <v>326</v>
      </c>
      <c r="C6350" s="1">
        <f>(Tabela1[[#This Row],[x]]-H$3)*(Tabela1[[#This Row],[x]]-H$3) +(Tabela1[[#This Row],[y]]-H$4)*(Tabela1[[#This Row],[y]]-H$4)</f>
        <v>44437</v>
      </c>
      <c r="D6350" s="1">
        <f>IF(Tabela1[[#This Row],[promien]]&lt;40000,1,0)</f>
        <v>0</v>
      </c>
      <c r="E6350" s="1">
        <f>IF(Tabela1[[#This Row],[promien]]=40000,1,0)</f>
        <v>0</v>
      </c>
      <c r="F6350" s="1">
        <v>3.1697637795275591</v>
      </c>
      <c r="G6350" s="1">
        <v>2.817112593776594E-2</v>
      </c>
    </row>
    <row r="6351" spans="1:7">
      <c r="A6351">
        <v>291</v>
      </c>
      <c r="B6351">
        <v>324</v>
      </c>
      <c r="C6351" s="1">
        <f>(Tabela1[[#This Row],[x]]-H$3)*(Tabela1[[#This Row],[x]]-H$3) +(Tabela1[[#This Row],[y]]-H$4)*(Tabela1[[#This Row],[y]]-H$4)</f>
        <v>23657</v>
      </c>
      <c r="D6351" s="1">
        <f>IF(Tabela1[[#This Row],[promien]]&lt;40000,1,0)</f>
        <v>1</v>
      </c>
      <c r="E6351" s="1">
        <f>IF(Tabela1[[#This Row],[promien]]=40000,1,0)</f>
        <v>0</v>
      </c>
      <c r="F6351" s="1">
        <v>3.1698945048023934</v>
      </c>
      <c r="G6351" s="1">
        <v>2.8301851212600315E-2</v>
      </c>
    </row>
    <row r="6352" spans="1:7">
      <c r="A6352">
        <v>254</v>
      </c>
      <c r="B6352">
        <v>305</v>
      </c>
      <c r="C6352" s="1">
        <f>(Tabela1[[#This Row],[x]]-H$3)*(Tabela1[[#This Row],[x]]-H$3) +(Tabela1[[#This Row],[y]]-H$4)*(Tabela1[[#This Row],[y]]-H$4)</f>
        <v>13941</v>
      </c>
      <c r="D6352" s="1">
        <f>IF(Tabela1[[#This Row],[promien]]&lt;40000,1,0)</f>
        <v>1</v>
      </c>
      <c r="E6352" s="1">
        <f>IF(Tabela1[[#This Row],[promien]]=40000,1,0)</f>
        <v>0</v>
      </c>
      <c r="F6352" s="1">
        <v>3.1700251889168767</v>
      </c>
      <c r="G6352" s="1">
        <v>2.8432535327083563E-2</v>
      </c>
    </row>
    <row r="6353" spans="1:7">
      <c r="A6353">
        <v>377</v>
      </c>
      <c r="B6353">
        <v>126</v>
      </c>
      <c r="C6353" s="1">
        <f>(Tabela1[[#This Row],[x]]-H$3)*(Tabela1[[#This Row],[x]]-H$3) +(Tabela1[[#This Row],[y]]-H$4)*(Tabela1[[#This Row],[y]]-H$4)</f>
        <v>36805</v>
      </c>
      <c r="D6353" s="1">
        <f>IF(Tabela1[[#This Row],[promien]]&lt;40000,1,0)</f>
        <v>1</v>
      </c>
      <c r="E6353" s="1">
        <f>IF(Tabela1[[#This Row],[promien]]=40000,1,0)</f>
        <v>0</v>
      </c>
      <c r="F6353" s="1">
        <v>3.1701558318904453</v>
      </c>
      <c r="G6353" s="1">
        <v>2.8563178300652137E-2</v>
      </c>
    </row>
    <row r="6354" spans="1:7">
      <c r="A6354">
        <v>370</v>
      </c>
      <c r="B6354">
        <v>139</v>
      </c>
      <c r="C6354" s="1">
        <f>(Tabela1[[#This Row],[x]]-H$3)*(Tabela1[[#This Row],[x]]-H$3) +(Tabela1[[#This Row],[y]]-H$4)*(Tabela1[[#This Row],[y]]-H$4)</f>
        <v>32621</v>
      </c>
      <c r="D6354" s="1">
        <f>IF(Tabela1[[#This Row],[promien]]&lt;40000,1,0)</f>
        <v>1</v>
      </c>
      <c r="E6354" s="1">
        <f>IF(Tabela1[[#This Row],[promien]]=40000,1,0)</f>
        <v>0</v>
      </c>
      <c r="F6354" s="1">
        <v>3.1702864337425245</v>
      </c>
      <c r="G6354" s="1">
        <v>2.8693780152731385E-2</v>
      </c>
    </row>
    <row r="6355" spans="1:7">
      <c r="A6355">
        <v>189</v>
      </c>
      <c r="B6355">
        <v>35</v>
      </c>
      <c r="C6355" s="1">
        <f>(Tabela1[[#This Row],[x]]-H$3)*(Tabela1[[#This Row],[x]]-H$3) +(Tabela1[[#This Row],[y]]-H$4)*(Tabela1[[#This Row],[y]]-H$4)</f>
        <v>27346</v>
      </c>
      <c r="D6355" s="1">
        <f>IF(Tabela1[[#This Row],[promien]]&lt;40000,1,0)</f>
        <v>1</v>
      </c>
      <c r="E6355" s="1">
        <f>IF(Tabela1[[#This Row],[promien]]=40000,1,0)</f>
        <v>0</v>
      </c>
      <c r="F6355" s="1">
        <v>3.1704169944925256</v>
      </c>
      <c r="G6355" s="1">
        <v>2.8824340902732448E-2</v>
      </c>
    </row>
    <row r="6356" spans="1:7">
      <c r="A6356">
        <v>118</v>
      </c>
      <c r="B6356">
        <v>34</v>
      </c>
      <c r="C6356" s="1">
        <f>(Tabela1[[#This Row],[x]]-H$3)*(Tabela1[[#This Row],[x]]-H$3) +(Tabela1[[#This Row],[y]]-H$4)*(Tabela1[[#This Row],[y]]-H$4)</f>
        <v>34280</v>
      </c>
      <c r="D6356" s="1">
        <f>IF(Tabela1[[#This Row],[promien]]&lt;40000,1,0)</f>
        <v>1</v>
      </c>
      <c r="E6356" s="1">
        <f>IF(Tabela1[[#This Row],[promien]]=40000,1,0)</f>
        <v>0</v>
      </c>
      <c r="F6356" s="1">
        <v>3.1705475141598489</v>
      </c>
      <c r="G6356" s="1">
        <v>2.8954860570055807E-2</v>
      </c>
    </row>
    <row r="6357" spans="1:7">
      <c r="A6357">
        <v>6</v>
      </c>
      <c r="B6357">
        <v>166</v>
      </c>
      <c r="C6357" s="1">
        <f>(Tabela1[[#This Row],[x]]-H$3)*(Tabela1[[#This Row],[x]]-H$3) +(Tabela1[[#This Row],[y]]-H$4)*(Tabela1[[#This Row],[y]]-H$4)</f>
        <v>38792</v>
      </c>
      <c r="D6357" s="1">
        <f>IF(Tabela1[[#This Row],[promien]]&lt;40000,1,0)</f>
        <v>1</v>
      </c>
      <c r="E6357" s="1">
        <f>IF(Tabela1[[#This Row],[promien]]=40000,1,0)</f>
        <v>0</v>
      </c>
      <c r="F6357" s="1">
        <v>3.1706779927638822</v>
      </c>
      <c r="G6357" s="1">
        <v>2.9085339174089064E-2</v>
      </c>
    </row>
    <row r="6358" spans="1:7">
      <c r="A6358">
        <v>19</v>
      </c>
      <c r="B6358">
        <v>363</v>
      </c>
      <c r="C6358" s="1">
        <f>(Tabela1[[#This Row],[x]]-H$3)*(Tabela1[[#This Row],[x]]-H$3) +(Tabela1[[#This Row],[y]]-H$4)*(Tabela1[[#This Row],[y]]-H$4)</f>
        <v>59330</v>
      </c>
      <c r="D6358" s="1">
        <f>IF(Tabela1[[#This Row],[promien]]&lt;40000,1,0)</f>
        <v>0</v>
      </c>
      <c r="E6358" s="1">
        <f>IF(Tabela1[[#This Row],[promien]]=40000,1,0)</f>
        <v>0</v>
      </c>
      <c r="F6358" s="1">
        <v>3.1701793016671909</v>
      </c>
      <c r="G6358" s="1">
        <v>2.8586648077397747E-2</v>
      </c>
    </row>
    <row r="6359" spans="1:7">
      <c r="A6359">
        <v>47</v>
      </c>
      <c r="B6359">
        <v>250</v>
      </c>
      <c r="C6359" s="1">
        <f>(Tabela1[[#This Row],[x]]-H$3)*(Tabela1[[#This Row],[x]]-H$3) +(Tabela1[[#This Row],[y]]-H$4)*(Tabela1[[#This Row],[y]]-H$4)</f>
        <v>25909</v>
      </c>
      <c r="D6359" s="1">
        <f>IF(Tabela1[[#This Row],[promien]]&lt;40000,1,0)</f>
        <v>1</v>
      </c>
      <c r="E6359" s="1">
        <f>IF(Tabela1[[#This Row],[promien]]=40000,1,0)</f>
        <v>0</v>
      </c>
      <c r="F6359" s="1">
        <v>3.1703097971379148</v>
      </c>
      <c r="G6359" s="1">
        <v>2.8717143548121715E-2</v>
      </c>
    </row>
    <row r="6360" spans="1:7">
      <c r="A6360">
        <v>318</v>
      </c>
      <c r="B6360">
        <v>161</v>
      </c>
      <c r="C6360" s="1">
        <f>(Tabela1[[#This Row],[x]]-H$3)*(Tabela1[[#This Row],[x]]-H$3) +(Tabela1[[#This Row],[y]]-H$4)*(Tabela1[[#This Row],[y]]-H$4)</f>
        <v>15445</v>
      </c>
      <c r="D6360" s="1">
        <f>IF(Tabela1[[#This Row],[promien]]&lt;40000,1,0)</f>
        <v>1</v>
      </c>
      <c r="E6360" s="1">
        <f>IF(Tabela1[[#This Row],[promien]]=40000,1,0)</f>
        <v>0</v>
      </c>
      <c r="F6360" s="1">
        <v>3.1704402515723271</v>
      </c>
      <c r="G6360" s="1">
        <v>2.8847597982534001E-2</v>
      </c>
    </row>
    <row r="6361" spans="1:7">
      <c r="A6361">
        <v>99</v>
      </c>
      <c r="B6361">
        <v>370</v>
      </c>
      <c r="C6361" s="1">
        <f>(Tabela1[[#This Row],[x]]-H$3)*(Tabela1[[#This Row],[x]]-H$3) +(Tabela1[[#This Row],[y]]-H$4)*(Tabela1[[#This Row],[y]]-H$4)</f>
        <v>39101</v>
      </c>
      <c r="D6361" s="1">
        <f>IF(Tabela1[[#This Row],[promien]]&lt;40000,1,0)</f>
        <v>1</v>
      </c>
      <c r="E6361" s="1">
        <f>IF(Tabela1[[#This Row],[promien]]=40000,1,0)</f>
        <v>0</v>
      </c>
      <c r="F6361" s="1">
        <v>3.1705706649897816</v>
      </c>
      <c r="G6361" s="1">
        <v>2.8978011399988457E-2</v>
      </c>
    </row>
    <row r="6362" spans="1:7">
      <c r="A6362">
        <v>6</v>
      </c>
      <c r="B6362">
        <v>353</v>
      </c>
      <c r="C6362" s="1">
        <f>(Tabela1[[#This Row],[x]]-H$3)*(Tabela1[[#This Row],[x]]-H$3) +(Tabela1[[#This Row],[y]]-H$4)*(Tabela1[[#This Row],[y]]-H$4)</f>
        <v>61045</v>
      </c>
      <c r="D6362" s="1">
        <f>IF(Tabela1[[#This Row],[promien]]&lt;40000,1,0)</f>
        <v>0</v>
      </c>
      <c r="E6362" s="1">
        <f>IF(Tabela1[[#This Row],[promien]]=40000,1,0)</f>
        <v>0</v>
      </c>
      <c r="F6362" s="1">
        <v>3.1700723043068217</v>
      </c>
      <c r="G6362" s="1">
        <v>2.8479650717028626E-2</v>
      </c>
    </row>
    <row r="6363" spans="1:7">
      <c r="A6363">
        <v>192</v>
      </c>
      <c r="B6363">
        <v>122</v>
      </c>
      <c r="C6363" s="1">
        <f>(Tabela1[[#This Row],[x]]-H$3)*(Tabela1[[#This Row],[x]]-H$3) +(Tabela1[[#This Row],[y]]-H$4)*(Tabela1[[#This Row],[y]]-H$4)</f>
        <v>6148</v>
      </c>
      <c r="D6363" s="1">
        <f>IF(Tabela1[[#This Row],[promien]]&lt;40000,1,0)</f>
        <v>1</v>
      </c>
      <c r="E6363" s="1">
        <f>IF(Tabela1[[#This Row],[promien]]=40000,1,0)</f>
        <v>0</v>
      </c>
      <c r="F6363" s="1">
        <v>3.1702027345591701</v>
      </c>
      <c r="G6363" s="1">
        <v>2.8610080969377005E-2</v>
      </c>
    </row>
    <row r="6364" spans="1:7">
      <c r="A6364">
        <v>64</v>
      </c>
      <c r="B6364">
        <v>110</v>
      </c>
      <c r="C6364" s="1">
        <f>(Tabela1[[#This Row],[x]]-H$3)*(Tabela1[[#This Row],[x]]-H$3) +(Tabela1[[#This Row],[y]]-H$4)*(Tabela1[[#This Row],[y]]-H$4)</f>
        <v>26596</v>
      </c>
      <c r="D6364" s="1">
        <f>IF(Tabela1[[#This Row],[promien]]&lt;40000,1,0)</f>
        <v>1</v>
      </c>
      <c r="E6364" s="1">
        <f>IF(Tabela1[[#This Row],[promien]]=40000,1,0)</f>
        <v>0</v>
      </c>
      <c r="F6364" s="1">
        <v>3.170333123821496</v>
      </c>
      <c r="G6364" s="1">
        <v>2.8740470231702897E-2</v>
      </c>
    </row>
    <row r="6365" spans="1:7">
      <c r="A6365">
        <v>35</v>
      </c>
      <c r="B6365">
        <v>254</v>
      </c>
      <c r="C6365" s="1">
        <f>(Tabela1[[#This Row],[x]]-H$3)*(Tabela1[[#This Row],[x]]-H$3) +(Tabela1[[#This Row],[y]]-H$4)*(Tabela1[[#This Row],[y]]-H$4)</f>
        <v>30141</v>
      </c>
      <c r="D6365" s="1">
        <f>IF(Tabela1[[#This Row],[promien]]&lt;40000,1,0)</f>
        <v>1</v>
      </c>
      <c r="E6365" s="1">
        <f>IF(Tabela1[[#This Row],[promien]]=40000,1,0)</f>
        <v>0</v>
      </c>
      <c r="F6365" s="1">
        <v>3.1704634721131186</v>
      </c>
      <c r="G6365" s="1">
        <v>2.8870818523325514E-2</v>
      </c>
    </row>
    <row r="6366" spans="1:7">
      <c r="A6366">
        <v>278</v>
      </c>
      <c r="B6366">
        <v>47</v>
      </c>
      <c r="C6366" s="1">
        <f>(Tabela1[[#This Row],[x]]-H$3)*(Tabela1[[#This Row],[x]]-H$3) +(Tabela1[[#This Row],[y]]-H$4)*(Tabela1[[#This Row],[y]]-H$4)</f>
        <v>29493</v>
      </c>
      <c r="D6366" s="1">
        <f>IF(Tabela1[[#This Row],[promien]]&lt;40000,1,0)</f>
        <v>1</v>
      </c>
      <c r="E6366" s="1">
        <f>IF(Tabela1[[#This Row],[promien]]=40000,1,0)</f>
        <v>0</v>
      </c>
      <c r="F6366" s="1">
        <v>3.1705937794533461</v>
      </c>
      <c r="G6366" s="1">
        <v>2.9001125863552968E-2</v>
      </c>
    </row>
    <row r="6367" spans="1:7">
      <c r="A6367">
        <v>254</v>
      </c>
      <c r="B6367">
        <v>211</v>
      </c>
      <c r="C6367" s="1">
        <f>(Tabela1[[#This Row],[x]]-H$3)*(Tabela1[[#This Row],[x]]-H$3) +(Tabela1[[#This Row],[y]]-H$4)*(Tabela1[[#This Row],[y]]-H$4)</f>
        <v>3037</v>
      </c>
      <c r="D6367" s="1">
        <f>IF(Tabela1[[#This Row],[promien]]&lt;40000,1,0)</f>
        <v>1</v>
      </c>
      <c r="E6367" s="1">
        <f>IF(Tabela1[[#This Row],[promien]]=40000,1,0)</f>
        <v>0</v>
      </c>
      <c r="F6367" s="1">
        <v>3.1707240458614732</v>
      </c>
      <c r="G6367" s="1">
        <v>2.9131392271680046E-2</v>
      </c>
    </row>
    <row r="6368" spans="1:7">
      <c r="A6368">
        <v>335</v>
      </c>
      <c r="B6368">
        <v>288</v>
      </c>
      <c r="C6368" s="1">
        <f>(Tabela1[[#This Row],[x]]-H$3)*(Tabela1[[#This Row],[x]]-H$3) +(Tabela1[[#This Row],[y]]-H$4)*(Tabela1[[#This Row],[y]]-H$4)</f>
        <v>25969</v>
      </c>
      <c r="D6368" s="1">
        <f>IF(Tabela1[[#This Row],[promien]]&lt;40000,1,0)</f>
        <v>1</v>
      </c>
      <c r="E6368" s="1">
        <f>IF(Tabela1[[#This Row],[promien]]=40000,1,0)</f>
        <v>0</v>
      </c>
      <c r="F6368" s="1">
        <v>3.170854271356784</v>
      </c>
      <c r="G6368" s="1">
        <v>2.9261617766990877E-2</v>
      </c>
    </row>
    <row r="6369" spans="1:7">
      <c r="A6369">
        <v>52</v>
      </c>
      <c r="B6369">
        <v>320</v>
      </c>
      <c r="C6369" s="1">
        <f>(Tabela1[[#This Row],[x]]-H$3)*(Tabela1[[#This Row],[x]]-H$3) +(Tabela1[[#This Row],[y]]-H$4)*(Tabela1[[#This Row],[y]]-H$4)</f>
        <v>36304</v>
      </c>
      <c r="D6369" s="1">
        <f>IF(Tabela1[[#This Row],[promien]]&lt;40000,1,0)</f>
        <v>1</v>
      </c>
      <c r="E6369" s="1">
        <f>IF(Tabela1[[#This Row],[promien]]=40000,1,0)</f>
        <v>0</v>
      </c>
      <c r="F6369" s="1">
        <v>3.1709844559585494</v>
      </c>
      <c r="G6369" s="1">
        <v>2.939180236875627E-2</v>
      </c>
    </row>
    <row r="6370" spans="1:7">
      <c r="A6370">
        <v>320</v>
      </c>
      <c r="B6370">
        <v>365</v>
      </c>
      <c r="C6370" s="1">
        <f>(Tabela1[[#This Row],[x]]-H$3)*(Tabela1[[#This Row],[x]]-H$3) +(Tabela1[[#This Row],[y]]-H$4)*(Tabela1[[#This Row],[y]]-H$4)</f>
        <v>41625</v>
      </c>
      <c r="D6370" s="1">
        <f>IF(Tabela1[[#This Row],[promien]]&lt;40000,1,0)</f>
        <v>0</v>
      </c>
      <c r="E6370" s="1">
        <f>IF(Tabela1[[#This Row],[promien]]=40000,1,0)</f>
        <v>0</v>
      </c>
      <c r="F6370" s="1">
        <v>3.1704866562009419</v>
      </c>
      <c r="G6370" s="1">
        <v>2.8894002611148828E-2</v>
      </c>
    </row>
    <row r="6371" spans="1:7">
      <c r="A6371">
        <v>209</v>
      </c>
      <c r="B6371">
        <v>332</v>
      </c>
      <c r="C6371" s="1">
        <f>(Tabela1[[#This Row],[x]]-H$3)*(Tabela1[[#This Row],[x]]-H$3) +(Tabela1[[#This Row],[y]]-H$4)*(Tabela1[[#This Row],[y]]-H$4)</f>
        <v>17505</v>
      </c>
      <c r="D6371" s="1">
        <f>IF(Tabela1[[#This Row],[promien]]&lt;40000,1,0)</f>
        <v>1</v>
      </c>
      <c r="E6371" s="1">
        <f>IF(Tabela1[[#This Row],[promien]]=40000,1,0)</f>
        <v>0</v>
      </c>
      <c r="F6371" s="1">
        <v>3.1706168576361637</v>
      </c>
      <c r="G6371" s="1">
        <v>2.9024204046370627E-2</v>
      </c>
    </row>
    <row r="6372" spans="1:7">
      <c r="A6372">
        <v>83</v>
      </c>
      <c r="B6372">
        <v>300</v>
      </c>
      <c r="C6372" s="1">
        <f>(Tabela1[[#This Row],[x]]-H$3)*(Tabela1[[#This Row],[x]]-H$3) +(Tabela1[[#This Row],[y]]-H$4)*(Tabela1[[#This Row],[y]]-H$4)</f>
        <v>23689</v>
      </c>
      <c r="D6372" s="1">
        <f>IF(Tabela1[[#This Row],[promien]]&lt;40000,1,0)</f>
        <v>1</v>
      </c>
      <c r="E6372" s="1">
        <f>IF(Tabela1[[#This Row],[promien]]=40000,1,0)</f>
        <v>0</v>
      </c>
      <c r="F6372" s="1">
        <v>3.1707470182046453</v>
      </c>
      <c r="G6372" s="1">
        <v>2.9154364614852213E-2</v>
      </c>
    </row>
    <row r="6373" spans="1:7">
      <c r="A6373">
        <v>240</v>
      </c>
      <c r="B6373">
        <v>299</v>
      </c>
      <c r="C6373" s="1">
        <f>(Tabela1[[#This Row],[x]]-H$3)*(Tabela1[[#This Row],[x]]-H$3) +(Tabela1[[#This Row],[y]]-H$4)*(Tabela1[[#This Row],[y]]-H$4)</f>
        <v>11401</v>
      </c>
      <c r="D6373" s="1">
        <f>IF(Tabela1[[#This Row],[promien]]&lt;40000,1,0)</f>
        <v>1</v>
      </c>
      <c r="E6373" s="1">
        <f>IF(Tabela1[[#This Row],[promien]]=40000,1,0)</f>
        <v>0</v>
      </c>
      <c r="F6373" s="1">
        <v>3.1708771379256238</v>
      </c>
      <c r="G6373" s="1">
        <v>2.9284484335830641E-2</v>
      </c>
    </row>
    <row r="6374" spans="1:7">
      <c r="A6374">
        <v>191</v>
      </c>
      <c r="B6374">
        <v>185</v>
      </c>
      <c r="C6374" s="1">
        <f>(Tabela1[[#This Row],[x]]-H$3)*(Tabela1[[#This Row],[x]]-H$3) +(Tabela1[[#This Row],[y]]-H$4)*(Tabela1[[#This Row],[y]]-H$4)</f>
        <v>306</v>
      </c>
      <c r="D6374" s="1">
        <f>IF(Tabela1[[#This Row],[promien]]&lt;40000,1,0)</f>
        <v>1</v>
      </c>
      <c r="E6374" s="1">
        <f>IF(Tabela1[[#This Row],[promien]]=40000,1,0)</f>
        <v>0</v>
      </c>
      <c r="F6374" s="1">
        <v>3.1710072168183245</v>
      </c>
      <c r="G6374" s="1">
        <v>2.9414563228531421E-2</v>
      </c>
    </row>
    <row r="6375" spans="1:7">
      <c r="A6375">
        <v>25</v>
      </c>
      <c r="B6375">
        <v>229</v>
      </c>
      <c r="C6375" s="1">
        <f>(Tabela1[[#This Row],[x]]-H$3)*(Tabela1[[#This Row],[x]]-H$3) +(Tabela1[[#This Row],[y]]-H$4)*(Tabela1[[#This Row],[y]]-H$4)</f>
        <v>31466</v>
      </c>
      <c r="D6375" s="1">
        <f>IF(Tabela1[[#This Row],[promien]]&lt;40000,1,0)</f>
        <v>1</v>
      </c>
      <c r="E6375" s="1">
        <f>IF(Tabela1[[#This Row],[promien]]=40000,1,0)</f>
        <v>0</v>
      </c>
      <c r="F6375" s="1">
        <v>3.1711372549019607</v>
      </c>
      <c r="G6375" s="1">
        <v>2.9544601312167629E-2</v>
      </c>
    </row>
    <row r="6376" spans="1:7">
      <c r="A6376">
        <v>285</v>
      </c>
      <c r="B6376">
        <v>40</v>
      </c>
      <c r="C6376" s="1">
        <f>(Tabela1[[#This Row],[x]]-H$3)*(Tabela1[[#This Row],[x]]-H$3) +(Tabela1[[#This Row],[y]]-H$4)*(Tabela1[[#This Row],[y]]-H$4)</f>
        <v>32825</v>
      </c>
      <c r="D6376" s="1">
        <f>IF(Tabela1[[#This Row],[promien]]&lt;40000,1,0)</f>
        <v>1</v>
      </c>
      <c r="E6376" s="1">
        <f>IF(Tabela1[[#This Row],[promien]]=40000,1,0)</f>
        <v>0</v>
      </c>
      <c r="F6376" s="1">
        <v>3.1712672521957339</v>
      </c>
      <c r="G6376" s="1">
        <v>2.9674598605940794E-2</v>
      </c>
    </row>
    <row r="6377" spans="1:7">
      <c r="A6377">
        <v>155</v>
      </c>
      <c r="B6377">
        <v>392</v>
      </c>
      <c r="C6377" s="1">
        <f>(Tabela1[[#This Row],[x]]-H$3)*(Tabela1[[#This Row],[x]]-H$3) +(Tabela1[[#This Row],[y]]-H$4)*(Tabela1[[#This Row],[y]]-H$4)</f>
        <v>38889</v>
      </c>
      <c r="D6377" s="1">
        <f>IF(Tabela1[[#This Row],[promien]]&lt;40000,1,0)</f>
        <v>1</v>
      </c>
      <c r="E6377" s="1">
        <f>IF(Tabela1[[#This Row],[promien]]=40000,1,0)</f>
        <v>0</v>
      </c>
      <c r="F6377" s="1">
        <v>3.1713972087188331</v>
      </c>
      <c r="G6377" s="1">
        <v>2.9804555129040011E-2</v>
      </c>
    </row>
    <row r="6378" spans="1:7">
      <c r="A6378">
        <v>49</v>
      </c>
      <c r="B6378">
        <v>29</v>
      </c>
      <c r="C6378" s="1">
        <f>(Tabela1[[#This Row],[x]]-H$3)*(Tabela1[[#This Row],[x]]-H$3) +(Tabela1[[#This Row],[y]]-H$4)*(Tabela1[[#This Row],[y]]-H$4)</f>
        <v>52042</v>
      </c>
      <c r="D6378" s="1">
        <f>IF(Tabela1[[#This Row],[promien]]&lt;40000,1,0)</f>
        <v>0</v>
      </c>
      <c r="E6378" s="1">
        <f>IF(Tabela1[[#This Row],[promien]]=40000,1,0)</f>
        <v>0</v>
      </c>
      <c r="F6378" s="1">
        <v>3.1708999686422077</v>
      </c>
      <c r="G6378" s="1">
        <v>2.9307315052414573E-2</v>
      </c>
    </row>
    <row r="6379" spans="1:7">
      <c r="A6379">
        <v>322</v>
      </c>
      <c r="B6379">
        <v>90</v>
      </c>
      <c r="C6379" s="1">
        <f>(Tabela1[[#This Row],[x]]-H$3)*(Tabela1[[#This Row],[x]]-H$3) +(Tabela1[[#This Row],[y]]-H$4)*(Tabela1[[#This Row],[y]]-H$4)</f>
        <v>26984</v>
      </c>
      <c r="D6379" s="1">
        <f>IF(Tabela1[[#This Row],[promien]]&lt;40000,1,0)</f>
        <v>1</v>
      </c>
      <c r="E6379" s="1">
        <f>IF(Tabela1[[#This Row],[promien]]=40000,1,0)</f>
        <v>0</v>
      </c>
      <c r="F6379" s="1">
        <v>3.1710299419971784</v>
      </c>
      <c r="G6379" s="1">
        <v>2.9437288407385243E-2</v>
      </c>
    </row>
    <row r="6380" spans="1:7">
      <c r="A6380">
        <v>208</v>
      </c>
      <c r="B6380">
        <v>385</v>
      </c>
      <c r="C6380" s="1">
        <f>(Tabela1[[#This Row],[x]]-H$3)*(Tabela1[[#This Row],[x]]-H$3) +(Tabela1[[#This Row],[y]]-H$4)*(Tabela1[[#This Row],[y]]-H$4)</f>
        <v>34289</v>
      </c>
      <c r="D6380" s="1">
        <f>IF(Tabela1[[#This Row],[promien]]&lt;40000,1,0)</f>
        <v>1</v>
      </c>
      <c r="E6380" s="1">
        <f>IF(Tabela1[[#This Row],[promien]]=40000,1,0)</f>
        <v>0</v>
      </c>
      <c r="F6380" s="1">
        <v>3.1711598746081506</v>
      </c>
      <c r="G6380" s="1">
        <v>2.9567221018357515E-2</v>
      </c>
    </row>
    <row r="6381" spans="1:7">
      <c r="A6381">
        <v>337</v>
      </c>
      <c r="B6381">
        <v>250</v>
      </c>
      <c r="C6381" s="1">
        <f>(Tabela1[[#This Row],[x]]-H$3)*(Tabela1[[#This Row],[x]]-H$3) +(Tabela1[[#This Row],[y]]-H$4)*(Tabela1[[#This Row],[y]]-H$4)</f>
        <v>21269</v>
      </c>
      <c r="D6381" s="1">
        <f>IF(Tabela1[[#This Row],[promien]]&lt;40000,1,0)</f>
        <v>1</v>
      </c>
      <c r="E6381" s="1">
        <f>IF(Tabela1[[#This Row],[promien]]=40000,1,0)</f>
        <v>0</v>
      </c>
      <c r="F6381" s="1">
        <v>3.1712897664942798</v>
      </c>
      <c r="G6381" s="1">
        <v>2.9697112904486733E-2</v>
      </c>
    </row>
    <row r="6382" spans="1:7">
      <c r="A6382">
        <v>5</v>
      </c>
      <c r="B6382">
        <v>189</v>
      </c>
      <c r="C6382" s="1">
        <f>(Tabela1[[#This Row],[x]]-H$3)*(Tabela1[[#This Row],[x]]-H$3) +(Tabela1[[#This Row],[y]]-H$4)*(Tabela1[[#This Row],[y]]-H$4)</f>
        <v>38146</v>
      </c>
      <c r="D6382" s="1">
        <f>IF(Tabela1[[#This Row],[promien]]&lt;40000,1,0)</f>
        <v>1</v>
      </c>
      <c r="E6382" s="1">
        <f>IF(Tabela1[[#This Row],[promien]]=40000,1,0)</f>
        <v>0</v>
      </c>
      <c r="F6382" s="1">
        <v>3.1714196176747103</v>
      </c>
      <c r="G6382" s="1">
        <v>2.982696408491714E-2</v>
      </c>
    </row>
    <row r="6383" spans="1:7">
      <c r="A6383">
        <v>232</v>
      </c>
      <c r="B6383">
        <v>138</v>
      </c>
      <c r="C6383" s="1">
        <f>(Tabela1[[#This Row],[x]]-H$3)*(Tabela1[[#This Row],[x]]-H$3) +(Tabela1[[#This Row],[y]]-H$4)*(Tabela1[[#This Row],[y]]-H$4)</f>
        <v>4868</v>
      </c>
      <c r="D6383" s="1">
        <f>IF(Tabela1[[#This Row],[promien]]&lt;40000,1,0)</f>
        <v>1</v>
      </c>
      <c r="E6383" s="1">
        <f>IF(Tabela1[[#This Row],[promien]]=40000,1,0)</f>
        <v>0</v>
      </c>
      <c r="F6383" s="1">
        <v>3.1715494281685728</v>
      </c>
      <c r="G6383" s="1">
        <v>2.9956774578779655E-2</v>
      </c>
    </row>
    <row r="6384" spans="1:7">
      <c r="A6384">
        <v>56</v>
      </c>
      <c r="B6384">
        <v>372</v>
      </c>
      <c r="C6384" s="1">
        <f>(Tabela1[[#This Row],[x]]-H$3)*(Tabela1[[#This Row],[x]]-H$3) +(Tabela1[[#This Row],[y]]-H$4)*(Tabela1[[#This Row],[y]]-H$4)</f>
        <v>50320</v>
      </c>
      <c r="D6384" s="1">
        <f>IF(Tabela1[[#This Row],[promien]]&lt;40000,1,0)</f>
        <v>0</v>
      </c>
      <c r="E6384" s="1">
        <f>IF(Tabela1[[#This Row],[promien]]=40000,1,0)</f>
        <v>0</v>
      </c>
      <c r="F6384" s="1">
        <v>3.1710526315789473</v>
      </c>
      <c r="G6384" s="1">
        <v>2.9459977989154229E-2</v>
      </c>
    </row>
    <row r="6385" spans="1:7">
      <c r="A6385">
        <v>318</v>
      </c>
      <c r="B6385">
        <v>326</v>
      </c>
      <c r="C6385" s="1">
        <f>(Tabela1[[#This Row],[x]]-H$3)*(Tabela1[[#This Row],[x]]-H$3) +(Tabela1[[#This Row],[y]]-H$4)*(Tabela1[[#This Row],[y]]-H$4)</f>
        <v>29800</v>
      </c>
      <c r="D6385" s="1">
        <f>IF(Tabela1[[#This Row],[promien]]&lt;40000,1,0)</f>
        <v>1</v>
      </c>
      <c r="E6385" s="1">
        <f>IF(Tabela1[[#This Row],[promien]]=40000,1,0)</f>
        <v>0</v>
      </c>
      <c r="F6385" s="1">
        <v>3.1711824588880186</v>
      </c>
      <c r="G6385" s="1">
        <v>2.9589805298225524E-2</v>
      </c>
    </row>
    <row r="6386" spans="1:7">
      <c r="A6386">
        <v>391</v>
      </c>
      <c r="B6386">
        <v>320</v>
      </c>
      <c r="C6386" s="1">
        <f>(Tabela1[[#This Row],[x]]-H$3)*(Tabela1[[#This Row],[x]]-H$3) +(Tabela1[[#This Row],[y]]-H$4)*(Tabela1[[#This Row],[y]]-H$4)</f>
        <v>50881</v>
      </c>
      <c r="D6386" s="1">
        <f>IF(Tabela1[[#This Row],[promien]]&lt;40000,1,0)</f>
        <v>0</v>
      </c>
      <c r="E6386" s="1">
        <f>IF(Tabela1[[#This Row],[promien]]=40000,1,0)</f>
        <v>0</v>
      </c>
      <c r="F6386" s="1">
        <v>3.170685875352333</v>
      </c>
      <c r="G6386" s="1">
        <v>2.9093221762539923E-2</v>
      </c>
    </row>
    <row r="6387" spans="1:7">
      <c r="A6387">
        <v>215</v>
      </c>
      <c r="B6387">
        <v>130</v>
      </c>
      <c r="C6387" s="1">
        <f>(Tabela1[[#This Row],[x]]-H$3)*(Tabela1[[#This Row],[x]]-H$3) +(Tabela1[[#This Row],[y]]-H$4)*(Tabela1[[#This Row],[y]]-H$4)</f>
        <v>5125</v>
      </c>
      <c r="D6387" s="1">
        <f>IF(Tabela1[[#This Row],[promien]]&lt;40000,1,0)</f>
        <v>1</v>
      </c>
      <c r="E6387" s="1">
        <f>IF(Tabela1[[#This Row],[promien]]=40000,1,0)</f>
        <v>0</v>
      </c>
      <c r="F6387" s="1">
        <v>3.1708157194300925</v>
      </c>
      <c r="G6387" s="1">
        <v>2.9223065840299434E-2</v>
      </c>
    </row>
    <row r="6388" spans="1:7">
      <c r="A6388">
        <v>259</v>
      </c>
      <c r="B6388">
        <v>231</v>
      </c>
      <c r="C6388" s="1">
        <f>(Tabela1[[#This Row],[x]]-H$3)*(Tabela1[[#This Row],[x]]-H$3) +(Tabela1[[#This Row],[y]]-H$4)*(Tabela1[[#This Row],[y]]-H$4)</f>
        <v>4442</v>
      </c>
      <c r="D6388" s="1">
        <f>IF(Tabela1[[#This Row],[promien]]&lt;40000,1,0)</f>
        <v>1</v>
      </c>
      <c r="E6388" s="1">
        <f>IF(Tabela1[[#This Row],[promien]]=40000,1,0)</f>
        <v>0</v>
      </c>
      <c r="F6388" s="1">
        <v>3.1709455228553538</v>
      </c>
      <c r="G6388" s="1">
        <v>2.9352869265560688E-2</v>
      </c>
    </row>
    <row r="6389" spans="1:7">
      <c r="A6389">
        <v>43</v>
      </c>
      <c r="B6389">
        <v>318</v>
      </c>
      <c r="C6389" s="1">
        <f>(Tabela1[[#This Row],[x]]-H$3)*(Tabela1[[#This Row],[x]]-H$3) +(Tabela1[[#This Row],[y]]-H$4)*(Tabela1[[#This Row],[y]]-H$4)</f>
        <v>38573</v>
      </c>
      <c r="D6389" s="1">
        <f>IF(Tabela1[[#This Row],[promien]]&lt;40000,1,0)</f>
        <v>1</v>
      </c>
      <c r="E6389" s="1">
        <f>IF(Tabela1[[#This Row],[promien]]=40000,1,0)</f>
        <v>0</v>
      </c>
      <c r="F6389" s="1">
        <v>3.171075285647206</v>
      </c>
      <c r="G6389" s="1">
        <v>2.9482632057412861E-2</v>
      </c>
    </row>
    <row r="6390" spans="1:7">
      <c r="A6390">
        <v>112</v>
      </c>
      <c r="B6390">
        <v>228</v>
      </c>
      <c r="C6390" s="1">
        <f>(Tabela1[[#This Row],[x]]-H$3)*(Tabela1[[#This Row],[x]]-H$3) +(Tabela1[[#This Row],[y]]-H$4)*(Tabela1[[#This Row],[y]]-H$4)</f>
        <v>8528</v>
      </c>
      <c r="D6390" s="1">
        <f>IF(Tabela1[[#This Row],[promien]]&lt;40000,1,0)</f>
        <v>1</v>
      </c>
      <c r="E6390" s="1">
        <f>IF(Tabela1[[#This Row],[promien]]=40000,1,0)</f>
        <v>0</v>
      </c>
      <c r="F6390" s="1">
        <v>3.1712050078247263</v>
      </c>
      <c r="G6390" s="1">
        <v>2.9612354234933136E-2</v>
      </c>
    </row>
    <row r="6391" spans="1:7">
      <c r="A6391">
        <v>5</v>
      </c>
      <c r="B6391">
        <v>256</v>
      </c>
      <c r="C6391" s="1">
        <f>(Tabela1[[#This Row],[x]]-H$3)*(Tabela1[[#This Row],[x]]-H$3) +(Tabela1[[#This Row],[y]]-H$4)*(Tabela1[[#This Row],[y]]-H$4)</f>
        <v>41161</v>
      </c>
      <c r="D6391" s="1">
        <f>IF(Tabela1[[#This Row],[promien]]&lt;40000,1,0)</f>
        <v>0</v>
      </c>
      <c r="E6391" s="1">
        <f>IF(Tabela1[[#This Row],[promien]]=40000,1,0)</f>
        <v>0</v>
      </c>
      <c r="F6391" s="1">
        <v>3.1707088092630262</v>
      </c>
      <c r="G6391" s="1">
        <v>2.9116155673233113E-2</v>
      </c>
    </row>
    <row r="6392" spans="1:7">
      <c r="A6392">
        <v>265</v>
      </c>
      <c r="B6392">
        <v>94</v>
      </c>
      <c r="C6392" s="1">
        <f>(Tabela1[[#This Row],[x]]-H$3)*(Tabela1[[#This Row],[x]]-H$3) +(Tabela1[[#This Row],[y]]-H$4)*(Tabela1[[#This Row],[y]]-H$4)</f>
        <v>15461</v>
      </c>
      <c r="D6392" s="1">
        <f>IF(Tabela1[[#This Row],[promien]]&lt;40000,1,0)</f>
        <v>1</v>
      </c>
      <c r="E6392" s="1">
        <f>IF(Tabela1[[#This Row],[promien]]=40000,1,0)</f>
        <v>0</v>
      </c>
      <c r="F6392" s="1">
        <v>3.1708385481852317</v>
      </c>
      <c r="G6392" s="1">
        <v>2.9245894595438582E-2</v>
      </c>
    </row>
    <row r="6393" spans="1:7">
      <c r="A6393">
        <v>172</v>
      </c>
      <c r="B6393">
        <v>153</v>
      </c>
      <c r="C6393" s="1">
        <f>(Tabela1[[#This Row],[x]]-H$3)*(Tabela1[[#This Row],[x]]-H$3) +(Tabela1[[#This Row],[y]]-H$4)*(Tabela1[[#This Row],[y]]-H$4)</f>
        <v>2993</v>
      </c>
      <c r="D6393" s="1">
        <f>IF(Tabela1[[#This Row],[promien]]&lt;40000,1,0)</f>
        <v>1</v>
      </c>
      <c r="E6393" s="1">
        <f>IF(Tabela1[[#This Row],[promien]]=40000,1,0)</f>
        <v>0</v>
      </c>
      <c r="F6393" s="1">
        <v>3.1709682465196307</v>
      </c>
      <c r="G6393" s="1">
        <v>2.9375592929837602E-2</v>
      </c>
    </row>
    <row r="6394" spans="1:7">
      <c r="A6394">
        <v>147</v>
      </c>
      <c r="B6394">
        <v>282</v>
      </c>
      <c r="C6394" s="1">
        <f>(Tabela1[[#This Row],[x]]-H$3)*(Tabela1[[#This Row],[x]]-H$3) +(Tabela1[[#This Row],[y]]-H$4)*(Tabela1[[#This Row],[y]]-H$4)</f>
        <v>9533</v>
      </c>
      <c r="D6394" s="1">
        <f>IF(Tabela1[[#This Row],[promien]]&lt;40000,1,0)</f>
        <v>1</v>
      </c>
      <c r="E6394" s="1">
        <f>IF(Tabela1[[#This Row],[promien]]=40000,1,0)</f>
        <v>0</v>
      </c>
      <c r="F6394" s="1">
        <v>3.1710979042852676</v>
      </c>
      <c r="G6394" s="1">
        <v>2.9505250695474494E-2</v>
      </c>
    </row>
    <row r="6395" spans="1:7">
      <c r="A6395">
        <v>271</v>
      </c>
      <c r="B6395">
        <v>159</v>
      </c>
      <c r="C6395" s="1">
        <f>(Tabela1[[#This Row],[x]]-H$3)*(Tabela1[[#This Row],[x]]-H$3) +(Tabela1[[#This Row],[y]]-H$4)*(Tabela1[[#This Row],[y]]-H$4)</f>
        <v>6722</v>
      </c>
      <c r="D6395" s="1">
        <f>IF(Tabela1[[#This Row],[promien]]&lt;40000,1,0)</f>
        <v>1</v>
      </c>
      <c r="E6395" s="1">
        <f>IF(Tabela1[[#This Row],[promien]]=40000,1,0)</f>
        <v>0</v>
      </c>
      <c r="F6395" s="1">
        <v>3.1712275215011729</v>
      </c>
      <c r="G6395" s="1">
        <v>2.9634867911379814E-2</v>
      </c>
    </row>
    <row r="6396" spans="1:7">
      <c r="A6396">
        <v>100</v>
      </c>
      <c r="B6396">
        <v>146</v>
      </c>
      <c r="C6396" s="1">
        <f>(Tabela1[[#This Row],[x]]-H$3)*(Tabela1[[#This Row],[x]]-H$3) +(Tabela1[[#This Row],[y]]-H$4)*(Tabela1[[#This Row],[y]]-H$4)</f>
        <v>12916</v>
      </c>
      <c r="D6396" s="1">
        <f>IF(Tabela1[[#This Row],[promien]]&lt;40000,1,0)</f>
        <v>1</v>
      </c>
      <c r="E6396" s="1">
        <f>IF(Tabela1[[#This Row],[promien]]=40000,1,0)</f>
        <v>0</v>
      </c>
      <c r="F6396" s="1">
        <v>3.1713570981863666</v>
      </c>
      <c r="G6396" s="1">
        <v>2.9764444596573458E-2</v>
      </c>
    </row>
    <row r="6397" spans="1:7">
      <c r="A6397">
        <v>270</v>
      </c>
      <c r="B6397">
        <v>72</v>
      </c>
      <c r="C6397" s="1">
        <f>(Tabela1[[#This Row],[x]]-H$3)*(Tabela1[[#This Row],[x]]-H$3) +(Tabela1[[#This Row],[y]]-H$4)*(Tabela1[[#This Row],[y]]-H$4)</f>
        <v>21284</v>
      </c>
      <c r="D6397" s="1">
        <f>IF(Tabela1[[#This Row],[promien]]&lt;40000,1,0)</f>
        <v>1</v>
      </c>
      <c r="E6397" s="1">
        <f>IF(Tabela1[[#This Row],[promien]]=40000,1,0)</f>
        <v>0</v>
      </c>
      <c r="F6397" s="1">
        <v>3.171486634359856</v>
      </c>
      <c r="G6397" s="1">
        <v>2.9893980770062889E-2</v>
      </c>
    </row>
    <row r="6398" spans="1:7">
      <c r="A6398">
        <v>253</v>
      </c>
      <c r="B6398">
        <v>294</v>
      </c>
      <c r="C6398" s="1">
        <f>(Tabela1[[#This Row],[x]]-H$3)*(Tabela1[[#This Row],[x]]-H$3) +(Tabela1[[#This Row],[y]]-H$4)*(Tabela1[[#This Row],[y]]-H$4)</f>
        <v>11645</v>
      </c>
      <c r="D6398" s="1">
        <f>IF(Tabela1[[#This Row],[promien]]&lt;40000,1,0)</f>
        <v>1</v>
      </c>
      <c r="E6398" s="1">
        <f>IF(Tabela1[[#This Row],[promien]]=40000,1,0)</f>
        <v>0</v>
      </c>
      <c r="F6398" s="1">
        <v>3.1716161300406376</v>
      </c>
      <c r="G6398" s="1">
        <v>3.0023476450844466E-2</v>
      </c>
    </row>
    <row r="6399" spans="1:7">
      <c r="A6399">
        <v>373</v>
      </c>
      <c r="B6399">
        <v>165</v>
      </c>
      <c r="C6399" s="1">
        <f>(Tabela1[[#This Row],[x]]-H$3)*(Tabela1[[#This Row],[x]]-H$3) +(Tabela1[[#This Row],[y]]-H$4)*(Tabela1[[#This Row],[y]]-H$4)</f>
        <v>31154</v>
      </c>
      <c r="D6399" s="1">
        <f>IF(Tabela1[[#This Row],[promien]]&lt;40000,1,0)</f>
        <v>1</v>
      </c>
      <c r="E6399" s="1">
        <f>IF(Tabela1[[#This Row],[promien]]=40000,1,0)</f>
        <v>0</v>
      </c>
      <c r="F6399" s="1">
        <v>3.1717455852476948</v>
      </c>
      <c r="G6399" s="1">
        <v>3.0152931657901672E-2</v>
      </c>
    </row>
    <row r="6400" spans="1:7">
      <c r="A6400">
        <v>322</v>
      </c>
      <c r="B6400">
        <v>275</v>
      </c>
      <c r="C6400" s="1">
        <f>(Tabela1[[#This Row],[x]]-H$3)*(Tabela1[[#This Row],[x]]-H$3) +(Tabela1[[#This Row],[y]]-H$4)*(Tabela1[[#This Row],[y]]-H$4)</f>
        <v>20509</v>
      </c>
      <c r="D6400" s="1">
        <f>IF(Tabela1[[#This Row],[promien]]&lt;40000,1,0)</f>
        <v>1</v>
      </c>
      <c r="E6400" s="1">
        <f>IF(Tabela1[[#This Row],[promien]]=40000,1,0)</f>
        <v>0</v>
      </c>
      <c r="F6400" s="1">
        <v>3.171875</v>
      </c>
      <c r="G6400" s="1">
        <v>3.0282346410206884E-2</v>
      </c>
    </row>
    <row r="6401" spans="1:7">
      <c r="A6401">
        <v>143</v>
      </c>
      <c r="B6401">
        <v>169</v>
      </c>
      <c r="C6401" s="1">
        <f>(Tabela1[[#This Row],[x]]-H$3)*(Tabela1[[#This Row],[x]]-H$3) +(Tabela1[[#This Row],[y]]-H$4)*(Tabela1[[#This Row],[y]]-H$4)</f>
        <v>4210</v>
      </c>
      <c r="D6401" s="1">
        <f>IF(Tabela1[[#This Row],[promien]]&lt;40000,1,0)</f>
        <v>1</v>
      </c>
      <c r="E6401" s="1">
        <f>IF(Tabela1[[#This Row],[promien]]=40000,1,0)</f>
        <v>0</v>
      </c>
      <c r="F6401" s="1">
        <v>3.1720043743165132</v>
      </c>
      <c r="G6401" s="1">
        <v>3.0411720726720048E-2</v>
      </c>
    </row>
    <row r="6402" spans="1:7">
      <c r="A6402">
        <v>249</v>
      </c>
      <c r="B6402">
        <v>354</v>
      </c>
      <c r="C6402" s="1">
        <f>(Tabela1[[#This Row],[x]]-H$3)*(Tabela1[[#This Row],[x]]-H$3) +(Tabela1[[#This Row],[y]]-H$4)*(Tabela1[[#This Row],[y]]-H$4)</f>
        <v>26117</v>
      </c>
      <c r="D6402" s="1">
        <f>IF(Tabela1[[#This Row],[promien]]&lt;40000,1,0)</f>
        <v>1</v>
      </c>
      <c r="E6402" s="1">
        <f>IF(Tabela1[[#This Row],[promien]]=40000,1,0)</f>
        <v>0</v>
      </c>
      <c r="F6402" s="1">
        <v>3.1721337082161822</v>
      </c>
      <c r="G6402" s="1">
        <v>3.0541054626389119E-2</v>
      </c>
    </row>
    <row r="6403" spans="1:7">
      <c r="A6403">
        <v>52</v>
      </c>
      <c r="B6403">
        <v>385</v>
      </c>
      <c r="C6403" s="1">
        <f>(Tabela1[[#This Row],[x]]-H$3)*(Tabela1[[#This Row],[x]]-H$3) +(Tabela1[[#This Row],[y]]-H$4)*(Tabela1[[#This Row],[y]]-H$4)</f>
        <v>56129</v>
      </c>
      <c r="D6403" s="1">
        <f>IF(Tabela1[[#This Row],[promien]]&lt;40000,1,0)</f>
        <v>0</v>
      </c>
      <c r="E6403" s="1">
        <f>IF(Tabela1[[#This Row],[promien]]=40000,1,0)</f>
        <v>0</v>
      </c>
      <c r="F6403" s="1">
        <v>3.1716382945494299</v>
      </c>
      <c r="G6403" s="1">
        <v>3.0045640959636799E-2</v>
      </c>
    </row>
    <row r="6404" spans="1:7">
      <c r="A6404">
        <v>208</v>
      </c>
      <c r="B6404">
        <v>241</v>
      </c>
      <c r="C6404" s="1">
        <f>(Tabela1[[#This Row],[x]]-H$3)*(Tabela1[[#This Row],[x]]-H$3) +(Tabela1[[#This Row],[y]]-H$4)*(Tabela1[[#This Row],[y]]-H$4)</f>
        <v>1745</v>
      </c>
      <c r="D6404" s="1">
        <f>IF(Tabela1[[#This Row],[promien]]&lt;40000,1,0)</f>
        <v>1</v>
      </c>
      <c r="E6404" s="1">
        <f>IF(Tabela1[[#This Row],[promien]]=40000,1,0)</f>
        <v>0</v>
      </c>
      <c r="F6404" s="1">
        <v>3.1717676452217365</v>
      </c>
      <c r="G6404" s="1">
        <v>3.0174991631943371E-2</v>
      </c>
    </row>
    <row r="6405" spans="1:7">
      <c r="A6405">
        <v>33</v>
      </c>
      <c r="B6405">
        <v>342</v>
      </c>
      <c r="C6405" s="1">
        <f>(Tabela1[[#This Row],[x]]-H$3)*(Tabela1[[#This Row],[x]]-H$3) +(Tabela1[[#This Row],[y]]-H$4)*(Tabela1[[#This Row],[y]]-H$4)</f>
        <v>48053</v>
      </c>
      <c r="D6405" s="1">
        <f>IF(Tabela1[[#This Row],[promien]]&lt;40000,1,0)</f>
        <v>0</v>
      </c>
      <c r="E6405" s="1">
        <f>IF(Tabela1[[#This Row],[promien]]=40000,1,0)</f>
        <v>0</v>
      </c>
      <c r="F6405" s="1">
        <v>3.1712724434035908</v>
      </c>
      <c r="G6405" s="1">
        <v>2.9679789813797708E-2</v>
      </c>
    </row>
    <row r="6406" spans="1:7">
      <c r="A6406">
        <v>286</v>
      </c>
      <c r="B6406">
        <v>62</v>
      </c>
      <c r="C6406" s="1">
        <f>(Tabela1[[#This Row],[x]]-H$3)*(Tabela1[[#This Row],[x]]-H$3) +(Tabela1[[#This Row],[y]]-H$4)*(Tabela1[[#This Row],[y]]-H$4)</f>
        <v>26440</v>
      </c>
      <c r="D6406" s="1">
        <f>IF(Tabela1[[#This Row],[promien]]&lt;40000,1,0)</f>
        <v>1</v>
      </c>
      <c r="E6406" s="1">
        <f>IF(Tabela1[[#This Row],[promien]]=40000,1,0)</f>
        <v>0</v>
      </c>
      <c r="F6406" s="1">
        <v>3.1714018108023727</v>
      </c>
      <c r="G6406" s="1">
        <v>2.9809157212579596E-2</v>
      </c>
    </row>
    <row r="6407" spans="1:7">
      <c r="A6407">
        <v>98</v>
      </c>
      <c r="B6407">
        <v>281</v>
      </c>
      <c r="C6407" s="1">
        <f>(Tabela1[[#This Row],[x]]-H$3)*(Tabela1[[#This Row],[x]]-H$3) +(Tabela1[[#This Row],[y]]-H$4)*(Tabela1[[#This Row],[y]]-H$4)</f>
        <v>16965</v>
      </c>
      <c r="D6407" s="1">
        <f>IF(Tabela1[[#This Row],[promien]]&lt;40000,1,0)</f>
        <v>1</v>
      </c>
      <c r="E6407" s="1">
        <f>IF(Tabela1[[#This Row],[promien]]=40000,1,0)</f>
        <v>0</v>
      </c>
      <c r="F6407" s="1">
        <v>3.1715311378180115</v>
      </c>
      <c r="G6407" s="1">
        <v>2.9938484228218432E-2</v>
      </c>
    </row>
    <row r="6408" spans="1:7">
      <c r="A6408">
        <v>13</v>
      </c>
      <c r="B6408">
        <v>67</v>
      </c>
      <c r="C6408" s="1">
        <f>(Tabela1[[#This Row],[x]]-H$3)*(Tabela1[[#This Row],[x]]-H$3) +(Tabela1[[#This Row],[y]]-H$4)*(Tabela1[[#This Row],[y]]-H$4)</f>
        <v>52658</v>
      </c>
      <c r="D6408" s="1">
        <f>IF(Tabela1[[#This Row],[promien]]&lt;40000,1,0)</f>
        <v>0</v>
      </c>
      <c r="E6408" s="1">
        <f>IF(Tabela1[[#This Row],[promien]]=40000,1,0)</f>
        <v>0</v>
      </c>
      <c r="F6408" s="1">
        <v>3.1710362047440701</v>
      </c>
      <c r="G6408" s="1">
        <v>2.9443551154276992E-2</v>
      </c>
    </row>
    <row r="6409" spans="1:7">
      <c r="A6409">
        <v>184</v>
      </c>
      <c r="B6409">
        <v>235</v>
      </c>
      <c r="C6409" s="1">
        <f>(Tabela1[[#This Row],[x]]-H$3)*(Tabela1[[#This Row],[x]]-H$3) +(Tabela1[[#This Row],[y]]-H$4)*(Tabela1[[#This Row],[y]]-H$4)</f>
        <v>1481</v>
      </c>
      <c r="D6409" s="1">
        <f>IF(Tabela1[[#This Row],[promien]]&lt;40000,1,0)</f>
        <v>1</v>
      </c>
      <c r="E6409" s="1">
        <f>IF(Tabela1[[#This Row],[promien]]=40000,1,0)</f>
        <v>0</v>
      </c>
      <c r="F6409" s="1">
        <v>3.1711655484474957</v>
      </c>
      <c r="G6409" s="1">
        <v>2.9572894857702536E-2</v>
      </c>
    </row>
    <row r="6410" spans="1:7">
      <c r="A6410">
        <v>47</v>
      </c>
      <c r="B6410">
        <v>192</v>
      </c>
      <c r="C6410" s="1">
        <f>(Tabela1[[#This Row],[x]]-H$3)*(Tabela1[[#This Row],[x]]-H$3) +(Tabela1[[#This Row],[y]]-H$4)*(Tabela1[[#This Row],[y]]-H$4)</f>
        <v>23473</v>
      </c>
      <c r="D6410" s="1">
        <f>IF(Tabela1[[#This Row],[promien]]&lt;40000,1,0)</f>
        <v>1</v>
      </c>
      <c r="E6410" s="1">
        <f>IF(Tabela1[[#This Row],[promien]]=40000,1,0)</f>
        <v>0</v>
      </c>
      <c r="F6410" s="1">
        <v>3.1712948517940718</v>
      </c>
      <c r="G6410" s="1">
        <v>2.9702198204278663E-2</v>
      </c>
    </row>
    <row r="6411" spans="1:7">
      <c r="A6411">
        <v>226</v>
      </c>
      <c r="B6411">
        <v>314</v>
      </c>
      <c r="C6411" s="1">
        <f>(Tabela1[[#This Row],[x]]-H$3)*(Tabela1[[#This Row],[x]]-H$3) +(Tabela1[[#This Row],[y]]-H$4)*(Tabela1[[#This Row],[y]]-H$4)</f>
        <v>13672</v>
      </c>
      <c r="D6411" s="1">
        <f>IF(Tabela1[[#This Row],[promien]]&lt;40000,1,0)</f>
        <v>1</v>
      </c>
      <c r="E6411" s="1">
        <f>IF(Tabela1[[#This Row],[promien]]=40000,1,0)</f>
        <v>0</v>
      </c>
      <c r="F6411" s="1">
        <v>3.1714241148026829</v>
      </c>
      <c r="G6411" s="1">
        <v>2.983146121288982E-2</v>
      </c>
    </row>
    <row r="6412" spans="1:7">
      <c r="A6412">
        <v>249</v>
      </c>
      <c r="B6412">
        <v>224</v>
      </c>
      <c r="C6412" s="1">
        <f>(Tabela1[[#This Row],[x]]-H$3)*(Tabela1[[#This Row],[x]]-H$3) +(Tabela1[[#This Row],[y]]-H$4)*(Tabela1[[#This Row],[y]]-H$4)</f>
        <v>2977</v>
      </c>
      <c r="D6412" s="1">
        <f>IF(Tabela1[[#This Row],[promien]]&lt;40000,1,0)</f>
        <v>1</v>
      </c>
      <c r="E6412" s="1">
        <f>IF(Tabela1[[#This Row],[promien]]=40000,1,0)</f>
        <v>0</v>
      </c>
      <c r="F6412" s="1">
        <v>3.171553337492202</v>
      </c>
      <c r="G6412" s="1">
        <v>2.9960683902408913E-2</v>
      </c>
    </row>
    <row r="6413" spans="1:7">
      <c r="A6413">
        <v>372</v>
      </c>
      <c r="B6413">
        <v>3</v>
      </c>
      <c r="C6413" s="1">
        <f>(Tabela1[[#This Row],[x]]-H$3)*(Tabela1[[#This Row],[x]]-H$3) +(Tabela1[[#This Row],[y]]-H$4)*(Tabela1[[#This Row],[y]]-H$4)</f>
        <v>68393</v>
      </c>
      <c r="D6413" s="1">
        <f>IF(Tabela1[[#This Row],[promien]]&lt;40000,1,0)</f>
        <v>0</v>
      </c>
      <c r="E6413" s="1">
        <f>IF(Tabela1[[#This Row],[promien]]=40000,1,0)</f>
        <v>0</v>
      </c>
      <c r="F6413" s="1">
        <v>3.1710587868392328</v>
      </c>
      <c r="G6413" s="1">
        <v>2.9466133249439697E-2</v>
      </c>
    </row>
    <row r="6414" spans="1:7">
      <c r="A6414">
        <v>222</v>
      </c>
      <c r="B6414">
        <v>67</v>
      </c>
      <c r="C6414" s="1">
        <f>(Tabela1[[#This Row],[x]]-H$3)*(Tabela1[[#This Row],[x]]-H$3) +(Tabela1[[#This Row],[y]]-H$4)*(Tabela1[[#This Row],[y]]-H$4)</f>
        <v>18173</v>
      </c>
      <c r="D6414" s="1">
        <f>IF(Tabela1[[#This Row],[promien]]&lt;40000,1,0)</f>
        <v>1</v>
      </c>
      <c r="E6414" s="1">
        <f>IF(Tabela1[[#This Row],[promien]]=40000,1,0)</f>
        <v>0</v>
      </c>
      <c r="F6414" s="1">
        <v>3.1711880261927035</v>
      </c>
      <c r="G6414" s="1">
        <v>2.9595372602910341E-2</v>
      </c>
    </row>
    <row r="6415" spans="1:7">
      <c r="A6415">
        <v>135</v>
      </c>
      <c r="B6415">
        <v>104</v>
      </c>
      <c r="C6415" s="1">
        <f>(Tabela1[[#This Row],[x]]-H$3)*(Tabela1[[#This Row],[x]]-H$3) +(Tabela1[[#This Row],[y]]-H$4)*(Tabela1[[#This Row],[y]]-H$4)</f>
        <v>13441</v>
      </c>
      <c r="D6415" s="1">
        <f>IF(Tabela1[[#This Row],[promien]]&lt;40000,1,0)</f>
        <v>1</v>
      </c>
      <c r="E6415" s="1">
        <f>IF(Tabela1[[#This Row],[promien]]=40000,1,0)</f>
        <v>0</v>
      </c>
      <c r="F6415" s="1">
        <v>3.1713172252533126</v>
      </c>
      <c r="G6415" s="1">
        <v>2.9724571663519495E-2</v>
      </c>
    </row>
    <row r="6416" spans="1:7">
      <c r="A6416">
        <v>94</v>
      </c>
      <c r="B6416">
        <v>286</v>
      </c>
      <c r="C6416" s="1">
        <f>(Tabela1[[#This Row],[x]]-H$3)*(Tabela1[[#This Row],[x]]-H$3) +(Tabela1[[#This Row],[y]]-H$4)*(Tabela1[[#This Row],[y]]-H$4)</f>
        <v>18632</v>
      </c>
      <c r="D6416" s="1">
        <f>IF(Tabela1[[#This Row],[promien]]&lt;40000,1,0)</f>
        <v>1</v>
      </c>
      <c r="E6416" s="1">
        <f>IF(Tabela1[[#This Row],[promien]]=40000,1,0)</f>
        <v>0</v>
      </c>
      <c r="F6416" s="1">
        <v>3.1714463840399003</v>
      </c>
      <c r="G6416" s="1">
        <v>2.9853730450107197E-2</v>
      </c>
    </row>
    <row r="6417" spans="1:7">
      <c r="A6417">
        <v>237</v>
      </c>
      <c r="B6417">
        <v>237</v>
      </c>
      <c r="C6417" s="1">
        <f>(Tabela1[[#This Row],[x]]-H$3)*(Tabela1[[#This Row],[x]]-H$3) +(Tabela1[[#This Row],[y]]-H$4)*(Tabela1[[#This Row],[y]]-H$4)</f>
        <v>2738</v>
      </c>
      <c r="D6417" s="1">
        <f>IF(Tabela1[[#This Row],[promien]]&lt;40000,1,0)</f>
        <v>1</v>
      </c>
      <c r="E6417" s="1">
        <f>IF(Tabela1[[#This Row],[promien]]=40000,1,0)</f>
        <v>0</v>
      </c>
      <c r="F6417" s="1">
        <v>3.1715755025712951</v>
      </c>
      <c r="G6417" s="1">
        <v>2.9982848981501942E-2</v>
      </c>
    </row>
    <row r="6418" spans="1:7">
      <c r="A6418">
        <v>67</v>
      </c>
      <c r="B6418">
        <v>132</v>
      </c>
      <c r="C6418" s="1">
        <f>(Tabela1[[#This Row],[x]]-H$3)*(Tabela1[[#This Row],[x]]-H$3) +(Tabela1[[#This Row],[y]]-H$4)*(Tabela1[[#This Row],[y]]-H$4)</f>
        <v>22313</v>
      </c>
      <c r="D6418" s="1">
        <f>IF(Tabela1[[#This Row],[promien]]&lt;40000,1,0)</f>
        <v>1</v>
      </c>
      <c r="E6418" s="1">
        <f>IF(Tabela1[[#This Row],[promien]]=40000,1,0)</f>
        <v>0</v>
      </c>
      <c r="F6418" s="1">
        <v>3.1717045808663133</v>
      </c>
      <c r="G6418" s="1">
        <v>3.0111927276520234E-2</v>
      </c>
    </row>
    <row r="6419" spans="1:7">
      <c r="A6419">
        <v>141</v>
      </c>
      <c r="B6419">
        <v>333</v>
      </c>
      <c r="C6419" s="1">
        <f>(Tabela1[[#This Row],[x]]-H$3)*(Tabela1[[#This Row],[x]]-H$3) +(Tabela1[[#This Row],[y]]-H$4)*(Tabela1[[#This Row],[y]]-H$4)</f>
        <v>21170</v>
      </c>
      <c r="D6419" s="1">
        <f>IF(Tabela1[[#This Row],[promien]]&lt;40000,1,0)</f>
        <v>1</v>
      </c>
      <c r="E6419" s="1">
        <f>IF(Tabela1[[#This Row],[promien]]=40000,1,0)</f>
        <v>0</v>
      </c>
      <c r="F6419" s="1">
        <v>3.1718336189437606</v>
      </c>
      <c r="G6419" s="1">
        <v>3.0240965353967475E-2</v>
      </c>
    </row>
    <row r="6420" spans="1:7">
      <c r="A6420">
        <v>10</v>
      </c>
      <c r="B6420">
        <v>38</v>
      </c>
      <c r="C6420" s="1">
        <f>(Tabela1[[#This Row],[x]]-H$3)*(Tabela1[[#This Row],[x]]-H$3) +(Tabela1[[#This Row],[y]]-H$4)*(Tabela1[[#This Row],[y]]-H$4)</f>
        <v>62344</v>
      </c>
      <c r="D6420" s="1">
        <f>IF(Tabela1[[#This Row],[promien]]&lt;40000,1,0)</f>
        <v>0</v>
      </c>
      <c r="E6420" s="1">
        <f>IF(Tabela1[[#This Row],[promien]]=40000,1,0)</f>
        <v>0</v>
      </c>
      <c r="F6420" s="1">
        <v>3.1713395638629285</v>
      </c>
      <c r="G6420" s="1">
        <v>2.9746910273135363E-2</v>
      </c>
    </row>
    <row r="6421" spans="1:7">
      <c r="A6421">
        <v>312</v>
      </c>
      <c r="B6421">
        <v>155</v>
      </c>
      <c r="C6421" s="1">
        <f>(Tabela1[[#This Row],[x]]-H$3)*(Tabela1[[#This Row],[x]]-H$3) +(Tabela1[[#This Row],[y]]-H$4)*(Tabela1[[#This Row],[y]]-H$4)</f>
        <v>14569</v>
      </c>
      <c r="D6421" s="1">
        <f>IF(Tabela1[[#This Row],[promien]]&lt;40000,1,0)</f>
        <v>1</v>
      </c>
      <c r="E6421" s="1">
        <f>IF(Tabela1[[#This Row],[promien]]=40000,1,0)</f>
        <v>0</v>
      </c>
      <c r="F6421" s="1">
        <v>3.1714686185952345</v>
      </c>
      <c r="G6421" s="1">
        <v>2.9875965005441429E-2</v>
      </c>
    </row>
    <row r="6422" spans="1:7">
      <c r="A6422">
        <v>261</v>
      </c>
      <c r="B6422">
        <v>92</v>
      </c>
      <c r="C6422" s="1">
        <f>(Tabela1[[#This Row],[x]]-H$3)*(Tabela1[[#This Row],[x]]-H$3) +(Tabela1[[#This Row],[y]]-H$4)*(Tabela1[[#This Row],[y]]-H$4)</f>
        <v>15385</v>
      </c>
      <c r="D6422" s="1">
        <f>IF(Tabela1[[#This Row],[promien]]&lt;40000,1,0)</f>
        <v>1</v>
      </c>
      <c r="E6422" s="1">
        <f>IF(Tabela1[[#This Row],[promien]]=40000,1,0)</f>
        <v>0</v>
      </c>
      <c r="F6422" s="1">
        <v>3.1715976331360949</v>
      </c>
      <c r="G6422" s="1">
        <v>3.0004979546301769E-2</v>
      </c>
    </row>
    <row r="6423" spans="1:7">
      <c r="A6423">
        <v>329</v>
      </c>
      <c r="B6423">
        <v>371</v>
      </c>
      <c r="C6423" s="1">
        <f>(Tabela1[[#This Row],[x]]-H$3)*(Tabela1[[#This Row],[x]]-H$3) +(Tabela1[[#This Row],[y]]-H$4)*(Tabela1[[#This Row],[y]]-H$4)</f>
        <v>45882</v>
      </c>
      <c r="D6423" s="1">
        <f>IF(Tabela1[[#This Row],[promien]]&lt;40000,1,0)</f>
        <v>0</v>
      </c>
      <c r="E6423" s="1">
        <f>IF(Tabela1[[#This Row],[promien]]=40000,1,0)</f>
        <v>0</v>
      </c>
      <c r="F6423" s="1">
        <v>3.1711038455550367</v>
      </c>
      <c r="G6423" s="1">
        <v>2.9511191965243544E-2</v>
      </c>
    </row>
    <row r="6424" spans="1:7">
      <c r="A6424">
        <v>36</v>
      </c>
      <c r="B6424">
        <v>373</v>
      </c>
      <c r="C6424" s="1">
        <f>(Tabela1[[#This Row],[x]]-H$3)*(Tabela1[[#This Row],[x]]-H$3) +(Tabela1[[#This Row],[y]]-H$4)*(Tabela1[[#This Row],[y]]-H$4)</f>
        <v>56825</v>
      </c>
      <c r="D6424" s="1">
        <f>IF(Tabela1[[#This Row],[promien]]&lt;40000,1,0)</f>
        <v>0</v>
      </c>
      <c r="E6424" s="1">
        <f>IF(Tabela1[[#This Row],[promien]]=40000,1,0)</f>
        <v>0</v>
      </c>
      <c r="F6424" s="1">
        <v>3.1706102117061019</v>
      </c>
      <c r="G6424" s="1">
        <v>2.9017558116308795E-2</v>
      </c>
    </row>
    <row r="6425" spans="1:7">
      <c r="A6425">
        <v>335</v>
      </c>
      <c r="B6425">
        <v>397</v>
      </c>
      <c r="C6425" s="1">
        <f>(Tabela1[[#This Row],[x]]-H$3)*(Tabela1[[#This Row],[x]]-H$3) +(Tabela1[[#This Row],[y]]-H$4)*(Tabela1[[#This Row],[y]]-H$4)</f>
        <v>57034</v>
      </c>
      <c r="D6425" s="1">
        <f>IF(Tabela1[[#This Row],[promien]]&lt;40000,1,0)</f>
        <v>0</v>
      </c>
      <c r="E6425" s="1">
        <f>IF(Tabela1[[#This Row],[promien]]=40000,1,0)</f>
        <v>0</v>
      </c>
      <c r="F6425" s="1">
        <v>3.1701167315175098</v>
      </c>
      <c r="G6425" s="1">
        <v>2.8524077927716718E-2</v>
      </c>
    </row>
    <row r="6426" spans="1:7">
      <c r="A6426">
        <v>186</v>
      </c>
      <c r="B6426">
        <v>205</v>
      </c>
      <c r="C6426" s="1">
        <f>(Tabela1[[#This Row],[x]]-H$3)*(Tabela1[[#This Row],[x]]-H$3) +(Tabela1[[#This Row],[y]]-H$4)*(Tabela1[[#This Row],[y]]-H$4)</f>
        <v>221</v>
      </c>
      <c r="D6426" s="1">
        <f>IF(Tabela1[[#This Row],[promien]]&lt;40000,1,0)</f>
        <v>1</v>
      </c>
      <c r="E6426" s="1">
        <f>IF(Tabela1[[#This Row],[promien]]=40000,1,0)</f>
        <v>0</v>
      </c>
      <c r="F6426" s="1">
        <v>3.1702458761282291</v>
      </c>
      <c r="G6426" s="1">
        <v>2.8653222538435941E-2</v>
      </c>
    </row>
    <row r="6427" spans="1:7">
      <c r="A6427">
        <v>155</v>
      </c>
      <c r="B6427">
        <v>191</v>
      </c>
      <c r="C6427" s="1">
        <f>(Tabela1[[#This Row],[x]]-H$3)*(Tabela1[[#This Row],[x]]-H$3) +(Tabela1[[#This Row],[y]]-H$4)*(Tabela1[[#This Row],[y]]-H$4)</f>
        <v>2106</v>
      </c>
      <c r="D6427" s="1">
        <f>IF(Tabela1[[#This Row],[promien]]&lt;40000,1,0)</f>
        <v>1</v>
      </c>
      <c r="E6427" s="1">
        <f>IF(Tabela1[[#This Row],[promien]]=40000,1,0)</f>
        <v>0</v>
      </c>
      <c r="F6427" s="1">
        <v>3.1703749805508012</v>
      </c>
      <c r="G6427" s="1">
        <v>2.8782326961008131E-2</v>
      </c>
    </row>
    <row r="6428" spans="1:7">
      <c r="A6428">
        <v>135</v>
      </c>
      <c r="B6428">
        <v>102</v>
      </c>
      <c r="C6428" s="1">
        <f>(Tabela1[[#This Row],[x]]-H$3)*(Tabela1[[#This Row],[x]]-H$3) +(Tabela1[[#This Row],[y]]-H$4)*(Tabela1[[#This Row],[y]]-H$4)</f>
        <v>13829</v>
      </c>
      <c r="D6428" s="1">
        <f>IF(Tabela1[[#This Row],[promien]]&lt;40000,1,0)</f>
        <v>1</v>
      </c>
      <c r="E6428" s="1">
        <f>IF(Tabela1[[#This Row],[promien]]=40000,1,0)</f>
        <v>0</v>
      </c>
      <c r="F6428" s="1">
        <v>3.1705040448039825</v>
      </c>
      <c r="G6428" s="1">
        <v>2.8911391214189397E-2</v>
      </c>
    </row>
    <row r="6429" spans="1:7">
      <c r="A6429">
        <v>383</v>
      </c>
      <c r="B6429">
        <v>289</v>
      </c>
      <c r="C6429" s="1">
        <f>(Tabela1[[#This Row],[x]]-H$3)*(Tabela1[[#This Row],[x]]-H$3) +(Tabela1[[#This Row],[y]]-H$4)*(Tabela1[[#This Row],[y]]-H$4)</f>
        <v>41410</v>
      </c>
      <c r="D6429" s="1">
        <f>IF(Tabela1[[#This Row],[promien]]&lt;40000,1,0)</f>
        <v>0</v>
      </c>
      <c r="E6429" s="1">
        <f>IF(Tabela1[[#This Row],[promien]]=40000,1,0)</f>
        <v>0</v>
      </c>
      <c r="F6429" s="1">
        <v>3.1700108881630116</v>
      </c>
      <c r="G6429" s="1">
        <v>2.8418234573218459E-2</v>
      </c>
    </row>
    <row r="6430" spans="1:7">
      <c r="A6430">
        <v>31</v>
      </c>
      <c r="B6430">
        <v>85</v>
      </c>
      <c r="C6430" s="1">
        <f>(Tabela1[[#This Row],[x]]-H$3)*(Tabela1[[#This Row],[x]]-H$3) +(Tabela1[[#This Row],[y]]-H$4)*(Tabela1[[#This Row],[y]]-H$4)</f>
        <v>41786</v>
      </c>
      <c r="D6430" s="1">
        <f>IF(Tabela1[[#This Row],[promien]]&lt;40000,1,0)</f>
        <v>0</v>
      </c>
      <c r="E6430" s="1">
        <f>IF(Tabela1[[#This Row],[promien]]=40000,1,0)</f>
        <v>0</v>
      </c>
      <c r="F6430" s="1">
        <v>3.1695178849144634</v>
      </c>
      <c r="G6430" s="1">
        <v>2.7925231324670285E-2</v>
      </c>
    </row>
    <row r="6431" spans="1:7">
      <c r="A6431">
        <v>226</v>
      </c>
      <c r="B6431">
        <v>191</v>
      </c>
      <c r="C6431" s="1">
        <f>(Tabela1[[#This Row],[x]]-H$3)*(Tabela1[[#This Row],[x]]-H$3) +(Tabela1[[#This Row],[y]]-H$4)*(Tabela1[[#This Row],[y]]-H$4)</f>
        <v>757</v>
      </c>
      <c r="D6431" s="1">
        <f>IF(Tabela1[[#This Row],[promien]]&lt;40000,1,0)</f>
        <v>1</v>
      </c>
      <c r="E6431" s="1">
        <f>IF(Tabela1[[#This Row],[promien]]=40000,1,0)</f>
        <v>0</v>
      </c>
      <c r="F6431" s="1">
        <v>3.169647022236044</v>
      </c>
      <c r="G6431" s="1">
        <v>2.8054368646250882E-2</v>
      </c>
    </row>
    <row r="6432" spans="1:7">
      <c r="A6432">
        <v>292</v>
      </c>
      <c r="B6432">
        <v>104</v>
      </c>
      <c r="C6432" s="1">
        <f>(Tabela1[[#This Row],[x]]-H$3)*(Tabela1[[#This Row],[x]]-H$3) +(Tabela1[[#This Row],[y]]-H$4)*(Tabela1[[#This Row],[y]]-H$4)</f>
        <v>17680</v>
      </c>
      <c r="D6432" s="1">
        <f>IF(Tabela1[[#This Row],[promien]]&lt;40000,1,0)</f>
        <v>1</v>
      </c>
      <c r="E6432" s="1">
        <f>IF(Tabela1[[#This Row],[promien]]=40000,1,0)</f>
        <v>0</v>
      </c>
      <c r="F6432" s="1">
        <v>3.169776119402985</v>
      </c>
      <c r="G6432" s="1">
        <v>2.8183465813191866E-2</v>
      </c>
    </row>
    <row r="6433" spans="1:7">
      <c r="A6433">
        <v>156</v>
      </c>
      <c r="B6433">
        <v>48</v>
      </c>
      <c r="C6433" s="1">
        <f>(Tabela1[[#This Row],[x]]-H$3)*(Tabela1[[#This Row],[x]]-H$3) +(Tabela1[[#This Row],[y]]-H$4)*(Tabela1[[#This Row],[y]]-H$4)</f>
        <v>25040</v>
      </c>
      <c r="D6433" s="1">
        <f>IF(Tabela1[[#This Row],[promien]]&lt;40000,1,0)</f>
        <v>1</v>
      </c>
      <c r="E6433" s="1">
        <f>IF(Tabela1[[#This Row],[promien]]=40000,1,0)</f>
        <v>0</v>
      </c>
      <c r="F6433" s="1">
        <v>3.1699051764340123</v>
      </c>
      <c r="G6433" s="1">
        <v>2.8312522844219146E-2</v>
      </c>
    </row>
    <row r="6434" spans="1:7">
      <c r="A6434">
        <v>331</v>
      </c>
      <c r="B6434">
        <v>6</v>
      </c>
      <c r="C6434" s="1">
        <f>(Tabela1[[#This Row],[x]]-H$3)*(Tabela1[[#This Row],[x]]-H$3) +(Tabela1[[#This Row],[y]]-H$4)*(Tabela1[[#This Row],[y]]-H$4)</f>
        <v>54797</v>
      </c>
      <c r="D6434" s="1">
        <f>IF(Tabela1[[#This Row],[promien]]&lt;40000,1,0)</f>
        <v>0</v>
      </c>
      <c r="E6434" s="1">
        <f>IF(Tabela1[[#This Row],[promien]]=40000,1,0)</f>
        <v>0</v>
      </c>
      <c r="F6434" s="1">
        <v>3.1694124961143921</v>
      </c>
      <c r="G6434" s="1">
        <v>2.7819842524599014E-2</v>
      </c>
    </row>
    <row r="6435" spans="1:7">
      <c r="A6435">
        <v>232</v>
      </c>
      <c r="B6435">
        <v>146</v>
      </c>
      <c r="C6435" s="1">
        <f>(Tabela1[[#This Row],[x]]-H$3)*(Tabela1[[#This Row],[x]]-H$3) +(Tabela1[[#This Row],[y]]-H$4)*(Tabela1[[#This Row],[y]]-H$4)</f>
        <v>3940</v>
      </c>
      <c r="D6435" s="1">
        <f>IF(Tabela1[[#This Row],[promien]]&lt;40000,1,0)</f>
        <v>1</v>
      </c>
      <c r="E6435" s="1">
        <f>IF(Tabela1[[#This Row],[promien]]=40000,1,0)</f>
        <v>0</v>
      </c>
      <c r="F6435" s="1">
        <v>3.1695415695415696</v>
      </c>
      <c r="G6435" s="1">
        <v>2.794891595177651E-2</v>
      </c>
    </row>
    <row r="6436" spans="1:7">
      <c r="A6436">
        <v>47</v>
      </c>
      <c r="B6436">
        <v>124</v>
      </c>
      <c r="C6436" s="1">
        <f>(Tabela1[[#This Row],[x]]-H$3)*(Tabela1[[#This Row],[x]]-H$3) +(Tabela1[[#This Row],[y]]-H$4)*(Tabela1[[#This Row],[y]]-H$4)</f>
        <v>29185</v>
      </c>
      <c r="D6436" s="1">
        <f>IF(Tabela1[[#This Row],[promien]]&lt;40000,1,0)</f>
        <v>1</v>
      </c>
      <c r="E6436" s="1">
        <f>IF(Tabela1[[#This Row],[promien]]=40000,1,0)</f>
        <v>0</v>
      </c>
      <c r="F6436" s="1">
        <v>3.1696706028589188</v>
      </c>
      <c r="G6436" s="1">
        <v>2.8077949269125657E-2</v>
      </c>
    </row>
    <row r="6437" spans="1:7">
      <c r="A6437">
        <v>19</v>
      </c>
      <c r="B6437">
        <v>356</v>
      </c>
      <c r="C6437" s="1">
        <f>(Tabela1[[#This Row],[x]]-H$3)*(Tabela1[[#This Row],[x]]-H$3) +(Tabela1[[#This Row],[y]]-H$4)*(Tabela1[[#This Row],[y]]-H$4)</f>
        <v>57097</v>
      </c>
      <c r="D6437" s="1">
        <f>IF(Tabela1[[#This Row],[promien]]&lt;40000,1,0)</f>
        <v>0</v>
      </c>
      <c r="E6437" s="1">
        <f>IF(Tabela1[[#This Row],[promien]]=40000,1,0)</f>
        <v>0</v>
      </c>
      <c r="F6437" s="1">
        <v>3.1691781885971726</v>
      </c>
      <c r="G6437" s="1">
        <v>2.758553500737948E-2</v>
      </c>
    </row>
    <row r="6438" spans="1:7">
      <c r="A6438">
        <v>84</v>
      </c>
      <c r="B6438">
        <v>128</v>
      </c>
      <c r="C6438" s="1">
        <f>(Tabela1[[#This Row],[x]]-H$3)*(Tabela1[[#This Row],[x]]-H$3) +(Tabela1[[#This Row],[y]]-H$4)*(Tabela1[[#This Row],[y]]-H$4)</f>
        <v>18640</v>
      </c>
      <c r="D6438" s="1">
        <f>IF(Tabela1[[#This Row],[promien]]&lt;40000,1,0)</f>
        <v>1</v>
      </c>
      <c r="E6438" s="1">
        <f>IF(Tabela1[[#This Row],[promien]]=40000,1,0)</f>
        <v>0</v>
      </c>
      <c r="F6438" s="1">
        <v>3.1693072382727556</v>
      </c>
      <c r="G6438" s="1">
        <v>2.7714584682962506E-2</v>
      </c>
    </row>
    <row r="6439" spans="1:7">
      <c r="A6439">
        <v>166</v>
      </c>
      <c r="B6439">
        <v>379</v>
      </c>
      <c r="C6439" s="1">
        <f>(Tabela1[[#This Row],[x]]-H$3)*(Tabela1[[#This Row],[x]]-H$3) +(Tabela1[[#This Row],[y]]-H$4)*(Tabela1[[#This Row],[y]]-H$4)</f>
        <v>33197</v>
      </c>
      <c r="D6439" s="1">
        <f>IF(Tabela1[[#This Row],[promien]]&lt;40000,1,0)</f>
        <v>1</v>
      </c>
      <c r="E6439" s="1">
        <f>IF(Tabela1[[#This Row],[promien]]=40000,1,0)</f>
        <v>0</v>
      </c>
      <c r="F6439" s="1">
        <v>3.1694362478645752</v>
      </c>
      <c r="G6439" s="1">
        <v>2.7843594274782113E-2</v>
      </c>
    </row>
    <row r="6440" spans="1:7">
      <c r="A6440">
        <v>149</v>
      </c>
      <c r="B6440">
        <v>59</v>
      </c>
      <c r="C6440" s="1">
        <f>(Tabela1[[#This Row],[x]]-H$3)*(Tabela1[[#This Row],[x]]-H$3) +(Tabela1[[#This Row],[y]]-H$4)*(Tabela1[[#This Row],[y]]-H$4)</f>
        <v>22482</v>
      </c>
      <c r="D6440" s="1">
        <f>IF(Tabela1[[#This Row],[promien]]&lt;40000,1,0)</f>
        <v>1</v>
      </c>
      <c r="E6440" s="1">
        <f>IF(Tabela1[[#This Row],[promien]]=40000,1,0)</f>
        <v>0</v>
      </c>
      <c r="F6440" s="1">
        <v>3.1695652173913045</v>
      </c>
      <c r="G6440" s="1">
        <v>2.7972563801511363E-2</v>
      </c>
    </row>
    <row r="6441" spans="1:7">
      <c r="A6441">
        <v>19</v>
      </c>
      <c r="B6441">
        <v>167</v>
      </c>
      <c r="C6441" s="1">
        <f>(Tabela1[[#This Row],[x]]-H$3)*(Tabela1[[#This Row],[x]]-H$3) +(Tabela1[[#This Row],[y]]-H$4)*(Tabela1[[#This Row],[y]]-H$4)</f>
        <v>33850</v>
      </c>
      <c r="D6441" s="1">
        <f>IF(Tabela1[[#This Row],[promien]]&lt;40000,1,0)</f>
        <v>1</v>
      </c>
      <c r="E6441" s="1">
        <f>IF(Tabela1[[#This Row],[promien]]=40000,1,0)</f>
        <v>0</v>
      </c>
      <c r="F6441" s="1">
        <v>3.169694146871604</v>
      </c>
      <c r="G6441" s="1">
        <v>2.8101493281810885E-2</v>
      </c>
    </row>
    <row r="6442" spans="1:7">
      <c r="A6442">
        <v>175</v>
      </c>
      <c r="B6442">
        <v>64</v>
      </c>
      <c r="C6442" s="1">
        <f>(Tabela1[[#This Row],[x]]-H$3)*(Tabela1[[#This Row],[x]]-H$3) +(Tabela1[[#This Row],[y]]-H$4)*(Tabela1[[#This Row],[y]]-H$4)</f>
        <v>19121</v>
      </c>
      <c r="D6442" s="1">
        <f>IF(Tabela1[[#This Row],[promien]]&lt;40000,1,0)</f>
        <v>1</v>
      </c>
      <c r="E6442" s="1">
        <f>IF(Tabela1[[#This Row],[promien]]=40000,1,0)</f>
        <v>0</v>
      </c>
      <c r="F6442" s="1">
        <v>3.1698230363241229</v>
      </c>
      <c r="G6442" s="1">
        <v>2.8230382734329762E-2</v>
      </c>
    </row>
    <row r="6443" spans="1:7">
      <c r="A6443">
        <v>266</v>
      </c>
      <c r="B6443">
        <v>153</v>
      </c>
      <c r="C6443" s="1">
        <f>(Tabela1[[#This Row],[x]]-H$3)*(Tabela1[[#This Row],[x]]-H$3) +(Tabela1[[#This Row],[y]]-H$4)*(Tabela1[[#This Row],[y]]-H$4)</f>
        <v>6565</v>
      </c>
      <c r="D6443" s="1">
        <f>IF(Tabela1[[#This Row],[promien]]&lt;40000,1,0)</f>
        <v>1</v>
      </c>
      <c r="E6443" s="1">
        <f>IF(Tabela1[[#This Row],[promien]]=40000,1,0)</f>
        <v>0</v>
      </c>
      <c r="F6443" s="1">
        <v>3.1699518857674995</v>
      </c>
      <c r="G6443" s="1">
        <v>2.8359232177706417E-2</v>
      </c>
    </row>
    <row r="6444" spans="1:7">
      <c r="A6444">
        <v>202</v>
      </c>
      <c r="B6444">
        <v>37</v>
      </c>
      <c r="C6444" s="1">
        <f>(Tabela1[[#This Row],[x]]-H$3)*(Tabela1[[#This Row],[x]]-H$3) +(Tabela1[[#This Row],[y]]-H$4)*(Tabela1[[#This Row],[y]]-H$4)</f>
        <v>26573</v>
      </c>
      <c r="D6444" s="1">
        <f>IF(Tabela1[[#This Row],[promien]]&lt;40000,1,0)</f>
        <v>1</v>
      </c>
      <c r="E6444" s="1">
        <f>IF(Tabela1[[#This Row],[promien]]=40000,1,0)</f>
        <v>0</v>
      </c>
      <c r="F6444" s="1">
        <v>3.17008069522036</v>
      </c>
      <c r="G6444" s="1">
        <v>2.848804163056684E-2</v>
      </c>
    </row>
    <row r="6445" spans="1:7">
      <c r="A6445">
        <v>233</v>
      </c>
      <c r="B6445">
        <v>236</v>
      </c>
      <c r="C6445" s="1">
        <f>(Tabela1[[#This Row],[x]]-H$3)*(Tabela1[[#This Row],[x]]-H$3) +(Tabela1[[#This Row],[y]]-H$4)*(Tabela1[[#This Row],[y]]-H$4)</f>
        <v>2385</v>
      </c>
      <c r="D6445" s="1">
        <f>IF(Tabela1[[#This Row],[promien]]&lt;40000,1,0)</f>
        <v>1</v>
      </c>
      <c r="E6445" s="1">
        <f>IF(Tabela1[[#This Row],[promien]]=40000,1,0)</f>
        <v>0</v>
      </c>
      <c r="F6445" s="1">
        <v>3.170209464701319</v>
      </c>
      <c r="G6445" s="1">
        <v>2.8616811111525919E-2</v>
      </c>
    </row>
    <row r="6446" spans="1:7">
      <c r="A6446">
        <v>249</v>
      </c>
      <c r="B6446">
        <v>184</v>
      </c>
      <c r="C6446" s="1">
        <f>(Tabela1[[#This Row],[x]]-H$3)*(Tabela1[[#This Row],[x]]-H$3) +(Tabela1[[#This Row],[y]]-H$4)*(Tabela1[[#This Row],[y]]-H$4)</f>
        <v>2657</v>
      </c>
      <c r="D6446" s="1">
        <f>IF(Tabela1[[#This Row],[promien]]&lt;40000,1,0)</f>
        <v>1</v>
      </c>
      <c r="E6446" s="1">
        <f>IF(Tabela1[[#This Row],[promien]]=40000,1,0)</f>
        <v>0</v>
      </c>
      <c r="F6446" s="1">
        <v>3.1703381942289792</v>
      </c>
      <c r="G6446" s="1">
        <v>2.8745540639186107E-2</v>
      </c>
    </row>
    <row r="6447" spans="1:7">
      <c r="A6447">
        <v>130</v>
      </c>
      <c r="B6447">
        <v>170</v>
      </c>
      <c r="C6447" s="1">
        <f>(Tabela1[[#This Row],[x]]-H$3)*(Tabela1[[#This Row],[x]]-H$3) +(Tabela1[[#This Row],[y]]-H$4)*(Tabela1[[#This Row],[y]]-H$4)</f>
        <v>5800</v>
      </c>
      <c r="D6447" s="1">
        <f>IF(Tabela1[[#This Row],[promien]]&lt;40000,1,0)</f>
        <v>1</v>
      </c>
      <c r="E6447" s="1">
        <f>IF(Tabela1[[#This Row],[promien]]=40000,1,0)</f>
        <v>0</v>
      </c>
      <c r="F6447" s="1">
        <v>3.1704668838219328</v>
      </c>
      <c r="G6447" s="1">
        <v>2.8874230232139642E-2</v>
      </c>
    </row>
    <row r="6448" spans="1:7">
      <c r="A6448">
        <v>243</v>
      </c>
      <c r="B6448">
        <v>304</v>
      </c>
      <c r="C6448" s="1">
        <f>(Tabela1[[#This Row],[x]]-H$3)*(Tabela1[[#This Row],[x]]-H$3) +(Tabela1[[#This Row],[y]]-H$4)*(Tabela1[[#This Row],[y]]-H$4)</f>
        <v>12665</v>
      </c>
      <c r="D6448" s="1">
        <f>IF(Tabela1[[#This Row],[promien]]&lt;40000,1,0)</f>
        <v>1</v>
      </c>
      <c r="E6448" s="1">
        <f>IF(Tabela1[[#This Row],[promien]]=40000,1,0)</f>
        <v>0</v>
      </c>
      <c r="F6448" s="1">
        <v>3.1705955334987594</v>
      </c>
      <c r="G6448" s="1">
        <v>2.9002879908966328E-2</v>
      </c>
    </row>
    <row r="6449" spans="1:7">
      <c r="A6449">
        <v>226</v>
      </c>
      <c r="B6449">
        <v>90</v>
      </c>
      <c r="C6449" s="1">
        <f>(Tabela1[[#This Row],[x]]-H$3)*(Tabela1[[#This Row],[x]]-H$3) +(Tabela1[[#This Row],[y]]-H$4)*(Tabela1[[#This Row],[y]]-H$4)</f>
        <v>12776</v>
      </c>
      <c r="D6449" s="1">
        <f>IF(Tabela1[[#This Row],[promien]]&lt;40000,1,0)</f>
        <v>1</v>
      </c>
      <c r="E6449" s="1">
        <f>IF(Tabela1[[#This Row],[promien]]=40000,1,0)</f>
        <v>0</v>
      </c>
      <c r="F6449" s="1">
        <v>3.1707241432780275</v>
      </c>
      <c r="G6449" s="1">
        <v>2.9131489688234424E-2</v>
      </c>
    </row>
    <row r="6450" spans="1:7">
      <c r="A6450">
        <v>9</v>
      </c>
      <c r="B6450">
        <v>400</v>
      </c>
      <c r="C6450" s="1">
        <f>(Tabela1[[#This Row],[x]]-H$3)*(Tabela1[[#This Row],[x]]-H$3) +(Tabela1[[#This Row],[y]]-H$4)*(Tabela1[[#This Row],[y]]-H$4)</f>
        <v>76481</v>
      </c>
      <c r="D6450" s="1">
        <f>IF(Tabela1[[#This Row],[promien]]&lt;40000,1,0)</f>
        <v>0</v>
      </c>
      <c r="E6450" s="1">
        <f>IF(Tabela1[[#This Row],[promien]]=40000,1,0)</f>
        <v>0</v>
      </c>
      <c r="F6450" s="1">
        <v>3.170232558139535</v>
      </c>
      <c r="G6450" s="1">
        <v>2.8639904549741857E-2</v>
      </c>
    </row>
    <row r="6451" spans="1:7">
      <c r="A6451">
        <v>42</v>
      </c>
      <c r="B6451">
        <v>132</v>
      </c>
      <c r="C6451" s="1">
        <f>(Tabela1[[#This Row],[x]]-H$3)*(Tabela1[[#This Row],[x]]-H$3) +(Tabela1[[#This Row],[y]]-H$4)*(Tabela1[[#This Row],[y]]-H$4)</f>
        <v>29588</v>
      </c>
      <c r="D6451" s="1">
        <f>IF(Tabela1[[#This Row],[promien]]&lt;40000,1,0)</f>
        <v>1</v>
      </c>
      <c r="E6451" s="1">
        <f>IF(Tabela1[[#This Row],[promien]]=40000,1,0)</f>
        <v>0</v>
      </c>
      <c r="F6451" s="1">
        <v>3.1703611843125099</v>
      </c>
      <c r="G6451" s="1">
        <v>2.876853072271679E-2</v>
      </c>
    </row>
    <row r="6452" spans="1:7">
      <c r="A6452">
        <v>180</v>
      </c>
      <c r="B6452">
        <v>328</v>
      </c>
      <c r="C6452" s="1">
        <f>(Tabela1[[#This Row],[x]]-H$3)*(Tabela1[[#This Row],[x]]-H$3) +(Tabela1[[#This Row],[y]]-H$4)*(Tabela1[[#This Row],[y]]-H$4)</f>
        <v>16784</v>
      </c>
      <c r="D6452" s="1">
        <f>IF(Tabela1[[#This Row],[promien]]&lt;40000,1,0)</f>
        <v>1</v>
      </c>
      <c r="E6452" s="1">
        <f>IF(Tabela1[[#This Row],[promien]]=40000,1,0)</f>
        <v>0</v>
      </c>
      <c r="F6452" s="1">
        <v>3.1704897706137634</v>
      </c>
      <c r="G6452" s="1">
        <v>2.8897117023970242E-2</v>
      </c>
    </row>
    <row r="6453" spans="1:7">
      <c r="A6453">
        <v>174</v>
      </c>
      <c r="B6453">
        <v>66</v>
      </c>
      <c r="C6453" s="1">
        <f>(Tabela1[[#This Row],[x]]-H$3)*(Tabela1[[#This Row],[x]]-H$3) +(Tabela1[[#This Row],[y]]-H$4)*(Tabela1[[#This Row],[y]]-H$4)</f>
        <v>18632</v>
      </c>
      <c r="D6453" s="1">
        <f>IF(Tabela1[[#This Row],[promien]]&lt;40000,1,0)</f>
        <v>1</v>
      </c>
      <c r="E6453" s="1">
        <f>IF(Tabela1[[#This Row],[promien]]=40000,1,0)</f>
        <v>0</v>
      </c>
      <c r="F6453" s="1">
        <v>3.1706183170618316</v>
      </c>
      <c r="G6453" s="1">
        <v>2.9025663472038499E-2</v>
      </c>
    </row>
    <row r="6454" spans="1:7">
      <c r="A6454">
        <v>93</v>
      </c>
      <c r="B6454">
        <v>165</v>
      </c>
      <c r="C6454" s="1">
        <f>(Tabela1[[#This Row],[x]]-H$3)*(Tabela1[[#This Row],[x]]-H$3) +(Tabela1[[#This Row],[y]]-H$4)*(Tabela1[[#This Row],[y]]-H$4)</f>
        <v>12674</v>
      </c>
      <c r="D6454" s="1">
        <f>IF(Tabela1[[#This Row],[promien]]&lt;40000,1,0)</f>
        <v>1</v>
      </c>
      <c r="E6454" s="1">
        <f>IF(Tabela1[[#This Row],[promien]]=40000,1,0)</f>
        <v>0</v>
      </c>
      <c r="F6454" s="1">
        <v>3.1707468236752403</v>
      </c>
      <c r="G6454" s="1">
        <v>2.9154170085447184E-2</v>
      </c>
    </row>
    <row r="6455" spans="1:7">
      <c r="A6455">
        <v>374</v>
      </c>
      <c r="B6455">
        <v>66</v>
      </c>
      <c r="C6455" s="1">
        <f>(Tabela1[[#This Row],[x]]-H$3)*(Tabela1[[#This Row],[x]]-H$3) +(Tabela1[[#This Row],[y]]-H$4)*(Tabela1[[#This Row],[y]]-H$4)</f>
        <v>48232</v>
      </c>
      <c r="D6455" s="1">
        <f>IF(Tabela1[[#This Row],[promien]]&lt;40000,1,0)</f>
        <v>0</v>
      </c>
      <c r="E6455" s="1">
        <f>IF(Tabela1[[#This Row],[promien]]=40000,1,0)</f>
        <v>0</v>
      </c>
      <c r="F6455" s="1">
        <v>3.1702556158017039</v>
      </c>
      <c r="G6455" s="1">
        <v>2.8662962211910781E-2</v>
      </c>
    </row>
    <row r="6456" spans="1:7">
      <c r="A6456">
        <v>123</v>
      </c>
      <c r="B6456">
        <v>65</v>
      </c>
      <c r="C6456" s="1">
        <f>(Tabela1[[#This Row],[x]]-H$3)*(Tabela1[[#This Row],[x]]-H$3) +(Tabela1[[#This Row],[y]]-H$4)*(Tabela1[[#This Row],[y]]-H$4)</f>
        <v>24154</v>
      </c>
      <c r="D6456" s="1">
        <f>IF(Tabela1[[#This Row],[promien]]&lt;40000,1,0)</f>
        <v>1</v>
      </c>
      <c r="E6456" s="1">
        <f>IF(Tabela1[[#This Row],[promien]]=40000,1,0)</f>
        <v>0</v>
      </c>
      <c r="F6456" s="1">
        <v>3.170384138785626</v>
      </c>
      <c r="G6456" s="1">
        <v>2.8791485195832855E-2</v>
      </c>
    </row>
    <row r="6457" spans="1:7">
      <c r="A6457">
        <v>67</v>
      </c>
      <c r="B6457">
        <v>259</v>
      </c>
      <c r="C6457" s="1">
        <f>(Tabela1[[#This Row],[x]]-H$3)*(Tabela1[[#This Row],[x]]-H$3) +(Tabela1[[#This Row],[y]]-H$4)*(Tabela1[[#This Row],[y]]-H$4)</f>
        <v>21170</v>
      </c>
      <c r="D6457" s="1">
        <f>IF(Tabela1[[#This Row],[promien]]&lt;40000,1,0)</f>
        <v>1</v>
      </c>
      <c r="E6457" s="1">
        <f>IF(Tabela1[[#This Row],[promien]]=40000,1,0)</f>
        <v>0</v>
      </c>
      <c r="F6457" s="1">
        <v>3.170512621960663</v>
      </c>
      <c r="G6457" s="1">
        <v>2.8919968370869853E-2</v>
      </c>
    </row>
    <row r="6458" spans="1:7">
      <c r="A6458">
        <v>320</v>
      </c>
      <c r="B6458">
        <v>366</v>
      </c>
      <c r="C6458" s="1">
        <f>(Tabela1[[#This Row],[x]]-H$3)*(Tabela1[[#This Row],[x]]-H$3) +(Tabela1[[#This Row],[y]]-H$4)*(Tabela1[[#This Row],[y]]-H$4)</f>
        <v>41956</v>
      </c>
      <c r="D6458" s="1">
        <f>IF(Tabela1[[#This Row],[promien]]&lt;40000,1,0)</f>
        <v>0</v>
      </c>
      <c r="E6458" s="1">
        <f>IF(Tabela1[[#This Row],[promien]]=40000,1,0)</f>
        <v>0</v>
      </c>
      <c r="F6458" s="1">
        <v>3.1700216785382471</v>
      </c>
      <c r="G6458" s="1">
        <v>2.8429024948454007E-2</v>
      </c>
    </row>
    <row r="6459" spans="1:7">
      <c r="A6459">
        <v>285</v>
      </c>
      <c r="B6459">
        <v>105</v>
      </c>
      <c r="C6459" s="1">
        <f>(Tabela1[[#This Row],[x]]-H$3)*(Tabela1[[#This Row],[x]]-H$3) +(Tabela1[[#This Row],[y]]-H$4)*(Tabela1[[#This Row],[y]]-H$4)</f>
        <v>16250</v>
      </c>
      <c r="D6459" s="1">
        <f>IF(Tabela1[[#This Row],[promien]]&lt;40000,1,0)</f>
        <v>1</v>
      </c>
      <c r="E6459" s="1">
        <f>IF(Tabela1[[#This Row],[promien]]=40000,1,0)</f>
        <v>0</v>
      </c>
      <c r="F6459" s="1">
        <v>3.170150178046137</v>
      </c>
      <c r="G6459" s="1">
        <v>2.8557524456343852E-2</v>
      </c>
    </row>
    <row r="6460" spans="1:7">
      <c r="A6460">
        <v>212</v>
      </c>
      <c r="B6460">
        <v>373</v>
      </c>
      <c r="C6460" s="1">
        <f>(Tabela1[[#This Row],[x]]-H$3)*(Tabela1[[#This Row],[x]]-H$3) +(Tabela1[[#This Row],[y]]-H$4)*(Tabela1[[#This Row],[y]]-H$4)</f>
        <v>30073</v>
      </c>
      <c r="D6460" s="1">
        <f>IF(Tabela1[[#This Row],[promien]]&lt;40000,1,0)</f>
        <v>1</v>
      </c>
      <c r="E6460" s="1">
        <f>IF(Tabela1[[#This Row],[promien]]=40000,1,0)</f>
        <v>0</v>
      </c>
      <c r="F6460" s="1">
        <v>3.170278637770898</v>
      </c>
      <c r="G6460" s="1">
        <v>2.8685984181104907E-2</v>
      </c>
    </row>
    <row r="6461" spans="1:7">
      <c r="A6461">
        <v>357</v>
      </c>
      <c r="B6461">
        <v>33</v>
      </c>
      <c r="C6461" s="1">
        <f>(Tabela1[[#This Row],[x]]-H$3)*(Tabela1[[#This Row],[x]]-H$3) +(Tabela1[[#This Row],[y]]-H$4)*(Tabela1[[#This Row],[y]]-H$4)</f>
        <v>52538</v>
      </c>
      <c r="D6461" s="1">
        <f>IF(Tabela1[[#This Row],[promien]]&lt;40000,1,0)</f>
        <v>0</v>
      </c>
      <c r="E6461" s="1">
        <f>IF(Tabela1[[#This Row],[promien]]=40000,1,0)</f>
        <v>0</v>
      </c>
      <c r="F6461" s="1">
        <v>3.1697879585203528</v>
      </c>
      <c r="G6461" s="1">
        <v>2.8195304930559661E-2</v>
      </c>
    </row>
    <row r="6462" spans="1:7">
      <c r="A6462">
        <v>255</v>
      </c>
      <c r="B6462">
        <v>92</v>
      </c>
      <c r="C6462" s="1">
        <f>(Tabela1[[#This Row],[x]]-H$3)*(Tabela1[[#This Row],[x]]-H$3) +(Tabela1[[#This Row],[y]]-H$4)*(Tabela1[[#This Row],[y]]-H$4)</f>
        <v>14689</v>
      </c>
      <c r="D6462" s="1">
        <f>IF(Tabela1[[#This Row],[promien]]&lt;40000,1,0)</f>
        <v>1</v>
      </c>
      <c r="E6462" s="1">
        <f>IF(Tabela1[[#This Row],[promien]]=40000,1,0)</f>
        <v>0</v>
      </c>
      <c r="F6462" s="1">
        <v>3.1699164345403901</v>
      </c>
      <c r="G6462" s="1">
        <v>2.8323780950596955E-2</v>
      </c>
    </row>
    <row r="6463" spans="1:7">
      <c r="A6463">
        <v>325</v>
      </c>
      <c r="B6463">
        <v>295</v>
      </c>
      <c r="C6463" s="1">
        <f>(Tabela1[[#This Row],[x]]-H$3)*(Tabela1[[#This Row],[x]]-H$3) +(Tabela1[[#This Row],[y]]-H$4)*(Tabela1[[#This Row],[y]]-H$4)</f>
        <v>24650</v>
      </c>
      <c r="D6463" s="1">
        <f>IF(Tabela1[[#This Row],[promien]]&lt;40000,1,0)</f>
        <v>1</v>
      </c>
      <c r="E6463" s="1">
        <f>IF(Tabela1[[#This Row],[promien]]=40000,1,0)</f>
        <v>0</v>
      </c>
      <c r="F6463" s="1">
        <v>3.1700448708030327</v>
      </c>
      <c r="G6463" s="1">
        <v>2.8452217213239539E-2</v>
      </c>
    </row>
    <row r="6464" spans="1:7">
      <c r="A6464">
        <v>134</v>
      </c>
      <c r="B6464">
        <v>153</v>
      </c>
      <c r="C6464" s="1">
        <f>(Tabela1[[#This Row],[x]]-H$3)*(Tabela1[[#This Row],[x]]-H$3) +(Tabela1[[#This Row],[y]]-H$4)*(Tabela1[[#This Row],[y]]-H$4)</f>
        <v>6565</v>
      </c>
      <c r="D6464" s="1">
        <f>IF(Tabela1[[#This Row],[promien]]&lt;40000,1,0)</f>
        <v>1</v>
      </c>
      <c r="E6464" s="1">
        <f>IF(Tabela1[[#This Row],[promien]]=40000,1,0)</f>
        <v>0</v>
      </c>
      <c r="F6464" s="1">
        <v>3.1701732673267329</v>
      </c>
      <c r="G6464" s="1">
        <v>2.8580613736939764E-2</v>
      </c>
    </row>
    <row r="6465" spans="1:7">
      <c r="A6465">
        <v>288</v>
      </c>
      <c r="B6465">
        <v>278</v>
      </c>
      <c r="C6465" s="1">
        <f>(Tabela1[[#This Row],[x]]-H$3)*(Tabela1[[#This Row],[x]]-H$3) +(Tabela1[[#This Row],[y]]-H$4)*(Tabela1[[#This Row],[y]]-H$4)</f>
        <v>13828</v>
      </c>
      <c r="D6465" s="1">
        <f>IF(Tabela1[[#This Row],[promien]]&lt;40000,1,0)</f>
        <v>1</v>
      </c>
      <c r="E6465" s="1">
        <f>IF(Tabela1[[#This Row],[promien]]=40000,1,0)</f>
        <v>0</v>
      </c>
      <c r="F6465" s="1">
        <v>3.1703016241299302</v>
      </c>
      <c r="G6465" s="1">
        <v>2.8708970540137102E-2</v>
      </c>
    </row>
    <row r="6466" spans="1:7">
      <c r="A6466">
        <v>180</v>
      </c>
      <c r="B6466">
        <v>286</v>
      </c>
      <c r="C6466" s="1">
        <f>(Tabela1[[#This Row],[x]]-H$3)*(Tabela1[[#This Row],[x]]-H$3) +(Tabela1[[#This Row],[y]]-H$4)*(Tabela1[[#This Row],[y]]-H$4)</f>
        <v>7796</v>
      </c>
      <c r="D6466" s="1">
        <f>IF(Tabela1[[#This Row],[promien]]&lt;40000,1,0)</f>
        <v>1</v>
      </c>
      <c r="E6466" s="1">
        <f>IF(Tabela1[[#This Row],[promien]]=40000,1,0)</f>
        <v>0</v>
      </c>
      <c r="F6466" s="1">
        <v>3.1704299412310548</v>
      </c>
      <c r="G6466" s="1">
        <v>2.88372876412617E-2</v>
      </c>
    </row>
    <row r="6467" spans="1:7">
      <c r="A6467">
        <v>306</v>
      </c>
      <c r="B6467">
        <v>145</v>
      </c>
      <c r="C6467" s="1">
        <f>(Tabela1[[#This Row],[x]]-H$3)*(Tabela1[[#This Row],[x]]-H$3) +(Tabela1[[#This Row],[y]]-H$4)*(Tabela1[[#This Row],[y]]-H$4)</f>
        <v>14261</v>
      </c>
      <c r="D6467" s="1">
        <f>IF(Tabela1[[#This Row],[promien]]&lt;40000,1,0)</f>
        <v>1</v>
      </c>
      <c r="E6467" s="1">
        <f>IF(Tabela1[[#This Row],[promien]]=40000,1,0)</f>
        <v>0</v>
      </c>
      <c r="F6467" s="1">
        <v>3.1705582186485231</v>
      </c>
      <c r="G6467" s="1">
        <v>2.8965565058729936E-2</v>
      </c>
    </row>
    <row r="6468" spans="1:7">
      <c r="A6468">
        <v>124</v>
      </c>
      <c r="B6468">
        <v>43</v>
      </c>
      <c r="C6468" s="1">
        <f>(Tabela1[[#This Row],[x]]-H$3)*(Tabela1[[#This Row],[x]]-H$3) +(Tabela1[[#This Row],[y]]-H$4)*(Tabela1[[#This Row],[y]]-H$4)</f>
        <v>30425</v>
      </c>
      <c r="D6468" s="1">
        <f>IF(Tabela1[[#This Row],[promien]]&lt;40000,1,0)</f>
        <v>1</v>
      </c>
      <c r="E6468" s="1">
        <f>IF(Tabela1[[#This Row],[promien]]=40000,1,0)</f>
        <v>0</v>
      </c>
      <c r="F6468" s="1">
        <v>3.170686456400742</v>
      </c>
      <c r="G6468" s="1">
        <v>2.9093802810948866E-2</v>
      </c>
    </row>
    <row r="6469" spans="1:7">
      <c r="A6469">
        <v>237</v>
      </c>
      <c r="B6469">
        <v>399</v>
      </c>
      <c r="C6469" s="1">
        <f>(Tabela1[[#This Row],[x]]-H$3)*(Tabela1[[#This Row],[x]]-H$3) +(Tabela1[[#This Row],[y]]-H$4)*(Tabela1[[#This Row],[y]]-H$4)</f>
        <v>40970</v>
      </c>
      <c r="D6469" s="1">
        <f>IF(Tabela1[[#This Row],[promien]]&lt;40000,1,0)</f>
        <v>0</v>
      </c>
      <c r="E6469" s="1">
        <f>IF(Tabela1[[#This Row],[promien]]=40000,1,0)</f>
        <v>0</v>
      </c>
      <c r="F6469" s="1">
        <v>3.1701963209151338</v>
      </c>
      <c r="G6469" s="1">
        <v>2.8603667325340698E-2</v>
      </c>
    </row>
    <row r="6470" spans="1:7">
      <c r="A6470">
        <v>247</v>
      </c>
      <c r="B6470">
        <v>4</v>
      </c>
      <c r="C6470" s="1">
        <f>(Tabela1[[#This Row],[x]]-H$3)*(Tabela1[[#This Row],[x]]-H$3) +(Tabela1[[#This Row],[y]]-H$4)*(Tabela1[[#This Row],[y]]-H$4)</f>
        <v>40625</v>
      </c>
      <c r="D6470" s="1">
        <f>IF(Tabela1[[#This Row],[promien]]&lt;40000,1,0)</f>
        <v>0</v>
      </c>
      <c r="E6470" s="1">
        <f>IF(Tabela1[[#This Row],[promien]]=40000,1,0)</f>
        <v>0</v>
      </c>
      <c r="F6470" s="1">
        <v>3.1697063369397216</v>
      </c>
      <c r="G6470" s="1">
        <v>2.8113683349928476E-2</v>
      </c>
    </row>
    <row r="6471" spans="1:7">
      <c r="A6471">
        <v>247</v>
      </c>
      <c r="B6471">
        <v>288</v>
      </c>
      <c r="C6471" s="1">
        <f>(Tabela1[[#This Row],[x]]-H$3)*(Tabela1[[#This Row],[x]]-H$3) +(Tabela1[[#This Row],[y]]-H$4)*(Tabela1[[#This Row],[y]]-H$4)</f>
        <v>9953</v>
      </c>
      <c r="D6471" s="1">
        <f>IF(Tabela1[[#This Row],[promien]]&lt;40000,1,0)</f>
        <v>1</v>
      </c>
      <c r="E6471" s="1">
        <f>IF(Tabela1[[#This Row],[promien]]=40000,1,0)</f>
        <v>0</v>
      </c>
      <c r="F6471" s="1">
        <v>3.1698346468861072</v>
      </c>
      <c r="G6471" s="1">
        <v>2.824199329631405E-2</v>
      </c>
    </row>
    <row r="6472" spans="1:7">
      <c r="A6472">
        <v>257</v>
      </c>
      <c r="B6472">
        <v>309</v>
      </c>
      <c r="C6472" s="1">
        <f>(Tabela1[[#This Row],[x]]-H$3)*(Tabela1[[#This Row],[x]]-H$3) +(Tabela1[[#This Row],[y]]-H$4)*(Tabela1[[#This Row],[y]]-H$4)</f>
        <v>15130</v>
      </c>
      <c r="D6472" s="1">
        <f>IF(Tabela1[[#This Row],[promien]]&lt;40000,1,0)</f>
        <v>1</v>
      </c>
      <c r="E6472" s="1">
        <f>IF(Tabela1[[#This Row],[promien]]=40000,1,0)</f>
        <v>0</v>
      </c>
      <c r="F6472" s="1">
        <v>3.1699629171817056</v>
      </c>
      <c r="G6472" s="1">
        <v>2.8370263591912526E-2</v>
      </c>
    </row>
    <row r="6473" spans="1:7">
      <c r="A6473">
        <v>382</v>
      </c>
      <c r="B6473">
        <v>192</v>
      </c>
      <c r="C6473" s="1">
        <f>(Tabela1[[#This Row],[x]]-H$3)*(Tabela1[[#This Row],[x]]-H$3) +(Tabela1[[#This Row],[y]]-H$4)*(Tabela1[[#This Row],[y]]-H$4)</f>
        <v>33188</v>
      </c>
      <c r="D6473" s="1">
        <f>IF(Tabela1[[#This Row],[promien]]&lt;40000,1,0)</f>
        <v>1</v>
      </c>
      <c r="E6473" s="1">
        <f>IF(Tabela1[[#This Row],[promien]]=40000,1,0)</f>
        <v>0</v>
      </c>
      <c r="F6473" s="1">
        <v>3.1700911478448943</v>
      </c>
      <c r="G6473" s="1">
        <v>2.8498494255101203E-2</v>
      </c>
    </row>
    <row r="6474" spans="1:7">
      <c r="A6474">
        <v>356</v>
      </c>
      <c r="B6474">
        <v>192</v>
      </c>
      <c r="C6474" s="1">
        <f>(Tabela1[[#This Row],[x]]-H$3)*(Tabela1[[#This Row],[x]]-H$3) +(Tabela1[[#This Row],[y]]-H$4)*(Tabela1[[#This Row],[y]]-H$4)</f>
        <v>24400</v>
      </c>
      <c r="D6474" s="1">
        <f>IF(Tabela1[[#This Row],[promien]]&lt;40000,1,0)</f>
        <v>1</v>
      </c>
      <c r="E6474" s="1">
        <f>IF(Tabela1[[#This Row],[promien]]=40000,1,0)</f>
        <v>0</v>
      </c>
      <c r="F6474" s="1">
        <v>3.1702193388940376</v>
      </c>
      <c r="G6474" s="1">
        <v>2.8626685304244504E-2</v>
      </c>
    </row>
    <row r="6475" spans="1:7">
      <c r="A6475">
        <v>265</v>
      </c>
      <c r="B6475">
        <v>1</v>
      </c>
      <c r="C6475" s="1">
        <f>(Tabela1[[#This Row],[x]]-H$3)*(Tabela1[[#This Row],[x]]-H$3) +(Tabela1[[#This Row],[y]]-H$4)*(Tabela1[[#This Row],[y]]-H$4)</f>
        <v>43826</v>
      </c>
      <c r="D6475" s="1">
        <f>IF(Tabela1[[#This Row],[promien]]&lt;40000,1,0)</f>
        <v>0</v>
      </c>
      <c r="E6475" s="1">
        <f>IF(Tabela1[[#This Row],[promien]]=40000,1,0)</f>
        <v>0</v>
      </c>
      <c r="F6475" s="1">
        <v>3.1697297297297298</v>
      </c>
      <c r="G6475" s="1">
        <v>2.8137076139936656E-2</v>
      </c>
    </row>
    <row r="6476" spans="1:7">
      <c r="A6476">
        <v>385</v>
      </c>
      <c r="B6476">
        <v>50</v>
      </c>
      <c r="C6476" s="1">
        <f>(Tabela1[[#This Row],[x]]-H$3)*(Tabela1[[#This Row],[x]]-H$3) +(Tabela1[[#This Row],[y]]-H$4)*(Tabela1[[#This Row],[y]]-H$4)</f>
        <v>56725</v>
      </c>
      <c r="D6476" s="1">
        <f>IF(Tabela1[[#This Row],[promien]]&lt;40000,1,0)</f>
        <v>0</v>
      </c>
      <c r="E6476" s="1">
        <f>IF(Tabela1[[#This Row],[promien]]=40000,1,0)</f>
        <v>0</v>
      </c>
      <c r="F6476" s="1">
        <v>3.1692402717726993</v>
      </c>
      <c r="G6476" s="1">
        <v>2.7647618182906175E-2</v>
      </c>
    </row>
    <row r="6477" spans="1:7">
      <c r="A6477">
        <v>329</v>
      </c>
      <c r="B6477">
        <v>295</v>
      </c>
      <c r="C6477" s="1">
        <f>(Tabela1[[#This Row],[x]]-H$3)*(Tabela1[[#This Row],[x]]-H$3) +(Tabela1[[#This Row],[y]]-H$4)*(Tabela1[[#This Row],[y]]-H$4)</f>
        <v>25666</v>
      </c>
      <c r="D6477" s="1">
        <f>IF(Tabela1[[#This Row],[promien]]&lt;40000,1,0)</f>
        <v>1</v>
      </c>
      <c r="E6477" s="1">
        <f>IF(Tabela1[[#This Row],[promien]]=40000,1,0)</f>
        <v>0</v>
      </c>
      <c r="F6477" s="1">
        <v>3.1693685348155012</v>
      </c>
      <c r="G6477" s="1">
        <v>2.7775881225708066E-2</v>
      </c>
    </row>
    <row r="6478" spans="1:7">
      <c r="A6478">
        <v>159</v>
      </c>
      <c r="B6478">
        <v>166</v>
      </c>
      <c r="C6478" s="1">
        <f>(Tabela1[[#This Row],[x]]-H$3)*(Tabela1[[#This Row],[x]]-H$3) +(Tabela1[[#This Row],[y]]-H$4)*(Tabela1[[#This Row],[y]]-H$4)</f>
        <v>2837</v>
      </c>
      <c r="D6478" s="1">
        <f>IF(Tabela1[[#This Row],[promien]]&lt;40000,1,0)</f>
        <v>1</v>
      </c>
      <c r="E6478" s="1">
        <f>IF(Tabela1[[#This Row],[promien]]=40000,1,0)</f>
        <v>0</v>
      </c>
      <c r="F6478" s="1">
        <v>3.1694967582587217</v>
      </c>
      <c r="G6478" s="1">
        <v>2.7904104668928564E-2</v>
      </c>
    </row>
    <row r="6479" spans="1:7">
      <c r="A6479">
        <v>267</v>
      </c>
      <c r="B6479">
        <v>132</v>
      </c>
      <c r="C6479" s="1">
        <f>(Tabela1[[#This Row],[x]]-H$3)*(Tabela1[[#This Row],[x]]-H$3) +(Tabela1[[#This Row],[y]]-H$4)*(Tabela1[[#This Row],[y]]-H$4)</f>
        <v>9113</v>
      </c>
      <c r="D6479" s="1">
        <f>IF(Tabela1[[#This Row],[promien]]&lt;40000,1,0)</f>
        <v>1</v>
      </c>
      <c r="E6479" s="1">
        <f>IF(Tabela1[[#This Row],[promien]]=40000,1,0)</f>
        <v>0</v>
      </c>
      <c r="F6479" s="1">
        <v>3.1696249421206977</v>
      </c>
      <c r="G6479" s="1">
        <v>2.8032288530904559E-2</v>
      </c>
    </row>
    <row r="6480" spans="1:7">
      <c r="A6480">
        <v>279</v>
      </c>
      <c r="B6480">
        <v>270</v>
      </c>
      <c r="C6480" s="1">
        <f>(Tabela1[[#This Row],[x]]-H$3)*(Tabela1[[#This Row],[x]]-H$3) +(Tabela1[[#This Row],[y]]-H$4)*(Tabela1[[#This Row],[y]]-H$4)</f>
        <v>11141</v>
      </c>
      <c r="D6480" s="1">
        <f>IF(Tabela1[[#This Row],[promien]]&lt;40000,1,0)</f>
        <v>1</v>
      </c>
      <c r="E6480" s="1">
        <f>IF(Tabela1[[#This Row],[promien]]=40000,1,0)</f>
        <v>0</v>
      </c>
      <c r="F6480" s="1">
        <v>3.1697530864197532</v>
      </c>
      <c r="G6480" s="1">
        <v>2.8160432829960058E-2</v>
      </c>
    </row>
    <row r="6481" spans="1:7">
      <c r="A6481">
        <v>367</v>
      </c>
      <c r="B6481">
        <v>70</v>
      </c>
      <c r="C6481" s="1">
        <f>(Tabela1[[#This Row],[x]]-H$3)*(Tabela1[[#This Row],[x]]-H$3) +(Tabela1[[#This Row],[y]]-H$4)*(Tabela1[[#This Row],[y]]-H$4)</f>
        <v>44789</v>
      </c>
      <c r="D6481" s="1">
        <f>IF(Tabela1[[#This Row],[promien]]&lt;40000,1,0)</f>
        <v>0</v>
      </c>
      <c r="E6481" s="1">
        <f>IF(Tabela1[[#This Row],[promien]]=40000,1,0)</f>
        <v>0</v>
      </c>
      <c r="F6481" s="1">
        <v>3.1692640024687546</v>
      </c>
      <c r="G6481" s="1">
        <v>2.7671348878961499E-2</v>
      </c>
    </row>
    <row r="6482" spans="1:7">
      <c r="A6482">
        <v>161</v>
      </c>
      <c r="B6482">
        <v>269</v>
      </c>
      <c r="C6482" s="1">
        <f>(Tabela1[[#This Row],[x]]-H$3)*(Tabela1[[#This Row],[x]]-H$3) +(Tabela1[[#This Row],[y]]-H$4)*(Tabela1[[#This Row],[y]]-H$4)</f>
        <v>6282</v>
      </c>
      <c r="D6482" s="1">
        <f>IF(Tabela1[[#This Row],[promien]]&lt;40000,1,0)</f>
        <v>1</v>
      </c>
      <c r="E6482" s="1">
        <f>IF(Tabela1[[#This Row],[promien]]=40000,1,0)</f>
        <v>0</v>
      </c>
      <c r="F6482" s="1">
        <v>3.1693921629126813</v>
      </c>
      <c r="G6482" s="1">
        <v>2.7799509322888216E-2</v>
      </c>
    </row>
    <row r="6483" spans="1:7">
      <c r="A6483">
        <v>299</v>
      </c>
      <c r="B6483">
        <v>215</v>
      </c>
      <c r="C6483" s="1">
        <f>(Tabela1[[#This Row],[x]]-H$3)*(Tabela1[[#This Row],[x]]-H$3) +(Tabela1[[#This Row],[y]]-H$4)*(Tabela1[[#This Row],[y]]-H$4)</f>
        <v>10026</v>
      </c>
      <c r="D6483" s="1">
        <f>IF(Tabela1[[#This Row],[promien]]&lt;40000,1,0)</f>
        <v>1</v>
      </c>
      <c r="E6483" s="1">
        <f>IF(Tabela1[[#This Row],[promien]]=40000,1,0)</f>
        <v>0</v>
      </c>
      <c r="F6483" s="1">
        <v>3.1695202838192196</v>
      </c>
      <c r="G6483" s="1">
        <v>2.7927630229426459E-2</v>
      </c>
    </row>
    <row r="6484" spans="1:7">
      <c r="A6484">
        <v>325</v>
      </c>
      <c r="B6484">
        <v>165</v>
      </c>
      <c r="C6484" s="1">
        <f>(Tabela1[[#This Row],[x]]-H$3)*(Tabela1[[#This Row],[x]]-H$3) +(Tabela1[[#This Row],[y]]-H$4)*(Tabela1[[#This Row],[y]]-H$4)</f>
        <v>16850</v>
      </c>
      <c r="D6484" s="1">
        <f>IF(Tabela1[[#This Row],[promien]]&lt;40000,1,0)</f>
        <v>1</v>
      </c>
      <c r="E6484" s="1">
        <f>IF(Tabela1[[#This Row],[promien]]=40000,1,0)</f>
        <v>0</v>
      </c>
      <c r="F6484" s="1">
        <v>3.1696483652066627</v>
      </c>
      <c r="G6484" s="1">
        <v>2.8055711616869594E-2</v>
      </c>
    </row>
    <row r="6485" spans="1:7">
      <c r="A6485">
        <v>81</v>
      </c>
      <c r="B6485">
        <v>151</v>
      </c>
      <c r="C6485" s="1">
        <f>(Tabela1[[#This Row],[x]]-H$3)*(Tabela1[[#This Row],[x]]-H$3) +(Tabela1[[#This Row],[y]]-H$4)*(Tabela1[[#This Row],[y]]-H$4)</f>
        <v>16562</v>
      </c>
      <c r="D6485" s="1">
        <f>IF(Tabela1[[#This Row],[promien]]&lt;40000,1,0)</f>
        <v>1</v>
      </c>
      <c r="E6485" s="1">
        <f>IF(Tabela1[[#This Row],[promien]]=40000,1,0)</f>
        <v>0</v>
      </c>
      <c r="F6485" s="1">
        <v>3.1697764070932921</v>
      </c>
      <c r="G6485" s="1">
        <v>2.8183753503498998E-2</v>
      </c>
    </row>
    <row r="6486" spans="1:7">
      <c r="A6486">
        <v>31</v>
      </c>
      <c r="B6486">
        <v>108</v>
      </c>
      <c r="C6486" s="1">
        <f>(Tabela1[[#This Row],[x]]-H$3)*(Tabela1[[#This Row],[x]]-H$3) +(Tabela1[[#This Row],[y]]-H$4)*(Tabela1[[#This Row],[y]]-H$4)</f>
        <v>37025</v>
      </c>
      <c r="D6486" s="1">
        <f>IF(Tabela1[[#This Row],[promien]]&lt;40000,1,0)</f>
        <v>1</v>
      </c>
      <c r="E6486" s="1">
        <f>IF(Tabela1[[#This Row],[promien]]=40000,1,0)</f>
        <v>0</v>
      </c>
      <c r="F6486" s="1">
        <v>3.1699044094973789</v>
      </c>
      <c r="G6486" s="1">
        <v>2.8311755907585834E-2</v>
      </c>
    </row>
    <row r="6487" spans="1:7">
      <c r="A6487">
        <v>338</v>
      </c>
      <c r="B6487">
        <v>200</v>
      </c>
      <c r="C6487" s="1">
        <f>(Tabela1[[#This Row],[x]]-H$3)*(Tabela1[[#This Row],[x]]-H$3) +(Tabela1[[#This Row],[y]]-H$4)*(Tabela1[[#This Row],[y]]-H$4)</f>
        <v>19044</v>
      </c>
      <c r="D6487" s="1">
        <f>IF(Tabela1[[#This Row],[promien]]&lt;40000,1,0)</f>
        <v>1</v>
      </c>
      <c r="E6487" s="1">
        <f>IF(Tabela1[[#This Row],[promien]]=40000,1,0)</f>
        <v>0</v>
      </c>
      <c r="F6487" s="1">
        <v>3.1700323724371819</v>
      </c>
      <c r="G6487" s="1">
        <v>2.8439718847388828E-2</v>
      </c>
    </row>
    <row r="6488" spans="1:7">
      <c r="A6488">
        <v>7</v>
      </c>
      <c r="B6488">
        <v>39</v>
      </c>
      <c r="C6488" s="1">
        <f>(Tabela1[[#This Row],[x]]-H$3)*(Tabela1[[#This Row],[x]]-H$3) +(Tabela1[[#This Row],[y]]-H$4)*(Tabela1[[#This Row],[y]]-H$4)</f>
        <v>63170</v>
      </c>
      <c r="D6488" s="1">
        <f>IF(Tabela1[[#This Row],[promien]]&lt;40000,1,0)</f>
        <v>0</v>
      </c>
      <c r="E6488" s="1">
        <f>IF(Tabela1[[#This Row],[promien]]=40000,1,0)</f>
        <v>0</v>
      </c>
      <c r="F6488" s="1">
        <v>3.1695437731196052</v>
      </c>
      <c r="G6488" s="1">
        <v>2.7951119529812107E-2</v>
      </c>
    </row>
    <row r="6489" spans="1:7">
      <c r="A6489">
        <v>144</v>
      </c>
      <c r="B6489">
        <v>186</v>
      </c>
      <c r="C6489" s="1">
        <f>(Tabela1[[#This Row],[x]]-H$3)*(Tabela1[[#This Row],[x]]-H$3) +(Tabela1[[#This Row],[y]]-H$4)*(Tabela1[[#This Row],[y]]-H$4)</f>
        <v>3332</v>
      </c>
      <c r="D6489" s="1">
        <f>IF(Tabela1[[#This Row],[promien]]&lt;40000,1,0)</f>
        <v>1</v>
      </c>
      <c r="E6489" s="1">
        <f>IF(Tabela1[[#This Row],[promien]]=40000,1,0)</f>
        <v>0</v>
      </c>
      <c r="F6489" s="1">
        <v>3.1696717521960243</v>
      </c>
      <c r="G6489" s="1">
        <v>2.8079098606231145E-2</v>
      </c>
    </row>
    <row r="6490" spans="1:7">
      <c r="A6490">
        <v>376</v>
      </c>
      <c r="B6490">
        <v>340</v>
      </c>
      <c r="C6490" s="1">
        <f>(Tabela1[[#This Row],[x]]-H$3)*(Tabela1[[#This Row],[x]]-H$3) +(Tabela1[[#This Row],[y]]-H$4)*(Tabela1[[#This Row],[y]]-H$4)</f>
        <v>50576</v>
      </c>
      <c r="D6490" s="1">
        <f>IF(Tabela1[[#This Row],[promien]]&lt;40000,1,0)</f>
        <v>0</v>
      </c>
      <c r="E6490" s="1">
        <f>IF(Tabela1[[#This Row],[promien]]=40000,1,0)</f>
        <v>0</v>
      </c>
      <c r="F6490" s="1">
        <v>3.1691833590138674</v>
      </c>
      <c r="G6490" s="1">
        <v>2.7590705424074269E-2</v>
      </c>
    </row>
    <row r="6491" spans="1:7">
      <c r="A6491">
        <v>328</v>
      </c>
      <c r="B6491">
        <v>269</v>
      </c>
      <c r="C6491" s="1">
        <f>(Tabela1[[#This Row],[x]]-H$3)*(Tabela1[[#This Row],[x]]-H$3) +(Tabela1[[#This Row],[y]]-H$4)*(Tabela1[[#This Row],[y]]-H$4)</f>
        <v>21145</v>
      </c>
      <c r="D6491" s="1">
        <f>IF(Tabela1[[#This Row],[promien]]&lt;40000,1,0)</f>
        <v>1</v>
      </c>
      <c r="E6491" s="1">
        <f>IF(Tabela1[[#This Row],[promien]]=40000,1,0)</f>
        <v>0</v>
      </c>
      <c r="F6491" s="1">
        <v>3.1693113541827147</v>
      </c>
      <c r="G6491" s="1">
        <v>2.7718700592921586E-2</v>
      </c>
    </row>
    <row r="6492" spans="1:7">
      <c r="A6492">
        <v>307</v>
      </c>
      <c r="B6492">
        <v>183</v>
      </c>
      <c r="C6492" s="1">
        <f>(Tabela1[[#This Row],[x]]-H$3)*(Tabela1[[#This Row],[x]]-H$3) +(Tabela1[[#This Row],[y]]-H$4)*(Tabela1[[#This Row],[y]]-H$4)</f>
        <v>11738</v>
      </c>
      <c r="D6492" s="1">
        <f>IF(Tabela1[[#This Row],[promien]]&lt;40000,1,0)</f>
        <v>1</v>
      </c>
      <c r="E6492" s="1">
        <f>IF(Tabela1[[#This Row],[promien]]=40000,1,0)</f>
        <v>0</v>
      </c>
      <c r="F6492" s="1">
        <v>3.1694393099199014</v>
      </c>
      <c r="G6492" s="1">
        <v>2.7846656330108299E-2</v>
      </c>
    </row>
    <row r="6493" spans="1:7">
      <c r="A6493">
        <v>42</v>
      </c>
      <c r="B6493">
        <v>361</v>
      </c>
      <c r="C6493" s="1">
        <f>(Tabela1[[#This Row],[x]]-H$3)*(Tabela1[[#This Row],[x]]-H$3) +(Tabela1[[#This Row],[y]]-H$4)*(Tabela1[[#This Row],[y]]-H$4)</f>
        <v>50885</v>
      </c>
      <c r="D6493" s="1">
        <f>IF(Tabela1[[#This Row],[promien]]&lt;40000,1,0)</f>
        <v>0</v>
      </c>
      <c r="E6493" s="1">
        <f>IF(Tabela1[[#This Row],[promien]]=40000,1,0)</f>
        <v>0</v>
      </c>
      <c r="F6493" s="1">
        <v>3.1689511781918989</v>
      </c>
      <c r="G6493" s="1">
        <v>2.7358524602105749E-2</v>
      </c>
    </row>
    <row r="6494" spans="1:7">
      <c r="A6494">
        <v>121</v>
      </c>
      <c r="B6494">
        <v>399</v>
      </c>
      <c r="C6494" s="1">
        <f>(Tabela1[[#This Row],[x]]-H$3)*(Tabela1[[#This Row],[x]]-H$3) +(Tabela1[[#This Row],[y]]-H$4)*(Tabela1[[#This Row],[y]]-H$4)</f>
        <v>45842</v>
      </c>
      <c r="D6494" s="1">
        <f>IF(Tabela1[[#This Row],[promien]]&lt;40000,1,0)</f>
        <v>0</v>
      </c>
      <c r="E6494" s="1">
        <f>IF(Tabela1[[#This Row],[promien]]=40000,1,0)</f>
        <v>0</v>
      </c>
      <c r="F6494" s="1">
        <v>3.1684631967970436</v>
      </c>
      <c r="G6494" s="1">
        <v>2.6870543207250464E-2</v>
      </c>
    </row>
    <row r="6495" spans="1:7">
      <c r="A6495">
        <v>354</v>
      </c>
      <c r="B6495">
        <v>350</v>
      </c>
      <c r="C6495" s="1">
        <f>(Tabela1[[#This Row],[x]]-H$3)*(Tabela1[[#This Row],[x]]-H$3) +(Tabela1[[#This Row],[y]]-H$4)*(Tabela1[[#This Row],[y]]-H$4)</f>
        <v>46216</v>
      </c>
      <c r="D6495" s="1">
        <f>IF(Tabela1[[#This Row],[promien]]&lt;40000,1,0)</f>
        <v>0</v>
      </c>
      <c r="E6495" s="1">
        <f>IF(Tabela1[[#This Row],[promien]]=40000,1,0)</f>
        <v>0</v>
      </c>
      <c r="F6495" s="1">
        <v>3.1679753656658969</v>
      </c>
      <c r="G6495" s="1">
        <v>2.6382712076103765E-2</v>
      </c>
    </row>
    <row r="6496" spans="1:7">
      <c r="A6496">
        <v>243</v>
      </c>
      <c r="B6496">
        <v>77</v>
      </c>
      <c r="C6496" s="1">
        <f>(Tabela1[[#This Row],[x]]-H$3)*(Tabela1[[#This Row],[x]]-H$3) +(Tabela1[[#This Row],[y]]-H$4)*(Tabela1[[#This Row],[y]]-H$4)</f>
        <v>16978</v>
      </c>
      <c r="D6496" s="1">
        <f>IF(Tabela1[[#This Row],[promien]]&lt;40000,1,0)</f>
        <v>1</v>
      </c>
      <c r="E6496" s="1">
        <f>IF(Tabela1[[#This Row],[promien]]=40000,1,0)</f>
        <v>0</v>
      </c>
      <c r="F6496" s="1">
        <v>3.1681034482758621</v>
      </c>
      <c r="G6496" s="1">
        <v>2.6510794686068984E-2</v>
      </c>
    </row>
    <row r="6497" spans="1:7">
      <c r="A6497">
        <v>35</v>
      </c>
      <c r="B6497">
        <v>161</v>
      </c>
      <c r="C6497" s="1">
        <f>(Tabela1[[#This Row],[x]]-H$3)*(Tabela1[[#This Row],[x]]-H$3) +(Tabela1[[#This Row],[y]]-H$4)*(Tabela1[[#This Row],[y]]-H$4)</f>
        <v>28746</v>
      </c>
      <c r="D6497" s="1">
        <f>IF(Tabela1[[#This Row],[promien]]&lt;40000,1,0)</f>
        <v>1</v>
      </c>
      <c r="E6497" s="1">
        <f>IF(Tabela1[[#This Row],[promien]]=40000,1,0)</f>
        <v>0</v>
      </c>
      <c r="F6497" s="1">
        <v>3.168231491457596</v>
      </c>
      <c r="G6497" s="1">
        <v>2.6638837867802856E-2</v>
      </c>
    </row>
    <row r="6498" spans="1:7">
      <c r="A6498">
        <v>210</v>
      </c>
      <c r="B6498">
        <v>32</v>
      </c>
      <c r="C6498" s="1">
        <f>(Tabela1[[#This Row],[x]]-H$3)*(Tabela1[[#This Row],[x]]-H$3) +(Tabela1[[#This Row],[y]]-H$4)*(Tabela1[[#This Row],[y]]-H$4)</f>
        <v>28324</v>
      </c>
      <c r="D6498" s="1">
        <f>IF(Tabela1[[#This Row],[promien]]&lt;40000,1,0)</f>
        <v>1</v>
      </c>
      <c r="E6498" s="1">
        <f>IF(Tabela1[[#This Row],[promien]]=40000,1,0)</f>
        <v>0</v>
      </c>
      <c r="F6498" s="1">
        <v>3.1683594952293013</v>
      </c>
      <c r="G6498" s="1">
        <v>2.6766841639508154E-2</v>
      </c>
    </row>
    <row r="6499" spans="1:7">
      <c r="A6499">
        <v>324</v>
      </c>
      <c r="B6499">
        <v>363</v>
      </c>
      <c r="C6499" s="1">
        <f>(Tabela1[[#This Row],[x]]-H$3)*(Tabela1[[#This Row],[x]]-H$3) +(Tabela1[[#This Row],[y]]-H$4)*(Tabela1[[#This Row],[y]]-H$4)</f>
        <v>41945</v>
      </c>
      <c r="D6499" s="1">
        <f>IF(Tabela1[[#This Row],[promien]]&lt;40000,1,0)</f>
        <v>0</v>
      </c>
      <c r="E6499" s="1">
        <f>IF(Tabela1[[#This Row],[promien]]=40000,1,0)</f>
        <v>0</v>
      </c>
      <c r="F6499" s="1">
        <v>3.1678719803046622</v>
      </c>
      <c r="G6499" s="1">
        <v>2.62793267148691E-2</v>
      </c>
    </row>
    <row r="6500" spans="1:7">
      <c r="A6500">
        <v>128</v>
      </c>
      <c r="B6500">
        <v>176</v>
      </c>
      <c r="C6500" s="1">
        <f>(Tabela1[[#This Row],[x]]-H$3)*(Tabela1[[#This Row],[x]]-H$3) +(Tabela1[[#This Row],[y]]-H$4)*(Tabela1[[#This Row],[y]]-H$4)</f>
        <v>5760</v>
      </c>
      <c r="D6500" s="1">
        <f>IF(Tabela1[[#This Row],[promien]]&lt;40000,1,0)</f>
        <v>1</v>
      </c>
      <c r="E6500" s="1">
        <f>IF(Tabela1[[#This Row],[promien]]=40000,1,0)</f>
        <v>0</v>
      </c>
      <c r="F6500" s="1">
        <v>3.1680000000000001</v>
      </c>
      <c r="G6500" s="1">
        <v>2.6407346410207033E-2</v>
      </c>
    </row>
    <row r="6501" spans="1:7">
      <c r="A6501">
        <v>253</v>
      </c>
      <c r="B6501">
        <v>95</v>
      </c>
      <c r="C6501" s="1">
        <f>(Tabela1[[#This Row],[x]]-H$3)*(Tabela1[[#This Row],[x]]-H$3) +(Tabela1[[#This Row],[y]]-H$4)*(Tabela1[[#This Row],[y]]-H$4)</f>
        <v>13834</v>
      </c>
      <c r="D6501" s="1">
        <f>IF(Tabela1[[#This Row],[promien]]&lt;40000,1,0)</f>
        <v>1</v>
      </c>
      <c r="E6501" s="1">
        <f>IF(Tabela1[[#This Row],[promien]]=40000,1,0)</f>
        <v>0</v>
      </c>
      <c r="F6501" s="1">
        <v>3.1681279803107216</v>
      </c>
      <c r="G6501" s="1">
        <v>2.6535326720928509E-2</v>
      </c>
    </row>
    <row r="6502" spans="1:7">
      <c r="A6502">
        <v>289</v>
      </c>
      <c r="B6502">
        <v>348</v>
      </c>
      <c r="C6502" s="1">
        <f>(Tabela1[[#This Row],[x]]-H$3)*(Tabela1[[#This Row],[x]]-H$3) +(Tabela1[[#This Row],[y]]-H$4)*(Tabela1[[#This Row],[y]]-H$4)</f>
        <v>29825</v>
      </c>
      <c r="D6502" s="1">
        <f>IF(Tabela1[[#This Row],[promien]]&lt;40000,1,0)</f>
        <v>1</v>
      </c>
      <c r="E6502" s="1">
        <f>IF(Tabela1[[#This Row],[promien]]=40000,1,0)</f>
        <v>0</v>
      </c>
      <c r="F6502" s="1">
        <v>3.1682559212549983</v>
      </c>
      <c r="G6502" s="1">
        <v>2.6663267665205215E-2</v>
      </c>
    </row>
    <row r="6503" spans="1:7">
      <c r="A6503">
        <v>32</v>
      </c>
      <c r="B6503">
        <v>56</v>
      </c>
      <c r="C6503" s="1">
        <f>(Tabela1[[#This Row],[x]]-H$3)*(Tabela1[[#This Row],[x]]-H$3) +(Tabela1[[#This Row],[y]]-H$4)*(Tabela1[[#This Row],[y]]-H$4)</f>
        <v>48960</v>
      </c>
      <c r="D6503" s="1">
        <f>IF(Tabela1[[#This Row],[promien]]&lt;40000,1,0)</f>
        <v>0</v>
      </c>
      <c r="E6503" s="1">
        <f>IF(Tabela1[[#This Row],[promien]]=40000,1,0)</f>
        <v>0</v>
      </c>
      <c r="F6503" s="1">
        <v>3.1677687221282484</v>
      </c>
      <c r="G6503" s="1">
        <v>2.6176068538455333E-2</v>
      </c>
    </row>
    <row r="6504" spans="1:7">
      <c r="A6504">
        <v>113</v>
      </c>
      <c r="B6504">
        <v>337</v>
      </c>
      <c r="C6504" s="1">
        <f>(Tabela1[[#This Row],[x]]-H$3)*(Tabela1[[#This Row],[x]]-H$3) +(Tabela1[[#This Row],[y]]-H$4)*(Tabela1[[#This Row],[y]]-H$4)</f>
        <v>26338</v>
      </c>
      <c r="D6504" s="1">
        <f>IF(Tabela1[[#This Row],[promien]]&lt;40000,1,0)</f>
        <v>1</v>
      </c>
      <c r="E6504" s="1">
        <f>IF(Tabela1[[#This Row],[promien]]=40000,1,0)</f>
        <v>0</v>
      </c>
      <c r="F6504" s="1">
        <v>3.1678966789667897</v>
      </c>
      <c r="G6504" s="1">
        <v>2.6304025376996609E-2</v>
      </c>
    </row>
    <row r="6505" spans="1:7">
      <c r="A6505">
        <v>107</v>
      </c>
      <c r="B6505">
        <v>37</v>
      </c>
      <c r="C6505" s="1">
        <f>(Tabela1[[#This Row],[x]]-H$3)*(Tabela1[[#This Row],[x]]-H$3) +(Tabela1[[#This Row],[y]]-H$4)*(Tabela1[[#This Row],[y]]-H$4)</f>
        <v>35218</v>
      </c>
      <c r="D6505" s="1">
        <f>IF(Tabela1[[#This Row],[promien]]&lt;40000,1,0)</f>
        <v>1</v>
      </c>
      <c r="E6505" s="1">
        <f>IF(Tabela1[[#This Row],[promien]]=40000,1,0)</f>
        <v>0</v>
      </c>
      <c r="F6505" s="1">
        <v>3.1680245964642584</v>
      </c>
      <c r="G6505" s="1">
        <v>2.6431942874465264E-2</v>
      </c>
    </row>
    <row r="6506" spans="1:7">
      <c r="A6506">
        <v>276</v>
      </c>
      <c r="B6506">
        <v>381</v>
      </c>
      <c r="C6506" s="1">
        <f>(Tabela1[[#This Row],[x]]-H$3)*(Tabela1[[#This Row],[x]]-H$3) +(Tabela1[[#This Row],[y]]-H$4)*(Tabela1[[#This Row],[y]]-H$4)</f>
        <v>38537</v>
      </c>
      <c r="D6506" s="1">
        <f>IF(Tabela1[[#This Row],[promien]]&lt;40000,1,0)</f>
        <v>1</v>
      </c>
      <c r="E6506" s="1">
        <f>IF(Tabela1[[#This Row],[promien]]=40000,1,0)</f>
        <v>0</v>
      </c>
      <c r="F6506" s="1">
        <v>3.168152474638795</v>
      </c>
      <c r="G6506" s="1">
        <v>2.6559821049001897E-2</v>
      </c>
    </row>
    <row r="6507" spans="1:7">
      <c r="A6507">
        <v>292</v>
      </c>
      <c r="B6507">
        <v>342</v>
      </c>
      <c r="C6507" s="1">
        <f>(Tabela1[[#This Row],[x]]-H$3)*(Tabela1[[#This Row],[x]]-H$3) +(Tabela1[[#This Row],[y]]-H$4)*(Tabela1[[#This Row],[y]]-H$4)</f>
        <v>28628</v>
      </c>
      <c r="D6507" s="1">
        <f>IF(Tabela1[[#This Row],[promien]]&lt;40000,1,0)</f>
        <v>1</v>
      </c>
      <c r="E6507" s="1">
        <f>IF(Tabela1[[#This Row],[promien]]=40000,1,0)</f>
        <v>0</v>
      </c>
      <c r="F6507" s="1">
        <v>3.1682803135085291</v>
      </c>
      <c r="G6507" s="1">
        <v>2.6687659918736006E-2</v>
      </c>
    </row>
    <row r="6508" spans="1:7">
      <c r="A6508">
        <v>324</v>
      </c>
      <c r="B6508">
        <v>246</v>
      </c>
      <c r="C6508" s="1">
        <f>(Tabela1[[#This Row],[x]]-H$3)*(Tabela1[[#This Row],[x]]-H$3) +(Tabela1[[#This Row],[y]]-H$4)*(Tabela1[[#This Row],[y]]-H$4)</f>
        <v>17492</v>
      </c>
      <c r="D6508" s="1">
        <f>IF(Tabela1[[#This Row],[promien]]&lt;40000,1,0)</f>
        <v>1</v>
      </c>
      <c r="E6508" s="1">
        <f>IF(Tabela1[[#This Row],[promien]]=40000,1,0)</f>
        <v>0</v>
      </c>
      <c r="F6508" s="1">
        <v>3.1684081130915795</v>
      </c>
      <c r="G6508" s="1">
        <v>2.6815459501786432E-2</v>
      </c>
    </row>
    <row r="6509" spans="1:7">
      <c r="A6509">
        <v>121</v>
      </c>
      <c r="B6509">
        <v>30</v>
      </c>
      <c r="C6509" s="1">
        <f>(Tabela1[[#This Row],[x]]-H$3)*(Tabela1[[#This Row],[x]]-H$3) +(Tabela1[[#This Row],[y]]-H$4)*(Tabela1[[#This Row],[y]]-H$4)</f>
        <v>35141</v>
      </c>
      <c r="D6509" s="1">
        <f>IF(Tabela1[[#This Row],[promien]]&lt;40000,1,0)</f>
        <v>1</v>
      </c>
      <c r="E6509" s="1">
        <f>IF(Tabela1[[#This Row],[promien]]=40000,1,0)</f>
        <v>0</v>
      </c>
      <c r="F6509" s="1">
        <v>3.1685358734060531</v>
      </c>
      <c r="G6509" s="1">
        <v>2.6943219816260022E-2</v>
      </c>
    </row>
    <row r="6510" spans="1:7">
      <c r="A6510">
        <v>164</v>
      </c>
      <c r="B6510">
        <v>244</v>
      </c>
      <c r="C6510" s="1">
        <f>(Tabela1[[#This Row],[x]]-H$3)*(Tabela1[[#This Row],[x]]-H$3) +(Tabela1[[#This Row],[y]]-H$4)*(Tabela1[[#This Row],[y]]-H$4)</f>
        <v>3232</v>
      </c>
      <c r="D6510" s="1">
        <f>IF(Tabela1[[#This Row],[promien]]&lt;40000,1,0)</f>
        <v>1</v>
      </c>
      <c r="E6510" s="1">
        <f>IF(Tabela1[[#This Row],[promien]]=40000,1,0)</f>
        <v>0</v>
      </c>
      <c r="F6510" s="1">
        <v>3.1686635944700461</v>
      </c>
      <c r="G6510" s="1">
        <v>2.7070940880252969E-2</v>
      </c>
    </row>
    <row r="6511" spans="1:7">
      <c r="A6511">
        <v>382</v>
      </c>
      <c r="B6511">
        <v>192</v>
      </c>
      <c r="C6511" s="1">
        <f>(Tabela1[[#This Row],[x]]-H$3)*(Tabela1[[#This Row],[x]]-H$3) +(Tabela1[[#This Row],[y]]-H$4)*(Tabela1[[#This Row],[y]]-H$4)</f>
        <v>33188</v>
      </c>
      <c r="D6511" s="1">
        <f>IF(Tabela1[[#This Row],[promien]]&lt;40000,1,0)</f>
        <v>1</v>
      </c>
      <c r="E6511" s="1">
        <f>IF(Tabela1[[#This Row],[promien]]=40000,1,0)</f>
        <v>0</v>
      </c>
      <c r="F6511" s="1">
        <v>3.1687912763016435</v>
      </c>
      <c r="G6511" s="1">
        <v>2.7198622711850362E-2</v>
      </c>
    </row>
    <row r="6512" spans="1:7">
      <c r="A6512">
        <v>43</v>
      </c>
      <c r="B6512">
        <v>368</v>
      </c>
      <c r="C6512" s="1">
        <f>(Tabela1[[#This Row],[x]]-H$3)*(Tabela1[[#This Row],[x]]-H$3) +(Tabela1[[#This Row],[y]]-H$4)*(Tabela1[[#This Row],[y]]-H$4)</f>
        <v>52873</v>
      </c>
      <c r="D6512" s="1">
        <f>IF(Tabela1[[#This Row],[promien]]&lt;40000,1,0)</f>
        <v>0</v>
      </c>
      <c r="E6512" s="1">
        <f>IF(Tabela1[[#This Row],[promien]]=40000,1,0)</f>
        <v>0</v>
      </c>
      <c r="F6512" s="1">
        <v>3.1683046683046685</v>
      </c>
      <c r="G6512" s="1">
        <v>2.6712014714875387E-2</v>
      </c>
    </row>
    <row r="6513" spans="1:7">
      <c r="A6513">
        <v>316</v>
      </c>
      <c r="B6513">
        <v>303</v>
      </c>
      <c r="C6513" s="1">
        <f>(Tabela1[[#This Row],[x]]-H$3)*(Tabela1[[#This Row],[x]]-H$3) +(Tabela1[[#This Row],[y]]-H$4)*(Tabela1[[#This Row],[y]]-H$4)</f>
        <v>24065</v>
      </c>
      <c r="D6513" s="1">
        <f>IF(Tabela1[[#This Row],[promien]]&lt;40000,1,0)</f>
        <v>1</v>
      </c>
      <c r="E6513" s="1">
        <f>IF(Tabela1[[#This Row],[promien]]=40000,1,0)</f>
        <v>0</v>
      </c>
      <c r="F6513" s="1">
        <v>3.1684323660371563</v>
      </c>
      <c r="G6513" s="1">
        <v>2.6839712447363162E-2</v>
      </c>
    </row>
    <row r="6514" spans="1:7">
      <c r="A6514">
        <v>151</v>
      </c>
      <c r="B6514">
        <v>6</v>
      </c>
      <c r="C6514" s="1">
        <f>(Tabela1[[#This Row],[x]]-H$3)*(Tabela1[[#This Row],[x]]-H$3) +(Tabela1[[#This Row],[y]]-H$4)*(Tabela1[[#This Row],[y]]-H$4)</f>
        <v>40037</v>
      </c>
      <c r="D6514" s="1">
        <f>IF(Tabela1[[#This Row],[promien]]&lt;40000,1,0)</f>
        <v>0</v>
      </c>
      <c r="E6514" s="1">
        <f>IF(Tabela1[[#This Row],[promien]]=40000,1,0)</f>
        <v>0</v>
      </c>
      <c r="F6514" s="1">
        <v>3.1679459625422166</v>
      </c>
      <c r="G6514" s="1">
        <v>2.6353308952423493E-2</v>
      </c>
    </row>
    <row r="6515" spans="1:7">
      <c r="A6515">
        <v>266</v>
      </c>
      <c r="B6515">
        <v>26</v>
      </c>
      <c r="C6515" s="1">
        <f>(Tabela1[[#This Row],[x]]-H$3)*(Tabela1[[#This Row],[x]]-H$3) +(Tabela1[[#This Row],[y]]-H$4)*(Tabela1[[#This Row],[y]]-H$4)</f>
        <v>34632</v>
      </c>
      <c r="D6515" s="1">
        <f>IF(Tabela1[[#This Row],[promien]]&lt;40000,1,0)</f>
        <v>1</v>
      </c>
      <c r="E6515" s="1">
        <f>IF(Tabela1[[#This Row],[promien]]=40000,1,0)</f>
        <v>0</v>
      </c>
      <c r="F6515" s="1">
        <v>3.168073676132003</v>
      </c>
      <c r="G6515" s="1">
        <v>2.6481022542209853E-2</v>
      </c>
    </row>
    <row r="6516" spans="1:7">
      <c r="A6516">
        <v>148</v>
      </c>
      <c r="B6516">
        <v>380</v>
      </c>
      <c r="C6516" s="1">
        <f>(Tabela1[[#This Row],[x]]-H$3)*(Tabela1[[#This Row],[x]]-H$3) +(Tabela1[[#This Row],[y]]-H$4)*(Tabela1[[#This Row],[y]]-H$4)</f>
        <v>35104</v>
      </c>
      <c r="D6516" s="1">
        <f>IF(Tabela1[[#This Row],[promien]]&lt;40000,1,0)</f>
        <v>1</v>
      </c>
      <c r="E6516" s="1">
        <f>IF(Tabela1[[#This Row],[promien]]=40000,1,0)</f>
        <v>0</v>
      </c>
      <c r="F6516" s="1">
        <v>3.1682013505217923</v>
      </c>
      <c r="G6516" s="1">
        <v>2.6608696931999187E-2</v>
      </c>
    </row>
    <row r="6517" spans="1:7">
      <c r="A6517">
        <v>387</v>
      </c>
      <c r="B6517">
        <v>298</v>
      </c>
      <c r="C6517" s="1">
        <f>(Tabela1[[#This Row],[x]]-H$3)*(Tabela1[[#This Row],[x]]-H$3) +(Tabela1[[#This Row],[y]]-H$4)*(Tabela1[[#This Row],[y]]-H$4)</f>
        <v>44573</v>
      </c>
      <c r="D6517" s="1">
        <f>IF(Tabela1[[#This Row],[promien]]&lt;40000,1,0)</f>
        <v>0</v>
      </c>
      <c r="E6517" s="1">
        <f>IF(Tabela1[[#This Row],[promien]]=40000,1,0)</f>
        <v>0</v>
      </c>
      <c r="F6517" s="1">
        <v>3.1677152063833054</v>
      </c>
      <c r="G6517" s="1">
        <v>2.6122552793512277E-2</v>
      </c>
    </row>
    <row r="6518" spans="1:7">
      <c r="A6518">
        <v>362</v>
      </c>
      <c r="B6518">
        <v>4</v>
      </c>
      <c r="C6518" s="1">
        <f>(Tabela1[[#This Row],[x]]-H$3)*(Tabela1[[#This Row],[x]]-H$3) +(Tabela1[[#This Row],[y]]-H$4)*(Tabela1[[#This Row],[y]]-H$4)</f>
        <v>64660</v>
      </c>
      <c r="D6518" s="1">
        <f>IF(Tabela1[[#This Row],[promien]]&lt;40000,1,0)</f>
        <v>0</v>
      </c>
      <c r="E6518" s="1">
        <f>IF(Tabela1[[#This Row],[promien]]=40000,1,0)</f>
        <v>0</v>
      </c>
      <c r="F6518" s="1">
        <v>3.1672292114145444</v>
      </c>
      <c r="G6518" s="1">
        <v>2.5636557824751272E-2</v>
      </c>
    </row>
    <row r="6519" spans="1:7">
      <c r="A6519">
        <v>58</v>
      </c>
      <c r="B6519">
        <v>271</v>
      </c>
      <c r="C6519" s="1">
        <f>(Tabela1[[#This Row],[x]]-H$3)*(Tabela1[[#This Row],[x]]-H$3) +(Tabela1[[#This Row],[y]]-H$4)*(Tabela1[[#This Row],[y]]-H$4)</f>
        <v>25205</v>
      </c>
      <c r="D6519" s="1">
        <f>IF(Tabela1[[#This Row],[promien]]&lt;40000,1,0)</f>
        <v>1</v>
      </c>
      <c r="E6519" s="1">
        <f>IF(Tabela1[[#This Row],[promien]]=40000,1,0)</f>
        <v>0</v>
      </c>
      <c r="F6519" s="1">
        <v>3.1673569565884336</v>
      </c>
      <c r="G6519" s="1">
        <v>2.576430299864052E-2</v>
      </c>
    </row>
    <row r="6520" spans="1:7">
      <c r="A6520">
        <v>289</v>
      </c>
      <c r="B6520">
        <v>157</v>
      </c>
      <c r="C6520" s="1">
        <f>(Tabela1[[#This Row],[x]]-H$3)*(Tabela1[[#This Row],[x]]-H$3) +(Tabela1[[#This Row],[y]]-H$4)*(Tabela1[[#This Row],[y]]-H$4)</f>
        <v>9770</v>
      </c>
      <c r="D6520" s="1">
        <f>IF(Tabela1[[#This Row],[promien]]&lt;40000,1,0)</f>
        <v>1</v>
      </c>
      <c r="E6520" s="1">
        <f>IF(Tabela1[[#This Row],[promien]]=40000,1,0)</f>
        <v>0</v>
      </c>
      <c r="F6520" s="1">
        <v>3.1674846625766873</v>
      </c>
      <c r="G6520" s="1">
        <v>2.5892008986894144E-2</v>
      </c>
    </row>
    <row r="6521" spans="1:7">
      <c r="A6521">
        <v>391</v>
      </c>
      <c r="B6521">
        <v>75</v>
      </c>
      <c r="C6521" s="1">
        <f>(Tabela1[[#This Row],[x]]-H$3)*(Tabela1[[#This Row],[x]]-H$3) +(Tabela1[[#This Row],[y]]-H$4)*(Tabela1[[#This Row],[y]]-H$4)</f>
        <v>52106</v>
      </c>
      <c r="D6521" s="1">
        <f>IF(Tabela1[[#This Row],[promien]]&lt;40000,1,0)</f>
        <v>0</v>
      </c>
      <c r="E6521" s="1">
        <f>IF(Tabela1[[#This Row],[promien]]=40000,1,0)</f>
        <v>0</v>
      </c>
      <c r="F6521" s="1">
        <v>3.1669989265450083</v>
      </c>
      <c r="G6521" s="1">
        <v>2.5406272955215137E-2</v>
      </c>
    </row>
    <row r="6522" spans="1:7">
      <c r="A6522">
        <v>295</v>
      </c>
      <c r="B6522">
        <v>71</v>
      </c>
      <c r="C6522" s="1">
        <f>(Tabela1[[#This Row],[x]]-H$3)*(Tabela1[[#This Row],[x]]-H$3) +(Tabela1[[#This Row],[y]]-H$4)*(Tabela1[[#This Row],[y]]-H$4)</f>
        <v>25666</v>
      </c>
      <c r="D6522" s="1">
        <f>IF(Tabela1[[#This Row],[promien]]&lt;40000,1,0)</f>
        <v>1</v>
      </c>
      <c r="E6522" s="1">
        <f>IF(Tabela1[[#This Row],[promien]]=40000,1,0)</f>
        <v>0</v>
      </c>
      <c r="F6522" s="1">
        <v>3.1671266482674025</v>
      </c>
      <c r="G6522" s="1">
        <v>2.5533994677609417E-2</v>
      </c>
    </row>
    <row r="6523" spans="1:7">
      <c r="A6523">
        <v>294</v>
      </c>
      <c r="B6523">
        <v>387</v>
      </c>
      <c r="C6523" s="1">
        <f>(Tabela1[[#This Row],[x]]-H$3)*(Tabela1[[#This Row],[x]]-H$3) +(Tabela1[[#This Row],[y]]-H$4)*(Tabela1[[#This Row],[y]]-H$4)</f>
        <v>43805</v>
      </c>
      <c r="D6523" s="1">
        <f>IF(Tabela1[[#This Row],[promien]]&lt;40000,1,0)</f>
        <v>0</v>
      </c>
      <c r="E6523" s="1">
        <f>IF(Tabela1[[#This Row],[promien]]=40000,1,0)</f>
        <v>0</v>
      </c>
      <c r="F6523" s="1">
        <v>3.1666411160508967</v>
      </c>
      <c r="G6523" s="1">
        <v>2.5048462461103593E-2</v>
      </c>
    </row>
    <row r="6524" spans="1:7">
      <c r="A6524">
        <v>262</v>
      </c>
      <c r="B6524">
        <v>102</v>
      </c>
      <c r="C6524" s="1">
        <f>(Tabela1[[#This Row],[x]]-H$3)*(Tabela1[[#This Row],[x]]-H$3) +(Tabela1[[#This Row],[y]]-H$4)*(Tabela1[[#This Row],[y]]-H$4)</f>
        <v>13448</v>
      </c>
      <c r="D6524" s="1">
        <f>IF(Tabela1[[#This Row],[promien]]&lt;40000,1,0)</f>
        <v>1</v>
      </c>
      <c r="E6524" s="1">
        <f>IF(Tabela1[[#This Row],[promien]]=40000,1,0)</f>
        <v>0</v>
      </c>
      <c r="F6524" s="1">
        <v>3.1667688534641325</v>
      </c>
      <c r="G6524" s="1">
        <v>2.5176199874339389E-2</v>
      </c>
    </row>
    <row r="6525" spans="1:7">
      <c r="A6525">
        <v>263</v>
      </c>
      <c r="B6525">
        <v>287</v>
      </c>
      <c r="C6525" s="1">
        <f>(Tabela1[[#This Row],[x]]-H$3)*(Tabela1[[#This Row],[x]]-H$3) +(Tabela1[[#This Row],[y]]-H$4)*(Tabela1[[#This Row],[y]]-H$4)</f>
        <v>11538</v>
      </c>
      <c r="D6525" s="1">
        <f>IF(Tabela1[[#This Row],[promien]]&lt;40000,1,0)</f>
        <v>1</v>
      </c>
      <c r="E6525" s="1">
        <f>IF(Tabela1[[#This Row],[promien]]=40000,1,0)</f>
        <v>0</v>
      </c>
      <c r="F6525" s="1">
        <v>3.1668965517241379</v>
      </c>
      <c r="G6525" s="1">
        <v>2.5303898134344749E-2</v>
      </c>
    </row>
    <row r="6526" spans="1:7">
      <c r="A6526">
        <v>251</v>
      </c>
      <c r="B6526">
        <v>127</v>
      </c>
      <c r="C6526" s="1">
        <f>(Tabela1[[#This Row],[x]]-H$3)*(Tabela1[[#This Row],[x]]-H$3) +(Tabela1[[#This Row],[y]]-H$4)*(Tabela1[[#This Row],[y]]-H$4)</f>
        <v>7930</v>
      </c>
      <c r="D6526" s="1">
        <f>IF(Tabela1[[#This Row],[promien]]&lt;40000,1,0)</f>
        <v>1</v>
      </c>
      <c r="E6526" s="1">
        <f>IF(Tabela1[[#This Row],[promien]]=40000,1,0)</f>
        <v>0</v>
      </c>
      <c r="F6526" s="1">
        <v>3.1670242108489122</v>
      </c>
      <c r="G6526" s="1">
        <v>2.5431557259119053E-2</v>
      </c>
    </row>
    <row r="6527" spans="1:7">
      <c r="A6527">
        <v>387</v>
      </c>
      <c r="B6527">
        <v>391</v>
      </c>
      <c r="C6527" s="1">
        <f>(Tabela1[[#This Row],[x]]-H$3)*(Tabela1[[#This Row],[x]]-H$3) +(Tabela1[[#This Row],[y]]-H$4)*(Tabela1[[#This Row],[y]]-H$4)</f>
        <v>71450</v>
      </c>
      <c r="D6527" s="1">
        <f>IF(Tabela1[[#This Row],[promien]]&lt;40000,1,0)</f>
        <v>0</v>
      </c>
      <c r="E6527" s="1">
        <f>IF(Tabela1[[#This Row],[promien]]=40000,1,0)</f>
        <v>0</v>
      </c>
      <c r="F6527" s="1">
        <v>3.1665389918798836</v>
      </c>
      <c r="G6527" s="1">
        <v>2.494633829009052E-2</v>
      </c>
    </row>
    <row r="6528" spans="1:7">
      <c r="A6528">
        <v>146</v>
      </c>
      <c r="B6528">
        <v>153</v>
      </c>
      <c r="C6528" s="1">
        <f>(Tabela1[[#This Row],[x]]-H$3)*(Tabela1[[#This Row],[x]]-H$3) +(Tabela1[[#This Row],[y]]-H$4)*(Tabela1[[#This Row],[y]]-H$4)</f>
        <v>5125</v>
      </c>
      <c r="D6528" s="1">
        <f>IF(Tabela1[[#This Row],[promien]]&lt;40000,1,0)</f>
        <v>1</v>
      </c>
      <c r="E6528" s="1">
        <f>IF(Tabela1[[#This Row],[promien]]=40000,1,0)</f>
        <v>0</v>
      </c>
      <c r="F6528" s="1">
        <v>3.1666666666666665</v>
      </c>
      <c r="G6528" s="1">
        <v>2.5074013076873403E-2</v>
      </c>
    </row>
    <row r="6529" spans="1:7">
      <c r="A6529">
        <v>177</v>
      </c>
      <c r="B6529">
        <v>237</v>
      </c>
      <c r="C6529" s="1">
        <f>(Tabela1[[#This Row],[x]]-H$3)*(Tabela1[[#This Row],[x]]-H$3) +(Tabela1[[#This Row],[y]]-H$4)*(Tabela1[[#This Row],[y]]-H$4)</f>
        <v>1898</v>
      </c>
      <c r="D6529" s="1">
        <f>IF(Tabela1[[#This Row],[promien]]&lt;40000,1,0)</f>
        <v>1</v>
      </c>
      <c r="E6529" s="1">
        <f>IF(Tabela1[[#This Row],[promien]]=40000,1,0)</f>
        <v>0</v>
      </c>
      <c r="F6529" s="1">
        <v>3.1667943023433911</v>
      </c>
      <c r="G6529" s="1">
        <v>2.5201648753597983E-2</v>
      </c>
    </row>
    <row r="6530" spans="1:7">
      <c r="A6530">
        <v>340</v>
      </c>
      <c r="B6530">
        <v>253</v>
      </c>
      <c r="C6530" s="1">
        <f>(Tabela1[[#This Row],[x]]-H$3)*(Tabela1[[#This Row],[x]]-H$3) +(Tabela1[[#This Row],[y]]-H$4)*(Tabela1[[#This Row],[y]]-H$4)</f>
        <v>22409</v>
      </c>
      <c r="D6530" s="1">
        <f>IF(Tabela1[[#This Row],[promien]]&lt;40000,1,0)</f>
        <v>1</v>
      </c>
      <c r="E6530" s="1">
        <f>IF(Tabela1[[#This Row],[promien]]=40000,1,0)</f>
        <v>0</v>
      </c>
      <c r="F6530" s="1">
        <v>3.1669218989280243</v>
      </c>
      <c r="G6530" s="1">
        <v>2.5329245338231221E-2</v>
      </c>
    </row>
    <row r="6531" spans="1:7">
      <c r="A6531">
        <v>54</v>
      </c>
      <c r="B6531">
        <v>396</v>
      </c>
      <c r="C6531" s="1">
        <f>(Tabela1[[#This Row],[x]]-H$3)*(Tabela1[[#This Row],[x]]-H$3) +(Tabela1[[#This Row],[y]]-H$4)*(Tabela1[[#This Row],[y]]-H$4)</f>
        <v>59732</v>
      </c>
      <c r="D6531" s="1">
        <f>IF(Tabela1[[#This Row],[promien]]&lt;40000,1,0)</f>
        <v>0</v>
      </c>
      <c r="E6531" s="1">
        <f>IF(Tabela1[[#This Row],[promien]]=40000,1,0)</f>
        <v>0</v>
      </c>
      <c r="F6531" s="1">
        <v>3.1664369928035523</v>
      </c>
      <c r="G6531" s="1">
        <v>2.484433921375917E-2</v>
      </c>
    </row>
    <row r="6532" spans="1:7">
      <c r="A6532">
        <v>50</v>
      </c>
      <c r="B6532">
        <v>41</v>
      </c>
      <c r="C6532" s="1">
        <f>(Tabela1[[#This Row],[x]]-H$3)*(Tabela1[[#This Row],[x]]-H$3) +(Tabela1[[#This Row],[y]]-H$4)*(Tabela1[[#This Row],[y]]-H$4)</f>
        <v>47781</v>
      </c>
      <c r="D6532" s="1">
        <f>IF(Tabela1[[#This Row],[promien]]&lt;40000,1,0)</f>
        <v>0</v>
      </c>
      <c r="E6532" s="1">
        <f>IF(Tabela1[[#This Row],[promien]]=40000,1,0)</f>
        <v>0</v>
      </c>
      <c r="F6532" s="1">
        <v>3.1659522351500304</v>
      </c>
      <c r="G6532" s="1">
        <v>2.435958156023732E-2</v>
      </c>
    </row>
    <row r="6533" spans="1:7">
      <c r="A6533">
        <v>297</v>
      </c>
      <c r="B6533">
        <v>113</v>
      </c>
      <c r="C6533" s="1">
        <f>(Tabela1[[#This Row],[x]]-H$3)*(Tabela1[[#This Row],[x]]-H$3) +(Tabela1[[#This Row],[y]]-H$4)*(Tabela1[[#This Row],[y]]-H$4)</f>
        <v>16978</v>
      </c>
      <c r="D6533" s="1">
        <f>IF(Tabela1[[#This Row],[promien]]&lt;40000,1,0)</f>
        <v>1</v>
      </c>
      <c r="E6533" s="1">
        <f>IF(Tabela1[[#This Row],[promien]]=40000,1,0)</f>
        <v>0</v>
      </c>
      <c r="F6533" s="1">
        <v>3.1660799020358183</v>
      </c>
      <c r="G6533" s="1">
        <v>2.4487248446025234E-2</v>
      </c>
    </row>
    <row r="6534" spans="1:7">
      <c r="A6534">
        <v>333</v>
      </c>
      <c r="B6534">
        <v>210</v>
      </c>
      <c r="C6534" s="1">
        <f>(Tabela1[[#This Row],[x]]-H$3)*(Tabela1[[#This Row],[x]]-H$3) +(Tabela1[[#This Row],[y]]-H$4)*(Tabela1[[#This Row],[y]]-H$4)</f>
        <v>17789</v>
      </c>
      <c r="D6534" s="1">
        <f>IF(Tabela1[[#This Row],[promien]]&lt;40000,1,0)</f>
        <v>1</v>
      </c>
      <c r="E6534" s="1">
        <f>IF(Tabela1[[#This Row],[promien]]=40000,1,0)</f>
        <v>0</v>
      </c>
      <c r="F6534" s="1">
        <v>3.1662075298438936</v>
      </c>
      <c r="G6534" s="1">
        <v>2.4614876254100526E-2</v>
      </c>
    </row>
    <row r="6535" spans="1:7">
      <c r="A6535">
        <v>168</v>
      </c>
      <c r="B6535">
        <v>310</v>
      </c>
      <c r="C6535" s="1">
        <f>(Tabela1[[#This Row],[x]]-H$3)*(Tabela1[[#This Row],[x]]-H$3) +(Tabela1[[#This Row],[y]]-H$4)*(Tabela1[[#This Row],[y]]-H$4)</f>
        <v>13124</v>
      </c>
      <c r="D6535" s="1">
        <f>IF(Tabela1[[#This Row],[promien]]&lt;40000,1,0)</f>
        <v>1</v>
      </c>
      <c r="E6535" s="1">
        <f>IF(Tabela1[[#This Row],[promien]]=40000,1,0)</f>
        <v>0</v>
      </c>
      <c r="F6535" s="1">
        <v>3.1663351185921957</v>
      </c>
      <c r="G6535" s="1">
        <v>2.4742465002402625E-2</v>
      </c>
    </row>
    <row r="6536" spans="1:7">
      <c r="A6536">
        <v>247</v>
      </c>
      <c r="B6536">
        <v>86</v>
      </c>
      <c r="C6536" s="1">
        <f>(Tabela1[[#This Row],[x]]-H$3)*(Tabela1[[#This Row],[x]]-H$3) +(Tabela1[[#This Row],[y]]-H$4)*(Tabela1[[#This Row],[y]]-H$4)</f>
        <v>15205</v>
      </c>
      <c r="D6536" s="1">
        <f>IF(Tabela1[[#This Row],[promien]]&lt;40000,1,0)</f>
        <v>1</v>
      </c>
      <c r="E6536" s="1">
        <f>IF(Tabela1[[#This Row],[promien]]=40000,1,0)</f>
        <v>0</v>
      </c>
      <c r="F6536" s="1">
        <v>3.1664626682986534</v>
      </c>
      <c r="G6536" s="1">
        <v>2.48700147088603E-2</v>
      </c>
    </row>
    <row r="6537" spans="1:7">
      <c r="A6537">
        <v>272</v>
      </c>
      <c r="B6537">
        <v>306</v>
      </c>
      <c r="C6537" s="1">
        <f>(Tabela1[[#This Row],[x]]-H$3)*(Tabela1[[#This Row],[x]]-H$3) +(Tabela1[[#This Row],[y]]-H$4)*(Tabela1[[#This Row],[y]]-H$4)</f>
        <v>16420</v>
      </c>
      <c r="D6537" s="1">
        <f>IF(Tabela1[[#This Row],[promien]]&lt;40000,1,0)</f>
        <v>1</v>
      </c>
      <c r="E6537" s="1">
        <f>IF(Tabela1[[#This Row],[promien]]=40000,1,0)</f>
        <v>0</v>
      </c>
      <c r="F6537" s="1">
        <v>3.1665901789811839</v>
      </c>
      <c r="G6537" s="1">
        <v>2.4997525391390774E-2</v>
      </c>
    </row>
    <row r="6538" spans="1:7">
      <c r="A6538">
        <v>152</v>
      </c>
      <c r="B6538">
        <v>364</v>
      </c>
      <c r="C6538" s="1">
        <f>(Tabela1[[#This Row],[x]]-H$3)*(Tabela1[[#This Row],[x]]-H$3) +(Tabela1[[#This Row],[y]]-H$4)*(Tabela1[[#This Row],[y]]-H$4)</f>
        <v>29200</v>
      </c>
      <c r="D6538" s="1">
        <f>IF(Tabela1[[#This Row],[promien]]&lt;40000,1,0)</f>
        <v>1</v>
      </c>
      <c r="E6538" s="1">
        <f>IF(Tabela1[[#This Row],[promien]]=40000,1,0)</f>
        <v>0</v>
      </c>
      <c r="F6538" s="1">
        <v>3.1667176506576933</v>
      </c>
      <c r="G6538" s="1">
        <v>2.5124997067900168E-2</v>
      </c>
    </row>
    <row r="6539" spans="1:7">
      <c r="A6539">
        <v>392</v>
      </c>
      <c r="B6539">
        <v>291</v>
      </c>
      <c r="C6539" s="1">
        <f>(Tabela1[[#This Row],[x]]-H$3)*(Tabela1[[#This Row],[x]]-H$3) +(Tabela1[[#This Row],[y]]-H$4)*(Tabela1[[#This Row],[y]]-H$4)</f>
        <v>45145</v>
      </c>
      <c r="D6539" s="1">
        <f>IF(Tabela1[[#This Row],[promien]]&lt;40000,1,0)</f>
        <v>0</v>
      </c>
      <c r="E6539" s="1">
        <f>IF(Tabela1[[#This Row],[promien]]=40000,1,0)</f>
        <v>0</v>
      </c>
      <c r="F6539" s="1">
        <v>3.1662333690166693</v>
      </c>
      <c r="G6539" s="1">
        <v>2.4640715426876181E-2</v>
      </c>
    </row>
    <row r="6540" spans="1:7">
      <c r="A6540">
        <v>88</v>
      </c>
      <c r="B6540">
        <v>293</v>
      </c>
      <c r="C6540" s="1">
        <f>(Tabela1[[#This Row],[x]]-H$3)*(Tabela1[[#This Row],[x]]-H$3) +(Tabela1[[#This Row],[y]]-H$4)*(Tabela1[[#This Row],[y]]-H$4)</f>
        <v>21193</v>
      </c>
      <c r="D6540" s="1">
        <f>IF(Tabela1[[#This Row],[promien]]&lt;40000,1,0)</f>
        <v>1</v>
      </c>
      <c r="E6540" s="1">
        <f>IF(Tabela1[[#This Row],[promien]]=40000,1,0)</f>
        <v>0</v>
      </c>
      <c r="F6540" s="1">
        <v>3.166360856269113</v>
      </c>
      <c r="G6540" s="1">
        <v>2.4768202679319895E-2</v>
      </c>
    </row>
    <row r="6541" spans="1:7">
      <c r="A6541">
        <v>216</v>
      </c>
      <c r="B6541">
        <v>294</v>
      </c>
      <c r="C6541" s="1">
        <f>(Tabela1[[#This Row],[x]]-H$3)*(Tabela1[[#This Row],[x]]-H$3) +(Tabela1[[#This Row],[y]]-H$4)*(Tabela1[[#This Row],[y]]-H$4)</f>
        <v>9092</v>
      </c>
      <c r="D6541" s="1">
        <f>IF(Tabela1[[#This Row],[promien]]&lt;40000,1,0)</f>
        <v>1</v>
      </c>
      <c r="E6541" s="1">
        <f>IF(Tabela1[[#This Row],[promien]]=40000,1,0)</f>
        <v>0</v>
      </c>
      <c r="F6541" s="1">
        <v>3.1664883045405903</v>
      </c>
      <c r="G6541" s="1">
        <v>2.4895650950797155E-2</v>
      </c>
    </row>
    <row r="6542" spans="1:7">
      <c r="A6542">
        <v>137</v>
      </c>
      <c r="B6542">
        <v>70</v>
      </c>
      <c r="C6542" s="1">
        <f>(Tabela1[[#This Row],[x]]-H$3)*(Tabela1[[#This Row],[x]]-H$3) +(Tabela1[[#This Row],[y]]-H$4)*(Tabela1[[#This Row],[y]]-H$4)</f>
        <v>20869</v>
      </c>
      <c r="D6542" s="1">
        <f>IF(Tabela1[[#This Row],[promien]]&lt;40000,1,0)</f>
        <v>1</v>
      </c>
      <c r="E6542" s="1">
        <f>IF(Tabela1[[#This Row],[promien]]=40000,1,0)</f>
        <v>0</v>
      </c>
      <c r="F6542" s="1">
        <v>3.1666157138489757</v>
      </c>
      <c r="G6542" s="1">
        <v>2.502306025918255E-2</v>
      </c>
    </row>
    <row r="6543" spans="1:7">
      <c r="A6543">
        <v>11</v>
      </c>
      <c r="B6543">
        <v>233</v>
      </c>
      <c r="C6543" s="1">
        <f>(Tabela1[[#This Row],[x]]-H$3)*(Tabela1[[#This Row],[x]]-H$3) +(Tabela1[[#This Row],[y]]-H$4)*(Tabela1[[#This Row],[y]]-H$4)</f>
        <v>36810</v>
      </c>
      <c r="D6543" s="1">
        <f>IF(Tabela1[[#This Row],[promien]]&lt;40000,1,0)</f>
        <v>1</v>
      </c>
      <c r="E6543" s="1">
        <f>IF(Tabela1[[#This Row],[promien]]=40000,1,0)</f>
        <v>0</v>
      </c>
      <c r="F6543" s="1">
        <v>3.1667430842121349</v>
      </c>
      <c r="G6543" s="1">
        <v>2.5150430622341791E-2</v>
      </c>
    </row>
    <row r="6544" spans="1:7">
      <c r="A6544">
        <v>72</v>
      </c>
      <c r="B6544">
        <v>165</v>
      </c>
      <c r="C6544" s="1">
        <f>(Tabela1[[#This Row],[x]]-H$3)*(Tabela1[[#This Row],[x]]-H$3) +(Tabela1[[#This Row],[y]]-H$4)*(Tabela1[[#This Row],[y]]-H$4)</f>
        <v>17609</v>
      </c>
      <c r="D6544" s="1">
        <f>IF(Tabela1[[#This Row],[promien]]&lt;40000,1,0)</f>
        <v>1</v>
      </c>
      <c r="E6544" s="1">
        <f>IF(Tabela1[[#This Row],[promien]]=40000,1,0)</f>
        <v>0</v>
      </c>
      <c r="F6544" s="1">
        <v>3.1668704156479217</v>
      </c>
      <c r="G6544" s="1">
        <v>2.5277762058128594E-2</v>
      </c>
    </row>
    <row r="6545" spans="1:7">
      <c r="A6545">
        <v>48</v>
      </c>
      <c r="B6545">
        <v>110</v>
      </c>
      <c r="C6545" s="1">
        <f>(Tabela1[[#This Row],[x]]-H$3)*(Tabela1[[#This Row],[x]]-H$3) +(Tabela1[[#This Row],[y]]-H$4)*(Tabela1[[#This Row],[y]]-H$4)</f>
        <v>31204</v>
      </c>
      <c r="D6545" s="1">
        <f>IF(Tabela1[[#This Row],[promien]]&lt;40000,1,0)</f>
        <v>1</v>
      </c>
      <c r="E6545" s="1">
        <f>IF(Tabela1[[#This Row],[promien]]=40000,1,0)</f>
        <v>0</v>
      </c>
      <c r="F6545" s="1">
        <v>3.1669977081741787</v>
      </c>
      <c r="G6545" s="1">
        <v>2.5405054584385578E-2</v>
      </c>
    </row>
    <row r="6546" spans="1:7">
      <c r="A6546">
        <v>287</v>
      </c>
      <c r="B6546">
        <v>258</v>
      </c>
      <c r="C6546" s="1">
        <f>(Tabela1[[#This Row],[x]]-H$3)*(Tabela1[[#This Row],[x]]-H$3) +(Tabela1[[#This Row],[y]]-H$4)*(Tabela1[[#This Row],[y]]-H$4)</f>
        <v>10933</v>
      </c>
      <c r="D6546" s="1">
        <f>IF(Tabela1[[#This Row],[promien]]&lt;40000,1,0)</f>
        <v>1</v>
      </c>
      <c r="E6546" s="1">
        <f>IF(Tabela1[[#This Row],[promien]]=40000,1,0)</f>
        <v>0</v>
      </c>
      <c r="F6546" s="1">
        <v>3.1671249618087383</v>
      </c>
      <c r="G6546" s="1">
        <v>2.5532308218945143E-2</v>
      </c>
    </row>
    <row r="6547" spans="1:7">
      <c r="A6547">
        <v>362</v>
      </c>
      <c r="B6547">
        <v>96</v>
      </c>
      <c r="C6547" s="1">
        <f>(Tabela1[[#This Row],[x]]-H$3)*(Tabela1[[#This Row],[x]]-H$3) +(Tabela1[[#This Row],[y]]-H$4)*(Tabela1[[#This Row],[y]]-H$4)</f>
        <v>37060</v>
      </c>
      <c r="D6547" s="1">
        <f>IF(Tabela1[[#This Row],[promien]]&lt;40000,1,0)</f>
        <v>1</v>
      </c>
      <c r="E6547" s="1">
        <f>IF(Tabela1[[#This Row],[promien]]=40000,1,0)</f>
        <v>0</v>
      </c>
      <c r="F6547" s="1">
        <v>3.1672521765694213</v>
      </c>
      <c r="G6547" s="1">
        <v>2.5659522979628147E-2</v>
      </c>
    </row>
    <row r="6548" spans="1:7">
      <c r="A6548">
        <v>355</v>
      </c>
      <c r="B6548">
        <v>307</v>
      </c>
      <c r="C6548" s="1">
        <f>(Tabela1[[#This Row],[x]]-H$3)*(Tabela1[[#This Row],[x]]-H$3) +(Tabela1[[#This Row],[y]]-H$4)*(Tabela1[[#This Row],[y]]-H$4)</f>
        <v>35474</v>
      </c>
      <c r="D6548" s="1">
        <f>IF(Tabela1[[#This Row],[promien]]&lt;40000,1,0)</f>
        <v>1</v>
      </c>
      <c r="E6548" s="1">
        <f>IF(Tabela1[[#This Row],[promien]]=40000,1,0)</f>
        <v>0</v>
      </c>
      <c r="F6548" s="1">
        <v>3.1673793524740379</v>
      </c>
      <c r="G6548" s="1">
        <v>2.5786698884244785E-2</v>
      </c>
    </row>
    <row r="6549" spans="1:7">
      <c r="A6549">
        <v>87</v>
      </c>
      <c r="B6549">
        <v>69</v>
      </c>
      <c r="C6549" s="1">
        <f>(Tabela1[[#This Row],[x]]-H$3)*(Tabela1[[#This Row],[x]]-H$3) +(Tabela1[[#This Row],[y]]-H$4)*(Tabela1[[#This Row],[y]]-H$4)</f>
        <v>29930</v>
      </c>
      <c r="D6549" s="1">
        <f>IF(Tabela1[[#This Row],[promien]]&lt;40000,1,0)</f>
        <v>1</v>
      </c>
      <c r="E6549" s="1">
        <f>IF(Tabela1[[#This Row],[promien]]=40000,1,0)</f>
        <v>0</v>
      </c>
      <c r="F6549" s="1">
        <v>3.1675064895403877</v>
      </c>
      <c r="G6549" s="1">
        <v>2.5913835950594599E-2</v>
      </c>
    </row>
    <row r="6550" spans="1:7">
      <c r="A6550">
        <v>32</v>
      </c>
      <c r="B6550">
        <v>287</v>
      </c>
      <c r="C6550" s="1">
        <f>(Tabela1[[#This Row],[x]]-H$3)*(Tabela1[[#This Row],[x]]-H$3) +(Tabela1[[#This Row],[y]]-H$4)*(Tabela1[[#This Row],[y]]-H$4)</f>
        <v>35793</v>
      </c>
      <c r="D6550" s="1">
        <f>IF(Tabela1[[#This Row],[promien]]&lt;40000,1,0)</f>
        <v>1</v>
      </c>
      <c r="E6550" s="1">
        <f>IF(Tabela1[[#This Row],[promien]]=40000,1,0)</f>
        <v>0</v>
      </c>
      <c r="F6550" s="1">
        <v>3.1676335877862596</v>
      </c>
      <c r="G6550" s="1">
        <v>2.604093419646647E-2</v>
      </c>
    </row>
    <row r="6551" spans="1:7">
      <c r="A6551">
        <v>161</v>
      </c>
      <c r="B6551">
        <v>267</v>
      </c>
      <c r="C6551" s="1">
        <f>(Tabela1[[#This Row],[x]]-H$3)*(Tabela1[[#This Row],[x]]-H$3) +(Tabela1[[#This Row],[y]]-H$4)*(Tabela1[[#This Row],[y]]-H$4)</f>
        <v>6010</v>
      </c>
      <c r="D6551" s="1">
        <f>IF(Tabela1[[#This Row],[promien]]&lt;40000,1,0)</f>
        <v>1</v>
      </c>
      <c r="E6551" s="1">
        <f>IF(Tabela1[[#This Row],[promien]]=40000,1,0)</f>
        <v>0</v>
      </c>
      <c r="F6551" s="1">
        <v>3.1677606472294304</v>
      </c>
      <c r="G6551" s="1">
        <v>2.6167993639637288E-2</v>
      </c>
    </row>
    <row r="6552" spans="1:7">
      <c r="A6552">
        <v>106</v>
      </c>
      <c r="B6552">
        <v>139</v>
      </c>
      <c r="C6552" s="1">
        <f>(Tabela1[[#This Row],[x]]-H$3)*(Tabela1[[#This Row],[x]]-H$3) +(Tabela1[[#This Row],[y]]-H$4)*(Tabela1[[#This Row],[y]]-H$4)</f>
        <v>12557</v>
      </c>
      <c r="D6552" s="1">
        <f>IF(Tabela1[[#This Row],[promien]]&lt;40000,1,0)</f>
        <v>1</v>
      </c>
      <c r="E6552" s="1">
        <f>IF(Tabela1[[#This Row],[promien]]=40000,1,0)</f>
        <v>0</v>
      </c>
      <c r="F6552" s="1">
        <v>3.1678876678876677</v>
      </c>
      <c r="G6552" s="1">
        <v>2.6295014297874619E-2</v>
      </c>
    </row>
    <row r="6553" spans="1:7">
      <c r="A6553">
        <v>227</v>
      </c>
      <c r="B6553">
        <v>50</v>
      </c>
      <c r="C6553" s="1">
        <f>(Tabela1[[#This Row],[x]]-H$3)*(Tabela1[[#This Row],[x]]-H$3) +(Tabela1[[#This Row],[y]]-H$4)*(Tabela1[[#This Row],[y]]-H$4)</f>
        <v>23229</v>
      </c>
      <c r="D6553" s="1">
        <f>IF(Tabela1[[#This Row],[promien]]&lt;40000,1,0)</f>
        <v>1</v>
      </c>
      <c r="E6553" s="1">
        <f>IF(Tabela1[[#This Row],[promien]]=40000,1,0)</f>
        <v>0</v>
      </c>
      <c r="F6553" s="1">
        <v>3.1680146497787272</v>
      </c>
      <c r="G6553" s="1">
        <v>2.6421996188934038E-2</v>
      </c>
    </row>
    <row r="6554" spans="1:7">
      <c r="A6554">
        <v>186</v>
      </c>
      <c r="B6554">
        <v>158</v>
      </c>
      <c r="C6554" s="1">
        <f>(Tabela1[[#This Row],[x]]-H$3)*(Tabela1[[#This Row],[x]]-H$3) +(Tabela1[[#This Row],[y]]-H$4)*(Tabela1[[#This Row],[y]]-H$4)</f>
        <v>1960</v>
      </c>
      <c r="D6554" s="1">
        <f>IF(Tabela1[[#This Row],[promien]]&lt;40000,1,0)</f>
        <v>1</v>
      </c>
      <c r="E6554" s="1">
        <f>IF(Tabela1[[#This Row],[promien]]=40000,1,0)</f>
        <v>0</v>
      </c>
      <c r="F6554" s="1">
        <v>3.168141592920354</v>
      </c>
      <c r="G6554" s="1">
        <v>2.6548939330560906E-2</v>
      </c>
    </row>
    <row r="6555" spans="1:7">
      <c r="A6555">
        <v>3</v>
      </c>
      <c r="B6555">
        <v>357</v>
      </c>
      <c r="C6555" s="1">
        <f>(Tabela1[[#This Row],[x]]-H$3)*(Tabela1[[#This Row],[x]]-H$3) +(Tabela1[[#This Row],[y]]-H$4)*(Tabela1[[#This Row],[y]]-H$4)</f>
        <v>63458</v>
      </c>
      <c r="D6555" s="1">
        <f>IF(Tabela1[[#This Row],[promien]]&lt;40000,1,0)</f>
        <v>0</v>
      </c>
      <c r="E6555" s="1">
        <f>IF(Tabela1[[#This Row],[promien]]=40000,1,0)</f>
        <v>0</v>
      </c>
      <c r="F6555" s="1">
        <v>3.1676582761250955</v>
      </c>
      <c r="G6555" s="1">
        <v>2.6065622535302424E-2</v>
      </c>
    </row>
    <row r="6556" spans="1:7">
      <c r="A6556">
        <v>221</v>
      </c>
      <c r="B6556">
        <v>24</v>
      </c>
      <c r="C6556" s="1">
        <f>(Tabela1[[#This Row],[x]]-H$3)*(Tabela1[[#This Row],[x]]-H$3) +(Tabela1[[#This Row],[y]]-H$4)*(Tabela1[[#This Row],[y]]-H$4)</f>
        <v>31417</v>
      </c>
      <c r="D6556" s="1">
        <f>IF(Tabela1[[#This Row],[promien]]&lt;40000,1,0)</f>
        <v>1</v>
      </c>
      <c r="E6556" s="1">
        <f>IF(Tabela1[[#This Row],[promien]]=40000,1,0)</f>
        <v>0</v>
      </c>
      <c r="F6556" s="1">
        <v>3.1677852348993287</v>
      </c>
      <c r="G6556" s="1">
        <v>2.6192581309535612E-2</v>
      </c>
    </row>
    <row r="6557" spans="1:7">
      <c r="A6557">
        <v>194</v>
      </c>
      <c r="B6557">
        <v>224</v>
      </c>
      <c r="C6557" s="1">
        <f>(Tabela1[[#This Row],[x]]-H$3)*(Tabela1[[#This Row],[x]]-H$3) +(Tabela1[[#This Row],[y]]-H$4)*(Tabela1[[#This Row],[y]]-H$4)</f>
        <v>612</v>
      </c>
      <c r="D6557" s="1">
        <f>IF(Tabela1[[#This Row],[promien]]&lt;40000,1,0)</f>
        <v>1</v>
      </c>
      <c r="E6557" s="1">
        <f>IF(Tabela1[[#This Row],[promien]]=40000,1,0)</f>
        <v>0</v>
      </c>
      <c r="F6557" s="1">
        <v>3.1679121549489095</v>
      </c>
      <c r="G6557" s="1">
        <v>2.6319501359116426E-2</v>
      </c>
    </row>
    <row r="6558" spans="1:7">
      <c r="A6558">
        <v>4</v>
      </c>
      <c r="B6558">
        <v>212</v>
      </c>
      <c r="C6558" s="1">
        <f>(Tabela1[[#This Row],[x]]-H$3)*(Tabela1[[#This Row],[x]]-H$3) +(Tabela1[[#This Row],[y]]-H$4)*(Tabela1[[#This Row],[y]]-H$4)</f>
        <v>38560</v>
      </c>
      <c r="D6558" s="1">
        <f>IF(Tabela1[[#This Row],[promien]]&lt;40000,1,0)</f>
        <v>1</v>
      </c>
      <c r="E6558" s="1">
        <f>IF(Tabela1[[#This Row],[promien]]=40000,1,0)</f>
        <v>0</v>
      </c>
      <c r="F6558" s="1">
        <v>3.1680390362915523</v>
      </c>
      <c r="G6558" s="1">
        <v>2.6446382701759141E-2</v>
      </c>
    </row>
    <row r="6559" spans="1:7">
      <c r="A6559">
        <v>98</v>
      </c>
      <c r="B6559">
        <v>280</v>
      </c>
      <c r="C6559" s="1">
        <f>(Tabela1[[#This Row],[x]]-H$3)*(Tabela1[[#This Row],[x]]-H$3) +(Tabela1[[#This Row],[y]]-H$4)*(Tabela1[[#This Row],[y]]-H$4)</f>
        <v>16804</v>
      </c>
      <c r="D6559" s="1">
        <f>IF(Tabela1[[#This Row],[promien]]&lt;40000,1,0)</f>
        <v>1</v>
      </c>
      <c r="E6559" s="1">
        <f>IF(Tabela1[[#This Row],[promien]]=40000,1,0)</f>
        <v>0</v>
      </c>
      <c r="F6559" s="1">
        <v>3.1681658789449609</v>
      </c>
      <c r="G6559" s="1">
        <v>2.6573225355167818E-2</v>
      </c>
    </row>
    <row r="6560" spans="1:7">
      <c r="A6560">
        <v>364</v>
      </c>
      <c r="B6560">
        <v>339</v>
      </c>
      <c r="C6560" s="1">
        <f>(Tabela1[[#This Row],[x]]-H$3)*(Tabela1[[#This Row],[x]]-H$3) +(Tabela1[[#This Row],[y]]-H$4)*(Tabela1[[#This Row],[y]]-H$4)</f>
        <v>46217</v>
      </c>
      <c r="D6560" s="1">
        <f>IF(Tabela1[[#This Row],[promien]]&lt;40000,1,0)</f>
        <v>0</v>
      </c>
      <c r="E6560" s="1">
        <f>IF(Tabela1[[#This Row],[promien]]=40000,1,0)</f>
        <v>0</v>
      </c>
      <c r="F6560" s="1">
        <v>3.1676829268292681</v>
      </c>
      <c r="G6560" s="1">
        <v>2.6090273239474993E-2</v>
      </c>
    </row>
    <row r="6561" spans="1:7">
      <c r="A6561">
        <v>154</v>
      </c>
      <c r="B6561">
        <v>142</v>
      </c>
      <c r="C6561" s="1">
        <f>(Tabela1[[#This Row],[x]]-H$3)*(Tabela1[[#This Row],[x]]-H$3) +(Tabela1[[#This Row],[y]]-H$4)*(Tabela1[[#This Row],[y]]-H$4)</f>
        <v>5480</v>
      </c>
      <c r="D6561" s="1">
        <f>IF(Tabela1[[#This Row],[promien]]&lt;40000,1,0)</f>
        <v>1</v>
      </c>
      <c r="E6561" s="1">
        <f>IF(Tabela1[[#This Row],[promien]]=40000,1,0)</f>
        <v>0</v>
      </c>
      <c r="F6561" s="1">
        <v>3.1678097850937359</v>
      </c>
      <c r="G6561" s="1">
        <v>2.6217131503942781E-2</v>
      </c>
    </row>
    <row r="6562" spans="1:7">
      <c r="A6562">
        <v>341</v>
      </c>
      <c r="B6562">
        <v>339</v>
      </c>
      <c r="C6562" s="1">
        <f>(Tabela1[[#This Row],[x]]-H$3)*(Tabela1[[#This Row],[x]]-H$3) +(Tabela1[[#This Row],[y]]-H$4)*(Tabela1[[#This Row],[y]]-H$4)</f>
        <v>39202</v>
      </c>
      <c r="D6562" s="1">
        <f>IF(Tabela1[[#This Row],[promien]]&lt;40000,1,0)</f>
        <v>1</v>
      </c>
      <c r="E6562" s="1">
        <f>IF(Tabela1[[#This Row],[promien]]=40000,1,0)</f>
        <v>0</v>
      </c>
      <c r="F6562" s="1">
        <v>3.1679366046936908</v>
      </c>
      <c r="G6562" s="1">
        <v>2.6343951103897645E-2</v>
      </c>
    </row>
    <row r="6563" spans="1:7">
      <c r="A6563">
        <v>61</v>
      </c>
      <c r="B6563">
        <v>74</v>
      </c>
      <c r="C6563" s="1">
        <f>(Tabela1[[#This Row],[x]]-H$3)*(Tabela1[[#This Row],[x]]-H$3) +(Tabela1[[#This Row],[y]]-H$4)*(Tabela1[[#This Row],[y]]-H$4)</f>
        <v>35197</v>
      </c>
      <c r="D6563" s="1">
        <f>IF(Tabela1[[#This Row],[promien]]&lt;40000,1,0)</f>
        <v>1</v>
      </c>
      <c r="E6563" s="1">
        <f>IF(Tabela1[[#This Row],[promien]]=40000,1,0)</f>
        <v>0</v>
      </c>
      <c r="F6563" s="1">
        <v>3.1680633856468079</v>
      </c>
      <c r="G6563" s="1">
        <v>2.6470732057014779E-2</v>
      </c>
    </row>
    <row r="6564" spans="1:7">
      <c r="A6564">
        <v>92</v>
      </c>
      <c r="B6564">
        <v>272</v>
      </c>
      <c r="C6564" s="1">
        <f>(Tabela1[[#This Row],[x]]-H$3)*(Tabela1[[#This Row],[x]]-H$3) +(Tabela1[[#This Row],[y]]-H$4)*(Tabela1[[#This Row],[y]]-H$4)</f>
        <v>16848</v>
      </c>
      <c r="D6564" s="1">
        <f>IF(Tabela1[[#This Row],[promien]]&lt;40000,1,0)</f>
        <v>1</v>
      </c>
      <c r="E6564" s="1">
        <f>IF(Tabela1[[#This Row],[promien]]=40000,1,0)</f>
        <v>0</v>
      </c>
      <c r="F6564" s="1">
        <v>3.1681901279707496</v>
      </c>
      <c r="G6564" s="1">
        <v>2.6597474380956498E-2</v>
      </c>
    </row>
    <row r="6565" spans="1:7">
      <c r="A6565">
        <v>225</v>
      </c>
      <c r="B6565">
        <v>117</v>
      </c>
      <c r="C6565" s="1">
        <f>(Tabela1[[#This Row],[x]]-H$3)*(Tabela1[[#This Row],[x]]-H$3) +(Tabela1[[#This Row],[y]]-H$4)*(Tabela1[[#This Row],[y]]-H$4)</f>
        <v>7514</v>
      </c>
      <c r="D6565" s="1">
        <f>IF(Tabela1[[#This Row],[promien]]&lt;40000,1,0)</f>
        <v>1</v>
      </c>
      <c r="E6565" s="1">
        <f>IF(Tabela1[[#This Row],[promien]]=40000,1,0)</f>
        <v>0</v>
      </c>
      <c r="F6565" s="1">
        <v>3.1683168316831685</v>
      </c>
      <c r="G6565" s="1">
        <v>2.672417809337535E-2</v>
      </c>
    </row>
    <row r="6566" spans="1:7">
      <c r="A6566">
        <v>343</v>
      </c>
      <c r="B6566">
        <v>347</v>
      </c>
      <c r="C6566" s="1">
        <f>(Tabela1[[#This Row],[x]]-H$3)*(Tabela1[[#This Row],[x]]-H$3) +(Tabela1[[#This Row],[y]]-H$4)*(Tabela1[[#This Row],[y]]-H$4)</f>
        <v>42058</v>
      </c>
      <c r="D6566" s="1">
        <f>IF(Tabela1[[#This Row],[promien]]&lt;40000,1,0)</f>
        <v>0</v>
      </c>
      <c r="E6566" s="1">
        <f>IF(Tabela1[[#This Row],[promien]]=40000,1,0)</f>
        <v>0</v>
      </c>
      <c r="F6566" s="1">
        <v>3.1678342978982639</v>
      </c>
      <c r="G6566" s="1">
        <v>2.6241644308470757E-2</v>
      </c>
    </row>
    <row r="6567" spans="1:7">
      <c r="A6567">
        <v>110</v>
      </c>
      <c r="B6567">
        <v>209</v>
      </c>
      <c r="C6567" s="1">
        <f>(Tabela1[[#This Row],[x]]-H$3)*(Tabela1[[#This Row],[x]]-H$3) +(Tabela1[[#This Row],[y]]-H$4)*(Tabela1[[#This Row],[y]]-H$4)</f>
        <v>8181</v>
      </c>
      <c r="D6567" s="1">
        <f>IF(Tabela1[[#This Row],[promien]]&lt;40000,1,0)</f>
        <v>1</v>
      </c>
      <c r="E6567" s="1">
        <f>IF(Tabela1[[#This Row],[promien]]=40000,1,0)</f>
        <v>0</v>
      </c>
      <c r="F6567" s="1">
        <v>3.1679610172072485</v>
      </c>
      <c r="G6567" s="1">
        <v>2.6368363617455426E-2</v>
      </c>
    </row>
    <row r="6568" spans="1:7">
      <c r="A6568">
        <v>100</v>
      </c>
      <c r="B6568">
        <v>253</v>
      </c>
      <c r="C6568" s="1">
        <f>(Tabela1[[#This Row],[x]]-H$3)*(Tabela1[[#This Row],[x]]-H$3) +(Tabela1[[#This Row],[y]]-H$4)*(Tabela1[[#This Row],[y]]-H$4)</f>
        <v>12809</v>
      </c>
      <c r="D6568" s="1">
        <f>IF(Tabela1[[#This Row],[promien]]&lt;40000,1,0)</f>
        <v>1</v>
      </c>
      <c r="E6568" s="1">
        <f>IF(Tabela1[[#This Row],[promien]]=40000,1,0)</f>
        <v>0</v>
      </c>
      <c r="F6568" s="1">
        <v>3.1680876979293546</v>
      </c>
      <c r="G6568" s="1">
        <v>2.6495044339561513E-2</v>
      </c>
    </row>
    <row r="6569" spans="1:7">
      <c r="A6569">
        <v>304</v>
      </c>
      <c r="B6569">
        <v>266</v>
      </c>
      <c r="C6569" s="1">
        <f>(Tabela1[[#This Row],[x]]-H$3)*(Tabela1[[#This Row],[x]]-H$3) +(Tabela1[[#This Row],[y]]-H$4)*(Tabela1[[#This Row],[y]]-H$4)</f>
        <v>15172</v>
      </c>
      <c r="D6569" s="1">
        <f>IF(Tabela1[[#This Row],[promien]]&lt;40000,1,0)</f>
        <v>1</v>
      </c>
      <c r="E6569" s="1">
        <f>IF(Tabela1[[#This Row],[promien]]=40000,1,0)</f>
        <v>0</v>
      </c>
      <c r="F6569" s="1">
        <v>3.1682143400822045</v>
      </c>
      <c r="G6569" s="1">
        <v>2.6621686492411367E-2</v>
      </c>
    </row>
    <row r="6570" spans="1:7">
      <c r="A6570">
        <v>141</v>
      </c>
      <c r="B6570">
        <v>362</v>
      </c>
      <c r="C6570" s="1">
        <f>(Tabela1[[#This Row],[x]]-H$3)*(Tabela1[[#This Row],[x]]-H$3) +(Tabela1[[#This Row],[y]]-H$4)*(Tabela1[[#This Row],[y]]-H$4)</f>
        <v>29725</v>
      </c>
      <c r="D6570" s="1">
        <f>IF(Tabela1[[#This Row],[promien]]&lt;40000,1,0)</f>
        <v>1</v>
      </c>
      <c r="E6570" s="1">
        <f>IF(Tabela1[[#This Row],[promien]]=40000,1,0)</f>
        <v>0</v>
      </c>
      <c r="F6570" s="1">
        <v>3.1683409436834093</v>
      </c>
      <c r="G6570" s="1">
        <v>2.6748290093616234E-2</v>
      </c>
    </row>
    <row r="6571" spans="1:7">
      <c r="A6571">
        <v>286</v>
      </c>
      <c r="B6571">
        <v>6</v>
      </c>
      <c r="C6571" s="1">
        <f>(Tabela1[[#This Row],[x]]-H$3)*(Tabela1[[#This Row],[x]]-H$3) +(Tabela1[[#This Row],[y]]-H$4)*(Tabela1[[#This Row],[y]]-H$4)</f>
        <v>45032</v>
      </c>
      <c r="D6571" s="1">
        <f>IF(Tabela1[[#This Row],[promien]]&lt;40000,1,0)</f>
        <v>0</v>
      </c>
      <c r="E6571" s="1">
        <f>IF(Tabela1[[#This Row],[promien]]=40000,1,0)</f>
        <v>0</v>
      </c>
      <c r="F6571" s="1">
        <v>3.1678587733982653</v>
      </c>
      <c r="G6571" s="1">
        <v>2.6266119808472155E-2</v>
      </c>
    </row>
    <row r="6572" spans="1:7">
      <c r="A6572">
        <v>305</v>
      </c>
      <c r="B6572">
        <v>243</v>
      </c>
      <c r="C6572" s="1">
        <f>(Tabela1[[#This Row],[x]]-H$3)*(Tabela1[[#This Row],[x]]-H$3) +(Tabela1[[#This Row],[y]]-H$4)*(Tabela1[[#This Row],[y]]-H$4)</f>
        <v>12874</v>
      </c>
      <c r="D6572" s="1">
        <f>IF(Tabela1[[#This Row],[promien]]&lt;40000,1,0)</f>
        <v>1</v>
      </c>
      <c r="E6572" s="1">
        <f>IF(Tabela1[[#This Row],[promien]]=40000,1,0)</f>
        <v>0</v>
      </c>
      <c r="F6572" s="1">
        <v>3.1679853925745589</v>
      </c>
      <c r="G6572" s="1">
        <v>2.6392738984765796E-2</v>
      </c>
    </row>
    <row r="6573" spans="1:7">
      <c r="A6573">
        <v>125</v>
      </c>
      <c r="B6573">
        <v>25</v>
      </c>
      <c r="C6573" s="1">
        <f>(Tabela1[[#This Row],[x]]-H$3)*(Tabela1[[#This Row],[x]]-H$3) +(Tabela1[[#This Row],[y]]-H$4)*(Tabela1[[#This Row],[y]]-H$4)</f>
        <v>36250</v>
      </c>
      <c r="D6573" s="1">
        <f>IF(Tabela1[[#This Row],[promien]]&lt;40000,1,0)</f>
        <v>1</v>
      </c>
      <c r="E6573" s="1">
        <f>IF(Tabela1[[#This Row],[promien]]=40000,1,0)</f>
        <v>0</v>
      </c>
      <c r="F6573" s="1">
        <v>3.1681119732237941</v>
      </c>
      <c r="G6573" s="1">
        <v>2.6519319634001004E-2</v>
      </c>
    </row>
    <row r="6574" spans="1:7">
      <c r="A6574">
        <v>310</v>
      </c>
      <c r="B6574">
        <v>165</v>
      </c>
      <c r="C6574" s="1">
        <f>(Tabela1[[#This Row],[x]]-H$3)*(Tabela1[[#This Row],[x]]-H$3) +(Tabela1[[#This Row],[y]]-H$4)*(Tabela1[[#This Row],[y]]-H$4)</f>
        <v>13325</v>
      </c>
      <c r="D6574" s="1">
        <f>IF(Tabela1[[#This Row],[promien]]&lt;40000,1,0)</f>
        <v>1</v>
      </c>
      <c r="E6574" s="1">
        <f>IF(Tabela1[[#This Row],[promien]]=40000,1,0)</f>
        <v>0</v>
      </c>
      <c r="F6574" s="1">
        <v>3.1682385153635533</v>
      </c>
      <c r="G6574" s="1">
        <v>2.664586177376016E-2</v>
      </c>
    </row>
    <row r="6575" spans="1:7">
      <c r="A6575">
        <v>127</v>
      </c>
      <c r="B6575">
        <v>317</v>
      </c>
      <c r="C6575" s="1">
        <f>(Tabela1[[#This Row],[x]]-H$3)*(Tabela1[[#This Row],[x]]-H$3) +(Tabela1[[#This Row],[y]]-H$4)*(Tabela1[[#This Row],[y]]-H$4)</f>
        <v>19018</v>
      </c>
      <c r="D6575" s="1">
        <f>IF(Tabela1[[#This Row],[promien]]&lt;40000,1,0)</f>
        <v>1</v>
      </c>
      <c r="E6575" s="1">
        <f>IF(Tabela1[[#This Row],[promien]]=40000,1,0)</f>
        <v>0</v>
      </c>
      <c r="F6575" s="1">
        <v>3.1683650190114068</v>
      </c>
      <c r="G6575" s="1">
        <v>2.6772365421613653E-2</v>
      </c>
    </row>
    <row r="6576" spans="1:7">
      <c r="A6576">
        <v>259</v>
      </c>
      <c r="B6576">
        <v>186</v>
      </c>
      <c r="C6576" s="1">
        <f>(Tabela1[[#This Row],[x]]-H$3)*(Tabela1[[#This Row],[x]]-H$3) +(Tabela1[[#This Row],[y]]-H$4)*(Tabela1[[#This Row],[y]]-H$4)</f>
        <v>3677</v>
      </c>
      <c r="D6576" s="1">
        <f>IF(Tabela1[[#This Row],[promien]]&lt;40000,1,0)</f>
        <v>1</v>
      </c>
      <c r="E6576" s="1">
        <f>IF(Tabela1[[#This Row],[promien]]=40000,1,0)</f>
        <v>0</v>
      </c>
      <c r="F6576" s="1">
        <v>3.1684914841849148</v>
      </c>
      <c r="G6576" s="1">
        <v>2.6898830595121659E-2</v>
      </c>
    </row>
    <row r="6577" spans="1:7">
      <c r="A6577">
        <v>317</v>
      </c>
      <c r="B6577">
        <v>27</v>
      </c>
      <c r="C6577" s="1">
        <f>(Tabela1[[#This Row],[x]]-H$3)*(Tabela1[[#This Row],[x]]-H$3) +(Tabela1[[#This Row],[y]]-H$4)*(Tabela1[[#This Row],[y]]-H$4)</f>
        <v>43618</v>
      </c>
      <c r="D6577" s="1">
        <f>IF(Tabela1[[#This Row],[promien]]&lt;40000,1,0)</f>
        <v>0</v>
      </c>
      <c r="E6577" s="1">
        <f>IF(Tabela1[[#This Row],[promien]]=40000,1,0)</f>
        <v>0</v>
      </c>
      <c r="F6577" s="1">
        <v>3.1680097308803408</v>
      </c>
      <c r="G6577" s="1">
        <v>2.6417077290547653E-2</v>
      </c>
    </row>
    <row r="6578" spans="1:7">
      <c r="A6578">
        <v>143</v>
      </c>
      <c r="B6578">
        <v>378</v>
      </c>
      <c r="C6578" s="1">
        <f>(Tabela1[[#This Row],[x]]-H$3)*(Tabela1[[#This Row],[x]]-H$3) +(Tabela1[[#This Row],[y]]-H$4)*(Tabela1[[#This Row],[y]]-H$4)</f>
        <v>34933</v>
      </c>
      <c r="D6578" s="1">
        <f>IF(Tabela1[[#This Row],[promien]]&lt;40000,1,0)</f>
        <v>1</v>
      </c>
      <c r="E6578" s="1">
        <f>IF(Tabela1[[#This Row],[promien]]=40000,1,0)</f>
        <v>0</v>
      </c>
      <c r="F6578" s="1">
        <v>3.1681362116144727</v>
      </c>
      <c r="G6578" s="1">
        <v>2.6543558024679559E-2</v>
      </c>
    </row>
    <row r="6579" spans="1:7">
      <c r="A6579">
        <v>153</v>
      </c>
      <c r="B6579">
        <v>14</v>
      </c>
      <c r="C6579" s="1">
        <f>(Tabela1[[#This Row],[x]]-H$3)*(Tabela1[[#This Row],[x]]-H$3) +(Tabela1[[#This Row],[y]]-H$4)*(Tabela1[[#This Row],[y]]-H$4)</f>
        <v>36805</v>
      </c>
      <c r="D6579" s="1">
        <f>IF(Tabela1[[#This Row],[promien]]&lt;40000,1,0)</f>
        <v>1</v>
      </c>
      <c r="E6579" s="1">
        <f>IF(Tabela1[[#This Row],[promien]]=40000,1,0)</f>
        <v>0</v>
      </c>
      <c r="F6579" s="1">
        <v>3.1682626538987688</v>
      </c>
      <c r="G6579" s="1">
        <v>2.6670000308975705E-2</v>
      </c>
    </row>
    <row r="6580" spans="1:7">
      <c r="A6580">
        <v>334</v>
      </c>
      <c r="B6580">
        <v>343</v>
      </c>
      <c r="C6580" s="1">
        <f>(Tabela1[[#This Row],[x]]-H$3)*(Tabela1[[#This Row],[x]]-H$3) +(Tabela1[[#This Row],[y]]-H$4)*(Tabela1[[#This Row],[y]]-H$4)</f>
        <v>38405</v>
      </c>
      <c r="D6580" s="1">
        <f>IF(Tabela1[[#This Row],[promien]]&lt;40000,1,0)</f>
        <v>1</v>
      </c>
      <c r="E6580" s="1">
        <f>IF(Tabela1[[#This Row],[promien]]=40000,1,0)</f>
        <v>0</v>
      </c>
      <c r="F6580" s="1">
        <v>3.1683890577507601</v>
      </c>
      <c r="G6580" s="1">
        <v>2.6796404160966958E-2</v>
      </c>
    </row>
    <row r="6581" spans="1:7">
      <c r="A6581">
        <v>138</v>
      </c>
      <c r="B6581">
        <v>80</v>
      </c>
      <c r="C6581" s="1">
        <f>(Tabela1[[#This Row],[x]]-H$3)*(Tabela1[[#This Row],[x]]-H$3) +(Tabela1[[#This Row],[y]]-H$4)*(Tabela1[[#This Row],[y]]-H$4)</f>
        <v>18244</v>
      </c>
      <c r="D6581" s="1">
        <f>IF(Tabela1[[#This Row],[promien]]&lt;40000,1,0)</f>
        <v>1</v>
      </c>
      <c r="E6581" s="1">
        <f>IF(Tabela1[[#This Row],[promien]]=40000,1,0)</f>
        <v>0</v>
      </c>
      <c r="F6581" s="1">
        <v>3.1685154231879653</v>
      </c>
      <c r="G6581" s="1">
        <v>2.6922769598172192E-2</v>
      </c>
    </row>
    <row r="6582" spans="1:7">
      <c r="A6582">
        <v>62</v>
      </c>
      <c r="B6582">
        <v>91</v>
      </c>
      <c r="C6582" s="1">
        <f>(Tabela1[[#This Row],[x]]-H$3)*(Tabela1[[#This Row],[x]]-H$3) +(Tabela1[[#This Row],[y]]-H$4)*(Tabela1[[#This Row],[y]]-H$4)</f>
        <v>30925</v>
      </c>
      <c r="D6582" s="1">
        <f>IF(Tabela1[[#This Row],[promien]]&lt;40000,1,0)</f>
        <v>1</v>
      </c>
      <c r="E6582" s="1">
        <f>IF(Tabela1[[#This Row],[promien]]=40000,1,0)</f>
        <v>0</v>
      </c>
      <c r="F6582" s="1">
        <v>3.1686417502278941</v>
      </c>
      <c r="G6582" s="1">
        <v>2.7049096638100956E-2</v>
      </c>
    </row>
    <row r="6583" spans="1:7">
      <c r="A6583">
        <v>202</v>
      </c>
      <c r="B6583">
        <v>6</v>
      </c>
      <c r="C6583" s="1">
        <f>(Tabela1[[#This Row],[x]]-H$3)*(Tabela1[[#This Row],[x]]-H$3) +(Tabela1[[#This Row],[y]]-H$4)*(Tabela1[[#This Row],[y]]-H$4)</f>
        <v>37640</v>
      </c>
      <c r="D6583" s="1">
        <f>IF(Tabela1[[#This Row],[promien]]&lt;40000,1,0)</f>
        <v>1</v>
      </c>
      <c r="E6583" s="1">
        <f>IF(Tabela1[[#This Row],[promien]]=40000,1,0)</f>
        <v>0</v>
      </c>
      <c r="F6583" s="1">
        <v>3.1687680388880448</v>
      </c>
      <c r="G6583" s="1">
        <v>2.7175385298251697E-2</v>
      </c>
    </row>
    <row r="6584" spans="1:7">
      <c r="A6584">
        <v>75</v>
      </c>
      <c r="B6584">
        <v>355</v>
      </c>
      <c r="C6584" s="1">
        <f>(Tabela1[[#This Row],[x]]-H$3)*(Tabela1[[#This Row],[x]]-H$3) +(Tabela1[[#This Row],[y]]-H$4)*(Tabela1[[#This Row],[y]]-H$4)</f>
        <v>39650</v>
      </c>
      <c r="D6584" s="1">
        <f>IF(Tabela1[[#This Row],[promien]]&lt;40000,1,0)</f>
        <v>1</v>
      </c>
      <c r="E6584" s="1">
        <f>IF(Tabela1[[#This Row],[promien]]=40000,1,0)</f>
        <v>0</v>
      </c>
      <c r="F6584" s="1">
        <v>3.1688942891859053</v>
      </c>
      <c r="G6584" s="1">
        <v>2.7301635596112206E-2</v>
      </c>
    </row>
    <row r="6585" spans="1:7">
      <c r="A6585">
        <v>57</v>
      </c>
      <c r="B6585">
        <v>301</v>
      </c>
      <c r="C6585" s="1">
        <f>(Tabela1[[#This Row],[x]]-H$3)*(Tabela1[[#This Row],[x]]-H$3) +(Tabela1[[#This Row],[y]]-H$4)*(Tabela1[[#This Row],[y]]-H$4)</f>
        <v>30650</v>
      </c>
      <c r="D6585" s="1">
        <f>IF(Tabela1[[#This Row],[promien]]&lt;40000,1,0)</f>
        <v>1</v>
      </c>
      <c r="E6585" s="1">
        <f>IF(Tabela1[[#This Row],[promien]]=40000,1,0)</f>
        <v>0</v>
      </c>
      <c r="F6585" s="1">
        <v>3.1690205011389523</v>
      </c>
      <c r="G6585" s="1">
        <v>2.7427847549159168E-2</v>
      </c>
    </row>
    <row r="6586" spans="1:7">
      <c r="A6586">
        <v>316</v>
      </c>
      <c r="B6586">
        <v>357</v>
      </c>
      <c r="C6586" s="1">
        <f>(Tabela1[[#This Row],[x]]-H$3)*(Tabela1[[#This Row],[x]]-H$3) +(Tabela1[[#This Row],[y]]-H$4)*(Tabela1[[#This Row],[y]]-H$4)</f>
        <v>38105</v>
      </c>
      <c r="D6586" s="1">
        <f>IF(Tabela1[[#This Row],[promien]]&lt;40000,1,0)</f>
        <v>1</v>
      </c>
      <c r="E6586" s="1">
        <f>IF(Tabela1[[#This Row],[promien]]=40000,1,0)</f>
        <v>0</v>
      </c>
      <c r="F6586" s="1">
        <v>3.1691466747646522</v>
      </c>
      <c r="G6586" s="1">
        <v>2.7554021174859056E-2</v>
      </c>
    </row>
    <row r="6587" spans="1:7">
      <c r="A6587">
        <v>151</v>
      </c>
      <c r="B6587">
        <v>14</v>
      </c>
      <c r="C6587" s="1">
        <f>(Tabela1[[#This Row],[x]]-H$3)*(Tabela1[[#This Row],[x]]-H$3) +(Tabela1[[#This Row],[y]]-H$4)*(Tabela1[[#This Row],[y]]-H$4)</f>
        <v>36997</v>
      </c>
      <c r="D6587" s="1">
        <f>IF(Tabela1[[#This Row],[promien]]&lt;40000,1,0)</f>
        <v>1</v>
      </c>
      <c r="E6587" s="1">
        <f>IF(Tabela1[[#This Row],[promien]]=40000,1,0)</f>
        <v>0</v>
      </c>
      <c r="F6587" s="1">
        <v>3.1692728100804617</v>
      </c>
      <c r="G6587" s="1">
        <v>2.7680156490668573E-2</v>
      </c>
    </row>
    <row r="6588" spans="1:7">
      <c r="A6588">
        <v>46</v>
      </c>
      <c r="B6588">
        <v>76</v>
      </c>
      <c r="C6588" s="1">
        <f>(Tabela1[[#This Row],[x]]-H$3)*(Tabela1[[#This Row],[x]]-H$3) +(Tabela1[[#This Row],[y]]-H$4)*(Tabela1[[#This Row],[y]]-H$4)</f>
        <v>39092</v>
      </c>
      <c r="D6588" s="1">
        <f>IF(Tabela1[[#This Row],[promien]]&lt;40000,1,0)</f>
        <v>1</v>
      </c>
      <c r="E6588" s="1">
        <f>IF(Tabela1[[#This Row],[promien]]=40000,1,0)</f>
        <v>0</v>
      </c>
      <c r="F6588" s="1">
        <v>3.1693989071038251</v>
      </c>
      <c r="G6588" s="1">
        <v>2.7806253514031987E-2</v>
      </c>
    </row>
    <row r="6589" spans="1:7">
      <c r="A6589">
        <v>131</v>
      </c>
      <c r="B6589">
        <v>78</v>
      </c>
      <c r="C6589" s="1">
        <f>(Tabela1[[#This Row],[x]]-H$3)*(Tabela1[[#This Row],[x]]-H$3) +(Tabela1[[#This Row],[y]]-H$4)*(Tabela1[[#This Row],[y]]-H$4)</f>
        <v>19645</v>
      </c>
      <c r="D6589" s="1">
        <f>IF(Tabela1[[#This Row],[promien]]&lt;40000,1,0)</f>
        <v>1</v>
      </c>
      <c r="E6589" s="1">
        <f>IF(Tabela1[[#This Row],[promien]]=40000,1,0)</f>
        <v>0</v>
      </c>
      <c r="F6589" s="1">
        <v>3.1695249658521778</v>
      </c>
      <c r="G6589" s="1">
        <v>2.7932312262384684E-2</v>
      </c>
    </row>
    <row r="6590" spans="1:7">
      <c r="A6590">
        <v>157</v>
      </c>
      <c r="B6590">
        <v>135</v>
      </c>
      <c r="C6590" s="1">
        <f>(Tabela1[[#This Row],[x]]-H$3)*(Tabela1[[#This Row],[x]]-H$3) +(Tabela1[[#This Row],[y]]-H$4)*(Tabela1[[#This Row],[y]]-H$4)</f>
        <v>6074</v>
      </c>
      <c r="D6590" s="1">
        <f>IF(Tabela1[[#This Row],[promien]]&lt;40000,1,0)</f>
        <v>1</v>
      </c>
      <c r="E6590" s="1">
        <f>IF(Tabela1[[#This Row],[promien]]=40000,1,0)</f>
        <v>0</v>
      </c>
      <c r="F6590" s="1">
        <v>3.1696509863429441</v>
      </c>
      <c r="G6590" s="1">
        <v>2.805833275315095E-2</v>
      </c>
    </row>
    <row r="6591" spans="1:7">
      <c r="A6591">
        <v>216</v>
      </c>
      <c r="B6591">
        <v>119</v>
      </c>
      <c r="C6591" s="1">
        <f>(Tabela1[[#This Row],[x]]-H$3)*(Tabela1[[#This Row],[x]]-H$3) +(Tabela1[[#This Row],[y]]-H$4)*(Tabela1[[#This Row],[y]]-H$4)</f>
        <v>6817</v>
      </c>
      <c r="D6591" s="1">
        <f>IF(Tabela1[[#This Row],[promien]]&lt;40000,1,0)</f>
        <v>1</v>
      </c>
      <c r="E6591" s="1">
        <f>IF(Tabela1[[#This Row],[promien]]=40000,1,0)</f>
        <v>0</v>
      </c>
      <c r="F6591" s="1">
        <v>3.1697769685935366</v>
      </c>
      <c r="G6591" s="1">
        <v>2.8184315003743521E-2</v>
      </c>
    </row>
    <row r="6592" spans="1:7">
      <c r="A6592">
        <v>294</v>
      </c>
      <c r="B6592">
        <v>245</v>
      </c>
      <c r="C6592" s="1">
        <f>(Tabela1[[#This Row],[x]]-H$3)*(Tabela1[[#This Row],[x]]-H$3) +(Tabela1[[#This Row],[y]]-H$4)*(Tabela1[[#This Row],[y]]-H$4)</f>
        <v>10861</v>
      </c>
      <c r="D6592" s="1">
        <f>IF(Tabela1[[#This Row],[promien]]&lt;40000,1,0)</f>
        <v>1</v>
      </c>
      <c r="E6592" s="1">
        <f>IF(Tabela1[[#This Row],[promien]]=40000,1,0)</f>
        <v>0</v>
      </c>
      <c r="F6592" s="1">
        <v>3.1699029126213594</v>
      </c>
      <c r="G6592" s="1">
        <v>2.8310259031566254E-2</v>
      </c>
    </row>
    <row r="6593" spans="1:7">
      <c r="A6593">
        <v>176</v>
      </c>
      <c r="B6593">
        <v>141</v>
      </c>
      <c r="C6593" s="1">
        <f>(Tabela1[[#This Row],[x]]-H$3)*(Tabela1[[#This Row],[x]]-H$3) +(Tabela1[[#This Row],[y]]-H$4)*(Tabela1[[#This Row],[y]]-H$4)</f>
        <v>4057</v>
      </c>
      <c r="D6593" s="1">
        <f>IF(Tabela1[[#This Row],[promien]]&lt;40000,1,0)</f>
        <v>1</v>
      </c>
      <c r="E6593" s="1">
        <f>IF(Tabela1[[#This Row],[promien]]=40000,1,0)</f>
        <v>0</v>
      </c>
      <c r="F6593" s="1">
        <v>3.1700288184438041</v>
      </c>
      <c r="G6593" s="1">
        <v>2.8436164854011015E-2</v>
      </c>
    </row>
    <row r="6594" spans="1:7">
      <c r="A6594">
        <v>19</v>
      </c>
      <c r="B6594">
        <v>76</v>
      </c>
      <c r="C6594" s="1">
        <f>(Tabela1[[#This Row],[x]]-H$3)*(Tabela1[[#This Row],[x]]-H$3) +(Tabela1[[#This Row],[y]]-H$4)*(Tabela1[[#This Row],[y]]-H$4)</f>
        <v>48137</v>
      </c>
      <c r="D6594" s="1">
        <f>IF(Tabela1[[#This Row],[promien]]&lt;40000,1,0)</f>
        <v>0</v>
      </c>
      <c r="E6594" s="1">
        <f>IF(Tabela1[[#This Row],[promien]]=40000,1,0)</f>
        <v>0</v>
      </c>
      <c r="F6594" s="1">
        <v>3.1695480740066726</v>
      </c>
      <c r="G6594" s="1">
        <v>2.7955420416879484E-2</v>
      </c>
    </row>
    <row r="6595" spans="1:7">
      <c r="A6595">
        <v>79</v>
      </c>
      <c r="B6595">
        <v>308</v>
      </c>
      <c r="C6595" s="1">
        <f>(Tabela1[[#This Row],[x]]-H$3)*(Tabela1[[#This Row],[x]]-H$3) +(Tabela1[[#This Row],[y]]-H$4)*(Tabela1[[#This Row],[y]]-H$4)</f>
        <v>26305</v>
      </c>
      <c r="D6595" s="1">
        <f>IF(Tabela1[[#This Row],[promien]]&lt;40000,1,0)</f>
        <v>1</v>
      </c>
      <c r="E6595" s="1">
        <f>IF(Tabela1[[#This Row],[promien]]=40000,1,0)</f>
        <v>0</v>
      </c>
      <c r="F6595" s="1">
        <v>3.1696739954510993</v>
      </c>
      <c r="G6595" s="1">
        <v>2.8081341861306175E-2</v>
      </c>
    </row>
    <row r="6596" spans="1:7">
      <c r="A6596">
        <v>183</v>
      </c>
      <c r="B6596">
        <v>128</v>
      </c>
      <c r="C6596" s="1">
        <f>(Tabela1[[#This Row],[x]]-H$3)*(Tabela1[[#This Row],[x]]-H$3) +(Tabela1[[#This Row],[y]]-H$4)*(Tabela1[[#This Row],[y]]-H$4)</f>
        <v>5473</v>
      </c>
      <c r="D6596" s="1">
        <f>IF(Tabela1[[#This Row],[promien]]&lt;40000,1,0)</f>
        <v>1</v>
      </c>
      <c r="E6596" s="1">
        <f>IF(Tabela1[[#This Row],[promien]]=40000,1,0)</f>
        <v>0</v>
      </c>
      <c r="F6596" s="1">
        <v>3.1697998787143722</v>
      </c>
      <c r="G6596" s="1">
        <v>2.8207225124579072E-2</v>
      </c>
    </row>
    <row r="6597" spans="1:7">
      <c r="A6597">
        <v>19</v>
      </c>
      <c r="B6597">
        <v>40</v>
      </c>
      <c r="C6597" s="1">
        <f>(Tabela1[[#This Row],[x]]-H$3)*(Tabela1[[#This Row],[x]]-H$3) +(Tabela1[[#This Row],[y]]-H$4)*(Tabela1[[#This Row],[y]]-H$4)</f>
        <v>58361</v>
      </c>
      <c r="D6597" s="1">
        <f>IF(Tabela1[[#This Row],[promien]]&lt;40000,1,0)</f>
        <v>0</v>
      </c>
      <c r="E6597" s="1">
        <f>IF(Tabela1[[#This Row],[promien]]=40000,1,0)</f>
        <v>0</v>
      </c>
      <c r="F6597" s="1">
        <v>3.1693193876004244</v>
      </c>
      <c r="G6597" s="1">
        <v>2.7726734010631304E-2</v>
      </c>
    </row>
    <row r="6598" spans="1:7">
      <c r="A6598">
        <v>275</v>
      </c>
      <c r="B6598">
        <v>147</v>
      </c>
      <c r="C6598" s="1">
        <f>(Tabela1[[#This Row],[x]]-H$3)*(Tabela1[[#This Row],[x]]-H$3) +(Tabela1[[#This Row],[y]]-H$4)*(Tabela1[[#This Row],[y]]-H$4)</f>
        <v>8434</v>
      </c>
      <c r="D6598" s="1">
        <f>IF(Tabela1[[#This Row],[promien]]&lt;40000,1,0)</f>
        <v>1</v>
      </c>
      <c r="E6598" s="1">
        <f>IF(Tabela1[[#This Row],[promien]]=40000,1,0)</f>
        <v>0</v>
      </c>
      <c r="F6598" s="1">
        <v>3.1694452864504394</v>
      </c>
      <c r="G6598" s="1">
        <v>2.785263286064632E-2</v>
      </c>
    </row>
    <row r="6599" spans="1:7">
      <c r="A6599">
        <v>93</v>
      </c>
      <c r="B6599">
        <v>213</v>
      </c>
      <c r="C6599" s="1">
        <f>(Tabela1[[#This Row],[x]]-H$3)*(Tabela1[[#This Row],[x]]-H$3) +(Tabela1[[#This Row],[y]]-H$4)*(Tabela1[[#This Row],[y]]-H$4)</f>
        <v>11618</v>
      </c>
      <c r="D6599" s="1">
        <f>IF(Tabela1[[#This Row],[promien]]&lt;40000,1,0)</f>
        <v>1</v>
      </c>
      <c r="E6599" s="1">
        <f>IF(Tabela1[[#This Row],[promien]]=40000,1,0)</f>
        <v>0</v>
      </c>
      <c r="F6599" s="1">
        <v>3.1695711471435066</v>
      </c>
      <c r="G6599" s="1">
        <v>2.7978493553713513E-2</v>
      </c>
    </row>
    <row r="6600" spans="1:7">
      <c r="A6600">
        <v>297</v>
      </c>
      <c r="B6600">
        <v>181</v>
      </c>
      <c r="C6600" s="1">
        <f>(Tabela1[[#This Row],[x]]-H$3)*(Tabela1[[#This Row],[x]]-H$3) +(Tabela1[[#This Row],[y]]-H$4)*(Tabela1[[#This Row],[y]]-H$4)</f>
        <v>9770</v>
      </c>
      <c r="D6600" s="1">
        <f>IF(Tabela1[[#This Row],[promien]]&lt;40000,1,0)</f>
        <v>1</v>
      </c>
      <c r="E6600" s="1">
        <f>IF(Tabela1[[#This Row],[promien]]=40000,1,0)</f>
        <v>0</v>
      </c>
      <c r="F6600" s="1">
        <v>3.1696969696969699</v>
      </c>
      <c r="G6600" s="1">
        <v>2.8104316107176786E-2</v>
      </c>
    </row>
    <row r="6601" spans="1:7">
      <c r="A6601">
        <v>199</v>
      </c>
      <c r="B6601">
        <v>380</v>
      </c>
      <c r="C6601" s="1">
        <f>(Tabela1[[#This Row],[x]]-H$3)*(Tabela1[[#This Row],[x]]-H$3) +(Tabela1[[#This Row],[y]]-H$4)*(Tabela1[[#This Row],[y]]-H$4)</f>
        <v>32401</v>
      </c>
      <c r="D6601" s="1">
        <f>IF(Tabela1[[#This Row],[promien]]&lt;40000,1,0)</f>
        <v>1</v>
      </c>
      <c r="E6601" s="1">
        <f>IF(Tabela1[[#This Row],[promien]]=40000,1,0)</f>
        <v>0</v>
      </c>
      <c r="F6601" s="1">
        <v>3.1698227541281625</v>
      </c>
      <c r="G6601" s="1">
        <v>2.8230100538369385E-2</v>
      </c>
    </row>
    <row r="6602" spans="1:7">
      <c r="A6602">
        <v>370</v>
      </c>
      <c r="B6602">
        <v>312</v>
      </c>
      <c r="C6602" s="1">
        <f>(Tabela1[[#This Row],[x]]-H$3)*(Tabela1[[#This Row],[x]]-H$3) +(Tabela1[[#This Row],[y]]-H$4)*(Tabela1[[#This Row],[y]]-H$4)</f>
        <v>41444</v>
      </c>
      <c r="D6602" s="1">
        <f>IF(Tabela1[[#This Row],[promien]]&lt;40000,1,0)</f>
        <v>0</v>
      </c>
      <c r="E6602" s="1">
        <f>IF(Tabela1[[#This Row],[promien]]=40000,1,0)</f>
        <v>0</v>
      </c>
      <c r="F6602" s="1">
        <v>3.1693426234474402</v>
      </c>
      <c r="G6602" s="1">
        <v>2.7749969857647105E-2</v>
      </c>
    </row>
    <row r="6603" spans="1:7">
      <c r="A6603">
        <v>269</v>
      </c>
      <c r="B6603">
        <v>33</v>
      </c>
      <c r="C6603" s="1">
        <f>(Tabela1[[#This Row],[x]]-H$3)*(Tabela1[[#This Row],[x]]-H$3) +(Tabela1[[#This Row],[y]]-H$4)*(Tabela1[[#This Row],[y]]-H$4)</f>
        <v>32650</v>
      </c>
      <c r="D6603" s="1">
        <f>IF(Tabela1[[#This Row],[promien]]&lt;40000,1,0)</f>
        <v>1</v>
      </c>
      <c r="E6603" s="1">
        <f>IF(Tabela1[[#This Row],[promien]]=40000,1,0)</f>
        <v>0</v>
      </c>
      <c r="F6603" s="1">
        <v>3.169468423443889</v>
      </c>
      <c r="G6603" s="1">
        <v>2.78757698540959E-2</v>
      </c>
    </row>
    <row r="6604" spans="1:7">
      <c r="A6604">
        <v>67</v>
      </c>
      <c r="B6604">
        <v>325</v>
      </c>
      <c r="C6604" s="1">
        <f>(Tabela1[[#This Row],[x]]-H$3)*(Tabela1[[#This Row],[x]]-H$3) +(Tabela1[[#This Row],[y]]-H$4)*(Tabela1[[#This Row],[y]]-H$4)</f>
        <v>33314</v>
      </c>
      <c r="D6604" s="1">
        <f>IF(Tabela1[[#This Row],[promien]]&lt;40000,1,0)</f>
        <v>1</v>
      </c>
      <c r="E6604" s="1">
        <f>IF(Tabela1[[#This Row],[promien]]=40000,1,0)</f>
        <v>0</v>
      </c>
      <c r="F6604" s="1">
        <v>3.1695941853422167</v>
      </c>
      <c r="G6604" s="1">
        <v>2.8001531752423592E-2</v>
      </c>
    </row>
    <row r="6605" spans="1:7">
      <c r="A6605">
        <v>123</v>
      </c>
      <c r="B6605">
        <v>268</v>
      </c>
      <c r="C6605" s="1">
        <f>(Tabela1[[#This Row],[x]]-H$3)*(Tabela1[[#This Row],[x]]-H$3) +(Tabela1[[#This Row],[y]]-H$4)*(Tabela1[[#This Row],[y]]-H$4)</f>
        <v>10553</v>
      </c>
      <c r="D6605" s="1">
        <f>IF(Tabela1[[#This Row],[promien]]&lt;40000,1,0)</f>
        <v>1</v>
      </c>
      <c r="E6605" s="1">
        <f>IF(Tabela1[[#This Row],[promien]]=40000,1,0)</f>
        <v>0</v>
      </c>
      <c r="F6605" s="1">
        <v>3.1697199091597277</v>
      </c>
      <c r="G6605" s="1">
        <v>2.8127255569934562E-2</v>
      </c>
    </row>
    <row r="6606" spans="1:7">
      <c r="A6606">
        <v>268</v>
      </c>
      <c r="B6606">
        <v>131</v>
      </c>
      <c r="C6606" s="1">
        <f>(Tabela1[[#This Row],[x]]-H$3)*(Tabela1[[#This Row],[x]]-H$3) +(Tabela1[[#This Row],[y]]-H$4)*(Tabela1[[#This Row],[y]]-H$4)</f>
        <v>9385</v>
      </c>
      <c r="D6606" s="1">
        <f>IF(Tabela1[[#This Row],[promien]]&lt;40000,1,0)</f>
        <v>1</v>
      </c>
      <c r="E6606" s="1">
        <f>IF(Tabela1[[#This Row],[promien]]=40000,1,0)</f>
        <v>0</v>
      </c>
      <c r="F6606" s="1">
        <v>3.1698455949137148</v>
      </c>
      <c r="G6606" s="1">
        <v>2.8252941323921643E-2</v>
      </c>
    </row>
    <row r="6607" spans="1:7">
      <c r="A6607">
        <v>170</v>
      </c>
      <c r="B6607">
        <v>252</v>
      </c>
      <c r="C6607" s="1">
        <f>(Tabela1[[#This Row],[x]]-H$3)*(Tabela1[[#This Row],[x]]-H$3) +(Tabela1[[#This Row],[y]]-H$4)*(Tabela1[[#This Row],[y]]-H$4)</f>
        <v>3604</v>
      </c>
      <c r="D6607" s="1">
        <f>IF(Tabela1[[#This Row],[promien]]&lt;40000,1,0)</f>
        <v>1</v>
      </c>
      <c r="E6607" s="1">
        <f>IF(Tabela1[[#This Row],[promien]]=40000,1,0)</f>
        <v>0</v>
      </c>
      <c r="F6607" s="1">
        <v>3.1699712426214619</v>
      </c>
      <c r="G6607" s="1">
        <v>2.8378589031668788E-2</v>
      </c>
    </row>
    <row r="6608" spans="1:7">
      <c r="A6608">
        <v>98</v>
      </c>
      <c r="B6608">
        <v>32</v>
      </c>
      <c r="C6608" s="1">
        <f>(Tabela1[[#This Row],[x]]-H$3)*(Tabela1[[#This Row],[x]]-H$3) +(Tabela1[[#This Row],[y]]-H$4)*(Tabela1[[#This Row],[y]]-H$4)</f>
        <v>38628</v>
      </c>
      <c r="D6608" s="1">
        <f>IF(Tabela1[[#This Row],[promien]]&lt;40000,1,0)</f>
        <v>1</v>
      </c>
      <c r="E6608" s="1">
        <f>IF(Tabela1[[#This Row],[promien]]=40000,1,0)</f>
        <v>0</v>
      </c>
      <c r="F6608" s="1">
        <v>3.170096852300242</v>
      </c>
      <c r="G6608" s="1">
        <v>2.8504198710448847E-2</v>
      </c>
    </row>
    <row r="6609" spans="1:7">
      <c r="A6609">
        <v>52</v>
      </c>
      <c r="B6609">
        <v>30</v>
      </c>
      <c r="C6609" s="1">
        <f>(Tabela1[[#This Row],[x]]-H$3)*(Tabela1[[#This Row],[x]]-H$3) +(Tabela1[[#This Row],[y]]-H$4)*(Tabela1[[#This Row],[y]]-H$4)</f>
        <v>50804</v>
      </c>
      <c r="D6609" s="1">
        <f>IF(Tabela1[[#This Row],[promien]]&lt;40000,1,0)</f>
        <v>0</v>
      </c>
      <c r="E6609" s="1">
        <f>IF(Tabela1[[#This Row],[promien]]=40000,1,0)</f>
        <v>0</v>
      </c>
      <c r="F6609" s="1">
        <v>3.1696171886821003</v>
      </c>
      <c r="G6609" s="1">
        <v>2.8024535092307179E-2</v>
      </c>
    </row>
    <row r="6610" spans="1:7">
      <c r="A6610">
        <v>151</v>
      </c>
      <c r="B6610">
        <v>330</v>
      </c>
      <c r="C6610" s="1">
        <f>(Tabela1[[#This Row],[x]]-H$3)*(Tabela1[[#This Row],[x]]-H$3) +(Tabela1[[#This Row],[y]]-H$4)*(Tabela1[[#This Row],[y]]-H$4)</f>
        <v>19301</v>
      </c>
      <c r="D6610" s="1">
        <f>IF(Tabela1[[#This Row],[promien]]&lt;40000,1,0)</f>
        <v>1</v>
      </c>
      <c r="E6610" s="1">
        <f>IF(Tabela1[[#This Row],[promien]]=40000,1,0)</f>
        <v>0</v>
      </c>
      <c r="F6610" s="1">
        <v>3.1697428139183055</v>
      </c>
      <c r="G6610" s="1">
        <v>2.8150160328512364E-2</v>
      </c>
    </row>
    <row r="6611" spans="1:7">
      <c r="A6611">
        <v>230</v>
      </c>
      <c r="B6611">
        <v>19</v>
      </c>
      <c r="C6611" s="1">
        <f>(Tabela1[[#This Row],[x]]-H$3)*(Tabela1[[#This Row],[x]]-H$3) +(Tabela1[[#This Row],[y]]-H$4)*(Tabela1[[#This Row],[y]]-H$4)</f>
        <v>33661</v>
      </c>
      <c r="D6611" s="1">
        <f>IF(Tabela1[[#This Row],[promien]]&lt;40000,1,0)</f>
        <v>1</v>
      </c>
      <c r="E6611" s="1">
        <f>IF(Tabela1[[#This Row],[promien]]=40000,1,0)</f>
        <v>0</v>
      </c>
      <c r="F6611" s="1">
        <v>3.169868401149599</v>
      </c>
      <c r="G6611" s="1">
        <v>2.8275747559805886E-2</v>
      </c>
    </row>
    <row r="6612" spans="1:7">
      <c r="A6612">
        <v>223</v>
      </c>
      <c r="B6612">
        <v>57</v>
      </c>
      <c r="C6612" s="1">
        <f>(Tabela1[[#This Row],[x]]-H$3)*(Tabela1[[#This Row],[x]]-H$3) +(Tabela1[[#This Row],[y]]-H$4)*(Tabela1[[#This Row],[y]]-H$4)</f>
        <v>20978</v>
      </c>
      <c r="D6612" s="1">
        <f>IF(Tabela1[[#This Row],[promien]]&lt;40000,1,0)</f>
        <v>1</v>
      </c>
      <c r="E6612" s="1">
        <f>IF(Tabela1[[#This Row],[promien]]=40000,1,0)</f>
        <v>0</v>
      </c>
      <c r="F6612" s="1">
        <v>3.1699939503932244</v>
      </c>
      <c r="G6612" s="1">
        <v>2.8401296803431286E-2</v>
      </c>
    </row>
    <row r="6613" spans="1:7">
      <c r="A6613">
        <v>271</v>
      </c>
      <c r="B6613">
        <v>202</v>
      </c>
      <c r="C6613" s="1">
        <f>(Tabela1[[#This Row],[x]]-H$3)*(Tabela1[[#This Row],[x]]-H$3) +(Tabela1[[#This Row],[y]]-H$4)*(Tabela1[[#This Row],[y]]-H$4)</f>
        <v>5045</v>
      </c>
      <c r="D6613" s="1">
        <f>IF(Tabela1[[#This Row],[promien]]&lt;40000,1,0)</f>
        <v>1</v>
      </c>
      <c r="E6613" s="1">
        <f>IF(Tabela1[[#This Row],[promien]]=40000,1,0)</f>
        <v>0</v>
      </c>
      <c r="F6613" s="1">
        <v>3.1701194616664146</v>
      </c>
      <c r="G6613" s="1">
        <v>2.8526808076621446E-2</v>
      </c>
    </row>
    <row r="6614" spans="1:7">
      <c r="A6614">
        <v>346</v>
      </c>
      <c r="B6614">
        <v>307</v>
      </c>
      <c r="C6614" s="1">
        <f>(Tabela1[[#This Row],[x]]-H$3)*(Tabela1[[#This Row],[x]]-H$3) +(Tabela1[[#This Row],[y]]-H$4)*(Tabela1[[#This Row],[y]]-H$4)</f>
        <v>32765</v>
      </c>
      <c r="D6614" s="1">
        <f>IF(Tabela1[[#This Row],[promien]]&lt;40000,1,0)</f>
        <v>1</v>
      </c>
      <c r="E6614" s="1">
        <f>IF(Tabela1[[#This Row],[promien]]=40000,1,0)</f>
        <v>0</v>
      </c>
      <c r="F6614" s="1">
        <v>3.1702449349863926</v>
      </c>
      <c r="G6614" s="1">
        <v>2.8652281396599477E-2</v>
      </c>
    </row>
    <row r="6615" spans="1:7">
      <c r="A6615">
        <v>139</v>
      </c>
      <c r="B6615">
        <v>45</v>
      </c>
      <c r="C6615" s="1">
        <f>(Tabela1[[#This Row],[x]]-H$3)*(Tabela1[[#This Row],[x]]-H$3) +(Tabela1[[#This Row],[y]]-H$4)*(Tabela1[[#This Row],[y]]-H$4)</f>
        <v>27746</v>
      </c>
      <c r="D6615" s="1">
        <f>IF(Tabela1[[#This Row],[promien]]&lt;40000,1,0)</f>
        <v>1</v>
      </c>
      <c r="E6615" s="1">
        <f>IF(Tabela1[[#This Row],[promien]]=40000,1,0)</f>
        <v>0</v>
      </c>
      <c r="F6615" s="1">
        <v>3.1703703703703705</v>
      </c>
      <c r="G6615" s="1">
        <v>2.8777716780577389E-2</v>
      </c>
    </row>
    <row r="6616" spans="1:7">
      <c r="A6616">
        <v>7</v>
      </c>
      <c r="B6616">
        <v>339</v>
      </c>
      <c r="C6616" s="1">
        <f>(Tabela1[[#This Row],[x]]-H$3)*(Tabela1[[#This Row],[x]]-H$3) +(Tabela1[[#This Row],[y]]-H$4)*(Tabela1[[#This Row],[y]]-H$4)</f>
        <v>56570</v>
      </c>
      <c r="D6616" s="1">
        <f>IF(Tabela1[[#This Row],[promien]]&lt;40000,1,0)</f>
        <v>0</v>
      </c>
      <c r="E6616" s="1">
        <f>IF(Tabela1[[#This Row],[promien]]=40000,1,0)</f>
        <v>0</v>
      </c>
      <c r="F6616" s="1">
        <v>3.1698911729141477</v>
      </c>
      <c r="G6616" s="1">
        <v>2.8298519324354565E-2</v>
      </c>
    </row>
    <row r="6617" spans="1:7">
      <c r="A6617">
        <v>360</v>
      </c>
      <c r="B6617">
        <v>195</v>
      </c>
      <c r="C6617" s="1">
        <f>(Tabela1[[#This Row],[x]]-H$3)*(Tabela1[[#This Row],[x]]-H$3) +(Tabela1[[#This Row],[y]]-H$4)*(Tabela1[[#This Row],[y]]-H$4)</f>
        <v>25625</v>
      </c>
      <c r="D6617" s="1">
        <f>IF(Tabela1[[#This Row],[promien]]&lt;40000,1,0)</f>
        <v>1</v>
      </c>
      <c r="E6617" s="1">
        <f>IF(Tabela1[[#This Row],[promien]]=40000,1,0)</f>
        <v>0</v>
      </c>
      <c r="F6617" s="1">
        <v>3.170016623847665</v>
      </c>
      <c r="G6617" s="1">
        <v>2.8423970257871911E-2</v>
      </c>
    </row>
    <row r="6618" spans="1:7">
      <c r="A6618">
        <v>290</v>
      </c>
      <c r="B6618">
        <v>372</v>
      </c>
      <c r="C6618" s="1">
        <f>(Tabela1[[#This Row],[x]]-H$3)*(Tabela1[[#This Row],[x]]-H$3) +(Tabela1[[#This Row],[y]]-H$4)*(Tabela1[[#This Row],[y]]-H$4)</f>
        <v>37684</v>
      </c>
      <c r="D6618" s="1">
        <f>IF(Tabela1[[#This Row],[promien]]&lt;40000,1,0)</f>
        <v>1</v>
      </c>
      <c r="E6618" s="1">
        <f>IF(Tabela1[[#This Row],[promien]]=40000,1,0)</f>
        <v>0</v>
      </c>
      <c r="F6618" s="1">
        <v>3.1701420368691449</v>
      </c>
      <c r="G6618" s="1">
        <v>2.8549383279351748E-2</v>
      </c>
    </row>
    <row r="6619" spans="1:7">
      <c r="A6619">
        <v>20</v>
      </c>
      <c r="B6619">
        <v>69</v>
      </c>
      <c r="C6619" s="1">
        <f>(Tabela1[[#This Row],[x]]-H$3)*(Tabela1[[#This Row],[x]]-H$3) +(Tabela1[[#This Row],[y]]-H$4)*(Tabela1[[#This Row],[y]]-H$4)</f>
        <v>49561</v>
      </c>
      <c r="D6619" s="1">
        <f>IF(Tabela1[[#This Row],[promien]]&lt;40000,1,0)</f>
        <v>0</v>
      </c>
      <c r="E6619" s="1">
        <f>IF(Tabela1[[#This Row],[promien]]=40000,1,0)</f>
        <v>0</v>
      </c>
      <c r="F6619" s="1">
        <v>3.1696630911013748</v>
      </c>
      <c r="G6619" s="1">
        <v>2.807043751158167E-2</v>
      </c>
    </row>
    <row r="6620" spans="1:7">
      <c r="A6620">
        <v>78</v>
      </c>
      <c r="B6620">
        <v>381</v>
      </c>
      <c r="C6620" s="1">
        <f>(Tabela1[[#This Row],[x]]-H$3)*(Tabela1[[#This Row],[x]]-H$3) +(Tabela1[[#This Row],[y]]-H$4)*(Tabela1[[#This Row],[y]]-H$4)</f>
        <v>47645</v>
      </c>
      <c r="D6620" s="1">
        <f>IF(Tabela1[[#This Row],[promien]]&lt;40000,1,0)</f>
        <v>0</v>
      </c>
      <c r="E6620" s="1">
        <f>IF(Tabela1[[#This Row],[promien]]=40000,1,0)</f>
        <v>0</v>
      </c>
      <c r="F6620" s="1">
        <v>3.1691842900302114</v>
      </c>
      <c r="G6620" s="1">
        <v>2.7591636440418288E-2</v>
      </c>
    </row>
    <row r="6621" spans="1:7">
      <c r="A6621">
        <v>11</v>
      </c>
      <c r="B6621">
        <v>379</v>
      </c>
      <c r="C6621" s="1">
        <f>(Tabela1[[#This Row],[x]]-H$3)*(Tabela1[[#This Row],[x]]-H$3) +(Tabela1[[#This Row],[y]]-H$4)*(Tabela1[[#This Row],[y]]-H$4)</f>
        <v>67762</v>
      </c>
      <c r="D6621" s="1">
        <f>IF(Tabela1[[#This Row],[promien]]&lt;40000,1,0)</f>
        <v>0</v>
      </c>
      <c r="E6621" s="1">
        <f>IF(Tabela1[[#This Row],[promien]]=40000,1,0)</f>
        <v>0</v>
      </c>
      <c r="F6621" s="1">
        <v>3.1687056335900921</v>
      </c>
      <c r="G6621" s="1">
        <v>2.7112980000298936E-2</v>
      </c>
    </row>
    <row r="6622" spans="1:7">
      <c r="A6622">
        <v>113</v>
      </c>
      <c r="B6622">
        <v>304</v>
      </c>
      <c r="C6622" s="1">
        <f>(Tabela1[[#This Row],[x]]-H$3)*(Tabela1[[#This Row],[x]]-H$3) +(Tabela1[[#This Row],[y]]-H$4)*(Tabela1[[#This Row],[y]]-H$4)</f>
        <v>18385</v>
      </c>
      <c r="D6622" s="1">
        <f>IF(Tabela1[[#This Row],[promien]]&lt;40000,1,0)</f>
        <v>1</v>
      </c>
      <c r="E6622" s="1">
        <f>IF(Tabela1[[#This Row],[promien]]=40000,1,0)</f>
        <v>0</v>
      </c>
      <c r="F6622" s="1">
        <v>3.168831168831169</v>
      </c>
      <c r="G6622" s="1">
        <v>2.7238515241375882E-2</v>
      </c>
    </row>
    <row r="6623" spans="1:7">
      <c r="A6623">
        <v>36</v>
      </c>
      <c r="B6623">
        <v>390</v>
      </c>
      <c r="C6623" s="1">
        <f>(Tabela1[[#This Row],[x]]-H$3)*(Tabela1[[#This Row],[x]]-H$3) +(Tabela1[[#This Row],[y]]-H$4)*(Tabela1[[#This Row],[y]]-H$4)</f>
        <v>62996</v>
      </c>
      <c r="D6623" s="1">
        <f>IF(Tabela1[[#This Row],[promien]]&lt;40000,1,0)</f>
        <v>0</v>
      </c>
      <c r="E6623" s="1">
        <f>IF(Tabela1[[#This Row],[promien]]=40000,1,0)</f>
        <v>0</v>
      </c>
      <c r="F6623" s="1">
        <v>3.1683527102521514</v>
      </c>
      <c r="G6623" s="1">
        <v>2.6760056662358256E-2</v>
      </c>
    </row>
    <row r="6624" spans="1:7">
      <c r="A6624">
        <v>212</v>
      </c>
      <c r="B6624">
        <v>363</v>
      </c>
      <c r="C6624" s="1">
        <f>(Tabela1[[#This Row],[x]]-H$3)*(Tabela1[[#This Row],[x]]-H$3) +(Tabela1[[#This Row],[y]]-H$4)*(Tabela1[[#This Row],[y]]-H$4)</f>
        <v>26713</v>
      </c>
      <c r="D6624" s="1">
        <f>IF(Tabela1[[#This Row],[promien]]&lt;40000,1,0)</f>
        <v>1</v>
      </c>
      <c r="E6624" s="1">
        <f>IF(Tabela1[[#This Row],[promien]]=40000,1,0)</f>
        <v>0</v>
      </c>
      <c r="F6624" s="1">
        <v>3.1684782608695654</v>
      </c>
      <c r="G6624" s="1">
        <v>2.6885607279772294E-2</v>
      </c>
    </row>
    <row r="6625" spans="1:7">
      <c r="A6625">
        <v>23</v>
      </c>
      <c r="B6625">
        <v>240</v>
      </c>
      <c r="C6625" s="1">
        <f>(Tabela1[[#This Row],[x]]-H$3)*(Tabela1[[#This Row],[x]]-H$3) +(Tabela1[[#This Row],[y]]-H$4)*(Tabela1[[#This Row],[y]]-H$4)</f>
        <v>32929</v>
      </c>
      <c r="D6625" s="1">
        <f>IF(Tabela1[[#This Row],[promien]]&lt;40000,1,0)</f>
        <v>1</v>
      </c>
      <c r="E6625" s="1">
        <f>IF(Tabela1[[#This Row],[promien]]=40000,1,0)</f>
        <v>0</v>
      </c>
      <c r="F6625" s="1">
        <v>3.1686037735849055</v>
      </c>
      <c r="G6625" s="1">
        <v>2.7011119995112409E-2</v>
      </c>
    </row>
    <row r="6626" spans="1:7">
      <c r="A6626">
        <v>48</v>
      </c>
      <c r="B6626">
        <v>353</v>
      </c>
      <c r="C6626" s="1">
        <f>(Tabela1[[#This Row],[x]]-H$3)*(Tabela1[[#This Row],[x]]-H$3) +(Tabela1[[#This Row],[y]]-H$4)*(Tabela1[[#This Row],[y]]-H$4)</f>
        <v>46513</v>
      </c>
      <c r="D6626" s="1">
        <f>IF(Tabela1[[#This Row],[promien]]&lt;40000,1,0)</f>
        <v>0</v>
      </c>
      <c r="E6626" s="1">
        <f>IF(Tabela1[[#This Row],[promien]]=40000,1,0)</f>
        <v>0</v>
      </c>
      <c r="F6626" s="1">
        <v>3.1681255659523089</v>
      </c>
      <c r="G6626" s="1">
        <v>2.6532912362515759E-2</v>
      </c>
    </row>
    <row r="6627" spans="1:7">
      <c r="A6627">
        <v>308</v>
      </c>
      <c r="B6627">
        <v>135</v>
      </c>
      <c r="C6627" s="1">
        <f>(Tabela1[[#This Row],[x]]-H$3)*(Tabela1[[#This Row],[x]]-H$3) +(Tabela1[[#This Row],[y]]-H$4)*(Tabela1[[#This Row],[y]]-H$4)</f>
        <v>15889</v>
      </c>
      <c r="D6627" s="1">
        <f>IF(Tabela1[[#This Row],[promien]]&lt;40000,1,0)</f>
        <v>1</v>
      </c>
      <c r="E6627" s="1">
        <f>IF(Tabela1[[#This Row],[promien]]=40000,1,0)</f>
        <v>0</v>
      </c>
      <c r="F6627" s="1">
        <v>3.1682510940093556</v>
      </c>
      <c r="G6627" s="1">
        <v>2.6658440419562446E-2</v>
      </c>
    </row>
    <row r="6628" spans="1:7">
      <c r="A6628">
        <v>2</v>
      </c>
      <c r="B6628">
        <v>127</v>
      </c>
      <c r="C6628" s="1">
        <f>(Tabela1[[#This Row],[x]]-H$3)*(Tabela1[[#This Row],[x]]-H$3) +(Tabela1[[#This Row],[y]]-H$4)*(Tabela1[[#This Row],[y]]-H$4)</f>
        <v>44533</v>
      </c>
      <c r="D6628" s="1">
        <f>IF(Tabela1[[#This Row],[promien]]&lt;40000,1,0)</f>
        <v>0</v>
      </c>
      <c r="E6628" s="1">
        <f>IF(Tabela1[[#This Row],[promien]]=40000,1,0)</f>
        <v>0</v>
      </c>
      <c r="F6628" s="1">
        <v>3.1677730838865421</v>
      </c>
      <c r="G6628" s="1">
        <v>2.6180430296748991E-2</v>
      </c>
    </row>
    <row r="6629" spans="1:7">
      <c r="A6629">
        <v>168</v>
      </c>
      <c r="B6629">
        <v>31</v>
      </c>
      <c r="C6629" s="1">
        <f>(Tabela1[[#This Row],[x]]-H$3)*(Tabela1[[#This Row],[x]]-H$3) +(Tabela1[[#This Row],[y]]-H$4)*(Tabela1[[#This Row],[y]]-H$4)</f>
        <v>29585</v>
      </c>
      <c r="D6629" s="1">
        <f>IF(Tabela1[[#This Row],[promien]]&lt;40000,1,0)</f>
        <v>1</v>
      </c>
      <c r="E6629" s="1">
        <f>IF(Tabela1[[#This Row],[promien]]=40000,1,0)</f>
        <v>0</v>
      </c>
      <c r="F6629" s="1">
        <v>3.167898627243928</v>
      </c>
      <c r="G6629" s="1">
        <v>2.6305973654134895E-2</v>
      </c>
    </row>
    <row r="6630" spans="1:7">
      <c r="A6630">
        <v>36</v>
      </c>
      <c r="B6630">
        <v>363</v>
      </c>
      <c r="C6630" s="1">
        <f>(Tabela1[[#This Row],[x]]-H$3)*(Tabela1[[#This Row],[x]]-H$3) +(Tabela1[[#This Row],[y]]-H$4)*(Tabela1[[#This Row],[y]]-H$4)</f>
        <v>53465</v>
      </c>
      <c r="D6630" s="1">
        <f>IF(Tabela1[[#This Row],[promien]]&lt;40000,1,0)</f>
        <v>0</v>
      </c>
      <c r="E6630" s="1">
        <f>IF(Tabela1[[#This Row],[promien]]=40000,1,0)</f>
        <v>0</v>
      </c>
      <c r="F6630" s="1">
        <v>3.1674208144796379</v>
      </c>
      <c r="G6630" s="1">
        <v>2.5828160889844742E-2</v>
      </c>
    </row>
    <row r="6631" spans="1:7">
      <c r="A6631">
        <v>142</v>
      </c>
      <c r="B6631">
        <v>119</v>
      </c>
      <c r="C6631" s="1">
        <f>(Tabela1[[#This Row],[x]]-H$3)*(Tabela1[[#This Row],[x]]-H$3) +(Tabela1[[#This Row],[y]]-H$4)*(Tabela1[[#This Row],[y]]-H$4)</f>
        <v>9925</v>
      </c>
      <c r="D6631" s="1">
        <f>IF(Tabela1[[#This Row],[promien]]&lt;40000,1,0)</f>
        <v>1</v>
      </c>
      <c r="E6631" s="1">
        <f>IF(Tabela1[[#This Row],[promien]]=40000,1,0)</f>
        <v>0</v>
      </c>
      <c r="F6631" s="1">
        <v>3.167546373096064</v>
      </c>
      <c r="G6631" s="1">
        <v>2.59537195062709E-2</v>
      </c>
    </row>
    <row r="6632" spans="1:7">
      <c r="A6632">
        <v>330</v>
      </c>
      <c r="B6632">
        <v>101</v>
      </c>
      <c r="C6632" s="1">
        <f>(Tabela1[[#This Row],[x]]-H$3)*(Tabela1[[#This Row],[x]]-H$3) +(Tabela1[[#This Row],[y]]-H$4)*(Tabela1[[#This Row],[y]]-H$4)</f>
        <v>26701</v>
      </c>
      <c r="D6632" s="1">
        <f>IF(Tabela1[[#This Row],[promien]]&lt;40000,1,0)</f>
        <v>1</v>
      </c>
      <c r="E6632" s="1">
        <f>IF(Tabela1[[#This Row],[promien]]=40000,1,0)</f>
        <v>0</v>
      </c>
      <c r="F6632" s="1">
        <v>3.1676718938480097</v>
      </c>
      <c r="G6632" s="1">
        <v>2.6079240258216618E-2</v>
      </c>
    </row>
    <row r="6633" spans="1:7">
      <c r="A6633">
        <v>203</v>
      </c>
      <c r="B6633">
        <v>82</v>
      </c>
      <c r="C6633" s="1">
        <f>(Tabela1[[#This Row],[x]]-H$3)*(Tabela1[[#This Row],[x]]-H$3) +(Tabela1[[#This Row],[y]]-H$4)*(Tabela1[[#This Row],[y]]-H$4)</f>
        <v>13933</v>
      </c>
      <c r="D6633" s="1">
        <f>IF(Tabela1[[#This Row],[promien]]&lt;40000,1,0)</f>
        <v>1</v>
      </c>
      <c r="E6633" s="1">
        <f>IF(Tabela1[[#This Row],[promien]]=40000,1,0)</f>
        <v>0</v>
      </c>
      <c r="F6633" s="1">
        <v>3.1677973767526004</v>
      </c>
      <c r="G6633" s="1">
        <v>2.6204723162807309E-2</v>
      </c>
    </row>
    <row r="6634" spans="1:7">
      <c r="A6634">
        <v>127</v>
      </c>
      <c r="B6634">
        <v>3</v>
      </c>
      <c r="C6634" s="1">
        <f>(Tabela1[[#This Row],[x]]-H$3)*(Tabela1[[#This Row],[x]]-H$3) +(Tabela1[[#This Row],[y]]-H$4)*(Tabela1[[#This Row],[y]]-H$4)</f>
        <v>44138</v>
      </c>
      <c r="D6634" s="1">
        <f>IF(Tabela1[[#This Row],[promien]]&lt;40000,1,0)</f>
        <v>0</v>
      </c>
      <c r="E6634" s="1">
        <f>IF(Tabela1[[#This Row],[promien]]=40000,1,0)</f>
        <v>0</v>
      </c>
      <c r="F6634" s="1">
        <v>3.1673198673500149</v>
      </c>
      <c r="G6634" s="1">
        <v>2.5727213760221801E-2</v>
      </c>
    </row>
    <row r="6635" spans="1:7">
      <c r="A6635">
        <v>355</v>
      </c>
      <c r="B6635">
        <v>73</v>
      </c>
      <c r="C6635" s="1">
        <f>(Tabela1[[#This Row],[x]]-H$3)*(Tabela1[[#This Row],[x]]-H$3) +(Tabela1[[#This Row],[y]]-H$4)*(Tabela1[[#This Row],[y]]-H$4)</f>
        <v>40154</v>
      </c>
      <c r="D6635" s="1">
        <f>IF(Tabela1[[#This Row],[promien]]&lt;40000,1,0)</f>
        <v>0</v>
      </c>
      <c r="E6635" s="1">
        <f>IF(Tabela1[[#This Row],[promien]]=40000,1,0)</f>
        <v>0</v>
      </c>
      <c r="F6635" s="1">
        <v>3.1668425018839486</v>
      </c>
      <c r="G6635" s="1">
        <v>2.5249848294155441E-2</v>
      </c>
    </row>
    <row r="6636" spans="1:7">
      <c r="A6636">
        <v>36</v>
      </c>
      <c r="B6636">
        <v>121</v>
      </c>
      <c r="C6636" s="1">
        <f>(Tabela1[[#This Row],[x]]-H$3)*(Tabela1[[#This Row],[x]]-H$3) +(Tabela1[[#This Row],[y]]-H$4)*(Tabela1[[#This Row],[y]]-H$4)</f>
        <v>33137</v>
      </c>
      <c r="D6636" s="1">
        <f>IF(Tabela1[[#This Row],[promien]]&lt;40000,1,0)</f>
        <v>1</v>
      </c>
      <c r="E6636" s="1">
        <f>IF(Tabela1[[#This Row],[promien]]=40000,1,0)</f>
        <v>0</v>
      </c>
      <c r="F6636" s="1">
        <v>3.1669680530440023</v>
      </c>
      <c r="G6636" s="1">
        <v>2.5375399454209191E-2</v>
      </c>
    </row>
    <row r="6637" spans="1:7">
      <c r="A6637">
        <v>39</v>
      </c>
      <c r="B6637">
        <v>15</v>
      </c>
      <c r="C6637" s="1">
        <f>(Tabela1[[#This Row],[x]]-H$3)*(Tabela1[[#This Row],[x]]-H$3) +(Tabela1[[#This Row],[y]]-H$4)*(Tabela1[[#This Row],[y]]-H$4)</f>
        <v>60146</v>
      </c>
      <c r="D6637" s="1">
        <f>IF(Tabela1[[#This Row],[promien]]&lt;40000,1,0)</f>
        <v>0</v>
      </c>
      <c r="E6637" s="1">
        <f>IF(Tabela1[[#This Row],[promien]]=40000,1,0)</f>
        <v>0</v>
      </c>
      <c r="F6637" s="1">
        <v>3.1664908844357389</v>
      </c>
      <c r="G6637" s="1">
        <v>2.4898230845945779E-2</v>
      </c>
    </row>
    <row r="6638" spans="1:7">
      <c r="A6638">
        <v>20</v>
      </c>
      <c r="B6638">
        <v>176</v>
      </c>
      <c r="C6638" s="1">
        <f>(Tabela1[[#This Row],[x]]-H$3)*(Tabela1[[#This Row],[x]]-H$3) +(Tabela1[[#This Row],[y]]-H$4)*(Tabela1[[#This Row],[y]]-H$4)</f>
        <v>32976</v>
      </c>
      <c r="D6638" s="1">
        <f>IF(Tabela1[[#This Row],[promien]]&lt;40000,1,0)</f>
        <v>1</v>
      </c>
      <c r="E6638" s="1">
        <f>IF(Tabela1[[#This Row],[promien]]=40000,1,0)</f>
        <v>0</v>
      </c>
      <c r="F6638" s="1">
        <v>3.1666164507381742</v>
      </c>
      <c r="G6638" s="1">
        <v>2.5023797148381099E-2</v>
      </c>
    </row>
    <row r="6639" spans="1:7">
      <c r="A6639">
        <v>275</v>
      </c>
      <c r="B6639">
        <v>311</v>
      </c>
      <c r="C6639" s="1">
        <f>(Tabela1[[#This Row],[x]]-H$3)*(Tabela1[[#This Row],[x]]-H$3) +(Tabela1[[#This Row],[y]]-H$4)*(Tabela1[[#This Row],[y]]-H$4)</f>
        <v>17946</v>
      </c>
      <c r="D6639" s="1">
        <f>IF(Tabela1[[#This Row],[promien]]&lt;40000,1,0)</f>
        <v>1</v>
      </c>
      <c r="E6639" s="1">
        <f>IF(Tabela1[[#This Row],[promien]]=40000,1,0)</f>
        <v>0</v>
      </c>
      <c r="F6639" s="1">
        <v>3.1667419792137368</v>
      </c>
      <c r="G6639" s="1">
        <v>2.5149325623943675E-2</v>
      </c>
    </row>
    <row r="6640" spans="1:7">
      <c r="A6640">
        <v>48</v>
      </c>
      <c r="B6640">
        <v>374</v>
      </c>
      <c r="C6640" s="1">
        <f>(Tabela1[[#This Row],[x]]-H$3)*(Tabela1[[#This Row],[x]]-H$3) +(Tabela1[[#This Row],[y]]-H$4)*(Tabela1[[#This Row],[y]]-H$4)</f>
        <v>53380</v>
      </c>
      <c r="D6640" s="1">
        <f>IF(Tabela1[[#This Row],[promien]]&lt;40000,1,0)</f>
        <v>0</v>
      </c>
      <c r="E6640" s="1">
        <f>IF(Tabela1[[#This Row],[promien]]=40000,1,0)</f>
        <v>0</v>
      </c>
      <c r="F6640" s="1">
        <v>3.1662650602409639</v>
      </c>
      <c r="G6640" s="1">
        <v>2.4672406651170764E-2</v>
      </c>
    </row>
    <row r="6641" spans="1:7">
      <c r="A6641">
        <v>62</v>
      </c>
      <c r="B6641">
        <v>302</v>
      </c>
      <c r="C6641" s="1">
        <f>(Tabela1[[#This Row],[x]]-H$3)*(Tabela1[[#This Row],[x]]-H$3) +(Tabela1[[#This Row],[y]]-H$4)*(Tabela1[[#This Row],[y]]-H$4)</f>
        <v>29448</v>
      </c>
      <c r="D6641" s="1">
        <f>IF(Tabela1[[#This Row],[promien]]&lt;40000,1,0)</f>
        <v>1</v>
      </c>
      <c r="E6641" s="1">
        <f>IF(Tabela1[[#This Row],[promien]]=40000,1,0)</f>
        <v>0</v>
      </c>
      <c r="F6641" s="1">
        <v>3.1663906038247251</v>
      </c>
      <c r="G6641" s="1">
        <v>2.4797950234932031E-2</v>
      </c>
    </row>
    <row r="6642" spans="1:7">
      <c r="A6642">
        <v>308</v>
      </c>
      <c r="B6642">
        <v>246</v>
      </c>
      <c r="C6642" s="1">
        <f>(Tabela1[[#This Row],[x]]-H$3)*(Tabela1[[#This Row],[x]]-H$3) +(Tabela1[[#This Row],[y]]-H$4)*(Tabela1[[#This Row],[y]]-H$4)</f>
        <v>13780</v>
      </c>
      <c r="D6642" s="1">
        <f>IF(Tabela1[[#This Row],[promien]]&lt;40000,1,0)</f>
        <v>1</v>
      </c>
      <c r="E6642" s="1">
        <f>IF(Tabela1[[#This Row],[promien]]=40000,1,0)</f>
        <v>0</v>
      </c>
      <c r="F6642" s="1">
        <v>3.1665161096055403</v>
      </c>
      <c r="G6642" s="1">
        <v>2.4923456015747192E-2</v>
      </c>
    </row>
    <row r="6643" spans="1:7">
      <c r="A6643">
        <v>225</v>
      </c>
      <c r="B6643">
        <v>95</v>
      </c>
      <c r="C6643" s="1">
        <f>(Tabela1[[#This Row],[x]]-H$3)*(Tabela1[[#This Row],[x]]-H$3) +(Tabela1[[#This Row],[y]]-H$4)*(Tabela1[[#This Row],[y]]-H$4)</f>
        <v>11650</v>
      </c>
      <c r="D6643" s="1">
        <f>IF(Tabela1[[#This Row],[promien]]&lt;40000,1,0)</f>
        <v>1</v>
      </c>
      <c r="E6643" s="1">
        <f>IF(Tabela1[[#This Row],[promien]]=40000,1,0)</f>
        <v>0</v>
      </c>
      <c r="F6643" s="1">
        <v>3.1666415776004819</v>
      </c>
      <c r="G6643" s="1">
        <v>2.5048924010688811E-2</v>
      </c>
    </row>
    <row r="6644" spans="1:7">
      <c r="A6644">
        <v>78</v>
      </c>
      <c r="B6644">
        <v>103</v>
      </c>
      <c r="C6644" s="1">
        <f>(Tabela1[[#This Row],[x]]-H$3)*(Tabela1[[#This Row],[x]]-H$3) +(Tabela1[[#This Row],[y]]-H$4)*(Tabela1[[#This Row],[y]]-H$4)</f>
        <v>24293</v>
      </c>
      <c r="D6644" s="1">
        <f>IF(Tabela1[[#This Row],[promien]]&lt;40000,1,0)</f>
        <v>1</v>
      </c>
      <c r="E6644" s="1">
        <f>IF(Tabela1[[#This Row],[promien]]=40000,1,0)</f>
        <v>0</v>
      </c>
      <c r="F6644" s="1">
        <v>3.1667670078266106</v>
      </c>
      <c r="G6644" s="1">
        <v>2.5174354236817464E-2</v>
      </c>
    </row>
    <row r="6645" spans="1:7">
      <c r="A6645">
        <v>264</v>
      </c>
      <c r="B6645">
        <v>364</v>
      </c>
      <c r="C6645" s="1">
        <f>(Tabela1[[#This Row],[x]]-H$3)*(Tabela1[[#This Row],[x]]-H$3) +(Tabela1[[#This Row],[y]]-H$4)*(Tabela1[[#This Row],[y]]-H$4)</f>
        <v>30992</v>
      </c>
      <c r="D6645" s="1">
        <f>IF(Tabela1[[#This Row],[promien]]&lt;40000,1,0)</f>
        <v>1</v>
      </c>
      <c r="E6645" s="1">
        <f>IF(Tabela1[[#This Row],[promien]]=40000,1,0)</f>
        <v>0</v>
      </c>
      <c r="F6645" s="1">
        <v>3.166892400300978</v>
      </c>
      <c r="G6645" s="1">
        <v>2.5299746711184845E-2</v>
      </c>
    </row>
    <row r="6646" spans="1:7">
      <c r="A6646">
        <v>37</v>
      </c>
      <c r="B6646">
        <v>368</v>
      </c>
      <c r="C6646" s="1">
        <f>(Tabela1[[#This Row],[x]]-H$3)*(Tabela1[[#This Row],[x]]-H$3) +(Tabela1[[#This Row],[y]]-H$4)*(Tabela1[[#This Row],[y]]-H$4)</f>
        <v>54793</v>
      </c>
      <c r="D6646" s="1">
        <f>IF(Tabela1[[#This Row],[promien]]&lt;40000,1,0)</f>
        <v>0</v>
      </c>
      <c r="E6646" s="1">
        <f>IF(Tabela1[[#This Row],[promien]]=40000,1,0)</f>
        <v>0</v>
      </c>
      <c r="F6646" s="1">
        <v>3.1664158892566956</v>
      </c>
      <c r="G6646" s="1">
        <v>2.4823235666902477E-2</v>
      </c>
    </row>
    <row r="6647" spans="1:7">
      <c r="A6647">
        <v>45</v>
      </c>
      <c r="B6647">
        <v>391</v>
      </c>
      <c r="C6647" s="1">
        <f>(Tabela1[[#This Row],[x]]-H$3)*(Tabela1[[#This Row],[x]]-H$3) +(Tabela1[[#This Row],[y]]-H$4)*(Tabela1[[#This Row],[y]]-H$4)</f>
        <v>60506</v>
      </c>
      <c r="D6647" s="1">
        <f>IF(Tabela1[[#This Row],[promien]]&lt;40000,1,0)</f>
        <v>0</v>
      </c>
      <c r="E6647" s="1">
        <f>IF(Tabela1[[#This Row],[promien]]=40000,1,0)</f>
        <v>0</v>
      </c>
      <c r="F6647" s="1">
        <v>3.1659395215886867</v>
      </c>
      <c r="G6647" s="1">
        <v>2.4346867998893629E-2</v>
      </c>
    </row>
    <row r="6648" spans="1:7">
      <c r="A6648">
        <v>137</v>
      </c>
      <c r="B6648">
        <v>1</v>
      </c>
      <c r="C6648" s="1">
        <f>(Tabela1[[#This Row],[x]]-H$3)*(Tabela1[[#This Row],[x]]-H$3) +(Tabela1[[#This Row],[y]]-H$4)*(Tabela1[[#This Row],[y]]-H$4)</f>
        <v>43570</v>
      </c>
      <c r="D6648" s="1">
        <f>IF(Tabela1[[#This Row],[promien]]&lt;40000,1,0)</f>
        <v>0</v>
      </c>
      <c r="E6648" s="1">
        <f>IF(Tabela1[[#This Row],[promien]]=40000,1,0)</f>
        <v>0</v>
      </c>
      <c r="F6648" s="1">
        <v>3.1654632972322503</v>
      </c>
      <c r="G6648" s="1">
        <v>2.3870643642457168E-2</v>
      </c>
    </row>
    <row r="6649" spans="1:7">
      <c r="A6649">
        <v>143</v>
      </c>
      <c r="B6649">
        <v>15</v>
      </c>
      <c r="C6649" s="1">
        <f>(Tabela1[[#This Row],[x]]-H$3)*(Tabela1[[#This Row],[x]]-H$3) +(Tabela1[[#This Row],[y]]-H$4)*(Tabela1[[#This Row],[y]]-H$4)</f>
        <v>37474</v>
      </c>
      <c r="D6649" s="1">
        <f>IF(Tabela1[[#This Row],[promien]]&lt;40000,1,0)</f>
        <v>1</v>
      </c>
      <c r="E6649" s="1">
        <f>IF(Tabela1[[#This Row],[promien]]=40000,1,0)</f>
        <v>0</v>
      </c>
      <c r="F6649" s="1">
        <v>3.1655888103474208</v>
      </c>
      <c r="G6649" s="1">
        <v>2.3996156757627674E-2</v>
      </c>
    </row>
    <row r="6650" spans="1:7">
      <c r="A6650">
        <v>154</v>
      </c>
      <c r="B6650">
        <v>176</v>
      </c>
      <c r="C6650" s="1">
        <f>(Tabela1[[#This Row],[x]]-H$3)*(Tabela1[[#This Row],[x]]-H$3) +(Tabela1[[#This Row],[y]]-H$4)*(Tabela1[[#This Row],[y]]-H$4)</f>
        <v>2692</v>
      </c>
      <c r="D6650" s="1">
        <f>IF(Tabela1[[#This Row],[promien]]&lt;40000,1,0)</f>
        <v>1</v>
      </c>
      <c r="E6650" s="1">
        <f>IF(Tabela1[[#This Row],[promien]]=40000,1,0)</f>
        <v>0</v>
      </c>
      <c r="F6650" s="1">
        <v>3.1657142857142859</v>
      </c>
      <c r="G6650" s="1">
        <v>2.4121632124492809E-2</v>
      </c>
    </row>
    <row r="6651" spans="1:7">
      <c r="A6651">
        <v>20</v>
      </c>
      <c r="B6651">
        <v>95</v>
      </c>
      <c r="C6651" s="1">
        <f>(Tabela1[[#This Row],[x]]-H$3)*(Tabela1[[#This Row],[x]]-H$3) +(Tabela1[[#This Row],[y]]-H$4)*(Tabela1[[#This Row],[y]]-H$4)</f>
        <v>43425</v>
      </c>
      <c r="D6651" s="1">
        <f>IF(Tabela1[[#This Row],[promien]]&lt;40000,1,0)</f>
        <v>0</v>
      </c>
      <c r="E6651" s="1">
        <f>IF(Tabela1[[#This Row],[promien]]=40000,1,0)</f>
        <v>0</v>
      </c>
      <c r="F6651" s="1">
        <v>3.1652383100285673</v>
      </c>
      <c r="G6651" s="1">
        <v>2.3645656438774143E-2</v>
      </c>
    </row>
    <row r="6652" spans="1:7">
      <c r="A6652">
        <v>120</v>
      </c>
      <c r="B6652">
        <v>212</v>
      </c>
      <c r="C6652" s="1">
        <f>(Tabela1[[#This Row],[x]]-H$3)*(Tabela1[[#This Row],[x]]-H$3) +(Tabela1[[#This Row],[y]]-H$4)*(Tabela1[[#This Row],[y]]-H$4)</f>
        <v>6544</v>
      </c>
      <c r="D6652" s="1">
        <f>IF(Tabela1[[#This Row],[promien]]&lt;40000,1,0)</f>
        <v>1</v>
      </c>
      <c r="E6652" s="1">
        <f>IF(Tabela1[[#This Row],[promien]]=40000,1,0)</f>
        <v>0</v>
      </c>
      <c r="F6652" s="1">
        <v>3.1653638003607938</v>
      </c>
      <c r="G6652" s="1">
        <v>2.3771146771000673E-2</v>
      </c>
    </row>
    <row r="6653" spans="1:7">
      <c r="A6653">
        <v>101</v>
      </c>
      <c r="B6653">
        <v>369</v>
      </c>
      <c r="C6653" s="1">
        <f>(Tabela1[[#This Row],[x]]-H$3)*(Tabela1[[#This Row],[x]]-H$3) +(Tabela1[[#This Row],[y]]-H$4)*(Tabela1[[#This Row],[y]]-H$4)</f>
        <v>38362</v>
      </c>
      <c r="D6653" s="1">
        <f>IF(Tabela1[[#This Row],[promien]]&lt;40000,1,0)</f>
        <v>1</v>
      </c>
      <c r="E6653" s="1">
        <f>IF(Tabela1[[#This Row],[promien]]=40000,1,0)</f>
        <v>0</v>
      </c>
      <c r="F6653" s="1">
        <v>3.1654892529685856</v>
      </c>
      <c r="G6653" s="1">
        <v>2.3896599378792516E-2</v>
      </c>
    </row>
    <row r="6654" spans="1:7">
      <c r="A6654">
        <v>240</v>
      </c>
      <c r="B6654">
        <v>90</v>
      </c>
      <c r="C6654" s="1">
        <f>(Tabela1[[#This Row],[x]]-H$3)*(Tabela1[[#This Row],[x]]-H$3) +(Tabela1[[#This Row],[y]]-H$4)*(Tabela1[[#This Row],[y]]-H$4)</f>
        <v>13700</v>
      </c>
      <c r="D6654" s="1">
        <f>IF(Tabela1[[#This Row],[promien]]&lt;40000,1,0)</f>
        <v>1</v>
      </c>
      <c r="E6654" s="1">
        <f>IF(Tabela1[[#This Row],[promien]]=40000,1,0)</f>
        <v>0</v>
      </c>
      <c r="F6654" s="1">
        <v>3.165614667868951</v>
      </c>
      <c r="G6654" s="1">
        <v>2.4022014279157844E-2</v>
      </c>
    </row>
    <row r="6655" spans="1:7">
      <c r="A6655">
        <v>315</v>
      </c>
      <c r="B6655">
        <v>298</v>
      </c>
      <c r="C6655" s="1">
        <f>(Tabela1[[#This Row],[x]]-H$3)*(Tabela1[[#This Row],[x]]-H$3) +(Tabela1[[#This Row],[y]]-H$4)*(Tabela1[[#This Row],[y]]-H$4)</f>
        <v>22829</v>
      </c>
      <c r="D6655" s="1">
        <f>IF(Tabela1[[#This Row],[promien]]&lt;40000,1,0)</f>
        <v>1</v>
      </c>
      <c r="E6655" s="1">
        <f>IF(Tabela1[[#This Row],[promien]]=40000,1,0)</f>
        <v>0</v>
      </c>
      <c r="F6655" s="1">
        <v>3.1657400450788882</v>
      </c>
      <c r="G6655" s="1">
        <v>2.414739148909506E-2</v>
      </c>
    </row>
    <row r="6656" spans="1:7">
      <c r="A6656">
        <v>14</v>
      </c>
      <c r="B6656">
        <v>322</v>
      </c>
      <c r="C6656" s="1">
        <f>(Tabela1[[#This Row],[x]]-H$3)*(Tabela1[[#This Row],[x]]-H$3) +(Tabela1[[#This Row],[y]]-H$4)*(Tabela1[[#This Row],[y]]-H$4)</f>
        <v>49480</v>
      </c>
      <c r="D6656" s="1">
        <f>IF(Tabela1[[#This Row],[promien]]&lt;40000,1,0)</f>
        <v>0</v>
      </c>
      <c r="E6656" s="1">
        <f>IF(Tabela1[[#This Row],[promien]]=40000,1,0)</f>
        <v>0</v>
      </c>
      <c r="F6656" s="1">
        <v>3.1652644230769229</v>
      </c>
      <c r="G6656" s="1">
        <v>2.367176948712979E-2</v>
      </c>
    </row>
    <row r="6657" spans="1:7">
      <c r="A6657">
        <v>341</v>
      </c>
      <c r="B6657">
        <v>108</v>
      </c>
      <c r="C6657" s="1">
        <f>(Tabela1[[#This Row],[x]]-H$3)*(Tabela1[[#This Row],[x]]-H$3) +(Tabela1[[#This Row],[y]]-H$4)*(Tabela1[[#This Row],[y]]-H$4)</f>
        <v>28345</v>
      </c>
      <c r="D6657" s="1">
        <f>IF(Tabela1[[#This Row],[promien]]&lt;40000,1,0)</f>
        <v>1</v>
      </c>
      <c r="E6657" s="1">
        <f>IF(Tabela1[[#This Row],[promien]]=40000,1,0)</f>
        <v>0</v>
      </c>
      <c r="F6657" s="1">
        <v>3.1653898152320865</v>
      </c>
      <c r="G6657" s="1">
        <v>2.3797161642293396E-2</v>
      </c>
    </row>
    <row r="6658" spans="1:7">
      <c r="A6658">
        <v>27</v>
      </c>
      <c r="B6658">
        <v>397</v>
      </c>
      <c r="C6658" s="1">
        <f>(Tabela1[[#This Row],[x]]-H$3)*(Tabela1[[#This Row],[x]]-H$3) +(Tabela1[[#This Row],[y]]-H$4)*(Tabela1[[#This Row],[y]]-H$4)</f>
        <v>68738</v>
      </c>
      <c r="D6658" s="1">
        <f>IF(Tabela1[[#This Row],[promien]]&lt;40000,1,0)</f>
        <v>0</v>
      </c>
      <c r="E6658" s="1">
        <f>IF(Tabela1[[#This Row],[promien]]=40000,1,0)</f>
        <v>0</v>
      </c>
      <c r="F6658" s="1">
        <v>3.1649143887053168</v>
      </c>
      <c r="G6658" s="1">
        <v>2.3321735115523712E-2</v>
      </c>
    </row>
    <row r="6659" spans="1:7">
      <c r="A6659">
        <v>191</v>
      </c>
      <c r="B6659">
        <v>387</v>
      </c>
      <c r="C6659" s="1">
        <f>(Tabela1[[#This Row],[x]]-H$3)*(Tabela1[[#This Row],[x]]-H$3) +(Tabela1[[#This Row],[y]]-H$4)*(Tabela1[[#This Row],[y]]-H$4)</f>
        <v>35050</v>
      </c>
      <c r="D6659" s="1">
        <f>IF(Tabela1[[#This Row],[promien]]&lt;40000,1,0)</f>
        <v>1</v>
      </c>
      <c r="E6659" s="1">
        <f>IF(Tabela1[[#This Row],[promien]]=40000,1,0)</f>
        <v>0</v>
      </c>
      <c r="F6659" s="1">
        <v>3.1650397957651299</v>
      </c>
      <c r="G6659" s="1">
        <v>2.3447142175336833E-2</v>
      </c>
    </row>
    <row r="6660" spans="1:7">
      <c r="A6660">
        <v>302</v>
      </c>
      <c r="B6660">
        <v>260</v>
      </c>
      <c r="C6660" s="1">
        <f>(Tabela1[[#This Row],[x]]-H$3)*(Tabela1[[#This Row],[x]]-H$3) +(Tabela1[[#This Row],[y]]-H$4)*(Tabela1[[#This Row],[y]]-H$4)</f>
        <v>14004</v>
      </c>
      <c r="D6660" s="1">
        <f>IF(Tabela1[[#This Row],[promien]]&lt;40000,1,0)</f>
        <v>1</v>
      </c>
      <c r="E6660" s="1">
        <f>IF(Tabela1[[#This Row],[promien]]=40000,1,0)</f>
        <v>0</v>
      </c>
      <c r="F6660" s="1">
        <v>3.1651651651651651</v>
      </c>
      <c r="G6660" s="1">
        <v>2.357251157537199E-2</v>
      </c>
    </row>
    <row r="6661" spans="1:7">
      <c r="A6661">
        <v>78</v>
      </c>
      <c r="B6661">
        <v>175</v>
      </c>
      <c r="C6661" s="1">
        <f>(Tabela1[[#This Row],[x]]-H$3)*(Tabela1[[#This Row],[x]]-H$3) +(Tabela1[[#This Row],[y]]-H$4)*(Tabela1[[#This Row],[y]]-H$4)</f>
        <v>15509</v>
      </c>
      <c r="D6661" s="1">
        <f>IF(Tabela1[[#This Row],[promien]]&lt;40000,1,0)</f>
        <v>1</v>
      </c>
      <c r="E6661" s="1">
        <f>IF(Tabela1[[#This Row],[promien]]=40000,1,0)</f>
        <v>0</v>
      </c>
      <c r="F6661" s="1">
        <v>3.1652904969223838</v>
      </c>
      <c r="G6661" s="1">
        <v>2.3697843332590729E-2</v>
      </c>
    </row>
    <row r="6662" spans="1:7">
      <c r="A6662">
        <v>192</v>
      </c>
      <c r="B6662">
        <v>23</v>
      </c>
      <c r="C6662" s="1">
        <f>(Tabela1[[#This Row],[x]]-H$3)*(Tabela1[[#This Row],[x]]-H$3) +(Tabela1[[#This Row],[y]]-H$4)*(Tabela1[[#This Row],[y]]-H$4)</f>
        <v>31393</v>
      </c>
      <c r="D6662" s="1">
        <f>IF(Tabela1[[#This Row],[promien]]&lt;40000,1,0)</f>
        <v>1</v>
      </c>
      <c r="E6662" s="1">
        <f>IF(Tabela1[[#This Row],[promien]]=40000,1,0)</f>
        <v>0</v>
      </c>
      <c r="F6662" s="1">
        <v>3.1654157910537375</v>
      </c>
      <c r="G6662" s="1">
        <v>2.3823137463944377E-2</v>
      </c>
    </row>
    <row r="6663" spans="1:7">
      <c r="A6663">
        <v>301</v>
      </c>
      <c r="B6663">
        <v>163</v>
      </c>
      <c r="C6663" s="1">
        <f>(Tabela1[[#This Row],[x]]-H$3)*(Tabela1[[#This Row],[x]]-H$3) +(Tabela1[[#This Row],[y]]-H$4)*(Tabela1[[#This Row],[y]]-H$4)</f>
        <v>11570</v>
      </c>
      <c r="D6663" s="1">
        <f>IF(Tabela1[[#This Row],[promien]]&lt;40000,1,0)</f>
        <v>1</v>
      </c>
      <c r="E6663" s="1">
        <f>IF(Tabela1[[#This Row],[promien]]=40000,1,0)</f>
        <v>0</v>
      </c>
      <c r="F6663" s="1">
        <v>3.1655410475761667</v>
      </c>
      <c r="G6663" s="1">
        <v>2.3948393986373606E-2</v>
      </c>
    </row>
    <row r="6664" spans="1:7">
      <c r="A6664">
        <v>214</v>
      </c>
      <c r="B6664">
        <v>327</v>
      </c>
      <c r="C6664" s="1">
        <f>(Tabela1[[#This Row],[x]]-H$3)*(Tabela1[[#This Row],[x]]-H$3) +(Tabela1[[#This Row],[y]]-H$4)*(Tabela1[[#This Row],[y]]-H$4)</f>
        <v>16325</v>
      </c>
      <c r="D6664" s="1">
        <f>IF(Tabela1[[#This Row],[promien]]&lt;40000,1,0)</f>
        <v>1</v>
      </c>
      <c r="E6664" s="1">
        <f>IF(Tabela1[[#This Row],[promien]]=40000,1,0)</f>
        <v>0</v>
      </c>
      <c r="F6664" s="1">
        <v>3.1656662665066024</v>
      </c>
      <c r="G6664" s="1">
        <v>2.4073612916809317E-2</v>
      </c>
    </row>
    <row r="6665" spans="1:7">
      <c r="A6665">
        <v>24</v>
      </c>
      <c r="B6665">
        <v>313</v>
      </c>
      <c r="C6665" s="1">
        <f>(Tabela1[[#This Row],[x]]-H$3)*(Tabela1[[#This Row],[x]]-H$3) +(Tabela1[[#This Row],[y]]-H$4)*(Tabela1[[#This Row],[y]]-H$4)</f>
        <v>43745</v>
      </c>
      <c r="D6665" s="1">
        <f>IF(Tabela1[[#This Row],[promien]]&lt;40000,1,0)</f>
        <v>0</v>
      </c>
      <c r="E6665" s="1">
        <f>IF(Tabela1[[#This Row],[promien]]=40000,1,0)</f>
        <v>0</v>
      </c>
      <c r="F6665" s="1">
        <v>3.1651912978244563</v>
      </c>
      <c r="G6665" s="1">
        <v>2.359864423466318E-2</v>
      </c>
    </row>
    <row r="6666" spans="1:7">
      <c r="A6666">
        <v>242</v>
      </c>
      <c r="B6666">
        <v>358</v>
      </c>
      <c r="C6666" s="1">
        <f>(Tabela1[[#This Row],[x]]-H$3)*(Tabela1[[#This Row],[x]]-H$3) +(Tabela1[[#This Row],[y]]-H$4)*(Tabela1[[#This Row],[y]]-H$4)</f>
        <v>26728</v>
      </c>
      <c r="D6666" s="1">
        <f>IF(Tabela1[[#This Row],[promien]]&lt;40000,1,0)</f>
        <v>1</v>
      </c>
      <c r="E6666" s="1">
        <f>IF(Tabela1[[#This Row],[promien]]=40000,1,0)</f>
        <v>0</v>
      </c>
      <c r="F6666" s="1">
        <v>3.1653165316531653</v>
      </c>
      <c r="G6666" s="1">
        <v>2.3723878063372172E-2</v>
      </c>
    </row>
    <row r="6667" spans="1:7">
      <c r="A6667">
        <v>297</v>
      </c>
      <c r="B6667">
        <v>269</v>
      </c>
      <c r="C6667" s="1">
        <f>(Tabela1[[#This Row],[x]]-H$3)*(Tabela1[[#This Row],[x]]-H$3) +(Tabela1[[#This Row],[y]]-H$4)*(Tabela1[[#This Row],[y]]-H$4)</f>
        <v>14170</v>
      </c>
      <c r="D6667" s="1">
        <f>IF(Tabela1[[#This Row],[promien]]&lt;40000,1,0)</f>
        <v>1</v>
      </c>
      <c r="E6667" s="1">
        <f>IF(Tabela1[[#This Row],[promien]]=40000,1,0)</f>
        <v>0</v>
      </c>
      <c r="F6667" s="1">
        <v>3.1654417279136045</v>
      </c>
      <c r="G6667" s="1">
        <v>2.3849074323811337E-2</v>
      </c>
    </row>
    <row r="6668" spans="1:7">
      <c r="A6668">
        <v>70</v>
      </c>
      <c r="B6668">
        <v>310</v>
      </c>
      <c r="C6668" s="1">
        <f>(Tabela1[[#This Row],[x]]-H$3)*(Tabela1[[#This Row],[x]]-H$3) +(Tabela1[[#This Row],[y]]-H$4)*(Tabela1[[#This Row],[y]]-H$4)</f>
        <v>29000</v>
      </c>
      <c r="D6668" s="1">
        <f>IF(Tabela1[[#This Row],[promien]]&lt;40000,1,0)</f>
        <v>1</v>
      </c>
      <c r="E6668" s="1">
        <f>IF(Tabela1[[#This Row],[promien]]=40000,1,0)</f>
        <v>0</v>
      </c>
      <c r="F6668" s="1">
        <v>3.1655668866226754</v>
      </c>
      <c r="G6668" s="1">
        <v>2.3974233032882264E-2</v>
      </c>
    </row>
    <row r="6669" spans="1:7">
      <c r="A6669">
        <v>152</v>
      </c>
      <c r="B6669">
        <v>42</v>
      </c>
      <c r="C6669" s="1">
        <f>(Tabela1[[#This Row],[x]]-H$3)*(Tabela1[[#This Row],[x]]-H$3) +(Tabela1[[#This Row],[y]]-H$4)*(Tabela1[[#This Row],[y]]-H$4)</f>
        <v>27268</v>
      </c>
      <c r="D6669" s="1">
        <f>IF(Tabela1[[#This Row],[promien]]&lt;40000,1,0)</f>
        <v>1</v>
      </c>
      <c r="E6669" s="1">
        <f>IF(Tabela1[[#This Row],[promien]]=40000,1,0)</f>
        <v>0</v>
      </c>
      <c r="F6669" s="1">
        <v>3.1656920077972708</v>
      </c>
      <c r="G6669" s="1">
        <v>2.4099354207477663E-2</v>
      </c>
    </row>
    <row r="6670" spans="1:7">
      <c r="A6670">
        <v>106</v>
      </c>
      <c r="B6670">
        <v>39</v>
      </c>
      <c r="C6670" s="1">
        <f>(Tabela1[[#This Row],[x]]-H$3)*(Tabela1[[#This Row],[x]]-H$3) +(Tabela1[[#This Row],[y]]-H$4)*(Tabela1[[#This Row],[y]]-H$4)</f>
        <v>34757</v>
      </c>
      <c r="D6670" s="1">
        <f>IF(Tabela1[[#This Row],[promien]]&lt;40000,1,0)</f>
        <v>1</v>
      </c>
      <c r="E6670" s="1">
        <f>IF(Tabela1[[#This Row],[promien]]=40000,1,0)</f>
        <v>0</v>
      </c>
      <c r="F6670" s="1">
        <v>3.1658170914542727</v>
      </c>
      <c r="G6670" s="1">
        <v>2.4224437864479587E-2</v>
      </c>
    </row>
    <row r="6671" spans="1:7">
      <c r="A6671">
        <v>63</v>
      </c>
      <c r="B6671">
        <v>350</v>
      </c>
      <c r="C6671" s="1">
        <f>(Tabela1[[#This Row],[x]]-H$3)*(Tabela1[[#This Row],[x]]-H$3) +(Tabela1[[#This Row],[y]]-H$4)*(Tabela1[[#This Row],[y]]-H$4)</f>
        <v>41269</v>
      </c>
      <c r="D6671" s="1">
        <f>IF(Tabela1[[#This Row],[promien]]&lt;40000,1,0)</f>
        <v>0</v>
      </c>
      <c r="E6671" s="1">
        <f>IF(Tabela1[[#This Row],[promien]]=40000,1,0)</f>
        <v>0</v>
      </c>
      <c r="F6671" s="1">
        <v>3.1653425273572178</v>
      </c>
      <c r="G6671" s="1">
        <v>2.3749873767424656E-2</v>
      </c>
    </row>
    <row r="6672" spans="1:7">
      <c r="A6672">
        <v>76</v>
      </c>
      <c r="B6672">
        <v>121</v>
      </c>
      <c r="C6672" s="1">
        <f>(Tabela1[[#This Row],[x]]-H$3)*(Tabela1[[#This Row],[x]]-H$3) +(Tabela1[[#This Row],[y]]-H$4)*(Tabela1[[#This Row],[y]]-H$4)</f>
        <v>21617</v>
      </c>
      <c r="D6672" s="1">
        <f>IF(Tabela1[[#This Row],[promien]]&lt;40000,1,0)</f>
        <v>1</v>
      </c>
      <c r="E6672" s="1">
        <f>IF(Tabela1[[#This Row],[promien]]=40000,1,0)</f>
        <v>0</v>
      </c>
      <c r="F6672" s="1">
        <v>3.1654676258992804</v>
      </c>
      <c r="G6672" s="1">
        <v>2.3874972309487319E-2</v>
      </c>
    </row>
    <row r="6673" spans="1:7">
      <c r="A6673">
        <v>271</v>
      </c>
      <c r="B6673">
        <v>240</v>
      </c>
      <c r="C6673" s="1">
        <f>(Tabela1[[#This Row],[x]]-H$3)*(Tabela1[[#This Row],[x]]-H$3) +(Tabela1[[#This Row],[y]]-H$4)*(Tabela1[[#This Row],[y]]-H$4)</f>
        <v>6641</v>
      </c>
      <c r="D6673" s="1">
        <f>IF(Tabela1[[#This Row],[promien]]&lt;40000,1,0)</f>
        <v>1</v>
      </c>
      <c r="E6673" s="1">
        <f>IF(Tabela1[[#This Row],[promien]]=40000,1,0)</f>
        <v>0</v>
      </c>
      <c r="F6673" s="1">
        <v>3.1655926869474</v>
      </c>
      <c r="G6673" s="1">
        <v>2.400003335760692E-2</v>
      </c>
    </row>
    <row r="6674" spans="1:7">
      <c r="A6674">
        <v>350</v>
      </c>
      <c r="B6674">
        <v>239</v>
      </c>
      <c r="C6674" s="1">
        <f>(Tabela1[[#This Row],[x]]-H$3)*(Tabela1[[#This Row],[x]]-H$3) +(Tabela1[[#This Row],[y]]-H$4)*(Tabela1[[#This Row],[y]]-H$4)</f>
        <v>24021</v>
      </c>
      <c r="D6674" s="1">
        <f>IF(Tabela1[[#This Row],[promien]]&lt;40000,1,0)</f>
        <v>1</v>
      </c>
      <c r="E6674" s="1">
        <f>IF(Tabela1[[#This Row],[promien]]=40000,1,0)</f>
        <v>0</v>
      </c>
      <c r="F6674" s="1">
        <v>3.1657177105184298</v>
      </c>
      <c r="G6674" s="1">
        <v>2.4125056928636646E-2</v>
      </c>
    </row>
    <row r="6675" spans="1:7">
      <c r="A6675">
        <v>279</v>
      </c>
      <c r="B6675">
        <v>181</v>
      </c>
      <c r="C6675" s="1">
        <f>(Tabela1[[#This Row],[x]]-H$3)*(Tabela1[[#This Row],[x]]-H$3) +(Tabela1[[#This Row],[y]]-H$4)*(Tabela1[[#This Row],[y]]-H$4)</f>
        <v>6602</v>
      </c>
      <c r="D6675" s="1">
        <f>IF(Tabela1[[#This Row],[promien]]&lt;40000,1,0)</f>
        <v>1</v>
      </c>
      <c r="E6675" s="1">
        <f>IF(Tabela1[[#This Row],[promien]]=40000,1,0)</f>
        <v>0</v>
      </c>
      <c r="F6675" s="1">
        <v>3.1658426966292135</v>
      </c>
      <c r="G6675" s="1">
        <v>2.4250043039420355E-2</v>
      </c>
    </row>
    <row r="6676" spans="1:7">
      <c r="A6676">
        <v>12</v>
      </c>
      <c r="B6676">
        <v>329</v>
      </c>
      <c r="C6676" s="1">
        <f>(Tabela1[[#This Row],[x]]-H$3)*(Tabela1[[#This Row],[x]]-H$3) +(Tabela1[[#This Row],[y]]-H$4)*(Tabela1[[#This Row],[y]]-H$4)</f>
        <v>51985</v>
      </c>
      <c r="D6676" s="1">
        <f>IF(Tabela1[[#This Row],[promien]]&lt;40000,1,0)</f>
        <v>0</v>
      </c>
      <c r="E6676" s="1">
        <f>IF(Tabela1[[#This Row],[promien]]=40000,1,0)</f>
        <v>0</v>
      </c>
      <c r="F6676" s="1">
        <v>3.1653684841222289</v>
      </c>
      <c r="G6676" s="1">
        <v>2.3775830532435815E-2</v>
      </c>
    </row>
    <row r="6677" spans="1:7">
      <c r="A6677">
        <v>396</v>
      </c>
      <c r="B6677">
        <v>381</v>
      </c>
      <c r="C6677" s="1">
        <f>(Tabela1[[#This Row],[x]]-H$3)*(Tabela1[[#This Row],[x]]-H$3) +(Tabela1[[#This Row],[y]]-H$4)*(Tabela1[[#This Row],[y]]-H$4)</f>
        <v>71177</v>
      </c>
      <c r="D6677" s="1">
        <f>IF(Tabela1[[#This Row],[promien]]&lt;40000,1,0)</f>
        <v>0</v>
      </c>
      <c r="E6677" s="1">
        <f>IF(Tabela1[[#This Row],[promien]]=40000,1,0)</f>
        <v>0</v>
      </c>
      <c r="F6677" s="1">
        <v>3.1648944136588288</v>
      </c>
      <c r="G6677" s="1">
        <v>2.3301760069035726E-2</v>
      </c>
    </row>
    <row r="6678" spans="1:7">
      <c r="A6678">
        <v>373</v>
      </c>
      <c r="B6678">
        <v>272</v>
      </c>
      <c r="C6678" s="1">
        <f>(Tabela1[[#This Row],[x]]-H$3)*(Tabela1[[#This Row],[x]]-H$3) +(Tabela1[[#This Row],[y]]-H$4)*(Tabela1[[#This Row],[y]]-H$4)</f>
        <v>35113</v>
      </c>
      <c r="D6678" s="1">
        <f>IF(Tabela1[[#This Row],[promien]]&lt;40000,1,0)</f>
        <v>1</v>
      </c>
      <c r="E6678" s="1">
        <f>IF(Tabela1[[#This Row],[promien]]=40000,1,0)</f>
        <v>0</v>
      </c>
      <c r="F6678" s="1">
        <v>3.1650194669062595</v>
      </c>
      <c r="G6678" s="1">
        <v>2.3426813316466344E-2</v>
      </c>
    </row>
    <row r="6679" spans="1:7">
      <c r="A6679">
        <v>24</v>
      </c>
      <c r="B6679">
        <v>25</v>
      </c>
      <c r="C6679" s="1">
        <f>(Tabela1[[#This Row],[x]]-H$3)*(Tabela1[[#This Row],[x]]-H$3) +(Tabela1[[#This Row],[y]]-H$4)*(Tabela1[[#This Row],[y]]-H$4)</f>
        <v>61601</v>
      </c>
      <c r="D6679" s="1">
        <f>IF(Tabela1[[#This Row],[promien]]&lt;40000,1,0)</f>
        <v>0</v>
      </c>
      <c r="E6679" s="1">
        <f>IF(Tabela1[[#This Row],[promien]]=40000,1,0)</f>
        <v>0</v>
      </c>
      <c r="F6679" s="1">
        <v>3.1645455906572839</v>
      </c>
      <c r="G6679" s="1">
        <v>2.2952937067490797E-2</v>
      </c>
    </row>
    <row r="6680" spans="1:7">
      <c r="A6680">
        <v>318</v>
      </c>
      <c r="B6680">
        <v>255</v>
      </c>
      <c r="C6680" s="1">
        <f>(Tabela1[[#This Row],[x]]-H$3)*(Tabela1[[#This Row],[x]]-H$3) +(Tabela1[[#This Row],[y]]-H$4)*(Tabela1[[#This Row],[y]]-H$4)</f>
        <v>16949</v>
      </c>
      <c r="D6680" s="1">
        <f>IF(Tabela1[[#This Row],[promien]]&lt;40000,1,0)</f>
        <v>1</v>
      </c>
      <c r="E6680" s="1">
        <f>IF(Tabela1[[#This Row],[promien]]=40000,1,0)</f>
        <v>0</v>
      </c>
      <c r="F6680" s="1">
        <v>3.1646706586826348</v>
      </c>
      <c r="G6680" s="1">
        <v>2.3078005092841636E-2</v>
      </c>
    </row>
    <row r="6681" spans="1:7">
      <c r="A6681">
        <v>26</v>
      </c>
      <c r="B6681">
        <v>253</v>
      </c>
      <c r="C6681" s="1">
        <f>(Tabela1[[#This Row],[x]]-H$3)*(Tabela1[[#This Row],[x]]-H$3) +(Tabela1[[#This Row],[y]]-H$4)*(Tabela1[[#This Row],[y]]-H$4)</f>
        <v>33085</v>
      </c>
      <c r="D6681" s="1">
        <f>IF(Tabela1[[#This Row],[promien]]&lt;40000,1,0)</f>
        <v>1</v>
      </c>
      <c r="E6681" s="1">
        <f>IF(Tabela1[[#This Row],[promien]]=40000,1,0)</f>
        <v>0</v>
      </c>
      <c r="F6681" s="1">
        <v>3.1647956892680735</v>
      </c>
      <c r="G6681" s="1">
        <v>2.3203035678280415E-2</v>
      </c>
    </row>
    <row r="6682" spans="1:7">
      <c r="A6682">
        <v>284</v>
      </c>
      <c r="B6682">
        <v>364</v>
      </c>
      <c r="C6682" s="1">
        <f>(Tabela1[[#This Row],[x]]-H$3)*(Tabela1[[#This Row],[x]]-H$3) +(Tabela1[[#This Row],[y]]-H$4)*(Tabela1[[#This Row],[y]]-H$4)</f>
        <v>33952</v>
      </c>
      <c r="D6682" s="1">
        <f>IF(Tabela1[[#This Row],[promien]]&lt;40000,1,0)</f>
        <v>1</v>
      </c>
      <c r="E6682" s="1">
        <f>IF(Tabela1[[#This Row],[promien]]=40000,1,0)</f>
        <v>0</v>
      </c>
      <c r="F6682" s="1">
        <v>3.1649206824304099</v>
      </c>
      <c r="G6682" s="1">
        <v>2.3328028840616799E-2</v>
      </c>
    </row>
    <row r="6683" spans="1:7">
      <c r="A6683">
        <v>315</v>
      </c>
      <c r="B6683">
        <v>69</v>
      </c>
      <c r="C6683" s="1">
        <f>(Tabela1[[#This Row],[x]]-H$3)*(Tabela1[[#This Row],[x]]-H$3) +(Tabela1[[#This Row],[y]]-H$4)*(Tabela1[[#This Row],[y]]-H$4)</f>
        <v>30386</v>
      </c>
      <c r="D6683" s="1">
        <f>IF(Tabela1[[#This Row],[promien]]&lt;40000,1,0)</f>
        <v>1</v>
      </c>
      <c r="E6683" s="1">
        <f>IF(Tabela1[[#This Row],[promien]]=40000,1,0)</f>
        <v>0</v>
      </c>
      <c r="F6683" s="1">
        <v>3.1650456381864434</v>
      </c>
      <c r="G6683" s="1">
        <v>2.3452984596650239E-2</v>
      </c>
    </row>
    <row r="6684" spans="1:7">
      <c r="A6684">
        <v>387</v>
      </c>
      <c r="B6684">
        <v>279</v>
      </c>
      <c r="C6684" s="1">
        <f>(Tabela1[[#This Row],[x]]-H$3)*(Tabela1[[#This Row],[x]]-H$3) +(Tabela1[[#This Row],[y]]-H$4)*(Tabela1[[#This Row],[y]]-H$4)</f>
        <v>41210</v>
      </c>
      <c r="D6684" s="1">
        <f>IF(Tabela1[[#This Row],[promien]]&lt;40000,1,0)</f>
        <v>0</v>
      </c>
      <c r="E6684" s="1">
        <f>IF(Tabela1[[#This Row],[promien]]=40000,1,0)</f>
        <v>0</v>
      </c>
      <c r="F6684" s="1">
        <v>3.1645721125074804</v>
      </c>
      <c r="G6684" s="1">
        <v>2.2979458917687268E-2</v>
      </c>
    </row>
    <row r="6685" spans="1:7">
      <c r="A6685">
        <v>188</v>
      </c>
      <c r="B6685">
        <v>366</v>
      </c>
      <c r="C6685" s="1">
        <f>(Tabela1[[#This Row],[x]]-H$3)*(Tabela1[[#This Row],[x]]-H$3) +(Tabela1[[#This Row],[y]]-H$4)*(Tabela1[[#This Row],[y]]-H$4)</f>
        <v>27700</v>
      </c>
      <c r="D6685" s="1">
        <f>IF(Tabela1[[#This Row],[promien]]&lt;40000,1,0)</f>
        <v>1</v>
      </c>
      <c r="E6685" s="1">
        <f>IF(Tabela1[[#This Row],[promien]]=40000,1,0)</f>
        <v>0</v>
      </c>
      <c r="F6685" s="1">
        <v>3.1646970830216903</v>
      </c>
      <c r="G6685" s="1">
        <v>2.3104429431897167E-2</v>
      </c>
    </row>
    <row r="6686" spans="1:7">
      <c r="A6686">
        <v>155</v>
      </c>
      <c r="B6686">
        <v>204</v>
      </c>
      <c r="C6686" s="1">
        <f>(Tabela1[[#This Row],[x]]-H$3)*(Tabela1[[#This Row],[x]]-H$3) +(Tabela1[[#This Row],[y]]-H$4)*(Tabela1[[#This Row],[y]]-H$4)</f>
        <v>2041</v>
      </c>
      <c r="D6686" s="1">
        <f>IF(Tabela1[[#This Row],[promien]]&lt;40000,1,0)</f>
        <v>1</v>
      </c>
      <c r="E6686" s="1">
        <f>IF(Tabela1[[#This Row],[promien]]=40000,1,0)</f>
        <v>0</v>
      </c>
      <c r="F6686" s="1">
        <v>3.1648220161531557</v>
      </c>
      <c r="G6686" s="1">
        <v>2.322936256336261E-2</v>
      </c>
    </row>
    <row r="6687" spans="1:7">
      <c r="A6687">
        <v>122</v>
      </c>
      <c r="B6687">
        <v>142</v>
      </c>
      <c r="C6687" s="1">
        <f>(Tabela1[[#This Row],[x]]-H$3)*(Tabela1[[#This Row],[x]]-H$3) +(Tabela1[[#This Row],[y]]-H$4)*(Tabela1[[#This Row],[y]]-H$4)</f>
        <v>9448</v>
      </c>
      <c r="D6687" s="1">
        <f>IF(Tabela1[[#This Row],[promien]]&lt;40000,1,0)</f>
        <v>1</v>
      </c>
      <c r="E6687" s="1">
        <f>IF(Tabela1[[#This Row],[promien]]=40000,1,0)</f>
        <v>0</v>
      </c>
      <c r="F6687" s="1">
        <v>3.1649469119186482</v>
      </c>
      <c r="G6687" s="1">
        <v>2.3354258328855071E-2</v>
      </c>
    </row>
    <row r="6688" spans="1:7">
      <c r="A6688">
        <v>300</v>
      </c>
      <c r="B6688">
        <v>28</v>
      </c>
      <c r="C6688" s="1">
        <f>(Tabela1[[#This Row],[x]]-H$3)*(Tabela1[[#This Row],[x]]-H$3) +(Tabela1[[#This Row],[y]]-H$4)*(Tabela1[[#This Row],[y]]-H$4)</f>
        <v>39584</v>
      </c>
      <c r="D6688" s="1">
        <f>IF(Tabela1[[#This Row],[promien]]&lt;40000,1,0)</f>
        <v>1</v>
      </c>
      <c r="E6688" s="1">
        <f>IF(Tabela1[[#This Row],[promien]]=40000,1,0)</f>
        <v>0</v>
      </c>
      <c r="F6688" s="1">
        <v>3.165071770334928</v>
      </c>
      <c r="G6688" s="1">
        <v>2.347911674513492E-2</v>
      </c>
    </row>
    <row r="6689" spans="1:7">
      <c r="A6689">
        <v>89</v>
      </c>
      <c r="B6689">
        <v>352</v>
      </c>
      <c r="C6689" s="1">
        <f>(Tabela1[[#This Row],[x]]-H$3)*(Tabela1[[#This Row],[x]]-H$3) +(Tabela1[[#This Row],[y]]-H$4)*(Tabela1[[#This Row],[y]]-H$4)</f>
        <v>35425</v>
      </c>
      <c r="D6689" s="1">
        <f>IF(Tabela1[[#This Row],[promien]]&lt;40000,1,0)</f>
        <v>1</v>
      </c>
      <c r="E6689" s="1">
        <f>IF(Tabela1[[#This Row],[promien]]=40000,1,0)</f>
        <v>0</v>
      </c>
      <c r="F6689" s="1">
        <v>3.1651965914187472</v>
      </c>
      <c r="G6689" s="1">
        <v>2.3603937828954091E-2</v>
      </c>
    </row>
    <row r="6690" spans="1:7">
      <c r="A6690">
        <v>235</v>
      </c>
      <c r="B6690">
        <v>56</v>
      </c>
      <c r="C6690" s="1">
        <f>(Tabela1[[#This Row],[x]]-H$3)*(Tabela1[[#This Row],[x]]-H$3) +(Tabela1[[#This Row],[y]]-H$4)*(Tabela1[[#This Row],[y]]-H$4)</f>
        <v>21961</v>
      </c>
      <c r="D6690" s="1">
        <f>IF(Tabela1[[#This Row],[promien]]&lt;40000,1,0)</f>
        <v>1</v>
      </c>
      <c r="E6690" s="1">
        <f>IF(Tabela1[[#This Row],[promien]]=40000,1,0)</f>
        <v>0</v>
      </c>
      <c r="F6690" s="1">
        <v>3.1653213751868461</v>
      </c>
      <c r="G6690" s="1">
        <v>2.3728721597052971E-2</v>
      </c>
    </row>
    <row r="6691" spans="1:7">
      <c r="A6691">
        <v>350</v>
      </c>
      <c r="B6691">
        <v>390</v>
      </c>
      <c r="C6691" s="1">
        <f>(Tabela1[[#This Row],[x]]-H$3)*(Tabela1[[#This Row],[x]]-H$3) +(Tabela1[[#This Row],[y]]-H$4)*(Tabela1[[#This Row],[y]]-H$4)</f>
        <v>58600</v>
      </c>
      <c r="D6691" s="1">
        <f>IF(Tabela1[[#This Row],[promien]]&lt;40000,1,0)</f>
        <v>0</v>
      </c>
      <c r="E6691" s="1">
        <f>IF(Tabela1[[#This Row],[promien]]=40000,1,0)</f>
        <v>0</v>
      </c>
      <c r="F6691" s="1">
        <v>3.1648483036915258</v>
      </c>
      <c r="G6691" s="1">
        <v>2.3255650101732694E-2</v>
      </c>
    </row>
    <row r="6692" spans="1:7">
      <c r="A6692">
        <v>281</v>
      </c>
      <c r="B6692">
        <v>134</v>
      </c>
      <c r="C6692" s="1">
        <f>(Tabela1[[#This Row],[x]]-H$3)*(Tabela1[[#This Row],[x]]-H$3) +(Tabela1[[#This Row],[y]]-H$4)*(Tabela1[[#This Row],[y]]-H$4)</f>
        <v>10917</v>
      </c>
      <c r="D6692" s="1">
        <f>IF(Tabela1[[#This Row],[promien]]&lt;40000,1,0)</f>
        <v>1</v>
      </c>
      <c r="E6692" s="1">
        <f>IF(Tabela1[[#This Row],[promien]]=40000,1,0)</f>
        <v>0</v>
      </c>
      <c r="F6692" s="1">
        <v>3.1649731022115959</v>
      </c>
      <c r="G6692" s="1">
        <v>2.3380448621802774E-2</v>
      </c>
    </row>
    <row r="6693" spans="1:7">
      <c r="A6693">
        <v>169</v>
      </c>
      <c r="B6693">
        <v>163</v>
      </c>
      <c r="C6693" s="1">
        <f>(Tabela1[[#This Row],[x]]-H$3)*(Tabela1[[#This Row],[x]]-H$3) +(Tabela1[[#This Row],[y]]-H$4)*(Tabela1[[#This Row],[y]]-H$4)</f>
        <v>2330</v>
      </c>
      <c r="D6693" s="1">
        <f>IF(Tabela1[[#This Row],[promien]]&lt;40000,1,0)</f>
        <v>1</v>
      </c>
      <c r="E6693" s="1">
        <f>IF(Tabela1[[#This Row],[promien]]=40000,1,0)</f>
        <v>0</v>
      </c>
      <c r="F6693" s="1">
        <v>3.1650978634394145</v>
      </c>
      <c r="G6693" s="1">
        <v>2.3505209849621345E-2</v>
      </c>
    </row>
    <row r="6694" spans="1:7">
      <c r="A6694">
        <v>51</v>
      </c>
      <c r="B6694">
        <v>58</v>
      </c>
      <c r="C6694" s="1">
        <f>(Tabela1[[#This Row],[x]]-H$3)*(Tabela1[[#This Row],[x]]-H$3) +(Tabela1[[#This Row],[y]]-H$4)*(Tabela1[[#This Row],[y]]-H$4)</f>
        <v>42365</v>
      </c>
      <c r="D6694" s="1">
        <f>IF(Tabela1[[#This Row],[promien]]&lt;40000,1,0)</f>
        <v>0</v>
      </c>
      <c r="E6694" s="1">
        <f>IF(Tabela1[[#This Row],[promien]]=40000,1,0)</f>
        <v>0</v>
      </c>
      <c r="F6694" s="1">
        <v>3.1646250373468776</v>
      </c>
      <c r="G6694" s="1">
        <v>2.3032383757084496E-2</v>
      </c>
    </row>
    <row r="6695" spans="1:7">
      <c r="A6695">
        <v>194</v>
      </c>
      <c r="B6695">
        <v>33</v>
      </c>
      <c r="C6695" s="1">
        <f>(Tabela1[[#This Row],[x]]-H$3)*(Tabela1[[#This Row],[x]]-H$3) +(Tabela1[[#This Row],[y]]-H$4)*(Tabela1[[#This Row],[y]]-H$4)</f>
        <v>27925</v>
      </c>
      <c r="D6695" s="1">
        <f>IF(Tabela1[[#This Row],[promien]]&lt;40000,1,0)</f>
        <v>1</v>
      </c>
      <c r="E6695" s="1">
        <f>IF(Tabela1[[#This Row],[promien]]=40000,1,0)</f>
        <v>0</v>
      </c>
      <c r="F6695" s="1">
        <v>3.1647498132935028</v>
      </c>
      <c r="G6695" s="1">
        <v>2.3157159703709684E-2</v>
      </c>
    </row>
    <row r="6696" spans="1:7">
      <c r="A6696">
        <v>324</v>
      </c>
      <c r="B6696">
        <v>397</v>
      </c>
      <c r="C6696" s="1">
        <f>(Tabela1[[#This Row],[x]]-H$3)*(Tabela1[[#This Row],[x]]-H$3) +(Tabela1[[#This Row],[y]]-H$4)*(Tabela1[[#This Row],[y]]-H$4)</f>
        <v>54185</v>
      </c>
      <c r="D6696" s="1">
        <f>IF(Tabela1[[#This Row],[promien]]&lt;40000,1,0)</f>
        <v>0</v>
      </c>
      <c r="E6696" s="1">
        <f>IF(Tabela1[[#This Row],[promien]]=40000,1,0)</f>
        <v>0</v>
      </c>
      <c r="F6696" s="1">
        <v>3.1642771804062129</v>
      </c>
      <c r="G6696" s="1">
        <v>2.2684526816419748E-2</v>
      </c>
    </row>
    <row r="6697" spans="1:7">
      <c r="A6697">
        <v>373</v>
      </c>
      <c r="B6697">
        <v>141</v>
      </c>
      <c r="C6697" s="1">
        <f>(Tabela1[[#This Row],[x]]-H$3)*(Tabela1[[#This Row],[x]]-H$3) +(Tabela1[[#This Row],[y]]-H$4)*(Tabela1[[#This Row],[y]]-H$4)</f>
        <v>33410</v>
      </c>
      <c r="D6697" s="1">
        <f>IF(Tabela1[[#This Row],[promien]]&lt;40000,1,0)</f>
        <v>1</v>
      </c>
      <c r="E6697" s="1">
        <f>IF(Tabela1[[#This Row],[promien]]=40000,1,0)</f>
        <v>0</v>
      </c>
      <c r="F6697" s="1">
        <v>3.1644019710318054</v>
      </c>
      <c r="G6697" s="1">
        <v>2.2809317442012311E-2</v>
      </c>
    </row>
    <row r="6698" spans="1:7">
      <c r="A6698">
        <v>179</v>
      </c>
      <c r="B6698">
        <v>97</v>
      </c>
      <c r="C6698" s="1">
        <f>(Tabela1[[#This Row],[x]]-H$3)*(Tabela1[[#This Row],[x]]-H$3) +(Tabela1[[#This Row],[y]]-H$4)*(Tabela1[[#This Row],[y]]-H$4)</f>
        <v>11050</v>
      </c>
      <c r="D6698" s="1">
        <f>IF(Tabela1[[#This Row],[promien]]&lt;40000,1,0)</f>
        <v>1</v>
      </c>
      <c r="E6698" s="1">
        <f>IF(Tabela1[[#This Row],[promien]]=40000,1,0)</f>
        <v>0</v>
      </c>
      <c r="F6698" s="1">
        <v>3.1645267243953419</v>
      </c>
      <c r="G6698" s="1">
        <v>2.2934070805548767E-2</v>
      </c>
    </row>
    <row r="6699" spans="1:7">
      <c r="A6699">
        <v>138</v>
      </c>
      <c r="B6699">
        <v>364</v>
      </c>
      <c r="C6699" s="1">
        <f>(Tabela1[[#This Row],[x]]-H$3)*(Tabela1[[#This Row],[x]]-H$3) +(Tabela1[[#This Row],[y]]-H$4)*(Tabela1[[#This Row],[y]]-H$4)</f>
        <v>30740</v>
      </c>
      <c r="D6699" s="1">
        <f>IF(Tabela1[[#This Row],[promien]]&lt;40000,1,0)</f>
        <v>1</v>
      </c>
      <c r="E6699" s="1">
        <f>IF(Tabela1[[#This Row],[promien]]=40000,1,0)</f>
        <v>0</v>
      </c>
      <c r="F6699" s="1">
        <v>3.1646514405135093</v>
      </c>
      <c r="G6699" s="1">
        <v>2.3058786923716212E-2</v>
      </c>
    </row>
    <row r="6700" spans="1:7">
      <c r="A6700">
        <v>76</v>
      </c>
      <c r="B6700">
        <v>393</v>
      </c>
      <c r="C6700" s="1">
        <f>(Tabela1[[#This Row],[x]]-H$3)*(Tabela1[[#This Row],[x]]-H$3) +(Tabela1[[#This Row],[y]]-H$4)*(Tabela1[[#This Row],[y]]-H$4)</f>
        <v>52625</v>
      </c>
      <c r="D6700" s="1">
        <f>IF(Tabela1[[#This Row],[promien]]&lt;40000,1,0)</f>
        <v>0</v>
      </c>
      <c r="E6700" s="1">
        <f>IF(Tabela1[[#This Row],[promien]]=40000,1,0)</f>
        <v>0</v>
      </c>
      <c r="F6700" s="1">
        <v>3.1641791044776117</v>
      </c>
      <c r="G6700" s="1">
        <v>2.2586450887818632E-2</v>
      </c>
    </row>
    <row r="6701" spans="1:7">
      <c r="A6701">
        <v>279</v>
      </c>
      <c r="B6701">
        <v>306</v>
      </c>
      <c r="C6701" s="1">
        <f>(Tabela1[[#This Row],[x]]-H$3)*(Tabela1[[#This Row],[x]]-H$3) +(Tabela1[[#This Row],[y]]-H$4)*(Tabela1[[#This Row],[y]]-H$4)</f>
        <v>17477</v>
      </c>
      <c r="D6701" s="1">
        <f>IF(Tabela1[[#This Row],[promien]]&lt;40000,1,0)</f>
        <v>1</v>
      </c>
      <c r="E6701" s="1">
        <f>IF(Tabela1[[#This Row],[promien]]=40000,1,0)</f>
        <v>0</v>
      </c>
      <c r="F6701" s="1">
        <v>3.1643038352484703</v>
      </c>
      <c r="G6701" s="1">
        <v>2.2711181658677138E-2</v>
      </c>
    </row>
    <row r="6702" spans="1:7">
      <c r="A6702">
        <v>390</v>
      </c>
      <c r="B6702">
        <v>344</v>
      </c>
      <c r="C6702" s="1">
        <f>(Tabela1[[#This Row],[x]]-H$3)*(Tabela1[[#This Row],[x]]-H$3) +(Tabela1[[#This Row],[y]]-H$4)*(Tabela1[[#This Row],[y]]-H$4)</f>
        <v>56836</v>
      </c>
      <c r="D6702" s="1">
        <f>IF(Tabela1[[#This Row],[promien]]&lt;40000,1,0)</f>
        <v>0</v>
      </c>
      <c r="E6702" s="1">
        <f>IF(Tabela1[[#This Row],[promien]]=40000,1,0)</f>
        <v>0</v>
      </c>
      <c r="F6702" s="1">
        <v>3.1638316920322294</v>
      </c>
      <c r="G6702" s="1">
        <v>2.2239038442436243E-2</v>
      </c>
    </row>
    <row r="6703" spans="1:7">
      <c r="A6703">
        <v>263</v>
      </c>
      <c r="B6703">
        <v>19</v>
      </c>
      <c r="C6703" s="1">
        <f>(Tabela1[[#This Row],[x]]-H$3)*(Tabela1[[#This Row],[x]]-H$3) +(Tabela1[[#This Row],[y]]-H$4)*(Tabela1[[#This Row],[y]]-H$4)</f>
        <v>36730</v>
      </c>
      <c r="D6703" s="1">
        <f>IF(Tabela1[[#This Row],[promien]]&lt;40000,1,0)</f>
        <v>1</v>
      </c>
      <c r="E6703" s="1">
        <f>IF(Tabela1[[#This Row],[promien]]=40000,1,0)</f>
        <v>0</v>
      </c>
      <c r="F6703" s="1">
        <v>3.1639564374160822</v>
      </c>
      <c r="G6703" s="1">
        <v>2.2363783826289119E-2</v>
      </c>
    </row>
    <row r="6704" spans="1:7">
      <c r="A6704">
        <v>167</v>
      </c>
      <c r="B6704">
        <v>60</v>
      </c>
      <c r="C6704" s="1">
        <f>(Tabela1[[#This Row],[x]]-H$3)*(Tabela1[[#This Row],[x]]-H$3) +(Tabela1[[#This Row],[y]]-H$4)*(Tabela1[[#This Row],[y]]-H$4)</f>
        <v>20689</v>
      </c>
      <c r="D6704" s="1">
        <f>IF(Tabela1[[#This Row],[promien]]&lt;40000,1,0)</f>
        <v>1</v>
      </c>
      <c r="E6704" s="1">
        <f>IF(Tabela1[[#This Row],[promien]]=40000,1,0)</f>
        <v>0</v>
      </c>
      <c r="F6704" s="1">
        <v>3.1640811455847255</v>
      </c>
      <c r="G6704" s="1">
        <v>2.2488491994932414E-2</v>
      </c>
    </row>
    <row r="6705" spans="1:7">
      <c r="A6705">
        <v>337</v>
      </c>
      <c r="B6705">
        <v>115</v>
      </c>
      <c r="C6705" s="1">
        <f>(Tabela1[[#This Row],[x]]-H$3)*(Tabela1[[#This Row],[x]]-H$3) +(Tabela1[[#This Row],[y]]-H$4)*(Tabela1[[#This Row],[y]]-H$4)</f>
        <v>25994</v>
      </c>
      <c r="D6705" s="1">
        <f>IF(Tabela1[[#This Row],[promien]]&lt;40000,1,0)</f>
        <v>1</v>
      </c>
      <c r="E6705" s="1">
        <f>IF(Tabela1[[#This Row],[promien]]=40000,1,0)</f>
        <v>0</v>
      </c>
      <c r="F6705" s="1">
        <v>3.1642058165548099</v>
      </c>
      <c r="G6705" s="1">
        <v>2.2613162965016809E-2</v>
      </c>
    </row>
    <row r="6706" spans="1:7">
      <c r="A6706">
        <v>268</v>
      </c>
      <c r="B6706">
        <v>187</v>
      </c>
      <c r="C6706" s="1">
        <f>(Tabela1[[#This Row],[x]]-H$3)*(Tabela1[[#This Row],[x]]-H$3) +(Tabela1[[#This Row],[y]]-H$4)*(Tabela1[[#This Row],[y]]-H$4)</f>
        <v>4793</v>
      </c>
      <c r="D6706" s="1">
        <f>IF(Tabela1[[#This Row],[promien]]&lt;40000,1,0)</f>
        <v>1</v>
      </c>
      <c r="E6706" s="1">
        <f>IF(Tabela1[[#This Row],[promien]]=40000,1,0)</f>
        <v>0</v>
      </c>
      <c r="F6706" s="1">
        <v>3.1643304503429763</v>
      </c>
      <c r="G6706" s="1">
        <v>2.2737796753183215E-2</v>
      </c>
    </row>
    <row r="6707" spans="1:7">
      <c r="A6707">
        <v>340</v>
      </c>
      <c r="B6707">
        <v>396</v>
      </c>
      <c r="C6707" s="1">
        <f>(Tabela1[[#This Row],[x]]-H$3)*(Tabela1[[#This Row],[x]]-H$3) +(Tabela1[[#This Row],[y]]-H$4)*(Tabela1[[#This Row],[y]]-H$4)</f>
        <v>58016</v>
      </c>
      <c r="D6707" s="1">
        <f>IF(Tabela1[[#This Row],[promien]]&lt;40000,1,0)</f>
        <v>0</v>
      </c>
      <c r="E6707" s="1">
        <f>IF(Tabela1[[#This Row],[promien]]=40000,1,0)</f>
        <v>0</v>
      </c>
      <c r="F6707" s="1">
        <v>3.1638586551364245</v>
      </c>
      <c r="G6707" s="1">
        <v>2.2266001546631387E-2</v>
      </c>
    </row>
    <row r="6708" spans="1:7">
      <c r="A6708">
        <v>385</v>
      </c>
      <c r="B6708">
        <v>187</v>
      </c>
      <c r="C6708" s="1">
        <f>(Tabela1[[#This Row],[x]]-H$3)*(Tabela1[[#This Row],[x]]-H$3) +(Tabela1[[#This Row],[y]]-H$4)*(Tabela1[[#This Row],[y]]-H$4)</f>
        <v>34394</v>
      </c>
      <c r="D6708" s="1">
        <f>IF(Tabela1[[#This Row],[promien]]&lt;40000,1,0)</f>
        <v>1</v>
      </c>
      <c r="E6708" s="1">
        <f>IF(Tabela1[[#This Row],[promien]]=40000,1,0)</f>
        <v>0</v>
      </c>
      <c r="F6708" s="1">
        <v>3.163983303518187</v>
      </c>
      <c r="G6708" s="1">
        <v>2.2390649928393902E-2</v>
      </c>
    </row>
    <row r="6709" spans="1:7">
      <c r="A6709">
        <v>185</v>
      </c>
      <c r="B6709">
        <v>96</v>
      </c>
      <c r="C6709" s="1">
        <f>(Tabela1[[#This Row],[x]]-H$3)*(Tabela1[[#This Row],[x]]-H$3) +(Tabela1[[#This Row],[y]]-H$4)*(Tabela1[[#This Row],[y]]-H$4)</f>
        <v>11041</v>
      </c>
      <c r="D6709" s="1">
        <f>IF(Tabela1[[#This Row],[promien]]&lt;40000,1,0)</f>
        <v>1</v>
      </c>
      <c r="E6709" s="1">
        <f>IF(Tabela1[[#This Row],[promien]]=40000,1,0)</f>
        <v>0</v>
      </c>
      <c r="F6709" s="1">
        <v>3.164107914741392</v>
      </c>
      <c r="G6709" s="1">
        <v>2.2515261151598853E-2</v>
      </c>
    </row>
    <row r="6710" spans="1:7">
      <c r="A6710">
        <v>249</v>
      </c>
      <c r="B6710">
        <v>375</v>
      </c>
      <c r="C6710" s="1">
        <f>(Tabela1[[#This Row],[x]]-H$3)*(Tabela1[[#This Row],[x]]-H$3) +(Tabela1[[#This Row],[y]]-H$4)*(Tabela1[[#This Row],[y]]-H$4)</f>
        <v>33026</v>
      </c>
      <c r="D6710" s="1">
        <f>IF(Tabela1[[#This Row],[promien]]&lt;40000,1,0)</f>
        <v>1</v>
      </c>
      <c r="E6710" s="1">
        <f>IF(Tabela1[[#This Row],[promien]]=40000,1,0)</f>
        <v>0</v>
      </c>
      <c r="F6710" s="1">
        <v>3.1642324888226527</v>
      </c>
      <c r="G6710" s="1">
        <v>2.2639835232859618E-2</v>
      </c>
    </row>
    <row r="6711" spans="1:7">
      <c r="A6711">
        <v>80</v>
      </c>
      <c r="B6711">
        <v>317</v>
      </c>
      <c r="C6711" s="1">
        <f>(Tabela1[[#This Row],[x]]-H$3)*(Tabela1[[#This Row],[x]]-H$3) +(Tabela1[[#This Row],[y]]-H$4)*(Tabela1[[#This Row],[y]]-H$4)</f>
        <v>28089</v>
      </c>
      <c r="D6711" s="1">
        <f>IF(Tabela1[[#This Row],[promien]]&lt;40000,1,0)</f>
        <v>1</v>
      </c>
      <c r="E6711" s="1">
        <f>IF(Tabela1[[#This Row],[promien]]=40000,1,0)</f>
        <v>0</v>
      </c>
      <c r="F6711" s="1">
        <v>3.1643570257785725</v>
      </c>
      <c r="G6711" s="1">
        <v>2.2764372188779358E-2</v>
      </c>
    </row>
    <row r="6712" spans="1:7">
      <c r="A6712">
        <v>266</v>
      </c>
      <c r="B6712">
        <v>145</v>
      </c>
      <c r="C6712" s="1">
        <f>(Tabela1[[#This Row],[x]]-H$3)*(Tabela1[[#This Row],[x]]-H$3) +(Tabela1[[#This Row],[y]]-H$4)*(Tabela1[[#This Row],[y]]-H$4)</f>
        <v>7381</v>
      </c>
      <c r="D6712" s="1">
        <f>IF(Tabela1[[#This Row],[promien]]&lt;40000,1,0)</f>
        <v>1</v>
      </c>
      <c r="E6712" s="1">
        <f>IF(Tabela1[[#This Row],[promien]]=40000,1,0)</f>
        <v>0</v>
      </c>
      <c r="F6712" s="1">
        <v>3.164481525625745</v>
      </c>
      <c r="G6712" s="1">
        <v>2.2888872035951913E-2</v>
      </c>
    </row>
    <row r="6713" spans="1:7">
      <c r="A6713">
        <v>398</v>
      </c>
      <c r="B6713">
        <v>269</v>
      </c>
      <c r="C6713" s="1">
        <f>(Tabela1[[#This Row],[x]]-H$3)*(Tabela1[[#This Row],[x]]-H$3) +(Tabela1[[#This Row],[y]]-H$4)*(Tabela1[[#This Row],[y]]-H$4)</f>
        <v>43965</v>
      </c>
      <c r="D6713" s="1">
        <f>IF(Tabela1[[#This Row],[promien]]&lt;40000,1,0)</f>
        <v>0</v>
      </c>
      <c r="E6713" s="1">
        <f>IF(Tabela1[[#This Row],[promien]]=40000,1,0)</f>
        <v>0</v>
      </c>
      <c r="F6713" s="1">
        <v>3.1640101295992848</v>
      </c>
      <c r="G6713" s="1">
        <v>2.2417476009491732E-2</v>
      </c>
    </row>
    <row r="6714" spans="1:7">
      <c r="A6714">
        <v>273</v>
      </c>
      <c r="B6714">
        <v>392</v>
      </c>
      <c r="C6714" s="1">
        <f>(Tabela1[[#This Row],[x]]-H$3)*(Tabela1[[#This Row],[x]]-H$3) +(Tabela1[[#This Row],[y]]-H$4)*(Tabela1[[#This Row],[y]]-H$4)</f>
        <v>42193</v>
      </c>
      <c r="D6714" s="1">
        <f>IF(Tabela1[[#This Row],[promien]]&lt;40000,1,0)</f>
        <v>0</v>
      </c>
      <c r="E6714" s="1">
        <f>IF(Tabela1[[#This Row],[promien]]=40000,1,0)</f>
        <v>0</v>
      </c>
      <c r="F6714" s="1">
        <v>3.163538873994638</v>
      </c>
      <c r="G6714" s="1">
        <v>2.1946220404844841E-2</v>
      </c>
    </row>
    <row r="6715" spans="1:7">
      <c r="A6715">
        <v>272</v>
      </c>
      <c r="B6715">
        <v>127</v>
      </c>
      <c r="C6715" s="1">
        <f>(Tabela1[[#This Row],[x]]-H$3)*(Tabela1[[#This Row],[x]]-H$3) +(Tabela1[[#This Row],[y]]-H$4)*(Tabela1[[#This Row],[y]]-H$4)</f>
        <v>10513</v>
      </c>
      <c r="D6715" s="1">
        <f>IF(Tabela1[[#This Row],[promien]]&lt;40000,1,0)</f>
        <v>1</v>
      </c>
      <c r="E6715" s="1">
        <f>IF(Tabela1[[#This Row],[promien]]=40000,1,0)</f>
        <v>0</v>
      </c>
      <c r="F6715" s="1">
        <v>3.163663440059568</v>
      </c>
      <c r="G6715" s="1">
        <v>2.2070786469774895E-2</v>
      </c>
    </row>
    <row r="6716" spans="1:7">
      <c r="A6716">
        <v>333</v>
      </c>
      <c r="B6716">
        <v>261</v>
      </c>
      <c r="C6716" s="1">
        <f>(Tabela1[[#This Row],[x]]-H$3)*(Tabela1[[#This Row],[x]]-H$3) +(Tabela1[[#This Row],[y]]-H$4)*(Tabela1[[#This Row],[y]]-H$4)</f>
        <v>21410</v>
      </c>
      <c r="D6716" s="1">
        <f>IF(Tabela1[[#This Row],[promien]]&lt;40000,1,0)</f>
        <v>1</v>
      </c>
      <c r="E6716" s="1">
        <f>IF(Tabela1[[#This Row],[promien]]=40000,1,0)</f>
        <v>0</v>
      </c>
      <c r="F6716" s="1">
        <v>3.1637879690291841</v>
      </c>
      <c r="G6716" s="1">
        <v>2.2195315439391017E-2</v>
      </c>
    </row>
    <row r="6717" spans="1:7">
      <c r="A6717">
        <v>270</v>
      </c>
      <c r="B6717">
        <v>144</v>
      </c>
      <c r="C6717" s="1">
        <f>(Tabela1[[#This Row],[x]]-H$3)*(Tabela1[[#This Row],[x]]-H$3) +(Tabela1[[#This Row],[y]]-H$4)*(Tabela1[[#This Row],[y]]-H$4)</f>
        <v>8036</v>
      </c>
      <c r="D6717" s="1">
        <f>IF(Tabela1[[#This Row],[promien]]&lt;40000,1,0)</f>
        <v>1</v>
      </c>
      <c r="E6717" s="1">
        <f>IF(Tabela1[[#This Row],[promien]]=40000,1,0)</f>
        <v>0</v>
      </c>
      <c r="F6717" s="1">
        <v>3.1639124609200535</v>
      </c>
      <c r="G6717" s="1">
        <v>2.2319807330260399E-2</v>
      </c>
    </row>
    <row r="6718" spans="1:7">
      <c r="A6718">
        <v>46</v>
      </c>
      <c r="B6718">
        <v>42</v>
      </c>
      <c r="C6718" s="1">
        <f>(Tabela1[[#This Row],[x]]-H$3)*(Tabela1[[#This Row],[x]]-H$3) +(Tabela1[[#This Row],[y]]-H$4)*(Tabela1[[#This Row],[y]]-H$4)</f>
        <v>48680</v>
      </c>
      <c r="D6718" s="1">
        <f>IF(Tabela1[[#This Row],[promien]]&lt;40000,1,0)</f>
        <v>0</v>
      </c>
      <c r="E6718" s="1">
        <f>IF(Tabela1[[#This Row],[promien]]=40000,1,0)</f>
        <v>0</v>
      </c>
      <c r="F6718" s="1">
        <v>3.1634415004465617</v>
      </c>
      <c r="G6718" s="1">
        <v>2.1848846856768578E-2</v>
      </c>
    </row>
    <row r="6719" spans="1:7">
      <c r="A6719">
        <v>320</v>
      </c>
      <c r="B6719">
        <v>189</v>
      </c>
      <c r="C6719" s="1">
        <f>(Tabela1[[#This Row],[x]]-H$3)*(Tabela1[[#This Row],[x]]-H$3) +(Tabela1[[#This Row],[y]]-H$4)*(Tabela1[[#This Row],[y]]-H$4)</f>
        <v>14521</v>
      </c>
      <c r="D6719" s="1">
        <f>IF(Tabela1[[#This Row],[promien]]&lt;40000,1,0)</f>
        <v>1</v>
      </c>
      <c r="E6719" s="1">
        <f>IF(Tabela1[[#This Row],[promien]]=40000,1,0)</f>
        <v>0</v>
      </c>
      <c r="F6719" s="1">
        <v>3.1635660068462568</v>
      </c>
      <c r="G6719" s="1">
        <v>2.1973353256463657E-2</v>
      </c>
    </row>
    <row r="6720" spans="1:7">
      <c r="A6720">
        <v>126</v>
      </c>
      <c r="B6720">
        <v>387</v>
      </c>
      <c r="C6720" s="1">
        <f>(Tabela1[[#This Row],[x]]-H$3)*(Tabela1[[#This Row],[x]]-H$3) +(Tabela1[[#This Row],[y]]-H$4)*(Tabela1[[#This Row],[y]]-H$4)</f>
        <v>40445</v>
      </c>
      <c r="D6720" s="1">
        <f>IF(Tabela1[[#This Row],[promien]]&lt;40000,1,0)</f>
        <v>0</v>
      </c>
      <c r="E6720" s="1">
        <f>IF(Tabela1[[#This Row],[promien]]=40000,1,0)</f>
        <v>0</v>
      </c>
      <c r="F6720" s="1">
        <v>3.163095238095238</v>
      </c>
      <c r="G6720" s="1">
        <v>2.1502584505444844E-2</v>
      </c>
    </row>
    <row r="6721" spans="1:7">
      <c r="A6721">
        <v>283</v>
      </c>
      <c r="B6721">
        <v>277</v>
      </c>
      <c r="C6721" s="1">
        <f>(Tabela1[[#This Row],[x]]-H$3)*(Tabela1[[#This Row],[x]]-H$3) +(Tabela1[[#This Row],[y]]-H$4)*(Tabela1[[#This Row],[y]]-H$4)</f>
        <v>12818</v>
      </c>
      <c r="D6721" s="1">
        <f>IF(Tabela1[[#This Row],[promien]]&lt;40000,1,0)</f>
        <v>1</v>
      </c>
      <c r="E6721" s="1">
        <f>IF(Tabela1[[#This Row],[promien]]=40000,1,0)</f>
        <v>0</v>
      </c>
      <c r="F6721" s="1">
        <v>3.16321975896444</v>
      </c>
      <c r="G6721" s="1">
        <v>2.1627105374646849E-2</v>
      </c>
    </row>
    <row r="6722" spans="1:7">
      <c r="A6722">
        <v>319</v>
      </c>
      <c r="B6722">
        <v>326</v>
      </c>
      <c r="C6722" s="1">
        <f>(Tabela1[[#This Row],[x]]-H$3)*(Tabela1[[#This Row],[x]]-H$3) +(Tabela1[[#This Row],[y]]-H$4)*(Tabela1[[#This Row],[y]]-H$4)</f>
        <v>30037</v>
      </c>
      <c r="D6722" s="1">
        <f>IF(Tabela1[[#This Row],[promien]]&lt;40000,1,0)</f>
        <v>1</v>
      </c>
      <c r="E6722" s="1">
        <f>IF(Tabela1[[#This Row],[promien]]=40000,1,0)</f>
        <v>0</v>
      </c>
      <c r="F6722" s="1">
        <v>3.1633442427848855</v>
      </c>
      <c r="G6722" s="1">
        <v>2.1751589195092347E-2</v>
      </c>
    </row>
    <row r="6723" spans="1:7">
      <c r="A6723">
        <v>278</v>
      </c>
      <c r="B6723">
        <v>116</v>
      </c>
      <c r="C6723" s="1">
        <f>(Tabela1[[#This Row],[x]]-H$3)*(Tabela1[[#This Row],[x]]-H$3) +(Tabela1[[#This Row],[y]]-H$4)*(Tabela1[[#This Row],[y]]-H$4)</f>
        <v>13140</v>
      </c>
      <c r="D6723" s="1">
        <f>IF(Tabela1[[#This Row],[promien]]&lt;40000,1,0)</f>
        <v>1</v>
      </c>
      <c r="E6723" s="1">
        <f>IF(Tabela1[[#This Row],[promien]]=40000,1,0)</f>
        <v>0</v>
      </c>
      <c r="F6723" s="1">
        <v>3.1634686895731075</v>
      </c>
      <c r="G6723" s="1">
        <v>2.1876035983314335E-2</v>
      </c>
    </row>
    <row r="6724" spans="1:7">
      <c r="A6724">
        <v>152</v>
      </c>
      <c r="B6724">
        <v>285</v>
      </c>
      <c r="C6724" s="1">
        <f>(Tabela1[[#This Row],[x]]-H$3)*(Tabela1[[#This Row],[x]]-H$3) +(Tabela1[[#This Row],[y]]-H$4)*(Tabela1[[#This Row],[y]]-H$4)</f>
        <v>9529</v>
      </c>
      <c r="D6724" s="1">
        <f>IF(Tabela1[[#This Row],[promien]]&lt;40000,1,0)</f>
        <v>1</v>
      </c>
      <c r="E6724" s="1">
        <f>IF(Tabela1[[#This Row],[promien]]=40000,1,0)</f>
        <v>0</v>
      </c>
      <c r="F6724" s="1">
        <v>3.1635930993456278</v>
      </c>
      <c r="G6724" s="1">
        <v>2.2000445755834708E-2</v>
      </c>
    </row>
    <row r="6725" spans="1:7">
      <c r="A6725">
        <v>146</v>
      </c>
      <c r="B6725">
        <v>382</v>
      </c>
      <c r="C6725" s="1">
        <f>(Tabela1[[#This Row],[x]]-H$3)*(Tabela1[[#This Row],[x]]-H$3) +(Tabela1[[#This Row],[y]]-H$4)*(Tabela1[[#This Row],[y]]-H$4)</f>
        <v>36040</v>
      </c>
      <c r="D6725" s="1">
        <f>IF(Tabela1[[#This Row],[promien]]&lt;40000,1,0)</f>
        <v>1</v>
      </c>
      <c r="E6725" s="1">
        <f>IF(Tabela1[[#This Row],[promien]]=40000,1,0)</f>
        <v>0</v>
      </c>
      <c r="F6725" s="1">
        <v>3.1637174721189592</v>
      </c>
      <c r="G6725" s="1">
        <v>2.2124818529166035E-2</v>
      </c>
    </row>
    <row r="6726" spans="1:7">
      <c r="A6726">
        <v>300</v>
      </c>
      <c r="B6726">
        <v>252</v>
      </c>
      <c r="C6726" s="1">
        <f>(Tabela1[[#This Row],[x]]-H$3)*(Tabela1[[#This Row],[x]]-H$3) +(Tabela1[[#This Row],[y]]-H$4)*(Tabela1[[#This Row],[y]]-H$4)</f>
        <v>12704</v>
      </c>
      <c r="D6726" s="1">
        <f>IF(Tabela1[[#This Row],[promien]]&lt;40000,1,0)</f>
        <v>1</v>
      </c>
      <c r="E6726" s="1">
        <f>IF(Tabela1[[#This Row],[promien]]=40000,1,0)</f>
        <v>0</v>
      </c>
      <c r="F6726" s="1">
        <v>3.1638418079096047</v>
      </c>
      <c r="G6726" s="1">
        <v>2.2249154319811559E-2</v>
      </c>
    </row>
    <row r="6727" spans="1:7">
      <c r="A6727">
        <v>263</v>
      </c>
      <c r="B6727">
        <v>315</v>
      </c>
      <c r="C6727" s="1">
        <f>(Tabela1[[#This Row],[x]]-H$3)*(Tabela1[[#This Row],[x]]-H$3) +(Tabela1[[#This Row],[y]]-H$4)*(Tabela1[[#This Row],[y]]-H$4)</f>
        <v>17194</v>
      </c>
      <c r="D6727" s="1">
        <f>IF(Tabela1[[#This Row],[promien]]&lt;40000,1,0)</f>
        <v>1</v>
      </c>
      <c r="E6727" s="1">
        <f>IF(Tabela1[[#This Row],[promien]]=40000,1,0)</f>
        <v>0</v>
      </c>
      <c r="F6727" s="1">
        <v>3.163966106734057</v>
      </c>
      <c r="G6727" s="1">
        <v>2.2373453144263866E-2</v>
      </c>
    </row>
    <row r="6728" spans="1:7">
      <c r="A6728">
        <v>272</v>
      </c>
      <c r="B6728">
        <v>348</v>
      </c>
      <c r="C6728" s="1">
        <f>(Tabela1[[#This Row],[x]]-H$3)*(Tabela1[[#This Row],[x]]-H$3) +(Tabela1[[#This Row],[y]]-H$4)*(Tabela1[[#This Row],[y]]-H$4)</f>
        <v>27088</v>
      </c>
      <c r="D6728" s="1">
        <f>IF(Tabela1[[#This Row],[promien]]&lt;40000,1,0)</f>
        <v>1</v>
      </c>
      <c r="E6728" s="1">
        <f>IF(Tabela1[[#This Row],[promien]]=40000,1,0)</f>
        <v>0</v>
      </c>
      <c r="F6728" s="1">
        <v>3.1640903686087989</v>
      </c>
      <c r="G6728" s="1">
        <v>2.2497715019005771E-2</v>
      </c>
    </row>
    <row r="6729" spans="1:7">
      <c r="A6729">
        <v>330</v>
      </c>
      <c r="B6729">
        <v>347</v>
      </c>
      <c r="C6729" s="1">
        <f>(Tabela1[[#This Row],[x]]-H$3)*(Tabela1[[#This Row],[x]]-H$3) +(Tabela1[[#This Row],[y]]-H$4)*(Tabela1[[#This Row],[y]]-H$4)</f>
        <v>38509</v>
      </c>
      <c r="D6729" s="1">
        <f>IF(Tabela1[[#This Row],[promien]]&lt;40000,1,0)</f>
        <v>1</v>
      </c>
      <c r="E6729" s="1">
        <f>IF(Tabela1[[#This Row],[promien]]=40000,1,0)</f>
        <v>0</v>
      </c>
      <c r="F6729" s="1">
        <v>3.1642145935503048</v>
      </c>
      <c r="G6729" s="1">
        <v>2.262193996051165E-2</v>
      </c>
    </row>
    <row r="6730" spans="1:7">
      <c r="A6730">
        <v>52</v>
      </c>
      <c r="B6730">
        <v>230</v>
      </c>
      <c r="C6730" s="1">
        <f>(Tabela1[[#This Row],[x]]-H$3)*(Tabela1[[#This Row],[x]]-H$3) +(Tabela1[[#This Row],[y]]-H$4)*(Tabela1[[#This Row],[y]]-H$4)</f>
        <v>22804</v>
      </c>
      <c r="D6730" s="1">
        <f>IF(Tabela1[[#This Row],[promien]]&lt;40000,1,0)</f>
        <v>1</v>
      </c>
      <c r="E6730" s="1">
        <f>IF(Tabela1[[#This Row],[promien]]=40000,1,0)</f>
        <v>0</v>
      </c>
      <c r="F6730" s="1">
        <v>3.164338781575037</v>
      </c>
      <c r="G6730" s="1">
        <v>2.2746127985243891E-2</v>
      </c>
    </row>
    <row r="6731" spans="1:7">
      <c r="A6731">
        <v>178</v>
      </c>
      <c r="B6731">
        <v>396</v>
      </c>
      <c r="C6731" s="1">
        <f>(Tabela1[[#This Row],[x]]-H$3)*(Tabela1[[#This Row],[x]]-H$3) +(Tabela1[[#This Row],[y]]-H$4)*(Tabela1[[#This Row],[y]]-H$4)</f>
        <v>38900</v>
      </c>
      <c r="D6731" s="1">
        <f>IF(Tabela1[[#This Row],[promien]]&lt;40000,1,0)</f>
        <v>1</v>
      </c>
      <c r="E6731" s="1">
        <f>IF(Tabela1[[#This Row],[promien]]=40000,1,0)</f>
        <v>0</v>
      </c>
      <c r="F6731" s="1">
        <v>3.1644629326994504</v>
      </c>
      <c r="G6731" s="1">
        <v>2.2870279109657332E-2</v>
      </c>
    </row>
    <row r="6732" spans="1:7">
      <c r="A6732">
        <v>60</v>
      </c>
      <c r="B6732">
        <v>20</v>
      </c>
      <c r="C6732" s="1">
        <f>(Tabela1[[#This Row],[x]]-H$3)*(Tabela1[[#This Row],[x]]-H$3) +(Tabela1[[#This Row],[y]]-H$4)*(Tabela1[[#This Row],[y]]-H$4)</f>
        <v>52000</v>
      </c>
      <c r="D6732" s="1">
        <f>IF(Tabela1[[#This Row],[promien]]&lt;40000,1,0)</f>
        <v>0</v>
      </c>
      <c r="E6732" s="1">
        <f>IF(Tabela1[[#This Row],[promien]]=40000,1,0)</f>
        <v>0</v>
      </c>
      <c r="F6732" s="1">
        <v>3.1639928698752229</v>
      </c>
      <c r="G6732" s="1">
        <v>2.2400216285429764E-2</v>
      </c>
    </row>
    <row r="6733" spans="1:7">
      <c r="A6733">
        <v>272</v>
      </c>
      <c r="B6733">
        <v>140</v>
      </c>
      <c r="C6733" s="1">
        <f>(Tabela1[[#This Row],[x]]-H$3)*(Tabela1[[#This Row],[x]]-H$3) +(Tabela1[[#This Row],[y]]-H$4)*(Tabela1[[#This Row],[y]]-H$4)</f>
        <v>8784</v>
      </c>
      <c r="D6733" s="1">
        <f>IF(Tabela1[[#This Row],[promien]]&lt;40000,1,0)</f>
        <v>1</v>
      </c>
      <c r="E6733" s="1">
        <f>IF(Tabela1[[#This Row],[promien]]=40000,1,0)</f>
        <v>0</v>
      </c>
      <c r="F6733" s="1">
        <v>3.1641170354968069</v>
      </c>
      <c r="G6733" s="1">
        <v>2.252438190701378E-2</v>
      </c>
    </row>
    <row r="6734" spans="1:7">
      <c r="A6734">
        <v>99</v>
      </c>
      <c r="B6734">
        <v>37</v>
      </c>
      <c r="C6734" s="1">
        <f>(Tabela1[[#This Row],[x]]-H$3)*(Tabela1[[#This Row],[x]]-H$3) +(Tabela1[[#This Row],[y]]-H$4)*(Tabela1[[#This Row],[y]]-H$4)</f>
        <v>36770</v>
      </c>
      <c r="D6734" s="1">
        <f>IF(Tabela1[[#This Row],[promien]]&lt;40000,1,0)</f>
        <v>1</v>
      </c>
      <c r="E6734" s="1">
        <f>IF(Tabela1[[#This Row],[promien]]=40000,1,0)</f>
        <v>0</v>
      </c>
      <c r="F6734" s="1">
        <v>3.1642411642411643</v>
      </c>
      <c r="G6734" s="1">
        <v>2.264851065137119E-2</v>
      </c>
    </row>
    <row r="6735" spans="1:7">
      <c r="A6735">
        <v>178</v>
      </c>
      <c r="B6735">
        <v>299</v>
      </c>
      <c r="C6735" s="1">
        <f>(Tabela1[[#This Row],[x]]-H$3)*(Tabela1[[#This Row],[x]]-H$3) +(Tabela1[[#This Row],[y]]-H$4)*(Tabela1[[#This Row],[y]]-H$4)</f>
        <v>10285</v>
      </c>
      <c r="D6735" s="1">
        <f>IF(Tabela1[[#This Row],[promien]]&lt;40000,1,0)</f>
        <v>1</v>
      </c>
      <c r="E6735" s="1">
        <f>IF(Tabela1[[#This Row],[promien]]=40000,1,0)</f>
        <v>0</v>
      </c>
      <c r="F6735" s="1">
        <v>3.1643652561247215</v>
      </c>
      <c r="G6735" s="1">
        <v>2.277260253492841E-2</v>
      </c>
    </row>
    <row r="6736" spans="1:7">
      <c r="A6736">
        <v>318</v>
      </c>
      <c r="B6736">
        <v>341</v>
      </c>
      <c r="C6736" s="1">
        <f>(Tabela1[[#This Row],[x]]-H$3)*(Tabela1[[#This Row],[x]]-H$3) +(Tabela1[[#This Row],[y]]-H$4)*(Tabela1[[#This Row],[y]]-H$4)</f>
        <v>33805</v>
      </c>
      <c r="D6736" s="1">
        <f>IF(Tabela1[[#This Row],[promien]]&lt;40000,1,0)</f>
        <v>1</v>
      </c>
      <c r="E6736" s="1">
        <f>IF(Tabela1[[#This Row],[promien]]=40000,1,0)</f>
        <v>0</v>
      </c>
      <c r="F6736" s="1">
        <v>3.1644893111638956</v>
      </c>
      <c r="G6736" s="1">
        <v>2.289665757410253E-2</v>
      </c>
    </row>
    <row r="6737" spans="1:7">
      <c r="A6737">
        <v>337</v>
      </c>
      <c r="B6737">
        <v>205</v>
      </c>
      <c r="C6737" s="1">
        <f>(Tabela1[[#This Row],[x]]-H$3)*(Tabela1[[#This Row],[x]]-H$3) +(Tabela1[[#This Row],[y]]-H$4)*(Tabela1[[#This Row],[y]]-H$4)</f>
        <v>18794</v>
      </c>
      <c r="D6737" s="1">
        <f>IF(Tabela1[[#This Row],[promien]]&lt;40000,1,0)</f>
        <v>1</v>
      </c>
      <c r="E6737" s="1">
        <f>IF(Tabela1[[#This Row],[promien]]=40000,1,0)</f>
        <v>0</v>
      </c>
      <c r="F6737" s="1">
        <v>3.1646133293750927</v>
      </c>
      <c r="G6737" s="1">
        <v>2.3020675785299538E-2</v>
      </c>
    </row>
    <row r="6738" spans="1:7">
      <c r="A6738">
        <v>95</v>
      </c>
      <c r="B6738">
        <v>158</v>
      </c>
      <c r="C6738" s="1">
        <f>(Tabela1[[#This Row],[x]]-H$3)*(Tabela1[[#This Row],[x]]-H$3) +(Tabela1[[#This Row],[y]]-H$4)*(Tabela1[[#This Row],[y]]-H$4)</f>
        <v>12789</v>
      </c>
      <c r="D6738" s="1">
        <f>IF(Tabela1[[#This Row],[promien]]&lt;40000,1,0)</f>
        <v>1</v>
      </c>
      <c r="E6738" s="1">
        <f>IF(Tabela1[[#This Row],[promien]]=40000,1,0)</f>
        <v>0</v>
      </c>
      <c r="F6738" s="1">
        <v>3.1647373107747105</v>
      </c>
      <c r="G6738" s="1">
        <v>2.3144657184917428E-2</v>
      </c>
    </row>
    <row r="6739" spans="1:7">
      <c r="A6739">
        <v>351</v>
      </c>
      <c r="B6739">
        <v>272</v>
      </c>
      <c r="C6739" s="1">
        <f>(Tabela1[[#This Row],[x]]-H$3)*(Tabela1[[#This Row],[x]]-H$3) +(Tabela1[[#This Row],[y]]-H$4)*(Tabela1[[#This Row],[y]]-H$4)</f>
        <v>27985</v>
      </c>
      <c r="D6739" s="1">
        <f>IF(Tabela1[[#This Row],[promien]]&lt;40000,1,0)</f>
        <v>1</v>
      </c>
      <c r="E6739" s="1">
        <f>IF(Tabela1[[#This Row],[promien]]=40000,1,0)</f>
        <v>0</v>
      </c>
      <c r="F6739" s="1">
        <v>3.1648612553791362</v>
      </c>
      <c r="G6739" s="1">
        <v>2.3268601789343091E-2</v>
      </c>
    </row>
    <row r="6740" spans="1:7">
      <c r="A6740">
        <v>395</v>
      </c>
      <c r="B6740">
        <v>93</v>
      </c>
      <c r="C6740" s="1">
        <f>(Tabela1[[#This Row],[x]]-H$3)*(Tabela1[[#This Row],[x]]-H$3) +(Tabela1[[#This Row],[y]]-H$4)*(Tabela1[[#This Row],[y]]-H$4)</f>
        <v>49474</v>
      </c>
      <c r="D6740" s="1">
        <f>IF(Tabela1[[#This Row],[promien]]&lt;40000,1,0)</f>
        <v>0</v>
      </c>
      <c r="E6740" s="1">
        <f>IF(Tabela1[[#This Row],[promien]]=40000,1,0)</f>
        <v>0</v>
      </c>
      <c r="F6740" s="1">
        <v>3.1643916913946586</v>
      </c>
      <c r="G6740" s="1">
        <v>2.2799037804865474E-2</v>
      </c>
    </row>
    <row r="6741" spans="1:7">
      <c r="A6741">
        <v>192</v>
      </c>
      <c r="B6741">
        <v>152</v>
      </c>
      <c r="C6741" s="1">
        <f>(Tabela1[[#This Row],[x]]-H$3)*(Tabela1[[#This Row],[x]]-H$3) +(Tabela1[[#This Row],[y]]-H$4)*(Tabela1[[#This Row],[y]]-H$4)</f>
        <v>2368</v>
      </c>
      <c r="D6741" s="1">
        <f>IF(Tabela1[[#This Row],[promien]]&lt;40000,1,0)</f>
        <v>1</v>
      </c>
      <c r="E6741" s="1">
        <f>IF(Tabela1[[#This Row],[promien]]=40000,1,0)</f>
        <v>0</v>
      </c>
      <c r="F6741" s="1">
        <v>3.1645156504969587</v>
      </c>
      <c r="G6741" s="1">
        <v>2.2922996907165594E-2</v>
      </c>
    </row>
    <row r="6742" spans="1:7">
      <c r="A6742">
        <v>102</v>
      </c>
      <c r="B6742">
        <v>133</v>
      </c>
      <c r="C6742" s="1">
        <f>(Tabela1[[#This Row],[x]]-H$3)*(Tabela1[[#This Row],[x]]-H$3) +(Tabela1[[#This Row],[y]]-H$4)*(Tabela1[[#This Row],[y]]-H$4)</f>
        <v>14093</v>
      </c>
      <c r="D6742" s="1">
        <f>IF(Tabela1[[#This Row],[promien]]&lt;40000,1,0)</f>
        <v>1</v>
      </c>
      <c r="E6742" s="1">
        <f>IF(Tabela1[[#This Row],[promien]]=40000,1,0)</f>
        <v>0</v>
      </c>
      <c r="F6742" s="1">
        <v>3.1646395728270544</v>
      </c>
      <c r="G6742" s="1">
        <v>2.3046919237261321E-2</v>
      </c>
    </row>
    <row r="6743" spans="1:7">
      <c r="A6743">
        <v>372</v>
      </c>
      <c r="B6743">
        <v>185</v>
      </c>
      <c r="C6743" s="1">
        <f>(Tabela1[[#This Row],[x]]-H$3)*(Tabela1[[#This Row],[x]]-H$3) +(Tabela1[[#This Row],[y]]-H$4)*(Tabela1[[#This Row],[y]]-H$4)</f>
        <v>29809</v>
      </c>
      <c r="D6743" s="1">
        <f>IF(Tabela1[[#This Row],[promien]]&lt;40000,1,0)</f>
        <v>1</v>
      </c>
      <c r="E6743" s="1">
        <f>IF(Tabela1[[#This Row],[promien]]=40000,1,0)</f>
        <v>0</v>
      </c>
      <c r="F6743" s="1">
        <v>3.1647634584013051</v>
      </c>
      <c r="G6743" s="1">
        <v>2.3170804811512014E-2</v>
      </c>
    </row>
    <row r="6744" spans="1:7">
      <c r="A6744">
        <v>335</v>
      </c>
      <c r="B6744">
        <v>260</v>
      </c>
      <c r="C6744" s="1">
        <f>(Tabela1[[#This Row],[x]]-H$3)*(Tabela1[[#This Row],[x]]-H$3) +(Tabela1[[#This Row],[y]]-H$4)*(Tabela1[[#This Row],[y]]-H$4)</f>
        <v>21825</v>
      </c>
      <c r="D6744" s="1">
        <f>IF(Tabela1[[#This Row],[promien]]&lt;40000,1,0)</f>
        <v>1</v>
      </c>
      <c r="E6744" s="1">
        <f>IF(Tabela1[[#This Row],[promien]]=40000,1,0)</f>
        <v>0</v>
      </c>
      <c r="F6744" s="1">
        <v>3.1648873072360617</v>
      </c>
      <c r="G6744" s="1">
        <v>2.3294653646268593E-2</v>
      </c>
    </row>
    <row r="6745" spans="1:7">
      <c r="A6745">
        <v>140</v>
      </c>
      <c r="B6745">
        <v>128</v>
      </c>
      <c r="C6745" s="1">
        <f>(Tabela1[[#This Row],[x]]-H$3)*(Tabela1[[#This Row],[x]]-H$3) +(Tabela1[[#This Row],[y]]-H$4)*(Tabela1[[#This Row],[y]]-H$4)</f>
        <v>8784</v>
      </c>
      <c r="D6745" s="1">
        <f>IF(Tabela1[[#This Row],[promien]]&lt;40000,1,0)</f>
        <v>1</v>
      </c>
      <c r="E6745" s="1">
        <f>IF(Tabela1[[#This Row],[promien]]=40000,1,0)</f>
        <v>0</v>
      </c>
      <c r="F6745" s="1">
        <v>3.1650111193476649</v>
      </c>
      <c r="G6745" s="1">
        <v>2.3418465757871765E-2</v>
      </c>
    </row>
    <row r="6746" spans="1:7">
      <c r="A6746">
        <v>137</v>
      </c>
      <c r="B6746">
        <v>166</v>
      </c>
      <c r="C6746" s="1">
        <f>(Tabela1[[#This Row],[x]]-H$3)*(Tabela1[[#This Row],[x]]-H$3) +(Tabela1[[#This Row],[y]]-H$4)*(Tabela1[[#This Row],[y]]-H$4)</f>
        <v>5125</v>
      </c>
      <c r="D6746" s="1">
        <f>IF(Tabela1[[#This Row],[promien]]&lt;40000,1,0)</f>
        <v>1</v>
      </c>
      <c r="E6746" s="1">
        <f>IF(Tabela1[[#This Row],[promien]]=40000,1,0)</f>
        <v>0</v>
      </c>
      <c r="F6746" s="1">
        <v>3.165134894752446</v>
      </c>
      <c r="G6746" s="1">
        <v>2.354224116265291E-2</v>
      </c>
    </row>
    <row r="6747" spans="1:7">
      <c r="A6747">
        <v>57</v>
      </c>
      <c r="B6747">
        <v>23</v>
      </c>
      <c r="C6747" s="1">
        <f>(Tabela1[[#This Row],[x]]-H$3)*(Tabela1[[#This Row],[x]]-H$3) +(Tabela1[[#This Row],[y]]-H$4)*(Tabela1[[#This Row],[y]]-H$4)</f>
        <v>51778</v>
      </c>
      <c r="D6747" s="1">
        <f>IF(Tabela1[[#This Row],[promien]]&lt;40000,1,0)</f>
        <v>0</v>
      </c>
      <c r="E6747" s="1">
        <f>IF(Tabela1[[#This Row],[promien]]=40000,1,0)</f>
        <v>0</v>
      </c>
      <c r="F6747" s="1">
        <v>3.1646657773825404</v>
      </c>
      <c r="G6747" s="1">
        <v>2.3073123792747285E-2</v>
      </c>
    </row>
    <row r="6748" spans="1:7">
      <c r="A6748">
        <v>142</v>
      </c>
      <c r="B6748">
        <v>76</v>
      </c>
      <c r="C6748" s="1">
        <f>(Tabela1[[#This Row],[x]]-H$3)*(Tabela1[[#This Row],[x]]-H$3) +(Tabela1[[#This Row],[y]]-H$4)*(Tabela1[[#This Row],[y]]-H$4)</f>
        <v>18740</v>
      </c>
      <c r="D6748" s="1">
        <f>IF(Tabela1[[#This Row],[promien]]&lt;40000,1,0)</f>
        <v>1</v>
      </c>
      <c r="E6748" s="1">
        <f>IF(Tabela1[[#This Row],[promien]]=40000,1,0)</f>
        <v>0</v>
      </c>
      <c r="F6748" s="1">
        <v>3.1647895672791937</v>
      </c>
      <c r="G6748" s="1">
        <v>2.3196913689400578E-2</v>
      </c>
    </row>
    <row r="6749" spans="1:7">
      <c r="A6749">
        <v>227</v>
      </c>
      <c r="B6749">
        <v>35</v>
      </c>
      <c r="C6749" s="1">
        <f>(Tabela1[[#This Row],[x]]-H$3)*(Tabela1[[#This Row],[x]]-H$3) +(Tabela1[[#This Row],[y]]-H$4)*(Tabela1[[#This Row],[y]]-H$4)</f>
        <v>27954</v>
      </c>
      <c r="D6749" s="1">
        <f>IF(Tabela1[[#This Row],[promien]]&lt;40000,1,0)</f>
        <v>1</v>
      </c>
      <c r="E6749" s="1">
        <f>IF(Tabela1[[#This Row],[promien]]=40000,1,0)</f>
        <v>0</v>
      </c>
      <c r="F6749" s="1">
        <v>3.1649133204919249</v>
      </c>
      <c r="G6749" s="1">
        <v>2.3320666902131748E-2</v>
      </c>
    </row>
    <row r="6750" spans="1:7">
      <c r="A6750">
        <v>152</v>
      </c>
      <c r="B6750">
        <v>212</v>
      </c>
      <c r="C6750" s="1">
        <f>(Tabela1[[#This Row],[x]]-H$3)*(Tabela1[[#This Row],[x]]-H$3) +(Tabela1[[#This Row],[y]]-H$4)*(Tabela1[[#This Row],[y]]-H$4)</f>
        <v>2448</v>
      </c>
      <c r="D6750" s="1">
        <f>IF(Tabela1[[#This Row],[promien]]&lt;40000,1,0)</f>
        <v>1</v>
      </c>
      <c r="E6750" s="1">
        <f>IF(Tabela1[[#This Row],[promien]]=40000,1,0)</f>
        <v>0</v>
      </c>
      <c r="F6750" s="1">
        <v>3.1650370370370369</v>
      </c>
      <c r="G6750" s="1">
        <v>2.3444383447243755E-2</v>
      </c>
    </row>
    <row r="6751" spans="1:7">
      <c r="A6751">
        <v>247</v>
      </c>
      <c r="B6751">
        <v>258</v>
      </c>
      <c r="C6751" s="1">
        <f>(Tabela1[[#This Row],[x]]-H$3)*(Tabela1[[#This Row],[x]]-H$3) +(Tabela1[[#This Row],[y]]-H$4)*(Tabela1[[#This Row],[y]]-H$4)</f>
        <v>5573</v>
      </c>
      <c r="D6751" s="1">
        <f>IF(Tabela1[[#This Row],[promien]]&lt;40000,1,0)</f>
        <v>1</v>
      </c>
      <c r="E6751" s="1">
        <f>IF(Tabela1[[#This Row],[promien]]=40000,1,0)</f>
        <v>0</v>
      </c>
      <c r="F6751" s="1">
        <v>3.1651607169308251</v>
      </c>
      <c r="G6751" s="1">
        <v>2.3568063341032008E-2</v>
      </c>
    </row>
    <row r="6752" spans="1:7">
      <c r="A6752">
        <v>10</v>
      </c>
      <c r="B6752">
        <v>104</v>
      </c>
      <c r="C6752" s="1">
        <f>(Tabela1[[#This Row],[x]]-H$3)*(Tabela1[[#This Row],[x]]-H$3) +(Tabela1[[#This Row],[y]]-H$4)*(Tabela1[[#This Row],[y]]-H$4)</f>
        <v>45316</v>
      </c>
      <c r="D6752" s="1">
        <f>IF(Tabela1[[#This Row],[promien]]&lt;40000,1,0)</f>
        <v>0</v>
      </c>
      <c r="E6752" s="1">
        <f>IF(Tabela1[[#This Row],[promien]]=40000,1,0)</f>
        <v>0</v>
      </c>
      <c r="F6752" s="1">
        <v>3.1646919431279619</v>
      </c>
      <c r="G6752" s="1">
        <v>2.3099289538168755E-2</v>
      </c>
    </row>
    <row r="6753" spans="1:7">
      <c r="A6753">
        <v>96</v>
      </c>
      <c r="B6753">
        <v>272</v>
      </c>
      <c r="C6753" s="1">
        <f>(Tabela1[[#This Row],[x]]-H$3)*(Tabela1[[#This Row],[x]]-H$3) +(Tabela1[[#This Row],[y]]-H$4)*(Tabela1[[#This Row],[y]]-H$4)</f>
        <v>16000</v>
      </c>
      <c r="D6753" s="1">
        <f>IF(Tabela1[[#This Row],[promien]]&lt;40000,1,0)</f>
        <v>1</v>
      </c>
      <c r="E6753" s="1">
        <f>IF(Tabela1[[#This Row],[promien]]=40000,1,0)</f>
        <v>0</v>
      </c>
      <c r="F6753" s="1">
        <v>3.1648156374944469</v>
      </c>
      <c r="G6753" s="1">
        <v>2.3222983904653827E-2</v>
      </c>
    </row>
    <row r="6754" spans="1:7">
      <c r="A6754">
        <v>144</v>
      </c>
      <c r="B6754">
        <v>269</v>
      </c>
      <c r="C6754" s="1">
        <f>(Tabela1[[#This Row],[x]]-H$3)*(Tabela1[[#This Row],[x]]-H$3) +(Tabela1[[#This Row],[y]]-H$4)*(Tabela1[[#This Row],[y]]-H$4)</f>
        <v>7897</v>
      </c>
      <c r="D6754" s="1">
        <f>IF(Tabela1[[#This Row],[promien]]&lt;40000,1,0)</f>
        <v>1</v>
      </c>
      <c r="E6754" s="1">
        <f>IF(Tabela1[[#This Row],[promien]]=40000,1,0)</f>
        <v>0</v>
      </c>
      <c r="F6754" s="1">
        <v>3.1649392952324549</v>
      </c>
      <c r="G6754" s="1">
        <v>2.3346641642661758E-2</v>
      </c>
    </row>
    <row r="6755" spans="1:7">
      <c r="A6755">
        <v>309</v>
      </c>
      <c r="B6755">
        <v>388</v>
      </c>
      <c r="C6755" s="1">
        <f>(Tabela1[[#This Row],[x]]-H$3)*(Tabela1[[#This Row],[x]]-H$3) +(Tabela1[[#This Row],[y]]-H$4)*(Tabela1[[#This Row],[y]]-H$4)</f>
        <v>47225</v>
      </c>
      <c r="D6755" s="1">
        <f>IF(Tabela1[[#This Row],[promien]]&lt;40000,1,0)</f>
        <v>0</v>
      </c>
      <c r="E6755" s="1">
        <f>IF(Tabela1[[#This Row],[promien]]=40000,1,0)</f>
        <v>0</v>
      </c>
      <c r="F6755" s="1">
        <v>3.1644707623982233</v>
      </c>
      <c r="G6755" s="1">
        <v>2.287810880843022E-2</v>
      </c>
    </row>
    <row r="6756" spans="1:7">
      <c r="A6756">
        <v>385</v>
      </c>
      <c r="B6756">
        <v>336</v>
      </c>
      <c r="C6756" s="1">
        <f>(Tabela1[[#This Row],[x]]-H$3)*(Tabela1[[#This Row],[x]]-H$3) +(Tabela1[[#This Row],[y]]-H$4)*(Tabela1[[#This Row],[y]]-H$4)</f>
        <v>52721</v>
      </c>
      <c r="D6756" s="1">
        <f>IF(Tabela1[[#This Row],[promien]]&lt;40000,1,0)</f>
        <v>0</v>
      </c>
      <c r="E6756" s="1">
        <f>IF(Tabela1[[#This Row],[promien]]=40000,1,0)</f>
        <v>0</v>
      </c>
      <c r="F6756" s="1">
        <v>3.1640023682652458</v>
      </c>
      <c r="G6756" s="1">
        <v>2.2409714675452719E-2</v>
      </c>
    </row>
    <row r="6757" spans="1:7">
      <c r="A6757">
        <v>265</v>
      </c>
      <c r="B6757">
        <v>223</v>
      </c>
      <c r="C6757" s="1">
        <f>(Tabela1[[#This Row],[x]]-H$3)*(Tabela1[[#This Row],[x]]-H$3) +(Tabela1[[#This Row],[y]]-H$4)*(Tabela1[[#This Row],[y]]-H$4)</f>
        <v>4754</v>
      </c>
      <c r="D6757" s="1">
        <f>IF(Tabela1[[#This Row],[promien]]&lt;40000,1,0)</f>
        <v>1</v>
      </c>
      <c r="E6757" s="1">
        <f>IF(Tabela1[[#This Row],[promien]]=40000,1,0)</f>
        <v>0</v>
      </c>
      <c r="F6757" s="1">
        <v>3.1641260914607074</v>
      </c>
      <c r="G6757" s="1">
        <v>2.253343787091433E-2</v>
      </c>
    </row>
    <row r="6758" spans="1:7">
      <c r="A6758">
        <v>118</v>
      </c>
      <c r="B6758">
        <v>261</v>
      </c>
      <c r="C6758" s="1">
        <f>(Tabela1[[#This Row],[x]]-H$3)*(Tabela1[[#This Row],[x]]-H$3) +(Tabela1[[#This Row],[y]]-H$4)*(Tabela1[[#This Row],[y]]-H$4)</f>
        <v>10445</v>
      </c>
      <c r="D6758" s="1">
        <f>IF(Tabela1[[#This Row],[promien]]&lt;40000,1,0)</f>
        <v>1</v>
      </c>
      <c r="E6758" s="1">
        <f>IF(Tabela1[[#This Row],[promien]]=40000,1,0)</f>
        <v>0</v>
      </c>
      <c r="F6758" s="1">
        <v>3.1642497780408405</v>
      </c>
      <c r="G6758" s="1">
        <v>2.2657124451047395E-2</v>
      </c>
    </row>
    <row r="6759" spans="1:7">
      <c r="A6759">
        <v>195</v>
      </c>
      <c r="B6759">
        <v>255</v>
      </c>
      <c r="C6759" s="1">
        <f>(Tabela1[[#This Row],[x]]-H$3)*(Tabela1[[#This Row],[x]]-H$3) +(Tabela1[[#This Row],[y]]-H$4)*(Tabela1[[#This Row],[y]]-H$4)</f>
        <v>3050</v>
      </c>
      <c r="D6759" s="1">
        <f>IF(Tabela1[[#This Row],[promien]]&lt;40000,1,0)</f>
        <v>1</v>
      </c>
      <c r="E6759" s="1">
        <f>IF(Tabela1[[#This Row],[promien]]=40000,1,0)</f>
        <v>0</v>
      </c>
      <c r="F6759" s="1">
        <v>3.1643734280218969</v>
      </c>
      <c r="G6759" s="1">
        <v>2.2780774432103801E-2</v>
      </c>
    </row>
    <row r="6760" spans="1:7">
      <c r="A6760">
        <v>290</v>
      </c>
      <c r="B6760">
        <v>259</v>
      </c>
      <c r="C6760" s="1">
        <f>(Tabela1[[#This Row],[x]]-H$3)*(Tabela1[[#This Row],[x]]-H$3) +(Tabela1[[#This Row],[y]]-H$4)*(Tabela1[[#This Row],[y]]-H$4)</f>
        <v>11581</v>
      </c>
      <c r="D6760" s="1">
        <f>IF(Tabela1[[#This Row],[promien]]&lt;40000,1,0)</f>
        <v>1</v>
      </c>
      <c r="E6760" s="1">
        <f>IF(Tabela1[[#This Row],[promien]]=40000,1,0)</f>
        <v>0</v>
      </c>
      <c r="F6760" s="1">
        <v>3.1644970414201183</v>
      </c>
      <c r="G6760" s="1">
        <v>2.2904387830325224E-2</v>
      </c>
    </row>
    <row r="6761" spans="1:7">
      <c r="A6761">
        <v>48</v>
      </c>
      <c r="B6761">
        <v>269</v>
      </c>
      <c r="C6761" s="1">
        <f>(Tabela1[[#This Row],[x]]-H$3)*(Tabela1[[#This Row],[x]]-H$3) +(Tabela1[[#This Row],[y]]-H$4)*(Tabela1[[#This Row],[y]]-H$4)</f>
        <v>27865</v>
      </c>
      <c r="D6761" s="1">
        <f>IF(Tabela1[[#This Row],[promien]]&lt;40000,1,0)</f>
        <v>1</v>
      </c>
      <c r="E6761" s="1">
        <f>IF(Tabela1[[#This Row],[promien]]=40000,1,0)</f>
        <v>0</v>
      </c>
      <c r="F6761" s="1">
        <v>3.164620618251738</v>
      </c>
      <c r="G6761" s="1">
        <v>2.30279646619449E-2</v>
      </c>
    </row>
    <row r="6762" spans="1:7">
      <c r="A6762">
        <v>347</v>
      </c>
      <c r="B6762">
        <v>144</v>
      </c>
      <c r="C6762" s="1">
        <f>(Tabela1[[#This Row],[x]]-H$3)*(Tabela1[[#This Row],[x]]-H$3) +(Tabela1[[#This Row],[y]]-H$4)*(Tabela1[[#This Row],[y]]-H$4)</f>
        <v>24745</v>
      </c>
      <c r="D6762" s="1">
        <f>IF(Tabela1[[#This Row],[promien]]&lt;40000,1,0)</f>
        <v>1</v>
      </c>
      <c r="E6762" s="1">
        <f>IF(Tabela1[[#This Row],[promien]]=40000,1,0)</f>
        <v>0</v>
      </c>
      <c r="F6762" s="1">
        <v>3.1647441585329785</v>
      </c>
      <c r="G6762" s="1">
        <v>2.3151504943185408E-2</v>
      </c>
    </row>
    <row r="6763" spans="1:7">
      <c r="A6763">
        <v>43</v>
      </c>
      <c r="B6763">
        <v>184</v>
      </c>
      <c r="C6763" s="1">
        <f>(Tabela1[[#This Row],[x]]-H$3)*(Tabela1[[#This Row],[x]]-H$3) +(Tabela1[[#This Row],[y]]-H$4)*(Tabela1[[#This Row],[y]]-H$4)</f>
        <v>24905</v>
      </c>
      <c r="D6763" s="1">
        <f>IF(Tabela1[[#This Row],[promien]]&lt;40000,1,0)</f>
        <v>1</v>
      </c>
      <c r="E6763" s="1">
        <f>IF(Tabela1[[#This Row],[promien]]=40000,1,0)</f>
        <v>0</v>
      </c>
      <c r="F6763" s="1">
        <v>3.1648676622800531</v>
      </c>
      <c r="G6763" s="1">
        <v>2.3275008690260002E-2</v>
      </c>
    </row>
    <row r="6764" spans="1:7">
      <c r="A6764">
        <v>33</v>
      </c>
      <c r="B6764">
        <v>48</v>
      </c>
      <c r="C6764" s="1">
        <f>(Tabela1[[#This Row],[x]]-H$3)*(Tabela1[[#This Row],[x]]-H$3) +(Tabela1[[#This Row],[y]]-H$4)*(Tabela1[[#This Row],[y]]-H$4)</f>
        <v>50993</v>
      </c>
      <c r="D6764" s="1">
        <f>IF(Tabela1[[#This Row],[promien]]&lt;40000,1,0)</f>
        <v>0</v>
      </c>
      <c r="E6764" s="1">
        <f>IF(Tabela1[[#This Row],[promien]]=40000,1,0)</f>
        <v>0</v>
      </c>
      <c r="F6764" s="1">
        <v>3.1643997634535777</v>
      </c>
      <c r="G6764" s="1">
        <v>2.2807109863784536E-2</v>
      </c>
    </row>
    <row r="6765" spans="1:7">
      <c r="A6765">
        <v>28</v>
      </c>
      <c r="B6765">
        <v>210</v>
      </c>
      <c r="C6765" s="1">
        <f>(Tabela1[[#This Row],[x]]-H$3)*(Tabela1[[#This Row],[x]]-H$3) +(Tabela1[[#This Row],[y]]-H$4)*(Tabela1[[#This Row],[y]]-H$4)</f>
        <v>29684</v>
      </c>
      <c r="D6765" s="1">
        <f>IF(Tabela1[[#This Row],[promien]]&lt;40000,1,0)</f>
        <v>1</v>
      </c>
      <c r="E6765" s="1">
        <f>IF(Tabela1[[#This Row],[promien]]=40000,1,0)</f>
        <v>0</v>
      </c>
      <c r="F6765" s="1">
        <v>3.1645232815964524</v>
      </c>
      <c r="G6765" s="1">
        <v>2.2930628006659237E-2</v>
      </c>
    </row>
    <row r="6766" spans="1:7">
      <c r="A6766">
        <v>269</v>
      </c>
      <c r="B6766">
        <v>167</v>
      </c>
      <c r="C6766" s="1">
        <f>(Tabela1[[#This Row],[x]]-H$3)*(Tabela1[[#This Row],[x]]-H$3) +(Tabela1[[#This Row],[y]]-H$4)*(Tabela1[[#This Row],[y]]-H$4)</f>
        <v>5850</v>
      </c>
      <c r="D6766" s="1">
        <f>IF(Tabela1[[#This Row],[promien]]&lt;40000,1,0)</f>
        <v>1</v>
      </c>
      <c r="E6766" s="1">
        <f>IF(Tabela1[[#This Row],[promien]]=40000,1,0)</f>
        <v>0</v>
      </c>
      <c r="F6766" s="1">
        <v>3.1646467632279043</v>
      </c>
      <c r="G6766" s="1">
        <v>2.3054109638111164E-2</v>
      </c>
    </row>
    <row r="6767" spans="1:7">
      <c r="A6767">
        <v>111</v>
      </c>
      <c r="B6767">
        <v>220</v>
      </c>
      <c r="C6767" s="1">
        <f>(Tabela1[[#This Row],[x]]-H$3)*(Tabela1[[#This Row],[x]]-H$3) +(Tabela1[[#This Row],[y]]-H$4)*(Tabela1[[#This Row],[y]]-H$4)</f>
        <v>8321</v>
      </c>
      <c r="D6767" s="1">
        <f>IF(Tabela1[[#This Row],[promien]]&lt;40000,1,0)</f>
        <v>1</v>
      </c>
      <c r="E6767" s="1">
        <f>IF(Tabela1[[#This Row],[promien]]=40000,1,0)</f>
        <v>0</v>
      </c>
      <c r="F6767" s="1">
        <v>3.16477020836412</v>
      </c>
      <c r="G6767" s="1">
        <v>2.3177554774326925E-2</v>
      </c>
    </row>
    <row r="6768" spans="1:7">
      <c r="A6768">
        <v>189</v>
      </c>
      <c r="B6768">
        <v>235</v>
      </c>
      <c r="C6768" s="1">
        <f>(Tabela1[[#This Row],[x]]-H$3)*(Tabela1[[#This Row],[x]]-H$3) +(Tabela1[[#This Row],[y]]-H$4)*(Tabela1[[#This Row],[y]]-H$4)</f>
        <v>1346</v>
      </c>
      <c r="D6768" s="1">
        <f>IF(Tabela1[[#This Row],[promien]]&lt;40000,1,0)</f>
        <v>1</v>
      </c>
      <c r="E6768" s="1">
        <f>IF(Tabela1[[#This Row],[promien]]=40000,1,0)</f>
        <v>0</v>
      </c>
      <c r="F6768" s="1">
        <v>3.1648936170212765</v>
      </c>
      <c r="G6768" s="1">
        <v>2.3300963431483357E-2</v>
      </c>
    </row>
    <row r="6769" spans="1:7">
      <c r="A6769">
        <v>86</v>
      </c>
      <c r="B6769">
        <v>357</v>
      </c>
      <c r="C6769" s="1">
        <f>(Tabela1[[#This Row],[x]]-H$3)*(Tabela1[[#This Row],[x]]-H$3) +(Tabela1[[#This Row],[y]]-H$4)*(Tabela1[[#This Row],[y]]-H$4)</f>
        <v>37645</v>
      </c>
      <c r="D6769" s="1">
        <f>IF(Tabela1[[#This Row],[promien]]&lt;40000,1,0)</f>
        <v>1</v>
      </c>
      <c r="E6769" s="1">
        <f>IF(Tabela1[[#This Row],[promien]]=40000,1,0)</f>
        <v>0</v>
      </c>
      <c r="F6769" s="1">
        <v>3.1650169892155415</v>
      </c>
      <c r="G6769" s="1">
        <v>2.3424335625748416E-2</v>
      </c>
    </row>
    <row r="6770" spans="1:7">
      <c r="A6770">
        <v>244</v>
      </c>
      <c r="B6770">
        <v>160</v>
      </c>
      <c r="C6770" s="1">
        <f>(Tabela1[[#This Row],[x]]-H$3)*(Tabela1[[#This Row],[x]]-H$3) +(Tabela1[[#This Row],[y]]-H$4)*(Tabela1[[#This Row],[y]]-H$4)</f>
        <v>3536</v>
      </c>
      <c r="D6770" s="1">
        <f>IF(Tabela1[[#This Row],[promien]]&lt;40000,1,0)</f>
        <v>1</v>
      </c>
      <c r="E6770" s="1">
        <f>IF(Tabela1[[#This Row],[promien]]=40000,1,0)</f>
        <v>0</v>
      </c>
      <c r="F6770" s="1">
        <v>3.1651403249630725</v>
      </c>
      <c r="G6770" s="1">
        <v>2.35476713732794E-2</v>
      </c>
    </row>
    <row r="6771" spans="1:7">
      <c r="A6771">
        <v>337</v>
      </c>
      <c r="B6771">
        <v>83</v>
      </c>
      <c r="C6771" s="1">
        <f>(Tabela1[[#This Row],[x]]-H$3)*(Tabela1[[#This Row],[x]]-H$3) +(Tabela1[[#This Row],[y]]-H$4)*(Tabela1[[#This Row],[y]]-H$4)</f>
        <v>32458</v>
      </c>
      <c r="D6771" s="1">
        <f>IF(Tabela1[[#This Row],[promien]]&lt;40000,1,0)</f>
        <v>1</v>
      </c>
      <c r="E6771" s="1">
        <f>IF(Tabela1[[#This Row],[promien]]=40000,1,0)</f>
        <v>0</v>
      </c>
      <c r="F6771" s="1">
        <v>3.1652636242800178</v>
      </c>
      <c r="G6771" s="1">
        <v>2.3670970690224724E-2</v>
      </c>
    </row>
    <row r="6772" spans="1:7">
      <c r="A6772">
        <v>386</v>
      </c>
      <c r="B6772">
        <v>239</v>
      </c>
      <c r="C6772" s="1">
        <f>(Tabela1[[#This Row],[x]]-H$3)*(Tabela1[[#This Row],[x]]-H$3) +(Tabela1[[#This Row],[y]]-H$4)*(Tabela1[[#This Row],[y]]-H$4)</f>
        <v>36117</v>
      </c>
      <c r="D6772" s="1">
        <f>IF(Tabela1[[#This Row],[promien]]&lt;40000,1,0)</f>
        <v>1</v>
      </c>
      <c r="E6772" s="1">
        <f>IF(Tabela1[[#This Row],[promien]]=40000,1,0)</f>
        <v>0</v>
      </c>
      <c r="F6772" s="1">
        <v>3.1653868871825162</v>
      </c>
      <c r="G6772" s="1">
        <v>2.3794233592723035E-2</v>
      </c>
    </row>
    <row r="6773" spans="1:7">
      <c r="A6773">
        <v>234</v>
      </c>
      <c r="B6773">
        <v>331</v>
      </c>
      <c r="C6773" s="1">
        <f>(Tabela1[[#This Row],[x]]-H$3)*(Tabela1[[#This Row],[x]]-H$3) +(Tabela1[[#This Row],[y]]-H$4)*(Tabela1[[#This Row],[y]]-H$4)</f>
        <v>18317</v>
      </c>
      <c r="D6773" s="1">
        <f>IF(Tabela1[[#This Row],[promien]]&lt;40000,1,0)</f>
        <v>1</v>
      </c>
      <c r="E6773" s="1">
        <f>IF(Tabela1[[#This Row],[promien]]=40000,1,0)</f>
        <v>0</v>
      </c>
      <c r="F6773" s="1">
        <v>3.1655101136866972</v>
      </c>
      <c r="G6773" s="1">
        <v>2.3917460096904097E-2</v>
      </c>
    </row>
    <row r="6774" spans="1:7">
      <c r="A6774">
        <v>128</v>
      </c>
      <c r="B6774">
        <v>365</v>
      </c>
      <c r="C6774" s="1">
        <f>(Tabela1[[#This Row],[x]]-H$3)*(Tabela1[[#This Row],[x]]-H$3) +(Tabela1[[#This Row],[y]]-H$4)*(Tabela1[[#This Row],[y]]-H$4)</f>
        <v>32409</v>
      </c>
      <c r="D6774" s="1">
        <f>IF(Tabela1[[#This Row],[promien]]&lt;40000,1,0)</f>
        <v>1</v>
      </c>
      <c r="E6774" s="1">
        <f>IF(Tabela1[[#This Row],[promien]]=40000,1,0)</f>
        <v>0</v>
      </c>
      <c r="F6774" s="1">
        <v>3.1656333038086801</v>
      </c>
      <c r="G6774" s="1">
        <v>2.4040650218887016E-2</v>
      </c>
    </row>
    <row r="6775" spans="1:7">
      <c r="A6775">
        <v>237</v>
      </c>
      <c r="B6775">
        <v>278</v>
      </c>
      <c r="C6775" s="1">
        <f>(Tabela1[[#This Row],[x]]-H$3)*(Tabela1[[#This Row],[x]]-H$3) +(Tabela1[[#This Row],[y]]-H$4)*(Tabela1[[#This Row],[y]]-H$4)</f>
        <v>7453</v>
      </c>
      <c r="D6775" s="1">
        <f>IF(Tabela1[[#This Row],[promien]]&lt;40000,1,0)</f>
        <v>1</v>
      </c>
      <c r="E6775" s="1">
        <f>IF(Tabela1[[#This Row],[promien]]=40000,1,0)</f>
        <v>0</v>
      </c>
      <c r="F6775" s="1">
        <v>3.1657564575645756</v>
      </c>
      <c r="G6775" s="1">
        <v>2.4163803974782461E-2</v>
      </c>
    </row>
    <row r="6776" spans="1:7">
      <c r="A6776">
        <v>214</v>
      </c>
      <c r="B6776">
        <v>335</v>
      </c>
      <c r="C6776" s="1">
        <f>(Tabela1[[#This Row],[x]]-H$3)*(Tabela1[[#This Row],[x]]-H$3) +(Tabela1[[#This Row],[y]]-H$4)*(Tabela1[[#This Row],[y]]-H$4)</f>
        <v>18421</v>
      </c>
      <c r="D6776" s="1">
        <f>IF(Tabela1[[#This Row],[promien]]&lt;40000,1,0)</f>
        <v>1</v>
      </c>
      <c r="E6776" s="1">
        <f>IF(Tabela1[[#This Row],[promien]]=40000,1,0)</f>
        <v>0</v>
      </c>
      <c r="F6776" s="1">
        <v>3.165879574970484</v>
      </c>
      <c r="G6776" s="1">
        <v>2.4286921380690885E-2</v>
      </c>
    </row>
    <row r="6777" spans="1:7">
      <c r="A6777">
        <v>149</v>
      </c>
      <c r="B6777">
        <v>211</v>
      </c>
      <c r="C6777" s="1">
        <f>(Tabela1[[#This Row],[x]]-H$3)*(Tabela1[[#This Row],[x]]-H$3) +(Tabela1[[#This Row],[y]]-H$4)*(Tabela1[[#This Row],[y]]-H$4)</f>
        <v>2722</v>
      </c>
      <c r="D6777" s="1">
        <f>IF(Tabela1[[#This Row],[promien]]&lt;40000,1,0)</f>
        <v>1</v>
      </c>
      <c r="E6777" s="1">
        <f>IF(Tabela1[[#This Row],[promien]]=40000,1,0)</f>
        <v>0</v>
      </c>
      <c r="F6777" s="1">
        <v>3.1660026560424965</v>
      </c>
      <c r="G6777" s="1">
        <v>2.4410002452703417E-2</v>
      </c>
    </row>
    <row r="6778" spans="1:7">
      <c r="A6778">
        <v>3</v>
      </c>
      <c r="B6778">
        <v>24</v>
      </c>
      <c r="C6778" s="1">
        <f>(Tabela1[[#This Row],[x]]-H$3)*(Tabela1[[#This Row],[x]]-H$3) +(Tabela1[[#This Row],[y]]-H$4)*(Tabela1[[#This Row],[y]]-H$4)</f>
        <v>69785</v>
      </c>
      <c r="D6778" s="1">
        <f>IF(Tabela1[[#This Row],[promien]]&lt;40000,1,0)</f>
        <v>0</v>
      </c>
      <c r="E6778" s="1">
        <f>IF(Tabela1[[#This Row],[promien]]=40000,1,0)</f>
        <v>0</v>
      </c>
      <c r="F6778" s="1">
        <v>3.1655355562112719</v>
      </c>
      <c r="G6778" s="1">
        <v>2.3942902621478801E-2</v>
      </c>
    </row>
    <row r="6779" spans="1:7">
      <c r="A6779">
        <v>151</v>
      </c>
      <c r="B6779">
        <v>390</v>
      </c>
      <c r="C6779" s="1">
        <f>(Tabela1[[#This Row],[x]]-H$3)*(Tabela1[[#This Row],[x]]-H$3) +(Tabela1[[#This Row],[y]]-H$4)*(Tabela1[[#This Row],[y]]-H$4)</f>
        <v>38501</v>
      </c>
      <c r="D6779" s="1">
        <f>IF(Tabela1[[#This Row],[promien]]&lt;40000,1,0)</f>
        <v>1</v>
      </c>
      <c r="E6779" s="1">
        <f>IF(Tabela1[[#This Row],[promien]]=40000,1,0)</f>
        <v>0</v>
      </c>
      <c r="F6779" s="1">
        <v>3.1656586517185428</v>
      </c>
      <c r="G6779" s="1">
        <v>2.4065998128749655E-2</v>
      </c>
    </row>
    <row r="6780" spans="1:7">
      <c r="A6780">
        <v>168</v>
      </c>
      <c r="B6780">
        <v>187</v>
      </c>
      <c r="C6780" s="1">
        <f>(Tabela1[[#This Row],[x]]-H$3)*(Tabela1[[#This Row],[x]]-H$3) +(Tabela1[[#This Row],[y]]-H$4)*(Tabela1[[#This Row],[y]]-H$4)</f>
        <v>1193</v>
      </c>
      <c r="D6780" s="1">
        <f>IF(Tabela1[[#This Row],[promien]]&lt;40000,1,0)</f>
        <v>1</v>
      </c>
      <c r="E6780" s="1">
        <f>IF(Tabela1[[#This Row],[promien]]=40000,1,0)</f>
        <v>0</v>
      </c>
      <c r="F6780" s="1">
        <v>3.1657817109144544</v>
      </c>
      <c r="G6780" s="1">
        <v>2.4189057324661256E-2</v>
      </c>
    </row>
    <row r="6781" spans="1:7">
      <c r="A6781">
        <v>68</v>
      </c>
      <c r="B6781">
        <v>133</v>
      </c>
      <c r="C6781" s="1">
        <f>(Tabela1[[#This Row],[x]]-H$3)*(Tabela1[[#This Row],[x]]-H$3) +(Tabela1[[#This Row],[y]]-H$4)*(Tabela1[[#This Row],[y]]-H$4)</f>
        <v>21913</v>
      </c>
      <c r="D6781" s="1">
        <f>IF(Tabela1[[#This Row],[promien]]&lt;40000,1,0)</f>
        <v>1</v>
      </c>
      <c r="E6781" s="1">
        <f>IF(Tabela1[[#This Row],[promien]]=40000,1,0)</f>
        <v>0</v>
      </c>
      <c r="F6781" s="1">
        <v>3.1659047338150716</v>
      </c>
      <c r="G6781" s="1">
        <v>2.4312080225278532E-2</v>
      </c>
    </row>
    <row r="6782" spans="1:7">
      <c r="A6782">
        <v>35</v>
      </c>
      <c r="B6782">
        <v>354</v>
      </c>
      <c r="C6782" s="1">
        <f>(Tabela1[[#This Row],[x]]-H$3)*(Tabela1[[#This Row],[x]]-H$3) +(Tabela1[[#This Row],[y]]-H$4)*(Tabela1[[#This Row],[y]]-H$4)</f>
        <v>50941</v>
      </c>
      <c r="D6782" s="1">
        <f>IF(Tabela1[[#This Row],[promien]]&lt;40000,1,0)</f>
        <v>0</v>
      </c>
      <c r="E6782" s="1">
        <f>IF(Tabela1[[#This Row],[promien]]=40000,1,0)</f>
        <v>0</v>
      </c>
      <c r="F6782" s="1">
        <v>3.1654379239162487</v>
      </c>
      <c r="G6782" s="1">
        <v>2.3845270326455559E-2</v>
      </c>
    </row>
    <row r="6783" spans="1:7">
      <c r="A6783">
        <v>112</v>
      </c>
      <c r="B6783">
        <v>346</v>
      </c>
      <c r="C6783" s="1">
        <f>(Tabela1[[#This Row],[x]]-H$3)*(Tabela1[[#This Row],[x]]-H$3) +(Tabela1[[#This Row],[y]]-H$4)*(Tabela1[[#This Row],[y]]-H$4)</f>
        <v>29060</v>
      </c>
      <c r="D6783" s="1">
        <f>IF(Tabela1[[#This Row],[promien]]&lt;40000,1,0)</f>
        <v>1</v>
      </c>
      <c r="E6783" s="1">
        <f>IF(Tabela1[[#This Row],[promien]]=40000,1,0)</f>
        <v>0</v>
      </c>
      <c r="F6783" s="1">
        <v>3.1655609612265958</v>
      </c>
      <c r="G6783" s="1">
        <v>2.3968307636802688E-2</v>
      </c>
    </row>
    <row r="6784" spans="1:7">
      <c r="A6784">
        <v>344</v>
      </c>
      <c r="B6784">
        <v>251</v>
      </c>
      <c r="C6784" s="1">
        <f>(Tabela1[[#This Row],[x]]-H$3)*(Tabela1[[#This Row],[x]]-H$3) +(Tabela1[[#This Row],[y]]-H$4)*(Tabela1[[#This Row],[y]]-H$4)</f>
        <v>23337</v>
      </c>
      <c r="D6784" s="1">
        <f>IF(Tabela1[[#This Row],[promien]]&lt;40000,1,0)</f>
        <v>1</v>
      </c>
      <c r="E6784" s="1">
        <f>IF(Tabela1[[#This Row],[promien]]=40000,1,0)</f>
        <v>0</v>
      </c>
      <c r="F6784" s="1">
        <v>3.1656839622641511</v>
      </c>
      <c r="G6784" s="1">
        <v>2.4091308674357936E-2</v>
      </c>
    </row>
    <row r="6785" spans="1:7">
      <c r="A6785">
        <v>208</v>
      </c>
      <c r="B6785">
        <v>219</v>
      </c>
      <c r="C6785" s="1">
        <f>(Tabela1[[#This Row],[x]]-H$3)*(Tabela1[[#This Row],[x]]-H$3) +(Tabela1[[#This Row],[y]]-H$4)*(Tabela1[[#This Row],[y]]-H$4)</f>
        <v>425</v>
      </c>
      <c r="D6785" s="1">
        <f>IF(Tabela1[[#This Row],[promien]]&lt;40000,1,0)</f>
        <v>1</v>
      </c>
      <c r="E6785" s="1">
        <f>IF(Tabela1[[#This Row],[promien]]=40000,1,0)</f>
        <v>0</v>
      </c>
      <c r="F6785" s="1">
        <v>3.1658069270449523</v>
      </c>
      <c r="G6785" s="1">
        <v>2.4214273455159141E-2</v>
      </c>
    </row>
    <row r="6786" spans="1:7">
      <c r="A6786">
        <v>250</v>
      </c>
      <c r="B6786">
        <v>104</v>
      </c>
      <c r="C6786" s="1">
        <f>(Tabela1[[#This Row],[x]]-H$3)*(Tabela1[[#This Row],[x]]-H$3) +(Tabela1[[#This Row],[y]]-H$4)*(Tabela1[[#This Row],[y]]-H$4)</f>
        <v>11716</v>
      </c>
      <c r="D6786" s="1">
        <f>IF(Tabela1[[#This Row],[promien]]&lt;40000,1,0)</f>
        <v>1</v>
      </c>
      <c r="E6786" s="1">
        <f>IF(Tabela1[[#This Row],[promien]]=40000,1,0)</f>
        <v>0</v>
      </c>
      <c r="F6786" s="1">
        <v>3.1659298555850279</v>
      </c>
      <c r="G6786" s="1">
        <v>2.4337201995234814E-2</v>
      </c>
    </row>
    <row r="6787" spans="1:7">
      <c r="A6787">
        <v>98</v>
      </c>
      <c r="B6787">
        <v>203</v>
      </c>
      <c r="C6787" s="1">
        <f>(Tabela1[[#This Row],[x]]-H$3)*(Tabela1[[#This Row],[x]]-H$3) +(Tabela1[[#This Row],[y]]-H$4)*(Tabela1[[#This Row],[y]]-H$4)</f>
        <v>10413</v>
      </c>
      <c r="D6787" s="1">
        <f>IF(Tabela1[[#This Row],[promien]]&lt;40000,1,0)</f>
        <v>1</v>
      </c>
      <c r="E6787" s="1">
        <f>IF(Tabela1[[#This Row],[promien]]=40000,1,0)</f>
        <v>0</v>
      </c>
      <c r="F6787" s="1">
        <v>3.1660527479003977</v>
      </c>
      <c r="G6787" s="1">
        <v>2.4460094310604585E-2</v>
      </c>
    </row>
    <row r="6788" spans="1:7">
      <c r="A6788">
        <v>177</v>
      </c>
      <c r="B6788">
        <v>258</v>
      </c>
      <c r="C6788" s="1">
        <f>(Tabela1[[#This Row],[x]]-H$3)*(Tabela1[[#This Row],[x]]-H$3) +(Tabela1[[#This Row],[y]]-H$4)*(Tabela1[[#This Row],[y]]-H$4)</f>
        <v>3893</v>
      </c>
      <c r="D6788" s="1">
        <f>IF(Tabela1[[#This Row],[promien]]&lt;40000,1,0)</f>
        <v>1</v>
      </c>
      <c r="E6788" s="1">
        <f>IF(Tabela1[[#This Row],[promien]]=40000,1,0)</f>
        <v>0</v>
      </c>
      <c r="F6788" s="1">
        <v>3.1661756040070714</v>
      </c>
      <c r="G6788" s="1">
        <v>2.4582950417278315E-2</v>
      </c>
    </row>
    <row r="6789" spans="1:7">
      <c r="A6789">
        <v>185</v>
      </c>
      <c r="B6789">
        <v>185</v>
      </c>
      <c r="C6789" s="1">
        <f>(Tabela1[[#This Row],[x]]-H$3)*(Tabela1[[#This Row],[x]]-H$3) +(Tabela1[[#This Row],[y]]-H$4)*(Tabela1[[#This Row],[y]]-H$4)</f>
        <v>450</v>
      </c>
      <c r="D6789" s="1">
        <f>IF(Tabela1[[#This Row],[promien]]&lt;40000,1,0)</f>
        <v>1</v>
      </c>
      <c r="E6789" s="1">
        <f>IF(Tabela1[[#This Row],[promien]]=40000,1,0)</f>
        <v>0</v>
      </c>
      <c r="F6789" s="1">
        <v>3.1662984239210488</v>
      </c>
      <c r="G6789" s="1">
        <v>2.470577033125565E-2</v>
      </c>
    </row>
    <row r="6790" spans="1:7">
      <c r="A6790">
        <v>391</v>
      </c>
      <c r="B6790">
        <v>187</v>
      </c>
      <c r="C6790" s="1">
        <f>(Tabela1[[#This Row],[x]]-H$3)*(Tabela1[[#This Row],[x]]-H$3) +(Tabela1[[#This Row],[y]]-H$4)*(Tabela1[[#This Row],[y]]-H$4)</f>
        <v>36650</v>
      </c>
      <c r="D6790" s="1">
        <f>IF(Tabela1[[#This Row],[promien]]&lt;40000,1,0)</f>
        <v>1</v>
      </c>
      <c r="E6790" s="1">
        <f>IF(Tabela1[[#This Row],[promien]]=40000,1,0)</f>
        <v>0</v>
      </c>
      <c r="F6790" s="1">
        <v>3.1664212076583209</v>
      </c>
      <c r="G6790" s="1">
        <v>2.4828554068527797E-2</v>
      </c>
    </row>
    <row r="6791" spans="1:7">
      <c r="A6791">
        <v>379</v>
      </c>
      <c r="B6791">
        <v>228</v>
      </c>
      <c r="C6791" s="1">
        <f>(Tabela1[[#This Row],[x]]-H$3)*(Tabela1[[#This Row],[x]]-H$3) +(Tabela1[[#This Row],[y]]-H$4)*(Tabela1[[#This Row],[y]]-H$4)</f>
        <v>32825</v>
      </c>
      <c r="D6791" s="1">
        <f>IF(Tabela1[[#This Row],[promien]]&lt;40000,1,0)</f>
        <v>1</v>
      </c>
      <c r="E6791" s="1">
        <f>IF(Tabela1[[#This Row],[promien]]=40000,1,0)</f>
        <v>0</v>
      </c>
      <c r="F6791" s="1">
        <v>3.1665439552348698</v>
      </c>
      <c r="G6791" s="1">
        <v>2.495130164507664E-2</v>
      </c>
    </row>
    <row r="6792" spans="1:7">
      <c r="A6792">
        <v>133</v>
      </c>
      <c r="B6792">
        <v>377</v>
      </c>
      <c r="C6792" s="1">
        <f>(Tabela1[[#This Row],[x]]-H$3)*(Tabela1[[#This Row],[x]]-H$3) +(Tabela1[[#This Row],[y]]-H$4)*(Tabela1[[#This Row],[y]]-H$4)</f>
        <v>35818</v>
      </c>
      <c r="D6792" s="1">
        <f>IF(Tabela1[[#This Row],[promien]]&lt;40000,1,0)</f>
        <v>1</v>
      </c>
      <c r="E6792" s="1">
        <f>IF(Tabela1[[#This Row],[promien]]=40000,1,0)</f>
        <v>0</v>
      </c>
      <c r="F6792" s="1">
        <v>3.1666666666666665</v>
      </c>
      <c r="G6792" s="1">
        <v>2.5074013076873403E-2</v>
      </c>
    </row>
    <row r="6793" spans="1:7">
      <c r="A6793">
        <v>29</v>
      </c>
      <c r="B6793">
        <v>116</v>
      </c>
      <c r="C6793" s="1">
        <f>(Tabela1[[#This Row],[x]]-H$3)*(Tabela1[[#This Row],[x]]-H$3) +(Tabela1[[#This Row],[y]]-H$4)*(Tabela1[[#This Row],[y]]-H$4)</f>
        <v>36297</v>
      </c>
      <c r="D6793" s="1">
        <f>IF(Tabela1[[#This Row],[promien]]&lt;40000,1,0)</f>
        <v>1</v>
      </c>
      <c r="E6793" s="1">
        <f>IF(Tabela1[[#This Row],[promien]]=40000,1,0)</f>
        <v>0</v>
      </c>
      <c r="F6793" s="1">
        <v>3.1667893419696749</v>
      </c>
      <c r="G6793" s="1">
        <v>2.519668837988176E-2</v>
      </c>
    </row>
    <row r="6794" spans="1:7">
      <c r="A6794">
        <v>85</v>
      </c>
      <c r="B6794">
        <v>214</v>
      </c>
      <c r="C6794" s="1">
        <f>(Tabela1[[#This Row],[x]]-H$3)*(Tabela1[[#This Row],[x]]-H$3) +(Tabela1[[#This Row],[y]]-H$4)*(Tabela1[[#This Row],[y]]-H$4)</f>
        <v>13421</v>
      </c>
      <c r="D6794" s="1">
        <f>IF(Tabela1[[#This Row],[promien]]&lt;40000,1,0)</f>
        <v>1</v>
      </c>
      <c r="E6794" s="1">
        <f>IF(Tabela1[[#This Row],[promien]]=40000,1,0)</f>
        <v>0</v>
      </c>
      <c r="F6794" s="1">
        <v>3.166911981159847</v>
      </c>
      <c r="G6794" s="1">
        <v>2.531932757005384E-2</v>
      </c>
    </row>
    <row r="6795" spans="1:7">
      <c r="A6795">
        <v>265</v>
      </c>
      <c r="B6795">
        <v>273</v>
      </c>
      <c r="C6795" s="1">
        <f>(Tabela1[[#This Row],[x]]-H$3)*(Tabela1[[#This Row],[x]]-H$3) +(Tabela1[[#This Row],[y]]-H$4)*(Tabela1[[#This Row],[y]]-H$4)</f>
        <v>9554</v>
      </c>
      <c r="D6795" s="1">
        <f>IF(Tabela1[[#This Row],[promien]]&lt;40000,1,0)</f>
        <v>1</v>
      </c>
      <c r="E6795" s="1">
        <f>IF(Tabela1[[#This Row],[promien]]=40000,1,0)</f>
        <v>0</v>
      </c>
      <c r="F6795" s="1">
        <v>3.1670345842531273</v>
      </c>
      <c r="G6795" s="1">
        <v>2.5441930663334222E-2</v>
      </c>
    </row>
    <row r="6796" spans="1:7">
      <c r="A6796">
        <v>292</v>
      </c>
      <c r="B6796">
        <v>169</v>
      </c>
      <c r="C6796" s="1">
        <f>(Tabela1[[#This Row],[x]]-H$3)*(Tabela1[[#This Row],[x]]-H$3) +(Tabela1[[#This Row],[y]]-H$4)*(Tabela1[[#This Row],[y]]-H$4)</f>
        <v>9425</v>
      </c>
      <c r="D6796" s="1">
        <f>IF(Tabela1[[#This Row],[promien]]&lt;40000,1,0)</f>
        <v>1</v>
      </c>
      <c r="E6796" s="1">
        <f>IF(Tabela1[[#This Row],[promien]]=40000,1,0)</f>
        <v>0</v>
      </c>
      <c r="F6796" s="1">
        <v>3.1671571512654504</v>
      </c>
      <c r="G6796" s="1">
        <v>2.5564497675657272E-2</v>
      </c>
    </row>
    <row r="6797" spans="1:7">
      <c r="A6797">
        <v>312</v>
      </c>
      <c r="B6797">
        <v>196</v>
      </c>
      <c r="C6797" s="1">
        <f>(Tabela1[[#This Row],[x]]-H$3)*(Tabela1[[#This Row],[x]]-H$3) +(Tabela1[[#This Row],[y]]-H$4)*(Tabela1[[#This Row],[y]]-H$4)</f>
        <v>12560</v>
      </c>
      <c r="D6797" s="1">
        <f>IF(Tabela1[[#This Row],[promien]]&lt;40000,1,0)</f>
        <v>1</v>
      </c>
      <c r="E6797" s="1">
        <f>IF(Tabela1[[#This Row],[promien]]=40000,1,0)</f>
        <v>0</v>
      </c>
      <c r="F6797" s="1">
        <v>3.1672796822127407</v>
      </c>
      <c r="G6797" s="1">
        <v>2.5687028622947583E-2</v>
      </c>
    </row>
    <row r="6798" spans="1:7">
      <c r="A6798">
        <v>315</v>
      </c>
      <c r="B6798">
        <v>89</v>
      </c>
      <c r="C6798" s="1">
        <f>(Tabela1[[#This Row],[x]]-H$3)*(Tabela1[[#This Row],[x]]-H$3) +(Tabela1[[#This Row],[y]]-H$4)*(Tabela1[[#This Row],[y]]-H$4)</f>
        <v>25546</v>
      </c>
      <c r="D6798" s="1">
        <f>IF(Tabela1[[#This Row],[promien]]&lt;40000,1,0)</f>
        <v>1</v>
      </c>
      <c r="E6798" s="1">
        <f>IF(Tabela1[[#This Row],[promien]]=40000,1,0)</f>
        <v>0</v>
      </c>
      <c r="F6798" s="1">
        <v>3.1674021771109149</v>
      </c>
      <c r="G6798" s="1">
        <v>2.5809523521121758E-2</v>
      </c>
    </row>
    <row r="6799" spans="1:7">
      <c r="A6799">
        <v>223</v>
      </c>
      <c r="B6799">
        <v>4</v>
      </c>
      <c r="C6799" s="1">
        <f>(Tabela1[[#This Row],[x]]-H$3)*(Tabela1[[#This Row],[x]]-H$3) +(Tabela1[[#This Row],[y]]-H$4)*(Tabela1[[#This Row],[y]]-H$4)</f>
        <v>38945</v>
      </c>
      <c r="D6799" s="1">
        <f>IF(Tabela1[[#This Row],[promien]]&lt;40000,1,0)</f>
        <v>1</v>
      </c>
      <c r="E6799" s="1">
        <f>IF(Tabela1[[#This Row],[promien]]=40000,1,0)</f>
        <v>0</v>
      </c>
      <c r="F6799" s="1">
        <v>3.1675246359758789</v>
      </c>
      <c r="G6799" s="1">
        <v>2.5931982386085739E-2</v>
      </c>
    </row>
    <row r="6800" spans="1:7">
      <c r="A6800">
        <v>232</v>
      </c>
      <c r="B6800">
        <v>334</v>
      </c>
      <c r="C6800" s="1">
        <f>(Tabela1[[#This Row],[x]]-H$3)*(Tabela1[[#This Row],[x]]-H$3) +(Tabela1[[#This Row],[y]]-H$4)*(Tabela1[[#This Row],[y]]-H$4)</f>
        <v>18980</v>
      </c>
      <c r="D6800" s="1">
        <f>IF(Tabela1[[#This Row],[promien]]&lt;40000,1,0)</f>
        <v>1</v>
      </c>
      <c r="E6800" s="1">
        <f>IF(Tabela1[[#This Row],[promien]]=40000,1,0)</f>
        <v>0</v>
      </c>
      <c r="F6800" s="1">
        <v>3.1676470588235293</v>
      </c>
      <c r="G6800" s="1">
        <v>2.6054405233736144E-2</v>
      </c>
    </row>
    <row r="6801" spans="1:7">
      <c r="A6801">
        <v>17</v>
      </c>
      <c r="B6801">
        <v>307</v>
      </c>
      <c r="C6801" s="1">
        <f>(Tabela1[[#This Row],[x]]-H$3)*(Tabela1[[#This Row],[x]]-H$3) +(Tabela1[[#This Row],[y]]-H$4)*(Tabela1[[#This Row],[y]]-H$4)</f>
        <v>44938</v>
      </c>
      <c r="D6801" s="1">
        <f>IF(Tabela1[[#This Row],[promien]]&lt;40000,1,0)</f>
        <v>0</v>
      </c>
      <c r="E6801" s="1">
        <f>IF(Tabela1[[#This Row],[promien]]=40000,1,0)</f>
        <v>0</v>
      </c>
      <c r="F6801" s="1">
        <v>3.1671812968681077</v>
      </c>
      <c r="G6801" s="1">
        <v>2.558864327831456E-2</v>
      </c>
    </row>
    <row r="6802" spans="1:7">
      <c r="A6802">
        <v>218</v>
      </c>
      <c r="B6802">
        <v>395</v>
      </c>
      <c r="C6802" s="1">
        <f>(Tabela1[[#This Row],[x]]-H$3)*(Tabela1[[#This Row],[x]]-H$3) +(Tabela1[[#This Row],[y]]-H$4)*(Tabela1[[#This Row],[y]]-H$4)</f>
        <v>38349</v>
      </c>
      <c r="D6802" s="1">
        <f>IF(Tabela1[[#This Row],[promien]]&lt;40000,1,0)</f>
        <v>1</v>
      </c>
      <c r="E6802" s="1">
        <f>IF(Tabela1[[#This Row],[promien]]=40000,1,0)</f>
        <v>0</v>
      </c>
      <c r="F6802" s="1">
        <v>3.1673037341958246</v>
      </c>
      <c r="G6802" s="1">
        <v>2.5711080606031445E-2</v>
      </c>
    </row>
    <row r="6803" spans="1:7">
      <c r="A6803">
        <v>300</v>
      </c>
      <c r="B6803">
        <v>370</v>
      </c>
      <c r="C6803" s="1">
        <f>(Tabela1[[#This Row],[x]]-H$3)*(Tabela1[[#This Row],[x]]-H$3) +(Tabela1[[#This Row],[y]]-H$4)*(Tabela1[[#This Row],[y]]-H$4)</f>
        <v>38900</v>
      </c>
      <c r="D6803" s="1">
        <f>IF(Tabela1[[#This Row],[promien]]&lt;40000,1,0)</f>
        <v>1</v>
      </c>
      <c r="E6803" s="1">
        <f>IF(Tabela1[[#This Row],[promien]]=40000,1,0)</f>
        <v>0</v>
      </c>
      <c r="F6803" s="1">
        <v>3.1674261355284434</v>
      </c>
      <c r="G6803" s="1">
        <v>2.5833481938650316E-2</v>
      </c>
    </row>
    <row r="6804" spans="1:7">
      <c r="A6804">
        <v>358</v>
      </c>
      <c r="B6804">
        <v>52</v>
      </c>
      <c r="C6804" s="1">
        <f>(Tabela1[[#This Row],[x]]-H$3)*(Tabela1[[#This Row],[x]]-H$3) +(Tabela1[[#This Row],[y]]-H$4)*(Tabela1[[#This Row],[y]]-H$4)</f>
        <v>46868</v>
      </c>
      <c r="D6804" s="1">
        <f>IF(Tabela1[[#This Row],[promien]]&lt;40000,1,0)</f>
        <v>0</v>
      </c>
      <c r="E6804" s="1">
        <f>IF(Tabela1[[#This Row],[promien]]=40000,1,0)</f>
        <v>0</v>
      </c>
      <c r="F6804" s="1">
        <v>3.1669606114050559</v>
      </c>
      <c r="G6804" s="1">
        <v>2.5367957815262798E-2</v>
      </c>
    </row>
    <row r="6805" spans="1:7">
      <c r="A6805">
        <v>116</v>
      </c>
      <c r="B6805">
        <v>91</v>
      </c>
      <c r="C6805" s="1">
        <f>(Tabela1[[#This Row],[x]]-H$3)*(Tabela1[[#This Row],[x]]-H$3) +(Tabela1[[#This Row],[y]]-H$4)*(Tabela1[[#This Row],[y]]-H$4)</f>
        <v>18937</v>
      </c>
      <c r="D6805" s="1">
        <f>IF(Tabela1[[#This Row],[promien]]&lt;40000,1,0)</f>
        <v>1</v>
      </c>
      <c r="E6805" s="1">
        <f>IF(Tabela1[[#This Row],[promien]]=40000,1,0)</f>
        <v>0</v>
      </c>
      <c r="F6805" s="1">
        <v>3.1670830271858925</v>
      </c>
      <c r="G6805" s="1">
        <v>2.5490373596099403E-2</v>
      </c>
    </row>
    <row r="6806" spans="1:7">
      <c r="A6806">
        <v>131</v>
      </c>
      <c r="B6806">
        <v>171</v>
      </c>
      <c r="C6806" s="1">
        <f>(Tabela1[[#This Row],[x]]-H$3)*(Tabela1[[#This Row],[x]]-H$3) +(Tabela1[[#This Row],[y]]-H$4)*(Tabela1[[#This Row],[y]]-H$4)</f>
        <v>5602</v>
      </c>
      <c r="D6806" s="1">
        <f>IF(Tabela1[[#This Row],[promien]]&lt;40000,1,0)</f>
        <v>1</v>
      </c>
      <c r="E6806" s="1">
        <f>IF(Tabela1[[#This Row],[promien]]=40000,1,0)</f>
        <v>0</v>
      </c>
      <c r="F6806" s="1">
        <v>3.1672054069938289</v>
      </c>
      <c r="G6806" s="1">
        <v>2.5612753404035793E-2</v>
      </c>
    </row>
    <row r="6807" spans="1:7">
      <c r="A6807">
        <v>389</v>
      </c>
      <c r="B6807">
        <v>314</v>
      </c>
      <c r="C6807" s="1">
        <f>(Tabela1[[#This Row],[x]]-H$3)*(Tabela1[[#This Row],[x]]-H$3) +(Tabela1[[#This Row],[y]]-H$4)*(Tabela1[[#This Row],[y]]-H$4)</f>
        <v>48717</v>
      </c>
      <c r="D6807" s="1">
        <f>IF(Tabela1[[#This Row],[promien]]&lt;40000,1,0)</f>
        <v>0</v>
      </c>
      <c r="E6807" s="1">
        <f>IF(Tabela1[[#This Row],[promien]]=40000,1,0)</f>
        <v>0</v>
      </c>
      <c r="F6807" s="1">
        <v>3.1667401204642278</v>
      </c>
      <c r="G6807" s="1">
        <v>2.5147466874434699E-2</v>
      </c>
    </row>
    <row r="6808" spans="1:7">
      <c r="A6808">
        <v>139</v>
      </c>
      <c r="B6808">
        <v>52</v>
      </c>
      <c r="C6808" s="1">
        <f>(Tabela1[[#This Row],[x]]-H$3)*(Tabela1[[#This Row],[x]]-H$3) +(Tabela1[[#This Row],[y]]-H$4)*(Tabela1[[#This Row],[y]]-H$4)</f>
        <v>25625</v>
      </c>
      <c r="D6808" s="1">
        <f>IF(Tabela1[[#This Row],[promien]]&lt;40000,1,0)</f>
        <v>1</v>
      </c>
      <c r="E6808" s="1">
        <f>IF(Tabela1[[#This Row],[promien]]=40000,1,0)</f>
        <v>0</v>
      </c>
      <c r="F6808" s="1">
        <v>3.1668625146886016</v>
      </c>
      <c r="G6808" s="1">
        <v>2.5269861098808466E-2</v>
      </c>
    </row>
    <row r="6809" spans="1:7">
      <c r="A6809">
        <v>339</v>
      </c>
      <c r="B6809">
        <v>344</v>
      </c>
      <c r="C6809" s="1">
        <f>(Tabela1[[#This Row],[x]]-H$3)*(Tabela1[[#This Row],[x]]-H$3) +(Tabela1[[#This Row],[y]]-H$4)*(Tabela1[[#This Row],[y]]-H$4)</f>
        <v>40057</v>
      </c>
      <c r="D6809" s="1">
        <f>IF(Tabela1[[#This Row],[promien]]&lt;40000,1,0)</f>
        <v>0</v>
      </c>
      <c r="E6809" s="1">
        <f>IF(Tabela1[[#This Row],[promien]]=40000,1,0)</f>
        <v>0</v>
      </c>
      <c r="F6809" s="1">
        <v>3.1663974151857834</v>
      </c>
      <c r="G6809" s="1">
        <v>2.4804761595990321E-2</v>
      </c>
    </row>
    <row r="6810" spans="1:7">
      <c r="A6810">
        <v>374</v>
      </c>
      <c r="B6810">
        <v>174</v>
      </c>
      <c r="C6810" s="1">
        <f>(Tabela1[[#This Row],[x]]-H$3)*(Tabela1[[#This Row],[x]]-H$3) +(Tabela1[[#This Row],[y]]-H$4)*(Tabela1[[#This Row],[y]]-H$4)</f>
        <v>30952</v>
      </c>
      <c r="D6810" s="1">
        <f>IF(Tabela1[[#This Row],[promien]]&lt;40000,1,0)</f>
        <v>1</v>
      </c>
      <c r="E6810" s="1">
        <f>IF(Tabela1[[#This Row],[promien]]=40000,1,0)</f>
        <v>0</v>
      </c>
      <c r="F6810" s="1">
        <v>3.1665198237885464</v>
      </c>
      <c r="G6810" s="1">
        <v>2.4927170198753235E-2</v>
      </c>
    </row>
    <row r="6811" spans="1:7">
      <c r="A6811">
        <v>66</v>
      </c>
      <c r="B6811">
        <v>190</v>
      </c>
      <c r="C6811" s="1">
        <f>(Tabela1[[#This Row],[x]]-H$3)*(Tabela1[[#This Row],[x]]-H$3) +(Tabela1[[#This Row],[y]]-H$4)*(Tabela1[[#This Row],[y]]-H$4)</f>
        <v>18056</v>
      </c>
      <c r="D6811" s="1">
        <f>IF(Tabela1[[#This Row],[promien]]&lt;40000,1,0)</f>
        <v>1</v>
      </c>
      <c r="E6811" s="1">
        <f>IF(Tabela1[[#This Row],[promien]]=40000,1,0)</f>
        <v>0</v>
      </c>
      <c r="F6811" s="1">
        <v>3.166642196446924</v>
      </c>
      <c r="G6811" s="1">
        <v>2.5049542857130902E-2</v>
      </c>
    </row>
    <row r="6812" spans="1:7">
      <c r="A6812">
        <v>234</v>
      </c>
      <c r="B6812">
        <v>75</v>
      </c>
      <c r="C6812" s="1">
        <f>(Tabela1[[#This Row],[x]]-H$3)*(Tabela1[[#This Row],[x]]-H$3) +(Tabela1[[#This Row],[y]]-H$4)*(Tabela1[[#This Row],[y]]-H$4)</f>
        <v>16781</v>
      </c>
      <c r="D6812" s="1">
        <f>IF(Tabela1[[#This Row],[promien]]&lt;40000,1,0)</f>
        <v>1</v>
      </c>
      <c r="E6812" s="1">
        <f>IF(Tabela1[[#This Row],[promien]]=40000,1,0)</f>
        <v>0</v>
      </c>
      <c r="F6812" s="1">
        <v>3.1667645331767469</v>
      </c>
      <c r="G6812" s="1">
        <v>2.5171879586953771E-2</v>
      </c>
    </row>
    <row r="6813" spans="1:7">
      <c r="A6813">
        <v>338</v>
      </c>
      <c r="B6813">
        <v>373</v>
      </c>
      <c r="C6813" s="1">
        <f>(Tabela1[[#This Row],[x]]-H$3)*(Tabela1[[#This Row],[x]]-H$3) +(Tabela1[[#This Row],[y]]-H$4)*(Tabela1[[#This Row],[y]]-H$4)</f>
        <v>48973</v>
      </c>
      <c r="D6813" s="1">
        <f>IF(Tabela1[[#This Row],[promien]]&lt;40000,1,0)</f>
        <v>0</v>
      </c>
      <c r="E6813" s="1">
        <f>IF(Tabela1[[#This Row],[promien]]=40000,1,0)</f>
        <v>0</v>
      </c>
      <c r="F6813" s="1">
        <v>3.1662997211213857</v>
      </c>
      <c r="G6813" s="1">
        <v>2.4707067531592575E-2</v>
      </c>
    </row>
    <row r="6814" spans="1:7">
      <c r="A6814">
        <v>215</v>
      </c>
      <c r="B6814">
        <v>248</v>
      </c>
      <c r="C6814" s="1">
        <f>(Tabela1[[#This Row],[x]]-H$3)*(Tabela1[[#This Row],[x]]-H$3) +(Tabela1[[#This Row],[y]]-H$4)*(Tabela1[[#This Row],[y]]-H$4)</f>
        <v>2529</v>
      </c>
      <c r="D6814" s="1">
        <f>IF(Tabela1[[#This Row],[promien]]&lt;40000,1,0)</f>
        <v>1</v>
      </c>
      <c r="E6814" s="1">
        <f>IF(Tabela1[[#This Row],[promien]]=40000,1,0)</f>
        <v>0</v>
      </c>
      <c r="F6814" s="1">
        <v>3.1664220722042855</v>
      </c>
      <c r="G6814" s="1">
        <v>2.4829418614492393E-2</v>
      </c>
    </row>
    <row r="6815" spans="1:7">
      <c r="A6815">
        <v>239</v>
      </c>
      <c r="B6815">
        <v>275</v>
      </c>
      <c r="C6815" s="1">
        <f>(Tabela1[[#This Row],[x]]-H$3)*(Tabela1[[#This Row],[x]]-H$3) +(Tabela1[[#This Row],[y]]-H$4)*(Tabela1[[#This Row],[y]]-H$4)</f>
        <v>7146</v>
      </c>
      <c r="D6815" s="1">
        <f>IF(Tabela1[[#This Row],[promien]]&lt;40000,1,0)</f>
        <v>1</v>
      </c>
      <c r="E6815" s="1">
        <f>IF(Tabela1[[#This Row],[promien]]=40000,1,0)</f>
        <v>0</v>
      </c>
      <c r="F6815" s="1">
        <v>3.1665443873807777</v>
      </c>
      <c r="G6815" s="1">
        <v>2.4951733790984587E-2</v>
      </c>
    </row>
    <row r="6816" spans="1:7">
      <c r="A6816">
        <v>2</v>
      </c>
      <c r="B6816">
        <v>125</v>
      </c>
      <c r="C6816" s="1">
        <f>(Tabela1[[#This Row],[x]]-H$3)*(Tabela1[[#This Row],[x]]-H$3) +(Tabela1[[#This Row],[y]]-H$4)*(Tabela1[[#This Row],[y]]-H$4)</f>
        <v>44829</v>
      </c>
      <c r="D6816" s="1">
        <f>IF(Tabela1[[#This Row],[promien]]&lt;40000,1,0)</f>
        <v>0</v>
      </c>
      <c r="E6816" s="1">
        <f>IF(Tabela1[[#This Row],[promien]]=40000,1,0)</f>
        <v>0</v>
      </c>
      <c r="F6816" s="1">
        <v>3.166079812206573</v>
      </c>
      <c r="G6816" s="1">
        <v>2.4487158616779858E-2</v>
      </c>
    </row>
    <row r="6817" spans="1:7">
      <c r="A6817">
        <v>108</v>
      </c>
      <c r="B6817">
        <v>365</v>
      </c>
      <c r="C6817" s="1">
        <f>(Tabela1[[#This Row],[x]]-H$3)*(Tabela1[[#This Row],[x]]-H$3) +(Tabela1[[#This Row],[y]]-H$4)*(Tabela1[[#This Row],[y]]-H$4)</f>
        <v>35689</v>
      </c>
      <c r="D6817" s="1">
        <f>IF(Tabela1[[#This Row],[promien]]&lt;40000,1,0)</f>
        <v>1</v>
      </c>
      <c r="E6817" s="1">
        <f>IF(Tabela1[[#This Row],[promien]]=40000,1,0)</f>
        <v>0</v>
      </c>
      <c r="F6817" s="1">
        <v>3.166202141704562</v>
      </c>
      <c r="G6817" s="1">
        <v>2.4609488114768929E-2</v>
      </c>
    </row>
    <row r="6818" spans="1:7">
      <c r="A6818">
        <v>222</v>
      </c>
      <c r="B6818">
        <v>240</v>
      </c>
      <c r="C6818" s="1">
        <f>(Tabela1[[#This Row],[x]]-H$3)*(Tabela1[[#This Row],[x]]-H$3) +(Tabela1[[#This Row],[y]]-H$4)*(Tabela1[[#This Row],[y]]-H$4)</f>
        <v>2084</v>
      </c>
      <c r="D6818" s="1">
        <f>IF(Tabela1[[#This Row],[promien]]&lt;40000,1,0)</f>
        <v>1</v>
      </c>
      <c r="E6818" s="1">
        <f>IF(Tabela1[[#This Row],[promien]]=40000,1,0)</f>
        <v>0</v>
      </c>
      <c r="F6818" s="1">
        <v>3.1663244353182751</v>
      </c>
      <c r="G6818" s="1">
        <v>2.4731781728482005E-2</v>
      </c>
    </row>
    <row r="6819" spans="1:7">
      <c r="A6819">
        <v>194</v>
      </c>
      <c r="B6819">
        <v>356</v>
      </c>
      <c r="C6819" s="1">
        <f>(Tabela1[[#This Row],[x]]-H$3)*(Tabela1[[#This Row],[x]]-H$3) +(Tabela1[[#This Row],[y]]-H$4)*(Tabela1[[#This Row],[y]]-H$4)</f>
        <v>24372</v>
      </c>
      <c r="D6819" s="1">
        <f>IF(Tabela1[[#This Row],[promien]]&lt;40000,1,0)</f>
        <v>1</v>
      </c>
      <c r="E6819" s="1">
        <f>IF(Tabela1[[#This Row],[promien]]=40000,1,0)</f>
        <v>0</v>
      </c>
      <c r="F6819" s="1">
        <v>3.1664466930634991</v>
      </c>
      <c r="G6819" s="1">
        <v>2.4854039473706013E-2</v>
      </c>
    </row>
    <row r="6820" spans="1:7">
      <c r="A6820">
        <v>120</v>
      </c>
      <c r="B6820">
        <v>258</v>
      </c>
      <c r="C6820" s="1">
        <f>(Tabela1[[#This Row],[x]]-H$3)*(Tabela1[[#This Row],[x]]-H$3) +(Tabela1[[#This Row],[y]]-H$4)*(Tabela1[[#This Row],[y]]-H$4)</f>
        <v>9764</v>
      </c>
      <c r="D6820" s="1">
        <f>IF(Tabela1[[#This Row],[promien]]&lt;40000,1,0)</f>
        <v>1</v>
      </c>
      <c r="E6820" s="1">
        <f>IF(Tabela1[[#This Row],[promien]]=40000,1,0)</f>
        <v>0</v>
      </c>
      <c r="F6820" s="1">
        <v>3.1665689149560117</v>
      </c>
      <c r="G6820" s="1">
        <v>2.4976261366218555E-2</v>
      </c>
    </row>
    <row r="6821" spans="1:7">
      <c r="A6821">
        <v>380</v>
      </c>
      <c r="B6821">
        <v>305</v>
      </c>
      <c r="C6821" s="1">
        <f>(Tabela1[[#This Row],[x]]-H$3)*(Tabela1[[#This Row],[x]]-H$3) +(Tabela1[[#This Row],[y]]-H$4)*(Tabela1[[#This Row],[y]]-H$4)</f>
        <v>43425</v>
      </c>
      <c r="D6821" s="1">
        <f>IF(Tabela1[[#This Row],[promien]]&lt;40000,1,0)</f>
        <v>0</v>
      </c>
      <c r="E6821" s="1">
        <f>IF(Tabela1[[#This Row],[promien]]=40000,1,0)</f>
        <v>0</v>
      </c>
      <c r="F6821" s="1">
        <v>3.166104676733617</v>
      </c>
      <c r="G6821" s="1">
        <v>2.4512023143823836E-2</v>
      </c>
    </row>
    <row r="6822" spans="1:7">
      <c r="A6822">
        <v>336</v>
      </c>
      <c r="B6822">
        <v>275</v>
      </c>
      <c r="C6822" s="1">
        <f>(Tabela1[[#This Row],[x]]-H$3)*(Tabela1[[#This Row],[x]]-H$3) +(Tabela1[[#This Row],[y]]-H$4)*(Tabela1[[#This Row],[y]]-H$4)</f>
        <v>24121</v>
      </c>
      <c r="D6822" s="1">
        <f>IF(Tabela1[[#This Row],[promien]]&lt;40000,1,0)</f>
        <v>1</v>
      </c>
      <c r="E6822" s="1">
        <f>IF(Tabela1[[#This Row],[promien]]=40000,1,0)</f>
        <v>0</v>
      </c>
      <c r="F6822" s="1">
        <v>3.1662269129287597</v>
      </c>
      <c r="G6822" s="1">
        <v>2.4634259338966569E-2</v>
      </c>
    </row>
    <row r="6823" spans="1:7">
      <c r="A6823">
        <v>251</v>
      </c>
      <c r="B6823">
        <v>263</v>
      </c>
      <c r="C6823" s="1">
        <f>(Tabela1[[#This Row],[x]]-H$3)*(Tabela1[[#This Row],[x]]-H$3) +(Tabela1[[#This Row],[y]]-H$4)*(Tabela1[[#This Row],[y]]-H$4)</f>
        <v>6570</v>
      </c>
      <c r="D6823" s="1">
        <f>IF(Tabela1[[#This Row],[promien]]&lt;40000,1,0)</f>
        <v>1</v>
      </c>
      <c r="E6823" s="1">
        <f>IF(Tabela1[[#This Row],[promien]]=40000,1,0)</f>
        <v>0</v>
      </c>
      <c r="F6823" s="1">
        <v>3.1663491132932728</v>
      </c>
      <c r="G6823" s="1">
        <v>2.4756459703479727E-2</v>
      </c>
    </row>
    <row r="6824" spans="1:7">
      <c r="A6824">
        <v>81</v>
      </c>
      <c r="B6824">
        <v>99</v>
      </c>
      <c r="C6824" s="1">
        <f>(Tabela1[[#This Row],[x]]-H$3)*(Tabela1[[#This Row],[x]]-H$3) +(Tabela1[[#This Row],[y]]-H$4)*(Tabela1[[#This Row],[y]]-H$4)</f>
        <v>24362</v>
      </c>
      <c r="D6824" s="1">
        <f>IF(Tabela1[[#This Row],[promien]]&lt;40000,1,0)</f>
        <v>1</v>
      </c>
      <c r="E6824" s="1">
        <f>IF(Tabela1[[#This Row],[promien]]=40000,1,0)</f>
        <v>0</v>
      </c>
      <c r="F6824" s="1">
        <v>3.1664712778429074</v>
      </c>
      <c r="G6824" s="1">
        <v>2.4878624253114268E-2</v>
      </c>
    </row>
    <row r="6825" spans="1:7">
      <c r="A6825">
        <v>271</v>
      </c>
      <c r="B6825">
        <v>117</v>
      </c>
      <c r="C6825" s="1">
        <f>(Tabela1[[#This Row],[x]]-H$3)*(Tabela1[[#This Row],[x]]-H$3) +(Tabela1[[#This Row],[y]]-H$4)*(Tabela1[[#This Row],[y]]-H$4)</f>
        <v>11930</v>
      </c>
      <c r="D6825" s="1">
        <f>IF(Tabela1[[#This Row],[promien]]&lt;40000,1,0)</f>
        <v>1</v>
      </c>
      <c r="E6825" s="1">
        <f>IF(Tabela1[[#This Row],[promien]]=40000,1,0)</f>
        <v>0</v>
      </c>
      <c r="F6825" s="1">
        <v>3.1665934065934067</v>
      </c>
      <c r="G6825" s="1">
        <v>2.5000753003613596E-2</v>
      </c>
    </row>
    <row r="6826" spans="1:7">
      <c r="A6826">
        <v>222</v>
      </c>
      <c r="B6826">
        <v>250</v>
      </c>
      <c r="C6826" s="1">
        <f>(Tabela1[[#This Row],[x]]-H$3)*(Tabela1[[#This Row],[x]]-H$3) +(Tabela1[[#This Row],[y]]-H$4)*(Tabela1[[#This Row],[y]]-H$4)</f>
        <v>2984</v>
      </c>
      <c r="D6826" s="1">
        <f>IF(Tabela1[[#This Row],[promien]]&lt;40000,1,0)</f>
        <v>1</v>
      </c>
      <c r="E6826" s="1">
        <f>IF(Tabela1[[#This Row],[promien]]=40000,1,0)</f>
        <v>0</v>
      </c>
      <c r="F6826" s="1">
        <v>3.166715499560504</v>
      </c>
      <c r="G6826" s="1">
        <v>2.5122845970710905E-2</v>
      </c>
    </row>
    <row r="6827" spans="1:7">
      <c r="A6827">
        <v>70</v>
      </c>
      <c r="B6827">
        <v>382</v>
      </c>
      <c r="C6827" s="1">
        <f>(Tabela1[[#This Row],[x]]-H$3)*(Tabela1[[#This Row],[x]]-H$3) +(Tabela1[[#This Row],[y]]-H$4)*(Tabela1[[#This Row],[y]]-H$4)</f>
        <v>50024</v>
      </c>
      <c r="D6827" s="1">
        <f>IF(Tabela1[[#This Row],[promien]]&lt;40000,1,0)</f>
        <v>0</v>
      </c>
      <c r="E6827" s="1">
        <f>IF(Tabela1[[#This Row],[promien]]=40000,1,0)</f>
        <v>0</v>
      </c>
      <c r="F6827" s="1">
        <v>3.1662516478687563</v>
      </c>
      <c r="G6827" s="1">
        <v>2.4658994278963231E-2</v>
      </c>
    </row>
    <row r="6828" spans="1:7">
      <c r="A6828">
        <v>305</v>
      </c>
      <c r="B6828">
        <v>183</v>
      </c>
      <c r="C6828" s="1">
        <f>(Tabela1[[#This Row],[x]]-H$3)*(Tabela1[[#This Row],[x]]-H$3) +(Tabela1[[#This Row],[y]]-H$4)*(Tabela1[[#This Row],[y]]-H$4)</f>
        <v>11314</v>
      </c>
      <c r="D6828" s="1">
        <f>IF(Tabela1[[#This Row],[promien]]&lt;40000,1,0)</f>
        <v>1</v>
      </c>
      <c r="E6828" s="1">
        <f>IF(Tabela1[[#This Row],[promien]]=40000,1,0)</f>
        <v>0</v>
      </c>
      <c r="F6828" s="1">
        <v>3.1663737551259521</v>
      </c>
      <c r="G6828" s="1">
        <v>2.4781101536158978E-2</v>
      </c>
    </row>
    <row r="6829" spans="1:7">
      <c r="A6829">
        <v>223</v>
      </c>
      <c r="B6829">
        <v>356</v>
      </c>
      <c r="C6829" s="1">
        <f>(Tabela1[[#This Row],[x]]-H$3)*(Tabela1[[#This Row],[x]]-H$3) +(Tabela1[[#This Row],[y]]-H$4)*(Tabela1[[#This Row],[y]]-H$4)</f>
        <v>24865</v>
      </c>
      <c r="D6829" s="1">
        <f>IF(Tabela1[[#This Row],[promien]]&lt;40000,1,0)</f>
        <v>1</v>
      </c>
      <c r="E6829" s="1">
        <f>IF(Tabela1[[#This Row],[promien]]=40000,1,0)</f>
        <v>0</v>
      </c>
      <c r="F6829" s="1">
        <v>3.1664958266217602</v>
      </c>
      <c r="G6829" s="1">
        <v>2.4903173031967096E-2</v>
      </c>
    </row>
    <row r="6830" spans="1:7">
      <c r="A6830">
        <v>180</v>
      </c>
      <c r="B6830">
        <v>364</v>
      </c>
      <c r="C6830" s="1">
        <f>(Tabela1[[#This Row],[x]]-H$3)*(Tabela1[[#This Row],[x]]-H$3) +(Tabela1[[#This Row],[y]]-H$4)*(Tabela1[[#This Row],[y]]-H$4)</f>
        <v>27296</v>
      </c>
      <c r="D6830" s="1">
        <f>IF(Tabela1[[#This Row],[promien]]&lt;40000,1,0)</f>
        <v>1</v>
      </c>
      <c r="E6830" s="1">
        <f>IF(Tabela1[[#This Row],[promien]]=40000,1,0)</f>
        <v>0</v>
      </c>
      <c r="F6830" s="1">
        <v>3.1666178623718886</v>
      </c>
      <c r="G6830" s="1">
        <v>2.5025208782095465E-2</v>
      </c>
    </row>
    <row r="6831" spans="1:7">
      <c r="A6831">
        <v>230</v>
      </c>
      <c r="B6831">
        <v>308</v>
      </c>
      <c r="C6831" s="1">
        <f>(Tabela1[[#This Row],[x]]-H$3)*(Tabela1[[#This Row],[x]]-H$3) +(Tabela1[[#This Row],[y]]-H$4)*(Tabela1[[#This Row],[y]]-H$4)</f>
        <v>12564</v>
      </c>
      <c r="D6831" s="1">
        <f>IF(Tabela1[[#This Row],[promien]]&lt;40000,1,0)</f>
        <v>1</v>
      </c>
      <c r="E6831" s="1">
        <f>IF(Tabela1[[#This Row],[promien]]=40000,1,0)</f>
        <v>0</v>
      </c>
      <c r="F6831" s="1">
        <v>3.1667398623920362</v>
      </c>
      <c r="G6831" s="1">
        <v>2.5147208802243082E-2</v>
      </c>
    </row>
    <row r="6832" spans="1:7">
      <c r="A6832">
        <v>239</v>
      </c>
      <c r="B6832">
        <v>313</v>
      </c>
      <c r="C6832" s="1">
        <f>(Tabela1[[#This Row],[x]]-H$3)*(Tabela1[[#This Row],[x]]-H$3) +(Tabela1[[#This Row],[y]]-H$4)*(Tabela1[[#This Row],[y]]-H$4)</f>
        <v>14290</v>
      </c>
      <c r="D6832" s="1">
        <f>IF(Tabela1[[#This Row],[promien]]&lt;40000,1,0)</f>
        <v>1</v>
      </c>
      <c r="E6832" s="1">
        <f>IF(Tabela1[[#This Row],[promien]]=40000,1,0)</f>
        <v>0</v>
      </c>
      <c r="F6832" s="1">
        <v>3.1668618266978923</v>
      </c>
      <c r="G6832" s="1">
        <v>2.5269173108099174E-2</v>
      </c>
    </row>
    <row r="6833" spans="1:7">
      <c r="A6833">
        <v>244</v>
      </c>
      <c r="B6833">
        <v>336</v>
      </c>
      <c r="C6833" s="1">
        <f>(Tabela1[[#This Row],[x]]-H$3)*(Tabela1[[#This Row],[x]]-H$3) +(Tabela1[[#This Row],[y]]-H$4)*(Tabela1[[#This Row],[y]]-H$4)</f>
        <v>20432</v>
      </c>
      <c r="D6833" s="1">
        <f>IF(Tabela1[[#This Row],[promien]]&lt;40000,1,0)</f>
        <v>1</v>
      </c>
      <c r="E6833" s="1">
        <f>IF(Tabela1[[#This Row],[promien]]=40000,1,0)</f>
        <v>0</v>
      </c>
      <c r="F6833" s="1">
        <v>3.1669837553051368</v>
      </c>
      <c r="G6833" s="1">
        <v>2.5391101715343645E-2</v>
      </c>
    </row>
    <row r="6834" spans="1:7">
      <c r="A6834">
        <v>345</v>
      </c>
      <c r="B6834">
        <v>97</v>
      </c>
      <c r="C6834" s="1">
        <f>(Tabela1[[#This Row],[x]]-H$3)*(Tabela1[[#This Row],[x]]-H$3) +(Tabela1[[#This Row],[y]]-H$4)*(Tabela1[[#This Row],[y]]-H$4)</f>
        <v>31634</v>
      </c>
      <c r="D6834" s="1">
        <f>IF(Tabela1[[#This Row],[promien]]&lt;40000,1,0)</f>
        <v>1</v>
      </c>
      <c r="E6834" s="1">
        <f>IF(Tabela1[[#This Row],[promien]]=40000,1,0)</f>
        <v>0</v>
      </c>
      <c r="F6834" s="1">
        <v>3.1671056482294411</v>
      </c>
      <c r="G6834" s="1">
        <v>2.5512994639647957E-2</v>
      </c>
    </row>
    <row r="6835" spans="1:7">
      <c r="A6835">
        <v>180</v>
      </c>
      <c r="B6835">
        <v>34</v>
      </c>
      <c r="C6835" s="1">
        <f>(Tabela1[[#This Row],[x]]-H$3)*(Tabela1[[#This Row],[x]]-H$3) +(Tabela1[[#This Row],[y]]-H$4)*(Tabela1[[#This Row],[y]]-H$4)</f>
        <v>27956</v>
      </c>
      <c r="D6835" s="1">
        <f>IF(Tabela1[[#This Row],[promien]]&lt;40000,1,0)</f>
        <v>1</v>
      </c>
      <c r="E6835" s="1">
        <f>IF(Tabela1[[#This Row],[promien]]=40000,1,0)</f>
        <v>0</v>
      </c>
      <c r="F6835" s="1">
        <v>3.1672275054864669</v>
      </c>
      <c r="G6835" s="1">
        <v>2.5634851896673805E-2</v>
      </c>
    </row>
    <row r="6836" spans="1:7">
      <c r="A6836">
        <v>161</v>
      </c>
      <c r="B6836">
        <v>96</v>
      </c>
      <c r="C6836" s="1">
        <f>(Tabela1[[#This Row],[x]]-H$3)*(Tabela1[[#This Row],[x]]-H$3) +(Tabela1[[#This Row],[y]]-H$4)*(Tabela1[[#This Row],[y]]-H$4)</f>
        <v>12337</v>
      </c>
      <c r="D6836" s="1">
        <f>IF(Tabela1[[#This Row],[promien]]&lt;40000,1,0)</f>
        <v>1</v>
      </c>
      <c r="E6836" s="1">
        <f>IF(Tabela1[[#This Row],[promien]]=40000,1,0)</f>
        <v>0</v>
      </c>
      <c r="F6836" s="1">
        <v>3.1673493270918667</v>
      </c>
      <c r="G6836" s="1">
        <v>2.5756673502073557E-2</v>
      </c>
    </row>
    <row r="6837" spans="1:7">
      <c r="A6837">
        <v>304</v>
      </c>
      <c r="B6837">
        <v>146</v>
      </c>
      <c r="C6837" s="1">
        <f>(Tabela1[[#This Row],[x]]-H$3)*(Tabela1[[#This Row],[x]]-H$3) +(Tabela1[[#This Row],[y]]-H$4)*(Tabela1[[#This Row],[y]]-H$4)</f>
        <v>13732</v>
      </c>
      <c r="D6837" s="1">
        <f>IF(Tabela1[[#This Row],[promien]]&lt;40000,1,0)</f>
        <v>1</v>
      </c>
      <c r="E6837" s="1">
        <f>IF(Tabela1[[#This Row],[promien]]=40000,1,0)</f>
        <v>0</v>
      </c>
      <c r="F6837" s="1">
        <v>3.1674711130612843</v>
      </c>
      <c r="G6837" s="1">
        <v>2.5878459471491144E-2</v>
      </c>
    </row>
    <row r="6838" spans="1:7">
      <c r="A6838">
        <v>284</v>
      </c>
      <c r="B6838">
        <v>173</v>
      </c>
      <c r="C6838" s="1">
        <f>(Tabela1[[#This Row],[x]]-H$3)*(Tabela1[[#This Row],[x]]-H$3) +(Tabela1[[#This Row],[y]]-H$4)*(Tabela1[[#This Row],[y]]-H$4)</f>
        <v>7785</v>
      </c>
      <c r="D6838" s="1">
        <f>IF(Tabela1[[#This Row],[promien]]&lt;40000,1,0)</f>
        <v>1</v>
      </c>
      <c r="E6838" s="1">
        <f>IF(Tabela1[[#This Row],[promien]]=40000,1,0)</f>
        <v>0</v>
      </c>
      <c r="F6838" s="1">
        <v>3.1675928634103538</v>
      </c>
      <c r="G6838" s="1">
        <v>2.6000209820560727E-2</v>
      </c>
    </row>
    <row r="6839" spans="1:7">
      <c r="A6839">
        <v>125</v>
      </c>
      <c r="B6839">
        <v>285</v>
      </c>
      <c r="C6839" s="1">
        <f>(Tabela1[[#This Row],[x]]-H$3)*(Tabela1[[#This Row],[x]]-H$3) +(Tabela1[[#This Row],[y]]-H$4)*(Tabela1[[#This Row],[y]]-H$4)</f>
        <v>12850</v>
      </c>
      <c r="D6839" s="1">
        <f>IF(Tabela1[[#This Row],[promien]]&lt;40000,1,0)</f>
        <v>1</v>
      </c>
      <c r="E6839" s="1">
        <f>IF(Tabela1[[#This Row],[promien]]=40000,1,0)</f>
        <v>0</v>
      </c>
      <c r="F6839" s="1">
        <v>3.1677145781547011</v>
      </c>
      <c r="G6839" s="1">
        <v>2.6121924564908028E-2</v>
      </c>
    </row>
    <row r="6840" spans="1:7">
      <c r="A6840">
        <v>218</v>
      </c>
      <c r="B6840">
        <v>236</v>
      </c>
      <c r="C6840" s="1">
        <f>(Tabela1[[#This Row],[x]]-H$3)*(Tabela1[[#This Row],[x]]-H$3) +(Tabela1[[#This Row],[y]]-H$4)*(Tabela1[[#This Row],[y]]-H$4)</f>
        <v>1620</v>
      </c>
      <c r="D6840" s="1">
        <f>IF(Tabela1[[#This Row],[promien]]&lt;40000,1,0)</f>
        <v>1</v>
      </c>
      <c r="E6840" s="1">
        <f>IF(Tabela1[[#This Row],[promien]]=40000,1,0)</f>
        <v>0</v>
      </c>
      <c r="F6840" s="1">
        <v>3.1678362573099417</v>
      </c>
      <c r="G6840" s="1">
        <v>2.6243603720148556E-2</v>
      </c>
    </row>
    <row r="6841" spans="1:7">
      <c r="A6841">
        <v>319</v>
      </c>
      <c r="B6841">
        <v>255</v>
      </c>
      <c r="C6841" s="1">
        <f>(Tabela1[[#This Row],[x]]-H$3)*(Tabela1[[#This Row],[x]]-H$3) +(Tabela1[[#This Row],[y]]-H$4)*(Tabela1[[#This Row],[y]]-H$4)</f>
        <v>17186</v>
      </c>
      <c r="D6841" s="1">
        <f>IF(Tabela1[[#This Row],[promien]]&lt;40000,1,0)</f>
        <v>1</v>
      </c>
      <c r="E6841" s="1">
        <f>IF(Tabela1[[#This Row],[promien]]=40000,1,0)</f>
        <v>0</v>
      </c>
      <c r="F6841" s="1">
        <v>3.1679579008916825</v>
      </c>
      <c r="G6841" s="1">
        <v>2.6365247301889383E-2</v>
      </c>
    </row>
    <row r="6842" spans="1:7">
      <c r="A6842">
        <v>156</v>
      </c>
      <c r="B6842">
        <v>394</v>
      </c>
      <c r="C6842" s="1">
        <f>(Tabela1[[#This Row],[x]]-H$3)*(Tabela1[[#This Row],[x]]-H$3) +(Tabela1[[#This Row],[y]]-H$4)*(Tabela1[[#This Row],[y]]-H$4)</f>
        <v>39572</v>
      </c>
      <c r="D6842" s="1">
        <f>IF(Tabela1[[#This Row],[promien]]&lt;40000,1,0)</f>
        <v>1</v>
      </c>
      <c r="E6842" s="1">
        <f>IF(Tabela1[[#This Row],[promien]]=40000,1,0)</f>
        <v>0</v>
      </c>
      <c r="F6842" s="1">
        <v>3.1680795089155218</v>
      </c>
      <c r="G6842" s="1">
        <v>2.6486855325728698E-2</v>
      </c>
    </row>
    <row r="6843" spans="1:7">
      <c r="A6843">
        <v>282</v>
      </c>
      <c r="B6843">
        <v>395</v>
      </c>
      <c r="C6843" s="1">
        <f>(Tabela1[[#This Row],[x]]-H$3)*(Tabela1[[#This Row],[x]]-H$3) +(Tabela1[[#This Row],[y]]-H$4)*(Tabela1[[#This Row],[y]]-H$4)</f>
        <v>44749</v>
      </c>
      <c r="D6843" s="1">
        <f>IF(Tabela1[[#This Row],[promien]]&lt;40000,1,0)</f>
        <v>0</v>
      </c>
      <c r="E6843" s="1">
        <f>IF(Tabela1[[#This Row],[promien]]=40000,1,0)</f>
        <v>0</v>
      </c>
      <c r="F6843" s="1">
        <v>3.1676165424521407</v>
      </c>
      <c r="G6843" s="1">
        <v>2.6023888862347633E-2</v>
      </c>
    </row>
    <row r="6844" spans="1:7">
      <c r="A6844">
        <v>158</v>
      </c>
      <c r="B6844">
        <v>74</v>
      </c>
      <c r="C6844" s="1">
        <f>(Tabela1[[#This Row],[x]]-H$3)*(Tabela1[[#This Row],[x]]-H$3) +(Tabela1[[#This Row],[y]]-H$4)*(Tabela1[[#This Row],[y]]-H$4)</f>
        <v>17640</v>
      </c>
      <c r="D6844" s="1">
        <f>IF(Tabela1[[#This Row],[promien]]&lt;40000,1,0)</f>
        <v>1</v>
      </c>
      <c r="E6844" s="1">
        <f>IF(Tabela1[[#This Row],[promien]]=40000,1,0)</f>
        <v>0</v>
      </c>
      <c r="F6844" s="1">
        <v>3.1677381648158973</v>
      </c>
      <c r="G6844" s="1">
        <v>2.6145511226104201E-2</v>
      </c>
    </row>
    <row r="6845" spans="1:7">
      <c r="A6845">
        <v>15</v>
      </c>
      <c r="B6845">
        <v>324</v>
      </c>
      <c r="C6845" s="1">
        <f>(Tabela1[[#This Row],[x]]-H$3)*(Tabela1[[#This Row],[x]]-H$3) +(Tabela1[[#This Row],[y]]-H$4)*(Tabela1[[#This Row],[y]]-H$4)</f>
        <v>49601</v>
      </c>
      <c r="D6845" s="1">
        <f>IF(Tabela1[[#This Row],[promien]]&lt;40000,1,0)</f>
        <v>0</v>
      </c>
      <c r="E6845" s="1">
        <f>IF(Tabela1[[#This Row],[promien]]=40000,1,0)</f>
        <v>0</v>
      </c>
      <c r="F6845" s="1">
        <v>3.1672753834915999</v>
      </c>
      <c r="G6845" s="1">
        <v>2.5682729901806756E-2</v>
      </c>
    </row>
    <row r="6846" spans="1:7">
      <c r="A6846">
        <v>131</v>
      </c>
      <c r="B6846">
        <v>6</v>
      </c>
      <c r="C6846" s="1">
        <f>(Tabela1[[#This Row],[x]]-H$3)*(Tabela1[[#This Row],[x]]-H$3) +(Tabela1[[#This Row],[y]]-H$4)*(Tabela1[[#This Row],[y]]-H$4)</f>
        <v>42397</v>
      </c>
      <c r="D6846" s="1">
        <f>IF(Tabela1[[#This Row],[promien]]&lt;40000,1,0)</f>
        <v>0</v>
      </c>
      <c r="E6846" s="1">
        <f>IF(Tabela1[[#This Row],[promien]]=40000,1,0)</f>
        <v>0</v>
      </c>
      <c r="F6846" s="1">
        <v>3.1668127373648844</v>
      </c>
      <c r="G6846" s="1">
        <v>2.5220083775091329E-2</v>
      </c>
    </row>
    <row r="6847" spans="1:7">
      <c r="A6847">
        <v>337</v>
      </c>
      <c r="B6847">
        <v>84</v>
      </c>
      <c r="C6847" s="1">
        <f>(Tabela1[[#This Row],[x]]-H$3)*(Tabela1[[#This Row],[x]]-H$3) +(Tabela1[[#This Row],[y]]-H$4)*(Tabela1[[#This Row],[y]]-H$4)</f>
        <v>32225</v>
      </c>
      <c r="D6847" s="1">
        <f>IF(Tabela1[[#This Row],[promien]]&lt;40000,1,0)</f>
        <v>1</v>
      </c>
      <c r="E6847" s="1">
        <f>IF(Tabela1[[#This Row],[promien]]=40000,1,0)</f>
        <v>0</v>
      </c>
      <c r="F6847" s="1">
        <v>3.1669344238352561</v>
      </c>
      <c r="G6847" s="1">
        <v>2.5341770245463024E-2</v>
      </c>
    </row>
    <row r="6848" spans="1:7">
      <c r="A6848">
        <v>11</v>
      </c>
      <c r="B6848">
        <v>314</v>
      </c>
      <c r="C6848" s="1">
        <f>(Tabela1[[#This Row],[x]]-H$3)*(Tabela1[[#This Row],[x]]-H$3) +(Tabela1[[#This Row],[y]]-H$4)*(Tabela1[[#This Row],[y]]-H$4)</f>
        <v>48717</v>
      </c>
      <c r="D6848" s="1">
        <f>IF(Tabela1[[#This Row],[promien]]&lt;40000,1,0)</f>
        <v>0</v>
      </c>
      <c r="E6848" s="1">
        <f>IF(Tabela1[[#This Row],[promien]]=40000,1,0)</f>
        <v>0</v>
      </c>
      <c r="F6848" s="1">
        <v>3.1664719626168223</v>
      </c>
      <c r="G6848" s="1">
        <v>2.4879309027029173E-2</v>
      </c>
    </row>
    <row r="6849" spans="1:7">
      <c r="A6849">
        <v>11</v>
      </c>
      <c r="B6849">
        <v>74</v>
      </c>
      <c r="C6849" s="1">
        <f>(Tabela1[[#This Row],[x]]-H$3)*(Tabela1[[#This Row],[x]]-H$3) +(Tabela1[[#This Row],[y]]-H$4)*(Tabela1[[#This Row],[y]]-H$4)</f>
        <v>51597</v>
      </c>
      <c r="D6849" s="1">
        <f>IF(Tabela1[[#This Row],[promien]]&lt;40000,1,0)</f>
        <v>0</v>
      </c>
      <c r="E6849" s="1">
        <f>IF(Tabela1[[#This Row],[promien]]=40000,1,0)</f>
        <v>0</v>
      </c>
      <c r="F6849" s="1">
        <v>3.1660096364432766</v>
      </c>
      <c r="G6849" s="1">
        <v>2.4416982853483482E-2</v>
      </c>
    </row>
    <row r="6850" spans="1:7">
      <c r="A6850">
        <v>63</v>
      </c>
      <c r="B6850">
        <v>95</v>
      </c>
      <c r="C6850" s="1">
        <f>(Tabela1[[#This Row],[x]]-H$3)*(Tabela1[[#This Row],[x]]-H$3) +(Tabela1[[#This Row],[y]]-H$4)*(Tabela1[[#This Row],[y]]-H$4)</f>
        <v>29794</v>
      </c>
      <c r="D6850" s="1">
        <f>IF(Tabela1[[#This Row],[promien]]&lt;40000,1,0)</f>
        <v>1</v>
      </c>
      <c r="E6850" s="1">
        <f>IF(Tabela1[[#This Row],[promien]]=40000,1,0)</f>
        <v>0</v>
      </c>
      <c r="F6850" s="1">
        <v>3.1661313868613137</v>
      </c>
      <c r="G6850" s="1">
        <v>2.4538733271520563E-2</v>
      </c>
    </row>
    <row r="6851" spans="1:7">
      <c r="A6851">
        <v>169</v>
      </c>
      <c r="B6851">
        <v>216</v>
      </c>
      <c r="C6851" s="1">
        <f>(Tabela1[[#This Row],[x]]-H$3)*(Tabela1[[#This Row],[x]]-H$3) +(Tabela1[[#This Row],[y]]-H$4)*(Tabela1[[#This Row],[y]]-H$4)</f>
        <v>1217</v>
      </c>
      <c r="D6851" s="1">
        <f>IF(Tabela1[[#This Row],[promien]]&lt;40000,1,0)</f>
        <v>1</v>
      </c>
      <c r="E6851" s="1">
        <f>IF(Tabela1[[#This Row],[promien]]=40000,1,0)</f>
        <v>0</v>
      </c>
      <c r="F6851" s="1">
        <v>3.1662531017369728</v>
      </c>
      <c r="G6851" s="1">
        <v>2.4660448147179714E-2</v>
      </c>
    </row>
    <row r="6852" spans="1:7">
      <c r="A6852">
        <v>148</v>
      </c>
      <c r="B6852">
        <v>389</v>
      </c>
      <c r="C6852" s="1">
        <f>(Tabela1[[#This Row],[x]]-H$3)*(Tabela1[[#This Row],[x]]-H$3) +(Tabela1[[#This Row],[y]]-H$4)*(Tabela1[[#This Row],[y]]-H$4)</f>
        <v>38425</v>
      </c>
      <c r="D6852" s="1">
        <f>IF(Tabela1[[#This Row],[promien]]&lt;40000,1,0)</f>
        <v>1</v>
      </c>
      <c r="E6852" s="1">
        <f>IF(Tabela1[[#This Row],[promien]]=40000,1,0)</f>
        <v>0</v>
      </c>
      <c r="F6852" s="1">
        <v>3.1663747810858145</v>
      </c>
      <c r="G6852" s="1">
        <v>2.4782127496021378E-2</v>
      </c>
    </row>
    <row r="6853" spans="1:7">
      <c r="A6853">
        <v>13</v>
      </c>
      <c r="B6853">
        <v>248</v>
      </c>
      <c r="C6853" s="1">
        <f>(Tabela1[[#This Row],[x]]-H$3)*(Tabela1[[#This Row],[x]]-H$3) +(Tabela1[[#This Row],[y]]-H$4)*(Tabela1[[#This Row],[y]]-H$4)</f>
        <v>37273</v>
      </c>
      <c r="D6853" s="1">
        <f>IF(Tabela1[[#This Row],[promien]]&lt;40000,1,0)</f>
        <v>1</v>
      </c>
      <c r="E6853" s="1">
        <f>IF(Tabela1[[#This Row],[promien]]=40000,1,0)</f>
        <v>0</v>
      </c>
      <c r="F6853" s="1">
        <v>3.1664964249233911</v>
      </c>
      <c r="G6853" s="1">
        <v>2.4903771333598002E-2</v>
      </c>
    </row>
    <row r="6854" spans="1:7">
      <c r="A6854">
        <v>24</v>
      </c>
      <c r="B6854">
        <v>217</v>
      </c>
      <c r="C6854" s="1">
        <f>(Tabela1[[#This Row],[x]]-H$3)*(Tabela1[[#This Row],[x]]-H$3) +(Tabela1[[#This Row],[y]]-H$4)*(Tabela1[[#This Row],[y]]-H$4)</f>
        <v>31265</v>
      </c>
      <c r="D6854" s="1">
        <f>IF(Tabela1[[#This Row],[promien]]&lt;40000,1,0)</f>
        <v>1</v>
      </c>
      <c r="E6854" s="1">
        <f>IF(Tabela1[[#This Row],[promien]]=40000,1,0)</f>
        <v>0</v>
      </c>
      <c r="F6854" s="1">
        <v>3.1666180332652467</v>
      </c>
      <c r="G6854" s="1">
        <v>2.5025379675453596E-2</v>
      </c>
    </row>
    <row r="6855" spans="1:7">
      <c r="A6855">
        <v>89</v>
      </c>
      <c r="B6855">
        <v>142</v>
      </c>
      <c r="C6855" s="1">
        <f>(Tabela1[[#This Row],[x]]-H$3)*(Tabela1[[#This Row],[x]]-H$3) +(Tabela1[[#This Row],[y]]-H$4)*(Tabela1[[#This Row],[y]]-H$4)</f>
        <v>15685</v>
      </c>
      <c r="D6855" s="1">
        <f>IF(Tabela1[[#This Row],[promien]]&lt;40000,1,0)</f>
        <v>1</v>
      </c>
      <c r="E6855" s="1">
        <f>IF(Tabela1[[#This Row],[promien]]=40000,1,0)</f>
        <v>0</v>
      </c>
      <c r="F6855" s="1">
        <v>3.1667396061269146</v>
      </c>
      <c r="G6855" s="1">
        <v>2.5146952537121514E-2</v>
      </c>
    </row>
    <row r="6856" spans="1:7">
      <c r="A6856">
        <v>192</v>
      </c>
      <c r="B6856">
        <v>374</v>
      </c>
      <c r="C6856" s="1">
        <f>(Tabela1[[#This Row],[x]]-H$3)*(Tabela1[[#This Row],[x]]-H$3) +(Tabela1[[#This Row],[y]]-H$4)*(Tabela1[[#This Row],[y]]-H$4)</f>
        <v>30340</v>
      </c>
      <c r="D6856" s="1">
        <f>IF(Tabela1[[#This Row],[promien]]&lt;40000,1,0)</f>
        <v>1</v>
      </c>
      <c r="E6856" s="1">
        <f>IF(Tabela1[[#This Row],[promien]]=40000,1,0)</f>
        <v>0</v>
      </c>
      <c r="F6856" s="1">
        <v>3.1668611435239207</v>
      </c>
      <c r="G6856" s="1">
        <v>2.5268489934127558E-2</v>
      </c>
    </row>
    <row r="6857" spans="1:7">
      <c r="A6857">
        <v>395</v>
      </c>
      <c r="B6857">
        <v>102</v>
      </c>
      <c r="C6857" s="1">
        <f>(Tabela1[[#This Row],[x]]-H$3)*(Tabela1[[#This Row],[x]]-H$3) +(Tabela1[[#This Row],[y]]-H$4)*(Tabela1[[#This Row],[y]]-H$4)</f>
        <v>47629</v>
      </c>
      <c r="D6857" s="1">
        <f>IF(Tabela1[[#This Row],[promien]]&lt;40000,1,0)</f>
        <v>0</v>
      </c>
      <c r="E6857" s="1">
        <f>IF(Tabela1[[#This Row],[promien]]=40000,1,0)</f>
        <v>0</v>
      </c>
      <c r="F6857" s="1">
        <v>3.1663992999854162</v>
      </c>
      <c r="G6857" s="1">
        <v>2.4806646395623133E-2</v>
      </c>
    </row>
    <row r="6858" spans="1:7">
      <c r="A6858">
        <v>244</v>
      </c>
      <c r="B6858">
        <v>257</v>
      </c>
      <c r="C6858" s="1">
        <f>(Tabela1[[#This Row],[x]]-H$3)*(Tabela1[[#This Row],[x]]-H$3) +(Tabela1[[#This Row],[y]]-H$4)*(Tabela1[[#This Row],[y]]-H$4)</f>
        <v>5185</v>
      </c>
      <c r="D6858" s="1">
        <f>IF(Tabela1[[#This Row],[promien]]&lt;40000,1,0)</f>
        <v>1</v>
      </c>
      <c r="E6858" s="1">
        <f>IF(Tabela1[[#This Row],[promien]]=40000,1,0)</f>
        <v>0</v>
      </c>
      <c r="F6858" s="1">
        <v>3.1665208515602217</v>
      </c>
      <c r="G6858" s="1">
        <v>2.4928197970428556E-2</v>
      </c>
    </row>
    <row r="6859" spans="1:7">
      <c r="A6859">
        <v>215</v>
      </c>
      <c r="B6859">
        <v>92</v>
      </c>
      <c r="C6859" s="1">
        <f>(Tabela1[[#This Row],[x]]-H$3)*(Tabela1[[#This Row],[x]]-H$3) +(Tabela1[[#This Row],[y]]-H$4)*(Tabela1[[#This Row],[y]]-H$4)</f>
        <v>11889</v>
      </c>
      <c r="D6859" s="1">
        <f>IF(Tabela1[[#This Row],[promien]]&lt;40000,1,0)</f>
        <v>1</v>
      </c>
      <c r="E6859" s="1">
        <f>IF(Tabela1[[#This Row],[promien]]=40000,1,0)</f>
        <v>0</v>
      </c>
      <c r="F6859" s="1">
        <v>3.1666423676920834</v>
      </c>
      <c r="G6859" s="1">
        <v>2.5049714102290288E-2</v>
      </c>
    </row>
    <row r="6860" spans="1:7">
      <c r="A6860">
        <v>45</v>
      </c>
      <c r="B6860">
        <v>62</v>
      </c>
      <c r="C6860" s="1">
        <f>(Tabela1[[#This Row],[x]]-H$3)*(Tabela1[[#This Row],[x]]-H$3) +(Tabela1[[#This Row],[y]]-H$4)*(Tabela1[[#This Row],[y]]-H$4)</f>
        <v>43069</v>
      </c>
      <c r="D6860" s="1">
        <f>IF(Tabela1[[#This Row],[promien]]&lt;40000,1,0)</f>
        <v>0</v>
      </c>
      <c r="E6860" s="1">
        <f>IF(Tabela1[[#This Row],[promien]]=40000,1,0)</f>
        <v>0</v>
      </c>
      <c r="F6860" s="1">
        <v>3.1661807580174925</v>
      </c>
      <c r="G6860" s="1">
        <v>2.4588104427699431E-2</v>
      </c>
    </row>
    <row r="6861" spans="1:7">
      <c r="A6861">
        <v>308</v>
      </c>
      <c r="B6861">
        <v>303</v>
      </c>
      <c r="C6861" s="1">
        <f>(Tabela1[[#This Row],[x]]-H$3)*(Tabela1[[#This Row],[x]]-H$3) +(Tabela1[[#This Row],[y]]-H$4)*(Tabela1[[#This Row],[y]]-H$4)</f>
        <v>22273</v>
      </c>
      <c r="D6861" s="1">
        <f>IF(Tabela1[[#This Row],[promien]]&lt;40000,1,0)</f>
        <v>1</v>
      </c>
      <c r="E6861" s="1">
        <f>IF(Tabela1[[#This Row],[promien]]=40000,1,0)</f>
        <v>0</v>
      </c>
      <c r="F6861" s="1">
        <v>3.1663022882961669</v>
      </c>
      <c r="G6861" s="1">
        <v>2.4709634706373773E-2</v>
      </c>
    </row>
    <row r="6862" spans="1:7">
      <c r="A6862">
        <v>100</v>
      </c>
      <c r="B6862">
        <v>20</v>
      </c>
      <c r="C6862" s="1">
        <f>(Tabela1[[#This Row],[x]]-H$3)*(Tabela1[[#This Row],[x]]-H$3) +(Tabela1[[#This Row],[y]]-H$4)*(Tabela1[[#This Row],[y]]-H$4)</f>
        <v>42400</v>
      </c>
      <c r="D6862" s="1">
        <f>IF(Tabela1[[#This Row],[promien]]&lt;40000,1,0)</f>
        <v>0</v>
      </c>
      <c r="E6862" s="1">
        <f>IF(Tabela1[[#This Row],[promien]]=40000,1,0)</f>
        <v>0</v>
      </c>
      <c r="F6862" s="1">
        <v>3.1658408627222383</v>
      </c>
      <c r="G6862" s="1">
        <v>2.4248209132445186E-2</v>
      </c>
    </row>
    <row r="6863" spans="1:7">
      <c r="A6863">
        <v>128</v>
      </c>
      <c r="B6863">
        <v>340</v>
      </c>
      <c r="C6863" s="1">
        <f>(Tabela1[[#This Row],[x]]-H$3)*(Tabela1[[#This Row],[x]]-H$3) +(Tabela1[[#This Row],[y]]-H$4)*(Tabela1[[#This Row],[y]]-H$4)</f>
        <v>24784</v>
      </c>
      <c r="D6863" s="1">
        <f>IF(Tabela1[[#This Row],[promien]]&lt;40000,1,0)</f>
        <v>1</v>
      </c>
      <c r="E6863" s="1">
        <f>IF(Tabela1[[#This Row],[promien]]=40000,1,0)</f>
        <v>0</v>
      </c>
      <c r="F6863" s="1">
        <v>3.1659624071105932</v>
      </c>
      <c r="G6863" s="1">
        <v>2.4369753520800064E-2</v>
      </c>
    </row>
    <row r="6864" spans="1:7">
      <c r="A6864">
        <v>137</v>
      </c>
      <c r="B6864">
        <v>17</v>
      </c>
      <c r="C6864" s="1">
        <f>(Tabela1[[#This Row],[x]]-H$3)*(Tabela1[[#This Row],[x]]-H$3) +(Tabela1[[#This Row],[y]]-H$4)*(Tabela1[[#This Row],[y]]-H$4)</f>
        <v>37458</v>
      </c>
      <c r="D6864" s="1">
        <f>IF(Tabela1[[#This Row],[promien]]&lt;40000,1,0)</f>
        <v>1</v>
      </c>
      <c r="E6864" s="1">
        <f>IF(Tabela1[[#This Row],[promien]]=40000,1,0)</f>
        <v>0</v>
      </c>
      <c r="F6864" s="1">
        <v>3.1660839160839163</v>
      </c>
      <c r="G6864" s="1">
        <v>2.4491262494123145E-2</v>
      </c>
    </row>
    <row r="6865" spans="1:7">
      <c r="A6865">
        <v>145</v>
      </c>
      <c r="B6865">
        <v>396</v>
      </c>
      <c r="C6865" s="1">
        <f>(Tabela1[[#This Row],[x]]-H$3)*(Tabela1[[#This Row],[x]]-H$3) +(Tabela1[[#This Row],[y]]-H$4)*(Tabela1[[#This Row],[y]]-H$4)</f>
        <v>41441</v>
      </c>
      <c r="D6865" s="1">
        <f>IF(Tabela1[[#This Row],[promien]]&lt;40000,1,0)</f>
        <v>0</v>
      </c>
      <c r="E6865" s="1">
        <f>IF(Tabela1[[#This Row],[promien]]=40000,1,0)</f>
        <v>0</v>
      </c>
      <c r="F6865" s="1">
        <v>3.1656227239621266</v>
      </c>
      <c r="G6865" s="1">
        <v>2.4030070372333512E-2</v>
      </c>
    </row>
    <row r="6866" spans="1:7">
      <c r="A6866">
        <v>389</v>
      </c>
      <c r="B6866">
        <v>332</v>
      </c>
      <c r="C6866" s="1">
        <f>(Tabela1[[#This Row],[x]]-H$3)*(Tabela1[[#This Row],[x]]-H$3) +(Tabela1[[#This Row],[y]]-H$4)*(Tabela1[[#This Row],[y]]-H$4)</f>
        <v>53145</v>
      </c>
      <c r="D6866" s="1">
        <f>IF(Tabela1[[#This Row],[promien]]&lt;40000,1,0)</f>
        <v>0</v>
      </c>
      <c r="E6866" s="1">
        <f>IF(Tabela1[[#This Row],[promien]]=40000,1,0)</f>
        <v>0</v>
      </c>
      <c r="F6866" s="1">
        <v>3.1651616661811826</v>
      </c>
      <c r="G6866" s="1">
        <v>2.3569012591389438E-2</v>
      </c>
    </row>
    <row r="6867" spans="1:7">
      <c r="A6867">
        <v>86</v>
      </c>
      <c r="B6867">
        <v>304</v>
      </c>
      <c r="C6867" s="1">
        <f>(Tabela1[[#This Row],[x]]-H$3)*(Tabela1[[#This Row],[x]]-H$3) +(Tabela1[[#This Row],[y]]-H$4)*(Tabela1[[#This Row],[y]]-H$4)</f>
        <v>23812</v>
      </c>
      <c r="D6867" s="1">
        <f>IF(Tabela1[[#This Row],[promien]]&lt;40000,1,0)</f>
        <v>1</v>
      </c>
      <c r="E6867" s="1">
        <f>IF(Tabela1[[#This Row],[promien]]=40000,1,0)</f>
        <v>0</v>
      </c>
      <c r="F6867" s="1">
        <v>3.1652832386777341</v>
      </c>
      <c r="G6867" s="1">
        <v>2.3690585087940974E-2</v>
      </c>
    </row>
    <row r="6868" spans="1:7">
      <c r="A6868">
        <v>27</v>
      </c>
      <c r="B6868">
        <v>172</v>
      </c>
      <c r="C6868" s="1">
        <f>(Tabela1[[#This Row],[x]]-H$3)*(Tabela1[[#This Row],[x]]-H$3) +(Tabela1[[#This Row],[y]]-H$4)*(Tabela1[[#This Row],[y]]-H$4)</f>
        <v>30713</v>
      </c>
      <c r="D6868" s="1">
        <f>IF(Tabela1[[#This Row],[promien]]&lt;40000,1,0)</f>
        <v>1</v>
      </c>
      <c r="E6868" s="1">
        <f>IF(Tabela1[[#This Row],[promien]]=40000,1,0)</f>
        <v>0</v>
      </c>
      <c r="F6868" s="1">
        <v>3.165404775771695</v>
      </c>
      <c r="G6868" s="1">
        <v>2.3812122181901874E-2</v>
      </c>
    </row>
    <row r="6869" spans="1:7">
      <c r="A6869">
        <v>204</v>
      </c>
      <c r="B6869">
        <v>227</v>
      </c>
      <c r="C6869" s="1">
        <f>(Tabela1[[#This Row],[x]]-H$3)*(Tabela1[[#This Row],[x]]-H$3) +(Tabela1[[#This Row],[y]]-H$4)*(Tabela1[[#This Row],[y]]-H$4)</f>
        <v>745</v>
      </c>
      <c r="D6869" s="1">
        <f>IF(Tabela1[[#This Row],[promien]]&lt;40000,1,0)</f>
        <v>1</v>
      </c>
      <c r="E6869" s="1">
        <f>IF(Tabela1[[#This Row],[promien]]=40000,1,0)</f>
        <v>0</v>
      </c>
      <c r="F6869" s="1">
        <v>3.1655262774785267</v>
      </c>
      <c r="G6869" s="1">
        <v>2.3933623888733546E-2</v>
      </c>
    </row>
    <row r="6870" spans="1:7">
      <c r="A6870">
        <v>13</v>
      </c>
      <c r="B6870">
        <v>198</v>
      </c>
      <c r="C6870" s="1">
        <f>(Tabela1[[#This Row],[x]]-H$3)*(Tabela1[[#This Row],[x]]-H$3) +(Tabela1[[#This Row],[y]]-H$4)*(Tabela1[[#This Row],[y]]-H$4)</f>
        <v>34973</v>
      </c>
      <c r="D6870" s="1">
        <f>IF(Tabela1[[#This Row],[promien]]&lt;40000,1,0)</f>
        <v>1</v>
      </c>
      <c r="E6870" s="1">
        <f>IF(Tabela1[[#This Row],[promien]]=40000,1,0)</f>
        <v>0</v>
      </c>
      <c r="F6870" s="1">
        <v>3.1656477438136825</v>
      </c>
      <c r="G6870" s="1">
        <v>2.4055090223889408E-2</v>
      </c>
    </row>
    <row r="6871" spans="1:7">
      <c r="A6871">
        <v>116</v>
      </c>
      <c r="B6871">
        <v>306</v>
      </c>
      <c r="C6871" s="1">
        <f>(Tabela1[[#This Row],[x]]-H$3)*(Tabela1[[#This Row],[x]]-H$3) +(Tabela1[[#This Row],[y]]-H$4)*(Tabela1[[#This Row],[y]]-H$4)</f>
        <v>18292</v>
      </c>
      <c r="D6871" s="1">
        <f>IF(Tabela1[[#This Row],[promien]]&lt;40000,1,0)</f>
        <v>1</v>
      </c>
      <c r="E6871" s="1">
        <f>IF(Tabela1[[#This Row],[promien]]=40000,1,0)</f>
        <v>0</v>
      </c>
      <c r="F6871" s="1">
        <v>3.1657691747926067</v>
      </c>
      <c r="G6871" s="1">
        <v>2.417652120281355E-2</v>
      </c>
    </row>
    <row r="6872" spans="1:7">
      <c r="A6872">
        <v>100</v>
      </c>
      <c r="B6872">
        <v>291</v>
      </c>
      <c r="C6872" s="1">
        <f>(Tabela1[[#This Row],[x]]-H$3)*(Tabela1[[#This Row],[x]]-H$3) +(Tabela1[[#This Row],[y]]-H$4)*(Tabela1[[#This Row],[y]]-H$4)</f>
        <v>18281</v>
      </c>
      <c r="D6872" s="1">
        <f>IF(Tabela1[[#This Row],[promien]]&lt;40000,1,0)</f>
        <v>1</v>
      </c>
      <c r="E6872" s="1">
        <f>IF(Tabela1[[#This Row],[promien]]=40000,1,0)</f>
        <v>0</v>
      </c>
      <c r="F6872" s="1">
        <v>3.1658905704307334</v>
      </c>
      <c r="G6872" s="1">
        <v>2.4297916840940292E-2</v>
      </c>
    </row>
    <row r="6873" spans="1:7">
      <c r="A6873">
        <v>258</v>
      </c>
      <c r="B6873">
        <v>114</v>
      </c>
      <c r="C6873" s="1">
        <f>(Tabela1[[#This Row],[x]]-H$3)*(Tabela1[[#This Row],[x]]-H$3) +(Tabela1[[#This Row],[y]]-H$4)*(Tabela1[[#This Row],[y]]-H$4)</f>
        <v>10760</v>
      </c>
      <c r="D6873" s="1">
        <f>IF(Tabela1[[#This Row],[promien]]&lt;40000,1,0)</f>
        <v>1</v>
      </c>
      <c r="E6873" s="1">
        <f>IF(Tabela1[[#This Row],[promien]]=40000,1,0)</f>
        <v>0</v>
      </c>
      <c r="F6873" s="1">
        <v>3.1660119307434891</v>
      </c>
      <c r="G6873" s="1">
        <v>2.4419277153695962E-2</v>
      </c>
    </row>
    <row r="6874" spans="1:7">
      <c r="A6874">
        <v>256</v>
      </c>
      <c r="B6874">
        <v>17</v>
      </c>
      <c r="C6874" s="1">
        <f>(Tabela1[[#This Row],[x]]-H$3)*(Tabela1[[#This Row],[x]]-H$3) +(Tabela1[[#This Row],[y]]-H$4)*(Tabela1[[#This Row],[y]]-H$4)</f>
        <v>36625</v>
      </c>
      <c r="D6874" s="1">
        <f>IF(Tabela1[[#This Row],[promien]]&lt;40000,1,0)</f>
        <v>1</v>
      </c>
      <c r="E6874" s="1">
        <f>IF(Tabela1[[#This Row],[promien]]=40000,1,0)</f>
        <v>0</v>
      </c>
      <c r="F6874" s="1">
        <v>3.1661332557462902</v>
      </c>
      <c r="G6874" s="1">
        <v>2.4540602156497116E-2</v>
      </c>
    </row>
    <row r="6875" spans="1:7">
      <c r="A6875">
        <v>26</v>
      </c>
      <c r="B6875">
        <v>351</v>
      </c>
      <c r="C6875" s="1">
        <f>(Tabela1[[#This Row],[x]]-H$3)*(Tabela1[[#This Row],[x]]-H$3) +(Tabela1[[#This Row],[y]]-H$4)*(Tabela1[[#This Row],[y]]-H$4)</f>
        <v>53077</v>
      </c>
      <c r="D6875" s="1">
        <f>IF(Tabela1[[#This Row],[promien]]&lt;40000,1,0)</f>
        <v>0</v>
      </c>
      <c r="E6875" s="1">
        <f>IF(Tabela1[[#This Row],[promien]]=40000,1,0)</f>
        <v>0</v>
      </c>
      <c r="F6875" s="1">
        <v>3.1656727272727272</v>
      </c>
      <c r="G6875" s="1">
        <v>2.4080073682934078E-2</v>
      </c>
    </row>
    <row r="6876" spans="1:7">
      <c r="A6876">
        <v>5</v>
      </c>
      <c r="B6876">
        <v>267</v>
      </c>
      <c r="C6876" s="1">
        <f>(Tabela1[[#This Row],[x]]-H$3)*(Tabela1[[#This Row],[x]]-H$3) +(Tabela1[[#This Row],[y]]-H$4)*(Tabela1[[#This Row],[y]]-H$4)</f>
        <v>42514</v>
      </c>
      <c r="D6876" s="1">
        <f>IF(Tabela1[[#This Row],[promien]]&lt;40000,1,0)</f>
        <v>0</v>
      </c>
      <c r="E6876" s="1">
        <f>IF(Tabela1[[#This Row],[promien]]=40000,1,0)</f>
        <v>0</v>
      </c>
      <c r="F6876" s="1">
        <v>3.1652123327516</v>
      </c>
      <c r="G6876" s="1">
        <v>2.361967916180685E-2</v>
      </c>
    </row>
    <row r="6877" spans="1:7">
      <c r="A6877">
        <v>250</v>
      </c>
      <c r="B6877">
        <v>19</v>
      </c>
      <c r="C6877" s="1">
        <f>(Tabela1[[#This Row],[x]]-H$3)*(Tabela1[[#This Row],[x]]-H$3) +(Tabela1[[#This Row],[y]]-H$4)*(Tabela1[[#This Row],[y]]-H$4)</f>
        <v>35261</v>
      </c>
      <c r="D6877" s="1">
        <f>IF(Tabela1[[#This Row],[promien]]&lt;40000,1,0)</f>
        <v>1</v>
      </c>
      <c r="E6877" s="1">
        <f>IF(Tabela1[[#This Row],[promien]]=40000,1,0)</f>
        <v>0</v>
      </c>
      <c r="F6877" s="1">
        <v>3.1653337210993167</v>
      </c>
      <c r="G6877" s="1">
        <v>2.3741067509523539E-2</v>
      </c>
    </row>
    <row r="6878" spans="1:7">
      <c r="A6878">
        <v>62</v>
      </c>
      <c r="B6878">
        <v>16</v>
      </c>
      <c r="C6878" s="1">
        <f>(Tabela1[[#This Row],[x]]-H$3)*(Tabela1[[#This Row],[x]]-H$3) +(Tabela1[[#This Row],[y]]-H$4)*(Tabela1[[#This Row],[y]]-H$4)</f>
        <v>52900</v>
      </c>
      <c r="D6878" s="1">
        <f>IF(Tabela1[[#This Row],[promien]]&lt;40000,1,0)</f>
        <v>0</v>
      </c>
      <c r="E6878" s="1">
        <f>IF(Tabela1[[#This Row],[promien]]=40000,1,0)</f>
        <v>0</v>
      </c>
      <c r="F6878" s="1">
        <v>3.164873509741204</v>
      </c>
      <c r="G6878" s="1">
        <v>2.3280856151410845E-2</v>
      </c>
    </row>
    <row r="6879" spans="1:7">
      <c r="A6879">
        <v>125</v>
      </c>
      <c r="B6879">
        <v>170</v>
      </c>
      <c r="C6879" s="1">
        <f>(Tabela1[[#This Row],[x]]-H$3)*(Tabela1[[#This Row],[x]]-H$3) +(Tabela1[[#This Row],[y]]-H$4)*(Tabela1[[#This Row],[y]]-H$4)</f>
        <v>6525</v>
      </c>
      <c r="D6879" s="1">
        <f>IF(Tabela1[[#This Row],[promien]]&lt;40000,1,0)</f>
        <v>1</v>
      </c>
      <c r="E6879" s="1">
        <f>IF(Tabela1[[#This Row],[promien]]=40000,1,0)</f>
        <v>0</v>
      </c>
      <c r="F6879" s="1">
        <v>3.1649949120511702</v>
      </c>
      <c r="G6879" s="1">
        <v>2.3402258461377112E-2</v>
      </c>
    </row>
    <row r="6880" spans="1:7">
      <c r="A6880">
        <v>197</v>
      </c>
      <c r="B6880">
        <v>328</v>
      </c>
      <c r="C6880" s="1">
        <f>(Tabela1[[#This Row],[x]]-H$3)*(Tabela1[[#This Row],[x]]-H$3) +(Tabela1[[#This Row],[y]]-H$4)*(Tabela1[[#This Row],[y]]-H$4)</f>
        <v>16393</v>
      </c>
      <c r="D6880" s="1">
        <f>IF(Tabela1[[#This Row],[promien]]&lt;40000,1,0)</f>
        <v>1</v>
      </c>
      <c r="E6880" s="1">
        <f>IF(Tabela1[[#This Row],[promien]]=40000,1,0)</f>
        <v>0</v>
      </c>
      <c r="F6880" s="1">
        <v>3.1651162790697676</v>
      </c>
      <c r="G6880" s="1">
        <v>2.3523625479974442E-2</v>
      </c>
    </row>
    <row r="6881" spans="1:7">
      <c r="A6881">
        <v>29</v>
      </c>
      <c r="B6881">
        <v>12</v>
      </c>
      <c r="C6881" s="1">
        <f>(Tabela1[[#This Row],[x]]-H$3)*(Tabela1[[#This Row],[x]]-H$3) +(Tabela1[[#This Row],[y]]-H$4)*(Tabela1[[#This Row],[y]]-H$4)</f>
        <v>64585</v>
      </c>
      <c r="D6881" s="1">
        <f>IF(Tabela1[[#This Row],[promien]]&lt;40000,1,0)</f>
        <v>0</v>
      </c>
      <c r="E6881" s="1">
        <f>IF(Tabela1[[#This Row],[promien]]=40000,1,0)</f>
        <v>0</v>
      </c>
      <c r="F6881" s="1">
        <v>3.1646562999564019</v>
      </c>
      <c r="G6881" s="1">
        <v>2.3063646366608737E-2</v>
      </c>
    </row>
    <row r="6882" spans="1:7">
      <c r="A6882">
        <v>355</v>
      </c>
      <c r="B6882">
        <v>286</v>
      </c>
      <c r="C6882" s="1">
        <f>(Tabela1[[#This Row],[x]]-H$3)*(Tabela1[[#This Row],[x]]-H$3) +(Tabela1[[#This Row],[y]]-H$4)*(Tabela1[[#This Row],[y]]-H$4)</f>
        <v>31421</v>
      </c>
      <c r="D6882" s="1">
        <f>IF(Tabela1[[#This Row],[promien]]&lt;40000,1,0)</f>
        <v>1</v>
      </c>
      <c r="E6882" s="1">
        <f>IF(Tabela1[[#This Row],[promien]]=40000,1,0)</f>
        <v>0</v>
      </c>
      <c r="F6882" s="1">
        <v>3.1647776809067132</v>
      </c>
      <c r="G6882" s="1">
        <v>2.318502731692007E-2</v>
      </c>
    </row>
    <row r="6883" spans="1:7">
      <c r="A6883">
        <v>0</v>
      </c>
      <c r="B6883">
        <v>2</v>
      </c>
      <c r="C6883" s="1">
        <f>(Tabela1[[#This Row],[x]]-H$3)*(Tabela1[[#This Row],[x]]-H$3) +(Tabela1[[#This Row],[y]]-H$4)*(Tabela1[[#This Row],[y]]-H$4)</f>
        <v>79204</v>
      </c>
      <c r="D6883" s="1">
        <f>IF(Tabela1[[#This Row],[promien]]&lt;40000,1,0)</f>
        <v>0</v>
      </c>
      <c r="E6883" s="1">
        <f>IF(Tabela1[[#This Row],[promien]]=40000,1,0)</f>
        <v>0</v>
      </c>
      <c r="F6883" s="1">
        <v>3.164317884643324</v>
      </c>
      <c r="G6883" s="1">
        <v>2.2725231053530859E-2</v>
      </c>
    </row>
    <row r="6884" spans="1:7">
      <c r="A6884">
        <v>230</v>
      </c>
      <c r="B6884">
        <v>309</v>
      </c>
      <c r="C6884" s="1">
        <f>(Tabela1[[#This Row],[x]]-H$3)*(Tabela1[[#This Row],[x]]-H$3) +(Tabela1[[#This Row],[y]]-H$4)*(Tabela1[[#This Row],[y]]-H$4)</f>
        <v>12781</v>
      </c>
      <c r="D6884" s="1">
        <f>IF(Tabela1[[#This Row],[promien]]&lt;40000,1,0)</f>
        <v>1</v>
      </c>
      <c r="E6884" s="1">
        <f>IF(Tabela1[[#This Row],[promien]]=40000,1,0)</f>
        <v>0</v>
      </c>
      <c r="F6884" s="1">
        <v>3.1644392794886693</v>
      </c>
      <c r="G6884" s="1">
        <v>2.2846625898876205E-2</v>
      </c>
    </row>
    <row r="6885" spans="1:7">
      <c r="A6885">
        <v>323</v>
      </c>
      <c r="B6885">
        <v>290</v>
      </c>
      <c r="C6885" s="1">
        <f>(Tabela1[[#This Row],[x]]-H$3)*(Tabela1[[#This Row],[x]]-H$3) +(Tabela1[[#This Row],[y]]-H$4)*(Tabela1[[#This Row],[y]]-H$4)</f>
        <v>23229</v>
      </c>
      <c r="D6885" s="1">
        <f>IF(Tabela1[[#This Row],[promien]]&lt;40000,1,0)</f>
        <v>1</v>
      </c>
      <c r="E6885" s="1">
        <f>IF(Tabela1[[#This Row],[promien]]=40000,1,0)</f>
        <v>0</v>
      </c>
      <c r="F6885" s="1">
        <v>3.164560639070443</v>
      </c>
      <c r="G6885" s="1">
        <v>2.2967985480649933E-2</v>
      </c>
    </row>
    <row r="6886" spans="1:7">
      <c r="A6886">
        <v>171</v>
      </c>
      <c r="B6886">
        <v>225</v>
      </c>
      <c r="C6886" s="1">
        <f>(Tabela1[[#This Row],[x]]-H$3)*(Tabela1[[#This Row],[x]]-H$3) +(Tabela1[[#This Row],[y]]-H$4)*(Tabela1[[#This Row],[y]]-H$4)</f>
        <v>1466</v>
      </c>
      <c r="D6886" s="1">
        <f>IF(Tabela1[[#This Row],[promien]]&lt;40000,1,0)</f>
        <v>1</v>
      </c>
      <c r="E6886" s="1">
        <f>IF(Tabela1[[#This Row],[promien]]=40000,1,0)</f>
        <v>0</v>
      </c>
      <c r="F6886" s="1">
        <v>3.164681963404008</v>
      </c>
      <c r="G6886" s="1">
        <v>2.3089309814214865E-2</v>
      </c>
    </row>
    <row r="6887" spans="1:7">
      <c r="A6887">
        <v>232</v>
      </c>
      <c r="B6887">
        <v>265</v>
      </c>
      <c r="C6887" s="1">
        <f>(Tabela1[[#This Row],[x]]-H$3)*(Tabela1[[#This Row],[x]]-H$3) +(Tabela1[[#This Row],[y]]-H$4)*(Tabela1[[#This Row],[y]]-H$4)</f>
        <v>5249</v>
      </c>
      <c r="D6887" s="1">
        <f>IF(Tabela1[[#This Row],[promien]]&lt;40000,1,0)</f>
        <v>1</v>
      </c>
      <c r="E6887" s="1">
        <f>IF(Tabela1[[#This Row],[promien]]=40000,1,0)</f>
        <v>0</v>
      </c>
      <c r="F6887" s="1">
        <v>3.1648032525047189</v>
      </c>
      <c r="G6887" s="1">
        <v>2.3210598914925828E-2</v>
      </c>
    </row>
    <row r="6888" spans="1:7">
      <c r="A6888">
        <v>106</v>
      </c>
      <c r="B6888">
        <v>179</v>
      </c>
      <c r="C6888" s="1">
        <f>(Tabela1[[#This Row],[x]]-H$3)*(Tabela1[[#This Row],[x]]-H$3) +(Tabela1[[#This Row],[y]]-H$4)*(Tabela1[[#This Row],[y]]-H$4)</f>
        <v>9277</v>
      </c>
      <c r="D6888" s="1">
        <f>IF(Tabela1[[#This Row],[promien]]&lt;40000,1,0)</f>
        <v>1</v>
      </c>
      <c r="E6888" s="1">
        <f>IF(Tabela1[[#This Row],[promien]]=40000,1,0)</f>
        <v>0</v>
      </c>
      <c r="F6888" s="1">
        <v>3.164924506387921</v>
      </c>
      <c r="G6888" s="1">
        <v>2.3331852798127883E-2</v>
      </c>
    </row>
    <row r="6889" spans="1:7">
      <c r="A6889">
        <v>374</v>
      </c>
      <c r="B6889">
        <v>171</v>
      </c>
      <c r="C6889" s="1">
        <f>(Tabela1[[#This Row],[x]]-H$3)*(Tabela1[[#This Row],[x]]-H$3) +(Tabela1[[#This Row],[y]]-H$4)*(Tabela1[[#This Row],[y]]-H$4)</f>
        <v>31117</v>
      </c>
      <c r="D6889" s="1">
        <f>IF(Tabela1[[#This Row],[promien]]&lt;40000,1,0)</f>
        <v>1</v>
      </c>
      <c r="E6889" s="1">
        <f>IF(Tabela1[[#This Row],[promien]]=40000,1,0)</f>
        <v>0</v>
      </c>
      <c r="F6889" s="1">
        <v>3.1650457250689503</v>
      </c>
      <c r="G6889" s="1">
        <v>2.3453071479157206E-2</v>
      </c>
    </row>
    <row r="6890" spans="1:7">
      <c r="A6890">
        <v>244</v>
      </c>
      <c r="B6890">
        <v>243</v>
      </c>
      <c r="C6890" s="1">
        <f>(Tabela1[[#This Row],[x]]-H$3)*(Tabela1[[#This Row],[x]]-H$3) +(Tabela1[[#This Row],[y]]-H$4)*(Tabela1[[#This Row],[y]]-H$4)</f>
        <v>3785</v>
      </c>
      <c r="D6890" s="1">
        <f>IF(Tabela1[[#This Row],[promien]]&lt;40000,1,0)</f>
        <v>1</v>
      </c>
      <c r="E6890" s="1">
        <f>IF(Tabela1[[#This Row],[promien]]=40000,1,0)</f>
        <v>0</v>
      </c>
      <c r="F6890" s="1">
        <v>3.1651669085631351</v>
      </c>
      <c r="G6890" s="1">
        <v>2.3574254973341979E-2</v>
      </c>
    </row>
    <row r="6891" spans="1:7">
      <c r="A6891">
        <v>237</v>
      </c>
      <c r="B6891">
        <v>324</v>
      </c>
      <c r="C6891" s="1">
        <f>(Tabela1[[#This Row],[x]]-H$3)*(Tabela1[[#This Row],[x]]-H$3) +(Tabela1[[#This Row],[y]]-H$4)*(Tabela1[[#This Row],[y]]-H$4)</f>
        <v>16745</v>
      </c>
      <c r="D6891" s="1">
        <f>IF(Tabela1[[#This Row],[promien]]&lt;40000,1,0)</f>
        <v>1</v>
      </c>
      <c r="E6891" s="1">
        <f>IF(Tabela1[[#This Row],[promien]]=40000,1,0)</f>
        <v>0</v>
      </c>
      <c r="F6891" s="1">
        <v>3.1652880568857928</v>
      </c>
      <c r="G6891" s="1">
        <v>2.3695403295999728E-2</v>
      </c>
    </row>
    <row r="6892" spans="1:7">
      <c r="A6892">
        <v>60</v>
      </c>
      <c r="B6892">
        <v>334</v>
      </c>
      <c r="C6892" s="1">
        <f>(Tabela1[[#This Row],[x]]-H$3)*(Tabela1[[#This Row],[x]]-H$3) +(Tabela1[[#This Row],[y]]-H$4)*(Tabela1[[#This Row],[y]]-H$4)</f>
        <v>37556</v>
      </c>
      <c r="D6892" s="1">
        <f>IF(Tabela1[[#This Row],[promien]]&lt;40000,1,0)</f>
        <v>1</v>
      </c>
      <c r="E6892" s="1">
        <f>IF(Tabela1[[#This Row],[promien]]=40000,1,0)</f>
        <v>0</v>
      </c>
      <c r="F6892" s="1">
        <v>3.1654091700522344</v>
      </c>
      <c r="G6892" s="1">
        <v>2.3816516462441317E-2</v>
      </c>
    </row>
    <row r="6893" spans="1:7">
      <c r="A6893">
        <v>107</v>
      </c>
      <c r="B6893">
        <v>261</v>
      </c>
      <c r="C6893" s="1">
        <f>(Tabela1[[#This Row],[x]]-H$3)*(Tabela1[[#This Row],[x]]-H$3) +(Tabela1[[#This Row],[y]]-H$4)*(Tabela1[[#This Row],[y]]-H$4)</f>
        <v>12370</v>
      </c>
      <c r="D6893" s="1">
        <f>IF(Tabela1[[#This Row],[promien]]&lt;40000,1,0)</f>
        <v>1</v>
      </c>
      <c r="E6893" s="1">
        <f>IF(Tabela1[[#This Row],[promien]]=40000,1,0)</f>
        <v>0</v>
      </c>
      <c r="F6893" s="1">
        <v>3.1655302480777601</v>
      </c>
      <c r="G6893" s="1">
        <v>2.3937594487966951E-2</v>
      </c>
    </row>
    <row r="6894" spans="1:7">
      <c r="A6894">
        <v>99</v>
      </c>
      <c r="B6894">
        <v>160</v>
      </c>
      <c r="C6894" s="1">
        <f>(Tabela1[[#This Row],[x]]-H$3)*(Tabela1[[#This Row],[x]]-H$3) +(Tabela1[[#This Row],[y]]-H$4)*(Tabela1[[#This Row],[y]]-H$4)</f>
        <v>11801</v>
      </c>
      <c r="D6894" s="1">
        <f>IF(Tabela1[[#This Row],[promien]]&lt;40000,1,0)</f>
        <v>1</v>
      </c>
      <c r="E6894" s="1">
        <f>IF(Tabela1[[#This Row],[promien]]=40000,1,0)</f>
        <v>0</v>
      </c>
      <c r="F6894" s="1">
        <v>3.1656512909776615</v>
      </c>
      <c r="G6894" s="1">
        <v>2.4058637387868398E-2</v>
      </c>
    </row>
    <row r="6895" spans="1:7">
      <c r="A6895">
        <v>248</v>
      </c>
      <c r="B6895">
        <v>208</v>
      </c>
      <c r="C6895" s="1">
        <f>(Tabela1[[#This Row],[x]]-H$3)*(Tabela1[[#This Row],[x]]-H$3) +(Tabela1[[#This Row],[y]]-H$4)*(Tabela1[[#This Row],[y]]-H$4)</f>
        <v>2368</v>
      </c>
      <c r="D6895" s="1">
        <f>IF(Tabela1[[#This Row],[promien]]&lt;40000,1,0)</f>
        <v>1</v>
      </c>
      <c r="E6895" s="1">
        <f>IF(Tabela1[[#This Row],[promien]]=40000,1,0)</f>
        <v>0</v>
      </c>
      <c r="F6895" s="1">
        <v>3.1657722987672225</v>
      </c>
      <c r="G6895" s="1">
        <v>2.4179645177429432E-2</v>
      </c>
    </row>
    <row r="6896" spans="1:7">
      <c r="A6896">
        <v>328</v>
      </c>
      <c r="B6896">
        <v>151</v>
      </c>
      <c r="C6896" s="1">
        <f>(Tabela1[[#This Row],[x]]-H$3)*(Tabela1[[#This Row],[x]]-H$3) +(Tabela1[[#This Row],[y]]-H$4)*(Tabela1[[#This Row],[y]]-H$4)</f>
        <v>18785</v>
      </c>
      <c r="D6896" s="1">
        <f>IF(Tabela1[[#This Row],[promien]]&lt;40000,1,0)</f>
        <v>1</v>
      </c>
      <c r="E6896" s="1">
        <f>IF(Tabela1[[#This Row],[promien]]=40000,1,0)</f>
        <v>0</v>
      </c>
      <c r="F6896" s="1">
        <v>3.1658932714617167</v>
      </c>
      <c r="G6896" s="1">
        <v>2.4300617871923613E-2</v>
      </c>
    </row>
    <row r="6897" spans="1:7">
      <c r="A6897">
        <v>98</v>
      </c>
      <c r="B6897">
        <v>137</v>
      </c>
      <c r="C6897" s="1">
        <f>(Tabela1[[#This Row],[x]]-H$3)*(Tabela1[[#This Row],[x]]-H$3) +(Tabela1[[#This Row],[y]]-H$4)*(Tabela1[[#This Row],[y]]-H$4)</f>
        <v>14373</v>
      </c>
      <c r="D6897" s="1">
        <f>IF(Tabela1[[#This Row],[promien]]&lt;40000,1,0)</f>
        <v>1</v>
      </c>
      <c r="E6897" s="1">
        <f>IF(Tabela1[[#This Row],[promien]]=40000,1,0)</f>
        <v>0</v>
      </c>
      <c r="F6897" s="1">
        <v>3.1660142090764101</v>
      </c>
      <c r="G6897" s="1">
        <v>2.4421555486616953E-2</v>
      </c>
    </row>
    <row r="6898" spans="1:7">
      <c r="A6898">
        <v>212</v>
      </c>
      <c r="B6898">
        <v>219</v>
      </c>
      <c r="C6898" s="1">
        <f>(Tabela1[[#This Row],[x]]-H$3)*(Tabela1[[#This Row],[x]]-H$3) +(Tabela1[[#This Row],[y]]-H$4)*(Tabela1[[#This Row],[y]]-H$4)</f>
        <v>505</v>
      </c>
      <c r="D6898" s="1">
        <f>IF(Tabela1[[#This Row],[promien]]&lt;40000,1,0)</f>
        <v>1</v>
      </c>
      <c r="E6898" s="1">
        <f>IF(Tabela1[[#This Row],[promien]]=40000,1,0)</f>
        <v>0</v>
      </c>
      <c r="F6898" s="1">
        <v>3.1661351116265584</v>
      </c>
      <c r="G6898" s="1">
        <v>2.4542458036765247E-2</v>
      </c>
    </row>
    <row r="6899" spans="1:7">
      <c r="A6899">
        <v>327</v>
      </c>
      <c r="B6899">
        <v>324</v>
      </c>
      <c r="C6899" s="1">
        <f>(Tabela1[[#This Row],[x]]-H$3)*(Tabela1[[#This Row],[x]]-H$3) +(Tabela1[[#This Row],[y]]-H$4)*(Tabela1[[#This Row],[y]]-H$4)</f>
        <v>31505</v>
      </c>
      <c r="D6899" s="1">
        <f>IF(Tabela1[[#This Row],[promien]]&lt;40000,1,0)</f>
        <v>1</v>
      </c>
      <c r="E6899" s="1">
        <f>IF(Tabela1[[#This Row],[promien]]=40000,1,0)</f>
        <v>0</v>
      </c>
      <c r="F6899" s="1">
        <v>3.1662559791274099</v>
      </c>
      <c r="G6899" s="1">
        <v>2.4663325537616743E-2</v>
      </c>
    </row>
    <row r="6900" spans="1:7">
      <c r="A6900">
        <v>369</v>
      </c>
      <c r="B6900">
        <v>139</v>
      </c>
      <c r="C6900" s="1">
        <f>(Tabela1[[#This Row],[x]]-H$3)*(Tabela1[[#This Row],[x]]-H$3) +(Tabela1[[#This Row],[y]]-H$4)*(Tabela1[[#This Row],[y]]-H$4)</f>
        <v>32282</v>
      </c>
      <c r="D6900" s="1">
        <f>IF(Tabela1[[#This Row],[promien]]&lt;40000,1,0)</f>
        <v>1</v>
      </c>
      <c r="E6900" s="1">
        <f>IF(Tabela1[[#This Row],[promien]]=40000,1,0)</f>
        <v>0</v>
      </c>
      <c r="F6900" s="1">
        <v>3.166376811594203</v>
      </c>
      <c r="G6900" s="1">
        <v>2.4784158004409917E-2</v>
      </c>
    </row>
    <row r="6901" spans="1:7">
      <c r="A6901">
        <v>39</v>
      </c>
      <c r="B6901">
        <v>236</v>
      </c>
      <c r="C6901" s="1">
        <f>(Tabela1[[#This Row],[x]]-H$3)*(Tabela1[[#This Row],[x]]-H$3) +(Tabela1[[#This Row],[y]]-H$4)*(Tabela1[[#This Row],[y]]-H$4)</f>
        <v>27217</v>
      </c>
      <c r="D6901" s="1">
        <f>IF(Tabela1[[#This Row],[promien]]&lt;40000,1,0)</f>
        <v>1</v>
      </c>
      <c r="E6901" s="1">
        <f>IF(Tabela1[[#This Row],[promien]]=40000,1,0)</f>
        <v>0</v>
      </c>
      <c r="F6901" s="1">
        <v>3.1664976090421679</v>
      </c>
      <c r="G6901" s="1">
        <v>2.4904955452374811E-2</v>
      </c>
    </row>
    <row r="6902" spans="1:7">
      <c r="A6902">
        <v>77</v>
      </c>
      <c r="B6902">
        <v>70</v>
      </c>
      <c r="C6902" s="1">
        <f>(Tabela1[[#This Row],[x]]-H$3)*(Tabela1[[#This Row],[x]]-H$3) +(Tabela1[[#This Row],[y]]-H$4)*(Tabela1[[#This Row],[y]]-H$4)</f>
        <v>32029</v>
      </c>
      <c r="D6902" s="1">
        <f>IF(Tabela1[[#This Row],[promien]]&lt;40000,1,0)</f>
        <v>1</v>
      </c>
      <c r="E6902" s="1">
        <f>IF(Tabela1[[#This Row],[promien]]=40000,1,0)</f>
        <v>0</v>
      </c>
      <c r="F6902" s="1">
        <v>3.1666183714865257</v>
      </c>
      <c r="G6902" s="1">
        <v>2.502571789673258E-2</v>
      </c>
    </row>
    <row r="6903" spans="1:7">
      <c r="A6903">
        <v>101</v>
      </c>
      <c r="B6903">
        <v>142</v>
      </c>
      <c r="C6903" s="1">
        <f>(Tabela1[[#This Row],[x]]-H$3)*(Tabela1[[#This Row],[x]]-H$3) +(Tabela1[[#This Row],[y]]-H$4)*(Tabela1[[#This Row],[y]]-H$4)</f>
        <v>13165</v>
      </c>
      <c r="D6903" s="1">
        <f>IF(Tabela1[[#This Row],[promien]]&lt;40000,1,0)</f>
        <v>1</v>
      </c>
      <c r="E6903" s="1">
        <f>IF(Tabela1[[#This Row],[promien]]=40000,1,0)</f>
        <v>0</v>
      </c>
      <c r="F6903" s="1">
        <v>3.1667390989424886</v>
      </c>
      <c r="G6903" s="1">
        <v>2.5146445352695501E-2</v>
      </c>
    </row>
    <row r="6904" spans="1:7">
      <c r="A6904">
        <v>261</v>
      </c>
      <c r="B6904">
        <v>313</v>
      </c>
      <c r="C6904" s="1">
        <f>(Tabela1[[#This Row],[x]]-H$3)*(Tabela1[[#This Row],[x]]-H$3) +(Tabela1[[#This Row],[y]]-H$4)*(Tabela1[[#This Row],[y]]-H$4)</f>
        <v>16490</v>
      </c>
      <c r="D6904" s="1">
        <f>IF(Tabela1[[#This Row],[promien]]&lt;40000,1,0)</f>
        <v>1</v>
      </c>
      <c r="E6904" s="1">
        <f>IF(Tabela1[[#This Row],[promien]]=40000,1,0)</f>
        <v>0</v>
      </c>
      <c r="F6904" s="1">
        <v>3.1668597914252605</v>
      </c>
      <c r="G6904" s="1">
        <v>2.5267137835467413E-2</v>
      </c>
    </row>
    <row r="6905" spans="1:7">
      <c r="A6905">
        <v>59</v>
      </c>
      <c r="B6905">
        <v>48</v>
      </c>
      <c r="C6905" s="1">
        <f>(Tabela1[[#This Row],[x]]-H$3)*(Tabela1[[#This Row],[x]]-H$3) +(Tabela1[[#This Row],[y]]-H$4)*(Tabela1[[#This Row],[y]]-H$4)</f>
        <v>42985</v>
      </c>
      <c r="D6905" s="1">
        <f>IF(Tabela1[[#This Row],[promien]]&lt;40000,1,0)</f>
        <v>0</v>
      </c>
      <c r="E6905" s="1">
        <f>IF(Tabela1[[#This Row],[promien]]=40000,1,0)</f>
        <v>0</v>
      </c>
      <c r="F6905" s="1">
        <v>3.1664011585807388</v>
      </c>
      <c r="G6905" s="1">
        <v>2.4808504990945668E-2</v>
      </c>
    </row>
    <row r="6906" spans="1:7">
      <c r="A6906">
        <v>216</v>
      </c>
      <c r="B6906">
        <v>238</v>
      </c>
      <c r="C6906" s="1">
        <f>(Tabela1[[#This Row],[x]]-H$3)*(Tabela1[[#This Row],[x]]-H$3) +(Tabela1[[#This Row],[y]]-H$4)*(Tabela1[[#This Row],[y]]-H$4)</f>
        <v>1700</v>
      </c>
      <c r="D6906" s="1">
        <f>IF(Tabela1[[#This Row],[promien]]&lt;40000,1,0)</f>
        <v>1</v>
      </c>
      <c r="E6906" s="1">
        <f>IF(Tabela1[[#This Row],[promien]]=40000,1,0)</f>
        <v>0</v>
      </c>
      <c r="F6906" s="1">
        <v>3.1665218650448885</v>
      </c>
      <c r="G6906" s="1">
        <v>2.4929211455095412E-2</v>
      </c>
    </row>
    <row r="6907" spans="1:7">
      <c r="A6907">
        <v>294</v>
      </c>
      <c r="B6907">
        <v>35</v>
      </c>
      <c r="C6907" s="1">
        <f>(Tabela1[[#This Row],[x]]-H$3)*(Tabela1[[#This Row],[x]]-H$3) +(Tabela1[[#This Row],[y]]-H$4)*(Tabela1[[#This Row],[y]]-H$4)</f>
        <v>36061</v>
      </c>
      <c r="D6907" s="1">
        <f>IF(Tabela1[[#This Row],[promien]]&lt;40000,1,0)</f>
        <v>1</v>
      </c>
      <c r="E6907" s="1">
        <f>IF(Tabela1[[#This Row],[promien]]=40000,1,0)</f>
        <v>0</v>
      </c>
      <c r="F6907" s="1">
        <v>3.166642536557116</v>
      </c>
      <c r="G6907" s="1">
        <v>2.5049882967322912E-2</v>
      </c>
    </row>
    <row r="6908" spans="1:7">
      <c r="A6908">
        <v>81</v>
      </c>
      <c r="B6908">
        <v>208</v>
      </c>
      <c r="C6908" s="1">
        <f>(Tabela1[[#This Row],[x]]-H$3)*(Tabela1[[#This Row],[x]]-H$3) +(Tabela1[[#This Row],[y]]-H$4)*(Tabela1[[#This Row],[y]]-H$4)</f>
        <v>14225</v>
      </c>
      <c r="D6908" s="1">
        <f>IF(Tabela1[[#This Row],[promien]]&lt;40000,1,0)</f>
        <v>1</v>
      </c>
      <c r="E6908" s="1">
        <f>IF(Tabela1[[#This Row],[promien]]=40000,1,0)</f>
        <v>0</v>
      </c>
      <c r="F6908" s="1">
        <v>3.1667631731325998</v>
      </c>
      <c r="G6908" s="1">
        <v>2.5170519542806691E-2</v>
      </c>
    </row>
    <row r="6909" spans="1:7">
      <c r="A6909">
        <v>54</v>
      </c>
      <c r="B6909">
        <v>237</v>
      </c>
      <c r="C6909" s="1">
        <f>(Tabela1[[#This Row],[x]]-H$3)*(Tabela1[[#This Row],[x]]-H$3) +(Tabela1[[#This Row],[y]]-H$4)*(Tabela1[[#This Row],[y]]-H$4)</f>
        <v>22685</v>
      </c>
      <c r="D6909" s="1">
        <f>IF(Tabela1[[#This Row],[promien]]&lt;40000,1,0)</f>
        <v>1</v>
      </c>
      <c r="E6909" s="1">
        <f>IF(Tabela1[[#This Row],[promien]]=40000,1,0)</f>
        <v>0</v>
      </c>
      <c r="F6909" s="1">
        <v>3.1668837747865104</v>
      </c>
      <c r="G6909" s="1">
        <v>2.5291121196717281E-2</v>
      </c>
    </row>
    <row r="6910" spans="1:7">
      <c r="A6910">
        <v>147</v>
      </c>
      <c r="B6910">
        <v>178</v>
      </c>
      <c r="C6910" s="1">
        <f>(Tabela1[[#This Row],[x]]-H$3)*(Tabela1[[#This Row],[x]]-H$3) +(Tabela1[[#This Row],[y]]-H$4)*(Tabela1[[#This Row],[y]]-H$4)</f>
        <v>3293</v>
      </c>
      <c r="D6910" s="1">
        <f>IF(Tabela1[[#This Row],[promien]]&lt;40000,1,0)</f>
        <v>1</v>
      </c>
      <c r="E6910" s="1">
        <f>IF(Tabela1[[#This Row],[promien]]=40000,1,0)</f>
        <v>0</v>
      </c>
      <c r="F6910" s="1">
        <v>3.1670043415340086</v>
      </c>
      <c r="G6910" s="1">
        <v>2.5411687944215444E-2</v>
      </c>
    </row>
    <row r="6911" spans="1:7">
      <c r="A6911">
        <v>397</v>
      </c>
      <c r="B6911">
        <v>128</v>
      </c>
      <c r="C6911" s="1">
        <f>(Tabela1[[#This Row],[x]]-H$3)*(Tabela1[[#This Row],[x]]-H$3) +(Tabela1[[#This Row],[y]]-H$4)*(Tabela1[[#This Row],[y]]-H$4)</f>
        <v>43993</v>
      </c>
      <c r="D6911" s="1">
        <f>IF(Tabela1[[#This Row],[promien]]&lt;40000,1,0)</f>
        <v>0</v>
      </c>
      <c r="E6911" s="1">
        <f>IF(Tabela1[[#This Row],[promien]]=40000,1,0)</f>
        <v>0</v>
      </c>
      <c r="F6911" s="1">
        <v>3.166546085949935</v>
      </c>
      <c r="G6911" s="1">
        <v>2.4953432360141914E-2</v>
      </c>
    </row>
    <row r="6912" spans="1:7">
      <c r="A6912">
        <v>75</v>
      </c>
      <c r="B6912">
        <v>388</v>
      </c>
      <c r="C6912" s="1">
        <f>(Tabela1[[#This Row],[x]]-H$3)*(Tabela1[[#This Row],[x]]-H$3) +(Tabela1[[#This Row],[y]]-H$4)*(Tabela1[[#This Row],[y]]-H$4)</f>
        <v>50969</v>
      </c>
      <c r="D6912" s="1">
        <f>IF(Tabela1[[#This Row],[promien]]&lt;40000,1,0)</f>
        <v>0</v>
      </c>
      <c r="E6912" s="1">
        <f>IF(Tabela1[[#This Row],[promien]]=40000,1,0)</f>
        <v>0</v>
      </c>
      <c r="F6912" s="1">
        <v>3.1660879629629628</v>
      </c>
      <c r="G6912" s="1">
        <v>2.4495309373169682E-2</v>
      </c>
    </row>
    <row r="6913" spans="1:7">
      <c r="A6913">
        <v>351</v>
      </c>
      <c r="B6913">
        <v>123</v>
      </c>
      <c r="C6913" s="1">
        <f>(Tabela1[[#This Row],[x]]-H$3)*(Tabela1[[#This Row],[x]]-H$3) +(Tabela1[[#This Row],[y]]-H$4)*(Tabela1[[#This Row],[y]]-H$4)</f>
        <v>28730</v>
      </c>
      <c r="D6913" s="1">
        <f>IF(Tabela1[[#This Row],[promien]]&lt;40000,1,0)</f>
        <v>1</v>
      </c>
      <c r="E6913" s="1">
        <f>IF(Tabela1[[#This Row],[promien]]=40000,1,0)</f>
        <v>0</v>
      </c>
      <c r="F6913" s="1">
        <v>3.1662085925068713</v>
      </c>
      <c r="G6913" s="1">
        <v>2.461593891707814E-2</v>
      </c>
    </row>
    <row r="6914" spans="1:7">
      <c r="A6914">
        <v>336</v>
      </c>
      <c r="B6914">
        <v>34</v>
      </c>
      <c r="C6914" s="1">
        <f>(Tabela1[[#This Row],[x]]-H$3)*(Tabela1[[#This Row],[x]]-H$3) +(Tabela1[[#This Row],[y]]-H$4)*(Tabela1[[#This Row],[y]]-H$4)</f>
        <v>46052</v>
      </c>
      <c r="D6914" s="1">
        <f>IF(Tabela1[[#This Row],[promien]]&lt;40000,1,0)</f>
        <v>0</v>
      </c>
      <c r="E6914" s="1">
        <f>IF(Tabela1[[#This Row],[promien]]=40000,1,0)</f>
        <v>0</v>
      </c>
      <c r="F6914" s="1">
        <v>3.1657506508533411</v>
      </c>
      <c r="G6914" s="1">
        <v>2.4157997263547948E-2</v>
      </c>
    </row>
    <row r="6915" spans="1:7">
      <c r="A6915">
        <v>292</v>
      </c>
      <c r="B6915">
        <v>114</v>
      </c>
      <c r="C6915" s="1">
        <f>(Tabela1[[#This Row],[x]]-H$3)*(Tabela1[[#This Row],[x]]-H$3) +(Tabela1[[#This Row],[y]]-H$4)*(Tabela1[[#This Row],[y]]-H$4)</f>
        <v>15860</v>
      </c>
      <c r="D6915" s="1">
        <f>IF(Tabela1[[#This Row],[promien]]&lt;40000,1,0)</f>
        <v>1</v>
      </c>
      <c r="E6915" s="1">
        <f>IF(Tabela1[[#This Row],[promien]]=40000,1,0)</f>
        <v>0</v>
      </c>
      <c r="F6915" s="1">
        <v>3.16587129428778</v>
      </c>
      <c r="G6915" s="1">
        <v>2.4278640697986908E-2</v>
      </c>
    </row>
    <row r="6916" spans="1:7">
      <c r="A6916">
        <v>287</v>
      </c>
      <c r="B6916">
        <v>218</v>
      </c>
      <c r="C6916" s="1">
        <f>(Tabela1[[#This Row],[x]]-H$3)*(Tabela1[[#This Row],[x]]-H$3) +(Tabela1[[#This Row],[y]]-H$4)*(Tabela1[[#This Row],[y]]-H$4)</f>
        <v>7893</v>
      </c>
      <c r="D6916" s="1">
        <f>IF(Tabela1[[#This Row],[promien]]&lt;40000,1,0)</f>
        <v>1</v>
      </c>
      <c r="E6916" s="1">
        <f>IF(Tabela1[[#This Row],[promien]]=40000,1,0)</f>
        <v>0</v>
      </c>
      <c r="F6916" s="1">
        <v>3.165991902834008</v>
      </c>
      <c r="G6916" s="1">
        <v>2.4399249244214882E-2</v>
      </c>
    </row>
    <row r="6917" spans="1:7">
      <c r="A6917">
        <v>361</v>
      </c>
      <c r="B6917">
        <v>349</v>
      </c>
      <c r="C6917" s="1">
        <f>(Tabela1[[#This Row],[x]]-H$3)*(Tabela1[[#This Row],[x]]-H$3) +(Tabela1[[#This Row],[y]]-H$4)*(Tabela1[[#This Row],[y]]-H$4)</f>
        <v>48122</v>
      </c>
      <c r="D6917" s="1">
        <f>IF(Tabela1[[#This Row],[promien]]&lt;40000,1,0)</f>
        <v>0</v>
      </c>
      <c r="E6917" s="1">
        <f>IF(Tabela1[[#This Row],[promien]]=40000,1,0)</f>
        <v>0</v>
      </c>
      <c r="F6917" s="1">
        <v>3.1655341911233195</v>
      </c>
      <c r="G6917" s="1">
        <v>2.3941537533526347E-2</v>
      </c>
    </row>
    <row r="6918" spans="1:7">
      <c r="A6918">
        <v>284</v>
      </c>
      <c r="B6918">
        <v>63</v>
      </c>
      <c r="C6918" s="1">
        <f>(Tabela1[[#This Row],[x]]-H$3)*(Tabela1[[#This Row],[x]]-H$3) +(Tabela1[[#This Row],[y]]-H$4)*(Tabela1[[#This Row],[y]]-H$4)</f>
        <v>25825</v>
      </c>
      <c r="D6918" s="1">
        <f>IF(Tabela1[[#This Row],[promien]]&lt;40000,1,0)</f>
        <v>1</v>
      </c>
      <c r="E6918" s="1">
        <f>IF(Tabela1[[#This Row],[promien]]=40000,1,0)</f>
        <v>0</v>
      </c>
      <c r="F6918" s="1">
        <v>3.1656548135299221</v>
      </c>
      <c r="G6918" s="1">
        <v>2.4062159940128947E-2</v>
      </c>
    </row>
    <row r="6919" spans="1:7">
      <c r="A6919">
        <v>110</v>
      </c>
      <c r="B6919">
        <v>306</v>
      </c>
      <c r="C6919" s="1">
        <f>(Tabela1[[#This Row],[x]]-H$3)*(Tabela1[[#This Row],[x]]-H$3) +(Tabela1[[#This Row],[y]]-H$4)*(Tabela1[[#This Row],[y]]-H$4)</f>
        <v>19336</v>
      </c>
      <c r="D6919" s="1">
        <f>IF(Tabela1[[#This Row],[promien]]&lt;40000,1,0)</f>
        <v>1</v>
      </c>
      <c r="E6919" s="1">
        <f>IF(Tabela1[[#This Row],[promien]]=40000,1,0)</f>
        <v>0</v>
      </c>
      <c r="F6919" s="1">
        <v>3.1657754010695189</v>
      </c>
      <c r="G6919" s="1">
        <v>2.4182747479725819E-2</v>
      </c>
    </row>
    <row r="6920" spans="1:7">
      <c r="A6920">
        <v>201</v>
      </c>
      <c r="B6920">
        <v>343</v>
      </c>
      <c r="C6920" s="1">
        <f>(Tabela1[[#This Row],[x]]-H$3)*(Tabela1[[#This Row],[x]]-H$3) +(Tabela1[[#This Row],[y]]-H$4)*(Tabela1[[#This Row],[y]]-H$4)</f>
        <v>20450</v>
      </c>
      <c r="D6920" s="1">
        <f>IF(Tabela1[[#This Row],[promien]]&lt;40000,1,0)</f>
        <v>1</v>
      </c>
      <c r="E6920" s="1">
        <f>IF(Tabela1[[#This Row],[promien]]=40000,1,0)</f>
        <v>0</v>
      </c>
      <c r="F6920" s="1">
        <v>3.1658959537572255</v>
      </c>
      <c r="G6920" s="1">
        <v>2.4303300167432429E-2</v>
      </c>
    </row>
    <row r="6921" spans="1:7">
      <c r="A6921">
        <v>81</v>
      </c>
      <c r="B6921">
        <v>33</v>
      </c>
      <c r="C6921" s="1">
        <f>(Tabela1[[#This Row],[x]]-H$3)*(Tabela1[[#This Row],[x]]-H$3) +(Tabela1[[#This Row],[y]]-H$4)*(Tabela1[[#This Row],[y]]-H$4)</f>
        <v>42050</v>
      </c>
      <c r="D6921" s="1">
        <f>IF(Tabela1[[#This Row],[promien]]&lt;40000,1,0)</f>
        <v>0</v>
      </c>
      <c r="E6921" s="1">
        <f>IF(Tabela1[[#This Row],[promien]]=40000,1,0)</f>
        <v>0</v>
      </c>
      <c r="F6921" s="1">
        <v>3.1654385204450226</v>
      </c>
      <c r="G6921" s="1">
        <v>2.3845866855229492E-2</v>
      </c>
    </row>
    <row r="6922" spans="1:7">
      <c r="A6922">
        <v>56</v>
      </c>
      <c r="B6922">
        <v>149</v>
      </c>
      <c r="C6922" s="1">
        <f>(Tabela1[[#This Row],[x]]-H$3)*(Tabela1[[#This Row],[x]]-H$3) +(Tabela1[[#This Row],[y]]-H$4)*(Tabela1[[#This Row],[y]]-H$4)</f>
        <v>23337</v>
      </c>
      <c r="D6922" s="1">
        <f>IF(Tabela1[[#This Row],[promien]]&lt;40000,1,0)</f>
        <v>1</v>
      </c>
      <c r="E6922" s="1">
        <f>IF(Tabela1[[#This Row],[promien]]=40000,1,0)</f>
        <v>0</v>
      </c>
      <c r="F6922" s="1">
        <v>3.1655590869690839</v>
      </c>
      <c r="G6922" s="1">
        <v>2.396643337929083E-2</v>
      </c>
    </row>
    <row r="6923" spans="1:7">
      <c r="A6923">
        <v>141</v>
      </c>
      <c r="B6923">
        <v>26</v>
      </c>
      <c r="C6923" s="1">
        <f>(Tabela1[[#This Row],[x]]-H$3)*(Tabela1[[#This Row],[x]]-H$3) +(Tabela1[[#This Row],[y]]-H$4)*(Tabela1[[#This Row],[y]]-H$4)</f>
        <v>33757</v>
      </c>
      <c r="D6923" s="1">
        <f>IF(Tabela1[[#This Row],[promien]]&lt;40000,1,0)</f>
        <v>1</v>
      </c>
      <c r="E6923" s="1">
        <f>IF(Tabela1[[#This Row],[promien]]=40000,1,0)</f>
        <v>0</v>
      </c>
      <c r="F6923" s="1">
        <v>3.1656796186624296</v>
      </c>
      <c r="G6923" s="1">
        <v>2.4086965072636524E-2</v>
      </c>
    </row>
    <row r="6924" spans="1:7">
      <c r="A6924">
        <v>150</v>
      </c>
      <c r="B6924">
        <v>80</v>
      </c>
      <c r="C6924" s="1">
        <f>(Tabela1[[#This Row],[x]]-H$3)*(Tabela1[[#This Row],[x]]-H$3) +(Tabela1[[#This Row],[y]]-H$4)*(Tabela1[[#This Row],[y]]-H$4)</f>
        <v>16900</v>
      </c>
      <c r="D6924" s="1">
        <f>IF(Tabela1[[#This Row],[promien]]&lt;40000,1,0)</f>
        <v>1</v>
      </c>
      <c r="E6924" s="1">
        <f>IF(Tabela1[[#This Row],[promien]]=40000,1,0)</f>
        <v>0</v>
      </c>
      <c r="F6924" s="1">
        <v>3.1658001155401503</v>
      </c>
      <c r="G6924" s="1">
        <v>2.4207461950357168E-2</v>
      </c>
    </row>
    <row r="6925" spans="1:7">
      <c r="A6925">
        <v>106</v>
      </c>
      <c r="B6925">
        <v>98</v>
      </c>
      <c r="C6925" s="1">
        <f>(Tabela1[[#This Row],[x]]-H$3)*(Tabela1[[#This Row],[x]]-H$3) +(Tabela1[[#This Row],[y]]-H$4)*(Tabela1[[#This Row],[y]]-H$4)</f>
        <v>19240</v>
      </c>
      <c r="D6925" s="1">
        <f>IF(Tabela1[[#This Row],[promien]]&lt;40000,1,0)</f>
        <v>1</v>
      </c>
      <c r="E6925" s="1">
        <f>IF(Tabela1[[#This Row],[promien]]=40000,1,0)</f>
        <v>0</v>
      </c>
      <c r="F6925" s="1">
        <v>3.1659205776173285</v>
      </c>
      <c r="G6925" s="1">
        <v>2.4327924027535364E-2</v>
      </c>
    </row>
    <row r="6926" spans="1:7">
      <c r="A6926">
        <v>250</v>
      </c>
      <c r="B6926">
        <v>89</v>
      </c>
      <c r="C6926" s="1">
        <f>(Tabela1[[#This Row],[x]]-H$3)*(Tabela1[[#This Row],[x]]-H$3) +(Tabela1[[#This Row],[y]]-H$4)*(Tabela1[[#This Row],[y]]-H$4)</f>
        <v>14821</v>
      </c>
      <c r="D6926" s="1">
        <f>IF(Tabela1[[#This Row],[promien]]&lt;40000,1,0)</f>
        <v>1</v>
      </c>
      <c r="E6926" s="1">
        <f>IF(Tabela1[[#This Row],[promien]]=40000,1,0)</f>
        <v>0</v>
      </c>
      <c r="F6926" s="1">
        <v>3.1660410049090384</v>
      </c>
      <c r="G6926" s="1">
        <v>2.4448351319245276E-2</v>
      </c>
    </row>
    <row r="6927" spans="1:7">
      <c r="A6927">
        <v>62</v>
      </c>
      <c r="B6927">
        <v>105</v>
      </c>
      <c r="C6927" s="1">
        <f>(Tabela1[[#This Row],[x]]-H$3)*(Tabela1[[#This Row],[x]]-H$3) +(Tabela1[[#This Row],[y]]-H$4)*(Tabela1[[#This Row],[y]]-H$4)</f>
        <v>28069</v>
      </c>
      <c r="D6927" s="1">
        <f>IF(Tabela1[[#This Row],[promien]]&lt;40000,1,0)</f>
        <v>1</v>
      </c>
      <c r="E6927" s="1">
        <f>IF(Tabela1[[#This Row],[promien]]=40000,1,0)</f>
        <v>0</v>
      </c>
      <c r="F6927" s="1">
        <v>3.1661613974303449</v>
      </c>
      <c r="G6927" s="1">
        <v>2.4568743840551743E-2</v>
      </c>
    </row>
    <row r="6928" spans="1:7">
      <c r="A6928">
        <v>249</v>
      </c>
      <c r="B6928">
        <v>259</v>
      </c>
      <c r="C6928" s="1">
        <f>(Tabela1[[#This Row],[x]]-H$3)*(Tabela1[[#This Row],[x]]-H$3) +(Tabela1[[#This Row],[y]]-H$4)*(Tabela1[[#This Row],[y]]-H$4)</f>
        <v>5882</v>
      </c>
      <c r="D6928" s="1">
        <f>IF(Tabela1[[#This Row],[promien]]&lt;40000,1,0)</f>
        <v>1</v>
      </c>
      <c r="E6928" s="1">
        <f>IF(Tabela1[[#This Row],[promien]]=40000,1,0)</f>
        <v>0</v>
      </c>
      <c r="F6928" s="1">
        <v>3.1662817551963047</v>
      </c>
      <c r="G6928" s="1">
        <v>2.468910160651161E-2</v>
      </c>
    </row>
    <row r="6929" spans="1:7">
      <c r="A6929">
        <v>58</v>
      </c>
      <c r="B6929">
        <v>394</v>
      </c>
      <c r="C6929" s="1">
        <f>(Tabela1[[#This Row],[x]]-H$3)*(Tabela1[[#This Row],[x]]-H$3) +(Tabela1[[#This Row],[y]]-H$4)*(Tabela1[[#This Row],[y]]-H$4)</f>
        <v>57800</v>
      </c>
      <c r="D6929" s="1">
        <f>IF(Tabela1[[#This Row],[promien]]&lt;40000,1,0)</f>
        <v>0</v>
      </c>
      <c r="E6929" s="1">
        <f>IF(Tabela1[[#This Row],[promien]]=40000,1,0)</f>
        <v>0</v>
      </c>
      <c r="F6929" s="1">
        <v>3.1658247943426181</v>
      </c>
      <c r="G6929" s="1">
        <v>2.4232140752824982E-2</v>
      </c>
    </row>
    <row r="6930" spans="1:7">
      <c r="A6930">
        <v>392</v>
      </c>
      <c r="B6930">
        <v>116</v>
      </c>
      <c r="C6930" s="1">
        <f>(Tabela1[[#This Row],[x]]-H$3)*(Tabela1[[#This Row],[x]]-H$3) +(Tabela1[[#This Row],[y]]-H$4)*(Tabela1[[#This Row],[y]]-H$4)</f>
        <v>43920</v>
      </c>
      <c r="D6930" s="1">
        <f>IF(Tabela1[[#This Row],[promien]]&lt;40000,1,0)</f>
        <v>0</v>
      </c>
      <c r="E6930" s="1">
        <f>IF(Tabela1[[#This Row],[promien]]=40000,1,0)</f>
        <v>0</v>
      </c>
      <c r="F6930" s="1">
        <v>3.1653679653679654</v>
      </c>
      <c r="G6930" s="1">
        <v>2.377531177817227E-2</v>
      </c>
    </row>
    <row r="6931" spans="1:7">
      <c r="A6931">
        <v>398</v>
      </c>
      <c r="B6931">
        <v>185</v>
      </c>
      <c r="C6931" s="1">
        <f>(Tabela1[[#This Row],[x]]-H$3)*(Tabela1[[#This Row],[x]]-H$3) +(Tabela1[[#This Row],[y]]-H$4)*(Tabela1[[#This Row],[y]]-H$4)</f>
        <v>39429</v>
      </c>
      <c r="D6931" s="1">
        <f>IF(Tabela1[[#This Row],[promien]]&lt;40000,1,0)</f>
        <v>1</v>
      </c>
      <c r="E6931" s="1">
        <f>IF(Tabela1[[#This Row],[promien]]=40000,1,0)</f>
        <v>0</v>
      </c>
      <c r="F6931" s="1">
        <v>3.1654883855143559</v>
      </c>
      <c r="G6931" s="1">
        <v>2.3895731924562735E-2</v>
      </c>
    </row>
    <row r="6932" spans="1:7">
      <c r="A6932">
        <v>155</v>
      </c>
      <c r="B6932">
        <v>255</v>
      </c>
      <c r="C6932" s="1">
        <f>(Tabela1[[#This Row],[x]]-H$3)*(Tabela1[[#This Row],[x]]-H$3) +(Tabela1[[#This Row],[y]]-H$4)*(Tabela1[[#This Row],[y]]-H$4)</f>
        <v>5050</v>
      </c>
      <c r="D6932" s="1">
        <f>IF(Tabela1[[#This Row],[promien]]&lt;40000,1,0)</f>
        <v>1</v>
      </c>
      <c r="E6932" s="1">
        <f>IF(Tabela1[[#This Row],[promien]]=40000,1,0)</f>
        <v>0</v>
      </c>
      <c r="F6932" s="1">
        <v>3.1656087709174843</v>
      </c>
      <c r="G6932" s="1">
        <v>2.4016117327691155E-2</v>
      </c>
    </row>
    <row r="6933" spans="1:7">
      <c r="A6933">
        <v>137</v>
      </c>
      <c r="B6933">
        <v>99</v>
      </c>
      <c r="C6933" s="1">
        <f>(Tabela1[[#This Row],[x]]-H$3)*(Tabela1[[#This Row],[x]]-H$3) +(Tabela1[[#This Row],[y]]-H$4)*(Tabela1[[#This Row],[y]]-H$4)</f>
        <v>14170</v>
      </c>
      <c r="D6933" s="1">
        <f>IF(Tabela1[[#This Row],[promien]]&lt;40000,1,0)</f>
        <v>1</v>
      </c>
      <c r="E6933" s="1">
        <f>IF(Tabela1[[#This Row],[promien]]=40000,1,0)</f>
        <v>0</v>
      </c>
      <c r="F6933" s="1">
        <v>3.1657291215923844</v>
      </c>
      <c r="G6933" s="1">
        <v>2.4136468002591283E-2</v>
      </c>
    </row>
    <row r="6934" spans="1:7">
      <c r="A6934">
        <v>243</v>
      </c>
      <c r="B6934">
        <v>300</v>
      </c>
      <c r="C6934" s="1">
        <f>(Tabela1[[#This Row],[x]]-H$3)*(Tabela1[[#This Row],[x]]-H$3) +(Tabela1[[#This Row],[y]]-H$4)*(Tabela1[[#This Row],[y]]-H$4)</f>
        <v>11849</v>
      </c>
      <c r="D6934" s="1">
        <f>IF(Tabela1[[#This Row],[promien]]&lt;40000,1,0)</f>
        <v>1</v>
      </c>
      <c r="E6934" s="1">
        <f>IF(Tabela1[[#This Row],[promien]]=40000,1,0)</f>
        <v>0</v>
      </c>
      <c r="F6934" s="1">
        <v>3.1658494375540815</v>
      </c>
      <c r="G6934" s="1">
        <v>2.4256783964288431E-2</v>
      </c>
    </row>
    <row r="6935" spans="1:7">
      <c r="A6935">
        <v>45</v>
      </c>
      <c r="B6935">
        <v>323</v>
      </c>
      <c r="C6935" s="1">
        <f>(Tabela1[[#This Row],[x]]-H$3)*(Tabela1[[#This Row],[x]]-H$3) +(Tabela1[[#This Row],[y]]-H$4)*(Tabela1[[#This Row],[y]]-H$4)</f>
        <v>39154</v>
      </c>
      <c r="D6935" s="1">
        <f>IF(Tabela1[[#This Row],[promien]]&lt;40000,1,0)</f>
        <v>1</v>
      </c>
      <c r="E6935" s="1">
        <f>IF(Tabela1[[#This Row],[promien]]=40000,1,0)</f>
        <v>0</v>
      </c>
      <c r="F6935" s="1">
        <v>3.1659697188175917</v>
      </c>
      <c r="G6935" s="1">
        <v>2.4377065227798589E-2</v>
      </c>
    </row>
    <row r="6936" spans="1:7">
      <c r="A6936">
        <v>19</v>
      </c>
      <c r="B6936">
        <v>198</v>
      </c>
      <c r="C6936" s="1">
        <f>(Tabela1[[#This Row],[x]]-H$3)*(Tabela1[[#This Row],[x]]-H$3) +(Tabela1[[#This Row],[y]]-H$4)*(Tabela1[[#This Row],[y]]-H$4)</f>
        <v>32765</v>
      </c>
      <c r="D6936" s="1">
        <f>IF(Tabela1[[#This Row],[promien]]&lt;40000,1,0)</f>
        <v>1</v>
      </c>
      <c r="E6936" s="1">
        <f>IF(Tabela1[[#This Row],[promien]]=40000,1,0)</f>
        <v>0</v>
      </c>
      <c r="F6936" s="1">
        <v>3.1660899653979238</v>
      </c>
      <c r="G6936" s="1">
        <v>2.449731180813064E-2</v>
      </c>
    </row>
    <row r="6937" spans="1:7">
      <c r="A6937">
        <v>279</v>
      </c>
      <c r="B6937">
        <v>88</v>
      </c>
      <c r="C6937" s="1">
        <f>(Tabela1[[#This Row],[x]]-H$3)*(Tabela1[[#This Row],[x]]-H$3) +(Tabela1[[#This Row],[y]]-H$4)*(Tabela1[[#This Row],[y]]-H$4)</f>
        <v>18785</v>
      </c>
      <c r="D6937" s="1">
        <f>IF(Tabela1[[#This Row],[promien]]&lt;40000,1,0)</f>
        <v>1</v>
      </c>
      <c r="E6937" s="1">
        <f>IF(Tabela1[[#This Row],[promien]]=40000,1,0)</f>
        <v>0</v>
      </c>
      <c r="F6937" s="1">
        <v>3.1662101773100764</v>
      </c>
      <c r="G6937" s="1">
        <v>2.4617523720283252E-2</v>
      </c>
    </row>
    <row r="6938" spans="1:7">
      <c r="A6938">
        <v>399</v>
      </c>
      <c r="B6938">
        <v>123</v>
      </c>
      <c r="C6938" s="1">
        <f>(Tabela1[[#This Row],[x]]-H$3)*(Tabela1[[#This Row],[x]]-H$3) +(Tabela1[[#This Row],[y]]-H$4)*(Tabela1[[#This Row],[y]]-H$4)</f>
        <v>45530</v>
      </c>
      <c r="D6938" s="1">
        <f>IF(Tabela1[[#This Row],[promien]]&lt;40000,1,0)</f>
        <v>0</v>
      </c>
      <c r="E6938" s="1">
        <f>IF(Tabela1[[#This Row],[promien]]=40000,1,0)</f>
        <v>0</v>
      </c>
      <c r="F6938" s="1">
        <v>3.1657538195445372</v>
      </c>
      <c r="G6938" s="1">
        <v>2.4161165954744046E-2</v>
      </c>
    </row>
    <row r="6939" spans="1:7">
      <c r="A6939">
        <v>348</v>
      </c>
      <c r="B6939">
        <v>203</v>
      </c>
      <c r="C6939" s="1">
        <f>(Tabela1[[#This Row],[x]]-H$3)*(Tabela1[[#This Row],[x]]-H$3) +(Tabela1[[#This Row],[y]]-H$4)*(Tabela1[[#This Row],[y]]-H$4)</f>
        <v>21913</v>
      </c>
      <c r="D6939" s="1">
        <f>IF(Tabela1[[#This Row],[promien]]&lt;40000,1,0)</f>
        <v>1</v>
      </c>
      <c r="E6939" s="1">
        <f>IF(Tabela1[[#This Row],[promien]]=40000,1,0)</f>
        <v>0</v>
      </c>
      <c r="F6939" s="1">
        <v>3.1658740452514773</v>
      </c>
      <c r="G6939" s="1">
        <v>2.4281391661684193E-2</v>
      </c>
    </row>
    <row r="6940" spans="1:7">
      <c r="A6940">
        <v>180</v>
      </c>
      <c r="B6940">
        <v>82</v>
      </c>
      <c r="C6940" s="1">
        <f>(Tabela1[[#This Row],[x]]-H$3)*(Tabela1[[#This Row],[x]]-H$3) +(Tabela1[[#This Row],[y]]-H$4)*(Tabela1[[#This Row],[y]]-H$4)</f>
        <v>14324</v>
      </c>
      <c r="D6940" s="1">
        <f>IF(Tabela1[[#This Row],[promien]]&lt;40000,1,0)</f>
        <v>1</v>
      </c>
      <c r="E6940" s="1">
        <f>IF(Tabela1[[#This Row],[promien]]=40000,1,0)</f>
        <v>0</v>
      </c>
      <c r="F6940" s="1">
        <v>3.165994236311239</v>
      </c>
      <c r="G6940" s="1">
        <v>2.440158272144588E-2</v>
      </c>
    </row>
    <row r="6941" spans="1:7">
      <c r="A6941">
        <v>75</v>
      </c>
      <c r="B6941">
        <v>18</v>
      </c>
      <c r="C6941" s="1">
        <f>(Tabela1[[#This Row],[x]]-H$3)*(Tabela1[[#This Row],[x]]-H$3) +(Tabela1[[#This Row],[y]]-H$4)*(Tabela1[[#This Row],[y]]-H$4)</f>
        <v>48749</v>
      </c>
      <c r="D6941" s="1">
        <f>IF(Tabela1[[#This Row],[promien]]&lt;40000,1,0)</f>
        <v>0</v>
      </c>
      <c r="E6941" s="1">
        <f>IF(Tabela1[[#This Row],[promien]]=40000,1,0)</f>
        <v>0</v>
      </c>
      <c r="F6941" s="1">
        <v>3.1655381069010229</v>
      </c>
      <c r="G6941" s="1">
        <v>2.394545331122977E-2</v>
      </c>
    </row>
    <row r="6942" spans="1:7">
      <c r="A6942">
        <v>400</v>
      </c>
      <c r="B6942">
        <v>281</v>
      </c>
      <c r="C6942" s="1">
        <f>(Tabela1[[#This Row],[x]]-H$3)*(Tabela1[[#This Row],[x]]-H$3) +(Tabela1[[#This Row],[y]]-H$4)*(Tabela1[[#This Row],[y]]-H$4)</f>
        <v>46561</v>
      </c>
      <c r="D6942" s="1">
        <f>IF(Tabela1[[#This Row],[promien]]&lt;40000,1,0)</f>
        <v>0</v>
      </c>
      <c r="E6942" s="1">
        <f>IF(Tabela1[[#This Row],[promien]]=40000,1,0)</f>
        <v>0</v>
      </c>
      <c r="F6942" s="1">
        <v>3.1650821089023338</v>
      </c>
      <c r="G6942" s="1">
        <v>2.3489455312540652E-2</v>
      </c>
    </row>
    <row r="6943" spans="1:7">
      <c r="A6943">
        <v>366</v>
      </c>
      <c r="B6943">
        <v>381</v>
      </c>
      <c r="C6943" s="1">
        <f>(Tabela1[[#This Row],[x]]-H$3)*(Tabela1[[#This Row],[x]]-H$3) +(Tabela1[[#This Row],[y]]-H$4)*(Tabela1[[#This Row],[y]]-H$4)</f>
        <v>60317</v>
      </c>
      <c r="D6943" s="1">
        <f>IF(Tabela1[[#This Row],[promien]]&lt;40000,1,0)</f>
        <v>0</v>
      </c>
      <c r="E6943" s="1">
        <f>IF(Tabela1[[#This Row],[promien]]=40000,1,0)</f>
        <v>0</v>
      </c>
      <c r="F6943" s="1">
        <v>3.16462624225839</v>
      </c>
      <c r="G6943" s="1">
        <v>2.3033588668596838E-2</v>
      </c>
    </row>
    <row r="6944" spans="1:7">
      <c r="A6944">
        <v>158</v>
      </c>
      <c r="B6944">
        <v>291</v>
      </c>
      <c r="C6944" s="1">
        <f>(Tabela1[[#This Row],[x]]-H$3)*(Tabela1[[#This Row],[x]]-H$3) +(Tabela1[[#This Row],[y]]-H$4)*(Tabela1[[#This Row],[y]]-H$4)</f>
        <v>10045</v>
      </c>
      <c r="D6944" s="1">
        <f>IF(Tabela1[[#This Row],[promien]]&lt;40000,1,0)</f>
        <v>1</v>
      </c>
      <c r="E6944" s="1">
        <f>IF(Tabela1[[#This Row],[promien]]=40000,1,0)</f>
        <v>0</v>
      </c>
      <c r="F6944" s="1">
        <v>3.164746543778802</v>
      </c>
      <c r="G6944" s="1">
        <v>2.315389018900893E-2</v>
      </c>
    </row>
    <row r="6945" spans="1:7">
      <c r="A6945">
        <v>370</v>
      </c>
      <c r="B6945">
        <v>88</v>
      </c>
      <c r="C6945" s="1">
        <f>(Tabela1[[#This Row],[x]]-H$3)*(Tabela1[[#This Row],[x]]-H$3) +(Tabela1[[#This Row],[y]]-H$4)*(Tabela1[[#This Row],[y]]-H$4)</f>
        <v>41444</v>
      </c>
      <c r="D6945" s="1">
        <f>IF(Tabela1[[#This Row],[promien]]&lt;40000,1,0)</f>
        <v>0</v>
      </c>
      <c r="E6945" s="1">
        <f>IF(Tabela1[[#This Row],[promien]]=40000,1,0)</f>
        <v>0</v>
      </c>
      <c r="F6945" s="1">
        <v>3.1642908567314616</v>
      </c>
      <c r="G6945" s="1">
        <v>2.2698203141668483E-2</v>
      </c>
    </row>
    <row r="6946" spans="1:7">
      <c r="A6946">
        <v>223</v>
      </c>
      <c r="B6946">
        <v>147</v>
      </c>
      <c r="C6946" s="1">
        <f>(Tabela1[[#This Row],[x]]-H$3)*(Tabela1[[#This Row],[x]]-H$3) +(Tabela1[[#This Row],[y]]-H$4)*(Tabela1[[#This Row],[y]]-H$4)</f>
        <v>3338</v>
      </c>
      <c r="D6946" s="1">
        <f>IF(Tabela1[[#This Row],[promien]]&lt;40000,1,0)</f>
        <v>1</v>
      </c>
      <c r="E6946" s="1">
        <f>IF(Tabela1[[#This Row],[promien]]=40000,1,0)</f>
        <v>0</v>
      </c>
      <c r="F6946" s="1">
        <v>3.1644111718974948</v>
      </c>
      <c r="G6946" s="1">
        <v>2.2818518307701652E-2</v>
      </c>
    </row>
    <row r="6947" spans="1:7">
      <c r="A6947">
        <v>32</v>
      </c>
      <c r="B6947">
        <v>142</v>
      </c>
      <c r="C6947" s="1">
        <f>(Tabela1[[#This Row],[x]]-H$3)*(Tabela1[[#This Row],[x]]-H$3) +(Tabela1[[#This Row],[y]]-H$4)*(Tabela1[[#This Row],[y]]-H$4)</f>
        <v>31588</v>
      </c>
      <c r="D6947" s="1">
        <f>IF(Tabela1[[#This Row],[promien]]&lt;40000,1,0)</f>
        <v>1</v>
      </c>
      <c r="E6947" s="1">
        <f>IF(Tabela1[[#This Row],[promien]]=40000,1,0)</f>
        <v>0</v>
      </c>
      <c r="F6947" s="1">
        <v>3.1645314524255075</v>
      </c>
      <c r="G6947" s="1">
        <v>2.2938798835714369E-2</v>
      </c>
    </row>
    <row r="6948" spans="1:7">
      <c r="A6948">
        <v>35</v>
      </c>
      <c r="B6948">
        <v>79</v>
      </c>
      <c r="C6948" s="1">
        <f>(Tabela1[[#This Row],[x]]-H$3)*(Tabela1[[#This Row],[x]]-H$3) +(Tabela1[[#This Row],[y]]-H$4)*(Tabela1[[#This Row],[y]]-H$4)</f>
        <v>41866</v>
      </c>
      <c r="D6948" s="1">
        <f>IF(Tabela1[[#This Row],[promien]]&lt;40000,1,0)</f>
        <v>0</v>
      </c>
      <c r="E6948" s="1">
        <f>IF(Tabela1[[#This Row],[promien]]=40000,1,0)</f>
        <v>0</v>
      </c>
      <c r="F6948" s="1">
        <v>3.164075993091537</v>
      </c>
      <c r="G6948" s="1">
        <v>2.248333950174386E-2</v>
      </c>
    </row>
    <row r="6949" spans="1:7">
      <c r="A6949">
        <v>70</v>
      </c>
      <c r="B6949">
        <v>286</v>
      </c>
      <c r="C6949" s="1">
        <f>(Tabela1[[#This Row],[x]]-H$3)*(Tabela1[[#This Row],[x]]-H$3) +(Tabela1[[#This Row],[y]]-H$4)*(Tabela1[[#This Row],[y]]-H$4)</f>
        <v>24296</v>
      </c>
      <c r="D6949" s="1">
        <f>IF(Tabela1[[#This Row],[promien]]&lt;40000,1,0)</f>
        <v>1</v>
      </c>
      <c r="E6949" s="1">
        <f>IF(Tabela1[[#This Row],[promien]]=40000,1,0)</f>
        <v>0</v>
      </c>
      <c r="F6949" s="1">
        <v>3.1641962872355736</v>
      </c>
      <c r="G6949" s="1">
        <v>2.2603633645780441E-2</v>
      </c>
    </row>
    <row r="6950" spans="1:7">
      <c r="A6950">
        <v>193</v>
      </c>
      <c r="B6950">
        <v>292</v>
      </c>
      <c r="C6950" s="1">
        <f>(Tabela1[[#This Row],[x]]-H$3)*(Tabela1[[#This Row],[x]]-H$3) +(Tabela1[[#This Row],[y]]-H$4)*(Tabela1[[#This Row],[y]]-H$4)</f>
        <v>8513</v>
      </c>
      <c r="D6950" s="1">
        <f>IF(Tabela1[[#This Row],[promien]]&lt;40000,1,0)</f>
        <v>1</v>
      </c>
      <c r="E6950" s="1">
        <f>IF(Tabela1[[#This Row],[promien]]=40000,1,0)</f>
        <v>0</v>
      </c>
      <c r="F6950" s="1">
        <v>3.1643165467625898</v>
      </c>
      <c r="G6950" s="1">
        <v>2.2723893172796661E-2</v>
      </c>
    </row>
    <row r="6951" spans="1:7">
      <c r="A6951">
        <v>138</v>
      </c>
      <c r="B6951">
        <v>344</v>
      </c>
      <c r="C6951" s="1">
        <f>(Tabela1[[#This Row],[x]]-H$3)*(Tabela1[[#This Row],[x]]-H$3) +(Tabela1[[#This Row],[y]]-H$4)*(Tabela1[[#This Row],[y]]-H$4)</f>
        <v>24580</v>
      </c>
      <c r="D6951" s="1">
        <f>IF(Tabela1[[#This Row],[promien]]&lt;40000,1,0)</f>
        <v>1</v>
      </c>
      <c r="E6951" s="1">
        <f>IF(Tabela1[[#This Row],[promien]]=40000,1,0)</f>
        <v>0</v>
      </c>
      <c r="F6951" s="1">
        <v>3.164436771687527</v>
      </c>
      <c r="G6951" s="1">
        <v>2.2844118097733901E-2</v>
      </c>
    </row>
    <row r="6952" spans="1:7">
      <c r="A6952">
        <v>283</v>
      </c>
      <c r="B6952">
        <v>268</v>
      </c>
      <c r="C6952" s="1">
        <f>(Tabela1[[#This Row],[x]]-H$3)*(Tabela1[[#This Row],[x]]-H$3) +(Tabela1[[#This Row],[y]]-H$4)*(Tabela1[[#This Row],[y]]-H$4)</f>
        <v>11513</v>
      </c>
      <c r="D6952" s="1">
        <f>IF(Tabela1[[#This Row],[promien]]&lt;40000,1,0)</f>
        <v>1</v>
      </c>
      <c r="E6952" s="1">
        <f>IF(Tabela1[[#This Row],[promien]]=40000,1,0)</f>
        <v>0</v>
      </c>
      <c r="F6952" s="1">
        <v>3.1645569620253164</v>
      </c>
      <c r="G6952" s="1">
        <v>2.2964308435523328E-2</v>
      </c>
    </row>
    <row r="6953" spans="1:7">
      <c r="A6953">
        <v>356</v>
      </c>
      <c r="B6953">
        <v>231</v>
      </c>
      <c r="C6953" s="1">
        <f>(Tabela1[[#This Row],[x]]-H$3)*(Tabela1[[#This Row],[x]]-H$3) +(Tabela1[[#This Row],[y]]-H$4)*(Tabela1[[#This Row],[y]]-H$4)</f>
        <v>25297</v>
      </c>
      <c r="D6953" s="1">
        <f>IF(Tabela1[[#This Row],[promien]]&lt;40000,1,0)</f>
        <v>1</v>
      </c>
      <c r="E6953" s="1">
        <f>IF(Tabela1[[#This Row],[promien]]=40000,1,0)</f>
        <v>0</v>
      </c>
      <c r="F6953" s="1">
        <v>3.1646771177908817</v>
      </c>
      <c r="G6953" s="1">
        <v>2.3084464201088561E-2</v>
      </c>
    </row>
    <row r="6954" spans="1:7">
      <c r="A6954">
        <v>104</v>
      </c>
      <c r="B6954">
        <v>166</v>
      </c>
      <c r="C6954" s="1">
        <f>(Tabela1[[#This Row],[x]]-H$3)*(Tabela1[[#This Row],[x]]-H$3) +(Tabela1[[#This Row],[y]]-H$4)*(Tabela1[[#This Row],[y]]-H$4)</f>
        <v>10372</v>
      </c>
      <c r="D6954" s="1">
        <f>IF(Tabela1[[#This Row],[promien]]&lt;40000,1,0)</f>
        <v>1</v>
      </c>
      <c r="E6954" s="1">
        <f>IF(Tabela1[[#This Row],[promien]]=40000,1,0)</f>
        <v>0</v>
      </c>
      <c r="F6954" s="1">
        <v>3.164797238999137</v>
      </c>
      <c r="G6954" s="1">
        <v>2.3204585409343892E-2</v>
      </c>
    </row>
    <row r="6955" spans="1:7">
      <c r="A6955">
        <v>1</v>
      </c>
      <c r="B6955">
        <v>39</v>
      </c>
      <c r="C6955" s="1">
        <f>(Tabela1[[#This Row],[x]]-H$3)*(Tabela1[[#This Row],[x]]-H$3) +(Tabela1[[#This Row],[y]]-H$4)*(Tabela1[[#This Row],[y]]-H$4)</f>
        <v>65522</v>
      </c>
      <c r="D6955" s="1">
        <f>IF(Tabela1[[#This Row],[promien]]&lt;40000,1,0)</f>
        <v>0</v>
      </c>
      <c r="E6955" s="1">
        <f>IF(Tabela1[[#This Row],[promien]]=40000,1,0)</f>
        <v>0</v>
      </c>
      <c r="F6955" s="1">
        <v>3.1643421998562187</v>
      </c>
      <c r="G6955" s="1">
        <v>2.2749546266425558E-2</v>
      </c>
    </row>
    <row r="6956" spans="1:7">
      <c r="A6956">
        <v>14</v>
      </c>
      <c r="B6956">
        <v>245</v>
      </c>
      <c r="C6956" s="1">
        <f>(Tabela1[[#This Row],[x]]-H$3)*(Tabela1[[#This Row],[x]]-H$3) +(Tabela1[[#This Row],[y]]-H$4)*(Tabela1[[#This Row],[y]]-H$4)</f>
        <v>36621</v>
      </c>
      <c r="D6956" s="1">
        <f>IF(Tabela1[[#This Row],[promien]]&lt;40000,1,0)</f>
        <v>1</v>
      </c>
      <c r="E6956" s="1">
        <f>IF(Tabela1[[#This Row],[promien]]=40000,1,0)</f>
        <v>0</v>
      </c>
      <c r="F6956" s="1">
        <v>3.1644623346751009</v>
      </c>
      <c r="G6956" s="1">
        <v>2.2869681085307736E-2</v>
      </c>
    </row>
    <row r="6957" spans="1:7">
      <c r="A6957">
        <v>353</v>
      </c>
      <c r="B6957">
        <v>293</v>
      </c>
      <c r="C6957" s="1">
        <f>(Tabela1[[#This Row],[x]]-H$3)*(Tabela1[[#This Row],[x]]-H$3) +(Tabela1[[#This Row],[y]]-H$4)*(Tabela1[[#This Row],[y]]-H$4)</f>
        <v>32058</v>
      </c>
      <c r="D6957" s="1">
        <f>IF(Tabela1[[#This Row],[promien]]&lt;40000,1,0)</f>
        <v>1</v>
      </c>
      <c r="E6957" s="1">
        <f>IF(Tabela1[[#This Row],[promien]]=40000,1,0)</f>
        <v>0</v>
      </c>
      <c r="F6957" s="1">
        <v>3.1645824349575968</v>
      </c>
      <c r="G6957" s="1">
        <v>2.2989781367803719E-2</v>
      </c>
    </row>
    <row r="6958" spans="1:7">
      <c r="A6958">
        <v>288</v>
      </c>
      <c r="B6958">
        <v>293</v>
      </c>
      <c r="C6958" s="1">
        <f>(Tabela1[[#This Row],[x]]-H$3)*(Tabela1[[#This Row],[x]]-H$3) +(Tabela1[[#This Row],[y]]-H$4)*(Tabela1[[#This Row],[y]]-H$4)</f>
        <v>16393</v>
      </c>
      <c r="D6958" s="1">
        <f>IF(Tabela1[[#This Row],[promien]]&lt;40000,1,0)</f>
        <v>1</v>
      </c>
      <c r="E6958" s="1">
        <f>IF(Tabela1[[#This Row],[promien]]=40000,1,0)</f>
        <v>0</v>
      </c>
      <c r="F6958" s="1">
        <v>3.1647025007185974</v>
      </c>
      <c r="G6958" s="1">
        <v>2.3109847128804262E-2</v>
      </c>
    </row>
    <row r="6959" spans="1:7">
      <c r="A6959">
        <v>147</v>
      </c>
      <c r="B6959">
        <v>251</v>
      </c>
      <c r="C6959" s="1">
        <f>(Tabela1[[#This Row],[x]]-H$3)*(Tabela1[[#This Row],[x]]-H$3) +(Tabela1[[#This Row],[y]]-H$4)*(Tabela1[[#This Row],[y]]-H$4)</f>
        <v>5410</v>
      </c>
      <c r="D6959" s="1">
        <f>IF(Tabela1[[#This Row],[promien]]&lt;40000,1,0)</f>
        <v>1</v>
      </c>
      <c r="E6959" s="1">
        <f>IF(Tabela1[[#This Row],[promien]]=40000,1,0)</f>
        <v>0</v>
      </c>
      <c r="F6959" s="1">
        <v>3.1648225319729848</v>
      </c>
      <c r="G6959" s="1">
        <v>2.3229878383191682E-2</v>
      </c>
    </row>
    <row r="6960" spans="1:7">
      <c r="A6960">
        <v>263</v>
      </c>
      <c r="B6960">
        <v>253</v>
      </c>
      <c r="C6960" s="1">
        <f>(Tabela1[[#This Row],[x]]-H$3)*(Tabela1[[#This Row],[x]]-H$3) +(Tabela1[[#This Row],[y]]-H$4)*(Tabela1[[#This Row],[y]]-H$4)</f>
        <v>6778</v>
      </c>
      <c r="D6960" s="1">
        <f>IF(Tabela1[[#This Row],[promien]]&lt;40000,1,0)</f>
        <v>1</v>
      </c>
      <c r="E6960" s="1">
        <f>IF(Tabela1[[#This Row],[promien]]=40000,1,0)</f>
        <v>0</v>
      </c>
      <c r="F6960" s="1">
        <v>3.1649425287356321</v>
      </c>
      <c r="G6960" s="1">
        <v>2.3349875145838972E-2</v>
      </c>
    </row>
    <row r="6961" spans="1:7">
      <c r="A6961">
        <v>64</v>
      </c>
      <c r="B6961">
        <v>261</v>
      </c>
      <c r="C6961" s="1">
        <f>(Tabela1[[#This Row],[x]]-H$3)*(Tabela1[[#This Row],[x]]-H$3) +(Tabela1[[#This Row],[y]]-H$4)*(Tabela1[[#This Row],[y]]-H$4)</f>
        <v>22217</v>
      </c>
      <c r="D6961" s="1">
        <f>IF(Tabela1[[#This Row],[promien]]&lt;40000,1,0)</f>
        <v>1</v>
      </c>
      <c r="E6961" s="1">
        <f>IF(Tabela1[[#This Row],[promien]]=40000,1,0)</f>
        <v>0</v>
      </c>
      <c r="F6961" s="1">
        <v>3.1650624910214051</v>
      </c>
      <c r="G6961" s="1">
        <v>2.3469837431612017E-2</v>
      </c>
    </row>
    <row r="6962" spans="1:7">
      <c r="A6962">
        <v>214</v>
      </c>
      <c r="B6962">
        <v>342</v>
      </c>
      <c r="C6962" s="1">
        <f>(Tabela1[[#This Row],[x]]-H$3)*(Tabela1[[#This Row],[x]]-H$3) +(Tabela1[[#This Row],[y]]-H$4)*(Tabela1[[#This Row],[y]]-H$4)</f>
        <v>20360</v>
      </c>
      <c r="D6962" s="1">
        <f>IF(Tabela1[[#This Row],[promien]]&lt;40000,1,0)</f>
        <v>1</v>
      </c>
      <c r="E6962" s="1">
        <f>IF(Tabela1[[#This Row],[promien]]=40000,1,0)</f>
        <v>0</v>
      </c>
      <c r="F6962" s="1">
        <v>3.1651824188451596</v>
      </c>
      <c r="G6962" s="1">
        <v>2.358976525536649E-2</v>
      </c>
    </row>
    <row r="6963" spans="1:7">
      <c r="A6963">
        <v>288</v>
      </c>
      <c r="B6963">
        <v>196</v>
      </c>
      <c r="C6963" s="1">
        <f>(Tabela1[[#This Row],[x]]-H$3)*(Tabela1[[#This Row],[x]]-H$3) +(Tabela1[[#This Row],[y]]-H$4)*(Tabela1[[#This Row],[y]]-H$4)</f>
        <v>7760</v>
      </c>
      <c r="D6963" s="1">
        <f>IF(Tabela1[[#This Row],[promien]]&lt;40000,1,0)</f>
        <v>1</v>
      </c>
      <c r="E6963" s="1">
        <f>IF(Tabela1[[#This Row],[promien]]=40000,1,0)</f>
        <v>0</v>
      </c>
      <c r="F6963" s="1">
        <v>3.1653023122217436</v>
      </c>
      <c r="G6963" s="1">
        <v>2.3709658631950514E-2</v>
      </c>
    </row>
    <row r="6964" spans="1:7">
      <c r="A6964">
        <v>73</v>
      </c>
      <c r="B6964">
        <v>287</v>
      </c>
      <c r="C6964" s="1">
        <f>(Tabela1[[#This Row],[x]]-H$3)*(Tabela1[[#This Row],[x]]-H$3) +(Tabela1[[#This Row],[y]]-H$4)*(Tabela1[[#This Row],[y]]-H$4)</f>
        <v>23698</v>
      </c>
      <c r="D6964" s="1">
        <f>IF(Tabela1[[#This Row],[promien]]&lt;40000,1,0)</f>
        <v>1</v>
      </c>
      <c r="E6964" s="1">
        <f>IF(Tabela1[[#This Row],[promien]]=40000,1,0)</f>
        <v>0</v>
      </c>
      <c r="F6964" s="1">
        <v>3.1654221711659964</v>
      </c>
      <c r="G6964" s="1">
        <v>2.382951757620333E-2</v>
      </c>
    </row>
    <row r="6965" spans="1:7">
      <c r="A6965">
        <v>59</v>
      </c>
      <c r="B6965">
        <v>193</v>
      </c>
      <c r="C6965" s="1">
        <f>(Tabela1[[#This Row],[x]]-H$3)*(Tabela1[[#This Row],[x]]-H$3) +(Tabela1[[#This Row],[y]]-H$4)*(Tabela1[[#This Row],[y]]-H$4)</f>
        <v>19930</v>
      </c>
      <c r="D6965" s="1">
        <f>IF(Tabela1[[#This Row],[promien]]&lt;40000,1,0)</f>
        <v>1</v>
      </c>
      <c r="E6965" s="1">
        <f>IF(Tabela1[[#This Row],[promien]]=40000,1,0)</f>
        <v>0</v>
      </c>
      <c r="F6965" s="1">
        <v>3.1655419956927493</v>
      </c>
      <c r="G6965" s="1">
        <v>2.3949342102956184E-2</v>
      </c>
    </row>
    <row r="6966" spans="1:7">
      <c r="A6966">
        <v>398</v>
      </c>
      <c r="B6966">
        <v>245</v>
      </c>
      <c r="C6966" s="1">
        <f>(Tabela1[[#This Row],[x]]-H$3)*(Tabela1[[#This Row],[x]]-H$3) +(Tabela1[[#This Row],[y]]-H$4)*(Tabela1[[#This Row],[y]]-H$4)</f>
        <v>41229</v>
      </c>
      <c r="D6966" s="1">
        <f>IF(Tabela1[[#This Row],[promien]]&lt;40000,1,0)</f>
        <v>0</v>
      </c>
      <c r="E6966" s="1">
        <f>IF(Tabela1[[#This Row],[promien]]=40000,1,0)</f>
        <v>0</v>
      </c>
      <c r="F6966" s="1">
        <v>3.1650875681883432</v>
      </c>
      <c r="G6966" s="1">
        <v>2.3494914598550132E-2</v>
      </c>
    </row>
    <row r="6967" spans="1:7">
      <c r="A6967">
        <v>81</v>
      </c>
      <c r="B6967">
        <v>214</v>
      </c>
      <c r="C6967" s="1">
        <f>(Tabela1[[#This Row],[x]]-H$3)*(Tabela1[[#This Row],[x]]-H$3) +(Tabela1[[#This Row],[y]]-H$4)*(Tabela1[[#This Row],[y]]-H$4)</f>
        <v>14357</v>
      </c>
      <c r="D6967" s="1">
        <f>IF(Tabela1[[#This Row],[promien]]&lt;40000,1,0)</f>
        <v>1</v>
      </c>
      <c r="E6967" s="1">
        <f>IF(Tabela1[[#This Row],[promien]]=40000,1,0)</f>
        <v>0</v>
      </c>
      <c r="F6967" s="1">
        <v>3.165207406344194</v>
      </c>
      <c r="G6967" s="1">
        <v>2.3614752754400836E-2</v>
      </c>
    </row>
    <row r="6968" spans="1:7">
      <c r="A6968">
        <v>187</v>
      </c>
      <c r="B6968">
        <v>93</v>
      </c>
      <c r="C6968" s="1">
        <f>(Tabela1[[#This Row],[x]]-H$3)*(Tabela1[[#This Row],[x]]-H$3) +(Tabela1[[#This Row],[y]]-H$4)*(Tabela1[[#This Row],[y]]-H$4)</f>
        <v>11618</v>
      </c>
      <c r="D6968" s="1">
        <f>IF(Tabela1[[#This Row],[promien]]&lt;40000,1,0)</f>
        <v>1</v>
      </c>
      <c r="E6968" s="1">
        <f>IF(Tabela1[[#This Row],[promien]]=40000,1,0)</f>
        <v>0</v>
      </c>
      <c r="F6968" s="1">
        <v>3.1653272101033294</v>
      </c>
      <c r="G6968" s="1">
        <v>2.3734556513536287E-2</v>
      </c>
    </row>
    <row r="6969" spans="1:7">
      <c r="A6969">
        <v>373</v>
      </c>
      <c r="B6969">
        <v>79</v>
      </c>
      <c r="C6969" s="1">
        <f>(Tabela1[[#This Row],[x]]-H$3)*(Tabela1[[#This Row],[x]]-H$3) +(Tabela1[[#This Row],[y]]-H$4)*(Tabela1[[#This Row],[y]]-H$4)</f>
        <v>44570</v>
      </c>
      <c r="D6969" s="1">
        <f>IF(Tabela1[[#This Row],[promien]]&lt;40000,1,0)</f>
        <v>0</v>
      </c>
      <c r="E6969" s="1">
        <f>IF(Tabela1[[#This Row],[promien]]=40000,1,0)</f>
        <v>0</v>
      </c>
      <c r="F6969" s="1">
        <v>3.1648730090400345</v>
      </c>
      <c r="G6969" s="1">
        <v>2.328035545024143E-2</v>
      </c>
    </row>
    <row r="6970" spans="1:7">
      <c r="A6970">
        <v>177</v>
      </c>
      <c r="B6970">
        <v>177</v>
      </c>
      <c r="C6970" s="1">
        <f>(Tabela1[[#This Row],[x]]-H$3)*(Tabela1[[#This Row],[x]]-H$3) +(Tabela1[[#This Row],[y]]-H$4)*(Tabela1[[#This Row],[y]]-H$4)</f>
        <v>1058</v>
      </c>
      <c r="D6970" s="1">
        <f>IF(Tabela1[[#This Row],[promien]]&lt;40000,1,0)</f>
        <v>1</v>
      </c>
      <c r="E6970" s="1">
        <f>IF(Tabela1[[#This Row],[promien]]=40000,1,0)</f>
        <v>0</v>
      </c>
      <c r="F6970" s="1">
        <v>3.1649928263988523</v>
      </c>
      <c r="G6970" s="1">
        <v>2.340017280905915E-2</v>
      </c>
    </row>
    <row r="6971" spans="1:7">
      <c r="A6971">
        <v>224</v>
      </c>
      <c r="B6971">
        <v>359</v>
      </c>
      <c r="C6971" s="1">
        <f>(Tabela1[[#This Row],[x]]-H$3)*(Tabela1[[#This Row],[x]]-H$3) +(Tabela1[[#This Row],[y]]-H$4)*(Tabela1[[#This Row],[y]]-H$4)</f>
        <v>25857</v>
      </c>
      <c r="D6971" s="1">
        <f>IF(Tabela1[[#This Row],[promien]]&lt;40000,1,0)</f>
        <v>1</v>
      </c>
      <c r="E6971" s="1">
        <f>IF(Tabela1[[#This Row],[promien]]=40000,1,0)</f>
        <v>0</v>
      </c>
      <c r="F6971" s="1">
        <v>3.1651126093817243</v>
      </c>
      <c r="G6971" s="1">
        <v>2.3519955791931224E-2</v>
      </c>
    </row>
    <row r="6972" spans="1:7">
      <c r="A6972">
        <v>152</v>
      </c>
      <c r="B6972">
        <v>4</v>
      </c>
      <c r="C6972" s="1">
        <f>(Tabela1[[#This Row],[x]]-H$3)*(Tabela1[[#This Row],[x]]-H$3) +(Tabela1[[#This Row],[y]]-H$4)*(Tabela1[[#This Row],[y]]-H$4)</f>
        <v>40720</v>
      </c>
      <c r="D6972" s="1">
        <f>IF(Tabela1[[#This Row],[promien]]&lt;40000,1,0)</f>
        <v>0</v>
      </c>
      <c r="E6972" s="1">
        <f>IF(Tabela1[[#This Row],[promien]]=40000,1,0)</f>
        <v>0</v>
      </c>
      <c r="F6972" s="1">
        <v>3.1646586345381524</v>
      </c>
      <c r="G6972" s="1">
        <v>2.3065980948359321E-2</v>
      </c>
    </row>
    <row r="6973" spans="1:7">
      <c r="A6973">
        <v>13</v>
      </c>
      <c r="B6973">
        <v>341</v>
      </c>
      <c r="C6973" s="1">
        <f>(Tabela1[[#This Row],[x]]-H$3)*(Tabela1[[#This Row],[x]]-H$3) +(Tabela1[[#This Row],[y]]-H$4)*(Tabela1[[#This Row],[y]]-H$4)</f>
        <v>54850</v>
      </c>
      <c r="D6973" s="1">
        <f>IF(Tabela1[[#This Row],[promien]]&lt;40000,1,0)</f>
        <v>0</v>
      </c>
      <c r="E6973" s="1">
        <f>IF(Tabela1[[#This Row],[promien]]=40000,1,0)</f>
        <v>0</v>
      </c>
      <c r="F6973" s="1">
        <v>3.164204789903915</v>
      </c>
      <c r="G6973" s="1">
        <v>2.2612136314121845E-2</v>
      </c>
    </row>
    <row r="6974" spans="1:7">
      <c r="A6974">
        <v>124</v>
      </c>
      <c r="B6974">
        <v>375</v>
      </c>
      <c r="C6974" s="1">
        <f>(Tabela1[[#This Row],[x]]-H$3)*(Tabela1[[#This Row],[x]]-H$3) +(Tabela1[[#This Row],[y]]-H$4)*(Tabela1[[#This Row],[y]]-H$4)</f>
        <v>36401</v>
      </c>
      <c r="D6974" s="1">
        <f>IF(Tabela1[[#This Row],[promien]]&lt;40000,1,0)</f>
        <v>1</v>
      </c>
      <c r="E6974" s="1">
        <f>IF(Tabela1[[#This Row],[promien]]=40000,1,0)</f>
        <v>0</v>
      </c>
      <c r="F6974" s="1">
        <v>3.1643246343561802</v>
      </c>
      <c r="G6974" s="1">
        <v>2.273198076638705E-2</v>
      </c>
    </row>
    <row r="6975" spans="1:7">
      <c r="A6975">
        <v>386</v>
      </c>
      <c r="B6975">
        <v>315</v>
      </c>
      <c r="C6975" s="1">
        <f>(Tabela1[[#This Row],[x]]-H$3)*(Tabela1[[#This Row],[x]]-H$3) +(Tabela1[[#This Row],[y]]-H$4)*(Tabela1[[#This Row],[y]]-H$4)</f>
        <v>47821</v>
      </c>
      <c r="D6975" s="1">
        <f>IF(Tabela1[[#This Row],[promien]]&lt;40000,1,0)</f>
        <v>0</v>
      </c>
      <c r="E6975" s="1">
        <f>IF(Tabela1[[#This Row],[promien]]=40000,1,0)</f>
        <v>0</v>
      </c>
      <c r="F6975" s="1">
        <v>3.1638709677419357</v>
      </c>
      <c r="G6975" s="1">
        <v>2.2278314152142542E-2</v>
      </c>
    </row>
    <row r="6976" spans="1:7">
      <c r="A6976">
        <v>237</v>
      </c>
      <c r="B6976">
        <v>152</v>
      </c>
      <c r="C6976" s="1">
        <f>(Tabela1[[#This Row],[x]]-H$3)*(Tabela1[[#This Row],[x]]-H$3) +(Tabela1[[#This Row],[y]]-H$4)*(Tabela1[[#This Row],[y]]-H$4)</f>
        <v>3673</v>
      </c>
      <c r="D6976" s="1">
        <f>IF(Tabela1[[#This Row],[promien]]&lt;40000,1,0)</f>
        <v>1</v>
      </c>
      <c r="E6976" s="1">
        <f>IF(Tabela1[[#This Row],[promien]]=40000,1,0)</f>
        <v>0</v>
      </c>
      <c r="F6976" s="1">
        <v>3.1639908256880735</v>
      </c>
      <c r="G6976" s="1">
        <v>2.2398172098280433E-2</v>
      </c>
    </row>
    <row r="6977" spans="1:7">
      <c r="A6977">
        <v>152</v>
      </c>
      <c r="B6977">
        <v>12</v>
      </c>
      <c r="C6977" s="1">
        <f>(Tabela1[[#This Row],[x]]-H$3)*(Tabela1[[#This Row],[x]]-H$3) +(Tabela1[[#This Row],[y]]-H$4)*(Tabela1[[#This Row],[y]]-H$4)</f>
        <v>37648</v>
      </c>
      <c r="D6977" s="1">
        <f>IF(Tabela1[[#This Row],[promien]]&lt;40000,1,0)</f>
        <v>1</v>
      </c>
      <c r="E6977" s="1">
        <f>IF(Tabela1[[#This Row],[promien]]=40000,1,0)</f>
        <v>0</v>
      </c>
      <c r="F6977" s="1">
        <v>3.1641106492761932</v>
      </c>
      <c r="G6977" s="1">
        <v>2.2517995686400116E-2</v>
      </c>
    </row>
    <row r="6978" spans="1:7">
      <c r="A6978">
        <v>113</v>
      </c>
      <c r="B6978">
        <v>151</v>
      </c>
      <c r="C6978" s="1">
        <f>(Tabela1[[#This Row],[x]]-H$3)*(Tabela1[[#This Row],[x]]-H$3) +(Tabela1[[#This Row],[y]]-H$4)*(Tabela1[[#This Row],[y]]-H$4)</f>
        <v>9970</v>
      </c>
      <c r="D6978" s="1">
        <f>IF(Tabela1[[#This Row],[promien]]&lt;40000,1,0)</f>
        <v>1</v>
      </c>
      <c r="E6978" s="1">
        <f>IF(Tabela1[[#This Row],[promien]]=40000,1,0)</f>
        <v>0</v>
      </c>
      <c r="F6978" s="1">
        <v>3.164230438521066</v>
      </c>
      <c r="G6978" s="1">
        <v>2.2637784931272886E-2</v>
      </c>
    </row>
    <row r="6979" spans="1:7">
      <c r="A6979">
        <v>145</v>
      </c>
      <c r="B6979">
        <v>0</v>
      </c>
      <c r="C6979" s="1">
        <f>(Tabela1[[#This Row],[x]]-H$3)*(Tabela1[[#This Row],[x]]-H$3) +(Tabela1[[#This Row],[y]]-H$4)*(Tabela1[[#This Row],[y]]-H$4)</f>
        <v>43025</v>
      </c>
      <c r="D6979" s="1">
        <f>IF(Tabela1[[#This Row],[promien]]&lt;40000,1,0)</f>
        <v>0</v>
      </c>
      <c r="E6979" s="1">
        <f>IF(Tabela1[[#This Row],[promien]]=40000,1,0)</f>
        <v>0</v>
      </c>
      <c r="F6979" s="1">
        <v>3.16377704542198</v>
      </c>
      <c r="G6979" s="1">
        <v>2.21843918321869E-2</v>
      </c>
    </row>
    <row r="6980" spans="1:7">
      <c r="A6980">
        <v>70</v>
      </c>
      <c r="B6980">
        <v>332</v>
      </c>
      <c r="C6980" s="1">
        <f>(Tabela1[[#This Row],[x]]-H$3)*(Tabela1[[#This Row],[x]]-H$3) +(Tabela1[[#This Row],[y]]-H$4)*(Tabela1[[#This Row],[y]]-H$4)</f>
        <v>34324</v>
      </c>
      <c r="D6980" s="1">
        <f>IF(Tabela1[[#This Row],[promien]]&lt;40000,1,0)</f>
        <v>1</v>
      </c>
      <c r="E6980" s="1">
        <f>IF(Tabela1[[#This Row],[promien]]=40000,1,0)</f>
        <v>0</v>
      </c>
      <c r="F6980" s="1">
        <v>3.163896848137536</v>
      </c>
      <c r="G6980" s="1">
        <v>2.2304194547742906E-2</v>
      </c>
    </row>
    <row r="6981" spans="1:7">
      <c r="A6981">
        <v>14</v>
      </c>
      <c r="B6981">
        <v>390</v>
      </c>
      <c r="C6981" s="1">
        <f>(Tabela1[[#This Row],[x]]-H$3)*(Tabela1[[#This Row],[x]]-H$3) +(Tabela1[[#This Row],[y]]-H$4)*(Tabela1[[#This Row],[y]]-H$4)</f>
        <v>70696</v>
      </c>
      <c r="D6981" s="1">
        <f>IF(Tabela1[[#This Row],[promien]]&lt;40000,1,0)</f>
        <v>0</v>
      </c>
      <c r="E6981" s="1">
        <f>IF(Tabela1[[#This Row],[promien]]=40000,1,0)</f>
        <v>0</v>
      </c>
      <c r="F6981" s="1">
        <v>3.1634436327173758</v>
      </c>
      <c r="G6981" s="1">
        <v>2.1850979127582715E-2</v>
      </c>
    </row>
    <row r="6982" spans="1:7">
      <c r="A6982">
        <v>251</v>
      </c>
      <c r="B6982">
        <v>61</v>
      </c>
      <c r="C6982" s="1">
        <f>(Tabela1[[#This Row],[x]]-H$3)*(Tabela1[[#This Row],[x]]-H$3) +(Tabela1[[#This Row],[y]]-H$4)*(Tabela1[[#This Row],[y]]-H$4)</f>
        <v>21922</v>
      </c>
      <c r="D6982" s="1">
        <f>IF(Tabela1[[#This Row],[promien]]&lt;40000,1,0)</f>
        <v>1</v>
      </c>
      <c r="E6982" s="1">
        <f>IF(Tabela1[[#This Row],[promien]]=40000,1,0)</f>
        <v>0</v>
      </c>
      <c r="F6982" s="1">
        <v>3.1635634488685191</v>
      </c>
      <c r="G6982" s="1">
        <v>2.197079527872603E-2</v>
      </c>
    </row>
    <row r="6983" spans="1:7">
      <c r="A6983">
        <v>187</v>
      </c>
      <c r="B6983">
        <v>157</v>
      </c>
      <c r="C6983" s="1">
        <f>(Tabela1[[#This Row],[x]]-H$3)*(Tabela1[[#This Row],[x]]-H$3) +(Tabela1[[#This Row],[y]]-H$4)*(Tabela1[[#This Row],[y]]-H$4)</f>
        <v>2018</v>
      </c>
      <c r="D6983" s="1">
        <f>IF(Tabela1[[#This Row],[promien]]&lt;40000,1,0)</f>
        <v>1</v>
      </c>
      <c r="E6983" s="1">
        <f>IF(Tabela1[[#This Row],[promien]]=40000,1,0)</f>
        <v>0</v>
      </c>
      <c r="F6983" s="1">
        <v>3.1636832307031364</v>
      </c>
      <c r="G6983" s="1">
        <v>2.2090577113343279E-2</v>
      </c>
    </row>
    <row r="6984" spans="1:7">
      <c r="A6984">
        <v>358</v>
      </c>
      <c r="B6984">
        <v>266</v>
      </c>
      <c r="C6984" s="1">
        <f>(Tabela1[[#This Row],[x]]-H$3)*(Tabela1[[#This Row],[x]]-H$3) +(Tabela1[[#This Row],[y]]-H$4)*(Tabela1[[#This Row],[y]]-H$4)</f>
        <v>29320</v>
      </c>
      <c r="D6984" s="1">
        <f>IF(Tabela1[[#This Row],[promien]]&lt;40000,1,0)</f>
        <v>1</v>
      </c>
      <c r="E6984" s="1">
        <f>IF(Tabela1[[#This Row],[promien]]=40000,1,0)</f>
        <v>0</v>
      </c>
      <c r="F6984" s="1">
        <v>3.1638029782359678</v>
      </c>
      <c r="G6984" s="1">
        <v>2.2210324646174673E-2</v>
      </c>
    </row>
    <row r="6985" spans="1:7">
      <c r="A6985">
        <v>102</v>
      </c>
      <c r="B6985">
        <v>33</v>
      </c>
      <c r="C6985" s="1">
        <f>(Tabela1[[#This Row],[x]]-H$3)*(Tabela1[[#This Row],[x]]-H$3) +(Tabela1[[#This Row],[y]]-H$4)*(Tabela1[[#This Row],[y]]-H$4)</f>
        <v>37493</v>
      </c>
      <c r="D6985" s="1">
        <f>IF(Tabela1[[#This Row],[promien]]&lt;40000,1,0)</f>
        <v>1</v>
      </c>
      <c r="E6985" s="1">
        <f>IF(Tabela1[[#This Row],[promien]]=40000,1,0)</f>
        <v>0</v>
      </c>
      <c r="F6985" s="1">
        <v>3.1639226914817464</v>
      </c>
      <c r="G6985" s="1">
        <v>2.2330037891953314E-2</v>
      </c>
    </row>
    <row r="6986" spans="1:7">
      <c r="A6986">
        <v>133</v>
      </c>
      <c r="B6986">
        <v>25</v>
      </c>
      <c r="C6986" s="1">
        <f>(Tabela1[[#This Row],[x]]-H$3)*(Tabela1[[#This Row],[x]]-H$3) +(Tabela1[[#This Row],[y]]-H$4)*(Tabela1[[#This Row],[y]]-H$4)</f>
        <v>35114</v>
      </c>
      <c r="D6986" s="1">
        <f>IF(Tabela1[[#This Row],[promien]]&lt;40000,1,0)</f>
        <v>1</v>
      </c>
      <c r="E6986" s="1">
        <f>IF(Tabela1[[#This Row],[promien]]=40000,1,0)</f>
        <v>0</v>
      </c>
      <c r="F6986" s="1">
        <v>3.1640423704551961</v>
      </c>
      <c r="G6986" s="1">
        <v>2.244971686540298E-2</v>
      </c>
    </row>
    <row r="6987" spans="1:7">
      <c r="A6987">
        <v>267</v>
      </c>
      <c r="B6987">
        <v>353</v>
      </c>
      <c r="C6987" s="1">
        <f>(Tabela1[[#This Row],[x]]-H$3)*(Tabela1[[#This Row],[x]]-H$3) +(Tabela1[[#This Row],[y]]-H$4)*(Tabela1[[#This Row],[y]]-H$4)</f>
        <v>27898</v>
      </c>
      <c r="D6987" s="1">
        <f>IF(Tabela1[[#This Row],[promien]]&lt;40000,1,0)</f>
        <v>1</v>
      </c>
      <c r="E6987" s="1">
        <f>IF(Tabela1[[#This Row],[promien]]=40000,1,0)</f>
        <v>0</v>
      </c>
      <c r="F6987" s="1">
        <v>3.1641620151710321</v>
      </c>
      <c r="G6987" s="1">
        <v>2.2569361581239011E-2</v>
      </c>
    </row>
    <row r="6988" spans="1:7">
      <c r="A6988">
        <v>286</v>
      </c>
      <c r="B6988">
        <v>362</v>
      </c>
      <c r="C6988" s="1">
        <f>(Tabela1[[#This Row],[x]]-H$3)*(Tabela1[[#This Row],[x]]-H$3) +(Tabela1[[#This Row],[y]]-H$4)*(Tabela1[[#This Row],[y]]-H$4)</f>
        <v>33640</v>
      </c>
      <c r="D6988" s="1">
        <f>IF(Tabela1[[#This Row],[promien]]&lt;40000,1,0)</f>
        <v>1</v>
      </c>
      <c r="E6988" s="1">
        <f>IF(Tabela1[[#This Row],[promien]]=40000,1,0)</f>
        <v>0</v>
      </c>
      <c r="F6988" s="1">
        <v>3.164281625643961</v>
      </c>
      <c r="G6988" s="1">
        <v>2.2688972054167866E-2</v>
      </c>
    </row>
    <row r="6989" spans="1:7">
      <c r="A6989">
        <v>285</v>
      </c>
      <c r="B6989">
        <v>171</v>
      </c>
      <c r="C6989" s="1">
        <f>(Tabela1[[#This Row],[x]]-H$3)*(Tabela1[[#This Row],[x]]-H$3) +(Tabela1[[#This Row],[y]]-H$4)*(Tabela1[[#This Row],[y]]-H$4)</f>
        <v>8066</v>
      </c>
      <c r="D6989" s="1">
        <f>IF(Tabela1[[#This Row],[promien]]&lt;40000,1,0)</f>
        <v>1</v>
      </c>
      <c r="E6989" s="1">
        <f>IF(Tabela1[[#This Row],[promien]]=40000,1,0)</f>
        <v>0</v>
      </c>
      <c r="F6989" s="1">
        <v>3.164401201888682</v>
      </c>
      <c r="G6989" s="1">
        <v>2.2808548298888898E-2</v>
      </c>
    </row>
    <row r="6990" spans="1:7">
      <c r="A6990">
        <v>114</v>
      </c>
      <c r="B6990">
        <v>327</v>
      </c>
      <c r="C6990" s="1">
        <f>(Tabela1[[#This Row],[x]]-H$3)*(Tabela1[[#This Row],[x]]-H$3) +(Tabela1[[#This Row],[y]]-H$4)*(Tabela1[[#This Row],[y]]-H$4)</f>
        <v>23525</v>
      </c>
      <c r="D6990" s="1">
        <f>IF(Tabela1[[#This Row],[promien]]&lt;40000,1,0)</f>
        <v>1</v>
      </c>
      <c r="E6990" s="1">
        <f>IF(Tabela1[[#This Row],[promien]]=40000,1,0)</f>
        <v>0</v>
      </c>
      <c r="F6990" s="1">
        <v>3.1645207439198857</v>
      </c>
      <c r="G6990" s="1">
        <v>2.2928090330092576E-2</v>
      </c>
    </row>
    <row r="6991" spans="1:7">
      <c r="A6991">
        <v>146</v>
      </c>
      <c r="B6991">
        <v>236</v>
      </c>
      <c r="C6991" s="1">
        <f>(Tabela1[[#This Row],[x]]-H$3)*(Tabela1[[#This Row],[x]]-H$3) +(Tabela1[[#This Row],[y]]-H$4)*(Tabela1[[#This Row],[y]]-H$4)</f>
        <v>4212</v>
      </c>
      <c r="D6991" s="1">
        <f>IF(Tabela1[[#This Row],[promien]]&lt;40000,1,0)</f>
        <v>1</v>
      </c>
      <c r="E6991" s="1">
        <f>IF(Tabela1[[#This Row],[promien]]=40000,1,0)</f>
        <v>0</v>
      </c>
      <c r="F6991" s="1">
        <v>3.1646402517522527</v>
      </c>
      <c r="G6991" s="1">
        <v>2.3047598162459604E-2</v>
      </c>
    </row>
    <row r="6992" spans="1:7">
      <c r="A6992">
        <v>376</v>
      </c>
      <c r="B6992">
        <v>275</v>
      </c>
      <c r="C6992" s="1">
        <f>(Tabela1[[#This Row],[x]]-H$3)*(Tabela1[[#This Row],[x]]-H$3) +(Tabela1[[#This Row],[y]]-H$4)*(Tabela1[[#This Row],[y]]-H$4)</f>
        <v>36601</v>
      </c>
      <c r="D6992" s="1">
        <f>IF(Tabela1[[#This Row],[promien]]&lt;40000,1,0)</f>
        <v>1</v>
      </c>
      <c r="E6992" s="1">
        <f>IF(Tabela1[[#This Row],[promien]]=40000,1,0)</f>
        <v>0</v>
      </c>
      <c r="F6992" s="1">
        <v>3.1647597254004576</v>
      </c>
      <c r="G6992" s="1">
        <v>2.3167071810664464E-2</v>
      </c>
    </row>
    <row r="6993" spans="1:7">
      <c r="A6993">
        <v>197</v>
      </c>
      <c r="B6993">
        <v>127</v>
      </c>
      <c r="C6993" s="1">
        <f>(Tabela1[[#This Row],[x]]-H$3)*(Tabela1[[#This Row],[x]]-H$3) +(Tabela1[[#This Row],[y]]-H$4)*(Tabela1[[#This Row],[y]]-H$4)</f>
        <v>5338</v>
      </c>
      <c r="D6993" s="1">
        <f>IF(Tabela1[[#This Row],[promien]]&lt;40000,1,0)</f>
        <v>1</v>
      </c>
      <c r="E6993" s="1">
        <f>IF(Tabela1[[#This Row],[promien]]=40000,1,0)</f>
        <v>0</v>
      </c>
      <c r="F6993" s="1">
        <v>3.164879164879165</v>
      </c>
      <c r="G6993" s="1">
        <v>2.328651128937187E-2</v>
      </c>
    </row>
    <row r="6994" spans="1:7">
      <c r="A6994">
        <v>91</v>
      </c>
      <c r="B6994">
        <v>51</v>
      </c>
      <c r="C6994" s="1">
        <f>(Tabela1[[#This Row],[x]]-H$3)*(Tabela1[[#This Row],[x]]-H$3) +(Tabela1[[#This Row],[y]]-H$4)*(Tabela1[[#This Row],[y]]-H$4)</f>
        <v>34082</v>
      </c>
      <c r="D6994" s="1">
        <f>IF(Tabela1[[#This Row],[promien]]&lt;40000,1,0)</f>
        <v>1</v>
      </c>
      <c r="E6994" s="1">
        <f>IF(Tabela1[[#This Row],[promien]]=40000,1,0)</f>
        <v>0</v>
      </c>
      <c r="F6994" s="1">
        <v>3.1649985702030312</v>
      </c>
      <c r="G6994" s="1">
        <v>2.3405916613238098E-2</v>
      </c>
    </row>
    <row r="6995" spans="1:7">
      <c r="A6995">
        <v>168</v>
      </c>
      <c r="B6995">
        <v>208</v>
      </c>
      <c r="C6995" s="1">
        <f>(Tabela1[[#This Row],[x]]-H$3)*(Tabela1[[#This Row],[x]]-H$3) +(Tabela1[[#This Row],[y]]-H$4)*(Tabela1[[#This Row],[y]]-H$4)</f>
        <v>1088</v>
      </c>
      <c r="D6995" s="1">
        <f>IF(Tabela1[[#This Row],[promien]]&lt;40000,1,0)</f>
        <v>1</v>
      </c>
      <c r="E6995" s="1">
        <f>IF(Tabela1[[#This Row],[promien]]=40000,1,0)</f>
        <v>0</v>
      </c>
      <c r="F6995" s="1">
        <v>3.165117941386705</v>
      </c>
      <c r="G6995" s="1">
        <v>2.3525287796911876E-2</v>
      </c>
    </row>
    <row r="6996" spans="1:7">
      <c r="A6996">
        <v>226</v>
      </c>
      <c r="B6996">
        <v>372</v>
      </c>
      <c r="C6996" s="1">
        <f>(Tabela1[[#This Row],[x]]-H$3)*(Tabela1[[#This Row],[x]]-H$3) +(Tabela1[[#This Row],[y]]-H$4)*(Tabela1[[#This Row],[y]]-H$4)</f>
        <v>30260</v>
      </c>
      <c r="D6996" s="1">
        <f>IF(Tabela1[[#This Row],[promien]]&lt;40000,1,0)</f>
        <v>1</v>
      </c>
      <c r="E6996" s="1">
        <f>IF(Tabela1[[#This Row],[promien]]=40000,1,0)</f>
        <v>0</v>
      </c>
      <c r="F6996" s="1">
        <v>3.1652372784448257</v>
      </c>
      <c r="G6996" s="1">
        <v>2.3644624855032603E-2</v>
      </c>
    </row>
    <row r="6997" spans="1:7">
      <c r="A6997">
        <v>106</v>
      </c>
      <c r="B6997">
        <v>213</v>
      </c>
      <c r="C6997" s="1">
        <f>(Tabela1[[#This Row],[x]]-H$3)*(Tabela1[[#This Row],[x]]-H$3) +(Tabela1[[#This Row],[y]]-H$4)*(Tabela1[[#This Row],[y]]-H$4)</f>
        <v>9005</v>
      </c>
      <c r="D6997" s="1">
        <f>IF(Tabela1[[#This Row],[promien]]&lt;40000,1,0)</f>
        <v>1</v>
      </c>
      <c r="E6997" s="1">
        <f>IF(Tabela1[[#This Row],[promien]]=40000,1,0)</f>
        <v>0</v>
      </c>
      <c r="F6997" s="1">
        <v>3.1653565813920252</v>
      </c>
      <c r="G6997" s="1">
        <v>2.3763927802232132E-2</v>
      </c>
    </row>
    <row r="6998" spans="1:7">
      <c r="A6998">
        <v>354</v>
      </c>
      <c r="B6998">
        <v>239</v>
      </c>
      <c r="C6998" s="1">
        <f>(Tabela1[[#This Row],[x]]-H$3)*(Tabela1[[#This Row],[x]]-H$3) +(Tabela1[[#This Row],[y]]-H$4)*(Tabela1[[#This Row],[y]]-H$4)</f>
        <v>25237</v>
      </c>
      <c r="D6998" s="1">
        <f>IF(Tabela1[[#This Row],[promien]]&lt;40000,1,0)</f>
        <v>1</v>
      </c>
      <c r="E6998" s="1">
        <f>IF(Tabela1[[#This Row],[promien]]=40000,1,0)</f>
        <v>0</v>
      </c>
      <c r="F6998" s="1">
        <v>3.1654758502429265</v>
      </c>
      <c r="G6998" s="1">
        <v>2.3883196653133432E-2</v>
      </c>
    </row>
    <row r="6999" spans="1:7">
      <c r="A6999">
        <v>95</v>
      </c>
      <c r="B6999">
        <v>324</v>
      </c>
      <c r="C6999" s="1">
        <f>(Tabela1[[#This Row],[x]]-H$3)*(Tabela1[[#This Row],[x]]-H$3) +(Tabela1[[#This Row],[y]]-H$4)*(Tabela1[[#This Row],[y]]-H$4)</f>
        <v>26401</v>
      </c>
      <c r="D6999" s="1">
        <f>IF(Tabela1[[#This Row],[promien]]&lt;40000,1,0)</f>
        <v>1</v>
      </c>
      <c r="E6999" s="1">
        <f>IF(Tabela1[[#This Row],[promien]]=40000,1,0)</f>
        <v>0</v>
      </c>
      <c r="F6999" s="1">
        <v>3.1655950850121446</v>
      </c>
      <c r="G6999" s="1">
        <v>2.4002431422351478E-2</v>
      </c>
    </row>
    <row r="7000" spans="1:7">
      <c r="A7000">
        <v>19</v>
      </c>
      <c r="B7000">
        <v>153</v>
      </c>
      <c r="C7000" s="1">
        <f>(Tabela1[[#This Row],[x]]-H$3)*(Tabela1[[#This Row],[x]]-H$3) +(Tabela1[[#This Row],[y]]-H$4)*(Tabela1[[#This Row],[y]]-H$4)</f>
        <v>34970</v>
      </c>
      <c r="D7000" s="1">
        <f>IF(Tabela1[[#This Row],[promien]]&lt;40000,1,0)</f>
        <v>1</v>
      </c>
      <c r="E7000" s="1">
        <f>IF(Tabela1[[#This Row],[promien]]=40000,1,0)</f>
        <v>0</v>
      </c>
      <c r="F7000" s="1">
        <v>3.1657142857142859</v>
      </c>
      <c r="G7000" s="1">
        <v>2.4121632124492809E-2</v>
      </c>
    </row>
    <row r="7001" spans="1:7">
      <c r="A7001">
        <v>65</v>
      </c>
      <c r="B7001">
        <v>22</v>
      </c>
      <c r="C7001" s="1">
        <f>(Tabela1[[#This Row],[x]]-H$3)*(Tabela1[[#This Row],[x]]-H$3) +(Tabela1[[#This Row],[y]]-H$4)*(Tabela1[[#This Row],[y]]-H$4)</f>
        <v>49909</v>
      </c>
      <c r="D7001" s="1">
        <f>IF(Tabela1[[#This Row],[promien]]&lt;40000,1,0)</f>
        <v>0</v>
      </c>
      <c r="E7001" s="1">
        <f>IF(Tabela1[[#This Row],[promien]]=40000,1,0)</f>
        <v>0</v>
      </c>
      <c r="F7001" s="1">
        <v>3.1652621054135124</v>
      </c>
      <c r="G7001" s="1">
        <v>2.3669451823719267E-2</v>
      </c>
    </row>
    <row r="7002" spans="1:7">
      <c r="A7002">
        <v>98</v>
      </c>
      <c r="B7002">
        <v>398</v>
      </c>
      <c r="C7002" s="1">
        <f>(Tabela1[[#This Row],[x]]-H$3)*(Tabela1[[#This Row],[x]]-H$3) +(Tabela1[[#This Row],[y]]-H$4)*(Tabela1[[#This Row],[y]]-H$4)</f>
        <v>49608</v>
      </c>
      <c r="D7002" s="1">
        <f>IF(Tabela1[[#This Row],[promien]]&lt;40000,1,0)</f>
        <v>0</v>
      </c>
      <c r="E7002" s="1">
        <f>IF(Tabela1[[#This Row],[promien]]=40000,1,0)</f>
        <v>0</v>
      </c>
      <c r="F7002" s="1">
        <v>3.1648100542702085</v>
      </c>
      <c r="G7002" s="1">
        <v>2.3217400680415334E-2</v>
      </c>
    </row>
    <row r="7003" spans="1:7">
      <c r="A7003">
        <v>32</v>
      </c>
      <c r="B7003">
        <v>286</v>
      </c>
      <c r="C7003" s="1">
        <f>(Tabela1[[#This Row],[x]]-H$3)*(Tabela1[[#This Row],[x]]-H$3) +(Tabela1[[#This Row],[y]]-H$4)*(Tabela1[[#This Row],[y]]-H$4)</f>
        <v>35620</v>
      </c>
      <c r="D7003" s="1">
        <f>IF(Tabela1[[#This Row],[promien]]&lt;40000,1,0)</f>
        <v>1</v>
      </c>
      <c r="E7003" s="1">
        <f>IF(Tabela1[[#This Row],[promien]]=40000,1,0)</f>
        <v>0</v>
      </c>
      <c r="F7003" s="1">
        <v>3.1649293160074254</v>
      </c>
      <c r="G7003" s="1">
        <v>2.3336662417632326E-2</v>
      </c>
    </row>
    <row r="7004" spans="1:7">
      <c r="A7004">
        <v>6</v>
      </c>
      <c r="B7004">
        <v>53</v>
      </c>
      <c r="C7004" s="1">
        <f>(Tabela1[[#This Row],[x]]-H$3)*(Tabela1[[#This Row],[x]]-H$3) +(Tabela1[[#This Row],[y]]-H$4)*(Tabela1[[#This Row],[y]]-H$4)</f>
        <v>59245</v>
      </c>
      <c r="D7004" s="1">
        <f>IF(Tabela1[[#This Row],[promien]]&lt;40000,1,0)</f>
        <v>0</v>
      </c>
      <c r="E7004" s="1">
        <f>IF(Tabela1[[#This Row],[promien]]=40000,1,0)</f>
        <v>0</v>
      </c>
      <c r="F7004" s="1">
        <v>3.1644774414620218</v>
      </c>
      <c r="G7004" s="1">
        <v>2.2884787872228696E-2</v>
      </c>
    </row>
    <row r="7005" spans="1:7">
      <c r="A7005">
        <v>313</v>
      </c>
      <c r="B7005">
        <v>275</v>
      </c>
      <c r="C7005" s="1">
        <f>(Tabela1[[#This Row],[x]]-H$3)*(Tabela1[[#This Row],[x]]-H$3) +(Tabela1[[#This Row],[y]]-H$4)*(Tabela1[[#This Row],[y]]-H$4)</f>
        <v>18394</v>
      </c>
      <c r="D7005" s="1">
        <f>IF(Tabela1[[#This Row],[promien]]&lt;40000,1,0)</f>
        <v>1</v>
      </c>
      <c r="E7005" s="1">
        <f>IF(Tabela1[[#This Row],[promien]]=40000,1,0)</f>
        <v>0</v>
      </c>
      <c r="F7005" s="1">
        <v>3.1645967166309781</v>
      </c>
      <c r="G7005" s="1">
        <v>2.3004063041184963E-2</v>
      </c>
    </row>
    <row r="7006" spans="1:7">
      <c r="A7006">
        <v>306</v>
      </c>
      <c r="B7006">
        <v>138</v>
      </c>
      <c r="C7006" s="1">
        <f>(Tabela1[[#This Row],[x]]-H$3)*(Tabela1[[#This Row],[x]]-H$3) +(Tabela1[[#This Row],[y]]-H$4)*(Tabela1[[#This Row],[y]]-H$4)</f>
        <v>15080</v>
      </c>
      <c r="D7006" s="1">
        <f>IF(Tabela1[[#This Row],[promien]]&lt;40000,1,0)</f>
        <v>1</v>
      </c>
      <c r="E7006" s="1">
        <f>IF(Tabela1[[#This Row],[promien]]=40000,1,0)</f>
        <v>0</v>
      </c>
      <c r="F7006" s="1">
        <v>3.1647159577504995</v>
      </c>
      <c r="G7006" s="1">
        <v>2.3123304160706404E-2</v>
      </c>
    </row>
    <row r="7007" spans="1:7">
      <c r="A7007">
        <v>235</v>
      </c>
      <c r="B7007">
        <v>104</v>
      </c>
      <c r="C7007" s="1">
        <f>(Tabela1[[#This Row],[x]]-H$3)*(Tabela1[[#This Row],[x]]-H$3) +(Tabela1[[#This Row],[y]]-H$4)*(Tabela1[[#This Row],[y]]-H$4)</f>
        <v>10441</v>
      </c>
      <c r="D7007" s="1">
        <f>IF(Tabela1[[#This Row],[promien]]&lt;40000,1,0)</f>
        <v>1</v>
      </c>
      <c r="E7007" s="1">
        <f>IF(Tabela1[[#This Row],[promien]]=40000,1,0)</f>
        <v>0</v>
      </c>
      <c r="F7007" s="1">
        <v>3.1648351648351647</v>
      </c>
      <c r="G7007" s="1">
        <v>2.3242511245371578E-2</v>
      </c>
    </row>
    <row r="7008" spans="1:7">
      <c r="A7008">
        <v>342</v>
      </c>
      <c r="B7008">
        <v>326</v>
      </c>
      <c r="C7008" s="1">
        <f>(Tabela1[[#This Row],[x]]-H$3)*(Tabela1[[#This Row],[x]]-H$3) +(Tabela1[[#This Row],[y]]-H$4)*(Tabela1[[#This Row],[y]]-H$4)</f>
        <v>36040</v>
      </c>
      <c r="D7008" s="1">
        <f>IF(Tabela1[[#This Row],[promien]]&lt;40000,1,0)</f>
        <v>1</v>
      </c>
      <c r="E7008" s="1">
        <f>IF(Tabela1[[#This Row],[promien]]=40000,1,0)</f>
        <v>0</v>
      </c>
      <c r="F7008" s="1">
        <v>3.1649543378995433</v>
      </c>
      <c r="G7008" s="1">
        <v>2.3361684309750164E-2</v>
      </c>
    </row>
    <row r="7009" spans="1:7">
      <c r="A7009">
        <v>135</v>
      </c>
      <c r="B7009">
        <v>6</v>
      </c>
      <c r="C7009" s="1">
        <f>(Tabela1[[#This Row],[x]]-H$3)*(Tabela1[[#This Row],[x]]-H$3) +(Tabela1[[#This Row],[y]]-H$4)*(Tabela1[[#This Row],[y]]-H$4)</f>
        <v>41861</v>
      </c>
      <c r="D7009" s="1">
        <f>IF(Tabela1[[#This Row],[promien]]&lt;40000,1,0)</f>
        <v>0</v>
      </c>
      <c r="E7009" s="1">
        <f>IF(Tabela1[[#This Row],[promien]]=40000,1,0)</f>
        <v>0</v>
      </c>
      <c r="F7009" s="1">
        <v>3.164502782137252</v>
      </c>
      <c r="G7009" s="1">
        <v>2.2910128547458886E-2</v>
      </c>
    </row>
    <row r="7010" spans="1:7">
      <c r="A7010">
        <v>375</v>
      </c>
      <c r="B7010">
        <v>230</v>
      </c>
      <c r="C7010" s="1">
        <f>(Tabela1[[#This Row],[x]]-H$3)*(Tabela1[[#This Row],[x]]-H$3) +(Tabela1[[#This Row],[y]]-H$4)*(Tabela1[[#This Row],[y]]-H$4)</f>
        <v>31525</v>
      </c>
      <c r="D7010" s="1">
        <f>IF(Tabela1[[#This Row],[promien]]&lt;40000,1,0)</f>
        <v>1</v>
      </c>
      <c r="E7010" s="1">
        <f>IF(Tabela1[[#This Row],[promien]]=40000,1,0)</f>
        <v>0</v>
      </c>
      <c r="F7010" s="1">
        <v>3.1646219686162627</v>
      </c>
      <c r="G7010" s="1">
        <v>2.3029315026469543E-2</v>
      </c>
    </row>
    <row r="7011" spans="1:7">
      <c r="A7011">
        <v>293</v>
      </c>
      <c r="B7011">
        <v>252</v>
      </c>
      <c r="C7011" s="1">
        <f>(Tabela1[[#This Row],[x]]-H$3)*(Tabela1[[#This Row],[x]]-H$3) +(Tabela1[[#This Row],[y]]-H$4)*(Tabela1[[#This Row],[y]]-H$4)</f>
        <v>11353</v>
      </c>
      <c r="D7011" s="1">
        <f>IF(Tabela1[[#This Row],[promien]]&lt;40000,1,0)</f>
        <v>1</v>
      </c>
      <c r="E7011" s="1">
        <f>IF(Tabela1[[#This Row],[promien]]=40000,1,0)</f>
        <v>0</v>
      </c>
      <c r="F7011" s="1">
        <v>3.1647411210954215</v>
      </c>
      <c r="G7011" s="1">
        <v>2.3148467505628378E-2</v>
      </c>
    </row>
    <row r="7012" spans="1:7">
      <c r="A7012">
        <v>122</v>
      </c>
      <c r="B7012">
        <v>329</v>
      </c>
      <c r="C7012" s="1">
        <f>(Tabela1[[#This Row],[x]]-H$3)*(Tabela1[[#This Row],[x]]-H$3) +(Tabela1[[#This Row],[y]]-H$4)*(Tabela1[[#This Row],[y]]-H$4)</f>
        <v>22725</v>
      </c>
      <c r="D7012" s="1">
        <f>IF(Tabela1[[#This Row],[promien]]&lt;40000,1,0)</f>
        <v>1</v>
      </c>
      <c r="E7012" s="1">
        <f>IF(Tabela1[[#This Row],[promien]]=40000,1,0)</f>
        <v>0</v>
      </c>
      <c r="F7012" s="1">
        <v>3.1648602395892755</v>
      </c>
      <c r="G7012" s="1">
        <v>2.3267585999482421E-2</v>
      </c>
    </row>
    <row r="7013" spans="1:7">
      <c r="A7013">
        <v>143</v>
      </c>
      <c r="B7013">
        <v>394</v>
      </c>
      <c r="C7013" s="1">
        <f>(Tabela1[[#This Row],[x]]-H$3)*(Tabela1[[#This Row],[x]]-H$3) +(Tabela1[[#This Row],[y]]-H$4)*(Tabela1[[#This Row],[y]]-H$4)</f>
        <v>40885</v>
      </c>
      <c r="D7013" s="1">
        <f>IF(Tabela1[[#This Row],[promien]]&lt;40000,1,0)</f>
        <v>0</v>
      </c>
      <c r="E7013" s="1">
        <f>IF(Tabela1[[#This Row],[promien]]=40000,1,0)</f>
        <v>0</v>
      </c>
      <c r="F7013" s="1">
        <v>3.1644089547982319</v>
      </c>
      <c r="G7013" s="1">
        <v>2.2816301208438805E-2</v>
      </c>
    </row>
    <row r="7014" spans="1:7">
      <c r="A7014">
        <v>46</v>
      </c>
      <c r="B7014">
        <v>20</v>
      </c>
      <c r="C7014" s="1">
        <f>(Tabela1[[#This Row],[x]]-H$3)*(Tabela1[[#This Row],[x]]-H$3) +(Tabela1[[#This Row],[y]]-H$4)*(Tabela1[[#This Row],[y]]-H$4)</f>
        <v>56116</v>
      </c>
      <c r="D7014" s="1">
        <f>IF(Tabela1[[#This Row],[promien]]&lt;40000,1,0)</f>
        <v>0</v>
      </c>
      <c r="E7014" s="1">
        <f>IF(Tabela1[[#This Row],[promien]]=40000,1,0)</f>
        <v>0</v>
      </c>
      <c r="F7014" s="1">
        <v>3.1639577986883376</v>
      </c>
      <c r="G7014" s="1">
        <v>2.2365145098544481E-2</v>
      </c>
    </row>
    <row r="7015" spans="1:7">
      <c r="A7015">
        <v>81</v>
      </c>
      <c r="B7015">
        <v>108</v>
      </c>
      <c r="C7015" s="1">
        <f>(Tabela1[[#This Row],[x]]-H$3)*(Tabela1[[#This Row],[x]]-H$3) +(Tabela1[[#This Row],[y]]-H$4)*(Tabela1[[#This Row],[y]]-H$4)</f>
        <v>22625</v>
      </c>
      <c r="D7015" s="1">
        <f>IF(Tabela1[[#This Row],[promien]]&lt;40000,1,0)</f>
        <v>1</v>
      </c>
      <c r="E7015" s="1">
        <f>IF(Tabela1[[#This Row],[promien]]=40000,1,0)</f>
        <v>0</v>
      </c>
      <c r="F7015" s="1">
        <v>3.1640769779044904</v>
      </c>
      <c r="G7015" s="1">
        <v>2.2484324314697268E-2</v>
      </c>
    </row>
    <row r="7016" spans="1:7">
      <c r="A7016">
        <v>340</v>
      </c>
      <c r="B7016">
        <v>53</v>
      </c>
      <c r="C7016" s="1">
        <f>(Tabela1[[#This Row],[x]]-H$3)*(Tabela1[[#This Row],[x]]-H$3) +(Tabela1[[#This Row],[y]]-H$4)*(Tabela1[[#This Row],[y]]-H$4)</f>
        <v>41209</v>
      </c>
      <c r="D7016" s="1">
        <f>IF(Tabela1[[#This Row],[promien]]&lt;40000,1,0)</f>
        <v>0</v>
      </c>
      <c r="E7016" s="1">
        <f>IF(Tabela1[[#This Row],[promien]]=40000,1,0)</f>
        <v>0</v>
      </c>
      <c r="F7016" s="1">
        <v>3.1636259977194983</v>
      </c>
      <c r="G7016" s="1">
        <v>2.2033344129705146E-2</v>
      </c>
    </row>
    <row r="7017" spans="1:7">
      <c r="A7017">
        <v>318</v>
      </c>
      <c r="B7017">
        <v>219</v>
      </c>
      <c r="C7017" s="1">
        <f>(Tabela1[[#This Row],[x]]-H$3)*(Tabela1[[#This Row],[x]]-H$3) +(Tabela1[[#This Row],[y]]-H$4)*(Tabela1[[#This Row],[y]]-H$4)</f>
        <v>14285</v>
      </c>
      <c r="D7017" s="1">
        <f>IF(Tabela1[[#This Row],[promien]]&lt;40000,1,0)</f>
        <v>1</v>
      </c>
      <c r="E7017" s="1">
        <f>IF(Tabela1[[#This Row],[promien]]=40000,1,0)</f>
        <v>0</v>
      </c>
      <c r="F7017" s="1">
        <v>3.1637451902522447</v>
      </c>
      <c r="G7017" s="1">
        <v>2.2152536662451539E-2</v>
      </c>
    </row>
    <row r="7018" spans="1:7">
      <c r="A7018">
        <v>400</v>
      </c>
      <c r="B7018">
        <v>161</v>
      </c>
      <c r="C7018" s="1">
        <f>(Tabela1[[#This Row],[x]]-H$3)*(Tabela1[[#This Row],[x]]-H$3) +(Tabela1[[#This Row],[y]]-H$4)*(Tabela1[[#This Row],[y]]-H$4)</f>
        <v>41521</v>
      </c>
      <c r="D7018" s="1">
        <f>IF(Tabela1[[#This Row],[promien]]&lt;40000,1,0)</f>
        <v>0</v>
      </c>
      <c r="E7018" s="1">
        <f>IF(Tabela1[[#This Row],[promien]]=40000,1,0)</f>
        <v>0</v>
      </c>
      <c r="F7018" s="1">
        <v>3.1632943858649187</v>
      </c>
      <c r="G7018" s="1">
        <v>2.1701732275125618E-2</v>
      </c>
    </row>
    <row r="7019" spans="1:7">
      <c r="A7019">
        <v>216</v>
      </c>
      <c r="B7019">
        <v>308</v>
      </c>
      <c r="C7019" s="1">
        <f>(Tabela1[[#This Row],[x]]-H$3)*(Tabela1[[#This Row],[x]]-H$3) +(Tabela1[[#This Row],[y]]-H$4)*(Tabela1[[#This Row],[y]]-H$4)</f>
        <v>11920</v>
      </c>
      <c r="D7019" s="1">
        <f>IF(Tabela1[[#This Row],[promien]]&lt;40000,1,0)</f>
        <v>1</v>
      </c>
      <c r="E7019" s="1">
        <f>IF(Tabela1[[#This Row],[promien]]=40000,1,0)</f>
        <v>0</v>
      </c>
      <c r="F7019" s="1">
        <v>3.1634135916797264</v>
      </c>
      <c r="G7019" s="1">
        <v>2.1820938089933239E-2</v>
      </c>
    </row>
    <row r="7020" spans="1:7">
      <c r="A7020">
        <v>295</v>
      </c>
      <c r="B7020">
        <v>116</v>
      </c>
      <c r="C7020" s="1">
        <f>(Tabela1[[#This Row],[x]]-H$3)*(Tabela1[[#This Row],[x]]-H$3) +(Tabela1[[#This Row],[y]]-H$4)*(Tabela1[[#This Row],[y]]-H$4)</f>
        <v>16081</v>
      </c>
      <c r="D7020" s="1">
        <f>IF(Tabela1[[#This Row],[promien]]&lt;40000,1,0)</f>
        <v>1</v>
      </c>
      <c r="E7020" s="1">
        <f>IF(Tabela1[[#This Row],[promien]]=40000,1,0)</f>
        <v>0</v>
      </c>
      <c r="F7020" s="1">
        <v>3.1635327635327637</v>
      </c>
      <c r="G7020" s="1">
        <v>2.1940109942970576E-2</v>
      </c>
    </row>
    <row r="7021" spans="1:7">
      <c r="A7021">
        <v>184</v>
      </c>
      <c r="B7021">
        <v>29</v>
      </c>
      <c r="C7021" s="1">
        <f>(Tabela1[[#This Row],[x]]-H$3)*(Tabela1[[#This Row],[x]]-H$3) +(Tabela1[[#This Row],[y]]-H$4)*(Tabela1[[#This Row],[y]]-H$4)</f>
        <v>29497</v>
      </c>
      <c r="D7021" s="1">
        <f>IF(Tabela1[[#This Row],[promien]]&lt;40000,1,0)</f>
        <v>1</v>
      </c>
      <c r="E7021" s="1">
        <f>IF(Tabela1[[#This Row],[promien]]=40000,1,0)</f>
        <v>0</v>
      </c>
      <c r="F7021" s="1">
        <v>3.1636519014385414</v>
      </c>
      <c r="G7021" s="1">
        <v>2.2059247848748242E-2</v>
      </c>
    </row>
    <row r="7022" spans="1:7">
      <c r="A7022">
        <v>17</v>
      </c>
      <c r="B7022">
        <v>182</v>
      </c>
      <c r="C7022" s="1">
        <f>(Tabela1[[#This Row],[x]]-H$3)*(Tabela1[[#This Row],[x]]-H$3) +(Tabela1[[#This Row],[y]]-H$4)*(Tabela1[[#This Row],[y]]-H$4)</f>
        <v>33813</v>
      </c>
      <c r="D7022" s="1">
        <f>IF(Tabela1[[#This Row],[promien]]&lt;40000,1,0)</f>
        <v>1</v>
      </c>
      <c r="E7022" s="1">
        <f>IF(Tabela1[[#This Row],[promien]]=40000,1,0)</f>
        <v>0</v>
      </c>
      <c r="F7022" s="1">
        <v>3.1637710054115638</v>
      </c>
      <c r="G7022" s="1">
        <v>2.2178351821770637E-2</v>
      </c>
    </row>
    <row r="7023" spans="1:7">
      <c r="A7023">
        <v>171</v>
      </c>
      <c r="B7023">
        <v>278</v>
      </c>
      <c r="C7023" s="1">
        <f>(Tabela1[[#This Row],[x]]-H$3)*(Tabela1[[#This Row],[x]]-H$3) +(Tabela1[[#This Row],[y]]-H$4)*(Tabela1[[#This Row],[y]]-H$4)</f>
        <v>6925</v>
      </c>
      <c r="D7023" s="1">
        <f>IF(Tabela1[[#This Row],[promien]]&lt;40000,1,0)</f>
        <v>1</v>
      </c>
      <c r="E7023" s="1">
        <f>IF(Tabela1[[#This Row],[promien]]=40000,1,0)</f>
        <v>0</v>
      </c>
      <c r="F7023" s="1">
        <v>3.1638900754663251</v>
      </c>
      <c r="G7023" s="1">
        <v>2.2297421876531942E-2</v>
      </c>
    </row>
    <row r="7024" spans="1:7">
      <c r="A7024">
        <v>179</v>
      </c>
      <c r="B7024">
        <v>285</v>
      </c>
      <c r="C7024" s="1">
        <f>(Tabela1[[#This Row],[x]]-H$3)*(Tabela1[[#This Row],[x]]-H$3) +(Tabela1[[#This Row],[y]]-H$4)*(Tabela1[[#This Row],[y]]-H$4)</f>
        <v>7666</v>
      </c>
      <c r="D7024" s="1">
        <f>IF(Tabela1[[#This Row],[promien]]&lt;40000,1,0)</f>
        <v>1</v>
      </c>
      <c r="E7024" s="1">
        <f>IF(Tabela1[[#This Row],[promien]]=40000,1,0)</f>
        <v>0</v>
      </c>
      <c r="F7024" s="1">
        <v>3.1640091116173119</v>
      </c>
      <c r="G7024" s="1">
        <v>2.2416458027518793E-2</v>
      </c>
    </row>
    <row r="7025" spans="1:7">
      <c r="A7025">
        <v>25</v>
      </c>
      <c r="B7025">
        <v>229</v>
      </c>
      <c r="C7025" s="1">
        <f>(Tabela1[[#This Row],[x]]-H$3)*(Tabela1[[#This Row],[x]]-H$3) +(Tabela1[[#This Row],[y]]-H$4)*(Tabela1[[#This Row],[y]]-H$4)</f>
        <v>31466</v>
      </c>
      <c r="D7025" s="1">
        <f>IF(Tabela1[[#This Row],[promien]]&lt;40000,1,0)</f>
        <v>1</v>
      </c>
      <c r="E7025" s="1">
        <f>IF(Tabela1[[#This Row],[promien]]=40000,1,0)</f>
        <v>0</v>
      </c>
      <c r="F7025" s="1">
        <v>3.1641281138790034</v>
      </c>
      <c r="G7025" s="1">
        <v>2.2535460289210274E-2</v>
      </c>
    </row>
    <row r="7026" spans="1:7">
      <c r="A7026">
        <v>120</v>
      </c>
      <c r="B7026">
        <v>48</v>
      </c>
      <c r="C7026" s="1">
        <f>(Tabela1[[#This Row],[x]]-H$3)*(Tabela1[[#This Row],[x]]-H$3) +(Tabela1[[#This Row],[y]]-H$4)*(Tabela1[[#This Row],[y]]-H$4)</f>
        <v>29504</v>
      </c>
      <c r="D7026" s="1">
        <f>IF(Tabela1[[#This Row],[promien]]&lt;40000,1,0)</f>
        <v>1</v>
      </c>
      <c r="E7026" s="1">
        <f>IF(Tabela1[[#This Row],[promien]]=40000,1,0)</f>
        <v>0</v>
      </c>
      <c r="F7026" s="1">
        <v>3.1642470822658697</v>
      </c>
      <c r="G7026" s="1">
        <v>2.2654428676076588E-2</v>
      </c>
    </row>
    <row r="7027" spans="1:7">
      <c r="A7027">
        <v>345</v>
      </c>
      <c r="B7027">
        <v>93</v>
      </c>
      <c r="C7027" s="1">
        <f>(Tabela1[[#This Row],[x]]-H$3)*(Tabela1[[#This Row],[x]]-H$3) +(Tabela1[[#This Row],[y]]-H$4)*(Tabela1[[#This Row],[y]]-H$4)</f>
        <v>32474</v>
      </c>
      <c r="D7027" s="1">
        <f>IF(Tabela1[[#This Row],[promien]]&lt;40000,1,0)</f>
        <v>1</v>
      </c>
      <c r="E7027" s="1">
        <f>IF(Tabela1[[#This Row],[promien]]=40000,1,0)</f>
        <v>0</v>
      </c>
      <c r="F7027" s="1">
        <v>3.1643660167923722</v>
      </c>
      <c r="G7027" s="1">
        <v>2.2773363202579056E-2</v>
      </c>
    </row>
    <row r="7028" spans="1:7">
      <c r="A7028">
        <v>28</v>
      </c>
      <c r="B7028">
        <v>358</v>
      </c>
      <c r="C7028" s="1">
        <f>(Tabela1[[#This Row],[x]]-H$3)*(Tabela1[[#This Row],[x]]-H$3) +(Tabela1[[#This Row],[y]]-H$4)*(Tabela1[[#This Row],[y]]-H$4)</f>
        <v>54548</v>
      </c>
      <c r="D7028" s="1">
        <f>IF(Tabela1[[#This Row],[promien]]&lt;40000,1,0)</f>
        <v>0</v>
      </c>
      <c r="E7028" s="1">
        <f>IF(Tabela1[[#This Row],[promien]]=40000,1,0)</f>
        <v>0</v>
      </c>
      <c r="F7028" s="1">
        <v>3.1639157655093908</v>
      </c>
      <c r="G7028" s="1">
        <v>2.2323111919597682E-2</v>
      </c>
    </row>
    <row r="7029" spans="1:7">
      <c r="A7029">
        <v>365</v>
      </c>
      <c r="B7029">
        <v>204</v>
      </c>
      <c r="C7029" s="1">
        <f>(Tabela1[[#This Row],[x]]-H$3)*(Tabela1[[#This Row],[x]]-H$3) +(Tabela1[[#This Row],[y]]-H$4)*(Tabela1[[#This Row],[y]]-H$4)</f>
        <v>27241</v>
      </c>
      <c r="D7029" s="1">
        <f>IF(Tabela1[[#This Row],[promien]]&lt;40000,1,0)</f>
        <v>1</v>
      </c>
      <c r="E7029" s="1">
        <f>IF(Tabela1[[#This Row],[promien]]=40000,1,0)</f>
        <v>0</v>
      </c>
      <c r="F7029" s="1">
        <v>3.164034713330488</v>
      </c>
      <c r="G7029" s="1">
        <v>2.2442059740694908E-2</v>
      </c>
    </row>
    <row r="7030" spans="1:7">
      <c r="A7030">
        <v>374</v>
      </c>
      <c r="B7030">
        <v>304</v>
      </c>
      <c r="C7030" s="1">
        <f>(Tabela1[[#This Row],[x]]-H$3)*(Tabela1[[#This Row],[x]]-H$3) +(Tabela1[[#This Row],[y]]-H$4)*(Tabela1[[#This Row],[y]]-H$4)</f>
        <v>41092</v>
      </c>
      <c r="D7030" s="1">
        <f>IF(Tabela1[[#This Row],[promien]]&lt;40000,1,0)</f>
        <v>0</v>
      </c>
      <c r="E7030" s="1">
        <f>IF(Tabela1[[#This Row],[promien]]=40000,1,0)</f>
        <v>0</v>
      </c>
      <c r="F7030" s="1">
        <v>3.1635846372688476</v>
      </c>
      <c r="G7030" s="1">
        <v>2.1991983679054528E-2</v>
      </c>
    </row>
    <row r="7031" spans="1:7">
      <c r="A7031">
        <v>360</v>
      </c>
      <c r="B7031">
        <v>86</v>
      </c>
      <c r="C7031" s="1">
        <f>(Tabela1[[#This Row],[x]]-H$3)*(Tabela1[[#This Row],[x]]-H$3) +(Tabela1[[#This Row],[y]]-H$4)*(Tabela1[[#This Row],[y]]-H$4)</f>
        <v>38596</v>
      </c>
      <c r="D7031" s="1">
        <f>IF(Tabela1[[#This Row],[promien]]&lt;40000,1,0)</f>
        <v>1</v>
      </c>
      <c r="E7031" s="1">
        <f>IF(Tabela1[[#This Row],[promien]]=40000,1,0)</f>
        <v>0</v>
      </c>
      <c r="F7031" s="1">
        <v>3.1637035983501636</v>
      </c>
      <c r="G7031" s="1">
        <v>2.2110944760370455E-2</v>
      </c>
    </row>
    <row r="7032" spans="1:7">
      <c r="A7032">
        <v>55</v>
      </c>
      <c r="B7032">
        <v>314</v>
      </c>
      <c r="C7032" s="1">
        <f>(Tabela1[[#This Row],[x]]-H$3)*(Tabela1[[#This Row],[x]]-H$3) +(Tabela1[[#This Row],[y]]-H$4)*(Tabela1[[#This Row],[y]]-H$4)</f>
        <v>34021</v>
      </c>
      <c r="D7032" s="1">
        <f>IF(Tabela1[[#This Row],[promien]]&lt;40000,1,0)</f>
        <v>1</v>
      </c>
      <c r="E7032" s="1">
        <f>IF(Tabela1[[#This Row],[promien]]=40000,1,0)</f>
        <v>0</v>
      </c>
      <c r="F7032" s="1">
        <v>3.1638225255972698</v>
      </c>
      <c r="G7032" s="1">
        <v>2.2229872007476725E-2</v>
      </c>
    </row>
    <row r="7033" spans="1:7">
      <c r="A7033">
        <v>7</v>
      </c>
      <c r="B7033">
        <v>377</v>
      </c>
      <c r="C7033" s="1">
        <f>(Tabela1[[#This Row],[x]]-H$3)*(Tabela1[[#This Row],[x]]-H$3) +(Tabela1[[#This Row],[y]]-H$4)*(Tabela1[[#This Row],[y]]-H$4)</f>
        <v>68578</v>
      </c>
      <c r="D7033" s="1">
        <f>IF(Tabela1[[#This Row],[promien]]&lt;40000,1,0)</f>
        <v>0</v>
      </c>
      <c r="E7033" s="1">
        <f>IF(Tabela1[[#This Row],[promien]]=40000,1,0)</f>
        <v>0</v>
      </c>
      <c r="F7033" s="1">
        <v>3.1633726716906017</v>
      </c>
      <c r="G7033" s="1">
        <v>2.178001810080854E-2</v>
      </c>
    </row>
    <row r="7034" spans="1:7">
      <c r="A7034">
        <v>47</v>
      </c>
      <c r="B7034">
        <v>149</v>
      </c>
      <c r="C7034" s="1">
        <f>(Tabela1[[#This Row],[x]]-H$3)*(Tabela1[[#This Row],[x]]-H$3) +(Tabela1[[#This Row],[y]]-H$4)*(Tabela1[[#This Row],[y]]-H$4)</f>
        <v>26010</v>
      </c>
      <c r="D7034" s="1">
        <f>IF(Tabela1[[#This Row],[promien]]&lt;40000,1,0)</f>
        <v>1</v>
      </c>
      <c r="E7034" s="1">
        <f>IF(Tabela1[[#This Row],[promien]]=40000,1,0)</f>
        <v>0</v>
      </c>
      <c r="F7034" s="1">
        <v>3.1634916121694627</v>
      </c>
      <c r="G7034" s="1">
        <v>2.1898958579669614E-2</v>
      </c>
    </row>
    <row r="7035" spans="1:7">
      <c r="A7035">
        <v>168</v>
      </c>
      <c r="B7035">
        <v>255</v>
      </c>
      <c r="C7035" s="1">
        <f>(Tabela1[[#This Row],[x]]-H$3)*(Tabela1[[#This Row],[x]]-H$3) +(Tabela1[[#This Row],[y]]-H$4)*(Tabela1[[#This Row],[y]]-H$4)</f>
        <v>4049</v>
      </c>
      <c r="D7035" s="1">
        <f>IF(Tabela1[[#This Row],[promien]]&lt;40000,1,0)</f>
        <v>1</v>
      </c>
      <c r="E7035" s="1">
        <f>IF(Tabela1[[#This Row],[promien]]=40000,1,0)</f>
        <v>0</v>
      </c>
      <c r="F7035" s="1">
        <v>3.1636105188343993</v>
      </c>
      <c r="G7035" s="1">
        <v>2.2017865244606138E-2</v>
      </c>
    </row>
    <row r="7036" spans="1:7">
      <c r="A7036">
        <v>392</v>
      </c>
      <c r="B7036">
        <v>297</v>
      </c>
      <c r="C7036" s="1">
        <f>(Tabela1[[#This Row],[x]]-H$3)*(Tabela1[[#This Row],[x]]-H$3) +(Tabela1[[#This Row],[y]]-H$4)*(Tabela1[[#This Row],[y]]-H$4)</f>
        <v>46273</v>
      </c>
      <c r="D7036" s="1">
        <f>IF(Tabela1[[#This Row],[promien]]&lt;40000,1,0)</f>
        <v>0</v>
      </c>
      <c r="E7036" s="1">
        <f>IF(Tabela1[[#This Row],[promien]]=40000,1,0)</f>
        <v>0</v>
      </c>
      <c r="F7036" s="1">
        <v>3.1631608868675385</v>
      </c>
      <c r="G7036" s="1">
        <v>2.1568233277745374E-2</v>
      </c>
    </row>
    <row r="7037" spans="1:7">
      <c r="A7037">
        <v>66</v>
      </c>
      <c r="B7037">
        <v>356</v>
      </c>
      <c r="C7037" s="1">
        <f>(Tabela1[[#This Row],[x]]-H$3)*(Tabela1[[#This Row],[x]]-H$3) +(Tabela1[[#This Row],[y]]-H$4)*(Tabela1[[#This Row],[y]]-H$4)</f>
        <v>42292</v>
      </c>
      <c r="D7037" s="1">
        <f>IF(Tabela1[[#This Row],[promien]]&lt;40000,1,0)</f>
        <v>0</v>
      </c>
      <c r="E7037" s="1">
        <f>IF(Tabela1[[#This Row],[promien]]=40000,1,0)</f>
        <v>0</v>
      </c>
      <c r="F7037" s="1">
        <v>3.1627113826914877</v>
      </c>
      <c r="G7037" s="1">
        <v>2.1118729101694544E-2</v>
      </c>
    </row>
    <row r="7038" spans="1:7">
      <c r="A7038">
        <v>213</v>
      </c>
      <c r="B7038">
        <v>47</v>
      </c>
      <c r="C7038" s="1">
        <f>(Tabela1[[#This Row],[x]]-H$3)*(Tabela1[[#This Row],[x]]-H$3) +(Tabela1[[#This Row],[y]]-H$4)*(Tabela1[[#This Row],[y]]-H$4)</f>
        <v>23578</v>
      </c>
      <c r="D7038" s="1">
        <f>IF(Tabela1[[#This Row],[promien]]&lt;40000,1,0)</f>
        <v>1</v>
      </c>
      <c r="E7038" s="1">
        <f>IF(Tabela1[[#This Row],[promien]]=40000,1,0)</f>
        <v>0</v>
      </c>
      <c r="F7038" s="1">
        <v>3.162830349531117</v>
      </c>
      <c r="G7038" s="1">
        <v>2.1237695941323853E-2</v>
      </c>
    </row>
    <row r="7039" spans="1:7">
      <c r="A7039">
        <v>316</v>
      </c>
      <c r="B7039">
        <v>227</v>
      </c>
      <c r="C7039" s="1">
        <f>(Tabela1[[#This Row],[x]]-H$3)*(Tabela1[[#This Row],[x]]-H$3) +(Tabela1[[#This Row],[y]]-H$4)*(Tabela1[[#This Row],[y]]-H$4)</f>
        <v>14185</v>
      </c>
      <c r="D7039" s="1">
        <f>IF(Tabela1[[#This Row],[promien]]&lt;40000,1,0)</f>
        <v>1</v>
      </c>
      <c r="E7039" s="1">
        <f>IF(Tabela1[[#This Row],[promien]]=40000,1,0)</f>
        <v>0</v>
      </c>
      <c r="F7039" s="1">
        <v>3.1629492825685466</v>
      </c>
      <c r="G7039" s="1">
        <v>2.1356628978753456E-2</v>
      </c>
    </row>
    <row r="7040" spans="1:7">
      <c r="A7040">
        <v>392</v>
      </c>
      <c r="B7040">
        <v>186</v>
      </c>
      <c r="C7040" s="1">
        <f>(Tabela1[[#This Row],[x]]-H$3)*(Tabela1[[#This Row],[x]]-H$3) +(Tabela1[[#This Row],[y]]-H$4)*(Tabela1[[#This Row],[y]]-H$4)</f>
        <v>37060</v>
      </c>
      <c r="D7040" s="1">
        <f>IF(Tabela1[[#This Row],[promien]]&lt;40000,1,0)</f>
        <v>1</v>
      </c>
      <c r="E7040" s="1">
        <f>IF(Tabela1[[#This Row],[promien]]=40000,1,0)</f>
        <v>0</v>
      </c>
      <c r="F7040" s="1">
        <v>3.1630681818181818</v>
      </c>
      <c r="G7040" s="1">
        <v>2.1475528228388718E-2</v>
      </c>
    </row>
    <row r="7041" spans="1:7">
      <c r="A7041">
        <v>365</v>
      </c>
      <c r="B7041">
        <v>324</v>
      </c>
      <c r="C7041" s="1">
        <f>(Tabela1[[#This Row],[x]]-H$3)*(Tabela1[[#This Row],[x]]-H$3) +(Tabela1[[#This Row],[y]]-H$4)*(Tabela1[[#This Row],[y]]-H$4)</f>
        <v>42601</v>
      </c>
      <c r="D7041" s="1">
        <f>IF(Tabela1[[#This Row],[promien]]&lt;40000,1,0)</f>
        <v>0</v>
      </c>
      <c r="E7041" s="1">
        <f>IF(Tabela1[[#This Row],[promien]]=40000,1,0)</f>
        <v>0</v>
      </c>
      <c r="F7041" s="1">
        <v>3.1626189461724188</v>
      </c>
      <c r="G7041" s="1">
        <v>2.1026292582625672E-2</v>
      </c>
    </row>
    <row r="7042" spans="1:7">
      <c r="A7042">
        <v>154</v>
      </c>
      <c r="B7042">
        <v>236</v>
      </c>
      <c r="C7042" s="1">
        <f>(Tabela1[[#This Row],[x]]-H$3)*(Tabela1[[#This Row],[x]]-H$3) +(Tabela1[[#This Row],[y]]-H$4)*(Tabela1[[#This Row],[y]]-H$4)</f>
        <v>3412</v>
      </c>
      <c r="D7042" s="1">
        <f>IF(Tabela1[[#This Row],[promien]]&lt;40000,1,0)</f>
        <v>1</v>
      </c>
      <c r="E7042" s="1">
        <f>IF(Tabela1[[#This Row],[promien]]=40000,1,0)</f>
        <v>0</v>
      </c>
      <c r="F7042" s="1">
        <v>3.1627378585629082</v>
      </c>
      <c r="G7042" s="1">
        <v>2.1145204973115117E-2</v>
      </c>
    </row>
    <row r="7043" spans="1:7">
      <c r="A7043">
        <v>114</v>
      </c>
      <c r="B7043">
        <v>284</v>
      </c>
      <c r="C7043" s="1">
        <f>(Tabela1[[#This Row],[x]]-H$3)*(Tabela1[[#This Row],[x]]-H$3) +(Tabela1[[#This Row],[y]]-H$4)*(Tabela1[[#This Row],[y]]-H$4)</f>
        <v>14452</v>
      </c>
      <c r="D7043" s="1">
        <f>IF(Tabela1[[#This Row],[promien]]&lt;40000,1,0)</f>
        <v>1</v>
      </c>
      <c r="E7043" s="1">
        <f>IF(Tabela1[[#This Row],[promien]]=40000,1,0)</f>
        <v>0</v>
      </c>
      <c r="F7043" s="1">
        <v>3.1628567371858582</v>
      </c>
      <c r="G7043" s="1">
        <v>2.1264083596065131E-2</v>
      </c>
    </row>
    <row r="7044" spans="1:7">
      <c r="A7044">
        <v>332</v>
      </c>
      <c r="B7044">
        <v>23</v>
      </c>
      <c r="C7044" s="1">
        <f>(Tabela1[[#This Row],[x]]-H$3)*(Tabela1[[#This Row],[x]]-H$3) +(Tabela1[[#This Row],[y]]-H$4)*(Tabela1[[#This Row],[y]]-H$4)</f>
        <v>48753</v>
      </c>
      <c r="D7044" s="1">
        <f>IF(Tabela1[[#This Row],[promien]]&lt;40000,1,0)</f>
        <v>0</v>
      </c>
      <c r="E7044" s="1">
        <f>IF(Tabela1[[#This Row],[promien]]=40000,1,0)</f>
        <v>0</v>
      </c>
      <c r="F7044" s="1">
        <v>3.1624077228847245</v>
      </c>
      <c r="G7044" s="1">
        <v>2.0815069294931376E-2</v>
      </c>
    </row>
    <row r="7045" spans="1:7">
      <c r="A7045">
        <v>15</v>
      </c>
      <c r="B7045">
        <v>388</v>
      </c>
      <c r="C7045" s="1">
        <f>(Tabela1[[#This Row],[x]]-H$3)*(Tabela1[[#This Row],[x]]-H$3) +(Tabela1[[#This Row],[y]]-H$4)*(Tabela1[[#This Row],[y]]-H$4)</f>
        <v>69569</v>
      </c>
      <c r="D7045" s="1">
        <f>IF(Tabela1[[#This Row],[promien]]&lt;40000,1,0)</f>
        <v>0</v>
      </c>
      <c r="E7045" s="1">
        <f>IF(Tabela1[[#This Row],[promien]]=40000,1,0)</f>
        <v>0</v>
      </c>
      <c r="F7045" s="1">
        <v>3.1619588360539388</v>
      </c>
      <c r="G7045" s="1">
        <v>2.0366182464145677E-2</v>
      </c>
    </row>
    <row r="7046" spans="1:7">
      <c r="A7046">
        <v>181</v>
      </c>
      <c r="B7046">
        <v>1</v>
      </c>
      <c r="C7046" s="1">
        <f>(Tabela1[[#This Row],[x]]-H$3)*(Tabela1[[#This Row],[x]]-H$3) +(Tabela1[[#This Row],[y]]-H$4)*(Tabela1[[#This Row],[y]]-H$4)</f>
        <v>39962</v>
      </c>
      <c r="D7046" s="1">
        <f>IF(Tabela1[[#This Row],[promien]]&lt;40000,1,0)</f>
        <v>1</v>
      </c>
      <c r="E7046" s="1">
        <f>IF(Tabela1[[#This Row],[promien]]=40000,1,0)</f>
        <v>0</v>
      </c>
      <c r="F7046" s="1">
        <v>3.1620777746239002</v>
      </c>
      <c r="G7046" s="1">
        <v>2.0485121034107046E-2</v>
      </c>
    </row>
    <row r="7047" spans="1:7">
      <c r="A7047">
        <v>219</v>
      </c>
      <c r="B7047">
        <v>66</v>
      </c>
      <c r="C7047" s="1">
        <f>(Tabela1[[#This Row],[x]]-H$3)*(Tabela1[[#This Row],[x]]-H$3) +(Tabela1[[#This Row],[y]]-H$4)*(Tabela1[[#This Row],[y]]-H$4)</f>
        <v>18317</v>
      </c>
      <c r="D7047" s="1">
        <f>IF(Tabela1[[#This Row],[promien]]&lt;40000,1,0)</f>
        <v>1</v>
      </c>
      <c r="E7047" s="1">
        <f>IF(Tabela1[[#This Row],[promien]]=40000,1,0)</f>
        <v>0</v>
      </c>
      <c r="F7047" s="1">
        <v>3.1621966794380589</v>
      </c>
      <c r="G7047" s="1">
        <v>2.0604025848265817E-2</v>
      </c>
    </row>
    <row r="7048" spans="1:7">
      <c r="A7048">
        <v>372</v>
      </c>
      <c r="B7048">
        <v>64</v>
      </c>
      <c r="C7048" s="1">
        <f>(Tabela1[[#This Row],[x]]-H$3)*(Tabela1[[#This Row],[x]]-H$3) +(Tabela1[[#This Row],[y]]-H$4)*(Tabela1[[#This Row],[y]]-H$4)</f>
        <v>48080</v>
      </c>
      <c r="D7048" s="1">
        <f>IF(Tabela1[[#This Row],[promien]]&lt;40000,1,0)</f>
        <v>0</v>
      </c>
      <c r="E7048" s="1">
        <f>IF(Tabela1[[#This Row],[promien]]=40000,1,0)</f>
        <v>0</v>
      </c>
      <c r="F7048" s="1">
        <v>3.1617480136208855</v>
      </c>
      <c r="G7048" s="1">
        <v>2.0155360031092417E-2</v>
      </c>
    </row>
    <row r="7049" spans="1:7">
      <c r="A7049">
        <v>194</v>
      </c>
      <c r="B7049">
        <v>279</v>
      </c>
      <c r="C7049" s="1">
        <f>(Tabela1[[#This Row],[x]]-H$3)*(Tabela1[[#This Row],[x]]-H$3) +(Tabela1[[#This Row],[y]]-H$4)*(Tabela1[[#This Row],[y]]-H$4)</f>
        <v>6277</v>
      </c>
      <c r="D7049" s="1">
        <f>IF(Tabela1[[#This Row],[promien]]&lt;40000,1,0)</f>
        <v>1</v>
      </c>
      <c r="E7049" s="1">
        <f>IF(Tabela1[[#This Row],[promien]]=40000,1,0)</f>
        <v>0</v>
      </c>
      <c r="F7049" s="1">
        <v>3.1618669314796426</v>
      </c>
      <c r="G7049" s="1">
        <v>2.0274277889849479E-2</v>
      </c>
    </row>
    <row r="7050" spans="1:7">
      <c r="A7050">
        <v>10</v>
      </c>
      <c r="B7050">
        <v>362</v>
      </c>
      <c r="C7050" s="1">
        <f>(Tabela1[[#This Row],[x]]-H$3)*(Tabela1[[#This Row],[x]]-H$3) +(Tabela1[[#This Row],[y]]-H$4)*(Tabela1[[#This Row],[y]]-H$4)</f>
        <v>62344</v>
      </c>
      <c r="D7050" s="1">
        <f>IF(Tabela1[[#This Row],[promien]]&lt;40000,1,0)</f>
        <v>0</v>
      </c>
      <c r="E7050" s="1">
        <f>IF(Tabela1[[#This Row],[promien]]=40000,1,0)</f>
        <v>0</v>
      </c>
      <c r="F7050" s="1">
        <v>3.1614184397163121</v>
      </c>
      <c r="G7050" s="1">
        <v>1.9825786126518974E-2</v>
      </c>
    </row>
    <row r="7051" spans="1:7">
      <c r="A7051">
        <v>219</v>
      </c>
      <c r="B7051">
        <v>1</v>
      </c>
      <c r="C7051" s="1">
        <f>(Tabela1[[#This Row],[x]]-H$3)*(Tabela1[[#This Row],[x]]-H$3) +(Tabela1[[#This Row],[y]]-H$4)*(Tabela1[[#This Row],[y]]-H$4)</f>
        <v>39962</v>
      </c>
      <c r="D7051" s="1">
        <f>IF(Tabela1[[#This Row],[promien]]&lt;40000,1,0)</f>
        <v>1</v>
      </c>
      <c r="E7051" s="1">
        <f>IF(Tabela1[[#This Row],[promien]]=40000,1,0)</f>
        <v>0</v>
      </c>
      <c r="F7051" s="1">
        <v>3.1615373705857324</v>
      </c>
      <c r="G7051" s="1">
        <v>1.9944716995939249E-2</v>
      </c>
    </row>
    <row r="7052" spans="1:7">
      <c r="A7052">
        <v>293</v>
      </c>
      <c r="B7052">
        <v>54</v>
      </c>
      <c r="C7052" s="1">
        <f>(Tabela1[[#This Row],[x]]-H$3)*(Tabela1[[#This Row],[x]]-H$3) +(Tabela1[[#This Row],[y]]-H$4)*(Tabela1[[#This Row],[y]]-H$4)</f>
        <v>29965</v>
      </c>
      <c r="D7052" s="1">
        <f>IF(Tabela1[[#This Row],[promien]]&lt;40000,1,0)</f>
        <v>1</v>
      </c>
      <c r="E7052" s="1">
        <f>IF(Tabela1[[#This Row],[promien]]=40000,1,0)</f>
        <v>0</v>
      </c>
      <c r="F7052" s="1">
        <v>3.1616562677254678</v>
      </c>
      <c r="G7052" s="1">
        <v>2.0063614135674701E-2</v>
      </c>
    </row>
    <row r="7053" spans="1:7">
      <c r="A7053">
        <v>335</v>
      </c>
      <c r="B7053">
        <v>82</v>
      </c>
      <c r="C7053" s="1">
        <f>(Tabela1[[#This Row],[x]]-H$3)*(Tabela1[[#This Row],[x]]-H$3) +(Tabela1[[#This Row],[y]]-H$4)*(Tabela1[[#This Row],[y]]-H$4)</f>
        <v>32149</v>
      </c>
      <c r="D7053" s="1">
        <f>IF(Tabela1[[#This Row],[promien]]&lt;40000,1,0)</f>
        <v>1</v>
      </c>
      <c r="E7053" s="1">
        <f>IF(Tabela1[[#This Row],[promien]]=40000,1,0)</f>
        <v>0</v>
      </c>
      <c r="F7053" s="1">
        <v>3.1617751311498652</v>
      </c>
      <c r="G7053" s="1">
        <v>2.0182477560072076E-2</v>
      </c>
    </row>
    <row r="7054" spans="1:7">
      <c r="A7054">
        <v>399</v>
      </c>
      <c r="B7054">
        <v>87</v>
      </c>
      <c r="C7054" s="1">
        <f>(Tabela1[[#This Row],[x]]-H$3)*(Tabela1[[#This Row],[x]]-H$3) +(Tabela1[[#This Row],[y]]-H$4)*(Tabela1[[#This Row],[y]]-H$4)</f>
        <v>52370</v>
      </c>
      <c r="D7054" s="1">
        <f>IF(Tabela1[[#This Row],[promien]]&lt;40000,1,0)</f>
        <v>0</v>
      </c>
      <c r="E7054" s="1">
        <f>IF(Tabela1[[#This Row],[promien]]=40000,1,0)</f>
        <v>0</v>
      </c>
      <c r="F7054" s="1">
        <v>3.1613269067195917</v>
      </c>
      <c r="G7054" s="1">
        <v>1.9734253129798596E-2</v>
      </c>
    </row>
    <row r="7055" spans="1:7">
      <c r="A7055">
        <v>212</v>
      </c>
      <c r="B7055">
        <v>23</v>
      </c>
      <c r="C7055" s="1">
        <f>(Tabela1[[#This Row],[x]]-H$3)*(Tabela1[[#This Row],[x]]-H$3) +(Tabela1[[#This Row],[y]]-H$4)*(Tabela1[[#This Row],[y]]-H$4)</f>
        <v>31473</v>
      </c>
      <c r="D7055" s="1">
        <f>IF(Tabela1[[#This Row],[promien]]&lt;40000,1,0)</f>
        <v>1</v>
      </c>
      <c r="E7055" s="1">
        <f>IF(Tabela1[[#This Row],[promien]]=40000,1,0)</f>
        <v>0</v>
      </c>
      <c r="F7055" s="1">
        <v>3.16144578313253</v>
      </c>
      <c r="G7055" s="1">
        <v>1.985312954273688E-2</v>
      </c>
    </row>
    <row r="7056" spans="1:7">
      <c r="A7056">
        <v>79</v>
      </c>
      <c r="B7056">
        <v>100</v>
      </c>
      <c r="C7056" s="1">
        <f>(Tabela1[[#This Row],[x]]-H$3)*(Tabela1[[#This Row],[x]]-H$3) +(Tabela1[[#This Row],[y]]-H$4)*(Tabela1[[#This Row],[y]]-H$4)</f>
        <v>24641</v>
      </c>
      <c r="D7056" s="1">
        <f>IF(Tabela1[[#This Row],[promien]]&lt;40000,1,0)</f>
        <v>1</v>
      </c>
      <c r="E7056" s="1">
        <f>IF(Tabela1[[#This Row],[promien]]=40000,1,0)</f>
        <v>0</v>
      </c>
      <c r="F7056" s="1">
        <v>3.1615646258503403</v>
      </c>
      <c r="G7056" s="1">
        <v>1.9971972260547144E-2</v>
      </c>
    </row>
    <row r="7057" spans="1:7">
      <c r="A7057">
        <v>324</v>
      </c>
      <c r="B7057">
        <v>303</v>
      </c>
      <c r="C7057" s="1">
        <f>(Tabela1[[#This Row],[x]]-H$3)*(Tabela1[[#This Row],[x]]-H$3) +(Tabela1[[#This Row],[y]]-H$4)*(Tabela1[[#This Row],[y]]-H$4)</f>
        <v>25985</v>
      </c>
      <c r="D7057" s="1">
        <f>IF(Tabela1[[#This Row],[promien]]&lt;40000,1,0)</f>
        <v>1</v>
      </c>
      <c r="E7057" s="1">
        <f>IF(Tabela1[[#This Row],[promien]]=40000,1,0)</f>
        <v>0</v>
      </c>
      <c r="F7057" s="1">
        <v>3.1616834348873457</v>
      </c>
      <c r="G7057" s="1">
        <v>2.0090781297552596E-2</v>
      </c>
    </row>
    <row r="7058" spans="1:7">
      <c r="A7058">
        <v>302</v>
      </c>
      <c r="B7058">
        <v>32</v>
      </c>
      <c r="C7058" s="1">
        <f>(Tabela1[[#This Row],[x]]-H$3)*(Tabela1[[#This Row],[x]]-H$3) +(Tabela1[[#This Row],[y]]-H$4)*(Tabela1[[#This Row],[y]]-H$4)</f>
        <v>38628</v>
      </c>
      <c r="D7058" s="1">
        <f>IF(Tabela1[[#This Row],[promien]]&lt;40000,1,0)</f>
        <v>1</v>
      </c>
      <c r="E7058" s="1">
        <f>IF(Tabela1[[#This Row],[promien]]=40000,1,0)</f>
        <v>0</v>
      </c>
      <c r="F7058" s="1">
        <v>3.1618022102578633</v>
      </c>
      <c r="G7058" s="1">
        <v>2.0209556668070228E-2</v>
      </c>
    </row>
    <row r="7059" spans="1:7">
      <c r="A7059">
        <v>69</v>
      </c>
      <c r="B7059">
        <v>327</v>
      </c>
      <c r="C7059" s="1">
        <f>(Tabela1[[#This Row],[x]]-H$3)*(Tabela1[[#This Row],[x]]-H$3) +(Tabela1[[#This Row],[y]]-H$4)*(Tabela1[[#This Row],[y]]-H$4)</f>
        <v>33290</v>
      </c>
      <c r="D7059" s="1">
        <f>IF(Tabela1[[#This Row],[promien]]&lt;40000,1,0)</f>
        <v>1</v>
      </c>
      <c r="E7059" s="1">
        <f>IF(Tabela1[[#This Row],[promien]]=40000,1,0)</f>
        <v>0</v>
      </c>
      <c r="F7059" s="1">
        <v>3.1619209519762004</v>
      </c>
      <c r="G7059" s="1">
        <v>2.0328298386407262E-2</v>
      </c>
    </row>
    <row r="7060" spans="1:7">
      <c r="A7060">
        <v>268</v>
      </c>
      <c r="B7060">
        <v>218</v>
      </c>
      <c r="C7060" s="1">
        <f>(Tabela1[[#This Row],[x]]-H$3)*(Tabela1[[#This Row],[x]]-H$3) +(Tabela1[[#This Row],[y]]-H$4)*(Tabela1[[#This Row],[y]]-H$4)</f>
        <v>4948</v>
      </c>
      <c r="D7060" s="1">
        <f>IF(Tabela1[[#This Row],[promien]]&lt;40000,1,0)</f>
        <v>1</v>
      </c>
      <c r="E7060" s="1">
        <f>IF(Tabela1[[#This Row],[promien]]=40000,1,0)</f>
        <v>0</v>
      </c>
      <c r="F7060" s="1">
        <v>3.1620396600566574</v>
      </c>
      <c r="G7060" s="1">
        <v>2.0447006466864259E-2</v>
      </c>
    </row>
    <row r="7061" spans="1:7">
      <c r="A7061">
        <v>339</v>
      </c>
      <c r="B7061">
        <v>105</v>
      </c>
      <c r="C7061" s="1">
        <f>(Tabela1[[#This Row],[x]]-H$3)*(Tabela1[[#This Row],[x]]-H$3) +(Tabela1[[#This Row],[y]]-H$4)*(Tabela1[[#This Row],[y]]-H$4)</f>
        <v>28346</v>
      </c>
      <c r="D7061" s="1">
        <f>IF(Tabela1[[#This Row],[promien]]&lt;40000,1,0)</f>
        <v>1</v>
      </c>
      <c r="E7061" s="1">
        <f>IF(Tabela1[[#This Row],[promien]]=40000,1,0)</f>
        <v>0</v>
      </c>
      <c r="F7061" s="1">
        <v>3.1621583345135251</v>
      </c>
      <c r="G7061" s="1">
        <v>2.056568092373201E-2</v>
      </c>
    </row>
    <row r="7062" spans="1:7">
      <c r="A7062">
        <v>315</v>
      </c>
      <c r="B7062">
        <v>372</v>
      </c>
      <c r="C7062" s="1">
        <f>(Tabela1[[#This Row],[x]]-H$3)*(Tabela1[[#This Row],[x]]-H$3) +(Tabela1[[#This Row],[y]]-H$4)*(Tabela1[[#This Row],[y]]-H$4)</f>
        <v>42809</v>
      </c>
      <c r="D7062" s="1">
        <f>IF(Tabela1[[#This Row],[promien]]&lt;40000,1,0)</f>
        <v>0</v>
      </c>
      <c r="E7062" s="1">
        <f>IF(Tabela1[[#This Row],[promien]]=40000,1,0)</f>
        <v>0</v>
      </c>
      <c r="F7062" s="1">
        <v>3.1617105635797222</v>
      </c>
      <c r="G7062" s="1">
        <v>2.0117909989929128E-2</v>
      </c>
    </row>
    <row r="7063" spans="1:7">
      <c r="A7063">
        <v>104</v>
      </c>
      <c r="B7063">
        <v>312</v>
      </c>
      <c r="C7063" s="1">
        <f>(Tabela1[[#This Row],[x]]-H$3)*(Tabela1[[#This Row],[x]]-H$3) +(Tabela1[[#This Row],[y]]-H$4)*(Tabela1[[#This Row],[y]]-H$4)</f>
        <v>21760</v>
      </c>
      <c r="D7063" s="1">
        <f>IF(Tabela1[[#This Row],[promien]]&lt;40000,1,0)</f>
        <v>1</v>
      </c>
      <c r="E7063" s="1">
        <f>IF(Tabela1[[#This Row],[promien]]=40000,1,0)</f>
        <v>0</v>
      </c>
      <c r="F7063" s="1">
        <v>3.1618292510264761</v>
      </c>
      <c r="G7063" s="1">
        <v>2.0236597436682935E-2</v>
      </c>
    </row>
    <row r="7064" spans="1:7">
      <c r="A7064">
        <v>304</v>
      </c>
      <c r="B7064">
        <v>134</v>
      </c>
      <c r="C7064" s="1">
        <f>(Tabela1[[#This Row],[x]]-H$3)*(Tabela1[[#This Row],[x]]-H$3) +(Tabela1[[#This Row],[y]]-H$4)*(Tabela1[[#This Row],[y]]-H$4)</f>
        <v>15172</v>
      </c>
      <c r="D7064" s="1">
        <f>IF(Tabela1[[#This Row],[promien]]&lt;40000,1,0)</f>
        <v>1</v>
      </c>
      <c r="E7064" s="1">
        <f>IF(Tabela1[[#This Row],[promien]]=40000,1,0)</f>
        <v>0</v>
      </c>
      <c r="F7064" s="1">
        <v>3.1619479048697623</v>
      </c>
      <c r="G7064" s="1">
        <v>2.0355251279969178E-2</v>
      </c>
    </row>
    <row r="7065" spans="1:7">
      <c r="A7065">
        <v>53</v>
      </c>
      <c r="B7065">
        <v>93</v>
      </c>
      <c r="C7065" s="1">
        <f>(Tabela1[[#This Row],[x]]-H$3)*(Tabela1[[#This Row],[x]]-H$3) +(Tabela1[[#This Row],[y]]-H$4)*(Tabela1[[#This Row],[y]]-H$4)</f>
        <v>33058</v>
      </c>
      <c r="D7065" s="1">
        <f>IF(Tabela1[[#This Row],[promien]]&lt;40000,1,0)</f>
        <v>1</v>
      </c>
      <c r="E7065" s="1">
        <f>IF(Tabela1[[#This Row],[promien]]=40000,1,0)</f>
        <v>0</v>
      </c>
      <c r="F7065" s="1">
        <v>3.16206652512385</v>
      </c>
      <c r="G7065" s="1">
        <v>2.0473871534056887E-2</v>
      </c>
    </row>
    <row r="7066" spans="1:7">
      <c r="A7066">
        <v>354</v>
      </c>
      <c r="B7066">
        <v>283</v>
      </c>
      <c r="C7066" s="1">
        <f>(Tabela1[[#This Row],[x]]-H$3)*(Tabela1[[#This Row],[x]]-H$3) +(Tabela1[[#This Row],[y]]-H$4)*(Tabela1[[#This Row],[y]]-H$4)</f>
        <v>30605</v>
      </c>
      <c r="D7066" s="1">
        <f>IF(Tabela1[[#This Row],[promien]]&lt;40000,1,0)</f>
        <v>1</v>
      </c>
      <c r="E7066" s="1">
        <f>IF(Tabela1[[#This Row],[promien]]=40000,1,0)</f>
        <v>0</v>
      </c>
      <c r="F7066" s="1">
        <v>3.1621851118030002</v>
      </c>
      <c r="G7066" s="1">
        <v>2.0592458213207099E-2</v>
      </c>
    </row>
    <row r="7067" spans="1:7">
      <c r="A7067">
        <v>178</v>
      </c>
      <c r="B7067">
        <v>386</v>
      </c>
      <c r="C7067" s="1">
        <f>(Tabela1[[#This Row],[x]]-H$3)*(Tabela1[[#This Row],[x]]-H$3) +(Tabela1[[#This Row],[y]]-H$4)*(Tabela1[[#This Row],[y]]-H$4)</f>
        <v>35080</v>
      </c>
      <c r="D7067" s="1">
        <f>IF(Tabela1[[#This Row],[promien]]&lt;40000,1,0)</f>
        <v>1</v>
      </c>
      <c r="E7067" s="1">
        <f>IF(Tabela1[[#This Row],[promien]]=40000,1,0)</f>
        <v>0</v>
      </c>
      <c r="F7067" s="1">
        <v>3.162303664921466</v>
      </c>
      <c r="G7067" s="1">
        <v>2.0711011331672857E-2</v>
      </c>
    </row>
    <row r="7068" spans="1:7">
      <c r="A7068">
        <v>166</v>
      </c>
      <c r="B7068">
        <v>247</v>
      </c>
      <c r="C7068" s="1">
        <f>(Tabela1[[#This Row],[x]]-H$3)*(Tabela1[[#This Row],[x]]-H$3) +(Tabela1[[#This Row],[y]]-H$4)*(Tabela1[[#This Row],[y]]-H$4)</f>
        <v>3365</v>
      </c>
      <c r="D7068" s="1">
        <f>IF(Tabela1[[#This Row],[promien]]&lt;40000,1,0)</f>
        <v>1</v>
      </c>
      <c r="E7068" s="1">
        <f>IF(Tabela1[[#This Row],[promien]]=40000,1,0)</f>
        <v>0</v>
      </c>
      <c r="F7068" s="1">
        <v>3.1624221844934919</v>
      </c>
      <c r="G7068" s="1">
        <v>2.0829530903698767E-2</v>
      </c>
    </row>
    <row r="7069" spans="1:7">
      <c r="A7069">
        <v>158</v>
      </c>
      <c r="B7069">
        <v>282</v>
      </c>
      <c r="C7069" s="1">
        <f>(Tabela1[[#This Row],[x]]-H$3)*(Tabela1[[#This Row],[x]]-H$3) +(Tabela1[[#This Row],[y]]-H$4)*(Tabela1[[#This Row],[y]]-H$4)</f>
        <v>8488</v>
      </c>
      <c r="D7069" s="1">
        <f>IF(Tabela1[[#This Row],[promien]]&lt;40000,1,0)</f>
        <v>1</v>
      </c>
      <c r="E7069" s="1">
        <f>IF(Tabela1[[#This Row],[promien]]=40000,1,0)</f>
        <v>0</v>
      </c>
      <c r="F7069" s="1">
        <v>3.1625406705333146</v>
      </c>
      <c r="G7069" s="1">
        <v>2.0948016943521441E-2</v>
      </c>
    </row>
    <row r="7070" spans="1:7">
      <c r="A7070">
        <v>237</v>
      </c>
      <c r="B7070">
        <v>384</v>
      </c>
      <c r="C7070" s="1">
        <f>(Tabela1[[#This Row],[x]]-H$3)*(Tabela1[[#This Row],[x]]-H$3) +(Tabela1[[#This Row],[y]]-H$4)*(Tabela1[[#This Row],[y]]-H$4)</f>
        <v>35225</v>
      </c>
      <c r="D7070" s="1">
        <f>IF(Tabela1[[#This Row],[promien]]&lt;40000,1,0)</f>
        <v>1</v>
      </c>
      <c r="E7070" s="1">
        <f>IF(Tabela1[[#This Row],[promien]]=40000,1,0)</f>
        <v>0</v>
      </c>
      <c r="F7070" s="1">
        <v>3.1626591230551626</v>
      </c>
      <c r="G7070" s="1">
        <v>2.1066469465369497E-2</v>
      </c>
    </row>
    <row r="7071" spans="1:7">
      <c r="A7071">
        <v>231</v>
      </c>
      <c r="B7071">
        <v>319</v>
      </c>
      <c r="C7071" s="1">
        <f>(Tabela1[[#This Row],[x]]-H$3)*(Tabela1[[#This Row],[x]]-H$3) +(Tabela1[[#This Row],[y]]-H$4)*(Tabela1[[#This Row],[y]]-H$4)</f>
        <v>15122</v>
      </c>
      <c r="D7071" s="1">
        <f>IF(Tabela1[[#This Row],[promien]]&lt;40000,1,0)</f>
        <v>1</v>
      </c>
      <c r="E7071" s="1">
        <f>IF(Tabela1[[#This Row],[promien]]=40000,1,0)</f>
        <v>0</v>
      </c>
      <c r="F7071" s="1">
        <v>3.1627775420732571</v>
      </c>
      <c r="G7071" s="1">
        <v>2.1184888483464004E-2</v>
      </c>
    </row>
    <row r="7072" spans="1:7">
      <c r="A7072">
        <v>298</v>
      </c>
      <c r="B7072">
        <v>280</v>
      </c>
      <c r="C7072" s="1">
        <f>(Tabela1[[#This Row],[x]]-H$3)*(Tabela1[[#This Row],[x]]-H$3) +(Tabela1[[#This Row],[y]]-H$4)*(Tabela1[[#This Row],[y]]-H$4)</f>
        <v>16004</v>
      </c>
      <c r="D7072" s="1">
        <f>IF(Tabela1[[#This Row],[promien]]&lt;40000,1,0)</f>
        <v>1</v>
      </c>
      <c r="E7072" s="1">
        <f>IF(Tabela1[[#This Row],[promien]]=40000,1,0)</f>
        <v>0</v>
      </c>
      <c r="F7072" s="1">
        <v>3.1628959276018098</v>
      </c>
      <c r="G7072" s="1">
        <v>2.1303274012016704E-2</v>
      </c>
    </row>
    <row r="7073" spans="1:7">
      <c r="A7073">
        <v>223</v>
      </c>
      <c r="B7073">
        <v>139</v>
      </c>
      <c r="C7073" s="1">
        <f>(Tabela1[[#This Row],[x]]-H$3)*(Tabela1[[#This Row],[x]]-H$3) +(Tabela1[[#This Row],[y]]-H$4)*(Tabela1[[#This Row],[y]]-H$4)</f>
        <v>4250</v>
      </c>
      <c r="D7073" s="1">
        <f>IF(Tabela1[[#This Row],[promien]]&lt;40000,1,0)</f>
        <v>1</v>
      </c>
      <c r="E7073" s="1">
        <f>IF(Tabela1[[#This Row],[promien]]=40000,1,0)</f>
        <v>0</v>
      </c>
      <c r="F7073" s="1">
        <v>3.1630142796550262</v>
      </c>
      <c r="G7073" s="1">
        <v>2.1421626065233124E-2</v>
      </c>
    </row>
    <row r="7074" spans="1:7">
      <c r="A7074">
        <v>360</v>
      </c>
      <c r="B7074">
        <v>255</v>
      </c>
      <c r="C7074" s="1">
        <f>(Tabela1[[#This Row],[x]]-H$3)*(Tabela1[[#This Row],[x]]-H$3) +(Tabela1[[#This Row],[y]]-H$4)*(Tabela1[[#This Row],[y]]-H$4)</f>
        <v>28625</v>
      </c>
      <c r="D7074" s="1">
        <f>IF(Tabela1[[#This Row],[promien]]&lt;40000,1,0)</f>
        <v>1</v>
      </c>
      <c r="E7074" s="1">
        <f>IF(Tabela1[[#This Row],[promien]]=40000,1,0)</f>
        <v>0</v>
      </c>
      <c r="F7074" s="1">
        <v>3.1631325982471021</v>
      </c>
      <c r="G7074" s="1">
        <v>2.1539944657309018E-2</v>
      </c>
    </row>
    <row r="7075" spans="1:7">
      <c r="A7075">
        <v>259</v>
      </c>
      <c r="B7075">
        <v>364</v>
      </c>
      <c r="C7075" s="1">
        <f>(Tabela1[[#This Row],[x]]-H$3)*(Tabela1[[#This Row],[x]]-H$3) +(Tabela1[[#This Row],[y]]-H$4)*(Tabela1[[#This Row],[y]]-H$4)</f>
        <v>30377</v>
      </c>
      <c r="D7075" s="1">
        <f>IF(Tabela1[[#This Row],[promien]]&lt;40000,1,0)</f>
        <v>1</v>
      </c>
      <c r="E7075" s="1">
        <f>IF(Tabela1[[#This Row],[promien]]=40000,1,0)</f>
        <v>0</v>
      </c>
      <c r="F7075" s="1">
        <v>3.1632508833922262</v>
      </c>
      <c r="G7075" s="1">
        <v>2.1658229802433038E-2</v>
      </c>
    </row>
    <row r="7076" spans="1:7">
      <c r="A7076">
        <v>89</v>
      </c>
      <c r="B7076">
        <v>113</v>
      </c>
      <c r="C7076" s="1">
        <f>(Tabela1[[#This Row],[x]]-H$3)*(Tabela1[[#This Row],[x]]-H$3) +(Tabela1[[#This Row],[y]]-H$4)*(Tabela1[[#This Row],[y]]-H$4)</f>
        <v>19890</v>
      </c>
      <c r="D7076" s="1">
        <f>IF(Tabela1[[#This Row],[promien]]&lt;40000,1,0)</f>
        <v>1</v>
      </c>
      <c r="E7076" s="1">
        <f>IF(Tabela1[[#This Row],[promien]]=40000,1,0)</f>
        <v>0</v>
      </c>
      <c r="F7076" s="1">
        <v>3.163369135104579</v>
      </c>
      <c r="G7076" s="1">
        <v>2.1776481514785839E-2</v>
      </c>
    </row>
    <row r="7077" spans="1:7">
      <c r="A7077">
        <v>349</v>
      </c>
      <c r="B7077">
        <v>377</v>
      </c>
      <c r="C7077" s="1">
        <f>(Tabela1[[#This Row],[x]]-H$3)*(Tabela1[[#This Row],[x]]-H$3) +(Tabela1[[#This Row],[y]]-H$4)*(Tabela1[[#This Row],[y]]-H$4)</f>
        <v>53530</v>
      </c>
      <c r="D7077" s="1">
        <f>IF(Tabela1[[#This Row],[promien]]&lt;40000,1,0)</f>
        <v>0</v>
      </c>
      <c r="E7077" s="1">
        <f>IF(Tabela1[[#This Row],[promien]]=40000,1,0)</f>
        <v>0</v>
      </c>
      <c r="F7077" s="1">
        <v>3.1629221421506286</v>
      </c>
      <c r="G7077" s="1">
        <v>2.1329488560835497E-2</v>
      </c>
    </row>
    <row r="7078" spans="1:7">
      <c r="A7078">
        <v>70</v>
      </c>
      <c r="B7078">
        <v>72</v>
      </c>
      <c r="C7078" s="1">
        <f>(Tabela1[[#This Row],[x]]-H$3)*(Tabela1[[#This Row],[x]]-H$3) +(Tabela1[[#This Row],[y]]-H$4)*(Tabela1[[#This Row],[y]]-H$4)</f>
        <v>33284</v>
      </c>
      <c r="D7078" s="1">
        <f>IF(Tabela1[[#This Row],[promien]]&lt;40000,1,0)</f>
        <v>1</v>
      </c>
      <c r="E7078" s="1">
        <f>IF(Tabela1[[#This Row],[promien]]=40000,1,0)</f>
        <v>0</v>
      </c>
      <c r="F7078" s="1">
        <v>3.163040406894603</v>
      </c>
      <c r="G7078" s="1">
        <v>2.1447753304809858E-2</v>
      </c>
    </row>
    <row r="7079" spans="1:7">
      <c r="A7079">
        <v>284</v>
      </c>
      <c r="B7079">
        <v>208</v>
      </c>
      <c r="C7079" s="1">
        <f>(Tabela1[[#This Row],[x]]-H$3)*(Tabela1[[#This Row],[x]]-H$3) +(Tabela1[[#This Row],[y]]-H$4)*(Tabela1[[#This Row],[y]]-H$4)</f>
        <v>7120</v>
      </c>
      <c r="D7079" s="1">
        <f>IF(Tabela1[[#This Row],[promien]]&lt;40000,1,0)</f>
        <v>1</v>
      </c>
      <c r="E7079" s="1">
        <f>IF(Tabela1[[#This Row],[promien]]=40000,1,0)</f>
        <v>0</v>
      </c>
      <c r="F7079" s="1">
        <v>3.1631586382257382</v>
      </c>
      <c r="G7079" s="1">
        <v>2.1565984635945057E-2</v>
      </c>
    </row>
    <row r="7080" spans="1:7">
      <c r="A7080">
        <v>67</v>
      </c>
      <c r="B7080">
        <v>222</v>
      </c>
      <c r="C7080" s="1">
        <f>(Tabela1[[#This Row],[x]]-H$3)*(Tabela1[[#This Row],[x]]-H$3) +(Tabela1[[#This Row],[y]]-H$4)*(Tabela1[[#This Row],[y]]-H$4)</f>
        <v>18173</v>
      </c>
      <c r="D7080" s="1">
        <f>IF(Tabela1[[#This Row],[promien]]&lt;40000,1,0)</f>
        <v>1</v>
      </c>
      <c r="E7080" s="1">
        <f>IF(Tabela1[[#This Row],[promien]]=40000,1,0)</f>
        <v>0</v>
      </c>
      <c r="F7080" s="1">
        <v>3.1632768361581922</v>
      </c>
      <c r="G7080" s="1">
        <v>2.1684182568399102E-2</v>
      </c>
    </row>
    <row r="7081" spans="1:7">
      <c r="A7081">
        <v>270</v>
      </c>
      <c r="B7081">
        <v>272</v>
      </c>
      <c r="C7081" s="1">
        <f>(Tabela1[[#This Row],[x]]-H$3)*(Tabela1[[#This Row],[x]]-H$3) +(Tabela1[[#This Row],[y]]-H$4)*(Tabela1[[#This Row],[y]]-H$4)</f>
        <v>10084</v>
      </c>
      <c r="D7081" s="1">
        <f>IF(Tabela1[[#This Row],[promien]]&lt;40000,1,0)</f>
        <v>1</v>
      </c>
      <c r="E7081" s="1">
        <f>IF(Tabela1[[#This Row],[promien]]=40000,1,0)</f>
        <v>0</v>
      </c>
      <c r="F7081" s="1">
        <v>3.1633950007061151</v>
      </c>
      <c r="G7081" s="1">
        <v>2.1802347116322007E-2</v>
      </c>
    </row>
    <row r="7082" spans="1:7">
      <c r="A7082">
        <v>299</v>
      </c>
      <c r="B7082">
        <v>272</v>
      </c>
      <c r="C7082" s="1">
        <f>(Tabela1[[#This Row],[x]]-H$3)*(Tabela1[[#This Row],[x]]-H$3) +(Tabela1[[#This Row],[y]]-H$4)*(Tabela1[[#This Row],[y]]-H$4)</f>
        <v>14985</v>
      </c>
      <c r="D7082" s="1">
        <f>IF(Tabela1[[#This Row],[promien]]&lt;40000,1,0)</f>
        <v>1</v>
      </c>
      <c r="E7082" s="1">
        <f>IF(Tabela1[[#This Row],[promien]]=40000,1,0)</f>
        <v>0</v>
      </c>
      <c r="F7082" s="1">
        <v>3.1635131318836485</v>
      </c>
      <c r="G7082" s="1">
        <v>2.192047829385535E-2</v>
      </c>
    </row>
    <row r="7083" spans="1:7">
      <c r="A7083">
        <v>241</v>
      </c>
      <c r="B7083">
        <v>134</v>
      </c>
      <c r="C7083" s="1">
        <f>(Tabela1[[#This Row],[x]]-H$3)*(Tabela1[[#This Row],[x]]-H$3) +(Tabela1[[#This Row],[y]]-H$4)*(Tabela1[[#This Row],[y]]-H$4)</f>
        <v>6037</v>
      </c>
      <c r="D7083" s="1">
        <f>IF(Tabela1[[#This Row],[promien]]&lt;40000,1,0)</f>
        <v>1</v>
      </c>
      <c r="E7083" s="1">
        <f>IF(Tabela1[[#This Row],[promien]]=40000,1,0)</f>
        <v>0</v>
      </c>
      <c r="F7083" s="1">
        <v>3.1636312297049272</v>
      </c>
      <c r="G7083" s="1">
        <v>2.2038576115134045E-2</v>
      </c>
    </row>
    <row r="7084" spans="1:7">
      <c r="A7084">
        <v>104</v>
      </c>
      <c r="B7084">
        <v>117</v>
      </c>
      <c r="C7084" s="1">
        <f>(Tabela1[[#This Row],[x]]-H$3)*(Tabela1[[#This Row],[x]]-H$3) +(Tabela1[[#This Row],[y]]-H$4)*(Tabela1[[#This Row],[y]]-H$4)</f>
        <v>16105</v>
      </c>
      <c r="D7084" s="1">
        <f>IF(Tabela1[[#This Row],[promien]]&lt;40000,1,0)</f>
        <v>1</v>
      </c>
      <c r="E7084" s="1">
        <f>IF(Tabela1[[#This Row],[promien]]=40000,1,0)</f>
        <v>0</v>
      </c>
      <c r="F7084" s="1">
        <v>3.1637492941840768</v>
      </c>
      <c r="G7084" s="1">
        <v>2.2156640594283683E-2</v>
      </c>
    </row>
    <row r="7085" spans="1:7">
      <c r="A7085">
        <v>41</v>
      </c>
      <c r="B7085">
        <v>161</v>
      </c>
      <c r="C7085" s="1">
        <f>(Tabela1[[#This Row],[x]]-H$3)*(Tabela1[[#This Row],[x]]-H$3) +(Tabela1[[#This Row],[y]]-H$4)*(Tabela1[[#This Row],[y]]-H$4)</f>
        <v>26802</v>
      </c>
      <c r="D7085" s="1">
        <f>IF(Tabela1[[#This Row],[promien]]&lt;40000,1,0)</f>
        <v>1</v>
      </c>
      <c r="E7085" s="1">
        <f>IF(Tabela1[[#This Row],[promien]]=40000,1,0)</f>
        <v>0</v>
      </c>
      <c r="F7085" s="1">
        <v>3.1638673253352154</v>
      </c>
      <c r="G7085" s="1">
        <v>2.2274671745422303E-2</v>
      </c>
    </row>
    <row r="7086" spans="1:7">
      <c r="A7086">
        <v>194</v>
      </c>
      <c r="B7086">
        <v>182</v>
      </c>
      <c r="C7086" s="1">
        <f>(Tabela1[[#This Row],[x]]-H$3)*(Tabela1[[#This Row],[x]]-H$3) +(Tabela1[[#This Row],[y]]-H$4)*(Tabela1[[#This Row],[y]]-H$4)</f>
        <v>360</v>
      </c>
      <c r="D7086" s="1">
        <f>IF(Tabela1[[#This Row],[promien]]&lt;40000,1,0)</f>
        <v>1</v>
      </c>
      <c r="E7086" s="1">
        <f>IF(Tabela1[[#This Row],[promien]]=40000,1,0)</f>
        <v>0</v>
      </c>
      <c r="F7086" s="1">
        <v>3.1639853231724526</v>
      </c>
      <c r="G7086" s="1">
        <v>2.2392669582659508E-2</v>
      </c>
    </row>
    <row r="7087" spans="1:7">
      <c r="A7087">
        <v>166</v>
      </c>
      <c r="B7087">
        <v>323</v>
      </c>
      <c r="C7087" s="1">
        <f>(Tabela1[[#This Row],[x]]-H$3)*(Tabela1[[#This Row],[x]]-H$3) +(Tabela1[[#This Row],[y]]-H$4)*(Tabela1[[#This Row],[y]]-H$4)</f>
        <v>16285</v>
      </c>
      <c r="D7087" s="1">
        <f>IF(Tabela1[[#This Row],[promien]]&lt;40000,1,0)</f>
        <v>1</v>
      </c>
      <c r="E7087" s="1">
        <f>IF(Tabela1[[#This Row],[promien]]=40000,1,0)</f>
        <v>0</v>
      </c>
      <c r="F7087" s="1">
        <v>3.1641032877098914</v>
      </c>
      <c r="G7087" s="1">
        <v>2.2510634120098238E-2</v>
      </c>
    </row>
    <row r="7088" spans="1:7">
      <c r="A7088">
        <v>63</v>
      </c>
      <c r="B7088">
        <v>112</v>
      </c>
      <c r="C7088" s="1">
        <f>(Tabela1[[#This Row],[x]]-H$3)*(Tabela1[[#This Row],[x]]-H$3) +(Tabela1[[#This Row],[y]]-H$4)*(Tabela1[[#This Row],[y]]-H$4)</f>
        <v>26513</v>
      </c>
      <c r="D7088" s="1">
        <f>IF(Tabela1[[#This Row],[promien]]&lt;40000,1,0)</f>
        <v>1</v>
      </c>
      <c r="E7088" s="1">
        <f>IF(Tabela1[[#This Row],[promien]]=40000,1,0)</f>
        <v>0</v>
      </c>
      <c r="F7088" s="1">
        <v>3.1642212189616252</v>
      </c>
      <c r="G7088" s="1">
        <v>2.262856537183211E-2</v>
      </c>
    </row>
    <row r="7089" spans="1:7">
      <c r="A7089">
        <v>49</v>
      </c>
      <c r="B7089">
        <v>189</v>
      </c>
      <c r="C7089" s="1">
        <f>(Tabela1[[#This Row],[x]]-H$3)*(Tabela1[[#This Row],[x]]-H$3) +(Tabela1[[#This Row],[y]]-H$4)*(Tabela1[[#This Row],[y]]-H$4)</f>
        <v>22922</v>
      </c>
      <c r="D7089" s="1">
        <f>IF(Tabela1[[#This Row],[promien]]&lt;40000,1,0)</f>
        <v>1</v>
      </c>
      <c r="E7089" s="1">
        <f>IF(Tabela1[[#This Row],[promien]]=40000,1,0)</f>
        <v>0</v>
      </c>
      <c r="F7089" s="1">
        <v>3.1643391169417407</v>
      </c>
      <c r="G7089" s="1">
        <v>2.2746463351947632E-2</v>
      </c>
    </row>
    <row r="7090" spans="1:7">
      <c r="A7090">
        <v>321</v>
      </c>
      <c r="B7090">
        <v>37</v>
      </c>
      <c r="C7090" s="1">
        <f>(Tabela1[[#This Row],[x]]-H$3)*(Tabela1[[#This Row],[x]]-H$3) +(Tabela1[[#This Row],[y]]-H$4)*(Tabela1[[#This Row],[y]]-H$4)</f>
        <v>41210</v>
      </c>
      <c r="D7090" s="1">
        <f>IF(Tabela1[[#This Row],[promien]]&lt;40000,1,0)</f>
        <v>0</v>
      </c>
      <c r="E7090" s="1">
        <f>IF(Tabela1[[#This Row],[promien]]=40000,1,0)</f>
        <v>0</v>
      </c>
      <c r="F7090" s="1">
        <v>3.1638928067700989</v>
      </c>
      <c r="G7090" s="1">
        <v>2.230015318030576E-2</v>
      </c>
    </row>
    <row r="7091" spans="1:7">
      <c r="A7091">
        <v>36</v>
      </c>
      <c r="B7091">
        <v>308</v>
      </c>
      <c r="C7091" s="1">
        <f>(Tabela1[[#This Row],[x]]-H$3)*(Tabela1[[#This Row],[x]]-H$3) +(Tabela1[[#This Row],[y]]-H$4)*(Tabela1[[#This Row],[y]]-H$4)</f>
        <v>38560</v>
      </c>
      <c r="D7091" s="1">
        <f>IF(Tabela1[[#This Row],[promien]]&lt;40000,1,0)</f>
        <v>1</v>
      </c>
      <c r="E7091" s="1">
        <f>IF(Tabela1[[#This Row],[promien]]=40000,1,0)</f>
        <v>0</v>
      </c>
      <c r="F7091" s="1">
        <v>3.1640107178113102</v>
      </c>
      <c r="G7091" s="1">
        <v>2.2418064221517042E-2</v>
      </c>
    </row>
    <row r="7092" spans="1:7">
      <c r="A7092">
        <v>44</v>
      </c>
      <c r="B7092">
        <v>322</v>
      </c>
      <c r="C7092" s="1">
        <f>(Tabela1[[#This Row],[x]]-H$3)*(Tabela1[[#This Row],[x]]-H$3) +(Tabela1[[#This Row],[y]]-H$4)*(Tabela1[[#This Row],[y]]-H$4)</f>
        <v>39220</v>
      </c>
      <c r="D7092" s="1">
        <f>IF(Tabela1[[#This Row],[promien]]&lt;40000,1,0)</f>
        <v>1</v>
      </c>
      <c r="E7092" s="1">
        <f>IF(Tabela1[[#This Row],[promien]]=40000,1,0)</f>
        <v>0</v>
      </c>
      <c r="F7092" s="1">
        <v>3.1641285956006766</v>
      </c>
      <c r="G7092" s="1">
        <v>2.2535942010883492E-2</v>
      </c>
    </row>
    <row r="7093" spans="1:7">
      <c r="A7093">
        <v>233</v>
      </c>
      <c r="B7093">
        <v>324</v>
      </c>
      <c r="C7093" s="1">
        <f>(Tabela1[[#This Row],[x]]-H$3)*(Tabela1[[#This Row],[x]]-H$3) +(Tabela1[[#This Row],[y]]-H$4)*(Tabela1[[#This Row],[y]]-H$4)</f>
        <v>16465</v>
      </c>
      <c r="D7093" s="1">
        <f>IF(Tabela1[[#This Row],[promien]]&lt;40000,1,0)</f>
        <v>1</v>
      </c>
      <c r="E7093" s="1">
        <f>IF(Tabela1[[#This Row],[promien]]=40000,1,0)</f>
        <v>0</v>
      </c>
      <c r="F7093" s="1">
        <v>3.164246440152263</v>
      </c>
      <c r="G7093" s="1">
        <v>2.2653786562469858E-2</v>
      </c>
    </row>
    <row r="7094" spans="1:7">
      <c r="A7094">
        <v>17</v>
      </c>
      <c r="B7094">
        <v>355</v>
      </c>
      <c r="C7094" s="1">
        <f>(Tabela1[[#This Row],[x]]-H$3)*(Tabela1[[#This Row],[x]]-H$3) +(Tabela1[[#This Row],[y]]-H$4)*(Tabela1[[#This Row],[y]]-H$4)</f>
        <v>57514</v>
      </c>
      <c r="D7094" s="1">
        <f>IF(Tabela1[[#This Row],[promien]]&lt;40000,1,0)</f>
        <v>0</v>
      </c>
      <c r="E7094" s="1">
        <f>IF(Tabela1[[#This Row],[promien]]=40000,1,0)</f>
        <v>0</v>
      </c>
      <c r="F7094" s="1">
        <v>3.1638003946997464</v>
      </c>
      <c r="G7094" s="1">
        <v>2.2207741109953272E-2</v>
      </c>
    </row>
    <row r="7095" spans="1:7">
      <c r="A7095">
        <v>189</v>
      </c>
      <c r="B7095">
        <v>100</v>
      </c>
      <c r="C7095" s="1">
        <f>(Tabela1[[#This Row],[x]]-H$3)*(Tabela1[[#This Row],[x]]-H$3) +(Tabela1[[#This Row],[y]]-H$4)*(Tabela1[[#This Row],[y]]-H$4)</f>
        <v>10121</v>
      </c>
      <c r="D7095" s="1">
        <f>IF(Tabela1[[#This Row],[promien]]&lt;40000,1,0)</f>
        <v>1</v>
      </c>
      <c r="E7095" s="1">
        <f>IF(Tabela1[[#This Row],[promien]]=40000,1,0)</f>
        <v>0</v>
      </c>
      <c r="F7095" s="1">
        <v>3.1639182522903453</v>
      </c>
      <c r="G7095" s="1">
        <v>2.2325598700552174E-2</v>
      </c>
    </row>
    <row r="7096" spans="1:7">
      <c r="A7096">
        <v>308</v>
      </c>
      <c r="B7096">
        <v>20</v>
      </c>
      <c r="C7096" s="1">
        <f>(Tabela1[[#This Row],[x]]-H$3)*(Tabela1[[#This Row],[x]]-H$3) +(Tabela1[[#This Row],[y]]-H$4)*(Tabela1[[#This Row],[y]]-H$4)</f>
        <v>44064</v>
      </c>
      <c r="D7096" s="1">
        <f>IF(Tabela1[[#This Row],[promien]]&lt;40000,1,0)</f>
        <v>0</v>
      </c>
      <c r="E7096" s="1">
        <f>IF(Tabela1[[#This Row],[promien]]=40000,1,0)</f>
        <v>0</v>
      </c>
      <c r="F7096" s="1">
        <v>3.1634723788049603</v>
      </c>
      <c r="G7096" s="1">
        <v>2.1879725215167234E-2</v>
      </c>
    </row>
    <row r="7097" spans="1:7">
      <c r="A7097">
        <v>39</v>
      </c>
      <c r="B7097">
        <v>199</v>
      </c>
      <c r="C7097" s="1">
        <f>(Tabela1[[#This Row],[x]]-H$3)*(Tabela1[[#This Row],[x]]-H$3) +(Tabela1[[#This Row],[y]]-H$4)*(Tabela1[[#This Row],[y]]-H$4)</f>
        <v>25922</v>
      </c>
      <c r="D7097" s="1">
        <f>IF(Tabela1[[#This Row],[promien]]&lt;40000,1,0)</f>
        <v>1</v>
      </c>
      <c r="E7097" s="1">
        <f>IF(Tabela1[[#This Row],[promien]]=40000,1,0)</f>
        <v>0</v>
      </c>
      <c r="F7097" s="1">
        <v>3.1635902494011554</v>
      </c>
      <c r="G7097" s="1">
        <v>2.1997595811362292E-2</v>
      </c>
    </row>
    <row r="7098" spans="1:7">
      <c r="A7098">
        <v>68</v>
      </c>
      <c r="B7098">
        <v>78</v>
      </c>
      <c r="C7098" s="1">
        <f>(Tabela1[[#This Row],[x]]-H$3)*(Tabela1[[#This Row],[x]]-H$3) +(Tabela1[[#This Row],[y]]-H$4)*(Tabela1[[#This Row],[y]]-H$4)</f>
        <v>32308</v>
      </c>
      <c r="D7098" s="1">
        <f>IF(Tabela1[[#This Row],[promien]]&lt;40000,1,0)</f>
        <v>1</v>
      </c>
      <c r="E7098" s="1">
        <f>IF(Tabela1[[#This Row],[promien]]=40000,1,0)</f>
        <v>0</v>
      </c>
      <c r="F7098" s="1">
        <v>3.16370808678501</v>
      </c>
      <c r="G7098" s="1">
        <v>2.2115433195216916E-2</v>
      </c>
    </row>
    <row r="7099" spans="1:7">
      <c r="A7099">
        <v>174</v>
      </c>
      <c r="B7099">
        <v>394</v>
      </c>
      <c r="C7099" s="1">
        <f>(Tabela1[[#This Row],[x]]-H$3)*(Tabela1[[#This Row],[x]]-H$3) +(Tabela1[[#This Row],[y]]-H$4)*(Tabela1[[#This Row],[y]]-H$4)</f>
        <v>38312</v>
      </c>
      <c r="D7099" s="1">
        <f>IF(Tabela1[[#This Row],[promien]]&lt;40000,1,0)</f>
        <v>1</v>
      </c>
      <c r="E7099" s="1">
        <f>IF(Tabela1[[#This Row],[promien]]=40000,1,0)</f>
        <v>0</v>
      </c>
      <c r="F7099" s="1">
        <v>3.1638258909705592</v>
      </c>
      <c r="G7099" s="1">
        <v>2.2233237380766102E-2</v>
      </c>
    </row>
    <row r="7100" spans="1:7">
      <c r="A7100">
        <v>299</v>
      </c>
      <c r="B7100">
        <v>376</v>
      </c>
      <c r="C7100" s="1">
        <f>(Tabela1[[#This Row],[x]]-H$3)*(Tabela1[[#This Row],[x]]-H$3) +(Tabela1[[#This Row],[y]]-H$4)*(Tabela1[[#This Row],[y]]-H$4)</f>
        <v>40777</v>
      </c>
      <c r="D7100" s="1">
        <f>IF(Tabela1[[#This Row],[promien]]&lt;40000,1,0)</f>
        <v>0</v>
      </c>
      <c r="E7100" s="1">
        <f>IF(Tabela1[[#This Row],[promien]]=40000,1,0)</f>
        <v>0</v>
      </c>
      <c r="F7100" s="1">
        <v>3.1633802816901406</v>
      </c>
      <c r="G7100" s="1">
        <v>2.1787628100347511E-2</v>
      </c>
    </row>
    <row r="7101" spans="1:7">
      <c r="A7101">
        <v>212</v>
      </c>
      <c r="B7101">
        <v>198</v>
      </c>
      <c r="C7101" s="1">
        <f>(Tabela1[[#This Row],[x]]-H$3)*(Tabela1[[#This Row],[x]]-H$3) +(Tabela1[[#This Row],[y]]-H$4)*(Tabela1[[#This Row],[y]]-H$4)</f>
        <v>148</v>
      </c>
      <c r="D7101" s="1">
        <f>IF(Tabela1[[#This Row],[promien]]&lt;40000,1,0)</f>
        <v>1</v>
      </c>
      <c r="E7101" s="1">
        <f>IF(Tabela1[[#This Row],[promien]]=40000,1,0)</f>
        <v>0</v>
      </c>
      <c r="F7101" s="1">
        <v>3.1634980988593155</v>
      </c>
      <c r="G7101" s="1">
        <v>2.1905445269522428E-2</v>
      </c>
    </row>
    <row r="7102" spans="1:7">
      <c r="A7102">
        <v>190</v>
      </c>
      <c r="B7102">
        <v>28</v>
      </c>
      <c r="C7102" s="1">
        <f>(Tabela1[[#This Row],[x]]-H$3)*(Tabela1[[#This Row],[x]]-H$3) +(Tabela1[[#This Row],[y]]-H$4)*(Tabela1[[#This Row],[y]]-H$4)</f>
        <v>29684</v>
      </c>
      <c r="D7102" s="1">
        <f>IF(Tabela1[[#This Row],[promien]]&lt;40000,1,0)</f>
        <v>1</v>
      </c>
      <c r="E7102" s="1">
        <f>IF(Tabela1[[#This Row],[promien]]=40000,1,0)</f>
        <v>0</v>
      </c>
      <c r="F7102" s="1">
        <v>3.1636158828499013</v>
      </c>
      <c r="G7102" s="1">
        <v>2.2023229260108135E-2</v>
      </c>
    </row>
    <row r="7103" spans="1:7">
      <c r="A7103">
        <v>178</v>
      </c>
      <c r="B7103">
        <v>336</v>
      </c>
      <c r="C7103" s="1">
        <f>(Tabela1[[#This Row],[x]]-H$3)*(Tabela1[[#This Row],[x]]-H$3) +(Tabela1[[#This Row],[y]]-H$4)*(Tabela1[[#This Row],[y]]-H$4)</f>
        <v>18980</v>
      </c>
      <c r="D7103" s="1">
        <f>IF(Tabela1[[#This Row],[promien]]&lt;40000,1,0)</f>
        <v>1</v>
      </c>
      <c r="E7103" s="1">
        <f>IF(Tabela1[[#This Row],[promien]]=40000,1,0)</f>
        <v>0</v>
      </c>
      <c r="F7103" s="1">
        <v>3.1637336336759114</v>
      </c>
      <c r="G7103" s="1">
        <v>2.2140980086118311E-2</v>
      </c>
    </row>
    <row r="7104" spans="1:7">
      <c r="A7104">
        <v>82</v>
      </c>
      <c r="B7104">
        <v>385</v>
      </c>
      <c r="C7104" s="1">
        <f>(Tabela1[[#This Row],[x]]-H$3)*(Tabela1[[#This Row],[x]]-H$3) +(Tabela1[[#This Row],[y]]-H$4)*(Tabela1[[#This Row],[y]]-H$4)</f>
        <v>48149</v>
      </c>
      <c r="D7104" s="1">
        <f>IF(Tabela1[[#This Row],[promien]]&lt;40000,1,0)</f>
        <v>0</v>
      </c>
      <c r="E7104" s="1">
        <f>IF(Tabela1[[#This Row],[promien]]=40000,1,0)</f>
        <v>0</v>
      </c>
      <c r="F7104" s="1">
        <v>3.1632882882882885</v>
      </c>
      <c r="G7104" s="1">
        <v>2.1695634698495336E-2</v>
      </c>
    </row>
    <row r="7105" spans="1:7">
      <c r="A7105">
        <v>213</v>
      </c>
      <c r="B7105">
        <v>175</v>
      </c>
      <c r="C7105" s="1">
        <f>(Tabela1[[#This Row],[x]]-H$3)*(Tabela1[[#This Row],[x]]-H$3) +(Tabela1[[#This Row],[y]]-H$4)*(Tabela1[[#This Row],[y]]-H$4)</f>
        <v>794</v>
      </c>
      <c r="D7105" s="1">
        <f>IF(Tabela1[[#This Row],[promien]]&lt;40000,1,0)</f>
        <v>1</v>
      </c>
      <c r="E7105" s="1">
        <f>IF(Tabela1[[#This Row],[promien]]=40000,1,0)</f>
        <v>0</v>
      </c>
      <c r="F7105" s="1">
        <v>3.1634060520760028</v>
      </c>
      <c r="G7105" s="1">
        <v>2.1813398486209667E-2</v>
      </c>
    </row>
    <row r="7106" spans="1:7">
      <c r="A7106">
        <v>392</v>
      </c>
      <c r="B7106">
        <v>83</v>
      </c>
      <c r="C7106" s="1">
        <f>(Tabela1[[#This Row],[x]]-H$3)*(Tabela1[[#This Row],[x]]-H$3) +(Tabela1[[#This Row],[y]]-H$4)*(Tabela1[[#This Row],[y]]-H$4)</f>
        <v>50553</v>
      </c>
      <c r="D7106" s="1">
        <f>IF(Tabela1[[#This Row],[promien]]&lt;40000,1,0)</f>
        <v>0</v>
      </c>
      <c r="E7106" s="1">
        <f>IF(Tabela1[[#This Row],[promien]]=40000,1,0)</f>
        <v>0</v>
      </c>
      <c r="F7106" s="1">
        <v>3.1629608781311567</v>
      </c>
      <c r="G7106" s="1">
        <v>2.1368224541363556E-2</v>
      </c>
    </row>
    <row r="7107" spans="1:7">
      <c r="A7107">
        <v>307</v>
      </c>
      <c r="B7107">
        <v>199</v>
      </c>
      <c r="C7107" s="1">
        <f>(Tabela1[[#This Row],[x]]-H$3)*(Tabela1[[#This Row],[x]]-H$3) +(Tabela1[[#This Row],[y]]-H$4)*(Tabela1[[#This Row],[y]]-H$4)</f>
        <v>11450</v>
      </c>
      <c r="D7107" s="1">
        <f>IF(Tabela1[[#This Row],[promien]]&lt;40000,1,0)</f>
        <v>1</v>
      </c>
      <c r="E7107" s="1">
        <f>IF(Tabela1[[#This Row],[promien]]=40000,1,0)</f>
        <v>0</v>
      </c>
      <c r="F7107" s="1">
        <v>3.1630786548473337</v>
      </c>
      <c r="G7107" s="1">
        <v>2.1486001257540632E-2</v>
      </c>
    </row>
    <row r="7108" spans="1:7">
      <c r="A7108">
        <v>87</v>
      </c>
      <c r="B7108">
        <v>49</v>
      </c>
      <c r="C7108" s="1">
        <f>(Tabela1[[#This Row],[x]]-H$3)*(Tabela1[[#This Row],[x]]-H$3) +(Tabela1[[#This Row],[y]]-H$4)*(Tabela1[[#This Row],[y]]-H$4)</f>
        <v>35570</v>
      </c>
      <c r="D7108" s="1">
        <f>IF(Tabela1[[#This Row],[promien]]&lt;40000,1,0)</f>
        <v>1</v>
      </c>
      <c r="E7108" s="1">
        <f>IF(Tabela1[[#This Row],[promien]]=40000,1,0)</f>
        <v>0</v>
      </c>
      <c r="F7108" s="1">
        <v>3.1631963984243106</v>
      </c>
      <c r="G7108" s="1">
        <v>2.1603744834517435E-2</v>
      </c>
    </row>
    <row r="7109" spans="1:7">
      <c r="A7109">
        <v>127</v>
      </c>
      <c r="B7109">
        <v>22</v>
      </c>
      <c r="C7109" s="1">
        <f>(Tabela1[[#This Row],[x]]-H$3)*(Tabela1[[#This Row],[x]]-H$3) +(Tabela1[[#This Row],[y]]-H$4)*(Tabela1[[#This Row],[y]]-H$4)</f>
        <v>37013</v>
      </c>
      <c r="D7109" s="1">
        <f>IF(Tabela1[[#This Row],[promien]]&lt;40000,1,0)</f>
        <v>1</v>
      </c>
      <c r="E7109" s="1">
        <f>IF(Tabela1[[#This Row],[promien]]=40000,1,0)</f>
        <v>0</v>
      </c>
      <c r="F7109" s="1">
        <v>3.1633141088760728</v>
      </c>
      <c r="G7109" s="1">
        <v>2.1721455286279667E-2</v>
      </c>
    </row>
    <row r="7110" spans="1:7">
      <c r="A7110">
        <v>48</v>
      </c>
      <c r="B7110">
        <v>236</v>
      </c>
      <c r="C7110" s="1">
        <f>(Tabela1[[#This Row],[x]]-H$3)*(Tabela1[[#This Row],[x]]-H$3) +(Tabela1[[#This Row],[y]]-H$4)*(Tabela1[[#This Row],[y]]-H$4)</f>
        <v>24400</v>
      </c>
      <c r="D7110" s="1">
        <f>IF(Tabela1[[#This Row],[promien]]&lt;40000,1,0)</f>
        <v>1</v>
      </c>
      <c r="E7110" s="1">
        <f>IF(Tabela1[[#This Row],[promien]]=40000,1,0)</f>
        <v>0</v>
      </c>
      <c r="F7110" s="1">
        <v>3.1634317862165964</v>
      </c>
      <c r="G7110" s="1">
        <v>2.1839132626803259E-2</v>
      </c>
    </row>
    <row r="7111" spans="1:7">
      <c r="A7111">
        <v>338</v>
      </c>
      <c r="B7111">
        <v>16</v>
      </c>
      <c r="C7111" s="1">
        <f>(Tabela1[[#This Row],[x]]-H$3)*(Tabela1[[#This Row],[x]]-H$3) +(Tabela1[[#This Row],[y]]-H$4)*(Tabela1[[#This Row],[y]]-H$4)</f>
        <v>52900</v>
      </c>
      <c r="D7111" s="1">
        <f>IF(Tabela1[[#This Row],[promien]]&lt;40000,1,0)</f>
        <v>0</v>
      </c>
      <c r="E7111" s="1">
        <f>IF(Tabela1[[#This Row],[promien]]=40000,1,0)</f>
        <v>0</v>
      </c>
      <c r="F7111" s="1">
        <v>3.162986921670651</v>
      </c>
      <c r="G7111" s="1">
        <v>2.139426808085787E-2</v>
      </c>
    </row>
    <row r="7112" spans="1:7">
      <c r="A7112">
        <v>341</v>
      </c>
      <c r="B7112">
        <v>210</v>
      </c>
      <c r="C7112" s="1">
        <f>(Tabela1[[#This Row],[x]]-H$3)*(Tabela1[[#This Row],[x]]-H$3) +(Tabela1[[#This Row],[y]]-H$4)*(Tabela1[[#This Row],[y]]-H$4)</f>
        <v>19981</v>
      </c>
      <c r="D7112" s="1">
        <f>IF(Tabela1[[#This Row],[promien]]&lt;40000,1,0)</f>
        <v>1</v>
      </c>
      <c r="E7112" s="1">
        <f>IF(Tabela1[[#This Row],[promien]]=40000,1,0)</f>
        <v>0</v>
      </c>
      <c r="F7112" s="1">
        <v>3.1631046119235098</v>
      </c>
      <c r="G7112" s="1">
        <v>2.1511958333716663E-2</v>
      </c>
    </row>
    <row r="7113" spans="1:7">
      <c r="A7113">
        <v>185</v>
      </c>
      <c r="B7113">
        <v>361</v>
      </c>
      <c r="C7113" s="1">
        <f>(Tabela1[[#This Row],[x]]-H$3)*(Tabela1[[#This Row],[x]]-H$3) +(Tabela1[[#This Row],[y]]-H$4)*(Tabela1[[#This Row],[y]]-H$4)</f>
        <v>26146</v>
      </c>
      <c r="D7113" s="1">
        <f>IF(Tabela1[[#This Row],[promien]]&lt;40000,1,0)</f>
        <v>1</v>
      </c>
      <c r="E7113" s="1">
        <f>IF(Tabela1[[#This Row],[promien]]=40000,1,0)</f>
        <v>0</v>
      </c>
      <c r="F7113" s="1">
        <v>3.1632222690847742</v>
      </c>
      <c r="G7113" s="1">
        <v>2.1629615494981103E-2</v>
      </c>
    </row>
    <row r="7114" spans="1:7">
      <c r="A7114">
        <v>190</v>
      </c>
      <c r="B7114">
        <v>399</v>
      </c>
      <c r="C7114" s="1">
        <f>(Tabela1[[#This Row],[x]]-H$3)*(Tabela1[[#This Row],[x]]-H$3) +(Tabela1[[#This Row],[y]]-H$4)*(Tabela1[[#This Row],[y]]-H$4)</f>
        <v>39701</v>
      </c>
      <c r="D7114" s="1">
        <f>IF(Tabela1[[#This Row],[promien]]&lt;40000,1,0)</f>
        <v>1</v>
      </c>
      <c r="E7114" s="1">
        <f>IF(Tabela1[[#This Row],[promien]]=40000,1,0)</f>
        <v>0</v>
      </c>
      <c r="F7114" s="1">
        <v>3.1633398931684003</v>
      </c>
      <c r="G7114" s="1">
        <v>2.1747239578607136E-2</v>
      </c>
    </row>
    <row r="7115" spans="1:7">
      <c r="A7115">
        <v>365</v>
      </c>
      <c r="B7115">
        <v>10</v>
      </c>
      <c r="C7115" s="1">
        <f>(Tabela1[[#This Row],[x]]-H$3)*(Tabela1[[#This Row],[x]]-H$3) +(Tabela1[[#This Row],[y]]-H$4)*(Tabela1[[#This Row],[y]]-H$4)</f>
        <v>63325</v>
      </c>
      <c r="D7115" s="1">
        <f>IF(Tabela1[[#This Row],[promien]]&lt;40000,1,0)</f>
        <v>0</v>
      </c>
      <c r="E7115" s="1">
        <f>IF(Tabela1[[#This Row],[promien]]=40000,1,0)</f>
        <v>0</v>
      </c>
      <c r="F7115" s="1">
        <v>3.1628952916373856</v>
      </c>
      <c r="G7115" s="1">
        <v>2.130263804759247E-2</v>
      </c>
    </row>
    <row r="7116" spans="1:7">
      <c r="A7116">
        <v>118</v>
      </c>
      <c r="B7116">
        <v>114</v>
      </c>
      <c r="C7116" s="1">
        <f>(Tabela1[[#This Row],[x]]-H$3)*(Tabela1[[#This Row],[x]]-H$3) +(Tabela1[[#This Row],[y]]-H$4)*(Tabela1[[#This Row],[y]]-H$4)</f>
        <v>14120</v>
      </c>
      <c r="D7116" s="1">
        <f>IF(Tabela1[[#This Row],[promien]]&lt;40000,1,0)</f>
        <v>1</v>
      </c>
      <c r="E7116" s="1">
        <f>IF(Tabela1[[#This Row],[promien]]=40000,1,0)</f>
        <v>0</v>
      </c>
      <c r="F7116" s="1">
        <v>3.1630129286115793</v>
      </c>
      <c r="G7116" s="1">
        <v>2.1420275021786228E-2</v>
      </c>
    </row>
    <row r="7117" spans="1:7">
      <c r="A7117">
        <v>190</v>
      </c>
      <c r="B7117">
        <v>286</v>
      </c>
      <c r="C7117" s="1">
        <f>(Tabela1[[#This Row],[x]]-H$3)*(Tabela1[[#This Row],[x]]-H$3) +(Tabela1[[#This Row],[y]]-H$4)*(Tabela1[[#This Row],[y]]-H$4)</f>
        <v>7496</v>
      </c>
      <c r="D7117" s="1">
        <f>IF(Tabela1[[#This Row],[promien]]&lt;40000,1,0)</f>
        <v>1</v>
      </c>
      <c r="E7117" s="1">
        <f>IF(Tabela1[[#This Row],[promien]]=40000,1,0)</f>
        <v>0</v>
      </c>
      <c r="F7117" s="1">
        <v>3.1631305325277506</v>
      </c>
      <c r="G7117" s="1">
        <v>2.1537878937957444E-2</v>
      </c>
    </row>
    <row r="7118" spans="1:7">
      <c r="A7118">
        <v>274</v>
      </c>
      <c r="B7118">
        <v>283</v>
      </c>
      <c r="C7118" s="1">
        <f>(Tabela1[[#This Row],[x]]-H$3)*(Tabela1[[#This Row],[x]]-H$3) +(Tabela1[[#This Row],[y]]-H$4)*(Tabela1[[#This Row],[y]]-H$4)</f>
        <v>12365</v>
      </c>
      <c r="D7118" s="1">
        <f>IF(Tabela1[[#This Row],[promien]]&lt;40000,1,0)</f>
        <v>1</v>
      </c>
      <c r="E7118" s="1">
        <f>IF(Tabela1[[#This Row],[promien]]=40000,1,0)</f>
        <v>0</v>
      </c>
      <c r="F7118" s="1">
        <v>3.1632481033998312</v>
      </c>
      <c r="G7118" s="1">
        <v>2.1655449810038085E-2</v>
      </c>
    </row>
    <row r="7119" spans="1:7">
      <c r="A7119">
        <v>358</v>
      </c>
      <c r="B7119">
        <v>90</v>
      </c>
      <c r="C7119" s="1">
        <f>(Tabela1[[#This Row],[x]]-H$3)*(Tabela1[[#This Row],[x]]-H$3) +(Tabela1[[#This Row],[y]]-H$4)*(Tabela1[[#This Row],[y]]-H$4)</f>
        <v>37064</v>
      </c>
      <c r="D7119" s="1">
        <f>IF(Tabela1[[#This Row],[promien]]&lt;40000,1,0)</f>
        <v>1</v>
      </c>
      <c r="E7119" s="1">
        <f>IF(Tabela1[[#This Row],[promien]]=40000,1,0)</f>
        <v>0</v>
      </c>
      <c r="F7119" s="1">
        <v>3.1633656412417475</v>
      </c>
      <c r="G7119" s="1">
        <v>2.1772987651954345E-2</v>
      </c>
    </row>
    <row r="7120" spans="1:7">
      <c r="A7120">
        <v>15</v>
      </c>
      <c r="B7120">
        <v>331</v>
      </c>
      <c r="C7120" s="1">
        <f>(Tabela1[[#This Row],[x]]-H$3)*(Tabela1[[#This Row],[x]]-H$3) +(Tabela1[[#This Row],[y]]-H$4)*(Tabela1[[#This Row],[y]]-H$4)</f>
        <v>51386</v>
      </c>
      <c r="D7120" s="1">
        <f>IF(Tabela1[[#This Row],[promien]]&lt;40000,1,0)</f>
        <v>0</v>
      </c>
      <c r="E7120" s="1">
        <f>IF(Tabela1[[#This Row],[promien]]=40000,1,0)</f>
        <v>0</v>
      </c>
      <c r="F7120" s="1">
        <v>3.1629213483146068</v>
      </c>
      <c r="G7120" s="1">
        <v>2.132869472481369E-2</v>
      </c>
    </row>
    <row r="7121" spans="1:7">
      <c r="A7121">
        <v>32</v>
      </c>
      <c r="B7121">
        <v>263</v>
      </c>
      <c r="C7121" s="1">
        <f>(Tabela1[[#This Row],[x]]-H$3)*(Tabela1[[#This Row],[x]]-H$3) +(Tabela1[[#This Row],[y]]-H$4)*(Tabela1[[#This Row],[y]]-H$4)</f>
        <v>32193</v>
      </c>
      <c r="D7121" s="1">
        <f>IF(Tabela1[[#This Row],[promien]]&lt;40000,1,0)</f>
        <v>1</v>
      </c>
      <c r="E7121" s="1">
        <f>IF(Tabela1[[#This Row],[promien]]=40000,1,0)</f>
        <v>0</v>
      </c>
      <c r="F7121" s="1">
        <v>3.1630388990310347</v>
      </c>
      <c r="G7121" s="1">
        <v>2.1446245441241629E-2</v>
      </c>
    </row>
    <row r="7122" spans="1:7">
      <c r="A7122">
        <v>192</v>
      </c>
      <c r="B7122">
        <v>12</v>
      </c>
      <c r="C7122" s="1">
        <f>(Tabela1[[#This Row],[x]]-H$3)*(Tabela1[[#This Row],[x]]-H$3) +(Tabela1[[#This Row],[y]]-H$4)*(Tabela1[[#This Row],[y]]-H$4)</f>
        <v>35408</v>
      </c>
      <c r="D7122" s="1">
        <f>IF(Tabela1[[#This Row],[promien]]&lt;40000,1,0)</f>
        <v>1</v>
      </c>
      <c r="E7122" s="1">
        <f>IF(Tabela1[[#This Row],[promien]]=40000,1,0)</f>
        <v>0</v>
      </c>
      <c r="F7122" s="1">
        <v>3.1631564167368715</v>
      </c>
      <c r="G7122" s="1">
        <v>2.1563763147078419E-2</v>
      </c>
    </row>
    <row r="7123" spans="1:7">
      <c r="A7123">
        <v>246</v>
      </c>
      <c r="B7123">
        <v>302</v>
      </c>
      <c r="C7123" s="1">
        <f>(Tabela1[[#This Row],[x]]-H$3)*(Tabela1[[#This Row],[x]]-H$3) +(Tabela1[[#This Row],[y]]-H$4)*(Tabela1[[#This Row],[y]]-H$4)</f>
        <v>12520</v>
      </c>
      <c r="D7123" s="1">
        <f>IF(Tabela1[[#This Row],[promien]]&lt;40000,1,0)</f>
        <v>1</v>
      </c>
      <c r="E7123" s="1">
        <f>IF(Tabela1[[#This Row],[promien]]=40000,1,0)</f>
        <v>0</v>
      </c>
      <c r="F7123" s="1">
        <v>3.1632739014460198</v>
      </c>
      <c r="G7123" s="1">
        <v>2.1681247856226715E-2</v>
      </c>
    </row>
    <row r="7124" spans="1:7">
      <c r="A7124">
        <v>311</v>
      </c>
      <c r="B7124">
        <v>260</v>
      </c>
      <c r="C7124" s="1">
        <f>(Tabela1[[#This Row],[x]]-H$3)*(Tabela1[[#This Row],[x]]-H$3) +(Tabela1[[#This Row],[y]]-H$4)*(Tabela1[[#This Row],[y]]-H$4)</f>
        <v>15921</v>
      </c>
      <c r="D7124" s="1">
        <f>IF(Tabela1[[#This Row],[promien]]&lt;40000,1,0)</f>
        <v>1</v>
      </c>
      <c r="E7124" s="1">
        <f>IF(Tabela1[[#This Row],[promien]]=40000,1,0)</f>
        <v>0</v>
      </c>
      <c r="F7124" s="1">
        <v>3.1633913531723752</v>
      </c>
      <c r="G7124" s="1">
        <v>2.1798699582582071E-2</v>
      </c>
    </row>
    <row r="7125" spans="1:7">
      <c r="A7125">
        <v>239</v>
      </c>
      <c r="B7125">
        <v>267</v>
      </c>
      <c r="C7125" s="1">
        <f>(Tabela1[[#This Row],[x]]-H$3)*(Tabela1[[#This Row],[x]]-H$3) +(Tabela1[[#This Row],[y]]-H$4)*(Tabela1[[#This Row],[y]]-H$4)</f>
        <v>6010</v>
      </c>
      <c r="D7125" s="1">
        <f>IF(Tabela1[[#This Row],[promien]]&lt;40000,1,0)</f>
        <v>1</v>
      </c>
      <c r="E7125" s="1">
        <f>IF(Tabela1[[#This Row],[promien]]=40000,1,0)</f>
        <v>0</v>
      </c>
      <c r="F7125" s="1">
        <v>3.1635087719298247</v>
      </c>
      <c r="G7125" s="1">
        <v>2.1916118340031598E-2</v>
      </c>
    </row>
    <row r="7126" spans="1:7">
      <c r="A7126">
        <v>38</v>
      </c>
      <c r="B7126">
        <v>184</v>
      </c>
      <c r="C7126" s="1">
        <f>(Tabela1[[#This Row],[x]]-H$3)*(Tabela1[[#This Row],[x]]-H$3) +(Tabela1[[#This Row],[y]]-H$4)*(Tabela1[[#This Row],[y]]-H$4)</f>
        <v>26500</v>
      </c>
      <c r="D7126" s="1">
        <f>IF(Tabela1[[#This Row],[promien]]&lt;40000,1,0)</f>
        <v>1</v>
      </c>
      <c r="E7126" s="1">
        <f>IF(Tabela1[[#This Row],[promien]]=40000,1,0)</f>
        <v>0</v>
      </c>
      <c r="F7126" s="1">
        <v>3.163626157732248</v>
      </c>
      <c r="G7126" s="1">
        <v>2.2033504142454863E-2</v>
      </c>
    </row>
    <row r="7127" spans="1:7">
      <c r="A7127">
        <v>257</v>
      </c>
      <c r="B7127">
        <v>383</v>
      </c>
      <c r="C7127" s="1">
        <f>(Tabela1[[#This Row],[x]]-H$3)*(Tabela1[[#This Row],[x]]-H$3) +(Tabela1[[#This Row],[y]]-H$4)*(Tabela1[[#This Row],[y]]-H$4)</f>
        <v>36738</v>
      </c>
      <c r="D7127" s="1">
        <f>IF(Tabela1[[#This Row],[promien]]&lt;40000,1,0)</f>
        <v>1</v>
      </c>
      <c r="E7127" s="1">
        <f>IF(Tabela1[[#This Row],[promien]]=40000,1,0)</f>
        <v>0</v>
      </c>
      <c r="F7127" s="1">
        <v>3.1637435105935174</v>
      </c>
      <c r="G7127" s="1">
        <v>2.2150857003724322E-2</v>
      </c>
    </row>
    <row r="7128" spans="1:7">
      <c r="A7128">
        <v>120</v>
      </c>
      <c r="B7128">
        <v>369</v>
      </c>
      <c r="C7128" s="1">
        <f>(Tabela1[[#This Row],[x]]-H$3)*(Tabela1[[#This Row],[x]]-H$3) +(Tabela1[[#This Row],[y]]-H$4)*(Tabela1[[#This Row],[y]]-H$4)</f>
        <v>34961</v>
      </c>
      <c r="D7128" s="1">
        <f>IF(Tabela1[[#This Row],[promien]]&lt;40000,1,0)</f>
        <v>1</v>
      </c>
      <c r="E7128" s="1">
        <f>IF(Tabela1[[#This Row],[promien]]=40000,1,0)</f>
        <v>0</v>
      </c>
      <c r="F7128" s="1">
        <v>3.1638608305274971</v>
      </c>
      <c r="G7128" s="1">
        <v>2.2268176937703998E-2</v>
      </c>
    </row>
    <row r="7129" spans="1:7">
      <c r="A7129">
        <v>79</v>
      </c>
      <c r="B7129">
        <v>354</v>
      </c>
      <c r="C7129" s="1">
        <f>(Tabela1[[#This Row],[x]]-H$3)*(Tabela1[[#This Row],[x]]-H$3) +(Tabela1[[#This Row],[y]]-H$4)*(Tabela1[[#This Row],[y]]-H$4)</f>
        <v>38357</v>
      </c>
      <c r="D7129" s="1">
        <f>IF(Tabela1[[#This Row],[promien]]&lt;40000,1,0)</f>
        <v>1</v>
      </c>
      <c r="E7129" s="1">
        <f>IF(Tabela1[[#This Row],[promien]]=40000,1,0)</f>
        <v>0</v>
      </c>
      <c r="F7129" s="1">
        <v>3.163978117548043</v>
      </c>
      <c r="G7129" s="1">
        <v>2.2385463958249918E-2</v>
      </c>
    </row>
    <row r="7130" spans="1:7">
      <c r="A7130">
        <v>94</v>
      </c>
      <c r="B7130">
        <v>21</v>
      </c>
      <c r="C7130" s="1">
        <f>(Tabela1[[#This Row],[x]]-H$3)*(Tabela1[[#This Row],[x]]-H$3) +(Tabela1[[#This Row],[y]]-H$4)*(Tabela1[[#This Row],[y]]-H$4)</f>
        <v>43277</v>
      </c>
      <c r="D7130" s="1">
        <f>IF(Tabela1[[#This Row],[promien]]&lt;40000,1,0)</f>
        <v>0</v>
      </c>
      <c r="E7130" s="1">
        <f>IF(Tabela1[[#This Row],[promien]]=40000,1,0)</f>
        <v>0</v>
      </c>
      <c r="F7130" s="1">
        <v>3.1635343618513323</v>
      </c>
      <c r="G7130" s="1">
        <v>2.1941708261539183E-2</v>
      </c>
    </row>
    <row r="7131" spans="1:7">
      <c r="A7131">
        <v>78</v>
      </c>
      <c r="B7131">
        <v>176</v>
      </c>
      <c r="C7131" s="1">
        <f>(Tabela1[[#This Row],[x]]-H$3)*(Tabela1[[#This Row],[x]]-H$3) +(Tabela1[[#This Row],[y]]-H$4)*(Tabela1[[#This Row],[y]]-H$4)</f>
        <v>15460</v>
      </c>
      <c r="D7131" s="1">
        <f>IF(Tabela1[[#This Row],[promien]]&lt;40000,1,0)</f>
        <v>1</v>
      </c>
      <c r="E7131" s="1">
        <f>IF(Tabela1[[#This Row],[promien]]=40000,1,0)</f>
        <v>0</v>
      </c>
      <c r="F7131" s="1">
        <v>3.1636516617585193</v>
      </c>
      <c r="G7131" s="1">
        <v>2.2059008168726191E-2</v>
      </c>
    </row>
    <row r="7132" spans="1:7">
      <c r="A7132">
        <v>260</v>
      </c>
      <c r="B7132">
        <v>58</v>
      </c>
      <c r="C7132" s="1">
        <f>(Tabela1[[#This Row],[x]]-H$3)*(Tabela1[[#This Row],[x]]-H$3) +(Tabela1[[#This Row],[y]]-H$4)*(Tabela1[[#This Row],[y]]-H$4)</f>
        <v>23764</v>
      </c>
      <c r="D7132" s="1">
        <f>IF(Tabela1[[#This Row],[promien]]&lt;40000,1,0)</f>
        <v>1</v>
      </c>
      <c r="E7132" s="1">
        <f>IF(Tabela1[[#This Row],[promien]]=40000,1,0)</f>
        <v>0</v>
      </c>
      <c r="F7132" s="1">
        <v>3.163768928771733</v>
      </c>
      <c r="G7132" s="1">
        <v>2.2176275181939875E-2</v>
      </c>
    </row>
    <row r="7133" spans="1:7">
      <c r="A7133">
        <v>6</v>
      </c>
      <c r="B7133">
        <v>335</v>
      </c>
      <c r="C7133" s="1">
        <f>(Tabela1[[#This Row],[x]]-H$3)*(Tabela1[[#This Row],[x]]-H$3) +(Tabela1[[#This Row],[y]]-H$4)*(Tabela1[[#This Row],[y]]-H$4)</f>
        <v>55861</v>
      </c>
      <c r="D7133" s="1">
        <f>IF(Tabela1[[#This Row],[promien]]&lt;40000,1,0)</f>
        <v>0</v>
      </c>
      <c r="E7133" s="1">
        <f>IF(Tabela1[[#This Row],[promien]]=40000,1,0)</f>
        <v>0</v>
      </c>
      <c r="F7133" s="1">
        <v>3.1633253890368707</v>
      </c>
      <c r="G7133" s="1">
        <v>2.1732735447077545E-2</v>
      </c>
    </row>
    <row r="7134" spans="1:7">
      <c r="A7134">
        <v>140</v>
      </c>
      <c r="B7134">
        <v>225</v>
      </c>
      <c r="C7134" s="1">
        <f>(Tabela1[[#This Row],[x]]-H$3)*(Tabela1[[#This Row],[x]]-H$3) +(Tabela1[[#This Row],[y]]-H$4)*(Tabela1[[#This Row],[y]]-H$4)</f>
        <v>4225</v>
      </c>
      <c r="D7134" s="1">
        <f>IF(Tabela1[[#This Row],[promien]]&lt;40000,1,0)</f>
        <v>1</v>
      </c>
      <c r="E7134" s="1">
        <f>IF(Tabela1[[#This Row],[promien]]=40000,1,0)</f>
        <v>0</v>
      </c>
      <c r="F7134" s="1">
        <v>3.1634426689094477</v>
      </c>
      <c r="G7134" s="1">
        <v>2.1850015319654581E-2</v>
      </c>
    </row>
    <row r="7135" spans="1:7">
      <c r="A7135">
        <v>135</v>
      </c>
      <c r="B7135">
        <v>52</v>
      </c>
      <c r="C7135" s="1">
        <f>(Tabela1[[#This Row],[x]]-H$3)*(Tabela1[[#This Row],[x]]-H$3) +(Tabela1[[#This Row],[y]]-H$4)*(Tabela1[[#This Row],[y]]-H$4)</f>
        <v>26129</v>
      </c>
      <c r="D7135" s="1">
        <f>IF(Tabela1[[#This Row],[promien]]&lt;40000,1,0)</f>
        <v>1</v>
      </c>
      <c r="E7135" s="1">
        <f>IF(Tabela1[[#This Row],[promien]]=40000,1,0)</f>
        <v>0</v>
      </c>
      <c r="F7135" s="1">
        <v>3.1635599159074981</v>
      </c>
      <c r="G7135" s="1">
        <v>2.1967262317704961E-2</v>
      </c>
    </row>
    <row r="7136" spans="1:7">
      <c r="A7136">
        <v>168</v>
      </c>
      <c r="B7136">
        <v>271</v>
      </c>
      <c r="C7136" s="1">
        <f>(Tabela1[[#This Row],[x]]-H$3)*(Tabela1[[#This Row],[x]]-H$3) +(Tabela1[[#This Row],[y]]-H$4)*(Tabela1[[#This Row],[y]]-H$4)</f>
        <v>6065</v>
      </c>
      <c r="D7136" s="1">
        <f>IF(Tabela1[[#This Row],[promien]]&lt;40000,1,0)</f>
        <v>1</v>
      </c>
      <c r="E7136" s="1">
        <f>IF(Tabela1[[#This Row],[promien]]=40000,1,0)</f>
        <v>0</v>
      </c>
      <c r="F7136" s="1">
        <v>3.1636771300448432</v>
      </c>
      <c r="G7136" s="1">
        <v>2.2084476455050073E-2</v>
      </c>
    </row>
    <row r="7137" spans="1:7">
      <c r="A7137">
        <v>343</v>
      </c>
      <c r="B7137">
        <v>392</v>
      </c>
      <c r="C7137" s="1">
        <f>(Tabela1[[#This Row],[x]]-H$3)*(Tabela1[[#This Row],[x]]-H$3) +(Tabela1[[#This Row],[y]]-H$4)*(Tabela1[[#This Row],[y]]-H$4)</f>
        <v>57313</v>
      </c>
      <c r="D7137" s="1">
        <f>IF(Tabela1[[#This Row],[promien]]&lt;40000,1,0)</f>
        <v>0</v>
      </c>
      <c r="E7137" s="1">
        <f>IF(Tabela1[[#This Row],[promien]]=40000,1,0)</f>
        <v>0</v>
      </c>
      <c r="F7137" s="1">
        <v>3.163233851758442</v>
      </c>
      <c r="G7137" s="1">
        <v>2.1641198168648845E-2</v>
      </c>
    </row>
    <row r="7138" spans="1:7">
      <c r="A7138">
        <v>271</v>
      </c>
      <c r="B7138">
        <v>397</v>
      </c>
      <c r="C7138" s="1">
        <f>(Tabela1[[#This Row],[x]]-H$3)*(Tabela1[[#This Row],[x]]-H$3) +(Tabela1[[#This Row],[y]]-H$4)*(Tabela1[[#This Row],[y]]-H$4)</f>
        <v>43850</v>
      </c>
      <c r="D7138" s="1">
        <f>IF(Tabela1[[#This Row],[promien]]&lt;40000,1,0)</f>
        <v>0</v>
      </c>
      <c r="E7138" s="1">
        <f>IF(Tabela1[[#This Row],[promien]]=40000,1,0)</f>
        <v>0</v>
      </c>
      <c r="F7138" s="1">
        <v>3.1627906976744184</v>
      </c>
      <c r="G7138" s="1">
        <v>2.1198044084625334E-2</v>
      </c>
    </row>
    <row r="7139" spans="1:7">
      <c r="A7139">
        <v>313</v>
      </c>
      <c r="B7139">
        <v>324</v>
      </c>
      <c r="C7139" s="1">
        <f>(Tabela1[[#This Row],[x]]-H$3)*(Tabela1[[#This Row],[x]]-H$3) +(Tabela1[[#This Row],[y]]-H$4)*(Tabela1[[#This Row],[y]]-H$4)</f>
        <v>28145</v>
      </c>
      <c r="D7139" s="1">
        <f>IF(Tabela1[[#This Row],[promien]]&lt;40000,1,0)</f>
        <v>1</v>
      </c>
      <c r="E7139" s="1">
        <f>IF(Tabela1[[#This Row],[promien]]=40000,1,0)</f>
        <v>0</v>
      </c>
      <c r="F7139" s="1">
        <v>3.162907970303964</v>
      </c>
      <c r="G7139" s="1">
        <v>2.1315316714170862E-2</v>
      </c>
    </row>
    <row r="7140" spans="1:7">
      <c r="A7140">
        <v>127</v>
      </c>
      <c r="B7140">
        <v>207</v>
      </c>
      <c r="C7140" s="1">
        <f>(Tabela1[[#This Row],[x]]-H$3)*(Tabela1[[#This Row],[x]]-H$3) +(Tabela1[[#This Row],[y]]-H$4)*(Tabela1[[#This Row],[y]]-H$4)</f>
        <v>5378</v>
      </c>
      <c r="D7140" s="1">
        <f>IF(Tabela1[[#This Row],[promien]]&lt;40000,1,0)</f>
        <v>1</v>
      </c>
      <c r="E7140" s="1">
        <f>IF(Tabela1[[#This Row],[promien]]=40000,1,0)</f>
        <v>0</v>
      </c>
      <c r="F7140" s="1">
        <v>3.1630252100840335</v>
      </c>
      <c r="G7140" s="1">
        <v>2.1432556494240362E-2</v>
      </c>
    </row>
    <row r="7141" spans="1:7">
      <c r="A7141">
        <v>271</v>
      </c>
      <c r="B7141">
        <v>340</v>
      </c>
      <c r="C7141" s="1">
        <f>(Tabela1[[#This Row],[x]]-H$3)*(Tabela1[[#This Row],[x]]-H$3) +(Tabela1[[#This Row],[y]]-H$4)*(Tabela1[[#This Row],[y]]-H$4)</f>
        <v>24641</v>
      </c>
      <c r="D7141" s="1">
        <f>IF(Tabela1[[#This Row],[promien]]&lt;40000,1,0)</f>
        <v>1</v>
      </c>
      <c r="E7141" s="1">
        <f>IF(Tabela1[[#This Row],[promien]]=40000,1,0)</f>
        <v>0</v>
      </c>
      <c r="F7141" s="1">
        <v>3.1631424170284275</v>
      </c>
      <c r="G7141" s="1">
        <v>2.1549763438634351E-2</v>
      </c>
    </row>
    <row r="7142" spans="1:7">
      <c r="A7142">
        <v>196</v>
      </c>
      <c r="B7142">
        <v>203</v>
      </c>
      <c r="C7142" s="1">
        <f>(Tabela1[[#This Row],[x]]-H$3)*(Tabela1[[#This Row],[x]]-H$3) +(Tabela1[[#This Row],[y]]-H$4)*(Tabela1[[#This Row],[y]]-H$4)</f>
        <v>25</v>
      </c>
      <c r="D7142" s="1">
        <f>IF(Tabela1[[#This Row],[promien]]&lt;40000,1,0)</f>
        <v>1</v>
      </c>
      <c r="E7142" s="1">
        <f>IF(Tabela1[[#This Row],[promien]]=40000,1,0)</f>
        <v>0</v>
      </c>
      <c r="F7142" s="1">
        <v>3.163259591150938</v>
      </c>
      <c r="G7142" s="1">
        <v>2.1666937561144906E-2</v>
      </c>
    </row>
    <row r="7143" spans="1:7">
      <c r="A7143">
        <v>375</v>
      </c>
      <c r="B7143">
        <v>330</v>
      </c>
      <c r="C7143" s="1">
        <f>(Tabela1[[#This Row],[x]]-H$3)*(Tabela1[[#This Row],[x]]-H$3) +(Tabela1[[#This Row],[y]]-H$4)*(Tabela1[[#This Row],[y]]-H$4)</f>
        <v>47525</v>
      </c>
      <c r="D7143" s="1">
        <f>IF(Tabela1[[#This Row],[promien]]&lt;40000,1,0)</f>
        <v>0</v>
      </c>
      <c r="E7143" s="1">
        <f>IF(Tabela1[[#This Row],[promien]]=40000,1,0)</f>
        <v>0</v>
      </c>
      <c r="F7143" s="1">
        <v>3.1628167436651267</v>
      </c>
      <c r="G7143" s="1">
        <v>2.1224090075333546E-2</v>
      </c>
    </row>
    <row r="7144" spans="1:7">
      <c r="A7144">
        <v>86</v>
      </c>
      <c r="B7144">
        <v>209</v>
      </c>
      <c r="C7144" s="1">
        <f>(Tabela1[[#This Row],[x]]-H$3)*(Tabela1[[#This Row],[x]]-H$3) +(Tabela1[[#This Row],[y]]-H$4)*(Tabela1[[#This Row],[y]]-H$4)</f>
        <v>13077</v>
      </c>
      <c r="D7144" s="1">
        <f>IF(Tabela1[[#This Row],[promien]]&lt;40000,1,0)</f>
        <v>1</v>
      </c>
      <c r="E7144" s="1">
        <f>IF(Tabela1[[#This Row],[promien]]=40000,1,0)</f>
        <v>0</v>
      </c>
      <c r="F7144" s="1">
        <v>3.1629339305711088</v>
      </c>
      <c r="G7144" s="1">
        <v>2.1341276981315715E-2</v>
      </c>
    </row>
    <row r="7145" spans="1:7">
      <c r="A7145">
        <v>30</v>
      </c>
      <c r="B7145">
        <v>291</v>
      </c>
      <c r="C7145" s="1">
        <f>(Tabela1[[#This Row],[x]]-H$3)*(Tabela1[[#This Row],[x]]-H$3) +(Tabela1[[#This Row],[y]]-H$4)*(Tabela1[[#This Row],[y]]-H$4)</f>
        <v>37181</v>
      </c>
      <c r="D7145" s="1">
        <f>IF(Tabela1[[#This Row],[promien]]&lt;40000,1,0)</f>
        <v>1</v>
      </c>
      <c r="E7145" s="1">
        <f>IF(Tabela1[[#This Row],[promien]]=40000,1,0)</f>
        <v>0</v>
      </c>
      <c r="F7145" s="1">
        <v>3.1630510846745978</v>
      </c>
      <c r="G7145" s="1">
        <v>2.1458431084804719E-2</v>
      </c>
    </row>
    <row r="7146" spans="1:7">
      <c r="A7146">
        <v>110</v>
      </c>
      <c r="B7146">
        <v>215</v>
      </c>
      <c r="C7146" s="1">
        <f>(Tabela1[[#This Row],[x]]-H$3)*(Tabela1[[#This Row],[x]]-H$3) +(Tabela1[[#This Row],[y]]-H$4)*(Tabela1[[#This Row],[y]]-H$4)</f>
        <v>8325</v>
      </c>
      <c r="D7146" s="1">
        <f>IF(Tabela1[[#This Row],[promien]]&lt;40000,1,0)</f>
        <v>1</v>
      </c>
      <c r="E7146" s="1">
        <f>IF(Tabela1[[#This Row],[promien]]=40000,1,0)</f>
        <v>0</v>
      </c>
      <c r="F7146" s="1">
        <v>3.1631682059893649</v>
      </c>
      <c r="G7146" s="1">
        <v>2.1575552399571762E-2</v>
      </c>
    </row>
    <row r="7147" spans="1:7">
      <c r="A7147">
        <v>398</v>
      </c>
      <c r="B7147">
        <v>117</v>
      </c>
      <c r="C7147" s="1">
        <f>(Tabela1[[#This Row],[x]]-H$3)*(Tabela1[[#This Row],[x]]-H$3) +(Tabela1[[#This Row],[y]]-H$4)*(Tabela1[[#This Row],[y]]-H$4)</f>
        <v>46093</v>
      </c>
      <c r="D7147" s="1">
        <f>IF(Tabela1[[#This Row],[promien]]&lt;40000,1,0)</f>
        <v>0</v>
      </c>
      <c r="E7147" s="1">
        <f>IF(Tabela1[[#This Row],[promien]]=40000,1,0)</f>
        <v>0</v>
      </c>
      <c r="F7147" s="1">
        <v>3.1627256191408981</v>
      </c>
      <c r="G7147" s="1">
        <v>2.1132965551104999E-2</v>
      </c>
    </row>
    <row r="7148" spans="1:7">
      <c r="A7148">
        <v>359</v>
      </c>
      <c r="B7148">
        <v>155</v>
      </c>
      <c r="C7148" s="1">
        <f>(Tabela1[[#This Row],[x]]-H$3)*(Tabela1[[#This Row],[x]]-H$3) +(Tabela1[[#This Row],[y]]-H$4)*(Tabela1[[#This Row],[y]]-H$4)</f>
        <v>27306</v>
      </c>
      <c r="D7148" s="1">
        <f>IF(Tabela1[[#This Row],[promien]]&lt;40000,1,0)</f>
        <v>1</v>
      </c>
      <c r="E7148" s="1">
        <f>IF(Tabela1[[#This Row],[promien]]=40000,1,0)</f>
        <v>0</v>
      </c>
      <c r="F7148" s="1">
        <v>3.1628427532176833</v>
      </c>
      <c r="G7148" s="1">
        <v>2.1250099627890151E-2</v>
      </c>
    </row>
    <row r="7149" spans="1:7">
      <c r="A7149">
        <v>353</v>
      </c>
      <c r="B7149">
        <v>104</v>
      </c>
      <c r="C7149" s="1">
        <f>(Tabela1[[#This Row],[x]]-H$3)*(Tabela1[[#This Row],[x]]-H$3) +(Tabela1[[#This Row],[y]]-H$4)*(Tabela1[[#This Row],[y]]-H$4)</f>
        <v>32625</v>
      </c>
      <c r="D7149" s="1">
        <f>IF(Tabela1[[#This Row],[promien]]&lt;40000,1,0)</f>
        <v>1</v>
      </c>
      <c r="E7149" s="1">
        <f>IF(Tabela1[[#This Row],[promien]]=40000,1,0)</f>
        <v>0</v>
      </c>
      <c r="F7149" s="1">
        <v>3.1629598545251083</v>
      </c>
      <c r="G7149" s="1">
        <v>2.1367200935315189E-2</v>
      </c>
    </row>
    <row r="7150" spans="1:7">
      <c r="A7150">
        <v>382</v>
      </c>
      <c r="B7150">
        <v>98</v>
      </c>
      <c r="C7150" s="1">
        <f>(Tabela1[[#This Row],[x]]-H$3)*(Tabela1[[#This Row],[x]]-H$3) +(Tabela1[[#This Row],[y]]-H$4)*(Tabela1[[#This Row],[y]]-H$4)</f>
        <v>43528</v>
      </c>
      <c r="D7150" s="1">
        <f>IF(Tabela1[[#This Row],[promien]]&lt;40000,1,0)</f>
        <v>0</v>
      </c>
      <c r="E7150" s="1">
        <f>IF(Tabela1[[#This Row],[promien]]=40000,1,0)</f>
        <v>0</v>
      </c>
      <c r="F7150" s="1">
        <v>3.1625174825174827</v>
      </c>
      <c r="G7150" s="1">
        <v>2.0924828927689543E-2</v>
      </c>
    </row>
    <row r="7151" spans="1:7">
      <c r="A7151">
        <v>265</v>
      </c>
      <c r="B7151">
        <v>375</v>
      </c>
      <c r="C7151" s="1">
        <f>(Tabela1[[#This Row],[x]]-H$3)*(Tabela1[[#This Row],[x]]-H$3) +(Tabela1[[#This Row],[y]]-H$4)*(Tabela1[[#This Row],[y]]-H$4)</f>
        <v>34850</v>
      </c>
      <c r="D7151" s="1">
        <f>IF(Tabela1[[#This Row],[promien]]&lt;40000,1,0)</f>
        <v>1</v>
      </c>
      <c r="E7151" s="1">
        <f>IF(Tabela1[[#This Row],[promien]]=40000,1,0)</f>
        <v>0</v>
      </c>
      <c r="F7151" s="1">
        <v>3.1626345965599216</v>
      </c>
      <c r="G7151" s="1">
        <v>2.1041942970128513E-2</v>
      </c>
    </row>
    <row r="7152" spans="1:7">
      <c r="A7152">
        <v>229</v>
      </c>
      <c r="B7152">
        <v>87</v>
      </c>
      <c r="C7152" s="1">
        <f>(Tabela1[[#This Row],[x]]-H$3)*(Tabela1[[#This Row],[x]]-H$3) +(Tabela1[[#This Row],[y]]-H$4)*(Tabela1[[#This Row],[y]]-H$4)</f>
        <v>13610</v>
      </c>
      <c r="D7152" s="1">
        <f>IF(Tabela1[[#This Row],[promien]]&lt;40000,1,0)</f>
        <v>1</v>
      </c>
      <c r="E7152" s="1">
        <f>IF(Tabela1[[#This Row],[promien]]=40000,1,0)</f>
        <v>0</v>
      </c>
      <c r="F7152" s="1">
        <v>3.162751677852349</v>
      </c>
      <c r="G7152" s="1">
        <v>2.1159024262555892E-2</v>
      </c>
    </row>
    <row r="7153" spans="1:7">
      <c r="A7153">
        <v>140</v>
      </c>
      <c r="B7153">
        <v>212</v>
      </c>
      <c r="C7153" s="1">
        <f>(Tabela1[[#This Row],[x]]-H$3)*(Tabela1[[#This Row],[x]]-H$3) +(Tabela1[[#This Row],[y]]-H$4)*(Tabela1[[#This Row],[y]]-H$4)</f>
        <v>3744</v>
      </c>
      <c r="D7153" s="1">
        <f>IF(Tabela1[[#This Row],[promien]]&lt;40000,1,0)</f>
        <v>1</v>
      </c>
      <c r="E7153" s="1">
        <f>IF(Tabela1[[#This Row],[promien]]=40000,1,0)</f>
        <v>0</v>
      </c>
      <c r="F7153" s="1">
        <v>3.1628687264085</v>
      </c>
      <c r="G7153" s="1">
        <v>2.1276072818706915E-2</v>
      </c>
    </row>
    <row r="7154" spans="1:7">
      <c r="A7154">
        <v>150</v>
      </c>
      <c r="B7154">
        <v>230</v>
      </c>
      <c r="C7154" s="1">
        <f>(Tabela1[[#This Row],[x]]-H$3)*(Tabela1[[#This Row],[x]]-H$3) +(Tabela1[[#This Row],[y]]-H$4)*(Tabela1[[#This Row],[y]]-H$4)</f>
        <v>3400</v>
      </c>
      <c r="D7154" s="1">
        <f>IF(Tabela1[[#This Row],[promien]]&lt;40000,1,0)</f>
        <v>1</v>
      </c>
      <c r="E7154" s="1">
        <f>IF(Tabela1[[#This Row],[promien]]=40000,1,0)</f>
        <v>0</v>
      </c>
      <c r="F7154" s="1">
        <v>3.1629857422421024</v>
      </c>
      <c r="G7154" s="1">
        <v>2.1393088652309267E-2</v>
      </c>
    </row>
    <row r="7155" spans="1:7">
      <c r="A7155">
        <v>181</v>
      </c>
      <c r="B7155">
        <v>242</v>
      </c>
      <c r="C7155" s="1">
        <f>(Tabela1[[#This Row],[x]]-H$3)*(Tabela1[[#This Row],[x]]-H$3) +(Tabela1[[#This Row],[y]]-H$4)*(Tabela1[[#This Row],[y]]-H$4)</f>
        <v>2125</v>
      </c>
      <c r="D7155" s="1">
        <f>IF(Tabela1[[#This Row],[promien]]&lt;40000,1,0)</f>
        <v>1</v>
      </c>
      <c r="E7155" s="1">
        <f>IF(Tabela1[[#This Row],[promien]]=40000,1,0)</f>
        <v>0</v>
      </c>
      <c r="F7155" s="1">
        <v>3.1631027253668762</v>
      </c>
      <c r="G7155" s="1">
        <v>2.1510071777083084E-2</v>
      </c>
    </row>
    <row r="7156" spans="1:7">
      <c r="A7156">
        <v>355</v>
      </c>
      <c r="B7156">
        <v>194</v>
      </c>
      <c r="C7156" s="1">
        <f>(Tabela1[[#This Row],[x]]-H$3)*(Tabela1[[#This Row],[x]]-H$3) +(Tabela1[[#This Row],[y]]-H$4)*(Tabela1[[#This Row],[y]]-H$4)</f>
        <v>24061</v>
      </c>
      <c r="D7156" s="1">
        <f>IF(Tabela1[[#This Row],[promien]]&lt;40000,1,0)</f>
        <v>1</v>
      </c>
      <c r="E7156" s="1">
        <f>IF(Tabela1[[#This Row],[promien]]=40000,1,0)</f>
        <v>0</v>
      </c>
      <c r="F7156" s="1">
        <v>3.1632196757965345</v>
      </c>
      <c r="G7156" s="1">
        <v>2.1627022206741398E-2</v>
      </c>
    </row>
    <row r="7157" spans="1:7">
      <c r="A7157">
        <v>344</v>
      </c>
      <c r="B7157">
        <v>183</v>
      </c>
      <c r="C7157" s="1">
        <f>(Tabela1[[#This Row],[x]]-H$3)*(Tabela1[[#This Row],[x]]-H$3) +(Tabela1[[#This Row],[y]]-H$4)*(Tabela1[[#This Row],[y]]-H$4)</f>
        <v>21025</v>
      </c>
      <c r="D7157" s="1">
        <f>IF(Tabela1[[#This Row],[promien]]&lt;40000,1,0)</f>
        <v>1</v>
      </c>
      <c r="E7157" s="1">
        <f>IF(Tabela1[[#This Row],[promien]]=40000,1,0)</f>
        <v>0</v>
      </c>
      <c r="F7157" s="1">
        <v>3.1633365935447815</v>
      </c>
      <c r="G7157" s="1">
        <v>2.1743939954988356E-2</v>
      </c>
    </row>
    <row r="7158" spans="1:7">
      <c r="A7158">
        <v>283</v>
      </c>
      <c r="B7158">
        <v>383</v>
      </c>
      <c r="C7158" s="1">
        <f>(Tabela1[[#This Row],[x]]-H$3)*(Tabela1[[#This Row],[x]]-H$3) +(Tabela1[[#This Row],[y]]-H$4)*(Tabela1[[#This Row],[y]]-H$4)</f>
        <v>40378</v>
      </c>
      <c r="D7158" s="1">
        <f>IF(Tabela1[[#This Row],[promien]]&lt;40000,1,0)</f>
        <v>0</v>
      </c>
      <c r="E7158" s="1">
        <f>IF(Tabela1[[#This Row],[promien]]=40000,1,0)</f>
        <v>0</v>
      </c>
      <c r="F7158" s="1">
        <v>3.1628946633137747</v>
      </c>
      <c r="G7158" s="1">
        <v>2.1302009723981552E-2</v>
      </c>
    </row>
    <row r="7159" spans="1:7">
      <c r="A7159">
        <v>179</v>
      </c>
      <c r="B7159">
        <v>209</v>
      </c>
      <c r="C7159" s="1">
        <f>(Tabela1[[#This Row],[x]]-H$3)*(Tabela1[[#This Row],[x]]-H$3) +(Tabela1[[#This Row],[y]]-H$4)*(Tabela1[[#This Row],[y]]-H$4)</f>
        <v>522</v>
      </c>
      <c r="D7159" s="1">
        <f>IF(Tabela1[[#This Row],[promien]]&lt;40000,1,0)</f>
        <v>1</v>
      </c>
      <c r="E7159" s="1">
        <f>IF(Tabela1[[#This Row],[promien]]=40000,1,0)</f>
        <v>0</v>
      </c>
      <c r="F7159" s="1">
        <v>3.1630115937980166</v>
      </c>
      <c r="G7159" s="1">
        <v>2.1418940208223436E-2</v>
      </c>
    </row>
    <row r="7160" spans="1:7">
      <c r="A7160">
        <v>243</v>
      </c>
      <c r="B7160">
        <v>275</v>
      </c>
      <c r="C7160" s="1">
        <f>(Tabela1[[#This Row],[x]]-H$3)*(Tabela1[[#This Row],[x]]-H$3) +(Tabela1[[#This Row],[y]]-H$4)*(Tabela1[[#This Row],[y]]-H$4)</f>
        <v>7474</v>
      </c>
      <c r="D7160" s="1">
        <f>IF(Tabela1[[#This Row],[promien]]&lt;40000,1,0)</f>
        <v>1</v>
      </c>
      <c r="E7160" s="1">
        <f>IF(Tabela1[[#This Row],[promien]]=40000,1,0)</f>
        <v>0</v>
      </c>
      <c r="F7160" s="1">
        <v>3.1631284916201117</v>
      </c>
      <c r="G7160" s="1">
        <v>2.1535838030318555E-2</v>
      </c>
    </row>
    <row r="7161" spans="1:7">
      <c r="A7161">
        <v>132</v>
      </c>
      <c r="B7161">
        <v>360</v>
      </c>
      <c r="C7161" s="1">
        <f>(Tabela1[[#This Row],[x]]-H$3)*(Tabela1[[#This Row],[x]]-H$3) +(Tabela1[[#This Row],[y]]-H$4)*(Tabela1[[#This Row],[y]]-H$4)</f>
        <v>30224</v>
      </c>
      <c r="D7161" s="1">
        <f>IF(Tabela1[[#This Row],[promien]]&lt;40000,1,0)</f>
        <v>1</v>
      </c>
      <c r="E7161" s="1">
        <f>IF(Tabela1[[#This Row],[promien]]=40000,1,0)</f>
        <v>0</v>
      </c>
      <c r="F7161" s="1">
        <v>3.1632453567937437</v>
      </c>
      <c r="G7161" s="1">
        <v>2.165270320395063E-2</v>
      </c>
    </row>
    <row r="7162" spans="1:7">
      <c r="A7162">
        <v>369</v>
      </c>
      <c r="B7162">
        <v>347</v>
      </c>
      <c r="C7162" s="1">
        <f>(Tabela1[[#This Row],[x]]-H$3)*(Tabela1[[#This Row],[x]]-H$3) +(Tabela1[[#This Row],[y]]-H$4)*(Tabela1[[#This Row],[y]]-H$4)</f>
        <v>50170</v>
      </c>
      <c r="D7162" s="1">
        <f>IF(Tabela1[[#This Row],[promien]]&lt;40000,1,0)</f>
        <v>0</v>
      </c>
      <c r="E7162" s="1">
        <f>IF(Tabela1[[#This Row],[promien]]=40000,1,0)</f>
        <v>0</v>
      </c>
      <c r="F7162" s="1">
        <v>3.1628036861211952</v>
      </c>
      <c r="G7162" s="1">
        <v>2.1211032531402108E-2</v>
      </c>
    </row>
    <row r="7163" spans="1:7">
      <c r="A7163">
        <v>135</v>
      </c>
      <c r="B7163">
        <v>65</v>
      </c>
      <c r="C7163" s="1">
        <f>(Tabela1[[#This Row],[x]]-H$3)*(Tabela1[[#This Row],[x]]-H$3) +(Tabela1[[#This Row],[y]]-H$4)*(Tabela1[[#This Row],[y]]-H$4)</f>
        <v>22450</v>
      </c>
      <c r="D7163" s="1">
        <f>IF(Tabela1[[#This Row],[promien]]&lt;40000,1,0)</f>
        <v>1</v>
      </c>
      <c r="E7163" s="1">
        <f>IF(Tabela1[[#This Row],[promien]]=40000,1,0)</f>
        <v>0</v>
      </c>
      <c r="F7163" s="1">
        <v>3.1629205640094931</v>
      </c>
      <c r="G7163" s="1">
        <v>2.1327910419699947E-2</v>
      </c>
    </row>
    <row r="7164" spans="1:7">
      <c r="A7164">
        <v>74</v>
      </c>
      <c r="B7164">
        <v>166</v>
      </c>
      <c r="C7164" s="1">
        <f>(Tabela1[[#This Row],[x]]-H$3)*(Tabela1[[#This Row],[x]]-H$3) +(Tabela1[[#This Row],[y]]-H$4)*(Tabela1[[#This Row],[y]]-H$4)</f>
        <v>17032</v>
      </c>
      <c r="D7164" s="1">
        <f>IF(Tabela1[[#This Row],[promien]]&lt;40000,1,0)</f>
        <v>1</v>
      </c>
      <c r="E7164" s="1">
        <f>IF(Tabela1[[#This Row],[promien]]=40000,1,0)</f>
        <v>0</v>
      </c>
      <c r="F7164" s="1">
        <v>3.1630374092685649</v>
      </c>
      <c r="G7164" s="1">
        <v>2.1444755678771799E-2</v>
      </c>
    </row>
    <row r="7165" spans="1:7">
      <c r="A7165">
        <v>127</v>
      </c>
      <c r="B7165">
        <v>283</v>
      </c>
      <c r="C7165" s="1">
        <f>(Tabela1[[#This Row],[x]]-H$3)*(Tabela1[[#This Row],[x]]-H$3) +(Tabela1[[#This Row],[y]]-H$4)*(Tabela1[[#This Row],[y]]-H$4)</f>
        <v>12218</v>
      </c>
      <c r="D7165" s="1">
        <f>IF(Tabela1[[#This Row],[promien]]&lt;40000,1,0)</f>
        <v>1</v>
      </c>
      <c r="E7165" s="1">
        <f>IF(Tabela1[[#This Row],[promien]]=40000,1,0)</f>
        <v>0</v>
      </c>
      <c r="F7165" s="1">
        <v>3.1631542219120727</v>
      </c>
      <c r="G7165" s="1">
        <v>2.1561568322279623E-2</v>
      </c>
    </row>
    <row r="7166" spans="1:7">
      <c r="A7166">
        <v>233</v>
      </c>
      <c r="B7166">
        <v>85</v>
      </c>
      <c r="C7166" s="1">
        <f>(Tabela1[[#This Row],[x]]-H$3)*(Tabela1[[#This Row],[x]]-H$3) +(Tabela1[[#This Row],[y]]-H$4)*(Tabela1[[#This Row],[y]]-H$4)</f>
        <v>14314</v>
      </c>
      <c r="D7166" s="1">
        <f>IF(Tabela1[[#This Row],[promien]]&lt;40000,1,0)</f>
        <v>1</v>
      </c>
      <c r="E7166" s="1">
        <f>IF(Tabela1[[#This Row],[promien]]=40000,1,0)</f>
        <v>0</v>
      </c>
      <c r="F7166" s="1">
        <v>3.1632710019536701</v>
      </c>
      <c r="G7166" s="1">
        <v>2.1678348363876943E-2</v>
      </c>
    </row>
    <row r="7167" spans="1:7">
      <c r="A7167">
        <v>391</v>
      </c>
      <c r="B7167">
        <v>295</v>
      </c>
      <c r="C7167" s="1">
        <f>(Tabela1[[#This Row],[x]]-H$3)*(Tabela1[[#This Row],[x]]-H$3) +(Tabela1[[#This Row],[y]]-H$4)*(Tabela1[[#This Row],[y]]-H$4)</f>
        <v>45506</v>
      </c>
      <c r="D7167" s="1">
        <f>IF(Tabela1[[#This Row],[promien]]&lt;40000,1,0)</f>
        <v>0</v>
      </c>
      <c r="E7167" s="1">
        <f>IF(Tabela1[[#This Row],[promien]]=40000,1,0)</f>
        <v>0</v>
      </c>
      <c r="F7167" s="1">
        <v>3.1628296358308914</v>
      </c>
      <c r="G7167" s="1">
        <v>2.1236982241098268E-2</v>
      </c>
    </row>
    <row r="7168" spans="1:7">
      <c r="A7168">
        <v>85</v>
      </c>
      <c r="B7168">
        <v>341</v>
      </c>
      <c r="C7168" s="1">
        <f>(Tabela1[[#This Row],[x]]-H$3)*(Tabela1[[#This Row],[x]]-H$3) +(Tabela1[[#This Row],[y]]-H$4)*(Tabela1[[#This Row],[y]]-H$4)</f>
        <v>33106</v>
      </c>
      <c r="D7168" s="1">
        <f>IF(Tabela1[[#This Row],[promien]]&lt;40000,1,0)</f>
        <v>1</v>
      </c>
      <c r="E7168" s="1">
        <f>IF(Tabela1[[#This Row],[promien]]=40000,1,0)</f>
        <v>0</v>
      </c>
      <c r="F7168" s="1">
        <v>3.1629464285714284</v>
      </c>
      <c r="G7168" s="1">
        <v>2.1353774981635265E-2</v>
      </c>
    </row>
    <row r="7169" spans="1:7">
      <c r="A7169">
        <v>311</v>
      </c>
      <c r="B7169">
        <v>103</v>
      </c>
      <c r="C7169" s="1">
        <f>(Tabela1[[#This Row],[x]]-H$3)*(Tabela1[[#This Row],[x]]-H$3) +(Tabela1[[#This Row],[y]]-H$4)*(Tabela1[[#This Row],[y]]-H$4)</f>
        <v>21730</v>
      </c>
      <c r="D7169" s="1">
        <f>IF(Tabela1[[#This Row],[promien]]&lt;40000,1,0)</f>
        <v>1</v>
      </c>
      <c r="E7169" s="1">
        <f>IF(Tabela1[[#This Row],[promien]]=40000,1,0)</f>
        <v>0</v>
      </c>
      <c r="F7169" s="1">
        <v>3.1630631887292511</v>
      </c>
      <c r="G7169" s="1">
        <v>2.1470535139457958E-2</v>
      </c>
    </row>
    <row r="7170" spans="1:7">
      <c r="A7170">
        <v>136</v>
      </c>
      <c r="B7170">
        <v>33</v>
      </c>
      <c r="C7170" s="1">
        <f>(Tabela1[[#This Row],[x]]-H$3)*(Tabela1[[#This Row],[x]]-H$3) +(Tabela1[[#This Row],[y]]-H$4)*(Tabela1[[#This Row],[y]]-H$4)</f>
        <v>31985</v>
      </c>
      <c r="D7170" s="1">
        <f>IF(Tabela1[[#This Row],[promien]]&lt;40000,1,0)</f>
        <v>1</v>
      </c>
      <c r="E7170" s="1">
        <f>IF(Tabela1[[#This Row],[promien]]=40000,1,0)</f>
        <v>0</v>
      </c>
      <c r="F7170" s="1">
        <v>3.1631799163179917</v>
      </c>
      <c r="G7170" s="1">
        <v>2.1587262728198553E-2</v>
      </c>
    </row>
    <row r="7171" spans="1:7">
      <c r="A7171">
        <v>3</v>
      </c>
      <c r="B7171">
        <v>109</v>
      </c>
      <c r="C7171" s="1">
        <f>(Tabela1[[#This Row],[x]]-H$3)*(Tabela1[[#This Row],[x]]-H$3) +(Tabela1[[#This Row],[y]]-H$4)*(Tabela1[[#This Row],[y]]-H$4)</f>
        <v>47090</v>
      </c>
      <c r="D7171" s="1">
        <f>IF(Tabela1[[#This Row],[promien]]&lt;40000,1,0)</f>
        <v>0</v>
      </c>
      <c r="E7171" s="1">
        <f>IF(Tabela1[[#This Row],[promien]]=40000,1,0)</f>
        <v>0</v>
      </c>
      <c r="F7171" s="1">
        <v>3.1627388090921769</v>
      </c>
      <c r="G7171" s="1">
        <v>2.1146155502383746E-2</v>
      </c>
    </row>
    <row r="7172" spans="1:7">
      <c r="A7172">
        <v>13</v>
      </c>
      <c r="B7172">
        <v>144</v>
      </c>
      <c r="C7172" s="1">
        <f>(Tabela1[[#This Row],[x]]-H$3)*(Tabela1[[#This Row],[x]]-H$3) +(Tabela1[[#This Row],[y]]-H$4)*(Tabela1[[#This Row],[y]]-H$4)</f>
        <v>38105</v>
      </c>
      <c r="D7172" s="1">
        <f>IF(Tabela1[[#This Row],[promien]]&lt;40000,1,0)</f>
        <v>1</v>
      </c>
      <c r="E7172" s="1">
        <f>IF(Tabela1[[#This Row],[promien]]=40000,1,0)</f>
        <v>0</v>
      </c>
      <c r="F7172" s="1">
        <v>3.1628555493586168</v>
      </c>
      <c r="G7172" s="1">
        <v>2.1262895768823675E-2</v>
      </c>
    </row>
    <row r="7173" spans="1:7">
      <c r="A7173">
        <v>100</v>
      </c>
      <c r="B7173">
        <v>21</v>
      </c>
      <c r="C7173" s="1">
        <f>(Tabela1[[#This Row],[x]]-H$3)*(Tabela1[[#This Row],[x]]-H$3) +(Tabela1[[#This Row],[y]]-H$4)*(Tabela1[[#This Row],[y]]-H$4)</f>
        <v>42041</v>
      </c>
      <c r="D7173" s="1">
        <f>IF(Tabela1[[#This Row],[promien]]&lt;40000,1,0)</f>
        <v>0</v>
      </c>
      <c r="E7173" s="1">
        <f>IF(Tabela1[[#This Row],[promien]]=40000,1,0)</f>
        <v>0</v>
      </c>
      <c r="F7173" s="1">
        <v>3.1624146103443467</v>
      </c>
      <c r="G7173" s="1">
        <v>2.0821956754553561E-2</v>
      </c>
    </row>
    <row r="7174" spans="1:7">
      <c r="A7174">
        <v>311</v>
      </c>
      <c r="B7174">
        <v>235</v>
      </c>
      <c r="C7174" s="1">
        <f>(Tabela1[[#This Row],[x]]-H$3)*(Tabela1[[#This Row],[x]]-H$3) +(Tabela1[[#This Row],[y]]-H$4)*(Tabela1[[#This Row],[y]]-H$4)</f>
        <v>13546</v>
      </c>
      <c r="D7174" s="1">
        <f>IF(Tabela1[[#This Row],[promien]]&lt;40000,1,0)</f>
        <v>1</v>
      </c>
      <c r="E7174" s="1">
        <f>IF(Tabela1[[#This Row],[promien]]=40000,1,0)</f>
        <v>0</v>
      </c>
      <c r="F7174" s="1">
        <v>3.1625313632562029</v>
      </c>
      <c r="G7174" s="1">
        <v>2.0938709666409761E-2</v>
      </c>
    </row>
    <row r="7175" spans="1:7">
      <c r="A7175">
        <v>77</v>
      </c>
      <c r="B7175">
        <v>66</v>
      </c>
      <c r="C7175" s="1">
        <f>(Tabela1[[#This Row],[x]]-H$3)*(Tabela1[[#This Row],[x]]-H$3) +(Tabela1[[#This Row],[y]]-H$4)*(Tabela1[[#This Row],[y]]-H$4)</f>
        <v>33085</v>
      </c>
      <c r="D7175" s="1">
        <f>IF(Tabela1[[#This Row],[promien]]&lt;40000,1,0)</f>
        <v>1</v>
      </c>
      <c r="E7175" s="1">
        <f>IF(Tabela1[[#This Row],[promien]]=40000,1,0)</f>
        <v>0</v>
      </c>
      <c r="F7175" s="1">
        <v>3.1626480836236932</v>
      </c>
      <c r="G7175" s="1">
        <v>2.1055430033900091E-2</v>
      </c>
    </row>
    <row r="7176" spans="1:7">
      <c r="A7176">
        <v>28</v>
      </c>
      <c r="B7176">
        <v>310</v>
      </c>
      <c r="C7176" s="1">
        <f>(Tabela1[[#This Row],[x]]-H$3)*(Tabela1[[#This Row],[x]]-H$3) +(Tabela1[[#This Row],[y]]-H$4)*(Tabela1[[#This Row],[y]]-H$4)</f>
        <v>41684</v>
      </c>
      <c r="D7176" s="1">
        <f>IF(Tabela1[[#This Row],[promien]]&lt;40000,1,0)</f>
        <v>0</v>
      </c>
      <c r="E7176" s="1">
        <f>IF(Tabela1[[#This Row],[promien]]=40000,1,0)</f>
        <v>0</v>
      </c>
      <c r="F7176" s="1">
        <v>3.1622073578595318</v>
      </c>
      <c r="G7176" s="1">
        <v>2.061470426973866E-2</v>
      </c>
    </row>
    <row r="7177" spans="1:7">
      <c r="A7177">
        <v>135</v>
      </c>
      <c r="B7177">
        <v>247</v>
      </c>
      <c r="C7177" s="1">
        <f>(Tabela1[[#This Row],[x]]-H$3)*(Tabela1[[#This Row],[x]]-H$3) +(Tabela1[[#This Row],[y]]-H$4)*(Tabela1[[#This Row],[y]]-H$4)</f>
        <v>6434</v>
      </c>
      <c r="D7177" s="1">
        <f>IF(Tabela1[[#This Row],[promien]]&lt;40000,1,0)</f>
        <v>1</v>
      </c>
      <c r="E7177" s="1">
        <f>IF(Tabela1[[#This Row],[promien]]=40000,1,0)</f>
        <v>0</v>
      </c>
      <c r="F7177" s="1">
        <v>3.1623240908457575</v>
      </c>
      <c r="G7177" s="1">
        <v>2.073143725596438E-2</v>
      </c>
    </row>
    <row r="7178" spans="1:7">
      <c r="A7178">
        <v>2</v>
      </c>
      <c r="B7178">
        <v>265</v>
      </c>
      <c r="C7178" s="1">
        <f>(Tabela1[[#This Row],[x]]-H$3)*(Tabela1[[#This Row],[x]]-H$3) +(Tabela1[[#This Row],[y]]-H$4)*(Tabela1[[#This Row],[y]]-H$4)</f>
        <v>43429</v>
      </c>
      <c r="D7178" s="1">
        <f>IF(Tabela1[[#This Row],[promien]]&lt;40000,1,0)</f>
        <v>0</v>
      </c>
      <c r="E7178" s="1">
        <f>IF(Tabela1[[#This Row],[promien]]=40000,1,0)</f>
        <v>0</v>
      </c>
      <c r="F7178" s="1">
        <v>3.1618835330175536</v>
      </c>
      <c r="G7178" s="1">
        <v>2.0290879427760533E-2</v>
      </c>
    </row>
    <row r="7179" spans="1:7">
      <c r="A7179">
        <v>197</v>
      </c>
      <c r="B7179">
        <v>267</v>
      </c>
      <c r="C7179" s="1">
        <f>(Tabela1[[#This Row],[x]]-H$3)*(Tabela1[[#This Row],[x]]-H$3) +(Tabela1[[#This Row],[y]]-H$4)*(Tabela1[[#This Row],[y]]-H$4)</f>
        <v>4498</v>
      </c>
      <c r="D7179" s="1">
        <f>IF(Tabela1[[#This Row],[promien]]&lt;40000,1,0)</f>
        <v>1</v>
      </c>
      <c r="E7179" s="1">
        <f>IF(Tabela1[[#This Row],[promien]]=40000,1,0)</f>
        <v>0</v>
      </c>
      <c r="F7179" s="1">
        <v>3.1620002785903329</v>
      </c>
      <c r="G7179" s="1">
        <v>2.0407625000539831E-2</v>
      </c>
    </row>
    <row r="7180" spans="1:7">
      <c r="A7180">
        <v>366</v>
      </c>
      <c r="B7180">
        <v>115</v>
      </c>
      <c r="C7180" s="1">
        <f>(Tabela1[[#This Row],[x]]-H$3)*(Tabela1[[#This Row],[x]]-H$3) +(Tabela1[[#This Row],[y]]-H$4)*(Tabela1[[#This Row],[y]]-H$4)</f>
        <v>34781</v>
      </c>
      <c r="D7180" s="1">
        <f>IF(Tabela1[[#This Row],[promien]]&lt;40000,1,0)</f>
        <v>1</v>
      </c>
      <c r="E7180" s="1">
        <f>IF(Tabela1[[#This Row],[promien]]=40000,1,0)</f>
        <v>0</v>
      </c>
      <c r="F7180" s="1">
        <v>3.1621169916434542</v>
      </c>
      <c r="G7180" s="1">
        <v>2.0524338053661051E-2</v>
      </c>
    </row>
    <row r="7181" spans="1:7">
      <c r="A7181">
        <v>102</v>
      </c>
      <c r="B7181">
        <v>400</v>
      </c>
      <c r="C7181" s="1">
        <f>(Tabela1[[#This Row],[x]]-H$3)*(Tabela1[[#This Row],[x]]-H$3) +(Tabela1[[#This Row],[y]]-H$4)*(Tabela1[[#This Row],[y]]-H$4)</f>
        <v>49604</v>
      </c>
      <c r="D7181" s="1">
        <f>IF(Tabela1[[#This Row],[promien]]&lt;40000,1,0)</f>
        <v>0</v>
      </c>
      <c r="E7181" s="1">
        <f>IF(Tabela1[[#This Row],[promien]]=40000,1,0)</f>
        <v>0</v>
      </c>
      <c r="F7181" s="1">
        <v>3.1616766467065869</v>
      </c>
      <c r="G7181" s="1">
        <v>2.0083993116793764E-2</v>
      </c>
    </row>
    <row r="7182" spans="1:7">
      <c r="A7182">
        <v>169</v>
      </c>
      <c r="B7182">
        <v>148</v>
      </c>
      <c r="C7182" s="1">
        <f>(Tabela1[[#This Row],[x]]-H$3)*(Tabela1[[#This Row],[x]]-H$3) +(Tabela1[[#This Row],[y]]-H$4)*(Tabela1[[#This Row],[y]]-H$4)</f>
        <v>3665</v>
      </c>
      <c r="D7182" s="1">
        <f>IF(Tabela1[[#This Row],[promien]]&lt;40000,1,0)</f>
        <v>1</v>
      </c>
      <c r="E7182" s="1">
        <f>IF(Tabela1[[#This Row],[promien]]=40000,1,0)</f>
        <v>0</v>
      </c>
      <c r="F7182" s="1">
        <v>3.1617933723196883</v>
      </c>
      <c r="G7182" s="1">
        <v>2.0200718729895151E-2</v>
      </c>
    </row>
    <row r="7183" spans="1:7">
      <c r="A7183">
        <v>159</v>
      </c>
      <c r="B7183">
        <v>271</v>
      </c>
      <c r="C7183" s="1">
        <f>(Tabela1[[#This Row],[x]]-H$3)*(Tabela1[[#This Row],[x]]-H$3) +(Tabela1[[#This Row],[y]]-H$4)*(Tabela1[[#This Row],[y]]-H$4)</f>
        <v>6722</v>
      </c>
      <c r="D7183" s="1">
        <f>IF(Tabela1[[#This Row],[promien]]&lt;40000,1,0)</f>
        <v>1</v>
      </c>
      <c r="E7183" s="1">
        <f>IF(Tabela1[[#This Row],[promien]]=40000,1,0)</f>
        <v>0</v>
      </c>
      <c r="F7183" s="1">
        <v>3.1619100654322705</v>
      </c>
      <c r="G7183" s="1">
        <v>2.0317411842477373E-2</v>
      </c>
    </row>
    <row r="7184" spans="1:7">
      <c r="A7184">
        <v>260</v>
      </c>
      <c r="B7184">
        <v>45</v>
      </c>
      <c r="C7184" s="1">
        <f>(Tabela1[[#This Row],[x]]-H$3)*(Tabela1[[#This Row],[x]]-H$3) +(Tabela1[[#This Row],[y]]-H$4)*(Tabela1[[#This Row],[y]]-H$4)</f>
        <v>27625</v>
      </c>
      <c r="D7184" s="1">
        <f>IF(Tabela1[[#This Row],[promien]]&lt;40000,1,0)</f>
        <v>1</v>
      </c>
      <c r="E7184" s="1">
        <f>IF(Tabela1[[#This Row],[promien]]=40000,1,0)</f>
        <v>0</v>
      </c>
      <c r="F7184" s="1">
        <v>3.1620267260579062</v>
      </c>
      <c r="G7184" s="1">
        <v>2.0434072468113129E-2</v>
      </c>
    </row>
    <row r="7185" spans="1:7">
      <c r="A7185">
        <v>350</v>
      </c>
      <c r="B7185">
        <v>358</v>
      </c>
      <c r="C7185" s="1">
        <f>(Tabela1[[#This Row],[x]]-H$3)*(Tabela1[[#This Row],[x]]-H$3) +(Tabela1[[#This Row],[y]]-H$4)*(Tabela1[[#This Row],[y]]-H$4)</f>
        <v>47464</v>
      </c>
      <c r="D7185" s="1">
        <f>IF(Tabela1[[#This Row],[promien]]&lt;40000,1,0)</f>
        <v>0</v>
      </c>
      <c r="E7185" s="1">
        <f>IF(Tabela1[[#This Row],[promien]]=40000,1,0)</f>
        <v>0</v>
      </c>
      <c r="F7185" s="1">
        <v>3.1615866388308977</v>
      </c>
      <c r="G7185" s="1">
        <v>1.9993985241104628E-2</v>
      </c>
    </row>
    <row r="7186" spans="1:7">
      <c r="A7186">
        <v>86</v>
      </c>
      <c r="B7186">
        <v>270</v>
      </c>
      <c r="C7186" s="1">
        <f>(Tabela1[[#This Row],[x]]-H$3)*(Tabela1[[#This Row],[x]]-H$3) +(Tabela1[[#This Row],[y]]-H$4)*(Tabela1[[#This Row],[y]]-H$4)</f>
        <v>17896</v>
      </c>
      <c r="D7186" s="1">
        <f>IF(Tabela1[[#This Row],[promien]]&lt;40000,1,0)</f>
        <v>1</v>
      </c>
      <c r="E7186" s="1">
        <f>IF(Tabela1[[#This Row],[promien]]=40000,1,0)</f>
        <v>0</v>
      </c>
      <c r="F7186" s="1">
        <v>3.1617033119955469</v>
      </c>
      <c r="G7186" s="1">
        <v>2.0110658405753767E-2</v>
      </c>
    </row>
    <row r="7187" spans="1:7">
      <c r="A7187">
        <v>186</v>
      </c>
      <c r="B7187">
        <v>341</v>
      </c>
      <c r="C7187" s="1">
        <f>(Tabela1[[#This Row],[x]]-H$3)*(Tabela1[[#This Row],[x]]-H$3) +(Tabela1[[#This Row],[y]]-H$4)*(Tabela1[[#This Row],[y]]-H$4)</f>
        <v>20077</v>
      </c>
      <c r="D7187" s="1">
        <f>IF(Tabela1[[#This Row],[promien]]&lt;40000,1,0)</f>
        <v>1</v>
      </c>
      <c r="E7187" s="1">
        <f>IF(Tabela1[[#This Row],[promien]]=40000,1,0)</f>
        <v>0</v>
      </c>
      <c r="F7187" s="1">
        <v>3.1618199526923614</v>
      </c>
      <c r="G7187" s="1">
        <v>2.0227299102568264E-2</v>
      </c>
    </row>
    <row r="7188" spans="1:7">
      <c r="A7188">
        <v>143</v>
      </c>
      <c r="B7188">
        <v>152</v>
      </c>
      <c r="C7188" s="1">
        <f>(Tabela1[[#This Row],[x]]-H$3)*(Tabela1[[#This Row],[x]]-H$3) +(Tabela1[[#This Row],[y]]-H$4)*(Tabela1[[#This Row],[y]]-H$4)</f>
        <v>5553</v>
      </c>
      <c r="D7188" s="1">
        <f>IF(Tabela1[[#This Row],[promien]]&lt;40000,1,0)</f>
        <v>1</v>
      </c>
      <c r="E7188" s="1">
        <f>IF(Tabela1[[#This Row],[promien]]=40000,1,0)</f>
        <v>0</v>
      </c>
      <c r="F7188" s="1">
        <v>3.1619365609348913</v>
      </c>
      <c r="G7188" s="1">
        <v>2.0343907345098167E-2</v>
      </c>
    </row>
    <row r="7189" spans="1:7">
      <c r="A7189">
        <v>139</v>
      </c>
      <c r="B7189">
        <v>38</v>
      </c>
      <c r="C7189" s="1">
        <f>(Tabela1[[#This Row],[x]]-H$3)*(Tabela1[[#This Row],[x]]-H$3) +(Tabela1[[#This Row],[y]]-H$4)*(Tabela1[[#This Row],[y]]-H$4)</f>
        <v>29965</v>
      </c>
      <c r="D7189" s="1">
        <f>IF(Tabela1[[#This Row],[promien]]&lt;40000,1,0)</f>
        <v>1</v>
      </c>
      <c r="E7189" s="1">
        <f>IF(Tabela1[[#This Row],[promien]]=40000,1,0)</f>
        <v>0</v>
      </c>
      <c r="F7189" s="1">
        <v>3.1620531367366809</v>
      </c>
      <c r="G7189" s="1">
        <v>2.0460483146887753E-2</v>
      </c>
    </row>
    <row r="7190" spans="1:7">
      <c r="A7190">
        <v>251</v>
      </c>
      <c r="B7190">
        <v>152</v>
      </c>
      <c r="C7190" s="1">
        <f>(Tabela1[[#This Row],[x]]-H$3)*(Tabela1[[#This Row],[x]]-H$3) +(Tabela1[[#This Row],[y]]-H$4)*(Tabela1[[#This Row],[y]]-H$4)</f>
        <v>4905</v>
      </c>
      <c r="D7190" s="1">
        <f>IF(Tabela1[[#This Row],[promien]]&lt;40000,1,0)</f>
        <v>1</v>
      </c>
      <c r="E7190" s="1">
        <f>IF(Tabela1[[#This Row],[promien]]=40000,1,0)</f>
        <v>0</v>
      </c>
      <c r="F7190" s="1">
        <v>3.1621696801112655</v>
      </c>
      <c r="G7190" s="1">
        <v>2.0577026521472419E-2</v>
      </c>
    </row>
    <row r="7191" spans="1:7">
      <c r="A7191">
        <v>323</v>
      </c>
      <c r="B7191">
        <v>357</v>
      </c>
      <c r="C7191" s="1">
        <f>(Tabela1[[#This Row],[x]]-H$3)*(Tabela1[[#This Row],[x]]-H$3) +(Tabela1[[#This Row],[y]]-H$4)*(Tabela1[[#This Row],[y]]-H$4)</f>
        <v>39778</v>
      </c>
      <c r="D7191" s="1">
        <f>IF(Tabela1[[#This Row],[promien]]&lt;40000,1,0)</f>
        <v>1</v>
      </c>
      <c r="E7191" s="1">
        <f>IF(Tabela1[[#This Row],[promien]]=40000,1,0)</f>
        <v>0</v>
      </c>
      <c r="F7191" s="1">
        <v>3.1622861910721736</v>
      </c>
      <c r="G7191" s="1">
        <v>2.0693537482380453E-2</v>
      </c>
    </row>
    <row r="7192" spans="1:7">
      <c r="A7192">
        <v>64</v>
      </c>
      <c r="B7192">
        <v>165</v>
      </c>
      <c r="C7192" s="1">
        <f>(Tabela1[[#This Row],[x]]-H$3)*(Tabela1[[#This Row],[x]]-H$3) +(Tabela1[[#This Row],[y]]-H$4)*(Tabela1[[#This Row],[y]]-H$4)</f>
        <v>19721</v>
      </c>
      <c r="D7192" s="1">
        <f>IF(Tabela1[[#This Row],[promien]]&lt;40000,1,0)</f>
        <v>1</v>
      </c>
      <c r="E7192" s="1">
        <f>IF(Tabela1[[#This Row],[promien]]=40000,1,0)</f>
        <v>0</v>
      </c>
      <c r="F7192" s="1">
        <v>3.1624026696329253</v>
      </c>
      <c r="G7192" s="1">
        <v>2.0810016043132151E-2</v>
      </c>
    </row>
    <row r="7193" spans="1:7">
      <c r="A7193">
        <v>107</v>
      </c>
      <c r="B7193">
        <v>229</v>
      </c>
      <c r="C7193" s="1">
        <f>(Tabela1[[#This Row],[x]]-H$3)*(Tabela1[[#This Row],[x]]-H$3) +(Tabela1[[#This Row],[y]]-H$4)*(Tabela1[[#This Row],[y]]-H$4)</f>
        <v>9490</v>
      </c>
      <c r="D7193" s="1">
        <f>IF(Tabela1[[#This Row],[promien]]&lt;40000,1,0)</f>
        <v>1</v>
      </c>
      <c r="E7193" s="1">
        <f>IF(Tabela1[[#This Row],[promien]]=40000,1,0)</f>
        <v>0</v>
      </c>
      <c r="F7193" s="1">
        <v>3.1625191158070347</v>
      </c>
      <c r="G7193" s="1">
        <v>2.0926462217241593E-2</v>
      </c>
    </row>
    <row r="7194" spans="1:7">
      <c r="A7194">
        <v>73</v>
      </c>
      <c r="B7194">
        <v>19</v>
      </c>
      <c r="C7194" s="1">
        <f>(Tabela1[[#This Row],[x]]-H$3)*(Tabela1[[#This Row],[x]]-H$3) +(Tabela1[[#This Row],[y]]-H$4)*(Tabela1[[#This Row],[y]]-H$4)</f>
        <v>48890</v>
      </c>
      <c r="D7194" s="1">
        <f>IF(Tabela1[[#This Row],[promien]]&lt;40000,1,0)</f>
        <v>0</v>
      </c>
      <c r="E7194" s="1">
        <f>IF(Tabela1[[#This Row],[promien]]=40000,1,0)</f>
        <v>0</v>
      </c>
      <c r="F7194" s="1">
        <v>3.1620795107033639</v>
      </c>
      <c r="G7194" s="1">
        <v>2.0486857113570789E-2</v>
      </c>
    </row>
    <row r="7195" spans="1:7">
      <c r="A7195">
        <v>294</v>
      </c>
      <c r="B7195">
        <v>96</v>
      </c>
      <c r="C7195" s="1">
        <f>(Tabela1[[#This Row],[x]]-H$3)*(Tabela1[[#This Row],[x]]-H$3) +(Tabela1[[#This Row],[y]]-H$4)*(Tabela1[[#This Row],[y]]-H$4)</f>
        <v>19652</v>
      </c>
      <c r="D7195" s="1">
        <f>IF(Tabela1[[#This Row],[promien]]&lt;40000,1,0)</f>
        <v>1</v>
      </c>
      <c r="E7195" s="1">
        <f>IF(Tabela1[[#This Row],[promien]]=40000,1,0)</f>
        <v>0</v>
      </c>
      <c r="F7195" s="1">
        <v>3.1621959694232107</v>
      </c>
      <c r="G7195" s="1">
        <v>2.0603315833417568E-2</v>
      </c>
    </row>
    <row r="7196" spans="1:7">
      <c r="A7196">
        <v>274</v>
      </c>
      <c r="B7196">
        <v>144</v>
      </c>
      <c r="C7196" s="1">
        <f>(Tabela1[[#This Row],[x]]-H$3)*(Tabela1[[#This Row],[x]]-H$3) +(Tabela1[[#This Row],[y]]-H$4)*(Tabela1[[#This Row],[y]]-H$4)</f>
        <v>8612</v>
      </c>
      <c r="D7196" s="1">
        <f>IF(Tabela1[[#This Row],[promien]]&lt;40000,1,0)</f>
        <v>1</v>
      </c>
      <c r="E7196" s="1">
        <f>IF(Tabela1[[#This Row],[promien]]=40000,1,0)</f>
        <v>0</v>
      </c>
      <c r="F7196" s="1">
        <v>3.1623123957754307</v>
      </c>
      <c r="G7196" s="1">
        <v>2.0719742185637546E-2</v>
      </c>
    </row>
    <row r="7197" spans="1:7">
      <c r="A7197">
        <v>249</v>
      </c>
      <c r="B7197">
        <v>87</v>
      </c>
      <c r="C7197" s="1">
        <f>(Tabela1[[#This Row],[x]]-H$3)*(Tabela1[[#This Row],[x]]-H$3) +(Tabela1[[#This Row],[y]]-H$4)*(Tabela1[[#This Row],[y]]-H$4)</f>
        <v>15170</v>
      </c>
      <c r="D7197" s="1">
        <f>IF(Tabela1[[#This Row],[promien]]&lt;40000,1,0)</f>
        <v>1</v>
      </c>
      <c r="E7197" s="1">
        <f>IF(Tabela1[[#This Row],[promien]]=40000,1,0)</f>
        <v>0</v>
      </c>
      <c r="F7197" s="1">
        <v>3.1624287897735166</v>
      </c>
      <c r="G7197" s="1">
        <v>2.0836136183723486E-2</v>
      </c>
    </row>
    <row r="7198" spans="1:7">
      <c r="A7198">
        <v>128</v>
      </c>
      <c r="B7198">
        <v>28</v>
      </c>
      <c r="C7198" s="1">
        <f>(Tabela1[[#This Row],[x]]-H$3)*(Tabela1[[#This Row],[x]]-H$3) +(Tabela1[[#This Row],[y]]-H$4)*(Tabela1[[#This Row],[y]]-H$4)</f>
        <v>34768</v>
      </c>
      <c r="D7198" s="1">
        <f>IF(Tabela1[[#This Row],[promien]]&lt;40000,1,0)</f>
        <v>1</v>
      </c>
      <c r="E7198" s="1">
        <f>IF(Tabela1[[#This Row],[promien]]=40000,1,0)</f>
        <v>0</v>
      </c>
      <c r="F7198" s="1">
        <v>3.1625451514309528</v>
      </c>
      <c r="G7198" s="1">
        <v>2.0952497841159712E-2</v>
      </c>
    </row>
    <row r="7199" spans="1:7">
      <c r="A7199">
        <v>263</v>
      </c>
      <c r="B7199">
        <v>243</v>
      </c>
      <c r="C7199" s="1">
        <f>(Tabela1[[#This Row],[x]]-H$3)*(Tabela1[[#This Row],[x]]-H$3) +(Tabela1[[#This Row],[y]]-H$4)*(Tabela1[[#This Row],[y]]-H$4)</f>
        <v>5818</v>
      </c>
      <c r="D7199" s="1">
        <f>IF(Tabela1[[#This Row],[promien]]&lt;40000,1,0)</f>
        <v>1</v>
      </c>
      <c r="E7199" s="1">
        <f>IF(Tabela1[[#This Row],[promien]]=40000,1,0)</f>
        <v>0</v>
      </c>
      <c r="F7199" s="1">
        <v>3.162661480761217</v>
      </c>
      <c r="G7199" s="1">
        <v>2.1068827171423887E-2</v>
      </c>
    </row>
    <row r="7200" spans="1:7">
      <c r="A7200">
        <v>326</v>
      </c>
      <c r="B7200">
        <v>46</v>
      </c>
      <c r="C7200" s="1">
        <f>(Tabela1[[#This Row],[x]]-H$3)*(Tabela1[[#This Row],[x]]-H$3) +(Tabela1[[#This Row],[y]]-H$4)*(Tabela1[[#This Row],[y]]-H$4)</f>
        <v>39592</v>
      </c>
      <c r="D7200" s="1">
        <f>IF(Tabela1[[#This Row],[promien]]&lt;40000,1,0)</f>
        <v>1</v>
      </c>
      <c r="E7200" s="1">
        <f>IF(Tabela1[[#This Row],[promien]]=40000,1,0)</f>
        <v>0</v>
      </c>
      <c r="F7200" s="1">
        <v>3.1627777777777779</v>
      </c>
      <c r="G7200" s="1">
        <v>2.1185124187984794E-2</v>
      </c>
    </row>
    <row r="7201" spans="1:7">
      <c r="A7201">
        <v>179</v>
      </c>
      <c r="B7201">
        <v>390</v>
      </c>
      <c r="C7201" s="1">
        <f>(Tabela1[[#This Row],[x]]-H$3)*(Tabela1[[#This Row],[x]]-H$3) +(Tabela1[[#This Row],[y]]-H$4)*(Tabela1[[#This Row],[y]]-H$4)</f>
        <v>36541</v>
      </c>
      <c r="D7201" s="1">
        <f>IF(Tabela1[[#This Row],[promien]]&lt;40000,1,0)</f>
        <v>1</v>
      </c>
      <c r="E7201" s="1">
        <f>IF(Tabela1[[#This Row],[promien]]=40000,1,0)</f>
        <v>0</v>
      </c>
      <c r="F7201" s="1">
        <v>3.1628940424940981</v>
      </c>
      <c r="G7201" s="1">
        <v>2.1301388904304996E-2</v>
      </c>
    </row>
    <row r="7202" spans="1:7">
      <c r="A7202">
        <v>166</v>
      </c>
      <c r="B7202">
        <v>245</v>
      </c>
      <c r="C7202" s="1">
        <f>(Tabela1[[#This Row],[x]]-H$3)*(Tabela1[[#This Row],[x]]-H$3) +(Tabela1[[#This Row],[y]]-H$4)*(Tabela1[[#This Row],[y]]-H$4)</f>
        <v>3181</v>
      </c>
      <c r="D7202" s="1">
        <f>IF(Tabela1[[#This Row],[promien]]&lt;40000,1,0)</f>
        <v>1</v>
      </c>
      <c r="E7202" s="1">
        <f>IF(Tabela1[[#This Row],[promien]]=40000,1,0)</f>
        <v>0</v>
      </c>
      <c r="F7202" s="1">
        <v>3.1630102749236322</v>
      </c>
      <c r="G7202" s="1">
        <v>2.1417621333839065E-2</v>
      </c>
    </row>
    <row r="7203" spans="1:7">
      <c r="A7203">
        <v>35</v>
      </c>
      <c r="B7203">
        <v>311</v>
      </c>
      <c r="C7203" s="1">
        <f>(Tabela1[[#This Row],[x]]-H$3)*(Tabela1[[#This Row],[x]]-H$3) +(Tabela1[[#This Row],[y]]-H$4)*(Tabela1[[#This Row],[y]]-H$4)</f>
        <v>39546</v>
      </c>
      <c r="D7203" s="1">
        <f>IF(Tabela1[[#This Row],[promien]]&lt;40000,1,0)</f>
        <v>1</v>
      </c>
      <c r="E7203" s="1">
        <f>IF(Tabela1[[#This Row],[promien]]=40000,1,0)</f>
        <v>0</v>
      </c>
      <c r="F7203" s="1">
        <v>3.163126475079828</v>
      </c>
      <c r="G7203" s="1">
        <v>2.153382149003491E-2</v>
      </c>
    </row>
    <row r="7204" spans="1:7">
      <c r="A7204">
        <v>176</v>
      </c>
      <c r="B7204">
        <v>181</v>
      </c>
      <c r="C7204" s="1">
        <f>(Tabela1[[#This Row],[x]]-H$3)*(Tabela1[[#This Row],[x]]-H$3) +(Tabela1[[#This Row],[y]]-H$4)*(Tabela1[[#This Row],[y]]-H$4)</f>
        <v>937</v>
      </c>
      <c r="D7204" s="1">
        <f>IF(Tabela1[[#This Row],[promien]]&lt;40000,1,0)</f>
        <v>1</v>
      </c>
      <c r="E7204" s="1">
        <f>IF(Tabela1[[#This Row],[promien]]=40000,1,0)</f>
        <v>0</v>
      </c>
      <c r="F7204" s="1">
        <v>3.1632426429761242</v>
      </c>
      <c r="G7204" s="1">
        <v>2.1649989386331114E-2</v>
      </c>
    </row>
    <row r="7205" spans="1:7">
      <c r="A7205">
        <v>262</v>
      </c>
      <c r="B7205">
        <v>271</v>
      </c>
      <c r="C7205" s="1">
        <f>(Tabela1[[#This Row],[x]]-H$3)*(Tabela1[[#This Row],[x]]-H$3) +(Tabela1[[#This Row],[y]]-H$4)*(Tabela1[[#This Row],[y]]-H$4)</f>
        <v>8885</v>
      </c>
      <c r="D7205" s="1">
        <f>IF(Tabela1[[#This Row],[promien]]&lt;40000,1,0)</f>
        <v>1</v>
      </c>
      <c r="E7205" s="1">
        <f>IF(Tabela1[[#This Row],[promien]]=40000,1,0)</f>
        <v>0</v>
      </c>
      <c r="F7205" s="1">
        <v>3.163358778625954</v>
      </c>
      <c r="G7205" s="1">
        <v>2.1766125036160933E-2</v>
      </c>
    </row>
    <row r="7206" spans="1:7">
      <c r="A7206">
        <v>352</v>
      </c>
      <c r="B7206">
        <v>53</v>
      </c>
      <c r="C7206" s="1">
        <f>(Tabela1[[#This Row],[x]]-H$3)*(Tabela1[[#This Row],[x]]-H$3) +(Tabela1[[#This Row],[y]]-H$4)*(Tabela1[[#This Row],[y]]-H$4)</f>
        <v>44713</v>
      </c>
      <c r="D7206" s="1">
        <f>IF(Tabela1[[#This Row],[promien]]&lt;40000,1,0)</f>
        <v>0</v>
      </c>
      <c r="E7206" s="1">
        <f>IF(Tabela1[[#This Row],[promien]]=40000,1,0)</f>
        <v>0</v>
      </c>
      <c r="F7206" s="1">
        <v>3.1629197890646683</v>
      </c>
      <c r="G7206" s="1">
        <v>2.1327135474875192E-2</v>
      </c>
    </row>
    <row r="7207" spans="1:7">
      <c r="A7207">
        <v>250</v>
      </c>
      <c r="B7207">
        <v>346</v>
      </c>
      <c r="C7207" s="1">
        <f>(Tabela1[[#This Row],[x]]-H$3)*(Tabela1[[#This Row],[x]]-H$3) +(Tabela1[[#This Row],[y]]-H$4)*(Tabela1[[#This Row],[y]]-H$4)</f>
        <v>23816</v>
      </c>
      <c r="D7207" s="1">
        <f>IF(Tabela1[[#This Row],[promien]]&lt;40000,1,0)</f>
        <v>1</v>
      </c>
      <c r="E7207" s="1">
        <f>IF(Tabela1[[#This Row],[promien]]=40000,1,0)</f>
        <v>0</v>
      </c>
      <c r="F7207" s="1">
        <v>3.1630359372831971</v>
      </c>
      <c r="G7207" s="1">
        <v>2.1443283693403981E-2</v>
      </c>
    </row>
    <row r="7208" spans="1:7">
      <c r="A7208">
        <v>289</v>
      </c>
      <c r="B7208">
        <v>182</v>
      </c>
      <c r="C7208" s="1">
        <f>(Tabela1[[#This Row],[x]]-H$3)*(Tabela1[[#This Row],[x]]-H$3) +(Tabela1[[#This Row],[y]]-H$4)*(Tabela1[[#This Row],[y]]-H$4)</f>
        <v>8245</v>
      </c>
      <c r="D7208" s="1">
        <f>IF(Tabela1[[#This Row],[promien]]&lt;40000,1,0)</f>
        <v>1</v>
      </c>
      <c r="E7208" s="1">
        <f>IF(Tabela1[[#This Row],[promien]]=40000,1,0)</f>
        <v>0</v>
      </c>
      <c r="F7208" s="1">
        <v>3.16315205327414</v>
      </c>
      <c r="G7208" s="1">
        <v>2.1559399684346836E-2</v>
      </c>
    </row>
    <row r="7209" spans="1:7">
      <c r="A7209">
        <v>110</v>
      </c>
      <c r="B7209">
        <v>160</v>
      </c>
      <c r="C7209" s="1">
        <f>(Tabela1[[#This Row],[x]]-H$3)*(Tabela1[[#This Row],[x]]-H$3) +(Tabela1[[#This Row],[y]]-H$4)*(Tabela1[[#This Row],[y]]-H$4)</f>
        <v>9700</v>
      </c>
      <c r="D7209" s="1">
        <f>IF(Tabela1[[#This Row],[promien]]&lt;40000,1,0)</f>
        <v>1</v>
      </c>
      <c r="E7209" s="1">
        <f>IF(Tabela1[[#This Row],[promien]]=40000,1,0)</f>
        <v>0</v>
      </c>
      <c r="F7209" s="1">
        <v>3.1632681370509084</v>
      </c>
      <c r="G7209" s="1">
        <v>2.1675483461115252E-2</v>
      </c>
    </row>
    <row r="7210" spans="1:7">
      <c r="A7210">
        <v>94</v>
      </c>
      <c r="B7210">
        <v>243</v>
      </c>
      <c r="C7210" s="1">
        <f>(Tabela1[[#This Row],[x]]-H$3)*(Tabela1[[#This Row],[x]]-H$3) +(Tabela1[[#This Row],[y]]-H$4)*(Tabela1[[#This Row],[y]]-H$4)</f>
        <v>13085</v>
      </c>
      <c r="D7210" s="1">
        <f>IF(Tabela1[[#This Row],[promien]]&lt;40000,1,0)</f>
        <v>1</v>
      </c>
      <c r="E7210" s="1">
        <f>IF(Tabela1[[#This Row],[promien]]=40000,1,0)</f>
        <v>0</v>
      </c>
      <c r="F7210" s="1">
        <v>3.1633841886269072</v>
      </c>
      <c r="G7210" s="1">
        <v>2.1791535037114063E-2</v>
      </c>
    </row>
    <row r="7211" spans="1:7">
      <c r="A7211">
        <v>200</v>
      </c>
      <c r="B7211">
        <v>312</v>
      </c>
      <c r="C7211" s="1">
        <f>(Tabela1[[#This Row],[x]]-H$3)*(Tabela1[[#This Row],[x]]-H$3) +(Tabela1[[#This Row],[y]]-H$4)*(Tabela1[[#This Row],[y]]-H$4)</f>
        <v>12544</v>
      </c>
      <c r="D7211" s="1">
        <f>IF(Tabela1[[#This Row],[promien]]&lt;40000,1,0)</f>
        <v>1</v>
      </c>
      <c r="E7211" s="1">
        <f>IF(Tabela1[[#This Row],[promien]]=40000,1,0)</f>
        <v>0</v>
      </c>
      <c r="F7211" s="1">
        <v>3.1635002080155319</v>
      </c>
      <c r="G7211" s="1">
        <v>2.1907554425738773E-2</v>
      </c>
    </row>
    <row r="7212" spans="1:7">
      <c r="A7212">
        <v>318</v>
      </c>
      <c r="B7212">
        <v>253</v>
      </c>
      <c r="C7212" s="1">
        <f>(Tabela1[[#This Row],[x]]-H$3)*(Tabela1[[#This Row],[x]]-H$3) +(Tabela1[[#This Row],[y]]-H$4)*(Tabela1[[#This Row],[y]]-H$4)</f>
        <v>16733</v>
      </c>
      <c r="D7212" s="1">
        <f>IF(Tabela1[[#This Row],[promien]]&lt;40000,1,0)</f>
        <v>1</v>
      </c>
      <c r="E7212" s="1">
        <f>IF(Tabela1[[#This Row],[promien]]=40000,1,0)</f>
        <v>0</v>
      </c>
      <c r="F7212" s="1">
        <v>3.1636161952301718</v>
      </c>
      <c r="G7212" s="1">
        <v>2.2023541640378674E-2</v>
      </c>
    </row>
    <row r="7213" spans="1:7">
      <c r="A7213">
        <v>9</v>
      </c>
      <c r="B7213">
        <v>351</v>
      </c>
      <c r="C7213" s="1">
        <f>(Tabela1[[#This Row],[x]]-H$3)*(Tabela1[[#This Row],[x]]-H$3) +(Tabela1[[#This Row],[y]]-H$4)*(Tabela1[[#This Row],[y]]-H$4)</f>
        <v>59282</v>
      </c>
      <c r="D7213" s="1">
        <f>IF(Tabela1[[#This Row],[promien]]&lt;40000,1,0)</f>
        <v>0</v>
      </c>
      <c r="E7213" s="1">
        <f>IF(Tabela1[[#This Row],[promien]]=40000,1,0)</f>
        <v>0</v>
      </c>
      <c r="F7213" s="1">
        <v>3.163177596007209</v>
      </c>
      <c r="G7213" s="1">
        <v>2.1584942417415931E-2</v>
      </c>
    </row>
    <row r="7214" spans="1:7">
      <c r="A7214">
        <v>30</v>
      </c>
      <c r="B7214">
        <v>110</v>
      </c>
      <c r="C7214" s="1">
        <f>(Tabela1[[#This Row],[x]]-H$3)*(Tabela1[[#This Row],[x]]-H$3) +(Tabela1[[#This Row],[y]]-H$4)*(Tabela1[[#This Row],[y]]-H$4)</f>
        <v>37000</v>
      </c>
      <c r="D7214" s="1">
        <f>IF(Tabela1[[#This Row],[promien]]&lt;40000,1,0)</f>
        <v>1</v>
      </c>
      <c r="E7214" s="1">
        <f>IF(Tabela1[[#This Row],[promien]]=40000,1,0)</f>
        <v>0</v>
      </c>
      <c r="F7214" s="1">
        <v>3.1632935957859716</v>
      </c>
      <c r="G7214" s="1">
        <v>2.1700942196178463E-2</v>
      </c>
    </row>
    <row r="7215" spans="1:7">
      <c r="A7215">
        <v>345</v>
      </c>
      <c r="B7215">
        <v>64</v>
      </c>
      <c r="C7215" s="1">
        <f>(Tabela1[[#This Row],[x]]-H$3)*(Tabela1[[#This Row],[x]]-H$3) +(Tabela1[[#This Row],[y]]-H$4)*(Tabela1[[#This Row],[y]]-H$4)</f>
        <v>39521</v>
      </c>
      <c r="D7215" s="1">
        <f>IF(Tabela1[[#This Row],[promien]]&lt;40000,1,0)</f>
        <v>1</v>
      </c>
      <c r="E7215" s="1">
        <f>IF(Tabela1[[#This Row],[promien]]=40000,1,0)</f>
        <v>0</v>
      </c>
      <c r="F7215" s="1">
        <v>3.1634095634095636</v>
      </c>
      <c r="G7215" s="1">
        <v>2.1816909819770469E-2</v>
      </c>
    </row>
    <row r="7216" spans="1:7">
      <c r="A7216">
        <v>285</v>
      </c>
      <c r="B7216">
        <v>47</v>
      </c>
      <c r="C7216" s="1">
        <f>(Tabela1[[#This Row],[x]]-H$3)*(Tabela1[[#This Row],[x]]-H$3) +(Tabela1[[#This Row],[y]]-H$4)*(Tabela1[[#This Row],[y]]-H$4)</f>
        <v>30634</v>
      </c>
      <c r="D7216" s="1">
        <f>IF(Tabela1[[#This Row],[promien]]&lt;40000,1,0)</f>
        <v>1</v>
      </c>
      <c r="E7216" s="1">
        <f>IF(Tabela1[[#This Row],[promien]]=40000,1,0)</f>
        <v>0</v>
      </c>
      <c r="F7216" s="1">
        <v>3.1635254988913526</v>
      </c>
      <c r="G7216" s="1">
        <v>2.1932845301559478E-2</v>
      </c>
    </row>
    <row r="7217" spans="1:7">
      <c r="A7217">
        <v>178</v>
      </c>
      <c r="B7217">
        <v>375</v>
      </c>
      <c r="C7217" s="1">
        <f>(Tabela1[[#This Row],[x]]-H$3)*(Tabela1[[#This Row],[x]]-H$3) +(Tabela1[[#This Row],[y]]-H$4)*(Tabela1[[#This Row],[y]]-H$4)</f>
        <v>31109</v>
      </c>
      <c r="D7217" s="1">
        <f>IF(Tabela1[[#This Row],[promien]]&lt;40000,1,0)</f>
        <v>1</v>
      </c>
      <c r="E7217" s="1">
        <f>IF(Tabela1[[#This Row],[promien]]=40000,1,0)</f>
        <v>0</v>
      </c>
      <c r="F7217" s="1">
        <v>3.1636414022446999</v>
      </c>
      <c r="G7217" s="1">
        <v>2.2048748654906802E-2</v>
      </c>
    </row>
    <row r="7218" spans="1:7">
      <c r="A7218">
        <v>109</v>
      </c>
      <c r="B7218">
        <v>8</v>
      </c>
      <c r="C7218" s="1">
        <f>(Tabela1[[#This Row],[x]]-H$3)*(Tabela1[[#This Row],[x]]-H$3) +(Tabela1[[#This Row],[y]]-H$4)*(Tabela1[[#This Row],[y]]-H$4)</f>
        <v>45145</v>
      </c>
      <c r="D7218" s="1">
        <f>IF(Tabela1[[#This Row],[promien]]&lt;40000,1,0)</f>
        <v>0</v>
      </c>
      <c r="E7218" s="1">
        <f>IF(Tabela1[[#This Row],[promien]]=40000,1,0)</f>
        <v>0</v>
      </c>
      <c r="F7218" s="1">
        <v>3.1632031033527293</v>
      </c>
      <c r="G7218" s="1">
        <v>2.1610449762936135E-2</v>
      </c>
    </row>
    <row r="7219" spans="1:7">
      <c r="A7219">
        <v>182</v>
      </c>
      <c r="B7219">
        <v>334</v>
      </c>
      <c r="C7219" s="1">
        <f>(Tabela1[[#This Row],[x]]-H$3)*(Tabela1[[#This Row],[x]]-H$3) +(Tabela1[[#This Row],[y]]-H$4)*(Tabela1[[#This Row],[y]]-H$4)</f>
        <v>18280</v>
      </c>
      <c r="D7219" s="1">
        <f>IF(Tabela1[[#This Row],[promien]]&lt;40000,1,0)</f>
        <v>1</v>
      </c>
      <c r="E7219" s="1">
        <f>IF(Tabela1[[#This Row],[promien]]=40000,1,0)</f>
        <v>0</v>
      </c>
      <c r="F7219" s="1">
        <v>3.1633190192547445</v>
      </c>
      <c r="G7219" s="1">
        <v>2.1726365664951341E-2</v>
      </c>
    </row>
    <row r="7220" spans="1:7">
      <c r="A7220">
        <v>125</v>
      </c>
      <c r="B7220">
        <v>96</v>
      </c>
      <c r="C7220" s="1">
        <f>(Tabela1[[#This Row],[x]]-H$3)*(Tabela1[[#This Row],[x]]-H$3) +(Tabela1[[#This Row],[y]]-H$4)*(Tabela1[[#This Row],[y]]-H$4)</f>
        <v>16441</v>
      </c>
      <c r="D7220" s="1">
        <f>IF(Tabela1[[#This Row],[promien]]&lt;40000,1,0)</f>
        <v>1</v>
      </c>
      <c r="E7220" s="1">
        <f>IF(Tabela1[[#This Row],[promien]]=40000,1,0)</f>
        <v>0</v>
      </c>
      <c r="F7220" s="1">
        <v>3.1634349030470914</v>
      </c>
      <c r="G7220" s="1">
        <v>2.1842249457298291E-2</v>
      </c>
    </row>
    <row r="7221" spans="1:7">
      <c r="A7221">
        <v>242</v>
      </c>
      <c r="B7221">
        <v>52</v>
      </c>
      <c r="C7221" s="1">
        <f>(Tabela1[[#This Row],[x]]-H$3)*(Tabela1[[#This Row],[x]]-H$3) +(Tabela1[[#This Row],[y]]-H$4)*(Tabela1[[#This Row],[y]]-H$4)</f>
        <v>23668</v>
      </c>
      <c r="D7221" s="1">
        <f>IF(Tabela1[[#This Row],[promien]]&lt;40000,1,0)</f>
        <v>1</v>
      </c>
      <c r="E7221" s="1">
        <f>IF(Tabela1[[#This Row],[promien]]=40000,1,0)</f>
        <v>0</v>
      </c>
      <c r="F7221" s="1">
        <v>3.1635507547431105</v>
      </c>
      <c r="G7221" s="1">
        <v>2.1958101153317422E-2</v>
      </c>
    </row>
    <row r="7222" spans="1:7">
      <c r="A7222">
        <v>308</v>
      </c>
      <c r="B7222">
        <v>161</v>
      </c>
      <c r="C7222" s="1">
        <f>(Tabela1[[#This Row],[x]]-H$3)*(Tabela1[[#This Row],[x]]-H$3) +(Tabela1[[#This Row],[y]]-H$4)*(Tabela1[[#This Row],[y]]-H$4)</f>
        <v>13185</v>
      </c>
      <c r="D7222" s="1">
        <f>IF(Tabela1[[#This Row],[promien]]&lt;40000,1,0)</f>
        <v>1</v>
      </c>
      <c r="E7222" s="1">
        <f>IF(Tabela1[[#This Row],[promien]]=40000,1,0)</f>
        <v>0</v>
      </c>
      <c r="F7222" s="1">
        <v>3.1636665743561339</v>
      </c>
      <c r="G7222" s="1">
        <v>2.2073920766340738E-2</v>
      </c>
    </row>
    <row r="7223" spans="1:7">
      <c r="A7223">
        <v>209</v>
      </c>
      <c r="B7223">
        <v>108</v>
      </c>
      <c r="C7223" s="1">
        <f>(Tabela1[[#This Row],[x]]-H$3)*(Tabela1[[#This Row],[x]]-H$3) +(Tabela1[[#This Row],[y]]-H$4)*(Tabela1[[#This Row],[y]]-H$4)</f>
        <v>8545</v>
      </c>
      <c r="D7223" s="1">
        <f>IF(Tabela1[[#This Row],[promien]]&lt;40000,1,0)</f>
        <v>1</v>
      </c>
      <c r="E7223" s="1">
        <f>IF(Tabela1[[#This Row],[promien]]=40000,1,0)</f>
        <v>0</v>
      </c>
      <c r="F7223" s="1">
        <v>3.1637823618994876</v>
      </c>
      <c r="G7223" s="1">
        <v>2.2189708309694467E-2</v>
      </c>
    </row>
    <row r="7224" spans="1:7">
      <c r="A7224">
        <v>268</v>
      </c>
      <c r="B7224">
        <v>287</v>
      </c>
      <c r="C7224" s="1">
        <f>(Tabela1[[#This Row],[x]]-H$3)*(Tabela1[[#This Row],[x]]-H$3) +(Tabela1[[#This Row],[y]]-H$4)*(Tabela1[[#This Row],[y]]-H$4)</f>
        <v>12193</v>
      </c>
      <c r="D7224" s="1">
        <f>IF(Tabela1[[#This Row],[promien]]&lt;40000,1,0)</f>
        <v>1</v>
      </c>
      <c r="E7224" s="1">
        <f>IF(Tabela1[[#This Row],[promien]]=40000,1,0)</f>
        <v>0</v>
      </c>
      <c r="F7224" s="1">
        <v>3.1638981173864895</v>
      </c>
      <c r="G7224" s="1">
        <v>2.2305463796696401E-2</v>
      </c>
    </row>
    <row r="7225" spans="1:7">
      <c r="A7225">
        <v>129</v>
      </c>
      <c r="B7225">
        <v>66</v>
      </c>
      <c r="C7225" s="1">
        <f>(Tabela1[[#This Row],[x]]-H$3)*(Tabela1[[#This Row],[x]]-H$3) +(Tabela1[[#This Row],[y]]-H$4)*(Tabela1[[#This Row],[y]]-H$4)</f>
        <v>22997</v>
      </c>
      <c r="D7225" s="1">
        <f>IF(Tabela1[[#This Row],[promien]]&lt;40000,1,0)</f>
        <v>1</v>
      </c>
      <c r="E7225" s="1">
        <f>IF(Tabela1[[#This Row],[promien]]=40000,1,0)</f>
        <v>0</v>
      </c>
      <c r="F7225" s="1">
        <v>3.1640138408304499</v>
      </c>
      <c r="G7225" s="1">
        <v>2.2421187240656781E-2</v>
      </c>
    </row>
    <row r="7226" spans="1:7">
      <c r="A7226">
        <v>84</v>
      </c>
      <c r="B7226">
        <v>84</v>
      </c>
      <c r="C7226" s="1">
        <f>(Tabela1[[#This Row],[x]]-H$3)*(Tabela1[[#This Row],[x]]-H$3) +(Tabela1[[#This Row],[y]]-H$4)*(Tabela1[[#This Row],[y]]-H$4)</f>
        <v>26912</v>
      </c>
      <c r="D7226" s="1">
        <f>IF(Tabela1[[#This Row],[promien]]&lt;40000,1,0)</f>
        <v>1</v>
      </c>
      <c r="E7226" s="1">
        <f>IF(Tabela1[[#This Row],[promien]]=40000,1,0)</f>
        <v>0</v>
      </c>
      <c r="F7226" s="1">
        <v>3.1641295322446719</v>
      </c>
      <c r="G7226" s="1">
        <v>2.2536878654878745E-2</v>
      </c>
    </row>
    <row r="7227" spans="1:7">
      <c r="A7227">
        <v>34</v>
      </c>
      <c r="B7227">
        <v>359</v>
      </c>
      <c r="C7227" s="1">
        <f>(Tabela1[[#This Row],[x]]-H$3)*(Tabela1[[#This Row],[x]]-H$3) +(Tabela1[[#This Row],[y]]-H$4)*(Tabela1[[#This Row],[y]]-H$4)</f>
        <v>52837</v>
      </c>
      <c r="D7227" s="1">
        <f>IF(Tabela1[[#This Row],[promien]]&lt;40000,1,0)</f>
        <v>0</v>
      </c>
      <c r="E7227" s="1">
        <f>IF(Tabela1[[#This Row],[promien]]=40000,1,0)</f>
        <v>0</v>
      </c>
      <c r="F7227" s="1">
        <v>3.163691711636917</v>
      </c>
      <c r="G7227" s="1">
        <v>2.2099058047123865E-2</v>
      </c>
    </row>
    <row r="7228" spans="1:7">
      <c r="A7228">
        <v>213</v>
      </c>
      <c r="B7228">
        <v>194</v>
      </c>
      <c r="C7228" s="1">
        <f>(Tabela1[[#This Row],[x]]-H$3)*(Tabela1[[#This Row],[x]]-H$3) +(Tabela1[[#This Row],[y]]-H$4)*(Tabela1[[#This Row],[y]]-H$4)</f>
        <v>205</v>
      </c>
      <c r="D7228" s="1">
        <f>IF(Tabela1[[#This Row],[promien]]&lt;40000,1,0)</f>
        <v>1</v>
      </c>
      <c r="E7228" s="1">
        <f>IF(Tabela1[[#This Row],[promien]]=40000,1,0)</f>
        <v>0</v>
      </c>
      <c r="F7228" s="1">
        <v>3.1638074156059766</v>
      </c>
      <c r="G7228" s="1">
        <v>2.2214762016183442E-2</v>
      </c>
    </row>
    <row r="7229" spans="1:7">
      <c r="A7229">
        <v>252</v>
      </c>
      <c r="B7229">
        <v>60</v>
      </c>
      <c r="C7229" s="1">
        <f>(Tabela1[[#This Row],[x]]-H$3)*(Tabela1[[#This Row],[x]]-H$3) +(Tabela1[[#This Row],[y]]-H$4)*(Tabela1[[#This Row],[y]]-H$4)</f>
        <v>22304</v>
      </c>
      <c r="D7229" s="1">
        <f>IF(Tabela1[[#This Row],[promien]]&lt;40000,1,0)</f>
        <v>1</v>
      </c>
      <c r="E7229" s="1">
        <f>IF(Tabela1[[#This Row],[promien]]=40000,1,0)</f>
        <v>0</v>
      </c>
      <c r="F7229" s="1">
        <v>3.1639230875639783</v>
      </c>
      <c r="G7229" s="1">
        <v>2.2330433974185215E-2</v>
      </c>
    </row>
    <row r="7230" spans="1:7">
      <c r="A7230">
        <v>4</v>
      </c>
      <c r="B7230">
        <v>11</v>
      </c>
      <c r="C7230" s="1">
        <f>(Tabela1[[#This Row],[x]]-H$3)*(Tabela1[[#This Row],[x]]-H$3) +(Tabela1[[#This Row],[y]]-H$4)*(Tabela1[[#This Row],[y]]-H$4)</f>
        <v>74137</v>
      </c>
      <c r="D7230" s="1">
        <f>IF(Tabela1[[#This Row],[promien]]&lt;40000,1,0)</f>
        <v>0</v>
      </c>
      <c r="E7230" s="1">
        <f>IF(Tabela1[[#This Row],[promien]]=40000,1,0)</f>
        <v>0</v>
      </c>
      <c r="F7230" s="1">
        <v>3.1634854771784231</v>
      </c>
      <c r="G7230" s="1">
        <v>2.1892823588629984E-2</v>
      </c>
    </row>
    <row r="7231" spans="1:7">
      <c r="A7231">
        <v>95</v>
      </c>
      <c r="B7231">
        <v>115</v>
      </c>
      <c r="C7231" s="1">
        <f>(Tabela1[[#This Row],[x]]-H$3)*(Tabela1[[#This Row],[x]]-H$3) +(Tabela1[[#This Row],[y]]-H$4)*(Tabela1[[#This Row],[y]]-H$4)</f>
        <v>18250</v>
      </c>
      <c r="D7231" s="1">
        <f>IF(Tabela1[[#This Row],[promien]]&lt;40000,1,0)</f>
        <v>1</v>
      </c>
      <c r="E7231" s="1">
        <f>IF(Tabela1[[#This Row],[promien]]=40000,1,0)</f>
        <v>0</v>
      </c>
      <c r="F7231" s="1">
        <v>3.1636011616650532</v>
      </c>
      <c r="G7231" s="1">
        <v>2.2008508075260114E-2</v>
      </c>
    </row>
    <row r="7232" spans="1:7">
      <c r="A7232">
        <v>334</v>
      </c>
      <c r="B7232">
        <v>394</v>
      </c>
      <c r="C7232" s="1">
        <f>(Tabela1[[#This Row],[x]]-H$3)*(Tabela1[[#This Row],[x]]-H$3) +(Tabela1[[#This Row],[y]]-H$4)*(Tabela1[[#This Row],[y]]-H$4)</f>
        <v>55592</v>
      </c>
      <c r="D7232" s="1">
        <f>IF(Tabela1[[#This Row],[promien]]&lt;40000,1,0)</f>
        <v>0</v>
      </c>
      <c r="E7232" s="1">
        <f>IF(Tabela1[[#This Row],[promien]]=40000,1,0)</f>
        <v>0</v>
      </c>
      <c r="F7232" s="1">
        <v>3.1631637168141591</v>
      </c>
      <c r="G7232" s="1">
        <v>2.1571063224365972E-2</v>
      </c>
    </row>
    <row r="7233" spans="1:7">
      <c r="A7233">
        <v>147</v>
      </c>
      <c r="B7233">
        <v>100</v>
      </c>
      <c r="C7233" s="1">
        <f>(Tabela1[[#This Row],[x]]-H$3)*(Tabela1[[#This Row],[x]]-H$3) +(Tabela1[[#This Row],[y]]-H$4)*(Tabela1[[#This Row],[y]]-H$4)</f>
        <v>12809</v>
      </c>
      <c r="D7233" s="1">
        <f>IF(Tabela1[[#This Row],[promien]]&lt;40000,1,0)</f>
        <v>1</v>
      </c>
      <c r="E7233" s="1">
        <f>IF(Tabela1[[#This Row],[promien]]=40000,1,0)</f>
        <v>0</v>
      </c>
      <c r="F7233" s="1">
        <v>3.1632794137978708</v>
      </c>
      <c r="G7233" s="1">
        <v>2.1686760208077693E-2</v>
      </c>
    </row>
    <row r="7234" spans="1:7">
      <c r="A7234">
        <v>70</v>
      </c>
      <c r="B7234">
        <v>174</v>
      </c>
      <c r="C7234" s="1">
        <f>(Tabela1[[#This Row],[x]]-H$3)*(Tabela1[[#This Row],[x]]-H$3) +(Tabela1[[#This Row],[y]]-H$4)*(Tabela1[[#This Row],[y]]-H$4)</f>
        <v>17576</v>
      </c>
      <c r="D7234" s="1">
        <f>IF(Tabela1[[#This Row],[promien]]&lt;40000,1,0)</f>
        <v>1</v>
      </c>
      <c r="E7234" s="1">
        <f>IF(Tabela1[[#This Row],[promien]]=40000,1,0)</f>
        <v>0</v>
      </c>
      <c r="F7234" s="1">
        <v>3.163395078794581</v>
      </c>
      <c r="G7234" s="1">
        <v>2.1802425204787923E-2</v>
      </c>
    </row>
    <row r="7235" spans="1:7">
      <c r="A7235">
        <v>155</v>
      </c>
      <c r="B7235">
        <v>280</v>
      </c>
      <c r="C7235" s="1">
        <f>(Tabela1[[#This Row],[x]]-H$3)*(Tabela1[[#This Row],[x]]-H$3) +(Tabela1[[#This Row],[y]]-H$4)*(Tabela1[[#This Row],[y]]-H$4)</f>
        <v>8425</v>
      </c>
      <c r="D7235" s="1">
        <f>IF(Tabela1[[#This Row],[promien]]&lt;40000,1,0)</f>
        <v>1</v>
      </c>
      <c r="E7235" s="1">
        <f>IF(Tabela1[[#This Row],[promien]]=40000,1,0)</f>
        <v>0</v>
      </c>
      <c r="F7235" s="1">
        <v>3.1635107118175534</v>
      </c>
      <c r="G7235" s="1">
        <v>2.1918058227760273E-2</v>
      </c>
    </row>
    <row r="7236" spans="1:7">
      <c r="A7236">
        <v>235</v>
      </c>
      <c r="B7236">
        <v>292</v>
      </c>
      <c r="C7236" s="1">
        <f>(Tabela1[[#This Row],[x]]-H$3)*(Tabela1[[#This Row],[x]]-H$3) +(Tabela1[[#This Row],[y]]-H$4)*(Tabela1[[#This Row],[y]]-H$4)</f>
        <v>9689</v>
      </c>
      <c r="D7236" s="1">
        <f>IF(Tabela1[[#This Row],[promien]]&lt;40000,1,0)</f>
        <v>1</v>
      </c>
      <c r="E7236" s="1">
        <f>IF(Tabela1[[#This Row],[promien]]=40000,1,0)</f>
        <v>0</v>
      </c>
      <c r="F7236" s="1">
        <v>3.1636263128800444</v>
      </c>
      <c r="G7236" s="1">
        <v>2.2033659290251251E-2</v>
      </c>
    </row>
    <row r="7237" spans="1:7">
      <c r="A7237">
        <v>293</v>
      </c>
      <c r="B7237">
        <v>229</v>
      </c>
      <c r="C7237" s="1">
        <f>(Tabela1[[#This Row],[x]]-H$3)*(Tabela1[[#This Row],[x]]-H$3) +(Tabela1[[#This Row],[y]]-H$4)*(Tabela1[[#This Row],[y]]-H$4)</f>
        <v>9490</v>
      </c>
      <c r="D7237" s="1">
        <f>IF(Tabela1[[#This Row],[promien]]&lt;40000,1,0)</f>
        <v>1</v>
      </c>
      <c r="E7237" s="1">
        <f>IF(Tabela1[[#This Row],[promien]]=40000,1,0)</f>
        <v>0</v>
      </c>
      <c r="F7237" s="1">
        <v>3.163741881995302</v>
      </c>
      <c r="G7237" s="1">
        <v>2.2149228405508925E-2</v>
      </c>
    </row>
    <row r="7238" spans="1:7">
      <c r="A7238">
        <v>216</v>
      </c>
      <c r="B7238">
        <v>246</v>
      </c>
      <c r="C7238" s="1">
        <f>(Tabela1[[#This Row],[x]]-H$3)*(Tabela1[[#This Row],[x]]-H$3) +(Tabela1[[#This Row],[y]]-H$4)*(Tabela1[[#This Row],[y]]-H$4)</f>
        <v>2372</v>
      </c>
      <c r="D7238" s="1">
        <f>IF(Tabela1[[#This Row],[promien]]&lt;40000,1,0)</f>
        <v>1</v>
      </c>
      <c r="E7238" s="1">
        <f>IF(Tabela1[[#This Row],[promien]]=40000,1,0)</f>
        <v>0</v>
      </c>
      <c r="F7238" s="1">
        <v>3.1638574191765683</v>
      </c>
      <c r="G7238" s="1">
        <v>2.2264765586775148E-2</v>
      </c>
    </row>
    <row r="7239" spans="1:7">
      <c r="A7239">
        <v>296</v>
      </c>
      <c r="B7239">
        <v>332</v>
      </c>
      <c r="C7239" s="1">
        <f>(Tabela1[[#This Row],[x]]-H$3)*(Tabela1[[#This Row],[x]]-H$3) +(Tabela1[[#This Row],[y]]-H$4)*(Tabela1[[#This Row],[y]]-H$4)</f>
        <v>26640</v>
      </c>
      <c r="D7239" s="1">
        <f>IF(Tabela1[[#This Row],[promien]]&lt;40000,1,0)</f>
        <v>1</v>
      </c>
      <c r="E7239" s="1">
        <f>IF(Tabela1[[#This Row],[promien]]=40000,1,0)</f>
        <v>0</v>
      </c>
      <c r="F7239" s="1">
        <v>3.1639729244370769</v>
      </c>
      <c r="G7239" s="1">
        <v>2.2380270847283779E-2</v>
      </c>
    </row>
    <row r="7240" spans="1:7">
      <c r="A7240">
        <v>22</v>
      </c>
      <c r="B7240">
        <v>237</v>
      </c>
      <c r="C7240" s="1">
        <f>(Tabela1[[#This Row],[x]]-H$3)*(Tabela1[[#This Row],[x]]-H$3) +(Tabela1[[#This Row],[y]]-H$4)*(Tabela1[[#This Row],[y]]-H$4)</f>
        <v>33053</v>
      </c>
      <c r="D7240" s="1">
        <f>IF(Tabela1[[#This Row],[promien]]&lt;40000,1,0)</f>
        <v>1</v>
      </c>
      <c r="E7240" s="1">
        <f>IF(Tabela1[[#This Row],[promien]]=40000,1,0)</f>
        <v>0</v>
      </c>
      <c r="F7240" s="1">
        <v>3.1640883977900551</v>
      </c>
      <c r="G7240" s="1">
        <v>2.2495744200262013E-2</v>
      </c>
    </row>
    <row r="7241" spans="1:7">
      <c r="A7241">
        <v>114</v>
      </c>
      <c r="B7241">
        <v>268</v>
      </c>
      <c r="C7241" s="1">
        <f>(Tabela1[[#This Row],[x]]-H$3)*(Tabela1[[#This Row],[x]]-H$3) +(Tabela1[[#This Row],[y]]-H$4)*(Tabela1[[#This Row],[y]]-H$4)</f>
        <v>12020</v>
      </c>
      <c r="D7241" s="1">
        <f>IF(Tabela1[[#This Row],[promien]]&lt;40000,1,0)</f>
        <v>1</v>
      </c>
      <c r="E7241" s="1">
        <f>IF(Tabela1[[#This Row],[promien]]=40000,1,0)</f>
        <v>0</v>
      </c>
      <c r="F7241" s="1">
        <v>3.1642038392487226</v>
      </c>
      <c r="G7241" s="1">
        <v>2.26111856589295E-2</v>
      </c>
    </row>
    <row r="7242" spans="1:7">
      <c r="A7242">
        <v>389</v>
      </c>
      <c r="B7242">
        <v>142</v>
      </c>
      <c r="C7242" s="1">
        <f>(Tabela1[[#This Row],[x]]-H$3)*(Tabela1[[#This Row],[x]]-H$3) +(Tabela1[[#This Row],[y]]-H$4)*(Tabela1[[#This Row],[y]]-H$4)</f>
        <v>39085</v>
      </c>
      <c r="D7242" s="1">
        <f>IF(Tabela1[[#This Row],[promien]]&lt;40000,1,0)</f>
        <v>1</v>
      </c>
      <c r="E7242" s="1">
        <f>IF(Tabela1[[#This Row],[promien]]=40000,1,0)</f>
        <v>0</v>
      </c>
      <c r="F7242" s="1">
        <v>3.164319248826291</v>
      </c>
      <c r="G7242" s="1">
        <v>2.2726595236497893E-2</v>
      </c>
    </row>
    <row r="7243" spans="1:7">
      <c r="A7243">
        <v>309</v>
      </c>
      <c r="B7243">
        <v>146</v>
      </c>
      <c r="C7243" s="1">
        <f>(Tabela1[[#This Row],[x]]-H$3)*(Tabela1[[#This Row],[x]]-H$3) +(Tabela1[[#This Row],[y]]-H$4)*(Tabela1[[#This Row],[y]]-H$4)</f>
        <v>14797</v>
      </c>
      <c r="D7243" s="1">
        <f>IF(Tabela1[[#This Row],[promien]]&lt;40000,1,0)</f>
        <v>1</v>
      </c>
      <c r="E7243" s="1">
        <f>IF(Tabela1[[#This Row],[promien]]=40000,1,0)</f>
        <v>0</v>
      </c>
      <c r="F7243" s="1">
        <v>3.1644346265359657</v>
      </c>
      <c r="G7243" s="1">
        <v>2.2841972946172628E-2</v>
      </c>
    </row>
    <row r="7244" spans="1:7">
      <c r="A7244">
        <v>108</v>
      </c>
      <c r="B7244">
        <v>323</v>
      </c>
      <c r="C7244" s="1">
        <f>(Tabela1[[#This Row],[x]]-H$3)*(Tabela1[[#This Row],[x]]-H$3) +(Tabela1[[#This Row],[y]]-H$4)*(Tabela1[[#This Row],[y]]-H$4)</f>
        <v>23593</v>
      </c>
      <c r="D7244" s="1">
        <f>IF(Tabela1[[#This Row],[promien]]&lt;40000,1,0)</f>
        <v>1</v>
      </c>
      <c r="E7244" s="1">
        <f>IF(Tabela1[[#This Row],[promien]]=40000,1,0)</f>
        <v>0</v>
      </c>
      <c r="F7244" s="1">
        <v>3.1645499723909443</v>
      </c>
      <c r="G7244" s="1">
        <v>2.295731880115115E-2</v>
      </c>
    </row>
    <row r="7245" spans="1:7">
      <c r="A7245">
        <v>273</v>
      </c>
      <c r="B7245">
        <v>70</v>
      </c>
      <c r="C7245" s="1">
        <f>(Tabela1[[#This Row],[x]]-H$3)*(Tabela1[[#This Row],[x]]-H$3) +(Tabela1[[#This Row],[y]]-H$4)*(Tabela1[[#This Row],[y]]-H$4)</f>
        <v>22229</v>
      </c>
      <c r="D7245" s="1">
        <f>IF(Tabela1[[#This Row],[promien]]&lt;40000,1,0)</f>
        <v>1</v>
      </c>
      <c r="E7245" s="1">
        <f>IF(Tabela1[[#This Row],[promien]]=40000,1,0)</f>
        <v>0</v>
      </c>
      <c r="F7245" s="1">
        <v>3.1646652864044169</v>
      </c>
      <c r="G7245" s="1">
        <v>2.3072632814623795E-2</v>
      </c>
    </row>
    <row r="7246" spans="1:7">
      <c r="A7246">
        <v>112</v>
      </c>
      <c r="B7246">
        <v>251</v>
      </c>
      <c r="C7246" s="1">
        <f>(Tabela1[[#This Row],[x]]-H$3)*(Tabela1[[#This Row],[x]]-H$3) +(Tabela1[[#This Row],[y]]-H$4)*(Tabela1[[#This Row],[y]]-H$4)</f>
        <v>10345</v>
      </c>
      <c r="D7246" s="1">
        <f>IF(Tabela1[[#This Row],[promien]]&lt;40000,1,0)</f>
        <v>1</v>
      </c>
      <c r="E7246" s="1">
        <f>IF(Tabela1[[#This Row],[promien]]=40000,1,0)</f>
        <v>0</v>
      </c>
      <c r="F7246" s="1">
        <v>3.1647805685895665</v>
      </c>
      <c r="G7246" s="1">
        <v>2.3187914999773351E-2</v>
      </c>
    </row>
    <row r="7247" spans="1:7">
      <c r="A7247">
        <v>72</v>
      </c>
      <c r="B7247">
        <v>15</v>
      </c>
      <c r="C7247" s="1">
        <f>(Tabela1[[#This Row],[x]]-H$3)*(Tabela1[[#This Row],[x]]-H$3) +(Tabela1[[#This Row],[y]]-H$4)*(Tabela1[[#This Row],[y]]-H$4)</f>
        <v>50609</v>
      </c>
      <c r="D7247" s="1">
        <f>IF(Tabela1[[#This Row],[promien]]&lt;40000,1,0)</f>
        <v>0</v>
      </c>
      <c r="E7247" s="1">
        <f>IF(Tabela1[[#This Row],[promien]]=40000,1,0)</f>
        <v>0</v>
      </c>
      <c r="F7247" s="1">
        <v>3.1643438664274872</v>
      </c>
      <c r="G7247" s="1">
        <v>2.2751212837694101E-2</v>
      </c>
    </row>
    <row r="7248" spans="1:7">
      <c r="A7248">
        <v>297</v>
      </c>
      <c r="B7248">
        <v>368</v>
      </c>
      <c r="C7248" s="1">
        <f>(Tabela1[[#This Row],[x]]-H$3)*(Tabela1[[#This Row],[x]]-H$3) +(Tabela1[[#This Row],[y]]-H$4)*(Tabela1[[#This Row],[y]]-H$4)</f>
        <v>37633</v>
      </c>
      <c r="D7248" s="1">
        <f>IF(Tabela1[[#This Row],[promien]]&lt;40000,1,0)</f>
        <v>1</v>
      </c>
      <c r="E7248" s="1">
        <f>IF(Tabela1[[#This Row],[promien]]=40000,1,0)</f>
        <v>0</v>
      </c>
      <c r="F7248" s="1">
        <v>3.1644591611479029</v>
      </c>
      <c r="G7248" s="1">
        <v>2.2866507558109817E-2</v>
      </c>
    </row>
    <row r="7249" spans="1:7">
      <c r="A7249">
        <v>100</v>
      </c>
      <c r="B7249">
        <v>234</v>
      </c>
      <c r="C7249" s="1">
        <f>(Tabela1[[#This Row],[x]]-H$3)*(Tabela1[[#This Row],[x]]-H$3) +(Tabela1[[#This Row],[y]]-H$4)*(Tabela1[[#This Row],[y]]-H$4)</f>
        <v>11156</v>
      </c>
      <c r="D7249" s="1">
        <f>IF(Tabela1[[#This Row],[promien]]&lt;40000,1,0)</f>
        <v>1</v>
      </c>
      <c r="E7249" s="1">
        <f>IF(Tabela1[[#This Row],[promien]]=40000,1,0)</f>
        <v>0</v>
      </c>
      <c r="F7249" s="1">
        <v>3.164574424058491</v>
      </c>
      <c r="G7249" s="1">
        <v>2.2981770468697871E-2</v>
      </c>
    </row>
    <row r="7250" spans="1:7">
      <c r="A7250">
        <v>177</v>
      </c>
      <c r="B7250">
        <v>280</v>
      </c>
      <c r="C7250" s="1">
        <f>(Tabela1[[#This Row],[x]]-H$3)*(Tabela1[[#This Row],[x]]-H$3) +(Tabela1[[#This Row],[y]]-H$4)*(Tabela1[[#This Row],[y]]-H$4)</f>
        <v>6929</v>
      </c>
      <c r="D7250" s="1">
        <f>IF(Tabela1[[#This Row],[promien]]&lt;40000,1,0)</f>
        <v>1</v>
      </c>
      <c r="E7250" s="1">
        <f>IF(Tabela1[[#This Row],[promien]]=40000,1,0)</f>
        <v>0</v>
      </c>
      <c r="F7250" s="1">
        <v>3.1646896551724137</v>
      </c>
      <c r="G7250" s="1">
        <v>2.3097001582620624E-2</v>
      </c>
    </row>
    <row r="7251" spans="1:7">
      <c r="A7251">
        <v>56</v>
      </c>
      <c r="B7251">
        <v>34</v>
      </c>
      <c r="C7251" s="1">
        <f>(Tabela1[[#This Row],[x]]-H$3)*(Tabela1[[#This Row],[x]]-H$3) +(Tabela1[[#This Row],[y]]-H$4)*(Tabela1[[#This Row],[y]]-H$4)</f>
        <v>48292</v>
      </c>
      <c r="D7251" s="1">
        <f>IF(Tabela1[[#This Row],[promien]]&lt;40000,1,0)</f>
        <v>0</v>
      </c>
      <c r="E7251" s="1">
        <f>IF(Tabela1[[#This Row],[promien]]=40000,1,0)</f>
        <v>0</v>
      </c>
      <c r="F7251" s="1">
        <v>3.1642532064542821</v>
      </c>
      <c r="G7251" s="1">
        <v>2.2660552864488981E-2</v>
      </c>
    </row>
    <row r="7252" spans="1:7">
      <c r="A7252">
        <v>288</v>
      </c>
      <c r="B7252">
        <v>192</v>
      </c>
      <c r="C7252" s="1">
        <f>(Tabela1[[#This Row],[x]]-H$3)*(Tabela1[[#This Row],[x]]-H$3) +(Tabela1[[#This Row],[y]]-H$4)*(Tabela1[[#This Row],[y]]-H$4)</f>
        <v>7808</v>
      </c>
      <c r="D7252" s="1">
        <f>IF(Tabela1[[#This Row],[promien]]&lt;40000,1,0)</f>
        <v>1</v>
      </c>
      <c r="E7252" s="1">
        <f>IF(Tabela1[[#This Row],[promien]]=40000,1,0)</f>
        <v>0</v>
      </c>
      <c r="F7252" s="1">
        <v>3.1643684500827356</v>
      </c>
      <c r="G7252" s="1">
        <v>2.2775796492942479E-2</v>
      </c>
    </row>
    <row r="7253" spans="1:7">
      <c r="A7253">
        <v>352</v>
      </c>
      <c r="B7253">
        <v>394</v>
      </c>
      <c r="C7253" s="1">
        <f>(Tabela1[[#This Row],[x]]-H$3)*(Tabela1[[#This Row],[x]]-H$3) +(Tabela1[[#This Row],[y]]-H$4)*(Tabela1[[#This Row],[y]]-H$4)</f>
        <v>60740</v>
      </c>
      <c r="D7253" s="1">
        <f>IF(Tabela1[[#This Row],[promien]]&lt;40000,1,0)</f>
        <v>0</v>
      </c>
      <c r="E7253" s="1">
        <f>IF(Tabela1[[#This Row],[promien]]=40000,1,0)</f>
        <v>0</v>
      </c>
      <c r="F7253" s="1">
        <v>3.1639321660002757</v>
      </c>
      <c r="G7253" s="1">
        <v>2.2339512410482598E-2</v>
      </c>
    </row>
    <row r="7254" spans="1:7">
      <c r="A7254">
        <v>90</v>
      </c>
      <c r="B7254">
        <v>169</v>
      </c>
      <c r="C7254" s="1">
        <f>(Tabela1[[#This Row],[x]]-H$3)*(Tabela1[[#This Row],[x]]-H$3) +(Tabela1[[#This Row],[y]]-H$4)*(Tabela1[[#This Row],[y]]-H$4)</f>
        <v>13061</v>
      </c>
      <c r="D7254" s="1">
        <f>IF(Tabela1[[#This Row],[promien]]&lt;40000,1,0)</f>
        <v>1</v>
      </c>
      <c r="E7254" s="1">
        <f>IF(Tabela1[[#This Row],[promien]]=40000,1,0)</f>
        <v>0</v>
      </c>
      <c r="F7254" s="1">
        <v>3.1640474221119383</v>
      </c>
      <c r="G7254" s="1">
        <v>2.245476852214523E-2</v>
      </c>
    </row>
    <row r="7255" spans="1:7">
      <c r="A7255">
        <v>376</v>
      </c>
      <c r="B7255">
        <v>88</v>
      </c>
      <c r="C7255" s="1">
        <f>(Tabela1[[#This Row],[x]]-H$3)*(Tabela1[[#This Row],[x]]-H$3) +(Tabela1[[#This Row],[y]]-H$4)*(Tabela1[[#This Row],[y]]-H$4)</f>
        <v>43520</v>
      </c>
      <c r="D7255" s="1">
        <f>IF(Tabela1[[#This Row],[promien]]&lt;40000,1,0)</f>
        <v>0</v>
      </c>
      <c r="E7255" s="1">
        <f>IF(Tabela1[[#This Row],[promien]]=40000,1,0)</f>
        <v>0</v>
      </c>
      <c r="F7255" s="1">
        <v>3.1636113025499655</v>
      </c>
      <c r="G7255" s="1">
        <v>2.201864896017236E-2</v>
      </c>
    </row>
    <row r="7256" spans="1:7">
      <c r="A7256">
        <v>267</v>
      </c>
      <c r="B7256">
        <v>154</v>
      </c>
      <c r="C7256" s="1">
        <f>(Tabela1[[#This Row],[x]]-H$3)*(Tabela1[[#This Row],[x]]-H$3) +(Tabela1[[#This Row],[y]]-H$4)*(Tabela1[[#This Row],[y]]-H$4)</f>
        <v>6605</v>
      </c>
      <c r="D7256" s="1">
        <f>IF(Tabela1[[#This Row],[promien]]&lt;40000,1,0)</f>
        <v>1</v>
      </c>
      <c r="E7256" s="1">
        <f>IF(Tabela1[[#This Row],[promien]]=40000,1,0)</f>
        <v>0</v>
      </c>
      <c r="F7256" s="1">
        <v>3.1637265711135614</v>
      </c>
      <c r="G7256" s="1">
        <v>2.2133917523768254E-2</v>
      </c>
    </row>
    <row r="7257" spans="1:7">
      <c r="A7257">
        <v>331</v>
      </c>
      <c r="B7257">
        <v>60</v>
      </c>
      <c r="C7257" s="1">
        <f>(Tabela1[[#This Row],[x]]-H$3)*(Tabela1[[#This Row],[x]]-H$3) +(Tabela1[[#This Row],[y]]-H$4)*(Tabela1[[#This Row],[y]]-H$4)</f>
        <v>36761</v>
      </c>
      <c r="D7257" s="1">
        <f>IF(Tabela1[[#This Row],[promien]]&lt;40000,1,0)</f>
        <v>1</v>
      </c>
      <c r="E7257" s="1">
        <f>IF(Tabela1[[#This Row],[promien]]=40000,1,0)</f>
        <v>0</v>
      </c>
      <c r="F7257" s="1">
        <v>3.1638418079096047</v>
      </c>
      <c r="G7257" s="1">
        <v>2.2249154319811559E-2</v>
      </c>
    </row>
    <row r="7258" spans="1:7">
      <c r="A7258">
        <v>111</v>
      </c>
      <c r="B7258">
        <v>311</v>
      </c>
      <c r="C7258" s="1">
        <f>(Tabela1[[#This Row],[x]]-H$3)*(Tabela1[[#This Row],[x]]-H$3) +(Tabela1[[#This Row],[y]]-H$4)*(Tabela1[[#This Row],[y]]-H$4)</f>
        <v>20242</v>
      </c>
      <c r="D7258" s="1">
        <f>IF(Tabela1[[#This Row],[promien]]&lt;40000,1,0)</f>
        <v>1</v>
      </c>
      <c r="E7258" s="1">
        <f>IF(Tabela1[[#This Row],[promien]]=40000,1,0)</f>
        <v>0</v>
      </c>
      <c r="F7258" s="1">
        <v>3.1639570129512262</v>
      </c>
      <c r="G7258" s="1">
        <v>2.2364359361433106E-2</v>
      </c>
    </row>
    <row r="7259" spans="1:7">
      <c r="A7259">
        <v>233</v>
      </c>
      <c r="B7259">
        <v>100</v>
      </c>
      <c r="C7259" s="1">
        <f>(Tabela1[[#This Row],[x]]-H$3)*(Tabela1[[#This Row],[x]]-H$3) +(Tabela1[[#This Row],[y]]-H$4)*(Tabela1[[#This Row],[y]]-H$4)</f>
        <v>11089</v>
      </c>
      <c r="D7259" s="1">
        <f>IF(Tabela1[[#This Row],[promien]]&lt;40000,1,0)</f>
        <v>1</v>
      </c>
      <c r="E7259" s="1">
        <f>IF(Tabela1[[#This Row],[promien]]=40000,1,0)</f>
        <v>0</v>
      </c>
      <c r="F7259" s="1">
        <v>3.1640721862515497</v>
      </c>
      <c r="G7259" s="1">
        <v>2.2479532661756618E-2</v>
      </c>
    </row>
    <row r="7260" spans="1:7">
      <c r="A7260">
        <v>140</v>
      </c>
      <c r="B7260">
        <v>179</v>
      </c>
      <c r="C7260" s="1">
        <f>(Tabela1[[#This Row],[x]]-H$3)*(Tabela1[[#This Row],[x]]-H$3) +(Tabela1[[#This Row],[y]]-H$4)*(Tabela1[[#This Row],[y]]-H$4)</f>
        <v>4041</v>
      </c>
      <c r="D7260" s="1">
        <f>IF(Tabela1[[#This Row],[promien]]&lt;40000,1,0)</f>
        <v>1</v>
      </c>
      <c r="E7260" s="1">
        <f>IF(Tabela1[[#This Row],[promien]]=40000,1,0)</f>
        <v>0</v>
      </c>
      <c r="F7260" s="1">
        <v>3.1641873278236914</v>
      </c>
      <c r="G7260" s="1">
        <v>2.2594674233898271E-2</v>
      </c>
    </row>
    <row r="7261" spans="1:7">
      <c r="A7261">
        <v>248</v>
      </c>
      <c r="B7261">
        <v>220</v>
      </c>
      <c r="C7261" s="1">
        <f>(Tabela1[[#This Row],[x]]-H$3)*(Tabela1[[#This Row],[x]]-H$3) +(Tabela1[[#This Row],[y]]-H$4)*(Tabela1[[#This Row],[y]]-H$4)</f>
        <v>2704</v>
      </c>
      <c r="D7261" s="1">
        <f>IF(Tabela1[[#This Row],[promien]]&lt;40000,1,0)</f>
        <v>1</v>
      </c>
      <c r="E7261" s="1">
        <f>IF(Tabela1[[#This Row],[promien]]=40000,1,0)</f>
        <v>0</v>
      </c>
      <c r="F7261" s="1">
        <v>3.1643024376807602</v>
      </c>
      <c r="G7261" s="1">
        <v>2.2709784090967133E-2</v>
      </c>
    </row>
    <row r="7262" spans="1:7">
      <c r="A7262">
        <v>256</v>
      </c>
      <c r="B7262">
        <v>56</v>
      </c>
      <c r="C7262" s="1">
        <f>(Tabela1[[#This Row],[x]]-H$3)*(Tabela1[[#This Row],[x]]-H$3) +(Tabela1[[#This Row],[y]]-H$4)*(Tabela1[[#This Row],[y]]-H$4)</f>
        <v>23872</v>
      </c>
      <c r="D7262" s="1">
        <f>IF(Tabela1[[#This Row],[promien]]&lt;40000,1,0)</f>
        <v>1</v>
      </c>
      <c r="E7262" s="1">
        <f>IF(Tabela1[[#This Row],[promien]]=40000,1,0)</f>
        <v>0</v>
      </c>
      <c r="F7262" s="1">
        <v>3.1644175158358578</v>
      </c>
      <c r="G7262" s="1">
        <v>2.2824862246064725E-2</v>
      </c>
    </row>
    <row r="7263" spans="1:7">
      <c r="A7263">
        <v>120</v>
      </c>
      <c r="B7263">
        <v>174</v>
      </c>
      <c r="C7263" s="1">
        <f>(Tabela1[[#This Row],[x]]-H$3)*(Tabela1[[#This Row],[x]]-H$3) +(Tabela1[[#This Row],[y]]-H$4)*(Tabela1[[#This Row],[y]]-H$4)</f>
        <v>7076</v>
      </c>
      <c r="D7263" s="1">
        <f>IF(Tabela1[[#This Row],[promien]]&lt;40000,1,0)</f>
        <v>1</v>
      </c>
      <c r="E7263" s="1">
        <f>IF(Tabela1[[#This Row],[promien]]=40000,1,0)</f>
        <v>0</v>
      </c>
      <c r="F7263" s="1">
        <v>3.164532562302079</v>
      </c>
      <c r="G7263" s="1">
        <v>2.2939908712285906E-2</v>
      </c>
    </row>
    <row r="7264" spans="1:7">
      <c r="A7264">
        <v>374</v>
      </c>
      <c r="B7264">
        <v>223</v>
      </c>
      <c r="C7264" s="1">
        <f>(Tabela1[[#This Row],[x]]-H$3)*(Tabela1[[#This Row],[x]]-H$3) +(Tabela1[[#This Row],[y]]-H$4)*(Tabela1[[#This Row],[y]]-H$4)</f>
        <v>30805</v>
      </c>
      <c r="D7264" s="1">
        <f>IF(Tabela1[[#This Row],[promien]]&lt;40000,1,0)</f>
        <v>1</v>
      </c>
      <c r="E7264" s="1">
        <f>IF(Tabela1[[#This Row],[promien]]=40000,1,0)</f>
        <v>0</v>
      </c>
      <c r="F7264" s="1">
        <v>3.1646475770925111</v>
      </c>
      <c r="G7264" s="1">
        <v>2.3054923502717983E-2</v>
      </c>
    </row>
    <row r="7265" spans="1:7">
      <c r="A7265">
        <v>43</v>
      </c>
      <c r="B7265">
        <v>375</v>
      </c>
      <c r="C7265" s="1">
        <f>(Tabela1[[#This Row],[x]]-H$3)*(Tabela1[[#This Row],[x]]-H$3) +(Tabela1[[#This Row],[y]]-H$4)*(Tabela1[[#This Row],[y]]-H$4)</f>
        <v>55274</v>
      </c>
      <c r="D7265" s="1">
        <f>IF(Tabela1[[#This Row],[promien]]&lt;40000,1,0)</f>
        <v>0</v>
      </c>
      <c r="E7265" s="1">
        <f>IF(Tabela1[[#This Row],[promien]]=40000,1,0)</f>
        <v>0</v>
      </c>
      <c r="F7265" s="1">
        <v>3.164211975223675</v>
      </c>
      <c r="G7265" s="1">
        <v>2.2619321633881917E-2</v>
      </c>
    </row>
    <row r="7266" spans="1:7">
      <c r="A7266">
        <v>66</v>
      </c>
      <c r="B7266">
        <v>4</v>
      </c>
      <c r="C7266" s="1">
        <f>(Tabela1[[#This Row],[x]]-H$3)*(Tabela1[[#This Row],[x]]-H$3) +(Tabela1[[#This Row],[y]]-H$4)*(Tabela1[[#This Row],[y]]-H$4)</f>
        <v>56372</v>
      </c>
      <c r="D7266" s="1">
        <f>IF(Tabela1[[#This Row],[promien]]&lt;40000,1,0)</f>
        <v>0</v>
      </c>
      <c r="E7266" s="1">
        <f>IF(Tabela1[[#This Row],[promien]]=40000,1,0)</f>
        <v>0</v>
      </c>
      <c r="F7266" s="1">
        <v>3.163776493256262</v>
      </c>
      <c r="G7266" s="1">
        <v>2.2183839666468863E-2</v>
      </c>
    </row>
    <row r="7267" spans="1:7">
      <c r="A7267">
        <v>276</v>
      </c>
      <c r="B7267">
        <v>216</v>
      </c>
      <c r="C7267" s="1">
        <f>(Tabela1[[#This Row],[x]]-H$3)*(Tabela1[[#This Row],[x]]-H$3) +(Tabela1[[#This Row],[y]]-H$4)*(Tabela1[[#This Row],[y]]-H$4)</f>
        <v>6032</v>
      </c>
      <c r="D7267" s="1">
        <f>IF(Tabela1[[#This Row],[promien]]&lt;40000,1,0)</f>
        <v>1</v>
      </c>
      <c r="E7267" s="1">
        <f>IF(Tabela1[[#This Row],[promien]]=40000,1,0)</f>
        <v>0</v>
      </c>
      <c r="F7267" s="1">
        <v>3.1638915646071282</v>
      </c>
      <c r="G7267" s="1">
        <v>2.2298911017335055E-2</v>
      </c>
    </row>
    <row r="7268" spans="1:7">
      <c r="A7268">
        <v>172</v>
      </c>
      <c r="B7268">
        <v>394</v>
      </c>
      <c r="C7268" s="1">
        <f>(Tabela1[[#This Row],[x]]-H$3)*(Tabela1[[#This Row],[x]]-H$3) +(Tabela1[[#This Row],[y]]-H$4)*(Tabela1[[#This Row],[y]]-H$4)</f>
        <v>38420</v>
      </c>
      <c r="D7268" s="1">
        <f>IF(Tabela1[[#This Row],[promien]]&lt;40000,1,0)</f>
        <v>1</v>
      </c>
      <c r="E7268" s="1">
        <f>IF(Tabela1[[#This Row],[promien]]=40000,1,0)</f>
        <v>0</v>
      </c>
      <c r="F7268" s="1">
        <v>3.1640066042927901</v>
      </c>
      <c r="G7268" s="1">
        <v>2.241395070299701E-2</v>
      </c>
    </row>
    <row r="7269" spans="1:7">
      <c r="A7269">
        <v>221</v>
      </c>
      <c r="B7269">
        <v>60</v>
      </c>
      <c r="C7269" s="1">
        <f>(Tabela1[[#This Row],[x]]-H$3)*(Tabela1[[#This Row],[x]]-H$3) +(Tabela1[[#This Row],[y]]-H$4)*(Tabela1[[#This Row],[y]]-H$4)</f>
        <v>20041</v>
      </c>
      <c r="D7269" s="1">
        <f>IF(Tabela1[[#This Row],[promien]]&lt;40000,1,0)</f>
        <v>1</v>
      </c>
      <c r="E7269" s="1">
        <f>IF(Tabela1[[#This Row],[promien]]=40000,1,0)</f>
        <v>0</v>
      </c>
      <c r="F7269" s="1">
        <v>3.1641216123263174</v>
      </c>
      <c r="G7269" s="1">
        <v>2.2528958736524274E-2</v>
      </c>
    </row>
    <row r="7270" spans="1:7">
      <c r="A7270">
        <v>248</v>
      </c>
      <c r="B7270">
        <v>373</v>
      </c>
      <c r="C7270" s="1">
        <f>(Tabela1[[#This Row],[x]]-H$3)*(Tabela1[[#This Row],[x]]-H$3) +(Tabela1[[#This Row],[y]]-H$4)*(Tabela1[[#This Row],[y]]-H$4)</f>
        <v>32233</v>
      </c>
      <c r="D7270" s="1">
        <f>IF(Tabela1[[#This Row],[promien]]&lt;40000,1,0)</f>
        <v>1</v>
      </c>
      <c r="E7270" s="1">
        <f>IF(Tabela1[[#This Row],[promien]]=40000,1,0)</f>
        <v>0</v>
      </c>
      <c r="F7270" s="1">
        <v>3.1642365887207702</v>
      </c>
      <c r="G7270" s="1">
        <v>2.2643935130977066E-2</v>
      </c>
    </row>
    <row r="7271" spans="1:7">
      <c r="A7271">
        <v>63</v>
      </c>
      <c r="B7271">
        <v>142</v>
      </c>
      <c r="C7271" s="1">
        <f>(Tabela1[[#This Row],[x]]-H$3)*(Tabela1[[#This Row],[x]]-H$3) +(Tabela1[[#This Row],[y]]-H$4)*(Tabela1[[#This Row],[y]]-H$4)</f>
        <v>22133</v>
      </c>
      <c r="D7271" s="1">
        <f>IF(Tabela1[[#This Row],[promien]]&lt;40000,1,0)</f>
        <v>1</v>
      </c>
      <c r="E7271" s="1">
        <f>IF(Tabela1[[#This Row],[promien]]=40000,1,0)</f>
        <v>0</v>
      </c>
      <c r="F7271" s="1">
        <v>3.1643515334892038</v>
      </c>
      <c r="G7271" s="1">
        <v>2.2758879899410722E-2</v>
      </c>
    </row>
    <row r="7272" spans="1:7">
      <c r="A7272">
        <v>150</v>
      </c>
      <c r="B7272">
        <v>302</v>
      </c>
      <c r="C7272" s="1">
        <f>(Tabela1[[#This Row],[x]]-H$3)*(Tabela1[[#This Row],[x]]-H$3) +(Tabela1[[#This Row],[y]]-H$4)*(Tabela1[[#This Row],[y]]-H$4)</f>
        <v>12904</v>
      </c>
      <c r="D7272" s="1">
        <f>IF(Tabela1[[#This Row],[promien]]&lt;40000,1,0)</f>
        <v>1</v>
      </c>
      <c r="E7272" s="1">
        <f>IF(Tabela1[[#This Row],[promien]]=40000,1,0)</f>
        <v>0</v>
      </c>
      <c r="F7272" s="1">
        <v>3.1644664466446644</v>
      </c>
      <c r="G7272" s="1">
        <v>2.287379305487125E-2</v>
      </c>
    </row>
    <row r="7273" spans="1:7">
      <c r="A7273">
        <v>283</v>
      </c>
      <c r="B7273">
        <v>40</v>
      </c>
      <c r="C7273" s="1">
        <f>(Tabela1[[#This Row],[x]]-H$3)*(Tabela1[[#This Row],[x]]-H$3) +(Tabela1[[#This Row],[y]]-H$4)*(Tabela1[[#This Row],[y]]-H$4)</f>
        <v>32489</v>
      </c>
      <c r="D7273" s="1">
        <f>IF(Tabela1[[#This Row],[promien]]&lt;40000,1,0)</f>
        <v>1</v>
      </c>
      <c r="E7273" s="1">
        <f>IF(Tabela1[[#This Row],[promien]]=40000,1,0)</f>
        <v>0</v>
      </c>
      <c r="F7273" s="1">
        <v>3.1645813282001924</v>
      </c>
      <c r="G7273" s="1">
        <v>2.2988674610399329E-2</v>
      </c>
    </row>
    <row r="7274" spans="1:7">
      <c r="A7274">
        <v>86</v>
      </c>
      <c r="B7274">
        <v>219</v>
      </c>
      <c r="C7274" s="1">
        <f>(Tabela1[[#This Row],[x]]-H$3)*(Tabela1[[#This Row],[x]]-H$3) +(Tabela1[[#This Row],[y]]-H$4)*(Tabela1[[#This Row],[y]]-H$4)</f>
        <v>13357</v>
      </c>
      <c r="D7274" s="1">
        <f>IF(Tabela1[[#This Row],[promien]]&lt;40000,1,0)</f>
        <v>1</v>
      </c>
      <c r="E7274" s="1">
        <f>IF(Tabela1[[#This Row],[promien]]=40000,1,0)</f>
        <v>0</v>
      </c>
      <c r="F7274" s="1">
        <v>3.1646961781688203</v>
      </c>
      <c r="G7274" s="1">
        <v>2.3103524579027201E-2</v>
      </c>
    </row>
    <row r="7275" spans="1:7">
      <c r="A7275">
        <v>112</v>
      </c>
      <c r="B7275">
        <v>349</v>
      </c>
      <c r="C7275" s="1">
        <f>(Tabela1[[#This Row],[x]]-H$3)*(Tabela1[[#This Row],[x]]-H$3) +(Tabela1[[#This Row],[y]]-H$4)*(Tabela1[[#This Row],[y]]-H$4)</f>
        <v>29945</v>
      </c>
      <c r="D7275" s="1">
        <f>IF(Tabela1[[#This Row],[promien]]&lt;40000,1,0)</f>
        <v>1</v>
      </c>
      <c r="E7275" s="1">
        <f>IF(Tabela1[[#This Row],[promien]]=40000,1,0)</f>
        <v>0</v>
      </c>
      <c r="F7275" s="1">
        <v>3.164810996563574</v>
      </c>
      <c r="G7275" s="1">
        <v>2.3218342973780892E-2</v>
      </c>
    </row>
    <row r="7276" spans="1:7">
      <c r="A7276">
        <v>20</v>
      </c>
      <c r="B7276">
        <v>21</v>
      </c>
      <c r="C7276" s="1">
        <f>(Tabela1[[#This Row],[x]]-H$3)*(Tabela1[[#This Row],[x]]-H$3) +(Tabela1[[#This Row],[y]]-H$4)*(Tabela1[[#This Row],[y]]-H$4)</f>
        <v>64441</v>
      </c>
      <c r="D7276" s="1">
        <f>IF(Tabela1[[#This Row],[promien]]&lt;40000,1,0)</f>
        <v>0</v>
      </c>
      <c r="E7276" s="1">
        <f>IF(Tabela1[[#This Row],[promien]]=40000,1,0)</f>
        <v>0</v>
      </c>
      <c r="F7276" s="1">
        <v>3.1643760307861464</v>
      </c>
      <c r="G7276" s="1">
        <v>2.2783377196353261E-2</v>
      </c>
    </row>
    <row r="7277" spans="1:7">
      <c r="A7277">
        <v>284</v>
      </c>
      <c r="B7277">
        <v>59</v>
      </c>
      <c r="C7277" s="1">
        <f>(Tabela1[[#This Row],[x]]-H$3)*(Tabela1[[#This Row],[x]]-H$3) +(Tabela1[[#This Row],[y]]-H$4)*(Tabela1[[#This Row],[y]]-H$4)</f>
        <v>26937</v>
      </c>
      <c r="D7277" s="1">
        <f>IF(Tabela1[[#This Row],[promien]]&lt;40000,1,0)</f>
        <v>1</v>
      </c>
      <c r="E7277" s="1">
        <f>IF(Tabela1[[#This Row],[promien]]=40000,1,0)</f>
        <v>0</v>
      </c>
      <c r="F7277" s="1">
        <v>3.1644908616187988</v>
      </c>
      <c r="G7277" s="1">
        <v>2.2898208029005662E-2</v>
      </c>
    </row>
    <row r="7278" spans="1:7">
      <c r="A7278">
        <v>322</v>
      </c>
      <c r="B7278">
        <v>95</v>
      </c>
      <c r="C7278" s="1">
        <f>(Tabela1[[#This Row],[x]]-H$3)*(Tabela1[[#This Row],[x]]-H$3) +(Tabela1[[#This Row],[y]]-H$4)*(Tabela1[[#This Row],[y]]-H$4)</f>
        <v>25909</v>
      </c>
      <c r="D7278" s="1">
        <f>IF(Tabela1[[#This Row],[promien]]&lt;40000,1,0)</f>
        <v>1</v>
      </c>
      <c r="E7278" s="1">
        <f>IF(Tabela1[[#This Row],[promien]]=40000,1,0)</f>
        <v>0</v>
      </c>
      <c r="F7278" s="1">
        <v>3.1646056608958504</v>
      </c>
      <c r="G7278" s="1">
        <v>2.3013007306057265E-2</v>
      </c>
    </row>
    <row r="7279" spans="1:7">
      <c r="A7279">
        <v>90</v>
      </c>
      <c r="B7279">
        <v>20</v>
      </c>
      <c r="C7279" s="1">
        <f>(Tabela1[[#This Row],[x]]-H$3)*(Tabela1[[#This Row],[x]]-H$3) +(Tabela1[[#This Row],[y]]-H$4)*(Tabela1[[#This Row],[y]]-H$4)</f>
        <v>44500</v>
      </c>
      <c r="D7279" s="1">
        <f>IF(Tabela1[[#This Row],[promien]]&lt;40000,1,0)</f>
        <v>0</v>
      </c>
      <c r="E7279" s="1">
        <f>IF(Tabela1[[#This Row],[promien]]=40000,1,0)</f>
        <v>0</v>
      </c>
      <c r="F7279" s="1">
        <v>3.1641709025965103</v>
      </c>
      <c r="G7279" s="1">
        <v>2.2578249006717233E-2</v>
      </c>
    </row>
    <row r="7280" spans="1:7">
      <c r="A7280">
        <v>222</v>
      </c>
      <c r="B7280">
        <v>61</v>
      </c>
      <c r="C7280" s="1">
        <f>(Tabela1[[#This Row],[x]]-H$3)*(Tabela1[[#This Row],[x]]-H$3) +(Tabela1[[#This Row],[y]]-H$4)*(Tabela1[[#This Row],[y]]-H$4)</f>
        <v>19805</v>
      </c>
      <c r="D7280" s="1">
        <f>IF(Tabela1[[#This Row],[promien]]&lt;40000,1,0)</f>
        <v>1</v>
      </c>
      <c r="E7280" s="1">
        <f>IF(Tabela1[[#This Row],[promien]]=40000,1,0)</f>
        <v>0</v>
      </c>
      <c r="F7280" s="1">
        <v>3.1642857142857141</v>
      </c>
      <c r="G7280" s="1">
        <v>2.269306069592103E-2</v>
      </c>
    </row>
    <row r="7281" spans="1:7">
      <c r="A7281">
        <v>92</v>
      </c>
      <c r="B7281">
        <v>170</v>
      </c>
      <c r="C7281" s="1">
        <f>(Tabela1[[#This Row],[x]]-H$3)*(Tabela1[[#This Row],[x]]-H$3) +(Tabela1[[#This Row],[y]]-H$4)*(Tabela1[[#This Row],[y]]-H$4)</f>
        <v>12564</v>
      </c>
      <c r="D7281" s="1">
        <f>IF(Tabela1[[#This Row],[promien]]&lt;40000,1,0)</f>
        <v>1</v>
      </c>
      <c r="E7281" s="1">
        <f>IF(Tabela1[[#This Row],[promien]]=40000,1,0)</f>
        <v>0</v>
      </c>
      <c r="F7281" s="1">
        <v>3.1644004944375772</v>
      </c>
      <c r="G7281" s="1">
        <v>2.2807840847784089E-2</v>
      </c>
    </row>
    <row r="7282" spans="1:7">
      <c r="A7282">
        <v>282</v>
      </c>
      <c r="B7282">
        <v>392</v>
      </c>
      <c r="C7282" s="1">
        <f>(Tabela1[[#This Row],[x]]-H$3)*(Tabela1[[#This Row],[x]]-H$3) +(Tabela1[[#This Row],[y]]-H$4)*(Tabela1[[#This Row],[y]]-H$4)</f>
        <v>43588</v>
      </c>
      <c r="D7282" s="1">
        <f>IF(Tabela1[[#This Row],[promien]]&lt;40000,1,0)</f>
        <v>0</v>
      </c>
      <c r="E7282" s="1">
        <f>IF(Tabela1[[#This Row],[promien]]=40000,1,0)</f>
        <v>0</v>
      </c>
      <c r="F7282" s="1">
        <v>3.163965943422137</v>
      </c>
      <c r="G7282" s="1">
        <v>2.2373289832343879E-2</v>
      </c>
    </row>
    <row r="7283" spans="1:7">
      <c r="A7283">
        <v>353</v>
      </c>
      <c r="B7283">
        <v>277</v>
      </c>
      <c r="C7283" s="1">
        <f>(Tabela1[[#This Row],[x]]-H$3)*(Tabela1[[#This Row],[x]]-H$3) +(Tabela1[[#This Row],[y]]-H$4)*(Tabela1[[#This Row],[y]]-H$4)</f>
        <v>29338</v>
      </c>
      <c r="D7283" s="1">
        <f>IF(Tabela1[[#This Row],[promien]]&lt;40000,1,0)</f>
        <v>1</v>
      </c>
      <c r="E7283" s="1">
        <f>IF(Tabela1[[#This Row],[promien]]=40000,1,0)</f>
        <v>0</v>
      </c>
      <c r="F7283" s="1">
        <v>3.1640807359604559</v>
      </c>
      <c r="G7283" s="1">
        <v>2.2488082370662799E-2</v>
      </c>
    </row>
    <row r="7284" spans="1:7">
      <c r="A7284">
        <v>158</v>
      </c>
      <c r="B7284">
        <v>167</v>
      </c>
      <c r="C7284" s="1">
        <f>(Tabela1[[#This Row],[x]]-H$3)*(Tabela1[[#This Row],[x]]-H$3) +(Tabela1[[#This Row],[y]]-H$4)*(Tabela1[[#This Row],[y]]-H$4)</f>
        <v>2853</v>
      </c>
      <c r="D7284" s="1">
        <f>IF(Tabela1[[#This Row],[promien]]&lt;40000,1,0)</f>
        <v>1</v>
      </c>
      <c r="E7284" s="1">
        <f>IF(Tabela1[[#This Row],[promien]]=40000,1,0)</f>
        <v>0</v>
      </c>
      <c r="F7284" s="1">
        <v>3.1641954969796813</v>
      </c>
      <c r="G7284" s="1">
        <v>2.2602843389888161E-2</v>
      </c>
    </row>
    <row r="7285" spans="1:7">
      <c r="A7285">
        <v>105</v>
      </c>
      <c r="B7285">
        <v>348</v>
      </c>
      <c r="C7285" s="1">
        <f>(Tabela1[[#This Row],[x]]-H$3)*(Tabela1[[#This Row],[x]]-H$3) +(Tabela1[[#This Row],[y]]-H$4)*(Tabela1[[#This Row],[y]]-H$4)</f>
        <v>30929</v>
      </c>
      <c r="D7285" s="1">
        <f>IF(Tabela1[[#This Row],[promien]]&lt;40000,1,0)</f>
        <v>1</v>
      </c>
      <c r="E7285" s="1">
        <f>IF(Tabela1[[#This Row],[promien]]=40000,1,0)</f>
        <v>0</v>
      </c>
      <c r="F7285" s="1">
        <v>3.1643102264927934</v>
      </c>
      <c r="G7285" s="1">
        <v>2.2717572903000249E-2</v>
      </c>
    </row>
    <row r="7286" spans="1:7">
      <c r="A7286">
        <v>220</v>
      </c>
      <c r="B7286">
        <v>381</v>
      </c>
      <c r="C7286" s="1">
        <f>(Tabela1[[#This Row],[x]]-H$3)*(Tabela1[[#This Row],[x]]-H$3) +(Tabela1[[#This Row],[y]]-H$4)*(Tabela1[[#This Row],[y]]-H$4)</f>
        <v>33161</v>
      </c>
      <c r="D7286" s="1">
        <f>IF(Tabela1[[#This Row],[promien]]&lt;40000,1,0)</f>
        <v>1</v>
      </c>
      <c r="E7286" s="1">
        <f>IF(Tabela1[[#This Row],[promien]]=40000,1,0)</f>
        <v>0</v>
      </c>
      <c r="F7286" s="1">
        <v>3.164424924512764</v>
      </c>
      <c r="G7286" s="1">
        <v>2.283227092297091E-2</v>
      </c>
    </row>
    <row r="7287" spans="1:7">
      <c r="A7287">
        <v>1</v>
      </c>
      <c r="B7287">
        <v>249</v>
      </c>
      <c r="C7287" s="1">
        <f>(Tabela1[[#This Row],[x]]-H$3)*(Tabela1[[#This Row],[x]]-H$3) +(Tabela1[[#This Row],[y]]-H$4)*(Tabela1[[#This Row],[y]]-H$4)</f>
        <v>42002</v>
      </c>
      <c r="D7287" s="1">
        <f>IF(Tabela1[[#This Row],[promien]]&lt;40000,1,0)</f>
        <v>0</v>
      </c>
      <c r="E7287" s="1">
        <f>IF(Tabela1[[#This Row],[promien]]=40000,1,0)</f>
        <v>0</v>
      </c>
      <c r="F7287" s="1">
        <v>3.1639906683134349</v>
      </c>
      <c r="G7287" s="1">
        <v>2.2398014723641779E-2</v>
      </c>
    </row>
    <row r="7288" spans="1:7">
      <c r="A7288">
        <v>100</v>
      </c>
      <c r="B7288">
        <v>176</v>
      </c>
      <c r="C7288" s="1">
        <f>(Tabela1[[#This Row],[x]]-H$3)*(Tabela1[[#This Row],[x]]-H$3) +(Tabela1[[#This Row],[y]]-H$4)*(Tabela1[[#This Row],[y]]-H$4)</f>
        <v>10576</v>
      </c>
      <c r="D7288" s="1">
        <f>IF(Tabela1[[#This Row],[promien]]&lt;40000,1,0)</f>
        <v>1</v>
      </c>
      <c r="E7288" s="1">
        <f>IF(Tabela1[[#This Row],[promien]]=40000,1,0)</f>
        <v>0</v>
      </c>
      <c r="F7288" s="1">
        <v>3.1641053787047202</v>
      </c>
      <c r="G7288" s="1">
        <v>2.2512725114927079E-2</v>
      </c>
    </row>
    <row r="7289" spans="1:7">
      <c r="A7289">
        <v>254</v>
      </c>
      <c r="B7289">
        <v>262</v>
      </c>
      <c r="C7289" s="1">
        <f>(Tabela1[[#This Row],[x]]-H$3)*(Tabela1[[#This Row],[x]]-H$3) +(Tabela1[[#This Row],[y]]-H$4)*(Tabela1[[#This Row],[y]]-H$4)</f>
        <v>6760</v>
      </c>
      <c r="D7289" s="1">
        <f>IF(Tabela1[[#This Row],[promien]]&lt;40000,1,0)</f>
        <v>1</v>
      </c>
      <c r="E7289" s="1">
        <f>IF(Tabela1[[#This Row],[promien]]=40000,1,0)</f>
        <v>0</v>
      </c>
      <c r="F7289" s="1">
        <v>3.1642200576210731</v>
      </c>
      <c r="G7289" s="1">
        <v>2.2627404031279941E-2</v>
      </c>
    </row>
    <row r="7290" spans="1:7">
      <c r="A7290">
        <v>183</v>
      </c>
      <c r="B7290">
        <v>284</v>
      </c>
      <c r="C7290" s="1">
        <f>(Tabela1[[#This Row],[x]]-H$3)*(Tabela1[[#This Row],[x]]-H$3) +(Tabela1[[#This Row],[y]]-H$4)*(Tabela1[[#This Row],[y]]-H$4)</f>
        <v>7345</v>
      </c>
      <c r="D7290" s="1">
        <f>IF(Tabela1[[#This Row],[promien]]&lt;40000,1,0)</f>
        <v>1</v>
      </c>
      <c r="E7290" s="1">
        <f>IF(Tabela1[[#This Row],[promien]]=40000,1,0)</f>
        <v>0</v>
      </c>
      <c r="F7290" s="1">
        <v>3.1643347050754458</v>
      </c>
      <c r="G7290" s="1">
        <v>2.274205148565267E-2</v>
      </c>
    </row>
    <row r="7291" spans="1:7">
      <c r="A7291">
        <v>2</v>
      </c>
      <c r="B7291">
        <v>384</v>
      </c>
      <c r="C7291" s="1">
        <f>(Tabela1[[#This Row],[x]]-H$3)*(Tabela1[[#This Row],[x]]-H$3) +(Tabela1[[#This Row],[y]]-H$4)*(Tabela1[[#This Row],[y]]-H$4)</f>
        <v>73060</v>
      </c>
      <c r="D7291" s="1">
        <f>IF(Tabela1[[#This Row],[promien]]&lt;40000,1,0)</f>
        <v>0</v>
      </c>
      <c r="E7291" s="1">
        <f>IF(Tabela1[[#This Row],[promien]]=40000,1,0)</f>
        <v>0</v>
      </c>
      <c r="F7291" s="1">
        <v>3.1639006994925252</v>
      </c>
      <c r="G7291" s="1">
        <v>2.2308045902732054E-2</v>
      </c>
    </row>
    <row r="7292" spans="1:7">
      <c r="A7292">
        <v>48</v>
      </c>
      <c r="B7292">
        <v>291</v>
      </c>
      <c r="C7292" s="1">
        <f>(Tabela1[[#This Row],[x]]-H$3)*(Tabela1[[#This Row],[x]]-H$3) +(Tabela1[[#This Row],[y]]-H$4)*(Tabela1[[#This Row],[y]]-H$4)</f>
        <v>31385</v>
      </c>
      <c r="D7292" s="1">
        <f>IF(Tabela1[[#This Row],[promien]]&lt;40000,1,0)</f>
        <v>1</v>
      </c>
      <c r="E7292" s="1">
        <f>IF(Tabela1[[#This Row],[promien]]=40000,1,0)</f>
        <v>0</v>
      </c>
      <c r="F7292" s="1">
        <v>3.1640153592978608</v>
      </c>
      <c r="G7292" s="1">
        <v>2.2422705708067703E-2</v>
      </c>
    </row>
    <row r="7293" spans="1:7">
      <c r="A7293">
        <v>299</v>
      </c>
      <c r="B7293">
        <v>212</v>
      </c>
      <c r="C7293" s="1">
        <f>(Tabela1[[#This Row],[x]]-H$3)*(Tabela1[[#This Row],[x]]-H$3) +(Tabela1[[#This Row],[y]]-H$4)*(Tabela1[[#This Row],[y]]-H$4)</f>
        <v>9945</v>
      </c>
      <c r="D7293" s="1">
        <f>IF(Tabela1[[#This Row],[promien]]&lt;40000,1,0)</f>
        <v>1</v>
      </c>
      <c r="E7293" s="1">
        <f>IF(Tabela1[[#This Row],[promien]]=40000,1,0)</f>
        <v>0</v>
      </c>
      <c r="F7293" s="1">
        <v>3.1641299876593996</v>
      </c>
      <c r="G7293" s="1">
        <v>2.2537334069606452E-2</v>
      </c>
    </row>
    <row r="7294" spans="1:7">
      <c r="A7294">
        <v>23</v>
      </c>
      <c r="B7294">
        <v>234</v>
      </c>
      <c r="C7294" s="1">
        <f>(Tabela1[[#This Row],[x]]-H$3)*(Tabela1[[#This Row],[x]]-H$3) +(Tabela1[[#This Row],[y]]-H$4)*(Tabela1[[#This Row],[y]]-H$4)</f>
        <v>32485</v>
      </c>
      <c r="D7294" s="1">
        <f>IF(Tabela1[[#This Row],[promien]]&lt;40000,1,0)</f>
        <v>1</v>
      </c>
      <c r="E7294" s="1">
        <f>IF(Tabela1[[#This Row],[promien]]=40000,1,0)</f>
        <v>0</v>
      </c>
      <c r="F7294" s="1">
        <v>3.1642445845900742</v>
      </c>
      <c r="G7294" s="1">
        <v>2.2651931000281067E-2</v>
      </c>
    </row>
    <row r="7295" spans="1:7">
      <c r="A7295">
        <v>285</v>
      </c>
      <c r="B7295">
        <v>360</v>
      </c>
      <c r="C7295" s="1">
        <f>(Tabela1[[#This Row],[x]]-H$3)*(Tabela1[[#This Row],[x]]-H$3) +(Tabela1[[#This Row],[y]]-H$4)*(Tabela1[[#This Row],[y]]-H$4)</f>
        <v>32825</v>
      </c>
      <c r="D7295" s="1">
        <f>IF(Tabela1[[#This Row],[promien]]&lt;40000,1,0)</f>
        <v>1</v>
      </c>
      <c r="E7295" s="1">
        <f>IF(Tabela1[[#This Row],[promien]]=40000,1,0)</f>
        <v>0</v>
      </c>
      <c r="F7295" s="1">
        <v>3.1643591501028103</v>
      </c>
      <c r="G7295" s="1">
        <v>2.2766496513017209E-2</v>
      </c>
    </row>
    <row r="7296" spans="1:7">
      <c r="A7296">
        <v>150</v>
      </c>
      <c r="B7296">
        <v>369</v>
      </c>
      <c r="C7296" s="1">
        <f>(Tabela1[[#This Row],[x]]-H$3)*(Tabela1[[#This Row],[x]]-H$3) +(Tabela1[[#This Row],[y]]-H$4)*(Tabela1[[#This Row],[y]]-H$4)</f>
        <v>31061</v>
      </c>
      <c r="D7296" s="1">
        <f>IF(Tabela1[[#This Row],[promien]]&lt;40000,1,0)</f>
        <v>1</v>
      </c>
      <c r="E7296" s="1">
        <f>IF(Tabela1[[#This Row],[promien]]=40000,1,0)</f>
        <v>0</v>
      </c>
      <c r="F7296" s="1">
        <v>3.1644736842105261</v>
      </c>
      <c r="G7296" s="1">
        <v>2.2881030620732989E-2</v>
      </c>
    </row>
    <row r="7297" spans="1:7">
      <c r="A7297">
        <v>150</v>
      </c>
      <c r="B7297">
        <v>244</v>
      </c>
      <c r="C7297" s="1">
        <f>(Tabela1[[#This Row],[x]]-H$3)*(Tabela1[[#This Row],[x]]-H$3) +(Tabela1[[#This Row],[y]]-H$4)*(Tabela1[[#This Row],[y]]-H$4)</f>
        <v>4436</v>
      </c>
      <c r="D7297" s="1">
        <f>IF(Tabela1[[#This Row],[promien]]&lt;40000,1,0)</f>
        <v>1</v>
      </c>
      <c r="E7297" s="1">
        <f>IF(Tabela1[[#This Row],[promien]]=40000,1,0)</f>
        <v>0</v>
      </c>
      <c r="F7297" s="1">
        <v>3.1645881869261339</v>
      </c>
      <c r="G7297" s="1">
        <v>2.2995533336340745E-2</v>
      </c>
    </row>
    <row r="7298" spans="1:7">
      <c r="A7298">
        <v>219</v>
      </c>
      <c r="B7298">
        <v>251</v>
      </c>
      <c r="C7298" s="1">
        <f>(Tabela1[[#This Row],[x]]-H$3)*(Tabela1[[#This Row],[x]]-H$3) +(Tabela1[[#This Row],[y]]-H$4)*(Tabela1[[#This Row],[y]]-H$4)</f>
        <v>2962</v>
      </c>
      <c r="D7298" s="1">
        <f>IF(Tabela1[[#This Row],[promien]]&lt;40000,1,0)</f>
        <v>1</v>
      </c>
      <c r="E7298" s="1">
        <f>IF(Tabela1[[#This Row],[promien]]=40000,1,0)</f>
        <v>0</v>
      </c>
      <c r="F7298" s="1">
        <v>3.1647026582625375</v>
      </c>
      <c r="G7298" s="1">
        <v>2.3110004672744378E-2</v>
      </c>
    </row>
    <row r="7299" spans="1:7">
      <c r="A7299">
        <v>317</v>
      </c>
      <c r="B7299">
        <v>275</v>
      </c>
      <c r="C7299" s="1">
        <f>(Tabela1[[#This Row],[x]]-H$3)*(Tabela1[[#This Row],[x]]-H$3) +(Tabela1[[#This Row],[y]]-H$4)*(Tabela1[[#This Row],[y]]-H$4)</f>
        <v>19314</v>
      </c>
      <c r="D7299" s="1">
        <f>IF(Tabela1[[#This Row],[promien]]&lt;40000,1,0)</f>
        <v>1</v>
      </c>
      <c r="E7299" s="1">
        <f>IF(Tabela1[[#This Row],[promien]]=40000,1,0)</f>
        <v>0</v>
      </c>
      <c r="F7299" s="1">
        <v>3.1648170982326347</v>
      </c>
      <c r="G7299" s="1">
        <v>2.3224444642841569E-2</v>
      </c>
    </row>
    <row r="7300" spans="1:7">
      <c r="A7300">
        <v>12</v>
      </c>
      <c r="B7300">
        <v>269</v>
      </c>
      <c r="C7300" s="1">
        <f>(Tabela1[[#This Row],[x]]-H$3)*(Tabela1[[#This Row],[x]]-H$3) +(Tabela1[[#This Row],[y]]-H$4)*(Tabela1[[#This Row],[y]]-H$4)</f>
        <v>40105</v>
      </c>
      <c r="D7300" s="1">
        <f>IF(Tabela1[[#This Row],[promien]]&lt;40000,1,0)</f>
        <v>0</v>
      </c>
      <c r="E7300" s="1">
        <f>IF(Tabela1[[#This Row],[promien]]=40000,1,0)</f>
        <v>0</v>
      </c>
      <c r="F7300" s="1">
        <v>3.1643835616438358</v>
      </c>
      <c r="G7300" s="1">
        <v>2.2790908054042713E-2</v>
      </c>
    </row>
    <row r="7301" spans="1:7">
      <c r="A7301">
        <v>275</v>
      </c>
      <c r="B7301">
        <v>225</v>
      </c>
      <c r="C7301" s="1">
        <f>(Tabela1[[#This Row],[x]]-H$3)*(Tabela1[[#This Row],[x]]-H$3) +(Tabela1[[#This Row],[y]]-H$4)*(Tabela1[[#This Row],[y]]-H$4)</f>
        <v>6250</v>
      </c>
      <c r="D7301" s="1">
        <f>IF(Tabela1[[#This Row],[promien]]&lt;40000,1,0)</f>
        <v>1</v>
      </c>
      <c r="E7301" s="1">
        <f>IF(Tabela1[[#This Row],[promien]]=40000,1,0)</f>
        <v>0</v>
      </c>
      <c r="F7301" s="1">
        <v>3.1644980139706891</v>
      </c>
      <c r="G7301" s="1">
        <v>2.2905360380895967E-2</v>
      </c>
    </row>
    <row r="7302" spans="1:7">
      <c r="A7302">
        <v>373</v>
      </c>
      <c r="B7302">
        <v>297</v>
      </c>
      <c r="C7302" s="1">
        <f>(Tabela1[[#This Row],[x]]-H$3)*(Tabela1[[#This Row],[x]]-H$3) +(Tabela1[[#This Row],[y]]-H$4)*(Tabela1[[#This Row],[y]]-H$4)</f>
        <v>39338</v>
      </c>
      <c r="D7302" s="1">
        <f>IF(Tabela1[[#This Row],[promien]]&lt;40000,1,0)</f>
        <v>1</v>
      </c>
      <c r="E7302" s="1">
        <f>IF(Tabela1[[#This Row],[promien]]=40000,1,0)</f>
        <v>0</v>
      </c>
      <c r="F7302" s="1">
        <v>3.164612434949329</v>
      </c>
      <c r="G7302" s="1">
        <v>2.3019781359535862E-2</v>
      </c>
    </row>
    <row r="7303" spans="1:7">
      <c r="A7303">
        <v>316</v>
      </c>
      <c r="B7303">
        <v>30</v>
      </c>
      <c r="C7303" s="1">
        <f>(Tabela1[[#This Row],[x]]-H$3)*(Tabela1[[#This Row],[x]]-H$3) +(Tabela1[[#This Row],[y]]-H$4)*(Tabela1[[#This Row],[y]]-H$4)</f>
        <v>42356</v>
      </c>
      <c r="D7303" s="1">
        <f>IF(Tabela1[[#This Row],[promien]]&lt;40000,1,0)</f>
        <v>0</v>
      </c>
      <c r="E7303" s="1">
        <f>IF(Tabela1[[#This Row],[promien]]=40000,1,0)</f>
        <v>0</v>
      </c>
      <c r="F7303" s="1">
        <v>3.1641791044776117</v>
      </c>
      <c r="G7303" s="1">
        <v>2.2586450887818632E-2</v>
      </c>
    </row>
    <row r="7304" spans="1:7">
      <c r="A7304">
        <v>45</v>
      </c>
      <c r="B7304">
        <v>198</v>
      </c>
      <c r="C7304" s="1">
        <f>(Tabela1[[#This Row],[x]]-H$3)*(Tabela1[[#This Row],[x]]-H$3) +(Tabela1[[#This Row],[y]]-H$4)*(Tabela1[[#This Row],[y]]-H$4)</f>
        <v>24029</v>
      </c>
      <c r="D7304" s="1">
        <f>IF(Tabela1[[#This Row],[promien]]&lt;40000,1,0)</f>
        <v>1</v>
      </c>
      <c r="E7304" s="1">
        <f>IF(Tabela1[[#This Row],[promien]]=40000,1,0)</f>
        <v>0</v>
      </c>
      <c r="F7304" s="1">
        <v>3.1642935377875139</v>
      </c>
      <c r="G7304" s="1">
        <v>2.2700884197720761E-2</v>
      </c>
    </row>
    <row r="7305" spans="1:7">
      <c r="A7305">
        <v>17</v>
      </c>
      <c r="B7305">
        <v>391</v>
      </c>
      <c r="C7305" s="1">
        <f>(Tabela1[[#This Row],[x]]-H$3)*(Tabela1[[#This Row],[x]]-H$3) +(Tabela1[[#This Row],[y]]-H$4)*(Tabela1[[#This Row],[y]]-H$4)</f>
        <v>69970</v>
      </c>
      <c r="D7305" s="1">
        <f>IF(Tabela1[[#This Row],[promien]]&lt;40000,1,0)</f>
        <v>0</v>
      </c>
      <c r="E7305" s="1">
        <f>IF(Tabela1[[#This Row],[promien]]=40000,1,0)</f>
        <v>0</v>
      </c>
      <c r="F7305" s="1">
        <v>3.1638603696098562</v>
      </c>
      <c r="G7305" s="1">
        <v>2.2267716020063055E-2</v>
      </c>
    </row>
    <row r="7306" spans="1:7">
      <c r="A7306">
        <v>161</v>
      </c>
      <c r="B7306">
        <v>311</v>
      </c>
      <c r="C7306" s="1">
        <f>(Tabela1[[#This Row],[x]]-H$3)*(Tabela1[[#This Row],[x]]-H$3) +(Tabela1[[#This Row],[y]]-H$4)*(Tabela1[[#This Row],[y]]-H$4)</f>
        <v>13842</v>
      </c>
      <c r="D7306" s="1">
        <f>IF(Tabela1[[#This Row],[promien]]&lt;40000,1,0)</f>
        <v>1</v>
      </c>
      <c r="E7306" s="1">
        <f>IF(Tabela1[[#This Row],[promien]]=40000,1,0)</f>
        <v>0</v>
      </c>
      <c r="F7306" s="1">
        <v>3.1639748152203668</v>
      </c>
      <c r="G7306" s="1">
        <v>2.2382161630573716E-2</v>
      </c>
    </row>
    <row r="7307" spans="1:7">
      <c r="A7307">
        <v>253</v>
      </c>
      <c r="B7307">
        <v>232</v>
      </c>
      <c r="C7307" s="1">
        <f>(Tabela1[[#This Row],[x]]-H$3)*(Tabela1[[#This Row],[x]]-H$3) +(Tabela1[[#This Row],[y]]-H$4)*(Tabela1[[#This Row],[y]]-H$4)</f>
        <v>3833</v>
      </c>
      <c r="D7307" s="1">
        <f>IF(Tabela1[[#This Row],[promien]]&lt;40000,1,0)</f>
        <v>1</v>
      </c>
      <c r="E7307" s="1">
        <f>IF(Tabela1[[#This Row],[promien]]=40000,1,0)</f>
        <v>0</v>
      </c>
      <c r="F7307" s="1">
        <v>3.1640892295059531</v>
      </c>
      <c r="G7307" s="1">
        <v>2.2496575916159944E-2</v>
      </c>
    </row>
    <row r="7308" spans="1:7">
      <c r="A7308">
        <v>245</v>
      </c>
      <c r="B7308">
        <v>172</v>
      </c>
      <c r="C7308" s="1">
        <f>(Tabela1[[#This Row],[x]]-H$3)*(Tabela1[[#This Row],[x]]-H$3) +(Tabela1[[#This Row],[y]]-H$4)*(Tabela1[[#This Row],[y]]-H$4)</f>
        <v>2809</v>
      </c>
      <c r="D7308" s="1">
        <f>IF(Tabela1[[#This Row],[promien]]&lt;40000,1,0)</f>
        <v>1</v>
      </c>
      <c r="E7308" s="1">
        <f>IF(Tabela1[[#This Row],[promien]]=40000,1,0)</f>
        <v>0</v>
      </c>
      <c r="F7308" s="1">
        <v>3.1642036124794743</v>
      </c>
      <c r="G7308" s="1">
        <v>2.2610958889681232E-2</v>
      </c>
    </row>
    <row r="7309" spans="1:7">
      <c r="A7309">
        <v>379</v>
      </c>
      <c r="B7309">
        <v>243</v>
      </c>
      <c r="C7309" s="1">
        <f>(Tabela1[[#This Row],[x]]-H$3)*(Tabela1[[#This Row],[x]]-H$3) +(Tabela1[[#This Row],[y]]-H$4)*(Tabela1[[#This Row],[y]]-H$4)</f>
        <v>33890</v>
      </c>
      <c r="D7309" s="1">
        <f>IF(Tabela1[[#This Row],[promien]]&lt;40000,1,0)</f>
        <v>1</v>
      </c>
      <c r="E7309" s="1">
        <f>IF(Tabela1[[#This Row],[promien]]=40000,1,0)</f>
        <v>0</v>
      </c>
      <c r="F7309" s="1">
        <v>3.1643179641537831</v>
      </c>
      <c r="G7309" s="1">
        <v>2.2725310563989964E-2</v>
      </c>
    </row>
    <row r="7310" spans="1:7">
      <c r="A7310">
        <v>153</v>
      </c>
      <c r="B7310">
        <v>60</v>
      </c>
      <c r="C7310" s="1">
        <f>(Tabela1[[#This Row],[x]]-H$3)*(Tabela1[[#This Row],[x]]-H$3) +(Tabela1[[#This Row],[y]]-H$4)*(Tabela1[[#This Row],[y]]-H$4)</f>
        <v>21809</v>
      </c>
      <c r="D7310" s="1">
        <f>IF(Tabela1[[#This Row],[promien]]&lt;40000,1,0)</f>
        <v>1</v>
      </c>
      <c r="E7310" s="1">
        <f>IF(Tabela1[[#This Row],[promien]]=40000,1,0)</f>
        <v>0</v>
      </c>
      <c r="F7310" s="1">
        <v>3.1644322845417237</v>
      </c>
      <c r="G7310" s="1">
        <v>2.2839630951930534E-2</v>
      </c>
    </row>
    <row r="7311" spans="1:7">
      <c r="A7311">
        <v>44</v>
      </c>
      <c r="B7311">
        <v>2</v>
      </c>
      <c r="C7311" s="1">
        <f>(Tabela1[[#This Row],[x]]-H$3)*(Tabela1[[#This Row],[x]]-H$3) +(Tabela1[[#This Row],[y]]-H$4)*(Tabela1[[#This Row],[y]]-H$4)</f>
        <v>63540</v>
      </c>
      <c r="D7311" s="1">
        <f>IF(Tabela1[[#This Row],[promien]]&lt;40000,1,0)</f>
        <v>0</v>
      </c>
      <c r="E7311" s="1">
        <f>IF(Tabela1[[#This Row],[promien]]=40000,1,0)</f>
        <v>0</v>
      </c>
      <c r="F7311" s="1">
        <v>3.163999452879223</v>
      </c>
      <c r="G7311" s="1">
        <v>2.2406799289429902E-2</v>
      </c>
    </row>
    <row r="7312" spans="1:7">
      <c r="A7312">
        <v>126</v>
      </c>
      <c r="B7312">
        <v>179</v>
      </c>
      <c r="C7312" s="1">
        <f>(Tabela1[[#This Row],[x]]-H$3)*(Tabela1[[#This Row],[x]]-H$3) +(Tabela1[[#This Row],[y]]-H$4)*(Tabela1[[#This Row],[y]]-H$4)</f>
        <v>5917</v>
      </c>
      <c r="D7312" s="1">
        <f>IF(Tabela1[[#This Row],[promien]]&lt;40000,1,0)</f>
        <v>1</v>
      </c>
      <c r="E7312" s="1">
        <f>IF(Tabela1[[#This Row],[promien]]=40000,1,0)</f>
        <v>0</v>
      </c>
      <c r="F7312" s="1">
        <v>3.1641137855579871</v>
      </c>
      <c r="G7312" s="1">
        <v>2.2521131968193941E-2</v>
      </c>
    </row>
    <row r="7313" spans="1:7">
      <c r="A7313">
        <v>354</v>
      </c>
      <c r="B7313">
        <v>51</v>
      </c>
      <c r="C7313" s="1">
        <f>(Tabela1[[#This Row],[x]]-H$3)*(Tabela1[[#This Row],[x]]-H$3) +(Tabela1[[#This Row],[y]]-H$4)*(Tabela1[[#This Row],[y]]-H$4)</f>
        <v>45917</v>
      </c>
      <c r="D7313" s="1">
        <f>IF(Tabela1[[#This Row],[promien]]&lt;40000,1,0)</f>
        <v>0</v>
      </c>
      <c r="E7313" s="1">
        <f>IF(Tabela1[[#This Row],[promien]]=40000,1,0)</f>
        <v>0</v>
      </c>
      <c r="F7313" s="1">
        <v>3.1636811158211406</v>
      </c>
      <c r="G7313" s="1">
        <v>2.2088462231347528E-2</v>
      </c>
    </row>
    <row r="7314" spans="1:7">
      <c r="A7314">
        <v>11</v>
      </c>
      <c r="B7314">
        <v>87</v>
      </c>
      <c r="C7314" s="1">
        <f>(Tabela1[[#This Row],[x]]-H$3)*(Tabela1[[#This Row],[x]]-H$3) +(Tabela1[[#This Row],[y]]-H$4)*(Tabela1[[#This Row],[y]]-H$4)</f>
        <v>48490</v>
      </c>
      <c r="D7314" s="1">
        <f>IF(Tabela1[[#This Row],[promien]]&lt;40000,1,0)</f>
        <v>0</v>
      </c>
      <c r="E7314" s="1">
        <f>IF(Tabela1[[#This Row],[promien]]=40000,1,0)</f>
        <v>0</v>
      </c>
      <c r="F7314" s="1">
        <v>3.1632485643970467</v>
      </c>
      <c r="G7314" s="1">
        <v>2.1655910807253598E-2</v>
      </c>
    </row>
    <row r="7315" spans="1:7">
      <c r="A7315">
        <v>342</v>
      </c>
      <c r="B7315">
        <v>102</v>
      </c>
      <c r="C7315" s="1">
        <f>(Tabela1[[#This Row],[x]]-H$3)*(Tabela1[[#This Row],[x]]-H$3) +(Tabela1[[#This Row],[y]]-H$4)*(Tabela1[[#This Row],[y]]-H$4)</f>
        <v>29768</v>
      </c>
      <c r="D7315" s="1">
        <f>IF(Tabela1[[#This Row],[promien]]&lt;40000,1,0)</f>
        <v>1</v>
      </c>
      <c r="E7315" s="1">
        <f>IF(Tabela1[[#This Row],[promien]]=40000,1,0)</f>
        <v>0</v>
      </c>
      <c r="F7315" s="1">
        <v>3.1633629528366369</v>
      </c>
      <c r="G7315" s="1">
        <v>2.1770299246843816E-2</v>
      </c>
    </row>
    <row r="7316" spans="1:7">
      <c r="A7316">
        <v>90</v>
      </c>
      <c r="B7316">
        <v>268</v>
      </c>
      <c r="C7316" s="1">
        <f>(Tabela1[[#This Row],[x]]-H$3)*(Tabela1[[#This Row],[x]]-H$3) +(Tabela1[[#This Row],[y]]-H$4)*(Tabela1[[#This Row],[y]]-H$4)</f>
        <v>16724</v>
      </c>
      <c r="D7316" s="1">
        <f>IF(Tabela1[[#This Row],[promien]]&lt;40000,1,0)</f>
        <v>1</v>
      </c>
      <c r="E7316" s="1">
        <f>IF(Tabela1[[#This Row],[promien]]=40000,1,0)</f>
        <v>0</v>
      </c>
      <c r="F7316" s="1">
        <v>3.1634773100054674</v>
      </c>
      <c r="G7316" s="1">
        <v>2.1884656415674275E-2</v>
      </c>
    </row>
    <row r="7317" spans="1:7">
      <c r="A7317">
        <v>311</v>
      </c>
      <c r="B7317">
        <v>16</v>
      </c>
      <c r="C7317" s="1">
        <f>(Tabela1[[#This Row],[x]]-H$3)*(Tabela1[[#This Row],[x]]-H$3) +(Tabela1[[#This Row],[y]]-H$4)*(Tabela1[[#This Row],[y]]-H$4)</f>
        <v>46177</v>
      </c>
      <c r="D7317" s="1">
        <f>IF(Tabela1[[#This Row],[promien]]&lt;40000,1,0)</f>
        <v>0</v>
      </c>
      <c r="E7317" s="1">
        <f>IF(Tabela1[[#This Row],[promien]]=40000,1,0)</f>
        <v>0</v>
      </c>
      <c r="F7317" s="1">
        <v>3.163044963782971</v>
      </c>
      <c r="G7317" s="1">
        <v>2.1452310193177837E-2</v>
      </c>
    </row>
    <row r="7318" spans="1:7">
      <c r="A7318">
        <v>338</v>
      </c>
      <c r="B7318">
        <v>12</v>
      </c>
      <c r="C7318" s="1">
        <f>(Tabela1[[#This Row],[x]]-H$3)*(Tabela1[[#This Row],[x]]-H$3) +(Tabela1[[#This Row],[y]]-H$4)*(Tabela1[[#This Row],[y]]-H$4)</f>
        <v>54388</v>
      </c>
      <c r="D7318" s="1">
        <f>IF(Tabela1[[#This Row],[promien]]&lt;40000,1,0)</f>
        <v>0</v>
      </c>
      <c r="E7318" s="1">
        <f>IF(Tabela1[[#This Row],[promien]]=40000,1,0)</f>
        <v>0</v>
      </c>
      <c r="F7318" s="1">
        <v>3.1626127357201419</v>
      </c>
      <c r="G7318" s="1">
        <v>2.1020082130348783E-2</v>
      </c>
    </row>
    <row r="7319" spans="1:7">
      <c r="A7319">
        <v>366</v>
      </c>
      <c r="B7319">
        <v>240</v>
      </c>
      <c r="C7319" s="1">
        <f>(Tabela1[[#This Row],[x]]-H$3)*(Tabela1[[#This Row],[x]]-H$3) +(Tabela1[[#This Row],[y]]-H$4)*(Tabela1[[#This Row],[y]]-H$4)</f>
        <v>29156</v>
      </c>
      <c r="D7319" s="1">
        <f>IF(Tabela1[[#This Row],[promien]]&lt;40000,1,0)</f>
        <v>1</v>
      </c>
      <c r="E7319" s="1">
        <f>IF(Tabela1[[#This Row],[promien]]=40000,1,0)</f>
        <v>0</v>
      </c>
      <c r="F7319" s="1">
        <v>3.1627271485175572</v>
      </c>
      <c r="G7319" s="1">
        <v>2.1134494927764091E-2</v>
      </c>
    </row>
    <row r="7320" spans="1:7">
      <c r="A7320">
        <v>129</v>
      </c>
      <c r="B7320">
        <v>69</v>
      </c>
      <c r="C7320" s="1">
        <f>(Tabela1[[#This Row],[x]]-H$3)*(Tabela1[[#This Row],[x]]-H$3) +(Tabela1[[#This Row],[y]]-H$4)*(Tabela1[[#This Row],[y]]-H$4)</f>
        <v>22202</v>
      </c>
      <c r="D7320" s="1">
        <f>IF(Tabela1[[#This Row],[promien]]&lt;40000,1,0)</f>
        <v>1</v>
      </c>
      <c r="E7320" s="1">
        <f>IF(Tabela1[[#This Row],[promien]]=40000,1,0)</f>
        <v>0</v>
      </c>
      <c r="F7320" s="1">
        <v>3.1628415300546449</v>
      </c>
      <c r="G7320" s="1">
        <v>2.124887646485174E-2</v>
      </c>
    </row>
    <row r="7321" spans="1:7">
      <c r="A7321">
        <v>280</v>
      </c>
      <c r="B7321">
        <v>208</v>
      </c>
      <c r="C7321" s="1">
        <f>(Tabela1[[#This Row],[x]]-H$3)*(Tabela1[[#This Row],[x]]-H$3) +(Tabela1[[#This Row],[y]]-H$4)*(Tabela1[[#This Row],[y]]-H$4)</f>
        <v>6464</v>
      </c>
      <c r="D7321" s="1">
        <f>IF(Tabela1[[#This Row],[promien]]&lt;40000,1,0)</f>
        <v>1</v>
      </c>
      <c r="E7321" s="1">
        <f>IF(Tabela1[[#This Row],[promien]]=40000,1,0)</f>
        <v>0</v>
      </c>
      <c r="F7321" s="1">
        <v>3.1629558803442155</v>
      </c>
      <c r="G7321" s="1">
        <v>2.1363226754422371E-2</v>
      </c>
    </row>
    <row r="7322" spans="1:7">
      <c r="A7322">
        <v>145</v>
      </c>
      <c r="B7322">
        <v>355</v>
      </c>
      <c r="C7322" s="1">
        <f>(Tabela1[[#This Row],[x]]-H$3)*(Tabela1[[#This Row],[x]]-H$3) +(Tabela1[[#This Row],[y]]-H$4)*(Tabela1[[#This Row],[y]]-H$4)</f>
        <v>27050</v>
      </c>
      <c r="D7322" s="1">
        <f>IF(Tabela1[[#This Row],[promien]]&lt;40000,1,0)</f>
        <v>1</v>
      </c>
      <c r="E7322" s="1">
        <f>IF(Tabela1[[#This Row],[promien]]=40000,1,0)</f>
        <v>0</v>
      </c>
      <c r="F7322" s="1">
        <v>3.1630701993990713</v>
      </c>
      <c r="G7322" s="1">
        <v>2.1477545809278187E-2</v>
      </c>
    </row>
    <row r="7323" spans="1:7">
      <c r="A7323">
        <v>1</v>
      </c>
      <c r="B7323">
        <v>282</v>
      </c>
      <c r="C7323" s="1">
        <f>(Tabela1[[#This Row],[x]]-H$3)*(Tabela1[[#This Row],[x]]-H$3) +(Tabela1[[#This Row],[y]]-H$4)*(Tabela1[[#This Row],[y]]-H$4)</f>
        <v>46325</v>
      </c>
      <c r="D7323" s="1">
        <f>IF(Tabela1[[#This Row],[promien]]&lt;40000,1,0)</f>
        <v>0</v>
      </c>
      <c r="E7323" s="1">
        <f>IF(Tabela1[[#This Row],[promien]]=40000,1,0)</f>
        <v>0</v>
      </c>
      <c r="F7323" s="1">
        <v>3.1626382630069645</v>
      </c>
      <c r="G7323" s="1">
        <v>2.1045609417171374E-2</v>
      </c>
    </row>
    <row r="7324" spans="1:7">
      <c r="A7324">
        <v>132</v>
      </c>
      <c r="B7324">
        <v>104</v>
      </c>
      <c r="C7324" s="1">
        <f>(Tabela1[[#This Row],[x]]-H$3)*(Tabela1[[#This Row],[x]]-H$3) +(Tabela1[[#This Row],[y]]-H$4)*(Tabela1[[#This Row],[y]]-H$4)</f>
        <v>13840</v>
      </c>
      <c r="D7324" s="1">
        <f>IF(Tabela1[[#This Row],[promien]]&lt;40000,1,0)</f>
        <v>1</v>
      </c>
      <c r="E7324" s="1">
        <f>IF(Tabela1[[#This Row],[promien]]=40000,1,0)</f>
        <v>0</v>
      </c>
      <c r="F7324" s="1">
        <v>3.1627525942108137</v>
      </c>
      <c r="G7324" s="1">
        <v>2.1159940621020557E-2</v>
      </c>
    </row>
    <row r="7325" spans="1:7">
      <c r="A7325">
        <v>82</v>
      </c>
      <c r="B7325">
        <v>205</v>
      </c>
      <c r="C7325" s="1">
        <f>(Tabela1[[#This Row],[x]]-H$3)*(Tabela1[[#This Row],[x]]-H$3) +(Tabela1[[#This Row],[y]]-H$4)*(Tabela1[[#This Row],[y]]-H$4)</f>
        <v>13949</v>
      </c>
      <c r="D7325" s="1">
        <f>IF(Tabela1[[#This Row],[promien]]&lt;40000,1,0)</f>
        <v>1</v>
      </c>
      <c r="E7325" s="1">
        <f>IF(Tabela1[[#This Row],[promien]]=40000,1,0)</f>
        <v>0</v>
      </c>
      <c r="F7325" s="1">
        <v>3.1628668941979523</v>
      </c>
      <c r="G7325" s="1">
        <v>2.1274240608159189E-2</v>
      </c>
    </row>
    <row r="7326" spans="1:7">
      <c r="A7326">
        <v>206</v>
      </c>
      <c r="B7326">
        <v>245</v>
      </c>
      <c r="C7326" s="1">
        <f>(Tabela1[[#This Row],[x]]-H$3)*(Tabela1[[#This Row],[x]]-H$3) +(Tabela1[[#This Row],[y]]-H$4)*(Tabela1[[#This Row],[y]]-H$4)</f>
        <v>2061</v>
      </c>
      <c r="D7326" s="1">
        <f>IF(Tabela1[[#This Row],[promien]]&lt;40000,1,0)</f>
        <v>1</v>
      </c>
      <c r="E7326" s="1">
        <f>IF(Tabela1[[#This Row],[promien]]=40000,1,0)</f>
        <v>0</v>
      </c>
      <c r="F7326" s="1">
        <v>3.1629811629811631</v>
      </c>
      <c r="G7326" s="1">
        <v>2.1388509391369936E-2</v>
      </c>
    </row>
    <row r="7327" spans="1:7">
      <c r="A7327">
        <v>331</v>
      </c>
      <c r="B7327">
        <v>14</v>
      </c>
      <c r="C7327" s="1">
        <f>(Tabela1[[#This Row],[x]]-H$3)*(Tabela1[[#This Row],[x]]-H$3) +(Tabela1[[#This Row],[y]]-H$4)*(Tabela1[[#This Row],[y]]-H$4)</f>
        <v>51757</v>
      </c>
      <c r="D7327" s="1">
        <f>IF(Tabela1[[#This Row],[promien]]&lt;40000,1,0)</f>
        <v>0</v>
      </c>
      <c r="E7327" s="1">
        <f>IF(Tabela1[[#This Row],[promien]]=40000,1,0)</f>
        <v>0</v>
      </c>
      <c r="F7327" s="1">
        <v>3.1625494745461991</v>
      </c>
      <c r="G7327" s="1">
        <v>2.0956820956405942E-2</v>
      </c>
    </row>
    <row r="7328" spans="1:7">
      <c r="A7328">
        <v>25</v>
      </c>
      <c r="B7328">
        <v>188</v>
      </c>
      <c r="C7328" s="1">
        <f>(Tabela1[[#This Row],[x]]-H$3)*(Tabela1[[#This Row],[x]]-H$3) +(Tabela1[[#This Row],[y]]-H$4)*(Tabela1[[#This Row],[y]]-H$4)</f>
        <v>30769</v>
      </c>
      <c r="D7328" s="1">
        <f>IF(Tabela1[[#This Row],[promien]]&lt;40000,1,0)</f>
        <v>1</v>
      </c>
      <c r="E7328" s="1">
        <f>IF(Tabela1[[#This Row],[promien]]=40000,1,0)</f>
        <v>0</v>
      </c>
      <c r="F7328" s="1">
        <v>3.1626637554585151</v>
      </c>
      <c r="G7328" s="1">
        <v>2.1071101868721964E-2</v>
      </c>
    </row>
    <row r="7329" spans="1:7">
      <c r="A7329">
        <v>352</v>
      </c>
      <c r="B7329">
        <v>260</v>
      </c>
      <c r="C7329" s="1">
        <f>(Tabela1[[#This Row],[x]]-H$3)*(Tabela1[[#This Row],[x]]-H$3) +(Tabela1[[#This Row],[y]]-H$4)*(Tabela1[[#This Row],[y]]-H$4)</f>
        <v>26704</v>
      </c>
      <c r="D7329" s="1">
        <f>IF(Tabela1[[#This Row],[promien]]&lt;40000,1,0)</f>
        <v>1</v>
      </c>
      <c r="E7329" s="1">
        <f>IF(Tabela1[[#This Row],[promien]]=40000,1,0)</f>
        <v>0</v>
      </c>
      <c r="F7329" s="1">
        <v>3.1627780051848822</v>
      </c>
      <c r="G7329" s="1">
        <v>2.1185351595089053E-2</v>
      </c>
    </row>
    <row r="7330" spans="1:7">
      <c r="A7330">
        <v>271</v>
      </c>
      <c r="B7330">
        <v>162</v>
      </c>
      <c r="C7330" s="1">
        <f>(Tabela1[[#This Row],[x]]-H$3)*(Tabela1[[#This Row],[x]]-H$3) +(Tabela1[[#This Row],[y]]-H$4)*(Tabela1[[#This Row],[y]]-H$4)</f>
        <v>6485</v>
      </c>
      <c r="D7330" s="1">
        <f>IF(Tabela1[[#This Row],[promien]]&lt;40000,1,0)</f>
        <v>1</v>
      </c>
      <c r="E7330" s="1">
        <f>IF(Tabela1[[#This Row],[promien]]=40000,1,0)</f>
        <v>0</v>
      </c>
      <c r="F7330" s="1">
        <v>3.1628922237380626</v>
      </c>
      <c r="G7330" s="1">
        <v>2.1299570148269442E-2</v>
      </c>
    </row>
    <row r="7331" spans="1:7">
      <c r="A7331">
        <v>3</v>
      </c>
      <c r="B7331">
        <v>166</v>
      </c>
      <c r="C7331" s="1">
        <f>(Tabela1[[#This Row],[x]]-H$3)*(Tabela1[[#This Row],[x]]-H$3) +(Tabela1[[#This Row],[y]]-H$4)*(Tabela1[[#This Row],[y]]-H$4)</f>
        <v>39965</v>
      </c>
      <c r="D7331" s="1">
        <f>IF(Tabela1[[#This Row],[promien]]&lt;40000,1,0)</f>
        <v>1</v>
      </c>
      <c r="E7331" s="1">
        <f>IF(Tabela1[[#This Row],[promien]]=40000,1,0)</f>
        <v>0</v>
      </c>
      <c r="F7331" s="1">
        <v>3.1630064111308145</v>
      </c>
      <c r="G7331" s="1">
        <v>2.1413757541021372E-2</v>
      </c>
    </row>
    <row r="7332" spans="1:7">
      <c r="A7332">
        <v>188</v>
      </c>
      <c r="B7332">
        <v>390</v>
      </c>
      <c r="C7332" s="1">
        <f>(Tabela1[[#This Row],[x]]-H$3)*(Tabela1[[#This Row],[x]]-H$3) +(Tabela1[[#This Row],[y]]-H$4)*(Tabela1[[#This Row],[y]]-H$4)</f>
        <v>36244</v>
      </c>
      <c r="D7332" s="1">
        <f>IF(Tabela1[[#This Row],[promien]]&lt;40000,1,0)</f>
        <v>1</v>
      </c>
      <c r="E7332" s="1">
        <f>IF(Tabela1[[#This Row],[promien]]=40000,1,0)</f>
        <v>0</v>
      </c>
      <c r="F7332" s="1">
        <v>3.1631205673758864</v>
      </c>
      <c r="G7332" s="1">
        <v>2.1527913786093311E-2</v>
      </c>
    </row>
    <row r="7333" spans="1:7">
      <c r="A7333">
        <v>374</v>
      </c>
      <c r="B7333">
        <v>163</v>
      </c>
      <c r="C7333" s="1">
        <f>(Tabela1[[#This Row],[x]]-H$3)*(Tabela1[[#This Row],[x]]-H$3) +(Tabela1[[#This Row],[y]]-H$4)*(Tabela1[[#This Row],[y]]-H$4)</f>
        <v>31645</v>
      </c>
      <c r="D7333" s="1">
        <f>IF(Tabela1[[#This Row],[promien]]&lt;40000,1,0)</f>
        <v>1</v>
      </c>
      <c r="E7333" s="1">
        <f>IF(Tabela1[[#This Row],[promien]]=40000,1,0)</f>
        <v>0</v>
      </c>
      <c r="F7333" s="1">
        <v>3.163234692486022</v>
      </c>
      <c r="G7333" s="1">
        <v>2.1642038896228843E-2</v>
      </c>
    </row>
    <row r="7334" spans="1:7">
      <c r="A7334">
        <v>339</v>
      </c>
      <c r="B7334">
        <v>38</v>
      </c>
      <c r="C7334" s="1">
        <f>(Tabela1[[#This Row],[x]]-H$3)*(Tabela1[[#This Row],[x]]-H$3) +(Tabela1[[#This Row],[y]]-H$4)*(Tabela1[[#This Row],[y]]-H$4)</f>
        <v>45565</v>
      </c>
      <c r="D7334" s="1">
        <f>IF(Tabela1[[#This Row],[promien]]&lt;40000,1,0)</f>
        <v>0</v>
      </c>
      <c r="E7334" s="1">
        <f>IF(Tabela1[[#This Row],[promien]]=40000,1,0)</f>
        <v>0</v>
      </c>
      <c r="F7334" s="1">
        <v>3.1628033815107717</v>
      </c>
      <c r="G7334" s="1">
        <v>2.1210727920978556E-2</v>
      </c>
    </row>
    <row r="7335" spans="1:7">
      <c r="A7335">
        <v>171</v>
      </c>
      <c r="B7335">
        <v>183</v>
      </c>
      <c r="C7335" s="1">
        <f>(Tabela1[[#This Row],[x]]-H$3)*(Tabela1[[#This Row],[x]]-H$3) +(Tabela1[[#This Row],[y]]-H$4)*(Tabela1[[#This Row],[y]]-H$4)</f>
        <v>1130</v>
      </c>
      <c r="D7335" s="1">
        <f>IF(Tabela1[[#This Row],[promien]]&lt;40000,1,0)</f>
        <v>1</v>
      </c>
      <c r="E7335" s="1">
        <f>IF(Tabela1[[#This Row],[promien]]=40000,1,0)</f>
        <v>0</v>
      </c>
      <c r="F7335" s="1">
        <v>3.1629175187457395</v>
      </c>
      <c r="G7335" s="1">
        <v>2.1324865155946338E-2</v>
      </c>
    </row>
    <row r="7336" spans="1:7">
      <c r="A7336">
        <v>0</v>
      </c>
      <c r="B7336">
        <v>41</v>
      </c>
      <c r="C7336" s="1">
        <f>(Tabela1[[#This Row],[x]]-H$3)*(Tabela1[[#This Row],[x]]-H$3) +(Tabela1[[#This Row],[y]]-H$4)*(Tabela1[[#This Row],[y]]-H$4)</f>
        <v>65281</v>
      </c>
      <c r="D7336" s="1">
        <f>IF(Tabela1[[#This Row],[promien]]&lt;40000,1,0)</f>
        <v>0</v>
      </c>
      <c r="E7336" s="1">
        <f>IF(Tabela1[[#This Row],[promien]]=40000,1,0)</f>
        <v>0</v>
      </c>
      <c r="F7336" s="1">
        <v>3.162486368593239</v>
      </c>
      <c r="G7336" s="1">
        <v>2.0893715003445834E-2</v>
      </c>
    </row>
    <row r="7337" spans="1:7">
      <c r="A7337">
        <v>244</v>
      </c>
      <c r="B7337">
        <v>84</v>
      </c>
      <c r="C7337" s="1">
        <f>(Tabela1[[#This Row],[x]]-H$3)*(Tabela1[[#This Row],[x]]-H$3) +(Tabela1[[#This Row],[y]]-H$4)*(Tabela1[[#This Row],[y]]-H$4)</f>
        <v>15392</v>
      </c>
      <c r="D7337" s="1">
        <f>IF(Tabela1[[#This Row],[promien]]&lt;40000,1,0)</f>
        <v>1</v>
      </c>
      <c r="E7337" s="1">
        <f>IF(Tabela1[[#This Row],[promien]]=40000,1,0)</f>
        <v>0</v>
      </c>
      <c r="F7337" s="1">
        <v>3.1626005179228569</v>
      </c>
      <c r="G7337" s="1">
        <v>2.1007864333063786E-2</v>
      </c>
    </row>
    <row r="7338" spans="1:7">
      <c r="A7338">
        <v>329</v>
      </c>
      <c r="B7338">
        <v>296</v>
      </c>
      <c r="C7338" s="1">
        <f>(Tabela1[[#This Row],[x]]-H$3)*(Tabela1[[#This Row],[x]]-H$3) +(Tabela1[[#This Row],[y]]-H$4)*(Tabela1[[#This Row],[y]]-H$4)</f>
        <v>25857</v>
      </c>
      <c r="D7338" s="1">
        <f>IF(Tabela1[[#This Row],[promien]]&lt;40000,1,0)</f>
        <v>1</v>
      </c>
      <c r="E7338" s="1">
        <f>IF(Tabela1[[#This Row],[promien]]=40000,1,0)</f>
        <v>0</v>
      </c>
      <c r="F7338" s="1">
        <v>3.1627146361406377</v>
      </c>
      <c r="G7338" s="1">
        <v>2.1121982550844631E-2</v>
      </c>
    </row>
    <row r="7339" spans="1:7">
      <c r="A7339">
        <v>9</v>
      </c>
      <c r="B7339">
        <v>349</v>
      </c>
      <c r="C7339" s="1">
        <f>(Tabela1[[#This Row],[x]]-H$3)*(Tabela1[[#This Row],[x]]-H$3) +(Tabela1[[#This Row],[y]]-H$4)*(Tabela1[[#This Row],[y]]-H$4)</f>
        <v>58682</v>
      </c>
      <c r="D7339" s="1">
        <f>IF(Tabela1[[#This Row],[promien]]&lt;40000,1,0)</f>
        <v>0</v>
      </c>
      <c r="E7339" s="1">
        <f>IF(Tabela1[[#This Row],[promien]]=40000,1,0)</f>
        <v>0</v>
      </c>
      <c r="F7339" s="1">
        <v>3.1622836898760047</v>
      </c>
      <c r="G7339" s="1">
        <v>2.0691036286211606E-2</v>
      </c>
    </row>
    <row r="7340" spans="1:7">
      <c r="A7340">
        <v>219</v>
      </c>
      <c r="B7340">
        <v>137</v>
      </c>
      <c r="C7340" s="1">
        <f>(Tabela1[[#This Row],[x]]-H$3)*(Tabela1[[#This Row],[x]]-H$3) +(Tabela1[[#This Row],[y]]-H$4)*(Tabela1[[#This Row],[y]]-H$4)</f>
        <v>4330</v>
      </c>
      <c r="D7340" s="1">
        <f>IF(Tabela1[[#This Row],[promien]]&lt;40000,1,0)</f>
        <v>1</v>
      </c>
      <c r="E7340" s="1">
        <f>IF(Tabela1[[#This Row],[promien]]=40000,1,0)</f>
        <v>0</v>
      </c>
      <c r="F7340" s="1">
        <v>3.1623978201634877</v>
      </c>
      <c r="G7340" s="1">
        <v>2.0805166573694578E-2</v>
      </c>
    </row>
    <row r="7341" spans="1:7">
      <c r="A7341">
        <v>280</v>
      </c>
      <c r="B7341">
        <v>272</v>
      </c>
      <c r="C7341" s="1">
        <f>(Tabela1[[#This Row],[x]]-H$3)*(Tabela1[[#This Row],[x]]-H$3) +(Tabela1[[#This Row],[y]]-H$4)*(Tabela1[[#This Row],[y]]-H$4)</f>
        <v>11584</v>
      </c>
      <c r="D7341" s="1">
        <f>IF(Tabela1[[#This Row],[promien]]&lt;40000,1,0)</f>
        <v>1</v>
      </c>
      <c r="E7341" s="1">
        <f>IF(Tabela1[[#This Row],[promien]]=40000,1,0)</f>
        <v>0</v>
      </c>
      <c r="F7341" s="1">
        <v>3.1625119193570357</v>
      </c>
      <c r="G7341" s="1">
        <v>2.0919265767242567E-2</v>
      </c>
    </row>
    <row r="7342" spans="1:7">
      <c r="A7342">
        <v>323</v>
      </c>
      <c r="B7342">
        <v>375</v>
      </c>
      <c r="C7342" s="1">
        <f>(Tabela1[[#This Row],[x]]-H$3)*(Tabela1[[#This Row],[x]]-H$3) +(Tabela1[[#This Row],[y]]-H$4)*(Tabela1[[#This Row],[y]]-H$4)</f>
        <v>45754</v>
      </c>
      <c r="D7342" s="1">
        <f>IF(Tabela1[[#This Row],[promien]]&lt;40000,1,0)</f>
        <v>0</v>
      </c>
      <c r="E7342" s="1">
        <f>IF(Tabela1[[#This Row],[promien]]=40000,1,0)</f>
        <v>0</v>
      </c>
      <c r="F7342" s="1">
        <v>3.162081176791065</v>
      </c>
      <c r="G7342" s="1">
        <v>2.0488523201271924E-2</v>
      </c>
    </row>
    <row r="7343" spans="1:7">
      <c r="A7343">
        <v>160</v>
      </c>
      <c r="B7343">
        <v>250</v>
      </c>
      <c r="C7343" s="1">
        <f>(Tabela1[[#This Row],[x]]-H$3)*(Tabela1[[#This Row],[x]]-H$3) +(Tabela1[[#This Row],[y]]-H$4)*(Tabela1[[#This Row],[y]]-H$4)</f>
        <v>4100</v>
      </c>
      <c r="D7343" s="1">
        <f>IF(Tabela1[[#This Row],[promien]]&lt;40000,1,0)</f>
        <v>1</v>
      </c>
      <c r="E7343" s="1">
        <f>IF(Tabela1[[#This Row],[promien]]=40000,1,0)</f>
        <v>0</v>
      </c>
      <c r="F7343" s="1">
        <v>3.162195288029416</v>
      </c>
      <c r="G7343" s="1">
        <v>2.0602634439622847E-2</v>
      </c>
    </row>
    <row r="7344" spans="1:7">
      <c r="A7344">
        <v>145</v>
      </c>
      <c r="B7344">
        <v>333</v>
      </c>
      <c r="C7344" s="1">
        <f>(Tabela1[[#This Row],[x]]-H$3)*(Tabela1[[#This Row],[x]]-H$3) +(Tabela1[[#This Row],[y]]-H$4)*(Tabela1[[#This Row],[y]]-H$4)</f>
        <v>20714</v>
      </c>
      <c r="D7344" s="1">
        <f>IF(Tabela1[[#This Row],[promien]]&lt;40000,1,0)</f>
        <v>1</v>
      </c>
      <c r="E7344" s="1">
        <f>IF(Tabela1[[#This Row],[promien]]=40000,1,0)</f>
        <v>0</v>
      </c>
      <c r="F7344" s="1">
        <v>3.1623093681917211</v>
      </c>
      <c r="G7344" s="1">
        <v>2.0716714601928032E-2</v>
      </c>
    </row>
    <row r="7345" spans="1:7">
      <c r="A7345">
        <v>168</v>
      </c>
      <c r="B7345">
        <v>257</v>
      </c>
      <c r="C7345" s="1">
        <f>(Tabela1[[#This Row],[x]]-H$3)*(Tabela1[[#This Row],[x]]-H$3) +(Tabela1[[#This Row],[y]]-H$4)*(Tabela1[[#This Row],[y]]-H$4)</f>
        <v>4273</v>
      </c>
      <c r="D7345" s="1">
        <f>IF(Tabela1[[#This Row],[promien]]&lt;40000,1,0)</f>
        <v>1</v>
      </c>
      <c r="E7345" s="1">
        <f>IF(Tabela1[[#This Row],[promien]]=40000,1,0)</f>
        <v>0</v>
      </c>
      <c r="F7345" s="1">
        <v>3.162423417290674</v>
      </c>
      <c r="G7345" s="1">
        <v>2.0830763700880883E-2</v>
      </c>
    </row>
    <row r="7346" spans="1:7">
      <c r="A7346">
        <v>16</v>
      </c>
      <c r="B7346">
        <v>230</v>
      </c>
      <c r="C7346" s="1">
        <f>(Tabela1[[#This Row],[x]]-H$3)*(Tabela1[[#This Row],[x]]-H$3) +(Tabela1[[#This Row],[y]]-H$4)*(Tabela1[[#This Row],[y]]-H$4)</f>
        <v>34756</v>
      </c>
      <c r="D7346" s="1">
        <f>IF(Tabela1[[#This Row],[promien]]&lt;40000,1,0)</f>
        <v>1</v>
      </c>
      <c r="E7346" s="1">
        <f>IF(Tabela1[[#This Row],[promien]]=40000,1,0)</f>
        <v>0</v>
      </c>
      <c r="F7346" s="1">
        <v>3.1625374353389599</v>
      </c>
      <c r="G7346" s="1">
        <v>2.0944781749166808E-2</v>
      </c>
    </row>
    <row r="7347" spans="1:7">
      <c r="A7347">
        <v>197</v>
      </c>
      <c r="B7347">
        <v>122</v>
      </c>
      <c r="C7347" s="1">
        <f>(Tabela1[[#This Row],[x]]-H$3)*(Tabela1[[#This Row],[x]]-H$3) +(Tabela1[[#This Row],[y]]-H$4)*(Tabela1[[#This Row],[y]]-H$4)</f>
        <v>6093</v>
      </c>
      <c r="D7347" s="1">
        <f>IF(Tabela1[[#This Row],[promien]]&lt;40000,1,0)</f>
        <v>1</v>
      </c>
      <c r="E7347" s="1">
        <f>IF(Tabela1[[#This Row],[promien]]=40000,1,0)</f>
        <v>0</v>
      </c>
      <c r="F7347" s="1">
        <v>3.1626514223492581</v>
      </c>
      <c r="G7347" s="1">
        <v>2.1058768759464996E-2</v>
      </c>
    </row>
    <row r="7348" spans="1:7">
      <c r="A7348">
        <v>184</v>
      </c>
      <c r="B7348">
        <v>306</v>
      </c>
      <c r="C7348" s="1">
        <f>(Tabela1[[#This Row],[x]]-H$3)*(Tabela1[[#This Row],[x]]-H$3) +(Tabela1[[#This Row],[y]]-H$4)*(Tabela1[[#This Row],[y]]-H$4)</f>
        <v>11492</v>
      </c>
      <c r="D7348" s="1">
        <f>IF(Tabela1[[#This Row],[promien]]&lt;40000,1,0)</f>
        <v>1</v>
      </c>
      <c r="E7348" s="1">
        <f>IF(Tabela1[[#This Row],[promien]]=40000,1,0)</f>
        <v>0</v>
      </c>
      <c r="F7348" s="1">
        <v>3.1627653783342407</v>
      </c>
      <c r="G7348" s="1">
        <v>2.1172724744447535E-2</v>
      </c>
    </row>
    <row r="7349" spans="1:7">
      <c r="A7349">
        <v>99</v>
      </c>
      <c r="B7349">
        <v>329</v>
      </c>
      <c r="C7349" s="1">
        <f>(Tabela1[[#This Row],[x]]-H$3)*(Tabela1[[#This Row],[x]]-H$3) +(Tabela1[[#This Row],[y]]-H$4)*(Tabela1[[#This Row],[y]]-H$4)</f>
        <v>26842</v>
      </c>
      <c r="D7349" s="1">
        <f>IF(Tabela1[[#This Row],[promien]]&lt;40000,1,0)</f>
        <v>1</v>
      </c>
      <c r="E7349" s="1">
        <f>IF(Tabela1[[#This Row],[promien]]=40000,1,0)</f>
        <v>0</v>
      </c>
      <c r="F7349" s="1">
        <v>3.1628793033065725</v>
      </c>
      <c r="G7349" s="1">
        <v>2.1286649716779404E-2</v>
      </c>
    </row>
    <row r="7350" spans="1:7">
      <c r="A7350">
        <v>34</v>
      </c>
      <c r="B7350">
        <v>113</v>
      </c>
      <c r="C7350" s="1">
        <f>(Tabela1[[#This Row],[x]]-H$3)*(Tabela1[[#This Row],[x]]-H$3) +(Tabela1[[#This Row],[y]]-H$4)*(Tabela1[[#This Row],[y]]-H$4)</f>
        <v>35125</v>
      </c>
      <c r="D7350" s="1">
        <f>IF(Tabela1[[#This Row],[promien]]&lt;40000,1,0)</f>
        <v>1</v>
      </c>
      <c r="E7350" s="1">
        <f>IF(Tabela1[[#This Row],[promien]]=40000,1,0)</f>
        <v>0</v>
      </c>
      <c r="F7350" s="1">
        <v>3.1629931972789116</v>
      </c>
      <c r="G7350" s="1">
        <v>2.1400543689118479E-2</v>
      </c>
    </row>
    <row r="7351" spans="1:7">
      <c r="A7351">
        <v>39</v>
      </c>
      <c r="B7351">
        <v>318</v>
      </c>
      <c r="C7351" s="1">
        <f>(Tabela1[[#This Row],[x]]-H$3)*(Tabela1[[#This Row],[x]]-H$3) +(Tabela1[[#This Row],[y]]-H$4)*(Tabela1[[#This Row],[y]]-H$4)</f>
        <v>39845</v>
      </c>
      <c r="D7351" s="1">
        <f>IF(Tabela1[[#This Row],[promien]]&lt;40000,1,0)</f>
        <v>1</v>
      </c>
      <c r="E7351" s="1">
        <f>IF(Tabela1[[#This Row],[promien]]=40000,1,0)</f>
        <v>0</v>
      </c>
      <c r="F7351" s="1">
        <v>3.1631070602639095</v>
      </c>
      <c r="G7351" s="1">
        <v>2.1514406674116415E-2</v>
      </c>
    </row>
    <row r="7352" spans="1:7">
      <c r="A7352">
        <v>25</v>
      </c>
      <c r="B7352">
        <v>59</v>
      </c>
      <c r="C7352" s="1">
        <f>(Tabela1[[#This Row],[x]]-H$3)*(Tabela1[[#This Row],[x]]-H$3) +(Tabela1[[#This Row],[y]]-H$4)*(Tabela1[[#This Row],[y]]-H$4)</f>
        <v>50506</v>
      </c>
      <c r="D7352" s="1">
        <f>IF(Tabela1[[#This Row],[promien]]&lt;40000,1,0)</f>
        <v>0</v>
      </c>
      <c r="E7352" s="1">
        <f>IF(Tabela1[[#This Row],[promien]]=40000,1,0)</f>
        <v>0</v>
      </c>
      <c r="F7352" s="1">
        <v>3.1626768226332969</v>
      </c>
      <c r="G7352" s="1">
        <v>2.1084169043503742E-2</v>
      </c>
    </row>
    <row r="7353" spans="1:7">
      <c r="A7353">
        <v>160</v>
      </c>
      <c r="B7353">
        <v>261</v>
      </c>
      <c r="C7353" s="1">
        <f>(Tabela1[[#This Row],[x]]-H$3)*(Tabela1[[#This Row],[x]]-H$3) +(Tabela1[[#This Row],[y]]-H$4)*(Tabela1[[#This Row],[y]]-H$4)</f>
        <v>5321</v>
      </c>
      <c r="D7353" s="1">
        <f>IF(Tabela1[[#This Row],[promien]]&lt;40000,1,0)</f>
        <v>1</v>
      </c>
      <c r="E7353" s="1">
        <f>IF(Tabela1[[#This Row],[promien]]=40000,1,0)</f>
        <v>0</v>
      </c>
      <c r="F7353" s="1">
        <v>3.1627906976744184</v>
      </c>
      <c r="G7353" s="1">
        <v>2.1198044084625334E-2</v>
      </c>
    </row>
    <row r="7354" spans="1:7">
      <c r="A7354">
        <v>280</v>
      </c>
      <c r="B7354">
        <v>210</v>
      </c>
      <c r="C7354" s="1">
        <f>(Tabela1[[#This Row],[x]]-H$3)*(Tabela1[[#This Row],[x]]-H$3) +(Tabela1[[#This Row],[y]]-H$4)*(Tabela1[[#This Row],[y]]-H$4)</f>
        <v>6500</v>
      </c>
      <c r="D7354" s="1">
        <f>IF(Tabela1[[#This Row],[promien]]&lt;40000,1,0)</f>
        <v>1</v>
      </c>
      <c r="E7354" s="1">
        <f>IF(Tabela1[[#This Row],[promien]]=40000,1,0)</f>
        <v>0</v>
      </c>
      <c r="F7354" s="1">
        <v>3.1629045417459887</v>
      </c>
      <c r="G7354" s="1">
        <v>2.1311888156195558E-2</v>
      </c>
    </row>
    <row r="7355" spans="1:7">
      <c r="A7355">
        <v>117</v>
      </c>
      <c r="B7355">
        <v>266</v>
      </c>
      <c r="C7355" s="1">
        <f>(Tabela1[[#This Row],[x]]-H$3)*(Tabela1[[#This Row],[x]]-H$3) +(Tabela1[[#This Row],[y]]-H$4)*(Tabela1[[#This Row],[y]]-H$4)</f>
        <v>11245</v>
      </c>
      <c r="D7355" s="1">
        <f>IF(Tabela1[[#This Row],[promien]]&lt;40000,1,0)</f>
        <v>1</v>
      </c>
      <c r="E7355" s="1">
        <f>IF(Tabela1[[#This Row],[promien]]=40000,1,0)</f>
        <v>0</v>
      </c>
      <c r="F7355" s="1">
        <v>3.1630183548606392</v>
      </c>
      <c r="G7355" s="1">
        <v>2.1425701270846087E-2</v>
      </c>
    </row>
    <row r="7356" spans="1:7">
      <c r="A7356">
        <v>46</v>
      </c>
      <c r="B7356">
        <v>60</v>
      </c>
      <c r="C7356" s="1">
        <f>(Tabela1[[#This Row],[x]]-H$3)*(Tabela1[[#This Row],[x]]-H$3) +(Tabela1[[#This Row],[y]]-H$4)*(Tabela1[[#This Row],[y]]-H$4)</f>
        <v>43316</v>
      </c>
      <c r="D7356" s="1">
        <f>IF(Tabela1[[#This Row],[promien]]&lt;40000,1,0)</f>
        <v>0</v>
      </c>
      <c r="E7356" s="1">
        <f>IF(Tabela1[[#This Row],[promien]]=40000,1,0)</f>
        <v>0</v>
      </c>
      <c r="F7356" s="1">
        <v>3.162588363240892</v>
      </c>
      <c r="G7356" s="1">
        <v>2.0995709651098871E-2</v>
      </c>
    </row>
    <row r="7357" spans="1:7">
      <c r="A7357">
        <v>385</v>
      </c>
      <c r="B7357">
        <v>91</v>
      </c>
      <c r="C7357" s="1">
        <f>(Tabela1[[#This Row],[x]]-H$3)*(Tabela1[[#This Row],[x]]-H$3) +(Tabela1[[#This Row],[y]]-H$4)*(Tabela1[[#This Row],[y]]-H$4)</f>
        <v>46106</v>
      </c>
      <c r="D7357" s="1">
        <f>IF(Tabela1[[#This Row],[promien]]&lt;40000,1,0)</f>
        <v>0</v>
      </c>
      <c r="E7357" s="1">
        <f>IF(Tabela1[[#This Row],[promien]]=40000,1,0)</f>
        <v>0</v>
      </c>
      <c r="F7357" s="1">
        <v>3.1621584885143399</v>
      </c>
      <c r="G7357" s="1">
        <v>2.0565834924546778E-2</v>
      </c>
    </row>
    <row r="7358" spans="1:7">
      <c r="A7358">
        <v>381</v>
      </c>
      <c r="B7358">
        <v>6</v>
      </c>
      <c r="C7358" s="1">
        <f>(Tabela1[[#This Row],[x]]-H$3)*(Tabela1[[#This Row],[x]]-H$3) +(Tabela1[[#This Row],[y]]-H$4)*(Tabela1[[#This Row],[y]]-H$4)</f>
        <v>70397</v>
      </c>
      <c r="D7358" s="1">
        <f>IF(Tabela1[[#This Row],[promien]]&lt;40000,1,0)</f>
        <v>0</v>
      </c>
      <c r="E7358" s="1">
        <f>IF(Tabela1[[#This Row],[promien]]=40000,1,0)</f>
        <v>0</v>
      </c>
      <c r="F7358" s="1">
        <v>3.1617287306333242</v>
      </c>
      <c r="G7358" s="1">
        <v>2.0136077043531042E-2</v>
      </c>
    </row>
    <row r="7359" spans="1:7">
      <c r="A7359">
        <v>227</v>
      </c>
      <c r="B7359">
        <v>77</v>
      </c>
      <c r="C7359" s="1">
        <f>(Tabela1[[#This Row],[x]]-H$3)*(Tabela1[[#This Row],[x]]-H$3) +(Tabela1[[#This Row],[y]]-H$4)*(Tabela1[[#This Row],[y]]-H$4)</f>
        <v>15858</v>
      </c>
      <c r="D7359" s="1">
        <f>IF(Tabela1[[#This Row],[promien]]&lt;40000,1,0)</f>
        <v>1</v>
      </c>
      <c r="E7359" s="1">
        <f>IF(Tabela1[[#This Row],[promien]]=40000,1,0)</f>
        <v>0</v>
      </c>
      <c r="F7359" s="1">
        <v>3.1618426416632697</v>
      </c>
      <c r="G7359" s="1">
        <v>2.0249988073476555E-2</v>
      </c>
    </row>
    <row r="7360" spans="1:7">
      <c r="A7360">
        <v>170</v>
      </c>
      <c r="B7360">
        <v>6</v>
      </c>
      <c r="C7360" s="1">
        <f>(Tabela1[[#This Row],[x]]-H$3)*(Tabela1[[#This Row],[x]]-H$3) +(Tabela1[[#This Row],[y]]-H$4)*(Tabela1[[#This Row],[y]]-H$4)</f>
        <v>38536</v>
      </c>
      <c r="D7360" s="1">
        <f>IF(Tabela1[[#This Row],[promien]]&lt;40000,1,0)</f>
        <v>1</v>
      </c>
      <c r="E7360" s="1">
        <f>IF(Tabela1[[#This Row],[promien]]=40000,1,0)</f>
        <v>0</v>
      </c>
      <c r="F7360" s="1">
        <v>3.1619565217391306</v>
      </c>
      <c r="G7360" s="1">
        <v>2.0363868149337438E-2</v>
      </c>
    </row>
    <row r="7361" spans="1:7">
      <c r="A7361">
        <v>18</v>
      </c>
      <c r="B7361">
        <v>393</v>
      </c>
      <c r="C7361" s="1">
        <f>(Tabela1[[#This Row],[x]]-H$3)*(Tabela1[[#This Row],[x]]-H$3) +(Tabela1[[#This Row],[y]]-H$4)*(Tabela1[[#This Row],[y]]-H$4)</f>
        <v>70373</v>
      </c>
      <c r="D7361" s="1">
        <f>IF(Tabela1[[#This Row],[promien]]&lt;40000,1,0)</f>
        <v>0</v>
      </c>
      <c r="E7361" s="1">
        <f>IF(Tabela1[[#This Row],[promien]]=40000,1,0)</f>
        <v>0</v>
      </c>
      <c r="F7361" s="1">
        <v>3.1615269664447765</v>
      </c>
      <c r="G7361" s="1">
        <v>1.9934312854983371E-2</v>
      </c>
    </row>
    <row r="7362" spans="1:7">
      <c r="A7362">
        <v>189</v>
      </c>
      <c r="B7362">
        <v>229</v>
      </c>
      <c r="C7362" s="1">
        <f>(Tabela1[[#This Row],[x]]-H$3)*(Tabela1[[#This Row],[x]]-H$3) +(Tabela1[[#This Row],[y]]-H$4)*(Tabela1[[#This Row],[y]]-H$4)</f>
        <v>962</v>
      </c>
      <c r="D7362" s="1">
        <f>IF(Tabela1[[#This Row],[promien]]&lt;40000,1,0)</f>
        <v>1</v>
      </c>
      <c r="E7362" s="1">
        <f>IF(Tabela1[[#This Row],[promien]]=40000,1,0)</f>
        <v>0</v>
      </c>
      <c r="F7362" s="1">
        <v>3.1616408584623743</v>
      </c>
      <c r="G7362" s="1">
        <v>2.0048204872581188E-2</v>
      </c>
    </row>
    <row r="7363" spans="1:7">
      <c r="A7363">
        <v>219</v>
      </c>
      <c r="B7363">
        <v>268</v>
      </c>
      <c r="C7363" s="1">
        <f>(Tabela1[[#This Row],[x]]-H$3)*(Tabela1[[#This Row],[x]]-H$3) +(Tabela1[[#This Row],[y]]-H$4)*(Tabela1[[#This Row],[y]]-H$4)</f>
        <v>4985</v>
      </c>
      <c r="D7363" s="1">
        <f>IF(Tabela1[[#This Row],[promien]]&lt;40000,1,0)</f>
        <v>1</v>
      </c>
      <c r="E7363" s="1">
        <f>IF(Tabela1[[#This Row],[promien]]=40000,1,0)</f>
        <v>0</v>
      </c>
      <c r="F7363" s="1">
        <v>3.1617547195436644</v>
      </c>
      <c r="G7363" s="1">
        <v>2.0162065953871267E-2</v>
      </c>
    </row>
    <row r="7364" spans="1:7">
      <c r="A7364">
        <v>84</v>
      </c>
      <c r="B7364">
        <v>381</v>
      </c>
      <c r="C7364" s="1">
        <f>(Tabela1[[#This Row],[x]]-H$3)*(Tabela1[[#This Row],[x]]-H$3) +(Tabela1[[#This Row],[y]]-H$4)*(Tabela1[[#This Row],[y]]-H$4)</f>
        <v>46217</v>
      </c>
      <c r="D7364" s="1">
        <f>IF(Tabela1[[#This Row],[promien]]&lt;40000,1,0)</f>
        <v>0</v>
      </c>
      <c r="E7364" s="1">
        <f>IF(Tabela1[[#This Row],[promien]]=40000,1,0)</f>
        <v>0</v>
      </c>
      <c r="F7364" s="1">
        <v>3.1613253666485606</v>
      </c>
      <c r="G7364" s="1">
        <v>1.9732713058767448E-2</v>
      </c>
    </row>
    <row r="7365" spans="1:7">
      <c r="A7365">
        <v>262</v>
      </c>
      <c r="B7365">
        <v>33</v>
      </c>
      <c r="C7365" s="1">
        <f>(Tabela1[[#This Row],[x]]-H$3)*(Tabela1[[#This Row],[x]]-H$3) +(Tabela1[[#This Row],[y]]-H$4)*(Tabela1[[#This Row],[y]]-H$4)</f>
        <v>31733</v>
      </c>
      <c r="D7365" s="1">
        <f>IF(Tabela1[[#This Row],[promien]]&lt;40000,1,0)</f>
        <v>1</v>
      </c>
      <c r="E7365" s="1">
        <f>IF(Tabela1[[#This Row],[promien]]=40000,1,0)</f>
        <v>0</v>
      </c>
      <c r="F7365" s="1">
        <v>3.1614392396469788</v>
      </c>
      <c r="G7365" s="1">
        <v>1.98465860571857E-2</v>
      </c>
    </row>
    <row r="7366" spans="1:7">
      <c r="A7366">
        <v>24</v>
      </c>
      <c r="B7366">
        <v>282</v>
      </c>
      <c r="C7366" s="1">
        <f>(Tabela1[[#This Row],[x]]-H$3)*(Tabela1[[#This Row],[x]]-H$3) +(Tabela1[[#This Row],[y]]-H$4)*(Tabela1[[#This Row],[y]]-H$4)</f>
        <v>37700</v>
      </c>
      <c r="D7366" s="1">
        <f>IF(Tabela1[[#This Row],[promien]]&lt;40000,1,0)</f>
        <v>1</v>
      </c>
      <c r="E7366" s="1">
        <f>IF(Tabela1[[#This Row],[promien]]=40000,1,0)</f>
        <v>0</v>
      </c>
      <c r="F7366" s="1">
        <v>3.1615530817268529</v>
      </c>
      <c r="G7366" s="1">
        <v>1.9960428137059782E-2</v>
      </c>
    </row>
    <row r="7367" spans="1:7">
      <c r="A7367">
        <v>45</v>
      </c>
      <c r="B7367">
        <v>396</v>
      </c>
      <c r="C7367" s="1">
        <f>(Tabela1[[#This Row],[x]]-H$3)*(Tabela1[[#This Row],[x]]-H$3) +(Tabela1[[#This Row],[y]]-H$4)*(Tabela1[[#This Row],[y]]-H$4)</f>
        <v>62441</v>
      </c>
      <c r="D7367" s="1">
        <f>IF(Tabela1[[#This Row],[promien]]&lt;40000,1,0)</f>
        <v>0</v>
      </c>
      <c r="E7367" s="1">
        <f>IF(Tabela1[[#This Row],[promien]]=40000,1,0)</f>
        <v>0</v>
      </c>
      <c r="F7367" s="1">
        <v>3.1611239310438441</v>
      </c>
      <c r="G7367" s="1">
        <v>1.9531277454051033E-2</v>
      </c>
    </row>
    <row r="7368" spans="1:7">
      <c r="A7368">
        <v>157</v>
      </c>
      <c r="B7368">
        <v>229</v>
      </c>
      <c r="C7368" s="1">
        <f>(Tabela1[[#This Row],[x]]-H$3)*(Tabela1[[#This Row],[x]]-H$3) +(Tabela1[[#This Row],[y]]-H$4)*(Tabela1[[#This Row],[y]]-H$4)</f>
        <v>2690</v>
      </c>
      <c r="D7368" s="1">
        <f>IF(Tabela1[[#This Row],[promien]]&lt;40000,1,0)</f>
        <v>1</v>
      </c>
      <c r="E7368" s="1">
        <f>IF(Tabela1[[#This Row],[promien]]=40000,1,0)</f>
        <v>0</v>
      </c>
      <c r="F7368" s="1">
        <v>3.1612377850162865</v>
      </c>
      <c r="G7368" s="1">
        <v>1.9645131426493379E-2</v>
      </c>
    </row>
    <row r="7369" spans="1:7">
      <c r="A7369">
        <v>204</v>
      </c>
      <c r="B7369">
        <v>253</v>
      </c>
      <c r="C7369" s="1">
        <f>(Tabela1[[#This Row],[x]]-H$3)*(Tabela1[[#This Row],[x]]-H$3) +(Tabela1[[#This Row],[y]]-H$4)*(Tabela1[[#This Row],[y]]-H$4)</f>
        <v>2825</v>
      </c>
      <c r="D7369" s="1">
        <f>IF(Tabela1[[#This Row],[promien]]&lt;40000,1,0)</f>
        <v>1</v>
      </c>
      <c r="E7369" s="1">
        <f>IF(Tabela1[[#This Row],[promien]]=40000,1,0)</f>
        <v>0</v>
      </c>
      <c r="F7369" s="1">
        <v>3.1613516080879358</v>
      </c>
      <c r="G7369" s="1">
        <v>1.9758954498142689E-2</v>
      </c>
    </row>
    <row r="7370" spans="1:7">
      <c r="A7370">
        <v>255</v>
      </c>
      <c r="B7370">
        <v>231</v>
      </c>
      <c r="C7370" s="1">
        <f>(Tabela1[[#This Row],[x]]-H$3)*(Tabela1[[#This Row],[x]]-H$3) +(Tabela1[[#This Row],[y]]-H$4)*(Tabela1[[#This Row],[y]]-H$4)</f>
        <v>3986</v>
      </c>
      <c r="D7370" s="1">
        <f>IF(Tabela1[[#This Row],[promien]]&lt;40000,1,0)</f>
        <v>1</v>
      </c>
      <c r="E7370" s="1">
        <f>IF(Tabela1[[#This Row],[promien]]=40000,1,0)</f>
        <v>0</v>
      </c>
      <c r="F7370" s="1">
        <v>3.1614654002713705</v>
      </c>
      <c r="G7370" s="1">
        <v>1.9872746681577347E-2</v>
      </c>
    </row>
    <row r="7371" spans="1:7">
      <c r="A7371">
        <v>159</v>
      </c>
      <c r="B7371">
        <v>50</v>
      </c>
      <c r="C7371" s="1">
        <f>(Tabela1[[#This Row],[x]]-H$3)*(Tabela1[[#This Row],[x]]-H$3) +(Tabela1[[#This Row],[y]]-H$4)*(Tabela1[[#This Row],[y]]-H$4)</f>
        <v>24181</v>
      </c>
      <c r="D7371" s="1">
        <f>IF(Tabela1[[#This Row],[promien]]&lt;40000,1,0)</f>
        <v>1</v>
      </c>
      <c r="E7371" s="1">
        <f>IF(Tabela1[[#This Row],[promien]]=40000,1,0)</f>
        <v>0</v>
      </c>
      <c r="F7371" s="1">
        <v>3.1615791615791617</v>
      </c>
      <c r="G7371" s="1">
        <v>1.9986507989368629E-2</v>
      </c>
    </row>
    <row r="7372" spans="1:7">
      <c r="A7372">
        <v>299</v>
      </c>
      <c r="B7372">
        <v>123</v>
      </c>
      <c r="C7372" s="1">
        <f>(Tabela1[[#This Row],[x]]-H$3)*(Tabela1[[#This Row],[x]]-H$3) +(Tabela1[[#This Row],[y]]-H$4)*(Tabela1[[#This Row],[y]]-H$4)</f>
        <v>15730</v>
      </c>
      <c r="D7372" s="1">
        <f>IF(Tabela1[[#This Row],[promien]]&lt;40000,1,0)</f>
        <v>1</v>
      </c>
      <c r="E7372" s="1">
        <f>IF(Tabela1[[#This Row],[promien]]=40000,1,0)</f>
        <v>0</v>
      </c>
      <c r="F7372" s="1">
        <v>3.1616928920238743</v>
      </c>
      <c r="G7372" s="1">
        <v>2.0100238434081152E-2</v>
      </c>
    </row>
    <row r="7373" spans="1:7">
      <c r="A7373">
        <v>166</v>
      </c>
      <c r="B7373">
        <v>351</v>
      </c>
      <c r="C7373" s="1">
        <f>(Tabela1[[#This Row],[x]]-H$3)*(Tabela1[[#This Row],[x]]-H$3) +(Tabela1[[#This Row],[y]]-H$4)*(Tabela1[[#This Row],[y]]-H$4)</f>
        <v>23957</v>
      </c>
      <c r="D7373" s="1">
        <f>IF(Tabela1[[#This Row],[promien]]&lt;40000,1,0)</f>
        <v>1</v>
      </c>
      <c r="E7373" s="1">
        <f>IF(Tabela1[[#This Row],[promien]]=40000,1,0)</f>
        <v>0</v>
      </c>
      <c r="F7373" s="1">
        <v>3.161806591618066</v>
      </c>
      <c r="G7373" s="1">
        <v>2.0213938028272871E-2</v>
      </c>
    </row>
    <row r="7374" spans="1:7">
      <c r="A7374">
        <v>93</v>
      </c>
      <c r="B7374">
        <v>180</v>
      </c>
      <c r="C7374" s="1">
        <f>(Tabela1[[#This Row],[x]]-H$3)*(Tabela1[[#This Row],[x]]-H$3) +(Tabela1[[#This Row],[y]]-H$4)*(Tabela1[[#This Row],[y]]-H$4)</f>
        <v>11849</v>
      </c>
      <c r="D7374" s="1">
        <f>IF(Tabela1[[#This Row],[promien]]&lt;40000,1,0)</f>
        <v>1</v>
      </c>
      <c r="E7374" s="1">
        <f>IF(Tabela1[[#This Row],[promien]]=40000,1,0)</f>
        <v>0</v>
      </c>
      <c r="F7374" s="1">
        <v>3.1619202603742882</v>
      </c>
      <c r="G7374" s="1">
        <v>2.0327606784495078E-2</v>
      </c>
    </row>
    <row r="7375" spans="1:7">
      <c r="A7375">
        <v>275</v>
      </c>
      <c r="B7375">
        <v>41</v>
      </c>
      <c r="C7375" s="1">
        <f>(Tabela1[[#This Row],[x]]-H$3)*(Tabela1[[#This Row],[x]]-H$3) +(Tabela1[[#This Row],[y]]-H$4)*(Tabela1[[#This Row],[y]]-H$4)</f>
        <v>30906</v>
      </c>
      <c r="D7375" s="1">
        <f>IF(Tabela1[[#This Row],[promien]]&lt;40000,1,0)</f>
        <v>1</v>
      </c>
      <c r="E7375" s="1">
        <f>IF(Tabela1[[#This Row],[promien]]=40000,1,0)</f>
        <v>0</v>
      </c>
      <c r="F7375" s="1">
        <v>3.1620338983050846</v>
      </c>
      <c r="G7375" s="1">
        <v>2.0441244715291518E-2</v>
      </c>
    </row>
    <row r="7376" spans="1:7">
      <c r="A7376">
        <v>127</v>
      </c>
      <c r="B7376">
        <v>50</v>
      </c>
      <c r="C7376" s="1">
        <f>(Tabela1[[#This Row],[x]]-H$3)*(Tabela1[[#This Row],[x]]-H$3) +(Tabela1[[#This Row],[y]]-H$4)*(Tabela1[[#This Row],[y]]-H$4)</f>
        <v>27829</v>
      </c>
      <c r="D7376" s="1">
        <f>IF(Tabela1[[#This Row],[promien]]&lt;40000,1,0)</f>
        <v>1</v>
      </c>
      <c r="E7376" s="1">
        <f>IF(Tabela1[[#This Row],[promien]]=40000,1,0)</f>
        <v>0</v>
      </c>
      <c r="F7376" s="1">
        <v>3.1621475054229933</v>
      </c>
      <c r="G7376" s="1">
        <v>2.0554851833200161E-2</v>
      </c>
    </row>
    <row r="7377" spans="1:7">
      <c r="A7377">
        <v>4</v>
      </c>
      <c r="B7377">
        <v>306</v>
      </c>
      <c r="C7377" s="1">
        <f>(Tabela1[[#This Row],[x]]-H$3)*(Tabela1[[#This Row],[x]]-H$3) +(Tabela1[[#This Row],[y]]-H$4)*(Tabela1[[#This Row],[y]]-H$4)</f>
        <v>49652</v>
      </c>
      <c r="D7377" s="1">
        <f>IF(Tabela1[[#This Row],[promien]]&lt;40000,1,0)</f>
        <v>0</v>
      </c>
      <c r="E7377" s="1">
        <f>IF(Tabela1[[#This Row],[promien]]=40000,1,0)</f>
        <v>0</v>
      </c>
      <c r="F7377" s="1">
        <v>3.1617188559034837</v>
      </c>
      <c r="G7377" s="1">
        <v>2.0126202313690555E-2</v>
      </c>
    </row>
    <row r="7378" spans="1:7">
      <c r="A7378">
        <v>255</v>
      </c>
      <c r="B7378">
        <v>18</v>
      </c>
      <c r="C7378" s="1">
        <f>(Tabela1[[#This Row],[x]]-H$3)*(Tabela1[[#This Row],[x]]-H$3) +(Tabela1[[#This Row],[y]]-H$4)*(Tabela1[[#This Row],[y]]-H$4)</f>
        <v>36149</v>
      </c>
      <c r="D7378" s="1">
        <f>IF(Tabela1[[#This Row],[promien]]&lt;40000,1,0)</f>
        <v>1</v>
      </c>
      <c r="E7378" s="1">
        <f>IF(Tabela1[[#This Row],[promien]]=40000,1,0)</f>
        <v>0</v>
      </c>
      <c r="F7378" s="1">
        <v>3.1618324749254541</v>
      </c>
      <c r="G7378" s="1">
        <v>2.0239821335660935E-2</v>
      </c>
    </row>
    <row r="7379" spans="1:7">
      <c r="A7379">
        <v>328</v>
      </c>
      <c r="B7379">
        <v>60</v>
      </c>
      <c r="C7379" s="1">
        <f>(Tabela1[[#This Row],[x]]-H$3)*(Tabela1[[#This Row],[x]]-H$3) +(Tabela1[[#This Row],[y]]-H$4)*(Tabela1[[#This Row],[y]]-H$4)</f>
        <v>35984</v>
      </c>
      <c r="D7379" s="1">
        <f>IF(Tabela1[[#This Row],[promien]]&lt;40000,1,0)</f>
        <v>1</v>
      </c>
      <c r="E7379" s="1">
        <f>IF(Tabela1[[#This Row],[promien]]=40000,1,0)</f>
        <v>0</v>
      </c>
      <c r="F7379" s="1">
        <v>3.1619460631521887</v>
      </c>
      <c r="G7379" s="1">
        <v>2.0353409562395619E-2</v>
      </c>
    </row>
    <row r="7380" spans="1:7">
      <c r="A7380">
        <v>388</v>
      </c>
      <c r="B7380">
        <v>242</v>
      </c>
      <c r="C7380" s="1">
        <f>(Tabela1[[#This Row],[x]]-H$3)*(Tabela1[[#This Row],[x]]-H$3) +(Tabela1[[#This Row],[y]]-H$4)*(Tabela1[[#This Row],[y]]-H$4)</f>
        <v>37108</v>
      </c>
      <c r="D7380" s="1">
        <f>IF(Tabela1[[#This Row],[promien]]&lt;40000,1,0)</f>
        <v>1</v>
      </c>
      <c r="E7380" s="1">
        <f>IF(Tabela1[[#This Row],[promien]]=40000,1,0)</f>
        <v>0</v>
      </c>
      <c r="F7380" s="1">
        <v>3.1620596205962062</v>
      </c>
      <c r="G7380" s="1">
        <v>2.0466967006413039E-2</v>
      </c>
    </row>
    <row r="7381" spans="1:7">
      <c r="A7381">
        <v>341</v>
      </c>
      <c r="B7381">
        <v>235</v>
      </c>
      <c r="C7381" s="1">
        <f>(Tabela1[[#This Row],[x]]-H$3)*(Tabela1[[#This Row],[x]]-H$3) +(Tabela1[[#This Row],[y]]-H$4)*(Tabela1[[#This Row],[y]]-H$4)</f>
        <v>21106</v>
      </c>
      <c r="D7381" s="1">
        <f>IF(Tabela1[[#This Row],[promien]]&lt;40000,1,0)</f>
        <v>1</v>
      </c>
      <c r="E7381" s="1">
        <f>IF(Tabela1[[#This Row],[promien]]=40000,1,0)</f>
        <v>0</v>
      </c>
      <c r="F7381" s="1">
        <v>3.1621731472700176</v>
      </c>
      <c r="G7381" s="1">
        <v>2.0580493680224521E-2</v>
      </c>
    </row>
    <row r="7382" spans="1:7">
      <c r="A7382">
        <v>181</v>
      </c>
      <c r="B7382">
        <v>29</v>
      </c>
      <c r="C7382" s="1">
        <f>(Tabela1[[#This Row],[x]]-H$3)*(Tabela1[[#This Row],[x]]-H$3) +(Tabela1[[#This Row],[y]]-H$4)*(Tabela1[[#This Row],[y]]-H$4)</f>
        <v>29602</v>
      </c>
      <c r="D7382" s="1">
        <f>IF(Tabela1[[#This Row],[promien]]&lt;40000,1,0)</f>
        <v>1</v>
      </c>
      <c r="E7382" s="1">
        <f>IF(Tabela1[[#This Row],[promien]]=40000,1,0)</f>
        <v>0</v>
      </c>
      <c r="F7382" s="1">
        <v>3.1622866431861283</v>
      </c>
      <c r="G7382" s="1">
        <v>2.0693989596335172E-2</v>
      </c>
    </row>
    <row r="7383" spans="1:7">
      <c r="A7383">
        <v>180</v>
      </c>
      <c r="B7383">
        <v>176</v>
      </c>
      <c r="C7383" s="1">
        <f>(Tabela1[[#This Row],[x]]-H$3)*(Tabela1[[#This Row],[x]]-H$3) +(Tabela1[[#This Row],[y]]-H$4)*(Tabela1[[#This Row],[y]]-H$4)</f>
        <v>976</v>
      </c>
      <c r="D7383" s="1">
        <f>IF(Tabela1[[#This Row],[promien]]&lt;40000,1,0)</f>
        <v>1</v>
      </c>
      <c r="E7383" s="1">
        <f>IF(Tabela1[[#This Row],[promien]]=40000,1,0)</f>
        <v>0</v>
      </c>
      <c r="F7383" s="1">
        <v>3.1624001083570366</v>
      </c>
      <c r="G7383" s="1">
        <v>2.0807454767243438E-2</v>
      </c>
    </row>
    <row r="7384" spans="1:7">
      <c r="A7384">
        <v>361</v>
      </c>
      <c r="B7384">
        <v>337</v>
      </c>
      <c r="C7384" s="1">
        <f>(Tabela1[[#This Row],[x]]-H$3)*(Tabela1[[#This Row],[x]]-H$3) +(Tabela1[[#This Row],[y]]-H$4)*(Tabela1[[#This Row],[y]]-H$4)</f>
        <v>44690</v>
      </c>
      <c r="D7384" s="1">
        <f>IF(Tabela1[[#This Row],[promien]]&lt;40000,1,0)</f>
        <v>0</v>
      </c>
      <c r="E7384" s="1">
        <f>IF(Tabela1[[#This Row],[promien]]=40000,1,0)</f>
        <v>0</v>
      </c>
      <c r="F7384" s="1">
        <v>3.1619718309859155</v>
      </c>
      <c r="G7384" s="1">
        <v>2.0379177396122383E-2</v>
      </c>
    </row>
    <row r="7385" spans="1:7">
      <c r="A7385">
        <v>211</v>
      </c>
      <c r="B7385">
        <v>161</v>
      </c>
      <c r="C7385" s="1">
        <f>(Tabela1[[#This Row],[x]]-H$3)*(Tabela1[[#This Row],[x]]-H$3) +(Tabela1[[#This Row],[y]]-H$4)*(Tabela1[[#This Row],[y]]-H$4)</f>
        <v>1642</v>
      </c>
      <c r="D7385" s="1">
        <f>IF(Tabela1[[#This Row],[promien]]&lt;40000,1,0)</f>
        <v>1</v>
      </c>
      <c r="E7385" s="1">
        <f>IF(Tabela1[[#This Row],[promien]]=40000,1,0)</f>
        <v>0</v>
      </c>
      <c r="F7385" s="1">
        <v>3.1620853080568718</v>
      </c>
      <c r="G7385" s="1">
        <v>2.0492654467078708E-2</v>
      </c>
    </row>
    <row r="7386" spans="1:7">
      <c r="A7386">
        <v>316</v>
      </c>
      <c r="B7386">
        <v>77</v>
      </c>
      <c r="C7386" s="1">
        <f>(Tabela1[[#This Row],[x]]-H$3)*(Tabela1[[#This Row],[x]]-H$3) +(Tabela1[[#This Row],[y]]-H$4)*(Tabela1[[#This Row],[y]]-H$4)</f>
        <v>28585</v>
      </c>
      <c r="D7386" s="1">
        <f>IF(Tabela1[[#This Row],[promien]]&lt;40000,1,0)</f>
        <v>1</v>
      </c>
      <c r="E7386" s="1">
        <f>IF(Tabela1[[#This Row],[promien]]=40000,1,0)</f>
        <v>0</v>
      </c>
      <c r="F7386" s="1">
        <v>3.1621987544002166</v>
      </c>
      <c r="G7386" s="1">
        <v>2.0606100810423467E-2</v>
      </c>
    </row>
    <row r="7387" spans="1:7">
      <c r="A7387">
        <v>186</v>
      </c>
      <c r="B7387">
        <v>243</v>
      </c>
      <c r="C7387" s="1">
        <f>(Tabela1[[#This Row],[x]]-H$3)*(Tabela1[[#This Row],[x]]-H$3) +(Tabela1[[#This Row],[y]]-H$4)*(Tabela1[[#This Row],[y]]-H$4)</f>
        <v>2045</v>
      </c>
      <c r="D7387" s="1">
        <f>IF(Tabela1[[#This Row],[promien]]&lt;40000,1,0)</f>
        <v>1</v>
      </c>
      <c r="E7387" s="1">
        <f>IF(Tabela1[[#This Row],[promien]]=40000,1,0)</f>
        <v>0</v>
      </c>
      <c r="F7387" s="1">
        <v>3.1623121700284282</v>
      </c>
      <c r="G7387" s="1">
        <v>2.0719516438635122E-2</v>
      </c>
    </row>
    <row r="7388" spans="1:7">
      <c r="A7388">
        <v>224</v>
      </c>
      <c r="B7388">
        <v>144</v>
      </c>
      <c r="C7388" s="1">
        <f>(Tabela1[[#This Row],[x]]-H$3)*(Tabela1[[#This Row],[x]]-H$3) +(Tabela1[[#This Row],[y]]-H$4)*(Tabela1[[#This Row],[y]]-H$4)</f>
        <v>3712</v>
      </c>
      <c r="D7388" s="1">
        <f>IF(Tabela1[[#This Row],[promien]]&lt;40000,1,0)</f>
        <v>1</v>
      </c>
      <c r="E7388" s="1">
        <f>IF(Tabela1[[#This Row],[promien]]=40000,1,0)</f>
        <v>0</v>
      </c>
      <c r="F7388" s="1">
        <v>3.1624255549539795</v>
      </c>
      <c r="G7388" s="1">
        <v>2.0832901364186363E-2</v>
      </c>
    </row>
    <row r="7389" spans="1:7">
      <c r="A7389">
        <v>270</v>
      </c>
      <c r="B7389">
        <v>220</v>
      </c>
      <c r="C7389" s="1">
        <f>(Tabela1[[#This Row],[x]]-H$3)*(Tabela1[[#This Row],[x]]-H$3) +(Tabela1[[#This Row],[y]]-H$4)*(Tabela1[[#This Row],[y]]-H$4)</f>
        <v>5300</v>
      </c>
      <c r="D7389" s="1">
        <f>IF(Tabela1[[#This Row],[promien]]&lt;40000,1,0)</f>
        <v>1</v>
      </c>
      <c r="E7389" s="1">
        <f>IF(Tabela1[[#This Row],[promien]]=40000,1,0)</f>
        <v>0</v>
      </c>
      <c r="F7389" s="1">
        <v>3.1625389091893354</v>
      </c>
      <c r="G7389" s="1">
        <v>2.0946255599542329E-2</v>
      </c>
    </row>
    <row r="7390" spans="1:7">
      <c r="A7390">
        <v>311</v>
      </c>
      <c r="B7390">
        <v>139</v>
      </c>
      <c r="C7390" s="1">
        <f>(Tabela1[[#This Row],[x]]-H$3)*(Tabela1[[#This Row],[x]]-H$3) +(Tabela1[[#This Row],[y]]-H$4)*(Tabela1[[#This Row],[y]]-H$4)</f>
        <v>16042</v>
      </c>
      <c r="D7390" s="1">
        <f>IF(Tabela1[[#This Row],[promien]]&lt;40000,1,0)</f>
        <v>1</v>
      </c>
      <c r="E7390" s="1">
        <f>IF(Tabela1[[#This Row],[promien]]=40000,1,0)</f>
        <v>0</v>
      </c>
      <c r="F7390" s="1">
        <v>3.1626522327469555</v>
      </c>
      <c r="G7390" s="1">
        <v>2.1059579157162389E-2</v>
      </c>
    </row>
    <row r="7391" spans="1:7">
      <c r="A7391">
        <v>285</v>
      </c>
      <c r="B7391">
        <v>260</v>
      </c>
      <c r="C7391" s="1">
        <f>(Tabela1[[#This Row],[x]]-H$3)*(Tabela1[[#This Row],[x]]-H$3) +(Tabela1[[#This Row],[y]]-H$4)*(Tabela1[[#This Row],[y]]-H$4)</f>
        <v>10825</v>
      </c>
      <c r="D7391" s="1">
        <f>IF(Tabela1[[#This Row],[promien]]&lt;40000,1,0)</f>
        <v>1</v>
      </c>
      <c r="E7391" s="1">
        <f>IF(Tabela1[[#This Row],[promien]]=40000,1,0)</f>
        <v>0</v>
      </c>
      <c r="F7391" s="1">
        <v>3.162765525639291</v>
      </c>
      <c r="G7391" s="1">
        <v>2.1172872049497915E-2</v>
      </c>
    </row>
    <row r="7392" spans="1:7">
      <c r="A7392">
        <v>61</v>
      </c>
      <c r="B7392">
        <v>64</v>
      </c>
      <c r="C7392" s="1">
        <f>(Tabela1[[#This Row],[x]]-H$3)*(Tabela1[[#This Row],[x]]-H$3) +(Tabela1[[#This Row],[y]]-H$4)*(Tabela1[[#This Row],[y]]-H$4)</f>
        <v>37817</v>
      </c>
      <c r="D7392" s="1">
        <f>IF(Tabela1[[#This Row],[promien]]&lt;40000,1,0)</f>
        <v>1</v>
      </c>
      <c r="E7392" s="1">
        <f>IF(Tabela1[[#This Row],[promien]]=40000,1,0)</f>
        <v>0</v>
      </c>
      <c r="F7392" s="1">
        <v>3.1628787878787881</v>
      </c>
      <c r="G7392" s="1">
        <v>2.1286134288994951E-2</v>
      </c>
    </row>
    <row r="7393" spans="1:7">
      <c r="A7393">
        <v>128</v>
      </c>
      <c r="B7393">
        <v>247</v>
      </c>
      <c r="C7393" s="1">
        <f>(Tabela1[[#This Row],[x]]-H$3)*(Tabela1[[#This Row],[x]]-H$3) +(Tabela1[[#This Row],[y]]-H$4)*(Tabela1[[#This Row],[y]]-H$4)</f>
        <v>7393</v>
      </c>
      <c r="D7393" s="1">
        <f>IF(Tabela1[[#This Row],[promien]]&lt;40000,1,0)</f>
        <v>1</v>
      </c>
      <c r="E7393" s="1">
        <f>IF(Tabela1[[#This Row],[promien]]=40000,1,0)</f>
        <v>0</v>
      </c>
      <c r="F7393" s="1">
        <v>3.1629920194778847</v>
      </c>
      <c r="G7393" s="1">
        <v>2.1399365888091548E-2</v>
      </c>
    </row>
    <row r="7394" spans="1:7">
      <c r="A7394">
        <v>91</v>
      </c>
      <c r="B7394">
        <v>28</v>
      </c>
      <c r="C7394" s="1">
        <f>(Tabela1[[#This Row],[x]]-H$3)*(Tabela1[[#This Row],[x]]-H$3) +(Tabela1[[#This Row],[y]]-H$4)*(Tabela1[[#This Row],[y]]-H$4)</f>
        <v>41465</v>
      </c>
      <c r="D7394" s="1">
        <f>IF(Tabela1[[#This Row],[promien]]&lt;40000,1,0)</f>
        <v>0</v>
      </c>
      <c r="E7394" s="1">
        <f>IF(Tabela1[[#This Row],[promien]]=40000,1,0)</f>
        <v>0</v>
      </c>
      <c r="F7394" s="1">
        <v>3.1625642412767108</v>
      </c>
      <c r="G7394" s="1">
        <v>2.0971587686917648E-2</v>
      </c>
    </row>
    <row r="7395" spans="1:7">
      <c r="A7395">
        <v>326</v>
      </c>
      <c r="B7395">
        <v>185</v>
      </c>
      <c r="C7395" s="1">
        <f>(Tabela1[[#This Row],[x]]-H$3)*(Tabela1[[#This Row],[x]]-H$3) +(Tabela1[[#This Row],[y]]-H$4)*(Tabela1[[#This Row],[y]]-H$4)</f>
        <v>16101</v>
      </c>
      <c r="D7395" s="1">
        <f>IF(Tabela1[[#This Row],[promien]]&lt;40000,1,0)</f>
        <v>1</v>
      </c>
      <c r="E7395" s="1">
        <f>IF(Tabela1[[#This Row],[promien]]=40000,1,0)</f>
        <v>0</v>
      </c>
      <c r="F7395" s="1">
        <v>3.162677484787018</v>
      </c>
      <c r="G7395" s="1">
        <v>2.1084831197224929E-2</v>
      </c>
    </row>
    <row r="7396" spans="1:7">
      <c r="A7396">
        <v>17</v>
      </c>
      <c r="B7396">
        <v>295</v>
      </c>
      <c r="C7396" s="1">
        <f>(Tabela1[[#This Row],[x]]-H$3)*(Tabela1[[#This Row],[x]]-H$3) +(Tabela1[[#This Row],[y]]-H$4)*(Tabela1[[#This Row],[y]]-H$4)</f>
        <v>42514</v>
      </c>
      <c r="D7396" s="1">
        <f>IF(Tabela1[[#This Row],[promien]]&lt;40000,1,0)</f>
        <v>0</v>
      </c>
      <c r="E7396" s="1">
        <f>IF(Tabela1[[#This Row],[promien]]=40000,1,0)</f>
        <v>0</v>
      </c>
      <c r="F7396" s="1">
        <v>3.1622498647917792</v>
      </c>
      <c r="G7396" s="1">
        <v>2.0657211201986048E-2</v>
      </c>
    </row>
    <row r="7397" spans="1:7">
      <c r="A7397">
        <v>129</v>
      </c>
      <c r="B7397">
        <v>203</v>
      </c>
      <c r="C7397" s="1">
        <f>(Tabela1[[#This Row],[x]]-H$3)*(Tabela1[[#This Row],[x]]-H$3) +(Tabela1[[#This Row],[y]]-H$4)*(Tabela1[[#This Row],[y]]-H$4)</f>
        <v>5050</v>
      </c>
      <c r="D7397" s="1">
        <f>IF(Tabela1[[#This Row],[promien]]&lt;40000,1,0)</f>
        <v>1</v>
      </c>
      <c r="E7397" s="1">
        <f>IF(Tabela1[[#This Row],[promien]]=40000,1,0)</f>
        <v>0</v>
      </c>
      <c r="F7397" s="1">
        <v>3.1623631201838585</v>
      </c>
      <c r="G7397" s="1">
        <v>2.077046659406534E-2</v>
      </c>
    </row>
    <row r="7398" spans="1:7">
      <c r="A7398">
        <v>71</v>
      </c>
      <c r="B7398">
        <v>165</v>
      </c>
      <c r="C7398" s="1">
        <f>(Tabela1[[#This Row],[x]]-H$3)*(Tabela1[[#This Row],[x]]-H$3) +(Tabela1[[#This Row],[y]]-H$4)*(Tabela1[[#This Row],[y]]-H$4)</f>
        <v>17866</v>
      </c>
      <c r="D7398" s="1">
        <f>IF(Tabela1[[#This Row],[promien]]&lt;40000,1,0)</f>
        <v>1</v>
      </c>
      <c r="E7398" s="1">
        <f>IF(Tabela1[[#This Row],[promien]]=40000,1,0)</f>
        <v>0</v>
      </c>
      <c r="F7398" s="1">
        <v>3.1624763449580966</v>
      </c>
      <c r="G7398" s="1">
        <v>2.0883691368303481E-2</v>
      </c>
    </row>
    <row r="7399" spans="1:7">
      <c r="A7399">
        <v>26</v>
      </c>
      <c r="B7399">
        <v>203</v>
      </c>
      <c r="C7399" s="1">
        <f>(Tabela1[[#This Row],[x]]-H$3)*(Tabela1[[#This Row],[x]]-H$3) +(Tabela1[[#This Row],[y]]-H$4)*(Tabela1[[#This Row],[y]]-H$4)</f>
        <v>30285</v>
      </c>
      <c r="D7399" s="1">
        <f>IF(Tabela1[[#This Row],[promien]]&lt;40000,1,0)</f>
        <v>1</v>
      </c>
      <c r="E7399" s="1">
        <f>IF(Tabela1[[#This Row],[promien]]=40000,1,0)</f>
        <v>0</v>
      </c>
      <c r="F7399" s="1">
        <v>3.162589539126909</v>
      </c>
      <c r="G7399" s="1">
        <v>2.0996885537115872E-2</v>
      </c>
    </row>
    <row r="7400" spans="1:7">
      <c r="A7400">
        <v>95</v>
      </c>
      <c r="B7400">
        <v>236</v>
      </c>
      <c r="C7400" s="1">
        <f>(Tabela1[[#This Row],[x]]-H$3)*(Tabela1[[#This Row],[x]]-H$3) +(Tabela1[[#This Row],[y]]-H$4)*(Tabela1[[#This Row],[y]]-H$4)</f>
        <v>12321</v>
      </c>
      <c r="D7400" s="1">
        <f>IF(Tabela1[[#This Row],[promien]]&lt;40000,1,0)</f>
        <v>1</v>
      </c>
      <c r="E7400" s="1">
        <f>IF(Tabela1[[#This Row],[promien]]=40000,1,0)</f>
        <v>0</v>
      </c>
      <c r="F7400" s="1">
        <v>3.1627027027027026</v>
      </c>
      <c r="G7400" s="1">
        <v>2.1110049112909479E-2</v>
      </c>
    </row>
    <row r="7401" spans="1:7">
      <c r="A7401">
        <v>166</v>
      </c>
      <c r="B7401">
        <v>329</v>
      </c>
      <c r="C7401" s="1">
        <f>(Tabela1[[#This Row],[x]]-H$3)*(Tabela1[[#This Row],[x]]-H$3) +(Tabela1[[#This Row],[y]]-H$4)*(Tabela1[[#This Row],[y]]-H$4)</f>
        <v>17797</v>
      </c>
      <c r="D7401" s="1">
        <f>IF(Tabela1[[#This Row],[promien]]&lt;40000,1,0)</f>
        <v>1</v>
      </c>
      <c r="E7401" s="1">
        <f>IF(Tabela1[[#This Row],[promien]]=40000,1,0)</f>
        <v>0</v>
      </c>
      <c r="F7401" s="1">
        <v>3.1628158356978786</v>
      </c>
      <c r="G7401" s="1">
        <v>2.1223182108085492E-2</v>
      </c>
    </row>
    <row r="7402" spans="1:7">
      <c r="A7402">
        <v>182</v>
      </c>
      <c r="B7402">
        <v>55</v>
      </c>
      <c r="C7402" s="1">
        <f>(Tabela1[[#This Row],[x]]-H$3)*(Tabela1[[#This Row],[x]]-H$3) +(Tabela1[[#This Row],[y]]-H$4)*(Tabela1[[#This Row],[y]]-H$4)</f>
        <v>21349</v>
      </c>
      <c r="D7402" s="1">
        <f>IF(Tabela1[[#This Row],[promien]]&lt;40000,1,0)</f>
        <v>1</v>
      </c>
      <c r="E7402" s="1">
        <f>IF(Tabela1[[#This Row],[promien]]=40000,1,0)</f>
        <v>0</v>
      </c>
      <c r="F7402" s="1">
        <v>3.1629289381248311</v>
      </c>
      <c r="G7402" s="1">
        <v>2.1336284535037997E-2</v>
      </c>
    </row>
    <row r="7403" spans="1:7">
      <c r="A7403">
        <v>121</v>
      </c>
      <c r="B7403">
        <v>239</v>
      </c>
      <c r="C7403" s="1">
        <f>(Tabela1[[#This Row],[x]]-H$3)*(Tabela1[[#This Row],[x]]-H$3) +(Tabela1[[#This Row],[y]]-H$4)*(Tabela1[[#This Row],[y]]-H$4)</f>
        <v>7762</v>
      </c>
      <c r="D7403" s="1">
        <f>IF(Tabela1[[#This Row],[promien]]&lt;40000,1,0)</f>
        <v>1</v>
      </c>
      <c r="E7403" s="1">
        <f>IF(Tabela1[[#This Row],[promien]]=40000,1,0)</f>
        <v>0</v>
      </c>
      <c r="F7403" s="1">
        <v>3.1630420099959475</v>
      </c>
      <c r="G7403" s="1">
        <v>2.1449356406154418E-2</v>
      </c>
    </row>
    <row r="7404" spans="1:7">
      <c r="A7404">
        <v>207</v>
      </c>
      <c r="B7404">
        <v>208</v>
      </c>
      <c r="C7404" s="1">
        <f>(Tabela1[[#This Row],[x]]-H$3)*(Tabela1[[#This Row],[x]]-H$3) +(Tabela1[[#This Row],[y]]-H$4)*(Tabela1[[#This Row],[y]]-H$4)</f>
        <v>113</v>
      </c>
      <c r="D7404" s="1">
        <f>IF(Tabela1[[#This Row],[promien]]&lt;40000,1,0)</f>
        <v>1</v>
      </c>
      <c r="E7404" s="1">
        <f>IF(Tabela1[[#This Row],[promien]]=40000,1,0)</f>
        <v>0</v>
      </c>
      <c r="F7404" s="1">
        <v>3.1631550513236091</v>
      </c>
      <c r="G7404" s="1">
        <v>2.1562397733815963E-2</v>
      </c>
    </row>
    <row r="7405" spans="1:7">
      <c r="A7405">
        <v>213</v>
      </c>
      <c r="B7405">
        <v>112</v>
      </c>
      <c r="C7405" s="1">
        <f>(Tabela1[[#This Row],[x]]-H$3)*(Tabela1[[#This Row],[x]]-H$3) +(Tabela1[[#This Row],[y]]-H$4)*(Tabela1[[#This Row],[y]]-H$4)</f>
        <v>7913</v>
      </c>
      <c r="D7405" s="1">
        <f>IF(Tabela1[[#This Row],[promien]]&lt;40000,1,0)</f>
        <v>1</v>
      </c>
      <c r="E7405" s="1">
        <f>IF(Tabela1[[#This Row],[promien]]=40000,1,0)</f>
        <v>0</v>
      </c>
      <c r="F7405" s="1">
        <v>3.163268062120189</v>
      </c>
      <c r="G7405" s="1">
        <v>2.1675408530395845E-2</v>
      </c>
    </row>
    <row r="7406" spans="1:7">
      <c r="A7406">
        <v>334</v>
      </c>
      <c r="B7406">
        <v>229</v>
      </c>
      <c r="C7406" s="1">
        <f>(Tabela1[[#This Row],[x]]-H$3)*(Tabela1[[#This Row],[x]]-H$3) +(Tabela1[[#This Row],[y]]-H$4)*(Tabela1[[#This Row],[y]]-H$4)</f>
        <v>18797</v>
      </c>
      <c r="D7406" s="1">
        <f>IF(Tabela1[[#This Row],[promien]]&lt;40000,1,0)</f>
        <v>1</v>
      </c>
      <c r="E7406" s="1">
        <f>IF(Tabela1[[#This Row],[promien]]=40000,1,0)</f>
        <v>0</v>
      </c>
      <c r="F7406" s="1">
        <v>3.1633810423980555</v>
      </c>
      <c r="G7406" s="1">
        <v>2.1788388808262393E-2</v>
      </c>
    </row>
    <row r="7407" spans="1:7">
      <c r="A7407">
        <v>381</v>
      </c>
      <c r="B7407">
        <v>40</v>
      </c>
      <c r="C7407" s="1">
        <f>(Tabela1[[#This Row],[x]]-H$3)*(Tabela1[[#This Row],[x]]-H$3) +(Tabela1[[#This Row],[y]]-H$4)*(Tabela1[[#This Row],[y]]-H$4)</f>
        <v>58361</v>
      </c>
      <c r="D7407" s="1">
        <f>IF(Tabela1[[#This Row],[promien]]&lt;40000,1,0)</f>
        <v>0</v>
      </c>
      <c r="E7407" s="1">
        <f>IF(Tabela1[[#This Row],[promien]]=40000,1,0)</f>
        <v>0</v>
      </c>
      <c r="F7407" s="1">
        <v>3.1629539624679359</v>
      </c>
      <c r="G7407" s="1">
        <v>2.1361308878142804E-2</v>
      </c>
    </row>
    <row r="7408" spans="1:7">
      <c r="A7408">
        <v>315</v>
      </c>
      <c r="B7408">
        <v>30</v>
      </c>
      <c r="C7408" s="1">
        <f>(Tabela1[[#This Row],[x]]-H$3)*(Tabela1[[#This Row],[x]]-H$3) +(Tabela1[[#This Row],[y]]-H$4)*(Tabela1[[#This Row],[y]]-H$4)</f>
        <v>42125</v>
      </c>
      <c r="D7408" s="1">
        <f>IF(Tabela1[[#This Row],[promien]]&lt;40000,1,0)</f>
        <v>0</v>
      </c>
      <c r="E7408" s="1">
        <f>IF(Tabela1[[#This Row],[promien]]=40000,1,0)</f>
        <v>0</v>
      </c>
      <c r="F7408" s="1">
        <v>3.1625269978401729</v>
      </c>
      <c r="G7408" s="1">
        <v>2.0934344250379766E-2</v>
      </c>
    </row>
    <row r="7409" spans="1:7">
      <c r="A7409">
        <v>343</v>
      </c>
      <c r="B7409">
        <v>29</v>
      </c>
      <c r="C7409" s="1">
        <f>(Tabela1[[#This Row],[x]]-H$3)*(Tabela1[[#This Row],[x]]-H$3) +(Tabela1[[#This Row],[y]]-H$4)*(Tabela1[[#This Row],[y]]-H$4)</f>
        <v>49690</v>
      </c>
      <c r="D7409" s="1">
        <f>IF(Tabela1[[#This Row],[promien]]&lt;40000,1,0)</f>
        <v>0</v>
      </c>
      <c r="E7409" s="1">
        <f>IF(Tabela1[[#This Row],[promien]]=40000,1,0)</f>
        <v>0</v>
      </c>
      <c r="F7409" s="1">
        <v>3.1621001484680793</v>
      </c>
      <c r="G7409" s="1">
        <v>2.0507494878286181E-2</v>
      </c>
    </row>
    <row r="7410" spans="1:7">
      <c r="A7410">
        <v>114</v>
      </c>
      <c r="B7410">
        <v>167</v>
      </c>
      <c r="C7410" s="1">
        <f>(Tabela1[[#This Row],[x]]-H$3)*(Tabela1[[#This Row],[x]]-H$3) +(Tabela1[[#This Row],[y]]-H$4)*(Tabela1[[#This Row],[y]]-H$4)</f>
        <v>8485</v>
      </c>
      <c r="D7410" s="1">
        <f>IF(Tabela1[[#This Row],[promien]]&lt;40000,1,0)</f>
        <v>1</v>
      </c>
      <c r="E7410" s="1">
        <f>IF(Tabela1[[#This Row],[promien]]=40000,1,0)</f>
        <v>0</v>
      </c>
      <c r="F7410" s="1">
        <v>3.1622132253711199</v>
      </c>
      <c r="G7410" s="1">
        <v>2.0620571781326813E-2</v>
      </c>
    </row>
    <row r="7411" spans="1:7">
      <c r="A7411">
        <v>126</v>
      </c>
      <c r="B7411">
        <v>81</v>
      </c>
      <c r="C7411" s="1">
        <f>(Tabela1[[#This Row],[x]]-H$3)*(Tabela1[[#This Row],[x]]-H$3) +(Tabela1[[#This Row],[y]]-H$4)*(Tabela1[[#This Row],[y]]-H$4)</f>
        <v>19637</v>
      </c>
      <c r="D7411" s="1">
        <f>IF(Tabela1[[#This Row],[promien]]&lt;40000,1,0)</f>
        <v>1</v>
      </c>
      <c r="E7411" s="1">
        <f>IF(Tabela1[[#This Row],[promien]]=40000,1,0)</f>
        <v>0</v>
      </c>
      <c r="F7411" s="1">
        <v>3.1623262717581975</v>
      </c>
      <c r="G7411" s="1">
        <v>2.0733618168404355E-2</v>
      </c>
    </row>
    <row r="7412" spans="1:7">
      <c r="A7412">
        <v>369</v>
      </c>
      <c r="B7412">
        <v>26</v>
      </c>
      <c r="C7412" s="1">
        <f>(Tabela1[[#This Row],[x]]-H$3)*(Tabela1[[#This Row],[x]]-H$3) +(Tabela1[[#This Row],[y]]-H$4)*(Tabela1[[#This Row],[y]]-H$4)</f>
        <v>58837</v>
      </c>
      <c r="D7412" s="1">
        <f>IF(Tabela1[[#This Row],[promien]]&lt;40000,1,0)</f>
        <v>0</v>
      </c>
      <c r="E7412" s="1">
        <f>IF(Tabela1[[#This Row],[promien]]=40000,1,0)</f>
        <v>0</v>
      </c>
      <c r="F7412" s="1">
        <v>3.1618996222342148</v>
      </c>
      <c r="G7412" s="1">
        <v>2.0306968644421719E-2</v>
      </c>
    </row>
    <row r="7413" spans="1:7">
      <c r="A7413">
        <v>263</v>
      </c>
      <c r="B7413">
        <v>116</v>
      </c>
      <c r="C7413" s="1">
        <f>(Tabela1[[#This Row],[x]]-H$3)*(Tabela1[[#This Row],[x]]-H$3) +(Tabela1[[#This Row],[y]]-H$4)*(Tabela1[[#This Row],[y]]-H$4)</f>
        <v>11025</v>
      </c>
      <c r="D7413" s="1">
        <f>IF(Tabela1[[#This Row],[promien]]&lt;40000,1,0)</f>
        <v>1</v>
      </c>
      <c r="E7413" s="1">
        <f>IF(Tabela1[[#This Row],[promien]]=40000,1,0)</f>
        <v>0</v>
      </c>
      <c r="F7413" s="1">
        <v>3.1620126804262783</v>
      </c>
      <c r="G7413" s="1">
        <v>2.0420026836485139E-2</v>
      </c>
    </row>
    <row r="7414" spans="1:7">
      <c r="A7414">
        <v>261</v>
      </c>
      <c r="B7414">
        <v>1</v>
      </c>
      <c r="C7414" s="1">
        <f>(Tabela1[[#This Row],[x]]-H$3)*(Tabela1[[#This Row],[x]]-H$3) +(Tabela1[[#This Row],[y]]-H$4)*(Tabela1[[#This Row],[y]]-H$4)</f>
        <v>43322</v>
      </c>
      <c r="D7414" s="1">
        <f>IF(Tabela1[[#This Row],[promien]]&lt;40000,1,0)</f>
        <v>0</v>
      </c>
      <c r="E7414" s="1">
        <f>IF(Tabela1[[#This Row],[promien]]=40000,1,0)</f>
        <v>0</v>
      </c>
      <c r="F7414" s="1">
        <v>3.1615861882924197</v>
      </c>
      <c r="G7414" s="1">
        <v>1.9993534702626548E-2</v>
      </c>
    </row>
    <row r="7415" spans="1:7">
      <c r="A7415">
        <v>336</v>
      </c>
      <c r="B7415">
        <v>307</v>
      </c>
      <c r="C7415" s="1">
        <f>(Tabela1[[#This Row],[x]]-H$3)*(Tabela1[[#This Row],[x]]-H$3) +(Tabela1[[#This Row],[y]]-H$4)*(Tabela1[[#This Row],[y]]-H$4)</f>
        <v>29945</v>
      </c>
      <c r="D7415" s="1">
        <f>IF(Tabela1[[#This Row],[promien]]&lt;40000,1,0)</f>
        <v>1</v>
      </c>
      <c r="E7415" s="1">
        <f>IF(Tabela1[[#This Row],[promien]]=40000,1,0)</f>
        <v>0</v>
      </c>
      <c r="F7415" s="1">
        <v>3.1616992582602834</v>
      </c>
      <c r="G7415" s="1">
        <v>2.0106604670490302E-2</v>
      </c>
    </row>
    <row r="7416" spans="1:7">
      <c r="A7416">
        <v>284</v>
      </c>
      <c r="B7416">
        <v>9</v>
      </c>
      <c r="C7416" s="1">
        <f>(Tabela1[[#This Row],[x]]-H$3)*(Tabela1[[#This Row],[x]]-H$3) +(Tabela1[[#This Row],[y]]-H$4)*(Tabela1[[#This Row],[y]]-H$4)</f>
        <v>43537</v>
      </c>
      <c r="D7416" s="1">
        <f>IF(Tabela1[[#This Row],[promien]]&lt;40000,1,0)</f>
        <v>0</v>
      </c>
      <c r="E7416" s="1">
        <f>IF(Tabela1[[#This Row],[promien]]=40000,1,0)</f>
        <v>0</v>
      </c>
      <c r="F7416" s="1">
        <v>3.1612729234088457</v>
      </c>
      <c r="G7416" s="1">
        <v>1.9680269819052576E-2</v>
      </c>
    </row>
    <row r="7417" spans="1:7">
      <c r="A7417">
        <v>387</v>
      </c>
      <c r="B7417">
        <v>345</v>
      </c>
      <c r="C7417" s="1">
        <f>(Tabela1[[#This Row],[x]]-H$3)*(Tabela1[[#This Row],[x]]-H$3) +(Tabela1[[#This Row],[y]]-H$4)*(Tabela1[[#This Row],[y]]-H$4)</f>
        <v>55994</v>
      </c>
      <c r="D7417" s="1">
        <f>IF(Tabela1[[#This Row],[promien]]&lt;40000,1,0)</f>
        <v>0</v>
      </c>
      <c r="E7417" s="1">
        <f>IF(Tabela1[[#This Row],[promien]]=40000,1,0)</f>
        <v>0</v>
      </c>
      <c r="F7417" s="1">
        <v>3.1608467035189429</v>
      </c>
      <c r="G7417" s="1">
        <v>1.9254049929149808E-2</v>
      </c>
    </row>
    <row r="7418" spans="1:7">
      <c r="A7418">
        <v>152</v>
      </c>
      <c r="B7418">
        <v>22</v>
      </c>
      <c r="C7418" s="1">
        <f>(Tabela1[[#This Row],[x]]-H$3)*(Tabela1[[#This Row],[x]]-H$3) +(Tabela1[[#This Row],[y]]-H$4)*(Tabela1[[#This Row],[y]]-H$4)</f>
        <v>33988</v>
      </c>
      <c r="D7418" s="1">
        <f>IF(Tabela1[[#This Row],[promien]]&lt;40000,1,0)</f>
        <v>1</v>
      </c>
      <c r="E7418" s="1">
        <f>IF(Tabela1[[#This Row],[promien]]=40000,1,0)</f>
        <v>0</v>
      </c>
      <c r="F7418" s="1">
        <v>3.1609598274467512</v>
      </c>
      <c r="G7418" s="1">
        <v>1.9367173856958075E-2</v>
      </c>
    </row>
    <row r="7419" spans="1:7">
      <c r="A7419">
        <v>82</v>
      </c>
      <c r="B7419">
        <v>321</v>
      </c>
      <c r="C7419" s="1">
        <f>(Tabela1[[#This Row],[x]]-H$3)*(Tabela1[[#This Row],[x]]-H$3) +(Tabela1[[#This Row],[y]]-H$4)*(Tabela1[[#This Row],[y]]-H$4)</f>
        <v>28565</v>
      </c>
      <c r="D7419" s="1">
        <f>IF(Tabela1[[#This Row],[promien]]&lt;40000,1,0)</f>
        <v>1</v>
      </c>
      <c r="E7419" s="1">
        <f>IF(Tabela1[[#This Row],[promien]]=40000,1,0)</f>
        <v>0</v>
      </c>
      <c r="F7419" s="1">
        <v>3.1610729208788246</v>
      </c>
      <c r="G7419" s="1">
        <v>1.9480267289031516E-2</v>
      </c>
    </row>
    <row r="7420" spans="1:7">
      <c r="A7420">
        <v>202</v>
      </c>
      <c r="B7420">
        <v>246</v>
      </c>
      <c r="C7420" s="1">
        <f>(Tabela1[[#This Row],[x]]-H$3)*(Tabela1[[#This Row],[x]]-H$3) +(Tabela1[[#This Row],[y]]-H$4)*(Tabela1[[#This Row],[y]]-H$4)</f>
        <v>2120</v>
      </c>
      <c r="D7420" s="1">
        <f>IF(Tabela1[[#This Row],[promien]]&lt;40000,1,0)</f>
        <v>1</v>
      </c>
      <c r="E7420" s="1">
        <f>IF(Tabela1[[#This Row],[promien]]=40000,1,0)</f>
        <v>0</v>
      </c>
      <c r="F7420" s="1">
        <v>3.1611859838274934</v>
      </c>
      <c r="G7420" s="1">
        <v>1.9593330237700268E-2</v>
      </c>
    </row>
    <row r="7421" spans="1:7">
      <c r="A7421">
        <v>21</v>
      </c>
      <c r="B7421">
        <v>319</v>
      </c>
      <c r="C7421" s="1">
        <f>(Tabela1[[#This Row],[x]]-H$3)*(Tabela1[[#This Row],[x]]-H$3) +(Tabela1[[#This Row],[y]]-H$4)*(Tabela1[[#This Row],[y]]-H$4)</f>
        <v>46202</v>
      </c>
      <c r="D7421" s="1">
        <f>IF(Tabela1[[#This Row],[promien]]&lt;40000,1,0)</f>
        <v>0</v>
      </c>
      <c r="E7421" s="1">
        <f>IF(Tabela1[[#This Row],[promien]]=40000,1,0)</f>
        <v>0</v>
      </c>
      <c r="F7421" s="1">
        <v>3.160760005390109</v>
      </c>
      <c r="G7421" s="1">
        <v>1.9167351800315924E-2</v>
      </c>
    </row>
    <row r="7422" spans="1:7">
      <c r="A7422">
        <v>347</v>
      </c>
      <c r="B7422">
        <v>31</v>
      </c>
      <c r="C7422" s="1">
        <f>(Tabela1[[#This Row],[x]]-H$3)*(Tabela1[[#This Row],[x]]-H$3) +(Tabela1[[#This Row],[y]]-H$4)*(Tabela1[[#This Row],[y]]-H$4)</f>
        <v>50170</v>
      </c>
      <c r="D7422" s="1">
        <f>IF(Tabela1[[#This Row],[promien]]&lt;40000,1,0)</f>
        <v>0</v>
      </c>
      <c r="E7422" s="1">
        <f>IF(Tabela1[[#This Row],[promien]]=40000,1,0)</f>
        <v>0</v>
      </c>
      <c r="F7422" s="1">
        <v>3.1603341417407709</v>
      </c>
      <c r="G7422" s="1">
        <v>1.8741488150977759E-2</v>
      </c>
    </row>
    <row r="7423" spans="1:7">
      <c r="A7423">
        <v>319</v>
      </c>
      <c r="B7423">
        <v>380</v>
      </c>
      <c r="C7423" s="1">
        <f>(Tabela1[[#This Row],[x]]-H$3)*(Tabela1[[#This Row],[x]]-H$3) +(Tabela1[[#This Row],[y]]-H$4)*(Tabela1[[#This Row],[y]]-H$4)</f>
        <v>46561</v>
      </c>
      <c r="D7423" s="1">
        <f>IF(Tabela1[[#This Row],[promien]]&lt;40000,1,0)</f>
        <v>0</v>
      </c>
      <c r="E7423" s="1">
        <f>IF(Tabela1[[#This Row],[promien]]=40000,1,0)</f>
        <v>0</v>
      </c>
      <c r="F7423" s="1">
        <v>3.1599083928330862</v>
      </c>
      <c r="G7423" s="1">
        <v>1.8315739243293105E-2</v>
      </c>
    </row>
    <row r="7424" spans="1:7">
      <c r="A7424">
        <v>290</v>
      </c>
      <c r="B7424">
        <v>359</v>
      </c>
      <c r="C7424" s="1">
        <f>(Tabela1[[#This Row],[x]]-H$3)*(Tabela1[[#This Row],[x]]-H$3) +(Tabela1[[#This Row],[y]]-H$4)*(Tabela1[[#This Row],[y]]-H$4)</f>
        <v>33381</v>
      </c>
      <c r="D7424" s="1">
        <f>IF(Tabela1[[#This Row],[promien]]&lt;40000,1,0)</f>
        <v>1</v>
      </c>
      <c r="E7424" s="1">
        <f>IF(Tabela1[[#This Row],[promien]]=40000,1,0)</f>
        <v>0</v>
      </c>
      <c r="F7424" s="1">
        <v>3.1600215517241379</v>
      </c>
      <c r="G7424" s="1">
        <v>1.8428898134344784E-2</v>
      </c>
    </row>
    <row r="7425" spans="1:7">
      <c r="A7425">
        <v>371</v>
      </c>
      <c r="B7425">
        <v>52</v>
      </c>
      <c r="C7425" s="1">
        <f>(Tabela1[[#This Row],[x]]-H$3)*(Tabela1[[#This Row],[x]]-H$3) +(Tabela1[[#This Row],[y]]-H$4)*(Tabela1[[#This Row],[y]]-H$4)</f>
        <v>51145</v>
      </c>
      <c r="D7425" s="1">
        <f>IF(Tabela1[[#This Row],[promien]]&lt;40000,1,0)</f>
        <v>0</v>
      </c>
      <c r="E7425" s="1">
        <f>IF(Tabela1[[#This Row],[promien]]=40000,1,0)</f>
        <v>0</v>
      </c>
      <c r="F7425" s="1">
        <v>3.1595959595959595</v>
      </c>
      <c r="G7425" s="1">
        <v>1.8003306006166397E-2</v>
      </c>
    </row>
    <row r="7426" spans="1:7">
      <c r="A7426">
        <v>116</v>
      </c>
      <c r="B7426">
        <v>194</v>
      </c>
      <c r="C7426" s="1">
        <f>(Tabela1[[#This Row],[x]]-H$3)*(Tabela1[[#This Row],[x]]-H$3) +(Tabela1[[#This Row],[y]]-H$4)*(Tabela1[[#This Row],[y]]-H$4)</f>
        <v>7092</v>
      </c>
      <c r="D7426" s="1">
        <f>IF(Tabela1[[#This Row],[promien]]&lt;40000,1,0)</f>
        <v>1</v>
      </c>
      <c r="E7426" s="1">
        <f>IF(Tabela1[[#This Row],[promien]]=40000,1,0)</f>
        <v>0</v>
      </c>
      <c r="F7426" s="1">
        <v>3.1597091300834905</v>
      </c>
      <c r="G7426" s="1">
        <v>1.8116476493697409E-2</v>
      </c>
    </row>
    <row r="7427" spans="1:7">
      <c r="A7427">
        <v>96</v>
      </c>
      <c r="B7427">
        <v>252</v>
      </c>
      <c r="C7427" s="1">
        <f>(Tabela1[[#This Row],[x]]-H$3)*(Tabela1[[#This Row],[x]]-H$3) +(Tabela1[[#This Row],[y]]-H$4)*(Tabela1[[#This Row],[y]]-H$4)</f>
        <v>13520</v>
      </c>
      <c r="D7427" s="1">
        <f>IF(Tabela1[[#This Row],[promien]]&lt;40000,1,0)</f>
        <v>1</v>
      </c>
      <c r="E7427" s="1">
        <f>IF(Tabela1[[#This Row],[promien]]=40000,1,0)</f>
        <v>0</v>
      </c>
      <c r="F7427" s="1">
        <v>3.1598222700955971</v>
      </c>
      <c r="G7427" s="1">
        <v>1.8229616505804014E-2</v>
      </c>
    </row>
    <row r="7428" spans="1:7">
      <c r="A7428">
        <v>176</v>
      </c>
      <c r="B7428">
        <v>119</v>
      </c>
      <c r="C7428" s="1">
        <f>(Tabela1[[#This Row],[x]]-H$3)*(Tabela1[[#This Row],[x]]-H$3) +(Tabela1[[#This Row],[y]]-H$4)*(Tabela1[[#This Row],[y]]-H$4)</f>
        <v>7137</v>
      </c>
      <c r="D7428" s="1">
        <f>IF(Tabela1[[#This Row],[promien]]&lt;40000,1,0)</f>
        <v>1</v>
      </c>
      <c r="E7428" s="1">
        <f>IF(Tabela1[[#This Row],[promien]]=40000,1,0)</f>
        <v>0</v>
      </c>
      <c r="F7428" s="1">
        <v>3.1599353796445881</v>
      </c>
      <c r="G7428" s="1">
        <v>1.8342726054795033E-2</v>
      </c>
    </row>
    <row r="7429" spans="1:7">
      <c r="A7429">
        <v>111</v>
      </c>
      <c r="B7429">
        <v>353</v>
      </c>
      <c r="C7429" s="1">
        <f>(Tabela1[[#This Row],[x]]-H$3)*(Tabela1[[#This Row],[x]]-H$3) +(Tabela1[[#This Row],[y]]-H$4)*(Tabela1[[#This Row],[y]]-H$4)</f>
        <v>31330</v>
      </c>
      <c r="D7429" s="1">
        <f>IF(Tabela1[[#This Row],[promien]]&lt;40000,1,0)</f>
        <v>1</v>
      </c>
      <c r="E7429" s="1">
        <f>IF(Tabela1[[#This Row],[promien]]=40000,1,0)</f>
        <v>0</v>
      </c>
      <c r="F7429" s="1">
        <v>3.1600484587427649</v>
      </c>
      <c r="G7429" s="1">
        <v>1.8455805152971738E-2</v>
      </c>
    </row>
    <row r="7430" spans="1:7">
      <c r="A7430">
        <v>242</v>
      </c>
      <c r="B7430">
        <v>326</v>
      </c>
      <c r="C7430" s="1">
        <f>(Tabela1[[#This Row],[x]]-H$3)*(Tabela1[[#This Row],[x]]-H$3) +(Tabela1[[#This Row],[y]]-H$4)*(Tabela1[[#This Row],[y]]-H$4)</f>
        <v>17640</v>
      </c>
      <c r="D7430" s="1">
        <f>IF(Tabela1[[#This Row],[promien]]&lt;40000,1,0)</f>
        <v>1</v>
      </c>
      <c r="E7430" s="1">
        <f>IF(Tabela1[[#This Row],[promien]]=40000,1,0)</f>
        <v>0</v>
      </c>
      <c r="F7430" s="1">
        <v>3.1601615074024227</v>
      </c>
      <c r="G7430" s="1">
        <v>1.8568853812629627E-2</v>
      </c>
    </row>
    <row r="7431" spans="1:7">
      <c r="A7431">
        <v>187</v>
      </c>
      <c r="B7431">
        <v>51</v>
      </c>
      <c r="C7431" s="1">
        <f>(Tabela1[[#This Row],[x]]-H$3)*(Tabela1[[#This Row],[x]]-H$3) +(Tabela1[[#This Row],[y]]-H$4)*(Tabela1[[#This Row],[y]]-H$4)</f>
        <v>22370</v>
      </c>
      <c r="D7431" s="1">
        <f>IF(Tabela1[[#This Row],[promien]]&lt;40000,1,0)</f>
        <v>1</v>
      </c>
      <c r="E7431" s="1">
        <f>IF(Tabela1[[#This Row],[promien]]=40000,1,0)</f>
        <v>0</v>
      </c>
      <c r="F7431" s="1">
        <v>3.1602745256358498</v>
      </c>
      <c r="G7431" s="1">
        <v>1.8681872046056647E-2</v>
      </c>
    </row>
    <row r="7432" spans="1:7">
      <c r="A7432">
        <v>400</v>
      </c>
      <c r="B7432">
        <v>339</v>
      </c>
      <c r="C7432" s="1">
        <f>(Tabela1[[#This Row],[x]]-H$3)*(Tabela1[[#This Row],[x]]-H$3) +(Tabela1[[#This Row],[y]]-H$4)*(Tabela1[[#This Row],[y]]-H$4)</f>
        <v>59321</v>
      </c>
      <c r="D7432" s="1">
        <f>IF(Tabela1[[#This Row],[promien]]&lt;40000,1,0)</f>
        <v>0</v>
      </c>
      <c r="E7432" s="1">
        <f>IF(Tabela1[[#This Row],[promien]]=40000,1,0)</f>
        <v>0</v>
      </c>
      <c r="F7432" s="1">
        <v>3.1598493003229278</v>
      </c>
      <c r="G7432" s="1">
        <v>1.8256646733134652E-2</v>
      </c>
    </row>
    <row r="7433" spans="1:7">
      <c r="A7433">
        <v>233</v>
      </c>
      <c r="B7433">
        <v>355</v>
      </c>
      <c r="C7433" s="1">
        <f>(Tabela1[[#This Row],[x]]-H$3)*(Tabela1[[#This Row],[x]]-H$3) +(Tabela1[[#This Row],[y]]-H$4)*(Tabela1[[#This Row],[y]]-H$4)</f>
        <v>25114</v>
      </c>
      <c r="D7433" s="1">
        <f>IF(Tabela1[[#This Row],[promien]]&lt;40000,1,0)</f>
        <v>1</v>
      </c>
      <c r="E7433" s="1">
        <f>IF(Tabela1[[#This Row],[promien]]=40000,1,0)</f>
        <v>0</v>
      </c>
      <c r="F7433" s="1">
        <v>3.1599623301493343</v>
      </c>
      <c r="G7433" s="1">
        <v>1.8369676559541137E-2</v>
      </c>
    </row>
    <row r="7434" spans="1:7">
      <c r="A7434">
        <v>397</v>
      </c>
      <c r="B7434">
        <v>269</v>
      </c>
      <c r="C7434" s="1">
        <f>(Tabela1[[#This Row],[x]]-H$3)*(Tabela1[[#This Row],[x]]-H$3) +(Tabela1[[#This Row],[y]]-H$4)*(Tabela1[[#This Row],[y]]-H$4)</f>
        <v>43570</v>
      </c>
      <c r="D7434" s="1">
        <f>IF(Tabela1[[#This Row],[promien]]&lt;40000,1,0)</f>
        <v>0</v>
      </c>
      <c r="E7434" s="1">
        <f>IF(Tabela1[[#This Row],[promien]]=40000,1,0)</f>
        <v>0</v>
      </c>
      <c r="F7434" s="1">
        <v>3.1595372612321766</v>
      </c>
      <c r="G7434" s="1">
        <v>1.7944607642383481E-2</v>
      </c>
    </row>
    <row r="7435" spans="1:7">
      <c r="A7435">
        <v>68</v>
      </c>
      <c r="B7435">
        <v>344</v>
      </c>
      <c r="C7435" s="1">
        <f>(Tabela1[[#This Row],[x]]-H$3)*(Tabela1[[#This Row],[x]]-H$3) +(Tabela1[[#This Row],[y]]-H$4)*(Tabela1[[#This Row],[y]]-H$4)</f>
        <v>38160</v>
      </c>
      <c r="D7435" s="1">
        <f>IF(Tabela1[[#This Row],[promien]]&lt;40000,1,0)</f>
        <v>1</v>
      </c>
      <c r="E7435" s="1">
        <f>IF(Tabela1[[#This Row],[promien]]=40000,1,0)</f>
        <v>0</v>
      </c>
      <c r="F7435" s="1">
        <v>3.1596503026227305</v>
      </c>
      <c r="G7435" s="1">
        <v>1.8057649032937384E-2</v>
      </c>
    </row>
    <row r="7436" spans="1:7">
      <c r="A7436">
        <v>322</v>
      </c>
      <c r="B7436">
        <v>376</v>
      </c>
      <c r="C7436" s="1">
        <f>(Tabela1[[#This Row],[x]]-H$3)*(Tabela1[[#This Row],[x]]-H$3) +(Tabela1[[#This Row],[y]]-H$4)*(Tabela1[[#This Row],[y]]-H$4)</f>
        <v>45860</v>
      </c>
      <c r="D7436" s="1">
        <f>IF(Tabela1[[#This Row],[promien]]&lt;40000,1,0)</f>
        <v>0</v>
      </c>
      <c r="E7436" s="1">
        <f>IF(Tabela1[[#This Row],[promien]]=40000,1,0)</f>
        <v>0</v>
      </c>
      <c r="F7436" s="1">
        <v>3.1592253899946208</v>
      </c>
      <c r="G7436" s="1">
        <v>1.7632736404827654E-2</v>
      </c>
    </row>
    <row r="7437" spans="1:7">
      <c r="A7437">
        <v>186</v>
      </c>
      <c r="B7437">
        <v>9</v>
      </c>
      <c r="C7437" s="1">
        <f>(Tabela1[[#This Row],[x]]-H$3)*(Tabela1[[#This Row],[x]]-H$3) +(Tabela1[[#This Row],[y]]-H$4)*(Tabela1[[#This Row],[y]]-H$4)</f>
        <v>36677</v>
      </c>
      <c r="D7437" s="1">
        <f>IF(Tabela1[[#This Row],[promien]]&lt;40000,1,0)</f>
        <v>1</v>
      </c>
      <c r="E7437" s="1">
        <f>IF(Tabela1[[#This Row],[promien]]=40000,1,0)</f>
        <v>0</v>
      </c>
      <c r="F7437" s="1">
        <v>3.1593384429205327</v>
      </c>
      <c r="G7437" s="1">
        <v>1.7745789330739559E-2</v>
      </c>
    </row>
    <row r="7438" spans="1:7">
      <c r="A7438">
        <v>355</v>
      </c>
      <c r="B7438">
        <v>208</v>
      </c>
      <c r="C7438" s="1">
        <f>(Tabela1[[#This Row],[x]]-H$3)*(Tabela1[[#This Row],[x]]-H$3) +(Tabela1[[#This Row],[y]]-H$4)*(Tabela1[[#This Row],[y]]-H$4)</f>
        <v>24089</v>
      </c>
      <c r="D7438" s="1">
        <f>IF(Tabela1[[#This Row],[promien]]&lt;40000,1,0)</f>
        <v>1</v>
      </c>
      <c r="E7438" s="1">
        <f>IF(Tabela1[[#This Row],[promien]]=40000,1,0)</f>
        <v>0</v>
      </c>
      <c r="F7438" s="1">
        <v>3.1594514654477011</v>
      </c>
      <c r="G7438" s="1">
        <v>1.7858811857907941E-2</v>
      </c>
    </row>
    <row r="7439" spans="1:7">
      <c r="A7439">
        <v>104</v>
      </c>
      <c r="B7439">
        <v>60</v>
      </c>
      <c r="C7439" s="1">
        <f>(Tabela1[[#This Row],[x]]-H$3)*(Tabela1[[#This Row],[x]]-H$3) +(Tabela1[[#This Row],[y]]-H$4)*(Tabela1[[#This Row],[y]]-H$4)</f>
        <v>28816</v>
      </c>
      <c r="D7439" s="1">
        <f>IF(Tabela1[[#This Row],[promien]]&lt;40000,1,0)</f>
        <v>1</v>
      </c>
      <c r="E7439" s="1">
        <f>IF(Tabela1[[#This Row],[promien]]=40000,1,0)</f>
        <v>0</v>
      </c>
      <c r="F7439" s="1">
        <v>3.1595644575883854</v>
      </c>
      <c r="G7439" s="1">
        <v>1.7971803998592328E-2</v>
      </c>
    </row>
    <row r="7440" spans="1:7">
      <c r="A7440">
        <v>373</v>
      </c>
      <c r="B7440">
        <v>46</v>
      </c>
      <c r="C7440" s="1">
        <f>(Tabela1[[#This Row],[x]]-H$3)*(Tabela1[[#This Row],[x]]-H$3) +(Tabela1[[#This Row],[y]]-H$4)*(Tabela1[[#This Row],[y]]-H$4)</f>
        <v>53645</v>
      </c>
      <c r="D7440" s="1">
        <f>IF(Tabela1[[#This Row],[promien]]&lt;40000,1,0)</f>
        <v>0</v>
      </c>
      <c r="E7440" s="1">
        <f>IF(Tabela1[[#This Row],[promien]]=40000,1,0)</f>
        <v>0</v>
      </c>
      <c r="F7440" s="1">
        <v>3.1591397849462366</v>
      </c>
      <c r="G7440" s="1">
        <v>1.7547131356443479E-2</v>
      </c>
    </row>
    <row r="7441" spans="1:7">
      <c r="A7441">
        <v>358</v>
      </c>
      <c r="B7441">
        <v>165</v>
      </c>
      <c r="C7441" s="1">
        <f>(Tabela1[[#This Row],[x]]-H$3)*(Tabela1[[#This Row],[x]]-H$3) +(Tabela1[[#This Row],[y]]-H$4)*(Tabela1[[#This Row],[y]]-H$4)</f>
        <v>26189</v>
      </c>
      <c r="D7441" s="1">
        <f>IF(Tabela1[[#This Row],[promien]]&lt;40000,1,0)</f>
        <v>1</v>
      </c>
      <c r="E7441" s="1">
        <f>IF(Tabela1[[#This Row],[promien]]=40000,1,0)</f>
        <v>0</v>
      </c>
      <c r="F7441" s="1">
        <v>3.1592527886036823</v>
      </c>
      <c r="G7441" s="1">
        <v>1.7660135013889189E-2</v>
      </c>
    </row>
    <row r="7442" spans="1:7">
      <c r="A7442">
        <v>267</v>
      </c>
      <c r="B7442">
        <v>345</v>
      </c>
      <c r="C7442" s="1">
        <f>(Tabela1[[#This Row],[x]]-H$3)*(Tabela1[[#This Row],[x]]-H$3) +(Tabela1[[#This Row],[y]]-H$4)*(Tabela1[[#This Row],[y]]-H$4)</f>
        <v>25514</v>
      </c>
      <c r="D7442" s="1">
        <f>IF(Tabela1[[#This Row],[promien]]&lt;40000,1,0)</f>
        <v>1</v>
      </c>
      <c r="E7442" s="1">
        <f>IF(Tabela1[[#This Row],[promien]]=40000,1,0)</f>
        <v>0</v>
      </c>
      <c r="F7442" s="1">
        <v>3.1593657618919644</v>
      </c>
      <c r="G7442" s="1">
        <v>1.777310830217127E-2</v>
      </c>
    </row>
    <row r="7443" spans="1:7">
      <c r="A7443">
        <v>206</v>
      </c>
      <c r="B7443">
        <v>186</v>
      </c>
      <c r="C7443" s="1">
        <f>(Tabela1[[#This Row],[x]]-H$3)*(Tabela1[[#This Row],[x]]-H$3) +(Tabela1[[#This Row],[y]]-H$4)*(Tabela1[[#This Row],[y]]-H$4)</f>
        <v>232</v>
      </c>
      <c r="D7443" s="1">
        <f>IF(Tabela1[[#This Row],[promien]]&lt;40000,1,0)</f>
        <v>1</v>
      </c>
      <c r="E7443" s="1">
        <f>IF(Tabela1[[#This Row],[promien]]=40000,1,0)</f>
        <v>0</v>
      </c>
      <c r="F7443" s="1">
        <v>3.1594787048233237</v>
      </c>
      <c r="G7443" s="1">
        <v>1.7886051233530598E-2</v>
      </c>
    </row>
    <row r="7444" spans="1:7">
      <c r="A7444">
        <v>290</v>
      </c>
      <c r="B7444">
        <v>387</v>
      </c>
      <c r="C7444" s="1">
        <f>(Tabela1[[#This Row],[x]]-H$3)*(Tabela1[[#This Row],[x]]-H$3) +(Tabela1[[#This Row],[y]]-H$4)*(Tabela1[[#This Row],[y]]-H$4)</f>
        <v>43069</v>
      </c>
      <c r="D7444" s="1">
        <f>IF(Tabela1[[#This Row],[promien]]&lt;40000,1,0)</f>
        <v>0</v>
      </c>
      <c r="E7444" s="1">
        <f>IF(Tabela1[[#This Row],[promien]]=40000,1,0)</f>
        <v>0</v>
      </c>
      <c r="F7444" s="1">
        <v>3.1590542718968297</v>
      </c>
      <c r="G7444" s="1">
        <v>1.746161830703663E-2</v>
      </c>
    </row>
    <row r="7445" spans="1:7">
      <c r="A7445">
        <v>15</v>
      </c>
      <c r="B7445">
        <v>148</v>
      </c>
      <c r="C7445" s="1">
        <f>(Tabela1[[#This Row],[x]]-H$3)*(Tabela1[[#This Row],[x]]-H$3) +(Tabela1[[#This Row],[y]]-H$4)*(Tabela1[[#This Row],[y]]-H$4)</f>
        <v>36929</v>
      </c>
      <c r="D7445" s="1">
        <f>IF(Tabela1[[#This Row],[promien]]&lt;40000,1,0)</f>
        <v>1</v>
      </c>
      <c r="E7445" s="1">
        <f>IF(Tabela1[[#This Row],[promien]]=40000,1,0)</f>
        <v>0</v>
      </c>
      <c r="F7445" s="1">
        <v>3.1591672263263937</v>
      </c>
      <c r="G7445" s="1">
        <v>1.7574572736600569E-2</v>
      </c>
    </row>
    <row r="7446" spans="1:7">
      <c r="A7446">
        <v>78</v>
      </c>
      <c r="B7446">
        <v>343</v>
      </c>
      <c r="C7446" s="1">
        <f>(Tabela1[[#This Row],[x]]-H$3)*(Tabela1[[#This Row],[x]]-H$3) +(Tabela1[[#This Row],[y]]-H$4)*(Tabela1[[#This Row],[y]]-H$4)</f>
        <v>35333</v>
      </c>
      <c r="D7446" s="1">
        <f>IF(Tabela1[[#This Row],[promien]]&lt;40000,1,0)</f>
        <v>1</v>
      </c>
      <c r="E7446" s="1">
        <f>IF(Tabela1[[#This Row],[promien]]=40000,1,0)</f>
        <v>0</v>
      </c>
      <c r="F7446" s="1">
        <v>3.1592801504163308</v>
      </c>
      <c r="G7446" s="1">
        <v>1.7687496826537696E-2</v>
      </c>
    </row>
    <row r="7447" spans="1:7">
      <c r="A7447">
        <v>322</v>
      </c>
      <c r="B7447">
        <v>297</v>
      </c>
      <c r="C7447" s="1">
        <f>(Tabela1[[#This Row],[x]]-H$3)*(Tabela1[[#This Row],[x]]-H$3) +(Tabela1[[#This Row],[y]]-H$4)*(Tabela1[[#This Row],[y]]-H$4)</f>
        <v>24293</v>
      </c>
      <c r="D7447" s="1">
        <f>IF(Tabela1[[#This Row],[promien]]&lt;40000,1,0)</f>
        <v>1</v>
      </c>
      <c r="E7447" s="1">
        <f>IF(Tabela1[[#This Row],[promien]]=40000,1,0)</f>
        <v>0</v>
      </c>
      <c r="F7447" s="1">
        <v>3.1593930441788638</v>
      </c>
      <c r="G7447" s="1">
        <v>1.780039058907068E-2</v>
      </c>
    </row>
    <row r="7448" spans="1:7">
      <c r="A7448">
        <v>274</v>
      </c>
      <c r="B7448">
        <v>91</v>
      </c>
      <c r="C7448" s="1">
        <f>(Tabela1[[#This Row],[x]]-H$3)*(Tabela1[[#This Row],[x]]-H$3) +(Tabela1[[#This Row],[y]]-H$4)*(Tabela1[[#This Row],[y]]-H$4)</f>
        <v>17357</v>
      </c>
      <c r="D7448" s="1">
        <f>IF(Tabela1[[#This Row],[promien]]&lt;40000,1,0)</f>
        <v>1</v>
      </c>
      <c r="E7448" s="1">
        <f>IF(Tabela1[[#This Row],[promien]]=40000,1,0)</f>
        <v>0</v>
      </c>
      <c r="F7448" s="1">
        <v>3.1595059076262082</v>
      </c>
      <c r="G7448" s="1">
        <v>1.7913254036415083E-2</v>
      </c>
    </row>
    <row r="7449" spans="1:7">
      <c r="A7449">
        <v>159</v>
      </c>
      <c r="B7449">
        <v>293</v>
      </c>
      <c r="C7449" s="1">
        <f>(Tabela1[[#This Row],[x]]-H$3)*(Tabela1[[#This Row],[x]]-H$3) +(Tabela1[[#This Row],[y]]-H$4)*(Tabela1[[#This Row],[y]]-H$4)</f>
        <v>10330</v>
      </c>
      <c r="D7449" s="1">
        <f>IF(Tabela1[[#This Row],[promien]]&lt;40000,1,0)</f>
        <v>1</v>
      </c>
      <c r="E7449" s="1">
        <f>IF(Tabela1[[#This Row],[promien]]=40000,1,0)</f>
        <v>0</v>
      </c>
      <c r="F7449" s="1">
        <v>3.1596187407705734</v>
      </c>
      <c r="G7449" s="1">
        <v>1.8026087180780248E-2</v>
      </c>
    </row>
    <row r="7450" spans="1:7">
      <c r="A7450">
        <v>380</v>
      </c>
      <c r="B7450">
        <v>144</v>
      </c>
      <c r="C7450" s="1">
        <f>(Tabela1[[#This Row],[x]]-H$3)*(Tabela1[[#This Row],[x]]-H$3) +(Tabela1[[#This Row],[y]]-H$4)*(Tabela1[[#This Row],[y]]-H$4)</f>
        <v>35536</v>
      </c>
      <c r="D7450" s="1">
        <f>IF(Tabela1[[#This Row],[promien]]&lt;40000,1,0)</f>
        <v>1</v>
      </c>
      <c r="E7450" s="1">
        <f>IF(Tabela1[[#This Row],[promien]]=40000,1,0)</f>
        <v>0</v>
      </c>
      <c r="F7450" s="1">
        <v>3.1597315436241611</v>
      </c>
      <c r="G7450" s="1">
        <v>1.8138890034367972E-2</v>
      </c>
    </row>
    <row r="7451" spans="1:7">
      <c r="A7451">
        <v>318</v>
      </c>
      <c r="B7451">
        <v>199</v>
      </c>
      <c r="C7451" s="1">
        <f>(Tabela1[[#This Row],[x]]-H$3)*(Tabela1[[#This Row],[x]]-H$3) +(Tabela1[[#This Row],[y]]-H$4)*(Tabela1[[#This Row],[y]]-H$4)</f>
        <v>13925</v>
      </c>
      <c r="D7451" s="1">
        <f>IF(Tabela1[[#This Row],[promien]]&lt;40000,1,0)</f>
        <v>1</v>
      </c>
      <c r="E7451" s="1">
        <f>IF(Tabela1[[#This Row],[promien]]=40000,1,0)</f>
        <v>0</v>
      </c>
      <c r="F7451" s="1">
        <v>3.1598443161991678</v>
      </c>
      <c r="G7451" s="1">
        <v>1.8251662609374719E-2</v>
      </c>
    </row>
    <row r="7452" spans="1:7">
      <c r="A7452">
        <v>288</v>
      </c>
      <c r="B7452">
        <v>192</v>
      </c>
      <c r="C7452" s="1">
        <f>(Tabela1[[#This Row],[x]]-H$3)*(Tabela1[[#This Row],[x]]-H$3) +(Tabela1[[#This Row],[y]]-H$4)*(Tabela1[[#This Row],[y]]-H$4)</f>
        <v>7808</v>
      </c>
      <c r="D7452" s="1">
        <f>IF(Tabela1[[#This Row],[promien]]&lt;40000,1,0)</f>
        <v>1</v>
      </c>
      <c r="E7452" s="1">
        <f>IF(Tabela1[[#This Row],[promien]]=40000,1,0)</f>
        <v>0</v>
      </c>
      <c r="F7452" s="1">
        <v>3.159957058507783</v>
      </c>
      <c r="G7452" s="1">
        <v>1.8364404917989852E-2</v>
      </c>
    </row>
    <row r="7453" spans="1:7">
      <c r="A7453">
        <v>365</v>
      </c>
      <c r="B7453">
        <v>170</v>
      </c>
      <c r="C7453" s="1">
        <f>(Tabela1[[#This Row],[x]]-H$3)*(Tabela1[[#This Row],[x]]-H$3) +(Tabela1[[#This Row],[y]]-H$4)*(Tabela1[[#This Row],[y]]-H$4)</f>
        <v>28125</v>
      </c>
      <c r="D7453" s="1">
        <f>IF(Tabela1[[#This Row],[promien]]&lt;40000,1,0)</f>
        <v>1</v>
      </c>
      <c r="E7453" s="1">
        <f>IF(Tabela1[[#This Row],[promien]]=40000,1,0)</f>
        <v>0</v>
      </c>
      <c r="F7453" s="1">
        <v>3.1600697705621896</v>
      </c>
      <c r="G7453" s="1">
        <v>1.8477116972396512E-2</v>
      </c>
    </row>
    <row r="7454" spans="1:7">
      <c r="A7454">
        <v>131</v>
      </c>
      <c r="B7454">
        <v>139</v>
      </c>
      <c r="C7454" s="1">
        <f>(Tabela1[[#This Row],[x]]-H$3)*(Tabela1[[#This Row],[x]]-H$3) +(Tabela1[[#This Row],[y]]-H$4)*(Tabela1[[#This Row],[y]]-H$4)</f>
        <v>8482</v>
      </c>
      <c r="D7454" s="1">
        <f>IF(Tabela1[[#This Row],[promien]]&lt;40000,1,0)</f>
        <v>1</v>
      </c>
      <c r="E7454" s="1">
        <f>IF(Tabela1[[#This Row],[promien]]=40000,1,0)</f>
        <v>0</v>
      </c>
      <c r="F7454" s="1">
        <v>3.1601824523745639</v>
      </c>
      <c r="G7454" s="1">
        <v>1.8589798784770739E-2</v>
      </c>
    </row>
    <row r="7455" spans="1:7">
      <c r="A7455">
        <v>119</v>
      </c>
      <c r="B7455">
        <v>212</v>
      </c>
      <c r="C7455" s="1">
        <f>(Tabela1[[#This Row],[x]]-H$3)*(Tabela1[[#This Row],[x]]-H$3) +(Tabela1[[#This Row],[y]]-H$4)*(Tabela1[[#This Row],[y]]-H$4)</f>
        <v>6705</v>
      </c>
      <c r="D7455" s="1">
        <f>IF(Tabela1[[#This Row],[promien]]&lt;40000,1,0)</f>
        <v>1</v>
      </c>
      <c r="E7455" s="1">
        <f>IF(Tabela1[[#This Row],[promien]]=40000,1,0)</f>
        <v>0</v>
      </c>
      <c r="F7455" s="1">
        <v>3.1602951039570759</v>
      </c>
      <c r="G7455" s="1">
        <v>1.8702450367282797E-2</v>
      </c>
    </row>
    <row r="7456" spans="1:7">
      <c r="A7456">
        <v>26</v>
      </c>
      <c r="B7456">
        <v>347</v>
      </c>
      <c r="C7456" s="1">
        <f>(Tabela1[[#This Row],[x]]-H$3)*(Tabela1[[#This Row],[x]]-H$3) +(Tabela1[[#This Row],[y]]-H$4)*(Tabela1[[#This Row],[y]]-H$4)</f>
        <v>51885</v>
      </c>
      <c r="D7456" s="1">
        <f>IF(Tabela1[[#This Row],[promien]]&lt;40000,1,0)</f>
        <v>0</v>
      </c>
      <c r="E7456" s="1">
        <f>IF(Tabela1[[#This Row],[promien]]=40000,1,0)</f>
        <v>0</v>
      </c>
      <c r="F7456" s="1">
        <v>3.1598712446351933</v>
      </c>
      <c r="G7456" s="1">
        <v>1.8278591045400194E-2</v>
      </c>
    </row>
    <row r="7457" spans="1:7">
      <c r="A7457">
        <v>361</v>
      </c>
      <c r="B7457">
        <v>59</v>
      </c>
      <c r="C7457" s="1">
        <f>(Tabela1[[#This Row],[x]]-H$3)*(Tabela1[[#This Row],[x]]-H$3) +(Tabela1[[#This Row],[y]]-H$4)*(Tabela1[[#This Row],[y]]-H$4)</f>
        <v>45802</v>
      </c>
      <c r="D7457" s="1">
        <f>IF(Tabela1[[#This Row],[promien]]&lt;40000,1,0)</f>
        <v>0</v>
      </c>
      <c r="E7457" s="1">
        <f>IF(Tabela1[[#This Row],[promien]]=40000,1,0)</f>
        <v>0</v>
      </c>
      <c r="F7457" s="1">
        <v>3.1594474989942336</v>
      </c>
      <c r="G7457" s="1">
        <v>1.7854845404440489E-2</v>
      </c>
    </row>
    <row r="7458" spans="1:7">
      <c r="A7458">
        <v>220</v>
      </c>
      <c r="B7458">
        <v>256</v>
      </c>
      <c r="C7458" s="1">
        <f>(Tabela1[[#This Row],[x]]-H$3)*(Tabela1[[#This Row],[x]]-H$3) +(Tabela1[[#This Row],[y]]-H$4)*(Tabela1[[#This Row],[y]]-H$4)</f>
        <v>3536</v>
      </c>
      <c r="D7458" s="1">
        <f>IF(Tabela1[[#This Row],[promien]]&lt;40000,1,0)</f>
        <v>1</v>
      </c>
      <c r="E7458" s="1">
        <f>IF(Tabela1[[#This Row],[promien]]=40000,1,0)</f>
        <v>0</v>
      </c>
      <c r="F7458" s="1">
        <v>3.1595602038079913</v>
      </c>
      <c r="G7458" s="1">
        <v>1.7967550218198181E-2</v>
      </c>
    </row>
    <row r="7459" spans="1:7">
      <c r="A7459">
        <v>286</v>
      </c>
      <c r="B7459">
        <v>247</v>
      </c>
      <c r="C7459" s="1">
        <f>(Tabela1[[#This Row],[x]]-H$3)*(Tabela1[[#This Row],[x]]-H$3) +(Tabela1[[#This Row],[y]]-H$4)*(Tabela1[[#This Row],[y]]-H$4)</f>
        <v>9605</v>
      </c>
      <c r="D7459" s="1">
        <f>IF(Tabela1[[#This Row],[promien]]&lt;40000,1,0)</f>
        <v>1</v>
      </c>
      <c r="E7459" s="1">
        <f>IF(Tabela1[[#This Row],[promien]]=40000,1,0)</f>
        <v>0</v>
      </c>
      <c r="F7459" s="1">
        <v>3.1596728784019303</v>
      </c>
      <c r="G7459" s="1">
        <v>1.8080224812137224E-2</v>
      </c>
    </row>
    <row r="7460" spans="1:7">
      <c r="A7460">
        <v>287</v>
      </c>
      <c r="B7460">
        <v>153</v>
      </c>
      <c r="C7460" s="1">
        <f>(Tabela1[[#This Row],[x]]-H$3)*(Tabela1[[#This Row],[x]]-H$3) +(Tabela1[[#This Row],[y]]-H$4)*(Tabela1[[#This Row],[y]]-H$4)</f>
        <v>9778</v>
      </c>
      <c r="D7460" s="1">
        <f>IF(Tabela1[[#This Row],[promien]]&lt;40000,1,0)</f>
        <v>1</v>
      </c>
      <c r="E7460" s="1">
        <f>IF(Tabela1[[#This Row],[promien]]=40000,1,0)</f>
        <v>0</v>
      </c>
      <c r="F7460" s="1">
        <v>3.1597855227882037</v>
      </c>
      <c r="G7460" s="1">
        <v>1.8192869198410566E-2</v>
      </c>
    </row>
    <row r="7461" spans="1:7">
      <c r="A7461">
        <v>251</v>
      </c>
      <c r="B7461">
        <v>252</v>
      </c>
      <c r="C7461" s="1">
        <f>(Tabela1[[#This Row],[x]]-H$3)*(Tabela1[[#This Row],[x]]-H$3) +(Tabela1[[#This Row],[y]]-H$4)*(Tabela1[[#This Row],[y]]-H$4)</f>
        <v>5305</v>
      </c>
      <c r="D7461" s="1">
        <f>IF(Tabela1[[#This Row],[promien]]&lt;40000,1,0)</f>
        <v>1</v>
      </c>
      <c r="E7461" s="1">
        <f>IF(Tabela1[[#This Row],[promien]]=40000,1,0)</f>
        <v>0</v>
      </c>
      <c r="F7461" s="1">
        <v>3.1598981369789572</v>
      </c>
      <c r="G7461" s="1">
        <v>1.8305483389164046E-2</v>
      </c>
    </row>
    <row r="7462" spans="1:7">
      <c r="A7462">
        <v>361</v>
      </c>
      <c r="B7462">
        <v>393</v>
      </c>
      <c r="C7462" s="1">
        <f>(Tabela1[[#This Row],[x]]-H$3)*(Tabela1[[#This Row],[x]]-H$3) +(Tabela1[[#This Row],[y]]-H$4)*(Tabela1[[#This Row],[y]]-H$4)</f>
        <v>63170</v>
      </c>
      <c r="D7462" s="1">
        <f>IF(Tabela1[[#This Row],[promien]]&lt;40000,1,0)</f>
        <v>0</v>
      </c>
      <c r="E7462" s="1">
        <f>IF(Tabela1[[#This Row],[promien]]=40000,1,0)</f>
        <v>0</v>
      </c>
      <c r="F7462" s="1">
        <v>3.1594746716697935</v>
      </c>
      <c r="G7462" s="1">
        <v>1.7882018080000339E-2</v>
      </c>
    </row>
    <row r="7463" spans="1:7">
      <c r="A7463">
        <v>388</v>
      </c>
      <c r="B7463">
        <v>33</v>
      </c>
      <c r="C7463" s="1">
        <f>(Tabela1[[#This Row],[x]]-H$3)*(Tabela1[[#This Row],[x]]-H$3) +(Tabela1[[#This Row],[y]]-H$4)*(Tabela1[[#This Row],[y]]-H$4)</f>
        <v>63233</v>
      </c>
      <c r="D7463" s="1">
        <f>IF(Tabela1[[#This Row],[promien]]&lt;40000,1,0)</f>
        <v>0</v>
      </c>
      <c r="E7463" s="1">
        <f>IF(Tabela1[[#This Row],[promien]]=40000,1,0)</f>
        <v>0</v>
      </c>
      <c r="F7463" s="1">
        <v>3.1590513198445667</v>
      </c>
      <c r="G7463" s="1">
        <v>1.7458666254773547E-2</v>
      </c>
    </row>
    <row r="7464" spans="1:7">
      <c r="A7464">
        <v>68</v>
      </c>
      <c r="B7464">
        <v>121</v>
      </c>
      <c r="C7464" s="1">
        <f>(Tabela1[[#This Row],[x]]-H$3)*(Tabela1[[#This Row],[x]]-H$3) +(Tabela1[[#This Row],[y]]-H$4)*(Tabela1[[#This Row],[y]]-H$4)</f>
        <v>23665</v>
      </c>
      <c r="D7464" s="1">
        <f>IF(Tabela1[[#This Row],[promien]]&lt;40000,1,0)</f>
        <v>1</v>
      </c>
      <c r="E7464" s="1">
        <f>IF(Tabela1[[#This Row],[promien]]=40000,1,0)</f>
        <v>0</v>
      </c>
      <c r="F7464" s="1">
        <v>3.1591639871382635</v>
      </c>
      <c r="G7464" s="1">
        <v>1.7571333548470403E-2</v>
      </c>
    </row>
    <row r="7465" spans="1:7">
      <c r="A7465">
        <v>50</v>
      </c>
      <c r="B7465">
        <v>104</v>
      </c>
      <c r="C7465" s="1">
        <f>(Tabela1[[#This Row],[x]]-H$3)*(Tabela1[[#This Row],[x]]-H$3) +(Tabela1[[#This Row],[y]]-H$4)*(Tabela1[[#This Row],[y]]-H$4)</f>
        <v>31716</v>
      </c>
      <c r="D7465" s="1">
        <f>IF(Tabela1[[#This Row],[promien]]&lt;40000,1,0)</f>
        <v>1</v>
      </c>
      <c r="E7465" s="1">
        <f>IF(Tabela1[[#This Row],[promien]]=40000,1,0)</f>
        <v>0</v>
      </c>
      <c r="F7465" s="1">
        <v>3.1592766242464836</v>
      </c>
      <c r="G7465" s="1">
        <v>1.7683970656690473E-2</v>
      </c>
    </row>
    <row r="7466" spans="1:7">
      <c r="A7466">
        <v>198</v>
      </c>
      <c r="B7466">
        <v>377</v>
      </c>
      <c r="C7466" s="1">
        <f>(Tabela1[[#This Row],[x]]-H$3)*(Tabela1[[#This Row],[x]]-H$3) +(Tabela1[[#This Row],[y]]-H$4)*(Tabela1[[#This Row],[y]]-H$4)</f>
        <v>31333</v>
      </c>
      <c r="D7466" s="1">
        <f>IF(Tabela1[[#This Row],[promien]]&lt;40000,1,0)</f>
        <v>1</v>
      </c>
      <c r="E7466" s="1">
        <f>IF(Tabela1[[#This Row],[promien]]=40000,1,0)</f>
        <v>0</v>
      </c>
      <c r="F7466" s="1">
        <v>3.1593892311813554</v>
      </c>
      <c r="G7466" s="1">
        <v>1.7796577591562279E-2</v>
      </c>
    </row>
    <row r="7467" spans="1:7">
      <c r="A7467">
        <v>156</v>
      </c>
      <c r="B7467">
        <v>112</v>
      </c>
      <c r="C7467" s="1">
        <f>(Tabela1[[#This Row],[x]]-H$3)*(Tabela1[[#This Row],[x]]-H$3) +(Tabela1[[#This Row],[y]]-H$4)*(Tabela1[[#This Row],[y]]-H$4)</f>
        <v>9680</v>
      </c>
      <c r="D7467" s="1">
        <f>IF(Tabela1[[#This Row],[promien]]&lt;40000,1,0)</f>
        <v>1</v>
      </c>
      <c r="E7467" s="1">
        <f>IF(Tabela1[[#This Row],[promien]]=40000,1,0)</f>
        <v>0</v>
      </c>
      <c r="F7467" s="1">
        <v>3.1595018079550021</v>
      </c>
      <c r="G7467" s="1">
        <v>1.7909154365209012E-2</v>
      </c>
    </row>
    <row r="7468" spans="1:7">
      <c r="A7468">
        <v>18</v>
      </c>
      <c r="B7468">
        <v>7</v>
      </c>
      <c r="C7468" s="1">
        <f>(Tabela1[[#This Row],[x]]-H$3)*(Tabela1[[#This Row],[x]]-H$3) +(Tabela1[[#This Row],[y]]-H$4)*(Tabela1[[#This Row],[y]]-H$4)</f>
        <v>70373</v>
      </c>
      <c r="D7468" s="1">
        <f>IF(Tabela1[[#This Row],[promien]]&lt;40000,1,0)</f>
        <v>0</v>
      </c>
      <c r="E7468" s="1">
        <f>IF(Tabela1[[#This Row],[promien]]=40000,1,0)</f>
        <v>0</v>
      </c>
      <c r="F7468" s="1">
        <v>3.1590787359400108</v>
      </c>
      <c r="G7468" s="1">
        <v>1.7486082350217647E-2</v>
      </c>
    </row>
    <row r="7469" spans="1:7">
      <c r="A7469">
        <v>294</v>
      </c>
      <c r="B7469">
        <v>66</v>
      </c>
      <c r="C7469" s="1">
        <f>(Tabela1[[#This Row],[x]]-H$3)*(Tabela1[[#This Row],[x]]-H$3) +(Tabela1[[#This Row],[y]]-H$4)*(Tabela1[[#This Row],[y]]-H$4)</f>
        <v>26792</v>
      </c>
      <c r="D7469" s="1">
        <f>IF(Tabela1[[#This Row],[promien]]&lt;40000,1,0)</f>
        <v>1</v>
      </c>
      <c r="E7469" s="1">
        <f>IF(Tabela1[[#This Row],[promien]]=40000,1,0)</f>
        <v>0</v>
      </c>
      <c r="F7469" s="1">
        <v>3.1591913241397775</v>
      </c>
      <c r="G7469" s="1">
        <v>1.759867054998443E-2</v>
      </c>
    </row>
    <row r="7470" spans="1:7">
      <c r="A7470">
        <v>102</v>
      </c>
      <c r="B7470">
        <v>6</v>
      </c>
      <c r="C7470" s="1">
        <f>(Tabela1[[#This Row],[x]]-H$3)*(Tabela1[[#This Row],[x]]-H$3) +(Tabela1[[#This Row],[y]]-H$4)*(Tabela1[[#This Row],[y]]-H$4)</f>
        <v>47240</v>
      </c>
      <c r="D7470" s="1">
        <f>IF(Tabela1[[#This Row],[promien]]&lt;40000,1,0)</f>
        <v>0</v>
      </c>
      <c r="E7470" s="1">
        <f>IF(Tabela1[[#This Row],[promien]]=40000,1,0)</f>
        <v>0</v>
      </c>
      <c r="F7470" s="1">
        <v>3.1587684069611779</v>
      </c>
      <c r="G7470" s="1">
        <v>1.7175753371384772E-2</v>
      </c>
    </row>
    <row r="7471" spans="1:7">
      <c r="A7471">
        <v>166</v>
      </c>
      <c r="B7471">
        <v>222</v>
      </c>
      <c r="C7471" s="1">
        <f>(Tabela1[[#This Row],[x]]-H$3)*(Tabela1[[#This Row],[x]]-H$3) +(Tabela1[[#This Row],[y]]-H$4)*(Tabela1[[#This Row],[y]]-H$4)</f>
        <v>1640</v>
      </c>
      <c r="D7471" s="1">
        <f>IF(Tabela1[[#This Row],[promien]]&lt;40000,1,0)</f>
        <v>1</v>
      </c>
      <c r="E7471" s="1">
        <f>IF(Tabela1[[#This Row],[promien]]=40000,1,0)</f>
        <v>0</v>
      </c>
      <c r="F7471" s="1">
        <v>3.1588810065586936</v>
      </c>
      <c r="G7471" s="1">
        <v>1.7288352968900522E-2</v>
      </c>
    </row>
    <row r="7472" spans="1:7">
      <c r="A7472">
        <v>288</v>
      </c>
      <c r="B7472">
        <v>271</v>
      </c>
      <c r="C7472" s="1">
        <f>(Tabela1[[#This Row],[x]]-H$3)*(Tabela1[[#This Row],[x]]-H$3) +(Tabela1[[#This Row],[y]]-H$4)*(Tabela1[[#This Row],[y]]-H$4)</f>
        <v>12785</v>
      </c>
      <c r="D7472" s="1">
        <f>IF(Tabela1[[#This Row],[promien]]&lt;40000,1,0)</f>
        <v>1</v>
      </c>
      <c r="E7472" s="1">
        <f>IF(Tabela1[[#This Row],[promien]]=40000,1,0)</f>
        <v>0</v>
      </c>
      <c r="F7472" s="1">
        <v>3.1589935760171306</v>
      </c>
      <c r="G7472" s="1">
        <v>1.7400922427337484E-2</v>
      </c>
    </row>
    <row r="7473" spans="1:7">
      <c r="A7473">
        <v>367</v>
      </c>
      <c r="B7473">
        <v>391</v>
      </c>
      <c r="C7473" s="1">
        <f>(Tabela1[[#This Row],[x]]-H$3)*(Tabela1[[#This Row],[x]]-H$3) +(Tabela1[[#This Row],[y]]-H$4)*(Tabela1[[#This Row],[y]]-H$4)</f>
        <v>64370</v>
      </c>
      <c r="D7473" s="1">
        <f>IF(Tabela1[[#This Row],[promien]]&lt;40000,1,0)</f>
        <v>0</v>
      </c>
      <c r="E7473" s="1">
        <f>IF(Tabela1[[#This Row],[promien]]=40000,1,0)</f>
        <v>0</v>
      </c>
      <c r="F7473" s="1">
        <v>3.1585708550782816</v>
      </c>
      <c r="G7473" s="1">
        <v>1.6978201488488498E-2</v>
      </c>
    </row>
    <row r="7474" spans="1:7">
      <c r="A7474">
        <v>45</v>
      </c>
      <c r="B7474">
        <v>158</v>
      </c>
      <c r="C7474" s="1">
        <f>(Tabela1[[#This Row],[x]]-H$3)*(Tabela1[[#This Row],[x]]-H$3) +(Tabela1[[#This Row],[y]]-H$4)*(Tabela1[[#This Row],[y]]-H$4)</f>
        <v>25789</v>
      </c>
      <c r="D7474" s="1">
        <f>IF(Tabela1[[#This Row],[promien]]&lt;40000,1,0)</f>
        <v>1</v>
      </c>
      <c r="E7474" s="1">
        <f>IF(Tabela1[[#This Row],[promien]]=40000,1,0)</f>
        <v>0</v>
      </c>
      <c r="F7474" s="1">
        <v>3.1586834359111586</v>
      </c>
      <c r="G7474" s="1">
        <v>1.7090782321365516E-2</v>
      </c>
    </row>
    <row r="7475" spans="1:7">
      <c r="A7475">
        <v>399</v>
      </c>
      <c r="B7475">
        <v>47</v>
      </c>
      <c r="C7475" s="1">
        <f>(Tabela1[[#This Row],[x]]-H$3)*(Tabela1[[#This Row],[x]]-H$3) +(Tabela1[[#This Row],[y]]-H$4)*(Tabela1[[#This Row],[y]]-H$4)</f>
        <v>63010</v>
      </c>
      <c r="D7475" s="1">
        <f>IF(Tabela1[[#This Row],[promien]]&lt;40000,1,0)</f>
        <v>0</v>
      </c>
      <c r="E7475" s="1">
        <f>IF(Tabela1[[#This Row],[promien]]=40000,1,0)</f>
        <v>0</v>
      </c>
      <c r="F7475" s="1">
        <v>3.1582608695652175</v>
      </c>
      <c r="G7475" s="1">
        <v>1.6668215975424339E-2</v>
      </c>
    </row>
    <row r="7476" spans="1:7">
      <c r="A7476">
        <v>56</v>
      </c>
      <c r="B7476">
        <v>317</v>
      </c>
      <c r="C7476" s="1">
        <f>(Tabela1[[#This Row],[x]]-H$3)*(Tabela1[[#This Row],[x]]-H$3) +(Tabela1[[#This Row],[y]]-H$4)*(Tabela1[[#This Row],[y]]-H$4)</f>
        <v>34425</v>
      </c>
      <c r="D7476" s="1">
        <f>IF(Tabela1[[#This Row],[promien]]&lt;40000,1,0)</f>
        <v>1</v>
      </c>
      <c r="E7476" s="1">
        <f>IF(Tabela1[[#This Row],[promien]]=40000,1,0)</f>
        <v>0</v>
      </c>
      <c r="F7476" s="1">
        <v>3.1583734617442483</v>
      </c>
      <c r="G7476" s="1">
        <v>1.6780808154455151E-2</v>
      </c>
    </row>
    <row r="7477" spans="1:7">
      <c r="A7477">
        <v>352</v>
      </c>
      <c r="B7477">
        <v>285</v>
      </c>
      <c r="C7477" s="1">
        <f>(Tabela1[[#This Row],[x]]-H$3)*(Tabela1[[#This Row],[x]]-H$3) +(Tabela1[[#This Row],[y]]-H$4)*(Tabela1[[#This Row],[y]]-H$4)</f>
        <v>30329</v>
      </c>
      <c r="D7477" s="1">
        <f>IF(Tabela1[[#This Row],[promien]]&lt;40000,1,0)</f>
        <v>1</v>
      </c>
      <c r="E7477" s="1">
        <f>IF(Tabela1[[#This Row],[promien]]=40000,1,0)</f>
        <v>0</v>
      </c>
      <c r="F7477" s="1">
        <v>3.1584860238063395</v>
      </c>
      <c r="G7477" s="1">
        <v>1.6893370216546355E-2</v>
      </c>
    </row>
    <row r="7478" spans="1:7">
      <c r="A7478">
        <v>268</v>
      </c>
      <c r="B7478">
        <v>351</v>
      </c>
      <c r="C7478" s="1">
        <f>(Tabela1[[#This Row],[x]]-H$3)*(Tabela1[[#This Row],[x]]-H$3) +(Tabela1[[#This Row],[y]]-H$4)*(Tabela1[[#This Row],[y]]-H$4)</f>
        <v>27425</v>
      </c>
      <c r="D7478" s="1">
        <f>IF(Tabela1[[#This Row],[promien]]&lt;40000,1,0)</f>
        <v>1</v>
      </c>
      <c r="E7478" s="1">
        <f>IF(Tabela1[[#This Row],[promien]]=40000,1,0)</f>
        <v>0</v>
      </c>
      <c r="F7478" s="1">
        <v>3.158598555763573</v>
      </c>
      <c r="G7478" s="1">
        <v>1.7005902173779841E-2</v>
      </c>
    </row>
    <row r="7479" spans="1:7">
      <c r="A7479">
        <v>96</v>
      </c>
      <c r="B7479">
        <v>393</v>
      </c>
      <c r="C7479" s="1">
        <f>(Tabela1[[#This Row],[x]]-H$3)*(Tabela1[[#This Row],[x]]-H$3) +(Tabela1[[#This Row],[y]]-H$4)*(Tabela1[[#This Row],[y]]-H$4)</f>
        <v>48065</v>
      </c>
      <c r="D7479" s="1">
        <f>IF(Tabela1[[#This Row],[promien]]&lt;40000,1,0)</f>
        <v>0</v>
      </c>
      <c r="E7479" s="1">
        <f>IF(Tabela1[[#This Row],[promien]]=40000,1,0)</f>
        <v>0</v>
      </c>
      <c r="F7479" s="1">
        <v>3.1581762267682847</v>
      </c>
      <c r="G7479" s="1">
        <v>1.6583573178491573E-2</v>
      </c>
    </row>
    <row r="7480" spans="1:7">
      <c r="A7480">
        <v>14</v>
      </c>
      <c r="B7480">
        <v>161</v>
      </c>
      <c r="C7480" s="1">
        <f>(Tabela1[[#This Row],[x]]-H$3)*(Tabela1[[#This Row],[x]]-H$3) +(Tabela1[[#This Row],[y]]-H$4)*(Tabela1[[#This Row],[y]]-H$4)</f>
        <v>36117</v>
      </c>
      <c r="D7480" s="1">
        <f>IF(Tabela1[[#This Row],[promien]]&lt;40000,1,0)</f>
        <v>1</v>
      </c>
      <c r="E7480" s="1">
        <f>IF(Tabela1[[#This Row],[promien]]=40000,1,0)</f>
        <v>0</v>
      </c>
      <c r="F7480" s="1">
        <v>3.1582887700534759</v>
      </c>
      <c r="G7480" s="1">
        <v>1.6696116463682742E-2</v>
      </c>
    </row>
    <row r="7481" spans="1:7">
      <c r="A7481">
        <v>233</v>
      </c>
      <c r="B7481">
        <v>236</v>
      </c>
      <c r="C7481" s="1">
        <f>(Tabela1[[#This Row],[x]]-H$3)*(Tabela1[[#This Row],[x]]-H$3) +(Tabela1[[#This Row],[y]]-H$4)*(Tabela1[[#This Row],[y]]-H$4)</f>
        <v>2385</v>
      </c>
      <c r="D7481" s="1">
        <f>IF(Tabela1[[#This Row],[promien]]&lt;40000,1,0)</f>
        <v>1</v>
      </c>
      <c r="E7481" s="1">
        <f>IF(Tabela1[[#This Row],[promien]]=40000,1,0)</f>
        <v>0</v>
      </c>
      <c r="F7481" s="1">
        <v>3.1584012832509023</v>
      </c>
      <c r="G7481" s="1">
        <v>1.6808629661109187E-2</v>
      </c>
    </row>
    <row r="7482" spans="1:7">
      <c r="A7482">
        <v>5</v>
      </c>
      <c r="B7482">
        <v>145</v>
      </c>
      <c r="C7482" s="1">
        <f>(Tabela1[[#This Row],[x]]-H$3)*(Tabela1[[#This Row],[x]]-H$3) +(Tabela1[[#This Row],[y]]-H$4)*(Tabela1[[#This Row],[y]]-H$4)</f>
        <v>41050</v>
      </c>
      <c r="D7482" s="1">
        <f>IF(Tabela1[[#This Row],[promien]]&lt;40000,1,0)</f>
        <v>0</v>
      </c>
      <c r="E7482" s="1">
        <f>IF(Tabela1[[#This Row],[promien]]=40000,1,0)</f>
        <v>0</v>
      </c>
      <c r="F7482" s="1">
        <v>3.1579791499599037</v>
      </c>
      <c r="G7482" s="1">
        <v>1.6386496370110581E-2</v>
      </c>
    </row>
    <row r="7483" spans="1:7">
      <c r="A7483">
        <v>312</v>
      </c>
      <c r="B7483">
        <v>153</v>
      </c>
      <c r="C7483" s="1">
        <f>(Tabela1[[#This Row],[x]]-H$3)*(Tabela1[[#This Row],[x]]-H$3) +(Tabela1[[#This Row],[y]]-H$4)*(Tabela1[[#This Row],[y]]-H$4)</f>
        <v>14753</v>
      </c>
      <c r="D7483" s="1">
        <f>IF(Tabela1[[#This Row],[promien]]&lt;40000,1,0)</f>
        <v>1</v>
      </c>
      <c r="E7483" s="1">
        <f>IF(Tabela1[[#This Row],[promien]]=40000,1,0)</f>
        <v>0</v>
      </c>
      <c r="F7483" s="1">
        <v>3.1580916744621139</v>
      </c>
      <c r="G7483" s="1">
        <v>1.6499020872320802E-2</v>
      </c>
    </row>
    <row r="7484" spans="1:7">
      <c r="A7484">
        <v>64</v>
      </c>
      <c r="B7484">
        <v>292</v>
      </c>
      <c r="C7484" s="1">
        <f>(Tabela1[[#This Row],[x]]-H$3)*(Tabela1[[#This Row],[x]]-H$3) +(Tabela1[[#This Row],[y]]-H$4)*(Tabela1[[#This Row],[y]]-H$4)</f>
        <v>26960</v>
      </c>
      <c r="D7484" s="1">
        <f>IF(Tabela1[[#This Row],[promien]]&lt;40000,1,0)</f>
        <v>1</v>
      </c>
      <c r="E7484" s="1">
        <f>IF(Tabela1[[#This Row],[promien]]=40000,1,0)</f>
        <v>0</v>
      </c>
      <c r="F7484" s="1">
        <v>3.15820416889364</v>
      </c>
      <c r="G7484" s="1">
        <v>1.6611515303846858E-2</v>
      </c>
    </row>
    <row r="7485" spans="1:7">
      <c r="A7485">
        <v>90</v>
      </c>
      <c r="B7485">
        <v>353</v>
      </c>
      <c r="C7485" s="1">
        <f>(Tabela1[[#This Row],[x]]-H$3)*(Tabela1[[#This Row],[x]]-H$3) +(Tabela1[[#This Row],[y]]-H$4)*(Tabela1[[#This Row],[y]]-H$4)</f>
        <v>35509</v>
      </c>
      <c r="D7485" s="1">
        <f>IF(Tabela1[[#This Row],[promien]]&lt;40000,1,0)</f>
        <v>1</v>
      </c>
      <c r="E7485" s="1">
        <f>IF(Tabela1[[#This Row],[promien]]=40000,1,0)</f>
        <v>0</v>
      </c>
      <c r="F7485" s="1">
        <v>3.1583166332665331</v>
      </c>
      <c r="G7485" s="1">
        <v>1.6723979676739997E-2</v>
      </c>
    </row>
    <row r="7486" spans="1:7">
      <c r="A7486">
        <v>244</v>
      </c>
      <c r="B7486">
        <v>290</v>
      </c>
      <c r="C7486" s="1">
        <f>(Tabela1[[#This Row],[x]]-H$3)*(Tabela1[[#This Row],[x]]-H$3) +(Tabela1[[#This Row],[y]]-H$4)*(Tabela1[[#This Row],[y]]-H$4)</f>
        <v>10036</v>
      </c>
      <c r="D7486" s="1">
        <f>IF(Tabela1[[#This Row],[promien]]&lt;40000,1,0)</f>
        <v>1</v>
      </c>
      <c r="E7486" s="1">
        <f>IF(Tabela1[[#This Row],[promien]]=40000,1,0)</f>
        <v>0</v>
      </c>
      <c r="F7486" s="1">
        <v>3.1584290675928401</v>
      </c>
      <c r="G7486" s="1">
        <v>1.6836414003047029E-2</v>
      </c>
    </row>
    <row r="7487" spans="1:7">
      <c r="A7487">
        <v>29</v>
      </c>
      <c r="B7487">
        <v>281</v>
      </c>
      <c r="C7487" s="1">
        <f>(Tabela1[[#This Row],[x]]-H$3)*(Tabela1[[#This Row],[x]]-H$3) +(Tabela1[[#This Row],[y]]-H$4)*(Tabela1[[#This Row],[y]]-H$4)</f>
        <v>35802</v>
      </c>
      <c r="D7487" s="1">
        <f>IF(Tabela1[[#This Row],[promien]]&lt;40000,1,0)</f>
        <v>1</v>
      </c>
      <c r="E7487" s="1">
        <f>IF(Tabela1[[#This Row],[promien]]=40000,1,0)</f>
        <v>0</v>
      </c>
      <c r="F7487" s="1">
        <v>3.1585414718845999</v>
      </c>
      <c r="G7487" s="1">
        <v>1.6948818294806767E-2</v>
      </c>
    </row>
    <row r="7488" spans="1:7">
      <c r="A7488">
        <v>190</v>
      </c>
      <c r="B7488">
        <v>398</v>
      </c>
      <c r="C7488" s="1">
        <f>(Tabela1[[#This Row],[x]]-H$3)*(Tabela1[[#This Row],[x]]-H$3) +(Tabela1[[#This Row],[y]]-H$4)*(Tabela1[[#This Row],[y]]-H$4)</f>
        <v>39304</v>
      </c>
      <c r="D7488" s="1">
        <f>IF(Tabela1[[#This Row],[promien]]&lt;40000,1,0)</f>
        <v>1</v>
      </c>
      <c r="E7488" s="1">
        <f>IF(Tabela1[[#This Row],[promien]]=40000,1,0)</f>
        <v>0</v>
      </c>
      <c r="F7488" s="1">
        <v>3.1586538461538463</v>
      </c>
      <c r="G7488" s="1">
        <v>1.706119256405314E-2</v>
      </c>
    </row>
    <row r="7489" spans="1:7">
      <c r="A7489">
        <v>199</v>
      </c>
      <c r="B7489">
        <v>280</v>
      </c>
      <c r="C7489" s="1">
        <f>(Tabela1[[#This Row],[x]]-H$3)*(Tabela1[[#This Row],[x]]-H$3) +(Tabela1[[#This Row],[y]]-H$4)*(Tabela1[[#This Row],[y]]-H$4)</f>
        <v>6401</v>
      </c>
      <c r="D7489" s="1">
        <f>IF(Tabela1[[#This Row],[promien]]&lt;40000,1,0)</f>
        <v>1</v>
      </c>
      <c r="E7489" s="1">
        <f>IF(Tabela1[[#This Row],[promien]]=40000,1,0)</f>
        <v>0</v>
      </c>
      <c r="F7489" s="1">
        <v>3.1587661904126052</v>
      </c>
      <c r="G7489" s="1">
        <v>1.7173536822812085E-2</v>
      </c>
    </row>
    <row r="7490" spans="1:7">
      <c r="A7490">
        <v>254</v>
      </c>
      <c r="B7490">
        <v>108</v>
      </c>
      <c r="C7490" s="1">
        <f>(Tabela1[[#This Row],[x]]-H$3)*(Tabela1[[#This Row],[x]]-H$3) +(Tabela1[[#This Row],[y]]-H$4)*(Tabela1[[#This Row],[y]]-H$4)</f>
        <v>11380</v>
      </c>
      <c r="D7490" s="1">
        <f>IF(Tabela1[[#This Row],[promien]]&lt;40000,1,0)</f>
        <v>1</v>
      </c>
      <c r="E7490" s="1">
        <f>IF(Tabela1[[#This Row],[promien]]=40000,1,0)</f>
        <v>0</v>
      </c>
      <c r="F7490" s="1">
        <v>3.1588785046728973</v>
      </c>
      <c r="G7490" s="1">
        <v>1.7285851083104209E-2</v>
      </c>
    </row>
    <row r="7491" spans="1:7">
      <c r="A7491">
        <v>318</v>
      </c>
      <c r="B7491">
        <v>152</v>
      </c>
      <c r="C7491" s="1">
        <f>(Tabela1[[#This Row],[x]]-H$3)*(Tabela1[[#This Row],[x]]-H$3) +(Tabela1[[#This Row],[y]]-H$4)*(Tabela1[[#This Row],[y]]-H$4)</f>
        <v>16228</v>
      </c>
      <c r="D7491" s="1">
        <f>IF(Tabela1[[#This Row],[promien]]&lt;40000,1,0)</f>
        <v>1</v>
      </c>
      <c r="E7491" s="1">
        <f>IF(Tabela1[[#This Row],[promien]]=40000,1,0)</f>
        <v>0</v>
      </c>
      <c r="F7491" s="1">
        <v>3.1589907889467361</v>
      </c>
      <c r="G7491" s="1">
        <v>1.7398135356943012E-2</v>
      </c>
    </row>
    <row r="7492" spans="1:7">
      <c r="A7492">
        <v>353</v>
      </c>
      <c r="B7492">
        <v>184</v>
      </c>
      <c r="C7492" s="1">
        <f>(Tabela1[[#This Row],[x]]-H$3)*(Tabela1[[#This Row],[x]]-H$3) +(Tabela1[[#This Row],[y]]-H$4)*(Tabela1[[#This Row],[y]]-H$4)</f>
        <v>23665</v>
      </c>
      <c r="D7492" s="1">
        <f>IF(Tabela1[[#This Row],[promien]]&lt;40000,1,0)</f>
        <v>1</v>
      </c>
      <c r="E7492" s="1">
        <f>IF(Tabela1[[#This Row],[promien]]=40000,1,0)</f>
        <v>0</v>
      </c>
      <c r="F7492" s="1">
        <v>3.1591030432461293</v>
      </c>
      <c r="G7492" s="1">
        <v>1.7510389656336223E-2</v>
      </c>
    </row>
    <row r="7493" spans="1:7">
      <c r="A7493">
        <v>135</v>
      </c>
      <c r="B7493">
        <v>377</v>
      </c>
      <c r="C7493" s="1">
        <f>(Tabela1[[#This Row],[x]]-H$3)*(Tabela1[[#This Row],[x]]-H$3) +(Tabela1[[#This Row],[y]]-H$4)*(Tabela1[[#This Row],[y]]-H$4)</f>
        <v>35554</v>
      </c>
      <c r="D7493" s="1">
        <f>IF(Tabela1[[#This Row],[promien]]&lt;40000,1,0)</f>
        <v>1</v>
      </c>
      <c r="E7493" s="1">
        <f>IF(Tabela1[[#This Row],[promien]]=40000,1,0)</f>
        <v>0</v>
      </c>
      <c r="F7493" s="1">
        <v>3.1592152675830776</v>
      </c>
      <c r="G7493" s="1">
        <v>1.7622613993284464E-2</v>
      </c>
    </row>
    <row r="7494" spans="1:7">
      <c r="A7494">
        <v>43</v>
      </c>
      <c r="B7494">
        <v>348</v>
      </c>
      <c r="C7494" s="1">
        <f>(Tabela1[[#This Row],[x]]-H$3)*(Tabela1[[#This Row],[x]]-H$3) +(Tabela1[[#This Row],[y]]-H$4)*(Tabela1[[#This Row],[y]]-H$4)</f>
        <v>46553</v>
      </c>
      <c r="D7494" s="1">
        <f>IF(Tabela1[[#This Row],[promien]]&lt;40000,1,0)</f>
        <v>0</v>
      </c>
      <c r="E7494" s="1">
        <f>IF(Tabela1[[#This Row],[promien]]=40000,1,0)</f>
        <v>0</v>
      </c>
      <c r="F7494" s="1">
        <v>3.1587937016279692</v>
      </c>
      <c r="G7494" s="1">
        <v>1.7201048038176125E-2</v>
      </c>
    </row>
    <row r="7495" spans="1:7">
      <c r="A7495">
        <v>250</v>
      </c>
      <c r="B7495">
        <v>55</v>
      </c>
      <c r="C7495" s="1">
        <f>(Tabela1[[#This Row],[x]]-H$3)*(Tabela1[[#This Row],[x]]-H$3) +(Tabela1[[#This Row],[y]]-H$4)*(Tabela1[[#This Row],[y]]-H$4)</f>
        <v>23525</v>
      </c>
      <c r="D7495" s="1">
        <f>IF(Tabela1[[#This Row],[promien]]&lt;40000,1,0)</f>
        <v>1</v>
      </c>
      <c r="E7495" s="1">
        <f>IF(Tabela1[[#This Row],[promien]]=40000,1,0)</f>
        <v>0</v>
      </c>
      <c r="F7495" s="1">
        <v>3.1589059372915278</v>
      </c>
      <c r="G7495" s="1">
        <v>1.7313283701734683E-2</v>
      </c>
    </row>
    <row r="7496" spans="1:7">
      <c r="A7496">
        <v>262</v>
      </c>
      <c r="B7496">
        <v>225</v>
      </c>
      <c r="C7496" s="1">
        <f>(Tabela1[[#This Row],[x]]-H$3)*(Tabela1[[#This Row],[x]]-H$3) +(Tabela1[[#This Row],[y]]-H$4)*(Tabela1[[#This Row],[y]]-H$4)</f>
        <v>4469</v>
      </c>
      <c r="D7496" s="1">
        <f>IF(Tabela1[[#This Row],[promien]]&lt;40000,1,0)</f>
        <v>1</v>
      </c>
      <c r="E7496" s="1">
        <f>IF(Tabela1[[#This Row],[promien]]=40000,1,0)</f>
        <v>0</v>
      </c>
      <c r="F7496" s="1">
        <v>3.1590181430096052</v>
      </c>
      <c r="G7496" s="1">
        <v>1.7425489419812035E-2</v>
      </c>
    </row>
    <row r="7497" spans="1:7">
      <c r="A7497">
        <v>178</v>
      </c>
      <c r="B7497">
        <v>245</v>
      </c>
      <c r="C7497" s="1">
        <f>(Tabela1[[#This Row],[x]]-H$3)*(Tabela1[[#This Row],[x]]-H$3) +(Tabela1[[#This Row],[y]]-H$4)*(Tabela1[[#This Row],[y]]-H$4)</f>
        <v>2509</v>
      </c>
      <c r="D7497" s="1">
        <f>IF(Tabela1[[#This Row],[promien]]&lt;40000,1,0)</f>
        <v>1</v>
      </c>
      <c r="E7497" s="1">
        <f>IF(Tabela1[[#This Row],[promien]]=40000,1,0)</f>
        <v>0</v>
      </c>
      <c r="F7497" s="1">
        <v>3.1591303187941842</v>
      </c>
      <c r="G7497" s="1">
        <v>1.753766520439104E-2</v>
      </c>
    </row>
    <row r="7498" spans="1:7">
      <c r="A7498">
        <v>44</v>
      </c>
      <c r="B7498">
        <v>140</v>
      </c>
      <c r="C7498" s="1">
        <f>(Tabela1[[#This Row],[x]]-H$3)*(Tabela1[[#This Row],[x]]-H$3) +(Tabela1[[#This Row],[y]]-H$4)*(Tabela1[[#This Row],[y]]-H$4)</f>
        <v>27936</v>
      </c>
      <c r="D7498" s="1">
        <f>IF(Tabela1[[#This Row],[promien]]&lt;40000,1,0)</f>
        <v>1</v>
      </c>
      <c r="E7498" s="1">
        <f>IF(Tabela1[[#This Row],[promien]]=40000,1,0)</f>
        <v>0</v>
      </c>
      <c r="F7498" s="1">
        <v>3.1592424646572419</v>
      </c>
      <c r="G7498" s="1">
        <v>1.7649811067448784E-2</v>
      </c>
    </row>
    <row r="7499" spans="1:7">
      <c r="A7499">
        <v>106</v>
      </c>
      <c r="B7499">
        <v>341</v>
      </c>
      <c r="C7499" s="1">
        <f>(Tabela1[[#This Row],[x]]-H$3)*(Tabela1[[#This Row],[x]]-H$3) +(Tabela1[[#This Row],[y]]-H$4)*(Tabela1[[#This Row],[y]]-H$4)</f>
        <v>28717</v>
      </c>
      <c r="D7499" s="1">
        <f>IF(Tabela1[[#This Row],[promien]]&lt;40000,1,0)</f>
        <v>1</v>
      </c>
      <c r="E7499" s="1">
        <f>IF(Tabela1[[#This Row],[promien]]=40000,1,0)</f>
        <v>0</v>
      </c>
      <c r="F7499" s="1">
        <v>3.1593545806107479</v>
      </c>
      <c r="G7499" s="1">
        <v>1.7761927020954804E-2</v>
      </c>
    </row>
    <row r="7500" spans="1:7">
      <c r="A7500">
        <v>44</v>
      </c>
      <c r="B7500">
        <v>43</v>
      </c>
      <c r="C7500" s="1">
        <f>(Tabela1[[#This Row],[x]]-H$3)*(Tabela1[[#This Row],[x]]-H$3) +(Tabela1[[#This Row],[y]]-H$4)*(Tabela1[[#This Row],[y]]-H$4)</f>
        <v>48985</v>
      </c>
      <c r="D7500" s="1">
        <f>IF(Tabela1[[#This Row],[promien]]&lt;40000,1,0)</f>
        <v>0</v>
      </c>
      <c r="E7500" s="1">
        <f>IF(Tabela1[[#This Row],[promien]]=40000,1,0)</f>
        <v>0</v>
      </c>
      <c r="F7500" s="1">
        <v>3.1589333333333331</v>
      </c>
      <c r="G7500" s="1">
        <v>1.7340679743540033E-2</v>
      </c>
    </row>
    <row r="7501" spans="1:7">
      <c r="A7501">
        <v>105</v>
      </c>
      <c r="B7501">
        <v>224</v>
      </c>
      <c r="C7501" s="1">
        <f>(Tabela1[[#This Row],[x]]-H$3)*(Tabela1[[#This Row],[x]]-H$3) +(Tabela1[[#This Row],[y]]-H$4)*(Tabela1[[#This Row],[y]]-H$4)</f>
        <v>9601</v>
      </c>
      <c r="D7501" s="1">
        <f>IF(Tabela1[[#This Row],[promien]]&lt;40000,1,0)</f>
        <v>1</v>
      </c>
      <c r="E7501" s="1">
        <f>IF(Tabela1[[#This Row],[promien]]=40000,1,0)</f>
        <v>0</v>
      </c>
      <c r="F7501" s="1">
        <v>3.1590454606052525</v>
      </c>
      <c r="G7501" s="1">
        <v>1.7452807015459371E-2</v>
      </c>
    </row>
    <row r="7502" spans="1:7">
      <c r="A7502">
        <v>228</v>
      </c>
      <c r="B7502">
        <v>329</v>
      </c>
      <c r="C7502" s="1">
        <f>(Tabela1[[#This Row],[x]]-H$3)*(Tabela1[[#This Row],[x]]-H$3) +(Tabela1[[#This Row],[y]]-H$4)*(Tabela1[[#This Row],[y]]-H$4)</f>
        <v>17425</v>
      </c>
      <c r="D7502" s="1">
        <f>IF(Tabela1[[#This Row],[promien]]&lt;40000,1,0)</f>
        <v>1</v>
      </c>
      <c r="E7502" s="1">
        <f>IF(Tabela1[[#This Row],[promien]]=40000,1,0)</f>
        <v>0</v>
      </c>
      <c r="F7502" s="1">
        <v>3.1591575579845372</v>
      </c>
      <c r="G7502" s="1">
        <v>1.7564904394744119E-2</v>
      </c>
    </row>
    <row r="7503" spans="1:7">
      <c r="A7503">
        <v>155</v>
      </c>
      <c r="B7503">
        <v>101</v>
      </c>
      <c r="C7503" s="1">
        <f>(Tabela1[[#This Row],[x]]-H$3)*(Tabela1[[#This Row],[x]]-H$3) +(Tabela1[[#This Row],[y]]-H$4)*(Tabela1[[#This Row],[y]]-H$4)</f>
        <v>11826</v>
      </c>
      <c r="D7503" s="1">
        <f>IF(Tabela1[[#This Row],[promien]]&lt;40000,1,0)</f>
        <v>1</v>
      </c>
      <c r="E7503" s="1">
        <f>IF(Tabela1[[#This Row],[promien]]=40000,1,0)</f>
        <v>0</v>
      </c>
      <c r="F7503" s="1">
        <v>3.1592696254831401</v>
      </c>
      <c r="G7503" s="1">
        <v>1.7676971893346938E-2</v>
      </c>
    </row>
    <row r="7504" spans="1:7">
      <c r="A7504">
        <v>369</v>
      </c>
      <c r="B7504">
        <v>360</v>
      </c>
      <c r="C7504" s="1">
        <f>(Tabela1[[#This Row],[x]]-H$3)*(Tabela1[[#This Row],[x]]-H$3) +(Tabela1[[#This Row],[y]]-H$4)*(Tabela1[[#This Row],[y]]-H$4)</f>
        <v>54161</v>
      </c>
      <c r="D7504" s="1">
        <f>IF(Tabela1[[#This Row],[promien]]&lt;40000,1,0)</f>
        <v>0</v>
      </c>
      <c r="E7504" s="1">
        <f>IF(Tabela1[[#This Row],[promien]]=40000,1,0)</f>
        <v>0</v>
      </c>
      <c r="F7504" s="1">
        <v>3.1588486140724945</v>
      </c>
      <c r="G7504" s="1">
        <v>1.7255960482701393E-2</v>
      </c>
    </row>
    <row r="7505" spans="1:7">
      <c r="A7505">
        <v>128</v>
      </c>
      <c r="B7505">
        <v>353</v>
      </c>
      <c r="C7505" s="1">
        <f>(Tabela1[[#This Row],[x]]-H$3)*(Tabela1[[#This Row],[x]]-H$3) +(Tabela1[[#This Row],[y]]-H$4)*(Tabela1[[#This Row],[y]]-H$4)</f>
        <v>28593</v>
      </c>
      <c r="D7505" s="1">
        <f>IF(Tabela1[[#This Row],[promien]]&lt;40000,1,0)</f>
        <v>1</v>
      </c>
      <c r="E7505" s="1">
        <f>IF(Tabela1[[#This Row],[promien]]=40000,1,0)</f>
        <v>0</v>
      </c>
      <c r="F7505" s="1">
        <v>3.1589606928714189</v>
      </c>
      <c r="G7505" s="1">
        <v>1.736803928162578E-2</v>
      </c>
    </row>
    <row r="7506" spans="1:7">
      <c r="A7506">
        <v>288</v>
      </c>
      <c r="B7506">
        <v>353</v>
      </c>
      <c r="C7506" s="1">
        <f>(Tabela1[[#This Row],[x]]-H$3)*(Tabela1[[#This Row],[x]]-H$3) +(Tabela1[[#This Row],[y]]-H$4)*(Tabela1[[#This Row],[y]]-H$4)</f>
        <v>31153</v>
      </c>
      <c r="D7506" s="1">
        <f>IF(Tabela1[[#This Row],[promien]]&lt;40000,1,0)</f>
        <v>1</v>
      </c>
      <c r="E7506" s="1">
        <f>IF(Tabela1[[#This Row],[promien]]=40000,1,0)</f>
        <v>0</v>
      </c>
      <c r="F7506" s="1">
        <v>3.159072741806555</v>
      </c>
      <c r="G7506" s="1">
        <v>1.7480088216761835E-2</v>
      </c>
    </row>
    <row r="7507" spans="1:7">
      <c r="A7507">
        <v>370</v>
      </c>
      <c r="B7507">
        <v>184</v>
      </c>
      <c r="C7507" s="1">
        <f>(Tabela1[[#This Row],[x]]-H$3)*(Tabela1[[#This Row],[x]]-H$3) +(Tabela1[[#This Row],[y]]-H$4)*(Tabela1[[#This Row],[y]]-H$4)</f>
        <v>29156</v>
      </c>
      <c r="D7507" s="1">
        <f>IF(Tabela1[[#This Row],[promien]]&lt;40000,1,0)</f>
        <v>1</v>
      </c>
      <c r="E7507" s="1">
        <f>IF(Tabela1[[#This Row],[promien]]=40000,1,0)</f>
        <v>0</v>
      </c>
      <c r="F7507" s="1">
        <v>3.1591847608898362</v>
      </c>
      <c r="G7507" s="1">
        <v>1.7592107300043125E-2</v>
      </c>
    </row>
    <row r="7508" spans="1:7">
      <c r="A7508">
        <v>271</v>
      </c>
      <c r="B7508">
        <v>324</v>
      </c>
      <c r="C7508" s="1">
        <f>(Tabela1[[#This Row],[x]]-H$3)*(Tabela1[[#This Row],[x]]-H$3) +(Tabela1[[#This Row],[y]]-H$4)*(Tabela1[[#This Row],[y]]-H$4)</f>
        <v>20417</v>
      </c>
      <c r="D7508" s="1">
        <f>IF(Tabela1[[#This Row],[promien]]&lt;40000,1,0)</f>
        <v>1</v>
      </c>
      <c r="E7508" s="1">
        <f>IF(Tabela1[[#This Row],[promien]]=40000,1,0)</f>
        <v>0</v>
      </c>
      <c r="F7508" s="1">
        <v>3.1592967501331914</v>
      </c>
      <c r="G7508" s="1">
        <v>1.7704096543398329E-2</v>
      </c>
    </row>
    <row r="7509" spans="1:7">
      <c r="A7509">
        <v>8</v>
      </c>
      <c r="B7509">
        <v>203</v>
      </c>
      <c r="C7509" s="1">
        <f>(Tabela1[[#This Row],[x]]-H$3)*(Tabela1[[#This Row],[x]]-H$3) +(Tabela1[[#This Row],[y]]-H$4)*(Tabela1[[#This Row],[y]]-H$4)</f>
        <v>36873</v>
      </c>
      <c r="D7509" s="1">
        <f>IF(Tabela1[[#This Row],[promien]]&lt;40000,1,0)</f>
        <v>1</v>
      </c>
      <c r="E7509" s="1">
        <f>IF(Tabela1[[#This Row],[promien]]=40000,1,0)</f>
        <v>0</v>
      </c>
      <c r="F7509" s="1">
        <v>3.1594087095485417</v>
      </c>
      <c r="G7509" s="1">
        <v>1.7816055958748578E-2</v>
      </c>
    </row>
    <row r="7510" spans="1:7">
      <c r="A7510">
        <v>366</v>
      </c>
      <c r="B7510">
        <v>18</v>
      </c>
      <c r="C7510" s="1">
        <f>(Tabela1[[#This Row],[x]]-H$3)*(Tabela1[[#This Row],[x]]-H$3) +(Tabela1[[#This Row],[y]]-H$4)*(Tabela1[[#This Row],[y]]-H$4)</f>
        <v>60680</v>
      </c>
      <c r="D7510" s="1">
        <f>IF(Tabela1[[#This Row],[promien]]&lt;40000,1,0)</f>
        <v>0</v>
      </c>
      <c r="E7510" s="1">
        <f>IF(Tabela1[[#This Row],[promien]]=40000,1,0)</f>
        <v>0</v>
      </c>
      <c r="F7510" s="1">
        <v>3.1589880159786952</v>
      </c>
      <c r="G7510" s="1">
        <v>1.7395362388902047E-2</v>
      </c>
    </row>
    <row r="7511" spans="1:7">
      <c r="A7511">
        <v>325</v>
      </c>
      <c r="B7511">
        <v>181</v>
      </c>
      <c r="C7511" s="1">
        <f>(Tabela1[[#This Row],[x]]-H$3)*(Tabela1[[#This Row],[x]]-H$3) +(Tabela1[[#This Row],[y]]-H$4)*(Tabela1[[#This Row],[y]]-H$4)</f>
        <v>15986</v>
      </c>
      <c r="D7511" s="1">
        <f>IF(Tabela1[[#This Row],[promien]]&lt;40000,1,0)</f>
        <v>1</v>
      </c>
      <c r="E7511" s="1">
        <f>IF(Tabela1[[#This Row],[promien]]=40000,1,0)</f>
        <v>0</v>
      </c>
      <c r="F7511" s="1">
        <v>3.1590999866861935</v>
      </c>
      <c r="G7511" s="1">
        <v>1.7507333096400401E-2</v>
      </c>
    </row>
    <row r="7512" spans="1:7">
      <c r="A7512">
        <v>209</v>
      </c>
      <c r="B7512">
        <v>233</v>
      </c>
      <c r="C7512" s="1">
        <f>(Tabela1[[#This Row],[x]]-H$3)*(Tabela1[[#This Row],[x]]-H$3) +(Tabela1[[#This Row],[y]]-H$4)*(Tabela1[[#This Row],[y]]-H$4)</f>
        <v>1170</v>
      </c>
      <c r="D7512" s="1">
        <f>IF(Tabela1[[#This Row],[promien]]&lt;40000,1,0)</f>
        <v>1</v>
      </c>
      <c r="E7512" s="1">
        <f>IF(Tabela1[[#This Row],[promien]]=40000,1,0)</f>
        <v>0</v>
      </c>
      <c r="F7512" s="1">
        <v>3.1592119275825348</v>
      </c>
      <c r="G7512" s="1">
        <v>1.7619273992741658E-2</v>
      </c>
    </row>
    <row r="7513" spans="1:7">
      <c r="A7513">
        <v>279</v>
      </c>
      <c r="B7513">
        <v>19</v>
      </c>
      <c r="C7513" s="1">
        <f>(Tabela1[[#This Row],[x]]-H$3)*(Tabela1[[#This Row],[x]]-H$3) +(Tabela1[[#This Row],[y]]-H$4)*(Tabela1[[#This Row],[y]]-H$4)</f>
        <v>39002</v>
      </c>
      <c r="D7513" s="1">
        <f>IF(Tabela1[[#This Row],[promien]]&lt;40000,1,0)</f>
        <v>1</v>
      </c>
      <c r="E7513" s="1">
        <f>IF(Tabela1[[#This Row],[promien]]=40000,1,0)</f>
        <v>0</v>
      </c>
      <c r="F7513" s="1">
        <v>3.1593238386796219</v>
      </c>
      <c r="G7513" s="1">
        <v>1.7731185089828738E-2</v>
      </c>
    </row>
    <row r="7514" spans="1:7">
      <c r="A7514">
        <v>339</v>
      </c>
      <c r="B7514">
        <v>110</v>
      </c>
      <c r="C7514" s="1">
        <f>(Tabela1[[#This Row],[x]]-H$3)*(Tabela1[[#This Row],[x]]-H$3) +(Tabela1[[#This Row],[y]]-H$4)*(Tabela1[[#This Row],[y]]-H$4)</f>
        <v>27421</v>
      </c>
      <c r="D7514" s="1">
        <f>IF(Tabela1[[#This Row],[promien]]&lt;40000,1,0)</f>
        <v>1</v>
      </c>
      <c r="E7514" s="1">
        <f>IF(Tabela1[[#This Row],[promien]]=40000,1,0)</f>
        <v>0</v>
      </c>
      <c r="F7514" s="1">
        <v>3.1594357199893532</v>
      </c>
      <c r="G7514" s="1">
        <v>1.7843066399560126E-2</v>
      </c>
    </row>
    <row r="7515" spans="1:7">
      <c r="A7515">
        <v>20</v>
      </c>
      <c r="B7515">
        <v>399</v>
      </c>
      <c r="C7515" s="1">
        <f>(Tabela1[[#This Row],[x]]-H$3)*(Tabela1[[#This Row],[x]]-H$3) +(Tabela1[[#This Row],[y]]-H$4)*(Tabela1[[#This Row],[y]]-H$4)</f>
        <v>72001</v>
      </c>
      <c r="D7515" s="1">
        <f>IF(Tabela1[[#This Row],[promien]]&lt;40000,1,0)</f>
        <v>0</v>
      </c>
      <c r="E7515" s="1">
        <f>IF(Tabela1[[#This Row],[promien]]=40000,1,0)</f>
        <v>0</v>
      </c>
      <c r="F7515" s="1">
        <v>3.1590153027278776</v>
      </c>
      <c r="G7515" s="1">
        <v>1.7422649138084445E-2</v>
      </c>
    </row>
    <row r="7516" spans="1:7">
      <c r="A7516">
        <v>387</v>
      </c>
      <c r="B7516">
        <v>117</v>
      </c>
      <c r="C7516" s="1">
        <f>(Tabela1[[#This Row],[x]]-H$3)*(Tabela1[[#This Row],[x]]-H$3) +(Tabela1[[#This Row],[y]]-H$4)*(Tabela1[[#This Row],[y]]-H$4)</f>
        <v>41858</v>
      </c>
      <c r="D7516" s="1">
        <f>IF(Tabela1[[#This Row],[promien]]&lt;40000,1,0)</f>
        <v>0</v>
      </c>
      <c r="E7516" s="1">
        <f>IF(Tabela1[[#This Row],[promien]]=40000,1,0)</f>
        <v>0</v>
      </c>
      <c r="F7516" s="1">
        <v>3.1585949973390099</v>
      </c>
      <c r="G7516" s="1">
        <v>1.7002343749216831E-2</v>
      </c>
    </row>
    <row r="7517" spans="1:7">
      <c r="A7517">
        <v>359</v>
      </c>
      <c r="B7517">
        <v>140</v>
      </c>
      <c r="C7517" s="1">
        <f>(Tabela1[[#This Row],[x]]-H$3)*(Tabela1[[#This Row],[x]]-H$3) +(Tabela1[[#This Row],[y]]-H$4)*(Tabela1[[#This Row],[y]]-H$4)</f>
        <v>28881</v>
      </c>
      <c r="D7517" s="1">
        <f>IF(Tabela1[[#This Row],[promien]]&lt;40000,1,0)</f>
        <v>1</v>
      </c>
      <c r="E7517" s="1">
        <f>IF(Tabela1[[#This Row],[promien]]=40000,1,0)</f>
        <v>0</v>
      </c>
      <c r="F7517" s="1">
        <v>3.1587069309564986</v>
      </c>
      <c r="G7517" s="1">
        <v>1.7114277366705455E-2</v>
      </c>
    </row>
    <row r="7518" spans="1:7">
      <c r="A7518">
        <v>351</v>
      </c>
      <c r="B7518">
        <v>279</v>
      </c>
      <c r="C7518" s="1">
        <f>(Tabela1[[#This Row],[x]]-H$3)*(Tabela1[[#This Row],[x]]-H$3) +(Tabela1[[#This Row],[y]]-H$4)*(Tabela1[[#This Row],[y]]-H$4)</f>
        <v>29042</v>
      </c>
      <c r="D7518" s="1">
        <f>IF(Tabela1[[#This Row],[promien]]&lt;40000,1,0)</f>
        <v>1</v>
      </c>
      <c r="E7518" s="1">
        <f>IF(Tabela1[[#This Row],[promien]]=40000,1,0)</f>
        <v>0</v>
      </c>
      <c r="F7518" s="1">
        <v>3.1588188347964885</v>
      </c>
      <c r="G7518" s="1">
        <v>1.722618120669539E-2</v>
      </c>
    </row>
    <row r="7519" spans="1:7">
      <c r="A7519">
        <v>189</v>
      </c>
      <c r="B7519">
        <v>387</v>
      </c>
      <c r="C7519" s="1">
        <f>(Tabela1[[#This Row],[x]]-H$3)*(Tabela1[[#This Row],[x]]-H$3) +(Tabela1[[#This Row],[y]]-H$4)*(Tabela1[[#This Row],[y]]-H$4)</f>
        <v>35090</v>
      </c>
      <c r="D7519" s="1">
        <f>IF(Tabela1[[#This Row],[promien]]&lt;40000,1,0)</f>
        <v>1</v>
      </c>
      <c r="E7519" s="1">
        <f>IF(Tabela1[[#This Row],[promien]]=40000,1,0)</f>
        <v>0</v>
      </c>
      <c r="F7519" s="1">
        <v>3.1589307088708605</v>
      </c>
      <c r="G7519" s="1">
        <v>1.7338055281067355E-2</v>
      </c>
    </row>
    <row r="7520" spans="1:7">
      <c r="A7520">
        <v>16</v>
      </c>
      <c r="B7520">
        <v>361</v>
      </c>
      <c r="C7520" s="1">
        <f>(Tabela1[[#This Row],[x]]-H$3)*(Tabela1[[#This Row],[x]]-H$3) +(Tabela1[[#This Row],[y]]-H$4)*(Tabela1[[#This Row],[y]]-H$4)</f>
        <v>59777</v>
      </c>
      <c r="D7520" s="1">
        <f>IF(Tabela1[[#This Row],[promien]]&lt;40000,1,0)</f>
        <v>0</v>
      </c>
      <c r="E7520" s="1">
        <f>IF(Tabela1[[#This Row],[promien]]=40000,1,0)</f>
        <v>0</v>
      </c>
      <c r="F7520" s="1">
        <v>3.1585106382978725</v>
      </c>
      <c r="G7520" s="1">
        <v>1.691798470807937E-2</v>
      </c>
    </row>
    <row r="7521" spans="1:7">
      <c r="A7521">
        <v>84</v>
      </c>
      <c r="B7521">
        <v>391</v>
      </c>
      <c r="C7521" s="1">
        <f>(Tabela1[[#This Row],[x]]-H$3)*(Tabela1[[#This Row],[x]]-H$3) +(Tabela1[[#This Row],[y]]-H$4)*(Tabela1[[#This Row],[y]]-H$4)</f>
        <v>49937</v>
      </c>
      <c r="D7521" s="1">
        <f>IF(Tabela1[[#This Row],[promien]]&lt;40000,1,0)</f>
        <v>0</v>
      </c>
      <c r="E7521" s="1">
        <f>IF(Tabela1[[#This Row],[promien]]=40000,1,0)</f>
        <v>0</v>
      </c>
      <c r="F7521" s="1">
        <v>3.1580906794309267</v>
      </c>
      <c r="G7521" s="1">
        <v>1.6498025841133579E-2</v>
      </c>
    </row>
    <row r="7522" spans="1:7">
      <c r="A7522">
        <v>289</v>
      </c>
      <c r="B7522">
        <v>141</v>
      </c>
      <c r="C7522" s="1">
        <f>(Tabela1[[#This Row],[x]]-H$3)*(Tabela1[[#This Row],[x]]-H$3) +(Tabela1[[#This Row],[y]]-H$4)*(Tabela1[[#This Row],[y]]-H$4)</f>
        <v>11402</v>
      </c>
      <c r="D7522" s="1">
        <f>IF(Tabela1[[#This Row],[promien]]&lt;40000,1,0)</f>
        <v>1</v>
      </c>
      <c r="E7522" s="1">
        <f>IF(Tabela1[[#This Row],[promien]]=40000,1,0)</f>
        <v>0</v>
      </c>
      <c r="F7522" s="1">
        <v>3.1582026056899761</v>
      </c>
      <c r="G7522" s="1">
        <v>1.6609952100183012E-2</v>
      </c>
    </row>
    <row r="7523" spans="1:7">
      <c r="A7523">
        <v>296</v>
      </c>
      <c r="B7523">
        <v>292</v>
      </c>
      <c r="C7523" s="1">
        <f>(Tabela1[[#This Row],[x]]-H$3)*(Tabela1[[#This Row],[x]]-H$3) +(Tabela1[[#This Row],[y]]-H$4)*(Tabela1[[#This Row],[y]]-H$4)</f>
        <v>17680</v>
      </c>
      <c r="D7523" s="1">
        <f>IF(Tabela1[[#This Row],[promien]]&lt;40000,1,0)</f>
        <v>1</v>
      </c>
      <c r="E7523" s="1">
        <f>IF(Tabela1[[#This Row],[promien]]=40000,1,0)</f>
        <v>0</v>
      </c>
      <c r="F7523" s="1">
        <v>3.1583145021932739</v>
      </c>
      <c r="G7523" s="1">
        <v>1.6721848603480804E-2</v>
      </c>
    </row>
    <row r="7524" spans="1:7">
      <c r="A7524">
        <v>51</v>
      </c>
      <c r="B7524">
        <v>382</v>
      </c>
      <c r="C7524" s="1">
        <f>(Tabela1[[#This Row],[x]]-H$3)*(Tabela1[[#This Row],[x]]-H$3) +(Tabela1[[#This Row],[y]]-H$4)*(Tabela1[[#This Row],[y]]-H$4)</f>
        <v>55325</v>
      </c>
      <c r="D7524" s="1">
        <f>IF(Tabela1[[#This Row],[promien]]&lt;40000,1,0)</f>
        <v>0</v>
      </c>
      <c r="E7524" s="1">
        <f>IF(Tabela1[[#This Row],[promien]]=40000,1,0)</f>
        <v>0</v>
      </c>
      <c r="F7524" s="1">
        <v>3.1578947368421053</v>
      </c>
      <c r="G7524" s="1">
        <v>1.6302083252312194E-2</v>
      </c>
    </row>
    <row r="7525" spans="1:7">
      <c r="A7525">
        <v>192</v>
      </c>
      <c r="B7525">
        <v>399</v>
      </c>
      <c r="C7525" s="1">
        <f>(Tabela1[[#This Row],[x]]-H$3)*(Tabela1[[#This Row],[x]]-H$3) +(Tabela1[[#This Row],[y]]-H$4)*(Tabela1[[#This Row],[y]]-H$4)</f>
        <v>39665</v>
      </c>
      <c r="D7525" s="1">
        <f>IF(Tabela1[[#This Row],[promien]]&lt;40000,1,0)</f>
        <v>1</v>
      </c>
      <c r="E7525" s="1">
        <f>IF(Tabela1[[#This Row],[promien]]=40000,1,0)</f>
        <v>0</v>
      </c>
      <c r="F7525" s="1">
        <v>3.1580066445182724</v>
      </c>
      <c r="G7525" s="1">
        <v>1.6413990928479283E-2</v>
      </c>
    </row>
    <row r="7526" spans="1:7">
      <c r="A7526">
        <v>27</v>
      </c>
      <c r="B7526">
        <v>392</v>
      </c>
      <c r="C7526" s="1">
        <f>(Tabela1[[#This Row],[x]]-H$3)*(Tabela1[[#This Row],[x]]-H$3) +(Tabela1[[#This Row],[y]]-H$4)*(Tabela1[[#This Row],[y]]-H$4)</f>
        <v>66793</v>
      </c>
      <c r="D7526" s="1">
        <f>IF(Tabela1[[#This Row],[promien]]&lt;40000,1,0)</f>
        <v>0</v>
      </c>
      <c r="E7526" s="1">
        <f>IF(Tabela1[[#This Row],[promien]]=40000,1,0)</f>
        <v>0</v>
      </c>
      <c r="F7526" s="1">
        <v>3.1575870316237045</v>
      </c>
      <c r="G7526" s="1">
        <v>1.5994378033911349E-2</v>
      </c>
    </row>
    <row r="7527" spans="1:7">
      <c r="A7527">
        <v>323</v>
      </c>
      <c r="B7527">
        <v>32</v>
      </c>
      <c r="C7527" s="1">
        <f>(Tabela1[[#This Row],[x]]-H$3)*(Tabela1[[#This Row],[x]]-H$3) +(Tabela1[[#This Row],[y]]-H$4)*(Tabela1[[#This Row],[y]]-H$4)</f>
        <v>43353</v>
      </c>
      <c r="D7527" s="1">
        <f>IF(Tabela1[[#This Row],[promien]]&lt;40000,1,0)</f>
        <v>0</v>
      </c>
      <c r="E7527" s="1">
        <f>IF(Tabela1[[#This Row],[promien]]=40000,1,0)</f>
        <v>0</v>
      </c>
      <c r="F7527" s="1">
        <v>3.157167530224525</v>
      </c>
      <c r="G7527" s="1">
        <v>1.5574876634731893E-2</v>
      </c>
    </row>
    <row r="7528" spans="1:7">
      <c r="A7528">
        <v>249</v>
      </c>
      <c r="B7528">
        <v>71</v>
      </c>
      <c r="C7528" s="1">
        <f>(Tabela1[[#This Row],[x]]-H$3)*(Tabela1[[#This Row],[x]]-H$3) +(Tabela1[[#This Row],[y]]-H$4)*(Tabela1[[#This Row],[y]]-H$4)</f>
        <v>19042</v>
      </c>
      <c r="D7528" s="1">
        <f>IF(Tabela1[[#This Row],[promien]]&lt;40000,1,0)</f>
        <v>1</v>
      </c>
      <c r="E7528" s="1">
        <f>IF(Tabela1[[#This Row],[promien]]=40000,1,0)</f>
        <v>0</v>
      </c>
      <c r="F7528" s="1">
        <v>3.157279489904357</v>
      </c>
      <c r="G7528" s="1">
        <v>1.5686836314563912E-2</v>
      </c>
    </row>
    <row r="7529" spans="1:7">
      <c r="A7529">
        <v>300</v>
      </c>
      <c r="B7529">
        <v>400</v>
      </c>
      <c r="C7529" s="1">
        <f>(Tabela1[[#This Row],[x]]-H$3)*(Tabela1[[#This Row],[x]]-H$3) +(Tabela1[[#This Row],[y]]-H$4)*(Tabela1[[#This Row],[y]]-H$4)</f>
        <v>50000</v>
      </c>
      <c r="D7529" s="1">
        <f>IF(Tabela1[[#This Row],[promien]]&lt;40000,1,0)</f>
        <v>0</v>
      </c>
      <c r="E7529" s="1">
        <f>IF(Tabela1[[#This Row],[promien]]=40000,1,0)</f>
        <v>0</v>
      </c>
      <c r="F7529" s="1">
        <v>3.1568601407889494</v>
      </c>
      <c r="G7529" s="1">
        <v>1.5267487199156271E-2</v>
      </c>
    </row>
    <row r="7530" spans="1:7">
      <c r="A7530">
        <v>210</v>
      </c>
      <c r="B7530">
        <v>149</v>
      </c>
      <c r="C7530" s="1">
        <f>(Tabela1[[#This Row],[x]]-H$3)*(Tabela1[[#This Row],[x]]-H$3) +(Tabela1[[#This Row],[y]]-H$4)*(Tabela1[[#This Row],[y]]-H$4)</f>
        <v>2701</v>
      </c>
      <c r="D7530" s="1">
        <f>IF(Tabela1[[#This Row],[promien]]&lt;40000,1,0)</f>
        <v>1</v>
      </c>
      <c r="E7530" s="1">
        <f>IF(Tabela1[[#This Row],[promien]]=40000,1,0)</f>
        <v>0</v>
      </c>
      <c r="F7530" s="1">
        <v>3.156972111553785</v>
      </c>
      <c r="G7530" s="1">
        <v>1.5379457963991872E-2</v>
      </c>
    </row>
    <row r="7531" spans="1:7">
      <c r="A7531">
        <v>374</v>
      </c>
      <c r="B7531">
        <v>256</v>
      </c>
      <c r="C7531" s="1">
        <f>(Tabela1[[#This Row],[x]]-H$3)*(Tabela1[[#This Row],[x]]-H$3) +(Tabela1[[#This Row],[y]]-H$4)*(Tabela1[[#This Row],[y]]-H$4)</f>
        <v>33412</v>
      </c>
      <c r="D7531" s="1">
        <f>IF(Tabela1[[#This Row],[promien]]&lt;40000,1,0)</f>
        <v>1</v>
      </c>
      <c r="E7531" s="1">
        <f>IF(Tabela1[[#This Row],[promien]]=40000,1,0)</f>
        <v>0</v>
      </c>
      <c r="F7531" s="1">
        <v>3.1570840525826585</v>
      </c>
      <c r="G7531" s="1">
        <v>1.5491398992865335E-2</v>
      </c>
    </row>
    <row r="7532" spans="1:7">
      <c r="A7532">
        <v>170</v>
      </c>
      <c r="B7532">
        <v>100</v>
      </c>
      <c r="C7532" s="1">
        <f>(Tabela1[[#This Row],[x]]-H$3)*(Tabela1[[#This Row],[x]]-H$3) +(Tabela1[[#This Row],[y]]-H$4)*(Tabela1[[#This Row],[y]]-H$4)</f>
        <v>10900</v>
      </c>
      <c r="D7532" s="1">
        <f>IF(Tabela1[[#This Row],[promien]]&lt;40000,1,0)</f>
        <v>1</v>
      </c>
      <c r="E7532" s="1">
        <f>IF(Tabela1[[#This Row],[promien]]=40000,1,0)</f>
        <v>0</v>
      </c>
      <c r="F7532" s="1">
        <v>3.1571959638874136</v>
      </c>
      <c r="G7532" s="1">
        <v>1.5603310297620521E-2</v>
      </c>
    </row>
    <row r="7533" spans="1:7">
      <c r="A7533">
        <v>9</v>
      </c>
      <c r="B7533">
        <v>293</v>
      </c>
      <c r="C7533" s="1">
        <f>(Tabela1[[#This Row],[x]]-H$3)*(Tabela1[[#This Row],[x]]-H$3) +(Tabela1[[#This Row],[y]]-H$4)*(Tabela1[[#This Row],[y]]-H$4)</f>
        <v>45130</v>
      </c>
      <c r="D7533" s="1">
        <f>IF(Tabela1[[#This Row],[promien]]&lt;40000,1,0)</f>
        <v>0</v>
      </c>
      <c r="E7533" s="1">
        <f>IF(Tabela1[[#This Row],[promien]]=40000,1,0)</f>
        <v>0</v>
      </c>
      <c r="F7533" s="1">
        <v>3.1567768485331209</v>
      </c>
      <c r="G7533" s="1">
        <v>1.5184194943327789E-2</v>
      </c>
    </row>
    <row r="7534" spans="1:7">
      <c r="A7534">
        <v>337</v>
      </c>
      <c r="B7534">
        <v>154</v>
      </c>
      <c r="C7534" s="1">
        <f>(Tabela1[[#This Row],[x]]-H$3)*(Tabela1[[#This Row],[x]]-H$3) +(Tabela1[[#This Row],[y]]-H$4)*(Tabela1[[#This Row],[y]]-H$4)</f>
        <v>20885</v>
      </c>
      <c r="D7534" s="1">
        <f>IF(Tabela1[[#This Row],[promien]]&lt;40000,1,0)</f>
        <v>1</v>
      </c>
      <c r="E7534" s="1">
        <f>IF(Tabela1[[#This Row],[promien]]=40000,1,0)</f>
        <v>0</v>
      </c>
      <c r="F7534" s="1">
        <v>3.1568887709052298</v>
      </c>
      <c r="G7534" s="1">
        <v>1.5296117315436675E-2</v>
      </c>
    </row>
    <row r="7535" spans="1:7">
      <c r="A7535">
        <v>104</v>
      </c>
      <c r="B7535">
        <v>320</v>
      </c>
      <c r="C7535" s="1">
        <f>(Tabela1[[#This Row],[x]]-H$3)*(Tabela1[[#This Row],[x]]-H$3) +(Tabela1[[#This Row],[y]]-H$4)*(Tabela1[[#This Row],[y]]-H$4)</f>
        <v>23616</v>
      </c>
      <c r="D7535" s="1">
        <f>IF(Tabela1[[#This Row],[promien]]&lt;40000,1,0)</f>
        <v>1</v>
      </c>
      <c r="E7535" s="1">
        <f>IF(Tabela1[[#This Row],[promien]]=40000,1,0)</f>
        <v>0</v>
      </c>
      <c r="F7535" s="1">
        <v>3.1570006635700065</v>
      </c>
      <c r="G7535" s="1">
        <v>1.5408009980213411E-2</v>
      </c>
    </row>
    <row r="7536" spans="1:7">
      <c r="A7536">
        <v>160</v>
      </c>
      <c r="B7536">
        <v>117</v>
      </c>
      <c r="C7536" s="1">
        <f>(Tabela1[[#This Row],[x]]-H$3)*(Tabela1[[#This Row],[x]]-H$3) +(Tabela1[[#This Row],[y]]-H$4)*(Tabela1[[#This Row],[y]]-H$4)</f>
        <v>8489</v>
      </c>
      <c r="D7536" s="1">
        <f>IF(Tabela1[[#This Row],[promien]]&lt;40000,1,0)</f>
        <v>1</v>
      </c>
      <c r="E7536" s="1">
        <f>IF(Tabela1[[#This Row],[promien]]=40000,1,0)</f>
        <v>0</v>
      </c>
      <c r="F7536" s="1">
        <v>3.1571125265392781</v>
      </c>
      <c r="G7536" s="1">
        <v>1.5519872949484981E-2</v>
      </c>
    </row>
    <row r="7537" spans="1:7">
      <c r="A7537">
        <v>94</v>
      </c>
      <c r="B7537">
        <v>334</v>
      </c>
      <c r="C7537" s="1">
        <f>(Tabela1[[#This Row],[x]]-H$3)*(Tabela1[[#This Row],[x]]-H$3) +(Tabela1[[#This Row],[y]]-H$4)*(Tabela1[[#This Row],[y]]-H$4)</f>
        <v>29192</v>
      </c>
      <c r="D7537" s="1">
        <f>IF(Tabela1[[#This Row],[promien]]&lt;40000,1,0)</f>
        <v>1</v>
      </c>
      <c r="E7537" s="1">
        <f>IF(Tabela1[[#This Row],[promien]]=40000,1,0)</f>
        <v>0</v>
      </c>
      <c r="F7537" s="1">
        <v>3.1572243598248639</v>
      </c>
      <c r="G7537" s="1">
        <v>1.5631706235070819E-2</v>
      </c>
    </row>
    <row r="7538" spans="1:7">
      <c r="A7538">
        <v>394</v>
      </c>
      <c r="B7538">
        <v>361</v>
      </c>
      <c r="C7538" s="1">
        <f>(Tabela1[[#This Row],[x]]-H$3)*(Tabela1[[#This Row],[x]]-H$3) +(Tabela1[[#This Row],[y]]-H$4)*(Tabela1[[#This Row],[y]]-H$4)</f>
        <v>63557</v>
      </c>
      <c r="D7538" s="1">
        <f>IF(Tabela1[[#This Row],[promien]]&lt;40000,1,0)</f>
        <v>0</v>
      </c>
      <c r="E7538" s="1">
        <f>IF(Tabela1[[#This Row],[promien]]=40000,1,0)</f>
        <v>0</v>
      </c>
      <c r="F7538" s="1">
        <v>3.1568055187052266</v>
      </c>
      <c r="G7538" s="1">
        <v>1.5212865115433516E-2</v>
      </c>
    </row>
    <row r="7539" spans="1:7">
      <c r="A7539">
        <v>399</v>
      </c>
      <c r="B7539">
        <v>330</v>
      </c>
      <c r="C7539" s="1">
        <f>(Tabela1[[#This Row],[x]]-H$3)*(Tabela1[[#This Row],[x]]-H$3) +(Tabela1[[#This Row],[y]]-H$4)*(Tabela1[[#This Row],[y]]-H$4)</f>
        <v>56501</v>
      </c>
      <c r="D7539" s="1">
        <f>IF(Tabela1[[#This Row],[promien]]&lt;40000,1,0)</f>
        <v>0</v>
      </c>
      <c r="E7539" s="1">
        <f>IF(Tabela1[[#This Row],[promien]]=40000,1,0)</f>
        <v>0</v>
      </c>
      <c r="F7539" s="1">
        <v>3.1563867886987662</v>
      </c>
      <c r="G7539" s="1">
        <v>1.4794135108973094E-2</v>
      </c>
    </row>
    <row r="7540" spans="1:7">
      <c r="A7540">
        <v>346</v>
      </c>
      <c r="B7540">
        <v>306</v>
      </c>
      <c r="C7540" s="1">
        <f>(Tabela1[[#This Row],[x]]-H$3)*(Tabela1[[#This Row],[x]]-H$3) +(Tabela1[[#This Row],[y]]-H$4)*(Tabela1[[#This Row],[y]]-H$4)</f>
        <v>32552</v>
      </c>
      <c r="D7540" s="1">
        <f>IF(Tabela1[[#This Row],[promien]]&lt;40000,1,0)</f>
        <v>1</v>
      </c>
      <c r="E7540" s="1">
        <f>IF(Tabela1[[#This Row],[promien]]=40000,1,0)</f>
        <v>0</v>
      </c>
      <c r="F7540" s="1">
        <v>3.1564986737400531</v>
      </c>
      <c r="G7540" s="1">
        <v>1.4906020150259991E-2</v>
      </c>
    </row>
    <row r="7541" spans="1:7">
      <c r="A7541">
        <v>101</v>
      </c>
      <c r="B7541">
        <v>398</v>
      </c>
      <c r="C7541" s="1">
        <f>(Tabela1[[#This Row],[x]]-H$3)*(Tabela1[[#This Row],[x]]-H$3) +(Tabela1[[#This Row],[y]]-H$4)*(Tabela1[[#This Row],[y]]-H$4)</f>
        <v>49005</v>
      </c>
      <c r="D7541" s="1">
        <f>IF(Tabela1[[#This Row],[promien]]&lt;40000,1,0)</f>
        <v>0</v>
      </c>
      <c r="E7541" s="1">
        <f>IF(Tabela1[[#This Row],[promien]]=40000,1,0)</f>
        <v>0</v>
      </c>
      <c r="F7541" s="1">
        <v>3.1560800954780532</v>
      </c>
      <c r="G7541" s="1">
        <v>1.4487441888260122E-2</v>
      </c>
    </row>
    <row r="7542" spans="1:7">
      <c r="A7542">
        <v>151</v>
      </c>
      <c r="B7542">
        <v>199</v>
      </c>
      <c r="C7542" s="1">
        <f>(Tabela1[[#This Row],[x]]-H$3)*(Tabela1[[#This Row],[x]]-H$3) +(Tabela1[[#This Row],[y]]-H$4)*(Tabela1[[#This Row],[y]]-H$4)</f>
        <v>2402</v>
      </c>
      <c r="D7542" s="1">
        <f>IF(Tabela1[[#This Row],[promien]]&lt;40000,1,0)</f>
        <v>1</v>
      </c>
      <c r="E7542" s="1">
        <f>IF(Tabela1[[#This Row],[promien]]=40000,1,0)</f>
        <v>0</v>
      </c>
      <c r="F7542" s="1">
        <v>3.1561919915141874</v>
      </c>
      <c r="G7542" s="1">
        <v>1.4599337924394273E-2</v>
      </c>
    </row>
    <row r="7543" spans="1:7">
      <c r="A7543">
        <v>150</v>
      </c>
      <c r="B7543">
        <v>261</v>
      </c>
      <c r="C7543" s="1">
        <f>(Tabela1[[#This Row],[x]]-H$3)*(Tabela1[[#This Row],[x]]-H$3) +(Tabela1[[#This Row],[y]]-H$4)*(Tabela1[[#This Row],[y]]-H$4)</f>
        <v>6221</v>
      </c>
      <c r="D7543" s="1">
        <f>IF(Tabela1[[#This Row],[promien]]&lt;40000,1,0)</f>
        <v>1</v>
      </c>
      <c r="E7543" s="1">
        <f>IF(Tabela1[[#This Row],[promien]]=40000,1,0)</f>
        <v>0</v>
      </c>
      <c r="F7543" s="1">
        <v>3.1563038578814795</v>
      </c>
      <c r="G7543" s="1">
        <v>1.4711204291686375E-2</v>
      </c>
    </row>
    <row r="7544" spans="1:7">
      <c r="A7544">
        <v>380</v>
      </c>
      <c r="B7544">
        <v>54</v>
      </c>
      <c r="C7544" s="1">
        <f>(Tabela1[[#This Row],[x]]-H$3)*(Tabela1[[#This Row],[x]]-H$3) +(Tabela1[[#This Row],[y]]-H$4)*(Tabela1[[#This Row],[y]]-H$4)</f>
        <v>53716</v>
      </c>
      <c r="D7544" s="1">
        <f>IF(Tabela1[[#This Row],[promien]]&lt;40000,1,0)</f>
        <v>0</v>
      </c>
      <c r="E7544" s="1">
        <f>IF(Tabela1[[#This Row],[promien]]=40000,1,0)</f>
        <v>0</v>
      </c>
      <c r="F7544" s="1">
        <v>3.1558854718981975</v>
      </c>
      <c r="G7544" s="1">
        <v>1.4292818308404343E-2</v>
      </c>
    </row>
    <row r="7545" spans="1:7">
      <c r="A7545">
        <v>33</v>
      </c>
      <c r="B7545">
        <v>397</v>
      </c>
      <c r="C7545" s="1">
        <f>(Tabela1[[#This Row],[x]]-H$3)*(Tabela1[[#This Row],[x]]-H$3) +(Tabela1[[#This Row],[y]]-H$4)*(Tabela1[[#This Row],[y]]-H$4)</f>
        <v>66698</v>
      </c>
      <c r="D7545" s="1">
        <f>IF(Tabela1[[#This Row],[promien]]&lt;40000,1,0)</f>
        <v>0</v>
      </c>
      <c r="E7545" s="1">
        <f>IF(Tabela1[[#This Row],[promien]]=40000,1,0)</f>
        <v>0</v>
      </c>
      <c r="F7545" s="1">
        <v>3.1554671968190853</v>
      </c>
      <c r="G7545" s="1">
        <v>1.3874543229292158E-2</v>
      </c>
    </row>
    <row r="7546" spans="1:7">
      <c r="A7546">
        <v>72</v>
      </c>
      <c r="B7546">
        <v>139</v>
      </c>
      <c r="C7546" s="1">
        <f>(Tabela1[[#This Row],[x]]-H$3)*(Tabela1[[#This Row],[x]]-H$3) +(Tabela1[[#This Row],[y]]-H$4)*(Tabela1[[#This Row],[y]]-H$4)</f>
        <v>20105</v>
      </c>
      <c r="D7546" s="1">
        <f>IF(Tabela1[[#This Row],[promien]]&lt;40000,1,0)</f>
        <v>1</v>
      </c>
      <c r="E7546" s="1">
        <f>IF(Tabela1[[#This Row],[promien]]=40000,1,0)</f>
        <v>0</v>
      </c>
      <c r="F7546" s="1">
        <v>3.1555791147627881</v>
      </c>
      <c r="G7546" s="1">
        <v>1.3986461172994957E-2</v>
      </c>
    </row>
    <row r="7547" spans="1:7">
      <c r="A7547">
        <v>230</v>
      </c>
      <c r="B7547">
        <v>378</v>
      </c>
      <c r="C7547" s="1">
        <f>(Tabela1[[#This Row],[x]]-H$3)*(Tabela1[[#This Row],[x]]-H$3) +(Tabela1[[#This Row],[y]]-H$4)*(Tabela1[[#This Row],[y]]-H$4)</f>
        <v>32584</v>
      </c>
      <c r="D7547" s="1">
        <f>IF(Tabela1[[#This Row],[promien]]&lt;40000,1,0)</f>
        <v>1</v>
      </c>
      <c r="E7547" s="1">
        <f>IF(Tabela1[[#This Row],[promien]]=40000,1,0)</f>
        <v>0</v>
      </c>
      <c r="F7547" s="1">
        <v>3.1556910030475684</v>
      </c>
      <c r="G7547" s="1">
        <v>1.4098349457775328E-2</v>
      </c>
    </row>
    <row r="7548" spans="1:7">
      <c r="A7548">
        <v>264</v>
      </c>
      <c r="B7548">
        <v>93</v>
      </c>
      <c r="C7548" s="1">
        <f>(Tabela1[[#This Row],[x]]-H$3)*(Tabela1[[#This Row],[x]]-H$3) +(Tabela1[[#This Row],[y]]-H$4)*(Tabela1[[#This Row],[y]]-H$4)</f>
        <v>15545</v>
      </c>
      <c r="D7548" s="1">
        <f>IF(Tabela1[[#This Row],[promien]]&lt;40000,1,0)</f>
        <v>1</v>
      </c>
      <c r="E7548" s="1">
        <f>IF(Tabela1[[#This Row],[promien]]=40000,1,0)</f>
        <v>0</v>
      </c>
      <c r="F7548" s="1">
        <v>3.1558028616852147</v>
      </c>
      <c r="G7548" s="1">
        <v>1.4210208095421617E-2</v>
      </c>
    </row>
    <row r="7549" spans="1:7">
      <c r="A7549">
        <v>149</v>
      </c>
      <c r="B7549">
        <v>299</v>
      </c>
      <c r="C7549" s="1">
        <f>(Tabela1[[#This Row],[x]]-H$3)*(Tabela1[[#This Row],[x]]-H$3) +(Tabela1[[#This Row],[y]]-H$4)*(Tabela1[[#This Row],[y]]-H$4)</f>
        <v>12402</v>
      </c>
      <c r="D7549" s="1">
        <f>IF(Tabela1[[#This Row],[promien]]&lt;40000,1,0)</f>
        <v>1</v>
      </c>
      <c r="E7549" s="1">
        <f>IF(Tabela1[[#This Row],[promien]]=40000,1,0)</f>
        <v>0</v>
      </c>
      <c r="F7549" s="1">
        <v>3.1559146906875082</v>
      </c>
      <c r="G7549" s="1">
        <v>1.4322037097715068E-2</v>
      </c>
    </row>
    <row r="7550" spans="1:7">
      <c r="A7550">
        <v>91</v>
      </c>
      <c r="B7550">
        <v>399</v>
      </c>
      <c r="C7550" s="1">
        <f>(Tabela1[[#This Row],[x]]-H$3)*(Tabela1[[#This Row],[x]]-H$3) +(Tabela1[[#This Row],[y]]-H$4)*(Tabela1[[#This Row],[y]]-H$4)</f>
        <v>51482</v>
      </c>
      <c r="D7550" s="1">
        <f>IF(Tabela1[[#This Row],[promien]]&lt;40000,1,0)</f>
        <v>0</v>
      </c>
      <c r="E7550" s="1">
        <f>IF(Tabela1[[#This Row],[promien]]=40000,1,0)</f>
        <v>0</v>
      </c>
      <c r="F7550" s="1">
        <v>3.1554966887417217</v>
      </c>
      <c r="G7550" s="1">
        <v>1.3904035151928618E-2</v>
      </c>
    </row>
    <row r="7551" spans="1:7">
      <c r="A7551">
        <v>184</v>
      </c>
      <c r="B7551">
        <v>80</v>
      </c>
      <c r="C7551" s="1">
        <f>(Tabela1[[#This Row],[x]]-H$3)*(Tabela1[[#This Row],[x]]-H$3) +(Tabela1[[#This Row],[y]]-H$4)*(Tabela1[[#This Row],[y]]-H$4)</f>
        <v>14656</v>
      </c>
      <c r="D7551" s="1">
        <f>IF(Tabela1[[#This Row],[promien]]&lt;40000,1,0)</f>
        <v>1</v>
      </c>
      <c r="E7551" s="1">
        <f>IF(Tabela1[[#This Row],[promien]]=40000,1,0)</f>
        <v>0</v>
      </c>
      <c r="F7551" s="1">
        <v>3.1556085286716993</v>
      </c>
      <c r="G7551" s="1">
        <v>1.4015875081906159E-2</v>
      </c>
    </row>
    <row r="7552" spans="1:7">
      <c r="A7552">
        <v>44</v>
      </c>
      <c r="B7552">
        <v>337</v>
      </c>
      <c r="C7552" s="1">
        <f>(Tabela1[[#This Row],[x]]-H$3)*(Tabela1[[#This Row],[x]]-H$3) +(Tabela1[[#This Row],[y]]-H$4)*(Tabela1[[#This Row],[y]]-H$4)</f>
        <v>43105</v>
      </c>
      <c r="D7552" s="1">
        <f>IF(Tabela1[[#This Row],[promien]]&lt;40000,1,0)</f>
        <v>0</v>
      </c>
      <c r="E7552" s="1">
        <f>IF(Tabela1[[#This Row],[promien]]=40000,1,0)</f>
        <v>0</v>
      </c>
      <c r="F7552" s="1">
        <v>3.1551906779661016</v>
      </c>
      <c r="G7552" s="1">
        <v>1.3598024376308526E-2</v>
      </c>
    </row>
    <row r="7553" spans="1:7">
      <c r="A7553">
        <v>234</v>
      </c>
      <c r="B7553">
        <v>172</v>
      </c>
      <c r="C7553" s="1">
        <f>(Tabela1[[#This Row],[x]]-H$3)*(Tabela1[[#This Row],[x]]-H$3) +(Tabela1[[#This Row],[y]]-H$4)*(Tabela1[[#This Row],[y]]-H$4)</f>
        <v>1940</v>
      </c>
      <c r="D7553" s="1">
        <f>IF(Tabela1[[#This Row],[promien]]&lt;40000,1,0)</f>
        <v>1</v>
      </c>
      <c r="E7553" s="1">
        <f>IF(Tabela1[[#This Row],[promien]]=40000,1,0)</f>
        <v>0</v>
      </c>
      <c r="F7553" s="1">
        <v>3.1553025287965046</v>
      </c>
      <c r="G7553" s="1">
        <v>1.3709875206711519E-2</v>
      </c>
    </row>
    <row r="7554" spans="1:7">
      <c r="A7554">
        <v>327</v>
      </c>
      <c r="B7554">
        <v>222</v>
      </c>
      <c r="C7554" s="1">
        <f>(Tabela1[[#This Row],[x]]-H$3)*(Tabela1[[#This Row],[x]]-H$3) +(Tabela1[[#This Row],[y]]-H$4)*(Tabela1[[#This Row],[y]]-H$4)</f>
        <v>16613</v>
      </c>
      <c r="D7554" s="1">
        <f>IF(Tabela1[[#This Row],[promien]]&lt;40000,1,0)</f>
        <v>1</v>
      </c>
      <c r="E7554" s="1">
        <f>IF(Tabela1[[#This Row],[promien]]=40000,1,0)</f>
        <v>0</v>
      </c>
      <c r="F7554" s="1">
        <v>3.1554143500132379</v>
      </c>
      <c r="G7554" s="1">
        <v>1.3821696423444774E-2</v>
      </c>
    </row>
    <row r="7555" spans="1:7">
      <c r="A7555">
        <v>138</v>
      </c>
      <c r="B7555">
        <v>285</v>
      </c>
      <c r="C7555" s="1">
        <f>(Tabela1[[#This Row],[x]]-H$3)*(Tabela1[[#This Row],[x]]-H$3) +(Tabela1[[#This Row],[y]]-H$4)*(Tabela1[[#This Row],[y]]-H$4)</f>
        <v>11069</v>
      </c>
      <c r="D7555" s="1">
        <f>IF(Tabela1[[#This Row],[promien]]&lt;40000,1,0)</f>
        <v>1</v>
      </c>
      <c r="E7555" s="1">
        <f>IF(Tabela1[[#This Row],[promien]]=40000,1,0)</f>
        <v>0</v>
      </c>
      <c r="F7555" s="1">
        <v>3.1555261416280609</v>
      </c>
      <c r="G7555" s="1">
        <v>1.3933488038267772E-2</v>
      </c>
    </row>
    <row r="7556" spans="1:7">
      <c r="A7556">
        <v>253</v>
      </c>
      <c r="B7556">
        <v>245</v>
      </c>
      <c r="C7556" s="1">
        <f>(Tabela1[[#This Row],[x]]-H$3)*(Tabela1[[#This Row],[x]]-H$3) +(Tabela1[[#This Row],[y]]-H$4)*(Tabela1[[#This Row],[y]]-H$4)</f>
        <v>4834</v>
      </c>
      <c r="D7556" s="1">
        <f>IF(Tabela1[[#This Row],[promien]]&lt;40000,1,0)</f>
        <v>1</v>
      </c>
      <c r="E7556" s="1">
        <f>IF(Tabela1[[#This Row],[promien]]=40000,1,0)</f>
        <v>0</v>
      </c>
      <c r="F7556" s="1">
        <v>3.1556379036527265</v>
      </c>
      <c r="G7556" s="1">
        <v>1.4045250062933334E-2</v>
      </c>
    </row>
    <row r="7557" spans="1:7">
      <c r="A7557">
        <v>121</v>
      </c>
      <c r="B7557">
        <v>122</v>
      </c>
      <c r="C7557" s="1">
        <f>(Tabela1[[#This Row],[x]]-H$3)*(Tabela1[[#This Row],[x]]-H$3) +(Tabela1[[#This Row],[y]]-H$4)*(Tabela1[[#This Row],[y]]-H$4)</f>
        <v>12325</v>
      </c>
      <c r="D7557" s="1">
        <f>IF(Tabela1[[#This Row],[promien]]&lt;40000,1,0)</f>
        <v>1</v>
      </c>
      <c r="E7557" s="1">
        <f>IF(Tabela1[[#This Row],[promien]]=40000,1,0)</f>
        <v>0</v>
      </c>
      <c r="F7557" s="1">
        <v>3.1557496360989812</v>
      </c>
      <c r="G7557" s="1">
        <v>1.4156982509188065E-2</v>
      </c>
    </row>
    <row r="7558" spans="1:7">
      <c r="A7558">
        <v>124</v>
      </c>
      <c r="B7558">
        <v>39</v>
      </c>
      <c r="C7558" s="1">
        <f>(Tabela1[[#This Row],[x]]-H$3)*(Tabela1[[#This Row],[x]]-H$3) +(Tabela1[[#This Row],[y]]-H$4)*(Tabela1[[#This Row],[y]]-H$4)</f>
        <v>31697</v>
      </c>
      <c r="D7558" s="1">
        <f>IF(Tabela1[[#This Row],[promien]]&lt;40000,1,0)</f>
        <v>1</v>
      </c>
      <c r="E7558" s="1">
        <f>IF(Tabela1[[#This Row],[promien]]=40000,1,0)</f>
        <v>0</v>
      </c>
      <c r="F7558" s="1">
        <v>3.1558613389785659</v>
      </c>
      <c r="G7558" s="1">
        <v>1.4268685388772795E-2</v>
      </c>
    </row>
    <row r="7559" spans="1:7">
      <c r="A7559">
        <v>342</v>
      </c>
      <c r="B7559">
        <v>296</v>
      </c>
      <c r="C7559" s="1">
        <f>(Tabela1[[#This Row],[x]]-H$3)*(Tabela1[[#This Row],[x]]-H$3) +(Tabela1[[#This Row],[y]]-H$4)*(Tabela1[[#This Row],[y]]-H$4)</f>
        <v>29380</v>
      </c>
      <c r="D7559" s="1">
        <f>IF(Tabela1[[#This Row],[promien]]&lt;40000,1,0)</f>
        <v>1</v>
      </c>
      <c r="E7559" s="1">
        <f>IF(Tabela1[[#This Row],[promien]]=40000,1,0)</f>
        <v>0</v>
      </c>
      <c r="F7559" s="1">
        <v>3.1559730123032148</v>
      </c>
      <c r="G7559" s="1">
        <v>1.4380358713421693E-2</v>
      </c>
    </row>
    <row r="7560" spans="1:7">
      <c r="A7560">
        <v>213</v>
      </c>
      <c r="B7560">
        <v>212</v>
      </c>
      <c r="C7560" s="1">
        <f>(Tabela1[[#This Row],[x]]-H$3)*(Tabela1[[#This Row],[x]]-H$3) +(Tabela1[[#This Row],[y]]-H$4)*(Tabela1[[#This Row],[y]]-H$4)</f>
        <v>313</v>
      </c>
      <c r="D7560" s="1">
        <f>IF(Tabela1[[#This Row],[promien]]&lt;40000,1,0)</f>
        <v>1</v>
      </c>
      <c r="E7560" s="1">
        <f>IF(Tabela1[[#This Row],[promien]]=40000,1,0)</f>
        <v>0</v>
      </c>
      <c r="F7560" s="1">
        <v>3.1560846560846563</v>
      </c>
      <c r="G7560" s="1">
        <v>1.4492002494863154E-2</v>
      </c>
    </row>
    <row r="7561" spans="1:7">
      <c r="A7561">
        <v>372</v>
      </c>
      <c r="B7561">
        <v>252</v>
      </c>
      <c r="C7561" s="1">
        <f>(Tabela1[[#This Row],[x]]-H$3)*(Tabela1[[#This Row],[x]]-H$3) +(Tabela1[[#This Row],[y]]-H$4)*(Tabela1[[#This Row],[y]]-H$4)</f>
        <v>32288</v>
      </c>
      <c r="D7561" s="1">
        <f>IF(Tabela1[[#This Row],[promien]]&lt;40000,1,0)</f>
        <v>1</v>
      </c>
      <c r="E7561" s="1">
        <f>IF(Tabela1[[#This Row],[promien]]=40000,1,0)</f>
        <v>0</v>
      </c>
      <c r="F7561" s="1">
        <v>3.156196270334612</v>
      </c>
      <c r="G7561" s="1">
        <v>1.4603616744818915E-2</v>
      </c>
    </row>
    <row r="7562" spans="1:7">
      <c r="A7562">
        <v>39</v>
      </c>
      <c r="B7562">
        <v>347</v>
      </c>
      <c r="C7562" s="1">
        <f>(Tabela1[[#This Row],[x]]-H$3)*(Tabela1[[#This Row],[x]]-H$3) +(Tabela1[[#This Row],[y]]-H$4)*(Tabela1[[#This Row],[y]]-H$4)</f>
        <v>47530</v>
      </c>
      <c r="D7562" s="1">
        <f>IF(Tabela1[[#This Row],[promien]]&lt;40000,1,0)</f>
        <v>0</v>
      </c>
      <c r="E7562" s="1">
        <f>IF(Tabela1[[#This Row],[promien]]=40000,1,0)</f>
        <v>0</v>
      </c>
      <c r="F7562" s="1">
        <v>3.1557788944723617</v>
      </c>
      <c r="G7562" s="1">
        <v>1.418624088256859E-2</v>
      </c>
    </row>
    <row r="7563" spans="1:7">
      <c r="A7563">
        <v>237</v>
      </c>
      <c r="B7563">
        <v>70</v>
      </c>
      <c r="C7563" s="1">
        <f>(Tabela1[[#This Row],[x]]-H$3)*(Tabela1[[#This Row],[x]]-H$3) +(Tabela1[[#This Row],[y]]-H$4)*(Tabela1[[#This Row],[y]]-H$4)</f>
        <v>18269</v>
      </c>
      <c r="D7563" s="1">
        <f>IF(Tabela1[[#This Row],[promien]]&lt;40000,1,0)</f>
        <v>1</v>
      </c>
      <c r="E7563" s="1">
        <f>IF(Tabela1[[#This Row],[promien]]=40000,1,0)</f>
        <v>0</v>
      </c>
      <c r="F7563" s="1">
        <v>3.1558905196350655</v>
      </c>
      <c r="G7563" s="1">
        <v>1.4297866045272389E-2</v>
      </c>
    </row>
    <row r="7564" spans="1:7">
      <c r="A7564">
        <v>293</v>
      </c>
      <c r="B7564">
        <v>279</v>
      </c>
      <c r="C7564" s="1">
        <f>(Tabela1[[#This Row],[x]]-H$3)*(Tabela1[[#This Row],[x]]-H$3) +(Tabela1[[#This Row],[y]]-H$4)*(Tabela1[[#This Row],[y]]-H$4)</f>
        <v>14890</v>
      </c>
      <c r="D7564" s="1">
        <f>IF(Tabela1[[#This Row],[promien]]&lt;40000,1,0)</f>
        <v>1</v>
      </c>
      <c r="E7564" s="1">
        <f>IF(Tabela1[[#This Row],[promien]]=40000,1,0)</f>
        <v>0</v>
      </c>
      <c r="F7564" s="1">
        <v>3.1560021152829192</v>
      </c>
      <c r="G7564" s="1">
        <v>1.4409461693126069E-2</v>
      </c>
    </row>
    <row r="7565" spans="1:7">
      <c r="A7565">
        <v>204</v>
      </c>
      <c r="B7565">
        <v>45</v>
      </c>
      <c r="C7565" s="1">
        <f>(Tabela1[[#This Row],[x]]-H$3)*(Tabela1[[#This Row],[x]]-H$3) +(Tabela1[[#This Row],[y]]-H$4)*(Tabela1[[#This Row],[y]]-H$4)</f>
        <v>24041</v>
      </c>
      <c r="D7565" s="1">
        <f>IF(Tabela1[[#This Row],[promien]]&lt;40000,1,0)</f>
        <v>1</v>
      </c>
      <c r="E7565" s="1">
        <f>IF(Tabela1[[#This Row],[promien]]=40000,1,0)</f>
        <v>0</v>
      </c>
      <c r="F7565" s="1">
        <v>3.1561136814276272</v>
      </c>
      <c r="G7565" s="1">
        <v>1.4521027837834044E-2</v>
      </c>
    </row>
    <row r="7566" spans="1:7">
      <c r="A7566">
        <v>284</v>
      </c>
      <c r="B7566">
        <v>156</v>
      </c>
      <c r="C7566" s="1">
        <f>(Tabela1[[#This Row],[x]]-H$3)*(Tabela1[[#This Row],[x]]-H$3) +(Tabela1[[#This Row],[y]]-H$4)*(Tabela1[[#This Row],[y]]-H$4)</f>
        <v>8992</v>
      </c>
      <c r="D7566" s="1">
        <f>IF(Tabela1[[#This Row],[promien]]&lt;40000,1,0)</f>
        <v>1</v>
      </c>
      <c r="E7566" s="1">
        <f>IF(Tabela1[[#This Row],[promien]]=40000,1,0)</f>
        <v>0</v>
      </c>
      <c r="F7566" s="1">
        <v>3.1562252180808881</v>
      </c>
      <c r="G7566" s="1">
        <v>1.4632564491094957E-2</v>
      </c>
    </row>
    <row r="7567" spans="1:7">
      <c r="A7567">
        <v>160</v>
      </c>
      <c r="B7567">
        <v>346</v>
      </c>
      <c r="C7567" s="1">
        <f>(Tabela1[[#This Row],[x]]-H$3)*(Tabela1[[#This Row],[x]]-H$3) +(Tabela1[[#This Row],[y]]-H$4)*(Tabela1[[#This Row],[y]]-H$4)</f>
        <v>22916</v>
      </c>
      <c r="D7567" s="1">
        <f>IF(Tabela1[[#This Row],[promien]]&lt;40000,1,0)</f>
        <v>1</v>
      </c>
      <c r="E7567" s="1">
        <f>IF(Tabela1[[#This Row],[promien]]=40000,1,0)</f>
        <v>0</v>
      </c>
      <c r="F7567" s="1">
        <v>3.1563367252543939</v>
      </c>
      <c r="G7567" s="1">
        <v>1.4744071664600789E-2</v>
      </c>
    </row>
    <row r="7568" spans="1:7">
      <c r="A7568">
        <v>249</v>
      </c>
      <c r="B7568">
        <v>72</v>
      </c>
      <c r="C7568" s="1">
        <f>(Tabela1[[#This Row],[x]]-H$3)*(Tabela1[[#This Row],[x]]-H$3) +(Tabela1[[#This Row],[y]]-H$4)*(Tabela1[[#This Row],[y]]-H$4)</f>
        <v>18785</v>
      </c>
      <c r="D7568" s="1">
        <f>IF(Tabela1[[#This Row],[promien]]&lt;40000,1,0)</f>
        <v>1</v>
      </c>
      <c r="E7568" s="1">
        <f>IF(Tabela1[[#This Row],[promien]]=40000,1,0)</f>
        <v>0</v>
      </c>
      <c r="F7568" s="1">
        <v>3.1564482029598309</v>
      </c>
      <c r="G7568" s="1">
        <v>1.4855549370037746E-2</v>
      </c>
    </row>
    <row r="7569" spans="1:7">
      <c r="A7569">
        <v>152</v>
      </c>
      <c r="B7569">
        <v>15</v>
      </c>
      <c r="C7569" s="1">
        <f>(Tabela1[[#This Row],[x]]-H$3)*(Tabela1[[#This Row],[x]]-H$3) +(Tabela1[[#This Row],[y]]-H$4)*(Tabela1[[#This Row],[y]]-H$4)</f>
        <v>36529</v>
      </c>
      <c r="D7569" s="1">
        <f>IF(Tabela1[[#This Row],[promien]]&lt;40000,1,0)</f>
        <v>1</v>
      </c>
      <c r="E7569" s="1">
        <f>IF(Tabela1[[#This Row],[promien]]=40000,1,0)</f>
        <v>0</v>
      </c>
      <c r="F7569" s="1">
        <v>3.1565596512088785</v>
      </c>
      <c r="G7569" s="1">
        <v>1.4966997619085376E-2</v>
      </c>
    </row>
    <row r="7570" spans="1:7">
      <c r="A7570">
        <v>143</v>
      </c>
      <c r="B7570">
        <v>121</v>
      </c>
      <c r="C7570" s="1">
        <f>(Tabela1[[#This Row],[x]]-H$3)*(Tabela1[[#This Row],[x]]-H$3) +(Tabela1[[#This Row],[y]]-H$4)*(Tabela1[[#This Row],[y]]-H$4)</f>
        <v>9490</v>
      </c>
      <c r="D7570" s="1">
        <f>IF(Tabela1[[#This Row],[promien]]&lt;40000,1,0)</f>
        <v>1</v>
      </c>
      <c r="E7570" s="1">
        <f>IF(Tabela1[[#This Row],[promien]]=40000,1,0)</f>
        <v>0</v>
      </c>
      <c r="F7570" s="1">
        <v>3.1566710700132101</v>
      </c>
      <c r="G7570" s="1">
        <v>1.5078416423417007E-2</v>
      </c>
    </row>
    <row r="7571" spans="1:7">
      <c r="A7571">
        <v>96</v>
      </c>
      <c r="B7571">
        <v>107</v>
      </c>
      <c r="C7571" s="1">
        <f>(Tabela1[[#This Row],[x]]-H$3)*(Tabela1[[#This Row],[x]]-H$3) +(Tabela1[[#This Row],[y]]-H$4)*(Tabela1[[#This Row],[y]]-H$4)</f>
        <v>19465</v>
      </c>
      <c r="D7571" s="1">
        <f>IF(Tabela1[[#This Row],[promien]]&lt;40000,1,0)</f>
        <v>1</v>
      </c>
      <c r="E7571" s="1">
        <f>IF(Tabela1[[#This Row],[promien]]=40000,1,0)</f>
        <v>0</v>
      </c>
      <c r="F7571" s="1">
        <v>3.1567824593844933</v>
      </c>
      <c r="G7571" s="1">
        <v>1.5189805794700195E-2</v>
      </c>
    </row>
    <row r="7572" spans="1:7">
      <c r="A7572">
        <v>59</v>
      </c>
      <c r="B7572">
        <v>189</v>
      </c>
      <c r="C7572" s="1">
        <f>(Tabela1[[#This Row],[x]]-H$3)*(Tabela1[[#This Row],[x]]-H$3) +(Tabela1[[#This Row],[y]]-H$4)*(Tabela1[[#This Row],[y]]-H$4)</f>
        <v>20002</v>
      </c>
      <c r="D7572" s="1">
        <f>IF(Tabela1[[#This Row],[promien]]&lt;40000,1,0)</f>
        <v>1</v>
      </c>
      <c r="E7572" s="1">
        <f>IF(Tabela1[[#This Row],[promien]]=40000,1,0)</f>
        <v>0</v>
      </c>
      <c r="F7572" s="1">
        <v>3.1568938193343898</v>
      </c>
      <c r="G7572" s="1">
        <v>1.5301165744596723E-2</v>
      </c>
    </row>
    <row r="7573" spans="1:7">
      <c r="A7573">
        <v>42</v>
      </c>
      <c r="B7573">
        <v>329</v>
      </c>
      <c r="C7573" s="1">
        <f>(Tabela1[[#This Row],[x]]-H$3)*(Tabela1[[#This Row],[x]]-H$3) +(Tabela1[[#This Row],[y]]-H$4)*(Tabela1[[#This Row],[y]]-H$4)</f>
        <v>41605</v>
      </c>
      <c r="D7573" s="1">
        <f>IF(Tabela1[[#This Row],[promien]]&lt;40000,1,0)</f>
        <v>0</v>
      </c>
      <c r="E7573" s="1">
        <f>IF(Tabela1[[#This Row],[promien]]=40000,1,0)</f>
        <v>0</v>
      </c>
      <c r="F7573" s="1">
        <v>3.1564769576125711</v>
      </c>
      <c r="G7573" s="1">
        <v>1.4884304022777961E-2</v>
      </c>
    </row>
    <row r="7574" spans="1:7">
      <c r="A7574">
        <v>157</v>
      </c>
      <c r="B7574">
        <v>44</v>
      </c>
      <c r="C7574" s="1">
        <f>(Tabela1[[#This Row],[x]]-H$3)*(Tabela1[[#This Row],[x]]-H$3) +(Tabela1[[#This Row],[y]]-H$4)*(Tabela1[[#This Row],[y]]-H$4)</f>
        <v>26185</v>
      </c>
      <c r="D7574" s="1">
        <f>IF(Tabela1[[#This Row],[promien]]&lt;40000,1,0)</f>
        <v>1</v>
      </c>
      <c r="E7574" s="1">
        <f>IF(Tabela1[[#This Row],[promien]]=40000,1,0)</f>
        <v>0</v>
      </c>
      <c r="F7574" s="1">
        <v>3.15658832849221</v>
      </c>
      <c r="G7574" s="1">
        <v>1.4995674902416933E-2</v>
      </c>
    </row>
    <row r="7575" spans="1:7">
      <c r="A7575">
        <v>3</v>
      </c>
      <c r="B7575">
        <v>318</v>
      </c>
      <c r="C7575" s="1">
        <f>(Tabela1[[#This Row],[x]]-H$3)*(Tabela1[[#This Row],[x]]-H$3) +(Tabela1[[#This Row],[y]]-H$4)*(Tabela1[[#This Row],[y]]-H$4)</f>
        <v>52733</v>
      </c>
      <c r="D7575" s="1">
        <f>IF(Tabela1[[#This Row],[promien]]&lt;40000,1,0)</f>
        <v>0</v>
      </c>
      <c r="E7575" s="1">
        <f>IF(Tabela1[[#This Row],[promien]]=40000,1,0)</f>
        <v>0</v>
      </c>
      <c r="F7575" s="1">
        <v>3.156171617161716</v>
      </c>
      <c r="G7575" s="1">
        <v>1.4578963571922898E-2</v>
      </c>
    </row>
    <row r="7576" spans="1:7">
      <c r="A7576">
        <v>17</v>
      </c>
      <c r="B7576">
        <v>322</v>
      </c>
      <c r="C7576" s="1">
        <f>(Tabela1[[#This Row],[x]]-H$3)*(Tabela1[[#This Row],[x]]-H$3) +(Tabela1[[#This Row],[y]]-H$4)*(Tabela1[[#This Row],[y]]-H$4)</f>
        <v>48373</v>
      </c>
      <c r="D7576" s="1">
        <f>IF(Tabela1[[#This Row],[promien]]&lt;40000,1,0)</f>
        <v>0</v>
      </c>
      <c r="E7576" s="1">
        <f>IF(Tabela1[[#This Row],[promien]]=40000,1,0)</f>
        <v>0</v>
      </c>
      <c r="F7576" s="1">
        <v>3.1557550158394929</v>
      </c>
      <c r="G7576" s="1">
        <v>1.41623622496998E-2</v>
      </c>
    </row>
    <row r="7577" spans="1:7">
      <c r="A7577">
        <v>348</v>
      </c>
      <c r="B7577">
        <v>214</v>
      </c>
      <c r="C7577" s="1">
        <f>(Tabela1[[#This Row],[x]]-H$3)*(Tabela1[[#This Row],[x]]-H$3) +(Tabela1[[#This Row],[y]]-H$4)*(Tabela1[[#This Row],[y]]-H$4)</f>
        <v>22100</v>
      </c>
      <c r="D7577" s="1">
        <f>IF(Tabela1[[#This Row],[promien]]&lt;40000,1,0)</f>
        <v>1</v>
      </c>
      <c r="E7577" s="1">
        <f>IF(Tabela1[[#This Row],[promien]]=40000,1,0)</f>
        <v>0</v>
      </c>
      <c r="F7577" s="1">
        <v>3.1558664379041836</v>
      </c>
      <c r="G7577" s="1">
        <v>1.4273784314390525E-2</v>
      </c>
    </row>
    <row r="7578" spans="1:7">
      <c r="A7578">
        <v>375</v>
      </c>
      <c r="B7578">
        <v>223</v>
      </c>
      <c r="C7578" s="1">
        <f>(Tabela1[[#This Row],[x]]-H$3)*(Tabela1[[#This Row],[x]]-H$3) +(Tabela1[[#This Row],[y]]-H$4)*(Tabela1[[#This Row],[y]]-H$4)</f>
        <v>31154</v>
      </c>
      <c r="D7578" s="1">
        <f>IF(Tabela1[[#This Row],[promien]]&lt;40000,1,0)</f>
        <v>1</v>
      </c>
      <c r="E7578" s="1">
        <f>IF(Tabela1[[#This Row],[promien]]=40000,1,0)</f>
        <v>0</v>
      </c>
      <c r="F7578" s="1">
        <v>3.1559778305621538</v>
      </c>
      <c r="G7578" s="1">
        <v>1.4385176972360636E-2</v>
      </c>
    </row>
    <row r="7579" spans="1:7">
      <c r="A7579">
        <v>37</v>
      </c>
      <c r="B7579">
        <v>191</v>
      </c>
      <c r="C7579" s="1">
        <f>(Tabela1[[#This Row],[x]]-H$3)*(Tabela1[[#This Row],[x]]-H$3) +(Tabela1[[#This Row],[y]]-H$4)*(Tabela1[[#This Row],[y]]-H$4)</f>
        <v>26650</v>
      </c>
      <c r="D7579" s="1">
        <f>IF(Tabela1[[#This Row],[promien]]&lt;40000,1,0)</f>
        <v>1</v>
      </c>
      <c r="E7579" s="1">
        <f>IF(Tabela1[[#This Row],[promien]]=40000,1,0)</f>
        <v>0</v>
      </c>
      <c r="F7579" s="1">
        <v>3.1560891938250428</v>
      </c>
      <c r="G7579" s="1">
        <v>1.4496540235249711E-2</v>
      </c>
    </row>
    <row r="7580" spans="1:7">
      <c r="A7580">
        <v>307</v>
      </c>
      <c r="B7580">
        <v>100</v>
      </c>
      <c r="C7580" s="1">
        <f>(Tabela1[[#This Row],[x]]-H$3)*(Tabela1[[#This Row],[x]]-H$3) +(Tabela1[[#This Row],[y]]-H$4)*(Tabela1[[#This Row],[y]]-H$4)</f>
        <v>21449</v>
      </c>
      <c r="D7580" s="1">
        <f>IF(Tabela1[[#This Row],[promien]]&lt;40000,1,0)</f>
        <v>1</v>
      </c>
      <c r="E7580" s="1">
        <f>IF(Tabela1[[#This Row],[promien]]=40000,1,0)</f>
        <v>0</v>
      </c>
      <c r="F7580" s="1">
        <v>3.1562005277044856</v>
      </c>
      <c r="G7580" s="1">
        <v>1.4607874114692443E-2</v>
      </c>
    </row>
    <row r="7581" spans="1:7">
      <c r="A7581">
        <v>20</v>
      </c>
      <c r="B7581">
        <v>32</v>
      </c>
      <c r="C7581" s="1">
        <f>(Tabela1[[#This Row],[x]]-H$3)*(Tabela1[[#This Row],[x]]-H$3) +(Tabela1[[#This Row],[y]]-H$4)*(Tabela1[[#This Row],[y]]-H$4)</f>
        <v>60624</v>
      </c>
      <c r="D7581" s="1">
        <f>IF(Tabela1[[#This Row],[promien]]&lt;40000,1,0)</f>
        <v>0</v>
      </c>
      <c r="E7581" s="1">
        <f>IF(Tabela1[[#This Row],[promien]]=40000,1,0)</f>
        <v>0</v>
      </c>
      <c r="F7581" s="1">
        <v>3.1557841973354437</v>
      </c>
      <c r="G7581" s="1">
        <v>1.419154374565057E-2</v>
      </c>
    </row>
    <row r="7582" spans="1:7">
      <c r="A7582">
        <v>149</v>
      </c>
      <c r="B7582">
        <v>399</v>
      </c>
      <c r="C7582" s="1">
        <f>(Tabela1[[#This Row],[x]]-H$3)*(Tabela1[[#This Row],[x]]-H$3) +(Tabela1[[#This Row],[y]]-H$4)*(Tabela1[[#This Row],[y]]-H$4)</f>
        <v>42202</v>
      </c>
      <c r="D7582" s="1">
        <f>IF(Tabela1[[#This Row],[promien]]&lt;40000,1,0)</f>
        <v>0</v>
      </c>
      <c r="E7582" s="1">
        <f>IF(Tabela1[[#This Row],[promien]]=40000,1,0)</f>
        <v>0</v>
      </c>
      <c r="F7582" s="1">
        <v>3.1553679767871272</v>
      </c>
      <c r="G7582" s="1">
        <v>1.3775323197334099E-2</v>
      </c>
    </row>
    <row r="7583" spans="1:7">
      <c r="A7583">
        <v>94</v>
      </c>
      <c r="B7583">
        <v>228</v>
      </c>
      <c r="C7583" s="1">
        <f>(Tabela1[[#This Row],[x]]-H$3)*(Tabela1[[#This Row],[x]]-H$3) +(Tabela1[[#This Row],[y]]-H$4)*(Tabela1[[#This Row],[y]]-H$4)</f>
        <v>12020</v>
      </c>
      <c r="D7583" s="1">
        <f>IF(Tabela1[[#This Row],[promien]]&lt;40000,1,0)</f>
        <v>1</v>
      </c>
      <c r="E7583" s="1">
        <f>IF(Tabela1[[#This Row],[promien]]=40000,1,0)</f>
        <v>0</v>
      </c>
      <c r="F7583" s="1">
        <v>3.1554793617301859</v>
      </c>
      <c r="G7583" s="1">
        <v>1.3886708140392834E-2</v>
      </c>
    </row>
    <row r="7584" spans="1:7">
      <c r="A7584">
        <v>173</v>
      </c>
      <c r="B7584">
        <v>294</v>
      </c>
      <c r="C7584" s="1">
        <f>(Tabela1[[#This Row],[x]]-H$3)*(Tabela1[[#This Row],[x]]-H$3) +(Tabela1[[#This Row],[y]]-H$4)*(Tabela1[[#This Row],[y]]-H$4)</f>
        <v>9565</v>
      </c>
      <c r="D7584" s="1">
        <f>IF(Tabela1[[#This Row],[promien]]&lt;40000,1,0)</f>
        <v>1</v>
      </c>
      <c r="E7584" s="1">
        <f>IF(Tabela1[[#This Row],[promien]]=40000,1,0)</f>
        <v>0</v>
      </c>
      <c r="F7584" s="1">
        <v>3.1555907172995781</v>
      </c>
      <c r="G7584" s="1">
        <v>1.3998063709784958E-2</v>
      </c>
    </row>
    <row r="7585" spans="1:7">
      <c r="A7585">
        <v>17</v>
      </c>
      <c r="B7585">
        <v>313</v>
      </c>
      <c r="C7585" s="1">
        <f>(Tabela1[[#This Row],[x]]-H$3)*(Tabela1[[#This Row],[x]]-H$3) +(Tabela1[[#This Row],[y]]-H$4)*(Tabela1[[#This Row],[y]]-H$4)</f>
        <v>46258</v>
      </c>
      <c r="D7585" s="1">
        <f>IF(Tabela1[[#This Row],[promien]]&lt;40000,1,0)</f>
        <v>0</v>
      </c>
      <c r="E7585" s="1">
        <f>IF(Tabela1[[#This Row],[promien]]=40000,1,0)</f>
        <v>0</v>
      </c>
      <c r="F7585" s="1">
        <v>3.1551746868820039</v>
      </c>
      <c r="G7585" s="1">
        <v>1.3582033292210749E-2</v>
      </c>
    </row>
    <row r="7586" spans="1:7">
      <c r="A7586">
        <v>83</v>
      </c>
      <c r="B7586">
        <v>226</v>
      </c>
      <c r="C7586" s="1">
        <f>(Tabela1[[#This Row],[x]]-H$3)*(Tabela1[[#This Row],[x]]-H$3) +(Tabela1[[#This Row],[y]]-H$4)*(Tabela1[[#This Row],[y]]-H$4)</f>
        <v>14365</v>
      </c>
      <c r="D7586" s="1">
        <f>IF(Tabela1[[#This Row],[promien]]&lt;40000,1,0)</f>
        <v>1</v>
      </c>
      <c r="E7586" s="1">
        <f>IF(Tabela1[[#This Row],[promien]]=40000,1,0)</f>
        <v>0</v>
      </c>
      <c r="F7586" s="1">
        <v>3.1552860532559981</v>
      </c>
      <c r="G7586" s="1">
        <v>1.3693399666204975E-2</v>
      </c>
    </row>
    <row r="7587" spans="1:7">
      <c r="A7587">
        <v>294</v>
      </c>
      <c r="B7587">
        <v>333</v>
      </c>
      <c r="C7587" s="1">
        <f>(Tabela1[[#This Row],[x]]-H$3)*(Tabela1[[#This Row],[x]]-H$3) +(Tabela1[[#This Row],[y]]-H$4)*(Tabela1[[#This Row],[y]]-H$4)</f>
        <v>26525</v>
      </c>
      <c r="D7587" s="1">
        <f>IF(Tabela1[[#This Row],[promien]]&lt;40000,1,0)</f>
        <v>1</v>
      </c>
      <c r="E7587" s="1">
        <f>IF(Tabela1[[#This Row],[promien]]=40000,1,0)</f>
        <v>0</v>
      </c>
      <c r="F7587" s="1">
        <v>3.1553973902728352</v>
      </c>
      <c r="G7587" s="1">
        <v>1.3804736683042051E-2</v>
      </c>
    </row>
    <row r="7588" spans="1:7">
      <c r="A7588">
        <v>156</v>
      </c>
      <c r="B7588">
        <v>307</v>
      </c>
      <c r="C7588" s="1">
        <f>(Tabela1[[#This Row],[x]]-H$3)*(Tabela1[[#This Row],[x]]-H$3) +(Tabela1[[#This Row],[y]]-H$4)*(Tabela1[[#This Row],[y]]-H$4)</f>
        <v>13385</v>
      </c>
      <c r="D7588" s="1">
        <f>IF(Tabela1[[#This Row],[promien]]&lt;40000,1,0)</f>
        <v>1</v>
      </c>
      <c r="E7588" s="1">
        <f>IF(Tabela1[[#This Row],[promien]]=40000,1,0)</f>
        <v>0</v>
      </c>
      <c r="F7588" s="1">
        <v>3.1555086979441223</v>
      </c>
      <c r="G7588" s="1">
        <v>1.3916044354329138E-2</v>
      </c>
    </row>
    <row r="7589" spans="1:7">
      <c r="A7589">
        <v>361</v>
      </c>
      <c r="B7589">
        <v>365</v>
      </c>
      <c r="C7589" s="1">
        <f>(Tabela1[[#This Row],[x]]-H$3)*(Tabela1[[#This Row],[x]]-H$3) +(Tabela1[[#This Row],[y]]-H$4)*(Tabela1[[#This Row],[y]]-H$4)</f>
        <v>53146</v>
      </c>
      <c r="D7589" s="1">
        <f>IF(Tabela1[[#This Row],[promien]]&lt;40000,1,0)</f>
        <v>0</v>
      </c>
      <c r="E7589" s="1">
        <f>IF(Tabela1[[#This Row],[promien]]=40000,1,0)</f>
        <v>0</v>
      </c>
      <c r="F7589" s="1">
        <v>3.1550928976149692</v>
      </c>
      <c r="G7589" s="1">
        <v>1.3500244025176134E-2</v>
      </c>
    </row>
    <row r="7590" spans="1:7">
      <c r="A7590">
        <v>285</v>
      </c>
      <c r="B7590">
        <v>45</v>
      </c>
      <c r="C7590" s="1">
        <f>(Tabela1[[#This Row],[x]]-H$3)*(Tabela1[[#This Row],[x]]-H$3) +(Tabela1[[#This Row],[y]]-H$4)*(Tabela1[[#This Row],[y]]-H$4)</f>
        <v>31250</v>
      </c>
      <c r="D7590" s="1">
        <f>IF(Tabela1[[#This Row],[promien]]&lt;40000,1,0)</f>
        <v>1</v>
      </c>
      <c r="E7590" s="1">
        <f>IF(Tabela1[[#This Row],[promien]]=40000,1,0)</f>
        <v>0</v>
      </c>
      <c r="F7590" s="1">
        <v>3.1552042160737814</v>
      </c>
      <c r="G7590" s="1">
        <v>1.3611562483988315E-2</v>
      </c>
    </row>
    <row r="7591" spans="1:7">
      <c r="A7591">
        <v>263</v>
      </c>
      <c r="B7591">
        <v>235</v>
      </c>
      <c r="C7591" s="1">
        <f>(Tabela1[[#This Row],[x]]-H$3)*(Tabela1[[#This Row],[x]]-H$3) +(Tabela1[[#This Row],[y]]-H$4)*(Tabela1[[#This Row],[y]]-H$4)</f>
        <v>5194</v>
      </c>
      <c r="D7591" s="1">
        <f>IF(Tabela1[[#This Row],[promien]]&lt;40000,1,0)</f>
        <v>1</v>
      </c>
      <c r="E7591" s="1">
        <f>IF(Tabela1[[#This Row],[promien]]=40000,1,0)</f>
        <v>0</v>
      </c>
      <c r="F7591" s="1">
        <v>3.1553155052035304</v>
      </c>
      <c r="G7591" s="1">
        <v>1.3722851613737319E-2</v>
      </c>
    </row>
    <row r="7592" spans="1:7">
      <c r="A7592">
        <v>88</v>
      </c>
      <c r="B7592">
        <v>185</v>
      </c>
      <c r="C7592" s="1">
        <f>(Tabela1[[#This Row],[x]]-H$3)*(Tabela1[[#This Row],[x]]-H$3) +(Tabela1[[#This Row],[y]]-H$4)*(Tabela1[[#This Row],[y]]-H$4)</f>
        <v>12769</v>
      </c>
      <c r="D7592" s="1">
        <f>IF(Tabela1[[#This Row],[promien]]&lt;40000,1,0)</f>
        <v>1</v>
      </c>
      <c r="E7592" s="1">
        <f>IF(Tabela1[[#This Row],[promien]]=40000,1,0)</f>
        <v>0</v>
      </c>
      <c r="F7592" s="1">
        <v>3.1554267650158061</v>
      </c>
      <c r="G7592" s="1">
        <v>1.3834111426012985E-2</v>
      </c>
    </row>
    <row r="7593" spans="1:7">
      <c r="A7593">
        <v>295</v>
      </c>
      <c r="B7593">
        <v>19</v>
      </c>
      <c r="C7593" s="1">
        <f>(Tabela1[[#This Row],[x]]-H$3)*(Tabela1[[#This Row],[x]]-H$3) +(Tabela1[[#This Row],[y]]-H$4)*(Tabela1[[#This Row],[y]]-H$4)</f>
        <v>41786</v>
      </c>
      <c r="D7593" s="1">
        <f>IF(Tabela1[[#This Row],[promien]]&lt;40000,1,0)</f>
        <v>0</v>
      </c>
      <c r="E7593" s="1">
        <f>IF(Tabela1[[#This Row],[promien]]=40000,1,0)</f>
        <v>0</v>
      </c>
      <c r="F7593" s="1">
        <v>3.1550111945212698</v>
      </c>
      <c r="G7593" s="1">
        <v>1.3418540931476652E-2</v>
      </c>
    </row>
    <row r="7594" spans="1:7">
      <c r="A7594">
        <v>337</v>
      </c>
      <c r="B7594">
        <v>343</v>
      </c>
      <c r="C7594" s="1">
        <f>(Tabela1[[#This Row],[x]]-H$3)*(Tabela1[[#This Row],[x]]-H$3) +(Tabela1[[#This Row],[y]]-H$4)*(Tabela1[[#This Row],[y]]-H$4)</f>
        <v>39218</v>
      </c>
      <c r="D7594" s="1">
        <f>IF(Tabela1[[#This Row],[promien]]&lt;40000,1,0)</f>
        <v>1</v>
      </c>
      <c r="E7594" s="1">
        <f>IF(Tabela1[[#This Row],[promien]]=40000,1,0)</f>
        <v>0</v>
      </c>
      <c r="F7594" s="1">
        <v>3.1551224651040295</v>
      </c>
      <c r="G7594" s="1">
        <v>1.3529811514236378E-2</v>
      </c>
    </row>
    <row r="7595" spans="1:7">
      <c r="A7595">
        <v>4</v>
      </c>
      <c r="B7595">
        <v>65</v>
      </c>
      <c r="C7595" s="1">
        <f>(Tabela1[[#This Row],[x]]-H$3)*(Tabela1[[#This Row],[x]]-H$3) +(Tabela1[[#This Row],[y]]-H$4)*(Tabela1[[#This Row],[y]]-H$4)</f>
        <v>56641</v>
      </c>
      <c r="D7595" s="1">
        <f>IF(Tabela1[[#This Row],[promien]]&lt;40000,1,0)</f>
        <v>0</v>
      </c>
      <c r="E7595" s="1">
        <f>IF(Tabela1[[#This Row],[promien]]=40000,1,0)</f>
        <v>0</v>
      </c>
      <c r="F7595" s="1">
        <v>3.1547070441079659</v>
      </c>
      <c r="G7595" s="1">
        <v>1.3114390518172758E-2</v>
      </c>
    </row>
    <row r="7596" spans="1:7">
      <c r="A7596">
        <v>204</v>
      </c>
      <c r="B7596">
        <v>17</v>
      </c>
      <c r="C7596" s="1">
        <f>(Tabela1[[#This Row],[x]]-H$3)*(Tabela1[[#This Row],[x]]-H$3) +(Tabela1[[#This Row],[y]]-H$4)*(Tabela1[[#This Row],[y]]-H$4)</f>
        <v>33505</v>
      </c>
      <c r="D7596" s="1">
        <f>IF(Tabela1[[#This Row],[promien]]&lt;40000,1,0)</f>
        <v>1</v>
      </c>
      <c r="E7596" s="1">
        <f>IF(Tabela1[[#This Row],[promien]]=40000,1,0)</f>
        <v>0</v>
      </c>
      <c r="F7596" s="1">
        <v>3.1548183254344391</v>
      </c>
      <c r="G7596" s="1">
        <v>1.3225671844645959E-2</v>
      </c>
    </row>
    <row r="7597" spans="1:7">
      <c r="A7597">
        <v>156</v>
      </c>
      <c r="B7597">
        <v>384</v>
      </c>
      <c r="C7597" s="1">
        <f>(Tabela1[[#This Row],[x]]-H$3)*(Tabela1[[#This Row],[x]]-H$3) +(Tabela1[[#This Row],[y]]-H$4)*(Tabela1[[#This Row],[y]]-H$4)</f>
        <v>35792</v>
      </c>
      <c r="D7597" s="1">
        <f>IF(Tabela1[[#This Row],[promien]]&lt;40000,1,0)</f>
        <v>1</v>
      </c>
      <c r="E7597" s="1">
        <f>IF(Tabela1[[#This Row],[promien]]=40000,1,0)</f>
        <v>0</v>
      </c>
      <c r="F7597" s="1">
        <v>3.1549295774647885</v>
      </c>
      <c r="G7597" s="1">
        <v>1.333692387499541E-2</v>
      </c>
    </row>
    <row r="7598" spans="1:7">
      <c r="A7598">
        <v>195</v>
      </c>
      <c r="B7598">
        <v>262</v>
      </c>
      <c r="C7598" s="1">
        <f>(Tabela1[[#This Row],[x]]-H$3)*(Tabela1[[#This Row],[x]]-H$3) +(Tabela1[[#This Row],[y]]-H$4)*(Tabela1[[#This Row],[y]]-H$4)</f>
        <v>3869</v>
      </c>
      <c r="D7598" s="1">
        <f>IF(Tabela1[[#This Row],[promien]]&lt;40000,1,0)</f>
        <v>1</v>
      </c>
      <c r="E7598" s="1">
        <f>IF(Tabela1[[#This Row],[promien]]=40000,1,0)</f>
        <v>0</v>
      </c>
      <c r="F7598" s="1">
        <v>3.1550408002105819</v>
      </c>
      <c r="G7598" s="1">
        <v>1.3448146620788748E-2</v>
      </c>
    </row>
    <row r="7599" spans="1:7">
      <c r="A7599">
        <v>236</v>
      </c>
      <c r="B7599">
        <v>195</v>
      </c>
      <c r="C7599" s="1">
        <f>(Tabela1[[#This Row],[x]]-H$3)*(Tabela1[[#This Row],[x]]-H$3) +(Tabela1[[#This Row],[y]]-H$4)*(Tabela1[[#This Row],[y]]-H$4)</f>
        <v>1321</v>
      </c>
      <c r="D7599" s="1">
        <f>IF(Tabela1[[#This Row],[promien]]&lt;40000,1,0)</f>
        <v>1</v>
      </c>
      <c r="E7599" s="1">
        <f>IF(Tabela1[[#This Row],[promien]]=40000,1,0)</f>
        <v>0</v>
      </c>
      <c r="F7599" s="1">
        <v>3.1551519936833792</v>
      </c>
      <c r="G7599" s="1">
        <v>1.3559340093586059E-2</v>
      </c>
    </row>
    <row r="7600" spans="1:7">
      <c r="A7600">
        <v>20</v>
      </c>
      <c r="B7600">
        <v>264</v>
      </c>
      <c r="C7600" s="1">
        <f>(Tabela1[[#This Row],[x]]-H$3)*(Tabela1[[#This Row],[x]]-H$3) +(Tabela1[[#This Row],[y]]-H$4)*(Tabela1[[#This Row],[y]]-H$4)</f>
        <v>36496</v>
      </c>
      <c r="D7600" s="1">
        <f>IF(Tabela1[[#This Row],[promien]]&lt;40000,1,0)</f>
        <v>1</v>
      </c>
      <c r="E7600" s="1">
        <f>IF(Tabela1[[#This Row],[promien]]=40000,1,0)</f>
        <v>0</v>
      </c>
      <c r="F7600" s="1">
        <v>3.155263157894737</v>
      </c>
      <c r="G7600" s="1">
        <v>1.3670504304943876E-2</v>
      </c>
    </row>
    <row r="7601" spans="1:7">
      <c r="A7601">
        <v>127</v>
      </c>
      <c r="B7601">
        <v>63</v>
      </c>
      <c r="C7601" s="1">
        <f>(Tabela1[[#This Row],[x]]-H$3)*(Tabela1[[#This Row],[x]]-H$3) +(Tabela1[[#This Row],[y]]-H$4)*(Tabela1[[#This Row],[y]]-H$4)</f>
        <v>24098</v>
      </c>
      <c r="D7601" s="1">
        <f>IF(Tabela1[[#This Row],[promien]]&lt;40000,1,0)</f>
        <v>1</v>
      </c>
      <c r="E7601" s="1">
        <f>IF(Tabela1[[#This Row],[promien]]=40000,1,0)</f>
        <v>0</v>
      </c>
      <c r="F7601" s="1">
        <v>3.155374292856203</v>
      </c>
      <c r="G7601" s="1">
        <v>1.3781639266409851E-2</v>
      </c>
    </row>
    <row r="7602" spans="1:7">
      <c r="A7602">
        <v>103</v>
      </c>
      <c r="B7602">
        <v>122</v>
      </c>
      <c r="C7602" s="1">
        <f>(Tabela1[[#This Row],[x]]-H$3)*(Tabela1[[#This Row],[x]]-H$3) +(Tabela1[[#This Row],[y]]-H$4)*(Tabela1[[#This Row],[y]]-H$4)</f>
        <v>15493</v>
      </c>
      <c r="D7602" s="1">
        <f>IF(Tabela1[[#This Row],[promien]]&lt;40000,1,0)</f>
        <v>1</v>
      </c>
      <c r="E7602" s="1">
        <f>IF(Tabela1[[#This Row],[promien]]=40000,1,0)</f>
        <v>0</v>
      </c>
      <c r="F7602" s="1">
        <v>3.1554853985793212</v>
      </c>
      <c r="G7602" s="1">
        <v>1.3892744989528083E-2</v>
      </c>
    </row>
    <row r="7603" spans="1:7">
      <c r="A7603">
        <v>174</v>
      </c>
      <c r="B7603">
        <v>395</v>
      </c>
      <c r="C7603" s="1">
        <f>(Tabela1[[#This Row],[x]]-H$3)*(Tabela1[[#This Row],[x]]-H$3) +(Tabela1[[#This Row],[y]]-H$4)*(Tabela1[[#This Row],[y]]-H$4)</f>
        <v>38701</v>
      </c>
      <c r="D7603" s="1">
        <f>IF(Tabela1[[#This Row],[promien]]&lt;40000,1,0)</f>
        <v>1</v>
      </c>
      <c r="E7603" s="1">
        <f>IF(Tabela1[[#This Row],[promien]]=40000,1,0)</f>
        <v>0</v>
      </c>
      <c r="F7603" s="1">
        <v>3.1555964750756282</v>
      </c>
      <c r="G7603" s="1">
        <v>1.4003821485835122E-2</v>
      </c>
    </row>
    <row r="7604" spans="1:7">
      <c r="A7604">
        <v>332</v>
      </c>
      <c r="B7604">
        <v>273</v>
      </c>
      <c r="C7604" s="1">
        <f>(Tabela1[[#This Row],[x]]-H$3)*(Tabela1[[#This Row],[x]]-H$3) +(Tabela1[[#This Row],[y]]-H$4)*(Tabela1[[#This Row],[y]]-H$4)</f>
        <v>22753</v>
      </c>
      <c r="D7604" s="1">
        <f>IF(Tabela1[[#This Row],[promien]]&lt;40000,1,0)</f>
        <v>1</v>
      </c>
      <c r="E7604" s="1">
        <f>IF(Tabela1[[#This Row],[promien]]=40000,1,0)</f>
        <v>0</v>
      </c>
      <c r="F7604" s="1">
        <v>3.1557075223566544</v>
      </c>
      <c r="G7604" s="1">
        <v>1.4114868766861299E-2</v>
      </c>
    </row>
    <row r="7605" spans="1:7">
      <c r="A7605">
        <v>287</v>
      </c>
      <c r="B7605">
        <v>128</v>
      </c>
      <c r="C7605" s="1">
        <f>(Tabela1[[#This Row],[x]]-H$3)*(Tabela1[[#This Row],[x]]-H$3) +(Tabela1[[#This Row],[y]]-H$4)*(Tabela1[[#This Row],[y]]-H$4)</f>
        <v>12753</v>
      </c>
      <c r="D7605" s="1">
        <f>IF(Tabela1[[#This Row],[promien]]&lt;40000,1,0)</f>
        <v>1</v>
      </c>
      <c r="E7605" s="1">
        <f>IF(Tabela1[[#This Row],[promien]]=40000,1,0)</f>
        <v>0</v>
      </c>
      <c r="F7605" s="1">
        <v>3.1558185404339252</v>
      </c>
      <c r="G7605" s="1">
        <v>1.4225886844132063E-2</v>
      </c>
    </row>
    <row r="7606" spans="1:7">
      <c r="A7606">
        <v>248</v>
      </c>
      <c r="B7606">
        <v>384</v>
      </c>
      <c r="C7606" s="1">
        <f>(Tabela1[[#This Row],[x]]-H$3)*(Tabela1[[#This Row],[x]]-H$3) +(Tabela1[[#This Row],[y]]-H$4)*(Tabela1[[#This Row],[y]]-H$4)</f>
        <v>36160</v>
      </c>
      <c r="D7606" s="1">
        <f>IF(Tabela1[[#This Row],[promien]]&lt;40000,1,0)</f>
        <v>1</v>
      </c>
      <c r="E7606" s="1">
        <f>IF(Tabela1[[#This Row],[promien]]=40000,1,0)</f>
        <v>0</v>
      </c>
      <c r="F7606" s="1">
        <v>3.1559295293189589</v>
      </c>
      <c r="G7606" s="1">
        <v>1.4336875729165754E-2</v>
      </c>
    </row>
    <row r="7607" spans="1:7">
      <c r="A7607">
        <v>110</v>
      </c>
      <c r="B7607">
        <v>351</v>
      </c>
      <c r="C7607" s="1">
        <f>(Tabela1[[#This Row],[x]]-H$3)*(Tabela1[[#This Row],[x]]-H$3) +(Tabela1[[#This Row],[y]]-H$4)*(Tabela1[[#This Row],[y]]-H$4)</f>
        <v>30901</v>
      </c>
      <c r="D7607" s="1">
        <f>IF(Tabela1[[#This Row],[promien]]&lt;40000,1,0)</f>
        <v>1</v>
      </c>
      <c r="E7607" s="1">
        <f>IF(Tabela1[[#This Row],[promien]]=40000,1,0)</f>
        <v>0</v>
      </c>
      <c r="F7607" s="1">
        <v>3.1560404890232681</v>
      </c>
      <c r="G7607" s="1">
        <v>1.4447835433474943E-2</v>
      </c>
    </row>
    <row r="7608" spans="1:7">
      <c r="A7608">
        <v>119</v>
      </c>
      <c r="B7608">
        <v>323</v>
      </c>
      <c r="C7608" s="1">
        <f>(Tabela1[[#This Row],[x]]-H$3)*(Tabela1[[#This Row],[x]]-H$3) +(Tabela1[[#This Row],[y]]-H$4)*(Tabela1[[#This Row],[y]]-H$4)</f>
        <v>21690</v>
      </c>
      <c r="D7608" s="1">
        <f>IF(Tabela1[[#This Row],[promien]]&lt;40000,1,0)</f>
        <v>1</v>
      </c>
      <c r="E7608" s="1">
        <f>IF(Tabela1[[#This Row],[promien]]=40000,1,0)</f>
        <v>0</v>
      </c>
      <c r="F7608" s="1">
        <v>3.1561514195583595</v>
      </c>
      <c r="G7608" s="1">
        <v>1.4558765968566423E-2</v>
      </c>
    </row>
    <row r="7609" spans="1:7">
      <c r="A7609">
        <v>33</v>
      </c>
      <c r="B7609">
        <v>373</v>
      </c>
      <c r="C7609" s="1">
        <f>(Tabela1[[#This Row],[x]]-H$3)*(Tabela1[[#This Row],[x]]-H$3) +(Tabela1[[#This Row],[y]]-H$4)*(Tabela1[[#This Row],[y]]-H$4)</f>
        <v>57818</v>
      </c>
      <c r="D7609" s="1">
        <f>IF(Tabela1[[#This Row],[promien]]&lt;40000,1,0)</f>
        <v>0</v>
      </c>
      <c r="E7609" s="1">
        <f>IF(Tabela1[[#This Row],[promien]]=40000,1,0)</f>
        <v>0</v>
      </c>
      <c r="F7609" s="1">
        <v>3.1557366276777499</v>
      </c>
      <c r="G7609" s="1">
        <v>1.4143974087956757E-2</v>
      </c>
    </row>
    <row r="7610" spans="1:7">
      <c r="A7610">
        <v>267</v>
      </c>
      <c r="B7610">
        <v>282</v>
      </c>
      <c r="C7610" s="1">
        <f>(Tabela1[[#This Row],[x]]-H$3)*(Tabela1[[#This Row],[x]]-H$3) +(Tabela1[[#This Row],[y]]-H$4)*(Tabela1[[#This Row],[y]]-H$4)</f>
        <v>11213</v>
      </c>
      <c r="D7610" s="1">
        <f>IF(Tabela1[[#This Row],[promien]]&lt;40000,1,0)</f>
        <v>1</v>
      </c>
      <c r="E7610" s="1">
        <f>IF(Tabela1[[#This Row],[promien]]=40000,1,0)</f>
        <v>0</v>
      </c>
      <c r="F7610" s="1">
        <v>3.1558475689881735</v>
      </c>
      <c r="G7610" s="1">
        <v>1.4254915398380419E-2</v>
      </c>
    </row>
    <row r="7611" spans="1:7">
      <c r="A7611">
        <v>221</v>
      </c>
      <c r="B7611">
        <v>30</v>
      </c>
      <c r="C7611" s="1">
        <f>(Tabela1[[#This Row],[x]]-H$3)*(Tabela1[[#This Row],[x]]-H$3) +(Tabela1[[#This Row],[y]]-H$4)*(Tabela1[[#This Row],[y]]-H$4)</f>
        <v>29341</v>
      </c>
      <c r="D7611" s="1">
        <f>IF(Tabela1[[#This Row],[promien]]&lt;40000,1,0)</f>
        <v>1</v>
      </c>
      <c r="E7611" s="1">
        <f>IF(Tabela1[[#This Row],[promien]]=40000,1,0)</f>
        <v>0</v>
      </c>
      <c r="F7611" s="1">
        <v>3.15595848114571</v>
      </c>
      <c r="G7611" s="1">
        <v>1.4365827555916866E-2</v>
      </c>
    </row>
    <row r="7612" spans="1:7">
      <c r="A7612">
        <v>317</v>
      </c>
      <c r="B7612">
        <v>124</v>
      </c>
      <c r="C7612" s="1">
        <f>(Tabela1[[#This Row],[x]]-H$3)*(Tabela1[[#This Row],[x]]-H$3) +(Tabela1[[#This Row],[y]]-H$4)*(Tabela1[[#This Row],[y]]-H$4)</f>
        <v>19465</v>
      </c>
      <c r="D7612" s="1">
        <f>IF(Tabela1[[#This Row],[promien]]&lt;40000,1,0)</f>
        <v>1</v>
      </c>
      <c r="E7612" s="1">
        <f>IF(Tabela1[[#This Row],[promien]]=40000,1,0)</f>
        <v>0</v>
      </c>
      <c r="F7612" s="1">
        <v>3.1560693641618496</v>
      </c>
      <c r="G7612" s="1">
        <v>1.4476710572056462E-2</v>
      </c>
    </row>
    <row r="7613" spans="1:7">
      <c r="A7613">
        <v>115</v>
      </c>
      <c r="B7613">
        <v>34</v>
      </c>
      <c r="C7613" s="1">
        <f>(Tabela1[[#This Row],[x]]-H$3)*(Tabela1[[#This Row],[x]]-H$3) +(Tabela1[[#This Row],[y]]-H$4)*(Tabela1[[#This Row],[y]]-H$4)</f>
        <v>34781</v>
      </c>
      <c r="D7613" s="1">
        <f>IF(Tabela1[[#This Row],[promien]]&lt;40000,1,0)</f>
        <v>1</v>
      </c>
      <c r="E7613" s="1">
        <f>IF(Tabela1[[#This Row],[promien]]=40000,1,0)</f>
        <v>0</v>
      </c>
      <c r="F7613" s="1">
        <v>3.1561802180480756</v>
      </c>
      <c r="G7613" s="1">
        <v>1.4587564458282465E-2</v>
      </c>
    </row>
    <row r="7614" spans="1:7">
      <c r="A7614">
        <v>397</v>
      </c>
      <c r="B7614">
        <v>147</v>
      </c>
      <c r="C7614" s="1">
        <f>(Tabela1[[#This Row],[x]]-H$3)*(Tabela1[[#This Row],[x]]-H$3) +(Tabela1[[#This Row],[y]]-H$4)*(Tabela1[[#This Row],[y]]-H$4)</f>
        <v>41618</v>
      </c>
      <c r="D7614" s="1">
        <f>IF(Tabela1[[#This Row],[promien]]&lt;40000,1,0)</f>
        <v>0</v>
      </c>
      <c r="E7614" s="1">
        <f>IF(Tabela1[[#This Row],[promien]]=40000,1,0)</f>
        <v>0</v>
      </c>
      <c r="F7614" s="1">
        <v>3.155765694772787</v>
      </c>
      <c r="G7614" s="1">
        <v>1.4173041182993895E-2</v>
      </c>
    </row>
    <row r="7615" spans="1:7">
      <c r="A7615">
        <v>34</v>
      </c>
      <c r="B7615">
        <v>243</v>
      </c>
      <c r="C7615" s="1">
        <f>(Tabela1[[#This Row],[x]]-H$3)*(Tabela1[[#This Row],[x]]-H$3) +(Tabela1[[#This Row],[y]]-H$4)*(Tabela1[[#This Row],[y]]-H$4)</f>
        <v>29405</v>
      </c>
      <c r="D7615" s="1">
        <f>IF(Tabela1[[#This Row],[promien]]&lt;40000,1,0)</f>
        <v>1</v>
      </c>
      <c r="E7615" s="1">
        <f>IF(Tabela1[[#This Row],[promien]]=40000,1,0)</f>
        <v>0</v>
      </c>
      <c r="F7615" s="1">
        <v>3.1558765594221931</v>
      </c>
      <c r="G7615" s="1">
        <v>1.4283905832400023E-2</v>
      </c>
    </row>
    <row r="7616" spans="1:7">
      <c r="A7616">
        <v>102</v>
      </c>
      <c r="B7616">
        <v>276</v>
      </c>
      <c r="C7616" s="1">
        <f>(Tabela1[[#This Row],[x]]-H$3)*(Tabela1[[#This Row],[x]]-H$3) +(Tabela1[[#This Row],[y]]-H$4)*(Tabela1[[#This Row],[y]]-H$4)</f>
        <v>15380</v>
      </c>
      <c r="D7616" s="1">
        <f>IF(Tabela1[[#This Row],[promien]]&lt;40000,1,0)</f>
        <v>1</v>
      </c>
      <c r="E7616" s="1">
        <f>IF(Tabela1[[#This Row],[promien]]=40000,1,0)</f>
        <v>0</v>
      </c>
      <c r="F7616" s="1">
        <v>3.1559873949579833</v>
      </c>
      <c r="G7616" s="1">
        <v>1.4394741368190189E-2</v>
      </c>
    </row>
    <row r="7617" spans="1:7">
      <c r="A7617">
        <v>157</v>
      </c>
      <c r="B7617">
        <v>152</v>
      </c>
      <c r="C7617" s="1">
        <f>(Tabela1[[#This Row],[x]]-H$3)*(Tabela1[[#This Row],[x]]-H$3) +(Tabela1[[#This Row],[y]]-H$4)*(Tabela1[[#This Row],[y]]-H$4)</f>
        <v>4153</v>
      </c>
      <c r="D7617" s="1">
        <f>IF(Tabela1[[#This Row],[promien]]&lt;40000,1,0)</f>
        <v>1</v>
      </c>
      <c r="E7617" s="1">
        <f>IF(Tabela1[[#This Row],[promien]]=40000,1,0)</f>
        <v>0</v>
      </c>
      <c r="F7617" s="1">
        <v>3.1560982013916239</v>
      </c>
      <c r="G7617" s="1">
        <v>1.4505547801830776E-2</v>
      </c>
    </row>
    <row r="7618" spans="1:7">
      <c r="A7618">
        <v>190</v>
      </c>
      <c r="B7618">
        <v>109</v>
      </c>
      <c r="C7618" s="1">
        <f>(Tabela1[[#This Row],[x]]-H$3)*(Tabela1[[#This Row],[x]]-H$3) +(Tabela1[[#This Row],[y]]-H$4)*(Tabela1[[#This Row],[y]]-H$4)</f>
        <v>8381</v>
      </c>
      <c r="D7618" s="1">
        <f>IF(Tabela1[[#This Row],[promien]]&lt;40000,1,0)</f>
        <v>1</v>
      </c>
      <c r="E7618" s="1">
        <f>IF(Tabela1[[#This Row],[promien]]=40000,1,0)</f>
        <v>0</v>
      </c>
      <c r="F7618" s="1">
        <v>3.156208978734576</v>
      </c>
      <c r="G7618" s="1">
        <v>1.4616325144782838E-2</v>
      </c>
    </row>
    <row r="7619" spans="1:7">
      <c r="A7619">
        <v>227</v>
      </c>
      <c r="B7619">
        <v>279</v>
      </c>
      <c r="C7619" s="1">
        <f>(Tabela1[[#This Row],[x]]-H$3)*(Tabela1[[#This Row],[x]]-H$3) +(Tabela1[[#This Row],[y]]-H$4)*(Tabela1[[#This Row],[y]]-H$4)</f>
        <v>6970</v>
      </c>
      <c r="D7619" s="1">
        <f>IF(Tabela1[[#This Row],[promien]]&lt;40000,1,0)</f>
        <v>1</v>
      </c>
      <c r="E7619" s="1">
        <f>IF(Tabela1[[#This Row],[promien]]=40000,1,0)</f>
        <v>0</v>
      </c>
      <c r="F7619" s="1">
        <v>3.1563197269982939</v>
      </c>
      <c r="G7619" s="1">
        <v>1.4727073408500768E-2</v>
      </c>
    </row>
    <row r="7620" spans="1:7">
      <c r="A7620">
        <v>49</v>
      </c>
      <c r="B7620">
        <v>62</v>
      </c>
      <c r="C7620" s="1">
        <f>(Tabela1[[#This Row],[x]]-H$3)*(Tabela1[[#This Row],[x]]-H$3) +(Tabela1[[#This Row],[y]]-H$4)*(Tabela1[[#This Row],[y]]-H$4)</f>
        <v>41845</v>
      </c>
      <c r="D7620" s="1">
        <f>IF(Tabela1[[#This Row],[promien]]&lt;40000,1,0)</f>
        <v>0</v>
      </c>
      <c r="E7620" s="1">
        <f>IF(Tabela1[[#This Row],[promien]]=40000,1,0)</f>
        <v>0</v>
      </c>
      <c r="F7620" s="1">
        <v>3.1559055118110235</v>
      </c>
      <c r="G7620" s="1">
        <v>1.4312858221230407E-2</v>
      </c>
    </row>
    <row r="7621" spans="1:7">
      <c r="A7621">
        <v>157</v>
      </c>
      <c r="B7621">
        <v>109</v>
      </c>
      <c r="C7621" s="1">
        <f>(Tabela1[[#This Row],[x]]-H$3)*(Tabela1[[#This Row],[x]]-H$3) +(Tabela1[[#This Row],[y]]-H$4)*(Tabela1[[#This Row],[y]]-H$4)</f>
        <v>10130</v>
      </c>
      <c r="D7621" s="1">
        <f>IF(Tabela1[[#This Row],[promien]]&lt;40000,1,0)</f>
        <v>1</v>
      </c>
      <c r="E7621" s="1">
        <f>IF(Tabela1[[#This Row],[promien]]=40000,1,0)</f>
        <v>0</v>
      </c>
      <c r="F7621" s="1">
        <v>3.1560162708305999</v>
      </c>
      <c r="G7621" s="1">
        <v>1.4423617240806763E-2</v>
      </c>
    </row>
    <row r="7622" spans="1:7">
      <c r="A7622">
        <v>136</v>
      </c>
      <c r="B7622">
        <v>345</v>
      </c>
      <c r="C7622" s="1">
        <f>(Tabela1[[#This Row],[x]]-H$3)*(Tabela1[[#This Row],[x]]-H$3) +(Tabela1[[#This Row],[y]]-H$4)*(Tabela1[[#This Row],[y]]-H$4)</f>
        <v>25121</v>
      </c>
      <c r="D7622" s="1">
        <f>IF(Tabela1[[#This Row],[promien]]&lt;40000,1,0)</f>
        <v>1</v>
      </c>
      <c r="E7622" s="1">
        <f>IF(Tabela1[[#This Row],[promien]]=40000,1,0)</f>
        <v>0</v>
      </c>
      <c r="F7622" s="1">
        <v>3.1561270007871949</v>
      </c>
      <c r="G7622" s="1">
        <v>1.4534347197401765E-2</v>
      </c>
    </row>
    <row r="7623" spans="1:7">
      <c r="A7623">
        <v>360</v>
      </c>
      <c r="B7623">
        <v>169</v>
      </c>
      <c r="C7623" s="1">
        <f>(Tabela1[[#This Row],[x]]-H$3)*(Tabela1[[#This Row],[x]]-H$3) +(Tabela1[[#This Row],[y]]-H$4)*(Tabela1[[#This Row],[y]]-H$4)</f>
        <v>26561</v>
      </c>
      <c r="D7623" s="1">
        <f>IF(Tabela1[[#This Row],[promien]]&lt;40000,1,0)</f>
        <v>1</v>
      </c>
      <c r="E7623" s="1">
        <f>IF(Tabela1[[#This Row],[promien]]=40000,1,0)</f>
        <v>0</v>
      </c>
      <c r="F7623" s="1">
        <v>3.1562377016922469</v>
      </c>
      <c r="G7623" s="1">
        <v>1.4645048102453817E-2</v>
      </c>
    </row>
    <row r="7624" spans="1:7">
      <c r="A7624">
        <v>277</v>
      </c>
      <c r="B7624">
        <v>221</v>
      </c>
      <c r="C7624" s="1">
        <f>(Tabela1[[#This Row],[x]]-H$3)*(Tabela1[[#This Row],[x]]-H$3) +(Tabela1[[#This Row],[y]]-H$4)*(Tabela1[[#This Row],[y]]-H$4)</f>
        <v>6370</v>
      </c>
      <c r="D7624" s="1">
        <f>IF(Tabela1[[#This Row],[promien]]&lt;40000,1,0)</f>
        <v>1</v>
      </c>
      <c r="E7624" s="1">
        <f>IF(Tabela1[[#This Row],[promien]]=40000,1,0)</f>
        <v>0</v>
      </c>
      <c r="F7624" s="1">
        <v>3.1563483735571878</v>
      </c>
      <c r="G7624" s="1">
        <v>1.4755719967394665E-2</v>
      </c>
    </row>
    <row r="7625" spans="1:7">
      <c r="A7625">
        <v>349</v>
      </c>
      <c r="B7625">
        <v>54</v>
      </c>
      <c r="C7625" s="1">
        <f>(Tabela1[[#This Row],[x]]-H$3)*(Tabela1[[#This Row],[x]]-H$3) +(Tabela1[[#This Row],[y]]-H$4)*(Tabela1[[#This Row],[y]]-H$4)</f>
        <v>43517</v>
      </c>
      <c r="D7625" s="1">
        <f>IF(Tabela1[[#This Row],[promien]]&lt;40000,1,0)</f>
        <v>0</v>
      </c>
      <c r="E7625" s="1">
        <f>IF(Tabela1[[#This Row],[promien]]=40000,1,0)</f>
        <v>0</v>
      </c>
      <c r="F7625" s="1">
        <v>3.1559344262295084</v>
      </c>
      <c r="G7625" s="1">
        <v>1.4341772639715256E-2</v>
      </c>
    </row>
    <row r="7626" spans="1:7">
      <c r="A7626">
        <v>329</v>
      </c>
      <c r="B7626">
        <v>17</v>
      </c>
      <c r="C7626" s="1">
        <f>(Tabela1[[#This Row],[x]]-H$3)*(Tabela1[[#This Row],[x]]-H$3) +(Tabela1[[#This Row],[y]]-H$4)*(Tabela1[[#This Row],[y]]-H$4)</f>
        <v>50130</v>
      </c>
      <c r="D7626" s="1">
        <f>IF(Tabela1[[#This Row],[promien]]&lt;40000,1,0)</f>
        <v>0</v>
      </c>
      <c r="E7626" s="1">
        <f>IF(Tabela1[[#This Row],[promien]]=40000,1,0)</f>
        <v>0</v>
      </c>
      <c r="F7626" s="1">
        <v>3.1555205874639394</v>
      </c>
      <c r="G7626" s="1">
        <v>1.3927933874146259E-2</v>
      </c>
    </row>
    <row r="7627" spans="1:7">
      <c r="A7627">
        <v>34</v>
      </c>
      <c r="B7627">
        <v>192</v>
      </c>
      <c r="C7627" s="1">
        <f>(Tabela1[[#This Row],[x]]-H$3)*(Tabela1[[#This Row],[x]]-H$3) +(Tabela1[[#This Row],[y]]-H$4)*(Tabela1[[#This Row],[y]]-H$4)</f>
        <v>27620</v>
      </c>
      <c r="D7627" s="1">
        <f>IF(Tabela1[[#This Row],[promien]]&lt;40000,1,0)</f>
        <v>1</v>
      </c>
      <c r="E7627" s="1">
        <f>IF(Tabela1[[#This Row],[promien]]=40000,1,0)</f>
        <v>0</v>
      </c>
      <c r="F7627" s="1">
        <v>3.1556313098203748</v>
      </c>
      <c r="G7627" s="1">
        <v>1.4038656230581648E-2</v>
      </c>
    </row>
    <row r="7628" spans="1:7">
      <c r="A7628">
        <v>219</v>
      </c>
      <c r="B7628">
        <v>372</v>
      </c>
      <c r="C7628" s="1">
        <f>(Tabela1[[#This Row],[x]]-H$3)*(Tabela1[[#This Row],[x]]-H$3) +(Tabela1[[#This Row],[y]]-H$4)*(Tabela1[[#This Row],[y]]-H$4)</f>
        <v>29945</v>
      </c>
      <c r="D7628" s="1">
        <f>IF(Tabela1[[#This Row],[promien]]&lt;40000,1,0)</f>
        <v>1</v>
      </c>
      <c r="E7628" s="1">
        <f>IF(Tabela1[[#This Row],[promien]]=40000,1,0)</f>
        <v>0</v>
      </c>
      <c r="F7628" s="1">
        <v>3.1557420031463033</v>
      </c>
      <c r="G7628" s="1">
        <v>1.4149349556510149E-2</v>
      </c>
    </row>
    <row r="7629" spans="1:7">
      <c r="A7629">
        <v>142</v>
      </c>
      <c r="B7629">
        <v>160</v>
      </c>
      <c r="C7629" s="1">
        <f>(Tabela1[[#This Row],[x]]-H$3)*(Tabela1[[#This Row],[x]]-H$3) +(Tabela1[[#This Row],[y]]-H$4)*(Tabela1[[#This Row],[y]]-H$4)</f>
        <v>4964</v>
      </c>
      <c r="D7629" s="1">
        <f>IF(Tabela1[[#This Row],[promien]]&lt;40000,1,0)</f>
        <v>1</v>
      </c>
      <c r="E7629" s="1">
        <f>IF(Tabela1[[#This Row],[promien]]=40000,1,0)</f>
        <v>0</v>
      </c>
      <c r="F7629" s="1">
        <v>3.1558526674531393</v>
      </c>
      <c r="G7629" s="1">
        <v>1.4260013863346188E-2</v>
      </c>
    </row>
    <row r="7630" spans="1:7">
      <c r="A7630">
        <v>324</v>
      </c>
      <c r="B7630">
        <v>57</v>
      </c>
      <c r="C7630" s="1">
        <f>(Tabela1[[#This Row],[x]]-H$3)*(Tabela1[[#This Row],[x]]-H$3) +(Tabela1[[#This Row],[y]]-H$4)*(Tabela1[[#This Row],[y]]-H$4)</f>
        <v>35825</v>
      </c>
      <c r="D7630" s="1">
        <f>IF(Tabela1[[#This Row],[promien]]&lt;40000,1,0)</f>
        <v>1</v>
      </c>
      <c r="E7630" s="1">
        <f>IF(Tabela1[[#This Row],[promien]]=40000,1,0)</f>
        <v>0</v>
      </c>
      <c r="F7630" s="1">
        <v>3.1559633027522938</v>
      </c>
      <c r="G7630" s="1">
        <v>1.4370649162500637E-2</v>
      </c>
    </row>
    <row r="7631" spans="1:7">
      <c r="A7631">
        <v>356</v>
      </c>
      <c r="B7631">
        <v>335</v>
      </c>
      <c r="C7631" s="1">
        <f>(Tabela1[[#This Row],[x]]-H$3)*(Tabela1[[#This Row],[x]]-H$3) +(Tabela1[[#This Row],[y]]-H$4)*(Tabela1[[#This Row],[y]]-H$4)</f>
        <v>42561</v>
      </c>
      <c r="D7631" s="1">
        <f>IF(Tabela1[[#This Row],[promien]]&lt;40000,1,0)</f>
        <v>0</v>
      </c>
      <c r="E7631" s="1">
        <f>IF(Tabela1[[#This Row],[promien]]=40000,1,0)</f>
        <v>0</v>
      </c>
      <c r="F7631" s="1">
        <v>3.1555497313589305</v>
      </c>
      <c r="G7631" s="1">
        <v>1.3957077769137349E-2</v>
      </c>
    </row>
    <row r="7632" spans="1:7">
      <c r="A7632">
        <v>195</v>
      </c>
      <c r="B7632">
        <v>251</v>
      </c>
      <c r="C7632" s="1">
        <f>(Tabela1[[#This Row],[x]]-H$3)*(Tabela1[[#This Row],[x]]-H$3) +(Tabela1[[#This Row],[y]]-H$4)*(Tabela1[[#This Row],[y]]-H$4)</f>
        <v>2626</v>
      </c>
      <c r="D7632" s="1">
        <f>IF(Tabela1[[#This Row],[promien]]&lt;40000,1,0)</f>
        <v>1</v>
      </c>
      <c r="E7632" s="1">
        <f>IF(Tabela1[[#This Row],[promien]]=40000,1,0)</f>
        <v>0</v>
      </c>
      <c r="F7632" s="1">
        <v>3.1556603773584904</v>
      </c>
      <c r="G7632" s="1">
        <v>1.4067723768697249E-2</v>
      </c>
    </row>
    <row r="7633" spans="1:7">
      <c r="A7633">
        <v>1</v>
      </c>
      <c r="B7633">
        <v>266</v>
      </c>
      <c r="C7633" s="1">
        <f>(Tabela1[[#This Row],[x]]-H$3)*(Tabela1[[#This Row],[x]]-H$3) +(Tabela1[[#This Row],[y]]-H$4)*(Tabela1[[#This Row],[y]]-H$4)</f>
        <v>43957</v>
      </c>
      <c r="D7633" s="1">
        <f>IF(Tabela1[[#This Row],[promien]]&lt;40000,1,0)</f>
        <v>0</v>
      </c>
      <c r="E7633" s="1">
        <f>IF(Tabela1[[#This Row],[promien]]=40000,1,0)</f>
        <v>0</v>
      </c>
      <c r="F7633" s="1">
        <v>3.1552469540154591</v>
      </c>
      <c r="G7633" s="1">
        <v>1.3654300425665955E-2</v>
      </c>
    </row>
    <row r="7634" spans="1:7">
      <c r="A7634">
        <v>257</v>
      </c>
      <c r="B7634">
        <v>354</v>
      </c>
      <c r="C7634" s="1">
        <f>(Tabela1[[#This Row],[x]]-H$3)*(Tabela1[[#This Row],[x]]-H$3) +(Tabela1[[#This Row],[y]]-H$4)*(Tabela1[[#This Row],[y]]-H$4)</f>
        <v>26965</v>
      </c>
      <c r="D7634" s="1">
        <f>IF(Tabela1[[#This Row],[promien]]&lt;40000,1,0)</f>
        <v>1</v>
      </c>
      <c r="E7634" s="1">
        <f>IF(Tabela1[[#This Row],[promien]]=40000,1,0)</f>
        <v>0</v>
      </c>
      <c r="F7634" s="1">
        <v>3.1553576106890229</v>
      </c>
      <c r="G7634" s="1">
        <v>1.3764957099229758E-2</v>
      </c>
    </row>
    <row r="7635" spans="1:7">
      <c r="A7635">
        <v>58</v>
      </c>
      <c r="B7635">
        <v>390</v>
      </c>
      <c r="C7635" s="1">
        <f>(Tabela1[[#This Row],[x]]-H$3)*(Tabela1[[#This Row],[x]]-H$3) +(Tabela1[[#This Row],[y]]-H$4)*(Tabela1[[#This Row],[y]]-H$4)</f>
        <v>56264</v>
      </c>
      <c r="D7635" s="1">
        <f>IF(Tabela1[[#This Row],[promien]]&lt;40000,1,0)</f>
        <v>0</v>
      </c>
      <c r="E7635" s="1">
        <f>IF(Tabela1[[#This Row],[promien]]=40000,1,0)</f>
        <v>0</v>
      </c>
      <c r="F7635" s="1">
        <v>3.1549443352979698</v>
      </c>
      <c r="G7635" s="1">
        <v>1.3351681708176688E-2</v>
      </c>
    </row>
    <row r="7636" spans="1:7">
      <c r="A7636">
        <v>379</v>
      </c>
      <c r="B7636">
        <v>60</v>
      </c>
      <c r="C7636" s="1">
        <f>(Tabela1[[#This Row],[x]]-H$3)*(Tabela1[[#This Row],[x]]-H$3) +(Tabela1[[#This Row],[y]]-H$4)*(Tabela1[[#This Row],[y]]-H$4)</f>
        <v>51641</v>
      </c>
      <c r="D7636" s="1">
        <f>IF(Tabela1[[#This Row],[promien]]&lt;40000,1,0)</f>
        <v>0</v>
      </c>
      <c r="E7636" s="1">
        <f>IF(Tabela1[[#This Row],[promien]]=40000,1,0)</f>
        <v>0</v>
      </c>
      <c r="F7636" s="1">
        <v>3.1545311681508643</v>
      </c>
      <c r="G7636" s="1">
        <v>1.2938514561071202E-2</v>
      </c>
    </row>
    <row r="7637" spans="1:7">
      <c r="A7637">
        <v>176</v>
      </c>
      <c r="B7637">
        <v>74</v>
      </c>
      <c r="C7637" s="1">
        <f>(Tabela1[[#This Row],[x]]-H$3)*(Tabela1[[#This Row],[x]]-H$3) +(Tabela1[[#This Row],[y]]-H$4)*(Tabela1[[#This Row],[y]]-H$4)</f>
        <v>16452</v>
      </c>
      <c r="D7637" s="1">
        <f>IF(Tabela1[[#This Row],[promien]]&lt;40000,1,0)</f>
        <v>1</v>
      </c>
      <c r="E7637" s="1">
        <f>IF(Tabela1[[#This Row],[promien]]=40000,1,0)</f>
        <v>0</v>
      </c>
      <c r="F7637" s="1">
        <v>3.1546418750818384</v>
      </c>
      <c r="G7637" s="1">
        <v>1.3049221492045238E-2</v>
      </c>
    </row>
    <row r="7638" spans="1:7">
      <c r="A7638">
        <v>371</v>
      </c>
      <c r="B7638">
        <v>157</v>
      </c>
      <c r="C7638" s="1">
        <f>(Tabela1[[#This Row],[x]]-H$3)*(Tabela1[[#This Row],[x]]-H$3) +(Tabela1[[#This Row],[y]]-H$4)*(Tabela1[[#This Row],[y]]-H$4)</f>
        <v>31090</v>
      </c>
      <c r="D7638" s="1">
        <f>IF(Tabela1[[#This Row],[promien]]&lt;40000,1,0)</f>
        <v>1</v>
      </c>
      <c r="E7638" s="1">
        <f>IF(Tabela1[[#This Row],[promien]]=40000,1,0)</f>
        <v>0</v>
      </c>
      <c r="F7638" s="1">
        <v>3.1547525530243519</v>
      </c>
      <c r="G7638" s="1">
        <v>1.3159899434558753E-2</v>
      </c>
    </row>
    <row r="7639" spans="1:7">
      <c r="A7639">
        <v>268</v>
      </c>
      <c r="B7639">
        <v>368</v>
      </c>
      <c r="C7639" s="1">
        <f>(Tabela1[[#This Row],[x]]-H$3)*(Tabela1[[#This Row],[x]]-H$3) +(Tabela1[[#This Row],[y]]-H$4)*(Tabela1[[#This Row],[y]]-H$4)</f>
        <v>32848</v>
      </c>
      <c r="D7639" s="1">
        <f>IF(Tabela1[[#This Row],[promien]]&lt;40000,1,0)</f>
        <v>1</v>
      </c>
      <c r="E7639" s="1">
        <f>IF(Tabela1[[#This Row],[promien]]=40000,1,0)</f>
        <v>0</v>
      </c>
      <c r="F7639" s="1">
        <v>3.1548632019897891</v>
      </c>
      <c r="G7639" s="1">
        <v>1.3270548399995974E-2</v>
      </c>
    </row>
    <row r="7640" spans="1:7">
      <c r="A7640">
        <v>302</v>
      </c>
      <c r="B7640">
        <v>235</v>
      </c>
      <c r="C7640" s="1">
        <f>(Tabela1[[#This Row],[x]]-H$3)*(Tabela1[[#This Row],[x]]-H$3) +(Tabela1[[#This Row],[y]]-H$4)*(Tabela1[[#This Row],[y]]-H$4)</f>
        <v>11629</v>
      </c>
      <c r="D7640" s="1">
        <f>IF(Tabela1[[#This Row],[promien]]&lt;40000,1,0)</f>
        <v>1</v>
      </c>
      <c r="E7640" s="1">
        <f>IF(Tabela1[[#This Row],[promien]]=40000,1,0)</f>
        <v>0</v>
      </c>
      <c r="F7640" s="1">
        <v>3.1549738219895289</v>
      </c>
      <c r="G7640" s="1">
        <v>1.3381168399735799E-2</v>
      </c>
    </row>
    <row r="7641" spans="1:7">
      <c r="A7641">
        <v>18</v>
      </c>
      <c r="B7641">
        <v>29</v>
      </c>
      <c r="C7641" s="1">
        <f>(Tabela1[[#This Row],[x]]-H$3)*(Tabela1[[#This Row],[x]]-H$3) +(Tabela1[[#This Row],[y]]-H$4)*(Tabela1[[#This Row],[y]]-H$4)</f>
        <v>62365</v>
      </c>
      <c r="D7641" s="1">
        <f>IF(Tabela1[[#This Row],[promien]]&lt;40000,1,0)</f>
        <v>0</v>
      </c>
      <c r="E7641" s="1">
        <f>IF(Tabela1[[#This Row],[promien]]=40000,1,0)</f>
        <v>0</v>
      </c>
      <c r="F7641" s="1">
        <v>3.1545609213453738</v>
      </c>
      <c r="G7641" s="1">
        <v>1.2968267755580687E-2</v>
      </c>
    </row>
    <row r="7642" spans="1:7">
      <c r="A7642">
        <v>337</v>
      </c>
      <c r="B7642">
        <v>170</v>
      </c>
      <c r="C7642" s="1">
        <f>(Tabela1[[#This Row],[x]]-H$3)*(Tabela1[[#This Row],[x]]-H$3) +(Tabela1[[#This Row],[y]]-H$4)*(Tabela1[[#This Row],[y]]-H$4)</f>
        <v>19669</v>
      </c>
      <c r="D7642" s="1">
        <f>IF(Tabela1[[#This Row],[promien]]&lt;40000,1,0)</f>
        <v>1</v>
      </c>
      <c r="E7642" s="1">
        <f>IF(Tabela1[[#This Row],[promien]]=40000,1,0)</f>
        <v>0</v>
      </c>
      <c r="F7642" s="1">
        <v>3.1546715519497512</v>
      </c>
      <c r="G7642" s="1">
        <v>1.3078898359958124E-2</v>
      </c>
    </row>
    <row r="7643" spans="1:7">
      <c r="A7643">
        <v>13</v>
      </c>
      <c r="B7643">
        <v>107</v>
      </c>
      <c r="C7643" s="1">
        <f>(Tabela1[[#This Row],[x]]-H$3)*(Tabela1[[#This Row],[x]]-H$3) +(Tabela1[[#This Row],[y]]-H$4)*(Tabela1[[#This Row],[y]]-H$4)</f>
        <v>43618</v>
      </c>
      <c r="D7643" s="1">
        <f>IF(Tabela1[[#This Row],[promien]]&lt;40000,1,0)</f>
        <v>0</v>
      </c>
      <c r="E7643" s="1">
        <f>IF(Tabela1[[#This Row],[promien]]=40000,1,0)</f>
        <v>0</v>
      </c>
      <c r="F7643" s="1">
        <v>3.1542587989009552</v>
      </c>
      <c r="G7643" s="1">
        <v>1.2666145311162058E-2</v>
      </c>
    </row>
    <row r="7644" spans="1:7">
      <c r="A7644">
        <v>302</v>
      </c>
      <c r="B7644">
        <v>251</v>
      </c>
      <c r="C7644" s="1">
        <f>(Tabela1[[#This Row],[x]]-H$3)*(Tabela1[[#This Row],[x]]-H$3) +(Tabela1[[#This Row],[y]]-H$4)*(Tabela1[[#This Row],[y]]-H$4)</f>
        <v>13005</v>
      </c>
      <c r="D7644" s="1">
        <f>IF(Tabela1[[#This Row],[promien]]&lt;40000,1,0)</f>
        <v>1</v>
      </c>
      <c r="E7644" s="1">
        <f>IF(Tabela1[[#This Row],[promien]]=40000,1,0)</f>
        <v>0</v>
      </c>
      <c r="F7644" s="1">
        <v>3.1543694400837259</v>
      </c>
      <c r="G7644" s="1">
        <v>1.2776786493932768E-2</v>
      </c>
    </row>
    <row r="7645" spans="1:7">
      <c r="A7645">
        <v>132</v>
      </c>
      <c r="B7645">
        <v>363</v>
      </c>
      <c r="C7645" s="1">
        <f>(Tabela1[[#This Row],[x]]-H$3)*(Tabela1[[#This Row],[x]]-H$3) +(Tabela1[[#This Row],[y]]-H$4)*(Tabela1[[#This Row],[y]]-H$4)</f>
        <v>31193</v>
      </c>
      <c r="D7645" s="1">
        <f>IF(Tabela1[[#This Row],[promien]]&lt;40000,1,0)</f>
        <v>1</v>
      </c>
      <c r="E7645" s="1">
        <f>IF(Tabela1[[#This Row],[promien]]=40000,1,0)</f>
        <v>0</v>
      </c>
      <c r="F7645" s="1">
        <v>3.1544800523217789</v>
      </c>
      <c r="G7645" s="1">
        <v>1.2887398731985744E-2</v>
      </c>
    </row>
    <row r="7646" spans="1:7">
      <c r="A7646">
        <v>325</v>
      </c>
      <c r="B7646">
        <v>195</v>
      </c>
      <c r="C7646" s="1">
        <f>(Tabela1[[#This Row],[x]]-H$3)*(Tabela1[[#This Row],[x]]-H$3) +(Tabela1[[#This Row],[y]]-H$4)*(Tabela1[[#This Row],[y]]-H$4)</f>
        <v>15650</v>
      </c>
      <c r="D7646" s="1">
        <f>IF(Tabela1[[#This Row],[promien]]&lt;40000,1,0)</f>
        <v>1</v>
      </c>
      <c r="E7646" s="1">
        <f>IF(Tabela1[[#This Row],[promien]]=40000,1,0)</f>
        <v>0</v>
      </c>
      <c r="F7646" s="1">
        <v>3.1545906356264712</v>
      </c>
      <c r="G7646" s="1">
        <v>1.2997982036678124E-2</v>
      </c>
    </row>
    <row r="7647" spans="1:7">
      <c r="A7647">
        <v>237</v>
      </c>
      <c r="B7647">
        <v>86</v>
      </c>
      <c r="C7647" s="1">
        <f>(Tabela1[[#This Row],[x]]-H$3)*(Tabela1[[#This Row],[x]]-H$3) +(Tabela1[[#This Row],[y]]-H$4)*(Tabela1[[#This Row],[y]]-H$4)</f>
        <v>14365</v>
      </c>
      <c r="D7647" s="1">
        <f>IF(Tabela1[[#This Row],[promien]]&lt;40000,1,0)</f>
        <v>1</v>
      </c>
      <c r="E7647" s="1">
        <f>IF(Tabela1[[#This Row],[promien]]=40000,1,0)</f>
        <v>0</v>
      </c>
      <c r="F7647" s="1">
        <v>3.1547011900091539</v>
      </c>
      <c r="G7647" s="1">
        <v>1.3108536419360828E-2</v>
      </c>
    </row>
    <row r="7648" spans="1:7">
      <c r="A7648">
        <v>212</v>
      </c>
      <c r="B7648">
        <v>321</v>
      </c>
      <c r="C7648" s="1">
        <f>(Tabela1[[#This Row],[x]]-H$3)*(Tabela1[[#This Row],[x]]-H$3) +(Tabela1[[#This Row],[y]]-H$4)*(Tabela1[[#This Row],[y]]-H$4)</f>
        <v>14785</v>
      </c>
      <c r="D7648" s="1">
        <f>IF(Tabela1[[#This Row],[promien]]&lt;40000,1,0)</f>
        <v>1</v>
      </c>
      <c r="E7648" s="1">
        <f>IF(Tabela1[[#This Row],[promien]]=40000,1,0)</f>
        <v>0</v>
      </c>
      <c r="F7648" s="1">
        <v>3.1548117154811717</v>
      </c>
      <c r="G7648" s="1">
        <v>1.3219061891378558E-2</v>
      </c>
    </row>
    <row r="7649" spans="1:7">
      <c r="A7649">
        <v>45</v>
      </c>
      <c r="B7649">
        <v>1</v>
      </c>
      <c r="C7649" s="1">
        <f>(Tabela1[[#This Row],[x]]-H$3)*(Tabela1[[#This Row],[x]]-H$3) +(Tabela1[[#This Row],[y]]-H$4)*(Tabela1[[#This Row],[y]]-H$4)</f>
        <v>63626</v>
      </c>
      <c r="D7649" s="1">
        <f>IF(Tabela1[[#This Row],[promien]]&lt;40000,1,0)</f>
        <v>0</v>
      </c>
      <c r="E7649" s="1">
        <f>IF(Tabela1[[#This Row],[promien]]=40000,1,0)</f>
        <v>0</v>
      </c>
      <c r="F7649" s="1">
        <v>3.1543992678781541</v>
      </c>
      <c r="G7649" s="1">
        <v>1.280661428836094E-2</v>
      </c>
    </row>
    <row r="7650" spans="1:7">
      <c r="A7650">
        <v>293</v>
      </c>
      <c r="B7650">
        <v>131</v>
      </c>
      <c r="C7650" s="1">
        <f>(Tabela1[[#This Row],[x]]-H$3)*(Tabela1[[#This Row],[x]]-H$3) +(Tabela1[[#This Row],[y]]-H$4)*(Tabela1[[#This Row],[y]]-H$4)</f>
        <v>13410</v>
      </c>
      <c r="D7650" s="1">
        <f>IF(Tabela1[[#This Row],[promien]]&lt;40000,1,0)</f>
        <v>1</v>
      </c>
      <c r="E7650" s="1">
        <f>IF(Tabela1[[#This Row],[promien]]=40000,1,0)</f>
        <v>0</v>
      </c>
      <c r="F7650" s="1">
        <v>3.1545098039215684</v>
      </c>
      <c r="G7650" s="1">
        <v>1.2917150331775318E-2</v>
      </c>
    </row>
    <row r="7651" spans="1:7">
      <c r="A7651">
        <v>342</v>
      </c>
      <c r="B7651">
        <v>295</v>
      </c>
      <c r="C7651" s="1">
        <f>(Tabela1[[#This Row],[x]]-H$3)*(Tabela1[[#This Row],[x]]-H$3) +(Tabela1[[#This Row],[y]]-H$4)*(Tabela1[[#This Row],[y]]-H$4)</f>
        <v>29189</v>
      </c>
      <c r="D7651" s="1">
        <f>IF(Tabela1[[#This Row],[promien]]&lt;40000,1,0)</f>
        <v>1</v>
      </c>
      <c r="E7651" s="1">
        <f>IF(Tabela1[[#This Row],[promien]]=40000,1,0)</f>
        <v>0</v>
      </c>
      <c r="F7651" s="1">
        <v>3.1546203110704485</v>
      </c>
      <c r="G7651" s="1">
        <v>1.3027657480655375E-2</v>
      </c>
    </row>
    <row r="7652" spans="1:7">
      <c r="A7652">
        <v>66</v>
      </c>
      <c r="B7652">
        <v>265</v>
      </c>
      <c r="C7652" s="1">
        <f>(Tabela1[[#This Row],[x]]-H$3)*(Tabela1[[#This Row],[x]]-H$3) +(Tabela1[[#This Row],[y]]-H$4)*(Tabela1[[#This Row],[y]]-H$4)</f>
        <v>22181</v>
      </c>
      <c r="D7652" s="1">
        <f>IF(Tabela1[[#This Row],[promien]]&lt;40000,1,0)</f>
        <v>1</v>
      </c>
      <c r="E7652" s="1">
        <f>IF(Tabela1[[#This Row],[promien]]=40000,1,0)</f>
        <v>0</v>
      </c>
      <c r="F7652" s="1">
        <v>3.1547307893361212</v>
      </c>
      <c r="G7652" s="1">
        <v>1.313813574632805E-2</v>
      </c>
    </row>
    <row r="7653" spans="1:7">
      <c r="A7653">
        <v>91</v>
      </c>
      <c r="B7653">
        <v>194</v>
      </c>
      <c r="C7653" s="1">
        <f>(Tabela1[[#This Row],[x]]-H$3)*(Tabela1[[#This Row],[x]]-H$3) +(Tabela1[[#This Row],[y]]-H$4)*(Tabela1[[#This Row],[y]]-H$4)</f>
        <v>11917</v>
      </c>
      <c r="D7653" s="1">
        <f>IF(Tabela1[[#This Row],[promien]]&lt;40000,1,0)</f>
        <v>1</v>
      </c>
      <c r="E7653" s="1">
        <f>IF(Tabela1[[#This Row],[promien]]=40000,1,0)</f>
        <v>0</v>
      </c>
      <c r="F7653" s="1">
        <v>3.1548412387299098</v>
      </c>
      <c r="G7653" s="1">
        <v>1.3248585140116731E-2</v>
      </c>
    </row>
    <row r="7654" spans="1:7">
      <c r="A7654">
        <v>178</v>
      </c>
      <c r="B7654">
        <v>145</v>
      </c>
      <c r="C7654" s="1">
        <f>(Tabela1[[#This Row],[x]]-H$3)*(Tabela1[[#This Row],[x]]-H$3) +(Tabela1[[#This Row],[y]]-H$4)*(Tabela1[[#This Row],[y]]-H$4)</f>
        <v>3509</v>
      </c>
      <c r="D7654" s="1">
        <f>IF(Tabela1[[#This Row],[promien]]&lt;40000,1,0)</f>
        <v>1</v>
      </c>
      <c r="E7654" s="1">
        <f>IF(Tabela1[[#This Row],[promien]]=40000,1,0)</f>
        <v>0</v>
      </c>
      <c r="F7654" s="1">
        <v>3.1549516592631304</v>
      </c>
      <c r="G7654" s="1">
        <v>1.3359005673337254E-2</v>
      </c>
    </row>
    <row r="7655" spans="1:7">
      <c r="A7655">
        <v>227</v>
      </c>
      <c r="B7655">
        <v>19</v>
      </c>
      <c r="C7655" s="1">
        <f>(Tabela1[[#This Row],[x]]-H$3)*(Tabela1[[#This Row],[x]]-H$3) +(Tabela1[[#This Row],[y]]-H$4)*(Tabela1[[#This Row],[y]]-H$4)</f>
        <v>33490</v>
      </c>
      <c r="D7655" s="1">
        <f>IF(Tabela1[[#This Row],[promien]]&lt;40000,1,0)</f>
        <v>1</v>
      </c>
      <c r="E7655" s="1">
        <f>IF(Tabela1[[#This Row],[promien]]=40000,1,0)</f>
        <v>0</v>
      </c>
      <c r="F7655" s="1">
        <v>3.1550620509470932</v>
      </c>
      <c r="G7655" s="1">
        <v>1.3469397357300128E-2</v>
      </c>
    </row>
    <row r="7656" spans="1:7">
      <c r="A7656">
        <v>187</v>
      </c>
      <c r="B7656">
        <v>305</v>
      </c>
      <c r="C7656" s="1">
        <f>(Tabela1[[#This Row],[x]]-H$3)*(Tabela1[[#This Row],[x]]-H$3) +(Tabela1[[#This Row],[y]]-H$4)*(Tabela1[[#This Row],[y]]-H$4)</f>
        <v>11194</v>
      </c>
      <c r="D7656" s="1">
        <f>IF(Tabela1[[#This Row],[promien]]&lt;40000,1,0)</f>
        <v>1</v>
      </c>
      <c r="E7656" s="1">
        <f>IF(Tabela1[[#This Row],[promien]]=40000,1,0)</f>
        <v>0</v>
      </c>
      <c r="F7656" s="1">
        <v>3.1551724137931036</v>
      </c>
      <c r="G7656" s="1">
        <v>1.3579760203310531E-2</v>
      </c>
    </row>
    <row r="7657" spans="1:7">
      <c r="A7657">
        <v>195</v>
      </c>
      <c r="B7657">
        <v>154</v>
      </c>
      <c r="C7657" s="1">
        <f>(Tabela1[[#This Row],[x]]-H$3)*(Tabela1[[#This Row],[x]]-H$3) +(Tabela1[[#This Row],[y]]-H$4)*(Tabela1[[#This Row],[y]]-H$4)</f>
        <v>2141</v>
      </c>
      <c r="D7657" s="1">
        <f>IF(Tabela1[[#This Row],[promien]]&lt;40000,1,0)</f>
        <v>1</v>
      </c>
      <c r="E7657" s="1">
        <f>IF(Tabela1[[#This Row],[promien]]=40000,1,0)</f>
        <v>0</v>
      </c>
      <c r="F7657" s="1">
        <v>3.1552827478124592</v>
      </c>
      <c r="G7657" s="1">
        <v>1.3690094222666094E-2</v>
      </c>
    </row>
    <row r="7658" spans="1:7">
      <c r="A7658">
        <v>86</v>
      </c>
      <c r="B7658">
        <v>233</v>
      </c>
      <c r="C7658" s="1">
        <f>(Tabela1[[#This Row],[x]]-H$3)*(Tabela1[[#This Row],[x]]-H$3) +(Tabela1[[#This Row],[y]]-H$4)*(Tabela1[[#This Row],[y]]-H$4)</f>
        <v>14085</v>
      </c>
      <c r="D7658" s="1">
        <f>IF(Tabela1[[#This Row],[promien]]&lt;40000,1,0)</f>
        <v>1</v>
      </c>
      <c r="E7658" s="1">
        <f>IF(Tabela1[[#This Row],[promien]]=40000,1,0)</f>
        <v>0</v>
      </c>
      <c r="F7658" s="1">
        <v>3.1553930530164536</v>
      </c>
      <c r="G7658" s="1">
        <v>1.3800399426660448E-2</v>
      </c>
    </row>
    <row r="7659" spans="1:7">
      <c r="A7659">
        <v>156</v>
      </c>
      <c r="B7659">
        <v>131</v>
      </c>
      <c r="C7659" s="1">
        <f>(Tabela1[[#This Row],[x]]-H$3)*(Tabela1[[#This Row],[x]]-H$3) +(Tabela1[[#This Row],[y]]-H$4)*(Tabela1[[#This Row],[y]]-H$4)</f>
        <v>6697</v>
      </c>
      <c r="D7659" s="1">
        <f>IF(Tabela1[[#This Row],[promien]]&lt;40000,1,0)</f>
        <v>1</v>
      </c>
      <c r="E7659" s="1">
        <f>IF(Tabela1[[#This Row],[promien]]=40000,1,0)</f>
        <v>0</v>
      </c>
      <c r="F7659" s="1">
        <v>3.1555033294163728</v>
      </c>
      <c r="G7659" s="1">
        <v>1.3910675826579677E-2</v>
      </c>
    </row>
    <row r="7660" spans="1:7">
      <c r="A7660">
        <v>358</v>
      </c>
      <c r="B7660">
        <v>388</v>
      </c>
      <c r="C7660" s="1">
        <f>(Tabela1[[#This Row],[x]]-H$3)*(Tabela1[[#This Row],[x]]-H$3) +(Tabela1[[#This Row],[y]]-H$4)*(Tabela1[[#This Row],[y]]-H$4)</f>
        <v>60308</v>
      </c>
      <c r="D7660" s="1">
        <f>IF(Tabela1[[#This Row],[promien]]&lt;40000,1,0)</f>
        <v>0</v>
      </c>
      <c r="E7660" s="1">
        <f>IF(Tabela1[[#This Row],[promien]]=40000,1,0)</f>
        <v>0</v>
      </c>
      <c r="F7660" s="1">
        <v>3.1550913838120103</v>
      </c>
      <c r="G7660" s="1">
        <v>1.3498730222217148E-2</v>
      </c>
    </row>
    <row r="7661" spans="1:7">
      <c r="A7661">
        <v>316</v>
      </c>
      <c r="B7661">
        <v>384</v>
      </c>
      <c r="C7661" s="1">
        <f>(Tabela1[[#This Row],[x]]-H$3)*(Tabela1[[#This Row],[x]]-H$3) +(Tabela1[[#This Row],[y]]-H$4)*(Tabela1[[#This Row],[y]]-H$4)</f>
        <v>47312</v>
      </c>
      <c r="D7661" s="1">
        <f>IF(Tabela1[[#This Row],[promien]]&lt;40000,1,0)</f>
        <v>0</v>
      </c>
      <c r="E7661" s="1">
        <f>IF(Tabela1[[#This Row],[promien]]=40000,1,0)</f>
        <v>0</v>
      </c>
      <c r="F7661" s="1">
        <v>3.1546795457512076</v>
      </c>
      <c r="G7661" s="1">
        <v>1.3086892161414454E-2</v>
      </c>
    </row>
    <row r="7662" spans="1:7">
      <c r="A7662">
        <v>266</v>
      </c>
      <c r="B7662">
        <v>263</v>
      </c>
      <c r="C7662" s="1">
        <f>(Tabela1[[#This Row],[x]]-H$3)*(Tabela1[[#This Row],[x]]-H$3) +(Tabela1[[#This Row],[y]]-H$4)*(Tabela1[[#This Row],[y]]-H$4)</f>
        <v>8325</v>
      </c>
      <c r="D7662" s="1">
        <f>IF(Tabela1[[#This Row],[promien]]&lt;40000,1,0)</f>
        <v>1</v>
      </c>
      <c r="E7662" s="1">
        <f>IF(Tabela1[[#This Row],[promien]]=40000,1,0)</f>
        <v>0</v>
      </c>
      <c r="F7662" s="1">
        <v>3.1547898720960585</v>
      </c>
      <c r="G7662" s="1">
        <v>1.3197218506265429E-2</v>
      </c>
    </row>
    <row r="7663" spans="1:7">
      <c r="A7663">
        <v>1</v>
      </c>
      <c r="B7663">
        <v>310</v>
      </c>
      <c r="C7663" s="1">
        <f>(Tabela1[[#This Row],[x]]-H$3)*(Tabela1[[#This Row],[x]]-H$3) +(Tabela1[[#This Row],[y]]-H$4)*(Tabela1[[#This Row],[y]]-H$4)</f>
        <v>51701</v>
      </c>
      <c r="D7663" s="1">
        <f>IF(Tabela1[[#This Row],[promien]]&lt;40000,1,0)</f>
        <v>0</v>
      </c>
      <c r="E7663" s="1">
        <f>IF(Tabela1[[#This Row],[promien]]=40000,1,0)</f>
        <v>0</v>
      </c>
      <c r="F7663" s="1">
        <v>3.1543781808691111</v>
      </c>
      <c r="G7663" s="1">
        <v>1.2785527279318032E-2</v>
      </c>
    </row>
    <row r="7664" spans="1:7">
      <c r="A7664">
        <v>120</v>
      </c>
      <c r="B7664">
        <v>399</v>
      </c>
      <c r="C7664" s="1">
        <f>(Tabela1[[#This Row],[x]]-H$3)*(Tabela1[[#This Row],[x]]-H$3) +(Tabela1[[#This Row],[y]]-H$4)*(Tabela1[[#This Row],[y]]-H$4)</f>
        <v>46001</v>
      </c>
      <c r="D7664" s="1">
        <f>IF(Tabela1[[#This Row],[promien]]&lt;40000,1,0)</f>
        <v>0</v>
      </c>
      <c r="E7664" s="1">
        <f>IF(Tabela1[[#This Row],[promien]]=40000,1,0)</f>
        <v>0</v>
      </c>
      <c r="F7664" s="1">
        <v>3.1539665970772441</v>
      </c>
      <c r="G7664" s="1">
        <v>1.2373943487451022E-2</v>
      </c>
    </row>
    <row r="7665" spans="1:7">
      <c r="A7665">
        <v>221</v>
      </c>
      <c r="B7665">
        <v>376</v>
      </c>
      <c r="C7665" s="1">
        <f>(Tabela1[[#This Row],[x]]-H$3)*(Tabela1[[#This Row],[x]]-H$3) +(Tabela1[[#This Row],[y]]-H$4)*(Tabela1[[#This Row],[y]]-H$4)</f>
        <v>31417</v>
      </c>
      <c r="D7665" s="1">
        <f>IF(Tabela1[[#This Row],[promien]]&lt;40000,1,0)</f>
        <v>1</v>
      </c>
      <c r="E7665" s="1">
        <f>IF(Tabela1[[#This Row],[promien]]=40000,1,0)</f>
        <v>0</v>
      </c>
      <c r="F7665" s="1">
        <v>3.1540769732550555</v>
      </c>
      <c r="G7665" s="1">
        <v>1.2484319665262422E-2</v>
      </c>
    </row>
    <row r="7666" spans="1:7">
      <c r="A7666">
        <v>369</v>
      </c>
      <c r="B7666">
        <v>330</v>
      </c>
      <c r="C7666" s="1">
        <f>(Tabela1[[#This Row],[x]]-H$3)*(Tabela1[[#This Row],[x]]-H$3) +(Tabela1[[#This Row],[y]]-H$4)*(Tabela1[[#This Row],[y]]-H$4)</f>
        <v>45461</v>
      </c>
      <c r="D7666" s="1">
        <f>IF(Tabela1[[#This Row],[promien]]&lt;40000,1,0)</f>
        <v>0</v>
      </c>
      <c r="E7666" s="1">
        <f>IF(Tabela1[[#This Row],[promien]]=40000,1,0)</f>
        <v>0</v>
      </c>
      <c r="F7666" s="1">
        <v>3.1536655361335768</v>
      </c>
      <c r="G7666" s="1">
        <v>1.2072882543783692E-2</v>
      </c>
    </row>
    <row r="7667" spans="1:7">
      <c r="A7667">
        <v>182</v>
      </c>
      <c r="B7667">
        <v>217</v>
      </c>
      <c r="C7667" s="1">
        <f>(Tabela1[[#This Row],[x]]-H$3)*(Tabela1[[#This Row],[x]]-H$3) +(Tabela1[[#This Row],[y]]-H$4)*(Tabela1[[#This Row],[y]]-H$4)</f>
        <v>613</v>
      </c>
      <c r="D7667" s="1">
        <f>IF(Tabela1[[#This Row],[promien]]&lt;40000,1,0)</f>
        <v>1</v>
      </c>
      <c r="E7667" s="1">
        <f>IF(Tabela1[[#This Row],[promien]]=40000,1,0)</f>
        <v>0</v>
      </c>
      <c r="F7667" s="1">
        <v>3.1537759227859659</v>
      </c>
      <c r="G7667" s="1">
        <v>1.2183269196172741E-2</v>
      </c>
    </row>
    <row r="7668" spans="1:7">
      <c r="A7668">
        <v>283</v>
      </c>
      <c r="B7668">
        <v>96</v>
      </c>
      <c r="C7668" s="1">
        <f>(Tabela1[[#This Row],[x]]-H$3)*(Tabela1[[#This Row],[x]]-H$3) +(Tabela1[[#This Row],[y]]-H$4)*(Tabela1[[#This Row],[y]]-H$4)</f>
        <v>17705</v>
      </c>
      <c r="D7668" s="1">
        <f>IF(Tabela1[[#This Row],[promien]]&lt;40000,1,0)</f>
        <v>1</v>
      </c>
      <c r="E7668" s="1">
        <f>IF(Tabela1[[#This Row],[promien]]=40000,1,0)</f>
        <v>0</v>
      </c>
      <c r="F7668" s="1">
        <v>3.153886280646844</v>
      </c>
      <c r="G7668" s="1">
        <v>1.2293627057050838E-2</v>
      </c>
    </row>
    <row r="7669" spans="1:7">
      <c r="A7669">
        <v>11</v>
      </c>
      <c r="B7669">
        <v>72</v>
      </c>
      <c r="C7669" s="1">
        <f>(Tabela1[[#This Row],[x]]-H$3)*(Tabela1[[#This Row],[x]]-H$3) +(Tabela1[[#This Row],[y]]-H$4)*(Tabela1[[#This Row],[y]]-H$4)</f>
        <v>52105</v>
      </c>
      <c r="D7669" s="1">
        <f>IF(Tabela1[[#This Row],[promien]]&lt;40000,1,0)</f>
        <v>0</v>
      </c>
      <c r="E7669" s="1">
        <f>IF(Tabela1[[#This Row],[promien]]=40000,1,0)</f>
        <v>0</v>
      </c>
      <c r="F7669" s="1">
        <v>3.1534750293388969</v>
      </c>
      <c r="G7669" s="1">
        <v>1.188237574910378E-2</v>
      </c>
    </row>
    <row r="7670" spans="1:7">
      <c r="A7670">
        <v>255</v>
      </c>
      <c r="B7670">
        <v>166</v>
      </c>
      <c r="C7670" s="1">
        <f>(Tabela1[[#This Row],[x]]-H$3)*(Tabela1[[#This Row],[x]]-H$3) +(Tabela1[[#This Row],[y]]-H$4)*(Tabela1[[#This Row],[y]]-H$4)</f>
        <v>4181</v>
      </c>
      <c r="D7670" s="1">
        <f>IF(Tabela1[[#This Row],[promien]]&lt;40000,1,0)</f>
        <v>1</v>
      </c>
      <c r="E7670" s="1">
        <f>IF(Tabela1[[#This Row],[promien]]=40000,1,0)</f>
        <v>0</v>
      </c>
      <c r="F7670" s="1">
        <v>3.1535853976531945</v>
      </c>
      <c r="G7670" s="1">
        <v>1.1992744063401339E-2</v>
      </c>
    </row>
    <row r="7671" spans="1:7">
      <c r="A7671">
        <v>180</v>
      </c>
      <c r="B7671">
        <v>358</v>
      </c>
      <c r="C7671" s="1">
        <f>(Tabela1[[#This Row],[x]]-H$3)*(Tabela1[[#This Row],[x]]-H$3) +(Tabela1[[#This Row],[y]]-H$4)*(Tabela1[[#This Row],[y]]-H$4)</f>
        <v>25364</v>
      </c>
      <c r="D7671" s="1">
        <f>IF(Tabela1[[#This Row],[promien]]&lt;40000,1,0)</f>
        <v>1</v>
      </c>
      <c r="E7671" s="1">
        <f>IF(Tabela1[[#This Row],[promien]]=40000,1,0)</f>
        <v>0</v>
      </c>
      <c r="F7671" s="1">
        <v>3.153695737192022</v>
      </c>
      <c r="G7671" s="1">
        <v>1.2103083602228892E-2</v>
      </c>
    </row>
    <row r="7672" spans="1:7">
      <c r="A7672">
        <v>136</v>
      </c>
      <c r="B7672">
        <v>48</v>
      </c>
      <c r="C7672" s="1">
        <f>(Tabela1[[#This Row],[x]]-H$3)*(Tabela1[[#This Row],[x]]-H$3) +(Tabela1[[#This Row],[y]]-H$4)*(Tabela1[[#This Row],[y]]-H$4)</f>
        <v>27200</v>
      </c>
      <c r="D7672" s="1">
        <f>IF(Tabela1[[#This Row],[promien]]&lt;40000,1,0)</f>
        <v>1</v>
      </c>
      <c r="E7672" s="1">
        <f>IF(Tabela1[[#This Row],[promien]]=40000,1,0)</f>
        <v>0</v>
      </c>
      <c r="F7672" s="1">
        <v>3.1538060479666319</v>
      </c>
      <c r="G7672" s="1">
        <v>1.2213394376838771E-2</v>
      </c>
    </row>
    <row r="7673" spans="1:7">
      <c r="A7673">
        <v>136</v>
      </c>
      <c r="B7673">
        <v>130</v>
      </c>
      <c r="C7673" s="1">
        <f>(Tabela1[[#This Row],[x]]-H$3)*(Tabela1[[#This Row],[x]]-H$3) +(Tabela1[[#This Row],[y]]-H$4)*(Tabela1[[#This Row],[y]]-H$4)</f>
        <v>8996</v>
      </c>
      <c r="D7673" s="1">
        <f>IF(Tabela1[[#This Row],[promien]]&lt;40000,1,0)</f>
        <v>1</v>
      </c>
      <c r="E7673" s="1">
        <f>IF(Tabela1[[#This Row],[promien]]=40000,1,0)</f>
        <v>0</v>
      </c>
      <c r="F7673" s="1">
        <v>3.1539163299882707</v>
      </c>
      <c r="G7673" s="1">
        <v>1.2323676398477534E-2</v>
      </c>
    </row>
    <row r="7674" spans="1:7">
      <c r="A7674">
        <v>151</v>
      </c>
      <c r="B7674">
        <v>82</v>
      </c>
      <c r="C7674" s="1">
        <f>(Tabela1[[#This Row],[x]]-H$3)*(Tabela1[[#This Row],[x]]-H$3) +(Tabela1[[#This Row],[y]]-H$4)*(Tabela1[[#This Row],[y]]-H$4)</f>
        <v>16325</v>
      </c>
      <c r="D7674" s="1">
        <f>IF(Tabela1[[#This Row],[promien]]&lt;40000,1,0)</f>
        <v>1</v>
      </c>
      <c r="E7674" s="1">
        <f>IF(Tabela1[[#This Row],[promien]]=40000,1,0)</f>
        <v>0</v>
      </c>
      <c r="F7674" s="1">
        <v>3.1540265832681782</v>
      </c>
      <c r="G7674" s="1">
        <v>1.2433929678385081E-2</v>
      </c>
    </row>
    <row r="7675" spans="1:7">
      <c r="A7675">
        <v>182</v>
      </c>
      <c r="B7675">
        <v>297</v>
      </c>
      <c r="C7675" s="1">
        <f>(Tabela1[[#This Row],[x]]-H$3)*(Tabela1[[#This Row],[x]]-H$3) +(Tabela1[[#This Row],[y]]-H$4)*(Tabela1[[#This Row],[y]]-H$4)</f>
        <v>9733</v>
      </c>
      <c r="D7675" s="1">
        <f>IF(Tabela1[[#This Row],[promien]]&lt;40000,1,0)</f>
        <v>1</v>
      </c>
      <c r="E7675" s="1">
        <f>IF(Tabela1[[#This Row],[promien]]=40000,1,0)</f>
        <v>0</v>
      </c>
      <c r="F7675" s="1">
        <v>3.1541368078175895</v>
      </c>
      <c r="G7675" s="1">
        <v>1.2544154227796422E-2</v>
      </c>
    </row>
    <row r="7676" spans="1:7">
      <c r="A7676">
        <v>191</v>
      </c>
      <c r="B7676">
        <v>38</v>
      </c>
      <c r="C7676" s="1">
        <f>(Tabela1[[#This Row],[x]]-H$3)*(Tabela1[[#This Row],[x]]-H$3) +(Tabela1[[#This Row],[y]]-H$4)*(Tabela1[[#This Row],[y]]-H$4)</f>
        <v>26325</v>
      </c>
      <c r="D7676" s="1">
        <f>IF(Tabela1[[#This Row],[promien]]&lt;40000,1,0)</f>
        <v>1</v>
      </c>
      <c r="E7676" s="1">
        <f>IF(Tabela1[[#This Row],[promien]]=40000,1,0)</f>
        <v>0</v>
      </c>
      <c r="F7676" s="1">
        <v>3.154247003647733</v>
      </c>
      <c r="G7676" s="1">
        <v>1.2654350057939912E-2</v>
      </c>
    </row>
    <row r="7677" spans="1:7">
      <c r="A7677">
        <v>60</v>
      </c>
      <c r="B7677">
        <v>25</v>
      </c>
      <c r="C7677" s="1">
        <f>(Tabela1[[#This Row],[x]]-H$3)*(Tabela1[[#This Row],[x]]-H$3) +(Tabela1[[#This Row],[y]]-H$4)*(Tabela1[[#This Row],[y]]-H$4)</f>
        <v>50225</v>
      </c>
      <c r="D7677" s="1">
        <f>IF(Tabela1[[#This Row],[promien]]&lt;40000,1,0)</f>
        <v>0</v>
      </c>
      <c r="E7677" s="1">
        <f>IF(Tabela1[[#This Row],[promien]]=40000,1,0)</f>
        <v>0</v>
      </c>
      <c r="F7677" s="1">
        <v>3.153836133906474</v>
      </c>
      <c r="G7677" s="1">
        <v>1.2243480316680877E-2</v>
      </c>
    </row>
    <row r="7678" spans="1:7">
      <c r="A7678">
        <v>174</v>
      </c>
      <c r="B7678">
        <v>232</v>
      </c>
      <c r="C7678" s="1">
        <f>(Tabela1[[#This Row],[x]]-H$3)*(Tabela1[[#This Row],[x]]-H$3) +(Tabela1[[#This Row],[y]]-H$4)*(Tabela1[[#This Row],[y]]-H$4)</f>
        <v>1700</v>
      </c>
      <c r="D7678" s="1">
        <f>IF(Tabela1[[#This Row],[promien]]&lt;40000,1,0)</f>
        <v>1</v>
      </c>
      <c r="E7678" s="1">
        <f>IF(Tabela1[[#This Row],[promien]]=40000,1,0)</f>
        <v>0</v>
      </c>
      <c r="F7678" s="1">
        <v>3.1539463401927583</v>
      </c>
      <c r="G7678" s="1">
        <v>1.2353686602965208E-2</v>
      </c>
    </row>
    <row r="7679" spans="1:7">
      <c r="A7679">
        <v>362</v>
      </c>
      <c r="B7679">
        <v>229</v>
      </c>
      <c r="C7679" s="1">
        <f>(Tabela1[[#This Row],[x]]-H$3)*(Tabela1[[#This Row],[x]]-H$3) +(Tabela1[[#This Row],[y]]-H$4)*(Tabela1[[#This Row],[y]]-H$4)</f>
        <v>27085</v>
      </c>
      <c r="D7679" s="1">
        <f>IF(Tabela1[[#This Row],[promien]]&lt;40000,1,0)</f>
        <v>1</v>
      </c>
      <c r="E7679" s="1">
        <f>IF(Tabela1[[#This Row],[promien]]=40000,1,0)</f>
        <v>0</v>
      </c>
      <c r="F7679" s="1">
        <v>3.1540565177757522</v>
      </c>
      <c r="G7679" s="1">
        <v>1.2463864185959128E-2</v>
      </c>
    </row>
    <row r="7680" spans="1:7">
      <c r="A7680">
        <v>74</v>
      </c>
      <c r="B7680">
        <v>391</v>
      </c>
      <c r="C7680" s="1">
        <f>(Tabela1[[#This Row],[x]]-H$3)*(Tabela1[[#This Row],[x]]-H$3) +(Tabela1[[#This Row],[y]]-H$4)*(Tabela1[[#This Row],[y]]-H$4)</f>
        <v>52357</v>
      </c>
      <c r="D7680" s="1">
        <f>IF(Tabela1[[#This Row],[promien]]&lt;40000,1,0)</f>
        <v>0</v>
      </c>
      <c r="E7680" s="1">
        <f>IF(Tabela1[[#This Row],[promien]]=40000,1,0)</f>
        <v>0</v>
      </c>
      <c r="F7680" s="1">
        <v>3.1536458333333335</v>
      </c>
      <c r="G7680" s="1">
        <v>1.2053179743540365E-2</v>
      </c>
    </row>
    <row r="7681" spans="1:7">
      <c r="A7681">
        <v>326</v>
      </c>
      <c r="B7681">
        <v>375</v>
      </c>
      <c r="C7681" s="1">
        <f>(Tabela1[[#This Row],[x]]-H$3)*(Tabela1[[#This Row],[x]]-H$3) +(Tabela1[[#This Row],[y]]-H$4)*(Tabela1[[#This Row],[y]]-H$4)</f>
        <v>46501</v>
      </c>
      <c r="D7681" s="1">
        <f>IF(Tabela1[[#This Row],[promien]]&lt;40000,1,0)</f>
        <v>0</v>
      </c>
      <c r="E7681" s="1">
        <f>IF(Tabela1[[#This Row],[promien]]=40000,1,0)</f>
        <v>0</v>
      </c>
      <c r="F7681" s="1">
        <v>3.1532352558260643</v>
      </c>
      <c r="G7681" s="1">
        <v>1.1642602236271227E-2</v>
      </c>
    </row>
    <row r="7682" spans="1:7">
      <c r="A7682">
        <v>344</v>
      </c>
      <c r="B7682">
        <v>286</v>
      </c>
      <c r="C7682" s="1">
        <f>(Tabela1[[#This Row],[x]]-H$3)*(Tabela1[[#This Row],[x]]-H$3) +(Tabela1[[#This Row],[y]]-H$4)*(Tabela1[[#This Row],[y]]-H$4)</f>
        <v>28132</v>
      </c>
      <c r="D7682" s="1">
        <f>IF(Tabela1[[#This Row],[promien]]&lt;40000,1,0)</f>
        <v>1</v>
      </c>
      <c r="E7682" s="1">
        <f>IF(Tabela1[[#This Row],[promien]]=40000,1,0)</f>
        <v>0</v>
      </c>
      <c r="F7682" s="1">
        <v>3.1533454829471492</v>
      </c>
      <c r="G7682" s="1">
        <v>1.1752829357356109E-2</v>
      </c>
    </row>
    <row r="7683" spans="1:7">
      <c r="A7683">
        <v>276</v>
      </c>
      <c r="B7683">
        <v>34</v>
      </c>
      <c r="C7683" s="1">
        <f>(Tabela1[[#This Row],[x]]-H$3)*(Tabela1[[#This Row],[x]]-H$3) +(Tabela1[[#This Row],[y]]-H$4)*(Tabela1[[#This Row],[y]]-H$4)</f>
        <v>33332</v>
      </c>
      <c r="D7683" s="1">
        <f>IF(Tabela1[[#This Row],[promien]]&lt;40000,1,0)</f>
        <v>1</v>
      </c>
      <c r="E7683" s="1">
        <f>IF(Tabela1[[#This Row],[promien]]=40000,1,0)</f>
        <v>0</v>
      </c>
      <c r="F7683" s="1">
        <v>3.1534556813744632</v>
      </c>
      <c r="G7683" s="1">
        <v>1.1863027784670077E-2</v>
      </c>
    </row>
    <row r="7684" spans="1:7">
      <c r="A7684">
        <v>151</v>
      </c>
      <c r="B7684">
        <v>56</v>
      </c>
      <c r="C7684" s="1">
        <f>(Tabela1[[#This Row],[x]]-H$3)*(Tabela1[[#This Row],[x]]-H$3) +(Tabela1[[#This Row],[y]]-H$4)*(Tabela1[[#This Row],[y]]-H$4)</f>
        <v>23137</v>
      </c>
      <c r="D7684" s="1">
        <f>IF(Tabela1[[#This Row],[promien]]&lt;40000,1,0)</f>
        <v>1</v>
      </c>
      <c r="E7684" s="1">
        <f>IF(Tabela1[[#This Row],[promien]]=40000,1,0)</f>
        <v>0</v>
      </c>
      <c r="F7684" s="1">
        <v>3.1535658511192088</v>
      </c>
      <c r="G7684" s="1">
        <v>1.1973197529415724E-2</v>
      </c>
    </row>
    <row r="7685" spans="1:7">
      <c r="A7685">
        <v>281</v>
      </c>
      <c r="B7685">
        <v>201</v>
      </c>
      <c r="C7685" s="1">
        <f>(Tabela1[[#This Row],[x]]-H$3)*(Tabela1[[#This Row],[x]]-H$3) +(Tabela1[[#This Row],[y]]-H$4)*(Tabela1[[#This Row],[y]]-H$4)</f>
        <v>6562</v>
      </c>
      <c r="D7685" s="1">
        <f>IF(Tabela1[[#This Row],[promien]]&lt;40000,1,0)</f>
        <v>1</v>
      </c>
      <c r="E7685" s="1">
        <f>IF(Tabela1[[#This Row],[promien]]=40000,1,0)</f>
        <v>0</v>
      </c>
      <c r="F7685" s="1">
        <v>3.153675992192583</v>
      </c>
      <c r="G7685" s="1">
        <v>1.2083338602789873E-2</v>
      </c>
    </row>
    <row r="7686" spans="1:7">
      <c r="A7686">
        <v>321</v>
      </c>
      <c r="B7686">
        <v>272</v>
      </c>
      <c r="C7686" s="1">
        <f>(Tabela1[[#This Row],[x]]-H$3)*(Tabela1[[#This Row],[x]]-H$3) +(Tabela1[[#This Row],[y]]-H$4)*(Tabela1[[#This Row],[y]]-H$4)</f>
        <v>19825</v>
      </c>
      <c r="D7686" s="1">
        <f>IF(Tabela1[[#This Row],[promien]]&lt;40000,1,0)</f>
        <v>1</v>
      </c>
      <c r="E7686" s="1">
        <f>IF(Tabela1[[#This Row],[promien]]=40000,1,0)</f>
        <v>0</v>
      </c>
      <c r="F7686" s="1">
        <v>3.1537861046057767</v>
      </c>
      <c r="G7686" s="1">
        <v>1.219345101598357E-2</v>
      </c>
    </row>
    <row r="7687" spans="1:7">
      <c r="A7687">
        <v>185</v>
      </c>
      <c r="B7687">
        <v>366</v>
      </c>
      <c r="C7687" s="1">
        <f>(Tabela1[[#This Row],[x]]-H$3)*(Tabela1[[#This Row],[x]]-H$3) +(Tabela1[[#This Row],[y]]-H$4)*(Tabela1[[#This Row],[y]]-H$4)</f>
        <v>27781</v>
      </c>
      <c r="D7687" s="1">
        <f>IF(Tabela1[[#This Row],[promien]]&lt;40000,1,0)</f>
        <v>1</v>
      </c>
      <c r="E7687" s="1">
        <f>IF(Tabela1[[#This Row],[promien]]=40000,1,0)</f>
        <v>0</v>
      </c>
      <c r="F7687" s="1">
        <v>3.1538961883699752</v>
      </c>
      <c r="G7687" s="1">
        <v>1.230353478018209E-2</v>
      </c>
    </row>
    <row r="7688" spans="1:7">
      <c r="A7688">
        <v>53</v>
      </c>
      <c r="B7688">
        <v>298</v>
      </c>
      <c r="C7688" s="1">
        <f>(Tabela1[[#This Row],[x]]-H$3)*(Tabela1[[#This Row],[x]]-H$3) +(Tabela1[[#This Row],[y]]-H$4)*(Tabela1[[#This Row],[y]]-H$4)</f>
        <v>31213</v>
      </c>
      <c r="D7688" s="1">
        <f>IF(Tabela1[[#This Row],[promien]]&lt;40000,1,0)</f>
        <v>1</v>
      </c>
      <c r="E7688" s="1">
        <f>IF(Tabela1[[#This Row],[promien]]=40000,1,0)</f>
        <v>0</v>
      </c>
      <c r="F7688" s="1">
        <v>3.1540062434963581</v>
      </c>
      <c r="G7688" s="1">
        <v>1.2413589906564937E-2</v>
      </c>
    </row>
    <row r="7689" spans="1:7">
      <c r="A7689">
        <v>274</v>
      </c>
      <c r="B7689">
        <v>120</v>
      </c>
      <c r="C7689" s="1">
        <f>(Tabela1[[#This Row],[x]]-H$3)*(Tabela1[[#This Row],[x]]-H$3) +(Tabela1[[#This Row],[y]]-H$4)*(Tabela1[[#This Row],[y]]-H$4)</f>
        <v>11876</v>
      </c>
      <c r="D7689" s="1">
        <f>IF(Tabela1[[#This Row],[promien]]&lt;40000,1,0)</f>
        <v>1</v>
      </c>
      <c r="E7689" s="1">
        <f>IF(Tabela1[[#This Row],[promien]]=40000,1,0)</f>
        <v>0</v>
      </c>
      <c r="F7689" s="1">
        <v>3.1541162699960985</v>
      </c>
      <c r="G7689" s="1">
        <v>1.2523616406305393E-2</v>
      </c>
    </row>
    <row r="7690" spans="1:7">
      <c r="A7690">
        <v>193</v>
      </c>
      <c r="B7690">
        <v>231</v>
      </c>
      <c r="C7690" s="1">
        <f>(Tabela1[[#This Row],[x]]-H$3)*(Tabela1[[#This Row],[x]]-H$3) +(Tabela1[[#This Row],[y]]-H$4)*(Tabela1[[#This Row],[y]]-H$4)</f>
        <v>1010</v>
      </c>
      <c r="D7690" s="1">
        <f>IF(Tabela1[[#This Row],[promien]]&lt;40000,1,0)</f>
        <v>1</v>
      </c>
      <c r="E7690" s="1">
        <f>IF(Tabela1[[#This Row],[promien]]=40000,1,0)</f>
        <v>0</v>
      </c>
      <c r="F7690" s="1">
        <v>3.1542262678803641</v>
      </c>
      <c r="G7690" s="1">
        <v>1.2633614290570971E-2</v>
      </c>
    </row>
    <row r="7691" spans="1:7">
      <c r="A7691">
        <v>392</v>
      </c>
      <c r="B7691">
        <v>90</v>
      </c>
      <c r="C7691" s="1">
        <f>(Tabela1[[#This Row],[x]]-H$3)*(Tabela1[[#This Row],[x]]-H$3) +(Tabela1[[#This Row],[y]]-H$4)*(Tabela1[[#This Row],[y]]-H$4)</f>
        <v>48964</v>
      </c>
      <c r="D7691" s="1">
        <f>IF(Tabela1[[#This Row],[promien]]&lt;40000,1,0)</f>
        <v>0</v>
      </c>
      <c r="E7691" s="1">
        <f>IF(Tabela1[[#This Row],[promien]]=40000,1,0)</f>
        <v>0</v>
      </c>
      <c r="F7691" s="1">
        <v>3.1538161487452867</v>
      </c>
      <c r="G7691" s="1">
        <v>1.2223495155493591E-2</v>
      </c>
    </row>
    <row r="7692" spans="1:7">
      <c r="A7692">
        <v>103</v>
      </c>
      <c r="B7692">
        <v>251</v>
      </c>
      <c r="C7692" s="1">
        <f>(Tabela1[[#This Row],[x]]-H$3)*(Tabela1[[#This Row],[x]]-H$3) +(Tabela1[[#This Row],[y]]-H$4)*(Tabela1[[#This Row],[y]]-H$4)</f>
        <v>12010</v>
      </c>
      <c r="D7692" s="1">
        <f>IF(Tabela1[[#This Row],[promien]]&lt;40000,1,0)</f>
        <v>1</v>
      </c>
      <c r="E7692" s="1">
        <f>IF(Tabela1[[#This Row],[promien]]=40000,1,0)</f>
        <v>0</v>
      </c>
      <c r="F7692" s="1">
        <v>3.153926157046282</v>
      </c>
      <c r="G7692" s="1">
        <v>1.233350345648887E-2</v>
      </c>
    </row>
    <row r="7693" spans="1:7">
      <c r="A7693">
        <v>376</v>
      </c>
      <c r="B7693">
        <v>163</v>
      </c>
      <c r="C7693" s="1">
        <f>(Tabela1[[#This Row],[x]]-H$3)*(Tabela1[[#This Row],[x]]-H$3) +(Tabela1[[#This Row],[y]]-H$4)*(Tabela1[[#This Row],[y]]-H$4)</f>
        <v>32345</v>
      </c>
      <c r="D7693" s="1">
        <f>IF(Tabela1[[#This Row],[promien]]&lt;40000,1,0)</f>
        <v>1</v>
      </c>
      <c r="E7693" s="1">
        <f>IF(Tabela1[[#This Row],[promien]]=40000,1,0)</f>
        <v>0</v>
      </c>
      <c r="F7693" s="1">
        <v>3.1540361367476928</v>
      </c>
      <c r="G7693" s="1">
        <v>1.2443483157899671E-2</v>
      </c>
    </row>
    <row r="7694" spans="1:7">
      <c r="A7694">
        <v>142</v>
      </c>
      <c r="B7694">
        <v>134</v>
      </c>
      <c r="C7694" s="1">
        <f>(Tabela1[[#This Row],[x]]-H$3)*(Tabela1[[#This Row],[x]]-H$3) +(Tabela1[[#This Row],[y]]-H$4)*(Tabela1[[#This Row],[y]]-H$4)</f>
        <v>7720</v>
      </c>
      <c r="D7694" s="1">
        <f>IF(Tabela1[[#This Row],[promien]]&lt;40000,1,0)</f>
        <v>1</v>
      </c>
      <c r="E7694" s="1">
        <f>IF(Tabela1[[#This Row],[promien]]=40000,1,0)</f>
        <v>0</v>
      </c>
      <c r="F7694" s="1">
        <v>3.1541460878606706</v>
      </c>
      <c r="G7694" s="1">
        <v>1.2553434270877517E-2</v>
      </c>
    </row>
    <row r="7695" spans="1:7">
      <c r="A7695">
        <v>91</v>
      </c>
      <c r="B7695">
        <v>18</v>
      </c>
      <c r="C7695" s="1">
        <f>(Tabela1[[#This Row],[x]]-H$3)*(Tabela1[[#This Row],[x]]-H$3) +(Tabela1[[#This Row],[y]]-H$4)*(Tabela1[[#This Row],[y]]-H$4)</f>
        <v>45005</v>
      </c>
      <c r="D7695" s="1">
        <f>IF(Tabela1[[#This Row],[promien]]&lt;40000,1,0)</f>
        <v>0</v>
      </c>
      <c r="E7695" s="1">
        <f>IF(Tabela1[[#This Row],[promien]]=40000,1,0)</f>
        <v>0</v>
      </c>
      <c r="F7695" s="1">
        <v>3.1537361923326834</v>
      </c>
      <c r="G7695" s="1">
        <v>1.2143538742890314E-2</v>
      </c>
    </row>
    <row r="7696" spans="1:7">
      <c r="A7696">
        <v>202</v>
      </c>
      <c r="B7696">
        <v>349</v>
      </c>
      <c r="C7696" s="1">
        <f>(Tabela1[[#This Row],[x]]-H$3)*(Tabela1[[#This Row],[x]]-H$3) +(Tabela1[[#This Row],[y]]-H$4)*(Tabela1[[#This Row],[y]]-H$4)</f>
        <v>22205</v>
      </c>
      <c r="D7696" s="1">
        <f>IF(Tabela1[[#This Row],[promien]]&lt;40000,1,0)</f>
        <v>1</v>
      </c>
      <c r="E7696" s="1">
        <f>IF(Tabela1[[#This Row],[promien]]=40000,1,0)</f>
        <v>0</v>
      </c>
      <c r="F7696" s="1">
        <v>3.1538461538461537</v>
      </c>
      <c r="G7696" s="1">
        <v>1.2253500256360628E-2</v>
      </c>
    </row>
    <row r="7697" spans="1:7">
      <c r="A7697">
        <v>67</v>
      </c>
      <c r="B7697">
        <v>239</v>
      </c>
      <c r="C7697" s="1">
        <f>(Tabela1[[#This Row],[x]]-H$3)*(Tabela1[[#This Row],[x]]-H$3) +(Tabela1[[#This Row],[y]]-H$4)*(Tabela1[[#This Row],[y]]-H$4)</f>
        <v>19210</v>
      </c>
      <c r="D7697" s="1">
        <f>IF(Tabela1[[#This Row],[promien]]&lt;40000,1,0)</f>
        <v>1</v>
      </c>
      <c r="E7697" s="1">
        <f>IF(Tabela1[[#This Row],[promien]]=40000,1,0)</f>
        <v>0</v>
      </c>
      <c r="F7697" s="1">
        <v>3.1539560867870597</v>
      </c>
      <c r="G7697" s="1">
        <v>1.2363433197266627E-2</v>
      </c>
    </row>
    <row r="7698" spans="1:7">
      <c r="A7698">
        <v>188</v>
      </c>
      <c r="B7698">
        <v>55</v>
      </c>
      <c r="C7698" s="1">
        <f>(Tabela1[[#This Row],[x]]-H$3)*(Tabela1[[#This Row],[x]]-H$3) +(Tabela1[[#This Row],[y]]-H$4)*(Tabela1[[#This Row],[y]]-H$4)</f>
        <v>21169</v>
      </c>
      <c r="D7698" s="1">
        <f>IF(Tabela1[[#This Row],[promien]]&lt;40000,1,0)</f>
        <v>1</v>
      </c>
      <c r="E7698" s="1">
        <f>IF(Tabela1[[#This Row],[promien]]=40000,1,0)</f>
        <v>0</v>
      </c>
      <c r="F7698" s="1">
        <v>3.154065991166537</v>
      </c>
      <c r="G7698" s="1">
        <v>1.2473337576743848E-2</v>
      </c>
    </row>
    <row r="7699" spans="1:7">
      <c r="A7699">
        <v>39</v>
      </c>
      <c r="B7699">
        <v>202</v>
      </c>
      <c r="C7699" s="1">
        <f>(Tabela1[[#This Row],[x]]-H$3)*(Tabela1[[#This Row],[x]]-H$3) +(Tabela1[[#This Row],[y]]-H$4)*(Tabela1[[#This Row],[y]]-H$4)</f>
        <v>25925</v>
      </c>
      <c r="D7699" s="1">
        <f>IF(Tabela1[[#This Row],[promien]]&lt;40000,1,0)</f>
        <v>1</v>
      </c>
      <c r="E7699" s="1">
        <f>IF(Tabela1[[#This Row],[promien]]=40000,1,0)</f>
        <v>0</v>
      </c>
      <c r="F7699" s="1">
        <v>3.1541758669957138</v>
      </c>
      <c r="G7699" s="1">
        <v>1.2583213405920723E-2</v>
      </c>
    </row>
    <row r="7700" spans="1:7">
      <c r="A7700">
        <v>259</v>
      </c>
      <c r="B7700">
        <v>204</v>
      </c>
      <c r="C7700" s="1">
        <f>(Tabela1[[#This Row],[x]]-H$3)*(Tabela1[[#This Row],[x]]-H$3) +(Tabela1[[#This Row],[y]]-H$4)*(Tabela1[[#This Row],[y]]-H$4)</f>
        <v>3497</v>
      </c>
      <c r="D7700" s="1">
        <f>IF(Tabela1[[#This Row],[promien]]&lt;40000,1,0)</f>
        <v>1</v>
      </c>
      <c r="E7700" s="1">
        <f>IF(Tabela1[[#This Row],[promien]]=40000,1,0)</f>
        <v>0</v>
      </c>
      <c r="F7700" s="1">
        <v>3.1542857142857144</v>
      </c>
      <c r="G7700" s="1">
        <v>1.2693060695921243E-2</v>
      </c>
    </row>
    <row r="7701" spans="1:7">
      <c r="A7701">
        <v>262</v>
      </c>
      <c r="B7701">
        <v>239</v>
      </c>
      <c r="C7701" s="1">
        <f>(Tabela1[[#This Row],[x]]-H$3)*(Tabela1[[#This Row],[x]]-H$3) +(Tabela1[[#This Row],[y]]-H$4)*(Tabela1[[#This Row],[y]]-H$4)</f>
        <v>5365</v>
      </c>
      <c r="D7701" s="1">
        <f>IF(Tabela1[[#This Row],[promien]]&lt;40000,1,0)</f>
        <v>1</v>
      </c>
      <c r="E7701" s="1">
        <f>IF(Tabela1[[#This Row],[promien]]=40000,1,0)</f>
        <v>0</v>
      </c>
      <c r="F7701" s="1">
        <v>3.1543955330476563</v>
      </c>
      <c r="G7701" s="1">
        <v>1.2802879457863181E-2</v>
      </c>
    </row>
    <row r="7702" spans="1:7">
      <c r="A7702">
        <v>253</v>
      </c>
      <c r="B7702">
        <v>142</v>
      </c>
      <c r="C7702" s="1">
        <f>(Tabela1[[#This Row],[x]]-H$3)*(Tabela1[[#This Row],[x]]-H$3) +(Tabela1[[#This Row],[y]]-H$4)*(Tabela1[[#This Row],[y]]-H$4)</f>
        <v>6173</v>
      </c>
      <c r="D7702" s="1">
        <f>IF(Tabela1[[#This Row],[promien]]&lt;40000,1,0)</f>
        <v>1</v>
      </c>
      <c r="E7702" s="1">
        <f>IF(Tabela1[[#This Row],[promien]]=40000,1,0)</f>
        <v>0</v>
      </c>
      <c r="F7702" s="1">
        <v>3.1545053232926512</v>
      </c>
      <c r="G7702" s="1">
        <v>1.2912669702858093E-2</v>
      </c>
    </row>
    <row r="7703" spans="1:7">
      <c r="A7703">
        <v>214</v>
      </c>
      <c r="B7703">
        <v>318</v>
      </c>
      <c r="C7703" s="1">
        <f>(Tabela1[[#This Row],[x]]-H$3)*(Tabela1[[#This Row],[x]]-H$3) +(Tabela1[[#This Row],[y]]-H$4)*(Tabela1[[#This Row],[y]]-H$4)</f>
        <v>14120</v>
      </c>
      <c r="D7703" s="1">
        <f>IF(Tabela1[[#This Row],[promien]]&lt;40000,1,0)</f>
        <v>1</v>
      </c>
      <c r="E7703" s="1">
        <f>IF(Tabela1[[#This Row],[promien]]=40000,1,0)</f>
        <v>0</v>
      </c>
      <c r="F7703" s="1">
        <v>3.1546150850318058</v>
      </c>
      <c r="G7703" s="1">
        <v>1.302243144201265E-2</v>
      </c>
    </row>
    <row r="7704" spans="1:7">
      <c r="A7704">
        <v>298</v>
      </c>
      <c r="B7704">
        <v>244</v>
      </c>
      <c r="C7704" s="1">
        <f>(Tabela1[[#This Row],[x]]-H$3)*(Tabela1[[#This Row],[x]]-H$3) +(Tabela1[[#This Row],[y]]-H$4)*(Tabela1[[#This Row],[y]]-H$4)</f>
        <v>11540</v>
      </c>
      <c r="D7704" s="1">
        <f>IF(Tabela1[[#This Row],[promien]]&lt;40000,1,0)</f>
        <v>1</v>
      </c>
      <c r="E7704" s="1">
        <f>IF(Tabela1[[#This Row],[promien]]=40000,1,0)</f>
        <v>0</v>
      </c>
      <c r="F7704" s="1">
        <v>3.15472481827622</v>
      </c>
      <c r="G7704" s="1">
        <v>1.3132164686426862E-2</v>
      </c>
    </row>
    <row r="7705" spans="1:7">
      <c r="A7705">
        <v>212</v>
      </c>
      <c r="B7705">
        <v>106</v>
      </c>
      <c r="C7705" s="1">
        <f>(Tabela1[[#This Row],[x]]-H$3)*(Tabela1[[#This Row],[x]]-H$3) +(Tabela1[[#This Row],[y]]-H$4)*(Tabela1[[#This Row],[y]]-H$4)</f>
        <v>8980</v>
      </c>
      <c r="D7705" s="1">
        <f>IF(Tabela1[[#This Row],[promien]]&lt;40000,1,0)</f>
        <v>1</v>
      </c>
      <c r="E7705" s="1">
        <f>IF(Tabela1[[#This Row],[promien]]=40000,1,0)</f>
        <v>0</v>
      </c>
      <c r="F7705" s="1">
        <v>3.154834523036989</v>
      </c>
      <c r="G7705" s="1">
        <v>1.3241869447195853E-2</v>
      </c>
    </row>
    <row r="7706" spans="1:7">
      <c r="A7706">
        <v>226</v>
      </c>
      <c r="B7706">
        <v>399</v>
      </c>
      <c r="C7706" s="1">
        <f>(Tabela1[[#This Row],[x]]-H$3)*(Tabela1[[#This Row],[x]]-H$3) +(Tabela1[[#This Row],[y]]-H$4)*(Tabela1[[#This Row],[y]]-H$4)</f>
        <v>40277</v>
      </c>
      <c r="D7706" s="1">
        <f>IF(Tabela1[[#This Row],[promien]]&lt;40000,1,0)</f>
        <v>0</v>
      </c>
      <c r="E7706" s="1">
        <f>IF(Tabela1[[#This Row],[promien]]=40000,1,0)</f>
        <v>0</v>
      </c>
      <c r="F7706" s="1">
        <v>3.1544251232805607</v>
      </c>
      <c r="G7706" s="1">
        <v>1.2832469690767567E-2</v>
      </c>
    </row>
    <row r="7707" spans="1:7">
      <c r="A7707">
        <v>303</v>
      </c>
      <c r="B7707">
        <v>180</v>
      </c>
      <c r="C7707" s="1">
        <f>(Tabela1[[#This Row],[x]]-H$3)*(Tabela1[[#This Row],[x]]-H$3) +(Tabela1[[#This Row],[y]]-H$4)*(Tabela1[[#This Row],[y]]-H$4)</f>
        <v>11009</v>
      </c>
      <c r="D7707" s="1">
        <f>IF(Tabela1[[#This Row],[promien]]&lt;40000,1,0)</f>
        <v>1</v>
      </c>
      <c r="E7707" s="1">
        <f>IF(Tabela1[[#This Row],[promien]]=40000,1,0)</f>
        <v>0</v>
      </c>
      <c r="F7707" s="1">
        <v>3.1545348384585443</v>
      </c>
      <c r="G7707" s="1">
        <v>1.2942184868751205E-2</v>
      </c>
    </row>
    <row r="7708" spans="1:7">
      <c r="A7708">
        <v>152</v>
      </c>
      <c r="B7708">
        <v>142</v>
      </c>
      <c r="C7708" s="1">
        <f>(Tabela1[[#This Row],[x]]-H$3)*(Tabela1[[#This Row],[x]]-H$3) +(Tabela1[[#This Row],[y]]-H$4)*(Tabela1[[#This Row],[y]]-H$4)</f>
        <v>5668</v>
      </c>
      <c r="D7708" s="1">
        <f>IF(Tabela1[[#This Row],[promien]]&lt;40000,1,0)</f>
        <v>1</v>
      </c>
      <c r="E7708" s="1">
        <f>IF(Tabela1[[#This Row],[promien]]=40000,1,0)</f>
        <v>0</v>
      </c>
      <c r="F7708" s="1">
        <v>3.1546445251686559</v>
      </c>
      <c r="G7708" s="1">
        <v>1.3051871578862784E-2</v>
      </c>
    </row>
    <row r="7709" spans="1:7">
      <c r="A7709">
        <v>309</v>
      </c>
      <c r="B7709">
        <v>382</v>
      </c>
      <c r="C7709" s="1">
        <f>(Tabela1[[#This Row],[x]]-H$3)*(Tabela1[[#This Row],[x]]-H$3) +(Tabela1[[#This Row],[y]]-H$4)*(Tabela1[[#This Row],[y]]-H$4)</f>
        <v>45005</v>
      </c>
      <c r="D7709" s="1">
        <f>IF(Tabela1[[#This Row],[promien]]&lt;40000,1,0)</f>
        <v>0</v>
      </c>
      <c r="E7709" s="1">
        <f>IF(Tabela1[[#This Row],[promien]]=40000,1,0)</f>
        <v>0</v>
      </c>
      <c r="F7709" s="1">
        <v>3.1542353093786484</v>
      </c>
      <c r="G7709" s="1">
        <v>1.2642655788855262E-2</v>
      </c>
    </row>
    <row r="7710" spans="1:7">
      <c r="A7710">
        <v>397</v>
      </c>
      <c r="B7710">
        <v>314</v>
      </c>
      <c r="C7710" s="1">
        <f>(Tabela1[[#This Row],[x]]-H$3)*(Tabela1[[#This Row],[x]]-H$3) +(Tabela1[[#This Row],[y]]-H$4)*(Tabela1[[#This Row],[y]]-H$4)</f>
        <v>51805</v>
      </c>
      <c r="D7710" s="1">
        <f>IF(Tabela1[[#This Row],[promien]]&lt;40000,1,0)</f>
        <v>0</v>
      </c>
      <c r="E7710" s="1">
        <f>IF(Tabela1[[#This Row],[promien]]=40000,1,0)</f>
        <v>0</v>
      </c>
      <c r="F7710" s="1">
        <v>3.1538261997405965</v>
      </c>
      <c r="G7710" s="1">
        <v>1.2233546150803409E-2</v>
      </c>
    </row>
    <row r="7711" spans="1:7">
      <c r="A7711">
        <v>265</v>
      </c>
      <c r="B7711">
        <v>195</v>
      </c>
      <c r="C7711" s="1">
        <f>(Tabela1[[#This Row],[x]]-H$3)*(Tabela1[[#This Row],[x]]-H$3) +(Tabela1[[#This Row],[y]]-H$4)*(Tabela1[[#This Row],[y]]-H$4)</f>
        <v>4250</v>
      </c>
      <c r="D7711" s="1">
        <f>IF(Tabela1[[#This Row],[promien]]&lt;40000,1,0)</f>
        <v>1</v>
      </c>
      <c r="E7711" s="1">
        <f>IF(Tabela1[[#This Row],[promien]]=40000,1,0)</f>
        <v>0</v>
      </c>
      <c r="F7711" s="1">
        <v>3.1539359356763064</v>
      </c>
      <c r="G7711" s="1">
        <v>1.2343282086513252E-2</v>
      </c>
    </row>
    <row r="7712" spans="1:7">
      <c r="A7712">
        <v>30</v>
      </c>
      <c r="B7712">
        <v>261</v>
      </c>
      <c r="C7712" s="1">
        <f>(Tabela1[[#This Row],[x]]-H$3)*(Tabela1[[#This Row],[x]]-H$3) +(Tabela1[[#This Row],[y]]-H$4)*(Tabela1[[#This Row],[y]]-H$4)</f>
        <v>32621</v>
      </c>
      <c r="D7712" s="1">
        <f>IF(Tabela1[[#This Row],[promien]]&lt;40000,1,0)</f>
        <v>1</v>
      </c>
      <c r="E7712" s="1">
        <f>IF(Tabela1[[#This Row],[promien]]=40000,1,0)</f>
        <v>0</v>
      </c>
      <c r="F7712" s="1">
        <v>3.1540456431535269</v>
      </c>
      <c r="G7712" s="1">
        <v>1.2452989563733752E-2</v>
      </c>
    </row>
    <row r="7713" spans="1:7">
      <c r="A7713">
        <v>32</v>
      </c>
      <c r="B7713">
        <v>168</v>
      </c>
      <c r="C7713" s="1">
        <f>(Tabela1[[#This Row],[x]]-H$3)*(Tabela1[[#This Row],[x]]-H$3) +(Tabela1[[#This Row],[y]]-H$4)*(Tabela1[[#This Row],[y]]-H$4)</f>
        <v>29248</v>
      </c>
      <c r="D7713" s="1">
        <f>IF(Tabela1[[#This Row],[promien]]&lt;40000,1,0)</f>
        <v>1</v>
      </c>
      <c r="E7713" s="1">
        <f>IF(Tabela1[[#This Row],[promien]]=40000,1,0)</f>
        <v>0</v>
      </c>
      <c r="F7713" s="1">
        <v>3.1541553221833269</v>
      </c>
      <c r="G7713" s="1">
        <v>1.2562668593533832E-2</v>
      </c>
    </row>
    <row r="7714" spans="1:7">
      <c r="A7714">
        <v>307</v>
      </c>
      <c r="B7714">
        <v>145</v>
      </c>
      <c r="C7714" s="1">
        <f>(Tabela1[[#This Row],[x]]-H$3)*(Tabela1[[#This Row],[x]]-H$3) +(Tabela1[[#This Row],[y]]-H$4)*(Tabela1[[#This Row],[y]]-H$4)</f>
        <v>14474</v>
      </c>
      <c r="D7714" s="1">
        <f>IF(Tabela1[[#This Row],[promien]]&lt;40000,1,0)</f>
        <v>1</v>
      </c>
      <c r="E7714" s="1">
        <f>IF(Tabela1[[#This Row],[promien]]=40000,1,0)</f>
        <v>0</v>
      </c>
      <c r="F7714" s="1">
        <v>3.1542649727767693</v>
      </c>
      <c r="G7714" s="1">
        <v>1.26723191869762E-2</v>
      </c>
    </row>
    <row r="7715" spans="1:7">
      <c r="A7715">
        <v>146</v>
      </c>
      <c r="B7715">
        <v>356</v>
      </c>
      <c r="C7715" s="1">
        <f>(Tabela1[[#This Row],[x]]-H$3)*(Tabela1[[#This Row],[x]]-H$3) +(Tabela1[[#This Row],[y]]-H$4)*(Tabela1[[#This Row],[y]]-H$4)</f>
        <v>27252</v>
      </c>
      <c r="D7715" s="1">
        <f>IF(Tabela1[[#This Row],[promien]]&lt;40000,1,0)</f>
        <v>1</v>
      </c>
      <c r="E7715" s="1">
        <f>IF(Tabela1[[#This Row],[promien]]=40000,1,0)</f>
        <v>0</v>
      </c>
      <c r="F7715" s="1">
        <v>3.1543745949449127</v>
      </c>
      <c r="G7715" s="1">
        <v>1.2781941355119564E-2</v>
      </c>
    </row>
    <row r="7716" spans="1:7">
      <c r="A7716">
        <v>96</v>
      </c>
      <c r="B7716">
        <v>212</v>
      </c>
      <c r="C7716" s="1">
        <f>(Tabela1[[#This Row],[x]]-H$3)*(Tabela1[[#This Row],[x]]-H$3) +(Tabela1[[#This Row],[y]]-H$4)*(Tabela1[[#This Row],[y]]-H$4)</f>
        <v>10960</v>
      </c>
      <c r="D7716" s="1">
        <f>IF(Tabela1[[#This Row],[promien]]&lt;40000,1,0)</f>
        <v>1</v>
      </c>
      <c r="E7716" s="1">
        <f>IF(Tabela1[[#This Row],[promien]]=40000,1,0)</f>
        <v>0</v>
      </c>
      <c r="F7716" s="1">
        <v>3.1544841886988078</v>
      </c>
      <c r="G7716" s="1">
        <v>1.289153510901464E-2</v>
      </c>
    </row>
    <row r="7717" spans="1:7">
      <c r="A7717">
        <v>29</v>
      </c>
      <c r="B7717">
        <v>111</v>
      </c>
      <c r="C7717" s="1">
        <f>(Tabela1[[#This Row],[x]]-H$3)*(Tabela1[[#This Row],[x]]-H$3) +(Tabela1[[#This Row],[y]]-H$4)*(Tabela1[[#This Row],[y]]-H$4)</f>
        <v>37162</v>
      </c>
      <c r="D7717" s="1">
        <f>IF(Tabela1[[#This Row],[promien]]&lt;40000,1,0)</f>
        <v>1</v>
      </c>
      <c r="E7717" s="1">
        <f>IF(Tabela1[[#This Row],[promien]]=40000,1,0)</f>
        <v>0</v>
      </c>
      <c r="F7717" s="1">
        <v>3.1545937540495013</v>
      </c>
      <c r="G7717" s="1">
        <v>1.3001100459708148E-2</v>
      </c>
    </row>
    <row r="7718" spans="1:7">
      <c r="A7718">
        <v>144</v>
      </c>
      <c r="B7718">
        <v>124</v>
      </c>
      <c r="C7718" s="1">
        <f>(Tabela1[[#This Row],[x]]-H$3)*(Tabela1[[#This Row],[x]]-H$3) +(Tabela1[[#This Row],[y]]-H$4)*(Tabela1[[#This Row],[y]]-H$4)</f>
        <v>8912</v>
      </c>
      <c r="D7718" s="1">
        <f>IF(Tabela1[[#This Row],[promien]]&lt;40000,1,0)</f>
        <v>1</v>
      </c>
      <c r="E7718" s="1">
        <f>IF(Tabela1[[#This Row],[promien]]=40000,1,0)</f>
        <v>0</v>
      </c>
      <c r="F7718" s="1">
        <v>3.1547032910080333</v>
      </c>
      <c r="G7718" s="1">
        <v>1.3110637418240145E-2</v>
      </c>
    </row>
    <row r="7719" spans="1:7">
      <c r="A7719">
        <v>292</v>
      </c>
      <c r="B7719">
        <v>84</v>
      </c>
      <c r="C7719" s="1">
        <f>(Tabela1[[#This Row],[x]]-H$3)*(Tabela1[[#This Row],[x]]-H$3) +(Tabela1[[#This Row],[y]]-H$4)*(Tabela1[[#This Row],[y]]-H$4)</f>
        <v>21920</v>
      </c>
      <c r="D7719" s="1">
        <f>IF(Tabela1[[#This Row],[promien]]&lt;40000,1,0)</f>
        <v>1</v>
      </c>
      <c r="E7719" s="1">
        <f>IF(Tabela1[[#This Row],[promien]]=40000,1,0)</f>
        <v>0</v>
      </c>
      <c r="F7719" s="1">
        <v>3.1548127995854385</v>
      </c>
      <c r="G7719" s="1">
        <v>1.322014599564536E-2</v>
      </c>
    </row>
    <row r="7720" spans="1:7">
      <c r="A7720">
        <v>142</v>
      </c>
      <c r="B7720">
        <v>388</v>
      </c>
      <c r="C7720" s="1">
        <f>(Tabela1[[#This Row],[x]]-H$3)*(Tabela1[[#This Row],[x]]-H$3) +(Tabela1[[#This Row],[y]]-H$4)*(Tabela1[[#This Row],[y]]-H$4)</f>
        <v>38708</v>
      </c>
      <c r="D7720" s="1">
        <f>IF(Tabela1[[#This Row],[promien]]&lt;40000,1,0)</f>
        <v>1</v>
      </c>
      <c r="E7720" s="1">
        <f>IF(Tabela1[[#This Row],[promien]]=40000,1,0)</f>
        <v>0</v>
      </c>
      <c r="F7720" s="1">
        <v>3.1549222797927463</v>
      </c>
      <c r="G7720" s="1">
        <v>1.3329626202953193E-2</v>
      </c>
    </row>
    <row r="7721" spans="1:7">
      <c r="A7721">
        <v>364</v>
      </c>
      <c r="B7721">
        <v>190</v>
      </c>
      <c r="C7721" s="1">
        <f>(Tabela1[[#This Row],[x]]-H$3)*(Tabela1[[#This Row],[x]]-H$3) +(Tabela1[[#This Row],[y]]-H$4)*(Tabela1[[#This Row],[y]]-H$4)</f>
        <v>26996</v>
      </c>
      <c r="D7721" s="1">
        <f>IF(Tabela1[[#This Row],[promien]]&lt;40000,1,0)</f>
        <v>1</v>
      </c>
      <c r="E7721" s="1">
        <f>IF(Tabela1[[#This Row],[promien]]=40000,1,0)</f>
        <v>0</v>
      </c>
      <c r="F7721" s="1">
        <v>3.1550317316409791</v>
      </c>
      <c r="G7721" s="1">
        <v>1.3439078051185938E-2</v>
      </c>
    </row>
    <row r="7722" spans="1:7">
      <c r="A7722">
        <v>350</v>
      </c>
      <c r="B7722">
        <v>177</v>
      </c>
      <c r="C7722" s="1">
        <f>(Tabela1[[#This Row],[x]]-H$3)*(Tabela1[[#This Row],[x]]-H$3) +(Tabela1[[#This Row],[y]]-H$4)*(Tabela1[[#This Row],[y]]-H$4)</f>
        <v>23029</v>
      </c>
      <c r="D7722" s="1">
        <f>IF(Tabela1[[#This Row],[promien]]&lt;40000,1,0)</f>
        <v>1</v>
      </c>
      <c r="E7722" s="1">
        <f>IF(Tabela1[[#This Row],[promien]]=40000,1,0)</f>
        <v>0</v>
      </c>
      <c r="F7722" s="1">
        <v>3.155141155141155</v>
      </c>
      <c r="G7722" s="1">
        <v>1.3548501551361891E-2</v>
      </c>
    </row>
    <row r="7723" spans="1:7">
      <c r="A7723">
        <v>38</v>
      </c>
      <c r="B7723">
        <v>28</v>
      </c>
      <c r="C7723" s="1">
        <f>(Tabela1[[#This Row],[x]]-H$3)*(Tabela1[[#This Row],[x]]-H$3) +(Tabela1[[#This Row],[y]]-H$4)*(Tabela1[[#This Row],[y]]-H$4)</f>
        <v>55828</v>
      </c>
      <c r="D7723" s="1">
        <f>IF(Tabela1[[#This Row],[promien]]&lt;40000,1,0)</f>
        <v>0</v>
      </c>
      <c r="E7723" s="1">
        <f>IF(Tabela1[[#This Row],[promien]]=40000,1,0)</f>
        <v>0</v>
      </c>
      <c r="F7723" s="1">
        <v>3.1547326168587335</v>
      </c>
      <c r="G7723" s="1">
        <v>1.3139963268940402E-2</v>
      </c>
    </row>
    <row r="7724" spans="1:7">
      <c r="A7724">
        <v>83</v>
      </c>
      <c r="B7724">
        <v>23</v>
      </c>
      <c r="C7724" s="1">
        <f>(Tabela1[[#This Row],[x]]-H$3)*(Tabela1[[#This Row],[x]]-H$3) +(Tabela1[[#This Row],[y]]-H$4)*(Tabela1[[#This Row],[y]]-H$4)</f>
        <v>45018</v>
      </c>
      <c r="D7724" s="1">
        <f>IF(Tabela1[[#This Row],[promien]]&lt;40000,1,0)</f>
        <v>0</v>
      </c>
      <c r="E7724" s="1">
        <f>IF(Tabela1[[#This Row],[promien]]=40000,1,0)</f>
        <v>0</v>
      </c>
      <c r="F7724" s="1">
        <v>3.1543241843604348</v>
      </c>
      <c r="G7724" s="1">
        <v>1.2731530770641708E-2</v>
      </c>
    </row>
    <row r="7725" spans="1:7">
      <c r="A7725">
        <v>68</v>
      </c>
      <c r="B7725">
        <v>341</v>
      </c>
      <c r="C7725" s="1">
        <f>(Tabela1[[#This Row],[x]]-H$3)*(Tabela1[[#This Row],[x]]-H$3) +(Tabela1[[#This Row],[y]]-H$4)*(Tabela1[[#This Row],[y]]-H$4)</f>
        <v>37305</v>
      </c>
      <c r="D7725" s="1">
        <f>IF(Tabela1[[#This Row],[promien]]&lt;40000,1,0)</f>
        <v>1</v>
      </c>
      <c r="E7725" s="1">
        <f>IF(Tabela1[[#This Row],[promien]]=40000,1,0)</f>
        <v>0</v>
      </c>
      <c r="F7725" s="1">
        <v>3.154433656957929</v>
      </c>
      <c r="G7725" s="1">
        <v>1.2841003368135873E-2</v>
      </c>
    </row>
    <row r="7726" spans="1:7">
      <c r="A7726">
        <v>276</v>
      </c>
      <c r="B7726">
        <v>142</v>
      </c>
      <c r="C7726" s="1">
        <f>(Tabela1[[#This Row],[x]]-H$3)*(Tabela1[[#This Row],[x]]-H$3) +(Tabela1[[#This Row],[y]]-H$4)*(Tabela1[[#This Row],[y]]-H$4)</f>
        <v>9140</v>
      </c>
      <c r="D7726" s="1">
        <f>IF(Tabela1[[#This Row],[promien]]&lt;40000,1,0)</f>
        <v>1</v>
      </c>
      <c r="E7726" s="1">
        <f>IF(Tabela1[[#This Row],[promien]]=40000,1,0)</f>
        <v>0</v>
      </c>
      <c r="F7726" s="1">
        <v>3.1545431012166709</v>
      </c>
      <c r="G7726" s="1">
        <v>1.2950447626877803E-2</v>
      </c>
    </row>
    <row r="7727" spans="1:7">
      <c r="A7727">
        <v>112</v>
      </c>
      <c r="B7727">
        <v>85</v>
      </c>
      <c r="C7727" s="1">
        <f>(Tabela1[[#This Row],[x]]-H$3)*(Tabela1[[#This Row],[x]]-H$3) +(Tabela1[[#This Row],[y]]-H$4)*(Tabela1[[#This Row],[y]]-H$4)</f>
        <v>20969</v>
      </c>
      <c r="D7727" s="1">
        <f>IF(Tabela1[[#This Row],[promien]]&lt;40000,1,0)</f>
        <v>1</v>
      </c>
      <c r="E7727" s="1">
        <f>IF(Tabela1[[#This Row],[promien]]=40000,1,0)</f>
        <v>0</v>
      </c>
      <c r="F7727" s="1">
        <v>3.1546525171476638</v>
      </c>
      <c r="G7727" s="1">
        <v>1.3059863557870699E-2</v>
      </c>
    </row>
    <row r="7728" spans="1:7">
      <c r="A7728">
        <v>277</v>
      </c>
      <c r="B7728">
        <v>349</v>
      </c>
      <c r="C7728" s="1">
        <f>(Tabela1[[#This Row],[x]]-H$3)*(Tabela1[[#This Row],[x]]-H$3) +(Tabela1[[#This Row],[y]]-H$4)*(Tabela1[[#This Row],[y]]-H$4)</f>
        <v>28130</v>
      </c>
      <c r="D7728" s="1">
        <f>IF(Tabela1[[#This Row],[promien]]&lt;40000,1,0)</f>
        <v>1</v>
      </c>
      <c r="E7728" s="1">
        <f>IF(Tabela1[[#This Row],[promien]]=40000,1,0)</f>
        <v>0</v>
      </c>
      <c r="F7728" s="1">
        <v>3.1547619047619047</v>
      </c>
      <c r="G7728" s="1">
        <v>1.316925117211154E-2</v>
      </c>
    </row>
    <row r="7729" spans="1:7">
      <c r="A7729">
        <v>244</v>
      </c>
      <c r="B7729">
        <v>220</v>
      </c>
      <c r="C7729" s="1">
        <f>(Tabela1[[#This Row],[x]]-H$3)*(Tabela1[[#This Row],[x]]-H$3) +(Tabela1[[#This Row],[y]]-H$4)*(Tabela1[[#This Row],[y]]-H$4)</f>
        <v>2336</v>
      </c>
      <c r="D7729" s="1">
        <f>IF(Tabela1[[#This Row],[promien]]&lt;40000,1,0)</f>
        <v>1</v>
      </c>
      <c r="E7729" s="1">
        <f>IF(Tabela1[[#This Row],[promien]]=40000,1,0)</f>
        <v>0</v>
      </c>
      <c r="F7729" s="1">
        <v>3.1548712640703842</v>
      </c>
      <c r="G7729" s="1">
        <v>1.3278610480591091E-2</v>
      </c>
    </row>
    <row r="7730" spans="1:7">
      <c r="A7730">
        <v>13</v>
      </c>
      <c r="B7730">
        <v>143</v>
      </c>
      <c r="C7730" s="1">
        <f>(Tabela1[[#This Row],[x]]-H$3)*(Tabela1[[#This Row],[x]]-H$3) +(Tabela1[[#This Row],[y]]-H$4)*(Tabela1[[#This Row],[y]]-H$4)</f>
        <v>38218</v>
      </c>
      <c r="D7730" s="1">
        <f>IF(Tabela1[[#This Row],[promien]]&lt;40000,1,0)</f>
        <v>1</v>
      </c>
      <c r="E7730" s="1">
        <f>IF(Tabela1[[#This Row],[promien]]=40000,1,0)</f>
        <v>0</v>
      </c>
      <c r="F7730" s="1">
        <v>3.1549805950840879</v>
      </c>
      <c r="G7730" s="1">
        <v>1.3387941494294786E-2</v>
      </c>
    </row>
    <row r="7731" spans="1:7">
      <c r="A7731">
        <v>268</v>
      </c>
      <c r="B7731">
        <v>101</v>
      </c>
      <c r="C7731" s="1">
        <f>(Tabela1[[#This Row],[x]]-H$3)*(Tabela1[[#This Row],[x]]-H$3) +(Tabela1[[#This Row],[y]]-H$4)*(Tabela1[[#This Row],[y]]-H$4)</f>
        <v>14425</v>
      </c>
      <c r="D7731" s="1">
        <f>IF(Tabela1[[#This Row],[promien]]&lt;40000,1,0)</f>
        <v>1</v>
      </c>
      <c r="E7731" s="1">
        <f>IF(Tabela1[[#This Row],[promien]]=40000,1,0)</f>
        <v>0</v>
      </c>
      <c r="F7731" s="1">
        <v>3.1550898978139954</v>
      </c>
      <c r="G7731" s="1">
        <v>1.3497244224202287E-2</v>
      </c>
    </row>
    <row r="7732" spans="1:7">
      <c r="A7732">
        <v>85</v>
      </c>
      <c r="B7732">
        <v>260</v>
      </c>
      <c r="C7732" s="1">
        <f>(Tabela1[[#This Row],[x]]-H$3)*(Tabela1[[#This Row],[x]]-H$3) +(Tabela1[[#This Row],[y]]-H$4)*(Tabela1[[#This Row],[y]]-H$4)</f>
        <v>16825</v>
      </c>
      <c r="D7732" s="1">
        <f>IF(Tabela1[[#This Row],[promien]]&lt;40000,1,0)</f>
        <v>1</v>
      </c>
      <c r="E7732" s="1">
        <f>IF(Tabela1[[#This Row],[promien]]=40000,1,0)</f>
        <v>0</v>
      </c>
      <c r="F7732" s="1">
        <v>3.155199172271081</v>
      </c>
      <c r="G7732" s="1">
        <v>1.3606518681287927E-2</v>
      </c>
    </row>
    <row r="7733" spans="1:7">
      <c r="A7733">
        <v>66</v>
      </c>
      <c r="B7733">
        <v>97</v>
      </c>
      <c r="C7733" s="1">
        <f>(Tabela1[[#This Row],[x]]-H$3)*(Tabela1[[#This Row],[x]]-H$3) +(Tabela1[[#This Row],[y]]-H$4)*(Tabela1[[#This Row],[y]]-H$4)</f>
        <v>28565</v>
      </c>
      <c r="D7733" s="1">
        <f>IF(Tabela1[[#This Row],[promien]]&lt;40000,1,0)</f>
        <v>1</v>
      </c>
      <c r="E7733" s="1">
        <f>IF(Tabela1[[#This Row],[promien]]=40000,1,0)</f>
        <v>0</v>
      </c>
      <c r="F7733" s="1">
        <v>3.1553084184663134</v>
      </c>
      <c r="G7733" s="1">
        <v>1.3715764876520264E-2</v>
      </c>
    </row>
    <row r="7734" spans="1:7">
      <c r="A7734">
        <v>304</v>
      </c>
      <c r="B7734">
        <v>41</v>
      </c>
      <c r="C7734" s="1">
        <f>(Tabela1[[#This Row],[x]]-H$3)*(Tabela1[[#This Row],[x]]-H$3) +(Tabela1[[#This Row],[y]]-H$4)*(Tabela1[[#This Row],[y]]-H$4)</f>
        <v>36097</v>
      </c>
      <c r="D7734" s="1">
        <f>IF(Tabela1[[#This Row],[promien]]&lt;40000,1,0)</f>
        <v>1</v>
      </c>
      <c r="E7734" s="1">
        <f>IF(Tabela1[[#This Row],[promien]]=40000,1,0)</f>
        <v>0</v>
      </c>
      <c r="F7734" s="1">
        <v>3.1554176364106543</v>
      </c>
      <c r="G7734" s="1">
        <v>1.3824982820861198E-2</v>
      </c>
    </row>
    <row r="7735" spans="1:7">
      <c r="A7735">
        <v>66</v>
      </c>
      <c r="B7735">
        <v>390</v>
      </c>
      <c r="C7735" s="1">
        <f>(Tabela1[[#This Row],[x]]-H$3)*(Tabela1[[#This Row],[x]]-H$3) +(Tabela1[[#This Row],[y]]-H$4)*(Tabela1[[#This Row],[y]]-H$4)</f>
        <v>54056</v>
      </c>
      <c r="D7735" s="1">
        <f>IF(Tabela1[[#This Row],[promien]]&lt;40000,1,0)</f>
        <v>0</v>
      </c>
      <c r="E7735" s="1">
        <f>IF(Tabela1[[#This Row],[promien]]=40000,1,0)</f>
        <v>0</v>
      </c>
      <c r="F7735" s="1">
        <v>3.1550096961861667</v>
      </c>
      <c r="G7735" s="1">
        <v>1.3417042596373552E-2</v>
      </c>
    </row>
    <row r="7736" spans="1:7">
      <c r="A7736">
        <v>256</v>
      </c>
      <c r="B7736">
        <v>263</v>
      </c>
      <c r="C7736" s="1">
        <f>(Tabela1[[#This Row],[x]]-H$3)*(Tabela1[[#This Row],[x]]-H$3) +(Tabela1[[#This Row],[y]]-H$4)*(Tabela1[[#This Row],[y]]-H$4)</f>
        <v>7105</v>
      </c>
      <c r="D7736" s="1">
        <f>IF(Tabela1[[#This Row],[promien]]&lt;40000,1,0)</f>
        <v>1</v>
      </c>
      <c r="E7736" s="1">
        <f>IF(Tabela1[[#This Row],[promien]]=40000,1,0)</f>
        <v>0</v>
      </c>
      <c r="F7736" s="1">
        <v>3.1551189245087903</v>
      </c>
      <c r="G7736" s="1">
        <v>1.3526270918997163E-2</v>
      </c>
    </row>
    <row r="7737" spans="1:7">
      <c r="A7737">
        <v>304</v>
      </c>
      <c r="B7737">
        <v>233</v>
      </c>
      <c r="C7737" s="1">
        <f>(Tabela1[[#This Row],[x]]-H$3)*(Tabela1[[#This Row],[x]]-H$3) +(Tabela1[[#This Row],[y]]-H$4)*(Tabela1[[#This Row],[y]]-H$4)</f>
        <v>11905</v>
      </c>
      <c r="D7737" s="1">
        <f>IF(Tabela1[[#This Row],[promien]]&lt;40000,1,0)</f>
        <v>1</v>
      </c>
      <c r="E7737" s="1">
        <f>IF(Tabela1[[#This Row],[promien]]=40000,1,0)</f>
        <v>0</v>
      </c>
      <c r="F7737" s="1">
        <v>3.1552281245960967</v>
      </c>
      <c r="G7737" s="1">
        <v>1.3635471006303579E-2</v>
      </c>
    </row>
    <row r="7738" spans="1:7">
      <c r="A7738">
        <v>77</v>
      </c>
      <c r="B7738">
        <v>293</v>
      </c>
      <c r="C7738" s="1">
        <f>(Tabela1[[#This Row],[x]]-H$3)*(Tabela1[[#This Row],[x]]-H$3) +(Tabela1[[#This Row],[y]]-H$4)*(Tabela1[[#This Row],[y]]-H$4)</f>
        <v>23778</v>
      </c>
      <c r="D7738" s="1">
        <f>IF(Tabela1[[#This Row],[promien]]&lt;40000,1,0)</f>
        <v>1</v>
      </c>
      <c r="E7738" s="1">
        <f>IF(Tabela1[[#This Row],[promien]]=40000,1,0)</f>
        <v>0</v>
      </c>
      <c r="F7738" s="1">
        <v>3.1553372964590332</v>
      </c>
      <c r="G7738" s="1">
        <v>1.3744642869240042E-2</v>
      </c>
    </row>
    <row r="7739" spans="1:7">
      <c r="A7739">
        <v>2</v>
      </c>
      <c r="B7739">
        <v>24</v>
      </c>
      <c r="C7739" s="1">
        <f>(Tabela1[[#This Row],[x]]-H$3)*(Tabela1[[#This Row],[x]]-H$3) +(Tabela1[[#This Row],[y]]-H$4)*(Tabela1[[#This Row],[y]]-H$4)</f>
        <v>70180</v>
      </c>
      <c r="D7739" s="1">
        <f>IF(Tabela1[[#This Row],[promien]]&lt;40000,1,0)</f>
        <v>0</v>
      </c>
      <c r="E7739" s="1">
        <f>IF(Tabela1[[#This Row],[promien]]=40000,1,0)</f>
        <v>0</v>
      </c>
      <c r="F7739" s="1">
        <v>3.1549295774647885</v>
      </c>
      <c r="G7739" s="1">
        <v>1.333692387499541E-2</v>
      </c>
    </row>
    <row r="7740" spans="1:7">
      <c r="A7740">
        <v>120</v>
      </c>
      <c r="B7740">
        <v>324</v>
      </c>
      <c r="C7740" s="1">
        <f>(Tabela1[[#This Row],[x]]-H$3)*(Tabela1[[#This Row],[x]]-H$3) +(Tabela1[[#This Row],[y]]-H$4)*(Tabela1[[#This Row],[y]]-H$4)</f>
        <v>21776</v>
      </c>
      <c r="D7740" s="1">
        <f>IF(Tabela1[[#This Row],[promien]]&lt;40000,1,0)</f>
        <v>1</v>
      </c>
      <c r="E7740" s="1">
        <f>IF(Tabela1[[#This Row],[promien]]=40000,1,0)</f>
        <v>0</v>
      </c>
      <c r="F7740" s="1">
        <v>3.1550387596899223</v>
      </c>
      <c r="G7740" s="1">
        <v>1.3446106100129196E-2</v>
      </c>
    </row>
    <row r="7741" spans="1:7">
      <c r="A7741">
        <v>238</v>
      </c>
      <c r="B7741">
        <v>14</v>
      </c>
      <c r="C7741" s="1">
        <f>(Tabela1[[#This Row],[x]]-H$3)*(Tabela1[[#This Row],[x]]-H$3) +(Tabela1[[#This Row],[y]]-H$4)*(Tabela1[[#This Row],[y]]-H$4)</f>
        <v>36040</v>
      </c>
      <c r="D7741" s="1">
        <f>IF(Tabela1[[#This Row],[promien]]&lt;40000,1,0)</f>
        <v>1</v>
      </c>
      <c r="E7741" s="1">
        <f>IF(Tabela1[[#This Row],[promien]]=40000,1,0)</f>
        <v>0</v>
      </c>
      <c r="F7741" s="1">
        <v>3.1551479137062395</v>
      </c>
      <c r="G7741" s="1">
        <v>1.3555260116446366E-2</v>
      </c>
    </row>
    <row r="7742" spans="1:7">
      <c r="A7742">
        <v>165</v>
      </c>
      <c r="B7742">
        <v>83</v>
      </c>
      <c r="C7742" s="1">
        <f>(Tabela1[[#This Row],[x]]-H$3)*(Tabela1[[#This Row],[x]]-H$3) +(Tabela1[[#This Row],[y]]-H$4)*(Tabela1[[#This Row],[y]]-H$4)</f>
        <v>14914</v>
      </c>
      <c r="D7742" s="1">
        <f>IF(Tabela1[[#This Row],[promien]]&lt;40000,1,0)</f>
        <v>1</v>
      </c>
      <c r="E7742" s="1">
        <f>IF(Tabela1[[#This Row],[promien]]=40000,1,0)</f>
        <v>0</v>
      </c>
      <c r="F7742" s="1">
        <v>3.1552570395246708</v>
      </c>
      <c r="G7742" s="1">
        <v>1.3664385934877732E-2</v>
      </c>
    </row>
    <row r="7743" spans="1:7">
      <c r="A7743">
        <v>107</v>
      </c>
      <c r="B7743">
        <v>199</v>
      </c>
      <c r="C7743" s="1">
        <f>(Tabela1[[#This Row],[x]]-H$3)*(Tabela1[[#This Row],[x]]-H$3) +(Tabela1[[#This Row],[y]]-H$4)*(Tabela1[[#This Row],[y]]-H$4)</f>
        <v>8650</v>
      </c>
      <c r="D7743" s="1">
        <f>IF(Tabela1[[#This Row],[promien]]&lt;40000,1,0)</f>
        <v>1</v>
      </c>
      <c r="E7743" s="1">
        <f>IF(Tabela1[[#This Row],[promien]]=40000,1,0)</f>
        <v>0</v>
      </c>
      <c r="F7743" s="1">
        <v>3.155366137156141</v>
      </c>
      <c r="G7743" s="1">
        <v>1.3773483566347888E-2</v>
      </c>
    </row>
    <row r="7744" spans="1:7">
      <c r="A7744">
        <v>89</v>
      </c>
      <c r="B7744">
        <v>15</v>
      </c>
      <c r="C7744" s="1">
        <f>(Tabela1[[#This Row],[x]]-H$3)*(Tabela1[[#This Row],[x]]-H$3) +(Tabela1[[#This Row],[y]]-H$4)*(Tabela1[[#This Row],[y]]-H$4)</f>
        <v>46546</v>
      </c>
      <c r="D7744" s="1">
        <f>IF(Tabela1[[#This Row],[promien]]&lt;40000,1,0)</f>
        <v>0</v>
      </c>
      <c r="E7744" s="1">
        <f>IF(Tabela1[[#This Row],[promien]]=40000,1,0)</f>
        <v>0</v>
      </c>
      <c r="F7744" s="1">
        <v>3.1549586776859506</v>
      </c>
      <c r="G7744" s="1">
        <v>1.3366024096157503E-2</v>
      </c>
    </row>
    <row r="7745" spans="1:7">
      <c r="A7745">
        <v>160</v>
      </c>
      <c r="B7745">
        <v>148</v>
      </c>
      <c r="C7745" s="1">
        <f>(Tabela1[[#This Row],[x]]-H$3)*(Tabela1[[#This Row],[x]]-H$3) +(Tabela1[[#This Row],[y]]-H$4)*(Tabela1[[#This Row],[y]]-H$4)</f>
        <v>4304</v>
      </c>
      <c r="D7745" s="1">
        <f>IF(Tabela1[[#This Row],[promien]]&lt;40000,1,0)</f>
        <v>1</v>
      </c>
      <c r="E7745" s="1">
        <f>IF(Tabela1[[#This Row],[promien]]=40000,1,0)</f>
        <v>0</v>
      </c>
      <c r="F7745" s="1">
        <v>3.155067785668173</v>
      </c>
      <c r="G7745" s="1">
        <v>1.3475132078379914E-2</v>
      </c>
    </row>
    <row r="7746" spans="1:7">
      <c r="A7746">
        <v>387</v>
      </c>
      <c r="B7746">
        <v>199</v>
      </c>
      <c r="C7746" s="1">
        <f>(Tabela1[[#This Row],[x]]-H$3)*(Tabela1[[#This Row],[x]]-H$3) +(Tabela1[[#This Row],[y]]-H$4)*(Tabela1[[#This Row],[y]]-H$4)</f>
        <v>34970</v>
      </c>
      <c r="D7746" s="1">
        <f>IF(Tabela1[[#This Row],[promien]]&lt;40000,1,0)</f>
        <v>1</v>
      </c>
      <c r="E7746" s="1">
        <f>IF(Tabela1[[#This Row],[promien]]=40000,1,0)</f>
        <v>0</v>
      </c>
      <c r="F7746" s="1">
        <v>3.1551768654789569</v>
      </c>
      <c r="G7746" s="1">
        <v>1.3584211889163811E-2</v>
      </c>
    </row>
    <row r="7747" spans="1:7">
      <c r="A7747">
        <v>391</v>
      </c>
      <c r="B7747">
        <v>384</v>
      </c>
      <c r="C7747" s="1">
        <f>(Tabela1[[#This Row],[x]]-H$3)*(Tabela1[[#This Row],[x]]-H$3) +(Tabela1[[#This Row],[y]]-H$4)*(Tabela1[[#This Row],[y]]-H$4)</f>
        <v>70337</v>
      </c>
      <c r="D7747" s="1">
        <f>IF(Tabela1[[#This Row],[promien]]&lt;40000,1,0)</f>
        <v>0</v>
      </c>
      <c r="E7747" s="1">
        <f>IF(Tabela1[[#This Row],[promien]]=40000,1,0)</f>
        <v>0</v>
      </c>
      <c r="F7747" s="1">
        <v>3.1547695882277011</v>
      </c>
      <c r="G7747" s="1">
        <v>1.3176934637908033E-2</v>
      </c>
    </row>
    <row r="7748" spans="1:7">
      <c r="A7748">
        <v>312</v>
      </c>
      <c r="B7748">
        <v>294</v>
      </c>
      <c r="C7748" s="1">
        <f>(Tabela1[[#This Row],[x]]-H$3)*(Tabela1[[#This Row],[x]]-H$3) +(Tabela1[[#This Row],[y]]-H$4)*(Tabela1[[#This Row],[y]]-H$4)</f>
        <v>21380</v>
      </c>
      <c r="D7748" s="1">
        <f>IF(Tabela1[[#This Row],[promien]]&lt;40000,1,0)</f>
        <v>1</v>
      </c>
      <c r="E7748" s="1">
        <f>IF(Tabela1[[#This Row],[promien]]=40000,1,0)</f>
        <v>0</v>
      </c>
      <c r="F7748" s="1">
        <v>3.1548786783686111</v>
      </c>
      <c r="G7748" s="1">
        <v>1.3286024778818017E-2</v>
      </c>
    </row>
    <row r="7749" spans="1:7">
      <c r="A7749">
        <v>206</v>
      </c>
      <c r="B7749">
        <v>211</v>
      </c>
      <c r="C7749" s="1">
        <f>(Tabela1[[#This Row],[x]]-H$3)*(Tabela1[[#This Row],[x]]-H$3) +(Tabela1[[#This Row],[y]]-H$4)*(Tabela1[[#This Row],[y]]-H$4)</f>
        <v>157</v>
      </c>
      <c r="D7749" s="1">
        <f>IF(Tabela1[[#This Row],[promien]]&lt;40000,1,0)</f>
        <v>1</v>
      </c>
      <c r="E7749" s="1">
        <f>IF(Tabela1[[#This Row],[promien]]=40000,1,0)</f>
        <v>0</v>
      </c>
      <c r="F7749" s="1">
        <v>3.1549877403535942</v>
      </c>
      <c r="G7749" s="1">
        <v>1.3395086763801078E-2</v>
      </c>
    </row>
    <row r="7750" spans="1:7">
      <c r="A7750">
        <v>138</v>
      </c>
      <c r="B7750">
        <v>103</v>
      </c>
      <c r="C7750" s="1">
        <f>(Tabela1[[#This Row],[x]]-H$3)*(Tabela1[[#This Row],[x]]-H$3) +(Tabela1[[#This Row],[y]]-H$4)*(Tabela1[[#This Row],[y]]-H$4)</f>
        <v>13253</v>
      </c>
      <c r="D7750" s="1">
        <f>IF(Tabela1[[#This Row],[promien]]&lt;40000,1,0)</f>
        <v>1</v>
      </c>
      <c r="E7750" s="1">
        <f>IF(Tabela1[[#This Row],[promien]]=40000,1,0)</f>
        <v>0</v>
      </c>
      <c r="F7750" s="1">
        <v>3.1550967741935483</v>
      </c>
      <c r="G7750" s="1">
        <v>1.3504120603755165E-2</v>
      </c>
    </row>
    <row r="7751" spans="1:7">
      <c r="A7751">
        <v>1</v>
      </c>
      <c r="B7751">
        <v>122</v>
      </c>
      <c r="C7751" s="1">
        <f>(Tabela1[[#This Row],[x]]-H$3)*(Tabela1[[#This Row],[x]]-H$3) +(Tabela1[[#This Row],[y]]-H$4)*(Tabela1[[#This Row],[y]]-H$4)</f>
        <v>45685</v>
      </c>
      <c r="D7751" s="1">
        <f>IF(Tabela1[[#This Row],[promien]]&lt;40000,1,0)</f>
        <v>0</v>
      </c>
      <c r="E7751" s="1">
        <f>IF(Tabela1[[#This Row],[promien]]=40000,1,0)</f>
        <v>0</v>
      </c>
      <c r="F7751" s="1">
        <v>3.1546897174558119</v>
      </c>
      <c r="G7751" s="1">
        <v>1.3097063866018832E-2</v>
      </c>
    </row>
    <row r="7752" spans="1:7">
      <c r="A7752">
        <v>153</v>
      </c>
      <c r="B7752">
        <v>56</v>
      </c>
      <c r="C7752" s="1">
        <f>(Tabela1[[#This Row],[x]]-H$3)*(Tabela1[[#This Row],[x]]-H$3) +(Tabela1[[#This Row],[y]]-H$4)*(Tabela1[[#This Row],[y]]-H$4)</f>
        <v>22945</v>
      </c>
      <c r="D7752" s="1">
        <f>IF(Tabela1[[#This Row],[promien]]&lt;40000,1,0)</f>
        <v>1</v>
      </c>
      <c r="E7752" s="1">
        <f>IF(Tabela1[[#This Row],[promien]]=40000,1,0)</f>
        <v>0</v>
      </c>
      <c r="F7752" s="1">
        <v>3.1547987616099071</v>
      </c>
      <c r="G7752" s="1">
        <v>1.3206108020114016E-2</v>
      </c>
    </row>
    <row r="7753" spans="1:7">
      <c r="A7753">
        <v>116</v>
      </c>
      <c r="B7753">
        <v>286</v>
      </c>
      <c r="C7753" s="1">
        <f>(Tabela1[[#This Row],[x]]-H$3)*(Tabela1[[#This Row],[x]]-H$3) +(Tabela1[[#This Row],[y]]-H$4)*(Tabela1[[#This Row],[y]]-H$4)</f>
        <v>14452</v>
      </c>
      <c r="D7753" s="1">
        <f>IF(Tabela1[[#This Row],[promien]]&lt;40000,1,0)</f>
        <v>1</v>
      </c>
      <c r="E7753" s="1">
        <f>IF(Tabela1[[#This Row],[promien]]=40000,1,0)</f>
        <v>0</v>
      </c>
      <c r="F7753" s="1">
        <v>3.1549077776344641</v>
      </c>
      <c r="G7753" s="1">
        <v>1.3315124044670945E-2</v>
      </c>
    </row>
    <row r="7754" spans="1:7">
      <c r="A7754">
        <v>200</v>
      </c>
      <c r="B7754">
        <v>220</v>
      </c>
      <c r="C7754" s="1">
        <f>(Tabela1[[#This Row],[x]]-H$3)*(Tabela1[[#This Row],[x]]-H$3) +(Tabela1[[#This Row],[y]]-H$4)*(Tabela1[[#This Row],[y]]-H$4)</f>
        <v>400</v>
      </c>
      <c r="D7754" s="1">
        <f>IF(Tabela1[[#This Row],[promien]]&lt;40000,1,0)</f>
        <v>1</v>
      </c>
      <c r="E7754" s="1">
        <f>IF(Tabela1[[#This Row],[promien]]=40000,1,0)</f>
        <v>0</v>
      </c>
      <c r="F7754" s="1">
        <v>3.1550167655403665</v>
      </c>
      <c r="G7754" s="1">
        <v>1.3424111950573359E-2</v>
      </c>
    </row>
    <row r="7755" spans="1:7">
      <c r="A7755">
        <v>199</v>
      </c>
      <c r="B7755">
        <v>5</v>
      </c>
      <c r="C7755" s="1">
        <f>(Tabela1[[#This Row],[x]]-H$3)*(Tabela1[[#This Row],[x]]-H$3) +(Tabela1[[#This Row],[y]]-H$4)*(Tabela1[[#This Row],[y]]-H$4)</f>
        <v>38026</v>
      </c>
      <c r="D7755" s="1">
        <f>IF(Tabela1[[#This Row],[promien]]&lt;40000,1,0)</f>
        <v>1</v>
      </c>
      <c r="E7755" s="1">
        <f>IF(Tabela1[[#This Row],[promien]]=40000,1,0)</f>
        <v>0</v>
      </c>
      <c r="F7755" s="1">
        <v>3.1551257253384914</v>
      </c>
      <c r="G7755" s="1">
        <v>1.3533071748698333E-2</v>
      </c>
    </row>
    <row r="7756" spans="1:7">
      <c r="A7756">
        <v>54</v>
      </c>
      <c r="B7756">
        <v>291</v>
      </c>
      <c r="C7756" s="1">
        <f>(Tabela1[[#This Row],[x]]-H$3)*(Tabela1[[#This Row],[x]]-H$3) +(Tabela1[[#This Row],[y]]-H$4)*(Tabela1[[#This Row],[y]]-H$4)</f>
        <v>29597</v>
      </c>
      <c r="D7756" s="1">
        <f>IF(Tabela1[[#This Row],[promien]]&lt;40000,1,0)</f>
        <v>1</v>
      </c>
      <c r="E7756" s="1">
        <f>IF(Tabela1[[#This Row],[promien]]=40000,1,0)</f>
        <v>0</v>
      </c>
      <c r="F7756" s="1">
        <v>3.1552346570397112</v>
      </c>
      <c r="G7756" s="1">
        <v>1.3642003449918061E-2</v>
      </c>
    </row>
    <row r="7757" spans="1:7">
      <c r="A7757">
        <v>331</v>
      </c>
      <c r="B7757">
        <v>400</v>
      </c>
      <c r="C7757" s="1">
        <f>(Tabela1[[#This Row],[x]]-H$3)*(Tabela1[[#This Row],[x]]-H$3) +(Tabela1[[#This Row],[y]]-H$4)*(Tabela1[[#This Row],[y]]-H$4)</f>
        <v>57161</v>
      </c>
      <c r="D7757" s="1">
        <f>IF(Tabela1[[#This Row],[promien]]&lt;40000,1,0)</f>
        <v>0</v>
      </c>
      <c r="E7757" s="1">
        <f>IF(Tabela1[[#This Row],[promien]]=40000,1,0)</f>
        <v>0</v>
      </c>
      <c r="F7757" s="1">
        <v>3.1548278973830088</v>
      </c>
      <c r="G7757" s="1">
        <v>1.3235243793215723E-2</v>
      </c>
    </row>
    <row r="7758" spans="1:7">
      <c r="A7758">
        <v>221</v>
      </c>
      <c r="B7758">
        <v>377</v>
      </c>
      <c r="C7758" s="1">
        <f>(Tabela1[[#This Row],[x]]-H$3)*(Tabela1[[#This Row],[x]]-H$3) +(Tabela1[[#This Row],[y]]-H$4)*(Tabela1[[#This Row],[y]]-H$4)</f>
        <v>31770</v>
      </c>
      <c r="D7758" s="1">
        <f>IF(Tabela1[[#This Row],[promien]]&lt;40000,1,0)</f>
        <v>1</v>
      </c>
      <c r="E7758" s="1">
        <f>IF(Tabela1[[#This Row],[promien]]=40000,1,0)</f>
        <v>0</v>
      </c>
      <c r="F7758" s="1">
        <v>3.154936839391596</v>
      </c>
      <c r="G7758" s="1">
        <v>1.3344185801802855E-2</v>
      </c>
    </row>
    <row r="7759" spans="1:7">
      <c r="A7759">
        <v>328</v>
      </c>
      <c r="B7759">
        <v>232</v>
      </c>
      <c r="C7759" s="1">
        <f>(Tabela1[[#This Row],[x]]-H$3)*(Tabela1[[#This Row],[x]]-H$3) +(Tabela1[[#This Row],[y]]-H$4)*(Tabela1[[#This Row],[y]]-H$4)</f>
        <v>17408</v>
      </c>
      <c r="D7759" s="1">
        <f>IF(Tabela1[[#This Row],[promien]]&lt;40000,1,0)</f>
        <v>1</v>
      </c>
      <c r="E7759" s="1">
        <f>IF(Tabela1[[#This Row],[promien]]=40000,1,0)</f>
        <v>0</v>
      </c>
      <c r="F7759" s="1">
        <v>3.1550457533187268</v>
      </c>
      <c r="G7759" s="1">
        <v>1.3453099728933715E-2</v>
      </c>
    </row>
    <row r="7760" spans="1:7">
      <c r="A7760">
        <v>167</v>
      </c>
      <c r="B7760">
        <v>245</v>
      </c>
      <c r="C7760" s="1">
        <f>(Tabela1[[#This Row],[x]]-H$3)*(Tabela1[[#This Row],[x]]-H$3) +(Tabela1[[#This Row],[y]]-H$4)*(Tabela1[[#This Row],[y]]-H$4)</f>
        <v>3114</v>
      </c>
      <c r="D7760" s="1">
        <f>IF(Tabela1[[#This Row],[promien]]&lt;40000,1,0)</f>
        <v>1</v>
      </c>
      <c r="E7760" s="1">
        <f>IF(Tabela1[[#This Row],[promien]]=40000,1,0)</f>
        <v>0</v>
      </c>
      <c r="F7760" s="1">
        <v>3.1551546391752576</v>
      </c>
      <c r="G7760" s="1">
        <v>1.3561985585464509E-2</v>
      </c>
    </row>
    <row r="7761" spans="1:7">
      <c r="A7761">
        <v>141</v>
      </c>
      <c r="B7761">
        <v>307</v>
      </c>
      <c r="C7761" s="1">
        <f>(Tabela1[[#This Row],[x]]-H$3)*(Tabela1[[#This Row],[x]]-H$3) +(Tabela1[[#This Row],[y]]-H$4)*(Tabela1[[#This Row],[y]]-H$4)</f>
        <v>14930</v>
      </c>
      <c r="D7761" s="1">
        <f>IF(Tabela1[[#This Row],[promien]]&lt;40000,1,0)</f>
        <v>1</v>
      </c>
      <c r="E7761" s="1">
        <f>IF(Tabela1[[#This Row],[promien]]=40000,1,0)</f>
        <v>0</v>
      </c>
      <c r="F7761" s="1">
        <v>3.1552634969720397</v>
      </c>
      <c r="G7761" s="1">
        <v>1.3670843382246556E-2</v>
      </c>
    </row>
    <row r="7762" spans="1:7">
      <c r="A7762">
        <v>11</v>
      </c>
      <c r="B7762">
        <v>101</v>
      </c>
      <c r="C7762" s="1">
        <f>(Tabela1[[#This Row],[x]]-H$3)*(Tabela1[[#This Row],[x]]-H$3) +(Tabela1[[#This Row],[y]]-H$4)*(Tabela1[[#This Row],[y]]-H$4)</f>
        <v>45522</v>
      </c>
      <c r="D7762" s="1">
        <f>IF(Tabela1[[#This Row],[promien]]&lt;40000,1,0)</f>
        <v>0</v>
      </c>
      <c r="E7762" s="1">
        <f>IF(Tabela1[[#This Row],[promien]]=40000,1,0)</f>
        <v>0</v>
      </c>
      <c r="F7762" s="1">
        <v>3.1548569956196855</v>
      </c>
      <c r="G7762" s="1">
        <v>1.3264342029892351E-2</v>
      </c>
    </row>
    <row r="7763" spans="1:7">
      <c r="A7763">
        <v>106</v>
      </c>
      <c r="B7763">
        <v>151</v>
      </c>
      <c r="C7763" s="1">
        <f>(Tabela1[[#This Row],[x]]-H$3)*(Tabela1[[#This Row],[x]]-H$3) +(Tabela1[[#This Row],[y]]-H$4)*(Tabela1[[#This Row],[y]]-H$4)</f>
        <v>11237</v>
      </c>
      <c r="D7763" s="1">
        <f>IF(Tabela1[[#This Row],[promien]]&lt;40000,1,0)</f>
        <v>1</v>
      </c>
      <c r="E7763" s="1">
        <f>IF(Tabela1[[#This Row],[promien]]=40000,1,0)</f>
        <v>0</v>
      </c>
      <c r="F7763" s="1">
        <v>3.1549658637124822</v>
      </c>
      <c r="G7763" s="1">
        <v>1.3373210122689105E-2</v>
      </c>
    </row>
    <row r="7764" spans="1:7">
      <c r="A7764">
        <v>115</v>
      </c>
      <c r="B7764">
        <v>364</v>
      </c>
      <c r="C7764" s="1">
        <f>(Tabela1[[#This Row],[x]]-H$3)*(Tabela1[[#This Row],[x]]-H$3) +(Tabela1[[#This Row],[y]]-H$4)*(Tabela1[[#This Row],[y]]-H$4)</f>
        <v>34121</v>
      </c>
      <c r="D7764" s="1">
        <f>IF(Tabela1[[#This Row],[promien]]&lt;40000,1,0)</f>
        <v>1</v>
      </c>
      <c r="E7764" s="1">
        <f>IF(Tabela1[[#This Row],[promien]]=40000,1,0)</f>
        <v>0</v>
      </c>
      <c r="F7764" s="1">
        <v>3.1550747037609481</v>
      </c>
      <c r="G7764" s="1">
        <v>1.3482050171155002E-2</v>
      </c>
    </row>
    <row r="7765" spans="1:7">
      <c r="A7765">
        <v>9</v>
      </c>
      <c r="B7765">
        <v>345</v>
      </c>
      <c r="C7765" s="1">
        <f>(Tabela1[[#This Row],[x]]-H$3)*(Tabela1[[#This Row],[x]]-H$3) +(Tabela1[[#This Row],[y]]-H$4)*(Tabela1[[#This Row],[y]]-H$4)</f>
        <v>57506</v>
      </c>
      <c r="D7765" s="1">
        <f>IF(Tabela1[[#This Row],[promien]]&lt;40000,1,0)</f>
        <v>0</v>
      </c>
      <c r="E7765" s="1">
        <f>IF(Tabela1[[#This Row],[promien]]=40000,1,0)</f>
        <v>0</v>
      </c>
      <c r="F7765" s="1">
        <v>3.154668383773342</v>
      </c>
      <c r="G7765" s="1">
        <v>1.3075730183548906E-2</v>
      </c>
    </row>
    <row r="7766" spans="1:7">
      <c r="A7766">
        <v>302</v>
      </c>
      <c r="B7766">
        <v>164</v>
      </c>
      <c r="C7766" s="1">
        <f>(Tabela1[[#This Row],[x]]-H$3)*(Tabela1[[#This Row],[x]]-H$3) +(Tabela1[[#This Row],[y]]-H$4)*(Tabela1[[#This Row],[y]]-H$4)</f>
        <v>11700</v>
      </c>
      <c r="D7766" s="1">
        <f>IF(Tabela1[[#This Row],[promien]]&lt;40000,1,0)</f>
        <v>1</v>
      </c>
      <c r="E7766" s="1">
        <f>IF(Tabela1[[#This Row],[promien]]=40000,1,0)</f>
        <v>0</v>
      </c>
      <c r="F7766" s="1">
        <v>3.1547772340973474</v>
      </c>
      <c r="G7766" s="1">
        <v>1.3184580507554333E-2</v>
      </c>
    </row>
    <row r="7767" spans="1:7">
      <c r="A7767">
        <v>18</v>
      </c>
      <c r="B7767">
        <v>62</v>
      </c>
      <c r="C7767" s="1">
        <f>(Tabela1[[#This Row],[x]]-H$3)*(Tabela1[[#This Row],[x]]-H$3) +(Tabela1[[#This Row],[y]]-H$4)*(Tabela1[[#This Row],[y]]-H$4)</f>
        <v>52168</v>
      </c>
      <c r="D7767" s="1">
        <f>IF(Tabela1[[#This Row],[promien]]&lt;40000,1,0)</f>
        <v>0</v>
      </c>
      <c r="E7767" s="1">
        <f>IF(Tabela1[[#This Row],[promien]]=40000,1,0)</f>
        <v>0</v>
      </c>
      <c r="F7767" s="1">
        <v>3.1543710570361787</v>
      </c>
      <c r="G7767" s="1">
        <v>1.2778403446385589E-2</v>
      </c>
    </row>
    <row r="7768" spans="1:7">
      <c r="A7768">
        <v>373</v>
      </c>
      <c r="B7768">
        <v>79</v>
      </c>
      <c r="C7768" s="1">
        <f>(Tabela1[[#This Row],[x]]-H$3)*(Tabela1[[#This Row],[x]]-H$3) +(Tabela1[[#This Row],[y]]-H$4)*(Tabela1[[#This Row],[y]]-H$4)</f>
        <v>44570</v>
      </c>
      <c r="D7768" s="1">
        <f>IF(Tabela1[[#This Row],[promien]]&lt;40000,1,0)</f>
        <v>0</v>
      </c>
      <c r="E7768" s="1">
        <f>IF(Tabela1[[#This Row],[promien]]=40000,1,0)</f>
        <v>0</v>
      </c>
      <c r="F7768" s="1">
        <v>3.1539649845520081</v>
      </c>
      <c r="G7768" s="1">
        <v>1.2372330962215017E-2</v>
      </c>
    </row>
    <row r="7769" spans="1:7">
      <c r="A7769">
        <v>190</v>
      </c>
      <c r="B7769">
        <v>52</v>
      </c>
      <c r="C7769" s="1">
        <f>(Tabela1[[#This Row],[x]]-H$3)*(Tabela1[[#This Row],[x]]-H$3) +(Tabela1[[#This Row],[y]]-H$4)*(Tabela1[[#This Row],[y]]-H$4)</f>
        <v>22004</v>
      </c>
      <c r="D7769" s="1">
        <f>IF(Tabela1[[#This Row],[promien]]&lt;40000,1,0)</f>
        <v>1</v>
      </c>
      <c r="E7769" s="1">
        <f>IF(Tabela1[[#This Row],[promien]]=40000,1,0)</f>
        <v>0</v>
      </c>
      <c r="F7769" s="1">
        <v>3.1540738833826749</v>
      </c>
      <c r="G7769" s="1">
        <v>1.2481229792881798E-2</v>
      </c>
    </row>
    <row r="7770" spans="1:7">
      <c r="A7770">
        <v>91</v>
      </c>
      <c r="B7770">
        <v>170</v>
      </c>
      <c r="C7770" s="1">
        <f>(Tabela1[[#This Row],[x]]-H$3)*(Tabela1[[#This Row],[x]]-H$3) +(Tabela1[[#This Row],[y]]-H$4)*(Tabela1[[#This Row],[y]]-H$4)</f>
        <v>12781</v>
      </c>
      <c r="D7770" s="1">
        <f>IF(Tabela1[[#This Row],[promien]]&lt;40000,1,0)</f>
        <v>1</v>
      </c>
      <c r="E7770" s="1">
        <f>IF(Tabela1[[#This Row],[promien]]=40000,1,0)</f>
        <v>0</v>
      </c>
      <c r="F7770" s="1">
        <v>3.1541827541827541</v>
      </c>
      <c r="G7770" s="1">
        <v>1.2590100592960951E-2</v>
      </c>
    </row>
    <row r="7771" spans="1:7">
      <c r="A7771">
        <v>125</v>
      </c>
      <c r="B7771">
        <v>135</v>
      </c>
      <c r="C7771" s="1">
        <f>(Tabela1[[#This Row],[x]]-H$3)*(Tabela1[[#This Row],[x]]-H$3) +(Tabela1[[#This Row],[y]]-H$4)*(Tabela1[[#This Row],[y]]-H$4)</f>
        <v>9850</v>
      </c>
      <c r="D7771" s="1">
        <f>IF(Tabela1[[#This Row],[promien]]&lt;40000,1,0)</f>
        <v>1</v>
      </c>
      <c r="E7771" s="1">
        <f>IF(Tabela1[[#This Row],[promien]]=40000,1,0)</f>
        <v>0</v>
      </c>
      <c r="F7771" s="1">
        <v>3.1542915969630676</v>
      </c>
      <c r="G7771" s="1">
        <v>1.2698943373274485E-2</v>
      </c>
    </row>
    <row r="7772" spans="1:7">
      <c r="A7772">
        <v>335</v>
      </c>
      <c r="B7772">
        <v>112</v>
      </c>
      <c r="C7772" s="1">
        <f>(Tabela1[[#This Row],[x]]-H$3)*(Tabela1[[#This Row],[x]]-H$3) +(Tabela1[[#This Row],[y]]-H$4)*(Tabela1[[#This Row],[y]]-H$4)</f>
        <v>25969</v>
      </c>
      <c r="D7772" s="1">
        <f>IF(Tabela1[[#This Row],[promien]]&lt;40000,1,0)</f>
        <v>1</v>
      </c>
      <c r="E7772" s="1">
        <f>IF(Tabela1[[#This Row],[promien]]=40000,1,0)</f>
        <v>0</v>
      </c>
      <c r="F7772" s="1">
        <v>3.1544004117344313</v>
      </c>
      <c r="G7772" s="1">
        <v>1.2807758144638193E-2</v>
      </c>
    </row>
    <row r="7773" spans="1:7">
      <c r="A7773">
        <v>290</v>
      </c>
      <c r="B7773">
        <v>282</v>
      </c>
      <c r="C7773" s="1">
        <f>(Tabela1[[#This Row],[x]]-H$3)*(Tabela1[[#This Row],[x]]-H$3) +(Tabela1[[#This Row],[y]]-H$4)*(Tabela1[[#This Row],[y]]-H$4)</f>
        <v>14824</v>
      </c>
      <c r="D7773" s="1">
        <f>IF(Tabela1[[#This Row],[promien]]&lt;40000,1,0)</f>
        <v>1</v>
      </c>
      <c r="E7773" s="1">
        <f>IF(Tabela1[[#This Row],[promien]]=40000,1,0)</f>
        <v>0</v>
      </c>
      <c r="F7773" s="1">
        <v>3.1545091985076548</v>
      </c>
      <c r="G7773" s="1">
        <v>1.291654491786165E-2</v>
      </c>
    </row>
    <row r="7774" spans="1:7">
      <c r="A7774">
        <v>350</v>
      </c>
      <c r="B7774">
        <v>51</v>
      </c>
      <c r="C7774" s="1">
        <f>(Tabela1[[#This Row],[x]]-H$3)*(Tabela1[[#This Row],[x]]-H$3) +(Tabela1[[#This Row],[y]]-H$4)*(Tabela1[[#This Row],[y]]-H$4)</f>
        <v>44701</v>
      </c>
      <c r="D7774" s="1">
        <f>IF(Tabela1[[#This Row],[promien]]&lt;40000,1,0)</f>
        <v>0</v>
      </c>
      <c r="E7774" s="1">
        <f>IF(Tabela1[[#This Row],[promien]]=40000,1,0)</f>
        <v>0</v>
      </c>
      <c r="F7774" s="1">
        <v>3.1541034216619499</v>
      </c>
      <c r="G7774" s="1">
        <v>1.2510768072156786E-2</v>
      </c>
    </row>
    <row r="7775" spans="1:7">
      <c r="A7775">
        <v>131</v>
      </c>
      <c r="B7775">
        <v>249</v>
      </c>
      <c r="C7775" s="1">
        <f>(Tabela1[[#This Row],[x]]-H$3)*(Tabela1[[#This Row],[x]]-H$3) +(Tabela1[[#This Row],[y]]-H$4)*(Tabela1[[#This Row],[y]]-H$4)</f>
        <v>7162</v>
      </c>
      <c r="D7775" s="1">
        <f>IF(Tabela1[[#This Row],[promien]]&lt;40000,1,0)</f>
        <v>1</v>
      </c>
      <c r="E7775" s="1">
        <f>IF(Tabela1[[#This Row],[promien]]=40000,1,0)</f>
        <v>0</v>
      </c>
      <c r="F7775" s="1">
        <v>3.1542122186495178</v>
      </c>
      <c r="G7775" s="1">
        <v>1.2619565059724724E-2</v>
      </c>
    </row>
    <row r="7776" spans="1:7">
      <c r="A7776">
        <v>362</v>
      </c>
      <c r="B7776">
        <v>285</v>
      </c>
      <c r="C7776" s="1">
        <f>(Tabela1[[#This Row],[x]]-H$3)*(Tabela1[[#This Row],[x]]-H$3) +(Tabela1[[#This Row],[y]]-H$4)*(Tabela1[[#This Row],[y]]-H$4)</f>
        <v>33469</v>
      </c>
      <c r="D7776" s="1">
        <f>IF(Tabela1[[#This Row],[promien]]&lt;40000,1,0)</f>
        <v>1</v>
      </c>
      <c r="E7776" s="1">
        <f>IF(Tabela1[[#This Row],[promien]]=40000,1,0)</f>
        <v>0</v>
      </c>
      <c r="F7776" s="1">
        <v>3.1543209876543208</v>
      </c>
      <c r="G7776" s="1">
        <v>1.2728334064527669E-2</v>
      </c>
    </row>
    <row r="7777" spans="1:7">
      <c r="A7777">
        <v>301</v>
      </c>
      <c r="B7777">
        <v>129</v>
      </c>
      <c r="C7777" s="1">
        <f>(Tabela1[[#This Row],[x]]-H$3)*(Tabela1[[#This Row],[x]]-H$3) +(Tabela1[[#This Row],[y]]-H$4)*(Tabela1[[#This Row],[y]]-H$4)</f>
        <v>15242</v>
      </c>
      <c r="D7777" s="1">
        <f>IF(Tabela1[[#This Row],[promien]]&lt;40000,1,0)</f>
        <v>1</v>
      </c>
      <c r="E7777" s="1">
        <f>IF(Tabela1[[#This Row],[promien]]=40000,1,0)</f>
        <v>0</v>
      </c>
      <c r="F7777" s="1">
        <v>3.1544297286871545</v>
      </c>
      <c r="G7777" s="1">
        <v>1.2837075097361428E-2</v>
      </c>
    </row>
    <row r="7778" spans="1:7">
      <c r="A7778">
        <v>163</v>
      </c>
      <c r="B7778">
        <v>86</v>
      </c>
      <c r="C7778" s="1">
        <f>(Tabela1[[#This Row],[x]]-H$3)*(Tabela1[[#This Row],[x]]-H$3) +(Tabela1[[#This Row],[y]]-H$4)*(Tabela1[[#This Row],[y]]-H$4)</f>
        <v>14365</v>
      </c>
      <c r="D7778" s="1">
        <f>IF(Tabela1[[#This Row],[promien]]&lt;40000,1,0)</f>
        <v>1</v>
      </c>
      <c r="E7778" s="1">
        <f>IF(Tabela1[[#This Row],[promien]]=40000,1,0)</f>
        <v>0</v>
      </c>
      <c r="F7778" s="1">
        <v>3.1545384417588069</v>
      </c>
      <c r="G7778" s="1">
        <v>1.2945788169013817E-2</v>
      </c>
    </row>
    <row r="7779" spans="1:7">
      <c r="A7779">
        <v>262</v>
      </c>
      <c r="B7779">
        <v>172</v>
      </c>
      <c r="C7779" s="1">
        <f>(Tabela1[[#This Row],[x]]-H$3)*(Tabela1[[#This Row],[x]]-H$3) +(Tabela1[[#This Row],[y]]-H$4)*(Tabela1[[#This Row],[y]]-H$4)</f>
        <v>4628</v>
      </c>
      <c r="D7779" s="1">
        <f>IF(Tabela1[[#This Row],[promien]]&lt;40000,1,0)</f>
        <v>1</v>
      </c>
      <c r="E7779" s="1">
        <f>IF(Tabela1[[#This Row],[promien]]=40000,1,0)</f>
        <v>0</v>
      </c>
      <c r="F7779" s="1">
        <v>3.1546471268800618</v>
      </c>
      <c r="G7779" s="1">
        <v>1.3054473290268653E-2</v>
      </c>
    </row>
    <row r="7780" spans="1:7">
      <c r="A7780">
        <v>3</v>
      </c>
      <c r="B7780">
        <v>282</v>
      </c>
      <c r="C7780" s="1">
        <f>(Tabela1[[#This Row],[x]]-H$3)*(Tabela1[[#This Row],[x]]-H$3) +(Tabela1[[#This Row],[y]]-H$4)*(Tabela1[[#This Row],[y]]-H$4)</f>
        <v>45533</v>
      </c>
      <c r="D7780" s="1">
        <f>IF(Tabela1[[#This Row],[promien]]&lt;40000,1,0)</f>
        <v>0</v>
      </c>
      <c r="E7780" s="1">
        <f>IF(Tabela1[[#This Row],[promien]]=40000,1,0)</f>
        <v>0</v>
      </c>
      <c r="F7780" s="1">
        <v>3.1542416452442161</v>
      </c>
      <c r="G7780" s="1">
        <v>1.2648991654423014E-2</v>
      </c>
    </row>
    <row r="7781" spans="1:7">
      <c r="A7781">
        <v>103</v>
      </c>
      <c r="B7781">
        <v>199</v>
      </c>
      <c r="C7781" s="1">
        <f>(Tabela1[[#This Row],[x]]-H$3)*(Tabela1[[#This Row],[x]]-H$3) +(Tabela1[[#This Row],[y]]-H$4)*(Tabela1[[#This Row],[y]]-H$4)</f>
        <v>9410</v>
      </c>
      <c r="D7781" s="1">
        <f>IF(Tabela1[[#This Row],[promien]]&lt;40000,1,0)</f>
        <v>1</v>
      </c>
      <c r="E7781" s="1">
        <f>IF(Tabela1[[#This Row],[promien]]=40000,1,0)</f>
        <v>0</v>
      </c>
      <c r="F7781" s="1">
        <v>3.154350340573191</v>
      </c>
      <c r="G7781" s="1">
        <v>1.2757686983397853E-2</v>
      </c>
    </row>
    <row r="7782" spans="1:7">
      <c r="A7782">
        <v>271</v>
      </c>
      <c r="B7782">
        <v>207</v>
      </c>
      <c r="C7782" s="1">
        <f>(Tabela1[[#This Row],[x]]-H$3)*(Tabela1[[#This Row],[x]]-H$3) +(Tabela1[[#This Row],[y]]-H$4)*(Tabela1[[#This Row],[y]]-H$4)</f>
        <v>5090</v>
      </c>
      <c r="D7782" s="1">
        <f>IF(Tabela1[[#This Row],[promien]]&lt;40000,1,0)</f>
        <v>1</v>
      </c>
      <c r="E7782" s="1">
        <f>IF(Tabela1[[#This Row],[promien]]=40000,1,0)</f>
        <v>0</v>
      </c>
      <c r="F7782" s="1">
        <v>3.1544590079671035</v>
      </c>
      <c r="G7782" s="1">
        <v>1.2866354377310429E-2</v>
      </c>
    </row>
    <row r="7783" spans="1:7">
      <c r="A7783">
        <v>381</v>
      </c>
      <c r="B7783">
        <v>48</v>
      </c>
      <c r="C7783" s="1">
        <f>(Tabela1[[#This Row],[x]]-H$3)*(Tabela1[[#This Row],[x]]-H$3) +(Tabela1[[#This Row],[y]]-H$4)*(Tabela1[[#This Row],[y]]-H$4)</f>
        <v>55865</v>
      </c>
      <c r="D7783" s="1">
        <f>IF(Tabela1[[#This Row],[promien]]&lt;40000,1,0)</f>
        <v>0</v>
      </c>
      <c r="E7783" s="1">
        <f>IF(Tabela1[[#This Row],[promien]]=40000,1,0)</f>
        <v>0</v>
      </c>
      <c r="F7783" s="1">
        <v>3.1540537067968648</v>
      </c>
      <c r="G7783" s="1">
        <v>1.2461053207071693E-2</v>
      </c>
    </row>
    <row r="7784" spans="1:7">
      <c r="A7784">
        <v>165</v>
      </c>
      <c r="B7784">
        <v>179</v>
      </c>
      <c r="C7784" s="1">
        <f>(Tabela1[[#This Row],[x]]-H$3)*(Tabela1[[#This Row],[x]]-H$3) +(Tabela1[[#This Row],[y]]-H$4)*(Tabela1[[#This Row],[y]]-H$4)</f>
        <v>1666</v>
      </c>
      <c r="D7784" s="1">
        <f>IF(Tabela1[[#This Row],[promien]]&lt;40000,1,0)</f>
        <v>1</v>
      </c>
      <c r="E7784" s="1">
        <f>IF(Tabela1[[#This Row],[promien]]=40000,1,0)</f>
        <v>0</v>
      </c>
      <c r="F7784" s="1">
        <v>3.1541623843782118</v>
      </c>
      <c r="G7784" s="1">
        <v>1.256973078841872E-2</v>
      </c>
    </row>
    <row r="7785" spans="1:7">
      <c r="A7785">
        <v>220</v>
      </c>
      <c r="B7785">
        <v>259</v>
      </c>
      <c r="C7785" s="1">
        <f>(Tabela1[[#This Row],[x]]-H$3)*(Tabela1[[#This Row],[x]]-H$3) +(Tabela1[[#This Row],[y]]-H$4)*(Tabela1[[#This Row],[y]]-H$4)</f>
        <v>3881</v>
      </c>
      <c r="D7785" s="1">
        <f>IF(Tabela1[[#This Row],[promien]]&lt;40000,1,0)</f>
        <v>1</v>
      </c>
      <c r="E7785" s="1">
        <f>IF(Tabela1[[#This Row],[promien]]=40000,1,0)</f>
        <v>0</v>
      </c>
      <c r="F7785" s="1">
        <v>3.1542710340398203</v>
      </c>
      <c r="G7785" s="1">
        <v>1.2678380450027227E-2</v>
      </c>
    </row>
    <row r="7786" spans="1:7">
      <c r="A7786">
        <v>93</v>
      </c>
      <c r="B7786">
        <v>388</v>
      </c>
      <c r="C7786" s="1">
        <f>(Tabela1[[#This Row],[x]]-H$3)*(Tabela1[[#This Row],[x]]-H$3) +(Tabela1[[#This Row],[y]]-H$4)*(Tabela1[[#This Row],[y]]-H$4)</f>
        <v>46793</v>
      </c>
      <c r="D7786" s="1">
        <f>IF(Tabela1[[#This Row],[promien]]&lt;40000,1,0)</f>
        <v>0</v>
      </c>
      <c r="E7786" s="1">
        <f>IF(Tabela1[[#This Row],[promien]]=40000,1,0)</f>
        <v>0</v>
      </c>
      <c r="F7786" s="1">
        <v>3.1538659131774982</v>
      </c>
      <c r="G7786" s="1">
        <v>1.2273259587705088E-2</v>
      </c>
    </row>
    <row r="7787" spans="1:7">
      <c r="A7787">
        <v>285</v>
      </c>
      <c r="B7787">
        <v>351</v>
      </c>
      <c r="C7787" s="1">
        <f>(Tabela1[[#This Row],[x]]-H$3)*(Tabela1[[#This Row],[x]]-H$3) +(Tabela1[[#This Row],[y]]-H$4)*(Tabela1[[#This Row],[y]]-H$4)</f>
        <v>30026</v>
      </c>
      <c r="D7787" s="1">
        <f>IF(Tabela1[[#This Row],[promien]]&lt;40000,1,0)</f>
        <v>1</v>
      </c>
      <c r="E7787" s="1">
        <f>IF(Tabela1[[#This Row],[promien]]=40000,1,0)</f>
        <v>0</v>
      </c>
      <c r="F7787" s="1">
        <v>3.1539745730062925</v>
      </c>
      <c r="G7787" s="1">
        <v>1.2381919416499354E-2</v>
      </c>
    </row>
    <row r="7788" spans="1:7">
      <c r="A7788">
        <v>192</v>
      </c>
      <c r="B7788">
        <v>368</v>
      </c>
      <c r="C7788" s="1">
        <f>(Tabela1[[#This Row],[x]]-H$3)*(Tabela1[[#This Row],[x]]-H$3) +(Tabela1[[#This Row],[y]]-H$4)*(Tabela1[[#This Row],[y]]-H$4)</f>
        <v>28288</v>
      </c>
      <c r="D7788" s="1">
        <f>IF(Tabela1[[#This Row],[promien]]&lt;40000,1,0)</f>
        <v>1</v>
      </c>
      <c r="E7788" s="1">
        <f>IF(Tabela1[[#This Row],[promien]]=40000,1,0)</f>
        <v>0</v>
      </c>
      <c r="F7788" s="1">
        <v>3.1540832049306626</v>
      </c>
      <c r="G7788" s="1">
        <v>1.2490551340869516E-2</v>
      </c>
    </row>
    <row r="7789" spans="1:7">
      <c r="A7789">
        <v>347</v>
      </c>
      <c r="B7789">
        <v>300</v>
      </c>
      <c r="C7789" s="1">
        <f>(Tabela1[[#This Row],[x]]-H$3)*(Tabela1[[#This Row],[x]]-H$3) +(Tabela1[[#This Row],[y]]-H$4)*(Tabela1[[#This Row],[y]]-H$4)</f>
        <v>31609</v>
      </c>
      <c r="D7789" s="1">
        <f>IF(Tabela1[[#This Row],[promien]]&lt;40000,1,0)</f>
        <v>1</v>
      </c>
      <c r="E7789" s="1">
        <f>IF(Tabela1[[#This Row],[promien]]=40000,1,0)</f>
        <v>0</v>
      </c>
      <c r="F7789" s="1">
        <v>3.1541918089613556</v>
      </c>
      <c r="G7789" s="1">
        <v>1.2599155371562532E-2</v>
      </c>
    </row>
    <row r="7790" spans="1:7">
      <c r="A7790">
        <v>24</v>
      </c>
      <c r="B7790">
        <v>29</v>
      </c>
      <c r="C7790" s="1">
        <f>(Tabela1[[#This Row],[x]]-H$3)*(Tabela1[[#This Row],[x]]-H$3) +(Tabela1[[#This Row],[y]]-H$4)*(Tabela1[[#This Row],[y]]-H$4)</f>
        <v>60217</v>
      </c>
      <c r="D7790" s="1">
        <f>IF(Tabela1[[#This Row],[promien]]&lt;40000,1,0)</f>
        <v>0</v>
      </c>
      <c r="E7790" s="1">
        <f>IF(Tabela1[[#This Row],[promien]]=40000,1,0)</f>
        <v>0</v>
      </c>
      <c r="F7790" s="1">
        <v>3.1537869062901156</v>
      </c>
      <c r="G7790" s="1">
        <v>1.2194252700322483E-2</v>
      </c>
    </row>
    <row r="7791" spans="1:7">
      <c r="A7791">
        <v>266</v>
      </c>
      <c r="B7791">
        <v>273</v>
      </c>
      <c r="C7791" s="1">
        <f>(Tabela1[[#This Row],[x]]-H$3)*(Tabela1[[#This Row],[x]]-H$3) +(Tabela1[[#This Row],[y]]-H$4)*(Tabela1[[#This Row],[y]]-H$4)</f>
        <v>9685</v>
      </c>
      <c r="D7791" s="1">
        <f>IF(Tabela1[[#This Row],[promien]]&lt;40000,1,0)</f>
        <v>1</v>
      </c>
      <c r="E7791" s="1">
        <f>IF(Tabela1[[#This Row],[promien]]=40000,1,0)</f>
        <v>0</v>
      </c>
      <c r="F7791" s="1">
        <v>3.1538955204723398</v>
      </c>
      <c r="G7791" s="1">
        <v>1.230286688254667E-2</v>
      </c>
    </row>
    <row r="7792" spans="1:7">
      <c r="A7792">
        <v>388</v>
      </c>
      <c r="B7792">
        <v>228</v>
      </c>
      <c r="C7792" s="1">
        <f>(Tabela1[[#This Row],[x]]-H$3)*(Tabela1[[#This Row],[x]]-H$3) +(Tabela1[[#This Row],[y]]-H$4)*(Tabela1[[#This Row],[y]]-H$4)</f>
        <v>36128</v>
      </c>
      <c r="D7792" s="1">
        <f>IF(Tabela1[[#This Row],[promien]]&lt;40000,1,0)</f>
        <v>1</v>
      </c>
      <c r="E7792" s="1">
        <f>IF(Tabela1[[#This Row],[promien]]=40000,1,0)</f>
        <v>0</v>
      </c>
      <c r="F7792" s="1">
        <v>3.1540041067761808</v>
      </c>
      <c r="G7792" s="1">
        <v>1.24114531863877E-2</v>
      </c>
    </row>
    <row r="7793" spans="1:7">
      <c r="A7793">
        <v>245</v>
      </c>
      <c r="B7793">
        <v>226</v>
      </c>
      <c r="C7793" s="1">
        <f>(Tabela1[[#This Row],[x]]-H$3)*(Tabela1[[#This Row],[x]]-H$3) +(Tabela1[[#This Row],[y]]-H$4)*(Tabela1[[#This Row],[y]]-H$4)</f>
        <v>2701</v>
      </c>
      <c r="D7793" s="1">
        <f>IF(Tabela1[[#This Row],[promien]]&lt;40000,1,0)</f>
        <v>1</v>
      </c>
      <c r="E7793" s="1">
        <f>IF(Tabela1[[#This Row],[promien]]=40000,1,0)</f>
        <v>0</v>
      </c>
      <c r="F7793" s="1">
        <v>3.1541126652123701</v>
      </c>
      <c r="G7793" s="1">
        <v>1.2520011622576988E-2</v>
      </c>
    </row>
    <row r="7794" spans="1:7">
      <c r="A7794">
        <v>356</v>
      </c>
      <c r="B7794">
        <v>337</v>
      </c>
      <c r="C7794" s="1">
        <f>(Tabela1[[#This Row],[x]]-H$3)*(Tabela1[[#This Row],[x]]-H$3) +(Tabela1[[#This Row],[y]]-H$4)*(Tabela1[[#This Row],[y]]-H$4)</f>
        <v>43105</v>
      </c>
      <c r="D7794" s="1">
        <f>IF(Tabela1[[#This Row],[promien]]&lt;40000,1,0)</f>
        <v>0</v>
      </c>
      <c r="E7794" s="1">
        <f>IF(Tabela1[[#This Row],[promien]]=40000,1,0)</f>
        <v>0</v>
      </c>
      <c r="F7794" s="1">
        <v>3.1537079804978188</v>
      </c>
      <c r="G7794" s="1">
        <v>1.2115326908025636E-2</v>
      </c>
    </row>
    <row r="7795" spans="1:7">
      <c r="A7795">
        <v>50</v>
      </c>
      <c r="B7795">
        <v>222</v>
      </c>
      <c r="C7795" s="1">
        <f>(Tabela1[[#This Row],[x]]-H$3)*(Tabela1[[#This Row],[x]]-H$3) +(Tabela1[[#This Row],[y]]-H$4)*(Tabela1[[#This Row],[y]]-H$4)</f>
        <v>22984</v>
      </c>
      <c r="D7795" s="1">
        <f>IF(Tabela1[[#This Row],[promien]]&lt;40000,1,0)</f>
        <v>1</v>
      </c>
      <c r="E7795" s="1">
        <f>IF(Tabela1[[#This Row],[promien]]=40000,1,0)</f>
        <v>0</v>
      </c>
      <c r="F7795" s="1">
        <v>3.1538165490699166</v>
      </c>
      <c r="G7795" s="1">
        <v>1.2223895480123481E-2</v>
      </c>
    </row>
    <row r="7796" spans="1:7">
      <c r="A7796">
        <v>318</v>
      </c>
      <c r="B7796">
        <v>52</v>
      </c>
      <c r="C7796" s="1">
        <f>(Tabela1[[#This Row],[x]]-H$3)*(Tabela1[[#This Row],[x]]-H$3) +(Tabela1[[#This Row],[y]]-H$4)*(Tabela1[[#This Row],[y]]-H$4)</f>
        <v>35828</v>
      </c>
      <c r="D7796" s="1">
        <f>IF(Tabela1[[#This Row],[promien]]&lt;40000,1,0)</f>
        <v>1</v>
      </c>
      <c r="E7796" s="1">
        <f>IF(Tabela1[[#This Row],[promien]]=40000,1,0)</f>
        <v>0</v>
      </c>
      <c r="F7796" s="1">
        <v>3.1539250897896358</v>
      </c>
      <c r="G7796" s="1">
        <v>1.23324361998427E-2</v>
      </c>
    </row>
    <row r="7797" spans="1:7">
      <c r="A7797">
        <v>8</v>
      </c>
      <c r="B7797">
        <v>313</v>
      </c>
      <c r="C7797" s="1">
        <f>(Tabela1[[#This Row],[x]]-H$3)*(Tabela1[[#This Row],[x]]-H$3) +(Tabela1[[#This Row],[y]]-H$4)*(Tabela1[[#This Row],[y]]-H$4)</f>
        <v>49633</v>
      </c>
      <c r="D7797" s="1">
        <f>IF(Tabela1[[#This Row],[promien]]&lt;40000,1,0)</f>
        <v>0</v>
      </c>
      <c r="E7797" s="1">
        <f>IF(Tabela1[[#This Row],[promien]]=40000,1,0)</f>
        <v>0</v>
      </c>
      <c r="F7797" s="1">
        <v>3.1535205848403232</v>
      </c>
      <c r="G7797" s="1">
        <v>1.1927931250530044E-2</v>
      </c>
    </row>
    <row r="7798" spans="1:7">
      <c r="A7798">
        <v>36</v>
      </c>
      <c r="B7798">
        <v>100</v>
      </c>
      <c r="C7798" s="1">
        <f>(Tabela1[[#This Row],[x]]-H$3)*(Tabela1[[#This Row],[x]]-H$3) +(Tabela1[[#This Row],[y]]-H$4)*(Tabela1[[#This Row],[y]]-H$4)</f>
        <v>36896</v>
      </c>
      <c r="D7798" s="1">
        <f>IF(Tabela1[[#This Row],[promien]]&lt;40000,1,0)</f>
        <v>1</v>
      </c>
      <c r="E7798" s="1">
        <f>IF(Tabela1[[#This Row],[promien]]=40000,1,0)</f>
        <v>0</v>
      </c>
      <c r="F7798" s="1">
        <v>3.1536291356758142</v>
      </c>
      <c r="G7798" s="1">
        <v>1.2036482086021039E-2</v>
      </c>
    </row>
    <row r="7799" spans="1:7">
      <c r="A7799">
        <v>141</v>
      </c>
      <c r="B7799">
        <v>2</v>
      </c>
      <c r="C7799" s="1">
        <f>(Tabela1[[#This Row],[x]]-H$3)*(Tabela1[[#This Row],[x]]-H$3) +(Tabela1[[#This Row],[y]]-H$4)*(Tabela1[[#This Row],[y]]-H$4)</f>
        <v>42685</v>
      </c>
      <c r="D7799" s="1">
        <f>IF(Tabela1[[#This Row],[promien]]&lt;40000,1,0)</f>
        <v>0</v>
      </c>
      <c r="E7799" s="1">
        <f>IF(Tabela1[[#This Row],[promien]]=40000,1,0)</f>
        <v>0</v>
      </c>
      <c r="F7799" s="1">
        <v>3.1532247724067188</v>
      </c>
      <c r="G7799" s="1">
        <v>1.1632118816925718E-2</v>
      </c>
    </row>
    <row r="7800" spans="1:7">
      <c r="A7800">
        <v>43</v>
      </c>
      <c r="B7800">
        <v>271</v>
      </c>
      <c r="C7800" s="1">
        <f>(Tabela1[[#This Row],[x]]-H$3)*(Tabela1[[#This Row],[x]]-H$3) +(Tabela1[[#This Row],[y]]-H$4)*(Tabela1[[#This Row],[y]]-H$4)</f>
        <v>29690</v>
      </c>
      <c r="D7800" s="1">
        <f>IF(Tabela1[[#This Row],[promien]]&lt;40000,1,0)</f>
        <v>1</v>
      </c>
      <c r="E7800" s="1">
        <f>IF(Tabela1[[#This Row],[promien]]=40000,1,0)</f>
        <v>0</v>
      </c>
      <c r="F7800" s="1">
        <v>3.1533333333333333</v>
      </c>
      <c r="G7800" s="1">
        <v>1.1740679743540205E-2</v>
      </c>
    </row>
    <row r="7801" spans="1:7">
      <c r="A7801">
        <v>148</v>
      </c>
      <c r="B7801">
        <v>250</v>
      </c>
      <c r="C7801" s="1">
        <f>(Tabela1[[#This Row],[x]]-H$3)*(Tabela1[[#This Row],[x]]-H$3) +(Tabela1[[#This Row],[y]]-H$4)*(Tabela1[[#This Row],[y]]-H$4)</f>
        <v>5204</v>
      </c>
      <c r="D7801" s="1">
        <f>IF(Tabela1[[#This Row],[promien]]&lt;40000,1,0)</f>
        <v>1</v>
      </c>
      <c r="E7801" s="1">
        <f>IF(Tabela1[[#This Row],[promien]]=40000,1,0)</f>
        <v>0</v>
      </c>
      <c r="F7801" s="1">
        <v>3.1534418664273809</v>
      </c>
      <c r="G7801" s="1">
        <v>1.1849212837587775E-2</v>
      </c>
    </row>
    <row r="7802" spans="1:7">
      <c r="A7802">
        <v>304</v>
      </c>
      <c r="B7802">
        <v>3</v>
      </c>
      <c r="C7802" s="1">
        <f>(Tabela1[[#This Row],[x]]-H$3)*(Tabela1[[#This Row],[x]]-H$3) +(Tabela1[[#This Row],[y]]-H$4)*(Tabela1[[#This Row],[y]]-H$4)</f>
        <v>49625</v>
      </c>
      <c r="D7802" s="1">
        <f>IF(Tabela1[[#This Row],[promien]]&lt;40000,1,0)</f>
        <v>0</v>
      </c>
      <c r="E7802" s="1">
        <f>IF(Tabela1[[#This Row],[promien]]=40000,1,0)</f>
        <v>0</v>
      </c>
      <c r="F7802" s="1">
        <v>3.1530376826454756</v>
      </c>
      <c r="G7802" s="1">
        <v>1.1445029055682454E-2</v>
      </c>
    </row>
    <row r="7803" spans="1:7">
      <c r="A7803">
        <v>111</v>
      </c>
      <c r="B7803">
        <v>112</v>
      </c>
      <c r="C7803" s="1">
        <f>(Tabela1[[#This Row],[x]]-H$3)*(Tabela1[[#This Row],[x]]-H$3) +(Tabela1[[#This Row],[y]]-H$4)*(Tabela1[[#This Row],[y]]-H$4)</f>
        <v>15665</v>
      </c>
      <c r="D7803" s="1">
        <f>IF(Tabela1[[#This Row],[promien]]&lt;40000,1,0)</f>
        <v>1</v>
      </c>
      <c r="E7803" s="1">
        <f>IF(Tabela1[[#This Row],[promien]]=40000,1,0)</f>
        <v>0</v>
      </c>
      <c r="F7803" s="1">
        <v>3.1531462258105858</v>
      </c>
      <c r="G7803" s="1">
        <v>1.1553572220792674E-2</v>
      </c>
    </row>
    <row r="7804" spans="1:7">
      <c r="A7804">
        <v>43</v>
      </c>
      <c r="B7804">
        <v>43</v>
      </c>
      <c r="C7804" s="1">
        <f>(Tabela1[[#This Row],[x]]-H$3)*(Tabela1[[#This Row],[x]]-H$3) +(Tabela1[[#This Row],[y]]-H$4)*(Tabela1[[#This Row],[y]]-H$4)</f>
        <v>49298</v>
      </c>
      <c r="D7804" s="1">
        <f>IF(Tabela1[[#This Row],[promien]]&lt;40000,1,0)</f>
        <v>0</v>
      </c>
      <c r="E7804" s="1">
        <f>IF(Tabela1[[#This Row],[promien]]=40000,1,0)</f>
        <v>0</v>
      </c>
      <c r="F7804" s="1">
        <v>3.1527421834956431</v>
      </c>
      <c r="G7804" s="1">
        <v>1.1149529905849942E-2</v>
      </c>
    </row>
    <row r="7805" spans="1:7">
      <c r="A7805">
        <v>186</v>
      </c>
      <c r="B7805">
        <v>221</v>
      </c>
      <c r="C7805" s="1">
        <f>(Tabela1[[#This Row],[x]]-H$3)*(Tabela1[[#This Row],[x]]-H$3) +(Tabela1[[#This Row],[y]]-H$4)*(Tabela1[[#This Row],[y]]-H$4)</f>
        <v>637</v>
      </c>
      <c r="D7805" s="1">
        <f>IF(Tabela1[[#This Row],[promien]]&lt;40000,1,0)</f>
        <v>1</v>
      </c>
      <c r="E7805" s="1">
        <f>IF(Tabela1[[#This Row],[promien]]=40000,1,0)</f>
        <v>0</v>
      </c>
      <c r="F7805" s="1">
        <v>3.1528507367072391</v>
      </c>
      <c r="G7805" s="1">
        <v>1.1258083117446027E-2</v>
      </c>
    </row>
    <row r="7806" spans="1:7">
      <c r="A7806">
        <v>208</v>
      </c>
      <c r="B7806">
        <v>318</v>
      </c>
      <c r="C7806" s="1">
        <f>(Tabela1[[#This Row],[x]]-H$3)*(Tabela1[[#This Row],[x]]-H$3) +(Tabela1[[#This Row],[y]]-H$4)*(Tabela1[[#This Row],[y]]-H$4)</f>
        <v>13988</v>
      </c>
      <c r="D7806" s="1">
        <f>IF(Tabela1[[#This Row],[promien]]&lt;40000,1,0)</f>
        <v>1</v>
      </c>
      <c r="E7806" s="1">
        <f>IF(Tabela1[[#This Row],[promien]]=40000,1,0)</f>
        <v>0</v>
      </c>
      <c r="F7806" s="1">
        <v>3.1529592621060725</v>
      </c>
      <c r="G7806" s="1">
        <v>1.1366608516279353E-2</v>
      </c>
    </row>
    <row r="7807" spans="1:7">
      <c r="A7807">
        <v>286</v>
      </c>
      <c r="B7807">
        <v>148</v>
      </c>
      <c r="C7807" s="1">
        <f>(Tabela1[[#This Row],[x]]-H$3)*(Tabela1[[#This Row],[x]]-H$3) +(Tabela1[[#This Row],[y]]-H$4)*(Tabela1[[#This Row],[y]]-H$4)</f>
        <v>10100</v>
      </c>
      <c r="D7807" s="1">
        <f>IF(Tabela1[[#This Row],[promien]]&lt;40000,1,0)</f>
        <v>1</v>
      </c>
      <c r="E7807" s="1">
        <f>IF(Tabela1[[#This Row],[promien]]=40000,1,0)</f>
        <v>0</v>
      </c>
      <c r="F7807" s="1">
        <v>3.1530677597028309</v>
      </c>
      <c r="G7807" s="1">
        <v>1.1475106113037814E-2</v>
      </c>
    </row>
    <row r="7808" spans="1:7">
      <c r="A7808">
        <v>312</v>
      </c>
      <c r="B7808">
        <v>316</v>
      </c>
      <c r="C7808" s="1">
        <f>(Tabela1[[#This Row],[x]]-H$3)*(Tabela1[[#This Row],[x]]-H$3) +(Tabela1[[#This Row],[y]]-H$4)*(Tabela1[[#This Row],[y]]-H$4)</f>
        <v>26000</v>
      </c>
      <c r="D7808" s="1">
        <f>IF(Tabela1[[#This Row],[promien]]&lt;40000,1,0)</f>
        <v>1</v>
      </c>
      <c r="E7808" s="1">
        <f>IF(Tabela1[[#This Row],[promien]]=40000,1,0)</f>
        <v>0</v>
      </c>
      <c r="F7808" s="1">
        <v>3.1531762295081966</v>
      </c>
      <c r="G7808" s="1">
        <v>1.1583575918403533E-2</v>
      </c>
    </row>
    <row r="7809" spans="1:7">
      <c r="A7809">
        <v>315</v>
      </c>
      <c r="B7809">
        <v>109</v>
      </c>
      <c r="C7809" s="1">
        <f>(Tabela1[[#This Row],[x]]-H$3)*(Tabela1[[#This Row],[x]]-H$3) +(Tabela1[[#This Row],[y]]-H$4)*(Tabela1[[#This Row],[y]]-H$4)</f>
        <v>21506</v>
      </c>
      <c r="D7809" s="1">
        <f>IF(Tabela1[[#This Row],[promien]]&lt;40000,1,0)</f>
        <v>1</v>
      </c>
      <c r="E7809" s="1">
        <f>IF(Tabela1[[#This Row],[promien]]=40000,1,0)</f>
        <v>0</v>
      </c>
      <c r="F7809" s="1">
        <v>3.1532846715328469</v>
      </c>
      <c r="G7809" s="1">
        <v>1.1692017943053745E-2</v>
      </c>
    </row>
    <row r="7810" spans="1:7">
      <c r="A7810">
        <v>127</v>
      </c>
      <c r="B7810">
        <v>387</v>
      </c>
      <c r="C7810" s="1">
        <f>(Tabela1[[#This Row],[x]]-H$3)*(Tabela1[[#This Row],[x]]-H$3) +(Tabela1[[#This Row],[y]]-H$4)*(Tabela1[[#This Row],[y]]-H$4)</f>
        <v>40298</v>
      </c>
      <c r="D7810" s="1">
        <f>IF(Tabela1[[#This Row],[promien]]&lt;40000,1,0)</f>
        <v>0</v>
      </c>
      <c r="E7810" s="1">
        <f>IF(Tabela1[[#This Row],[promien]]=40000,1,0)</f>
        <v>0</v>
      </c>
      <c r="F7810" s="1">
        <v>3.1528809218950062</v>
      </c>
      <c r="G7810" s="1">
        <v>1.1288268305213123E-2</v>
      </c>
    </row>
    <row r="7811" spans="1:7">
      <c r="A7811">
        <v>370</v>
      </c>
      <c r="B7811">
        <v>397</v>
      </c>
      <c r="C7811" s="1">
        <f>(Tabela1[[#This Row],[x]]-H$3)*(Tabela1[[#This Row],[x]]-H$3) +(Tabela1[[#This Row],[y]]-H$4)*(Tabela1[[#This Row],[y]]-H$4)</f>
        <v>67709</v>
      </c>
      <c r="D7811" s="1">
        <f>IF(Tabela1[[#This Row],[promien]]&lt;40000,1,0)</f>
        <v>0</v>
      </c>
      <c r="E7811" s="1">
        <f>IF(Tabela1[[#This Row],[promien]]=40000,1,0)</f>
        <v>0</v>
      </c>
      <c r="F7811" s="1">
        <v>3.1524772756369224</v>
      </c>
      <c r="G7811" s="1">
        <v>1.0884622047129255E-2</v>
      </c>
    </row>
    <row r="7812" spans="1:7">
      <c r="A7812">
        <v>213</v>
      </c>
      <c r="B7812">
        <v>389</v>
      </c>
      <c r="C7812" s="1">
        <f>(Tabela1[[#This Row],[x]]-H$3)*(Tabela1[[#This Row],[x]]-H$3) +(Tabela1[[#This Row],[y]]-H$4)*(Tabela1[[#This Row],[y]]-H$4)</f>
        <v>35890</v>
      </c>
      <c r="D7812" s="1">
        <f>IF(Tabela1[[#This Row],[promien]]&lt;40000,1,0)</f>
        <v>1</v>
      </c>
      <c r="E7812" s="1">
        <f>IF(Tabela1[[#This Row],[promien]]=40000,1,0)</f>
        <v>0</v>
      </c>
      <c r="F7812" s="1">
        <v>3.1525857654889915</v>
      </c>
      <c r="G7812" s="1">
        <v>1.0993111899198382E-2</v>
      </c>
    </row>
    <row r="7813" spans="1:7">
      <c r="A7813">
        <v>201</v>
      </c>
      <c r="B7813">
        <v>11</v>
      </c>
      <c r="C7813" s="1">
        <f>(Tabela1[[#This Row],[x]]-H$3)*(Tabela1[[#This Row],[x]]-H$3) +(Tabela1[[#This Row],[y]]-H$4)*(Tabela1[[#This Row],[y]]-H$4)</f>
        <v>35722</v>
      </c>
      <c r="D7813" s="1">
        <f>IF(Tabela1[[#This Row],[promien]]&lt;40000,1,0)</f>
        <v>1</v>
      </c>
      <c r="E7813" s="1">
        <f>IF(Tabela1[[#This Row],[promien]]=40000,1,0)</f>
        <v>0</v>
      </c>
      <c r="F7813" s="1">
        <v>3.1526942275694356</v>
      </c>
      <c r="G7813" s="1">
        <v>1.1101573979642509E-2</v>
      </c>
    </row>
    <row r="7814" spans="1:7">
      <c r="A7814">
        <v>90</v>
      </c>
      <c r="B7814">
        <v>50</v>
      </c>
      <c r="C7814" s="1">
        <f>(Tabela1[[#This Row],[x]]-H$3)*(Tabela1[[#This Row],[x]]-H$3) +(Tabela1[[#This Row],[y]]-H$4)*(Tabela1[[#This Row],[y]]-H$4)</f>
        <v>34600</v>
      </c>
      <c r="D7814" s="1">
        <f>IF(Tabela1[[#This Row],[promien]]&lt;40000,1,0)</f>
        <v>1</v>
      </c>
      <c r="E7814" s="1">
        <f>IF(Tabela1[[#This Row],[promien]]=40000,1,0)</f>
        <v>0</v>
      </c>
      <c r="F7814" s="1">
        <v>3.1528026618889173</v>
      </c>
      <c r="G7814" s="1">
        <v>1.1210008299124219E-2</v>
      </c>
    </row>
    <row r="7815" spans="1:7">
      <c r="A7815">
        <v>218</v>
      </c>
      <c r="B7815">
        <v>372</v>
      </c>
      <c r="C7815" s="1">
        <f>(Tabela1[[#This Row],[x]]-H$3)*(Tabela1[[#This Row],[x]]-H$3) +(Tabela1[[#This Row],[y]]-H$4)*(Tabela1[[#This Row],[y]]-H$4)</f>
        <v>29908</v>
      </c>
      <c r="D7815" s="1">
        <f>IF(Tabela1[[#This Row],[promien]]&lt;40000,1,0)</f>
        <v>1</v>
      </c>
      <c r="E7815" s="1">
        <f>IF(Tabela1[[#This Row],[promien]]=40000,1,0)</f>
        <v>0</v>
      </c>
      <c r="F7815" s="1">
        <v>3.1529110684580934</v>
      </c>
      <c r="G7815" s="1">
        <v>1.1318414868300319E-2</v>
      </c>
    </row>
    <row r="7816" spans="1:7">
      <c r="A7816">
        <v>379</v>
      </c>
      <c r="B7816">
        <v>364</v>
      </c>
      <c r="C7816" s="1">
        <f>(Tabela1[[#This Row],[x]]-H$3)*(Tabela1[[#This Row],[x]]-H$3) +(Tabela1[[#This Row],[y]]-H$4)*(Tabela1[[#This Row],[y]]-H$4)</f>
        <v>58937</v>
      </c>
      <c r="D7816" s="1">
        <f>IF(Tabela1[[#This Row],[promien]]&lt;40000,1,0)</f>
        <v>0</v>
      </c>
      <c r="E7816" s="1">
        <f>IF(Tabela1[[#This Row],[promien]]=40000,1,0)</f>
        <v>0</v>
      </c>
      <c r="F7816" s="1">
        <v>3.1525076765609006</v>
      </c>
      <c r="G7816" s="1">
        <v>1.0915022971107469E-2</v>
      </c>
    </row>
    <row r="7817" spans="1:7">
      <c r="A7817">
        <v>129</v>
      </c>
      <c r="B7817">
        <v>165</v>
      </c>
      <c r="C7817" s="1">
        <f>(Tabela1[[#This Row],[x]]-H$3)*(Tabela1[[#This Row],[x]]-H$3) +(Tabela1[[#This Row],[y]]-H$4)*(Tabela1[[#This Row],[y]]-H$4)</f>
        <v>6266</v>
      </c>
      <c r="D7817" s="1">
        <f>IF(Tabela1[[#This Row],[promien]]&lt;40000,1,0)</f>
        <v>1</v>
      </c>
      <c r="E7817" s="1">
        <f>IF(Tabela1[[#This Row],[promien]]=40000,1,0)</f>
        <v>0</v>
      </c>
      <c r="F7817" s="1">
        <v>3.1526160931303568</v>
      </c>
      <c r="G7817" s="1">
        <v>1.1023439540563729E-2</v>
      </c>
    </row>
    <row r="7818" spans="1:7">
      <c r="A7818">
        <v>33</v>
      </c>
      <c r="B7818">
        <v>316</v>
      </c>
      <c r="C7818" s="1">
        <f>(Tabela1[[#This Row],[x]]-H$3)*(Tabela1[[#This Row],[x]]-H$3) +(Tabela1[[#This Row],[y]]-H$4)*(Tabela1[[#This Row],[y]]-H$4)</f>
        <v>41345</v>
      </c>
      <c r="D7818" s="1">
        <f>IF(Tabela1[[#This Row],[promien]]&lt;40000,1,0)</f>
        <v>0</v>
      </c>
      <c r="E7818" s="1">
        <f>IF(Tabela1[[#This Row],[promien]]=40000,1,0)</f>
        <v>0</v>
      </c>
      <c r="F7818" s="1">
        <v>3.1522128421591198</v>
      </c>
      <c r="G7818" s="1">
        <v>1.0620188569326672E-2</v>
      </c>
    </row>
    <row r="7819" spans="1:7">
      <c r="A7819">
        <v>299</v>
      </c>
      <c r="B7819">
        <v>76</v>
      </c>
      <c r="C7819" s="1">
        <f>(Tabela1[[#This Row],[x]]-H$3)*(Tabela1[[#This Row],[x]]-H$3) +(Tabela1[[#This Row],[y]]-H$4)*(Tabela1[[#This Row],[y]]-H$4)</f>
        <v>25177</v>
      </c>
      <c r="D7819" s="1">
        <f>IF(Tabela1[[#This Row],[promien]]&lt;40000,1,0)</f>
        <v>1</v>
      </c>
      <c r="E7819" s="1">
        <f>IF(Tabela1[[#This Row],[promien]]=40000,1,0)</f>
        <v>0</v>
      </c>
      <c r="F7819" s="1">
        <v>3.152321268704438</v>
      </c>
      <c r="G7819" s="1">
        <v>1.0728615114644846E-2</v>
      </c>
    </row>
    <row r="7820" spans="1:7">
      <c r="A7820">
        <v>86</v>
      </c>
      <c r="B7820">
        <v>301</v>
      </c>
      <c r="C7820" s="1">
        <f>(Tabela1[[#This Row],[x]]-H$3)*(Tabela1[[#This Row],[x]]-H$3) +(Tabela1[[#This Row],[y]]-H$4)*(Tabela1[[#This Row],[y]]-H$4)</f>
        <v>23197</v>
      </c>
      <c r="D7820" s="1">
        <f>IF(Tabela1[[#This Row],[promien]]&lt;40000,1,0)</f>
        <v>1</v>
      </c>
      <c r="E7820" s="1">
        <f>IF(Tabela1[[#This Row],[promien]]=40000,1,0)</f>
        <v>0</v>
      </c>
      <c r="F7820" s="1">
        <v>3.1524296675191814</v>
      </c>
      <c r="G7820" s="1">
        <v>1.0837013929388295E-2</v>
      </c>
    </row>
    <row r="7821" spans="1:7">
      <c r="A7821">
        <v>391</v>
      </c>
      <c r="B7821">
        <v>360</v>
      </c>
      <c r="C7821" s="1">
        <f>(Tabela1[[#This Row],[x]]-H$3)*(Tabela1[[#This Row],[x]]-H$3) +(Tabela1[[#This Row],[y]]-H$4)*(Tabela1[[#This Row],[y]]-H$4)</f>
        <v>62081</v>
      </c>
      <c r="D7821" s="1">
        <f>IF(Tabela1[[#This Row],[promien]]&lt;40000,1,0)</f>
        <v>0</v>
      </c>
      <c r="E7821" s="1">
        <f>IF(Tabela1[[#This Row],[promien]]=40000,1,0)</f>
        <v>0</v>
      </c>
      <c r="F7821" s="1">
        <v>3.1520265950645698</v>
      </c>
      <c r="G7821" s="1">
        <v>1.043394147477672E-2</v>
      </c>
    </row>
    <row r="7822" spans="1:7">
      <c r="A7822">
        <v>57</v>
      </c>
      <c r="B7822">
        <v>282</v>
      </c>
      <c r="C7822" s="1">
        <f>(Tabela1[[#This Row],[x]]-H$3)*(Tabela1[[#This Row],[x]]-H$3) +(Tabela1[[#This Row],[y]]-H$4)*(Tabela1[[#This Row],[y]]-H$4)</f>
        <v>27173</v>
      </c>
      <c r="D7822" s="1">
        <f>IF(Tabela1[[#This Row],[promien]]&lt;40000,1,0)</f>
        <v>1</v>
      </c>
      <c r="E7822" s="1">
        <f>IF(Tabela1[[#This Row],[promien]]=40000,1,0)</f>
        <v>0</v>
      </c>
      <c r="F7822" s="1">
        <v>3.1521350038353364</v>
      </c>
      <c r="G7822" s="1">
        <v>1.0542350245543286E-2</v>
      </c>
    </row>
    <row r="7823" spans="1:7">
      <c r="A7823">
        <v>308</v>
      </c>
      <c r="B7823">
        <v>46</v>
      </c>
      <c r="C7823" s="1">
        <f>(Tabela1[[#This Row],[x]]-H$3)*(Tabela1[[#This Row],[x]]-H$3) +(Tabela1[[#This Row],[y]]-H$4)*(Tabela1[[#This Row],[y]]-H$4)</f>
        <v>35380</v>
      </c>
      <c r="D7823" s="1">
        <f>IF(Tabela1[[#This Row],[promien]]&lt;40000,1,0)</f>
        <v>1</v>
      </c>
      <c r="E7823" s="1">
        <f>IF(Tabela1[[#This Row],[promien]]=40000,1,0)</f>
        <v>0</v>
      </c>
      <c r="F7823" s="1">
        <v>3.1522433848907068</v>
      </c>
      <c r="G7823" s="1">
        <v>1.0650731300913652E-2</v>
      </c>
    </row>
    <row r="7824" spans="1:7">
      <c r="A7824">
        <v>220</v>
      </c>
      <c r="B7824">
        <v>166</v>
      </c>
      <c r="C7824" s="1">
        <f>(Tabela1[[#This Row],[x]]-H$3)*(Tabela1[[#This Row],[x]]-H$3) +(Tabela1[[#This Row],[y]]-H$4)*(Tabela1[[#This Row],[y]]-H$4)</f>
        <v>1556</v>
      </c>
      <c r="D7824" s="1">
        <f>IF(Tabela1[[#This Row],[promien]]&lt;40000,1,0)</f>
        <v>1</v>
      </c>
      <c r="E7824" s="1">
        <f>IF(Tabela1[[#This Row],[promien]]=40000,1,0)</f>
        <v>0</v>
      </c>
      <c r="F7824" s="1">
        <v>3.1523517382413089</v>
      </c>
      <c r="G7824" s="1">
        <v>1.075908465151576E-2</v>
      </c>
    </row>
    <row r="7825" spans="1:7">
      <c r="A7825">
        <v>330</v>
      </c>
      <c r="B7825">
        <v>209</v>
      </c>
      <c r="C7825" s="1">
        <f>(Tabela1[[#This Row],[x]]-H$3)*(Tabela1[[#This Row],[x]]-H$3) +(Tabela1[[#This Row],[y]]-H$4)*(Tabela1[[#This Row],[y]]-H$4)</f>
        <v>16981</v>
      </c>
      <c r="D7825" s="1">
        <f>IF(Tabela1[[#This Row],[promien]]&lt;40000,1,0)</f>
        <v>1</v>
      </c>
      <c r="E7825" s="1">
        <f>IF(Tabela1[[#This Row],[promien]]=40000,1,0)</f>
        <v>0</v>
      </c>
      <c r="F7825" s="1">
        <v>3.1524600638977636</v>
      </c>
      <c r="G7825" s="1">
        <v>1.0867410307970449E-2</v>
      </c>
    </row>
    <row r="7826" spans="1:7">
      <c r="A7826">
        <v>119</v>
      </c>
      <c r="B7826">
        <v>128</v>
      </c>
      <c r="C7826" s="1">
        <f>(Tabela1[[#This Row],[x]]-H$3)*(Tabela1[[#This Row],[x]]-H$3) +(Tabela1[[#This Row],[y]]-H$4)*(Tabela1[[#This Row],[y]]-H$4)</f>
        <v>11745</v>
      </c>
      <c r="D7826" s="1">
        <f>IF(Tabela1[[#This Row],[promien]]&lt;40000,1,0)</f>
        <v>1</v>
      </c>
      <c r="E7826" s="1">
        <f>IF(Tabela1[[#This Row],[promien]]=40000,1,0)</f>
        <v>0</v>
      </c>
      <c r="F7826" s="1">
        <v>3.1525683618706872</v>
      </c>
      <c r="G7826" s="1">
        <v>1.0975708280894114E-2</v>
      </c>
    </row>
    <row r="7827" spans="1:7">
      <c r="A7827">
        <v>366</v>
      </c>
      <c r="B7827">
        <v>373</v>
      </c>
      <c r="C7827" s="1">
        <f>(Tabela1[[#This Row],[x]]-H$3)*(Tabela1[[#This Row],[x]]-H$3) +(Tabela1[[#This Row],[y]]-H$4)*(Tabela1[[#This Row],[y]]-H$4)</f>
        <v>57485</v>
      </c>
      <c r="D7827" s="1">
        <f>IF(Tabela1[[#This Row],[promien]]&lt;40000,1,0)</f>
        <v>0</v>
      </c>
      <c r="E7827" s="1">
        <f>IF(Tabela1[[#This Row],[promien]]=40000,1,0)</f>
        <v>0</v>
      </c>
      <c r="F7827" s="1">
        <v>3.1521655806822539</v>
      </c>
      <c r="G7827" s="1">
        <v>1.0572927092460827E-2</v>
      </c>
    </row>
    <row r="7828" spans="1:7">
      <c r="A7828">
        <v>97</v>
      </c>
      <c r="B7828">
        <v>96</v>
      </c>
      <c r="C7828" s="1">
        <f>(Tabela1[[#This Row],[x]]-H$3)*(Tabela1[[#This Row],[x]]-H$3) +(Tabela1[[#This Row],[y]]-H$4)*(Tabela1[[#This Row],[y]]-H$4)</f>
        <v>21425</v>
      </c>
      <c r="D7828" s="1">
        <f>IF(Tabela1[[#This Row],[promien]]&lt;40000,1,0)</f>
        <v>1</v>
      </c>
      <c r="E7828" s="1">
        <f>IF(Tabela1[[#This Row],[promien]]=40000,1,0)</f>
        <v>0</v>
      </c>
      <c r="F7828" s="1">
        <v>3.1522738886050075</v>
      </c>
      <c r="G7828" s="1">
        <v>1.0681235015214341E-2</v>
      </c>
    </row>
    <row r="7829" spans="1:7">
      <c r="A7829">
        <v>25</v>
      </c>
      <c r="B7829">
        <v>64</v>
      </c>
      <c r="C7829" s="1">
        <f>(Tabela1[[#This Row],[x]]-H$3)*(Tabela1[[#This Row],[x]]-H$3) +(Tabela1[[#This Row],[y]]-H$4)*(Tabela1[[#This Row],[y]]-H$4)</f>
        <v>49121</v>
      </c>
      <c r="D7829" s="1">
        <f>IF(Tabela1[[#This Row],[promien]]&lt;40000,1,0)</f>
        <v>0</v>
      </c>
      <c r="E7829" s="1">
        <f>IF(Tabela1[[#This Row],[promien]]=40000,1,0)</f>
        <v>0</v>
      </c>
      <c r="F7829" s="1">
        <v>3.1518712479243836</v>
      </c>
      <c r="G7829" s="1">
        <v>1.0278594334590441E-2</v>
      </c>
    </row>
    <row r="7830" spans="1:7">
      <c r="A7830">
        <v>323</v>
      </c>
      <c r="B7830">
        <v>158</v>
      </c>
      <c r="C7830" s="1">
        <f>(Tabela1[[#This Row],[x]]-H$3)*(Tabela1[[#This Row],[x]]-H$3) +(Tabela1[[#This Row],[y]]-H$4)*(Tabela1[[#This Row],[y]]-H$4)</f>
        <v>16893</v>
      </c>
      <c r="D7830" s="1">
        <f>IF(Tabela1[[#This Row],[promien]]&lt;40000,1,0)</f>
        <v>1</v>
      </c>
      <c r="E7830" s="1">
        <f>IF(Tabela1[[#This Row],[promien]]=40000,1,0)</f>
        <v>0</v>
      </c>
      <c r="F7830" s="1">
        <v>3.151979565772669</v>
      </c>
      <c r="G7830" s="1">
        <v>1.0386912182875907E-2</v>
      </c>
    </row>
    <row r="7831" spans="1:7">
      <c r="A7831">
        <v>289</v>
      </c>
      <c r="B7831">
        <v>269</v>
      </c>
      <c r="C7831" s="1">
        <f>(Tabela1[[#This Row],[x]]-H$3)*(Tabela1[[#This Row],[x]]-H$3) +(Tabela1[[#This Row],[y]]-H$4)*(Tabela1[[#This Row],[y]]-H$4)</f>
        <v>12682</v>
      </c>
      <c r="D7831" s="1">
        <f>IF(Tabela1[[#This Row],[promien]]&lt;40000,1,0)</f>
        <v>1</v>
      </c>
      <c r="E7831" s="1">
        <f>IF(Tabela1[[#This Row],[promien]]=40000,1,0)</f>
        <v>0</v>
      </c>
      <c r="F7831" s="1">
        <v>3.1520878559570935</v>
      </c>
      <c r="G7831" s="1">
        <v>1.0495202367300394E-2</v>
      </c>
    </row>
    <row r="7832" spans="1:7">
      <c r="A7832">
        <v>42</v>
      </c>
      <c r="B7832">
        <v>367</v>
      </c>
      <c r="C7832" s="1">
        <f>(Tabela1[[#This Row],[x]]-H$3)*(Tabela1[[#This Row],[x]]-H$3) +(Tabela1[[#This Row],[y]]-H$4)*(Tabela1[[#This Row],[y]]-H$4)</f>
        <v>52853</v>
      </c>
      <c r="D7832" s="1">
        <f>IF(Tabela1[[#This Row],[promien]]&lt;40000,1,0)</f>
        <v>0</v>
      </c>
      <c r="E7832" s="1">
        <f>IF(Tabela1[[#This Row],[promien]]=40000,1,0)</f>
        <v>0</v>
      </c>
      <c r="F7832" s="1">
        <v>3.1516853932584268</v>
      </c>
      <c r="G7832" s="1">
        <v>1.0092739668633666E-2</v>
      </c>
    </row>
    <row r="7833" spans="1:7">
      <c r="A7833">
        <v>116</v>
      </c>
      <c r="B7833">
        <v>45</v>
      </c>
      <c r="C7833" s="1">
        <f>(Tabela1[[#This Row],[x]]-H$3)*(Tabela1[[#This Row],[x]]-H$3) +(Tabela1[[#This Row],[y]]-H$4)*(Tabela1[[#This Row],[y]]-H$4)</f>
        <v>31081</v>
      </c>
      <c r="D7833" s="1">
        <f>IF(Tabela1[[#This Row],[promien]]&lt;40000,1,0)</f>
        <v>1</v>
      </c>
      <c r="E7833" s="1">
        <f>IF(Tabela1[[#This Row],[promien]]=40000,1,0)</f>
        <v>0</v>
      </c>
      <c r="F7833" s="1">
        <v>3.1517936933486532</v>
      </c>
      <c r="G7833" s="1">
        <v>1.0201039758860109E-2</v>
      </c>
    </row>
    <row r="7834" spans="1:7">
      <c r="A7834">
        <v>366</v>
      </c>
      <c r="B7834">
        <v>124</v>
      </c>
      <c r="C7834" s="1">
        <f>(Tabela1[[#This Row],[x]]-H$3)*(Tabela1[[#This Row],[x]]-H$3) +(Tabela1[[#This Row],[y]]-H$4)*(Tabela1[[#This Row],[y]]-H$4)</f>
        <v>33332</v>
      </c>
      <c r="D7834" s="1">
        <f>IF(Tabela1[[#This Row],[promien]]&lt;40000,1,0)</f>
        <v>1</v>
      </c>
      <c r="E7834" s="1">
        <f>IF(Tabela1[[#This Row],[promien]]=40000,1,0)</f>
        <v>0</v>
      </c>
      <c r="F7834" s="1">
        <v>3.1519019657901457</v>
      </c>
      <c r="G7834" s="1">
        <v>1.0309312200352583E-2</v>
      </c>
    </row>
    <row r="7835" spans="1:7">
      <c r="A7835">
        <v>207</v>
      </c>
      <c r="B7835">
        <v>28</v>
      </c>
      <c r="C7835" s="1">
        <f>(Tabela1[[#This Row],[x]]-H$3)*(Tabela1[[#This Row],[x]]-H$3) +(Tabela1[[#This Row],[y]]-H$4)*(Tabela1[[#This Row],[y]]-H$4)</f>
        <v>29633</v>
      </c>
      <c r="D7835" s="1">
        <f>IF(Tabela1[[#This Row],[promien]]&lt;40000,1,0)</f>
        <v>1</v>
      </c>
      <c r="E7835" s="1">
        <f>IF(Tabela1[[#This Row],[promien]]=40000,1,0)</f>
        <v>0</v>
      </c>
      <c r="F7835" s="1">
        <v>3.1520102105934908</v>
      </c>
      <c r="G7835" s="1">
        <v>1.0417557003697731E-2</v>
      </c>
    </row>
    <row r="7836" spans="1:7">
      <c r="A7836">
        <v>173</v>
      </c>
      <c r="B7836">
        <v>252</v>
      </c>
      <c r="C7836" s="1">
        <f>(Tabela1[[#This Row],[x]]-H$3)*(Tabela1[[#This Row],[x]]-H$3) +(Tabela1[[#This Row],[y]]-H$4)*(Tabela1[[#This Row],[y]]-H$4)</f>
        <v>3433</v>
      </c>
      <c r="D7836" s="1">
        <f>IF(Tabela1[[#This Row],[promien]]&lt;40000,1,0)</f>
        <v>1</v>
      </c>
      <c r="E7836" s="1">
        <f>IF(Tabela1[[#This Row],[promien]]=40000,1,0)</f>
        <v>0</v>
      </c>
      <c r="F7836" s="1">
        <v>3.15211842776927</v>
      </c>
      <c r="G7836" s="1">
        <v>1.0525774179476866E-2</v>
      </c>
    </row>
    <row r="7837" spans="1:7">
      <c r="A7837">
        <v>55</v>
      </c>
      <c r="B7837">
        <v>141</v>
      </c>
      <c r="C7837" s="1">
        <f>(Tabela1[[#This Row],[x]]-H$3)*(Tabela1[[#This Row],[x]]-H$3) +(Tabela1[[#This Row],[y]]-H$4)*(Tabela1[[#This Row],[y]]-H$4)</f>
        <v>24506</v>
      </c>
      <c r="D7837" s="1">
        <f>IF(Tabela1[[#This Row],[promien]]&lt;40000,1,0)</f>
        <v>1</v>
      </c>
      <c r="E7837" s="1">
        <f>IF(Tabela1[[#This Row],[promien]]=40000,1,0)</f>
        <v>0</v>
      </c>
      <c r="F7837" s="1">
        <v>3.1522266173280591</v>
      </c>
      <c r="G7837" s="1">
        <v>1.0633963738265972E-2</v>
      </c>
    </row>
    <row r="7838" spans="1:7">
      <c r="A7838">
        <v>398</v>
      </c>
      <c r="B7838">
        <v>219</v>
      </c>
      <c r="C7838" s="1">
        <f>(Tabela1[[#This Row],[x]]-H$3)*(Tabela1[[#This Row],[x]]-H$3) +(Tabela1[[#This Row],[y]]-H$4)*(Tabela1[[#This Row],[y]]-H$4)</f>
        <v>39565</v>
      </c>
      <c r="D7838" s="1">
        <f>IF(Tabela1[[#This Row],[promien]]&lt;40000,1,0)</f>
        <v>1</v>
      </c>
      <c r="E7838" s="1">
        <f>IF(Tabela1[[#This Row],[promien]]=40000,1,0)</f>
        <v>0</v>
      </c>
      <c r="F7838" s="1">
        <v>3.1523347792804288</v>
      </c>
      <c r="G7838" s="1">
        <v>1.0742125690635707E-2</v>
      </c>
    </row>
    <row r="7839" spans="1:7">
      <c r="A7839">
        <v>290</v>
      </c>
      <c r="B7839">
        <v>72</v>
      </c>
      <c r="C7839" s="1">
        <f>(Tabela1[[#This Row],[x]]-H$3)*(Tabela1[[#This Row],[x]]-H$3) +(Tabela1[[#This Row],[y]]-H$4)*(Tabela1[[#This Row],[y]]-H$4)</f>
        <v>24484</v>
      </c>
      <c r="D7839" s="1">
        <f>IF(Tabela1[[#This Row],[promien]]&lt;40000,1,0)</f>
        <v>1</v>
      </c>
      <c r="E7839" s="1">
        <f>IF(Tabela1[[#This Row],[promien]]=40000,1,0)</f>
        <v>0</v>
      </c>
      <c r="F7839" s="1">
        <v>3.1524429136369436</v>
      </c>
      <c r="G7839" s="1">
        <v>1.0850260047150506E-2</v>
      </c>
    </row>
    <row r="7840" spans="1:7">
      <c r="A7840">
        <v>304</v>
      </c>
      <c r="B7840">
        <v>29</v>
      </c>
      <c r="C7840" s="1">
        <f>(Tabela1[[#This Row],[x]]-H$3)*(Tabela1[[#This Row],[x]]-H$3) +(Tabela1[[#This Row],[y]]-H$4)*(Tabela1[[#This Row],[y]]-H$4)</f>
        <v>40057</v>
      </c>
      <c r="D7840" s="1">
        <f>IF(Tabela1[[#This Row],[promien]]&lt;40000,1,0)</f>
        <v>0</v>
      </c>
      <c r="E7840" s="1">
        <f>IF(Tabela1[[#This Row],[promien]]=40000,1,0)</f>
        <v>0</v>
      </c>
      <c r="F7840" s="1">
        <v>3.1520408163265308</v>
      </c>
      <c r="G7840" s="1">
        <v>1.0448162736737654E-2</v>
      </c>
    </row>
    <row r="7841" spans="1:7">
      <c r="A7841">
        <v>333</v>
      </c>
      <c r="B7841">
        <v>155</v>
      </c>
      <c r="C7841" s="1">
        <f>(Tabela1[[#This Row],[x]]-H$3)*(Tabela1[[#This Row],[x]]-H$3) +(Tabela1[[#This Row],[y]]-H$4)*(Tabela1[[#This Row],[y]]-H$4)</f>
        <v>19714</v>
      </c>
      <c r="D7841" s="1">
        <f>IF(Tabela1[[#This Row],[promien]]&lt;40000,1,0)</f>
        <v>1</v>
      </c>
      <c r="E7841" s="1">
        <f>IF(Tabela1[[#This Row],[promien]]=40000,1,0)</f>
        <v>0</v>
      </c>
      <c r="F7841" s="1">
        <v>3.1521489605917612</v>
      </c>
      <c r="G7841" s="1">
        <v>1.0556307001968079E-2</v>
      </c>
    </row>
    <row r="7842" spans="1:7">
      <c r="A7842">
        <v>378</v>
      </c>
      <c r="B7842">
        <v>104</v>
      </c>
      <c r="C7842" s="1">
        <f>(Tabela1[[#This Row],[x]]-H$3)*(Tabela1[[#This Row],[x]]-H$3) +(Tabela1[[#This Row],[y]]-H$4)*(Tabela1[[#This Row],[y]]-H$4)</f>
        <v>40900</v>
      </c>
      <c r="D7842" s="1">
        <f>IF(Tabela1[[#This Row],[promien]]&lt;40000,1,0)</f>
        <v>0</v>
      </c>
      <c r="E7842" s="1">
        <f>IF(Tabela1[[#This Row],[promien]]=40000,1,0)</f>
        <v>0</v>
      </c>
      <c r="F7842" s="1">
        <v>3.1517470033154806</v>
      </c>
      <c r="G7842" s="1">
        <v>1.0154349725687517E-2</v>
      </c>
    </row>
    <row r="7843" spans="1:7">
      <c r="A7843">
        <v>127</v>
      </c>
      <c r="B7843">
        <v>170</v>
      </c>
      <c r="C7843" s="1">
        <f>(Tabela1[[#This Row],[x]]-H$3)*(Tabela1[[#This Row],[x]]-H$3) +(Tabela1[[#This Row],[y]]-H$4)*(Tabela1[[#This Row],[y]]-H$4)</f>
        <v>6229</v>
      </c>
      <c r="D7843" s="1">
        <f>IF(Tabela1[[#This Row],[promien]]&lt;40000,1,0)</f>
        <v>1</v>
      </c>
      <c r="E7843" s="1">
        <f>IF(Tabela1[[#This Row],[promien]]=40000,1,0)</f>
        <v>0</v>
      </c>
      <c r="F7843" s="1">
        <v>3.1518551574652558</v>
      </c>
      <c r="G7843" s="1">
        <v>1.0262503875462681E-2</v>
      </c>
    </row>
    <row r="7844" spans="1:7">
      <c r="A7844">
        <v>333</v>
      </c>
      <c r="B7844">
        <v>39</v>
      </c>
      <c r="C7844" s="1">
        <f>(Tabela1[[#This Row],[x]]-H$3)*(Tabela1[[#This Row],[x]]-H$3) +(Tabela1[[#This Row],[y]]-H$4)*(Tabela1[[#This Row],[y]]-H$4)</f>
        <v>43610</v>
      </c>
      <c r="D7844" s="1">
        <f>IF(Tabela1[[#This Row],[promien]]&lt;40000,1,0)</f>
        <v>0</v>
      </c>
      <c r="E7844" s="1">
        <f>IF(Tabela1[[#This Row],[promien]]=40000,1,0)</f>
        <v>0</v>
      </c>
      <c r="F7844" s="1">
        <v>3.1514533401325853</v>
      </c>
      <c r="G7844" s="1">
        <v>9.860686542792152E-3</v>
      </c>
    </row>
    <row r="7845" spans="1:7">
      <c r="A7845">
        <v>359</v>
      </c>
      <c r="B7845">
        <v>114</v>
      </c>
      <c r="C7845" s="1">
        <f>(Tabela1[[#This Row],[x]]-H$3)*(Tabela1[[#This Row],[x]]-H$3) +(Tabela1[[#This Row],[y]]-H$4)*(Tabela1[[#This Row],[y]]-H$4)</f>
        <v>32677</v>
      </c>
      <c r="D7845" s="1">
        <f>IF(Tabela1[[#This Row],[promien]]&lt;40000,1,0)</f>
        <v>1</v>
      </c>
      <c r="E7845" s="1">
        <f>IF(Tabela1[[#This Row],[promien]]=40000,1,0)</f>
        <v>0</v>
      </c>
      <c r="F7845" s="1">
        <v>3.1515615041427663</v>
      </c>
      <c r="G7845" s="1">
        <v>9.9688505529731408E-3</v>
      </c>
    </row>
    <row r="7846" spans="1:7">
      <c r="A7846">
        <v>172</v>
      </c>
      <c r="B7846">
        <v>208</v>
      </c>
      <c r="C7846" s="1">
        <f>(Tabela1[[#This Row],[x]]-H$3)*(Tabela1[[#This Row],[x]]-H$3) +(Tabela1[[#This Row],[y]]-H$4)*(Tabela1[[#This Row],[y]]-H$4)</f>
        <v>848</v>
      </c>
      <c r="D7846" s="1">
        <f>IF(Tabela1[[#This Row],[promien]]&lt;40000,1,0)</f>
        <v>1</v>
      </c>
      <c r="E7846" s="1">
        <f>IF(Tabela1[[#This Row],[promien]]=40000,1,0)</f>
        <v>0</v>
      </c>
      <c r="F7846" s="1">
        <v>3.1516696405811877</v>
      </c>
      <c r="G7846" s="1">
        <v>1.0076986991394588E-2</v>
      </c>
    </row>
    <row r="7847" spans="1:7">
      <c r="A7847">
        <v>186</v>
      </c>
      <c r="B7847">
        <v>0</v>
      </c>
      <c r="C7847" s="1">
        <f>(Tabela1[[#This Row],[x]]-H$3)*(Tabela1[[#This Row],[x]]-H$3) +(Tabela1[[#This Row],[y]]-H$4)*(Tabela1[[#This Row],[y]]-H$4)</f>
        <v>40196</v>
      </c>
      <c r="D7847" s="1">
        <f>IF(Tabela1[[#This Row],[promien]]&lt;40000,1,0)</f>
        <v>0</v>
      </c>
      <c r="E7847" s="1">
        <f>IF(Tabela1[[#This Row],[promien]]=40000,1,0)</f>
        <v>0</v>
      </c>
      <c r="F7847" s="1">
        <v>3.1512680005097491</v>
      </c>
      <c r="G7847" s="1">
        <v>9.6753469199559738E-3</v>
      </c>
    </row>
    <row r="7848" spans="1:7">
      <c r="A7848">
        <v>245</v>
      </c>
      <c r="B7848">
        <v>299</v>
      </c>
      <c r="C7848" s="1">
        <f>(Tabela1[[#This Row],[x]]-H$3)*(Tabela1[[#This Row],[x]]-H$3) +(Tabela1[[#This Row],[y]]-H$4)*(Tabela1[[#This Row],[y]]-H$4)</f>
        <v>11826</v>
      </c>
      <c r="D7848" s="1">
        <f>IF(Tabela1[[#This Row],[promien]]&lt;40000,1,0)</f>
        <v>1</v>
      </c>
      <c r="E7848" s="1">
        <f>IF(Tabela1[[#This Row],[promien]]=40000,1,0)</f>
        <v>0</v>
      </c>
      <c r="F7848" s="1">
        <v>3.1513761467889907</v>
      </c>
      <c r="G7848" s="1">
        <v>9.7834931991975793E-3</v>
      </c>
    </row>
    <row r="7849" spans="1:7">
      <c r="A7849">
        <v>343</v>
      </c>
      <c r="B7849">
        <v>371</v>
      </c>
      <c r="C7849" s="1">
        <f>(Tabela1[[#This Row],[x]]-H$3)*(Tabela1[[#This Row],[x]]-H$3) +(Tabela1[[#This Row],[y]]-H$4)*(Tabela1[[#This Row],[y]]-H$4)</f>
        <v>49690</v>
      </c>
      <c r="D7849" s="1">
        <f>IF(Tabela1[[#This Row],[promien]]&lt;40000,1,0)</f>
        <v>0</v>
      </c>
      <c r="E7849" s="1">
        <f>IF(Tabela1[[#This Row],[promien]]=40000,1,0)</f>
        <v>0</v>
      </c>
      <c r="F7849" s="1">
        <v>3.1509746464517772</v>
      </c>
      <c r="G7849" s="1">
        <v>9.3819928619840454E-3</v>
      </c>
    </row>
    <row r="7850" spans="1:7">
      <c r="A7850">
        <v>66</v>
      </c>
      <c r="B7850">
        <v>155</v>
      </c>
      <c r="C7850" s="1">
        <f>(Tabela1[[#This Row],[x]]-H$3)*(Tabela1[[#This Row],[x]]-H$3) +(Tabela1[[#This Row],[y]]-H$4)*(Tabela1[[#This Row],[y]]-H$4)</f>
        <v>19981</v>
      </c>
      <c r="D7850" s="1">
        <f>IF(Tabela1[[#This Row],[promien]]&lt;40000,1,0)</f>
        <v>1</v>
      </c>
      <c r="E7850" s="1">
        <f>IF(Tabela1[[#This Row],[promien]]=40000,1,0)</f>
        <v>0</v>
      </c>
      <c r="F7850" s="1">
        <v>3.1510828025477706</v>
      </c>
      <c r="G7850" s="1">
        <v>9.4901489579775067E-3</v>
      </c>
    </row>
    <row r="7851" spans="1:7">
      <c r="A7851">
        <v>361</v>
      </c>
      <c r="B7851">
        <v>273</v>
      </c>
      <c r="C7851" s="1">
        <f>(Tabela1[[#This Row],[x]]-H$3)*(Tabela1[[#This Row],[x]]-H$3) +(Tabela1[[#This Row],[y]]-H$4)*(Tabela1[[#This Row],[y]]-H$4)</f>
        <v>31250</v>
      </c>
      <c r="D7851" s="1">
        <f>IF(Tabela1[[#This Row],[promien]]&lt;40000,1,0)</f>
        <v>1</v>
      </c>
      <c r="E7851" s="1">
        <f>IF(Tabela1[[#This Row],[promien]]=40000,1,0)</f>
        <v>0</v>
      </c>
      <c r="F7851" s="1">
        <v>3.1511909310915809</v>
      </c>
      <c r="G7851" s="1">
        <v>9.5982775017877664E-3</v>
      </c>
    </row>
    <row r="7852" spans="1:7">
      <c r="A7852">
        <v>214</v>
      </c>
      <c r="B7852">
        <v>90</v>
      </c>
      <c r="C7852" s="1">
        <f>(Tabela1[[#This Row],[x]]-H$3)*(Tabela1[[#This Row],[x]]-H$3) +(Tabela1[[#This Row],[y]]-H$4)*(Tabela1[[#This Row],[y]]-H$4)</f>
        <v>12296</v>
      </c>
      <c r="D7852" s="1">
        <f>IF(Tabela1[[#This Row],[promien]]&lt;40000,1,0)</f>
        <v>1</v>
      </c>
      <c r="E7852" s="1">
        <f>IF(Tabela1[[#This Row],[promien]]=40000,1,0)</f>
        <v>0</v>
      </c>
      <c r="F7852" s="1">
        <v>3.1512990320937342</v>
      </c>
      <c r="G7852" s="1">
        <v>9.706378503941071E-3</v>
      </c>
    </row>
    <row r="7853" spans="1:7">
      <c r="A7853">
        <v>176</v>
      </c>
      <c r="B7853">
        <v>68</v>
      </c>
      <c r="C7853" s="1">
        <f>(Tabela1[[#This Row],[x]]-H$3)*(Tabela1[[#This Row],[x]]-H$3) +(Tabela1[[#This Row],[y]]-H$4)*(Tabela1[[#This Row],[y]]-H$4)</f>
        <v>18000</v>
      </c>
      <c r="D7853" s="1">
        <f>IF(Tabela1[[#This Row],[promien]]&lt;40000,1,0)</f>
        <v>1</v>
      </c>
      <c r="E7853" s="1">
        <f>IF(Tabela1[[#This Row],[promien]]=40000,1,0)</f>
        <v>0</v>
      </c>
      <c r="F7853" s="1">
        <v>3.1514071055647523</v>
      </c>
      <c r="G7853" s="1">
        <v>9.8144519749592263E-3</v>
      </c>
    </row>
    <row r="7854" spans="1:7">
      <c r="A7854">
        <v>127</v>
      </c>
      <c r="B7854">
        <v>133</v>
      </c>
      <c r="C7854" s="1">
        <f>(Tabela1[[#This Row],[x]]-H$3)*(Tabela1[[#This Row],[x]]-H$3) +(Tabela1[[#This Row],[y]]-H$4)*(Tabela1[[#This Row],[y]]-H$4)</f>
        <v>9818</v>
      </c>
      <c r="D7854" s="1">
        <f>IF(Tabela1[[#This Row],[promien]]&lt;40000,1,0)</f>
        <v>1</v>
      </c>
      <c r="E7854" s="1">
        <f>IF(Tabela1[[#This Row],[promien]]=40000,1,0)</f>
        <v>0</v>
      </c>
      <c r="F7854" s="1">
        <v>3.1515151515151514</v>
      </c>
      <c r="G7854" s="1">
        <v>9.9224979253582646E-3</v>
      </c>
    </row>
    <row r="7855" spans="1:7">
      <c r="A7855">
        <v>191</v>
      </c>
      <c r="B7855">
        <v>357</v>
      </c>
      <c r="C7855" s="1">
        <f>(Tabela1[[#This Row],[x]]-H$3)*(Tabela1[[#This Row],[x]]-H$3) +(Tabela1[[#This Row],[y]]-H$4)*(Tabela1[[#This Row],[y]]-H$4)</f>
        <v>24730</v>
      </c>
      <c r="D7855" s="1">
        <f>IF(Tabela1[[#This Row],[promien]]&lt;40000,1,0)</f>
        <v>1</v>
      </c>
      <c r="E7855" s="1">
        <f>IF(Tabela1[[#This Row],[promien]]=40000,1,0)</f>
        <v>0</v>
      </c>
      <c r="F7855" s="1">
        <v>3.1516231699554424</v>
      </c>
      <c r="G7855" s="1">
        <v>1.0030516365649333E-2</v>
      </c>
    </row>
    <row r="7856" spans="1:7">
      <c r="A7856">
        <v>50</v>
      </c>
      <c r="B7856">
        <v>285</v>
      </c>
      <c r="C7856" s="1">
        <f>(Tabela1[[#This Row],[x]]-H$3)*(Tabela1[[#This Row],[x]]-H$3) +(Tabela1[[#This Row],[y]]-H$4)*(Tabela1[[#This Row],[y]]-H$4)</f>
        <v>29725</v>
      </c>
      <c r="D7856" s="1">
        <f>IF(Tabela1[[#This Row],[promien]]&lt;40000,1,0)</f>
        <v>1</v>
      </c>
      <c r="E7856" s="1">
        <f>IF(Tabela1[[#This Row],[promien]]=40000,1,0)</f>
        <v>0</v>
      </c>
      <c r="F7856" s="1">
        <v>3.1517311608961305</v>
      </c>
      <c r="G7856" s="1">
        <v>1.0138507306337363E-2</v>
      </c>
    </row>
    <row r="7857" spans="1:7">
      <c r="A7857">
        <v>46</v>
      </c>
      <c r="B7857">
        <v>45</v>
      </c>
      <c r="C7857" s="1">
        <f>(Tabela1[[#This Row],[x]]-H$3)*(Tabela1[[#This Row],[x]]-H$3) +(Tabela1[[#This Row],[y]]-H$4)*(Tabela1[[#This Row],[y]]-H$4)</f>
        <v>47741</v>
      </c>
      <c r="D7857" s="1">
        <f>IF(Tabela1[[#This Row],[promien]]&lt;40000,1,0)</f>
        <v>0</v>
      </c>
      <c r="E7857" s="1">
        <f>IF(Tabela1[[#This Row],[promien]]=40000,1,0)</f>
        <v>0</v>
      </c>
      <c r="F7857" s="1">
        <v>3.1513300241822577</v>
      </c>
      <c r="G7857" s="1">
        <v>9.7373705924646003E-3</v>
      </c>
    </row>
    <row r="7858" spans="1:7">
      <c r="A7858">
        <v>186</v>
      </c>
      <c r="B7858">
        <v>220</v>
      </c>
      <c r="C7858" s="1">
        <f>(Tabela1[[#This Row],[x]]-H$3)*(Tabela1[[#This Row],[x]]-H$3) +(Tabela1[[#This Row],[y]]-H$4)*(Tabela1[[#This Row],[y]]-H$4)</f>
        <v>596</v>
      </c>
      <c r="D7858" s="1">
        <f>IF(Tabela1[[#This Row],[promien]]&lt;40000,1,0)</f>
        <v>1</v>
      </c>
      <c r="E7858" s="1">
        <f>IF(Tabela1[[#This Row],[promien]]=40000,1,0)</f>
        <v>0</v>
      </c>
      <c r="F7858" s="1">
        <v>3.1514380249427334</v>
      </c>
      <c r="G7858" s="1">
        <v>9.8453713529402798E-3</v>
      </c>
    </row>
    <row r="7859" spans="1:7">
      <c r="A7859">
        <v>229</v>
      </c>
      <c r="B7859">
        <v>379</v>
      </c>
      <c r="C7859" s="1">
        <f>(Tabela1[[#This Row],[x]]-H$3)*(Tabela1[[#This Row],[x]]-H$3) +(Tabela1[[#This Row],[y]]-H$4)*(Tabela1[[#This Row],[y]]-H$4)</f>
        <v>32882</v>
      </c>
      <c r="D7859" s="1">
        <f>IF(Tabela1[[#This Row],[promien]]&lt;40000,1,0)</f>
        <v>1</v>
      </c>
      <c r="E7859" s="1">
        <f>IF(Tabela1[[#This Row],[promien]]=40000,1,0)</f>
        <v>0</v>
      </c>
      <c r="F7859" s="1">
        <v>3.1515459982186029</v>
      </c>
      <c r="G7859" s="1">
        <v>9.9533446288098126E-3</v>
      </c>
    </row>
    <row r="7860" spans="1:7">
      <c r="A7860">
        <v>196</v>
      </c>
      <c r="B7860">
        <v>281</v>
      </c>
      <c r="C7860" s="1">
        <f>(Tabela1[[#This Row],[x]]-H$3)*(Tabela1[[#This Row],[x]]-H$3) +(Tabela1[[#This Row],[y]]-H$4)*(Tabela1[[#This Row],[y]]-H$4)</f>
        <v>6577</v>
      </c>
      <c r="D7860" s="1">
        <f>IF(Tabela1[[#This Row],[promien]]&lt;40000,1,0)</f>
        <v>1</v>
      </c>
      <c r="E7860" s="1">
        <f>IF(Tabela1[[#This Row],[promien]]=40000,1,0)</f>
        <v>0</v>
      </c>
      <c r="F7860" s="1">
        <v>3.1516539440203561</v>
      </c>
      <c r="G7860" s="1">
        <v>1.006129043056303E-2</v>
      </c>
    </row>
    <row r="7861" spans="1:7">
      <c r="A7861">
        <v>63</v>
      </c>
      <c r="B7861">
        <v>59</v>
      </c>
      <c r="C7861" s="1">
        <f>(Tabela1[[#This Row],[x]]-H$3)*(Tabela1[[#This Row],[x]]-H$3) +(Tabela1[[#This Row],[y]]-H$4)*(Tabela1[[#This Row],[y]]-H$4)</f>
        <v>38650</v>
      </c>
      <c r="D7861" s="1">
        <f>IF(Tabela1[[#This Row],[promien]]&lt;40000,1,0)</f>
        <v>1</v>
      </c>
      <c r="E7861" s="1">
        <f>IF(Tabela1[[#This Row],[promien]]=40000,1,0)</f>
        <v>0</v>
      </c>
      <c r="F7861" s="1">
        <v>3.1517618623584784</v>
      </c>
      <c r="G7861" s="1">
        <v>1.0169208768685323E-2</v>
      </c>
    </row>
    <row r="7862" spans="1:7">
      <c r="A7862">
        <v>150</v>
      </c>
      <c r="B7862">
        <v>352</v>
      </c>
      <c r="C7862" s="1">
        <f>(Tabela1[[#This Row],[x]]-H$3)*(Tabela1[[#This Row],[x]]-H$3) +(Tabela1[[#This Row],[y]]-H$4)*(Tabela1[[#This Row],[y]]-H$4)</f>
        <v>25604</v>
      </c>
      <c r="D7862" s="1">
        <f>IF(Tabela1[[#This Row],[promien]]&lt;40000,1,0)</f>
        <v>1</v>
      </c>
      <c r="E7862" s="1">
        <f>IF(Tabela1[[#This Row],[promien]]=40000,1,0)</f>
        <v>0</v>
      </c>
      <c r="F7862" s="1">
        <v>3.1518697532434494</v>
      </c>
      <c r="G7862" s="1">
        <v>1.0277099653656308E-2</v>
      </c>
    </row>
    <row r="7863" spans="1:7">
      <c r="A7863">
        <v>32</v>
      </c>
      <c r="B7863">
        <v>90</v>
      </c>
      <c r="C7863" s="1">
        <f>(Tabela1[[#This Row],[x]]-H$3)*(Tabela1[[#This Row],[x]]-H$3) +(Tabela1[[#This Row],[y]]-H$4)*(Tabela1[[#This Row],[y]]-H$4)</f>
        <v>40324</v>
      </c>
      <c r="D7863" s="1">
        <f>IF(Tabela1[[#This Row],[promien]]&lt;40000,1,0)</f>
        <v>0</v>
      </c>
      <c r="E7863" s="1">
        <f>IF(Tabela1[[#This Row],[promien]]=40000,1,0)</f>
        <v>0</v>
      </c>
      <c r="F7863" s="1">
        <v>3.1514689049980924</v>
      </c>
      <c r="G7863" s="1">
        <v>9.8762514082992858E-3</v>
      </c>
    </row>
    <row r="7864" spans="1:7">
      <c r="A7864">
        <v>126</v>
      </c>
      <c r="B7864">
        <v>398</v>
      </c>
      <c r="C7864" s="1">
        <f>(Tabela1[[#This Row],[x]]-H$3)*(Tabela1[[#This Row],[x]]-H$3) +(Tabela1[[#This Row],[y]]-H$4)*(Tabela1[[#This Row],[y]]-H$4)</f>
        <v>44680</v>
      </c>
      <c r="D7864" s="1">
        <f>IF(Tabela1[[#This Row],[promien]]&lt;40000,1,0)</f>
        <v>0</v>
      </c>
      <c r="E7864" s="1">
        <f>IF(Tabela1[[#This Row],[promien]]=40000,1,0)</f>
        <v>0</v>
      </c>
      <c r="F7864" s="1">
        <v>3.1510681586978637</v>
      </c>
      <c r="G7864" s="1">
        <v>9.4755051080706032E-3</v>
      </c>
    </row>
    <row r="7865" spans="1:7">
      <c r="A7865">
        <v>260</v>
      </c>
      <c r="B7865">
        <v>181</v>
      </c>
      <c r="C7865" s="1">
        <f>(Tabela1[[#This Row],[x]]-H$3)*(Tabela1[[#This Row],[x]]-H$3) +(Tabela1[[#This Row],[y]]-H$4)*(Tabela1[[#This Row],[y]]-H$4)</f>
        <v>3961</v>
      </c>
      <c r="D7865" s="1">
        <f>IF(Tabela1[[#This Row],[promien]]&lt;40000,1,0)</f>
        <v>1</v>
      </c>
      <c r="E7865" s="1">
        <f>IF(Tabela1[[#This Row],[promien]]=40000,1,0)</f>
        <v>0</v>
      </c>
      <c r="F7865" s="1">
        <v>3.1511760966306421</v>
      </c>
      <c r="G7865" s="1">
        <v>9.5834430408490157E-3</v>
      </c>
    </row>
    <row r="7866" spans="1:7">
      <c r="A7866">
        <v>131</v>
      </c>
      <c r="B7866">
        <v>32</v>
      </c>
      <c r="C7866" s="1">
        <f>(Tabela1[[#This Row],[x]]-H$3)*(Tabela1[[#This Row],[x]]-H$3) +(Tabela1[[#This Row],[y]]-H$4)*(Tabela1[[#This Row],[y]]-H$4)</f>
        <v>32985</v>
      </c>
      <c r="D7866" s="1">
        <f>IF(Tabela1[[#This Row],[promien]]&lt;40000,1,0)</f>
        <v>1</v>
      </c>
      <c r="E7866" s="1">
        <f>IF(Tabela1[[#This Row],[promien]]=40000,1,0)</f>
        <v>0</v>
      </c>
      <c r="F7866" s="1">
        <v>3.1512840071192474</v>
      </c>
      <c r="G7866" s="1">
        <v>9.6913535294542719E-3</v>
      </c>
    </row>
    <row r="7867" spans="1:7">
      <c r="A7867">
        <v>67</v>
      </c>
      <c r="B7867">
        <v>265</v>
      </c>
      <c r="C7867" s="1">
        <f>(Tabela1[[#This Row],[x]]-H$3)*(Tabela1[[#This Row],[x]]-H$3) +(Tabela1[[#This Row],[y]]-H$4)*(Tabela1[[#This Row],[y]]-H$4)</f>
        <v>21914</v>
      </c>
      <c r="D7867" s="1">
        <f>IF(Tabela1[[#This Row],[promien]]&lt;40000,1,0)</f>
        <v>1</v>
      </c>
      <c r="E7867" s="1">
        <f>IF(Tabela1[[#This Row],[promien]]=40000,1,0)</f>
        <v>0</v>
      </c>
      <c r="F7867" s="1">
        <v>3.1513918901741453</v>
      </c>
      <c r="G7867" s="1">
        <v>9.7992365843522222E-3</v>
      </c>
    </row>
    <row r="7868" spans="1:7">
      <c r="A7868">
        <v>80</v>
      </c>
      <c r="B7868">
        <v>34</v>
      </c>
      <c r="C7868" s="1">
        <f>(Tabela1[[#This Row],[x]]-H$3)*(Tabela1[[#This Row],[x]]-H$3) +(Tabela1[[#This Row],[y]]-H$4)*(Tabela1[[#This Row],[y]]-H$4)</f>
        <v>41956</v>
      </c>
      <c r="D7868" s="1">
        <f>IF(Tabela1[[#This Row],[promien]]&lt;40000,1,0)</f>
        <v>0</v>
      </c>
      <c r="E7868" s="1">
        <f>IF(Tabela1[[#This Row],[promien]]=40000,1,0)</f>
        <v>0</v>
      </c>
      <c r="F7868" s="1">
        <v>3.1509913573970514</v>
      </c>
      <c r="G7868" s="1">
        <v>9.3987038072582685E-3</v>
      </c>
    </row>
    <row r="7869" spans="1:7">
      <c r="A7869">
        <v>134</v>
      </c>
      <c r="B7869">
        <v>371</v>
      </c>
      <c r="C7869" s="1">
        <f>(Tabela1[[#This Row],[x]]-H$3)*(Tabela1[[#This Row],[x]]-H$3) +(Tabela1[[#This Row],[y]]-H$4)*(Tabela1[[#This Row],[y]]-H$4)</f>
        <v>33597</v>
      </c>
      <c r="D7869" s="1">
        <f>IF(Tabela1[[#This Row],[promien]]&lt;40000,1,0)</f>
        <v>1</v>
      </c>
      <c r="E7869" s="1">
        <f>IF(Tabela1[[#This Row],[promien]]=40000,1,0)</f>
        <v>0</v>
      </c>
      <c r="F7869" s="1">
        <v>3.1510992502223916</v>
      </c>
      <c r="G7869" s="1">
        <v>9.5065966325984519E-3</v>
      </c>
    </row>
    <row r="7870" spans="1:7">
      <c r="A7870">
        <v>36</v>
      </c>
      <c r="B7870">
        <v>175</v>
      </c>
      <c r="C7870" s="1">
        <f>(Tabela1[[#This Row],[x]]-H$3)*(Tabela1[[#This Row],[x]]-H$3) +(Tabela1[[#This Row],[y]]-H$4)*(Tabela1[[#This Row],[y]]-H$4)</f>
        <v>27521</v>
      </c>
      <c r="D7870" s="1">
        <f>IF(Tabela1[[#This Row],[promien]]&lt;40000,1,0)</f>
        <v>1</v>
      </c>
      <c r="E7870" s="1">
        <f>IF(Tabela1[[#This Row],[promien]]=40000,1,0)</f>
        <v>0</v>
      </c>
      <c r="F7870" s="1">
        <v>3.1512071156289707</v>
      </c>
      <c r="G7870" s="1">
        <v>9.6144620391775959E-3</v>
      </c>
    </row>
    <row r="7871" spans="1:7">
      <c r="A7871">
        <v>398</v>
      </c>
      <c r="B7871">
        <v>98</v>
      </c>
      <c r="C7871" s="1">
        <f>(Tabela1[[#This Row],[x]]-H$3)*(Tabela1[[#This Row],[x]]-H$3) +(Tabela1[[#This Row],[y]]-H$4)*(Tabela1[[#This Row],[y]]-H$4)</f>
        <v>49608</v>
      </c>
      <c r="D7871" s="1">
        <f>IF(Tabela1[[#This Row],[promien]]&lt;40000,1,0)</f>
        <v>0</v>
      </c>
      <c r="E7871" s="1">
        <f>IF(Tabela1[[#This Row],[promien]]=40000,1,0)</f>
        <v>0</v>
      </c>
      <c r="F7871" s="1">
        <v>3.1508067589886926</v>
      </c>
      <c r="G7871" s="1">
        <v>9.2141053988994415E-3</v>
      </c>
    </row>
    <row r="7872" spans="1:7">
      <c r="A7872">
        <v>381</v>
      </c>
      <c r="B7872">
        <v>243</v>
      </c>
      <c r="C7872" s="1">
        <f>(Tabela1[[#This Row],[x]]-H$3)*(Tabela1[[#This Row],[x]]-H$3) +(Tabela1[[#This Row],[y]]-H$4)*(Tabela1[[#This Row],[y]]-H$4)</f>
        <v>34610</v>
      </c>
      <c r="D7872" s="1">
        <f>IF(Tabela1[[#This Row],[promien]]&lt;40000,1,0)</f>
        <v>1</v>
      </c>
      <c r="E7872" s="1">
        <f>IF(Tabela1[[#This Row],[promien]]=40000,1,0)</f>
        <v>0</v>
      </c>
      <c r="F7872" s="1">
        <v>3.1509146341463414</v>
      </c>
      <c r="G7872" s="1">
        <v>9.3219805565483149E-3</v>
      </c>
    </row>
    <row r="7873" spans="1:7">
      <c r="A7873">
        <v>260</v>
      </c>
      <c r="B7873">
        <v>219</v>
      </c>
      <c r="C7873" s="1">
        <f>(Tabela1[[#This Row],[x]]-H$3)*(Tabela1[[#This Row],[x]]-H$3) +(Tabela1[[#This Row],[y]]-H$4)*(Tabela1[[#This Row],[y]]-H$4)</f>
        <v>3961</v>
      </c>
      <c r="D7873" s="1">
        <f>IF(Tabela1[[#This Row],[promien]]&lt;40000,1,0)</f>
        <v>1</v>
      </c>
      <c r="E7873" s="1">
        <f>IF(Tabela1[[#This Row],[promien]]=40000,1,0)</f>
        <v>0</v>
      </c>
      <c r="F7873" s="1">
        <v>3.1510224819001653</v>
      </c>
      <c r="G7873" s="1">
        <v>9.4298283103722014E-3</v>
      </c>
    </row>
    <row r="7874" spans="1:7">
      <c r="A7874">
        <v>222</v>
      </c>
      <c r="B7874">
        <v>18</v>
      </c>
      <c r="C7874" s="1">
        <f>(Tabela1[[#This Row],[x]]-H$3)*(Tabela1[[#This Row],[x]]-H$3) +(Tabela1[[#This Row],[y]]-H$4)*(Tabela1[[#This Row],[y]]-H$4)</f>
        <v>33608</v>
      </c>
      <c r="D7874" s="1">
        <f>IF(Tabela1[[#This Row],[promien]]&lt;40000,1,0)</f>
        <v>1</v>
      </c>
      <c r="E7874" s="1">
        <f>IF(Tabela1[[#This Row],[promien]]=40000,1,0)</f>
        <v>0</v>
      </c>
      <c r="F7874" s="1">
        <v>3.1511303022606043</v>
      </c>
      <c r="G7874" s="1">
        <v>9.5376486708111941E-3</v>
      </c>
    </row>
    <row r="7875" spans="1:7">
      <c r="A7875">
        <v>117</v>
      </c>
      <c r="B7875">
        <v>125</v>
      </c>
      <c r="C7875" s="1">
        <f>(Tabela1[[#This Row],[x]]-H$3)*(Tabela1[[#This Row],[x]]-H$3) +(Tabela1[[#This Row],[y]]-H$4)*(Tabela1[[#This Row],[y]]-H$4)</f>
        <v>12514</v>
      </c>
      <c r="D7875" s="1">
        <f>IF(Tabela1[[#This Row],[promien]]&lt;40000,1,0)</f>
        <v>1</v>
      </c>
      <c r="E7875" s="1">
        <f>IF(Tabela1[[#This Row],[promien]]=40000,1,0)</f>
        <v>0</v>
      </c>
      <c r="F7875" s="1">
        <v>3.1512380952380954</v>
      </c>
      <c r="G7875" s="1">
        <v>9.6454416483022776E-3</v>
      </c>
    </row>
    <row r="7876" spans="1:7">
      <c r="A7876">
        <v>106</v>
      </c>
      <c r="B7876">
        <v>10</v>
      </c>
      <c r="C7876" s="1">
        <f>(Tabela1[[#This Row],[x]]-H$3)*(Tabela1[[#This Row],[x]]-H$3) +(Tabela1[[#This Row],[y]]-H$4)*(Tabela1[[#This Row],[y]]-H$4)</f>
        <v>44936</v>
      </c>
      <c r="D7876" s="1">
        <f>IF(Tabela1[[#This Row],[promien]]&lt;40000,1,0)</f>
        <v>0</v>
      </c>
      <c r="E7876" s="1">
        <f>IF(Tabela1[[#This Row],[promien]]=40000,1,0)</f>
        <v>0</v>
      </c>
      <c r="F7876" s="1">
        <v>3.1508379888268156</v>
      </c>
      <c r="G7876" s="1">
        <v>9.2453352370225339E-3</v>
      </c>
    </row>
    <row r="7877" spans="1:7">
      <c r="A7877">
        <v>171</v>
      </c>
      <c r="B7877">
        <v>214</v>
      </c>
      <c r="C7877" s="1">
        <f>(Tabela1[[#This Row],[x]]-H$3)*(Tabela1[[#This Row],[x]]-H$3) +(Tabela1[[#This Row],[y]]-H$4)*(Tabela1[[#This Row],[y]]-H$4)</f>
        <v>1037</v>
      </c>
      <c r="D7877" s="1">
        <f>IF(Tabela1[[#This Row],[promien]]&lt;40000,1,0)</f>
        <v>1</v>
      </c>
      <c r="E7877" s="1">
        <f>IF(Tabela1[[#This Row],[promien]]=40000,1,0)</f>
        <v>0</v>
      </c>
      <c r="F7877" s="1">
        <v>3.1509457915450043</v>
      </c>
      <c r="G7877" s="1">
        <v>9.3531379552111993E-3</v>
      </c>
    </row>
    <row r="7878" spans="1:7">
      <c r="A7878">
        <v>17</v>
      </c>
      <c r="B7878">
        <v>357</v>
      </c>
      <c r="C7878" s="1">
        <f>(Tabela1[[#This Row],[x]]-H$3)*(Tabela1[[#This Row],[x]]-H$3) +(Tabela1[[#This Row],[y]]-H$4)*(Tabela1[[#This Row],[y]]-H$4)</f>
        <v>58138</v>
      </c>
      <c r="D7878" s="1">
        <f>IF(Tabela1[[#This Row],[promien]]&lt;40000,1,0)</f>
        <v>0</v>
      </c>
      <c r="E7878" s="1">
        <f>IF(Tabela1[[#This Row],[promien]]=40000,1,0)</f>
        <v>0</v>
      </c>
      <c r="F7878" s="1">
        <v>3.1505458238131507</v>
      </c>
      <c r="G7878" s="1">
        <v>8.9531702233576205E-3</v>
      </c>
    </row>
    <row r="7879" spans="1:7">
      <c r="A7879">
        <v>351</v>
      </c>
      <c r="B7879">
        <v>305</v>
      </c>
      <c r="C7879" s="1">
        <f>(Tabela1[[#This Row],[x]]-H$3)*(Tabela1[[#This Row],[x]]-H$3) +(Tabela1[[#This Row],[y]]-H$4)*(Tabela1[[#This Row],[y]]-H$4)</f>
        <v>33826</v>
      </c>
      <c r="D7879" s="1">
        <f>IF(Tabela1[[#This Row],[promien]]&lt;40000,1,0)</f>
        <v>1</v>
      </c>
      <c r="E7879" s="1">
        <f>IF(Tabela1[[#This Row],[promien]]=40000,1,0)</f>
        <v>0</v>
      </c>
      <c r="F7879" s="1">
        <v>3.1506536362482547</v>
      </c>
      <c r="G7879" s="1">
        <v>9.0609826584615583E-3</v>
      </c>
    </row>
    <row r="7880" spans="1:7">
      <c r="A7880">
        <v>185</v>
      </c>
      <c r="B7880">
        <v>166</v>
      </c>
      <c r="C7880" s="1">
        <f>(Tabela1[[#This Row],[x]]-H$3)*(Tabela1[[#This Row],[x]]-H$3) +(Tabela1[[#This Row],[y]]-H$4)*(Tabela1[[#This Row],[y]]-H$4)</f>
        <v>1381</v>
      </c>
      <c r="D7880" s="1">
        <f>IF(Tabela1[[#This Row],[promien]]&lt;40000,1,0)</f>
        <v>1</v>
      </c>
      <c r="E7880" s="1">
        <f>IF(Tabela1[[#This Row],[promien]]=40000,1,0)</f>
        <v>0</v>
      </c>
      <c r="F7880" s="1">
        <v>3.150761421319797</v>
      </c>
      <c r="G7880" s="1">
        <v>9.1687677300038573E-3</v>
      </c>
    </row>
    <row r="7881" spans="1:7">
      <c r="A7881">
        <v>314</v>
      </c>
      <c r="B7881">
        <v>168</v>
      </c>
      <c r="C7881" s="1">
        <f>(Tabela1[[#This Row],[x]]-H$3)*(Tabela1[[#This Row],[x]]-H$3) +(Tabela1[[#This Row],[y]]-H$4)*(Tabela1[[#This Row],[y]]-H$4)</f>
        <v>14020</v>
      </c>
      <c r="D7881" s="1">
        <f>IF(Tabela1[[#This Row],[promien]]&lt;40000,1,0)</f>
        <v>1</v>
      </c>
      <c r="E7881" s="1">
        <f>IF(Tabela1[[#This Row],[promien]]=40000,1,0)</f>
        <v>0</v>
      </c>
      <c r="F7881" s="1">
        <v>3.1508691790381933</v>
      </c>
      <c r="G7881" s="1">
        <v>9.2765254484001858E-3</v>
      </c>
    </row>
    <row r="7882" spans="1:7">
      <c r="A7882">
        <v>63</v>
      </c>
      <c r="B7882">
        <v>286</v>
      </c>
      <c r="C7882" s="1">
        <f>(Tabela1[[#This Row],[x]]-H$3)*(Tabela1[[#This Row],[x]]-H$3) +(Tabela1[[#This Row],[y]]-H$4)*(Tabela1[[#This Row],[y]]-H$4)</f>
        <v>26165</v>
      </c>
      <c r="D7882" s="1">
        <f>IF(Tabela1[[#This Row],[promien]]&lt;40000,1,0)</f>
        <v>1</v>
      </c>
      <c r="E7882" s="1">
        <f>IF(Tabela1[[#This Row],[promien]]=40000,1,0)</f>
        <v>0</v>
      </c>
      <c r="F7882" s="1">
        <v>3.1509769094138544</v>
      </c>
      <c r="G7882" s="1">
        <v>9.3842558240613272E-3</v>
      </c>
    </row>
    <row r="7883" spans="1:7">
      <c r="A7883">
        <v>341</v>
      </c>
      <c r="B7883">
        <v>385</v>
      </c>
      <c r="C7883" s="1">
        <f>(Tabela1[[#This Row],[x]]-H$3)*(Tabela1[[#This Row],[x]]-H$3) +(Tabela1[[#This Row],[y]]-H$4)*(Tabela1[[#This Row],[y]]-H$4)</f>
        <v>54106</v>
      </c>
      <c r="D7883" s="1">
        <f>IF(Tabela1[[#This Row],[promien]]&lt;40000,1,0)</f>
        <v>0</v>
      </c>
      <c r="E7883" s="1">
        <f>IF(Tabela1[[#This Row],[promien]]=40000,1,0)</f>
        <v>0</v>
      </c>
      <c r="F7883" s="1">
        <v>3.1505771914245844</v>
      </c>
      <c r="G7883" s="1">
        <v>8.9845378347912508E-3</v>
      </c>
    </row>
    <row r="7884" spans="1:7">
      <c r="A7884">
        <v>79</v>
      </c>
      <c r="B7884">
        <v>8</v>
      </c>
      <c r="C7884" s="1">
        <f>(Tabela1[[#This Row],[x]]-H$3)*(Tabela1[[#This Row],[x]]-H$3) +(Tabela1[[#This Row],[y]]-H$4)*(Tabela1[[#This Row],[y]]-H$4)</f>
        <v>51505</v>
      </c>
      <c r="D7884" s="1">
        <f>IF(Tabela1[[#This Row],[promien]]&lt;40000,1,0)</f>
        <v>0</v>
      </c>
      <c r="E7884" s="1">
        <f>IF(Tabela1[[#This Row],[promien]]=40000,1,0)</f>
        <v>0</v>
      </c>
      <c r="F7884" s="1">
        <v>3.1501775748351091</v>
      </c>
      <c r="G7884" s="1">
        <v>8.5849212453159573E-3</v>
      </c>
    </row>
    <row r="7885" spans="1:7">
      <c r="A7885">
        <v>146</v>
      </c>
      <c r="B7885">
        <v>127</v>
      </c>
      <c r="C7885" s="1">
        <f>(Tabela1[[#This Row],[x]]-H$3)*(Tabela1[[#This Row],[x]]-H$3) +(Tabela1[[#This Row],[y]]-H$4)*(Tabela1[[#This Row],[y]]-H$4)</f>
        <v>8245</v>
      </c>
      <c r="D7885" s="1">
        <f>IF(Tabela1[[#This Row],[promien]]&lt;40000,1,0)</f>
        <v>1</v>
      </c>
      <c r="E7885" s="1">
        <f>IF(Tabela1[[#This Row],[promien]]=40000,1,0)</f>
        <v>0</v>
      </c>
      <c r="F7885" s="1">
        <v>3.1502853519340519</v>
      </c>
      <c r="G7885" s="1">
        <v>8.6926983442587868E-3</v>
      </c>
    </row>
    <row r="7886" spans="1:7">
      <c r="A7886">
        <v>185</v>
      </c>
      <c r="B7886">
        <v>193</v>
      </c>
      <c r="C7886" s="1">
        <f>(Tabela1[[#This Row],[x]]-H$3)*(Tabela1[[#This Row],[x]]-H$3) +(Tabela1[[#This Row],[y]]-H$4)*(Tabela1[[#This Row],[y]]-H$4)</f>
        <v>274</v>
      </c>
      <c r="D7886" s="1">
        <f>IF(Tabela1[[#This Row],[promien]]&lt;40000,1,0)</f>
        <v>1</v>
      </c>
      <c r="E7886" s="1">
        <f>IF(Tabela1[[#This Row],[promien]]=40000,1,0)</f>
        <v>0</v>
      </c>
      <c r="F7886" s="1">
        <v>3.1503931016992137</v>
      </c>
      <c r="G7886" s="1">
        <v>8.8004481094206E-3</v>
      </c>
    </row>
    <row r="7887" spans="1:7">
      <c r="A7887">
        <v>286</v>
      </c>
      <c r="B7887">
        <v>172</v>
      </c>
      <c r="C7887" s="1">
        <f>(Tabela1[[#This Row],[x]]-H$3)*(Tabela1[[#This Row],[x]]-H$3) +(Tabela1[[#This Row],[y]]-H$4)*(Tabela1[[#This Row],[y]]-H$4)</f>
        <v>8180</v>
      </c>
      <c r="D7887" s="1">
        <f>IF(Tabela1[[#This Row],[promien]]&lt;40000,1,0)</f>
        <v>1</v>
      </c>
      <c r="E7887" s="1">
        <f>IF(Tabela1[[#This Row],[promien]]=40000,1,0)</f>
        <v>0</v>
      </c>
      <c r="F7887" s="1">
        <v>3.1505008241409915</v>
      </c>
      <c r="G7887" s="1">
        <v>8.9081705511984133E-3</v>
      </c>
    </row>
    <row r="7888" spans="1:7">
      <c r="A7888">
        <v>128</v>
      </c>
      <c r="B7888">
        <v>306</v>
      </c>
      <c r="C7888" s="1">
        <f>(Tabela1[[#This Row],[x]]-H$3)*(Tabela1[[#This Row],[x]]-H$3) +(Tabela1[[#This Row],[y]]-H$4)*(Tabela1[[#This Row],[y]]-H$4)</f>
        <v>16420</v>
      </c>
      <c r="D7888" s="1">
        <f>IF(Tabela1[[#This Row],[promien]]&lt;40000,1,0)</f>
        <v>1</v>
      </c>
      <c r="E7888" s="1">
        <f>IF(Tabela1[[#This Row],[promien]]=40000,1,0)</f>
        <v>0</v>
      </c>
      <c r="F7888" s="1">
        <v>3.150608519269777</v>
      </c>
      <c r="G7888" s="1">
        <v>9.0158656799839143E-3</v>
      </c>
    </row>
    <row r="7889" spans="1:7">
      <c r="A7889">
        <v>307</v>
      </c>
      <c r="B7889">
        <v>149</v>
      </c>
      <c r="C7889" s="1">
        <f>(Tabela1[[#This Row],[x]]-H$3)*(Tabela1[[#This Row],[x]]-H$3) +(Tabela1[[#This Row],[y]]-H$4)*(Tabela1[[#This Row],[y]]-H$4)</f>
        <v>14050</v>
      </c>
      <c r="D7889" s="1">
        <f>IF(Tabela1[[#This Row],[promien]]&lt;40000,1,0)</f>
        <v>1</v>
      </c>
      <c r="E7889" s="1">
        <f>IF(Tabela1[[#This Row],[promien]]=40000,1,0)</f>
        <v>0</v>
      </c>
      <c r="F7889" s="1">
        <v>3.1507161870959566</v>
      </c>
      <c r="G7889" s="1">
        <v>9.1235335061634615E-3</v>
      </c>
    </row>
    <row r="7890" spans="1:7">
      <c r="A7890">
        <v>184</v>
      </c>
      <c r="B7890">
        <v>116</v>
      </c>
      <c r="C7890" s="1">
        <f>(Tabela1[[#This Row],[x]]-H$3)*(Tabela1[[#This Row],[x]]-H$3) +(Tabela1[[#This Row],[y]]-H$4)*(Tabela1[[#This Row],[y]]-H$4)</f>
        <v>7312</v>
      </c>
      <c r="D7890" s="1">
        <f>IF(Tabela1[[#This Row],[promien]]&lt;40000,1,0)</f>
        <v>1</v>
      </c>
      <c r="E7890" s="1">
        <f>IF(Tabela1[[#This Row],[promien]]=40000,1,0)</f>
        <v>0</v>
      </c>
      <c r="F7890" s="1">
        <v>3.1508238276299112</v>
      </c>
      <c r="G7890" s="1">
        <v>9.2311740401180842E-3</v>
      </c>
    </row>
    <row r="7891" spans="1:7">
      <c r="A7891">
        <v>332</v>
      </c>
      <c r="B7891">
        <v>27</v>
      </c>
      <c r="C7891" s="1">
        <f>(Tabela1[[#This Row],[x]]-H$3)*(Tabela1[[#This Row],[x]]-H$3) +(Tabela1[[#This Row],[y]]-H$4)*(Tabela1[[#This Row],[y]]-H$4)</f>
        <v>47353</v>
      </c>
      <c r="D7891" s="1">
        <f>IF(Tabela1[[#This Row],[promien]]&lt;40000,1,0)</f>
        <v>0</v>
      </c>
      <c r="E7891" s="1">
        <f>IF(Tabela1[[#This Row],[promien]]=40000,1,0)</f>
        <v>0</v>
      </c>
      <c r="F7891" s="1">
        <v>3.1504245342795589</v>
      </c>
      <c r="G7891" s="1">
        <v>8.8318806897658142E-3</v>
      </c>
    </row>
    <row r="7892" spans="1:7">
      <c r="A7892">
        <v>375</v>
      </c>
      <c r="B7892">
        <v>40</v>
      </c>
      <c r="C7892" s="1">
        <f>(Tabela1[[#This Row],[x]]-H$3)*(Tabela1[[#This Row],[x]]-H$3) +(Tabela1[[#This Row],[y]]-H$4)*(Tabela1[[#This Row],[y]]-H$4)</f>
        <v>56225</v>
      </c>
      <c r="D7892" s="1">
        <f>IF(Tabela1[[#This Row],[promien]]&lt;40000,1,0)</f>
        <v>0</v>
      </c>
      <c r="E7892" s="1">
        <f>IF(Tabela1[[#This Row],[promien]]=40000,1,0)</f>
        <v>0</v>
      </c>
      <c r="F7892" s="1">
        <v>3.1500253421186013</v>
      </c>
      <c r="G7892" s="1">
        <v>8.4326885288081854E-3</v>
      </c>
    </row>
    <row r="7893" spans="1:7">
      <c r="A7893">
        <v>158</v>
      </c>
      <c r="B7893">
        <v>293</v>
      </c>
      <c r="C7893" s="1">
        <f>(Tabela1[[#This Row],[x]]-H$3)*(Tabela1[[#This Row],[x]]-H$3) +(Tabela1[[#This Row],[y]]-H$4)*(Tabela1[[#This Row],[y]]-H$4)</f>
        <v>10413</v>
      </c>
      <c r="D7893" s="1">
        <f>IF(Tabela1[[#This Row],[promien]]&lt;40000,1,0)</f>
        <v>1</v>
      </c>
      <c r="E7893" s="1">
        <f>IF(Tabela1[[#This Row],[promien]]=40000,1,0)</f>
        <v>0</v>
      </c>
      <c r="F7893" s="1">
        <v>3.1501330292664385</v>
      </c>
      <c r="G7893" s="1">
        <v>8.5403756766453398E-3</v>
      </c>
    </row>
    <row r="7894" spans="1:7">
      <c r="A7894">
        <v>167</v>
      </c>
      <c r="B7894">
        <v>165</v>
      </c>
      <c r="C7894" s="1">
        <f>(Tabela1[[#This Row],[x]]-H$3)*(Tabela1[[#This Row],[x]]-H$3) +(Tabela1[[#This Row],[y]]-H$4)*(Tabela1[[#This Row],[y]]-H$4)</f>
        <v>2314</v>
      </c>
      <c r="D7894" s="1">
        <f>IF(Tabela1[[#This Row],[promien]]&lt;40000,1,0)</f>
        <v>1</v>
      </c>
      <c r="E7894" s="1">
        <f>IF(Tabela1[[#This Row],[promien]]=40000,1,0)</f>
        <v>0</v>
      </c>
      <c r="F7894" s="1">
        <v>3.1502406891309858</v>
      </c>
      <c r="G7894" s="1">
        <v>8.6480355411926446E-3</v>
      </c>
    </row>
    <row r="7895" spans="1:7">
      <c r="A7895">
        <v>272</v>
      </c>
      <c r="B7895">
        <v>84</v>
      </c>
      <c r="C7895" s="1">
        <f>(Tabela1[[#This Row],[x]]-H$3)*(Tabela1[[#This Row],[x]]-H$3) +(Tabela1[[#This Row],[y]]-H$4)*(Tabela1[[#This Row],[y]]-H$4)</f>
        <v>18640</v>
      </c>
      <c r="D7895" s="1">
        <f>IF(Tabela1[[#This Row],[promien]]&lt;40000,1,0)</f>
        <v>1</v>
      </c>
      <c r="E7895" s="1">
        <f>IF(Tabela1[[#This Row],[promien]]=40000,1,0)</f>
        <v>0</v>
      </c>
      <c r="F7895" s="1">
        <v>3.1503483217226091</v>
      </c>
      <c r="G7895" s="1">
        <v>8.7556681328160302E-3</v>
      </c>
    </row>
    <row r="7896" spans="1:7">
      <c r="A7896">
        <v>377</v>
      </c>
      <c r="B7896">
        <v>282</v>
      </c>
      <c r="C7896" s="1">
        <f>(Tabela1[[#This Row],[x]]-H$3)*(Tabela1[[#This Row],[x]]-H$3) +(Tabela1[[#This Row],[y]]-H$4)*(Tabela1[[#This Row],[y]]-H$4)</f>
        <v>38053</v>
      </c>
      <c r="D7896" s="1">
        <f>IF(Tabela1[[#This Row],[promien]]&lt;40000,1,0)</f>
        <v>1</v>
      </c>
      <c r="E7896" s="1">
        <f>IF(Tabela1[[#This Row],[promien]]=40000,1,0)</f>
        <v>0</v>
      </c>
      <c r="F7896" s="1">
        <v>3.1504559270516719</v>
      </c>
      <c r="G7896" s="1">
        <v>8.8632734618787623E-3</v>
      </c>
    </row>
    <row r="7897" spans="1:7">
      <c r="A7897">
        <v>206</v>
      </c>
      <c r="B7897">
        <v>40</v>
      </c>
      <c r="C7897" s="1">
        <f>(Tabela1[[#This Row],[x]]-H$3)*(Tabela1[[#This Row],[x]]-H$3) +(Tabela1[[#This Row],[y]]-H$4)*(Tabela1[[#This Row],[y]]-H$4)</f>
        <v>25636</v>
      </c>
      <c r="D7897" s="1">
        <f>IF(Tabela1[[#This Row],[promien]]&lt;40000,1,0)</f>
        <v>1</v>
      </c>
      <c r="E7897" s="1">
        <f>IF(Tabela1[[#This Row],[promien]]=40000,1,0)</f>
        <v>0</v>
      </c>
      <c r="F7897" s="1">
        <v>3.1505635051285297</v>
      </c>
      <c r="G7897" s="1">
        <v>8.9708515387365573E-3</v>
      </c>
    </row>
    <row r="7898" spans="1:7">
      <c r="A7898">
        <v>148</v>
      </c>
      <c r="B7898">
        <v>127</v>
      </c>
      <c r="C7898" s="1">
        <f>(Tabela1[[#This Row],[x]]-H$3)*(Tabela1[[#This Row],[x]]-H$3) +(Tabela1[[#This Row],[y]]-H$4)*(Tabela1[[#This Row],[y]]-H$4)</f>
        <v>8033</v>
      </c>
      <c r="D7898" s="1">
        <f>IF(Tabela1[[#This Row],[promien]]&lt;40000,1,0)</f>
        <v>1</v>
      </c>
      <c r="E7898" s="1">
        <f>IF(Tabela1[[#This Row],[promien]]=40000,1,0)</f>
        <v>0</v>
      </c>
      <c r="F7898" s="1">
        <v>3.1506710559635351</v>
      </c>
      <c r="G7898" s="1">
        <v>9.0784023737420227E-3</v>
      </c>
    </row>
    <row r="7899" spans="1:7">
      <c r="A7899">
        <v>381</v>
      </c>
      <c r="B7899">
        <v>201</v>
      </c>
      <c r="C7899" s="1">
        <f>(Tabela1[[#This Row],[x]]-H$3)*(Tabela1[[#This Row],[x]]-H$3) +(Tabela1[[#This Row],[y]]-H$4)*(Tabela1[[#This Row],[y]]-H$4)</f>
        <v>32762</v>
      </c>
      <c r="D7899" s="1">
        <f>IF(Tabela1[[#This Row],[promien]]&lt;40000,1,0)</f>
        <v>1</v>
      </c>
      <c r="E7899" s="1">
        <f>IF(Tabela1[[#This Row],[promien]]=40000,1,0)</f>
        <v>0</v>
      </c>
      <c r="F7899" s="1">
        <v>3.1507785795670338</v>
      </c>
      <c r="G7899" s="1">
        <v>9.185925977240661E-3</v>
      </c>
    </row>
    <row r="7900" spans="1:7">
      <c r="A7900">
        <v>57</v>
      </c>
      <c r="B7900">
        <v>175</v>
      </c>
      <c r="C7900" s="1">
        <f>(Tabela1[[#This Row],[x]]-H$3)*(Tabela1[[#This Row],[x]]-H$3) +(Tabela1[[#This Row],[y]]-H$4)*(Tabela1[[#This Row],[y]]-H$4)</f>
        <v>21074</v>
      </c>
      <c r="D7900" s="1">
        <f>IF(Tabela1[[#This Row],[promien]]&lt;40000,1,0)</f>
        <v>1</v>
      </c>
      <c r="E7900" s="1">
        <f>IF(Tabela1[[#This Row],[promien]]=40000,1,0)</f>
        <v>0</v>
      </c>
      <c r="F7900" s="1">
        <v>3.1508860759493671</v>
      </c>
      <c r="G7900" s="1">
        <v>9.2934223595739773E-3</v>
      </c>
    </row>
    <row r="7901" spans="1:7">
      <c r="A7901">
        <v>140</v>
      </c>
      <c r="B7901">
        <v>51</v>
      </c>
      <c r="C7901" s="1">
        <f>(Tabela1[[#This Row],[x]]-H$3)*(Tabela1[[#This Row],[x]]-H$3) +(Tabela1[[#This Row],[y]]-H$4)*(Tabela1[[#This Row],[y]]-H$4)</f>
        <v>25801</v>
      </c>
      <c r="D7901" s="1">
        <f>IF(Tabela1[[#This Row],[promien]]&lt;40000,1,0)</f>
        <v>1</v>
      </c>
      <c r="E7901" s="1">
        <f>IF(Tabela1[[#This Row],[promien]]=40000,1,0)</f>
        <v>0</v>
      </c>
      <c r="F7901" s="1">
        <v>3.1509935451208708</v>
      </c>
      <c r="G7901" s="1">
        <v>9.4008915310777041E-3</v>
      </c>
    </row>
    <row r="7902" spans="1:7">
      <c r="A7902">
        <v>171</v>
      </c>
      <c r="B7902">
        <v>392</v>
      </c>
      <c r="C7902" s="1">
        <f>(Tabela1[[#This Row],[x]]-H$3)*(Tabela1[[#This Row],[x]]-H$3) +(Tabela1[[#This Row],[y]]-H$4)*(Tabela1[[#This Row],[y]]-H$4)</f>
        <v>37705</v>
      </c>
      <c r="D7902" s="1">
        <f>IF(Tabela1[[#This Row],[promien]]&lt;40000,1,0)</f>
        <v>1</v>
      </c>
      <c r="E7902" s="1">
        <f>IF(Tabela1[[#This Row],[promien]]=40000,1,0)</f>
        <v>0</v>
      </c>
      <c r="F7902" s="1">
        <v>3.1511009870918754</v>
      </c>
      <c r="G7902" s="1">
        <v>9.5083335020822446E-3</v>
      </c>
    </row>
    <row r="7903" spans="1:7">
      <c r="A7903">
        <v>113</v>
      </c>
      <c r="B7903">
        <v>171</v>
      </c>
      <c r="C7903" s="1">
        <f>(Tabela1[[#This Row],[x]]-H$3)*(Tabela1[[#This Row],[x]]-H$3) +(Tabela1[[#This Row],[y]]-H$4)*(Tabela1[[#This Row],[y]]-H$4)</f>
        <v>8410</v>
      </c>
      <c r="D7903" s="1">
        <f>IF(Tabela1[[#This Row],[promien]]&lt;40000,1,0)</f>
        <v>1</v>
      </c>
      <c r="E7903" s="1">
        <f>IF(Tabela1[[#This Row],[promien]]=40000,1,0)</f>
        <v>0</v>
      </c>
      <c r="F7903" s="1">
        <v>3.1512084018727067</v>
      </c>
      <c r="G7903" s="1">
        <v>9.615748282913561E-3</v>
      </c>
    </row>
    <row r="7904" spans="1:7">
      <c r="A7904">
        <v>233</v>
      </c>
      <c r="B7904">
        <v>254</v>
      </c>
      <c r="C7904" s="1">
        <f>(Tabela1[[#This Row],[x]]-H$3)*(Tabela1[[#This Row],[x]]-H$3) +(Tabela1[[#This Row],[y]]-H$4)*(Tabela1[[#This Row],[y]]-H$4)</f>
        <v>4005</v>
      </c>
      <c r="D7904" s="1">
        <f>IF(Tabela1[[#This Row],[promien]]&lt;40000,1,0)</f>
        <v>1</v>
      </c>
      <c r="E7904" s="1">
        <f>IF(Tabela1[[#This Row],[promien]]=40000,1,0)</f>
        <v>0</v>
      </c>
      <c r="F7904" s="1">
        <v>3.1513157894736841</v>
      </c>
      <c r="G7904" s="1">
        <v>9.7231358838909543E-3</v>
      </c>
    </row>
    <row r="7905" spans="1:7">
      <c r="A7905">
        <v>256</v>
      </c>
      <c r="B7905">
        <v>129</v>
      </c>
      <c r="C7905" s="1">
        <f>(Tabela1[[#This Row],[x]]-H$3)*(Tabela1[[#This Row],[x]]-H$3) +(Tabela1[[#This Row],[y]]-H$4)*(Tabela1[[#This Row],[y]]-H$4)</f>
        <v>8177</v>
      </c>
      <c r="D7905" s="1">
        <f>IF(Tabela1[[#This Row],[promien]]&lt;40000,1,0)</f>
        <v>1</v>
      </c>
      <c r="E7905" s="1">
        <f>IF(Tabela1[[#This Row],[promien]]=40000,1,0)</f>
        <v>0</v>
      </c>
      <c r="F7905" s="1">
        <v>3.1514231499051233</v>
      </c>
      <c r="G7905" s="1">
        <v>9.8304963153301728E-3</v>
      </c>
    </row>
    <row r="7906" spans="1:7">
      <c r="A7906">
        <v>222</v>
      </c>
      <c r="B7906">
        <v>113</v>
      </c>
      <c r="C7906" s="1">
        <f>(Tabela1[[#This Row],[x]]-H$3)*(Tabela1[[#This Row],[x]]-H$3) +(Tabela1[[#This Row],[y]]-H$4)*(Tabela1[[#This Row],[y]]-H$4)</f>
        <v>8053</v>
      </c>
      <c r="D7906" s="1">
        <f>IF(Tabela1[[#This Row],[promien]]&lt;40000,1,0)</f>
        <v>1</v>
      </c>
      <c r="E7906" s="1">
        <f>IF(Tabela1[[#This Row],[promien]]=40000,1,0)</f>
        <v>0</v>
      </c>
      <c r="F7906" s="1">
        <v>3.1515304831773339</v>
      </c>
      <c r="G7906" s="1">
        <v>9.9378295875407474E-3</v>
      </c>
    </row>
    <row r="7907" spans="1:7">
      <c r="A7907">
        <v>38</v>
      </c>
      <c r="B7907">
        <v>6</v>
      </c>
      <c r="C7907" s="1">
        <f>(Tabela1[[#This Row],[x]]-H$3)*(Tabela1[[#This Row],[x]]-H$3) +(Tabela1[[#This Row],[y]]-H$4)*(Tabela1[[#This Row],[y]]-H$4)</f>
        <v>63880</v>
      </c>
      <c r="D7907" s="1">
        <f>IF(Tabela1[[#This Row],[promien]]&lt;40000,1,0)</f>
        <v>0</v>
      </c>
      <c r="E7907" s="1">
        <f>IF(Tabela1[[#This Row],[promien]]=40000,1,0)</f>
        <v>0</v>
      </c>
      <c r="F7907" s="1">
        <v>3.1511319084355636</v>
      </c>
      <c r="G7907" s="1">
        <v>9.5392548457704507E-3</v>
      </c>
    </row>
    <row r="7908" spans="1:7">
      <c r="A7908">
        <v>65</v>
      </c>
      <c r="B7908">
        <v>72</v>
      </c>
      <c r="C7908" s="1">
        <f>(Tabela1[[#This Row],[x]]-H$3)*(Tabela1[[#This Row],[x]]-H$3) +(Tabela1[[#This Row],[y]]-H$4)*(Tabela1[[#This Row],[y]]-H$4)</f>
        <v>34609</v>
      </c>
      <c r="D7908" s="1">
        <f>IF(Tabela1[[#This Row],[promien]]&lt;40000,1,0)</f>
        <v>1</v>
      </c>
      <c r="E7908" s="1">
        <f>IF(Tabela1[[#This Row],[promien]]=40000,1,0)</f>
        <v>0</v>
      </c>
      <c r="F7908" s="1">
        <v>3.1512392513909964</v>
      </c>
      <c r="G7908" s="1">
        <v>9.6465978012032494E-3</v>
      </c>
    </row>
    <row r="7909" spans="1:7">
      <c r="A7909">
        <v>355</v>
      </c>
      <c r="B7909">
        <v>120</v>
      </c>
      <c r="C7909" s="1">
        <f>(Tabela1[[#This Row],[x]]-H$3)*(Tabela1[[#This Row],[x]]-H$3) +(Tabela1[[#This Row],[y]]-H$4)*(Tabela1[[#This Row],[y]]-H$4)</f>
        <v>30425</v>
      </c>
      <c r="D7909" s="1">
        <f>IF(Tabela1[[#This Row],[promien]]&lt;40000,1,0)</f>
        <v>1</v>
      </c>
      <c r="E7909" s="1">
        <f>IF(Tabela1[[#This Row],[promien]]=40000,1,0)</f>
        <v>0</v>
      </c>
      <c r="F7909" s="1">
        <v>3.1513465672019221</v>
      </c>
      <c r="G7909" s="1">
        <v>9.7539136121289616E-3</v>
      </c>
    </row>
    <row r="7910" spans="1:7">
      <c r="A7910">
        <v>311</v>
      </c>
      <c r="B7910">
        <v>311</v>
      </c>
      <c r="C7910" s="1">
        <f>(Tabela1[[#This Row],[x]]-H$3)*(Tabela1[[#This Row],[x]]-H$3) +(Tabela1[[#This Row],[y]]-H$4)*(Tabela1[[#This Row],[y]]-H$4)</f>
        <v>24642</v>
      </c>
      <c r="D7910" s="1">
        <f>IF(Tabela1[[#This Row],[promien]]&lt;40000,1,0)</f>
        <v>1</v>
      </c>
      <c r="E7910" s="1">
        <f>IF(Tabela1[[#This Row],[promien]]=40000,1,0)</f>
        <v>0</v>
      </c>
      <c r="F7910" s="1">
        <v>3.1514538558786347</v>
      </c>
      <c r="G7910" s="1">
        <v>9.8612022888415751E-3</v>
      </c>
    </row>
    <row r="7911" spans="1:7">
      <c r="A7911">
        <v>342</v>
      </c>
      <c r="B7911">
        <v>302</v>
      </c>
      <c r="C7911" s="1">
        <f>(Tabela1[[#This Row],[x]]-H$3)*(Tabela1[[#This Row],[x]]-H$3) +(Tabela1[[#This Row],[y]]-H$4)*(Tabela1[[#This Row],[y]]-H$4)</f>
        <v>30568</v>
      </c>
      <c r="D7911" s="1">
        <f>IF(Tabela1[[#This Row],[promien]]&lt;40000,1,0)</f>
        <v>1</v>
      </c>
      <c r="E7911" s="1">
        <f>IF(Tabela1[[#This Row],[promien]]=40000,1,0)</f>
        <v>0</v>
      </c>
      <c r="F7911" s="1">
        <v>3.1515611174314246</v>
      </c>
      <c r="G7911" s="1">
        <v>9.9684638416315252E-3</v>
      </c>
    </row>
    <row r="7912" spans="1:7">
      <c r="A7912">
        <v>63</v>
      </c>
      <c r="B7912">
        <v>314</v>
      </c>
      <c r="C7912" s="1">
        <f>(Tabela1[[#This Row],[x]]-H$3)*(Tabela1[[#This Row],[x]]-H$3) +(Tabela1[[#This Row],[y]]-H$4)*(Tabela1[[#This Row],[y]]-H$4)</f>
        <v>31765</v>
      </c>
      <c r="D7912" s="1">
        <f>IF(Tabela1[[#This Row],[promien]]&lt;40000,1,0)</f>
        <v>1</v>
      </c>
      <c r="E7912" s="1">
        <f>IF(Tabela1[[#This Row],[promien]]=40000,1,0)</f>
        <v>0</v>
      </c>
      <c r="F7912" s="1">
        <v>3.1516683518705761</v>
      </c>
      <c r="G7912" s="1">
        <v>1.007569828078303E-2</v>
      </c>
    </row>
    <row r="7913" spans="1:7">
      <c r="A7913">
        <v>20</v>
      </c>
      <c r="B7913">
        <v>361</v>
      </c>
      <c r="C7913" s="1">
        <f>(Tabela1[[#This Row],[x]]-H$3)*(Tabela1[[#This Row],[x]]-H$3) +(Tabela1[[#This Row],[y]]-H$4)*(Tabela1[[#This Row],[y]]-H$4)</f>
        <v>58321</v>
      </c>
      <c r="D7913" s="1">
        <f>IF(Tabela1[[#This Row],[promien]]&lt;40000,1,0)</f>
        <v>0</v>
      </c>
      <c r="E7913" s="1">
        <f>IF(Tabela1[[#This Row],[promien]]=40000,1,0)</f>
        <v>0</v>
      </c>
      <c r="F7913" s="1">
        <v>3.1512700619234173</v>
      </c>
      <c r="G7913" s="1">
        <v>9.6774083336241823E-3</v>
      </c>
    </row>
    <row r="7914" spans="1:7">
      <c r="A7914">
        <v>363</v>
      </c>
      <c r="B7914">
        <v>250</v>
      </c>
      <c r="C7914" s="1">
        <f>(Tabela1[[#This Row],[x]]-H$3)*(Tabela1[[#This Row],[x]]-H$3) +(Tabela1[[#This Row],[y]]-H$4)*(Tabela1[[#This Row],[y]]-H$4)</f>
        <v>29069</v>
      </c>
      <c r="D7914" s="1">
        <f>IF(Tabela1[[#This Row],[promien]]&lt;40000,1,0)</f>
        <v>1</v>
      </c>
      <c r="E7914" s="1">
        <f>IF(Tabela1[[#This Row],[promien]]=40000,1,0)</f>
        <v>0</v>
      </c>
      <c r="F7914" s="1">
        <v>3.151377306039929</v>
      </c>
      <c r="G7914" s="1">
        <v>9.7846524501359333E-3</v>
      </c>
    </row>
    <row r="7915" spans="1:7">
      <c r="A7915">
        <v>23</v>
      </c>
      <c r="B7915">
        <v>60</v>
      </c>
      <c r="C7915" s="1">
        <f>(Tabela1[[#This Row],[x]]-H$3)*(Tabela1[[#This Row],[x]]-H$3) +(Tabela1[[#This Row],[y]]-H$4)*(Tabela1[[#This Row],[y]]-H$4)</f>
        <v>50929</v>
      </c>
      <c r="D7915" s="1">
        <f>IF(Tabela1[[#This Row],[promien]]&lt;40000,1,0)</f>
        <v>0</v>
      </c>
      <c r="E7915" s="1">
        <f>IF(Tabela1[[#This Row],[promien]]=40000,1,0)</f>
        <v>0</v>
      </c>
      <c r="F7915" s="1">
        <v>3.1509791535060012</v>
      </c>
      <c r="G7915" s="1">
        <v>9.386499916208102E-3</v>
      </c>
    </row>
    <row r="7916" spans="1:7">
      <c r="A7916">
        <v>213</v>
      </c>
      <c r="B7916">
        <v>309</v>
      </c>
      <c r="C7916" s="1">
        <f>(Tabela1[[#This Row],[x]]-H$3)*(Tabela1[[#This Row],[x]]-H$3) +(Tabela1[[#This Row],[y]]-H$4)*(Tabela1[[#This Row],[y]]-H$4)</f>
        <v>12050</v>
      </c>
      <c r="D7916" s="1">
        <f>IF(Tabela1[[#This Row],[promien]]&lt;40000,1,0)</f>
        <v>1</v>
      </c>
      <c r="E7916" s="1">
        <f>IF(Tabela1[[#This Row],[promien]]=40000,1,0)</f>
        <v>0</v>
      </c>
      <c r="F7916" s="1">
        <v>3.1510864072764022</v>
      </c>
      <c r="G7916" s="1">
        <v>9.4937536866090966E-3</v>
      </c>
    </row>
    <row r="7917" spans="1:7">
      <c r="A7917">
        <v>358</v>
      </c>
      <c r="B7917">
        <v>73</v>
      </c>
      <c r="C7917" s="1">
        <f>(Tabela1[[#This Row],[x]]-H$3)*(Tabela1[[#This Row],[x]]-H$3) +(Tabela1[[#This Row],[y]]-H$4)*(Tabela1[[#This Row],[y]]-H$4)</f>
        <v>41093</v>
      </c>
      <c r="D7917" s="1">
        <f>IF(Tabela1[[#This Row],[promien]]&lt;40000,1,0)</f>
        <v>0</v>
      </c>
      <c r="E7917" s="1">
        <f>IF(Tabela1[[#This Row],[promien]]=40000,1,0)</f>
        <v>0</v>
      </c>
      <c r="F7917" s="1">
        <v>3.1506883920677025</v>
      </c>
      <c r="G7917" s="1">
        <v>9.0957384779093431E-3</v>
      </c>
    </row>
    <row r="7918" spans="1:7">
      <c r="A7918">
        <v>266</v>
      </c>
      <c r="B7918">
        <v>395</v>
      </c>
      <c r="C7918" s="1">
        <f>(Tabela1[[#This Row],[x]]-H$3)*(Tabela1[[#This Row],[x]]-H$3) +(Tabela1[[#This Row],[y]]-H$4)*(Tabela1[[#This Row],[y]]-H$4)</f>
        <v>42381</v>
      </c>
      <c r="D7918" s="1">
        <f>IF(Tabela1[[#This Row],[promien]]&lt;40000,1,0)</f>
        <v>0</v>
      </c>
      <c r="E7918" s="1">
        <f>IF(Tabela1[[#This Row],[promien]]=40000,1,0)</f>
        <v>0</v>
      </c>
      <c r="F7918" s="1">
        <v>3.1502904773932809</v>
      </c>
      <c r="G7918" s="1">
        <v>8.6978238034878252E-3</v>
      </c>
    </row>
    <row r="7919" spans="1:7">
      <c r="A7919">
        <v>316</v>
      </c>
      <c r="B7919">
        <v>196</v>
      </c>
      <c r="C7919" s="1">
        <f>(Tabela1[[#This Row],[x]]-H$3)*(Tabela1[[#This Row],[x]]-H$3) +(Tabela1[[#This Row],[y]]-H$4)*(Tabela1[[#This Row],[y]]-H$4)</f>
        <v>13472</v>
      </c>
      <c r="D7919" s="1">
        <f>IF(Tabela1[[#This Row],[promien]]&lt;40000,1,0)</f>
        <v>1</v>
      </c>
      <c r="E7919" s="1">
        <f>IF(Tabela1[[#This Row],[promien]]=40000,1,0)</f>
        <v>0</v>
      </c>
      <c r="F7919" s="1">
        <v>3.1503977774971585</v>
      </c>
      <c r="G7919" s="1">
        <v>8.8051239073654308E-3</v>
      </c>
    </row>
    <row r="7920" spans="1:7">
      <c r="A7920">
        <v>96</v>
      </c>
      <c r="B7920">
        <v>263</v>
      </c>
      <c r="C7920" s="1">
        <f>(Tabela1[[#This Row],[x]]-H$3)*(Tabela1[[#This Row],[x]]-H$3) +(Tabela1[[#This Row],[y]]-H$4)*(Tabela1[[#This Row],[y]]-H$4)</f>
        <v>14785</v>
      </c>
      <c r="D7920" s="1">
        <f>IF(Tabela1[[#This Row],[promien]]&lt;40000,1,0)</f>
        <v>1</v>
      </c>
      <c r="E7920" s="1">
        <f>IF(Tabela1[[#This Row],[promien]]=40000,1,0)</f>
        <v>0</v>
      </c>
      <c r="F7920" s="1">
        <v>3.1505050505050507</v>
      </c>
      <c r="G7920" s="1">
        <v>8.912396915257581E-3</v>
      </c>
    </row>
    <row r="7921" spans="1:7">
      <c r="A7921">
        <v>354</v>
      </c>
      <c r="B7921">
        <v>194</v>
      </c>
      <c r="C7921" s="1">
        <f>(Tabela1[[#This Row],[x]]-H$3)*(Tabela1[[#This Row],[x]]-H$3) +(Tabela1[[#This Row],[y]]-H$4)*(Tabela1[[#This Row],[y]]-H$4)</f>
        <v>23752</v>
      </c>
      <c r="D7921" s="1">
        <f>IF(Tabela1[[#This Row],[promien]]&lt;40000,1,0)</f>
        <v>1</v>
      </c>
      <c r="E7921" s="1">
        <f>IF(Tabela1[[#This Row],[promien]]=40000,1,0)</f>
        <v>0</v>
      </c>
      <c r="F7921" s="1">
        <v>3.150612296427219</v>
      </c>
      <c r="G7921" s="1">
        <v>9.0196428374258453E-3</v>
      </c>
    </row>
    <row r="7922" spans="1:7">
      <c r="A7922">
        <v>319</v>
      </c>
      <c r="B7922">
        <v>212</v>
      </c>
      <c r="C7922" s="1">
        <f>(Tabela1[[#This Row],[x]]-H$3)*(Tabela1[[#This Row],[x]]-H$3) +(Tabela1[[#This Row],[y]]-H$4)*(Tabela1[[#This Row],[y]]-H$4)</f>
        <v>14305</v>
      </c>
      <c r="D7922" s="1">
        <f>IF(Tabela1[[#This Row],[promien]]&lt;40000,1,0)</f>
        <v>1</v>
      </c>
      <c r="E7922" s="1">
        <f>IF(Tabela1[[#This Row],[promien]]=40000,1,0)</f>
        <v>0</v>
      </c>
      <c r="F7922" s="1">
        <v>3.1507195152739209</v>
      </c>
      <c r="G7922" s="1">
        <v>9.1268616841277961E-3</v>
      </c>
    </row>
    <row r="7923" spans="1:7">
      <c r="A7923">
        <v>12</v>
      </c>
      <c r="B7923">
        <v>204</v>
      </c>
      <c r="C7923" s="1">
        <f>(Tabela1[[#This Row],[x]]-H$3)*(Tabela1[[#This Row],[x]]-H$3) +(Tabela1[[#This Row],[y]]-H$4)*(Tabela1[[#This Row],[y]]-H$4)</f>
        <v>35360</v>
      </c>
      <c r="D7923" s="1">
        <f>IF(Tabela1[[#This Row],[promien]]&lt;40000,1,0)</f>
        <v>1</v>
      </c>
      <c r="E7923" s="1">
        <f>IF(Tabela1[[#This Row],[promien]]=40000,1,0)</f>
        <v>0</v>
      </c>
      <c r="F7923" s="1">
        <v>3.1508267070554083</v>
      </c>
      <c r="G7923" s="1">
        <v>9.2340534656152329E-3</v>
      </c>
    </row>
    <row r="7924" spans="1:7">
      <c r="A7924">
        <v>282</v>
      </c>
      <c r="B7924">
        <v>247</v>
      </c>
      <c r="C7924" s="1">
        <f>(Tabela1[[#This Row],[x]]-H$3)*(Tabela1[[#This Row],[x]]-H$3) +(Tabela1[[#This Row],[y]]-H$4)*(Tabela1[[#This Row],[y]]-H$4)</f>
        <v>8933</v>
      </c>
      <c r="D7924" s="1">
        <f>IF(Tabela1[[#This Row],[promien]]&lt;40000,1,0)</f>
        <v>1</v>
      </c>
      <c r="E7924" s="1">
        <f>IF(Tabela1[[#This Row],[promien]]=40000,1,0)</f>
        <v>0</v>
      </c>
      <c r="F7924" s="1">
        <v>3.1509338717819282</v>
      </c>
      <c r="G7924" s="1">
        <v>9.3412181921350701E-3</v>
      </c>
    </row>
    <row r="7925" spans="1:7">
      <c r="A7925">
        <v>374</v>
      </c>
      <c r="B7925">
        <v>283</v>
      </c>
      <c r="C7925" s="1">
        <f>(Tabela1[[#This Row],[x]]-H$3)*(Tabela1[[#This Row],[x]]-H$3) +(Tabela1[[#This Row],[y]]-H$4)*(Tabela1[[#This Row],[y]]-H$4)</f>
        <v>37165</v>
      </c>
      <c r="D7925" s="1">
        <f>IF(Tabela1[[#This Row],[promien]]&lt;40000,1,0)</f>
        <v>1</v>
      </c>
      <c r="E7925" s="1">
        <f>IF(Tabela1[[#This Row],[promien]]=40000,1,0)</f>
        <v>0</v>
      </c>
      <c r="F7925" s="1">
        <v>3.1510410094637225</v>
      </c>
      <c r="G7925" s="1">
        <v>9.4483558739293372E-3</v>
      </c>
    </row>
    <row r="7926" spans="1:7">
      <c r="A7926">
        <v>87</v>
      </c>
      <c r="B7926">
        <v>18</v>
      </c>
      <c r="C7926" s="1">
        <f>(Tabela1[[#This Row],[x]]-H$3)*(Tabela1[[#This Row],[x]]-H$3) +(Tabela1[[#This Row],[y]]-H$4)*(Tabela1[[#This Row],[y]]-H$4)</f>
        <v>45893</v>
      </c>
      <c r="D7926" s="1">
        <f>IF(Tabela1[[#This Row],[promien]]&lt;40000,1,0)</f>
        <v>0</v>
      </c>
      <c r="E7926" s="1">
        <f>IF(Tabela1[[#This Row],[promien]]=40000,1,0)</f>
        <v>0</v>
      </c>
      <c r="F7926" s="1">
        <v>3.1506434519303559</v>
      </c>
      <c r="G7926" s="1">
        <v>9.0507983405627712E-3</v>
      </c>
    </row>
    <row r="7927" spans="1:7">
      <c r="A7927">
        <v>173</v>
      </c>
      <c r="B7927">
        <v>43</v>
      </c>
      <c r="C7927" s="1">
        <f>(Tabela1[[#This Row],[x]]-H$3)*(Tabela1[[#This Row],[x]]-H$3) +(Tabela1[[#This Row],[y]]-H$4)*(Tabela1[[#This Row],[y]]-H$4)</f>
        <v>25378</v>
      </c>
      <c r="D7927" s="1">
        <f>IF(Tabela1[[#This Row],[promien]]&lt;40000,1,0)</f>
        <v>1</v>
      </c>
      <c r="E7927" s="1">
        <f>IF(Tabela1[[#This Row],[promien]]=40000,1,0)</f>
        <v>0</v>
      </c>
      <c r="F7927" s="1">
        <v>3.1507505992178628</v>
      </c>
      <c r="G7927" s="1">
        <v>9.157945628069708E-3</v>
      </c>
    </row>
    <row r="7928" spans="1:7">
      <c r="A7928">
        <v>198</v>
      </c>
      <c r="B7928">
        <v>42</v>
      </c>
      <c r="C7928" s="1">
        <f>(Tabela1[[#This Row],[x]]-H$3)*(Tabela1[[#This Row],[x]]-H$3) +(Tabela1[[#This Row],[y]]-H$4)*(Tabela1[[#This Row],[y]]-H$4)</f>
        <v>24968</v>
      </c>
      <c r="D7928" s="1">
        <f>IF(Tabela1[[#This Row],[promien]]&lt;40000,1,0)</f>
        <v>1</v>
      </c>
      <c r="E7928" s="1">
        <f>IF(Tabela1[[#This Row],[promien]]=40000,1,0)</f>
        <v>0</v>
      </c>
      <c r="F7928" s="1">
        <v>3.1508577194752774</v>
      </c>
      <c r="G7928" s="1">
        <v>9.2650658854842582E-3</v>
      </c>
    </row>
    <row r="7929" spans="1:7">
      <c r="A7929">
        <v>80</v>
      </c>
      <c r="B7929">
        <v>123</v>
      </c>
      <c r="C7929" s="1">
        <f>(Tabela1[[#This Row],[x]]-H$3)*(Tabela1[[#This Row],[x]]-H$3) +(Tabela1[[#This Row],[y]]-H$4)*(Tabela1[[#This Row],[y]]-H$4)</f>
        <v>20329</v>
      </c>
      <c r="D7929" s="1">
        <f>IF(Tabela1[[#This Row],[promien]]&lt;40000,1,0)</f>
        <v>1</v>
      </c>
      <c r="E7929" s="1">
        <f>IF(Tabela1[[#This Row],[promien]]=40000,1,0)</f>
        <v>0</v>
      </c>
      <c r="F7929" s="1">
        <v>3.1509648127128265</v>
      </c>
      <c r="G7929" s="1">
        <v>9.3721591230333523E-3</v>
      </c>
    </row>
    <row r="7930" spans="1:7">
      <c r="A7930">
        <v>316</v>
      </c>
      <c r="B7930">
        <v>6</v>
      </c>
      <c r="C7930" s="1">
        <f>(Tabela1[[#This Row],[x]]-H$3)*(Tabela1[[#This Row],[x]]-H$3) +(Tabela1[[#This Row],[y]]-H$4)*(Tabela1[[#This Row],[y]]-H$4)</f>
        <v>51092</v>
      </c>
      <c r="D7930" s="1">
        <f>IF(Tabela1[[#This Row],[promien]]&lt;40000,1,0)</f>
        <v>0</v>
      </c>
      <c r="E7930" s="1">
        <f>IF(Tabela1[[#This Row],[promien]]=40000,1,0)</f>
        <v>0</v>
      </c>
      <c r="F7930" s="1">
        <v>3.1505674653215636</v>
      </c>
      <c r="G7930" s="1">
        <v>8.9748117317705045E-3</v>
      </c>
    </row>
    <row r="7931" spans="1:7">
      <c r="A7931">
        <v>88</v>
      </c>
      <c r="B7931">
        <v>86</v>
      </c>
      <c r="C7931" s="1">
        <f>(Tabela1[[#This Row],[x]]-H$3)*(Tabela1[[#This Row],[x]]-H$3) +(Tabela1[[#This Row],[y]]-H$4)*(Tabela1[[#This Row],[y]]-H$4)</f>
        <v>25540</v>
      </c>
      <c r="D7931" s="1">
        <f>IF(Tabela1[[#This Row],[promien]]&lt;40000,1,0)</f>
        <v>1</v>
      </c>
      <c r="E7931" s="1">
        <f>IF(Tabela1[[#This Row],[promien]]=40000,1,0)</f>
        <v>0</v>
      </c>
      <c r="F7931" s="1">
        <v>3.1506745681502961</v>
      </c>
      <c r="G7931" s="1">
        <v>9.0819145605030016E-3</v>
      </c>
    </row>
    <row r="7932" spans="1:7">
      <c r="A7932">
        <v>288</v>
      </c>
      <c r="B7932">
        <v>400</v>
      </c>
      <c r="C7932" s="1">
        <f>(Tabela1[[#This Row],[x]]-H$3)*(Tabela1[[#This Row],[x]]-H$3) +(Tabela1[[#This Row],[y]]-H$4)*(Tabela1[[#This Row],[y]]-H$4)</f>
        <v>47744</v>
      </c>
      <c r="D7932" s="1">
        <f>IF(Tabela1[[#This Row],[promien]]&lt;40000,1,0)</f>
        <v>0</v>
      </c>
      <c r="E7932" s="1">
        <f>IF(Tabela1[[#This Row],[promien]]=40000,1,0)</f>
        <v>0</v>
      </c>
      <c r="F7932" s="1">
        <v>3.1502773575390823</v>
      </c>
      <c r="G7932" s="1">
        <v>8.6847039492892186E-3</v>
      </c>
    </row>
    <row r="7933" spans="1:7">
      <c r="A7933">
        <v>107</v>
      </c>
      <c r="B7933">
        <v>119</v>
      </c>
      <c r="C7933" s="1">
        <f>(Tabela1[[#This Row],[x]]-H$3)*(Tabela1[[#This Row],[x]]-H$3) +(Tabela1[[#This Row],[y]]-H$4)*(Tabela1[[#This Row],[y]]-H$4)</f>
        <v>15210</v>
      </c>
      <c r="D7933" s="1">
        <f>IF(Tabela1[[#This Row],[promien]]&lt;40000,1,0)</f>
        <v>1</v>
      </c>
      <c r="E7933" s="1">
        <f>IF(Tabela1[[#This Row],[promien]]=40000,1,0)</f>
        <v>0</v>
      </c>
      <c r="F7933" s="1">
        <v>3.1503844699357115</v>
      </c>
      <c r="G7933" s="1">
        <v>8.7918163459184129E-3</v>
      </c>
    </row>
    <row r="7934" spans="1:7">
      <c r="A7934">
        <v>363</v>
      </c>
      <c r="B7934">
        <v>201</v>
      </c>
      <c r="C7934" s="1">
        <f>(Tabela1[[#This Row],[x]]-H$3)*(Tabela1[[#This Row],[x]]-H$3) +(Tabela1[[#This Row],[y]]-H$4)*(Tabela1[[#This Row],[y]]-H$4)</f>
        <v>26570</v>
      </c>
      <c r="D7934" s="1">
        <f>IF(Tabela1[[#This Row],[promien]]&lt;40000,1,0)</f>
        <v>1</v>
      </c>
      <c r="E7934" s="1">
        <f>IF(Tabela1[[#This Row],[promien]]=40000,1,0)</f>
        <v>0</v>
      </c>
      <c r="F7934" s="1">
        <v>3.1504915553314849</v>
      </c>
      <c r="G7934" s="1">
        <v>8.8989017416918337E-3</v>
      </c>
    </row>
    <row r="7935" spans="1:7">
      <c r="A7935">
        <v>191</v>
      </c>
      <c r="B7935">
        <v>292</v>
      </c>
      <c r="C7935" s="1">
        <f>(Tabela1[[#This Row],[x]]-H$3)*(Tabela1[[#This Row],[x]]-H$3) +(Tabela1[[#This Row],[y]]-H$4)*(Tabela1[[#This Row],[y]]-H$4)</f>
        <v>8545</v>
      </c>
      <c r="D7935" s="1">
        <f>IF(Tabela1[[#This Row],[promien]]&lt;40000,1,0)</f>
        <v>1</v>
      </c>
      <c r="E7935" s="1">
        <f>IF(Tabela1[[#This Row],[promien]]=40000,1,0)</f>
        <v>0</v>
      </c>
      <c r="F7935" s="1">
        <v>3.15059861373661</v>
      </c>
      <c r="G7935" s="1">
        <v>9.0059601468168715E-3</v>
      </c>
    </row>
    <row r="7936" spans="1:7">
      <c r="A7936">
        <v>347</v>
      </c>
      <c r="B7936">
        <v>268</v>
      </c>
      <c r="C7936" s="1">
        <f>(Tabela1[[#This Row],[x]]-H$3)*(Tabela1[[#This Row],[x]]-H$3) +(Tabela1[[#This Row],[y]]-H$4)*(Tabela1[[#This Row],[y]]-H$4)</f>
        <v>26233</v>
      </c>
      <c r="D7936" s="1">
        <f>IF(Tabela1[[#This Row],[promien]]&lt;40000,1,0)</f>
        <v>1</v>
      </c>
      <c r="E7936" s="1">
        <f>IF(Tabela1[[#This Row],[promien]]=40000,1,0)</f>
        <v>0</v>
      </c>
      <c r="F7936" s="1">
        <v>3.1507056451612905</v>
      </c>
      <c r="G7936" s="1">
        <v>9.1129915714973642E-3</v>
      </c>
    </row>
    <row r="7937" spans="1:7">
      <c r="A7937">
        <v>187</v>
      </c>
      <c r="B7937">
        <v>243</v>
      </c>
      <c r="C7937" s="1">
        <f>(Tabela1[[#This Row],[x]]-H$3)*(Tabela1[[#This Row],[x]]-H$3) +(Tabela1[[#This Row],[y]]-H$4)*(Tabela1[[#This Row],[y]]-H$4)</f>
        <v>2018</v>
      </c>
      <c r="D7937" s="1">
        <f>IF(Tabela1[[#This Row],[promien]]&lt;40000,1,0)</f>
        <v>1</v>
      </c>
      <c r="E7937" s="1">
        <f>IF(Tabela1[[#This Row],[promien]]=40000,1,0)</f>
        <v>0</v>
      </c>
      <c r="F7937" s="1">
        <v>3.1508126496157236</v>
      </c>
      <c r="G7937" s="1">
        <v>9.2199960259304881E-3</v>
      </c>
    </row>
    <row r="7938" spans="1:7">
      <c r="A7938">
        <v>175</v>
      </c>
      <c r="B7938">
        <v>350</v>
      </c>
      <c r="C7938" s="1">
        <f>(Tabela1[[#This Row],[x]]-H$3)*(Tabela1[[#This Row],[x]]-H$3) +(Tabela1[[#This Row],[y]]-H$4)*(Tabela1[[#This Row],[y]]-H$4)</f>
        <v>23125</v>
      </c>
      <c r="D7938" s="1">
        <f>IF(Tabela1[[#This Row],[promien]]&lt;40000,1,0)</f>
        <v>1</v>
      </c>
      <c r="E7938" s="1">
        <f>IF(Tabela1[[#This Row],[promien]]=40000,1,0)</f>
        <v>0</v>
      </c>
      <c r="F7938" s="1">
        <v>3.1509196271101034</v>
      </c>
      <c r="G7938" s="1">
        <v>9.326973520310311E-3</v>
      </c>
    </row>
    <row r="7939" spans="1:7">
      <c r="A7939">
        <v>137</v>
      </c>
      <c r="B7939">
        <v>309</v>
      </c>
      <c r="C7939" s="1">
        <f>(Tabela1[[#This Row],[x]]-H$3)*(Tabela1[[#This Row],[x]]-H$3) +(Tabela1[[#This Row],[y]]-H$4)*(Tabela1[[#This Row],[y]]-H$4)</f>
        <v>15850</v>
      </c>
      <c r="D7939" s="1">
        <f>IF(Tabela1[[#This Row],[promien]]&lt;40000,1,0)</f>
        <v>1</v>
      </c>
      <c r="E7939" s="1">
        <f>IF(Tabela1[[#This Row],[promien]]=40000,1,0)</f>
        <v>0</v>
      </c>
      <c r="F7939" s="1">
        <v>3.1510265776546165</v>
      </c>
      <c r="G7939" s="1">
        <v>9.4339240648233513E-3</v>
      </c>
    </row>
    <row r="7940" spans="1:7">
      <c r="A7940">
        <v>320</v>
      </c>
      <c r="B7940">
        <v>83</v>
      </c>
      <c r="C7940" s="1">
        <f>(Tabela1[[#This Row],[x]]-H$3)*(Tabela1[[#This Row],[x]]-H$3) +(Tabela1[[#This Row],[y]]-H$4)*(Tabela1[[#This Row],[y]]-H$4)</f>
        <v>28089</v>
      </c>
      <c r="D7940" s="1">
        <f>IF(Tabela1[[#This Row],[promien]]&lt;40000,1,0)</f>
        <v>1</v>
      </c>
      <c r="E7940" s="1">
        <f>IF(Tabela1[[#This Row],[promien]]=40000,1,0)</f>
        <v>0</v>
      </c>
      <c r="F7940" s="1">
        <v>3.1511335012594457</v>
      </c>
      <c r="G7940" s="1">
        <v>9.5408476696525746E-3</v>
      </c>
    </row>
    <row r="7941" spans="1:7">
      <c r="A7941">
        <v>6</v>
      </c>
      <c r="B7941">
        <v>348</v>
      </c>
      <c r="C7941" s="1">
        <f>(Tabela1[[#This Row],[x]]-H$3)*(Tabela1[[#This Row],[x]]-H$3) +(Tabela1[[#This Row],[y]]-H$4)*(Tabela1[[#This Row],[y]]-H$4)</f>
        <v>59540</v>
      </c>
      <c r="D7941" s="1">
        <f>IF(Tabela1[[#This Row],[promien]]&lt;40000,1,0)</f>
        <v>0</v>
      </c>
      <c r="E7941" s="1">
        <f>IF(Tabela1[[#This Row],[promien]]=40000,1,0)</f>
        <v>0</v>
      </c>
      <c r="F7941" s="1">
        <v>3.1507366830374006</v>
      </c>
      <c r="G7941" s="1">
        <v>9.1440294476075046E-3</v>
      </c>
    </row>
    <row r="7942" spans="1:7">
      <c r="A7942">
        <v>160</v>
      </c>
      <c r="B7942">
        <v>227</v>
      </c>
      <c r="C7942" s="1">
        <f>(Tabela1[[#This Row],[x]]-H$3)*(Tabela1[[#This Row],[x]]-H$3) +(Tabela1[[#This Row],[y]]-H$4)*(Tabela1[[#This Row],[y]]-H$4)</f>
        <v>2329</v>
      </c>
      <c r="D7942" s="1">
        <f>IF(Tabela1[[#This Row],[promien]]&lt;40000,1,0)</f>
        <v>1</v>
      </c>
      <c r="E7942" s="1">
        <f>IF(Tabela1[[#This Row],[promien]]=40000,1,0)</f>
        <v>0</v>
      </c>
      <c r="F7942" s="1">
        <v>3.1508436162175775</v>
      </c>
      <c r="G7942" s="1">
        <v>9.2509626277843537E-3</v>
      </c>
    </row>
    <row r="7943" spans="1:7">
      <c r="A7943">
        <v>364</v>
      </c>
      <c r="B7943">
        <v>237</v>
      </c>
      <c r="C7943" s="1">
        <f>(Tabela1[[#This Row],[x]]-H$3)*(Tabela1[[#This Row],[x]]-H$3) +(Tabela1[[#This Row],[y]]-H$4)*(Tabela1[[#This Row],[y]]-H$4)</f>
        <v>28265</v>
      </c>
      <c r="D7943" s="1">
        <f>IF(Tabela1[[#This Row],[promien]]&lt;40000,1,0)</f>
        <v>1</v>
      </c>
      <c r="E7943" s="1">
        <f>IF(Tabela1[[#This Row],[promien]]=40000,1,0)</f>
        <v>0</v>
      </c>
      <c r="F7943" s="1">
        <v>3.1509505224726175</v>
      </c>
      <c r="G7943" s="1">
        <v>9.3578688828244161E-3</v>
      </c>
    </row>
    <row r="7944" spans="1:7">
      <c r="A7944">
        <v>191</v>
      </c>
      <c r="B7944">
        <v>391</v>
      </c>
      <c r="C7944" s="1">
        <f>(Tabela1[[#This Row],[x]]-H$3)*(Tabela1[[#This Row],[x]]-H$3) +(Tabela1[[#This Row],[y]]-H$4)*(Tabela1[[#This Row],[y]]-H$4)</f>
        <v>36562</v>
      </c>
      <c r="D7944" s="1">
        <f>IF(Tabela1[[#This Row],[promien]]&lt;40000,1,0)</f>
        <v>1</v>
      </c>
      <c r="E7944" s="1">
        <f>IF(Tabela1[[#This Row],[promien]]=40000,1,0)</f>
        <v>0</v>
      </c>
      <c r="F7944" s="1">
        <v>3.1510574018126887</v>
      </c>
      <c r="G7944" s="1">
        <v>9.4647482228955582E-3</v>
      </c>
    </row>
    <row r="7945" spans="1:7">
      <c r="A7945">
        <v>169</v>
      </c>
      <c r="B7945">
        <v>105</v>
      </c>
      <c r="C7945" s="1">
        <f>(Tabela1[[#This Row],[x]]-H$3)*(Tabela1[[#This Row],[x]]-H$3) +(Tabela1[[#This Row],[y]]-H$4)*(Tabela1[[#This Row],[y]]-H$4)</f>
        <v>9986</v>
      </c>
      <c r="D7945" s="1">
        <f>IF(Tabela1[[#This Row],[promien]]&lt;40000,1,0)</f>
        <v>1</v>
      </c>
      <c r="E7945" s="1">
        <f>IF(Tabela1[[#This Row],[promien]]=40000,1,0)</f>
        <v>0</v>
      </c>
      <c r="F7945" s="1">
        <v>3.1511642542479548</v>
      </c>
      <c r="G7945" s="1">
        <v>9.5716006581616497E-3</v>
      </c>
    </row>
    <row r="7946" spans="1:7">
      <c r="A7946">
        <v>218</v>
      </c>
      <c r="B7946">
        <v>16</v>
      </c>
      <c r="C7946" s="1">
        <f>(Tabela1[[#This Row],[x]]-H$3)*(Tabela1[[#This Row],[x]]-H$3) +(Tabela1[[#This Row],[y]]-H$4)*(Tabela1[[#This Row],[y]]-H$4)</f>
        <v>34180</v>
      </c>
      <c r="D7946" s="1">
        <f>IF(Tabela1[[#This Row],[promien]]&lt;40000,1,0)</f>
        <v>1</v>
      </c>
      <c r="E7946" s="1">
        <f>IF(Tabela1[[#This Row],[promien]]=40000,1,0)</f>
        <v>0</v>
      </c>
      <c r="F7946" s="1">
        <v>3.151271079788573</v>
      </c>
      <c r="G7946" s="1">
        <v>9.6784261987798992E-3</v>
      </c>
    </row>
    <row r="7947" spans="1:7">
      <c r="A7947">
        <v>327</v>
      </c>
      <c r="B7947">
        <v>184</v>
      </c>
      <c r="C7947" s="1">
        <f>(Tabela1[[#This Row],[x]]-H$3)*(Tabela1[[#This Row],[x]]-H$3) +(Tabela1[[#This Row],[y]]-H$4)*(Tabela1[[#This Row],[y]]-H$4)</f>
        <v>16385</v>
      </c>
      <c r="D7947" s="1">
        <f>IF(Tabela1[[#This Row],[promien]]&lt;40000,1,0)</f>
        <v>1</v>
      </c>
      <c r="E7947" s="1">
        <f>IF(Tabela1[[#This Row],[promien]]=40000,1,0)</f>
        <v>0</v>
      </c>
      <c r="F7947" s="1">
        <v>3.1513778784446962</v>
      </c>
      <c r="G7947" s="1">
        <v>9.785224854903074E-3</v>
      </c>
    </row>
    <row r="7948" spans="1:7">
      <c r="A7948">
        <v>198</v>
      </c>
      <c r="B7948">
        <v>398</v>
      </c>
      <c r="C7948" s="1">
        <f>(Tabela1[[#This Row],[x]]-H$3)*(Tabela1[[#This Row],[x]]-H$3) +(Tabela1[[#This Row],[y]]-H$4)*(Tabela1[[#This Row],[y]]-H$4)</f>
        <v>39208</v>
      </c>
      <c r="D7948" s="1">
        <f>IF(Tabela1[[#This Row],[promien]]&lt;40000,1,0)</f>
        <v>1</v>
      </c>
      <c r="E7948" s="1">
        <f>IF(Tabela1[[#This Row],[promien]]=40000,1,0)</f>
        <v>0</v>
      </c>
      <c r="F7948" s="1">
        <v>3.1514846502264722</v>
      </c>
      <c r="G7948" s="1">
        <v>9.8919966366790568E-3</v>
      </c>
    </row>
    <row r="7949" spans="1:7">
      <c r="A7949">
        <v>176</v>
      </c>
      <c r="B7949">
        <v>368</v>
      </c>
      <c r="C7949" s="1">
        <f>(Tabela1[[#This Row],[x]]-H$3)*(Tabela1[[#This Row],[x]]-H$3) +(Tabela1[[#This Row],[y]]-H$4)*(Tabela1[[#This Row],[y]]-H$4)</f>
        <v>28800</v>
      </c>
      <c r="D7949" s="1">
        <f>IF(Tabela1[[#This Row],[promien]]&lt;40000,1,0)</f>
        <v>1</v>
      </c>
      <c r="E7949" s="1">
        <f>IF(Tabela1[[#This Row],[promien]]=40000,1,0)</f>
        <v>0</v>
      </c>
      <c r="F7949" s="1">
        <v>3.1515913951440431</v>
      </c>
      <c r="G7949" s="1">
        <v>9.9987415542499569E-3</v>
      </c>
    </row>
    <row r="7950" spans="1:7">
      <c r="A7950">
        <v>250</v>
      </c>
      <c r="B7950">
        <v>119</v>
      </c>
      <c r="C7950" s="1">
        <f>(Tabela1[[#This Row],[x]]-H$3)*(Tabela1[[#This Row],[x]]-H$3) +(Tabela1[[#This Row],[y]]-H$4)*(Tabela1[[#This Row],[y]]-H$4)</f>
        <v>9061</v>
      </c>
      <c r="D7950" s="1">
        <f>IF(Tabela1[[#This Row],[promien]]&lt;40000,1,0)</f>
        <v>1</v>
      </c>
      <c r="E7950" s="1">
        <f>IF(Tabela1[[#This Row],[promien]]=40000,1,0)</f>
        <v>0</v>
      </c>
      <c r="F7950" s="1">
        <v>3.151698113207547</v>
      </c>
      <c r="G7950" s="1">
        <v>1.0105459617753887E-2</v>
      </c>
    </row>
    <row r="7951" spans="1:7">
      <c r="A7951">
        <v>56</v>
      </c>
      <c r="B7951">
        <v>5</v>
      </c>
      <c r="C7951" s="1">
        <f>(Tabela1[[#This Row],[x]]-H$3)*(Tabela1[[#This Row],[x]]-H$3) +(Tabela1[[#This Row],[y]]-H$4)*(Tabela1[[#This Row],[y]]-H$4)</f>
        <v>58761</v>
      </c>
      <c r="D7951" s="1">
        <f>IF(Tabela1[[#This Row],[promien]]&lt;40000,1,0)</f>
        <v>0</v>
      </c>
      <c r="E7951" s="1">
        <f>IF(Tabela1[[#This Row],[promien]]=40000,1,0)</f>
        <v>0</v>
      </c>
      <c r="F7951" s="1">
        <v>3.1513017230537042</v>
      </c>
      <c r="G7951" s="1">
        <v>9.7090694639110353E-3</v>
      </c>
    </row>
    <row r="7952" spans="1:7">
      <c r="A7952">
        <v>138</v>
      </c>
      <c r="B7952">
        <v>315</v>
      </c>
      <c r="C7952" s="1">
        <f>(Tabela1[[#This Row],[x]]-H$3)*(Tabela1[[#This Row],[x]]-H$3) +(Tabela1[[#This Row],[y]]-H$4)*(Tabela1[[#This Row],[y]]-H$4)</f>
        <v>17069</v>
      </c>
      <c r="D7952" s="1">
        <f>IF(Tabela1[[#This Row],[promien]]&lt;40000,1,0)</f>
        <v>1</v>
      </c>
      <c r="E7952" s="1">
        <f>IF(Tabela1[[#This Row],[promien]]=40000,1,0)</f>
        <v>0</v>
      </c>
      <c r="F7952" s="1">
        <v>3.1514084507042255</v>
      </c>
      <c r="G7952" s="1">
        <v>9.8157971144323675E-3</v>
      </c>
    </row>
    <row r="7953" spans="1:7">
      <c r="A7953">
        <v>300</v>
      </c>
      <c r="B7953">
        <v>272</v>
      </c>
      <c r="C7953" s="1">
        <f>(Tabela1[[#This Row],[x]]-H$3)*(Tabela1[[#This Row],[x]]-H$3) +(Tabela1[[#This Row],[y]]-H$4)*(Tabela1[[#This Row],[y]]-H$4)</f>
        <v>15184</v>
      </c>
      <c r="D7953" s="1">
        <f>IF(Tabela1[[#This Row],[promien]]&lt;40000,1,0)</f>
        <v>1</v>
      </c>
      <c r="E7953" s="1">
        <f>IF(Tabela1[[#This Row],[promien]]=40000,1,0)</f>
        <v>0</v>
      </c>
      <c r="F7953" s="1">
        <v>3.1515151515151514</v>
      </c>
      <c r="G7953" s="1">
        <v>9.9224979253582646E-3</v>
      </c>
    </row>
    <row r="7954" spans="1:7">
      <c r="A7954">
        <v>217</v>
      </c>
      <c r="B7954">
        <v>322</v>
      </c>
      <c r="C7954" s="1">
        <f>(Tabela1[[#This Row],[x]]-H$3)*(Tabela1[[#This Row],[x]]-H$3) +(Tabela1[[#This Row],[y]]-H$4)*(Tabela1[[#This Row],[y]]-H$4)</f>
        <v>15173</v>
      </c>
      <c r="D7954" s="1">
        <f>IF(Tabela1[[#This Row],[promien]]&lt;40000,1,0)</f>
        <v>1</v>
      </c>
      <c r="E7954" s="1">
        <f>IF(Tabela1[[#This Row],[promien]]=40000,1,0)</f>
        <v>0</v>
      </c>
      <c r="F7954" s="1">
        <v>3.1516218254966053</v>
      </c>
      <c r="G7954" s="1">
        <v>1.0029171906812184E-2</v>
      </c>
    </row>
    <row r="7955" spans="1:7">
      <c r="A7955">
        <v>197</v>
      </c>
      <c r="B7955">
        <v>225</v>
      </c>
      <c r="C7955" s="1">
        <f>(Tabela1[[#This Row],[x]]-H$3)*(Tabela1[[#This Row],[x]]-H$3) +(Tabela1[[#This Row],[y]]-H$4)*(Tabela1[[#This Row],[y]]-H$4)</f>
        <v>634</v>
      </c>
      <c r="D7955" s="1">
        <f>IF(Tabela1[[#This Row],[promien]]&lt;40000,1,0)</f>
        <v>1</v>
      </c>
      <c r="E7955" s="1">
        <f>IF(Tabela1[[#This Row],[promien]]=40000,1,0)</f>
        <v>0</v>
      </c>
      <c r="F7955" s="1">
        <v>3.1517284726587054</v>
      </c>
      <c r="G7955" s="1">
        <v>1.0135819068912255E-2</v>
      </c>
    </row>
    <row r="7956" spans="1:7">
      <c r="A7956">
        <v>50</v>
      </c>
      <c r="B7956">
        <v>136</v>
      </c>
      <c r="C7956" s="1">
        <f>(Tabela1[[#This Row],[x]]-H$3)*(Tabela1[[#This Row],[x]]-H$3) +(Tabela1[[#This Row],[y]]-H$4)*(Tabela1[[#This Row],[y]]-H$4)</f>
        <v>26596</v>
      </c>
      <c r="D7956" s="1">
        <f>IF(Tabela1[[#This Row],[promien]]&lt;40000,1,0)</f>
        <v>1</v>
      </c>
      <c r="E7956" s="1">
        <f>IF(Tabela1[[#This Row],[promien]]=40000,1,0)</f>
        <v>0</v>
      </c>
      <c r="F7956" s="1">
        <v>3.1518350930115635</v>
      </c>
      <c r="G7956" s="1">
        <v>1.0242439421770388E-2</v>
      </c>
    </row>
    <row r="7957" spans="1:7">
      <c r="A7957">
        <v>109</v>
      </c>
      <c r="B7957">
        <v>39</v>
      </c>
      <c r="C7957" s="1">
        <f>(Tabela1[[#This Row],[x]]-H$3)*(Tabela1[[#This Row],[x]]-H$3) +(Tabela1[[#This Row],[y]]-H$4)*(Tabela1[[#This Row],[y]]-H$4)</f>
        <v>34202</v>
      </c>
      <c r="D7957" s="1">
        <f>IF(Tabela1[[#This Row],[promien]]&lt;40000,1,0)</f>
        <v>1</v>
      </c>
      <c r="E7957" s="1">
        <f>IF(Tabela1[[#This Row],[promien]]=40000,1,0)</f>
        <v>0</v>
      </c>
      <c r="F7957" s="1">
        <v>3.1519416865652885</v>
      </c>
      <c r="G7957" s="1">
        <v>1.0349032975495387E-2</v>
      </c>
    </row>
    <row r="7958" spans="1:7">
      <c r="A7958">
        <v>28</v>
      </c>
      <c r="B7958">
        <v>299</v>
      </c>
      <c r="C7958" s="1">
        <f>(Tabela1[[#This Row],[x]]-H$3)*(Tabela1[[#This Row],[x]]-H$3) +(Tabela1[[#This Row],[y]]-H$4)*(Tabela1[[#This Row],[y]]-H$4)</f>
        <v>39385</v>
      </c>
      <c r="D7958" s="1">
        <f>IF(Tabela1[[#This Row],[promien]]&lt;40000,1,0)</f>
        <v>1</v>
      </c>
      <c r="E7958" s="1">
        <f>IF(Tabela1[[#This Row],[promien]]=40000,1,0)</f>
        <v>0</v>
      </c>
      <c r="F7958" s="1">
        <v>3.1520482533299825</v>
      </c>
      <c r="G7958" s="1">
        <v>1.0455599740189392E-2</v>
      </c>
    </row>
    <row r="7959" spans="1:7">
      <c r="A7959">
        <v>91</v>
      </c>
      <c r="B7959">
        <v>6</v>
      </c>
      <c r="C7959" s="1">
        <f>(Tabela1[[#This Row],[x]]-H$3)*(Tabela1[[#This Row],[x]]-H$3) +(Tabela1[[#This Row],[y]]-H$4)*(Tabela1[[#This Row],[y]]-H$4)</f>
        <v>49517</v>
      </c>
      <c r="D7959" s="1">
        <f>IF(Tabela1[[#This Row],[promien]]&lt;40000,1,0)</f>
        <v>0</v>
      </c>
      <c r="E7959" s="1">
        <f>IF(Tabela1[[#This Row],[promien]]=40000,1,0)</f>
        <v>0</v>
      </c>
      <c r="F7959" s="1">
        <v>3.1516522176152781</v>
      </c>
      <c r="G7959" s="1">
        <v>1.0059564025485024E-2</v>
      </c>
    </row>
    <row r="7960" spans="1:7">
      <c r="A7960">
        <v>335</v>
      </c>
      <c r="B7960">
        <v>89</v>
      </c>
      <c r="C7960" s="1">
        <f>(Tabela1[[#This Row],[x]]-H$3)*(Tabela1[[#This Row],[x]]-H$3) +(Tabela1[[#This Row],[y]]-H$4)*(Tabela1[[#This Row],[y]]-H$4)</f>
        <v>30546</v>
      </c>
      <c r="D7960" s="1">
        <f>IF(Tabela1[[#This Row],[promien]]&lt;40000,1,0)</f>
        <v>1</v>
      </c>
      <c r="E7960" s="1">
        <f>IF(Tabela1[[#This Row],[promien]]=40000,1,0)</f>
        <v>0</v>
      </c>
      <c r="F7960" s="1">
        <v>3.151758793969849</v>
      </c>
      <c r="G7960" s="1">
        <v>1.0166140380055921E-2</v>
      </c>
    </row>
    <row r="7961" spans="1:7">
      <c r="A7961">
        <v>351</v>
      </c>
      <c r="B7961">
        <v>196</v>
      </c>
      <c r="C7961" s="1">
        <f>(Tabela1[[#This Row],[x]]-H$3)*(Tabela1[[#This Row],[x]]-H$3) +(Tabela1[[#This Row],[y]]-H$4)*(Tabela1[[#This Row],[y]]-H$4)</f>
        <v>22817</v>
      </c>
      <c r="D7961" s="1">
        <f>IF(Tabela1[[#This Row],[promien]]&lt;40000,1,0)</f>
        <v>1</v>
      </c>
      <c r="E7961" s="1">
        <f>IF(Tabela1[[#This Row],[promien]]=40000,1,0)</f>
        <v>0</v>
      </c>
      <c r="F7961" s="1">
        <v>3.1518653435498054</v>
      </c>
      <c r="G7961" s="1">
        <v>1.0272689960012293E-2</v>
      </c>
    </row>
    <row r="7962" spans="1:7">
      <c r="A7962">
        <v>111</v>
      </c>
      <c r="B7962">
        <v>202</v>
      </c>
      <c r="C7962" s="1">
        <f>(Tabela1[[#This Row],[x]]-H$3)*(Tabela1[[#This Row],[x]]-H$3) +(Tabela1[[#This Row],[y]]-H$4)*(Tabela1[[#This Row],[y]]-H$4)</f>
        <v>7925</v>
      </c>
      <c r="D7962" s="1">
        <f>IF(Tabela1[[#This Row],[promien]]&lt;40000,1,0)</f>
        <v>1</v>
      </c>
      <c r="E7962" s="1">
        <f>IF(Tabela1[[#This Row],[promien]]=40000,1,0)</f>
        <v>0</v>
      </c>
      <c r="F7962" s="1">
        <v>3.1519718663652347</v>
      </c>
      <c r="G7962" s="1">
        <v>1.0379212775441626E-2</v>
      </c>
    </row>
    <row r="7963" spans="1:7">
      <c r="A7963">
        <v>169</v>
      </c>
      <c r="B7963">
        <v>40</v>
      </c>
      <c r="C7963" s="1">
        <f>(Tabela1[[#This Row],[x]]-H$3)*(Tabela1[[#This Row],[x]]-H$3) +(Tabela1[[#This Row],[y]]-H$4)*(Tabela1[[#This Row],[y]]-H$4)</f>
        <v>26561</v>
      </c>
      <c r="D7963" s="1">
        <f>IF(Tabela1[[#This Row],[promien]]&lt;40000,1,0)</f>
        <v>1</v>
      </c>
      <c r="E7963" s="1">
        <f>IF(Tabela1[[#This Row],[promien]]=40000,1,0)</f>
        <v>0</v>
      </c>
      <c r="F7963" s="1">
        <v>3.1520783624262214</v>
      </c>
      <c r="G7963" s="1">
        <v>1.0485708836428298E-2</v>
      </c>
    </row>
    <row r="7964" spans="1:7">
      <c r="A7964">
        <v>198</v>
      </c>
      <c r="B7964">
        <v>171</v>
      </c>
      <c r="C7964" s="1">
        <f>(Tabela1[[#This Row],[x]]-H$3)*(Tabela1[[#This Row],[x]]-H$3) +(Tabela1[[#This Row],[y]]-H$4)*(Tabela1[[#This Row],[y]]-H$4)</f>
        <v>845</v>
      </c>
      <c r="D7964" s="1">
        <f>IF(Tabela1[[#This Row],[promien]]&lt;40000,1,0)</f>
        <v>1</v>
      </c>
      <c r="E7964" s="1">
        <f>IF(Tabela1[[#This Row],[promien]]=40000,1,0)</f>
        <v>0</v>
      </c>
      <c r="F7964" s="1">
        <v>3.1521848317428427</v>
      </c>
      <c r="G7964" s="1">
        <v>1.0592178153049581E-2</v>
      </c>
    </row>
    <row r="7965" spans="1:7">
      <c r="A7965">
        <v>220</v>
      </c>
      <c r="B7965">
        <v>307</v>
      </c>
      <c r="C7965" s="1">
        <f>(Tabela1[[#This Row],[x]]-H$3)*(Tabela1[[#This Row],[x]]-H$3) +(Tabela1[[#This Row],[y]]-H$4)*(Tabela1[[#This Row],[y]]-H$4)</f>
        <v>11849</v>
      </c>
      <c r="D7965" s="1">
        <f>IF(Tabela1[[#This Row],[promien]]&lt;40000,1,0)</f>
        <v>1</v>
      </c>
      <c r="E7965" s="1">
        <f>IF(Tabela1[[#This Row],[promien]]=40000,1,0)</f>
        <v>0</v>
      </c>
      <c r="F7965" s="1">
        <v>3.1522912743251728</v>
      </c>
      <c r="G7965" s="1">
        <v>1.0698620735379638E-2</v>
      </c>
    </row>
    <row r="7966" spans="1:7">
      <c r="A7966">
        <v>319</v>
      </c>
      <c r="B7966">
        <v>45</v>
      </c>
      <c r="C7966" s="1">
        <f>(Tabela1[[#This Row],[x]]-H$3)*(Tabela1[[#This Row],[x]]-H$3) +(Tabela1[[#This Row],[y]]-H$4)*(Tabela1[[#This Row],[y]]-H$4)</f>
        <v>38186</v>
      </c>
      <c r="D7966" s="1">
        <f>IF(Tabela1[[#This Row],[promien]]&lt;40000,1,0)</f>
        <v>1</v>
      </c>
      <c r="E7966" s="1">
        <f>IF(Tabela1[[#This Row],[promien]]=40000,1,0)</f>
        <v>0</v>
      </c>
      <c r="F7966" s="1">
        <v>3.1523976901832791</v>
      </c>
      <c r="G7966" s="1">
        <v>1.0805036593485973E-2</v>
      </c>
    </row>
    <row r="7967" spans="1:7">
      <c r="A7967">
        <v>302</v>
      </c>
      <c r="B7967">
        <v>34</v>
      </c>
      <c r="C7967" s="1">
        <f>(Tabela1[[#This Row],[x]]-H$3)*(Tabela1[[#This Row],[x]]-H$3) +(Tabela1[[#This Row],[y]]-H$4)*(Tabela1[[#This Row],[y]]-H$4)</f>
        <v>37960</v>
      </c>
      <c r="D7967" s="1">
        <f>IF(Tabela1[[#This Row],[promien]]&lt;40000,1,0)</f>
        <v>1</v>
      </c>
      <c r="E7967" s="1">
        <f>IF(Tabela1[[#This Row],[promien]]=40000,1,0)</f>
        <v>0</v>
      </c>
      <c r="F7967" s="1">
        <v>3.1525040793272248</v>
      </c>
      <c r="G7967" s="1">
        <v>1.0911425737431646E-2</v>
      </c>
    </row>
    <row r="7968" spans="1:7">
      <c r="A7968">
        <v>182</v>
      </c>
      <c r="B7968">
        <v>332</v>
      </c>
      <c r="C7968" s="1">
        <f>(Tabela1[[#This Row],[x]]-H$3)*(Tabela1[[#This Row],[x]]-H$3) +(Tabela1[[#This Row],[y]]-H$4)*(Tabela1[[#This Row],[y]]-H$4)</f>
        <v>17748</v>
      </c>
      <c r="D7968" s="1">
        <f>IF(Tabela1[[#This Row],[promien]]&lt;40000,1,0)</f>
        <v>1</v>
      </c>
      <c r="E7968" s="1">
        <f>IF(Tabela1[[#This Row],[promien]]=40000,1,0)</f>
        <v>0</v>
      </c>
      <c r="F7968" s="1">
        <v>3.1526104417670684</v>
      </c>
      <c r="G7968" s="1">
        <v>1.1017788177275278E-2</v>
      </c>
    </row>
    <row r="7969" spans="1:7">
      <c r="A7969">
        <v>212</v>
      </c>
      <c r="B7969">
        <v>185</v>
      </c>
      <c r="C7969" s="1">
        <f>(Tabela1[[#This Row],[x]]-H$3)*(Tabela1[[#This Row],[x]]-H$3) +(Tabela1[[#This Row],[y]]-H$4)*(Tabela1[[#This Row],[y]]-H$4)</f>
        <v>369</v>
      </c>
      <c r="D7969" s="1">
        <f>IF(Tabela1[[#This Row],[promien]]&lt;40000,1,0)</f>
        <v>1</v>
      </c>
      <c r="E7969" s="1">
        <f>IF(Tabela1[[#This Row],[promien]]=40000,1,0)</f>
        <v>0</v>
      </c>
      <c r="F7969" s="1">
        <v>3.1527167775128624</v>
      </c>
      <c r="G7969" s="1">
        <v>1.1124123923069273E-2</v>
      </c>
    </row>
    <row r="7970" spans="1:7">
      <c r="A7970">
        <v>99</v>
      </c>
      <c r="B7970">
        <v>251</v>
      </c>
      <c r="C7970" s="1">
        <f>(Tabela1[[#This Row],[x]]-H$3)*(Tabela1[[#This Row],[x]]-H$3) +(Tabela1[[#This Row],[y]]-H$4)*(Tabela1[[#This Row],[y]]-H$4)</f>
        <v>12802</v>
      </c>
      <c r="D7970" s="1">
        <f>IF(Tabela1[[#This Row],[promien]]&lt;40000,1,0)</f>
        <v>1</v>
      </c>
      <c r="E7970" s="1">
        <f>IF(Tabela1[[#This Row],[promien]]=40000,1,0)</f>
        <v>0</v>
      </c>
      <c r="F7970" s="1">
        <v>3.1528230865746552</v>
      </c>
      <c r="G7970" s="1">
        <v>1.1230432984862038E-2</v>
      </c>
    </row>
    <row r="7971" spans="1:7">
      <c r="A7971">
        <v>7</v>
      </c>
      <c r="B7971">
        <v>243</v>
      </c>
      <c r="C7971" s="1">
        <f>(Tabela1[[#This Row],[x]]-H$3)*(Tabela1[[#This Row],[x]]-H$3) +(Tabela1[[#This Row],[y]]-H$4)*(Tabela1[[#This Row],[y]]-H$4)</f>
        <v>39098</v>
      </c>
      <c r="D7971" s="1">
        <f>IF(Tabela1[[#This Row],[promien]]&lt;40000,1,0)</f>
        <v>1</v>
      </c>
      <c r="E7971" s="1">
        <f>IF(Tabela1[[#This Row],[promien]]=40000,1,0)</f>
        <v>0</v>
      </c>
      <c r="F7971" s="1">
        <v>3.1529293689624889</v>
      </c>
      <c r="G7971" s="1">
        <v>1.133671537269576E-2</v>
      </c>
    </row>
    <row r="7972" spans="1:7">
      <c r="A7972">
        <v>2</v>
      </c>
      <c r="B7972">
        <v>244</v>
      </c>
      <c r="C7972" s="1">
        <f>(Tabela1[[#This Row],[x]]-H$3)*(Tabela1[[#This Row],[x]]-H$3) +(Tabela1[[#This Row],[y]]-H$4)*(Tabela1[[#This Row],[y]]-H$4)</f>
        <v>41140</v>
      </c>
      <c r="D7972" s="1">
        <f>IF(Tabela1[[#This Row],[promien]]&lt;40000,1,0)</f>
        <v>0</v>
      </c>
      <c r="E7972" s="1">
        <f>IF(Tabela1[[#This Row],[promien]]=40000,1,0)</f>
        <v>0</v>
      </c>
      <c r="F7972" s="1">
        <v>3.1525338685398898</v>
      </c>
      <c r="G7972" s="1">
        <v>1.09412149500967E-2</v>
      </c>
    </row>
    <row r="7973" spans="1:7">
      <c r="A7973">
        <v>167</v>
      </c>
      <c r="B7973">
        <v>189</v>
      </c>
      <c r="C7973" s="1">
        <f>(Tabela1[[#This Row],[x]]-H$3)*(Tabela1[[#This Row],[x]]-H$3) +(Tabela1[[#This Row],[y]]-H$4)*(Tabela1[[#This Row],[y]]-H$4)</f>
        <v>1210</v>
      </c>
      <c r="D7973" s="1">
        <f>IF(Tabela1[[#This Row],[promien]]&lt;40000,1,0)</f>
        <v>1</v>
      </c>
      <c r="E7973" s="1">
        <f>IF(Tabela1[[#This Row],[promien]]=40000,1,0)</f>
        <v>0</v>
      </c>
      <c r="F7973" s="1">
        <v>3.1526401605418286</v>
      </c>
      <c r="G7973" s="1">
        <v>1.1047506952035491E-2</v>
      </c>
    </row>
    <row r="7974" spans="1:7">
      <c r="A7974">
        <v>177</v>
      </c>
      <c r="B7974">
        <v>9</v>
      </c>
      <c r="C7974" s="1">
        <f>(Tabela1[[#This Row],[x]]-H$3)*(Tabela1[[#This Row],[x]]-H$3) +(Tabela1[[#This Row],[y]]-H$4)*(Tabela1[[#This Row],[y]]-H$4)</f>
        <v>37010</v>
      </c>
      <c r="D7974" s="1">
        <f>IF(Tabela1[[#This Row],[promien]]&lt;40000,1,0)</f>
        <v>1</v>
      </c>
      <c r="E7974" s="1">
        <f>IF(Tabela1[[#This Row],[promien]]=40000,1,0)</f>
        <v>0</v>
      </c>
      <c r="F7974" s="1">
        <v>3.1527464258841236</v>
      </c>
      <c r="G7974" s="1">
        <v>1.1153772294330455E-2</v>
      </c>
    </row>
    <row r="7975" spans="1:7">
      <c r="A7975">
        <v>3</v>
      </c>
      <c r="B7975">
        <v>73</v>
      </c>
      <c r="C7975" s="1">
        <f>(Tabela1[[#This Row],[x]]-H$3)*(Tabela1[[#This Row],[x]]-H$3) +(Tabela1[[#This Row],[y]]-H$4)*(Tabela1[[#This Row],[y]]-H$4)</f>
        <v>54938</v>
      </c>
      <c r="D7975" s="1">
        <f>IF(Tabela1[[#This Row],[promien]]&lt;40000,1,0)</f>
        <v>0</v>
      </c>
      <c r="E7975" s="1">
        <f>IF(Tabela1[[#This Row],[promien]]=40000,1,0)</f>
        <v>0</v>
      </c>
      <c r="F7975" s="1">
        <v>3.1523510971786832</v>
      </c>
      <c r="G7975" s="1">
        <v>1.075844358889011E-2</v>
      </c>
    </row>
    <row r="7976" spans="1:7">
      <c r="A7976">
        <v>255</v>
      </c>
      <c r="B7976">
        <v>149</v>
      </c>
      <c r="C7976" s="1">
        <f>(Tabela1[[#This Row],[x]]-H$3)*(Tabela1[[#This Row],[x]]-H$3) +(Tabela1[[#This Row],[y]]-H$4)*(Tabela1[[#This Row],[y]]-H$4)</f>
        <v>5626</v>
      </c>
      <c r="D7976" s="1">
        <f>IF(Tabela1[[#This Row],[promien]]&lt;40000,1,0)</f>
        <v>1</v>
      </c>
      <c r="E7976" s="1">
        <f>IF(Tabela1[[#This Row],[promien]]=40000,1,0)</f>
        <v>0</v>
      </c>
      <c r="F7976" s="1">
        <v>3.1524573721163489</v>
      </c>
      <c r="G7976" s="1">
        <v>1.0864718526555794E-2</v>
      </c>
    </row>
    <row r="7977" spans="1:7">
      <c r="A7977">
        <v>12</v>
      </c>
      <c r="B7977">
        <v>210</v>
      </c>
      <c r="C7977" s="1">
        <f>(Tabela1[[#This Row],[x]]-H$3)*(Tabela1[[#This Row],[x]]-H$3) +(Tabela1[[#This Row],[y]]-H$4)*(Tabela1[[#This Row],[y]]-H$4)</f>
        <v>35444</v>
      </c>
      <c r="D7977" s="1">
        <f>IF(Tabela1[[#This Row],[promien]]&lt;40000,1,0)</f>
        <v>1</v>
      </c>
      <c r="E7977" s="1">
        <f>IF(Tabela1[[#This Row],[promien]]=40000,1,0)</f>
        <v>0</v>
      </c>
      <c r="F7977" s="1">
        <v>3.1525636204086749</v>
      </c>
      <c r="G7977" s="1">
        <v>1.0970966818881767E-2</v>
      </c>
    </row>
    <row r="7978" spans="1:7">
      <c r="A7978">
        <v>340</v>
      </c>
      <c r="B7978">
        <v>210</v>
      </c>
      <c r="C7978" s="1">
        <f>(Tabela1[[#This Row],[x]]-H$3)*(Tabela1[[#This Row],[x]]-H$3) +(Tabela1[[#This Row],[y]]-H$4)*(Tabela1[[#This Row],[y]]-H$4)</f>
        <v>19700</v>
      </c>
      <c r="D7978" s="1">
        <f>IF(Tabela1[[#This Row],[promien]]&lt;40000,1,0)</f>
        <v>1</v>
      </c>
      <c r="E7978" s="1">
        <f>IF(Tabela1[[#This Row],[promien]]=40000,1,0)</f>
        <v>0</v>
      </c>
      <c r="F7978" s="1">
        <v>3.1526698420656807</v>
      </c>
      <c r="G7978" s="1">
        <v>1.1077188475887567E-2</v>
      </c>
    </row>
    <row r="7979" spans="1:7">
      <c r="A7979">
        <v>89</v>
      </c>
      <c r="B7979">
        <v>379</v>
      </c>
      <c r="C7979" s="1">
        <f>(Tabela1[[#This Row],[x]]-H$3)*(Tabela1[[#This Row],[x]]-H$3) +(Tabela1[[#This Row],[y]]-H$4)*(Tabela1[[#This Row],[y]]-H$4)</f>
        <v>44362</v>
      </c>
      <c r="D7979" s="1">
        <f>IF(Tabela1[[#This Row],[promien]]&lt;40000,1,0)</f>
        <v>0</v>
      </c>
      <c r="E7979" s="1">
        <f>IF(Tabela1[[#This Row],[promien]]=40000,1,0)</f>
        <v>0</v>
      </c>
      <c r="F7979" s="1">
        <v>3.1522747211430002</v>
      </c>
      <c r="G7979" s="1">
        <v>1.0682067553207109E-2</v>
      </c>
    </row>
    <row r="7980" spans="1:7">
      <c r="A7980">
        <v>94</v>
      </c>
      <c r="B7980">
        <v>335</v>
      </c>
      <c r="C7980" s="1">
        <f>(Tabela1[[#This Row],[x]]-H$3)*(Tabela1[[#This Row],[x]]-H$3) +(Tabela1[[#This Row],[y]]-H$4)*(Tabela1[[#This Row],[y]]-H$4)</f>
        <v>29461</v>
      </c>
      <c r="D7980" s="1">
        <f>IF(Tabela1[[#This Row],[promien]]&lt;40000,1,0)</f>
        <v>1</v>
      </c>
      <c r="E7980" s="1">
        <f>IF(Tabela1[[#This Row],[promien]]=40000,1,0)</f>
        <v>0</v>
      </c>
      <c r="F7980" s="1">
        <v>3.1523809523809523</v>
      </c>
      <c r="G7980" s="1">
        <v>1.0788298791159168E-2</v>
      </c>
    </row>
    <row r="7981" spans="1:7">
      <c r="A7981">
        <v>13</v>
      </c>
      <c r="B7981">
        <v>342</v>
      </c>
      <c r="C7981" s="1">
        <f>(Tabela1[[#This Row],[x]]-H$3)*(Tabela1[[#This Row],[x]]-H$3) +(Tabela1[[#This Row],[y]]-H$4)*(Tabela1[[#This Row],[y]]-H$4)</f>
        <v>55133</v>
      </c>
      <c r="D7981" s="1">
        <f>IF(Tabela1[[#This Row],[promien]]&lt;40000,1,0)</f>
        <v>0</v>
      </c>
      <c r="E7981" s="1">
        <f>IF(Tabela1[[#This Row],[promien]]=40000,1,0)</f>
        <v>0</v>
      </c>
      <c r="F7981" s="1">
        <v>3.1519859666708432</v>
      </c>
      <c r="G7981" s="1">
        <v>1.0393313081050071E-2</v>
      </c>
    </row>
    <row r="7982" spans="1:7">
      <c r="A7982">
        <v>122</v>
      </c>
      <c r="B7982">
        <v>304</v>
      </c>
      <c r="C7982" s="1">
        <f>(Tabela1[[#This Row],[x]]-H$3)*(Tabela1[[#This Row],[x]]-H$3) +(Tabela1[[#This Row],[y]]-H$4)*(Tabela1[[#This Row],[y]]-H$4)</f>
        <v>16900</v>
      </c>
      <c r="D7982" s="1">
        <f>IF(Tabela1[[#This Row],[promien]]&lt;40000,1,0)</f>
        <v>1</v>
      </c>
      <c r="E7982" s="1">
        <f>IF(Tabela1[[#This Row],[promien]]=40000,1,0)</f>
        <v>0</v>
      </c>
      <c r="F7982" s="1">
        <v>3.1520922074668003</v>
      </c>
      <c r="G7982" s="1">
        <v>1.0499553877007184E-2</v>
      </c>
    </row>
    <row r="7983" spans="1:7">
      <c r="A7983">
        <v>215</v>
      </c>
      <c r="B7983">
        <v>61</v>
      </c>
      <c r="C7983" s="1">
        <f>(Tabela1[[#This Row],[x]]-H$3)*(Tabela1[[#This Row],[x]]-H$3) +(Tabela1[[#This Row],[y]]-H$4)*(Tabela1[[#This Row],[y]]-H$4)</f>
        <v>19546</v>
      </c>
      <c r="D7983" s="1">
        <f>IF(Tabela1[[#This Row],[promien]]&lt;40000,1,0)</f>
        <v>1</v>
      </c>
      <c r="E7983" s="1">
        <f>IF(Tabela1[[#This Row],[promien]]=40000,1,0)</f>
        <v>0</v>
      </c>
      <c r="F7983" s="1">
        <v>3.1521984216459979</v>
      </c>
      <c r="G7983" s="1">
        <v>1.0605768056204834E-2</v>
      </c>
    </row>
    <row r="7984" spans="1:7">
      <c r="A7984">
        <v>82</v>
      </c>
      <c r="B7984">
        <v>367</v>
      </c>
      <c r="C7984" s="1">
        <f>(Tabela1[[#This Row],[x]]-H$3)*(Tabela1[[#This Row],[x]]-H$3) +(Tabela1[[#This Row],[y]]-H$4)*(Tabela1[[#This Row],[y]]-H$4)</f>
        <v>41813</v>
      </c>
      <c r="D7984" s="1">
        <f>IF(Tabela1[[#This Row],[promien]]&lt;40000,1,0)</f>
        <v>0</v>
      </c>
      <c r="E7984" s="1">
        <f>IF(Tabela1[[#This Row],[promien]]=40000,1,0)</f>
        <v>0</v>
      </c>
      <c r="F7984" s="1">
        <v>3.1518036072144286</v>
      </c>
      <c r="G7984" s="1">
        <v>1.0210953624635533E-2</v>
      </c>
    </row>
    <row r="7985" spans="1:7">
      <c r="A7985">
        <v>53</v>
      </c>
      <c r="B7985">
        <v>55</v>
      </c>
      <c r="C7985" s="1">
        <f>(Tabela1[[#This Row],[x]]-H$3)*(Tabela1[[#This Row],[x]]-H$3) +(Tabela1[[#This Row],[y]]-H$4)*(Tabela1[[#This Row],[y]]-H$4)</f>
        <v>42634</v>
      </c>
      <c r="D7985" s="1">
        <f>IF(Tabela1[[#This Row],[promien]]&lt;40000,1,0)</f>
        <v>0</v>
      </c>
      <c r="E7985" s="1">
        <f>IF(Tabela1[[#This Row],[promien]]=40000,1,0)</f>
        <v>0</v>
      </c>
      <c r="F7985" s="1">
        <v>3.1514088916718848</v>
      </c>
      <c r="G7985" s="1">
        <v>9.8162380820916439E-3</v>
      </c>
    </row>
    <row r="7986" spans="1:7">
      <c r="A7986">
        <v>61</v>
      </c>
      <c r="B7986">
        <v>68</v>
      </c>
      <c r="C7986" s="1">
        <f>(Tabela1[[#This Row],[x]]-H$3)*(Tabela1[[#This Row],[x]]-H$3) +(Tabela1[[#This Row],[y]]-H$4)*(Tabela1[[#This Row],[y]]-H$4)</f>
        <v>36745</v>
      </c>
      <c r="D7986" s="1">
        <f>IF(Tabela1[[#This Row],[promien]]&lt;40000,1,0)</f>
        <v>1</v>
      </c>
      <c r="E7986" s="1">
        <f>IF(Tabela1[[#This Row],[promien]]=40000,1,0)</f>
        <v>0</v>
      </c>
      <c r="F7986" s="1">
        <v>3.1515151515151514</v>
      </c>
      <c r="G7986" s="1">
        <v>9.9224979253582646E-3</v>
      </c>
    </row>
    <row r="7987" spans="1:7">
      <c r="A7987">
        <v>333</v>
      </c>
      <c r="B7987">
        <v>266</v>
      </c>
      <c r="C7987" s="1">
        <f>(Tabela1[[#This Row],[x]]-H$3)*(Tabela1[[#This Row],[x]]-H$3) +(Tabela1[[#This Row],[y]]-H$4)*(Tabela1[[#This Row],[y]]-H$4)</f>
        <v>22045</v>
      </c>
      <c r="D7987" s="1">
        <f>IF(Tabela1[[#This Row],[promien]]&lt;40000,1,0)</f>
        <v>1</v>
      </c>
      <c r="E7987" s="1">
        <f>IF(Tabela1[[#This Row],[promien]]=40000,1,0)</f>
        <v>0</v>
      </c>
      <c r="F7987" s="1">
        <v>3.1516213847502192</v>
      </c>
      <c r="G7987" s="1">
        <v>1.002873116042613E-2</v>
      </c>
    </row>
    <row r="7988" spans="1:7">
      <c r="A7988">
        <v>297</v>
      </c>
      <c r="B7988">
        <v>13</v>
      </c>
      <c r="C7988" s="1">
        <f>(Tabela1[[#This Row],[x]]-H$3)*(Tabela1[[#This Row],[x]]-H$3) +(Tabela1[[#This Row],[y]]-H$4)*(Tabela1[[#This Row],[y]]-H$4)</f>
        <v>44378</v>
      </c>
      <c r="D7988" s="1">
        <f>IF(Tabela1[[#This Row],[promien]]&lt;40000,1,0)</f>
        <v>0</v>
      </c>
      <c r="E7988" s="1">
        <f>IF(Tabela1[[#This Row],[promien]]=40000,1,0)</f>
        <v>0</v>
      </c>
      <c r="F7988" s="1">
        <v>3.1512268402603905</v>
      </c>
      <c r="G7988" s="1">
        <v>9.6341866705973445E-3</v>
      </c>
    </row>
    <row r="7989" spans="1:7">
      <c r="A7989">
        <v>256</v>
      </c>
      <c r="B7989">
        <v>136</v>
      </c>
      <c r="C7989" s="1">
        <f>(Tabela1[[#This Row],[x]]-H$3)*(Tabela1[[#This Row],[x]]-H$3) +(Tabela1[[#This Row],[y]]-H$4)*(Tabela1[[#This Row],[y]]-H$4)</f>
        <v>7232</v>
      </c>
      <c r="D7989" s="1">
        <f>IF(Tabela1[[#This Row],[promien]]&lt;40000,1,0)</f>
        <v>1</v>
      </c>
      <c r="E7989" s="1">
        <f>IF(Tabela1[[#This Row],[promien]]=40000,1,0)</f>
        <v>0</v>
      </c>
      <c r="F7989" s="1">
        <v>3.15133308298911</v>
      </c>
      <c r="G7989" s="1">
        <v>9.7404293993168523E-3</v>
      </c>
    </row>
    <row r="7990" spans="1:7">
      <c r="A7990">
        <v>389</v>
      </c>
      <c r="B7990">
        <v>101</v>
      </c>
      <c r="C7990" s="1">
        <f>(Tabela1[[#This Row],[x]]-H$3)*(Tabela1[[#This Row],[x]]-H$3) +(Tabela1[[#This Row],[y]]-H$4)*(Tabela1[[#This Row],[y]]-H$4)</f>
        <v>45522</v>
      </c>
      <c r="D7990" s="1">
        <f>IF(Tabela1[[#This Row],[promien]]&lt;40000,1,0)</f>
        <v>0</v>
      </c>
      <c r="E7990" s="1">
        <f>IF(Tabela1[[#This Row],[promien]]=40000,1,0)</f>
        <v>0</v>
      </c>
      <c r="F7990" s="1">
        <v>3.1509386733416771</v>
      </c>
      <c r="G7990" s="1">
        <v>9.3460197518839827E-3</v>
      </c>
    </row>
    <row r="7991" spans="1:7">
      <c r="A7991">
        <v>195</v>
      </c>
      <c r="B7991">
        <v>231</v>
      </c>
      <c r="C7991" s="1">
        <f>(Tabela1[[#This Row],[x]]-H$3)*(Tabela1[[#This Row],[x]]-H$3) +(Tabela1[[#This Row],[y]]-H$4)*(Tabela1[[#This Row],[y]]-H$4)</f>
        <v>986</v>
      </c>
      <c r="D7991" s="1">
        <f>IF(Tabela1[[#This Row],[promien]]&lt;40000,1,0)</f>
        <v>1</v>
      </c>
      <c r="E7991" s="1">
        <f>IF(Tabela1[[#This Row],[promien]]=40000,1,0)</f>
        <v>0</v>
      </c>
      <c r="F7991" s="1">
        <v>3.1510449255412341</v>
      </c>
      <c r="G7991" s="1">
        <v>9.4522719514409381E-3</v>
      </c>
    </row>
    <row r="7992" spans="1:7">
      <c r="A7992">
        <v>253</v>
      </c>
      <c r="B7992">
        <v>335</v>
      </c>
      <c r="C7992" s="1">
        <f>(Tabela1[[#This Row],[x]]-H$3)*(Tabela1[[#This Row],[x]]-H$3) +(Tabela1[[#This Row],[y]]-H$4)*(Tabela1[[#This Row],[y]]-H$4)</f>
        <v>21034</v>
      </c>
      <c r="D7992" s="1">
        <f>IF(Tabela1[[#This Row],[promien]]&lt;40000,1,0)</f>
        <v>1</v>
      </c>
      <c r="E7992" s="1">
        <f>IF(Tabela1[[#This Row],[promien]]=40000,1,0)</f>
        <v>0</v>
      </c>
      <c r="F7992" s="1">
        <v>3.1511511511511512</v>
      </c>
      <c r="G7992" s="1">
        <v>9.5584975613580703E-3</v>
      </c>
    </row>
    <row r="7993" spans="1:7">
      <c r="A7993">
        <v>266</v>
      </c>
      <c r="B7993">
        <v>120</v>
      </c>
      <c r="C7993" s="1">
        <f>(Tabela1[[#This Row],[x]]-H$3)*(Tabela1[[#This Row],[x]]-H$3) +(Tabela1[[#This Row],[y]]-H$4)*(Tabela1[[#This Row],[y]]-H$4)</f>
        <v>10756</v>
      </c>
      <c r="D7993" s="1">
        <f>IF(Tabela1[[#This Row],[promien]]&lt;40000,1,0)</f>
        <v>1</v>
      </c>
      <c r="E7993" s="1">
        <f>IF(Tabela1[[#This Row],[promien]]=40000,1,0)</f>
        <v>0</v>
      </c>
      <c r="F7993" s="1">
        <v>3.1512573501814085</v>
      </c>
      <c r="G7993" s="1">
        <v>9.664696591615396E-3</v>
      </c>
    </row>
    <row r="7994" spans="1:7">
      <c r="A7994">
        <v>264</v>
      </c>
      <c r="B7994">
        <v>212</v>
      </c>
      <c r="C7994" s="1">
        <f>(Tabela1[[#This Row],[x]]-H$3)*(Tabela1[[#This Row],[x]]-H$3) +(Tabela1[[#This Row],[y]]-H$4)*(Tabela1[[#This Row],[y]]-H$4)</f>
        <v>4240</v>
      </c>
      <c r="D7994" s="1">
        <f>IF(Tabela1[[#This Row],[promien]]&lt;40000,1,0)</f>
        <v>1</v>
      </c>
      <c r="E7994" s="1">
        <f>IF(Tabela1[[#This Row],[promien]]=40000,1,0)</f>
        <v>0</v>
      </c>
      <c r="F7994" s="1">
        <v>3.1513635226419816</v>
      </c>
      <c r="G7994" s="1">
        <v>9.7708690521884911E-3</v>
      </c>
    </row>
    <row r="7995" spans="1:7">
      <c r="A7995">
        <v>56</v>
      </c>
      <c r="B7995">
        <v>251</v>
      </c>
      <c r="C7995" s="1">
        <f>(Tabela1[[#This Row],[x]]-H$3)*(Tabela1[[#This Row],[x]]-H$3) +(Tabela1[[#This Row],[y]]-H$4)*(Tabela1[[#This Row],[y]]-H$4)</f>
        <v>23337</v>
      </c>
      <c r="D7995" s="1">
        <f>IF(Tabela1[[#This Row],[promien]]&lt;40000,1,0)</f>
        <v>1</v>
      </c>
      <c r="E7995" s="1">
        <f>IF(Tabela1[[#This Row],[promien]]=40000,1,0)</f>
        <v>0</v>
      </c>
      <c r="F7995" s="1">
        <v>3.1514696685428394</v>
      </c>
      <c r="G7995" s="1">
        <v>9.8770149530462703E-3</v>
      </c>
    </row>
    <row r="7996" spans="1:7">
      <c r="A7996">
        <v>46</v>
      </c>
      <c r="B7996">
        <v>97</v>
      </c>
      <c r="C7996" s="1">
        <f>(Tabela1[[#This Row],[x]]-H$3)*(Tabela1[[#This Row],[x]]-H$3) +(Tabela1[[#This Row],[y]]-H$4)*(Tabela1[[#This Row],[y]]-H$4)</f>
        <v>34325</v>
      </c>
      <c r="D7996" s="1">
        <f>IF(Tabela1[[#This Row],[promien]]&lt;40000,1,0)</f>
        <v>1</v>
      </c>
      <c r="E7996" s="1">
        <f>IF(Tabela1[[#This Row],[promien]]=40000,1,0)</f>
        <v>0</v>
      </c>
      <c r="F7996" s="1">
        <v>3.1515757878939468</v>
      </c>
      <c r="G7996" s="1">
        <v>9.9831343041536513E-3</v>
      </c>
    </row>
    <row r="7997" spans="1:7">
      <c r="A7997">
        <v>72</v>
      </c>
      <c r="B7997">
        <v>128</v>
      </c>
      <c r="C7997" s="1">
        <f>(Tabela1[[#This Row],[x]]-H$3)*(Tabela1[[#This Row],[x]]-H$3) +(Tabela1[[#This Row],[y]]-H$4)*(Tabela1[[#This Row],[y]]-H$4)</f>
        <v>21568</v>
      </c>
      <c r="D7997" s="1">
        <f>IF(Tabela1[[#This Row],[promien]]&lt;40000,1,0)</f>
        <v>1</v>
      </c>
      <c r="E7997" s="1">
        <f>IF(Tabela1[[#This Row],[promien]]=40000,1,0)</f>
        <v>0</v>
      </c>
      <c r="F7997" s="1">
        <v>3.1516818807052647</v>
      </c>
      <c r="G7997" s="1">
        <v>1.0089227115471555E-2</v>
      </c>
    </row>
    <row r="7998" spans="1:7">
      <c r="A7998">
        <v>364</v>
      </c>
      <c r="B7998">
        <v>373</v>
      </c>
      <c r="C7998" s="1">
        <f>(Tabela1[[#This Row],[x]]-H$3)*(Tabela1[[#This Row],[x]]-H$3) +(Tabela1[[#This Row],[y]]-H$4)*(Tabela1[[#This Row],[y]]-H$4)</f>
        <v>56825</v>
      </c>
      <c r="D7998" s="1">
        <f>IF(Tabela1[[#This Row],[promien]]&lt;40000,1,0)</f>
        <v>0</v>
      </c>
      <c r="E7998" s="1">
        <f>IF(Tabela1[[#This Row],[promien]]=40000,1,0)</f>
        <v>0</v>
      </c>
      <c r="F7998" s="1">
        <v>3.151287821955489</v>
      </c>
      <c r="G7998" s="1">
        <v>9.6951683656958387E-3</v>
      </c>
    </row>
    <row r="7999" spans="1:7">
      <c r="A7999">
        <v>387</v>
      </c>
      <c r="B7999">
        <v>216</v>
      </c>
      <c r="C7999" s="1">
        <f>(Tabela1[[#This Row],[x]]-H$3)*(Tabela1[[#This Row],[x]]-H$3) +(Tabela1[[#This Row],[y]]-H$4)*(Tabela1[[#This Row],[y]]-H$4)</f>
        <v>35225</v>
      </c>
      <c r="D7999" s="1">
        <f>IF(Tabela1[[#This Row],[promien]]&lt;40000,1,0)</f>
        <v>1</v>
      </c>
      <c r="E7999" s="1">
        <f>IF(Tabela1[[#This Row],[promien]]=40000,1,0)</f>
        <v>0</v>
      </c>
      <c r="F7999" s="1">
        <v>3.15139392424053</v>
      </c>
      <c r="G7999" s="1">
        <v>9.8012706507368819E-3</v>
      </c>
    </row>
    <row r="8000" spans="1:7">
      <c r="A8000">
        <v>290</v>
      </c>
      <c r="B8000">
        <v>399</v>
      </c>
      <c r="C8000" s="1">
        <f>(Tabela1[[#This Row],[x]]-H$3)*(Tabela1[[#This Row],[x]]-H$3) +(Tabela1[[#This Row],[y]]-H$4)*(Tabela1[[#This Row],[y]]-H$4)</f>
        <v>47701</v>
      </c>
      <c r="D8000" s="1">
        <f>IF(Tabela1[[#This Row],[promien]]&lt;40000,1,0)</f>
        <v>0</v>
      </c>
      <c r="E8000" s="1">
        <f>IF(Tabela1[[#This Row],[promien]]=40000,1,0)</f>
        <v>0</v>
      </c>
      <c r="F8000" s="1">
        <v>3.1509999999999998</v>
      </c>
      <c r="G8000" s="1">
        <v>9.4073464102066851E-3</v>
      </c>
    </row>
    <row r="8001" spans="1:7">
      <c r="A8001">
        <v>93</v>
      </c>
      <c r="B8001">
        <v>189</v>
      </c>
      <c r="C8001" s="1">
        <f>(Tabela1[[#This Row],[x]]-H$3)*(Tabela1[[#This Row],[x]]-H$3) +(Tabela1[[#This Row],[y]]-H$4)*(Tabela1[[#This Row],[y]]-H$4)</f>
        <v>11570</v>
      </c>
      <c r="D8001" s="1">
        <f>IF(Tabela1[[#This Row],[promien]]&lt;40000,1,0)</f>
        <v>1</v>
      </c>
      <c r="E8001" s="1">
        <f>IF(Tabela1[[#This Row],[promien]]=40000,1,0)</f>
        <v>0</v>
      </c>
      <c r="F8001" s="1">
        <v>3.1511061117360328</v>
      </c>
      <c r="G8001" s="1">
        <v>9.5134581462397172E-3</v>
      </c>
    </row>
    <row r="8002" spans="1:7">
      <c r="A8002">
        <v>49</v>
      </c>
      <c r="B8002">
        <v>339</v>
      </c>
      <c r="C8002" s="1">
        <f>(Tabela1[[#This Row],[x]]-H$3)*(Tabela1[[#This Row],[x]]-H$3) +(Tabela1[[#This Row],[y]]-H$4)*(Tabela1[[#This Row],[y]]-H$4)</f>
        <v>42122</v>
      </c>
      <c r="D8002" s="1">
        <f>IF(Tabela1[[#This Row],[promien]]&lt;40000,1,0)</f>
        <v>0</v>
      </c>
      <c r="E8002" s="1">
        <f>IF(Tabela1[[#This Row],[promien]]=40000,1,0)</f>
        <v>0</v>
      </c>
      <c r="F8002" s="1">
        <v>3.1507123219195203</v>
      </c>
      <c r="G8002" s="1">
        <v>9.1196683297272152E-3</v>
      </c>
    </row>
    <row r="8003" spans="1:7">
      <c r="A8003">
        <v>309</v>
      </c>
      <c r="B8003">
        <v>250</v>
      </c>
      <c r="C8003" s="1">
        <f>(Tabela1[[#This Row],[x]]-H$3)*(Tabela1[[#This Row],[x]]-H$3) +(Tabela1[[#This Row],[y]]-H$4)*(Tabela1[[#This Row],[y]]-H$4)</f>
        <v>14381</v>
      </c>
      <c r="D8003" s="1">
        <f>IF(Tabela1[[#This Row],[promien]]&lt;40000,1,0)</f>
        <v>1</v>
      </c>
      <c r="E8003" s="1">
        <f>IF(Tabela1[[#This Row],[promien]]=40000,1,0)</f>
        <v>0</v>
      </c>
      <c r="F8003" s="1">
        <v>3.1508184430838435</v>
      </c>
      <c r="G8003" s="1">
        <v>9.2257894940503959E-3</v>
      </c>
    </row>
    <row r="8004" spans="1:7">
      <c r="A8004">
        <v>184</v>
      </c>
      <c r="B8004">
        <v>234</v>
      </c>
      <c r="C8004" s="1">
        <f>(Tabela1[[#This Row],[x]]-H$3)*(Tabela1[[#This Row],[x]]-H$3) +(Tabela1[[#This Row],[y]]-H$4)*(Tabela1[[#This Row],[y]]-H$4)</f>
        <v>1412</v>
      </c>
      <c r="D8004" s="1">
        <f>IF(Tabela1[[#This Row],[promien]]&lt;40000,1,0)</f>
        <v>1</v>
      </c>
      <c r="E8004" s="1">
        <f>IF(Tabela1[[#This Row],[promien]]=40000,1,0)</f>
        <v>0</v>
      </c>
      <c r="F8004" s="1">
        <v>3.1509245377311346</v>
      </c>
      <c r="G8004" s="1">
        <v>9.3318841413414511E-3</v>
      </c>
    </row>
    <row r="8005" spans="1:7">
      <c r="A8005">
        <v>105</v>
      </c>
      <c r="B8005">
        <v>371</v>
      </c>
      <c r="C8005" s="1">
        <f>(Tabela1[[#This Row],[x]]-H$3)*(Tabela1[[#This Row],[x]]-H$3) +(Tabela1[[#This Row],[y]]-H$4)*(Tabela1[[#This Row],[y]]-H$4)</f>
        <v>38266</v>
      </c>
      <c r="D8005" s="1">
        <f>IF(Tabela1[[#This Row],[promien]]&lt;40000,1,0)</f>
        <v>1</v>
      </c>
      <c r="E8005" s="1">
        <f>IF(Tabela1[[#This Row],[promien]]=40000,1,0)</f>
        <v>0</v>
      </c>
      <c r="F8005" s="1">
        <v>3.1510306058713304</v>
      </c>
      <c r="G8005" s="1">
        <v>9.4379522815373207E-3</v>
      </c>
    </row>
    <row r="8006" spans="1:7">
      <c r="A8006">
        <v>149</v>
      </c>
      <c r="B8006">
        <v>243</v>
      </c>
      <c r="C8006" s="1">
        <f>(Tabela1[[#This Row],[x]]-H$3)*(Tabela1[[#This Row],[x]]-H$3) +(Tabela1[[#This Row],[y]]-H$4)*(Tabela1[[#This Row],[y]]-H$4)</f>
        <v>4450</v>
      </c>
      <c r="D8006" s="1">
        <f>IF(Tabela1[[#This Row],[promien]]&lt;40000,1,0)</f>
        <v>1</v>
      </c>
      <c r="E8006" s="1">
        <f>IF(Tabela1[[#This Row],[promien]]=40000,1,0)</f>
        <v>0</v>
      </c>
      <c r="F8006" s="1">
        <v>3.1511366475143641</v>
      </c>
      <c r="G8006" s="1">
        <v>9.5439939245709482E-3</v>
      </c>
    </row>
    <row r="8007" spans="1:7">
      <c r="A8007">
        <v>190</v>
      </c>
      <c r="B8007">
        <v>359</v>
      </c>
      <c r="C8007" s="1">
        <f>(Tabela1[[#This Row],[x]]-H$3)*(Tabela1[[#This Row],[x]]-H$3) +(Tabela1[[#This Row],[y]]-H$4)*(Tabela1[[#This Row],[y]]-H$4)</f>
        <v>25381</v>
      </c>
      <c r="D8007" s="1">
        <f>IF(Tabela1[[#This Row],[promien]]&lt;40000,1,0)</f>
        <v>1</v>
      </c>
      <c r="E8007" s="1">
        <f>IF(Tabela1[[#This Row],[promien]]=40000,1,0)</f>
        <v>0</v>
      </c>
      <c r="F8007" s="1">
        <v>3.1512426626701635</v>
      </c>
      <c r="G8007" s="1">
        <v>9.650009080370392E-3</v>
      </c>
    </row>
    <row r="8008" spans="1:7">
      <c r="A8008">
        <v>76</v>
      </c>
      <c r="B8008">
        <v>290</v>
      </c>
      <c r="C8008" s="1">
        <f>(Tabela1[[#This Row],[x]]-H$3)*(Tabela1[[#This Row],[x]]-H$3) +(Tabela1[[#This Row],[y]]-H$4)*(Tabela1[[#This Row],[y]]-H$4)</f>
        <v>23476</v>
      </c>
      <c r="D8008" s="1">
        <f>IF(Tabela1[[#This Row],[promien]]&lt;40000,1,0)</f>
        <v>1</v>
      </c>
      <c r="E8008" s="1">
        <f>IF(Tabela1[[#This Row],[promien]]=40000,1,0)</f>
        <v>0</v>
      </c>
      <c r="F8008" s="1">
        <v>3.1513486513486515</v>
      </c>
      <c r="G8008" s="1">
        <v>9.7559977588583813E-3</v>
      </c>
    </row>
    <row r="8009" spans="1:7">
      <c r="A8009">
        <v>379</v>
      </c>
      <c r="B8009">
        <v>16</v>
      </c>
      <c r="C8009" s="1">
        <f>(Tabela1[[#This Row],[x]]-H$3)*(Tabela1[[#This Row],[x]]-H$3) +(Tabela1[[#This Row],[y]]-H$4)*(Tabela1[[#This Row],[y]]-H$4)</f>
        <v>65897</v>
      </c>
      <c r="D8009" s="1">
        <f>IF(Tabela1[[#This Row],[promien]]&lt;40000,1,0)</f>
        <v>0</v>
      </c>
      <c r="E8009" s="1">
        <f>IF(Tabela1[[#This Row],[promien]]=40000,1,0)</f>
        <v>0</v>
      </c>
      <c r="F8009" s="1">
        <v>3.1509551754276437</v>
      </c>
      <c r="G8009" s="1">
        <v>9.3625218378505792E-3</v>
      </c>
    </row>
    <row r="8010" spans="1:7">
      <c r="A8010">
        <v>215</v>
      </c>
      <c r="B8010">
        <v>372</v>
      </c>
      <c r="C8010" s="1">
        <f>(Tabela1[[#This Row],[x]]-H$3)*(Tabela1[[#This Row],[x]]-H$3) +(Tabela1[[#This Row],[y]]-H$4)*(Tabela1[[#This Row],[y]]-H$4)</f>
        <v>29809</v>
      </c>
      <c r="D8010" s="1">
        <f>IF(Tabela1[[#This Row],[promien]]&lt;40000,1,0)</f>
        <v>1</v>
      </c>
      <c r="E8010" s="1">
        <f>IF(Tabela1[[#This Row],[promien]]=40000,1,0)</f>
        <v>0</v>
      </c>
      <c r="F8010" s="1">
        <v>3.1510611735330838</v>
      </c>
      <c r="G8010" s="1">
        <v>9.4685199432906764E-3</v>
      </c>
    </row>
    <row r="8011" spans="1:7">
      <c r="A8011">
        <v>137</v>
      </c>
      <c r="B8011">
        <v>238</v>
      </c>
      <c r="C8011" s="1">
        <f>(Tabela1[[#This Row],[x]]-H$3)*(Tabela1[[#This Row],[x]]-H$3) +(Tabela1[[#This Row],[y]]-H$4)*(Tabela1[[#This Row],[y]]-H$4)</f>
        <v>5413</v>
      </c>
      <c r="D8011" s="1">
        <f>IF(Tabela1[[#This Row],[promien]]&lt;40000,1,0)</f>
        <v>1</v>
      </c>
      <c r="E8011" s="1">
        <f>IF(Tabela1[[#This Row],[promien]]=40000,1,0)</f>
        <v>0</v>
      </c>
      <c r="F8011" s="1">
        <v>3.1511671451753838</v>
      </c>
      <c r="G8011" s="1">
        <v>9.5744915855906498E-3</v>
      </c>
    </row>
    <row r="8012" spans="1:7">
      <c r="A8012">
        <v>347</v>
      </c>
      <c r="B8012">
        <v>122</v>
      </c>
      <c r="C8012" s="1">
        <f>(Tabela1[[#This Row],[x]]-H$3)*(Tabela1[[#This Row],[x]]-H$3) +(Tabela1[[#This Row],[y]]-H$4)*(Tabela1[[#This Row],[y]]-H$4)</f>
        <v>27693</v>
      </c>
      <c r="D8012" s="1">
        <f>IF(Tabela1[[#This Row],[promien]]&lt;40000,1,0)</f>
        <v>1</v>
      </c>
      <c r="E8012" s="1">
        <f>IF(Tabela1[[#This Row],[promien]]=40000,1,0)</f>
        <v>0</v>
      </c>
      <c r="F8012" s="1">
        <v>3.1512730903644535</v>
      </c>
      <c r="G8012" s="1">
        <v>9.6804367746603504E-3</v>
      </c>
    </row>
    <row r="8013" spans="1:7">
      <c r="A8013">
        <v>216</v>
      </c>
      <c r="B8013">
        <v>210</v>
      </c>
      <c r="C8013" s="1">
        <f>(Tabela1[[#This Row],[x]]-H$3)*(Tabela1[[#This Row],[x]]-H$3) +(Tabela1[[#This Row],[y]]-H$4)*(Tabela1[[#This Row],[y]]-H$4)</f>
        <v>356</v>
      </c>
      <c r="D8013" s="1">
        <f>IF(Tabela1[[#This Row],[promien]]&lt;40000,1,0)</f>
        <v>1</v>
      </c>
      <c r="E8013" s="1">
        <f>IF(Tabela1[[#This Row],[promien]]=40000,1,0)</f>
        <v>0</v>
      </c>
      <c r="F8013" s="1">
        <v>3.1513790091101961</v>
      </c>
      <c r="G8013" s="1">
        <v>9.7863555204029673E-3</v>
      </c>
    </row>
    <row r="8014" spans="1:7">
      <c r="A8014">
        <v>391</v>
      </c>
      <c r="B8014">
        <v>348</v>
      </c>
      <c r="C8014" s="1">
        <f>(Tabela1[[#This Row],[x]]-H$3)*(Tabela1[[#This Row],[x]]-H$3) +(Tabela1[[#This Row],[y]]-H$4)*(Tabela1[[#This Row],[y]]-H$4)</f>
        <v>58385</v>
      </c>
      <c r="D8014" s="1">
        <f>IF(Tabela1[[#This Row],[promien]]&lt;40000,1,0)</f>
        <v>0</v>
      </c>
      <c r="E8014" s="1">
        <f>IF(Tabela1[[#This Row],[promien]]=40000,1,0)</f>
        <v>0</v>
      </c>
      <c r="F8014" s="1">
        <v>3.1509857748939356</v>
      </c>
      <c r="G8014" s="1">
        <v>9.3931213041424932E-3</v>
      </c>
    </row>
    <row r="8015" spans="1:7">
      <c r="A8015">
        <v>282</v>
      </c>
      <c r="B8015">
        <v>84</v>
      </c>
      <c r="C8015" s="1">
        <f>(Tabela1[[#This Row],[x]]-H$3)*(Tabela1[[#This Row],[x]]-H$3) +(Tabela1[[#This Row],[y]]-H$4)*(Tabela1[[#This Row],[y]]-H$4)</f>
        <v>20180</v>
      </c>
      <c r="D8015" s="1">
        <f>IF(Tabela1[[#This Row],[promien]]&lt;40000,1,0)</f>
        <v>1</v>
      </c>
      <c r="E8015" s="1">
        <f>IF(Tabela1[[#This Row],[promien]]=40000,1,0)</f>
        <v>0</v>
      </c>
      <c r="F8015" s="1">
        <v>3.1510917030567684</v>
      </c>
      <c r="G8015" s="1">
        <v>9.4990494669753289E-3</v>
      </c>
    </row>
    <row r="8016" spans="1:7">
      <c r="A8016">
        <v>205</v>
      </c>
      <c r="B8016">
        <v>52</v>
      </c>
      <c r="C8016" s="1">
        <f>(Tabela1[[#This Row],[x]]-H$3)*(Tabela1[[#This Row],[x]]-H$3) +(Tabela1[[#This Row],[y]]-H$4)*(Tabela1[[#This Row],[y]]-H$4)</f>
        <v>21929</v>
      </c>
      <c r="D8016" s="1">
        <f>IF(Tabela1[[#This Row],[promien]]&lt;40000,1,0)</f>
        <v>1</v>
      </c>
      <c r="E8016" s="1">
        <f>IF(Tabela1[[#This Row],[promien]]=40000,1,0)</f>
        <v>0</v>
      </c>
      <c r="F8016" s="1">
        <v>3.1511976047904193</v>
      </c>
      <c r="G8016" s="1">
        <v>9.6049512006262106E-3</v>
      </c>
    </row>
    <row r="8017" spans="1:7">
      <c r="A8017">
        <v>330</v>
      </c>
      <c r="B8017">
        <v>111</v>
      </c>
      <c r="C8017" s="1">
        <f>(Tabela1[[#This Row],[x]]-H$3)*(Tabela1[[#This Row],[x]]-H$3) +(Tabela1[[#This Row],[y]]-H$4)*(Tabela1[[#This Row],[y]]-H$4)</f>
        <v>24821</v>
      </c>
      <c r="D8017" s="1">
        <f>IF(Tabela1[[#This Row],[promien]]&lt;40000,1,0)</f>
        <v>1</v>
      </c>
      <c r="E8017" s="1">
        <f>IF(Tabela1[[#This Row],[promien]]=40000,1,0)</f>
        <v>0</v>
      </c>
      <c r="F8017" s="1">
        <v>3.1513034801047772</v>
      </c>
      <c r="G8017" s="1">
        <v>9.7108265149841166E-3</v>
      </c>
    </row>
    <row r="8018" spans="1:7">
      <c r="A8018">
        <v>174</v>
      </c>
      <c r="B8018">
        <v>337</v>
      </c>
      <c r="C8018" s="1">
        <f>(Tabela1[[#This Row],[x]]-H$3)*(Tabela1[[#This Row],[x]]-H$3) +(Tabela1[[#This Row],[y]]-H$4)*(Tabela1[[#This Row],[y]]-H$4)</f>
        <v>19445</v>
      </c>
      <c r="D8018" s="1">
        <f>IF(Tabela1[[#This Row],[promien]]&lt;40000,1,0)</f>
        <v>1</v>
      </c>
      <c r="E8018" s="1">
        <f>IF(Tabela1[[#This Row],[promien]]=40000,1,0)</f>
        <v>0</v>
      </c>
      <c r="F8018" s="1">
        <v>3.151409329009728</v>
      </c>
      <c r="G8018" s="1">
        <v>9.8166754199349171E-3</v>
      </c>
    </row>
    <row r="8019" spans="1:7">
      <c r="A8019">
        <v>93</v>
      </c>
      <c r="B8019">
        <v>361</v>
      </c>
      <c r="C8019" s="1">
        <f>(Tabela1[[#This Row],[x]]-H$3)*(Tabela1[[#This Row],[x]]-H$3) +(Tabela1[[#This Row],[y]]-H$4)*(Tabela1[[#This Row],[y]]-H$4)</f>
        <v>37370</v>
      </c>
      <c r="D8019" s="1">
        <f>IF(Tabela1[[#This Row],[promien]]&lt;40000,1,0)</f>
        <v>1</v>
      </c>
      <c r="E8019" s="1">
        <f>IF(Tabela1[[#This Row],[promien]]=40000,1,0)</f>
        <v>0</v>
      </c>
      <c r="F8019" s="1">
        <v>3.1515151515151514</v>
      </c>
      <c r="G8019" s="1">
        <v>9.9224979253582646E-3</v>
      </c>
    </row>
    <row r="8020" spans="1:7">
      <c r="A8020">
        <v>389</v>
      </c>
      <c r="B8020">
        <v>307</v>
      </c>
      <c r="C8020" s="1">
        <f>(Tabela1[[#This Row],[x]]-H$3)*(Tabela1[[#This Row],[x]]-H$3) +(Tabela1[[#This Row],[y]]-H$4)*(Tabela1[[#This Row],[y]]-H$4)</f>
        <v>47170</v>
      </c>
      <c r="D8020" s="1">
        <f>IF(Tabela1[[#This Row],[promien]]&lt;40000,1,0)</f>
        <v>0</v>
      </c>
      <c r="E8020" s="1">
        <f>IF(Tabela1[[#This Row],[promien]]=40000,1,0)</f>
        <v>0</v>
      </c>
      <c r="F8020" s="1">
        <v>3.1511221945137158</v>
      </c>
      <c r="G8020" s="1">
        <v>9.5295409239226636E-3</v>
      </c>
    </row>
    <row r="8021" spans="1:7">
      <c r="A8021">
        <v>99</v>
      </c>
      <c r="B8021">
        <v>176</v>
      </c>
      <c r="C8021" s="1">
        <f>(Tabela1[[#This Row],[x]]-H$3)*(Tabela1[[#This Row],[x]]-H$3) +(Tabela1[[#This Row],[y]]-H$4)*(Tabela1[[#This Row],[y]]-H$4)</f>
        <v>10777</v>
      </c>
      <c r="D8021" s="1">
        <f>IF(Tabela1[[#This Row],[promien]]&lt;40000,1,0)</f>
        <v>1</v>
      </c>
      <c r="E8021" s="1">
        <f>IF(Tabela1[[#This Row],[promien]]=40000,1,0)</f>
        <v>0</v>
      </c>
      <c r="F8021" s="1">
        <v>3.1512280264306196</v>
      </c>
      <c r="G8021" s="1">
        <v>9.6353728408264949E-3</v>
      </c>
    </row>
    <row r="8022" spans="1:7">
      <c r="A8022">
        <v>348</v>
      </c>
      <c r="B8022">
        <v>82</v>
      </c>
      <c r="C8022" s="1">
        <f>(Tabela1[[#This Row],[x]]-H$3)*(Tabela1[[#This Row],[x]]-H$3) +(Tabela1[[#This Row],[y]]-H$4)*(Tabela1[[#This Row],[y]]-H$4)</f>
        <v>35828</v>
      </c>
      <c r="D8022" s="1">
        <f>IF(Tabela1[[#This Row],[promien]]&lt;40000,1,0)</f>
        <v>1</v>
      </c>
      <c r="E8022" s="1">
        <f>IF(Tabela1[[#This Row],[promien]]=40000,1,0)</f>
        <v>0</v>
      </c>
      <c r="F8022" s="1">
        <v>3.1513338319621043</v>
      </c>
      <c r="G8022" s="1">
        <v>9.7411783723111434E-3</v>
      </c>
    </row>
    <row r="8023" spans="1:7">
      <c r="A8023">
        <v>199</v>
      </c>
      <c r="B8023">
        <v>333</v>
      </c>
      <c r="C8023" s="1">
        <f>(Tabela1[[#This Row],[x]]-H$3)*(Tabela1[[#This Row],[x]]-H$3) +(Tabela1[[#This Row],[y]]-H$4)*(Tabela1[[#This Row],[y]]-H$4)</f>
        <v>17690</v>
      </c>
      <c r="D8023" s="1">
        <f>IF(Tabela1[[#This Row],[promien]]&lt;40000,1,0)</f>
        <v>1</v>
      </c>
      <c r="E8023" s="1">
        <f>IF(Tabela1[[#This Row],[promien]]=40000,1,0)</f>
        <v>0</v>
      </c>
      <c r="F8023" s="1">
        <v>3.1514396111180356</v>
      </c>
      <c r="G8023" s="1">
        <v>9.8469575282424948E-3</v>
      </c>
    </row>
    <row r="8024" spans="1:7">
      <c r="A8024">
        <v>81</v>
      </c>
      <c r="B8024">
        <v>10</v>
      </c>
      <c r="C8024" s="1">
        <f>(Tabela1[[#This Row],[x]]-H$3)*(Tabela1[[#This Row],[x]]-H$3) +(Tabela1[[#This Row],[y]]-H$4)*(Tabela1[[#This Row],[y]]-H$4)</f>
        <v>50261</v>
      </c>
      <c r="D8024" s="1">
        <f>IF(Tabela1[[#This Row],[promien]]&lt;40000,1,0)</f>
        <v>0</v>
      </c>
      <c r="E8024" s="1">
        <f>IF(Tabela1[[#This Row],[promien]]=40000,1,0)</f>
        <v>0</v>
      </c>
      <c r="F8024" s="1">
        <v>3.1510468594217347</v>
      </c>
      <c r="G8024" s="1">
        <v>9.4542058319415645E-3</v>
      </c>
    </row>
    <row r="8025" spans="1:7">
      <c r="A8025">
        <v>145</v>
      </c>
      <c r="B8025">
        <v>216</v>
      </c>
      <c r="C8025" s="1">
        <f>(Tabela1[[#This Row],[x]]-H$3)*(Tabela1[[#This Row],[x]]-H$3) +(Tabela1[[#This Row],[y]]-H$4)*(Tabela1[[#This Row],[y]]-H$4)</f>
        <v>3281</v>
      </c>
      <c r="D8025" s="1">
        <f>IF(Tabela1[[#This Row],[promien]]&lt;40000,1,0)</f>
        <v>1</v>
      </c>
      <c r="E8025" s="1">
        <f>IF(Tabela1[[#This Row],[promien]]=40000,1,0)</f>
        <v>0</v>
      </c>
      <c r="F8025" s="1">
        <v>3.1511526479750778</v>
      </c>
      <c r="G8025" s="1">
        <v>9.5599943852846536E-3</v>
      </c>
    </row>
    <row r="8026" spans="1:7">
      <c r="A8026">
        <v>388</v>
      </c>
      <c r="B8026">
        <v>221</v>
      </c>
      <c r="C8026" s="1">
        <f>(Tabela1[[#This Row],[x]]-H$3)*(Tabela1[[#This Row],[x]]-H$3) +(Tabela1[[#This Row],[y]]-H$4)*(Tabela1[[#This Row],[y]]-H$4)</f>
        <v>35785</v>
      </c>
      <c r="D8026" s="1">
        <f>IF(Tabela1[[#This Row],[promien]]&lt;40000,1,0)</f>
        <v>1</v>
      </c>
      <c r="E8026" s="1">
        <f>IF(Tabela1[[#This Row],[promien]]=40000,1,0)</f>
        <v>0</v>
      </c>
      <c r="F8026" s="1">
        <v>3.1512584101669572</v>
      </c>
      <c r="G8026" s="1">
        <v>9.6657565771640641E-3</v>
      </c>
    </row>
    <row r="8027" spans="1:7">
      <c r="A8027">
        <v>44</v>
      </c>
      <c r="B8027">
        <v>312</v>
      </c>
      <c r="C8027" s="1">
        <f>(Tabela1[[#This Row],[x]]-H$3)*(Tabela1[[#This Row],[x]]-H$3) +(Tabela1[[#This Row],[y]]-H$4)*(Tabela1[[#This Row],[y]]-H$4)</f>
        <v>36880</v>
      </c>
      <c r="D8027" s="1">
        <f>IF(Tabela1[[#This Row],[promien]]&lt;40000,1,0)</f>
        <v>1</v>
      </c>
      <c r="E8027" s="1">
        <f>IF(Tabela1[[#This Row],[promien]]=40000,1,0)</f>
        <v>0</v>
      </c>
      <c r="F8027" s="1">
        <v>3.1513641460072255</v>
      </c>
      <c r="G8027" s="1">
        <v>9.7714924174323592E-3</v>
      </c>
    </row>
    <row r="8028" spans="1:7">
      <c r="A8028">
        <v>162</v>
      </c>
      <c r="B8028">
        <v>386</v>
      </c>
      <c r="C8028" s="1">
        <f>(Tabela1[[#This Row],[x]]-H$3)*(Tabela1[[#This Row],[x]]-H$3) +(Tabela1[[#This Row],[y]]-H$4)*(Tabela1[[#This Row],[y]]-H$4)</f>
        <v>36040</v>
      </c>
      <c r="D8028" s="1">
        <f>IF(Tabela1[[#This Row],[promien]]&lt;40000,1,0)</f>
        <v>1</v>
      </c>
      <c r="E8028" s="1">
        <f>IF(Tabela1[[#This Row],[promien]]=40000,1,0)</f>
        <v>0</v>
      </c>
      <c r="F8028" s="1">
        <v>3.1514698555057299</v>
      </c>
      <c r="G8028" s="1">
        <v>9.877201915936773E-3</v>
      </c>
    </row>
    <row r="8029" spans="1:7">
      <c r="A8029">
        <v>356</v>
      </c>
      <c r="B8029">
        <v>313</v>
      </c>
      <c r="C8029" s="1">
        <f>(Tabela1[[#This Row],[x]]-H$3)*(Tabela1[[#This Row],[x]]-H$3) +(Tabela1[[#This Row],[y]]-H$4)*(Tabela1[[#This Row],[y]]-H$4)</f>
        <v>37105</v>
      </c>
      <c r="D8029" s="1">
        <f>IF(Tabela1[[#This Row],[promien]]&lt;40000,1,0)</f>
        <v>1</v>
      </c>
      <c r="E8029" s="1">
        <f>IF(Tabela1[[#This Row],[promien]]=40000,1,0)</f>
        <v>0</v>
      </c>
      <c r="F8029" s="1">
        <v>3.1515755386723128</v>
      </c>
      <c r="G8029" s="1">
        <v>9.9828850825196547E-3</v>
      </c>
    </row>
    <row r="8030" spans="1:7">
      <c r="A8030">
        <v>42</v>
      </c>
      <c r="B8030">
        <v>334</v>
      </c>
      <c r="C8030" s="1">
        <f>(Tabela1[[#This Row],[x]]-H$3)*(Tabela1[[#This Row],[x]]-H$3) +(Tabela1[[#This Row],[y]]-H$4)*(Tabela1[[#This Row],[y]]-H$4)</f>
        <v>42920</v>
      </c>
      <c r="D8030" s="1">
        <f>IF(Tabela1[[#This Row],[promien]]&lt;40000,1,0)</f>
        <v>0</v>
      </c>
      <c r="E8030" s="1">
        <f>IF(Tabela1[[#This Row],[promien]]=40000,1,0)</f>
        <v>0</v>
      </c>
      <c r="F8030" s="1">
        <v>3.1511830635118305</v>
      </c>
      <c r="G8030" s="1">
        <v>9.5904099220374128E-3</v>
      </c>
    </row>
    <row r="8031" spans="1:7">
      <c r="A8031">
        <v>152</v>
      </c>
      <c r="B8031">
        <v>336</v>
      </c>
      <c r="C8031" s="1">
        <f>(Tabela1[[#This Row],[x]]-H$3)*(Tabela1[[#This Row],[x]]-H$3) +(Tabela1[[#This Row],[y]]-H$4)*(Tabela1[[#This Row],[y]]-H$4)</f>
        <v>20800</v>
      </c>
      <c r="D8031" s="1">
        <f>IF(Tabela1[[#This Row],[promien]]&lt;40000,1,0)</f>
        <v>1</v>
      </c>
      <c r="E8031" s="1">
        <f>IF(Tabela1[[#This Row],[promien]]=40000,1,0)</f>
        <v>0</v>
      </c>
      <c r="F8031" s="1">
        <v>3.1512887560702278</v>
      </c>
      <c r="G8031" s="1">
        <v>9.6961024804347318E-3</v>
      </c>
    </row>
    <row r="8032" spans="1:7">
      <c r="A8032">
        <v>205</v>
      </c>
      <c r="B8032">
        <v>358</v>
      </c>
      <c r="C8032" s="1">
        <f>(Tabela1[[#This Row],[x]]-H$3)*(Tabela1[[#This Row],[x]]-H$3) +(Tabela1[[#This Row],[y]]-H$4)*(Tabela1[[#This Row],[y]]-H$4)</f>
        <v>24989</v>
      </c>
      <c r="D8032" s="1">
        <f>IF(Tabela1[[#This Row],[promien]]&lt;40000,1,0)</f>
        <v>1</v>
      </c>
      <c r="E8032" s="1">
        <f>IF(Tabela1[[#This Row],[promien]]=40000,1,0)</f>
        <v>0</v>
      </c>
      <c r="F8032" s="1">
        <v>3.1513944223107568</v>
      </c>
      <c r="G8032" s="1">
        <v>9.8017687209637216E-3</v>
      </c>
    </row>
    <row r="8033" spans="1:7">
      <c r="A8033">
        <v>54</v>
      </c>
      <c r="B8033">
        <v>20</v>
      </c>
      <c r="C8033" s="1">
        <f>(Tabela1[[#This Row],[x]]-H$3)*(Tabela1[[#This Row],[x]]-H$3) +(Tabela1[[#This Row],[y]]-H$4)*(Tabela1[[#This Row],[y]]-H$4)</f>
        <v>53716</v>
      </c>
      <c r="D8033" s="1">
        <f>IF(Tabela1[[#This Row],[promien]]&lt;40000,1,0)</f>
        <v>0</v>
      </c>
      <c r="E8033" s="1">
        <f>IF(Tabela1[[#This Row],[promien]]=40000,1,0)</f>
        <v>0</v>
      </c>
      <c r="F8033" s="1">
        <v>3.1510021162703845</v>
      </c>
      <c r="G8033" s="1">
        <v>9.4094626805913961E-3</v>
      </c>
    </row>
    <row r="8034" spans="1:7">
      <c r="A8034">
        <v>213</v>
      </c>
      <c r="B8034">
        <v>322</v>
      </c>
      <c r="C8034" s="1">
        <f>(Tabela1[[#This Row],[x]]-H$3)*(Tabela1[[#This Row],[x]]-H$3) +(Tabela1[[#This Row],[y]]-H$4)*(Tabela1[[#This Row],[y]]-H$4)</f>
        <v>15053</v>
      </c>
      <c r="D8034" s="1">
        <f>IF(Tabela1[[#This Row],[promien]]&lt;40000,1,0)</f>
        <v>1</v>
      </c>
      <c r="E8034" s="1">
        <f>IF(Tabela1[[#This Row],[promien]]=40000,1,0)</f>
        <v>0</v>
      </c>
      <c r="F8034" s="1">
        <v>3.151107791884491</v>
      </c>
      <c r="G8034" s="1">
        <v>9.5151382946978558E-3</v>
      </c>
    </row>
    <row r="8035" spans="1:7">
      <c r="A8035">
        <v>176</v>
      </c>
      <c r="B8035">
        <v>326</v>
      </c>
      <c r="C8035" s="1">
        <f>(Tabela1[[#This Row],[x]]-H$3)*(Tabela1[[#This Row],[x]]-H$3) +(Tabela1[[#This Row],[y]]-H$4)*(Tabela1[[#This Row],[y]]-H$4)</f>
        <v>16452</v>
      </c>
      <c r="D8035" s="1">
        <f>IF(Tabela1[[#This Row],[promien]]&lt;40000,1,0)</f>
        <v>1</v>
      </c>
      <c r="E8035" s="1">
        <f>IF(Tabela1[[#This Row],[promien]]=40000,1,0)</f>
        <v>0</v>
      </c>
      <c r="F8035" s="1">
        <v>3.151213441194773</v>
      </c>
      <c r="G8035" s="1">
        <v>9.6207876049798635E-3</v>
      </c>
    </row>
    <row r="8036" spans="1:7">
      <c r="A8036">
        <v>204</v>
      </c>
      <c r="B8036">
        <v>206</v>
      </c>
      <c r="C8036" s="1">
        <f>(Tabela1[[#This Row],[x]]-H$3)*(Tabela1[[#This Row],[x]]-H$3) +(Tabela1[[#This Row],[y]]-H$4)*(Tabela1[[#This Row],[y]]-H$4)</f>
        <v>52</v>
      </c>
      <c r="D8036" s="1">
        <f>IF(Tabela1[[#This Row],[promien]]&lt;40000,1,0)</f>
        <v>1</v>
      </c>
      <c r="E8036" s="1">
        <f>IF(Tabela1[[#This Row],[promien]]=40000,1,0)</f>
        <v>0</v>
      </c>
      <c r="F8036" s="1">
        <v>3.1513190642110502</v>
      </c>
      <c r="G8036" s="1">
        <v>9.72641062125712E-3</v>
      </c>
    </row>
    <row r="8037" spans="1:7">
      <c r="A8037">
        <v>100</v>
      </c>
      <c r="B8037">
        <v>116</v>
      </c>
      <c r="C8037" s="1">
        <f>(Tabela1[[#This Row],[x]]-H$3)*(Tabela1[[#This Row],[x]]-H$3) +(Tabela1[[#This Row],[y]]-H$4)*(Tabela1[[#This Row],[y]]-H$4)</f>
        <v>17056</v>
      </c>
      <c r="D8037" s="1">
        <f>IF(Tabela1[[#This Row],[promien]]&lt;40000,1,0)</f>
        <v>1</v>
      </c>
      <c r="E8037" s="1">
        <f>IF(Tabela1[[#This Row],[promien]]=40000,1,0)</f>
        <v>0</v>
      </c>
      <c r="F8037" s="1">
        <v>3.151424660943138</v>
      </c>
      <c r="G8037" s="1">
        <v>9.8320073533448848E-3</v>
      </c>
    </row>
    <row r="8038" spans="1:7">
      <c r="A8038">
        <v>261</v>
      </c>
      <c r="B8038">
        <v>2</v>
      </c>
      <c r="C8038" s="1">
        <f>(Tabela1[[#This Row],[x]]-H$3)*(Tabela1[[#This Row],[x]]-H$3) +(Tabela1[[#This Row],[y]]-H$4)*(Tabela1[[#This Row],[y]]-H$4)</f>
        <v>42925</v>
      </c>
      <c r="D8038" s="1">
        <f>IF(Tabela1[[#This Row],[promien]]&lt;40000,1,0)</f>
        <v>0</v>
      </c>
      <c r="E8038" s="1">
        <f>IF(Tabela1[[#This Row],[promien]]=40000,1,0)</f>
        <v>0</v>
      </c>
      <c r="F8038" s="1">
        <v>3.1510325951729286</v>
      </c>
      <c r="G8038" s="1">
        <v>9.4399415831354361E-3</v>
      </c>
    </row>
    <row r="8039" spans="1:7">
      <c r="A8039">
        <v>186</v>
      </c>
      <c r="B8039">
        <v>0</v>
      </c>
      <c r="C8039" s="1">
        <f>(Tabela1[[#This Row],[x]]-H$3)*(Tabela1[[#This Row],[x]]-H$3) +(Tabela1[[#This Row],[y]]-H$4)*(Tabela1[[#This Row],[y]]-H$4)</f>
        <v>40196</v>
      </c>
      <c r="D8039" s="1">
        <f>IF(Tabela1[[#This Row],[promien]]&lt;40000,1,0)</f>
        <v>0</v>
      </c>
      <c r="E8039" s="1">
        <f>IF(Tabela1[[#This Row],[promien]]=40000,1,0)</f>
        <v>0</v>
      </c>
      <c r="F8039" s="1">
        <v>3.1506406269436495</v>
      </c>
      <c r="G8039" s="1">
        <v>9.0479733538564311E-3</v>
      </c>
    </row>
    <row r="8040" spans="1:7">
      <c r="A8040">
        <v>394</v>
      </c>
      <c r="B8040">
        <v>180</v>
      </c>
      <c r="C8040" s="1">
        <f>(Tabela1[[#This Row],[x]]-H$3)*(Tabela1[[#This Row],[x]]-H$3) +(Tabela1[[#This Row],[y]]-H$4)*(Tabela1[[#This Row],[y]]-H$4)</f>
        <v>38036</v>
      </c>
      <c r="D8040" s="1">
        <f>IF(Tabela1[[#This Row],[promien]]&lt;40000,1,0)</f>
        <v>1</v>
      </c>
      <c r="E8040" s="1">
        <f>IF(Tabela1[[#This Row],[promien]]=40000,1,0)</f>
        <v>0</v>
      </c>
      <c r="F8040" s="1">
        <v>3.1507462686567163</v>
      </c>
      <c r="G8040" s="1">
        <v>9.1536150669231375E-3</v>
      </c>
    </row>
    <row r="8041" spans="1:7">
      <c r="A8041">
        <v>215</v>
      </c>
      <c r="B8041">
        <v>265</v>
      </c>
      <c r="C8041" s="1">
        <f>(Tabela1[[#This Row],[x]]-H$3)*(Tabela1[[#This Row],[x]]-H$3) +(Tabela1[[#This Row],[y]]-H$4)*(Tabela1[[#This Row],[y]]-H$4)</f>
        <v>4450</v>
      </c>
      <c r="D8041" s="1">
        <f>IF(Tabela1[[#This Row],[promien]]&lt;40000,1,0)</f>
        <v>1</v>
      </c>
      <c r="E8041" s="1">
        <f>IF(Tabela1[[#This Row],[promien]]=40000,1,0)</f>
        <v>0</v>
      </c>
      <c r="F8041" s="1">
        <v>3.1508518840940183</v>
      </c>
      <c r="G8041" s="1">
        <v>9.2592305042251688E-3</v>
      </c>
    </row>
    <row r="8042" spans="1:7">
      <c r="A8042">
        <v>116</v>
      </c>
      <c r="B8042">
        <v>55</v>
      </c>
      <c r="C8042" s="1">
        <f>(Tabela1[[#This Row],[x]]-H$3)*(Tabela1[[#This Row],[x]]-H$3) +(Tabela1[[#This Row],[y]]-H$4)*(Tabela1[[#This Row],[y]]-H$4)</f>
        <v>28081</v>
      </c>
      <c r="D8042" s="1">
        <f>IF(Tabela1[[#This Row],[promien]]&lt;40000,1,0)</f>
        <v>1</v>
      </c>
      <c r="E8042" s="1">
        <f>IF(Tabela1[[#This Row],[promien]]=40000,1,0)</f>
        <v>0</v>
      </c>
      <c r="F8042" s="1">
        <v>3.1509574732653567</v>
      </c>
      <c r="G8042" s="1">
        <v>9.3648196755635738E-3</v>
      </c>
    </row>
    <row r="8043" spans="1:7">
      <c r="A8043">
        <v>327</v>
      </c>
      <c r="B8043">
        <v>88</v>
      </c>
      <c r="C8043" s="1">
        <f>(Tabela1[[#This Row],[x]]-H$3)*(Tabela1[[#This Row],[x]]-H$3) +(Tabela1[[#This Row],[y]]-H$4)*(Tabela1[[#This Row],[y]]-H$4)</f>
        <v>28673</v>
      </c>
      <c r="D8043" s="1">
        <f>IF(Tabela1[[#This Row],[promien]]&lt;40000,1,0)</f>
        <v>1</v>
      </c>
      <c r="E8043" s="1">
        <f>IF(Tabela1[[#This Row],[promien]]=40000,1,0)</f>
        <v>0</v>
      </c>
      <c r="F8043" s="1">
        <v>3.1510630361805299</v>
      </c>
      <c r="G8043" s="1">
        <v>9.4703825907367367E-3</v>
      </c>
    </row>
    <row r="8044" spans="1:7">
      <c r="A8044">
        <v>175</v>
      </c>
      <c r="B8044">
        <v>174</v>
      </c>
      <c r="C8044" s="1">
        <f>(Tabela1[[#This Row],[x]]-H$3)*(Tabela1[[#This Row],[x]]-H$3) +(Tabela1[[#This Row],[y]]-H$4)*(Tabela1[[#This Row],[y]]-H$4)</f>
        <v>1301</v>
      </c>
      <c r="D8044" s="1">
        <f>IF(Tabela1[[#This Row],[promien]]&lt;40000,1,0)</f>
        <v>1</v>
      </c>
      <c r="E8044" s="1">
        <f>IF(Tabela1[[#This Row],[promien]]=40000,1,0)</f>
        <v>0</v>
      </c>
      <c r="F8044" s="1">
        <v>3.1511685728493286</v>
      </c>
      <c r="G8044" s="1">
        <v>9.5759192595354925E-3</v>
      </c>
    </row>
    <row r="8045" spans="1:7">
      <c r="A8045">
        <v>226</v>
      </c>
      <c r="B8045">
        <v>208</v>
      </c>
      <c r="C8045" s="1">
        <f>(Tabela1[[#This Row],[x]]-H$3)*(Tabela1[[#This Row],[x]]-H$3) +(Tabela1[[#This Row],[y]]-H$4)*(Tabela1[[#This Row],[y]]-H$4)</f>
        <v>740</v>
      </c>
      <c r="D8045" s="1">
        <f>IF(Tabela1[[#This Row],[promien]]&lt;40000,1,0)</f>
        <v>1</v>
      </c>
      <c r="E8045" s="1">
        <f>IF(Tabela1[[#This Row],[promien]]=40000,1,0)</f>
        <v>0</v>
      </c>
      <c r="F8045" s="1">
        <v>3.1512740832815411</v>
      </c>
      <c r="G8045" s="1">
        <v>9.6814296917480114E-3</v>
      </c>
    </row>
    <row r="8046" spans="1:7">
      <c r="A8046">
        <v>302</v>
      </c>
      <c r="B8046">
        <v>258</v>
      </c>
      <c r="C8046" s="1">
        <f>(Tabela1[[#This Row],[x]]-H$3)*(Tabela1[[#This Row],[x]]-H$3) +(Tabela1[[#This Row],[y]]-H$4)*(Tabela1[[#This Row],[y]]-H$4)</f>
        <v>13768</v>
      </c>
      <c r="D8046" s="1">
        <f>IF(Tabela1[[#This Row],[promien]]&lt;40000,1,0)</f>
        <v>1</v>
      </c>
      <c r="E8046" s="1">
        <f>IF(Tabela1[[#This Row],[promien]]=40000,1,0)</f>
        <v>0</v>
      </c>
      <c r="F8046" s="1">
        <v>3.1513795674869503</v>
      </c>
      <c r="G8046" s="1">
        <v>9.7869138971571346E-3</v>
      </c>
    </row>
    <row r="8047" spans="1:7">
      <c r="A8047">
        <v>8</v>
      </c>
      <c r="B8047">
        <v>2</v>
      </c>
      <c r="C8047" s="1">
        <f>(Tabela1[[#This Row],[x]]-H$3)*(Tabela1[[#This Row],[x]]-H$3) +(Tabela1[[#This Row],[y]]-H$4)*(Tabela1[[#This Row],[y]]-H$4)</f>
        <v>76068</v>
      </c>
      <c r="D8047" s="1">
        <f>IF(Tabela1[[#This Row],[promien]]&lt;40000,1,0)</f>
        <v>0</v>
      </c>
      <c r="E8047" s="1">
        <f>IF(Tabela1[[#This Row],[promien]]=40000,1,0)</f>
        <v>0</v>
      </c>
      <c r="F8047" s="1">
        <v>3.1509879458183172</v>
      </c>
      <c r="G8047" s="1">
        <v>9.3952922285240881E-3</v>
      </c>
    </row>
    <row r="8048" spans="1:7">
      <c r="A8048">
        <v>68</v>
      </c>
      <c r="B8048">
        <v>300</v>
      </c>
      <c r="C8048" s="1">
        <f>(Tabela1[[#This Row],[x]]-H$3)*(Tabela1[[#This Row],[x]]-H$3) +(Tabela1[[#This Row],[y]]-H$4)*(Tabela1[[#This Row],[y]]-H$4)</f>
        <v>27424</v>
      </c>
      <c r="D8048" s="1">
        <f>IF(Tabela1[[#This Row],[promien]]&lt;40000,1,0)</f>
        <v>1</v>
      </c>
      <c r="E8048" s="1">
        <f>IF(Tabela1[[#This Row],[promien]]=40000,1,0)</f>
        <v>0</v>
      </c>
      <c r="F8048" s="1">
        <v>3.1510934393638173</v>
      </c>
      <c r="G8048" s="1">
        <v>9.5007857740241342E-3</v>
      </c>
    </row>
    <row r="8049" spans="1:7">
      <c r="A8049">
        <v>362</v>
      </c>
      <c r="B8049">
        <v>257</v>
      </c>
      <c r="C8049" s="1">
        <f>(Tabela1[[#This Row],[x]]-H$3)*(Tabela1[[#This Row],[x]]-H$3) +(Tabela1[[#This Row],[y]]-H$4)*(Tabela1[[#This Row],[y]]-H$4)</f>
        <v>29493</v>
      </c>
      <c r="D8049" s="1">
        <f>IF(Tabela1[[#This Row],[promien]]&lt;40000,1,0)</f>
        <v>1</v>
      </c>
      <c r="E8049" s="1">
        <f>IF(Tabela1[[#This Row],[promien]]=40000,1,0)</f>
        <v>0</v>
      </c>
      <c r="F8049" s="1">
        <v>3.1511989066964841</v>
      </c>
      <c r="G8049" s="1">
        <v>9.6062531066909429E-3</v>
      </c>
    </row>
    <row r="8050" spans="1:7">
      <c r="A8050">
        <v>282</v>
      </c>
      <c r="B8050">
        <v>27</v>
      </c>
      <c r="C8050" s="1">
        <f>(Tabela1[[#This Row],[x]]-H$3)*(Tabela1[[#This Row],[x]]-H$3) +(Tabela1[[#This Row],[y]]-H$4)*(Tabela1[[#This Row],[y]]-H$4)</f>
        <v>36653</v>
      </c>
      <c r="D8050" s="1">
        <f>IF(Tabela1[[#This Row],[promien]]&lt;40000,1,0)</f>
        <v>1</v>
      </c>
      <c r="E8050" s="1">
        <f>IF(Tabela1[[#This Row],[promien]]=40000,1,0)</f>
        <v>0</v>
      </c>
      <c r="F8050" s="1">
        <v>3.1513043478260871</v>
      </c>
      <c r="G8050" s="1">
        <v>9.7116942362940328E-3</v>
      </c>
    </row>
    <row r="8051" spans="1:7">
      <c r="A8051">
        <v>223</v>
      </c>
      <c r="B8051">
        <v>53</v>
      </c>
      <c r="C8051" s="1">
        <f>(Tabela1[[#This Row],[x]]-H$3)*(Tabela1[[#This Row],[x]]-H$3) +(Tabela1[[#This Row],[y]]-H$4)*(Tabela1[[#This Row],[y]]-H$4)</f>
        <v>22138</v>
      </c>
      <c r="D8051" s="1">
        <f>IF(Tabela1[[#This Row],[promien]]&lt;40000,1,0)</f>
        <v>1</v>
      </c>
      <c r="E8051" s="1">
        <f>IF(Tabela1[[#This Row],[promien]]=40000,1,0)</f>
        <v>0</v>
      </c>
      <c r="F8051" s="1">
        <v>3.1514097627623898</v>
      </c>
      <c r="G8051" s="1">
        <v>9.8171091725967052E-3</v>
      </c>
    </row>
    <row r="8052" spans="1:7">
      <c r="A8052">
        <v>142</v>
      </c>
      <c r="B8052">
        <v>54</v>
      </c>
      <c r="C8052" s="1">
        <f>(Tabela1[[#This Row],[x]]-H$3)*(Tabela1[[#This Row],[x]]-H$3) +(Tabela1[[#This Row],[y]]-H$4)*(Tabela1[[#This Row],[y]]-H$4)</f>
        <v>24680</v>
      </c>
      <c r="D8052" s="1">
        <f>IF(Tabela1[[#This Row],[promien]]&lt;40000,1,0)</f>
        <v>1</v>
      </c>
      <c r="E8052" s="1">
        <f>IF(Tabela1[[#This Row],[promien]]=40000,1,0)</f>
        <v>0</v>
      </c>
      <c r="F8052" s="1">
        <v>3.1515151515151514</v>
      </c>
      <c r="G8052" s="1">
        <v>9.9224979253582646E-3</v>
      </c>
    </row>
    <row r="8053" spans="1:7">
      <c r="A8053">
        <v>54</v>
      </c>
      <c r="B8053">
        <v>36</v>
      </c>
      <c r="C8053" s="1">
        <f>(Tabela1[[#This Row],[x]]-H$3)*(Tabela1[[#This Row],[x]]-H$3) +(Tabela1[[#This Row],[y]]-H$4)*(Tabela1[[#This Row],[y]]-H$4)</f>
        <v>48212</v>
      </c>
      <c r="D8053" s="1">
        <f>IF(Tabela1[[#This Row],[promien]]&lt;40000,1,0)</f>
        <v>0</v>
      </c>
      <c r="E8053" s="1">
        <f>IF(Tabela1[[#This Row],[promien]]=40000,1,0)</f>
        <v>0</v>
      </c>
      <c r="F8053" s="1">
        <v>3.1511238047932446</v>
      </c>
      <c r="G8053" s="1">
        <v>9.5311512034514934E-3</v>
      </c>
    </row>
    <row r="8054" spans="1:7">
      <c r="A8054">
        <v>149</v>
      </c>
      <c r="B8054">
        <v>173</v>
      </c>
      <c r="C8054" s="1">
        <f>(Tabela1[[#This Row],[x]]-H$3)*(Tabela1[[#This Row],[x]]-H$3) +(Tabela1[[#This Row],[y]]-H$4)*(Tabela1[[#This Row],[y]]-H$4)</f>
        <v>3330</v>
      </c>
      <c r="D8054" s="1">
        <f>IF(Tabela1[[#This Row],[promien]]&lt;40000,1,0)</f>
        <v>1</v>
      </c>
      <c r="E8054" s="1">
        <f>IF(Tabela1[[#This Row],[promien]]=40000,1,0)</f>
        <v>0</v>
      </c>
      <c r="F8054" s="1">
        <v>3.1512292028805562</v>
      </c>
      <c r="G8054" s="1">
        <v>9.6365492907630745E-3</v>
      </c>
    </row>
    <row r="8055" spans="1:7">
      <c r="A8055">
        <v>383</v>
      </c>
      <c r="B8055">
        <v>257</v>
      </c>
      <c r="C8055" s="1">
        <f>(Tabela1[[#This Row],[x]]-H$3)*(Tabela1[[#This Row],[x]]-H$3) +(Tabela1[[#This Row],[y]]-H$4)*(Tabela1[[#This Row],[y]]-H$4)</f>
        <v>36738</v>
      </c>
      <c r="D8055" s="1">
        <f>IF(Tabela1[[#This Row],[promien]]&lt;40000,1,0)</f>
        <v>1</v>
      </c>
      <c r="E8055" s="1">
        <f>IF(Tabela1[[#This Row],[promien]]=40000,1,0)</f>
        <v>0</v>
      </c>
      <c r="F8055" s="1">
        <v>3.1513345747982617</v>
      </c>
      <c r="G8055" s="1">
        <v>9.741921208468618E-3</v>
      </c>
    </row>
    <row r="8056" spans="1:7">
      <c r="A8056">
        <v>204</v>
      </c>
      <c r="B8056">
        <v>272</v>
      </c>
      <c r="C8056" s="1">
        <f>(Tabela1[[#This Row],[x]]-H$3)*(Tabela1[[#This Row],[x]]-H$3) +(Tabela1[[#This Row],[y]]-H$4)*(Tabela1[[#This Row],[y]]-H$4)</f>
        <v>5200</v>
      </c>
      <c r="D8056" s="1">
        <f>IF(Tabela1[[#This Row],[promien]]&lt;40000,1,0)</f>
        <v>1</v>
      </c>
      <c r="E8056" s="1">
        <f>IF(Tabela1[[#This Row],[promien]]=40000,1,0)</f>
        <v>0</v>
      </c>
      <c r="F8056" s="1">
        <v>3.1514399205561072</v>
      </c>
      <c r="G8056" s="1">
        <v>9.8472669663141055E-3</v>
      </c>
    </row>
    <row r="8057" spans="1:7">
      <c r="A8057">
        <v>117</v>
      </c>
      <c r="B8057">
        <v>281</v>
      </c>
      <c r="C8057" s="1">
        <f>(Tabela1[[#This Row],[x]]-H$3)*(Tabela1[[#This Row],[x]]-H$3) +(Tabela1[[#This Row],[y]]-H$4)*(Tabela1[[#This Row],[y]]-H$4)</f>
        <v>13450</v>
      </c>
      <c r="D8057" s="1">
        <f>IF(Tabela1[[#This Row],[promien]]&lt;40000,1,0)</f>
        <v>1</v>
      </c>
      <c r="E8057" s="1">
        <f>IF(Tabela1[[#This Row],[promien]]=40000,1,0)</f>
        <v>0</v>
      </c>
      <c r="F8057" s="1">
        <v>3.1515452401638329</v>
      </c>
      <c r="G8057" s="1">
        <v>9.9525865740397457E-3</v>
      </c>
    </row>
    <row r="8058" spans="1:7">
      <c r="A8058">
        <v>96</v>
      </c>
      <c r="B8058">
        <v>190</v>
      </c>
      <c r="C8058" s="1">
        <f>(Tabela1[[#This Row],[x]]-H$3)*(Tabela1[[#This Row],[x]]-H$3) +(Tabela1[[#This Row],[y]]-H$4)*(Tabela1[[#This Row],[y]]-H$4)</f>
        <v>10916</v>
      </c>
      <c r="D8058" s="1">
        <f>IF(Tabela1[[#This Row],[promien]]&lt;40000,1,0)</f>
        <v>1</v>
      </c>
      <c r="E8058" s="1">
        <f>IF(Tabela1[[#This Row],[promien]]=40000,1,0)</f>
        <v>0</v>
      </c>
      <c r="F8058" s="1">
        <v>3.151650533631174</v>
      </c>
      <c r="G8058" s="1">
        <v>1.0057880041380862E-2</v>
      </c>
    </row>
    <row r="8059" spans="1:7">
      <c r="A8059">
        <v>168</v>
      </c>
      <c r="B8059">
        <v>162</v>
      </c>
      <c r="C8059" s="1">
        <f>(Tabela1[[#This Row],[x]]-H$3)*(Tabela1[[#This Row],[x]]-H$3) +(Tabela1[[#This Row],[y]]-H$4)*(Tabela1[[#This Row],[y]]-H$4)</f>
        <v>2468</v>
      </c>
      <c r="D8059" s="1">
        <f>IF(Tabela1[[#This Row],[promien]]&lt;40000,1,0)</f>
        <v>1</v>
      </c>
      <c r="E8059" s="1">
        <f>IF(Tabela1[[#This Row],[promien]]=40000,1,0)</f>
        <v>0</v>
      </c>
      <c r="F8059" s="1">
        <v>3.1517558009678619</v>
      </c>
      <c r="G8059" s="1">
        <v>1.0163147378068782E-2</v>
      </c>
    </row>
    <row r="8060" spans="1:7">
      <c r="A8060">
        <v>149</v>
      </c>
      <c r="B8060">
        <v>193</v>
      </c>
      <c r="C8060" s="1">
        <f>(Tabela1[[#This Row],[x]]-H$3)*(Tabela1[[#This Row],[x]]-H$3) +(Tabela1[[#This Row],[y]]-H$4)*(Tabela1[[#This Row],[y]]-H$4)</f>
        <v>2650</v>
      </c>
      <c r="D8060" s="1">
        <f>IF(Tabela1[[#This Row],[promien]]&lt;40000,1,0)</f>
        <v>1</v>
      </c>
      <c r="E8060" s="1">
        <f>IF(Tabela1[[#This Row],[promien]]=40000,1,0)</f>
        <v>0</v>
      </c>
      <c r="F8060" s="1">
        <v>3.1518610421836226</v>
      </c>
      <c r="G8060" s="1">
        <v>1.0268388593829503E-2</v>
      </c>
    </row>
    <row r="8061" spans="1:7">
      <c r="A8061">
        <v>161</v>
      </c>
      <c r="B8061">
        <v>183</v>
      </c>
      <c r="C8061" s="1">
        <f>(Tabela1[[#This Row],[x]]-H$3)*(Tabela1[[#This Row],[x]]-H$3) +(Tabela1[[#This Row],[y]]-H$4)*(Tabela1[[#This Row],[y]]-H$4)</f>
        <v>1810</v>
      </c>
      <c r="D8061" s="1">
        <f>IF(Tabela1[[#This Row],[promien]]&lt;40000,1,0)</f>
        <v>1</v>
      </c>
      <c r="E8061" s="1">
        <f>IF(Tabela1[[#This Row],[promien]]=40000,1,0)</f>
        <v>0</v>
      </c>
      <c r="F8061" s="1">
        <v>3.1519662572881777</v>
      </c>
      <c r="G8061" s="1">
        <v>1.0373603698384581E-2</v>
      </c>
    </row>
    <row r="8062" spans="1:7">
      <c r="A8062">
        <v>231</v>
      </c>
      <c r="B8062">
        <v>116</v>
      </c>
      <c r="C8062" s="1">
        <f>(Tabela1[[#This Row],[x]]-H$3)*(Tabela1[[#This Row],[x]]-H$3) +(Tabela1[[#This Row],[y]]-H$4)*(Tabela1[[#This Row],[y]]-H$4)</f>
        <v>8017</v>
      </c>
      <c r="D8062" s="1">
        <f>IF(Tabela1[[#This Row],[promien]]&lt;40000,1,0)</f>
        <v>1</v>
      </c>
      <c r="E8062" s="1">
        <f>IF(Tabela1[[#This Row],[promien]]=40000,1,0)</f>
        <v>0</v>
      </c>
      <c r="F8062" s="1">
        <v>3.1520714462912429</v>
      </c>
      <c r="G8062" s="1">
        <v>1.0478792701449802E-2</v>
      </c>
    </row>
    <row r="8063" spans="1:7">
      <c r="A8063">
        <v>385</v>
      </c>
      <c r="B8063">
        <v>332</v>
      </c>
      <c r="C8063" s="1">
        <f>(Tabela1[[#This Row],[x]]-H$3)*(Tabela1[[#This Row],[x]]-H$3) +(Tabela1[[#This Row],[y]]-H$4)*(Tabela1[[#This Row],[y]]-H$4)</f>
        <v>51649</v>
      </c>
      <c r="D8063" s="1">
        <f>IF(Tabela1[[#This Row],[promien]]&lt;40000,1,0)</f>
        <v>0</v>
      </c>
      <c r="E8063" s="1">
        <f>IF(Tabela1[[#This Row],[promien]]=40000,1,0)</f>
        <v>0</v>
      </c>
      <c r="F8063" s="1">
        <v>3.1516805159369961</v>
      </c>
      <c r="G8063" s="1">
        <v>1.0087862347202936E-2</v>
      </c>
    </row>
    <row r="8064" spans="1:7">
      <c r="A8064">
        <v>371</v>
      </c>
      <c r="B8064">
        <v>46</v>
      </c>
      <c r="C8064" s="1">
        <f>(Tabela1[[#This Row],[x]]-H$3)*(Tabela1[[#This Row],[x]]-H$3) +(Tabela1[[#This Row],[y]]-H$4)*(Tabela1[[#This Row],[y]]-H$4)</f>
        <v>52957</v>
      </c>
      <c r="D8064" s="1">
        <f>IF(Tabela1[[#This Row],[promien]]&lt;40000,1,0)</f>
        <v>0</v>
      </c>
      <c r="E8064" s="1">
        <f>IF(Tabela1[[#This Row],[promien]]=40000,1,0)</f>
        <v>0</v>
      </c>
      <c r="F8064" s="1">
        <v>3.1512896825396823</v>
      </c>
      <c r="G8064" s="1">
        <v>9.6970289498892193E-3</v>
      </c>
    </row>
    <row r="8065" spans="1:7">
      <c r="A8065">
        <v>330</v>
      </c>
      <c r="B8065">
        <v>188</v>
      </c>
      <c r="C8065" s="1">
        <f>(Tabela1[[#This Row],[x]]-H$3)*(Tabela1[[#This Row],[x]]-H$3) +(Tabela1[[#This Row],[y]]-H$4)*(Tabela1[[#This Row],[y]]-H$4)</f>
        <v>17044</v>
      </c>
      <c r="D8065" s="1">
        <f>IF(Tabela1[[#This Row],[promien]]&lt;40000,1,0)</f>
        <v>1</v>
      </c>
      <c r="E8065" s="1">
        <f>IF(Tabela1[[#This Row],[promien]]=40000,1,0)</f>
        <v>0</v>
      </c>
      <c r="F8065" s="1">
        <v>3.1513949163050219</v>
      </c>
      <c r="G8065" s="1">
        <v>9.8022627152287711E-3</v>
      </c>
    </row>
    <row r="8066" spans="1:7">
      <c r="A8066">
        <v>377</v>
      </c>
      <c r="B8066">
        <v>32</v>
      </c>
      <c r="C8066" s="1">
        <f>(Tabela1[[#This Row],[x]]-H$3)*(Tabela1[[#This Row],[x]]-H$3) +(Tabela1[[#This Row],[y]]-H$4)*(Tabela1[[#This Row],[y]]-H$4)</f>
        <v>59553</v>
      </c>
      <c r="D8066" s="1">
        <f>IF(Tabela1[[#This Row],[promien]]&lt;40000,1,0)</f>
        <v>0</v>
      </c>
      <c r="E8066" s="1">
        <f>IF(Tabela1[[#This Row],[promien]]=40000,1,0)</f>
        <v>0</v>
      </c>
      <c r="F8066" s="1">
        <v>3.1510042152243987</v>
      </c>
      <c r="G8066" s="1">
        <v>9.4115616346055475E-3</v>
      </c>
    </row>
    <row r="8067" spans="1:7">
      <c r="A8067">
        <v>191</v>
      </c>
      <c r="B8067">
        <v>53</v>
      </c>
      <c r="C8067" s="1">
        <f>(Tabela1[[#This Row],[x]]-H$3)*(Tabela1[[#This Row],[x]]-H$3) +(Tabela1[[#This Row],[y]]-H$4)*(Tabela1[[#This Row],[y]]-H$4)</f>
        <v>21690</v>
      </c>
      <c r="D8067" s="1">
        <f>IF(Tabela1[[#This Row],[promien]]&lt;40000,1,0)</f>
        <v>1</v>
      </c>
      <c r="E8067" s="1">
        <f>IF(Tabela1[[#This Row],[promien]]=40000,1,0)</f>
        <v>0</v>
      </c>
      <c r="F8067" s="1">
        <v>3.1511094582868475</v>
      </c>
      <c r="G8067" s="1">
        <v>9.516804697054404E-3</v>
      </c>
    </row>
    <row r="8068" spans="1:7">
      <c r="A8068">
        <v>209</v>
      </c>
      <c r="B8068">
        <v>226</v>
      </c>
      <c r="C8068" s="1">
        <f>(Tabela1[[#This Row],[x]]-H$3)*(Tabela1[[#This Row],[x]]-H$3) +(Tabela1[[#This Row],[y]]-H$4)*(Tabela1[[#This Row],[y]]-H$4)</f>
        <v>757</v>
      </c>
      <c r="D8068" s="1">
        <f>IF(Tabela1[[#This Row],[promien]]&lt;40000,1,0)</f>
        <v>1</v>
      </c>
      <c r="E8068" s="1">
        <f>IF(Tabela1[[#This Row],[promien]]=40000,1,0)</f>
        <v>0</v>
      </c>
      <c r="F8068" s="1">
        <v>3.1512146752602876</v>
      </c>
      <c r="G8068" s="1">
        <v>9.6220216704945294E-3</v>
      </c>
    </row>
    <row r="8069" spans="1:7">
      <c r="A8069">
        <v>340</v>
      </c>
      <c r="B8069">
        <v>61</v>
      </c>
      <c r="C8069" s="1">
        <f>(Tabela1[[#This Row],[x]]-H$3)*(Tabela1[[#This Row],[x]]-H$3) +(Tabela1[[#This Row],[y]]-H$4)*(Tabela1[[#This Row],[y]]-H$4)</f>
        <v>38921</v>
      </c>
      <c r="D8069" s="1">
        <f>IF(Tabela1[[#This Row],[promien]]&lt;40000,1,0)</f>
        <v>1</v>
      </c>
      <c r="E8069" s="1">
        <f>IF(Tabela1[[#This Row],[promien]]=40000,1,0)</f>
        <v>0</v>
      </c>
      <c r="F8069" s="1">
        <v>3.1513198661544179</v>
      </c>
      <c r="G8069" s="1">
        <v>9.727212564624832E-3</v>
      </c>
    </row>
    <row r="8070" spans="1:7">
      <c r="A8070">
        <v>112</v>
      </c>
      <c r="B8070">
        <v>54</v>
      </c>
      <c r="C8070" s="1">
        <f>(Tabela1[[#This Row],[x]]-H$3)*(Tabela1[[#This Row],[x]]-H$3) +(Tabela1[[#This Row],[y]]-H$4)*(Tabela1[[#This Row],[y]]-H$4)</f>
        <v>29060</v>
      </c>
      <c r="D8070" s="1">
        <f>IF(Tabela1[[#This Row],[promien]]&lt;40000,1,0)</f>
        <v>1</v>
      </c>
      <c r="E8070" s="1">
        <f>IF(Tabela1[[#This Row],[promien]]=40000,1,0)</f>
        <v>0</v>
      </c>
      <c r="F8070" s="1">
        <v>3.1514250309789342</v>
      </c>
      <c r="G8070" s="1">
        <v>9.8323773891411115E-3</v>
      </c>
    </row>
    <row r="8071" spans="1:7">
      <c r="A8071">
        <v>100</v>
      </c>
      <c r="B8071">
        <v>153</v>
      </c>
      <c r="C8071" s="1">
        <f>(Tabela1[[#This Row],[x]]-H$3)*(Tabela1[[#This Row],[x]]-H$3) +(Tabela1[[#This Row],[y]]-H$4)*(Tabela1[[#This Row],[y]]-H$4)</f>
        <v>12209</v>
      </c>
      <c r="D8071" s="1">
        <f>IF(Tabela1[[#This Row],[promien]]&lt;40000,1,0)</f>
        <v>1</v>
      </c>
      <c r="E8071" s="1">
        <f>IF(Tabela1[[#This Row],[promien]]=40000,1,0)</f>
        <v>0</v>
      </c>
      <c r="F8071" s="1">
        <v>3.1515301697435261</v>
      </c>
      <c r="G8071" s="1">
        <v>9.9375161537329504E-3</v>
      </c>
    </row>
    <row r="8072" spans="1:7">
      <c r="A8072">
        <v>209</v>
      </c>
      <c r="B8072">
        <v>56</v>
      </c>
      <c r="C8072" s="1">
        <f>(Tabela1[[#This Row],[x]]-H$3)*(Tabela1[[#This Row],[x]]-H$3) +(Tabela1[[#This Row],[y]]-H$4)*(Tabela1[[#This Row],[y]]-H$4)</f>
        <v>20817</v>
      </c>
      <c r="D8072" s="1">
        <f>IF(Tabela1[[#This Row],[promien]]&lt;40000,1,0)</f>
        <v>1</v>
      </c>
      <c r="E8072" s="1">
        <f>IF(Tabela1[[#This Row],[promien]]=40000,1,0)</f>
        <v>0</v>
      </c>
      <c r="F8072" s="1">
        <v>3.1516352824578791</v>
      </c>
      <c r="G8072" s="1">
        <v>1.0042628868085934E-2</v>
      </c>
    </row>
    <row r="8073" spans="1:7">
      <c r="A8073">
        <v>112</v>
      </c>
      <c r="B8073">
        <v>71</v>
      </c>
      <c r="C8073" s="1">
        <f>(Tabela1[[#This Row],[x]]-H$3)*(Tabela1[[#This Row],[x]]-H$3) +(Tabela1[[#This Row],[y]]-H$4)*(Tabela1[[#This Row],[y]]-H$4)</f>
        <v>24385</v>
      </c>
      <c r="D8073" s="1">
        <f>IF(Tabela1[[#This Row],[promien]]&lt;40000,1,0)</f>
        <v>1</v>
      </c>
      <c r="E8073" s="1">
        <f>IF(Tabela1[[#This Row],[promien]]=40000,1,0)</f>
        <v>0</v>
      </c>
      <c r="F8073" s="1">
        <v>3.1517403691316734</v>
      </c>
      <c r="G8073" s="1">
        <v>1.014771554188032E-2</v>
      </c>
    </row>
    <row r="8074" spans="1:7">
      <c r="A8074">
        <v>69</v>
      </c>
      <c r="B8074">
        <v>83</v>
      </c>
      <c r="C8074" s="1">
        <f>(Tabela1[[#This Row],[x]]-H$3)*(Tabela1[[#This Row],[x]]-H$3) +(Tabela1[[#This Row],[y]]-H$4)*(Tabela1[[#This Row],[y]]-H$4)</f>
        <v>30850</v>
      </c>
      <c r="D8074" s="1">
        <f>IF(Tabela1[[#This Row],[promien]]&lt;40000,1,0)</f>
        <v>1</v>
      </c>
      <c r="E8074" s="1">
        <f>IF(Tabela1[[#This Row],[promien]]=40000,1,0)</f>
        <v>0</v>
      </c>
      <c r="F8074" s="1">
        <v>3.151845429774585</v>
      </c>
      <c r="G8074" s="1">
        <v>1.0252776184791923E-2</v>
      </c>
    </row>
    <row r="8075" spans="1:7">
      <c r="A8075">
        <v>360</v>
      </c>
      <c r="B8075">
        <v>340</v>
      </c>
      <c r="C8075" s="1">
        <f>(Tabela1[[#This Row],[x]]-H$3)*(Tabela1[[#This Row],[x]]-H$3) +(Tabela1[[#This Row],[y]]-H$4)*(Tabela1[[#This Row],[y]]-H$4)</f>
        <v>45200</v>
      </c>
      <c r="D8075" s="1">
        <f>IF(Tabela1[[#This Row],[promien]]&lt;40000,1,0)</f>
        <v>0</v>
      </c>
      <c r="E8075" s="1">
        <f>IF(Tabela1[[#This Row],[promien]]=40000,1,0)</f>
        <v>0</v>
      </c>
      <c r="F8075" s="1">
        <v>3.1514551083591331</v>
      </c>
      <c r="G8075" s="1">
        <v>9.8624547693400011E-3</v>
      </c>
    </row>
    <row r="8076" spans="1:7">
      <c r="A8076">
        <v>17</v>
      </c>
      <c r="B8076">
        <v>279</v>
      </c>
      <c r="C8076" s="1">
        <f>(Tabela1[[#This Row],[x]]-H$3)*(Tabela1[[#This Row],[x]]-H$3) +(Tabela1[[#This Row],[y]]-H$4)*(Tabela1[[#This Row],[y]]-H$4)</f>
        <v>39730</v>
      </c>
      <c r="D8076" s="1">
        <f>IF(Tabela1[[#This Row],[promien]]&lt;40000,1,0)</f>
        <v>1</v>
      </c>
      <c r="E8076" s="1">
        <f>IF(Tabela1[[#This Row],[promien]]=40000,1,0)</f>
        <v>0</v>
      </c>
      <c r="F8076" s="1">
        <v>3.151560178306092</v>
      </c>
      <c r="G8076" s="1">
        <v>9.9675247162989145E-3</v>
      </c>
    </row>
    <row r="8077" spans="1:7">
      <c r="A8077">
        <v>264</v>
      </c>
      <c r="B8077">
        <v>371</v>
      </c>
      <c r="C8077" s="1">
        <f>(Tabela1[[#This Row],[x]]-H$3)*(Tabela1[[#This Row],[x]]-H$3) +(Tabela1[[#This Row],[y]]-H$4)*(Tabela1[[#This Row],[y]]-H$4)</f>
        <v>33337</v>
      </c>
      <c r="D8077" s="1">
        <f>IF(Tabela1[[#This Row],[promien]]&lt;40000,1,0)</f>
        <v>1</v>
      </c>
      <c r="E8077" s="1">
        <f>IF(Tabela1[[#This Row],[promien]]=40000,1,0)</f>
        <v>0</v>
      </c>
      <c r="F8077" s="1">
        <v>3.1516652222359789</v>
      </c>
      <c r="G8077" s="1">
        <v>1.0072568646185776E-2</v>
      </c>
    </row>
    <row r="8078" spans="1:7">
      <c r="A8078">
        <v>28</v>
      </c>
      <c r="B8078">
        <v>397</v>
      </c>
      <c r="C8078" s="1">
        <f>(Tabela1[[#This Row],[x]]-H$3)*(Tabela1[[#This Row],[x]]-H$3) +(Tabela1[[#This Row],[y]]-H$4)*(Tabela1[[#This Row],[y]]-H$4)</f>
        <v>68393</v>
      </c>
      <c r="D8078" s="1">
        <f>IF(Tabela1[[#This Row],[promien]]&lt;40000,1,0)</f>
        <v>0</v>
      </c>
      <c r="E8078" s="1">
        <f>IF(Tabela1[[#This Row],[promien]]=40000,1,0)</f>
        <v>0</v>
      </c>
      <c r="F8078" s="1">
        <v>3.1512750680861599</v>
      </c>
      <c r="G8078" s="1">
        <v>9.6824144963667536E-3</v>
      </c>
    </row>
    <row r="8079" spans="1:7">
      <c r="A8079">
        <v>135</v>
      </c>
      <c r="B8079">
        <v>66</v>
      </c>
      <c r="C8079" s="1">
        <f>(Tabela1[[#This Row],[x]]-H$3)*(Tabela1[[#This Row],[x]]-H$3) +(Tabela1[[#This Row],[y]]-H$4)*(Tabela1[[#This Row],[y]]-H$4)</f>
        <v>22181</v>
      </c>
      <c r="D8079" s="1">
        <f>IF(Tabela1[[#This Row],[promien]]&lt;40000,1,0)</f>
        <v>1</v>
      </c>
      <c r="E8079" s="1">
        <f>IF(Tabela1[[#This Row],[promien]]=40000,1,0)</f>
        <v>0</v>
      </c>
      <c r="F8079" s="1">
        <v>3.1513801213021413</v>
      </c>
      <c r="G8079" s="1">
        <v>9.7874677123481746E-3</v>
      </c>
    </row>
    <row r="8080" spans="1:7">
      <c r="A8080">
        <v>188</v>
      </c>
      <c r="B8080">
        <v>234</v>
      </c>
      <c r="C8080" s="1">
        <f>(Tabela1[[#This Row],[x]]-H$3)*(Tabela1[[#This Row],[x]]-H$3) +(Tabela1[[#This Row],[y]]-H$4)*(Tabela1[[#This Row],[y]]-H$4)</f>
        <v>1300</v>
      </c>
      <c r="D8080" s="1">
        <f>IF(Tabela1[[#This Row],[promien]]&lt;40000,1,0)</f>
        <v>1</v>
      </c>
      <c r="E8080" s="1">
        <f>IF(Tabela1[[#This Row],[promien]]=40000,1,0)</f>
        <v>0</v>
      </c>
      <c r="F8080" s="1">
        <v>3.1514851485148516</v>
      </c>
      <c r="G8080" s="1">
        <v>9.8924949250585037E-3</v>
      </c>
    </row>
    <row r="8081" spans="1:7">
      <c r="A8081">
        <v>317</v>
      </c>
      <c r="B8081">
        <v>387</v>
      </c>
      <c r="C8081" s="1">
        <f>(Tabela1[[#This Row],[x]]-H$3)*(Tabela1[[#This Row],[x]]-H$3) +(Tabela1[[#This Row],[y]]-H$4)*(Tabela1[[#This Row],[y]]-H$4)</f>
        <v>48658</v>
      </c>
      <c r="D8081" s="1">
        <f>IF(Tabela1[[#This Row],[promien]]&lt;40000,1,0)</f>
        <v>0</v>
      </c>
      <c r="E8081" s="1">
        <f>IF(Tabela1[[#This Row],[promien]]=40000,1,0)</f>
        <v>0</v>
      </c>
      <c r="F8081" s="1">
        <v>3.1510951614899145</v>
      </c>
      <c r="G8081" s="1">
        <v>9.5025079001214152E-3</v>
      </c>
    </row>
    <row r="8082" spans="1:7">
      <c r="A8082">
        <v>345</v>
      </c>
      <c r="B8082">
        <v>300</v>
      </c>
      <c r="C8082" s="1">
        <f>(Tabela1[[#This Row],[x]]-H$3)*(Tabela1[[#This Row],[x]]-H$3) +(Tabela1[[#This Row],[y]]-H$4)*(Tabela1[[#This Row],[y]]-H$4)</f>
        <v>31025</v>
      </c>
      <c r="D8082" s="1">
        <f>IF(Tabela1[[#This Row],[promien]]&lt;40000,1,0)</f>
        <v>1</v>
      </c>
      <c r="E8082" s="1">
        <f>IF(Tabela1[[#This Row],[promien]]=40000,1,0)</f>
        <v>0</v>
      </c>
      <c r="F8082" s="1">
        <v>3.1512001979707991</v>
      </c>
      <c r="G8082" s="1">
        <v>9.6075443810059724E-3</v>
      </c>
    </row>
    <row r="8083" spans="1:7">
      <c r="A8083">
        <v>315</v>
      </c>
      <c r="B8083">
        <v>365</v>
      </c>
      <c r="C8083" s="1">
        <f>(Tabela1[[#This Row],[x]]-H$3)*(Tabela1[[#This Row],[x]]-H$3) +(Tabela1[[#This Row],[y]]-H$4)*(Tabela1[[#This Row],[y]]-H$4)</f>
        <v>40450</v>
      </c>
      <c r="D8083" s="1">
        <f>IF(Tabela1[[#This Row],[promien]]&lt;40000,1,0)</f>
        <v>0</v>
      </c>
      <c r="E8083" s="1">
        <f>IF(Tabela1[[#This Row],[promien]]=40000,1,0)</f>
        <v>0</v>
      </c>
      <c r="F8083" s="1">
        <v>3.1508103426945442</v>
      </c>
      <c r="G8083" s="1">
        <v>9.2176891047510701E-3</v>
      </c>
    </row>
    <row r="8084" spans="1:7">
      <c r="A8084">
        <v>93</v>
      </c>
      <c r="B8084">
        <v>276</v>
      </c>
      <c r="C8084" s="1">
        <f>(Tabela1[[#This Row],[x]]-H$3)*(Tabela1[[#This Row],[x]]-H$3) +(Tabela1[[#This Row],[y]]-H$4)*(Tabela1[[#This Row],[y]]-H$4)</f>
        <v>17225</v>
      </c>
      <c r="D8084" s="1">
        <f>IF(Tabela1[[#This Row],[promien]]&lt;40000,1,0)</f>
        <v>1</v>
      </c>
      <c r="E8084" s="1">
        <f>IF(Tabela1[[#This Row],[promien]]=40000,1,0)</f>
        <v>0</v>
      </c>
      <c r="F8084" s="1">
        <v>3.1509153884215735</v>
      </c>
      <c r="G8084" s="1">
        <v>9.322734831780366E-3</v>
      </c>
    </row>
    <row r="8085" spans="1:7">
      <c r="A8085">
        <v>161</v>
      </c>
      <c r="B8085">
        <v>225</v>
      </c>
      <c r="C8085" s="1">
        <f>(Tabela1[[#This Row],[x]]-H$3)*(Tabela1[[#This Row],[x]]-H$3) +(Tabela1[[#This Row],[y]]-H$4)*(Tabela1[[#This Row],[y]]-H$4)</f>
        <v>2146</v>
      </c>
      <c r="D8085" s="1">
        <f>IF(Tabela1[[#This Row],[promien]]&lt;40000,1,0)</f>
        <v>1</v>
      </c>
      <c r="E8085" s="1">
        <f>IF(Tabela1[[#This Row],[promien]]=40000,1,0)</f>
        <v>0</v>
      </c>
      <c r="F8085" s="1">
        <v>3.1510204081632653</v>
      </c>
      <c r="G8085" s="1">
        <v>9.4277545734722246E-3</v>
      </c>
    </row>
    <row r="8086" spans="1:7">
      <c r="A8086">
        <v>153</v>
      </c>
      <c r="B8086">
        <v>315</v>
      </c>
      <c r="C8086" s="1">
        <f>(Tabela1[[#This Row],[x]]-H$3)*(Tabela1[[#This Row],[x]]-H$3) +(Tabela1[[#This Row],[y]]-H$4)*(Tabela1[[#This Row],[y]]-H$4)</f>
        <v>15434</v>
      </c>
      <c r="D8086" s="1">
        <f>IF(Tabela1[[#This Row],[promien]]&lt;40000,1,0)</f>
        <v>1</v>
      </c>
      <c r="E8086" s="1">
        <f>IF(Tabela1[[#This Row],[promien]]=40000,1,0)</f>
        <v>0</v>
      </c>
      <c r="F8086" s="1">
        <v>3.1511254019292605</v>
      </c>
      <c r="G8086" s="1">
        <v>9.5327483394673784E-3</v>
      </c>
    </row>
    <row r="8087" spans="1:7">
      <c r="A8087">
        <v>169</v>
      </c>
      <c r="B8087">
        <v>80</v>
      </c>
      <c r="C8087" s="1">
        <f>(Tabela1[[#This Row],[x]]-H$3)*(Tabela1[[#This Row],[x]]-H$3) +(Tabela1[[#This Row],[y]]-H$4)*(Tabela1[[#This Row],[y]]-H$4)</f>
        <v>15361</v>
      </c>
      <c r="D8087" s="1">
        <f>IF(Tabela1[[#This Row],[promien]]&lt;40000,1,0)</f>
        <v>1</v>
      </c>
      <c r="E8087" s="1">
        <f>IF(Tabela1[[#This Row],[promien]]=40000,1,0)</f>
        <v>0</v>
      </c>
      <c r="F8087" s="1">
        <v>3.1512303697291948</v>
      </c>
      <c r="G8087" s="1">
        <v>9.6377161394016753E-3</v>
      </c>
    </row>
    <row r="8088" spans="1:7">
      <c r="A8088">
        <v>141</v>
      </c>
      <c r="B8088">
        <v>22</v>
      </c>
      <c r="C8088" s="1">
        <f>(Tabela1[[#This Row],[x]]-H$3)*(Tabela1[[#This Row],[x]]-H$3) +(Tabela1[[#This Row],[y]]-H$4)*(Tabela1[[#This Row],[y]]-H$4)</f>
        <v>35165</v>
      </c>
      <c r="D8088" s="1">
        <f>IF(Tabela1[[#This Row],[promien]]&lt;40000,1,0)</f>
        <v>1</v>
      </c>
      <c r="E8088" s="1">
        <f>IF(Tabela1[[#This Row],[promien]]=40000,1,0)</f>
        <v>0</v>
      </c>
      <c r="F8088" s="1">
        <v>3.1513353115727001</v>
      </c>
      <c r="G8088" s="1">
        <v>9.7426579829069659E-3</v>
      </c>
    </row>
    <row r="8089" spans="1:7">
      <c r="A8089">
        <v>4</v>
      </c>
      <c r="B8089">
        <v>115</v>
      </c>
      <c r="C8089" s="1">
        <f>(Tabela1[[#This Row],[x]]-H$3)*(Tabela1[[#This Row],[x]]-H$3) +(Tabela1[[#This Row],[y]]-H$4)*(Tabela1[[#This Row],[y]]-H$4)</f>
        <v>45641</v>
      </c>
      <c r="D8089" s="1">
        <f>IF(Tabela1[[#This Row],[promien]]&lt;40000,1,0)</f>
        <v>0</v>
      </c>
      <c r="E8089" s="1">
        <f>IF(Tabela1[[#This Row],[promien]]=40000,1,0)</f>
        <v>0</v>
      </c>
      <c r="F8089" s="1">
        <v>3.150945728767462</v>
      </c>
      <c r="G8089" s="1">
        <v>9.3530751776689236E-3</v>
      </c>
    </row>
    <row r="8090" spans="1:7">
      <c r="A8090">
        <v>307</v>
      </c>
      <c r="B8090">
        <v>377</v>
      </c>
      <c r="C8090" s="1">
        <f>(Tabela1[[#This Row],[x]]-H$3)*(Tabela1[[#This Row],[x]]-H$3) +(Tabela1[[#This Row],[y]]-H$4)*(Tabela1[[#This Row],[y]]-H$4)</f>
        <v>42778</v>
      </c>
      <c r="D8090" s="1">
        <f>IF(Tabela1[[#This Row],[promien]]&lt;40000,1,0)</f>
        <v>0</v>
      </c>
      <c r="E8090" s="1">
        <f>IF(Tabela1[[#This Row],[promien]]=40000,1,0)</f>
        <v>0</v>
      </c>
      <c r="F8090" s="1">
        <v>3.1505562422744129</v>
      </c>
      <c r="G8090" s="1">
        <v>8.9635886846197721E-3</v>
      </c>
    </row>
    <row r="8091" spans="1:7">
      <c r="A8091">
        <v>260</v>
      </c>
      <c r="B8091">
        <v>397</v>
      </c>
      <c r="C8091" s="1">
        <f>(Tabela1[[#This Row],[x]]-H$3)*(Tabela1[[#This Row],[x]]-H$3) +(Tabela1[[#This Row],[y]]-H$4)*(Tabela1[[#This Row],[y]]-H$4)</f>
        <v>42409</v>
      </c>
      <c r="D8091" s="1">
        <f>IF(Tabela1[[#This Row],[promien]]&lt;40000,1,0)</f>
        <v>0</v>
      </c>
      <c r="E8091" s="1">
        <f>IF(Tabela1[[#This Row],[promien]]=40000,1,0)</f>
        <v>0</v>
      </c>
      <c r="F8091" s="1">
        <v>3.1501668520578421</v>
      </c>
      <c r="G8091" s="1">
        <v>8.5741984680489658E-3</v>
      </c>
    </row>
    <row r="8092" spans="1:7">
      <c r="A8092">
        <v>371</v>
      </c>
      <c r="B8092">
        <v>60</v>
      </c>
      <c r="C8092" s="1">
        <f>(Tabela1[[#This Row],[x]]-H$3)*(Tabela1[[#This Row],[x]]-H$3) +(Tabela1[[#This Row],[y]]-H$4)*(Tabela1[[#This Row],[y]]-H$4)</f>
        <v>48841</v>
      </c>
      <c r="D8092" s="1">
        <f>IF(Tabela1[[#This Row],[promien]]&lt;40000,1,0)</f>
        <v>0</v>
      </c>
      <c r="E8092" s="1">
        <f>IF(Tabela1[[#This Row],[promien]]=40000,1,0)</f>
        <v>0</v>
      </c>
      <c r="F8092" s="1">
        <v>3.1497775580820564</v>
      </c>
      <c r="G8092" s="1">
        <v>8.1849044922632785E-3</v>
      </c>
    </row>
    <row r="8093" spans="1:7">
      <c r="A8093">
        <v>121</v>
      </c>
      <c r="B8093">
        <v>387</v>
      </c>
      <c r="C8093" s="1">
        <f>(Tabela1[[#This Row],[x]]-H$3)*(Tabela1[[#This Row],[x]]-H$3) +(Tabela1[[#This Row],[y]]-H$4)*(Tabela1[[#This Row],[y]]-H$4)</f>
        <v>41210</v>
      </c>
      <c r="D8093" s="1">
        <f>IF(Tabela1[[#This Row],[promien]]&lt;40000,1,0)</f>
        <v>0</v>
      </c>
      <c r="E8093" s="1">
        <f>IF(Tabela1[[#This Row],[promien]]=40000,1,0)</f>
        <v>0</v>
      </c>
      <c r="F8093" s="1">
        <v>3.1493883603113804</v>
      </c>
      <c r="G8093" s="1">
        <v>7.7957067215872478E-3</v>
      </c>
    </row>
    <row r="8094" spans="1:7">
      <c r="A8094">
        <v>43</v>
      </c>
      <c r="B8094">
        <v>221</v>
      </c>
      <c r="C8094" s="1">
        <f>(Tabela1[[#This Row],[x]]-H$3)*(Tabela1[[#This Row],[x]]-H$3) +(Tabela1[[#This Row],[y]]-H$4)*(Tabela1[[#This Row],[y]]-H$4)</f>
        <v>25090</v>
      </c>
      <c r="D8094" s="1">
        <f>IF(Tabela1[[#This Row],[promien]]&lt;40000,1,0)</f>
        <v>1</v>
      </c>
      <c r="E8094" s="1">
        <f>IF(Tabela1[[#This Row],[promien]]=40000,1,0)</f>
        <v>0</v>
      </c>
      <c r="F8094" s="1">
        <v>3.1494934519397084</v>
      </c>
      <c r="G8094" s="1">
        <v>7.9007983499153056E-3</v>
      </c>
    </row>
    <row r="8095" spans="1:7">
      <c r="A8095">
        <v>188</v>
      </c>
      <c r="B8095">
        <v>396</v>
      </c>
      <c r="C8095" s="1">
        <f>(Tabela1[[#This Row],[x]]-H$3)*(Tabela1[[#This Row],[x]]-H$3) +(Tabela1[[#This Row],[y]]-H$4)*(Tabela1[[#This Row],[y]]-H$4)</f>
        <v>38560</v>
      </c>
      <c r="D8095" s="1">
        <f>IF(Tabela1[[#This Row],[promien]]&lt;40000,1,0)</f>
        <v>1</v>
      </c>
      <c r="E8095" s="1">
        <f>IF(Tabela1[[#This Row],[promien]]=40000,1,0)</f>
        <v>0</v>
      </c>
      <c r="F8095" s="1">
        <v>3.1495985176034589</v>
      </c>
      <c r="G8095" s="1">
        <v>8.0058640136657644E-3</v>
      </c>
    </row>
    <row r="8096" spans="1:7">
      <c r="A8096">
        <v>221</v>
      </c>
      <c r="B8096">
        <v>261</v>
      </c>
      <c r="C8096" s="1">
        <f>(Tabela1[[#This Row],[x]]-H$3)*(Tabela1[[#This Row],[x]]-H$3) +(Tabela1[[#This Row],[y]]-H$4)*(Tabela1[[#This Row],[y]]-H$4)</f>
        <v>4162</v>
      </c>
      <c r="D8096" s="1">
        <f>IF(Tabela1[[#This Row],[promien]]&lt;40000,1,0)</f>
        <v>1</v>
      </c>
      <c r="E8096" s="1">
        <f>IF(Tabela1[[#This Row],[promien]]=40000,1,0)</f>
        <v>0</v>
      </c>
      <c r="F8096" s="1">
        <v>3.1497035573122529</v>
      </c>
      <c r="G8096" s="1">
        <v>8.1109037224598168E-3</v>
      </c>
    </row>
    <row r="8097" spans="1:7">
      <c r="A8097">
        <v>151</v>
      </c>
      <c r="B8097">
        <v>109</v>
      </c>
      <c r="C8097" s="1">
        <f>(Tabela1[[#This Row],[x]]-H$3)*(Tabela1[[#This Row],[x]]-H$3) +(Tabela1[[#This Row],[y]]-H$4)*(Tabela1[[#This Row],[y]]-H$4)</f>
        <v>10682</v>
      </c>
      <c r="D8097" s="1">
        <f>IF(Tabela1[[#This Row],[promien]]&lt;40000,1,0)</f>
        <v>1</v>
      </c>
      <c r="E8097" s="1">
        <f>IF(Tabela1[[#This Row],[promien]]=40000,1,0)</f>
        <v>0</v>
      </c>
      <c r="F8097" s="1">
        <v>3.1498085710757069</v>
      </c>
      <c r="G8097" s="1">
        <v>8.2159174859137707E-3</v>
      </c>
    </row>
    <row r="8098" spans="1:7">
      <c r="A8098">
        <v>357</v>
      </c>
      <c r="B8098">
        <v>170</v>
      </c>
      <c r="C8098" s="1">
        <f>(Tabela1[[#This Row],[x]]-H$3)*(Tabela1[[#This Row],[x]]-H$3) +(Tabela1[[#This Row],[y]]-H$4)*(Tabela1[[#This Row],[y]]-H$4)</f>
        <v>25549</v>
      </c>
      <c r="D8098" s="1">
        <f>IF(Tabela1[[#This Row],[promien]]&lt;40000,1,0)</f>
        <v>1</v>
      </c>
      <c r="E8098" s="1">
        <f>IF(Tabela1[[#This Row],[promien]]=40000,1,0)</f>
        <v>0</v>
      </c>
      <c r="F8098" s="1">
        <v>3.1499135589034331</v>
      </c>
      <c r="G8098" s="1">
        <v>8.3209053136399369E-3</v>
      </c>
    </row>
    <row r="8099" spans="1:7">
      <c r="A8099">
        <v>291</v>
      </c>
      <c r="B8099">
        <v>228</v>
      </c>
      <c r="C8099" s="1">
        <f>(Tabela1[[#This Row],[x]]-H$3)*(Tabela1[[#This Row],[x]]-H$3) +(Tabela1[[#This Row],[y]]-H$4)*(Tabela1[[#This Row],[y]]-H$4)</f>
        <v>9065</v>
      </c>
      <c r="D8099" s="1">
        <f>IF(Tabela1[[#This Row],[promien]]&lt;40000,1,0)</f>
        <v>1</v>
      </c>
      <c r="E8099" s="1">
        <f>IF(Tabela1[[#This Row],[promien]]=40000,1,0)</f>
        <v>0</v>
      </c>
      <c r="F8099" s="1">
        <v>3.1500185208050375</v>
      </c>
      <c r="G8099" s="1">
        <v>8.4258672152444092E-3</v>
      </c>
    </row>
    <row r="8100" spans="1:7">
      <c r="A8100">
        <v>6</v>
      </c>
      <c r="B8100">
        <v>200</v>
      </c>
      <c r="C8100" s="1">
        <f>(Tabela1[[#This Row],[x]]-H$3)*(Tabela1[[#This Row],[x]]-H$3) +(Tabela1[[#This Row],[y]]-H$4)*(Tabela1[[#This Row],[y]]-H$4)</f>
        <v>37636</v>
      </c>
      <c r="D8100" s="1">
        <f>IF(Tabela1[[#This Row],[promien]]&lt;40000,1,0)</f>
        <v>1</v>
      </c>
      <c r="E8100" s="1">
        <f>IF(Tabela1[[#This Row],[promien]]=40000,1,0)</f>
        <v>0</v>
      </c>
      <c r="F8100" s="1">
        <v>3.1501234567901233</v>
      </c>
      <c r="G8100" s="1">
        <v>8.5308032003301726E-3</v>
      </c>
    </row>
    <row r="8101" spans="1:7">
      <c r="A8101">
        <v>257</v>
      </c>
      <c r="B8101">
        <v>88</v>
      </c>
      <c r="C8101" s="1">
        <f>(Tabela1[[#This Row],[x]]-H$3)*(Tabela1[[#This Row],[x]]-H$3) +(Tabela1[[#This Row],[y]]-H$4)*(Tabela1[[#This Row],[y]]-H$4)</f>
        <v>15793</v>
      </c>
      <c r="D8101" s="1">
        <f>IF(Tabela1[[#This Row],[promien]]&lt;40000,1,0)</f>
        <v>1</v>
      </c>
      <c r="E8101" s="1">
        <f>IF(Tabela1[[#This Row],[promien]]=40000,1,0)</f>
        <v>0</v>
      </c>
      <c r="F8101" s="1">
        <v>3.150228366868288</v>
      </c>
      <c r="G8101" s="1">
        <v>8.6357132784948831E-3</v>
      </c>
    </row>
    <row r="8102" spans="1:7">
      <c r="A8102">
        <v>259</v>
      </c>
      <c r="B8102">
        <v>73</v>
      </c>
      <c r="C8102" s="1">
        <f>(Tabela1[[#This Row],[x]]-H$3)*(Tabela1[[#This Row],[x]]-H$3) +(Tabela1[[#This Row],[y]]-H$4)*(Tabela1[[#This Row],[y]]-H$4)</f>
        <v>19610</v>
      </c>
      <c r="D8102" s="1">
        <f>IF(Tabela1[[#This Row],[promien]]&lt;40000,1,0)</f>
        <v>1</v>
      </c>
      <c r="E8102" s="1">
        <f>IF(Tabela1[[#This Row],[promien]]=40000,1,0)</f>
        <v>0</v>
      </c>
      <c r="F8102" s="1">
        <v>3.1503332510491235</v>
      </c>
      <c r="G8102" s="1">
        <v>8.7405974593304236E-3</v>
      </c>
    </row>
    <row r="8103" spans="1:7">
      <c r="A8103">
        <v>199</v>
      </c>
      <c r="B8103">
        <v>212</v>
      </c>
      <c r="C8103" s="1">
        <f>(Tabela1[[#This Row],[x]]-H$3)*(Tabela1[[#This Row],[x]]-H$3) +(Tabela1[[#This Row],[y]]-H$4)*(Tabela1[[#This Row],[y]]-H$4)</f>
        <v>145</v>
      </c>
      <c r="D8103" s="1">
        <f>IF(Tabela1[[#This Row],[promien]]&lt;40000,1,0)</f>
        <v>1</v>
      </c>
      <c r="E8103" s="1">
        <f>IF(Tabela1[[#This Row],[promien]]=40000,1,0)</f>
        <v>0</v>
      </c>
      <c r="F8103" s="1">
        <v>3.1504381093422191</v>
      </c>
      <c r="G8103" s="1">
        <v>8.8454557524260125E-3</v>
      </c>
    </row>
    <row r="8104" spans="1:7">
      <c r="A8104">
        <v>17</v>
      </c>
      <c r="B8104">
        <v>338</v>
      </c>
      <c r="C8104" s="1">
        <f>(Tabela1[[#This Row],[x]]-H$3)*(Tabela1[[#This Row],[x]]-H$3) +(Tabela1[[#This Row],[y]]-H$4)*(Tabela1[[#This Row],[y]]-H$4)</f>
        <v>52533</v>
      </c>
      <c r="D8104" s="1">
        <f>IF(Tabela1[[#This Row],[promien]]&lt;40000,1,0)</f>
        <v>0</v>
      </c>
      <c r="E8104" s="1">
        <f>IF(Tabela1[[#This Row],[promien]]=40000,1,0)</f>
        <v>0</v>
      </c>
      <c r="F8104" s="1">
        <v>3.1500493583415596</v>
      </c>
      <c r="G8104" s="1">
        <v>8.4567047517665195E-3</v>
      </c>
    </row>
    <row r="8105" spans="1:7">
      <c r="A8105">
        <v>183</v>
      </c>
      <c r="B8105">
        <v>143</v>
      </c>
      <c r="C8105" s="1">
        <f>(Tabela1[[#This Row],[x]]-H$3)*(Tabela1[[#This Row],[x]]-H$3) +(Tabela1[[#This Row],[y]]-H$4)*(Tabela1[[#This Row],[y]]-H$4)</f>
        <v>3538</v>
      </c>
      <c r="D8105" s="1">
        <f>IF(Tabela1[[#This Row],[promien]]&lt;40000,1,0)</f>
        <v>1</v>
      </c>
      <c r="E8105" s="1">
        <f>IF(Tabela1[[#This Row],[promien]]=40000,1,0)</f>
        <v>0</v>
      </c>
      <c r="F8105" s="1">
        <v>3.1501542257865514</v>
      </c>
      <c r="G8105" s="1">
        <v>8.5615721967582381E-3</v>
      </c>
    </row>
    <row r="8106" spans="1:7">
      <c r="A8106">
        <v>223</v>
      </c>
      <c r="B8106">
        <v>387</v>
      </c>
      <c r="C8106" s="1">
        <f>(Tabela1[[#This Row],[x]]-H$3)*(Tabela1[[#This Row],[x]]-H$3) +(Tabela1[[#This Row],[y]]-H$4)*(Tabela1[[#This Row],[y]]-H$4)</f>
        <v>35498</v>
      </c>
      <c r="D8106" s="1">
        <f>IF(Tabela1[[#This Row],[promien]]&lt;40000,1,0)</f>
        <v>1</v>
      </c>
      <c r="E8106" s="1">
        <f>IF(Tabela1[[#This Row],[promien]]=40000,1,0)</f>
        <v>0</v>
      </c>
      <c r="F8106" s="1">
        <v>3.150259067357513</v>
      </c>
      <c r="G8106" s="1">
        <v>8.6664137677199271E-3</v>
      </c>
    </row>
    <row r="8107" spans="1:7">
      <c r="A8107">
        <v>349</v>
      </c>
      <c r="B8107">
        <v>305</v>
      </c>
      <c r="C8107" s="1">
        <f>(Tabela1[[#This Row],[x]]-H$3)*(Tabela1[[#This Row],[x]]-H$3) +(Tabela1[[#This Row],[y]]-H$4)*(Tabela1[[#This Row],[y]]-H$4)</f>
        <v>33226</v>
      </c>
      <c r="D8107" s="1">
        <f>IF(Tabela1[[#This Row],[promien]]&lt;40000,1,0)</f>
        <v>1</v>
      </c>
      <c r="E8107" s="1">
        <f>IF(Tabela1[[#This Row],[promien]]=40000,1,0)</f>
        <v>0</v>
      </c>
      <c r="F8107" s="1">
        <v>3.1503638830640188</v>
      </c>
      <c r="G8107" s="1">
        <v>8.7712294742257058E-3</v>
      </c>
    </row>
    <row r="8108" spans="1:7">
      <c r="A8108">
        <v>268</v>
      </c>
      <c r="B8108">
        <v>40</v>
      </c>
      <c r="C8108" s="1">
        <f>(Tabela1[[#This Row],[x]]-H$3)*(Tabela1[[#This Row],[x]]-H$3) +(Tabela1[[#This Row],[y]]-H$4)*(Tabela1[[#This Row],[y]]-H$4)</f>
        <v>30224</v>
      </c>
      <c r="D8108" s="1">
        <f>IF(Tabela1[[#This Row],[promien]]&lt;40000,1,0)</f>
        <v>1</v>
      </c>
      <c r="E8108" s="1">
        <f>IF(Tabela1[[#This Row],[promien]]=40000,1,0)</f>
        <v>0</v>
      </c>
      <c r="F8108" s="1">
        <v>3.1504686729156388</v>
      </c>
      <c r="G8108" s="1">
        <v>8.8760193258456965E-3</v>
      </c>
    </row>
    <row r="8109" spans="1:7">
      <c r="A8109">
        <v>113</v>
      </c>
      <c r="B8109">
        <v>128</v>
      </c>
      <c r="C8109" s="1">
        <f>(Tabela1[[#This Row],[x]]-H$3)*(Tabela1[[#This Row],[x]]-H$3) +(Tabela1[[#This Row],[y]]-H$4)*(Tabela1[[#This Row],[y]]-H$4)</f>
        <v>12753</v>
      </c>
      <c r="D8109" s="1">
        <f>IF(Tabela1[[#This Row],[promien]]&lt;40000,1,0)</f>
        <v>1</v>
      </c>
      <c r="E8109" s="1">
        <f>IF(Tabela1[[#This Row],[promien]]=40000,1,0)</f>
        <v>0</v>
      </c>
      <c r="F8109" s="1">
        <v>3.1505734369219387</v>
      </c>
      <c r="G8109" s="1">
        <v>8.980783332145581E-3</v>
      </c>
    </row>
    <row r="8110" spans="1:7">
      <c r="A8110">
        <v>122</v>
      </c>
      <c r="B8110">
        <v>291</v>
      </c>
      <c r="C8110" s="1">
        <f>(Tabela1[[#This Row],[x]]-H$3)*(Tabela1[[#This Row],[x]]-H$3) +(Tabela1[[#This Row],[y]]-H$4)*(Tabela1[[#This Row],[y]]-H$4)</f>
        <v>14365</v>
      </c>
      <c r="D8110" s="1">
        <f>IF(Tabela1[[#This Row],[promien]]&lt;40000,1,0)</f>
        <v>1</v>
      </c>
      <c r="E8110" s="1">
        <f>IF(Tabela1[[#This Row],[promien]]=40000,1,0)</f>
        <v>0</v>
      </c>
      <c r="F8110" s="1">
        <v>3.1506781750924784</v>
      </c>
      <c r="G8110" s="1">
        <v>9.0855215026852676E-3</v>
      </c>
    </row>
    <row r="8111" spans="1:7">
      <c r="A8111">
        <v>2</v>
      </c>
      <c r="B8111">
        <v>48</v>
      </c>
      <c r="C8111" s="1">
        <f>(Tabela1[[#This Row],[x]]-H$3)*(Tabela1[[#This Row],[x]]-H$3) +(Tabela1[[#This Row],[y]]-H$4)*(Tabela1[[#This Row],[y]]-H$4)</f>
        <v>62308</v>
      </c>
      <c r="D8111" s="1">
        <f>IF(Tabela1[[#This Row],[promien]]&lt;40000,1,0)</f>
        <v>0</v>
      </c>
      <c r="E8111" s="1">
        <f>IF(Tabela1[[#This Row],[promien]]=40000,1,0)</f>
        <v>0</v>
      </c>
      <c r="F8111" s="1">
        <v>3.1502897299963015</v>
      </c>
      <c r="G8111" s="1">
        <v>8.6970764065084083E-3</v>
      </c>
    </row>
    <row r="8112" spans="1:7">
      <c r="A8112">
        <v>35</v>
      </c>
      <c r="B8112">
        <v>31</v>
      </c>
      <c r="C8112" s="1">
        <f>(Tabela1[[#This Row],[x]]-H$3)*(Tabela1[[#This Row],[x]]-H$3) +(Tabela1[[#This Row],[y]]-H$4)*(Tabela1[[#This Row],[y]]-H$4)</f>
        <v>55786</v>
      </c>
      <c r="D8112" s="1">
        <f>IF(Tabela1[[#This Row],[promien]]&lt;40000,1,0)</f>
        <v>0</v>
      </c>
      <c r="E8112" s="1">
        <f>IF(Tabela1[[#This Row],[promien]]=40000,1,0)</f>
        <v>0</v>
      </c>
      <c r="F8112" s="1">
        <v>3.1499013806706113</v>
      </c>
      <c r="G8112" s="1">
        <v>8.3087270808182012E-3</v>
      </c>
    </row>
    <row r="8113" spans="1:7">
      <c r="A8113">
        <v>105</v>
      </c>
      <c r="B8113">
        <v>195</v>
      </c>
      <c r="C8113" s="1">
        <f>(Tabela1[[#This Row],[x]]-H$3)*(Tabela1[[#This Row],[x]]-H$3) +(Tabela1[[#This Row],[y]]-H$4)*(Tabela1[[#This Row],[y]]-H$4)</f>
        <v>9050</v>
      </c>
      <c r="D8113" s="1">
        <f>IF(Tabela1[[#This Row],[promien]]&lt;40000,1,0)</f>
        <v>1</v>
      </c>
      <c r="E8113" s="1">
        <f>IF(Tabela1[[#This Row],[promien]]=40000,1,0)</f>
        <v>0</v>
      </c>
      <c r="F8113" s="1">
        <v>3.1500061629483547</v>
      </c>
      <c r="G8113" s="1">
        <v>8.413509358561555E-3</v>
      </c>
    </row>
    <row r="8114" spans="1:7">
      <c r="A8114">
        <v>1</v>
      </c>
      <c r="B8114">
        <v>369</v>
      </c>
      <c r="C8114" s="1">
        <f>(Tabela1[[#This Row],[x]]-H$3)*(Tabela1[[#This Row],[x]]-H$3) +(Tabela1[[#This Row],[y]]-H$4)*(Tabela1[[#This Row],[y]]-H$4)</f>
        <v>68162</v>
      </c>
      <c r="D8114" s="1">
        <f>IF(Tabela1[[#This Row],[promien]]&lt;40000,1,0)</f>
        <v>0</v>
      </c>
      <c r="E8114" s="1">
        <f>IF(Tabela1[[#This Row],[promien]]=40000,1,0)</f>
        <v>0</v>
      </c>
      <c r="F8114" s="1">
        <v>3.149617944293813</v>
      </c>
      <c r="G8114" s="1">
        <v>8.0252907040199162E-3</v>
      </c>
    </row>
    <row r="8115" spans="1:7">
      <c r="A8115">
        <v>352</v>
      </c>
      <c r="B8115">
        <v>46</v>
      </c>
      <c r="C8115" s="1">
        <f>(Tabela1[[#This Row],[x]]-H$3)*(Tabela1[[#This Row],[x]]-H$3) +(Tabela1[[#This Row],[y]]-H$4)*(Tabela1[[#This Row],[y]]-H$4)</f>
        <v>46820</v>
      </c>
      <c r="D8115" s="1">
        <f>IF(Tabela1[[#This Row],[promien]]&lt;40000,1,0)</f>
        <v>0</v>
      </c>
      <c r="E8115" s="1">
        <f>IF(Tabela1[[#This Row],[promien]]=40000,1,0)</f>
        <v>0</v>
      </c>
      <c r="F8115" s="1">
        <v>3.1492298213185461</v>
      </c>
      <c r="G8115" s="1">
        <v>7.6371677287530026E-3</v>
      </c>
    </row>
    <row r="8116" spans="1:7">
      <c r="A8116">
        <v>302</v>
      </c>
      <c r="B8116">
        <v>25</v>
      </c>
      <c r="C8116" s="1">
        <f>(Tabela1[[#This Row],[x]]-H$3)*(Tabela1[[#This Row],[x]]-H$3) +(Tabela1[[#This Row],[y]]-H$4)*(Tabela1[[#This Row],[y]]-H$4)</f>
        <v>41029</v>
      </c>
      <c r="D8116" s="1">
        <f>IF(Tabela1[[#This Row],[promien]]&lt;40000,1,0)</f>
        <v>0</v>
      </c>
      <c r="E8116" s="1">
        <f>IF(Tabela1[[#This Row],[promien]]=40000,1,0)</f>
        <v>0</v>
      </c>
      <c r="F8116" s="1">
        <v>3.1488417939871858</v>
      </c>
      <c r="G8116" s="1">
        <v>7.2491403973926616E-3</v>
      </c>
    </row>
    <row r="8117" spans="1:7">
      <c r="A8117">
        <v>148</v>
      </c>
      <c r="B8117">
        <v>132</v>
      </c>
      <c r="C8117" s="1">
        <f>(Tabela1[[#This Row],[x]]-H$3)*(Tabela1[[#This Row],[x]]-H$3) +(Tabela1[[#This Row],[y]]-H$4)*(Tabela1[[#This Row],[y]]-H$4)</f>
        <v>7328</v>
      </c>
      <c r="D8117" s="1">
        <f>IF(Tabela1[[#This Row],[promien]]&lt;40000,1,0)</f>
        <v>1</v>
      </c>
      <c r="E8117" s="1">
        <f>IF(Tabela1[[#This Row],[promien]]=40000,1,0)</f>
        <v>0</v>
      </c>
      <c r="F8117" s="1">
        <v>3.1489466551681655</v>
      </c>
      <c r="G8117" s="1">
        <v>7.3540015783724044E-3</v>
      </c>
    </row>
    <row r="8118" spans="1:7">
      <c r="A8118">
        <v>330</v>
      </c>
      <c r="B8118">
        <v>105</v>
      </c>
      <c r="C8118" s="1">
        <f>(Tabela1[[#This Row],[x]]-H$3)*(Tabela1[[#This Row],[x]]-H$3) +(Tabela1[[#This Row],[y]]-H$4)*(Tabela1[[#This Row],[y]]-H$4)</f>
        <v>25925</v>
      </c>
      <c r="D8118" s="1">
        <f>IF(Tabela1[[#This Row],[promien]]&lt;40000,1,0)</f>
        <v>1</v>
      </c>
      <c r="E8118" s="1">
        <f>IF(Tabela1[[#This Row],[promien]]=40000,1,0)</f>
        <v>0</v>
      </c>
      <c r="F8118" s="1">
        <v>3.1490514905149052</v>
      </c>
      <c r="G8118" s="1">
        <v>7.4588369251120668E-3</v>
      </c>
    </row>
    <row r="8119" spans="1:7">
      <c r="A8119">
        <v>283</v>
      </c>
      <c r="B8119">
        <v>231</v>
      </c>
      <c r="C8119" s="1">
        <f>(Tabela1[[#This Row],[x]]-H$3)*(Tabela1[[#This Row],[x]]-H$3) +(Tabela1[[#This Row],[y]]-H$4)*(Tabela1[[#This Row],[y]]-H$4)</f>
        <v>7850</v>
      </c>
      <c r="D8119" s="1">
        <f>IF(Tabela1[[#This Row],[promien]]&lt;40000,1,0)</f>
        <v>1</v>
      </c>
      <c r="E8119" s="1">
        <f>IF(Tabela1[[#This Row],[promien]]=40000,1,0)</f>
        <v>0</v>
      </c>
      <c r="F8119" s="1">
        <v>3.1491563000369505</v>
      </c>
      <c r="G8119" s="1">
        <v>7.5636464471573461E-3</v>
      </c>
    </row>
    <row r="8120" spans="1:7">
      <c r="A8120">
        <v>115</v>
      </c>
      <c r="B8120">
        <v>154</v>
      </c>
      <c r="C8120" s="1">
        <f>(Tabela1[[#This Row],[x]]-H$3)*(Tabela1[[#This Row],[x]]-H$3) +(Tabela1[[#This Row],[y]]-H$4)*(Tabela1[[#This Row],[y]]-H$4)</f>
        <v>9341</v>
      </c>
      <c r="D8120" s="1">
        <f>IF(Tabela1[[#This Row],[promien]]&lt;40000,1,0)</f>
        <v>1</v>
      </c>
      <c r="E8120" s="1">
        <f>IF(Tabela1[[#This Row],[promien]]=40000,1,0)</f>
        <v>0</v>
      </c>
      <c r="F8120" s="1">
        <v>3.1492610837438422</v>
      </c>
      <c r="G8120" s="1">
        <v>7.6684301540490551E-3</v>
      </c>
    </row>
    <row r="8121" spans="1:7">
      <c r="A8121">
        <v>394</v>
      </c>
      <c r="B8121">
        <v>81</v>
      </c>
      <c r="C8121" s="1">
        <f>(Tabela1[[#This Row],[x]]-H$3)*(Tabela1[[#This Row],[x]]-H$3) +(Tabela1[[#This Row],[y]]-H$4)*(Tabela1[[#This Row],[y]]-H$4)</f>
        <v>51797</v>
      </c>
      <c r="D8121" s="1">
        <f>IF(Tabela1[[#This Row],[promien]]&lt;40000,1,0)</f>
        <v>0</v>
      </c>
      <c r="E8121" s="1">
        <f>IF(Tabela1[[#This Row],[promien]]=40000,1,0)</f>
        <v>0</v>
      </c>
      <c r="F8121" s="1">
        <v>3.1488732914665682</v>
      </c>
      <c r="G8121" s="1">
        <v>7.2806378767751312E-3</v>
      </c>
    </row>
    <row r="8122" spans="1:7">
      <c r="A8122">
        <v>121</v>
      </c>
      <c r="B8122">
        <v>107</v>
      </c>
      <c r="C8122" s="1">
        <f>(Tabela1[[#This Row],[x]]-H$3)*(Tabela1[[#This Row],[x]]-H$3) +(Tabela1[[#This Row],[y]]-H$4)*(Tabela1[[#This Row],[y]]-H$4)</f>
        <v>14890</v>
      </c>
      <c r="D8122" s="1">
        <f>IF(Tabela1[[#This Row],[promien]]&lt;40000,1,0)</f>
        <v>1</v>
      </c>
      <c r="E8122" s="1">
        <f>IF(Tabela1[[#This Row],[promien]]=40000,1,0)</f>
        <v>0</v>
      </c>
      <c r="F8122" s="1">
        <v>3.1489780842157105</v>
      </c>
      <c r="G8122" s="1">
        <v>7.3854306259173441E-3</v>
      </c>
    </row>
    <row r="8123" spans="1:7">
      <c r="A8123">
        <v>114</v>
      </c>
      <c r="B8123">
        <v>163</v>
      </c>
      <c r="C8123" s="1">
        <f>(Tabela1[[#This Row],[x]]-H$3)*(Tabela1[[#This Row],[x]]-H$3) +(Tabela1[[#This Row],[y]]-H$4)*(Tabela1[[#This Row],[y]]-H$4)</f>
        <v>8765</v>
      </c>
      <c r="D8123" s="1">
        <f>IF(Tabela1[[#This Row],[promien]]&lt;40000,1,0)</f>
        <v>1</v>
      </c>
      <c r="E8123" s="1">
        <f>IF(Tabela1[[#This Row],[promien]]=40000,1,0)</f>
        <v>0</v>
      </c>
      <c r="F8123" s="1">
        <v>3.1490828511633633</v>
      </c>
      <c r="G8123" s="1">
        <v>7.4901975735701676E-3</v>
      </c>
    </row>
    <row r="8124" spans="1:7">
      <c r="A8124">
        <v>63</v>
      </c>
      <c r="B8124">
        <v>386</v>
      </c>
      <c r="C8124" s="1">
        <f>(Tabela1[[#This Row],[x]]-H$3)*(Tabela1[[#This Row],[x]]-H$3) +(Tabela1[[#This Row],[y]]-H$4)*(Tabela1[[#This Row],[y]]-H$4)</f>
        <v>53365</v>
      </c>
      <c r="D8124" s="1">
        <f>IF(Tabela1[[#This Row],[promien]]&lt;40000,1,0)</f>
        <v>0</v>
      </c>
      <c r="E8124" s="1">
        <f>IF(Tabela1[[#This Row],[promien]]=40000,1,0)</f>
        <v>0</v>
      </c>
      <c r="F8124" s="1">
        <v>3.1486952240275725</v>
      </c>
      <c r="G8124" s="1">
        <v>7.1025704377793986E-3</v>
      </c>
    </row>
    <row r="8125" spans="1:7">
      <c r="A8125">
        <v>272</v>
      </c>
      <c r="B8125">
        <v>311</v>
      </c>
      <c r="C8125" s="1">
        <f>(Tabela1[[#This Row],[x]]-H$3)*(Tabela1[[#This Row],[x]]-H$3) +(Tabela1[[#This Row],[y]]-H$4)*(Tabela1[[#This Row],[y]]-H$4)</f>
        <v>17505</v>
      </c>
      <c r="D8125" s="1">
        <f>IF(Tabela1[[#This Row],[promien]]&lt;40000,1,0)</f>
        <v>1</v>
      </c>
      <c r="E8125" s="1">
        <f>IF(Tabela1[[#This Row],[promien]]=40000,1,0)</f>
        <v>0</v>
      </c>
      <c r="F8125" s="1">
        <v>3.1488</v>
      </c>
      <c r="G8125" s="1">
        <v>7.2073464102069273E-3</v>
      </c>
    </row>
    <row r="8126" spans="1:7">
      <c r="A8126">
        <v>26</v>
      </c>
      <c r="B8126">
        <v>95</v>
      </c>
      <c r="C8126" s="1">
        <f>(Tabela1[[#This Row],[x]]-H$3)*(Tabela1[[#This Row],[x]]-H$3) +(Tabela1[[#This Row],[y]]-H$4)*(Tabela1[[#This Row],[y]]-H$4)</f>
        <v>41301</v>
      </c>
      <c r="D8126" s="1">
        <f>IF(Tabela1[[#This Row],[promien]]&lt;40000,1,0)</f>
        <v>0</v>
      </c>
      <c r="E8126" s="1">
        <f>IF(Tabela1[[#This Row],[promien]]=40000,1,0)</f>
        <v>0</v>
      </c>
      <c r="F8126" s="1">
        <v>3.1484125030765444</v>
      </c>
      <c r="G8126" s="1">
        <v>6.8198494867512949E-3</v>
      </c>
    </row>
    <row r="8127" spans="1:7">
      <c r="A8127">
        <v>371</v>
      </c>
      <c r="B8127">
        <v>40</v>
      </c>
      <c r="C8127" s="1">
        <f>(Tabela1[[#This Row],[x]]-H$3)*(Tabela1[[#This Row],[x]]-H$3) +(Tabela1[[#This Row],[y]]-H$4)*(Tabela1[[#This Row],[y]]-H$4)</f>
        <v>54841</v>
      </c>
      <c r="D8127" s="1">
        <f>IF(Tabela1[[#This Row],[promien]]&lt;40000,1,0)</f>
        <v>0</v>
      </c>
      <c r="E8127" s="1">
        <f>IF(Tabela1[[#This Row],[promien]]=40000,1,0)</f>
        <v>0</v>
      </c>
      <c r="F8127" s="1">
        <v>3.1480251015134737</v>
      </c>
      <c r="G8127" s="1">
        <v>6.4324479236805843E-3</v>
      </c>
    </row>
    <row r="8128" spans="1:7">
      <c r="A8128">
        <v>122</v>
      </c>
      <c r="B8128">
        <v>379</v>
      </c>
      <c r="C8128" s="1">
        <f>(Tabela1[[#This Row],[x]]-H$3)*(Tabela1[[#This Row],[x]]-H$3) +(Tabela1[[#This Row],[y]]-H$4)*(Tabela1[[#This Row],[y]]-H$4)</f>
        <v>38125</v>
      </c>
      <c r="D8128" s="1">
        <f>IF(Tabela1[[#This Row],[promien]]&lt;40000,1,0)</f>
        <v>1</v>
      </c>
      <c r="E8128" s="1">
        <f>IF(Tabela1[[#This Row],[promien]]=40000,1,0)</f>
        <v>0</v>
      </c>
      <c r="F8128" s="1">
        <v>3.1481299212598426</v>
      </c>
      <c r="G8128" s="1">
        <v>6.5372676700494736E-3</v>
      </c>
    </row>
    <row r="8129" spans="1:7">
      <c r="A8129">
        <v>389</v>
      </c>
      <c r="B8129">
        <v>81</v>
      </c>
      <c r="C8129" s="1">
        <f>(Tabela1[[#This Row],[x]]-H$3)*(Tabela1[[#This Row],[x]]-H$3) +(Tabela1[[#This Row],[y]]-H$4)*(Tabela1[[#This Row],[y]]-H$4)</f>
        <v>49882</v>
      </c>
      <c r="D8129" s="1">
        <f>IF(Tabela1[[#This Row],[promien]]&lt;40000,1,0)</f>
        <v>0</v>
      </c>
      <c r="E8129" s="1">
        <f>IF(Tabela1[[#This Row],[promien]]=40000,1,0)</f>
        <v>0</v>
      </c>
      <c r="F8129" s="1">
        <v>3.1477426497724199</v>
      </c>
      <c r="G8129" s="1">
        <v>6.1499961826267935E-3</v>
      </c>
    </row>
    <row r="8130" spans="1:7">
      <c r="A8130">
        <v>93</v>
      </c>
      <c r="B8130">
        <v>33</v>
      </c>
      <c r="C8130" s="1">
        <f>(Tabela1[[#This Row],[x]]-H$3)*(Tabela1[[#This Row],[x]]-H$3) +(Tabela1[[#This Row],[y]]-H$4)*(Tabela1[[#This Row],[y]]-H$4)</f>
        <v>39338</v>
      </c>
      <c r="D8130" s="1">
        <f>IF(Tabela1[[#This Row],[promien]]&lt;40000,1,0)</f>
        <v>1</v>
      </c>
      <c r="E8130" s="1">
        <f>IF(Tabela1[[#This Row],[promien]]=40000,1,0)</f>
        <v>0</v>
      </c>
      <c r="F8130" s="1">
        <v>3.1478474784747847</v>
      </c>
      <c r="G8130" s="1">
        <v>6.2548248849916277E-3</v>
      </c>
    </row>
    <row r="8131" spans="1:7">
      <c r="A8131">
        <v>176</v>
      </c>
      <c r="B8131">
        <v>11</v>
      </c>
      <c r="C8131" s="1">
        <f>(Tabela1[[#This Row],[x]]-H$3)*(Tabela1[[#This Row],[x]]-H$3) +(Tabela1[[#This Row],[y]]-H$4)*(Tabela1[[#This Row],[y]]-H$4)</f>
        <v>36297</v>
      </c>
      <c r="D8131" s="1">
        <f>IF(Tabela1[[#This Row],[promien]]&lt;40000,1,0)</f>
        <v>1</v>
      </c>
      <c r="E8131" s="1">
        <f>IF(Tabela1[[#This Row],[promien]]=40000,1,0)</f>
        <v>0</v>
      </c>
      <c r="F8131" s="1">
        <v>3.1479522813922025</v>
      </c>
      <c r="G8131" s="1">
        <v>6.3596278024093955E-3</v>
      </c>
    </row>
    <row r="8132" spans="1:7">
      <c r="A8132">
        <v>284</v>
      </c>
      <c r="B8132">
        <v>257</v>
      </c>
      <c r="C8132" s="1">
        <f>(Tabela1[[#This Row],[x]]-H$3)*(Tabela1[[#This Row],[x]]-H$3) +(Tabela1[[#This Row],[y]]-H$4)*(Tabela1[[#This Row],[y]]-H$4)</f>
        <v>10305</v>
      </c>
      <c r="D8132" s="1">
        <f>IF(Tabela1[[#This Row],[promien]]&lt;40000,1,0)</f>
        <v>1</v>
      </c>
      <c r="E8132" s="1">
        <f>IF(Tabela1[[#This Row],[promien]]=40000,1,0)</f>
        <v>0</v>
      </c>
      <c r="F8132" s="1">
        <v>3.148057058534186</v>
      </c>
      <c r="G8132" s="1">
        <v>6.4644049443929319E-3</v>
      </c>
    </row>
    <row r="8133" spans="1:7">
      <c r="A8133">
        <v>83</v>
      </c>
      <c r="B8133">
        <v>5</v>
      </c>
      <c r="C8133" s="1">
        <f>(Tabela1[[#This Row],[x]]-H$3)*(Tabela1[[#This Row],[x]]-H$3) +(Tabela1[[#This Row],[y]]-H$4)*(Tabela1[[#This Row],[y]]-H$4)</f>
        <v>51714</v>
      </c>
      <c r="D8133" s="1">
        <f>IF(Tabela1[[#This Row],[promien]]&lt;40000,1,0)</f>
        <v>0</v>
      </c>
      <c r="E8133" s="1">
        <f>IF(Tabela1[[#This Row],[promien]]=40000,1,0)</f>
        <v>0</v>
      </c>
      <c r="F8133" s="1">
        <v>3.1476699864748556</v>
      </c>
      <c r="G8133" s="1">
        <v>6.0773328850625141E-3</v>
      </c>
    </row>
    <row r="8134" spans="1:7">
      <c r="A8134">
        <v>332</v>
      </c>
      <c r="B8134">
        <v>191</v>
      </c>
      <c r="C8134" s="1">
        <f>(Tabela1[[#This Row],[x]]-H$3)*(Tabela1[[#This Row],[x]]-H$3) +(Tabela1[[#This Row],[y]]-H$4)*(Tabela1[[#This Row],[y]]-H$4)</f>
        <v>17505</v>
      </c>
      <c r="D8134" s="1">
        <f>IF(Tabela1[[#This Row],[promien]]&lt;40000,1,0)</f>
        <v>1</v>
      </c>
      <c r="E8134" s="1">
        <f>IF(Tabela1[[#This Row],[promien]]=40000,1,0)</f>
        <v>0</v>
      </c>
      <c r="F8134" s="1">
        <v>3.1477747725596261</v>
      </c>
      <c r="G8134" s="1">
        <v>6.1821189698330059E-3</v>
      </c>
    </row>
    <row r="8135" spans="1:7">
      <c r="A8135">
        <v>290</v>
      </c>
      <c r="B8135">
        <v>312</v>
      </c>
      <c r="C8135" s="1">
        <f>(Tabela1[[#This Row],[x]]-H$3)*(Tabela1[[#This Row],[x]]-H$3) +(Tabela1[[#This Row],[y]]-H$4)*(Tabela1[[#This Row],[y]]-H$4)</f>
        <v>20644</v>
      </c>
      <c r="D8135" s="1">
        <f>IF(Tabela1[[#This Row],[promien]]&lt;40000,1,0)</f>
        <v>1</v>
      </c>
      <c r="E8135" s="1">
        <f>IF(Tabela1[[#This Row],[promien]]=40000,1,0)</f>
        <v>0</v>
      </c>
      <c r="F8135" s="1">
        <v>3.1478795328826061</v>
      </c>
      <c r="G8135" s="1">
        <v>6.286879292813019E-3</v>
      </c>
    </row>
    <row r="8136" spans="1:7">
      <c r="A8136">
        <v>82</v>
      </c>
      <c r="B8136">
        <v>379</v>
      </c>
      <c r="C8136" s="1">
        <f>(Tabela1[[#This Row],[x]]-H$3)*(Tabela1[[#This Row],[x]]-H$3) +(Tabela1[[#This Row],[y]]-H$4)*(Tabela1[[#This Row],[y]]-H$4)</f>
        <v>45965</v>
      </c>
      <c r="D8136" s="1">
        <f>IF(Tabela1[[#This Row],[promien]]&lt;40000,1,0)</f>
        <v>0</v>
      </c>
      <c r="E8136" s="1">
        <f>IF(Tabela1[[#This Row],[promien]]=40000,1,0)</f>
        <v>0</v>
      </c>
      <c r="F8136" s="1">
        <v>3.1474926253687316</v>
      </c>
      <c r="G8136" s="1">
        <v>5.8999717789385286E-3</v>
      </c>
    </row>
    <row r="8137" spans="1:7">
      <c r="A8137">
        <v>259</v>
      </c>
      <c r="B8137">
        <v>146</v>
      </c>
      <c r="C8137" s="1">
        <f>(Tabela1[[#This Row],[x]]-H$3)*(Tabela1[[#This Row],[x]]-H$3) +(Tabela1[[#This Row],[y]]-H$4)*(Tabela1[[#This Row],[y]]-H$4)</f>
        <v>6397</v>
      </c>
      <c r="D8137" s="1">
        <f>IF(Tabela1[[#This Row],[promien]]&lt;40000,1,0)</f>
        <v>1</v>
      </c>
      <c r="E8137" s="1">
        <f>IF(Tabela1[[#This Row],[promien]]=40000,1,0)</f>
        <v>0</v>
      </c>
      <c r="F8137" s="1">
        <v>3.1475973946171809</v>
      </c>
      <c r="G8137" s="1">
        <v>6.0047410273877944E-3</v>
      </c>
    </row>
    <row r="8138" spans="1:7">
      <c r="A8138">
        <v>336</v>
      </c>
      <c r="B8138">
        <v>248</v>
      </c>
      <c r="C8138" s="1">
        <f>(Tabela1[[#This Row],[x]]-H$3)*(Tabela1[[#This Row],[x]]-H$3) +(Tabela1[[#This Row],[y]]-H$4)*(Tabela1[[#This Row],[y]]-H$4)</f>
        <v>20800</v>
      </c>
      <c r="D8138" s="1">
        <f>IF(Tabela1[[#This Row],[promien]]&lt;40000,1,0)</f>
        <v>1</v>
      </c>
      <c r="E8138" s="1">
        <f>IF(Tabela1[[#This Row],[promien]]=40000,1,0)</f>
        <v>0</v>
      </c>
      <c r="F8138" s="1">
        <v>3.1477021381174737</v>
      </c>
      <c r="G8138" s="1">
        <v>6.1094845276805643E-3</v>
      </c>
    </row>
    <row r="8139" spans="1:7">
      <c r="A8139">
        <v>340</v>
      </c>
      <c r="B8139">
        <v>86</v>
      </c>
      <c r="C8139" s="1">
        <f>(Tabela1[[#This Row],[x]]-H$3)*(Tabela1[[#This Row],[x]]-H$3) +(Tabela1[[#This Row],[y]]-H$4)*(Tabela1[[#This Row],[y]]-H$4)</f>
        <v>32596</v>
      </c>
      <c r="D8139" s="1">
        <f>IF(Tabela1[[#This Row],[promien]]&lt;40000,1,0)</f>
        <v>1</v>
      </c>
      <c r="E8139" s="1">
        <f>IF(Tabela1[[#This Row],[promien]]=40000,1,0)</f>
        <v>0</v>
      </c>
      <c r="F8139" s="1">
        <v>3.1478068558791006</v>
      </c>
      <c r="G8139" s="1">
        <v>6.2142022893074689E-3</v>
      </c>
    </row>
    <row r="8140" spans="1:7">
      <c r="A8140">
        <v>201</v>
      </c>
      <c r="B8140">
        <v>330</v>
      </c>
      <c r="C8140" s="1">
        <f>(Tabela1[[#This Row],[x]]-H$3)*(Tabela1[[#This Row],[x]]-H$3) +(Tabela1[[#This Row],[y]]-H$4)*(Tabela1[[#This Row],[y]]-H$4)</f>
        <v>16901</v>
      </c>
      <c r="D8140" s="1">
        <f>IF(Tabela1[[#This Row],[promien]]&lt;40000,1,0)</f>
        <v>1</v>
      </c>
      <c r="E8140" s="1">
        <f>IF(Tabela1[[#This Row],[promien]]=40000,1,0)</f>
        <v>0</v>
      </c>
      <c r="F8140" s="1">
        <v>3.1479115479115478</v>
      </c>
      <c r="G8140" s="1">
        <v>6.3188943217546978E-3</v>
      </c>
    </row>
    <row r="8141" spans="1:7">
      <c r="A8141">
        <v>260</v>
      </c>
      <c r="B8141">
        <v>257</v>
      </c>
      <c r="C8141" s="1">
        <f>(Tabela1[[#This Row],[x]]-H$3)*(Tabela1[[#This Row],[x]]-H$3) +(Tabela1[[#This Row],[y]]-H$4)*(Tabela1[[#This Row],[y]]-H$4)</f>
        <v>6849</v>
      </c>
      <c r="D8141" s="1">
        <f>IF(Tabela1[[#This Row],[promien]]&lt;40000,1,0)</f>
        <v>1</v>
      </c>
      <c r="E8141" s="1">
        <f>IF(Tabela1[[#This Row],[promien]]=40000,1,0)</f>
        <v>0</v>
      </c>
      <c r="F8141" s="1">
        <v>3.1480162142242967</v>
      </c>
      <c r="G8141" s="1">
        <v>6.4235606345035556E-3</v>
      </c>
    </row>
    <row r="8142" spans="1:7">
      <c r="A8142">
        <v>173</v>
      </c>
      <c r="B8142">
        <v>129</v>
      </c>
      <c r="C8142" s="1">
        <f>(Tabela1[[#This Row],[x]]-H$3)*(Tabela1[[#This Row],[x]]-H$3) +(Tabela1[[#This Row],[y]]-H$4)*(Tabela1[[#This Row],[y]]-H$4)</f>
        <v>5770</v>
      </c>
      <c r="D8142" s="1">
        <f>IF(Tabela1[[#This Row],[promien]]&lt;40000,1,0)</f>
        <v>1</v>
      </c>
      <c r="E8142" s="1">
        <f>IF(Tabela1[[#This Row],[promien]]=40000,1,0)</f>
        <v>0</v>
      </c>
      <c r="F8142" s="1">
        <v>3.148120854826824</v>
      </c>
      <c r="G8142" s="1">
        <v>6.5282012370309062E-3</v>
      </c>
    </row>
    <row r="8143" spans="1:7">
      <c r="A8143">
        <v>311</v>
      </c>
      <c r="B8143">
        <v>175</v>
      </c>
      <c r="C8143" s="1">
        <f>(Tabela1[[#This Row],[x]]-H$3)*(Tabela1[[#This Row],[x]]-H$3) +(Tabela1[[#This Row],[y]]-H$4)*(Tabela1[[#This Row],[y]]-H$4)</f>
        <v>12946</v>
      </c>
      <c r="D8143" s="1">
        <f>IF(Tabela1[[#This Row],[promien]]&lt;40000,1,0)</f>
        <v>1</v>
      </c>
      <c r="E8143" s="1">
        <f>IF(Tabela1[[#This Row],[promien]]=40000,1,0)</f>
        <v>0</v>
      </c>
      <c r="F8143" s="1">
        <v>3.1482254697286014</v>
      </c>
      <c r="G8143" s="1">
        <v>6.632816138808284E-3</v>
      </c>
    </row>
    <row r="8144" spans="1:7">
      <c r="A8144">
        <v>381</v>
      </c>
      <c r="B8144">
        <v>376</v>
      </c>
      <c r="C8144" s="1">
        <f>(Tabela1[[#This Row],[x]]-H$3)*(Tabela1[[#This Row],[x]]-H$3) +(Tabela1[[#This Row],[y]]-H$4)*(Tabela1[[#This Row],[y]]-H$4)</f>
        <v>63737</v>
      </c>
      <c r="D8144" s="1">
        <f>IF(Tabela1[[#This Row],[promien]]&lt;40000,1,0)</f>
        <v>0</v>
      </c>
      <c r="E8144" s="1">
        <f>IF(Tabela1[[#This Row],[promien]]=40000,1,0)</f>
        <v>0</v>
      </c>
      <c r="F8144" s="1">
        <v>3.1478388998035363</v>
      </c>
      <c r="G8144" s="1">
        <v>6.2462462137431451E-3</v>
      </c>
    </row>
    <row r="8145" spans="1:7">
      <c r="A8145">
        <v>393</v>
      </c>
      <c r="B8145">
        <v>158</v>
      </c>
      <c r="C8145" s="1">
        <f>(Tabela1[[#This Row],[x]]-H$3)*(Tabela1[[#This Row],[x]]-H$3) +(Tabela1[[#This Row],[y]]-H$4)*(Tabela1[[#This Row],[y]]-H$4)</f>
        <v>39013</v>
      </c>
      <c r="D8145" s="1">
        <f>IF(Tabela1[[#This Row],[promien]]&lt;40000,1,0)</f>
        <v>1</v>
      </c>
      <c r="E8145" s="1">
        <f>IF(Tabela1[[#This Row],[promien]]=40000,1,0)</f>
        <v>0</v>
      </c>
      <c r="F8145" s="1">
        <v>3.1479435236341313</v>
      </c>
      <c r="G8145" s="1">
        <v>6.3508700443382082E-3</v>
      </c>
    </row>
    <row r="8146" spans="1:7">
      <c r="A8146">
        <v>175</v>
      </c>
      <c r="B8146">
        <v>260</v>
      </c>
      <c r="C8146" s="1">
        <f>(Tabela1[[#This Row],[x]]-H$3)*(Tabela1[[#This Row],[x]]-H$3) +(Tabela1[[#This Row],[y]]-H$4)*(Tabela1[[#This Row],[y]]-H$4)</f>
        <v>4225</v>
      </c>
      <c r="D8146" s="1">
        <f>IF(Tabela1[[#This Row],[promien]]&lt;40000,1,0)</f>
        <v>1</v>
      </c>
      <c r="E8146" s="1">
        <f>IF(Tabela1[[#This Row],[promien]]=40000,1,0)</f>
        <v>0</v>
      </c>
      <c r="F8146" s="1">
        <v>3.1480481217775593</v>
      </c>
      <c r="G8146" s="1">
        <v>6.4554681877662112E-3</v>
      </c>
    </row>
    <row r="8147" spans="1:7">
      <c r="A8147">
        <v>68</v>
      </c>
      <c r="B8147">
        <v>73</v>
      </c>
      <c r="C8147" s="1">
        <f>(Tabela1[[#This Row],[x]]-H$3)*(Tabela1[[#This Row],[x]]-H$3) +(Tabela1[[#This Row],[y]]-H$4)*(Tabela1[[#This Row],[y]]-H$4)</f>
        <v>33553</v>
      </c>
      <c r="D8147" s="1">
        <f>IF(Tabela1[[#This Row],[promien]]&lt;40000,1,0)</f>
        <v>1</v>
      </c>
      <c r="E8147" s="1">
        <f>IF(Tabela1[[#This Row],[promien]]=40000,1,0)</f>
        <v>0</v>
      </c>
      <c r="F8147" s="1">
        <v>3.1481526942432798</v>
      </c>
      <c r="G8147" s="1">
        <v>6.5600406534866984E-3</v>
      </c>
    </row>
    <row r="8148" spans="1:7">
      <c r="A8148">
        <v>318</v>
      </c>
      <c r="B8148">
        <v>272</v>
      </c>
      <c r="C8148" s="1">
        <f>(Tabela1[[#This Row],[x]]-H$3)*(Tabela1[[#This Row],[x]]-H$3) +(Tabela1[[#This Row],[y]]-H$4)*(Tabela1[[#This Row],[y]]-H$4)</f>
        <v>19108</v>
      </c>
      <c r="D8148" s="1">
        <f>IF(Tabela1[[#This Row],[promien]]&lt;40000,1,0)</f>
        <v>1</v>
      </c>
      <c r="E8148" s="1">
        <f>IF(Tabela1[[#This Row],[promien]]=40000,1,0)</f>
        <v>0</v>
      </c>
      <c r="F8148" s="1">
        <v>3.1482572410407461</v>
      </c>
      <c r="G8148" s="1">
        <v>6.6645874509529968E-3</v>
      </c>
    </row>
    <row r="8149" spans="1:7">
      <c r="A8149">
        <v>143</v>
      </c>
      <c r="B8149">
        <v>311</v>
      </c>
      <c r="C8149" s="1">
        <f>(Tabela1[[#This Row],[x]]-H$3)*(Tabela1[[#This Row],[x]]-H$3) +(Tabela1[[#This Row],[y]]-H$4)*(Tabela1[[#This Row],[y]]-H$4)</f>
        <v>15570</v>
      </c>
      <c r="D8149" s="1">
        <f>IF(Tabela1[[#This Row],[promien]]&lt;40000,1,0)</f>
        <v>1</v>
      </c>
      <c r="E8149" s="1">
        <f>IF(Tabela1[[#This Row],[promien]]=40000,1,0)</f>
        <v>0</v>
      </c>
      <c r="F8149" s="1">
        <v>3.1483617621794084</v>
      </c>
      <c r="G8149" s="1">
        <v>6.7691085896153247E-3</v>
      </c>
    </row>
    <row r="8150" spans="1:7">
      <c r="A8150">
        <v>96</v>
      </c>
      <c r="B8150">
        <v>176</v>
      </c>
      <c r="C8150" s="1">
        <f>(Tabela1[[#This Row],[x]]-H$3)*(Tabela1[[#This Row],[x]]-H$3) +(Tabela1[[#This Row],[y]]-H$4)*(Tabela1[[#This Row],[y]]-H$4)</f>
        <v>11392</v>
      </c>
      <c r="D8150" s="1">
        <f>IF(Tabela1[[#This Row],[promien]]&lt;40000,1,0)</f>
        <v>1</v>
      </c>
      <c r="E8150" s="1">
        <f>IF(Tabela1[[#This Row],[promien]]=40000,1,0)</f>
        <v>0</v>
      </c>
      <c r="F8150" s="1">
        <v>3.1484662576687117</v>
      </c>
      <c r="G8150" s="1">
        <v>6.8736040789185715E-3</v>
      </c>
    </row>
    <row r="8151" spans="1:7">
      <c r="A8151">
        <v>236</v>
      </c>
      <c r="B8151">
        <v>212</v>
      </c>
      <c r="C8151" s="1">
        <f>(Tabela1[[#This Row],[x]]-H$3)*(Tabela1[[#This Row],[x]]-H$3) +(Tabela1[[#This Row],[y]]-H$4)*(Tabela1[[#This Row],[y]]-H$4)</f>
        <v>1440</v>
      </c>
      <c r="D8151" s="1">
        <f>IF(Tabela1[[#This Row],[promien]]&lt;40000,1,0)</f>
        <v>1</v>
      </c>
      <c r="E8151" s="1">
        <f>IF(Tabela1[[#This Row],[promien]]=40000,1,0)</f>
        <v>0</v>
      </c>
      <c r="F8151" s="1">
        <v>3.1485707275180959</v>
      </c>
      <c r="G8151" s="1">
        <v>6.9780739283027415E-3</v>
      </c>
    </row>
    <row r="8152" spans="1:7">
      <c r="A8152">
        <v>341</v>
      </c>
      <c r="B8152">
        <v>147</v>
      </c>
      <c r="C8152" s="1">
        <f>(Tabela1[[#This Row],[x]]-H$3)*(Tabela1[[#This Row],[x]]-H$3) +(Tabela1[[#This Row],[y]]-H$4)*(Tabela1[[#This Row],[y]]-H$4)</f>
        <v>22690</v>
      </c>
      <c r="D8152" s="1">
        <f>IF(Tabela1[[#This Row],[promien]]&lt;40000,1,0)</f>
        <v>1</v>
      </c>
      <c r="E8152" s="1">
        <f>IF(Tabela1[[#This Row],[promien]]=40000,1,0)</f>
        <v>0</v>
      </c>
      <c r="F8152" s="1">
        <v>3.148675171736997</v>
      </c>
      <c r="G8152" s="1">
        <v>7.0825181472038423E-3</v>
      </c>
    </row>
    <row r="8153" spans="1:7">
      <c r="A8153">
        <v>191</v>
      </c>
      <c r="B8153">
        <v>139</v>
      </c>
      <c r="C8153" s="1">
        <f>(Tabela1[[#This Row],[x]]-H$3)*(Tabela1[[#This Row],[x]]-H$3) +(Tabela1[[#This Row],[y]]-H$4)*(Tabela1[[#This Row],[y]]-H$4)</f>
        <v>3802</v>
      </c>
      <c r="D8153" s="1">
        <f>IF(Tabela1[[#This Row],[promien]]&lt;40000,1,0)</f>
        <v>1</v>
      </c>
      <c r="E8153" s="1">
        <f>IF(Tabela1[[#This Row],[promien]]=40000,1,0)</f>
        <v>0</v>
      </c>
      <c r="F8153" s="1">
        <v>3.1487795903348461</v>
      </c>
      <c r="G8153" s="1">
        <v>7.1869367450529964E-3</v>
      </c>
    </row>
    <row r="8154" spans="1:7">
      <c r="A8154">
        <v>138</v>
      </c>
      <c r="B8154">
        <v>227</v>
      </c>
      <c r="C8154" s="1">
        <f>(Tabela1[[#This Row],[x]]-H$3)*(Tabela1[[#This Row],[x]]-H$3) +(Tabela1[[#This Row],[y]]-H$4)*(Tabela1[[#This Row],[y]]-H$4)</f>
        <v>4573</v>
      </c>
      <c r="D8154" s="1">
        <f>IF(Tabela1[[#This Row],[promien]]&lt;40000,1,0)</f>
        <v>1</v>
      </c>
      <c r="E8154" s="1">
        <f>IF(Tabela1[[#This Row],[promien]]=40000,1,0)</f>
        <v>0</v>
      </c>
      <c r="F8154" s="1">
        <v>3.1488839833210696</v>
      </c>
      <c r="G8154" s="1">
        <v>7.2913297312764414E-3</v>
      </c>
    </row>
    <row r="8155" spans="1:7">
      <c r="A8155">
        <v>262</v>
      </c>
      <c r="B8155">
        <v>281</v>
      </c>
      <c r="C8155" s="1">
        <f>(Tabela1[[#This Row],[x]]-H$3)*(Tabela1[[#This Row],[x]]-H$3) +(Tabela1[[#This Row],[y]]-H$4)*(Tabela1[[#This Row],[y]]-H$4)</f>
        <v>10405</v>
      </c>
      <c r="D8155" s="1">
        <f>IF(Tabela1[[#This Row],[promien]]&lt;40000,1,0)</f>
        <v>1</v>
      </c>
      <c r="E8155" s="1">
        <f>IF(Tabela1[[#This Row],[promien]]=40000,1,0)</f>
        <v>0</v>
      </c>
      <c r="F8155" s="1">
        <v>3.1489883507050891</v>
      </c>
      <c r="G8155" s="1">
        <v>7.3956971152959738E-3</v>
      </c>
    </row>
    <row r="8156" spans="1:7">
      <c r="A8156">
        <v>200</v>
      </c>
      <c r="B8156">
        <v>115</v>
      </c>
      <c r="C8156" s="1">
        <f>(Tabela1[[#This Row],[x]]-H$3)*(Tabela1[[#This Row],[x]]-H$3) +(Tabela1[[#This Row],[y]]-H$4)*(Tabela1[[#This Row],[y]]-H$4)</f>
        <v>7225</v>
      </c>
      <c r="D8156" s="1">
        <f>IF(Tabela1[[#This Row],[promien]]&lt;40000,1,0)</f>
        <v>1</v>
      </c>
      <c r="E8156" s="1">
        <f>IF(Tabela1[[#This Row],[promien]]=40000,1,0)</f>
        <v>0</v>
      </c>
      <c r="F8156" s="1">
        <v>3.1490926924963216</v>
      </c>
      <c r="G8156" s="1">
        <v>7.5000389065285056E-3</v>
      </c>
    </row>
    <row r="8157" spans="1:7">
      <c r="A8157">
        <v>384</v>
      </c>
      <c r="B8157">
        <v>399</v>
      </c>
      <c r="C8157" s="1">
        <f>(Tabela1[[#This Row],[x]]-H$3)*(Tabela1[[#This Row],[x]]-H$3) +(Tabela1[[#This Row],[y]]-H$4)*(Tabela1[[#This Row],[y]]-H$4)</f>
        <v>73457</v>
      </c>
      <c r="D8157" s="1">
        <f>IF(Tabela1[[#This Row],[promien]]&lt;40000,1,0)</f>
        <v>0</v>
      </c>
      <c r="E8157" s="1">
        <f>IF(Tabela1[[#This Row],[promien]]=40000,1,0)</f>
        <v>0</v>
      </c>
      <c r="F8157" s="1">
        <v>3.1487066323403212</v>
      </c>
      <c r="G8157" s="1">
        <v>7.1139787505281049E-3</v>
      </c>
    </row>
    <row r="8158" spans="1:7">
      <c r="A8158">
        <v>373</v>
      </c>
      <c r="B8158">
        <v>181</v>
      </c>
      <c r="C8158" s="1">
        <f>(Tabela1[[#This Row],[x]]-H$3)*(Tabela1[[#This Row],[x]]-H$3) +(Tabela1[[#This Row],[y]]-H$4)*(Tabela1[[#This Row],[y]]-H$4)</f>
        <v>30290</v>
      </c>
      <c r="D8158" s="1">
        <f>IF(Tabela1[[#This Row],[promien]]&lt;40000,1,0)</f>
        <v>1</v>
      </c>
      <c r="E8158" s="1">
        <f>IF(Tabela1[[#This Row],[promien]]=40000,1,0)</f>
        <v>0</v>
      </c>
      <c r="F8158" s="1">
        <v>3.1488109830840894</v>
      </c>
      <c r="G8158" s="1">
        <v>7.2183294942962384E-3</v>
      </c>
    </row>
    <row r="8159" spans="1:7">
      <c r="A8159">
        <v>344</v>
      </c>
      <c r="B8159">
        <v>19</v>
      </c>
      <c r="C8159" s="1">
        <f>(Tabela1[[#This Row],[x]]-H$3)*(Tabela1[[#This Row],[x]]-H$3) +(Tabela1[[#This Row],[y]]-H$4)*(Tabela1[[#This Row],[y]]-H$4)</f>
        <v>53497</v>
      </c>
      <c r="D8159" s="1">
        <f>IF(Tabela1[[#This Row],[promien]]&lt;40000,1,0)</f>
        <v>0</v>
      </c>
      <c r="E8159" s="1">
        <f>IF(Tabela1[[#This Row],[promien]]=40000,1,0)</f>
        <v>0</v>
      </c>
      <c r="F8159" s="1">
        <v>3.148425052089717</v>
      </c>
      <c r="G8159" s="1">
        <v>6.8323984999238974E-3</v>
      </c>
    </row>
    <row r="8160" spans="1:7">
      <c r="A8160">
        <v>273</v>
      </c>
      <c r="B8160">
        <v>69</v>
      </c>
      <c r="C8160" s="1">
        <f>(Tabela1[[#This Row],[x]]-H$3)*(Tabela1[[#This Row],[x]]-H$3) +(Tabela1[[#This Row],[y]]-H$4)*(Tabela1[[#This Row],[y]]-H$4)</f>
        <v>22490</v>
      </c>
      <c r="D8160" s="1">
        <f>IF(Tabela1[[#This Row],[promien]]&lt;40000,1,0)</f>
        <v>1</v>
      </c>
      <c r="E8160" s="1">
        <f>IF(Tabela1[[#This Row],[promien]]=40000,1,0)</f>
        <v>0</v>
      </c>
      <c r="F8160" s="1">
        <v>3.1485294117647058</v>
      </c>
      <c r="G8160" s="1">
        <v>6.9367581749126828E-3</v>
      </c>
    </row>
    <row r="8161" spans="1:7">
      <c r="A8161">
        <v>131</v>
      </c>
      <c r="B8161">
        <v>133</v>
      </c>
      <c r="C8161" s="1">
        <f>(Tabela1[[#This Row],[x]]-H$3)*(Tabela1[[#This Row],[x]]-H$3) +(Tabela1[[#This Row],[y]]-H$4)*(Tabela1[[#This Row],[y]]-H$4)</f>
        <v>9250</v>
      </c>
      <c r="D8161" s="1">
        <f>IF(Tabela1[[#This Row],[promien]]&lt;40000,1,0)</f>
        <v>1</v>
      </c>
      <c r="E8161" s="1">
        <f>IF(Tabela1[[#This Row],[promien]]=40000,1,0)</f>
        <v>0</v>
      </c>
      <c r="F8161" s="1">
        <v>3.1486337458644775</v>
      </c>
      <c r="G8161" s="1">
        <v>7.0410922746844129E-3</v>
      </c>
    </row>
    <row r="8162" spans="1:7">
      <c r="A8162">
        <v>75</v>
      </c>
      <c r="B8162">
        <v>387</v>
      </c>
      <c r="C8162" s="1">
        <f>(Tabela1[[#This Row],[x]]-H$3)*(Tabela1[[#This Row],[x]]-H$3) +(Tabela1[[#This Row],[y]]-H$4)*(Tabela1[[#This Row],[y]]-H$4)</f>
        <v>50594</v>
      </c>
      <c r="D8162" s="1">
        <f>IF(Tabela1[[#This Row],[promien]]&lt;40000,1,0)</f>
        <v>0</v>
      </c>
      <c r="E8162" s="1">
        <f>IF(Tabela1[[#This Row],[promien]]=40000,1,0)</f>
        <v>0</v>
      </c>
      <c r="F8162" s="1">
        <v>3.1482479784366575</v>
      </c>
      <c r="G8162" s="1">
        <v>6.6553248468643744E-3</v>
      </c>
    </row>
    <row r="8163" spans="1:7">
      <c r="A8163">
        <v>160</v>
      </c>
      <c r="B8163">
        <v>400</v>
      </c>
      <c r="C8163" s="1">
        <f>(Tabela1[[#This Row],[x]]-H$3)*(Tabela1[[#This Row],[x]]-H$3) +(Tabela1[[#This Row],[y]]-H$4)*(Tabela1[[#This Row],[y]]-H$4)</f>
        <v>41600</v>
      </c>
      <c r="D8163" s="1">
        <f>IF(Tabela1[[#This Row],[promien]]&lt;40000,1,0)</f>
        <v>0</v>
      </c>
      <c r="E8163" s="1">
        <f>IF(Tabela1[[#This Row],[promien]]=40000,1,0)</f>
        <v>0</v>
      </c>
      <c r="F8163" s="1">
        <v>3.1478623055249297</v>
      </c>
      <c r="G8163" s="1">
        <v>6.269651935136622E-3</v>
      </c>
    </row>
    <row r="8164" spans="1:7">
      <c r="A8164">
        <v>204</v>
      </c>
      <c r="B8164">
        <v>22</v>
      </c>
      <c r="C8164" s="1">
        <f>(Tabela1[[#This Row],[x]]-H$3)*(Tabela1[[#This Row],[x]]-H$3) +(Tabela1[[#This Row],[y]]-H$4)*(Tabela1[[#This Row],[y]]-H$4)</f>
        <v>31700</v>
      </c>
      <c r="D8164" s="1">
        <f>IF(Tabela1[[#This Row],[promien]]&lt;40000,1,0)</f>
        <v>1</v>
      </c>
      <c r="E8164" s="1">
        <f>IF(Tabela1[[#This Row],[promien]]=40000,1,0)</f>
        <v>0</v>
      </c>
      <c r="F8164" s="1">
        <v>3.14796668299853</v>
      </c>
      <c r="G8164" s="1">
        <v>6.374029408736881E-3</v>
      </c>
    </row>
    <row r="8165" spans="1:7">
      <c r="A8165">
        <v>336</v>
      </c>
      <c r="B8165">
        <v>223</v>
      </c>
      <c r="C8165" s="1">
        <f>(Tabela1[[#This Row],[x]]-H$3)*(Tabela1[[#This Row],[x]]-H$3) +(Tabela1[[#This Row],[y]]-H$4)*(Tabela1[[#This Row],[y]]-H$4)</f>
        <v>19025</v>
      </c>
      <c r="D8165" s="1">
        <f>IF(Tabela1[[#This Row],[promien]]&lt;40000,1,0)</f>
        <v>1</v>
      </c>
      <c r="E8165" s="1">
        <f>IF(Tabela1[[#This Row],[promien]]=40000,1,0)</f>
        <v>0</v>
      </c>
      <c r="F8165" s="1">
        <v>3.1480710349050827</v>
      </c>
      <c r="G8165" s="1">
        <v>6.4783813152895497E-3</v>
      </c>
    </row>
    <row r="8166" spans="1:7">
      <c r="A8166">
        <v>362</v>
      </c>
      <c r="B8166">
        <v>91</v>
      </c>
      <c r="C8166" s="1">
        <f>(Tabela1[[#This Row],[x]]-H$3)*(Tabela1[[#This Row],[x]]-H$3) +(Tabela1[[#This Row],[y]]-H$4)*(Tabela1[[#This Row],[y]]-H$4)</f>
        <v>38125</v>
      </c>
      <c r="D8166" s="1">
        <f>IF(Tabela1[[#This Row],[promien]]&lt;40000,1,0)</f>
        <v>1</v>
      </c>
      <c r="E8166" s="1">
        <f>IF(Tabela1[[#This Row],[promien]]=40000,1,0)</f>
        <v>0</v>
      </c>
      <c r="F8166" s="1">
        <v>3.1481753612539798</v>
      </c>
      <c r="G8166" s="1">
        <v>6.5827076641866711E-3</v>
      </c>
    </row>
    <row r="8167" spans="1:7">
      <c r="A8167">
        <v>223</v>
      </c>
      <c r="B8167">
        <v>291</v>
      </c>
      <c r="C8167" s="1">
        <f>(Tabela1[[#This Row],[x]]-H$3)*(Tabela1[[#This Row],[x]]-H$3) +(Tabela1[[#This Row],[y]]-H$4)*(Tabela1[[#This Row],[y]]-H$4)</f>
        <v>8810</v>
      </c>
      <c r="D8167" s="1">
        <f>IF(Tabela1[[#This Row],[promien]]&lt;40000,1,0)</f>
        <v>1</v>
      </c>
      <c r="E8167" s="1">
        <f>IF(Tabela1[[#This Row],[promien]]=40000,1,0)</f>
        <v>0</v>
      </c>
      <c r="F8167" s="1">
        <v>3.1482796620546099</v>
      </c>
      <c r="G8167" s="1">
        <v>6.6870084648167349E-3</v>
      </c>
    </row>
    <row r="8168" spans="1:7">
      <c r="A8168">
        <v>389</v>
      </c>
      <c r="B8168">
        <v>96</v>
      </c>
      <c r="C8168" s="1">
        <f>(Tabela1[[#This Row],[x]]-H$3)*(Tabela1[[#This Row],[x]]-H$3) +(Tabela1[[#This Row],[y]]-H$4)*(Tabela1[[#This Row],[y]]-H$4)</f>
        <v>46537</v>
      </c>
      <c r="D8168" s="1">
        <f>IF(Tabela1[[#This Row],[promien]]&lt;40000,1,0)</f>
        <v>0</v>
      </c>
      <c r="E8168" s="1">
        <f>IF(Tabela1[[#This Row],[promien]]=40000,1,0)</f>
        <v>0</v>
      </c>
      <c r="F8168" s="1">
        <v>3.1478942213516161</v>
      </c>
      <c r="G8168" s="1">
        <v>6.3015677618230015E-3</v>
      </c>
    </row>
    <row r="8169" spans="1:7">
      <c r="A8169">
        <v>378</v>
      </c>
      <c r="B8169">
        <v>343</v>
      </c>
      <c r="C8169" s="1">
        <f>(Tabela1[[#This Row],[x]]-H$3)*(Tabela1[[#This Row],[x]]-H$3) +(Tabela1[[#This Row],[y]]-H$4)*(Tabela1[[#This Row],[y]]-H$4)</f>
        <v>52133</v>
      </c>
      <c r="D8169" s="1">
        <f>IF(Tabela1[[#This Row],[promien]]&lt;40000,1,0)</f>
        <v>0</v>
      </c>
      <c r="E8169" s="1">
        <f>IF(Tabela1[[#This Row],[promien]]=40000,1,0)</f>
        <v>0</v>
      </c>
      <c r="F8169" s="1">
        <v>3.1475088750153017</v>
      </c>
      <c r="G8169" s="1">
        <v>5.9162214255086276E-3</v>
      </c>
    </row>
    <row r="8170" spans="1:7">
      <c r="A8170">
        <v>132</v>
      </c>
      <c r="B8170">
        <v>102</v>
      </c>
      <c r="C8170" s="1">
        <f>(Tabela1[[#This Row],[x]]-H$3)*(Tabela1[[#This Row],[x]]-H$3) +(Tabela1[[#This Row],[y]]-H$4)*(Tabela1[[#This Row],[y]]-H$4)</f>
        <v>14228</v>
      </c>
      <c r="D8170" s="1">
        <f>IF(Tabela1[[#This Row],[promien]]&lt;40000,1,0)</f>
        <v>1</v>
      </c>
      <c r="E8170" s="1">
        <f>IF(Tabela1[[#This Row],[promien]]=40000,1,0)</f>
        <v>0</v>
      </c>
      <c r="F8170" s="1">
        <v>3.1476132190942474</v>
      </c>
      <c r="G8170" s="1">
        <v>6.0205655044542894E-3</v>
      </c>
    </row>
    <row r="8171" spans="1:7">
      <c r="A8171">
        <v>118</v>
      </c>
      <c r="B8171">
        <v>54</v>
      </c>
      <c r="C8171" s="1">
        <f>(Tabela1[[#This Row],[x]]-H$3)*(Tabela1[[#This Row],[x]]-H$3) +(Tabela1[[#This Row],[y]]-H$4)*(Tabela1[[#This Row],[y]]-H$4)</f>
        <v>28040</v>
      </c>
      <c r="D8171" s="1">
        <f>IF(Tabela1[[#This Row],[promien]]&lt;40000,1,0)</f>
        <v>1</v>
      </c>
      <c r="E8171" s="1">
        <f>IF(Tabela1[[#This Row],[promien]]=40000,1,0)</f>
        <v>0</v>
      </c>
      <c r="F8171" s="1">
        <v>3.1477175376330928</v>
      </c>
      <c r="G8171" s="1">
        <v>6.1248840432996943E-3</v>
      </c>
    </row>
    <row r="8172" spans="1:7">
      <c r="A8172">
        <v>229</v>
      </c>
      <c r="B8172">
        <v>63</v>
      </c>
      <c r="C8172" s="1">
        <f>(Tabela1[[#This Row],[x]]-H$3)*(Tabela1[[#This Row],[x]]-H$3) +(Tabela1[[#This Row],[y]]-H$4)*(Tabela1[[#This Row],[y]]-H$4)</f>
        <v>19610</v>
      </c>
      <c r="D8172" s="1">
        <f>IF(Tabela1[[#This Row],[promien]]&lt;40000,1,0)</f>
        <v>1</v>
      </c>
      <c r="E8172" s="1">
        <f>IF(Tabela1[[#This Row],[promien]]=40000,1,0)</f>
        <v>0</v>
      </c>
      <c r="F8172" s="1">
        <v>3.147821830641214</v>
      </c>
      <c r="G8172" s="1">
        <v>6.2291770514208977E-3</v>
      </c>
    </row>
    <row r="8173" spans="1:7">
      <c r="A8173">
        <v>183</v>
      </c>
      <c r="B8173">
        <v>217</v>
      </c>
      <c r="C8173" s="1">
        <f>(Tabela1[[#This Row],[x]]-H$3)*(Tabela1[[#This Row],[x]]-H$3) +(Tabela1[[#This Row],[y]]-H$4)*(Tabela1[[#This Row],[y]]-H$4)</f>
        <v>578</v>
      </c>
      <c r="D8173" s="1">
        <f>IF(Tabela1[[#This Row],[promien]]&lt;40000,1,0)</f>
        <v>1</v>
      </c>
      <c r="E8173" s="1">
        <f>IF(Tabela1[[#This Row],[promien]]=40000,1,0)</f>
        <v>0</v>
      </c>
      <c r="F8173" s="1">
        <v>3.1479260981279822</v>
      </c>
      <c r="G8173" s="1">
        <v>6.3334445381890703E-3</v>
      </c>
    </row>
    <row r="8174" spans="1:7">
      <c r="A8174">
        <v>9</v>
      </c>
      <c r="B8174">
        <v>127</v>
      </c>
      <c r="C8174" s="1">
        <f>(Tabela1[[#This Row],[x]]-H$3)*(Tabela1[[#This Row],[x]]-H$3) +(Tabela1[[#This Row],[y]]-H$4)*(Tabela1[[#This Row],[y]]-H$4)</f>
        <v>41810</v>
      </c>
      <c r="D8174" s="1">
        <f>IF(Tabela1[[#This Row],[promien]]&lt;40000,1,0)</f>
        <v>0</v>
      </c>
      <c r="E8174" s="1">
        <f>IF(Tabela1[[#This Row],[promien]]=40000,1,0)</f>
        <v>0</v>
      </c>
      <c r="F8174" s="1">
        <v>3.1475409836065573</v>
      </c>
      <c r="G8174" s="1">
        <v>5.9483300167642028E-3</v>
      </c>
    </row>
    <row r="8175" spans="1:7">
      <c r="A8175">
        <v>95</v>
      </c>
      <c r="B8175">
        <v>186</v>
      </c>
      <c r="C8175" s="1">
        <f>(Tabela1[[#This Row],[x]]-H$3)*(Tabela1[[#This Row],[x]]-H$3) +(Tabela1[[#This Row],[y]]-H$4)*(Tabela1[[#This Row],[y]]-H$4)</f>
        <v>11221</v>
      </c>
      <c r="D8175" s="1">
        <f>IF(Tabela1[[#This Row],[promien]]&lt;40000,1,0)</f>
        <v>1</v>
      </c>
      <c r="E8175" s="1">
        <f>IF(Tabela1[[#This Row],[promien]]=40000,1,0)</f>
        <v>0</v>
      </c>
      <c r="F8175" s="1">
        <v>3.1476452599388378</v>
      </c>
      <c r="G8175" s="1">
        <v>6.052606349044698E-3</v>
      </c>
    </row>
    <row r="8176" spans="1:7">
      <c r="A8176">
        <v>240</v>
      </c>
      <c r="B8176">
        <v>128</v>
      </c>
      <c r="C8176" s="1">
        <f>(Tabela1[[#This Row],[x]]-H$3)*(Tabela1[[#This Row],[x]]-H$3) +(Tabela1[[#This Row],[y]]-H$4)*(Tabela1[[#This Row],[y]]-H$4)</f>
        <v>6784</v>
      </c>
      <c r="D8176" s="1">
        <f>IF(Tabela1[[#This Row],[promien]]&lt;40000,1,0)</f>
        <v>1</v>
      </c>
      <c r="E8176" s="1">
        <f>IF(Tabela1[[#This Row],[promien]]=40000,1,0)</f>
        <v>0</v>
      </c>
      <c r="F8176" s="1">
        <v>3.1477495107632092</v>
      </c>
      <c r="G8176" s="1">
        <v>6.1568571734160749E-3</v>
      </c>
    </row>
    <row r="8177" spans="1:7">
      <c r="A8177">
        <v>237</v>
      </c>
      <c r="B8177">
        <v>154</v>
      </c>
      <c r="C8177" s="1">
        <f>(Tabela1[[#This Row],[x]]-H$3)*(Tabela1[[#This Row],[x]]-H$3) +(Tabela1[[#This Row],[y]]-H$4)*(Tabela1[[#This Row],[y]]-H$4)</f>
        <v>3485</v>
      </c>
      <c r="D8177" s="1">
        <f>IF(Tabela1[[#This Row],[promien]]&lt;40000,1,0)</f>
        <v>1</v>
      </c>
      <c r="E8177" s="1">
        <f>IF(Tabela1[[#This Row],[promien]]=40000,1,0)</f>
        <v>0</v>
      </c>
      <c r="F8177" s="1">
        <v>3.1478537360890302</v>
      </c>
      <c r="G8177" s="1">
        <v>6.2610824992370695E-3</v>
      </c>
    </row>
    <row r="8178" spans="1:7">
      <c r="A8178">
        <v>321</v>
      </c>
      <c r="B8178">
        <v>357</v>
      </c>
      <c r="C8178" s="1">
        <f>(Tabela1[[#This Row],[x]]-H$3)*(Tabela1[[#This Row],[x]]-H$3) +(Tabela1[[#This Row],[y]]-H$4)*(Tabela1[[#This Row],[y]]-H$4)</f>
        <v>39290</v>
      </c>
      <c r="D8178" s="1">
        <f>IF(Tabela1[[#This Row],[promien]]&lt;40000,1,0)</f>
        <v>1</v>
      </c>
      <c r="E8178" s="1">
        <f>IF(Tabela1[[#This Row],[promien]]=40000,1,0)</f>
        <v>0</v>
      </c>
      <c r="F8178" s="1">
        <v>3.1479579359256542</v>
      </c>
      <c r="G8178" s="1">
        <v>6.3652823358610888E-3</v>
      </c>
    </row>
    <row r="8179" spans="1:7">
      <c r="A8179">
        <v>376</v>
      </c>
      <c r="B8179">
        <v>385</v>
      </c>
      <c r="C8179" s="1">
        <f>(Tabela1[[#This Row],[x]]-H$3)*(Tabela1[[#This Row],[x]]-H$3) +(Tabela1[[#This Row],[y]]-H$4)*(Tabela1[[#This Row],[y]]-H$4)</f>
        <v>65201</v>
      </c>
      <c r="D8179" s="1">
        <f>IF(Tabela1[[#This Row],[promien]]&lt;40000,1,0)</f>
        <v>0</v>
      </c>
      <c r="E8179" s="1">
        <f>IF(Tabela1[[#This Row],[promien]]=40000,1,0)</f>
        <v>0</v>
      </c>
      <c r="F8179" s="1">
        <v>3.1475730529404573</v>
      </c>
      <c r="G8179" s="1">
        <v>5.9803993506641895E-3</v>
      </c>
    </row>
    <row r="8180" spans="1:7">
      <c r="A8180">
        <v>232</v>
      </c>
      <c r="B8180">
        <v>6</v>
      </c>
      <c r="C8180" s="1">
        <f>(Tabela1[[#This Row],[x]]-H$3)*(Tabela1[[#This Row],[x]]-H$3) +(Tabela1[[#This Row],[y]]-H$4)*(Tabela1[[#This Row],[y]]-H$4)</f>
        <v>38660</v>
      </c>
      <c r="D8180" s="1">
        <f>IF(Tabela1[[#This Row],[promien]]&lt;40000,1,0)</f>
        <v>1</v>
      </c>
      <c r="E8180" s="1">
        <f>IF(Tabela1[[#This Row],[promien]]=40000,1,0)</f>
        <v>0</v>
      </c>
      <c r="F8180" s="1">
        <v>3.1476772616136919</v>
      </c>
      <c r="G8180" s="1">
        <v>6.0846080238987632E-3</v>
      </c>
    </row>
    <row r="8181" spans="1:7">
      <c r="A8181">
        <v>359</v>
      </c>
      <c r="B8181">
        <v>372</v>
      </c>
      <c r="C8181" s="1">
        <f>(Tabela1[[#This Row],[x]]-H$3)*(Tabela1[[#This Row],[x]]-H$3) +(Tabela1[[#This Row],[y]]-H$4)*(Tabela1[[#This Row],[y]]-H$4)</f>
        <v>54865</v>
      </c>
      <c r="D8181" s="1">
        <f>IF(Tabela1[[#This Row],[promien]]&lt;40000,1,0)</f>
        <v>0</v>
      </c>
      <c r="E8181" s="1">
        <f>IF(Tabela1[[#This Row],[promien]]=40000,1,0)</f>
        <v>0</v>
      </c>
      <c r="F8181" s="1">
        <v>3.1472925070284807</v>
      </c>
      <c r="G8181" s="1">
        <v>5.6998534386876187E-3</v>
      </c>
    </row>
    <row r="8182" spans="1:7">
      <c r="A8182">
        <v>359</v>
      </c>
      <c r="B8182">
        <v>91</v>
      </c>
      <c r="C8182" s="1">
        <f>(Tabela1[[#This Row],[x]]-H$3)*(Tabela1[[#This Row],[x]]-H$3) +(Tabela1[[#This Row],[y]]-H$4)*(Tabela1[[#This Row],[y]]-H$4)</f>
        <v>37162</v>
      </c>
      <c r="D8182" s="1">
        <f>IF(Tabela1[[#This Row],[promien]]&lt;40000,1,0)</f>
        <v>1</v>
      </c>
      <c r="E8182" s="1">
        <f>IF(Tabela1[[#This Row],[promien]]=40000,1,0)</f>
        <v>0</v>
      </c>
      <c r="F8182" s="1">
        <v>3.147396724517233</v>
      </c>
      <c r="G8182" s="1">
        <v>5.8040709274398417E-3</v>
      </c>
    </row>
    <row r="8183" spans="1:7">
      <c r="A8183">
        <v>357</v>
      </c>
      <c r="B8183">
        <v>219</v>
      </c>
      <c r="C8183" s="1">
        <f>(Tabela1[[#This Row],[x]]-H$3)*(Tabela1[[#This Row],[x]]-H$3) +(Tabela1[[#This Row],[y]]-H$4)*(Tabela1[[#This Row],[y]]-H$4)</f>
        <v>25010</v>
      </c>
      <c r="D8183" s="1">
        <f>IF(Tabela1[[#This Row],[promien]]&lt;40000,1,0)</f>
        <v>1</v>
      </c>
      <c r="E8183" s="1">
        <f>IF(Tabela1[[#This Row],[promien]]=40000,1,0)</f>
        <v>0</v>
      </c>
      <c r="F8183" s="1">
        <v>3.1475009165342782</v>
      </c>
      <c r="G8183" s="1">
        <v>5.9082629444850987E-3</v>
      </c>
    </row>
    <row r="8184" spans="1:7">
      <c r="A8184">
        <v>125</v>
      </c>
      <c r="B8184">
        <v>44</v>
      </c>
      <c r="C8184" s="1">
        <f>(Tabela1[[#This Row],[x]]-H$3)*(Tabela1[[#This Row],[x]]-H$3) +(Tabela1[[#This Row],[y]]-H$4)*(Tabela1[[#This Row],[y]]-H$4)</f>
        <v>29961</v>
      </c>
      <c r="D8184" s="1">
        <f>IF(Tabela1[[#This Row],[promien]]&lt;40000,1,0)</f>
        <v>1</v>
      </c>
      <c r="E8184" s="1">
        <f>IF(Tabela1[[#This Row],[promien]]=40000,1,0)</f>
        <v>0</v>
      </c>
      <c r="F8184" s="1">
        <v>3.1476050830889539</v>
      </c>
      <c r="G8184" s="1">
        <v>6.0124294991608096E-3</v>
      </c>
    </row>
    <row r="8185" spans="1:7">
      <c r="A8185">
        <v>185</v>
      </c>
      <c r="B8185">
        <v>82</v>
      </c>
      <c r="C8185" s="1">
        <f>(Tabela1[[#This Row],[x]]-H$3)*(Tabela1[[#This Row],[x]]-H$3) +(Tabela1[[#This Row],[y]]-H$4)*(Tabela1[[#This Row],[y]]-H$4)</f>
        <v>14149</v>
      </c>
      <c r="D8185" s="1">
        <f>IF(Tabela1[[#This Row],[promien]]&lt;40000,1,0)</f>
        <v>1</v>
      </c>
      <c r="E8185" s="1">
        <f>IF(Tabela1[[#This Row],[promien]]=40000,1,0)</f>
        <v>0</v>
      </c>
      <c r="F8185" s="1">
        <v>3.1477092241905926</v>
      </c>
      <c r="G8185" s="1">
        <v>6.1165706007995091E-3</v>
      </c>
    </row>
    <row r="8186" spans="1:7">
      <c r="A8186">
        <v>278</v>
      </c>
      <c r="B8186">
        <v>166</v>
      </c>
      <c r="C8186" s="1">
        <f>(Tabela1[[#This Row],[x]]-H$3)*(Tabela1[[#This Row],[x]]-H$3) +(Tabela1[[#This Row],[y]]-H$4)*(Tabela1[[#This Row],[y]]-H$4)</f>
        <v>7240</v>
      </c>
      <c r="D8186" s="1">
        <f>IF(Tabela1[[#This Row],[promien]]&lt;40000,1,0)</f>
        <v>1</v>
      </c>
      <c r="E8186" s="1">
        <f>IF(Tabela1[[#This Row],[promien]]=40000,1,0)</f>
        <v>0</v>
      </c>
      <c r="F8186" s="1">
        <v>3.147813339848522</v>
      </c>
      <c r="G8186" s="1">
        <v>6.220686258728847E-3</v>
      </c>
    </row>
    <row r="8187" spans="1:7">
      <c r="A8187">
        <v>234</v>
      </c>
      <c r="B8187">
        <v>316</v>
      </c>
      <c r="C8187" s="1">
        <f>(Tabela1[[#This Row],[x]]-H$3)*(Tabela1[[#This Row],[x]]-H$3) +(Tabela1[[#This Row],[y]]-H$4)*(Tabela1[[#This Row],[y]]-H$4)</f>
        <v>14612</v>
      </c>
      <c r="D8187" s="1">
        <f>IF(Tabela1[[#This Row],[promien]]&lt;40000,1,0)</f>
        <v>1</v>
      </c>
      <c r="E8187" s="1">
        <f>IF(Tabela1[[#This Row],[promien]]=40000,1,0)</f>
        <v>0</v>
      </c>
      <c r="F8187" s="1">
        <v>3.1479174300720656</v>
      </c>
      <c r="G8187" s="1">
        <v>6.3247764822724761E-3</v>
      </c>
    </row>
    <row r="8188" spans="1:7">
      <c r="A8188">
        <v>70</v>
      </c>
      <c r="B8188">
        <v>193</v>
      </c>
      <c r="C8188" s="1">
        <f>(Tabela1[[#This Row],[x]]-H$3)*(Tabela1[[#This Row],[x]]-H$3) +(Tabela1[[#This Row],[y]]-H$4)*(Tabela1[[#This Row],[y]]-H$4)</f>
        <v>16949</v>
      </c>
      <c r="D8188" s="1">
        <f>IF(Tabela1[[#This Row],[promien]]&lt;40000,1,0)</f>
        <v>1</v>
      </c>
      <c r="E8188" s="1">
        <f>IF(Tabela1[[#This Row],[promien]]=40000,1,0)</f>
        <v>0</v>
      </c>
      <c r="F8188" s="1">
        <v>3.1480214948705423</v>
      </c>
      <c r="G8188" s="1">
        <v>6.4288412807491646E-3</v>
      </c>
    </row>
    <row r="8189" spans="1:7">
      <c r="A8189">
        <v>368</v>
      </c>
      <c r="B8189">
        <v>378</v>
      </c>
      <c r="C8189" s="1">
        <f>(Tabela1[[#This Row],[x]]-H$3)*(Tabela1[[#This Row],[x]]-H$3) +(Tabela1[[#This Row],[y]]-H$4)*(Tabela1[[#This Row],[y]]-H$4)</f>
        <v>59908</v>
      </c>
      <c r="D8189" s="1">
        <f>IF(Tabela1[[#This Row],[promien]]&lt;40000,1,0)</f>
        <v>0</v>
      </c>
      <c r="E8189" s="1">
        <f>IF(Tabela1[[#This Row],[promien]]=40000,1,0)</f>
        <v>0</v>
      </c>
      <c r="F8189" s="1">
        <v>3.1476370741238244</v>
      </c>
      <c r="G8189" s="1">
        <v>6.044420534031314E-3</v>
      </c>
    </row>
    <row r="8190" spans="1:7">
      <c r="A8190">
        <v>253</v>
      </c>
      <c r="B8190">
        <v>221</v>
      </c>
      <c r="C8190" s="1">
        <f>(Tabela1[[#This Row],[x]]-H$3)*(Tabela1[[#This Row],[x]]-H$3) +(Tabela1[[#This Row],[y]]-H$4)*(Tabela1[[#This Row],[y]]-H$4)</f>
        <v>3250</v>
      </c>
      <c r="D8190" s="1">
        <f>IF(Tabela1[[#This Row],[promien]]&lt;40000,1,0)</f>
        <v>1</v>
      </c>
      <c r="E8190" s="1">
        <f>IF(Tabela1[[#This Row],[promien]]=40000,1,0)</f>
        <v>0</v>
      </c>
      <c r="F8190" s="1">
        <v>3.1477411477411477</v>
      </c>
      <c r="G8190" s="1">
        <v>6.1484941513545444E-3</v>
      </c>
    </row>
    <row r="8191" spans="1:7">
      <c r="A8191">
        <v>216</v>
      </c>
      <c r="B8191">
        <v>321</v>
      </c>
      <c r="C8191" s="1">
        <f>(Tabela1[[#This Row],[x]]-H$3)*(Tabela1[[#This Row],[x]]-H$3) +(Tabela1[[#This Row],[y]]-H$4)*(Tabela1[[#This Row],[y]]-H$4)</f>
        <v>14897</v>
      </c>
      <c r="D8191" s="1">
        <f>IF(Tabela1[[#This Row],[promien]]&lt;40000,1,0)</f>
        <v>1</v>
      </c>
      <c r="E8191" s="1">
        <f>IF(Tabela1[[#This Row],[promien]]=40000,1,0)</f>
        <v>0</v>
      </c>
      <c r="F8191" s="1">
        <v>3.147845195946771</v>
      </c>
      <c r="G8191" s="1">
        <v>6.2525423569779193E-3</v>
      </c>
    </row>
    <row r="8192" spans="1:7">
      <c r="A8192">
        <v>383</v>
      </c>
      <c r="B8192">
        <v>37</v>
      </c>
      <c r="C8192" s="1">
        <f>(Tabela1[[#This Row],[x]]-H$3)*(Tabela1[[#This Row],[x]]-H$3) +(Tabela1[[#This Row],[y]]-H$4)*(Tabela1[[#This Row],[y]]-H$4)</f>
        <v>60058</v>
      </c>
      <c r="D8192" s="1">
        <f>IF(Tabela1[[#This Row],[promien]]&lt;40000,1,0)</f>
        <v>0</v>
      </c>
      <c r="E8192" s="1">
        <f>IF(Tabela1[[#This Row],[promien]]=40000,1,0)</f>
        <v>0</v>
      </c>
      <c r="F8192" s="1">
        <v>3.1474609375</v>
      </c>
      <c r="G8192" s="1">
        <v>5.868283910206884E-3</v>
      </c>
    </row>
    <row r="8193" spans="1:7">
      <c r="A8193">
        <v>37</v>
      </c>
      <c r="B8193">
        <v>6</v>
      </c>
      <c r="C8193" s="1">
        <f>(Tabela1[[#This Row],[x]]-H$3)*(Tabela1[[#This Row],[x]]-H$3) +(Tabela1[[#This Row],[y]]-H$4)*(Tabela1[[#This Row],[y]]-H$4)</f>
        <v>64205</v>
      </c>
      <c r="D8193" s="1">
        <f>IF(Tabela1[[#This Row],[promien]]&lt;40000,1,0)</f>
        <v>0</v>
      </c>
      <c r="E8193" s="1">
        <f>IF(Tabela1[[#This Row],[promien]]=40000,1,0)</f>
        <v>0</v>
      </c>
      <c r="F8193" s="1">
        <v>3.1470767728548763</v>
      </c>
      <c r="G8193" s="1">
        <v>5.4841192650831871E-3</v>
      </c>
    </row>
    <row r="8194" spans="1:7">
      <c r="A8194">
        <v>208</v>
      </c>
      <c r="B8194">
        <v>327</v>
      </c>
      <c r="C8194" s="1">
        <f>(Tabela1[[#This Row],[x]]-H$3)*(Tabela1[[#This Row],[x]]-H$3) +(Tabela1[[#This Row],[y]]-H$4)*(Tabela1[[#This Row],[y]]-H$4)</f>
        <v>16193</v>
      </c>
      <c r="D8194" s="1">
        <f>IF(Tabela1[[#This Row],[promien]]&lt;40000,1,0)</f>
        <v>1</v>
      </c>
      <c r="E8194" s="1">
        <f>IF(Tabela1[[#This Row],[promien]]=40000,1,0)</f>
        <v>0</v>
      </c>
      <c r="F8194" s="1">
        <v>3.1471808640468635</v>
      </c>
      <c r="G8194" s="1">
        <v>5.5882104570703639E-3</v>
      </c>
    </row>
    <row r="8195" spans="1:7">
      <c r="A8195">
        <v>228</v>
      </c>
      <c r="B8195">
        <v>64</v>
      </c>
      <c r="C8195" s="1">
        <f>(Tabela1[[#This Row],[x]]-H$3)*(Tabela1[[#This Row],[x]]-H$3) +(Tabela1[[#This Row],[y]]-H$4)*(Tabela1[[#This Row],[y]]-H$4)</f>
        <v>19280</v>
      </c>
      <c r="D8195" s="1">
        <f>IF(Tabela1[[#This Row],[promien]]&lt;40000,1,0)</f>
        <v>1</v>
      </c>
      <c r="E8195" s="1">
        <f>IF(Tabela1[[#This Row],[promien]]=40000,1,0)</f>
        <v>0</v>
      </c>
      <c r="F8195" s="1">
        <v>3.1472849298352652</v>
      </c>
      <c r="G8195" s="1">
        <v>5.6922762454720832E-3</v>
      </c>
    </row>
    <row r="8196" spans="1:7">
      <c r="A8196">
        <v>44</v>
      </c>
      <c r="B8196">
        <v>295</v>
      </c>
      <c r="C8196" s="1">
        <f>(Tabela1[[#This Row],[x]]-H$3)*(Tabela1[[#This Row],[x]]-H$3) +(Tabela1[[#This Row],[y]]-H$4)*(Tabela1[[#This Row],[y]]-H$4)</f>
        <v>33361</v>
      </c>
      <c r="D8196" s="1">
        <f>IF(Tabela1[[#This Row],[promien]]&lt;40000,1,0)</f>
        <v>1</v>
      </c>
      <c r="E8196" s="1">
        <f>IF(Tabela1[[#This Row],[promien]]=40000,1,0)</f>
        <v>0</v>
      </c>
      <c r="F8196" s="1">
        <v>3.1473889702293802</v>
      </c>
      <c r="G8196" s="1">
        <v>5.7963166395871291E-3</v>
      </c>
    </row>
    <row r="8197" spans="1:7">
      <c r="A8197">
        <v>321</v>
      </c>
      <c r="B8197">
        <v>338</v>
      </c>
      <c r="C8197" s="1">
        <f>(Tabela1[[#This Row],[x]]-H$3)*(Tabela1[[#This Row],[x]]-H$3) +(Tabela1[[#This Row],[y]]-H$4)*(Tabela1[[#This Row],[y]]-H$4)</f>
        <v>33685</v>
      </c>
      <c r="D8197" s="1">
        <f>IF(Tabela1[[#This Row],[promien]]&lt;40000,1,0)</f>
        <v>1</v>
      </c>
      <c r="E8197" s="1">
        <f>IF(Tabela1[[#This Row],[promien]]=40000,1,0)</f>
        <v>0</v>
      </c>
      <c r="F8197" s="1">
        <v>3.1474929852385021</v>
      </c>
      <c r="G8197" s="1">
        <v>5.9003316487089563E-3</v>
      </c>
    </row>
    <row r="8198" spans="1:7">
      <c r="A8198">
        <v>130</v>
      </c>
      <c r="B8198">
        <v>355</v>
      </c>
      <c r="C8198" s="1">
        <f>(Tabela1[[#This Row],[x]]-H$3)*(Tabela1[[#This Row],[x]]-H$3) +(Tabela1[[#This Row],[y]]-H$4)*(Tabela1[[#This Row],[y]]-H$4)</f>
        <v>28925</v>
      </c>
      <c r="D8198" s="1">
        <f>IF(Tabela1[[#This Row],[promien]]&lt;40000,1,0)</f>
        <v>1</v>
      </c>
      <c r="E8198" s="1">
        <f>IF(Tabela1[[#This Row],[promien]]=40000,1,0)</f>
        <v>0</v>
      </c>
      <c r="F8198" s="1">
        <v>3.1475969748719201</v>
      </c>
      <c r="G8198" s="1">
        <v>6.0043212821270231E-3</v>
      </c>
    </row>
    <row r="8199" spans="1:7">
      <c r="A8199">
        <v>62</v>
      </c>
      <c r="B8199">
        <v>341</v>
      </c>
      <c r="C8199" s="1">
        <f>(Tabela1[[#This Row],[x]]-H$3)*(Tabela1[[#This Row],[x]]-H$3) +(Tabela1[[#This Row],[y]]-H$4)*(Tabela1[[#This Row],[y]]-H$4)</f>
        <v>38925</v>
      </c>
      <c r="D8199" s="1">
        <f>IF(Tabela1[[#This Row],[promien]]&lt;40000,1,0)</f>
        <v>1</v>
      </c>
      <c r="E8199" s="1">
        <f>IF(Tabela1[[#This Row],[promien]]=40000,1,0)</f>
        <v>0</v>
      </c>
      <c r="F8199" s="1">
        <v>3.1477009391389195</v>
      </c>
      <c r="G8199" s="1">
        <v>6.1082855491263466E-3</v>
      </c>
    </row>
    <row r="8200" spans="1:7">
      <c r="A8200">
        <v>41</v>
      </c>
      <c r="B8200">
        <v>24</v>
      </c>
      <c r="C8200" s="1">
        <f>(Tabela1[[#This Row],[x]]-H$3)*(Tabela1[[#This Row],[x]]-H$3) +(Tabela1[[#This Row],[y]]-H$4)*(Tabela1[[#This Row],[y]]-H$4)</f>
        <v>56257</v>
      </c>
      <c r="D8200" s="1">
        <f>IF(Tabela1[[#This Row],[promien]]&lt;40000,1,0)</f>
        <v>0</v>
      </c>
      <c r="E8200" s="1">
        <f>IF(Tabela1[[#This Row],[promien]]=40000,1,0)</f>
        <v>0</v>
      </c>
      <c r="F8200" s="1">
        <v>3.1473170731707318</v>
      </c>
      <c r="G8200" s="1">
        <v>5.7244195809387222E-3</v>
      </c>
    </row>
    <row r="8201" spans="1:7">
      <c r="A8201">
        <v>130</v>
      </c>
      <c r="B8201">
        <v>78</v>
      </c>
      <c r="C8201" s="1">
        <f>(Tabela1[[#This Row],[x]]-H$3)*(Tabela1[[#This Row],[x]]-H$3) +(Tabela1[[#This Row],[y]]-H$4)*(Tabela1[[#This Row],[y]]-H$4)</f>
        <v>19784</v>
      </c>
      <c r="D8201" s="1">
        <f>IF(Tabela1[[#This Row],[promien]]&lt;40000,1,0)</f>
        <v>1</v>
      </c>
      <c r="E8201" s="1">
        <f>IF(Tabela1[[#This Row],[promien]]=40000,1,0)</f>
        <v>0</v>
      </c>
      <c r="F8201" s="1">
        <v>3.1474210462138763</v>
      </c>
      <c r="G8201" s="1">
        <v>5.8283926240831896E-3</v>
      </c>
    </row>
    <row r="8202" spans="1:7">
      <c r="A8202">
        <v>378</v>
      </c>
      <c r="B8202">
        <v>155</v>
      </c>
      <c r="C8202" s="1">
        <f>(Tabela1[[#This Row],[x]]-H$3)*(Tabela1[[#This Row],[x]]-H$3) +(Tabela1[[#This Row],[y]]-H$4)*(Tabela1[[#This Row],[y]]-H$4)</f>
        <v>33709</v>
      </c>
      <c r="D8202" s="1">
        <f>IF(Tabela1[[#This Row],[promien]]&lt;40000,1,0)</f>
        <v>1</v>
      </c>
      <c r="E8202" s="1">
        <f>IF(Tabela1[[#This Row],[promien]]=40000,1,0)</f>
        <v>0</v>
      </c>
      <c r="F8202" s="1">
        <v>3.147524993903926</v>
      </c>
      <c r="G8202" s="1">
        <v>5.9323403141329223E-3</v>
      </c>
    </row>
    <row r="8203" spans="1:7">
      <c r="A8203">
        <v>123</v>
      </c>
      <c r="B8203">
        <v>64</v>
      </c>
      <c r="C8203" s="1">
        <f>(Tabela1[[#This Row],[x]]-H$3)*(Tabela1[[#This Row],[x]]-H$3) +(Tabela1[[#This Row],[y]]-H$4)*(Tabela1[[#This Row],[y]]-H$4)</f>
        <v>24425</v>
      </c>
      <c r="D8203" s="1">
        <f>IF(Tabela1[[#This Row],[promien]]&lt;40000,1,0)</f>
        <v>1</v>
      </c>
      <c r="E8203" s="1">
        <f>IF(Tabela1[[#This Row],[promien]]=40000,1,0)</f>
        <v>0</v>
      </c>
      <c r="F8203" s="1">
        <v>3.1476289162501523</v>
      </c>
      <c r="G8203" s="1">
        <v>6.0362626603591707E-3</v>
      </c>
    </row>
    <row r="8204" spans="1:7">
      <c r="A8204">
        <v>3</v>
      </c>
      <c r="B8204">
        <v>39</v>
      </c>
      <c r="C8204" s="1">
        <f>(Tabela1[[#This Row],[x]]-H$3)*(Tabela1[[#This Row],[x]]-H$3) +(Tabela1[[#This Row],[y]]-H$4)*(Tabela1[[#This Row],[y]]-H$4)</f>
        <v>64730</v>
      </c>
      <c r="D8204" s="1">
        <f>IF(Tabela1[[#This Row],[promien]]&lt;40000,1,0)</f>
        <v>0</v>
      </c>
      <c r="E8204" s="1">
        <f>IF(Tabela1[[#This Row],[promien]]=40000,1,0)</f>
        <v>0</v>
      </c>
      <c r="F8204" s="1">
        <v>3.1472452462213556</v>
      </c>
      <c r="G8204" s="1">
        <v>5.6525926315624808E-3</v>
      </c>
    </row>
    <row r="8205" spans="1:7">
      <c r="A8205">
        <v>329</v>
      </c>
      <c r="B8205">
        <v>12</v>
      </c>
      <c r="C8205" s="1">
        <f>(Tabela1[[#This Row],[x]]-H$3)*(Tabela1[[#This Row],[x]]-H$3) +(Tabela1[[#This Row],[y]]-H$4)*(Tabela1[[#This Row],[y]]-H$4)</f>
        <v>51985</v>
      </c>
      <c r="D8205" s="1">
        <f>IF(Tabela1[[#This Row],[promien]]&lt;40000,1,0)</f>
        <v>0</v>
      </c>
      <c r="E8205" s="1">
        <f>IF(Tabela1[[#This Row],[promien]]=40000,1,0)</f>
        <v>0</v>
      </c>
      <c r="F8205" s="1">
        <v>3.1468616697135894</v>
      </c>
      <c r="G8205" s="1">
        <v>5.2690161237962663E-3</v>
      </c>
    </row>
    <row r="8206" spans="1:7">
      <c r="A8206">
        <v>335</v>
      </c>
      <c r="B8206">
        <v>300</v>
      </c>
      <c r="C8206" s="1">
        <f>(Tabela1[[#This Row],[x]]-H$3)*(Tabela1[[#This Row],[x]]-H$3) +(Tabela1[[#This Row],[y]]-H$4)*(Tabela1[[#This Row],[y]]-H$4)</f>
        <v>28225</v>
      </c>
      <c r="D8206" s="1">
        <f>IF(Tabela1[[#This Row],[promien]]&lt;40000,1,0)</f>
        <v>1</v>
      </c>
      <c r="E8206" s="1">
        <f>IF(Tabela1[[#This Row],[promien]]=40000,1,0)</f>
        <v>0</v>
      </c>
      <c r="F8206" s="1">
        <v>3.1469656349012918</v>
      </c>
      <c r="G8206" s="1">
        <v>5.3729813114986591E-3</v>
      </c>
    </row>
    <row r="8207" spans="1:7">
      <c r="A8207">
        <v>366</v>
      </c>
      <c r="B8207">
        <v>308</v>
      </c>
      <c r="C8207" s="1">
        <f>(Tabela1[[#This Row],[x]]-H$3)*(Tabela1[[#This Row],[x]]-H$3) +(Tabela1[[#This Row],[y]]-H$4)*(Tabela1[[#This Row],[y]]-H$4)</f>
        <v>39220</v>
      </c>
      <c r="D8207" s="1">
        <f>IF(Tabela1[[#This Row],[promien]]&lt;40000,1,0)</f>
        <v>1</v>
      </c>
      <c r="E8207" s="1">
        <f>IF(Tabela1[[#This Row],[promien]]=40000,1,0)</f>
        <v>0</v>
      </c>
      <c r="F8207" s="1">
        <v>3.1470695747532593</v>
      </c>
      <c r="G8207" s="1">
        <v>5.4769211634662085E-3</v>
      </c>
    </row>
    <row r="8208" spans="1:7">
      <c r="A8208">
        <v>217</v>
      </c>
      <c r="B8208">
        <v>196</v>
      </c>
      <c r="C8208" s="1">
        <f>(Tabela1[[#This Row],[x]]-H$3)*(Tabela1[[#This Row],[x]]-H$3) +(Tabela1[[#This Row],[y]]-H$4)*(Tabela1[[#This Row],[y]]-H$4)</f>
        <v>305</v>
      </c>
      <c r="D8208" s="1">
        <f>IF(Tabela1[[#This Row],[promien]]&lt;40000,1,0)</f>
        <v>1</v>
      </c>
      <c r="E8208" s="1">
        <f>IF(Tabela1[[#This Row],[promien]]=40000,1,0)</f>
        <v>0</v>
      </c>
      <c r="F8208" s="1">
        <v>3.1471734892787526</v>
      </c>
      <c r="G8208" s="1">
        <v>5.5808356889595068E-3</v>
      </c>
    </row>
    <row r="8209" spans="1:7">
      <c r="A8209">
        <v>157</v>
      </c>
      <c r="B8209">
        <v>304</v>
      </c>
      <c r="C8209" s="1">
        <f>(Tabela1[[#This Row],[x]]-H$3)*(Tabela1[[#This Row],[x]]-H$3) +(Tabela1[[#This Row],[y]]-H$4)*(Tabela1[[#This Row],[y]]-H$4)</f>
        <v>12665</v>
      </c>
      <c r="D8209" s="1">
        <f>IF(Tabela1[[#This Row],[promien]]&lt;40000,1,0)</f>
        <v>1</v>
      </c>
      <c r="E8209" s="1">
        <f>IF(Tabela1[[#This Row],[promien]]=40000,1,0)</f>
        <v>0</v>
      </c>
      <c r="F8209" s="1">
        <v>3.1472773784870265</v>
      </c>
      <c r="G8209" s="1">
        <v>5.684724897233373E-3</v>
      </c>
    </row>
    <row r="8210" spans="1:7">
      <c r="A8210">
        <v>290</v>
      </c>
      <c r="B8210">
        <v>227</v>
      </c>
      <c r="C8210" s="1">
        <f>(Tabela1[[#This Row],[x]]-H$3)*(Tabela1[[#This Row],[x]]-H$3) +(Tabela1[[#This Row],[y]]-H$4)*(Tabela1[[#This Row],[y]]-H$4)</f>
        <v>8829</v>
      </c>
      <c r="D8210" s="1">
        <f>IF(Tabela1[[#This Row],[promien]]&lt;40000,1,0)</f>
        <v>1</v>
      </c>
      <c r="E8210" s="1">
        <f>IF(Tabela1[[#This Row],[promien]]=40000,1,0)</f>
        <v>0</v>
      </c>
      <c r="F8210" s="1">
        <v>3.1473812423873326</v>
      </c>
      <c r="G8210" s="1">
        <v>5.7885887975395178E-3</v>
      </c>
    </row>
    <row r="8211" spans="1:7">
      <c r="A8211">
        <v>270</v>
      </c>
      <c r="B8211">
        <v>347</v>
      </c>
      <c r="C8211" s="1">
        <f>(Tabela1[[#This Row],[x]]-H$3)*(Tabela1[[#This Row],[x]]-H$3) +(Tabela1[[#This Row],[y]]-H$4)*(Tabela1[[#This Row],[y]]-H$4)</f>
        <v>26509</v>
      </c>
      <c r="D8211" s="1">
        <f>IF(Tabela1[[#This Row],[promien]]&lt;40000,1,0)</f>
        <v>1</v>
      </c>
      <c r="E8211" s="1">
        <f>IF(Tabela1[[#This Row],[promien]]=40000,1,0)</f>
        <v>0</v>
      </c>
      <c r="F8211" s="1">
        <v>3.1474850809889174</v>
      </c>
      <c r="G8211" s="1">
        <v>5.8924273991243226E-3</v>
      </c>
    </row>
    <row r="8212" spans="1:7">
      <c r="A8212">
        <v>289</v>
      </c>
      <c r="B8212">
        <v>301</v>
      </c>
      <c r="C8212" s="1">
        <f>(Tabela1[[#This Row],[x]]-H$3)*(Tabela1[[#This Row],[x]]-H$3) +(Tabela1[[#This Row],[y]]-H$4)*(Tabela1[[#This Row],[y]]-H$4)</f>
        <v>18122</v>
      </c>
      <c r="D8212" s="1">
        <f>IF(Tabela1[[#This Row],[promien]]&lt;40000,1,0)</f>
        <v>1</v>
      </c>
      <c r="E8212" s="1">
        <f>IF(Tabela1[[#This Row],[promien]]=40000,1,0)</f>
        <v>0</v>
      </c>
      <c r="F8212" s="1">
        <v>3.1475888943010228</v>
      </c>
      <c r="G8212" s="1">
        <v>5.9962407112297278E-3</v>
      </c>
    </row>
    <row r="8213" spans="1:7">
      <c r="A8213">
        <v>112</v>
      </c>
      <c r="B8213">
        <v>8</v>
      </c>
      <c r="C8213" s="1">
        <f>(Tabela1[[#This Row],[x]]-H$3)*(Tabela1[[#This Row],[x]]-H$3) +(Tabela1[[#This Row],[y]]-H$4)*(Tabela1[[#This Row],[y]]-H$4)</f>
        <v>44608</v>
      </c>
      <c r="D8213" s="1">
        <f>IF(Tabela1[[#This Row],[promien]]&lt;40000,1,0)</f>
        <v>0</v>
      </c>
      <c r="E8213" s="1">
        <f>IF(Tabela1[[#This Row],[promien]]=40000,1,0)</f>
        <v>0</v>
      </c>
      <c r="F8213" s="1">
        <v>3.1472056495799343</v>
      </c>
      <c r="G8213" s="1">
        <v>5.6129959901412008E-3</v>
      </c>
    </row>
    <row r="8214" spans="1:7">
      <c r="A8214">
        <v>365</v>
      </c>
      <c r="B8214">
        <v>0</v>
      </c>
      <c r="C8214" s="1">
        <f>(Tabela1[[#This Row],[x]]-H$3)*(Tabela1[[#This Row],[x]]-H$3) +(Tabela1[[#This Row],[y]]-H$4)*(Tabela1[[#This Row],[y]]-H$4)</f>
        <v>67225</v>
      </c>
      <c r="D8214" s="1">
        <f>IF(Tabela1[[#This Row],[promien]]&lt;40000,1,0)</f>
        <v>0</v>
      </c>
      <c r="E8214" s="1">
        <f>IF(Tabela1[[#This Row],[promien]]=40000,1,0)</f>
        <v>0</v>
      </c>
      <c r="F8214" s="1">
        <v>3.1468224981738495</v>
      </c>
      <c r="G8214" s="1">
        <v>5.2298445840563978E-3</v>
      </c>
    </row>
    <row r="8215" spans="1:7">
      <c r="A8215">
        <v>383</v>
      </c>
      <c r="B8215">
        <v>382</v>
      </c>
      <c r="C8215" s="1">
        <f>(Tabela1[[#This Row],[x]]-H$3)*(Tabela1[[#This Row],[x]]-H$3) +(Tabela1[[#This Row],[y]]-H$4)*(Tabela1[[#This Row],[y]]-H$4)</f>
        <v>66613</v>
      </c>
      <c r="D8215" s="1">
        <f>IF(Tabela1[[#This Row],[promien]]&lt;40000,1,0)</f>
        <v>0</v>
      </c>
      <c r="E8215" s="1">
        <f>IF(Tabela1[[#This Row],[promien]]=40000,1,0)</f>
        <v>0</v>
      </c>
      <c r="F8215" s="1">
        <v>3.1464394400486912</v>
      </c>
      <c r="G8215" s="1">
        <v>4.8467864588981335E-3</v>
      </c>
    </row>
    <row r="8216" spans="1:7">
      <c r="A8216">
        <v>284</v>
      </c>
      <c r="B8216">
        <v>353</v>
      </c>
      <c r="C8216" s="1">
        <f>(Tabela1[[#This Row],[x]]-H$3)*(Tabela1[[#This Row],[x]]-H$3) +(Tabela1[[#This Row],[y]]-H$4)*(Tabela1[[#This Row],[y]]-H$4)</f>
        <v>30465</v>
      </c>
      <c r="D8216" s="1">
        <f>IF(Tabela1[[#This Row],[promien]]&lt;40000,1,0)</f>
        <v>1</v>
      </c>
      <c r="E8216" s="1">
        <f>IF(Tabela1[[#This Row],[promien]]=40000,1,0)</f>
        <v>0</v>
      </c>
      <c r="F8216" s="1">
        <v>3.146543330087634</v>
      </c>
      <c r="G8216" s="1">
        <v>4.9506764978408668E-3</v>
      </c>
    </row>
    <row r="8217" spans="1:7">
      <c r="A8217">
        <v>397</v>
      </c>
      <c r="B8217">
        <v>178</v>
      </c>
      <c r="C8217" s="1">
        <f>(Tabela1[[#This Row],[x]]-H$3)*(Tabela1[[#This Row],[x]]-H$3) +(Tabela1[[#This Row],[y]]-H$4)*(Tabela1[[#This Row],[y]]-H$4)</f>
        <v>39293</v>
      </c>
      <c r="D8217" s="1">
        <f>IF(Tabela1[[#This Row],[promien]]&lt;40000,1,0)</f>
        <v>1</v>
      </c>
      <c r="E8217" s="1">
        <f>IF(Tabela1[[#This Row],[promien]]=40000,1,0)</f>
        <v>0</v>
      </c>
      <c r="F8217" s="1">
        <v>3.1466471948399661</v>
      </c>
      <c r="G8217" s="1">
        <v>5.0545412501730169E-3</v>
      </c>
    </row>
    <row r="8218" spans="1:7">
      <c r="A8218">
        <v>56</v>
      </c>
      <c r="B8218">
        <v>225</v>
      </c>
      <c r="C8218" s="1">
        <f>(Tabela1[[#This Row],[x]]-H$3)*(Tabela1[[#This Row],[x]]-H$3) +(Tabela1[[#This Row],[y]]-H$4)*(Tabela1[[#This Row],[y]]-H$4)</f>
        <v>21361</v>
      </c>
      <c r="D8218" s="1">
        <f>IF(Tabela1[[#This Row],[promien]]&lt;40000,1,0)</f>
        <v>1</v>
      </c>
      <c r="E8218" s="1">
        <f>IF(Tabela1[[#This Row],[promien]]=40000,1,0)</f>
        <v>0</v>
      </c>
      <c r="F8218" s="1">
        <v>3.1467510343149185</v>
      </c>
      <c r="G8218" s="1">
        <v>5.1583807251254221E-3</v>
      </c>
    </row>
    <row r="8219" spans="1:7">
      <c r="A8219">
        <v>386</v>
      </c>
      <c r="B8219">
        <v>32</v>
      </c>
      <c r="C8219" s="1">
        <f>(Tabela1[[#This Row],[x]]-H$3)*(Tabela1[[#This Row],[x]]-H$3) +(Tabela1[[#This Row],[y]]-H$4)*(Tabela1[[#This Row],[y]]-H$4)</f>
        <v>62820</v>
      </c>
      <c r="D8219" s="1">
        <f>IF(Tabela1[[#This Row],[promien]]&lt;40000,1,0)</f>
        <v>0</v>
      </c>
      <c r="E8219" s="1">
        <f>IF(Tabela1[[#This Row],[promien]]=40000,1,0)</f>
        <v>0</v>
      </c>
      <c r="F8219" s="1">
        <v>3.1463681713103786</v>
      </c>
      <c r="G8219" s="1">
        <v>4.7755177205854871E-3</v>
      </c>
    </row>
    <row r="8220" spans="1:7">
      <c r="A8220">
        <v>167</v>
      </c>
      <c r="B8220">
        <v>217</v>
      </c>
      <c r="C8220" s="1">
        <f>(Tabela1[[#This Row],[x]]-H$3)*(Tabela1[[#This Row],[x]]-H$3) +(Tabela1[[#This Row],[y]]-H$4)*(Tabela1[[#This Row],[y]]-H$4)</f>
        <v>1378</v>
      </c>
      <c r="D8220" s="1">
        <f>IF(Tabela1[[#This Row],[promien]]&lt;40000,1,0)</f>
        <v>1</v>
      </c>
      <c r="E8220" s="1">
        <f>IF(Tabela1[[#This Row],[promien]]=40000,1,0)</f>
        <v>0</v>
      </c>
      <c r="F8220" s="1">
        <v>3.1464720194647202</v>
      </c>
      <c r="G8220" s="1">
        <v>4.8793658749270996E-3</v>
      </c>
    </row>
    <row r="8221" spans="1:7">
      <c r="A8221">
        <v>258</v>
      </c>
      <c r="B8221">
        <v>58</v>
      </c>
      <c r="C8221" s="1">
        <f>(Tabela1[[#This Row],[x]]-H$3)*(Tabela1[[#This Row],[x]]-H$3) +(Tabela1[[#This Row],[y]]-H$4)*(Tabela1[[#This Row],[y]]-H$4)</f>
        <v>23528</v>
      </c>
      <c r="D8221" s="1">
        <f>IF(Tabela1[[#This Row],[promien]]&lt;40000,1,0)</f>
        <v>1</v>
      </c>
      <c r="E8221" s="1">
        <f>IF(Tabela1[[#This Row],[promien]]=40000,1,0)</f>
        <v>0</v>
      </c>
      <c r="F8221" s="1">
        <v>3.1465758423549448</v>
      </c>
      <c r="G8221" s="1">
        <v>4.9831887651516915E-3</v>
      </c>
    </row>
    <row r="8222" spans="1:7">
      <c r="A8222">
        <v>121</v>
      </c>
      <c r="B8222">
        <v>130</v>
      </c>
      <c r="C8222" s="1">
        <f>(Tabela1[[#This Row],[x]]-H$3)*(Tabela1[[#This Row],[x]]-H$3) +(Tabela1[[#This Row],[y]]-H$4)*(Tabela1[[#This Row],[y]]-H$4)</f>
        <v>11141</v>
      </c>
      <c r="D8222" s="1">
        <f>IF(Tabela1[[#This Row],[promien]]&lt;40000,1,0)</f>
        <v>1</v>
      </c>
      <c r="E8222" s="1">
        <f>IF(Tabela1[[#This Row],[promien]]=40000,1,0)</f>
        <v>0</v>
      </c>
      <c r="F8222" s="1">
        <v>3.1466796399902699</v>
      </c>
      <c r="G8222" s="1">
        <v>5.0869864004767784E-3</v>
      </c>
    </row>
    <row r="8223" spans="1:7">
      <c r="A8223">
        <v>216</v>
      </c>
      <c r="B8223">
        <v>267</v>
      </c>
      <c r="C8223" s="1">
        <f>(Tabela1[[#This Row],[x]]-H$3)*(Tabela1[[#This Row],[x]]-H$3) +(Tabela1[[#This Row],[y]]-H$4)*(Tabela1[[#This Row],[y]]-H$4)</f>
        <v>4745</v>
      </c>
      <c r="D8223" s="1">
        <f>IF(Tabela1[[#This Row],[promien]]&lt;40000,1,0)</f>
        <v>1</v>
      </c>
      <c r="E8223" s="1">
        <f>IF(Tabela1[[#This Row],[promien]]=40000,1,0)</f>
        <v>0</v>
      </c>
      <c r="F8223" s="1">
        <v>3.1467834123799099</v>
      </c>
      <c r="G8223" s="1">
        <v>5.1907587901167673E-3</v>
      </c>
    </row>
    <row r="8224" spans="1:7">
      <c r="A8224">
        <v>142</v>
      </c>
      <c r="B8224">
        <v>19</v>
      </c>
      <c r="C8224" s="1">
        <f>(Tabela1[[#This Row],[x]]-H$3)*(Tabela1[[#This Row],[x]]-H$3) +(Tabela1[[#This Row],[y]]-H$4)*(Tabela1[[#This Row],[y]]-H$4)</f>
        <v>36125</v>
      </c>
      <c r="D8224" s="1">
        <f>IF(Tabela1[[#This Row],[promien]]&lt;40000,1,0)</f>
        <v>1</v>
      </c>
      <c r="E8224" s="1">
        <f>IF(Tabela1[[#This Row],[promien]]=40000,1,0)</f>
        <v>0</v>
      </c>
      <c r="F8224" s="1">
        <v>3.1468871595330739</v>
      </c>
      <c r="G8224" s="1">
        <v>5.2945059432807362E-3</v>
      </c>
    </row>
    <row r="8225" spans="1:7">
      <c r="A8225">
        <v>15</v>
      </c>
      <c r="B8225">
        <v>321</v>
      </c>
      <c r="C8225" s="1">
        <f>(Tabela1[[#This Row],[x]]-H$3)*(Tabela1[[#This Row],[x]]-H$3) +(Tabela1[[#This Row],[y]]-H$4)*(Tabela1[[#This Row],[y]]-H$4)</f>
        <v>48866</v>
      </c>
      <c r="D8225" s="1">
        <f>IF(Tabela1[[#This Row],[promien]]&lt;40000,1,0)</f>
        <v>0</v>
      </c>
      <c r="E8225" s="1">
        <f>IF(Tabela1[[#This Row],[promien]]=40000,1,0)</f>
        <v>0</v>
      </c>
      <c r="F8225" s="1">
        <v>3.1465045592705168</v>
      </c>
      <c r="G8225" s="1">
        <v>4.9119056807236383E-3</v>
      </c>
    </row>
    <row r="8226" spans="1:7">
      <c r="A8226">
        <v>38</v>
      </c>
      <c r="B8226">
        <v>396</v>
      </c>
      <c r="C8226" s="1">
        <f>(Tabela1[[#This Row],[x]]-H$3)*(Tabela1[[#This Row],[x]]-H$3) +(Tabela1[[#This Row],[y]]-H$4)*(Tabela1[[#This Row],[y]]-H$4)</f>
        <v>64660</v>
      </c>
      <c r="D8226" s="1">
        <f>IF(Tabela1[[#This Row],[promien]]&lt;40000,1,0)</f>
        <v>0</v>
      </c>
      <c r="E8226" s="1">
        <f>IF(Tabela1[[#This Row],[promien]]=40000,1,0)</f>
        <v>0</v>
      </c>
      <c r="F8226" s="1">
        <v>3.1461220520301483</v>
      </c>
      <c r="G8226" s="1">
        <v>4.529398440355159E-3</v>
      </c>
    </row>
    <row r="8227" spans="1:7">
      <c r="A8227">
        <v>96</v>
      </c>
      <c r="B8227">
        <v>332</v>
      </c>
      <c r="C8227" s="1">
        <f>(Tabela1[[#This Row],[x]]-H$3)*(Tabela1[[#This Row],[x]]-H$3) +(Tabela1[[#This Row],[y]]-H$4)*(Tabela1[[#This Row],[y]]-H$4)</f>
        <v>28240</v>
      </c>
      <c r="D8227" s="1">
        <f>IF(Tabela1[[#This Row],[promien]]&lt;40000,1,0)</f>
        <v>1</v>
      </c>
      <c r="E8227" s="1">
        <f>IF(Tabela1[[#This Row],[promien]]=40000,1,0)</f>
        <v>0</v>
      </c>
      <c r="F8227" s="1">
        <v>3.1462258417406104</v>
      </c>
      <c r="G8227" s="1">
        <v>4.6331881508172579E-3</v>
      </c>
    </row>
    <row r="8228" spans="1:7">
      <c r="A8228">
        <v>90</v>
      </c>
      <c r="B8228">
        <v>310</v>
      </c>
      <c r="C8228" s="1">
        <f>(Tabela1[[#This Row],[x]]-H$3)*(Tabela1[[#This Row],[x]]-H$3) +(Tabela1[[#This Row],[y]]-H$4)*(Tabela1[[#This Row],[y]]-H$4)</f>
        <v>24200</v>
      </c>
      <c r="D8228" s="1">
        <f>IF(Tabela1[[#This Row],[promien]]&lt;40000,1,0)</f>
        <v>1</v>
      </c>
      <c r="E8228" s="1">
        <f>IF(Tabela1[[#This Row],[promien]]=40000,1,0)</f>
        <v>0</v>
      </c>
      <c r="F8228" s="1">
        <v>3.1463296062226545</v>
      </c>
      <c r="G8228" s="1">
        <v>4.7369526328613354E-3</v>
      </c>
    </row>
    <row r="8229" spans="1:7">
      <c r="A8229">
        <v>378</v>
      </c>
      <c r="B8229">
        <v>256</v>
      </c>
      <c r="C8229" s="1">
        <f>(Tabela1[[#This Row],[x]]-H$3)*(Tabela1[[#This Row],[x]]-H$3) +(Tabela1[[#This Row],[y]]-H$4)*(Tabela1[[#This Row],[y]]-H$4)</f>
        <v>34820</v>
      </c>
      <c r="D8229" s="1">
        <f>IF(Tabela1[[#This Row],[promien]]&lt;40000,1,0)</f>
        <v>1</v>
      </c>
      <c r="E8229" s="1">
        <f>IF(Tabela1[[#This Row],[promien]]=40000,1,0)</f>
        <v>0</v>
      </c>
      <c r="F8229" s="1">
        <v>3.146433345485478</v>
      </c>
      <c r="G8229" s="1">
        <v>4.8406918956849232E-3</v>
      </c>
    </row>
    <row r="8230" spans="1:7">
      <c r="A8230">
        <v>335</v>
      </c>
      <c r="B8230">
        <v>273</v>
      </c>
      <c r="C8230" s="1">
        <f>(Tabela1[[#This Row],[x]]-H$3)*(Tabela1[[#This Row],[x]]-H$3) +(Tabela1[[#This Row],[y]]-H$4)*(Tabela1[[#This Row],[y]]-H$4)</f>
        <v>23554</v>
      </c>
      <c r="D8230" s="1">
        <f>IF(Tabela1[[#This Row],[promien]]&lt;40000,1,0)</f>
        <v>1</v>
      </c>
      <c r="E8230" s="1">
        <f>IF(Tabela1[[#This Row],[promien]]=40000,1,0)</f>
        <v>0</v>
      </c>
      <c r="F8230" s="1">
        <v>3.1465370595382747</v>
      </c>
      <c r="G8230" s="1">
        <v>4.9444059484815561E-3</v>
      </c>
    </row>
    <row r="8231" spans="1:7">
      <c r="A8231">
        <v>199</v>
      </c>
      <c r="B8231">
        <v>262</v>
      </c>
      <c r="C8231" s="1">
        <f>(Tabela1[[#This Row],[x]]-H$3)*(Tabela1[[#This Row],[x]]-H$3) +(Tabela1[[#This Row],[y]]-H$4)*(Tabela1[[#This Row],[y]]-H$4)</f>
        <v>3845</v>
      </c>
      <c r="D8231" s="1">
        <f>IF(Tabela1[[#This Row],[promien]]&lt;40000,1,0)</f>
        <v>1</v>
      </c>
      <c r="E8231" s="1">
        <f>IF(Tabela1[[#This Row],[promien]]=40000,1,0)</f>
        <v>0</v>
      </c>
      <c r="F8231" s="1">
        <v>3.1466407483902321</v>
      </c>
      <c r="G8231" s="1">
        <v>5.0480948004389958E-3</v>
      </c>
    </row>
    <row r="8232" spans="1:7">
      <c r="A8232">
        <v>282</v>
      </c>
      <c r="B8232">
        <v>39</v>
      </c>
      <c r="C8232" s="1">
        <f>(Tabela1[[#This Row],[x]]-H$3)*(Tabela1[[#This Row],[x]]-H$3) +(Tabela1[[#This Row],[y]]-H$4)*(Tabela1[[#This Row],[y]]-H$4)</f>
        <v>32645</v>
      </c>
      <c r="D8232" s="1">
        <f>IF(Tabela1[[#This Row],[promien]]&lt;40000,1,0)</f>
        <v>1</v>
      </c>
      <c r="E8232" s="1">
        <f>IF(Tabela1[[#This Row],[promien]]=40000,1,0)</f>
        <v>0</v>
      </c>
      <c r="F8232" s="1">
        <v>3.1467444120505346</v>
      </c>
      <c r="G8232" s="1">
        <v>5.1517584607414513E-3</v>
      </c>
    </row>
    <row r="8233" spans="1:7">
      <c r="A8233">
        <v>44</v>
      </c>
      <c r="B8233">
        <v>73</v>
      </c>
      <c r="C8233" s="1">
        <f>(Tabela1[[#This Row],[x]]-H$3)*(Tabela1[[#This Row],[x]]-H$3) +(Tabela1[[#This Row],[y]]-H$4)*(Tabela1[[#This Row],[y]]-H$4)</f>
        <v>40465</v>
      </c>
      <c r="D8233" s="1">
        <f>IF(Tabela1[[#This Row],[promien]]&lt;40000,1,0)</f>
        <v>0</v>
      </c>
      <c r="E8233" s="1">
        <f>IF(Tabela1[[#This Row],[promien]]=40000,1,0)</f>
        <v>0</v>
      </c>
      <c r="F8233" s="1">
        <v>3.1463622008988219</v>
      </c>
      <c r="G8233" s="1">
        <v>4.7695473090287877E-3</v>
      </c>
    </row>
    <row r="8234" spans="1:7">
      <c r="A8234">
        <v>173</v>
      </c>
      <c r="B8234">
        <v>153</v>
      </c>
      <c r="C8234" s="1">
        <f>(Tabela1[[#This Row],[x]]-H$3)*(Tabela1[[#This Row],[x]]-H$3) +(Tabela1[[#This Row],[y]]-H$4)*(Tabela1[[#This Row],[y]]-H$4)</f>
        <v>2938</v>
      </c>
      <c r="D8234" s="1">
        <f>IF(Tabela1[[#This Row],[promien]]&lt;40000,1,0)</f>
        <v>1</v>
      </c>
      <c r="E8234" s="1">
        <f>IF(Tabela1[[#This Row],[promien]]=40000,1,0)</f>
        <v>0</v>
      </c>
      <c r="F8234" s="1">
        <v>3.1464658732086472</v>
      </c>
      <c r="G8234" s="1">
        <v>4.8732196188541188E-3</v>
      </c>
    </row>
    <row r="8235" spans="1:7">
      <c r="A8235">
        <v>158</v>
      </c>
      <c r="B8235">
        <v>189</v>
      </c>
      <c r="C8235" s="1">
        <f>(Tabela1[[#This Row],[x]]-H$3)*(Tabela1[[#This Row],[x]]-H$3) +(Tabela1[[#This Row],[y]]-H$4)*(Tabela1[[#This Row],[y]]-H$4)</f>
        <v>1885</v>
      </c>
      <c r="D8235" s="1">
        <f>IF(Tabela1[[#This Row],[promien]]&lt;40000,1,0)</f>
        <v>1</v>
      </c>
      <c r="E8235" s="1">
        <f>IF(Tabela1[[#This Row],[promien]]=40000,1,0)</f>
        <v>0</v>
      </c>
      <c r="F8235" s="1">
        <v>3.1465695203400124</v>
      </c>
      <c r="G8235" s="1">
        <v>4.9768667502192443E-3</v>
      </c>
    </row>
    <row r="8236" spans="1:7">
      <c r="A8236">
        <v>71</v>
      </c>
      <c r="B8236">
        <v>306</v>
      </c>
      <c r="C8236" s="1">
        <f>(Tabela1[[#This Row],[x]]-H$3)*(Tabela1[[#This Row],[x]]-H$3) +(Tabela1[[#This Row],[y]]-H$4)*(Tabela1[[#This Row],[y]]-H$4)</f>
        <v>27877</v>
      </c>
      <c r="D8236" s="1">
        <f>IF(Tabela1[[#This Row],[promien]]&lt;40000,1,0)</f>
        <v>1</v>
      </c>
      <c r="E8236" s="1">
        <f>IF(Tabela1[[#This Row],[promien]]=40000,1,0)</f>
        <v>0</v>
      </c>
      <c r="F8236" s="1">
        <v>3.1466731423020886</v>
      </c>
      <c r="G8236" s="1">
        <v>5.0804887122954945E-3</v>
      </c>
    </row>
    <row r="8237" spans="1:7">
      <c r="A8237">
        <v>86</v>
      </c>
      <c r="B8237">
        <v>192</v>
      </c>
      <c r="C8237" s="1">
        <f>(Tabela1[[#This Row],[x]]-H$3)*(Tabela1[[#This Row],[x]]-H$3) +(Tabela1[[#This Row],[y]]-H$4)*(Tabela1[[#This Row],[y]]-H$4)</f>
        <v>13060</v>
      </c>
      <c r="D8237" s="1">
        <f>IF(Tabela1[[#This Row],[promien]]&lt;40000,1,0)</f>
        <v>1</v>
      </c>
      <c r="E8237" s="1">
        <f>IF(Tabela1[[#This Row],[promien]]=40000,1,0)</f>
        <v>0</v>
      </c>
      <c r="F8237" s="1">
        <v>3.1467767391040429</v>
      </c>
      <c r="G8237" s="1">
        <v>5.1840855142497588E-3</v>
      </c>
    </row>
    <row r="8238" spans="1:7">
      <c r="A8238">
        <v>190</v>
      </c>
      <c r="B8238">
        <v>362</v>
      </c>
      <c r="C8238" s="1">
        <f>(Tabela1[[#This Row],[x]]-H$3)*(Tabela1[[#This Row],[x]]-H$3) +(Tabela1[[#This Row],[y]]-H$4)*(Tabela1[[#This Row],[y]]-H$4)</f>
        <v>26344</v>
      </c>
      <c r="D8238" s="1">
        <f>IF(Tabela1[[#This Row],[promien]]&lt;40000,1,0)</f>
        <v>1</v>
      </c>
      <c r="E8238" s="1">
        <f>IF(Tabela1[[#This Row],[promien]]=40000,1,0)</f>
        <v>0</v>
      </c>
      <c r="F8238" s="1">
        <v>3.1468803107550376</v>
      </c>
      <c r="G8238" s="1">
        <v>5.2876571652444859E-3</v>
      </c>
    </row>
    <row r="8239" spans="1:7">
      <c r="A8239">
        <v>26</v>
      </c>
      <c r="B8239">
        <v>379</v>
      </c>
      <c r="C8239" s="1">
        <f>(Tabela1[[#This Row],[x]]-H$3)*(Tabela1[[#This Row],[x]]-H$3) +(Tabela1[[#This Row],[y]]-H$4)*(Tabela1[[#This Row],[y]]-H$4)</f>
        <v>62317</v>
      </c>
      <c r="D8239" s="1">
        <f>IF(Tabela1[[#This Row],[promien]]&lt;40000,1,0)</f>
        <v>0</v>
      </c>
      <c r="E8239" s="1">
        <f>IF(Tabela1[[#This Row],[promien]]=40000,1,0)</f>
        <v>0</v>
      </c>
      <c r="F8239" s="1">
        <v>3.1464983614516324</v>
      </c>
      <c r="G8239" s="1">
        <v>4.9057078618393035E-3</v>
      </c>
    </row>
    <row r="8240" spans="1:7">
      <c r="A8240">
        <v>224</v>
      </c>
      <c r="B8240">
        <v>239</v>
      </c>
      <c r="C8240" s="1">
        <f>(Tabela1[[#This Row],[x]]-H$3)*(Tabela1[[#This Row],[x]]-H$3) +(Tabela1[[#This Row],[y]]-H$4)*(Tabela1[[#This Row],[y]]-H$4)</f>
        <v>2097</v>
      </c>
      <c r="D8240" s="1">
        <f>IF(Tabela1[[#This Row],[promien]]&lt;40000,1,0)</f>
        <v>1</v>
      </c>
      <c r="E8240" s="1">
        <f>IF(Tabela1[[#This Row],[promien]]=40000,1,0)</f>
        <v>0</v>
      </c>
      <c r="F8240" s="1">
        <v>3.1466019417475728</v>
      </c>
      <c r="G8240" s="1">
        <v>5.0092881577796788E-3</v>
      </c>
    </row>
    <row r="8241" spans="1:7">
      <c r="A8241">
        <v>72</v>
      </c>
      <c r="B8241">
        <v>288</v>
      </c>
      <c r="C8241" s="1">
        <f>(Tabela1[[#This Row],[x]]-H$3)*(Tabela1[[#This Row],[x]]-H$3) +(Tabela1[[#This Row],[y]]-H$4)*(Tabela1[[#This Row],[y]]-H$4)</f>
        <v>24128</v>
      </c>
      <c r="D8241" s="1">
        <f>IF(Tabela1[[#This Row],[promien]]&lt;40000,1,0)</f>
        <v>1</v>
      </c>
      <c r="E8241" s="1">
        <f>IF(Tabela1[[#This Row],[promien]]=40000,1,0)</f>
        <v>0</v>
      </c>
      <c r="F8241" s="1">
        <v>3.1467054969057151</v>
      </c>
      <c r="G8241" s="1">
        <v>5.1128433159219888E-3</v>
      </c>
    </row>
    <row r="8242" spans="1:7">
      <c r="A8242">
        <v>246</v>
      </c>
      <c r="B8242">
        <v>365</v>
      </c>
      <c r="C8242" s="1">
        <f>(Tabela1[[#This Row],[x]]-H$3)*(Tabela1[[#This Row],[x]]-H$3) +(Tabela1[[#This Row],[y]]-H$4)*(Tabela1[[#This Row],[y]]-H$4)</f>
        <v>29341</v>
      </c>
      <c r="D8242" s="1">
        <f>IF(Tabela1[[#This Row],[promien]]&lt;40000,1,0)</f>
        <v>1</v>
      </c>
      <c r="E8242" s="1">
        <f>IF(Tabela1[[#This Row],[promien]]=40000,1,0)</f>
        <v>0</v>
      </c>
      <c r="F8242" s="1">
        <v>3.1468090269352098</v>
      </c>
      <c r="G8242" s="1">
        <v>5.2163733454166916E-3</v>
      </c>
    </row>
    <row r="8243" spans="1:7">
      <c r="A8243">
        <v>391</v>
      </c>
      <c r="B8243">
        <v>383</v>
      </c>
      <c r="C8243" s="1">
        <f>(Tabela1[[#This Row],[x]]-H$3)*(Tabela1[[#This Row],[x]]-H$3) +(Tabela1[[#This Row],[y]]-H$4)*(Tabela1[[#This Row],[y]]-H$4)</f>
        <v>69970</v>
      </c>
      <c r="D8243" s="1">
        <f>IF(Tabela1[[#This Row],[promien]]&lt;40000,1,0)</f>
        <v>0</v>
      </c>
      <c r="E8243" s="1">
        <f>IF(Tabela1[[#This Row],[promien]]=40000,1,0)</f>
        <v>0</v>
      </c>
      <c r="F8243" s="1">
        <v>3.1464272716244084</v>
      </c>
      <c r="G8243" s="1">
        <v>4.8346180346152678E-3</v>
      </c>
    </row>
    <row r="8244" spans="1:7">
      <c r="A8244">
        <v>265</v>
      </c>
      <c r="B8244">
        <v>116</v>
      </c>
      <c r="C8244" s="1">
        <f>(Tabela1[[#This Row],[x]]-H$3)*(Tabela1[[#This Row],[x]]-H$3) +(Tabela1[[#This Row],[y]]-H$4)*(Tabela1[[#This Row],[y]]-H$4)</f>
        <v>11281</v>
      </c>
      <c r="D8244" s="1">
        <f>IF(Tabela1[[#This Row],[promien]]&lt;40000,1,0)</f>
        <v>1</v>
      </c>
      <c r="E8244" s="1">
        <f>IF(Tabela1[[#This Row],[promien]]=40000,1,0)</f>
        <v>0</v>
      </c>
      <c r="F8244" s="1">
        <v>3.146530810286269</v>
      </c>
      <c r="G8244" s="1">
        <v>4.9381566964759038E-3</v>
      </c>
    </row>
    <row r="8245" spans="1:7">
      <c r="A8245">
        <v>46</v>
      </c>
      <c r="B8245">
        <v>95</v>
      </c>
      <c r="C8245" s="1">
        <f>(Tabela1[[#This Row],[x]]-H$3)*(Tabela1[[#This Row],[x]]-H$3) +(Tabela1[[#This Row],[y]]-H$4)*(Tabela1[[#This Row],[y]]-H$4)</f>
        <v>34741</v>
      </c>
      <c r="D8245" s="1">
        <f>IF(Tabela1[[#This Row],[promien]]&lt;40000,1,0)</f>
        <v>1</v>
      </c>
      <c r="E8245" s="1">
        <f>IF(Tabela1[[#This Row],[promien]]=40000,1,0)</f>
        <v>0</v>
      </c>
      <c r="F8245" s="1">
        <v>3.1466343238326258</v>
      </c>
      <c r="G8245" s="1">
        <v>5.041670242832641E-3</v>
      </c>
    </row>
    <row r="8246" spans="1:7">
      <c r="A8246">
        <v>69</v>
      </c>
      <c r="B8246">
        <v>78</v>
      </c>
      <c r="C8246" s="1">
        <f>(Tabela1[[#This Row],[x]]-H$3)*(Tabela1[[#This Row],[x]]-H$3) +(Tabela1[[#This Row],[y]]-H$4)*(Tabela1[[#This Row],[y]]-H$4)</f>
        <v>32045</v>
      </c>
      <c r="D8246" s="1">
        <f>IF(Tabela1[[#This Row],[promien]]&lt;40000,1,0)</f>
        <v>1</v>
      </c>
      <c r="E8246" s="1">
        <f>IF(Tabela1[[#This Row],[promien]]=40000,1,0)</f>
        <v>0</v>
      </c>
      <c r="F8246" s="1">
        <v>3.1467378122726171</v>
      </c>
      <c r="G8246" s="1">
        <v>5.1451586828239471E-3</v>
      </c>
    </row>
    <row r="8247" spans="1:7">
      <c r="A8247">
        <v>144</v>
      </c>
      <c r="B8247">
        <v>79</v>
      </c>
      <c r="C8247" s="1">
        <f>(Tabela1[[#This Row],[x]]-H$3)*(Tabela1[[#This Row],[x]]-H$3) +(Tabela1[[#This Row],[y]]-H$4)*(Tabela1[[#This Row],[y]]-H$4)</f>
        <v>17777</v>
      </c>
      <c r="D8247" s="1">
        <f>IF(Tabela1[[#This Row],[promien]]&lt;40000,1,0)</f>
        <v>1</v>
      </c>
      <c r="E8247" s="1">
        <f>IF(Tabela1[[#This Row],[promien]]=40000,1,0)</f>
        <v>0</v>
      </c>
      <c r="F8247" s="1">
        <v>3.1468412756153752</v>
      </c>
      <c r="G8247" s="1">
        <v>5.2486220255820726E-3</v>
      </c>
    </row>
    <row r="8248" spans="1:7">
      <c r="A8248">
        <v>259</v>
      </c>
      <c r="B8248">
        <v>187</v>
      </c>
      <c r="C8248" s="1">
        <f>(Tabela1[[#This Row],[x]]-H$3)*(Tabela1[[#This Row],[x]]-H$3) +(Tabela1[[#This Row],[y]]-H$4)*(Tabela1[[#This Row],[y]]-H$4)</f>
        <v>3650</v>
      </c>
      <c r="D8248" s="1">
        <f>IF(Tabela1[[#This Row],[promien]]&lt;40000,1,0)</f>
        <v>1</v>
      </c>
      <c r="E8248" s="1">
        <f>IF(Tabela1[[#This Row],[promien]]=40000,1,0)</f>
        <v>0</v>
      </c>
      <c r="F8248" s="1">
        <v>3.1469447138700293</v>
      </c>
      <c r="G8248" s="1">
        <v>5.3520602802361594E-3</v>
      </c>
    </row>
    <row r="8249" spans="1:7">
      <c r="A8249">
        <v>55</v>
      </c>
      <c r="B8249">
        <v>209</v>
      </c>
      <c r="C8249" s="1">
        <f>(Tabela1[[#This Row],[x]]-H$3)*(Tabela1[[#This Row],[x]]-H$3) +(Tabela1[[#This Row],[y]]-H$4)*(Tabela1[[#This Row],[y]]-H$4)</f>
        <v>21106</v>
      </c>
      <c r="D8249" s="1">
        <f>IF(Tabela1[[#This Row],[promien]]&lt;40000,1,0)</f>
        <v>1</v>
      </c>
      <c r="E8249" s="1">
        <f>IF(Tabela1[[#This Row],[promien]]=40000,1,0)</f>
        <v>0</v>
      </c>
      <c r="F8249" s="1">
        <v>3.1470481270457027</v>
      </c>
      <c r="G8249" s="1">
        <v>5.4554734559095763E-3</v>
      </c>
    </row>
    <row r="8250" spans="1:7">
      <c r="A8250">
        <v>19</v>
      </c>
      <c r="B8250">
        <v>130</v>
      </c>
      <c r="C8250" s="1">
        <f>(Tabela1[[#This Row],[x]]-H$3)*(Tabela1[[#This Row],[x]]-H$3) +(Tabela1[[#This Row],[y]]-H$4)*(Tabela1[[#This Row],[y]]-H$4)</f>
        <v>37661</v>
      </c>
      <c r="D8250" s="1">
        <f>IF(Tabela1[[#This Row],[promien]]&lt;40000,1,0)</f>
        <v>1</v>
      </c>
      <c r="E8250" s="1">
        <f>IF(Tabela1[[#This Row],[promien]]=40000,1,0)</f>
        <v>0</v>
      </c>
      <c r="F8250" s="1">
        <v>3.1471515151515153</v>
      </c>
      <c r="G8250" s="1">
        <v>5.5588615617221393E-3</v>
      </c>
    </row>
    <row r="8251" spans="1:7">
      <c r="A8251">
        <v>300</v>
      </c>
      <c r="B8251">
        <v>366</v>
      </c>
      <c r="C8251" s="1">
        <f>(Tabela1[[#This Row],[x]]-H$3)*(Tabela1[[#This Row],[x]]-H$3) +(Tabela1[[#This Row],[y]]-H$4)*(Tabela1[[#This Row],[y]]-H$4)</f>
        <v>37556</v>
      </c>
      <c r="D8251" s="1">
        <f>IF(Tabela1[[#This Row],[promien]]&lt;40000,1,0)</f>
        <v>1</v>
      </c>
      <c r="E8251" s="1">
        <f>IF(Tabela1[[#This Row],[promien]]=40000,1,0)</f>
        <v>0</v>
      </c>
      <c r="F8251" s="1">
        <v>3.1472548781965823</v>
      </c>
      <c r="G8251" s="1">
        <v>5.6622246067892235E-3</v>
      </c>
    </row>
    <row r="8252" spans="1:7">
      <c r="A8252">
        <v>299</v>
      </c>
      <c r="B8252">
        <v>280</v>
      </c>
      <c r="C8252" s="1">
        <f>(Tabela1[[#This Row],[x]]-H$3)*(Tabela1[[#This Row],[x]]-H$3) +(Tabela1[[#This Row],[y]]-H$4)*(Tabela1[[#This Row],[y]]-H$4)</f>
        <v>16201</v>
      </c>
      <c r="D8252" s="1">
        <f>IF(Tabela1[[#This Row],[promien]]&lt;40000,1,0)</f>
        <v>1</v>
      </c>
      <c r="E8252" s="1">
        <f>IF(Tabela1[[#This Row],[promien]]=40000,1,0)</f>
        <v>0</v>
      </c>
      <c r="F8252" s="1">
        <v>3.1473582161900144</v>
      </c>
      <c r="G8252" s="1">
        <v>5.7655626002213189E-3</v>
      </c>
    </row>
    <row r="8253" spans="1:7">
      <c r="A8253">
        <v>356</v>
      </c>
      <c r="B8253">
        <v>182</v>
      </c>
      <c r="C8253" s="1">
        <f>(Tabela1[[#This Row],[x]]-H$3)*(Tabela1[[#This Row],[x]]-H$3) +(Tabela1[[#This Row],[y]]-H$4)*(Tabela1[[#This Row],[y]]-H$4)</f>
        <v>24660</v>
      </c>
      <c r="D8253" s="1">
        <f>IF(Tabela1[[#This Row],[promien]]&lt;40000,1,0)</f>
        <v>1</v>
      </c>
      <c r="E8253" s="1">
        <f>IF(Tabela1[[#This Row],[promien]]=40000,1,0)</f>
        <v>0</v>
      </c>
      <c r="F8253" s="1">
        <v>3.1474615291409185</v>
      </c>
      <c r="G8253" s="1">
        <v>5.8688755511253632E-3</v>
      </c>
    </row>
    <row r="8254" spans="1:7">
      <c r="A8254">
        <v>124</v>
      </c>
      <c r="B8254">
        <v>209</v>
      </c>
      <c r="C8254" s="1">
        <f>(Tabela1[[#This Row],[x]]-H$3)*(Tabela1[[#This Row],[x]]-H$3) +(Tabela1[[#This Row],[y]]-H$4)*(Tabela1[[#This Row],[y]]-H$4)</f>
        <v>5857</v>
      </c>
      <c r="D8254" s="1">
        <f>IF(Tabela1[[#This Row],[promien]]&lt;40000,1,0)</f>
        <v>1</v>
      </c>
      <c r="E8254" s="1">
        <f>IF(Tabela1[[#This Row],[promien]]=40000,1,0)</f>
        <v>0</v>
      </c>
      <c r="F8254" s="1">
        <v>3.1475648170583961</v>
      </c>
      <c r="G8254" s="1">
        <v>5.9721634686029645E-3</v>
      </c>
    </row>
    <row r="8255" spans="1:7">
      <c r="A8255">
        <v>265</v>
      </c>
      <c r="B8255">
        <v>259</v>
      </c>
      <c r="C8255" s="1">
        <f>(Tabela1[[#This Row],[x]]-H$3)*(Tabela1[[#This Row],[x]]-H$3) +(Tabela1[[#This Row],[y]]-H$4)*(Tabela1[[#This Row],[y]]-H$4)</f>
        <v>7706</v>
      </c>
      <c r="D8255" s="1">
        <f>IF(Tabela1[[#This Row],[promien]]&lt;40000,1,0)</f>
        <v>1</v>
      </c>
      <c r="E8255" s="1">
        <f>IF(Tabela1[[#This Row],[promien]]=40000,1,0)</f>
        <v>0</v>
      </c>
      <c r="F8255" s="1">
        <v>3.1476680799515444</v>
      </c>
      <c r="G8255" s="1">
        <v>6.0754263617512905E-3</v>
      </c>
    </row>
    <row r="8256" spans="1:7">
      <c r="A8256">
        <v>375</v>
      </c>
      <c r="B8256">
        <v>34</v>
      </c>
      <c r="C8256" s="1">
        <f>(Tabela1[[#This Row],[x]]-H$3)*(Tabela1[[#This Row],[x]]-H$3) +(Tabela1[[#This Row],[y]]-H$4)*(Tabela1[[#This Row],[y]]-H$4)</f>
        <v>58181</v>
      </c>
      <c r="D8256" s="1">
        <f>IF(Tabela1[[#This Row],[promien]]&lt;40000,1,0)</f>
        <v>0</v>
      </c>
      <c r="E8256" s="1">
        <f>IF(Tabela1[[#This Row],[promien]]=40000,1,0)</f>
        <v>0</v>
      </c>
      <c r="F8256" s="1">
        <v>3.1472868217054262</v>
      </c>
      <c r="G8256" s="1">
        <v>5.6941681156330581E-3</v>
      </c>
    </row>
    <row r="8257" spans="1:7">
      <c r="A8257">
        <v>102</v>
      </c>
      <c r="B8257">
        <v>397</v>
      </c>
      <c r="C8257" s="1">
        <f>(Tabela1[[#This Row],[x]]-H$3)*(Tabela1[[#This Row],[x]]-H$3) +(Tabela1[[#This Row],[y]]-H$4)*(Tabela1[[#This Row],[y]]-H$4)</f>
        <v>48413</v>
      </c>
      <c r="D8257" s="1">
        <f>IF(Tabela1[[#This Row],[promien]]&lt;40000,1,0)</f>
        <v>0</v>
      </c>
      <c r="E8257" s="1">
        <f>IF(Tabela1[[#This Row],[promien]]=40000,1,0)</f>
        <v>0</v>
      </c>
      <c r="F8257" s="1">
        <v>3.1469056558071937</v>
      </c>
      <c r="G8257" s="1">
        <v>5.3130022174006086E-3</v>
      </c>
    </row>
    <row r="8258" spans="1:7">
      <c r="A8258">
        <v>156</v>
      </c>
      <c r="B8258">
        <v>384</v>
      </c>
      <c r="C8258" s="1">
        <f>(Tabela1[[#This Row],[x]]-H$3)*(Tabela1[[#This Row],[x]]-H$3) +(Tabela1[[#This Row],[y]]-H$4)*(Tabela1[[#This Row],[y]]-H$4)</f>
        <v>35792</v>
      </c>
      <c r="D8258" s="1">
        <f>IF(Tabela1[[#This Row],[promien]]&lt;40000,1,0)</f>
        <v>1</v>
      </c>
      <c r="E8258" s="1">
        <f>IF(Tabela1[[#This Row],[promien]]=40000,1,0)</f>
        <v>0</v>
      </c>
      <c r="F8258" s="1">
        <v>3.1470089610075078</v>
      </c>
      <c r="G8258" s="1">
        <v>5.4163074177147053E-3</v>
      </c>
    </row>
    <row r="8259" spans="1:7">
      <c r="A8259">
        <v>387</v>
      </c>
      <c r="B8259">
        <v>377</v>
      </c>
      <c r="C8259" s="1">
        <f>(Tabela1[[#This Row],[x]]-H$3)*(Tabela1[[#This Row],[x]]-H$3) +(Tabela1[[#This Row],[y]]-H$4)*(Tabela1[[#This Row],[y]]-H$4)</f>
        <v>66298</v>
      </c>
      <c r="D8259" s="1">
        <f>IF(Tabela1[[#This Row],[promien]]&lt;40000,1,0)</f>
        <v>0</v>
      </c>
      <c r="E8259" s="1">
        <f>IF(Tabela1[[#This Row],[promien]]=40000,1,0)</f>
        <v>0</v>
      </c>
      <c r="F8259" s="1">
        <v>3.1466279210558179</v>
      </c>
      <c r="G8259" s="1">
        <v>5.0352674660247843E-3</v>
      </c>
    </row>
    <row r="8260" spans="1:7">
      <c r="A8260">
        <v>35</v>
      </c>
      <c r="B8260">
        <v>199</v>
      </c>
      <c r="C8260" s="1">
        <f>(Tabela1[[#This Row],[x]]-H$3)*(Tabela1[[#This Row],[x]]-H$3) +(Tabela1[[#This Row],[y]]-H$4)*(Tabela1[[#This Row],[y]]-H$4)</f>
        <v>27226</v>
      </c>
      <c r="D8260" s="1">
        <f>IF(Tabela1[[#This Row],[promien]]&lt;40000,1,0)</f>
        <v>1</v>
      </c>
      <c r="E8260" s="1">
        <f>IF(Tabela1[[#This Row],[promien]]=40000,1,0)</f>
        <v>0</v>
      </c>
      <c r="F8260" s="1">
        <v>3.1467312348668282</v>
      </c>
      <c r="G8260" s="1">
        <v>5.138581277035037E-3</v>
      </c>
    </row>
    <row r="8261" spans="1:7">
      <c r="A8261">
        <v>352</v>
      </c>
      <c r="B8261">
        <v>143</v>
      </c>
      <c r="C8261" s="1">
        <f>(Tabela1[[#This Row],[x]]-H$3)*(Tabela1[[#This Row],[x]]-H$3) +(Tabela1[[#This Row],[y]]-H$4)*(Tabela1[[#This Row],[y]]-H$4)</f>
        <v>26353</v>
      </c>
      <c r="D8261" s="1">
        <f>IF(Tabela1[[#This Row],[promien]]&lt;40000,1,0)</f>
        <v>1</v>
      </c>
      <c r="E8261" s="1">
        <f>IF(Tabela1[[#This Row],[promien]]=40000,1,0)</f>
        <v>0</v>
      </c>
      <c r="F8261" s="1">
        <v>3.1468345236654156</v>
      </c>
      <c r="G8261" s="1">
        <v>5.2418700756224901E-3</v>
      </c>
    </row>
    <row r="8262" spans="1:7">
      <c r="A8262">
        <v>120</v>
      </c>
      <c r="B8262">
        <v>215</v>
      </c>
      <c r="C8262" s="1">
        <f>(Tabela1[[#This Row],[x]]-H$3)*(Tabela1[[#This Row],[x]]-H$3) +(Tabela1[[#This Row],[y]]-H$4)*(Tabela1[[#This Row],[y]]-H$4)</f>
        <v>6625</v>
      </c>
      <c r="D8262" s="1">
        <f>IF(Tabela1[[#This Row],[promien]]&lt;40000,1,0)</f>
        <v>1</v>
      </c>
      <c r="E8262" s="1">
        <f>IF(Tabela1[[#This Row],[promien]]=40000,1,0)</f>
        <v>0</v>
      </c>
      <c r="F8262" s="1">
        <v>3.1469377874606632</v>
      </c>
      <c r="G8262" s="1">
        <v>5.3451338708701002E-3</v>
      </c>
    </row>
    <row r="8263" spans="1:7">
      <c r="A8263">
        <v>252</v>
      </c>
      <c r="B8263">
        <v>265</v>
      </c>
      <c r="C8263" s="1">
        <f>(Tabela1[[#This Row],[x]]-H$3)*(Tabela1[[#This Row],[x]]-H$3) +(Tabela1[[#This Row],[y]]-H$4)*(Tabela1[[#This Row],[y]]-H$4)</f>
        <v>6929</v>
      </c>
      <c r="D8263" s="1">
        <f>IF(Tabela1[[#This Row],[promien]]&lt;40000,1,0)</f>
        <v>1</v>
      </c>
      <c r="E8263" s="1">
        <f>IF(Tabela1[[#This Row],[promien]]=40000,1,0)</f>
        <v>0</v>
      </c>
      <c r="F8263" s="1">
        <v>3.1470410262616482</v>
      </c>
      <c r="G8263" s="1">
        <v>5.4483726718550507E-3</v>
      </c>
    </row>
    <row r="8264" spans="1:7">
      <c r="A8264">
        <v>127</v>
      </c>
      <c r="B8264">
        <v>120</v>
      </c>
      <c r="C8264" s="1">
        <f>(Tabela1[[#This Row],[x]]-H$3)*(Tabela1[[#This Row],[x]]-H$3) +(Tabela1[[#This Row],[y]]-H$4)*(Tabela1[[#This Row],[y]]-H$4)</f>
        <v>11729</v>
      </c>
      <c r="D8264" s="1">
        <f>IF(Tabela1[[#This Row],[promien]]&lt;40000,1,0)</f>
        <v>1</v>
      </c>
      <c r="E8264" s="1">
        <f>IF(Tabela1[[#This Row],[promien]]=40000,1,0)</f>
        <v>0</v>
      </c>
      <c r="F8264" s="1">
        <v>3.1471442400774445</v>
      </c>
      <c r="G8264" s="1">
        <v>5.5515864876514165E-3</v>
      </c>
    </row>
    <row r="8265" spans="1:7">
      <c r="A8265">
        <v>24</v>
      </c>
      <c r="B8265">
        <v>400</v>
      </c>
      <c r="C8265" s="1">
        <f>(Tabela1[[#This Row],[x]]-H$3)*(Tabela1[[#This Row],[x]]-H$3) +(Tabela1[[#This Row],[y]]-H$4)*(Tabela1[[#This Row],[y]]-H$4)</f>
        <v>70976</v>
      </c>
      <c r="D8265" s="1">
        <f>IF(Tabela1[[#This Row],[promien]]&lt;40000,1,0)</f>
        <v>0</v>
      </c>
      <c r="E8265" s="1">
        <f>IF(Tabela1[[#This Row],[promien]]=40000,1,0)</f>
        <v>0</v>
      </c>
      <c r="F8265" s="1">
        <v>3.1467634603750758</v>
      </c>
      <c r="G8265" s="1">
        <v>5.1708067852827E-3</v>
      </c>
    </row>
    <row r="8266" spans="1:7">
      <c r="A8266">
        <v>250</v>
      </c>
      <c r="B8266">
        <v>379</v>
      </c>
      <c r="C8266" s="1">
        <f>(Tabela1[[#This Row],[x]]-H$3)*(Tabela1[[#This Row],[x]]-H$3) +(Tabela1[[#This Row],[y]]-H$4)*(Tabela1[[#This Row],[y]]-H$4)</f>
        <v>34541</v>
      </c>
      <c r="D8266" s="1">
        <f>IF(Tabela1[[#This Row],[promien]]&lt;40000,1,0)</f>
        <v>1</v>
      </c>
      <c r="E8266" s="1">
        <f>IF(Tabela1[[#This Row],[promien]]=40000,1,0)</f>
        <v>0</v>
      </c>
      <c r="F8266" s="1">
        <v>3.1468666827969995</v>
      </c>
      <c r="G8266" s="1">
        <v>5.2740292072064321E-3</v>
      </c>
    </row>
    <row r="8267" spans="1:7">
      <c r="A8267">
        <v>399</v>
      </c>
      <c r="B8267">
        <v>145</v>
      </c>
      <c r="C8267" s="1">
        <f>(Tabela1[[#This Row],[x]]-H$3)*(Tabela1[[#This Row],[x]]-H$3) +(Tabela1[[#This Row],[y]]-H$4)*(Tabela1[[#This Row],[y]]-H$4)</f>
        <v>42626</v>
      </c>
      <c r="D8267" s="1">
        <f>IF(Tabela1[[#This Row],[promien]]&lt;40000,1,0)</f>
        <v>0</v>
      </c>
      <c r="E8267" s="1">
        <f>IF(Tabela1[[#This Row],[promien]]=40000,1,0)</f>
        <v>0</v>
      </c>
      <c r="F8267" s="1">
        <v>3.1464860287891616</v>
      </c>
      <c r="G8267" s="1">
        <v>4.8933751993684993E-3</v>
      </c>
    </row>
    <row r="8268" spans="1:7">
      <c r="A8268">
        <v>80</v>
      </c>
      <c r="B8268">
        <v>225</v>
      </c>
      <c r="C8268" s="1">
        <f>(Tabela1[[#This Row],[x]]-H$3)*(Tabela1[[#This Row],[x]]-H$3) +(Tabela1[[#This Row],[y]]-H$4)*(Tabela1[[#This Row],[y]]-H$4)</f>
        <v>15025</v>
      </c>
      <c r="D8268" s="1">
        <f>IF(Tabela1[[#This Row],[promien]]&lt;40000,1,0)</f>
        <v>1</v>
      </c>
      <c r="E8268" s="1">
        <f>IF(Tabela1[[#This Row],[promien]]=40000,1,0)</f>
        <v>0</v>
      </c>
      <c r="F8268" s="1">
        <v>3.1465892597968068</v>
      </c>
      <c r="G8268" s="1">
        <v>4.9966062070136985E-3</v>
      </c>
    </row>
    <row r="8269" spans="1:7">
      <c r="A8269">
        <v>110</v>
      </c>
      <c r="B8269">
        <v>5</v>
      </c>
      <c r="C8269" s="1">
        <f>(Tabela1[[#This Row],[x]]-H$3)*(Tabela1[[#This Row],[x]]-H$3) +(Tabela1[[#This Row],[y]]-H$4)*(Tabela1[[#This Row],[y]]-H$4)</f>
        <v>46125</v>
      </c>
      <c r="D8269" s="1">
        <f>IF(Tabela1[[#This Row],[promien]]&lt;40000,1,0)</f>
        <v>0</v>
      </c>
      <c r="E8269" s="1">
        <f>IF(Tabela1[[#This Row],[promien]]=40000,1,0)</f>
        <v>0</v>
      </c>
      <c r="F8269" s="1">
        <v>3.1462087314064577</v>
      </c>
      <c r="G8269" s="1">
        <v>4.616077816664621E-3</v>
      </c>
    </row>
    <row r="8270" spans="1:7">
      <c r="A8270">
        <v>356</v>
      </c>
      <c r="B8270">
        <v>193</v>
      </c>
      <c r="C8270" s="1">
        <f>(Tabela1[[#This Row],[x]]-H$3)*(Tabela1[[#This Row],[x]]-H$3) +(Tabela1[[#This Row],[y]]-H$4)*(Tabela1[[#This Row],[y]]-H$4)</f>
        <v>24385</v>
      </c>
      <c r="D8270" s="1">
        <f>IF(Tabela1[[#This Row],[promien]]&lt;40000,1,0)</f>
        <v>1</v>
      </c>
      <c r="E8270" s="1">
        <f>IF(Tabela1[[#This Row],[promien]]=40000,1,0)</f>
        <v>0</v>
      </c>
      <c r="F8270" s="1">
        <v>3.1463119709794438</v>
      </c>
      <c r="G8270" s="1">
        <v>4.7193173896507012E-3</v>
      </c>
    </row>
    <row r="8271" spans="1:7">
      <c r="A8271">
        <v>361</v>
      </c>
      <c r="B8271">
        <v>220</v>
      </c>
      <c r="C8271" s="1">
        <f>(Tabela1[[#This Row],[x]]-H$3)*(Tabela1[[#This Row],[x]]-H$3) +(Tabela1[[#This Row],[y]]-H$4)*(Tabela1[[#This Row],[y]]-H$4)</f>
        <v>26321</v>
      </c>
      <c r="D8271" s="1">
        <f>IF(Tabela1[[#This Row],[promien]]&lt;40000,1,0)</f>
        <v>1</v>
      </c>
      <c r="E8271" s="1">
        <f>IF(Tabela1[[#This Row],[promien]]=40000,1,0)</f>
        <v>0</v>
      </c>
      <c r="F8271" s="1">
        <v>3.1464151855881997</v>
      </c>
      <c r="G8271" s="1">
        <v>4.8225319984065429E-3</v>
      </c>
    </row>
    <row r="8272" spans="1:7">
      <c r="A8272">
        <v>317</v>
      </c>
      <c r="B8272">
        <v>376</v>
      </c>
      <c r="C8272" s="1">
        <f>(Tabela1[[#This Row],[x]]-H$3)*(Tabela1[[#This Row],[x]]-H$3) +(Tabela1[[#This Row],[y]]-H$4)*(Tabela1[[#This Row],[y]]-H$4)</f>
        <v>44665</v>
      </c>
      <c r="D8272" s="1">
        <f>IF(Tabela1[[#This Row],[promien]]&lt;40000,1,0)</f>
        <v>0</v>
      </c>
      <c r="E8272" s="1">
        <f>IF(Tabela1[[#This Row],[promien]]=40000,1,0)</f>
        <v>0</v>
      </c>
      <c r="F8272" s="1">
        <v>3.1460348162475822</v>
      </c>
      <c r="G8272" s="1">
        <v>4.4421626577890727E-3</v>
      </c>
    </row>
    <row r="8273" spans="1:7">
      <c r="A8273">
        <v>393</v>
      </c>
      <c r="B8273">
        <v>131</v>
      </c>
      <c r="C8273" s="1">
        <f>(Tabela1[[#This Row],[x]]-H$3)*(Tabela1[[#This Row],[x]]-H$3) +(Tabela1[[#This Row],[y]]-H$4)*(Tabela1[[#This Row],[y]]-H$4)</f>
        <v>42010</v>
      </c>
      <c r="D8273" s="1">
        <f>IF(Tabela1[[#This Row],[promien]]&lt;40000,1,0)</f>
        <v>0</v>
      </c>
      <c r="E8273" s="1">
        <f>IF(Tabela1[[#This Row],[promien]]=40000,1,0)</f>
        <v>0</v>
      </c>
      <c r="F8273" s="1">
        <v>3.1456545388613564</v>
      </c>
      <c r="G8273" s="1">
        <v>4.0618852715632592E-3</v>
      </c>
    </row>
    <row r="8274" spans="1:7">
      <c r="A8274">
        <v>387</v>
      </c>
      <c r="B8274">
        <v>350</v>
      </c>
      <c r="C8274" s="1">
        <f>(Tabela1[[#This Row],[x]]-H$3)*(Tabela1[[#This Row],[x]]-H$3) +(Tabela1[[#This Row],[y]]-H$4)*(Tabela1[[#This Row],[y]]-H$4)</f>
        <v>57469</v>
      </c>
      <c r="D8274" s="1">
        <f>IF(Tabela1[[#This Row],[promien]]&lt;40000,1,0)</f>
        <v>0</v>
      </c>
      <c r="E8274" s="1">
        <f>IF(Tabela1[[#This Row],[promien]]=40000,1,0)</f>
        <v>0</v>
      </c>
      <c r="F8274" s="1">
        <v>3.1452743533961809</v>
      </c>
      <c r="G8274" s="1">
        <v>3.6816998063877726E-3</v>
      </c>
    </row>
    <row r="8275" spans="1:7">
      <c r="A8275">
        <v>138</v>
      </c>
      <c r="B8275">
        <v>91</v>
      </c>
      <c r="C8275" s="1">
        <f>(Tabela1[[#This Row],[x]]-H$3)*(Tabela1[[#This Row],[x]]-H$3) +(Tabela1[[#This Row],[y]]-H$4)*(Tabela1[[#This Row],[y]]-H$4)</f>
        <v>15725</v>
      </c>
      <c r="D8275" s="1">
        <f>IF(Tabela1[[#This Row],[promien]]&lt;40000,1,0)</f>
        <v>1</v>
      </c>
      <c r="E8275" s="1">
        <f>IF(Tabela1[[#This Row],[promien]]=40000,1,0)</f>
        <v>0</v>
      </c>
      <c r="F8275" s="1">
        <v>3.1453776435045318</v>
      </c>
      <c r="G8275" s="1">
        <v>3.7849899147386346E-3</v>
      </c>
    </row>
    <row r="8276" spans="1:7">
      <c r="A8276">
        <v>25</v>
      </c>
      <c r="B8276">
        <v>12</v>
      </c>
      <c r="C8276" s="1">
        <f>(Tabela1[[#This Row],[x]]-H$3)*(Tabela1[[#This Row],[x]]-H$3) +(Tabela1[[#This Row],[y]]-H$4)*(Tabela1[[#This Row],[y]]-H$4)</f>
        <v>65969</v>
      </c>
      <c r="D8276" s="1">
        <f>IF(Tabela1[[#This Row],[promien]]&lt;40000,1,0)</f>
        <v>0</v>
      </c>
      <c r="E8276" s="1">
        <f>IF(Tabela1[[#This Row],[promien]]=40000,1,0)</f>
        <v>0</v>
      </c>
      <c r="F8276" s="1">
        <v>3.1449975833736104</v>
      </c>
      <c r="G8276" s="1">
        <v>3.4049297838172343E-3</v>
      </c>
    </row>
    <row r="8277" spans="1:7">
      <c r="A8277">
        <v>215</v>
      </c>
      <c r="B8277">
        <v>297</v>
      </c>
      <c r="C8277" s="1">
        <f>(Tabela1[[#This Row],[x]]-H$3)*(Tabela1[[#This Row],[x]]-H$3) +(Tabela1[[#This Row],[y]]-H$4)*(Tabela1[[#This Row],[y]]-H$4)</f>
        <v>9634</v>
      </c>
      <c r="D8277" s="1">
        <f>IF(Tabela1[[#This Row],[promien]]&lt;40000,1,0)</f>
        <v>1</v>
      </c>
      <c r="E8277" s="1">
        <f>IF(Tabela1[[#This Row],[promien]]=40000,1,0)</f>
        <v>0</v>
      </c>
      <c r="F8277" s="1">
        <v>3.1451008819620636</v>
      </c>
      <c r="G8277" s="1">
        <v>3.5082283722704943E-3</v>
      </c>
    </row>
    <row r="8278" spans="1:7">
      <c r="A8278">
        <v>248</v>
      </c>
      <c r="B8278">
        <v>53</v>
      </c>
      <c r="C8278" s="1">
        <f>(Tabela1[[#This Row],[x]]-H$3)*(Tabela1[[#This Row],[x]]-H$3) +(Tabela1[[#This Row],[y]]-H$4)*(Tabela1[[#This Row],[y]]-H$4)</f>
        <v>23913</v>
      </c>
      <c r="D8278" s="1">
        <f>IF(Tabela1[[#This Row],[promien]]&lt;40000,1,0)</f>
        <v>1</v>
      </c>
      <c r="E8278" s="1">
        <f>IF(Tabela1[[#This Row],[promien]]=40000,1,0)</f>
        <v>0</v>
      </c>
      <c r="F8278" s="1">
        <v>3.1452041555931385</v>
      </c>
      <c r="G8278" s="1">
        <v>3.6115020033453682E-3</v>
      </c>
    </row>
    <row r="8279" spans="1:7">
      <c r="A8279">
        <v>322</v>
      </c>
      <c r="B8279">
        <v>317</v>
      </c>
      <c r="C8279" s="1">
        <f>(Tabela1[[#This Row],[x]]-H$3)*(Tabela1[[#This Row],[x]]-H$3) +(Tabela1[[#This Row],[y]]-H$4)*(Tabela1[[#This Row],[y]]-H$4)</f>
        <v>28573</v>
      </c>
      <c r="D8279" s="1">
        <f>IF(Tabela1[[#This Row],[promien]]&lt;40000,1,0)</f>
        <v>1</v>
      </c>
      <c r="E8279" s="1">
        <f>IF(Tabela1[[#This Row],[promien]]=40000,1,0)</f>
        <v>0</v>
      </c>
      <c r="F8279" s="1">
        <v>3.1453074042758788</v>
      </c>
      <c r="G8279" s="1">
        <v>3.7147506860857327E-3</v>
      </c>
    </row>
    <row r="8280" spans="1:7">
      <c r="A8280">
        <v>290</v>
      </c>
      <c r="B8280">
        <v>278</v>
      </c>
      <c r="C8280" s="1">
        <f>(Tabela1[[#This Row],[x]]-H$3)*(Tabela1[[#This Row],[x]]-H$3) +(Tabela1[[#This Row],[y]]-H$4)*(Tabela1[[#This Row],[y]]-H$4)</f>
        <v>14184</v>
      </c>
      <c r="D8280" s="1">
        <f>IF(Tabela1[[#This Row],[promien]]&lt;40000,1,0)</f>
        <v>1</v>
      </c>
      <c r="E8280" s="1">
        <f>IF(Tabela1[[#This Row],[promien]]=40000,1,0)</f>
        <v>0</v>
      </c>
      <c r="F8280" s="1">
        <v>3.1454106280193237</v>
      </c>
      <c r="G8280" s="1">
        <v>3.8179744295305795E-3</v>
      </c>
    </row>
    <row r="8281" spans="1:7">
      <c r="A8281">
        <v>99</v>
      </c>
      <c r="B8281">
        <v>27</v>
      </c>
      <c r="C8281" s="1">
        <f>(Tabela1[[#This Row],[x]]-H$3)*(Tabela1[[#This Row],[x]]-H$3) +(Tabela1[[#This Row],[y]]-H$4)*(Tabela1[[#This Row],[y]]-H$4)</f>
        <v>40130</v>
      </c>
      <c r="D8281" s="1">
        <f>IF(Tabela1[[#This Row],[promien]]&lt;40000,1,0)</f>
        <v>0</v>
      </c>
      <c r="E8281" s="1">
        <f>IF(Tabela1[[#This Row],[promien]]=40000,1,0)</f>
        <v>0</v>
      </c>
      <c r="F8281" s="1">
        <v>3.1450307933824417</v>
      </c>
      <c r="G8281" s="1">
        <v>3.4381397926486201E-3</v>
      </c>
    </row>
    <row r="8282" spans="1:7">
      <c r="A8282">
        <v>163</v>
      </c>
      <c r="B8282">
        <v>113</v>
      </c>
      <c r="C8282" s="1">
        <f>(Tabela1[[#This Row],[x]]-H$3)*(Tabela1[[#This Row],[x]]-H$3) +(Tabela1[[#This Row],[y]]-H$4)*(Tabela1[[#This Row],[y]]-H$4)</f>
        <v>8938</v>
      </c>
      <c r="D8282" s="1">
        <f>IF(Tabela1[[#This Row],[promien]]&lt;40000,1,0)</f>
        <v>1</v>
      </c>
      <c r="E8282" s="1">
        <f>IF(Tabela1[[#This Row],[promien]]=40000,1,0)</f>
        <v>0</v>
      </c>
      <c r="F8282" s="1">
        <v>3.1451340255976818</v>
      </c>
      <c r="G8282" s="1">
        <v>3.5413720078887323E-3</v>
      </c>
    </row>
    <row r="8283" spans="1:7">
      <c r="A8283">
        <v>104</v>
      </c>
      <c r="B8283">
        <v>332</v>
      </c>
      <c r="C8283" s="1">
        <f>(Tabela1[[#This Row],[x]]-H$3)*(Tabela1[[#This Row],[x]]-H$3) +(Tabela1[[#This Row],[y]]-H$4)*(Tabela1[[#This Row],[y]]-H$4)</f>
        <v>26640</v>
      </c>
      <c r="D8283" s="1">
        <f>IF(Tabela1[[#This Row],[promien]]&lt;40000,1,0)</f>
        <v>1</v>
      </c>
      <c r="E8283" s="1">
        <f>IF(Tabela1[[#This Row],[promien]]=40000,1,0)</f>
        <v>0</v>
      </c>
      <c r="F8283" s="1">
        <v>3.1452372328866351</v>
      </c>
      <c r="G8283" s="1">
        <v>3.6445792968420321E-3</v>
      </c>
    </row>
    <row r="8284" spans="1:7">
      <c r="A8284">
        <v>217</v>
      </c>
      <c r="B8284">
        <v>354</v>
      </c>
      <c r="C8284" s="1">
        <f>(Tabela1[[#This Row],[x]]-H$3)*(Tabela1[[#This Row],[x]]-H$3) +(Tabela1[[#This Row],[y]]-H$4)*(Tabela1[[#This Row],[y]]-H$4)</f>
        <v>24005</v>
      </c>
      <c r="D8284" s="1">
        <f>IF(Tabela1[[#This Row],[promien]]&lt;40000,1,0)</f>
        <v>1</v>
      </c>
      <c r="E8284" s="1">
        <f>IF(Tabela1[[#This Row],[promien]]=40000,1,0)</f>
        <v>0</v>
      </c>
      <c r="F8284" s="1">
        <v>3.1453404152583295</v>
      </c>
      <c r="G8284" s="1">
        <v>3.747761668536409E-3</v>
      </c>
    </row>
    <row r="8285" spans="1:7">
      <c r="A8285">
        <v>253</v>
      </c>
      <c r="B8285">
        <v>221</v>
      </c>
      <c r="C8285" s="1">
        <f>(Tabela1[[#This Row],[x]]-H$3)*(Tabela1[[#This Row],[x]]-H$3) +(Tabela1[[#This Row],[y]]-H$4)*(Tabela1[[#This Row],[y]]-H$4)</f>
        <v>3250</v>
      </c>
      <c r="D8285" s="1">
        <f>IF(Tabela1[[#This Row],[promien]]&lt;40000,1,0)</f>
        <v>1</v>
      </c>
      <c r="E8285" s="1">
        <f>IF(Tabela1[[#This Row],[promien]]=40000,1,0)</f>
        <v>0</v>
      </c>
      <c r="F8285" s="1">
        <v>3.1454435727217862</v>
      </c>
      <c r="G8285" s="1">
        <v>3.8509191319930913E-3</v>
      </c>
    </row>
    <row r="8286" spans="1:7">
      <c r="A8286">
        <v>240</v>
      </c>
      <c r="B8286">
        <v>171</v>
      </c>
      <c r="C8286" s="1">
        <f>(Tabela1[[#This Row],[x]]-H$3)*(Tabela1[[#This Row],[x]]-H$3) +(Tabela1[[#This Row],[y]]-H$4)*(Tabela1[[#This Row],[y]]-H$4)</f>
        <v>2441</v>
      </c>
      <c r="D8286" s="1">
        <f>IF(Tabela1[[#This Row],[promien]]&lt;40000,1,0)</f>
        <v>1</v>
      </c>
      <c r="E8286" s="1">
        <f>IF(Tabela1[[#This Row],[promien]]=40000,1,0)</f>
        <v>0</v>
      </c>
      <c r="F8286" s="1">
        <v>3.1455467052860246</v>
      </c>
      <c r="G8286" s="1">
        <v>3.9540516962315309E-3</v>
      </c>
    </row>
    <row r="8287" spans="1:7">
      <c r="A8287">
        <v>149</v>
      </c>
      <c r="B8287">
        <v>88</v>
      </c>
      <c r="C8287" s="1">
        <f>(Tabela1[[#This Row],[x]]-H$3)*(Tabela1[[#This Row],[x]]-H$3) +(Tabela1[[#This Row],[y]]-H$4)*(Tabela1[[#This Row],[y]]-H$4)</f>
        <v>15145</v>
      </c>
      <c r="D8287" s="1">
        <f>IF(Tabela1[[#This Row],[promien]]&lt;40000,1,0)</f>
        <v>1</v>
      </c>
      <c r="E8287" s="1">
        <f>IF(Tabela1[[#This Row],[promien]]=40000,1,0)</f>
        <v>0</v>
      </c>
      <c r="F8287" s="1">
        <v>3.1456498129600581</v>
      </c>
      <c r="G8287" s="1">
        <v>4.0571593702649622E-3</v>
      </c>
    </row>
    <row r="8288" spans="1:7">
      <c r="A8288">
        <v>400</v>
      </c>
      <c r="B8288">
        <v>159</v>
      </c>
      <c r="C8288" s="1">
        <f>(Tabela1[[#This Row],[x]]-H$3)*(Tabela1[[#This Row],[x]]-H$3) +(Tabela1[[#This Row],[y]]-H$4)*(Tabela1[[#This Row],[y]]-H$4)</f>
        <v>41681</v>
      </c>
      <c r="D8288" s="1">
        <f>IF(Tabela1[[#This Row],[promien]]&lt;40000,1,0)</f>
        <v>0</v>
      </c>
      <c r="E8288" s="1">
        <f>IF(Tabela1[[#This Row],[promien]]=40000,1,0)</f>
        <v>0</v>
      </c>
      <c r="F8288" s="1">
        <v>3.1452702702702702</v>
      </c>
      <c r="G8288" s="1">
        <v>3.6776166804770583E-3</v>
      </c>
    </row>
    <row r="8289" spans="1:7">
      <c r="A8289">
        <v>182</v>
      </c>
      <c r="B8289">
        <v>314</v>
      </c>
      <c r="C8289" s="1">
        <f>(Tabela1[[#This Row],[x]]-H$3)*(Tabela1[[#This Row],[x]]-H$3) +(Tabela1[[#This Row],[y]]-H$4)*(Tabela1[[#This Row],[y]]-H$4)</f>
        <v>13320</v>
      </c>
      <c r="D8289" s="1">
        <f>IF(Tabela1[[#This Row],[promien]]&lt;40000,1,0)</f>
        <v>1</v>
      </c>
      <c r="E8289" s="1">
        <f>IF(Tabela1[[#This Row],[promien]]=40000,1,0)</f>
        <v>0</v>
      </c>
      <c r="F8289" s="1">
        <v>3.1453733864157316</v>
      </c>
      <c r="G8289" s="1">
        <v>3.7807328259384931E-3</v>
      </c>
    </row>
    <row r="8290" spans="1:7">
      <c r="A8290">
        <v>138</v>
      </c>
      <c r="B8290">
        <v>242</v>
      </c>
      <c r="C8290" s="1">
        <f>(Tabela1[[#This Row],[x]]-H$3)*(Tabela1[[#This Row],[x]]-H$3) +(Tabela1[[#This Row],[y]]-H$4)*(Tabela1[[#This Row],[y]]-H$4)</f>
        <v>5608</v>
      </c>
      <c r="D8290" s="1">
        <f>IF(Tabela1[[#This Row],[promien]]&lt;40000,1,0)</f>
        <v>1</v>
      </c>
      <c r="E8290" s="1">
        <f>IF(Tabela1[[#This Row],[promien]]=40000,1,0)</f>
        <v>0</v>
      </c>
      <c r="F8290" s="1">
        <v>3.1454764776839568</v>
      </c>
      <c r="G8290" s="1">
        <v>3.883824094163657E-3</v>
      </c>
    </row>
    <row r="8291" spans="1:7">
      <c r="A8291">
        <v>367</v>
      </c>
      <c r="B8291">
        <v>293</v>
      </c>
      <c r="C8291" s="1">
        <f>(Tabela1[[#This Row],[x]]-H$3)*(Tabela1[[#This Row],[x]]-H$3) +(Tabela1[[#This Row],[y]]-H$4)*(Tabela1[[#This Row],[y]]-H$4)</f>
        <v>36538</v>
      </c>
      <c r="D8291" s="1">
        <f>IF(Tabela1[[#This Row],[promien]]&lt;40000,1,0)</f>
        <v>1</v>
      </c>
      <c r="E8291" s="1">
        <f>IF(Tabela1[[#This Row],[promien]]=40000,1,0)</f>
        <v>0</v>
      </c>
      <c r="F8291" s="1">
        <v>3.1455795440839465</v>
      </c>
      <c r="G8291" s="1">
        <v>3.9868904941533501E-3</v>
      </c>
    </row>
    <row r="8292" spans="1:7">
      <c r="A8292">
        <v>33</v>
      </c>
      <c r="B8292">
        <v>115</v>
      </c>
      <c r="C8292" s="1">
        <f>(Tabela1[[#This Row],[x]]-H$3)*(Tabela1[[#This Row],[x]]-H$3) +(Tabela1[[#This Row],[y]]-H$4)*(Tabela1[[#This Row],[y]]-H$4)</f>
        <v>35114</v>
      </c>
      <c r="D8292" s="1">
        <f>IF(Tabela1[[#This Row],[promien]]&lt;40000,1,0)</f>
        <v>1</v>
      </c>
      <c r="E8292" s="1">
        <f>IF(Tabela1[[#This Row],[promien]]=40000,1,0)</f>
        <v>0</v>
      </c>
      <c r="F8292" s="1">
        <v>3.1456825856246984</v>
      </c>
      <c r="G8292" s="1">
        <v>4.0899320349052637E-3</v>
      </c>
    </row>
    <row r="8293" spans="1:7">
      <c r="A8293">
        <v>101</v>
      </c>
      <c r="B8293">
        <v>78</v>
      </c>
      <c r="C8293" s="1">
        <f>(Tabela1[[#This Row],[x]]-H$3)*(Tabela1[[#This Row],[x]]-H$3) +(Tabela1[[#This Row],[y]]-H$4)*(Tabela1[[#This Row],[y]]-H$4)</f>
        <v>24685</v>
      </c>
      <c r="D8293" s="1">
        <f>IF(Tabela1[[#This Row],[promien]]&lt;40000,1,0)</f>
        <v>1</v>
      </c>
      <c r="E8293" s="1">
        <f>IF(Tabela1[[#This Row],[promien]]=40000,1,0)</f>
        <v>0</v>
      </c>
      <c r="F8293" s="1">
        <v>3.1457856023152058</v>
      </c>
      <c r="G8293" s="1">
        <v>4.1929487254126485E-3</v>
      </c>
    </row>
    <row r="8294" spans="1:7">
      <c r="A8294">
        <v>32</v>
      </c>
      <c r="B8294">
        <v>39</v>
      </c>
      <c r="C8294" s="1">
        <f>(Tabela1[[#This Row],[x]]-H$3)*(Tabela1[[#This Row],[x]]-H$3) +(Tabela1[[#This Row],[y]]-H$4)*(Tabela1[[#This Row],[y]]-H$4)</f>
        <v>54145</v>
      </c>
      <c r="D8294" s="1">
        <f>IF(Tabela1[[#This Row],[promien]]&lt;40000,1,0)</f>
        <v>0</v>
      </c>
      <c r="E8294" s="1">
        <f>IF(Tabela1[[#This Row],[promien]]=40000,1,0)</f>
        <v>0</v>
      </c>
      <c r="F8294" s="1">
        <v>3.145406317820111</v>
      </c>
      <c r="G8294" s="1">
        <v>3.8136642303179258E-3</v>
      </c>
    </row>
    <row r="8295" spans="1:7">
      <c r="A8295">
        <v>150</v>
      </c>
      <c r="B8295">
        <v>222</v>
      </c>
      <c r="C8295" s="1">
        <f>(Tabela1[[#This Row],[x]]-H$3)*(Tabela1[[#This Row],[x]]-H$3) +(Tabela1[[#This Row],[y]]-H$4)*(Tabela1[[#This Row],[y]]-H$4)</f>
        <v>2984</v>
      </c>
      <c r="D8295" s="1">
        <f>IF(Tabela1[[#This Row],[promien]]&lt;40000,1,0)</f>
        <v>1</v>
      </c>
      <c r="E8295" s="1">
        <f>IF(Tabela1[[#This Row],[promien]]=40000,1,0)</f>
        <v>0</v>
      </c>
      <c r="F8295" s="1">
        <v>3.1455093429776975</v>
      </c>
      <c r="G8295" s="1">
        <v>3.9166893879043485E-3</v>
      </c>
    </row>
    <row r="8296" spans="1:7">
      <c r="A8296">
        <v>54</v>
      </c>
      <c r="B8296">
        <v>391</v>
      </c>
      <c r="C8296" s="1">
        <f>(Tabela1[[#This Row],[x]]-H$3)*(Tabela1[[#This Row],[x]]-H$3) +(Tabela1[[#This Row],[y]]-H$4)*(Tabela1[[#This Row],[y]]-H$4)</f>
        <v>57797</v>
      </c>
      <c r="D8296" s="1">
        <f>IF(Tabela1[[#This Row],[promien]]&lt;40000,1,0)</f>
        <v>0</v>
      </c>
      <c r="E8296" s="1">
        <f>IF(Tabela1[[#This Row],[promien]]=40000,1,0)</f>
        <v>0</v>
      </c>
      <c r="F8296" s="1">
        <v>3.1451301832208292</v>
      </c>
      <c r="G8296" s="1">
        <v>3.5375296310360405E-3</v>
      </c>
    </row>
    <row r="8297" spans="1:7">
      <c r="A8297">
        <v>90</v>
      </c>
      <c r="B8297">
        <v>308</v>
      </c>
      <c r="C8297" s="1">
        <f>(Tabela1[[#This Row],[x]]-H$3)*(Tabela1[[#This Row],[x]]-H$3) +(Tabela1[[#This Row],[y]]-H$4)*(Tabela1[[#This Row],[y]]-H$4)</f>
        <v>23764</v>
      </c>
      <c r="D8297" s="1">
        <f>IF(Tabela1[[#This Row],[promien]]&lt;40000,1,0)</f>
        <v>1</v>
      </c>
      <c r="E8297" s="1">
        <f>IF(Tabela1[[#This Row],[promien]]=40000,1,0)</f>
        <v>0</v>
      </c>
      <c r="F8297" s="1">
        <v>3.1452332168253587</v>
      </c>
      <c r="G8297" s="1">
        <v>3.6405632355656081E-3</v>
      </c>
    </row>
    <row r="8298" spans="1:7">
      <c r="A8298">
        <v>81</v>
      </c>
      <c r="B8298">
        <v>278</v>
      </c>
      <c r="C8298" s="1">
        <f>(Tabela1[[#This Row],[x]]-H$3)*(Tabela1[[#This Row],[x]]-H$3) +(Tabela1[[#This Row],[y]]-H$4)*(Tabela1[[#This Row],[y]]-H$4)</f>
        <v>20245</v>
      </c>
      <c r="D8298" s="1">
        <f>IF(Tabela1[[#This Row],[promien]]&lt;40000,1,0)</f>
        <v>1</v>
      </c>
      <c r="E8298" s="1">
        <f>IF(Tabela1[[#This Row],[promien]]=40000,1,0)</f>
        <v>0</v>
      </c>
      <c r="F8298" s="1">
        <v>3.1453362255965294</v>
      </c>
      <c r="G8298" s="1">
        <v>3.743572006736251E-3</v>
      </c>
    </row>
    <row r="8299" spans="1:7">
      <c r="A8299">
        <v>114</v>
      </c>
      <c r="B8299">
        <v>319</v>
      </c>
      <c r="C8299" s="1">
        <f>(Tabela1[[#This Row],[x]]-H$3)*(Tabela1[[#This Row],[x]]-H$3) +(Tabela1[[#This Row],[y]]-H$4)*(Tabela1[[#This Row],[y]]-H$4)</f>
        <v>21557</v>
      </c>
      <c r="D8299" s="1">
        <f>IF(Tabela1[[#This Row],[promien]]&lt;40000,1,0)</f>
        <v>1</v>
      </c>
      <c r="E8299" s="1">
        <f>IF(Tabela1[[#This Row],[promien]]=40000,1,0)</f>
        <v>0</v>
      </c>
      <c r="F8299" s="1">
        <v>3.1454392095433183</v>
      </c>
      <c r="G8299" s="1">
        <v>3.8465559535252325E-3</v>
      </c>
    </row>
    <row r="8300" spans="1:7">
      <c r="A8300">
        <v>365</v>
      </c>
      <c r="B8300">
        <v>376</v>
      </c>
      <c r="C8300" s="1">
        <f>(Tabela1[[#This Row],[x]]-H$3)*(Tabela1[[#This Row],[x]]-H$3) +(Tabela1[[#This Row],[y]]-H$4)*(Tabela1[[#This Row],[y]]-H$4)</f>
        <v>58201</v>
      </c>
      <c r="D8300" s="1">
        <f>IF(Tabela1[[#This Row],[promien]]&lt;40000,1,0)</f>
        <v>0</v>
      </c>
      <c r="E8300" s="1">
        <f>IF(Tabela1[[#This Row],[promien]]=40000,1,0)</f>
        <v>0</v>
      </c>
      <c r="F8300" s="1">
        <v>3.1450602409638555</v>
      </c>
      <c r="G8300" s="1">
        <v>3.4675873740623864E-3</v>
      </c>
    </row>
    <row r="8301" spans="1:7">
      <c r="A8301">
        <v>282</v>
      </c>
      <c r="B8301">
        <v>119</v>
      </c>
      <c r="C8301" s="1">
        <f>(Tabela1[[#This Row],[x]]-H$3)*(Tabela1[[#This Row],[x]]-H$3) +(Tabela1[[#This Row],[y]]-H$4)*(Tabela1[[#This Row],[y]]-H$4)</f>
        <v>13285</v>
      </c>
      <c r="D8301" s="1">
        <f>IF(Tabela1[[#This Row],[promien]]&lt;40000,1,0)</f>
        <v>1</v>
      </c>
      <c r="E8301" s="1">
        <f>IF(Tabela1[[#This Row],[promien]]=40000,1,0)</f>
        <v>0</v>
      </c>
      <c r="F8301" s="1">
        <v>3.1451632333453801</v>
      </c>
      <c r="G8301" s="1">
        <v>3.5705797555869445E-3</v>
      </c>
    </row>
    <row r="8302" spans="1:7">
      <c r="A8302">
        <v>221</v>
      </c>
      <c r="B8302">
        <v>193</v>
      </c>
      <c r="C8302" s="1">
        <f>(Tabela1[[#This Row],[x]]-H$3)*(Tabela1[[#This Row],[x]]-H$3) +(Tabela1[[#This Row],[y]]-H$4)*(Tabela1[[#This Row],[y]]-H$4)</f>
        <v>490</v>
      </c>
      <c r="D8302" s="1">
        <f>IF(Tabela1[[#This Row],[promien]]&lt;40000,1,0)</f>
        <v>1</v>
      </c>
      <c r="E8302" s="1">
        <f>IF(Tabela1[[#This Row],[promien]]=40000,1,0)</f>
        <v>0</v>
      </c>
      <c r="F8302" s="1">
        <v>3.145266200915442</v>
      </c>
      <c r="G8302" s="1">
        <v>3.6735473256488405E-3</v>
      </c>
    </row>
    <row r="8303" spans="1:7">
      <c r="A8303">
        <v>174</v>
      </c>
      <c r="B8303">
        <v>124</v>
      </c>
      <c r="C8303" s="1">
        <f>(Tabela1[[#This Row],[x]]-H$3)*(Tabela1[[#This Row],[x]]-H$3) +(Tabela1[[#This Row],[y]]-H$4)*(Tabela1[[#This Row],[y]]-H$4)</f>
        <v>6452</v>
      </c>
      <c r="D8303" s="1">
        <f>IF(Tabela1[[#This Row],[promien]]&lt;40000,1,0)</f>
        <v>1</v>
      </c>
      <c r="E8303" s="1">
        <f>IF(Tabela1[[#This Row],[promien]]=40000,1,0)</f>
        <v>0</v>
      </c>
      <c r="F8303" s="1">
        <v>3.145369143683006</v>
      </c>
      <c r="G8303" s="1">
        <v>3.7764900932129031E-3</v>
      </c>
    </row>
    <row r="8304" spans="1:7">
      <c r="A8304">
        <v>54</v>
      </c>
      <c r="B8304">
        <v>318</v>
      </c>
      <c r="C8304" s="1">
        <f>(Tabela1[[#This Row],[x]]-H$3)*(Tabela1[[#This Row],[x]]-H$3) +(Tabela1[[#This Row],[y]]-H$4)*(Tabela1[[#This Row],[y]]-H$4)</f>
        <v>35240</v>
      </c>
      <c r="D8304" s="1">
        <f>IF(Tabela1[[#This Row],[promien]]&lt;40000,1,0)</f>
        <v>1</v>
      </c>
      <c r="E8304" s="1">
        <f>IF(Tabela1[[#This Row],[promien]]=40000,1,0)</f>
        <v>0</v>
      </c>
      <c r="F8304" s="1">
        <v>3.1454720616570326</v>
      </c>
      <c r="G8304" s="1">
        <v>3.8794080672395204E-3</v>
      </c>
    </row>
    <row r="8305" spans="1:7">
      <c r="A8305">
        <v>59</v>
      </c>
      <c r="B8305">
        <v>223</v>
      </c>
      <c r="C8305" s="1">
        <f>(Tabela1[[#This Row],[x]]-H$3)*(Tabela1[[#This Row],[x]]-H$3) +(Tabela1[[#This Row],[y]]-H$4)*(Tabela1[[#This Row],[y]]-H$4)</f>
        <v>20410</v>
      </c>
      <c r="D8305" s="1">
        <f>IF(Tabela1[[#This Row],[promien]]&lt;40000,1,0)</f>
        <v>1</v>
      </c>
      <c r="E8305" s="1">
        <f>IF(Tabela1[[#This Row],[promien]]=40000,1,0)</f>
        <v>0</v>
      </c>
      <c r="F8305" s="1">
        <v>3.1455749548464782</v>
      </c>
      <c r="G8305" s="1">
        <v>3.9823012566850835E-3</v>
      </c>
    </row>
    <row r="8306" spans="1:7">
      <c r="A8306">
        <v>9</v>
      </c>
      <c r="B8306">
        <v>11</v>
      </c>
      <c r="C8306" s="1">
        <f>(Tabela1[[#This Row],[x]]-H$3)*(Tabela1[[#This Row],[x]]-H$3) +(Tabela1[[#This Row],[y]]-H$4)*(Tabela1[[#This Row],[y]]-H$4)</f>
        <v>72202</v>
      </c>
      <c r="D8306" s="1">
        <f>IF(Tabela1[[#This Row],[promien]]&lt;40000,1,0)</f>
        <v>0</v>
      </c>
      <c r="E8306" s="1">
        <f>IF(Tabela1[[#This Row],[promien]]=40000,1,0)</f>
        <v>0</v>
      </c>
      <c r="F8306" s="1">
        <v>3.1451962436792682</v>
      </c>
      <c r="G8306" s="1">
        <v>3.6035900894750839E-3</v>
      </c>
    </row>
    <row r="8307" spans="1:7">
      <c r="A8307">
        <v>330</v>
      </c>
      <c r="B8307">
        <v>122</v>
      </c>
      <c r="C8307" s="1">
        <f>(Tabela1[[#This Row],[x]]-H$3)*(Tabela1[[#This Row],[x]]-H$3) +(Tabela1[[#This Row],[y]]-H$4)*(Tabela1[[#This Row],[y]]-H$4)</f>
        <v>22984</v>
      </c>
      <c r="D8307" s="1">
        <f>IF(Tabela1[[#This Row],[promien]]&lt;40000,1,0)</f>
        <v>1</v>
      </c>
      <c r="E8307" s="1">
        <f>IF(Tabela1[[#This Row],[promien]]=40000,1,0)</f>
        <v>0</v>
      </c>
      <c r="F8307" s="1">
        <v>3.1452991452991452</v>
      </c>
      <c r="G8307" s="1">
        <v>3.706491709352111E-3</v>
      </c>
    </row>
    <row r="8308" spans="1:7">
      <c r="A8308">
        <v>234</v>
      </c>
      <c r="B8308">
        <v>324</v>
      </c>
      <c r="C8308" s="1">
        <f>(Tabela1[[#This Row],[x]]-H$3)*(Tabela1[[#This Row],[x]]-H$3) +(Tabela1[[#This Row],[y]]-H$4)*(Tabela1[[#This Row],[y]]-H$4)</f>
        <v>16532</v>
      </c>
      <c r="D8308" s="1">
        <f>IF(Tabela1[[#This Row],[promien]]&lt;40000,1,0)</f>
        <v>1</v>
      </c>
      <c r="E8308" s="1">
        <f>IF(Tabela1[[#This Row],[promien]]=40000,1,0)</f>
        <v>0</v>
      </c>
      <c r="F8308" s="1">
        <v>3.1454020221473278</v>
      </c>
      <c r="G8308" s="1">
        <v>3.8093685575346647E-3</v>
      </c>
    </row>
    <row r="8309" spans="1:7">
      <c r="A8309">
        <v>52</v>
      </c>
      <c r="B8309">
        <v>330</v>
      </c>
      <c r="C8309" s="1">
        <f>(Tabela1[[#This Row],[x]]-H$3)*(Tabela1[[#This Row],[x]]-H$3) +(Tabela1[[#This Row],[y]]-H$4)*(Tabela1[[#This Row],[y]]-H$4)</f>
        <v>38804</v>
      </c>
      <c r="D8309" s="1">
        <f>IF(Tabela1[[#This Row],[promien]]&lt;40000,1,0)</f>
        <v>1</v>
      </c>
      <c r="E8309" s="1">
        <f>IF(Tabela1[[#This Row],[promien]]=40000,1,0)</f>
        <v>0</v>
      </c>
      <c r="F8309" s="1">
        <v>3.1455048742327598</v>
      </c>
      <c r="G8309" s="1">
        <v>3.9122206429667017E-3</v>
      </c>
    </row>
    <row r="8310" spans="1:7">
      <c r="A8310">
        <v>278</v>
      </c>
      <c r="B8310">
        <v>152</v>
      </c>
      <c r="C8310" s="1">
        <f>(Tabela1[[#This Row],[x]]-H$3)*(Tabela1[[#This Row],[x]]-H$3) +(Tabela1[[#This Row],[y]]-H$4)*(Tabela1[[#This Row],[y]]-H$4)</f>
        <v>8388</v>
      </c>
      <c r="D8310" s="1">
        <f>IF(Tabela1[[#This Row],[promien]]&lt;40000,1,0)</f>
        <v>1</v>
      </c>
      <c r="E8310" s="1">
        <f>IF(Tabela1[[#This Row],[promien]]=40000,1,0)</f>
        <v>0</v>
      </c>
      <c r="F8310" s="1">
        <v>3.1456077015643804</v>
      </c>
      <c r="G8310" s="1">
        <v>4.0150479745872936E-3</v>
      </c>
    </row>
    <row r="8311" spans="1:7">
      <c r="A8311">
        <v>184</v>
      </c>
      <c r="B8311">
        <v>42</v>
      </c>
      <c r="C8311" s="1">
        <f>(Tabela1[[#This Row],[x]]-H$3)*(Tabela1[[#This Row],[x]]-H$3) +(Tabela1[[#This Row],[y]]-H$4)*(Tabela1[[#This Row],[y]]-H$4)</f>
        <v>25220</v>
      </c>
      <c r="D8311" s="1">
        <f>IF(Tabela1[[#This Row],[promien]]&lt;40000,1,0)</f>
        <v>1</v>
      </c>
      <c r="E8311" s="1">
        <f>IF(Tabela1[[#This Row],[promien]]=40000,1,0)</f>
        <v>0</v>
      </c>
      <c r="F8311" s="1">
        <v>3.1457105041511251</v>
      </c>
      <c r="G8311" s="1">
        <v>4.1178505613319594E-3</v>
      </c>
    </row>
    <row r="8312" spans="1:7">
      <c r="A8312">
        <v>132</v>
      </c>
      <c r="B8312">
        <v>319</v>
      </c>
      <c r="C8312" s="1">
        <f>(Tabela1[[#This Row],[x]]-H$3)*(Tabela1[[#This Row],[x]]-H$3) +(Tabela1[[#This Row],[y]]-H$4)*(Tabela1[[#This Row],[y]]-H$4)</f>
        <v>18785</v>
      </c>
      <c r="D8312" s="1">
        <f>IF(Tabela1[[#This Row],[promien]]&lt;40000,1,0)</f>
        <v>1</v>
      </c>
      <c r="E8312" s="1">
        <f>IF(Tabela1[[#This Row],[promien]]=40000,1,0)</f>
        <v>0</v>
      </c>
      <c r="F8312" s="1">
        <v>3.1458132820019249</v>
      </c>
      <c r="G8312" s="1">
        <v>4.2206284121317772E-3</v>
      </c>
    </row>
    <row r="8313" spans="1:7">
      <c r="A8313">
        <v>90</v>
      </c>
      <c r="B8313">
        <v>179</v>
      </c>
      <c r="C8313" s="1">
        <f>(Tabela1[[#This Row],[x]]-H$3)*(Tabela1[[#This Row],[x]]-H$3) +(Tabela1[[#This Row],[y]]-H$4)*(Tabela1[[#This Row],[y]]-H$4)</f>
        <v>12541</v>
      </c>
      <c r="D8313" s="1">
        <f>IF(Tabela1[[#This Row],[promien]]&lt;40000,1,0)</f>
        <v>1</v>
      </c>
      <c r="E8313" s="1">
        <f>IF(Tabela1[[#This Row],[promien]]=40000,1,0)</f>
        <v>0</v>
      </c>
      <c r="F8313" s="1">
        <v>3.1459160351257069</v>
      </c>
      <c r="G8313" s="1">
        <v>4.3233815359138283E-3</v>
      </c>
    </row>
    <row r="8314" spans="1:7">
      <c r="A8314">
        <v>49</v>
      </c>
      <c r="B8314">
        <v>175</v>
      </c>
      <c r="C8314" s="1">
        <f>(Tabela1[[#This Row],[x]]-H$3)*(Tabela1[[#This Row],[x]]-H$3) +(Tabela1[[#This Row],[y]]-H$4)*(Tabela1[[#This Row],[y]]-H$4)</f>
        <v>23426</v>
      </c>
      <c r="D8314" s="1">
        <f>IF(Tabela1[[#This Row],[promien]]&lt;40000,1,0)</f>
        <v>1</v>
      </c>
      <c r="E8314" s="1">
        <f>IF(Tabela1[[#This Row],[promien]]=40000,1,0)</f>
        <v>0</v>
      </c>
      <c r="F8314" s="1">
        <v>3.146018763531393</v>
      </c>
      <c r="G8314" s="1">
        <v>4.426109941599865E-3</v>
      </c>
    </row>
    <row r="8315" spans="1:7">
      <c r="A8315">
        <v>21</v>
      </c>
      <c r="B8315">
        <v>211</v>
      </c>
      <c r="C8315" s="1">
        <f>(Tabela1[[#This Row],[x]]-H$3)*(Tabela1[[#This Row],[x]]-H$3) +(Tabela1[[#This Row],[y]]-H$4)*(Tabela1[[#This Row],[y]]-H$4)</f>
        <v>32162</v>
      </c>
      <c r="D8315" s="1">
        <f>IF(Tabela1[[#This Row],[promien]]&lt;40000,1,0)</f>
        <v>1</v>
      </c>
      <c r="E8315" s="1">
        <f>IF(Tabela1[[#This Row],[promien]]=40000,1,0)</f>
        <v>0</v>
      </c>
      <c r="F8315" s="1">
        <v>3.1461214672279012</v>
      </c>
      <c r="G8315" s="1">
        <v>4.5288136381080868E-3</v>
      </c>
    </row>
    <row r="8316" spans="1:7">
      <c r="A8316">
        <v>398</v>
      </c>
      <c r="B8316">
        <v>194</v>
      </c>
      <c r="C8316" s="1">
        <f>(Tabela1[[#This Row],[x]]-H$3)*(Tabela1[[#This Row],[x]]-H$3) +(Tabela1[[#This Row],[y]]-H$4)*(Tabela1[[#This Row],[y]]-H$4)</f>
        <v>39240</v>
      </c>
      <c r="D8316" s="1">
        <f>IF(Tabela1[[#This Row],[promien]]&lt;40000,1,0)</f>
        <v>1</v>
      </c>
      <c r="E8316" s="1">
        <f>IF(Tabela1[[#This Row],[promien]]=40000,1,0)</f>
        <v>0</v>
      </c>
      <c r="F8316" s="1">
        <v>3.1462241462241463</v>
      </c>
      <c r="G8316" s="1">
        <v>4.6314926343531404E-3</v>
      </c>
    </row>
    <row r="8317" spans="1:7">
      <c r="A8317">
        <v>268</v>
      </c>
      <c r="B8317">
        <v>320</v>
      </c>
      <c r="C8317" s="1">
        <f>(Tabela1[[#This Row],[x]]-H$3)*(Tabela1[[#This Row],[x]]-H$3) +(Tabela1[[#This Row],[y]]-H$4)*(Tabela1[[#This Row],[y]]-H$4)</f>
        <v>19024</v>
      </c>
      <c r="D8317" s="1">
        <f>IF(Tabela1[[#This Row],[promien]]&lt;40000,1,0)</f>
        <v>1</v>
      </c>
      <c r="E8317" s="1">
        <f>IF(Tabela1[[#This Row],[promien]]=40000,1,0)</f>
        <v>0</v>
      </c>
      <c r="F8317" s="1">
        <v>3.146326800529037</v>
      </c>
      <c r="G8317" s="1">
        <v>4.7341469392438995E-3</v>
      </c>
    </row>
    <row r="8318" spans="1:7">
      <c r="A8318">
        <v>44</v>
      </c>
      <c r="B8318">
        <v>244</v>
      </c>
      <c r="C8318" s="1">
        <f>(Tabela1[[#This Row],[x]]-H$3)*(Tabela1[[#This Row],[x]]-H$3) +(Tabela1[[#This Row],[y]]-H$4)*(Tabela1[[#This Row],[y]]-H$4)</f>
        <v>26272</v>
      </c>
      <c r="D8318" s="1">
        <f>IF(Tabela1[[#This Row],[promien]]&lt;40000,1,0)</f>
        <v>1</v>
      </c>
      <c r="E8318" s="1">
        <f>IF(Tabela1[[#This Row],[promien]]=40000,1,0)</f>
        <v>0</v>
      </c>
      <c r="F8318" s="1">
        <v>3.1464294301514788</v>
      </c>
      <c r="G8318" s="1">
        <v>4.836776561685685E-3</v>
      </c>
    </row>
    <row r="8319" spans="1:7">
      <c r="A8319">
        <v>231</v>
      </c>
      <c r="B8319">
        <v>355</v>
      </c>
      <c r="C8319" s="1">
        <f>(Tabela1[[#This Row],[x]]-H$3)*(Tabela1[[#This Row],[x]]-H$3) +(Tabela1[[#This Row],[y]]-H$4)*(Tabela1[[#This Row],[y]]-H$4)</f>
        <v>24986</v>
      </c>
      <c r="D8319" s="1">
        <f>IF(Tabela1[[#This Row],[promien]]&lt;40000,1,0)</f>
        <v>1</v>
      </c>
      <c r="E8319" s="1">
        <f>IF(Tabela1[[#This Row],[promien]]=40000,1,0)</f>
        <v>0</v>
      </c>
      <c r="F8319" s="1">
        <v>3.1465320351003725</v>
      </c>
      <c r="G8319" s="1">
        <v>4.939381510579377E-3</v>
      </c>
    </row>
    <row r="8320" spans="1:7">
      <c r="A8320">
        <v>340</v>
      </c>
      <c r="B8320">
        <v>287</v>
      </c>
      <c r="C8320" s="1">
        <f>(Tabela1[[#This Row],[x]]-H$3)*(Tabela1[[#This Row],[x]]-H$3) +(Tabela1[[#This Row],[y]]-H$4)*(Tabela1[[#This Row],[y]]-H$4)</f>
        <v>27169</v>
      </c>
      <c r="D8320" s="1">
        <f>IF(Tabela1[[#This Row],[promien]]&lt;40000,1,0)</f>
        <v>1</v>
      </c>
      <c r="E8320" s="1">
        <f>IF(Tabela1[[#This Row],[promien]]=40000,1,0)</f>
        <v>0</v>
      </c>
      <c r="F8320" s="1">
        <v>3.1466346153846154</v>
      </c>
      <c r="G8320" s="1">
        <v>5.0419617948223028E-3</v>
      </c>
    </row>
    <row r="8321" spans="1:7">
      <c r="A8321">
        <v>81</v>
      </c>
      <c r="B8321">
        <v>158</v>
      </c>
      <c r="C8321" s="1">
        <f>(Tabela1[[#This Row],[x]]-H$3)*(Tabela1[[#This Row],[x]]-H$3) +(Tabela1[[#This Row],[y]]-H$4)*(Tabela1[[#This Row],[y]]-H$4)</f>
        <v>15925</v>
      </c>
      <c r="D8321" s="1">
        <f>IF(Tabela1[[#This Row],[promien]]&lt;40000,1,0)</f>
        <v>1</v>
      </c>
      <c r="E8321" s="1">
        <f>IF(Tabela1[[#This Row],[promien]]=40000,1,0)</f>
        <v>0</v>
      </c>
      <c r="F8321" s="1">
        <v>3.1467371710130996</v>
      </c>
      <c r="G8321" s="1">
        <v>5.1445174233064606E-3</v>
      </c>
    </row>
    <row r="8322" spans="1:7">
      <c r="A8322">
        <v>162</v>
      </c>
      <c r="B8322">
        <v>77</v>
      </c>
      <c r="C8322" s="1">
        <f>(Tabela1[[#This Row],[x]]-H$3)*(Tabela1[[#This Row],[x]]-H$3) +(Tabela1[[#This Row],[y]]-H$4)*(Tabela1[[#This Row],[y]]-H$4)</f>
        <v>16573</v>
      </c>
      <c r="D8322" s="1">
        <f>IF(Tabela1[[#This Row],[promien]]&lt;40000,1,0)</f>
        <v>1</v>
      </c>
      <c r="E8322" s="1">
        <f>IF(Tabela1[[#This Row],[promien]]=40000,1,0)</f>
        <v>0</v>
      </c>
      <c r="F8322" s="1">
        <v>3.146839701994713</v>
      </c>
      <c r="G8322" s="1">
        <v>5.2470484049198518E-3</v>
      </c>
    </row>
    <row r="8323" spans="1:7">
      <c r="A8323">
        <v>162</v>
      </c>
      <c r="B8323">
        <v>165</v>
      </c>
      <c r="C8323" s="1">
        <f>(Tabela1[[#This Row],[x]]-H$3)*(Tabela1[[#This Row],[x]]-H$3) +(Tabela1[[#This Row],[y]]-H$4)*(Tabela1[[#This Row],[y]]-H$4)</f>
        <v>2669</v>
      </c>
      <c r="D8323" s="1">
        <f>IF(Tabela1[[#This Row],[promien]]&lt;40000,1,0)</f>
        <v>1</v>
      </c>
      <c r="E8323" s="1">
        <f>IF(Tabela1[[#This Row],[promien]]=40000,1,0)</f>
        <v>0</v>
      </c>
      <c r="F8323" s="1">
        <v>3.1469422083383396</v>
      </c>
      <c r="G8323" s="1">
        <v>5.3495547485464812E-3</v>
      </c>
    </row>
    <row r="8324" spans="1:7">
      <c r="A8324">
        <v>23</v>
      </c>
      <c r="B8324">
        <v>100</v>
      </c>
      <c r="C8324" s="1">
        <f>(Tabela1[[#This Row],[x]]-H$3)*(Tabela1[[#This Row],[x]]-H$3) +(Tabela1[[#This Row],[y]]-H$4)*(Tabela1[[#This Row],[y]]-H$4)</f>
        <v>41329</v>
      </c>
      <c r="D8324" s="1">
        <f>IF(Tabela1[[#This Row],[promien]]&lt;40000,1,0)</f>
        <v>0</v>
      </c>
      <c r="E8324" s="1">
        <f>IF(Tabela1[[#This Row],[promien]]=40000,1,0)</f>
        <v>0</v>
      </c>
      <c r="F8324" s="1">
        <v>3.1465641518500722</v>
      </c>
      <c r="G8324" s="1">
        <v>4.9714982602790947E-3</v>
      </c>
    </row>
    <row r="8325" spans="1:7">
      <c r="A8325">
        <v>285</v>
      </c>
      <c r="B8325">
        <v>17</v>
      </c>
      <c r="C8325" s="1">
        <f>(Tabela1[[#This Row],[x]]-H$3)*(Tabela1[[#This Row],[x]]-H$3) +(Tabela1[[#This Row],[y]]-H$4)*(Tabela1[[#This Row],[y]]-H$4)</f>
        <v>40714</v>
      </c>
      <c r="D8325" s="1">
        <f>IF(Tabela1[[#This Row],[promien]]&lt;40000,1,0)</f>
        <v>0</v>
      </c>
      <c r="E8325" s="1">
        <f>IF(Tabela1[[#This Row],[promien]]=40000,1,0)</f>
        <v>0</v>
      </c>
      <c r="F8325" s="1">
        <v>3.1461861861861862</v>
      </c>
      <c r="G8325" s="1">
        <v>4.5935325963930573E-3</v>
      </c>
    </row>
    <row r="8326" spans="1:7">
      <c r="A8326">
        <v>73</v>
      </c>
      <c r="B8326">
        <v>281</v>
      </c>
      <c r="C8326" s="1">
        <f>(Tabela1[[#This Row],[x]]-H$3)*(Tabela1[[#This Row],[x]]-H$3) +(Tabela1[[#This Row],[y]]-H$4)*(Tabela1[[#This Row],[y]]-H$4)</f>
        <v>22690</v>
      </c>
      <c r="D8326" s="1">
        <f>IF(Tabela1[[#This Row],[promien]]&lt;40000,1,0)</f>
        <v>1</v>
      </c>
      <c r="E8326" s="1">
        <f>IF(Tabela1[[#This Row],[promien]]=40000,1,0)</f>
        <v>0</v>
      </c>
      <c r="F8326" s="1">
        <v>3.1462887340859957</v>
      </c>
      <c r="G8326" s="1">
        <v>4.6960804962026259E-3</v>
      </c>
    </row>
    <row r="8327" spans="1:7">
      <c r="A8327">
        <v>110</v>
      </c>
      <c r="B8327">
        <v>30</v>
      </c>
      <c r="C8327" s="1">
        <f>(Tabela1[[#This Row],[x]]-H$3)*(Tabela1[[#This Row],[x]]-H$3) +(Tabela1[[#This Row],[y]]-H$4)*(Tabela1[[#This Row],[y]]-H$4)</f>
        <v>37000</v>
      </c>
      <c r="D8327" s="1">
        <f>IF(Tabela1[[#This Row],[promien]]&lt;40000,1,0)</f>
        <v>1</v>
      </c>
      <c r="E8327" s="1">
        <f>IF(Tabela1[[#This Row],[promien]]=40000,1,0)</f>
        <v>0</v>
      </c>
      <c r="F8327" s="1">
        <v>3.1463912573555901</v>
      </c>
      <c r="G8327" s="1">
        <v>4.7986037657969938E-3</v>
      </c>
    </row>
    <row r="8328" spans="1:7">
      <c r="A8328">
        <v>210</v>
      </c>
      <c r="B8328">
        <v>196</v>
      </c>
      <c r="C8328" s="1">
        <f>(Tabela1[[#This Row],[x]]-H$3)*(Tabela1[[#This Row],[x]]-H$3) +(Tabela1[[#This Row],[y]]-H$4)*(Tabela1[[#This Row],[y]]-H$4)</f>
        <v>116</v>
      </c>
      <c r="D8328" s="1">
        <f>IF(Tabela1[[#This Row],[promien]]&lt;40000,1,0)</f>
        <v>1</v>
      </c>
      <c r="E8328" s="1">
        <f>IF(Tabela1[[#This Row],[promien]]=40000,1,0)</f>
        <v>0</v>
      </c>
      <c r="F8328" s="1">
        <v>3.1464937560038426</v>
      </c>
      <c r="G8328" s="1">
        <v>4.9011024140495074E-3</v>
      </c>
    </row>
    <row r="8329" spans="1:7">
      <c r="A8329">
        <v>55</v>
      </c>
      <c r="B8329">
        <v>182</v>
      </c>
      <c r="C8329" s="1">
        <f>(Tabela1[[#This Row],[x]]-H$3)*(Tabela1[[#This Row],[x]]-H$3) +(Tabela1[[#This Row],[y]]-H$4)*(Tabela1[[#This Row],[y]]-H$4)</f>
        <v>21349</v>
      </c>
      <c r="D8329" s="1">
        <f>IF(Tabela1[[#This Row],[promien]]&lt;40000,1,0)</f>
        <v>1</v>
      </c>
      <c r="E8329" s="1">
        <f>IF(Tabela1[[#This Row],[promien]]=40000,1,0)</f>
        <v>0</v>
      </c>
      <c r="F8329" s="1">
        <v>3.1465962300396204</v>
      </c>
      <c r="G8329" s="1">
        <v>5.0035764498272961E-3</v>
      </c>
    </row>
    <row r="8330" spans="1:7">
      <c r="A8330">
        <v>256</v>
      </c>
      <c r="B8330">
        <v>115</v>
      </c>
      <c r="C8330" s="1">
        <f>(Tabela1[[#This Row],[x]]-H$3)*(Tabela1[[#This Row],[x]]-H$3) +(Tabela1[[#This Row],[y]]-H$4)*(Tabela1[[#This Row],[y]]-H$4)</f>
        <v>10361</v>
      </c>
      <c r="D8330" s="1">
        <f>IF(Tabela1[[#This Row],[promien]]&lt;40000,1,0)</f>
        <v>1</v>
      </c>
      <c r="E8330" s="1">
        <f>IF(Tabela1[[#This Row],[promien]]=40000,1,0)</f>
        <v>0</v>
      </c>
      <c r="F8330" s="1">
        <v>3.1466986794717888</v>
      </c>
      <c r="G8330" s="1">
        <v>5.1060258819957127E-3</v>
      </c>
    </row>
    <row r="8331" spans="1:7">
      <c r="A8331">
        <v>247</v>
      </c>
      <c r="B8331">
        <v>359</v>
      </c>
      <c r="C8331" s="1">
        <f>(Tabela1[[#This Row],[x]]-H$3)*(Tabela1[[#This Row],[x]]-H$3) +(Tabela1[[#This Row],[y]]-H$4)*(Tabela1[[#This Row],[y]]-H$4)</f>
        <v>27490</v>
      </c>
      <c r="D8331" s="1">
        <f>IF(Tabela1[[#This Row],[promien]]&lt;40000,1,0)</f>
        <v>1</v>
      </c>
      <c r="E8331" s="1">
        <f>IF(Tabela1[[#This Row],[promien]]=40000,1,0)</f>
        <v>0</v>
      </c>
      <c r="F8331" s="1">
        <v>3.1468011043092066</v>
      </c>
      <c r="G8331" s="1">
        <v>5.2084507194134488E-3</v>
      </c>
    </row>
    <row r="8332" spans="1:7">
      <c r="A8332">
        <v>178</v>
      </c>
      <c r="B8332">
        <v>262</v>
      </c>
      <c r="C8332" s="1">
        <f>(Tabela1[[#This Row],[x]]-H$3)*(Tabela1[[#This Row],[x]]-H$3) +(Tabela1[[#This Row],[y]]-H$4)*(Tabela1[[#This Row],[y]]-H$4)</f>
        <v>4328</v>
      </c>
      <c r="D8332" s="1">
        <f>IF(Tabela1[[#This Row],[promien]]&lt;40000,1,0)</f>
        <v>1</v>
      </c>
      <c r="E8332" s="1">
        <f>IF(Tabela1[[#This Row],[promien]]=40000,1,0)</f>
        <v>0</v>
      </c>
      <c r="F8332" s="1">
        <v>3.1469035045607296</v>
      </c>
      <c r="G8332" s="1">
        <v>5.3108509709365315E-3</v>
      </c>
    </row>
    <row r="8333" spans="1:7">
      <c r="A8333">
        <v>277</v>
      </c>
      <c r="B8333">
        <v>355</v>
      </c>
      <c r="C8333" s="1">
        <f>(Tabela1[[#This Row],[x]]-H$3)*(Tabela1[[#This Row],[x]]-H$3) +(Tabela1[[#This Row],[y]]-H$4)*(Tabela1[[#This Row],[y]]-H$4)</f>
        <v>29954</v>
      </c>
      <c r="D8333" s="1">
        <f>IF(Tabela1[[#This Row],[promien]]&lt;40000,1,0)</f>
        <v>1</v>
      </c>
      <c r="E8333" s="1">
        <f>IF(Tabela1[[#This Row],[promien]]=40000,1,0)</f>
        <v>0</v>
      </c>
      <c r="F8333" s="1">
        <v>3.1470058802352092</v>
      </c>
      <c r="G8333" s="1">
        <v>5.4132266454161027E-3</v>
      </c>
    </row>
    <row r="8334" spans="1:7">
      <c r="A8334">
        <v>46</v>
      </c>
      <c r="B8334">
        <v>1</v>
      </c>
      <c r="C8334" s="1">
        <f>(Tabela1[[#This Row],[x]]-H$3)*(Tabela1[[#This Row],[x]]-H$3) +(Tabela1[[#This Row],[y]]-H$4)*(Tabela1[[#This Row],[y]]-H$4)</f>
        <v>63317</v>
      </c>
      <c r="D8334" s="1">
        <f>IF(Tabela1[[#This Row],[promien]]&lt;40000,1,0)</f>
        <v>0</v>
      </c>
      <c r="E8334" s="1">
        <f>IF(Tabela1[[#This Row],[promien]]=40000,1,0)</f>
        <v>0</v>
      </c>
      <c r="F8334" s="1">
        <v>3.1466282697384211</v>
      </c>
      <c r="G8334" s="1">
        <v>5.0356161486280193E-3</v>
      </c>
    </row>
    <row r="8335" spans="1:7">
      <c r="A8335">
        <v>300</v>
      </c>
      <c r="B8335">
        <v>122</v>
      </c>
      <c r="C8335" s="1">
        <f>(Tabela1[[#This Row],[x]]-H$3)*(Tabela1[[#This Row],[x]]-H$3) +(Tabela1[[#This Row],[y]]-H$4)*(Tabela1[[#This Row],[y]]-H$4)</f>
        <v>16084</v>
      </c>
      <c r="D8335" s="1">
        <f>IF(Tabela1[[#This Row],[promien]]&lt;40000,1,0)</f>
        <v>1</v>
      </c>
      <c r="E8335" s="1">
        <f>IF(Tabela1[[#This Row],[promien]]=40000,1,0)</f>
        <v>0</v>
      </c>
      <c r="F8335" s="1">
        <v>3.1467306538692261</v>
      </c>
      <c r="G8335" s="1">
        <v>5.1380002794330082E-3</v>
      </c>
    </row>
    <row r="8336" spans="1:7">
      <c r="A8336">
        <v>387</v>
      </c>
      <c r="B8336">
        <v>97</v>
      </c>
      <c r="C8336" s="1">
        <f>(Tabela1[[#This Row],[x]]-H$3)*(Tabela1[[#This Row],[x]]-H$3) +(Tabela1[[#This Row],[y]]-H$4)*(Tabela1[[#This Row],[y]]-H$4)</f>
        <v>45578</v>
      </c>
      <c r="D8336" s="1">
        <f>IF(Tabela1[[#This Row],[promien]]&lt;40000,1,0)</f>
        <v>0</v>
      </c>
      <c r="E8336" s="1">
        <f>IF(Tabela1[[#This Row],[promien]]=40000,1,0)</f>
        <v>0</v>
      </c>
      <c r="F8336" s="1">
        <v>3.1463531669865641</v>
      </c>
      <c r="G8336" s="1">
        <v>4.7605133967709712E-3</v>
      </c>
    </row>
    <row r="8337" spans="1:7">
      <c r="A8337">
        <v>346</v>
      </c>
      <c r="B8337">
        <v>259</v>
      </c>
      <c r="C8337" s="1">
        <f>(Tabela1[[#This Row],[x]]-H$3)*(Tabela1[[#This Row],[x]]-H$3) +(Tabela1[[#This Row],[y]]-H$4)*(Tabela1[[#This Row],[y]]-H$4)</f>
        <v>24797</v>
      </c>
      <c r="D8337" s="1">
        <f>IF(Tabela1[[#This Row],[promien]]&lt;40000,1,0)</f>
        <v>1</v>
      </c>
      <c r="E8337" s="1">
        <f>IF(Tabela1[[#This Row],[promien]]=40000,1,0)</f>
        <v>0</v>
      </c>
      <c r="F8337" s="1">
        <v>3.1464555595537962</v>
      </c>
      <c r="G8337" s="1">
        <v>4.8629059640030725E-3</v>
      </c>
    </row>
    <row r="8338" spans="1:7">
      <c r="A8338">
        <v>63</v>
      </c>
      <c r="B8338">
        <v>296</v>
      </c>
      <c r="C8338" s="1">
        <f>(Tabela1[[#This Row],[x]]-H$3)*(Tabela1[[#This Row],[x]]-H$3) +(Tabela1[[#This Row],[y]]-H$4)*(Tabela1[[#This Row],[y]]-H$4)</f>
        <v>27985</v>
      </c>
      <c r="D8338" s="1">
        <f>IF(Tabela1[[#This Row],[promien]]&lt;40000,1,0)</f>
        <v>1</v>
      </c>
      <c r="E8338" s="1">
        <f>IF(Tabela1[[#This Row],[promien]]=40000,1,0)</f>
        <v>0</v>
      </c>
      <c r="F8338" s="1">
        <v>3.1465579275605662</v>
      </c>
      <c r="G8338" s="1">
        <v>4.9652739707730653E-3</v>
      </c>
    </row>
    <row r="8339" spans="1:7">
      <c r="A8339">
        <v>19</v>
      </c>
      <c r="B8339">
        <v>121</v>
      </c>
      <c r="C8339" s="1">
        <f>(Tabela1[[#This Row],[x]]-H$3)*(Tabela1[[#This Row],[x]]-H$3) +(Tabela1[[#This Row],[y]]-H$4)*(Tabela1[[#This Row],[y]]-H$4)</f>
        <v>39002</v>
      </c>
      <c r="D8339" s="1">
        <f>IF(Tabela1[[#This Row],[promien]]&lt;40000,1,0)</f>
        <v>1</v>
      </c>
      <c r="E8339" s="1">
        <f>IF(Tabela1[[#This Row],[promien]]=40000,1,0)</f>
        <v>0</v>
      </c>
      <c r="F8339" s="1">
        <v>3.1466602710157092</v>
      </c>
      <c r="G8339" s="1">
        <v>5.0676174259161044E-3</v>
      </c>
    </row>
    <row r="8340" spans="1:7">
      <c r="A8340">
        <v>48</v>
      </c>
      <c r="B8340">
        <v>187</v>
      </c>
      <c r="C8340" s="1">
        <f>(Tabela1[[#This Row],[x]]-H$3)*(Tabela1[[#This Row],[x]]-H$3) +(Tabela1[[#This Row],[y]]-H$4)*(Tabela1[[#This Row],[y]]-H$4)</f>
        <v>23273</v>
      </c>
      <c r="D8340" s="1">
        <f>IF(Tabela1[[#This Row],[promien]]&lt;40000,1,0)</f>
        <v>1</v>
      </c>
      <c r="E8340" s="1">
        <f>IF(Tabela1[[#This Row],[promien]]=40000,1,0)</f>
        <v>0</v>
      </c>
      <c r="F8340" s="1">
        <v>3.1467625899280574</v>
      </c>
      <c r="G8340" s="1">
        <v>5.169936338264236E-3</v>
      </c>
    </row>
    <row r="8341" spans="1:7">
      <c r="A8341">
        <v>168</v>
      </c>
      <c r="B8341">
        <v>206</v>
      </c>
      <c r="C8341" s="1">
        <f>(Tabela1[[#This Row],[x]]-H$3)*(Tabela1[[#This Row],[x]]-H$3) +(Tabela1[[#This Row],[y]]-H$4)*(Tabela1[[#This Row],[y]]-H$4)</f>
        <v>1060</v>
      </c>
      <c r="D8341" s="1">
        <f>IF(Tabela1[[#This Row],[promien]]&lt;40000,1,0)</f>
        <v>1</v>
      </c>
      <c r="E8341" s="1">
        <f>IF(Tabela1[[#This Row],[promien]]=40000,1,0)</f>
        <v>0</v>
      </c>
      <c r="F8341" s="1">
        <v>3.1468648843064382</v>
      </c>
      <c r="G8341" s="1">
        <v>5.2722307166450655E-3</v>
      </c>
    </row>
    <row r="8342" spans="1:7">
      <c r="A8342">
        <v>73</v>
      </c>
      <c r="B8342">
        <v>94</v>
      </c>
      <c r="C8342" s="1">
        <f>(Tabela1[[#This Row],[x]]-H$3)*(Tabela1[[#This Row],[x]]-H$3) +(Tabela1[[#This Row],[y]]-H$4)*(Tabela1[[#This Row],[y]]-H$4)</f>
        <v>27365</v>
      </c>
      <c r="D8342" s="1">
        <f>IF(Tabela1[[#This Row],[promien]]&lt;40000,1,0)</f>
        <v>1</v>
      </c>
      <c r="E8342" s="1">
        <f>IF(Tabela1[[#This Row],[promien]]=40000,1,0)</f>
        <v>0</v>
      </c>
      <c r="F8342" s="1">
        <v>3.146967154159674</v>
      </c>
      <c r="G8342" s="1">
        <v>5.374500569880869E-3</v>
      </c>
    </row>
    <row r="8343" spans="1:7">
      <c r="A8343">
        <v>103</v>
      </c>
      <c r="B8343">
        <v>316</v>
      </c>
      <c r="C8343" s="1">
        <f>(Tabela1[[#This Row],[x]]-H$3)*(Tabela1[[#This Row],[x]]-H$3) +(Tabela1[[#This Row],[y]]-H$4)*(Tabela1[[#This Row],[y]]-H$4)</f>
        <v>22865</v>
      </c>
      <c r="D8343" s="1">
        <f>IF(Tabela1[[#This Row],[promien]]&lt;40000,1,0)</f>
        <v>1</v>
      </c>
      <c r="E8343" s="1">
        <f>IF(Tabela1[[#This Row],[promien]]=40000,1,0)</f>
        <v>0</v>
      </c>
      <c r="F8343" s="1">
        <v>3.1470693994965839</v>
      </c>
      <c r="G8343" s="1">
        <v>5.4767459067908142E-3</v>
      </c>
    </row>
    <row r="8344" spans="1:7">
      <c r="A8344">
        <v>382</v>
      </c>
      <c r="B8344">
        <v>15</v>
      </c>
      <c r="C8344" s="1">
        <f>(Tabela1[[#This Row],[x]]-H$3)*(Tabela1[[#This Row],[x]]-H$3) +(Tabela1[[#This Row],[y]]-H$4)*(Tabela1[[#This Row],[y]]-H$4)</f>
        <v>67349</v>
      </c>
      <c r="D8344" s="1">
        <f>IF(Tabela1[[#This Row],[promien]]&lt;40000,1,0)</f>
        <v>0</v>
      </c>
      <c r="E8344" s="1">
        <f>IF(Tabela1[[#This Row],[promien]]=40000,1,0)</f>
        <v>0</v>
      </c>
      <c r="F8344" s="1">
        <v>3.1466922339405561</v>
      </c>
      <c r="G8344" s="1">
        <v>5.0995803507629667E-3</v>
      </c>
    </row>
    <row r="8345" spans="1:7">
      <c r="A8345">
        <v>141</v>
      </c>
      <c r="B8345">
        <v>105</v>
      </c>
      <c r="C8345" s="1">
        <f>(Tabela1[[#This Row],[x]]-H$3)*(Tabela1[[#This Row],[x]]-H$3) +(Tabela1[[#This Row],[y]]-H$4)*(Tabela1[[#This Row],[y]]-H$4)</f>
        <v>12506</v>
      </c>
      <c r="D8345" s="1">
        <f>IF(Tabela1[[#This Row],[promien]]&lt;40000,1,0)</f>
        <v>1</v>
      </c>
      <c r="E8345" s="1">
        <f>IF(Tabela1[[#This Row],[promien]]=40000,1,0)</f>
        <v>0</v>
      </c>
      <c r="F8345" s="1">
        <v>3.1467944877171958</v>
      </c>
      <c r="G8345" s="1">
        <v>5.2018341274027158E-3</v>
      </c>
    </row>
    <row r="8346" spans="1:7">
      <c r="A8346">
        <v>0</v>
      </c>
      <c r="B8346">
        <v>244</v>
      </c>
      <c r="C8346" s="1">
        <f>(Tabela1[[#This Row],[x]]-H$3)*(Tabela1[[#This Row],[x]]-H$3) +(Tabela1[[#This Row],[y]]-H$4)*(Tabela1[[#This Row],[y]]-H$4)</f>
        <v>41936</v>
      </c>
      <c r="D8346" s="1">
        <f>IF(Tabela1[[#This Row],[promien]]&lt;40000,1,0)</f>
        <v>0</v>
      </c>
      <c r="E8346" s="1">
        <f>IF(Tabela1[[#This Row],[promien]]=40000,1,0)</f>
        <v>0</v>
      </c>
      <c r="F8346" s="1">
        <v>3.1464174454828662</v>
      </c>
      <c r="G8346" s="1">
        <v>4.8247918930730549E-3</v>
      </c>
    </row>
    <row r="8347" spans="1:7">
      <c r="A8347">
        <v>87</v>
      </c>
      <c r="B8347">
        <v>219</v>
      </c>
      <c r="C8347" s="1">
        <f>(Tabela1[[#This Row],[x]]-H$3)*(Tabela1[[#This Row],[x]]-H$3) +(Tabela1[[#This Row],[y]]-H$4)*(Tabela1[[#This Row],[y]]-H$4)</f>
        <v>13130</v>
      </c>
      <c r="D8347" s="1">
        <f>IF(Tabela1[[#This Row],[promien]]&lt;40000,1,0)</f>
        <v>1</v>
      </c>
      <c r="E8347" s="1">
        <f>IF(Tabela1[[#This Row],[promien]]=40000,1,0)</f>
        <v>0</v>
      </c>
      <c r="F8347" s="1">
        <v>3.1465197076794058</v>
      </c>
      <c r="G8347" s="1">
        <v>4.9270540896126924E-3</v>
      </c>
    </row>
    <row r="8348" spans="1:7">
      <c r="A8348">
        <v>295</v>
      </c>
      <c r="B8348">
        <v>115</v>
      </c>
      <c r="C8348" s="1">
        <f>(Tabela1[[#This Row],[x]]-H$3)*(Tabela1[[#This Row],[x]]-H$3) +(Tabela1[[#This Row],[y]]-H$4)*(Tabela1[[#This Row],[y]]-H$4)</f>
        <v>16250</v>
      </c>
      <c r="D8348" s="1">
        <f>IF(Tabela1[[#This Row],[promien]]&lt;40000,1,0)</f>
        <v>1</v>
      </c>
      <c r="E8348" s="1">
        <f>IF(Tabela1[[#This Row],[promien]]=40000,1,0)</f>
        <v>0</v>
      </c>
      <c r="F8348" s="1">
        <v>3.1466219453761379</v>
      </c>
      <c r="G8348" s="1">
        <v>5.0292917863448139E-3</v>
      </c>
    </row>
    <row r="8349" spans="1:7">
      <c r="A8349">
        <v>156</v>
      </c>
      <c r="B8349">
        <v>305</v>
      </c>
      <c r="C8349" s="1">
        <f>(Tabela1[[#This Row],[x]]-H$3)*(Tabela1[[#This Row],[x]]-H$3) +(Tabela1[[#This Row],[y]]-H$4)*(Tabela1[[#This Row],[y]]-H$4)</f>
        <v>12961</v>
      </c>
      <c r="D8349" s="1">
        <f>IF(Tabela1[[#This Row],[promien]]&lt;40000,1,0)</f>
        <v>1</v>
      </c>
      <c r="E8349" s="1">
        <f>IF(Tabela1[[#This Row],[promien]]=40000,1,0)</f>
        <v>0</v>
      </c>
      <c r="F8349" s="1">
        <v>3.1467241585818662</v>
      </c>
      <c r="G8349" s="1">
        <v>5.1315049920730438E-3</v>
      </c>
    </row>
    <row r="8350" spans="1:7">
      <c r="A8350">
        <v>340</v>
      </c>
      <c r="B8350">
        <v>389</v>
      </c>
      <c r="C8350" s="1">
        <f>(Tabela1[[#This Row],[x]]-H$3)*(Tabela1[[#This Row],[x]]-H$3) +(Tabela1[[#This Row],[y]]-H$4)*(Tabela1[[#This Row],[y]]-H$4)</f>
        <v>55321</v>
      </c>
      <c r="D8350" s="1">
        <f>IF(Tabela1[[#This Row],[promien]]&lt;40000,1,0)</f>
        <v>0</v>
      </c>
      <c r="E8350" s="1">
        <f>IF(Tabela1[[#This Row],[promien]]=40000,1,0)</f>
        <v>0</v>
      </c>
      <c r="F8350" s="1">
        <v>3.1463473053892215</v>
      </c>
      <c r="G8350" s="1">
        <v>4.7546517994283555E-3</v>
      </c>
    </row>
    <row r="8351" spans="1:7">
      <c r="A8351">
        <v>248</v>
      </c>
      <c r="B8351">
        <v>38</v>
      </c>
      <c r="C8351" s="1">
        <f>(Tabela1[[#This Row],[x]]-H$3)*(Tabela1[[#This Row],[x]]-H$3) +(Tabela1[[#This Row],[y]]-H$4)*(Tabela1[[#This Row],[y]]-H$4)</f>
        <v>28548</v>
      </c>
      <c r="D8351" s="1">
        <f>IF(Tabela1[[#This Row],[promien]]&lt;40000,1,0)</f>
        <v>1</v>
      </c>
      <c r="E8351" s="1">
        <f>IF(Tabela1[[#This Row],[promien]]=40000,1,0)</f>
        <v>0</v>
      </c>
      <c r="F8351" s="1">
        <v>3.1464495270027544</v>
      </c>
      <c r="G8351" s="1">
        <v>4.8568734129612601E-3</v>
      </c>
    </row>
    <row r="8352" spans="1:7">
      <c r="A8352">
        <v>94</v>
      </c>
      <c r="B8352">
        <v>237</v>
      </c>
      <c r="C8352" s="1">
        <f>(Tabela1[[#This Row],[x]]-H$3)*(Tabela1[[#This Row],[x]]-H$3) +(Tabela1[[#This Row],[y]]-H$4)*(Tabela1[[#This Row],[y]]-H$4)</f>
        <v>12605</v>
      </c>
      <c r="D8352" s="1">
        <f>IF(Tabela1[[#This Row],[promien]]&lt;40000,1,0)</f>
        <v>1</v>
      </c>
      <c r="E8352" s="1">
        <f>IF(Tabela1[[#This Row],[promien]]=40000,1,0)</f>
        <v>0</v>
      </c>
      <c r="F8352" s="1">
        <v>3.146551724137931</v>
      </c>
      <c r="G8352" s="1">
        <v>4.9590705481379338E-3</v>
      </c>
    </row>
    <row r="8353" spans="1:7">
      <c r="A8353">
        <v>125</v>
      </c>
      <c r="B8353">
        <v>125</v>
      </c>
      <c r="C8353" s="1">
        <f>(Tabela1[[#This Row],[x]]-H$3)*(Tabela1[[#This Row],[x]]-H$3) +(Tabela1[[#This Row],[y]]-H$4)*(Tabela1[[#This Row],[y]]-H$4)</f>
        <v>11250</v>
      </c>
      <c r="D8353" s="1">
        <f>IF(Tabela1[[#This Row],[promien]]&lt;40000,1,0)</f>
        <v>1</v>
      </c>
      <c r="E8353" s="1">
        <f>IF(Tabela1[[#This Row],[promien]]=40000,1,0)</f>
        <v>0</v>
      </c>
      <c r="F8353" s="1">
        <v>3.1466538968035436</v>
      </c>
      <c r="G8353" s="1">
        <v>5.0612432137504548E-3</v>
      </c>
    </row>
    <row r="8354" spans="1:7">
      <c r="A8354">
        <v>207</v>
      </c>
      <c r="B8354">
        <v>51</v>
      </c>
      <c r="C8354" s="1">
        <f>(Tabela1[[#This Row],[x]]-H$3)*(Tabela1[[#This Row],[x]]-H$3) +(Tabela1[[#This Row],[y]]-H$4)*(Tabela1[[#This Row],[y]]-H$4)</f>
        <v>22250</v>
      </c>
      <c r="D8354" s="1">
        <f>IF(Tabela1[[#This Row],[promien]]&lt;40000,1,0)</f>
        <v>1</v>
      </c>
      <c r="E8354" s="1">
        <f>IF(Tabela1[[#This Row],[promien]]=40000,1,0)</f>
        <v>0</v>
      </c>
      <c r="F8354" s="1">
        <v>3.1467560450083791</v>
      </c>
      <c r="G8354" s="1">
        <v>5.1633914185860164E-3</v>
      </c>
    </row>
    <row r="8355" spans="1:7">
      <c r="A8355">
        <v>167</v>
      </c>
      <c r="B8355">
        <v>239</v>
      </c>
      <c r="C8355" s="1">
        <f>(Tabela1[[#This Row],[x]]-H$3)*(Tabela1[[#This Row],[x]]-H$3) +(Tabela1[[#This Row],[y]]-H$4)*(Tabela1[[#This Row],[y]]-H$4)</f>
        <v>2610</v>
      </c>
      <c r="D8355" s="1">
        <f>IF(Tabela1[[#This Row],[promien]]&lt;40000,1,0)</f>
        <v>1</v>
      </c>
      <c r="E8355" s="1">
        <f>IF(Tabela1[[#This Row],[promien]]=40000,1,0)</f>
        <v>0</v>
      </c>
      <c r="F8355" s="1">
        <v>3.1468581687612209</v>
      </c>
      <c r="G8355" s="1">
        <v>5.2655151714278148E-3</v>
      </c>
    </row>
    <row r="8356" spans="1:7">
      <c r="A8356">
        <v>41</v>
      </c>
      <c r="B8356">
        <v>181</v>
      </c>
      <c r="C8356" s="1">
        <f>(Tabela1[[#This Row],[x]]-H$3)*(Tabela1[[#This Row],[x]]-H$3) +(Tabela1[[#This Row],[y]]-H$4)*(Tabela1[[#This Row],[y]]-H$4)</f>
        <v>25642</v>
      </c>
      <c r="D8356" s="1">
        <f>IF(Tabela1[[#This Row],[promien]]&lt;40000,1,0)</f>
        <v>1</v>
      </c>
      <c r="E8356" s="1">
        <f>IF(Tabela1[[#This Row],[promien]]=40000,1,0)</f>
        <v>0</v>
      </c>
      <c r="F8356" s="1">
        <v>3.1469602680708473</v>
      </c>
      <c r="G8356" s="1">
        <v>5.3676144810541615E-3</v>
      </c>
    </row>
    <row r="8357" spans="1:7">
      <c r="A8357">
        <v>38</v>
      </c>
      <c r="B8357">
        <v>306</v>
      </c>
      <c r="C8357" s="1">
        <f>(Tabela1[[#This Row],[x]]-H$3)*(Tabela1[[#This Row],[x]]-H$3) +(Tabela1[[#This Row],[y]]-H$4)*(Tabela1[[#This Row],[y]]-H$4)</f>
        <v>37480</v>
      </c>
      <c r="D8357" s="1">
        <f>IF(Tabela1[[#This Row],[promien]]&lt;40000,1,0)</f>
        <v>1</v>
      </c>
      <c r="E8357" s="1">
        <f>IF(Tabela1[[#This Row],[promien]]=40000,1,0)</f>
        <v>0</v>
      </c>
      <c r="F8357" s="1">
        <v>3.1470623429460334</v>
      </c>
      <c r="G8357" s="1">
        <v>5.4696893562402593E-3</v>
      </c>
    </row>
    <row r="8358" spans="1:7">
      <c r="A8358">
        <v>112</v>
      </c>
      <c r="B8358">
        <v>393</v>
      </c>
      <c r="C8358" s="1">
        <f>(Tabela1[[#This Row],[x]]-H$3)*(Tabela1[[#This Row],[x]]-H$3) +(Tabela1[[#This Row],[y]]-H$4)*(Tabela1[[#This Row],[y]]-H$4)</f>
        <v>44993</v>
      </c>
      <c r="D8358" s="1">
        <f>IF(Tabela1[[#This Row],[promien]]&lt;40000,1,0)</f>
        <v>0</v>
      </c>
      <c r="E8358" s="1">
        <f>IF(Tabela1[[#This Row],[promien]]=40000,1,0)</f>
        <v>0</v>
      </c>
      <c r="F8358" s="1">
        <v>3.1466858100023929</v>
      </c>
      <c r="G8358" s="1">
        <v>5.0931564125997753E-3</v>
      </c>
    </row>
    <row r="8359" spans="1:7">
      <c r="A8359">
        <v>289</v>
      </c>
      <c r="B8359">
        <v>233</v>
      </c>
      <c r="C8359" s="1">
        <f>(Tabela1[[#This Row],[x]]-H$3)*(Tabela1[[#This Row],[x]]-H$3) +(Tabela1[[#This Row],[y]]-H$4)*(Tabela1[[#This Row],[y]]-H$4)</f>
        <v>9010</v>
      </c>
      <c r="D8359" s="1">
        <f>IF(Tabela1[[#This Row],[promien]]&lt;40000,1,0)</f>
        <v>1</v>
      </c>
      <c r="E8359" s="1">
        <f>IF(Tabela1[[#This Row],[promien]]=40000,1,0)</f>
        <v>0</v>
      </c>
      <c r="F8359" s="1">
        <v>3.1467878932886708</v>
      </c>
      <c r="G8359" s="1">
        <v>5.1952396988776961E-3</v>
      </c>
    </row>
    <row r="8360" spans="1:7">
      <c r="A8360">
        <v>220</v>
      </c>
      <c r="B8360">
        <v>321</v>
      </c>
      <c r="C8360" s="1">
        <f>(Tabela1[[#This Row],[x]]-H$3)*(Tabela1[[#This Row],[x]]-H$3) +(Tabela1[[#This Row],[y]]-H$4)*(Tabela1[[#This Row],[y]]-H$4)</f>
        <v>15041</v>
      </c>
      <c r="D8360" s="1">
        <f>IF(Tabela1[[#This Row],[promien]]&lt;40000,1,0)</f>
        <v>1</v>
      </c>
      <c r="E8360" s="1">
        <f>IF(Tabela1[[#This Row],[promien]]=40000,1,0)</f>
        <v>0</v>
      </c>
      <c r="F8360" s="1">
        <v>3.14688995215311</v>
      </c>
      <c r="G8360" s="1">
        <v>5.2972985633168435E-3</v>
      </c>
    </row>
    <row r="8361" spans="1:7">
      <c r="A8361">
        <v>320</v>
      </c>
      <c r="B8361">
        <v>266</v>
      </c>
      <c r="C8361" s="1">
        <f>(Tabela1[[#This Row],[x]]-H$3)*(Tabela1[[#This Row],[x]]-H$3) +(Tabela1[[#This Row],[y]]-H$4)*(Tabela1[[#This Row],[y]]-H$4)</f>
        <v>18756</v>
      </c>
      <c r="D8361" s="1">
        <f>IF(Tabela1[[#This Row],[promien]]&lt;40000,1,0)</f>
        <v>1</v>
      </c>
      <c r="E8361" s="1">
        <f>IF(Tabela1[[#This Row],[promien]]=40000,1,0)</f>
        <v>0</v>
      </c>
      <c r="F8361" s="1">
        <v>3.1469919866044731</v>
      </c>
      <c r="G8361" s="1">
        <v>5.3993330146799856E-3</v>
      </c>
    </row>
    <row r="8362" spans="1:7">
      <c r="A8362">
        <v>159</v>
      </c>
      <c r="B8362">
        <v>219</v>
      </c>
      <c r="C8362" s="1">
        <f>(Tabela1[[#This Row],[x]]-H$3)*(Tabela1[[#This Row],[x]]-H$3) +(Tabela1[[#This Row],[y]]-H$4)*(Tabela1[[#This Row],[y]]-H$4)</f>
        <v>2042</v>
      </c>
      <c r="D8362" s="1">
        <f>IF(Tabela1[[#This Row],[promien]]&lt;40000,1,0)</f>
        <v>1</v>
      </c>
      <c r="E8362" s="1">
        <f>IF(Tabela1[[#This Row],[promien]]=40000,1,0)</f>
        <v>0</v>
      </c>
      <c r="F8362" s="1">
        <v>3.1470939966515186</v>
      </c>
      <c r="G8362" s="1">
        <v>5.50134306172545E-3</v>
      </c>
    </row>
    <row r="8363" spans="1:7">
      <c r="A8363">
        <v>361</v>
      </c>
      <c r="B8363">
        <v>87</v>
      </c>
      <c r="C8363" s="1">
        <f>(Tabela1[[#This Row],[x]]-H$3)*(Tabela1[[#This Row],[x]]-H$3) +(Tabela1[[#This Row],[y]]-H$4)*(Tabela1[[#This Row],[y]]-H$4)</f>
        <v>38690</v>
      </c>
      <c r="D8363" s="1">
        <f>IF(Tabela1[[#This Row],[promien]]&lt;40000,1,0)</f>
        <v>1</v>
      </c>
      <c r="E8363" s="1">
        <f>IF(Tabela1[[#This Row],[promien]]=40000,1,0)</f>
        <v>0</v>
      </c>
      <c r="F8363" s="1">
        <v>3.1471959823030011</v>
      </c>
      <c r="G8363" s="1">
        <v>5.6033287132080112E-3</v>
      </c>
    </row>
    <row r="8364" spans="1:7">
      <c r="A8364">
        <v>301</v>
      </c>
      <c r="B8364">
        <v>34</v>
      </c>
      <c r="C8364" s="1">
        <f>(Tabela1[[#This Row],[x]]-H$3)*(Tabela1[[#This Row],[x]]-H$3) +(Tabela1[[#This Row],[y]]-H$4)*(Tabela1[[#This Row],[y]]-H$4)</f>
        <v>37757</v>
      </c>
      <c r="D8364" s="1">
        <f>IF(Tabela1[[#This Row],[promien]]&lt;40000,1,0)</f>
        <v>1</v>
      </c>
      <c r="E8364" s="1">
        <f>IF(Tabela1[[#This Row],[promien]]=40000,1,0)</f>
        <v>0</v>
      </c>
      <c r="F8364" s="1">
        <v>3.1472979435676711</v>
      </c>
      <c r="G8364" s="1">
        <v>5.7052899778780031E-3</v>
      </c>
    </row>
    <row r="8365" spans="1:7">
      <c r="A8365">
        <v>199</v>
      </c>
      <c r="B8365">
        <v>382</v>
      </c>
      <c r="C8365" s="1">
        <f>(Tabela1[[#This Row],[x]]-H$3)*(Tabela1[[#This Row],[x]]-H$3) +(Tabela1[[#This Row],[y]]-H$4)*(Tabela1[[#This Row],[y]]-H$4)</f>
        <v>33125</v>
      </c>
      <c r="D8365" s="1">
        <f>IF(Tabela1[[#This Row],[promien]]&lt;40000,1,0)</f>
        <v>1</v>
      </c>
      <c r="E8365" s="1">
        <f>IF(Tabela1[[#This Row],[promien]]=40000,1,0)</f>
        <v>0</v>
      </c>
      <c r="F8365" s="1">
        <v>3.1473998804542735</v>
      </c>
      <c r="G8365" s="1">
        <v>5.8072268644804304E-3</v>
      </c>
    </row>
    <row r="8366" spans="1:7">
      <c r="A8366">
        <v>233</v>
      </c>
      <c r="B8366">
        <v>399</v>
      </c>
      <c r="C8366" s="1">
        <f>(Tabela1[[#This Row],[x]]-H$3)*(Tabela1[[#This Row],[x]]-H$3) +(Tabela1[[#This Row],[y]]-H$4)*(Tabela1[[#This Row],[y]]-H$4)</f>
        <v>40690</v>
      </c>
      <c r="D8366" s="1">
        <f>IF(Tabela1[[#This Row],[promien]]&lt;40000,1,0)</f>
        <v>0</v>
      </c>
      <c r="E8366" s="1">
        <f>IF(Tabela1[[#This Row],[promien]]=40000,1,0)</f>
        <v>0</v>
      </c>
      <c r="F8366" s="1">
        <v>3.14702366722448</v>
      </c>
      <c r="G8366" s="1">
        <v>5.4310136346868987E-3</v>
      </c>
    </row>
    <row r="8367" spans="1:7">
      <c r="A8367">
        <v>322</v>
      </c>
      <c r="B8367">
        <v>24</v>
      </c>
      <c r="C8367" s="1">
        <f>(Tabela1[[#This Row],[x]]-H$3)*(Tabela1[[#This Row],[x]]-H$3) +(Tabela1[[#This Row],[y]]-H$4)*(Tabela1[[#This Row],[y]]-H$4)</f>
        <v>45860</v>
      </c>
      <c r="D8367" s="1">
        <f>IF(Tabela1[[#This Row],[promien]]&lt;40000,1,0)</f>
        <v>0</v>
      </c>
      <c r="E8367" s="1">
        <f>IF(Tabela1[[#This Row],[promien]]=40000,1,0)</f>
        <v>0</v>
      </c>
      <c r="F8367" s="1">
        <v>3.146647543922553</v>
      </c>
      <c r="G8367" s="1">
        <v>5.0548903327598538E-3</v>
      </c>
    </row>
    <row r="8368" spans="1:7">
      <c r="A8368">
        <v>86</v>
      </c>
      <c r="B8368">
        <v>193</v>
      </c>
      <c r="C8368" s="1">
        <f>(Tabela1[[#This Row],[x]]-H$3)*(Tabela1[[#This Row],[x]]-H$3) +(Tabela1[[#This Row],[y]]-H$4)*(Tabela1[[#This Row],[y]]-H$4)</f>
        <v>13045</v>
      </c>
      <c r="D8368" s="1">
        <f>IF(Tabela1[[#This Row],[promien]]&lt;40000,1,0)</f>
        <v>1</v>
      </c>
      <c r="E8368" s="1">
        <f>IF(Tabela1[[#This Row],[promien]]=40000,1,0)</f>
        <v>0</v>
      </c>
      <c r="F8368" s="1">
        <v>3.1467495219885278</v>
      </c>
      <c r="G8368" s="1">
        <v>5.1568683987346375E-3</v>
      </c>
    </row>
    <row r="8369" spans="1:7">
      <c r="A8369">
        <v>315</v>
      </c>
      <c r="B8369">
        <v>149</v>
      </c>
      <c r="C8369" s="1">
        <f>(Tabela1[[#This Row],[x]]-H$3)*(Tabela1[[#This Row],[x]]-H$3) +(Tabela1[[#This Row],[y]]-H$4)*(Tabela1[[#This Row],[y]]-H$4)</f>
        <v>15826</v>
      </c>
      <c r="D8369" s="1">
        <f>IF(Tabela1[[#This Row],[promien]]&lt;40000,1,0)</f>
        <v>1</v>
      </c>
      <c r="E8369" s="1">
        <f>IF(Tabela1[[#This Row],[promien]]=40000,1,0)</f>
        <v>0</v>
      </c>
      <c r="F8369" s="1">
        <v>3.146851475684072</v>
      </c>
      <c r="G8369" s="1">
        <v>5.2588220942788588E-3</v>
      </c>
    </row>
    <row r="8370" spans="1:7">
      <c r="A8370">
        <v>172</v>
      </c>
      <c r="B8370">
        <v>346</v>
      </c>
      <c r="C8370" s="1">
        <f>(Tabela1[[#This Row],[x]]-H$3)*(Tabela1[[#This Row],[x]]-H$3) +(Tabela1[[#This Row],[y]]-H$4)*(Tabela1[[#This Row],[y]]-H$4)</f>
        <v>22100</v>
      </c>
      <c r="D8370" s="1">
        <f>IF(Tabela1[[#This Row],[promien]]&lt;40000,1,0)</f>
        <v>1</v>
      </c>
      <c r="E8370" s="1">
        <f>IF(Tabela1[[#This Row],[promien]]=40000,1,0)</f>
        <v>0</v>
      </c>
      <c r="F8370" s="1">
        <v>3.1469534050179213</v>
      </c>
      <c r="G8370" s="1">
        <v>5.3607514281281965E-3</v>
      </c>
    </row>
    <row r="8371" spans="1:7">
      <c r="A8371">
        <v>381</v>
      </c>
      <c r="B8371">
        <v>294</v>
      </c>
      <c r="C8371" s="1">
        <f>(Tabela1[[#This Row],[x]]-H$3)*(Tabela1[[#This Row],[x]]-H$3) +(Tabela1[[#This Row],[y]]-H$4)*(Tabela1[[#This Row],[y]]-H$4)</f>
        <v>41597</v>
      </c>
      <c r="D8371" s="1">
        <f>IF(Tabela1[[#This Row],[promien]]&lt;40000,1,0)</f>
        <v>0</v>
      </c>
      <c r="E8371" s="1">
        <f>IF(Tabela1[[#This Row],[promien]]=40000,1,0)</f>
        <v>0</v>
      </c>
      <c r="F8371" s="1">
        <v>3.1465774698363398</v>
      </c>
      <c r="G8371" s="1">
        <v>4.984816246546675E-3</v>
      </c>
    </row>
    <row r="8372" spans="1:7">
      <c r="A8372">
        <v>215</v>
      </c>
      <c r="B8372">
        <v>0</v>
      </c>
      <c r="C8372" s="1">
        <f>(Tabela1[[#This Row],[x]]-H$3)*(Tabela1[[#This Row],[x]]-H$3) +(Tabela1[[#This Row],[y]]-H$4)*(Tabela1[[#This Row],[y]]-H$4)</f>
        <v>40225</v>
      </c>
      <c r="D8372" s="1">
        <f>IF(Tabela1[[#This Row],[promien]]&lt;40000,1,0)</f>
        <v>0</v>
      </c>
      <c r="E8372" s="1">
        <f>IF(Tabela1[[#This Row],[promien]]=40000,1,0)</f>
        <v>0</v>
      </c>
      <c r="F8372" s="1">
        <v>3.1462016244624942</v>
      </c>
      <c r="G8372" s="1">
        <v>4.6089708727010681E-3</v>
      </c>
    </row>
    <row r="8373" spans="1:7">
      <c r="A8373">
        <v>270</v>
      </c>
      <c r="B8373">
        <v>33</v>
      </c>
      <c r="C8373" s="1">
        <f>(Tabela1[[#This Row],[x]]-H$3)*(Tabela1[[#This Row],[x]]-H$3) +(Tabela1[[#This Row],[y]]-H$4)*(Tabela1[[#This Row],[y]]-H$4)</f>
        <v>32789</v>
      </c>
      <c r="D8373" s="1">
        <f>IF(Tabela1[[#This Row],[promien]]&lt;40000,1,0)</f>
        <v>1</v>
      </c>
      <c r="E8373" s="1">
        <f>IF(Tabela1[[#This Row],[promien]]=40000,1,0)</f>
        <v>0</v>
      </c>
      <c r="F8373" s="1">
        <v>3.1463035948883316</v>
      </c>
      <c r="G8373" s="1">
        <v>4.7109412985384402E-3</v>
      </c>
    </row>
    <row r="8374" spans="1:7">
      <c r="A8374">
        <v>314</v>
      </c>
      <c r="B8374">
        <v>292</v>
      </c>
      <c r="C8374" s="1">
        <f>(Tabela1[[#This Row],[x]]-H$3)*(Tabela1[[#This Row],[x]]-H$3) +(Tabela1[[#This Row],[y]]-H$4)*(Tabela1[[#This Row],[y]]-H$4)</f>
        <v>21460</v>
      </c>
      <c r="D8374" s="1">
        <f>IF(Tabela1[[#This Row],[promien]]&lt;40000,1,0)</f>
        <v>1</v>
      </c>
      <c r="E8374" s="1">
        <f>IF(Tabela1[[#This Row],[promien]]=40000,1,0)</f>
        <v>0</v>
      </c>
      <c r="F8374" s="1">
        <v>3.1464055409601146</v>
      </c>
      <c r="G8374" s="1">
        <v>4.8128873703214836E-3</v>
      </c>
    </row>
    <row r="8375" spans="1:7">
      <c r="A8375">
        <v>62</v>
      </c>
      <c r="B8375">
        <v>17</v>
      </c>
      <c r="C8375" s="1">
        <f>(Tabela1[[#This Row],[x]]-H$3)*(Tabela1[[#This Row],[x]]-H$3) +(Tabela1[[#This Row],[y]]-H$4)*(Tabela1[[#This Row],[y]]-H$4)</f>
        <v>52533</v>
      </c>
      <c r="D8375" s="1">
        <f>IF(Tabela1[[#This Row],[promien]]&lt;40000,1,0)</f>
        <v>0</v>
      </c>
      <c r="E8375" s="1">
        <f>IF(Tabela1[[#This Row],[promien]]=40000,1,0)</f>
        <v>0</v>
      </c>
      <c r="F8375" s="1">
        <v>3.1460298507462685</v>
      </c>
      <c r="G8375" s="1">
        <v>4.437197156475392E-3</v>
      </c>
    </row>
    <row r="8376" spans="1:7">
      <c r="A8376">
        <v>122</v>
      </c>
      <c r="B8376">
        <v>336</v>
      </c>
      <c r="C8376" s="1">
        <f>(Tabela1[[#This Row],[x]]-H$3)*(Tabela1[[#This Row],[x]]-H$3) +(Tabela1[[#This Row],[y]]-H$4)*(Tabela1[[#This Row],[y]]-H$4)</f>
        <v>24580</v>
      </c>
      <c r="D8376" s="1">
        <f>IF(Tabela1[[#This Row],[promien]]&lt;40000,1,0)</f>
        <v>1</v>
      </c>
      <c r="E8376" s="1">
        <f>IF(Tabela1[[#This Row],[promien]]=40000,1,0)</f>
        <v>0</v>
      </c>
      <c r="F8376" s="1">
        <v>3.1461318051575931</v>
      </c>
      <c r="G8376" s="1">
        <v>4.5391515677999372E-3</v>
      </c>
    </row>
    <row r="8377" spans="1:7">
      <c r="A8377">
        <v>8</v>
      </c>
      <c r="B8377">
        <v>289</v>
      </c>
      <c r="C8377" s="1">
        <f>(Tabela1[[#This Row],[x]]-H$3)*(Tabela1[[#This Row],[x]]-H$3) +(Tabela1[[#This Row],[y]]-H$4)*(Tabela1[[#This Row],[y]]-H$4)</f>
        <v>44785</v>
      </c>
      <c r="D8377" s="1">
        <f>IF(Tabela1[[#This Row],[promien]]&lt;40000,1,0)</f>
        <v>0</v>
      </c>
      <c r="E8377" s="1">
        <f>IF(Tabela1[[#This Row],[promien]]=40000,1,0)</f>
        <v>0</v>
      </c>
      <c r="F8377" s="1">
        <v>3.1457562373164616</v>
      </c>
      <c r="G8377" s="1">
        <v>4.1635837266684739E-3</v>
      </c>
    </row>
    <row r="8378" spans="1:7">
      <c r="A8378">
        <v>176</v>
      </c>
      <c r="B8378">
        <v>151</v>
      </c>
      <c r="C8378" s="1">
        <f>(Tabela1[[#This Row],[x]]-H$3)*(Tabela1[[#This Row],[x]]-H$3) +(Tabela1[[#This Row],[y]]-H$4)*(Tabela1[[#This Row],[y]]-H$4)</f>
        <v>2977</v>
      </c>
      <c r="D8378" s="1">
        <f>IF(Tabela1[[#This Row],[promien]]&lt;40000,1,0)</f>
        <v>1</v>
      </c>
      <c r="E8378" s="1">
        <f>IF(Tabela1[[#This Row],[promien]]=40000,1,0)</f>
        <v>0</v>
      </c>
      <c r="F8378" s="1">
        <v>3.1458582000477442</v>
      </c>
      <c r="G8378" s="1">
        <v>4.2655464579510749E-3</v>
      </c>
    </row>
    <row r="8379" spans="1:7">
      <c r="A8379">
        <v>317</v>
      </c>
      <c r="B8379">
        <v>284</v>
      </c>
      <c r="C8379" s="1">
        <f>(Tabela1[[#This Row],[x]]-H$3)*(Tabela1[[#This Row],[x]]-H$3) +(Tabela1[[#This Row],[y]]-H$4)*(Tabela1[[#This Row],[y]]-H$4)</f>
        <v>20745</v>
      </c>
      <c r="D8379" s="1">
        <f>IF(Tabela1[[#This Row],[promien]]&lt;40000,1,0)</f>
        <v>1</v>
      </c>
      <c r="E8379" s="1">
        <f>IF(Tabela1[[#This Row],[promien]]=40000,1,0)</f>
        <v>0</v>
      </c>
      <c r="F8379" s="1">
        <v>3.1459601384413416</v>
      </c>
      <c r="G8379" s="1">
        <v>4.3674848515484754E-3</v>
      </c>
    </row>
    <row r="8380" spans="1:7">
      <c r="A8380">
        <v>132</v>
      </c>
      <c r="B8380">
        <v>44</v>
      </c>
      <c r="C8380" s="1">
        <f>(Tabela1[[#This Row],[x]]-H$3)*(Tabela1[[#This Row],[x]]-H$3) +(Tabela1[[#This Row],[y]]-H$4)*(Tabela1[[#This Row],[y]]-H$4)</f>
        <v>28960</v>
      </c>
      <c r="D8380" s="1">
        <f>IF(Tabela1[[#This Row],[promien]]&lt;40000,1,0)</f>
        <v>1</v>
      </c>
      <c r="E8380" s="1">
        <f>IF(Tabela1[[#This Row],[promien]]=40000,1,0)</f>
        <v>0</v>
      </c>
      <c r="F8380" s="1">
        <v>3.1460620525059664</v>
      </c>
      <c r="G8380" s="1">
        <v>4.4693989161732617E-3</v>
      </c>
    </row>
    <row r="8381" spans="1:7">
      <c r="A8381">
        <v>361</v>
      </c>
      <c r="B8381">
        <v>153</v>
      </c>
      <c r="C8381" s="1">
        <f>(Tabela1[[#This Row],[x]]-H$3)*(Tabela1[[#This Row],[x]]-H$3) +(Tabela1[[#This Row],[y]]-H$4)*(Tabela1[[#This Row],[y]]-H$4)</f>
        <v>28130</v>
      </c>
      <c r="D8381" s="1">
        <f>IF(Tabela1[[#This Row],[promien]]&lt;40000,1,0)</f>
        <v>1</v>
      </c>
      <c r="E8381" s="1">
        <f>IF(Tabela1[[#This Row],[promien]]=40000,1,0)</f>
        <v>0</v>
      </c>
      <c r="F8381" s="1">
        <v>3.146163942250328</v>
      </c>
      <c r="G8381" s="1">
        <v>4.5712886605349112E-3</v>
      </c>
    </row>
    <row r="8382" spans="1:7">
      <c r="A8382">
        <v>90</v>
      </c>
      <c r="B8382">
        <v>90</v>
      </c>
      <c r="C8382" s="1">
        <f>(Tabela1[[#This Row],[x]]-H$3)*(Tabela1[[#This Row],[x]]-H$3) +(Tabela1[[#This Row],[y]]-H$4)*(Tabela1[[#This Row],[y]]-H$4)</f>
        <v>24200</v>
      </c>
      <c r="D8382" s="1">
        <f>IF(Tabela1[[#This Row],[promien]]&lt;40000,1,0)</f>
        <v>1</v>
      </c>
      <c r="E8382" s="1">
        <f>IF(Tabela1[[#This Row],[promien]]=40000,1,0)</f>
        <v>0</v>
      </c>
      <c r="F8382" s="1">
        <v>3.1462658076831307</v>
      </c>
      <c r="G8382" s="1">
        <v>4.6731540933375726E-3</v>
      </c>
    </row>
    <row r="8383" spans="1:7">
      <c r="A8383">
        <v>140</v>
      </c>
      <c r="B8383">
        <v>334</v>
      </c>
      <c r="C8383" s="1">
        <f>(Tabela1[[#This Row],[x]]-H$3)*(Tabela1[[#This Row],[x]]-H$3) +(Tabela1[[#This Row],[y]]-H$4)*(Tabela1[[#This Row],[y]]-H$4)</f>
        <v>21556</v>
      </c>
      <c r="D8383" s="1">
        <f>IF(Tabela1[[#This Row],[promien]]&lt;40000,1,0)</f>
        <v>1</v>
      </c>
      <c r="E8383" s="1">
        <f>IF(Tabela1[[#This Row],[promien]]=40000,1,0)</f>
        <v>0</v>
      </c>
      <c r="F8383" s="1">
        <v>3.1463676488130741</v>
      </c>
      <c r="G8383" s="1">
        <v>4.7749952232809534E-3</v>
      </c>
    </row>
    <row r="8384" spans="1:7">
      <c r="A8384">
        <v>23</v>
      </c>
      <c r="B8384">
        <v>326</v>
      </c>
      <c r="C8384" s="1">
        <f>(Tabela1[[#This Row],[x]]-H$3)*(Tabela1[[#This Row],[x]]-H$3) +(Tabela1[[#This Row],[y]]-H$4)*(Tabela1[[#This Row],[y]]-H$4)</f>
        <v>47205</v>
      </c>
      <c r="D8384" s="1">
        <f>IF(Tabela1[[#This Row],[promien]]&lt;40000,1,0)</f>
        <v>0</v>
      </c>
      <c r="E8384" s="1">
        <f>IF(Tabela1[[#This Row],[promien]]=40000,1,0)</f>
        <v>0</v>
      </c>
      <c r="F8384" s="1">
        <v>3.1459923664122136</v>
      </c>
      <c r="G8384" s="1">
        <v>4.3997128224204651E-3</v>
      </c>
    </row>
    <row r="8385" spans="1:7">
      <c r="A8385">
        <v>193</v>
      </c>
      <c r="B8385">
        <v>309</v>
      </c>
      <c r="C8385" s="1">
        <f>(Tabela1[[#This Row],[x]]-H$3)*(Tabela1[[#This Row],[x]]-H$3) +(Tabela1[[#This Row],[y]]-H$4)*(Tabela1[[#This Row],[y]]-H$4)</f>
        <v>11930</v>
      </c>
      <c r="D8385" s="1">
        <f>IF(Tabela1[[#This Row],[promien]]&lt;40000,1,0)</f>
        <v>1</v>
      </c>
      <c r="E8385" s="1">
        <f>IF(Tabela1[[#This Row],[promien]]=40000,1,0)</f>
        <v>0</v>
      </c>
      <c r="F8385" s="1">
        <v>3.1460942158616576</v>
      </c>
      <c r="G8385" s="1">
        <v>4.5015622718644899E-3</v>
      </c>
    </row>
    <row r="8386" spans="1:7">
      <c r="A8386">
        <v>281</v>
      </c>
      <c r="B8386">
        <v>373</v>
      </c>
      <c r="C8386" s="1">
        <f>(Tabela1[[#This Row],[x]]-H$3)*(Tabela1[[#This Row],[x]]-H$3) +(Tabela1[[#This Row],[y]]-H$4)*(Tabela1[[#This Row],[y]]-H$4)</f>
        <v>36490</v>
      </c>
      <c r="D8386" s="1">
        <f>IF(Tabela1[[#This Row],[promien]]&lt;40000,1,0)</f>
        <v>1</v>
      </c>
      <c r="E8386" s="1">
        <f>IF(Tabela1[[#This Row],[promien]]=40000,1,0)</f>
        <v>0</v>
      </c>
      <c r="F8386" s="1">
        <v>3.1461960410207488</v>
      </c>
      <c r="G8386" s="1">
        <v>4.6033874309556744E-3</v>
      </c>
    </row>
    <row r="8387" spans="1:7">
      <c r="A8387">
        <v>128</v>
      </c>
      <c r="B8387">
        <v>72</v>
      </c>
      <c r="C8387" s="1">
        <f>(Tabela1[[#This Row],[x]]-H$3)*(Tabela1[[#This Row],[x]]-H$3) +(Tabela1[[#This Row],[y]]-H$4)*(Tabela1[[#This Row],[y]]-H$4)</f>
        <v>21568</v>
      </c>
      <c r="D8387" s="1">
        <f>IF(Tabela1[[#This Row],[promien]]&lt;40000,1,0)</f>
        <v>1</v>
      </c>
      <c r="E8387" s="1">
        <f>IF(Tabela1[[#This Row],[promien]]=40000,1,0)</f>
        <v>0</v>
      </c>
      <c r="F8387" s="1">
        <v>3.1462978418981757</v>
      </c>
      <c r="G8387" s="1">
        <v>4.705188308382624E-3</v>
      </c>
    </row>
    <row r="8388" spans="1:7">
      <c r="A8388">
        <v>303</v>
      </c>
      <c r="B8388">
        <v>2</v>
      </c>
      <c r="C8388" s="1">
        <f>(Tabela1[[#This Row],[x]]-H$3)*(Tabela1[[#This Row],[x]]-H$3) +(Tabela1[[#This Row],[y]]-H$4)*(Tabela1[[#This Row],[y]]-H$4)</f>
        <v>49813</v>
      </c>
      <c r="D8388" s="1">
        <f>IF(Tabela1[[#This Row],[promien]]&lt;40000,1,0)</f>
        <v>0</v>
      </c>
      <c r="E8388" s="1">
        <f>IF(Tabela1[[#This Row],[promien]]=40000,1,0)</f>
        <v>0</v>
      </c>
      <c r="F8388" s="1">
        <v>3.1459227467811157</v>
      </c>
      <c r="G8388" s="1">
        <v>4.3300931913226037E-3</v>
      </c>
    </row>
    <row r="8389" spans="1:7">
      <c r="A8389">
        <v>379</v>
      </c>
      <c r="B8389">
        <v>64</v>
      </c>
      <c r="C8389" s="1">
        <f>(Tabela1[[#This Row],[x]]-H$3)*(Tabela1[[#This Row],[x]]-H$3) +(Tabela1[[#This Row],[y]]-H$4)*(Tabela1[[#This Row],[y]]-H$4)</f>
        <v>50537</v>
      </c>
      <c r="D8389" s="1">
        <f>IF(Tabela1[[#This Row],[promien]]&lt;40000,1,0)</f>
        <v>0</v>
      </c>
      <c r="E8389" s="1">
        <f>IF(Tabela1[[#This Row],[promien]]=40000,1,0)</f>
        <v>0</v>
      </c>
      <c r="F8389" s="1">
        <v>3.1455477410895218</v>
      </c>
      <c r="G8389" s="1">
        <v>3.9550874997287266E-3</v>
      </c>
    </row>
    <row r="8390" spans="1:7">
      <c r="A8390">
        <v>253</v>
      </c>
      <c r="B8390">
        <v>331</v>
      </c>
      <c r="C8390" s="1">
        <f>(Tabela1[[#This Row],[x]]-H$3)*(Tabela1[[#This Row],[x]]-H$3) +(Tabela1[[#This Row],[y]]-H$4)*(Tabela1[[#This Row],[y]]-H$4)</f>
        <v>19970</v>
      </c>
      <c r="D8390" s="1">
        <f>IF(Tabela1[[#This Row],[promien]]&lt;40000,1,0)</f>
        <v>1</v>
      </c>
      <c r="E8390" s="1">
        <f>IF(Tabela1[[#This Row],[promien]]=40000,1,0)</f>
        <v>0</v>
      </c>
      <c r="F8390" s="1">
        <v>3.1456495828367106</v>
      </c>
      <c r="G8390" s="1">
        <v>4.0569292469174734E-3</v>
      </c>
    </row>
    <row r="8391" spans="1:7">
      <c r="A8391">
        <v>116</v>
      </c>
      <c r="B8391">
        <v>72</v>
      </c>
      <c r="C8391" s="1">
        <f>(Tabela1[[#This Row],[x]]-H$3)*(Tabela1[[#This Row],[x]]-H$3) +(Tabela1[[#This Row],[y]]-H$4)*(Tabela1[[#This Row],[y]]-H$4)</f>
        <v>23440</v>
      </c>
      <c r="D8391" s="1">
        <f>IF(Tabela1[[#This Row],[promien]]&lt;40000,1,0)</f>
        <v>1</v>
      </c>
      <c r="E8391" s="1">
        <f>IF(Tabela1[[#This Row],[promien]]=40000,1,0)</f>
        <v>0</v>
      </c>
      <c r="F8391" s="1">
        <v>3.1457514003098557</v>
      </c>
      <c r="G8391" s="1">
        <v>4.1587467200625561E-3</v>
      </c>
    </row>
    <row r="8392" spans="1:7">
      <c r="A8392">
        <v>86</v>
      </c>
      <c r="B8392">
        <v>396</v>
      </c>
      <c r="C8392" s="1">
        <f>(Tabela1[[#This Row],[x]]-H$3)*(Tabela1[[#This Row],[x]]-H$3) +(Tabela1[[#This Row],[y]]-H$4)*(Tabela1[[#This Row],[y]]-H$4)</f>
        <v>51412</v>
      </c>
      <c r="D8392" s="1">
        <f>IF(Tabela1[[#This Row],[promien]]&lt;40000,1,0)</f>
        <v>0</v>
      </c>
      <c r="E8392" s="1">
        <f>IF(Tabela1[[#This Row],[promien]]=40000,1,0)</f>
        <v>0</v>
      </c>
      <c r="F8392" s="1">
        <v>3.1453765490943755</v>
      </c>
      <c r="G8392" s="1">
        <v>3.7838955045823575E-3</v>
      </c>
    </row>
    <row r="8393" spans="1:7">
      <c r="A8393">
        <v>197</v>
      </c>
      <c r="B8393">
        <v>245</v>
      </c>
      <c r="C8393" s="1">
        <f>(Tabela1[[#This Row],[x]]-H$3)*(Tabela1[[#This Row],[x]]-H$3) +(Tabela1[[#This Row],[y]]-H$4)*(Tabela1[[#This Row],[y]]-H$4)</f>
        <v>2034</v>
      </c>
      <c r="D8393" s="1">
        <f>IF(Tabela1[[#This Row],[promien]]&lt;40000,1,0)</f>
        <v>1</v>
      </c>
      <c r="E8393" s="1">
        <f>IF(Tabela1[[#This Row],[promien]]=40000,1,0)</f>
        <v>0</v>
      </c>
      <c r="F8393" s="1">
        <v>3.145478374836173</v>
      </c>
      <c r="G8393" s="1">
        <v>3.8857212463798696E-3</v>
      </c>
    </row>
    <row r="8394" spans="1:7">
      <c r="A8394">
        <v>345</v>
      </c>
      <c r="B8394">
        <v>99</v>
      </c>
      <c r="C8394" s="1">
        <f>(Tabela1[[#This Row],[x]]-H$3)*(Tabela1[[#This Row],[x]]-H$3) +(Tabela1[[#This Row],[y]]-H$4)*(Tabela1[[#This Row],[y]]-H$4)</f>
        <v>31226</v>
      </c>
      <c r="D8394" s="1">
        <f>IF(Tabela1[[#This Row],[promien]]&lt;40000,1,0)</f>
        <v>1</v>
      </c>
      <c r="E8394" s="1">
        <f>IF(Tabela1[[#This Row],[promien]]=40000,1,0)</f>
        <v>0</v>
      </c>
      <c r="F8394" s="1">
        <v>3.1455801763164164</v>
      </c>
      <c r="G8394" s="1">
        <v>3.9875227266232827E-3</v>
      </c>
    </row>
    <row r="8395" spans="1:7">
      <c r="A8395">
        <v>375</v>
      </c>
      <c r="B8395">
        <v>200</v>
      </c>
      <c r="C8395" s="1">
        <f>(Tabela1[[#This Row],[x]]-H$3)*(Tabela1[[#This Row],[x]]-H$3) +(Tabela1[[#This Row],[y]]-H$4)*(Tabela1[[#This Row],[y]]-H$4)</f>
        <v>30625</v>
      </c>
      <c r="D8395" s="1">
        <f>IF(Tabela1[[#This Row],[promien]]&lt;40000,1,0)</f>
        <v>1</v>
      </c>
      <c r="E8395" s="1">
        <f>IF(Tabela1[[#This Row],[promien]]=40000,1,0)</f>
        <v>0</v>
      </c>
      <c r="F8395" s="1">
        <v>3.1456819535437761</v>
      </c>
      <c r="G8395" s="1">
        <v>4.0892999539829944E-3</v>
      </c>
    </row>
    <row r="8396" spans="1:7">
      <c r="A8396">
        <v>40</v>
      </c>
      <c r="B8396">
        <v>370</v>
      </c>
      <c r="C8396" s="1">
        <f>(Tabela1[[#This Row],[x]]-H$3)*(Tabela1[[#This Row],[x]]-H$3) +(Tabela1[[#This Row],[y]]-H$4)*(Tabela1[[#This Row],[y]]-H$4)</f>
        <v>54500</v>
      </c>
      <c r="D8396" s="1">
        <f>IF(Tabela1[[#This Row],[promien]]&lt;40000,1,0)</f>
        <v>0</v>
      </c>
      <c r="E8396" s="1">
        <f>IF(Tabela1[[#This Row],[promien]]=40000,1,0)</f>
        <v>0</v>
      </c>
      <c r="F8396" s="1">
        <v>3.1453072891853262</v>
      </c>
      <c r="G8396" s="1">
        <v>3.714635595533089E-3</v>
      </c>
    </row>
    <row r="8397" spans="1:7">
      <c r="A8397">
        <v>393</v>
      </c>
      <c r="B8397">
        <v>365</v>
      </c>
      <c r="C8397" s="1">
        <f>(Tabela1[[#This Row],[x]]-H$3)*(Tabela1[[#This Row],[x]]-H$3) +(Tabela1[[#This Row],[y]]-H$4)*(Tabela1[[#This Row],[y]]-H$4)</f>
        <v>64474</v>
      </c>
      <c r="D8397" s="1">
        <f>IF(Tabela1[[#This Row],[promien]]&lt;40000,1,0)</f>
        <v>0</v>
      </c>
      <c r="E8397" s="1">
        <f>IF(Tabela1[[#This Row],[promien]]=40000,1,0)</f>
        <v>0</v>
      </c>
      <c r="F8397" s="1">
        <v>3.1449327140645469</v>
      </c>
      <c r="G8397" s="1">
        <v>3.3400604747537699E-3</v>
      </c>
    </row>
    <row r="8398" spans="1:7">
      <c r="A8398">
        <v>23</v>
      </c>
      <c r="B8398">
        <v>38</v>
      </c>
      <c r="C8398" s="1">
        <f>(Tabela1[[#This Row],[x]]-H$3)*(Tabela1[[#This Row],[x]]-H$3) +(Tabela1[[#This Row],[y]]-H$4)*(Tabela1[[#This Row],[y]]-H$4)</f>
        <v>57573</v>
      </c>
      <c r="D8398" s="1">
        <f>IF(Tabela1[[#This Row],[promien]]&lt;40000,1,0)</f>
        <v>0</v>
      </c>
      <c r="E8398" s="1">
        <f>IF(Tabela1[[#This Row],[promien]]=40000,1,0)</f>
        <v>0</v>
      </c>
      <c r="F8398" s="1">
        <v>3.1445582281495592</v>
      </c>
      <c r="G8398" s="1">
        <v>2.9655745597660932E-3</v>
      </c>
    </row>
    <row r="8399" spans="1:7">
      <c r="A8399">
        <v>354</v>
      </c>
      <c r="B8399">
        <v>238</v>
      </c>
      <c r="C8399" s="1">
        <f>(Tabela1[[#This Row],[x]]-H$3)*(Tabela1[[#This Row],[x]]-H$3) +(Tabela1[[#This Row],[y]]-H$4)*(Tabela1[[#This Row],[y]]-H$4)</f>
        <v>25160</v>
      </c>
      <c r="D8399" s="1">
        <f>IF(Tabela1[[#This Row],[promien]]&lt;40000,1,0)</f>
        <v>1</v>
      </c>
      <c r="E8399" s="1">
        <f>IF(Tabela1[[#This Row],[promien]]=40000,1,0)</f>
        <v>0</v>
      </c>
      <c r="F8399" s="1">
        <v>3.1446600785807832</v>
      </c>
      <c r="G8399" s="1">
        <v>3.0674249909901086E-3</v>
      </c>
    </row>
    <row r="8400" spans="1:7">
      <c r="A8400">
        <v>94</v>
      </c>
      <c r="B8400">
        <v>140</v>
      </c>
      <c r="C8400" s="1">
        <f>(Tabela1[[#This Row],[x]]-H$3)*(Tabela1[[#This Row],[x]]-H$3) +(Tabela1[[#This Row],[y]]-H$4)*(Tabela1[[#This Row],[y]]-H$4)</f>
        <v>14836</v>
      </c>
      <c r="D8400" s="1">
        <f>IF(Tabela1[[#This Row],[promien]]&lt;40000,1,0)</f>
        <v>1</v>
      </c>
      <c r="E8400" s="1">
        <f>IF(Tabela1[[#This Row],[promien]]=40000,1,0)</f>
        <v>0</v>
      </c>
      <c r="F8400" s="1">
        <v>3.1447619047619049</v>
      </c>
      <c r="G8400" s="1">
        <v>3.1692511721117533E-3</v>
      </c>
    </row>
    <row r="8401" spans="1:7">
      <c r="A8401">
        <v>365</v>
      </c>
      <c r="B8401">
        <v>270</v>
      </c>
      <c r="C8401" s="1">
        <f>(Tabela1[[#This Row],[x]]-H$3)*(Tabela1[[#This Row],[x]]-H$3) +(Tabela1[[#This Row],[y]]-H$4)*(Tabela1[[#This Row],[y]]-H$4)</f>
        <v>32125</v>
      </c>
      <c r="D8401" s="1">
        <f>IF(Tabela1[[#This Row],[promien]]&lt;40000,1,0)</f>
        <v>1</v>
      </c>
      <c r="E8401" s="1">
        <f>IF(Tabela1[[#This Row],[promien]]=40000,1,0)</f>
        <v>0</v>
      </c>
      <c r="F8401" s="1">
        <v>3.144863706701583</v>
      </c>
      <c r="G8401" s="1">
        <v>3.2710531117898789E-3</v>
      </c>
    </row>
    <row r="8402" spans="1:7">
      <c r="A8402">
        <v>107</v>
      </c>
      <c r="B8402">
        <v>225</v>
      </c>
      <c r="C8402" s="1">
        <f>(Tabela1[[#This Row],[x]]-H$3)*(Tabela1[[#This Row],[x]]-H$3) +(Tabela1[[#This Row],[y]]-H$4)*(Tabela1[[#This Row],[y]]-H$4)</f>
        <v>9274</v>
      </c>
      <c r="D8402" s="1">
        <f>IF(Tabela1[[#This Row],[promien]]&lt;40000,1,0)</f>
        <v>1</v>
      </c>
      <c r="E8402" s="1">
        <f>IF(Tabela1[[#This Row],[promien]]=40000,1,0)</f>
        <v>0</v>
      </c>
      <c r="F8402" s="1">
        <v>3.1449654844084742</v>
      </c>
      <c r="G8402" s="1">
        <v>3.3728308186811162E-3</v>
      </c>
    </row>
    <row r="8403" spans="1:7">
      <c r="A8403">
        <v>379</v>
      </c>
      <c r="B8403">
        <v>348</v>
      </c>
      <c r="C8403" s="1">
        <f>(Tabela1[[#This Row],[x]]-H$3)*(Tabela1[[#This Row],[x]]-H$3) +(Tabela1[[#This Row],[y]]-H$4)*(Tabela1[[#This Row],[y]]-H$4)</f>
        <v>53945</v>
      </c>
      <c r="D8403" s="1">
        <f>IF(Tabela1[[#This Row],[promien]]&lt;40000,1,0)</f>
        <v>0</v>
      </c>
      <c r="E8403" s="1">
        <f>IF(Tabela1[[#This Row],[promien]]=40000,1,0)</f>
        <v>0</v>
      </c>
      <c r="F8403" s="1">
        <v>3.1445912174223491</v>
      </c>
      <c r="G8403" s="1">
        <v>2.9985638325560338E-3</v>
      </c>
    </row>
    <row r="8404" spans="1:7">
      <c r="A8404">
        <v>14</v>
      </c>
      <c r="B8404">
        <v>291</v>
      </c>
      <c r="C8404" s="1">
        <f>(Tabela1[[#This Row],[x]]-H$3)*(Tabela1[[#This Row],[x]]-H$3) +(Tabela1[[#This Row],[y]]-H$4)*(Tabela1[[#This Row],[y]]-H$4)</f>
        <v>42877</v>
      </c>
      <c r="D8404" s="1">
        <f>IF(Tabela1[[#This Row],[promien]]&lt;40000,1,0)</f>
        <v>0</v>
      </c>
      <c r="E8404" s="1">
        <f>IF(Tabela1[[#This Row],[promien]]=40000,1,0)</f>
        <v>0</v>
      </c>
      <c r="F8404" s="1">
        <v>3.1442170395049978</v>
      </c>
      <c r="G8404" s="1">
        <v>2.6243859152046412E-3</v>
      </c>
    </row>
    <row r="8405" spans="1:7">
      <c r="A8405">
        <v>127</v>
      </c>
      <c r="B8405">
        <v>98</v>
      </c>
      <c r="C8405" s="1">
        <f>(Tabela1[[#This Row],[x]]-H$3)*(Tabela1[[#This Row],[x]]-H$3) +(Tabela1[[#This Row],[y]]-H$4)*(Tabela1[[#This Row],[y]]-H$4)</f>
        <v>15733</v>
      </c>
      <c r="D8405" s="1">
        <f>IF(Tabela1[[#This Row],[promien]]&lt;40000,1,0)</f>
        <v>1</v>
      </c>
      <c r="E8405" s="1">
        <f>IF(Tabela1[[#This Row],[promien]]=40000,1,0)</f>
        <v>0</v>
      </c>
      <c r="F8405" s="1">
        <v>3.1443188578227246</v>
      </c>
      <c r="G8405" s="1">
        <v>2.7262042329314617E-3</v>
      </c>
    </row>
    <row r="8406" spans="1:7">
      <c r="A8406">
        <v>289</v>
      </c>
      <c r="B8406">
        <v>181</v>
      </c>
      <c r="C8406" s="1">
        <f>(Tabela1[[#This Row],[x]]-H$3)*(Tabela1[[#This Row],[x]]-H$3) +(Tabela1[[#This Row],[y]]-H$4)*(Tabela1[[#This Row],[y]]-H$4)</f>
        <v>8282</v>
      </c>
      <c r="D8406" s="1">
        <f>IF(Tabela1[[#This Row],[promien]]&lt;40000,1,0)</f>
        <v>1</v>
      </c>
      <c r="E8406" s="1">
        <f>IF(Tabela1[[#This Row],[promien]]=40000,1,0)</f>
        <v>0</v>
      </c>
      <c r="F8406" s="1">
        <v>3.1444206519152984</v>
      </c>
      <c r="G8406" s="1">
        <v>2.8279983255052876E-3</v>
      </c>
    </row>
    <row r="8407" spans="1:7">
      <c r="A8407">
        <v>342</v>
      </c>
      <c r="B8407">
        <v>330</v>
      </c>
      <c r="C8407" s="1">
        <f>(Tabela1[[#This Row],[x]]-H$3)*(Tabela1[[#This Row],[x]]-H$3) +(Tabela1[[#This Row],[y]]-H$4)*(Tabela1[[#This Row],[y]]-H$4)</f>
        <v>37064</v>
      </c>
      <c r="D8407" s="1">
        <f>IF(Tabela1[[#This Row],[promien]]&lt;40000,1,0)</f>
        <v>1</v>
      </c>
      <c r="E8407" s="1">
        <f>IF(Tabela1[[#This Row],[promien]]=40000,1,0)</f>
        <v>0</v>
      </c>
      <c r="F8407" s="1">
        <v>3.1445224217913643</v>
      </c>
      <c r="G8407" s="1">
        <v>2.9297682015712034E-3</v>
      </c>
    </row>
    <row r="8408" spans="1:7">
      <c r="A8408">
        <v>14</v>
      </c>
      <c r="B8408">
        <v>75</v>
      </c>
      <c r="C8408" s="1">
        <f>(Tabela1[[#This Row],[x]]-H$3)*(Tabela1[[#This Row],[x]]-H$3) +(Tabela1[[#This Row],[y]]-H$4)*(Tabela1[[#This Row],[y]]-H$4)</f>
        <v>50221</v>
      </c>
      <c r="D8408" s="1">
        <f>IF(Tabela1[[#This Row],[promien]]&lt;40000,1,0)</f>
        <v>0</v>
      </c>
      <c r="E8408" s="1">
        <f>IF(Tabela1[[#This Row],[promien]]=40000,1,0)</f>
        <v>0</v>
      </c>
      <c r="F8408" s="1">
        <v>3.1441484300666032</v>
      </c>
      <c r="G8408" s="1">
        <v>2.5557764768100455E-3</v>
      </c>
    </row>
    <row r="8409" spans="1:7">
      <c r="A8409">
        <v>380</v>
      </c>
      <c r="B8409">
        <v>338</v>
      </c>
      <c r="C8409" s="1">
        <f>(Tabela1[[#This Row],[x]]-H$3)*(Tabela1[[#This Row],[x]]-H$3) +(Tabela1[[#This Row],[y]]-H$4)*(Tabela1[[#This Row],[y]]-H$4)</f>
        <v>51444</v>
      </c>
      <c r="D8409" s="1">
        <f>IF(Tabela1[[#This Row],[promien]]&lt;40000,1,0)</f>
        <v>0</v>
      </c>
      <c r="E8409" s="1">
        <f>IF(Tabela1[[#This Row],[promien]]=40000,1,0)</f>
        <v>0</v>
      </c>
      <c r="F8409" s="1">
        <v>3.1437745272921869</v>
      </c>
      <c r="G8409" s="1">
        <v>2.1818737023937551E-3</v>
      </c>
    </row>
    <row r="8410" spans="1:7">
      <c r="A8410">
        <v>370</v>
      </c>
      <c r="B8410">
        <v>76</v>
      </c>
      <c r="C8410" s="1">
        <f>(Tabela1[[#This Row],[x]]-H$3)*(Tabela1[[#This Row],[x]]-H$3) +(Tabela1[[#This Row],[y]]-H$4)*(Tabela1[[#This Row],[y]]-H$4)</f>
        <v>44276</v>
      </c>
      <c r="D8410" s="1">
        <f>IF(Tabela1[[#This Row],[promien]]&lt;40000,1,0)</f>
        <v>0</v>
      </c>
      <c r="E8410" s="1">
        <f>IF(Tabela1[[#This Row],[promien]]=40000,1,0)</f>
        <v>0</v>
      </c>
      <c r="F8410" s="1">
        <v>3.1434007134363853</v>
      </c>
      <c r="G8410" s="1">
        <v>1.8080598465921582E-3</v>
      </c>
    </row>
    <row r="8411" spans="1:7">
      <c r="A8411">
        <v>387</v>
      </c>
      <c r="B8411">
        <v>164</v>
      </c>
      <c r="C8411" s="1">
        <f>(Tabela1[[#This Row],[x]]-H$3)*(Tabela1[[#This Row],[x]]-H$3) +(Tabela1[[#This Row],[y]]-H$4)*(Tabela1[[#This Row],[y]]-H$4)</f>
        <v>36265</v>
      </c>
      <c r="D8411" s="1">
        <f>IF(Tabela1[[#This Row],[promien]]&lt;40000,1,0)</f>
        <v>1</v>
      </c>
      <c r="E8411" s="1">
        <f>IF(Tabela1[[#This Row],[promien]]=40000,1,0)</f>
        <v>0</v>
      </c>
      <c r="F8411" s="1">
        <v>3.1435025561764358</v>
      </c>
      <c r="G8411" s="1">
        <v>1.9099025866426977E-3</v>
      </c>
    </row>
    <row r="8412" spans="1:7">
      <c r="A8412">
        <v>30</v>
      </c>
      <c r="B8412">
        <v>26</v>
      </c>
      <c r="C8412" s="1">
        <f>(Tabela1[[#This Row],[x]]-H$3)*(Tabela1[[#This Row],[x]]-H$3) +(Tabela1[[#This Row],[y]]-H$4)*(Tabela1[[#This Row],[y]]-H$4)</f>
        <v>59176</v>
      </c>
      <c r="D8412" s="1">
        <f>IF(Tabela1[[#This Row],[promien]]&lt;40000,1,0)</f>
        <v>0</v>
      </c>
      <c r="E8412" s="1">
        <f>IF(Tabela1[[#This Row],[promien]]=40000,1,0)</f>
        <v>0</v>
      </c>
      <c r="F8412" s="1">
        <v>3.1431288635282928</v>
      </c>
      <c r="G8412" s="1">
        <v>1.5362099384996775E-3</v>
      </c>
    </row>
    <row r="8413" spans="1:7">
      <c r="A8413">
        <v>254</v>
      </c>
      <c r="B8413">
        <v>24</v>
      </c>
      <c r="C8413" s="1">
        <f>(Tabela1[[#This Row],[x]]-H$3)*(Tabela1[[#This Row],[x]]-H$3) +(Tabela1[[#This Row],[y]]-H$4)*(Tabela1[[#This Row],[y]]-H$4)</f>
        <v>33892</v>
      </c>
      <c r="D8413" s="1">
        <f>IF(Tabela1[[#This Row],[promien]]&lt;40000,1,0)</f>
        <v>1</v>
      </c>
      <c r="E8413" s="1">
        <f>IF(Tabela1[[#This Row],[promien]]=40000,1,0)</f>
        <v>0</v>
      </c>
      <c r="F8413" s="1">
        <v>3.1432307143706169</v>
      </c>
      <c r="G8413" s="1">
        <v>1.6380607808237357E-3</v>
      </c>
    </row>
    <row r="8414" spans="1:7">
      <c r="A8414">
        <v>246</v>
      </c>
      <c r="B8414">
        <v>119</v>
      </c>
      <c r="C8414" s="1">
        <f>(Tabela1[[#This Row],[x]]-H$3)*(Tabela1[[#This Row],[x]]-H$3) +(Tabela1[[#This Row],[y]]-H$4)*(Tabela1[[#This Row],[y]]-H$4)</f>
        <v>8677</v>
      </c>
      <c r="D8414" s="1">
        <f>IF(Tabela1[[#This Row],[promien]]&lt;40000,1,0)</f>
        <v>1</v>
      </c>
      <c r="E8414" s="1">
        <f>IF(Tabela1[[#This Row],[promien]]=40000,1,0)</f>
        <v>0</v>
      </c>
      <c r="F8414" s="1">
        <v>3.1433325410030899</v>
      </c>
      <c r="G8414" s="1">
        <v>1.7398874132967812E-3</v>
      </c>
    </row>
    <row r="8415" spans="1:7">
      <c r="A8415">
        <v>106</v>
      </c>
      <c r="B8415">
        <v>137</v>
      </c>
      <c r="C8415" s="1">
        <f>(Tabela1[[#This Row],[x]]-H$3)*(Tabela1[[#This Row],[x]]-H$3) +(Tabela1[[#This Row],[y]]-H$4)*(Tabela1[[#This Row],[y]]-H$4)</f>
        <v>12805</v>
      </c>
      <c r="D8415" s="1">
        <f>IF(Tabela1[[#This Row],[promien]]&lt;40000,1,0)</f>
        <v>1</v>
      </c>
      <c r="E8415" s="1">
        <f>IF(Tabela1[[#This Row],[promien]]=40000,1,0)</f>
        <v>0</v>
      </c>
      <c r="F8415" s="1">
        <v>3.1434343434343432</v>
      </c>
      <c r="G8415" s="1">
        <v>1.8416898445501317E-3</v>
      </c>
    </row>
    <row r="8416" spans="1:7">
      <c r="A8416">
        <v>328</v>
      </c>
      <c r="B8416">
        <v>331</v>
      </c>
      <c r="C8416" s="1">
        <f>(Tabela1[[#This Row],[x]]-H$3)*(Tabela1[[#This Row],[x]]-H$3) +(Tabela1[[#This Row],[y]]-H$4)*(Tabela1[[#This Row],[y]]-H$4)</f>
        <v>33545</v>
      </c>
      <c r="D8416" s="1">
        <f>IF(Tabela1[[#This Row],[promien]]&lt;40000,1,0)</f>
        <v>1</v>
      </c>
      <c r="E8416" s="1">
        <f>IF(Tabela1[[#This Row],[promien]]=40000,1,0)</f>
        <v>0</v>
      </c>
      <c r="F8416" s="1">
        <v>3.1435361216730038</v>
      </c>
      <c r="G8416" s="1">
        <v>1.9434680832106643E-3</v>
      </c>
    </row>
    <row r="8417" spans="1:7">
      <c r="A8417">
        <v>225</v>
      </c>
      <c r="B8417">
        <v>349</v>
      </c>
      <c r="C8417" s="1">
        <f>(Tabela1[[#This Row],[x]]-H$3)*(Tabela1[[#This Row],[x]]-H$3) +(Tabela1[[#This Row],[y]]-H$4)*(Tabela1[[#This Row],[y]]-H$4)</f>
        <v>22826</v>
      </c>
      <c r="D8417" s="1">
        <f>IF(Tabela1[[#This Row],[promien]]&lt;40000,1,0)</f>
        <v>1</v>
      </c>
      <c r="E8417" s="1">
        <f>IF(Tabela1[[#This Row],[promien]]=40000,1,0)</f>
        <v>0</v>
      </c>
      <c r="F8417" s="1">
        <v>3.1436378757276939</v>
      </c>
      <c r="G8417" s="1">
        <v>2.0452221379008151E-3</v>
      </c>
    </row>
    <row r="8418" spans="1:7">
      <c r="A8418">
        <v>148</v>
      </c>
      <c r="B8418">
        <v>105</v>
      </c>
      <c r="C8418" s="1">
        <f>(Tabela1[[#This Row],[x]]-H$3)*(Tabela1[[#This Row],[x]]-H$3) +(Tabela1[[#This Row],[y]]-H$4)*(Tabela1[[#This Row],[y]]-H$4)</f>
        <v>11729</v>
      </c>
      <c r="D8418" s="1">
        <f>IF(Tabela1[[#This Row],[promien]]&lt;40000,1,0)</f>
        <v>1</v>
      </c>
      <c r="E8418" s="1">
        <f>IF(Tabela1[[#This Row],[promien]]=40000,1,0)</f>
        <v>0</v>
      </c>
      <c r="F8418" s="1">
        <v>3.1437396056070326</v>
      </c>
      <c r="G8418" s="1">
        <v>2.1469520172394674E-3</v>
      </c>
    </row>
    <row r="8419" spans="1:7">
      <c r="A8419">
        <v>266</v>
      </c>
      <c r="B8419">
        <v>248</v>
      </c>
      <c r="C8419" s="1">
        <f>(Tabela1[[#This Row],[x]]-H$3)*(Tabela1[[#This Row],[x]]-H$3) +(Tabela1[[#This Row],[y]]-H$4)*(Tabela1[[#This Row],[y]]-H$4)</f>
        <v>6660</v>
      </c>
      <c r="D8419" s="1">
        <f>IF(Tabela1[[#This Row],[promien]]&lt;40000,1,0)</f>
        <v>1</v>
      </c>
      <c r="E8419" s="1">
        <f>IF(Tabela1[[#This Row],[promien]]=40000,1,0)</f>
        <v>0</v>
      </c>
      <c r="F8419" s="1">
        <v>3.1438413113196342</v>
      </c>
      <c r="G8419" s="1">
        <v>2.2486577298410637E-3</v>
      </c>
    </row>
    <row r="8420" spans="1:7">
      <c r="A8420">
        <v>25</v>
      </c>
      <c r="B8420">
        <v>166</v>
      </c>
      <c r="C8420" s="1">
        <f>(Tabela1[[#This Row],[x]]-H$3)*(Tabela1[[#This Row],[x]]-H$3) +(Tabela1[[#This Row],[y]]-H$4)*(Tabela1[[#This Row],[y]]-H$4)</f>
        <v>31781</v>
      </c>
      <c r="D8420" s="1">
        <f>IF(Tabela1[[#This Row],[promien]]&lt;40000,1,0)</f>
        <v>1</v>
      </c>
      <c r="E8420" s="1">
        <f>IF(Tabela1[[#This Row],[promien]]=40000,1,0)</f>
        <v>0</v>
      </c>
      <c r="F8420" s="1">
        <v>3.1439429928741092</v>
      </c>
      <c r="G8420" s="1">
        <v>2.3503392843160498E-3</v>
      </c>
    </row>
    <row r="8421" spans="1:7">
      <c r="A8421">
        <v>281</v>
      </c>
      <c r="B8421">
        <v>147</v>
      </c>
      <c r="C8421" s="1">
        <f>(Tabela1[[#This Row],[x]]-H$3)*(Tabela1[[#This Row],[x]]-H$3) +(Tabela1[[#This Row],[y]]-H$4)*(Tabela1[[#This Row],[y]]-H$4)</f>
        <v>9370</v>
      </c>
      <c r="D8421" s="1">
        <f>IF(Tabela1[[#This Row],[promien]]&lt;40000,1,0)</f>
        <v>1</v>
      </c>
      <c r="E8421" s="1">
        <f>IF(Tabela1[[#This Row],[promien]]=40000,1,0)</f>
        <v>0</v>
      </c>
      <c r="F8421" s="1">
        <v>3.1440446502790644</v>
      </c>
      <c r="G8421" s="1">
        <v>2.4519966892713185E-3</v>
      </c>
    </row>
    <row r="8422" spans="1:7">
      <c r="A8422">
        <v>53</v>
      </c>
      <c r="B8422">
        <v>393</v>
      </c>
      <c r="C8422" s="1">
        <f>(Tabela1[[#This Row],[x]]-H$3)*(Tabela1[[#This Row],[x]]-H$3) +(Tabela1[[#This Row],[y]]-H$4)*(Tabela1[[#This Row],[y]]-H$4)</f>
        <v>58858</v>
      </c>
      <c r="D8422" s="1">
        <f>IF(Tabela1[[#This Row],[promien]]&lt;40000,1,0)</f>
        <v>0</v>
      </c>
      <c r="E8422" s="1">
        <f>IF(Tabela1[[#This Row],[promien]]=40000,1,0)</f>
        <v>0</v>
      </c>
      <c r="F8422" s="1">
        <v>3.1436713369745903</v>
      </c>
      <c r="G8422" s="1">
        <v>2.0786833847972197E-3</v>
      </c>
    </row>
    <row r="8423" spans="1:7">
      <c r="A8423">
        <v>285</v>
      </c>
      <c r="B8423">
        <v>325</v>
      </c>
      <c r="C8423" s="1">
        <f>(Tabela1[[#This Row],[x]]-H$3)*(Tabela1[[#This Row],[x]]-H$3) +(Tabela1[[#This Row],[y]]-H$4)*(Tabela1[[#This Row],[y]]-H$4)</f>
        <v>22850</v>
      </c>
      <c r="D8423" s="1">
        <f>IF(Tabela1[[#This Row],[promien]]&lt;40000,1,0)</f>
        <v>1</v>
      </c>
      <c r="E8423" s="1">
        <f>IF(Tabela1[[#This Row],[promien]]=40000,1,0)</f>
        <v>0</v>
      </c>
      <c r="F8423" s="1">
        <v>3.1437730024931736</v>
      </c>
      <c r="G8423" s="1">
        <v>2.1803489033804802E-3</v>
      </c>
    </row>
    <row r="8424" spans="1:7">
      <c r="A8424">
        <v>329</v>
      </c>
      <c r="B8424">
        <v>10</v>
      </c>
      <c r="C8424" s="1">
        <f>(Tabela1[[#This Row],[x]]-H$3)*(Tabela1[[#This Row],[x]]-H$3) +(Tabela1[[#This Row],[y]]-H$4)*(Tabela1[[#This Row],[y]]-H$4)</f>
        <v>52741</v>
      </c>
      <c r="D8424" s="1">
        <f>IF(Tabela1[[#This Row],[promien]]&lt;40000,1,0)</f>
        <v>0</v>
      </c>
      <c r="E8424" s="1">
        <f>IF(Tabela1[[#This Row],[promien]]=40000,1,0)</f>
        <v>0</v>
      </c>
      <c r="F8424" s="1">
        <v>3.1433998100664766</v>
      </c>
      <c r="G8424" s="1">
        <v>1.8071564766835024E-3</v>
      </c>
    </row>
    <row r="8425" spans="1:7">
      <c r="A8425">
        <v>123</v>
      </c>
      <c r="B8425">
        <v>120</v>
      </c>
      <c r="C8425" s="1">
        <f>(Tabela1[[#This Row],[x]]-H$3)*(Tabela1[[#This Row],[x]]-H$3) +(Tabela1[[#This Row],[y]]-H$4)*(Tabela1[[#This Row],[y]]-H$4)</f>
        <v>12329</v>
      </c>
      <c r="D8425" s="1">
        <f>IF(Tabela1[[#This Row],[promien]]&lt;40000,1,0)</f>
        <v>1</v>
      </c>
      <c r="E8425" s="1">
        <f>IF(Tabela1[[#This Row],[promien]]=40000,1,0)</f>
        <v>0</v>
      </c>
      <c r="F8425" s="1">
        <v>3.1435014836795254</v>
      </c>
      <c r="G8425" s="1">
        <v>1.9088300897323052E-3</v>
      </c>
    </row>
    <row r="8426" spans="1:7">
      <c r="A8426">
        <v>121</v>
      </c>
      <c r="B8426">
        <v>47</v>
      </c>
      <c r="C8426" s="1">
        <f>(Tabela1[[#This Row],[x]]-H$3)*(Tabela1[[#This Row],[x]]-H$3) +(Tabela1[[#This Row],[y]]-H$4)*(Tabela1[[#This Row],[y]]-H$4)</f>
        <v>29650</v>
      </c>
      <c r="D8426" s="1">
        <f>IF(Tabela1[[#This Row],[promien]]&lt;40000,1,0)</f>
        <v>1</v>
      </c>
      <c r="E8426" s="1">
        <f>IF(Tabela1[[#This Row],[promien]]=40000,1,0)</f>
        <v>0</v>
      </c>
      <c r="F8426" s="1">
        <v>3.1436031331592691</v>
      </c>
      <c r="G8426" s="1">
        <v>2.0104795694759758E-3</v>
      </c>
    </row>
    <row r="8427" spans="1:7">
      <c r="A8427">
        <v>306</v>
      </c>
      <c r="B8427">
        <v>69</v>
      </c>
      <c r="C8427" s="1">
        <f>(Tabela1[[#This Row],[x]]-H$3)*(Tabela1[[#This Row],[x]]-H$3) +(Tabela1[[#This Row],[y]]-H$4)*(Tabela1[[#This Row],[y]]-H$4)</f>
        <v>28397</v>
      </c>
      <c r="D8427" s="1">
        <f>IF(Tabela1[[#This Row],[promien]]&lt;40000,1,0)</f>
        <v>1</v>
      </c>
      <c r="E8427" s="1">
        <f>IF(Tabela1[[#This Row],[promien]]=40000,1,0)</f>
        <v>0</v>
      </c>
      <c r="F8427" s="1">
        <v>3.1437047585142994</v>
      </c>
      <c r="G8427" s="1">
        <v>2.1121049245063084E-3</v>
      </c>
    </row>
    <row r="8428" spans="1:7">
      <c r="A8428">
        <v>336</v>
      </c>
      <c r="B8428">
        <v>42</v>
      </c>
      <c r="C8428" s="1">
        <f>(Tabela1[[#This Row],[x]]-H$3)*(Tabela1[[#This Row],[x]]-H$3) +(Tabela1[[#This Row],[y]]-H$4)*(Tabela1[[#This Row],[y]]-H$4)</f>
        <v>43460</v>
      </c>
      <c r="D8428" s="1">
        <f>IF(Tabela1[[#This Row],[promien]]&lt;40000,1,0)</f>
        <v>0</v>
      </c>
      <c r="E8428" s="1">
        <f>IF(Tabela1[[#This Row],[promien]]=40000,1,0)</f>
        <v>0</v>
      </c>
      <c r="F8428" s="1">
        <v>3.1433317513051731</v>
      </c>
      <c r="G8428" s="1">
        <v>1.7390977153799447E-3</v>
      </c>
    </row>
    <row r="8429" spans="1:7">
      <c r="A8429">
        <v>56</v>
      </c>
      <c r="B8429">
        <v>155</v>
      </c>
      <c r="C8429" s="1">
        <f>(Tabela1[[#This Row],[x]]-H$3)*(Tabela1[[#This Row],[x]]-H$3) +(Tabela1[[#This Row],[y]]-H$4)*(Tabela1[[#This Row],[y]]-H$4)</f>
        <v>22761</v>
      </c>
      <c r="D8429" s="1">
        <f>IF(Tabela1[[#This Row],[promien]]&lt;40000,1,0)</f>
        <v>1</v>
      </c>
      <c r="E8429" s="1">
        <f>IF(Tabela1[[#This Row],[promien]]=40000,1,0)</f>
        <v>0</v>
      </c>
      <c r="F8429" s="1">
        <v>3.1434333847431488</v>
      </c>
      <c r="G8429" s="1">
        <v>1.8407311533557014E-3</v>
      </c>
    </row>
    <row r="8430" spans="1:7">
      <c r="A8430">
        <v>356</v>
      </c>
      <c r="B8430">
        <v>192</v>
      </c>
      <c r="C8430" s="1">
        <f>(Tabela1[[#This Row],[x]]-H$3)*(Tabela1[[#This Row],[x]]-H$3) +(Tabela1[[#This Row],[y]]-H$4)*(Tabela1[[#This Row],[y]]-H$4)</f>
        <v>24400</v>
      </c>
      <c r="D8430" s="1">
        <f>IF(Tabela1[[#This Row],[promien]]&lt;40000,1,0)</f>
        <v>1</v>
      </c>
      <c r="E8430" s="1">
        <f>IF(Tabela1[[#This Row],[promien]]=40000,1,0)</f>
        <v>0</v>
      </c>
      <c r="F8430" s="1">
        <v>3.1435349940688018</v>
      </c>
      <c r="G8430" s="1">
        <v>1.9423404790086529E-3</v>
      </c>
    </row>
    <row r="8431" spans="1:7">
      <c r="A8431">
        <v>307</v>
      </c>
      <c r="B8431">
        <v>349</v>
      </c>
      <c r="C8431" s="1">
        <f>(Tabela1[[#This Row],[x]]-H$3)*(Tabela1[[#This Row],[x]]-H$3) +(Tabela1[[#This Row],[y]]-H$4)*(Tabela1[[#This Row],[y]]-H$4)</f>
        <v>33650</v>
      </c>
      <c r="D8431" s="1">
        <f>IF(Tabela1[[#This Row],[promien]]&lt;40000,1,0)</f>
        <v>1</v>
      </c>
      <c r="E8431" s="1">
        <f>IF(Tabela1[[#This Row],[promien]]=40000,1,0)</f>
        <v>0</v>
      </c>
      <c r="F8431" s="1">
        <v>3.1436365792907131</v>
      </c>
      <c r="G8431" s="1">
        <v>2.0439257009199352E-3</v>
      </c>
    </row>
    <row r="8432" spans="1:7">
      <c r="A8432">
        <v>24</v>
      </c>
      <c r="B8432">
        <v>163</v>
      </c>
      <c r="C8432" s="1">
        <f>(Tabela1[[#This Row],[x]]-H$3)*(Tabela1[[#This Row],[x]]-H$3) +(Tabela1[[#This Row],[y]]-H$4)*(Tabela1[[#This Row],[y]]-H$4)</f>
        <v>32345</v>
      </c>
      <c r="D8432" s="1">
        <f>IF(Tabela1[[#This Row],[promien]]&lt;40000,1,0)</f>
        <v>1</v>
      </c>
      <c r="E8432" s="1">
        <f>IF(Tabela1[[#This Row],[promien]]=40000,1,0)</f>
        <v>0</v>
      </c>
      <c r="F8432" s="1">
        <v>3.1437381404174571</v>
      </c>
      <c r="G8432" s="1">
        <v>2.1454868276640227E-3</v>
      </c>
    </row>
    <row r="8433" spans="1:7">
      <c r="A8433">
        <v>251</v>
      </c>
      <c r="B8433">
        <v>127</v>
      </c>
      <c r="C8433" s="1">
        <f>(Tabela1[[#This Row],[x]]-H$3)*(Tabela1[[#This Row],[x]]-H$3) +(Tabela1[[#This Row],[y]]-H$4)*(Tabela1[[#This Row],[y]]-H$4)</f>
        <v>7930</v>
      </c>
      <c r="D8433" s="1">
        <f>IF(Tabela1[[#This Row],[promien]]&lt;40000,1,0)</f>
        <v>1</v>
      </c>
      <c r="E8433" s="1">
        <f>IF(Tabela1[[#This Row],[promien]]=40000,1,0)</f>
        <v>0</v>
      </c>
      <c r="F8433" s="1">
        <v>3.1438396774576072</v>
      </c>
      <c r="G8433" s="1">
        <v>2.2470238678140575E-3</v>
      </c>
    </row>
    <row r="8434" spans="1:7">
      <c r="A8434">
        <v>165</v>
      </c>
      <c r="B8434">
        <v>183</v>
      </c>
      <c r="C8434" s="1">
        <f>(Tabela1[[#This Row],[x]]-H$3)*(Tabela1[[#This Row],[x]]-H$3) +(Tabela1[[#This Row],[y]]-H$4)*(Tabela1[[#This Row],[y]]-H$4)</f>
        <v>1514</v>
      </c>
      <c r="D8434" s="1">
        <f>IF(Tabela1[[#This Row],[promien]]&lt;40000,1,0)</f>
        <v>1</v>
      </c>
      <c r="E8434" s="1">
        <f>IF(Tabela1[[#This Row],[promien]]=40000,1,0)</f>
        <v>0</v>
      </c>
      <c r="F8434" s="1">
        <v>3.1439411904197296</v>
      </c>
      <c r="G8434" s="1">
        <v>2.3485368299365206E-3</v>
      </c>
    </row>
    <row r="8435" spans="1:7">
      <c r="A8435">
        <v>6</v>
      </c>
      <c r="B8435">
        <v>135</v>
      </c>
      <c r="C8435" s="1">
        <f>(Tabela1[[#This Row],[x]]-H$3)*(Tabela1[[#This Row],[x]]-H$3) +(Tabela1[[#This Row],[y]]-H$4)*(Tabela1[[#This Row],[y]]-H$4)</f>
        <v>41861</v>
      </c>
      <c r="D8435" s="1">
        <f>IF(Tabela1[[#This Row],[promien]]&lt;40000,1,0)</f>
        <v>0</v>
      </c>
      <c r="E8435" s="1">
        <f>IF(Tabela1[[#This Row],[promien]]=40000,1,0)</f>
        <v>0</v>
      </c>
      <c r="F8435" s="1">
        <v>3.1435684647302904</v>
      </c>
      <c r="G8435" s="1">
        <v>1.9758111404972745E-3</v>
      </c>
    </row>
    <row r="8436" spans="1:7">
      <c r="A8436">
        <v>287</v>
      </c>
      <c r="B8436">
        <v>282</v>
      </c>
      <c r="C8436" s="1">
        <f>(Tabela1[[#This Row],[x]]-H$3)*(Tabela1[[#This Row],[x]]-H$3) +(Tabela1[[#This Row],[y]]-H$4)*(Tabela1[[#This Row],[y]]-H$4)</f>
        <v>14293</v>
      </c>
      <c r="D8436" s="1">
        <f>IF(Tabela1[[#This Row],[promien]]&lt;40000,1,0)</f>
        <v>1</v>
      </c>
      <c r="E8436" s="1">
        <f>IF(Tabela1[[#This Row],[promien]]=40000,1,0)</f>
        <v>0</v>
      </c>
      <c r="F8436" s="1">
        <v>3.143669985775249</v>
      </c>
      <c r="G8436" s="1">
        <v>2.0773321854559157E-3</v>
      </c>
    </row>
    <row r="8437" spans="1:7">
      <c r="A8437">
        <v>80</v>
      </c>
      <c r="B8437">
        <v>266</v>
      </c>
      <c r="C8437" s="1">
        <f>(Tabela1[[#This Row],[x]]-H$3)*(Tabela1[[#This Row],[x]]-H$3) +(Tabela1[[#This Row],[y]]-H$4)*(Tabela1[[#This Row],[y]]-H$4)</f>
        <v>18756</v>
      </c>
      <c r="D8437" s="1">
        <f>IF(Tabela1[[#This Row],[promien]]&lt;40000,1,0)</f>
        <v>1</v>
      </c>
      <c r="E8437" s="1">
        <f>IF(Tabela1[[#This Row],[promien]]=40000,1,0)</f>
        <v>0</v>
      </c>
      <c r="F8437" s="1">
        <v>3.1437714827545338</v>
      </c>
      <c r="G8437" s="1">
        <v>2.1788291647406588E-3</v>
      </c>
    </row>
    <row r="8438" spans="1:7">
      <c r="A8438">
        <v>104</v>
      </c>
      <c r="B8438">
        <v>309</v>
      </c>
      <c r="C8438" s="1">
        <f>(Tabela1[[#This Row],[x]]-H$3)*(Tabela1[[#This Row],[x]]-H$3) +(Tabela1[[#This Row],[y]]-H$4)*(Tabela1[[#This Row],[y]]-H$4)</f>
        <v>21097</v>
      </c>
      <c r="D8438" s="1">
        <f>IF(Tabela1[[#This Row],[promien]]&lt;40000,1,0)</f>
        <v>1</v>
      </c>
      <c r="E8438" s="1">
        <f>IF(Tabela1[[#This Row],[promien]]=40000,1,0)</f>
        <v>0</v>
      </c>
      <c r="F8438" s="1">
        <v>3.1438729556767004</v>
      </c>
      <c r="G8438" s="1">
        <v>2.2803020869073265E-3</v>
      </c>
    </row>
    <row r="8439" spans="1:7">
      <c r="A8439">
        <v>161</v>
      </c>
      <c r="B8439">
        <v>307</v>
      </c>
      <c r="C8439" s="1">
        <f>(Tabela1[[#This Row],[x]]-H$3)*(Tabela1[[#This Row],[x]]-H$3) +(Tabela1[[#This Row],[y]]-H$4)*(Tabela1[[#This Row],[y]]-H$4)</f>
        <v>12970</v>
      </c>
      <c r="D8439" s="1">
        <f>IF(Tabela1[[#This Row],[promien]]&lt;40000,1,0)</f>
        <v>1</v>
      </c>
      <c r="E8439" s="1">
        <f>IF(Tabela1[[#This Row],[promien]]=40000,1,0)</f>
        <v>0</v>
      </c>
      <c r="F8439" s="1">
        <v>3.1439744045503022</v>
      </c>
      <c r="G8439" s="1">
        <v>2.381750960509077E-3</v>
      </c>
    </row>
    <row r="8440" spans="1:7">
      <c r="A8440">
        <v>320</v>
      </c>
      <c r="B8440">
        <v>228</v>
      </c>
      <c r="C8440" s="1">
        <f>(Tabela1[[#This Row],[x]]-H$3)*(Tabela1[[#This Row],[x]]-H$3) +(Tabela1[[#This Row],[y]]-H$4)*(Tabela1[[#This Row],[y]]-H$4)</f>
        <v>15184</v>
      </c>
      <c r="D8440" s="1">
        <f>IF(Tabela1[[#This Row],[promien]]&lt;40000,1,0)</f>
        <v>1</v>
      </c>
      <c r="E8440" s="1">
        <f>IF(Tabela1[[#This Row],[promien]]=40000,1,0)</f>
        <v>0</v>
      </c>
      <c r="F8440" s="1">
        <v>3.1440758293838864</v>
      </c>
      <c r="G8440" s="1">
        <v>2.4831757940932953E-3</v>
      </c>
    </row>
    <row r="8441" spans="1:7">
      <c r="A8441">
        <v>362</v>
      </c>
      <c r="B8441">
        <v>256</v>
      </c>
      <c r="C8441" s="1">
        <f>(Tabela1[[#This Row],[x]]-H$3)*(Tabela1[[#This Row],[x]]-H$3) +(Tabela1[[#This Row],[y]]-H$4)*(Tabela1[[#This Row],[y]]-H$4)</f>
        <v>29380</v>
      </c>
      <c r="D8441" s="1">
        <f>IF(Tabela1[[#This Row],[promien]]&lt;40000,1,0)</f>
        <v>1</v>
      </c>
      <c r="E8441" s="1">
        <f>IF(Tabela1[[#This Row],[promien]]=40000,1,0)</f>
        <v>0</v>
      </c>
      <c r="F8441" s="1">
        <v>3.1441772301859969</v>
      </c>
      <c r="G8441" s="1">
        <v>2.5845765962038136E-3</v>
      </c>
    </row>
    <row r="8442" spans="1:7">
      <c r="A8442">
        <v>51</v>
      </c>
      <c r="B8442">
        <v>389</v>
      </c>
      <c r="C8442" s="1">
        <f>(Tabela1[[#This Row],[x]]-H$3)*(Tabela1[[#This Row],[x]]-H$3) +(Tabela1[[#This Row],[y]]-H$4)*(Tabela1[[#This Row],[y]]-H$4)</f>
        <v>57922</v>
      </c>
      <c r="D8442" s="1">
        <f>IF(Tabela1[[#This Row],[promien]]&lt;40000,1,0)</f>
        <v>0</v>
      </c>
      <c r="E8442" s="1">
        <f>IF(Tabela1[[#This Row],[promien]]=40000,1,0)</f>
        <v>0</v>
      </c>
      <c r="F8442" s="1">
        <v>3.1438047855958304</v>
      </c>
      <c r="G8442" s="1">
        <v>2.2121320060373151E-3</v>
      </c>
    </row>
    <row r="8443" spans="1:7">
      <c r="A8443">
        <v>4</v>
      </c>
      <c r="B8443">
        <v>143</v>
      </c>
      <c r="C8443" s="1">
        <f>(Tabela1[[#This Row],[x]]-H$3)*(Tabela1[[#This Row],[x]]-H$3) +(Tabela1[[#This Row],[y]]-H$4)*(Tabela1[[#This Row],[y]]-H$4)</f>
        <v>41665</v>
      </c>
      <c r="D8443" s="1">
        <f>IF(Tabela1[[#This Row],[promien]]&lt;40000,1,0)</f>
        <v>0</v>
      </c>
      <c r="E8443" s="1">
        <f>IF(Tabela1[[#This Row],[promien]]=40000,1,0)</f>
        <v>0</v>
      </c>
      <c r="F8443" s="1">
        <v>3.143432429231316</v>
      </c>
      <c r="G8443" s="1">
        <v>1.8397756415229338E-3</v>
      </c>
    </row>
    <row r="8444" spans="1:7">
      <c r="A8444">
        <v>222</v>
      </c>
      <c r="B8444">
        <v>62</v>
      </c>
      <c r="C8444" s="1">
        <f>(Tabela1[[#This Row],[x]]-H$3)*(Tabela1[[#This Row],[x]]-H$3) +(Tabela1[[#This Row],[y]]-H$4)*(Tabela1[[#This Row],[y]]-H$4)</f>
        <v>19528</v>
      </c>
      <c r="D8444" s="1">
        <f>IF(Tabela1[[#This Row],[promien]]&lt;40000,1,0)</f>
        <v>1</v>
      </c>
      <c r="E8444" s="1">
        <f>IF(Tabela1[[#This Row],[promien]]=40000,1,0)</f>
        <v>0</v>
      </c>
      <c r="F8444" s="1">
        <v>3.143533870203695</v>
      </c>
      <c r="G8444" s="1">
        <v>1.9412166139018971E-3</v>
      </c>
    </row>
    <row r="8445" spans="1:7">
      <c r="A8445">
        <v>78</v>
      </c>
      <c r="B8445">
        <v>229</v>
      </c>
      <c r="C8445" s="1">
        <f>(Tabela1[[#This Row],[x]]-H$3)*(Tabela1[[#This Row],[x]]-H$3) +(Tabela1[[#This Row],[y]]-H$4)*(Tabela1[[#This Row],[y]]-H$4)</f>
        <v>15725</v>
      </c>
      <c r="D8445" s="1">
        <f>IF(Tabela1[[#This Row],[promien]]&lt;40000,1,0)</f>
        <v>1</v>
      </c>
      <c r="E8445" s="1">
        <f>IF(Tabela1[[#This Row],[promien]]=40000,1,0)</f>
        <v>0</v>
      </c>
      <c r="F8445" s="1">
        <v>3.1436352871521609</v>
      </c>
      <c r="G8445" s="1">
        <v>2.0426335623677794E-3</v>
      </c>
    </row>
    <row r="8446" spans="1:7">
      <c r="A8446">
        <v>352</v>
      </c>
      <c r="B8446">
        <v>307</v>
      </c>
      <c r="C8446" s="1">
        <f>(Tabela1[[#This Row],[x]]-H$3)*(Tabela1[[#This Row],[x]]-H$3) +(Tabela1[[#This Row],[y]]-H$4)*(Tabela1[[#This Row],[y]]-H$4)</f>
        <v>34553</v>
      </c>
      <c r="D8446" s="1">
        <f>IF(Tabela1[[#This Row],[promien]]&lt;40000,1,0)</f>
        <v>1</v>
      </c>
      <c r="E8446" s="1">
        <f>IF(Tabela1[[#This Row],[promien]]=40000,1,0)</f>
        <v>0</v>
      </c>
      <c r="F8446" s="1">
        <v>3.1437366800852473</v>
      </c>
      <c r="G8446" s="1">
        <v>2.1440264954541988E-3</v>
      </c>
    </row>
    <row r="8447" spans="1:7">
      <c r="A8447">
        <v>352</v>
      </c>
      <c r="B8447">
        <v>206</v>
      </c>
      <c r="C8447" s="1">
        <f>(Tabela1[[#This Row],[x]]-H$3)*(Tabela1[[#This Row],[x]]-H$3) +(Tabela1[[#This Row],[y]]-H$4)*(Tabela1[[#This Row],[y]]-H$4)</f>
        <v>23140</v>
      </c>
      <c r="D8447" s="1">
        <f>IF(Tabela1[[#This Row],[promien]]&lt;40000,1,0)</f>
        <v>1</v>
      </c>
      <c r="E8447" s="1">
        <f>IF(Tabela1[[#This Row],[promien]]=40000,1,0)</f>
        <v>0</v>
      </c>
      <c r="F8447" s="1">
        <v>3.1438380490114834</v>
      </c>
      <c r="G8447" s="1">
        <v>2.2453954216903327E-3</v>
      </c>
    </row>
    <row r="8448" spans="1:7">
      <c r="A8448">
        <v>83</v>
      </c>
      <c r="B8448">
        <v>66</v>
      </c>
      <c r="C8448" s="1">
        <f>(Tabela1[[#This Row],[x]]-H$3)*(Tabela1[[#This Row],[x]]-H$3) +(Tabela1[[#This Row],[y]]-H$4)*(Tabela1[[#This Row],[y]]-H$4)</f>
        <v>31645</v>
      </c>
      <c r="D8448" s="1">
        <f>IF(Tabela1[[#This Row],[promien]]&lt;40000,1,0)</f>
        <v>1</v>
      </c>
      <c r="E8448" s="1">
        <f>IF(Tabela1[[#This Row],[promien]]=40000,1,0)</f>
        <v>0</v>
      </c>
      <c r="F8448" s="1">
        <v>3.143939393939394</v>
      </c>
      <c r="G8448" s="1">
        <v>2.3467403496009176E-3</v>
      </c>
    </row>
    <row r="8449" spans="1:7">
      <c r="A8449">
        <v>1</v>
      </c>
      <c r="B8449">
        <v>372</v>
      </c>
      <c r="C8449" s="1">
        <f>(Tabela1[[#This Row],[x]]-H$3)*(Tabela1[[#This Row],[x]]-H$3) +(Tabela1[[#This Row],[y]]-H$4)*(Tabela1[[#This Row],[y]]-H$4)</f>
        <v>69185</v>
      </c>
      <c r="D8449" s="1">
        <f>IF(Tabela1[[#This Row],[promien]]&lt;40000,1,0)</f>
        <v>0</v>
      </c>
      <c r="E8449" s="1">
        <f>IF(Tabela1[[#This Row],[promien]]=40000,1,0)</f>
        <v>0</v>
      </c>
      <c r="F8449" s="1">
        <v>3.1435672860693575</v>
      </c>
      <c r="G8449" s="1">
        <v>1.9746324795644199E-3</v>
      </c>
    </row>
    <row r="8450" spans="1:7">
      <c r="A8450">
        <v>143</v>
      </c>
      <c r="B8450">
        <v>349</v>
      </c>
      <c r="C8450" s="1">
        <f>(Tabela1[[#This Row],[x]]-H$3)*(Tabela1[[#This Row],[x]]-H$3) +(Tabela1[[#This Row],[y]]-H$4)*(Tabela1[[#This Row],[y]]-H$4)</f>
        <v>25450</v>
      </c>
      <c r="D8450" s="1">
        <f>IF(Tabela1[[#This Row],[promien]]&lt;40000,1,0)</f>
        <v>1</v>
      </c>
      <c r="E8450" s="1">
        <f>IF(Tabela1[[#This Row],[promien]]=40000,1,0)</f>
        <v>0</v>
      </c>
      <c r="F8450" s="1">
        <v>3.1436686390532542</v>
      </c>
      <c r="G8450" s="1">
        <v>2.0759854634611052E-3</v>
      </c>
    </row>
    <row r="8451" spans="1:7">
      <c r="A8451">
        <v>317</v>
      </c>
      <c r="B8451">
        <v>377</v>
      </c>
      <c r="C8451" s="1">
        <f>(Tabela1[[#This Row],[x]]-H$3)*(Tabela1[[#This Row],[x]]-H$3) +(Tabela1[[#This Row],[y]]-H$4)*(Tabela1[[#This Row],[y]]-H$4)</f>
        <v>45018</v>
      </c>
      <c r="D8451" s="1">
        <f>IF(Tabela1[[#This Row],[promien]]&lt;40000,1,0)</f>
        <v>0</v>
      </c>
      <c r="E8451" s="1">
        <f>IF(Tabela1[[#This Row],[promien]]=40000,1,0)</f>
        <v>0</v>
      </c>
      <c r="F8451" s="1">
        <v>3.1432966512838716</v>
      </c>
      <c r="G8451" s="1">
        <v>1.703997694078474E-3</v>
      </c>
    </row>
    <row r="8452" spans="1:7">
      <c r="A8452">
        <v>338</v>
      </c>
      <c r="B8452">
        <v>269</v>
      </c>
      <c r="C8452" s="1">
        <f>(Tabela1[[#This Row],[x]]-H$3)*(Tabela1[[#This Row],[x]]-H$3) +(Tabela1[[#This Row],[y]]-H$4)*(Tabela1[[#This Row],[y]]-H$4)</f>
        <v>23805</v>
      </c>
      <c r="D8452" s="1">
        <f>IF(Tabela1[[#This Row],[promien]]&lt;40000,1,0)</f>
        <v>1</v>
      </c>
      <c r="E8452" s="1">
        <f>IF(Tabela1[[#This Row],[promien]]=40000,1,0)</f>
        <v>0</v>
      </c>
      <c r="F8452" s="1">
        <v>3.1433980123047798</v>
      </c>
      <c r="G8452" s="1">
        <v>1.8053587149866601E-3</v>
      </c>
    </row>
    <row r="8453" spans="1:7">
      <c r="A8453">
        <v>286</v>
      </c>
      <c r="B8453">
        <v>220</v>
      </c>
      <c r="C8453" s="1">
        <f>(Tabela1[[#This Row],[x]]-H$3)*(Tabela1[[#This Row],[x]]-H$3) +(Tabela1[[#This Row],[y]]-H$4)*(Tabela1[[#This Row],[y]]-H$4)</f>
        <v>7796</v>
      </c>
      <c r="D8453" s="1">
        <f>IF(Tabela1[[#This Row],[promien]]&lt;40000,1,0)</f>
        <v>1</v>
      </c>
      <c r="E8453" s="1">
        <f>IF(Tabela1[[#This Row],[promien]]=40000,1,0)</f>
        <v>0</v>
      </c>
      <c r="F8453" s="1">
        <v>3.1434993493434282</v>
      </c>
      <c r="G8453" s="1">
        <v>1.9066957536351126E-3</v>
      </c>
    </row>
    <row r="8454" spans="1:7">
      <c r="A8454">
        <v>58</v>
      </c>
      <c r="B8454">
        <v>361</v>
      </c>
      <c r="C8454" s="1">
        <f>(Tabela1[[#This Row],[x]]-H$3)*(Tabela1[[#This Row],[x]]-H$3) +(Tabela1[[#This Row],[y]]-H$4)*(Tabela1[[#This Row],[y]]-H$4)</f>
        <v>46085</v>
      </c>
      <c r="D8454" s="1">
        <f>IF(Tabela1[[#This Row],[promien]]&lt;40000,1,0)</f>
        <v>0</v>
      </c>
      <c r="E8454" s="1">
        <f>IF(Tabela1[[#This Row],[promien]]=40000,1,0)</f>
        <v>0</v>
      </c>
      <c r="F8454" s="1">
        <v>3.1431275136030283</v>
      </c>
      <c r="G8454" s="1">
        <v>1.5348600132352175E-3</v>
      </c>
    </row>
    <row r="8455" spans="1:7">
      <c r="A8455">
        <v>65</v>
      </c>
      <c r="B8455">
        <v>76</v>
      </c>
      <c r="C8455" s="1">
        <f>(Tabela1[[#This Row],[x]]-H$3)*(Tabela1[[#This Row],[x]]-H$3) +(Tabela1[[#This Row],[y]]-H$4)*(Tabela1[[#This Row],[y]]-H$4)</f>
        <v>33601</v>
      </c>
      <c r="D8455" s="1">
        <f>IF(Tabela1[[#This Row],[promien]]&lt;40000,1,0)</f>
        <v>1</v>
      </c>
      <c r="E8455" s="1">
        <f>IF(Tabela1[[#This Row],[promien]]=40000,1,0)</f>
        <v>0</v>
      </c>
      <c r="F8455" s="1">
        <v>3.1432288586635129</v>
      </c>
      <c r="G8455" s="1">
        <v>1.6362050737197542E-3</v>
      </c>
    </row>
    <row r="8456" spans="1:7">
      <c r="A8456">
        <v>333</v>
      </c>
      <c r="B8456">
        <v>368</v>
      </c>
      <c r="C8456" s="1">
        <f>(Tabela1[[#This Row],[x]]-H$3)*(Tabela1[[#This Row],[x]]-H$3) +(Tabela1[[#This Row],[y]]-H$4)*(Tabela1[[#This Row],[y]]-H$4)</f>
        <v>45913</v>
      </c>
      <c r="D8456" s="1">
        <f>IF(Tabela1[[#This Row],[promien]]&lt;40000,1,0)</f>
        <v>0</v>
      </c>
      <c r="E8456" s="1">
        <f>IF(Tabela1[[#This Row],[promien]]=40000,1,0)</f>
        <v>0</v>
      </c>
      <c r="F8456" s="1">
        <v>3.1428571428571428</v>
      </c>
      <c r="G8456" s="1">
        <v>1.2644892673496777E-3</v>
      </c>
    </row>
    <row r="8457" spans="1:7">
      <c r="A8457">
        <v>334</v>
      </c>
      <c r="B8457">
        <v>63</v>
      </c>
      <c r="C8457" s="1">
        <f>(Tabela1[[#This Row],[x]]-H$3)*(Tabela1[[#This Row],[x]]-H$3) +(Tabela1[[#This Row],[y]]-H$4)*(Tabela1[[#This Row],[y]]-H$4)</f>
        <v>36725</v>
      </c>
      <c r="D8457" s="1">
        <f>IF(Tabela1[[#This Row],[promien]]&lt;40000,1,0)</f>
        <v>1</v>
      </c>
      <c r="E8457" s="1">
        <f>IF(Tabela1[[#This Row],[promien]]=40000,1,0)</f>
        <v>0</v>
      </c>
      <c r="F8457" s="1">
        <v>3.142958495920539</v>
      </c>
      <c r="G8457" s="1">
        <v>1.3658423307458811E-3</v>
      </c>
    </row>
    <row r="8458" spans="1:7">
      <c r="A8458">
        <v>335</v>
      </c>
      <c r="B8458">
        <v>118</v>
      </c>
      <c r="C8458" s="1">
        <f>(Tabela1[[#This Row],[x]]-H$3)*(Tabela1[[#This Row],[x]]-H$3) +(Tabela1[[#This Row],[y]]-H$4)*(Tabela1[[#This Row],[y]]-H$4)</f>
        <v>24949</v>
      </c>
      <c r="D8458" s="1">
        <f>IF(Tabela1[[#This Row],[promien]]&lt;40000,1,0)</f>
        <v>1</v>
      </c>
      <c r="E8458" s="1">
        <f>IF(Tabela1[[#This Row],[promien]]=40000,1,0)</f>
        <v>0</v>
      </c>
      <c r="F8458" s="1">
        <v>3.1430598250177346</v>
      </c>
      <c r="G8458" s="1">
        <v>1.4671714279415049E-3</v>
      </c>
    </row>
    <row r="8459" spans="1:7">
      <c r="A8459">
        <v>360</v>
      </c>
      <c r="B8459">
        <v>86</v>
      </c>
      <c r="C8459" s="1">
        <f>(Tabela1[[#This Row],[x]]-H$3)*(Tabela1[[#This Row],[x]]-H$3) +(Tabela1[[#This Row],[y]]-H$4)*(Tabela1[[#This Row],[y]]-H$4)</f>
        <v>38596</v>
      </c>
      <c r="D8459" s="1">
        <f>IF(Tabela1[[#This Row],[promien]]&lt;40000,1,0)</f>
        <v>1</v>
      </c>
      <c r="E8459" s="1">
        <f>IF(Tabela1[[#This Row],[promien]]=40000,1,0)</f>
        <v>0</v>
      </c>
      <c r="F8459" s="1">
        <v>3.1431611301572291</v>
      </c>
      <c r="G8459" s="1">
        <v>1.5684765674359724E-3</v>
      </c>
    </row>
    <row r="8460" spans="1:7">
      <c r="A8460">
        <v>126</v>
      </c>
      <c r="B8460">
        <v>262</v>
      </c>
      <c r="C8460" s="1">
        <f>(Tabela1[[#This Row],[x]]-H$3)*(Tabela1[[#This Row],[x]]-H$3) +(Tabela1[[#This Row],[y]]-H$4)*(Tabela1[[#This Row],[y]]-H$4)</f>
        <v>9320</v>
      </c>
      <c r="D8460" s="1">
        <f>IF(Tabela1[[#This Row],[promien]]&lt;40000,1,0)</f>
        <v>1</v>
      </c>
      <c r="E8460" s="1">
        <f>IF(Tabela1[[#This Row],[promien]]=40000,1,0)</f>
        <v>0</v>
      </c>
      <c r="F8460" s="1">
        <v>3.1432624113475178</v>
      </c>
      <c r="G8460" s="1">
        <v>1.6697577577247102E-3</v>
      </c>
    </row>
    <row r="8461" spans="1:7">
      <c r="A8461">
        <v>298</v>
      </c>
      <c r="B8461">
        <v>380</v>
      </c>
      <c r="C8461" s="1">
        <f>(Tabela1[[#This Row],[x]]-H$3)*(Tabela1[[#This Row],[x]]-H$3) +(Tabela1[[#This Row],[y]]-H$4)*(Tabela1[[#This Row],[y]]-H$4)</f>
        <v>42004</v>
      </c>
      <c r="D8461" s="1">
        <f>IF(Tabela1[[#This Row],[promien]]&lt;40000,1,0)</f>
        <v>0</v>
      </c>
      <c r="E8461" s="1">
        <f>IF(Tabela1[[#This Row],[promien]]=40000,1,0)</f>
        <v>0</v>
      </c>
      <c r="F8461" s="1">
        <v>3.1428909112398062</v>
      </c>
      <c r="G8461" s="1">
        <v>1.2982576500131238E-3</v>
      </c>
    </row>
    <row r="8462" spans="1:7">
      <c r="A8462">
        <v>84</v>
      </c>
      <c r="B8462">
        <v>397</v>
      </c>
      <c r="C8462" s="1">
        <f>(Tabela1[[#This Row],[x]]-H$3)*(Tabela1[[#This Row],[x]]-H$3) +(Tabela1[[#This Row],[y]]-H$4)*(Tabela1[[#This Row],[y]]-H$4)</f>
        <v>52265</v>
      </c>
      <c r="D8462" s="1">
        <f>IF(Tabela1[[#This Row],[promien]]&lt;40000,1,0)</f>
        <v>0</v>
      </c>
      <c r="E8462" s="1">
        <f>IF(Tabela1[[#This Row],[promien]]=40000,1,0)</f>
        <v>0</v>
      </c>
      <c r="F8462" s="1">
        <v>3.1425194989364216</v>
      </c>
      <c r="G8462" s="1">
        <v>9.2684534662845763E-4</v>
      </c>
    </row>
    <row r="8463" spans="1:7">
      <c r="A8463">
        <v>233</v>
      </c>
      <c r="B8463">
        <v>50</v>
      </c>
      <c r="C8463" s="1">
        <f>(Tabela1[[#This Row],[x]]-H$3)*(Tabela1[[#This Row],[x]]-H$3) +(Tabela1[[#This Row],[y]]-H$4)*(Tabela1[[#This Row],[y]]-H$4)</f>
        <v>23589</v>
      </c>
      <c r="D8463" s="1">
        <f>IF(Tabela1[[#This Row],[promien]]&lt;40000,1,0)</f>
        <v>1</v>
      </c>
      <c r="E8463" s="1">
        <f>IF(Tabela1[[#This Row],[promien]]=40000,1,0)</f>
        <v>0</v>
      </c>
      <c r="F8463" s="1">
        <v>3.1426208200401748</v>
      </c>
      <c r="G8463" s="1">
        <v>1.0281664503817289E-3</v>
      </c>
    </row>
    <row r="8464" spans="1:7">
      <c r="A8464">
        <v>96</v>
      </c>
      <c r="B8464">
        <v>361</v>
      </c>
      <c r="C8464" s="1">
        <f>(Tabela1[[#This Row],[x]]-H$3)*(Tabela1[[#This Row],[x]]-H$3) +(Tabela1[[#This Row],[y]]-H$4)*(Tabela1[[#This Row],[y]]-H$4)</f>
        <v>36737</v>
      </c>
      <c r="D8464" s="1">
        <f>IF(Tabela1[[#This Row],[promien]]&lt;40000,1,0)</f>
        <v>1</v>
      </c>
      <c r="E8464" s="1">
        <f>IF(Tabela1[[#This Row],[promien]]=40000,1,0)</f>
        <v>0</v>
      </c>
      <c r="F8464" s="1">
        <v>3.1427221172022684</v>
      </c>
      <c r="G8464" s="1">
        <v>1.1294636124752344E-3</v>
      </c>
    </row>
    <row r="8465" spans="1:7">
      <c r="A8465">
        <v>164</v>
      </c>
      <c r="B8465">
        <v>141</v>
      </c>
      <c r="C8465" s="1">
        <f>(Tabela1[[#This Row],[x]]-H$3)*(Tabela1[[#This Row],[x]]-H$3) +(Tabela1[[#This Row],[y]]-H$4)*(Tabela1[[#This Row],[y]]-H$4)</f>
        <v>4777</v>
      </c>
      <c r="D8465" s="1">
        <f>IF(Tabela1[[#This Row],[promien]]&lt;40000,1,0)</f>
        <v>1</v>
      </c>
      <c r="E8465" s="1">
        <f>IF(Tabela1[[#This Row],[promien]]=40000,1,0)</f>
        <v>0</v>
      </c>
      <c r="F8465" s="1">
        <v>3.1428233904311873</v>
      </c>
      <c r="G8465" s="1">
        <v>1.2307368413941866E-3</v>
      </c>
    </row>
    <row r="8466" spans="1:7">
      <c r="A8466">
        <v>356</v>
      </c>
      <c r="B8466">
        <v>170</v>
      </c>
      <c r="C8466" s="1">
        <f>(Tabela1[[#This Row],[x]]-H$3)*(Tabela1[[#This Row],[x]]-H$3) +(Tabela1[[#This Row],[y]]-H$4)*(Tabela1[[#This Row],[y]]-H$4)</f>
        <v>25236</v>
      </c>
      <c r="D8466" s="1">
        <f>IF(Tabela1[[#This Row],[promien]]&lt;40000,1,0)</f>
        <v>1</v>
      </c>
      <c r="E8466" s="1">
        <f>IF(Tabela1[[#This Row],[promien]]=40000,1,0)</f>
        <v>0</v>
      </c>
      <c r="F8466" s="1">
        <v>3.142924639735412</v>
      </c>
      <c r="G8466" s="1">
        <v>1.331986145618913E-3</v>
      </c>
    </row>
    <row r="8467" spans="1:7">
      <c r="A8467">
        <v>378</v>
      </c>
      <c r="B8467">
        <v>62</v>
      </c>
      <c r="C8467" s="1">
        <f>(Tabela1[[#This Row],[x]]-H$3)*(Tabela1[[#This Row],[x]]-H$3) +(Tabela1[[#This Row],[y]]-H$4)*(Tabela1[[#This Row],[y]]-H$4)</f>
        <v>50728</v>
      </c>
      <c r="D8467" s="1">
        <f>IF(Tabela1[[#This Row],[promien]]&lt;40000,1,0)</f>
        <v>0</v>
      </c>
      <c r="E8467" s="1">
        <f>IF(Tabela1[[#This Row],[promien]]=40000,1,0)</f>
        <v>0</v>
      </c>
      <c r="F8467" s="1">
        <v>3.1425534427778432</v>
      </c>
      <c r="G8467" s="1">
        <v>9.6078918805009295E-4</v>
      </c>
    </row>
    <row r="8468" spans="1:7">
      <c r="A8468">
        <v>256</v>
      </c>
      <c r="B8468">
        <v>11</v>
      </c>
      <c r="C8468" s="1">
        <f>(Tabela1[[#This Row],[x]]-H$3)*(Tabela1[[#This Row],[x]]-H$3) +(Tabela1[[#This Row],[y]]-H$4)*(Tabela1[[#This Row],[y]]-H$4)</f>
        <v>38857</v>
      </c>
      <c r="D8468" s="1">
        <f>IF(Tabela1[[#This Row],[promien]]&lt;40000,1,0)</f>
        <v>1</v>
      </c>
      <c r="E8468" s="1">
        <f>IF(Tabela1[[#This Row],[promien]]=40000,1,0)</f>
        <v>0</v>
      </c>
      <c r="F8468" s="1">
        <v>3.1426547000472365</v>
      </c>
      <c r="G8468" s="1">
        <v>1.0620464574433441E-3</v>
      </c>
    </row>
    <row r="8469" spans="1:7">
      <c r="A8469">
        <v>393</v>
      </c>
      <c r="B8469">
        <v>120</v>
      </c>
      <c r="C8469" s="1">
        <f>(Tabela1[[#This Row],[x]]-H$3)*(Tabela1[[#This Row],[x]]-H$3) +(Tabela1[[#This Row],[y]]-H$4)*(Tabela1[[#This Row],[y]]-H$4)</f>
        <v>43649</v>
      </c>
      <c r="D8469" s="1">
        <f>IF(Tabela1[[#This Row],[promien]]&lt;40000,1,0)</f>
        <v>0</v>
      </c>
      <c r="E8469" s="1">
        <f>IF(Tabela1[[#This Row],[promien]]=40000,1,0)</f>
        <v>0</v>
      </c>
      <c r="F8469" s="1">
        <v>3.1422836226236863</v>
      </c>
      <c r="G8469" s="1">
        <v>6.909690338932073E-4</v>
      </c>
    </row>
    <row r="8470" spans="1:7">
      <c r="A8470">
        <v>237</v>
      </c>
      <c r="B8470">
        <v>191</v>
      </c>
      <c r="C8470" s="1">
        <f>(Tabela1[[#This Row],[x]]-H$3)*(Tabela1[[#This Row],[x]]-H$3) +(Tabela1[[#This Row],[y]]-H$4)*(Tabela1[[#This Row],[y]]-H$4)</f>
        <v>1450</v>
      </c>
      <c r="D8470" s="1">
        <f>IF(Tabela1[[#This Row],[promien]]&lt;40000,1,0)</f>
        <v>1</v>
      </c>
      <c r="E8470" s="1">
        <f>IF(Tabela1[[#This Row],[promien]]=40000,1,0)</f>
        <v>0</v>
      </c>
      <c r="F8470" s="1">
        <v>3.1423848878394334</v>
      </c>
      <c r="G8470" s="1">
        <v>7.9223424964025568E-4</v>
      </c>
    </row>
    <row r="8471" spans="1:7">
      <c r="A8471">
        <v>266</v>
      </c>
      <c r="B8471">
        <v>390</v>
      </c>
      <c r="C8471" s="1">
        <f>(Tabela1[[#This Row],[x]]-H$3)*(Tabela1[[#This Row],[x]]-H$3) +(Tabela1[[#This Row],[y]]-H$4)*(Tabela1[[#This Row],[y]]-H$4)</f>
        <v>40456</v>
      </c>
      <c r="D8471" s="1">
        <f>IF(Tabela1[[#This Row],[promien]]&lt;40000,1,0)</f>
        <v>0</v>
      </c>
      <c r="E8471" s="1">
        <f>IF(Tabela1[[#This Row],[promien]]=40000,1,0)</f>
        <v>0</v>
      </c>
      <c r="F8471" s="1">
        <v>3.1420139298784089</v>
      </c>
      <c r="G8471" s="1">
        <v>4.2127628861576838E-4</v>
      </c>
    </row>
    <row r="8472" spans="1:7">
      <c r="A8472">
        <v>315</v>
      </c>
      <c r="B8472">
        <v>196</v>
      </c>
      <c r="C8472" s="1">
        <f>(Tabela1[[#This Row],[x]]-H$3)*(Tabela1[[#This Row],[x]]-H$3) +(Tabela1[[#This Row],[y]]-H$4)*(Tabela1[[#This Row],[y]]-H$4)</f>
        <v>13241</v>
      </c>
      <c r="D8472" s="1">
        <f>IF(Tabela1[[#This Row],[promien]]&lt;40000,1,0)</f>
        <v>1</v>
      </c>
      <c r="E8472" s="1">
        <f>IF(Tabela1[[#This Row],[promien]]=40000,1,0)</f>
        <v>0</v>
      </c>
      <c r="F8472" s="1">
        <v>3.1421152030217185</v>
      </c>
      <c r="G8472" s="1">
        <v>5.2254943192542314E-4</v>
      </c>
    </row>
    <row r="8473" spans="1:7">
      <c r="A8473">
        <v>14</v>
      </c>
      <c r="B8473">
        <v>345</v>
      </c>
      <c r="C8473" s="1">
        <f>(Tabela1[[#This Row],[x]]-H$3)*(Tabela1[[#This Row],[x]]-H$3) +(Tabela1[[#This Row],[y]]-H$4)*(Tabela1[[#This Row],[y]]-H$4)</f>
        <v>55621</v>
      </c>
      <c r="D8473" s="1">
        <f>IF(Tabela1[[#This Row],[promien]]&lt;40000,1,0)</f>
        <v>0</v>
      </c>
      <c r="E8473" s="1">
        <f>IF(Tabela1[[#This Row],[promien]]=40000,1,0)</f>
        <v>0</v>
      </c>
      <c r="F8473" s="1">
        <v>3.141744364451788</v>
      </c>
      <c r="G8473" s="1">
        <v>1.5171086199483597E-4</v>
      </c>
    </row>
    <row r="8474" spans="1:7">
      <c r="A8474">
        <v>84</v>
      </c>
      <c r="B8474">
        <v>66</v>
      </c>
      <c r="C8474" s="1">
        <f>(Tabela1[[#This Row],[x]]-H$3)*(Tabela1[[#This Row],[x]]-H$3) +(Tabela1[[#This Row],[y]]-H$4)*(Tabela1[[#This Row],[y]]-H$4)</f>
        <v>31412</v>
      </c>
      <c r="D8474" s="1">
        <f>IF(Tabela1[[#This Row],[promien]]&lt;40000,1,0)</f>
        <v>1</v>
      </c>
      <c r="E8474" s="1">
        <f>IF(Tabela1[[#This Row],[promien]]=40000,1,0)</f>
        <v>0</v>
      </c>
      <c r="F8474" s="1">
        <v>3.1418456455038943</v>
      </c>
      <c r="G8474" s="1">
        <v>2.5299191410121935E-4</v>
      </c>
    </row>
    <row r="8475" spans="1:7">
      <c r="A8475">
        <v>288</v>
      </c>
      <c r="B8475">
        <v>198</v>
      </c>
      <c r="C8475" s="1">
        <f>(Tabela1[[#This Row],[x]]-H$3)*(Tabela1[[#This Row],[x]]-H$3) +(Tabela1[[#This Row],[y]]-H$4)*(Tabela1[[#This Row],[y]]-H$4)</f>
        <v>7748</v>
      </c>
      <c r="D8475" s="1">
        <f>IF(Tabela1[[#This Row],[promien]]&lt;40000,1,0)</f>
        <v>1</v>
      </c>
      <c r="E8475" s="1">
        <f>IF(Tabela1[[#This Row],[promien]]=40000,1,0)</f>
        <v>0</v>
      </c>
      <c r="F8475" s="1">
        <v>3.1419469026548672</v>
      </c>
      <c r="G8475" s="1">
        <v>3.5424906507408593E-4</v>
      </c>
    </row>
    <row r="8476" spans="1:7">
      <c r="A8476">
        <v>387</v>
      </c>
      <c r="B8476">
        <v>174</v>
      </c>
      <c r="C8476" s="1">
        <f>(Tabela1[[#This Row],[x]]-H$3)*(Tabela1[[#This Row],[x]]-H$3) +(Tabela1[[#This Row],[y]]-H$4)*(Tabela1[[#This Row],[y]]-H$4)</f>
        <v>35645</v>
      </c>
      <c r="D8476" s="1">
        <f>IF(Tabela1[[#This Row],[promien]]&lt;40000,1,0)</f>
        <v>1</v>
      </c>
      <c r="E8476" s="1">
        <f>IF(Tabela1[[#This Row],[promien]]=40000,1,0)</f>
        <v>0</v>
      </c>
      <c r="F8476" s="1">
        <v>3.1420481359131665</v>
      </c>
      <c r="G8476" s="1">
        <v>4.5548232337333516E-4</v>
      </c>
    </row>
    <row r="8477" spans="1:7">
      <c r="A8477">
        <v>7</v>
      </c>
      <c r="B8477">
        <v>34</v>
      </c>
      <c r="C8477" s="1">
        <f>(Tabela1[[#This Row],[x]]-H$3)*(Tabela1[[#This Row],[x]]-H$3) +(Tabela1[[#This Row],[y]]-H$4)*(Tabela1[[#This Row],[y]]-H$4)</f>
        <v>64805</v>
      </c>
      <c r="D8477" s="1">
        <f>IF(Tabela1[[#This Row],[promien]]&lt;40000,1,0)</f>
        <v>0</v>
      </c>
      <c r="E8477" s="1">
        <f>IF(Tabela1[[#This Row],[promien]]=40000,1,0)</f>
        <v>0</v>
      </c>
      <c r="F8477" s="1">
        <v>3.1416774802406513</v>
      </c>
      <c r="G8477" s="1">
        <v>8.4826650858182973E-5</v>
      </c>
    </row>
    <row r="8478" spans="1:7">
      <c r="A8478">
        <v>351</v>
      </c>
      <c r="B8478">
        <v>10</v>
      </c>
      <c r="C8478" s="1">
        <f>(Tabela1[[#This Row],[x]]-H$3)*(Tabela1[[#This Row],[x]]-H$3) +(Tabela1[[#This Row],[y]]-H$4)*(Tabela1[[#This Row],[y]]-H$4)</f>
        <v>58901</v>
      </c>
      <c r="D8478" s="1">
        <f>IF(Tabela1[[#This Row],[promien]]&lt;40000,1,0)</f>
        <v>0</v>
      </c>
      <c r="E8478" s="1">
        <f>IF(Tabela1[[#This Row],[promien]]=40000,1,0)</f>
        <v>0</v>
      </c>
      <c r="F8478" s="1">
        <v>3.1413069120075487</v>
      </c>
      <c r="G8478" s="1">
        <v>2.8574158224436985E-4</v>
      </c>
    </row>
    <row r="8479" spans="1:7">
      <c r="A8479">
        <v>299</v>
      </c>
      <c r="B8479">
        <v>13</v>
      </c>
      <c r="C8479" s="1">
        <f>(Tabela1[[#This Row],[x]]-H$3)*(Tabela1[[#This Row],[x]]-H$3) +(Tabela1[[#This Row],[y]]-H$4)*(Tabela1[[#This Row],[y]]-H$4)</f>
        <v>44770</v>
      </c>
      <c r="D8479" s="1">
        <f>IF(Tabela1[[#This Row],[promien]]&lt;40000,1,0)</f>
        <v>0</v>
      </c>
      <c r="E8479" s="1">
        <f>IF(Tabela1[[#This Row],[promien]]=40000,1,0)</f>
        <v>0</v>
      </c>
      <c r="F8479" s="1">
        <v>3.1409364311829227</v>
      </c>
      <c r="G8479" s="1">
        <v>6.5622240687046585E-4</v>
      </c>
    </row>
    <row r="8480" spans="1:7">
      <c r="A8480">
        <v>85</v>
      </c>
      <c r="B8480">
        <v>388</v>
      </c>
      <c r="C8480" s="1">
        <f>(Tabela1[[#This Row],[x]]-H$3)*(Tabela1[[#This Row],[x]]-H$3) +(Tabela1[[#This Row],[y]]-H$4)*(Tabela1[[#This Row],[y]]-H$4)</f>
        <v>48569</v>
      </c>
      <c r="D8480" s="1">
        <f>IF(Tabela1[[#This Row],[promien]]&lt;40000,1,0)</f>
        <v>0</v>
      </c>
      <c r="E8480" s="1">
        <f>IF(Tabela1[[#This Row],[promien]]=40000,1,0)</f>
        <v>0</v>
      </c>
      <c r="F8480" s="1">
        <v>3.1405660377358489</v>
      </c>
      <c r="G8480" s="1">
        <v>1.0266158539442571E-3</v>
      </c>
    </row>
    <row r="8481" spans="1:7">
      <c r="A8481">
        <v>213</v>
      </c>
      <c r="B8481">
        <v>80</v>
      </c>
      <c r="C8481" s="1">
        <f>(Tabela1[[#This Row],[x]]-H$3)*(Tabela1[[#This Row],[x]]-H$3) +(Tabela1[[#This Row],[y]]-H$4)*(Tabela1[[#This Row],[y]]-H$4)</f>
        <v>14569</v>
      </c>
      <c r="D8481" s="1">
        <f>IF(Tabela1[[#This Row],[promien]]&lt;40000,1,0)</f>
        <v>1</v>
      </c>
      <c r="E8481" s="1">
        <f>IF(Tabela1[[#This Row],[promien]]=40000,1,0)</f>
        <v>0</v>
      </c>
      <c r="F8481" s="1">
        <v>3.140667374130409</v>
      </c>
      <c r="G8481" s="1">
        <v>9.2527945938414291E-4</v>
      </c>
    </row>
    <row r="8482" spans="1:7">
      <c r="A8482">
        <v>129</v>
      </c>
      <c r="B8482">
        <v>162</v>
      </c>
      <c r="C8482" s="1">
        <f>(Tabela1[[#This Row],[x]]-H$3)*(Tabela1[[#This Row],[x]]-H$3) +(Tabela1[[#This Row],[y]]-H$4)*(Tabela1[[#This Row],[y]]-H$4)</f>
        <v>6485</v>
      </c>
      <c r="D8482" s="1">
        <f>IF(Tabela1[[#This Row],[promien]]&lt;40000,1,0)</f>
        <v>1</v>
      </c>
      <c r="E8482" s="1">
        <f>IF(Tabela1[[#This Row],[promien]]=40000,1,0)</f>
        <v>0</v>
      </c>
      <c r="F8482" s="1">
        <v>3.1407686866305116</v>
      </c>
      <c r="G8482" s="1">
        <v>8.2396695928155239E-4</v>
      </c>
    </row>
    <row r="8483" spans="1:7">
      <c r="A8483">
        <v>3</v>
      </c>
      <c r="B8483">
        <v>319</v>
      </c>
      <c r="C8483" s="1">
        <f>(Tabela1[[#This Row],[x]]-H$3)*(Tabela1[[#This Row],[x]]-H$3) +(Tabela1[[#This Row],[y]]-H$4)*(Tabela1[[#This Row],[y]]-H$4)</f>
        <v>52970</v>
      </c>
      <c r="D8483" s="1">
        <f>IF(Tabela1[[#This Row],[promien]]&lt;40000,1,0)</f>
        <v>0</v>
      </c>
      <c r="E8483" s="1">
        <f>IF(Tabela1[[#This Row],[promien]]=40000,1,0)</f>
        <v>0</v>
      </c>
      <c r="F8483" s="1">
        <v>3.140398443946717</v>
      </c>
      <c r="G8483" s="1">
        <v>1.1942096430761495E-3</v>
      </c>
    </row>
    <row r="8484" spans="1:7">
      <c r="A8484">
        <v>154</v>
      </c>
      <c r="B8484">
        <v>220</v>
      </c>
      <c r="C8484" s="1">
        <f>(Tabela1[[#This Row],[x]]-H$3)*(Tabela1[[#This Row],[x]]-H$3) +(Tabela1[[#This Row],[y]]-H$4)*(Tabela1[[#This Row],[y]]-H$4)</f>
        <v>2516</v>
      </c>
      <c r="D8484" s="1">
        <f>IF(Tabela1[[#This Row],[promien]]&lt;40000,1,0)</f>
        <v>1</v>
      </c>
      <c r="E8484" s="1">
        <f>IF(Tabela1[[#This Row],[promien]]=40000,1,0)</f>
        <v>0</v>
      </c>
      <c r="F8484" s="1">
        <v>3.1404997642621404</v>
      </c>
      <c r="G8484" s="1">
        <v>1.0928893276527241E-3</v>
      </c>
    </row>
    <row r="8485" spans="1:7">
      <c r="A8485">
        <v>270</v>
      </c>
      <c r="B8485">
        <v>260</v>
      </c>
      <c r="C8485" s="1">
        <f>(Tabela1[[#This Row],[x]]-H$3)*(Tabela1[[#This Row],[x]]-H$3) +(Tabela1[[#This Row],[y]]-H$4)*(Tabela1[[#This Row],[y]]-H$4)</f>
        <v>8500</v>
      </c>
      <c r="D8485" s="1">
        <f>IF(Tabela1[[#This Row],[promien]]&lt;40000,1,0)</f>
        <v>1</v>
      </c>
      <c r="E8485" s="1">
        <f>IF(Tabela1[[#This Row],[promien]]=40000,1,0)</f>
        <v>0</v>
      </c>
      <c r="F8485" s="1">
        <v>3.1406010606953445</v>
      </c>
      <c r="G8485" s="1">
        <v>9.9159289444861187E-4</v>
      </c>
    </row>
    <row r="8486" spans="1:7">
      <c r="A8486">
        <v>129</v>
      </c>
      <c r="B8486">
        <v>108</v>
      </c>
      <c r="C8486" s="1">
        <f>(Tabela1[[#This Row],[x]]-H$3)*(Tabela1[[#This Row],[x]]-H$3) +(Tabela1[[#This Row],[y]]-H$4)*(Tabela1[[#This Row],[y]]-H$4)</f>
        <v>13505</v>
      </c>
      <c r="D8486" s="1">
        <f>IF(Tabela1[[#This Row],[promien]]&lt;40000,1,0)</f>
        <v>1</v>
      </c>
      <c r="E8486" s="1">
        <f>IF(Tabela1[[#This Row],[promien]]=40000,1,0)</f>
        <v>0</v>
      </c>
      <c r="F8486" s="1">
        <v>3.1407023332547728</v>
      </c>
      <c r="G8486" s="1">
        <v>8.903203350203448E-4</v>
      </c>
    </row>
    <row r="8487" spans="1:7">
      <c r="A8487">
        <v>154</v>
      </c>
      <c r="B8487">
        <v>82</v>
      </c>
      <c r="C8487" s="1">
        <f>(Tabela1[[#This Row],[x]]-H$3)*(Tabela1[[#This Row],[x]]-H$3) +(Tabela1[[#This Row],[y]]-H$4)*(Tabela1[[#This Row],[y]]-H$4)</f>
        <v>16040</v>
      </c>
      <c r="D8487" s="1">
        <f>IF(Tabela1[[#This Row],[promien]]&lt;40000,1,0)</f>
        <v>1</v>
      </c>
      <c r="E8487" s="1">
        <f>IF(Tabela1[[#This Row],[promien]]=40000,1,0)</f>
        <v>0</v>
      </c>
      <c r="F8487" s="1">
        <v>3.1408035819488629</v>
      </c>
      <c r="G8487" s="1">
        <v>7.8907164093022786E-4</v>
      </c>
    </row>
    <row r="8488" spans="1:7">
      <c r="A8488">
        <v>104</v>
      </c>
      <c r="B8488">
        <v>218</v>
      </c>
      <c r="C8488" s="1">
        <f>(Tabela1[[#This Row],[x]]-H$3)*(Tabela1[[#This Row],[x]]-H$3) +(Tabela1[[#This Row],[y]]-H$4)*(Tabela1[[#This Row],[y]]-H$4)</f>
        <v>9540</v>
      </c>
      <c r="D8488" s="1">
        <f>IF(Tabela1[[#This Row],[promien]]&lt;40000,1,0)</f>
        <v>1</v>
      </c>
      <c r="E8488" s="1">
        <f>IF(Tabela1[[#This Row],[promien]]=40000,1,0)</f>
        <v>0</v>
      </c>
      <c r="F8488" s="1">
        <v>3.1409048067860508</v>
      </c>
      <c r="G8488" s="1">
        <v>6.8784680374234242E-4</v>
      </c>
    </row>
    <row r="8489" spans="1:7">
      <c r="A8489">
        <v>397</v>
      </c>
      <c r="B8489">
        <v>163</v>
      </c>
      <c r="C8489" s="1">
        <f>(Tabela1[[#This Row],[x]]-H$3)*(Tabela1[[#This Row],[x]]-H$3) +(Tabela1[[#This Row],[y]]-H$4)*(Tabela1[[#This Row],[y]]-H$4)</f>
        <v>40178</v>
      </c>
      <c r="D8489" s="1">
        <f>IF(Tabela1[[#This Row],[promien]]&lt;40000,1,0)</f>
        <v>0</v>
      </c>
      <c r="E8489" s="1">
        <f>IF(Tabela1[[#This Row],[promien]]=40000,1,0)</f>
        <v>0</v>
      </c>
      <c r="F8489" s="1">
        <v>3.1405348097537988</v>
      </c>
      <c r="G8489" s="1">
        <v>1.0578438359942766E-3</v>
      </c>
    </row>
    <row r="8490" spans="1:7">
      <c r="A8490">
        <v>2</v>
      </c>
      <c r="B8490">
        <v>73</v>
      </c>
      <c r="C8490" s="1">
        <f>(Tabela1[[#This Row],[x]]-H$3)*(Tabela1[[#This Row],[x]]-H$3) +(Tabela1[[#This Row],[y]]-H$4)*(Tabela1[[#This Row],[y]]-H$4)</f>
        <v>55333</v>
      </c>
      <c r="D8490" s="1">
        <f>IF(Tabela1[[#This Row],[promien]]&lt;40000,1,0)</f>
        <v>0</v>
      </c>
      <c r="E8490" s="1">
        <f>IF(Tabela1[[#This Row],[promien]]=40000,1,0)</f>
        <v>0</v>
      </c>
      <c r="F8490" s="1">
        <v>3.1401648998822145</v>
      </c>
      <c r="G8490" s="1">
        <v>1.4277537075786384E-3</v>
      </c>
    </row>
    <row r="8491" spans="1:7">
      <c r="A8491">
        <v>6</v>
      </c>
      <c r="B8491">
        <v>25</v>
      </c>
      <c r="C8491" s="1">
        <f>(Tabela1[[#This Row],[x]]-H$3)*(Tabela1[[#This Row],[x]]-H$3) +(Tabela1[[#This Row],[y]]-H$4)*(Tabela1[[#This Row],[y]]-H$4)</f>
        <v>68261</v>
      </c>
      <c r="D8491" s="1">
        <f>IF(Tabela1[[#This Row],[promien]]&lt;40000,1,0)</f>
        <v>0</v>
      </c>
      <c r="E8491" s="1">
        <f>IF(Tabela1[[#This Row],[promien]]=40000,1,0)</f>
        <v>0</v>
      </c>
      <c r="F8491" s="1">
        <v>3.1397950771405019</v>
      </c>
      <c r="G8491" s="1">
        <v>1.7975764492912383E-3</v>
      </c>
    </row>
    <row r="8492" spans="1:7">
      <c r="A8492">
        <v>103</v>
      </c>
      <c r="B8492">
        <v>242</v>
      </c>
      <c r="C8492" s="1">
        <f>(Tabela1[[#This Row],[x]]-H$3)*(Tabela1[[#This Row],[x]]-H$3) +(Tabela1[[#This Row],[y]]-H$4)*(Tabela1[[#This Row],[y]]-H$4)</f>
        <v>11173</v>
      </c>
      <c r="D8492" s="1">
        <f>IF(Tabela1[[#This Row],[promien]]&lt;40000,1,0)</f>
        <v>1</v>
      </c>
      <c r="E8492" s="1">
        <f>IF(Tabela1[[#This Row],[promien]]=40000,1,0)</f>
        <v>0</v>
      </c>
      <c r="F8492" s="1">
        <v>3.1398963730569949</v>
      </c>
      <c r="G8492" s="1">
        <v>1.6962805327982444E-3</v>
      </c>
    </row>
    <row r="8493" spans="1:7">
      <c r="A8493">
        <v>170</v>
      </c>
      <c r="B8493">
        <v>1</v>
      </c>
      <c r="C8493" s="1">
        <f>(Tabela1[[#This Row],[x]]-H$3)*(Tabela1[[#This Row],[x]]-H$3) +(Tabela1[[#This Row],[y]]-H$4)*(Tabela1[[#This Row],[y]]-H$4)</f>
        <v>40501</v>
      </c>
      <c r="D8493" s="1">
        <f>IF(Tabela1[[#This Row],[promien]]&lt;40000,1,0)</f>
        <v>0</v>
      </c>
      <c r="E8493" s="1">
        <f>IF(Tabela1[[#This Row],[promien]]=40000,1,0)</f>
        <v>0</v>
      </c>
      <c r="F8493" s="1">
        <v>3.1395266690215471</v>
      </c>
      <c r="G8493" s="1">
        <v>2.0659845682460265E-3</v>
      </c>
    </row>
    <row r="8494" spans="1:7">
      <c r="A8494">
        <v>276</v>
      </c>
      <c r="B8494">
        <v>29</v>
      </c>
      <c r="C8494" s="1">
        <f>(Tabela1[[#This Row],[x]]-H$3)*(Tabela1[[#This Row],[x]]-H$3) +(Tabela1[[#This Row],[y]]-H$4)*(Tabela1[[#This Row],[y]]-H$4)</f>
        <v>35017</v>
      </c>
      <c r="D8494" s="1">
        <f>IF(Tabela1[[#This Row],[promien]]&lt;40000,1,0)</f>
        <v>1</v>
      </c>
      <c r="E8494" s="1">
        <f>IF(Tabela1[[#This Row],[promien]]=40000,1,0)</f>
        <v>0</v>
      </c>
      <c r="F8494" s="1">
        <v>3.1396279726866023</v>
      </c>
      <c r="G8494" s="1">
        <v>1.9646809031907964E-3</v>
      </c>
    </row>
    <row r="8495" spans="1:7">
      <c r="A8495">
        <v>3</v>
      </c>
      <c r="B8495">
        <v>262</v>
      </c>
      <c r="C8495" s="1">
        <f>(Tabela1[[#This Row],[x]]-H$3)*(Tabela1[[#This Row],[x]]-H$3) +(Tabela1[[#This Row],[y]]-H$4)*(Tabela1[[#This Row],[y]]-H$4)</f>
        <v>42653</v>
      </c>
      <c r="D8495" s="1">
        <f>IF(Tabela1[[#This Row],[promien]]&lt;40000,1,0)</f>
        <v>0</v>
      </c>
      <c r="E8495" s="1">
        <f>IF(Tabela1[[#This Row],[promien]]=40000,1,0)</f>
        <v>0</v>
      </c>
      <c r="F8495" s="1">
        <v>3.1392583872866391</v>
      </c>
      <c r="G8495" s="1">
        <v>2.3342663031540312E-3</v>
      </c>
    </row>
    <row r="8496" spans="1:7">
      <c r="A8496">
        <v>357</v>
      </c>
      <c r="B8496">
        <v>29</v>
      </c>
      <c r="C8496" s="1">
        <f>(Tabela1[[#This Row],[x]]-H$3)*(Tabela1[[#This Row],[x]]-H$3) +(Tabela1[[#This Row],[y]]-H$4)*(Tabela1[[#This Row],[y]]-H$4)</f>
        <v>53890</v>
      </c>
      <c r="D8496" s="1">
        <f>IF(Tabela1[[#This Row],[promien]]&lt;40000,1,0)</f>
        <v>0</v>
      </c>
      <c r="E8496" s="1">
        <f>IF(Tabela1[[#This Row],[promien]]=40000,1,0)</f>
        <v>0</v>
      </c>
      <c r="F8496" s="1">
        <v>3.1388888888888888</v>
      </c>
      <c r="G8496" s="1">
        <v>2.7037647009042765E-3</v>
      </c>
    </row>
    <row r="8497" spans="1:7">
      <c r="A8497">
        <v>112</v>
      </c>
      <c r="B8497">
        <v>184</v>
      </c>
      <c r="C8497" s="1">
        <f>(Tabela1[[#This Row],[x]]-H$3)*(Tabela1[[#This Row],[x]]-H$3) +(Tabela1[[#This Row],[y]]-H$4)*(Tabela1[[#This Row],[y]]-H$4)</f>
        <v>8000</v>
      </c>
      <c r="D8497" s="1">
        <f>IF(Tabela1[[#This Row],[promien]]&lt;40000,1,0)</f>
        <v>1</v>
      </c>
      <c r="E8497" s="1">
        <f>IF(Tabela1[[#This Row],[promien]]=40000,1,0)</f>
        <v>0</v>
      </c>
      <c r="F8497" s="1">
        <v>3.1389902318465341</v>
      </c>
      <c r="G8497" s="1">
        <v>2.6024217432589758E-3</v>
      </c>
    </row>
    <row r="8498" spans="1:7">
      <c r="A8498">
        <v>23</v>
      </c>
      <c r="B8498">
        <v>336</v>
      </c>
      <c r="C8498" s="1">
        <f>(Tabela1[[#This Row],[x]]-H$3)*(Tabela1[[#This Row],[x]]-H$3) +(Tabela1[[#This Row],[y]]-H$4)*(Tabela1[[#This Row],[y]]-H$4)</f>
        <v>49825</v>
      </c>
      <c r="D8498" s="1">
        <f>IF(Tabela1[[#This Row],[promien]]&lt;40000,1,0)</f>
        <v>0</v>
      </c>
      <c r="E8498" s="1">
        <f>IF(Tabela1[[#This Row],[promien]]=40000,1,0)</f>
        <v>0</v>
      </c>
      <c r="F8498" s="1">
        <v>3.1386208519651682</v>
      </c>
      <c r="G8498" s="1">
        <v>2.971801624624959E-3</v>
      </c>
    </row>
    <row r="8499" spans="1:7">
      <c r="A8499">
        <v>334</v>
      </c>
      <c r="B8499">
        <v>170</v>
      </c>
      <c r="C8499" s="1">
        <f>(Tabela1[[#This Row],[x]]-H$3)*(Tabela1[[#This Row],[x]]-H$3) +(Tabela1[[#This Row],[y]]-H$4)*(Tabela1[[#This Row],[y]]-H$4)</f>
        <v>18856</v>
      </c>
      <c r="D8499" s="1">
        <f>IF(Tabela1[[#This Row],[promien]]&lt;40000,1,0)</f>
        <v>1</v>
      </c>
      <c r="E8499" s="1">
        <f>IF(Tabela1[[#This Row],[promien]]=40000,1,0)</f>
        <v>0</v>
      </c>
      <c r="F8499" s="1">
        <v>3.138722202612072</v>
      </c>
      <c r="G8499" s="1">
        <v>2.8704509777210951E-3</v>
      </c>
    </row>
    <row r="8500" spans="1:7">
      <c r="A8500">
        <v>251</v>
      </c>
      <c r="B8500">
        <v>14</v>
      </c>
      <c r="C8500" s="1">
        <f>(Tabela1[[#This Row],[x]]-H$3)*(Tabela1[[#This Row],[x]]-H$3) +(Tabela1[[#This Row],[y]]-H$4)*(Tabela1[[#This Row],[y]]-H$4)</f>
        <v>37197</v>
      </c>
      <c r="D8500" s="1">
        <f>IF(Tabela1[[#This Row],[promien]]&lt;40000,1,0)</f>
        <v>1</v>
      </c>
      <c r="E8500" s="1">
        <f>IF(Tabela1[[#This Row],[promien]]=40000,1,0)</f>
        <v>0</v>
      </c>
      <c r="F8500" s="1">
        <v>3.1388235294117646</v>
      </c>
      <c r="G8500" s="1">
        <v>2.769124178028548E-3</v>
      </c>
    </row>
    <row r="8501" spans="1:7">
      <c r="A8501">
        <v>216</v>
      </c>
      <c r="B8501">
        <v>163</v>
      </c>
      <c r="C8501" s="1">
        <f>(Tabela1[[#This Row],[x]]-H$3)*(Tabela1[[#This Row],[x]]-H$3) +(Tabela1[[#This Row],[y]]-H$4)*(Tabela1[[#This Row],[y]]-H$4)</f>
        <v>1625</v>
      </c>
      <c r="D8501" s="1">
        <f>IF(Tabela1[[#This Row],[promien]]&lt;40000,1,0)</f>
        <v>1</v>
      </c>
      <c r="E8501" s="1">
        <f>IF(Tabela1[[#This Row],[promien]]=40000,1,0)</f>
        <v>0</v>
      </c>
      <c r="F8501" s="1">
        <v>3.1389248323726622</v>
      </c>
      <c r="G8501" s="1">
        <v>2.667821217130939E-3</v>
      </c>
    </row>
    <row r="8502" spans="1:7">
      <c r="A8502">
        <v>324</v>
      </c>
      <c r="B8502">
        <v>251</v>
      </c>
      <c r="C8502" s="1">
        <f>(Tabela1[[#This Row],[x]]-H$3)*(Tabela1[[#This Row],[x]]-H$3) +(Tabela1[[#This Row],[y]]-H$4)*(Tabela1[[#This Row],[y]]-H$4)</f>
        <v>17977</v>
      </c>
      <c r="D8502" s="1">
        <f>IF(Tabela1[[#This Row],[promien]]&lt;40000,1,0)</f>
        <v>1</v>
      </c>
      <c r="E8502" s="1">
        <f>IF(Tabela1[[#This Row],[promien]]=40000,1,0)</f>
        <v>0</v>
      </c>
      <c r="F8502" s="1">
        <v>3.1390261115031759</v>
      </c>
      <c r="G8502" s="1">
        <v>2.5665420866172184E-3</v>
      </c>
    </row>
    <row r="8503" spans="1:7">
      <c r="A8503">
        <v>72</v>
      </c>
      <c r="B8503">
        <v>24</v>
      </c>
      <c r="C8503" s="1">
        <f>(Tabela1[[#This Row],[x]]-H$3)*(Tabela1[[#This Row],[x]]-H$3) +(Tabela1[[#This Row],[y]]-H$4)*(Tabela1[[#This Row],[y]]-H$4)</f>
        <v>47360</v>
      </c>
      <c r="D8503" s="1">
        <f>IF(Tabela1[[#This Row],[promien]]&lt;40000,1,0)</f>
        <v>0</v>
      </c>
      <c r="E8503" s="1">
        <f>IF(Tabela1[[#This Row],[promien]]=40000,1,0)</f>
        <v>0</v>
      </c>
      <c r="F8503" s="1">
        <v>3.1386569446077854</v>
      </c>
      <c r="G8503" s="1">
        <v>2.9357089820076787E-3</v>
      </c>
    </row>
    <row r="8504" spans="1:7">
      <c r="A8504">
        <v>365</v>
      </c>
      <c r="B8504">
        <v>137</v>
      </c>
      <c r="C8504" s="1">
        <f>(Tabela1[[#This Row],[x]]-H$3)*(Tabela1[[#This Row],[x]]-H$3) +(Tabela1[[#This Row],[y]]-H$4)*(Tabela1[[#This Row],[y]]-H$4)</f>
        <v>31194</v>
      </c>
      <c r="D8504" s="1">
        <f>IF(Tabela1[[#This Row],[promien]]&lt;40000,1,0)</f>
        <v>1</v>
      </c>
      <c r="E8504" s="1">
        <f>IF(Tabela1[[#This Row],[promien]]=40000,1,0)</f>
        <v>0</v>
      </c>
      <c r="F8504" s="1">
        <v>3.1387582314205078</v>
      </c>
      <c r="G8504" s="1">
        <v>2.8344221692853111E-3</v>
      </c>
    </row>
    <row r="8505" spans="1:7">
      <c r="A8505">
        <v>170</v>
      </c>
      <c r="B8505">
        <v>155</v>
      </c>
      <c r="C8505" s="1">
        <f>(Tabela1[[#This Row],[x]]-H$3)*(Tabela1[[#This Row],[x]]-H$3) +(Tabela1[[#This Row],[y]]-H$4)*(Tabela1[[#This Row],[y]]-H$4)</f>
        <v>2925</v>
      </c>
      <c r="D8505" s="1">
        <f>IF(Tabela1[[#This Row],[promien]]&lt;40000,1,0)</f>
        <v>1</v>
      </c>
      <c r="E8505" s="1">
        <f>IF(Tabela1[[#This Row],[promien]]=40000,1,0)</f>
        <v>0</v>
      </c>
      <c r="F8505" s="1">
        <v>3.1388594944150499</v>
      </c>
      <c r="G8505" s="1">
        <v>2.7331591747432604E-3</v>
      </c>
    </row>
    <row r="8506" spans="1:7">
      <c r="A8506">
        <v>7</v>
      </c>
      <c r="B8506">
        <v>209</v>
      </c>
      <c r="C8506" s="1">
        <f>(Tabela1[[#This Row],[x]]-H$3)*(Tabela1[[#This Row],[x]]-H$3) +(Tabela1[[#This Row],[y]]-H$4)*(Tabela1[[#This Row],[y]]-H$4)</f>
        <v>37330</v>
      </c>
      <c r="D8506" s="1">
        <f>IF(Tabela1[[#This Row],[promien]]&lt;40000,1,0)</f>
        <v>1</v>
      </c>
      <c r="E8506" s="1">
        <f>IF(Tabela1[[#This Row],[promien]]=40000,1,0)</f>
        <v>0</v>
      </c>
      <c r="F8506" s="1">
        <v>3.138960733599812</v>
      </c>
      <c r="G8506" s="1">
        <v>2.6319199899811352E-3</v>
      </c>
    </row>
    <row r="8507" spans="1:7">
      <c r="A8507">
        <v>278</v>
      </c>
      <c r="B8507">
        <v>217</v>
      </c>
      <c r="C8507" s="1">
        <f>(Tabela1[[#This Row],[x]]-H$3)*(Tabela1[[#This Row],[x]]-H$3) +(Tabela1[[#This Row],[y]]-H$4)*(Tabela1[[#This Row],[y]]-H$4)</f>
        <v>6373</v>
      </c>
      <c r="D8507" s="1">
        <f>IF(Tabela1[[#This Row],[promien]]&lt;40000,1,0)</f>
        <v>1</v>
      </c>
      <c r="E8507" s="1">
        <f>IF(Tabela1[[#This Row],[promien]]=40000,1,0)</f>
        <v>0</v>
      </c>
      <c r="F8507" s="1">
        <v>3.1390619489831901</v>
      </c>
      <c r="G8507" s="1">
        <v>2.5307046066029848E-3</v>
      </c>
    </row>
    <row r="8508" spans="1:7">
      <c r="A8508">
        <v>293</v>
      </c>
      <c r="B8508">
        <v>322</v>
      </c>
      <c r="C8508" s="1">
        <f>(Tabela1[[#This Row],[x]]-H$3)*(Tabela1[[#This Row],[x]]-H$3) +(Tabela1[[#This Row],[y]]-H$4)*(Tabela1[[#This Row],[y]]-H$4)</f>
        <v>23533</v>
      </c>
      <c r="D8508" s="1">
        <f>IF(Tabela1[[#This Row],[promien]]&lt;40000,1,0)</f>
        <v>1</v>
      </c>
      <c r="E8508" s="1">
        <f>IF(Tabela1[[#This Row],[promien]]=40000,1,0)</f>
        <v>0</v>
      </c>
      <c r="F8508" s="1">
        <v>3.1391631405735776</v>
      </c>
      <c r="G8508" s="1">
        <v>2.4295130162155232E-3</v>
      </c>
    </row>
    <row r="8509" spans="1:7">
      <c r="A8509">
        <v>293</v>
      </c>
      <c r="B8509">
        <v>311</v>
      </c>
      <c r="C8509" s="1">
        <f>(Tabela1[[#This Row],[x]]-H$3)*(Tabela1[[#This Row],[x]]-H$3) +(Tabela1[[#This Row],[y]]-H$4)*(Tabela1[[#This Row],[y]]-H$4)</f>
        <v>20970</v>
      </c>
      <c r="D8509" s="1">
        <f>IF(Tabela1[[#This Row],[promien]]&lt;40000,1,0)</f>
        <v>1</v>
      </c>
      <c r="E8509" s="1">
        <f>IF(Tabela1[[#This Row],[promien]]=40000,1,0)</f>
        <v>0</v>
      </c>
      <c r="F8509" s="1">
        <v>3.1392643083793632</v>
      </c>
      <c r="G8509" s="1">
        <v>2.3283452104299052E-3</v>
      </c>
    </row>
    <row r="8510" spans="1:7">
      <c r="A8510">
        <v>70</v>
      </c>
      <c r="B8510">
        <v>174</v>
      </c>
      <c r="C8510" s="1">
        <f>(Tabela1[[#This Row],[x]]-H$3)*(Tabela1[[#This Row],[x]]-H$3) +(Tabela1[[#This Row],[y]]-H$4)*(Tabela1[[#This Row],[y]]-H$4)</f>
        <v>17576</v>
      </c>
      <c r="D8510" s="1">
        <f>IF(Tabela1[[#This Row],[promien]]&lt;40000,1,0)</f>
        <v>1</v>
      </c>
      <c r="E8510" s="1">
        <f>IF(Tabela1[[#This Row],[promien]]=40000,1,0)</f>
        <v>0</v>
      </c>
      <c r="F8510" s="1">
        <v>3.1393654524089305</v>
      </c>
      <c r="G8510" s="1">
        <v>2.2272011808626146E-3</v>
      </c>
    </row>
    <row r="8511" spans="1:7">
      <c r="A8511">
        <v>121</v>
      </c>
      <c r="B8511">
        <v>178</v>
      </c>
      <c r="C8511" s="1">
        <f>(Tabela1[[#This Row],[x]]-H$3)*(Tabela1[[#This Row],[x]]-H$3) +(Tabela1[[#This Row],[y]]-H$4)*(Tabela1[[#This Row],[y]]-H$4)</f>
        <v>6725</v>
      </c>
      <c r="D8511" s="1">
        <f>IF(Tabela1[[#This Row],[promien]]&lt;40000,1,0)</f>
        <v>1</v>
      </c>
      <c r="E8511" s="1">
        <f>IF(Tabela1[[#This Row],[promien]]=40000,1,0)</f>
        <v>0</v>
      </c>
      <c r="F8511" s="1">
        <v>3.1394665726706616</v>
      </c>
      <c r="G8511" s="1">
        <v>2.1260809191314678E-3</v>
      </c>
    </row>
    <row r="8512" spans="1:7">
      <c r="A8512">
        <v>104</v>
      </c>
      <c r="B8512">
        <v>231</v>
      </c>
      <c r="C8512" s="1">
        <f>(Tabela1[[#This Row],[x]]-H$3)*(Tabela1[[#This Row],[x]]-H$3) +(Tabela1[[#This Row],[y]]-H$4)*(Tabela1[[#This Row],[y]]-H$4)</f>
        <v>10177</v>
      </c>
      <c r="D8512" s="1">
        <f>IF(Tabela1[[#This Row],[promien]]&lt;40000,1,0)</f>
        <v>1</v>
      </c>
      <c r="E8512" s="1">
        <f>IF(Tabela1[[#This Row],[promien]]=40000,1,0)</f>
        <v>0</v>
      </c>
      <c r="F8512" s="1">
        <v>3.1395676691729322</v>
      </c>
      <c r="G8512" s="1">
        <v>2.0249844168609421E-3</v>
      </c>
    </row>
    <row r="8513" spans="1:7">
      <c r="A8513">
        <v>189</v>
      </c>
      <c r="B8513">
        <v>70</v>
      </c>
      <c r="C8513" s="1">
        <f>(Tabela1[[#This Row],[x]]-H$3)*(Tabela1[[#This Row],[x]]-H$3) +(Tabela1[[#This Row],[y]]-H$4)*(Tabela1[[#This Row],[y]]-H$4)</f>
        <v>17021</v>
      </c>
      <c r="D8513" s="1">
        <f>IF(Tabela1[[#This Row],[promien]]&lt;40000,1,0)</f>
        <v>1</v>
      </c>
      <c r="E8513" s="1">
        <f>IF(Tabela1[[#This Row],[promien]]=40000,1,0)</f>
        <v>0</v>
      </c>
      <c r="F8513" s="1">
        <v>3.1396687419241163</v>
      </c>
      <c r="G8513" s="1">
        <v>1.9239116656768473E-3</v>
      </c>
    </row>
    <row r="8514" spans="1:7">
      <c r="A8514">
        <v>128</v>
      </c>
      <c r="B8514">
        <v>313</v>
      </c>
      <c r="C8514" s="1">
        <f>(Tabela1[[#This Row],[x]]-H$3)*(Tabela1[[#This Row],[x]]-H$3) +(Tabela1[[#This Row],[y]]-H$4)*(Tabela1[[#This Row],[y]]-H$4)</f>
        <v>17953</v>
      </c>
      <c r="D8514" s="1">
        <f>IF(Tabela1[[#This Row],[promien]]&lt;40000,1,0)</f>
        <v>1</v>
      </c>
      <c r="E8514" s="1">
        <f>IF(Tabela1[[#This Row],[promien]]=40000,1,0)</f>
        <v>0</v>
      </c>
      <c r="F8514" s="1">
        <v>3.1397697909325815</v>
      </c>
      <c r="G8514" s="1">
        <v>1.8228626572116546E-3</v>
      </c>
    </row>
    <row r="8515" spans="1:7">
      <c r="A8515">
        <v>136</v>
      </c>
      <c r="B8515">
        <v>111</v>
      </c>
      <c r="C8515" s="1">
        <f>(Tabela1[[#This Row],[x]]-H$3)*(Tabela1[[#This Row],[x]]-H$3) +(Tabela1[[#This Row],[y]]-H$4)*(Tabela1[[#This Row],[y]]-H$4)</f>
        <v>12017</v>
      </c>
      <c r="D8515" s="1">
        <f>IF(Tabela1[[#This Row],[promien]]&lt;40000,1,0)</f>
        <v>1</v>
      </c>
      <c r="E8515" s="1">
        <f>IF(Tabela1[[#This Row],[promien]]=40000,1,0)</f>
        <v>0</v>
      </c>
      <c r="F8515" s="1">
        <v>3.1398708162066939</v>
      </c>
      <c r="G8515" s="1">
        <v>1.7218373830991673E-3</v>
      </c>
    </row>
    <row r="8516" spans="1:7">
      <c r="A8516">
        <v>198</v>
      </c>
      <c r="B8516">
        <v>103</v>
      </c>
      <c r="C8516" s="1">
        <f>(Tabela1[[#This Row],[x]]-H$3)*(Tabela1[[#This Row],[x]]-H$3) +(Tabela1[[#This Row],[y]]-H$4)*(Tabela1[[#This Row],[y]]-H$4)</f>
        <v>9413</v>
      </c>
      <c r="D8516" s="1">
        <f>IF(Tabela1[[#This Row],[promien]]&lt;40000,1,0)</f>
        <v>1</v>
      </c>
      <c r="E8516" s="1">
        <f>IF(Tabela1[[#This Row],[promien]]=40000,1,0)</f>
        <v>0</v>
      </c>
      <c r="F8516" s="1">
        <v>3.1399718177548146</v>
      </c>
      <c r="G8516" s="1">
        <v>1.6208358349785179E-3</v>
      </c>
    </row>
    <row r="8517" spans="1:7">
      <c r="A8517">
        <v>314</v>
      </c>
      <c r="B8517">
        <v>312</v>
      </c>
      <c r="C8517" s="1">
        <f>(Tabela1[[#This Row],[x]]-H$3)*(Tabela1[[#This Row],[x]]-H$3) +(Tabela1[[#This Row],[y]]-H$4)*(Tabela1[[#This Row],[y]]-H$4)</f>
        <v>25540</v>
      </c>
      <c r="D8517" s="1">
        <f>IF(Tabela1[[#This Row],[promien]]&lt;40000,1,0)</f>
        <v>1</v>
      </c>
      <c r="E8517" s="1">
        <f>IF(Tabela1[[#This Row],[promien]]=40000,1,0)</f>
        <v>0</v>
      </c>
      <c r="F8517" s="1">
        <v>3.1400727955852998</v>
      </c>
      <c r="G8517" s="1">
        <v>1.5198580044932797E-3</v>
      </c>
    </row>
    <row r="8518" spans="1:7">
      <c r="A8518">
        <v>314</v>
      </c>
      <c r="B8518">
        <v>307</v>
      </c>
      <c r="C8518" s="1">
        <f>(Tabela1[[#This Row],[x]]-H$3)*(Tabela1[[#This Row],[x]]-H$3) +(Tabela1[[#This Row],[y]]-H$4)*(Tabela1[[#This Row],[y]]-H$4)</f>
        <v>24445</v>
      </c>
      <c r="D8518" s="1">
        <f>IF(Tabela1[[#This Row],[promien]]&lt;40000,1,0)</f>
        <v>1</v>
      </c>
      <c r="E8518" s="1">
        <f>IF(Tabela1[[#This Row],[promien]]=40000,1,0)</f>
        <v>0</v>
      </c>
      <c r="F8518" s="1">
        <v>3.1401737497065039</v>
      </c>
      <c r="G8518" s="1">
        <v>1.4189038832892464E-3</v>
      </c>
    </row>
    <row r="8519" spans="1:7">
      <c r="A8519">
        <v>129</v>
      </c>
      <c r="B8519">
        <v>31</v>
      </c>
      <c r="C8519" s="1">
        <f>(Tabela1[[#This Row],[x]]-H$3)*(Tabela1[[#This Row],[x]]-H$3) +(Tabela1[[#This Row],[y]]-H$4)*(Tabela1[[#This Row],[y]]-H$4)</f>
        <v>33602</v>
      </c>
      <c r="D8519" s="1">
        <f>IF(Tabela1[[#This Row],[promien]]&lt;40000,1,0)</f>
        <v>1</v>
      </c>
      <c r="E8519" s="1">
        <f>IF(Tabela1[[#This Row],[promien]]=40000,1,0)</f>
        <v>0</v>
      </c>
      <c r="F8519" s="1">
        <v>3.1402746801267756</v>
      </c>
      <c r="G8519" s="1">
        <v>1.317973463017541E-3</v>
      </c>
    </row>
    <row r="8520" spans="1:7">
      <c r="A8520">
        <v>258</v>
      </c>
      <c r="B8520">
        <v>320</v>
      </c>
      <c r="C8520" s="1">
        <f>(Tabela1[[#This Row],[x]]-H$3)*(Tabela1[[#This Row],[x]]-H$3) +(Tabela1[[#This Row],[y]]-H$4)*(Tabela1[[#This Row],[y]]-H$4)</f>
        <v>17764</v>
      </c>
      <c r="D8520" s="1">
        <f>IF(Tabela1[[#This Row],[promien]]&lt;40000,1,0)</f>
        <v>1</v>
      </c>
      <c r="E8520" s="1">
        <f>IF(Tabela1[[#This Row],[promien]]=40000,1,0)</f>
        <v>0</v>
      </c>
      <c r="F8520" s="1">
        <v>3.1403755868544603</v>
      </c>
      <c r="G8520" s="1">
        <v>1.217066735332839E-3</v>
      </c>
    </row>
    <row r="8521" spans="1:7">
      <c r="A8521">
        <v>130</v>
      </c>
      <c r="B8521">
        <v>61</v>
      </c>
      <c r="C8521" s="1">
        <f>(Tabela1[[#This Row],[x]]-H$3)*(Tabela1[[#This Row],[x]]-H$3) +(Tabela1[[#This Row],[y]]-H$4)*(Tabela1[[#This Row],[y]]-H$4)</f>
        <v>24221</v>
      </c>
      <c r="D8521" s="1">
        <f>IF(Tabela1[[#This Row],[promien]]&lt;40000,1,0)</f>
        <v>1</v>
      </c>
      <c r="E8521" s="1">
        <f>IF(Tabela1[[#This Row],[promien]]=40000,1,0)</f>
        <v>0</v>
      </c>
      <c r="F8521" s="1">
        <v>3.1404764698978993</v>
      </c>
      <c r="G8521" s="1">
        <v>1.1161836918938128E-3</v>
      </c>
    </row>
    <row r="8522" spans="1:7">
      <c r="A8522">
        <v>115</v>
      </c>
      <c r="B8522">
        <v>219</v>
      </c>
      <c r="C8522" s="1">
        <f>(Tabela1[[#This Row],[x]]-H$3)*(Tabela1[[#This Row],[x]]-H$3) +(Tabela1[[#This Row],[y]]-H$4)*(Tabela1[[#This Row],[y]]-H$4)</f>
        <v>7586</v>
      </c>
      <c r="D8522" s="1">
        <f>IF(Tabela1[[#This Row],[promien]]&lt;40000,1,0)</f>
        <v>1</v>
      </c>
      <c r="E8522" s="1">
        <f>IF(Tabela1[[#This Row],[promien]]=40000,1,0)</f>
        <v>0</v>
      </c>
      <c r="F8522" s="1">
        <v>3.1405773292654304</v>
      </c>
      <c r="G8522" s="1">
        <v>1.0153243243626875E-3</v>
      </c>
    </row>
    <row r="8523" spans="1:7">
      <c r="A8523">
        <v>238</v>
      </c>
      <c r="B8523">
        <v>150</v>
      </c>
      <c r="C8523" s="1">
        <f>(Tabela1[[#This Row],[x]]-H$3)*(Tabela1[[#This Row],[x]]-H$3) +(Tabela1[[#This Row],[y]]-H$4)*(Tabela1[[#This Row],[y]]-H$4)</f>
        <v>3944</v>
      </c>
      <c r="D8523" s="1">
        <f>IF(Tabela1[[#This Row],[promien]]&lt;40000,1,0)</f>
        <v>1</v>
      </c>
      <c r="E8523" s="1">
        <f>IF(Tabela1[[#This Row],[promien]]=40000,1,0)</f>
        <v>0</v>
      </c>
      <c r="F8523" s="1">
        <v>3.1406781649653879</v>
      </c>
      <c r="G8523" s="1">
        <v>9.1448862440524081E-4</v>
      </c>
    </row>
    <row r="8524" spans="1:7">
      <c r="A8524">
        <v>20</v>
      </c>
      <c r="B8524">
        <v>282</v>
      </c>
      <c r="C8524" s="1">
        <f>(Tabela1[[#This Row],[x]]-H$3)*(Tabela1[[#This Row],[x]]-H$3) +(Tabela1[[#This Row],[y]]-H$4)*(Tabela1[[#This Row],[y]]-H$4)</f>
        <v>39124</v>
      </c>
      <c r="D8524" s="1">
        <f>IF(Tabela1[[#This Row],[promien]]&lt;40000,1,0)</f>
        <v>1</v>
      </c>
      <c r="E8524" s="1">
        <f>IF(Tabela1[[#This Row],[promien]]=40000,1,0)</f>
        <v>0</v>
      </c>
      <c r="F8524" s="1">
        <v>3.1407789770061005</v>
      </c>
      <c r="G8524" s="1">
        <v>8.1367658369257967E-4</v>
      </c>
    </row>
    <row r="8525" spans="1:7">
      <c r="A8525">
        <v>397</v>
      </c>
      <c r="B8525">
        <v>43</v>
      </c>
      <c r="C8525" s="1">
        <f>(Tabela1[[#This Row],[x]]-H$3)*(Tabela1[[#This Row],[x]]-H$3) +(Tabela1[[#This Row],[y]]-H$4)*(Tabela1[[#This Row],[y]]-H$4)</f>
        <v>63458</v>
      </c>
      <c r="D8525" s="1">
        <f>IF(Tabela1[[#This Row],[promien]]&lt;40000,1,0)</f>
        <v>0</v>
      </c>
      <c r="E8525" s="1">
        <f>IF(Tabela1[[#This Row],[promien]]=40000,1,0)</f>
        <v>0</v>
      </c>
      <c r="F8525" s="1">
        <v>3.1404105571847509</v>
      </c>
      <c r="G8525" s="1">
        <v>1.1820964050421878E-3</v>
      </c>
    </row>
    <row r="8526" spans="1:7">
      <c r="A8526">
        <v>209</v>
      </c>
      <c r="B8526">
        <v>110</v>
      </c>
      <c r="C8526" s="1">
        <f>(Tabela1[[#This Row],[x]]-H$3)*(Tabela1[[#This Row],[x]]-H$3) +(Tabela1[[#This Row],[y]]-H$4)*(Tabela1[[#This Row],[y]]-H$4)</f>
        <v>8181</v>
      </c>
      <c r="D8526" s="1">
        <f>IF(Tabela1[[#This Row],[promien]]&lt;40000,1,0)</f>
        <v>1</v>
      </c>
      <c r="E8526" s="1">
        <f>IF(Tabela1[[#This Row],[promien]]=40000,1,0)</f>
        <v>0</v>
      </c>
      <c r="F8526" s="1">
        <v>3.1405113769645787</v>
      </c>
      <c r="G8526" s="1">
        <v>1.0812766252144002E-3</v>
      </c>
    </row>
    <row r="8527" spans="1:7">
      <c r="A8527">
        <v>281</v>
      </c>
      <c r="B8527">
        <v>192</v>
      </c>
      <c r="C8527" s="1">
        <f>(Tabela1[[#This Row],[x]]-H$3)*(Tabela1[[#This Row],[x]]-H$3) +(Tabela1[[#This Row],[y]]-H$4)*(Tabela1[[#This Row],[y]]-H$4)</f>
        <v>6625</v>
      </c>
      <c r="D8527" s="1">
        <f>IF(Tabela1[[#This Row],[promien]]&lt;40000,1,0)</f>
        <v>1</v>
      </c>
      <c r="E8527" s="1">
        <f>IF(Tabela1[[#This Row],[promien]]=40000,1,0)</f>
        <v>0</v>
      </c>
      <c r="F8527" s="1">
        <v>3.1406121730972205</v>
      </c>
      <c r="G8527" s="1">
        <v>9.8048049257259962E-4</v>
      </c>
    </row>
    <row r="8528" spans="1:7">
      <c r="A8528">
        <v>348</v>
      </c>
      <c r="B8528">
        <v>210</v>
      </c>
      <c r="C8528" s="1">
        <f>(Tabela1[[#This Row],[x]]-H$3)*(Tabela1[[#This Row],[x]]-H$3) +(Tabela1[[#This Row],[y]]-H$4)*(Tabela1[[#This Row],[y]]-H$4)</f>
        <v>22004</v>
      </c>
      <c r="D8528" s="1">
        <f>IF(Tabela1[[#This Row],[promien]]&lt;40000,1,0)</f>
        <v>1</v>
      </c>
      <c r="E8528" s="1">
        <f>IF(Tabela1[[#This Row],[promien]]=40000,1,0)</f>
        <v>0</v>
      </c>
      <c r="F8528" s="1">
        <v>3.1407129455909946</v>
      </c>
      <c r="G8528" s="1">
        <v>8.7970799879855122E-4</v>
      </c>
    </row>
    <row r="8529" spans="1:7">
      <c r="A8529">
        <v>281</v>
      </c>
      <c r="B8529">
        <v>293</v>
      </c>
      <c r="C8529" s="1">
        <f>(Tabela1[[#This Row],[x]]-H$3)*(Tabela1[[#This Row],[x]]-H$3) +(Tabela1[[#This Row],[y]]-H$4)*(Tabela1[[#This Row],[y]]-H$4)</f>
        <v>15210</v>
      </c>
      <c r="D8529" s="1">
        <f>IF(Tabela1[[#This Row],[promien]]&lt;40000,1,0)</f>
        <v>1</v>
      </c>
      <c r="E8529" s="1">
        <f>IF(Tabela1[[#This Row],[promien]]=40000,1,0)</f>
        <v>0</v>
      </c>
      <c r="F8529" s="1">
        <v>3.1408136944542151</v>
      </c>
      <c r="G8529" s="1">
        <v>7.7895913557801677E-4</v>
      </c>
    </row>
    <row r="8530" spans="1:7">
      <c r="A8530">
        <v>365</v>
      </c>
      <c r="B8530">
        <v>241</v>
      </c>
      <c r="C8530" s="1">
        <f>(Tabela1[[#This Row],[x]]-H$3)*(Tabela1[[#This Row],[x]]-H$3) +(Tabela1[[#This Row],[y]]-H$4)*(Tabela1[[#This Row],[y]]-H$4)</f>
        <v>28906</v>
      </c>
      <c r="D8530" s="1">
        <f>IF(Tabela1[[#This Row],[promien]]&lt;40000,1,0)</f>
        <v>1</v>
      </c>
      <c r="E8530" s="1">
        <f>IF(Tabela1[[#This Row],[promien]]=40000,1,0)</f>
        <v>0</v>
      </c>
      <c r="F8530" s="1">
        <v>3.1409144196951932</v>
      </c>
      <c r="G8530" s="1">
        <v>6.7823389459986672E-4</v>
      </c>
    </row>
    <row r="8531" spans="1:7">
      <c r="A8531">
        <v>34</v>
      </c>
      <c r="B8531">
        <v>94</v>
      </c>
      <c r="C8531" s="1">
        <f>(Tabela1[[#This Row],[x]]-H$3)*(Tabela1[[#This Row],[x]]-H$3) +(Tabela1[[#This Row],[y]]-H$4)*(Tabela1[[#This Row],[y]]-H$4)</f>
        <v>38792</v>
      </c>
      <c r="D8531" s="1">
        <f>IF(Tabela1[[#This Row],[promien]]&lt;40000,1,0)</f>
        <v>1</v>
      </c>
      <c r="E8531" s="1">
        <f>IF(Tabela1[[#This Row],[promien]]=40000,1,0)</f>
        <v>0</v>
      </c>
      <c r="F8531" s="1">
        <v>3.1410151213222366</v>
      </c>
      <c r="G8531" s="1">
        <v>5.775322675565242E-4</v>
      </c>
    </row>
    <row r="8532" spans="1:7">
      <c r="A8532">
        <v>233</v>
      </c>
      <c r="B8532">
        <v>243</v>
      </c>
      <c r="C8532" s="1">
        <f>(Tabela1[[#This Row],[x]]-H$3)*(Tabela1[[#This Row],[x]]-H$3) +(Tabela1[[#This Row],[y]]-H$4)*(Tabela1[[#This Row],[y]]-H$4)</f>
        <v>2938</v>
      </c>
      <c r="D8532" s="1">
        <f>IF(Tabela1[[#This Row],[promien]]&lt;40000,1,0)</f>
        <v>1</v>
      </c>
      <c r="E8532" s="1">
        <f>IF(Tabela1[[#This Row],[promien]]=40000,1,0)</f>
        <v>0</v>
      </c>
      <c r="F8532" s="1">
        <v>3.1411157993436474</v>
      </c>
      <c r="G8532" s="1">
        <v>4.7685424614574146E-4</v>
      </c>
    </row>
    <row r="8533" spans="1:7">
      <c r="A8533">
        <v>350</v>
      </c>
      <c r="B8533">
        <v>120</v>
      </c>
      <c r="C8533" s="1">
        <f>(Tabela1[[#This Row],[x]]-H$3)*(Tabela1[[#This Row],[x]]-H$3) +(Tabela1[[#This Row],[y]]-H$4)*(Tabela1[[#This Row],[y]]-H$4)</f>
        <v>28900</v>
      </c>
      <c r="D8533" s="1">
        <f>IF(Tabela1[[#This Row],[promien]]&lt;40000,1,0)</f>
        <v>1</v>
      </c>
      <c r="E8533" s="1">
        <f>IF(Tabela1[[#This Row],[promien]]=40000,1,0)</f>
        <v>0</v>
      </c>
      <c r="F8533" s="1">
        <v>3.1412164537677252</v>
      </c>
      <c r="G8533" s="1">
        <v>3.7619982206793523E-4</v>
      </c>
    </row>
    <row r="8534" spans="1:7">
      <c r="A8534">
        <v>363</v>
      </c>
      <c r="B8534">
        <v>17</v>
      </c>
      <c r="C8534" s="1">
        <f>(Tabela1[[#This Row],[x]]-H$3)*(Tabela1[[#This Row],[x]]-H$3) +(Tabela1[[#This Row],[y]]-H$4)*(Tabela1[[#This Row],[y]]-H$4)</f>
        <v>60058</v>
      </c>
      <c r="D8534" s="1">
        <f>IF(Tabela1[[#This Row],[promien]]&lt;40000,1,0)</f>
        <v>0</v>
      </c>
      <c r="E8534" s="1">
        <f>IF(Tabela1[[#This Row],[promien]]=40000,1,0)</f>
        <v>0</v>
      </c>
      <c r="F8534" s="1">
        <v>3.1408483712209985</v>
      </c>
      <c r="G8534" s="1">
        <v>7.4428236879464649E-4</v>
      </c>
    </row>
    <row r="8535" spans="1:7">
      <c r="A8535">
        <v>109</v>
      </c>
      <c r="B8535">
        <v>347</v>
      </c>
      <c r="C8535" s="1">
        <f>(Tabela1[[#This Row],[x]]-H$3)*(Tabela1[[#This Row],[x]]-H$3) +(Tabela1[[#This Row],[y]]-H$4)*(Tabela1[[#This Row],[y]]-H$4)</f>
        <v>29890</v>
      </c>
      <c r="D8535" s="1">
        <f>IF(Tabela1[[#This Row],[promien]]&lt;40000,1,0)</f>
        <v>1</v>
      </c>
      <c r="E8535" s="1">
        <f>IF(Tabela1[[#This Row],[promien]]=40000,1,0)</f>
        <v>0</v>
      </c>
      <c r="F8535" s="1">
        <v>3.1409490333919154</v>
      </c>
      <c r="G8535" s="1">
        <v>6.4362019787767011E-4</v>
      </c>
    </row>
    <row r="8536" spans="1:7">
      <c r="A8536">
        <v>63</v>
      </c>
      <c r="B8536">
        <v>111</v>
      </c>
      <c r="C8536" s="1">
        <f>(Tabela1[[#This Row],[x]]-H$3)*(Tabela1[[#This Row],[x]]-H$3) +(Tabela1[[#This Row],[y]]-H$4)*(Tabela1[[#This Row],[y]]-H$4)</f>
        <v>26690</v>
      </c>
      <c r="D8536" s="1">
        <f>IF(Tabela1[[#This Row],[promien]]&lt;40000,1,0)</f>
        <v>1</v>
      </c>
      <c r="E8536" s="1">
        <f>IF(Tabela1[[#This Row],[promien]]=40000,1,0)</f>
        <v>0</v>
      </c>
      <c r="F8536" s="1">
        <v>3.1410496719775072</v>
      </c>
      <c r="G8536" s="1">
        <v>5.4298161228594211E-4</v>
      </c>
    </row>
    <row r="8537" spans="1:7">
      <c r="A8537">
        <v>45</v>
      </c>
      <c r="B8537">
        <v>312</v>
      </c>
      <c r="C8537" s="1">
        <f>(Tabela1[[#This Row],[x]]-H$3)*(Tabela1[[#This Row],[x]]-H$3) +(Tabela1[[#This Row],[y]]-H$4)*(Tabela1[[#This Row],[y]]-H$4)</f>
        <v>36569</v>
      </c>
      <c r="D8537" s="1">
        <f>IF(Tabela1[[#This Row],[promien]]&lt;40000,1,0)</f>
        <v>1</v>
      </c>
      <c r="E8537" s="1">
        <f>IF(Tabela1[[#This Row],[promien]]=40000,1,0)</f>
        <v>0</v>
      </c>
      <c r="F8537" s="1">
        <v>3.1411502869860608</v>
      </c>
      <c r="G8537" s="1">
        <v>4.4236660373231373E-4</v>
      </c>
    </row>
    <row r="8538" spans="1:7">
      <c r="A8538">
        <v>316</v>
      </c>
      <c r="B8538">
        <v>111</v>
      </c>
      <c r="C8538" s="1">
        <f>(Tabela1[[#This Row],[x]]-H$3)*(Tabela1[[#This Row],[x]]-H$3) +(Tabela1[[#This Row],[y]]-H$4)*(Tabela1[[#This Row],[y]]-H$4)</f>
        <v>21377</v>
      </c>
      <c r="D8538" s="1">
        <f>IF(Tabela1[[#This Row],[promien]]&lt;40000,1,0)</f>
        <v>1</v>
      </c>
      <c r="E8538" s="1">
        <f>IF(Tabela1[[#This Row],[promien]]=40000,1,0)</f>
        <v>0</v>
      </c>
      <c r="F8538" s="1">
        <v>3.1412508784258608</v>
      </c>
      <c r="G8538" s="1">
        <v>3.4177516393230079E-4</v>
      </c>
    </row>
    <row r="8539" spans="1:7">
      <c r="A8539">
        <v>376</v>
      </c>
      <c r="B8539">
        <v>279</v>
      </c>
      <c r="C8539" s="1">
        <f>(Tabela1[[#This Row],[x]]-H$3)*(Tabela1[[#This Row],[x]]-H$3) +(Tabela1[[#This Row],[y]]-H$4)*(Tabela1[[#This Row],[y]]-H$4)</f>
        <v>37217</v>
      </c>
      <c r="D8539" s="1">
        <f>IF(Tabela1[[#This Row],[promien]]&lt;40000,1,0)</f>
        <v>1</v>
      </c>
      <c r="E8539" s="1">
        <f>IF(Tabela1[[#This Row],[promien]]=40000,1,0)</f>
        <v>0</v>
      </c>
      <c r="F8539" s="1">
        <v>3.1413514463051881</v>
      </c>
      <c r="G8539" s="1">
        <v>2.4120728460497176E-4</v>
      </c>
    </row>
    <row r="8540" spans="1:7">
      <c r="A8540">
        <v>196</v>
      </c>
      <c r="B8540">
        <v>149</v>
      </c>
      <c r="C8540" s="1">
        <f>(Tabela1[[#This Row],[x]]-H$3)*(Tabela1[[#This Row],[x]]-H$3) +(Tabela1[[#This Row],[y]]-H$4)*(Tabela1[[#This Row],[y]]-H$4)</f>
        <v>2617</v>
      </c>
      <c r="D8540" s="1">
        <f>IF(Tabela1[[#This Row],[promien]]&lt;40000,1,0)</f>
        <v>1</v>
      </c>
      <c r="E8540" s="1">
        <f>IF(Tabela1[[#This Row],[promien]]=40000,1,0)</f>
        <v>0</v>
      </c>
      <c r="F8540" s="1">
        <v>3.1414519906323184</v>
      </c>
      <c r="G8540" s="1">
        <v>1.4066295747472424E-4</v>
      </c>
    </row>
    <row r="8541" spans="1:7">
      <c r="A8541">
        <v>175</v>
      </c>
      <c r="B8541">
        <v>170</v>
      </c>
      <c r="C8541" s="1">
        <f>(Tabela1[[#This Row],[x]]-H$3)*(Tabela1[[#This Row],[x]]-H$3) +(Tabela1[[#This Row],[y]]-H$4)*(Tabela1[[#This Row],[y]]-H$4)</f>
        <v>1525</v>
      </c>
      <c r="D8541" s="1">
        <f>IF(Tabela1[[#This Row],[promien]]&lt;40000,1,0)</f>
        <v>1</v>
      </c>
      <c r="E8541" s="1">
        <f>IF(Tabela1[[#This Row],[promien]]=40000,1,0)</f>
        <v>0</v>
      </c>
      <c r="F8541" s="1">
        <v>3.1415525114155249</v>
      </c>
      <c r="G8541" s="1">
        <v>4.0142174268176234E-5</v>
      </c>
    </row>
    <row r="8542" spans="1:7">
      <c r="A8542">
        <v>25</v>
      </c>
      <c r="B8542">
        <v>19</v>
      </c>
      <c r="C8542" s="1">
        <f>(Tabela1[[#This Row],[x]]-H$3)*(Tabela1[[#This Row],[x]]-H$3) +(Tabela1[[#This Row],[y]]-H$4)*(Tabela1[[#This Row],[y]]-H$4)</f>
        <v>63386</v>
      </c>
      <c r="D8542" s="1">
        <f>IF(Tabela1[[#This Row],[promien]]&lt;40000,1,0)</f>
        <v>0</v>
      </c>
      <c r="E8542" s="1">
        <f>IF(Tabela1[[#This Row],[promien]]=40000,1,0)</f>
        <v>0</v>
      </c>
      <c r="F8542" s="1">
        <v>3.1411847342542729</v>
      </c>
      <c r="G8542" s="1">
        <v>4.0791933552020154E-4</v>
      </c>
    </row>
    <row r="8543" spans="1:7">
      <c r="A8543">
        <v>153</v>
      </c>
      <c r="B8543">
        <v>384</v>
      </c>
      <c r="C8543" s="1">
        <f>(Tabela1[[#This Row],[x]]-H$3)*(Tabela1[[#This Row],[x]]-H$3) +(Tabela1[[#This Row],[y]]-H$4)*(Tabela1[[#This Row],[y]]-H$4)</f>
        <v>36065</v>
      </c>
      <c r="D8543" s="1">
        <f>IF(Tabela1[[#This Row],[promien]]&lt;40000,1,0)</f>
        <v>1</v>
      </c>
      <c r="E8543" s="1">
        <f>IF(Tabela1[[#This Row],[promien]]=40000,1,0)</f>
        <v>0</v>
      </c>
      <c r="F8543" s="1">
        <v>3.1412852627882475</v>
      </c>
      <c r="G8543" s="1">
        <v>3.0739080154562615E-4</v>
      </c>
    </row>
    <row r="8544" spans="1:7">
      <c r="A8544">
        <v>175</v>
      </c>
      <c r="B8544">
        <v>350</v>
      </c>
      <c r="C8544" s="1">
        <f>(Tabela1[[#This Row],[x]]-H$3)*(Tabela1[[#This Row],[x]]-H$3) +(Tabela1[[#This Row],[y]]-H$4)*(Tabela1[[#This Row],[y]]-H$4)</f>
        <v>23125</v>
      </c>
      <c r="D8544" s="1">
        <f>IF(Tabela1[[#This Row],[promien]]&lt;40000,1,0)</f>
        <v>1</v>
      </c>
      <c r="E8544" s="1">
        <f>IF(Tabela1[[#This Row],[promien]]=40000,1,0)</f>
        <v>0</v>
      </c>
      <c r="F8544" s="1">
        <v>3.1413857677902621</v>
      </c>
      <c r="G8544" s="1">
        <v>2.0688579953098696E-4</v>
      </c>
    </row>
    <row r="8545" spans="1:7">
      <c r="A8545">
        <v>35</v>
      </c>
      <c r="B8545">
        <v>147</v>
      </c>
      <c r="C8545" s="1">
        <f>(Tabela1[[#This Row],[x]]-H$3)*(Tabela1[[#This Row],[x]]-H$3) +(Tabela1[[#This Row],[y]]-H$4)*(Tabela1[[#This Row],[y]]-H$4)</f>
        <v>30034</v>
      </c>
      <c r="D8545" s="1">
        <f>IF(Tabela1[[#This Row],[promien]]&lt;40000,1,0)</f>
        <v>1</v>
      </c>
      <c r="E8545" s="1">
        <f>IF(Tabela1[[#This Row],[promien]]=40000,1,0)</f>
        <v>0</v>
      </c>
      <c r="F8545" s="1">
        <v>3.1414862492685782</v>
      </c>
      <c r="G8545" s="1">
        <v>1.0640432121489241E-4</v>
      </c>
    </row>
    <row r="8546" spans="1:7">
      <c r="A8546">
        <v>339</v>
      </c>
      <c r="B8546">
        <v>53</v>
      </c>
      <c r="C8546" s="1">
        <f>(Tabela1[[#This Row],[x]]-H$3)*(Tabela1[[#This Row],[x]]-H$3) +(Tabela1[[#This Row],[y]]-H$4)*(Tabela1[[#This Row],[y]]-H$4)</f>
        <v>40930</v>
      </c>
      <c r="D8546" s="1">
        <f>IF(Tabela1[[#This Row],[promien]]&lt;40000,1,0)</f>
        <v>0</v>
      </c>
      <c r="E8546" s="1">
        <f>IF(Tabela1[[#This Row],[promien]]=40000,1,0)</f>
        <v>0</v>
      </c>
      <c r="F8546" s="1">
        <v>3.141118652000936</v>
      </c>
      <c r="G8546" s="1">
        <v>4.740015888571314E-4</v>
      </c>
    </row>
    <row r="8547" spans="1:7">
      <c r="A8547">
        <v>274</v>
      </c>
      <c r="B8547">
        <v>250</v>
      </c>
      <c r="C8547" s="1">
        <f>(Tabela1[[#This Row],[x]]-H$3)*(Tabela1[[#This Row],[x]]-H$3) +(Tabela1[[#This Row],[y]]-H$4)*(Tabela1[[#This Row],[y]]-H$4)</f>
        <v>7976</v>
      </c>
      <c r="D8547" s="1">
        <f>IF(Tabela1[[#This Row],[promien]]&lt;40000,1,0)</f>
        <v>1</v>
      </c>
      <c r="E8547" s="1">
        <f>IF(Tabela1[[#This Row],[promien]]=40000,1,0)</f>
        <v>0</v>
      </c>
      <c r="F8547" s="1">
        <v>3.1412191412191413</v>
      </c>
      <c r="G8547" s="1">
        <v>3.7351237065186282E-4</v>
      </c>
    </row>
    <row r="8548" spans="1:7">
      <c r="A8548">
        <v>141</v>
      </c>
      <c r="B8548">
        <v>276</v>
      </c>
      <c r="C8548" s="1">
        <f>(Tabela1[[#This Row],[x]]-H$3)*(Tabela1[[#This Row],[x]]-H$3) +(Tabela1[[#This Row],[y]]-H$4)*(Tabela1[[#This Row],[y]]-H$4)</f>
        <v>9257</v>
      </c>
      <c r="D8548" s="1">
        <f>IF(Tabela1[[#This Row],[promien]]&lt;40000,1,0)</f>
        <v>1</v>
      </c>
      <c r="E8548" s="1">
        <f>IF(Tabela1[[#This Row],[promien]]=40000,1,0)</f>
        <v>0</v>
      </c>
      <c r="F8548" s="1">
        <v>3.1413196069255966</v>
      </c>
      <c r="G8548" s="1">
        <v>2.7304666419647461E-4</v>
      </c>
    </row>
    <row r="8549" spans="1:7">
      <c r="A8549">
        <v>247</v>
      </c>
      <c r="B8549">
        <v>230</v>
      </c>
      <c r="C8549" s="1">
        <f>(Tabela1[[#This Row],[x]]-H$3)*(Tabela1[[#This Row],[x]]-H$3) +(Tabela1[[#This Row],[y]]-H$4)*(Tabela1[[#This Row],[y]]-H$4)</f>
        <v>3109</v>
      </c>
      <c r="D8549" s="1">
        <f>IF(Tabela1[[#This Row],[promien]]&lt;40000,1,0)</f>
        <v>1</v>
      </c>
      <c r="E8549" s="1">
        <f>IF(Tabela1[[#This Row],[promien]]=40000,1,0)</f>
        <v>0</v>
      </c>
      <c r="F8549" s="1">
        <v>3.1414200491285529</v>
      </c>
      <c r="G8549" s="1">
        <v>1.7260446124023332E-4</v>
      </c>
    </row>
    <row r="8550" spans="1:7">
      <c r="A8550">
        <v>57</v>
      </c>
      <c r="B8550">
        <v>99</v>
      </c>
      <c r="C8550" s="1">
        <f>(Tabela1[[#This Row],[x]]-H$3)*(Tabela1[[#This Row],[x]]-H$3) +(Tabela1[[#This Row],[y]]-H$4)*(Tabela1[[#This Row],[y]]-H$4)</f>
        <v>30650</v>
      </c>
      <c r="D8550" s="1">
        <f>IF(Tabela1[[#This Row],[promien]]&lt;40000,1,0)</f>
        <v>1</v>
      </c>
      <c r="E8550" s="1">
        <f>IF(Tabela1[[#This Row],[promien]]=40000,1,0)</f>
        <v>0</v>
      </c>
      <c r="F8550" s="1">
        <v>3.1415204678362572</v>
      </c>
      <c r="G8550" s="1">
        <v>7.2185753535958241E-5</v>
      </c>
    </row>
    <row r="8551" spans="1:7">
      <c r="A8551">
        <v>343</v>
      </c>
      <c r="B8551">
        <v>41</v>
      </c>
      <c r="C8551" s="1">
        <f>(Tabela1[[#This Row],[x]]-H$3)*(Tabela1[[#This Row],[x]]-H$3) +(Tabela1[[#This Row],[y]]-H$4)*(Tabela1[[#This Row],[y]]-H$4)</f>
        <v>45730</v>
      </c>
      <c r="D8551" s="1">
        <f>IF(Tabela1[[#This Row],[promien]]&lt;40000,1,0)</f>
        <v>0</v>
      </c>
      <c r="E8551" s="1">
        <f>IF(Tabela1[[#This Row],[promien]]=40000,1,0)</f>
        <v>0</v>
      </c>
      <c r="F8551" s="1">
        <v>3.1411530815109345</v>
      </c>
      <c r="G8551" s="1">
        <v>4.3957207885858551E-4</v>
      </c>
    </row>
    <row r="8552" spans="1:7">
      <c r="A8552">
        <v>267</v>
      </c>
      <c r="B8552">
        <v>28</v>
      </c>
      <c r="C8552" s="1">
        <f>(Tabela1[[#This Row],[x]]-H$3)*(Tabela1[[#This Row],[x]]-H$3) +(Tabela1[[#This Row],[y]]-H$4)*(Tabela1[[#This Row],[y]]-H$4)</f>
        <v>34073</v>
      </c>
      <c r="D8552" s="1">
        <f>IF(Tabela1[[#This Row],[promien]]&lt;40000,1,0)</f>
        <v>1</v>
      </c>
      <c r="E8552" s="1">
        <f>IF(Tabela1[[#This Row],[promien]]=40000,1,0)</f>
        <v>0</v>
      </c>
      <c r="F8552" s="1">
        <v>3.1412535079513564</v>
      </c>
      <c r="G8552" s="1">
        <v>3.3914563843673307E-4</v>
      </c>
    </row>
    <row r="8553" spans="1:7">
      <c r="A8553">
        <v>42</v>
      </c>
      <c r="B8553">
        <v>91</v>
      </c>
      <c r="C8553" s="1">
        <f>(Tabela1[[#This Row],[x]]-H$3)*(Tabela1[[#This Row],[x]]-H$3) +(Tabela1[[#This Row],[y]]-H$4)*(Tabela1[[#This Row],[y]]-H$4)</f>
        <v>36845</v>
      </c>
      <c r="D8553" s="1">
        <f>IF(Tabela1[[#This Row],[promien]]&lt;40000,1,0)</f>
        <v>1</v>
      </c>
      <c r="E8553" s="1">
        <f>IF(Tabela1[[#This Row],[promien]]=40000,1,0)</f>
        <v>0</v>
      </c>
      <c r="F8553" s="1">
        <v>3.1413539109084532</v>
      </c>
      <c r="G8553" s="1">
        <v>2.3874268133994292E-4</v>
      </c>
    </row>
    <row r="8554" spans="1:7">
      <c r="A8554">
        <v>75</v>
      </c>
      <c r="B8554">
        <v>161</v>
      </c>
      <c r="C8554" s="1">
        <f>(Tabela1[[#This Row],[x]]-H$3)*(Tabela1[[#This Row],[x]]-H$3) +(Tabela1[[#This Row],[y]]-H$4)*(Tabela1[[#This Row],[y]]-H$4)</f>
        <v>17146</v>
      </c>
      <c r="D8554" s="1">
        <f>IF(Tabela1[[#This Row],[promien]]&lt;40000,1,0)</f>
        <v>1</v>
      </c>
      <c r="E8554" s="1">
        <f>IF(Tabela1[[#This Row],[promien]]=40000,1,0)</f>
        <v>0</v>
      </c>
      <c r="F8554" s="1">
        <v>3.1414542903904605</v>
      </c>
      <c r="G8554" s="1">
        <v>1.3836319933258068E-4</v>
      </c>
    </row>
    <row r="8555" spans="1:7">
      <c r="A8555">
        <v>201</v>
      </c>
      <c r="B8555">
        <v>68</v>
      </c>
      <c r="C8555" s="1">
        <f>(Tabela1[[#This Row],[x]]-H$3)*(Tabela1[[#This Row],[x]]-H$3) +(Tabela1[[#This Row],[y]]-H$4)*(Tabela1[[#This Row],[y]]-H$4)</f>
        <v>17425</v>
      </c>
      <c r="D8555" s="1">
        <f>IF(Tabela1[[#This Row],[promien]]&lt;40000,1,0)</f>
        <v>1</v>
      </c>
      <c r="E8555" s="1">
        <f>IF(Tabela1[[#This Row],[promien]]=40000,1,0)</f>
        <v>0</v>
      </c>
      <c r="F8555" s="1">
        <v>3.1415546464056106</v>
      </c>
      <c r="G8555" s="1">
        <v>3.8007184182564657E-5</v>
      </c>
    </row>
    <row r="8556" spans="1:7">
      <c r="A8556">
        <v>376</v>
      </c>
      <c r="B8556">
        <v>305</v>
      </c>
      <c r="C8556" s="1">
        <f>(Tabela1[[#This Row],[x]]-H$3)*(Tabela1[[#This Row],[x]]-H$3) +(Tabela1[[#This Row],[y]]-H$4)*(Tabela1[[#This Row],[y]]-H$4)</f>
        <v>42001</v>
      </c>
      <c r="D8556" s="1">
        <f>IF(Tabela1[[#This Row],[promien]]&lt;40000,1,0)</f>
        <v>0</v>
      </c>
      <c r="E8556" s="1">
        <f>IF(Tabela1[[#This Row],[promien]]=40000,1,0)</f>
        <v>0</v>
      </c>
      <c r="F8556" s="1">
        <v>3.1411874707807388</v>
      </c>
      <c r="G8556" s="1">
        <v>4.0518280905432746E-4</v>
      </c>
    </row>
    <row r="8557" spans="1:7">
      <c r="A8557">
        <v>32</v>
      </c>
      <c r="B8557">
        <v>61</v>
      </c>
      <c r="C8557" s="1">
        <f>(Tabela1[[#This Row],[x]]-H$3)*(Tabela1[[#This Row],[x]]-H$3) +(Tabela1[[#This Row],[y]]-H$4)*(Tabela1[[#This Row],[y]]-H$4)</f>
        <v>47545</v>
      </c>
      <c r="D8557" s="1">
        <f>IF(Tabela1[[#This Row],[promien]]&lt;40000,1,0)</f>
        <v>0</v>
      </c>
      <c r="E8557" s="1">
        <f>IF(Tabela1[[#This Row],[promien]]=40000,1,0)</f>
        <v>0</v>
      </c>
      <c r="F8557" s="1">
        <v>3.1408203809746404</v>
      </c>
      <c r="G8557" s="1">
        <v>7.7227261515266932E-4</v>
      </c>
    </row>
    <row r="8558" spans="1:7">
      <c r="A8558">
        <v>110</v>
      </c>
      <c r="B8558">
        <v>180</v>
      </c>
      <c r="C8558" s="1">
        <f>(Tabela1[[#This Row],[x]]-H$3)*(Tabela1[[#This Row],[x]]-H$3) +(Tabela1[[#This Row],[y]]-H$4)*(Tabela1[[#This Row],[y]]-H$4)</f>
        <v>8500</v>
      </c>
      <c r="D8558" s="1">
        <f>IF(Tabela1[[#This Row],[promien]]&lt;40000,1,0)</f>
        <v>1</v>
      </c>
      <c r="E8558" s="1">
        <f>IF(Tabela1[[#This Row],[promien]]=40000,1,0)</f>
        <v>0</v>
      </c>
      <c r="F8558" s="1">
        <v>3.1409207758822153</v>
      </c>
      <c r="G8558" s="1">
        <v>6.7187770757781706E-4</v>
      </c>
    </row>
    <row r="8559" spans="1:7">
      <c r="A8559">
        <v>44</v>
      </c>
      <c r="B8559">
        <v>326</v>
      </c>
      <c r="C8559" s="1">
        <f>(Tabela1[[#This Row],[x]]-H$3)*(Tabela1[[#This Row],[x]]-H$3) +(Tabela1[[#This Row],[y]]-H$4)*(Tabela1[[#This Row],[y]]-H$4)</f>
        <v>40212</v>
      </c>
      <c r="D8559" s="1">
        <f>IF(Tabela1[[#This Row],[promien]]&lt;40000,1,0)</f>
        <v>0</v>
      </c>
      <c r="E8559" s="1">
        <f>IF(Tabela1[[#This Row],[promien]]=40000,1,0)</f>
        <v>0</v>
      </c>
      <c r="F8559" s="1">
        <v>3.1405538030143707</v>
      </c>
      <c r="G8559" s="1">
        <v>1.038850575422412E-3</v>
      </c>
    </row>
    <row r="8560" spans="1:7">
      <c r="A8560">
        <v>125</v>
      </c>
      <c r="B8560">
        <v>304</v>
      </c>
      <c r="C8560" s="1">
        <f>(Tabela1[[#This Row],[x]]-H$3)*(Tabela1[[#This Row],[x]]-H$3) +(Tabela1[[#This Row],[y]]-H$4)*(Tabela1[[#This Row],[y]]-H$4)</f>
        <v>16441</v>
      </c>
      <c r="D8560" s="1">
        <f>IF(Tabela1[[#This Row],[promien]]&lt;40000,1,0)</f>
        <v>1</v>
      </c>
      <c r="E8560" s="1">
        <f>IF(Tabela1[[#This Row],[promien]]=40000,1,0)</f>
        <v>0</v>
      </c>
      <c r="F8560" s="1">
        <v>3.1406542056074764</v>
      </c>
      <c r="G8560" s="1">
        <v>9.3844798231668136E-4</v>
      </c>
    </row>
    <row r="8561" spans="1:7">
      <c r="A8561">
        <v>118</v>
      </c>
      <c r="B8561">
        <v>348</v>
      </c>
      <c r="C8561" s="1">
        <f>(Tabela1[[#This Row],[x]]-H$3)*(Tabela1[[#This Row],[x]]-H$3) +(Tabela1[[#This Row],[y]]-H$4)*(Tabela1[[#This Row],[y]]-H$4)</f>
        <v>28628</v>
      </c>
      <c r="D8561" s="1">
        <f>IF(Tabela1[[#This Row],[promien]]&lt;40000,1,0)</f>
        <v>1</v>
      </c>
      <c r="E8561" s="1">
        <f>IF(Tabela1[[#This Row],[promien]]=40000,1,0)</f>
        <v>0</v>
      </c>
      <c r="F8561" s="1">
        <v>3.1407545847447729</v>
      </c>
      <c r="G8561" s="1">
        <v>8.3806884502024559E-4</v>
      </c>
    </row>
    <row r="8562" spans="1:7">
      <c r="A8562">
        <v>59</v>
      </c>
      <c r="B8562">
        <v>244</v>
      </c>
      <c r="C8562" s="1">
        <f>(Tabela1[[#This Row],[x]]-H$3)*(Tabela1[[#This Row],[x]]-H$3) +(Tabela1[[#This Row],[y]]-H$4)*(Tabela1[[#This Row],[y]]-H$4)</f>
        <v>21817</v>
      </c>
      <c r="D8562" s="1">
        <f>IF(Tabela1[[#This Row],[promien]]&lt;40000,1,0)</f>
        <v>1</v>
      </c>
      <c r="E8562" s="1">
        <f>IF(Tabela1[[#This Row],[promien]]=40000,1,0)</f>
        <v>0</v>
      </c>
      <c r="F8562" s="1">
        <v>3.1408549404344779</v>
      </c>
      <c r="G8562" s="1">
        <v>7.3771315531523385E-4</v>
      </c>
    </row>
    <row r="8563" spans="1:7">
      <c r="A8563">
        <v>314</v>
      </c>
      <c r="B8563">
        <v>160</v>
      </c>
      <c r="C8563" s="1">
        <f>(Tabela1[[#This Row],[x]]-H$3)*(Tabela1[[#This Row],[x]]-H$3) +(Tabela1[[#This Row],[y]]-H$4)*(Tabela1[[#This Row],[y]]-H$4)</f>
        <v>14596</v>
      </c>
      <c r="D8563" s="1">
        <f>IF(Tabela1[[#This Row],[promien]]&lt;40000,1,0)</f>
        <v>1</v>
      </c>
      <c r="E8563" s="1">
        <f>IF(Tabela1[[#This Row],[promien]]=40000,1,0)</f>
        <v>0</v>
      </c>
      <c r="F8563" s="1">
        <v>3.1409552726848067</v>
      </c>
      <c r="G8563" s="1">
        <v>6.3738090498643984E-4</v>
      </c>
    </row>
    <row r="8564" spans="1:7">
      <c r="A8564">
        <v>380</v>
      </c>
      <c r="B8564">
        <v>112</v>
      </c>
      <c r="C8564" s="1">
        <f>(Tabela1[[#This Row],[x]]-H$3)*(Tabela1[[#This Row],[x]]-H$3) +(Tabela1[[#This Row],[y]]-H$4)*(Tabela1[[#This Row],[y]]-H$4)</f>
        <v>40144</v>
      </c>
      <c r="D8564" s="1">
        <f>IF(Tabela1[[#This Row],[promien]]&lt;40000,1,0)</f>
        <v>0</v>
      </c>
      <c r="E8564" s="1">
        <f>IF(Tabela1[[#This Row],[promien]]=40000,1,0)</f>
        <v>0</v>
      </c>
      <c r="F8564" s="1">
        <v>3.1405885100420363</v>
      </c>
      <c r="G8564" s="1">
        <v>1.0041435477567973E-3</v>
      </c>
    </row>
    <row r="8565" spans="1:7">
      <c r="A8565">
        <v>137</v>
      </c>
      <c r="B8565">
        <v>49</v>
      </c>
      <c r="C8565" s="1">
        <f>(Tabela1[[#This Row],[x]]-H$3)*(Tabela1[[#This Row],[x]]-H$3) +(Tabela1[[#This Row],[y]]-H$4)*(Tabela1[[#This Row],[y]]-H$4)</f>
        <v>26770</v>
      </c>
      <c r="D8565" s="1">
        <f>IF(Tabela1[[#This Row],[promien]]&lt;40000,1,0)</f>
        <v>1</v>
      </c>
      <c r="E8565" s="1">
        <f>IF(Tabela1[[#This Row],[promien]]=40000,1,0)</f>
        <v>0</v>
      </c>
      <c r="F8565" s="1">
        <v>3.1406888499708114</v>
      </c>
      <c r="G8565" s="1">
        <v>9.0380361898168005E-4</v>
      </c>
    </row>
    <row r="8566" spans="1:7">
      <c r="A8566">
        <v>126</v>
      </c>
      <c r="B8566">
        <v>388</v>
      </c>
      <c r="C8566" s="1">
        <f>(Tabela1[[#This Row],[x]]-H$3)*(Tabela1[[#This Row],[x]]-H$3) +(Tabela1[[#This Row],[y]]-H$4)*(Tabela1[[#This Row],[y]]-H$4)</f>
        <v>40820</v>
      </c>
      <c r="D8566" s="1">
        <f>IF(Tabela1[[#This Row],[promien]]&lt;40000,1,0)</f>
        <v>0</v>
      </c>
      <c r="E8566" s="1">
        <f>IF(Tabela1[[#This Row],[promien]]=40000,1,0)</f>
        <v>0</v>
      </c>
      <c r="F8566" s="1">
        <v>3.1403222040625729</v>
      </c>
      <c r="G8566" s="1">
        <v>1.2704495272202188E-3</v>
      </c>
    </row>
    <row r="8567" spans="1:7">
      <c r="A8567">
        <v>189</v>
      </c>
      <c r="B8567">
        <v>334</v>
      </c>
      <c r="C8567" s="1">
        <f>(Tabela1[[#This Row],[x]]-H$3)*(Tabela1[[#This Row],[x]]-H$3) +(Tabela1[[#This Row],[y]]-H$4)*(Tabela1[[#This Row],[y]]-H$4)</f>
        <v>18077</v>
      </c>
      <c r="D8567" s="1">
        <f>IF(Tabela1[[#This Row],[promien]]&lt;40000,1,0)</f>
        <v>1</v>
      </c>
      <c r="E8567" s="1">
        <f>IF(Tabela1[[#This Row],[promien]]=40000,1,0)</f>
        <v>0</v>
      </c>
      <c r="F8567" s="1">
        <v>3.1404225516516866</v>
      </c>
      <c r="G8567" s="1">
        <v>1.1701019381065159E-3</v>
      </c>
    </row>
    <row r="8568" spans="1:7">
      <c r="A8568">
        <v>153</v>
      </c>
      <c r="B8568">
        <v>143</v>
      </c>
      <c r="C8568" s="1">
        <f>(Tabela1[[#This Row],[x]]-H$3)*(Tabela1[[#This Row],[x]]-H$3) +(Tabela1[[#This Row],[y]]-H$4)*(Tabela1[[#This Row],[y]]-H$4)</f>
        <v>5458</v>
      </c>
      <c r="D8568" s="1">
        <f>IF(Tabela1[[#This Row],[promien]]&lt;40000,1,0)</f>
        <v>1</v>
      </c>
      <c r="E8568" s="1">
        <f>IF(Tabela1[[#This Row],[promien]]=40000,1,0)</f>
        <v>0</v>
      </c>
      <c r="F8568" s="1">
        <v>3.1405228758169934</v>
      </c>
      <c r="G8568" s="1">
        <v>1.0697777727997071E-3</v>
      </c>
    </row>
    <row r="8569" spans="1:7">
      <c r="A8569">
        <v>276</v>
      </c>
      <c r="B8569">
        <v>223</v>
      </c>
      <c r="C8569" s="1">
        <f>(Tabela1[[#This Row],[x]]-H$3)*(Tabela1[[#This Row],[x]]-H$3) +(Tabela1[[#This Row],[y]]-H$4)*(Tabela1[[#This Row],[y]]-H$4)</f>
        <v>6305</v>
      </c>
      <c r="D8569" s="1">
        <f>IF(Tabela1[[#This Row],[promien]]&lt;40000,1,0)</f>
        <v>1</v>
      </c>
      <c r="E8569" s="1">
        <f>IF(Tabela1[[#This Row],[promien]]=40000,1,0)</f>
        <v>0</v>
      </c>
      <c r="F8569" s="1">
        <v>3.1406231765666939</v>
      </c>
      <c r="G8569" s="1">
        <v>9.6947702309924111E-4</v>
      </c>
    </row>
    <row r="8570" spans="1:7">
      <c r="A8570">
        <v>203</v>
      </c>
      <c r="B8570">
        <v>28</v>
      </c>
      <c r="C8570" s="1">
        <f>(Tabela1[[#This Row],[x]]-H$3)*(Tabela1[[#This Row],[x]]-H$3) +(Tabela1[[#This Row],[y]]-H$4)*(Tabela1[[#This Row],[y]]-H$4)</f>
        <v>29593</v>
      </c>
      <c r="D8570" s="1">
        <f>IF(Tabela1[[#This Row],[promien]]&lt;40000,1,0)</f>
        <v>1</v>
      </c>
      <c r="E8570" s="1">
        <f>IF(Tabela1[[#This Row],[promien]]=40000,1,0)</f>
        <v>0</v>
      </c>
      <c r="F8570" s="1">
        <v>3.140723453908985</v>
      </c>
      <c r="G8570" s="1">
        <v>8.6919968080811927E-4</v>
      </c>
    </row>
    <row r="8571" spans="1:7">
      <c r="A8571">
        <v>4</v>
      </c>
      <c r="B8571">
        <v>215</v>
      </c>
      <c r="C8571" s="1">
        <f>(Tabela1[[#This Row],[x]]-H$3)*(Tabela1[[#This Row],[x]]-H$3) +(Tabela1[[#This Row],[y]]-H$4)*(Tabela1[[#This Row],[y]]-H$4)</f>
        <v>38641</v>
      </c>
      <c r="D8571" s="1">
        <f>IF(Tabela1[[#This Row],[promien]]&lt;40000,1,0)</f>
        <v>1</v>
      </c>
      <c r="E8571" s="1">
        <f>IF(Tabela1[[#This Row],[promien]]=40000,1,0)</f>
        <v>0</v>
      </c>
      <c r="F8571" s="1">
        <v>3.1408237078520593</v>
      </c>
      <c r="G8571" s="1">
        <v>7.6894573773378383E-4</v>
      </c>
    </row>
    <row r="8572" spans="1:7">
      <c r="A8572">
        <v>81</v>
      </c>
      <c r="B8572">
        <v>154</v>
      </c>
      <c r="C8572" s="1">
        <f>(Tabela1[[#This Row],[x]]-H$3)*(Tabela1[[#This Row],[x]]-H$3) +(Tabela1[[#This Row],[y]]-H$4)*(Tabela1[[#This Row],[y]]-H$4)</f>
        <v>16277</v>
      </c>
      <c r="D8572" s="1">
        <f>IF(Tabela1[[#This Row],[promien]]&lt;40000,1,0)</f>
        <v>1</v>
      </c>
      <c r="E8572" s="1">
        <f>IF(Tabela1[[#This Row],[promien]]=40000,1,0)</f>
        <v>0</v>
      </c>
      <c r="F8572" s="1">
        <v>3.1409239384041063</v>
      </c>
      <c r="G8572" s="1">
        <v>6.6871518568678567E-4</v>
      </c>
    </row>
    <row r="8573" spans="1:7">
      <c r="A8573">
        <v>145</v>
      </c>
      <c r="B8573">
        <v>26</v>
      </c>
      <c r="C8573" s="1">
        <f>(Tabela1[[#This Row],[x]]-H$3)*(Tabela1[[#This Row],[x]]-H$3) +(Tabela1[[#This Row],[y]]-H$4)*(Tabela1[[#This Row],[y]]-H$4)</f>
        <v>33301</v>
      </c>
      <c r="D8573" s="1">
        <f>IF(Tabela1[[#This Row],[promien]]&lt;40000,1,0)</f>
        <v>1</v>
      </c>
      <c r="E8573" s="1">
        <f>IF(Tabela1[[#This Row],[promien]]=40000,1,0)</f>
        <v>0</v>
      </c>
      <c r="F8573" s="1">
        <v>3.1410241455733114</v>
      </c>
      <c r="G8573" s="1">
        <v>5.6850801648167248E-4</v>
      </c>
    </row>
    <row r="8574" spans="1:7">
      <c r="A8574">
        <v>311</v>
      </c>
      <c r="B8574">
        <v>137</v>
      </c>
      <c r="C8574" s="1">
        <f>(Tabela1[[#This Row],[x]]-H$3)*(Tabela1[[#This Row],[x]]-H$3) +(Tabela1[[#This Row],[y]]-H$4)*(Tabela1[[#This Row],[y]]-H$4)</f>
        <v>16290</v>
      </c>
      <c r="D8574" s="1">
        <f>IF(Tabela1[[#This Row],[promien]]&lt;40000,1,0)</f>
        <v>1</v>
      </c>
      <c r="E8574" s="1">
        <f>IF(Tabela1[[#This Row],[promien]]=40000,1,0)</f>
        <v>0</v>
      </c>
      <c r="F8574" s="1">
        <v>3.1411243293678561</v>
      </c>
      <c r="G8574" s="1">
        <v>4.6832422193698875E-4</v>
      </c>
    </row>
    <row r="8575" spans="1:7">
      <c r="A8575">
        <v>119</v>
      </c>
      <c r="B8575">
        <v>303</v>
      </c>
      <c r="C8575" s="1">
        <f>(Tabela1[[#This Row],[x]]-H$3)*(Tabela1[[#This Row],[x]]-H$3) +(Tabela1[[#This Row],[y]]-H$4)*(Tabela1[[#This Row],[y]]-H$4)</f>
        <v>17170</v>
      </c>
      <c r="D8575" s="1">
        <f>IF(Tabela1[[#This Row],[promien]]&lt;40000,1,0)</f>
        <v>1</v>
      </c>
      <c r="E8575" s="1">
        <f>IF(Tabela1[[#This Row],[promien]]=40000,1,0)</f>
        <v>0</v>
      </c>
      <c r="F8575" s="1">
        <v>3.1412244897959183</v>
      </c>
      <c r="G8575" s="1">
        <v>3.6816379387483167E-4</v>
      </c>
    </row>
    <row r="8576" spans="1:7">
      <c r="A8576">
        <v>255</v>
      </c>
      <c r="B8576">
        <v>78</v>
      </c>
      <c r="C8576" s="1">
        <f>(Tabela1[[#This Row],[x]]-H$3)*(Tabela1[[#This Row],[x]]-H$3) +(Tabela1[[#This Row],[y]]-H$4)*(Tabela1[[#This Row],[y]]-H$4)</f>
        <v>17909</v>
      </c>
      <c r="D8576" s="1">
        <f>IF(Tabela1[[#This Row],[promien]]&lt;40000,1,0)</f>
        <v>1</v>
      </c>
      <c r="E8576" s="1">
        <f>IF(Tabela1[[#This Row],[promien]]=40000,1,0)</f>
        <v>0</v>
      </c>
      <c r="F8576" s="1">
        <v>3.1413246268656718</v>
      </c>
      <c r="G8576" s="1">
        <v>2.6802672412129525E-4</v>
      </c>
    </row>
    <row r="8577" spans="1:7">
      <c r="A8577">
        <v>378</v>
      </c>
      <c r="B8577">
        <v>269</v>
      </c>
      <c r="C8577" s="1">
        <f>(Tabela1[[#This Row],[x]]-H$3)*(Tabela1[[#This Row],[x]]-H$3) +(Tabela1[[#This Row],[y]]-H$4)*(Tabela1[[#This Row],[y]]-H$4)</f>
        <v>36445</v>
      </c>
      <c r="D8577" s="1">
        <f>IF(Tabela1[[#This Row],[promien]]&lt;40000,1,0)</f>
        <v>1</v>
      </c>
      <c r="E8577" s="1">
        <f>IF(Tabela1[[#This Row],[promien]]=40000,1,0)</f>
        <v>0</v>
      </c>
      <c r="F8577" s="1">
        <v>3.1414247405852862</v>
      </c>
      <c r="G8577" s="1">
        <v>1.6791300450691438E-4</v>
      </c>
    </row>
    <row r="8578" spans="1:7">
      <c r="A8578">
        <v>302</v>
      </c>
      <c r="B8578">
        <v>57</v>
      </c>
      <c r="C8578" s="1">
        <f>(Tabela1[[#This Row],[x]]-H$3)*(Tabela1[[#This Row],[x]]-H$3) +(Tabela1[[#This Row],[y]]-H$4)*(Tabela1[[#This Row],[y]]-H$4)</f>
        <v>30853</v>
      </c>
      <c r="D8578" s="1">
        <f>IF(Tabela1[[#This Row],[promien]]&lt;40000,1,0)</f>
        <v>1</v>
      </c>
      <c r="E8578" s="1">
        <f>IF(Tabela1[[#This Row],[promien]]=40000,1,0)</f>
        <v>0</v>
      </c>
      <c r="F8578" s="1">
        <v>3.1415248309629282</v>
      </c>
      <c r="G8578" s="1">
        <v>6.7822626864888491E-5</v>
      </c>
    </row>
    <row r="8579" spans="1:7">
      <c r="A8579">
        <v>301</v>
      </c>
      <c r="B8579">
        <v>71</v>
      </c>
      <c r="C8579" s="1">
        <f>(Tabela1[[#This Row],[x]]-H$3)*(Tabela1[[#This Row],[x]]-H$3) +(Tabela1[[#This Row],[y]]-H$4)*(Tabela1[[#This Row],[y]]-H$4)</f>
        <v>26842</v>
      </c>
      <c r="D8579" s="1">
        <f>IF(Tabela1[[#This Row],[promien]]&lt;40000,1,0)</f>
        <v>1</v>
      </c>
      <c r="E8579" s="1">
        <f>IF(Tabela1[[#This Row],[promien]]=40000,1,0)</f>
        <v>0</v>
      </c>
      <c r="F8579" s="1">
        <v>3.1416248980067607</v>
      </c>
      <c r="G8579" s="1">
        <v>3.2244416967586176E-5</v>
      </c>
    </row>
    <row r="8580" spans="1:7">
      <c r="A8580">
        <v>314</v>
      </c>
      <c r="B8580">
        <v>27</v>
      </c>
      <c r="C8580" s="1">
        <f>(Tabela1[[#This Row],[x]]-H$3)*(Tabela1[[#This Row],[x]]-H$3) +(Tabela1[[#This Row],[y]]-H$4)*(Tabela1[[#This Row],[y]]-H$4)</f>
        <v>42925</v>
      </c>
      <c r="D8580" s="1">
        <f>IF(Tabela1[[#This Row],[promien]]&lt;40000,1,0)</f>
        <v>0</v>
      </c>
      <c r="E8580" s="1">
        <f>IF(Tabela1[[#This Row],[promien]]=40000,1,0)</f>
        <v>0</v>
      </c>
      <c r="F8580" s="1">
        <v>3.1412587412587412</v>
      </c>
      <c r="G8580" s="1">
        <v>3.3391233105195539E-4</v>
      </c>
    </row>
    <row r="8581" spans="1:7">
      <c r="A8581">
        <v>399</v>
      </c>
      <c r="B8581">
        <v>278</v>
      </c>
      <c r="C8581" s="1">
        <f>(Tabela1[[#This Row],[x]]-H$3)*(Tabela1[[#This Row],[x]]-H$3) +(Tabela1[[#This Row],[y]]-H$4)*(Tabela1[[#This Row],[y]]-H$4)</f>
        <v>45685</v>
      </c>
      <c r="D8581" s="1">
        <f>IF(Tabela1[[#This Row],[promien]]&lt;40000,1,0)</f>
        <v>0</v>
      </c>
      <c r="E8581" s="1">
        <f>IF(Tabela1[[#This Row],[promien]]=40000,1,0)</f>
        <v>0</v>
      </c>
      <c r="F8581" s="1">
        <v>3.1408926698519988</v>
      </c>
      <c r="G8581" s="1">
        <v>6.9998373779434075E-4</v>
      </c>
    </row>
    <row r="8582" spans="1:7">
      <c r="A8582">
        <v>230</v>
      </c>
      <c r="B8582">
        <v>96</v>
      </c>
      <c r="C8582" s="1">
        <f>(Tabela1[[#This Row],[x]]-H$3)*(Tabela1[[#This Row],[x]]-H$3) +(Tabela1[[#This Row],[y]]-H$4)*(Tabela1[[#This Row],[y]]-H$4)</f>
        <v>11716</v>
      </c>
      <c r="D8582" s="1">
        <f>IF(Tabela1[[#This Row],[promien]]&lt;40000,1,0)</f>
        <v>1</v>
      </c>
      <c r="E8582" s="1">
        <f>IF(Tabela1[[#This Row],[promien]]=40000,1,0)</f>
        <v>0</v>
      </c>
      <c r="F8582" s="1">
        <v>3.1409927755767888</v>
      </c>
      <c r="G8582" s="1">
        <v>5.9987801300431798E-4</v>
      </c>
    </row>
    <row r="8583" spans="1:7">
      <c r="A8583">
        <v>62</v>
      </c>
      <c r="B8583">
        <v>293</v>
      </c>
      <c r="C8583" s="1">
        <f>(Tabela1[[#This Row],[x]]-H$3)*(Tabela1[[#This Row],[x]]-H$3) +(Tabela1[[#This Row],[y]]-H$4)*(Tabela1[[#This Row],[y]]-H$4)</f>
        <v>27693</v>
      </c>
      <c r="D8583" s="1">
        <f>IF(Tabela1[[#This Row],[promien]]&lt;40000,1,0)</f>
        <v>1</v>
      </c>
      <c r="E8583" s="1">
        <f>IF(Tabela1[[#This Row],[promien]]=40000,1,0)</f>
        <v>0</v>
      </c>
      <c r="F8583" s="1">
        <v>3.141092857975067</v>
      </c>
      <c r="G8583" s="1">
        <v>4.9979561472612843E-4</v>
      </c>
    </row>
    <row r="8584" spans="1:7">
      <c r="A8584">
        <v>35</v>
      </c>
      <c r="B8584">
        <v>150</v>
      </c>
      <c r="C8584" s="1">
        <f>(Tabela1[[#This Row],[x]]-H$3)*(Tabela1[[#This Row],[x]]-H$3) +(Tabela1[[#This Row],[y]]-H$4)*(Tabela1[[#This Row],[y]]-H$4)</f>
        <v>29725</v>
      </c>
      <c r="D8584" s="1">
        <f>IF(Tabela1[[#This Row],[promien]]&lt;40000,1,0)</f>
        <v>1</v>
      </c>
      <c r="E8584" s="1">
        <f>IF(Tabela1[[#This Row],[promien]]=40000,1,0)</f>
        <v>0</v>
      </c>
      <c r="F8584" s="1">
        <v>3.1411929170549859</v>
      </c>
      <c r="G8584" s="1">
        <v>3.9973653480718241E-4</v>
      </c>
    </row>
    <row r="8585" spans="1:7">
      <c r="A8585">
        <v>306</v>
      </c>
      <c r="B8585">
        <v>340</v>
      </c>
      <c r="C8585" s="1">
        <f>(Tabela1[[#This Row],[x]]-H$3)*(Tabela1[[#This Row],[x]]-H$3) +(Tabela1[[#This Row],[y]]-H$4)*(Tabela1[[#This Row],[y]]-H$4)</f>
        <v>30836</v>
      </c>
      <c r="D8585" s="1">
        <f>IF(Tabela1[[#This Row],[promien]]&lt;40000,1,0)</f>
        <v>1</v>
      </c>
      <c r="E8585" s="1">
        <f>IF(Tabela1[[#This Row],[promien]]=40000,1,0)</f>
        <v>0</v>
      </c>
      <c r="F8585" s="1">
        <v>3.1412929528246942</v>
      </c>
      <c r="G8585" s="1">
        <v>2.9970076509888699E-4</v>
      </c>
    </row>
    <row r="8586" spans="1:7">
      <c r="A8586">
        <v>231</v>
      </c>
      <c r="B8586">
        <v>248</v>
      </c>
      <c r="C8586" s="1">
        <f>(Tabela1[[#This Row],[x]]-H$3)*(Tabela1[[#This Row],[x]]-H$3) +(Tabela1[[#This Row],[y]]-H$4)*(Tabela1[[#This Row],[y]]-H$4)</f>
        <v>3265</v>
      </c>
      <c r="D8586" s="1">
        <f>IF(Tabela1[[#This Row],[promien]]&lt;40000,1,0)</f>
        <v>1</v>
      </c>
      <c r="E8586" s="1">
        <f>IF(Tabela1[[#This Row],[promien]]=40000,1,0)</f>
        <v>0</v>
      </c>
      <c r="F8586" s="1">
        <v>3.1413929652923365</v>
      </c>
      <c r="G8586" s="1">
        <v>1.9968829745664607E-4</v>
      </c>
    </row>
    <row r="8587" spans="1:7">
      <c r="A8587">
        <v>231</v>
      </c>
      <c r="B8587">
        <v>204</v>
      </c>
      <c r="C8587" s="1">
        <f>(Tabela1[[#This Row],[x]]-H$3)*(Tabela1[[#This Row],[x]]-H$3) +(Tabela1[[#This Row],[y]]-H$4)*(Tabela1[[#This Row],[y]]-H$4)</f>
        <v>977</v>
      </c>
      <c r="D8587" s="1">
        <f>IF(Tabela1[[#This Row],[promien]]&lt;40000,1,0)</f>
        <v>1</v>
      </c>
      <c r="E8587" s="1">
        <f>IF(Tabela1[[#This Row],[promien]]=40000,1,0)</f>
        <v>0</v>
      </c>
      <c r="F8587" s="1">
        <v>3.1414929544660533</v>
      </c>
      <c r="G8587" s="1">
        <v>9.969912373986034E-5</v>
      </c>
    </row>
    <row r="8588" spans="1:7">
      <c r="A8588">
        <v>268</v>
      </c>
      <c r="B8588">
        <v>335</v>
      </c>
      <c r="C8588" s="1">
        <f>(Tabela1[[#This Row],[x]]-H$3)*(Tabela1[[#This Row],[x]]-H$3) +(Tabela1[[#This Row],[y]]-H$4)*(Tabela1[[#This Row],[y]]-H$4)</f>
        <v>22849</v>
      </c>
      <c r="D8588" s="1">
        <f>IF(Tabela1[[#This Row],[promien]]&lt;40000,1,0)</f>
        <v>1</v>
      </c>
      <c r="E8588" s="1">
        <f>IF(Tabela1[[#This Row],[promien]]=40000,1,0)</f>
        <v>0</v>
      </c>
      <c r="F8588" s="1">
        <v>3.1415929203539825</v>
      </c>
      <c r="G8588" s="1">
        <v>2.667641894049666E-7</v>
      </c>
    </row>
    <row r="8589" spans="1:7">
      <c r="A8589">
        <v>202</v>
      </c>
      <c r="B8589">
        <v>212</v>
      </c>
      <c r="C8589" s="1">
        <f>(Tabela1[[#This Row],[x]]-H$3)*(Tabela1[[#This Row],[x]]-H$3) +(Tabela1[[#This Row],[y]]-H$4)*(Tabela1[[#This Row],[y]]-H$4)</f>
        <v>148</v>
      </c>
      <c r="D8589" s="1">
        <f>IF(Tabela1[[#This Row],[promien]]&lt;40000,1,0)</f>
        <v>1</v>
      </c>
      <c r="E8589" s="1">
        <f>IF(Tabela1[[#This Row],[promien]]=40000,1,0)</f>
        <v>0</v>
      </c>
      <c r="F8589" s="1">
        <v>3.1416928629642564</v>
      </c>
      <c r="G8589" s="1">
        <v>1.0020937446331146E-4</v>
      </c>
    </row>
    <row r="8590" spans="1:7">
      <c r="A8590">
        <v>198</v>
      </c>
      <c r="B8590">
        <v>169</v>
      </c>
      <c r="C8590" s="1">
        <f>(Tabela1[[#This Row],[x]]-H$3)*(Tabela1[[#This Row],[x]]-H$3) +(Tabela1[[#This Row],[y]]-H$4)*(Tabela1[[#This Row],[y]]-H$4)</f>
        <v>965</v>
      </c>
      <c r="D8590" s="1">
        <f>IF(Tabela1[[#This Row],[promien]]&lt;40000,1,0)</f>
        <v>1</v>
      </c>
      <c r="E8590" s="1">
        <f>IF(Tabela1[[#This Row],[promien]]=40000,1,0)</f>
        <v>0</v>
      </c>
      <c r="F8590" s="1">
        <v>3.1417927823050058</v>
      </c>
      <c r="G8590" s="1">
        <v>2.0012871521268849E-4</v>
      </c>
    </row>
    <row r="8591" spans="1:7">
      <c r="A8591">
        <v>324</v>
      </c>
      <c r="B8591">
        <v>27</v>
      </c>
      <c r="C8591" s="1">
        <f>(Tabela1[[#This Row],[x]]-H$3)*(Tabela1[[#This Row],[x]]-H$3) +(Tabela1[[#This Row],[y]]-H$4)*(Tabela1[[#This Row],[y]]-H$4)</f>
        <v>45305</v>
      </c>
      <c r="D8591" s="1">
        <f>IF(Tabela1[[#This Row],[promien]]&lt;40000,1,0)</f>
        <v>0</v>
      </c>
      <c r="E8591" s="1">
        <f>IF(Tabela1[[#This Row],[promien]]=40000,1,0)</f>
        <v>0</v>
      </c>
      <c r="F8591" s="1">
        <v>3.1414270748457689</v>
      </c>
      <c r="G8591" s="1">
        <v>1.6557874402423067E-4</v>
      </c>
    </row>
    <row r="8592" spans="1:7">
      <c r="A8592">
        <v>320</v>
      </c>
      <c r="B8592">
        <v>393</v>
      </c>
      <c r="C8592" s="1">
        <f>(Tabela1[[#This Row],[x]]-H$3)*(Tabela1[[#This Row],[x]]-H$3) +(Tabela1[[#This Row],[y]]-H$4)*(Tabela1[[#This Row],[y]]-H$4)</f>
        <v>51649</v>
      </c>
      <c r="D8592" s="1">
        <f>IF(Tabela1[[#This Row],[promien]]&lt;40000,1,0)</f>
        <v>0</v>
      </c>
      <c r="E8592" s="1">
        <f>IF(Tabela1[[#This Row],[promien]]=40000,1,0)</f>
        <v>0</v>
      </c>
      <c r="F8592" s="1">
        <v>3.1410614525139664</v>
      </c>
      <c r="G8592" s="1">
        <v>5.3120107582671494E-4</v>
      </c>
    </row>
    <row r="8593" spans="1:7">
      <c r="A8593">
        <v>14</v>
      </c>
      <c r="B8593">
        <v>52</v>
      </c>
      <c r="C8593" s="1">
        <f>(Tabela1[[#This Row],[x]]-H$3)*(Tabela1[[#This Row],[x]]-H$3) +(Tabela1[[#This Row],[y]]-H$4)*(Tabela1[[#This Row],[y]]-H$4)</f>
        <v>56500</v>
      </c>
      <c r="D8593" s="1">
        <f>IF(Tabela1[[#This Row],[promien]]&lt;40000,1,0)</f>
        <v>0</v>
      </c>
      <c r="E8593" s="1">
        <f>IF(Tabela1[[#This Row],[promien]]=40000,1,0)</f>
        <v>0</v>
      </c>
      <c r="F8593" s="1">
        <v>3.140695915279879</v>
      </c>
      <c r="G8593" s="1">
        <v>8.9673830991410242E-4</v>
      </c>
    </row>
    <row r="8594" spans="1:7">
      <c r="A8594">
        <v>32</v>
      </c>
      <c r="B8594">
        <v>65</v>
      </c>
      <c r="C8594" s="1">
        <f>(Tabela1[[#This Row],[x]]-H$3)*(Tabela1[[#This Row],[x]]-H$3) +(Tabela1[[#This Row],[y]]-H$4)*(Tabela1[[#This Row],[y]]-H$4)</f>
        <v>46449</v>
      </c>
      <c r="D8594" s="1">
        <f>IF(Tabela1[[#This Row],[promien]]&lt;40000,1,0)</f>
        <v>0</v>
      </c>
      <c r="E8594" s="1">
        <f>IF(Tabela1[[#This Row],[promien]]=40000,1,0)</f>
        <v>0</v>
      </c>
      <c r="F8594" s="1">
        <v>3.1403304631138003</v>
      </c>
      <c r="G8594" s="1">
        <v>1.2621904759928526E-3</v>
      </c>
    </row>
    <row r="8595" spans="1:7">
      <c r="A8595">
        <v>385</v>
      </c>
      <c r="B8595">
        <v>380</v>
      </c>
      <c r="C8595" s="1">
        <f>(Tabela1[[#This Row],[x]]-H$3)*(Tabela1[[#This Row],[x]]-H$3) +(Tabela1[[#This Row],[y]]-H$4)*(Tabela1[[#This Row],[y]]-H$4)</f>
        <v>66625</v>
      </c>
      <c r="D8595" s="1">
        <f>IF(Tabela1[[#This Row],[promien]]&lt;40000,1,0)</f>
        <v>0</v>
      </c>
      <c r="E8595" s="1">
        <f>IF(Tabela1[[#This Row],[promien]]=40000,1,0)</f>
        <v>0</v>
      </c>
      <c r="F8595" s="1">
        <v>3.1399650959860383</v>
      </c>
      <c r="G8595" s="1">
        <v>1.6275576037547701E-3</v>
      </c>
    </row>
    <row r="8596" spans="1:7">
      <c r="A8596">
        <v>384</v>
      </c>
      <c r="B8596">
        <v>22</v>
      </c>
      <c r="C8596" s="1">
        <f>(Tabela1[[#This Row],[x]]-H$3)*(Tabela1[[#This Row],[x]]-H$3) +(Tabela1[[#This Row],[y]]-H$4)*(Tabela1[[#This Row],[y]]-H$4)</f>
        <v>65540</v>
      </c>
      <c r="D8596" s="1">
        <f>IF(Tabela1[[#This Row],[promien]]&lt;40000,1,0)</f>
        <v>0</v>
      </c>
      <c r="E8596" s="1">
        <f>IF(Tabela1[[#This Row],[promien]]=40000,1,0)</f>
        <v>0</v>
      </c>
      <c r="F8596" s="1">
        <v>3.1395998138669148</v>
      </c>
      <c r="G8596" s="1">
        <v>1.9928397228783368E-3</v>
      </c>
    </row>
    <row r="8597" spans="1:7">
      <c r="A8597">
        <v>37</v>
      </c>
      <c r="B8597">
        <v>42</v>
      </c>
      <c r="C8597" s="1">
        <f>(Tabela1[[#This Row],[x]]-H$3)*(Tabela1[[#This Row],[x]]-H$3) +(Tabela1[[#This Row],[y]]-H$4)*(Tabela1[[#This Row],[y]]-H$4)</f>
        <v>51533</v>
      </c>
      <c r="D8597" s="1">
        <f>IF(Tabela1[[#This Row],[promien]]&lt;40000,1,0)</f>
        <v>0</v>
      </c>
      <c r="E8597" s="1">
        <f>IF(Tabela1[[#This Row],[promien]]=40000,1,0)</f>
        <v>0</v>
      </c>
      <c r="F8597" s="1">
        <v>3.1392346167267653</v>
      </c>
      <c r="G8597" s="1">
        <v>2.3580368630278237E-3</v>
      </c>
    </row>
    <row r="8598" spans="1:7">
      <c r="A8598">
        <v>28</v>
      </c>
      <c r="B8598">
        <v>38</v>
      </c>
      <c r="C8598" s="1">
        <f>(Tabela1[[#This Row],[x]]-H$3)*(Tabela1[[#This Row],[x]]-H$3) +(Tabela1[[#This Row],[y]]-H$4)*(Tabela1[[#This Row],[y]]-H$4)</f>
        <v>55828</v>
      </c>
      <c r="D8598" s="1">
        <f>IF(Tabela1[[#This Row],[promien]]&lt;40000,1,0)</f>
        <v>0</v>
      </c>
      <c r="E8598" s="1">
        <f>IF(Tabela1[[#This Row],[promien]]=40000,1,0)</f>
        <v>0</v>
      </c>
      <c r="F8598" s="1">
        <v>3.1388695045359385</v>
      </c>
      <c r="G8598" s="1">
        <v>2.7231490538546232E-3</v>
      </c>
    </row>
    <row r="8599" spans="1:7">
      <c r="A8599">
        <v>64</v>
      </c>
      <c r="B8599">
        <v>305</v>
      </c>
      <c r="C8599" s="1">
        <f>(Tabela1[[#This Row],[x]]-H$3)*(Tabela1[[#This Row],[x]]-H$3) +(Tabela1[[#This Row],[y]]-H$4)*(Tabela1[[#This Row],[y]]-H$4)</f>
        <v>29521</v>
      </c>
      <c r="D8599" s="1">
        <f>IF(Tabela1[[#This Row],[promien]]&lt;40000,1,0)</f>
        <v>1</v>
      </c>
      <c r="E8599" s="1">
        <f>IF(Tabela1[[#This Row],[promien]]=40000,1,0)</f>
        <v>0</v>
      </c>
      <c r="F8599" s="1">
        <v>3.1389696476334459</v>
      </c>
      <c r="G8599" s="1">
        <v>2.6230059563472352E-3</v>
      </c>
    </row>
    <row r="8600" spans="1:7">
      <c r="A8600">
        <v>279</v>
      </c>
      <c r="B8600">
        <v>13</v>
      </c>
      <c r="C8600" s="1">
        <f>(Tabela1[[#This Row],[x]]-H$3)*(Tabela1[[#This Row],[x]]-H$3) +(Tabela1[[#This Row],[y]]-H$4)*(Tabela1[[#This Row],[y]]-H$4)</f>
        <v>41210</v>
      </c>
      <c r="D8600" s="1">
        <f>IF(Tabela1[[#This Row],[promien]]&lt;40000,1,0)</f>
        <v>0</v>
      </c>
      <c r="E8600" s="1">
        <f>IF(Tabela1[[#This Row],[promien]]=40000,1,0)</f>
        <v>0</v>
      </c>
      <c r="F8600" s="1">
        <v>3.1386046511627907</v>
      </c>
      <c r="G8600" s="1">
        <v>2.9880024270023675E-3</v>
      </c>
    </row>
    <row r="8601" spans="1:7">
      <c r="A8601">
        <v>57</v>
      </c>
      <c r="B8601">
        <v>20</v>
      </c>
      <c r="C8601" s="1">
        <f>(Tabela1[[#This Row],[x]]-H$3)*(Tabela1[[#This Row],[x]]-H$3) +(Tabela1[[#This Row],[y]]-H$4)*(Tabela1[[#This Row],[y]]-H$4)</f>
        <v>52849</v>
      </c>
      <c r="D8601" s="1">
        <f>IF(Tabela1[[#This Row],[promien]]&lt;40000,1,0)</f>
        <v>0</v>
      </c>
      <c r="E8601" s="1">
        <f>IF(Tabela1[[#This Row],[promien]]=40000,1,0)</f>
        <v>0</v>
      </c>
      <c r="F8601" s="1">
        <v>3.1382397395651669</v>
      </c>
      <c r="G8601" s="1">
        <v>3.3529140246262301E-3</v>
      </c>
    </row>
    <row r="8602" spans="1:7">
      <c r="A8602">
        <v>159</v>
      </c>
      <c r="B8602">
        <v>175</v>
      </c>
      <c r="C8602" s="1">
        <f>(Tabela1[[#This Row],[x]]-H$3)*(Tabela1[[#This Row],[x]]-H$3) +(Tabela1[[#This Row],[y]]-H$4)*(Tabela1[[#This Row],[y]]-H$4)</f>
        <v>2306</v>
      </c>
      <c r="D8602" s="1">
        <f>IF(Tabela1[[#This Row],[promien]]&lt;40000,1,0)</f>
        <v>1</v>
      </c>
      <c r="E8602" s="1">
        <f>IF(Tabela1[[#This Row],[promien]]=40000,1,0)</f>
        <v>0</v>
      </c>
      <c r="F8602" s="1">
        <v>3.1383399209486167</v>
      </c>
      <c r="G8602" s="1">
        <v>3.2527326411764257E-3</v>
      </c>
    </row>
    <row r="8603" spans="1:7">
      <c r="A8603">
        <v>83</v>
      </c>
      <c r="B8603">
        <v>286</v>
      </c>
      <c r="C8603" s="1">
        <f>(Tabela1[[#This Row],[x]]-H$3)*(Tabela1[[#This Row],[x]]-H$3) +(Tabela1[[#This Row],[y]]-H$4)*(Tabela1[[#This Row],[y]]-H$4)</f>
        <v>21085</v>
      </c>
      <c r="D8603" s="1">
        <f>IF(Tabela1[[#This Row],[promien]]&lt;40000,1,0)</f>
        <v>1</v>
      </c>
      <c r="E8603" s="1">
        <f>IF(Tabela1[[#This Row],[promien]]=40000,1,0)</f>
        <v>0</v>
      </c>
      <c r="F8603" s="1">
        <v>3.1384400790421947</v>
      </c>
      <c r="G8603" s="1">
        <v>3.1525745475984301E-3</v>
      </c>
    </row>
    <row r="8604" spans="1:7">
      <c r="A8604">
        <v>210</v>
      </c>
      <c r="B8604">
        <v>175</v>
      </c>
      <c r="C8604" s="1">
        <f>(Tabela1[[#This Row],[x]]-H$3)*(Tabela1[[#This Row],[x]]-H$3) +(Tabela1[[#This Row],[y]]-H$4)*(Tabela1[[#This Row],[y]]-H$4)</f>
        <v>725</v>
      </c>
      <c r="D8604" s="1">
        <f>IF(Tabela1[[#This Row],[promien]]&lt;40000,1,0)</f>
        <v>1</v>
      </c>
      <c r="E8604" s="1">
        <f>IF(Tabela1[[#This Row],[promien]]=40000,1,0)</f>
        <v>0</v>
      </c>
      <c r="F8604" s="1">
        <v>3.1385402138540215</v>
      </c>
      <c r="G8604" s="1">
        <v>3.0524397357716282E-3</v>
      </c>
    </row>
    <row r="8605" spans="1:7">
      <c r="A8605">
        <v>276</v>
      </c>
      <c r="B8605">
        <v>0</v>
      </c>
      <c r="C8605" s="1">
        <f>(Tabela1[[#This Row],[x]]-H$3)*(Tabela1[[#This Row],[x]]-H$3) +(Tabela1[[#This Row],[y]]-H$4)*(Tabela1[[#This Row],[y]]-H$4)</f>
        <v>45776</v>
      </c>
      <c r="D8605" s="1">
        <f>IF(Tabela1[[#This Row],[promien]]&lt;40000,1,0)</f>
        <v>0</v>
      </c>
      <c r="E8605" s="1">
        <f>IF(Tabela1[[#This Row],[promien]]=40000,1,0)</f>
        <v>0</v>
      </c>
      <c r="F8605" s="1">
        <v>3.1381754793724577</v>
      </c>
      <c r="G8605" s="1">
        <v>3.4171742173354502E-3</v>
      </c>
    </row>
    <row r="8606" spans="1:7">
      <c r="A8606">
        <v>95</v>
      </c>
      <c r="B8606">
        <v>155</v>
      </c>
      <c r="C8606" s="1">
        <f>(Tabela1[[#This Row],[x]]-H$3)*(Tabela1[[#This Row],[x]]-H$3) +(Tabela1[[#This Row],[y]]-H$4)*(Tabela1[[#This Row],[y]]-H$4)</f>
        <v>13050</v>
      </c>
      <c r="D8606" s="1">
        <f>IF(Tabela1[[#This Row],[promien]]&lt;40000,1,0)</f>
        <v>1</v>
      </c>
      <c r="E8606" s="1">
        <f>IF(Tabela1[[#This Row],[promien]]=40000,1,0)</f>
        <v>0</v>
      </c>
      <c r="F8606" s="1">
        <v>3.1382756216593073</v>
      </c>
      <c r="G8606" s="1">
        <v>3.3170319304858253E-3</v>
      </c>
    </row>
    <row r="8607" spans="1:7">
      <c r="A8607">
        <v>27</v>
      </c>
      <c r="B8607">
        <v>177</v>
      </c>
      <c r="C8607" s="1">
        <f>(Tabela1[[#This Row],[x]]-H$3)*(Tabela1[[#This Row],[x]]-H$3) +(Tabela1[[#This Row],[y]]-H$4)*(Tabela1[[#This Row],[y]]-H$4)</f>
        <v>30458</v>
      </c>
      <c r="D8607" s="1">
        <f>IF(Tabela1[[#This Row],[promien]]&lt;40000,1,0)</f>
        <v>1</v>
      </c>
      <c r="E8607" s="1">
        <f>IF(Tabela1[[#This Row],[promien]]=40000,1,0)</f>
        <v>0</v>
      </c>
      <c r="F8607" s="1">
        <v>3.1383757406761936</v>
      </c>
      <c r="G8607" s="1">
        <v>3.2169129135994901E-3</v>
      </c>
    </row>
    <row r="8608" spans="1:7">
      <c r="A8608">
        <v>330</v>
      </c>
      <c r="B8608">
        <v>394</v>
      </c>
      <c r="C8608" s="1">
        <f>(Tabela1[[#This Row],[x]]-H$3)*(Tabela1[[#This Row],[x]]-H$3) +(Tabela1[[#This Row],[y]]-H$4)*(Tabela1[[#This Row],[y]]-H$4)</f>
        <v>54536</v>
      </c>
      <c r="D8608" s="1">
        <f>IF(Tabela1[[#This Row],[promien]]&lt;40000,1,0)</f>
        <v>0</v>
      </c>
      <c r="E8608" s="1">
        <f>IF(Tabela1[[#This Row],[promien]]=40000,1,0)</f>
        <v>0</v>
      </c>
      <c r="F8608" s="1">
        <v>3.138011152416357</v>
      </c>
      <c r="G8608" s="1">
        <v>3.5815011734361413E-3</v>
      </c>
    </row>
    <row r="8609" spans="1:7">
      <c r="A8609">
        <v>144</v>
      </c>
      <c r="B8609">
        <v>304</v>
      </c>
      <c r="C8609" s="1">
        <f>(Tabela1[[#This Row],[x]]-H$3)*(Tabela1[[#This Row],[x]]-H$3) +(Tabela1[[#This Row],[y]]-H$4)*(Tabela1[[#This Row],[y]]-H$4)</f>
        <v>13952</v>
      </c>
      <c r="D8609" s="1">
        <f>IF(Tabela1[[#This Row],[promien]]&lt;40000,1,0)</f>
        <v>1</v>
      </c>
      <c r="E8609" s="1">
        <f>IF(Tabela1[[#This Row],[promien]]=40000,1,0)</f>
        <v>0</v>
      </c>
      <c r="F8609" s="1">
        <v>3.1381112788941805</v>
      </c>
      <c r="G8609" s="1">
        <v>3.4813746956126046E-3</v>
      </c>
    </row>
    <row r="8610" spans="1:7">
      <c r="A8610">
        <v>159</v>
      </c>
      <c r="B8610">
        <v>194</v>
      </c>
      <c r="C8610" s="1">
        <f>(Tabela1[[#This Row],[x]]-H$3)*(Tabela1[[#This Row],[x]]-H$3) +(Tabela1[[#This Row],[y]]-H$4)*(Tabela1[[#This Row],[y]]-H$4)</f>
        <v>1717</v>
      </c>
      <c r="D8610" s="1">
        <f>IF(Tabela1[[#This Row],[promien]]&lt;40000,1,0)</f>
        <v>1</v>
      </c>
      <c r="E8610" s="1">
        <f>IF(Tabela1[[#This Row],[promien]]=40000,1,0)</f>
        <v>0</v>
      </c>
      <c r="F8610" s="1">
        <v>3.1382113821138211</v>
      </c>
      <c r="G8610" s="1">
        <v>3.3812714759720031E-3</v>
      </c>
    </row>
    <row r="8611" spans="1:7">
      <c r="A8611">
        <v>289</v>
      </c>
      <c r="B8611">
        <v>104</v>
      </c>
      <c r="C8611" s="1">
        <f>(Tabela1[[#This Row],[x]]-H$3)*(Tabela1[[#This Row],[x]]-H$3) +(Tabela1[[#This Row],[y]]-H$4)*(Tabela1[[#This Row],[y]]-H$4)</f>
        <v>17137</v>
      </c>
      <c r="D8611" s="1">
        <f>IF(Tabela1[[#This Row],[promien]]&lt;40000,1,0)</f>
        <v>1</v>
      </c>
      <c r="E8611" s="1">
        <f>IF(Tabela1[[#This Row],[promien]]=40000,1,0)</f>
        <v>0</v>
      </c>
      <c r="F8611" s="1">
        <v>3.1383114620833816</v>
      </c>
      <c r="G8611" s="1">
        <v>3.2811915064114849E-3</v>
      </c>
    </row>
    <row r="8612" spans="1:7">
      <c r="A8612">
        <v>57</v>
      </c>
      <c r="B8612">
        <v>167</v>
      </c>
      <c r="C8612" s="1">
        <f>(Tabela1[[#This Row],[x]]-H$3)*(Tabela1[[#This Row],[x]]-H$3) +(Tabela1[[#This Row],[y]]-H$4)*(Tabela1[[#This Row],[y]]-H$4)</f>
        <v>21538</v>
      </c>
      <c r="D8612" s="1">
        <f>IF(Tabela1[[#This Row],[promien]]&lt;40000,1,0)</f>
        <v>1</v>
      </c>
      <c r="E8612" s="1">
        <f>IF(Tabela1[[#This Row],[promien]]=40000,1,0)</f>
        <v>0</v>
      </c>
      <c r="F8612" s="1">
        <v>3.1384115188109614</v>
      </c>
      <c r="G8612" s="1">
        <v>3.1811347788317512E-3</v>
      </c>
    </row>
    <row r="8613" spans="1:7">
      <c r="A8613">
        <v>264</v>
      </c>
      <c r="B8613">
        <v>89</v>
      </c>
      <c r="C8613" s="1">
        <f>(Tabela1[[#This Row],[x]]-H$3)*(Tabela1[[#This Row],[x]]-H$3) +(Tabela1[[#This Row],[y]]-H$4)*(Tabela1[[#This Row],[y]]-H$4)</f>
        <v>16417</v>
      </c>
      <c r="D8613" s="1">
        <f>IF(Tabela1[[#This Row],[promien]]&lt;40000,1,0)</f>
        <v>1</v>
      </c>
      <c r="E8613" s="1">
        <f>IF(Tabela1[[#This Row],[promien]]=40000,1,0)</f>
        <v>0</v>
      </c>
      <c r="F8613" s="1">
        <v>3.1385115523046556</v>
      </c>
      <c r="G8613" s="1">
        <v>3.0811012851374997E-3</v>
      </c>
    </row>
    <row r="8614" spans="1:7">
      <c r="A8614">
        <v>256</v>
      </c>
      <c r="B8614">
        <v>79</v>
      </c>
      <c r="C8614" s="1">
        <f>(Tabela1[[#This Row],[x]]-H$3)*(Tabela1[[#This Row],[x]]-H$3) +(Tabela1[[#This Row],[y]]-H$4)*(Tabela1[[#This Row],[y]]-H$4)</f>
        <v>17777</v>
      </c>
      <c r="D8614" s="1">
        <f>IF(Tabela1[[#This Row],[promien]]&lt;40000,1,0)</f>
        <v>1</v>
      </c>
      <c r="E8614" s="1">
        <f>IF(Tabela1[[#This Row],[promien]]=40000,1,0)</f>
        <v>0</v>
      </c>
      <c r="F8614" s="1">
        <v>3.1386115625725561</v>
      </c>
      <c r="G8614" s="1">
        <v>2.9810910172369809E-3</v>
      </c>
    </row>
    <row r="8615" spans="1:7">
      <c r="A8615">
        <v>257</v>
      </c>
      <c r="B8615">
        <v>33</v>
      </c>
      <c r="C8615" s="1">
        <f>(Tabela1[[#This Row],[x]]-H$3)*(Tabela1[[#This Row],[x]]-H$3) +(Tabela1[[#This Row],[y]]-H$4)*(Tabela1[[#This Row],[y]]-H$4)</f>
        <v>31138</v>
      </c>
      <c r="D8615" s="1">
        <f>IF(Tabela1[[#This Row],[promien]]&lt;40000,1,0)</f>
        <v>1</v>
      </c>
      <c r="E8615" s="1">
        <f>IF(Tabela1[[#This Row],[promien]]=40000,1,0)</f>
        <v>0</v>
      </c>
      <c r="F8615" s="1">
        <v>3.1387115496227511</v>
      </c>
      <c r="G8615" s="1">
        <v>2.881103967041998E-3</v>
      </c>
    </row>
    <row r="8616" spans="1:7">
      <c r="A8616">
        <v>143</v>
      </c>
      <c r="B8616">
        <v>279</v>
      </c>
      <c r="C8616" s="1">
        <f>(Tabela1[[#This Row],[x]]-H$3)*(Tabela1[[#This Row],[x]]-H$3) +(Tabela1[[#This Row],[y]]-H$4)*(Tabela1[[#This Row],[y]]-H$4)</f>
        <v>9490</v>
      </c>
      <c r="D8616" s="1">
        <f>IF(Tabela1[[#This Row],[promien]]&lt;40000,1,0)</f>
        <v>1</v>
      </c>
      <c r="E8616" s="1">
        <f>IF(Tabela1[[#This Row],[promien]]=40000,1,0)</f>
        <v>0</v>
      </c>
      <c r="F8616" s="1">
        <v>3.1388115134633239</v>
      </c>
      <c r="G8616" s="1">
        <v>2.7811401264692392E-3</v>
      </c>
    </row>
    <row r="8617" spans="1:7">
      <c r="A8617">
        <v>352</v>
      </c>
      <c r="B8617">
        <v>384</v>
      </c>
      <c r="C8617" s="1">
        <f>(Tabela1[[#This Row],[x]]-H$3)*(Tabela1[[#This Row],[x]]-H$3) +(Tabela1[[#This Row],[y]]-H$4)*(Tabela1[[#This Row],[y]]-H$4)</f>
        <v>56960</v>
      </c>
      <c r="D8617" s="1">
        <f>IF(Tabela1[[#This Row],[promien]]&lt;40000,1,0)</f>
        <v>0</v>
      </c>
      <c r="E8617" s="1">
        <f>IF(Tabela1[[#This Row],[promien]]=40000,1,0)</f>
        <v>0</v>
      </c>
      <c r="F8617" s="1">
        <v>3.138447255425322</v>
      </c>
      <c r="G8617" s="1">
        <v>3.1453981644711249E-3</v>
      </c>
    </row>
    <row r="8618" spans="1:7">
      <c r="A8618">
        <v>101</v>
      </c>
      <c r="B8618">
        <v>267</v>
      </c>
      <c r="C8618" s="1">
        <f>(Tabela1[[#This Row],[x]]-H$3)*(Tabela1[[#This Row],[x]]-H$3) +(Tabela1[[#This Row],[y]]-H$4)*(Tabela1[[#This Row],[y]]-H$4)</f>
        <v>14290</v>
      </c>
      <c r="D8618" s="1">
        <f>IF(Tabela1[[#This Row],[promien]]&lt;40000,1,0)</f>
        <v>1</v>
      </c>
      <c r="E8618" s="1">
        <f>IF(Tabela1[[#This Row],[promien]]=40000,1,0)</f>
        <v>0</v>
      </c>
      <c r="F8618" s="1">
        <v>3.1385472267347412</v>
      </c>
      <c r="G8618" s="1">
        <v>3.0454268550519359E-3</v>
      </c>
    </row>
    <row r="8619" spans="1:7">
      <c r="A8619">
        <v>31</v>
      </c>
      <c r="B8619">
        <v>238</v>
      </c>
      <c r="C8619" s="1">
        <f>(Tabela1[[#This Row],[x]]-H$3)*(Tabela1[[#This Row],[x]]-H$3) +(Tabela1[[#This Row],[y]]-H$4)*(Tabela1[[#This Row],[y]]-H$4)</f>
        <v>30005</v>
      </c>
      <c r="D8619" s="1">
        <f>IF(Tabela1[[#This Row],[promien]]&lt;40000,1,0)</f>
        <v>1</v>
      </c>
      <c r="E8619" s="1">
        <f>IF(Tabela1[[#This Row],[promien]]=40000,1,0)</f>
        <v>0</v>
      </c>
      <c r="F8619" s="1">
        <v>3.1386471748462696</v>
      </c>
      <c r="G8619" s="1">
        <v>2.9454787435234664E-3</v>
      </c>
    </row>
    <row r="8620" spans="1:7">
      <c r="A8620">
        <v>170</v>
      </c>
      <c r="B8620">
        <v>255</v>
      </c>
      <c r="C8620" s="1">
        <f>(Tabela1[[#This Row],[x]]-H$3)*(Tabela1[[#This Row],[x]]-H$3) +(Tabela1[[#This Row],[y]]-H$4)*(Tabela1[[#This Row],[y]]-H$4)</f>
        <v>3925</v>
      </c>
      <c r="D8620" s="1">
        <f>IF(Tabela1[[#This Row],[promien]]&lt;40000,1,0)</f>
        <v>1</v>
      </c>
      <c r="E8620" s="1">
        <f>IF(Tabela1[[#This Row],[promien]]=40000,1,0)</f>
        <v>0</v>
      </c>
      <c r="F8620" s="1">
        <v>3.1387470997679814</v>
      </c>
      <c r="G8620" s="1">
        <v>2.8455538218117304E-3</v>
      </c>
    </row>
    <row r="8621" spans="1:7">
      <c r="A8621">
        <v>190</v>
      </c>
      <c r="B8621">
        <v>165</v>
      </c>
      <c r="C8621" s="1">
        <f>(Tabela1[[#This Row],[x]]-H$3)*(Tabela1[[#This Row],[x]]-H$3) +(Tabela1[[#This Row],[y]]-H$4)*(Tabela1[[#This Row],[y]]-H$4)</f>
        <v>1325</v>
      </c>
      <c r="D8621" s="1">
        <f>IF(Tabela1[[#This Row],[promien]]&lt;40000,1,0)</f>
        <v>1</v>
      </c>
      <c r="E8621" s="1">
        <f>IF(Tabela1[[#This Row],[promien]]=40000,1,0)</f>
        <v>0</v>
      </c>
      <c r="F8621" s="1">
        <v>3.1388470015079459</v>
      </c>
      <c r="G8621" s="1">
        <v>2.745652081847183E-3</v>
      </c>
    </row>
    <row r="8622" spans="1:7">
      <c r="A8622">
        <v>275</v>
      </c>
      <c r="B8622">
        <v>173</v>
      </c>
      <c r="C8622" s="1">
        <f>(Tabela1[[#This Row],[x]]-H$3)*(Tabela1[[#This Row],[x]]-H$3) +(Tabela1[[#This Row],[y]]-H$4)*(Tabela1[[#This Row],[y]]-H$4)</f>
        <v>6354</v>
      </c>
      <c r="D8622" s="1">
        <f>IF(Tabela1[[#This Row],[promien]]&lt;40000,1,0)</f>
        <v>1</v>
      </c>
      <c r="E8622" s="1">
        <f>IF(Tabela1[[#This Row],[promien]]=40000,1,0)</f>
        <v>0</v>
      </c>
      <c r="F8622" s="1">
        <v>3.1389468800742288</v>
      </c>
      <c r="G8622" s="1">
        <v>2.6457735155642759E-3</v>
      </c>
    </row>
    <row r="8623" spans="1:7">
      <c r="A8623">
        <v>398</v>
      </c>
      <c r="B8623">
        <v>279</v>
      </c>
      <c r="C8623" s="1">
        <f>(Tabela1[[#This Row],[x]]-H$3)*(Tabela1[[#This Row],[x]]-H$3) +(Tabela1[[#This Row],[y]]-H$4)*(Tabela1[[#This Row],[y]]-H$4)</f>
        <v>45445</v>
      </c>
      <c r="D8623" s="1">
        <f>IF(Tabela1[[#This Row],[promien]]&lt;40000,1,0)</f>
        <v>0</v>
      </c>
      <c r="E8623" s="1">
        <f>IF(Tabela1[[#This Row],[promien]]=40000,1,0)</f>
        <v>0</v>
      </c>
      <c r="F8623" s="1">
        <v>3.1385828597935754</v>
      </c>
      <c r="G8623" s="1">
        <v>3.0097937962176857E-3</v>
      </c>
    </row>
    <row r="8624" spans="1:7">
      <c r="A8624">
        <v>258</v>
      </c>
      <c r="B8624">
        <v>368</v>
      </c>
      <c r="C8624" s="1">
        <f>(Tabela1[[#This Row],[x]]-H$3)*(Tabela1[[#This Row],[x]]-H$3) +(Tabela1[[#This Row],[y]]-H$4)*(Tabela1[[#This Row],[y]]-H$4)</f>
        <v>31588</v>
      </c>
      <c r="D8624" s="1">
        <f>IF(Tabela1[[#This Row],[promien]]&lt;40000,1,0)</f>
        <v>1</v>
      </c>
      <c r="E8624" s="1">
        <f>IF(Tabela1[[#This Row],[promien]]=40000,1,0)</f>
        <v>0</v>
      </c>
      <c r="F8624" s="1">
        <v>3.1386827458256028</v>
      </c>
      <c r="G8624" s="1">
        <v>2.9099077641903115E-3</v>
      </c>
    </row>
    <row r="8625" spans="1:7">
      <c r="A8625">
        <v>300</v>
      </c>
      <c r="B8625">
        <v>155</v>
      </c>
      <c r="C8625" s="1">
        <f>(Tabela1[[#This Row],[x]]-H$3)*(Tabela1[[#This Row],[x]]-H$3) +(Tabela1[[#This Row],[y]]-H$4)*(Tabela1[[#This Row],[y]]-H$4)</f>
        <v>12025</v>
      </c>
      <c r="D8625" s="1">
        <f>IF(Tabela1[[#This Row],[promien]]&lt;40000,1,0)</f>
        <v>1</v>
      </c>
      <c r="E8625" s="1">
        <f>IF(Tabela1[[#This Row],[promien]]=40000,1,0)</f>
        <v>0</v>
      </c>
      <c r="F8625" s="1">
        <v>3.1387826086956521</v>
      </c>
      <c r="G8625" s="1">
        <v>2.8100448941410505E-3</v>
      </c>
    </row>
    <row r="8626" spans="1:7">
      <c r="A8626">
        <v>227</v>
      </c>
      <c r="B8626">
        <v>200</v>
      </c>
      <c r="C8626" s="1">
        <f>(Tabela1[[#This Row],[x]]-H$3)*(Tabela1[[#This Row],[x]]-H$3) +(Tabela1[[#This Row],[y]]-H$4)*(Tabela1[[#This Row],[y]]-H$4)</f>
        <v>729</v>
      </c>
      <c r="D8626" s="1">
        <f>IF(Tabela1[[#This Row],[promien]]&lt;40000,1,0)</f>
        <v>1</v>
      </c>
      <c r="E8626" s="1">
        <f>IF(Tabela1[[#This Row],[promien]]=40000,1,0)</f>
        <v>0</v>
      </c>
      <c r="F8626" s="1">
        <v>3.1388824484117785</v>
      </c>
      <c r="G8626" s="1">
        <v>2.7102051780145686E-3</v>
      </c>
    </row>
    <row r="8627" spans="1:7">
      <c r="A8627">
        <v>394</v>
      </c>
      <c r="B8627">
        <v>121</v>
      </c>
      <c r="C8627" s="1">
        <f>(Tabela1[[#This Row],[x]]-H$3)*(Tabela1[[#This Row],[x]]-H$3) +(Tabela1[[#This Row],[y]]-H$4)*(Tabela1[[#This Row],[y]]-H$4)</f>
        <v>43877</v>
      </c>
      <c r="D8627" s="1">
        <f>IF(Tabela1[[#This Row],[promien]]&lt;40000,1,0)</f>
        <v>0</v>
      </c>
      <c r="E8627" s="1">
        <f>IF(Tabela1[[#This Row],[promien]]=40000,1,0)</f>
        <v>0</v>
      </c>
      <c r="F8627" s="1">
        <v>3.1385186043815927</v>
      </c>
      <c r="G8627" s="1">
        <v>3.0740492082004245E-3</v>
      </c>
    </row>
    <row r="8628" spans="1:7">
      <c r="A8628">
        <v>54</v>
      </c>
      <c r="B8628">
        <v>313</v>
      </c>
      <c r="C8628" s="1">
        <f>(Tabela1[[#This Row],[x]]-H$3)*(Tabela1[[#This Row],[x]]-H$3) +(Tabela1[[#This Row],[y]]-H$4)*(Tabela1[[#This Row],[y]]-H$4)</f>
        <v>34085</v>
      </c>
      <c r="D8628" s="1">
        <f>IF(Tabela1[[#This Row],[promien]]&lt;40000,1,0)</f>
        <v>1</v>
      </c>
      <c r="E8628" s="1">
        <f>IF(Tabela1[[#This Row],[promien]]=40000,1,0)</f>
        <v>0</v>
      </c>
      <c r="F8628" s="1">
        <v>3.1386184515530831</v>
      </c>
      <c r="G8628" s="1">
        <v>2.9742020367100608E-3</v>
      </c>
    </row>
    <row r="8629" spans="1:7">
      <c r="A8629">
        <v>120</v>
      </c>
      <c r="B8629">
        <v>212</v>
      </c>
      <c r="C8629" s="1">
        <f>(Tabela1[[#This Row],[x]]-H$3)*(Tabela1[[#This Row],[x]]-H$3) +(Tabela1[[#This Row],[y]]-H$4)*(Tabela1[[#This Row],[y]]-H$4)</f>
        <v>6544</v>
      </c>
      <c r="D8629" s="1">
        <f>IF(Tabela1[[#This Row],[promien]]&lt;40000,1,0)</f>
        <v>1</v>
      </c>
      <c r="E8629" s="1">
        <f>IF(Tabela1[[#This Row],[promien]]=40000,1,0)</f>
        <v>0</v>
      </c>
      <c r="F8629" s="1">
        <v>3.1387182755823386</v>
      </c>
      <c r="G8629" s="1">
        <v>2.8743780074544922E-3</v>
      </c>
    </row>
    <row r="8630" spans="1:7">
      <c r="A8630">
        <v>218</v>
      </c>
      <c r="B8630">
        <v>85</v>
      </c>
      <c r="C8630" s="1">
        <f>(Tabela1[[#This Row],[x]]-H$3)*(Tabela1[[#This Row],[x]]-H$3) +(Tabela1[[#This Row],[y]]-H$4)*(Tabela1[[#This Row],[y]]-H$4)</f>
        <v>13549</v>
      </c>
      <c r="D8630" s="1">
        <f>IF(Tabela1[[#This Row],[promien]]&lt;40000,1,0)</f>
        <v>1</v>
      </c>
      <c r="E8630" s="1">
        <f>IF(Tabela1[[#This Row],[promien]]=40000,1,0)</f>
        <v>0</v>
      </c>
      <c r="F8630" s="1">
        <v>3.1388180764774045</v>
      </c>
      <c r="G8630" s="1">
        <v>2.7745771123885987E-3</v>
      </c>
    </row>
    <row r="8631" spans="1:7">
      <c r="A8631">
        <v>114</v>
      </c>
      <c r="B8631">
        <v>312</v>
      </c>
      <c r="C8631" s="1">
        <f>(Tabela1[[#This Row],[x]]-H$3)*(Tabela1[[#This Row],[x]]-H$3) +(Tabela1[[#This Row],[y]]-H$4)*(Tabela1[[#This Row],[y]]-H$4)</f>
        <v>19940</v>
      </c>
      <c r="D8631" s="1">
        <f>IF(Tabela1[[#This Row],[promien]]&lt;40000,1,0)</f>
        <v>1</v>
      </c>
      <c r="E8631" s="1">
        <f>IF(Tabela1[[#This Row],[promien]]=40000,1,0)</f>
        <v>0</v>
      </c>
      <c r="F8631" s="1">
        <v>3.1389178542463214</v>
      </c>
      <c r="G8631" s="1">
        <v>2.674799343471701E-3</v>
      </c>
    </row>
    <row r="8632" spans="1:7">
      <c r="A8632">
        <v>166</v>
      </c>
      <c r="B8632">
        <v>217</v>
      </c>
      <c r="C8632" s="1">
        <f>(Tabela1[[#This Row],[x]]-H$3)*(Tabela1[[#This Row],[x]]-H$3) +(Tabela1[[#This Row],[y]]-H$4)*(Tabela1[[#This Row],[y]]-H$4)</f>
        <v>1445</v>
      </c>
      <c r="D8632" s="1">
        <f>IF(Tabela1[[#This Row],[promien]]&lt;40000,1,0)</f>
        <v>1</v>
      </c>
      <c r="E8632" s="1">
        <f>IF(Tabela1[[#This Row],[promien]]=40000,1,0)</f>
        <v>0</v>
      </c>
      <c r="F8632" s="1">
        <v>3.1390176088971269</v>
      </c>
      <c r="G8632" s="1">
        <v>2.5750446926662285E-3</v>
      </c>
    </row>
    <row r="8633" spans="1:7">
      <c r="A8633">
        <v>109</v>
      </c>
      <c r="B8633">
        <v>70</v>
      </c>
      <c r="C8633" s="1">
        <f>(Tabela1[[#This Row],[x]]-H$3)*(Tabela1[[#This Row],[x]]-H$3) +(Tabela1[[#This Row],[y]]-H$4)*(Tabela1[[#This Row],[y]]-H$4)</f>
        <v>25181</v>
      </c>
      <c r="D8633" s="1">
        <f>IF(Tabela1[[#This Row],[promien]]&lt;40000,1,0)</f>
        <v>1</v>
      </c>
      <c r="E8633" s="1">
        <f>IF(Tabela1[[#This Row],[promien]]=40000,1,0)</f>
        <v>0</v>
      </c>
      <c r="F8633" s="1">
        <v>3.139117340437855</v>
      </c>
      <c r="G8633" s="1">
        <v>2.4753131519381633E-3</v>
      </c>
    </row>
    <row r="8634" spans="1:7">
      <c r="A8634">
        <v>50</v>
      </c>
      <c r="B8634">
        <v>114</v>
      </c>
      <c r="C8634" s="1">
        <f>(Tabela1[[#This Row],[x]]-H$3)*(Tabela1[[#This Row],[x]]-H$3) +(Tabela1[[#This Row],[y]]-H$4)*(Tabela1[[#This Row],[y]]-H$4)</f>
        <v>29896</v>
      </c>
      <c r="D8634" s="1">
        <f>IF(Tabela1[[#This Row],[promien]]&lt;40000,1,0)</f>
        <v>1</v>
      </c>
      <c r="E8634" s="1">
        <f>IF(Tabela1[[#This Row],[promien]]=40000,1,0)</f>
        <v>0</v>
      </c>
      <c r="F8634" s="1">
        <v>3.1392170488765347</v>
      </c>
      <c r="G8634" s="1">
        <v>2.3756047132583724E-3</v>
      </c>
    </row>
    <row r="8635" spans="1:7">
      <c r="A8635">
        <v>336</v>
      </c>
      <c r="B8635">
        <v>217</v>
      </c>
      <c r="C8635" s="1">
        <f>(Tabela1[[#This Row],[x]]-H$3)*(Tabela1[[#This Row],[x]]-H$3) +(Tabela1[[#This Row],[y]]-H$4)*(Tabela1[[#This Row],[y]]-H$4)</f>
        <v>18785</v>
      </c>
      <c r="D8635" s="1">
        <f>IF(Tabela1[[#This Row],[promien]]&lt;40000,1,0)</f>
        <v>1</v>
      </c>
      <c r="E8635" s="1">
        <f>IF(Tabela1[[#This Row],[promien]]=40000,1,0)</f>
        <v>0</v>
      </c>
      <c r="F8635" s="1">
        <v>3.1393167342211927</v>
      </c>
      <c r="G8635" s="1">
        <v>2.2759193686003876E-3</v>
      </c>
    </row>
    <row r="8636" spans="1:7">
      <c r="A8636">
        <v>75</v>
      </c>
      <c r="B8636">
        <v>241</v>
      </c>
      <c r="C8636" s="1">
        <f>(Tabela1[[#This Row],[x]]-H$3)*(Tabela1[[#This Row],[x]]-H$3) +(Tabela1[[#This Row],[y]]-H$4)*(Tabela1[[#This Row],[y]]-H$4)</f>
        <v>17306</v>
      </c>
      <c r="D8636" s="1">
        <f>IF(Tabela1[[#This Row],[promien]]&lt;40000,1,0)</f>
        <v>1</v>
      </c>
      <c r="E8636" s="1">
        <f>IF(Tabela1[[#This Row],[promien]]=40000,1,0)</f>
        <v>0</v>
      </c>
      <c r="F8636" s="1">
        <v>3.1394163964798518</v>
      </c>
      <c r="G8636" s="1">
        <v>2.1762571099412931E-3</v>
      </c>
    </row>
    <row r="8637" spans="1:7">
      <c r="A8637">
        <v>345</v>
      </c>
      <c r="B8637">
        <v>121</v>
      </c>
      <c r="C8637" s="1">
        <f>(Tabela1[[#This Row],[x]]-H$3)*(Tabela1[[#This Row],[x]]-H$3) +(Tabela1[[#This Row],[y]]-H$4)*(Tabela1[[#This Row],[y]]-H$4)</f>
        <v>27266</v>
      </c>
      <c r="D8637" s="1">
        <f>IF(Tabela1[[#This Row],[promien]]&lt;40000,1,0)</f>
        <v>1</v>
      </c>
      <c r="E8637" s="1">
        <f>IF(Tabela1[[#This Row],[promien]]=40000,1,0)</f>
        <v>0</v>
      </c>
      <c r="F8637" s="1">
        <v>3.1395160356605301</v>
      </c>
      <c r="G8637" s="1">
        <v>2.0766179292630582E-3</v>
      </c>
    </row>
    <row r="8638" spans="1:7">
      <c r="A8638">
        <v>29</v>
      </c>
      <c r="B8638">
        <v>35</v>
      </c>
      <c r="C8638" s="1">
        <f>(Tabela1[[#This Row],[x]]-H$3)*(Tabela1[[#This Row],[x]]-H$3) +(Tabela1[[#This Row],[y]]-H$4)*(Tabela1[[#This Row],[y]]-H$4)</f>
        <v>56466</v>
      </c>
      <c r="D8638" s="1">
        <f>IF(Tabela1[[#This Row],[promien]]&lt;40000,1,0)</f>
        <v>0</v>
      </c>
      <c r="E8638" s="1">
        <f>IF(Tabela1[[#This Row],[promien]]=40000,1,0)</f>
        <v>0</v>
      </c>
      <c r="F8638" s="1">
        <v>3.139152581616115</v>
      </c>
      <c r="G8638" s="1">
        <v>2.4400719736781262E-3</v>
      </c>
    </row>
    <row r="8639" spans="1:7">
      <c r="A8639">
        <v>181</v>
      </c>
      <c r="B8639">
        <v>325</v>
      </c>
      <c r="C8639" s="1">
        <f>(Tabela1[[#This Row],[x]]-H$3)*(Tabela1[[#This Row],[x]]-H$3) +(Tabela1[[#This Row],[y]]-H$4)*(Tabela1[[#This Row],[y]]-H$4)</f>
        <v>15986</v>
      </c>
      <c r="D8639" s="1">
        <f>IF(Tabela1[[#This Row],[promien]]&lt;40000,1,0)</f>
        <v>1</v>
      </c>
      <c r="E8639" s="1">
        <f>IF(Tabela1[[#This Row],[promien]]=40000,1,0)</f>
        <v>0</v>
      </c>
      <c r="F8639" s="1">
        <v>3.1392522282671607</v>
      </c>
      <c r="G8639" s="1">
        <v>2.3404253226324556E-3</v>
      </c>
    </row>
    <row r="8640" spans="1:7">
      <c r="A8640">
        <v>370</v>
      </c>
      <c r="B8640">
        <v>35</v>
      </c>
      <c r="C8640" s="1">
        <f>(Tabela1[[#This Row],[x]]-H$3)*(Tabela1[[#This Row],[x]]-H$3) +(Tabela1[[#This Row],[y]]-H$4)*(Tabela1[[#This Row],[y]]-H$4)</f>
        <v>56125</v>
      </c>
      <c r="D8640" s="1">
        <f>IF(Tabela1[[#This Row],[promien]]&lt;40000,1,0)</f>
        <v>0</v>
      </c>
      <c r="E8640" s="1">
        <f>IF(Tabela1[[#This Row],[promien]]=40000,1,0)</f>
        <v>0</v>
      </c>
      <c r="F8640" s="1">
        <v>3.1388888888888888</v>
      </c>
      <c r="G8640" s="1">
        <v>2.7037647009042765E-3</v>
      </c>
    </row>
    <row r="8641" spans="1:7">
      <c r="A8641">
        <v>173</v>
      </c>
      <c r="B8641">
        <v>33</v>
      </c>
      <c r="C8641" s="1">
        <f>(Tabela1[[#This Row],[x]]-H$3)*(Tabela1[[#This Row],[x]]-H$3) +(Tabela1[[#This Row],[y]]-H$4)*(Tabela1[[#This Row],[y]]-H$4)</f>
        <v>28618</v>
      </c>
      <c r="D8641" s="1">
        <f>IF(Tabela1[[#This Row],[promien]]&lt;40000,1,0)</f>
        <v>1</v>
      </c>
      <c r="E8641" s="1">
        <f>IF(Tabela1[[#This Row],[promien]]=40000,1,0)</f>
        <v>0</v>
      </c>
      <c r="F8641" s="1">
        <v>3.1389885429927094</v>
      </c>
      <c r="G8641" s="1">
        <v>2.6041105970837641E-3</v>
      </c>
    </row>
    <row r="8642" spans="1:7">
      <c r="A8642">
        <v>354</v>
      </c>
      <c r="B8642">
        <v>233</v>
      </c>
      <c r="C8642" s="1">
        <f>(Tabela1[[#This Row],[x]]-H$3)*(Tabela1[[#This Row],[x]]-H$3) +(Tabela1[[#This Row],[y]]-H$4)*(Tabela1[[#This Row],[y]]-H$4)</f>
        <v>24805</v>
      </c>
      <c r="D8642" s="1">
        <f>IF(Tabela1[[#This Row],[promien]]&lt;40000,1,0)</f>
        <v>1</v>
      </c>
      <c r="E8642" s="1">
        <f>IF(Tabela1[[#This Row],[promien]]=40000,1,0)</f>
        <v>0</v>
      </c>
      <c r="F8642" s="1">
        <v>3.1390881740337884</v>
      </c>
      <c r="G8642" s="1">
        <v>2.5044795560047461E-3</v>
      </c>
    </row>
    <row r="8643" spans="1:7">
      <c r="A8643">
        <v>93</v>
      </c>
      <c r="B8643">
        <v>8</v>
      </c>
      <c r="C8643" s="1">
        <f>(Tabela1[[#This Row],[x]]-H$3)*(Tabela1[[#This Row],[x]]-H$3) +(Tabela1[[#This Row],[y]]-H$4)*(Tabela1[[#This Row],[y]]-H$4)</f>
        <v>48313</v>
      </c>
      <c r="D8643" s="1">
        <f>IF(Tabela1[[#This Row],[promien]]&lt;40000,1,0)</f>
        <v>0</v>
      </c>
      <c r="E8643" s="1">
        <f>IF(Tabela1[[#This Row],[promien]]=40000,1,0)</f>
        <v>0</v>
      </c>
      <c r="F8643" s="1">
        <v>3.1387249797524008</v>
      </c>
      <c r="G8643" s="1">
        <v>2.8676738373922817E-3</v>
      </c>
    </row>
    <row r="8644" spans="1:7">
      <c r="A8644">
        <v>307</v>
      </c>
      <c r="B8644">
        <v>110</v>
      </c>
      <c r="C8644" s="1">
        <f>(Tabela1[[#This Row],[x]]-H$3)*(Tabela1[[#This Row],[x]]-H$3) +(Tabela1[[#This Row],[y]]-H$4)*(Tabela1[[#This Row],[y]]-H$4)</f>
        <v>19549</v>
      </c>
      <c r="D8644" s="1">
        <f>IF(Tabela1[[#This Row],[promien]]&lt;40000,1,0)</f>
        <v>1</v>
      </c>
      <c r="E8644" s="1">
        <f>IF(Tabela1[[#This Row],[promien]]=40000,1,0)</f>
        <v>0</v>
      </c>
      <c r="F8644" s="1">
        <v>3.1388246182323001</v>
      </c>
      <c r="G8644" s="1">
        <v>2.7680353574930372E-3</v>
      </c>
    </row>
    <row r="8645" spans="1:7">
      <c r="A8645">
        <v>61</v>
      </c>
      <c r="B8645">
        <v>163</v>
      </c>
      <c r="C8645" s="1">
        <f>(Tabela1[[#This Row],[x]]-H$3)*(Tabela1[[#This Row],[x]]-H$3) +(Tabela1[[#This Row],[y]]-H$4)*(Tabela1[[#This Row],[y]]-H$4)</f>
        <v>20690</v>
      </c>
      <c r="D8645" s="1">
        <f>IF(Tabela1[[#This Row],[promien]]&lt;40000,1,0)</f>
        <v>1</v>
      </c>
      <c r="E8645" s="1">
        <f>IF(Tabela1[[#This Row],[promien]]=40000,1,0)</f>
        <v>0</v>
      </c>
      <c r="F8645" s="1">
        <v>3.1389242336610756</v>
      </c>
      <c r="G8645" s="1">
        <v>2.6684199287174692E-3</v>
      </c>
    </row>
    <row r="8646" spans="1:7">
      <c r="A8646">
        <v>1</v>
      </c>
      <c r="B8646">
        <v>142</v>
      </c>
      <c r="C8646" s="1">
        <f>(Tabela1[[#This Row],[x]]-H$3)*(Tabela1[[#This Row],[x]]-H$3) +(Tabela1[[#This Row],[y]]-H$4)*(Tabela1[[#This Row],[y]]-H$4)</f>
        <v>42965</v>
      </c>
      <c r="D8646" s="1">
        <f>IF(Tabela1[[#This Row],[promien]]&lt;40000,1,0)</f>
        <v>0</v>
      </c>
      <c r="E8646" s="1">
        <f>IF(Tabela1[[#This Row],[promien]]=40000,1,0)</f>
        <v>0</v>
      </c>
      <c r="F8646" s="1">
        <v>3.138561184362711</v>
      </c>
      <c r="G8646" s="1">
        <v>3.0314692270820842E-3</v>
      </c>
    </row>
    <row r="8647" spans="1:7">
      <c r="A8647">
        <v>60</v>
      </c>
      <c r="B8647">
        <v>96</v>
      </c>
      <c r="C8647" s="1">
        <f>(Tabela1[[#This Row],[x]]-H$3)*(Tabela1[[#This Row],[x]]-H$3) +(Tabela1[[#This Row],[y]]-H$4)*(Tabela1[[#This Row],[y]]-H$4)</f>
        <v>30416</v>
      </c>
      <c r="D8647" s="1">
        <f>IF(Tabela1[[#This Row],[promien]]&lt;40000,1,0)</f>
        <v>1</v>
      </c>
      <c r="E8647" s="1">
        <f>IF(Tabela1[[#This Row],[promien]]=40000,1,0)</f>
        <v>0</v>
      </c>
      <c r="F8647" s="1">
        <v>3.1386608072163757</v>
      </c>
      <c r="G8647" s="1">
        <v>2.9318463734173683E-3</v>
      </c>
    </row>
    <row r="8648" spans="1:7">
      <c r="A8648">
        <v>332</v>
      </c>
      <c r="B8648">
        <v>235</v>
      </c>
      <c r="C8648" s="1">
        <f>(Tabela1[[#This Row],[x]]-H$3)*(Tabela1[[#This Row],[x]]-H$3) +(Tabela1[[#This Row],[y]]-H$4)*(Tabela1[[#This Row],[y]]-H$4)</f>
        <v>18649</v>
      </c>
      <c r="D8648" s="1">
        <f>IF(Tabela1[[#This Row],[promien]]&lt;40000,1,0)</f>
        <v>1</v>
      </c>
      <c r="E8648" s="1">
        <f>IF(Tabela1[[#This Row],[promien]]=40000,1,0)</f>
        <v>0</v>
      </c>
      <c r="F8648" s="1">
        <v>3.1387604070305275</v>
      </c>
      <c r="G8648" s="1">
        <v>2.8322465592656165E-3</v>
      </c>
    </row>
    <row r="8649" spans="1:7">
      <c r="A8649">
        <v>245</v>
      </c>
      <c r="B8649">
        <v>316</v>
      </c>
      <c r="C8649" s="1">
        <f>(Tabela1[[#This Row],[x]]-H$3)*(Tabela1[[#This Row],[x]]-H$3) +(Tabela1[[#This Row],[y]]-H$4)*(Tabela1[[#This Row],[y]]-H$4)</f>
        <v>15481</v>
      </c>
      <c r="D8649" s="1">
        <f>IF(Tabela1[[#This Row],[promien]]&lt;40000,1,0)</f>
        <v>1</v>
      </c>
      <c r="E8649" s="1">
        <f>IF(Tabela1[[#This Row],[promien]]=40000,1,0)</f>
        <v>0</v>
      </c>
      <c r="F8649" s="1">
        <v>3.1388599838131577</v>
      </c>
      <c r="G8649" s="1">
        <v>2.7326697766354435E-3</v>
      </c>
    </row>
    <row r="8650" spans="1:7">
      <c r="A8650">
        <v>207</v>
      </c>
      <c r="B8650">
        <v>61</v>
      </c>
      <c r="C8650" s="1">
        <f>(Tabela1[[#This Row],[x]]-H$3)*(Tabela1[[#This Row],[x]]-H$3) +(Tabela1[[#This Row],[y]]-H$4)*(Tabela1[[#This Row],[y]]-H$4)</f>
        <v>19370</v>
      </c>
      <c r="D8650" s="1">
        <f>IF(Tabela1[[#This Row],[promien]]&lt;40000,1,0)</f>
        <v>1</v>
      </c>
      <c r="E8650" s="1">
        <f>IF(Tabela1[[#This Row],[promien]]=40000,1,0)</f>
        <v>0</v>
      </c>
      <c r="F8650" s="1">
        <v>3.1389595375722545</v>
      </c>
      <c r="G8650" s="1">
        <v>2.6331160175385726E-3</v>
      </c>
    </row>
    <row r="8651" spans="1:7">
      <c r="A8651">
        <v>56</v>
      </c>
      <c r="B8651">
        <v>329</v>
      </c>
      <c r="C8651" s="1">
        <f>(Tabela1[[#This Row],[x]]-H$3)*(Tabela1[[#This Row],[x]]-H$3) +(Tabela1[[#This Row],[y]]-H$4)*(Tabela1[[#This Row],[y]]-H$4)</f>
        <v>37377</v>
      </c>
      <c r="D8651" s="1">
        <f>IF(Tabela1[[#This Row],[promien]]&lt;40000,1,0)</f>
        <v>1</v>
      </c>
      <c r="E8651" s="1">
        <f>IF(Tabela1[[#This Row],[promien]]=40000,1,0)</f>
        <v>0</v>
      </c>
      <c r="F8651" s="1">
        <v>3.1390590683158015</v>
      </c>
      <c r="G8651" s="1">
        <v>2.533585273991612E-3</v>
      </c>
    </row>
    <row r="8652" spans="1:7">
      <c r="A8652">
        <v>181</v>
      </c>
      <c r="B8652">
        <v>24</v>
      </c>
      <c r="C8652" s="1">
        <f>(Tabela1[[#This Row],[x]]-H$3)*(Tabela1[[#This Row],[x]]-H$3) +(Tabela1[[#This Row],[y]]-H$4)*(Tabela1[[#This Row],[y]]-H$4)</f>
        <v>31337</v>
      </c>
      <c r="D8652" s="1">
        <f>IF(Tabela1[[#This Row],[promien]]&lt;40000,1,0)</f>
        <v>1</v>
      </c>
      <c r="E8652" s="1">
        <f>IF(Tabela1[[#This Row],[promien]]=40000,1,0)</f>
        <v>0</v>
      </c>
      <c r="F8652" s="1">
        <v>3.1391585760517797</v>
      </c>
      <c r="G8652" s="1">
        <v>2.4340775380133906E-3</v>
      </c>
    </row>
    <row r="8653" spans="1:7">
      <c r="A8653">
        <v>294</v>
      </c>
      <c r="B8653">
        <v>32</v>
      </c>
      <c r="C8653" s="1">
        <f>(Tabela1[[#This Row],[x]]-H$3)*(Tabela1[[#This Row],[x]]-H$3) +(Tabela1[[#This Row],[y]]-H$4)*(Tabela1[[#This Row],[y]]-H$4)</f>
        <v>37060</v>
      </c>
      <c r="D8653" s="1">
        <f>IF(Tabela1[[#This Row],[promien]]&lt;40000,1,0)</f>
        <v>1</v>
      </c>
      <c r="E8653" s="1">
        <f>IF(Tabela1[[#This Row],[promien]]=40000,1,0)</f>
        <v>0</v>
      </c>
      <c r="F8653" s="1">
        <v>3.1392580607881659</v>
      </c>
      <c r="G8653" s="1">
        <v>2.3345928016271777E-3</v>
      </c>
    </row>
    <row r="8654" spans="1:7">
      <c r="A8654">
        <v>194</v>
      </c>
      <c r="B8654">
        <v>235</v>
      </c>
      <c r="C8654" s="1">
        <f>(Tabela1[[#This Row],[x]]-H$3)*(Tabela1[[#This Row],[x]]-H$3) +(Tabela1[[#This Row],[y]]-H$4)*(Tabela1[[#This Row],[y]]-H$4)</f>
        <v>1261</v>
      </c>
      <c r="D8654" s="1">
        <f>IF(Tabela1[[#This Row],[promien]]&lt;40000,1,0)</f>
        <v>1</v>
      </c>
      <c r="E8654" s="1">
        <f>IF(Tabela1[[#This Row],[promien]]=40000,1,0)</f>
        <v>0</v>
      </c>
      <c r="F8654" s="1">
        <v>3.1393575225329329</v>
      </c>
      <c r="G8654" s="1">
        <v>2.2351310568602401E-3</v>
      </c>
    </row>
    <row r="8655" spans="1:7">
      <c r="A8655">
        <v>195</v>
      </c>
      <c r="B8655">
        <v>370</v>
      </c>
      <c r="C8655" s="1">
        <f>(Tabela1[[#This Row],[x]]-H$3)*(Tabela1[[#This Row],[x]]-H$3) +(Tabela1[[#This Row],[y]]-H$4)*(Tabela1[[#This Row],[y]]-H$4)</f>
        <v>28925</v>
      </c>
      <c r="D8655" s="1">
        <f>IF(Tabela1[[#This Row],[promien]]&lt;40000,1,0)</f>
        <v>1</v>
      </c>
      <c r="E8655" s="1">
        <f>IF(Tabela1[[#This Row],[promien]]=40000,1,0)</f>
        <v>0</v>
      </c>
      <c r="F8655" s="1">
        <v>3.1394569612940497</v>
      </c>
      <c r="G8655" s="1">
        <v>2.1356922957433966E-3</v>
      </c>
    </row>
    <row r="8656" spans="1:7">
      <c r="A8656">
        <v>160</v>
      </c>
      <c r="B8656">
        <v>352</v>
      </c>
      <c r="C8656" s="1">
        <f>(Tabela1[[#This Row],[x]]-H$3)*(Tabela1[[#This Row],[x]]-H$3) +(Tabela1[[#This Row],[y]]-H$4)*(Tabela1[[#This Row],[y]]-H$4)</f>
        <v>24704</v>
      </c>
      <c r="D8656" s="1">
        <f>IF(Tabela1[[#This Row],[promien]]&lt;40000,1,0)</f>
        <v>1</v>
      </c>
      <c r="E8656" s="1">
        <f>IF(Tabela1[[#This Row],[promien]]=40000,1,0)</f>
        <v>0</v>
      </c>
      <c r="F8656" s="1">
        <v>3.1395563770794825</v>
      </c>
      <c r="G8656" s="1">
        <v>2.0362765103105751E-3</v>
      </c>
    </row>
    <row r="8657" spans="1:7">
      <c r="A8657">
        <v>43</v>
      </c>
      <c r="B8657">
        <v>264</v>
      </c>
      <c r="C8657" s="1">
        <f>(Tabela1[[#This Row],[x]]-H$3)*(Tabela1[[#This Row],[x]]-H$3) +(Tabela1[[#This Row],[y]]-H$4)*(Tabela1[[#This Row],[y]]-H$4)</f>
        <v>28745</v>
      </c>
      <c r="D8657" s="1">
        <f>IF(Tabela1[[#This Row],[promien]]&lt;40000,1,0)</f>
        <v>1</v>
      </c>
      <c r="E8657" s="1">
        <f>IF(Tabela1[[#This Row],[promien]]=40000,1,0)</f>
        <v>0</v>
      </c>
      <c r="F8657" s="1">
        <v>3.139655769897193</v>
      </c>
      <c r="G8657" s="1">
        <v>1.9368836926001443E-3</v>
      </c>
    </row>
    <row r="8658" spans="1:7">
      <c r="A8658">
        <v>323</v>
      </c>
      <c r="B8658">
        <v>262</v>
      </c>
      <c r="C8658" s="1">
        <f>(Tabela1[[#This Row],[x]]-H$3)*(Tabela1[[#This Row],[x]]-H$3) +(Tabela1[[#This Row],[y]]-H$4)*(Tabela1[[#This Row],[y]]-H$4)</f>
        <v>18973</v>
      </c>
      <c r="D8658" s="1">
        <f>IF(Tabela1[[#This Row],[promien]]&lt;40000,1,0)</f>
        <v>1</v>
      </c>
      <c r="E8658" s="1">
        <f>IF(Tabela1[[#This Row],[promien]]=40000,1,0)</f>
        <v>0</v>
      </c>
      <c r="F8658" s="1">
        <v>3.1397551397551395</v>
      </c>
      <c r="G8658" s="1">
        <v>1.8375138346535813E-3</v>
      </c>
    </row>
    <row r="8659" spans="1:7">
      <c r="A8659">
        <v>308</v>
      </c>
      <c r="B8659">
        <v>20</v>
      </c>
      <c r="C8659" s="1">
        <f>(Tabela1[[#This Row],[x]]-H$3)*(Tabela1[[#This Row],[x]]-H$3) +(Tabela1[[#This Row],[y]]-H$4)*(Tabela1[[#This Row],[y]]-H$4)</f>
        <v>44064</v>
      </c>
      <c r="D8659" s="1">
        <f>IF(Tabela1[[#This Row],[promien]]&lt;40000,1,0)</f>
        <v>0</v>
      </c>
      <c r="E8659" s="1">
        <f>IF(Tabela1[[#This Row],[promien]]=40000,1,0)</f>
        <v>0</v>
      </c>
      <c r="F8659" s="1">
        <v>3.1393925395542213</v>
      </c>
      <c r="G8659" s="1">
        <v>2.200114035571854E-3</v>
      </c>
    </row>
    <row r="8660" spans="1:7">
      <c r="A8660">
        <v>357</v>
      </c>
      <c r="B8660">
        <v>300</v>
      </c>
      <c r="C8660" s="1">
        <f>(Tabela1[[#This Row],[x]]-H$3)*(Tabela1[[#This Row],[x]]-H$3) +(Tabela1[[#This Row],[y]]-H$4)*(Tabela1[[#This Row],[y]]-H$4)</f>
        <v>34649</v>
      </c>
      <c r="D8660" s="1">
        <f>IF(Tabela1[[#This Row],[promien]]&lt;40000,1,0)</f>
        <v>1</v>
      </c>
      <c r="E8660" s="1">
        <f>IF(Tabela1[[#This Row],[promien]]=40000,1,0)</f>
        <v>0</v>
      </c>
      <c r="F8660" s="1">
        <v>3.1394919168591224</v>
      </c>
      <c r="G8660" s="1">
        <v>2.1007367306706826E-3</v>
      </c>
    </row>
    <row r="8661" spans="1:7">
      <c r="A8661">
        <v>136</v>
      </c>
      <c r="B8661">
        <v>50</v>
      </c>
      <c r="C8661" s="1">
        <f>(Tabela1[[#This Row],[x]]-H$3)*(Tabela1[[#This Row],[x]]-H$3) +(Tabela1[[#This Row],[y]]-H$4)*(Tabela1[[#This Row],[y]]-H$4)</f>
        <v>26596</v>
      </c>
      <c r="D8661" s="1">
        <f>IF(Tabela1[[#This Row],[promien]]&lt;40000,1,0)</f>
        <v>1</v>
      </c>
      <c r="E8661" s="1">
        <f>IF(Tabela1[[#This Row],[promien]]=40000,1,0)</f>
        <v>0</v>
      </c>
      <c r="F8661" s="1">
        <v>3.139591271215795</v>
      </c>
      <c r="G8661" s="1">
        <v>2.0013823739981618E-3</v>
      </c>
    </row>
    <row r="8662" spans="1:7">
      <c r="A8662">
        <v>142</v>
      </c>
      <c r="B8662">
        <v>367</v>
      </c>
      <c r="C8662" s="1">
        <f>(Tabela1[[#This Row],[x]]-H$3)*(Tabela1[[#This Row],[x]]-H$3) +(Tabela1[[#This Row],[y]]-H$4)*(Tabela1[[#This Row],[y]]-H$4)</f>
        <v>31253</v>
      </c>
      <c r="D8662" s="1">
        <f>IF(Tabela1[[#This Row],[promien]]&lt;40000,1,0)</f>
        <v>1</v>
      </c>
      <c r="E8662" s="1">
        <f>IF(Tabela1[[#This Row],[promien]]=40000,1,0)</f>
        <v>0</v>
      </c>
      <c r="F8662" s="1">
        <v>3.1396906026321867</v>
      </c>
      <c r="G8662" s="1">
        <v>1.9020509576064271E-3</v>
      </c>
    </row>
    <row r="8663" spans="1:7">
      <c r="A8663">
        <v>230</v>
      </c>
      <c r="B8663">
        <v>21</v>
      </c>
      <c r="C8663" s="1">
        <f>(Tabela1[[#This Row],[x]]-H$3)*(Tabela1[[#This Row],[x]]-H$3) +(Tabela1[[#This Row],[y]]-H$4)*(Tabela1[[#This Row],[y]]-H$4)</f>
        <v>32941</v>
      </c>
      <c r="D8663" s="1">
        <f>IF(Tabela1[[#This Row],[promien]]&lt;40000,1,0)</f>
        <v>1</v>
      </c>
      <c r="E8663" s="1">
        <f>IF(Tabela1[[#This Row],[promien]]=40000,1,0)</f>
        <v>0</v>
      </c>
      <c r="F8663" s="1">
        <v>3.1397899111162415</v>
      </c>
      <c r="G8663" s="1">
        <v>1.8027424735516107E-3</v>
      </c>
    </row>
    <row r="8664" spans="1:7">
      <c r="A8664">
        <v>116</v>
      </c>
      <c r="B8664">
        <v>205</v>
      </c>
      <c r="C8664" s="1">
        <f>(Tabela1[[#This Row],[x]]-H$3)*(Tabela1[[#This Row],[x]]-H$3) +(Tabela1[[#This Row],[y]]-H$4)*(Tabela1[[#This Row],[y]]-H$4)</f>
        <v>7081</v>
      </c>
      <c r="D8664" s="1">
        <f>IF(Tabela1[[#This Row],[promien]]&lt;40000,1,0)</f>
        <v>1</v>
      </c>
      <c r="E8664" s="1">
        <f>IF(Tabela1[[#This Row],[promien]]=40000,1,0)</f>
        <v>0</v>
      </c>
      <c r="F8664" s="1">
        <v>3.1398891966759002</v>
      </c>
      <c r="G8664" s="1">
        <v>1.7034569138929534E-3</v>
      </c>
    </row>
    <row r="8665" spans="1:7">
      <c r="A8665">
        <v>374</v>
      </c>
      <c r="B8665">
        <v>29</v>
      </c>
      <c r="C8665" s="1">
        <f>(Tabela1[[#This Row],[x]]-H$3)*(Tabela1[[#This Row],[x]]-H$3) +(Tabela1[[#This Row],[y]]-H$4)*(Tabela1[[#This Row],[y]]-H$4)</f>
        <v>59517</v>
      </c>
      <c r="D8665" s="1">
        <f>IF(Tabela1[[#This Row],[promien]]&lt;40000,1,0)</f>
        <v>0</v>
      </c>
      <c r="E8665" s="1">
        <f>IF(Tabela1[[#This Row],[promien]]=40000,1,0)</f>
        <v>0</v>
      </c>
      <c r="F8665" s="1">
        <v>3.1395268320830927</v>
      </c>
      <c r="G8665" s="1">
        <v>2.0658215067004271E-3</v>
      </c>
    </row>
    <row r="8666" spans="1:7">
      <c r="A8666">
        <v>137</v>
      </c>
      <c r="B8666">
        <v>145</v>
      </c>
      <c r="C8666" s="1">
        <f>(Tabela1[[#This Row],[x]]-H$3)*(Tabela1[[#This Row],[x]]-H$3) +(Tabela1[[#This Row],[y]]-H$4)*(Tabela1[[#This Row],[y]]-H$4)</f>
        <v>6994</v>
      </c>
      <c r="D8666" s="1">
        <f>IF(Tabela1[[#This Row],[promien]]&lt;40000,1,0)</f>
        <v>1</v>
      </c>
      <c r="E8666" s="1">
        <f>IF(Tabela1[[#This Row],[promien]]=40000,1,0)</f>
        <v>0</v>
      </c>
      <c r="F8666" s="1">
        <v>3.1396261250865449</v>
      </c>
      <c r="G8666" s="1">
        <v>1.9665285032481883E-3</v>
      </c>
    </row>
    <row r="8667" spans="1:7">
      <c r="A8667">
        <v>136</v>
      </c>
      <c r="B8667">
        <v>177</v>
      </c>
      <c r="C8667" s="1">
        <f>(Tabela1[[#This Row],[x]]-H$3)*(Tabela1[[#This Row],[x]]-H$3) +(Tabela1[[#This Row],[y]]-H$4)*(Tabela1[[#This Row],[y]]-H$4)</f>
        <v>4625</v>
      </c>
      <c r="D8667" s="1">
        <f>IF(Tabela1[[#This Row],[promien]]&lt;40000,1,0)</f>
        <v>1</v>
      </c>
      <c r="E8667" s="1">
        <f>IF(Tabela1[[#This Row],[promien]]=40000,1,0)</f>
        <v>0</v>
      </c>
      <c r="F8667" s="1">
        <v>3.1397253951771087</v>
      </c>
      <c r="G8667" s="1">
        <v>1.8672584126844249E-3</v>
      </c>
    </row>
    <row r="8668" spans="1:7">
      <c r="A8668">
        <v>59</v>
      </c>
      <c r="B8668">
        <v>43</v>
      </c>
      <c r="C8668" s="1">
        <f>(Tabela1[[#This Row],[x]]-H$3)*(Tabela1[[#This Row],[x]]-H$3) +(Tabela1[[#This Row],[y]]-H$4)*(Tabela1[[#This Row],[y]]-H$4)</f>
        <v>44530</v>
      </c>
      <c r="D8668" s="1">
        <f>IF(Tabela1[[#This Row],[promien]]&lt;40000,1,0)</f>
        <v>0</v>
      </c>
      <c r="E8668" s="1">
        <f>IF(Tabela1[[#This Row],[promien]]=40000,1,0)</f>
        <v>0</v>
      </c>
      <c r="F8668" s="1">
        <v>3.1393631748961699</v>
      </c>
      <c r="G8668" s="1">
        <v>2.2294786936232214E-3</v>
      </c>
    </row>
    <row r="8669" spans="1:7">
      <c r="A8669">
        <v>279</v>
      </c>
      <c r="B8669">
        <v>110</v>
      </c>
      <c r="C8669" s="1">
        <f>(Tabela1[[#This Row],[x]]-H$3)*(Tabela1[[#This Row],[x]]-H$3) +(Tabela1[[#This Row],[y]]-H$4)*(Tabela1[[#This Row],[y]]-H$4)</f>
        <v>14341</v>
      </c>
      <c r="D8669" s="1">
        <f>IF(Tabela1[[#This Row],[promien]]&lt;40000,1,0)</f>
        <v>1</v>
      </c>
      <c r="E8669" s="1">
        <f>IF(Tabela1[[#This Row],[promien]]=40000,1,0)</f>
        <v>0</v>
      </c>
      <c r="F8669" s="1">
        <v>3.139462452416657</v>
      </c>
      <c r="G8669" s="1">
        <v>2.1302011731361148E-3</v>
      </c>
    </row>
    <row r="8670" spans="1:7">
      <c r="A8670">
        <v>44</v>
      </c>
      <c r="B8670">
        <v>211</v>
      </c>
      <c r="C8670" s="1">
        <f>(Tabela1[[#This Row],[x]]-H$3)*(Tabela1[[#This Row],[x]]-H$3) +(Tabela1[[#This Row],[y]]-H$4)*(Tabela1[[#This Row],[y]]-H$4)</f>
        <v>24457</v>
      </c>
      <c r="D8670" s="1">
        <f>IF(Tabela1[[#This Row],[promien]]&lt;40000,1,0)</f>
        <v>1</v>
      </c>
      <c r="E8670" s="1">
        <f>IF(Tabela1[[#This Row],[promien]]=40000,1,0)</f>
        <v>0</v>
      </c>
      <c r="F8670" s="1">
        <v>3.1395617070357553</v>
      </c>
      <c r="G8670" s="1">
        <v>2.0309465540377936E-3</v>
      </c>
    </row>
    <row r="8671" spans="1:7">
      <c r="A8671">
        <v>124</v>
      </c>
      <c r="B8671">
        <v>102</v>
      </c>
      <c r="C8671" s="1">
        <f>(Tabela1[[#This Row],[x]]-H$3)*(Tabela1[[#This Row],[x]]-H$3) +(Tabela1[[#This Row],[y]]-H$4)*(Tabela1[[#This Row],[y]]-H$4)</f>
        <v>15380</v>
      </c>
      <c r="D8671" s="1">
        <f>IF(Tabela1[[#This Row],[promien]]&lt;40000,1,0)</f>
        <v>1</v>
      </c>
      <c r="E8671" s="1">
        <f>IF(Tabela1[[#This Row],[promien]]=40000,1,0)</f>
        <v>0</v>
      </c>
      <c r="F8671" s="1">
        <v>3.1396609387613887</v>
      </c>
      <c r="G8671" s="1">
        <v>1.9317148284043739E-3</v>
      </c>
    </row>
    <row r="8672" spans="1:7">
      <c r="A8672">
        <v>211</v>
      </c>
      <c r="B8672">
        <v>222</v>
      </c>
      <c r="C8672" s="1">
        <f>(Tabela1[[#This Row],[x]]-H$3)*(Tabela1[[#This Row],[x]]-H$3) +(Tabela1[[#This Row],[y]]-H$4)*(Tabela1[[#This Row],[y]]-H$4)</f>
        <v>605</v>
      </c>
      <c r="D8672" s="1">
        <f>IF(Tabela1[[#This Row],[promien]]&lt;40000,1,0)</f>
        <v>1</v>
      </c>
      <c r="E8672" s="1">
        <f>IF(Tabela1[[#This Row],[promien]]=40000,1,0)</f>
        <v>0</v>
      </c>
      <c r="F8672" s="1">
        <v>3.1397601476014758</v>
      </c>
      <c r="G8672" s="1">
        <v>1.8325059883173012E-3</v>
      </c>
    </row>
    <row r="8673" spans="1:7">
      <c r="A8673">
        <v>383</v>
      </c>
      <c r="B8673">
        <v>138</v>
      </c>
      <c r="C8673" s="1">
        <f>(Tabela1[[#This Row],[x]]-H$3)*(Tabela1[[#This Row],[x]]-H$3) +(Tabela1[[#This Row],[y]]-H$4)*(Tabela1[[#This Row],[y]]-H$4)</f>
        <v>37333</v>
      </c>
      <c r="D8673" s="1">
        <f>IF(Tabela1[[#This Row],[promien]]&lt;40000,1,0)</f>
        <v>1</v>
      </c>
      <c r="E8673" s="1">
        <f>IF(Tabela1[[#This Row],[promien]]=40000,1,0)</f>
        <v>0</v>
      </c>
      <c r="F8673" s="1">
        <v>3.1398593335639342</v>
      </c>
      <c r="G8673" s="1">
        <v>1.7333200258589088E-3</v>
      </c>
    </row>
    <row r="8674" spans="1:7">
      <c r="A8674">
        <v>58</v>
      </c>
      <c r="B8674">
        <v>279</v>
      </c>
      <c r="C8674" s="1">
        <f>(Tabela1[[#This Row],[x]]-H$3)*(Tabela1[[#This Row],[x]]-H$3) +(Tabela1[[#This Row],[y]]-H$4)*(Tabela1[[#This Row],[y]]-H$4)</f>
        <v>26405</v>
      </c>
      <c r="D8674" s="1">
        <f>IF(Tabela1[[#This Row],[promien]]&lt;40000,1,0)</f>
        <v>1</v>
      </c>
      <c r="E8674" s="1">
        <f>IF(Tabela1[[#This Row],[promien]]=40000,1,0)</f>
        <v>0</v>
      </c>
      <c r="F8674" s="1">
        <v>3.1399584966566749</v>
      </c>
      <c r="G8674" s="1">
        <v>1.6341569331181915E-3</v>
      </c>
    </row>
    <row r="8675" spans="1:7">
      <c r="A8675">
        <v>144</v>
      </c>
      <c r="B8675">
        <v>275</v>
      </c>
      <c r="C8675" s="1">
        <f>(Tabela1[[#This Row],[x]]-H$3)*(Tabela1[[#This Row],[x]]-H$3) +(Tabela1[[#This Row],[y]]-H$4)*(Tabela1[[#This Row],[y]]-H$4)</f>
        <v>8761</v>
      </c>
      <c r="D8675" s="1">
        <f>IF(Tabela1[[#This Row],[promien]]&lt;40000,1,0)</f>
        <v>1</v>
      </c>
      <c r="E8675" s="1">
        <f>IF(Tabela1[[#This Row],[promien]]=40000,1,0)</f>
        <v>0</v>
      </c>
      <c r="F8675" s="1">
        <v>3.1400576368876081</v>
      </c>
      <c r="G8675" s="1">
        <v>1.5350167021850325E-3</v>
      </c>
    </row>
    <row r="8676" spans="1:7">
      <c r="A8676">
        <v>316</v>
      </c>
      <c r="B8676">
        <v>367</v>
      </c>
      <c r="C8676" s="1">
        <f>(Tabela1[[#This Row],[x]]-H$3)*(Tabela1[[#This Row],[x]]-H$3) +(Tabela1[[#This Row],[y]]-H$4)*(Tabela1[[#This Row],[y]]-H$4)</f>
        <v>41345</v>
      </c>
      <c r="D8676" s="1">
        <f>IF(Tabela1[[#This Row],[promien]]&lt;40000,1,0)</f>
        <v>0</v>
      </c>
      <c r="E8676" s="1">
        <f>IF(Tabela1[[#This Row],[promien]]=40000,1,0)</f>
        <v>0</v>
      </c>
      <c r="F8676" s="1">
        <v>3.1396957123098201</v>
      </c>
      <c r="G8676" s="1">
        <v>1.8969412799729746E-3</v>
      </c>
    </row>
    <row r="8677" spans="1:7">
      <c r="A8677">
        <v>275</v>
      </c>
      <c r="B8677">
        <v>306</v>
      </c>
      <c r="C8677" s="1">
        <f>(Tabela1[[#This Row],[x]]-H$3)*(Tabela1[[#This Row],[x]]-H$3) +(Tabela1[[#This Row],[y]]-H$4)*(Tabela1[[#This Row],[y]]-H$4)</f>
        <v>16861</v>
      </c>
      <c r="D8677" s="1">
        <f>IF(Tabela1[[#This Row],[promien]]&lt;40000,1,0)</f>
        <v>1</v>
      </c>
      <c r="E8677" s="1">
        <f>IF(Tabela1[[#This Row],[promien]]=40000,1,0)</f>
        <v>0</v>
      </c>
      <c r="F8677" s="1">
        <v>3.1397948599746455</v>
      </c>
      <c r="G8677" s="1">
        <v>1.797793615147647E-3</v>
      </c>
    </row>
    <row r="8678" spans="1:7">
      <c r="A8678">
        <v>299</v>
      </c>
      <c r="B8678">
        <v>266</v>
      </c>
      <c r="C8678" s="1">
        <f>(Tabela1[[#This Row],[x]]-H$3)*(Tabela1[[#This Row],[x]]-H$3) +(Tabela1[[#This Row],[y]]-H$4)*(Tabela1[[#This Row],[y]]-H$4)</f>
        <v>14157</v>
      </c>
      <c r="D8678" s="1">
        <f>IF(Tabela1[[#This Row],[promien]]&lt;40000,1,0)</f>
        <v>1</v>
      </c>
      <c r="E8678" s="1">
        <f>IF(Tabela1[[#This Row],[promien]]=40000,1,0)</f>
        <v>0</v>
      </c>
      <c r="F8678" s="1">
        <v>3.1398939847891221</v>
      </c>
      <c r="G8678" s="1">
        <v>1.6986688006710438E-3</v>
      </c>
    </row>
    <row r="8679" spans="1:7">
      <c r="A8679">
        <v>336</v>
      </c>
      <c r="B8679">
        <v>142</v>
      </c>
      <c r="C8679" s="1">
        <f>(Tabela1[[#This Row],[x]]-H$3)*(Tabela1[[#This Row],[x]]-H$3) +(Tabela1[[#This Row],[y]]-H$4)*(Tabela1[[#This Row],[y]]-H$4)</f>
        <v>21860</v>
      </c>
      <c r="D8679" s="1">
        <f>IF(Tabela1[[#This Row],[promien]]&lt;40000,1,0)</f>
        <v>1</v>
      </c>
      <c r="E8679" s="1">
        <f>IF(Tabela1[[#This Row],[promien]]=40000,1,0)</f>
        <v>0</v>
      </c>
      <c r="F8679" s="1">
        <v>3.1399930867611476</v>
      </c>
      <c r="G8679" s="1">
        <v>1.5995668286454823E-3</v>
      </c>
    </row>
    <row r="8680" spans="1:7">
      <c r="A8680">
        <v>182</v>
      </c>
      <c r="B8680">
        <v>103</v>
      </c>
      <c r="C8680" s="1">
        <f>(Tabela1[[#This Row],[x]]-H$3)*(Tabela1[[#This Row],[x]]-H$3) +(Tabela1[[#This Row],[y]]-H$4)*(Tabela1[[#This Row],[y]]-H$4)</f>
        <v>9733</v>
      </c>
      <c r="D8680" s="1">
        <f>IF(Tabela1[[#This Row],[promien]]&lt;40000,1,0)</f>
        <v>1</v>
      </c>
      <c r="E8680" s="1">
        <f>IF(Tabela1[[#This Row],[promien]]=40000,1,0)</f>
        <v>0</v>
      </c>
      <c r="F8680" s="1">
        <v>3.1400921658986176</v>
      </c>
      <c r="G8680" s="1">
        <v>1.5004876911755005E-3</v>
      </c>
    </row>
    <row r="8681" spans="1:7">
      <c r="A8681">
        <v>397</v>
      </c>
      <c r="B8681">
        <v>195</v>
      </c>
      <c r="C8681" s="1">
        <f>(Tabela1[[#This Row],[x]]-H$3)*(Tabela1[[#This Row],[x]]-H$3) +(Tabela1[[#This Row],[y]]-H$4)*(Tabela1[[#This Row],[y]]-H$4)</f>
        <v>38834</v>
      </c>
      <c r="D8681" s="1">
        <f>IF(Tabela1[[#This Row],[promien]]&lt;40000,1,0)</f>
        <v>1</v>
      </c>
      <c r="E8681" s="1">
        <f>IF(Tabela1[[#This Row],[promien]]=40000,1,0)</f>
        <v>0</v>
      </c>
      <c r="F8681" s="1">
        <v>3.140191222209423</v>
      </c>
      <c r="G8681" s="1">
        <v>1.4014313803700773E-3</v>
      </c>
    </row>
    <row r="8682" spans="1:7">
      <c r="A8682">
        <v>139</v>
      </c>
      <c r="B8682">
        <v>55</v>
      </c>
      <c r="C8682" s="1">
        <f>(Tabela1[[#This Row],[x]]-H$3)*(Tabela1[[#This Row],[x]]-H$3) +(Tabela1[[#This Row],[y]]-H$4)*(Tabela1[[#This Row],[y]]-H$4)</f>
        <v>24746</v>
      </c>
      <c r="D8682" s="1">
        <f>IF(Tabela1[[#This Row],[promien]]&lt;40000,1,0)</f>
        <v>1</v>
      </c>
      <c r="E8682" s="1">
        <f>IF(Tabela1[[#This Row],[promien]]=40000,1,0)</f>
        <v>0</v>
      </c>
      <c r="F8682" s="1">
        <v>3.1402902557014514</v>
      </c>
      <c r="G8682" s="1">
        <v>1.3023978883417442E-3</v>
      </c>
    </row>
    <row r="8683" spans="1:7">
      <c r="A8683">
        <v>296</v>
      </c>
      <c r="B8683">
        <v>138</v>
      </c>
      <c r="C8683" s="1">
        <f>(Tabela1[[#This Row],[x]]-H$3)*(Tabela1[[#This Row],[x]]-H$3) +(Tabela1[[#This Row],[y]]-H$4)*(Tabela1[[#This Row],[y]]-H$4)</f>
        <v>13060</v>
      </c>
      <c r="D8683" s="1">
        <f>IF(Tabela1[[#This Row],[promien]]&lt;40000,1,0)</f>
        <v>1</v>
      </c>
      <c r="E8683" s="1">
        <f>IF(Tabela1[[#This Row],[promien]]=40000,1,0)</f>
        <v>0</v>
      </c>
      <c r="F8683" s="1">
        <v>3.1403892663825865</v>
      </c>
      <c r="G8683" s="1">
        <v>1.2033872072065854E-3</v>
      </c>
    </row>
    <row r="8684" spans="1:7">
      <c r="A8684">
        <v>240</v>
      </c>
      <c r="B8684">
        <v>155</v>
      </c>
      <c r="C8684" s="1">
        <f>(Tabela1[[#This Row],[x]]-H$3)*(Tabela1[[#This Row],[x]]-H$3) +(Tabela1[[#This Row],[y]]-H$4)*(Tabela1[[#This Row],[y]]-H$4)</f>
        <v>3625</v>
      </c>
      <c r="D8684" s="1">
        <f>IF(Tabela1[[#This Row],[promien]]&lt;40000,1,0)</f>
        <v>1</v>
      </c>
      <c r="E8684" s="1">
        <f>IF(Tabela1[[#This Row],[promien]]=40000,1,0)</f>
        <v>0</v>
      </c>
      <c r="F8684" s="1">
        <v>3.1404882542607093</v>
      </c>
      <c r="G8684" s="1">
        <v>1.1043993290837939E-3</v>
      </c>
    </row>
    <row r="8685" spans="1:7">
      <c r="A8685">
        <v>394</v>
      </c>
      <c r="B8685">
        <v>63</v>
      </c>
      <c r="C8685" s="1">
        <f>(Tabela1[[#This Row],[x]]-H$3)*(Tabela1[[#This Row],[x]]-H$3) +(Tabela1[[#This Row],[y]]-H$4)*(Tabela1[[#This Row],[y]]-H$4)</f>
        <v>56405</v>
      </c>
      <c r="D8685" s="1">
        <f>IF(Tabela1[[#This Row],[promien]]&lt;40000,1,0)</f>
        <v>0</v>
      </c>
      <c r="E8685" s="1">
        <f>IF(Tabela1[[#This Row],[promien]]=40000,1,0)</f>
        <v>0</v>
      </c>
      <c r="F8685" s="1">
        <v>3.140126655152562</v>
      </c>
      <c r="G8685" s="1">
        <v>1.4659984372311641E-3</v>
      </c>
    </row>
    <row r="8686" spans="1:7">
      <c r="A8686">
        <v>213</v>
      </c>
      <c r="B8686">
        <v>106</v>
      </c>
      <c r="C8686" s="1">
        <f>(Tabela1[[#This Row],[x]]-H$3)*(Tabela1[[#This Row],[x]]-H$3) +(Tabela1[[#This Row],[y]]-H$4)*(Tabela1[[#This Row],[y]]-H$4)</f>
        <v>9005</v>
      </c>
      <c r="D8686" s="1">
        <f>IF(Tabela1[[#This Row],[promien]]&lt;40000,1,0)</f>
        <v>1</v>
      </c>
      <c r="E8686" s="1">
        <f>IF(Tabela1[[#This Row],[promien]]=40000,1,0)</f>
        <v>0</v>
      </c>
      <c r="F8686" s="1">
        <v>3.1402256504720238</v>
      </c>
      <c r="G8686" s="1">
        <v>1.3670031177692721E-3</v>
      </c>
    </row>
    <row r="8687" spans="1:7">
      <c r="A8687">
        <v>309</v>
      </c>
      <c r="B8687">
        <v>300</v>
      </c>
      <c r="C8687" s="1">
        <f>(Tabela1[[#This Row],[x]]-H$3)*(Tabela1[[#This Row],[x]]-H$3) +(Tabela1[[#This Row],[y]]-H$4)*(Tabela1[[#This Row],[y]]-H$4)</f>
        <v>21881</v>
      </c>
      <c r="D8687" s="1">
        <f>IF(Tabela1[[#This Row],[promien]]&lt;40000,1,0)</f>
        <v>1</v>
      </c>
      <c r="E8687" s="1">
        <f>IF(Tabela1[[#This Row],[promien]]=40000,1,0)</f>
        <v>0</v>
      </c>
      <c r="F8687" s="1">
        <v>3.1403246229998847</v>
      </c>
      <c r="G8687" s="1">
        <v>1.268030589908431E-3</v>
      </c>
    </row>
    <row r="8688" spans="1:7">
      <c r="A8688">
        <v>326</v>
      </c>
      <c r="B8688">
        <v>147</v>
      </c>
      <c r="C8688" s="1">
        <f>(Tabela1[[#This Row],[x]]-H$3)*(Tabela1[[#This Row],[x]]-H$3) +(Tabela1[[#This Row],[y]]-H$4)*(Tabela1[[#This Row],[y]]-H$4)</f>
        <v>18685</v>
      </c>
      <c r="D8688" s="1">
        <f>IF(Tabela1[[#This Row],[promien]]&lt;40000,1,0)</f>
        <v>1</v>
      </c>
      <c r="E8688" s="1">
        <f>IF(Tabela1[[#This Row],[promien]]=40000,1,0)</f>
        <v>0</v>
      </c>
      <c r="F8688" s="1">
        <v>3.1404235727440146</v>
      </c>
      <c r="G8688" s="1">
        <v>1.1690808457784918E-3</v>
      </c>
    </row>
    <row r="8689" spans="1:7">
      <c r="A8689">
        <v>125</v>
      </c>
      <c r="B8689">
        <v>360</v>
      </c>
      <c r="C8689" s="1">
        <f>(Tabela1[[#This Row],[x]]-H$3)*(Tabela1[[#This Row],[x]]-H$3) +(Tabela1[[#This Row],[y]]-H$4)*(Tabela1[[#This Row],[y]]-H$4)</f>
        <v>31225</v>
      </c>
      <c r="D8689" s="1">
        <f>IF(Tabela1[[#This Row],[promien]]&lt;40000,1,0)</f>
        <v>1</v>
      </c>
      <c r="E8689" s="1">
        <f>IF(Tabela1[[#This Row],[promien]]=40000,1,0)</f>
        <v>0</v>
      </c>
      <c r="F8689" s="1">
        <v>3.1405224997122798</v>
      </c>
      <c r="G8689" s="1">
        <v>1.0701538775133024E-3</v>
      </c>
    </row>
    <row r="8690" spans="1:7">
      <c r="A8690">
        <v>255</v>
      </c>
      <c r="B8690">
        <v>55</v>
      </c>
      <c r="C8690" s="1">
        <f>(Tabela1[[#This Row],[x]]-H$3)*(Tabela1[[#This Row],[x]]-H$3) +(Tabela1[[#This Row],[y]]-H$4)*(Tabela1[[#This Row],[y]]-H$4)</f>
        <v>24050</v>
      </c>
      <c r="D8690" s="1">
        <f>IF(Tabela1[[#This Row],[promien]]&lt;40000,1,0)</f>
        <v>1</v>
      </c>
      <c r="E8690" s="1">
        <f>IF(Tabela1[[#This Row],[promien]]=40000,1,0)</f>
        <v>0</v>
      </c>
      <c r="F8690" s="1">
        <v>3.1406214039125433</v>
      </c>
      <c r="G8690" s="1">
        <v>9.7124967724981914E-4</v>
      </c>
    </row>
    <row r="8691" spans="1:7">
      <c r="A8691">
        <v>130</v>
      </c>
      <c r="B8691">
        <v>211</v>
      </c>
      <c r="C8691" s="1">
        <f>(Tabela1[[#This Row],[x]]-H$3)*(Tabela1[[#This Row],[x]]-H$3) +(Tabela1[[#This Row],[y]]-H$4)*(Tabela1[[#This Row],[y]]-H$4)</f>
        <v>5021</v>
      </c>
      <c r="D8691" s="1">
        <f>IF(Tabela1[[#This Row],[promien]]&lt;40000,1,0)</f>
        <v>1</v>
      </c>
      <c r="E8691" s="1">
        <f>IF(Tabela1[[#This Row],[promien]]=40000,1,0)</f>
        <v>0</v>
      </c>
      <c r="F8691" s="1">
        <v>3.1407202853526637</v>
      </c>
      <c r="G8691" s="1">
        <v>8.7236823712943945E-4</v>
      </c>
    </row>
    <row r="8692" spans="1:7">
      <c r="A8692">
        <v>255</v>
      </c>
      <c r="B8692">
        <v>286</v>
      </c>
      <c r="C8692" s="1">
        <f>(Tabela1[[#This Row],[x]]-H$3)*(Tabela1[[#This Row],[x]]-H$3) +(Tabela1[[#This Row],[y]]-H$4)*(Tabela1[[#This Row],[y]]-H$4)</f>
        <v>10421</v>
      </c>
      <c r="D8692" s="1">
        <f>IF(Tabela1[[#This Row],[promien]]&lt;40000,1,0)</f>
        <v>1</v>
      </c>
      <c r="E8692" s="1">
        <f>IF(Tabela1[[#This Row],[promien]]=40000,1,0)</f>
        <v>0</v>
      </c>
      <c r="F8692" s="1">
        <v>3.1408191440404969</v>
      </c>
      <c r="G8692" s="1">
        <v>7.7350954929622517E-4</v>
      </c>
    </row>
    <row r="8693" spans="1:7">
      <c r="A8693">
        <v>242</v>
      </c>
      <c r="B8693">
        <v>286</v>
      </c>
      <c r="C8693" s="1">
        <f>(Tabela1[[#This Row],[x]]-H$3)*(Tabela1[[#This Row],[x]]-H$3) +(Tabela1[[#This Row],[y]]-H$4)*(Tabela1[[#This Row],[y]]-H$4)</f>
        <v>9160</v>
      </c>
      <c r="D8693" s="1">
        <f>IF(Tabela1[[#This Row],[promien]]&lt;40000,1,0)</f>
        <v>1</v>
      </c>
      <c r="E8693" s="1">
        <f>IF(Tabela1[[#This Row],[promien]]=40000,1,0)</f>
        <v>0</v>
      </c>
      <c r="F8693" s="1">
        <v>3.1409179799838949</v>
      </c>
      <c r="G8693" s="1">
        <v>6.74673605898235E-4</v>
      </c>
    </row>
    <row r="8694" spans="1:7">
      <c r="A8694">
        <v>96</v>
      </c>
      <c r="B8694">
        <v>212</v>
      </c>
      <c r="C8694" s="1">
        <f>(Tabela1[[#This Row],[x]]-H$3)*(Tabela1[[#This Row],[x]]-H$3) +(Tabela1[[#This Row],[y]]-H$4)*(Tabela1[[#This Row],[y]]-H$4)</f>
        <v>10960</v>
      </c>
      <c r="D8694" s="1">
        <f>IF(Tabela1[[#This Row],[promien]]&lt;40000,1,0)</f>
        <v>1</v>
      </c>
      <c r="E8694" s="1">
        <f>IF(Tabela1[[#This Row],[promien]]=40000,1,0)</f>
        <v>0</v>
      </c>
      <c r="F8694" s="1">
        <v>3.141016793190706</v>
      </c>
      <c r="G8694" s="1">
        <v>5.7586039908708031E-4</v>
      </c>
    </row>
    <row r="8695" spans="1:7">
      <c r="A8695">
        <v>230</v>
      </c>
      <c r="B8695">
        <v>282</v>
      </c>
      <c r="C8695" s="1">
        <f>(Tabela1[[#This Row],[x]]-H$3)*(Tabela1[[#This Row],[x]]-H$3) +(Tabela1[[#This Row],[y]]-H$4)*(Tabela1[[#This Row],[y]]-H$4)</f>
        <v>7624</v>
      </c>
      <c r="D8695" s="1">
        <f>IF(Tabela1[[#This Row],[promien]]&lt;40000,1,0)</f>
        <v>1</v>
      </c>
      <c r="E8695" s="1">
        <f>IF(Tabela1[[#This Row],[promien]]=40000,1,0)</f>
        <v>0</v>
      </c>
      <c r="F8695" s="1">
        <v>3.1411155836687752</v>
      </c>
      <c r="G8695" s="1">
        <v>4.7706992101792522E-4</v>
      </c>
    </row>
    <row r="8696" spans="1:7">
      <c r="A8696">
        <v>375</v>
      </c>
      <c r="B8696">
        <v>320</v>
      </c>
      <c r="C8696" s="1">
        <f>(Tabela1[[#This Row],[x]]-H$3)*(Tabela1[[#This Row],[x]]-H$3) +(Tabela1[[#This Row],[y]]-H$4)*(Tabela1[[#This Row],[y]]-H$4)</f>
        <v>45025</v>
      </c>
      <c r="D8696" s="1">
        <f>IF(Tabela1[[#This Row],[promien]]&lt;40000,1,0)</f>
        <v>0</v>
      </c>
      <c r="E8696" s="1">
        <f>IF(Tabela1[[#This Row],[promien]]=40000,1,0)</f>
        <v>0</v>
      </c>
      <c r="F8696" s="1">
        <v>3.1407543698252072</v>
      </c>
      <c r="G8696" s="1">
        <v>8.3828376458594533E-4</v>
      </c>
    </row>
    <row r="8697" spans="1:7">
      <c r="A8697">
        <v>270</v>
      </c>
      <c r="B8697">
        <v>246</v>
      </c>
      <c r="C8697" s="1">
        <f>(Tabela1[[#This Row],[x]]-H$3)*(Tabela1[[#This Row],[x]]-H$3) +(Tabela1[[#This Row],[y]]-H$4)*(Tabela1[[#This Row],[y]]-H$4)</f>
        <v>7016</v>
      </c>
      <c r="D8697" s="1">
        <f>IF(Tabela1[[#This Row],[promien]]&lt;40000,1,0)</f>
        <v>1</v>
      </c>
      <c r="E8697" s="1">
        <f>IF(Tabela1[[#This Row],[promien]]=40000,1,0)</f>
        <v>0</v>
      </c>
      <c r="F8697" s="1">
        <v>3.1408531677589973</v>
      </c>
      <c r="G8697" s="1">
        <v>7.3948583079586072E-4</v>
      </c>
    </row>
    <row r="8698" spans="1:7">
      <c r="A8698">
        <v>7</v>
      </c>
      <c r="B8698">
        <v>225</v>
      </c>
      <c r="C8698" s="1">
        <f>(Tabela1[[#This Row],[x]]-H$3)*(Tabela1[[#This Row],[x]]-H$3) +(Tabela1[[#This Row],[y]]-H$4)*(Tabela1[[#This Row],[y]]-H$4)</f>
        <v>37874</v>
      </c>
      <c r="D8698" s="1">
        <f>IF(Tabela1[[#This Row],[promien]]&lt;40000,1,0)</f>
        <v>1</v>
      </c>
      <c r="E8698" s="1">
        <f>IF(Tabela1[[#This Row],[promien]]=40000,1,0)</f>
        <v>0</v>
      </c>
      <c r="F8698" s="1">
        <v>3.1409519429753967</v>
      </c>
      <c r="G8698" s="1">
        <v>6.4071061439641142E-4</v>
      </c>
    </row>
    <row r="8699" spans="1:7">
      <c r="A8699">
        <v>80</v>
      </c>
      <c r="B8699">
        <v>71</v>
      </c>
      <c r="C8699" s="1">
        <f>(Tabela1[[#This Row],[x]]-H$3)*(Tabela1[[#This Row],[x]]-H$3) +(Tabela1[[#This Row],[y]]-H$4)*(Tabela1[[#This Row],[y]]-H$4)</f>
        <v>31041</v>
      </c>
      <c r="D8699" s="1">
        <f>IF(Tabela1[[#This Row],[promien]]&lt;40000,1,0)</f>
        <v>1</v>
      </c>
      <c r="E8699" s="1">
        <f>IF(Tabela1[[#This Row],[promien]]=40000,1,0)</f>
        <v>0</v>
      </c>
      <c r="F8699" s="1">
        <v>3.1410506954822393</v>
      </c>
      <c r="G8699" s="1">
        <v>5.4195810755386375E-4</v>
      </c>
    </row>
    <row r="8700" spans="1:7">
      <c r="A8700">
        <v>252</v>
      </c>
      <c r="B8700">
        <v>343</v>
      </c>
      <c r="C8700" s="1">
        <f>(Tabela1[[#This Row],[x]]-H$3)*(Tabela1[[#This Row],[x]]-H$3) +(Tabela1[[#This Row],[y]]-H$4)*(Tabela1[[#This Row],[y]]-H$4)</f>
        <v>23153</v>
      </c>
      <c r="D8700" s="1">
        <f>IF(Tabela1[[#This Row],[promien]]&lt;40000,1,0)</f>
        <v>1</v>
      </c>
      <c r="E8700" s="1">
        <f>IF(Tabela1[[#This Row],[promien]]=40000,1,0)</f>
        <v>0</v>
      </c>
      <c r="F8700" s="1">
        <v>3.1411494252873564</v>
      </c>
      <c r="G8700" s="1">
        <v>4.4322830243670452E-4</v>
      </c>
    </row>
    <row r="8701" spans="1:7">
      <c r="A8701">
        <v>289</v>
      </c>
      <c r="B8701">
        <v>50</v>
      </c>
      <c r="C8701" s="1">
        <f>(Tabela1[[#This Row],[x]]-H$3)*(Tabela1[[#This Row],[x]]-H$3) +(Tabela1[[#This Row],[y]]-H$4)*(Tabela1[[#This Row],[y]]-H$4)</f>
        <v>30421</v>
      </c>
      <c r="D8701" s="1">
        <f>IF(Tabela1[[#This Row],[promien]]&lt;40000,1,0)</f>
        <v>1</v>
      </c>
      <c r="E8701" s="1">
        <f>IF(Tabela1[[#This Row],[promien]]=40000,1,0)</f>
        <v>0</v>
      </c>
      <c r="F8701" s="1">
        <v>3.1412481323985748</v>
      </c>
      <c r="G8701" s="1">
        <v>3.4452119121830549E-4</v>
      </c>
    </row>
    <row r="8702" spans="1:7">
      <c r="A8702">
        <v>218</v>
      </c>
      <c r="B8702">
        <v>374</v>
      </c>
      <c r="C8702" s="1">
        <f>(Tabela1[[#This Row],[x]]-H$3)*(Tabela1[[#This Row],[x]]-H$3) +(Tabela1[[#This Row],[y]]-H$4)*(Tabela1[[#This Row],[y]]-H$4)</f>
        <v>30600</v>
      </c>
      <c r="D8702" s="1">
        <f>IF(Tabela1[[#This Row],[promien]]&lt;40000,1,0)</f>
        <v>1</v>
      </c>
      <c r="E8702" s="1">
        <f>IF(Tabela1[[#This Row],[promien]]=40000,1,0)</f>
        <v>0</v>
      </c>
      <c r="F8702" s="1">
        <v>3.1413468168237189</v>
      </c>
      <c r="G8702" s="1">
        <v>2.4583676607425886E-4</v>
      </c>
    </row>
    <row r="8703" spans="1:7">
      <c r="A8703">
        <v>183</v>
      </c>
      <c r="B8703">
        <v>329</v>
      </c>
      <c r="C8703" s="1">
        <f>(Tabela1[[#This Row],[x]]-H$3)*(Tabela1[[#This Row],[x]]-H$3) +(Tabela1[[#This Row],[y]]-H$4)*(Tabela1[[#This Row],[y]]-H$4)</f>
        <v>16930</v>
      </c>
      <c r="D8703" s="1">
        <f>IF(Tabela1[[#This Row],[promien]]&lt;40000,1,0)</f>
        <v>1</v>
      </c>
      <c r="E8703" s="1">
        <f>IF(Tabela1[[#This Row],[promien]]=40000,1,0)</f>
        <v>0</v>
      </c>
      <c r="F8703" s="1">
        <v>3.1414454785706076</v>
      </c>
      <c r="G8703" s="1">
        <v>1.4717501918548592E-4</v>
      </c>
    </row>
    <row r="8704" spans="1:7">
      <c r="A8704">
        <v>284</v>
      </c>
      <c r="B8704">
        <v>244</v>
      </c>
      <c r="C8704" s="1">
        <f>(Tabela1[[#This Row],[x]]-H$3)*(Tabela1[[#This Row],[x]]-H$3) +(Tabela1[[#This Row],[y]]-H$4)*(Tabela1[[#This Row],[y]]-H$4)</f>
        <v>8992</v>
      </c>
      <c r="D8704" s="1">
        <f>IF(Tabela1[[#This Row],[promien]]&lt;40000,1,0)</f>
        <v>1</v>
      </c>
      <c r="E8704" s="1">
        <f>IF(Tabela1[[#This Row],[promien]]=40000,1,0)</f>
        <v>0</v>
      </c>
      <c r="F8704" s="1">
        <v>3.1415441176470589</v>
      </c>
      <c r="G8704" s="1">
        <v>4.8535942734240223E-5</v>
      </c>
    </row>
    <row r="8705" spans="1:7">
      <c r="A8705">
        <v>240</v>
      </c>
      <c r="B8705">
        <v>339</v>
      </c>
      <c r="C8705" s="1">
        <f>(Tabela1[[#This Row],[x]]-H$3)*(Tabela1[[#This Row],[x]]-H$3) +(Tabela1[[#This Row],[y]]-H$4)*(Tabela1[[#This Row],[y]]-H$4)</f>
        <v>20921</v>
      </c>
      <c r="D8705" s="1">
        <f>IF(Tabela1[[#This Row],[promien]]&lt;40000,1,0)</f>
        <v>1</v>
      </c>
      <c r="E8705" s="1">
        <f>IF(Tabela1[[#This Row],[promien]]=40000,1,0)</f>
        <v>0</v>
      </c>
      <c r="F8705" s="1">
        <v>3.1416427340608846</v>
      </c>
      <c r="G8705" s="1">
        <v>5.0080471091451528E-5</v>
      </c>
    </row>
    <row r="8706" spans="1:7">
      <c r="A8706">
        <v>19</v>
      </c>
      <c r="B8706">
        <v>179</v>
      </c>
      <c r="C8706" s="1">
        <f>(Tabela1[[#This Row],[x]]-H$3)*(Tabela1[[#This Row],[x]]-H$3) +(Tabela1[[#This Row],[y]]-H$4)*(Tabela1[[#This Row],[y]]-H$4)</f>
        <v>33202</v>
      </c>
      <c r="D8706" s="1">
        <f>IF(Tabela1[[#This Row],[promien]]&lt;40000,1,0)</f>
        <v>1</v>
      </c>
      <c r="E8706" s="1">
        <f>IF(Tabela1[[#This Row],[promien]]=40000,1,0)</f>
        <v>0</v>
      </c>
      <c r="F8706" s="1">
        <v>3.1417413278198945</v>
      </c>
      <c r="G8706" s="1">
        <v>1.4867423010134218E-4</v>
      </c>
    </row>
    <row r="8707" spans="1:7">
      <c r="A8707">
        <v>221</v>
      </c>
      <c r="B8707">
        <v>388</v>
      </c>
      <c r="C8707" s="1">
        <f>(Tabela1[[#This Row],[x]]-H$3)*(Tabela1[[#This Row],[x]]-H$3) +(Tabela1[[#This Row],[y]]-H$4)*(Tabela1[[#This Row],[y]]-H$4)</f>
        <v>35785</v>
      </c>
      <c r="D8707" s="1">
        <f>IF(Tabela1[[#This Row],[promien]]&lt;40000,1,0)</f>
        <v>1</v>
      </c>
      <c r="E8707" s="1">
        <f>IF(Tabela1[[#This Row],[promien]]=40000,1,0)</f>
        <v>0</v>
      </c>
      <c r="F8707" s="1">
        <v>3.1418398989318939</v>
      </c>
      <c r="G8707" s="1">
        <v>2.4724534210074367E-4</v>
      </c>
    </row>
    <row r="8708" spans="1:7">
      <c r="A8708">
        <v>316</v>
      </c>
      <c r="B8708">
        <v>273</v>
      </c>
      <c r="C8708" s="1">
        <f>(Tabela1[[#This Row],[x]]-H$3)*(Tabela1[[#This Row],[x]]-H$3) +(Tabela1[[#This Row],[y]]-H$4)*(Tabela1[[#This Row],[y]]-H$4)</f>
        <v>18785</v>
      </c>
      <c r="D8708" s="1">
        <f>IF(Tabela1[[#This Row],[promien]]&lt;40000,1,0)</f>
        <v>1</v>
      </c>
      <c r="E8708" s="1">
        <f>IF(Tabela1[[#This Row],[promien]]=40000,1,0)</f>
        <v>0</v>
      </c>
      <c r="F8708" s="1">
        <v>3.1419384474046854</v>
      </c>
      <c r="G8708" s="1">
        <v>3.4579381489230343E-4</v>
      </c>
    </row>
    <row r="8709" spans="1:7">
      <c r="A8709">
        <v>226</v>
      </c>
      <c r="B8709">
        <v>172</v>
      </c>
      <c r="C8709" s="1">
        <f>(Tabela1[[#This Row],[x]]-H$3)*(Tabela1[[#This Row],[x]]-H$3) +(Tabela1[[#This Row],[y]]-H$4)*(Tabela1[[#This Row],[y]]-H$4)</f>
        <v>1460</v>
      </c>
      <c r="D8709" s="1">
        <f>IF(Tabela1[[#This Row],[promien]]&lt;40000,1,0)</f>
        <v>1</v>
      </c>
      <c r="E8709" s="1">
        <f>IF(Tabela1[[#This Row],[promien]]=40000,1,0)</f>
        <v>0</v>
      </c>
      <c r="F8709" s="1">
        <v>3.1420369732460673</v>
      </c>
      <c r="G8709" s="1">
        <v>4.4431965627422798E-4</v>
      </c>
    </row>
    <row r="8710" spans="1:7">
      <c r="A8710">
        <v>53</v>
      </c>
      <c r="B8710">
        <v>215</v>
      </c>
      <c r="C8710" s="1">
        <f>(Tabela1[[#This Row],[x]]-H$3)*(Tabela1[[#This Row],[x]]-H$3) +(Tabela1[[#This Row],[y]]-H$4)*(Tabela1[[#This Row],[y]]-H$4)</f>
        <v>21834</v>
      </c>
      <c r="D8710" s="1">
        <f>IF(Tabela1[[#This Row],[promien]]&lt;40000,1,0)</f>
        <v>1</v>
      </c>
      <c r="E8710" s="1">
        <f>IF(Tabela1[[#This Row],[promien]]=40000,1,0)</f>
        <v>0</v>
      </c>
      <c r="F8710" s="1">
        <v>3.1421354764638347</v>
      </c>
      <c r="G8710" s="1">
        <v>5.4282287404161522E-4</v>
      </c>
    </row>
    <row r="8711" spans="1:7">
      <c r="A8711">
        <v>54</v>
      </c>
      <c r="B8711">
        <v>292</v>
      </c>
      <c r="C8711" s="1">
        <f>(Tabela1[[#This Row],[x]]-H$3)*(Tabela1[[#This Row],[x]]-H$3) +(Tabela1[[#This Row],[y]]-H$4)*(Tabela1[[#This Row],[y]]-H$4)</f>
        <v>29780</v>
      </c>
      <c r="D8711" s="1">
        <f>IF(Tabela1[[#This Row],[promien]]&lt;40000,1,0)</f>
        <v>1</v>
      </c>
      <c r="E8711" s="1">
        <f>IF(Tabela1[[#This Row],[promien]]=40000,1,0)</f>
        <v>0</v>
      </c>
      <c r="F8711" s="1">
        <v>3.1422339570657787</v>
      </c>
      <c r="G8711" s="1">
        <v>6.4130347598556625E-4</v>
      </c>
    </row>
    <row r="8712" spans="1:7">
      <c r="A8712">
        <v>310</v>
      </c>
      <c r="B8712">
        <v>308</v>
      </c>
      <c r="C8712" s="1">
        <f>(Tabela1[[#This Row],[x]]-H$3)*(Tabela1[[#This Row],[x]]-H$3) +(Tabela1[[#This Row],[y]]-H$4)*(Tabela1[[#This Row],[y]]-H$4)</f>
        <v>23764</v>
      </c>
      <c r="D8712" s="1">
        <f>IF(Tabela1[[#This Row],[promien]]&lt;40000,1,0)</f>
        <v>1</v>
      </c>
      <c r="E8712" s="1">
        <f>IF(Tabela1[[#This Row],[promien]]=40000,1,0)</f>
        <v>0</v>
      </c>
      <c r="F8712" s="1">
        <v>3.1423324150596876</v>
      </c>
      <c r="G8712" s="1">
        <v>7.3976146989451763E-4</v>
      </c>
    </row>
    <row r="8713" spans="1:7">
      <c r="A8713">
        <v>263</v>
      </c>
      <c r="B8713">
        <v>61</v>
      </c>
      <c r="C8713" s="1">
        <f>(Tabela1[[#This Row],[x]]-H$3)*(Tabela1[[#This Row],[x]]-H$3) +(Tabela1[[#This Row],[y]]-H$4)*(Tabela1[[#This Row],[y]]-H$4)</f>
        <v>23290</v>
      </c>
      <c r="D8713" s="1">
        <f>IF(Tabela1[[#This Row],[promien]]&lt;40000,1,0)</f>
        <v>1</v>
      </c>
      <c r="E8713" s="1">
        <f>IF(Tabela1[[#This Row],[promien]]=40000,1,0)</f>
        <v>0</v>
      </c>
      <c r="F8713" s="1">
        <v>3.1424308504533456</v>
      </c>
      <c r="G8713" s="1">
        <v>8.3819686355246503E-4</v>
      </c>
    </row>
    <row r="8714" spans="1:7">
      <c r="A8714">
        <v>105</v>
      </c>
      <c r="B8714">
        <v>278</v>
      </c>
      <c r="C8714" s="1">
        <f>(Tabela1[[#This Row],[x]]-H$3)*(Tabela1[[#This Row],[x]]-H$3) +(Tabela1[[#This Row],[y]]-H$4)*(Tabela1[[#This Row],[y]]-H$4)</f>
        <v>15109</v>
      </c>
      <c r="D8714" s="1">
        <f>IF(Tabela1[[#This Row],[promien]]&lt;40000,1,0)</f>
        <v>1</v>
      </c>
      <c r="E8714" s="1">
        <f>IF(Tabela1[[#This Row],[promien]]=40000,1,0)</f>
        <v>0</v>
      </c>
      <c r="F8714" s="1">
        <v>3.142529263254533</v>
      </c>
      <c r="G8714" s="1">
        <v>9.3660966473985141E-4</v>
      </c>
    </row>
    <row r="8715" spans="1:7">
      <c r="A8715">
        <v>87</v>
      </c>
      <c r="B8715">
        <v>51</v>
      </c>
      <c r="C8715" s="1">
        <f>(Tabela1[[#This Row],[x]]-H$3)*(Tabela1[[#This Row],[x]]-H$3) +(Tabela1[[#This Row],[y]]-H$4)*(Tabela1[[#This Row],[y]]-H$4)</f>
        <v>34970</v>
      </c>
      <c r="D8715" s="1">
        <f>IF(Tabela1[[#This Row],[promien]]&lt;40000,1,0)</f>
        <v>1</v>
      </c>
      <c r="E8715" s="1">
        <f>IF(Tabela1[[#This Row],[promien]]=40000,1,0)</f>
        <v>0</v>
      </c>
      <c r="F8715" s="1">
        <v>3.1426276534710271</v>
      </c>
      <c r="G8715" s="1">
        <v>1.0349998812340111E-3</v>
      </c>
    </row>
    <row r="8716" spans="1:7">
      <c r="A8716">
        <v>319</v>
      </c>
      <c r="B8716">
        <v>141</v>
      </c>
      <c r="C8716" s="1">
        <f>(Tabela1[[#This Row],[x]]-H$3)*(Tabela1[[#This Row],[x]]-H$3) +(Tabela1[[#This Row],[y]]-H$4)*(Tabela1[[#This Row],[y]]-H$4)</f>
        <v>17642</v>
      </c>
      <c r="D8716" s="1">
        <f>IF(Tabela1[[#This Row],[promien]]&lt;40000,1,0)</f>
        <v>1</v>
      </c>
      <c r="E8716" s="1">
        <f>IF(Tabela1[[#This Row],[promien]]=40000,1,0)</f>
        <v>0</v>
      </c>
      <c r="F8716" s="1">
        <v>3.1427260211106014</v>
      </c>
      <c r="G8716" s="1">
        <v>1.1333675208082816E-3</v>
      </c>
    </row>
    <row r="8717" spans="1:7">
      <c r="A8717">
        <v>319</v>
      </c>
      <c r="B8717">
        <v>198</v>
      </c>
      <c r="C8717" s="1">
        <f>(Tabela1[[#This Row],[x]]-H$3)*(Tabela1[[#This Row],[x]]-H$3) +(Tabela1[[#This Row],[y]]-H$4)*(Tabela1[[#This Row],[y]]-H$4)</f>
        <v>14165</v>
      </c>
      <c r="D8717" s="1">
        <f>IF(Tabela1[[#This Row],[promien]]&lt;40000,1,0)</f>
        <v>1</v>
      </c>
      <c r="E8717" s="1">
        <f>IF(Tabela1[[#This Row],[promien]]=40000,1,0)</f>
        <v>0</v>
      </c>
      <c r="F8717" s="1">
        <v>3.1428243661810256</v>
      </c>
      <c r="G8717" s="1">
        <v>1.2317125912324478E-3</v>
      </c>
    </row>
    <row r="8718" spans="1:7">
      <c r="A8718">
        <v>103</v>
      </c>
      <c r="B8718">
        <v>306</v>
      </c>
      <c r="C8718" s="1">
        <f>(Tabela1[[#This Row],[x]]-H$3)*(Tabela1[[#This Row],[x]]-H$3) +(Tabela1[[#This Row],[y]]-H$4)*(Tabela1[[#This Row],[y]]-H$4)</f>
        <v>20645</v>
      </c>
      <c r="D8718" s="1">
        <f>IF(Tabela1[[#This Row],[promien]]&lt;40000,1,0)</f>
        <v>1</v>
      </c>
      <c r="E8718" s="1">
        <f>IF(Tabela1[[#This Row],[promien]]=40000,1,0)</f>
        <v>0</v>
      </c>
      <c r="F8718" s="1">
        <v>3.1429226886900667</v>
      </c>
      <c r="G8718" s="1">
        <v>1.3300351002736299E-3</v>
      </c>
    </row>
    <row r="8719" spans="1:7">
      <c r="A8719">
        <v>218</v>
      </c>
      <c r="B8719">
        <v>380</v>
      </c>
      <c r="C8719" s="1">
        <f>(Tabela1[[#This Row],[x]]-H$3)*(Tabela1[[#This Row],[x]]-H$3) +(Tabela1[[#This Row],[y]]-H$4)*(Tabela1[[#This Row],[y]]-H$4)</f>
        <v>32724</v>
      </c>
      <c r="D8719" s="1">
        <f>IF(Tabela1[[#This Row],[promien]]&lt;40000,1,0)</f>
        <v>1</v>
      </c>
      <c r="E8719" s="1">
        <f>IF(Tabela1[[#This Row],[promien]]=40000,1,0)</f>
        <v>0</v>
      </c>
      <c r="F8719" s="1">
        <v>3.1430209886454867</v>
      </c>
      <c r="G8719" s="1">
        <v>1.4283350556936192E-3</v>
      </c>
    </row>
    <row r="8720" spans="1:7">
      <c r="A8720">
        <v>355</v>
      </c>
      <c r="B8720">
        <v>18</v>
      </c>
      <c r="C8720" s="1">
        <f>(Tabela1[[#This Row],[x]]-H$3)*(Tabela1[[#This Row],[x]]-H$3) +(Tabela1[[#This Row],[y]]-H$4)*(Tabela1[[#This Row],[y]]-H$4)</f>
        <v>57149</v>
      </c>
      <c r="D8720" s="1">
        <f>IF(Tabela1[[#This Row],[promien]]&lt;40000,1,0)</f>
        <v>0</v>
      </c>
      <c r="E8720" s="1">
        <f>IF(Tabela1[[#This Row],[promien]]=40000,1,0)</f>
        <v>0</v>
      </c>
      <c r="F8720" s="1">
        <v>3.1426605504587157</v>
      </c>
      <c r="G8720" s="1">
        <v>1.0678968689226132E-3</v>
      </c>
    </row>
    <row r="8721" spans="1:7">
      <c r="A8721">
        <v>177</v>
      </c>
      <c r="B8721">
        <v>75</v>
      </c>
      <c r="C8721" s="1">
        <f>(Tabela1[[#This Row],[x]]-H$3)*(Tabela1[[#This Row],[x]]-H$3) +(Tabela1[[#This Row],[y]]-H$4)*(Tabela1[[#This Row],[y]]-H$4)</f>
        <v>16154</v>
      </c>
      <c r="D8721" s="1">
        <f>IF(Tabela1[[#This Row],[promien]]&lt;40000,1,0)</f>
        <v>1</v>
      </c>
      <c r="E8721" s="1">
        <f>IF(Tabela1[[#This Row],[promien]]=40000,1,0)</f>
        <v>0</v>
      </c>
      <c r="F8721" s="1">
        <v>3.1427588579291368</v>
      </c>
      <c r="G8721" s="1">
        <v>1.1662043393436683E-3</v>
      </c>
    </row>
    <row r="8722" spans="1:7">
      <c r="A8722">
        <v>162</v>
      </c>
      <c r="B8722">
        <v>198</v>
      </c>
      <c r="C8722" s="1">
        <f>(Tabela1[[#This Row],[x]]-H$3)*(Tabela1[[#This Row],[x]]-H$3) +(Tabela1[[#This Row],[y]]-H$4)*(Tabela1[[#This Row],[y]]-H$4)</f>
        <v>1448</v>
      </c>
      <c r="D8722" s="1">
        <f>IF(Tabela1[[#This Row],[promien]]&lt;40000,1,0)</f>
        <v>1</v>
      </c>
      <c r="E8722" s="1">
        <f>IF(Tabela1[[#This Row],[promien]]=40000,1,0)</f>
        <v>0</v>
      </c>
      <c r="F8722" s="1">
        <v>3.1428571428571428</v>
      </c>
      <c r="G8722" s="1">
        <v>1.2644892673496777E-3</v>
      </c>
    </row>
    <row r="8723" spans="1:7">
      <c r="A8723">
        <v>249</v>
      </c>
      <c r="B8723">
        <v>29</v>
      </c>
      <c r="C8723" s="1">
        <f>(Tabela1[[#This Row],[x]]-H$3)*(Tabela1[[#This Row],[x]]-H$3) +(Tabela1[[#This Row],[y]]-H$4)*(Tabela1[[#This Row],[y]]-H$4)</f>
        <v>31642</v>
      </c>
      <c r="D8723" s="1">
        <f>IF(Tabela1[[#This Row],[promien]]&lt;40000,1,0)</f>
        <v>1</v>
      </c>
      <c r="E8723" s="1">
        <f>IF(Tabela1[[#This Row],[promien]]=40000,1,0)</f>
        <v>0</v>
      </c>
      <c r="F8723" s="1">
        <v>3.1429554052504871</v>
      </c>
      <c r="G8723" s="1">
        <v>1.3627516606939949E-3</v>
      </c>
    </row>
    <row r="8724" spans="1:7">
      <c r="A8724">
        <v>257</v>
      </c>
      <c r="B8724">
        <v>274</v>
      </c>
      <c r="C8724" s="1">
        <f>(Tabela1[[#This Row],[x]]-H$3)*(Tabela1[[#This Row],[x]]-H$3) +(Tabela1[[#This Row],[y]]-H$4)*(Tabela1[[#This Row],[y]]-H$4)</f>
        <v>8725</v>
      </c>
      <c r="D8724" s="1">
        <f>IF(Tabela1[[#This Row],[promien]]&lt;40000,1,0)</f>
        <v>1</v>
      </c>
      <c r="E8724" s="1">
        <f>IF(Tabela1[[#This Row],[promien]]=40000,1,0)</f>
        <v>0</v>
      </c>
      <c r="F8724" s="1">
        <v>3.1430536451169186</v>
      </c>
      <c r="G8724" s="1">
        <v>1.4609915271255325E-3</v>
      </c>
    </row>
    <row r="8725" spans="1:7">
      <c r="A8725">
        <v>168</v>
      </c>
      <c r="B8725">
        <v>246</v>
      </c>
      <c r="C8725" s="1">
        <f>(Tabela1[[#This Row],[x]]-H$3)*(Tabela1[[#This Row],[x]]-H$3) +(Tabela1[[#This Row],[y]]-H$4)*(Tabela1[[#This Row],[y]]-H$4)</f>
        <v>3140</v>
      </c>
      <c r="D8725" s="1">
        <f>IF(Tabela1[[#This Row],[promien]]&lt;40000,1,0)</f>
        <v>1</v>
      </c>
      <c r="E8725" s="1">
        <f>IF(Tabela1[[#This Row],[promien]]=40000,1,0)</f>
        <v>0</v>
      </c>
      <c r="F8725" s="1">
        <v>3.1431518624641832</v>
      </c>
      <c r="G8725" s="1">
        <v>1.5592088743900945E-3</v>
      </c>
    </row>
    <row r="8726" spans="1:7">
      <c r="A8726">
        <v>358</v>
      </c>
      <c r="B8726">
        <v>383</v>
      </c>
      <c r="C8726" s="1">
        <f>(Tabela1[[#This Row],[x]]-H$3)*(Tabela1[[#This Row],[x]]-H$3) +(Tabela1[[#This Row],[y]]-H$4)*(Tabela1[[#This Row],[y]]-H$4)</f>
        <v>58453</v>
      </c>
      <c r="D8726" s="1">
        <f>IF(Tabela1[[#This Row],[promien]]&lt;40000,1,0)</f>
        <v>0</v>
      </c>
      <c r="E8726" s="1">
        <f>IF(Tabela1[[#This Row],[promien]]=40000,1,0)</f>
        <v>0</v>
      </c>
      <c r="F8726" s="1">
        <v>3.1427916571166628</v>
      </c>
      <c r="G8726" s="1">
        <v>1.1990035268696353E-3</v>
      </c>
    </row>
    <row r="8727" spans="1:7">
      <c r="A8727">
        <v>345</v>
      </c>
      <c r="B8727">
        <v>273</v>
      </c>
      <c r="C8727" s="1">
        <f>(Tabela1[[#This Row],[x]]-H$3)*(Tabela1[[#This Row],[x]]-H$3) +(Tabela1[[#This Row],[y]]-H$4)*(Tabela1[[#This Row],[y]]-H$4)</f>
        <v>26354</v>
      </c>
      <c r="D8727" s="1">
        <f>IF(Tabela1[[#This Row],[promien]]&lt;40000,1,0)</f>
        <v>1</v>
      </c>
      <c r="E8727" s="1">
        <f>IF(Tabela1[[#This Row],[promien]]=40000,1,0)</f>
        <v>0</v>
      </c>
      <c r="F8727" s="1">
        <v>3.1428898819754783</v>
      </c>
      <c r="G8727" s="1">
        <v>1.2972283856851341E-3</v>
      </c>
    </row>
    <row r="8728" spans="1:7">
      <c r="A8728">
        <v>116</v>
      </c>
      <c r="B8728">
        <v>81</v>
      </c>
      <c r="C8728" s="1">
        <f>(Tabela1[[#This Row],[x]]-H$3)*(Tabela1[[#This Row],[x]]-H$3) +(Tabela1[[#This Row],[y]]-H$4)*(Tabela1[[#This Row],[y]]-H$4)</f>
        <v>21217</v>
      </c>
      <c r="D8728" s="1">
        <f>IF(Tabela1[[#This Row],[promien]]&lt;40000,1,0)</f>
        <v>1</v>
      </c>
      <c r="E8728" s="1">
        <f>IF(Tabela1[[#This Row],[promien]]=40000,1,0)</f>
        <v>0</v>
      </c>
      <c r="F8728" s="1">
        <v>3.1429880843263063</v>
      </c>
      <c r="G8728" s="1">
        <v>1.3954307365131591E-3</v>
      </c>
    </row>
    <row r="8729" spans="1:7">
      <c r="A8729">
        <v>380</v>
      </c>
      <c r="B8729">
        <v>292</v>
      </c>
      <c r="C8729" s="1">
        <f>(Tabela1[[#This Row],[x]]-H$3)*(Tabela1[[#This Row],[x]]-H$3) +(Tabela1[[#This Row],[y]]-H$4)*(Tabela1[[#This Row],[y]]-H$4)</f>
        <v>40864</v>
      </c>
      <c r="D8729" s="1">
        <f>IF(Tabela1[[#This Row],[promien]]&lt;40000,1,0)</f>
        <v>0</v>
      </c>
      <c r="E8729" s="1">
        <f>IF(Tabela1[[#This Row],[promien]]=40000,1,0)</f>
        <v>0</v>
      </c>
      <c r="F8729" s="1">
        <v>3.1426280215374041</v>
      </c>
      <c r="G8729" s="1">
        <v>1.0353679476109434E-3</v>
      </c>
    </row>
    <row r="8730" spans="1:7">
      <c r="A8730">
        <v>342</v>
      </c>
      <c r="B8730">
        <v>381</v>
      </c>
      <c r="C8730" s="1">
        <f>(Tabela1[[#This Row],[x]]-H$3)*(Tabela1[[#This Row],[x]]-H$3) +(Tabela1[[#This Row],[y]]-H$4)*(Tabela1[[#This Row],[y]]-H$4)</f>
        <v>52925</v>
      </c>
      <c r="D8730" s="1">
        <f>IF(Tabela1[[#This Row],[promien]]&lt;40000,1,0)</f>
        <v>0</v>
      </c>
      <c r="E8730" s="1">
        <f>IF(Tabela1[[#This Row],[promien]]=40000,1,0)</f>
        <v>0</v>
      </c>
      <c r="F8730" s="1">
        <v>3.1422680412371133</v>
      </c>
      <c r="G8730" s="1">
        <v>6.7538764732022472E-4</v>
      </c>
    </row>
    <row r="8731" spans="1:7">
      <c r="A8731">
        <v>239</v>
      </c>
      <c r="B8731">
        <v>203</v>
      </c>
      <c r="C8731" s="1">
        <f>(Tabela1[[#This Row],[x]]-H$3)*(Tabela1[[#This Row],[x]]-H$3) +(Tabela1[[#This Row],[y]]-H$4)*(Tabela1[[#This Row],[y]]-H$4)</f>
        <v>1530</v>
      </c>
      <c r="D8731" s="1">
        <f>IF(Tabela1[[#This Row],[promien]]&lt;40000,1,0)</f>
        <v>1</v>
      </c>
      <c r="E8731" s="1">
        <f>IF(Tabela1[[#This Row],[promien]]=40000,1,0)</f>
        <v>0</v>
      </c>
      <c r="F8731" s="1">
        <v>3.1423662810674609</v>
      </c>
      <c r="G8731" s="1">
        <v>7.7362747766773765E-4</v>
      </c>
    </row>
    <row r="8732" spans="1:7">
      <c r="A8732">
        <v>257</v>
      </c>
      <c r="B8732">
        <v>276</v>
      </c>
      <c r="C8732" s="1">
        <f>(Tabela1[[#This Row],[x]]-H$3)*(Tabela1[[#This Row],[x]]-H$3) +(Tabela1[[#This Row],[y]]-H$4)*(Tabela1[[#This Row],[y]]-H$4)</f>
        <v>9025</v>
      </c>
      <c r="D8732" s="1">
        <f>IF(Tabela1[[#This Row],[promien]]&lt;40000,1,0)</f>
        <v>1</v>
      </c>
      <c r="E8732" s="1">
        <f>IF(Tabela1[[#This Row],[promien]]=40000,1,0)</f>
        <v>0</v>
      </c>
      <c r="F8732" s="1">
        <v>3.1424644983967016</v>
      </c>
      <c r="G8732" s="1">
        <v>8.7184480690849497E-4</v>
      </c>
    </row>
    <row r="8733" spans="1:7">
      <c r="A8733">
        <v>354</v>
      </c>
      <c r="B8733">
        <v>61</v>
      </c>
      <c r="C8733" s="1">
        <f>(Tabela1[[#This Row],[x]]-H$3)*(Tabela1[[#This Row],[x]]-H$3) +(Tabela1[[#This Row],[y]]-H$4)*(Tabela1[[#This Row],[y]]-H$4)</f>
        <v>43037</v>
      </c>
      <c r="D8733" s="1">
        <f>IF(Tabela1[[#This Row],[promien]]&lt;40000,1,0)</f>
        <v>0</v>
      </c>
      <c r="E8733" s="1">
        <f>IF(Tabela1[[#This Row],[promien]]=40000,1,0)</f>
        <v>0</v>
      </c>
      <c r="F8733" s="1">
        <v>3.1421046604832243</v>
      </c>
      <c r="G8733" s="1">
        <v>5.1200689343122718E-4</v>
      </c>
    </row>
    <row r="8734" spans="1:7">
      <c r="A8734">
        <v>72</v>
      </c>
      <c r="B8734">
        <v>34</v>
      </c>
      <c r="C8734" s="1">
        <f>(Tabela1[[#This Row],[x]]-H$3)*(Tabela1[[#This Row],[x]]-H$3) +(Tabela1[[#This Row],[y]]-H$4)*(Tabela1[[#This Row],[y]]-H$4)</f>
        <v>43940</v>
      </c>
      <c r="D8734" s="1">
        <f>IF(Tabela1[[#This Row],[promien]]&lt;40000,1,0)</f>
        <v>0</v>
      </c>
      <c r="E8734" s="1">
        <f>IF(Tabela1[[#This Row],[promien]]=40000,1,0)</f>
        <v>0</v>
      </c>
      <c r="F8734" s="1">
        <v>3.1417449049690864</v>
      </c>
      <c r="G8734" s="1">
        <v>1.5225137929331112E-4</v>
      </c>
    </row>
    <row r="8735" spans="1:7">
      <c r="A8735">
        <v>95</v>
      </c>
      <c r="B8735">
        <v>206</v>
      </c>
      <c r="C8735" s="1">
        <f>(Tabela1[[#This Row],[x]]-H$3)*(Tabela1[[#This Row],[x]]-H$3) +(Tabela1[[#This Row],[y]]-H$4)*(Tabela1[[#This Row],[y]]-H$4)</f>
        <v>11061</v>
      </c>
      <c r="D8735" s="1">
        <f>IF(Tabela1[[#This Row],[promien]]&lt;40000,1,0)</f>
        <v>1</v>
      </c>
      <c r="E8735" s="1">
        <f>IF(Tabela1[[#This Row],[promien]]=40000,1,0)</f>
        <v>0</v>
      </c>
      <c r="F8735" s="1">
        <v>3.1418431597023471</v>
      </c>
      <c r="G8735" s="1">
        <v>2.5050611255394983E-4</v>
      </c>
    </row>
    <row r="8736" spans="1:7">
      <c r="A8736">
        <v>305</v>
      </c>
      <c r="B8736">
        <v>106</v>
      </c>
      <c r="C8736" s="1">
        <f>(Tabela1[[#This Row],[x]]-H$3)*(Tabela1[[#This Row],[x]]-H$3) +(Tabela1[[#This Row],[y]]-H$4)*(Tabela1[[#This Row],[y]]-H$4)</f>
        <v>19861</v>
      </c>
      <c r="D8736" s="1">
        <f>IF(Tabela1[[#This Row],[promien]]&lt;40000,1,0)</f>
        <v>1</v>
      </c>
      <c r="E8736" s="1">
        <f>IF(Tabela1[[#This Row],[promien]]=40000,1,0)</f>
        <v>0</v>
      </c>
      <c r="F8736" s="1">
        <v>3.1419413919413919</v>
      </c>
      <c r="G8736" s="1">
        <v>3.4873835159876521E-4</v>
      </c>
    </row>
    <row r="8737" spans="1:7">
      <c r="A8737">
        <v>326</v>
      </c>
      <c r="B8737">
        <v>222</v>
      </c>
      <c r="C8737" s="1">
        <f>(Tabela1[[#This Row],[x]]-H$3)*(Tabela1[[#This Row],[x]]-H$3) +(Tabela1[[#This Row],[y]]-H$4)*(Tabela1[[#This Row],[y]]-H$4)</f>
        <v>16360</v>
      </c>
      <c r="D8737" s="1">
        <f>IF(Tabela1[[#This Row],[promien]]&lt;40000,1,0)</f>
        <v>1</v>
      </c>
      <c r="E8737" s="1">
        <f>IF(Tabela1[[#This Row],[promien]]=40000,1,0)</f>
        <v>0</v>
      </c>
      <c r="F8737" s="1">
        <v>3.1420396016939454</v>
      </c>
      <c r="G8737" s="1">
        <v>4.4694810415224495E-4</v>
      </c>
    </row>
    <row r="8738" spans="1:7">
      <c r="A8738">
        <v>85</v>
      </c>
      <c r="B8738">
        <v>393</v>
      </c>
      <c r="C8738" s="1">
        <f>(Tabela1[[#This Row],[x]]-H$3)*(Tabela1[[#This Row],[x]]-H$3) +(Tabela1[[#This Row],[y]]-H$4)*(Tabela1[[#This Row],[y]]-H$4)</f>
        <v>50474</v>
      </c>
      <c r="D8738" s="1">
        <f>IF(Tabela1[[#This Row],[promien]]&lt;40000,1,0)</f>
        <v>0</v>
      </c>
      <c r="E8738" s="1">
        <f>IF(Tabela1[[#This Row],[promien]]=40000,1,0)</f>
        <v>0</v>
      </c>
      <c r="F8738" s="1">
        <v>3.1416800183108262</v>
      </c>
      <c r="G8738" s="1">
        <v>8.7364721033100778E-5</v>
      </c>
    </row>
    <row r="8739" spans="1:7">
      <c r="A8739">
        <v>103</v>
      </c>
      <c r="B8739">
        <v>106</v>
      </c>
      <c r="C8739" s="1">
        <f>(Tabela1[[#This Row],[x]]-H$3)*(Tabela1[[#This Row],[x]]-H$3) +(Tabela1[[#This Row],[y]]-H$4)*(Tabela1[[#This Row],[y]]-H$4)</f>
        <v>18245</v>
      </c>
      <c r="D8739" s="1">
        <f>IF(Tabela1[[#This Row],[promien]]&lt;40000,1,0)</f>
        <v>1</v>
      </c>
      <c r="E8739" s="1">
        <f>IF(Tabela1[[#This Row],[promien]]=40000,1,0)</f>
        <v>0</v>
      </c>
      <c r="F8739" s="1">
        <v>3.1417782354960524</v>
      </c>
      <c r="G8739" s="1">
        <v>1.8558190625928006E-4</v>
      </c>
    </row>
    <row r="8740" spans="1:7">
      <c r="A8740">
        <v>252</v>
      </c>
      <c r="B8740">
        <v>169</v>
      </c>
      <c r="C8740" s="1">
        <f>(Tabela1[[#This Row],[x]]-H$3)*(Tabela1[[#This Row],[x]]-H$3) +(Tabela1[[#This Row],[y]]-H$4)*(Tabela1[[#This Row],[y]]-H$4)</f>
        <v>3665</v>
      </c>
      <c r="D8740" s="1">
        <f>IF(Tabela1[[#This Row],[promien]]&lt;40000,1,0)</f>
        <v>1</v>
      </c>
      <c r="E8740" s="1">
        <f>IF(Tabela1[[#This Row],[promien]]=40000,1,0)</f>
        <v>0</v>
      </c>
      <c r="F8740" s="1">
        <v>3.1418764302059499</v>
      </c>
      <c r="G8740" s="1">
        <v>2.8377661615675009E-4</v>
      </c>
    </row>
    <row r="8741" spans="1:7">
      <c r="A8741">
        <v>387</v>
      </c>
      <c r="B8741">
        <v>335</v>
      </c>
      <c r="C8741" s="1">
        <f>(Tabela1[[#This Row],[x]]-H$3)*(Tabela1[[#This Row],[x]]-H$3) +(Tabela1[[#This Row],[y]]-H$4)*(Tabela1[[#This Row],[y]]-H$4)</f>
        <v>53194</v>
      </c>
      <c r="D8741" s="1">
        <f>IF(Tabela1[[#This Row],[promien]]&lt;40000,1,0)</f>
        <v>0</v>
      </c>
      <c r="E8741" s="1">
        <f>IF(Tabela1[[#This Row],[promien]]=40000,1,0)</f>
        <v>0</v>
      </c>
      <c r="F8741" s="1">
        <v>3.1415169889028713</v>
      </c>
      <c r="G8741" s="1">
        <v>7.5664686921772528E-5</v>
      </c>
    </row>
    <row r="8742" spans="1:7">
      <c r="A8742">
        <v>176</v>
      </c>
      <c r="B8742">
        <v>391</v>
      </c>
      <c r="C8742" s="1">
        <f>(Tabela1[[#This Row],[x]]-H$3)*(Tabela1[[#This Row],[x]]-H$3) +(Tabela1[[#This Row],[y]]-H$4)*(Tabela1[[#This Row],[y]]-H$4)</f>
        <v>37057</v>
      </c>
      <c r="D8742" s="1">
        <f>IF(Tabela1[[#This Row],[promien]]&lt;40000,1,0)</f>
        <v>1</v>
      </c>
      <c r="E8742" s="1">
        <f>IF(Tabela1[[#This Row],[promien]]=40000,1,0)</f>
        <v>0</v>
      </c>
      <c r="F8742" s="1">
        <v>3.1416151910318004</v>
      </c>
      <c r="G8742" s="1">
        <v>2.2537442007308783E-5</v>
      </c>
    </row>
    <row r="8743" spans="1:7">
      <c r="A8743">
        <v>48</v>
      </c>
      <c r="B8743">
        <v>266</v>
      </c>
      <c r="C8743" s="1">
        <f>(Tabela1[[#This Row],[x]]-H$3)*(Tabela1[[#This Row],[x]]-H$3) +(Tabela1[[#This Row],[y]]-H$4)*(Tabela1[[#This Row],[y]]-H$4)</f>
        <v>27460</v>
      </c>
      <c r="D8743" s="1">
        <f>IF(Tabela1[[#This Row],[promien]]&lt;40000,1,0)</f>
        <v>1</v>
      </c>
      <c r="E8743" s="1">
        <f>IF(Tabela1[[#This Row],[promien]]=40000,1,0)</f>
        <v>0</v>
      </c>
      <c r="F8743" s="1">
        <v>3.1417133706965572</v>
      </c>
      <c r="G8743" s="1">
        <v>1.2071710676408998E-4</v>
      </c>
    </row>
    <row r="8744" spans="1:7">
      <c r="A8744">
        <v>119</v>
      </c>
      <c r="B8744">
        <v>161</v>
      </c>
      <c r="C8744" s="1">
        <f>(Tabela1[[#This Row],[x]]-H$3)*(Tabela1[[#This Row],[x]]-H$3) +(Tabela1[[#This Row],[y]]-H$4)*(Tabela1[[#This Row],[y]]-H$4)</f>
        <v>8082</v>
      </c>
      <c r="D8744" s="1">
        <f>IF(Tabela1[[#This Row],[promien]]&lt;40000,1,0)</f>
        <v>1</v>
      </c>
      <c r="E8744" s="1">
        <f>IF(Tabela1[[#This Row],[promien]]=40000,1,0)</f>
        <v>0</v>
      </c>
      <c r="F8744" s="1">
        <v>3.1418115279048489</v>
      </c>
      <c r="G8744" s="1">
        <v>2.1887431505573929E-4</v>
      </c>
    </row>
    <row r="8745" spans="1:7">
      <c r="A8745">
        <v>333</v>
      </c>
      <c r="B8745">
        <v>130</v>
      </c>
      <c r="C8745" s="1">
        <f>(Tabela1[[#This Row],[x]]-H$3)*(Tabela1[[#This Row],[x]]-H$3) +(Tabela1[[#This Row],[y]]-H$4)*(Tabela1[[#This Row],[y]]-H$4)</f>
        <v>22589</v>
      </c>
      <c r="D8745" s="1">
        <f>IF(Tabela1[[#This Row],[promien]]&lt;40000,1,0)</f>
        <v>1</v>
      </c>
      <c r="E8745" s="1">
        <f>IF(Tabela1[[#This Row],[promien]]=40000,1,0)</f>
        <v>0</v>
      </c>
      <c r="F8745" s="1">
        <v>3.1419096626643794</v>
      </c>
      <c r="G8745" s="1">
        <v>3.1700907458631633E-4</v>
      </c>
    </row>
    <row r="8746" spans="1:7">
      <c r="A8746">
        <v>191</v>
      </c>
      <c r="B8746">
        <v>136</v>
      </c>
      <c r="C8746" s="1">
        <f>(Tabela1[[#This Row],[x]]-H$3)*(Tabela1[[#This Row],[x]]-H$3) +(Tabela1[[#This Row],[y]]-H$4)*(Tabela1[[#This Row],[y]]-H$4)</f>
        <v>4177</v>
      </c>
      <c r="D8746" s="1">
        <f>IF(Tabela1[[#This Row],[promien]]&lt;40000,1,0)</f>
        <v>1</v>
      </c>
      <c r="E8746" s="1">
        <f>IF(Tabela1[[#This Row],[promien]]=40000,1,0)</f>
        <v>0</v>
      </c>
      <c r="F8746" s="1">
        <v>3.1420077749828494</v>
      </c>
      <c r="G8746" s="1">
        <v>4.15121393056328E-4</v>
      </c>
    </row>
    <row r="8747" spans="1:7">
      <c r="A8747">
        <v>300</v>
      </c>
      <c r="B8747">
        <v>396</v>
      </c>
      <c r="C8747" s="1">
        <f>(Tabela1[[#This Row],[x]]-H$3)*(Tabela1[[#This Row],[x]]-H$3) +(Tabela1[[#This Row],[y]]-H$4)*(Tabela1[[#This Row],[y]]-H$4)</f>
        <v>48416</v>
      </c>
      <c r="D8747" s="1">
        <f>IF(Tabela1[[#This Row],[promien]]&lt;40000,1,0)</f>
        <v>0</v>
      </c>
      <c r="E8747" s="1">
        <f>IF(Tabela1[[#This Row],[promien]]=40000,1,0)</f>
        <v>0</v>
      </c>
      <c r="F8747" s="1">
        <v>3.1416485652223618</v>
      </c>
      <c r="G8747" s="1">
        <v>5.59116325686837E-5</v>
      </c>
    </row>
    <row r="8748" spans="1:7">
      <c r="A8748">
        <v>174</v>
      </c>
      <c r="B8748">
        <v>123</v>
      </c>
      <c r="C8748" s="1">
        <f>(Tabela1[[#This Row],[x]]-H$3)*(Tabela1[[#This Row],[x]]-H$3) +(Tabela1[[#This Row],[y]]-H$4)*(Tabela1[[#This Row],[y]]-H$4)</f>
        <v>6605</v>
      </c>
      <c r="D8748" s="1">
        <f>IF(Tabela1[[#This Row],[promien]]&lt;40000,1,0)</f>
        <v>1</v>
      </c>
      <c r="E8748" s="1">
        <f>IF(Tabela1[[#This Row],[promien]]=40000,1,0)</f>
        <v>0</v>
      </c>
      <c r="F8748" s="1">
        <v>3.1417466849565616</v>
      </c>
      <c r="G8748" s="1">
        <v>1.5403136676850337E-4</v>
      </c>
    </row>
    <row r="8749" spans="1:7">
      <c r="A8749">
        <v>183</v>
      </c>
      <c r="B8749">
        <v>285</v>
      </c>
      <c r="C8749" s="1">
        <f>(Tabela1[[#This Row],[x]]-H$3)*(Tabela1[[#This Row],[x]]-H$3) +(Tabela1[[#This Row],[y]]-H$4)*(Tabela1[[#This Row],[y]]-H$4)</f>
        <v>7514</v>
      </c>
      <c r="D8749" s="1">
        <f>IF(Tabela1[[#This Row],[promien]]&lt;40000,1,0)</f>
        <v>1</v>
      </c>
      <c r="E8749" s="1">
        <f>IF(Tabela1[[#This Row],[promien]]=40000,1,0)</f>
        <v>0</v>
      </c>
      <c r="F8749" s="1">
        <v>3.1418447822608297</v>
      </c>
      <c r="G8749" s="1">
        <v>2.5212867103663328E-4</v>
      </c>
    </row>
    <row r="8750" spans="1:7">
      <c r="A8750">
        <v>289</v>
      </c>
      <c r="B8750">
        <v>350</v>
      </c>
      <c r="C8750" s="1">
        <f>(Tabela1[[#This Row],[x]]-H$3)*(Tabela1[[#This Row],[x]]-H$3) +(Tabela1[[#This Row],[y]]-H$4)*(Tabela1[[#This Row],[y]]-H$4)</f>
        <v>30421</v>
      </c>
      <c r="D8750" s="1">
        <f>IF(Tabela1[[#This Row],[promien]]&lt;40000,1,0)</f>
        <v>1</v>
      </c>
      <c r="E8750" s="1">
        <f>IF(Tabela1[[#This Row],[promien]]=40000,1,0)</f>
        <v>0</v>
      </c>
      <c r="F8750" s="1">
        <v>3.1419428571428569</v>
      </c>
      <c r="G8750" s="1">
        <v>3.5020355306381035E-4</v>
      </c>
    </row>
    <row r="8751" spans="1:7">
      <c r="A8751">
        <v>271</v>
      </c>
      <c r="B8751">
        <v>112</v>
      </c>
      <c r="C8751" s="1">
        <f>(Tabela1[[#This Row],[x]]-H$3)*(Tabela1[[#This Row],[x]]-H$3) +(Tabela1[[#This Row],[y]]-H$4)*(Tabela1[[#This Row],[y]]-H$4)</f>
        <v>12785</v>
      </c>
      <c r="D8751" s="1">
        <f>IF(Tabela1[[#This Row],[promien]]&lt;40000,1,0)</f>
        <v>1</v>
      </c>
      <c r="E8751" s="1">
        <f>IF(Tabela1[[#This Row],[promien]]=40000,1,0)</f>
        <v>0</v>
      </c>
      <c r="F8751" s="1">
        <v>3.1420409096103303</v>
      </c>
      <c r="G8751" s="1">
        <v>4.482560205372188E-4</v>
      </c>
    </row>
    <row r="8752" spans="1:7">
      <c r="A8752">
        <v>136</v>
      </c>
      <c r="B8752">
        <v>41</v>
      </c>
      <c r="C8752" s="1">
        <f>(Tabela1[[#This Row],[x]]-H$3)*(Tabela1[[#This Row],[x]]-H$3) +(Tabela1[[#This Row],[y]]-H$4)*(Tabela1[[#This Row],[y]]-H$4)</f>
        <v>29377</v>
      </c>
      <c r="D8752" s="1">
        <f>IF(Tabela1[[#This Row],[promien]]&lt;40000,1,0)</f>
        <v>1</v>
      </c>
      <c r="E8752" s="1">
        <f>IF(Tabela1[[#This Row],[promien]]=40000,1,0)</f>
        <v>0</v>
      </c>
      <c r="F8752" s="1">
        <v>3.1421389396709323</v>
      </c>
      <c r="G8752" s="1">
        <v>5.4628608113915789E-4</v>
      </c>
    </row>
    <row r="8753" spans="1:7">
      <c r="A8753">
        <v>124</v>
      </c>
      <c r="B8753">
        <v>81</v>
      </c>
      <c r="C8753" s="1">
        <f>(Tabela1[[#This Row],[x]]-H$3)*(Tabela1[[#This Row],[x]]-H$3) +(Tabela1[[#This Row],[y]]-H$4)*(Tabela1[[#This Row],[y]]-H$4)</f>
        <v>19937</v>
      </c>
      <c r="D8753" s="1">
        <f>IF(Tabela1[[#This Row],[promien]]&lt;40000,1,0)</f>
        <v>1</v>
      </c>
      <c r="E8753" s="1">
        <f>IF(Tabela1[[#This Row],[promien]]=40000,1,0)</f>
        <v>0</v>
      </c>
      <c r="F8753" s="1">
        <v>3.1422369473323433</v>
      </c>
      <c r="G8753" s="1">
        <v>6.4429374255015048E-4</v>
      </c>
    </row>
    <row r="8754" spans="1:7">
      <c r="A8754">
        <v>180</v>
      </c>
      <c r="B8754">
        <v>206</v>
      </c>
      <c r="C8754" s="1">
        <f>(Tabela1[[#This Row],[x]]-H$3)*(Tabela1[[#This Row],[x]]-H$3) +(Tabela1[[#This Row],[y]]-H$4)*(Tabela1[[#This Row],[y]]-H$4)</f>
        <v>436</v>
      </c>
      <c r="D8754" s="1">
        <f>IF(Tabela1[[#This Row],[promien]]&lt;40000,1,0)</f>
        <v>1</v>
      </c>
      <c r="E8754" s="1">
        <f>IF(Tabela1[[#This Row],[promien]]=40000,1,0)</f>
        <v>0</v>
      </c>
      <c r="F8754" s="1">
        <v>3.142334932602239</v>
      </c>
      <c r="G8754" s="1">
        <v>7.422790124458345E-4</v>
      </c>
    </row>
    <row r="8755" spans="1:7">
      <c r="A8755">
        <v>89</v>
      </c>
      <c r="B8755">
        <v>72</v>
      </c>
      <c r="C8755" s="1">
        <f>(Tabela1[[#This Row],[x]]-H$3)*(Tabela1[[#This Row],[x]]-H$3) +(Tabela1[[#This Row],[y]]-H$4)*(Tabela1[[#This Row],[y]]-H$4)</f>
        <v>28705</v>
      </c>
      <c r="D8755" s="1">
        <f>IF(Tabela1[[#This Row],[promien]]&lt;40000,1,0)</f>
        <v>1</v>
      </c>
      <c r="E8755" s="1">
        <f>IF(Tabela1[[#This Row],[promien]]=40000,1,0)</f>
        <v>0</v>
      </c>
      <c r="F8755" s="1">
        <v>3.1424328954882923</v>
      </c>
      <c r="G8755" s="1">
        <v>8.4024189849918329E-4</v>
      </c>
    </row>
    <row r="8756" spans="1:7">
      <c r="A8756">
        <v>280</v>
      </c>
      <c r="B8756">
        <v>137</v>
      </c>
      <c r="C8756" s="1">
        <f>(Tabela1[[#This Row],[x]]-H$3)*(Tabela1[[#This Row],[x]]-H$3) +(Tabela1[[#This Row],[y]]-H$4)*(Tabela1[[#This Row],[y]]-H$4)</f>
        <v>10369</v>
      </c>
      <c r="D8756" s="1">
        <f>IF(Tabela1[[#This Row],[promien]]&lt;40000,1,0)</f>
        <v>1</v>
      </c>
      <c r="E8756" s="1">
        <f>IF(Tabela1[[#This Row],[promien]]=40000,1,0)</f>
        <v>0</v>
      </c>
      <c r="F8756" s="1">
        <v>3.1425308359981727</v>
      </c>
      <c r="G8756" s="1">
        <v>9.3818240837961753E-4</v>
      </c>
    </row>
    <row r="8757" spans="1:7">
      <c r="A8757">
        <v>4</v>
      </c>
      <c r="B8757">
        <v>314</v>
      </c>
      <c r="C8757" s="1">
        <f>(Tabela1[[#This Row],[x]]-H$3)*(Tabela1[[#This Row],[x]]-H$3) +(Tabela1[[#This Row],[y]]-H$4)*(Tabela1[[#This Row],[y]]-H$4)</f>
        <v>51412</v>
      </c>
      <c r="D8757" s="1">
        <f>IF(Tabela1[[#This Row],[promien]]&lt;40000,1,0)</f>
        <v>0</v>
      </c>
      <c r="E8757" s="1">
        <f>IF(Tabela1[[#This Row],[promien]]=40000,1,0)</f>
        <v>0</v>
      </c>
      <c r="F8757" s="1">
        <v>3.142171976704351</v>
      </c>
      <c r="G8757" s="1">
        <v>5.7932311455788366E-4</v>
      </c>
    </row>
    <row r="8758" spans="1:7">
      <c r="A8758">
        <v>107</v>
      </c>
      <c r="B8758">
        <v>357</v>
      </c>
      <c r="C8758" s="1">
        <f>(Tabela1[[#This Row],[x]]-H$3)*(Tabela1[[#This Row],[x]]-H$3) +(Tabela1[[#This Row],[y]]-H$4)*(Tabela1[[#This Row],[y]]-H$4)</f>
        <v>33298</v>
      </c>
      <c r="D8758" s="1">
        <f>IF(Tabela1[[#This Row],[promien]]&lt;40000,1,0)</f>
        <v>1</v>
      </c>
      <c r="E8758" s="1">
        <f>IF(Tabela1[[#This Row],[promien]]=40000,1,0)</f>
        <v>0</v>
      </c>
      <c r="F8758" s="1">
        <v>3.1422699246403289</v>
      </c>
      <c r="G8758" s="1">
        <v>6.7727105053583259E-4</v>
      </c>
    </row>
    <row r="8759" spans="1:7">
      <c r="A8759">
        <v>32</v>
      </c>
      <c r="B8759">
        <v>8</v>
      </c>
      <c r="C8759" s="1">
        <f>(Tabela1[[#This Row],[x]]-H$3)*(Tabela1[[#This Row],[x]]-H$3) +(Tabela1[[#This Row],[y]]-H$4)*(Tabela1[[#This Row],[y]]-H$4)</f>
        <v>65088</v>
      </c>
      <c r="D8759" s="1">
        <f>IF(Tabela1[[#This Row],[promien]]&lt;40000,1,0)</f>
        <v>0</v>
      </c>
      <c r="E8759" s="1">
        <f>IF(Tabela1[[#This Row],[promien]]=40000,1,0)</f>
        <v>0</v>
      </c>
      <c r="F8759" s="1">
        <v>3.1419111770750088</v>
      </c>
      <c r="G8759" s="1">
        <v>3.1852348521566043E-4</v>
      </c>
    </row>
    <row r="8760" spans="1:7">
      <c r="A8760">
        <v>332</v>
      </c>
      <c r="B8760">
        <v>128</v>
      </c>
      <c r="C8760" s="1">
        <f>(Tabela1[[#This Row],[x]]-H$3)*(Tabela1[[#This Row],[x]]-H$3) +(Tabela1[[#This Row],[y]]-H$4)*(Tabela1[[#This Row],[y]]-H$4)</f>
        <v>22608</v>
      </c>
      <c r="D8760" s="1">
        <f>IF(Tabela1[[#This Row],[promien]]&lt;40000,1,0)</f>
        <v>1</v>
      </c>
      <c r="E8760" s="1">
        <f>IF(Tabela1[[#This Row],[promien]]=40000,1,0)</f>
        <v>0</v>
      </c>
      <c r="F8760" s="1">
        <v>3.1420091324200912</v>
      </c>
      <c r="G8760" s="1">
        <v>4.1647883029805044E-4</v>
      </c>
    </row>
    <row r="8761" spans="1:7">
      <c r="A8761">
        <v>152</v>
      </c>
      <c r="B8761">
        <v>292</v>
      </c>
      <c r="C8761" s="1">
        <f>(Tabela1[[#This Row],[x]]-H$3)*(Tabela1[[#This Row],[x]]-H$3) +(Tabela1[[#This Row],[y]]-H$4)*(Tabela1[[#This Row],[y]]-H$4)</f>
        <v>10768</v>
      </c>
      <c r="D8761" s="1">
        <f>IF(Tabela1[[#This Row],[promien]]&lt;40000,1,0)</f>
        <v>1</v>
      </c>
      <c r="E8761" s="1">
        <f>IF(Tabela1[[#This Row],[promien]]=40000,1,0)</f>
        <v>0</v>
      </c>
      <c r="F8761" s="1">
        <v>3.1421070654034926</v>
      </c>
      <c r="G8761" s="1">
        <v>5.1441181369948907E-4</v>
      </c>
    </row>
    <row r="8762" spans="1:7">
      <c r="A8762">
        <v>244</v>
      </c>
      <c r="B8762">
        <v>69</v>
      </c>
      <c r="C8762" s="1">
        <f>(Tabela1[[#This Row],[x]]-H$3)*(Tabela1[[#This Row],[x]]-H$3) +(Tabela1[[#This Row],[y]]-H$4)*(Tabela1[[#This Row],[y]]-H$4)</f>
        <v>19097</v>
      </c>
      <c r="D8762" s="1">
        <f>IF(Tabela1[[#This Row],[promien]]&lt;40000,1,0)</f>
        <v>1</v>
      </c>
      <c r="E8762" s="1">
        <f>IF(Tabela1[[#This Row],[promien]]=40000,1,0)</f>
        <v>0</v>
      </c>
      <c r="F8762" s="1">
        <v>3.1422049760328692</v>
      </c>
      <c r="G8762" s="1">
        <v>6.1232244307607431E-4</v>
      </c>
    </row>
    <row r="8763" spans="1:7">
      <c r="A8763">
        <v>159</v>
      </c>
      <c r="B8763">
        <v>323</v>
      </c>
      <c r="C8763" s="1">
        <f>(Tabela1[[#This Row],[x]]-H$3)*(Tabela1[[#This Row],[x]]-H$3) +(Tabela1[[#This Row],[y]]-H$4)*(Tabela1[[#This Row],[y]]-H$4)</f>
        <v>16810</v>
      </c>
      <c r="D8763" s="1">
        <f>IF(Tabela1[[#This Row],[promien]]&lt;40000,1,0)</f>
        <v>1</v>
      </c>
      <c r="E8763" s="1">
        <f>IF(Tabela1[[#This Row],[promien]]=40000,1,0)</f>
        <v>0</v>
      </c>
      <c r="F8763" s="1">
        <v>3.1423028643158735</v>
      </c>
      <c r="G8763" s="1">
        <v>7.1021072608035141E-4</v>
      </c>
    </row>
    <row r="8764" spans="1:7">
      <c r="A8764">
        <v>34</v>
      </c>
      <c r="B8764">
        <v>28</v>
      </c>
      <c r="C8764" s="1">
        <f>(Tabela1[[#This Row],[x]]-H$3)*(Tabela1[[#This Row],[x]]-H$3) +(Tabela1[[#This Row],[y]]-H$4)*(Tabela1[[#This Row],[y]]-H$4)</f>
        <v>57140</v>
      </c>
      <c r="D8764" s="1">
        <f>IF(Tabela1[[#This Row],[promien]]&lt;40000,1,0)</f>
        <v>0</v>
      </c>
      <c r="E8764" s="1">
        <f>IF(Tabela1[[#This Row],[promien]]=40000,1,0)</f>
        <v>0</v>
      </c>
      <c r="F8764" s="1">
        <v>3.1419443176631674</v>
      </c>
      <c r="G8764" s="1">
        <v>3.5166407337428041E-4</v>
      </c>
    </row>
    <row r="8765" spans="1:7">
      <c r="A8765">
        <v>27</v>
      </c>
      <c r="B8765">
        <v>6</v>
      </c>
      <c r="C8765" s="1">
        <f>(Tabela1[[#This Row],[x]]-H$3)*(Tabela1[[#This Row],[x]]-H$3) +(Tabela1[[#This Row],[y]]-H$4)*(Tabela1[[#This Row],[y]]-H$4)</f>
        <v>67565</v>
      </c>
      <c r="D8765" s="1">
        <f>IF(Tabela1[[#This Row],[promien]]&lt;40000,1,0)</f>
        <v>0</v>
      </c>
      <c r="E8765" s="1">
        <f>IF(Tabela1[[#This Row],[promien]]=40000,1,0)</f>
        <v>0</v>
      </c>
      <c r="F8765" s="1">
        <v>3.1415858528237308</v>
      </c>
      <c r="G8765" s="1">
        <v>6.8007660622981803E-6</v>
      </c>
    </row>
    <row r="8766" spans="1:7">
      <c r="A8766">
        <v>227</v>
      </c>
      <c r="B8766">
        <v>340</v>
      </c>
      <c r="C8766" s="1">
        <f>(Tabela1[[#This Row],[x]]-H$3)*(Tabela1[[#This Row],[x]]-H$3) +(Tabela1[[#This Row],[y]]-H$4)*(Tabela1[[#This Row],[y]]-H$4)</f>
        <v>20329</v>
      </c>
      <c r="D8766" s="1">
        <f>IF(Tabela1[[#This Row],[promien]]&lt;40000,1,0)</f>
        <v>1</v>
      </c>
      <c r="E8766" s="1">
        <f>IF(Tabela1[[#This Row],[promien]]=40000,1,0)</f>
        <v>0</v>
      </c>
      <c r="F8766" s="1">
        <v>3.1416837782340861</v>
      </c>
      <c r="G8766" s="1">
        <v>9.1124644292950308E-5</v>
      </c>
    </row>
    <row r="8767" spans="1:7">
      <c r="A8767">
        <v>27</v>
      </c>
      <c r="B8767">
        <v>318</v>
      </c>
      <c r="C8767" s="1">
        <f>(Tabela1[[#This Row],[x]]-H$3)*(Tabela1[[#This Row],[x]]-H$3) +(Tabela1[[#This Row],[y]]-H$4)*(Tabela1[[#This Row],[y]]-H$4)</f>
        <v>43853</v>
      </c>
      <c r="D8767" s="1">
        <f>IF(Tabela1[[#This Row],[promien]]&lt;40000,1,0)</f>
        <v>0</v>
      </c>
      <c r="E8767" s="1">
        <f>IF(Tabela1[[#This Row],[promien]]=40000,1,0)</f>
        <v>0</v>
      </c>
      <c r="F8767" s="1">
        <v>3.1413254248887874</v>
      </c>
      <c r="G8767" s="1">
        <v>2.6722870100570617E-4</v>
      </c>
    </row>
    <row r="8768" spans="1:7">
      <c r="A8768">
        <v>159</v>
      </c>
      <c r="B8768">
        <v>223</v>
      </c>
      <c r="C8768" s="1">
        <f>(Tabela1[[#This Row],[x]]-H$3)*(Tabela1[[#This Row],[x]]-H$3) +(Tabela1[[#This Row],[y]]-H$4)*(Tabela1[[#This Row],[y]]-H$4)</f>
        <v>2210</v>
      </c>
      <c r="D8768" s="1">
        <f>IF(Tabela1[[#This Row],[promien]]&lt;40000,1,0)</f>
        <v>1</v>
      </c>
      <c r="E8768" s="1">
        <f>IF(Tabela1[[#This Row],[promien]]=40000,1,0)</f>
        <v>0</v>
      </c>
      <c r="F8768" s="1">
        <v>3.1414233576642334</v>
      </c>
      <c r="G8768" s="1">
        <v>1.6929592555969819E-4</v>
      </c>
    </row>
    <row r="8769" spans="1:7">
      <c r="A8769">
        <v>279</v>
      </c>
      <c r="B8769">
        <v>241</v>
      </c>
      <c r="C8769" s="1">
        <f>(Tabela1[[#This Row],[x]]-H$3)*(Tabela1[[#This Row],[x]]-H$3) +(Tabela1[[#This Row],[y]]-H$4)*(Tabela1[[#This Row],[y]]-H$4)</f>
        <v>7922</v>
      </c>
      <c r="D8769" s="1">
        <f>IF(Tabela1[[#This Row],[promien]]&lt;40000,1,0)</f>
        <v>1</v>
      </c>
      <c r="E8769" s="1">
        <f>IF(Tabela1[[#This Row],[promien]]=40000,1,0)</f>
        <v>0</v>
      </c>
      <c r="F8769" s="1">
        <v>3.1415212681035465</v>
      </c>
      <c r="G8769" s="1">
        <v>7.1385486246633434E-5</v>
      </c>
    </row>
    <row r="8770" spans="1:7">
      <c r="A8770">
        <v>27</v>
      </c>
      <c r="B8770">
        <v>116</v>
      </c>
      <c r="C8770" s="1">
        <f>(Tabela1[[#This Row],[x]]-H$3)*(Tabela1[[#This Row],[x]]-H$3) +(Tabela1[[#This Row],[y]]-H$4)*(Tabela1[[#This Row],[y]]-H$4)</f>
        <v>36985</v>
      </c>
      <c r="D8770" s="1">
        <f>IF(Tabela1[[#This Row],[promien]]&lt;40000,1,0)</f>
        <v>1</v>
      </c>
      <c r="E8770" s="1">
        <f>IF(Tabela1[[#This Row],[promien]]=40000,1,0)</f>
        <v>0</v>
      </c>
      <c r="F8770" s="1">
        <v>3.1416191562143672</v>
      </c>
      <c r="G8770" s="1">
        <v>2.6502624574042954E-5</v>
      </c>
    </row>
    <row r="8771" spans="1:7">
      <c r="A8771">
        <v>216</v>
      </c>
      <c r="B8771">
        <v>197</v>
      </c>
      <c r="C8771" s="1">
        <f>(Tabela1[[#This Row],[x]]-H$3)*(Tabela1[[#This Row],[x]]-H$3) +(Tabela1[[#This Row],[y]]-H$4)*(Tabela1[[#This Row],[y]]-H$4)</f>
        <v>265</v>
      </c>
      <c r="D8771" s="1">
        <f>IF(Tabela1[[#This Row],[promien]]&lt;40000,1,0)</f>
        <v>1</v>
      </c>
      <c r="E8771" s="1">
        <f>IF(Tabela1[[#This Row],[promien]]=40000,1,0)</f>
        <v>0</v>
      </c>
      <c r="F8771" s="1">
        <v>3.1417170220043324</v>
      </c>
      <c r="G8771" s="1">
        <v>1.2436841453933312E-4</v>
      </c>
    </row>
    <row r="8772" spans="1:7">
      <c r="A8772">
        <v>316</v>
      </c>
      <c r="B8772">
        <v>24</v>
      </c>
      <c r="C8772" s="1">
        <f>(Tabela1[[#This Row],[x]]-H$3)*(Tabela1[[#This Row],[x]]-H$3) +(Tabela1[[#This Row],[y]]-H$4)*(Tabela1[[#This Row],[y]]-H$4)</f>
        <v>44432</v>
      </c>
      <c r="D8772" s="1">
        <f>IF(Tabela1[[#This Row],[promien]]&lt;40000,1,0)</f>
        <v>0</v>
      </c>
      <c r="E8772" s="1">
        <f>IF(Tabela1[[#This Row],[promien]]=40000,1,0)</f>
        <v>0</v>
      </c>
      <c r="F8772" s="1">
        <v>3.1413588691290468</v>
      </c>
      <c r="G8772" s="1">
        <v>2.3378446074628911E-4</v>
      </c>
    </row>
    <row r="8773" spans="1:7">
      <c r="A8773">
        <v>245</v>
      </c>
      <c r="B8773">
        <v>319</v>
      </c>
      <c r="C8773" s="1">
        <f>(Tabela1[[#This Row],[x]]-H$3)*(Tabela1[[#This Row],[x]]-H$3) +(Tabela1[[#This Row],[y]]-H$4)*(Tabela1[[#This Row],[y]]-H$4)</f>
        <v>16186</v>
      </c>
      <c r="D8773" s="1">
        <f>IF(Tabela1[[#This Row],[promien]]&lt;40000,1,0)</f>
        <v>1</v>
      </c>
      <c r="E8773" s="1">
        <f>IF(Tabela1[[#This Row],[promien]]=40000,1,0)</f>
        <v>0</v>
      </c>
      <c r="F8773" s="1">
        <v>3.141456742277442</v>
      </c>
      <c r="G8773" s="1">
        <v>1.3591131235113352E-4</v>
      </c>
    </row>
    <row r="8774" spans="1:7">
      <c r="A8774">
        <v>174</v>
      </c>
      <c r="B8774">
        <v>381</v>
      </c>
      <c r="C8774" s="1">
        <f>(Tabela1[[#This Row],[x]]-H$3)*(Tabela1[[#This Row],[x]]-H$3) +(Tabela1[[#This Row],[y]]-H$4)*(Tabela1[[#This Row],[y]]-H$4)</f>
        <v>33437</v>
      </c>
      <c r="D8774" s="1">
        <f>IF(Tabela1[[#This Row],[promien]]&lt;40000,1,0)</f>
        <v>1</v>
      </c>
      <c r="E8774" s="1">
        <f>IF(Tabela1[[#This Row],[promien]]=40000,1,0)</f>
        <v>0</v>
      </c>
      <c r="F8774" s="1">
        <v>3.1415545931160245</v>
      </c>
      <c r="G8774" s="1">
        <v>3.8060473768641856E-5</v>
      </c>
    </row>
    <row r="8775" spans="1:7">
      <c r="A8775">
        <v>97</v>
      </c>
      <c r="B8775">
        <v>345</v>
      </c>
      <c r="C8775" s="1">
        <f>(Tabela1[[#This Row],[x]]-H$3)*(Tabela1[[#This Row],[x]]-H$3) +(Tabela1[[#This Row],[y]]-H$4)*(Tabela1[[#This Row],[y]]-H$4)</f>
        <v>31634</v>
      </c>
      <c r="D8775" s="1">
        <f>IF(Tabela1[[#This Row],[promien]]&lt;40000,1,0)</f>
        <v>1</v>
      </c>
      <c r="E8775" s="1">
        <f>IF(Tabela1[[#This Row],[promien]]=40000,1,0)</f>
        <v>0</v>
      </c>
      <c r="F8775" s="1">
        <v>3.1416524216524215</v>
      </c>
      <c r="G8775" s="1">
        <v>5.9768062628418051E-5</v>
      </c>
    </row>
    <row r="8776" spans="1:7">
      <c r="A8776">
        <v>49</v>
      </c>
      <c r="B8776">
        <v>22</v>
      </c>
      <c r="C8776" s="1">
        <f>(Tabela1[[#This Row],[x]]-H$3)*(Tabela1[[#This Row],[x]]-H$3) +(Tabela1[[#This Row],[y]]-H$4)*(Tabela1[[#This Row],[y]]-H$4)</f>
        <v>54485</v>
      </c>
      <c r="D8776" s="1">
        <f>IF(Tabela1[[#This Row],[promien]]&lt;40000,1,0)</f>
        <v>0</v>
      </c>
      <c r="E8776" s="1">
        <f>IF(Tabela1[[#This Row],[promien]]=40000,1,0)</f>
        <v>0</v>
      </c>
      <c r="F8776" s="1">
        <v>3.1412944393801276</v>
      </c>
      <c r="G8776" s="1">
        <v>2.9821420966547052E-4</v>
      </c>
    </row>
    <row r="8777" spans="1:7">
      <c r="A8777">
        <v>68</v>
      </c>
      <c r="B8777">
        <v>177</v>
      </c>
      <c r="C8777" s="1">
        <f>(Tabela1[[#This Row],[x]]-H$3)*(Tabela1[[#This Row],[x]]-H$3) +(Tabela1[[#This Row],[y]]-H$4)*(Tabela1[[#This Row],[y]]-H$4)</f>
        <v>17953</v>
      </c>
      <c r="D8777" s="1">
        <f>IF(Tabela1[[#This Row],[promien]]&lt;40000,1,0)</f>
        <v>1</v>
      </c>
      <c r="E8777" s="1">
        <f>IF(Tabela1[[#This Row],[promien]]=40000,1,0)</f>
        <v>0</v>
      </c>
      <c r="F8777" s="1">
        <v>3.1413922752648968</v>
      </c>
      <c r="G8777" s="1">
        <v>2.003783248962776E-4</v>
      </c>
    </row>
    <row r="8778" spans="1:7">
      <c r="A8778">
        <v>357</v>
      </c>
      <c r="B8778">
        <v>268</v>
      </c>
      <c r="C8778" s="1">
        <f>(Tabela1[[#This Row],[x]]-H$3)*(Tabela1[[#This Row],[x]]-H$3) +(Tabela1[[#This Row],[y]]-H$4)*(Tabela1[[#This Row],[y]]-H$4)</f>
        <v>29273</v>
      </c>
      <c r="D8778" s="1">
        <f>IF(Tabela1[[#This Row],[promien]]&lt;40000,1,0)</f>
        <v>1</v>
      </c>
      <c r="E8778" s="1">
        <f>IF(Tabela1[[#This Row],[promien]]=40000,1,0)</f>
        <v>0</v>
      </c>
      <c r="F8778" s="1">
        <v>3.14149008885851</v>
      </c>
      <c r="G8778" s="1">
        <v>1.0256473128311683E-4</v>
      </c>
    </row>
    <row r="8779" spans="1:7">
      <c r="A8779">
        <v>216</v>
      </c>
      <c r="B8779">
        <v>282</v>
      </c>
      <c r="C8779" s="1">
        <f>(Tabela1[[#This Row],[x]]-H$3)*(Tabela1[[#This Row],[x]]-H$3) +(Tabela1[[#This Row],[y]]-H$4)*(Tabela1[[#This Row],[y]]-H$4)</f>
        <v>6980</v>
      </c>
      <c r="D8779" s="1">
        <f>IF(Tabela1[[#This Row],[promien]]&lt;40000,1,0)</f>
        <v>1</v>
      </c>
      <c r="E8779" s="1">
        <f>IF(Tabela1[[#This Row],[promien]]=40000,1,0)</f>
        <v>0</v>
      </c>
      <c r="F8779" s="1">
        <v>3.1415878801685841</v>
      </c>
      <c r="G8779" s="1">
        <v>4.7734212089700634E-6</v>
      </c>
    </row>
    <row r="8780" spans="1:7">
      <c r="A8780">
        <v>29</v>
      </c>
      <c r="B8780">
        <v>30</v>
      </c>
      <c r="C8780" s="1">
        <f>(Tabela1[[#This Row],[x]]-H$3)*(Tabela1[[#This Row],[x]]-H$3) +(Tabela1[[#This Row],[y]]-H$4)*(Tabela1[[#This Row],[y]]-H$4)</f>
        <v>58141</v>
      </c>
      <c r="D8780" s="1">
        <f>IF(Tabela1[[#This Row],[promien]]&lt;40000,1,0)</f>
        <v>0</v>
      </c>
      <c r="E8780" s="1">
        <f>IF(Tabela1[[#This Row],[promien]]=40000,1,0)</f>
        <v>0</v>
      </c>
      <c r="F8780" s="1">
        <v>3.1412300683371299</v>
      </c>
      <c r="G8780" s="1">
        <v>3.6258525266319452E-4</v>
      </c>
    </row>
    <row r="8781" spans="1:7">
      <c r="A8781">
        <v>361</v>
      </c>
      <c r="B8781">
        <v>277</v>
      </c>
      <c r="C8781" s="1">
        <f>(Tabela1[[#This Row],[x]]-H$3)*(Tabela1[[#This Row],[x]]-H$3) +(Tabela1[[#This Row],[y]]-H$4)*(Tabela1[[#This Row],[y]]-H$4)</f>
        <v>31850</v>
      </c>
      <c r="D8781" s="1">
        <f>IF(Tabela1[[#This Row],[promien]]&lt;40000,1,0)</f>
        <v>1</v>
      </c>
      <c r="E8781" s="1">
        <f>IF(Tabela1[[#This Row],[promien]]=40000,1,0)</f>
        <v>0</v>
      </c>
      <c r="F8781" s="1">
        <v>3.1413278669855371</v>
      </c>
      <c r="G8781" s="1">
        <v>2.6478660425599543E-4</v>
      </c>
    </row>
    <row r="8782" spans="1:7">
      <c r="A8782">
        <v>379</v>
      </c>
      <c r="B8782">
        <v>32</v>
      </c>
      <c r="C8782" s="1">
        <f>(Tabela1[[#This Row],[x]]-H$3)*(Tabela1[[#This Row],[x]]-H$3) +(Tabela1[[#This Row],[y]]-H$4)*(Tabela1[[#This Row],[y]]-H$4)</f>
        <v>60265</v>
      </c>
      <c r="D8782" s="1">
        <f>IF(Tabela1[[#This Row],[promien]]&lt;40000,1,0)</f>
        <v>0</v>
      </c>
      <c r="E8782" s="1">
        <f>IF(Tabela1[[#This Row],[promien]]=40000,1,0)</f>
        <v>0</v>
      </c>
      <c r="F8782" s="1">
        <v>3.1409701662491458</v>
      </c>
      <c r="G8782" s="1">
        <v>6.2248734064729305E-4</v>
      </c>
    </row>
    <row r="8783" spans="1:7">
      <c r="A8783">
        <v>121</v>
      </c>
      <c r="B8783">
        <v>214</v>
      </c>
      <c r="C8783" s="1">
        <f>(Tabela1[[#This Row],[x]]-H$3)*(Tabela1[[#This Row],[x]]-H$3) +(Tabela1[[#This Row],[y]]-H$4)*(Tabela1[[#This Row],[y]]-H$4)</f>
        <v>6437</v>
      </c>
      <c r="D8783" s="1">
        <f>IF(Tabela1[[#This Row],[promien]]&lt;40000,1,0)</f>
        <v>1</v>
      </c>
      <c r="E8783" s="1">
        <f>IF(Tabela1[[#This Row],[promien]]=40000,1,0)</f>
        <v>0</v>
      </c>
      <c r="F8783" s="1">
        <v>3.1410679722190595</v>
      </c>
      <c r="G8783" s="1">
        <v>5.2468137073358179E-4</v>
      </c>
    </row>
    <row r="8784" spans="1:7">
      <c r="A8784">
        <v>354</v>
      </c>
      <c r="B8784">
        <v>196</v>
      </c>
      <c r="C8784" s="1">
        <f>(Tabela1[[#This Row],[x]]-H$3)*(Tabela1[[#This Row],[x]]-H$3) +(Tabela1[[#This Row],[y]]-H$4)*(Tabela1[[#This Row],[y]]-H$4)</f>
        <v>23732</v>
      </c>
      <c r="D8784" s="1">
        <f>IF(Tabela1[[#This Row],[promien]]&lt;40000,1,0)</f>
        <v>1</v>
      </c>
      <c r="E8784" s="1">
        <f>IF(Tabela1[[#This Row],[promien]]=40000,1,0)</f>
        <v>0</v>
      </c>
      <c r="F8784" s="1">
        <v>3.1411657559198543</v>
      </c>
      <c r="G8784" s="1">
        <v>4.268976699388638E-4</v>
      </c>
    </row>
    <row r="8785" spans="1:7">
      <c r="A8785">
        <v>178</v>
      </c>
      <c r="B8785">
        <v>317</v>
      </c>
      <c r="C8785" s="1">
        <f>(Tabela1[[#This Row],[x]]-H$3)*(Tabela1[[#This Row],[x]]-H$3) +(Tabela1[[#This Row],[y]]-H$4)*(Tabela1[[#This Row],[y]]-H$4)</f>
        <v>14173</v>
      </c>
      <c r="D8785" s="1">
        <f>IF(Tabela1[[#This Row],[promien]]&lt;40000,1,0)</f>
        <v>1</v>
      </c>
      <c r="E8785" s="1">
        <f>IF(Tabela1[[#This Row],[promien]]=40000,1,0)</f>
        <v>0</v>
      </c>
      <c r="F8785" s="1">
        <v>3.141263517359135</v>
      </c>
      <c r="G8785" s="1">
        <v>3.2913623065811137E-4</v>
      </c>
    </row>
    <row r="8786" spans="1:7">
      <c r="A8786">
        <v>167</v>
      </c>
      <c r="B8786">
        <v>253</v>
      </c>
      <c r="C8786" s="1">
        <f>(Tabela1[[#This Row],[x]]-H$3)*(Tabela1[[#This Row],[x]]-H$3) +(Tabela1[[#This Row],[y]]-H$4)*(Tabela1[[#This Row],[y]]-H$4)</f>
        <v>3898</v>
      </c>
      <c r="D8786" s="1">
        <f>IF(Tabela1[[#This Row],[promien]]&lt;40000,1,0)</f>
        <v>1</v>
      </c>
      <c r="E8786" s="1">
        <f>IF(Tabela1[[#This Row],[promien]]=40000,1,0)</f>
        <v>0</v>
      </c>
      <c r="F8786" s="1">
        <v>3.1413612565445028</v>
      </c>
      <c r="G8786" s="1">
        <v>2.3139704529029359E-4</v>
      </c>
    </row>
    <row r="8787" spans="1:7">
      <c r="A8787">
        <v>270</v>
      </c>
      <c r="B8787">
        <v>346</v>
      </c>
      <c r="C8787" s="1">
        <f>(Tabela1[[#This Row],[x]]-H$3)*(Tabela1[[#This Row],[x]]-H$3) +(Tabela1[[#This Row],[y]]-H$4)*(Tabela1[[#This Row],[y]]-H$4)</f>
        <v>26216</v>
      </c>
      <c r="D8787" s="1">
        <f>IF(Tabela1[[#This Row],[promien]]&lt;40000,1,0)</f>
        <v>1</v>
      </c>
      <c r="E8787" s="1">
        <f>IF(Tabela1[[#This Row],[promien]]=40000,1,0)</f>
        <v>0</v>
      </c>
      <c r="F8787" s="1">
        <v>3.1414589734835552</v>
      </c>
      <c r="G8787" s="1">
        <v>1.3368010623793225E-4</v>
      </c>
    </row>
    <row r="8788" spans="1:7">
      <c r="A8788">
        <v>280</v>
      </c>
      <c r="B8788">
        <v>343</v>
      </c>
      <c r="C8788" s="1">
        <f>(Tabela1[[#This Row],[x]]-H$3)*(Tabela1[[#This Row],[x]]-H$3) +(Tabela1[[#This Row],[y]]-H$4)*(Tabela1[[#This Row],[y]]-H$4)</f>
        <v>26849</v>
      </c>
      <c r="D8788" s="1">
        <f>IF(Tabela1[[#This Row],[promien]]&lt;40000,1,0)</f>
        <v>1</v>
      </c>
      <c r="E8788" s="1">
        <f>IF(Tabela1[[#This Row],[promien]]=40000,1,0)</f>
        <v>0</v>
      </c>
      <c r="F8788" s="1">
        <v>3.1415566681838869</v>
      </c>
      <c r="G8788" s="1">
        <v>3.5985405906213686E-5</v>
      </c>
    </row>
    <row r="8789" spans="1:7">
      <c r="A8789">
        <v>389</v>
      </c>
      <c r="B8789">
        <v>318</v>
      </c>
      <c r="C8789" s="1">
        <f>(Tabela1[[#This Row],[x]]-H$3)*(Tabela1[[#This Row],[x]]-H$3) +(Tabela1[[#This Row],[y]]-H$4)*(Tabela1[[#This Row],[y]]-H$4)</f>
        <v>49645</v>
      </c>
      <c r="D8789" s="1">
        <f>IF(Tabela1[[#This Row],[promien]]&lt;40000,1,0)</f>
        <v>0</v>
      </c>
      <c r="E8789" s="1">
        <f>IF(Tabela1[[#This Row],[promien]]=40000,1,0)</f>
        <v>0</v>
      </c>
      <c r="F8789" s="1">
        <v>3.1411992263056092</v>
      </c>
      <c r="G8789" s="1">
        <v>3.9342728418390038E-4</v>
      </c>
    </row>
    <row r="8790" spans="1:7">
      <c r="A8790">
        <v>69</v>
      </c>
      <c r="B8790">
        <v>165</v>
      </c>
      <c r="C8790" s="1">
        <f>(Tabela1[[#This Row],[x]]-H$3)*(Tabela1[[#This Row],[x]]-H$3) +(Tabela1[[#This Row],[y]]-H$4)*(Tabela1[[#This Row],[y]]-H$4)</f>
        <v>18386</v>
      </c>
      <c r="D8790" s="1">
        <f>IF(Tabela1[[#This Row],[promien]]&lt;40000,1,0)</f>
        <v>1</v>
      </c>
      <c r="E8790" s="1">
        <f>IF(Tabela1[[#This Row],[promien]]=40000,1,0)</f>
        <v>0</v>
      </c>
      <c r="F8790" s="1">
        <v>3.1412969283276451</v>
      </c>
      <c r="G8790" s="1">
        <v>2.9572526214804995E-4</v>
      </c>
    </row>
    <row r="8791" spans="1:7">
      <c r="A8791">
        <v>273</v>
      </c>
      <c r="B8791">
        <v>371</v>
      </c>
      <c r="C8791" s="1">
        <f>(Tabela1[[#This Row],[x]]-H$3)*(Tabela1[[#This Row],[x]]-H$3) +(Tabela1[[#This Row],[y]]-H$4)*(Tabela1[[#This Row],[y]]-H$4)</f>
        <v>34570</v>
      </c>
      <c r="D8791" s="1">
        <f>IF(Tabela1[[#This Row],[promien]]&lt;40000,1,0)</f>
        <v>1</v>
      </c>
      <c r="E8791" s="1">
        <f>IF(Tabela1[[#This Row],[promien]]=40000,1,0)</f>
        <v>0</v>
      </c>
      <c r="F8791" s="1">
        <v>3.141394608121943</v>
      </c>
      <c r="G8791" s="1">
        <v>1.9804546785007204E-4</v>
      </c>
    </row>
    <row r="8792" spans="1:7">
      <c r="A8792">
        <v>301</v>
      </c>
      <c r="B8792">
        <v>212</v>
      </c>
      <c r="C8792" s="1">
        <f>(Tabela1[[#This Row],[x]]-H$3)*(Tabela1[[#This Row],[x]]-H$3) +(Tabela1[[#This Row],[y]]-H$4)*(Tabela1[[#This Row],[y]]-H$4)</f>
        <v>10345</v>
      </c>
      <c r="D8792" s="1">
        <f>IF(Tabela1[[#This Row],[promien]]&lt;40000,1,0)</f>
        <v>1</v>
      </c>
      <c r="E8792" s="1">
        <f>IF(Tabela1[[#This Row],[promien]]=40000,1,0)</f>
        <v>0</v>
      </c>
      <c r="F8792" s="1">
        <v>3.1414922656960873</v>
      </c>
      <c r="G8792" s="1">
        <v>1.0038789370581114E-4</v>
      </c>
    </row>
    <row r="8793" spans="1:7">
      <c r="A8793">
        <v>125</v>
      </c>
      <c r="B8793">
        <v>364</v>
      </c>
      <c r="C8793" s="1">
        <f>(Tabela1[[#This Row],[x]]-H$3)*(Tabela1[[#This Row],[x]]-H$3) +(Tabela1[[#This Row],[y]]-H$4)*(Tabela1[[#This Row],[y]]-H$4)</f>
        <v>32521</v>
      </c>
      <c r="D8793" s="1">
        <f>IF(Tabela1[[#This Row],[promien]]&lt;40000,1,0)</f>
        <v>1</v>
      </c>
      <c r="E8793" s="1">
        <f>IF(Tabela1[[#This Row],[promien]]=40000,1,0)</f>
        <v>0</v>
      </c>
      <c r="F8793" s="1">
        <v>3.1415899010576593</v>
      </c>
      <c r="G8793" s="1">
        <v>2.7525321337762421E-6</v>
      </c>
    </row>
    <row r="8794" spans="1:7">
      <c r="A8794">
        <v>216</v>
      </c>
      <c r="B8794">
        <v>346</v>
      </c>
      <c r="C8794" s="1">
        <f>(Tabela1[[#This Row],[x]]-H$3)*(Tabela1[[#This Row],[x]]-H$3) +(Tabela1[[#This Row],[y]]-H$4)*(Tabela1[[#This Row],[y]]-H$4)</f>
        <v>21572</v>
      </c>
      <c r="D8794" s="1">
        <f>IF(Tabela1[[#This Row],[promien]]&lt;40000,1,0)</f>
        <v>1</v>
      </c>
      <c r="E8794" s="1">
        <f>IF(Tabela1[[#This Row],[promien]]=40000,1,0)</f>
        <v>0</v>
      </c>
      <c r="F8794" s="1">
        <v>3.1416875142142371</v>
      </c>
      <c r="G8794" s="1">
        <v>9.486062444397092E-5</v>
      </c>
    </row>
    <row r="8795" spans="1:7">
      <c r="A8795">
        <v>82</v>
      </c>
      <c r="B8795">
        <v>324</v>
      </c>
      <c r="C8795" s="1">
        <f>(Tabela1[[#This Row],[x]]-H$3)*(Tabela1[[#This Row],[x]]-H$3) +(Tabela1[[#This Row],[y]]-H$4)*(Tabela1[[#This Row],[y]]-H$4)</f>
        <v>29300</v>
      </c>
      <c r="D8795" s="1">
        <f>IF(Tabela1[[#This Row],[promien]]&lt;40000,1,0)</f>
        <v>1</v>
      </c>
      <c r="E8795" s="1">
        <f>IF(Tabela1[[#This Row],[promien]]=40000,1,0)</f>
        <v>0</v>
      </c>
      <c r="F8795" s="1">
        <v>3.141785105173394</v>
      </c>
      <c r="G8795" s="1">
        <v>1.9245158360092773E-4</v>
      </c>
    </row>
    <row r="8796" spans="1:7">
      <c r="A8796">
        <v>15</v>
      </c>
      <c r="B8796">
        <v>63</v>
      </c>
      <c r="C8796" s="1">
        <f>(Tabela1[[#This Row],[x]]-H$3)*(Tabela1[[#This Row],[x]]-H$3) +(Tabela1[[#This Row],[y]]-H$4)*(Tabela1[[#This Row],[y]]-H$4)</f>
        <v>52994</v>
      </c>
      <c r="D8796" s="1">
        <f>IF(Tabela1[[#This Row],[promien]]&lt;40000,1,0)</f>
        <v>0</v>
      </c>
      <c r="E8796" s="1">
        <f>IF(Tabela1[[#This Row],[promien]]=40000,1,0)</f>
        <v>0</v>
      </c>
      <c r="F8796" s="1">
        <v>3.1414279217826286</v>
      </c>
      <c r="G8796" s="1">
        <v>1.6473180716447544E-4</v>
      </c>
    </row>
    <row r="8797" spans="1:7">
      <c r="A8797">
        <v>148</v>
      </c>
      <c r="B8797">
        <v>54</v>
      </c>
      <c r="C8797" s="1">
        <f>(Tabela1[[#This Row],[x]]-H$3)*(Tabela1[[#This Row],[x]]-H$3) +(Tabela1[[#This Row],[y]]-H$4)*(Tabela1[[#This Row],[y]]-H$4)</f>
        <v>24020</v>
      </c>
      <c r="D8797" s="1">
        <f>IF(Tabela1[[#This Row],[promien]]&lt;40000,1,0)</f>
        <v>1</v>
      </c>
      <c r="E8797" s="1">
        <f>IF(Tabela1[[#This Row],[promien]]=40000,1,0)</f>
        <v>0</v>
      </c>
      <c r="F8797" s="1">
        <v>3.141525520063658</v>
      </c>
      <c r="G8797" s="1">
        <v>6.7133526135076949E-5</v>
      </c>
    </row>
    <row r="8798" spans="1:7">
      <c r="A8798">
        <v>86</v>
      </c>
      <c r="B8798">
        <v>42</v>
      </c>
      <c r="C8798" s="1">
        <f>(Tabela1[[#This Row],[x]]-H$3)*(Tabela1[[#This Row],[x]]-H$3) +(Tabela1[[#This Row],[y]]-H$4)*(Tabela1[[#This Row],[y]]-H$4)</f>
        <v>37960</v>
      </c>
      <c r="D8798" s="1">
        <f>IF(Tabela1[[#This Row],[promien]]&lt;40000,1,0)</f>
        <v>1</v>
      </c>
      <c r="E8798" s="1">
        <f>IF(Tabela1[[#This Row],[promien]]=40000,1,0)</f>
        <v>0</v>
      </c>
      <c r="F8798" s="1">
        <v>3.1416230961582179</v>
      </c>
      <c r="G8798" s="1">
        <v>3.044256842477111E-5</v>
      </c>
    </row>
    <row r="8799" spans="1:7">
      <c r="A8799">
        <v>236</v>
      </c>
      <c r="B8799">
        <v>124</v>
      </c>
      <c r="C8799" s="1">
        <f>(Tabela1[[#This Row],[x]]-H$3)*(Tabela1[[#This Row],[x]]-H$3) +(Tabela1[[#This Row],[y]]-H$4)*(Tabela1[[#This Row],[y]]-H$4)</f>
        <v>7072</v>
      </c>
      <c r="D8799" s="1">
        <f>IF(Tabela1[[#This Row],[promien]]&lt;40000,1,0)</f>
        <v>1</v>
      </c>
      <c r="E8799" s="1">
        <f>IF(Tabela1[[#This Row],[promien]]=40000,1,0)</f>
        <v>0</v>
      </c>
      <c r="F8799" s="1">
        <v>3.1417206500738719</v>
      </c>
      <c r="G8799" s="1">
        <v>1.2799648407879616E-4</v>
      </c>
    </row>
    <row r="8800" spans="1:7">
      <c r="A8800">
        <v>182</v>
      </c>
      <c r="B8800">
        <v>58</v>
      </c>
      <c r="C8800" s="1">
        <f>(Tabela1[[#This Row],[x]]-H$3)*(Tabela1[[#This Row],[x]]-H$3) +(Tabela1[[#This Row],[y]]-H$4)*(Tabela1[[#This Row],[y]]-H$4)</f>
        <v>20488</v>
      </c>
      <c r="D8800" s="1">
        <f>IF(Tabela1[[#This Row],[promien]]&lt;40000,1,0)</f>
        <v>1</v>
      </c>
      <c r="E8800" s="1">
        <f>IF(Tabela1[[#This Row],[promien]]=40000,1,0)</f>
        <v>0</v>
      </c>
      <c r="F8800" s="1">
        <v>3.1418181818181816</v>
      </c>
      <c r="G8800" s="1">
        <v>2.2552822838850517E-4</v>
      </c>
    </row>
    <row r="8801" spans="1:7">
      <c r="A8801">
        <v>149</v>
      </c>
      <c r="B8801">
        <v>130</v>
      </c>
      <c r="C8801" s="1">
        <f>(Tabela1[[#This Row],[x]]-H$3)*(Tabela1[[#This Row],[x]]-H$3) +(Tabela1[[#This Row],[y]]-H$4)*(Tabela1[[#This Row],[y]]-H$4)</f>
        <v>7501</v>
      </c>
      <c r="D8801" s="1">
        <f>IF(Tabela1[[#This Row],[promien]]&lt;40000,1,0)</f>
        <v>1</v>
      </c>
      <c r="E8801" s="1">
        <f>IF(Tabela1[[#This Row],[promien]]=40000,1,0)</f>
        <v>0</v>
      </c>
      <c r="F8801" s="1">
        <v>3.1419156913987045</v>
      </c>
      <c r="G8801" s="1">
        <v>3.2303780891140832E-4</v>
      </c>
    </row>
    <row r="8802" spans="1:7">
      <c r="A8802">
        <v>162</v>
      </c>
      <c r="B8802">
        <v>269</v>
      </c>
      <c r="C8802" s="1">
        <f>(Tabela1[[#This Row],[x]]-H$3)*(Tabela1[[#This Row],[x]]-H$3) +(Tabela1[[#This Row],[y]]-H$4)*(Tabela1[[#This Row],[y]]-H$4)</f>
        <v>6205</v>
      </c>
      <c r="D8802" s="1">
        <f>IF(Tabela1[[#This Row],[promien]]&lt;40000,1,0)</f>
        <v>1</v>
      </c>
      <c r="E8802" s="1">
        <f>IF(Tabela1[[#This Row],[promien]]=40000,1,0)</f>
        <v>0</v>
      </c>
      <c r="F8802" s="1">
        <v>3.1420131788229946</v>
      </c>
      <c r="G8802" s="1">
        <v>4.2052523320146307E-4</v>
      </c>
    </row>
    <row r="8803" spans="1:7">
      <c r="A8803">
        <v>358</v>
      </c>
      <c r="B8803">
        <v>288</v>
      </c>
      <c r="C8803" s="1">
        <f>(Tabela1[[#This Row],[x]]-H$3)*(Tabela1[[#This Row],[x]]-H$3) +(Tabela1[[#This Row],[y]]-H$4)*(Tabela1[[#This Row],[y]]-H$4)</f>
        <v>32708</v>
      </c>
      <c r="D8803" s="1">
        <f>IF(Tabela1[[#This Row],[promien]]&lt;40000,1,0)</f>
        <v>1</v>
      </c>
      <c r="E8803" s="1">
        <f>IF(Tabela1[[#This Row],[promien]]=40000,1,0)</f>
        <v>0</v>
      </c>
      <c r="F8803" s="1">
        <v>3.1421106440986026</v>
      </c>
      <c r="G8803" s="1">
        <v>5.1799050880951825E-4</v>
      </c>
    </row>
    <row r="8804" spans="1:7">
      <c r="A8804">
        <v>145</v>
      </c>
      <c r="B8804">
        <v>158</v>
      </c>
      <c r="C8804" s="1">
        <f>(Tabela1[[#This Row],[x]]-H$3)*(Tabela1[[#This Row],[x]]-H$3) +(Tabela1[[#This Row],[y]]-H$4)*(Tabela1[[#This Row],[y]]-H$4)</f>
        <v>4789</v>
      </c>
      <c r="D8804" s="1">
        <f>IF(Tabela1[[#This Row],[promien]]&lt;40000,1,0)</f>
        <v>1</v>
      </c>
      <c r="E8804" s="1">
        <f>IF(Tabela1[[#This Row],[promien]]=40000,1,0)</f>
        <v>0</v>
      </c>
      <c r="F8804" s="1">
        <v>3.142208087233076</v>
      </c>
      <c r="G8804" s="1">
        <v>6.1543364328286998E-4</v>
      </c>
    </row>
    <row r="8805" spans="1:7">
      <c r="A8805">
        <v>56</v>
      </c>
      <c r="B8805">
        <v>196</v>
      </c>
      <c r="C8805" s="1">
        <f>(Tabela1[[#This Row],[x]]-H$3)*(Tabela1[[#This Row],[x]]-H$3) +(Tabela1[[#This Row],[y]]-H$4)*(Tabela1[[#This Row],[y]]-H$4)</f>
        <v>20752</v>
      </c>
      <c r="D8805" s="1">
        <f>IF(Tabela1[[#This Row],[promien]]&lt;40000,1,0)</f>
        <v>1</v>
      </c>
      <c r="E8805" s="1">
        <f>IF(Tabela1[[#This Row],[promien]]=40000,1,0)</f>
        <v>0</v>
      </c>
      <c r="F8805" s="1">
        <v>3.1423055082339579</v>
      </c>
      <c r="G8805" s="1">
        <v>7.1285464416481759E-4</v>
      </c>
    </row>
    <row r="8806" spans="1:7">
      <c r="A8806">
        <v>364</v>
      </c>
      <c r="B8806">
        <v>374</v>
      </c>
      <c r="C8806" s="1">
        <f>(Tabela1[[#This Row],[x]]-H$3)*(Tabela1[[#This Row],[x]]-H$3) +(Tabela1[[#This Row],[y]]-H$4)*(Tabela1[[#This Row],[y]]-H$4)</f>
        <v>57172</v>
      </c>
      <c r="D8806" s="1">
        <f>IF(Tabela1[[#This Row],[promien]]&lt;40000,1,0)</f>
        <v>0</v>
      </c>
      <c r="E8806" s="1">
        <f>IF(Tabela1[[#This Row],[promien]]=40000,1,0)</f>
        <v>0</v>
      </c>
      <c r="F8806" s="1">
        <v>3.1419486713604359</v>
      </c>
      <c r="G8806" s="1">
        <v>3.5601777064275808E-4</v>
      </c>
    </row>
    <row r="8807" spans="1:7">
      <c r="A8807">
        <v>336</v>
      </c>
      <c r="B8807">
        <v>196</v>
      </c>
      <c r="C8807" s="1">
        <f>(Tabela1[[#This Row],[x]]-H$3)*(Tabela1[[#This Row],[x]]-H$3) +(Tabela1[[#This Row],[y]]-H$4)*(Tabela1[[#This Row],[y]]-H$4)</f>
        <v>18512</v>
      </c>
      <c r="D8807" s="1">
        <f>IF(Tabela1[[#This Row],[promien]]&lt;40000,1,0)</f>
        <v>1</v>
      </c>
      <c r="E8807" s="1">
        <f>IF(Tabela1[[#This Row],[promien]]=40000,1,0)</f>
        <v>0</v>
      </c>
      <c r="F8807" s="1">
        <v>3.1420460996934256</v>
      </c>
      <c r="G8807" s="1">
        <v>4.5344610363251547E-4</v>
      </c>
    </row>
    <row r="8808" spans="1:7">
      <c r="A8808">
        <v>387</v>
      </c>
      <c r="B8808">
        <v>211</v>
      </c>
      <c r="C8808" s="1">
        <f>(Tabela1[[#This Row],[x]]-H$3)*(Tabela1[[#This Row],[x]]-H$3) +(Tabela1[[#This Row],[y]]-H$4)*(Tabela1[[#This Row],[y]]-H$4)</f>
        <v>35090</v>
      </c>
      <c r="D8808" s="1">
        <f>IF(Tabela1[[#This Row],[promien]]&lt;40000,1,0)</f>
        <v>1</v>
      </c>
      <c r="E8808" s="1">
        <f>IF(Tabela1[[#This Row],[promien]]=40000,1,0)</f>
        <v>0</v>
      </c>
      <c r="F8808" s="1">
        <v>3.1421435059037237</v>
      </c>
      <c r="G8808" s="1">
        <v>5.5085231393059431E-4</v>
      </c>
    </row>
    <row r="8809" spans="1:7">
      <c r="A8809">
        <v>148</v>
      </c>
      <c r="B8809">
        <v>215</v>
      </c>
      <c r="C8809" s="1">
        <f>(Tabela1[[#This Row],[x]]-H$3)*(Tabela1[[#This Row],[x]]-H$3) +(Tabela1[[#This Row],[y]]-H$4)*(Tabela1[[#This Row],[y]]-H$4)</f>
        <v>2929</v>
      </c>
      <c r="D8809" s="1">
        <f>IF(Tabela1[[#This Row],[promien]]&lt;40000,1,0)</f>
        <v>1</v>
      </c>
      <c r="E8809" s="1">
        <f>IF(Tabela1[[#This Row],[promien]]=40000,1,0)</f>
        <v>0</v>
      </c>
      <c r="F8809" s="1">
        <v>3.142240889998865</v>
      </c>
      <c r="G8809" s="1">
        <v>6.482364090718562E-4</v>
      </c>
    </row>
    <row r="8810" spans="1:7">
      <c r="A8810">
        <v>163</v>
      </c>
      <c r="B8810">
        <v>131</v>
      </c>
      <c r="C8810" s="1">
        <f>(Tabela1[[#This Row],[x]]-H$3)*(Tabela1[[#This Row],[x]]-H$3) +(Tabela1[[#This Row],[y]]-H$4)*(Tabela1[[#This Row],[y]]-H$4)</f>
        <v>6130</v>
      </c>
      <c r="D8810" s="1">
        <f>IF(Tabela1[[#This Row],[promien]]&lt;40000,1,0)</f>
        <v>1</v>
      </c>
      <c r="E8810" s="1">
        <f>IF(Tabela1[[#This Row],[promien]]=40000,1,0)</f>
        <v>0</v>
      </c>
      <c r="F8810" s="1">
        <v>3.1423382519863789</v>
      </c>
      <c r="G8810" s="1">
        <v>7.4559839658583371E-4</v>
      </c>
    </row>
    <row r="8811" spans="1:7">
      <c r="A8811">
        <v>393</v>
      </c>
      <c r="B8811">
        <v>66</v>
      </c>
      <c r="C8811" s="1">
        <f>(Tabela1[[#This Row],[x]]-H$3)*(Tabela1[[#This Row],[x]]-H$3) +(Tabela1[[#This Row],[y]]-H$4)*(Tabela1[[#This Row],[y]]-H$4)</f>
        <v>55205</v>
      </c>
      <c r="D8811" s="1">
        <f>IF(Tabela1[[#This Row],[promien]]&lt;40000,1,0)</f>
        <v>0</v>
      </c>
      <c r="E8811" s="1">
        <f>IF(Tabela1[[#This Row],[promien]]=40000,1,0)</f>
        <v>0</v>
      </c>
      <c r="F8811" s="1">
        <v>3.1419816138917263</v>
      </c>
      <c r="G8811" s="1">
        <v>3.8896030193313891E-4</v>
      </c>
    </row>
    <row r="8812" spans="1:7">
      <c r="A8812">
        <v>64</v>
      </c>
      <c r="B8812">
        <v>335</v>
      </c>
      <c r="C8812" s="1">
        <f>(Tabela1[[#This Row],[x]]-H$3)*(Tabela1[[#This Row],[x]]-H$3) +(Tabela1[[#This Row],[y]]-H$4)*(Tabela1[[#This Row],[y]]-H$4)</f>
        <v>36721</v>
      </c>
      <c r="D8812" s="1">
        <f>IF(Tabela1[[#This Row],[promien]]&lt;40000,1,0)</f>
        <v>1</v>
      </c>
      <c r="E8812" s="1">
        <f>IF(Tabela1[[#This Row],[promien]]=40000,1,0)</f>
        <v>0</v>
      </c>
      <c r="F8812" s="1">
        <v>3.1420789832047209</v>
      </c>
      <c r="G8812" s="1">
        <v>4.8632961492778293E-4</v>
      </c>
    </row>
    <row r="8813" spans="1:7">
      <c r="A8813">
        <v>288</v>
      </c>
      <c r="B8813">
        <v>79</v>
      </c>
      <c r="C8813" s="1">
        <f>(Tabela1[[#This Row],[x]]-H$3)*(Tabela1[[#This Row],[x]]-H$3) +(Tabela1[[#This Row],[y]]-H$4)*(Tabela1[[#This Row],[y]]-H$4)</f>
        <v>22385</v>
      </c>
      <c r="D8813" s="1">
        <f>IF(Tabela1[[#This Row],[promien]]&lt;40000,1,0)</f>
        <v>1</v>
      </c>
      <c r="E8813" s="1">
        <f>IF(Tabela1[[#This Row],[promien]]=40000,1,0)</f>
        <v>0</v>
      </c>
      <c r="F8813" s="1">
        <v>3.1421763304209689</v>
      </c>
      <c r="G8813" s="1">
        <v>5.8367683117577229E-4</v>
      </c>
    </row>
    <row r="8814" spans="1:7">
      <c r="A8814">
        <v>171</v>
      </c>
      <c r="B8814">
        <v>65</v>
      </c>
      <c r="C8814" s="1">
        <f>(Tabela1[[#This Row],[x]]-H$3)*(Tabela1[[#This Row],[x]]-H$3) +(Tabela1[[#This Row],[y]]-H$4)*(Tabela1[[#This Row],[y]]-H$4)</f>
        <v>19066</v>
      </c>
      <c r="D8814" s="1">
        <f>IF(Tabela1[[#This Row],[promien]]&lt;40000,1,0)</f>
        <v>1</v>
      </c>
      <c r="E8814" s="1">
        <f>IF(Tabela1[[#This Row],[promien]]=40000,1,0)</f>
        <v>0</v>
      </c>
      <c r="F8814" s="1">
        <v>3.1422736555479918</v>
      </c>
      <c r="G8814" s="1">
        <v>6.8100195819864595E-4</v>
      </c>
    </row>
    <row r="8815" spans="1:7">
      <c r="A8815">
        <v>39</v>
      </c>
      <c r="B8815">
        <v>193</v>
      </c>
      <c r="C8815" s="1">
        <f>(Tabela1[[#This Row],[x]]-H$3)*(Tabela1[[#This Row],[x]]-H$3) +(Tabela1[[#This Row],[y]]-H$4)*(Tabela1[[#This Row],[y]]-H$4)</f>
        <v>25970</v>
      </c>
      <c r="D8815" s="1">
        <f>IF(Tabela1[[#This Row],[promien]]&lt;40000,1,0)</f>
        <v>1</v>
      </c>
      <c r="E8815" s="1">
        <f>IF(Tabela1[[#This Row],[promien]]=40000,1,0)</f>
        <v>0</v>
      </c>
      <c r="F8815" s="1">
        <v>3.1423709585933071</v>
      </c>
      <c r="G8815" s="1">
        <v>7.7830500351394605E-4</v>
      </c>
    </row>
    <row r="8816" spans="1:7">
      <c r="A8816">
        <v>14</v>
      </c>
      <c r="B8816">
        <v>210</v>
      </c>
      <c r="C8816" s="1">
        <f>(Tabela1[[#This Row],[x]]-H$3)*(Tabela1[[#This Row],[x]]-H$3) +(Tabela1[[#This Row],[y]]-H$4)*(Tabela1[[#This Row],[y]]-H$4)</f>
        <v>34696</v>
      </c>
      <c r="D8816" s="1">
        <f>IF(Tabela1[[#This Row],[promien]]&lt;40000,1,0)</f>
        <v>1</v>
      </c>
      <c r="E8816" s="1">
        <f>IF(Tabela1[[#This Row],[promien]]=40000,1,0)</f>
        <v>0</v>
      </c>
      <c r="F8816" s="1">
        <v>3.1424682395644283</v>
      </c>
      <c r="G8816" s="1">
        <v>8.7558597463521792E-4</v>
      </c>
    </row>
    <row r="8817" spans="1:7">
      <c r="A8817">
        <v>353</v>
      </c>
      <c r="B8817">
        <v>58</v>
      </c>
      <c r="C8817" s="1">
        <f>(Tabela1[[#This Row],[x]]-H$3)*(Tabela1[[#This Row],[x]]-H$3) +(Tabela1[[#This Row],[y]]-H$4)*(Tabela1[[#This Row],[y]]-H$4)</f>
        <v>43573</v>
      </c>
      <c r="D8817" s="1">
        <f>IF(Tabela1[[#This Row],[promien]]&lt;40000,1,0)</f>
        <v>0</v>
      </c>
      <c r="E8817" s="1">
        <f>IF(Tabela1[[#This Row],[promien]]=40000,1,0)</f>
        <v>0</v>
      </c>
      <c r="F8817" s="1">
        <v>3.142111829420438</v>
      </c>
      <c r="G8817" s="1">
        <v>5.1917583064486905E-4</v>
      </c>
    </row>
    <row r="8818" spans="1:7">
      <c r="A8818">
        <v>149</v>
      </c>
      <c r="B8818">
        <v>150</v>
      </c>
      <c r="C8818" s="1">
        <f>(Tabela1[[#This Row],[x]]-H$3)*(Tabela1[[#This Row],[x]]-H$3) +(Tabela1[[#This Row],[y]]-H$4)*(Tabela1[[#This Row],[y]]-H$4)</f>
        <v>5101</v>
      </c>
      <c r="D8818" s="1">
        <f>IF(Tabela1[[#This Row],[promien]]&lt;40000,1,0)</f>
        <v>1</v>
      </c>
      <c r="E8818" s="1">
        <f>IF(Tabela1[[#This Row],[promien]]=40000,1,0)</f>
        <v>0</v>
      </c>
      <c r="F8818" s="1">
        <v>3.1422091177137674</v>
      </c>
      <c r="G8818" s="1">
        <v>6.1646412397431405E-4</v>
      </c>
    </row>
    <row r="8819" spans="1:7">
      <c r="A8819">
        <v>133</v>
      </c>
      <c r="B8819">
        <v>147</v>
      </c>
      <c r="C8819" s="1">
        <f>(Tabela1[[#This Row],[x]]-H$3)*(Tabela1[[#This Row],[x]]-H$3) +(Tabela1[[#This Row],[y]]-H$4)*(Tabela1[[#This Row],[y]]-H$4)</f>
        <v>7298</v>
      </c>
      <c r="D8819" s="1">
        <f>IF(Tabela1[[#This Row],[promien]]&lt;40000,1,0)</f>
        <v>1</v>
      </c>
      <c r="E8819" s="1">
        <f>IF(Tabela1[[#This Row],[promien]]=40000,1,0)</f>
        <v>0</v>
      </c>
      <c r="F8819" s="1">
        <v>3.1423063839437577</v>
      </c>
      <c r="G8819" s="1">
        <v>7.1373035396460338E-4</v>
      </c>
    </row>
    <row r="8820" spans="1:7">
      <c r="A8820">
        <v>313</v>
      </c>
      <c r="B8820">
        <v>146</v>
      </c>
      <c r="C8820" s="1">
        <f>(Tabela1[[#This Row],[x]]-H$3)*(Tabela1[[#This Row],[x]]-H$3) +(Tabela1[[#This Row],[y]]-H$4)*(Tabela1[[#This Row],[y]]-H$4)</f>
        <v>15685</v>
      </c>
      <c r="D8820" s="1">
        <f>IF(Tabela1[[#This Row],[promien]]&lt;40000,1,0)</f>
        <v>1</v>
      </c>
      <c r="E8820" s="1">
        <f>IF(Tabela1[[#This Row],[promien]]=40000,1,0)</f>
        <v>0</v>
      </c>
      <c r="F8820" s="1">
        <v>3.142403628117914</v>
      </c>
      <c r="G8820" s="1">
        <v>8.109745281208447E-4</v>
      </c>
    </row>
    <row r="8821" spans="1:7">
      <c r="A8821">
        <v>66</v>
      </c>
      <c r="B8821">
        <v>194</v>
      </c>
      <c r="C8821" s="1">
        <f>(Tabela1[[#This Row],[x]]-H$3)*(Tabela1[[#This Row],[x]]-H$3) +(Tabela1[[#This Row],[y]]-H$4)*(Tabela1[[#This Row],[y]]-H$4)</f>
        <v>17992</v>
      </c>
      <c r="D8821" s="1">
        <f>IF(Tabela1[[#This Row],[promien]]&lt;40000,1,0)</f>
        <v>1</v>
      </c>
      <c r="E8821" s="1">
        <f>IF(Tabela1[[#This Row],[promien]]=40000,1,0)</f>
        <v>0</v>
      </c>
      <c r="F8821" s="1">
        <v>3.1425008502437364</v>
      </c>
      <c r="G8821" s="1">
        <v>9.0819665394326066E-4</v>
      </c>
    </row>
    <row r="8822" spans="1:7">
      <c r="A8822">
        <v>268</v>
      </c>
      <c r="B8822">
        <v>263</v>
      </c>
      <c r="C8822" s="1">
        <f>(Tabela1[[#This Row],[x]]-H$3)*(Tabela1[[#This Row],[x]]-H$3) +(Tabela1[[#This Row],[y]]-H$4)*(Tabela1[[#This Row],[y]]-H$4)</f>
        <v>8593</v>
      </c>
      <c r="D8822" s="1">
        <f>IF(Tabela1[[#This Row],[promien]]&lt;40000,1,0)</f>
        <v>1</v>
      </c>
      <c r="E8822" s="1">
        <f>IF(Tabela1[[#This Row],[promien]]=40000,1,0)</f>
        <v>0</v>
      </c>
      <c r="F8822" s="1">
        <v>3.1425980503287239</v>
      </c>
      <c r="G8822" s="1">
        <v>1.0053967389307417E-3</v>
      </c>
    </row>
    <row r="8823" spans="1:7">
      <c r="A8823">
        <v>113</v>
      </c>
      <c r="B8823">
        <v>151</v>
      </c>
      <c r="C8823" s="1">
        <f>(Tabela1[[#This Row],[x]]-H$3)*(Tabela1[[#This Row],[x]]-H$3) +(Tabela1[[#This Row],[y]]-H$4)*(Tabela1[[#This Row],[y]]-H$4)</f>
        <v>9970</v>
      </c>
      <c r="D8823" s="1">
        <f>IF(Tabela1[[#This Row],[promien]]&lt;40000,1,0)</f>
        <v>1</v>
      </c>
      <c r="E8823" s="1">
        <f>IF(Tabela1[[#This Row],[promien]]=40000,1,0)</f>
        <v>0</v>
      </c>
      <c r="F8823" s="1">
        <v>3.1426952283803695</v>
      </c>
      <c r="G8823" s="1">
        <v>1.102574790576405E-3</v>
      </c>
    </row>
    <row r="8824" spans="1:7">
      <c r="A8824">
        <v>23</v>
      </c>
      <c r="B8824">
        <v>389</v>
      </c>
      <c r="C8824" s="1">
        <f>(Tabela1[[#This Row],[x]]-H$3)*(Tabela1[[#This Row],[x]]-H$3) +(Tabela1[[#This Row],[y]]-H$4)*(Tabela1[[#This Row],[y]]-H$4)</f>
        <v>67050</v>
      </c>
      <c r="D8824" s="1">
        <f>IF(Tabela1[[#This Row],[promien]]&lt;40000,1,0)</f>
        <v>0</v>
      </c>
      <c r="E8824" s="1">
        <f>IF(Tabela1[[#This Row],[promien]]=40000,1,0)</f>
        <v>0</v>
      </c>
      <c r="F8824" s="1">
        <v>3.1423390752493199</v>
      </c>
      <c r="G8824" s="1">
        <v>7.4642165952676365E-4</v>
      </c>
    </row>
    <row r="8825" spans="1:7">
      <c r="A8825">
        <v>261</v>
      </c>
      <c r="B8825">
        <v>297</v>
      </c>
      <c r="C8825" s="1">
        <f>(Tabela1[[#This Row],[x]]-H$3)*(Tabela1[[#This Row],[x]]-H$3) +(Tabela1[[#This Row],[y]]-H$4)*(Tabela1[[#This Row],[y]]-H$4)</f>
        <v>13130</v>
      </c>
      <c r="D8825" s="1">
        <f>IF(Tabela1[[#This Row],[promien]]&lt;40000,1,0)</f>
        <v>1</v>
      </c>
      <c r="E8825" s="1">
        <f>IF(Tabela1[[#This Row],[promien]]=40000,1,0)</f>
        <v>0</v>
      </c>
      <c r="F8825" s="1">
        <v>3.1424362606232297</v>
      </c>
      <c r="G8825" s="1">
        <v>8.436070334365553E-4</v>
      </c>
    </row>
    <row r="8826" spans="1:7">
      <c r="A8826">
        <v>155</v>
      </c>
      <c r="B8826">
        <v>123</v>
      </c>
      <c r="C8826" s="1">
        <f>(Tabela1[[#This Row],[x]]-H$3)*(Tabela1[[#This Row],[x]]-H$3) +(Tabela1[[#This Row],[y]]-H$4)*(Tabela1[[#This Row],[y]]-H$4)</f>
        <v>7954</v>
      </c>
      <c r="D8826" s="1">
        <f>IF(Tabela1[[#This Row],[promien]]&lt;40000,1,0)</f>
        <v>1</v>
      </c>
      <c r="E8826" s="1">
        <f>IF(Tabela1[[#This Row],[promien]]=40000,1,0)</f>
        <v>0</v>
      </c>
      <c r="F8826" s="1">
        <v>3.1425334239746205</v>
      </c>
      <c r="G8826" s="1">
        <v>9.4077038482742736E-4</v>
      </c>
    </row>
    <row r="8827" spans="1:7">
      <c r="A8827">
        <v>79</v>
      </c>
      <c r="B8827">
        <v>275</v>
      </c>
      <c r="C8827" s="1">
        <f>(Tabela1[[#This Row],[x]]-H$3)*(Tabela1[[#This Row],[x]]-H$3) +(Tabela1[[#This Row],[y]]-H$4)*(Tabela1[[#This Row],[y]]-H$4)</f>
        <v>20266</v>
      </c>
      <c r="D8827" s="1">
        <f>IF(Tabela1[[#This Row],[promien]]&lt;40000,1,0)</f>
        <v>1</v>
      </c>
      <c r="E8827" s="1">
        <f>IF(Tabela1[[#This Row],[promien]]=40000,1,0)</f>
        <v>0</v>
      </c>
      <c r="F8827" s="1">
        <v>3.1426305653109776</v>
      </c>
      <c r="G8827" s="1">
        <v>1.0379117211845035E-3</v>
      </c>
    </row>
    <row r="8828" spans="1:7">
      <c r="A8828">
        <v>12</v>
      </c>
      <c r="B8828">
        <v>80</v>
      </c>
      <c r="C8828" s="1">
        <f>(Tabela1[[#This Row],[x]]-H$3)*(Tabela1[[#This Row],[x]]-H$3) +(Tabela1[[#This Row],[y]]-H$4)*(Tabela1[[#This Row],[y]]-H$4)</f>
        <v>49744</v>
      </c>
      <c r="D8828" s="1">
        <f>IF(Tabela1[[#This Row],[promien]]&lt;40000,1,0)</f>
        <v>0</v>
      </c>
      <c r="E8828" s="1">
        <f>IF(Tabela1[[#This Row],[promien]]=40000,1,0)</f>
        <v>0</v>
      </c>
      <c r="F8828" s="1">
        <v>3.1422745808790213</v>
      </c>
      <c r="G8828" s="1">
        <v>6.8192728922822354E-4</v>
      </c>
    </row>
    <row r="8829" spans="1:7">
      <c r="A8829">
        <v>324</v>
      </c>
      <c r="B8829">
        <v>79</v>
      </c>
      <c r="C8829" s="1">
        <f>(Tabela1[[#This Row],[x]]-H$3)*(Tabela1[[#This Row],[x]]-H$3) +(Tabela1[[#This Row],[y]]-H$4)*(Tabela1[[#This Row],[y]]-H$4)</f>
        <v>30017</v>
      </c>
      <c r="D8829" s="1">
        <f>IF(Tabela1[[#This Row],[promien]]&lt;40000,1,0)</f>
        <v>1</v>
      </c>
      <c r="E8829" s="1">
        <f>IF(Tabela1[[#This Row],[promien]]=40000,1,0)</f>
        <v>0</v>
      </c>
      <c r="F8829" s="1">
        <v>3.1423717295276927</v>
      </c>
      <c r="G8829" s="1">
        <v>7.7907593789960927E-4</v>
      </c>
    </row>
    <row r="8830" spans="1:7">
      <c r="A8830">
        <v>186</v>
      </c>
      <c r="B8830">
        <v>221</v>
      </c>
      <c r="C8830" s="1">
        <f>(Tabela1[[#This Row],[x]]-H$3)*(Tabela1[[#This Row],[x]]-H$3) +(Tabela1[[#This Row],[y]]-H$4)*(Tabela1[[#This Row],[y]]-H$4)</f>
        <v>637</v>
      </c>
      <c r="D8830" s="1">
        <f>IF(Tabela1[[#This Row],[promien]]&lt;40000,1,0)</f>
        <v>1</v>
      </c>
      <c r="E8830" s="1">
        <f>IF(Tabela1[[#This Row],[promien]]=40000,1,0)</f>
        <v>0</v>
      </c>
      <c r="F8830" s="1">
        <v>3.1424688561721403</v>
      </c>
      <c r="G8830" s="1">
        <v>8.7620258234721859E-4</v>
      </c>
    </row>
    <row r="8831" spans="1:7">
      <c r="A8831">
        <v>205</v>
      </c>
      <c r="B8831">
        <v>245</v>
      </c>
      <c r="C8831" s="1">
        <f>(Tabela1[[#This Row],[x]]-H$3)*(Tabela1[[#This Row],[x]]-H$3) +(Tabela1[[#This Row],[y]]-H$4)*(Tabela1[[#This Row],[y]]-H$4)</f>
        <v>2050</v>
      </c>
      <c r="D8831" s="1">
        <f>IF(Tabela1[[#This Row],[promien]]&lt;40000,1,0)</f>
        <v>1</v>
      </c>
      <c r="E8831" s="1">
        <f>IF(Tabela1[[#This Row],[promien]]=40000,1,0)</f>
        <v>0</v>
      </c>
      <c r="F8831" s="1">
        <v>3.1425659608198391</v>
      </c>
      <c r="G8831" s="1">
        <v>9.7330723004596109E-4</v>
      </c>
    </row>
    <row r="8832" spans="1:7">
      <c r="A8832">
        <v>32</v>
      </c>
      <c r="B8832">
        <v>119</v>
      </c>
      <c r="C8832" s="1">
        <f>(Tabela1[[#This Row],[x]]-H$3)*(Tabela1[[#This Row],[x]]-H$3) +(Tabela1[[#This Row],[y]]-H$4)*(Tabela1[[#This Row],[y]]-H$4)</f>
        <v>34785</v>
      </c>
      <c r="D8832" s="1">
        <f>IF(Tabela1[[#This Row],[promien]]&lt;40000,1,0)</f>
        <v>1</v>
      </c>
      <c r="E8832" s="1">
        <f>IF(Tabela1[[#This Row],[promien]]=40000,1,0)</f>
        <v>0</v>
      </c>
      <c r="F8832" s="1">
        <v>3.1426630434782608</v>
      </c>
      <c r="G8832" s="1">
        <v>1.0703898884676377E-3</v>
      </c>
    </row>
    <row r="8833" spans="1:7">
      <c r="A8833">
        <v>197</v>
      </c>
      <c r="B8833">
        <v>142</v>
      </c>
      <c r="C8833" s="1">
        <f>(Tabela1[[#This Row],[x]]-H$3)*(Tabela1[[#This Row],[x]]-H$3) +(Tabela1[[#This Row],[y]]-H$4)*(Tabela1[[#This Row],[y]]-H$4)</f>
        <v>3373</v>
      </c>
      <c r="D8833" s="1">
        <f>IF(Tabela1[[#This Row],[promien]]&lt;40000,1,0)</f>
        <v>1</v>
      </c>
      <c r="E8833" s="1">
        <f>IF(Tabela1[[#This Row],[promien]]=40000,1,0)</f>
        <v>0</v>
      </c>
      <c r="F8833" s="1">
        <v>3.1427601041548736</v>
      </c>
      <c r="G8833" s="1">
        <v>1.1674505650804967E-3</v>
      </c>
    </row>
    <row r="8834" spans="1:7">
      <c r="A8834">
        <v>392</v>
      </c>
      <c r="B8834">
        <v>173</v>
      </c>
      <c r="C8834" s="1">
        <f>(Tabela1[[#This Row],[x]]-H$3)*(Tabela1[[#This Row],[x]]-H$3) +(Tabela1[[#This Row],[y]]-H$4)*(Tabela1[[#This Row],[y]]-H$4)</f>
        <v>37593</v>
      </c>
      <c r="D8834" s="1">
        <f>IF(Tabela1[[#This Row],[promien]]&lt;40000,1,0)</f>
        <v>1</v>
      </c>
      <c r="E8834" s="1">
        <f>IF(Tabela1[[#This Row],[promien]]=40000,1,0)</f>
        <v>0</v>
      </c>
      <c r="F8834" s="1">
        <v>3.1428571428571428</v>
      </c>
      <c r="G8834" s="1">
        <v>1.2644892673496777E-3</v>
      </c>
    </row>
    <row r="8835" spans="1:7">
      <c r="A8835">
        <v>261</v>
      </c>
      <c r="B8835">
        <v>60</v>
      </c>
      <c r="C8835" s="1">
        <f>(Tabela1[[#This Row],[x]]-H$3)*(Tabela1[[#This Row],[x]]-H$3) +(Tabela1[[#This Row],[y]]-H$4)*(Tabela1[[#This Row],[y]]-H$4)</f>
        <v>23321</v>
      </c>
      <c r="D8835" s="1">
        <f>IF(Tabela1[[#This Row],[promien]]&lt;40000,1,0)</f>
        <v>1</v>
      </c>
      <c r="E8835" s="1">
        <f>IF(Tabela1[[#This Row],[promien]]=40000,1,0)</f>
        <v>0</v>
      </c>
      <c r="F8835" s="1">
        <v>3.1429541595925299</v>
      </c>
      <c r="G8835" s="1">
        <v>1.3615060027367676E-3</v>
      </c>
    </row>
    <row r="8836" spans="1:7">
      <c r="A8836">
        <v>113</v>
      </c>
      <c r="B8836">
        <v>25</v>
      </c>
      <c r="C8836" s="1">
        <f>(Tabela1[[#This Row],[x]]-H$3)*(Tabela1[[#This Row],[x]]-H$3) +(Tabela1[[#This Row],[y]]-H$4)*(Tabela1[[#This Row],[y]]-H$4)</f>
        <v>38194</v>
      </c>
      <c r="D8836" s="1">
        <f>IF(Tabela1[[#This Row],[promien]]&lt;40000,1,0)</f>
        <v>1</v>
      </c>
      <c r="E8836" s="1">
        <f>IF(Tabela1[[#This Row],[promien]]=40000,1,0)</f>
        <v>0</v>
      </c>
      <c r="F8836" s="1">
        <v>3.1430511543684925</v>
      </c>
      <c r="G8836" s="1">
        <v>1.4585007786993565E-3</v>
      </c>
    </row>
    <row r="8837" spans="1:7">
      <c r="A8837">
        <v>295</v>
      </c>
      <c r="B8837">
        <v>6</v>
      </c>
      <c r="C8837" s="1">
        <f>(Tabela1[[#This Row],[x]]-H$3)*(Tabela1[[#This Row],[x]]-H$3) +(Tabela1[[#This Row],[y]]-H$4)*(Tabela1[[#This Row],[y]]-H$4)</f>
        <v>46661</v>
      </c>
      <c r="D8837" s="1">
        <f>IF(Tabela1[[#This Row],[promien]]&lt;40000,1,0)</f>
        <v>0</v>
      </c>
      <c r="E8837" s="1">
        <f>IF(Tabela1[[#This Row],[promien]]=40000,1,0)</f>
        <v>0</v>
      </c>
      <c r="F8837" s="1">
        <v>3.1426954848930633</v>
      </c>
      <c r="G8837" s="1">
        <v>1.1028313032701575E-3</v>
      </c>
    </row>
    <row r="8838" spans="1:7">
      <c r="A8838">
        <v>18</v>
      </c>
      <c r="B8838">
        <v>93</v>
      </c>
      <c r="C8838" s="1">
        <f>(Tabela1[[#This Row],[x]]-H$3)*(Tabela1[[#This Row],[x]]-H$3) +(Tabela1[[#This Row],[y]]-H$4)*(Tabela1[[#This Row],[y]]-H$4)</f>
        <v>44573</v>
      </c>
      <c r="D8838" s="1">
        <f>IF(Tabela1[[#This Row],[promien]]&lt;40000,1,0)</f>
        <v>0</v>
      </c>
      <c r="E8838" s="1">
        <f>IF(Tabela1[[#This Row],[promien]]=40000,1,0)</f>
        <v>0</v>
      </c>
      <c r="F8838" s="1">
        <v>3.1423398959040507</v>
      </c>
      <c r="G8838" s="1">
        <v>7.4724231425760124E-4</v>
      </c>
    </row>
    <row r="8839" spans="1:7">
      <c r="A8839">
        <v>285</v>
      </c>
      <c r="B8839">
        <v>173</v>
      </c>
      <c r="C8839" s="1">
        <f>(Tabela1[[#This Row],[x]]-H$3)*(Tabela1[[#This Row],[x]]-H$3) +(Tabela1[[#This Row],[y]]-H$4)*(Tabela1[[#This Row],[y]]-H$4)</f>
        <v>7954</v>
      </c>
      <c r="D8839" s="1">
        <f>IF(Tabela1[[#This Row],[promien]]&lt;40000,1,0)</f>
        <v>1</v>
      </c>
      <c r="E8839" s="1">
        <f>IF(Tabela1[[#This Row],[promien]]=40000,1,0)</f>
        <v>0</v>
      </c>
      <c r="F8839" s="1">
        <v>3.1424369272542143</v>
      </c>
      <c r="G8839" s="1">
        <v>8.4427366442119123E-4</v>
      </c>
    </row>
    <row r="8840" spans="1:7">
      <c r="A8840">
        <v>242</v>
      </c>
      <c r="B8840">
        <v>357</v>
      </c>
      <c r="C8840" s="1">
        <f>(Tabela1[[#This Row],[x]]-H$3)*(Tabela1[[#This Row],[x]]-H$3) +(Tabela1[[#This Row],[y]]-H$4)*(Tabela1[[#This Row],[y]]-H$4)</f>
        <v>26413</v>
      </c>
      <c r="D8840" s="1">
        <f>IF(Tabela1[[#This Row],[promien]]&lt;40000,1,0)</f>
        <v>1</v>
      </c>
      <c r="E8840" s="1">
        <f>IF(Tabela1[[#This Row],[promien]]=40000,1,0)</f>
        <v>0</v>
      </c>
      <c r="F8840" s="1">
        <v>3.1425339366515836</v>
      </c>
      <c r="G8840" s="1">
        <v>9.4128306179053212E-4</v>
      </c>
    </row>
    <row r="8841" spans="1:7">
      <c r="A8841">
        <v>294</v>
      </c>
      <c r="B8841">
        <v>255</v>
      </c>
      <c r="C8841" s="1">
        <f>(Tabela1[[#This Row],[x]]-H$3)*(Tabela1[[#This Row],[x]]-H$3) +(Tabela1[[#This Row],[y]]-H$4)*(Tabela1[[#This Row],[y]]-H$4)</f>
        <v>11861</v>
      </c>
      <c r="D8841" s="1">
        <f>IF(Tabela1[[#This Row],[promien]]&lt;40000,1,0)</f>
        <v>1</v>
      </c>
      <c r="E8841" s="1">
        <f>IF(Tabela1[[#This Row],[promien]]=40000,1,0)</f>
        <v>0</v>
      </c>
      <c r="F8841" s="1">
        <v>3.1426309241036083</v>
      </c>
      <c r="G8841" s="1">
        <v>1.0382705138152204E-3</v>
      </c>
    </row>
    <row r="8842" spans="1:7">
      <c r="A8842">
        <v>168</v>
      </c>
      <c r="B8842">
        <v>386</v>
      </c>
      <c r="C8842" s="1">
        <f>(Tabela1[[#This Row],[x]]-H$3)*(Tabela1[[#This Row],[x]]-H$3) +(Tabela1[[#This Row],[y]]-H$4)*(Tabela1[[#This Row],[y]]-H$4)</f>
        <v>35620</v>
      </c>
      <c r="D8842" s="1">
        <f>IF(Tabela1[[#This Row],[promien]]&lt;40000,1,0)</f>
        <v>1</v>
      </c>
      <c r="E8842" s="1">
        <f>IF(Tabela1[[#This Row],[promien]]=40000,1,0)</f>
        <v>0</v>
      </c>
      <c r="F8842" s="1">
        <v>3.1427278896177335</v>
      </c>
      <c r="G8842" s="1">
        <v>1.1352360279404117E-3</v>
      </c>
    </row>
    <row r="8843" spans="1:7">
      <c r="A8843">
        <v>83</v>
      </c>
      <c r="B8843">
        <v>209</v>
      </c>
      <c r="C8843" s="1">
        <f>(Tabela1[[#This Row],[x]]-H$3)*(Tabela1[[#This Row],[x]]-H$3) +(Tabela1[[#This Row],[y]]-H$4)*(Tabela1[[#This Row],[y]]-H$4)</f>
        <v>13770</v>
      </c>
      <c r="D8843" s="1">
        <f>IF(Tabela1[[#This Row],[promien]]&lt;40000,1,0)</f>
        <v>1</v>
      </c>
      <c r="E8843" s="1">
        <f>IF(Tabela1[[#This Row],[promien]]=40000,1,0)</f>
        <v>0</v>
      </c>
      <c r="F8843" s="1">
        <v>3.1428248332014022</v>
      </c>
      <c r="G8843" s="1">
        <v>1.2321796116090411E-3</v>
      </c>
    </row>
    <row r="8844" spans="1:7">
      <c r="A8844">
        <v>226</v>
      </c>
      <c r="B8844">
        <v>282</v>
      </c>
      <c r="C8844" s="1">
        <f>(Tabela1[[#This Row],[x]]-H$3)*(Tabela1[[#This Row],[x]]-H$3) +(Tabela1[[#This Row],[y]]-H$4)*(Tabela1[[#This Row],[y]]-H$4)</f>
        <v>7400</v>
      </c>
      <c r="D8844" s="1">
        <f>IF(Tabela1[[#This Row],[promien]]&lt;40000,1,0)</f>
        <v>1</v>
      </c>
      <c r="E8844" s="1">
        <f>IF(Tabela1[[#This Row],[promien]]=40000,1,0)</f>
        <v>0</v>
      </c>
      <c r="F8844" s="1">
        <v>3.1429217548620532</v>
      </c>
      <c r="G8844" s="1">
        <v>1.329101272260047E-3</v>
      </c>
    </row>
    <row r="8845" spans="1:7">
      <c r="A8845">
        <v>79</v>
      </c>
      <c r="B8845">
        <v>289</v>
      </c>
      <c r="C8845" s="1">
        <f>(Tabela1[[#This Row],[x]]-H$3)*(Tabela1[[#This Row],[x]]-H$3) +(Tabela1[[#This Row],[y]]-H$4)*(Tabela1[[#This Row],[y]]-H$4)</f>
        <v>22562</v>
      </c>
      <c r="D8845" s="1">
        <f>IF(Tabela1[[#This Row],[promien]]&lt;40000,1,0)</f>
        <v>1</v>
      </c>
      <c r="E8845" s="1">
        <f>IF(Tabela1[[#This Row],[promien]]=40000,1,0)</f>
        <v>0</v>
      </c>
      <c r="F8845" s="1">
        <v>3.1430186546071228</v>
      </c>
      <c r="G8845" s="1">
        <v>1.4260010173297033E-3</v>
      </c>
    </row>
    <row r="8846" spans="1:7">
      <c r="A8846">
        <v>54</v>
      </c>
      <c r="B8846">
        <v>374</v>
      </c>
      <c r="C8846" s="1">
        <f>(Tabela1[[#This Row],[x]]-H$3)*(Tabela1[[#This Row],[x]]-H$3) +(Tabela1[[#This Row],[y]]-H$4)*(Tabela1[[#This Row],[y]]-H$4)</f>
        <v>51592</v>
      </c>
      <c r="D8846" s="1">
        <f>IF(Tabela1[[#This Row],[promien]]&lt;40000,1,0)</f>
        <v>0</v>
      </c>
      <c r="E8846" s="1">
        <f>IF(Tabela1[[#This Row],[promien]]=40000,1,0)</f>
        <v>0</v>
      </c>
      <c r="F8846" s="1">
        <v>3.1426633506669681</v>
      </c>
      <c r="G8846" s="1">
        <v>1.070697077174998E-3</v>
      </c>
    </row>
    <row r="8847" spans="1:7">
      <c r="A8847">
        <v>118</v>
      </c>
      <c r="B8847">
        <v>331</v>
      </c>
      <c r="C8847" s="1">
        <f>(Tabela1[[#This Row],[x]]-H$3)*(Tabela1[[#This Row],[x]]-H$3) +(Tabela1[[#This Row],[y]]-H$4)*(Tabela1[[#This Row],[y]]-H$4)</f>
        <v>23885</v>
      </c>
      <c r="D8847" s="1">
        <f>IF(Tabela1[[#This Row],[promien]]&lt;40000,1,0)</f>
        <v>1</v>
      </c>
      <c r="E8847" s="1">
        <f>IF(Tabela1[[#This Row],[promien]]=40000,1,0)</f>
        <v>0</v>
      </c>
      <c r="F8847" s="1">
        <v>3.1427602577144795</v>
      </c>
      <c r="G8847" s="1">
        <v>1.1676041246864166E-3</v>
      </c>
    </row>
    <row r="8848" spans="1:7">
      <c r="A8848">
        <v>382</v>
      </c>
      <c r="B8848">
        <v>338</v>
      </c>
      <c r="C8848" s="1">
        <f>(Tabela1[[#This Row],[x]]-H$3)*(Tabela1[[#This Row],[x]]-H$3) +(Tabela1[[#This Row],[y]]-H$4)*(Tabela1[[#This Row],[y]]-H$4)</f>
        <v>52168</v>
      </c>
      <c r="D8848" s="1">
        <f>IF(Tabela1[[#This Row],[promien]]&lt;40000,1,0)</f>
        <v>0</v>
      </c>
      <c r="E8848" s="1">
        <f>IF(Tabela1[[#This Row],[promien]]=40000,1,0)</f>
        <v>0</v>
      </c>
      <c r="F8848" s="1">
        <v>3.1424050632911391</v>
      </c>
      <c r="G8848" s="1">
        <v>8.1240970134599522E-4</v>
      </c>
    </row>
    <row r="8849" spans="1:7">
      <c r="A8849">
        <v>373</v>
      </c>
      <c r="B8849">
        <v>173</v>
      </c>
      <c r="C8849" s="1">
        <f>(Tabela1[[#This Row],[x]]-H$3)*(Tabela1[[#This Row],[x]]-H$3) +(Tabela1[[#This Row],[y]]-H$4)*(Tabela1[[#This Row],[y]]-H$4)</f>
        <v>30658</v>
      </c>
      <c r="D8849" s="1">
        <f>IF(Tabela1[[#This Row],[promien]]&lt;40000,1,0)</f>
        <v>1</v>
      </c>
      <c r="E8849" s="1">
        <f>IF(Tabela1[[#This Row],[promien]]=40000,1,0)</f>
        <v>0</v>
      </c>
      <c r="F8849" s="1">
        <v>3.1425019776245904</v>
      </c>
      <c r="G8849" s="1">
        <v>9.0932403479726531E-4</v>
      </c>
    </row>
    <row r="8850" spans="1:7">
      <c r="A8850">
        <v>95</v>
      </c>
      <c r="B8850">
        <v>263</v>
      </c>
      <c r="C8850" s="1">
        <f>(Tabela1[[#This Row],[x]]-H$3)*(Tabela1[[#This Row],[x]]-H$3) +(Tabela1[[#This Row],[y]]-H$4)*(Tabela1[[#This Row],[y]]-H$4)</f>
        <v>14994</v>
      </c>
      <c r="D8850" s="1">
        <f>IF(Tabela1[[#This Row],[promien]]&lt;40000,1,0)</f>
        <v>1</v>
      </c>
      <c r="E8850" s="1">
        <f>IF(Tabela1[[#This Row],[promien]]=40000,1,0)</f>
        <v>0</v>
      </c>
      <c r="F8850" s="1">
        <v>3.1425988700564971</v>
      </c>
      <c r="G8850" s="1">
        <v>1.0062164667039575E-3</v>
      </c>
    </row>
    <row r="8851" spans="1:7">
      <c r="A8851">
        <v>102</v>
      </c>
      <c r="B8851">
        <v>397</v>
      </c>
      <c r="C8851" s="1">
        <f>(Tabela1[[#This Row],[x]]-H$3)*(Tabela1[[#This Row],[x]]-H$3) +(Tabela1[[#This Row],[y]]-H$4)*(Tabela1[[#This Row],[y]]-H$4)</f>
        <v>48413</v>
      </c>
      <c r="D8851" s="1">
        <f>IF(Tabela1[[#This Row],[promien]]&lt;40000,1,0)</f>
        <v>0</v>
      </c>
      <c r="E8851" s="1">
        <f>IF(Tabela1[[#This Row],[promien]]=40000,1,0)</f>
        <v>0</v>
      </c>
      <c r="F8851" s="1">
        <v>3.142243814258276</v>
      </c>
      <c r="G8851" s="1">
        <v>6.5116066848291965E-4</v>
      </c>
    </row>
    <row r="8852" spans="1:7">
      <c r="A8852">
        <v>331</v>
      </c>
      <c r="B8852">
        <v>48</v>
      </c>
      <c r="C8852" s="1">
        <f>(Tabela1[[#This Row],[x]]-H$3)*(Tabela1[[#This Row],[x]]-H$3) +(Tabela1[[#This Row],[y]]-H$4)*(Tabela1[[#This Row],[y]]-H$4)</f>
        <v>40265</v>
      </c>
      <c r="D8852" s="1">
        <f>IF(Tabela1[[#This Row],[promien]]&lt;40000,1,0)</f>
        <v>0</v>
      </c>
      <c r="E8852" s="1">
        <f>IF(Tabela1[[#This Row],[promien]]=40000,1,0)</f>
        <v>0</v>
      </c>
      <c r="F8852" s="1">
        <v>3.1418888386805244</v>
      </c>
      <c r="G8852" s="1">
        <v>2.961850907312602E-4</v>
      </c>
    </row>
    <row r="8853" spans="1:7">
      <c r="A8853">
        <v>332</v>
      </c>
      <c r="B8853">
        <v>127</v>
      </c>
      <c r="C8853" s="1">
        <f>(Tabela1[[#This Row],[x]]-H$3)*(Tabela1[[#This Row],[x]]-H$3) +(Tabela1[[#This Row],[y]]-H$4)*(Tabela1[[#This Row],[y]]-H$4)</f>
        <v>22753</v>
      </c>
      <c r="D8853" s="1">
        <f>IF(Tabela1[[#This Row],[promien]]&lt;40000,1,0)</f>
        <v>1</v>
      </c>
      <c r="E8853" s="1">
        <f>IF(Tabela1[[#This Row],[promien]]=40000,1,0)</f>
        <v>0</v>
      </c>
      <c r="F8853" s="1">
        <v>3.1419857675364282</v>
      </c>
      <c r="G8853" s="1">
        <v>3.9311394663510413E-4</v>
      </c>
    </row>
    <row r="8854" spans="1:7">
      <c r="A8854">
        <v>19</v>
      </c>
      <c r="B8854">
        <v>172</v>
      </c>
      <c r="C8854" s="1">
        <f>(Tabela1[[#This Row],[x]]-H$3)*(Tabela1[[#This Row],[x]]-H$3) +(Tabela1[[#This Row],[y]]-H$4)*(Tabela1[[#This Row],[y]]-H$4)</f>
        <v>33545</v>
      </c>
      <c r="D8854" s="1">
        <f>IF(Tabela1[[#This Row],[promien]]&lt;40000,1,0)</f>
        <v>1</v>
      </c>
      <c r="E8854" s="1">
        <f>IF(Tabela1[[#This Row],[promien]]=40000,1,0)</f>
        <v>0</v>
      </c>
      <c r="F8854" s="1">
        <v>3.1420826744974022</v>
      </c>
      <c r="G8854" s="1">
        <v>4.900209076090789E-4</v>
      </c>
    </row>
    <row r="8855" spans="1:7">
      <c r="A8855">
        <v>199</v>
      </c>
      <c r="B8855">
        <v>101</v>
      </c>
      <c r="C8855" s="1">
        <f>(Tabela1[[#This Row],[x]]-H$3)*(Tabela1[[#This Row],[x]]-H$3) +(Tabela1[[#This Row],[y]]-H$4)*(Tabela1[[#This Row],[y]]-H$4)</f>
        <v>9802</v>
      </c>
      <c r="D8855" s="1">
        <f>IF(Tabela1[[#This Row],[promien]]&lt;40000,1,0)</f>
        <v>1</v>
      </c>
      <c r="E8855" s="1">
        <f>IF(Tabela1[[#This Row],[promien]]=40000,1,0)</f>
        <v>0</v>
      </c>
      <c r="F8855" s="1">
        <v>3.1421795595708639</v>
      </c>
      <c r="G8855" s="1">
        <v>5.869059810708066E-4</v>
      </c>
    </row>
    <row r="8856" spans="1:7">
      <c r="A8856">
        <v>171</v>
      </c>
      <c r="B8856">
        <v>281</v>
      </c>
      <c r="C8856" s="1">
        <f>(Tabela1[[#This Row],[x]]-H$3)*(Tabela1[[#This Row],[x]]-H$3) +(Tabela1[[#This Row],[y]]-H$4)*(Tabela1[[#This Row],[y]]-H$4)</f>
        <v>7402</v>
      </c>
      <c r="D8856" s="1">
        <f>IF(Tabela1[[#This Row],[promien]]&lt;40000,1,0)</f>
        <v>1</v>
      </c>
      <c r="E8856" s="1">
        <f>IF(Tabela1[[#This Row],[promien]]=40000,1,0)</f>
        <v>0</v>
      </c>
      <c r="F8856" s="1">
        <v>3.1422764227642275</v>
      </c>
      <c r="G8856" s="1">
        <v>6.8376917443435659E-4</v>
      </c>
    </row>
    <row r="8857" spans="1:7">
      <c r="A8857">
        <v>328</v>
      </c>
      <c r="B8857">
        <v>204</v>
      </c>
      <c r="C8857" s="1">
        <f>(Tabela1[[#This Row],[x]]-H$3)*(Tabela1[[#This Row],[x]]-H$3) +(Tabela1[[#This Row],[y]]-H$4)*(Tabela1[[#This Row],[y]]-H$4)</f>
        <v>16400</v>
      </c>
      <c r="D8857" s="1">
        <f>IF(Tabela1[[#This Row],[promien]]&lt;40000,1,0)</f>
        <v>1</v>
      </c>
      <c r="E8857" s="1">
        <f>IF(Tabela1[[#This Row],[promien]]=40000,1,0)</f>
        <v>0</v>
      </c>
      <c r="F8857" s="1">
        <v>3.1423732640849047</v>
      </c>
      <c r="G8857" s="1">
        <v>7.8061049511157776E-4</v>
      </c>
    </row>
    <row r="8858" spans="1:7">
      <c r="A8858">
        <v>149</v>
      </c>
      <c r="B8858">
        <v>394</v>
      </c>
      <c r="C8858" s="1">
        <f>(Tabela1[[#This Row],[x]]-H$3)*(Tabela1[[#This Row],[x]]-H$3) +(Tabela1[[#This Row],[y]]-H$4)*(Tabela1[[#This Row],[y]]-H$4)</f>
        <v>40237</v>
      </c>
      <c r="D8858" s="1">
        <f>IF(Tabela1[[#This Row],[promien]]&lt;40000,1,0)</f>
        <v>0</v>
      </c>
      <c r="E8858" s="1">
        <f>IF(Tabela1[[#This Row],[promien]]=40000,1,0)</f>
        <v>0</v>
      </c>
      <c r="F8858" s="1">
        <v>3.1420185143373223</v>
      </c>
      <c r="G8858" s="1">
        <v>4.2586074752914982E-4</v>
      </c>
    </row>
    <row r="8859" spans="1:7">
      <c r="A8859">
        <v>34</v>
      </c>
      <c r="B8859">
        <v>379</v>
      </c>
      <c r="C8859" s="1">
        <f>(Tabela1[[#This Row],[x]]-H$3)*(Tabela1[[#This Row],[x]]-H$3) +(Tabela1[[#This Row],[y]]-H$4)*(Tabela1[[#This Row],[y]]-H$4)</f>
        <v>59597</v>
      </c>
      <c r="D8859" s="1">
        <f>IF(Tabela1[[#This Row],[promien]]&lt;40000,1,0)</f>
        <v>0</v>
      </c>
      <c r="E8859" s="1">
        <f>IF(Tabela1[[#This Row],[promien]]=40000,1,0)</f>
        <v>0</v>
      </c>
      <c r="F8859" s="1">
        <v>3.141663844677729</v>
      </c>
      <c r="G8859" s="1">
        <v>7.1191087935851272E-5</v>
      </c>
    </row>
    <row r="8860" spans="1:7">
      <c r="A8860">
        <v>400</v>
      </c>
      <c r="B8860">
        <v>166</v>
      </c>
      <c r="C8860" s="1">
        <f>(Tabela1[[#This Row],[x]]-H$3)*(Tabela1[[#This Row],[x]]-H$3) +(Tabela1[[#This Row],[y]]-H$4)*(Tabela1[[#This Row],[y]]-H$4)</f>
        <v>41156</v>
      </c>
      <c r="D8860" s="1">
        <f>IF(Tabela1[[#This Row],[promien]]&lt;40000,1,0)</f>
        <v>0</v>
      </c>
      <c r="E8860" s="1">
        <f>IF(Tabela1[[#This Row],[promien]]=40000,1,0)</f>
        <v>0</v>
      </c>
      <c r="F8860" s="1">
        <v>3.1413092550790069</v>
      </c>
      <c r="G8860" s="1">
        <v>2.8339851078618139E-4</v>
      </c>
    </row>
    <row r="8861" spans="1:7">
      <c r="A8861">
        <v>126</v>
      </c>
      <c r="B8861">
        <v>176</v>
      </c>
      <c r="C8861" s="1">
        <f>(Tabela1[[#This Row],[x]]-H$3)*(Tabela1[[#This Row],[x]]-H$3) +(Tabela1[[#This Row],[y]]-H$4)*(Tabela1[[#This Row],[y]]-H$4)</f>
        <v>6052</v>
      </c>
      <c r="D8861" s="1">
        <f>IF(Tabela1[[#This Row],[promien]]&lt;40000,1,0)</f>
        <v>1</v>
      </c>
      <c r="E8861" s="1">
        <f>IF(Tabela1[[#This Row],[promien]]=40000,1,0)</f>
        <v>0</v>
      </c>
      <c r="F8861" s="1">
        <v>3.1414061618327502</v>
      </c>
      <c r="G8861" s="1">
        <v>1.8649175704288368E-4</v>
      </c>
    </row>
    <row r="8862" spans="1:7">
      <c r="A8862">
        <v>345</v>
      </c>
      <c r="B8862">
        <v>280</v>
      </c>
      <c r="C8862" s="1">
        <f>(Tabela1[[#This Row],[x]]-H$3)*(Tabela1[[#This Row],[x]]-H$3) +(Tabela1[[#This Row],[y]]-H$4)*(Tabela1[[#This Row],[y]]-H$4)</f>
        <v>27425</v>
      </c>
      <c r="D8862" s="1">
        <f>IF(Tabela1[[#This Row],[promien]]&lt;40000,1,0)</f>
        <v>1</v>
      </c>
      <c r="E8862" s="1">
        <f>IF(Tabela1[[#This Row],[promien]]=40000,1,0)</f>
        <v>0</v>
      </c>
      <c r="F8862" s="1">
        <v>3.1415030467163167</v>
      </c>
      <c r="G8862" s="1">
        <v>8.9606873476366644E-5</v>
      </c>
    </row>
    <row r="8863" spans="1:7">
      <c r="A8863">
        <v>135</v>
      </c>
      <c r="B8863">
        <v>331</v>
      </c>
      <c r="C8863" s="1">
        <f>(Tabela1[[#This Row],[x]]-H$3)*(Tabela1[[#This Row],[x]]-H$3) +(Tabela1[[#This Row],[y]]-H$4)*(Tabela1[[#This Row],[y]]-H$4)</f>
        <v>21386</v>
      </c>
      <c r="D8863" s="1">
        <f>IF(Tabela1[[#This Row],[promien]]&lt;40000,1,0)</f>
        <v>1</v>
      </c>
      <c r="E8863" s="1">
        <f>IF(Tabela1[[#This Row],[promien]]=40000,1,0)</f>
        <v>0</v>
      </c>
      <c r="F8863" s="1">
        <v>3.1415999097371095</v>
      </c>
      <c r="G8863" s="1">
        <v>7.2561473163368362E-6</v>
      </c>
    </row>
    <row r="8864" spans="1:7">
      <c r="A8864">
        <v>178</v>
      </c>
      <c r="B8864">
        <v>222</v>
      </c>
      <c r="C8864" s="1">
        <f>(Tabela1[[#This Row],[x]]-H$3)*(Tabela1[[#This Row],[x]]-H$3) +(Tabela1[[#This Row],[y]]-H$4)*(Tabela1[[#This Row],[y]]-H$4)</f>
        <v>968</v>
      </c>
      <c r="D8864" s="1">
        <f>IF(Tabela1[[#This Row],[promien]]&lt;40000,1,0)</f>
        <v>1</v>
      </c>
      <c r="E8864" s="1">
        <f>IF(Tabela1[[#This Row],[promien]]=40000,1,0)</f>
        <v>0</v>
      </c>
      <c r="F8864" s="1">
        <v>3.1416967509025269</v>
      </c>
      <c r="G8864" s="1">
        <v>1.04097312733753E-4</v>
      </c>
    </row>
    <row r="8865" spans="1:7">
      <c r="A8865">
        <v>358</v>
      </c>
      <c r="B8865">
        <v>344</v>
      </c>
      <c r="C8865" s="1">
        <f>(Tabela1[[#This Row],[x]]-H$3)*(Tabela1[[#This Row],[x]]-H$3) +(Tabela1[[#This Row],[y]]-H$4)*(Tabela1[[#This Row],[y]]-H$4)</f>
        <v>45700</v>
      </c>
      <c r="D8865" s="1">
        <f>IF(Tabela1[[#This Row],[promien]]&lt;40000,1,0)</f>
        <v>0</v>
      </c>
      <c r="E8865" s="1">
        <f>IF(Tabela1[[#This Row],[promien]]=40000,1,0)</f>
        <v>0</v>
      </c>
      <c r="F8865" s="1">
        <v>3.1413423575860122</v>
      </c>
      <c r="G8865" s="1">
        <v>2.5029600378090322E-4</v>
      </c>
    </row>
    <row r="8866" spans="1:7">
      <c r="A8866">
        <v>219</v>
      </c>
      <c r="B8866">
        <v>324</v>
      </c>
      <c r="C8866" s="1">
        <f>(Tabela1[[#This Row],[x]]-H$3)*(Tabela1[[#This Row],[x]]-H$3) +(Tabela1[[#This Row],[y]]-H$4)*(Tabela1[[#This Row],[y]]-H$4)</f>
        <v>15737</v>
      </c>
      <c r="D8866" s="1">
        <f>IF(Tabela1[[#This Row],[promien]]&lt;40000,1,0)</f>
        <v>1</v>
      </c>
      <c r="E8866" s="1">
        <f>IF(Tabela1[[#This Row],[promien]]=40000,1,0)</f>
        <v>0</v>
      </c>
      <c r="F8866" s="1">
        <v>3.1414392059553351</v>
      </c>
      <c r="G8866" s="1">
        <v>1.534476344580149E-4</v>
      </c>
    </row>
    <row r="8867" spans="1:7">
      <c r="A8867">
        <v>169</v>
      </c>
      <c r="B8867">
        <v>387</v>
      </c>
      <c r="C8867" s="1">
        <f>(Tabela1[[#This Row],[x]]-H$3)*(Tabela1[[#This Row],[x]]-H$3) +(Tabela1[[#This Row],[y]]-H$4)*(Tabela1[[#This Row],[y]]-H$4)</f>
        <v>35930</v>
      </c>
      <c r="D8867" s="1">
        <f>IF(Tabela1[[#This Row],[promien]]&lt;40000,1,0)</f>
        <v>1</v>
      </c>
      <c r="E8867" s="1">
        <f>IF(Tabela1[[#This Row],[promien]]=40000,1,0)</f>
        <v>0</v>
      </c>
      <c r="F8867" s="1">
        <v>3.1415360324799821</v>
      </c>
      <c r="G8867" s="1">
        <v>5.662110981097257E-5</v>
      </c>
    </row>
    <row r="8868" spans="1:7">
      <c r="A8868">
        <v>300</v>
      </c>
      <c r="B8868">
        <v>251</v>
      </c>
      <c r="C8868" s="1">
        <f>(Tabela1[[#This Row],[x]]-H$3)*(Tabela1[[#This Row],[x]]-H$3) +(Tabela1[[#This Row],[y]]-H$4)*(Tabela1[[#This Row],[y]]-H$4)</f>
        <v>12601</v>
      </c>
      <c r="D8868" s="1">
        <f>IF(Tabela1[[#This Row],[promien]]&lt;40000,1,0)</f>
        <v>1</v>
      </c>
      <c r="E8868" s="1">
        <f>IF(Tabela1[[#This Row],[promien]]=40000,1,0)</f>
        <v>0</v>
      </c>
      <c r="F8868" s="1">
        <v>3.1416328371673434</v>
      </c>
      <c r="G8868" s="1">
        <v>4.0183577550312322E-5</v>
      </c>
    </row>
    <row r="8869" spans="1:7">
      <c r="A8869">
        <v>290</v>
      </c>
      <c r="B8869">
        <v>103</v>
      </c>
      <c r="C8869" s="1">
        <f>(Tabela1[[#This Row],[x]]-H$3)*(Tabela1[[#This Row],[x]]-H$3) +(Tabela1[[#This Row],[y]]-H$4)*(Tabela1[[#This Row],[y]]-H$4)</f>
        <v>17509</v>
      </c>
      <c r="D8869" s="1">
        <f>IF(Tabela1[[#This Row],[promien]]&lt;40000,1,0)</f>
        <v>1</v>
      </c>
      <c r="E8869" s="1">
        <f>IF(Tabela1[[#This Row],[promien]]=40000,1,0)</f>
        <v>0</v>
      </c>
      <c r="F8869" s="1">
        <v>3.1417296200248055</v>
      </c>
      <c r="G8869" s="1">
        <v>1.369664350123756E-4</v>
      </c>
    </row>
    <row r="8870" spans="1:7">
      <c r="A8870">
        <v>138</v>
      </c>
      <c r="B8870">
        <v>169</v>
      </c>
      <c r="C8870" s="1">
        <f>(Tabela1[[#This Row],[x]]-H$3)*(Tabela1[[#This Row],[x]]-H$3) +(Tabela1[[#This Row],[y]]-H$4)*(Tabela1[[#This Row],[y]]-H$4)</f>
        <v>4805</v>
      </c>
      <c r="D8870" s="1">
        <f>IF(Tabela1[[#This Row],[promien]]&lt;40000,1,0)</f>
        <v>1</v>
      </c>
      <c r="E8870" s="1">
        <f>IF(Tabela1[[#This Row],[promien]]=40000,1,0)</f>
        <v>0</v>
      </c>
      <c r="F8870" s="1">
        <v>3.1418263810597518</v>
      </c>
      <c r="G8870" s="1">
        <v>2.3372746995864446E-4</v>
      </c>
    </row>
    <row r="8871" spans="1:7">
      <c r="A8871">
        <v>347</v>
      </c>
      <c r="B8871">
        <v>16</v>
      </c>
      <c r="C8871" s="1">
        <f>(Tabela1[[#This Row],[x]]-H$3)*(Tabela1[[#This Row],[x]]-H$3) +(Tabela1[[#This Row],[y]]-H$4)*(Tabela1[[#This Row],[y]]-H$4)</f>
        <v>55465</v>
      </c>
      <c r="D8871" s="1">
        <f>IF(Tabela1[[#This Row],[promien]]&lt;40000,1,0)</f>
        <v>0</v>
      </c>
      <c r="E8871" s="1">
        <f>IF(Tabela1[[#This Row],[promien]]=40000,1,0)</f>
        <v>0</v>
      </c>
      <c r="F8871" s="1">
        <v>3.141472212828317</v>
      </c>
      <c r="G8871" s="1">
        <v>1.2044076147610383E-4</v>
      </c>
    </row>
    <row r="8872" spans="1:7">
      <c r="A8872">
        <v>266</v>
      </c>
      <c r="B8872">
        <v>348</v>
      </c>
      <c r="C8872" s="1">
        <f>(Tabela1[[#This Row],[x]]-H$3)*(Tabela1[[#This Row],[x]]-H$3) +(Tabela1[[#This Row],[y]]-H$4)*(Tabela1[[#This Row],[y]]-H$4)</f>
        <v>26260</v>
      </c>
      <c r="D8872" s="1">
        <f>IF(Tabela1[[#This Row],[promien]]&lt;40000,1,0)</f>
        <v>1</v>
      </c>
      <c r="E8872" s="1">
        <f>IF(Tabela1[[#This Row],[promien]]=40000,1,0)</f>
        <v>0</v>
      </c>
      <c r="F8872" s="1">
        <v>3.1415689810640215</v>
      </c>
      <c r="G8872" s="1">
        <v>2.3672525771623043E-5</v>
      </c>
    </row>
    <row r="8873" spans="1:7">
      <c r="A8873">
        <v>349</v>
      </c>
      <c r="B8873">
        <v>87</v>
      </c>
      <c r="C8873" s="1">
        <f>(Tabela1[[#This Row],[x]]-H$3)*(Tabela1[[#This Row],[x]]-H$3) +(Tabela1[[#This Row],[y]]-H$4)*(Tabela1[[#This Row],[y]]-H$4)</f>
        <v>34970</v>
      </c>
      <c r="D8873" s="1">
        <f>IF(Tabela1[[#This Row],[promien]]&lt;40000,1,0)</f>
        <v>1</v>
      </c>
      <c r="E8873" s="1">
        <f>IF(Tabela1[[#This Row],[promien]]=40000,1,0)</f>
        <v>0</v>
      </c>
      <c r="F8873" s="1">
        <v>3.1416657274878848</v>
      </c>
      <c r="G8873" s="1">
        <v>7.307389809163567E-5</v>
      </c>
    </row>
    <row r="8874" spans="1:7">
      <c r="A8874">
        <v>334</v>
      </c>
      <c r="B8874">
        <v>41</v>
      </c>
      <c r="C8874" s="1">
        <f>(Tabela1[[#This Row],[x]]-H$3)*(Tabela1[[#This Row],[x]]-H$3) +(Tabela1[[#This Row],[y]]-H$4)*(Tabela1[[#This Row],[y]]-H$4)</f>
        <v>43237</v>
      </c>
      <c r="D8874" s="1">
        <f>IF(Tabela1[[#This Row],[promien]]&lt;40000,1,0)</f>
        <v>0</v>
      </c>
      <c r="E8874" s="1">
        <f>IF(Tabela1[[#This Row],[promien]]=40000,1,0)</f>
        <v>0</v>
      </c>
      <c r="F8874" s="1">
        <v>3.1413116970926303</v>
      </c>
      <c r="G8874" s="1">
        <v>2.809564971628653E-4</v>
      </c>
    </row>
    <row r="8875" spans="1:7">
      <c r="A8875">
        <v>266</v>
      </c>
      <c r="B8875">
        <v>210</v>
      </c>
      <c r="C8875" s="1">
        <f>(Tabela1[[#This Row],[x]]-H$3)*(Tabela1[[#This Row],[x]]-H$3) +(Tabela1[[#This Row],[y]]-H$4)*(Tabela1[[#This Row],[y]]-H$4)</f>
        <v>4456</v>
      </c>
      <c r="D8875" s="1">
        <f>IF(Tabela1[[#This Row],[promien]]&lt;40000,1,0)</f>
        <v>1</v>
      </c>
      <c r="E8875" s="1">
        <f>IF(Tabela1[[#This Row],[promien]]=40000,1,0)</f>
        <v>0</v>
      </c>
      <c r="F8875" s="1">
        <v>3.1414084507042253</v>
      </c>
      <c r="G8875" s="1">
        <v>1.8420288556786346E-4</v>
      </c>
    </row>
    <row r="8876" spans="1:7">
      <c r="A8876">
        <v>110</v>
      </c>
      <c r="B8876">
        <v>342</v>
      </c>
      <c r="C8876" s="1">
        <f>(Tabela1[[#This Row],[x]]-H$3)*(Tabela1[[#This Row],[x]]-H$3) +(Tabela1[[#This Row],[y]]-H$4)*(Tabela1[[#This Row],[y]]-H$4)</f>
        <v>28264</v>
      </c>
      <c r="D8876" s="1">
        <f>IF(Tabela1[[#This Row],[promien]]&lt;40000,1,0)</f>
        <v>1</v>
      </c>
      <c r="E8876" s="1">
        <f>IF(Tabela1[[#This Row],[promien]]=40000,1,0)</f>
        <v>0</v>
      </c>
      <c r="F8876" s="1">
        <v>3.1415051825146461</v>
      </c>
      <c r="G8876" s="1">
        <v>8.7471075147060873E-5</v>
      </c>
    </row>
    <row r="8877" spans="1:7">
      <c r="A8877">
        <v>295</v>
      </c>
      <c r="B8877">
        <v>156</v>
      </c>
      <c r="C8877" s="1">
        <f>(Tabela1[[#This Row],[x]]-H$3)*(Tabela1[[#This Row],[x]]-H$3) +(Tabela1[[#This Row],[y]]-H$4)*(Tabela1[[#This Row],[y]]-H$4)</f>
        <v>10961</v>
      </c>
      <c r="D8877" s="1">
        <f>IF(Tabela1[[#This Row],[promien]]&lt;40000,1,0)</f>
        <v>1</v>
      </c>
      <c r="E8877" s="1">
        <f>IF(Tabela1[[#This Row],[promien]]=40000,1,0)</f>
        <v>0</v>
      </c>
      <c r="F8877" s="1">
        <v>3.1416018925312605</v>
      </c>
      <c r="G8877" s="1">
        <v>9.2389414674265424E-6</v>
      </c>
    </row>
    <row r="8878" spans="1:7">
      <c r="A8878">
        <v>222</v>
      </c>
      <c r="B8878">
        <v>94</v>
      </c>
      <c r="C8878" s="1">
        <f>(Tabela1[[#This Row],[x]]-H$3)*(Tabela1[[#This Row],[x]]-H$3) +(Tabela1[[#This Row],[y]]-H$4)*(Tabela1[[#This Row],[y]]-H$4)</f>
        <v>11720</v>
      </c>
      <c r="D8878" s="1">
        <f>IF(Tabela1[[#This Row],[promien]]&lt;40000,1,0)</f>
        <v>1</v>
      </c>
      <c r="E8878" s="1">
        <f>IF(Tabela1[[#This Row],[promien]]=40000,1,0)</f>
        <v>0</v>
      </c>
      <c r="F8878" s="1">
        <v>3.1416985807614326</v>
      </c>
      <c r="G8878" s="1">
        <v>1.0592717163948606E-4</v>
      </c>
    </row>
    <row r="8879" spans="1:7">
      <c r="A8879">
        <v>282</v>
      </c>
      <c r="B8879">
        <v>22</v>
      </c>
      <c r="C8879" s="1">
        <f>(Tabela1[[#This Row],[x]]-H$3)*(Tabela1[[#This Row],[x]]-H$3) +(Tabela1[[#This Row],[y]]-H$4)*(Tabela1[[#This Row],[y]]-H$4)</f>
        <v>38408</v>
      </c>
      <c r="D8879" s="1">
        <f>IF(Tabela1[[#This Row],[promien]]&lt;40000,1,0)</f>
        <v>1</v>
      </c>
      <c r="E8879" s="1">
        <f>IF(Tabela1[[#This Row],[promien]]=40000,1,0)</f>
        <v>0</v>
      </c>
      <c r="F8879" s="1">
        <v>3.1417952472125239</v>
      </c>
      <c r="G8879" s="1">
        <v>2.0259362273078452E-4</v>
      </c>
    </row>
    <row r="8880" spans="1:7">
      <c r="A8880">
        <v>243</v>
      </c>
      <c r="B8880">
        <v>194</v>
      </c>
      <c r="C8880" s="1">
        <f>(Tabela1[[#This Row],[x]]-H$3)*(Tabela1[[#This Row],[x]]-H$3) +(Tabela1[[#This Row],[y]]-H$4)*(Tabela1[[#This Row],[y]]-H$4)</f>
        <v>1885</v>
      </c>
      <c r="D8880" s="1">
        <f>IF(Tabela1[[#This Row],[promien]]&lt;40000,1,0)</f>
        <v>1</v>
      </c>
      <c r="E8880" s="1">
        <f>IF(Tabela1[[#This Row],[promien]]=40000,1,0)</f>
        <v>0</v>
      </c>
      <c r="F8880" s="1">
        <v>3.1418918918918921</v>
      </c>
      <c r="G8880" s="1">
        <v>2.9923830209899194E-4</v>
      </c>
    </row>
    <row r="8881" spans="1:7">
      <c r="A8881">
        <v>350</v>
      </c>
      <c r="B8881">
        <v>134</v>
      </c>
      <c r="C8881" s="1">
        <f>(Tabela1[[#This Row],[x]]-H$3)*(Tabela1[[#This Row],[x]]-H$3) +(Tabela1[[#This Row],[y]]-H$4)*(Tabela1[[#This Row],[y]]-H$4)</f>
        <v>26856</v>
      </c>
      <c r="D8881" s="1">
        <f>IF(Tabela1[[#This Row],[promien]]&lt;40000,1,0)</f>
        <v>1</v>
      </c>
      <c r="E8881" s="1">
        <f>IF(Tabela1[[#This Row],[promien]]=40000,1,0)</f>
        <v>0</v>
      </c>
      <c r="F8881" s="1">
        <v>3.1419885148068909</v>
      </c>
      <c r="G8881" s="1">
        <v>3.9586121709778155E-4</v>
      </c>
    </row>
    <row r="8882" spans="1:7">
      <c r="A8882">
        <v>77</v>
      </c>
      <c r="B8882">
        <v>303</v>
      </c>
      <c r="C8882" s="1">
        <f>(Tabela1[[#This Row],[x]]-H$3)*(Tabela1[[#This Row],[x]]-H$3) +(Tabela1[[#This Row],[y]]-H$4)*(Tabela1[[#This Row],[y]]-H$4)</f>
        <v>25738</v>
      </c>
      <c r="D8882" s="1">
        <f>IF(Tabela1[[#This Row],[promien]]&lt;40000,1,0)</f>
        <v>1</v>
      </c>
      <c r="E8882" s="1">
        <f>IF(Tabela1[[#This Row],[promien]]=40000,1,0)</f>
        <v>0</v>
      </c>
      <c r="F8882" s="1">
        <v>3.1420851159648726</v>
      </c>
      <c r="G8882" s="1">
        <v>4.9246237507949431E-4</v>
      </c>
    </row>
    <row r="8883" spans="1:7">
      <c r="A8883">
        <v>367</v>
      </c>
      <c r="B8883">
        <v>18</v>
      </c>
      <c r="C8883" s="1">
        <f>(Tabela1[[#This Row],[x]]-H$3)*(Tabela1[[#This Row],[x]]-H$3) +(Tabela1[[#This Row],[y]]-H$4)*(Tabela1[[#This Row],[y]]-H$4)</f>
        <v>61013</v>
      </c>
      <c r="D8883" s="1">
        <f>IF(Tabela1[[#This Row],[promien]]&lt;40000,1,0)</f>
        <v>0</v>
      </c>
      <c r="E8883" s="1">
        <f>IF(Tabela1[[#This Row],[promien]]=40000,1,0)</f>
        <v>0</v>
      </c>
      <c r="F8883" s="1">
        <v>3.1417313970505458</v>
      </c>
      <c r="G8883" s="1">
        <v>1.3874346075271049E-4</v>
      </c>
    </row>
    <row r="8884" spans="1:7">
      <c r="A8884">
        <v>352</v>
      </c>
      <c r="B8884">
        <v>135</v>
      </c>
      <c r="C8884" s="1">
        <f>(Tabela1[[#This Row],[x]]-H$3)*(Tabela1[[#This Row],[x]]-H$3) +(Tabela1[[#This Row],[y]]-H$4)*(Tabela1[[#This Row],[y]]-H$4)</f>
        <v>27329</v>
      </c>
      <c r="D8884" s="1">
        <f>IF(Tabela1[[#This Row],[promien]]&lt;40000,1,0)</f>
        <v>1</v>
      </c>
      <c r="E8884" s="1">
        <f>IF(Tabela1[[#This Row],[promien]]=40000,1,0)</f>
        <v>0</v>
      </c>
      <c r="F8884" s="1">
        <v>3.1418280054029717</v>
      </c>
      <c r="G8884" s="1">
        <v>2.3535181317857479E-4</v>
      </c>
    </row>
    <row r="8885" spans="1:7">
      <c r="A8885">
        <v>272</v>
      </c>
      <c r="B8885">
        <v>79</v>
      </c>
      <c r="C8885" s="1">
        <f>(Tabela1[[#This Row],[x]]-H$3)*(Tabela1[[#This Row],[x]]-H$3) +(Tabela1[[#This Row],[y]]-H$4)*(Tabela1[[#This Row],[y]]-H$4)</f>
        <v>19825</v>
      </c>
      <c r="D8885" s="1">
        <f>IF(Tabela1[[#This Row],[promien]]&lt;40000,1,0)</f>
        <v>1</v>
      </c>
      <c r="E8885" s="1">
        <f>IF(Tabela1[[#This Row],[promien]]=40000,1,0)</f>
        <v>0</v>
      </c>
      <c r="F8885" s="1">
        <v>3.141924592009004</v>
      </c>
      <c r="G8885" s="1">
        <v>3.3193841921086431E-4</v>
      </c>
    </row>
    <row r="8886" spans="1:7">
      <c r="A8886">
        <v>12</v>
      </c>
      <c r="B8886">
        <v>83</v>
      </c>
      <c r="C8886" s="1">
        <f>(Tabela1[[#This Row],[x]]-H$3)*(Tabela1[[#This Row],[x]]-H$3) +(Tabela1[[#This Row],[y]]-H$4)*(Tabela1[[#This Row],[y]]-H$4)</f>
        <v>49033</v>
      </c>
      <c r="D8886" s="1">
        <f>IF(Tabela1[[#This Row],[promien]]&lt;40000,1,0)</f>
        <v>0</v>
      </c>
      <c r="E8886" s="1">
        <f>IF(Tabela1[[#This Row],[promien]]=40000,1,0)</f>
        <v>0</v>
      </c>
      <c r="F8886" s="1">
        <v>3.141571010578438</v>
      </c>
      <c r="G8886" s="1">
        <v>2.1643011355099162E-5</v>
      </c>
    </row>
    <row r="8887" spans="1:7">
      <c r="A8887">
        <v>305</v>
      </c>
      <c r="B8887">
        <v>356</v>
      </c>
      <c r="C8887" s="1">
        <f>(Tabela1[[#This Row],[x]]-H$3)*(Tabela1[[#This Row],[x]]-H$3) +(Tabela1[[#This Row],[y]]-H$4)*(Tabela1[[#This Row],[y]]-H$4)</f>
        <v>35361</v>
      </c>
      <c r="D8887" s="1">
        <f>IF(Tabela1[[#This Row],[promien]]&lt;40000,1,0)</f>
        <v>1</v>
      </c>
      <c r="E8887" s="1">
        <f>IF(Tabela1[[#This Row],[promien]]=40000,1,0)</f>
        <v>0</v>
      </c>
      <c r="F8887" s="1">
        <v>3.141667604365928</v>
      </c>
      <c r="G8887" s="1">
        <v>7.4950776134841135E-5</v>
      </c>
    </row>
    <row r="8888" spans="1:7">
      <c r="A8888">
        <v>276</v>
      </c>
      <c r="B8888">
        <v>334</v>
      </c>
      <c r="C8888" s="1">
        <f>(Tabela1[[#This Row],[x]]-H$3)*(Tabela1[[#This Row],[x]]-H$3) +(Tabela1[[#This Row],[y]]-H$4)*(Tabela1[[#This Row],[y]]-H$4)</f>
        <v>23732</v>
      </c>
      <c r="D8888" s="1">
        <f>IF(Tabela1[[#This Row],[promien]]&lt;40000,1,0)</f>
        <v>1</v>
      </c>
      <c r="E8888" s="1">
        <f>IF(Tabela1[[#This Row],[promien]]=40000,1,0)</f>
        <v>0</v>
      </c>
      <c r="F8888" s="1">
        <v>3.1417641764176416</v>
      </c>
      <c r="G8888" s="1">
        <v>1.7152282784849149E-4</v>
      </c>
    </row>
    <row r="8889" spans="1:7">
      <c r="A8889">
        <v>26</v>
      </c>
      <c r="B8889">
        <v>20</v>
      </c>
      <c r="C8889" s="1">
        <f>(Tabela1[[#This Row],[x]]-H$3)*(Tabela1[[#This Row],[x]]-H$3) +(Tabela1[[#This Row],[y]]-H$4)*(Tabela1[[#This Row],[y]]-H$4)</f>
        <v>62676</v>
      </c>
      <c r="D8889" s="1">
        <f>IF(Tabela1[[#This Row],[promien]]&lt;40000,1,0)</f>
        <v>0</v>
      </c>
      <c r="E8889" s="1">
        <f>IF(Tabela1[[#This Row],[promien]]=40000,1,0)</f>
        <v>0</v>
      </c>
      <c r="F8889" s="1">
        <v>3.1414107323658453</v>
      </c>
      <c r="G8889" s="1">
        <v>1.8192122394777854E-4</v>
      </c>
    </row>
    <row r="8890" spans="1:7">
      <c r="A8890">
        <v>392</v>
      </c>
      <c r="B8890">
        <v>352</v>
      </c>
      <c r="C8890" s="1">
        <f>(Tabela1[[#This Row],[x]]-H$3)*(Tabela1[[#This Row],[x]]-H$3) +(Tabela1[[#This Row],[y]]-H$4)*(Tabela1[[#This Row],[y]]-H$4)</f>
        <v>59968</v>
      </c>
      <c r="D8890" s="1">
        <f>IF(Tabela1[[#This Row],[promien]]&lt;40000,1,0)</f>
        <v>0</v>
      </c>
      <c r="E8890" s="1">
        <f>IF(Tabela1[[#This Row],[promien]]=40000,1,0)</f>
        <v>0</v>
      </c>
      <c r="F8890" s="1">
        <v>3.1410573678290215</v>
      </c>
      <c r="G8890" s="1">
        <v>5.3528576077166434E-4</v>
      </c>
    </row>
    <row r="8891" spans="1:7">
      <c r="A8891">
        <v>275</v>
      </c>
      <c r="B8891">
        <v>129</v>
      </c>
      <c r="C8891" s="1">
        <f>(Tabela1[[#This Row],[x]]-H$3)*(Tabela1[[#This Row],[x]]-H$3) +(Tabela1[[#This Row],[y]]-H$4)*(Tabela1[[#This Row],[y]]-H$4)</f>
        <v>10666</v>
      </c>
      <c r="D8891" s="1">
        <f>IF(Tabela1[[#This Row],[promien]]&lt;40000,1,0)</f>
        <v>1</v>
      </c>
      <c r="E8891" s="1">
        <f>IF(Tabela1[[#This Row],[promien]]=40000,1,0)</f>
        <v>0</v>
      </c>
      <c r="F8891" s="1">
        <v>3.1411539759307163</v>
      </c>
      <c r="G8891" s="1">
        <v>4.3867765907679157E-4</v>
      </c>
    </row>
    <row r="8892" spans="1:7">
      <c r="A8892">
        <v>334</v>
      </c>
      <c r="B8892">
        <v>35</v>
      </c>
      <c r="C8892" s="1">
        <f>(Tabela1[[#This Row],[x]]-H$3)*(Tabela1[[#This Row],[x]]-H$3) +(Tabela1[[#This Row],[y]]-H$4)*(Tabela1[[#This Row],[y]]-H$4)</f>
        <v>45181</v>
      </c>
      <c r="D8892" s="1">
        <f>IF(Tabela1[[#This Row],[promien]]&lt;40000,1,0)</f>
        <v>0</v>
      </c>
      <c r="E8892" s="1">
        <f>IF(Tabela1[[#This Row],[promien]]=40000,1,0)</f>
        <v>0</v>
      </c>
      <c r="F8892" s="1">
        <v>3.1408007197480883</v>
      </c>
      <c r="G8892" s="1">
        <v>7.9193384170483938E-4</v>
      </c>
    </row>
    <row r="8893" spans="1:7">
      <c r="A8893">
        <v>10</v>
      </c>
      <c r="B8893">
        <v>357</v>
      </c>
      <c r="C8893" s="1">
        <f>(Tabela1[[#This Row],[x]]-H$3)*(Tabela1[[#This Row],[x]]-H$3) +(Tabela1[[#This Row],[y]]-H$4)*(Tabela1[[#This Row],[y]]-H$4)</f>
        <v>60749</v>
      </c>
      <c r="D8893" s="1">
        <f>IF(Tabela1[[#This Row],[promien]]&lt;40000,1,0)</f>
        <v>0</v>
      </c>
      <c r="E8893" s="1">
        <f>IF(Tabela1[[#This Row],[promien]]=40000,1,0)</f>
        <v>0</v>
      </c>
      <c r="F8893" s="1">
        <v>3.1404475430113572</v>
      </c>
      <c r="G8893" s="1">
        <v>1.145110578435915E-3</v>
      </c>
    </row>
    <row r="8894" spans="1:7">
      <c r="A8894">
        <v>90</v>
      </c>
      <c r="B8894">
        <v>167</v>
      </c>
      <c r="C8894" s="1">
        <f>(Tabela1[[#This Row],[x]]-H$3)*(Tabela1[[#This Row],[x]]-H$3) +(Tabela1[[#This Row],[y]]-H$4)*(Tabela1[[#This Row],[y]]-H$4)</f>
        <v>13189</v>
      </c>
      <c r="D8894" s="1">
        <f>IF(Tabela1[[#This Row],[promien]]&lt;40000,1,0)</f>
        <v>1</v>
      </c>
      <c r="E8894" s="1">
        <f>IF(Tabela1[[#This Row],[promien]]=40000,1,0)</f>
        <v>0</v>
      </c>
      <c r="F8894" s="1">
        <v>3.1405441870924218</v>
      </c>
      <c r="G8894" s="1">
        <v>1.0484664973713365E-3</v>
      </c>
    </row>
    <row r="8895" spans="1:7">
      <c r="A8895">
        <v>158</v>
      </c>
      <c r="B8895">
        <v>374</v>
      </c>
      <c r="C8895" s="1">
        <f>(Tabela1[[#This Row],[x]]-H$3)*(Tabela1[[#This Row],[x]]-H$3) +(Tabela1[[#This Row],[y]]-H$4)*(Tabela1[[#This Row],[y]]-H$4)</f>
        <v>32040</v>
      </c>
      <c r="D8895" s="1">
        <f>IF(Tabela1[[#This Row],[promien]]&lt;40000,1,0)</f>
        <v>1</v>
      </c>
      <c r="E8895" s="1">
        <f>IF(Tabela1[[#This Row],[promien]]=40000,1,0)</f>
        <v>0</v>
      </c>
      <c r="F8895" s="1">
        <v>3.1406408094435077</v>
      </c>
      <c r="G8895" s="1">
        <v>9.5184414628546321E-4</v>
      </c>
    </row>
    <row r="8896" spans="1:7">
      <c r="A8896">
        <v>395</v>
      </c>
      <c r="B8896">
        <v>391</v>
      </c>
      <c r="C8896" s="1">
        <f>(Tabela1[[#This Row],[x]]-H$3)*(Tabela1[[#This Row],[x]]-H$3) +(Tabela1[[#This Row],[y]]-H$4)*(Tabela1[[#This Row],[y]]-H$4)</f>
        <v>74506</v>
      </c>
      <c r="D8896" s="1">
        <f>IF(Tabela1[[#This Row],[promien]]&lt;40000,1,0)</f>
        <v>0</v>
      </c>
      <c r="E8896" s="1">
        <f>IF(Tabela1[[#This Row],[promien]]=40000,1,0)</f>
        <v>0</v>
      </c>
      <c r="F8896" s="1">
        <v>3.1402877697841727</v>
      </c>
      <c r="G8896" s="1">
        <v>1.3048838056204382E-3</v>
      </c>
    </row>
    <row r="8897" spans="1:7">
      <c r="A8897">
        <v>1</v>
      </c>
      <c r="B8897">
        <v>59</v>
      </c>
      <c r="C8897" s="1">
        <f>(Tabela1[[#This Row],[x]]-H$3)*(Tabela1[[#This Row],[x]]-H$3) +(Tabela1[[#This Row],[y]]-H$4)*(Tabela1[[#This Row],[y]]-H$4)</f>
        <v>59482</v>
      </c>
      <c r="D8897" s="1">
        <f>IF(Tabela1[[#This Row],[promien]]&lt;40000,1,0)</f>
        <v>0</v>
      </c>
      <c r="E8897" s="1">
        <f>IF(Tabela1[[#This Row],[promien]]=40000,1,0)</f>
        <v>0</v>
      </c>
      <c r="F8897" s="1">
        <v>3.1399348094863435</v>
      </c>
      <c r="G8897" s="1">
        <v>1.6578441034496016E-3</v>
      </c>
    </row>
    <row r="8898" spans="1:7">
      <c r="A8898">
        <v>40</v>
      </c>
      <c r="B8898">
        <v>76</v>
      </c>
      <c r="C8898" s="1">
        <f>(Tabela1[[#This Row],[x]]-H$3)*(Tabela1[[#This Row],[x]]-H$3) +(Tabela1[[#This Row],[y]]-H$4)*(Tabela1[[#This Row],[y]]-H$4)</f>
        <v>40976</v>
      </c>
      <c r="D8898" s="1">
        <f>IF(Tabela1[[#This Row],[promien]]&lt;40000,1,0)</f>
        <v>0</v>
      </c>
      <c r="E8898" s="1">
        <f>IF(Tabela1[[#This Row],[promien]]=40000,1,0)</f>
        <v>0</v>
      </c>
      <c r="F8898" s="1">
        <v>3.1395819285232638</v>
      </c>
      <c r="G8898" s="1">
        <v>2.0107250665293286E-3</v>
      </c>
    </row>
    <row r="8899" spans="1:7">
      <c r="A8899">
        <v>311</v>
      </c>
      <c r="B8899">
        <v>54</v>
      </c>
      <c r="C8899" s="1">
        <f>(Tabela1[[#This Row],[x]]-H$3)*(Tabela1[[#This Row],[x]]-H$3) +(Tabela1[[#This Row],[y]]-H$4)*(Tabela1[[#This Row],[y]]-H$4)</f>
        <v>33637</v>
      </c>
      <c r="D8899" s="1">
        <f>IF(Tabela1[[#This Row],[promien]]&lt;40000,1,0)</f>
        <v>1</v>
      </c>
      <c r="E8899" s="1">
        <f>IF(Tabela1[[#This Row],[promien]]=40000,1,0)</f>
        <v>0</v>
      </c>
      <c r="F8899" s="1">
        <v>3.1396786155747836</v>
      </c>
      <c r="G8899" s="1">
        <v>1.9140380150095559E-3</v>
      </c>
    </row>
    <row r="8900" spans="1:7">
      <c r="A8900">
        <v>128</v>
      </c>
      <c r="B8900">
        <v>107</v>
      </c>
      <c r="C8900" s="1">
        <f>(Tabela1[[#This Row],[x]]-H$3)*(Tabela1[[#This Row],[x]]-H$3) +(Tabela1[[#This Row],[y]]-H$4)*(Tabela1[[#This Row],[y]]-H$4)</f>
        <v>13833</v>
      </c>
      <c r="D8900" s="1">
        <f>IF(Tabela1[[#This Row],[promien]]&lt;40000,1,0)</f>
        <v>1</v>
      </c>
      <c r="E8900" s="1">
        <f>IF(Tabela1[[#This Row],[promien]]=40000,1,0)</f>
        <v>0</v>
      </c>
      <c r="F8900" s="1">
        <v>3.1397752808988764</v>
      </c>
      <c r="G8900" s="1">
        <v>1.817372690916752E-3</v>
      </c>
    </row>
    <row r="8901" spans="1:7">
      <c r="A8901">
        <v>54</v>
      </c>
      <c r="B8901">
        <v>353</v>
      </c>
      <c r="C8901" s="1">
        <f>(Tabela1[[#This Row],[x]]-H$3)*(Tabela1[[#This Row],[x]]-H$3) +(Tabela1[[#This Row],[y]]-H$4)*(Tabela1[[#This Row],[y]]-H$4)</f>
        <v>44725</v>
      </c>
      <c r="D8901" s="1">
        <f>IF(Tabela1[[#This Row],[promien]]&lt;40000,1,0)</f>
        <v>0</v>
      </c>
      <c r="E8901" s="1">
        <f>IF(Tabela1[[#This Row],[promien]]=40000,1,0)</f>
        <v>0</v>
      </c>
      <c r="F8901" s="1">
        <v>3.1394225367936186</v>
      </c>
      <c r="G8901" s="1">
        <v>2.1701167961745149E-3</v>
      </c>
    </row>
    <row r="8902" spans="1:7">
      <c r="A8902">
        <v>254</v>
      </c>
      <c r="B8902">
        <v>38</v>
      </c>
      <c r="C8902" s="1">
        <f>(Tabela1[[#This Row],[x]]-H$3)*(Tabela1[[#This Row],[x]]-H$3) +(Tabela1[[#This Row],[y]]-H$4)*(Tabela1[[#This Row],[y]]-H$4)</f>
        <v>29160</v>
      </c>
      <c r="D8902" s="1">
        <f>IF(Tabela1[[#This Row],[promien]]&lt;40000,1,0)</f>
        <v>1</v>
      </c>
      <c r="E8902" s="1">
        <f>IF(Tabela1[[#This Row],[promien]]=40000,1,0)</f>
        <v>0</v>
      </c>
      <c r="F8902" s="1">
        <v>3.1395192091664796</v>
      </c>
      <c r="G8902" s="1">
        <v>2.0734444233134752E-3</v>
      </c>
    </row>
    <row r="8903" spans="1:7">
      <c r="A8903">
        <v>85</v>
      </c>
      <c r="B8903">
        <v>340</v>
      </c>
      <c r="C8903" s="1">
        <f>(Tabela1[[#This Row],[x]]-H$3)*(Tabela1[[#This Row],[x]]-H$3) +(Tabela1[[#This Row],[y]]-H$4)*(Tabela1[[#This Row],[y]]-H$4)</f>
        <v>32825</v>
      </c>
      <c r="D8903" s="1">
        <f>IF(Tabela1[[#This Row],[promien]]&lt;40000,1,0)</f>
        <v>1</v>
      </c>
      <c r="E8903" s="1">
        <f>IF(Tabela1[[#This Row],[promien]]=40000,1,0)</f>
        <v>0</v>
      </c>
      <c r="F8903" s="1">
        <v>3.1396158598225319</v>
      </c>
      <c r="G8903" s="1">
        <v>1.9767937672612312E-3</v>
      </c>
    </row>
    <row r="8904" spans="1:7">
      <c r="A8904">
        <v>295</v>
      </c>
      <c r="B8904">
        <v>186</v>
      </c>
      <c r="C8904" s="1">
        <f>(Tabela1[[#This Row],[x]]-H$3)*(Tabela1[[#This Row],[x]]-H$3) +(Tabela1[[#This Row],[y]]-H$4)*(Tabela1[[#This Row],[y]]-H$4)</f>
        <v>9221</v>
      </c>
      <c r="D8904" s="1">
        <f>IF(Tabela1[[#This Row],[promien]]&lt;40000,1,0)</f>
        <v>1</v>
      </c>
      <c r="E8904" s="1">
        <f>IF(Tabela1[[#This Row],[promien]]=40000,1,0)</f>
        <v>0</v>
      </c>
      <c r="F8904" s="1">
        <v>3.1397124887690926</v>
      </c>
      <c r="G8904" s="1">
        <v>1.880164820700525E-3</v>
      </c>
    </row>
    <row r="8905" spans="1:7">
      <c r="A8905">
        <v>32</v>
      </c>
      <c r="B8905">
        <v>262</v>
      </c>
      <c r="C8905" s="1">
        <f>(Tabela1[[#This Row],[x]]-H$3)*(Tabela1[[#This Row],[x]]-H$3) +(Tabela1[[#This Row],[y]]-H$4)*(Tabela1[[#This Row],[y]]-H$4)</f>
        <v>32068</v>
      </c>
      <c r="D8905" s="1">
        <f>IF(Tabela1[[#This Row],[promien]]&lt;40000,1,0)</f>
        <v>1</v>
      </c>
      <c r="E8905" s="1">
        <f>IF(Tabela1[[#This Row],[promien]]=40000,1,0)</f>
        <v>0</v>
      </c>
      <c r="F8905" s="1">
        <v>3.1398090960134755</v>
      </c>
      <c r="G8905" s="1">
        <v>1.7835575763176514E-3</v>
      </c>
    </row>
    <row r="8906" spans="1:7">
      <c r="A8906">
        <v>177</v>
      </c>
      <c r="B8906">
        <v>368</v>
      </c>
      <c r="C8906" s="1">
        <f>(Tabela1[[#This Row],[x]]-H$3)*(Tabela1[[#This Row],[x]]-H$3) +(Tabela1[[#This Row],[y]]-H$4)*(Tabela1[[#This Row],[y]]-H$4)</f>
        <v>28753</v>
      </c>
      <c r="D8906" s="1">
        <f>IF(Tabela1[[#This Row],[promien]]&lt;40000,1,0)</f>
        <v>1</v>
      </c>
      <c r="E8906" s="1">
        <f>IF(Tabela1[[#This Row],[promien]]=40000,1,0)</f>
        <v>0</v>
      </c>
      <c r="F8906" s="1">
        <v>3.1399056815629911</v>
      </c>
      <c r="G8906" s="1">
        <v>1.6869720268020139E-3</v>
      </c>
    </row>
    <row r="8907" spans="1:7">
      <c r="A8907">
        <v>127</v>
      </c>
      <c r="B8907">
        <v>276</v>
      </c>
      <c r="C8907" s="1">
        <f>(Tabela1[[#This Row],[x]]-H$3)*(Tabela1[[#This Row],[x]]-H$3) +(Tabela1[[#This Row],[y]]-H$4)*(Tabela1[[#This Row],[y]]-H$4)</f>
        <v>11105</v>
      </c>
      <c r="D8907" s="1">
        <f>IF(Tabela1[[#This Row],[promien]]&lt;40000,1,0)</f>
        <v>1</v>
      </c>
      <c r="E8907" s="1">
        <f>IF(Tabela1[[#This Row],[promien]]=40000,1,0)</f>
        <v>0</v>
      </c>
      <c r="F8907" s="1">
        <v>3.1400022454249465</v>
      </c>
      <c r="G8907" s="1">
        <v>1.5904081648465684E-3</v>
      </c>
    </row>
    <row r="8908" spans="1:7">
      <c r="A8908">
        <v>258</v>
      </c>
      <c r="B8908">
        <v>179</v>
      </c>
      <c r="C8908" s="1">
        <f>(Tabela1[[#This Row],[x]]-H$3)*(Tabela1[[#This Row],[x]]-H$3) +(Tabela1[[#This Row],[y]]-H$4)*(Tabela1[[#This Row],[y]]-H$4)</f>
        <v>3805</v>
      </c>
      <c r="D8908" s="1">
        <f>IF(Tabela1[[#This Row],[promien]]&lt;40000,1,0)</f>
        <v>1</v>
      </c>
      <c r="E8908" s="1">
        <f>IF(Tabela1[[#This Row],[promien]]=40000,1,0)</f>
        <v>0</v>
      </c>
      <c r="F8908" s="1">
        <v>3.1400987876066457</v>
      </c>
      <c r="G8908" s="1">
        <v>1.4938659831473799E-3</v>
      </c>
    </row>
    <row r="8909" spans="1:7">
      <c r="A8909">
        <v>76</v>
      </c>
      <c r="B8909">
        <v>35</v>
      </c>
      <c r="C8909" s="1">
        <f>(Tabela1[[#This Row],[x]]-H$3)*(Tabela1[[#This Row],[x]]-H$3) +(Tabela1[[#This Row],[y]]-H$4)*(Tabela1[[#This Row],[y]]-H$4)</f>
        <v>42601</v>
      </c>
      <c r="D8909" s="1">
        <f>IF(Tabela1[[#This Row],[promien]]&lt;40000,1,0)</f>
        <v>0</v>
      </c>
      <c r="E8909" s="1">
        <f>IF(Tabela1[[#This Row],[promien]]=40000,1,0)</f>
        <v>0</v>
      </c>
      <c r="F8909" s="1">
        <v>3.1397463239420809</v>
      </c>
      <c r="G8909" s="1">
        <v>1.8463296477122526E-3</v>
      </c>
    </row>
    <row r="8910" spans="1:7">
      <c r="A8910">
        <v>218</v>
      </c>
      <c r="B8910">
        <v>101</v>
      </c>
      <c r="C8910" s="1">
        <f>(Tabela1[[#This Row],[x]]-H$3)*(Tabela1[[#This Row],[x]]-H$3) +(Tabela1[[#This Row],[y]]-H$4)*(Tabela1[[#This Row],[y]]-H$4)</f>
        <v>10125</v>
      </c>
      <c r="D8910" s="1">
        <f>IF(Tabela1[[#This Row],[promien]]&lt;40000,1,0)</f>
        <v>1</v>
      </c>
      <c r="E8910" s="1">
        <f>IF(Tabela1[[#This Row],[promien]]=40000,1,0)</f>
        <v>0</v>
      </c>
      <c r="F8910" s="1">
        <v>3.1398428731762067</v>
      </c>
      <c r="G8910" s="1">
        <v>1.7497804135864214E-3</v>
      </c>
    </row>
    <row r="8911" spans="1:7">
      <c r="A8911">
        <v>342</v>
      </c>
      <c r="B8911">
        <v>260</v>
      </c>
      <c r="C8911" s="1">
        <f>(Tabela1[[#This Row],[x]]-H$3)*(Tabela1[[#This Row],[x]]-H$3) +(Tabela1[[#This Row],[y]]-H$4)*(Tabela1[[#This Row],[y]]-H$4)</f>
        <v>23764</v>
      </c>
      <c r="D8911" s="1">
        <f>IF(Tabela1[[#This Row],[promien]]&lt;40000,1,0)</f>
        <v>1</v>
      </c>
      <c r="E8911" s="1">
        <f>IF(Tabela1[[#This Row],[promien]]=40000,1,0)</f>
        <v>0</v>
      </c>
      <c r="F8911" s="1">
        <v>3.1399394007406576</v>
      </c>
      <c r="G8911" s="1">
        <v>1.6532528491355336E-3</v>
      </c>
    </row>
    <row r="8912" spans="1:7">
      <c r="A8912">
        <v>398</v>
      </c>
      <c r="B8912">
        <v>267</v>
      </c>
      <c r="C8912" s="1">
        <f>(Tabela1[[#This Row],[x]]-H$3)*(Tabela1[[#This Row],[x]]-H$3) +(Tabela1[[#This Row],[y]]-H$4)*(Tabela1[[#This Row],[y]]-H$4)</f>
        <v>43693</v>
      </c>
      <c r="D8912" s="1">
        <f>IF(Tabela1[[#This Row],[promien]]&lt;40000,1,0)</f>
        <v>0</v>
      </c>
      <c r="E8912" s="1">
        <f>IF(Tabela1[[#This Row],[promien]]=40000,1,0)</f>
        <v>0</v>
      </c>
      <c r="F8912" s="1">
        <v>3.1395870736086176</v>
      </c>
      <c r="G8912" s="1">
        <v>2.0055799811755648E-3</v>
      </c>
    </row>
    <row r="8913" spans="1:7">
      <c r="A8913">
        <v>97</v>
      </c>
      <c r="B8913">
        <v>47</v>
      </c>
      <c r="C8913" s="1">
        <f>(Tabela1[[#This Row],[x]]-H$3)*(Tabela1[[#This Row],[x]]-H$3) +(Tabela1[[#This Row],[y]]-H$4)*(Tabela1[[#This Row],[y]]-H$4)</f>
        <v>34018</v>
      </c>
      <c r="D8913" s="1">
        <f>IF(Tabela1[[#This Row],[promien]]&lt;40000,1,0)</f>
        <v>1</v>
      </c>
      <c r="E8913" s="1">
        <f>IF(Tabela1[[#This Row],[promien]]=40000,1,0)</f>
        <v>0</v>
      </c>
      <c r="F8913" s="1">
        <v>3.1396836082127231</v>
      </c>
      <c r="G8913" s="1">
        <v>1.90904537707004E-3</v>
      </c>
    </row>
    <row r="8914" spans="1:7">
      <c r="A8914">
        <v>116</v>
      </c>
      <c r="B8914">
        <v>270</v>
      </c>
      <c r="C8914" s="1">
        <f>(Tabela1[[#This Row],[x]]-H$3)*(Tabela1[[#This Row],[x]]-H$3) +(Tabela1[[#This Row],[y]]-H$4)*(Tabela1[[#This Row],[y]]-H$4)</f>
        <v>11956</v>
      </c>
      <c r="D8914" s="1">
        <f>IF(Tabela1[[#This Row],[promien]]&lt;40000,1,0)</f>
        <v>1</v>
      </c>
      <c r="E8914" s="1">
        <f>IF(Tabela1[[#This Row],[promien]]=40000,1,0)</f>
        <v>0</v>
      </c>
      <c r="F8914" s="1">
        <v>3.1397801211577292</v>
      </c>
      <c r="G8914" s="1">
        <v>1.812532432063918E-3</v>
      </c>
    </row>
    <row r="8915" spans="1:7">
      <c r="A8915">
        <v>176</v>
      </c>
      <c r="B8915">
        <v>252</v>
      </c>
      <c r="C8915" s="1">
        <f>(Tabela1[[#This Row],[x]]-H$3)*(Tabela1[[#This Row],[x]]-H$3) +(Tabela1[[#This Row],[y]]-H$4)*(Tabela1[[#This Row],[y]]-H$4)</f>
        <v>3280</v>
      </c>
      <c r="D8915" s="1">
        <f>IF(Tabela1[[#This Row],[promien]]&lt;40000,1,0)</f>
        <v>1</v>
      </c>
      <c r="E8915" s="1">
        <f>IF(Tabela1[[#This Row],[promien]]=40000,1,0)</f>
        <v>0</v>
      </c>
      <c r="F8915" s="1">
        <v>3.1398766124509252</v>
      </c>
      <c r="G8915" s="1">
        <v>1.7160411388679186E-3</v>
      </c>
    </row>
    <row r="8916" spans="1:7">
      <c r="A8916">
        <v>378</v>
      </c>
      <c r="B8916">
        <v>339</v>
      </c>
      <c r="C8916" s="1">
        <f>(Tabela1[[#This Row],[x]]-H$3)*(Tabela1[[#This Row],[x]]-H$3) +(Tabela1[[#This Row],[y]]-H$4)*(Tabela1[[#This Row],[y]]-H$4)</f>
        <v>51005</v>
      </c>
      <c r="D8916" s="1">
        <f>IF(Tabela1[[#This Row],[promien]]&lt;40000,1,0)</f>
        <v>0</v>
      </c>
      <c r="E8916" s="1">
        <f>IF(Tabela1[[#This Row],[promien]]=40000,1,0)</f>
        <v>0</v>
      </c>
      <c r="F8916" s="1">
        <v>3.1395244504262001</v>
      </c>
      <c r="G8916" s="1">
        <v>2.0682031635930187E-3</v>
      </c>
    </row>
    <row r="8917" spans="1:7">
      <c r="A8917">
        <v>272</v>
      </c>
      <c r="B8917">
        <v>384</v>
      </c>
      <c r="C8917" s="1">
        <f>(Tabela1[[#This Row],[x]]-H$3)*(Tabela1[[#This Row],[x]]-H$3) +(Tabela1[[#This Row],[y]]-H$4)*(Tabela1[[#This Row],[y]]-H$4)</f>
        <v>39040</v>
      </c>
      <c r="D8917" s="1">
        <f>IF(Tabela1[[#This Row],[promien]]&lt;40000,1,0)</f>
        <v>1</v>
      </c>
      <c r="E8917" s="1">
        <f>IF(Tabela1[[#This Row],[promien]]=40000,1,0)</f>
        <v>0</v>
      </c>
      <c r="F8917" s="1">
        <v>3.1396209487495796</v>
      </c>
      <c r="G8917" s="1">
        <v>1.9717048402134729E-3</v>
      </c>
    </row>
    <row r="8918" spans="1:7">
      <c r="A8918">
        <v>164</v>
      </c>
      <c r="B8918">
        <v>174</v>
      </c>
      <c r="C8918" s="1">
        <f>(Tabela1[[#This Row],[x]]-H$3)*(Tabela1[[#This Row],[x]]-H$3) +(Tabela1[[#This Row],[y]]-H$4)*(Tabela1[[#This Row],[y]]-H$4)</f>
        <v>1972</v>
      </c>
      <c r="D8918" s="1">
        <f>IF(Tabela1[[#This Row],[promien]]&lt;40000,1,0)</f>
        <v>1</v>
      </c>
      <c r="E8918" s="1">
        <f>IF(Tabela1[[#This Row],[promien]]=40000,1,0)</f>
        <v>0</v>
      </c>
      <c r="F8918" s="1">
        <v>3.1397174254317113</v>
      </c>
      <c r="G8918" s="1">
        <v>1.875228158081832E-3</v>
      </c>
    </row>
    <row r="8919" spans="1:7">
      <c r="A8919">
        <v>142</v>
      </c>
      <c r="B8919">
        <v>140</v>
      </c>
      <c r="C8919" s="1">
        <f>(Tabela1[[#This Row],[x]]-H$3)*(Tabela1[[#This Row],[x]]-H$3) +(Tabela1[[#This Row],[y]]-H$4)*(Tabela1[[#This Row],[y]]-H$4)</f>
        <v>6964</v>
      </c>
      <c r="D8919" s="1">
        <f>IF(Tabela1[[#This Row],[promien]]&lt;40000,1,0)</f>
        <v>1</v>
      </c>
      <c r="E8919" s="1">
        <f>IF(Tabela1[[#This Row],[promien]]=40000,1,0)</f>
        <v>0</v>
      </c>
      <c r="F8919" s="1">
        <v>3.1398138804798745</v>
      </c>
      <c r="G8919" s="1">
        <v>1.7787731099185855E-3</v>
      </c>
    </row>
    <row r="8920" spans="1:7">
      <c r="A8920">
        <v>326</v>
      </c>
      <c r="B8920">
        <v>80</v>
      </c>
      <c r="C8920" s="1">
        <f>(Tabela1[[#This Row],[x]]-H$3)*(Tabela1[[#This Row],[x]]-H$3) +(Tabela1[[#This Row],[y]]-H$4)*(Tabela1[[#This Row],[y]]-H$4)</f>
        <v>30276</v>
      </c>
      <c r="D8920" s="1">
        <f>IF(Tabela1[[#This Row],[promien]]&lt;40000,1,0)</f>
        <v>1</v>
      </c>
      <c r="E8920" s="1">
        <f>IF(Tabela1[[#This Row],[promien]]=40000,1,0)</f>
        <v>0</v>
      </c>
      <c r="F8920" s="1">
        <v>3.1399103139013453</v>
      </c>
      <c r="G8920" s="1">
        <v>1.6823396884477759E-3</v>
      </c>
    </row>
    <row r="8921" spans="1:7">
      <c r="A8921">
        <v>396</v>
      </c>
      <c r="B8921">
        <v>180</v>
      </c>
      <c r="C8921" s="1">
        <f>(Tabela1[[#This Row],[x]]-H$3)*(Tabela1[[#This Row],[x]]-H$3) +(Tabela1[[#This Row],[y]]-H$4)*(Tabela1[[#This Row],[y]]-H$4)</f>
        <v>38816</v>
      </c>
      <c r="D8921" s="1">
        <f>IF(Tabela1[[#This Row],[promien]]&lt;40000,1,0)</f>
        <v>1</v>
      </c>
      <c r="E8921" s="1">
        <f>IF(Tabela1[[#This Row],[promien]]=40000,1,0)</f>
        <v>0</v>
      </c>
      <c r="F8921" s="1">
        <v>3.1400067257033966</v>
      </c>
      <c r="G8921" s="1">
        <v>1.5859278863965542E-3</v>
      </c>
    </row>
    <row r="8922" spans="1:7">
      <c r="A8922">
        <v>102</v>
      </c>
      <c r="B8922">
        <v>120</v>
      </c>
      <c r="C8922" s="1">
        <f>(Tabela1[[#This Row],[x]]-H$3)*(Tabela1[[#This Row],[x]]-H$3) +(Tabela1[[#This Row],[y]]-H$4)*(Tabela1[[#This Row],[y]]-H$4)</f>
        <v>16004</v>
      </c>
      <c r="D8922" s="1">
        <f>IF(Tabela1[[#This Row],[promien]]&lt;40000,1,0)</f>
        <v>1</v>
      </c>
      <c r="E8922" s="1">
        <f>IF(Tabela1[[#This Row],[promien]]=40000,1,0)</f>
        <v>0</v>
      </c>
      <c r="F8922" s="1">
        <v>3.1401031158932975</v>
      </c>
      <c r="G8922" s="1">
        <v>1.4895376964956242E-3</v>
      </c>
    </row>
    <row r="8923" spans="1:7">
      <c r="A8923">
        <v>320</v>
      </c>
      <c r="B8923">
        <v>15</v>
      </c>
      <c r="C8923" s="1">
        <f>(Tabela1[[#This Row],[x]]-H$3)*(Tabela1[[#This Row],[x]]-H$3) +(Tabela1[[#This Row],[y]]-H$4)*(Tabela1[[#This Row],[y]]-H$4)</f>
        <v>48625</v>
      </c>
      <c r="D8923" s="1">
        <f>IF(Tabela1[[#This Row],[promien]]&lt;40000,1,0)</f>
        <v>0</v>
      </c>
      <c r="E8923" s="1">
        <f>IF(Tabela1[[#This Row],[promien]]=40000,1,0)</f>
        <v>0</v>
      </c>
      <c r="F8923" s="1">
        <v>3.1397512047517653</v>
      </c>
      <c r="G8923" s="1">
        <v>1.8414488380278371E-3</v>
      </c>
    </row>
    <row r="8924" spans="1:7">
      <c r="A8924">
        <v>330</v>
      </c>
      <c r="B8924">
        <v>290</v>
      </c>
      <c r="C8924" s="1">
        <f>(Tabela1[[#This Row],[x]]-H$3)*(Tabela1[[#This Row],[x]]-H$3) +(Tabela1[[#This Row],[y]]-H$4)*(Tabela1[[#This Row],[y]]-H$4)</f>
        <v>25000</v>
      </c>
      <c r="D8924" s="1">
        <f>IF(Tabela1[[#This Row],[promien]]&lt;40000,1,0)</f>
        <v>1</v>
      </c>
      <c r="E8924" s="1">
        <f>IF(Tabela1[[#This Row],[promien]]=40000,1,0)</f>
        <v>0</v>
      </c>
      <c r="F8924" s="1">
        <v>3.1398476019722099</v>
      </c>
      <c r="G8924" s="1">
        <v>1.7450516175832043E-3</v>
      </c>
    </row>
    <row r="8925" spans="1:7">
      <c r="A8925">
        <v>77</v>
      </c>
      <c r="B8925">
        <v>166</v>
      </c>
      <c r="C8925" s="1">
        <f>(Tabela1[[#This Row],[x]]-H$3)*(Tabela1[[#This Row],[x]]-H$3) +(Tabela1[[#This Row],[y]]-H$4)*(Tabela1[[#This Row],[y]]-H$4)</f>
        <v>16285</v>
      </c>
      <c r="D8925" s="1">
        <f>IF(Tabela1[[#This Row],[promien]]&lt;40000,1,0)</f>
        <v>1</v>
      </c>
      <c r="E8925" s="1">
        <f>IF(Tabela1[[#This Row],[promien]]=40000,1,0)</f>
        <v>0</v>
      </c>
      <c r="F8925" s="1">
        <v>3.1399439775910363</v>
      </c>
      <c r="G8925" s="1">
        <v>1.6486759987568433E-3</v>
      </c>
    </row>
    <row r="8926" spans="1:7">
      <c r="A8926">
        <v>8</v>
      </c>
      <c r="B8926">
        <v>267</v>
      </c>
      <c r="C8926" s="1">
        <f>(Tabela1[[#This Row],[x]]-H$3)*(Tabela1[[#This Row],[x]]-H$3) +(Tabela1[[#This Row],[y]]-H$4)*(Tabela1[[#This Row],[y]]-H$4)</f>
        <v>41353</v>
      </c>
      <c r="D8926" s="1">
        <f>IF(Tabela1[[#This Row],[promien]]&lt;40000,1,0)</f>
        <v>0</v>
      </c>
      <c r="E8926" s="1">
        <f>IF(Tabela1[[#This Row],[promien]]=40000,1,0)</f>
        <v>0</v>
      </c>
      <c r="F8926" s="1">
        <v>3.1395922025543355</v>
      </c>
      <c r="G8926" s="1">
        <v>2.000451035457651E-3</v>
      </c>
    </row>
    <row r="8927" spans="1:7">
      <c r="A8927">
        <v>330</v>
      </c>
      <c r="B8927">
        <v>88</v>
      </c>
      <c r="C8927" s="1">
        <f>(Tabela1[[#This Row],[x]]-H$3)*(Tabela1[[#This Row],[x]]-H$3) +(Tabela1[[#This Row],[y]]-H$4)*(Tabela1[[#This Row],[y]]-H$4)</f>
        <v>29444</v>
      </c>
      <c r="D8927" s="1">
        <f>IF(Tabela1[[#This Row],[promien]]&lt;40000,1,0)</f>
        <v>1</v>
      </c>
      <c r="E8927" s="1">
        <f>IF(Tabela1[[#This Row],[promien]]=40000,1,0)</f>
        <v>0</v>
      </c>
      <c r="F8927" s="1">
        <v>3.1396885851909935</v>
      </c>
      <c r="G8927" s="1">
        <v>1.904068398799641E-3</v>
      </c>
    </row>
    <row r="8928" spans="1:7">
      <c r="A8928">
        <v>199</v>
      </c>
      <c r="B8928">
        <v>329</v>
      </c>
      <c r="C8928" s="1">
        <f>(Tabela1[[#This Row],[x]]-H$3)*(Tabela1[[#This Row],[x]]-H$3) +(Tabela1[[#This Row],[y]]-H$4)*(Tabela1[[#This Row],[y]]-H$4)</f>
        <v>16642</v>
      </c>
      <c r="D8928" s="1">
        <f>IF(Tabela1[[#This Row],[promien]]&lt;40000,1,0)</f>
        <v>1</v>
      </c>
      <c r="E8928" s="1">
        <f>IF(Tabela1[[#This Row],[promien]]=40000,1,0)</f>
        <v>0</v>
      </c>
      <c r="F8928" s="1">
        <v>3.139784946236559</v>
      </c>
      <c r="G8928" s="1">
        <v>1.8077073532341004E-3</v>
      </c>
    </row>
    <row r="8929" spans="1:7">
      <c r="A8929">
        <v>205</v>
      </c>
      <c r="B8929">
        <v>287</v>
      </c>
      <c r="C8929" s="1">
        <f>(Tabela1[[#This Row],[x]]-H$3)*(Tabela1[[#This Row],[x]]-H$3) +(Tabela1[[#This Row],[y]]-H$4)*(Tabela1[[#This Row],[y]]-H$4)</f>
        <v>7594</v>
      </c>
      <c r="D8929" s="1">
        <f>IF(Tabela1[[#This Row],[promien]]&lt;40000,1,0)</f>
        <v>1</v>
      </c>
      <c r="E8929" s="1">
        <f>IF(Tabela1[[#This Row],[promien]]=40000,1,0)</f>
        <v>0</v>
      </c>
      <c r="F8929" s="1">
        <v>3.1398812856982863</v>
      </c>
      <c r="G8929" s="1">
        <v>1.711367891506832E-3</v>
      </c>
    </row>
    <row r="8930" spans="1:7">
      <c r="A8930">
        <v>283</v>
      </c>
      <c r="B8930">
        <v>180</v>
      </c>
      <c r="C8930" s="1">
        <f>(Tabela1[[#This Row],[x]]-H$3)*(Tabela1[[#This Row],[x]]-H$3) +(Tabela1[[#This Row],[y]]-H$4)*(Tabela1[[#This Row],[y]]-H$4)</f>
        <v>7289</v>
      </c>
      <c r="D8930" s="1">
        <f>IF(Tabela1[[#This Row],[promien]]&lt;40000,1,0)</f>
        <v>1</v>
      </c>
      <c r="E8930" s="1">
        <f>IF(Tabela1[[#This Row],[promien]]=40000,1,0)</f>
        <v>0</v>
      </c>
      <c r="F8930" s="1">
        <v>3.1399776035834268</v>
      </c>
      <c r="G8930" s="1">
        <v>1.6150500063663031E-3</v>
      </c>
    </row>
    <row r="8931" spans="1:7">
      <c r="A8931">
        <v>277</v>
      </c>
      <c r="B8931">
        <v>371</v>
      </c>
      <c r="C8931" s="1">
        <f>(Tabela1[[#This Row],[x]]-H$3)*(Tabela1[[#This Row],[x]]-H$3) +(Tabela1[[#This Row],[y]]-H$4)*(Tabela1[[#This Row],[y]]-H$4)</f>
        <v>35170</v>
      </c>
      <c r="D8931" s="1">
        <f>IF(Tabela1[[#This Row],[promien]]&lt;40000,1,0)</f>
        <v>1</v>
      </c>
      <c r="E8931" s="1">
        <f>IF(Tabela1[[#This Row],[promien]]=40000,1,0)</f>
        <v>0</v>
      </c>
      <c r="F8931" s="1">
        <v>3.1400738998992272</v>
      </c>
      <c r="G8931" s="1">
        <v>1.5187536905658661E-3</v>
      </c>
    </row>
    <row r="8932" spans="1:7">
      <c r="A8932">
        <v>291</v>
      </c>
      <c r="B8932">
        <v>100</v>
      </c>
      <c r="C8932" s="1">
        <f>(Tabela1[[#This Row],[x]]-H$3)*(Tabela1[[#This Row],[x]]-H$3) +(Tabela1[[#This Row],[y]]-H$4)*(Tabela1[[#This Row],[y]]-H$4)</f>
        <v>18281</v>
      </c>
      <c r="D8932" s="1">
        <f>IF(Tabela1[[#This Row],[promien]]&lt;40000,1,0)</f>
        <v>1</v>
      </c>
      <c r="E8932" s="1">
        <f>IF(Tabela1[[#This Row],[promien]]=40000,1,0)</f>
        <v>0</v>
      </c>
      <c r="F8932" s="1">
        <v>3.1401701746529334</v>
      </c>
      <c r="G8932" s="1">
        <v>1.4224789368597612E-3</v>
      </c>
    </row>
    <row r="8933" spans="1:7">
      <c r="A8933">
        <v>312</v>
      </c>
      <c r="B8933">
        <v>189</v>
      </c>
      <c r="C8933" s="1">
        <f>(Tabela1[[#This Row],[x]]-H$3)*(Tabela1[[#This Row],[x]]-H$3) +(Tabela1[[#This Row],[y]]-H$4)*(Tabela1[[#This Row],[y]]-H$4)</f>
        <v>12665</v>
      </c>
      <c r="D8933" s="1">
        <f>IF(Tabela1[[#This Row],[promien]]&lt;40000,1,0)</f>
        <v>1</v>
      </c>
      <c r="E8933" s="1">
        <f>IF(Tabela1[[#This Row],[promien]]=40000,1,0)</f>
        <v>0</v>
      </c>
      <c r="F8933" s="1">
        <v>3.1402664278517856</v>
      </c>
      <c r="G8933" s="1">
        <v>1.3262257380075582E-3</v>
      </c>
    </row>
    <row r="8934" spans="1:7">
      <c r="A8934">
        <v>327</v>
      </c>
      <c r="B8934">
        <v>329</v>
      </c>
      <c r="C8934" s="1">
        <f>(Tabela1[[#This Row],[x]]-H$3)*(Tabela1[[#This Row],[x]]-H$3) +(Tabela1[[#This Row],[y]]-H$4)*(Tabela1[[#This Row],[y]]-H$4)</f>
        <v>32770</v>
      </c>
      <c r="D8934" s="1">
        <f>IF(Tabela1[[#This Row],[promien]]&lt;40000,1,0)</f>
        <v>1</v>
      </c>
      <c r="E8934" s="1">
        <f>IF(Tabela1[[#This Row],[promien]]=40000,1,0)</f>
        <v>0</v>
      </c>
      <c r="F8934" s="1">
        <v>3.1403626595030221</v>
      </c>
      <c r="G8934" s="1">
        <v>1.2299940867710468E-3</v>
      </c>
    </row>
    <row r="8935" spans="1:7">
      <c r="A8935">
        <v>220</v>
      </c>
      <c r="B8935">
        <v>306</v>
      </c>
      <c r="C8935" s="1">
        <f>(Tabela1[[#This Row],[x]]-H$3)*(Tabela1[[#This Row],[x]]-H$3) +(Tabela1[[#This Row],[y]]-H$4)*(Tabela1[[#This Row],[y]]-H$4)</f>
        <v>11636</v>
      </c>
      <c r="D8935" s="1">
        <f>IF(Tabela1[[#This Row],[promien]]&lt;40000,1,0)</f>
        <v>1</v>
      </c>
      <c r="E8935" s="1">
        <f>IF(Tabela1[[#This Row],[promien]]=40000,1,0)</f>
        <v>0</v>
      </c>
      <c r="F8935" s="1">
        <v>3.140458869613878</v>
      </c>
      <c r="G8935" s="1">
        <v>1.1337839759151258E-3</v>
      </c>
    </row>
    <row r="8936" spans="1:7">
      <c r="A8936">
        <v>214</v>
      </c>
      <c r="B8936">
        <v>289</v>
      </c>
      <c r="C8936" s="1">
        <f>(Tabela1[[#This Row],[x]]-H$3)*(Tabela1[[#This Row],[x]]-H$3) +(Tabela1[[#This Row],[y]]-H$4)*(Tabela1[[#This Row],[y]]-H$4)</f>
        <v>8117</v>
      </c>
      <c r="D8936" s="1">
        <f>IF(Tabela1[[#This Row],[promien]]&lt;40000,1,0)</f>
        <v>1</v>
      </c>
      <c r="E8936" s="1">
        <f>IF(Tabela1[[#This Row],[promien]]=40000,1,0)</f>
        <v>0</v>
      </c>
      <c r="F8936" s="1">
        <v>3.1405550581915844</v>
      </c>
      <c r="G8936" s="1">
        <v>1.0375953982086905E-3</v>
      </c>
    </row>
    <row r="8937" spans="1:7">
      <c r="A8937">
        <v>292</v>
      </c>
      <c r="B8937">
        <v>186</v>
      </c>
      <c r="C8937" s="1">
        <f>(Tabela1[[#This Row],[x]]-H$3)*(Tabela1[[#This Row],[x]]-H$3) +(Tabela1[[#This Row],[y]]-H$4)*(Tabela1[[#This Row],[y]]-H$4)</f>
        <v>8660</v>
      </c>
      <c r="D8937" s="1">
        <f>IF(Tabela1[[#This Row],[promien]]&lt;40000,1,0)</f>
        <v>1</v>
      </c>
      <c r="E8937" s="1">
        <f>IF(Tabela1[[#This Row],[promien]]=40000,1,0)</f>
        <v>0</v>
      </c>
      <c r="F8937" s="1">
        <v>3.1406512252433703</v>
      </c>
      <c r="G8937" s="1">
        <v>9.4142834642285678E-4</v>
      </c>
    </row>
    <row r="8938" spans="1:7">
      <c r="A8938">
        <v>334</v>
      </c>
      <c r="B8938">
        <v>39</v>
      </c>
      <c r="C8938" s="1">
        <f>(Tabela1[[#This Row],[x]]-H$3)*(Tabela1[[#This Row],[x]]-H$3) +(Tabela1[[#This Row],[y]]-H$4)*(Tabela1[[#This Row],[y]]-H$4)</f>
        <v>43877</v>
      </c>
      <c r="D8938" s="1">
        <f>IF(Tabela1[[#This Row],[promien]]&lt;40000,1,0)</f>
        <v>0</v>
      </c>
      <c r="E8938" s="1">
        <f>IF(Tabela1[[#This Row],[promien]]=40000,1,0)</f>
        <v>0</v>
      </c>
      <c r="F8938" s="1">
        <v>3.1402998433654061</v>
      </c>
      <c r="G8938" s="1">
        <v>1.2928102243869866E-3</v>
      </c>
    </row>
    <row r="8939" spans="1:7">
      <c r="A8939">
        <v>361</v>
      </c>
      <c r="B8939">
        <v>287</v>
      </c>
      <c r="C8939" s="1">
        <f>(Tabela1[[#This Row],[x]]-H$3)*(Tabela1[[#This Row],[x]]-H$3) +(Tabela1[[#This Row],[y]]-H$4)*(Tabela1[[#This Row],[y]]-H$4)</f>
        <v>33490</v>
      </c>
      <c r="D8939" s="1">
        <f>IF(Tabela1[[#This Row],[promien]]&lt;40000,1,0)</f>
        <v>1</v>
      </c>
      <c r="E8939" s="1">
        <f>IF(Tabela1[[#This Row],[promien]]=40000,1,0)</f>
        <v>0</v>
      </c>
      <c r="F8939" s="1">
        <v>3.1403960174516166</v>
      </c>
      <c r="G8939" s="1">
        <v>1.1966361381765545E-3</v>
      </c>
    </row>
    <row r="8940" spans="1:7">
      <c r="A8940">
        <v>364</v>
      </c>
      <c r="B8940">
        <v>113</v>
      </c>
      <c r="C8940" s="1">
        <f>(Tabela1[[#This Row],[x]]-H$3)*(Tabela1[[#This Row],[x]]-H$3) +(Tabela1[[#This Row],[y]]-H$4)*(Tabela1[[#This Row],[y]]-H$4)</f>
        <v>34465</v>
      </c>
      <c r="D8940" s="1">
        <f>IF(Tabela1[[#This Row],[promien]]&lt;40000,1,0)</f>
        <v>1</v>
      </c>
      <c r="E8940" s="1">
        <f>IF(Tabela1[[#This Row],[promien]]=40000,1,0)</f>
        <v>0</v>
      </c>
      <c r="F8940" s="1">
        <v>3.1404921700223714</v>
      </c>
      <c r="G8940" s="1">
        <v>1.1004835674217617E-3</v>
      </c>
    </row>
    <row r="8941" spans="1:7">
      <c r="A8941">
        <v>272</v>
      </c>
      <c r="B8941">
        <v>395</v>
      </c>
      <c r="C8941" s="1">
        <f>(Tabela1[[#This Row],[x]]-H$3)*(Tabela1[[#This Row],[x]]-H$3) +(Tabela1[[#This Row],[y]]-H$4)*(Tabela1[[#This Row],[y]]-H$4)</f>
        <v>43209</v>
      </c>
      <c r="D8941" s="1">
        <f>IF(Tabela1[[#This Row],[promien]]&lt;40000,1,0)</f>
        <v>0</v>
      </c>
      <c r="E8941" s="1">
        <f>IF(Tabela1[[#This Row],[promien]]=40000,1,0)</f>
        <v>0</v>
      </c>
      <c r="F8941" s="1">
        <v>3.1401409238340232</v>
      </c>
      <c r="G8941" s="1">
        <v>1.4517297557699038E-3</v>
      </c>
    </row>
    <row r="8942" spans="1:7">
      <c r="A8942">
        <v>310</v>
      </c>
      <c r="B8942">
        <v>254</v>
      </c>
      <c r="C8942" s="1">
        <f>(Tabela1[[#This Row],[x]]-H$3)*(Tabela1[[#This Row],[x]]-H$3) +(Tabela1[[#This Row],[y]]-H$4)*(Tabela1[[#This Row],[y]]-H$4)</f>
        <v>15016</v>
      </c>
      <c r="D8942" s="1">
        <f>IF(Tabela1[[#This Row],[promien]]&lt;40000,1,0)</f>
        <v>1</v>
      </c>
      <c r="E8942" s="1">
        <f>IF(Tabela1[[#This Row],[promien]]=40000,1,0)</f>
        <v>0</v>
      </c>
      <c r="F8942" s="1">
        <v>3.1402370834265265</v>
      </c>
      <c r="G8942" s="1">
        <v>1.3555701632665951E-3</v>
      </c>
    </row>
    <row r="8943" spans="1:7">
      <c r="A8943">
        <v>46</v>
      </c>
      <c r="B8943">
        <v>339</v>
      </c>
      <c r="C8943" s="1">
        <f>(Tabela1[[#This Row],[x]]-H$3)*(Tabela1[[#This Row],[x]]-H$3) +(Tabela1[[#This Row],[y]]-H$4)*(Tabela1[[#This Row],[y]]-H$4)</f>
        <v>43037</v>
      </c>
      <c r="D8943" s="1">
        <f>IF(Tabela1[[#This Row],[promien]]&lt;40000,1,0)</f>
        <v>0</v>
      </c>
      <c r="E8943" s="1">
        <f>IF(Tabela1[[#This Row],[promien]]=40000,1,0)</f>
        <v>0</v>
      </c>
      <c r="F8943" s="1">
        <v>3.1398859443139884</v>
      </c>
      <c r="G8943" s="1">
        <v>1.7067092758047409E-3</v>
      </c>
    </row>
    <row r="8944" spans="1:7">
      <c r="A8944">
        <v>91</v>
      </c>
      <c r="B8944">
        <v>160</v>
      </c>
      <c r="C8944" s="1">
        <f>(Tabela1[[#This Row],[x]]-H$3)*(Tabela1[[#This Row],[x]]-H$3) +(Tabela1[[#This Row],[y]]-H$4)*(Tabela1[[#This Row],[y]]-H$4)</f>
        <v>13481</v>
      </c>
      <c r="D8944" s="1">
        <f>IF(Tabela1[[#This Row],[promien]]&lt;40000,1,0)</f>
        <v>1</v>
      </c>
      <c r="E8944" s="1">
        <f>IF(Tabela1[[#This Row],[promien]]=40000,1,0)</f>
        <v>0</v>
      </c>
      <c r="F8944" s="1">
        <v>3.1399821109123436</v>
      </c>
      <c r="G8944" s="1">
        <v>1.6105426774495335E-3</v>
      </c>
    </row>
    <row r="8945" spans="1:7">
      <c r="A8945">
        <v>51</v>
      </c>
      <c r="B8945">
        <v>222</v>
      </c>
      <c r="C8945" s="1">
        <f>(Tabela1[[#This Row],[x]]-H$3)*(Tabela1[[#This Row],[x]]-H$3) +(Tabela1[[#This Row],[y]]-H$4)*(Tabela1[[#This Row],[y]]-H$4)</f>
        <v>22685</v>
      </c>
      <c r="D8945" s="1">
        <f>IF(Tabela1[[#This Row],[promien]]&lt;40000,1,0)</f>
        <v>1</v>
      </c>
      <c r="E8945" s="1">
        <f>IF(Tabela1[[#This Row],[promien]]=40000,1,0)</f>
        <v>0</v>
      </c>
      <c r="F8945" s="1">
        <v>3.1400782560089437</v>
      </c>
      <c r="G8945" s="1">
        <v>1.5143975808493693E-3</v>
      </c>
    </row>
    <row r="8946" spans="1:7">
      <c r="A8946">
        <v>253</v>
      </c>
      <c r="B8946">
        <v>212</v>
      </c>
      <c r="C8946" s="1">
        <f>(Tabela1[[#This Row],[x]]-H$3)*(Tabela1[[#This Row],[x]]-H$3) +(Tabela1[[#This Row],[y]]-H$4)*(Tabela1[[#This Row],[y]]-H$4)</f>
        <v>2953</v>
      </c>
      <c r="D8946" s="1">
        <f>IF(Tabela1[[#This Row],[promien]]&lt;40000,1,0)</f>
        <v>1</v>
      </c>
      <c r="E8946" s="1">
        <f>IF(Tabela1[[#This Row],[promien]]=40000,1,0)</f>
        <v>0</v>
      </c>
      <c r="F8946" s="1">
        <v>3.1401743796109995</v>
      </c>
      <c r="G8946" s="1">
        <v>1.4182739787935716E-3</v>
      </c>
    </row>
    <row r="8947" spans="1:7">
      <c r="A8947">
        <v>70</v>
      </c>
      <c r="B8947">
        <v>78</v>
      </c>
      <c r="C8947" s="1">
        <f>(Tabela1[[#This Row],[x]]-H$3)*(Tabela1[[#This Row],[x]]-H$3) +(Tabela1[[#This Row],[y]]-H$4)*(Tabela1[[#This Row],[y]]-H$4)</f>
        <v>31784</v>
      </c>
      <c r="D8947" s="1">
        <f>IF(Tabela1[[#This Row],[promien]]&lt;40000,1,0)</f>
        <v>1</v>
      </c>
      <c r="E8947" s="1">
        <f>IF(Tabela1[[#This Row],[promien]]=40000,1,0)</f>
        <v>0</v>
      </c>
      <c r="F8947" s="1">
        <v>3.1402704817257181</v>
      </c>
      <c r="G8947" s="1">
        <v>1.3221718640750169E-3</v>
      </c>
    </row>
    <row r="8948" spans="1:7">
      <c r="A8948">
        <v>220</v>
      </c>
      <c r="B8948">
        <v>55</v>
      </c>
      <c r="C8948" s="1">
        <f>(Tabela1[[#This Row],[x]]-H$3)*(Tabela1[[#This Row],[x]]-H$3) +(Tabela1[[#This Row],[y]]-H$4)*(Tabela1[[#This Row],[y]]-H$4)</f>
        <v>21425</v>
      </c>
      <c r="D8948" s="1">
        <f>IF(Tabela1[[#This Row],[promien]]&lt;40000,1,0)</f>
        <v>1</v>
      </c>
      <c r="E8948" s="1">
        <f>IF(Tabela1[[#This Row],[promien]]=40000,1,0)</f>
        <v>0</v>
      </c>
      <c r="F8948" s="1">
        <v>3.1403665623603039</v>
      </c>
      <c r="G8948" s="1">
        <v>1.2260912294892456E-3</v>
      </c>
    </row>
    <row r="8949" spans="1:7">
      <c r="A8949">
        <v>97</v>
      </c>
      <c r="B8949">
        <v>160</v>
      </c>
      <c r="C8949" s="1">
        <f>(Tabela1[[#This Row],[x]]-H$3)*(Tabela1[[#This Row],[x]]-H$3) +(Tabela1[[#This Row],[y]]-H$4)*(Tabela1[[#This Row],[y]]-H$4)</f>
        <v>12209</v>
      </c>
      <c r="D8949" s="1">
        <f>IF(Tabela1[[#This Row],[promien]]&lt;40000,1,0)</f>
        <v>1</v>
      </c>
      <c r="E8949" s="1">
        <f>IF(Tabela1[[#This Row],[promien]]=40000,1,0)</f>
        <v>0</v>
      </c>
      <c r="F8949" s="1">
        <v>3.1404626215219578</v>
      </c>
      <c r="G8949" s="1">
        <v>1.1300320678353515E-3</v>
      </c>
    </row>
    <row r="8950" spans="1:7">
      <c r="A8950">
        <v>138</v>
      </c>
      <c r="B8950">
        <v>76</v>
      </c>
      <c r="C8950" s="1">
        <f>(Tabela1[[#This Row],[x]]-H$3)*(Tabela1[[#This Row],[x]]-H$3) +(Tabela1[[#This Row],[y]]-H$4)*(Tabela1[[#This Row],[y]]-H$4)</f>
        <v>19220</v>
      </c>
      <c r="D8950" s="1">
        <f>IF(Tabela1[[#This Row],[promien]]&lt;40000,1,0)</f>
        <v>1</v>
      </c>
      <c r="E8950" s="1">
        <f>IF(Tabela1[[#This Row],[promien]]=40000,1,0)</f>
        <v>0</v>
      </c>
      <c r="F8950" s="1">
        <v>3.1405586592178771</v>
      </c>
      <c r="G8950" s="1">
        <v>1.0339943719159805E-3</v>
      </c>
    </row>
    <row r="8951" spans="1:7">
      <c r="A8951">
        <v>313</v>
      </c>
      <c r="B8951">
        <v>328</v>
      </c>
      <c r="C8951" s="1">
        <f>(Tabela1[[#This Row],[x]]-H$3)*(Tabela1[[#This Row],[x]]-H$3) +(Tabela1[[#This Row],[y]]-H$4)*(Tabela1[[#This Row],[y]]-H$4)</f>
        <v>29153</v>
      </c>
      <c r="D8951" s="1">
        <f>IF(Tabela1[[#This Row],[promien]]&lt;40000,1,0)</f>
        <v>1</v>
      </c>
      <c r="E8951" s="1">
        <f>IF(Tabela1[[#This Row],[promien]]=40000,1,0)</f>
        <v>0</v>
      </c>
      <c r="F8951" s="1">
        <v>3.1406546754552562</v>
      </c>
      <c r="G8951" s="1">
        <v>9.3797813453688761E-4</v>
      </c>
    </row>
    <row r="8952" spans="1:7">
      <c r="A8952">
        <v>274</v>
      </c>
      <c r="B8952">
        <v>383</v>
      </c>
      <c r="C8952" s="1">
        <f>(Tabela1[[#This Row],[x]]-H$3)*(Tabela1[[#This Row],[x]]-H$3) +(Tabela1[[#This Row],[y]]-H$4)*(Tabela1[[#This Row],[y]]-H$4)</f>
        <v>38965</v>
      </c>
      <c r="D8952" s="1">
        <f>IF(Tabela1[[#This Row],[promien]]&lt;40000,1,0)</f>
        <v>1</v>
      </c>
      <c r="E8952" s="1">
        <f>IF(Tabela1[[#This Row],[promien]]=40000,1,0)</f>
        <v>0</v>
      </c>
      <c r="F8952" s="1">
        <v>3.1407506702412871</v>
      </c>
      <c r="G8952" s="1">
        <v>8.4198334850604795E-4</v>
      </c>
    </row>
    <row r="8953" spans="1:7">
      <c r="A8953">
        <v>329</v>
      </c>
      <c r="B8953">
        <v>367</v>
      </c>
      <c r="C8953" s="1">
        <f>(Tabela1[[#This Row],[x]]-H$3)*(Tabela1[[#This Row],[x]]-H$3) +(Tabela1[[#This Row],[y]]-H$4)*(Tabela1[[#This Row],[y]]-H$4)</f>
        <v>44530</v>
      </c>
      <c r="D8953" s="1">
        <f>IF(Tabela1[[#This Row],[promien]]&lt;40000,1,0)</f>
        <v>0</v>
      </c>
      <c r="E8953" s="1">
        <f>IF(Tabela1[[#This Row],[promien]]=40000,1,0)</f>
        <v>0</v>
      </c>
      <c r="F8953" s="1">
        <v>3.1403998659667152</v>
      </c>
      <c r="G8953" s="1">
        <v>1.1927876230779511E-3</v>
      </c>
    </row>
    <row r="8954" spans="1:7">
      <c r="A8954">
        <v>325</v>
      </c>
      <c r="B8954">
        <v>86</v>
      </c>
      <c r="C8954" s="1">
        <f>(Tabela1[[#This Row],[x]]-H$3)*(Tabela1[[#This Row],[x]]-H$3) +(Tabela1[[#This Row],[y]]-H$4)*(Tabela1[[#This Row],[y]]-H$4)</f>
        <v>28621</v>
      </c>
      <c r="D8954" s="1">
        <f>IF(Tabela1[[#This Row],[promien]]&lt;40000,1,0)</f>
        <v>1</v>
      </c>
      <c r="E8954" s="1">
        <f>IF(Tabela1[[#This Row],[promien]]=40000,1,0)</f>
        <v>0</v>
      </c>
      <c r="F8954" s="1">
        <v>3.1404958677685952</v>
      </c>
      <c r="G8954" s="1">
        <v>1.0967858211978765E-3</v>
      </c>
    </row>
    <row r="8955" spans="1:7">
      <c r="A8955">
        <v>370</v>
      </c>
      <c r="B8955">
        <v>231</v>
      </c>
      <c r="C8955" s="1">
        <f>(Tabela1[[#This Row],[x]]-H$3)*(Tabela1[[#This Row],[x]]-H$3) +(Tabela1[[#This Row],[y]]-H$4)*(Tabela1[[#This Row],[y]]-H$4)</f>
        <v>29861</v>
      </c>
      <c r="D8955" s="1">
        <f>IF(Tabela1[[#This Row],[promien]]&lt;40000,1,0)</f>
        <v>1</v>
      </c>
      <c r="E8955" s="1">
        <f>IF(Tabela1[[#This Row],[promien]]=40000,1,0)</f>
        <v>0</v>
      </c>
      <c r="F8955" s="1">
        <v>3.1405918481295365</v>
      </c>
      <c r="G8955" s="1">
        <v>1.0008054602566041E-3</v>
      </c>
    </row>
    <row r="8956" spans="1:7">
      <c r="A8956">
        <v>208</v>
      </c>
      <c r="B8956">
        <v>127</v>
      </c>
      <c r="C8956" s="1">
        <f>(Tabela1[[#This Row],[x]]-H$3)*(Tabela1[[#This Row],[x]]-H$3) +(Tabela1[[#This Row],[y]]-H$4)*(Tabela1[[#This Row],[y]]-H$4)</f>
        <v>5393</v>
      </c>
      <c r="D8956" s="1">
        <f>IF(Tabela1[[#This Row],[promien]]&lt;40000,1,0)</f>
        <v>1</v>
      </c>
      <c r="E8956" s="1">
        <f>IF(Tabela1[[#This Row],[promien]]=40000,1,0)</f>
        <v>0</v>
      </c>
      <c r="F8956" s="1">
        <v>3.1406878070567217</v>
      </c>
      <c r="G8956" s="1">
        <v>9.0484653307143503E-4</v>
      </c>
    </row>
    <row r="8957" spans="1:7">
      <c r="A8957">
        <v>18</v>
      </c>
      <c r="B8957">
        <v>328</v>
      </c>
      <c r="C8957" s="1">
        <f>(Tabela1[[#This Row],[x]]-H$3)*(Tabela1[[#This Row],[x]]-H$3) +(Tabela1[[#This Row],[y]]-H$4)*(Tabela1[[#This Row],[y]]-H$4)</f>
        <v>49508</v>
      </c>
      <c r="D8957" s="1">
        <f>IF(Tabela1[[#This Row],[promien]]&lt;40000,1,0)</f>
        <v>0</v>
      </c>
      <c r="E8957" s="1">
        <f>IF(Tabela1[[#This Row],[promien]]=40000,1,0)</f>
        <v>0</v>
      </c>
      <c r="F8957" s="1">
        <v>3.1403371664619852</v>
      </c>
      <c r="G8957" s="1">
        <v>1.255487127807875E-3</v>
      </c>
    </row>
    <row r="8958" spans="1:7">
      <c r="A8958">
        <v>276</v>
      </c>
      <c r="B8958">
        <v>171</v>
      </c>
      <c r="C8958" s="1">
        <f>(Tabela1[[#This Row],[x]]-H$3)*(Tabela1[[#This Row],[x]]-H$3) +(Tabela1[[#This Row],[y]]-H$4)*(Tabela1[[#This Row],[y]]-H$4)</f>
        <v>6617</v>
      </c>
      <c r="D8958" s="1">
        <f>IF(Tabela1[[#This Row],[promien]]&lt;40000,1,0)</f>
        <v>1</v>
      </c>
      <c r="E8958" s="1">
        <f>IF(Tabela1[[#This Row],[promien]]=40000,1,0)</f>
        <v>0</v>
      </c>
      <c r="F8958" s="1">
        <v>3.140433132395624</v>
      </c>
      <c r="G8958" s="1">
        <v>1.1595211941690664E-3</v>
      </c>
    </row>
    <row r="8959" spans="1:7">
      <c r="A8959">
        <v>20</v>
      </c>
      <c r="B8959">
        <v>96</v>
      </c>
      <c r="C8959" s="1">
        <f>(Tabela1[[#This Row],[x]]-H$3)*(Tabela1[[#This Row],[x]]-H$3) +(Tabela1[[#This Row],[y]]-H$4)*(Tabela1[[#This Row],[y]]-H$4)</f>
        <v>43216</v>
      </c>
      <c r="D8959" s="1">
        <f>IF(Tabela1[[#This Row],[promien]]&lt;40000,1,0)</f>
        <v>0</v>
      </c>
      <c r="E8959" s="1">
        <f>IF(Tabela1[[#This Row],[promien]]=40000,1,0)</f>
        <v>0</v>
      </c>
      <c r="F8959" s="1">
        <v>3.1400825985042973</v>
      </c>
      <c r="G8959" s="1">
        <v>1.5100550854958428E-3</v>
      </c>
    </row>
    <row r="8960" spans="1:7">
      <c r="A8960">
        <v>288</v>
      </c>
      <c r="B8960">
        <v>156</v>
      </c>
      <c r="C8960" s="1">
        <f>(Tabela1[[#This Row],[x]]-H$3)*(Tabela1[[#This Row],[x]]-H$3) +(Tabela1[[#This Row],[y]]-H$4)*(Tabela1[[#This Row],[y]]-H$4)</f>
        <v>9680</v>
      </c>
      <c r="D8960" s="1">
        <f>IF(Tabela1[[#This Row],[promien]]&lt;40000,1,0)</f>
        <v>1</v>
      </c>
      <c r="E8960" s="1">
        <f>IF(Tabela1[[#This Row],[promien]]=40000,1,0)</f>
        <v>0</v>
      </c>
      <c r="F8960" s="1">
        <v>3.1401785714285713</v>
      </c>
      <c r="G8960" s="1">
        <v>1.4140821612218524E-3</v>
      </c>
    </row>
    <row r="8961" spans="1:7">
      <c r="A8961">
        <v>30</v>
      </c>
      <c r="B8961">
        <v>48</v>
      </c>
      <c r="C8961" s="1">
        <f>(Tabela1[[#This Row],[x]]-H$3)*(Tabela1[[#This Row],[x]]-H$3) +(Tabela1[[#This Row],[y]]-H$4)*(Tabela1[[#This Row],[y]]-H$4)</f>
        <v>52004</v>
      </c>
      <c r="D8961" s="1">
        <f>IF(Tabela1[[#This Row],[promien]]&lt;40000,1,0)</f>
        <v>0</v>
      </c>
      <c r="E8961" s="1">
        <f>IF(Tabela1[[#This Row],[promien]]=40000,1,0)</f>
        <v>0</v>
      </c>
      <c r="F8961" s="1">
        <v>3.1398281441803371</v>
      </c>
      <c r="G8961" s="1">
        <v>1.7645094094560498E-3</v>
      </c>
    </row>
    <row r="8962" spans="1:7">
      <c r="A8962">
        <v>169</v>
      </c>
      <c r="B8962">
        <v>27</v>
      </c>
      <c r="C8962" s="1">
        <f>(Tabela1[[#This Row],[x]]-H$3)*(Tabela1[[#This Row],[x]]-H$3) +(Tabela1[[#This Row],[y]]-H$4)*(Tabela1[[#This Row],[y]]-H$4)</f>
        <v>30890</v>
      </c>
      <c r="D8962" s="1">
        <f>IF(Tabela1[[#This Row],[promien]]&lt;40000,1,0)</f>
        <v>1</v>
      </c>
      <c r="E8962" s="1">
        <f>IF(Tabela1[[#This Row],[promien]]=40000,1,0)</f>
        <v>0</v>
      </c>
      <c r="F8962" s="1">
        <v>3.1399241240794464</v>
      </c>
      <c r="G8962" s="1">
        <v>1.6685295103466835E-3</v>
      </c>
    </row>
    <row r="8963" spans="1:7">
      <c r="A8963">
        <v>227</v>
      </c>
      <c r="B8963">
        <v>7</v>
      </c>
      <c r="C8963" s="1">
        <f>(Tabela1[[#This Row],[x]]-H$3)*(Tabela1[[#This Row],[x]]-H$3) +(Tabela1[[#This Row],[y]]-H$4)*(Tabela1[[#This Row],[y]]-H$4)</f>
        <v>37978</v>
      </c>
      <c r="D8963" s="1">
        <f>IF(Tabela1[[#This Row],[promien]]&lt;40000,1,0)</f>
        <v>1</v>
      </c>
      <c r="E8963" s="1">
        <f>IF(Tabela1[[#This Row],[promien]]=40000,1,0)</f>
        <v>0</v>
      </c>
      <c r="F8963" s="1">
        <v>3.1400200825616422</v>
      </c>
      <c r="G8963" s="1">
        <v>1.5725710281508931E-3</v>
      </c>
    </row>
    <row r="8964" spans="1:7">
      <c r="A8964">
        <v>321</v>
      </c>
      <c r="B8964">
        <v>331</v>
      </c>
      <c r="C8964" s="1">
        <f>(Tabela1[[#This Row],[x]]-H$3)*(Tabela1[[#This Row],[x]]-H$3) +(Tabela1[[#This Row],[y]]-H$4)*(Tabela1[[#This Row],[y]]-H$4)</f>
        <v>31802</v>
      </c>
      <c r="D8964" s="1">
        <f>IF(Tabela1[[#This Row],[promien]]&lt;40000,1,0)</f>
        <v>1</v>
      </c>
      <c r="E8964" s="1">
        <f>IF(Tabela1[[#This Row],[promien]]=40000,1,0)</f>
        <v>0</v>
      </c>
      <c r="F8964" s="1">
        <v>3.140116019634092</v>
      </c>
      <c r="G8964" s="1">
        <v>1.4766339557010788E-3</v>
      </c>
    </row>
    <row r="8965" spans="1:7">
      <c r="A8965">
        <v>102</v>
      </c>
      <c r="B8965">
        <v>108</v>
      </c>
      <c r="C8965" s="1">
        <f>(Tabela1[[#This Row],[x]]-H$3)*(Tabela1[[#This Row],[x]]-H$3) +(Tabela1[[#This Row],[y]]-H$4)*(Tabela1[[#This Row],[y]]-H$4)</f>
        <v>18068</v>
      </c>
      <c r="D8965" s="1">
        <f>IF(Tabela1[[#This Row],[promien]]&lt;40000,1,0)</f>
        <v>1</v>
      </c>
      <c r="E8965" s="1">
        <f>IF(Tabela1[[#This Row],[promien]]=40000,1,0)</f>
        <v>0</v>
      </c>
      <c r="F8965" s="1">
        <v>3.1402119353039599</v>
      </c>
      <c r="G8965" s="1">
        <v>1.3807182858331934E-3</v>
      </c>
    </row>
    <row r="8966" spans="1:7">
      <c r="A8966">
        <v>108</v>
      </c>
      <c r="B8966">
        <v>215</v>
      </c>
      <c r="C8966" s="1">
        <f>(Tabela1[[#This Row],[x]]-H$3)*(Tabela1[[#This Row],[x]]-H$3) +(Tabela1[[#This Row],[y]]-H$4)*(Tabela1[[#This Row],[y]]-H$4)</f>
        <v>8689</v>
      </c>
      <c r="D8966" s="1">
        <f>IF(Tabela1[[#This Row],[promien]]&lt;40000,1,0)</f>
        <v>1</v>
      </c>
      <c r="E8966" s="1">
        <f>IF(Tabela1[[#This Row],[promien]]=40000,1,0)</f>
        <v>0</v>
      </c>
      <c r="F8966" s="1">
        <v>3.1403078295784073</v>
      </c>
      <c r="G8966" s="1">
        <v>1.2848240113858544E-3</v>
      </c>
    </row>
    <row r="8967" spans="1:7">
      <c r="A8967">
        <v>45</v>
      </c>
      <c r="B8967">
        <v>108</v>
      </c>
      <c r="C8967" s="1">
        <f>(Tabela1[[#This Row],[x]]-H$3)*(Tabela1[[#This Row],[x]]-H$3) +(Tabela1[[#This Row],[y]]-H$4)*(Tabela1[[#This Row],[y]]-H$4)</f>
        <v>32489</v>
      </c>
      <c r="D8967" s="1">
        <f>IF(Tabela1[[#This Row],[promien]]&lt;40000,1,0)</f>
        <v>1</v>
      </c>
      <c r="E8967" s="1">
        <f>IF(Tabela1[[#This Row],[promien]]=40000,1,0)</f>
        <v>0</v>
      </c>
      <c r="F8967" s="1">
        <v>3.1404037024645923</v>
      </c>
      <c r="G8967" s="1">
        <v>1.1889511252007878E-3</v>
      </c>
    </row>
    <row r="8968" spans="1:7">
      <c r="A8968">
        <v>246</v>
      </c>
      <c r="B8968">
        <v>87</v>
      </c>
      <c r="C8968" s="1">
        <f>(Tabela1[[#This Row],[x]]-H$3)*(Tabela1[[#This Row],[x]]-H$3) +(Tabela1[[#This Row],[y]]-H$4)*(Tabela1[[#This Row],[y]]-H$4)</f>
        <v>14885</v>
      </c>
      <c r="D8968" s="1">
        <f>IF(Tabela1[[#This Row],[promien]]&lt;40000,1,0)</f>
        <v>1</v>
      </c>
      <c r="E8968" s="1">
        <f>IF(Tabela1[[#This Row],[promien]]=40000,1,0)</f>
        <v>0</v>
      </c>
      <c r="F8968" s="1">
        <v>3.1404995539696698</v>
      </c>
      <c r="G8968" s="1">
        <v>1.0930996201232723E-3</v>
      </c>
    </row>
    <row r="8969" spans="1:7">
      <c r="A8969">
        <v>264</v>
      </c>
      <c r="B8969">
        <v>233</v>
      </c>
      <c r="C8969" s="1">
        <f>(Tabela1[[#This Row],[x]]-H$3)*(Tabela1[[#This Row],[x]]-H$3) +(Tabela1[[#This Row],[y]]-H$4)*(Tabela1[[#This Row],[y]]-H$4)</f>
        <v>5185</v>
      </c>
      <c r="D8969" s="1">
        <f>IF(Tabela1[[#This Row],[promien]]&lt;40000,1,0)</f>
        <v>1</v>
      </c>
      <c r="E8969" s="1">
        <f>IF(Tabela1[[#This Row],[promien]]=40000,1,0)</f>
        <v>0</v>
      </c>
      <c r="F8969" s="1">
        <v>3.1405953841007914</v>
      </c>
      <c r="G8969" s="1">
        <v>9.9726948900169532E-4</v>
      </c>
    </row>
    <row r="8970" spans="1:7">
      <c r="A8970">
        <v>203</v>
      </c>
      <c r="B8970">
        <v>51</v>
      </c>
      <c r="C8970" s="1">
        <f>(Tabela1[[#This Row],[x]]-H$3)*(Tabela1[[#This Row],[x]]-H$3) +(Tabela1[[#This Row],[y]]-H$4)*(Tabela1[[#This Row],[y]]-H$4)</f>
        <v>22210</v>
      </c>
      <c r="D8970" s="1">
        <f>IF(Tabela1[[#This Row],[promien]]&lt;40000,1,0)</f>
        <v>1</v>
      </c>
      <c r="E8970" s="1">
        <f>IF(Tabela1[[#This Row],[promien]]=40000,1,0)</f>
        <v>0</v>
      </c>
      <c r="F8970" s="1">
        <v>3.140691192865106</v>
      </c>
      <c r="G8970" s="1">
        <v>9.0146072468710869E-4</v>
      </c>
    </row>
    <row r="8971" spans="1:7">
      <c r="A8971">
        <v>55</v>
      </c>
      <c r="B8971">
        <v>397</v>
      </c>
      <c r="C8971" s="1">
        <f>(Tabela1[[#This Row],[x]]-H$3)*(Tabela1[[#This Row],[x]]-H$3) +(Tabela1[[#This Row],[y]]-H$4)*(Tabela1[[#This Row],[y]]-H$4)</f>
        <v>59834</v>
      </c>
      <c r="D8971" s="1">
        <f>IF(Tabela1[[#This Row],[promien]]&lt;40000,1,0)</f>
        <v>0</v>
      </c>
      <c r="E8971" s="1">
        <f>IF(Tabela1[[#This Row],[promien]]=40000,1,0)</f>
        <v>0</v>
      </c>
      <c r="F8971" s="1">
        <v>3.1403410990970908</v>
      </c>
      <c r="G8971" s="1">
        <v>1.2515544927023114E-3</v>
      </c>
    </row>
    <row r="8972" spans="1:7">
      <c r="A8972">
        <v>10</v>
      </c>
      <c r="B8972">
        <v>4</v>
      </c>
      <c r="C8972" s="1">
        <f>(Tabela1[[#This Row],[x]]-H$3)*(Tabela1[[#This Row],[x]]-H$3) +(Tabela1[[#This Row],[y]]-H$4)*(Tabela1[[#This Row],[y]]-H$4)</f>
        <v>74516</v>
      </c>
      <c r="D8972" s="1">
        <f>IF(Tabela1[[#This Row],[promien]]&lt;40000,1,0)</f>
        <v>0</v>
      </c>
      <c r="E8972" s="1">
        <f>IF(Tabela1[[#This Row],[promien]]=40000,1,0)</f>
        <v>0</v>
      </c>
      <c r="F8972" s="1">
        <v>3.1399910833704858</v>
      </c>
      <c r="G8972" s="1">
        <v>1.6015702193072912E-3</v>
      </c>
    </row>
    <row r="8973" spans="1:7">
      <c r="A8973">
        <v>88</v>
      </c>
      <c r="B8973">
        <v>128</v>
      </c>
      <c r="C8973" s="1">
        <f>(Tabela1[[#This Row],[x]]-H$3)*(Tabela1[[#This Row],[x]]-H$3) +(Tabela1[[#This Row],[y]]-H$4)*(Tabela1[[#This Row],[y]]-H$4)</f>
        <v>17728</v>
      </c>
      <c r="D8973" s="1">
        <f>IF(Tabela1[[#This Row],[promien]]&lt;40000,1,0)</f>
        <v>1</v>
      </c>
      <c r="E8973" s="1">
        <f>IF(Tabela1[[#This Row],[promien]]=40000,1,0)</f>
        <v>0</v>
      </c>
      <c r="F8973" s="1">
        <v>3.1400869274490137</v>
      </c>
      <c r="G8973" s="1">
        <v>1.5057261407793732E-3</v>
      </c>
    </row>
    <row r="8974" spans="1:7">
      <c r="A8974">
        <v>383</v>
      </c>
      <c r="B8974">
        <v>329</v>
      </c>
      <c r="C8974" s="1">
        <f>(Tabela1[[#This Row],[x]]-H$3)*(Tabela1[[#This Row],[x]]-H$3) +(Tabela1[[#This Row],[y]]-H$4)*(Tabela1[[#This Row],[y]]-H$4)</f>
        <v>50130</v>
      </c>
      <c r="D8974" s="1">
        <f>IF(Tabela1[[#This Row],[promien]]&lt;40000,1,0)</f>
        <v>0</v>
      </c>
      <c r="E8974" s="1">
        <f>IF(Tabela1[[#This Row],[promien]]=40000,1,0)</f>
        <v>0</v>
      </c>
      <c r="F8974" s="1">
        <v>3.1397370180521507</v>
      </c>
      <c r="G8974" s="1">
        <v>1.8556355376424527E-3</v>
      </c>
    </row>
    <row r="8975" spans="1:7">
      <c r="A8975">
        <v>2</v>
      </c>
      <c r="B8975">
        <v>251</v>
      </c>
      <c r="C8975" s="1">
        <f>(Tabela1[[#This Row],[x]]-H$3)*(Tabela1[[#This Row],[x]]-H$3) +(Tabela1[[#This Row],[y]]-H$4)*(Tabela1[[#This Row],[y]]-H$4)</f>
        <v>41805</v>
      </c>
      <c r="D8975" s="1">
        <f>IF(Tabela1[[#This Row],[promien]]&lt;40000,1,0)</f>
        <v>0</v>
      </c>
      <c r="E8975" s="1">
        <f>IF(Tabela1[[#This Row],[promien]]=40000,1,0)</f>
        <v>0</v>
      </c>
      <c r="F8975" s="1">
        <v>3.1393871866295266</v>
      </c>
      <c r="G8975" s="1">
        <v>2.2054669602664667E-3</v>
      </c>
    </row>
    <row r="8976" spans="1:7">
      <c r="A8976">
        <v>49</v>
      </c>
      <c r="B8976">
        <v>35</v>
      </c>
      <c r="C8976" s="1">
        <f>(Tabela1[[#This Row],[x]]-H$3)*(Tabela1[[#This Row],[x]]-H$3) +(Tabela1[[#This Row],[y]]-H$4)*(Tabela1[[#This Row],[y]]-H$4)</f>
        <v>50026</v>
      </c>
      <c r="D8976" s="1">
        <f>IF(Tabela1[[#This Row],[promien]]&lt;40000,1,0)</f>
        <v>0</v>
      </c>
      <c r="E8976" s="1">
        <f>IF(Tabela1[[#This Row],[promien]]=40000,1,0)</f>
        <v>0</v>
      </c>
      <c r="F8976" s="1">
        <v>3.1390374331550803</v>
      </c>
      <c r="G8976" s="1">
        <v>2.5552204347127905E-3</v>
      </c>
    </row>
    <row r="8977" spans="1:7">
      <c r="A8977">
        <v>90</v>
      </c>
      <c r="B8977">
        <v>196</v>
      </c>
      <c r="C8977" s="1">
        <f>(Tabela1[[#This Row],[x]]-H$3)*(Tabela1[[#This Row],[x]]-H$3) +(Tabela1[[#This Row],[y]]-H$4)*(Tabela1[[#This Row],[y]]-H$4)</f>
        <v>12116</v>
      </c>
      <c r="D8977" s="1">
        <f>IF(Tabela1[[#This Row],[promien]]&lt;40000,1,0)</f>
        <v>1</v>
      </c>
      <c r="E8977" s="1">
        <f>IF(Tabela1[[#This Row],[promien]]=40000,1,0)</f>
        <v>0</v>
      </c>
      <c r="F8977" s="1">
        <v>3.1391333407597193</v>
      </c>
      <c r="G8977" s="1">
        <v>2.4593128300738343E-3</v>
      </c>
    </row>
    <row r="8978" spans="1:7">
      <c r="A8978">
        <v>268</v>
      </c>
      <c r="B8978">
        <v>378</v>
      </c>
      <c r="C8978" s="1">
        <f>(Tabela1[[#This Row],[x]]-H$3)*(Tabela1[[#This Row],[x]]-H$3) +(Tabela1[[#This Row],[y]]-H$4)*(Tabela1[[#This Row],[y]]-H$4)</f>
        <v>36308</v>
      </c>
      <c r="D8978" s="1">
        <f>IF(Tabela1[[#This Row],[promien]]&lt;40000,1,0)</f>
        <v>1</v>
      </c>
      <c r="E8978" s="1">
        <f>IF(Tabela1[[#This Row],[promien]]=40000,1,0)</f>
        <v>0</v>
      </c>
      <c r="F8978" s="1">
        <v>3.1392292269993316</v>
      </c>
      <c r="G8978" s="1">
        <v>2.3634265904615148E-3</v>
      </c>
    </row>
    <row r="8979" spans="1:7">
      <c r="A8979">
        <v>185</v>
      </c>
      <c r="B8979">
        <v>388</v>
      </c>
      <c r="C8979" s="1">
        <f>(Tabela1[[#This Row],[x]]-H$3)*(Tabela1[[#This Row],[x]]-H$3) +(Tabela1[[#This Row],[y]]-H$4)*(Tabela1[[#This Row],[y]]-H$4)</f>
        <v>35569</v>
      </c>
      <c r="D8979" s="1">
        <f>IF(Tabela1[[#This Row],[promien]]&lt;40000,1,0)</f>
        <v>1</v>
      </c>
      <c r="E8979" s="1">
        <f>IF(Tabela1[[#This Row],[promien]]=40000,1,0)</f>
        <v>0</v>
      </c>
      <c r="F8979" s="1">
        <v>3.139325091881056</v>
      </c>
      <c r="G8979" s="1">
        <v>2.2675617087370981E-3</v>
      </c>
    </row>
    <row r="8980" spans="1:7">
      <c r="A8980">
        <v>204</v>
      </c>
      <c r="B8980">
        <v>138</v>
      </c>
      <c r="C8980" s="1">
        <f>(Tabela1[[#This Row],[x]]-H$3)*(Tabela1[[#This Row],[x]]-H$3) +(Tabela1[[#This Row],[y]]-H$4)*(Tabela1[[#This Row],[y]]-H$4)</f>
        <v>3860</v>
      </c>
      <c r="D8980" s="1">
        <f>IF(Tabela1[[#This Row],[promien]]&lt;40000,1,0)</f>
        <v>1</v>
      </c>
      <c r="E8980" s="1">
        <f>IF(Tabela1[[#This Row],[promien]]=40000,1,0)</f>
        <v>0</v>
      </c>
      <c r="F8980" s="1">
        <v>3.1394209354120268</v>
      </c>
      <c r="G8980" s="1">
        <v>2.1717181777662908E-3</v>
      </c>
    </row>
    <row r="8981" spans="1:7">
      <c r="A8981">
        <v>235</v>
      </c>
      <c r="B8981">
        <v>41</v>
      </c>
      <c r="C8981" s="1">
        <f>(Tabela1[[#This Row],[x]]-H$3)*(Tabela1[[#This Row],[x]]-H$3) +(Tabela1[[#This Row],[y]]-H$4)*(Tabela1[[#This Row],[y]]-H$4)</f>
        <v>26506</v>
      </c>
      <c r="D8981" s="1">
        <f>IF(Tabela1[[#This Row],[promien]]&lt;40000,1,0)</f>
        <v>1</v>
      </c>
      <c r="E8981" s="1">
        <f>IF(Tabela1[[#This Row],[promien]]=40000,1,0)</f>
        <v>0</v>
      </c>
      <c r="F8981" s="1">
        <v>3.1395167575993765</v>
      </c>
      <c r="G8981" s="1">
        <v>2.0758959904165764E-3</v>
      </c>
    </row>
    <row r="8982" spans="1:7">
      <c r="A8982">
        <v>283</v>
      </c>
      <c r="B8982">
        <v>381</v>
      </c>
      <c r="C8982" s="1">
        <f>(Tabela1[[#This Row],[x]]-H$3)*(Tabela1[[#This Row],[x]]-H$3) +(Tabela1[[#This Row],[y]]-H$4)*(Tabela1[[#This Row],[y]]-H$4)</f>
        <v>39650</v>
      </c>
      <c r="D8982" s="1">
        <f>IF(Tabela1[[#This Row],[promien]]&lt;40000,1,0)</f>
        <v>1</v>
      </c>
      <c r="E8982" s="1">
        <f>IF(Tabela1[[#This Row],[promien]]=40000,1,0)</f>
        <v>0</v>
      </c>
      <c r="F8982" s="1">
        <v>3.1396125584502337</v>
      </c>
      <c r="G8982" s="1">
        <v>1.9800951395594346E-3</v>
      </c>
    </row>
    <row r="8983" spans="1:7">
      <c r="A8983">
        <v>122</v>
      </c>
      <c r="B8983">
        <v>283</v>
      </c>
      <c r="C8983" s="1">
        <f>(Tabela1[[#This Row],[x]]-H$3)*(Tabela1[[#This Row],[x]]-H$3) +(Tabela1[[#This Row],[y]]-H$4)*(Tabela1[[#This Row],[y]]-H$4)</f>
        <v>12973</v>
      </c>
      <c r="D8983" s="1">
        <f>IF(Tabela1[[#This Row],[promien]]&lt;40000,1,0)</f>
        <v>1</v>
      </c>
      <c r="E8983" s="1">
        <f>IF(Tabela1[[#This Row],[promien]]=40000,1,0)</f>
        <v>0</v>
      </c>
      <c r="F8983" s="1">
        <v>3.1397083379717245</v>
      </c>
      <c r="G8983" s="1">
        <v>1.8843156180685661E-3</v>
      </c>
    </row>
    <row r="8984" spans="1:7">
      <c r="A8984">
        <v>177</v>
      </c>
      <c r="B8984">
        <v>221</v>
      </c>
      <c r="C8984" s="1">
        <f>(Tabela1[[#This Row],[x]]-H$3)*(Tabela1[[#This Row],[x]]-H$3) +(Tabela1[[#This Row],[y]]-H$4)*(Tabela1[[#This Row],[y]]-H$4)</f>
        <v>970</v>
      </c>
      <c r="D8984" s="1">
        <f>IF(Tabela1[[#This Row],[promien]]&lt;40000,1,0)</f>
        <v>1</v>
      </c>
      <c r="E8984" s="1">
        <f>IF(Tabela1[[#This Row],[promien]]=40000,1,0)</f>
        <v>0</v>
      </c>
      <c r="F8984" s="1">
        <v>3.1398040961709706</v>
      </c>
      <c r="G8984" s="1">
        <v>1.7885574188225561E-3</v>
      </c>
    </row>
    <row r="8985" spans="1:7">
      <c r="A8985">
        <v>11</v>
      </c>
      <c r="B8985">
        <v>125</v>
      </c>
      <c r="C8985" s="1">
        <f>(Tabela1[[#This Row],[x]]-H$3)*(Tabela1[[#This Row],[x]]-H$3) +(Tabela1[[#This Row],[y]]-H$4)*(Tabela1[[#This Row],[y]]-H$4)</f>
        <v>41346</v>
      </c>
      <c r="D8985" s="1">
        <f>IF(Tabela1[[#This Row],[promien]]&lt;40000,1,0)</f>
        <v>0</v>
      </c>
      <c r="E8985" s="1">
        <f>IF(Tabela1[[#This Row],[promien]]=40000,1,0)</f>
        <v>0</v>
      </c>
      <c r="F8985" s="1">
        <v>3.1394546466332778</v>
      </c>
      <c r="G8985" s="1">
        <v>2.138006956515337E-3</v>
      </c>
    </row>
    <row r="8986" spans="1:7">
      <c r="A8986">
        <v>67</v>
      </c>
      <c r="B8986">
        <v>42</v>
      </c>
      <c r="C8986" s="1">
        <f>(Tabela1[[#This Row],[x]]-H$3)*(Tabela1[[#This Row],[x]]-H$3) +(Tabela1[[#This Row],[y]]-H$4)*(Tabela1[[#This Row],[y]]-H$4)</f>
        <v>42653</v>
      </c>
      <c r="D8986" s="1">
        <f>IF(Tabela1[[#This Row],[promien]]&lt;40000,1,0)</f>
        <v>0</v>
      </c>
      <c r="E8986" s="1">
        <f>IF(Tabela1[[#This Row],[promien]]=40000,1,0)</f>
        <v>0</v>
      </c>
      <c r="F8986" s="1">
        <v>3.1391052748720232</v>
      </c>
      <c r="G8986" s="1">
        <v>2.4873787177699391E-3</v>
      </c>
    </row>
    <row r="8987" spans="1:7">
      <c r="A8987">
        <v>362</v>
      </c>
      <c r="B8987">
        <v>207</v>
      </c>
      <c r="C8987" s="1">
        <f>(Tabela1[[#This Row],[x]]-H$3)*(Tabela1[[#This Row],[x]]-H$3) +(Tabela1[[#This Row],[y]]-H$4)*(Tabela1[[#This Row],[y]]-H$4)</f>
        <v>26293</v>
      </c>
      <c r="D8987" s="1">
        <f>IF(Tabela1[[#This Row],[promien]]&lt;40000,1,0)</f>
        <v>1</v>
      </c>
      <c r="E8987" s="1">
        <f>IF(Tabela1[[#This Row],[promien]]=40000,1,0)</f>
        <v>0</v>
      </c>
      <c r="F8987" s="1">
        <v>3.1392010682096361</v>
      </c>
      <c r="G8987" s="1">
        <v>2.3915853801570464E-3</v>
      </c>
    </row>
    <row r="8988" spans="1:7">
      <c r="A8988">
        <v>156</v>
      </c>
      <c r="B8988">
        <v>2</v>
      </c>
      <c r="C8988" s="1">
        <f>(Tabela1[[#This Row],[x]]-H$3)*(Tabela1[[#This Row],[x]]-H$3) +(Tabela1[[#This Row],[y]]-H$4)*(Tabela1[[#This Row],[y]]-H$4)</f>
        <v>41140</v>
      </c>
      <c r="D8988" s="1">
        <f>IF(Tabela1[[#This Row],[promien]]&lt;40000,1,0)</f>
        <v>0</v>
      </c>
      <c r="E8988" s="1">
        <f>IF(Tabela1[[#This Row],[promien]]=40000,1,0)</f>
        <v>0</v>
      </c>
      <c r="F8988" s="1">
        <v>3.1388518024032042</v>
      </c>
      <c r="G8988" s="1">
        <v>2.7408511865889551E-3</v>
      </c>
    </row>
    <row r="8989" spans="1:7">
      <c r="A8989">
        <v>259</v>
      </c>
      <c r="B8989">
        <v>235</v>
      </c>
      <c r="C8989" s="1">
        <f>(Tabela1[[#This Row],[x]]-H$3)*(Tabela1[[#This Row],[x]]-H$3) +(Tabela1[[#This Row],[y]]-H$4)*(Tabela1[[#This Row],[y]]-H$4)</f>
        <v>4706</v>
      </c>
      <c r="D8989" s="1">
        <f>IF(Tabela1[[#This Row],[promien]]&lt;40000,1,0)</f>
        <v>1</v>
      </c>
      <c r="E8989" s="1">
        <f>IF(Tabela1[[#This Row],[promien]]=40000,1,0)</f>
        <v>0</v>
      </c>
      <c r="F8989" s="1">
        <v>3.1389476026254313</v>
      </c>
      <c r="G8989" s="1">
        <v>2.6450509643618503E-3</v>
      </c>
    </row>
    <row r="8990" spans="1:7">
      <c r="A8990">
        <v>94</v>
      </c>
      <c r="B8990">
        <v>173</v>
      </c>
      <c r="C8990" s="1">
        <f>(Tabela1[[#This Row],[x]]-H$3)*(Tabela1[[#This Row],[x]]-H$3) +(Tabela1[[#This Row],[y]]-H$4)*(Tabela1[[#This Row],[y]]-H$4)</f>
        <v>11965</v>
      </c>
      <c r="D8990" s="1">
        <f>IF(Tabela1[[#This Row],[promien]]&lt;40000,1,0)</f>
        <v>1</v>
      </c>
      <c r="E8990" s="1">
        <f>IF(Tabela1[[#This Row],[promien]]=40000,1,0)</f>
        <v>0</v>
      </c>
      <c r="F8990" s="1">
        <v>3.1390433815350391</v>
      </c>
      <c r="G8990" s="1">
        <v>2.5492720547539705E-3</v>
      </c>
    </row>
    <row r="8991" spans="1:7">
      <c r="A8991">
        <v>57</v>
      </c>
      <c r="B8991">
        <v>212</v>
      </c>
      <c r="C8991" s="1">
        <f>(Tabela1[[#This Row],[x]]-H$3)*(Tabela1[[#This Row],[x]]-H$3) +(Tabela1[[#This Row],[y]]-H$4)*(Tabela1[[#This Row],[y]]-H$4)</f>
        <v>20593</v>
      </c>
      <c r="D8991" s="1">
        <f>IF(Tabela1[[#This Row],[promien]]&lt;40000,1,0)</f>
        <v>1</v>
      </c>
      <c r="E8991" s="1">
        <f>IF(Tabela1[[#This Row],[promien]]=40000,1,0)</f>
        <v>0</v>
      </c>
      <c r="F8991" s="1">
        <v>3.139139139139139</v>
      </c>
      <c r="G8991" s="1">
        <v>2.4535144506541151E-3</v>
      </c>
    </row>
    <row r="8992" spans="1:7">
      <c r="A8992">
        <v>372</v>
      </c>
      <c r="B8992">
        <v>371</v>
      </c>
      <c r="C8992" s="1">
        <f>(Tabela1[[#This Row],[x]]-H$3)*(Tabela1[[#This Row],[x]]-H$3) +(Tabela1[[#This Row],[y]]-H$4)*(Tabela1[[#This Row],[y]]-H$4)</f>
        <v>58825</v>
      </c>
      <c r="D8992" s="1">
        <f>IF(Tabela1[[#This Row],[promien]]&lt;40000,1,0)</f>
        <v>0</v>
      </c>
      <c r="E8992" s="1">
        <f>IF(Tabela1[[#This Row],[promien]]=40000,1,0)</f>
        <v>0</v>
      </c>
      <c r="F8992" s="1">
        <v>3.1387900355871885</v>
      </c>
      <c r="G8992" s="1">
        <v>2.8026180026046177E-3</v>
      </c>
    </row>
    <row r="8993" spans="1:7">
      <c r="A8993">
        <v>178</v>
      </c>
      <c r="B8993">
        <v>76</v>
      </c>
      <c r="C8993" s="1">
        <f>(Tabela1[[#This Row],[x]]-H$3)*(Tabela1[[#This Row],[x]]-H$3) +(Tabela1[[#This Row],[y]]-H$4)*(Tabela1[[#This Row],[y]]-H$4)</f>
        <v>15860</v>
      </c>
      <c r="D8993" s="1">
        <f>IF(Tabela1[[#This Row],[promien]]&lt;40000,1,0)</f>
        <v>1</v>
      </c>
      <c r="E8993" s="1">
        <f>IF(Tabela1[[#This Row],[promien]]=40000,1,0)</f>
        <v>0</v>
      </c>
      <c r="F8993" s="1">
        <v>3.1388858000667184</v>
      </c>
      <c r="G8993" s="1">
        <v>2.7068535230747592E-3</v>
      </c>
    </row>
    <row r="8994" spans="1:7">
      <c r="A8994">
        <v>303</v>
      </c>
      <c r="B8994">
        <v>78</v>
      </c>
      <c r="C8994" s="1">
        <f>(Tabela1[[#This Row],[x]]-H$3)*(Tabela1[[#This Row],[x]]-H$3) +(Tabela1[[#This Row],[y]]-H$4)*(Tabela1[[#This Row],[y]]-H$4)</f>
        <v>25493</v>
      </c>
      <c r="D8994" s="1">
        <f>IF(Tabela1[[#This Row],[promien]]&lt;40000,1,0)</f>
        <v>1</v>
      </c>
      <c r="E8994" s="1">
        <f>IF(Tabela1[[#This Row],[promien]]=40000,1,0)</f>
        <v>0</v>
      </c>
      <c r="F8994" s="1">
        <v>3.1389815432510564</v>
      </c>
      <c r="G8994" s="1">
        <v>2.6111103387367329E-3</v>
      </c>
    </row>
    <row r="8995" spans="1:7">
      <c r="A8995">
        <v>12</v>
      </c>
      <c r="B8995">
        <v>96</v>
      </c>
      <c r="C8995" s="1">
        <f>(Tabela1[[#This Row],[x]]-H$3)*(Tabela1[[#This Row],[x]]-H$3) +(Tabela1[[#This Row],[y]]-H$4)*(Tabela1[[#This Row],[y]]-H$4)</f>
        <v>46160</v>
      </c>
      <c r="D8995" s="1">
        <f>IF(Tabela1[[#This Row],[promien]]&lt;40000,1,0)</f>
        <v>0</v>
      </c>
      <c r="E8995" s="1">
        <f>IF(Tabela1[[#This Row],[promien]]=40000,1,0)</f>
        <v>0</v>
      </c>
      <c r="F8995" s="1">
        <v>3.1386325736520289</v>
      </c>
      <c r="G8995" s="1">
        <v>2.9600799377642595E-3</v>
      </c>
    </row>
    <row r="8996" spans="1:7">
      <c r="A8996">
        <v>276</v>
      </c>
      <c r="B8996">
        <v>323</v>
      </c>
      <c r="C8996" s="1">
        <f>(Tabela1[[#This Row],[x]]-H$3)*(Tabela1[[#This Row],[x]]-H$3) +(Tabela1[[#This Row],[y]]-H$4)*(Tabela1[[#This Row],[y]]-H$4)</f>
        <v>20905</v>
      </c>
      <c r="D8996" s="1">
        <f>IF(Tabela1[[#This Row],[promien]]&lt;40000,1,0)</f>
        <v>1</v>
      </c>
      <c r="E8996" s="1">
        <f>IF(Tabela1[[#This Row],[promien]]=40000,1,0)</f>
        <v>0</v>
      </c>
      <c r="F8996" s="1">
        <v>3.1387283236994219</v>
      </c>
      <c r="G8996" s="1">
        <v>2.86432989037122E-3</v>
      </c>
    </row>
    <row r="8997" spans="1:7">
      <c r="A8997">
        <v>110</v>
      </c>
      <c r="B8997">
        <v>362</v>
      </c>
      <c r="C8997" s="1">
        <f>(Tabela1[[#This Row],[x]]-H$3)*(Tabela1[[#This Row],[x]]-H$3) +(Tabela1[[#This Row],[y]]-H$4)*(Tabela1[[#This Row],[y]]-H$4)</f>
        <v>34344</v>
      </c>
      <c r="D8997" s="1">
        <f>IF(Tabela1[[#This Row],[promien]]&lt;40000,1,0)</f>
        <v>1</v>
      </c>
      <c r="E8997" s="1">
        <f>IF(Tabela1[[#This Row],[promien]]=40000,1,0)</f>
        <v>0</v>
      </c>
      <c r="F8997" s="1">
        <v>3.1388240524619317</v>
      </c>
      <c r="G8997" s="1">
        <v>2.7686011278613698E-3</v>
      </c>
    </row>
    <row r="8998" spans="1:7">
      <c r="A8998">
        <v>10</v>
      </c>
      <c r="B8998">
        <v>383</v>
      </c>
      <c r="C8998" s="1">
        <f>(Tabela1[[#This Row],[x]]-H$3)*(Tabela1[[#This Row],[x]]-H$3) +(Tabela1[[#This Row],[y]]-H$4)*(Tabela1[[#This Row],[y]]-H$4)</f>
        <v>69589</v>
      </c>
      <c r="D8998" s="1">
        <f>IF(Tabela1[[#This Row],[promien]]&lt;40000,1,0)</f>
        <v>0</v>
      </c>
      <c r="E8998" s="1">
        <f>IF(Tabela1[[#This Row],[promien]]=40000,1,0)</f>
        <v>0</v>
      </c>
      <c r="F8998" s="1">
        <v>3.1384752167148253</v>
      </c>
      <c r="G8998" s="1">
        <v>3.1174368749677939E-3</v>
      </c>
    </row>
    <row r="8999" spans="1:7">
      <c r="A8999">
        <v>307</v>
      </c>
      <c r="B8999">
        <v>364</v>
      </c>
      <c r="C8999" s="1">
        <f>(Tabela1[[#This Row],[x]]-H$3)*(Tabela1[[#This Row],[x]]-H$3) +(Tabela1[[#This Row],[y]]-H$4)*(Tabela1[[#This Row],[y]]-H$4)</f>
        <v>38345</v>
      </c>
      <c r="D8999" s="1">
        <f>IF(Tabela1[[#This Row],[promien]]&lt;40000,1,0)</f>
        <v>1</v>
      </c>
      <c r="E8999" s="1">
        <f>IF(Tabela1[[#This Row],[promien]]=40000,1,0)</f>
        <v>0</v>
      </c>
      <c r="F8999" s="1">
        <v>3.1385709523280365</v>
      </c>
      <c r="G8999" s="1">
        <v>3.0217012617566041E-3</v>
      </c>
    </row>
    <row r="9000" spans="1:7">
      <c r="A9000">
        <v>164</v>
      </c>
      <c r="B9000">
        <v>378</v>
      </c>
      <c r="C9000" s="1">
        <f>(Tabela1[[#This Row],[x]]-H$3)*(Tabela1[[#This Row],[x]]-H$3) +(Tabela1[[#This Row],[y]]-H$4)*(Tabela1[[#This Row],[y]]-H$4)</f>
        <v>32980</v>
      </c>
      <c r="D9000" s="1">
        <f>IF(Tabela1[[#This Row],[promien]]&lt;40000,1,0)</f>
        <v>1</v>
      </c>
      <c r="E9000" s="1">
        <f>IF(Tabela1[[#This Row],[promien]]=40000,1,0)</f>
        <v>0</v>
      </c>
      <c r="F9000" s="1">
        <v>3.1386666666666665</v>
      </c>
      <c r="G9000" s="1">
        <v>2.9259869231266222E-3</v>
      </c>
    </row>
    <row r="9001" spans="1:7">
      <c r="A9001">
        <v>299</v>
      </c>
      <c r="B9001">
        <v>277</v>
      </c>
      <c r="C9001" s="1">
        <f>(Tabela1[[#This Row],[x]]-H$3)*(Tabela1[[#This Row],[x]]-H$3) +(Tabela1[[#This Row],[y]]-H$4)*(Tabela1[[#This Row],[y]]-H$4)</f>
        <v>15730</v>
      </c>
      <c r="D9001" s="1">
        <f>IF(Tabela1[[#This Row],[promien]]&lt;40000,1,0)</f>
        <v>1</v>
      </c>
      <c r="E9001" s="1">
        <f>IF(Tabela1[[#This Row],[promien]]=40000,1,0)</f>
        <v>0</v>
      </c>
      <c r="F9001" s="1">
        <v>3.1387623597378069</v>
      </c>
      <c r="G9001" s="1">
        <v>2.8302938519861875E-3</v>
      </c>
    </row>
    <row r="9002" spans="1:7">
      <c r="A9002">
        <v>288</v>
      </c>
      <c r="B9002">
        <v>98</v>
      </c>
      <c r="C9002" s="1">
        <f>(Tabela1[[#This Row],[x]]-H$3)*(Tabela1[[#This Row],[x]]-H$3) +(Tabela1[[#This Row],[y]]-H$4)*(Tabela1[[#This Row],[y]]-H$4)</f>
        <v>18148</v>
      </c>
      <c r="D9002" s="1">
        <f>IF(Tabela1[[#This Row],[promien]]&lt;40000,1,0)</f>
        <v>1</v>
      </c>
      <c r="E9002" s="1">
        <f>IF(Tabela1[[#This Row],[promien]]=40000,1,0)</f>
        <v>0</v>
      </c>
      <c r="F9002" s="1">
        <v>3.1388580315485446</v>
      </c>
      <c r="G9002" s="1">
        <v>2.7346220412485245E-3</v>
      </c>
    </row>
    <row r="9003" spans="1:7">
      <c r="A9003">
        <v>119</v>
      </c>
      <c r="B9003">
        <v>110</v>
      </c>
      <c r="C9003" s="1">
        <f>(Tabela1[[#This Row],[x]]-H$3)*(Tabela1[[#This Row],[x]]-H$3) +(Tabela1[[#This Row],[y]]-H$4)*(Tabela1[[#This Row],[y]]-H$4)</f>
        <v>14661</v>
      </c>
      <c r="D9003" s="1">
        <f>IF(Tabela1[[#This Row],[promien]]&lt;40000,1,0)</f>
        <v>1</v>
      </c>
      <c r="E9003" s="1">
        <f>IF(Tabela1[[#This Row],[promien]]=40000,1,0)</f>
        <v>0</v>
      </c>
      <c r="F9003" s="1">
        <v>3.1389536821059645</v>
      </c>
      <c r="G9003" s="1">
        <v>2.6389714838286338E-3</v>
      </c>
    </row>
    <row r="9004" spans="1:7">
      <c r="A9004">
        <v>335</v>
      </c>
      <c r="B9004">
        <v>242</v>
      </c>
      <c r="C9004" s="1">
        <f>(Tabela1[[#This Row],[x]]-H$3)*(Tabela1[[#This Row],[x]]-H$3) +(Tabela1[[#This Row],[y]]-H$4)*(Tabela1[[#This Row],[y]]-H$4)</f>
        <v>19989</v>
      </c>
      <c r="D9004" s="1">
        <f>IF(Tabela1[[#This Row],[promien]]&lt;40000,1,0)</f>
        <v>1</v>
      </c>
      <c r="E9004" s="1">
        <f>IF(Tabela1[[#This Row],[promien]]=40000,1,0)</f>
        <v>0</v>
      </c>
      <c r="F9004" s="1">
        <v>3.139049311417148</v>
      </c>
      <c r="G9004" s="1">
        <v>2.5433421726450689E-3</v>
      </c>
    </row>
    <row r="9005" spans="1:7">
      <c r="A9005">
        <v>140</v>
      </c>
      <c r="B9005">
        <v>204</v>
      </c>
      <c r="C9005" s="1">
        <f>(Tabela1[[#This Row],[x]]-H$3)*(Tabela1[[#This Row],[x]]-H$3) +(Tabela1[[#This Row],[y]]-H$4)*(Tabela1[[#This Row],[y]]-H$4)</f>
        <v>3616</v>
      </c>
      <c r="D9005" s="1">
        <f>IF(Tabela1[[#This Row],[promien]]&lt;40000,1,0)</f>
        <v>1</v>
      </c>
      <c r="E9005" s="1">
        <f>IF(Tabela1[[#This Row],[promien]]=40000,1,0)</f>
        <v>0</v>
      </c>
      <c r="F9005" s="1">
        <v>3.1391449194891727</v>
      </c>
      <c r="G9005" s="1">
        <v>2.4477341006203801E-3</v>
      </c>
    </row>
    <row r="9006" spans="1:7">
      <c r="A9006">
        <v>170</v>
      </c>
      <c r="B9006">
        <v>250</v>
      </c>
      <c r="C9006" s="1">
        <f>(Tabela1[[#This Row],[x]]-H$3)*(Tabela1[[#This Row],[x]]-H$3) +(Tabela1[[#This Row],[y]]-H$4)*(Tabela1[[#This Row],[y]]-H$4)</f>
        <v>3400</v>
      </c>
      <c r="D9006" s="1">
        <f>IF(Tabela1[[#This Row],[promien]]&lt;40000,1,0)</f>
        <v>1</v>
      </c>
      <c r="E9006" s="1">
        <f>IF(Tabela1[[#This Row],[promien]]=40000,1,0)</f>
        <v>0</v>
      </c>
      <c r="F9006" s="1">
        <v>3.1392405063291138</v>
      </c>
      <c r="G9006" s="1">
        <v>2.3521472606793381E-3</v>
      </c>
    </row>
    <row r="9007" spans="1:7">
      <c r="A9007">
        <v>198</v>
      </c>
      <c r="B9007">
        <v>284</v>
      </c>
      <c r="C9007" s="1">
        <f>(Tabela1[[#This Row],[x]]-H$3)*(Tabela1[[#This Row],[x]]-H$3) +(Tabela1[[#This Row],[y]]-H$4)*(Tabela1[[#This Row],[y]]-H$4)</f>
        <v>7060</v>
      </c>
      <c r="D9007" s="1">
        <f>IF(Tabela1[[#This Row],[promien]]&lt;40000,1,0)</f>
        <v>1</v>
      </c>
      <c r="E9007" s="1">
        <f>IF(Tabela1[[#This Row],[promien]]=40000,1,0)</f>
        <v>0</v>
      </c>
      <c r="F9007" s="1">
        <v>3.1393360719440437</v>
      </c>
      <c r="G9007" s="1">
        <v>2.2565816457493781E-3</v>
      </c>
    </row>
    <row r="9008" spans="1:7">
      <c r="A9008">
        <v>188</v>
      </c>
      <c r="B9008">
        <v>242</v>
      </c>
      <c r="C9008" s="1">
        <f>(Tabela1[[#This Row],[x]]-H$3)*(Tabela1[[#This Row],[x]]-H$3) +(Tabela1[[#This Row],[y]]-H$4)*(Tabela1[[#This Row],[y]]-H$4)</f>
        <v>1908</v>
      </c>
      <c r="D9008" s="1">
        <f>IF(Tabela1[[#This Row],[promien]]&lt;40000,1,0)</f>
        <v>1</v>
      </c>
      <c r="E9008" s="1">
        <f>IF(Tabela1[[#This Row],[promien]]=40000,1,0)</f>
        <v>0</v>
      </c>
      <c r="F9008" s="1">
        <v>3.1394316163410303</v>
      </c>
      <c r="G9008" s="1">
        <v>2.1610372487628204E-3</v>
      </c>
    </row>
    <row r="9009" spans="1:7">
      <c r="A9009">
        <v>284</v>
      </c>
      <c r="B9009">
        <v>162</v>
      </c>
      <c r="C9009" s="1">
        <f>(Tabela1[[#This Row],[x]]-H$3)*(Tabela1[[#This Row],[x]]-H$3) +(Tabela1[[#This Row],[y]]-H$4)*(Tabela1[[#This Row],[y]]-H$4)</f>
        <v>8500</v>
      </c>
      <c r="D9009" s="1">
        <f>IF(Tabela1[[#This Row],[promien]]&lt;40000,1,0)</f>
        <v>1</v>
      </c>
      <c r="E9009" s="1">
        <f>IF(Tabela1[[#This Row],[promien]]=40000,1,0)</f>
        <v>0</v>
      </c>
      <c r="F9009" s="1">
        <v>3.1395271395271394</v>
      </c>
      <c r="G9009" s="1">
        <v>2.0655140626537616E-3</v>
      </c>
    </row>
    <row r="9010" spans="1:7">
      <c r="A9010">
        <v>102</v>
      </c>
      <c r="B9010">
        <v>76</v>
      </c>
      <c r="C9010" s="1">
        <f>(Tabela1[[#This Row],[x]]-H$3)*(Tabela1[[#This Row],[x]]-H$3) +(Tabela1[[#This Row],[y]]-H$4)*(Tabela1[[#This Row],[y]]-H$4)</f>
        <v>24980</v>
      </c>
      <c r="D9010" s="1">
        <f>IF(Tabela1[[#This Row],[promien]]&lt;40000,1,0)</f>
        <v>1</v>
      </c>
      <c r="E9010" s="1">
        <f>IF(Tabela1[[#This Row],[promien]]=40000,1,0)</f>
        <v>0</v>
      </c>
      <c r="F9010" s="1">
        <v>3.1396226415094342</v>
      </c>
      <c r="G9010" s="1">
        <v>1.9700120803589627E-3</v>
      </c>
    </row>
    <row r="9011" spans="1:7">
      <c r="A9011">
        <v>1</v>
      </c>
      <c r="B9011">
        <v>218</v>
      </c>
      <c r="C9011" s="1">
        <f>(Tabela1[[#This Row],[x]]-H$3)*(Tabela1[[#This Row],[x]]-H$3) +(Tabela1[[#This Row],[y]]-H$4)*(Tabela1[[#This Row],[y]]-H$4)</f>
        <v>39925</v>
      </c>
      <c r="D9011" s="1">
        <f>IF(Tabela1[[#This Row],[promien]]&lt;40000,1,0)</f>
        <v>1</v>
      </c>
      <c r="E9011" s="1">
        <f>IF(Tabela1[[#This Row],[promien]]=40000,1,0)</f>
        <v>0</v>
      </c>
      <c r="F9011" s="1">
        <v>3.1397181222949726</v>
      </c>
      <c r="G9011" s="1">
        <v>1.8745312948205139E-3</v>
      </c>
    </row>
    <row r="9012" spans="1:7">
      <c r="A9012">
        <v>70</v>
      </c>
      <c r="B9012">
        <v>249</v>
      </c>
      <c r="C9012" s="1">
        <f>(Tabela1[[#This Row],[x]]-H$3)*(Tabela1[[#This Row],[x]]-H$3) +(Tabela1[[#This Row],[y]]-H$4)*(Tabela1[[#This Row],[y]]-H$4)</f>
        <v>19301</v>
      </c>
      <c r="D9012" s="1">
        <f>IF(Tabela1[[#This Row],[promien]]&lt;40000,1,0)</f>
        <v>1</v>
      </c>
      <c r="E9012" s="1">
        <f>IF(Tabela1[[#This Row],[promien]]=40000,1,0)</f>
        <v>0</v>
      </c>
      <c r="F9012" s="1">
        <v>3.1398135818908122</v>
      </c>
      <c r="G9012" s="1">
        <v>1.7790716989809496E-3</v>
      </c>
    </row>
    <row r="9013" spans="1:7">
      <c r="A9013">
        <v>220</v>
      </c>
      <c r="B9013">
        <v>47</v>
      </c>
      <c r="C9013" s="1">
        <f>(Tabela1[[#This Row],[x]]-H$3)*(Tabela1[[#This Row],[x]]-H$3) +(Tabela1[[#This Row],[y]]-H$4)*(Tabela1[[#This Row],[y]]-H$4)</f>
        <v>23809</v>
      </c>
      <c r="D9013" s="1">
        <f>IF(Tabela1[[#This Row],[promien]]&lt;40000,1,0)</f>
        <v>1</v>
      </c>
      <c r="E9013" s="1">
        <f>IF(Tabela1[[#This Row],[promien]]=40000,1,0)</f>
        <v>0</v>
      </c>
      <c r="F9013" s="1">
        <v>3.1399090203040054</v>
      </c>
      <c r="G9013" s="1">
        <v>1.683633285787689E-3</v>
      </c>
    </row>
    <row r="9014" spans="1:7">
      <c r="A9014">
        <v>278</v>
      </c>
      <c r="B9014">
        <v>241</v>
      </c>
      <c r="C9014" s="1">
        <f>(Tabela1[[#This Row],[x]]-H$3)*(Tabela1[[#This Row],[x]]-H$3) +(Tabela1[[#This Row],[y]]-H$4)*(Tabela1[[#This Row],[y]]-H$4)</f>
        <v>7765</v>
      </c>
      <c r="D9014" s="1">
        <f>IF(Tabela1[[#This Row],[promien]]&lt;40000,1,0)</f>
        <v>1</v>
      </c>
      <c r="E9014" s="1">
        <f>IF(Tabela1[[#This Row],[promien]]=40000,1,0)</f>
        <v>0</v>
      </c>
      <c r="F9014" s="1">
        <v>3.1400044375416019</v>
      </c>
      <c r="G9014" s="1">
        <v>1.5882160481912599E-3</v>
      </c>
    </row>
    <row r="9015" spans="1:7">
      <c r="A9015">
        <v>281</v>
      </c>
      <c r="B9015">
        <v>76</v>
      </c>
      <c r="C9015" s="1">
        <f>(Tabela1[[#This Row],[x]]-H$3)*(Tabela1[[#This Row],[x]]-H$3) +(Tabela1[[#This Row],[y]]-H$4)*(Tabela1[[#This Row],[y]]-H$4)</f>
        <v>21937</v>
      </c>
      <c r="D9015" s="1">
        <f>IF(Tabela1[[#This Row],[promien]]&lt;40000,1,0)</f>
        <v>1</v>
      </c>
      <c r="E9015" s="1">
        <f>IF(Tabela1[[#This Row],[promien]]=40000,1,0)</f>
        <v>0</v>
      </c>
      <c r="F9015" s="1">
        <v>3.1400998336106487</v>
      </c>
      <c r="G9015" s="1">
        <v>1.4928199791444108E-3</v>
      </c>
    </row>
    <row r="9016" spans="1:7">
      <c r="A9016">
        <v>381</v>
      </c>
      <c r="B9016">
        <v>156</v>
      </c>
      <c r="C9016" s="1">
        <f>(Tabela1[[#This Row],[x]]-H$3)*(Tabela1[[#This Row],[x]]-H$3) +(Tabela1[[#This Row],[y]]-H$4)*(Tabela1[[#This Row],[y]]-H$4)</f>
        <v>34697</v>
      </c>
      <c r="D9016" s="1">
        <f>IF(Tabela1[[#This Row],[promien]]&lt;40000,1,0)</f>
        <v>1</v>
      </c>
      <c r="E9016" s="1">
        <f>IF(Tabela1[[#This Row],[promien]]=40000,1,0)</f>
        <v>0</v>
      </c>
      <c r="F9016" s="1">
        <v>3.1401952085181897</v>
      </c>
      <c r="G9016" s="1">
        <v>1.3974450716034426E-3</v>
      </c>
    </row>
    <row r="9017" spans="1:7">
      <c r="A9017">
        <v>141</v>
      </c>
      <c r="B9017">
        <v>302</v>
      </c>
      <c r="C9017" s="1">
        <f>(Tabela1[[#This Row],[x]]-H$3)*(Tabela1[[#This Row],[x]]-H$3) +(Tabela1[[#This Row],[y]]-H$4)*(Tabela1[[#This Row],[y]]-H$4)</f>
        <v>13885</v>
      </c>
      <c r="D9017" s="1">
        <f>IF(Tabela1[[#This Row],[promien]]&lt;40000,1,0)</f>
        <v>1</v>
      </c>
      <c r="E9017" s="1">
        <f>IF(Tabela1[[#This Row],[promien]]=40000,1,0)</f>
        <v>0</v>
      </c>
      <c r="F9017" s="1">
        <v>3.1402905622712654</v>
      </c>
      <c r="G9017" s="1">
        <v>1.3020913185277649E-3</v>
      </c>
    </row>
    <row r="9018" spans="1:7">
      <c r="A9018">
        <v>267</v>
      </c>
      <c r="B9018">
        <v>225</v>
      </c>
      <c r="C9018" s="1">
        <f>(Tabela1[[#This Row],[x]]-H$3)*(Tabela1[[#This Row],[x]]-H$3) +(Tabela1[[#This Row],[y]]-H$4)*(Tabela1[[#This Row],[y]]-H$4)</f>
        <v>5114</v>
      </c>
      <c r="D9018" s="1">
        <f>IF(Tabela1[[#This Row],[promien]]&lt;40000,1,0)</f>
        <v>1</v>
      </c>
      <c r="E9018" s="1">
        <f>IF(Tabela1[[#This Row],[promien]]=40000,1,0)</f>
        <v>0</v>
      </c>
      <c r="F9018" s="1">
        <v>3.1403858948769128</v>
      </c>
      <c r="G9018" s="1">
        <v>1.2067587128803403E-3</v>
      </c>
    </row>
    <row r="9019" spans="1:7">
      <c r="A9019">
        <v>308</v>
      </c>
      <c r="B9019">
        <v>319</v>
      </c>
      <c r="C9019" s="1">
        <f>(Tabela1[[#This Row],[x]]-H$3)*(Tabela1[[#This Row],[x]]-H$3) +(Tabela1[[#This Row],[y]]-H$4)*(Tabela1[[#This Row],[y]]-H$4)</f>
        <v>25825</v>
      </c>
      <c r="D9019" s="1">
        <f>IF(Tabela1[[#This Row],[promien]]&lt;40000,1,0)</f>
        <v>1</v>
      </c>
      <c r="E9019" s="1">
        <f>IF(Tabela1[[#This Row],[promien]]=40000,1,0)</f>
        <v>0</v>
      </c>
      <c r="F9019" s="1">
        <v>3.1404812063421663</v>
      </c>
      <c r="G9019" s="1">
        <v>1.1114472476267956E-3</v>
      </c>
    </row>
    <row r="9020" spans="1:7">
      <c r="A9020">
        <v>186</v>
      </c>
      <c r="B9020">
        <v>365</v>
      </c>
      <c r="C9020" s="1">
        <f>(Tabela1[[#This Row],[x]]-H$3)*(Tabela1[[#This Row],[x]]-H$3) +(Tabela1[[#This Row],[y]]-H$4)*(Tabela1[[#This Row],[y]]-H$4)</f>
        <v>27421</v>
      </c>
      <c r="D9020" s="1">
        <f>IF(Tabela1[[#This Row],[promien]]&lt;40000,1,0)</f>
        <v>1</v>
      </c>
      <c r="E9020" s="1">
        <f>IF(Tabela1[[#This Row],[promien]]=40000,1,0)</f>
        <v>0</v>
      </c>
      <c r="F9020" s="1">
        <v>3.1405764966740577</v>
      </c>
      <c r="G9020" s="1">
        <v>1.0161569157354222E-3</v>
      </c>
    </row>
    <row r="9021" spans="1:7">
      <c r="A9021">
        <v>145</v>
      </c>
      <c r="B9021">
        <v>283</v>
      </c>
      <c r="C9021" s="1">
        <f>(Tabela1[[#This Row],[x]]-H$3)*(Tabela1[[#This Row],[x]]-H$3) +(Tabela1[[#This Row],[y]]-H$4)*(Tabela1[[#This Row],[y]]-H$4)</f>
        <v>9914</v>
      </c>
      <c r="D9021" s="1">
        <f>IF(Tabela1[[#This Row],[promien]]&lt;40000,1,0)</f>
        <v>1</v>
      </c>
      <c r="E9021" s="1">
        <f>IF(Tabela1[[#This Row],[promien]]=40000,1,0)</f>
        <v>0</v>
      </c>
      <c r="F9021" s="1">
        <v>3.1406717658796142</v>
      </c>
      <c r="G9021" s="1">
        <v>9.2088771017895255E-4</v>
      </c>
    </row>
    <row r="9022" spans="1:7">
      <c r="A9022">
        <v>58</v>
      </c>
      <c r="B9022">
        <v>20</v>
      </c>
      <c r="C9022" s="1">
        <f>(Tabela1[[#This Row],[x]]-H$3)*(Tabela1[[#This Row],[x]]-H$3) +(Tabela1[[#This Row],[y]]-H$4)*(Tabela1[[#This Row],[y]]-H$4)</f>
        <v>52564</v>
      </c>
      <c r="D9022" s="1">
        <f>IF(Tabela1[[#This Row],[promien]]&lt;40000,1,0)</f>
        <v>0</v>
      </c>
      <c r="E9022" s="1">
        <f>IF(Tabela1[[#This Row],[promien]]=40000,1,0)</f>
        <v>0</v>
      </c>
      <c r="F9022" s="1">
        <v>3.140323653291953</v>
      </c>
      <c r="G9022" s="1">
        <v>1.2690002978401616E-3</v>
      </c>
    </row>
    <row r="9023" spans="1:7">
      <c r="A9023">
        <v>356</v>
      </c>
      <c r="B9023">
        <v>287</v>
      </c>
      <c r="C9023" s="1">
        <f>(Tabela1[[#This Row],[x]]-H$3)*(Tabela1[[#This Row],[x]]-H$3) +(Tabela1[[#This Row],[y]]-H$4)*(Tabela1[[#This Row],[y]]-H$4)</f>
        <v>31905</v>
      </c>
      <c r="D9023" s="1">
        <f>IF(Tabela1[[#This Row],[promien]]&lt;40000,1,0)</f>
        <v>1</v>
      </c>
      <c r="E9023" s="1">
        <f>IF(Tabela1[[#This Row],[promien]]=40000,1,0)</f>
        <v>0</v>
      </c>
      <c r="F9023" s="1">
        <v>3.1404189294026379</v>
      </c>
      <c r="G9023" s="1">
        <v>1.1737241871552229E-3</v>
      </c>
    </row>
    <row r="9024" spans="1:7">
      <c r="A9024">
        <v>144</v>
      </c>
      <c r="B9024">
        <v>220</v>
      </c>
      <c r="C9024" s="1">
        <f>(Tabela1[[#This Row],[x]]-H$3)*(Tabela1[[#This Row],[x]]-H$3) +(Tabela1[[#This Row],[y]]-H$4)*(Tabela1[[#This Row],[y]]-H$4)</f>
        <v>3536</v>
      </c>
      <c r="D9024" s="1">
        <f>IF(Tabela1[[#This Row],[promien]]&lt;40000,1,0)</f>
        <v>1</v>
      </c>
      <c r="E9024" s="1">
        <f>IF(Tabela1[[#This Row],[promien]]=40000,1,0)</f>
        <v>0</v>
      </c>
      <c r="F9024" s="1">
        <v>3.1405141843971629</v>
      </c>
      <c r="G9024" s="1">
        <v>1.0784691926302159E-3</v>
      </c>
    </row>
    <row r="9025" spans="1:7">
      <c r="A9025">
        <v>339</v>
      </c>
      <c r="B9025">
        <v>239</v>
      </c>
      <c r="C9025" s="1">
        <f>(Tabela1[[#This Row],[x]]-H$3)*(Tabela1[[#This Row],[x]]-H$3) +(Tabela1[[#This Row],[y]]-H$4)*(Tabela1[[#This Row],[y]]-H$4)</f>
        <v>20842</v>
      </c>
      <c r="D9025" s="1">
        <f>IF(Tabela1[[#This Row],[promien]]&lt;40000,1,0)</f>
        <v>1</v>
      </c>
      <c r="E9025" s="1">
        <f>IF(Tabela1[[#This Row],[promien]]=40000,1,0)</f>
        <v>0</v>
      </c>
      <c r="F9025" s="1">
        <v>3.1406094182825486</v>
      </c>
      <c r="G9025" s="1">
        <v>9.8323530724453434E-4</v>
      </c>
    </row>
    <row r="9026" spans="1:7">
      <c r="A9026">
        <v>219</v>
      </c>
      <c r="B9026">
        <v>35</v>
      </c>
      <c r="C9026" s="1">
        <f>(Tabela1[[#This Row],[x]]-H$3)*(Tabela1[[#This Row],[x]]-H$3) +(Tabela1[[#This Row],[y]]-H$4)*(Tabela1[[#This Row],[y]]-H$4)</f>
        <v>27586</v>
      </c>
      <c r="D9026" s="1">
        <f>IF(Tabela1[[#This Row],[promien]]&lt;40000,1,0)</f>
        <v>1</v>
      </c>
      <c r="E9026" s="1">
        <f>IF(Tabela1[[#This Row],[promien]]=40000,1,0)</f>
        <v>0</v>
      </c>
      <c r="F9026" s="1">
        <v>3.1407046310658098</v>
      </c>
      <c r="G9026" s="1">
        <v>8.8802252398334502E-4</v>
      </c>
    </row>
    <row r="9027" spans="1:7">
      <c r="A9027">
        <v>226</v>
      </c>
      <c r="B9027">
        <v>119</v>
      </c>
      <c r="C9027" s="1">
        <f>(Tabela1[[#This Row],[x]]-H$3)*(Tabela1[[#This Row],[x]]-H$3) +(Tabela1[[#This Row],[y]]-H$4)*(Tabela1[[#This Row],[y]]-H$4)</f>
        <v>7237</v>
      </c>
      <c r="D9027" s="1">
        <f>IF(Tabela1[[#This Row],[promien]]&lt;40000,1,0)</f>
        <v>1</v>
      </c>
      <c r="E9027" s="1">
        <f>IF(Tabela1[[#This Row],[promien]]=40000,1,0)</f>
        <v>0</v>
      </c>
      <c r="F9027" s="1">
        <v>3.1407998227539604</v>
      </c>
      <c r="G9027" s="1">
        <v>7.9283083583270297E-4</v>
      </c>
    </row>
    <row r="9028" spans="1:7">
      <c r="A9028">
        <v>348</v>
      </c>
      <c r="B9028">
        <v>10</v>
      </c>
      <c r="C9028" s="1">
        <f>(Tabela1[[#This Row],[x]]-H$3)*(Tabela1[[#This Row],[x]]-H$3) +(Tabela1[[#This Row],[y]]-H$4)*(Tabela1[[#This Row],[y]]-H$4)</f>
        <v>58004</v>
      </c>
      <c r="D9028" s="1">
        <f>IF(Tabela1[[#This Row],[promien]]&lt;40000,1,0)</f>
        <v>0</v>
      </c>
      <c r="E9028" s="1">
        <f>IF(Tabela1[[#This Row],[promien]]=40000,1,0)</f>
        <v>0</v>
      </c>
      <c r="F9028" s="1">
        <v>3.1404519273371734</v>
      </c>
      <c r="G9028" s="1">
        <v>1.1407262526197393E-3</v>
      </c>
    </row>
    <row r="9029" spans="1:7">
      <c r="A9029">
        <v>231</v>
      </c>
      <c r="B9029">
        <v>46</v>
      </c>
      <c r="C9029" s="1">
        <f>(Tabela1[[#This Row],[x]]-H$3)*(Tabela1[[#This Row],[x]]-H$3) +(Tabela1[[#This Row],[y]]-H$4)*(Tabela1[[#This Row],[y]]-H$4)</f>
        <v>24677</v>
      </c>
      <c r="D9029" s="1">
        <f>IF(Tabela1[[#This Row],[promien]]&lt;40000,1,0)</f>
        <v>1</v>
      </c>
      <c r="E9029" s="1">
        <f>IF(Tabela1[[#This Row],[promien]]=40000,1,0)</f>
        <v>0</v>
      </c>
      <c r="F9029" s="1">
        <v>3.1405471259275668</v>
      </c>
      <c r="G9029" s="1">
        <v>1.0455276622263199E-3</v>
      </c>
    </row>
    <row r="9030" spans="1:7">
      <c r="A9030">
        <v>357</v>
      </c>
      <c r="B9030">
        <v>133</v>
      </c>
      <c r="C9030" s="1">
        <f>(Tabela1[[#This Row],[x]]-H$3)*(Tabela1[[#This Row],[x]]-H$3) +(Tabela1[[#This Row],[y]]-H$4)*(Tabela1[[#This Row],[y]]-H$4)</f>
        <v>29138</v>
      </c>
      <c r="D9030" s="1">
        <f>IF(Tabela1[[#This Row],[promien]]&lt;40000,1,0)</f>
        <v>1</v>
      </c>
      <c r="E9030" s="1">
        <f>IF(Tabela1[[#This Row],[promien]]=40000,1,0)</f>
        <v>0</v>
      </c>
      <c r="F9030" s="1">
        <v>3.1406423034330011</v>
      </c>
      <c r="G9030" s="1">
        <v>9.5035015679201251E-4</v>
      </c>
    </row>
    <row r="9031" spans="1:7">
      <c r="A9031">
        <v>24</v>
      </c>
      <c r="B9031">
        <v>250</v>
      </c>
      <c r="C9031" s="1">
        <f>(Tabela1[[#This Row],[x]]-H$3)*(Tabela1[[#This Row],[x]]-H$3) +(Tabela1[[#This Row],[y]]-H$4)*(Tabela1[[#This Row],[y]]-H$4)</f>
        <v>33476</v>
      </c>
      <c r="D9031" s="1">
        <f>IF(Tabela1[[#This Row],[promien]]&lt;40000,1,0)</f>
        <v>1</v>
      </c>
      <c r="E9031" s="1">
        <f>IF(Tabela1[[#This Row],[promien]]=40000,1,0)</f>
        <v>0</v>
      </c>
      <c r="F9031" s="1">
        <v>3.1407374598604805</v>
      </c>
      <c r="G9031" s="1">
        <v>8.5519372931264215E-4</v>
      </c>
    </row>
    <row r="9032" spans="1:7">
      <c r="A9032">
        <v>80</v>
      </c>
      <c r="B9032">
        <v>299</v>
      </c>
      <c r="C9032" s="1">
        <f>(Tabela1[[#This Row],[x]]-H$3)*(Tabela1[[#This Row],[x]]-H$3) +(Tabela1[[#This Row],[y]]-H$4)*(Tabela1[[#This Row],[y]]-H$4)</f>
        <v>24201</v>
      </c>
      <c r="D9032" s="1">
        <f>IF(Tabela1[[#This Row],[promien]]&lt;40000,1,0)</f>
        <v>1</v>
      </c>
      <c r="E9032" s="1">
        <f>IF(Tabela1[[#This Row],[promien]]=40000,1,0)</f>
        <v>0</v>
      </c>
      <c r="F9032" s="1">
        <v>3.1408325952170064</v>
      </c>
      <c r="G9032" s="1">
        <v>7.600583727866983E-4</v>
      </c>
    </row>
    <row r="9033" spans="1:7">
      <c r="A9033">
        <v>306</v>
      </c>
      <c r="B9033">
        <v>349</v>
      </c>
      <c r="C9033" s="1">
        <f>(Tabela1[[#This Row],[x]]-H$3)*(Tabela1[[#This Row],[x]]-H$3) +(Tabela1[[#This Row],[y]]-H$4)*(Tabela1[[#This Row],[y]]-H$4)</f>
        <v>33437</v>
      </c>
      <c r="D9033" s="1">
        <f>IF(Tabela1[[#This Row],[promien]]&lt;40000,1,0)</f>
        <v>1</v>
      </c>
      <c r="E9033" s="1">
        <f>IF(Tabela1[[#This Row],[promien]]=40000,1,0)</f>
        <v>0</v>
      </c>
      <c r="F9033" s="1">
        <v>3.140927709509576</v>
      </c>
      <c r="G9033" s="1">
        <v>6.6494408021711138E-4</v>
      </c>
    </row>
    <row r="9034" spans="1:7">
      <c r="A9034">
        <v>191</v>
      </c>
      <c r="B9034">
        <v>110</v>
      </c>
      <c r="C9034" s="1">
        <f>(Tabela1[[#This Row],[x]]-H$3)*(Tabela1[[#This Row],[x]]-H$3) +(Tabela1[[#This Row],[y]]-H$4)*(Tabela1[[#This Row],[y]]-H$4)</f>
        <v>8181</v>
      </c>
      <c r="D9034" s="1">
        <f>IF(Tabela1[[#This Row],[promien]]&lt;40000,1,0)</f>
        <v>1</v>
      </c>
      <c r="E9034" s="1">
        <f>IF(Tabela1[[#This Row],[promien]]=40000,1,0)</f>
        <v>0</v>
      </c>
      <c r="F9034" s="1">
        <v>3.141022802745185</v>
      </c>
      <c r="G9034" s="1">
        <v>5.6985084460814406E-4</v>
      </c>
    </row>
    <row r="9035" spans="1:7">
      <c r="A9035">
        <v>145</v>
      </c>
      <c r="B9035">
        <v>253</v>
      </c>
      <c r="C9035" s="1">
        <f>(Tabela1[[#This Row],[x]]-H$3)*(Tabela1[[#This Row],[x]]-H$3) +(Tabela1[[#This Row],[y]]-H$4)*(Tabela1[[#This Row],[y]]-H$4)</f>
        <v>5834</v>
      </c>
      <c r="D9035" s="1">
        <f>IF(Tabela1[[#This Row],[promien]]&lt;40000,1,0)</f>
        <v>1</v>
      </c>
      <c r="E9035" s="1">
        <f>IF(Tabela1[[#This Row],[promien]]=40000,1,0)</f>
        <v>0</v>
      </c>
      <c r="F9035" s="1">
        <v>3.1411178749308246</v>
      </c>
      <c r="G9035" s="1">
        <v>4.7477865896849991E-4</v>
      </c>
    </row>
    <row r="9036" spans="1:7">
      <c r="A9036">
        <v>207</v>
      </c>
      <c r="B9036">
        <v>199</v>
      </c>
      <c r="C9036" s="1">
        <f>(Tabela1[[#This Row],[x]]-H$3)*(Tabela1[[#This Row],[x]]-H$3) +(Tabela1[[#This Row],[y]]-H$4)*(Tabela1[[#This Row],[y]]-H$4)</f>
        <v>50</v>
      </c>
      <c r="D9036" s="1">
        <f>IF(Tabela1[[#This Row],[promien]]&lt;40000,1,0)</f>
        <v>1</v>
      </c>
      <c r="E9036" s="1">
        <f>IF(Tabela1[[#This Row],[promien]]=40000,1,0)</f>
        <v>0</v>
      </c>
      <c r="F9036" s="1">
        <v>3.141212926073484</v>
      </c>
      <c r="G9036" s="1">
        <v>3.7972751630910295E-4</v>
      </c>
    </row>
    <row r="9037" spans="1:7">
      <c r="A9037">
        <v>174</v>
      </c>
      <c r="B9037">
        <v>132</v>
      </c>
      <c r="C9037" s="1">
        <f>(Tabela1[[#This Row],[x]]-H$3)*(Tabela1[[#This Row],[x]]-H$3) +(Tabela1[[#This Row],[y]]-H$4)*(Tabela1[[#This Row],[y]]-H$4)</f>
        <v>5300</v>
      </c>
      <c r="D9037" s="1">
        <f>IF(Tabela1[[#This Row],[promien]]&lt;40000,1,0)</f>
        <v>1</v>
      </c>
      <c r="E9037" s="1">
        <f>IF(Tabela1[[#This Row],[promien]]=40000,1,0)</f>
        <v>0</v>
      </c>
      <c r="F9037" s="1">
        <v>3.1413079561801482</v>
      </c>
      <c r="G9037" s="1">
        <v>2.84697409644874E-4</v>
      </c>
    </row>
    <row r="9038" spans="1:7">
      <c r="A9038">
        <v>36</v>
      </c>
      <c r="B9038">
        <v>206</v>
      </c>
      <c r="C9038" s="1">
        <f>(Tabela1[[#This Row],[x]]-H$3)*(Tabela1[[#This Row],[x]]-H$3) +(Tabela1[[#This Row],[y]]-H$4)*(Tabela1[[#This Row],[y]]-H$4)</f>
        <v>26932</v>
      </c>
      <c r="D9038" s="1">
        <f>IF(Tabela1[[#This Row],[promien]]&lt;40000,1,0)</f>
        <v>1</v>
      </c>
      <c r="E9038" s="1">
        <f>IF(Tabela1[[#This Row],[promien]]=40000,1,0)</f>
        <v>0</v>
      </c>
      <c r="F9038" s="1">
        <v>3.1414029652578006</v>
      </c>
      <c r="G9038" s="1">
        <v>1.8968833199251023E-4</v>
      </c>
    </row>
    <row r="9039" spans="1:7">
      <c r="A9039">
        <v>244</v>
      </c>
      <c r="B9039">
        <v>5</v>
      </c>
      <c r="C9039" s="1">
        <f>(Tabela1[[#This Row],[x]]-H$3)*(Tabela1[[#This Row],[x]]-H$3) +(Tabela1[[#This Row],[y]]-H$4)*(Tabela1[[#This Row],[y]]-H$4)</f>
        <v>39961</v>
      </c>
      <c r="D9039" s="1">
        <f>IF(Tabela1[[#This Row],[promien]]&lt;40000,1,0)</f>
        <v>1</v>
      </c>
      <c r="E9039" s="1">
        <f>IF(Tabela1[[#This Row],[promien]]=40000,1,0)</f>
        <v>0</v>
      </c>
      <c r="F9039" s="1">
        <v>3.1414979533134195</v>
      </c>
      <c r="G9039" s="1">
        <v>9.4700276373593795E-5</v>
      </c>
    </row>
    <row r="9040" spans="1:7">
      <c r="A9040">
        <v>391</v>
      </c>
      <c r="B9040">
        <v>39</v>
      </c>
      <c r="C9040" s="1">
        <f>(Tabela1[[#This Row],[x]]-H$3)*(Tabela1[[#This Row],[x]]-H$3) +(Tabela1[[#This Row],[y]]-H$4)*(Tabela1[[#This Row],[y]]-H$4)</f>
        <v>62402</v>
      </c>
      <c r="D9040" s="1">
        <f>IF(Tabela1[[#This Row],[promien]]&lt;40000,1,0)</f>
        <v>0</v>
      </c>
      <c r="E9040" s="1">
        <f>IF(Tabela1[[#This Row],[promien]]=40000,1,0)</f>
        <v>0</v>
      </c>
      <c r="F9040" s="1">
        <v>3.1411504424778762</v>
      </c>
      <c r="G9040" s="1">
        <v>4.4221111191689033E-4</v>
      </c>
    </row>
    <row r="9041" spans="1:7">
      <c r="A9041">
        <v>177</v>
      </c>
      <c r="B9041">
        <v>97</v>
      </c>
      <c r="C9041" s="1">
        <f>(Tabela1[[#This Row],[x]]-H$3)*(Tabela1[[#This Row],[x]]-H$3) +(Tabela1[[#This Row],[y]]-H$4)*(Tabela1[[#This Row],[y]]-H$4)</f>
        <v>11138</v>
      </c>
      <c r="D9041" s="1">
        <f>IF(Tabela1[[#This Row],[promien]]&lt;40000,1,0)</f>
        <v>1</v>
      </c>
      <c r="E9041" s="1">
        <f>IF(Tabela1[[#This Row],[promien]]=40000,1,0)</f>
        <v>0</v>
      </c>
      <c r="F9041" s="1">
        <v>3.1412454374516092</v>
      </c>
      <c r="G9041" s="1">
        <v>3.472161381838923E-4</v>
      </c>
    </row>
    <row r="9042" spans="1:7">
      <c r="A9042">
        <v>99</v>
      </c>
      <c r="B9042">
        <v>373</v>
      </c>
      <c r="C9042" s="1">
        <f>(Tabela1[[#This Row],[x]]-H$3)*(Tabela1[[#This Row],[x]]-H$3) +(Tabela1[[#This Row],[y]]-H$4)*(Tabela1[[#This Row],[y]]-H$4)</f>
        <v>40130</v>
      </c>
      <c r="D9042" s="1">
        <f>IF(Tabela1[[#This Row],[promien]]&lt;40000,1,0)</f>
        <v>0</v>
      </c>
      <c r="E9042" s="1">
        <f>IF(Tabela1[[#This Row],[promien]]=40000,1,0)</f>
        <v>0</v>
      </c>
      <c r="F9042" s="1">
        <v>3.1408980314089803</v>
      </c>
      <c r="G9042" s="1">
        <v>6.9462218081284277E-4</v>
      </c>
    </row>
    <row r="9043" spans="1:7">
      <c r="A9043">
        <v>310</v>
      </c>
      <c r="B9043">
        <v>109</v>
      </c>
      <c r="C9043" s="1">
        <f>(Tabela1[[#This Row],[x]]-H$3)*(Tabela1[[#This Row],[x]]-H$3) +(Tabela1[[#This Row],[y]]-H$4)*(Tabela1[[#This Row],[y]]-H$4)</f>
        <v>20381</v>
      </c>
      <c r="D9043" s="1">
        <f>IF(Tabela1[[#This Row],[promien]]&lt;40000,1,0)</f>
        <v>1</v>
      </c>
      <c r="E9043" s="1">
        <f>IF(Tabela1[[#This Row],[promien]]=40000,1,0)</f>
        <v>0</v>
      </c>
      <c r="F9043" s="1">
        <v>3.1409930332854143</v>
      </c>
      <c r="G9043" s="1">
        <v>5.9962030437876734E-4</v>
      </c>
    </row>
    <row r="9044" spans="1:7">
      <c r="A9044">
        <v>32</v>
      </c>
      <c r="B9044">
        <v>200</v>
      </c>
      <c r="C9044" s="1">
        <f>(Tabela1[[#This Row],[x]]-H$3)*(Tabela1[[#This Row],[x]]-H$3) +(Tabela1[[#This Row],[y]]-H$4)*(Tabela1[[#This Row],[y]]-H$4)</f>
        <v>28224</v>
      </c>
      <c r="D9044" s="1">
        <f>IF(Tabela1[[#This Row],[promien]]&lt;40000,1,0)</f>
        <v>1</v>
      </c>
      <c r="E9044" s="1">
        <f>IF(Tabela1[[#This Row],[promien]]=40000,1,0)</f>
        <v>0</v>
      </c>
      <c r="F9044" s="1">
        <v>3.1410880141530297</v>
      </c>
      <c r="G9044" s="1">
        <v>5.0463943676337664E-4</v>
      </c>
    </row>
    <row r="9045" spans="1:7">
      <c r="A9045">
        <v>337</v>
      </c>
      <c r="B9045">
        <v>97</v>
      </c>
      <c r="C9045" s="1">
        <f>(Tabela1[[#This Row],[x]]-H$3)*(Tabela1[[#This Row],[x]]-H$3) +(Tabela1[[#This Row],[y]]-H$4)*(Tabela1[[#This Row],[y]]-H$4)</f>
        <v>29378</v>
      </c>
      <c r="D9045" s="1">
        <f>IF(Tabela1[[#This Row],[promien]]&lt;40000,1,0)</f>
        <v>1</v>
      </c>
      <c r="E9045" s="1">
        <f>IF(Tabela1[[#This Row],[promien]]=40000,1,0)</f>
        <v>0</v>
      </c>
      <c r="F9045" s="1">
        <v>3.1411829740187951</v>
      </c>
      <c r="G9045" s="1">
        <v>4.0967957099802277E-4</v>
      </c>
    </row>
    <row r="9046" spans="1:7">
      <c r="A9046">
        <v>146</v>
      </c>
      <c r="B9046">
        <v>288</v>
      </c>
      <c r="C9046" s="1">
        <f>(Tabela1[[#This Row],[x]]-H$3)*(Tabela1[[#This Row],[x]]-H$3) +(Tabela1[[#This Row],[y]]-H$4)*(Tabela1[[#This Row],[y]]-H$4)</f>
        <v>10660</v>
      </c>
      <c r="D9046" s="1">
        <f>IF(Tabela1[[#This Row],[promien]]&lt;40000,1,0)</f>
        <v>1</v>
      </c>
      <c r="E9046" s="1">
        <f>IF(Tabela1[[#This Row],[promien]]=40000,1,0)</f>
        <v>0</v>
      </c>
      <c r="F9046" s="1">
        <v>3.1412779128896751</v>
      </c>
      <c r="G9046" s="1">
        <v>3.1474070011805466E-4</v>
      </c>
    </row>
    <row r="9047" spans="1:7">
      <c r="A9047">
        <v>41</v>
      </c>
      <c r="B9047">
        <v>11</v>
      </c>
      <c r="C9047" s="1">
        <f>(Tabela1[[#This Row],[x]]-H$3)*(Tabela1[[#This Row],[x]]-H$3) +(Tabela1[[#This Row],[y]]-H$4)*(Tabela1[[#This Row],[y]]-H$4)</f>
        <v>61002</v>
      </c>
      <c r="D9047" s="1">
        <f>IF(Tabela1[[#This Row],[promien]]&lt;40000,1,0)</f>
        <v>0</v>
      </c>
      <c r="E9047" s="1">
        <f>IF(Tabela1[[#This Row],[promien]]=40000,1,0)</f>
        <v>0</v>
      </c>
      <c r="F9047" s="1">
        <v>3.1409306952580964</v>
      </c>
      <c r="G9047" s="1">
        <v>6.6195833169668816E-4</v>
      </c>
    </row>
    <row r="9048" spans="1:7">
      <c r="A9048">
        <v>173</v>
      </c>
      <c r="B9048">
        <v>158</v>
      </c>
      <c r="C9048" s="1">
        <f>(Tabela1[[#This Row],[x]]-H$3)*(Tabela1[[#This Row],[x]]-H$3) +(Tabela1[[#This Row],[y]]-H$4)*(Tabela1[[#This Row],[y]]-H$4)</f>
        <v>2493</v>
      </c>
      <c r="D9048" s="1">
        <f>IF(Tabela1[[#This Row],[promien]]&lt;40000,1,0)</f>
        <v>1</v>
      </c>
      <c r="E9048" s="1">
        <f>IF(Tabela1[[#This Row],[promien]]=40000,1,0)</f>
        <v>0</v>
      </c>
      <c r="F9048" s="1">
        <v>3.141025641025641</v>
      </c>
      <c r="G9048" s="1">
        <v>5.6701256415214729E-4</v>
      </c>
    </row>
    <row r="9049" spans="1:7">
      <c r="A9049">
        <v>154</v>
      </c>
      <c r="B9049">
        <v>251</v>
      </c>
      <c r="C9049" s="1">
        <f>(Tabela1[[#This Row],[x]]-H$3)*(Tabela1[[#This Row],[x]]-H$3) +(Tabela1[[#This Row],[y]]-H$4)*(Tabela1[[#This Row],[y]]-H$4)</f>
        <v>4717</v>
      </c>
      <c r="D9049" s="1">
        <f>IF(Tabela1[[#This Row],[promien]]&lt;40000,1,0)</f>
        <v>1</v>
      </c>
      <c r="E9049" s="1">
        <f>IF(Tabela1[[#This Row],[promien]]=40000,1,0)</f>
        <v>0</v>
      </c>
      <c r="F9049" s="1">
        <v>3.1411205658083765</v>
      </c>
      <c r="G9049" s="1">
        <v>4.7208778141660801E-4</v>
      </c>
    </row>
    <row r="9050" spans="1:7">
      <c r="A9050">
        <v>273</v>
      </c>
      <c r="B9050">
        <v>285</v>
      </c>
      <c r="C9050" s="1">
        <f>(Tabela1[[#This Row],[x]]-H$3)*(Tabela1[[#This Row],[x]]-H$3) +(Tabela1[[#This Row],[y]]-H$4)*(Tabela1[[#This Row],[y]]-H$4)</f>
        <v>12554</v>
      </c>
      <c r="D9050" s="1">
        <f>IF(Tabela1[[#This Row],[promien]]&lt;40000,1,0)</f>
        <v>1</v>
      </c>
      <c r="E9050" s="1">
        <f>IF(Tabela1[[#This Row],[promien]]=40000,1,0)</f>
        <v>0</v>
      </c>
      <c r="F9050" s="1">
        <v>3.1412154696132597</v>
      </c>
      <c r="G9050" s="1">
        <v>3.7718397653341285E-4</v>
      </c>
    </row>
    <row r="9051" spans="1:7">
      <c r="A9051">
        <v>112</v>
      </c>
      <c r="B9051">
        <v>62</v>
      </c>
      <c r="C9051" s="1">
        <f>(Tabela1[[#This Row],[x]]-H$3)*(Tabela1[[#This Row],[x]]-H$3) +(Tabela1[[#This Row],[y]]-H$4)*(Tabela1[[#This Row],[y]]-H$4)</f>
        <v>26788</v>
      </c>
      <c r="D9051" s="1">
        <f>IF(Tabela1[[#This Row],[promien]]&lt;40000,1,0)</f>
        <v>1</v>
      </c>
      <c r="E9051" s="1">
        <f>IF(Tabela1[[#This Row],[promien]]=40000,1,0)</f>
        <v>0</v>
      </c>
      <c r="F9051" s="1">
        <v>3.1413103524472432</v>
      </c>
      <c r="G9051" s="1">
        <v>2.8230114254990113E-4</v>
      </c>
    </row>
    <row r="9052" spans="1:7">
      <c r="A9052">
        <v>119</v>
      </c>
      <c r="B9052">
        <v>364</v>
      </c>
      <c r="C9052" s="1">
        <f>(Tabela1[[#This Row],[x]]-H$3)*(Tabela1[[#This Row],[x]]-H$3) +(Tabela1[[#This Row],[y]]-H$4)*(Tabela1[[#This Row],[y]]-H$4)</f>
        <v>33457</v>
      </c>
      <c r="D9052" s="1">
        <f>IF(Tabela1[[#This Row],[promien]]&lt;40000,1,0)</f>
        <v>1</v>
      </c>
      <c r="E9052" s="1">
        <f>IF(Tabela1[[#This Row],[promien]]=40000,1,0)</f>
        <v>0</v>
      </c>
      <c r="F9052" s="1">
        <v>3.1414052143172779</v>
      </c>
      <c r="G9052" s="1">
        <v>1.8743927251518855E-4</v>
      </c>
    </row>
    <row r="9053" spans="1:7">
      <c r="A9053">
        <v>346</v>
      </c>
      <c r="B9053">
        <v>178</v>
      </c>
      <c r="C9053" s="1">
        <f>(Tabela1[[#This Row],[x]]-H$3)*(Tabela1[[#This Row],[x]]-H$3) +(Tabela1[[#This Row],[y]]-H$4)*(Tabela1[[#This Row],[y]]-H$4)</f>
        <v>21800</v>
      </c>
      <c r="D9053" s="1">
        <f>IF(Tabela1[[#This Row],[promien]]&lt;40000,1,0)</f>
        <v>1</v>
      </c>
      <c r="E9053" s="1">
        <f>IF(Tabela1[[#This Row],[promien]]=40000,1,0)</f>
        <v>0</v>
      </c>
      <c r="F9053" s="1">
        <v>3.1415000552303103</v>
      </c>
      <c r="G9053" s="1">
        <v>9.2598359482831682E-5</v>
      </c>
    </row>
    <row r="9054" spans="1:7">
      <c r="A9054">
        <v>297</v>
      </c>
      <c r="B9054">
        <v>361</v>
      </c>
      <c r="C9054" s="1">
        <f>(Tabela1[[#This Row],[x]]-H$3)*(Tabela1[[#This Row],[x]]-H$3) +(Tabela1[[#This Row],[y]]-H$4)*(Tabela1[[#This Row],[y]]-H$4)</f>
        <v>35330</v>
      </c>
      <c r="D9054" s="1">
        <f>IF(Tabela1[[#This Row],[promien]]&lt;40000,1,0)</f>
        <v>1</v>
      </c>
      <c r="E9054" s="1">
        <f>IF(Tabela1[[#This Row],[promien]]=40000,1,0)</f>
        <v>0</v>
      </c>
      <c r="F9054" s="1">
        <v>3.141594875193285</v>
      </c>
      <c r="G9054" s="1">
        <v>2.2216034918365324E-6</v>
      </c>
    </row>
    <row r="9055" spans="1:7">
      <c r="A9055">
        <v>175</v>
      </c>
      <c r="B9055">
        <v>182</v>
      </c>
      <c r="C9055" s="1">
        <f>(Tabela1[[#This Row],[x]]-H$3)*(Tabela1[[#This Row],[x]]-H$3) +(Tabela1[[#This Row],[y]]-H$4)*(Tabela1[[#This Row],[y]]-H$4)</f>
        <v>949</v>
      </c>
      <c r="D9055" s="1">
        <f>IF(Tabela1[[#This Row],[promien]]&lt;40000,1,0)</f>
        <v>1</v>
      </c>
      <c r="E9055" s="1">
        <f>IF(Tabela1[[#This Row],[promien]]=40000,1,0)</f>
        <v>0</v>
      </c>
      <c r="F9055" s="1">
        <v>3.1416896742131417</v>
      </c>
      <c r="G9055" s="1">
        <v>9.7020623348598178E-5</v>
      </c>
    </row>
    <row r="9056" spans="1:7">
      <c r="A9056">
        <v>222</v>
      </c>
      <c r="B9056">
        <v>257</v>
      </c>
      <c r="C9056" s="1">
        <f>(Tabela1[[#This Row],[x]]-H$3)*(Tabela1[[#This Row],[x]]-H$3) +(Tabela1[[#This Row],[y]]-H$4)*(Tabela1[[#This Row],[y]]-H$4)</f>
        <v>3733</v>
      </c>
      <c r="D9056" s="1">
        <f>IF(Tabela1[[#This Row],[promien]]&lt;40000,1,0)</f>
        <v>1</v>
      </c>
      <c r="E9056" s="1">
        <f>IF(Tabela1[[#This Row],[promien]]=40000,1,0)</f>
        <v>0</v>
      </c>
      <c r="F9056" s="1">
        <v>3.1417844522968199</v>
      </c>
      <c r="G9056" s="1">
        <v>1.9179870702679125E-4</v>
      </c>
    </row>
    <row r="9057" spans="1:7">
      <c r="A9057">
        <v>132</v>
      </c>
      <c r="B9057">
        <v>180</v>
      </c>
      <c r="C9057" s="1">
        <f>(Tabela1[[#This Row],[x]]-H$3)*(Tabela1[[#This Row],[x]]-H$3) +(Tabela1[[#This Row],[y]]-H$4)*(Tabela1[[#This Row],[y]]-H$4)</f>
        <v>5024</v>
      </c>
      <c r="D9057" s="1">
        <f>IF(Tabela1[[#This Row],[promien]]&lt;40000,1,0)</f>
        <v>1</v>
      </c>
      <c r="E9057" s="1">
        <f>IF(Tabela1[[#This Row],[promien]]=40000,1,0)</f>
        <v>0</v>
      </c>
      <c r="F9057" s="1">
        <v>3.1418792094512531</v>
      </c>
      <c r="G9057" s="1">
        <v>2.8655586145998058E-4</v>
      </c>
    </row>
    <row r="9058" spans="1:7">
      <c r="A9058">
        <v>398</v>
      </c>
      <c r="B9058">
        <v>275</v>
      </c>
      <c r="C9058" s="1">
        <f>(Tabela1[[#This Row],[x]]-H$3)*(Tabela1[[#This Row],[x]]-H$3) +(Tabela1[[#This Row],[y]]-H$4)*(Tabela1[[#This Row],[y]]-H$4)</f>
        <v>44829</v>
      </c>
      <c r="D9058" s="1">
        <f>IF(Tabela1[[#This Row],[promien]]&lt;40000,1,0)</f>
        <v>0</v>
      </c>
      <c r="E9058" s="1">
        <f>IF(Tabela1[[#This Row],[promien]]=40000,1,0)</f>
        <v>0</v>
      </c>
      <c r="F9058" s="1">
        <v>3.1415323470964891</v>
      </c>
      <c r="G9058" s="1">
        <v>6.0306493304018716E-5</v>
      </c>
    </row>
    <row r="9059" spans="1:7">
      <c r="A9059">
        <v>279</v>
      </c>
      <c r="B9059">
        <v>35</v>
      </c>
      <c r="C9059" s="1">
        <f>(Tabela1[[#This Row],[x]]-H$3)*(Tabela1[[#This Row],[x]]-H$3) +(Tabela1[[#This Row],[y]]-H$4)*(Tabela1[[#This Row],[y]]-H$4)</f>
        <v>33466</v>
      </c>
      <c r="D9059" s="1">
        <f>IF(Tabela1[[#This Row],[promien]]&lt;40000,1,0)</f>
        <v>1</v>
      </c>
      <c r="E9059" s="1">
        <f>IF(Tabela1[[#This Row],[promien]]=40000,1,0)</f>
        <v>0</v>
      </c>
      <c r="F9059" s="1">
        <v>3.1416271111601723</v>
      </c>
      <c r="G9059" s="1">
        <v>3.4457570379231584E-5</v>
      </c>
    </row>
    <row r="9060" spans="1:7">
      <c r="A9060">
        <v>3</v>
      </c>
      <c r="B9060">
        <v>229</v>
      </c>
      <c r="C9060" s="1">
        <f>(Tabela1[[#This Row],[x]]-H$3)*(Tabela1[[#This Row],[x]]-H$3) +(Tabela1[[#This Row],[y]]-H$4)*(Tabela1[[#This Row],[y]]-H$4)</f>
        <v>39650</v>
      </c>
      <c r="D9060" s="1">
        <f>IF(Tabela1[[#This Row],[promien]]&lt;40000,1,0)</f>
        <v>1</v>
      </c>
      <c r="E9060" s="1">
        <f>IF(Tabela1[[#This Row],[promien]]=40000,1,0)</f>
        <v>0</v>
      </c>
      <c r="F9060" s="1">
        <v>3.1417218543046359</v>
      </c>
      <c r="G9060" s="1">
        <v>1.2920071484279205E-4</v>
      </c>
    </row>
    <row r="9061" spans="1:7">
      <c r="A9061">
        <v>188</v>
      </c>
      <c r="B9061">
        <v>158</v>
      </c>
      <c r="C9061" s="1">
        <f>(Tabela1[[#This Row],[x]]-H$3)*(Tabela1[[#This Row],[x]]-H$3) +(Tabela1[[#This Row],[y]]-H$4)*(Tabela1[[#This Row],[y]]-H$4)</f>
        <v>1908</v>
      </c>
      <c r="D9061" s="1">
        <f>IF(Tabela1[[#This Row],[promien]]&lt;40000,1,0)</f>
        <v>1</v>
      </c>
      <c r="E9061" s="1">
        <f>IF(Tabela1[[#This Row],[promien]]=40000,1,0)</f>
        <v>0</v>
      </c>
      <c r="F9061" s="1">
        <v>3.1418165765368062</v>
      </c>
      <c r="G9061" s="1">
        <v>2.239229470131221E-4</v>
      </c>
    </row>
    <row r="9062" spans="1:7">
      <c r="A9062">
        <v>312</v>
      </c>
      <c r="B9062">
        <v>273</v>
      </c>
      <c r="C9062" s="1">
        <f>(Tabela1[[#This Row],[x]]-H$3)*(Tabela1[[#This Row],[x]]-H$3) +(Tabela1[[#This Row],[y]]-H$4)*(Tabela1[[#This Row],[y]]-H$4)</f>
        <v>17873</v>
      </c>
      <c r="D9062" s="1">
        <f>IF(Tabela1[[#This Row],[promien]]&lt;40000,1,0)</f>
        <v>1</v>
      </c>
      <c r="E9062" s="1">
        <f>IF(Tabela1[[#This Row],[promien]]=40000,1,0)</f>
        <v>0</v>
      </c>
      <c r="F9062" s="1">
        <v>3.1419112778636062</v>
      </c>
      <c r="G9062" s="1">
        <v>3.1862427381312841E-4</v>
      </c>
    </row>
    <row r="9063" spans="1:7">
      <c r="A9063">
        <v>65</v>
      </c>
      <c r="B9063">
        <v>184</v>
      </c>
      <c r="C9063" s="1">
        <f>(Tabela1[[#This Row],[x]]-H$3)*(Tabela1[[#This Row],[x]]-H$3) +(Tabela1[[#This Row],[y]]-H$4)*(Tabela1[[#This Row],[y]]-H$4)</f>
        <v>18481</v>
      </c>
      <c r="D9063" s="1">
        <f>IF(Tabela1[[#This Row],[promien]]&lt;40000,1,0)</f>
        <v>1</v>
      </c>
      <c r="E9063" s="1">
        <f>IF(Tabela1[[#This Row],[promien]]=40000,1,0)</f>
        <v>0</v>
      </c>
      <c r="F9063" s="1">
        <v>3.1420059582919562</v>
      </c>
      <c r="G9063" s="1">
        <v>4.1330470216305315E-4</v>
      </c>
    </row>
    <row r="9064" spans="1:7">
      <c r="A9064">
        <v>155</v>
      </c>
      <c r="B9064">
        <v>235</v>
      </c>
      <c r="C9064" s="1">
        <f>(Tabela1[[#This Row],[x]]-H$3)*(Tabela1[[#This Row],[x]]-H$3) +(Tabela1[[#This Row],[y]]-H$4)*(Tabela1[[#This Row],[y]]-H$4)</f>
        <v>3250</v>
      </c>
      <c r="D9064" s="1">
        <f>IF(Tabela1[[#This Row],[promien]]&lt;40000,1,0)</f>
        <v>1</v>
      </c>
      <c r="E9064" s="1">
        <f>IF(Tabela1[[#This Row],[promien]]=40000,1,0)</f>
        <v>0</v>
      </c>
      <c r="F9064" s="1">
        <v>3.1421006178287731</v>
      </c>
      <c r="G9064" s="1">
        <v>5.0796423898002985E-4</v>
      </c>
    </row>
    <row r="9065" spans="1:7">
      <c r="A9065">
        <v>230</v>
      </c>
      <c r="B9065">
        <v>179</v>
      </c>
      <c r="C9065" s="1">
        <f>(Tabela1[[#This Row],[x]]-H$3)*(Tabela1[[#This Row],[x]]-H$3) +(Tabela1[[#This Row],[y]]-H$4)*(Tabela1[[#This Row],[y]]-H$4)</f>
        <v>1341</v>
      </c>
      <c r="D9065" s="1">
        <f>IF(Tabela1[[#This Row],[promien]]&lt;40000,1,0)</f>
        <v>1</v>
      </c>
      <c r="E9065" s="1">
        <f>IF(Tabela1[[#This Row],[promien]]=40000,1,0)</f>
        <v>0</v>
      </c>
      <c r="F9065" s="1">
        <v>3.1421952564809708</v>
      </c>
      <c r="G9065" s="1">
        <v>6.0260289117763932E-4</v>
      </c>
    </row>
    <row r="9066" spans="1:7">
      <c r="A9066">
        <v>251</v>
      </c>
      <c r="B9066">
        <v>26</v>
      </c>
      <c r="C9066" s="1">
        <f>(Tabela1[[#This Row],[x]]-H$3)*(Tabela1[[#This Row],[x]]-H$3) +(Tabela1[[#This Row],[y]]-H$4)*(Tabela1[[#This Row],[y]]-H$4)</f>
        <v>32877</v>
      </c>
      <c r="D9066" s="1">
        <f>IF(Tabela1[[#This Row],[promien]]&lt;40000,1,0)</f>
        <v>1</v>
      </c>
      <c r="E9066" s="1">
        <f>IF(Tabela1[[#This Row],[promien]]=40000,1,0)</f>
        <v>0</v>
      </c>
      <c r="F9066" s="1">
        <v>3.1422898742554599</v>
      </c>
      <c r="G9066" s="1">
        <v>6.9722066566679786E-4</v>
      </c>
    </row>
    <row r="9067" spans="1:7">
      <c r="A9067">
        <v>278</v>
      </c>
      <c r="B9067">
        <v>158</v>
      </c>
      <c r="C9067" s="1">
        <f>(Tabela1[[#This Row],[x]]-H$3)*(Tabela1[[#This Row],[x]]-H$3) +(Tabela1[[#This Row],[y]]-H$4)*(Tabela1[[#This Row],[y]]-H$4)</f>
        <v>7848</v>
      </c>
      <c r="D9067" s="1">
        <f>IF(Tabela1[[#This Row],[promien]]&lt;40000,1,0)</f>
        <v>1</v>
      </c>
      <c r="E9067" s="1">
        <f>IF(Tabela1[[#This Row],[promien]]=40000,1,0)</f>
        <v>0</v>
      </c>
      <c r="F9067" s="1">
        <v>3.1423844711591484</v>
      </c>
      <c r="G9067" s="1">
        <v>7.9181756935531311E-4</v>
      </c>
    </row>
    <row r="9068" spans="1:7">
      <c r="A9068">
        <v>165</v>
      </c>
      <c r="B9068">
        <v>307</v>
      </c>
      <c r="C9068" s="1">
        <f>(Tabela1[[#This Row],[x]]-H$3)*(Tabela1[[#This Row],[x]]-H$3) +(Tabela1[[#This Row],[y]]-H$4)*(Tabela1[[#This Row],[y]]-H$4)</f>
        <v>12674</v>
      </c>
      <c r="D9068" s="1">
        <f>IF(Tabela1[[#This Row],[promien]]&lt;40000,1,0)</f>
        <v>1</v>
      </c>
      <c r="E9068" s="1">
        <f>IF(Tabela1[[#This Row],[promien]]=40000,1,0)</f>
        <v>0</v>
      </c>
      <c r="F9068" s="1">
        <v>3.1424790471989414</v>
      </c>
      <c r="G9068" s="1">
        <v>8.8639360914832821E-4</v>
      </c>
    </row>
    <row r="9069" spans="1:7">
      <c r="A9069">
        <v>253</v>
      </c>
      <c r="B9069">
        <v>147</v>
      </c>
      <c r="C9069" s="1">
        <f>(Tabela1[[#This Row],[x]]-H$3)*(Tabela1[[#This Row],[x]]-H$3) +(Tabela1[[#This Row],[y]]-H$4)*(Tabela1[[#This Row],[y]]-H$4)</f>
        <v>5618</v>
      </c>
      <c r="D9069" s="1">
        <f>IF(Tabela1[[#This Row],[promien]]&lt;40000,1,0)</f>
        <v>1</v>
      </c>
      <c r="E9069" s="1">
        <f>IF(Tabela1[[#This Row],[promien]]=40000,1,0)</f>
        <v>0</v>
      </c>
      <c r="F9069" s="1">
        <v>3.1425736023817401</v>
      </c>
      <c r="G9069" s="1">
        <v>9.8094879194698947E-4</v>
      </c>
    </row>
    <row r="9070" spans="1:7">
      <c r="A9070">
        <v>106</v>
      </c>
      <c r="B9070">
        <v>136</v>
      </c>
      <c r="C9070" s="1">
        <f>(Tabela1[[#This Row],[x]]-H$3)*(Tabela1[[#This Row],[x]]-H$3) +(Tabela1[[#This Row],[y]]-H$4)*(Tabela1[[#This Row],[y]]-H$4)</f>
        <v>12932</v>
      </c>
      <c r="D9070" s="1">
        <f>IF(Tabela1[[#This Row],[promien]]&lt;40000,1,0)</f>
        <v>1</v>
      </c>
      <c r="E9070" s="1">
        <f>IF(Tabela1[[#This Row],[promien]]=40000,1,0)</f>
        <v>0</v>
      </c>
      <c r="F9070" s="1">
        <v>3.1426681367144433</v>
      </c>
      <c r="G9070" s="1">
        <v>1.0754831246502228E-3</v>
      </c>
    </row>
    <row r="9071" spans="1:7">
      <c r="A9071">
        <v>118</v>
      </c>
      <c r="B9071">
        <v>324</v>
      </c>
      <c r="C9071" s="1">
        <f>(Tabela1[[#This Row],[x]]-H$3)*(Tabela1[[#This Row],[x]]-H$3) +(Tabela1[[#This Row],[y]]-H$4)*(Tabela1[[#This Row],[y]]-H$4)</f>
        <v>22100</v>
      </c>
      <c r="D9071" s="1">
        <f>IF(Tabela1[[#This Row],[promien]]&lt;40000,1,0)</f>
        <v>1</v>
      </c>
      <c r="E9071" s="1">
        <f>IF(Tabela1[[#This Row],[promien]]=40000,1,0)</f>
        <v>0</v>
      </c>
      <c r="F9071" s="1">
        <v>3.1427626502039465</v>
      </c>
      <c r="G9071" s="1">
        <v>1.1699966141534013E-3</v>
      </c>
    </row>
    <row r="9072" spans="1:7">
      <c r="A9072">
        <v>316</v>
      </c>
      <c r="B9072">
        <v>21</v>
      </c>
      <c r="C9072" s="1">
        <f>(Tabela1[[#This Row],[x]]-H$3)*(Tabela1[[#This Row],[x]]-H$3) +(Tabela1[[#This Row],[y]]-H$4)*(Tabela1[[#This Row],[y]]-H$4)</f>
        <v>45497</v>
      </c>
      <c r="D9072" s="1">
        <f>IF(Tabela1[[#This Row],[promien]]&lt;40000,1,0)</f>
        <v>0</v>
      </c>
      <c r="E9072" s="1">
        <f>IF(Tabela1[[#This Row],[promien]]=40000,1,0)</f>
        <v>0</v>
      </c>
      <c r="F9072" s="1">
        <v>3.1424162257495589</v>
      </c>
      <c r="G9072" s="1">
        <v>8.2357215976580633E-4</v>
      </c>
    </row>
    <row r="9073" spans="1:7">
      <c r="A9073">
        <v>331</v>
      </c>
      <c r="B9073">
        <v>245</v>
      </c>
      <c r="C9073" s="1">
        <f>(Tabela1[[#This Row],[x]]-H$3)*(Tabela1[[#This Row],[x]]-H$3) +(Tabela1[[#This Row],[y]]-H$4)*(Tabela1[[#This Row],[y]]-H$4)</f>
        <v>19186</v>
      </c>
      <c r="D9073" s="1">
        <f>IF(Tabela1[[#This Row],[promien]]&lt;40000,1,0)</f>
        <v>1</v>
      </c>
      <c r="E9073" s="1">
        <f>IF(Tabela1[[#This Row],[promien]]=40000,1,0)</f>
        <v>0</v>
      </c>
      <c r="F9073" s="1">
        <v>3.1425107461699548</v>
      </c>
      <c r="G9073" s="1">
        <v>9.1809258016173345E-4</v>
      </c>
    </row>
    <row r="9074" spans="1:7">
      <c r="A9074">
        <v>341</v>
      </c>
      <c r="B9074">
        <v>269</v>
      </c>
      <c r="C9074" s="1">
        <f>(Tabela1[[#This Row],[x]]-H$3)*(Tabela1[[#This Row],[x]]-H$3) +(Tabela1[[#This Row],[y]]-H$4)*(Tabela1[[#This Row],[y]]-H$4)</f>
        <v>24642</v>
      </c>
      <c r="D9074" s="1">
        <f>IF(Tabela1[[#This Row],[promien]]&lt;40000,1,0)</f>
        <v>1</v>
      </c>
      <c r="E9074" s="1">
        <f>IF(Tabela1[[#This Row],[promien]]=40000,1,0)</f>
        <v>0</v>
      </c>
      <c r="F9074" s="1">
        <v>3.1426052457571081</v>
      </c>
      <c r="G9074" s="1">
        <v>1.012592167314974E-3</v>
      </c>
    </row>
    <row r="9075" spans="1:7">
      <c r="A9075">
        <v>184</v>
      </c>
      <c r="B9075">
        <v>27</v>
      </c>
      <c r="C9075" s="1">
        <f>(Tabela1[[#This Row],[x]]-H$3)*(Tabela1[[#This Row],[x]]-H$3) +(Tabela1[[#This Row],[y]]-H$4)*(Tabela1[[#This Row],[y]]-H$4)</f>
        <v>30185</v>
      </c>
      <c r="D9075" s="1">
        <f>IF(Tabela1[[#This Row],[promien]]&lt;40000,1,0)</f>
        <v>1</v>
      </c>
      <c r="E9075" s="1">
        <f>IF(Tabela1[[#This Row],[promien]]=40000,1,0)</f>
        <v>0</v>
      </c>
      <c r="F9075" s="1">
        <v>3.1426997245179065</v>
      </c>
      <c r="G9075" s="1">
        <v>1.1070709281133517E-3</v>
      </c>
    </row>
    <row r="9076" spans="1:7">
      <c r="A9076">
        <v>340</v>
      </c>
      <c r="B9076">
        <v>22</v>
      </c>
      <c r="C9076" s="1">
        <f>(Tabela1[[#This Row],[x]]-H$3)*(Tabela1[[#This Row],[x]]-H$3) +(Tabela1[[#This Row],[y]]-H$4)*(Tabela1[[#This Row],[y]]-H$4)</f>
        <v>51284</v>
      </c>
      <c r="D9076" s="1">
        <f>IF(Tabela1[[#This Row],[promien]]&lt;40000,1,0)</f>
        <v>0</v>
      </c>
      <c r="E9076" s="1">
        <f>IF(Tabela1[[#This Row],[promien]]=40000,1,0)</f>
        <v>0</v>
      </c>
      <c r="F9076" s="1">
        <v>3.1423534596738651</v>
      </c>
      <c r="G9076" s="1">
        <v>7.6080608407202988E-4</v>
      </c>
    </row>
    <row r="9077" spans="1:7">
      <c r="A9077">
        <v>33</v>
      </c>
      <c r="B9077">
        <v>304</v>
      </c>
      <c r="C9077" s="1">
        <f>(Tabela1[[#This Row],[x]]-H$3)*(Tabela1[[#This Row],[x]]-H$3) +(Tabela1[[#This Row],[y]]-H$4)*(Tabela1[[#This Row],[y]]-H$4)</f>
        <v>38705</v>
      </c>
      <c r="D9077" s="1">
        <f>IF(Tabela1[[#This Row],[promien]]&lt;40000,1,0)</f>
        <v>1</v>
      </c>
      <c r="E9077" s="1">
        <f>IF(Tabela1[[#This Row],[promien]]=40000,1,0)</f>
        <v>0</v>
      </c>
      <c r="F9077" s="1">
        <v>3.1424479453563952</v>
      </c>
      <c r="G9077" s="1">
        <v>8.5529176660203987E-4</v>
      </c>
    </row>
    <row r="9078" spans="1:7">
      <c r="A9078">
        <v>49</v>
      </c>
      <c r="B9078">
        <v>83</v>
      </c>
      <c r="C9078" s="1">
        <f>(Tabela1[[#This Row],[x]]-H$3)*(Tabela1[[#This Row],[x]]-H$3) +(Tabela1[[#This Row],[y]]-H$4)*(Tabela1[[#This Row],[y]]-H$4)</f>
        <v>36490</v>
      </c>
      <c r="D9078" s="1">
        <f>IF(Tabela1[[#This Row],[promien]]&lt;40000,1,0)</f>
        <v>1</v>
      </c>
      <c r="E9078" s="1">
        <f>IF(Tabela1[[#This Row],[promien]]=40000,1,0)</f>
        <v>0</v>
      </c>
      <c r="F9078" s="1">
        <v>3.1425424102225161</v>
      </c>
      <c r="G9078" s="1">
        <v>9.4975663272300892E-4</v>
      </c>
    </row>
    <row r="9079" spans="1:7">
      <c r="A9079">
        <v>316</v>
      </c>
      <c r="B9079">
        <v>132</v>
      </c>
      <c r="C9079" s="1">
        <f>(Tabela1[[#This Row],[x]]-H$3)*(Tabela1[[#This Row],[x]]-H$3) +(Tabela1[[#This Row],[y]]-H$4)*(Tabela1[[#This Row],[y]]-H$4)</f>
        <v>18080</v>
      </c>
      <c r="D9079" s="1">
        <f>IF(Tabela1[[#This Row],[promien]]&lt;40000,1,0)</f>
        <v>1</v>
      </c>
      <c r="E9079" s="1">
        <f>IF(Tabela1[[#This Row],[promien]]=40000,1,0)</f>
        <v>0</v>
      </c>
      <c r="F9079" s="1">
        <v>3.1426368542791057</v>
      </c>
      <c r="G9079" s="1">
        <v>1.0442006893125466E-3</v>
      </c>
    </row>
    <row r="9080" spans="1:7">
      <c r="A9080">
        <v>78</v>
      </c>
      <c r="B9080">
        <v>131</v>
      </c>
      <c r="C9080" s="1">
        <f>(Tabela1[[#This Row],[x]]-H$3)*(Tabela1[[#This Row],[x]]-H$3) +(Tabela1[[#This Row],[y]]-H$4)*(Tabela1[[#This Row],[y]]-H$4)</f>
        <v>19645</v>
      </c>
      <c r="D9080" s="1">
        <f>IF(Tabela1[[#This Row],[promien]]&lt;40000,1,0)</f>
        <v>1</v>
      </c>
      <c r="E9080" s="1">
        <f>IF(Tabela1[[#This Row],[promien]]=40000,1,0)</f>
        <v>0</v>
      </c>
      <c r="F9080" s="1">
        <v>3.1427312775330396</v>
      </c>
      <c r="G9080" s="1">
        <v>1.1386239432464862E-3</v>
      </c>
    </row>
    <row r="9081" spans="1:7">
      <c r="A9081">
        <v>239</v>
      </c>
      <c r="B9081">
        <v>347</v>
      </c>
      <c r="C9081" s="1">
        <f>(Tabela1[[#This Row],[x]]-H$3)*(Tabela1[[#This Row],[x]]-H$3) +(Tabela1[[#This Row],[y]]-H$4)*(Tabela1[[#This Row],[y]]-H$4)</f>
        <v>23130</v>
      </c>
      <c r="D9081" s="1">
        <f>IF(Tabela1[[#This Row],[promien]]&lt;40000,1,0)</f>
        <v>1</v>
      </c>
      <c r="E9081" s="1">
        <f>IF(Tabela1[[#This Row],[promien]]=40000,1,0)</f>
        <v>0</v>
      </c>
      <c r="F9081" s="1">
        <v>3.1428256799911902</v>
      </c>
      <c r="G9081" s="1">
        <v>1.2330264013971082E-3</v>
      </c>
    </row>
    <row r="9082" spans="1:7">
      <c r="A9082">
        <v>335</v>
      </c>
      <c r="B9082">
        <v>105</v>
      </c>
      <c r="C9082" s="1">
        <f>(Tabela1[[#This Row],[x]]-H$3)*(Tabela1[[#This Row],[x]]-H$3) +(Tabela1[[#This Row],[y]]-H$4)*(Tabela1[[#This Row],[y]]-H$4)</f>
        <v>27250</v>
      </c>
      <c r="D9082" s="1">
        <f>IF(Tabela1[[#This Row],[promien]]&lt;40000,1,0)</f>
        <v>1</v>
      </c>
      <c r="E9082" s="1">
        <f>IF(Tabela1[[#This Row],[promien]]=40000,1,0)</f>
        <v>0</v>
      </c>
      <c r="F9082" s="1">
        <v>3.1429200616604271</v>
      </c>
      <c r="G9082" s="1">
        <v>1.3274080706340285E-3</v>
      </c>
    </row>
    <row r="9083" spans="1:7">
      <c r="A9083">
        <v>233</v>
      </c>
      <c r="B9083">
        <v>191</v>
      </c>
      <c r="C9083" s="1">
        <f>(Tabela1[[#This Row],[x]]-H$3)*(Tabela1[[#This Row],[x]]-H$3) +(Tabela1[[#This Row],[y]]-H$4)*(Tabela1[[#This Row],[y]]-H$4)</f>
        <v>1170</v>
      </c>
      <c r="D9083" s="1">
        <f>IF(Tabela1[[#This Row],[promien]]&lt;40000,1,0)</f>
        <v>1</v>
      </c>
      <c r="E9083" s="1">
        <f>IF(Tabela1[[#This Row],[promien]]=40000,1,0)</f>
        <v>0</v>
      </c>
      <c r="F9083" s="1">
        <v>3.1430144225476164</v>
      </c>
      <c r="G9083" s="1">
        <v>1.4217689578233106E-3</v>
      </c>
    </row>
    <row r="9084" spans="1:7">
      <c r="A9084">
        <v>316</v>
      </c>
      <c r="B9084">
        <v>248</v>
      </c>
      <c r="C9084" s="1">
        <f>(Tabela1[[#This Row],[x]]-H$3)*(Tabela1[[#This Row],[x]]-H$3) +(Tabela1[[#This Row],[y]]-H$4)*(Tabela1[[#This Row],[y]]-H$4)</f>
        <v>15760</v>
      </c>
      <c r="D9084" s="1">
        <f>IF(Tabela1[[#This Row],[promien]]&lt;40000,1,0)</f>
        <v>1</v>
      </c>
      <c r="E9084" s="1">
        <f>IF(Tabela1[[#This Row],[promien]]=40000,1,0)</f>
        <v>0</v>
      </c>
      <c r="F9084" s="1">
        <v>3.1431087626596215</v>
      </c>
      <c r="G9084" s="1">
        <v>1.516109069828353E-3</v>
      </c>
    </row>
    <row r="9085" spans="1:7">
      <c r="A9085">
        <v>37</v>
      </c>
      <c r="B9085">
        <v>36</v>
      </c>
      <c r="C9085" s="1">
        <f>(Tabela1[[#This Row],[x]]-H$3)*(Tabela1[[#This Row],[x]]-H$3) +(Tabela1[[#This Row],[y]]-H$4)*(Tabela1[[#This Row],[y]]-H$4)</f>
        <v>53465</v>
      </c>
      <c r="D9085" s="1">
        <f>IF(Tabela1[[#This Row],[promien]]&lt;40000,1,0)</f>
        <v>0</v>
      </c>
      <c r="E9085" s="1">
        <f>IF(Tabela1[[#This Row],[promien]]=40000,1,0)</f>
        <v>0</v>
      </c>
      <c r="F9085" s="1">
        <v>3.1427627958172812</v>
      </c>
      <c r="G9085" s="1">
        <v>1.1701422274881246E-3</v>
      </c>
    </row>
    <row r="9086" spans="1:7">
      <c r="A9086">
        <v>372</v>
      </c>
      <c r="B9086">
        <v>199</v>
      </c>
      <c r="C9086" s="1">
        <f>(Tabela1[[#This Row],[x]]-H$3)*(Tabela1[[#This Row],[x]]-H$3) +(Tabela1[[#This Row],[y]]-H$4)*(Tabela1[[#This Row],[y]]-H$4)</f>
        <v>29585</v>
      </c>
      <c r="D9086" s="1">
        <f>IF(Tabela1[[#This Row],[promien]]&lt;40000,1,0)</f>
        <v>1</v>
      </c>
      <c r="E9086" s="1">
        <f>IF(Tabela1[[#This Row],[promien]]=40000,1,0)</f>
        <v>0</v>
      </c>
      <c r="F9086" s="1">
        <v>3.1428571428571428</v>
      </c>
      <c r="G9086" s="1">
        <v>1.2644892673496777E-3</v>
      </c>
    </row>
    <row r="9087" spans="1:7">
      <c r="A9087">
        <v>375</v>
      </c>
      <c r="B9087">
        <v>226</v>
      </c>
      <c r="C9087" s="1">
        <f>(Tabela1[[#This Row],[x]]-H$3)*(Tabela1[[#This Row],[x]]-H$3) +(Tabela1[[#This Row],[y]]-H$4)*(Tabela1[[#This Row],[y]]-H$4)</f>
        <v>31301</v>
      </c>
      <c r="D9087" s="1">
        <f>IF(Tabela1[[#This Row],[promien]]&lt;40000,1,0)</f>
        <v>1</v>
      </c>
      <c r="E9087" s="1">
        <f>IF(Tabela1[[#This Row],[promien]]=40000,1,0)</f>
        <v>0</v>
      </c>
      <c r="F9087" s="1">
        <v>3.1429514691317268</v>
      </c>
      <c r="G9087" s="1">
        <v>1.3588155419337333E-3</v>
      </c>
    </row>
    <row r="9088" spans="1:7">
      <c r="A9088">
        <v>254</v>
      </c>
      <c r="B9088">
        <v>173</v>
      </c>
      <c r="C9088" s="1">
        <f>(Tabela1[[#This Row],[x]]-H$3)*(Tabela1[[#This Row],[x]]-H$3) +(Tabela1[[#This Row],[y]]-H$4)*(Tabela1[[#This Row],[y]]-H$4)</f>
        <v>3645</v>
      </c>
      <c r="D9088" s="1">
        <f>IF(Tabela1[[#This Row],[promien]]&lt;40000,1,0)</f>
        <v>1</v>
      </c>
      <c r="E9088" s="1">
        <f>IF(Tabela1[[#This Row],[promien]]=40000,1,0)</f>
        <v>0</v>
      </c>
      <c r="F9088" s="1">
        <v>3.1430457746478875</v>
      </c>
      <c r="G9088" s="1">
        <v>1.4531210580943643E-3</v>
      </c>
    </row>
    <row r="9089" spans="1:7">
      <c r="A9089">
        <v>315</v>
      </c>
      <c r="B9089">
        <v>126</v>
      </c>
      <c r="C9089" s="1">
        <f>(Tabela1[[#This Row],[x]]-H$3)*(Tabela1[[#This Row],[x]]-H$3) +(Tabela1[[#This Row],[y]]-H$4)*(Tabela1[[#This Row],[y]]-H$4)</f>
        <v>18701</v>
      </c>
      <c r="D9089" s="1">
        <f>IF(Tabela1[[#This Row],[promien]]&lt;40000,1,0)</f>
        <v>1</v>
      </c>
      <c r="E9089" s="1">
        <f>IF(Tabela1[[#This Row],[promien]]=40000,1,0)</f>
        <v>0</v>
      </c>
      <c r="F9089" s="1">
        <v>3.1431400594124765</v>
      </c>
      <c r="G9089" s="1">
        <v>1.5474058226834231E-3</v>
      </c>
    </row>
    <row r="9090" spans="1:7">
      <c r="A9090">
        <v>216</v>
      </c>
      <c r="B9090">
        <v>11</v>
      </c>
      <c r="C9090" s="1">
        <f>(Tabela1[[#This Row],[x]]-H$3)*(Tabela1[[#This Row],[x]]-H$3) +(Tabela1[[#This Row],[y]]-H$4)*(Tabela1[[#This Row],[y]]-H$4)</f>
        <v>35977</v>
      </c>
      <c r="D9090" s="1">
        <f>IF(Tabela1[[#This Row],[promien]]&lt;40000,1,0)</f>
        <v>1</v>
      </c>
      <c r="E9090" s="1">
        <f>IF(Tabela1[[#This Row],[promien]]=40000,1,0)</f>
        <v>0</v>
      </c>
      <c r="F9090" s="1">
        <v>3.1432343234323432</v>
      </c>
      <c r="G9090" s="1">
        <v>1.6416698425500975E-3</v>
      </c>
    </row>
    <row r="9091" spans="1:7">
      <c r="A9091">
        <v>184</v>
      </c>
      <c r="B9091">
        <v>161</v>
      </c>
      <c r="C9091" s="1">
        <f>(Tabela1[[#This Row],[x]]-H$3)*(Tabela1[[#This Row],[x]]-H$3) +(Tabela1[[#This Row],[y]]-H$4)*(Tabela1[[#This Row],[y]]-H$4)</f>
        <v>1777</v>
      </c>
      <c r="D9091" s="1">
        <f>IF(Tabela1[[#This Row],[promien]]&lt;40000,1,0)</f>
        <v>1</v>
      </c>
      <c r="E9091" s="1">
        <f>IF(Tabela1[[#This Row],[promien]]=40000,1,0)</f>
        <v>0</v>
      </c>
      <c r="F9091" s="1">
        <v>3.1433285667143327</v>
      </c>
      <c r="G9091" s="1">
        <v>1.7359131245395787E-3</v>
      </c>
    </row>
    <row r="9092" spans="1:7">
      <c r="A9092">
        <v>184</v>
      </c>
      <c r="B9092">
        <v>349</v>
      </c>
      <c r="C9092" s="1">
        <f>(Tabela1[[#This Row],[x]]-H$3)*(Tabela1[[#This Row],[x]]-H$3) +(Tabela1[[#This Row],[y]]-H$4)*(Tabela1[[#This Row],[y]]-H$4)</f>
        <v>22457</v>
      </c>
      <c r="D9092" s="1">
        <f>IF(Tabela1[[#This Row],[promien]]&lt;40000,1,0)</f>
        <v>1</v>
      </c>
      <c r="E9092" s="1">
        <f>IF(Tabela1[[#This Row],[promien]]=40000,1,0)</f>
        <v>0</v>
      </c>
      <c r="F9092" s="1">
        <v>3.143422789265288</v>
      </c>
      <c r="G9092" s="1">
        <v>1.8301356754948372E-3</v>
      </c>
    </row>
    <row r="9093" spans="1:7">
      <c r="A9093">
        <v>358</v>
      </c>
      <c r="B9093">
        <v>294</v>
      </c>
      <c r="C9093" s="1">
        <f>(Tabela1[[#This Row],[x]]-H$3)*(Tabela1[[#This Row],[x]]-H$3) +(Tabela1[[#This Row],[y]]-H$4)*(Tabela1[[#This Row],[y]]-H$4)</f>
        <v>33800</v>
      </c>
      <c r="D9093" s="1">
        <f>IF(Tabela1[[#This Row],[promien]]&lt;40000,1,0)</f>
        <v>1</v>
      </c>
      <c r="E9093" s="1">
        <f>IF(Tabela1[[#This Row],[promien]]=40000,1,0)</f>
        <v>0</v>
      </c>
      <c r="F9093" s="1">
        <v>3.1435169910920489</v>
      </c>
      <c r="G9093" s="1">
        <v>1.9243375022557352E-3</v>
      </c>
    </row>
    <row r="9094" spans="1:7">
      <c r="A9094">
        <v>290</v>
      </c>
      <c r="B9094">
        <v>158</v>
      </c>
      <c r="C9094" s="1">
        <f>(Tabela1[[#This Row],[x]]-H$3)*(Tabela1[[#This Row],[x]]-H$3) +(Tabela1[[#This Row],[y]]-H$4)*(Tabela1[[#This Row],[y]]-H$4)</f>
        <v>9864</v>
      </c>
      <c r="D9094" s="1">
        <f>IF(Tabela1[[#This Row],[promien]]&lt;40000,1,0)</f>
        <v>1</v>
      </c>
      <c r="E9094" s="1">
        <f>IF(Tabela1[[#This Row],[promien]]=40000,1,0)</f>
        <v>0</v>
      </c>
      <c r="F9094" s="1">
        <v>3.1436111722014517</v>
      </c>
      <c r="G9094" s="1">
        <v>2.0185186116585818E-3</v>
      </c>
    </row>
    <row r="9095" spans="1:7">
      <c r="A9095">
        <v>6</v>
      </c>
      <c r="B9095">
        <v>118</v>
      </c>
      <c r="C9095" s="1">
        <f>(Tabela1[[#This Row],[x]]-H$3)*(Tabela1[[#This Row],[x]]-H$3) +(Tabela1[[#This Row],[y]]-H$4)*(Tabela1[[#This Row],[y]]-H$4)</f>
        <v>44360</v>
      </c>
      <c r="D9095" s="1">
        <f>IF(Tabela1[[#This Row],[promien]]&lt;40000,1,0)</f>
        <v>0</v>
      </c>
      <c r="E9095" s="1">
        <f>IF(Tabela1[[#This Row],[promien]]=40000,1,0)</f>
        <v>0</v>
      </c>
      <c r="F9095" s="1">
        <v>3.14326553051127</v>
      </c>
      <c r="G9095" s="1">
        <v>1.6728769214768846E-3</v>
      </c>
    </row>
    <row r="9096" spans="1:7">
      <c r="A9096">
        <v>276</v>
      </c>
      <c r="B9096">
        <v>137</v>
      </c>
      <c r="C9096" s="1">
        <f>(Tabela1[[#This Row],[x]]-H$3)*(Tabela1[[#This Row],[x]]-H$3) +(Tabela1[[#This Row],[y]]-H$4)*(Tabela1[[#This Row],[y]]-H$4)</f>
        <v>9745</v>
      </c>
      <c r="D9096" s="1">
        <f>IF(Tabela1[[#This Row],[promien]]&lt;40000,1,0)</f>
        <v>1</v>
      </c>
      <c r="E9096" s="1">
        <f>IF(Tabela1[[#This Row],[promien]]=40000,1,0)</f>
        <v>0</v>
      </c>
      <c r="F9096" s="1">
        <v>3.1433597185576079</v>
      </c>
      <c r="G9096" s="1">
        <v>1.7670649678147576E-3</v>
      </c>
    </row>
    <row r="9097" spans="1:7">
      <c r="A9097">
        <v>391</v>
      </c>
      <c r="B9097">
        <v>271</v>
      </c>
      <c r="C9097" s="1">
        <f>(Tabela1[[#This Row],[x]]-H$3)*(Tabela1[[#This Row],[x]]-H$3) +(Tabela1[[#This Row],[y]]-H$4)*(Tabela1[[#This Row],[y]]-H$4)</f>
        <v>41522</v>
      </c>
      <c r="D9097" s="1">
        <f>IF(Tabela1[[#This Row],[promien]]&lt;40000,1,0)</f>
        <v>0</v>
      </c>
      <c r="E9097" s="1">
        <f>IF(Tabela1[[#This Row],[promien]]=40000,1,0)</f>
        <v>0</v>
      </c>
      <c r="F9097" s="1">
        <v>3.1430141804990654</v>
      </c>
      <c r="G9097" s="1">
        <v>1.4215269092723304E-3</v>
      </c>
    </row>
    <row r="9098" spans="1:7">
      <c r="A9098">
        <v>322</v>
      </c>
      <c r="B9098">
        <v>194</v>
      </c>
      <c r="C9098" s="1">
        <f>(Tabela1[[#This Row],[x]]-H$3)*(Tabela1[[#This Row],[x]]-H$3) +(Tabela1[[#This Row],[y]]-H$4)*(Tabela1[[#This Row],[y]]-H$4)</f>
        <v>14920</v>
      </c>
      <c r="D9098" s="1">
        <f>IF(Tabela1[[#This Row],[promien]]&lt;40000,1,0)</f>
        <v>1</v>
      </c>
      <c r="E9098" s="1">
        <f>IF(Tabela1[[#This Row],[promien]]=40000,1,0)</f>
        <v>0</v>
      </c>
      <c r="F9098" s="1">
        <v>3.1431083754671358</v>
      </c>
      <c r="G9098" s="1">
        <v>1.5157218773427239E-3</v>
      </c>
    </row>
    <row r="9099" spans="1:7">
      <c r="A9099">
        <v>19</v>
      </c>
      <c r="B9099">
        <v>354</v>
      </c>
      <c r="C9099" s="1">
        <f>(Tabela1[[#This Row],[x]]-H$3)*(Tabela1[[#This Row],[x]]-H$3) +(Tabela1[[#This Row],[y]]-H$4)*(Tabela1[[#This Row],[y]]-H$4)</f>
        <v>56477</v>
      </c>
      <c r="D9099" s="1">
        <f>IF(Tabela1[[#This Row],[promien]]&lt;40000,1,0)</f>
        <v>0</v>
      </c>
      <c r="E9099" s="1">
        <f>IF(Tabela1[[#This Row],[promien]]=40000,1,0)</f>
        <v>0</v>
      </c>
      <c r="F9099" s="1">
        <v>3.1427629409825255</v>
      </c>
      <c r="G9099" s="1">
        <v>1.1702873927323942E-3</v>
      </c>
    </row>
    <row r="9100" spans="1:7">
      <c r="A9100">
        <v>317</v>
      </c>
      <c r="B9100">
        <v>312</v>
      </c>
      <c r="C9100" s="1">
        <f>(Tabela1[[#This Row],[x]]-H$3)*(Tabela1[[#This Row],[x]]-H$3) +(Tabela1[[#This Row],[y]]-H$4)*(Tabela1[[#This Row],[y]]-H$4)</f>
        <v>26233</v>
      </c>
      <c r="D9100" s="1">
        <f>IF(Tabela1[[#This Row],[promien]]&lt;40000,1,0)</f>
        <v>1</v>
      </c>
      <c r="E9100" s="1">
        <f>IF(Tabela1[[#This Row],[promien]]=40000,1,0)</f>
        <v>0</v>
      </c>
      <c r="F9100" s="1">
        <v>3.1428571428571428</v>
      </c>
      <c r="G9100" s="1">
        <v>1.2644892673496777E-3</v>
      </c>
    </row>
    <row r="9101" spans="1:7">
      <c r="A9101">
        <v>54</v>
      </c>
      <c r="B9101">
        <v>385</v>
      </c>
      <c r="C9101" s="1">
        <f>(Tabela1[[#This Row],[x]]-H$3)*(Tabela1[[#This Row],[x]]-H$3) +(Tabela1[[#This Row],[y]]-H$4)*(Tabela1[[#This Row],[y]]-H$4)</f>
        <v>55541</v>
      </c>
      <c r="D9101" s="1">
        <f>IF(Tabela1[[#This Row],[promien]]&lt;40000,1,0)</f>
        <v>0</v>
      </c>
      <c r="E9101" s="1">
        <f>IF(Tabela1[[#This Row],[promien]]=40000,1,0)</f>
        <v>0</v>
      </c>
      <c r="F9101" s="1">
        <v>3.1425118118888036</v>
      </c>
      <c r="G9101" s="1">
        <v>9.1915829901045853E-4</v>
      </c>
    </row>
    <row r="9102" spans="1:7">
      <c r="A9102">
        <v>156</v>
      </c>
      <c r="B9102">
        <v>194</v>
      </c>
      <c r="C9102" s="1">
        <f>(Tabela1[[#This Row],[x]]-H$3)*(Tabela1[[#This Row],[x]]-H$3) +(Tabela1[[#This Row],[y]]-H$4)*(Tabela1[[#This Row],[y]]-H$4)</f>
        <v>1972</v>
      </c>
      <c r="D9102" s="1">
        <f>IF(Tabela1[[#This Row],[promien]]&lt;40000,1,0)</f>
        <v>1</v>
      </c>
      <c r="E9102" s="1">
        <f>IF(Tabela1[[#This Row],[promien]]=40000,1,0)</f>
        <v>0</v>
      </c>
      <c r="F9102" s="1">
        <v>3.1426060206548012</v>
      </c>
      <c r="G9102" s="1">
        <v>1.0133670650080973E-3</v>
      </c>
    </row>
    <row r="9103" spans="1:7">
      <c r="A9103">
        <v>137</v>
      </c>
      <c r="B9103">
        <v>93</v>
      </c>
      <c r="C9103" s="1">
        <f>(Tabela1[[#This Row],[x]]-H$3)*(Tabela1[[#This Row],[x]]-H$3) +(Tabela1[[#This Row],[y]]-H$4)*(Tabela1[[#This Row],[y]]-H$4)</f>
        <v>15418</v>
      </c>
      <c r="D9103" s="1">
        <f>IF(Tabela1[[#This Row],[promien]]&lt;40000,1,0)</f>
        <v>1</v>
      </c>
      <c r="E9103" s="1">
        <f>IF(Tabela1[[#This Row],[promien]]=40000,1,0)</f>
        <v>0</v>
      </c>
      <c r="F9103" s="1">
        <v>3.1427002087223994</v>
      </c>
      <c r="G9103" s="1">
        <v>1.1075551326062971E-3</v>
      </c>
    </row>
    <row r="9104" spans="1:7">
      <c r="A9104">
        <v>61</v>
      </c>
      <c r="B9104">
        <v>68</v>
      </c>
      <c r="C9104" s="1">
        <f>(Tabela1[[#This Row],[x]]-H$3)*(Tabela1[[#This Row],[x]]-H$3) +(Tabela1[[#This Row],[y]]-H$4)*(Tabela1[[#This Row],[y]]-H$4)</f>
        <v>36745</v>
      </c>
      <c r="D9104" s="1">
        <f>IF(Tabela1[[#This Row],[promien]]&lt;40000,1,0)</f>
        <v>1</v>
      </c>
      <c r="E9104" s="1">
        <f>IF(Tabela1[[#This Row],[promien]]=40000,1,0)</f>
        <v>0</v>
      </c>
      <c r="F9104" s="1">
        <v>3.1427943760984185</v>
      </c>
      <c r="G9104" s="1">
        <v>1.2017225086253802E-3</v>
      </c>
    </row>
    <row r="9105" spans="1:7">
      <c r="A9105">
        <v>282</v>
      </c>
      <c r="B9105">
        <v>171</v>
      </c>
      <c r="C9105" s="1">
        <f>(Tabela1[[#This Row],[x]]-H$3)*(Tabela1[[#This Row],[x]]-H$3) +(Tabela1[[#This Row],[y]]-H$4)*(Tabela1[[#This Row],[y]]-H$4)</f>
        <v>7565</v>
      </c>
      <c r="D9105" s="1">
        <f>IF(Tabela1[[#This Row],[promien]]&lt;40000,1,0)</f>
        <v>1</v>
      </c>
      <c r="E9105" s="1">
        <f>IF(Tabela1[[#This Row],[promien]]=40000,1,0)</f>
        <v>0</v>
      </c>
      <c r="F9105" s="1">
        <v>3.1428885227896761</v>
      </c>
      <c r="G9105" s="1">
        <v>1.2958691998830041E-3</v>
      </c>
    </row>
    <row r="9106" spans="1:7">
      <c r="A9106">
        <v>61</v>
      </c>
      <c r="B9106">
        <v>275</v>
      </c>
      <c r="C9106" s="1">
        <f>(Tabela1[[#This Row],[x]]-H$3)*(Tabela1[[#This Row],[x]]-H$3) +(Tabela1[[#This Row],[y]]-H$4)*(Tabela1[[#This Row],[y]]-H$4)</f>
        <v>24946</v>
      </c>
      <c r="D9106" s="1">
        <f>IF(Tabela1[[#This Row],[promien]]&lt;40000,1,0)</f>
        <v>1</v>
      </c>
      <c r="E9106" s="1">
        <f>IF(Tabela1[[#This Row],[promien]]=40000,1,0)</f>
        <v>0</v>
      </c>
      <c r="F9106" s="1">
        <v>3.1429826488029868</v>
      </c>
      <c r="G9106" s="1">
        <v>1.3899952131937177E-3</v>
      </c>
    </row>
    <row r="9107" spans="1:7">
      <c r="A9107">
        <v>95</v>
      </c>
      <c r="B9107">
        <v>215</v>
      </c>
      <c r="C9107" s="1">
        <f>(Tabela1[[#This Row],[x]]-H$3)*(Tabela1[[#This Row],[x]]-H$3) +(Tabela1[[#This Row],[y]]-H$4)*(Tabela1[[#This Row],[y]]-H$4)</f>
        <v>11250</v>
      </c>
      <c r="D9107" s="1">
        <f>IF(Tabela1[[#This Row],[promien]]&lt;40000,1,0)</f>
        <v>1</v>
      </c>
      <c r="E9107" s="1">
        <f>IF(Tabela1[[#This Row],[promien]]=40000,1,0)</f>
        <v>0</v>
      </c>
      <c r="F9107" s="1">
        <v>3.143076754145163</v>
      </c>
      <c r="G9107" s="1">
        <v>1.4841005553698494E-3</v>
      </c>
    </row>
    <row r="9108" spans="1:7">
      <c r="A9108">
        <v>324</v>
      </c>
      <c r="B9108">
        <v>370</v>
      </c>
      <c r="C9108" s="1">
        <f>(Tabela1[[#This Row],[x]]-H$3)*(Tabela1[[#This Row],[x]]-H$3) +(Tabela1[[#This Row],[y]]-H$4)*(Tabela1[[#This Row],[y]]-H$4)</f>
        <v>44276</v>
      </c>
      <c r="D9108" s="1">
        <f>IF(Tabela1[[#This Row],[promien]]&lt;40000,1,0)</f>
        <v>0</v>
      </c>
      <c r="E9108" s="1">
        <f>IF(Tabela1[[#This Row],[promien]]=40000,1,0)</f>
        <v>0</v>
      </c>
      <c r="F9108" s="1">
        <v>3.1427316644707948</v>
      </c>
      <c r="G9108" s="1">
        <v>1.1390108810016564E-3</v>
      </c>
    </row>
    <row r="9109" spans="1:7">
      <c r="A9109">
        <v>10</v>
      </c>
      <c r="B9109">
        <v>52</v>
      </c>
      <c r="C9109" s="1">
        <f>(Tabela1[[#This Row],[x]]-H$3)*(Tabela1[[#This Row],[x]]-H$3) +(Tabela1[[#This Row],[y]]-H$4)*(Tabela1[[#This Row],[y]]-H$4)</f>
        <v>58004</v>
      </c>
      <c r="D9109" s="1">
        <f>IF(Tabela1[[#This Row],[promien]]&lt;40000,1,0)</f>
        <v>0</v>
      </c>
      <c r="E9109" s="1">
        <f>IF(Tabela1[[#This Row],[promien]]=40000,1,0)</f>
        <v>0</v>
      </c>
      <c r="F9109" s="1">
        <v>3.142386650565375</v>
      </c>
      <c r="G9109" s="1">
        <v>7.9399697558191207E-4</v>
      </c>
    </row>
    <row r="9110" spans="1:7">
      <c r="A9110">
        <v>44</v>
      </c>
      <c r="B9110">
        <v>247</v>
      </c>
      <c r="C9110" s="1">
        <f>(Tabela1[[#This Row],[x]]-H$3)*(Tabela1[[#This Row],[x]]-H$3) +(Tabela1[[#This Row],[y]]-H$4)*(Tabela1[[#This Row],[y]]-H$4)</f>
        <v>26545</v>
      </c>
      <c r="D9110" s="1">
        <f>IF(Tabela1[[#This Row],[promien]]&lt;40000,1,0)</f>
        <v>1</v>
      </c>
      <c r="E9110" s="1">
        <f>IF(Tabela1[[#This Row],[promien]]=40000,1,0)</f>
        <v>0</v>
      </c>
      <c r="F9110" s="1">
        <v>3.1424807903402856</v>
      </c>
      <c r="G9110" s="1">
        <v>8.8813675049248531E-4</v>
      </c>
    </row>
    <row r="9111" spans="1:7">
      <c r="A9111">
        <v>65</v>
      </c>
      <c r="B9111">
        <v>268</v>
      </c>
      <c r="C9111" s="1">
        <f>(Tabela1[[#This Row],[x]]-H$3)*(Tabela1[[#This Row],[x]]-H$3) +(Tabela1[[#This Row],[y]]-H$4)*(Tabela1[[#This Row],[y]]-H$4)</f>
        <v>22849</v>
      </c>
      <c r="D9111" s="1">
        <f>IF(Tabela1[[#This Row],[promien]]&lt;40000,1,0)</f>
        <v>1</v>
      </c>
      <c r="E9111" s="1">
        <f>IF(Tabela1[[#This Row],[promien]]=40000,1,0)</f>
        <v>0</v>
      </c>
      <c r="F9111" s="1">
        <v>3.1425749094501154</v>
      </c>
      <c r="G9111" s="1">
        <v>9.8225586032230083E-4</v>
      </c>
    </row>
    <row r="9112" spans="1:7">
      <c r="A9112">
        <v>38</v>
      </c>
      <c r="B9112">
        <v>101</v>
      </c>
      <c r="C9112" s="1">
        <f>(Tabela1[[#This Row],[x]]-H$3)*(Tabela1[[#This Row],[x]]-H$3) +(Tabela1[[#This Row],[y]]-H$4)*(Tabela1[[#This Row],[y]]-H$4)</f>
        <v>36045</v>
      </c>
      <c r="D9112" s="1">
        <f>IF(Tabela1[[#This Row],[promien]]&lt;40000,1,0)</f>
        <v>1</v>
      </c>
      <c r="E9112" s="1">
        <f>IF(Tabela1[[#This Row],[promien]]=40000,1,0)</f>
        <v>0</v>
      </c>
      <c r="F9112" s="1">
        <v>3.1426690079016679</v>
      </c>
      <c r="G9112" s="1">
        <v>1.0763543118748053E-3</v>
      </c>
    </row>
    <row r="9113" spans="1:7">
      <c r="A9113">
        <v>108</v>
      </c>
      <c r="B9113">
        <v>50</v>
      </c>
      <c r="C9113" s="1">
        <f>(Tabela1[[#This Row],[x]]-H$3)*(Tabela1[[#This Row],[x]]-H$3) +(Tabela1[[#This Row],[y]]-H$4)*(Tabela1[[#This Row],[y]]-H$4)</f>
        <v>30964</v>
      </c>
      <c r="D9113" s="1">
        <f>IF(Tabela1[[#This Row],[promien]]&lt;40000,1,0)</f>
        <v>1</v>
      </c>
      <c r="E9113" s="1">
        <f>IF(Tabela1[[#This Row],[promien]]=40000,1,0)</f>
        <v>0</v>
      </c>
      <c r="F9113" s="1">
        <v>3.1427630857017448</v>
      </c>
      <c r="G9113" s="1">
        <v>1.1704321119516692E-3</v>
      </c>
    </row>
    <row r="9114" spans="1:7">
      <c r="A9114">
        <v>287</v>
      </c>
      <c r="B9114">
        <v>101</v>
      </c>
      <c r="C9114" s="1">
        <f>(Tabela1[[#This Row],[x]]-H$3)*(Tabela1[[#This Row],[x]]-H$3) +(Tabela1[[#This Row],[y]]-H$4)*(Tabela1[[#This Row],[y]]-H$4)</f>
        <v>17370</v>
      </c>
      <c r="D9114" s="1">
        <f>IF(Tabela1[[#This Row],[promien]]&lt;40000,1,0)</f>
        <v>1</v>
      </c>
      <c r="E9114" s="1">
        <f>IF(Tabela1[[#This Row],[promien]]=40000,1,0)</f>
        <v>0</v>
      </c>
      <c r="F9114" s="1">
        <v>3.1428571428571428</v>
      </c>
      <c r="G9114" s="1">
        <v>1.2644892673496777E-3</v>
      </c>
    </row>
    <row r="9115" spans="1:7">
      <c r="A9115">
        <v>105</v>
      </c>
      <c r="B9115">
        <v>143</v>
      </c>
      <c r="C9115" s="1">
        <f>(Tabela1[[#This Row],[x]]-H$3)*(Tabela1[[#This Row],[x]]-H$3) +(Tabela1[[#This Row],[y]]-H$4)*(Tabela1[[#This Row],[y]]-H$4)</f>
        <v>12274</v>
      </c>
      <c r="D9115" s="1">
        <f>IF(Tabela1[[#This Row],[promien]]&lt;40000,1,0)</f>
        <v>1</v>
      </c>
      <c r="E9115" s="1">
        <f>IF(Tabela1[[#This Row],[promien]]=40000,1,0)</f>
        <v>0</v>
      </c>
      <c r="F9115" s="1">
        <v>3.142951179374657</v>
      </c>
      <c r="G9115" s="1">
        <v>1.3585257848638399E-3</v>
      </c>
    </row>
    <row r="9116" spans="1:7">
      <c r="A9116">
        <v>363</v>
      </c>
      <c r="B9116">
        <v>399</v>
      </c>
      <c r="C9116" s="1">
        <f>(Tabela1[[#This Row],[x]]-H$3)*(Tabela1[[#This Row],[x]]-H$3) +(Tabela1[[#This Row],[y]]-H$4)*(Tabela1[[#This Row],[y]]-H$4)</f>
        <v>66170</v>
      </c>
      <c r="D9116" s="1">
        <f>IF(Tabela1[[#This Row],[promien]]&lt;40000,1,0)</f>
        <v>0</v>
      </c>
      <c r="E9116" s="1">
        <f>IF(Tabela1[[#This Row],[promien]]=40000,1,0)</f>
        <v>0</v>
      </c>
      <c r="F9116" s="1">
        <v>3.1426064063185608</v>
      </c>
      <c r="G9116" s="1">
        <v>1.0137527287676917E-3</v>
      </c>
    </row>
    <row r="9117" spans="1:7">
      <c r="A9117">
        <v>31</v>
      </c>
      <c r="B9117">
        <v>386</v>
      </c>
      <c r="C9117" s="1">
        <f>(Tabela1[[#This Row],[x]]-H$3)*(Tabela1[[#This Row],[x]]-H$3) +(Tabela1[[#This Row],[y]]-H$4)*(Tabela1[[#This Row],[y]]-H$4)</f>
        <v>63157</v>
      </c>
      <c r="D9117" s="1">
        <f>IF(Tabela1[[#This Row],[promien]]&lt;40000,1,0)</f>
        <v>0</v>
      </c>
      <c r="E9117" s="1">
        <f>IF(Tabela1[[#This Row],[promien]]=40000,1,0)</f>
        <v>0</v>
      </c>
      <c r="F9117" s="1">
        <v>3.1422617088954699</v>
      </c>
      <c r="G9117" s="1">
        <v>6.6905530567673566E-4</v>
      </c>
    </row>
    <row r="9118" spans="1:7">
      <c r="A9118">
        <v>194</v>
      </c>
      <c r="B9118">
        <v>19</v>
      </c>
      <c r="C9118" s="1">
        <f>(Tabela1[[#This Row],[x]]-H$3)*(Tabela1[[#This Row],[x]]-H$3) +(Tabela1[[#This Row],[y]]-H$4)*(Tabela1[[#This Row],[y]]-H$4)</f>
        <v>32797</v>
      </c>
      <c r="D9118" s="1">
        <f>IF(Tabela1[[#This Row],[promien]]&lt;40000,1,0)</f>
        <v>1</v>
      </c>
      <c r="E9118" s="1">
        <f>IF(Tabela1[[#This Row],[promien]]=40000,1,0)</f>
        <v>0</v>
      </c>
      <c r="F9118" s="1">
        <v>3.1423557797762669</v>
      </c>
      <c r="G9118" s="1">
        <v>7.6312618647378372E-4</v>
      </c>
    </row>
    <row r="9119" spans="1:7">
      <c r="A9119">
        <v>263</v>
      </c>
      <c r="B9119">
        <v>343</v>
      </c>
      <c r="C9119" s="1">
        <f>(Tabela1[[#This Row],[x]]-H$3)*(Tabela1[[#This Row],[x]]-H$3) +(Tabela1[[#This Row],[y]]-H$4)*(Tabela1[[#This Row],[y]]-H$4)</f>
        <v>24418</v>
      </c>
      <c r="D9119" s="1">
        <f>IF(Tabela1[[#This Row],[promien]]&lt;40000,1,0)</f>
        <v>1</v>
      </c>
      <c r="E9119" s="1">
        <f>IF(Tabela1[[#This Row],[promien]]=40000,1,0)</f>
        <v>0</v>
      </c>
      <c r="F9119" s="1">
        <v>3.1424498300252219</v>
      </c>
      <c r="G9119" s="1">
        <v>8.5717643542881916E-4</v>
      </c>
    </row>
    <row r="9120" spans="1:7">
      <c r="A9120">
        <v>96</v>
      </c>
      <c r="B9120">
        <v>56</v>
      </c>
      <c r="C9120" s="1">
        <f>(Tabela1[[#This Row],[x]]-H$3)*(Tabela1[[#This Row],[x]]-H$3) +(Tabela1[[#This Row],[y]]-H$4)*(Tabela1[[#This Row],[y]]-H$4)</f>
        <v>31552</v>
      </c>
      <c r="D9120" s="1">
        <f>IF(Tabela1[[#This Row],[promien]]&lt;40000,1,0)</f>
        <v>1</v>
      </c>
      <c r="E9120" s="1">
        <f>IF(Tabela1[[#This Row],[promien]]=40000,1,0)</f>
        <v>0</v>
      </c>
      <c r="F9120" s="1">
        <v>3.1425438596491229</v>
      </c>
      <c r="G9120" s="1">
        <v>9.5120605932974556E-4</v>
      </c>
    </row>
    <row r="9121" spans="1:7">
      <c r="A9121">
        <v>254</v>
      </c>
      <c r="B9121">
        <v>387</v>
      </c>
      <c r="C9121" s="1">
        <f>(Tabela1[[#This Row],[x]]-H$3)*(Tabela1[[#This Row],[x]]-H$3) +(Tabela1[[#This Row],[y]]-H$4)*(Tabela1[[#This Row],[y]]-H$4)</f>
        <v>37885</v>
      </c>
      <c r="D9121" s="1">
        <f>IF(Tabela1[[#This Row],[promien]]&lt;40000,1,0)</f>
        <v>1</v>
      </c>
      <c r="E9121" s="1">
        <f>IF(Tabela1[[#This Row],[promien]]=40000,1,0)</f>
        <v>0</v>
      </c>
      <c r="F9121" s="1">
        <v>3.1426378686547527</v>
      </c>
      <c r="G9121" s="1">
        <v>1.0452150649595815E-3</v>
      </c>
    </row>
    <row r="9122" spans="1:7">
      <c r="A9122">
        <v>308</v>
      </c>
      <c r="B9122">
        <v>116</v>
      </c>
      <c r="C9122" s="1">
        <f>(Tabela1[[#This Row],[x]]-H$3)*(Tabela1[[#This Row],[x]]-H$3) +(Tabela1[[#This Row],[y]]-H$4)*(Tabela1[[#This Row],[y]]-H$4)</f>
        <v>18720</v>
      </c>
      <c r="D9122" s="1">
        <f>IF(Tabela1[[#This Row],[promien]]&lt;40000,1,0)</f>
        <v>1</v>
      </c>
      <c r="E9122" s="1">
        <f>IF(Tabela1[[#This Row],[promien]]=40000,1,0)</f>
        <v>0</v>
      </c>
      <c r="F9122" s="1">
        <v>3.1427318570488927</v>
      </c>
      <c r="G9122" s="1">
        <v>1.1392034590995692E-3</v>
      </c>
    </row>
    <row r="9123" spans="1:7">
      <c r="A9123">
        <v>121</v>
      </c>
      <c r="B9123">
        <v>46</v>
      </c>
      <c r="C9123" s="1">
        <f>(Tabela1[[#This Row],[x]]-H$3)*(Tabela1[[#This Row],[x]]-H$3) +(Tabela1[[#This Row],[y]]-H$4)*(Tabela1[[#This Row],[y]]-H$4)</f>
        <v>29957</v>
      </c>
      <c r="D9123" s="1">
        <f>IF(Tabela1[[#This Row],[promien]]&lt;40000,1,0)</f>
        <v>1</v>
      </c>
      <c r="E9123" s="1">
        <f>IF(Tabela1[[#This Row],[promien]]=40000,1,0)</f>
        <v>0</v>
      </c>
      <c r="F9123" s="1">
        <v>3.1428258248383205</v>
      </c>
      <c r="G9123" s="1">
        <v>1.2331712485273982E-3</v>
      </c>
    </row>
    <row r="9124" spans="1:7">
      <c r="A9124">
        <v>261</v>
      </c>
      <c r="B9124">
        <v>251</v>
      </c>
      <c r="C9124" s="1">
        <f>(Tabela1[[#This Row],[x]]-H$3)*(Tabela1[[#This Row],[x]]-H$3) +(Tabela1[[#This Row],[y]]-H$4)*(Tabela1[[#This Row],[y]]-H$4)</f>
        <v>6322</v>
      </c>
      <c r="D9124" s="1">
        <f>IF(Tabela1[[#This Row],[promien]]&lt;40000,1,0)</f>
        <v>1</v>
      </c>
      <c r="E9124" s="1">
        <f>IF(Tabela1[[#This Row],[promien]]=40000,1,0)</f>
        <v>0</v>
      </c>
      <c r="F9124" s="1">
        <v>3.1429197720298117</v>
      </c>
      <c r="G9124" s="1">
        <v>1.3271184400185376E-3</v>
      </c>
    </row>
    <row r="9125" spans="1:7">
      <c r="A9125">
        <v>221</v>
      </c>
      <c r="B9125">
        <v>258</v>
      </c>
      <c r="C9125" s="1">
        <f>(Tabela1[[#This Row],[x]]-H$3)*(Tabela1[[#This Row],[x]]-H$3) +(Tabela1[[#This Row],[y]]-H$4)*(Tabela1[[#This Row],[y]]-H$4)</f>
        <v>3805</v>
      </c>
      <c r="D9125" s="1">
        <f>IF(Tabela1[[#This Row],[promien]]&lt;40000,1,0)</f>
        <v>1</v>
      </c>
      <c r="E9125" s="1">
        <f>IF(Tabela1[[#This Row],[promien]]=40000,1,0)</f>
        <v>0</v>
      </c>
      <c r="F9125" s="1">
        <v>3.1430136986301371</v>
      </c>
      <c r="G9125" s="1">
        <v>1.4210450403440156E-3</v>
      </c>
    </row>
    <row r="9126" spans="1:7">
      <c r="A9126">
        <v>18</v>
      </c>
      <c r="B9126">
        <v>184</v>
      </c>
      <c r="C9126" s="1">
        <f>(Tabela1[[#This Row],[x]]-H$3)*(Tabela1[[#This Row],[x]]-H$3) +(Tabela1[[#This Row],[y]]-H$4)*(Tabela1[[#This Row],[y]]-H$4)</f>
        <v>33380</v>
      </c>
      <c r="D9126" s="1">
        <f>IF(Tabela1[[#This Row],[promien]]&lt;40000,1,0)</f>
        <v>1</v>
      </c>
      <c r="E9126" s="1">
        <f>IF(Tabela1[[#This Row],[promien]]=40000,1,0)</f>
        <v>0</v>
      </c>
      <c r="F9126" s="1">
        <v>3.1431076046460662</v>
      </c>
      <c r="G9126" s="1">
        <v>1.5149510562730839E-3</v>
      </c>
    </row>
    <row r="9127" spans="1:7">
      <c r="A9127">
        <v>232</v>
      </c>
      <c r="B9127">
        <v>187</v>
      </c>
      <c r="C9127" s="1">
        <f>(Tabela1[[#This Row],[x]]-H$3)*(Tabela1[[#This Row],[x]]-H$3) +(Tabela1[[#This Row],[y]]-H$4)*(Tabela1[[#This Row],[y]]-H$4)</f>
        <v>1193</v>
      </c>
      <c r="D9127" s="1">
        <f>IF(Tabela1[[#This Row],[promien]]&lt;40000,1,0)</f>
        <v>1</v>
      </c>
      <c r="E9127" s="1">
        <f>IF(Tabela1[[#This Row],[promien]]=40000,1,0)</f>
        <v>0</v>
      </c>
      <c r="F9127" s="1">
        <v>3.143201490084365</v>
      </c>
      <c r="G9127" s="1">
        <v>1.6088364945718858E-3</v>
      </c>
    </row>
    <row r="9128" spans="1:7">
      <c r="A9128">
        <v>350</v>
      </c>
      <c r="B9128">
        <v>308</v>
      </c>
      <c r="C9128" s="1">
        <f>(Tabela1[[#This Row],[x]]-H$3)*(Tabela1[[#This Row],[x]]-H$3) +(Tabela1[[#This Row],[y]]-H$4)*(Tabela1[[#This Row],[y]]-H$4)</f>
        <v>34164</v>
      </c>
      <c r="D9128" s="1">
        <f>IF(Tabela1[[#This Row],[promien]]&lt;40000,1,0)</f>
        <v>1</v>
      </c>
      <c r="E9128" s="1">
        <f>IF(Tabela1[[#This Row],[promien]]=40000,1,0)</f>
        <v>0</v>
      </c>
      <c r="F9128" s="1">
        <v>3.1432953549517966</v>
      </c>
      <c r="G9128" s="1">
        <v>1.7027013620034559E-3</v>
      </c>
    </row>
    <row r="9129" spans="1:7">
      <c r="A9129">
        <v>114</v>
      </c>
      <c r="B9129">
        <v>119</v>
      </c>
      <c r="C9129" s="1">
        <f>(Tabela1[[#This Row],[x]]-H$3)*(Tabela1[[#This Row],[x]]-H$3) +(Tabela1[[#This Row],[y]]-H$4)*(Tabela1[[#This Row],[y]]-H$4)</f>
        <v>13957</v>
      </c>
      <c r="D9129" s="1">
        <f>IF(Tabela1[[#This Row],[promien]]&lt;40000,1,0)</f>
        <v>1</v>
      </c>
      <c r="E9129" s="1">
        <f>IF(Tabela1[[#This Row],[promien]]=40000,1,0)</f>
        <v>0</v>
      </c>
      <c r="F9129" s="1">
        <v>3.1433891992551208</v>
      </c>
      <c r="G9129" s="1">
        <v>1.7965456653277201E-3</v>
      </c>
    </row>
    <row r="9130" spans="1:7">
      <c r="A9130">
        <v>139</v>
      </c>
      <c r="B9130">
        <v>230</v>
      </c>
      <c r="C9130" s="1">
        <f>(Tabela1[[#This Row],[x]]-H$3)*(Tabela1[[#This Row],[x]]-H$3) +(Tabela1[[#This Row],[y]]-H$4)*(Tabela1[[#This Row],[y]]-H$4)</f>
        <v>4621</v>
      </c>
      <c r="D9130" s="1">
        <f>IF(Tabela1[[#This Row],[promien]]&lt;40000,1,0)</f>
        <v>1</v>
      </c>
      <c r="E9130" s="1">
        <f>IF(Tabela1[[#This Row],[promien]]=40000,1,0)</f>
        <v>0</v>
      </c>
      <c r="F9130" s="1">
        <v>3.1434830230010955</v>
      </c>
      <c r="G9130" s="1">
        <v>1.8903694113023839E-3</v>
      </c>
    </row>
    <row r="9131" spans="1:7">
      <c r="A9131">
        <v>50</v>
      </c>
      <c r="B9131">
        <v>74</v>
      </c>
      <c r="C9131" s="1">
        <f>(Tabela1[[#This Row],[x]]-H$3)*(Tabela1[[#This Row],[x]]-H$3) +(Tabela1[[#This Row],[y]]-H$4)*(Tabela1[[#This Row],[y]]-H$4)</f>
        <v>38376</v>
      </c>
      <c r="D9131" s="1">
        <f>IF(Tabela1[[#This Row],[promien]]&lt;40000,1,0)</f>
        <v>1</v>
      </c>
      <c r="E9131" s="1">
        <f>IF(Tabela1[[#This Row],[promien]]=40000,1,0)</f>
        <v>0</v>
      </c>
      <c r="F9131" s="1">
        <v>3.1435768261964734</v>
      </c>
      <c r="G9131" s="1">
        <v>1.9841726066802678E-3</v>
      </c>
    </row>
    <row r="9132" spans="1:7">
      <c r="A9132">
        <v>87</v>
      </c>
      <c r="B9132">
        <v>132</v>
      </c>
      <c r="C9132" s="1">
        <f>(Tabela1[[#This Row],[x]]-H$3)*(Tabela1[[#This Row],[x]]-H$3) +(Tabela1[[#This Row],[y]]-H$4)*(Tabela1[[#This Row],[y]]-H$4)</f>
        <v>17393</v>
      </c>
      <c r="D9132" s="1">
        <f>IF(Tabela1[[#This Row],[promien]]&lt;40000,1,0)</f>
        <v>1</v>
      </c>
      <c r="E9132" s="1">
        <f>IF(Tabela1[[#This Row],[promien]]=40000,1,0)</f>
        <v>0</v>
      </c>
      <c r="F9132" s="1">
        <v>3.1436706088480069</v>
      </c>
      <c r="G9132" s="1">
        <v>2.0779552582137484E-3</v>
      </c>
    </row>
    <row r="9133" spans="1:7">
      <c r="A9133">
        <v>64</v>
      </c>
      <c r="B9133">
        <v>198</v>
      </c>
      <c r="C9133" s="1">
        <f>(Tabela1[[#This Row],[x]]-H$3)*(Tabela1[[#This Row],[x]]-H$3) +(Tabela1[[#This Row],[y]]-H$4)*(Tabela1[[#This Row],[y]]-H$4)</f>
        <v>18500</v>
      </c>
      <c r="D9133" s="1">
        <f>IF(Tabela1[[#This Row],[promien]]&lt;40000,1,0)</f>
        <v>1</v>
      </c>
      <c r="E9133" s="1">
        <f>IF(Tabela1[[#This Row],[promien]]=40000,1,0)</f>
        <v>0</v>
      </c>
      <c r="F9133" s="1">
        <v>3.1437643709624439</v>
      </c>
      <c r="G9133" s="1">
        <v>2.171717372650761E-3</v>
      </c>
    </row>
    <row r="9134" spans="1:7">
      <c r="A9134">
        <v>364</v>
      </c>
      <c r="B9134">
        <v>62</v>
      </c>
      <c r="C9134" s="1">
        <f>(Tabela1[[#This Row],[x]]-H$3)*(Tabela1[[#This Row],[x]]-H$3) +(Tabela1[[#This Row],[y]]-H$4)*(Tabela1[[#This Row],[y]]-H$4)</f>
        <v>45940</v>
      </c>
      <c r="D9134" s="1">
        <f>IF(Tabela1[[#This Row],[promien]]&lt;40000,1,0)</f>
        <v>0</v>
      </c>
      <c r="E9134" s="1">
        <f>IF(Tabela1[[#This Row],[promien]]=40000,1,0)</f>
        <v>0</v>
      </c>
      <c r="F9134" s="1">
        <v>3.1434201883074229</v>
      </c>
      <c r="G9134" s="1">
        <v>1.8275347176297529E-3</v>
      </c>
    </row>
    <row r="9135" spans="1:7">
      <c r="A9135">
        <v>163</v>
      </c>
      <c r="B9135">
        <v>136</v>
      </c>
      <c r="C9135" s="1">
        <f>(Tabela1[[#This Row],[x]]-H$3)*(Tabela1[[#This Row],[x]]-H$3) +(Tabela1[[#This Row],[y]]-H$4)*(Tabela1[[#This Row],[y]]-H$4)</f>
        <v>5465</v>
      </c>
      <c r="D9135" s="1">
        <f>IF(Tabela1[[#This Row],[promien]]&lt;40000,1,0)</f>
        <v>1</v>
      </c>
      <c r="E9135" s="1">
        <f>IF(Tabela1[[#This Row],[promien]]=40000,1,0)</f>
        <v>0</v>
      </c>
      <c r="F9135" s="1">
        <v>3.1435139573070607</v>
      </c>
      <c r="G9135" s="1">
        <v>1.9213037172676195E-3</v>
      </c>
    </row>
    <row r="9136" spans="1:7">
      <c r="A9136">
        <v>381</v>
      </c>
      <c r="B9136">
        <v>137</v>
      </c>
      <c r="C9136" s="1">
        <f>(Tabela1[[#This Row],[x]]-H$3)*(Tabela1[[#This Row],[x]]-H$3) +(Tabela1[[#This Row],[y]]-H$4)*(Tabela1[[#This Row],[y]]-H$4)</f>
        <v>36730</v>
      </c>
      <c r="D9136" s="1">
        <f>IF(Tabela1[[#This Row],[promien]]&lt;40000,1,0)</f>
        <v>1</v>
      </c>
      <c r="E9136" s="1">
        <f>IF(Tabela1[[#This Row],[promien]]=40000,1,0)</f>
        <v>0</v>
      </c>
      <c r="F9136" s="1">
        <v>3.1436077057793343</v>
      </c>
      <c r="G9136" s="1">
        <v>2.0150521895412332E-3</v>
      </c>
    </row>
    <row r="9137" spans="1:7">
      <c r="A9137">
        <v>251</v>
      </c>
      <c r="B9137">
        <v>154</v>
      </c>
      <c r="C9137" s="1">
        <f>(Tabela1[[#This Row],[x]]-H$3)*(Tabela1[[#This Row],[x]]-H$3) +(Tabela1[[#This Row],[y]]-H$4)*(Tabela1[[#This Row],[y]]-H$4)</f>
        <v>4717</v>
      </c>
      <c r="D9137" s="1">
        <f>IF(Tabela1[[#This Row],[promien]]&lt;40000,1,0)</f>
        <v>1</v>
      </c>
      <c r="E9137" s="1">
        <f>IF(Tabela1[[#This Row],[promien]]=40000,1,0)</f>
        <v>0</v>
      </c>
      <c r="F9137" s="1">
        <v>3.1437014337309841</v>
      </c>
      <c r="G9137" s="1">
        <v>2.1087801411909801E-3</v>
      </c>
    </row>
    <row r="9138" spans="1:7">
      <c r="A9138">
        <v>51</v>
      </c>
      <c r="B9138">
        <v>331</v>
      </c>
      <c r="C9138" s="1">
        <f>(Tabela1[[#This Row],[x]]-H$3)*(Tabela1[[#This Row],[x]]-H$3) +(Tabela1[[#This Row],[y]]-H$4)*(Tabela1[[#This Row],[y]]-H$4)</f>
        <v>39362</v>
      </c>
      <c r="D9138" s="1">
        <f>IF(Tabela1[[#This Row],[promien]]&lt;40000,1,0)</f>
        <v>1</v>
      </c>
      <c r="E9138" s="1">
        <f>IF(Tabela1[[#This Row],[promien]]=40000,1,0)</f>
        <v>0</v>
      </c>
      <c r="F9138" s="1">
        <v>3.1437951411687459</v>
      </c>
      <c r="G9138" s="1">
        <v>2.2024875789528053E-3</v>
      </c>
    </row>
    <row r="9139" spans="1:7">
      <c r="A9139">
        <v>115</v>
      </c>
      <c r="B9139">
        <v>103</v>
      </c>
      <c r="C9139" s="1">
        <f>(Tabela1[[#This Row],[x]]-H$3)*(Tabela1[[#This Row],[x]]-H$3) +(Tabela1[[#This Row],[y]]-H$4)*(Tabela1[[#This Row],[y]]-H$4)</f>
        <v>16634</v>
      </c>
      <c r="D9139" s="1">
        <f>IF(Tabela1[[#This Row],[promien]]&lt;40000,1,0)</f>
        <v>1</v>
      </c>
      <c r="E9139" s="1">
        <f>IF(Tabela1[[#This Row],[promien]]=40000,1,0)</f>
        <v>0</v>
      </c>
      <c r="F9139" s="1">
        <v>3.1438888280993544</v>
      </c>
      <c r="G9139" s="1">
        <v>2.2961745095613217E-3</v>
      </c>
    </row>
    <row r="9140" spans="1:7">
      <c r="A9140">
        <v>143</v>
      </c>
      <c r="B9140">
        <v>258</v>
      </c>
      <c r="C9140" s="1">
        <f>(Tabela1[[#This Row],[x]]-H$3)*(Tabela1[[#This Row],[x]]-H$3) +(Tabela1[[#This Row],[y]]-H$4)*(Tabela1[[#This Row],[y]]-H$4)</f>
        <v>6613</v>
      </c>
      <c r="D9140" s="1">
        <f>IF(Tabela1[[#This Row],[promien]]&lt;40000,1,0)</f>
        <v>1</v>
      </c>
      <c r="E9140" s="1">
        <f>IF(Tabela1[[#This Row],[promien]]=40000,1,0)</f>
        <v>0</v>
      </c>
      <c r="F9140" s="1">
        <v>3.1439824945295403</v>
      </c>
      <c r="G9140" s="1">
        <v>2.3898409397471454E-3</v>
      </c>
    </row>
    <row r="9141" spans="1:7">
      <c r="A9141">
        <v>147</v>
      </c>
      <c r="B9141">
        <v>77</v>
      </c>
      <c r="C9141" s="1">
        <f>(Tabela1[[#This Row],[x]]-H$3)*(Tabela1[[#This Row],[x]]-H$3) +(Tabela1[[#This Row],[y]]-H$4)*(Tabela1[[#This Row],[y]]-H$4)</f>
        <v>17938</v>
      </c>
      <c r="D9141" s="1">
        <f>IF(Tabela1[[#This Row],[promien]]&lt;40000,1,0)</f>
        <v>1</v>
      </c>
      <c r="E9141" s="1">
        <f>IF(Tabela1[[#This Row],[promien]]=40000,1,0)</f>
        <v>0</v>
      </c>
      <c r="F9141" s="1">
        <v>3.1440761404660322</v>
      </c>
      <c r="G9141" s="1">
        <v>2.483486876239116E-3</v>
      </c>
    </row>
    <row r="9142" spans="1:7">
      <c r="A9142">
        <v>50</v>
      </c>
      <c r="B9142">
        <v>375</v>
      </c>
      <c r="C9142" s="1">
        <f>(Tabela1[[#This Row],[x]]-H$3)*(Tabela1[[#This Row],[x]]-H$3) +(Tabela1[[#This Row],[y]]-H$4)*(Tabela1[[#This Row],[y]]-H$4)</f>
        <v>53125</v>
      </c>
      <c r="D9142" s="1">
        <f>IF(Tabela1[[#This Row],[promien]]&lt;40000,1,0)</f>
        <v>0</v>
      </c>
      <c r="E9142" s="1">
        <f>IF(Tabela1[[#This Row],[promien]]=40000,1,0)</f>
        <v>0</v>
      </c>
      <c r="F9142" s="1">
        <v>3.1437322248960839</v>
      </c>
      <c r="G9142" s="1">
        <v>2.1395713062908328E-3</v>
      </c>
    </row>
    <row r="9143" spans="1:7">
      <c r="A9143">
        <v>228</v>
      </c>
      <c r="B9143">
        <v>80</v>
      </c>
      <c r="C9143" s="1">
        <f>(Tabela1[[#This Row],[x]]-H$3)*(Tabela1[[#This Row],[x]]-H$3) +(Tabela1[[#This Row],[y]]-H$4)*(Tabela1[[#This Row],[y]]-H$4)</f>
        <v>15184</v>
      </c>
      <c r="D9143" s="1">
        <f>IF(Tabela1[[#This Row],[promien]]&lt;40000,1,0)</f>
        <v>1</v>
      </c>
      <c r="E9143" s="1">
        <f>IF(Tabela1[[#This Row],[promien]]=40000,1,0)</f>
        <v>0</v>
      </c>
      <c r="F9143" s="1">
        <v>3.1438258777206607</v>
      </c>
      <c r="G9143" s="1">
        <v>2.2332241308675727E-3</v>
      </c>
    </row>
    <row r="9144" spans="1:7">
      <c r="A9144">
        <v>11</v>
      </c>
      <c r="B9144">
        <v>379</v>
      </c>
      <c r="C9144" s="1">
        <f>(Tabela1[[#This Row],[x]]-H$3)*(Tabela1[[#This Row],[x]]-H$3) +(Tabela1[[#This Row],[y]]-H$4)*(Tabela1[[#This Row],[y]]-H$4)</f>
        <v>67762</v>
      </c>
      <c r="D9144" s="1">
        <f>IF(Tabela1[[#This Row],[promien]]&lt;40000,1,0)</f>
        <v>0</v>
      </c>
      <c r="E9144" s="1">
        <f>IF(Tabela1[[#This Row],[promien]]=40000,1,0)</f>
        <v>0</v>
      </c>
      <c r="F9144" s="1">
        <v>3.1434820647419071</v>
      </c>
      <c r="G9144" s="1">
        <v>1.8894111521139401E-3</v>
      </c>
    </row>
    <row r="9145" spans="1:7">
      <c r="A9145">
        <v>49</v>
      </c>
      <c r="B9145">
        <v>138</v>
      </c>
      <c r="C9145" s="1">
        <f>(Tabela1[[#This Row],[x]]-H$3)*(Tabela1[[#This Row],[x]]-H$3) +(Tabela1[[#This Row],[y]]-H$4)*(Tabela1[[#This Row],[y]]-H$4)</f>
        <v>26645</v>
      </c>
      <c r="D9145" s="1">
        <f>IF(Tabela1[[#This Row],[promien]]&lt;40000,1,0)</f>
        <v>1</v>
      </c>
      <c r="E9145" s="1">
        <f>IF(Tabela1[[#This Row],[promien]]=40000,1,0)</f>
        <v>0</v>
      </c>
      <c r="F9145" s="1">
        <v>3.1435757244395846</v>
      </c>
      <c r="G9145" s="1">
        <v>1.9830708497914351E-3</v>
      </c>
    </row>
    <row r="9146" spans="1:7">
      <c r="A9146">
        <v>170</v>
      </c>
      <c r="B9146">
        <v>39</v>
      </c>
      <c r="C9146" s="1">
        <f>(Tabela1[[#This Row],[x]]-H$3)*(Tabela1[[#This Row],[x]]-H$3) +(Tabela1[[#This Row],[y]]-H$4)*(Tabela1[[#This Row],[y]]-H$4)</f>
        <v>26821</v>
      </c>
      <c r="D9146" s="1">
        <f>IF(Tabela1[[#This Row],[promien]]&lt;40000,1,0)</f>
        <v>1</v>
      </c>
      <c r="E9146" s="1">
        <f>IF(Tabela1[[#This Row],[promien]]=40000,1,0)</f>
        <v>0</v>
      </c>
      <c r="F9146" s="1">
        <v>3.1436693636562434</v>
      </c>
      <c r="G9146" s="1">
        <v>2.0767100664502713E-3</v>
      </c>
    </row>
    <row r="9147" spans="1:7">
      <c r="A9147">
        <v>392</v>
      </c>
      <c r="B9147">
        <v>324</v>
      </c>
      <c r="C9147" s="1">
        <f>(Tabela1[[#This Row],[x]]-H$3)*(Tabela1[[#This Row],[x]]-H$3) +(Tabela1[[#This Row],[y]]-H$4)*(Tabela1[[#This Row],[y]]-H$4)</f>
        <v>52240</v>
      </c>
      <c r="D9147" s="1">
        <f>IF(Tabela1[[#This Row],[promien]]&lt;40000,1,0)</f>
        <v>0</v>
      </c>
      <c r="E9147" s="1">
        <f>IF(Tabela1[[#This Row],[promien]]=40000,1,0)</f>
        <v>0</v>
      </c>
      <c r="F9147" s="1">
        <v>3.1433256805510004</v>
      </c>
      <c r="G9147" s="1">
        <v>1.7330269612072513E-3</v>
      </c>
    </row>
    <row r="9148" spans="1:7">
      <c r="A9148">
        <v>82</v>
      </c>
      <c r="B9148">
        <v>370</v>
      </c>
      <c r="C9148" s="1">
        <f>(Tabela1[[#This Row],[x]]-H$3)*(Tabela1[[#This Row],[x]]-H$3) +(Tabela1[[#This Row],[y]]-H$4)*(Tabela1[[#This Row],[y]]-H$4)</f>
        <v>42824</v>
      </c>
      <c r="D9148" s="1">
        <f>IF(Tabela1[[#This Row],[promien]]&lt;40000,1,0)</f>
        <v>0</v>
      </c>
      <c r="E9148" s="1">
        <f>IF(Tabela1[[#This Row],[promien]]=40000,1,0)</f>
        <v>0</v>
      </c>
      <c r="F9148" s="1">
        <v>3.1429820725841715</v>
      </c>
      <c r="G9148" s="1">
        <v>1.3894189943783886E-3</v>
      </c>
    </row>
    <row r="9149" spans="1:7">
      <c r="A9149">
        <v>85</v>
      </c>
      <c r="B9149">
        <v>137</v>
      </c>
      <c r="C9149" s="1">
        <f>(Tabela1[[#This Row],[x]]-H$3)*(Tabela1[[#This Row],[x]]-H$3) +(Tabela1[[#This Row],[y]]-H$4)*(Tabela1[[#This Row],[y]]-H$4)</f>
        <v>17194</v>
      </c>
      <c r="D9149" s="1">
        <f>IF(Tabela1[[#This Row],[promien]]&lt;40000,1,0)</f>
        <v>1</v>
      </c>
      <c r="E9149" s="1">
        <f>IF(Tabela1[[#This Row],[promien]]=40000,1,0)</f>
        <v>0</v>
      </c>
      <c r="F9149" s="1">
        <v>3.1430757459831677</v>
      </c>
      <c r="G9149" s="1">
        <v>1.4830923933746298E-3</v>
      </c>
    </row>
    <row r="9150" spans="1:7">
      <c r="A9150">
        <v>233</v>
      </c>
      <c r="B9150">
        <v>76</v>
      </c>
      <c r="C9150" s="1">
        <f>(Tabela1[[#This Row],[x]]-H$3)*(Tabela1[[#This Row],[x]]-H$3) +(Tabela1[[#This Row],[y]]-H$4)*(Tabela1[[#This Row],[y]]-H$4)</f>
        <v>16465</v>
      </c>
      <c r="D9150" s="1">
        <f>IF(Tabela1[[#This Row],[promien]]&lt;40000,1,0)</f>
        <v>1</v>
      </c>
      <c r="E9150" s="1">
        <f>IF(Tabela1[[#This Row],[promien]]=40000,1,0)</f>
        <v>0</v>
      </c>
      <c r="F9150" s="1">
        <v>3.1431693989071037</v>
      </c>
      <c r="G9150" s="1">
        <v>1.5767453173105572E-3</v>
      </c>
    </row>
    <row r="9151" spans="1:7">
      <c r="A9151">
        <v>328</v>
      </c>
      <c r="B9151">
        <v>328</v>
      </c>
      <c r="C9151" s="1">
        <f>(Tabela1[[#This Row],[x]]-H$3)*(Tabela1[[#This Row],[x]]-H$3) +(Tabela1[[#This Row],[y]]-H$4)*(Tabela1[[#This Row],[y]]-H$4)</f>
        <v>32768</v>
      </c>
      <c r="D9151" s="1">
        <f>IF(Tabela1[[#This Row],[promien]]&lt;40000,1,0)</f>
        <v>1</v>
      </c>
      <c r="E9151" s="1">
        <f>IF(Tabela1[[#This Row],[promien]]=40000,1,0)</f>
        <v>0</v>
      </c>
      <c r="F9151" s="1">
        <v>3.1432630313626926</v>
      </c>
      <c r="G9151" s="1">
        <v>1.6703777728994673E-3</v>
      </c>
    </row>
    <row r="9152" spans="1:7">
      <c r="A9152">
        <v>95</v>
      </c>
      <c r="B9152">
        <v>195</v>
      </c>
      <c r="C9152" s="1">
        <f>(Tabela1[[#This Row],[x]]-H$3)*(Tabela1[[#This Row],[x]]-H$3) +(Tabela1[[#This Row],[y]]-H$4)*(Tabela1[[#This Row],[y]]-H$4)</f>
        <v>11050</v>
      </c>
      <c r="D9152" s="1">
        <f>IF(Tabela1[[#This Row],[promien]]&lt;40000,1,0)</f>
        <v>1</v>
      </c>
      <c r="E9152" s="1">
        <f>IF(Tabela1[[#This Row],[promien]]=40000,1,0)</f>
        <v>0</v>
      </c>
      <c r="F9152" s="1">
        <v>3.1433566433566433</v>
      </c>
      <c r="G9152" s="1">
        <v>1.7639897668502158E-3</v>
      </c>
    </row>
    <row r="9153" spans="1:7">
      <c r="A9153">
        <v>350</v>
      </c>
      <c r="B9153">
        <v>16</v>
      </c>
      <c r="C9153" s="1">
        <f>(Tabela1[[#This Row],[x]]-H$3)*(Tabela1[[#This Row],[x]]-H$3) +(Tabela1[[#This Row],[y]]-H$4)*(Tabela1[[#This Row],[y]]-H$4)</f>
        <v>56356</v>
      </c>
      <c r="D9153" s="1">
        <f>IF(Tabela1[[#This Row],[promien]]&lt;40000,1,0)</f>
        <v>0</v>
      </c>
      <c r="E9153" s="1">
        <f>IF(Tabela1[[#This Row],[promien]]=40000,1,0)</f>
        <v>0</v>
      </c>
      <c r="F9153" s="1">
        <v>3.1430132197093847</v>
      </c>
      <c r="G9153" s="1">
        <v>1.4205661195916264E-3</v>
      </c>
    </row>
    <row r="9154" spans="1:7">
      <c r="A9154">
        <v>69</v>
      </c>
      <c r="B9154">
        <v>27</v>
      </c>
      <c r="C9154" s="1">
        <f>(Tabela1[[#This Row],[x]]-H$3)*(Tabela1[[#This Row],[x]]-H$3) +(Tabela1[[#This Row],[y]]-H$4)*(Tabela1[[#This Row],[y]]-H$4)</f>
        <v>47090</v>
      </c>
      <c r="D9154" s="1">
        <f>IF(Tabela1[[#This Row],[promien]]&lt;40000,1,0)</f>
        <v>0</v>
      </c>
      <c r="E9154" s="1">
        <f>IF(Tabela1[[#This Row],[promien]]=40000,1,0)</f>
        <v>0</v>
      </c>
      <c r="F9154" s="1">
        <v>3.1426698710946033</v>
      </c>
      <c r="G9154" s="1">
        <v>1.0772175048101573E-3</v>
      </c>
    </row>
    <row r="9155" spans="1:7">
      <c r="A9155">
        <v>400</v>
      </c>
      <c r="B9155">
        <v>156</v>
      </c>
      <c r="C9155" s="1">
        <f>(Tabela1[[#This Row],[x]]-H$3)*(Tabela1[[#This Row],[x]]-H$3) +(Tabela1[[#This Row],[y]]-H$4)*(Tabela1[[#This Row],[y]]-H$4)</f>
        <v>41936</v>
      </c>
      <c r="D9155" s="1">
        <f>IF(Tabela1[[#This Row],[promien]]&lt;40000,1,0)</f>
        <v>0</v>
      </c>
      <c r="E9155" s="1">
        <f>IF(Tabela1[[#This Row],[promien]]=40000,1,0)</f>
        <v>0</v>
      </c>
      <c r="F9155" s="1">
        <v>3.1423265974877115</v>
      </c>
      <c r="G9155" s="1">
        <v>7.3394389791836545E-4</v>
      </c>
    </row>
    <row r="9156" spans="1:7">
      <c r="A9156">
        <v>227</v>
      </c>
      <c r="B9156">
        <v>49</v>
      </c>
      <c r="C9156" s="1">
        <f>(Tabela1[[#This Row],[x]]-H$3)*(Tabela1[[#This Row],[x]]-H$3) +(Tabela1[[#This Row],[y]]-H$4)*(Tabela1[[#This Row],[y]]-H$4)</f>
        <v>23530</v>
      </c>
      <c r="D9156" s="1">
        <f>IF(Tabela1[[#This Row],[promien]]&lt;40000,1,0)</f>
        <v>1</v>
      </c>
      <c r="E9156" s="1">
        <f>IF(Tabela1[[#This Row],[promien]]=40000,1,0)</f>
        <v>0</v>
      </c>
      <c r="F9156" s="1">
        <v>3.1424202708606379</v>
      </c>
      <c r="G9156" s="1">
        <v>8.2761727084479375E-4</v>
      </c>
    </row>
    <row r="9157" spans="1:7">
      <c r="A9157">
        <v>93</v>
      </c>
      <c r="B9157">
        <v>114</v>
      </c>
      <c r="C9157" s="1">
        <f>(Tabela1[[#This Row],[x]]-H$3)*(Tabela1[[#This Row],[x]]-H$3) +(Tabela1[[#This Row],[y]]-H$4)*(Tabela1[[#This Row],[y]]-H$4)</f>
        <v>18845</v>
      </c>
      <c r="D9157" s="1">
        <f>IF(Tabela1[[#This Row],[promien]]&lt;40000,1,0)</f>
        <v>1</v>
      </c>
      <c r="E9157" s="1">
        <f>IF(Tabela1[[#This Row],[promien]]=40000,1,0)</f>
        <v>0</v>
      </c>
      <c r="F9157" s="1">
        <v>3.1425139237741617</v>
      </c>
      <c r="G9157" s="1">
        <v>9.2127018436860553E-4</v>
      </c>
    </row>
    <row r="9158" spans="1:7">
      <c r="A9158">
        <v>302</v>
      </c>
      <c r="B9158">
        <v>7</v>
      </c>
      <c r="C9158" s="1">
        <f>(Tabela1[[#This Row],[x]]-H$3)*(Tabela1[[#This Row],[x]]-H$3) +(Tabela1[[#This Row],[y]]-H$4)*(Tabela1[[#This Row],[y]]-H$4)</f>
        <v>47653</v>
      </c>
      <c r="D9158" s="1">
        <f>IF(Tabela1[[#This Row],[promien]]&lt;40000,1,0)</f>
        <v>0</v>
      </c>
      <c r="E9158" s="1">
        <f>IF(Tabela1[[#This Row],[promien]]=40000,1,0)</f>
        <v>0</v>
      </c>
      <c r="F9158" s="1">
        <v>3.1421707796462108</v>
      </c>
      <c r="G9158" s="1">
        <v>5.7812605641771597E-4</v>
      </c>
    </row>
    <row r="9159" spans="1:7">
      <c r="A9159">
        <v>330</v>
      </c>
      <c r="B9159">
        <v>154</v>
      </c>
      <c r="C9159" s="1">
        <f>(Tabela1[[#This Row],[x]]-H$3)*(Tabela1[[#This Row],[x]]-H$3) +(Tabela1[[#This Row],[y]]-H$4)*(Tabela1[[#This Row],[y]]-H$4)</f>
        <v>19016</v>
      </c>
      <c r="D9159" s="1">
        <f>IF(Tabela1[[#This Row],[promien]]&lt;40000,1,0)</f>
        <v>1</v>
      </c>
      <c r="E9159" s="1">
        <f>IF(Tabela1[[#This Row],[promien]]=40000,1,0)</f>
        <v>0</v>
      </c>
      <c r="F9159" s="1">
        <v>3.1422644393492738</v>
      </c>
      <c r="G9159" s="1">
        <v>6.7178575948068087E-4</v>
      </c>
    </row>
    <row r="9160" spans="1:7">
      <c r="A9160">
        <v>38</v>
      </c>
      <c r="B9160">
        <v>247</v>
      </c>
      <c r="C9160" s="1">
        <f>(Tabela1[[#This Row],[x]]-H$3)*(Tabela1[[#This Row],[x]]-H$3) +(Tabela1[[#This Row],[y]]-H$4)*(Tabela1[[#This Row],[y]]-H$4)</f>
        <v>28453</v>
      </c>
      <c r="D9160" s="1">
        <f>IF(Tabela1[[#This Row],[promien]]&lt;40000,1,0)</f>
        <v>1</v>
      </c>
      <c r="E9160" s="1">
        <f>IF(Tabela1[[#This Row],[promien]]=40000,1,0)</f>
        <v>0</v>
      </c>
      <c r="F9160" s="1">
        <v>3.1423580786026202</v>
      </c>
      <c r="G9160" s="1">
        <v>7.6542501282705899E-4</v>
      </c>
    </row>
    <row r="9161" spans="1:7">
      <c r="A9161">
        <v>223</v>
      </c>
      <c r="B9161">
        <v>158</v>
      </c>
      <c r="C9161" s="1">
        <f>(Tabela1[[#This Row],[x]]-H$3)*(Tabela1[[#This Row],[x]]-H$3) +(Tabela1[[#This Row],[y]]-H$4)*(Tabela1[[#This Row],[y]]-H$4)</f>
        <v>2293</v>
      </c>
      <c r="D9161" s="1">
        <f>IF(Tabela1[[#This Row],[promien]]&lt;40000,1,0)</f>
        <v>1</v>
      </c>
      <c r="E9161" s="1">
        <f>IF(Tabela1[[#This Row],[promien]]=40000,1,0)</f>
        <v>0</v>
      </c>
      <c r="F9161" s="1">
        <v>3.1424516974129464</v>
      </c>
      <c r="G9161" s="1">
        <v>8.5904382315327155E-4</v>
      </c>
    </row>
    <row r="9162" spans="1:7">
      <c r="A9162">
        <v>10</v>
      </c>
      <c r="B9162">
        <v>336</v>
      </c>
      <c r="C9162" s="1">
        <f>(Tabela1[[#This Row],[x]]-H$3)*(Tabela1[[#This Row],[x]]-H$3) +(Tabela1[[#This Row],[y]]-H$4)*(Tabela1[[#This Row],[y]]-H$4)</f>
        <v>54596</v>
      </c>
      <c r="D9162" s="1">
        <f>IF(Tabela1[[#This Row],[promien]]&lt;40000,1,0)</f>
        <v>0</v>
      </c>
      <c r="E9162" s="1">
        <f>IF(Tabela1[[#This Row],[promien]]=40000,1,0)</f>
        <v>0</v>
      </c>
      <c r="F9162" s="1">
        <v>3.1421087098886704</v>
      </c>
      <c r="G9162" s="1">
        <v>5.1605629887729876E-4</v>
      </c>
    </row>
    <row r="9163" spans="1:7">
      <c r="A9163">
        <v>2</v>
      </c>
      <c r="B9163">
        <v>160</v>
      </c>
      <c r="C9163" s="1">
        <f>(Tabela1[[#This Row],[x]]-H$3)*(Tabela1[[#This Row],[x]]-H$3) +(Tabela1[[#This Row],[y]]-H$4)*(Tabela1[[#This Row],[y]]-H$4)</f>
        <v>40804</v>
      </c>
      <c r="D9163" s="1">
        <f>IF(Tabela1[[#This Row],[promien]]&lt;40000,1,0)</f>
        <v>0</v>
      </c>
      <c r="E9163" s="1">
        <f>IF(Tabela1[[#This Row],[promien]]=40000,1,0)</f>
        <v>0</v>
      </c>
      <c r="F9163" s="1">
        <v>3.1417657972279822</v>
      </c>
      <c r="G9163" s="1">
        <v>1.7314363818909939E-4</v>
      </c>
    </row>
    <row r="9164" spans="1:7">
      <c r="A9164">
        <v>23</v>
      </c>
      <c r="B9164">
        <v>382</v>
      </c>
      <c r="C9164" s="1">
        <f>(Tabela1[[#This Row],[x]]-H$3)*(Tabela1[[#This Row],[x]]-H$3) +(Tabela1[[#This Row],[y]]-H$4)*(Tabela1[[#This Row],[y]]-H$4)</f>
        <v>64453</v>
      </c>
      <c r="D9164" s="1">
        <f>IF(Tabela1[[#This Row],[promien]]&lt;40000,1,0)</f>
        <v>0</v>
      </c>
      <c r="E9164" s="1">
        <f>IF(Tabela1[[#This Row],[promien]]=40000,1,0)</f>
        <v>0</v>
      </c>
      <c r="F9164" s="1">
        <v>3.141422959406373</v>
      </c>
      <c r="G9164" s="1">
        <v>1.6969418342016596E-4</v>
      </c>
    </row>
    <row r="9165" spans="1:7">
      <c r="A9165">
        <v>16</v>
      </c>
      <c r="B9165">
        <v>116</v>
      </c>
      <c r="C9165" s="1">
        <f>(Tabela1[[#This Row],[x]]-H$3)*(Tabela1[[#This Row],[x]]-H$3) +(Tabela1[[#This Row],[y]]-H$4)*(Tabela1[[#This Row],[y]]-H$4)</f>
        <v>40912</v>
      </c>
      <c r="D9165" s="1">
        <f>IF(Tabela1[[#This Row],[promien]]&lt;40000,1,0)</f>
        <v>0</v>
      </c>
      <c r="E9165" s="1">
        <f>IF(Tabela1[[#This Row],[promien]]=40000,1,0)</f>
        <v>0</v>
      </c>
      <c r="F9165" s="1">
        <v>3.1410801963993453</v>
      </c>
      <c r="G9165" s="1">
        <v>5.1245719044779037E-4</v>
      </c>
    </row>
    <row r="9166" spans="1:7">
      <c r="A9166">
        <v>106</v>
      </c>
      <c r="B9166">
        <v>234</v>
      </c>
      <c r="C9166" s="1">
        <f>(Tabela1[[#This Row],[x]]-H$3)*(Tabela1[[#This Row],[x]]-H$3) +(Tabela1[[#This Row],[y]]-H$4)*(Tabela1[[#This Row],[y]]-H$4)</f>
        <v>9992</v>
      </c>
      <c r="D9166" s="1">
        <f>IF(Tabela1[[#This Row],[promien]]&lt;40000,1,0)</f>
        <v>1</v>
      </c>
      <c r="E9166" s="1">
        <f>IF(Tabela1[[#This Row],[promien]]=40000,1,0)</f>
        <v>0</v>
      </c>
      <c r="F9166" s="1">
        <v>3.1411739035566222</v>
      </c>
      <c r="G9166" s="1">
        <v>4.1875003317093373E-4</v>
      </c>
    </row>
    <row r="9167" spans="1:7">
      <c r="A9167">
        <v>259</v>
      </c>
      <c r="B9167">
        <v>202</v>
      </c>
      <c r="C9167" s="1">
        <f>(Tabela1[[#This Row],[x]]-H$3)*(Tabela1[[#This Row],[x]]-H$3) +(Tabela1[[#This Row],[y]]-H$4)*(Tabela1[[#This Row],[y]]-H$4)</f>
        <v>3485</v>
      </c>
      <c r="D9167" s="1">
        <f>IF(Tabela1[[#This Row],[promien]]&lt;40000,1,0)</f>
        <v>1</v>
      </c>
      <c r="E9167" s="1">
        <f>IF(Tabela1[[#This Row],[promien]]=40000,1,0)</f>
        <v>0</v>
      </c>
      <c r="F9167" s="1">
        <v>3.1412675902694449</v>
      </c>
      <c r="G9167" s="1">
        <v>3.2506332034820673E-4</v>
      </c>
    </row>
    <row r="9168" spans="1:7">
      <c r="A9168">
        <v>202</v>
      </c>
      <c r="B9168">
        <v>10</v>
      </c>
      <c r="C9168" s="1">
        <f>(Tabela1[[#This Row],[x]]-H$3)*(Tabela1[[#This Row],[x]]-H$3) +(Tabela1[[#This Row],[y]]-H$4)*(Tabela1[[#This Row],[y]]-H$4)</f>
        <v>36104</v>
      </c>
      <c r="D9168" s="1">
        <f>IF(Tabela1[[#This Row],[promien]]&lt;40000,1,0)</f>
        <v>1</v>
      </c>
      <c r="E9168" s="1">
        <f>IF(Tabela1[[#This Row],[promien]]=40000,1,0)</f>
        <v>0</v>
      </c>
      <c r="F9168" s="1">
        <v>3.1413612565445028</v>
      </c>
      <c r="G9168" s="1">
        <v>2.3139704529029359E-4</v>
      </c>
    </row>
    <row r="9169" spans="1:7">
      <c r="A9169">
        <v>61</v>
      </c>
      <c r="B9169">
        <v>202</v>
      </c>
      <c r="C9169" s="1">
        <f>(Tabela1[[#This Row],[x]]-H$3)*(Tabela1[[#This Row],[x]]-H$3) +(Tabela1[[#This Row],[y]]-H$4)*(Tabela1[[#This Row],[y]]-H$4)</f>
        <v>19325</v>
      </c>
      <c r="D9169" s="1">
        <f>IF(Tabela1[[#This Row],[promien]]&lt;40000,1,0)</f>
        <v>1</v>
      </c>
      <c r="E9169" s="1">
        <f>IF(Tabela1[[#This Row],[promien]]=40000,1,0)</f>
        <v>0</v>
      </c>
      <c r="F9169" s="1">
        <v>3.141454902388483</v>
      </c>
      <c r="G9169" s="1">
        <v>1.3775120131009899E-4</v>
      </c>
    </row>
    <row r="9170" spans="1:7">
      <c r="A9170">
        <v>323</v>
      </c>
      <c r="B9170">
        <v>334</v>
      </c>
      <c r="C9170" s="1">
        <f>(Tabela1[[#This Row],[x]]-H$3)*(Tabela1[[#This Row],[x]]-H$3) +(Tabela1[[#This Row],[y]]-H$4)*(Tabela1[[#This Row],[y]]-H$4)</f>
        <v>33085</v>
      </c>
      <c r="D9170" s="1">
        <f>IF(Tabela1[[#This Row],[promien]]&lt;40000,1,0)</f>
        <v>1</v>
      </c>
      <c r="E9170" s="1">
        <f>IF(Tabela1[[#This Row],[promien]]=40000,1,0)</f>
        <v>0</v>
      </c>
      <c r="F9170" s="1">
        <v>3.1415485278080699</v>
      </c>
      <c r="G9170" s="1">
        <v>4.4125781723192148E-5</v>
      </c>
    </row>
    <row r="9171" spans="1:7">
      <c r="A9171">
        <v>85</v>
      </c>
      <c r="B9171">
        <v>4</v>
      </c>
      <c r="C9171" s="1">
        <f>(Tabela1[[#This Row],[x]]-H$3)*(Tabela1[[#This Row],[x]]-H$3) +(Tabela1[[#This Row],[y]]-H$4)*(Tabela1[[#This Row],[y]]-H$4)</f>
        <v>51641</v>
      </c>
      <c r="D9171" s="1">
        <f>IF(Tabela1[[#This Row],[promien]]&lt;40000,1,0)</f>
        <v>0</v>
      </c>
      <c r="E9171" s="1">
        <f>IF(Tabela1[[#This Row],[promien]]=40000,1,0)</f>
        <v>0</v>
      </c>
      <c r="F9171" s="1">
        <v>3.1412059753571038</v>
      </c>
      <c r="G9171" s="1">
        <v>3.8667823268934143E-4</v>
      </c>
    </row>
    <row r="9172" spans="1:7">
      <c r="A9172">
        <v>338</v>
      </c>
      <c r="B9172">
        <v>377</v>
      </c>
      <c r="C9172" s="1">
        <f>(Tabela1[[#This Row],[x]]-H$3)*(Tabela1[[#This Row],[x]]-H$3) +(Tabela1[[#This Row],[y]]-H$4)*(Tabela1[[#This Row],[y]]-H$4)</f>
        <v>50373</v>
      </c>
      <c r="D9172" s="1">
        <f>IF(Tabela1[[#This Row],[promien]]&lt;40000,1,0)</f>
        <v>0</v>
      </c>
      <c r="E9172" s="1">
        <f>IF(Tabela1[[#This Row],[promien]]=40000,1,0)</f>
        <v>0</v>
      </c>
      <c r="F9172" s="1">
        <v>3.1408634976013956</v>
      </c>
      <c r="G9172" s="1">
        <v>7.2915598839751183E-4</v>
      </c>
    </row>
    <row r="9173" spans="1:7">
      <c r="A9173">
        <v>291</v>
      </c>
      <c r="B9173">
        <v>146</v>
      </c>
      <c r="C9173" s="1">
        <f>(Tabela1[[#This Row],[x]]-H$3)*(Tabela1[[#This Row],[x]]-H$3) +(Tabela1[[#This Row],[y]]-H$4)*(Tabela1[[#This Row],[y]]-H$4)</f>
        <v>11197</v>
      </c>
      <c r="D9173" s="1">
        <f>IF(Tabela1[[#This Row],[promien]]&lt;40000,1,0)</f>
        <v>1</v>
      </c>
      <c r="E9173" s="1">
        <f>IF(Tabela1[[#This Row],[promien]]=40000,1,0)</f>
        <v>0</v>
      </c>
      <c r="F9173" s="1">
        <v>3.1409571568734327</v>
      </c>
      <c r="G9173" s="1">
        <v>6.3549671636042859E-4</v>
      </c>
    </row>
    <row r="9174" spans="1:7">
      <c r="A9174">
        <v>76</v>
      </c>
      <c r="B9174">
        <v>192</v>
      </c>
      <c r="C9174" s="1">
        <f>(Tabela1[[#This Row],[x]]-H$3)*(Tabela1[[#This Row],[x]]-H$3) +(Tabela1[[#This Row],[y]]-H$4)*(Tabela1[[#This Row],[y]]-H$4)</f>
        <v>15440</v>
      </c>
      <c r="D9174" s="1">
        <f>IF(Tabela1[[#This Row],[promien]]&lt;40000,1,0)</f>
        <v>1</v>
      </c>
      <c r="E9174" s="1">
        <f>IF(Tabela1[[#This Row],[promien]]=40000,1,0)</f>
        <v>0</v>
      </c>
      <c r="F9174" s="1">
        <v>3.1410507957270548</v>
      </c>
      <c r="G9174" s="1">
        <v>5.4185786273830416E-4</v>
      </c>
    </row>
    <row r="9175" spans="1:7">
      <c r="A9175">
        <v>248</v>
      </c>
      <c r="B9175">
        <v>18</v>
      </c>
      <c r="C9175" s="1">
        <f>(Tabela1[[#This Row],[x]]-H$3)*(Tabela1[[#This Row],[x]]-H$3) +(Tabela1[[#This Row],[y]]-H$4)*(Tabela1[[#This Row],[y]]-H$4)</f>
        <v>35428</v>
      </c>
      <c r="D9175" s="1">
        <f>IF(Tabela1[[#This Row],[promien]]&lt;40000,1,0)</f>
        <v>1</v>
      </c>
      <c r="E9175" s="1">
        <f>IF(Tabela1[[#This Row],[promien]]=40000,1,0)</f>
        <v>0</v>
      </c>
      <c r="F9175" s="1">
        <v>3.1411444141689375</v>
      </c>
      <c r="G9175" s="1">
        <v>4.4823942085558954E-4</v>
      </c>
    </row>
    <row r="9176" spans="1:7">
      <c r="A9176">
        <v>231</v>
      </c>
      <c r="B9176">
        <v>247</v>
      </c>
      <c r="C9176" s="1">
        <f>(Tabela1[[#This Row],[x]]-H$3)*(Tabela1[[#This Row],[x]]-H$3) +(Tabela1[[#This Row],[y]]-H$4)*(Tabela1[[#This Row],[y]]-H$4)</f>
        <v>3170</v>
      </c>
      <c r="D9176" s="1">
        <f>IF(Tabela1[[#This Row],[promien]]&lt;40000,1,0)</f>
        <v>1</v>
      </c>
      <c r="E9176" s="1">
        <f>IF(Tabela1[[#This Row],[promien]]=40000,1,0)</f>
        <v>0</v>
      </c>
      <c r="F9176" s="1">
        <v>3.1412380122057542</v>
      </c>
      <c r="G9176" s="1">
        <v>3.5464138403895618E-4</v>
      </c>
    </row>
    <row r="9177" spans="1:7">
      <c r="A9177">
        <v>267</v>
      </c>
      <c r="B9177">
        <v>33</v>
      </c>
      <c r="C9177" s="1">
        <f>(Tabela1[[#This Row],[x]]-H$3)*(Tabela1[[#This Row],[x]]-H$3) +(Tabela1[[#This Row],[y]]-H$4)*(Tabela1[[#This Row],[y]]-H$4)</f>
        <v>32378</v>
      </c>
      <c r="D9177" s="1">
        <f>IF(Tabela1[[#This Row],[promien]]&lt;40000,1,0)</f>
        <v>1</v>
      </c>
      <c r="E9177" s="1">
        <f>IF(Tabela1[[#This Row],[promien]]=40000,1,0)</f>
        <v>0</v>
      </c>
      <c r="F9177" s="1">
        <v>3.1413315898441758</v>
      </c>
      <c r="G9177" s="1">
        <v>2.6106374561729595E-4</v>
      </c>
    </row>
    <row r="9178" spans="1:7">
      <c r="A9178">
        <v>83</v>
      </c>
      <c r="B9178">
        <v>114</v>
      </c>
      <c r="C9178" s="1">
        <f>(Tabela1[[#This Row],[x]]-H$3)*(Tabela1[[#This Row],[x]]-H$3) +(Tabela1[[#This Row],[y]]-H$4)*(Tabela1[[#This Row],[y]]-H$4)</f>
        <v>21085</v>
      </c>
      <c r="D9178" s="1">
        <f>IF(Tabela1[[#This Row],[promien]]&lt;40000,1,0)</f>
        <v>1</v>
      </c>
      <c r="E9178" s="1">
        <f>IF(Tabela1[[#This Row],[promien]]=40000,1,0)</f>
        <v>0</v>
      </c>
      <c r="F9178" s="1">
        <v>3.1414251470908696</v>
      </c>
      <c r="G9178" s="1">
        <v>1.6750649892349756E-4</v>
      </c>
    </row>
    <row r="9179" spans="1:7">
      <c r="A9179">
        <v>321</v>
      </c>
      <c r="B9179">
        <v>229</v>
      </c>
      <c r="C9179" s="1">
        <f>(Tabela1[[#This Row],[x]]-H$3)*(Tabela1[[#This Row],[x]]-H$3) +(Tabela1[[#This Row],[y]]-H$4)*(Tabela1[[#This Row],[y]]-H$4)</f>
        <v>15482</v>
      </c>
      <c r="D9179" s="1">
        <f>IF(Tabela1[[#This Row],[promien]]&lt;40000,1,0)</f>
        <v>1</v>
      </c>
      <c r="E9179" s="1">
        <f>IF(Tabela1[[#This Row],[promien]]=40000,1,0)</f>
        <v>0</v>
      </c>
      <c r="F9179" s="1">
        <v>3.1415186839525004</v>
      </c>
      <c r="G9179" s="1">
        <v>7.3969637292670143E-5</v>
      </c>
    </row>
    <row r="9180" spans="1:7">
      <c r="A9180">
        <v>93</v>
      </c>
      <c r="B9180">
        <v>217</v>
      </c>
      <c r="C9180" s="1">
        <f>(Tabela1[[#This Row],[x]]-H$3)*(Tabela1[[#This Row],[x]]-H$3) +(Tabela1[[#This Row],[y]]-H$4)*(Tabela1[[#This Row],[y]]-H$4)</f>
        <v>11738</v>
      </c>
      <c r="D9180" s="1">
        <f>IF(Tabela1[[#This Row],[promien]]&lt;40000,1,0)</f>
        <v>1</v>
      </c>
      <c r="E9180" s="1">
        <f>IF(Tabela1[[#This Row],[promien]]=40000,1,0)</f>
        <v>0</v>
      </c>
      <c r="F9180" s="1">
        <v>3.1416122004357296</v>
      </c>
      <c r="G9180" s="1">
        <v>1.9546845936524448E-5</v>
      </c>
    </row>
    <row r="9181" spans="1:7">
      <c r="A9181">
        <v>192</v>
      </c>
      <c r="B9181">
        <v>307</v>
      </c>
      <c r="C9181" s="1">
        <f>(Tabela1[[#This Row],[x]]-H$3)*(Tabela1[[#This Row],[x]]-H$3) +(Tabela1[[#This Row],[y]]-H$4)*(Tabela1[[#This Row],[y]]-H$4)</f>
        <v>11513</v>
      </c>
      <c r="D9181" s="1">
        <f>IF(Tabela1[[#This Row],[promien]]&lt;40000,1,0)</f>
        <v>1</v>
      </c>
      <c r="E9181" s="1">
        <f>IF(Tabela1[[#This Row],[promien]]=40000,1,0)</f>
        <v>0</v>
      </c>
      <c r="F9181" s="1">
        <v>3.1417056965472172</v>
      </c>
      <c r="G9181" s="1">
        <v>1.1304295742409209E-4</v>
      </c>
    </row>
    <row r="9182" spans="1:7">
      <c r="A9182">
        <v>59</v>
      </c>
      <c r="B9182">
        <v>61</v>
      </c>
      <c r="C9182" s="1">
        <f>(Tabela1[[#This Row],[x]]-H$3)*(Tabela1[[#This Row],[x]]-H$3) +(Tabela1[[#This Row],[y]]-H$4)*(Tabela1[[#This Row],[y]]-H$4)</f>
        <v>39202</v>
      </c>
      <c r="D9182" s="1">
        <f>IF(Tabela1[[#This Row],[promien]]&lt;40000,1,0)</f>
        <v>1</v>
      </c>
      <c r="E9182" s="1">
        <f>IF(Tabela1[[#This Row],[promien]]=40000,1,0)</f>
        <v>0</v>
      </c>
      <c r="F9182" s="1">
        <v>3.1417991722936178</v>
      </c>
      <c r="G9182" s="1">
        <v>2.065187038247096E-4</v>
      </c>
    </row>
    <row r="9183" spans="1:7">
      <c r="A9183">
        <v>347</v>
      </c>
      <c r="B9183">
        <v>335</v>
      </c>
      <c r="C9183" s="1">
        <f>(Tabela1[[#This Row],[x]]-H$3)*(Tabela1[[#This Row],[x]]-H$3) +(Tabela1[[#This Row],[y]]-H$4)*(Tabela1[[#This Row],[y]]-H$4)</f>
        <v>39834</v>
      </c>
      <c r="D9183" s="1">
        <f>IF(Tabela1[[#This Row],[promien]]&lt;40000,1,0)</f>
        <v>1</v>
      </c>
      <c r="E9183" s="1">
        <f>IF(Tabela1[[#This Row],[promien]]=40000,1,0)</f>
        <v>0</v>
      </c>
      <c r="F9183" s="1">
        <v>3.1418926276815857</v>
      </c>
      <c r="G9183" s="1">
        <v>2.999740917926097E-4</v>
      </c>
    </row>
    <row r="9184" spans="1:7">
      <c r="A9184">
        <v>302</v>
      </c>
      <c r="B9184">
        <v>329</v>
      </c>
      <c r="C9184" s="1">
        <f>(Tabela1[[#This Row],[x]]-H$3)*(Tabela1[[#This Row],[x]]-H$3) +(Tabela1[[#This Row],[y]]-H$4)*(Tabela1[[#This Row],[y]]-H$4)</f>
        <v>27045</v>
      </c>
      <c r="D9184" s="1">
        <f>IF(Tabela1[[#This Row],[promien]]&lt;40000,1,0)</f>
        <v>1</v>
      </c>
      <c r="E9184" s="1">
        <f>IF(Tabela1[[#This Row],[promien]]=40000,1,0)</f>
        <v>0</v>
      </c>
      <c r="F9184" s="1">
        <v>3.1419860627177703</v>
      </c>
      <c r="G9184" s="1">
        <v>3.9340912797714012E-4</v>
      </c>
    </row>
    <row r="9185" spans="1:7">
      <c r="A9185">
        <v>290</v>
      </c>
      <c r="B9185">
        <v>90</v>
      </c>
      <c r="C9185" s="1">
        <f>(Tabela1[[#This Row],[x]]-H$3)*(Tabela1[[#This Row],[x]]-H$3) +(Tabela1[[#This Row],[y]]-H$4)*(Tabela1[[#This Row],[y]]-H$4)</f>
        <v>20200</v>
      </c>
      <c r="D9185" s="1">
        <f>IF(Tabela1[[#This Row],[promien]]&lt;40000,1,0)</f>
        <v>1</v>
      </c>
      <c r="E9185" s="1">
        <f>IF(Tabela1[[#This Row],[promien]]=40000,1,0)</f>
        <v>0</v>
      </c>
      <c r="F9185" s="1">
        <v>3.1420794774088185</v>
      </c>
      <c r="G9185" s="1">
        <v>4.8682381902542815E-4</v>
      </c>
    </row>
    <row r="9186" spans="1:7">
      <c r="A9186">
        <v>247</v>
      </c>
      <c r="B9186">
        <v>18</v>
      </c>
      <c r="C9186" s="1">
        <f>(Tabela1[[#This Row],[x]]-H$3)*(Tabela1[[#This Row],[x]]-H$3) +(Tabela1[[#This Row],[y]]-H$4)*(Tabela1[[#This Row],[y]]-H$4)</f>
        <v>35333</v>
      </c>
      <c r="D9186" s="1">
        <f>IF(Tabela1[[#This Row],[promien]]&lt;40000,1,0)</f>
        <v>1</v>
      </c>
      <c r="E9186" s="1">
        <f>IF(Tabela1[[#This Row],[promien]]=40000,1,0)</f>
        <v>0</v>
      </c>
      <c r="F9186" s="1">
        <v>3.1421728717613759</v>
      </c>
      <c r="G9186" s="1">
        <v>5.8021817158282474E-4</v>
      </c>
    </row>
    <row r="9187" spans="1:7">
      <c r="A9187">
        <v>395</v>
      </c>
      <c r="B9187">
        <v>344</v>
      </c>
      <c r="C9187" s="1">
        <f>(Tabela1[[#This Row],[x]]-H$3)*(Tabela1[[#This Row],[x]]-H$3) +(Tabela1[[#This Row],[y]]-H$4)*(Tabela1[[#This Row],[y]]-H$4)</f>
        <v>58761</v>
      </c>
      <c r="D9187" s="1">
        <f>IF(Tabela1[[#This Row],[promien]]&lt;40000,1,0)</f>
        <v>0</v>
      </c>
      <c r="E9187" s="1">
        <f>IF(Tabela1[[#This Row],[promien]]=40000,1,0)</f>
        <v>0</v>
      </c>
      <c r="F9187" s="1">
        <v>3.1418308479373027</v>
      </c>
      <c r="G9187" s="1">
        <v>2.3819434750960156E-4</v>
      </c>
    </row>
    <row r="9188" spans="1:7">
      <c r="A9188">
        <v>200</v>
      </c>
      <c r="B9188">
        <v>379</v>
      </c>
      <c r="C9188" s="1">
        <f>(Tabela1[[#This Row],[x]]-H$3)*(Tabela1[[#This Row],[x]]-H$3) +(Tabela1[[#This Row],[y]]-H$4)*(Tabela1[[#This Row],[y]]-H$4)</f>
        <v>32041</v>
      </c>
      <c r="D9188" s="1">
        <f>IF(Tabela1[[#This Row],[promien]]&lt;40000,1,0)</f>
        <v>1</v>
      </c>
      <c r="E9188" s="1">
        <f>IF(Tabela1[[#This Row],[promien]]=40000,1,0)</f>
        <v>0</v>
      </c>
      <c r="F9188" s="1">
        <v>3.1419242490204615</v>
      </c>
      <c r="G9188" s="1">
        <v>3.3159543066840769E-4</v>
      </c>
    </row>
    <row r="9189" spans="1:7">
      <c r="A9189">
        <v>384</v>
      </c>
      <c r="B9189">
        <v>295</v>
      </c>
      <c r="C9189" s="1">
        <f>(Tabela1[[#This Row],[x]]-H$3)*(Tabela1[[#This Row],[x]]-H$3) +(Tabela1[[#This Row],[y]]-H$4)*(Tabela1[[#This Row],[y]]-H$4)</f>
        <v>42881</v>
      </c>
      <c r="D9189" s="1">
        <f>IF(Tabela1[[#This Row],[promien]]&lt;40000,1,0)</f>
        <v>0</v>
      </c>
      <c r="E9189" s="1">
        <f>IF(Tabela1[[#This Row],[promien]]=40000,1,0)</f>
        <v>0</v>
      </c>
      <c r="F9189" s="1">
        <v>3.1415823266949614</v>
      </c>
      <c r="G9189" s="1">
        <v>1.0326894831713673E-5</v>
      </c>
    </row>
    <row r="9190" spans="1:7">
      <c r="A9190">
        <v>339</v>
      </c>
      <c r="B9190">
        <v>4</v>
      </c>
      <c r="C9190" s="1">
        <f>(Tabela1[[#This Row],[x]]-H$3)*(Tabela1[[#This Row],[x]]-H$3) +(Tabela1[[#This Row],[y]]-H$4)*(Tabela1[[#This Row],[y]]-H$4)</f>
        <v>57737</v>
      </c>
      <c r="D9190" s="1">
        <f>IF(Tabela1[[#This Row],[promien]]&lt;40000,1,0)</f>
        <v>0</v>
      </c>
      <c r="E9190" s="1">
        <f>IF(Tabela1[[#This Row],[promien]]=40000,1,0)</f>
        <v>0</v>
      </c>
      <c r="F9190" s="1">
        <v>3.1412404787812842</v>
      </c>
      <c r="G9190" s="1">
        <v>3.5217480850890936E-4</v>
      </c>
    </row>
    <row r="9191" spans="1:7">
      <c r="A9191">
        <v>218</v>
      </c>
      <c r="B9191">
        <v>63</v>
      </c>
      <c r="C9191" s="1">
        <f>(Tabela1[[#This Row],[x]]-H$3)*(Tabela1[[#This Row],[x]]-H$3) +(Tabela1[[#This Row],[y]]-H$4)*(Tabela1[[#This Row],[y]]-H$4)</f>
        <v>19093</v>
      </c>
      <c r="D9191" s="1">
        <f>IF(Tabela1[[#This Row],[promien]]&lt;40000,1,0)</f>
        <v>1</v>
      </c>
      <c r="E9191" s="1">
        <f>IF(Tabela1[[#This Row],[promien]]=40000,1,0)</f>
        <v>0</v>
      </c>
      <c r="F9191" s="1">
        <v>3.1413339136111413</v>
      </c>
      <c r="G9191" s="1">
        <v>2.5873997865177856E-4</v>
      </c>
    </row>
    <row r="9192" spans="1:7">
      <c r="A9192">
        <v>204</v>
      </c>
      <c r="B9192">
        <v>380</v>
      </c>
      <c r="C9192" s="1">
        <f>(Tabela1[[#This Row],[x]]-H$3)*(Tabela1[[#This Row],[x]]-H$3) +(Tabela1[[#This Row],[y]]-H$4)*(Tabela1[[#This Row],[y]]-H$4)</f>
        <v>32416</v>
      </c>
      <c r="D9192" s="1">
        <f>IF(Tabela1[[#This Row],[promien]]&lt;40000,1,0)</f>
        <v>1</v>
      </c>
      <c r="E9192" s="1">
        <f>IF(Tabela1[[#This Row],[promien]]=40000,1,0)</f>
        <v>0</v>
      </c>
      <c r="F9192" s="1">
        <v>3.1414273281114014</v>
      </c>
      <c r="G9192" s="1">
        <v>1.6532547839176459E-4</v>
      </c>
    </row>
    <row r="9193" spans="1:7">
      <c r="A9193">
        <v>201</v>
      </c>
      <c r="B9193">
        <v>25</v>
      </c>
      <c r="C9193" s="1">
        <f>(Tabela1[[#This Row],[x]]-H$3)*(Tabela1[[#This Row],[x]]-H$3) +(Tabela1[[#This Row],[y]]-H$4)*(Tabela1[[#This Row],[y]]-H$4)</f>
        <v>30626</v>
      </c>
      <c r="D9193" s="1">
        <f>IF(Tabela1[[#This Row],[promien]]&lt;40000,1,0)</f>
        <v>1</v>
      </c>
      <c r="E9193" s="1">
        <f>IF(Tabela1[[#This Row],[promien]]=40000,1,0)</f>
        <v>0</v>
      </c>
      <c r="F9193" s="1">
        <v>3.1415207222886981</v>
      </c>
      <c r="G9193" s="1">
        <v>7.193130109506285E-5</v>
      </c>
    </row>
    <row r="9194" spans="1:7">
      <c r="A9194">
        <v>127</v>
      </c>
      <c r="B9194">
        <v>141</v>
      </c>
      <c r="C9194" s="1">
        <f>(Tabela1[[#This Row],[x]]-H$3)*(Tabela1[[#This Row],[x]]-H$3) +(Tabela1[[#This Row],[y]]-H$4)*(Tabela1[[#This Row],[y]]-H$4)</f>
        <v>8810</v>
      </c>
      <c r="D9194" s="1">
        <f>IF(Tabela1[[#This Row],[promien]]&lt;40000,1,0)</f>
        <v>1</v>
      </c>
      <c r="E9194" s="1">
        <f>IF(Tabela1[[#This Row],[promien]]=40000,1,0)</f>
        <v>0</v>
      </c>
      <c r="F9194" s="1">
        <v>3.141614096149663</v>
      </c>
      <c r="G9194" s="1">
        <v>2.1442559869910838E-5</v>
      </c>
    </row>
    <row r="9195" spans="1:7">
      <c r="A9195">
        <v>87</v>
      </c>
      <c r="B9195">
        <v>265</v>
      </c>
      <c r="C9195" s="1">
        <f>(Tabela1[[#This Row],[x]]-H$3)*(Tabela1[[#This Row],[x]]-H$3) +(Tabela1[[#This Row],[y]]-H$4)*(Tabela1[[#This Row],[y]]-H$4)</f>
        <v>16994</v>
      </c>
      <c r="D9195" s="1">
        <f>IF(Tabela1[[#This Row],[promien]]&lt;40000,1,0)</f>
        <v>1</v>
      </c>
      <c r="E9195" s="1">
        <f>IF(Tabela1[[#This Row],[promien]]=40000,1,0)</f>
        <v>0</v>
      </c>
      <c r="F9195" s="1">
        <v>3.1417074497009243</v>
      </c>
      <c r="G9195" s="1">
        <v>1.1479611113118793E-4</v>
      </c>
    </row>
    <row r="9196" spans="1:7">
      <c r="A9196">
        <v>25</v>
      </c>
      <c r="B9196">
        <v>70</v>
      </c>
      <c r="C9196" s="1">
        <f>(Tabela1[[#This Row],[x]]-H$3)*(Tabela1[[#This Row],[x]]-H$3) +(Tabela1[[#This Row],[y]]-H$4)*(Tabela1[[#This Row],[y]]-H$4)</f>
        <v>47525</v>
      </c>
      <c r="D9196" s="1">
        <f>IF(Tabela1[[#This Row],[promien]]&lt;40000,1,0)</f>
        <v>0</v>
      </c>
      <c r="E9196" s="1">
        <f>IF(Tabela1[[#This Row],[promien]]=40000,1,0)</f>
        <v>0</v>
      </c>
      <c r="F9196" s="1">
        <v>3.1413658112222707</v>
      </c>
      <c r="G9196" s="1">
        <v>2.2684236752246179E-4</v>
      </c>
    </row>
    <row r="9197" spans="1:7">
      <c r="A9197">
        <v>2</v>
      </c>
      <c r="B9197">
        <v>67</v>
      </c>
      <c r="C9197" s="1">
        <f>(Tabela1[[#This Row],[x]]-H$3)*(Tabela1[[#This Row],[x]]-H$3) +(Tabela1[[#This Row],[y]]-H$4)*(Tabela1[[#This Row],[y]]-H$4)</f>
        <v>56893</v>
      </c>
      <c r="D9197" s="1">
        <f>IF(Tabela1[[#This Row],[promien]]&lt;40000,1,0)</f>
        <v>0</v>
      </c>
      <c r="E9197" s="1">
        <f>IF(Tabela1[[#This Row],[promien]]=40000,1,0)</f>
        <v>0</v>
      </c>
      <c r="F9197" s="1">
        <v>3.1410242470370773</v>
      </c>
      <c r="G9197" s="1">
        <v>5.6840655271583884E-4</v>
      </c>
    </row>
    <row r="9198" spans="1:7">
      <c r="A9198">
        <v>363</v>
      </c>
      <c r="B9198">
        <v>370</v>
      </c>
      <c r="C9198" s="1">
        <f>(Tabela1[[#This Row],[x]]-H$3)*(Tabela1[[#This Row],[x]]-H$3) +(Tabela1[[#This Row],[y]]-H$4)*(Tabela1[[#This Row],[y]]-H$4)</f>
        <v>55469</v>
      </c>
      <c r="D9198" s="1">
        <f>IF(Tabela1[[#This Row],[promien]]&lt;40000,1,0)</f>
        <v>0</v>
      </c>
      <c r="E9198" s="1">
        <f>IF(Tabela1[[#This Row],[promien]]=40000,1,0)</f>
        <v>0</v>
      </c>
      <c r="F9198" s="1">
        <v>3.1406827571211133</v>
      </c>
      <c r="G9198" s="1">
        <v>9.098964686797828E-4</v>
      </c>
    </row>
    <row r="9199" spans="1:7">
      <c r="A9199">
        <v>27</v>
      </c>
      <c r="B9199">
        <v>376</v>
      </c>
      <c r="C9199" s="1">
        <f>(Tabela1[[#This Row],[x]]-H$3)*(Tabela1[[#This Row],[x]]-H$3) +(Tabela1[[#This Row],[y]]-H$4)*(Tabela1[[#This Row],[y]]-H$4)</f>
        <v>60905</v>
      </c>
      <c r="D9199" s="1">
        <f>IF(Tabela1[[#This Row],[promien]]&lt;40000,1,0)</f>
        <v>0</v>
      </c>
      <c r="E9199" s="1">
        <f>IF(Tabela1[[#This Row],[promien]]=40000,1,0)</f>
        <v>0</v>
      </c>
      <c r="F9199" s="1">
        <v>3.1403413414501578</v>
      </c>
      <c r="G9199" s="1">
        <v>1.2513121396353633E-3</v>
      </c>
    </row>
    <row r="9200" spans="1:7">
      <c r="A9200">
        <v>293</v>
      </c>
      <c r="B9200">
        <v>157</v>
      </c>
      <c r="C9200" s="1">
        <f>(Tabela1[[#This Row],[x]]-H$3)*(Tabela1[[#This Row],[x]]-H$3) +(Tabela1[[#This Row],[y]]-H$4)*(Tabela1[[#This Row],[y]]-H$4)</f>
        <v>10498</v>
      </c>
      <c r="D9200" s="1">
        <f>IF(Tabela1[[#This Row],[promien]]&lt;40000,1,0)</f>
        <v>1</v>
      </c>
      <c r="E9200" s="1">
        <f>IF(Tabela1[[#This Row],[promien]]=40000,1,0)</f>
        <v>0</v>
      </c>
      <c r="F9200" s="1">
        <v>3.1404347826086956</v>
      </c>
      <c r="G9200" s="1">
        <v>1.1578709810975418E-3</v>
      </c>
    </row>
    <row r="9201" spans="1:7">
      <c r="A9201">
        <v>386</v>
      </c>
      <c r="B9201">
        <v>175</v>
      </c>
      <c r="C9201" s="1">
        <f>(Tabela1[[#This Row],[x]]-H$3)*(Tabela1[[#This Row],[x]]-H$3) +(Tabela1[[#This Row],[y]]-H$4)*(Tabela1[[#This Row],[y]]-H$4)</f>
        <v>35221</v>
      </c>
      <c r="D9201" s="1">
        <f>IF(Tabela1[[#This Row],[promien]]&lt;40000,1,0)</f>
        <v>1</v>
      </c>
      <c r="E9201" s="1">
        <f>IF(Tabela1[[#This Row],[promien]]=40000,1,0)</f>
        <v>0</v>
      </c>
      <c r="F9201" s="1">
        <v>3.1405282034561459</v>
      </c>
      <c r="G9201" s="1">
        <v>1.064450133647199E-3</v>
      </c>
    </row>
    <row r="9202" spans="1:7">
      <c r="A9202">
        <v>337</v>
      </c>
      <c r="B9202">
        <v>312</v>
      </c>
      <c r="C9202" s="1">
        <f>(Tabela1[[#This Row],[x]]-H$3)*(Tabela1[[#This Row],[x]]-H$3) +(Tabela1[[#This Row],[y]]-H$4)*(Tabela1[[#This Row],[y]]-H$4)</f>
        <v>31313</v>
      </c>
      <c r="D9202" s="1">
        <f>IF(Tabela1[[#This Row],[promien]]&lt;40000,1,0)</f>
        <v>1</v>
      </c>
      <c r="E9202" s="1">
        <f>IF(Tabela1[[#This Row],[promien]]=40000,1,0)</f>
        <v>0</v>
      </c>
      <c r="F9202" s="1">
        <v>3.1406216039991306</v>
      </c>
      <c r="G9202" s="1">
        <v>9.710495906625205E-4</v>
      </c>
    </row>
    <row r="9203" spans="1:7">
      <c r="A9203">
        <v>386</v>
      </c>
      <c r="B9203">
        <v>304</v>
      </c>
      <c r="C9203" s="1">
        <f>(Tabela1[[#This Row],[x]]-H$3)*(Tabela1[[#This Row],[x]]-H$3) +(Tabela1[[#This Row],[y]]-H$4)*(Tabela1[[#This Row],[y]]-H$4)</f>
        <v>45412</v>
      </c>
      <c r="D9203" s="1">
        <f>IF(Tabela1[[#This Row],[promien]]&lt;40000,1,0)</f>
        <v>0</v>
      </c>
      <c r="E9203" s="1">
        <f>IF(Tabela1[[#This Row],[promien]]=40000,1,0)</f>
        <v>0</v>
      </c>
      <c r="F9203" s="1">
        <v>3.1402803433662938</v>
      </c>
      <c r="G9203" s="1">
        <v>1.3123102234993134E-3</v>
      </c>
    </row>
    <row r="9204" spans="1:7">
      <c r="A9204">
        <v>235</v>
      </c>
      <c r="B9204">
        <v>85</v>
      </c>
      <c r="C9204" s="1">
        <f>(Tabela1[[#This Row],[x]]-H$3)*(Tabela1[[#This Row],[x]]-H$3) +(Tabela1[[#This Row],[y]]-H$4)*(Tabela1[[#This Row],[y]]-H$4)</f>
        <v>14450</v>
      </c>
      <c r="D9204" s="1">
        <f>IF(Tabela1[[#This Row],[promien]]&lt;40000,1,0)</f>
        <v>1</v>
      </c>
      <c r="E9204" s="1">
        <f>IF(Tabela1[[#This Row],[promien]]=40000,1,0)</f>
        <v>0</v>
      </c>
      <c r="F9204" s="1">
        <v>3.1403737505432421</v>
      </c>
      <c r="G9204" s="1">
        <v>1.2189030465510342E-3</v>
      </c>
    </row>
    <row r="9205" spans="1:7">
      <c r="A9205">
        <v>258</v>
      </c>
      <c r="B9205">
        <v>148</v>
      </c>
      <c r="C9205" s="1">
        <f>(Tabela1[[#This Row],[x]]-H$3)*(Tabela1[[#This Row],[x]]-H$3) +(Tabela1[[#This Row],[y]]-H$4)*(Tabela1[[#This Row],[y]]-H$4)</f>
        <v>6068</v>
      </c>
      <c r="D9205" s="1">
        <f>IF(Tabela1[[#This Row],[promien]]&lt;40000,1,0)</f>
        <v>1</v>
      </c>
      <c r="E9205" s="1">
        <f>IF(Tabela1[[#This Row],[promien]]=40000,1,0)</f>
        <v>0</v>
      </c>
      <c r="F9205" s="1">
        <v>3.1404671374253121</v>
      </c>
      <c r="G9205" s="1">
        <v>1.1255161644809775E-3</v>
      </c>
    </row>
    <row r="9206" spans="1:7">
      <c r="A9206">
        <v>199</v>
      </c>
      <c r="B9206">
        <v>159</v>
      </c>
      <c r="C9206" s="1">
        <f>(Tabela1[[#This Row],[x]]-H$3)*(Tabela1[[#This Row],[x]]-H$3) +(Tabela1[[#This Row],[y]]-H$4)*(Tabela1[[#This Row],[y]]-H$4)</f>
        <v>1682</v>
      </c>
      <c r="D9206" s="1">
        <f>IF(Tabela1[[#This Row],[promien]]&lt;40000,1,0)</f>
        <v>1</v>
      </c>
      <c r="E9206" s="1">
        <f>IF(Tabela1[[#This Row],[promien]]=40000,1,0)</f>
        <v>0</v>
      </c>
      <c r="F9206" s="1">
        <v>3.1405605040191178</v>
      </c>
      <c r="G9206" s="1">
        <v>1.0321495706753225E-3</v>
      </c>
    </row>
    <row r="9207" spans="1:7">
      <c r="A9207">
        <v>317</v>
      </c>
      <c r="B9207">
        <v>90</v>
      </c>
      <c r="C9207" s="1">
        <f>(Tabela1[[#This Row],[x]]-H$3)*(Tabela1[[#This Row],[x]]-H$3) +(Tabela1[[#This Row],[y]]-H$4)*(Tabela1[[#This Row],[y]]-H$4)</f>
        <v>25789</v>
      </c>
      <c r="D9207" s="1">
        <f>IF(Tabela1[[#This Row],[promien]]&lt;40000,1,0)</f>
        <v>1</v>
      </c>
      <c r="E9207" s="1">
        <f>IF(Tabela1[[#This Row],[promien]]=40000,1,0)</f>
        <v>0</v>
      </c>
      <c r="F9207" s="1">
        <v>3.1406538503312698</v>
      </c>
      <c r="G9207" s="1">
        <v>9.3880325852335744E-4</v>
      </c>
    </row>
    <row r="9208" spans="1:7">
      <c r="A9208">
        <v>348</v>
      </c>
      <c r="B9208">
        <v>338</v>
      </c>
      <c r="C9208" s="1">
        <f>(Tabela1[[#This Row],[x]]-H$3)*(Tabela1[[#This Row],[x]]-H$3) +(Tabela1[[#This Row],[y]]-H$4)*(Tabela1[[#This Row],[y]]-H$4)</f>
        <v>40948</v>
      </c>
      <c r="D9208" s="1">
        <f>IF(Tabela1[[#This Row],[promien]]&lt;40000,1,0)</f>
        <v>0</v>
      </c>
      <c r="E9208" s="1">
        <f>IF(Tabela1[[#This Row],[promien]]=40000,1,0)</f>
        <v>0</v>
      </c>
      <c r="F9208" s="1">
        <v>3.1403127715030408</v>
      </c>
      <c r="G9208" s="1">
        <v>1.2798820867523375E-3</v>
      </c>
    </row>
    <row r="9209" spans="1:7">
      <c r="A9209">
        <v>273</v>
      </c>
      <c r="B9209">
        <v>397</v>
      </c>
      <c r="C9209" s="1">
        <f>(Tabela1[[#This Row],[x]]-H$3)*(Tabela1[[#This Row],[x]]-H$3) +(Tabela1[[#This Row],[y]]-H$4)*(Tabela1[[#This Row],[y]]-H$4)</f>
        <v>44138</v>
      </c>
      <c r="D9209" s="1">
        <f>IF(Tabela1[[#This Row],[promien]]&lt;40000,1,0)</f>
        <v>0</v>
      </c>
      <c r="E9209" s="1">
        <f>IF(Tabela1[[#This Row],[promien]]=40000,1,0)</f>
        <v>0</v>
      </c>
      <c r="F9209" s="1">
        <v>3.1399717667499187</v>
      </c>
      <c r="G9209" s="1">
        <v>1.6208868398743803E-3</v>
      </c>
    </row>
    <row r="9210" spans="1:7">
      <c r="A9210">
        <v>277</v>
      </c>
      <c r="B9210">
        <v>117</v>
      </c>
      <c r="C9210" s="1">
        <f>(Tabela1[[#This Row],[x]]-H$3)*(Tabela1[[#This Row],[x]]-H$3) +(Tabela1[[#This Row],[y]]-H$4)*(Tabela1[[#This Row],[y]]-H$4)</f>
        <v>12818</v>
      </c>
      <c r="D9210" s="1">
        <f>IF(Tabela1[[#This Row],[promien]]&lt;40000,1,0)</f>
        <v>1</v>
      </c>
      <c r="E9210" s="1">
        <f>IF(Tabela1[[#This Row],[promien]]=40000,1,0)</f>
        <v>0</v>
      </c>
      <c r="F9210" s="1">
        <v>3.1400651465798046</v>
      </c>
      <c r="G9210" s="1">
        <v>1.5275070099884935E-3</v>
      </c>
    </row>
    <row r="9211" spans="1:7">
      <c r="A9211">
        <v>166</v>
      </c>
      <c r="B9211">
        <v>302</v>
      </c>
      <c r="C9211" s="1">
        <f>(Tabela1[[#This Row],[x]]-H$3)*(Tabela1[[#This Row],[x]]-H$3) +(Tabela1[[#This Row],[y]]-H$4)*(Tabela1[[#This Row],[y]]-H$4)</f>
        <v>11560</v>
      </c>
      <c r="D9211" s="1">
        <f>IF(Tabela1[[#This Row],[promien]]&lt;40000,1,0)</f>
        <v>1</v>
      </c>
      <c r="E9211" s="1">
        <f>IF(Tabela1[[#This Row],[promien]]=40000,1,0)</f>
        <v>0</v>
      </c>
      <c r="F9211" s="1">
        <v>3.1401585061339703</v>
      </c>
      <c r="G9211" s="1">
        <v>1.4341474558228207E-3</v>
      </c>
    </row>
    <row r="9212" spans="1:7">
      <c r="A9212">
        <v>49</v>
      </c>
      <c r="B9212">
        <v>387</v>
      </c>
      <c r="C9212" s="1">
        <f>(Tabela1[[#This Row],[x]]-H$3)*(Tabela1[[#This Row],[x]]-H$3) +(Tabela1[[#This Row],[y]]-H$4)*(Tabela1[[#This Row],[y]]-H$4)</f>
        <v>57770</v>
      </c>
      <c r="D9212" s="1">
        <f>IF(Tabela1[[#This Row],[promien]]&lt;40000,1,0)</f>
        <v>0</v>
      </c>
      <c r="E9212" s="1">
        <f>IF(Tabela1[[#This Row],[promien]]=40000,1,0)</f>
        <v>0</v>
      </c>
      <c r="F9212" s="1">
        <v>3.1398176291793312</v>
      </c>
      <c r="G9212" s="1">
        <v>1.7750244104619561E-3</v>
      </c>
    </row>
    <row r="9213" spans="1:7">
      <c r="A9213">
        <v>352</v>
      </c>
      <c r="B9213">
        <v>36</v>
      </c>
      <c r="C9213" s="1">
        <f>(Tabela1[[#This Row],[x]]-H$3)*(Tabela1[[#This Row],[x]]-H$3) +(Tabela1[[#This Row],[y]]-H$4)*(Tabela1[[#This Row],[y]]-H$4)</f>
        <v>50000</v>
      </c>
      <c r="D9213" s="1">
        <f>IF(Tabela1[[#This Row],[promien]]&lt;40000,1,0)</f>
        <v>0</v>
      </c>
      <c r="E9213" s="1">
        <f>IF(Tabela1[[#This Row],[promien]]=40000,1,0)</f>
        <v>0</v>
      </c>
      <c r="F9213" s="1">
        <v>3.139476826223814</v>
      </c>
      <c r="G9213" s="1">
        <v>2.1158273659791504E-3</v>
      </c>
    </row>
    <row r="9214" spans="1:7">
      <c r="A9214">
        <v>322</v>
      </c>
      <c r="B9214">
        <v>74</v>
      </c>
      <c r="C9214" s="1">
        <f>(Tabela1[[#This Row],[x]]-H$3)*(Tabela1[[#This Row],[x]]-H$3) +(Tabela1[[#This Row],[y]]-H$4)*(Tabela1[[#This Row],[y]]-H$4)</f>
        <v>30760</v>
      </c>
      <c r="D9214" s="1">
        <f>IF(Tabela1[[#This Row],[promien]]&lt;40000,1,0)</f>
        <v>1</v>
      </c>
      <c r="E9214" s="1">
        <f>IF(Tabela1[[#This Row],[promien]]=40000,1,0)</f>
        <v>0</v>
      </c>
      <c r="F9214" s="1">
        <v>3.139570219231604</v>
      </c>
      <c r="G9214" s="1">
        <v>2.0224343581891624E-3</v>
      </c>
    </row>
    <row r="9215" spans="1:7">
      <c r="A9215">
        <v>249</v>
      </c>
      <c r="B9215">
        <v>5</v>
      </c>
      <c r="C9215" s="1">
        <f>(Tabela1[[#This Row],[x]]-H$3)*(Tabela1[[#This Row],[x]]-H$3) +(Tabela1[[#This Row],[y]]-H$4)*(Tabela1[[#This Row],[y]]-H$4)</f>
        <v>40426</v>
      </c>
      <c r="D9215" s="1">
        <f>IF(Tabela1[[#This Row],[promien]]&lt;40000,1,0)</f>
        <v>0</v>
      </c>
      <c r="E9215" s="1">
        <f>IF(Tabela1[[#This Row],[promien]]=40000,1,0)</f>
        <v>0</v>
      </c>
      <c r="F9215" s="1">
        <v>3.1392295170916982</v>
      </c>
      <c r="G9215" s="1">
        <v>2.3631364980949421E-3</v>
      </c>
    </row>
    <row r="9216" spans="1:7">
      <c r="A9216">
        <v>170</v>
      </c>
      <c r="B9216">
        <v>249</v>
      </c>
      <c r="C9216" s="1">
        <f>(Tabela1[[#This Row],[x]]-H$3)*(Tabela1[[#This Row],[x]]-H$3) +(Tabela1[[#This Row],[y]]-H$4)*(Tabela1[[#This Row],[y]]-H$4)</f>
        <v>3301</v>
      </c>
      <c r="D9216" s="1">
        <f>IF(Tabela1[[#This Row],[promien]]&lt;40000,1,0)</f>
        <v>1</v>
      </c>
      <c r="E9216" s="1">
        <f>IF(Tabela1[[#This Row],[promien]]=40000,1,0)</f>
        <v>0</v>
      </c>
      <c r="F9216" s="1">
        <v>3.1393229166666665</v>
      </c>
      <c r="G9216" s="1">
        <v>2.2697369231265974E-3</v>
      </c>
    </row>
    <row r="9217" spans="1:7">
      <c r="A9217">
        <v>276</v>
      </c>
      <c r="B9217">
        <v>180</v>
      </c>
      <c r="C9217" s="1">
        <f>(Tabela1[[#This Row],[x]]-H$3)*(Tabela1[[#This Row],[x]]-H$3) +(Tabela1[[#This Row],[y]]-H$4)*(Tabela1[[#This Row],[y]]-H$4)</f>
        <v>6176</v>
      </c>
      <c r="D9217" s="1">
        <f>IF(Tabela1[[#This Row],[promien]]&lt;40000,1,0)</f>
        <v>1</v>
      </c>
      <c r="E9217" s="1">
        <f>IF(Tabela1[[#This Row],[promien]]=40000,1,0)</f>
        <v>0</v>
      </c>
      <c r="F9217" s="1">
        <v>3.1394162959748293</v>
      </c>
      <c r="G9217" s="1">
        <v>2.1763576149638197E-3</v>
      </c>
    </row>
    <row r="9218" spans="1:7">
      <c r="A9218">
        <v>187</v>
      </c>
      <c r="B9218">
        <v>300</v>
      </c>
      <c r="C9218" s="1">
        <f>(Tabela1[[#This Row],[x]]-H$3)*(Tabela1[[#This Row],[x]]-H$3) +(Tabela1[[#This Row],[y]]-H$4)*(Tabela1[[#This Row],[y]]-H$4)</f>
        <v>10169</v>
      </c>
      <c r="D9218" s="1">
        <f>IF(Tabela1[[#This Row],[promien]]&lt;40000,1,0)</f>
        <v>1</v>
      </c>
      <c r="E9218" s="1">
        <f>IF(Tabela1[[#This Row],[promien]]=40000,1,0)</f>
        <v>0</v>
      </c>
      <c r="F9218" s="1">
        <v>3.1395096550227817</v>
      </c>
      <c r="G9218" s="1">
        <v>2.0829985670114404E-3</v>
      </c>
    </row>
    <row r="9219" spans="1:7">
      <c r="A9219">
        <v>257</v>
      </c>
      <c r="B9219">
        <v>117</v>
      </c>
      <c r="C9219" s="1">
        <f>(Tabela1[[#This Row],[x]]-H$3)*(Tabela1[[#This Row],[x]]-H$3) +(Tabela1[[#This Row],[y]]-H$4)*(Tabela1[[#This Row],[y]]-H$4)</f>
        <v>10138</v>
      </c>
      <c r="D9219" s="1">
        <f>IF(Tabela1[[#This Row],[promien]]&lt;40000,1,0)</f>
        <v>1</v>
      </c>
      <c r="E9219" s="1">
        <f>IF(Tabela1[[#This Row],[promien]]=40000,1,0)</f>
        <v>0</v>
      </c>
      <c r="F9219" s="1">
        <v>3.1396029938171166</v>
      </c>
      <c r="G9219" s="1">
        <v>1.9896597726765108E-3</v>
      </c>
    </row>
    <row r="9220" spans="1:7">
      <c r="A9220">
        <v>230</v>
      </c>
      <c r="B9220">
        <v>134</v>
      </c>
      <c r="C9220" s="1">
        <f>(Tabela1[[#This Row],[x]]-H$3)*(Tabela1[[#This Row],[x]]-H$3) +(Tabela1[[#This Row],[y]]-H$4)*(Tabela1[[#This Row],[y]]-H$4)</f>
        <v>5256</v>
      </c>
      <c r="D9220" s="1">
        <f>IF(Tabela1[[#This Row],[promien]]&lt;40000,1,0)</f>
        <v>1</v>
      </c>
      <c r="E9220" s="1">
        <f>IF(Tabela1[[#This Row],[promien]]=40000,1,0)</f>
        <v>0</v>
      </c>
      <c r="F9220" s="1">
        <v>3.1396963123644253</v>
      </c>
      <c r="G9220" s="1">
        <v>1.8963412253678591E-3</v>
      </c>
    </row>
    <row r="9221" spans="1:7">
      <c r="A9221">
        <v>236</v>
      </c>
      <c r="B9221">
        <v>233</v>
      </c>
      <c r="C9221" s="1">
        <f>(Tabela1[[#This Row],[x]]-H$3)*(Tabela1[[#This Row],[x]]-H$3) +(Tabela1[[#This Row],[y]]-H$4)*(Tabela1[[#This Row],[y]]-H$4)</f>
        <v>2385</v>
      </c>
      <c r="D9221" s="1">
        <f>IF(Tabela1[[#This Row],[promien]]&lt;40000,1,0)</f>
        <v>1</v>
      </c>
      <c r="E9221" s="1">
        <f>IF(Tabela1[[#This Row],[promien]]=40000,1,0)</f>
        <v>0</v>
      </c>
      <c r="F9221" s="1">
        <v>3.1397896106712939</v>
      </c>
      <c r="G9221" s="1">
        <v>1.8030429184991981E-3</v>
      </c>
    </row>
    <row r="9222" spans="1:7">
      <c r="A9222">
        <v>319</v>
      </c>
      <c r="B9222">
        <v>341</v>
      </c>
      <c r="C9222" s="1">
        <f>(Tabela1[[#This Row],[x]]-H$3)*(Tabela1[[#This Row],[x]]-H$3) +(Tabela1[[#This Row],[y]]-H$4)*(Tabela1[[#This Row],[y]]-H$4)</f>
        <v>34042</v>
      </c>
      <c r="D9222" s="1">
        <f>IF(Tabela1[[#This Row],[promien]]&lt;40000,1,0)</f>
        <v>1</v>
      </c>
      <c r="E9222" s="1">
        <f>IF(Tabela1[[#This Row],[promien]]=40000,1,0)</f>
        <v>0</v>
      </c>
      <c r="F9222" s="1">
        <v>3.1398828887443071</v>
      </c>
      <c r="G9222" s="1">
        <v>1.709764845486017E-3</v>
      </c>
    </row>
    <row r="9223" spans="1:7">
      <c r="A9223">
        <v>176</v>
      </c>
      <c r="B9223">
        <v>194</v>
      </c>
      <c r="C9223" s="1">
        <f>(Tabela1[[#This Row],[x]]-H$3)*(Tabela1[[#This Row],[x]]-H$3) +(Tabela1[[#This Row],[y]]-H$4)*(Tabela1[[#This Row],[y]]-H$4)</f>
        <v>612</v>
      </c>
      <c r="D9223" s="1">
        <f>IF(Tabela1[[#This Row],[promien]]&lt;40000,1,0)</f>
        <v>1</v>
      </c>
      <c r="E9223" s="1">
        <f>IF(Tabela1[[#This Row],[promien]]=40000,1,0)</f>
        <v>0</v>
      </c>
      <c r="F9223" s="1">
        <v>3.1399761465900466</v>
      </c>
      <c r="G9223" s="1">
        <v>1.6165069997464698E-3</v>
      </c>
    </row>
    <row r="9224" spans="1:7">
      <c r="A9224">
        <v>75</v>
      </c>
      <c r="B9224">
        <v>193</v>
      </c>
      <c r="C9224" s="1">
        <f>(Tabela1[[#This Row],[x]]-H$3)*(Tabela1[[#This Row],[x]]-H$3) +(Tabela1[[#This Row],[y]]-H$4)*(Tabela1[[#This Row],[y]]-H$4)</f>
        <v>15674</v>
      </c>
      <c r="D9224" s="1">
        <f>IF(Tabela1[[#This Row],[promien]]&lt;40000,1,0)</f>
        <v>1</v>
      </c>
      <c r="E9224" s="1">
        <f>IF(Tabela1[[#This Row],[promien]]=40000,1,0)</f>
        <v>0</v>
      </c>
      <c r="F9224" s="1">
        <v>3.1400693842150909</v>
      </c>
      <c r="G9224" s="1">
        <v>1.523269374702263E-3</v>
      </c>
    </row>
    <row r="9225" spans="1:7">
      <c r="A9225">
        <v>328</v>
      </c>
      <c r="B9225">
        <v>246</v>
      </c>
      <c r="C9225" s="1">
        <f>(Tabela1[[#This Row],[x]]-H$3)*(Tabela1[[#This Row],[x]]-H$3) +(Tabela1[[#This Row],[y]]-H$4)*(Tabela1[[#This Row],[y]]-H$4)</f>
        <v>18500</v>
      </c>
      <c r="D9225" s="1">
        <f>IF(Tabela1[[#This Row],[promien]]&lt;40000,1,0)</f>
        <v>1</v>
      </c>
      <c r="E9225" s="1">
        <f>IF(Tabela1[[#This Row],[promien]]=40000,1,0)</f>
        <v>0</v>
      </c>
      <c r="F9225" s="1">
        <v>3.1401626016260162</v>
      </c>
      <c r="G9225" s="1">
        <v>1.4300519637768794E-3</v>
      </c>
    </row>
    <row r="9226" spans="1:7">
      <c r="A9226">
        <v>19</v>
      </c>
      <c r="B9226">
        <v>189</v>
      </c>
      <c r="C9226" s="1">
        <f>(Tabela1[[#This Row],[x]]-H$3)*(Tabela1[[#This Row],[x]]-H$3) +(Tabela1[[#This Row],[y]]-H$4)*(Tabela1[[#This Row],[y]]-H$4)</f>
        <v>32882</v>
      </c>
      <c r="D9226" s="1">
        <f>IF(Tabela1[[#This Row],[promien]]&lt;40000,1,0)</f>
        <v>1</v>
      </c>
      <c r="E9226" s="1">
        <f>IF(Tabela1[[#This Row],[promien]]=40000,1,0)</f>
        <v>0</v>
      </c>
      <c r="F9226" s="1">
        <v>3.1402557988293953</v>
      </c>
      <c r="G9226" s="1">
        <v>1.3368547603977987E-3</v>
      </c>
    </row>
    <row r="9227" spans="1:7">
      <c r="A9227">
        <v>32</v>
      </c>
      <c r="B9227">
        <v>7</v>
      </c>
      <c r="C9227" s="1">
        <f>(Tabela1[[#This Row],[x]]-H$3)*(Tabela1[[#This Row],[x]]-H$3) +(Tabela1[[#This Row],[y]]-H$4)*(Tabela1[[#This Row],[y]]-H$4)</f>
        <v>65473</v>
      </c>
      <c r="D9227" s="1">
        <f>IF(Tabela1[[#This Row],[promien]]&lt;40000,1,0)</f>
        <v>0</v>
      </c>
      <c r="E9227" s="1">
        <f>IF(Tabela1[[#This Row],[promien]]=40000,1,0)</f>
        <v>0</v>
      </c>
      <c r="F9227" s="1">
        <v>3.1399154654817383</v>
      </c>
      <c r="G9227" s="1">
        <v>1.677188108054839E-3</v>
      </c>
    </row>
    <row r="9228" spans="1:7">
      <c r="A9228">
        <v>298</v>
      </c>
      <c r="B9228">
        <v>111</v>
      </c>
      <c r="C9228" s="1">
        <f>(Tabela1[[#This Row],[x]]-H$3)*(Tabela1[[#This Row],[x]]-H$3) +(Tabela1[[#This Row],[y]]-H$4)*(Tabela1[[#This Row],[y]]-H$4)</f>
        <v>17525</v>
      </c>
      <c r="D9228" s="1">
        <f>IF(Tabela1[[#This Row],[promien]]&lt;40000,1,0)</f>
        <v>1</v>
      </c>
      <c r="E9228" s="1">
        <f>IF(Tabela1[[#This Row],[promien]]=40000,1,0)</f>
        <v>0</v>
      </c>
      <c r="F9228" s="1">
        <v>3.1400086692674467</v>
      </c>
      <c r="G9228" s="1">
        <v>1.5839843223464101E-3</v>
      </c>
    </row>
    <row r="9229" spans="1:7">
      <c r="A9229">
        <v>54</v>
      </c>
      <c r="B9229">
        <v>101</v>
      </c>
      <c r="C9229" s="1">
        <f>(Tabela1[[#This Row],[x]]-H$3)*(Tabela1[[#This Row],[x]]-H$3) +(Tabela1[[#This Row],[y]]-H$4)*(Tabela1[[#This Row],[y]]-H$4)</f>
        <v>31117</v>
      </c>
      <c r="D9229" s="1">
        <f>IF(Tabela1[[#This Row],[promien]]&lt;40000,1,0)</f>
        <v>1</v>
      </c>
      <c r="E9229" s="1">
        <f>IF(Tabela1[[#This Row],[promien]]=40000,1,0)</f>
        <v>0</v>
      </c>
      <c r="F9229" s="1">
        <v>3.1401018528551305</v>
      </c>
      <c r="G9229" s="1">
        <v>1.4908007346625674E-3</v>
      </c>
    </row>
    <row r="9230" spans="1:7">
      <c r="A9230">
        <v>334</v>
      </c>
      <c r="B9230">
        <v>29</v>
      </c>
      <c r="C9230" s="1">
        <f>(Tabela1[[#This Row],[x]]-H$3)*(Tabela1[[#This Row],[x]]-H$3) +(Tabela1[[#This Row],[y]]-H$4)*(Tabela1[[#This Row],[y]]-H$4)</f>
        <v>47197</v>
      </c>
      <c r="D9230" s="1">
        <f>IF(Tabela1[[#This Row],[promien]]&lt;40000,1,0)</f>
        <v>0</v>
      </c>
      <c r="E9230" s="1">
        <f>IF(Tabela1[[#This Row],[promien]]=40000,1,0)</f>
        <v>0</v>
      </c>
      <c r="F9230" s="1">
        <v>3.1397616468039002</v>
      </c>
      <c r="G9230" s="1">
        <v>1.8310067858928747E-3</v>
      </c>
    </row>
    <row r="9231" spans="1:7">
      <c r="A9231">
        <v>255</v>
      </c>
      <c r="B9231">
        <v>226</v>
      </c>
      <c r="C9231" s="1">
        <f>(Tabela1[[#This Row],[x]]-H$3)*(Tabela1[[#This Row],[x]]-H$3) +(Tabela1[[#This Row],[y]]-H$4)*(Tabela1[[#This Row],[y]]-H$4)</f>
        <v>3701</v>
      </c>
      <c r="D9231" s="1">
        <f>IF(Tabela1[[#This Row],[promien]]&lt;40000,1,0)</f>
        <v>1</v>
      </c>
      <c r="E9231" s="1">
        <f>IF(Tabela1[[#This Row],[promien]]=40000,1,0)</f>
        <v>0</v>
      </c>
      <c r="F9231" s="1">
        <v>3.1398548369624093</v>
      </c>
      <c r="G9231" s="1">
        <v>1.7378166273838147E-3</v>
      </c>
    </row>
    <row r="9232" spans="1:7">
      <c r="A9232">
        <v>126</v>
      </c>
      <c r="B9232">
        <v>178</v>
      </c>
      <c r="C9232" s="1">
        <f>(Tabela1[[#This Row],[x]]-H$3)*(Tabela1[[#This Row],[x]]-H$3) +(Tabela1[[#This Row],[y]]-H$4)*(Tabela1[[#This Row],[y]]-H$4)</f>
        <v>5960</v>
      </c>
      <c r="D9232" s="1">
        <f>IF(Tabela1[[#This Row],[promien]]&lt;40000,1,0)</f>
        <v>1</v>
      </c>
      <c r="E9232" s="1">
        <f>IF(Tabela1[[#This Row],[promien]]=40000,1,0)</f>
        <v>0</v>
      </c>
      <c r="F9232" s="1">
        <v>3.1399480069324088</v>
      </c>
      <c r="G9232" s="1">
        <v>1.6446466573842855E-3</v>
      </c>
    </row>
    <row r="9233" spans="1:7">
      <c r="A9233">
        <v>109</v>
      </c>
      <c r="B9233">
        <v>30</v>
      </c>
      <c r="C9233" s="1">
        <f>(Tabela1[[#This Row],[x]]-H$3)*(Tabela1[[#This Row],[x]]-H$3) +(Tabela1[[#This Row],[y]]-H$4)*(Tabela1[[#This Row],[y]]-H$4)</f>
        <v>37181</v>
      </c>
      <c r="D9233" s="1">
        <f>IF(Tabela1[[#This Row],[promien]]&lt;40000,1,0)</f>
        <v>1</v>
      </c>
      <c r="E9233" s="1">
        <f>IF(Tabela1[[#This Row],[promien]]=40000,1,0)</f>
        <v>0</v>
      </c>
      <c r="F9233" s="1">
        <v>3.1400411567204594</v>
      </c>
      <c r="G9233" s="1">
        <v>1.5514968693337572E-3</v>
      </c>
    </row>
    <row r="9234" spans="1:7">
      <c r="A9234">
        <v>8</v>
      </c>
      <c r="B9234">
        <v>32</v>
      </c>
      <c r="C9234" s="1">
        <f>(Tabela1[[#This Row],[x]]-H$3)*(Tabela1[[#This Row],[x]]-H$3) +(Tabela1[[#This Row],[y]]-H$4)*(Tabela1[[#This Row],[y]]-H$4)</f>
        <v>65088</v>
      </c>
      <c r="D9234" s="1">
        <f>IF(Tabela1[[#This Row],[promien]]&lt;40000,1,0)</f>
        <v>0</v>
      </c>
      <c r="E9234" s="1">
        <f>IF(Tabela1[[#This Row],[promien]]=40000,1,0)</f>
        <v>0</v>
      </c>
      <c r="F9234" s="1">
        <v>3.1397011046133851</v>
      </c>
      <c r="G9234" s="1">
        <v>1.8915489764079751E-3</v>
      </c>
    </row>
    <row r="9235" spans="1:7">
      <c r="A9235">
        <v>311</v>
      </c>
      <c r="B9235">
        <v>187</v>
      </c>
      <c r="C9235" s="1">
        <f>(Tabela1[[#This Row],[x]]-H$3)*(Tabela1[[#This Row],[x]]-H$3) +(Tabela1[[#This Row],[y]]-H$4)*(Tabela1[[#This Row],[y]]-H$4)</f>
        <v>12490</v>
      </c>
      <c r="D9235" s="1">
        <f>IF(Tabela1[[#This Row],[promien]]&lt;40000,1,0)</f>
        <v>1</v>
      </c>
      <c r="E9235" s="1">
        <f>IF(Tabela1[[#This Row],[promien]]=40000,1,0)</f>
        <v>0</v>
      </c>
      <c r="F9235" s="1">
        <v>3.139794260963725</v>
      </c>
      <c r="G9235" s="1">
        <v>1.7983926260680683E-3</v>
      </c>
    </row>
    <row r="9236" spans="1:7">
      <c r="A9236">
        <v>128</v>
      </c>
      <c r="B9236">
        <v>8</v>
      </c>
      <c r="C9236" s="1">
        <f>(Tabela1[[#This Row],[x]]-H$3)*(Tabela1[[#This Row],[x]]-H$3) +(Tabela1[[#This Row],[y]]-H$4)*(Tabela1[[#This Row],[y]]-H$4)</f>
        <v>42048</v>
      </c>
      <c r="D9236" s="1">
        <f>IF(Tabela1[[#This Row],[promien]]&lt;40000,1,0)</f>
        <v>0</v>
      </c>
      <c r="E9236" s="1">
        <f>IF(Tabela1[[#This Row],[promien]]=40000,1,0)</f>
        <v>0</v>
      </c>
      <c r="F9236" s="1">
        <v>3.1394543092247726</v>
      </c>
      <c r="G9236" s="1">
        <v>2.1383443650204725E-3</v>
      </c>
    </row>
    <row r="9237" spans="1:7">
      <c r="A9237">
        <v>335</v>
      </c>
      <c r="B9237">
        <v>186</v>
      </c>
      <c r="C9237" s="1">
        <f>(Tabela1[[#This Row],[x]]-H$3)*(Tabela1[[#This Row],[x]]-H$3) +(Tabela1[[#This Row],[y]]-H$4)*(Tabela1[[#This Row],[y]]-H$4)</f>
        <v>18421</v>
      </c>
      <c r="D9237" s="1">
        <f>IF(Tabela1[[#This Row],[promien]]&lt;40000,1,0)</f>
        <v>1</v>
      </c>
      <c r="E9237" s="1">
        <f>IF(Tabela1[[#This Row],[promien]]=40000,1,0)</f>
        <v>0</v>
      </c>
      <c r="F9237" s="1">
        <v>3.1395474721229837</v>
      </c>
      <c r="G9237" s="1">
        <v>2.0451814668094315E-3</v>
      </c>
    </row>
    <row r="9238" spans="1:7">
      <c r="A9238">
        <v>291</v>
      </c>
      <c r="B9238">
        <v>304</v>
      </c>
      <c r="C9238" s="1">
        <f>(Tabela1[[#This Row],[x]]-H$3)*(Tabela1[[#This Row],[x]]-H$3) +(Tabela1[[#This Row],[y]]-H$4)*(Tabela1[[#This Row],[y]]-H$4)</f>
        <v>19097</v>
      </c>
      <c r="D9238" s="1">
        <f>IF(Tabela1[[#This Row],[promien]]&lt;40000,1,0)</f>
        <v>1</v>
      </c>
      <c r="E9238" s="1">
        <f>IF(Tabela1[[#This Row],[promien]]=40000,1,0)</f>
        <v>0</v>
      </c>
      <c r="F9238" s="1">
        <v>3.1396406148516993</v>
      </c>
      <c r="G9238" s="1">
        <v>1.9520387380937976E-3</v>
      </c>
    </row>
    <row r="9239" spans="1:7">
      <c r="A9239">
        <v>140</v>
      </c>
      <c r="B9239">
        <v>389</v>
      </c>
      <c r="C9239" s="1">
        <f>(Tabela1[[#This Row],[x]]-H$3)*(Tabela1[[#This Row],[x]]-H$3) +(Tabela1[[#This Row],[y]]-H$4)*(Tabela1[[#This Row],[y]]-H$4)</f>
        <v>39321</v>
      </c>
      <c r="D9239" s="1">
        <f>IF(Tabela1[[#This Row],[promien]]&lt;40000,1,0)</f>
        <v>1</v>
      </c>
      <c r="E9239" s="1">
        <f>IF(Tabela1[[#This Row],[promien]]=40000,1,0)</f>
        <v>0</v>
      </c>
      <c r="F9239" s="1">
        <v>3.1397337374174694</v>
      </c>
      <c r="G9239" s="1">
        <v>1.8589161723236991E-3</v>
      </c>
    </row>
    <row r="9240" spans="1:7">
      <c r="A9240">
        <v>216</v>
      </c>
      <c r="B9240">
        <v>193</v>
      </c>
      <c r="C9240" s="1">
        <f>(Tabela1[[#This Row],[x]]-H$3)*(Tabela1[[#This Row],[x]]-H$3) +(Tabela1[[#This Row],[y]]-H$4)*(Tabela1[[#This Row],[y]]-H$4)</f>
        <v>305</v>
      </c>
      <c r="D9240" s="1">
        <f>IF(Tabela1[[#This Row],[promien]]&lt;40000,1,0)</f>
        <v>1</v>
      </c>
      <c r="E9240" s="1">
        <f>IF(Tabela1[[#This Row],[promien]]=40000,1,0)</f>
        <v>0</v>
      </c>
      <c r="F9240" s="1">
        <v>3.1398268398268399</v>
      </c>
      <c r="G9240" s="1">
        <v>1.7658137629532611E-3</v>
      </c>
    </row>
    <row r="9241" spans="1:7">
      <c r="A9241">
        <v>227</v>
      </c>
      <c r="B9241">
        <v>345</v>
      </c>
      <c r="C9241" s="1">
        <f>(Tabela1[[#This Row],[x]]-H$3)*(Tabela1[[#This Row],[x]]-H$3) +(Tabela1[[#This Row],[y]]-H$4)*(Tabela1[[#This Row],[y]]-H$4)</f>
        <v>21754</v>
      </c>
      <c r="D9241" s="1">
        <f>IF(Tabela1[[#This Row],[promien]]&lt;40000,1,0)</f>
        <v>1</v>
      </c>
      <c r="E9241" s="1">
        <f>IF(Tabela1[[#This Row],[promien]]=40000,1,0)</f>
        <v>0</v>
      </c>
      <c r="F9241" s="1">
        <v>3.1399199220863543</v>
      </c>
      <c r="G9241" s="1">
        <v>1.672731503438829E-3</v>
      </c>
    </row>
    <row r="9242" spans="1:7">
      <c r="A9242">
        <v>128</v>
      </c>
      <c r="B9242">
        <v>238</v>
      </c>
      <c r="C9242" s="1">
        <f>(Tabela1[[#This Row],[x]]-H$3)*(Tabela1[[#This Row],[x]]-H$3) +(Tabela1[[#This Row],[y]]-H$4)*(Tabela1[[#This Row],[y]]-H$4)</f>
        <v>6628</v>
      </c>
      <c r="D9242" s="1">
        <f>IF(Tabela1[[#This Row],[promien]]&lt;40000,1,0)</f>
        <v>1</v>
      </c>
      <c r="E9242" s="1">
        <f>IF(Tabela1[[#This Row],[promien]]=40000,1,0)</f>
        <v>0</v>
      </c>
      <c r="F9242" s="1">
        <v>3.1400129842025537</v>
      </c>
      <c r="G9242" s="1">
        <v>1.579669387239413E-3</v>
      </c>
    </row>
    <row r="9243" spans="1:7">
      <c r="A9243">
        <v>66</v>
      </c>
      <c r="B9243">
        <v>49</v>
      </c>
      <c r="C9243" s="1">
        <f>(Tabela1[[#This Row],[x]]-H$3)*(Tabela1[[#This Row],[x]]-H$3) +(Tabela1[[#This Row],[y]]-H$4)*(Tabela1[[#This Row],[y]]-H$4)</f>
        <v>40757</v>
      </c>
      <c r="D9243" s="1">
        <f>IF(Tabela1[[#This Row],[promien]]&lt;40000,1,0)</f>
        <v>0</v>
      </c>
      <c r="E9243" s="1">
        <f>IF(Tabela1[[#This Row],[promien]]=40000,1,0)</f>
        <v>0</v>
      </c>
      <c r="F9243" s="1">
        <v>3.1396732662555449</v>
      </c>
      <c r="G9243" s="1">
        <v>1.9193873342482348E-3</v>
      </c>
    </row>
    <row r="9244" spans="1:7">
      <c r="A9244">
        <v>241</v>
      </c>
      <c r="B9244">
        <v>270</v>
      </c>
      <c r="C9244" s="1">
        <f>(Tabela1[[#This Row],[x]]-H$3)*(Tabela1[[#This Row],[x]]-H$3) +(Tabela1[[#This Row],[y]]-H$4)*(Tabela1[[#This Row],[y]]-H$4)</f>
        <v>6581</v>
      </c>
      <c r="D9244" s="1">
        <f>IF(Tabela1[[#This Row],[promien]]&lt;40000,1,0)</f>
        <v>1</v>
      </c>
      <c r="E9244" s="1">
        <f>IF(Tabela1[[#This Row],[promien]]=40000,1,0)</f>
        <v>0</v>
      </c>
      <c r="F9244" s="1">
        <v>3.1397663349199481</v>
      </c>
      <c r="G9244" s="1">
        <v>1.8263186698450617E-3</v>
      </c>
    </row>
    <row r="9245" spans="1:7">
      <c r="A9245">
        <v>309</v>
      </c>
      <c r="B9245">
        <v>109</v>
      </c>
      <c r="C9245" s="1">
        <f>(Tabela1[[#This Row],[x]]-H$3)*(Tabela1[[#This Row],[x]]-H$3) +(Tabela1[[#This Row],[y]]-H$4)*(Tabela1[[#This Row],[y]]-H$4)</f>
        <v>20162</v>
      </c>
      <c r="D9245" s="1">
        <f>IF(Tabela1[[#This Row],[promien]]&lt;40000,1,0)</f>
        <v>1</v>
      </c>
      <c r="E9245" s="1">
        <f>IF(Tabela1[[#This Row],[promien]]=40000,1,0)</f>
        <v>0</v>
      </c>
      <c r="F9245" s="1">
        <v>3.139859383450514</v>
      </c>
      <c r="G9245" s="1">
        <v>1.7332701392791527E-3</v>
      </c>
    </row>
    <row r="9246" spans="1:7">
      <c r="A9246">
        <v>218</v>
      </c>
      <c r="B9246">
        <v>312</v>
      </c>
      <c r="C9246" s="1">
        <f>(Tabela1[[#This Row],[x]]-H$3)*(Tabela1[[#This Row],[x]]-H$3) +(Tabela1[[#This Row],[y]]-H$4)*(Tabela1[[#This Row],[y]]-H$4)</f>
        <v>12868</v>
      </c>
      <c r="D9246" s="1">
        <f>IF(Tabela1[[#This Row],[promien]]&lt;40000,1,0)</f>
        <v>1</v>
      </c>
      <c r="E9246" s="1">
        <f>IF(Tabela1[[#This Row],[promien]]=40000,1,0)</f>
        <v>0</v>
      </c>
      <c r="F9246" s="1">
        <v>3.1399524118537747</v>
      </c>
      <c r="G9246" s="1">
        <v>1.6402417360183996E-3</v>
      </c>
    </row>
    <row r="9247" spans="1:7">
      <c r="A9247">
        <v>309</v>
      </c>
      <c r="B9247">
        <v>168</v>
      </c>
      <c r="C9247" s="1">
        <f>(Tabela1[[#This Row],[x]]-H$3)*(Tabela1[[#This Row],[x]]-H$3) +(Tabela1[[#This Row],[y]]-H$4)*(Tabela1[[#This Row],[y]]-H$4)</f>
        <v>12905</v>
      </c>
      <c r="D9247" s="1">
        <f>IF(Tabela1[[#This Row],[promien]]&lt;40000,1,0)</f>
        <v>1</v>
      </c>
      <c r="E9247" s="1">
        <f>IF(Tabela1[[#This Row],[promien]]=40000,1,0)</f>
        <v>0</v>
      </c>
      <c r="F9247" s="1">
        <v>3.1400454201362602</v>
      </c>
      <c r="G9247" s="1">
        <v>1.5472334535329146E-3</v>
      </c>
    </row>
    <row r="9248" spans="1:7">
      <c r="A9248">
        <v>396</v>
      </c>
      <c r="B9248">
        <v>280</v>
      </c>
      <c r="C9248" s="1">
        <f>(Tabela1[[#This Row],[x]]-H$3)*(Tabela1[[#This Row],[x]]-H$3) +(Tabela1[[#This Row],[y]]-H$4)*(Tabela1[[#This Row],[y]]-H$4)</f>
        <v>44816</v>
      </c>
      <c r="D9248" s="1">
        <f>IF(Tabela1[[#This Row],[promien]]&lt;40000,1,0)</f>
        <v>0</v>
      </c>
      <c r="E9248" s="1">
        <f>IF(Tabela1[[#This Row],[promien]]=40000,1,0)</f>
        <v>0</v>
      </c>
      <c r="F9248" s="1">
        <v>3.1397058823529411</v>
      </c>
      <c r="G9248" s="1">
        <v>1.8867712368519918E-3</v>
      </c>
    </row>
    <row r="9249" spans="1:7">
      <c r="A9249">
        <v>69</v>
      </c>
      <c r="B9249">
        <v>11</v>
      </c>
      <c r="C9249" s="1">
        <f>(Tabela1[[#This Row],[x]]-H$3)*(Tabela1[[#This Row],[x]]-H$3) +(Tabela1[[#This Row],[y]]-H$4)*(Tabela1[[#This Row],[y]]-H$4)</f>
        <v>52882</v>
      </c>
      <c r="D9249" s="1">
        <f>IF(Tabela1[[#This Row],[promien]]&lt;40000,1,0)</f>
        <v>0</v>
      </c>
      <c r="E9249" s="1">
        <f>IF(Tabela1[[#This Row],[promien]]=40000,1,0)</f>
        <v>0</v>
      </c>
      <c r="F9249" s="1">
        <v>3.139366417991134</v>
      </c>
      <c r="G9249" s="1">
        <v>2.2262355986590876E-3</v>
      </c>
    </row>
    <row r="9250" spans="1:7">
      <c r="A9250">
        <v>36</v>
      </c>
      <c r="B9250">
        <v>276</v>
      </c>
      <c r="C9250" s="1">
        <f>(Tabela1[[#This Row],[x]]-H$3)*(Tabela1[[#This Row],[x]]-H$3) +(Tabela1[[#This Row],[y]]-H$4)*(Tabela1[[#This Row],[y]]-H$4)</f>
        <v>32672</v>
      </c>
      <c r="D9250" s="1">
        <f>IF(Tabela1[[#This Row],[promien]]&lt;40000,1,0)</f>
        <v>1</v>
      </c>
      <c r="E9250" s="1">
        <f>IF(Tabela1[[#This Row],[promien]]=40000,1,0)</f>
        <v>0</v>
      </c>
      <c r="F9250" s="1">
        <v>3.1394594594594594</v>
      </c>
      <c r="G9250" s="1">
        <v>2.1331941303337487E-3</v>
      </c>
    </row>
    <row r="9251" spans="1:7">
      <c r="A9251">
        <v>156</v>
      </c>
      <c r="B9251">
        <v>178</v>
      </c>
      <c r="C9251" s="1">
        <f>(Tabela1[[#This Row],[x]]-H$3)*(Tabela1[[#This Row],[x]]-H$3) +(Tabela1[[#This Row],[y]]-H$4)*(Tabela1[[#This Row],[y]]-H$4)</f>
        <v>2420</v>
      </c>
      <c r="D9251" s="1">
        <f>IF(Tabela1[[#This Row],[promien]]&lt;40000,1,0)</f>
        <v>1</v>
      </c>
      <c r="E9251" s="1">
        <f>IF(Tabela1[[#This Row],[promien]]=40000,1,0)</f>
        <v>0</v>
      </c>
      <c r="F9251" s="1">
        <v>3.1395524808128852</v>
      </c>
      <c r="G9251" s="1">
        <v>2.0401727769079336E-3</v>
      </c>
    </row>
    <row r="9252" spans="1:7">
      <c r="A9252">
        <v>370</v>
      </c>
      <c r="B9252">
        <v>145</v>
      </c>
      <c r="C9252" s="1">
        <f>(Tabela1[[#This Row],[x]]-H$3)*(Tabela1[[#This Row],[x]]-H$3) +(Tabela1[[#This Row],[y]]-H$4)*(Tabela1[[#This Row],[y]]-H$4)</f>
        <v>31925</v>
      </c>
      <c r="D9252" s="1">
        <f>IF(Tabela1[[#This Row],[promien]]&lt;40000,1,0)</f>
        <v>1</v>
      </c>
      <c r="E9252" s="1">
        <f>IF(Tabela1[[#This Row],[promien]]=40000,1,0)</f>
        <v>0</v>
      </c>
      <c r="F9252" s="1">
        <v>3.1396454820579334</v>
      </c>
      <c r="G9252" s="1">
        <v>1.9471715318597482E-3</v>
      </c>
    </row>
    <row r="9253" spans="1:7">
      <c r="A9253">
        <v>33</v>
      </c>
      <c r="B9253">
        <v>278</v>
      </c>
      <c r="C9253" s="1">
        <f>(Tabela1[[#This Row],[x]]-H$3)*(Tabela1[[#This Row],[x]]-H$3) +(Tabela1[[#This Row],[y]]-H$4)*(Tabela1[[#This Row],[y]]-H$4)</f>
        <v>33973</v>
      </c>
      <c r="D9253" s="1">
        <f>IF(Tabela1[[#This Row],[promien]]&lt;40000,1,0)</f>
        <v>1</v>
      </c>
      <c r="E9253" s="1">
        <f>IF(Tabela1[[#This Row],[promien]]=40000,1,0)</f>
        <v>0</v>
      </c>
      <c r="F9253" s="1">
        <v>3.139738463201124</v>
      </c>
      <c r="G9253" s="1">
        <v>1.8541903886690747E-3</v>
      </c>
    </row>
    <row r="9254" spans="1:7">
      <c r="A9254">
        <v>156</v>
      </c>
      <c r="B9254">
        <v>290</v>
      </c>
      <c r="C9254" s="1">
        <f>(Tabela1[[#This Row],[x]]-H$3)*(Tabela1[[#This Row],[x]]-H$3) +(Tabela1[[#This Row],[y]]-H$4)*(Tabela1[[#This Row],[y]]-H$4)</f>
        <v>10036</v>
      </c>
      <c r="D9254" s="1">
        <f>IF(Tabela1[[#This Row],[promien]]&lt;40000,1,0)</f>
        <v>1</v>
      </c>
      <c r="E9254" s="1">
        <f>IF(Tabela1[[#This Row],[promien]]=40000,1,0)</f>
        <v>0</v>
      </c>
      <c r="F9254" s="1">
        <v>3.1398314242489733</v>
      </c>
      <c r="G9254" s="1">
        <v>1.7612293408197921E-3</v>
      </c>
    </row>
    <row r="9255" spans="1:7">
      <c r="A9255">
        <v>78</v>
      </c>
      <c r="B9255">
        <v>80</v>
      </c>
      <c r="C9255" s="1">
        <f>(Tabela1[[#This Row],[x]]-H$3)*(Tabela1[[#This Row],[x]]-H$3) +(Tabela1[[#This Row],[y]]-H$4)*(Tabela1[[#This Row],[y]]-H$4)</f>
        <v>29284</v>
      </c>
      <c r="D9255" s="1">
        <f>IF(Tabela1[[#This Row],[promien]]&lt;40000,1,0)</f>
        <v>1</v>
      </c>
      <c r="E9255" s="1">
        <f>IF(Tabela1[[#This Row],[promien]]=40000,1,0)</f>
        <v>0</v>
      </c>
      <c r="F9255" s="1">
        <v>3.1399243652079956</v>
      </c>
      <c r="G9255" s="1">
        <v>1.6682883817975558E-3</v>
      </c>
    </row>
    <row r="9256" spans="1:7">
      <c r="A9256">
        <v>6</v>
      </c>
      <c r="B9256">
        <v>191</v>
      </c>
      <c r="C9256" s="1">
        <f>(Tabela1[[#This Row],[x]]-H$3)*(Tabela1[[#This Row],[x]]-H$3) +(Tabela1[[#This Row],[y]]-H$4)*(Tabela1[[#This Row],[y]]-H$4)</f>
        <v>37717</v>
      </c>
      <c r="D9256" s="1">
        <f>IF(Tabela1[[#This Row],[promien]]&lt;40000,1,0)</f>
        <v>1</v>
      </c>
      <c r="E9256" s="1">
        <f>IF(Tabela1[[#This Row],[promien]]=40000,1,0)</f>
        <v>0</v>
      </c>
      <c r="F9256" s="1">
        <v>3.140017286084702</v>
      </c>
      <c r="G9256" s="1">
        <v>1.5753675050911298E-3</v>
      </c>
    </row>
    <row r="9257" spans="1:7">
      <c r="A9257">
        <v>266</v>
      </c>
      <c r="B9257">
        <v>121</v>
      </c>
      <c r="C9257" s="1">
        <f>(Tabela1[[#This Row],[x]]-H$3)*(Tabela1[[#This Row],[x]]-H$3) +(Tabela1[[#This Row],[y]]-H$4)*(Tabela1[[#This Row],[y]]-H$4)</f>
        <v>10597</v>
      </c>
      <c r="D9257" s="1">
        <f>IF(Tabela1[[#This Row],[promien]]&lt;40000,1,0)</f>
        <v>1</v>
      </c>
      <c r="E9257" s="1">
        <f>IF(Tabela1[[#This Row],[promien]]=40000,1,0)</f>
        <v>0</v>
      </c>
      <c r="F9257" s="1">
        <v>3.1401101868856003</v>
      </c>
      <c r="G9257" s="1">
        <v>1.4824667041928308E-3</v>
      </c>
    </row>
    <row r="9258" spans="1:7">
      <c r="A9258">
        <v>196</v>
      </c>
      <c r="B9258">
        <v>355</v>
      </c>
      <c r="C9258" s="1">
        <f>(Tabela1[[#This Row],[x]]-H$3)*(Tabela1[[#This Row],[x]]-H$3) +(Tabela1[[#This Row],[y]]-H$4)*(Tabela1[[#This Row],[y]]-H$4)</f>
        <v>24041</v>
      </c>
      <c r="D9258" s="1">
        <f>IF(Tabela1[[#This Row],[promien]]&lt;40000,1,0)</f>
        <v>1</v>
      </c>
      <c r="E9258" s="1">
        <f>IF(Tabela1[[#This Row],[promien]]=40000,1,0)</f>
        <v>0</v>
      </c>
      <c r="F9258" s="1">
        <v>3.1402030676171959</v>
      </c>
      <c r="G9258" s="1">
        <v>1.389585972597196E-3</v>
      </c>
    </row>
    <row r="9259" spans="1:7">
      <c r="A9259">
        <v>14</v>
      </c>
      <c r="B9259">
        <v>161</v>
      </c>
      <c r="C9259" s="1">
        <f>(Tabela1[[#This Row],[x]]-H$3)*(Tabela1[[#This Row],[x]]-H$3) +(Tabela1[[#This Row],[y]]-H$4)*(Tabela1[[#This Row],[y]]-H$4)</f>
        <v>36117</v>
      </c>
      <c r="D9259" s="1">
        <f>IF(Tabela1[[#This Row],[promien]]&lt;40000,1,0)</f>
        <v>1</v>
      </c>
      <c r="E9259" s="1">
        <f>IF(Tabela1[[#This Row],[promien]]=40000,1,0)</f>
        <v>0</v>
      </c>
      <c r="F9259" s="1">
        <v>3.1402959282859921</v>
      </c>
      <c r="G9259" s="1">
        <v>1.2967253038009829E-3</v>
      </c>
    </row>
    <row r="9260" spans="1:7">
      <c r="A9260">
        <v>146</v>
      </c>
      <c r="B9260">
        <v>232</v>
      </c>
      <c r="C9260" s="1">
        <f>(Tabela1[[#This Row],[x]]-H$3)*(Tabela1[[#This Row],[x]]-H$3) +(Tabela1[[#This Row],[y]]-H$4)*(Tabela1[[#This Row],[y]]-H$4)</f>
        <v>3940</v>
      </c>
      <c r="D9260" s="1">
        <f>IF(Tabela1[[#This Row],[promien]]&lt;40000,1,0)</f>
        <v>1</v>
      </c>
      <c r="E9260" s="1">
        <f>IF(Tabela1[[#This Row],[promien]]=40000,1,0)</f>
        <v>0</v>
      </c>
      <c r="F9260" s="1">
        <v>3.1403887688984882</v>
      </c>
      <c r="G9260" s="1">
        <v>1.2038846913049461E-3</v>
      </c>
    </row>
    <row r="9261" spans="1:7">
      <c r="A9261">
        <v>29</v>
      </c>
      <c r="B9261">
        <v>164</v>
      </c>
      <c r="C9261" s="1">
        <f>(Tabela1[[#This Row],[x]]-H$3)*(Tabela1[[#This Row],[x]]-H$3) +(Tabela1[[#This Row],[y]]-H$4)*(Tabela1[[#This Row],[y]]-H$4)</f>
        <v>30537</v>
      </c>
      <c r="D9261" s="1">
        <f>IF(Tabela1[[#This Row],[promien]]&lt;40000,1,0)</f>
        <v>1</v>
      </c>
      <c r="E9261" s="1">
        <f>IF(Tabela1[[#This Row],[promien]]=40000,1,0)</f>
        <v>0</v>
      </c>
      <c r="F9261" s="1">
        <v>3.1404815894611815</v>
      </c>
      <c r="G9261" s="1">
        <v>1.1110641286116163E-3</v>
      </c>
    </row>
    <row r="9262" spans="1:7">
      <c r="A9262">
        <v>108</v>
      </c>
      <c r="B9262">
        <v>173</v>
      </c>
      <c r="C9262" s="1">
        <f>(Tabela1[[#This Row],[x]]-H$3)*(Tabela1[[#This Row],[x]]-H$3) +(Tabela1[[#This Row],[y]]-H$4)*(Tabela1[[#This Row],[y]]-H$4)</f>
        <v>9193</v>
      </c>
      <c r="D9262" s="1">
        <f>IF(Tabela1[[#This Row],[promien]]&lt;40000,1,0)</f>
        <v>1</v>
      </c>
      <c r="E9262" s="1">
        <f>IF(Tabela1[[#This Row],[promien]]=40000,1,0)</f>
        <v>0</v>
      </c>
      <c r="F9262" s="1">
        <v>3.1405743899805656</v>
      </c>
      <c r="G9262" s="1">
        <v>1.018263609227521E-3</v>
      </c>
    </row>
    <row r="9263" spans="1:7">
      <c r="A9263">
        <v>294</v>
      </c>
      <c r="B9263">
        <v>354</v>
      </c>
      <c r="C9263" s="1">
        <f>(Tabela1[[#This Row],[x]]-H$3)*(Tabela1[[#This Row],[x]]-H$3) +(Tabela1[[#This Row],[y]]-H$4)*(Tabela1[[#This Row],[y]]-H$4)</f>
        <v>32552</v>
      </c>
      <c r="D9263" s="1">
        <f>IF(Tabela1[[#This Row],[promien]]&lt;40000,1,0)</f>
        <v>1</v>
      </c>
      <c r="E9263" s="1">
        <f>IF(Tabela1[[#This Row],[promien]]=40000,1,0)</f>
        <v>0</v>
      </c>
      <c r="F9263" s="1">
        <v>3.140667170463133</v>
      </c>
      <c r="G9263" s="1">
        <v>9.2548312666007604E-4</v>
      </c>
    </row>
    <row r="9264" spans="1:7">
      <c r="A9264">
        <v>344</v>
      </c>
      <c r="B9264">
        <v>107</v>
      </c>
      <c r="C9264" s="1">
        <f>(Tabela1[[#This Row],[x]]-H$3)*(Tabela1[[#This Row],[x]]-H$3) +(Tabela1[[#This Row],[y]]-H$4)*(Tabela1[[#This Row],[y]]-H$4)</f>
        <v>29385</v>
      </c>
      <c r="D9264" s="1">
        <f>IF(Tabela1[[#This Row],[promien]]&lt;40000,1,0)</f>
        <v>1</v>
      </c>
      <c r="E9264" s="1">
        <f>IF(Tabela1[[#This Row],[promien]]=40000,1,0)</f>
        <v>0</v>
      </c>
      <c r="F9264" s="1">
        <v>3.1407599309153715</v>
      </c>
      <c r="G9264" s="1">
        <v>8.327226744215821E-4</v>
      </c>
    </row>
    <row r="9265" spans="1:7">
      <c r="A9265">
        <v>115</v>
      </c>
      <c r="B9265">
        <v>324</v>
      </c>
      <c r="C9265" s="1">
        <f>(Tabela1[[#This Row],[x]]-H$3)*(Tabela1[[#This Row],[x]]-H$3) +(Tabela1[[#This Row],[y]]-H$4)*(Tabela1[[#This Row],[y]]-H$4)</f>
        <v>22601</v>
      </c>
      <c r="D9265" s="1">
        <f>IF(Tabela1[[#This Row],[promien]]&lt;40000,1,0)</f>
        <v>1</v>
      </c>
      <c r="E9265" s="1">
        <f>IF(Tabela1[[#This Row],[promien]]=40000,1,0)</f>
        <v>0</v>
      </c>
      <c r="F9265" s="1">
        <v>3.140852671343767</v>
      </c>
      <c r="G9265" s="1">
        <v>7.3998224602611629E-4</v>
      </c>
    </row>
    <row r="9266" spans="1:7">
      <c r="A9266">
        <v>12</v>
      </c>
      <c r="B9266">
        <v>165</v>
      </c>
      <c r="C9266" s="1">
        <f>(Tabela1[[#This Row],[x]]-H$3)*(Tabela1[[#This Row],[x]]-H$3) +(Tabela1[[#This Row],[y]]-H$4)*(Tabela1[[#This Row],[y]]-H$4)</f>
        <v>36569</v>
      </c>
      <c r="D9266" s="1">
        <f>IF(Tabela1[[#This Row],[promien]]&lt;40000,1,0)</f>
        <v>1</v>
      </c>
      <c r="E9266" s="1">
        <f>IF(Tabela1[[#This Row],[promien]]=40000,1,0)</f>
        <v>0</v>
      </c>
      <c r="F9266" s="1">
        <v>3.1409453917548027</v>
      </c>
      <c r="G9266" s="1">
        <v>6.4726183499042023E-4</v>
      </c>
    </row>
    <row r="9267" spans="1:7">
      <c r="A9267">
        <v>204</v>
      </c>
      <c r="B9267">
        <v>231</v>
      </c>
      <c r="C9267" s="1">
        <f>(Tabela1[[#This Row],[x]]-H$3)*(Tabela1[[#This Row],[x]]-H$3) +(Tabela1[[#This Row],[y]]-H$4)*(Tabela1[[#This Row],[y]]-H$4)</f>
        <v>977</v>
      </c>
      <c r="D9267" s="1">
        <f>IF(Tabela1[[#This Row],[promien]]&lt;40000,1,0)</f>
        <v>1</v>
      </c>
      <c r="E9267" s="1">
        <f>IF(Tabela1[[#This Row],[promien]]=40000,1,0)</f>
        <v>0</v>
      </c>
      <c r="F9267" s="1">
        <v>3.1410380921549583</v>
      </c>
      <c r="G9267" s="1">
        <v>5.5456143483478826E-4</v>
      </c>
    </row>
    <row r="9268" spans="1:7">
      <c r="A9268">
        <v>264</v>
      </c>
      <c r="B9268">
        <v>242</v>
      </c>
      <c r="C9268" s="1">
        <f>(Tabela1[[#This Row],[x]]-H$3)*(Tabela1[[#This Row],[x]]-H$3) +(Tabela1[[#This Row],[y]]-H$4)*(Tabela1[[#This Row],[y]]-H$4)</f>
        <v>5860</v>
      </c>
      <c r="D9268" s="1">
        <f>IF(Tabela1[[#This Row],[promien]]&lt;40000,1,0)</f>
        <v>1</v>
      </c>
      <c r="E9268" s="1">
        <f>IF(Tabela1[[#This Row],[promien]]=40000,1,0)</f>
        <v>0</v>
      </c>
      <c r="F9268" s="1">
        <v>3.1411307725507123</v>
      </c>
      <c r="G9268" s="1">
        <v>4.6188103908084699E-4</v>
      </c>
    </row>
    <row r="9269" spans="1:7">
      <c r="A9269">
        <v>267</v>
      </c>
      <c r="B9269">
        <v>306</v>
      </c>
      <c r="C9269" s="1">
        <f>(Tabela1[[#This Row],[x]]-H$3)*(Tabela1[[#This Row],[x]]-H$3) +(Tabela1[[#This Row],[y]]-H$4)*(Tabela1[[#This Row],[y]]-H$4)</f>
        <v>15725</v>
      </c>
      <c r="D9269" s="1">
        <f>IF(Tabela1[[#This Row],[promien]]&lt;40000,1,0)</f>
        <v>1</v>
      </c>
      <c r="E9269" s="1">
        <f>IF(Tabela1[[#This Row],[promien]]=40000,1,0)</f>
        <v>0</v>
      </c>
      <c r="F9269" s="1">
        <v>3.141223432948538</v>
      </c>
      <c r="G9269" s="1">
        <v>3.6922064125510801E-4</v>
      </c>
    </row>
    <row r="9270" spans="1:7">
      <c r="A9270">
        <v>33</v>
      </c>
      <c r="B9270">
        <v>30</v>
      </c>
      <c r="C9270" s="1">
        <f>(Tabela1[[#This Row],[x]]-H$3)*(Tabela1[[#This Row],[x]]-H$3) +(Tabela1[[#This Row],[y]]-H$4)*(Tabela1[[#This Row],[y]]-H$4)</f>
        <v>56789</v>
      </c>
      <c r="D9270" s="1">
        <f>IF(Tabela1[[#This Row],[promien]]&lt;40000,1,0)</f>
        <v>0</v>
      </c>
      <c r="E9270" s="1">
        <f>IF(Tabela1[[#This Row],[promien]]=40000,1,0)</f>
        <v>0</v>
      </c>
      <c r="F9270" s="1">
        <v>3.1408845738942825</v>
      </c>
      <c r="G9270" s="1">
        <v>7.0807969551056615E-4</v>
      </c>
    </row>
    <row r="9271" spans="1:7">
      <c r="A9271">
        <v>139</v>
      </c>
      <c r="B9271">
        <v>258</v>
      </c>
      <c r="C9271" s="1">
        <f>(Tabela1[[#This Row],[x]]-H$3)*(Tabela1[[#This Row],[x]]-H$3) +(Tabela1[[#This Row],[y]]-H$4)*(Tabela1[[#This Row],[y]]-H$4)</f>
        <v>7085</v>
      </c>
      <c r="D9271" s="1">
        <f>IF(Tabela1[[#This Row],[promien]]&lt;40000,1,0)</f>
        <v>1</v>
      </c>
      <c r="E9271" s="1">
        <f>IF(Tabela1[[#This Row],[promien]]=40000,1,0)</f>
        <v>0</v>
      </c>
      <c r="F9271" s="1">
        <v>3.1409772408585912</v>
      </c>
      <c r="G9271" s="1">
        <v>6.154127312019142E-4</v>
      </c>
    </row>
    <row r="9272" spans="1:7">
      <c r="A9272">
        <v>86</v>
      </c>
      <c r="B9272">
        <v>266</v>
      </c>
      <c r="C9272" s="1">
        <f>(Tabela1[[#This Row],[x]]-H$3)*(Tabela1[[#This Row],[x]]-H$3) +(Tabela1[[#This Row],[y]]-H$4)*(Tabela1[[#This Row],[y]]-H$4)</f>
        <v>17352</v>
      </c>
      <c r="D9272" s="1">
        <f>IF(Tabela1[[#This Row],[promien]]&lt;40000,1,0)</f>
        <v>1</v>
      </c>
      <c r="E9272" s="1">
        <f>IF(Tabela1[[#This Row],[promien]]=40000,1,0)</f>
        <v>0</v>
      </c>
      <c r="F9272" s="1">
        <v>3.1410698878343402</v>
      </c>
      <c r="G9272" s="1">
        <v>5.2276575545295856E-4</v>
      </c>
    </row>
    <row r="9273" spans="1:7">
      <c r="A9273">
        <v>372</v>
      </c>
      <c r="B9273">
        <v>86</v>
      </c>
      <c r="C9273" s="1">
        <f>(Tabela1[[#This Row],[x]]-H$3)*(Tabela1[[#This Row],[x]]-H$3) +(Tabela1[[#This Row],[y]]-H$4)*(Tabela1[[#This Row],[y]]-H$4)</f>
        <v>42580</v>
      </c>
      <c r="D9273" s="1">
        <f>IF(Tabela1[[#This Row],[promien]]&lt;40000,1,0)</f>
        <v>0</v>
      </c>
      <c r="E9273" s="1">
        <f>IF(Tabela1[[#This Row],[promien]]=40000,1,0)</f>
        <v>0</v>
      </c>
      <c r="F9273" s="1">
        <v>3.1407311549660304</v>
      </c>
      <c r="G9273" s="1">
        <v>8.6149862376272424E-4</v>
      </c>
    </row>
    <row r="9274" spans="1:7">
      <c r="A9274">
        <v>90</v>
      </c>
      <c r="B9274">
        <v>48</v>
      </c>
      <c r="C9274" s="1">
        <f>(Tabela1[[#This Row],[x]]-H$3)*(Tabela1[[#This Row],[x]]-H$3) +(Tabela1[[#This Row],[y]]-H$4)*(Tabela1[[#This Row],[y]]-H$4)</f>
        <v>35204</v>
      </c>
      <c r="D9274" s="1">
        <f>IF(Tabela1[[#This Row],[promien]]&lt;40000,1,0)</f>
        <v>1</v>
      </c>
      <c r="E9274" s="1">
        <f>IF(Tabela1[[#This Row],[promien]]=40000,1,0)</f>
        <v>0</v>
      </c>
      <c r="F9274" s="1">
        <v>3.1408238084968731</v>
      </c>
      <c r="G9274" s="1">
        <v>7.688450929199675E-4</v>
      </c>
    </row>
    <row r="9275" spans="1:7">
      <c r="A9275">
        <v>397</v>
      </c>
      <c r="B9275">
        <v>1</v>
      </c>
      <c r="C9275" s="1">
        <f>(Tabela1[[#This Row],[x]]-H$3)*(Tabela1[[#This Row],[x]]-H$3) +(Tabela1[[#This Row],[y]]-H$4)*(Tabela1[[#This Row],[y]]-H$4)</f>
        <v>78410</v>
      </c>
      <c r="D9275" s="1">
        <f>IF(Tabela1[[#This Row],[promien]]&lt;40000,1,0)</f>
        <v>0</v>
      </c>
      <c r="E9275" s="1">
        <f>IF(Tabela1[[#This Row],[promien]]=40000,1,0)</f>
        <v>0</v>
      </c>
      <c r="F9275" s="1">
        <v>3.1404851752021563</v>
      </c>
      <c r="G9275" s="1">
        <v>1.1074783876368066E-3</v>
      </c>
    </row>
    <row r="9276" spans="1:7">
      <c r="A9276">
        <v>59</v>
      </c>
      <c r="B9276">
        <v>144</v>
      </c>
      <c r="C9276" s="1">
        <f>(Tabela1[[#This Row],[x]]-H$3)*(Tabela1[[#This Row],[x]]-H$3) +(Tabela1[[#This Row],[y]]-H$4)*(Tabela1[[#This Row],[y]]-H$4)</f>
        <v>23017</v>
      </c>
      <c r="D9276" s="1">
        <f>IF(Tabela1[[#This Row],[promien]]&lt;40000,1,0)</f>
        <v>1</v>
      </c>
      <c r="E9276" s="1">
        <f>IF(Tabela1[[#This Row],[promien]]=40000,1,0)</f>
        <v>0</v>
      </c>
      <c r="F9276" s="1">
        <v>3.1405778352738247</v>
      </c>
      <c r="G9276" s="1">
        <v>1.014818315968391E-3</v>
      </c>
    </row>
    <row r="9277" spans="1:7">
      <c r="A9277">
        <v>32</v>
      </c>
      <c r="B9277">
        <v>381</v>
      </c>
      <c r="C9277" s="1">
        <f>(Tabela1[[#This Row],[x]]-H$3)*(Tabela1[[#This Row],[x]]-H$3) +(Tabela1[[#This Row],[y]]-H$4)*(Tabela1[[#This Row],[y]]-H$4)</f>
        <v>60985</v>
      </c>
      <c r="D9277" s="1">
        <f>IF(Tabela1[[#This Row],[promien]]&lt;40000,1,0)</f>
        <v>0</v>
      </c>
      <c r="E9277" s="1">
        <f>IF(Tabela1[[#This Row],[promien]]=40000,1,0)</f>
        <v>0</v>
      </c>
      <c r="F9277" s="1">
        <v>3.1402393014983292</v>
      </c>
      <c r="G9277" s="1">
        <v>1.3533520914639219E-3</v>
      </c>
    </row>
    <row r="9278" spans="1:7">
      <c r="A9278">
        <v>334</v>
      </c>
      <c r="B9278">
        <v>5</v>
      </c>
      <c r="C9278" s="1">
        <f>(Tabela1[[#This Row],[x]]-H$3)*(Tabela1[[#This Row],[x]]-H$3) +(Tabela1[[#This Row],[y]]-H$4)*(Tabela1[[#This Row],[y]]-H$4)</f>
        <v>55981</v>
      </c>
      <c r="D9278" s="1">
        <f>IF(Tabela1[[#This Row],[promien]]&lt;40000,1,0)</f>
        <v>0</v>
      </c>
      <c r="E9278" s="1">
        <f>IF(Tabela1[[#This Row],[promien]]=40000,1,0)</f>
        <v>0</v>
      </c>
      <c r="F9278" s="1">
        <v>3.1399008406984263</v>
      </c>
      <c r="G9278" s="1">
        <v>1.6918128913667729E-3</v>
      </c>
    </row>
    <row r="9279" spans="1:7">
      <c r="A9279">
        <v>107</v>
      </c>
      <c r="B9279">
        <v>225</v>
      </c>
      <c r="C9279" s="1">
        <f>(Tabela1[[#This Row],[x]]-H$3)*(Tabela1[[#This Row],[x]]-H$3) +(Tabela1[[#This Row],[y]]-H$4)*(Tabela1[[#This Row],[y]]-H$4)</f>
        <v>9274</v>
      </c>
      <c r="D9279" s="1">
        <f>IF(Tabela1[[#This Row],[promien]]&lt;40000,1,0)</f>
        <v>1</v>
      </c>
      <c r="E9279" s="1">
        <f>IF(Tabela1[[#This Row],[promien]]=40000,1,0)</f>
        <v>0</v>
      </c>
      <c r="F9279" s="1">
        <v>3.1399935337859683</v>
      </c>
      <c r="G9279" s="1">
        <v>1.5991198038247667E-3</v>
      </c>
    </row>
    <row r="9280" spans="1:7">
      <c r="A9280">
        <v>13</v>
      </c>
      <c r="B9280">
        <v>334</v>
      </c>
      <c r="C9280" s="1">
        <f>(Tabela1[[#This Row],[x]]-H$3)*(Tabela1[[#This Row],[x]]-H$3) +(Tabela1[[#This Row],[y]]-H$4)*(Tabela1[[#This Row],[y]]-H$4)</f>
        <v>52925</v>
      </c>
      <c r="D9280" s="1">
        <f>IF(Tabela1[[#This Row],[promien]]&lt;40000,1,0)</f>
        <v>0</v>
      </c>
      <c r="E9280" s="1">
        <f>IF(Tabela1[[#This Row],[promien]]=40000,1,0)</f>
        <v>0</v>
      </c>
      <c r="F9280" s="1">
        <v>3.1396551724137929</v>
      </c>
      <c r="G9280" s="1">
        <v>1.9374811760002331E-3</v>
      </c>
    </row>
    <row r="9281" spans="1:7">
      <c r="A9281">
        <v>46</v>
      </c>
      <c r="B9281">
        <v>332</v>
      </c>
      <c r="C9281" s="1">
        <f>(Tabela1[[#This Row],[x]]-H$3)*(Tabela1[[#This Row],[x]]-H$3) +(Tabela1[[#This Row],[y]]-H$4)*(Tabela1[[#This Row],[y]]-H$4)</f>
        <v>41140</v>
      </c>
      <c r="D9281" s="1">
        <f>IF(Tabela1[[#This Row],[promien]]&lt;40000,1,0)</f>
        <v>0</v>
      </c>
      <c r="E9281" s="1">
        <f>IF(Tabela1[[#This Row],[promien]]=40000,1,0)</f>
        <v>0</v>
      </c>
      <c r="F9281" s="1">
        <v>3.1393168839564702</v>
      </c>
      <c r="G9281" s="1">
        <v>2.2757696333228772E-3</v>
      </c>
    </row>
    <row r="9282" spans="1:7">
      <c r="A9282">
        <v>341</v>
      </c>
      <c r="B9282">
        <v>170</v>
      </c>
      <c r="C9282" s="1">
        <f>(Tabela1[[#This Row],[x]]-H$3)*(Tabela1[[#This Row],[x]]-H$3) +(Tabela1[[#This Row],[y]]-H$4)*(Tabela1[[#This Row],[y]]-H$4)</f>
        <v>20781</v>
      </c>
      <c r="D9282" s="1">
        <f>IF(Tabela1[[#This Row],[promien]]&lt;40000,1,0)</f>
        <v>1</v>
      </c>
      <c r="E9282" s="1">
        <f>IF(Tabela1[[#This Row],[promien]]=40000,1,0)</f>
        <v>0</v>
      </c>
      <c r="F9282" s="1">
        <v>3.1394096099978452</v>
      </c>
      <c r="G9282" s="1">
        <v>2.1830435919478752E-3</v>
      </c>
    </row>
    <row r="9283" spans="1:7">
      <c r="A9283">
        <v>145</v>
      </c>
      <c r="B9283">
        <v>300</v>
      </c>
      <c r="C9283" s="1">
        <f>(Tabela1[[#This Row],[x]]-H$3)*(Tabela1[[#This Row],[x]]-H$3) +(Tabela1[[#This Row],[y]]-H$4)*(Tabela1[[#This Row],[y]]-H$4)</f>
        <v>13025</v>
      </c>
      <c r="D9283" s="1">
        <f>IF(Tabela1[[#This Row],[promien]]&lt;40000,1,0)</f>
        <v>1</v>
      </c>
      <c r="E9283" s="1">
        <f>IF(Tabela1[[#This Row],[promien]]=40000,1,0)</f>
        <v>0</v>
      </c>
      <c r="F9283" s="1">
        <v>3.139502316061618</v>
      </c>
      <c r="G9283" s="1">
        <v>2.0903375281751124E-3</v>
      </c>
    </row>
    <row r="9284" spans="1:7">
      <c r="A9284">
        <v>255</v>
      </c>
      <c r="B9284">
        <v>126</v>
      </c>
      <c r="C9284" s="1">
        <f>(Tabela1[[#This Row],[x]]-H$3)*(Tabela1[[#This Row],[x]]-H$3) +(Tabela1[[#This Row],[y]]-H$4)*(Tabela1[[#This Row],[y]]-H$4)</f>
        <v>8501</v>
      </c>
      <c r="D9284" s="1">
        <f>IF(Tabela1[[#This Row],[promien]]&lt;40000,1,0)</f>
        <v>1</v>
      </c>
      <c r="E9284" s="1">
        <f>IF(Tabela1[[#This Row],[promien]]=40000,1,0)</f>
        <v>0</v>
      </c>
      <c r="F9284" s="1">
        <v>3.1395950021542438</v>
      </c>
      <c r="G9284" s="1">
        <v>1.997651435549308E-3</v>
      </c>
    </row>
    <row r="9285" spans="1:7">
      <c r="A9285">
        <v>299</v>
      </c>
      <c r="B9285">
        <v>171</v>
      </c>
      <c r="C9285" s="1">
        <f>(Tabela1[[#This Row],[x]]-H$3)*(Tabela1[[#This Row],[x]]-H$3) +(Tabela1[[#This Row],[y]]-H$4)*(Tabela1[[#This Row],[y]]-H$4)</f>
        <v>10642</v>
      </c>
      <c r="D9285" s="1">
        <f>IF(Tabela1[[#This Row],[promien]]&lt;40000,1,0)</f>
        <v>1</v>
      </c>
      <c r="E9285" s="1">
        <f>IF(Tabela1[[#This Row],[promien]]=40000,1,0)</f>
        <v>0</v>
      </c>
      <c r="F9285" s="1">
        <v>3.1396876682821757</v>
      </c>
      <c r="G9285" s="1">
        <v>1.9049853076174017E-3</v>
      </c>
    </row>
    <row r="9286" spans="1:7">
      <c r="A9286">
        <v>30</v>
      </c>
      <c r="B9286">
        <v>88</v>
      </c>
      <c r="C9286" s="1">
        <f>(Tabela1[[#This Row],[x]]-H$3)*(Tabela1[[#This Row],[x]]-H$3) +(Tabela1[[#This Row],[y]]-H$4)*(Tabela1[[#This Row],[y]]-H$4)</f>
        <v>41444</v>
      </c>
      <c r="D9286" s="1">
        <f>IF(Tabela1[[#This Row],[promien]]&lt;40000,1,0)</f>
        <v>0</v>
      </c>
      <c r="E9286" s="1">
        <f>IF(Tabela1[[#This Row],[promien]]=40000,1,0)</f>
        <v>0</v>
      </c>
      <c r="F9286" s="1">
        <v>3.1393495584751236</v>
      </c>
      <c r="G9286" s="1">
        <v>2.2430951146694689E-3</v>
      </c>
    </row>
    <row r="9287" spans="1:7">
      <c r="A9287">
        <v>282</v>
      </c>
      <c r="B9287">
        <v>6</v>
      </c>
      <c r="C9287" s="1">
        <f>(Tabela1[[#This Row],[x]]-H$3)*(Tabela1[[#This Row],[x]]-H$3) +(Tabela1[[#This Row],[y]]-H$4)*(Tabela1[[#This Row],[y]]-H$4)</f>
        <v>44360</v>
      </c>
      <c r="D9287" s="1">
        <f>IF(Tabela1[[#This Row],[promien]]&lt;40000,1,0)</f>
        <v>0</v>
      </c>
      <c r="E9287" s="1">
        <f>IF(Tabela1[[#This Row],[promien]]=40000,1,0)</f>
        <v>0</v>
      </c>
      <c r="F9287" s="1">
        <v>3.139011521481641</v>
      </c>
      <c r="G9287" s="1">
        <v>2.5811321081521399E-3</v>
      </c>
    </row>
    <row r="9288" spans="1:7">
      <c r="A9288">
        <v>95</v>
      </c>
      <c r="B9288">
        <v>19</v>
      </c>
      <c r="C9288" s="1">
        <f>(Tabela1[[#This Row],[x]]-H$3)*(Tabela1[[#This Row],[x]]-H$3) +(Tabela1[[#This Row],[y]]-H$4)*(Tabela1[[#This Row],[y]]-H$4)</f>
        <v>43786</v>
      </c>
      <c r="D9288" s="1">
        <f>IF(Tabela1[[#This Row],[promien]]&lt;40000,1,0)</f>
        <v>0</v>
      </c>
      <c r="E9288" s="1">
        <f>IF(Tabela1[[#This Row],[promien]]=40000,1,0)</f>
        <v>0</v>
      </c>
      <c r="F9288" s="1">
        <v>3.1386735572782083</v>
      </c>
      <c r="G9288" s="1">
        <v>2.9190963115848234E-3</v>
      </c>
    </row>
    <row r="9289" spans="1:7">
      <c r="A9289">
        <v>362</v>
      </c>
      <c r="B9289">
        <v>11</v>
      </c>
      <c r="C9289" s="1">
        <f>(Tabela1[[#This Row],[x]]-H$3)*(Tabela1[[#This Row],[x]]-H$3) +(Tabela1[[#This Row],[y]]-H$4)*(Tabela1[[#This Row],[y]]-H$4)</f>
        <v>61965</v>
      </c>
      <c r="D9289" s="1">
        <f>IF(Tabela1[[#This Row],[promien]]&lt;40000,1,0)</f>
        <v>0</v>
      </c>
      <c r="E9289" s="1">
        <f>IF(Tabela1[[#This Row],[promien]]=40000,1,0)</f>
        <v>0</v>
      </c>
      <c r="F9289" s="1">
        <v>3.1383356658413177</v>
      </c>
      <c r="G9289" s="1">
        <v>3.2569877484753817E-3</v>
      </c>
    </row>
    <row r="9290" spans="1:7">
      <c r="A9290">
        <v>67</v>
      </c>
      <c r="B9290">
        <v>386</v>
      </c>
      <c r="C9290" s="1">
        <f>(Tabela1[[#This Row],[x]]-H$3)*(Tabela1[[#This Row],[x]]-H$3) +(Tabela1[[#This Row],[y]]-H$4)*(Tabela1[[#This Row],[y]]-H$4)</f>
        <v>52285</v>
      </c>
      <c r="D9290" s="1">
        <f>IF(Tabela1[[#This Row],[promien]]&lt;40000,1,0)</f>
        <v>0</v>
      </c>
      <c r="E9290" s="1">
        <f>IF(Tabela1[[#This Row],[promien]]=40000,1,0)</f>
        <v>0</v>
      </c>
      <c r="F9290" s="1">
        <v>3.1379978471474703</v>
      </c>
      <c r="G9290" s="1">
        <v>3.5948064423227954E-3</v>
      </c>
    </row>
    <row r="9291" spans="1:7">
      <c r="A9291">
        <v>33</v>
      </c>
      <c r="B9291">
        <v>265</v>
      </c>
      <c r="C9291" s="1">
        <f>(Tabela1[[#This Row],[x]]-H$3)*(Tabela1[[#This Row],[x]]-H$3) +(Tabela1[[#This Row],[y]]-H$4)*(Tabela1[[#This Row],[y]]-H$4)</f>
        <v>32114</v>
      </c>
      <c r="D9291" s="1">
        <f>IF(Tabela1[[#This Row],[promien]]&lt;40000,1,0)</f>
        <v>1</v>
      </c>
      <c r="E9291" s="1">
        <f>IF(Tabela1[[#This Row],[promien]]=40000,1,0)</f>
        <v>0</v>
      </c>
      <c r="F9291" s="1">
        <v>3.1380906253363472</v>
      </c>
      <c r="G9291" s="1">
        <v>3.5020282534459213E-3</v>
      </c>
    </row>
    <row r="9292" spans="1:7">
      <c r="A9292">
        <v>388</v>
      </c>
      <c r="B9292">
        <v>187</v>
      </c>
      <c r="C9292" s="1">
        <f>(Tabela1[[#This Row],[x]]-H$3)*(Tabela1[[#This Row],[x]]-H$3) +(Tabela1[[#This Row],[y]]-H$4)*(Tabela1[[#This Row],[y]]-H$4)</f>
        <v>35513</v>
      </c>
      <c r="D9292" s="1">
        <f>IF(Tabela1[[#This Row],[promien]]&lt;40000,1,0)</f>
        <v>1</v>
      </c>
      <c r="E9292" s="1">
        <f>IF(Tabela1[[#This Row],[promien]]=40000,1,0)</f>
        <v>0</v>
      </c>
      <c r="F9292" s="1">
        <v>3.1381833835557469</v>
      </c>
      <c r="G9292" s="1">
        <v>3.4092700340462301E-3</v>
      </c>
    </row>
    <row r="9293" spans="1:7">
      <c r="A9293">
        <v>174</v>
      </c>
      <c r="B9293">
        <v>195</v>
      </c>
      <c r="C9293" s="1">
        <f>(Tabela1[[#This Row],[x]]-H$3)*(Tabela1[[#This Row],[x]]-H$3) +(Tabela1[[#This Row],[y]]-H$4)*(Tabela1[[#This Row],[y]]-H$4)</f>
        <v>701</v>
      </c>
      <c r="D9293" s="1">
        <f>IF(Tabela1[[#This Row],[promien]]&lt;40000,1,0)</f>
        <v>1</v>
      </c>
      <c r="E9293" s="1">
        <f>IF(Tabela1[[#This Row],[promien]]=40000,1,0)</f>
        <v>0</v>
      </c>
      <c r="F9293" s="1">
        <v>3.1382761218121167</v>
      </c>
      <c r="G9293" s="1">
        <v>3.3165317776764347E-3</v>
      </c>
    </row>
    <row r="9294" spans="1:7">
      <c r="A9294">
        <v>96</v>
      </c>
      <c r="B9294">
        <v>364</v>
      </c>
      <c r="C9294" s="1">
        <f>(Tabela1[[#This Row],[x]]-H$3)*(Tabela1[[#This Row],[x]]-H$3) +(Tabela1[[#This Row],[y]]-H$4)*(Tabela1[[#This Row],[y]]-H$4)</f>
        <v>37712</v>
      </c>
      <c r="D9294" s="1">
        <f>IF(Tabela1[[#This Row],[promien]]&lt;40000,1,0)</f>
        <v>1</v>
      </c>
      <c r="E9294" s="1">
        <f>IF(Tabela1[[#This Row],[promien]]=40000,1,0)</f>
        <v>0</v>
      </c>
      <c r="F9294" s="1">
        <v>3.1383688401119003</v>
      </c>
      <c r="G9294" s="1">
        <v>3.2238134778928007E-3</v>
      </c>
    </row>
    <row r="9295" spans="1:7">
      <c r="A9295">
        <v>198</v>
      </c>
      <c r="B9295">
        <v>156</v>
      </c>
      <c r="C9295" s="1">
        <f>(Tabela1[[#This Row],[x]]-H$3)*(Tabela1[[#This Row],[x]]-H$3) +(Tabela1[[#This Row],[y]]-H$4)*(Tabela1[[#This Row],[y]]-H$4)</f>
        <v>1940</v>
      </c>
      <c r="D9295" s="1">
        <f>IF(Tabela1[[#This Row],[promien]]&lt;40000,1,0)</f>
        <v>1</v>
      </c>
      <c r="E9295" s="1">
        <f>IF(Tabela1[[#This Row],[promien]]=40000,1,0)</f>
        <v>0</v>
      </c>
      <c r="F9295" s="1">
        <v>3.1384615384615384</v>
      </c>
      <c r="G9295" s="1">
        <v>3.1311151282547023E-3</v>
      </c>
    </row>
    <row r="9296" spans="1:7">
      <c r="A9296">
        <v>73</v>
      </c>
      <c r="B9296">
        <v>157</v>
      </c>
      <c r="C9296" s="1">
        <f>(Tabela1[[#This Row],[x]]-H$3)*(Tabela1[[#This Row],[x]]-H$3) +(Tabela1[[#This Row],[y]]-H$4)*(Tabela1[[#This Row],[y]]-H$4)</f>
        <v>17978</v>
      </c>
      <c r="D9296" s="1">
        <f>IF(Tabela1[[#This Row],[promien]]&lt;40000,1,0)</f>
        <v>1</v>
      </c>
      <c r="E9296" s="1">
        <f>IF(Tabela1[[#This Row],[promien]]=40000,1,0)</f>
        <v>0</v>
      </c>
      <c r="F9296" s="1">
        <v>3.1385542168674698</v>
      </c>
      <c r="G9296" s="1">
        <v>3.03843672232329E-3</v>
      </c>
    </row>
    <row r="9297" spans="1:7">
      <c r="A9297">
        <v>235</v>
      </c>
      <c r="B9297">
        <v>30</v>
      </c>
      <c r="C9297" s="1">
        <f>(Tabela1[[#This Row],[x]]-H$3)*(Tabela1[[#This Row],[x]]-H$3) +(Tabela1[[#This Row],[y]]-H$4)*(Tabela1[[#This Row],[y]]-H$4)</f>
        <v>30125</v>
      </c>
      <c r="D9297" s="1">
        <f>IF(Tabela1[[#This Row],[promien]]&lt;40000,1,0)</f>
        <v>1</v>
      </c>
      <c r="E9297" s="1">
        <f>IF(Tabela1[[#This Row],[promien]]=40000,1,0)</f>
        <v>0</v>
      </c>
      <c r="F9297" s="1">
        <v>3.1386468753361298</v>
      </c>
      <c r="G9297" s="1">
        <v>2.9457782536632671E-3</v>
      </c>
    </row>
    <row r="9298" spans="1:7">
      <c r="A9298">
        <v>101</v>
      </c>
      <c r="B9298">
        <v>208</v>
      </c>
      <c r="C9298" s="1">
        <f>(Tabela1[[#This Row],[x]]-H$3)*(Tabela1[[#This Row],[x]]-H$3) +(Tabela1[[#This Row],[y]]-H$4)*(Tabela1[[#This Row],[y]]-H$4)</f>
        <v>9865</v>
      </c>
      <c r="D9298" s="1">
        <f>IF(Tabela1[[#This Row],[promien]]&lt;40000,1,0)</f>
        <v>1</v>
      </c>
      <c r="E9298" s="1">
        <f>IF(Tabela1[[#This Row],[promien]]=40000,1,0)</f>
        <v>0</v>
      </c>
      <c r="F9298" s="1">
        <v>3.1387395138739516</v>
      </c>
      <c r="G9298" s="1">
        <v>2.8531397158415572E-3</v>
      </c>
    </row>
    <row r="9299" spans="1:7">
      <c r="A9299">
        <v>356</v>
      </c>
      <c r="B9299">
        <v>235</v>
      </c>
      <c r="C9299" s="1">
        <f>(Tabela1[[#This Row],[x]]-H$3)*(Tabela1[[#This Row],[x]]-H$3) +(Tabela1[[#This Row],[y]]-H$4)*(Tabela1[[#This Row],[y]]-H$4)</f>
        <v>25561</v>
      </c>
      <c r="D9299" s="1">
        <f>IF(Tabela1[[#This Row],[promien]]&lt;40000,1,0)</f>
        <v>1</v>
      </c>
      <c r="E9299" s="1">
        <f>IF(Tabela1[[#This Row],[promien]]=40000,1,0)</f>
        <v>0</v>
      </c>
      <c r="F9299" s="1">
        <v>3.138832132487364</v>
      </c>
      <c r="G9299" s="1">
        <v>2.760521102429081E-3</v>
      </c>
    </row>
    <row r="9300" spans="1:7">
      <c r="A9300">
        <v>55</v>
      </c>
      <c r="B9300">
        <v>267</v>
      </c>
      <c r="C9300" s="1">
        <f>(Tabela1[[#This Row],[x]]-H$3)*(Tabela1[[#This Row],[x]]-H$3) +(Tabela1[[#This Row],[y]]-H$4)*(Tabela1[[#This Row],[y]]-H$4)</f>
        <v>25514</v>
      </c>
      <c r="D9300" s="1">
        <f>IF(Tabela1[[#This Row],[promien]]&lt;40000,1,0)</f>
        <v>1</v>
      </c>
      <c r="E9300" s="1">
        <f>IF(Tabela1[[#This Row],[promien]]=40000,1,0)</f>
        <v>0</v>
      </c>
      <c r="F9300" s="1">
        <v>3.1389247311827959</v>
      </c>
      <c r="G9300" s="1">
        <v>2.667922406997203E-3</v>
      </c>
    </row>
    <row r="9301" spans="1:7">
      <c r="A9301">
        <v>79</v>
      </c>
      <c r="B9301">
        <v>101</v>
      </c>
      <c r="C9301" s="1">
        <f>(Tabela1[[#This Row],[x]]-H$3)*(Tabela1[[#This Row],[x]]-H$3) +(Tabela1[[#This Row],[y]]-H$4)*(Tabela1[[#This Row],[y]]-H$4)</f>
        <v>24442</v>
      </c>
      <c r="D9301" s="1">
        <f>IF(Tabela1[[#This Row],[promien]]&lt;40000,1,0)</f>
        <v>1</v>
      </c>
      <c r="E9301" s="1">
        <f>IF(Tabela1[[#This Row],[promien]]=40000,1,0)</f>
        <v>0</v>
      </c>
      <c r="F9301" s="1">
        <v>3.1390173099666701</v>
      </c>
      <c r="G9301" s="1">
        <v>2.5753436231230609E-3</v>
      </c>
    </row>
    <row r="9302" spans="1:7">
      <c r="A9302">
        <v>277</v>
      </c>
      <c r="B9302">
        <v>240</v>
      </c>
      <c r="C9302" s="1">
        <f>(Tabela1[[#This Row],[x]]-H$3)*(Tabela1[[#This Row],[x]]-H$3) +(Tabela1[[#This Row],[y]]-H$4)*(Tabela1[[#This Row],[y]]-H$4)</f>
        <v>7529</v>
      </c>
      <c r="D9302" s="1">
        <f>IF(Tabela1[[#This Row],[promien]]&lt;40000,1,0)</f>
        <v>1</v>
      </c>
      <c r="E9302" s="1">
        <f>IF(Tabela1[[#This Row],[promien]]=40000,1,0)</f>
        <v>0</v>
      </c>
      <c r="F9302" s="1">
        <v>3.1391098688454098</v>
      </c>
      <c r="G9302" s="1">
        <v>2.4827847443833484E-3</v>
      </c>
    </row>
    <row r="9303" spans="1:7">
      <c r="A9303">
        <v>244</v>
      </c>
      <c r="B9303">
        <v>369</v>
      </c>
      <c r="C9303" s="1">
        <f>(Tabela1[[#This Row],[x]]-H$3)*(Tabela1[[#This Row],[x]]-H$3) +(Tabela1[[#This Row],[y]]-H$4)*(Tabela1[[#This Row],[y]]-H$4)</f>
        <v>30497</v>
      </c>
      <c r="D9303" s="1">
        <f>IF(Tabela1[[#This Row],[promien]]&lt;40000,1,0)</f>
        <v>1</v>
      </c>
      <c r="E9303" s="1">
        <f>IF(Tabela1[[#This Row],[promien]]=40000,1,0)</f>
        <v>0</v>
      </c>
      <c r="F9303" s="1">
        <v>3.1392024078254326</v>
      </c>
      <c r="G9303" s="1">
        <v>2.3902457643605324E-3</v>
      </c>
    </row>
    <row r="9304" spans="1:7">
      <c r="A9304">
        <v>358</v>
      </c>
      <c r="B9304">
        <v>320</v>
      </c>
      <c r="C9304" s="1">
        <f>(Tabela1[[#This Row],[x]]-H$3)*(Tabela1[[#This Row],[x]]-H$3) +(Tabela1[[#This Row],[y]]-H$4)*(Tabela1[[#This Row],[y]]-H$4)</f>
        <v>39364</v>
      </c>
      <c r="D9304" s="1">
        <f>IF(Tabela1[[#This Row],[promien]]&lt;40000,1,0)</f>
        <v>1</v>
      </c>
      <c r="E9304" s="1">
        <f>IF(Tabela1[[#This Row],[promien]]=40000,1,0)</f>
        <v>0</v>
      </c>
      <c r="F9304" s="1">
        <v>3.1392949269131556</v>
      </c>
      <c r="G9304" s="1">
        <v>2.2977266766375237E-3</v>
      </c>
    </row>
    <row r="9305" spans="1:7">
      <c r="A9305">
        <v>221</v>
      </c>
      <c r="B9305">
        <v>202</v>
      </c>
      <c r="C9305" s="1">
        <f>(Tabela1[[#This Row],[x]]-H$3)*(Tabela1[[#This Row],[x]]-H$3) +(Tabela1[[#This Row],[y]]-H$4)*(Tabela1[[#This Row],[y]]-H$4)</f>
        <v>445</v>
      </c>
      <c r="D9305" s="1">
        <f>IF(Tabela1[[#This Row],[promien]]&lt;40000,1,0)</f>
        <v>1</v>
      </c>
      <c r="E9305" s="1">
        <f>IF(Tabela1[[#This Row],[promien]]=40000,1,0)</f>
        <v>0</v>
      </c>
      <c r="F9305" s="1">
        <v>3.1393874261149919</v>
      </c>
      <c r="G9305" s="1">
        <v>2.2052274748012302E-3</v>
      </c>
    </row>
    <row r="9306" spans="1:7">
      <c r="A9306">
        <v>217</v>
      </c>
      <c r="B9306">
        <v>290</v>
      </c>
      <c r="C9306" s="1">
        <f>(Tabela1[[#This Row],[x]]-H$3)*(Tabela1[[#This Row],[x]]-H$3) +(Tabela1[[#This Row],[y]]-H$4)*(Tabela1[[#This Row],[y]]-H$4)</f>
        <v>8389</v>
      </c>
      <c r="D9306" s="1">
        <f>IF(Tabela1[[#This Row],[promien]]&lt;40000,1,0)</f>
        <v>1</v>
      </c>
      <c r="E9306" s="1">
        <f>IF(Tabela1[[#This Row],[promien]]=40000,1,0)</f>
        <v>0</v>
      </c>
      <c r="F9306" s="1">
        <v>3.1394799054373523</v>
      </c>
      <c r="G9306" s="1">
        <v>2.1127481524407798E-3</v>
      </c>
    </row>
    <row r="9307" spans="1:7">
      <c r="A9307">
        <v>381</v>
      </c>
      <c r="B9307">
        <v>202</v>
      </c>
      <c r="C9307" s="1">
        <f>(Tabela1[[#This Row],[x]]-H$3)*(Tabela1[[#This Row],[x]]-H$3) +(Tabela1[[#This Row],[y]]-H$4)*(Tabela1[[#This Row],[y]]-H$4)</f>
        <v>32765</v>
      </c>
      <c r="D9307" s="1">
        <f>IF(Tabela1[[#This Row],[promien]]&lt;40000,1,0)</f>
        <v>1</v>
      </c>
      <c r="E9307" s="1">
        <f>IF(Tabela1[[#This Row],[promien]]=40000,1,0)</f>
        <v>0</v>
      </c>
      <c r="F9307" s="1">
        <v>3.1395723648866443</v>
      </c>
      <c r="G9307" s="1">
        <v>2.0202887031488537E-3</v>
      </c>
    </row>
    <row r="9308" spans="1:7">
      <c r="A9308">
        <v>102</v>
      </c>
      <c r="B9308">
        <v>168</v>
      </c>
      <c r="C9308" s="1">
        <f>(Tabela1[[#This Row],[x]]-H$3)*(Tabela1[[#This Row],[x]]-H$3) +(Tabela1[[#This Row],[y]]-H$4)*(Tabela1[[#This Row],[y]]-H$4)</f>
        <v>10628</v>
      </c>
      <c r="D9308" s="1">
        <f>IF(Tabela1[[#This Row],[promien]]&lt;40000,1,0)</f>
        <v>1</v>
      </c>
      <c r="E9308" s="1">
        <f>IF(Tabela1[[#This Row],[promien]]=40000,1,0)</f>
        <v>0</v>
      </c>
      <c r="F9308" s="1">
        <v>3.1396648044692737</v>
      </c>
      <c r="G9308" s="1">
        <v>1.9278491205194648E-3</v>
      </c>
    </row>
    <row r="9309" spans="1:7">
      <c r="A9309">
        <v>43</v>
      </c>
      <c r="B9309">
        <v>285</v>
      </c>
      <c r="C9309" s="1">
        <f>(Tabela1[[#This Row],[x]]-H$3)*(Tabela1[[#This Row],[x]]-H$3) +(Tabela1[[#This Row],[y]]-H$4)*(Tabela1[[#This Row],[y]]-H$4)</f>
        <v>31874</v>
      </c>
      <c r="D9309" s="1">
        <f>IF(Tabela1[[#This Row],[promien]]&lt;40000,1,0)</f>
        <v>1</v>
      </c>
      <c r="E9309" s="1">
        <f>IF(Tabela1[[#This Row],[promien]]=40000,1,0)</f>
        <v>0</v>
      </c>
      <c r="F9309" s="1">
        <v>3.1397572241916425</v>
      </c>
      <c r="G9309" s="1">
        <v>1.8354293981506231E-3</v>
      </c>
    </row>
    <row r="9310" spans="1:7">
      <c r="A9310">
        <v>27</v>
      </c>
      <c r="B9310">
        <v>377</v>
      </c>
      <c r="C9310" s="1">
        <f>(Tabela1[[#This Row],[x]]-H$3)*(Tabela1[[#This Row],[x]]-H$3) +(Tabela1[[#This Row],[y]]-H$4)*(Tabela1[[#This Row],[y]]-H$4)</f>
        <v>61258</v>
      </c>
      <c r="D9310" s="1">
        <f>IF(Tabela1[[#This Row],[promien]]&lt;40000,1,0)</f>
        <v>0</v>
      </c>
      <c r="E9310" s="1">
        <f>IF(Tabela1[[#This Row],[promien]]=40000,1,0)</f>
        <v>0</v>
      </c>
      <c r="F9310" s="1">
        <v>3.139419978517723</v>
      </c>
      <c r="G9310" s="1">
        <v>2.1726750720700849E-3</v>
      </c>
    </row>
    <row r="9311" spans="1:7">
      <c r="A9311">
        <v>101</v>
      </c>
      <c r="B9311">
        <v>145</v>
      </c>
      <c r="C9311" s="1">
        <f>(Tabela1[[#This Row],[x]]-H$3)*(Tabela1[[#This Row],[x]]-H$3) +(Tabela1[[#This Row],[y]]-H$4)*(Tabela1[[#This Row],[y]]-H$4)</f>
        <v>12826</v>
      </c>
      <c r="D9311" s="1">
        <f>IF(Tabela1[[#This Row],[promien]]&lt;40000,1,0)</f>
        <v>1</v>
      </c>
      <c r="E9311" s="1">
        <f>IF(Tabela1[[#This Row],[promien]]=40000,1,0)</f>
        <v>0</v>
      </c>
      <c r="F9311" s="1">
        <v>3.1395124046826335</v>
      </c>
      <c r="G9311" s="1">
        <v>2.080248907159632E-3</v>
      </c>
    </row>
    <row r="9312" spans="1:7">
      <c r="A9312">
        <v>103</v>
      </c>
      <c r="B9312">
        <v>251</v>
      </c>
      <c r="C9312" s="1">
        <f>(Tabela1[[#This Row],[x]]-H$3)*(Tabela1[[#This Row],[x]]-H$3) +(Tabela1[[#This Row],[y]]-H$4)*(Tabela1[[#This Row],[y]]-H$4)</f>
        <v>12010</v>
      </c>
      <c r="D9312" s="1">
        <f>IF(Tabela1[[#This Row],[promien]]&lt;40000,1,0)</f>
        <v>1</v>
      </c>
      <c r="E9312" s="1">
        <f>IF(Tabela1[[#This Row],[promien]]=40000,1,0)</f>
        <v>0</v>
      </c>
      <c r="F9312" s="1">
        <v>3.1396048109965635</v>
      </c>
      <c r="G9312" s="1">
        <v>1.987842593229594E-3</v>
      </c>
    </row>
    <row r="9313" spans="1:7">
      <c r="A9313">
        <v>340</v>
      </c>
      <c r="B9313">
        <v>39</v>
      </c>
      <c r="C9313" s="1">
        <f>(Tabela1[[#This Row],[x]]-H$3)*(Tabela1[[#This Row],[x]]-H$3) +(Tabela1[[#This Row],[y]]-H$4)*(Tabela1[[#This Row],[y]]-H$4)</f>
        <v>45521</v>
      </c>
      <c r="D9313" s="1">
        <f>IF(Tabela1[[#This Row],[promien]]&lt;40000,1,0)</f>
        <v>0</v>
      </c>
      <c r="E9313" s="1">
        <f>IF(Tabela1[[#This Row],[promien]]=40000,1,0)</f>
        <v>0</v>
      </c>
      <c r="F9313" s="1">
        <v>3.1392676903253518</v>
      </c>
      <c r="G9313" s="1">
        <v>2.3249632644413154E-3</v>
      </c>
    </row>
    <row r="9314" spans="1:7">
      <c r="A9314">
        <v>164</v>
      </c>
      <c r="B9314">
        <v>147</v>
      </c>
      <c r="C9314" s="1">
        <f>(Tabela1[[#This Row],[x]]-H$3)*(Tabela1[[#This Row],[x]]-H$3) +(Tabela1[[#This Row],[y]]-H$4)*(Tabela1[[#This Row],[y]]-H$4)</f>
        <v>4105</v>
      </c>
      <c r="D9314" s="1">
        <f>IF(Tabela1[[#This Row],[promien]]&lt;40000,1,0)</f>
        <v>1</v>
      </c>
      <c r="E9314" s="1">
        <f>IF(Tabela1[[#This Row],[promien]]=40000,1,0)</f>
        <v>0</v>
      </c>
      <c r="F9314" s="1">
        <v>3.1393601030706462</v>
      </c>
      <c r="G9314" s="1">
        <v>2.2325505191469475E-3</v>
      </c>
    </row>
    <row r="9315" spans="1:7">
      <c r="A9315">
        <v>47</v>
      </c>
      <c r="B9315">
        <v>19</v>
      </c>
      <c r="C9315" s="1">
        <f>(Tabela1[[#This Row],[x]]-H$3)*(Tabela1[[#This Row],[x]]-H$3) +(Tabela1[[#This Row],[y]]-H$4)*(Tabela1[[#This Row],[y]]-H$4)</f>
        <v>56170</v>
      </c>
      <c r="D9315" s="1">
        <f>IF(Tabela1[[#This Row],[promien]]&lt;40000,1,0)</f>
        <v>0</v>
      </c>
      <c r="E9315" s="1">
        <f>IF(Tabela1[[#This Row],[promien]]=40000,1,0)</f>
        <v>0</v>
      </c>
      <c r="F9315" s="1">
        <v>3.1390230810520667</v>
      </c>
      <c r="G9315" s="1">
        <v>2.5695725377263834E-3</v>
      </c>
    </row>
    <row r="9316" spans="1:7">
      <c r="A9316">
        <v>33</v>
      </c>
      <c r="B9316">
        <v>342</v>
      </c>
      <c r="C9316" s="1">
        <f>(Tabela1[[#This Row],[x]]-H$3)*(Tabela1[[#This Row],[x]]-H$3) +(Tabela1[[#This Row],[y]]-H$4)*(Tabela1[[#This Row],[y]]-H$4)</f>
        <v>48053</v>
      </c>
      <c r="D9316" s="1">
        <f>IF(Tabela1[[#This Row],[promien]]&lt;40000,1,0)</f>
        <v>0</v>
      </c>
      <c r="E9316" s="1">
        <f>IF(Tabela1[[#This Row],[promien]]=40000,1,0)</f>
        <v>0</v>
      </c>
      <c r="F9316" s="1">
        <v>3.1386861313868613</v>
      </c>
      <c r="G9316" s="1">
        <v>2.9065222029318605E-3</v>
      </c>
    </row>
    <row r="9317" spans="1:7">
      <c r="A9317">
        <v>106</v>
      </c>
      <c r="B9317">
        <v>320</v>
      </c>
      <c r="C9317" s="1">
        <f>(Tabela1[[#This Row],[x]]-H$3)*(Tabela1[[#This Row],[x]]-H$3) +(Tabela1[[#This Row],[y]]-H$4)*(Tabela1[[#This Row],[y]]-H$4)</f>
        <v>23236</v>
      </c>
      <c r="D9317" s="1">
        <f>IF(Tabela1[[#This Row],[promien]]&lt;40000,1,0)</f>
        <v>1</v>
      </c>
      <c r="E9317" s="1">
        <f>IF(Tabela1[[#This Row],[promien]]=40000,1,0)</f>
        <v>0</v>
      </c>
      <c r="F9317" s="1">
        <v>3.1387785767951057</v>
      </c>
      <c r="G9317" s="1">
        <v>2.8140767946873702E-3</v>
      </c>
    </row>
    <row r="9318" spans="1:7">
      <c r="A9318">
        <v>389</v>
      </c>
      <c r="B9318">
        <v>83</v>
      </c>
      <c r="C9318" s="1">
        <f>(Tabela1[[#This Row],[x]]-H$3)*(Tabela1[[#This Row],[x]]-H$3) +(Tabela1[[#This Row],[y]]-H$4)*(Tabela1[[#This Row],[y]]-H$4)</f>
        <v>49410</v>
      </c>
      <c r="D9318" s="1">
        <f>IF(Tabela1[[#This Row],[promien]]&lt;40000,1,0)</f>
        <v>0</v>
      </c>
      <c r="E9318" s="1">
        <f>IF(Tabela1[[#This Row],[promien]]=40000,1,0)</f>
        <v>0</v>
      </c>
      <c r="F9318" s="1">
        <v>3.1384417256922088</v>
      </c>
      <c r="G9318" s="1">
        <v>3.1509278975843102E-3</v>
      </c>
    </row>
    <row r="9319" spans="1:7">
      <c r="A9319">
        <v>0</v>
      </c>
      <c r="B9319">
        <v>207</v>
      </c>
      <c r="C9319" s="1">
        <f>(Tabela1[[#This Row],[x]]-H$3)*(Tabela1[[#This Row],[x]]-H$3) +(Tabela1[[#This Row],[y]]-H$4)*(Tabela1[[#This Row],[y]]-H$4)</f>
        <v>40049</v>
      </c>
      <c r="D9319" s="1">
        <f>IF(Tabela1[[#This Row],[promien]]&lt;40000,1,0)</f>
        <v>0</v>
      </c>
      <c r="E9319" s="1">
        <f>IF(Tabela1[[#This Row],[promien]]=40000,1,0)</f>
        <v>0</v>
      </c>
      <c r="F9319" s="1">
        <v>3.1381049468827129</v>
      </c>
      <c r="G9319" s="1">
        <v>3.487706707080207E-3</v>
      </c>
    </row>
    <row r="9320" spans="1:7">
      <c r="A9320">
        <v>246</v>
      </c>
      <c r="B9320">
        <v>129</v>
      </c>
      <c r="C9320" s="1">
        <f>(Tabela1[[#This Row],[x]]-H$3)*(Tabela1[[#This Row],[x]]-H$3) +(Tabela1[[#This Row],[y]]-H$4)*(Tabela1[[#This Row],[y]]-H$4)</f>
        <v>7157</v>
      </c>
      <c r="D9320" s="1">
        <f>IF(Tabela1[[#This Row],[promien]]&lt;40000,1,0)</f>
        <v>1</v>
      </c>
      <c r="E9320" s="1">
        <f>IF(Tabela1[[#This Row],[promien]]=40000,1,0)</f>
        <v>0</v>
      </c>
      <c r="F9320" s="1">
        <v>3.138197424892704</v>
      </c>
      <c r="G9320" s="1">
        <v>3.395228697089081E-3</v>
      </c>
    </row>
    <row r="9321" spans="1:7">
      <c r="A9321">
        <v>366</v>
      </c>
      <c r="B9321">
        <v>277</v>
      </c>
      <c r="C9321" s="1">
        <f>(Tabela1[[#This Row],[x]]-H$3)*(Tabela1[[#This Row],[x]]-H$3) +(Tabela1[[#This Row],[y]]-H$4)*(Tabela1[[#This Row],[y]]-H$4)</f>
        <v>33485</v>
      </c>
      <c r="D9321" s="1">
        <f>IF(Tabela1[[#This Row],[promien]]&lt;40000,1,0)</f>
        <v>1</v>
      </c>
      <c r="E9321" s="1">
        <f>IF(Tabela1[[#This Row],[promien]]=40000,1,0)</f>
        <v>0</v>
      </c>
      <c r="F9321" s="1">
        <v>3.1382898830597576</v>
      </c>
      <c r="G9321" s="1">
        <v>3.3027705300354704E-3</v>
      </c>
    </row>
    <row r="9322" spans="1:7">
      <c r="A9322">
        <v>259</v>
      </c>
      <c r="B9322">
        <v>17</v>
      </c>
      <c r="C9322" s="1">
        <f>(Tabela1[[#This Row],[x]]-H$3)*(Tabela1[[#This Row],[x]]-H$3) +(Tabela1[[#This Row],[y]]-H$4)*(Tabela1[[#This Row],[y]]-H$4)</f>
        <v>36970</v>
      </c>
      <c r="D9322" s="1">
        <f>IF(Tabela1[[#This Row],[promien]]&lt;40000,1,0)</f>
        <v>1</v>
      </c>
      <c r="E9322" s="1">
        <f>IF(Tabela1[[#This Row],[promien]]=40000,1,0)</f>
        <v>0</v>
      </c>
      <c r="F9322" s="1">
        <v>3.1383823213902597</v>
      </c>
      <c r="G9322" s="1">
        <v>3.2103321995333722E-3</v>
      </c>
    </row>
    <row r="9323" spans="1:7">
      <c r="A9323">
        <v>222</v>
      </c>
      <c r="B9323">
        <v>266</v>
      </c>
      <c r="C9323" s="1">
        <f>(Tabela1[[#This Row],[x]]-H$3)*(Tabela1[[#This Row],[x]]-H$3) +(Tabela1[[#This Row],[y]]-H$4)*(Tabela1[[#This Row],[y]]-H$4)</f>
        <v>4840</v>
      </c>
      <c r="D9323" s="1">
        <f>IF(Tabela1[[#This Row],[promien]]&lt;40000,1,0)</f>
        <v>1</v>
      </c>
      <c r="E9323" s="1">
        <f>IF(Tabela1[[#This Row],[promien]]=40000,1,0)</f>
        <v>0</v>
      </c>
      <c r="F9323" s="1">
        <v>3.1384747398905932</v>
      </c>
      <c r="G9323" s="1">
        <v>3.1179136991998924E-3</v>
      </c>
    </row>
    <row r="9324" spans="1:7">
      <c r="A9324">
        <v>80</v>
      </c>
      <c r="B9324">
        <v>121</v>
      </c>
      <c r="C9324" s="1">
        <f>(Tabela1[[#This Row],[x]]-H$3)*(Tabela1[[#This Row],[x]]-H$3) +(Tabela1[[#This Row],[y]]-H$4)*(Tabela1[[#This Row],[y]]-H$4)</f>
        <v>20641</v>
      </c>
      <c r="D9324" s="1">
        <f>IF(Tabela1[[#This Row],[promien]]&lt;40000,1,0)</f>
        <v>1</v>
      </c>
      <c r="E9324" s="1">
        <f>IF(Tabela1[[#This Row],[promien]]=40000,1,0)</f>
        <v>0</v>
      </c>
      <c r="F9324" s="1">
        <v>3.1385671385671388</v>
      </c>
      <c r="G9324" s="1">
        <v>3.025515022654357E-3</v>
      </c>
    </row>
    <row r="9325" spans="1:7">
      <c r="A9325">
        <v>378</v>
      </c>
      <c r="B9325">
        <v>19</v>
      </c>
      <c r="C9325" s="1">
        <f>(Tabela1[[#This Row],[x]]-H$3)*(Tabela1[[#This Row],[x]]-H$3) +(Tabela1[[#This Row],[y]]-H$4)*(Tabela1[[#This Row],[y]]-H$4)</f>
        <v>64445</v>
      </c>
      <c r="D9325" s="1">
        <f>IF(Tabela1[[#This Row],[promien]]&lt;40000,1,0)</f>
        <v>0</v>
      </c>
      <c r="E9325" s="1">
        <f>IF(Tabela1[[#This Row],[promien]]=40000,1,0)</f>
        <v>0</v>
      </c>
      <c r="F9325" s="1">
        <v>3.138230563002681</v>
      </c>
      <c r="G9325" s="1">
        <v>3.3620905871121209E-3</v>
      </c>
    </row>
    <row r="9326" spans="1:7">
      <c r="A9326">
        <v>312</v>
      </c>
      <c r="B9326">
        <v>233</v>
      </c>
      <c r="C9326" s="1">
        <f>(Tabela1[[#This Row],[x]]-H$3)*(Tabela1[[#This Row],[x]]-H$3) +(Tabela1[[#This Row],[y]]-H$4)*(Tabela1[[#This Row],[y]]-H$4)</f>
        <v>13633</v>
      </c>
      <c r="D9326" s="1">
        <f>IF(Tabela1[[#This Row],[promien]]&lt;40000,1,0)</f>
        <v>1</v>
      </c>
      <c r="E9326" s="1">
        <f>IF(Tabela1[[#This Row],[promien]]=40000,1,0)</f>
        <v>0</v>
      </c>
      <c r="F9326" s="1">
        <v>3.1383229680463223</v>
      </c>
      <c r="G9326" s="1">
        <v>3.2696855434708461E-3</v>
      </c>
    </row>
    <row r="9327" spans="1:7">
      <c r="A9327">
        <v>296</v>
      </c>
      <c r="B9327">
        <v>245</v>
      </c>
      <c r="C9327" s="1">
        <f>(Tabela1[[#This Row],[x]]-H$3)*(Tabela1[[#This Row],[x]]-H$3) +(Tabela1[[#This Row],[y]]-H$4)*(Tabela1[[#This Row],[y]]-H$4)</f>
        <v>11241</v>
      </c>
      <c r="D9327" s="1">
        <f>IF(Tabela1[[#This Row],[promien]]&lt;40000,1,0)</f>
        <v>1</v>
      </c>
      <c r="E9327" s="1">
        <f>IF(Tabela1[[#This Row],[promien]]=40000,1,0)</f>
        <v>0</v>
      </c>
      <c r="F9327" s="1">
        <v>3.1384153532754371</v>
      </c>
      <c r="G9327" s="1">
        <v>3.1773003143560352E-3</v>
      </c>
    </row>
    <row r="9328" spans="1:7">
      <c r="A9328">
        <v>25</v>
      </c>
      <c r="B9328">
        <v>132</v>
      </c>
      <c r="C9328" s="1">
        <f>(Tabela1[[#This Row],[x]]-H$3)*(Tabela1[[#This Row],[x]]-H$3) +(Tabela1[[#This Row],[y]]-H$4)*(Tabela1[[#This Row],[y]]-H$4)</f>
        <v>35249</v>
      </c>
      <c r="D9328" s="1">
        <f>IF(Tabela1[[#This Row],[promien]]&lt;40000,1,0)</f>
        <v>1</v>
      </c>
      <c r="E9328" s="1">
        <f>IF(Tabela1[[#This Row],[promien]]=40000,1,0)</f>
        <v>0</v>
      </c>
      <c r="F9328" s="1">
        <v>3.1385077186963981</v>
      </c>
      <c r="G9328" s="1">
        <v>3.0849348933950083E-3</v>
      </c>
    </row>
    <row r="9329" spans="1:7">
      <c r="A9329">
        <v>131</v>
      </c>
      <c r="B9329">
        <v>337</v>
      </c>
      <c r="C9329" s="1">
        <f>(Tabela1[[#This Row],[x]]-H$3)*(Tabela1[[#This Row],[x]]-H$3) +(Tabela1[[#This Row],[y]]-H$4)*(Tabela1[[#This Row],[y]]-H$4)</f>
        <v>23530</v>
      </c>
      <c r="D9329" s="1">
        <f>IF(Tabela1[[#This Row],[promien]]&lt;40000,1,0)</f>
        <v>1</v>
      </c>
      <c r="E9329" s="1">
        <f>IF(Tabela1[[#This Row],[promien]]=40000,1,0)</f>
        <v>0</v>
      </c>
      <c r="F9329" s="1">
        <v>3.1386000643155749</v>
      </c>
      <c r="G9329" s="1">
        <v>2.9925892742181937E-3</v>
      </c>
    </row>
    <row r="9330" spans="1:7">
      <c r="A9330">
        <v>360</v>
      </c>
      <c r="B9330">
        <v>229</v>
      </c>
      <c r="C9330" s="1">
        <f>(Tabela1[[#This Row],[x]]-H$3)*(Tabela1[[#This Row],[x]]-H$3) +(Tabela1[[#This Row],[y]]-H$4)*(Tabela1[[#This Row],[y]]-H$4)</f>
        <v>26441</v>
      </c>
      <c r="D9330" s="1">
        <f>IF(Tabela1[[#This Row],[promien]]&lt;40000,1,0)</f>
        <v>1</v>
      </c>
      <c r="E9330" s="1">
        <f>IF(Tabela1[[#This Row],[promien]]=40000,1,0)</f>
        <v>0</v>
      </c>
      <c r="F9330" s="1">
        <v>3.1386923901393353</v>
      </c>
      <c r="G9330" s="1">
        <v>2.9002634504577962E-3</v>
      </c>
    </row>
    <row r="9331" spans="1:7">
      <c r="A9331">
        <v>157</v>
      </c>
      <c r="B9331">
        <v>33</v>
      </c>
      <c r="C9331" s="1">
        <f>(Tabela1[[#This Row],[x]]-H$3)*(Tabela1[[#This Row],[x]]-H$3) +(Tabela1[[#This Row],[y]]-H$4)*(Tabela1[[#This Row],[y]]-H$4)</f>
        <v>29738</v>
      </c>
      <c r="D9331" s="1">
        <f>IF(Tabela1[[#This Row],[promien]]&lt;40000,1,0)</f>
        <v>1</v>
      </c>
      <c r="E9331" s="1">
        <f>IF(Tabela1[[#This Row],[promien]]=40000,1,0)</f>
        <v>0</v>
      </c>
      <c r="F9331" s="1">
        <v>3.1387846961740435</v>
      </c>
      <c r="G9331" s="1">
        <v>2.8079574157495735E-3</v>
      </c>
    </row>
    <row r="9332" spans="1:7">
      <c r="A9332">
        <v>6</v>
      </c>
      <c r="B9332">
        <v>290</v>
      </c>
      <c r="C9332" s="1">
        <f>(Tabela1[[#This Row],[x]]-H$3)*(Tabela1[[#This Row],[x]]-H$3) +(Tabela1[[#This Row],[y]]-H$4)*(Tabela1[[#This Row],[y]]-H$4)</f>
        <v>45736</v>
      </c>
      <c r="D9332" s="1">
        <f>IF(Tabela1[[#This Row],[promien]]&lt;40000,1,0)</f>
        <v>0</v>
      </c>
      <c r="E9332" s="1">
        <f>IF(Tabela1[[#This Row],[promien]]=40000,1,0)</f>
        <v>0</v>
      </c>
      <c r="F9332" s="1">
        <v>3.1384483497642521</v>
      </c>
      <c r="G9332" s="1">
        <v>3.1443038255409839E-3</v>
      </c>
    </row>
    <row r="9333" spans="1:7">
      <c r="A9333">
        <v>108</v>
      </c>
      <c r="B9333">
        <v>18</v>
      </c>
      <c r="C9333" s="1">
        <f>(Tabela1[[#This Row],[x]]-H$3)*(Tabela1[[#This Row],[x]]-H$3) +(Tabela1[[#This Row],[y]]-H$4)*(Tabela1[[#This Row],[y]]-H$4)</f>
        <v>41588</v>
      </c>
      <c r="D9333" s="1">
        <f>IF(Tabela1[[#This Row],[promien]]&lt;40000,1,0)</f>
        <v>0</v>
      </c>
      <c r="E9333" s="1">
        <f>IF(Tabela1[[#This Row],[promien]]=40000,1,0)</f>
        <v>0</v>
      </c>
      <c r="F9333" s="1">
        <v>3.1381120754312652</v>
      </c>
      <c r="G9333" s="1">
        <v>3.4805781585278694E-3</v>
      </c>
    </row>
    <row r="9334" spans="1:7">
      <c r="A9334">
        <v>165</v>
      </c>
      <c r="B9334">
        <v>92</v>
      </c>
      <c r="C9334" s="1">
        <f>(Tabela1[[#This Row],[x]]-H$3)*(Tabela1[[#This Row],[x]]-H$3) +(Tabela1[[#This Row],[y]]-H$4)*(Tabela1[[#This Row],[y]]-H$4)</f>
        <v>12889</v>
      </c>
      <c r="D9334" s="1">
        <f>IF(Tabela1[[#This Row],[promien]]&lt;40000,1,0)</f>
        <v>1</v>
      </c>
      <c r="E9334" s="1">
        <f>IF(Tabela1[[#This Row],[promien]]=40000,1,0)</f>
        <v>0</v>
      </c>
      <c r="F9334" s="1">
        <v>3.1382044139704308</v>
      </c>
      <c r="G9334" s="1">
        <v>3.3882396193622988E-3</v>
      </c>
    </row>
    <row r="9335" spans="1:7">
      <c r="A9335">
        <v>356</v>
      </c>
      <c r="B9335">
        <v>331</v>
      </c>
      <c r="C9335" s="1">
        <f>(Tabela1[[#This Row],[x]]-H$3)*(Tabela1[[#This Row],[x]]-H$3) +(Tabela1[[#This Row],[y]]-H$4)*(Tabela1[[#This Row],[y]]-H$4)</f>
        <v>41497</v>
      </c>
      <c r="D9335" s="1">
        <f>IF(Tabela1[[#This Row],[promien]]&lt;40000,1,0)</f>
        <v>0</v>
      </c>
      <c r="E9335" s="1">
        <f>IF(Tabela1[[#This Row],[promien]]=40000,1,0)</f>
        <v>0</v>
      </c>
      <c r="F9335" s="1">
        <v>3.1378682378146761</v>
      </c>
      <c r="G9335" s="1">
        <v>3.7244157751170626E-3</v>
      </c>
    </row>
    <row r="9336" spans="1:7">
      <c r="A9336">
        <v>58</v>
      </c>
      <c r="B9336">
        <v>47</v>
      </c>
      <c r="C9336" s="1">
        <f>(Tabela1[[#This Row],[x]]-H$3)*(Tabela1[[#This Row],[x]]-H$3) +(Tabela1[[#This Row],[y]]-H$4)*(Tabela1[[#This Row],[y]]-H$4)</f>
        <v>43573</v>
      </c>
      <c r="D9336" s="1">
        <f>IF(Tabela1[[#This Row],[promien]]&lt;40000,1,0)</f>
        <v>0</v>
      </c>
      <c r="E9336" s="1">
        <f>IF(Tabela1[[#This Row],[promien]]=40000,1,0)</f>
        <v>0</v>
      </c>
      <c r="F9336" s="1">
        <v>3.1375321336760926</v>
      </c>
      <c r="G9336" s="1">
        <v>4.0605199137004888E-3</v>
      </c>
    </row>
    <row r="9337" spans="1:7">
      <c r="A9337">
        <v>152</v>
      </c>
      <c r="B9337">
        <v>107</v>
      </c>
      <c r="C9337" s="1">
        <f>(Tabela1[[#This Row],[x]]-H$3)*(Tabela1[[#This Row],[x]]-H$3) +(Tabela1[[#This Row],[y]]-H$4)*(Tabela1[[#This Row],[y]]-H$4)</f>
        <v>10953</v>
      </c>
      <c r="D9337" s="1">
        <f>IF(Tabela1[[#This Row],[promien]]&lt;40000,1,0)</f>
        <v>1</v>
      </c>
      <c r="E9337" s="1">
        <f>IF(Tabela1[[#This Row],[promien]]=40000,1,0)</f>
        <v>0</v>
      </c>
      <c r="F9337" s="1">
        <v>3.1376245046588842</v>
      </c>
      <c r="G9337" s="1">
        <v>3.9681489309089102E-3</v>
      </c>
    </row>
    <row r="9338" spans="1:7">
      <c r="A9338">
        <v>322</v>
      </c>
      <c r="B9338">
        <v>327</v>
      </c>
      <c r="C9338" s="1">
        <f>(Tabela1[[#This Row],[x]]-H$3)*(Tabela1[[#This Row],[x]]-H$3) +(Tabela1[[#This Row],[y]]-H$4)*(Tabela1[[#This Row],[y]]-H$4)</f>
        <v>31013</v>
      </c>
      <c r="D9338" s="1">
        <f>IF(Tabela1[[#This Row],[promien]]&lt;40000,1,0)</f>
        <v>1</v>
      </c>
      <c r="E9338" s="1">
        <f>IF(Tabela1[[#This Row],[promien]]=40000,1,0)</f>
        <v>0</v>
      </c>
      <c r="F9338" s="1">
        <v>3.1377168558577853</v>
      </c>
      <c r="G9338" s="1">
        <v>3.8757977320078574E-3</v>
      </c>
    </row>
    <row r="9339" spans="1:7">
      <c r="A9339">
        <v>241</v>
      </c>
      <c r="B9339">
        <v>4</v>
      </c>
      <c r="C9339" s="1">
        <f>(Tabela1[[#This Row],[x]]-H$3)*(Tabela1[[#This Row],[x]]-H$3) +(Tabela1[[#This Row],[y]]-H$4)*(Tabela1[[#This Row],[y]]-H$4)</f>
        <v>40097</v>
      </c>
      <c r="D9339" s="1">
        <f>IF(Tabela1[[#This Row],[promien]]&lt;40000,1,0)</f>
        <v>0</v>
      </c>
      <c r="E9339" s="1">
        <f>IF(Tabela1[[#This Row],[promien]]=40000,1,0)</f>
        <v>0</v>
      </c>
      <c r="F9339" s="1">
        <v>3.1373808758967772</v>
      </c>
      <c r="G9339" s="1">
        <v>4.2117776930159501E-3</v>
      </c>
    </row>
    <row r="9340" spans="1:7">
      <c r="A9340">
        <v>136</v>
      </c>
      <c r="B9340">
        <v>309</v>
      </c>
      <c r="C9340" s="1">
        <f>(Tabela1[[#This Row],[x]]-H$3)*(Tabela1[[#This Row],[x]]-H$3) +(Tabela1[[#This Row],[y]]-H$4)*(Tabela1[[#This Row],[y]]-H$4)</f>
        <v>15977</v>
      </c>
      <c r="D9340" s="1">
        <f>IF(Tabela1[[#This Row],[promien]]&lt;40000,1,0)</f>
        <v>1</v>
      </c>
      <c r="E9340" s="1">
        <f>IF(Tabela1[[#This Row],[promien]]=40000,1,0)</f>
        <v>0</v>
      </c>
      <c r="F9340" s="1">
        <v>3.1374732334047111</v>
      </c>
      <c r="G9340" s="1">
        <v>4.1194201850820455E-3</v>
      </c>
    </row>
    <row r="9341" spans="1:7">
      <c r="A9341">
        <v>348</v>
      </c>
      <c r="B9341">
        <v>353</v>
      </c>
      <c r="C9341" s="1">
        <f>(Tabela1[[#This Row],[x]]-H$3)*(Tabela1[[#This Row],[x]]-H$3) +(Tabela1[[#This Row],[y]]-H$4)*(Tabela1[[#This Row],[y]]-H$4)</f>
        <v>45313</v>
      </c>
      <c r="D9341" s="1">
        <f>IF(Tabela1[[#This Row],[promien]]&lt;40000,1,0)</f>
        <v>0</v>
      </c>
      <c r="E9341" s="1">
        <f>IF(Tabela1[[#This Row],[promien]]=40000,1,0)</f>
        <v>0</v>
      </c>
      <c r="F9341" s="1">
        <v>3.1371373514612997</v>
      </c>
      <c r="G9341" s="1">
        <v>4.4553021284934324E-3</v>
      </c>
    </row>
    <row r="9342" spans="1:7">
      <c r="A9342">
        <v>241</v>
      </c>
      <c r="B9342">
        <v>181</v>
      </c>
      <c r="C9342" s="1">
        <f>(Tabela1[[#This Row],[x]]-H$3)*(Tabela1[[#This Row],[x]]-H$3) +(Tabela1[[#This Row],[y]]-H$4)*(Tabela1[[#This Row],[y]]-H$4)</f>
        <v>2042</v>
      </c>
      <c r="D9342" s="1">
        <f>IF(Tabela1[[#This Row],[promien]]&lt;40000,1,0)</f>
        <v>1</v>
      </c>
      <c r="E9342" s="1">
        <f>IF(Tabela1[[#This Row],[promien]]=40000,1,0)</f>
        <v>0</v>
      </c>
      <c r="F9342" s="1">
        <v>3.1372297152643975</v>
      </c>
      <c r="G9342" s="1">
        <v>4.3629383253955822E-3</v>
      </c>
    </row>
    <row r="9343" spans="1:7">
      <c r="A9343">
        <v>397</v>
      </c>
      <c r="B9343">
        <v>285</v>
      </c>
      <c r="C9343" s="1">
        <f>(Tabela1[[#This Row],[x]]-H$3)*(Tabela1[[#This Row],[x]]-H$3) +(Tabela1[[#This Row],[y]]-H$4)*(Tabela1[[#This Row],[y]]-H$4)</f>
        <v>46034</v>
      </c>
      <c r="D9343" s="1">
        <f>IF(Tabela1[[#This Row],[promien]]&lt;40000,1,0)</f>
        <v>0</v>
      </c>
      <c r="E9343" s="1">
        <f>IF(Tabela1[[#This Row],[promien]]=40000,1,0)</f>
        <v>0</v>
      </c>
      <c r="F9343" s="1">
        <v>3.1368939312854542</v>
      </c>
      <c r="G9343" s="1">
        <v>4.6987223043388759E-3</v>
      </c>
    </row>
    <row r="9344" spans="1:7">
      <c r="A9344">
        <v>264</v>
      </c>
      <c r="B9344">
        <v>114</v>
      </c>
      <c r="C9344" s="1">
        <f>(Tabela1[[#This Row],[x]]-H$3)*(Tabela1[[#This Row],[x]]-H$3) +(Tabela1[[#This Row],[y]]-H$4)*(Tabela1[[#This Row],[y]]-H$4)</f>
        <v>11492</v>
      </c>
      <c r="D9344" s="1">
        <f>IF(Tabela1[[#This Row],[promien]]&lt;40000,1,0)</f>
        <v>1</v>
      </c>
      <c r="E9344" s="1">
        <f>IF(Tabela1[[#This Row],[promien]]=40000,1,0)</f>
        <v>0</v>
      </c>
      <c r="F9344" s="1">
        <v>3.1369863013698631</v>
      </c>
      <c r="G9344" s="1">
        <v>4.6063522199299989E-3</v>
      </c>
    </row>
    <row r="9345" spans="1:7">
      <c r="A9345">
        <v>123</v>
      </c>
      <c r="B9345">
        <v>247</v>
      </c>
      <c r="C9345" s="1">
        <f>(Tabela1[[#This Row],[x]]-H$3)*(Tabela1[[#This Row],[x]]-H$3) +(Tabela1[[#This Row],[y]]-H$4)*(Tabela1[[#This Row],[y]]-H$4)</f>
        <v>8138</v>
      </c>
      <c r="D9345" s="1">
        <f>IF(Tabela1[[#This Row],[promien]]&lt;40000,1,0)</f>
        <v>1</v>
      </c>
      <c r="E9345" s="1">
        <f>IF(Tabela1[[#This Row],[promien]]=40000,1,0)</f>
        <v>0</v>
      </c>
      <c r="F9345" s="1">
        <v>3.1370786516853935</v>
      </c>
      <c r="G9345" s="1">
        <v>4.514001904399656E-3</v>
      </c>
    </row>
    <row r="9346" spans="1:7">
      <c r="A9346">
        <v>47</v>
      </c>
      <c r="B9346">
        <v>127</v>
      </c>
      <c r="C9346" s="1">
        <f>(Tabela1[[#This Row],[x]]-H$3)*(Tabela1[[#This Row],[x]]-H$3) +(Tabela1[[#This Row],[y]]-H$4)*(Tabela1[[#This Row],[y]]-H$4)</f>
        <v>28738</v>
      </c>
      <c r="D9346" s="1">
        <f>IF(Tabela1[[#This Row],[promien]]&lt;40000,1,0)</f>
        <v>1</v>
      </c>
      <c r="E9346" s="1">
        <f>IF(Tabela1[[#This Row],[promien]]=40000,1,0)</f>
        <v>0</v>
      </c>
      <c r="F9346" s="1">
        <v>3.1371709822383909</v>
      </c>
      <c r="G9346" s="1">
        <v>4.4216713514022565E-3</v>
      </c>
    </row>
    <row r="9347" spans="1:7">
      <c r="A9347">
        <v>344</v>
      </c>
      <c r="B9347">
        <v>371</v>
      </c>
      <c r="C9347" s="1">
        <f>(Tabela1[[#This Row],[x]]-H$3)*(Tabela1[[#This Row],[x]]-H$3) +(Tabela1[[#This Row],[y]]-H$4)*(Tabela1[[#This Row],[y]]-H$4)</f>
        <v>49977</v>
      </c>
      <c r="D9347" s="1">
        <f>IF(Tabela1[[#This Row],[promien]]&lt;40000,1,0)</f>
        <v>0</v>
      </c>
      <c r="E9347" s="1">
        <f>IF(Tabela1[[#This Row],[promien]]=40000,1,0)</f>
        <v>0</v>
      </c>
      <c r="F9347" s="1">
        <v>3.1368353482400768</v>
      </c>
      <c r="G9347" s="1">
        <v>4.7573053497163009E-3</v>
      </c>
    </row>
    <row r="9348" spans="1:7">
      <c r="A9348">
        <v>396</v>
      </c>
      <c r="B9348">
        <v>298</v>
      </c>
      <c r="C9348" s="1">
        <f>(Tabela1[[#This Row],[x]]-H$3)*(Tabela1[[#This Row],[x]]-H$3) +(Tabela1[[#This Row],[y]]-H$4)*(Tabela1[[#This Row],[y]]-H$4)</f>
        <v>48020</v>
      </c>
      <c r="D9348" s="1">
        <f>IF(Tabela1[[#This Row],[promien]]&lt;40000,1,0)</f>
        <v>0</v>
      </c>
      <c r="E9348" s="1">
        <f>IF(Tabela1[[#This Row],[promien]]=40000,1,0)</f>
        <v>0</v>
      </c>
      <c r="F9348" s="1">
        <v>3.136499786050492</v>
      </c>
      <c r="G9348" s="1">
        <v>5.0928675393011602E-3</v>
      </c>
    </row>
    <row r="9349" spans="1:7">
      <c r="A9349">
        <v>53</v>
      </c>
      <c r="B9349">
        <v>386</v>
      </c>
      <c r="C9349" s="1">
        <f>(Tabela1[[#This Row],[x]]-H$3)*(Tabela1[[#This Row],[x]]-H$3) +(Tabela1[[#This Row],[y]]-H$4)*(Tabela1[[#This Row],[y]]-H$4)</f>
        <v>56205</v>
      </c>
      <c r="D9349" s="1">
        <f>IF(Tabela1[[#This Row],[promien]]&lt;40000,1,0)</f>
        <v>0</v>
      </c>
      <c r="E9349" s="1">
        <f>IF(Tabela1[[#This Row],[promien]]=40000,1,0)</f>
        <v>0</v>
      </c>
      <c r="F9349" s="1">
        <v>3.1361642956465934</v>
      </c>
      <c r="G9349" s="1">
        <v>5.4283579431997353E-3</v>
      </c>
    </row>
    <row r="9350" spans="1:7">
      <c r="A9350">
        <v>366</v>
      </c>
      <c r="B9350">
        <v>54</v>
      </c>
      <c r="C9350" s="1">
        <f>(Tabela1[[#This Row],[x]]-H$3)*(Tabela1[[#This Row],[x]]-H$3) +(Tabela1[[#This Row],[y]]-H$4)*(Tabela1[[#This Row],[y]]-H$4)</f>
        <v>48872</v>
      </c>
      <c r="D9350" s="1">
        <f>IF(Tabela1[[#This Row],[promien]]&lt;40000,1,0)</f>
        <v>0</v>
      </c>
      <c r="E9350" s="1">
        <f>IF(Tabela1[[#This Row],[promien]]=40000,1,0)</f>
        <v>0</v>
      </c>
      <c r="F9350" s="1">
        <v>3.1358288770053475</v>
      </c>
      <c r="G9350" s="1">
        <v>5.7637765844456013E-3</v>
      </c>
    </row>
    <row r="9351" spans="1:7">
      <c r="A9351">
        <v>397</v>
      </c>
      <c r="B9351">
        <v>257</v>
      </c>
      <c r="C9351" s="1">
        <f>(Tabela1[[#This Row],[x]]-H$3)*(Tabela1[[#This Row],[x]]-H$3) +(Tabela1[[#This Row],[y]]-H$4)*(Tabela1[[#This Row],[y]]-H$4)</f>
        <v>42058</v>
      </c>
      <c r="D9351" s="1">
        <f>IF(Tabela1[[#This Row],[promien]]&lt;40000,1,0)</f>
        <v>0</v>
      </c>
      <c r="E9351" s="1">
        <f>IF(Tabela1[[#This Row],[promien]]=40000,1,0)</f>
        <v>0</v>
      </c>
      <c r="F9351" s="1">
        <v>3.1354935301037323</v>
      </c>
      <c r="G9351" s="1">
        <v>6.0991234860607868E-3</v>
      </c>
    </row>
    <row r="9352" spans="1:7">
      <c r="A9352">
        <v>198</v>
      </c>
      <c r="B9352">
        <v>310</v>
      </c>
      <c r="C9352" s="1">
        <f>(Tabela1[[#This Row],[x]]-H$3)*(Tabela1[[#This Row],[x]]-H$3) +(Tabela1[[#This Row],[y]]-H$4)*(Tabela1[[#This Row],[y]]-H$4)</f>
        <v>12104</v>
      </c>
      <c r="D9352" s="1">
        <f>IF(Tabela1[[#This Row],[promien]]&lt;40000,1,0)</f>
        <v>1</v>
      </c>
      <c r="E9352" s="1">
        <f>IF(Tabela1[[#This Row],[promien]]=40000,1,0)</f>
        <v>0</v>
      </c>
      <c r="F9352" s="1">
        <v>3.1355859709153124</v>
      </c>
      <c r="G9352" s="1">
        <v>6.0066826744806789E-3</v>
      </c>
    </row>
    <row r="9353" spans="1:7">
      <c r="A9353">
        <v>92</v>
      </c>
      <c r="B9353">
        <v>370</v>
      </c>
      <c r="C9353" s="1">
        <f>(Tabela1[[#This Row],[x]]-H$3)*(Tabela1[[#This Row],[x]]-H$3) +(Tabela1[[#This Row],[y]]-H$4)*(Tabela1[[#This Row],[y]]-H$4)</f>
        <v>40564</v>
      </c>
      <c r="D9353" s="1">
        <f>IF(Tabela1[[#This Row],[promien]]&lt;40000,1,0)</f>
        <v>0</v>
      </c>
      <c r="E9353" s="1">
        <f>IF(Tabela1[[#This Row],[promien]]=40000,1,0)</f>
        <v>0</v>
      </c>
      <c r="F9353" s="1">
        <v>3.1352507216935743</v>
      </c>
      <c r="G9353" s="1">
        <v>6.3419318962187887E-3</v>
      </c>
    </row>
    <row r="9354" spans="1:7">
      <c r="A9354">
        <v>368</v>
      </c>
      <c r="B9354">
        <v>54</v>
      </c>
      <c r="C9354" s="1">
        <f>(Tabela1[[#This Row],[x]]-H$3)*(Tabela1[[#This Row],[x]]-H$3) +(Tabela1[[#This Row],[y]]-H$4)*(Tabela1[[#This Row],[y]]-H$4)</f>
        <v>49540</v>
      </c>
      <c r="D9354" s="1">
        <f>IF(Tabela1[[#This Row],[promien]]&lt;40000,1,0)</f>
        <v>0</v>
      </c>
      <c r="E9354" s="1">
        <f>IF(Tabela1[[#This Row],[promien]]=40000,1,0)</f>
        <v>0</v>
      </c>
      <c r="F9354" s="1">
        <v>3.1349155441522343</v>
      </c>
      <c r="G9354" s="1">
        <v>6.6771094375588369E-3</v>
      </c>
    </row>
    <row r="9355" spans="1:7">
      <c r="A9355">
        <v>131</v>
      </c>
      <c r="B9355">
        <v>33</v>
      </c>
      <c r="C9355" s="1">
        <f>(Tabela1[[#This Row],[x]]-H$3)*(Tabela1[[#This Row],[x]]-H$3) +(Tabela1[[#This Row],[y]]-H$4)*(Tabela1[[#This Row],[y]]-H$4)</f>
        <v>32650</v>
      </c>
      <c r="D9355" s="1">
        <f>IF(Tabela1[[#This Row],[promien]]&lt;40000,1,0)</f>
        <v>1</v>
      </c>
      <c r="E9355" s="1">
        <f>IF(Tabela1[[#This Row],[promien]]=40000,1,0)</f>
        <v>0</v>
      </c>
      <c r="F9355" s="1">
        <v>3.1350080171031536</v>
      </c>
      <c r="G9355" s="1">
        <v>6.584636486639539E-3</v>
      </c>
    </row>
    <row r="9356" spans="1:7">
      <c r="A9356">
        <v>222</v>
      </c>
      <c r="B9356">
        <v>24</v>
      </c>
      <c r="C9356" s="1">
        <f>(Tabela1[[#This Row],[x]]-H$3)*(Tabela1[[#This Row],[x]]-H$3) +(Tabela1[[#This Row],[y]]-H$4)*(Tabela1[[#This Row],[y]]-H$4)</f>
        <v>31460</v>
      </c>
      <c r="D9356" s="1">
        <f>IF(Tabela1[[#This Row],[promien]]&lt;40000,1,0)</f>
        <v>1</v>
      </c>
      <c r="E9356" s="1">
        <f>IF(Tabela1[[#This Row],[promien]]=40000,1,0)</f>
        <v>0</v>
      </c>
      <c r="F9356" s="1">
        <v>3.1351004702864471</v>
      </c>
      <c r="G9356" s="1">
        <v>6.4921833033459997E-3</v>
      </c>
    </row>
    <row r="9357" spans="1:7">
      <c r="A9357">
        <v>367</v>
      </c>
      <c r="B9357">
        <v>350</v>
      </c>
      <c r="C9357" s="1">
        <f>(Tabela1[[#This Row],[x]]-H$3)*(Tabela1[[#This Row],[x]]-H$3) +(Tabela1[[#This Row],[y]]-H$4)*(Tabela1[[#This Row],[y]]-H$4)</f>
        <v>50389</v>
      </c>
      <c r="D9357" s="1">
        <f>IF(Tabela1[[#This Row],[promien]]&lt;40000,1,0)</f>
        <v>0</v>
      </c>
      <c r="E9357" s="1">
        <f>IF(Tabela1[[#This Row],[promien]]=40000,1,0)</f>
        <v>0</v>
      </c>
      <c r="F9357" s="1">
        <v>3.1347654162658971</v>
      </c>
      <c r="G9357" s="1">
        <v>6.8272373238960071E-3</v>
      </c>
    </row>
    <row r="9358" spans="1:7">
      <c r="A9358">
        <v>167</v>
      </c>
      <c r="B9358">
        <v>144</v>
      </c>
      <c r="C9358" s="1">
        <f>(Tabela1[[#This Row],[x]]-H$3)*(Tabela1[[#This Row],[x]]-H$3) +(Tabela1[[#This Row],[y]]-H$4)*(Tabela1[[#This Row],[y]]-H$4)</f>
        <v>4225</v>
      </c>
      <c r="D9358" s="1">
        <f>IF(Tabela1[[#This Row],[promien]]&lt;40000,1,0)</f>
        <v>1</v>
      </c>
      <c r="E9358" s="1">
        <f>IF(Tabela1[[#This Row],[promien]]=40000,1,0)</f>
        <v>0</v>
      </c>
      <c r="F9358" s="1">
        <v>3.1348578756144474</v>
      </c>
      <c r="G9358" s="1">
        <v>6.7347779753457182E-3</v>
      </c>
    </row>
    <row r="9359" spans="1:7">
      <c r="A9359">
        <v>45</v>
      </c>
      <c r="B9359">
        <v>42</v>
      </c>
      <c r="C9359" s="1">
        <f>(Tabela1[[#This Row],[x]]-H$3)*(Tabela1[[#This Row],[x]]-H$3) +(Tabela1[[#This Row],[y]]-H$4)*(Tabela1[[#This Row],[y]]-H$4)</f>
        <v>48989</v>
      </c>
      <c r="D9359" s="1">
        <f>IF(Tabela1[[#This Row],[promien]]&lt;40000,1,0)</f>
        <v>0</v>
      </c>
      <c r="E9359" s="1">
        <f>IF(Tabela1[[#This Row],[promien]]=40000,1,0)</f>
        <v>0</v>
      </c>
      <c r="F9359" s="1">
        <v>3.1345229191152901</v>
      </c>
      <c r="G9359" s="1">
        <v>7.0697344745029866E-3</v>
      </c>
    </row>
    <row r="9360" spans="1:7">
      <c r="A9360">
        <v>63</v>
      </c>
      <c r="B9360">
        <v>64</v>
      </c>
      <c r="C9360" s="1">
        <f>(Tabela1[[#This Row],[x]]-H$3)*(Tabela1[[#This Row],[x]]-H$3) +(Tabela1[[#This Row],[y]]-H$4)*(Tabela1[[#This Row],[y]]-H$4)</f>
        <v>37265</v>
      </c>
      <c r="D9360" s="1">
        <f>IF(Tabela1[[#This Row],[promien]]&lt;40000,1,0)</f>
        <v>1</v>
      </c>
      <c r="E9360" s="1">
        <f>IF(Tabela1[[#This Row],[promien]]=40000,1,0)</f>
        <v>0</v>
      </c>
      <c r="F9360" s="1">
        <v>3.1346153846153846</v>
      </c>
      <c r="G9360" s="1">
        <v>6.9772689744085348E-3</v>
      </c>
    </row>
    <row r="9361" spans="1:7">
      <c r="A9361">
        <v>94</v>
      </c>
      <c r="B9361">
        <v>311</v>
      </c>
      <c r="C9361" s="1">
        <f>(Tabela1[[#This Row],[x]]-H$3)*(Tabela1[[#This Row],[x]]-H$3) +(Tabela1[[#This Row],[y]]-H$4)*(Tabela1[[#This Row],[y]]-H$4)</f>
        <v>23557</v>
      </c>
      <c r="D9361" s="1">
        <f>IF(Tabela1[[#This Row],[promien]]&lt;40000,1,0)</f>
        <v>1</v>
      </c>
      <c r="E9361" s="1">
        <f>IF(Tabela1[[#This Row],[promien]]=40000,1,0)</f>
        <v>0</v>
      </c>
      <c r="F9361" s="1">
        <v>3.1347078303600044</v>
      </c>
      <c r="G9361" s="1">
        <v>6.8848232297886724E-3</v>
      </c>
    </row>
    <row r="9362" spans="1:7">
      <c r="A9362">
        <v>105</v>
      </c>
      <c r="B9362">
        <v>374</v>
      </c>
      <c r="C9362" s="1">
        <f>(Tabela1[[#This Row],[x]]-H$3)*(Tabela1[[#This Row],[x]]-H$3) +(Tabela1[[#This Row],[y]]-H$4)*(Tabela1[[#This Row],[y]]-H$4)</f>
        <v>39301</v>
      </c>
      <c r="D9362" s="1">
        <f>IF(Tabela1[[#This Row],[promien]]&lt;40000,1,0)</f>
        <v>1</v>
      </c>
      <c r="E9362" s="1">
        <f>IF(Tabela1[[#This Row],[promien]]=40000,1,0)</f>
        <v>0</v>
      </c>
      <c r="F9362" s="1">
        <v>3.1348002563554798</v>
      </c>
      <c r="G9362" s="1">
        <v>6.7923972343133521E-3</v>
      </c>
    </row>
    <row r="9363" spans="1:7">
      <c r="A9363">
        <v>365</v>
      </c>
      <c r="B9363">
        <v>305</v>
      </c>
      <c r="C9363" s="1">
        <f>(Tabela1[[#This Row],[x]]-H$3)*(Tabela1[[#This Row],[x]]-H$3) +(Tabela1[[#This Row],[y]]-H$4)*(Tabela1[[#This Row],[y]]-H$4)</f>
        <v>38250</v>
      </c>
      <c r="D9363" s="1">
        <f>IF(Tabela1[[#This Row],[promien]]&lt;40000,1,0)</f>
        <v>1</v>
      </c>
      <c r="E9363" s="1">
        <f>IF(Tabela1[[#This Row],[promien]]=40000,1,0)</f>
        <v>0</v>
      </c>
      <c r="F9363" s="1">
        <v>3.1348926626081384</v>
      </c>
      <c r="G9363" s="1">
        <v>6.6999909816547465E-3</v>
      </c>
    </row>
    <row r="9364" spans="1:7">
      <c r="A9364">
        <v>372</v>
      </c>
      <c r="B9364">
        <v>184</v>
      </c>
      <c r="C9364" s="1">
        <f>(Tabela1[[#This Row],[x]]-H$3)*(Tabela1[[#This Row],[x]]-H$3) +(Tabela1[[#This Row],[y]]-H$4)*(Tabela1[[#This Row],[y]]-H$4)</f>
        <v>29840</v>
      </c>
      <c r="D9364" s="1">
        <f>IF(Tabela1[[#This Row],[promien]]&lt;40000,1,0)</f>
        <v>1</v>
      </c>
      <c r="E9364" s="1">
        <f>IF(Tabela1[[#This Row],[promien]]=40000,1,0)</f>
        <v>0</v>
      </c>
      <c r="F9364" s="1">
        <v>3.1349850491243059</v>
      </c>
      <c r="G9364" s="1">
        <v>6.607604465487249E-3</v>
      </c>
    </row>
    <row r="9365" spans="1:7">
      <c r="A9365">
        <v>81</v>
      </c>
      <c r="B9365">
        <v>381</v>
      </c>
      <c r="C9365" s="1">
        <f>(Tabela1[[#This Row],[x]]-H$3)*(Tabela1[[#This Row],[x]]-H$3) +(Tabela1[[#This Row],[y]]-H$4)*(Tabela1[[#This Row],[y]]-H$4)</f>
        <v>46922</v>
      </c>
      <c r="D9365" s="1">
        <f>IF(Tabela1[[#This Row],[promien]]&lt;40000,1,0)</f>
        <v>0</v>
      </c>
      <c r="E9365" s="1">
        <f>IF(Tabela1[[#This Row],[promien]]=40000,1,0)</f>
        <v>0</v>
      </c>
      <c r="F9365" s="1">
        <v>3.1346502936465561</v>
      </c>
      <c r="G9365" s="1">
        <v>6.9423599432369976E-3</v>
      </c>
    </row>
    <row r="9366" spans="1:7">
      <c r="A9366">
        <v>56</v>
      </c>
      <c r="B9366">
        <v>29</v>
      </c>
      <c r="C9366" s="1">
        <f>(Tabela1[[#This Row],[x]]-H$3)*(Tabela1[[#This Row],[x]]-H$3) +(Tabela1[[#This Row],[y]]-H$4)*(Tabela1[[#This Row],[y]]-H$4)</f>
        <v>49977</v>
      </c>
      <c r="D9366" s="1">
        <f>IF(Tabela1[[#This Row],[promien]]&lt;40000,1,0)</f>
        <v>0</v>
      </c>
      <c r="E9366" s="1">
        <f>IF(Tabela1[[#This Row],[promien]]=40000,1,0)</f>
        <v>0</v>
      </c>
      <c r="F9366" s="1">
        <v>3.1343156096519325</v>
      </c>
      <c r="G9366" s="1">
        <v>7.2770439378606611E-3</v>
      </c>
    </row>
    <row r="9367" spans="1:7">
      <c r="A9367">
        <v>290</v>
      </c>
      <c r="B9367">
        <v>191</v>
      </c>
      <c r="C9367" s="1">
        <f>(Tabela1[[#This Row],[x]]-H$3)*(Tabela1[[#This Row],[x]]-H$3) +(Tabela1[[#This Row],[y]]-H$4)*(Tabela1[[#This Row],[y]]-H$4)</f>
        <v>8181</v>
      </c>
      <c r="D9367" s="1">
        <f>IF(Tabela1[[#This Row],[promien]]&lt;40000,1,0)</f>
        <v>1</v>
      </c>
      <c r="E9367" s="1">
        <f>IF(Tabela1[[#This Row],[promien]]=40000,1,0)</f>
        <v>0</v>
      </c>
      <c r="F9367" s="1">
        <v>3.1344080281840503</v>
      </c>
      <c r="G9367" s="1">
        <v>7.1846254057428283E-3</v>
      </c>
    </row>
    <row r="9368" spans="1:7">
      <c r="A9368">
        <v>66</v>
      </c>
      <c r="B9368">
        <v>374</v>
      </c>
      <c r="C9368" s="1">
        <f>(Tabela1[[#This Row],[x]]-H$3)*(Tabela1[[#This Row],[x]]-H$3) +(Tabela1[[#This Row],[y]]-H$4)*(Tabela1[[#This Row],[y]]-H$4)</f>
        <v>48232</v>
      </c>
      <c r="D9368" s="1">
        <f>IF(Tabela1[[#This Row],[promien]]&lt;40000,1,0)</f>
        <v>0</v>
      </c>
      <c r="E9368" s="1">
        <f>IF(Tabela1[[#This Row],[promien]]=40000,1,0)</f>
        <v>0</v>
      </c>
      <c r="F9368" s="1">
        <v>3.1340734415029887</v>
      </c>
      <c r="G9368" s="1">
        <v>7.5192120868043943E-3</v>
      </c>
    </row>
    <row r="9369" spans="1:7">
      <c r="A9369">
        <v>210</v>
      </c>
      <c r="B9369">
        <v>30</v>
      </c>
      <c r="C9369" s="1">
        <f>(Tabela1[[#This Row],[x]]-H$3)*(Tabela1[[#This Row],[x]]-H$3) +(Tabela1[[#This Row],[y]]-H$4)*(Tabela1[[#This Row],[y]]-H$4)</f>
        <v>29000</v>
      </c>
      <c r="D9369" s="1">
        <f>IF(Tabela1[[#This Row],[promien]]&lt;40000,1,0)</f>
        <v>1</v>
      </c>
      <c r="E9369" s="1">
        <f>IF(Tabela1[[#This Row],[promien]]=40000,1,0)</f>
        <v>0</v>
      </c>
      <c r="F9369" s="1">
        <v>3.1341658661543388</v>
      </c>
      <c r="G9369" s="1">
        <v>7.4267874354543295E-3</v>
      </c>
    </row>
    <row r="9370" spans="1:7">
      <c r="A9370">
        <v>17</v>
      </c>
      <c r="B9370">
        <v>95</v>
      </c>
      <c r="C9370" s="1">
        <f>(Tabela1[[#This Row],[x]]-H$3)*(Tabela1[[#This Row],[x]]-H$3) +(Tabela1[[#This Row],[y]]-H$4)*(Tabela1[[#This Row],[y]]-H$4)</f>
        <v>44514</v>
      </c>
      <c r="D9370" s="1">
        <f>IF(Tabela1[[#This Row],[promien]]&lt;40000,1,0)</f>
        <v>0</v>
      </c>
      <c r="E9370" s="1">
        <f>IF(Tabela1[[#This Row],[promien]]=40000,1,0)</f>
        <v>0</v>
      </c>
      <c r="F9370" s="1">
        <v>3.1338313767342583</v>
      </c>
      <c r="G9370" s="1">
        <v>7.7612768555348488E-3</v>
      </c>
    </row>
    <row r="9371" spans="1:7">
      <c r="A9371">
        <v>345</v>
      </c>
      <c r="B9371">
        <v>227</v>
      </c>
      <c r="C9371" s="1">
        <f>(Tabela1[[#This Row],[x]]-H$3)*(Tabela1[[#This Row],[x]]-H$3) +(Tabela1[[#This Row],[y]]-H$4)*(Tabela1[[#This Row],[y]]-H$4)</f>
        <v>21754</v>
      </c>
      <c r="D9371" s="1">
        <f>IF(Tabela1[[#This Row],[promien]]&lt;40000,1,0)</f>
        <v>1</v>
      </c>
      <c r="E9371" s="1">
        <f>IF(Tabela1[[#This Row],[promien]]=40000,1,0)</f>
        <v>0</v>
      </c>
      <c r="F9371" s="1">
        <v>3.1339238074911964</v>
      </c>
      <c r="G9371" s="1">
        <v>7.6688460985967488E-3</v>
      </c>
    </row>
    <row r="9372" spans="1:7">
      <c r="A9372">
        <v>114</v>
      </c>
      <c r="B9372">
        <v>32</v>
      </c>
      <c r="C9372" s="1">
        <f>(Tabela1[[#This Row],[x]]-H$3)*(Tabela1[[#This Row],[x]]-H$3) +(Tabela1[[#This Row],[y]]-H$4)*(Tabela1[[#This Row],[y]]-H$4)</f>
        <v>35620</v>
      </c>
      <c r="D9372" s="1">
        <f>IF(Tabela1[[#This Row],[promien]]&lt;40000,1,0)</f>
        <v>1</v>
      </c>
      <c r="E9372" s="1">
        <f>IF(Tabela1[[#This Row],[promien]]=40000,1,0)</f>
        <v>0</v>
      </c>
      <c r="F9372" s="1">
        <v>3.1340162185232607</v>
      </c>
      <c r="G9372" s="1">
        <v>7.5764350665323832E-3</v>
      </c>
    </row>
    <row r="9373" spans="1:7">
      <c r="A9373">
        <v>132</v>
      </c>
      <c r="B9373">
        <v>295</v>
      </c>
      <c r="C9373" s="1">
        <f>(Tabela1[[#This Row],[x]]-H$3)*(Tabela1[[#This Row],[x]]-H$3) +(Tabela1[[#This Row],[y]]-H$4)*(Tabela1[[#This Row],[y]]-H$4)</f>
        <v>13649</v>
      </c>
      <c r="D9373" s="1">
        <f>IF(Tabela1[[#This Row],[promien]]&lt;40000,1,0)</f>
        <v>1</v>
      </c>
      <c r="E9373" s="1">
        <f>IF(Tabela1[[#This Row],[promien]]=40000,1,0)</f>
        <v>0</v>
      </c>
      <c r="F9373" s="1">
        <v>3.134108609836765</v>
      </c>
      <c r="G9373" s="1">
        <v>7.4840437530281356E-3</v>
      </c>
    </row>
    <row r="9374" spans="1:7">
      <c r="A9374">
        <v>178</v>
      </c>
      <c r="B9374">
        <v>297</v>
      </c>
      <c r="C9374" s="1">
        <f>(Tabela1[[#This Row],[x]]-H$3)*(Tabela1[[#This Row],[x]]-H$3) +(Tabela1[[#This Row],[y]]-H$4)*(Tabela1[[#This Row],[y]]-H$4)</f>
        <v>9893</v>
      </c>
      <c r="D9374" s="1">
        <f>IF(Tabela1[[#This Row],[promien]]&lt;40000,1,0)</f>
        <v>1</v>
      </c>
      <c r="E9374" s="1">
        <f>IF(Tabela1[[#This Row],[promien]]=40000,1,0)</f>
        <v>0</v>
      </c>
      <c r="F9374" s="1">
        <v>3.1342009814380201</v>
      </c>
      <c r="G9374" s="1">
        <v>7.3916721517730544E-3</v>
      </c>
    </row>
    <row r="9375" spans="1:7">
      <c r="A9375">
        <v>33</v>
      </c>
      <c r="B9375">
        <v>148</v>
      </c>
      <c r="C9375" s="1">
        <f>(Tabela1[[#This Row],[x]]-H$3)*(Tabela1[[#This Row],[x]]-H$3) +(Tabela1[[#This Row],[y]]-H$4)*(Tabela1[[#This Row],[y]]-H$4)</f>
        <v>30593</v>
      </c>
      <c r="D9375" s="1">
        <f>IF(Tabela1[[#This Row],[promien]]&lt;40000,1,0)</f>
        <v>1</v>
      </c>
      <c r="E9375" s="1">
        <f>IF(Tabela1[[#This Row],[promien]]=40000,1,0)</f>
        <v>0</v>
      </c>
      <c r="F9375" s="1">
        <v>3.1342933333333334</v>
      </c>
      <c r="G9375" s="1">
        <v>7.2993202564597404E-3</v>
      </c>
    </row>
    <row r="9376" spans="1:7">
      <c r="A9376">
        <v>305</v>
      </c>
      <c r="B9376">
        <v>351</v>
      </c>
      <c r="C9376" s="1">
        <f>(Tabela1[[#This Row],[x]]-H$3)*(Tabela1[[#This Row],[x]]-H$3) +(Tabela1[[#This Row],[y]]-H$4)*(Tabela1[[#This Row],[y]]-H$4)</f>
        <v>33826</v>
      </c>
      <c r="D9376" s="1">
        <f>IF(Tabela1[[#This Row],[promien]]&lt;40000,1,0)</f>
        <v>1</v>
      </c>
      <c r="E9376" s="1">
        <f>IF(Tabela1[[#This Row],[promien]]=40000,1,0)</f>
        <v>0</v>
      </c>
      <c r="F9376" s="1">
        <v>3.1343856655290101</v>
      </c>
      <c r="G9376" s="1">
        <v>7.206988060783015E-3</v>
      </c>
    </row>
    <row r="9377" spans="1:7">
      <c r="A9377">
        <v>353</v>
      </c>
      <c r="B9377">
        <v>164</v>
      </c>
      <c r="C9377" s="1">
        <f>(Tabela1[[#This Row],[x]]-H$3)*(Tabela1[[#This Row],[x]]-H$3) +(Tabela1[[#This Row],[y]]-H$4)*(Tabela1[[#This Row],[y]]-H$4)</f>
        <v>24705</v>
      </c>
      <c r="D9377" s="1">
        <f>IF(Tabela1[[#This Row],[promien]]&lt;40000,1,0)</f>
        <v>1</v>
      </c>
      <c r="E9377" s="1">
        <f>IF(Tabela1[[#This Row],[promien]]=40000,1,0)</f>
        <v>0</v>
      </c>
      <c r="F9377" s="1">
        <v>3.1344779780313532</v>
      </c>
      <c r="G9377" s="1">
        <v>7.1146755584399202E-3</v>
      </c>
    </row>
    <row r="9378" spans="1:7">
      <c r="A9378">
        <v>347</v>
      </c>
      <c r="B9378">
        <v>81</v>
      </c>
      <c r="C9378" s="1">
        <f>(Tabela1[[#This Row],[x]]-H$3)*(Tabela1[[#This Row],[x]]-H$3) +(Tabela1[[#This Row],[y]]-H$4)*(Tabela1[[#This Row],[y]]-H$4)</f>
        <v>35770</v>
      </c>
      <c r="D9378" s="1">
        <f>IF(Tabela1[[#This Row],[promien]]&lt;40000,1,0)</f>
        <v>1</v>
      </c>
      <c r="E9378" s="1">
        <f>IF(Tabela1[[#This Row],[promien]]=40000,1,0)</f>
        <v>0</v>
      </c>
      <c r="F9378" s="1">
        <v>3.1345702708466625</v>
      </c>
      <c r="G9378" s="1">
        <v>7.0223827431306063E-3</v>
      </c>
    </row>
    <row r="9379" spans="1:7">
      <c r="A9379">
        <v>222</v>
      </c>
      <c r="B9379">
        <v>90</v>
      </c>
      <c r="C9379" s="1">
        <f>(Tabela1[[#This Row],[x]]-H$3)*(Tabela1[[#This Row],[x]]-H$3) +(Tabela1[[#This Row],[y]]-H$4)*(Tabela1[[#This Row],[y]]-H$4)</f>
        <v>12584</v>
      </c>
      <c r="D9379" s="1">
        <f>IF(Tabela1[[#This Row],[promien]]&lt;40000,1,0)</f>
        <v>1</v>
      </c>
      <c r="E9379" s="1">
        <f>IF(Tabela1[[#This Row],[promien]]=40000,1,0)</f>
        <v>0</v>
      </c>
      <c r="F9379" s="1">
        <v>3.1346625439812348</v>
      </c>
      <c r="G9379" s="1">
        <v>6.9301096085583325E-3</v>
      </c>
    </row>
    <row r="9380" spans="1:7">
      <c r="A9380">
        <v>286</v>
      </c>
      <c r="B9380">
        <v>210</v>
      </c>
      <c r="C9380" s="1">
        <f>(Tabela1[[#This Row],[x]]-H$3)*(Tabela1[[#This Row],[x]]-H$3) +(Tabela1[[#This Row],[y]]-H$4)*(Tabela1[[#This Row],[y]]-H$4)</f>
        <v>7496</v>
      </c>
      <c r="D9380" s="1">
        <f>IF(Tabela1[[#This Row],[promien]]&lt;40000,1,0)</f>
        <v>1</v>
      </c>
      <c r="E9380" s="1">
        <f>IF(Tabela1[[#This Row],[promien]]=40000,1,0)</f>
        <v>0</v>
      </c>
      <c r="F9380" s="1">
        <v>3.1347547974413645</v>
      </c>
      <c r="G9380" s="1">
        <v>6.8378561484285783E-3</v>
      </c>
    </row>
    <row r="9381" spans="1:7">
      <c r="A9381">
        <v>297</v>
      </c>
      <c r="B9381">
        <v>16</v>
      </c>
      <c r="C9381" s="1">
        <f>(Tabela1[[#This Row],[x]]-H$3)*(Tabela1[[#This Row],[x]]-H$3) +(Tabela1[[#This Row],[y]]-H$4)*(Tabela1[[#This Row],[y]]-H$4)</f>
        <v>43265</v>
      </c>
      <c r="D9381" s="1">
        <f>IF(Tabela1[[#This Row],[promien]]&lt;40000,1,0)</f>
        <v>0</v>
      </c>
      <c r="E9381" s="1">
        <f>IF(Tabela1[[#This Row],[promien]]=40000,1,0)</f>
        <v>0</v>
      </c>
      <c r="F9381" s="1">
        <v>3.1344206374586929</v>
      </c>
      <c r="G9381" s="1">
        <v>7.1720161311001895E-3</v>
      </c>
    </row>
    <row r="9382" spans="1:7">
      <c r="A9382">
        <v>128</v>
      </c>
      <c r="B9382">
        <v>335</v>
      </c>
      <c r="C9382" s="1">
        <f>(Tabela1[[#This Row],[x]]-H$3)*(Tabela1[[#This Row],[x]]-H$3) +(Tabela1[[#This Row],[y]]-H$4)*(Tabela1[[#This Row],[y]]-H$4)</f>
        <v>23409</v>
      </c>
      <c r="D9382" s="1">
        <f>IF(Tabela1[[#This Row],[promien]]&lt;40000,1,0)</f>
        <v>1</v>
      </c>
      <c r="E9382" s="1">
        <f>IF(Tabela1[[#This Row],[promien]]=40000,1,0)</f>
        <v>0</v>
      </c>
      <c r="F9382" s="1">
        <v>3.134512897036879</v>
      </c>
      <c r="G9382" s="1">
        <v>7.0797565529141515E-3</v>
      </c>
    </row>
    <row r="9383" spans="1:7">
      <c r="A9383">
        <v>305</v>
      </c>
      <c r="B9383">
        <v>218</v>
      </c>
      <c r="C9383" s="1">
        <f>(Tabela1[[#This Row],[x]]-H$3)*(Tabela1[[#This Row],[x]]-H$3) +(Tabela1[[#This Row],[y]]-H$4)*(Tabela1[[#This Row],[y]]-H$4)</f>
        <v>11349</v>
      </c>
      <c r="D9383" s="1">
        <f>IF(Tabela1[[#This Row],[promien]]&lt;40000,1,0)</f>
        <v>1</v>
      </c>
      <c r="E9383" s="1">
        <f>IF(Tabela1[[#This Row],[promien]]=40000,1,0)</f>
        <v>0</v>
      </c>
      <c r="F9383" s="1">
        <v>3.1346051369498027</v>
      </c>
      <c r="G9383" s="1">
        <v>6.9875166399904209E-3</v>
      </c>
    </row>
    <row r="9384" spans="1:7">
      <c r="A9384">
        <v>299</v>
      </c>
      <c r="B9384">
        <v>138</v>
      </c>
      <c r="C9384" s="1">
        <f>(Tabela1[[#This Row],[x]]-H$3)*(Tabela1[[#This Row],[x]]-H$3) +(Tabela1[[#This Row],[y]]-H$4)*(Tabela1[[#This Row],[y]]-H$4)</f>
        <v>13645</v>
      </c>
      <c r="D9384" s="1">
        <f>IF(Tabela1[[#This Row],[promien]]&lt;40000,1,0)</f>
        <v>1</v>
      </c>
      <c r="E9384" s="1">
        <f>IF(Tabela1[[#This Row],[promien]]=40000,1,0)</f>
        <v>0</v>
      </c>
      <c r="F9384" s="1">
        <v>3.1346973572037511</v>
      </c>
      <c r="G9384" s="1">
        <v>6.8952963860420269E-3</v>
      </c>
    </row>
    <row r="9385" spans="1:7">
      <c r="A9385">
        <v>321</v>
      </c>
      <c r="B9385">
        <v>153</v>
      </c>
      <c r="C9385" s="1">
        <f>(Tabela1[[#This Row],[x]]-H$3)*(Tabela1[[#This Row],[x]]-H$3) +(Tabela1[[#This Row],[y]]-H$4)*(Tabela1[[#This Row],[y]]-H$4)</f>
        <v>16850</v>
      </c>
      <c r="D9385" s="1">
        <f>IF(Tabela1[[#This Row],[promien]]&lt;40000,1,0)</f>
        <v>1</v>
      </c>
      <c r="E9385" s="1">
        <f>IF(Tabela1[[#This Row],[promien]]=40000,1,0)</f>
        <v>0</v>
      </c>
      <c r="F9385" s="1">
        <v>3.134789557805008</v>
      </c>
      <c r="G9385" s="1">
        <v>6.803095784785107E-3</v>
      </c>
    </row>
    <row r="9386" spans="1:7">
      <c r="A9386">
        <v>300</v>
      </c>
      <c r="B9386">
        <v>1</v>
      </c>
      <c r="C9386" s="1">
        <f>(Tabela1[[#This Row],[x]]-H$3)*(Tabela1[[#This Row],[x]]-H$3) +(Tabela1[[#This Row],[y]]-H$4)*(Tabela1[[#This Row],[y]]-H$4)</f>
        <v>49601</v>
      </c>
      <c r="D9386" s="1">
        <f>IF(Tabela1[[#This Row],[promien]]&lt;40000,1,0)</f>
        <v>0</v>
      </c>
      <c r="E9386" s="1">
        <f>IF(Tabela1[[#This Row],[promien]]=40000,1,0)</f>
        <v>0</v>
      </c>
      <c r="F9386" s="1">
        <v>3.1344555721287022</v>
      </c>
      <c r="G9386" s="1">
        <v>7.1370814610909328E-3</v>
      </c>
    </row>
    <row r="9387" spans="1:7">
      <c r="A9387">
        <v>396</v>
      </c>
      <c r="B9387">
        <v>376</v>
      </c>
      <c r="C9387" s="1">
        <f>(Tabela1[[#This Row],[x]]-H$3)*(Tabela1[[#This Row],[x]]-H$3) +(Tabela1[[#This Row],[y]]-H$4)*(Tabela1[[#This Row],[y]]-H$4)</f>
        <v>69392</v>
      </c>
      <c r="D9387" s="1">
        <f>IF(Tabela1[[#This Row],[promien]]&lt;40000,1,0)</f>
        <v>0</v>
      </c>
      <c r="E9387" s="1">
        <f>IF(Tabela1[[#This Row],[promien]]=40000,1,0)</f>
        <v>0</v>
      </c>
      <c r="F9387" s="1">
        <v>3.1341216576115905</v>
      </c>
      <c r="G9387" s="1">
        <v>7.4709959782026658E-3</v>
      </c>
    </row>
    <row r="9388" spans="1:7">
      <c r="A9388">
        <v>341</v>
      </c>
      <c r="B9388">
        <v>224</v>
      </c>
      <c r="C9388" s="1">
        <f>(Tabela1[[#This Row],[x]]-H$3)*(Tabela1[[#This Row],[x]]-H$3) +(Tabela1[[#This Row],[y]]-H$4)*(Tabela1[[#This Row],[y]]-H$4)</f>
        <v>20457</v>
      </c>
      <c r="D9388" s="1">
        <f>IF(Tabela1[[#This Row],[promien]]&lt;40000,1,0)</f>
        <v>1</v>
      </c>
      <c r="E9388" s="1">
        <f>IF(Tabela1[[#This Row],[promien]]=40000,1,0)</f>
        <v>0</v>
      </c>
      <c r="F9388" s="1">
        <v>3.134213890072433</v>
      </c>
      <c r="G9388" s="1">
        <v>7.3787635173601096E-3</v>
      </c>
    </row>
    <row r="9389" spans="1:7">
      <c r="A9389">
        <v>237</v>
      </c>
      <c r="B9389">
        <v>399</v>
      </c>
      <c r="C9389" s="1">
        <f>(Tabela1[[#This Row],[x]]-H$3)*(Tabela1[[#This Row],[x]]-H$3) +(Tabela1[[#This Row],[y]]-H$4)*(Tabela1[[#This Row],[y]]-H$4)</f>
        <v>40970</v>
      </c>
      <c r="D9389" s="1">
        <f>IF(Tabela1[[#This Row],[promien]]&lt;40000,1,0)</f>
        <v>0</v>
      </c>
      <c r="E9389" s="1">
        <f>IF(Tabela1[[#This Row],[promien]]=40000,1,0)</f>
        <v>0</v>
      </c>
      <c r="F9389" s="1">
        <v>3.1338800724251783</v>
      </c>
      <c r="G9389" s="1">
        <v>7.7125811646148179E-3</v>
      </c>
    </row>
    <row r="9390" spans="1:7">
      <c r="A9390">
        <v>386</v>
      </c>
      <c r="B9390">
        <v>300</v>
      </c>
      <c r="C9390" s="1">
        <f>(Tabela1[[#This Row],[x]]-H$3)*(Tabela1[[#This Row],[x]]-H$3) +(Tabela1[[#This Row],[y]]-H$4)*(Tabela1[[#This Row],[y]]-H$4)</f>
        <v>44596</v>
      </c>
      <c r="D9390" s="1">
        <f>IF(Tabela1[[#This Row],[promien]]&lt;40000,1,0)</f>
        <v>0</v>
      </c>
      <c r="E9390" s="1">
        <f>IF(Tabela1[[#This Row],[promien]]=40000,1,0)</f>
        <v>0</v>
      </c>
      <c r="F9390" s="1">
        <v>3.1335463258785943</v>
      </c>
      <c r="G9390" s="1">
        <v>8.0463277111988418E-3</v>
      </c>
    </row>
    <row r="9391" spans="1:7">
      <c r="A9391">
        <v>86</v>
      </c>
      <c r="B9391">
        <v>245</v>
      </c>
      <c r="C9391" s="1">
        <f>(Tabela1[[#This Row],[x]]-H$3)*(Tabela1[[#This Row],[x]]-H$3) +(Tabela1[[#This Row],[y]]-H$4)*(Tabela1[[#This Row],[y]]-H$4)</f>
        <v>15021</v>
      </c>
      <c r="D9391" s="1">
        <f>IF(Tabela1[[#This Row],[promien]]&lt;40000,1,0)</f>
        <v>1</v>
      </c>
      <c r="E9391" s="1">
        <f>IF(Tabela1[[#This Row],[promien]]=40000,1,0)</f>
        <v>0</v>
      </c>
      <c r="F9391" s="1">
        <v>3.1336385901394954</v>
      </c>
      <c r="G9391" s="1">
        <v>7.9540634502976992E-3</v>
      </c>
    </row>
    <row r="9392" spans="1:7">
      <c r="A9392">
        <v>152</v>
      </c>
      <c r="B9392">
        <v>240</v>
      </c>
      <c r="C9392" s="1">
        <f>(Tabela1[[#This Row],[x]]-H$3)*(Tabela1[[#This Row],[x]]-H$3) +(Tabela1[[#This Row],[y]]-H$4)*(Tabela1[[#This Row],[y]]-H$4)</f>
        <v>3904</v>
      </c>
      <c r="D9392" s="1">
        <f>IF(Tabela1[[#This Row],[promien]]&lt;40000,1,0)</f>
        <v>1</v>
      </c>
      <c r="E9392" s="1">
        <f>IF(Tabela1[[#This Row],[promien]]=40000,1,0)</f>
        <v>0</v>
      </c>
      <c r="F9392" s="1">
        <v>3.1337308347529813</v>
      </c>
      <c r="G9392" s="1">
        <v>7.8618188368118069E-3</v>
      </c>
    </row>
    <row r="9393" spans="1:7">
      <c r="A9393">
        <v>347</v>
      </c>
      <c r="B9393">
        <v>172</v>
      </c>
      <c r="C9393" s="1">
        <f>(Tabela1[[#This Row],[x]]-H$3)*(Tabela1[[#This Row],[x]]-H$3) +(Tabela1[[#This Row],[y]]-H$4)*(Tabela1[[#This Row],[y]]-H$4)</f>
        <v>22393</v>
      </c>
      <c r="D9393" s="1">
        <f>IF(Tabela1[[#This Row],[promien]]&lt;40000,1,0)</f>
        <v>1</v>
      </c>
      <c r="E9393" s="1">
        <f>IF(Tabela1[[#This Row],[promien]]=40000,1,0)</f>
        <v>0</v>
      </c>
      <c r="F9393" s="1">
        <v>3.1338230597253274</v>
      </c>
      <c r="G9393" s="1">
        <v>7.7695938644657403E-3</v>
      </c>
    </row>
    <row r="9394" spans="1:7">
      <c r="A9394">
        <v>301</v>
      </c>
      <c r="B9394">
        <v>266</v>
      </c>
      <c r="C9394" s="1">
        <f>(Tabela1[[#This Row],[x]]-H$3)*(Tabela1[[#This Row],[x]]-H$3) +(Tabela1[[#This Row],[y]]-H$4)*(Tabela1[[#This Row],[y]]-H$4)</f>
        <v>14557</v>
      </c>
      <c r="D9394" s="1">
        <f>IF(Tabela1[[#This Row],[promien]]&lt;40000,1,0)</f>
        <v>1</v>
      </c>
      <c r="E9394" s="1">
        <f>IF(Tabela1[[#This Row],[promien]]=40000,1,0)</f>
        <v>0</v>
      </c>
      <c r="F9394" s="1">
        <v>3.1339152650628059</v>
      </c>
      <c r="G9394" s="1">
        <v>7.6773885269871833E-3</v>
      </c>
    </row>
    <row r="9395" spans="1:7">
      <c r="A9395">
        <v>259</v>
      </c>
      <c r="B9395">
        <v>235</v>
      </c>
      <c r="C9395" s="1">
        <f>(Tabela1[[#This Row],[x]]-H$3)*(Tabela1[[#This Row],[x]]-H$3) +(Tabela1[[#This Row],[y]]-H$4)*(Tabela1[[#This Row],[y]]-H$4)</f>
        <v>4706</v>
      </c>
      <c r="D9395" s="1">
        <f>IF(Tabela1[[#This Row],[promien]]&lt;40000,1,0)</f>
        <v>1</v>
      </c>
      <c r="E9395" s="1">
        <f>IF(Tabela1[[#This Row],[promien]]=40000,1,0)</f>
        <v>0</v>
      </c>
      <c r="F9395" s="1">
        <v>3.1340074507716871</v>
      </c>
      <c r="G9395" s="1">
        <v>7.5852028181060405E-3</v>
      </c>
    </row>
    <row r="9396" spans="1:7">
      <c r="A9396">
        <v>145</v>
      </c>
      <c r="B9396">
        <v>154</v>
      </c>
      <c r="C9396" s="1">
        <f>(Tabela1[[#This Row],[x]]-H$3)*(Tabela1[[#This Row],[x]]-H$3) +(Tabela1[[#This Row],[y]]-H$4)*(Tabela1[[#This Row],[y]]-H$4)</f>
        <v>5141</v>
      </c>
      <c r="D9396" s="1">
        <f>IF(Tabela1[[#This Row],[promien]]&lt;40000,1,0)</f>
        <v>1</v>
      </c>
      <c r="E9396" s="1">
        <f>IF(Tabela1[[#This Row],[promien]]=40000,1,0)</f>
        <v>0</v>
      </c>
      <c r="F9396" s="1">
        <v>3.1340996168582373</v>
      </c>
      <c r="G9396" s="1">
        <v>7.4930367315557689E-3</v>
      </c>
    </row>
    <row r="9397" spans="1:7">
      <c r="A9397">
        <v>81</v>
      </c>
      <c r="B9397">
        <v>159</v>
      </c>
      <c r="C9397" s="1">
        <f>(Tabela1[[#This Row],[x]]-H$3)*(Tabela1[[#This Row],[x]]-H$3) +(Tabela1[[#This Row],[y]]-H$4)*(Tabela1[[#This Row],[y]]-H$4)</f>
        <v>15842</v>
      </c>
      <c r="D9397" s="1">
        <f>IF(Tabela1[[#This Row],[promien]]&lt;40000,1,0)</f>
        <v>1</v>
      </c>
      <c r="E9397" s="1">
        <f>IF(Tabela1[[#This Row],[promien]]=40000,1,0)</f>
        <v>0</v>
      </c>
      <c r="F9397" s="1">
        <v>3.134191763328722</v>
      </c>
      <c r="G9397" s="1">
        <v>7.400890261071158E-3</v>
      </c>
    </row>
    <row r="9398" spans="1:7">
      <c r="A9398">
        <v>393</v>
      </c>
      <c r="B9398">
        <v>206</v>
      </c>
      <c r="C9398" s="1">
        <f>(Tabela1[[#This Row],[x]]-H$3)*(Tabela1[[#This Row],[x]]-H$3) +(Tabela1[[#This Row],[y]]-H$4)*(Tabela1[[#This Row],[y]]-H$4)</f>
        <v>37285</v>
      </c>
      <c r="D9398" s="1">
        <f>IF(Tabela1[[#This Row],[promien]]&lt;40000,1,0)</f>
        <v>1</v>
      </c>
      <c r="E9398" s="1">
        <f>IF(Tabela1[[#This Row],[promien]]=40000,1,0)</f>
        <v>0</v>
      </c>
      <c r="F9398" s="1">
        <v>3.1342838901894021</v>
      </c>
      <c r="G9398" s="1">
        <v>7.308763400390994E-3</v>
      </c>
    </row>
    <row r="9399" spans="1:7">
      <c r="A9399">
        <v>268</v>
      </c>
      <c r="B9399">
        <v>43</v>
      </c>
      <c r="C9399" s="1">
        <f>(Tabela1[[#This Row],[x]]-H$3)*(Tabela1[[#This Row],[x]]-H$3) +(Tabela1[[#This Row],[y]]-H$4)*(Tabela1[[#This Row],[y]]-H$4)</f>
        <v>29273</v>
      </c>
      <c r="D9399" s="1">
        <f>IF(Tabela1[[#This Row],[promien]]&lt;40000,1,0)</f>
        <v>1</v>
      </c>
      <c r="E9399" s="1">
        <f>IF(Tabela1[[#This Row],[promien]]=40000,1,0)</f>
        <v>0</v>
      </c>
      <c r="F9399" s="1">
        <v>3.1343759974465368</v>
      </c>
      <c r="G9399" s="1">
        <v>7.2166561432562837E-3</v>
      </c>
    </row>
    <row r="9400" spans="1:7">
      <c r="A9400">
        <v>125</v>
      </c>
      <c r="B9400">
        <v>356</v>
      </c>
      <c r="C9400" s="1">
        <f>(Tabela1[[#This Row],[x]]-H$3)*(Tabela1[[#This Row],[x]]-H$3) +(Tabela1[[#This Row],[y]]-H$4)*(Tabela1[[#This Row],[y]]-H$4)</f>
        <v>29961</v>
      </c>
      <c r="D9400" s="1">
        <f>IF(Tabela1[[#This Row],[promien]]&lt;40000,1,0)</f>
        <v>1</v>
      </c>
      <c r="E9400" s="1">
        <f>IF(Tabela1[[#This Row],[promien]]=40000,1,0)</f>
        <v>0</v>
      </c>
      <c r="F9400" s="1">
        <v>3.1344680851063829</v>
      </c>
      <c r="G9400" s="1">
        <v>7.1245684834102541E-3</v>
      </c>
    </row>
    <row r="9401" spans="1:7">
      <c r="A9401">
        <v>148</v>
      </c>
      <c r="B9401">
        <v>125</v>
      </c>
      <c r="C9401" s="1">
        <f>(Tabela1[[#This Row],[x]]-H$3)*(Tabela1[[#This Row],[x]]-H$3) +(Tabela1[[#This Row],[y]]-H$4)*(Tabela1[[#This Row],[y]]-H$4)</f>
        <v>8329</v>
      </c>
      <c r="D9401" s="1">
        <f>IF(Tabela1[[#This Row],[promien]]&lt;40000,1,0)</f>
        <v>1</v>
      </c>
      <c r="E9401" s="1">
        <f>IF(Tabela1[[#This Row],[promien]]=40000,1,0)</f>
        <v>0</v>
      </c>
      <c r="F9401" s="1">
        <v>3.1345601531751943</v>
      </c>
      <c r="G9401" s="1">
        <v>7.0325004145987968E-3</v>
      </c>
    </row>
    <row r="9402" spans="1:7">
      <c r="A9402">
        <v>96</v>
      </c>
      <c r="B9402">
        <v>174</v>
      </c>
      <c r="C9402" s="1">
        <f>(Tabela1[[#This Row],[x]]-H$3)*(Tabela1[[#This Row],[x]]-H$3) +(Tabela1[[#This Row],[y]]-H$4)*(Tabela1[[#This Row],[y]]-H$4)</f>
        <v>11492</v>
      </c>
      <c r="D9402" s="1">
        <f>IF(Tabela1[[#This Row],[promien]]&lt;40000,1,0)</f>
        <v>1</v>
      </c>
      <c r="E9402" s="1">
        <f>IF(Tabela1[[#This Row],[promien]]=40000,1,0)</f>
        <v>0</v>
      </c>
      <c r="F9402" s="1">
        <v>3.1346522016592213</v>
      </c>
      <c r="G9402" s="1">
        <v>6.9404519305718004E-3</v>
      </c>
    </row>
    <row r="9403" spans="1:7">
      <c r="A9403">
        <v>398</v>
      </c>
      <c r="B9403">
        <v>159</v>
      </c>
      <c r="C9403" s="1">
        <f>(Tabela1[[#This Row],[x]]-H$3)*(Tabela1[[#This Row],[x]]-H$3) +(Tabela1[[#This Row],[y]]-H$4)*(Tabela1[[#This Row],[y]]-H$4)</f>
        <v>40885</v>
      </c>
      <c r="D9403" s="1">
        <f>IF(Tabela1[[#This Row],[promien]]&lt;40000,1,0)</f>
        <v>0</v>
      </c>
      <c r="E9403" s="1">
        <f>IF(Tabela1[[#This Row],[promien]]=40000,1,0)</f>
        <v>0</v>
      </c>
      <c r="F9403" s="1">
        <v>3.1343188344145485</v>
      </c>
      <c r="G9403" s="1">
        <v>7.2738191752446113E-3</v>
      </c>
    </row>
    <row r="9404" spans="1:7">
      <c r="A9404">
        <v>250</v>
      </c>
      <c r="B9404">
        <v>141</v>
      </c>
      <c r="C9404" s="1">
        <f>(Tabela1[[#This Row],[x]]-H$3)*(Tabela1[[#This Row],[x]]-H$3) +(Tabela1[[#This Row],[y]]-H$4)*(Tabela1[[#This Row],[y]]-H$4)</f>
        <v>5981</v>
      </c>
      <c r="D9404" s="1">
        <f>IF(Tabela1[[#This Row],[promien]]&lt;40000,1,0)</f>
        <v>1</v>
      </c>
      <c r="E9404" s="1">
        <f>IF(Tabela1[[#This Row],[promien]]=40000,1,0)</f>
        <v>0</v>
      </c>
      <c r="F9404" s="1">
        <v>3.1344108889834112</v>
      </c>
      <c r="G9404" s="1">
        <v>7.1817646063818685E-3</v>
      </c>
    </row>
    <row r="9405" spans="1:7">
      <c r="A9405">
        <v>355</v>
      </c>
      <c r="B9405">
        <v>242</v>
      </c>
      <c r="C9405" s="1">
        <f>(Tabela1[[#This Row],[x]]-H$3)*(Tabela1[[#This Row],[x]]-H$3) +(Tabela1[[#This Row],[y]]-H$4)*(Tabela1[[#This Row],[y]]-H$4)</f>
        <v>25789</v>
      </c>
      <c r="D9405" s="1">
        <f>IF(Tabela1[[#This Row],[promien]]&lt;40000,1,0)</f>
        <v>1</v>
      </c>
      <c r="E9405" s="1">
        <f>IF(Tabela1[[#This Row],[promien]]=40000,1,0)</f>
        <v>0</v>
      </c>
      <c r="F9405" s="1">
        <v>3.134502923976608</v>
      </c>
      <c r="G9405" s="1">
        <v>7.0897296131851029E-3</v>
      </c>
    </row>
    <row r="9406" spans="1:7">
      <c r="A9406">
        <v>177</v>
      </c>
      <c r="B9406">
        <v>8</v>
      </c>
      <c r="C9406" s="1">
        <f>(Tabela1[[#This Row],[x]]-H$3)*(Tabela1[[#This Row],[x]]-H$3) +(Tabela1[[#This Row],[y]]-H$4)*(Tabela1[[#This Row],[y]]-H$4)</f>
        <v>37393</v>
      </c>
      <c r="D9406" s="1">
        <f>IF(Tabela1[[#This Row],[promien]]&lt;40000,1,0)</f>
        <v>1</v>
      </c>
      <c r="E9406" s="1">
        <f>IF(Tabela1[[#This Row],[promien]]=40000,1,0)</f>
        <v>0</v>
      </c>
      <c r="F9406" s="1">
        <v>3.1345949394003827</v>
      </c>
      <c r="G9406" s="1">
        <v>6.99771418941042E-3</v>
      </c>
    </row>
    <row r="9407" spans="1:7">
      <c r="A9407">
        <v>265</v>
      </c>
      <c r="B9407">
        <v>351</v>
      </c>
      <c r="C9407" s="1">
        <f>(Tabela1[[#This Row],[x]]-H$3)*(Tabela1[[#This Row],[x]]-H$3) +(Tabela1[[#This Row],[y]]-H$4)*(Tabela1[[#This Row],[y]]-H$4)</f>
        <v>27026</v>
      </c>
      <c r="D9407" s="1">
        <f>IF(Tabela1[[#This Row],[promien]]&lt;40000,1,0)</f>
        <v>1</v>
      </c>
      <c r="E9407" s="1">
        <f>IF(Tabela1[[#This Row],[promien]]=40000,1,0)</f>
        <v>0</v>
      </c>
      <c r="F9407" s="1">
        <v>3.1346869352609761</v>
      </c>
      <c r="G9407" s="1">
        <v>6.9057183288170343E-3</v>
      </c>
    </row>
    <row r="9408" spans="1:7">
      <c r="A9408">
        <v>193</v>
      </c>
      <c r="B9408">
        <v>67</v>
      </c>
      <c r="C9408" s="1">
        <f>(Tabela1[[#This Row],[x]]-H$3)*(Tabela1[[#This Row],[x]]-H$3) +(Tabela1[[#This Row],[y]]-H$4)*(Tabela1[[#This Row],[y]]-H$4)</f>
        <v>17738</v>
      </c>
      <c r="D9408" s="1">
        <f>IF(Tabela1[[#This Row],[promien]]&lt;40000,1,0)</f>
        <v>1</v>
      </c>
      <c r="E9408" s="1">
        <f>IF(Tabela1[[#This Row],[promien]]=40000,1,0)</f>
        <v>0</v>
      </c>
      <c r="F9408" s="1">
        <v>3.1347789115646258</v>
      </c>
      <c r="G9408" s="1">
        <v>6.8137420251672687E-3</v>
      </c>
    </row>
    <row r="9409" spans="1:7">
      <c r="A9409">
        <v>92</v>
      </c>
      <c r="B9409">
        <v>279</v>
      </c>
      <c r="C9409" s="1">
        <f>(Tabela1[[#This Row],[x]]-H$3)*(Tabela1[[#This Row],[x]]-H$3) +(Tabela1[[#This Row],[y]]-H$4)*(Tabela1[[#This Row],[y]]-H$4)</f>
        <v>17905</v>
      </c>
      <c r="D9409" s="1">
        <f>IF(Tabela1[[#This Row],[promien]]&lt;40000,1,0)</f>
        <v>1</v>
      </c>
      <c r="E9409" s="1">
        <f>IF(Tabela1[[#This Row],[promien]]=40000,1,0)</f>
        <v>0</v>
      </c>
      <c r="F9409" s="1">
        <v>3.1348708683175683</v>
      </c>
      <c r="G9409" s="1">
        <v>6.7217852722247784E-3</v>
      </c>
    </row>
    <row r="9410" spans="1:7">
      <c r="A9410">
        <v>136</v>
      </c>
      <c r="B9410">
        <v>313</v>
      </c>
      <c r="C9410" s="1">
        <f>(Tabela1[[#This Row],[x]]-H$3)*(Tabela1[[#This Row],[x]]-H$3) +(Tabela1[[#This Row],[y]]-H$4)*(Tabela1[[#This Row],[y]]-H$4)</f>
        <v>16865</v>
      </c>
      <c r="D9410" s="1">
        <f>IF(Tabela1[[#This Row],[promien]]&lt;40000,1,0)</f>
        <v>1</v>
      </c>
      <c r="E9410" s="1">
        <f>IF(Tabela1[[#This Row],[promien]]=40000,1,0)</f>
        <v>0</v>
      </c>
      <c r="F9410" s="1">
        <v>3.1349628055260363</v>
      </c>
      <c r="G9410" s="1">
        <v>6.6298480637567714E-3</v>
      </c>
    </row>
    <row r="9411" spans="1:7">
      <c r="A9411">
        <v>379</v>
      </c>
      <c r="B9411">
        <v>399</v>
      </c>
      <c r="C9411" s="1">
        <f>(Tabela1[[#This Row],[x]]-H$3)*(Tabela1[[#This Row],[x]]-H$3) +(Tabela1[[#This Row],[y]]-H$4)*(Tabela1[[#This Row],[y]]-H$4)</f>
        <v>71642</v>
      </c>
      <c r="D9411" s="1">
        <f>IF(Tabela1[[#This Row],[promien]]&lt;40000,1,0)</f>
        <v>0</v>
      </c>
      <c r="E9411" s="1">
        <f>IF(Tabela1[[#This Row],[promien]]=40000,1,0)</f>
        <v>0</v>
      </c>
      <c r="F9411" s="1">
        <v>3.1346296886622036</v>
      </c>
      <c r="G9411" s="1">
        <v>6.9629649275895211E-3</v>
      </c>
    </row>
    <row r="9412" spans="1:7">
      <c r="A9412">
        <v>235</v>
      </c>
      <c r="B9412">
        <v>92</v>
      </c>
      <c r="C9412" s="1">
        <f>(Tabela1[[#This Row],[x]]-H$3)*(Tabela1[[#This Row],[x]]-H$3) +(Tabela1[[#This Row],[y]]-H$4)*(Tabela1[[#This Row],[y]]-H$4)</f>
        <v>12889</v>
      </c>
      <c r="D9412" s="1">
        <f>IF(Tabela1[[#This Row],[promien]]&lt;40000,1,0)</f>
        <v>1</v>
      </c>
      <c r="E9412" s="1">
        <f>IF(Tabela1[[#This Row],[promien]]=40000,1,0)</f>
        <v>0</v>
      </c>
      <c r="F9412" s="1">
        <v>3.1347216319592008</v>
      </c>
      <c r="G9412" s="1">
        <v>6.8710216305922778E-3</v>
      </c>
    </row>
    <row r="9413" spans="1:7">
      <c r="A9413">
        <v>72</v>
      </c>
      <c r="B9413">
        <v>208</v>
      </c>
      <c r="C9413" s="1">
        <f>(Tabela1[[#This Row],[x]]-H$3)*(Tabela1[[#This Row],[x]]-H$3) +(Tabela1[[#This Row],[y]]-H$4)*(Tabela1[[#This Row],[y]]-H$4)</f>
        <v>16448</v>
      </c>
      <c r="D9413" s="1">
        <f>IF(Tabela1[[#This Row],[promien]]&lt;40000,1,0)</f>
        <v>1</v>
      </c>
      <c r="E9413" s="1">
        <f>IF(Tabela1[[#This Row],[promien]]=40000,1,0)</f>
        <v>0</v>
      </c>
      <c r="F9413" s="1">
        <v>3.1348135557208114</v>
      </c>
      <c r="G9413" s="1">
        <v>6.7790978689816761E-3</v>
      </c>
    </row>
    <row r="9414" spans="1:7">
      <c r="A9414">
        <v>188</v>
      </c>
      <c r="B9414">
        <v>252</v>
      </c>
      <c r="C9414" s="1">
        <f>(Tabela1[[#This Row],[x]]-H$3)*(Tabela1[[#This Row],[x]]-H$3) +(Tabela1[[#This Row],[y]]-H$4)*(Tabela1[[#This Row],[y]]-H$4)</f>
        <v>2848</v>
      </c>
      <c r="D9414" s="1">
        <f>IF(Tabela1[[#This Row],[promien]]&lt;40000,1,0)</f>
        <v>1</v>
      </c>
      <c r="E9414" s="1">
        <f>IF(Tabela1[[#This Row],[promien]]=40000,1,0)</f>
        <v>0</v>
      </c>
      <c r="F9414" s="1">
        <v>3.1349054599532611</v>
      </c>
      <c r="G9414" s="1">
        <v>6.6871936365320295E-3</v>
      </c>
    </row>
    <row r="9415" spans="1:7">
      <c r="A9415">
        <v>288</v>
      </c>
      <c r="B9415">
        <v>24</v>
      </c>
      <c r="C9415" s="1">
        <f>(Tabela1[[#This Row],[x]]-H$3)*(Tabela1[[#This Row],[x]]-H$3) +(Tabela1[[#This Row],[y]]-H$4)*(Tabela1[[#This Row],[y]]-H$4)</f>
        <v>38720</v>
      </c>
      <c r="D9415" s="1">
        <f>IF(Tabela1[[#This Row],[promien]]&lt;40000,1,0)</f>
        <v>1</v>
      </c>
      <c r="E9415" s="1">
        <f>IF(Tabela1[[#This Row],[promien]]=40000,1,0)</f>
        <v>0</v>
      </c>
      <c r="F9415" s="1">
        <v>3.1349973446627724</v>
      </c>
      <c r="G9415" s="1">
        <v>6.5953089270207599E-3</v>
      </c>
    </row>
    <row r="9416" spans="1:7">
      <c r="A9416">
        <v>208</v>
      </c>
      <c r="B9416">
        <v>117</v>
      </c>
      <c r="C9416" s="1">
        <f>(Tabela1[[#This Row],[x]]-H$3)*(Tabela1[[#This Row],[x]]-H$3) +(Tabela1[[#This Row],[y]]-H$4)*(Tabela1[[#This Row],[y]]-H$4)</f>
        <v>6953</v>
      </c>
      <c r="D9416" s="1">
        <f>IF(Tabela1[[#This Row],[promien]]&lt;40000,1,0)</f>
        <v>1</v>
      </c>
      <c r="E9416" s="1">
        <f>IF(Tabela1[[#This Row],[promien]]=40000,1,0)</f>
        <v>0</v>
      </c>
      <c r="F9416" s="1">
        <v>3.1350892098555652</v>
      </c>
      <c r="G9416" s="1">
        <v>6.5034437342279539E-3</v>
      </c>
    </row>
    <row r="9417" spans="1:7">
      <c r="A9417">
        <v>6</v>
      </c>
      <c r="B9417">
        <v>361</v>
      </c>
      <c r="C9417" s="1">
        <f>(Tabela1[[#This Row],[x]]-H$3)*(Tabela1[[#This Row],[x]]-H$3) +(Tabela1[[#This Row],[y]]-H$4)*(Tabela1[[#This Row],[y]]-H$4)</f>
        <v>63557</v>
      </c>
      <c r="D9417" s="1">
        <f>IF(Tabela1[[#This Row],[promien]]&lt;40000,1,0)</f>
        <v>0</v>
      </c>
      <c r="E9417" s="1">
        <f>IF(Tabela1[[#This Row],[promien]]=40000,1,0)</f>
        <v>0</v>
      </c>
      <c r="F9417" s="1">
        <v>3.1347562918126792</v>
      </c>
      <c r="G9417" s="1">
        <v>6.8363617771138863E-3</v>
      </c>
    </row>
    <row r="9418" spans="1:7">
      <c r="A9418">
        <v>226</v>
      </c>
      <c r="B9418">
        <v>252</v>
      </c>
      <c r="C9418" s="1">
        <f>(Tabela1[[#This Row],[x]]-H$3)*(Tabela1[[#This Row],[x]]-H$3) +(Tabela1[[#This Row],[y]]-H$4)*(Tabela1[[#This Row],[y]]-H$4)</f>
        <v>3380</v>
      </c>
      <c r="D9418" s="1">
        <f>IF(Tabela1[[#This Row],[promien]]&lt;40000,1,0)</f>
        <v>1</v>
      </c>
      <c r="E9418" s="1">
        <f>IF(Tabela1[[#This Row],[promien]]=40000,1,0)</f>
        <v>0</v>
      </c>
      <c r="F9418" s="1">
        <v>3.1348481630919518</v>
      </c>
      <c r="G9418" s="1">
        <v>6.7444904978413156E-3</v>
      </c>
    </row>
    <row r="9419" spans="1:7">
      <c r="A9419">
        <v>115</v>
      </c>
      <c r="B9419">
        <v>53</v>
      </c>
      <c r="C9419" s="1">
        <f>(Tabela1[[#This Row],[x]]-H$3)*(Tabela1[[#This Row],[x]]-H$3) +(Tabela1[[#This Row],[y]]-H$4)*(Tabela1[[#This Row],[y]]-H$4)</f>
        <v>28834</v>
      </c>
      <c r="D9419" s="1">
        <f>IF(Tabela1[[#This Row],[promien]]&lt;40000,1,0)</f>
        <v>1</v>
      </c>
      <c r="E9419" s="1">
        <f>IF(Tabela1[[#This Row],[promien]]=40000,1,0)</f>
        <v>0</v>
      </c>
      <c r="F9419" s="1">
        <v>3.1349400148635738</v>
      </c>
      <c r="G9419" s="1">
        <v>6.6526387262193509E-3</v>
      </c>
    </row>
    <row r="9420" spans="1:7">
      <c r="A9420">
        <v>29</v>
      </c>
      <c r="B9420">
        <v>228</v>
      </c>
      <c r="C9420" s="1">
        <f>(Tabela1[[#This Row],[x]]-H$3)*(Tabela1[[#This Row],[x]]-H$3) +(Tabela1[[#This Row],[y]]-H$4)*(Tabela1[[#This Row],[y]]-H$4)</f>
        <v>30025</v>
      </c>
      <c r="D9420" s="1">
        <f>IF(Tabela1[[#This Row],[promien]]&lt;40000,1,0)</f>
        <v>1</v>
      </c>
      <c r="E9420" s="1">
        <f>IF(Tabela1[[#This Row],[promien]]=40000,1,0)</f>
        <v>0</v>
      </c>
      <c r="F9420" s="1">
        <v>3.1350318471337579</v>
      </c>
      <c r="G9420" s="1">
        <v>6.5608064560351842E-3</v>
      </c>
    </row>
    <row r="9421" spans="1:7">
      <c r="A9421">
        <v>151</v>
      </c>
      <c r="B9421">
        <v>5</v>
      </c>
      <c r="C9421" s="1">
        <f>(Tabela1[[#This Row],[x]]-H$3)*(Tabela1[[#This Row],[x]]-H$3) +(Tabela1[[#This Row],[y]]-H$4)*(Tabela1[[#This Row],[y]]-H$4)</f>
        <v>40426</v>
      </c>
      <c r="D9421" s="1">
        <f>IF(Tabela1[[#This Row],[promien]]&lt;40000,1,0)</f>
        <v>0</v>
      </c>
      <c r="E9421" s="1">
        <f>IF(Tabela1[[#This Row],[promien]]=40000,1,0)</f>
        <v>0</v>
      </c>
      <c r="F9421" s="1">
        <v>3.1346990765311538</v>
      </c>
      <c r="G9421" s="1">
        <v>6.8935770586393552E-3</v>
      </c>
    </row>
    <row r="9422" spans="1:7">
      <c r="A9422">
        <v>362</v>
      </c>
      <c r="B9422">
        <v>146</v>
      </c>
      <c r="C9422" s="1">
        <f>(Tabela1[[#This Row],[x]]-H$3)*(Tabela1[[#This Row],[x]]-H$3) +(Tabela1[[#This Row],[y]]-H$4)*(Tabela1[[#This Row],[y]]-H$4)</f>
        <v>29160</v>
      </c>
      <c r="D9422" s="1">
        <f>IF(Tabela1[[#This Row],[promien]]&lt;40000,1,0)</f>
        <v>1</v>
      </c>
      <c r="E9422" s="1">
        <f>IF(Tabela1[[#This Row],[promien]]=40000,1,0)</f>
        <v>0</v>
      </c>
      <c r="F9422" s="1">
        <v>3.1347909148800679</v>
      </c>
      <c r="G9422" s="1">
        <v>6.8017387097252247E-3</v>
      </c>
    </row>
    <row r="9423" spans="1:7">
      <c r="A9423">
        <v>175</v>
      </c>
      <c r="B9423">
        <v>1</v>
      </c>
      <c r="C9423" s="1">
        <f>(Tabela1[[#This Row],[x]]-H$3)*(Tabela1[[#This Row],[x]]-H$3) +(Tabela1[[#This Row],[y]]-H$4)*(Tabela1[[#This Row],[y]]-H$4)</f>
        <v>40226</v>
      </c>
      <c r="D9423" s="1">
        <f>IF(Tabela1[[#This Row],[promien]]&lt;40000,1,0)</f>
        <v>0</v>
      </c>
      <c r="E9423" s="1">
        <f>IF(Tabela1[[#This Row],[promien]]=40000,1,0)</f>
        <v>0</v>
      </c>
      <c r="F9423" s="1">
        <v>3.1344582404754324</v>
      </c>
      <c r="G9423" s="1">
        <v>7.1344131143606937E-3</v>
      </c>
    </row>
    <row r="9424" spans="1:7">
      <c r="A9424">
        <v>208</v>
      </c>
      <c r="B9424">
        <v>68</v>
      </c>
      <c r="C9424" s="1">
        <f>(Tabela1[[#This Row],[x]]-H$3)*(Tabela1[[#This Row],[x]]-H$3) +(Tabela1[[#This Row],[y]]-H$4)*(Tabela1[[#This Row],[y]]-H$4)</f>
        <v>17488</v>
      </c>
      <c r="D9424" s="1">
        <f>IF(Tabela1[[#This Row],[promien]]&lt;40000,1,0)</f>
        <v>1</v>
      </c>
      <c r="E9424" s="1">
        <f>IF(Tabela1[[#This Row],[promien]]=40000,1,0)</f>
        <v>0</v>
      </c>
      <c r="F9424" s="1">
        <v>3.1345500848896433</v>
      </c>
      <c r="G9424" s="1">
        <v>7.0425687001498538E-3</v>
      </c>
    </row>
    <row r="9425" spans="1:7">
      <c r="A9425">
        <v>112</v>
      </c>
      <c r="B9425">
        <v>261</v>
      </c>
      <c r="C9425" s="1">
        <f>(Tabela1[[#This Row],[x]]-H$3)*(Tabela1[[#This Row],[x]]-H$3) +(Tabela1[[#This Row],[y]]-H$4)*(Tabela1[[#This Row],[y]]-H$4)</f>
        <v>11465</v>
      </c>
      <c r="D9425" s="1">
        <f>IF(Tabela1[[#This Row],[promien]]&lt;40000,1,0)</f>
        <v>1</v>
      </c>
      <c r="E9425" s="1">
        <f>IF(Tabela1[[#This Row],[promien]]=40000,1,0)</f>
        <v>0</v>
      </c>
      <c r="F9425" s="1">
        <v>3.1346419098143237</v>
      </c>
      <c r="G9425" s="1">
        <v>6.9507437754694479E-3</v>
      </c>
    </row>
    <row r="9426" spans="1:7">
      <c r="A9426">
        <v>66</v>
      </c>
      <c r="B9426">
        <v>215</v>
      </c>
      <c r="C9426" s="1">
        <f>(Tabela1[[#This Row],[x]]-H$3)*(Tabela1[[#This Row],[x]]-H$3) +(Tabela1[[#This Row],[y]]-H$4)*(Tabela1[[#This Row],[y]]-H$4)</f>
        <v>18181</v>
      </c>
      <c r="D9426" s="1">
        <f>IF(Tabela1[[#This Row],[promien]]&lt;40000,1,0)</f>
        <v>1</v>
      </c>
      <c r="E9426" s="1">
        <f>IF(Tabela1[[#This Row],[promien]]=40000,1,0)</f>
        <v>0</v>
      </c>
      <c r="F9426" s="1">
        <v>3.1347337152556758</v>
      </c>
      <c r="G9426" s="1">
        <v>6.858938334117326E-3</v>
      </c>
    </row>
    <row r="9427" spans="1:7">
      <c r="A9427">
        <v>131</v>
      </c>
      <c r="B9427">
        <v>101</v>
      </c>
      <c r="C9427" s="1">
        <f>(Tabela1[[#This Row],[x]]-H$3)*(Tabela1[[#This Row],[x]]-H$3) +(Tabela1[[#This Row],[y]]-H$4)*(Tabela1[[#This Row],[y]]-H$4)</f>
        <v>14562</v>
      </c>
      <c r="D9427" s="1">
        <f>IF(Tabela1[[#This Row],[promien]]&lt;40000,1,0)</f>
        <v>1</v>
      </c>
      <c r="E9427" s="1">
        <f>IF(Tabela1[[#This Row],[promien]]=40000,1,0)</f>
        <v>0</v>
      </c>
      <c r="F9427" s="1">
        <v>3.1348255012199004</v>
      </c>
      <c r="G9427" s="1">
        <v>6.7671523698926705E-3</v>
      </c>
    </row>
    <row r="9428" spans="1:7">
      <c r="A9428">
        <v>153</v>
      </c>
      <c r="B9428">
        <v>310</v>
      </c>
      <c r="C9428" s="1">
        <f>(Tabela1[[#This Row],[x]]-H$3)*(Tabela1[[#This Row],[x]]-H$3) +(Tabela1[[#This Row],[y]]-H$4)*(Tabela1[[#This Row],[y]]-H$4)</f>
        <v>14309</v>
      </c>
      <c r="D9428" s="1">
        <f>IF(Tabela1[[#This Row],[promien]]&lt;40000,1,0)</f>
        <v>1</v>
      </c>
      <c r="E9428" s="1">
        <f>IF(Tabela1[[#This Row],[promien]]=40000,1,0)</f>
        <v>0</v>
      </c>
      <c r="F9428" s="1">
        <v>3.1349172677131949</v>
      </c>
      <c r="G9428" s="1">
        <v>6.6753858765982166E-3</v>
      </c>
    </row>
    <row r="9429" spans="1:7">
      <c r="A9429">
        <v>178</v>
      </c>
      <c r="B9429">
        <v>205</v>
      </c>
      <c r="C9429" s="1">
        <f>(Tabela1[[#This Row],[x]]-H$3)*(Tabela1[[#This Row],[x]]-H$3) +(Tabela1[[#This Row],[y]]-H$4)*(Tabela1[[#This Row],[y]]-H$4)</f>
        <v>509</v>
      </c>
      <c r="D9429" s="1">
        <f>IF(Tabela1[[#This Row],[promien]]&lt;40000,1,0)</f>
        <v>1</v>
      </c>
      <c r="E9429" s="1">
        <f>IF(Tabela1[[#This Row],[promien]]=40000,1,0)</f>
        <v>0</v>
      </c>
      <c r="F9429" s="1">
        <v>3.1350090147417542</v>
      </c>
      <c r="G9429" s="1">
        <v>6.5836388480389196E-3</v>
      </c>
    </row>
    <row r="9430" spans="1:7">
      <c r="A9430">
        <v>376</v>
      </c>
      <c r="B9430">
        <v>72</v>
      </c>
      <c r="C9430" s="1">
        <f>(Tabela1[[#This Row],[x]]-H$3)*(Tabela1[[#This Row],[x]]-H$3) +(Tabela1[[#This Row],[y]]-H$4)*(Tabela1[[#This Row],[y]]-H$4)</f>
        <v>47360</v>
      </c>
      <c r="D9430" s="1">
        <f>IF(Tabela1[[#This Row],[promien]]&lt;40000,1,0)</f>
        <v>0</v>
      </c>
      <c r="E9430" s="1">
        <f>IF(Tabela1[[#This Row],[promien]]=40000,1,0)</f>
        <v>0</v>
      </c>
      <c r="F9430" s="1">
        <v>3.1346765641569458</v>
      </c>
      <c r="G9430" s="1">
        <v>6.9160894328472722E-3</v>
      </c>
    </row>
    <row r="9431" spans="1:7">
      <c r="A9431">
        <v>60</v>
      </c>
      <c r="B9431">
        <v>187</v>
      </c>
      <c r="C9431" s="1">
        <f>(Tabela1[[#This Row],[x]]-H$3)*(Tabela1[[#This Row],[x]]-H$3) +(Tabela1[[#This Row],[y]]-H$4)*(Tabela1[[#This Row],[y]]-H$4)</f>
        <v>19769</v>
      </c>
      <c r="D9431" s="1">
        <f>IF(Tabela1[[#This Row],[promien]]&lt;40000,1,0)</f>
        <v>1</v>
      </c>
      <c r="E9431" s="1">
        <f>IF(Tabela1[[#This Row],[promien]]=40000,1,0)</f>
        <v>0</v>
      </c>
      <c r="F9431" s="1">
        <v>3.1347683172516172</v>
      </c>
      <c r="G9431" s="1">
        <v>6.8243363381759181E-3</v>
      </c>
    </row>
    <row r="9432" spans="1:7">
      <c r="A9432">
        <v>363</v>
      </c>
      <c r="B9432">
        <v>374</v>
      </c>
      <c r="C9432" s="1">
        <f>(Tabela1[[#This Row],[x]]-H$3)*(Tabela1[[#This Row],[x]]-H$3) +(Tabela1[[#This Row],[y]]-H$4)*(Tabela1[[#This Row],[y]]-H$4)</f>
        <v>56845</v>
      </c>
      <c r="D9432" s="1">
        <f>IF(Tabela1[[#This Row],[promien]]&lt;40000,1,0)</f>
        <v>0</v>
      </c>
      <c r="E9432" s="1">
        <f>IF(Tabela1[[#This Row],[promien]]=40000,1,0)</f>
        <v>0</v>
      </c>
      <c r="F9432" s="1">
        <v>3.1344359626802376</v>
      </c>
      <c r="G9432" s="1">
        <v>7.1566909095555076E-3</v>
      </c>
    </row>
    <row r="9433" spans="1:7">
      <c r="A9433">
        <v>227</v>
      </c>
      <c r="B9433">
        <v>154</v>
      </c>
      <c r="C9433" s="1">
        <f>(Tabela1[[#This Row],[x]]-H$3)*(Tabela1[[#This Row],[x]]-H$3) +(Tabela1[[#This Row],[y]]-H$4)*(Tabela1[[#This Row],[y]]-H$4)</f>
        <v>2845</v>
      </c>
      <c r="D9433" s="1">
        <f>IF(Tabela1[[#This Row],[promien]]&lt;40000,1,0)</f>
        <v>1</v>
      </c>
      <c r="E9433" s="1">
        <f>IF(Tabela1[[#This Row],[promien]]=40000,1,0)</f>
        <v>0</v>
      </c>
      <c r="F9433" s="1">
        <v>3.1345277218276264</v>
      </c>
      <c r="G9433" s="1">
        <v>7.0649317621667151E-3</v>
      </c>
    </row>
    <row r="9434" spans="1:7">
      <c r="A9434">
        <v>114</v>
      </c>
      <c r="B9434">
        <v>195</v>
      </c>
      <c r="C9434" s="1">
        <f>(Tabela1[[#This Row],[x]]-H$3)*(Tabela1[[#This Row],[x]]-H$3) +(Tabela1[[#This Row],[y]]-H$4)*(Tabela1[[#This Row],[y]]-H$4)</f>
        <v>7421</v>
      </c>
      <c r="D9434" s="1">
        <f>IF(Tabela1[[#This Row],[promien]]&lt;40000,1,0)</f>
        <v>1</v>
      </c>
      <c r="E9434" s="1">
        <f>IF(Tabela1[[#This Row],[promien]]=40000,1,0)</f>
        <v>0</v>
      </c>
      <c r="F9434" s="1">
        <v>3.1346194615221541</v>
      </c>
      <c r="G9434" s="1">
        <v>6.9731920676390224E-3</v>
      </c>
    </row>
    <row r="9435" spans="1:7">
      <c r="A9435">
        <v>111</v>
      </c>
      <c r="B9435">
        <v>276</v>
      </c>
      <c r="C9435" s="1">
        <f>(Tabela1[[#This Row],[x]]-H$3)*(Tabela1[[#This Row],[x]]-H$3) +(Tabela1[[#This Row],[y]]-H$4)*(Tabela1[[#This Row],[y]]-H$4)</f>
        <v>13697</v>
      </c>
      <c r="D9435" s="1">
        <f>IF(Tabela1[[#This Row],[promien]]&lt;40000,1,0)</f>
        <v>1</v>
      </c>
      <c r="E9435" s="1">
        <f>IF(Tabela1[[#This Row],[promien]]=40000,1,0)</f>
        <v>0</v>
      </c>
      <c r="F9435" s="1">
        <v>3.1347111817700055</v>
      </c>
      <c r="G9435" s="1">
        <v>6.881471819787599E-3</v>
      </c>
    </row>
    <row r="9436" spans="1:7">
      <c r="A9436">
        <v>373</v>
      </c>
      <c r="B9436">
        <v>262</v>
      </c>
      <c r="C9436" s="1">
        <f>(Tabela1[[#This Row],[x]]-H$3)*(Tabela1[[#This Row],[x]]-H$3) +(Tabela1[[#This Row],[y]]-H$4)*(Tabela1[[#This Row],[y]]-H$4)</f>
        <v>33773</v>
      </c>
      <c r="D9436" s="1">
        <f>IF(Tabela1[[#This Row],[promien]]&lt;40000,1,0)</f>
        <v>1</v>
      </c>
      <c r="E9436" s="1">
        <f>IF(Tabela1[[#This Row],[promien]]=40000,1,0)</f>
        <v>0</v>
      </c>
      <c r="F9436" s="1">
        <v>3.1348028825773633</v>
      </c>
      <c r="G9436" s="1">
        <v>6.7897710124298349E-3</v>
      </c>
    </row>
    <row r="9437" spans="1:7">
      <c r="A9437">
        <v>183</v>
      </c>
      <c r="B9437">
        <v>70</v>
      </c>
      <c r="C9437" s="1">
        <f>(Tabela1[[#This Row],[x]]-H$3)*(Tabela1[[#This Row],[x]]-H$3) +(Tabela1[[#This Row],[y]]-H$4)*(Tabela1[[#This Row],[y]]-H$4)</f>
        <v>17189</v>
      </c>
      <c r="D9437" s="1">
        <f>IF(Tabela1[[#This Row],[promien]]&lt;40000,1,0)</f>
        <v>1</v>
      </c>
      <c r="E9437" s="1">
        <f>IF(Tabela1[[#This Row],[promien]]=40000,1,0)</f>
        <v>0</v>
      </c>
      <c r="F9437" s="1">
        <v>3.1348945639504078</v>
      </c>
      <c r="G9437" s="1">
        <v>6.6980896393853406E-3</v>
      </c>
    </row>
    <row r="9438" spans="1:7">
      <c r="A9438">
        <v>190</v>
      </c>
      <c r="B9438">
        <v>213</v>
      </c>
      <c r="C9438" s="1">
        <f>(Tabela1[[#This Row],[x]]-H$3)*(Tabela1[[#This Row],[x]]-H$3) +(Tabela1[[#This Row],[y]]-H$4)*(Tabela1[[#This Row],[y]]-H$4)</f>
        <v>269</v>
      </c>
      <c r="D9438" s="1">
        <f>IF(Tabela1[[#This Row],[promien]]&lt;40000,1,0)</f>
        <v>1</v>
      </c>
      <c r="E9438" s="1">
        <f>IF(Tabela1[[#This Row],[promien]]=40000,1,0)</f>
        <v>0</v>
      </c>
      <c r="F9438" s="1">
        <v>3.1349862258953167</v>
      </c>
      <c r="G9438" s="1">
        <v>6.6064276944763911E-3</v>
      </c>
    </row>
    <row r="9439" spans="1:7">
      <c r="A9439">
        <v>369</v>
      </c>
      <c r="B9439">
        <v>173</v>
      </c>
      <c r="C9439" s="1">
        <f>(Tabela1[[#This Row],[x]]-H$3)*(Tabela1[[#This Row],[x]]-H$3) +(Tabela1[[#This Row],[y]]-H$4)*(Tabela1[[#This Row],[y]]-H$4)</f>
        <v>29290</v>
      </c>
      <c r="D9439" s="1">
        <f>IF(Tabela1[[#This Row],[promien]]&lt;40000,1,0)</f>
        <v>1</v>
      </c>
      <c r="E9439" s="1">
        <f>IF(Tabela1[[#This Row],[promien]]=40000,1,0)</f>
        <v>0</v>
      </c>
      <c r="F9439" s="1">
        <v>3.1350778684182647</v>
      </c>
      <c r="G9439" s="1">
        <v>6.51478517152837E-3</v>
      </c>
    </row>
    <row r="9440" spans="1:7">
      <c r="A9440">
        <v>154</v>
      </c>
      <c r="B9440">
        <v>235</v>
      </c>
      <c r="C9440" s="1">
        <f>(Tabela1[[#This Row],[x]]-H$3)*(Tabela1[[#This Row],[x]]-H$3) +(Tabela1[[#This Row],[y]]-H$4)*(Tabela1[[#This Row],[y]]-H$4)</f>
        <v>3341</v>
      </c>
      <c r="D9440" s="1">
        <f>IF(Tabela1[[#This Row],[promien]]&lt;40000,1,0)</f>
        <v>1</v>
      </c>
      <c r="E9440" s="1">
        <f>IF(Tabela1[[#This Row],[promien]]=40000,1,0)</f>
        <v>0</v>
      </c>
      <c r="F9440" s="1">
        <v>3.1351694915254238</v>
      </c>
      <c r="G9440" s="1">
        <v>6.4231620643693255E-3</v>
      </c>
    </row>
    <row r="9441" spans="1:7">
      <c r="A9441">
        <v>173</v>
      </c>
      <c r="B9441">
        <v>313</v>
      </c>
      <c r="C9441" s="1">
        <f>(Tabela1[[#This Row],[x]]-H$3)*(Tabela1[[#This Row],[x]]-H$3) +(Tabela1[[#This Row],[y]]-H$4)*(Tabela1[[#This Row],[y]]-H$4)</f>
        <v>13498</v>
      </c>
      <c r="D9441" s="1">
        <f>IF(Tabela1[[#This Row],[promien]]&lt;40000,1,0)</f>
        <v>1</v>
      </c>
      <c r="E9441" s="1">
        <f>IF(Tabela1[[#This Row],[promien]]=40000,1,0)</f>
        <v>0</v>
      </c>
      <c r="F9441" s="1">
        <v>3.1352610952229636</v>
      </c>
      <c r="G9441" s="1">
        <v>6.3315583668295261E-3</v>
      </c>
    </row>
    <row r="9442" spans="1:7">
      <c r="A9442">
        <v>109</v>
      </c>
      <c r="B9442">
        <v>292</v>
      </c>
      <c r="C9442" s="1">
        <f>(Tabela1[[#This Row],[x]]-H$3)*(Tabela1[[#This Row],[x]]-H$3) +(Tabela1[[#This Row],[y]]-H$4)*(Tabela1[[#This Row],[y]]-H$4)</f>
        <v>16745</v>
      </c>
      <c r="D9442" s="1">
        <f>IF(Tabela1[[#This Row],[promien]]&lt;40000,1,0)</f>
        <v>1</v>
      </c>
      <c r="E9442" s="1">
        <f>IF(Tabela1[[#This Row],[promien]]=40000,1,0)</f>
        <v>0</v>
      </c>
      <c r="F9442" s="1">
        <v>3.1353526795170517</v>
      </c>
      <c r="G9442" s="1">
        <v>6.239974072741461E-3</v>
      </c>
    </row>
    <row r="9443" spans="1:7">
      <c r="A9443">
        <v>27</v>
      </c>
      <c r="B9443">
        <v>160</v>
      </c>
      <c r="C9443" s="1">
        <f>(Tabela1[[#This Row],[x]]-H$3)*(Tabela1[[#This Row],[x]]-H$3) +(Tabela1[[#This Row],[y]]-H$4)*(Tabela1[[#This Row],[y]]-H$4)</f>
        <v>31529</v>
      </c>
      <c r="D9443" s="1">
        <f>IF(Tabela1[[#This Row],[promien]]&lt;40000,1,0)</f>
        <v>1</v>
      </c>
      <c r="E9443" s="1">
        <f>IF(Tabela1[[#This Row],[promien]]=40000,1,0)</f>
        <v>0</v>
      </c>
      <c r="F9443" s="1">
        <v>3.1354442444138515</v>
      </c>
      <c r="G9443" s="1">
        <v>6.148409175941616E-3</v>
      </c>
    </row>
    <row r="9444" spans="1:7">
      <c r="A9444">
        <v>290</v>
      </c>
      <c r="B9444">
        <v>230</v>
      </c>
      <c r="C9444" s="1">
        <f>(Tabela1[[#This Row],[x]]-H$3)*(Tabela1[[#This Row],[x]]-H$3) +(Tabela1[[#This Row],[y]]-H$4)*(Tabela1[[#This Row],[y]]-H$4)</f>
        <v>9000</v>
      </c>
      <c r="D9444" s="1">
        <f>IF(Tabela1[[#This Row],[promien]]&lt;40000,1,0)</f>
        <v>1</v>
      </c>
      <c r="E9444" s="1">
        <f>IF(Tabela1[[#This Row],[promien]]=40000,1,0)</f>
        <v>0</v>
      </c>
      <c r="F9444" s="1">
        <v>3.1355357899195258</v>
      </c>
      <c r="G9444" s="1">
        <v>6.0568636702673651E-3</v>
      </c>
    </row>
    <row r="9445" spans="1:7">
      <c r="A9445">
        <v>364</v>
      </c>
      <c r="B9445">
        <v>25</v>
      </c>
      <c r="C9445" s="1">
        <f>(Tabela1[[#This Row],[x]]-H$3)*(Tabela1[[#This Row],[x]]-H$3) +(Tabela1[[#This Row],[y]]-H$4)*(Tabela1[[#This Row],[y]]-H$4)</f>
        <v>57521</v>
      </c>
      <c r="D9445" s="1">
        <f>IF(Tabela1[[#This Row],[promien]]&lt;40000,1,0)</f>
        <v>0</v>
      </c>
      <c r="E9445" s="1">
        <f>IF(Tabela1[[#This Row],[promien]]=40000,1,0)</f>
        <v>0</v>
      </c>
      <c r="F9445" s="1">
        <v>3.1352038115404977</v>
      </c>
      <c r="G9445" s="1">
        <v>6.3888420492954623E-3</v>
      </c>
    </row>
    <row r="9446" spans="1:7">
      <c r="A9446">
        <v>84</v>
      </c>
      <c r="B9446">
        <v>336</v>
      </c>
      <c r="C9446" s="1">
        <f>(Tabela1[[#This Row],[x]]-H$3)*(Tabela1[[#This Row],[x]]-H$3) +(Tabela1[[#This Row],[y]]-H$4)*(Tabela1[[#This Row],[y]]-H$4)</f>
        <v>31952</v>
      </c>
      <c r="D9446" s="1">
        <f>IF(Tabela1[[#This Row],[promien]]&lt;40000,1,0)</f>
        <v>1</v>
      </c>
      <c r="E9446" s="1">
        <f>IF(Tabela1[[#This Row],[promien]]=40000,1,0)</f>
        <v>0</v>
      </c>
      <c r="F9446" s="1">
        <v>3.1352953631166631</v>
      </c>
      <c r="G9446" s="1">
        <v>6.2972904731299906E-3</v>
      </c>
    </row>
    <row r="9447" spans="1:7">
      <c r="A9447">
        <v>124</v>
      </c>
      <c r="B9447">
        <v>170</v>
      </c>
      <c r="C9447" s="1">
        <f>(Tabela1[[#This Row],[x]]-H$3)*(Tabela1[[#This Row],[x]]-H$3) +(Tabela1[[#This Row],[y]]-H$4)*(Tabela1[[#This Row],[y]]-H$4)</f>
        <v>6676</v>
      </c>
      <c r="D9447" s="1">
        <f>IF(Tabela1[[#This Row],[promien]]&lt;40000,1,0)</f>
        <v>1</v>
      </c>
      <c r="E9447" s="1">
        <f>IF(Tabela1[[#This Row],[promien]]=40000,1,0)</f>
        <v>0</v>
      </c>
      <c r="F9447" s="1">
        <v>3.1353868953106807</v>
      </c>
      <c r="G9447" s="1">
        <v>6.2057582791124055E-3</v>
      </c>
    </row>
    <row r="9448" spans="1:7">
      <c r="A9448">
        <v>256</v>
      </c>
      <c r="B9448">
        <v>6</v>
      </c>
      <c r="C9448" s="1">
        <f>(Tabela1[[#This Row],[x]]-H$3)*(Tabela1[[#This Row],[x]]-H$3) +(Tabela1[[#This Row],[y]]-H$4)*(Tabela1[[#This Row],[y]]-H$4)</f>
        <v>40772</v>
      </c>
      <c r="D9448" s="1">
        <f>IF(Tabela1[[#This Row],[promien]]&lt;40000,1,0)</f>
        <v>0</v>
      </c>
      <c r="E9448" s="1">
        <f>IF(Tabela1[[#This Row],[promien]]=40000,1,0)</f>
        <v>0</v>
      </c>
      <c r="F9448" s="1">
        <v>3.1350550381033022</v>
      </c>
      <c r="G9448" s="1">
        <v>6.5376154864908997E-3</v>
      </c>
    </row>
    <row r="9449" spans="1:7">
      <c r="A9449">
        <v>48</v>
      </c>
      <c r="B9449">
        <v>265</v>
      </c>
      <c r="C9449" s="1">
        <f>(Tabela1[[#This Row],[x]]-H$3)*(Tabela1[[#This Row],[x]]-H$3) +(Tabela1[[#This Row],[y]]-H$4)*(Tabela1[[#This Row],[y]]-H$4)</f>
        <v>27329</v>
      </c>
      <c r="D9449" s="1">
        <f>IF(Tabela1[[#This Row],[promien]]&lt;40000,1,0)</f>
        <v>1</v>
      </c>
      <c r="E9449" s="1">
        <f>IF(Tabela1[[#This Row],[promien]]=40000,1,0)</f>
        <v>0</v>
      </c>
      <c r="F9449" s="1">
        <v>3.1351465763572866</v>
      </c>
      <c r="G9449" s="1">
        <v>6.4460772325065641E-3</v>
      </c>
    </row>
    <row r="9450" spans="1:7">
      <c r="A9450">
        <v>337</v>
      </c>
      <c r="B9450">
        <v>291</v>
      </c>
      <c r="C9450" s="1">
        <f>(Tabela1[[#This Row],[x]]-H$3)*(Tabela1[[#This Row],[x]]-H$3) +(Tabela1[[#This Row],[y]]-H$4)*(Tabela1[[#This Row],[y]]-H$4)</f>
        <v>27050</v>
      </c>
      <c r="D9450" s="1">
        <f>IF(Tabela1[[#This Row],[promien]]&lt;40000,1,0)</f>
        <v>1</v>
      </c>
      <c r="E9450" s="1">
        <f>IF(Tabela1[[#This Row],[promien]]=40000,1,0)</f>
        <v>0</v>
      </c>
      <c r="F9450" s="1">
        <v>3.1352380952380954</v>
      </c>
      <c r="G9450" s="1">
        <v>6.3545583516977366E-3</v>
      </c>
    </row>
    <row r="9451" spans="1:7">
      <c r="A9451">
        <v>61</v>
      </c>
      <c r="B9451">
        <v>383</v>
      </c>
      <c r="C9451" s="1">
        <f>(Tabela1[[#This Row],[x]]-H$3)*(Tabela1[[#This Row],[x]]-H$3) +(Tabela1[[#This Row],[y]]-H$4)*(Tabela1[[#This Row],[y]]-H$4)</f>
        <v>52810</v>
      </c>
      <c r="D9451" s="1">
        <f>IF(Tabela1[[#This Row],[promien]]&lt;40000,1,0)</f>
        <v>0</v>
      </c>
      <c r="E9451" s="1">
        <f>IF(Tabela1[[#This Row],[promien]]=40000,1,0)</f>
        <v>0</v>
      </c>
      <c r="F9451" s="1">
        <v>3.1349063591154374</v>
      </c>
      <c r="G9451" s="1">
        <v>6.6862944743557584E-3</v>
      </c>
    </row>
    <row r="9452" spans="1:7">
      <c r="A9452">
        <v>166</v>
      </c>
      <c r="B9452">
        <v>232</v>
      </c>
      <c r="C9452" s="1">
        <f>(Tabela1[[#This Row],[x]]-H$3)*(Tabela1[[#This Row],[x]]-H$3) +(Tabela1[[#This Row],[y]]-H$4)*(Tabela1[[#This Row],[y]]-H$4)</f>
        <v>2180</v>
      </c>
      <c r="D9452" s="1">
        <f>IF(Tabela1[[#This Row],[promien]]&lt;40000,1,0)</f>
        <v>1</v>
      </c>
      <c r="E9452" s="1">
        <f>IF(Tabela1[[#This Row],[promien]]=40000,1,0)</f>
        <v>0</v>
      </c>
      <c r="F9452" s="1">
        <v>3.1349978840457045</v>
      </c>
      <c r="G9452" s="1">
        <v>6.5947695440886633E-3</v>
      </c>
    </row>
    <row r="9453" spans="1:7">
      <c r="A9453">
        <v>283</v>
      </c>
      <c r="B9453">
        <v>69</v>
      </c>
      <c r="C9453" s="1">
        <f>(Tabela1[[#This Row],[x]]-H$3)*(Tabela1[[#This Row],[x]]-H$3) +(Tabela1[[#This Row],[y]]-H$4)*(Tabela1[[#This Row],[y]]-H$4)</f>
        <v>24050</v>
      </c>
      <c r="D9453" s="1">
        <f>IF(Tabela1[[#This Row],[promien]]&lt;40000,1,0)</f>
        <v>1</v>
      </c>
      <c r="E9453" s="1">
        <f>IF(Tabela1[[#This Row],[promien]]=40000,1,0)</f>
        <v>0</v>
      </c>
      <c r="F9453" s="1">
        <v>3.1350893896117635</v>
      </c>
      <c r="G9453" s="1">
        <v>6.5032639780295831E-3</v>
      </c>
    </row>
    <row r="9454" spans="1:7">
      <c r="A9454">
        <v>285</v>
      </c>
      <c r="B9454">
        <v>58</v>
      </c>
      <c r="C9454" s="1">
        <f>(Tabela1[[#This Row],[x]]-H$3)*(Tabela1[[#This Row],[x]]-H$3) +(Tabela1[[#This Row],[y]]-H$4)*(Tabela1[[#This Row],[y]]-H$4)</f>
        <v>27389</v>
      </c>
      <c r="D9454" s="1">
        <f>IF(Tabela1[[#This Row],[promien]]&lt;40000,1,0)</f>
        <v>1</v>
      </c>
      <c r="E9454" s="1">
        <f>IF(Tabela1[[#This Row],[promien]]=40000,1,0)</f>
        <v>0</v>
      </c>
      <c r="F9454" s="1">
        <v>3.135180875819759</v>
      </c>
      <c r="G9454" s="1">
        <v>6.4117777700340994E-3</v>
      </c>
    </row>
    <row r="9455" spans="1:7">
      <c r="A9455">
        <v>42</v>
      </c>
      <c r="B9455">
        <v>64</v>
      </c>
      <c r="C9455" s="1">
        <f>(Tabela1[[#This Row],[x]]-H$3)*(Tabela1[[#This Row],[x]]-H$3) +(Tabela1[[#This Row],[y]]-H$4)*(Tabela1[[#This Row],[y]]-H$4)</f>
        <v>43460</v>
      </c>
      <c r="D9455" s="1">
        <f>IF(Tabela1[[#This Row],[promien]]&lt;40000,1,0)</f>
        <v>0</v>
      </c>
      <c r="E9455" s="1">
        <f>IF(Tabela1[[#This Row],[promien]]=40000,1,0)</f>
        <v>0</v>
      </c>
      <c r="F9455" s="1">
        <v>3.134849286092015</v>
      </c>
      <c r="G9455" s="1">
        <v>6.7433674977781521E-3</v>
      </c>
    </row>
    <row r="9456" spans="1:7">
      <c r="A9456">
        <v>360</v>
      </c>
      <c r="B9456">
        <v>9</v>
      </c>
      <c r="C9456" s="1">
        <f>(Tabela1[[#This Row],[x]]-H$3)*(Tabela1[[#This Row],[x]]-H$3) +(Tabela1[[#This Row],[y]]-H$4)*(Tabela1[[#This Row],[y]]-H$4)</f>
        <v>62081</v>
      </c>
      <c r="D9456" s="1">
        <f>IF(Tabela1[[#This Row],[promien]]&lt;40000,1,0)</f>
        <v>0</v>
      </c>
      <c r="E9456" s="1">
        <f>IF(Tabela1[[#This Row],[promien]]=40000,1,0)</f>
        <v>0</v>
      </c>
      <c r="F9456" s="1">
        <v>3.1345177664974617</v>
      </c>
      <c r="G9456" s="1">
        <v>7.0748870923313945E-3</v>
      </c>
    </row>
    <row r="9457" spans="1:7">
      <c r="A9457">
        <v>83</v>
      </c>
      <c r="B9457">
        <v>322</v>
      </c>
      <c r="C9457" s="1">
        <f>(Tabela1[[#This Row],[x]]-H$3)*(Tabela1[[#This Row],[x]]-H$3) +(Tabela1[[#This Row],[y]]-H$4)*(Tabela1[[#This Row],[y]]-H$4)</f>
        <v>28573</v>
      </c>
      <c r="D9457" s="1">
        <f>IF(Tabela1[[#This Row],[promien]]&lt;40000,1,0)</f>
        <v>1</v>
      </c>
      <c r="E9457" s="1">
        <f>IF(Tabela1[[#This Row],[promien]]=40000,1,0)</f>
        <v>0</v>
      </c>
      <c r="F9457" s="1">
        <v>3.134609284128159</v>
      </c>
      <c r="G9457" s="1">
        <v>6.9833694616341369E-3</v>
      </c>
    </row>
    <row r="9458" spans="1:7">
      <c r="A9458">
        <v>262</v>
      </c>
      <c r="B9458">
        <v>171</v>
      </c>
      <c r="C9458" s="1">
        <f>(Tabela1[[#This Row],[x]]-H$3)*(Tabela1[[#This Row],[x]]-H$3) +(Tabela1[[#This Row],[y]]-H$4)*(Tabela1[[#This Row],[y]]-H$4)</f>
        <v>4685</v>
      </c>
      <c r="D9458" s="1">
        <f>IF(Tabela1[[#This Row],[promien]]&lt;40000,1,0)</f>
        <v>1</v>
      </c>
      <c r="E9458" s="1">
        <f>IF(Tabela1[[#This Row],[promien]]=40000,1,0)</f>
        <v>0</v>
      </c>
      <c r="F9458" s="1">
        <v>3.1347007824064286</v>
      </c>
      <c r="G9458" s="1">
        <v>6.8918711833645396E-3</v>
      </c>
    </row>
    <row r="9459" spans="1:7">
      <c r="A9459">
        <v>259</v>
      </c>
      <c r="B9459">
        <v>172</v>
      </c>
      <c r="C9459" s="1">
        <f>(Tabela1[[#This Row],[x]]-H$3)*(Tabela1[[#This Row],[x]]-H$3) +(Tabela1[[#This Row],[y]]-H$4)*(Tabela1[[#This Row],[y]]-H$4)</f>
        <v>4265</v>
      </c>
      <c r="D9459" s="1">
        <f>IF(Tabela1[[#This Row],[promien]]&lt;40000,1,0)</f>
        <v>1</v>
      </c>
      <c r="E9459" s="1">
        <f>IF(Tabela1[[#This Row],[promien]]=40000,1,0)</f>
        <v>0</v>
      </c>
      <c r="F9459" s="1">
        <v>3.1347922613384078</v>
      </c>
      <c r="G9459" s="1">
        <v>6.8003922513852899E-3</v>
      </c>
    </row>
    <row r="9460" spans="1:7">
      <c r="A9460">
        <v>245</v>
      </c>
      <c r="B9460">
        <v>312</v>
      </c>
      <c r="C9460" s="1">
        <f>(Tabela1[[#This Row],[x]]-H$3)*(Tabela1[[#This Row],[x]]-H$3) +(Tabela1[[#This Row],[y]]-H$4)*(Tabela1[[#This Row],[y]]-H$4)</f>
        <v>14569</v>
      </c>
      <c r="D9460" s="1">
        <f>IF(Tabela1[[#This Row],[promien]]&lt;40000,1,0)</f>
        <v>1</v>
      </c>
      <c r="E9460" s="1">
        <f>IF(Tabela1[[#This Row],[promien]]=40000,1,0)</f>
        <v>0</v>
      </c>
      <c r="F9460" s="1">
        <v>3.1348837209302327</v>
      </c>
      <c r="G9460" s="1">
        <v>6.7089326595604071E-3</v>
      </c>
    </row>
    <row r="9461" spans="1:7">
      <c r="A9461">
        <v>366</v>
      </c>
      <c r="B9461">
        <v>286</v>
      </c>
      <c r="C9461" s="1">
        <f>(Tabela1[[#This Row],[x]]-H$3)*(Tabela1[[#This Row],[x]]-H$3) +(Tabela1[[#This Row],[y]]-H$4)*(Tabela1[[#This Row],[y]]-H$4)</f>
        <v>34952</v>
      </c>
      <c r="D9461" s="1">
        <f>IF(Tabela1[[#This Row],[promien]]&lt;40000,1,0)</f>
        <v>1</v>
      </c>
      <c r="E9461" s="1">
        <f>IF(Tabela1[[#This Row],[promien]]=40000,1,0)</f>
        <v>0</v>
      </c>
      <c r="F9461" s="1">
        <v>3.1349751611880352</v>
      </c>
      <c r="G9461" s="1">
        <v>6.6174924017579073E-3</v>
      </c>
    </row>
    <row r="9462" spans="1:7">
      <c r="A9462">
        <v>70</v>
      </c>
      <c r="B9462">
        <v>173</v>
      </c>
      <c r="C9462" s="1">
        <f>(Tabela1[[#This Row],[x]]-H$3)*(Tabela1[[#This Row],[x]]-H$3) +(Tabela1[[#This Row],[y]]-H$4)*(Tabela1[[#This Row],[y]]-H$4)</f>
        <v>17629</v>
      </c>
      <c r="D9462" s="1">
        <f>IF(Tabela1[[#This Row],[promien]]&lt;40000,1,0)</f>
        <v>1</v>
      </c>
      <c r="E9462" s="1">
        <f>IF(Tabela1[[#This Row],[promien]]=40000,1,0)</f>
        <v>0</v>
      </c>
      <c r="F9462" s="1">
        <v>3.1350665821179455</v>
      </c>
      <c r="G9462" s="1">
        <v>6.5260714718475832E-3</v>
      </c>
    </row>
    <row r="9463" spans="1:7">
      <c r="A9463">
        <v>49</v>
      </c>
      <c r="B9463">
        <v>327</v>
      </c>
      <c r="C9463" s="1">
        <f>(Tabela1[[#This Row],[x]]-H$3)*(Tabela1[[#This Row],[x]]-H$3) +(Tabela1[[#This Row],[y]]-H$4)*(Tabela1[[#This Row],[y]]-H$4)</f>
        <v>38930</v>
      </c>
      <c r="D9463" s="1">
        <f>IF(Tabela1[[#This Row],[promien]]&lt;40000,1,0)</f>
        <v>1</v>
      </c>
      <c r="E9463" s="1">
        <f>IF(Tabela1[[#This Row],[promien]]=40000,1,0)</f>
        <v>0</v>
      </c>
      <c r="F9463" s="1">
        <v>3.1351579837260912</v>
      </c>
      <c r="G9463" s="1">
        <v>6.4346698637018918E-3</v>
      </c>
    </row>
    <row r="9464" spans="1:7">
      <c r="A9464">
        <v>307</v>
      </c>
      <c r="B9464">
        <v>387</v>
      </c>
      <c r="C9464" s="1">
        <f>(Tabela1[[#This Row],[x]]-H$3)*(Tabela1[[#This Row],[x]]-H$3) +(Tabela1[[#This Row],[y]]-H$4)*(Tabela1[[#This Row],[y]]-H$4)</f>
        <v>46418</v>
      </c>
      <c r="D9464" s="1">
        <f>IF(Tabela1[[#This Row],[promien]]&lt;40000,1,0)</f>
        <v>0</v>
      </c>
      <c r="E9464" s="1">
        <f>IF(Tabela1[[#This Row],[promien]]=40000,1,0)</f>
        <v>0</v>
      </c>
      <c r="F9464" s="1">
        <v>3.1348267117497888</v>
      </c>
      <c r="G9464" s="1">
        <v>6.7659418400043414E-3</v>
      </c>
    </row>
    <row r="9465" spans="1:7">
      <c r="A9465">
        <v>357</v>
      </c>
      <c r="B9465">
        <v>168</v>
      </c>
      <c r="C9465" s="1">
        <f>(Tabela1[[#This Row],[x]]-H$3)*(Tabela1[[#This Row],[x]]-H$3) +(Tabela1[[#This Row],[y]]-H$4)*(Tabela1[[#This Row],[y]]-H$4)</f>
        <v>25673</v>
      </c>
      <c r="D9465" s="1">
        <f>IF(Tabela1[[#This Row],[promien]]&lt;40000,1,0)</f>
        <v>1</v>
      </c>
      <c r="E9465" s="1">
        <f>IF(Tabela1[[#This Row],[promien]]=40000,1,0)</f>
        <v>0</v>
      </c>
      <c r="F9465" s="1">
        <v>3.134918119387216</v>
      </c>
      <c r="G9465" s="1">
        <v>6.6745342025771315E-3</v>
      </c>
    </row>
    <row r="9466" spans="1:7">
      <c r="A9466">
        <v>327</v>
      </c>
      <c r="B9466">
        <v>307</v>
      </c>
      <c r="C9466" s="1">
        <f>(Tabela1[[#This Row],[x]]-H$3)*(Tabela1[[#This Row],[x]]-H$3) +(Tabela1[[#This Row],[y]]-H$4)*(Tabela1[[#This Row],[y]]-H$4)</f>
        <v>27578</v>
      </c>
      <c r="D9466" s="1">
        <f>IF(Tabela1[[#This Row],[promien]]&lt;40000,1,0)</f>
        <v>1</v>
      </c>
      <c r="E9466" s="1">
        <f>IF(Tabela1[[#This Row],[promien]]=40000,1,0)</f>
        <v>0</v>
      </c>
      <c r="F9466" s="1">
        <v>3.1350095077118105</v>
      </c>
      <c r="G9466" s="1">
        <v>6.583145877982588E-3</v>
      </c>
    </row>
    <row r="9467" spans="1:7">
      <c r="A9467">
        <v>30</v>
      </c>
      <c r="B9467">
        <v>366</v>
      </c>
      <c r="C9467" s="1">
        <f>(Tabela1[[#This Row],[x]]-H$3)*(Tabela1[[#This Row],[x]]-H$3) +(Tabela1[[#This Row],[y]]-H$4)*(Tabela1[[#This Row],[y]]-H$4)</f>
        <v>56456</v>
      </c>
      <c r="D9467" s="1">
        <f>IF(Tabela1[[#This Row],[promien]]&lt;40000,1,0)</f>
        <v>0</v>
      </c>
      <c r="E9467" s="1">
        <f>IF(Tabela1[[#This Row],[promien]]=40000,1,0)</f>
        <v>0</v>
      </c>
      <c r="F9467" s="1">
        <v>3.1346783563959018</v>
      </c>
      <c r="G9467" s="1">
        <v>6.9142971938913611E-3</v>
      </c>
    </row>
    <row r="9468" spans="1:7">
      <c r="A9468">
        <v>64</v>
      </c>
      <c r="B9468">
        <v>388</v>
      </c>
      <c r="C9468" s="1">
        <f>(Tabela1[[#This Row],[x]]-H$3)*(Tabela1[[#This Row],[x]]-H$3) +(Tabela1[[#This Row],[y]]-H$4)*(Tabela1[[#This Row],[y]]-H$4)</f>
        <v>53840</v>
      </c>
      <c r="D9468" s="1">
        <f>IF(Tabela1[[#This Row],[promien]]&lt;40000,1,0)</f>
        <v>0</v>
      </c>
      <c r="E9468" s="1">
        <f>IF(Tabela1[[#This Row],[promien]]=40000,1,0)</f>
        <v>0</v>
      </c>
      <c r="F9468" s="1">
        <v>3.1343472750316859</v>
      </c>
      <c r="G9468" s="1">
        <v>7.2453785581072516E-3</v>
      </c>
    </row>
    <row r="9469" spans="1:7">
      <c r="A9469">
        <v>201</v>
      </c>
      <c r="B9469">
        <v>349</v>
      </c>
      <c r="C9469" s="1">
        <f>(Tabela1[[#This Row],[x]]-H$3)*(Tabela1[[#This Row],[x]]-H$3) +(Tabela1[[#This Row],[y]]-H$4)*(Tabela1[[#This Row],[y]]-H$4)</f>
        <v>22202</v>
      </c>
      <c r="D9469" s="1">
        <f>IF(Tabela1[[#This Row],[promien]]&lt;40000,1,0)</f>
        <v>1</v>
      </c>
      <c r="E9469" s="1">
        <f>IF(Tabela1[[#This Row],[promien]]=40000,1,0)</f>
        <v>0</v>
      </c>
      <c r="F9469" s="1">
        <v>3.1344386946879292</v>
      </c>
      <c r="G9469" s="1">
        <v>7.1539589018638772E-3</v>
      </c>
    </row>
    <row r="9470" spans="1:7">
      <c r="A9470">
        <v>264</v>
      </c>
      <c r="B9470">
        <v>111</v>
      </c>
      <c r="C9470" s="1">
        <f>(Tabela1[[#This Row],[x]]-H$3)*(Tabela1[[#This Row],[x]]-H$3) +(Tabela1[[#This Row],[y]]-H$4)*(Tabela1[[#This Row],[y]]-H$4)</f>
        <v>12017</v>
      </c>
      <c r="D9470" s="1">
        <f>IF(Tabela1[[#This Row],[promien]]&lt;40000,1,0)</f>
        <v>1</v>
      </c>
      <c r="E9470" s="1">
        <f>IF(Tabela1[[#This Row],[promien]]=40000,1,0)</f>
        <v>0</v>
      </c>
      <c r="F9470" s="1">
        <v>3.134530095036959</v>
      </c>
      <c r="G9470" s="1">
        <v>7.0625585528341084E-3</v>
      </c>
    </row>
    <row r="9471" spans="1:7">
      <c r="A9471">
        <v>387</v>
      </c>
      <c r="B9471">
        <v>75</v>
      </c>
      <c r="C9471" s="1">
        <f>(Tabela1[[#This Row],[x]]-H$3)*(Tabela1[[#This Row],[x]]-H$3) +(Tabela1[[#This Row],[y]]-H$4)*(Tabela1[[#This Row],[y]]-H$4)</f>
        <v>50594</v>
      </c>
      <c r="D9471" s="1">
        <f>IF(Tabela1[[#This Row],[promien]]&lt;40000,1,0)</f>
        <v>0</v>
      </c>
      <c r="E9471" s="1">
        <f>IF(Tabela1[[#This Row],[promien]]=40000,1,0)</f>
        <v>0</v>
      </c>
      <c r="F9471" s="1">
        <v>3.1341991341991342</v>
      </c>
      <c r="G9471" s="1">
        <v>7.3935193906589092E-3</v>
      </c>
    </row>
    <row r="9472" spans="1:7">
      <c r="A9472">
        <v>90</v>
      </c>
      <c r="B9472">
        <v>21</v>
      </c>
      <c r="C9472" s="1">
        <f>(Tabela1[[#This Row],[x]]-H$3)*(Tabela1[[#This Row],[x]]-H$3) +(Tabela1[[#This Row],[y]]-H$4)*(Tabela1[[#This Row],[y]]-H$4)</f>
        <v>44141</v>
      </c>
      <c r="D9472" s="1">
        <f>IF(Tabela1[[#This Row],[promien]]&lt;40000,1,0)</f>
        <v>0</v>
      </c>
      <c r="E9472" s="1">
        <f>IF(Tabela1[[#This Row],[promien]]=40000,1,0)</f>
        <v>0</v>
      </c>
      <c r="F9472" s="1">
        <v>3.1338682432432434</v>
      </c>
      <c r="G9472" s="1">
        <v>7.7244103465496927E-3</v>
      </c>
    </row>
    <row r="9473" spans="1:7">
      <c r="A9473">
        <v>331</v>
      </c>
      <c r="B9473">
        <v>39</v>
      </c>
      <c r="C9473" s="1">
        <f>(Tabela1[[#This Row],[x]]-H$3)*(Tabela1[[#This Row],[x]]-H$3) +(Tabela1[[#This Row],[y]]-H$4)*(Tabela1[[#This Row],[y]]-H$4)</f>
        <v>43082</v>
      </c>
      <c r="D9473" s="1">
        <f>IF(Tabela1[[#This Row],[promien]]&lt;40000,1,0)</f>
        <v>0</v>
      </c>
      <c r="E9473" s="1">
        <f>IF(Tabela1[[#This Row],[promien]]=40000,1,0)</f>
        <v>0</v>
      </c>
      <c r="F9473" s="1">
        <v>3.133537422147155</v>
      </c>
      <c r="G9473" s="1">
        <v>8.0552314426380889E-3</v>
      </c>
    </row>
    <row r="9474" spans="1:7">
      <c r="A9474">
        <v>283</v>
      </c>
      <c r="B9474">
        <v>316</v>
      </c>
      <c r="C9474" s="1">
        <f>(Tabela1[[#This Row],[x]]-H$3)*(Tabela1[[#This Row],[x]]-H$3) +(Tabela1[[#This Row],[y]]-H$4)*(Tabela1[[#This Row],[y]]-H$4)</f>
        <v>20345</v>
      </c>
      <c r="D9474" s="1">
        <f>IF(Tabela1[[#This Row],[promien]]&lt;40000,1,0)</f>
        <v>1</v>
      </c>
      <c r="E9474" s="1">
        <f>IF(Tabela1[[#This Row],[promien]]=40000,1,0)</f>
        <v>0</v>
      </c>
      <c r="F9474" s="1">
        <v>3.1336288790373654</v>
      </c>
      <c r="G9474" s="1">
        <v>7.9637745524276937E-3</v>
      </c>
    </row>
    <row r="9475" spans="1:7">
      <c r="A9475">
        <v>325</v>
      </c>
      <c r="B9475">
        <v>316</v>
      </c>
      <c r="C9475" s="1">
        <f>(Tabela1[[#This Row],[x]]-H$3)*(Tabela1[[#This Row],[x]]-H$3) +(Tabela1[[#This Row],[y]]-H$4)*(Tabela1[[#This Row],[y]]-H$4)</f>
        <v>29081</v>
      </c>
      <c r="D9475" s="1">
        <f>IF(Tabela1[[#This Row],[promien]]&lt;40000,1,0)</f>
        <v>1</v>
      </c>
      <c r="E9475" s="1">
        <f>IF(Tabela1[[#This Row],[promien]]=40000,1,0)</f>
        <v>0</v>
      </c>
      <c r="F9475" s="1">
        <v>3.1337203166226915</v>
      </c>
      <c r="G9475" s="1">
        <v>7.8723369671016563E-3</v>
      </c>
    </row>
    <row r="9476" spans="1:7">
      <c r="A9476">
        <v>85</v>
      </c>
      <c r="B9476">
        <v>224</v>
      </c>
      <c r="C9476" s="1">
        <f>(Tabela1[[#This Row],[x]]-H$3)*(Tabela1[[#This Row],[x]]-H$3) +(Tabela1[[#This Row],[y]]-H$4)*(Tabela1[[#This Row],[y]]-H$4)</f>
        <v>13801</v>
      </c>
      <c r="D9476" s="1">
        <f>IF(Tabela1[[#This Row],[promien]]&lt;40000,1,0)</f>
        <v>1</v>
      </c>
      <c r="E9476" s="1">
        <f>IF(Tabela1[[#This Row],[promien]]=40000,1,0)</f>
        <v>0</v>
      </c>
      <c r="F9476" s="1">
        <v>3.1338117349092443</v>
      </c>
      <c r="G9476" s="1">
        <v>7.780918680548865E-3</v>
      </c>
    </row>
    <row r="9477" spans="1:7">
      <c r="A9477">
        <v>275</v>
      </c>
      <c r="B9477">
        <v>162</v>
      </c>
      <c r="C9477" s="1">
        <f>(Tabela1[[#This Row],[x]]-H$3)*(Tabela1[[#This Row],[x]]-H$3) +(Tabela1[[#This Row],[y]]-H$4)*(Tabela1[[#This Row],[y]]-H$4)</f>
        <v>7069</v>
      </c>
      <c r="D9477" s="1">
        <f>IF(Tabela1[[#This Row],[promien]]&lt;40000,1,0)</f>
        <v>1</v>
      </c>
      <c r="E9477" s="1">
        <f>IF(Tabela1[[#This Row],[promien]]=40000,1,0)</f>
        <v>0</v>
      </c>
      <c r="F9477" s="1">
        <v>3.133903133903134</v>
      </c>
      <c r="G9477" s="1">
        <v>7.6895196866590965E-3</v>
      </c>
    </row>
    <row r="9478" spans="1:7">
      <c r="A9478">
        <v>370</v>
      </c>
      <c r="B9478">
        <v>265</v>
      </c>
      <c r="C9478" s="1">
        <f>(Tabela1[[#This Row],[x]]-H$3)*(Tabela1[[#This Row],[x]]-H$3) +(Tabela1[[#This Row],[y]]-H$4)*(Tabela1[[#This Row],[y]]-H$4)</f>
        <v>33125</v>
      </c>
      <c r="D9478" s="1">
        <f>IF(Tabela1[[#This Row],[promien]]&lt;40000,1,0)</f>
        <v>1</v>
      </c>
      <c r="E9478" s="1">
        <f>IF(Tabela1[[#This Row],[promien]]=40000,1,0)</f>
        <v>0</v>
      </c>
      <c r="F9478" s="1">
        <v>3.1339945136104665</v>
      </c>
      <c r="G9478" s="1">
        <v>7.598139979326568E-3</v>
      </c>
    </row>
    <row r="9479" spans="1:7">
      <c r="A9479">
        <v>153</v>
      </c>
      <c r="B9479">
        <v>287</v>
      </c>
      <c r="C9479" s="1">
        <f>(Tabela1[[#This Row],[x]]-H$3)*(Tabela1[[#This Row],[x]]-H$3) +(Tabela1[[#This Row],[y]]-H$4)*(Tabela1[[#This Row],[y]]-H$4)</f>
        <v>9778</v>
      </c>
      <c r="D9479" s="1">
        <f>IF(Tabela1[[#This Row],[promien]]&lt;40000,1,0)</f>
        <v>1</v>
      </c>
      <c r="E9479" s="1">
        <f>IF(Tabela1[[#This Row],[promien]]=40000,1,0)</f>
        <v>0</v>
      </c>
      <c r="F9479" s="1">
        <v>3.1340858740373458</v>
      </c>
      <c r="G9479" s="1">
        <v>7.5067795524472736E-3</v>
      </c>
    </row>
    <row r="9480" spans="1:7">
      <c r="A9480">
        <v>270</v>
      </c>
      <c r="B9480">
        <v>76</v>
      </c>
      <c r="C9480" s="1">
        <f>(Tabela1[[#This Row],[x]]-H$3)*(Tabela1[[#This Row],[x]]-H$3) +(Tabela1[[#This Row],[y]]-H$4)*(Tabela1[[#This Row],[y]]-H$4)</f>
        <v>20276</v>
      </c>
      <c r="D9480" s="1">
        <f>IF(Tabela1[[#This Row],[promien]]&lt;40000,1,0)</f>
        <v>1</v>
      </c>
      <c r="E9480" s="1">
        <f>IF(Tabela1[[#This Row],[promien]]=40000,1,0)</f>
        <v>0</v>
      </c>
      <c r="F9480" s="1">
        <v>3.1341772151898732</v>
      </c>
      <c r="G9480" s="1">
        <v>7.4154383999198714E-3</v>
      </c>
    </row>
    <row r="9481" spans="1:7">
      <c r="A9481">
        <v>121</v>
      </c>
      <c r="B9481">
        <v>107</v>
      </c>
      <c r="C9481" s="1">
        <f>(Tabela1[[#This Row],[x]]-H$3)*(Tabela1[[#This Row],[x]]-H$3) +(Tabela1[[#This Row],[y]]-H$4)*(Tabela1[[#This Row],[y]]-H$4)</f>
        <v>14890</v>
      </c>
      <c r="D9481" s="1">
        <f>IF(Tabela1[[#This Row],[promien]]&lt;40000,1,0)</f>
        <v>1</v>
      </c>
      <c r="E9481" s="1">
        <f>IF(Tabela1[[#This Row],[promien]]=40000,1,0)</f>
        <v>0</v>
      </c>
      <c r="F9481" s="1">
        <v>3.1342685370741483</v>
      </c>
      <c r="G9481" s="1">
        <v>7.3241165156447963E-3</v>
      </c>
    </row>
    <row r="9482" spans="1:7">
      <c r="A9482">
        <v>340</v>
      </c>
      <c r="B9482">
        <v>221</v>
      </c>
      <c r="C9482" s="1">
        <f>(Tabela1[[#This Row],[x]]-H$3)*(Tabela1[[#This Row],[x]]-H$3) +(Tabela1[[#This Row],[y]]-H$4)*(Tabela1[[#This Row],[y]]-H$4)</f>
        <v>20041</v>
      </c>
      <c r="D9482" s="1">
        <f>IF(Tabela1[[#This Row],[promien]]&lt;40000,1,0)</f>
        <v>1</v>
      </c>
      <c r="E9482" s="1">
        <f>IF(Tabela1[[#This Row],[promien]]=40000,1,0)</f>
        <v>0</v>
      </c>
      <c r="F9482" s="1">
        <v>3.1343598396962666</v>
      </c>
      <c r="G9482" s="1">
        <v>7.2328138935264796E-3</v>
      </c>
    </row>
    <row r="9483" spans="1:7">
      <c r="A9483">
        <v>68</v>
      </c>
      <c r="B9483">
        <v>386</v>
      </c>
      <c r="C9483" s="1">
        <f>(Tabela1[[#This Row],[x]]-H$3)*(Tabela1[[#This Row],[x]]-H$3) +(Tabela1[[#This Row],[y]]-H$4)*(Tabela1[[#This Row],[y]]-H$4)</f>
        <v>52020</v>
      </c>
      <c r="D9483" s="1">
        <f>IF(Tabela1[[#This Row],[promien]]&lt;40000,1,0)</f>
        <v>0</v>
      </c>
      <c r="E9483" s="1">
        <f>IF(Tabela1[[#This Row],[promien]]=40000,1,0)</f>
        <v>0</v>
      </c>
      <c r="F9483" s="1">
        <v>3.1340293156174206</v>
      </c>
      <c r="G9483" s="1">
        <v>7.5633379723725191E-3</v>
      </c>
    </row>
    <row r="9484" spans="1:7">
      <c r="A9484">
        <v>326</v>
      </c>
      <c r="B9484">
        <v>87</v>
      </c>
      <c r="C9484" s="1">
        <f>(Tabela1[[#This Row],[x]]-H$3)*(Tabela1[[#This Row],[x]]-H$3) +(Tabela1[[#This Row],[y]]-H$4)*(Tabela1[[#This Row],[y]]-H$4)</f>
        <v>28645</v>
      </c>
      <c r="D9484" s="1">
        <f>IF(Tabela1[[#This Row],[promien]]&lt;40000,1,0)</f>
        <v>1</v>
      </c>
      <c r="E9484" s="1">
        <f>IF(Tabela1[[#This Row],[promien]]=40000,1,0)</f>
        <v>0</v>
      </c>
      <c r="F9484" s="1">
        <v>3.1341206242091944</v>
      </c>
      <c r="G9484" s="1">
        <v>7.4720293805987659E-3</v>
      </c>
    </row>
    <row r="9485" spans="1:7">
      <c r="A9485">
        <v>398</v>
      </c>
      <c r="B9485">
        <v>158</v>
      </c>
      <c r="C9485" s="1">
        <f>(Tabela1[[#This Row],[x]]-H$3)*(Tabela1[[#This Row],[x]]-H$3) +(Tabela1[[#This Row],[y]]-H$4)*(Tabela1[[#This Row],[y]]-H$4)</f>
        <v>40968</v>
      </c>
      <c r="D9485" s="1">
        <f>IF(Tabela1[[#This Row],[promien]]&lt;40000,1,0)</f>
        <v>0</v>
      </c>
      <c r="E9485" s="1">
        <f>IF(Tabela1[[#This Row],[promien]]=40000,1,0)</f>
        <v>0</v>
      </c>
      <c r="F9485" s="1">
        <v>3.1337901950448077</v>
      </c>
      <c r="G9485" s="1">
        <v>7.8024585449854023E-3</v>
      </c>
    </row>
    <row r="9486" spans="1:7">
      <c r="A9486">
        <v>381</v>
      </c>
      <c r="B9486">
        <v>145</v>
      </c>
      <c r="C9486" s="1">
        <f>(Tabela1[[#This Row],[x]]-H$3)*(Tabela1[[#This Row],[x]]-H$3) +(Tabela1[[#This Row],[y]]-H$4)*(Tabela1[[#This Row],[y]]-H$4)</f>
        <v>35786</v>
      </c>
      <c r="D9486" s="1">
        <f>IF(Tabela1[[#This Row],[promien]]&lt;40000,1,0)</f>
        <v>1</v>
      </c>
      <c r="E9486" s="1">
        <f>IF(Tabela1[[#This Row],[promien]]=40000,1,0)</f>
        <v>0</v>
      </c>
      <c r="F9486" s="1">
        <v>3.1338815095930848</v>
      </c>
      <c r="G9486" s="1">
        <v>7.7111439967083584E-3</v>
      </c>
    </row>
    <row r="9487" spans="1:7">
      <c r="A9487">
        <v>193</v>
      </c>
      <c r="B9487">
        <v>187</v>
      </c>
      <c r="C9487" s="1">
        <f>(Tabela1[[#This Row],[x]]-H$3)*(Tabela1[[#This Row],[x]]-H$3) +(Tabela1[[#This Row],[y]]-H$4)*(Tabela1[[#This Row],[y]]-H$4)</f>
        <v>218</v>
      </c>
      <c r="D9487" s="1">
        <f>IF(Tabela1[[#This Row],[promien]]&lt;40000,1,0)</f>
        <v>1</v>
      </c>
      <c r="E9487" s="1">
        <f>IF(Tabela1[[#This Row],[promien]]=40000,1,0)</f>
        <v>0</v>
      </c>
      <c r="F9487" s="1">
        <v>3.1339728048909032</v>
      </c>
      <c r="G9487" s="1">
        <v>7.619848698889875E-3</v>
      </c>
    </row>
    <row r="9488" spans="1:7">
      <c r="A9488">
        <v>37</v>
      </c>
      <c r="B9488">
        <v>188</v>
      </c>
      <c r="C9488" s="1">
        <f>(Tabela1[[#This Row],[x]]-H$3)*(Tabela1[[#This Row],[x]]-H$3) +(Tabela1[[#This Row],[y]]-H$4)*(Tabela1[[#This Row],[y]]-H$4)</f>
        <v>26713</v>
      </c>
      <c r="D9488" s="1">
        <f>IF(Tabela1[[#This Row],[promien]]&lt;40000,1,0)</f>
        <v>1</v>
      </c>
      <c r="E9488" s="1">
        <f>IF(Tabela1[[#This Row],[promien]]=40000,1,0)</f>
        <v>0</v>
      </c>
      <c r="F9488" s="1">
        <v>3.1340640809443507</v>
      </c>
      <c r="G9488" s="1">
        <v>7.5285726454423774E-3</v>
      </c>
    </row>
    <row r="9489" spans="1:7">
      <c r="A9489">
        <v>292</v>
      </c>
      <c r="B9489">
        <v>51</v>
      </c>
      <c r="C9489" s="1">
        <f>(Tabela1[[#This Row],[x]]-H$3)*(Tabela1[[#This Row],[x]]-H$3) +(Tabela1[[#This Row],[y]]-H$4)*(Tabela1[[#This Row],[y]]-H$4)</f>
        <v>30665</v>
      </c>
      <c r="D9489" s="1">
        <f>IF(Tabela1[[#This Row],[promien]]&lt;40000,1,0)</f>
        <v>1</v>
      </c>
      <c r="E9489" s="1">
        <f>IF(Tabela1[[#This Row],[promien]]=40000,1,0)</f>
        <v>0</v>
      </c>
      <c r="F9489" s="1">
        <v>3.1341553377595108</v>
      </c>
      <c r="G9489" s="1">
        <v>7.4373158302822873E-3</v>
      </c>
    </row>
    <row r="9490" spans="1:7">
      <c r="A9490">
        <v>222</v>
      </c>
      <c r="B9490">
        <v>200</v>
      </c>
      <c r="C9490" s="1">
        <f>(Tabela1[[#This Row],[x]]-H$3)*(Tabela1[[#This Row],[x]]-H$3) +(Tabela1[[#This Row],[y]]-H$4)*(Tabela1[[#This Row],[y]]-H$4)</f>
        <v>484</v>
      </c>
      <c r="D9490" s="1">
        <f>IF(Tabela1[[#This Row],[promien]]&lt;40000,1,0)</f>
        <v>1</v>
      </c>
      <c r="E9490" s="1">
        <f>IF(Tabela1[[#This Row],[promien]]=40000,1,0)</f>
        <v>0</v>
      </c>
      <c r="F9490" s="1">
        <v>3.1342465753424658</v>
      </c>
      <c r="G9490" s="1">
        <v>7.3460782473273589E-3</v>
      </c>
    </row>
    <row r="9491" spans="1:7">
      <c r="A9491">
        <v>201</v>
      </c>
      <c r="B9491">
        <v>92</v>
      </c>
      <c r="C9491" s="1">
        <f>(Tabela1[[#This Row],[x]]-H$3)*(Tabela1[[#This Row],[x]]-H$3) +(Tabela1[[#This Row],[y]]-H$4)*(Tabela1[[#This Row],[y]]-H$4)</f>
        <v>11665</v>
      </c>
      <c r="D9491" s="1">
        <f>IF(Tabela1[[#This Row],[promien]]&lt;40000,1,0)</f>
        <v>1</v>
      </c>
      <c r="E9491" s="1">
        <f>IF(Tabela1[[#This Row],[promien]]=40000,1,0)</f>
        <v>0</v>
      </c>
      <c r="F9491" s="1">
        <v>3.1343377936992942</v>
      </c>
      <c r="G9491" s="1">
        <v>7.2548598904988992E-3</v>
      </c>
    </row>
    <row r="9492" spans="1:7">
      <c r="A9492">
        <v>135</v>
      </c>
      <c r="B9492">
        <v>295</v>
      </c>
      <c r="C9492" s="1">
        <f>(Tabela1[[#This Row],[x]]-H$3)*(Tabela1[[#This Row],[x]]-H$3) +(Tabela1[[#This Row],[y]]-H$4)*(Tabela1[[#This Row],[y]]-H$4)</f>
        <v>13250</v>
      </c>
      <c r="D9492" s="1">
        <f>IF(Tabela1[[#This Row],[promien]]&lt;40000,1,0)</f>
        <v>1</v>
      </c>
      <c r="E9492" s="1">
        <f>IF(Tabela1[[#This Row],[promien]]=40000,1,0)</f>
        <v>0</v>
      </c>
      <c r="F9492" s="1">
        <v>3.1344289928360727</v>
      </c>
      <c r="G9492" s="1">
        <v>7.1636607537204355E-3</v>
      </c>
    </row>
    <row r="9493" spans="1:7">
      <c r="A9493">
        <v>346</v>
      </c>
      <c r="B9493">
        <v>189</v>
      </c>
      <c r="C9493" s="1">
        <f>(Tabela1[[#This Row],[x]]-H$3)*(Tabela1[[#This Row],[x]]-H$3) +(Tabela1[[#This Row],[y]]-H$4)*(Tabela1[[#This Row],[y]]-H$4)</f>
        <v>21437</v>
      </c>
      <c r="D9493" s="1">
        <f>IF(Tabela1[[#This Row],[promien]]&lt;40000,1,0)</f>
        <v>1</v>
      </c>
      <c r="E9493" s="1">
        <f>IF(Tabela1[[#This Row],[promien]]=40000,1,0)</f>
        <v>0</v>
      </c>
      <c r="F9493" s="1">
        <v>3.134520172758875</v>
      </c>
      <c r="G9493" s="1">
        <v>7.0724808309181597E-3</v>
      </c>
    </row>
    <row r="9494" spans="1:7">
      <c r="A9494">
        <v>94</v>
      </c>
      <c r="B9494">
        <v>193</v>
      </c>
      <c r="C9494" s="1">
        <f>(Tabela1[[#This Row],[x]]-H$3)*(Tabela1[[#This Row],[x]]-H$3) +(Tabela1[[#This Row],[y]]-H$4)*(Tabela1[[#This Row],[y]]-H$4)</f>
        <v>11285</v>
      </c>
      <c r="D9494" s="1">
        <f>IF(Tabela1[[#This Row],[promien]]&lt;40000,1,0)</f>
        <v>1</v>
      </c>
      <c r="E9494" s="1">
        <f>IF(Tabela1[[#This Row],[promien]]=40000,1,0)</f>
        <v>0</v>
      </c>
      <c r="F9494" s="1">
        <v>3.1346113334737731</v>
      </c>
      <c r="G9494" s="1">
        <v>6.98132011602004E-3</v>
      </c>
    </row>
    <row r="9495" spans="1:7">
      <c r="A9495">
        <v>265</v>
      </c>
      <c r="B9495">
        <v>342</v>
      </c>
      <c r="C9495" s="1">
        <f>(Tabela1[[#This Row],[x]]-H$3)*(Tabela1[[#This Row],[x]]-H$3) +(Tabela1[[#This Row],[y]]-H$4)*(Tabela1[[#This Row],[y]]-H$4)</f>
        <v>24389</v>
      </c>
      <c r="D9495" s="1">
        <f>IF(Tabela1[[#This Row],[promien]]&lt;40000,1,0)</f>
        <v>1</v>
      </c>
      <c r="E9495" s="1">
        <f>IF(Tabela1[[#This Row],[promien]]=40000,1,0)</f>
        <v>0</v>
      </c>
      <c r="F9495" s="1">
        <v>3.1347024749868351</v>
      </c>
      <c r="G9495" s="1">
        <v>6.8901786029580414E-3</v>
      </c>
    </row>
    <row r="9496" spans="1:7">
      <c r="A9496">
        <v>39</v>
      </c>
      <c r="B9496">
        <v>69</v>
      </c>
      <c r="C9496" s="1">
        <f>(Tabela1[[#This Row],[x]]-H$3)*(Tabela1[[#This Row],[x]]-H$3) +(Tabela1[[#This Row],[y]]-H$4)*(Tabela1[[#This Row],[y]]-H$4)</f>
        <v>43082</v>
      </c>
      <c r="D9496" s="1">
        <f>IF(Tabela1[[#This Row],[promien]]&lt;40000,1,0)</f>
        <v>0</v>
      </c>
      <c r="E9496" s="1">
        <f>IF(Tabela1[[#This Row],[promien]]=40000,1,0)</f>
        <v>0</v>
      </c>
      <c r="F9496" s="1">
        <v>3.1343723673125528</v>
      </c>
      <c r="G9496" s="1">
        <v>7.220286277240362E-3</v>
      </c>
    </row>
    <row r="9497" spans="1:7">
      <c r="A9497">
        <v>139</v>
      </c>
      <c r="B9497">
        <v>348</v>
      </c>
      <c r="C9497" s="1">
        <f>(Tabela1[[#This Row],[x]]-H$3)*(Tabela1[[#This Row],[x]]-H$3) +(Tabela1[[#This Row],[y]]-H$4)*(Tabela1[[#This Row],[y]]-H$4)</f>
        <v>25625</v>
      </c>
      <c r="D9497" s="1">
        <f>IF(Tabela1[[#This Row],[promien]]&lt;40000,1,0)</f>
        <v>1</v>
      </c>
      <c r="E9497" s="1">
        <f>IF(Tabela1[[#This Row],[promien]]=40000,1,0)</f>
        <v>0</v>
      </c>
      <c r="F9497" s="1">
        <v>3.1344635147941453</v>
      </c>
      <c r="G9497" s="1">
        <v>7.1291387956478047E-3</v>
      </c>
    </row>
    <row r="9498" spans="1:7">
      <c r="A9498">
        <v>90</v>
      </c>
      <c r="B9498">
        <v>135</v>
      </c>
      <c r="C9498" s="1">
        <f>(Tabela1[[#This Row],[x]]-H$3)*(Tabela1[[#This Row],[x]]-H$3) +(Tabela1[[#This Row],[y]]-H$4)*(Tabela1[[#This Row],[y]]-H$4)</f>
        <v>16325</v>
      </c>
      <c r="D9498" s="1">
        <f>IF(Tabela1[[#This Row],[promien]]&lt;40000,1,0)</f>
        <v>1</v>
      </c>
      <c r="E9498" s="1">
        <f>IF(Tabela1[[#This Row],[promien]]=40000,1,0)</f>
        <v>0</v>
      </c>
      <c r="F9498" s="1">
        <v>3.1345546430827542</v>
      </c>
      <c r="G9498" s="1">
        <v>7.0380105070388943E-3</v>
      </c>
    </row>
    <row r="9499" spans="1:7">
      <c r="A9499">
        <v>219</v>
      </c>
      <c r="B9499">
        <v>59</v>
      </c>
      <c r="C9499" s="1">
        <f>(Tabela1[[#This Row],[x]]-H$3)*(Tabela1[[#This Row],[x]]-H$3) +(Tabela1[[#This Row],[y]]-H$4)*(Tabela1[[#This Row],[y]]-H$4)</f>
        <v>20242</v>
      </c>
      <c r="D9499" s="1">
        <f>IF(Tabela1[[#This Row],[promien]]&lt;40000,1,0)</f>
        <v>1</v>
      </c>
      <c r="E9499" s="1">
        <f>IF(Tabela1[[#This Row],[promien]]=40000,1,0)</f>
        <v>0</v>
      </c>
      <c r="F9499" s="1">
        <v>3.1346457521844404</v>
      </c>
      <c r="G9499" s="1">
        <v>6.9469014053527012E-3</v>
      </c>
    </row>
    <row r="9500" spans="1:7">
      <c r="A9500">
        <v>305</v>
      </c>
      <c r="B9500">
        <v>306</v>
      </c>
      <c r="C9500" s="1">
        <f>(Tabela1[[#This Row],[x]]-H$3)*(Tabela1[[#This Row],[x]]-H$3) +(Tabela1[[#This Row],[y]]-H$4)*(Tabela1[[#This Row],[y]]-H$4)</f>
        <v>22261</v>
      </c>
      <c r="D9500" s="1">
        <f>IF(Tabela1[[#This Row],[promien]]&lt;40000,1,0)</f>
        <v>1</v>
      </c>
      <c r="E9500" s="1">
        <f>IF(Tabela1[[#This Row],[promien]]=40000,1,0)</f>
        <v>0</v>
      </c>
      <c r="F9500" s="1">
        <v>3.134736842105263</v>
      </c>
      <c r="G9500" s="1">
        <v>6.8558114845300722E-3</v>
      </c>
    </row>
    <row r="9501" spans="1:7">
      <c r="A9501">
        <v>382</v>
      </c>
      <c r="B9501">
        <v>39</v>
      </c>
      <c r="C9501" s="1">
        <f>(Tabela1[[#This Row],[x]]-H$3)*(Tabela1[[#This Row],[x]]-H$3) +(Tabela1[[#This Row],[y]]-H$4)*(Tabela1[[#This Row],[y]]-H$4)</f>
        <v>59045</v>
      </c>
      <c r="D9501" s="1">
        <f>IF(Tabela1[[#This Row],[promien]]&lt;40000,1,0)</f>
        <v>0</v>
      </c>
      <c r="E9501" s="1">
        <f>IF(Tabela1[[#This Row],[promien]]=40000,1,0)</f>
        <v>0</v>
      </c>
      <c r="F9501" s="1">
        <v>3.1344069045363647</v>
      </c>
      <c r="G9501" s="1">
        <v>7.1857490534283919E-3</v>
      </c>
    </row>
    <row r="9502" spans="1:7">
      <c r="A9502">
        <v>195</v>
      </c>
      <c r="B9502">
        <v>1</v>
      </c>
      <c r="C9502" s="1">
        <f>(Tabela1[[#This Row],[x]]-H$3)*(Tabela1[[#This Row],[x]]-H$3) +(Tabela1[[#This Row],[y]]-H$4)*(Tabela1[[#This Row],[y]]-H$4)</f>
        <v>39626</v>
      </c>
      <c r="D9502" s="1">
        <f>IF(Tabela1[[#This Row],[promien]]&lt;40000,1,0)</f>
        <v>1</v>
      </c>
      <c r="E9502" s="1">
        <f>IF(Tabela1[[#This Row],[promien]]=40000,1,0)</f>
        <v>0</v>
      </c>
      <c r="F9502" s="1">
        <v>3.1344980004209639</v>
      </c>
      <c r="G9502" s="1">
        <v>7.0946531688291792E-3</v>
      </c>
    </row>
    <row r="9503" spans="1:7">
      <c r="A9503">
        <v>338</v>
      </c>
      <c r="B9503">
        <v>369</v>
      </c>
      <c r="C9503" s="1">
        <f>(Tabela1[[#This Row],[x]]-H$3)*(Tabela1[[#This Row],[x]]-H$3) +(Tabela1[[#This Row],[y]]-H$4)*(Tabela1[[#This Row],[y]]-H$4)</f>
        <v>47605</v>
      </c>
      <c r="D9503" s="1">
        <f>IF(Tabela1[[#This Row],[promien]]&lt;40000,1,0)</f>
        <v>0</v>
      </c>
      <c r="E9503" s="1">
        <f>IF(Tabela1[[#This Row],[promien]]=40000,1,0)</f>
        <v>0</v>
      </c>
      <c r="F9503" s="1">
        <v>3.1341681574239715</v>
      </c>
      <c r="G9503" s="1">
        <v>7.4244961658216369E-3</v>
      </c>
    </row>
    <row r="9504" spans="1:7">
      <c r="A9504">
        <v>381</v>
      </c>
      <c r="B9504">
        <v>286</v>
      </c>
      <c r="C9504" s="1">
        <f>(Tabela1[[#This Row],[x]]-H$3)*(Tabela1[[#This Row],[x]]-H$3) +(Tabela1[[#This Row],[y]]-H$4)*(Tabela1[[#This Row],[y]]-H$4)</f>
        <v>40157</v>
      </c>
      <c r="D9504" s="1">
        <f>IF(Tabela1[[#This Row],[promien]]&lt;40000,1,0)</f>
        <v>0</v>
      </c>
      <c r="E9504" s="1">
        <f>IF(Tabela1[[#This Row],[promien]]=40000,1,0)</f>
        <v>0</v>
      </c>
      <c r="F9504" s="1">
        <v>3.1338383838383836</v>
      </c>
      <c r="G9504" s="1">
        <v>7.7542697514094705E-3</v>
      </c>
    </row>
    <row r="9505" spans="1:7">
      <c r="A9505">
        <v>263</v>
      </c>
      <c r="B9505">
        <v>304</v>
      </c>
      <c r="C9505" s="1">
        <f>(Tabela1[[#This Row],[x]]-H$3)*(Tabela1[[#This Row],[x]]-H$3) +(Tabela1[[#This Row],[y]]-H$4)*(Tabela1[[#This Row],[y]]-H$4)</f>
        <v>14785</v>
      </c>
      <c r="D9505" s="1">
        <f>IF(Tabela1[[#This Row],[promien]]&lt;40000,1,0)</f>
        <v>1</v>
      </c>
      <c r="E9505" s="1">
        <f>IF(Tabela1[[#This Row],[promien]]=40000,1,0)</f>
        <v>0</v>
      </c>
      <c r="F9505" s="1">
        <v>3.1339295107837981</v>
      </c>
      <c r="G9505" s="1">
        <v>7.6631428059950046E-3</v>
      </c>
    </row>
    <row r="9506" spans="1:7">
      <c r="A9506">
        <v>345</v>
      </c>
      <c r="B9506">
        <v>229</v>
      </c>
      <c r="C9506" s="1">
        <f>(Tabela1[[#This Row],[x]]-H$3)*(Tabela1[[#This Row],[x]]-H$3) +(Tabela1[[#This Row],[y]]-H$4)*(Tabela1[[#This Row],[y]]-H$4)</f>
        <v>21866</v>
      </c>
      <c r="D9506" s="1">
        <f>IF(Tabela1[[#This Row],[promien]]&lt;40000,1,0)</f>
        <v>1</v>
      </c>
      <c r="E9506" s="1">
        <f>IF(Tabela1[[#This Row],[promien]]=40000,1,0)</f>
        <v>0</v>
      </c>
      <c r="F9506" s="1">
        <v>3.134020618556701</v>
      </c>
      <c r="G9506" s="1">
        <v>7.5720350330921171E-3</v>
      </c>
    </row>
    <row r="9507" spans="1:7">
      <c r="A9507">
        <v>231</v>
      </c>
      <c r="B9507">
        <v>272</v>
      </c>
      <c r="C9507" s="1">
        <f>(Tabela1[[#This Row],[x]]-H$3)*(Tabela1[[#This Row],[x]]-H$3) +(Tabela1[[#This Row],[y]]-H$4)*(Tabela1[[#This Row],[y]]-H$4)</f>
        <v>6145</v>
      </c>
      <c r="D9507" s="1">
        <f>IF(Tabela1[[#This Row],[promien]]&lt;40000,1,0)</f>
        <v>1</v>
      </c>
      <c r="E9507" s="1">
        <f>IF(Tabela1[[#This Row],[promien]]=40000,1,0)</f>
        <v>0</v>
      </c>
      <c r="F9507" s="1">
        <v>3.134111707163143</v>
      </c>
      <c r="G9507" s="1">
        <v>7.4809464266500925E-3</v>
      </c>
    </row>
    <row r="9508" spans="1:7">
      <c r="A9508">
        <v>15</v>
      </c>
      <c r="B9508">
        <v>252</v>
      </c>
      <c r="C9508" s="1">
        <f>(Tabela1[[#This Row],[x]]-H$3)*(Tabela1[[#This Row],[x]]-H$3) +(Tabela1[[#This Row],[y]]-H$4)*(Tabela1[[#This Row],[y]]-H$4)</f>
        <v>36929</v>
      </c>
      <c r="D9508" s="1">
        <f>IF(Tabela1[[#This Row],[promien]]&lt;40000,1,0)</f>
        <v>1</v>
      </c>
      <c r="E9508" s="1">
        <f>IF(Tabela1[[#This Row],[promien]]=40000,1,0)</f>
        <v>0</v>
      </c>
      <c r="F9508" s="1">
        <v>3.1342027766091713</v>
      </c>
      <c r="G9508" s="1">
        <v>7.3898769806217679E-3</v>
      </c>
    </row>
    <row r="9509" spans="1:7">
      <c r="A9509">
        <v>97</v>
      </c>
      <c r="B9509">
        <v>100</v>
      </c>
      <c r="C9509" s="1">
        <f>(Tabela1[[#This Row],[x]]-H$3)*(Tabela1[[#This Row],[x]]-H$3) +(Tabela1[[#This Row],[y]]-H$4)*(Tabela1[[#This Row],[y]]-H$4)</f>
        <v>20609</v>
      </c>
      <c r="D9509" s="1">
        <f>IF(Tabela1[[#This Row],[promien]]&lt;40000,1,0)</f>
        <v>1</v>
      </c>
      <c r="E9509" s="1">
        <f>IF(Tabela1[[#This Row],[promien]]=40000,1,0)</f>
        <v>0</v>
      </c>
      <c r="F9509" s="1">
        <v>3.1342938269008309</v>
      </c>
      <c r="G9509" s="1">
        <v>7.2988266889622011E-3</v>
      </c>
    </row>
    <row r="9510" spans="1:7">
      <c r="A9510">
        <v>243</v>
      </c>
      <c r="B9510">
        <v>358</v>
      </c>
      <c r="C9510" s="1">
        <f>(Tabela1[[#This Row],[x]]-H$3)*(Tabela1[[#This Row],[x]]-H$3) +(Tabela1[[#This Row],[y]]-H$4)*(Tabela1[[#This Row],[y]]-H$4)</f>
        <v>26813</v>
      </c>
      <c r="D9510" s="1">
        <f>IF(Tabela1[[#This Row],[promien]]&lt;40000,1,0)</f>
        <v>1</v>
      </c>
      <c r="E9510" s="1">
        <f>IF(Tabela1[[#This Row],[promien]]=40000,1,0)</f>
        <v>0</v>
      </c>
      <c r="F9510" s="1">
        <v>3.134384858044164</v>
      </c>
      <c r="G9510" s="1">
        <v>7.2077955456291143E-3</v>
      </c>
    </row>
    <row r="9511" spans="1:7">
      <c r="A9511">
        <v>27</v>
      </c>
      <c r="B9511">
        <v>161</v>
      </c>
      <c r="C9511" s="1">
        <f>(Tabela1[[#This Row],[x]]-H$3)*(Tabela1[[#This Row],[x]]-H$3) +(Tabela1[[#This Row],[y]]-H$4)*(Tabela1[[#This Row],[y]]-H$4)</f>
        <v>31450</v>
      </c>
      <c r="D9511" s="1">
        <f>IF(Tabela1[[#This Row],[promien]]&lt;40000,1,0)</f>
        <v>1</v>
      </c>
      <c r="E9511" s="1">
        <f>IF(Tabela1[[#This Row],[promien]]=40000,1,0)</f>
        <v>0</v>
      </c>
      <c r="F9511" s="1">
        <v>3.1344758700452107</v>
      </c>
      <c r="G9511" s="1">
        <v>7.1167835445824501E-3</v>
      </c>
    </row>
    <row r="9512" spans="1:7">
      <c r="A9512">
        <v>335</v>
      </c>
      <c r="B9512">
        <v>188</v>
      </c>
      <c r="C9512" s="1">
        <f>(Tabela1[[#This Row],[x]]-H$3)*(Tabela1[[#This Row],[x]]-H$3) +(Tabela1[[#This Row],[y]]-H$4)*(Tabela1[[#This Row],[y]]-H$4)</f>
        <v>18369</v>
      </c>
      <c r="D9512" s="1">
        <f>IF(Tabela1[[#This Row],[promien]]&lt;40000,1,0)</f>
        <v>1</v>
      </c>
      <c r="E9512" s="1">
        <f>IF(Tabela1[[#This Row],[promien]]=40000,1,0)</f>
        <v>0</v>
      </c>
      <c r="F9512" s="1">
        <v>3.1345668629100083</v>
      </c>
      <c r="G9512" s="1">
        <v>7.0257906797848158E-3</v>
      </c>
    </row>
    <row r="9513" spans="1:7">
      <c r="A9513">
        <v>116</v>
      </c>
      <c r="B9513">
        <v>313</v>
      </c>
      <c r="C9513" s="1">
        <f>(Tabela1[[#This Row],[x]]-H$3)*(Tabela1[[#This Row],[x]]-H$3) +(Tabela1[[#This Row],[y]]-H$4)*(Tabela1[[#This Row],[y]]-H$4)</f>
        <v>19825</v>
      </c>
      <c r="D9513" s="1">
        <f>IF(Tabela1[[#This Row],[promien]]&lt;40000,1,0)</f>
        <v>1</v>
      </c>
      <c r="E9513" s="1">
        <f>IF(Tabela1[[#This Row],[promien]]=40000,1,0)</f>
        <v>0</v>
      </c>
      <c r="F9513" s="1">
        <v>3.1346578366445916</v>
      </c>
      <c r="G9513" s="1">
        <v>6.934816945201483E-3</v>
      </c>
    </row>
    <row r="9514" spans="1:7">
      <c r="A9514">
        <v>198</v>
      </c>
      <c r="B9514">
        <v>281</v>
      </c>
      <c r="C9514" s="1">
        <f>(Tabela1[[#This Row],[x]]-H$3)*(Tabela1[[#This Row],[x]]-H$3) +(Tabela1[[#This Row],[y]]-H$4)*(Tabela1[[#This Row],[y]]-H$4)</f>
        <v>6565</v>
      </c>
      <c r="D9514" s="1">
        <f>IF(Tabela1[[#This Row],[promien]]&lt;40000,1,0)</f>
        <v>1</v>
      </c>
      <c r="E9514" s="1">
        <f>IF(Tabela1[[#This Row],[promien]]=40000,1,0)</f>
        <v>0</v>
      </c>
      <c r="F9514" s="1">
        <v>3.1347487912549927</v>
      </c>
      <c r="G9514" s="1">
        <v>6.843862334800388E-3</v>
      </c>
    </row>
    <row r="9515" spans="1:7">
      <c r="A9515">
        <v>253</v>
      </c>
      <c r="B9515">
        <v>284</v>
      </c>
      <c r="C9515" s="1">
        <f>(Tabela1[[#This Row],[x]]-H$3)*(Tabela1[[#This Row],[x]]-H$3) +(Tabela1[[#This Row],[y]]-H$4)*(Tabela1[[#This Row],[y]]-H$4)</f>
        <v>9865</v>
      </c>
      <c r="D9515" s="1">
        <f>IF(Tabela1[[#This Row],[promien]]&lt;40000,1,0)</f>
        <v>1</v>
      </c>
      <c r="E9515" s="1">
        <f>IF(Tabela1[[#This Row],[promien]]=40000,1,0)</f>
        <v>0</v>
      </c>
      <c r="F9515" s="1">
        <v>3.134839726747241</v>
      </c>
      <c r="G9515" s="1">
        <v>6.7529268425521316E-3</v>
      </c>
    </row>
    <row r="9516" spans="1:7">
      <c r="A9516">
        <v>141</v>
      </c>
      <c r="B9516">
        <v>41</v>
      </c>
      <c r="C9516" s="1">
        <f>(Tabela1[[#This Row],[x]]-H$3)*(Tabela1[[#This Row],[x]]-H$3) +(Tabela1[[#This Row],[y]]-H$4)*(Tabela1[[#This Row],[y]]-H$4)</f>
        <v>28762</v>
      </c>
      <c r="D9516" s="1">
        <f>IF(Tabela1[[#This Row],[promien]]&lt;40000,1,0)</f>
        <v>1</v>
      </c>
      <c r="E9516" s="1">
        <f>IF(Tabela1[[#This Row],[promien]]=40000,1,0)</f>
        <v>0</v>
      </c>
      <c r="F9516" s="1">
        <v>3.1349306431273645</v>
      </c>
      <c r="G9516" s="1">
        <v>6.6620104624286469E-3</v>
      </c>
    </row>
    <row r="9517" spans="1:7">
      <c r="A9517">
        <v>23</v>
      </c>
      <c r="B9517">
        <v>377</v>
      </c>
      <c r="C9517" s="1">
        <f>(Tabela1[[#This Row],[x]]-H$3)*(Tabela1[[#This Row],[x]]-H$3) +(Tabela1[[#This Row],[y]]-H$4)*(Tabela1[[#This Row],[y]]-H$4)</f>
        <v>62658</v>
      </c>
      <c r="D9517" s="1">
        <f>IF(Tabela1[[#This Row],[promien]]&lt;40000,1,0)</f>
        <v>0</v>
      </c>
      <c r="E9517" s="1">
        <f>IF(Tabela1[[#This Row],[promien]]=40000,1,0)</f>
        <v>0</v>
      </c>
      <c r="F9517" s="1">
        <v>3.1346012398865191</v>
      </c>
      <c r="G9517" s="1">
        <v>6.991413703274052E-3</v>
      </c>
    </row>
    <row r="9518" spans="1:7">
      <c r="A9518">
        <v>321</v>
      </c>
      <c r="B9518">
        <v>48</v>
      </c>
      <c r="C9518" s="1">
        <f>(Tabela1[[#This Row],[x]]-H$3)*(Tabela1[[#This Row],[x]]-H$3) +(Tabela1[[#This Row],[y]]-H$4)*(Tabela1[[#This Row],[y]]-H$4)</f>
        <v>37745</v>
      </c>
      <c r="D9518" s="1">
        <f>IF(Tabela1[[#This Row],[promien]]&lt;40000,1,0)</f>
        <v>1</v>
      </c>
      <c r="E9518" s="1">
        <f>IF(Tabela1[[#This Row],[promien]]=40000,1,0)</f>
        <v>0</v>
      </c>
      <c r="F9518" s="1">
        <v>3.1346921622189536</v>
      </c>
      <c r="G9518" s="1">
        <v>6.9004913708394788E-3</v>
      </c>
    </row>
    <row r="9519" spans="1:7">
      <c r="A9519">
        <v>300</v>
      </c>
      <c r="B9519">
        <v>366</v>
      </c>
      <c r="C9519" s="1">
        <f>(Tabela1[[#This Row],[x]]-H$3)*(Tabela1[[#This Row],[x]]-H$3) +(Tabela1[[#This Row],[y]]-H$4)*(Tabela1[[#This Row],[y]]-H$4)</f>
        <v>37556</v>
      </c>
      <c r="D9519" s="1">
        <f>IF(Tabela1[[#This Row],[promien]]&lt;40000,1,0)</f>
        <v>1</v>
      </c>
      <c r="E9519" s="1">
        <f>IF(Tabela1[[#This Row],[promien]]=40000,1,0)</f>
        <v>0</v>
      </c>
      <c r="F9519" s="1">
        <v>3.1347830654480511</v>
      </c>
      <c r="G9519" s="1">
        <v>6.8095881417420401E-3</v>
      </c>
    </row>
    <row r="9520" spans="1:7">
      <c r="A9520">
        <v>16</v>
      </c>
      <c r="B9520">
        <v>70</v>
      </c>
      <c r="C9520" s="1">
        <f>(Tabela1[[#This Row],[x]]-H$3)*(Tabela1[[#This Row],[x]]-H$3) +(Tabela1[[#This Row],[y]]-H$4)*(Tabela1[[#This Row],[y]]-H$4)</f>
        <v>50756</v>
      </c>
      <c r="D9520" s="1">
        <f>IF(Tabela1[[#This Row],[promien]]&lt;40000,1,0)</f>
        <v>0</v>
      </c>
      <c r="E9520" s="1">
        <f>IF(Tabela1[[#This Row],[promien]]=40000,1,0)</f>
        <v>0</v>
      </c>
      <c r="F9520" s="1">
        <v>3.134453781512605</v>
      </c>
      <c r="G9520" s="1">
        <v>7.1388720771881076E-3</v>
      </c>
    </row>
    <row r="9521" spans="1:7">
      <c r="A9521">
        <v>246</v>
      </c>
      <c r="B9521">
        <v>339</v>
      </c>
      <c r="C9521" s="1">
        <f>(Tabela1[[#This Row],[x]]-H$3)*(Tabela1[[#This Row],[x]]-H$3) +(Tabela1[[#This Row],[y]]-H$4)*(Tabela1[[#This Row],[y]]-H$4)</f>
        <v>21437</v>
      </c>
      <c r="D9521" s="1">
        <f>IF(Tabela1[[#This Row],[promien]]&lt;40000,1,0)</f>
        <v>1</v>
      </c>
      <c r="E9521" s="1">
        <f>IF(Tabela1[[#This Row],[promien]]=40000,1,0)</f>
        <v>0</v>
      </c>
      <c r="F9521" s="1">
        <v>3.1345446906837515</v>
      </c>
      <c r="G9521" s="1">
        <v>7.0479629060415938E-3</v>
      </c>
    </row>
    <row r="9522" spans="1:7">
      <c r="A9522">
        <v>240</v>
      </c>
      <c r="B9522">
        <v>344</v>
      </c>
      <c r="C9522" s="1">
        <f>(Tabela1[[#This Row],[x]]-H$3)*(Tabela1[[#This Row],[x]]-H$3) +(Tabela1[[#This Row],[y]]-H$4)*(Tabela1[[#This Row],[y]]-H$4)</f>
        <v>22336</v>
      </c>
      <c r="D9522" s="1">
        <f>IF(Tabela1[[#This Row],[promien]]&lt;40000,1,0)</f>
        <v>1</v>
      </c>
      <c r="E9522" s="1">
        <f>IF(Tabela1[[#This Row],[promien]]=40000,1,0)</f>
        <v>0</v>
      </c>
      <c r="F9522" s="1">
        <v>3.1346355807603445</v>
      </c>
      <c r="G9522" s="1">
        <v>6.957072829448574E-3</v>
      </c>
    </row>
    <row r="9523" spans="1:7">
      <c r="A9523">
        <v>41</v>
      </c>
      <c r="B9523">
        <v>68</v>
      </c>
      <c r="C9523" s="1">
        <f>(Tabela1[[#This Row],[x]]-H$3)*(Tabela1[[#This Row],[x]]-H$3) +(Tabela1[[#This Row],[y]]-H$4)*(Tabela1[[#This Row],[y]]-H$4)</f>
        <v>42705</v>
      </c>
      <c r="D9523" s="1">
        <f>IF(Tabela1[[#This Row],[promien]]&lt;40000,1,0)</f>
        <v>0</v>
      </c>
      <c r="E9523" s="1">
        <f>IF(Tabela1[[#This Row],[promien]]=40000,1,0)</f>
        <v>0</v>
      </c>
      <c r="F9523" s="1">
        <v>3.134306416045364</v>
      </c>
      <c r="G9523" s="1">
        <v>7.2862375444291416E-3</v>
      </c>
    </row>
    <row r="9524" spans="1:7">
      <c r="A9524">
        <v>375</v>
      </c>
      <c r="B9524">
        <v>291</v>
      </c>
      <c r="C9524" s="1">
        <f>(Tabela1[[#This Row],[x]]-H$3)*(Tabela1[[#This Row],[x]]-H$3) +(Tabela1[[#This Row],[y]]-H$4)*(Tabela1[[#This Row],[y]]-H$4)</f>
        <v>38906</v>
      </c>
      <c r="D9524" s="1">
        <f>IF(Tabela1[[#This Row],[promien]]&lt;40000,1,0)</f>
        <v>1</v>
      </c>
      <c r="E9524" s="1">
        <f>IF(Tabela1[[#This Row],[promien]]=40000,1,0)</f>
        <v>0</v>
      </c>
      <c r="F9524" s="1">
        <v>3.1343973120537587</v>
      </c>
      <c r="G9524" s="1">
        <v>7.1953415360344053E-3</v>
      </c>
    </row>
    <row r="9525" spans="1:7">
      <c r="A9525">
        <v>289</v>
      </c>
      <c r="B9525">
        <v>103</v>
      </c>
      <c r="C9525" s="1">
        <f>(Tabela1[[#This Row],[x]]-H$3)*(Tabela1[[#This Row],[x]]-H$3) +(Tabela1[[#This Row],[y]]-H$4)*(Tabela1[[#This Row],[y]]-H$4)</f>
        <v>17330</v>
      </c>
      <c r="D9525" s="1">
        <f>IF(Tabela1[[#This Row],[promien]]&lt;40000,1,0)</f>
        <v>1</v>
      </c>
      <c r="E9525" s="1">
        <f>IF(Tabela1[[#This Row],[promien]]=40000,1,0)</f>
        <v>0</v>
      </c>
      <c r="F9525" s="1">
        <v>3.1344881889763778</v>
      </c>
      <c r="G9525" s="1">
        <v>7.1044646134152956E-3</v>
      </c>
    </row>
    <row r="9526" spans="1:7">
      <c r="A9526">
        <v>364</v>
      </c>
      <c r="B9526">
        <v>118</v>
      </c>
      <c r="C9526" s="1">
        <f>(Tabela1[[#This Row],[x]]-H$3)*(Tabela1[[#This Row],[x]]-H$3) +(Tabela1[[#This Row],[y]]-H$4)*(Tabela1[[#This Row],[y]]-H$4)</f>
        <v>33620</v>
      </c>
      <c r="D9526" s="1">
        <f>IF(Tabela1[[#This Row],[promien]]&lt;40000,1,0)</f>
        <v>1</v>
      </c>
      <c r="E9526" s="1">
        <f>IF(Tabela1[[#This Row],[promien]]=40000,1,0)</f>
        <v>0</v>
      </c>
      <c r="F9526" s="1">
        <v>3.1345790468192316</v>
      </c>
      <c r="G9526" s="1">
        <v>7.0136067705615091E-3</v>
      </c>
    </row>
    <row r="9527" spans="1:7">
      <c r="A9527">
        <v>178</v>
      </c>
      <c r="B9527">
        <v>304</v>
      </c>
      <c r="C9527" s="1">
        <f>(Tabela1[[#This Row],[x]]-H$3)*(Tabela1[[#This Row],[x]]-H$3) +(Tabela1[[#This Row],[y]]-H$4)*(Tabela1[[#This Row],[y]]-H$4)</f>
        <v>11300</v>
      </c>
      <c r="D9527" s="1">
        <f>IF(Tabela1[[#This Row],[promien]]&lt;40000,1,0)</f>
        <v>1</v>
      </c>
      <c r="E9527" s="1">
        <f>IF(Tabela1[[#This Row],[promien]]=40000,1,0)</f>
        <v>0</v>
      </c>
      <c r="F9527" s="1">
        <v>3.1346698855883277</v>
      </c>
      <c r="G9527" s="1">
        <v>6.9227680014654069E-3</v>
      </c>
    </row>
    <row r="9528" spans="1:7">
      <c r="A9528">
        <v>51</v>
      </c>
      <c r="B9528">
        <v>69</v>
      </c>
      <c r="C9528" s="1">
        <f>(Tabela1[[#This Row],[x]]-H$3)*(Tabela1[[#This Row],[x]]-H$3) +(Tabela1[[#This Row],[y]]-H$4)*(Tabela1[[#This Row],[y]]-H$4)</f>
        <v>39362</v>
      </c>
      <c r="D9528" s="1">
        <f>IF(Tabela1[[#This Row],[promien]]&lt;40000,1,0)</f>
        <v>1</v>
      </c>
      <c r="E9528" s="1">
        <f>IF(Tabela1[[#This Row],[promien]]=40000,1,0)</f>
        <v>0</v>
      </c>
      <c r="F9528" s="1">
        <v>3.1347607052896724</v>
      </c>
      <c r="G9528" s="1">
        <v>6.8319483001206827E-3</v>
      </c>
    </row>
    <row r="9529" spans="1:7">
      <c r="A9529">
        <v>286</v>
      </c>
      <c r="B9529">
        <v>11</v>
      </c>
      <c r="C9529" s="1">
        <f>(Tabela1[[#This Row],[x]]-H$3)*(Tabela1[[#This Row],[x]]-H$3) +(Tabela1[[#This Row],[y]]-H$4)*(Tabela1[[#This Row],[y]]-H$4)</f>
        <v>43117</v>
      </c>
      <c r="D9529" s="1">
        <f>IF(Tabela1[[#This Row],[promien]]&lt;40000,1,0)</f>
        <v>0</v>
      </c>
      <c r="E9529" s="1">
        <f>IF(Tabela1[[#This Row],[promien]]=40000,1,0)</f>
        <v>0</v>
      </c>
      <c r="F9529" s="1">
        <v>3.1344317347045858</v>
      </c>
      <c r="G9529" s="1">
        <v>7.1609188852073125E-3</v>
      </c>
    </row>
    <row r="9530" spans="1:7">
      <c r="A9530">
        <v>302</v>
      </c>
      <c r="B9530">
        <v>352</v>
      </c>
      <c r="C9530" s="1">
        <f>(Tabela1[[#This Row],[x]]-H$3)*(Tabela1[[#This Row],[x]]-H$3) +(Tabela1[[#This Row],[y]]-H$4)*(Tabela1[[#This Row],[y]]-H$4)</f>
        <v>33508</v>
      </c>
      <c r="D9530" s="1">
        <f>IF(Tabela1[[#This Row],[promien]]&lt;40000,1,0)</f>
        <v>1</v>
      </c>
      <c r="E9530" s="1">
        <f>IF(Tabela1[[#This Row],[promien]]=40000,1,0)</f>
        <v>0</v>
      </c>
      <c r="F9530" s="1">
        <v>3.1345225603357818</v>
      </c>
      <c r="G9530" s="1">
        <v>7.0700932540113115E-3</v>
      </c>
    </row>
    <row r="9531" spans="1:7">
      <c r="A9531">
        <v>308</v>
      </c>
      <c r="B9531">
        <v>359</v>
      </c>
      <c r="C9531" s="1">
        <f>(Tabela1[[#This Row],[x]]-H$3)*(Tabela1[[#This Row],[x]]-H$3) +(Tabela1[[#This Row],[y]]-H$4)*(Tabela1[[#This Row],[y]]-H$4)</f>
        <v>36945</v>
      </c>
      <c r="D9531" s="1">
        <f>IF(Tabela1[[#This Row],[promien]]&lt;40000,1,0)</f>
        <v>1</v>
      </c>
      <c r="E9531" s="1">
        <f>IF(Tabela1[[#This Row],[promien]]=40000,1,0)</f>
        <v>0</v>
      </c>
      <c r="F9531" s="1">
        <v>3.1346133669079843</v>
      </c>
      <c r="G9531" s="1">
        <v>6.9792866818088051E-3</v>
      </c>
    </row>
    <row r="9532" spans="1:7">
      <c r="A9532">
        <v>37</v>
      </c>
      <c r="B9532">
        <v>339</v>
      </c>
      <c r="C9532" s="1">
        <f>(Tabela1[[#This Row],[x]]-H$3)*(Tabela1[[#This Row],[x]]-H$3) +(Tabela1[[#This Row],[y]]-H$4)*(Tabela1[[#This Row],[y]]-H$4)</f>
        <v>45890</v>
      </c>
      <c r="D9532" s="1">
        <f>IF(Tabela1[[#This Row],[promien]]&lt;40000,1,0)</f>
        <v>0</v>
      </c>
      <c r="E9532" s="1">
        <f>IF(Tabela1[[#This Row],[promien]]=40000,1,0)</f>
        <v>0</v>
      </c>
      <c r="F9532" s="1">
        <v>3.1342845153168275</v>
      </c>
      <c r="G9532" s="1">
        <v>7.3081382729656141E-3</v>
      </c>
    </row>
    <row r="9533" spans="1:7">
      <c r="A9533">
        <v>328</v>
      </c>
      <c r="B9533">
        <v>286</v>
      </c>
      <c r="C9533" s="1">
        <f>(Tabela1[[#This Row],[x]]-H$3)*(Tabela1[[#This Row],[x]]-H$3) +(Tabela1[[#This Row],[y]]-H$4)*(Tabela1[[#This Row],[y]]-H$4)</f>
        <v>23780</v>
      </c>
      <c r="D9533" s="1">
        <f>IF(Tabela1[[#This Row],[promien]]&lt;40000,1,0)</f>
        <v>1</v>
      </c>
      <c r="E9533" s="1">
        <f>IF(Tabela1[[#This Row],[promien]]=40000,1,0)</f>
        <v>0</v>
      </c>
      <c r="F9533" s="1">
        <v>3.1343753278086646</v>
      </c>
      <c r="G9533" s="1">
        <v>7.2173257811285474E-3</v>
      </c>
    </row>
    <row r="9534" spans="1:7">
      <c r="A9534">
        <v>50</v>
      </c>
      <c r="B9534">
        <v>173</v>
      </c>
      <c r="C9534" s="1">
        <f>(Tabela1[[#This Row],[x]]-H$3)*(Tabela1[[#This Row],[x]]-H$3) +(Tabela1[[#This Row],[y]]-H$4)*(Tabela1[[#This Row],[y]]-H$4)</f>
        <v>23229</v>
      </c>
      <c r="D9534" s="1">
        <f>IF(Tabela1[[#This Row],[promien]]&lt;40000,1,0)</f>
        <v>1</v>
      </c>
      <c r="E9534" s="1">
        <f>IF(Tabela1[[#This Row],[promien]]=40000,1,0)</f>
        <v>0</v>
      </c>
      <c r="F9534" s="1">
        <v>3.134466121250262</v>
      </c>
      <c r="G9534" s="1">
        <v>7.1265323395310887E-3</v>
      </c>
    </row>
    <row r="9535" spans="1:7">
      <c r="A9535">
        <v>12</v>
      </c>
      <c r="B9535">
        <v>156</v>
      </c>
      <c r="C9535" s="1">
        <f>(Tabela1[[#This Row],[x]]-H$3)*(Tabela1[[#This Row],[x]]-H$3) +(Tabela1[[#This Row],[y]]-H$4)*(Tabela1[[#This Row],[y]]-H$4)</f>
        <v>37280</v>
      </c>
      <c r="D9535" s="1">
        <f>IF(Tabela1[[#This Row],[promien]]&lt;40000,1,0)</f>
        <v>1</v>
      </c>
      <c r="E9535" s="1">
        <f>IF(Tabela1[[#This Row],[promien]]=40000,1,0)</f>
        <v>0</v>
      </c>
      <c r="F9535" s="1">
        <v>3.1345568956476142</v>
      </c>
      <c r="G9535" s="1">
        <v>7.0357579421789218E-3</v>
      </c>
    </row>
    <row r="9536" spans="1:7">
      <c r="A9536">
        <v>140</v>
      </c>
      <c r="B9536">
        <v>102</v>
      </c>
      <c r="C9536" s="1">
        <f>(Tabela1[[#This Row],[x]]-H$3)*(Tabela1[[#This Row],[x]]-H$3) +(Tabela1[[#This Row],[y]]-H$4)*(Tabela1[[#This Row],[y]]-H$4)</f>
        <v>13204</v>
      </c>
      <c r="D9536" s="1">
        <f>IF(Tabela1[[#This Row],[promien]]&lt;40000,1,0)</f>
        <v>1</v>
      </c>
      <c r="E9536" s="1">
        <f>IF(Tabela1[[#This Row],[promien]]=40000,1,0)</f>
        <v>0</v>
      </c>
      <c r="F9536" s="1">
        <v>3.1346476510067114</v>
      </c>
      <c r="G9536" s="1">
        <v>6.9450025830817275E-3</v>
      </c>
    </row>
    <row r="9537" spans="1:7">
      <c r="A9537">
        <v>106</v>
      </c>
      <c r="B9537">
        <v>325</v>
      </c>
      <c r="C9537" s="1">
        <f>(Tabela1[[#This Row],[x]]-H$3)*(Tabela1[[#This Row],[x]]-H$3) +(Tabela1[[#This Row],[y]]-H$4)*(Tabela1[[#This Row],[y]]-H$4)</f>
        <v>24461</v>
      </c>
      <c r="D9537" s="1">
        <f>IF(Tabela1[[#This Row],[promien]]&lt;40000,1,0)</f>
        <v>1</v>
      </c>
      <c r="E9537" s="1">
        <f>IF(Tabela1[[#This Row],[promien]]=40000,1,0)</f>
        <v>0</v>
      </c>
      <c r="F9537" s="1">
        <v>3.134738387333543</v>
      </c>
      <c r="G9537" s="1">
        <v>6.8542662562500745E-3</v>
      </c>
    </row>
    <row r="9538" spans="1:7">
      <c r="A9538">
        <v>344</v>
      </c>
      <c r="B9538">
        <v>39</v>
      </c>
      <c r="C9538" s="1">
        <f>(Tabela1[[#This Row],[x]]-H$3)*(Tabela1[[#This Row],[x]]-H$3) +(Tabela1[[#This Row],[y]]-H$4)*(Tabela1[[#This Row],[y]]-H$4)</f>
        <v>46657</v>
      </c>
      <c r="D9538" s="1">
        <f>IF(Tabela1[[#This Row],[promien]]&lt;40000,1,0)</f>
        <v>0</v>
      </c>
      <c r="E9538" s="1">
        <f>IF(Tabela1[[#This Row],[promien]]=40000,1,0)</f>
        <v>0</v>
      </c>
      <c r="F9538" s="1">
        <v>3.1344097295030404</v>
      </c>
      <c r="G9538" s="1">
        <v>7.1829240867526956E-3</v>
      </c>
    </row>
    <row r="9539" spans="1:7">
      <c r="A9539">
        <v>388</v>
      </c>
      <c r="B9539">
        <v>2</v>
      </c>
      <c r="C9539" s="1">
        <f>(Tabela1[[#This Row],[x]]-H$3)*(Tabela1[[#This Row],[x]]-H$3) +(Tabela1[[#This Row],[y]]-H$4)*(Tabela1[[#This Row],[y]]-H$4)</f>
        <v>74548</v>
      </c>
      <c r="D9539" s="1">
        <f>IF(Tabela1[[#This Row],[promien]]&lt;40000,1,0)</f>
        <v>0</v>
      </c>
      <c r="E9539" s="1">
        <f>IF(Tabela1[[#This Row],[promien]]=40000,1,0)</f>
        <v>0</v>
      </c>
      <c r="F9539" s="1">
        <v>3.1340811405807738</v>
      </c>
      <c r="G9539" s="1">
        <v>7.5115130090193105E-3</v>
      </c>
    </row>
    <row r="9540" spans="1:7">
      <c r="A9540">
        <v>49</v>
      </c>
      <c r="B9540">
        <v>39</v>
      </c>
      <c r="C9540" s="1">
        <f>(Tabela1[[#This Row],[x]]-H$3)*(Tabela1[[#This Row],[x]]-H$3) +(Tabela1[[#This Row],[y]]-H$4)*(Tabela1[[#This Row],[y]]-H$4)</f>
        <v>48722</v>
      </c>
      <c r="D9540" s="1">
        <f>IF(Tabela1[[#This Row],[promien]]&lt;40000,1,0)</f>
        <v>0</v>
      </c>
      <c r="E9540" s="1">
        <f>IF(Tabela1[[#This Row],[promien]]=40000,1,0)</f>
        <v>0</v>
      </c>
      <c r="F9540" s="1">
        <v>3.1337526205450734</v>
      </c>
      <c r="G9540" s="1">
        <v>7.8400330447196964E-3</v>
      </c>
    </row>
    <row r="9541" spans="1:7">
      <c r="A9541">
        <v>307</v>
      </c>
      <c r="B9541">
        <v>38</v>
      </c>
      <c r="C9541" s="1">
        <f>(Tabela1[[#This Row],[x]]-H$3)*(Tabela1[[#This Row],[x]]-H$3) +(Tabela1[[#This Row],[y]]-H$4)*(Tabela1[[#This Row],[y]]-H$4)</f>
        <v>37693</v>
      </c>
      <c r="D9541" s="1">
        <f>IF(Tabela1[[#This Row],[promien]]&lt;40000,1,0)</f>
        <v>1</v>
      </c>
      <c r="E9541" s="1">
        <f>IF(Tabela1[[#This Row],[promien]]=40000,1,0)</f>
        <v>0</v>
      </c>
      <c r="F9541" s="1">
        <v>3.1338434126401844</v>
      </c>
      <c r="G9541" s="1">
        <v>7.7492409496087156E-3</v>
      </c>
    </row>
    <row r="9542" spans="1:7">
      <c r="A9542">
        <v>116</v>
      </c>
      <c r="B9542">
        <v>36</v>
      </c>
      <c r="C9542" s="1">
        <f>(Tabela1[[#This Row],[x]]-H$3)*(Tabela1[[#This Row],[x]]-H$3) +(Tabela1[[#This Row],[y]]-H$4)*(Tabela1[[#This Row],[y]]-H$4)</f>
        <v>33952</v>
      </c>
      <c r="D9542" s="1">
        <f>IF(Tabela1[[#This Row],[promien]]&lt;40000,1,0)</f>
        <v>1</v>
      </c>
      <c r="E9542" s="1">
        <f>IF(Tabela1[[#This Row],[promien]]=40000,1,0)</f>
        <v>0</v>
      </c>
      <c r="F9542" s="1">
        <v>3.1339341857053027</v>
      </c>
      <c r="G9542" s="1">
        <v>7.6584678844904275E-3</v>
      </c>
    </row>
    <row r="9543" spans="1:7">
      <c r="A9543">
        <v>217</v>
      </c>
      <c r="B9543">
        <v>79</v>
      </c>
      <c r="C9543" s="1">
        <f>(Tabela1[[#This Row],[x]]-H$3)*(Tabela1[[#This Row],[x]]-H$3) +(Tabela1[[#This Row],[y]]-H$4)*(Tabela1[[#This Row],[y]]-H$4)</f>
        <v>14930</v>
      </c>
      <c r="D9543" s="1">
        <f>IF(Tabela1[[#This Row],[promien]]&lt;40000,1,0)</f>
        <v>1</v>
      </c>
      <c r="E9543" s="1">
        <f>IF(Tabela1[[#This Row],[promien]]=40000,1,0)</f>
        <v>0</v>
      </c>
      <c r="F9543" s="1">
        <v>3.1340249397464111</v>
      </c>
      <c r="G9543" s="1">
        <v>7.5677138433820623E-3</v>
      </c>
    </row>
    <row r="9544" spans="1:7">
      <c r="A9544">
        <v>212</v>
      </c>
      <c r="B9544">
        <v>171</v>
      </c>
      <c r="C9544" s="1">
        <f>(Tabela1[[#This Row],[x]]-H$3)*(Tabela1[[#This Row],[x]]-H$3) +(Tabela1[[#This Row],[y]]-H$4)*(Tabela1[[#This Row],[y]]-H$4)</f>
        <v>985</v>
      </c>
      <c r="D9544" s="1">
        <f>IF(Tabela1[[#This Row],[promien]]&lt;40000,1,0)</f>
        <v>1</v>
      </c>
      <c r="E9544" s="1">
        <f>IF(Tabela1[[#This Row],[promien]]=40000,1,0)</f>
        <v>0</v>
      </c>
      <c r="F9544" s="1">
        <v>3.1341156747694887</v>
      </c>
      <c r="G9544" s="1">
        <v>7.476978820304403E-3</v>
      </c>
    </row>
    <row r="9545" spans="1:7">
      <c r="A9545">
        <v>184</v>
      </c>
      <c r="B9545">
        <v>105</v>
      </c>
      <c r="C9545" s="1">
        <f>(Tabela1[[#This Row],[x]]-H$3)*(Tabela1[[#This Row],[x]]-H$3) +(Tabela1[[#This Row],[y]]-H$4)*(Tabela1[[#This Row],[y]]-H$4)</f>
        <v>9281</v>
      </c>
      <c r="D9545" s="1">
        <f>IF(Tabela1[[#This Row],[promien]]&lt;40000,1,0)</f>
        <v>1</v>
      </c>
      <c r="E9545" s="1">
        <f>IF(Tabela1[[#This Row],[promien]]=40000,1,0)</f>
        <v>0</v>
      </c>
      <c r="F9545" s="1">
        <v>3.1342063907805136</v>
      </c>
      <c r="G9545" s="1">
        <v>7.3862628092795646E-3</v>
      </c>
    </row>
    <row r="9546" spans="1:7">
      <c r="A9546">
        <v>382</v>
      </c>
      <c r="B9546">
        <v>81</v>
      </c>
      <c r="C9546" s="1">
        <f>(Tabela1[[#This Row],[x]]-H$3)*(Tabela1[[#This Row],[x]]-H$3) +(Tabela1[[#This Row],[y]]-H$4)*(Tabela1[[#This Row],[y]]-H$4)</f>
        <v>47285</v>
      </c>
      <c r="D9546" s="1">
        <f>IF(Tabela1[[#This Row],[promien]]&lt;40000,1,0)</f>
        <v>0</v>
      </c>
      <c r="E9546" s="1">
        <f>IF(Tabela1[[#This Row],[promien]]=40000,1,0)</f>
        <v>0</v>
      </c>
      <c r="F9546" s="1">
        <v>3.1338780641106223</v>
      </c>
      <c r="G9546" s="1">
        <v>7.7145894791708081E-3</v>
      </c>
    </row>
    <row r="9547" spans="1:7">
      <c r="A9547">
        <v>387</v>
      </c>
      <c r="B9547">
        <v>136</v>
      </c>
      <c r="C9547" s="1">
        <f>(Tabela1[[#This Row],[x]]-H$3)*(Tabela1[[#This Row],[x]]-H$3) +(Tabela1[[#This Row],[y]]-H$4)*(Tabela1[[#This Row],[y]]-H$4)</f>
        <v>39065</v>
      </c>
      <c r="D9547" s="1">
        <f>IF(Tabela1[[#This Row],[promien]]&lt;40000,1,0)</f>
        <v>1</v>
      </c>
      <c r="E9547" s="1">
        <f>IF(Tabela1[[#This Row],[promien]]=40000,1,0)</f>
        <v>0</v>
      </c>
      <c r="F9547" s="1">
        <v>3.1339687860060752</v>
      </c>
      <c r="G9547" s="1">
        <v>7.6238675837179137E-3</v>
      </c>
    </row>
    <row r="9548" spans="1:7">
      <c r="A9548">
        <v>255</v>
      </c>
      <c r="B9548">
        <v>360</v>
      </c>
      <c r="C9548" s="1">
        <f>(Tabela1[[#This Row],[x]]-H$3)*(Tabela1[[#This Row],[x]]-H$3) +(Tabela1[[#This Row],[y]]-H$4)*(Tabela1[[#This Row],[y]]-H$4)</f>
        <v>28625</v>
      </c>
      <c r="D9548" s="1">
        <f>IF(Tabela1[[#This Row],[promien]]&lt;40000,1,0)</f>
        <v>1</v>
      </c>
      <c r="E9548" s="1">
        <f>IF(Tabela1[[#This Row],[promien]]=40000,1,0)</f>
        <v>0</v>
      </c>
      <c r="F9548" s="1">
        <v>3.1340594888981985</v>
      </c>
      <c r="G9548" s="1">
        <v>7.533164691594596E-3</v>
      </c>
    </row>
    <row r="9549" spans="1:7">
      <c r="A9549">
        <v>53</v>
      </c>
      <c r="B9549">
        <v>179</v>
      </c>
      <c r="C9549" s="1">
        <f>(Tabela1[[#This Row],[x]]-H$3)*(Tabela1[[#This Row],[x]]-H$3) +(Tabela1[[#This Row],[y]]-H$4)*(Tabela1[[#This Row],[y]]-H$4)</f>
        <v>22050</v>
      </c>
      <c r="D9549" s="1">
        <f>IF(Tabela1[[#This Row],[promien]]&lt;40000,1,0)</f>
        <v>1</v>
      </c>
      <c r="E9549" s="1">
        <f>IF(Tabela1[[#This Row],[promien]]=40000,1,0)</f>
        <v>0</v>
      </c>
      <c r="F9549" s="1">
        <v>3.1341501727929626</v>
      </c>
      <c r="G9549" s="1">
        <v>7.4424807968305196E-3</v>
      </c>
    </row>
    <row r="9550" spans="1:7">
      <c r="A9550">
        <v>83</v>
      </c>
      <c r="B9550">
        <v>77</v>
      </c>
      <c r="C9550" s="1">
        <f>(Tabela1[[#This Row],[x]]-H$3)*(Tabela1[[#This Row],[x]]-H$3) +(Tabela1[[#This Row],[y]]-H$4)*(Tabela1[[#This Row],[y]]-H$4)</f>
        <v>28818</v>
      </c>
      <c r="D9550" s="1">
        <f>IF(Tabela1[[#This Row],[promien]]&lt;40000,1,0)</f>
        <v>1</v>
      </c>
      <c r="E9550" s="1">
        <f>IF(Tabela1[[#This Row],[promien]]=40000,1,0)</f>
        <v>0</v>
      </c>
      <c r="F9550" s="1">
        <v>3.1342408376963351</v>
      </c>
      <c r="G9550" s="1">
        <v>7.3518158934580136E-3</v>
      </c>
    </row>
    <row r="9551" spans="1:7">
      <c r="A9551">
        <v>372</v>
      </c>
      <c r="B9551">
        <v>67</v>
      </c>
      <c r="C9551" s="1">
        <f>(Tabela1[[#This Row],[x]]-H$3)*(Tabela1[[#This Row],[x]]-H$3) +(Tabela1[[#This Row],[y]]-H$4)*(Tabela1[[#This Row],[y]]-H$4)</f>
        <v>47273</v>
      </c>
      <c r="D9551" s="1">
        <f>IF(Tabela1[[#This Row],[promien]]&lt;40000,1,0)</f>
        <v>0</v>
      </c>
      <c r="E9551" s="1">
        <f>IF(Tabela1[[#This Row],[promien]]=40000,1,0)</f>
        <v>0</v>
      </c>
      <c r="F9551" s="1">
        <v>3.1339126793005967</v>
      </c>
      <c r="G9551" s="1">
        <v>7.6799742891964229E-3</v>
      </c>
    </row>
    <row r="9552" spans="1:7">
      <c r="A9552">
        <v>86</v>
      </c>
      <c r="B9552">
        <v>34</v>
      </c>
      <c r="C9552" s="1">
        <f>(Tabela1[[#This Row],[x]]-H$3)*(Tabela1[[#This Row],[x]]-H$3) +(Tabela1[[#This Row],[y]]-H$4)*(Tabela1[[#This Row],[y]]-H$4)</f>
        <v>40552</v>
      </c>
      <c r="D9552" s="1">
        <f>IF(Tabela1[[#This Row],[promien]]&lt;40000,1,0)</f>
        <v>0</v>
      </c>
      <c r="E9552" s="1">
        <f>IF(Tabela1[[#This Row],[promien]]=40000,1,0)</f>
        <v>0</v>
      </c>
      <c r="F9552" s="1">
        <v>3.1335845896147405</v>
      </c>
      <c r="G9552" s="1">
        <v>8.0080639750526039E-3</v>
      </c>
    </row>
    <row r="9553" spans="1:7">
      <c r="A9553">
        <v>201</v>
      </c>
      <c r="B9553">
        <v>253</v>
      </c>
      <c r="C9553" s="1">
        <f>(Tabela1[[#This Row],[x]]-H$3)*(Tabela1[[#This Row],[x]]-H$3) +(Tabela1[[#This Row],[y]]-H$4)*(Tabela1[[#This Row],[y]]-H$4)</f>
        <v>2810</v>
      </c>
      <c r="D9553" s="1">
        <f>IF(Tabela1[[#This Row],[promien]]&lt;40000,1,0)</f>
        <v>1</v>
      </c>
      <c r="E9553" s="1">
        <f>IF(Tabela1[[#This Row],[promien]]=40000,1,0)</f>
        <v>0</v>
      </c>
      <c r="F9553" s="1">
        <v>3.1336752852507064</v>
      </c>
      <c r="G9553" s="1">
        <v>7.9173683390867389E-3</v>
      </c>
    </row>
    <row r="9554" spans="1:7">
      <c r="A9554">
        <v>275</v>
      </c>
      <c r="B9554">
        <v>120</v>
      </c>
      <c r="C9554" s="1">
        <f>(Tabela1[[#This Row],[x]]-H$3)*(Tabela1[[#This Row],[x]]-H$3) +(Tabela1[[#This Row],[y]]-H$4)*(Tabela1[[#This Row],[y]]-H$4)</f>
        <v>12025</v>
      </c>
      <c r="D9554" s="1">
        <f>IF(Tabela1[[#This Row],[promien]]&lt;40000,1,0)</f>
        <v>1</v>
      </c>
      <c r="E9554" s="1">
        <f>IF(Tabela1[[#This Row],[promien]]=40000,1,0)</f>
        <v>0</v>
      </c>
      <c r="F9554" s="1">
        <v>3.1337659619007745</v>
      </c>
      <c r="G9554" s="1">
        <v>7.8266916890186167E-3</v>
      </c>
    </row>
    <row r="9555" spans="1:7">
      <c r="A9555">
        <v>263</v>
      </c>
      <c r="B9555">
        <v>223</v>
      </c>
      <c r="C9555" s="1">
        <f>(Tabela1[[#This Row],[x]]-H$3)*(Tabela1[[#This Row],[x]]-H$3) +(Tabela1[[#This Row],[y]]-H$4)*(Tabela1[[#This Row],[y]]-H$4)</f>
        <v>4498</v>
      </c>
      <c r="D9555" s="1">
        <f>IF(Tabela1[[#This Row],[promien]]&lt;40000,1,0)</f>
        <v>1</v>
      </c>
      <c r="E9555" s="1">
        <f>IF(Tabela1[[#This Row],[promien]]=40000,1,0)</f>
        <v>0</v>
      </c>
      <c r="F9555" s="1">
        <v>3.1338566195709054</v>
      </c>
      <c r="G9555" s="1">
        <v>7.7360340188876719E-3</v>
      </c>
    </row>
    <row r="9556" spans="1:7">
      <c r="A9556">
        <v>353</v>
      </c>
      <c r="B9556">
        <v>391</v>
      </c>
      <c r="C9556" s="1">
        <f>(Tabela1[[#This Row],[x]]-H$3)*(Tabela1[[#This Row],[x]]-H$3) +(Tabela1[[#This Row],[y]]-H$4)*(Tabela1[[#This Row],[y]]-H$4)</f>
        <v>59890</v>
      </c>
      <c r="D9556" s="1">
        <f>IF(Tabela1[[#This Row],[promien]]&lt;40000,1,0)</f>
        <v>0</v>
      </c>
      <c r="E9556" s="1">
        <f>IF(Tabela1[[#This Row],[promien]]=40000,1,0)</f>
        <v>0</v>
      </c>
      <c r="F9556" s="1">
        <v>3.1335286730849727</v>
      </c>
      <c r="G9556" s="1">
        <v>8.0639805048203783E-3</v>
      </c>
    </row>
    <row r="9557" spans="1:7">
      <c r="A9557">
        <v>135</v>
      </c>
      <c r="B9557">
        <v>13</v>
      </c>
      <c r="C9557" s="1">
        <f>(Tabela1[[#This Row],[x]]-H$3)*(Tabela1[[#This Row],[x]]-H$3) +(Tabela1[[#This Row],[y]]-H$4)*(Tabela1[[#This Row],[y]]-H$4)</f>
        <v>39194</v>
      </c>
      <c r="D9557" s="1">
        <f>IF(Tabela1[[#This Row],[promien]]&lt;40000,1,0)</f>
        <v>1</v>
      </c>
      <c r="E9557" s="1">
        <f>IF(Tabela1[[#This Row],[promien]]=40000,1,0)</f>
        <v>0</v>
      </c>
      <c r="F9557" s="1">
        <v>3.1336193366119076</v>
      </c>
      <c r="G9557" s="1">
        <v>7.9733169778855029E-3</v>
      </c>
    </row>
    <row r="9558" spans="1:7">
      <c r="A9558">
        <v>242</v>
      </c>
      <c r="B9558">
        <v>351</v>
      </c>
      <c r="C9558" s="1">
        <f>(Tabela1[[#This Row],[x]]-H$3)*(Tabela1[[#This Row],[x]]-H$3) +(Tabela1[[#This Row],[y]]-H$4)*(Tabela1[[#This Row],[y]]-H$4)</f>
        <v>24565</v>
      </c>
      <c r="D9558" s="1">
        <f>IF(Tabela1[[#This Row],[promien]]&lt;40000,1,0)</f>
        <v>1</v>
      </c>
      <c r="E9558" s="1">
        <f>IF(Tabela1[[#This Row],[promien]]=40000,1,0)</f>
        <v>0</v>
      </c>
      <c r="F9558" s="1">
        <v>3.1337099811676081</v>
      </c>
      <c r="G9558" s="1">
        <v>7.8826724221849886E-3</v>
      </c>
    </row>
    <row r="9559" spans="1:7">
      <c r="A9559">
        <v>329</v>
      </c>
      <c r="B9559">
        <v>369</v>
      </c>
      <c r="C9559" s="1">
        <f>(Tabela1[[#This Row],[x]]-H$3)*(Tabela1[[#This Row],[x]]-H$3) +(Tabela1[[#This Row],[y]]-H$4)*(Tabela1[[#This Row],[y]]-H$4)</f>
        <v>45202</v>
      </c>
      <c r="D9559" s="1">
        <f>IF(Tabela1[[#This Row],[promien]]&lt;40000,1,0)</f>
        <v>0</v>
      </c>
      <c r="E9559" s="1">
        <f>IF(Tabela1[[#This Row],[promien]]=40000,1,0)</f>
        <v>0</v>
      </c>
      <c r="F9559" s="1">
        <v>3.1333821529448689</v>
      </c>
      <c r="G9559" s="1">
        <v>8.2105006449242346E-3</v>
      </c>
    </row>
    <row r="9560" spans="1:7">
      <c r="A9560">
        <v>253</v>
      </c>
      <c r="B9560">
        <v>157</v>
      </c>
      <c r="C9560" s="1">
        <f>(Tabela1[[#This Row],[x]]-H$3)*(Tabela1[[#This Row],[x]]-H$3) +(Tabela1[[#This Row],[y]]-H$4)*(Tabela1[[#This Row],[y]]-H$4)</f>
        <v>4658</v>
      </c>
      <c r="D9560" s="1">
        <f>IF(Tabela1[[#This Row],[promien]]&lt;40000,1,0)</f>
        <v>1</v>
      </c>
      <c r="E9560" s="1">
        <f>IF(Tabela1[[#This Row],[promien]]=40000,1,0)</f>
        <v>0</v>
      </c>
      <c r="F9560" s="1">
        <v>3.1334728033472805</v>
      </c>
      <c r="G9560" s="1">
        <v>8.1198502425126051E-3</v>
      </c>
    </row>
    <row r="9561" spans="1:7">
      <c r="A9561">
        <v>347</v>
      </c>
      <c r="B9561">
        <v>154</v>
      </c>
      <c r="C9561" s="1">
        <f>(Tabela1[[#This Row],[x]]-H$3)*(Tabela1[[#This Row],[x]]-H$3) +(Tabela1[[#This Row],[y]]-H$4)*(Tabela1[[#This Row],[y]]-H$4)</f>
        <v>23725</v>
      </c>
      <c r="D9561" s="1">
        <f>IF(Tabela1[[#This Row],[promien]]&lt;40000,1,0)</f>
        <v>1</v>
      </c>
      <c r="E9561" s="1">
        <f>IF(Tabela1[[#This Row],[promien]]=40000,1,0)</f>
        <v>0</v>
      </c>
      <c r="F9561" s="1">
        <v>3.1335634347871562</v>
      </c>
      <c r="G9561" s="1">
        <v>8.0292188026369615E-3</v>
      </c>
    </row>
    <row r="9562" spans="1:7">
      <c r="A9562">
        <v>316</v>
      </c>
      <c r="B9562">
        <v>180</v>
      </c>
      <c r="C9562" s="1">
        <f>(Tabela1[[#This Row],[x]]-H$3)*(Tabela1[[#This Row],[x]]-H$3) +(Tabela1[[#This Row],[y]]-H$4)*(Tabela1[[#This Row],[y]]-H$4)</f>
        <v>13856</v>
      </c>
      <c r="D9562" s="1">
        <f>IF(Tabela1[[#This Row],[promien]]&lt;40000,1,0)</f>
        <v>1</v>
      </c>
      <c r="E9562" s="1">
        <f>IF(Tabela1[[#This Row],[promien]]=40000,1,0)</f>
        <v>0</v>
      </c>
      <c r="F9562" s="1">
        <v>3.1336540472704457</v>
      </c>
      <c r="G9562" s="1">
        <v>7.9386063193473966E-3</v>
      </c>
    </row>
    <row r="9563" spans="1:7">
      <c r="A9563">
        <v>261</v>
      </c>
      <c r="B9563">
        <v>157</v>
      </c>
      <c r="C9563" s="1">
        <f>(Tabela1[[#This Row],[x]]-H$3)*(Tabela1[[#This Row],[x]]-H$3) +(Tabela1[[#This Row],[y]]-H$4)*(Tabela1[[#This Row],[y]]-H$4)</f>
        <v>5570</v>
      </c>
      <c r="D9563" s="1">
        <f>IF(Tabela1[[#This Row],[promien]]&lt;40000,1,0)</f>
        <v>1</v>
      </c>
      <c r="E9563" s="1">
        <f>IF(Tabela1[[#This Row],[promien]]=40000,1,0)</f>
        <v>0</v>
      </c>
      <c r="F9563" s="1">
        <v>3.1337446408030951</v>
      </c>
      <c r="G9563" s="1">
        <v>7.8480127866979998E-3</v>
      </c>
    </row>
    <row r="9564" spans="1:7">
      <c r="A9564">
        <v>322</v>
      </c>
      <c r="B9564">
        <v>245</v>
      </c>
      <c r="C9564" s="1">
        <f>(Tabela1[[#This Row],[x]]-H$3)*(Tabela1[[#This Row],[x]]-H$3) +(Tabela1[[#This Row],[y]]-H$4)*(Tabela1[[#This Row],[y]]-H$4)</f>
        <v>16909</v>
      </c>
      <c r="D9564" s="1">
        <f>IF(Tabela1[[#This Row],[promien]]&lt;40000,1,0)</f>
        <v>1</v>
      </c>
      <c r="E9564" s="1">
        <f>IF(Tabela1[[#This Row],[promien]]=40000,1,0)</f>
        <v>0</v>
      </c>
      <c r="F9564" s="1">
        <v>3.1338352153910498</v>
      </c>
      <c r="G9564" s="1">
        <v>7.757438198743305E-3</v>
      </c>
    </row>
    <row r="9565" spans="1:7">
      <c r="A9565">
        <v>359</v>
      </c>
      <c r="B9565">
        <v>95</v>
      </c>
      <c r="C9565" s="1">
        <f>(Tabela1[[#This Row],[x]]-H$3)*(Tabela1[[#This Row],[x]]-H$3) +(Tabela1[[#This Row],[y]]-H$4)*(Tabela1[[#This Row],[y]]-H$4)</f>
        <v>36306</v>
      </c>
      <c r="D9565" s="1">
        <f>IF(Tabela1[[#This Row],[promien]]&lt;40000,1,0)</f>
        <v>1</v>
      </c>
      <c r="E9565" s="1">
        <f>IF(Tabela1[[#This Row],[promien]]=40000,1,0)</f>
        <v>0</v>
      </c>
      <c r="F9565" s="1">
        <v>3.1339257710402508</v>
      </c>
      <c r="G9565" s="1">
        <v>7.6668825495422865E-3</v>
      </c>
    </row>
    <row r="9566" spans="1:7">
      <c r="A9566">
        <v>340</v>
      </c>
      <c r="B9566">
        <v>368</v>
      </c>
      <c r="C9566" s="1">
        <f>(Tabela1[[#This Row],[x]]-H$3)*(Tabela1[[#This Row],[x]]-H$3) +(Tabela1[[#This Row],[y]]-H$4)*(Tabela1[[#This Row],[y]]-H$4)</f>
        <v>47824</v>
      </c>
      <c r="D9566" s="1">
        <f>IF(Tabela1[[#This Row],[promien]]&lt;40000,1,0)</f>
        <v>0</v>
      </c>
      <c r="E9566" s="1">
        <f>IF(Tabela1[[#This Row],[promien]]=40000,1,0)</f>
        <v>0</v>
      </c>
      <c r="F9566" s="1">
        <v>3.1335981601505329</v>
      </c>
      <c r="G9566" s="1">
        <v>7.9944934392601752E-3</v>
      </c>
    </row>
    <row r="9567" spans="1:7">
      <c r="A9567">
        <v>284</v>
      </c>
      <c r="B9567">
        <v>348</v>
      </c>
      <c r="C9567" s="1">
        <f>(Tabela1[[#This Row],[x]]-H$3)*(Tabela1[[#This Row],[x]]-H$3) +(Tabela1[[#This Row],[y]]-H$4)*(Tabela1[[#This Row],[y]]-H$4)</f>
        <v>28960</v>
      </c>
      <c r="D9567" s="1">
        <f>IF(Tabela1[[#This Row],[promien]]&lt;40000,1,0)</f>
        <v>1</v>
      </c>
      <c r="E9567" s="1">
        <f>IF(Tabela1[[#This Row],[promien]]=40000,1,0)</f>
        <v>0</v>
      </c>
      <c r="F9567" s="1">
        <v>3.1336887216473293</v>
      </c>
      <c r="G9567" s="1">
        <v>7.9039319424638599E-3</v>
      </c>
    </row>
    <row r="9568" spans="1:7">
      <c r="A9568">
        <v>132</v>
      </c>
      <c r="B9568">
        <v>360</v>
      </c>
      <c r="C9568" s="1">
        <f>(Tabela1[[#This Row],[x]]-H$3)*(Tabela1[[#This Row],[x]]-H$3) +(Tabela1[[#This Row],[y]]-H$4)*(Tabela1[[#This Row],[y]]-H$4)</f>
        <v>30224</v>
      </c>
      <c r="D9568" s="1">
        <f>IF(Tabela1[[#This Row],[promien]]&lt;40000,1,0)</f>
        <v>1</v>
      </c>
      <c r="E9568" s="1">
        <f>IF(Tabela1[[#This Row],[promien]]=40000,1,0)</f>
        <v>0</v>
      </c>
      <c r="F9568" s="1">
        <v>3.1337792642140467</v>
      </c>
      <c r="G9568" s="1">
        <v>7.8133893757463824E-3</v>
      </c>
    </row>
    <row r="9569" spans="1:7">
      <c r="A9569">
        <v>341</v>
      </c>
      <c r="B9569">
        <v>169</v>
      </c>
      <c r="C9569" s="1">
        <f>(Tabela1[[#This Row],[x]]-H$3)*(Tabela1[[#This Row],[x]]-H$3) +(Tabela1[[#This Row],[y]]-H$4)*(Tabela1[[#This Row],[y]]-H$4)</f>
        <v>20842</v>
      </c>
      <c r="D9569" s="1">
        <f>IF(Tabela1[[#This Row],[promien]]&lt;40000,1,0)</f>
        <v>1</v>
      </c>
      <c r="E9569" s="1">
        <f>IF(Tabela1[[#This Row],[promien]]=40000,1,0)</f>
        <v>0</v>
      </c>
      <c r="F9569" s="1">
        <v>3.1338697878566202</v>
      </c>
      <c r="G9569" s="1">
        <v>7.7228657331729345E-3</v>
      </c>
    </row>
    <row r="9570" spans="1:7">
      <c r="A9570">
        <v>69</v>
      </c>
      <c r="B9570">
        <v>253</v>
      </c>
      <c r="C9570" s="1">
        <f>(Tabela1[[#This Row],[x]]-H$3)*(Tabela1[[#This Row],[x]]-H$3) +(Tabela1[[#This Row],[y]]-H$4)*(Tabela1[[#This Row],[y]]-H$4)</f>
        <v>19970</v>
      </c>
      <c r="D9570" s="1">
        <f>IF(Tabela1[[#This Row],[promien]]&lt;40000,1,0)</f>
        <v>1</v>
      </c>
      <c r="E9570" s="1">
        <f>IF(Tabela1[[#This Row],[promien]]=40000,1,0)</f>
        <v>0</v>
      </c>
      <c r="F9570" s="1">
        <v>3.1339602925809822</v>
      </c>
      <c r="G9570" s="1">
        <v>7.6323610088109284E-3</v>
      </c>
    </row>
    <row r="9571" spans="1:7">
      <c r="A9571">
        <v>168</v>
      </c>
      <c r="B9571">
        <v>250</v>
      </c>
      <c r="C9571" s="1">
        <f>(Tabela1[[#This Row],[x]]-H$3)*(Tabela1[[#This Row],[x]]-H$3) +(Tabela1[[#This Row],[y]]-H$4)*(Tabela1[[#This Row],[y]]-H$4)</f>
        <v>3524</v>
      </c>
      <c r="D9571" s="1">
        <f>IF(Tabela1[[#This Row],[promien]]&lt;40000,1,0)</f>
        <v>1</v>
      </c>
      <c r="E9571" s="1">
        <f>IF(Tabela1[[#This Row],[promien]]=40000,1,0)</f>
        <v>0</v>
      </c>
      <c r="F9571" s="1">
        <v>3.1340507783930622</v>
      </c>
      <c r="G9571" s="1">
        <v>7.541875196730885E-3</v>
      </c>
    </row>
    <row r="9572" spans="1:7">
      <c r="A9572">
        <v>118</v>
      </c>
      <c r="B9572">
        <v>344</v>
      </c>
      <c r="C9572" s="1">
        <f>(Tabela1[[#This Row],[x]]-H$3)*(Tabela1[[#This Row],[x]]-H$3) +(Tabela1[[#This Row],[y]]-H$4)*(Tabela1[[#This Row],[y]]-H$4)</f>
        <v>27460</v>
      </c>
      <c r="D9572" s="1">
        <f>IF(Tabela1[[#This Row],[promien]]&lt;40000,1,0)</f>
        <v>1</v>
      </c>
      <c r="E9572" s="1">
        <f>IF(Tabela1[[#This Row],[promien]]=40000,1,0)</f>
        <v>0</v>
      </c>
      <c r="F9572" s="1">
        <v>3.134141245298788</v>
      </c>
      <c r="G9572" s="1">
        <v>7.4514082910051016E-3</v>
      </c>
    </row>
    <row r="9573" spans="1:7">
      <c r="A9573">
        <v>212</v>
      </c>
      <c r="B9573">
        <v>259</v>
      </c>
      <c r="C9573" s="1">
        <f>(Tabela1[[#This Row],[x]]-H$3)*(Tabela1[[#This Row],[x]]-H$3) +(Tabela1[[#This Row],[y]]-H$4)*(Tabela1[[#This Row],[y]]-H$4)</f>
        <v>3625</v>
      </c>
      <c r="D9573" s="1">
        <f>IF(Tabela1[[#This Row],[promien]]&lt;40000,1,0)</f>
        <v>1</v>
      </c>
      <c r="E9573" s="1">
        <f>IF(Tabela1[[#This Row],[promien]]=40000,1,0)</f>
        <v>0</v>
      </c>
      <c r="F9573" s="1">
        <v>3.1342316933040846</v>
      </c>
      <c r="G9573" s="1">
        <v>7.3609602857085399E-3</v>
      </c>
    </row>
    <row r="9574" spans="1:7">
      <c r="A9574">
        <v>395</v>
      </c>
      <c r="B9574">
        <v>217</v>
      </c>
      <c r="C9574" s="1">
        <f>(Tabela1[[#This Row],[x]]-H$3)*(Tabela1[[#This Row],[x]]-H$3) +(Tabela1[[#This Row],[y]]-H$4)*(Tabela1[[#This Row],[y]]-H$4)</f>
        <v>38314</v>
      </c>
      <c r="D9574" s="1">
        <f>IF(Tabela1[[#This Row],[promien]]&lt;40000,1,0)</f>
        <v>1</v>
      </c>
      <c r="E9574" s="1">
        <f>IF(Tabela1[[#This Row],[promien]]=40000,1,0)</f>
        <v>0</v>
      </c>
      <c r="F9574" s="1">
        <v>3.1343221224148734</v>
      </c>
      <c r="G9574" s="1">
        <v>7.2705311749197143E-3</v>
      </c>
    </row>
    <row r="9575" spans="1:7">
      <c r="A9575">
        <v>196</v>
      </c>
      <c r="B9575">
        <v>170</v>
      </c>
      <c r="C9575" s="1">
        <f>(Tabela1[[#This Row],[x]]-H$3)*(Tabela1[[#This Row],[x]]-H$3) +(Tabela1[[#This Row],[y]]-H$4)*(Tabela1[[#This Row],[y]]-H$4)</f>
        <v>916</v>
      </c>
      <c r="D9575" s="1">
        <f>IF(Tabela1[[#This Row],[promien]]&lt;40000,1,0)</f>
        <v>1</v>
      </c>
      <c r="E9575" s="1">
        <f>IF(Tabela1[[#This Row],[promien]]=40000,1,0)</f>
        <v>0</v>
      </c>
      <c r="F9575" s="1">
        <v>3.1344125326370755</v>
      </c>
      <c r="G9575" s="1">
        <v>7.1801209527175835E-3</v>
      </c>
    </row>
    <row r="9576" spans="1:7">
      <c r="A9576">
        <v>330</v>
      </c>
      <c r="B9576">
        <v>70</v>
      </c>
      <c r="C9576" s="1">
        <f>(Tabela1[[#This Row],[x]]-H$3)*(Tabela1[[#This Row],[x]]-H$3) +(Tabela1[[#This Row],[y]]-H$4)*(Tabela1[[#This Row],[y]]-H$4)</f>
        <v>33800</v>
      </c>
      <c r="D9576" s="1">
        <f>IF(Tabela1[[#This Row],[promien]]&lt;40000,1,0)</f>
        <v>1</v>
      </c>
      <c r="E9576" s="1">
        <f>IF(Tabela1[[#This Row],[promien]]=40000,1,0)</f>
        <v>0</v>
      </c>
      <c r="F9576" s="1">
        <v>3.134502923976608</v>
      </c>
      <c r="G9576" s="1">
        <v>7.0897296131851029E-3</v>
      </c>
    </row>
    <row r="9577" spans="1:7">
      <c r="A9577">
        <v>214</v>
      </c>
      <c r="B9577">
        <v>33</v>
      </c>
      <c r="C9577" s="1">
        <f>(Tabela1[[#This Row],[x]]-H$3)*(Tabela1[[#This Row],[x]]-H$3) +(Tabela1[[#This Row],[y]]-H$4)*(Tabela1[[#This Row],[y]]-H$4)</f>
        <v>28085</v>
      </c>
      <c r="D9577" s="1">
        <f>IF(Tabela1[[#This Row],[promien]]&lt;40000,1,0)</f>
        <v>1</v>
      </c>
      <c r="E9577" s="1">
        <f>IF(Tabela1[[#This Row],[promien]]=40000,1,0)</f>
        <v>0</v>
      </c>
      <c r="F9577" s="1">
        <v>3.1345932964393861</v>
      </c>
      <c r="G9577" s="1">
        <v>6.999357150407004E-3</v>
      </c>
    </row>
    <row r="9578" spans="1:7">
      <c r="A9578">
        <v>114</v>
      </c>
      <c r="B9578">
        <v>313</v>
      </c>
      <c r="C9578" s="1">
        <f>(Tabela1[[#This Row],[x]]-H$3)*(Tabela1[[#This Row],[x]]-H$3) +(Tabela1[[#This Row],[y]]-H$4)*(Tabela1[[#This Row],[y]]-H$4)</f>
        <v>20165</v>
      </c>
      <c r="D9578" s="1">
        <f>IF(Tabela1[[#This Row],[promien]]&lt;40000,1,0)</f>
        <v>1</v>
      </c>
      <c r="E9578" s="1">
        <f>IF(Tabela1[[#This Row],[promien]]=40000,1,0)</f>
        <v>0</v>
      </c>
      <c r="F9578" s="1">
        <v>3.134683650031322</v>
      </c>
      <c r="G9578" s="1">
        <v>6.9090035584711273E-3</v>
      </c>
    </row>
    <row r="9579" spans="1:7">
      <c r="A9579">
        <v>386</v>
      </c>
      <c r="B9579">
        <v>178</v>
      </c>
      <c r="C9579" s="1">
        <f>(Tabela1[[#This Row],[x]]-H$3)*(Tabela1[[#This Row],[x]]-H$3) +(Tabela1[[#This Row],[y]]-H$4)*(Tabela1[[#This Row],[y]]-H$4)</f>
        <v>35080</v>
      </c>
      <c r="D9579" s="1">
        <f>IF(Tabela1[[#This Row],[promien]]&lt;40000,1,0)</f>
        <v>1</v>
      </c>
      <c r="E9579" s="1">
        <f>IF(Tabela1[[#This Row],[promien]]=40000,1,0)</f>
        <v>0</v>
      </c>
      <c r="F9579" s="1">
        <v>3.1347739847583256</v>
      </c>
      <c r="G9579" s="1">
        <v>6.8186688314675337E-3</v>
      </c>
    </row>
    <row r="9580" spans="1:7">
      <c r="A9580">
        <v>163</v>
      </c>
      <c r="B9580">
        <v>210</v>
      </c>
      <c r="C9580" s="1">
        <f>(Tabela1[[#This Row],[x]]-H$3)*(Tabela1[[#This Row],[x]]-H$3) +(Tabela1[[#This Row],[y]]-H$4)*(Tabela1[[#This Row],[y]]-H$4)</f>
        <v>1469</v>
      </c>
      <c r="D9580" s="1">
        <f>IF(Tabela1[[#This Row],[promien]]&lt;40000,1,0)</f>
        <v>1</v>
      </c>
      <c r="E9580" s="1">
        <f>IF(Tabela1[[#This Row],[promien]]=40000,1,0)</f>
        <v>0</v>
      </c>
      <c r="F9580" s="1">
        <v>3.1348643006263046</v>
      </c>
      <c r="G9580" s="1">
        <v>6.7283529634885042E-3</v>
      </c>
    </row>
    <row r="9581" spans="1:7">
      <c r="A9581">
        <v>380</v>
      </c>
      <c r="B9581">
        <v>184</v>
      </c>
      <c r="C9581" s="1">
        <f>(Tabela1[[#This Row],[x]]-H$3)*(Tabela1[[#This Row],[x]]-H$3) +(Tabela1[[#This Row],[y]]-H$4)*(Tabela1[[#This Row],[y]]-H$4)</f>
        <v>32656</v>
      </c>
      <c r="D9581" s="1">
        <f>IF(Tabela1[[#This Row],[promien]]&lt;40000,1,0)</f>
        <v>1</v>
      </c>
      <c r="E9581" s="1">
        <f>IF(Tabela1[[#This Row],[promien]]=40000,1,0)</f>
        <v>0</v>
      </c>
      <c r="F9581" s="1">
        <v>3.134954597641165</v>
      </c>
      <c r="G9581" s="1">
        <v>6.6380559486280966E-3</v>
      </c>
    </row>
    <row r="9582" spans="1:7">
      <c r="A9582">
        <v>208</v>
      </c>
      <c r="B9582">
        <v>257</v>
      </c>
      <c r="C9582" s="1">
        <f>(Tabela1[[#This Row],[x]]-H$3)*(Tabela1[[#This Row],[x]]-H$3) +(Tabela1[[#This Row],[y]]-H$4)*(Tabela1[[#This Row],[y]]-H$4)</f>
        <v>3313</v>
      </c>
      <c r="D9582" s="1">
        <f>IF(Tabela1[[#This Row],[promien]]&lt;40000,1,0)</f>
        <v>1</v>
      </c>
      <c r="E9582" s="1">
        <f>IF(Tabela1[[#This Row],[promien]]=40000,1,0)</f>
        <v>0</v>
      </c>
      <c r="F9582" s="1">
        <v>3.1350448758088083</v>
      </c>
      <c r="G9582" s="1">
        <v>6.5477777809848092E-3</v>
      </c>
    </row>
    <row r="9583" spans="1:7">
      <c r="A9583">
        <v>370</v>
      </c>
      <c r="B9583">
        <v>26</v>
      </c>
      <c r="C9583" s="1">
        <f>(Tabela1[[#This Row],[x]]-H$3)*(Tabela1[[#This Row],[x]]-H$3) +(Tabela1[[#This Row],[y]]-H$4)*(Tabela1[[#This Row],[y]]-H$4)</f>
        <v>59176</v>
      </c>
      <c r="D9583" s="1">
        <f>IF(Tabela1[[#This Row],[promien]]&lt;40000,1,0)</f>
        <v>0</v>
      </c>
      <c r="E9583" s="1">
        <f>IF(Tabela1[[#This Row],[promien]]=40000,1,0)</f>
        <v>0</v>
      </c>
      <c r="F9583" s="1">
        <v>3.1347177293123241</v>
      </c>
      <c r="G9583" s="1">
        <v>6.8749242774690522E-3</v>
      </c>
    </row>
    <row r="9584" spans="1:7">
      <c r="A9584">
        <v>169</v>
      </c>
      <c r="B9584">
        <v>248</v>
      </c>
      <c r="C9584" s="1">
        <f>(Tabela1[[#This Row],[x]]-H$3)*(Tabela1[[#This Row],[x]]-H$3) +(Tabela1[[#This Row],[y]]-H$4)*(Tabela1[[#This Row],[y]]-H$4)</f>
        <v>3265</v>
      </c>
      <c r="D9584" s="1">
        <f>IF(Tabela1[[#This Row],[promien]]&lt;40000,1,0)</f>
        <v>1</v>
      </c>
      <c r="E9584" s="1">
        <f>IF(Tabela1[[#This Row],[promien]]=40000,1,0)</f>
        <v>0</v>
      </c>
      <c r="F9584" s="1">
        <v>3.1348080133555927</v>
      </c>
      <c r="G9584" s="1">
        <v>6.7846402342004453E-3</v>
      </c>
    </row>
    <row r="9585" spans="1:7">
      <c r="A9585">
        <v>103</v>
      </c>
      <c r="B9585">
        <v>176</v>
      </c>
      <c r="C9585" s="1">
        <f>(Tabela1[[#This Row],[x]]-H$3)*(Tabela1[[#This Row],[x]]-H$3) +(Tabela1[[#This Row],[y]]-H$4)*(Tabela1[[#This Row],[y]]-H$4)</f>
        <v>9985</v>
      </c>
      <c r="D9585" s="1">
        <f>IF(Tabela1[[#This Row],[promien]]&lt;40000,1,0)</f>
        <v>1</v>
      </c>
      <c r="E9585" s="1">
        <f>IF(Tabela1[[#This Row],[promien]]=40000,1,0)</f>
        <v>0</v>
      </c>
      <c r="F9585" s="1">
        <v>3.1348982785602506</v>
      </c>
      <c r="G9585" s="1">
        <v>6.6943750295425097E-3</v>
      </c>
    </row>
    <row r="9586" spans="1:7">
      <c r="A9586">
        <v>255</v>
      </c>
      <c r="B9586">
        <v>178</v>
      </c>
      <c r="C9586" s="1">
        <f>(Tabela1[[#This Row],[x]]-H$3)*(Tabela1[[#This Row],[x]]-H$3) +(Tabela1[[#This Row],[y]]-H$4)*(Tabela1[[#This Row],[y]]-H$4)</f>
        <v>3509</v>
      </c>
      <c r="D9586" s="1">
        <f>IF(Tabela1[[#This Row],[promien]]&lt;40000,1,0)</f>
        <v>1</v>
      </c>
      <c r="E9586" s="1">
        <f>IF(Tabela1[[#This Row],[promien]]=40000,1,0)</f>
        <v>0</v>
      </c>
      <c r="F9586" s="1">
        <v>3.1349885249321927</v>
      </c>
      <c r="G9586" s="1">
        <v>6.6041286576004055E-3</v>
      </c>
    </row>
    <row r="9587" spans="1:7">
      <c r="A9587">
        <v>337</v>
      </c>
      <c r="B9587">
        <v>278</v>
      </c>
      <c r="C9587" s="1">
        <f>(Tabela1[[#This Row],[x]]-H$3)*(Tabela1[[#This Row],[x]]-H$3) +(Tabela1[[#This Row],[y]]-H$4)*(Tabela1[[#This Row],[y]]-H$4)</f>
        <v>24853</v>
      </c>
      <c r="D9587" s="1">
        <f>IF(Tabela1[[#This Row],[promien]]&lt;40000,1,0)</f>
        <v>1</v>
      </c>
      <c r="E9587" s="1">
        <f>IF(Tabela1[[#This Row],[promien]]=40000,1,0)</f>
        <v>0</v>
      </c>
      <c r="F9587" s="1">
        <v>3.1350787524773129</v>
      </c>
      <c r="G9587" s="1">
        <v>6.5139011124801804E-3</v>
      </c>
    </row>
    <row r="9588" spans="1:7">
      <c r="A9588">
        <v>304</v>
      </c>
      <c r="B9588">
        <v>107</v>
      </c>
      <c r="C9588" s="1">
        <f>(Tabela1[[#This Row],[x]]-H$3)*(Tabela1[[#This Row],[x]]-H$3) +(Tabela1[[#This Row],[y]]-H$4)*(Tabela1[[#This Row],[y]]-H$4)</f>
        <v>19465</v>
      </c>
      <c r="D9588" s="1">
        <f>IF(Tabela1[[#This Row],[promien]]&lt;40000,1,0)</f>
        <v>1</v>
      </c>
      <c r="E9588" s="1">
        <f>IF(Tabela1[[#This Row],[promien]]=40000,1,0)</f>
        <v>0</v>
      </c>
      <c r="F9588" s="1">
        <v>3.1351689612015017</v>
      </c>
      <c r="G9588" s="1">
        <v>6.4236923882914354E-3</v>
      </c>
    </row>
    <row r="9589" spans="1:7">
      <c r="A9589">
        <v>370</v>
      </c>
      <c r="B9589">
        <v>183</v>
      </c>
      <c r="C9589" s="1">
        <f>(Tabela1[[#This Row],[x]]-H$3)*(Tabela1[[#This Row],[x]]-H$3) +(Tabela1[[#This Row],[y]]-H$4)*(Tabela1[[#This Row],[y]]-H$4)</f>
        <v>29189</v>
      </c>
      <c r="D9589" s="1">
        <f>IF(Tabela1[[#This Row],[promien]]&lt;40000,1,0)</f>
        <v>1</v>
      </c>
      <c r="E9589" s="1">
        <f>IF(Tabela1[[#This Row],[promien]]=40000,1,0)</f>
        <v>0</v>
      </c>
      <c r="F9589" s="1">
        <v>3.1352591511106476</v>
      </c>
      <c r="G9589" s="1">
        <v>6.3335024791455474E-3</v>
      </c>
    </row>
    <row r="9590" spans="1:7">
      <c r="A9590">
        <v>226</v>
      </c>
      <c r="B9590">
        <v>197</v>
      </c>
      <c r="C9590" s="1">
        <f>(Tabela1[[#This Row],[x]]-H$3)*(Tabela1[[#This Row],[x]]-H$3) +(Tabela1[[#This Row],[y]]-H$4)*(Tabela1[[#This Row],[y]]-H$4)</f>
        <v>685</v>
      </c>
      <c r="D9590" s="1">
        <f>IF(Tabela1[[#This Row],[promien]]&lt;40000,1,0)</f>
        <v>1</v>
      </c>
      <c r="E9590" s="1">
        <f>IF(Tabela1[[#This Row],[promien]]=40000,1,0)</f>
        <v>0</v>
      </c>
      <c r="F9590" s="1">
        <v>3.1353493222106361</v>
      </c>
      <c r="G9590" s="1">
        <v>6.2433313791570022E-3</v>
      </c>
    </row>
    <row r="9591" spans="1:7">
      <c r="A9591">
        <v>167</v>
      </c>
      <c r="B9591">
        <v>297</v>
      </c>
      <c r="C9591" s="1">
        <f>(Tabela1[[#This Row],[x]]-H$3)*(Tabela1[[#This Row],[x]]-H$3) +(Tabela1[[#This Row],[y]]-H$4)*(Tabela1[[#This Row],[y]]-H$4)</f>
        <v>10498</v>
      </c>
      <c r="D9591" s="1">
        <f>IF(Tabela1[[#This Row],[promien]]&lt;40000,1,0)</f>
        <v>1</v>
      </c>
      <c r="E9591" s="1">
        <f>IF(Tabela1[[#This Row],[promien]]=40000,1,0)</f>
        <v>0</v>
      </c>
      <c r="F9591" s="1">
        <v>3.1354394745073506</v>
      </c>
      <c r="G9591" s="1">
        <v>6.1531790824425059E-3</v>
      </c>
    </row>
    <row r="9592" spans="1:7">
      <c r="A9592">
        <v>296</v>
      </c>
      <c r="B9592">
        <v>148</v>
      </c>
      <c r="C9592" s="1">
        <f>(Tabela1[[#This Row],[x]]-H$3)*(Tabela1[[#This Row],[x]]-H$3) +(Tabela1[[#This Row],[y]]-H$4)*(Tabela1[[#This Row],[y]]-H$4)</f>
        <v>11920</v>
      </c>
      <c r="D9592" s="1">
        <f>IF(Tabela1[[#This Row],[promien]]&lt;40000,1,0)</f>
        <v>1</v>
      </c>
      <c r="E9592" s="1">
        <f>IF(Tabela1[[#This Row],[promien]]=40000,1,0)</f>
        <v>0</v>
      </c>
      <c r="F9592" s="1">
        <v>3.1355296080066721</v>
      </c>
      <c r="G9592" s="1">
        <v>6.0630455831209851E-3</v>
      </c>
    </row>
    <row r="9593" spans="1:7">
      <c r="A9593">
        <v>88</v>
      </c>
      <c r="B9593">
        <v>23</v>
      </c>
      <c r="C9593" s="1">
        <f>(Tabela1[[#This Row],[x]]-H$3)*(Tabela1[[#This Row],[x]]-H$3) +(Tabela1[[#This Row],[y]]-H$4)*(Tabela1[[#This Row],[y]]-H$4)</f>
        <v>43873</v>
      </c>
      <c r="D9593" s="1">
        <f>IF(Tabela1[[#This Row],[promien]]&lt;40000,1,0)</f>
        <v>0</v>
      </c>
      <c r="E9593" s="1">
        <f>IF(Tabela1[[#This Row],[promien]]=40000,1,0)</f>
        <v>0</v>
      </c>
      <c r="F9593" s="1">
        <v>3.1352027520066716</v>
      </c>
      <c r="G9593" s="1">
        <v>6.3899015831214712E-3</v>
      </c>
    </row>
    <row r="9594" spans="1:7">
      <c r="A9594">
        <v>4</v>
      </c>
      <c r="B9594">
        <v>197</v>
      </c>
      <c r="C9594" s="1">
        <f>(Tabela1[[#This Row],[x]]-H$3)*(Tabela1[[#This Row],[x]]-H$3) +(Tabela1[[#This Row],[y]]-H$4)*(Tabela1[[#This Row],[y]]-H$4)</f>
        <v>38425</v>
      </c>
      <c r="D9594" s="1">
        <f>IF(Tabela1[[#This Row],[promien]]&lt;40000,1,0)</f>
        <v>1</v>
      </c>
      <c r="E9594" s="1">
        <f>IF(Tabela1[[#This Row],[promien]]=40000,1,0)</f>
        <v>0</v>
      </c>
      <c r="F9594" s="1">
        <v>3.1352928913904523</v>
      </c>
      <c r="G9594" s="1">
        <v>6.2997621993408082E-3</v>
      </c>
    </row>
    <row r="9595" spans="1:7">
      <c r="A9595">
        <v>330</v>
      </c>
      <c r="B9595">
        <v>203</v>
      </c>
      <c r="C9595" s="1">
        <f>(Tabela1[[#This Row],[x]]-H$3)*(Tabela1[[#This Row],[x]]-H$3) +(Tabela1[[#This Row],[y]]-H$4)*(Tabela1[[#This Row],[y]]-H$4)</f>
        <v>16909</v>
      </c>
      <c r="D9595" s="1">
        <f>IF(Tabela1[[#This Row],[promien]]&lt;40000,1,0)</f>
        <v>1</v>
      </c>
      <c r="E9595" s="1">
        <f>IF(Tabela1[[#This Row],[promien]]=40000,1,0)</f>
        <v>0</v>
      </c>
      <c r="F9595" s="1">
        <v>3.1353830119854091</v>
      </c>
      <c r="G9595" s="1">
        <v>6.2096416043839753E-3</v>
      </c>
    </row>
    <row r="9596" spans="1:7">
      <c r="A9596">
        <v>122</v>
      </c>
      <c r="B9596">
        <v>366</v>
      </c>
      <c r="C9596" s="1">
        <f>(Tabela1[[#This Row],[x]]-H$3)*(Tabela1[[#This Row],[x]]-H$3) +(Tabela1[[#This Row],[y]]-H$4)*(Tabela1[[#This Row],[y]]-H$4)</f>
        <v>33640</v>
      </c>
      <c r="D9596" s="1">
        <f>IF(Tabela1[[#This Row],[promien]]&lt;40000,1,0)</f>
        <v>1</v>
      </c>
      <c r="E9596" s="1">
        <f>IF(Tabela1[[#This Row],[promien]]=40000,1,0)</f>
        <v>0</v>
      </c>
      <c r="F9596" s="1">
        <v>3.1354731137974157</v>
      </c>
      <c r="G9596" s="1">
        <v>6.1195397923774486E-3</v>
      </c>
    </row>
    <row r="9597" spans="1:7">
      <c r="A9597">
        <v>109</v>
      </c>
      <c r="B9597">
        <v>40</v>
      </c>
      <c r="C9597" s="1">
        <f>(Tabela1[[#This Row],[x]]-H$3)*(Tabela1[[#This Row],[x]]-H$3) +(Tabela1[[#This Row],[y]]-H$4)*(Tabela1[[#This Row],[y]]-H$4)</f>
        <v>33881</v>
      </c>
      <c r="D9597" s="1">
        <f>IF(Tabela1[[#This Row],[promien]]&lt;40000,1,0)</f>
        <v>1</v>
      </c>
      <c r="E9597" s="1">
        <f>IF(Tabela1[[#This Row],[promien]]=40000,1,0)</f>
        <v>0</v>
      </c>
      <c r="F9597" s="1">
        <v>3.1355631968323436</v>
      </c>
      <c r="G9597" s="1">
        <v>6.0294567574494806E-3</v>
      </c>
    </row>
    <row r="9598" spans="1:7">
      <c r="A9598">
        <v>58</v>
      </c>
      <c r="B9598">
        <v>223</v>
      </c>
      <c r="C9598" s="1">
        <f>(Tabela1[[#This Row],[x]]-H$3)*(Tabela1[[#This Row],[x]]-H$3) +(Tabela1[[#This Row],[y]]-H$4)*(Tabela1[[#This Row],[y]]-H$4)</f>
        <v>20693</v>
      </c>
      <c r="D9598" s="1">
        <f>IF(Tabela1[[#This Row],[promien]]&lt;40000,1,0)</f>
        <v>1</v>
      </c>
      <c r="E9598" s="1">
        <f>IF(Tabela1[[#This Row],[promien]]=40000,1,0)</f>
        <v>0</v>
      </c>
      <c r="F9598" s="1">
        <v>3.1356532610960617</v>
      </c>
      <c r="G9598" s="1">
        <v>5.9393924937314324E-3</v>
      </c>
    </row>
    <row r="9599" spans="1:7">
      <c r="A9599">
        <v>140</v>
      </c>
      <c r="B9599">
        <v>103</v>
      </c>
      <c r="C9599" s="1">
        <f>(Tabela1[[#This Row],[x]]-H$3)*(Tabela1[[#This Row],[x]]-H$3) +(Tabela1[[#This Row],[y]]-H$4)*(Tabela1[[#This Row],[y]]-H$4)</f>
        <v>13009</v>
      </c>
      <c r="D9599" s="1">
        <f>IF(Tabela1[[#This Row],[promien]]&lt;40000,1,0)</f>
        <v>1</v>
      </c>
      <c r="E9599" s="1">
        <f>IF(Tabela1[[#This Row],[promien]]=40000,1,0)</f>
        <v>0</v>
      </c>
      <c r="F9599" s="1">
        <v>3.1357433065944371</v>
      </c>
      <c r="G9599" s="1">
        <v>5.8493469953559973E-3</v>
      </c>
    </row>
    <row r="9600" spans="1:7">
      <c r="A9600">
        <v>118</v>
      </c>
      <c r="B9600">
        <v>126</v>
      </c>
      <c r="C9600" s="1">
        <f>(Tabela1[[#This Row],[x]]-H$3)*(Tabela1[[#This Row],[x]]-H$3) +(Tabela1[[#This Row],[y]]-H$4)*(Tabela1[[#This Row],[y]]-H$4)</f>
        <v>12200</v>
      </c>
      <c r="D9600" s="1">
        <f>IF(Tabela1[[#This Row],[promien]]&lt;40000,1,0)</f>
        <v>1</v>
      </c>
      <c r="E9600" s="1">
        <f>IF(Tabela1[[#This Row],[promien]]=40000,1,0)</f>
        <v>0</v>
      </c>
      <c r="F9600" s="1">
        <v>3.1358333333333333</v>
      </c>
      <c r="G9600" s="1">
        <v>5.7593202564598656E-3</v>
      </c>
    </row>
    <row r="9601" spans="1:7">
      <c r="A9601">
        <v>75</v>
      </c>
      <c r="B9601">
        <v>71</v>
      </c>
      <c r="C9601" s="1">
        <f>(Tabela1[[#This Row],[x]]-H$3)*(Tabela1[[#This Row],[x]]-H$3) +(Tabela1[[#This Row],[y]]-H$4)*(Tabela1[[#This Row],[y]]-H$4)</f>
        <v>32266</v>
      </c>
      <c r="D9601" s="1">
        <f>IF(Tabela1[[#This Row],[promien]]&lt;40000,1,0)</f>
        <v>1</v>
      </c>
      <c r="E9601" s="1">
        <f>IF(Tabela1[[#This Row],[promien]]=40000,1,0)</f>
        <v>0</v>
      </c>
      <c r="F9601" s="1">
        <v>3.1359233413186125</v>
      </c>
      <c r="G9601" s="1">
        <v>5.6693122711806154E-3</v>
      </c>
    </row>
    <row r="9602" spans="1:7">
      <c r="A9602">
        <v>48</v>
      </c>
      <c r="B9602">
        <v>17</v>
      </c>
      <c r="C9602" s="1">
        <f>(Tabela1[[#This Row],[x]]-H$3)*(Tabela1[[#This Row],[x]]-H$3) +(Tabela1[[#This Row],[y]]-H$4)*(Tabela1[[#This Row],[y]]-H$4)</f>
        <v>56593</v>
      </c>
      <c r="D9602" s="1">
        <f>IF(Tabela1[[#This Row],[promien]]&lt;40000,1,0)</f>
        <v>0</v>
      </c>
      <c r="E9602" s="1">
        <f>IF(Tabela1[[#This Row],[promien]]=40000,1,0)</f>
        <v>0</v>
      </c>
      <c r="F9602" s="1">
        <v>3.1355967506769424</v>
      </c>
      <c r="G9602" s="1">
        <v>5.9959029128506813E-3</v>
      </c>
    </row>
    <row r="9603" spans="1:7">
      <c r="A9603">
        <v>230</v>
      </c>
      <c r="B9603">
        <v>227</v>
      </c>
      <c r="C9603" s="1">
        <f>(Tabela1[[#This Row],[x]]-H$3)*(Tabela1[[#This Row],[x]]-H$3) +(Tabela1[[#This Row],[y]]-H$4)*(Tabela1[[#This Row],[y]]-H$4)</f>
        <v>1629</v>
      </c>
      <c r="D9603" s="1">
        <f>IF(Tabela1[[#This Row],[promien]]&lt;40000,1,0)</f>
        <v>1</v>
      </c>
      <c r="E9603" s="1">
        <f>IF(Tabela1[[#This Row],[promien]]=40000,1,0)</f>
        <v>0</v>
      </c>
      <c r="F9603" s="1">
        <v>3.135686764552744</v>
      </c>
      <c r="G9603" s="1">
        <v>5.905889037049139E-3</v>
      </c>
    </row>
    <row r="9604" spans="1:7">
      <c r="A9604">
        <v>189</v>
      </c>
      <c r="B9604">
        <v>301</v>
      </c>
      <c r="C9604" s="1">
        <f>(Tabela1[[#This Row],[x]]-H$3)*(Tabela1[[#This Row],[x]]-H$3) +(Tabela1[[#This Row],[y]]-H$4)*(Tabela1[[#This Row],[y]]-H$4)</f>
        <v>10322</v>
      </c>
      <c r="D9604" s="1">
        <f>IF(Tabela1[[#This Row],[promien]]&lt;40000,1,0)</f>
        <v>1</v>
      </c>
      <c r="E9604" s="1">
        <f>IF(Tabela1[[#This Row],[promien]]=40000,1,0)</f>
        <v>0</v>
      </c>
      <c r="F9604" s="1">
        <v>3.1357767596834654</v>
      </c>
      <c r="G9604" s="1">
        <v>5.8158939063277515E-3</v>
      </c>
    </row>
    <row r="9605" spans="1:7">
      <c r="A9605">
        <v>355</v>
      </c>
      <c r="B9605">
        <v>331</v>
      </c>
      <c r="C9605" s="1">
        <f>(Tabela1[[#This Row],[x]]-H$3)*(Tabela1[[#This Row],[x]]-H$3) +(Tabela1[[#This Row],[y]]-H$4)*(Tabela1[[#This Row],[y]]-H$4)</f>
        <v>41186</v>
      </c>
      <c r="D9605" s="1">
        <f>IF(Tabela1[[#This Row],[promien]]&lt;40000,1,0)</f>
        <v>0</v>
      </c>
      <c r="E9605" s="1">
        <f>IF(Tabela1[[#This Row],[promien]]=40000,1,0)</f>
        <v>0</v>
      </c>
      <c r="F9605" s="1">
        <v>3.1354502863092137</v>
      </c>
      <c r="G9605" s="1">
        <v>6.142367280579375E-3</v>
      </c>
    </row>
    <row r="9606" spans="1:7">
      <c r="A9606">
        <v>42</v>
      </c>
      <c r="B9606">
        <v>100</v>
      </c>
      <c r="C9606" s="1">
        <f>(Tabela1[[#This Row],[x]]-H$3)*(Tabela1[[#This Row],[x]]-H$3) +(Tabela1[[#This Row],[y]]-H$4)*(Tabela1[[#This Row],[y]]-H$4)</f>
        <v>34964</v>
      </c>
      <c r="D9606" s="1">
        <f>IF(Tabela1[[#This Row],[promien]]&lt;40000,1,0)</f>
        <v>1</v>
      </c>
      <c r="E9606" s="1">
        <f>IF(Tabela1[[#This Row],[promien]]=40000,1,0)</f>
        <v>0</v>
      </c>
      <c r="F9606" s="1">
        <v>3.1355402873204246</v>
      </c>
      <c r="G9606" s="1">
        <v>6.0523662693685587E-3</v>
      </c>
    </row>
    <row r="9607" spans="1:7">
      <c r="A9607">
        <v>155</v>
      </c>
      <c r="B9607">
        <v>60</v>
      </c>
      <c r="C9607" s="1">
        <f>(Tabela1[[#This Row],[x]]-H$3)*(Tabela1[[#This Row],[x]]-H$3) +(Tabela1[[#This Row],[y]]-H$4)*(Tabela1[[#This Row],[y]]-H$4)</f>
        <v>21625</v>
      </c>
      <c r="D9607" s="1">
        <f>IF(Tabela1[[#This Row],[promien]]&lt;40000,1,0)</f>
        <v>1</v>
      </c>
      <c r="E9607" s="1">
        <f>IF(Tabela1[[#This Row],[promien]]=40000,1,0)</f>
        <v>0</v>
      </c>
      <c r="F9607" s="1">
        <v>3.1356302695950871</v>
      </c>
      <c r="G9607" s="1">
        <v>5.9623839947060553E-3</v>
      </c>
    </row>
    <row r="9608" spans="1:7">
      <c r="A9608">
        <v>31</v>
      </c>
      <c r="B9608">
        <v>328</v>
      </c>
      <c r="C9608" s="1">
        <f>(Tabela1[[#This Row],[x]]-H$3)*(Tabela1[[#This Row],[x]]-H$3) +(Tabela1[[#This Row],[y]]-H$4)*(Tabela1[[#This Row],[y]]-H$4)</f>
        <v>44945</v>
      </c>
      <c r="D9608" s="1">
        <f>IF(Tabela1[[#This Row],[promien]]&lt;40000,1,0)</f>
        <v>0</v>
      </c>
      <c r="E9608" s="1">
        <f>IF(Tabela1[[#This Row],[promien]]=40000,1,0)</f>
        <v>0</v>
      </c>
      <c r="F9608" s="1">
        <v>3.1353039134054956</v>
      </c>
      <c r="G9608" s="1">
        <v>6.2887401842974811E-3</v>
      </c>
    </row>
    <row r="9609" spans="1:7">
      <c r="A9609">
        <v>142</v>
      </c>
      <c r="B9609">
        <v>234</v>
      </c>
      <c r="C9609" s="1">
        <f>(Tabela1[[#This Row],[x]]-H$3)*(Tabela1[[#This Row],[x]]-H$3) +(Tabela1[[#This Row],[y]]-H$4)*(Tabela1[[#This Row],[y]]-H$4)</f>
        <v>4520</v>
      </c>
      <c r="D9609" s="1">
        <f>IF(Tabela1[[#This Row],[promien]]&lt;40000,1,0)</f>
        <v>1</v>
      </c>
      <c r="E9609" s="1">
        <f>IF(Tabela1[[#This Row],[promien]]=40000,1,0)</f>
        <v>0</v>
      </c>
      <c r="F9609" s="1">
        <v>3.1353939015506298</v>
      </c>
      <c r="G9609" s="1">
        <v>6.1987520391633133E-3</v>
      </c>
    </row>
    <row r="9610" spans="1:7">
      <c r="A9610">
        <v>133</v>
      </c>
      <c r="B9610">
        <v>148</v>
      </c>
      <c r="C9610" s="1">
        <f>(Tabela1[[#This Row],[x]]-H$3)*(Tabela1[[#This Row],[x]]-H$3) +(Tabela1[[#This Row],[y]]-H$4)*(Tabela1[[#This Row],[y]]-H$4)</f>
        <v>7193</v>
      </c>
      <c r="D9610" s="1">
        <f>IF(Tabela1[[#This Row],[promien]]&lt;40000,1,0)</f>
        <v>1</v>
      </c>
      <c r="E9610" s="1">
        <f>IF(Tabela1[[#This Row],[promien]]=40000,1,0)</f>
        <v>0</v>
      </c>
      <c r="F9610" s="1">
        <v>3.1354838709677417</v>
      </c>
      <c r="G9610" s="1">
        <v>6.1087826220513897E-3</v>
      </c>
    </row>
    <row r="9611" spans="1:7">
      <c r="A9611">
        <v>282</v>
      </c>
      <c r="B9611">
        <v>24</v>
      </c>
      <c r="C9611" s="1">
        <f>(Tabela1[[#This Row],[x]]-H$3)*(Tabela1[[#This Row],[x]]-H$3) +(Tabela1[[#This Row],[y]]-H$4)*(Tabela1[[#This Row],[y]]-H$4)</f>
        <v>37700</v>
      </c>
      <c r="D9611" s="1">
        <f>IF(Tabela1[[#This Row],[promien]]&lt;40000,1,0)</f>
        <v>1</v>
      </c>
      <c r="E9611" s="1">
        <f>IF(Tabela1[[#This Row],[promien]]=40000,1,0)</f>
        <v>0</v>
      </c>
      <c r="F9611" s="1">
        <v>3.1355738216626783</v>
      </c>
      <c r="G9611" s="1">
        <v>6.0188319271148316E-3</v>
      </c>
    </row>
    <row r="9612" spans="1:7">
      <c r="A9612">
        <v>356</v>
      </c>
      <c r="B9612">
        <v>100</v>
      </c>
      <c r="C9612" s="1">
        <f>(Tabela1[[#This Row],[x]]-H$3)*(Tabela1[[#This Row],[x]]-H$3) +(Tabela1[[#This Row],[y]]-H$4)*(Tabela1[[#This Row],[y]]-H$4)</f>
        <v>34336</v>
      </c>
      <c r="D9612" s="1">
        <f>IF(Tabela1[[#This Row],[promien]]&lt;40000,1,0)</f>
        <v>1</v>
      </c>
      <c r="E9612" s="1">
        <f>IF(Tabela1[[#This Row],[promien]]=40000,1,0)</f>
        <v>0</v>
      </c>
      <c r="F9612" s="1">
        <v>3.1356637536412819</v>
      </c>
      <c r="G9612" s="1">
        <v>5.9288999485112015E-3</v>
      </c>
    </row>
    <row r="9613" spans="1:7">
      <c r="A9613">
        <v>120</v>
      </c>
      <c r="B9613">
        <v>337</v>
      </c>
      <c r="C9613" s="1">
        <f>(Tabela1[[#This Row],[x]]-H$3)*(Tabela1[[#This Row],[x]]-H$3) +(Tabela1[[#This Row],[y]]-H$4)*(Tabela1[[#This Row],[y]]-H$4)</f>
        <v>25169</v>
      </c>
      <c r="D9613" s="1">
        <f>IF(Tabela1[[#This Row],[promien]]&lt;40000,1,0)</f>
        <v>1</v>
      </c>
      <c r="E9613" s="1">
        <f>IF(Tabela1[[#This Row],[promien]]=40000,1,0)</f>
        <v>0</v>
      </c>
      <c r="F9613" s="1">
        <v>3.1357536669093937</v>
      </c>
      <c r="G9613" s="1">
        <v>5.8389866803993939E-3</v>
      </c>
    </row>
    <row r="9614" spans="1:7">
      <c r="A9614">
        <v>238</v>
      </c>
      <c r="B9614">
        <v>137</v>
      </c>
      <c r="C9614" s="1">
        <f>(Tabela1[[#This Row],[x]]-H$3)*(Tabela1[[#This Row],[x]]-H$3) +(Tabela1[[#This Row],[y]]-H$4)*(Tabela1[[#This Row],[y]]-H$4)</f>
        <v>5413</v>
      </c>
      <c r="D9614" s="1">
        <f>IF(Tabela1[[#This Row],[promien]]&lt;40000,1,0)</f>
        <v>1</v>
      </c>
      <c r="E9614" s="1">
        <f>IF(Tabela1[[#This Row],[promien]]=40000,1,0)</f>
        <v>0</v>
      </c>
      <c r="F9614" s="1">
        <v>3.1358435614728521</v>
      </c>
      <c r="G9614" s="1">
        <v>5.7490921169409681E-3</v>
      </c>
    </row>
    <row r="9615" spans="1:7">
      <c r="A9615">
        <v>303</v>
      </c>
      <c r="B9615">
        <v>349</v>
      </c>
      <c r="C9615" s="1">
        <f>(Tabela1[[#This Row],[x]]-H$3)*(Tabela1[[#This Row],[x]]-H$3) +(Tabela1[[#This Row],[y]]-H$4)*(Tabela1[[#This Row],[y]]-H$4)</f>
        <v>32810</v>
      </c>
      <c r="D9615" s="1">
        <f>IF(Tabela1[[#This Row],[promien]]&lt;40000,1,0)</f>
        <v>1</v>
      </c>
      <c r="E9615" s="1">
        <f>IF(Tabela1[[#This Row],[promien]]=40000,1,0)</f>
        <v>0</v>
      </c>
      <c r="F9615" s="1">
        <v>3.1359334373374934</v>
      </c>
      <c r="G9615" s="1">
        <v>5.6592162522997036E-3</v>
      </c>
    </row>
    <row r="9616" spans="1:7">
      <c r="A9616">
        <v>204</v>
      </c>
      <c r="B9616">
        <v>4</v>
      </c>
      <c r="C9616" s="1">
        <f>(Tabela1[[#This Row],[x]]-H$3)*(Tabela1[[#This Row],[x]]-H$3) +(Tabela1[[#This Row],[y]]-H$4)*(Tabela1[[#This Row],[y]]-H$4)</f>
        <v>38432</v>
      </c>
      <c r="D9616" s="1">
        <f>IF(Tabela1[[#This Row],[promien]]&lt;40000,1,0)</f>
        <v>1</v>
      </c>
      <c r="E9616" s="1">
        <f>IF(Tabela1[[#This Row],[promien]]=40000,1,0)</f>
        <v>0</v>
      </c>
      <c r="F9616" s="1">
        <v>3.1360232945091515</v>
      </c>
      <c r="G9616" s="1">
        <v>5.5693590806416005E-3</v>
      </c>
    </row>
    <row r="9617" spans="1:7">
      <c r="A9617">
        <v>228</v>
      </c>
      <c r="B9617">
        <v>15</v>
      </c>
      <c r="C9617" s="1">
        <f>(Tabela1[[#This Row],[x]]-H$3)*(Tabela1[[#This Row],[x]]-H$3) +(Tabela1[[#This Row],[y]]-H$4)*(Tabela1[[#This Row],[y]]-H$4)</f>
        <v>35009</v>
      </c>
      <c r="D9617" s="1">
        <f>IF(Tabela1[[#This Row],[promien]]&lt;40000,1,0)</f>
        <v>1</v>
      </c>
      <c r="E9617" s="1">
        <f>IF(Tabela1[[#This Row],[promien]]=40000,1,0)</f>
        <v>0</v>
      </c>
      <c r="F9617" s="1">
        <v>3.1361131329936569</v>
      </c>
      <c r="G9617" s="1">
        <v>5.4795205961362115E-3</v>
      </c>
    </row>
    <row r="9618" spans="1:7">
      <c r="A9618">
        <v>228</v>
      </c>
      <c r="B9618">
        <v>185</v>
      </c>
      <c r="C9618" s="1">
        <f>(Tabela1[[#This Row],[x]]-H$3)*(Tabela1[[#This Row],[x]]-H$3) +(Tabela1[[#This Row],[y]]-H$4)*(Tabela1[[#This Row],[y]]-H$4)</f>
        <v>1009</v>
      </c>
      <c r="D9618" s="1">
        <f>IF(Tabela1[[#This Row],[promien]]&lt;40000,1,0)</f>
        <v>1</v>
      </c>
      <c r="E9618" s="1">
        <f>IF(Tabela1[[#This Row],[promien]]=40000,1,0)</f>
        <v>0</v>
      </c>
      <c r="F9618" s="1">
        <v>3.1362029527968391</v>
      </c>
      <c r="G9618" s="1">
        <v>5.3897007929539775E-3</v>
      </c>
    </row>
    <row r="9619" spans="1:7">
      <c r="A9619">
        <v>17</v>
      </c>
      <c r="B9619">
        <v>400</v>
      </c>
      <c r="C9619" s="1">
        <f>(Tabela1[[#This Row],[x]]-H$3)*(Tabela1[[#This Row],[x]]-H$3) +(Tabela1[[#This Row],[y]]-H$4)*(Tabela1[[#This Row],[y]]-H$4)</f>
        <v>73489</v>
      </c>
      <c r="D9619" s="1">
        <f>IF(Tabela1[[#This Row],[promien]]&lt;40000,1,0)</f>
        <v>0</v>
      </c>
      <c r="E9619" s="1">
        <f>IF(Tabela1[[#This Row],[promien]]=40000,1,0)</f>
        <v>0</v>
      </c>
      <c r="F9619" s="1">
        <v>3.1358769102817341</v>
      </c>
      <c r="G9619" s="1">
        <v>5.7157433080590181E-3</v>
      </c>
    </row>
    <row r="9620" spans="1:7">
      <c r="A9620">
        <v>272</v>
      </c>
      <c r="B9620">
        <v>357</v>
      </c>
      <c r="C9620" s="1">
        <f>(Tabela1[[#This Row],[x]]-H$3)*(Tabela1[[#This Row],[x]]-H$3) +(Tabela1[[#This Row],[y]]-H$4)*(Tabela1[[#This Row],[y]]-H$4)</f>
        <v>29833</v>
      </c>
      <c r="D9620" s="1">
        <f>IF(Tabela1[[#This Row],[promien]]&lt;40000,1,0)</f>
        <v>1</v>
      </c>
      <c r="E9620" s="1">
        <f>IF(Tabela1[[#This Row],[promien]]=40000,1,0)</f>
        <v>0</v>
      </c>
      <c r="F9620" s="1">
        <v>3.1359667359667358</v>
      </c>
      <c r="G9620" s="1">
        <v>5.6259176230573082E-3</v>
      </c>
    </row>
    <row r="9621" spans="1:7">
      <c r="A9621">
        <v>41</v>
      </c>
      <c r="B9621">
        <v>244</v>
      </c>
      <c r="C9621" s="1">
        <f>(Tabela1[[#This Row],[x]]-H$3)*(Tabela1[[#This Row],[x]]-H$3) +(Tabela1[[#This Row],[y]]-H$4)*(Tabela1[[#This Row],[y]]-H$4)</f>
        <v>27217</v>
      </c>
      <c r="D9621" s="1">
        <f>IF(Tabela1[[#This Row],[promien]]&lt;40000,1,0)</f>
        <v>1</v>
      </c>
      <c r="E9621" s="1">
        <f>IF(Tabela1[[#This Row],[promien]]=40000,1,0)</f>
        <v>0</v>
      </c>
      <c r="F9621" s="1">
        <v>3.1360565429789005</v>
      </c>
      <c r="G9621" s="1">
        <v>5.5361106108926528E-3</v>
      </c>
    </row>
    <row r="9622" spans="1:7">
      <c r="A9622">
        <v>130</v>
      </c>
      <c r="B9622">
        <v>272</v>
      </c>
      <c r="C9622" s="1">
        <f>(Tabela1[[#This Row],[x]]-H$3)*(Tabela1[[#This Row],[x]]-H$3) +(Tabela1[[#This Row],[y]]-H$4)*(Tabela1[[#This Row],[y]]-H$4)</f>
        <v>10084</v>
      </c>
      <c r="D9622" s="1">
        <f>IF(Tabela1[[#This Row],[promien]]&lt;40000,1,0)</f>
        <v>1</v>
      </c>
      <c r="E9622" s="1">
        <f>IF(Tabela1[[#This Row],[promien]]=40000,1,0)</f>
        <v>0</v>
      </c>
      <c r="F9622" s="1">
        <v>3.1361463313240492</v>
      </c>
      <c r="G9622" s="1">
        <v>5.4463222657439303E-3</v>
      </c>
    </row>
    <row r="9623" spans="1:7">
      <c r="A9623">
        <v>171</v>
      </c>
      <c r="B9623">
        <v>252</v>
      </c>
      <c r="C9623" s="1">
        <f>(Tabela1[[#This Row],[x]]-H$3)*(Tabela1[[#This Row],[x]]-H$3) +(Tabela1[[#This Row],[y]]-H$4)*(Tabela1[[#This Row],[y]]-H$4)</f>
        <v>3545</v>
      </c>
      <c r="D9623" s="1">
        <f>IF(Tabela1[[#This Row],[promien]]&lt;40000,1,0)</f>
        <v>1</v>
      </c>
      <c r="E9623" s="1">
        <f>IF(Tabela1[[#This Row],[promien]]=40000,1,0)</f>
        <v>0</v>
      </c>
      <c r="F9623" s="1">
        <v>3.1362361010080018</v>
      </c>
      <c r="G9623" s="1">
        <v>5.3565525817913517E-3</v>
      </c>
    </row>
    <row r="9624" spans="1:7">
      <c r="A9624">
        <v>73</v>
      </c>
      <c r="B9624">
        <v>24</v>
      </c>
      <c r="C9624" s="1">
        <f>(Tabela1[[#This Row],[x]]-H$3)*(Tabela1[[#This Row],[x]]-H$3) +(Tabela1[[#This Row],[y]]-H$4)*(Tabela1[[#This Row],[y]]-H$4)</f>
        <v>47105</v>
      </c>
      <c r="D9624" s="1">
        <f>IF(Tabela1[[#This Row],[promien]]&lt;40000,1,0)</f>
        <v>0</v>
      </c>
      <c r="E9624" s="1">
        <f>IF(Tabela1[[#This Row],[promien]]=40000,1,0)</f>
        <v>0</v>
      </c>
      <c r="F9624" s="1">
        <v>3.1359102244389025</v>
      </c>
      <c r="G9624" s="1">
        <v>5.6824291508905667E-3</v>
      </c>
    </row>
    <row r="9625" spans="1:7">
      <c r="A9625">
        <v>231</v>
      </c>
      <c r="B9625">
        <v>83</v>
      </c>
      <c r="C9625" s="1">
        <f>(Tabela1[[#This Row],[x]]-H$3)*(Tabela1[[#This Row],[x]]-H$3) +(Tabela1[[#This Row],[y]]-H$4)*(Tabela1[[#This Row],[y]]-H$4)</f>
        <v>14650</v>
      </c>
      <c r="D9625" s="1">
        <f>IF(Tabela1[[#This Row],[promien]]&lt;40000,1,0)</f>
        <v>1</v>
      </c>
      <c r="E9625" s="1">
        <f>IF(Tabela1[[#This Row],[promien]]=40000,1,0)</f>
        <v>0</v>
      </c>
      <c r="F9625" s="1">
        <v>3.1360000000000001</v>
      </c>
      <c r="G9625" s="1">
        <v>5.5926535897929952E-3</v>
      </c>
    </row>
    <row r="9626" spans="1:7">
      <c r="A9626">
        <v>375</v>
      </c>
      <c r="B9626">
        <v>287</v>
      </c>
      <c r="C9626" s="1">
        <f>(Tabela1[[#This Row],[x]]-H$3)*(Tabela1[[#This Row],[x]]-H$3) +(Tabela1[[#This Row],[y]]-H$4)*(Tabela1[[#This Row],[y]]-H$4)</f>
        <v>38194</v>
      </c>
      <c r="D9626" s="1">
        <f>IF(Tabela1[[#This Row],[promien]]&lt;40000,1,0)</f>
        <v>1</v>
      </c>
      <c r="E9626" s="1">
        <f>IF(Tabela1[[#This Row],[promien]]=40000,1,0)</f>
        <v>0</v>
      </c>
      <c r="F9626" s="1">
        <v>3.136089756908373</v>
      </c>
      <c r="G9626" s="1">
        <v>5.5028966814201219E-3</v>
      </c>
    </row>
    <row r="9627" spans="1:7">
      <c r="A9627">
        <v>4</v>
      </c>
      <c r="B9627">
        <v>363</v>
      </c>
      <c r="C9627" s="1">
        <f>(Tabela1[[#This Row],[x]]-H$3)*(Tabela1[[#This Row],[x]]-H$3) +(Tabela1[[#This Row],[y]]-H$4)*(Tabela1[[#This Row],[y]]-H$4)</f>
        <v>64985</v>
      </c>
      <c r="D9627" s="1">
        <f>IF(Tabela1[[#This Row],[promien]]&lt;40000,1,0)</f>
        <v>0</v>
      </c>
      <c r="E9627" s="1">
        <f>IF(Tabela1[[#This Row],[promien]]=40000,1,0)</f>
        <v>0</v>
      </c>
      <c r="F9627" s="1">
        <v>3.1357639970915137</v>
      </c>
      <c r="G9627" s="1">
        <v>5.8286564982794609E-3</v>
      </c>
    </row>
    <row r="9628" spans="1:7">
      <c r="A9628">
        <v>97</v>
      </c>
      <c r="B9628">
        <v>151</v>
      </c>
      <c r="C9628" s="1">
        <f>(Tabela1[[#This Row],[x]]-H$3)*(Tabela1[[#This Row],[x]]-H$3) +(Tabela1[[#This Row],[y]]-H$4)*(Tabela1[[#This Row],[y]]-H$4)</f>
        <v>13010</v>
      </c>
      <c r="D9628" s="1">
        <f>IF(Tabela1[[#This Row],[promien]]&lt;40000,1,0)</f>
        <v>1</v>
      </c>
      <c r="E9628" s="1">
        <f>IF(Tabela1[[#This Row],[promien]]=40000,1,0)</f>
        <v>0</v>
      </c>
      <c r="F9628" s="1">
        <v>3.1358537598670546</v>
      </c>
      <c r="G9628" s="1">
        <v>5.7388937227385028E-3</v>
      </c>
    </row>
    <row r="9629" spans="1:7">
      <c r="A9629">
        <v>257</v>
      </c>
      <c r="B9629">
        <v>364</v>
      </c>
      <c r="C9629" s="1">
        <f>(Tabela1[[#This Row],[x]]-H$3)*(Tabela1[[#This Row],[x]]-H$3) +(Tabela1[[#This Row],[y]]-H$4)*(Tabela1[[#This Row],[y]]-H$4)</f>
        <v>30145</v>
      </c>
      <c r="D9629" s="1">
        <f>IF(Tabela1[[#This Row],[promien]]&lt;40000,1,0)</f>
        <v>1</v>
      </c>
      <c r="E9629" s="1">
        <f>IF(Tabela1[[#This Row],[promien]]=40000,1,0)</f>
        <v>0</v>
      </c>
      <c r="F9629" s="1">
        <v>3.1359435039983383</v>
      </c>
      <c r="G9629" s="1">
        <v>5.649149591454794E-3</v>
      </c>
    </row>
    <row r="9630" spans="1:7">
      <c r="A9630">
        <v>185</v>
      </c>
      <c r="B9630">
        <v>182</v>
      </c>
      <c r="C9630" s="1">
        <f>(Tabela1[[#This Row],[x]]-H$3)*(Tabela1[[#This Row],[x]]-H$3) +(Tabela1[[#This Row],[y]]-H$4)*(Tabela1[[#This Row],[y]]-H$4)</f>
        <v>549</v>
      </c>
      <c r="D9630" s="1">
        <f>IF(Tabela1[[#This Row],[promien]]&lt;40000,1,0)</f>
        <v>1</v>
      </c>
      <c r="E9630" s="1">
        <f>IF(Tabela1[[#This Row],[promien]]=40000,1,0)</f>
        <v>0</v>
      </c>
      <c r="F9630" s="1">
        <v>3.1360332294911735</v>
      </c>
      <c r="G9630" s="1">
        <v>5.5594240986196475E-3</v>
      </c>
    </row>
    <row r="9631" spans="1:7">
      <c r="A9631">
        <v>317</v>
      </c>
      <c r="B9631">
        <v>374</v>
      </c>
      <c r="C9631" s="1">
        <f>(Tabela1[[#This Row],[x]]-H$3)*(Tabela1[[#This Row],[x]]-H$3) +(Tabela1[[#This Row],[y]]-H$4)*(Tabela1[[#This Row],[y]]-H$4)</f>
        <v>43965</v>
      </c>
      <c r="D9631" s="1">
        <f>IF(Tabela1[[#This Row],[promien]]&lt;40000,1,0)</f>
        <v>0</v>
      </c>
      <c r="E9631" s="1">
        <f>IF(Tabela1[[#This Row],[promien]]=40000,1,0)</f>
        <v>0</v>
      </c>
      <c r="F9631" s="1">
        <v>3.1357076108399959</v>
      </c>
      <c r="G9631" s="1">
        <v>5.8850427497971758E-3</v>
      </c>
    </row>
    <row r="9632" spans="1:7">
      <c r="A9632">
        <v>195</v>
      </c>
      <c r="B9632">
        <v>255</v>
      </c>
      <c r="C9632" s="1">
        <f>(Tabela1[[#This Row],[x]]-H$3)*(Tabela1[[#This Row],[x]]-H$3) +(Tabela1[[#This Row],[y]]-H$4)*(Tabela1[[#This Row],[y]]-H$4)</f>
        <v>3050</v>
      </c>
      <c r="D9632" s="1">
        <f>IF(Tabela1[[#This Row],[promien]]&lt;40000,1,0)</f>
        <v>1</v>
      </c>
      <c r="E9632" s="1">
        <f>IF(Tabela1[[#This Row],[promien]]=40000,1,0)</f>
        <v>0</v>
      </c>
      <c r="F9632" s="1">
        <v>3.1357973421926912</v>
      </c>
      <c r="G9632" s="1">
        <v>5.7953113971018766E-3</v>
      </c>
    </row>
    <row r="9633" spans="1:7">
      <c r="A9633">
        <v>130</v>
      </c>
      <c r="B9633">
        <v>294</v>
      </c>
      <c r="C9633" s="1">
        <f>(Tabela1[[#This Row],[x]]-H$3)*(Tabela1[[#This Row],[x]]-H$3) +(Tabela1[[#This Row],[y]]-H$4)*(Tabela1[[#This Row],[y]]-H$4)</f>
        <v>13736</v>
      </c>
      <c r="D9633" s="1">
        <f>IF(Tabela1[[#This Row],[promien]]&lt;40000,1,0)</f>
        <v>1</v>
      </c>
      <c r="E9633" s="1">
        <f>IF(Tabela1[[#This Row],[promien]]=40000,1,0)</f>
        <v>0</v>
      </c>
      <c r="F9633" s="1">
        <v>3.1358870549153952</v>
      </c>
      <c r="G9633" s="1">
        <v>5.7055986743979048E-3</v>
      </c>
    </row>
    <row r="9634" spans="1:7">
      <c r="A9634">
        <v>45</v>
      </c>
      <c r="B9634">
        <v>302</v>
      </c>
      <c r="C9634" s="1">
        <f>(Tabela1[[#This Row],[x]]-H$3)*(Tabela1[[#This Row],[x]]-H$3) +(Tabela1[[#This Row],[y]]-H$4)*(Tabela1[[#This Row],[y]]-H$4)</f>
        <v>34429</v>
      </c>
      <c r="D9634" s="1">
        <f>IF(Tabela1[[#This Row],[promien]]&lt;40000,1,0)</f>
        <v>1</v>
      </c>
      <c r="E9634" s="1">
        <f>IF(Tabela1[[#This Row],[promien]]=40000,1,0)</f>
        <v>0</v>
      </c>
      <c r="F9634" s="1">
        <v>3.135976749013909</v>
      </c>
      <c r="G9634" s="1">
        <v>5.6159045758841231E-3</v>
      </c>
    </row>
    <row r="9635" spans="1:7">
      <c r="A9635">
        <v>384</v>
      </c>
      <c r="B9635">
        <v>325</v>
      </c>
      <c r="C9635" s="1">
        <f>(Tabela1[[#This Row],[x]]-H$3)*(Tabela1[[#This Row],[x]]-H$3) +(Tabela1[[#This Row],[y]]-H$4)*(Tabela1[[#This Row],[y]]-H$4)</f>
        <v>49481</v>
      </c>
      <c r="D9635" s="1">
        <f>IF(Tabela1[[#This Row],[promien]]&lt;40000,1,0)</f>
        <v>0</v>
      </c>
      <c r="E9635" s="1">
        <f>IF(Tabela1[[#This Row],[promien]]=40000,1,0)</f>
        <v>0</v>
      </c>
      <c r="F9635" s="1">
        <v>3.1356512714063309</v>
      </c>
      <c r="G9635" s="1">
        <v>5.9413821834621849E-3</v>
      </c>
    </row>
    <row r="9636" spans="1:7">
      <c r="A9636">
        <v>309</v>
      </c>
      <c r="B9636">
        <v>80</v>
      </c>
      <c r="C9636" s="1">
        <f>(Tabela1[[#This Row],[x]]-H$3)*(Tabela1[[#This Row],[x]]-H$3) +(Tabela1[[#This Row],[y]]-H$4)*(Tabela1[[#This Row],[y]]-H$4)</f>
        <v>26281</v>
      </c>
      <c r="D9636" s="1">
        <f>IF(Tabela1[[#This Row],[promien]]&lt;40000,1,0)</f>
        <v>1</v>
      </c>
      <c r="E9636" s="1">
        <f>IF(Tabela1[[#This Row],[promien]]=40000,1,0)</f>
        <v>0</v>
      </c>
      <c r="F9636" s="1">
        <v>3.1357409713574098</v>
      </c>
      <c r="G9636" s="1">
        <v>5.851682232383304E-3</v>
      </c>
    </row>
    <row r="9637" spans="1:7">
      <c r="A9637">
        <v>249</v>
      </c>
      <c r="B9637">
        <v>301</v>
      </c>
      <c r="C9637" s="1">
        <f>(Tabela1[[#This Row],[x]]-H$3)*(Tabela1[[#This Row],[x]]-H$3) +(Tabela1[[#This Row],[y]]-H$4)*(Tabela1[[#This Row],[y]]-H$4)</f>
        <v>12602</v>
      </c>
      <c r="D9637" s="1">
        <f>IF(Tabela1[[#This Row],[promien]]&lt;40000,1,0)</f>
        <v>1</v>
      </c>
      <c r="E9637" s="1">
        <f>IF(Tabela1[[#This Row],[promien]]=40000,1,0)</f>
        <v>0</v>
      </c>
      <c r="F9637" s="1">
        <v>3.1358306526927469</v>
      </c>
      <c r="G9637" s="1">
        <v>5.76200089704626E-3</v>
      </c>
    </row>
    <row r="9638" spans="1:7">
      <c r="A9638">
        <v>63</v>
      </c>
      <c r="B9638">
        <v>368</v>
      </c>
      <c r="C9638" s="1">
        <f>(Tabela1[[#This Row],[x]]-H$3)*(Tabela1[[#This Row],[x]]-H$3) +(Tabela1[[#This Row],[y]]-H$4)*(Tabela1[[#This Row],[y]]-H$4)</f>
        <v>46993</v>
      </c>
      <c r="D9638" s="1">
        <f>IF(Tabela1[[#This Row],[promien]]&lt;40000,1,0)</f>
        <v>0</v>
      </c>
      <c r="E9638" s="1">
        <f>IF(Tabela1[[#This Row],[promien]]=40000,1,0)</f>
        <v>0</v>
      </c>
      <c r="F9638" s="1">
        <v>3.1355052915542645</v>
      </c>
      <c r="G9638" s="1">
        <v>6.0873620355286207E-3</v>
      </c>
    </row>
    <row r="9639" spans="1:7">
      <c r="A9639">
        <v>255</v>
      </c>
      <c r="B9639">
        <v>140</v>
      </c>
      <c r="C9639" s="1">
        <f>(Tabela1[[#This Row],[x]]-H$3)*(Tabela1[[#This Row],[x]]-H$3) +(Tabela1[[#This Row],[y]]-H$4)*(Tabela1[[#This Row],[y]]-H$4)</f>
        <v>6625</v>
      </c>
      <c r="D9639" s="1">
        <f>IF(Tabela1[[#This Row],[promien]]&lt;40000,1,0)</f>
        <v>1</v>
      </c>
      <c r="E9639" s="1">
        <f>IF(Tabela1[[#This Row],[promien]]=40000,1,0)</f>
        <v>0</v>
      </c>
      <c r="F9639" s="1">
        <v>3.1355949787322337</v>
      </c>
      <c r="G9639" s="1">
        <v>5.9976748575594208E-3</v>
      </c>
    </row>
    <row r="9640" spans="1:7">
      <c r="A9640">
        <v>363</v>
      </c>
      <c r="B9640">
        <v>96</v>
      </c>
      <c r="C9640" s="1">
        <f>(Tabela1[[#This Row],[x]]-H$3)*(Tabela1[[#This Row],[x]]-H$3) +(Tabela1[[#This Row],[y]]-H$4)*(Tabela1[[#This Row],[y]]-H$4)</f>
        <v>37385</v>
      </c>
      <c r="D9640" s="1">
        <f>IF(Tabela1[[#This Row],[promien]]&lt;40000,1,0)</f>
        <v>1</v>
      </c>
      <c r="E9640" s="1">
        <f>IF(Tabela1[[#This Row],[promien]]=40000,1,0)</f>
        <v>0</v>
      </c>
      <c r="F9640" s="1">
        <v>3.1356846473029045</v>
      </c>
      <c r="G9640" s="1">
        <v>5.9080062868885896E-3</v>
      </c>
    </row>
    <row r="9641" spans="1:7">
      <c r="A9641">
        <v>287</v>
      </c>
      <c r="B9641">
        <v>71</v>
      </c>
      <c r="C9641" s="1">
        <f>(Tabela1[[#This Row],[x]]-H$3)*(Tabela1[[#This Row],[x]]-H$3) +(Tabela1[[#This Row],[y]]-H$4)*(Tabela1[[#This Row],[y]]-H$4)</f>
        <v>24210</v>
      </c>
      <c r="D9641" s="1">
        <f>IF(Tabela1[[#This Row],[promien]]&lt;40000,1,0)</f>
        <v>1</v>
      </c>
      <c r="E9641" s="1">
        <f>IF(Tabela1[[#This Row],[promien]]=40000,1,0)</f>
        <v>0</v>
      </c>
      <c r="F9641" s="1">
        <v>3.135774297272067</v>
      </c>
      <c r="G9641" s="1">
        <v>5.8183563177260922E-3</v>
      </c>
    </row>
    <row r="9642" spans="1:7">
      <c r="A9642">
        <v>70</v>
      </c>
      <c r="B9642">
        <v>119</v>
      </c>
      <c r="C9642" s="1">
        <f>(Tabela1[[#This Row],[x]]-H$3)*(Tabela1[[#This Row],[x]]-H$3) +(Tabela1[[#This Row],[y]]-H$4)*(Tabela1[[#This Row],[y]]-H$4)</f>
        <v>23461</v>
      </c>
      <c r="D9642" s="1">
        <f>IF(Tabela1[[#This Row],[promien]]&lt;40000,1,0)</f>
        <v>1</v>
      </c>
      <c r="E9642" s="1">
        <f>IF(Tabela1[[#This Row],[promien]]=40000,1,0)</f>
        <v>0</v>
      </c>
      <c r="F9642" s="1">
        <v>3.1358639286455094</v>
      </c>
      <c r="G9642" s="1">
        <v>5.7287249442836696E-3</v>
      </c>
    </row>
    <row r="9643" spans="1:7">
      <c r="A9643">
        <v>3</v>
      </c>
      <c r="B9643">
        <v>45</v>
      </c>
      <c r="C9643" s="1">
        <f>(Tabela1[[#This Row],[x]]-H$3)*(Tabela1[[#This Row],[x]]-H$3) +(Tabela1[[#This Row],[y]]-H$4)*(Tabela1[[#This Row],[y]]-H$4)</f>
        <v>62834</v>
      </c>
      <c r="D9643" s="1">
        <f>IF(Tabela1[[#This Row],[promien]]&lt;40000,1,0)</f>
        <v>0</v>
      </c>
      <c r="E9643" s="1">
        <f>IF(Tabela1[[#This Row],[promien]]=40000,1,0)</f>
        <v>0</v>
      </c>
      <c r="F9643" s="1">
        <v>3.1355387327595148</v>
      </c>
      <c r="G9643" s="1">
        <v>6.0539208302783365E-3</v>
      </c>
    </row>
    <row r="9644" spans="1:7">
      <c r="A9644">
        <v>306</v>
      </c>
      <c r="B9644">
        <v>111</v>
      </c>
      <c r="C9644" s="1">
        <f>(Tabela1[[#This Row],[x]]-H$3)*(Tabela1[[#This Row],[x]]-H$3) +(Tabela1[[#This Row],[y]]-H$4)*(Tabela1[[#This Row],[y]]-H$4)</f>
        <v>19157</v>
      </c>
      <c r="D9644" s="1">
        <f>IF(Tabela1[[#This Row],[promien]]&lt;40000,1,0)</f>
        <v>1</v>
      </c>
      <c r="E9644" s="1">
        <f>IF(Tabela1[[#This Row],[promien]]=40000,1,0)</f>
        <v>0</v>
      </c>
      <c r="F9644" s="1">
        <v>3.1356283699709664</v>
      </c>
      <c r="G9644" s="1">
        <v>5.9642836188267268E-3</v>
      </c>
    </row>
    <row r="9645" spans="1:7">
      <c r="A9645">
        <v>396</v>
      </c>
      <c r="B9645">
        <v>27</v>
      </c>
      <c r="C9645" s="1">
        <f>(Tabela1[[#This Row],[x]]-H$3)*(Tabela1[[#This Row],[x]]-H$3) +(Tabela1[[#This Row],[y]]-H$4)*(Tabela1[[#This Row],[y]]-H$4)</f>
        <v>68345</v>
      </c>
      <c r="D9645" s="1">
        <f>IF(Tabela1[[#This Row],[promien]]&lt;40000,1,0)</f>
        <v>0</v>
      </c>
      <c r="E9645" s="1">
        <f>IF(Tabela1[[#This Row],[promien]]=40000,1,0)</f>
        <v>0</v>
      </c>
      <c r="F9645" s="1">
        <v>3.1353032659409021</v>
      </c>
      <c r="G9645" s="1">
        <v>6.2893876488909761E-3</v>
      </c>
    </row>
    <row r="9646" spans="1:7">
      <c r="A9646">
        <v>211</v>
      </c>
      <c r="B9646">
        <v>149</v>
      </c>
      <c r="C9646" s="1">
        <f>(Tabela1[[#This Row],[x]]-H$3)*(Tabela1[[#This Row],[x]]-H$3) +(Tabela1[[#This Row],[y]]-H$4)*(Tabela1[[#This Row],[y]]-H$4)</f>
        <v>2722</v>
      </c>
      <c r="D9646" s="1">
        <f>IF(Tabela1[[#This Row],[promien]]&lt;40000,1,0)</f>
        <v>1</v>
      </c>
      <c r="E9646" s="1">
        <f>IF(Tabela1[[#This Row],[promien]]=40000,1,0)</f>
        <v>0</v>
      </c>
      <c r="F9646" s="1">
        <v>3.1353929089778148</v>
      </c>
      <c r="G9646" s="1">
        <v>6.1997446119783639E-3</v>
      </c>
    </row>
    <row r="9647" spans="1:7">
      <c r="A9647">
        <v>190</v>
      </c>
      <c r="B9647">
        <v>59</v>
      </c>
      <c r="C9647" s="1">
        <f>(Tabela1[[#This Row],[x]]-H$3)*(Tabela1[[#This Row],[x]]-H$3) +(Tabela1[[#This Row],[y]]-H$4)*(Tabela1[[#This Row],[y]]-H$4)</f>
        <v>19981</v>
      </c>
      <c r="D9647" s="1">
        <f>IF(Tabela1[[#This Row],[promien]]&lt;40000,1,0)</f>
        <v>1</v>
      </c>
      <c r="E9647" s="1">
        <f>IF(Tabela1[[#This Row],[promien]]=40000,1,0)</f>
        <v>0</v>
      </c>
      <c r="F9647" s="1">
        <v>3.135482533430082</v>
      </c>
      <c r="G9647" s="1">
        <v>6.1101201597111299E-3</v>
      </c>
    </row>
    <row r="9648" spans="1:7">
      <c r="A9648">
        <v>186</v>
      </c>
      <c r="B9648">
        <v>10</v>
      </c>
      <c r="C9648" s="1">
        <f>(Tabela1[[#This Row],[x]]-H$3)*(Tabela1[[#This Row],[x]]-H$3) +(Tabela1[[#This Row],[y]]-H$4)*(Tabela1[[#This Row],[y]]-H$4)</f>
        <v>36296</v>
      </c>
      <c r="D9648" s="1">
        <f>IF(Tabela1[[#This Row],[promien]]&lt;40000,1,0)</f>
        <v>1</v>
      </c>
      <c r="E9648" s="1">
        <f>IF(Tabela1[[#This Row],[promien]]=40000,1,0)</f>
        <v>0</v>
      </c>
      <c r="F9648" s="1">
        <v>3.1355721393034828</v>
      </c>
      <c r="G9648" s="1">
        <v>6.0205142863103411E-3</v>
      </c>
    </row>
    <row r="9649" spans="1:7">
      <c r="A9649">
        <v>383</v>
      </c>
      <c r="B9649">
        <v>343</v>
      </c>
      <c r="C9649" s="1">
        <f>(Tabela1[[#This Row],[x]]-H$3)*(Tabela1[[#This Row],[x]]-H$3) +(Tabela1[[#This Row],[y]]-H$4)*(Tabela1[[#This Row],[y]]-H$4)</f>
        <v>53938</v>
      </c>
      <c r="D9649" s="1">
        <f>IF(Tabela1[[#This Row],[promien]]&lt;40000,1,0)</f>
        <v>0</v>
      </c>
      <c r="E9649" s="1">
        <f>IF(Tabela1[[#This Row],[promien]]=40000,1,0)</f>
        <v>0</v>
      </c>
      <c r="F9649" s="1">
        <v>3.1352471758731473</v>
      </c>
      <c r="G9649" s="1">
        <v>6.345477716645842E-3</v>
      </c>
    </row>
    <row r="9650" spans="1:7">
      <c r="A9650">
        <v>252</v>
      </c>
      <c r="B9650">
        <v>34</v>
      </c>
      <c r="C9650" s="1">
        <f>(Tabela1[[#This Row],[x]]-H$3)*(Tabela1[[#This Row],[x]]-H$3) +(Tabela1[[#This Row],[y]]-H$4)*(Tabela1[[#This Row],[y]]-H$4)</f>
        <v>30260</v>
      </c>
      <c r="D9650" s="1">
        <f>IF(Tabela1[[#This Row],[promien]]&lt;40000,1,0)</f>
        <v>1</v>
      </c>
      <c r="E9650" s="1">
        <f>IF(Tabela1[[#This Row],[promien]]=40000,1,0)</f>
        <v>0</v>
      </c>
      <c r="F9650" s="1">
        <v>3.1353367875647669</v>
      </c>
      <c r="G9650" s="1">
        <v>6.2558660250262577E-3</v>
      </c>
    </row>
    <row r="9651" spans="1:7">
      <c r="A9651">
        <v>179</v>
      </c>
      <c r="B9651">
        <v>63</v>
      </c>
      <c r="C9651" s="1">
        <f>(Tabela1[[#This Row],[x]]-H$3)*(Tabela1[[#This Row],[x]]-H$3) +(Tabela1[[#This Row],[y]]-H$4)*(Tabela1[[#This Row],[y]]-H$4)</f>
        <v>19210</v>
      </c>
      <c r="D9651" s="1">
        <f>IF(Tabela1[[#This Row],[promien]]&lt;40000,1,0)</f>
        <v>1</v>
      </c>
      <c r="E9651" s="1">
        <f>IF(Tabela1[[#This Row],[promien]]=40000,1,0)</f>
        <v>0</v>
      </c>
      <c r="F9651" s="1">
        <v>3.1354263806859395</v>
      </c>
      <c r="G9651" s="1">
        <v>6.1662729038536312E-3</v>
      </c>
    </row>
    <row r="9652" spans="1:7">
      <c r="A9652">
        <v>235</v>
      </c>
      <c r="B9652">
        <v>80</v>
      </c>
      <c r="C9652" s="1">
        <f>(Tabela1[[#This Row],[x]]-H$3)*(Tabela1[[#This Row],[x]]-H$3) +(Tabela1[[#This Row],[y]]-H$4)*(Tabela1[[#This Row],[y]]-H$4)</f>
        <v>15625</v>
      </c>
      <c r="D9652" s="1">
        <f>IF(Tabela1[[#This Row],[promien]]&lt;40000,1,0)</f>
        <v>1</v>
      </c>
      <c r="E9652" s="1">
        <f>IF(Tabela1[[#This Row],[promien]]=40000,1,0)</f>
        <v>0</v>
      </c>
      <c r="F9652" s="1">
        <v>3.135515955242437</v>
      </c>
      <c r="G9652" s="1">
        <v>6.0766983473561353E-3</v>
      </c>
    </row>
    <row r="9653" spans="1:7">
      <c r="A9653">
        <v>43</v>
      </c>
      <c r="B9653">
        <v>253</v>
      </c>
      <c r="C9653" s="1">
        <f>(Tabela1[[#This Row],[x]]-H$3)*(Tabela1[[#This Row],[x]]-H$3) +(Tabela1[[#This Row],[y]]-H$4)*(Tabela1[[#This Row],[y]]-H$4)</f>
        <v>27458</v>
      </c>
      <c r="D9653" s="1">
        <f>IF(Tabela1[[#This Row],[promien]]&lt;40000,1,0)</f>
        <v>1</v>
      </c>
      <c r="E9653" s="1">
        <f>IF(Tabela1[[#This Row],[promien]]=40000,1,0)</f>
        <v>0</v>
      </c>
      <c r="F9653" s="1">
        <v>3.135605511240029</v>
      </c>
      <c r="G9653" s="1">
        <v>5.9871423497641629E-3</v>
      </c>
    </row>
    <row r="9654" spans="1:7">
      <c r="A9654">
        <v>347</v>
      </c>
      <c r="B9654">
        <v>324</v>
      </c>
      <c r="C9654" s="1">
        <f>(Tabela1[[#This Row],[x]]-H$3)*(Tabela1[[#This Row],[x]]-H$3) +(Tabela1[[#This Row],[y]]-H$4)*(Tabela1[[#This Row],[y]]-H$4)</f>
        <v>36985</v>
      </c>
      <c r="D9654" s="1">
        <f>IF(Tabela1[[#This Row],[promien]]&lt;40000,1,0)</f>
        <v>1</v>
      </c>
      <c r="E9654" s="1">
        <f>IF(Tabela1[[#This Row],[promien]]=40000,1,0)</f>
        <v>0</v>
      </c>
      <c r="F9654" s="1">
        <v>3.1356950486844832</v>
      </c>
      <c r="G9654" s="1">
        <v>5.8976049053098833E-3</v>
      </c>
    </row>
    <row r="9655" spans="1:7">
      <c r="A9655">
        <v>343</v>
      </c>
      <c r="B9655">
        <v>215</v>
      </c>
      <c r="C9655" s="1">
        <f>(Tabela1[[#This Row],[x]]-H$3)*(Tabela1[[#This Row],[x]]-H$3) +(Tabela1[[#This Row],[y]]-H$4)*(Tabela1[[#This Row],[y]]-H$4)</f>
        <v>20674</v>
      </c>
      <c r="D9655" s="1">
        <f>IF(Tabela1[[#This Row],[promien]]&lt;40000,1,0)</f>
        <v>1</v>
      </c>
      <c r="E9655" s="1">
        <f>IF(Tabela1[[#This Row],[promien]]=40000,1,0)</f>
        <v>0</v>
      </c>
      <c r="F9655" s="1">
        <v>3.1357845675815641</v>
      </c>
      <c r="G9655" s="1">
        <v>5.8080860082290187E-3</v>
      </c>
    </row>
    <row r="9656" spans="1:7">
      <c r="A9656">
        <v>256</v>
      </c>
      <c r="B9656">
        <v>67</v>
      </c>
      <c r="C9656" s="1">
        <f>(Tabela1[[#This Row],[x]]-H$3)*(Tabela1[[#This Row],[x]]-H$3) +(Tabela1[[#This Row],[y]]-H$4)*(Tabela1[[#This Row],[y]]-H$4)</f>
        <v>20825</v>
      </c>
      <c r="D9656" s="1">
        <f>IF(Tabela1[[#This Row],[promien]]&lt;40000,1,0)</f>
        <v>1</v>
      </c>
      <c r="E9656" s="1">
        <f>IF(Tabela1[[#This Row],[promien]]=40000,1,0)</f>
        <v>0</v>
      </c>
      <c r="F9656" s="1">
        <v>3.135874067937034</v>
      </c>
      <c r="G9656" s="1">
        <v>5.7185856527590673E-3</v>
      </c>
    </row>
    <row r="9657" spans="1:7">
      <c r="A9657">
        <v>260</v>
      </c>
      <c r="B9657">
        <v>128</v>
      </c>
      <c r="C9657" s="1">
        <f>(Tabela1[[#This Row],[x]]-H$3)*(Tabela1[[#This Row],[x]]-H$3) +(Tabela1[[#This Row],[y]]-H$4)*(Tabela1[[#This Row],[y]]-H$4)</f>
        <v>8784</v>
      </c>
      <c r="D9657" s="1">
        <f>IF(Tabela1[[#This Row],[promien]]&lt;40000,1,0)</f>
        <v>1</v>
      </c>
      <c r="E9657" s="1">
        <f>IF(Tabela1[[#This Row],[promien]]=40000,1,0)</f>
        <v>0</v>
      </c>
      <c r="F9657" s="1">
        <v>3.1359635497566534</v>
      </c>
      <c r="G9657" s="1">
        <v>5.629103833139748E-3</v>
      </c>
    </row>
    <row r="9658" spans="1:7">
      <c r="A9658">
        <v>345</v>
      </c>
      <c r="B9658">
        <v>283</v>
      </c>
      <c r="C9658" s="1">
        <f>(Tabela1[[#This Row],[x]]-H$3)*(Tabela1[[#This Row],[x]]-H$3) +(Tabela1[[#This Row],[y]]-H$4)*(Tabela1[[#This Row],[y]]-H$4)</f>
        <v>27914</v>
      </c>
      <c r="D9658" s="1">
        <f>IF(Tabela1[[#This Row],[promien]]&lt;40000,1,0)</f>
        <v>1</v>
      </c>
      <c r="E9658" s="1">
        <f>IF(Tabela1[[#This Row],[promien]]=40000,1,0)</f>
        <v>0</v>
      </c>
      <c r="F9658" s="1">
        <v>3.1360530130461792</v>
      </c>
      <c r="G9658" s="1">
        <v>5.5396405436138885E-3</v>
      </c>
    </row>
    <row r="9659" spans="1:7">
      <c r="A9659">
        <v>109</v>
      </c>
      <c r="B9659">
        <v>268</v>
      </c>
      <c r="C9659" s="1">
        <f>(Tabela1[[#This Row],[x]]-H$3)*(Tabela1[[#This Row],[x]]-H$3) +(Tabela1[[#This Row],[y]]-H$4)*(Tabela1[[#This Row],[y]]-H$4)</f>
        <v>12905</v>
      </c>
      <c r="D9659" s="1">
        <f>IF(Tabela1[[#This Row],[promien]]&lt;40000,1,0)</f>
        <v>1</v>
      </c>
      <c r="E9659" s="1">
        <f>IF(Tabela1[[#This Row],[promien]]=40000,1,0)</f>
        <v>0</v>
      </c>
      <c r="F9659" s="1">
        <v>3.1361424578113675</v>
      </c>
      <c r="G9659" s="1">
        <v>5.4501957784256483E-3</v>
      </c>
    </row>
    <row r="9660" spans="1:7">
      <c r="A9660">
        <v>222</v>
      </c>
      <c r="B9660">
        <v>169</v>
      </c>
      <c r="C9660" s="1">
        <f>(Tabela1[[#This Row],[x]]-H$3)*(Tabela1[[#This Row],[x]]-H$3) +(Tabela1[[#This Row],[y]]-H$4)*(Tabela1[[#This Row],[y]]-H$4)</f>
        <v>1445</v>
      </c>
      <c r="D9660" s="1">
        <f>IF(Tabela1[[#This Row],[promien]]&lt;40000,1,0)</f>
        <v>1</v>
      </c>
      <c r="E9660" s="1">
        <f>IF(Tabela1[[#This Row],[promien]]=40000,1,0)</f>
        <v>0</v>
      </c>
      <c r="F9660" s="1">
        <v>3.1362318840579708</v>
      </c>
      <c r="G9660" s="1">
        <v>5.3607695318222959E-3</v>
      </c>
    </row>
    <row r="9661" spans="1:7">
      <c r="A9661">
        <v>169</v>
      </c>
      <c r="B9661">
        <v>198</v>
      </c>
      <c r="C9661" s="1">
        <f>(Tabela1[[#This Row],[x]]-H$3)*(Tabela1[[#This Row],[x]]-H$3) +(Tabela1[[#This Row],[y]]-H$4)*(Tabela1[[#This Row],[y]]-H$4)</f>
        <v>965</v>
      </c>
      <c r="D9661" s="1">
        <f>IF(Tabela1[[#This Row],[promien]]&lt;40000,1,0)</f>
        <v>1</v>
      </c>
      <c r="E9661" s="1">
        <f>IF(Tabela1[[#This Row],[promien]]=40000,1,0)</f>
        <v>0</v>
      </c>
      <c r="F9661" s="1">
        <v>3.1363212917917398</v>
      </c>
      <c r="G9661" s="1">
        <v>5.2713617980533201E-3</v>
      </c>
    </row>
    <row r="9662" spans="1:7">
      <c r="A9662">
        <v>62</v>
      </c>
      <c r="B9662">
        <v>166</v>
      </c>
      <c r="C9662" s="1">
        <f>(Tabela1[[#This Row],[x]]-H$3)*(Tabela1[[#This Row],[x]]-H$3) +(Tabela1[[#This Row],[y]]-H$4)*(Tabela1[[#This Row],[y]]-H$4)</f>
        <v>20200</v>
      </c>
      <c r="D9662" s="1">
        <f>IF(Tabela1[[#This Row],[promien]]&lt;40000,1,0)</f>
        <v>1</v>
      </c>
      <c r="E9662" s="1">
        <f>IF(Tabela1[[#This Row],[promien]]=40000,1,0)</f>
        <v>0</v>
      </c>
      <c r="F9662" s="1">
        <v>3.1364106810184227</v>
      </c>
      <c r="G9662" s="1">
        <v>5.1819725713704301E-3</v>
      </c>
    </row>
    <row r="9663" spans="1:7">
      <c r="A9663">
        <v>195</v>
      </c>
      <c r="B9663">
        <v>188</v>
      </c>
      <c r="C9663" s="1">
        <f>(Tabela1[[#This Row],[x]]-H$3)*(Tabela1[[#This Row],[x]]-H$3) +(Tabela1[[#This Row],[y]]-H$4)*(Tabela1[[#This Row],[y]]-H$4)</f>
        <v>169</v>
      </c>
      <c r="D9663" s="1">
        <f>IF(Tabela1[[#This Row],[promien]]&lt;40000,1,0)</f>
        <v>1</v>
      </c>
      <c r="E9663" s="1">
        <f>IF(Tabela1[[#This Row],[promien]]=40000,1,0)</f>
        <v>0</v>
      </c>
      <c r="F9663" s="1">
        <v>3.1365000517437647</v>
      </c>
      <c r="G9663" s="1">
        <v>5.0926018460284439E-3</v>
      </c>
    </row>
    <row r="9664" spans="1:7">
      <c r="A9664">
        <v>61</v>
      </c>
      <c r="B9664">
        <v>143</v>
      </c>
      <c r="C9664" s="1">
        <f>(Tabela1[[#This Row],[x]]-H$3)*(Tabela1[[#This Row],[x]]-H$3) +(Tabela1[[#This Row],[y]]-H$4)*(Tabela1[[#This Row],[y]]-H$4)</f>
        <v>22570</v>
      </c>
      <c r="D9664" s="1">
        <f>IF(Tabela1[[#This Row],[promien]]&lt;40000,1,0)</f>
        <v>1</v>
      </c>
      <c r="E9664" s="1">
        <f>IF(Tabela1[[#This Row],[promien]]=40000,1,0)</f>
        <v>0</v>
      </c>
      <c r="F9664" s="1">
        <v>3.13658940397351</v>
      </c>
      <c r="G9664" s="1">
        <v>5.0032496162830675E-3</v>
      </c>
    </row>
    <row r="9665" spans="1:7">
      <c r="A9665">
        <v>85</v>
      </c>
      <c r="B9665">
        <v>207</v>
      </c>
      <c r="C9665" s="1">
        <f>(Tabela1[[#This Row],[x]]-H$3)*(Tabela1[[#This Row],[x]]-H$3) +(Tabela1[[#This Row],[y]]-H$4)*(Tabela1[[#This Row],[y]]-H$4)</f>
        <v>13274</v>
      </c>
      <c r="D9665" s="1">
        <f>IF(Tabela1[[#This Row],[promien]]&lt;40000,1,0)</f>
        <v>1</v>
      </c>
      <c r="E9665" s="1">
        <f>IF(Tabela1[[#This Row],[promien]]=40000,1,0)</f>
        <v>0</v>
      </c>
      <c r="F9665" s="1">
        <v>3.1366787377133987</v>
      </c>
      <c r="G9665" s="1">
        <v>4.9139158763944479E-3</v>
      </c>
    </row>
    <row r="9666" spans="1:7">
      <c r="A9666">
        <v>65</v>
      </c>
      <c r="B9666">
        <v>113</v>
      </c>
      <c r="C9666" s="1">
        <f>(Tabela1[[#This Row],[x]]-H$3)*(Tabela1[[#This Row],[x]]-H$3) +(Tabela1[[#This Row],[y]]-H$4)*(Tabela1[[#This Row],[y]]-H$4)</f>
        <v>25794</v>
      </c>
      <c r="D9666" s="1">
        <f>IF(Tabela1[[#This Row],[promien]]&lt;40000,1,0)</f>
        <v>1</v>
      </c>
      <c r="E9666" s="1">
        <f>IF(Tabela1[[#This Row],[promien]]=40000,1,0)</f>
        <v>0</v>
      </c>
      <c r="F9666" s="1">
        <v>3.1367680529691704</v>
      </c>
      <c r="G9666" s="1">
        <v>4.8246006206227321E-3</v>
      </c>
    </row>
    <row r="9667" spans="1:7">
      <c r="A9667">
        <v>243</v>
      </c>
      <c r="B9667">
        <v>342</v>
      </c>
      <c r="C9667" s="1">
        <f>(Tabela1[[#This Row],[x]]-H$3)*(Tabela1[[#This Row],[x]]-H$3) +(Tabela1[[#This Row],[y]]-H$4)*(Tabela1[[#This Row],[y]]-H$4)</f>
        <v>22013</v>
      </c>
      <c r="D9667" s="1">
        <f>IF(Tabela1[[#This Row],[promien]]&lt;40000,1,0)</f>
        <v>1</v>
      </c>
      <c r="E9667" s="1">
        <f>IF(Tabela1[[#This Row],[promien]]=40000,1,0)</f>
        <v>0</v>
      </c>
      <c r="F9667" s="1">
        <v>3.1368573497465606</v>
      </c>
      <c r="G9667" s="1">
        <v>4.7353038432325079E-3</v>
      </c>
    </row>
    <row r="9668" spans="1:7">
      <c r="A9668">
        <v>234</v>
      </c>
      <c r="B9668">
        <v>95</v>
      </c>
      <c r="C9668" s="1">
        <f>(Tabela1[[#This Row],[x]]-H$3)*(Tabela1[[#This Row],[x]]-H$3) +(Tabela1[[#This Row],[y]]-H$4)*(Tabela1[[#This Row],[y]]-H$4)</f>
        <v>12181</v>
      </c>
      <c r="D9668" s="1">
        <f>IF(Tabela1[[#This Row],[promien]]&lt;40000,1,0)</f>
        <v>1</v>
      </c>
      <c r="E9668" s="1">
        <f>IF(Tabela1[[#This Row],[promien]]=40000,1,0)</f>
        <v>0</v>
      </c>
      <c r="F9668" s="1">
        <v>3.1369466280513034</v>
      </c>
      <c r="G9668" s="1">
        <v>4.6460255384896954E-3</v>
      </c>
    </row>
    <row r="9669" spans="1:7">
      <c r="A9669">
        <v>252</v>
      </c>
      <c r="B9669">
        <v>264</v>
      </c>
      <c r="C9669" s="1">
        <f>(Tabela1[[#This Row],[x]]-H$3)*(Tabela1[[#This Row],[x]]-H$3) +(Tabela1[[#This Row],[y]]-H$4)*(Tabela1[[#This Row],[y]]-H$4)</f>
        <v>6800</v>
      </c>
      <c r="D9669" s="1">
        <f>IF(Tabela1[[#This Row],[promien]]&lt;40000,1,0)</f>
        <v>1</v>
      </c>
      <c r="E9669" s="1">
        <f>IF(Tabela1[[#This Row],[promien]]=40000,1,0)</f>
        <v>0</v>
      </c>
      <c r="F9669" s="1">
        <v>3.1370358878891302</v>
      </c>
      <c r="G9669" s="1">
        <v>4.5567657006628792E-3</v>
      </c>
    </row>
    <row r="9670" spans="1:7">
      <c r="A9670">
        <v>173</v>
      </c>
      <c r="B9670">
        <v>341</v>
      </c>
      <c r="C9670" s="1">
        <f>(Tabela1[[#This Row],[x]]-H$3)*(Tabela1[[#This Row],[x]]-H$3) +(Tabela1[[#This Row],[y]]-H$4)*(Tabela1[[#This Row],[y]]-H$4)</f>
        <v>20610</v>
      </c>
      <c r="D9670" s="1">
        <f>IF(Tabela1[[#This Row],[promien]]&lt;40000,1,0)</f>
        <v>1</v>
      </c>
      <c r="E9670" s="1">
        <f>IF(Tabela1[[#This Row],[promien]]=40000,1,0)</f>
        <v>0</v>
      </c>
      <c r="F9670" s="1">
        <v>3.1371251292657703</v>
      </c>
      <c r="G9670" s="1">
        <v>4.4675243240228646E-3</v>
      </c>
    </row>
    <row r="9671" spans="1:7">
      <c r="A9671">
        <v>266</v>
      </c>
      <c r="B9671">
        <v>29</v>
      </c>
      <c r="C9671" s="1">
        <f>(Tabela1[[#This Row],[x]]-H$3)*(Tabela1[[#This Row],[x]]-H$3) +(Tabela1[[#This Row],[y]]-H$4)*(Tabela1[[#This Row],[y]]-H$4)</f>
        <v>33597</v>
      </c>
      <c r="D9671" s="1">
        <f>IF(Tabela1[[#This Row],[promien]]&lt;40000,1,0)</f>
        <v>1</v>
      </c>
      <c r="E9671" s="1">
        <f>IF(Tabela1[[#This Row],[promien]]=40000,1,0)</f>
        <v>0</v>
      </c>
      <c r="F9671" s="1">
        <v>3.1372143521869509</v>
      </c>
      <c r="G9671" s="1">
        <v>4.3783014028422329E-3</v>
      </c>
    </row>
    <row r="9672" spans="1:7">
      <c r="A9672">
        <v>63</v>
      </c>
      <c r="B9672">
        <v>172</v>
      </c>
      <c r="C9672" s="1">
        <f>(Tabela1[[#This Row],[x]]-H$3)*(Tabela1[[#This Row],[x]]-H$3) +(Tabela1[[#This Row],[y]]-H$4)*(Tabela1[[#This Row],[y]]-H$4)</f>
        <v>19553</v>
      </c>
      <c r="D9672" s="1">
        <f>IF(Tabela1[[#This Row],[promien]]&lt;40000,1,0)</f>
        <v>1</v>
      </c>
      <c r="E9672" s="1">
        <f>IF(Tabela1[[#This Row],[promien]]=40000,1,0)</f>
        <v>0</v>
      </c>
      <c r="F9672" s="1">
        <v>3.1373035566583956</v>
      </c>
      <c r="G9672" s="1">
        <v>4.2890969313975624E-3</v>
      </c>
    </row>
    <row r="9673" spans="1:7">
      <c r="A9673">
        <v>127</v>
      </c>
      <c r="B9673">
        <v>364</v>
      </c>
      <c r="C9673" s="1">
        <f>(Tabela1[[#This Row],[x]]-H$3)*(Tabela1[[#This Row],[x]]-H$3) +(Tabela1[[#This Row],[y]]-H$4)*(Tabela1[[#This Row],[y]]-H$4)</f>
        <v>32225</v>
      </c>
      <c r="D9673" s="1">
        <f>IF(Tabela1[[#This Row],[promien]]&lt;40000,1,0)</f>
        <v>1</v>
      </c>
      <c r="E9673" s="1">
        <f>IF(Tabela1[[#This Row],[promien]]=40000,1,0)</f>
        <v>0</v>
      </c>
      <c r="F9673" s="1">
        <v>3.1373927426858264</v>
      </c>
      <c r="G9673" s="1">
        <v>4.1999109039667637E-3</v>
      </c>
    </row>
    <row r="9674" spans="1:7">
      <c r="A9674">
        <v>92</v>
      </c>
      <c r="B9674">
        <v>266</v>
      </c>
      <c r="C9674" s="1">
        <f>(Tabela1[[#This Row],[x]]-H$3)*(Tabela1[[#This Row],[x]]-H$3) +(Tabela1[[#This Row],[y]]-H$4)*(Tabela1[[#This Row],[y]]-H$4)</f>
        <v>16020</v>
      </c>
      <c r="D9674" s="1">
        <f>IF(Tabela1[[#This Row],[promien]]&lt;40000,1,0)</f>
        <v>1</v>
      </c>
      <c r="E9674" s="1">
        <f>IF(Tabela1[[#This Row],[promien]]=40000,1,0)</f>
        <v>0</v>
      </c>
      <c r="F9674" s="1">
        <v>3.137481910274964</v>
      </c>
      <c r="G9674" s="1">
        <v>4.1107433148290795E-3</v>
      </c>
    </row>
    <row r="9675" spans="1:7">
      <c r="A9675">
        <v>48</v>
      </c>
      <c r="B9675">
        <v>341</v>
      </c>
      <c r="C9675" s="1">
        <f>(Tabela1[[#This Row],[x]]-H$3)*(Tabela1[[#This Row],[x]]-H$3) +(Tabela1[[#This Row],[y]]-H$4)*(Tabela1[[#This Row],[y]]-H$4)</f>
        <v>42985</v>
      </c>
      <c r="D9675" s="1">
        <f>IF(Tabela1[[#This Row],[promien]]&lt;40000,1,0)</f>
        <v>0</v>
      </c>
      <c r="E9675" s="1">
        <f>IF(Tabela1[[#This Row],[promien]]=40000,1,0)</f>
        <v>0</v>
      </c>
      <c r="F9675" s="1">
        <v>3.1371576227390179</v>
      </c>
      <c r="G9675" s="1">
        <v>4.4350308507752345E-3</v>
      </c>
    </row>
    <row r="9676" spans="1:7">
      <c r="A9676">
        <v>213</v>
      </c>
      <c r="B9676">
        <v>314</v>
      </c>
      <c r="C9676" s="1">
        <f>(Tabela1[[#This Row],[x]]-H$3)*(Tabela1[[#This Row],[x]]-H$3) +(Tabela1[[#This Row],[y]]-H$4)*(Tabela1[[#This Row],[y]]-H$4)</f>
        <v>13165</v>
      </c>
      <c r="D9676" s="1">
        <f>IF(Tabela1[[#This Row],[promien]]&lt;40000,1,0)</f>
        <v>1</v>
      </c>
      <c r="E9676" s="1">
        <f>IF(Tabela1[[#This Row],[promien]]=40000,1,0)</f>
        <v>0</v>
      </c>
      <c r="F9676" s="1">
        <v>3.1372467961967754</v>
      </c>
      <c r="G9676" s="1">
        <v>4.345857393017738E-3</v>
      </c>
    </row>
    <row r="9677" spans="1:7">
      <c r="A9677">
        <v>318</v>
      </c>
      <c r="B9677">
        <v>309</v>
      </c>
      <c r="C9677" s="1">
        <f>(Tabela1[[#This Row],[x]]-H$3)*(Tabela1[[#This Row],[x]]-H$3) +(Tabela1[[#This Row],[y]]-H$4)*(Tabela1[[#This Row],[y]]-H$4)</f>
        <v>25805</v>
      </c>
      <c r="D9677" s="1">
        <f>IF(Tabela1[[#This Row],[promien]]&lt;40000,1,0)</f>
        <v>1</v>
      </c>
      <c r="E9677" s="1">
        <f>IF(Tabela1[[#This Row],[promien]]=40000,1,0)</f>
        <v>0</v>
      </c>
      <c r="F9677" s="1">
        <v>3.1373359512245531</v>
      </c>
      <c r="G9677" s="1">
        <v>4.256702365240006E-3</v>
      </c>
    </row>
    <row r="9678" spans="1:7">
      <c r="A9678">
        <v>106</v>
      </c>
      <c r="B9678">
        <v>296</v>
      </c>
      <c r="C9678" s="1">
        <f>(Tabela1[[#This Row],[x]]-H$3)*(Tabela1[[#This Row],[x]]-H$3) +(Tabela1[[#This Row],[y]]-H$4)*(Tabela1[[#This Row],[y]]-H$4)</f>
        <v>18052</v>
      </c>
      <c r="D9678" s="1">
        <f>IF(Tabela1[[#This Row],[promien]]&lt;40000,1,0)</f>
        <v>1</v>
      </c>
      <c r="E9678" s="1">
        <f>IF(Tabela1[[#This Row],[promien]]=40000,1,0)</f>
        <v>0</v>
      </c>
      <c r="F9678" s="1">
        <v>3.1374250878280638</v>
      </c>
      <c r="G9678" s="1">
        <v>4.167565761729275E-3</v>
      </c>
    </row>
    <row r="9679" spans="1:7">
      <c r="A9679">
        <v>389</v>
      </c>
      <c r="B9679">
        <v>141</v>
      </c>
      <c r="C9679" s="1">
        <f>(Tabela1[[#This Row],[x]]-H$3)*(Tabela1[[#This Row],[x]]-H$3) +(Tabela1[[#This Row],[y]]-H$4)*(Tabela1[[#This Row],[y]]-H$4)</f>
        <v>39202</v>
      </c>
      <c r="D9679" s="1">
        <f>IF(Tabela1[[#This Row],[promien]]&lt;40000,1,0)</f>
        <v>1</v>
      </c>
      <c r="E9679" s="1">
        <f>IF(Tabela1[[#This Row],[promien]]=40000,1,0)</f>
        <v>0</v>
      </c>
      <c r="F9679" s="1">
        <v>3.1375142060130177</v>
      </c>
      <c r="G9679" s="1">
        <v>4.0784475767754458E-3</v>
      </c>
    </row>
    <row r="9680" spans="1:7">
      <c r="A9680">
        <v>355</v>
      </c>
      <c r="B9680">
        <v>77</v>
      </c>
      <c r="C9680" s="1">
        <f>(Tabela1[[#This Row],[x]]-H$3)*(Tabela1[[#This Row],[x]]-H$3) +(Tabela1[[#This Row],[y]]-H$4)*(Tabela1[[#This Row],[y]]-H$4)</f>
        <v>39154</v>
      </c>
      <c r="D9680" s="1">
        <f>IF(Tabela1[[#This Row],[promien]]&lt;40000,1,0)</f>
        <v>1</v>
      </c>
      <c r="E9680" s="1">
        <f>IF(Tabela1[[#This Row],[promien]]=40000,1,0)</f>
        <v>0</v>
      </c>
      <c r="F9680" s="1">
        <v>3.1376033057851238</v>
      </c>
      <c r="G9680" s="1">
        <v>3.9893478046693076E-3</v>
      </c>
    </row>
    <row r="9681" spans="1:7">
      <c r="A9681">
        <v>71</v>
      </c>
      <c r="B9681">
        <v>27</v>
      </c>
      <c r="C9681" s="1">
        <f>(Tabela1[[#This Row],[x]]-H$3)*(Tabela1[[#This Row],[x]]-H$3) +(Tabela1[[#This Row],[y]]-H$4)*(Tabela1[[#This Row],[y]]-H$4)</f>
        <v>46570</v>
      </c>
      <c r="D9681" s="1">
        <f>IF(Tabela1[[#This Row],[promien]]&lt;40000,1,0)</f>
        <v>0</v>
      </c>
      <c r="E9681" s="1">
        <f>IF(Tabela1[[#This Row],[promien]]=40000,1,0)</f>
        <v>0</v>
      </c>
      <c r="F9681" s="1">
        <v>3.1372792066935236</v>
      </c>
      <c r="G9681" s="1">
        <v>4.3134468962695571E-3</v>
      </c>
    </row>
    <row r="9682" spans="1:7">
      <c r="A9682">
        <v>122</v>
      </c>
      <c r="B9682">
        <v>356</v>
      </c>
      <c r="C9682" s="1">
        <f>(Tabela1[[#This Row],[x]]-H$3)*(Tabela1[[#This Row],[x]]-H$3) +(Tabela1[[#This Row],[y]]-H$4)*(Tabela1[[#This Row],[y]]-H$4)</f>
        <v>30420</v>
      </c>
      <c r="D9682" s="1">
        <f>IF(Tabela1[[#This Row],[promien]]&lt;40000,1,0)</f>
        <v>1</v>
      </c>
      <c r="E9682" s="1">
        <f>IF(Tabela1[[#This Row],[promien]]=40000,1,0)</f>
        <v>0</v>
      </c>
      <c r="F9682" s="1">
        <v>3.1373683123321627</v>
      </c>
      <c r="G9682" s="1">
        <v>4.2243412576303818E-3</v>
      </c>
    </row>
    <row r="9683" spans="1:7">
      <c r="A9683">
        <v>342</v>
      </c>
      <c r="B9683">
        <v>214</v>
      </c>
      <c r="C9683" s="1">
        <f>(Tabela1[[#This Row],[x]]-H$3)*(Tabela1[[#This Row],[x]]-H$3) +(Tabela1[[#This Row],[y]]-H$4)*(Tabela1[[#This Row],[y]]-H$4)</f>
        <v>20360</v>
      </c>
      <c r="D9683" s="1">
        <f>IF(Tabela1[[#This Row],[promien]]&lt;40000,1,0)</f>
        <v>1</v>
      </c>
      <c r="E9683" s="1">
        <f>IF(Tabela1[[#This Row],[promien]]=40000,1,0)</f>
        <v>0</v>
      </c>
      <c r="F9683" s="1">
        <v>3.1374573995662502</v>
      </c>
      <c r="G9683" s="1">
        <v>4.135254023542867E-3</v>
      </c>
    </row>
    <row r="9684" spans="1:7">
      <c r="A9684">
        <v>337</v>
      </c>
      <c r="B9684">
        <v>107</v>
      </c>
      <c r="C9684" s="1">
        <f>(Tabela1[[#This Row],[x]]-H$3)*(Tabela1[[#This Row],[x]]-H$3) +(Tabela1[[#This Row],[y]]-H$4)*(Tabela1[[#This Row],[y]]-H$4)</f>
        <v>27418</v>
      </c>
      <c r="D9684" s="1">
        <f>IF(Tabela1[[#This Row],[promien]]&lt;40000,1,0)</f>
        <v>1</v>
      </c>
      <c r="E9684" s="1">
        <f>IF(Tabela1[[#This Row],[promien]]=40000,1,0)</f>
        <v>0</v>
      </c>
      <c r="F9684" s="1">
        <v>3.1375464684014869</v>
      </c>
      <c r="G9684" s="1">
        <v>4.0461851883062394E-3</v>
      </c>
    </row>
    <row r="9685" spans="1:7">
      <c r="A9685">
        <v>71</v>
      </c>
      <c r="B9685">
        <v>226</v>
      </c>
      <c r="C9685" s="1">
        <f>(Tabela1[[#This Row],[x]]-H$3)*(Tabela1[[#This Row],[x]]-H$3) +(Tabela1[[#This Row],[y]]-H$4)*(Tabela1[[#This Row],[y]]-H$4)</f>
        <v>17317</v>
      </c>
      <c r="D9685" s="1">
        <f>IF(Tabela1[[#This Row],[promien]]&lt;40000,1,0)</f>
        <v>1</v>
      </c>
      <c r="E9685" s="1">
        <f>IF(Tabela1[[#This Row],[promien]]=40000,1,0)</f>
        <v>0</v>
      </c>
      <c r="F9685" s="1">
        <v>3.1376355188435725</v>
      </c>
      <c r="G9685" s="1">
        <v>3.9571347462206141E-3</v>
      </c>
    </row>
    <row r="9686" spans="1:7">
      <c r="A9686">
        <v>70</v>
      </c>
      <c r="B9686">
        <v>159</v>
      </c>
      <c r="C9686" s="1">
        <f>(Tabela1[[#This Row],[x]]-H$3)*(Tabela1[[#This Row],[x]]-H$3) +(Tabela1[[#This Row],[y]]-H$4)*(Tabela1[[#This Row],[y]]-H$4)</f>
        <v>18581</v>
      </c>
      <c r="D9686" s="1">
        <f>IF(Tabela1[[#This Row],[promien]]&lt;40000,1,0)</f>
        <v>1</v>
      </c>
      <c r="E9686" s="1">
        <f>IF(Tabela1[[#This Row],[promien]]=40000,1,0)</f>
        <v>0</v>
      </c>
      <c r="F9686" s="1">
        <v>3.1377245508982035</v>
      </c>
      <c r="G9686" s="1">
        <v>3.8681026915896588E-3</v>
      </c>
    </row>
    <row r="9687" spans="1:7">
      <c r="A9687">
        <v>33</v>
      </c>
      <c r="B9687">
        <v>283</v>
      </c>
      <c r="C9687" s="1">
        <f>(Tabela1[[#This Row],[x]]-H$3)*(Tabela1[[#This Row],[x]]-H$3) +(Tabela1[[#This Row],[y]]-H$4)*(Tabela1[[#This Row],[y]]-H$4)</f>
        <v>34778</v>
      </c>
      <c r="D9687" s="1">
        <f>IF(Tabela1[[#This Row],[promien]]&lt;40000,1,0)</f>
        <v>1</v>
      </c>
      <c r="E9687" s="1">
        <f>IF(Tabela1[[#This Row],[promien]]=40000,1,0)</f>
        <v>0</v>
      </c>
      <c r="F9687" s="1">
        <v>3.1378135645710747</v>
      </c>
      <c r="G9687" s="1">
        <v>3.7790890187183734E-3</v>
      </c>
    </row>
    <row r="9688" spans="1:7">
      <c r="A9688">
        <v>47</v>
      </c>
      <c r="B9688">
        <v>316</v>
      </c>
      <c r="C9688" s="1">
        <f>(Tabela1[[#This Row],[x]]-H$3)*(Tabela1[[#This Row],[x]]-H$3) +(Tabela1[[#This Row],[y]]-H$4)*(Tabela1[[#This Row],[y]]-H$4)</f>
        <v>36865</v>
      </c>
      <c r="D9688" s="1">
        <f>IF(Tabela1[[#This Row],[promien]]&lt;40000,1,0)</f>
        <v>1</v>
      </c>
      <c r="E9688" s="1">
        <f>IF(Tabela1[[#This Row],[promien]]=40000,1,0)</f>
        <v>0</v>
      </c>
      <c r="F9688" s="1">
        <v>3.1379025598678778</v>
      </c>
      <c r="G9688" s="1">
        <v>3.6900937219153107E-3</v>
      </c>
    </row>
    <row r="9689" spans="1:7">
      <c r="A9689">
        <v>127</v>
      </c>
      <c r="B9689">
        <v>393</v>
      </c>
      <c r="C9689" s="1">
        <f>(Tabela1[[#This Row],[x]]-H$3)*(Tabela1[[#This Row],[x]]-H$3) +(Tabela1[[#This Row],[y]]-H$4)*(Tabela1[[#This Row],[y]]-H$4)</f>
        <v>42578</v>
      </c>
      <c r="D9689" s="1">
        <f>IF(Tabela1[[#This Row],[promien]]&lt;40000,1,0)</f>
        <v>0</v>
      </c>
      <c r="E9689" s="1">
        <f>IF(Tabela1[[#This Row],[promien]]=40000,1,0)</f>
        <v>0</v>
      </c>
      <c r="F9689" s="1">
        <v>3.137578697492001</v>
      </c>
      <c r="G9689" s="1">
        <v>4.0139560977920929E-3</v>
      </c>
    </row>
    <row r="9690" spans="1:7">
      <c r="A9690">
        <v>193</v>
      </c>
      <c r="B9690">
        <v>219</v>
      </c>
      <c r="C9690" s="1">
        <f>(Tabela1[[#This Row],[x]]-H$3)*(Tabela1[[#This Row],[x]]-H$3) +(Tabela1[[#This Row],[y]]-H$4)*(Tabela1[[#This Row],[y]]-H$4)</f>
        <v>410</v>
      </c>
      <c r="D9690" s="1">
        <f>IF(Tabela1[[#This Row],[promien]]&lt;40000,1,0)</f>
        <v>1</v>
      </c>
      <c r="E9690" s="1">
        <f>IF(Tabela1[[#This Row],[promien]]=40000,1,0)</f>
        <v>0</v>
      </c>
      <c r="F9690" s="1">
        <v>3.1376676986584107</v>
      </c>
      <c r="G9690" s="1">
        <v>3.9249549313824517E-3</v>
      </c>
    </row>
    <row r="9691" spans="1:7">
      <c r="A9691">
        <v>226</v>
      </c>
      <c r="B9691">
        <v>335</v>
      </c>
      <c r="C9691" s="1">
        <f>(Tabela1[[#This Row],[x]]-H$3)*(Tabela1[[#This Row],[x]]-H$3) +(Tabela1[[#This Row],[y]]-H$4)*(Tabela1[[#This Row],[y]]-H$4)</f>
        <v>18901</v>
      </c>
      <c r="D9691" s="1">
        <f>IF(Tabela1[[#This Row],[promien]]&lt;40000,1,0)</f>
        <v>1</v>
      </c>
      <c r="E9691" s="1">
        <f>IF(Tabela1[[#This Row],[promien]]=40000,1,0)</f>
        <v>0</v>
      </c>
      <c r="F9691" s="1">
        <v>3.1377566814570219</v>
      </c>
      <c r="G9691" s="1">
        <v>3.8359721327712037E-3</v>
      </c>
    </row>
    <row r="9692" spans="1:7">
      <c r="A9692">
        <v>328</v>
      </c>
      <c r="B9692">
        <v>19</v>
      </c>
      <c r="C9692" s="1">
        <f>(Tabela1[[#This Row],[x]]-H$3)*(Tabela1[[#This Row],[x]]-H$3) +(Tabela1[[#This Row],[y]]-H$4)*(Tabela1[[#This Row],[y]]-H$4)</f>
        <v>49145</v>
      </c>
      <c r="D9692" s="1">
        <f>IF(Tabela1[[#This Row],[promien]]&lt;40000,1,0)</f>
        <v>0</v>
      </c>
      <c r="E9692" s="1">
        <f>IF(Tabela1[[#This Row],[promien]]=40000,1,0)</f>
        <v>0</v>
      </c>
      <c r="F9692" s="1">
        <v>3.1374329343788694</v>
      </c>
      <c r="G9692" s="1">
        <v>4.1597192109237291E-3</v>
      </c>
    </row>
    <row r="9693" spans="1:7">
      <c r="A9693">
        <v>214</v>
      </c>
      <c r="B9693">
        <v>365</v>
      </c>
      <c r="C9693" s="1">
        <f>(Tabela1[[#This Row],[x]]-H$3)*(Tabela1[[#This Row],[x]]-H$3) +(Tabela1[[#This Row],[y]]-H$4)*(Tabela1[[#This Row],[y]]-H$4)</f>
        <v>27421</v>
      </c>
      <c r="D9693" s="1">
        <f>IF(Tabela1[[#This Row],[promien]]&lt;40000,1,0)</f>
        <v>1</v>
      </c>
      <c r="E9693" s="1">
        <f>IF(Tabela1[[#This Row],[promien]]=40000,1,0)</f>
        <v>0</v>
      </c>
      <c r="F9693" s="1">
        <v>3.1375219230372435</v>
      </c>
      <c r="G9693" s="1">
        <v>4.070730552549584E-3</v>
      </c>
    </row>
    <row r="9694" spans="1:7">
      <c r="A9694">
        <v>276</v>
      </c>
      <c r="B9694">
        <v>187</v>
      </c>
      <c r="C9694" s="1">
        <f>(Tabela1[[#This Row],[x]]-H$3)*(Tabela1[[#This Row],[x]]-H$3) +(Tabela1[[#This Row],[y]]-H$4)*(Tabela1[[#This Row],[y]]-H$4)</f>
        <v>5945</v>
      </c>
      <c r="D9694" s="1">
        <f>IF(Tabela1[[#This Row],[promien]]&lt;40000,1,0)</f>
        <v>1</v>
      </c>
      <c r="E9694" s="1">
        <f>IF(Tabela1[[#This Row],[promien]]=40000,1,0)</f>
        <v>0</v>
      </c>
      <c r="F9694" s="1">
        <v>3.1376108933360842</v>
      </c>
      <c r="G9694" s="1">
        <v>3.9817602537088881E-3</v>
      </c>
    </row>
    <row r="9695" spans="1:7">
      <c r="A9695">
        <v>306</v>
      </c>
      <c r="B9695">
        <v>152</v>
      </c>
      <c r="C9695" s="1">
        <f>(Tabela1[[#This Row],[x]]-H$3)*(Tabela1[[#This Row],[x]]-H$3) +(Tabela1[[#This Row],[y]]-H$4)*(Tabela1[[#This Row],[y]]-H$4)</f>
        <v>13540</v>
      </c>
      <c r="D9695" s="1">
        <f>IF(Tabela1[[#This Row],[promien]]&lt;40000,1,0)</f>
        <v>1</v>
      </c>
      <c r="E9695" s="1">
        <f>IF(Tabela1[[#This Row],[promien]]=40000,1,0)</f>
        <v>0</v>
      </c>
      <c r="F9695" s="1">
        <v>3.1376998452810727</v>
      </c>
      <c r="G9695" s="1">
        <v>3.892808308720408E-3</v>
      </c>
    </row>
    <row r="9696" spans="1:7">
      <c r="A9696">
        <v>285</v>
      </c>
      <c r="B9696">
        <v>122</v>
      </c>
      <c r="C9696" s="1">
        <f>(Tabela1[[#This Row],[x]]-H$3)*(Tabela1[[#This Row],[x]]-H$3) +(Tabela1[[#This Row],[y]]-H$4)*(Tabela1[[#This Row],[y]]-H$4)</f>
        <v>13309</v>
      </c>
      <c r="D9696" s="1">
        <f>IF(Tabela1[[#This Row],[promien]]&lt;40000,1,0)</f>
        <v>1</v>
      </c>
      <c r="E9696" s="1">
        <f>IF(Tabela1[[#This Row],[promien]]=40000,1,0)</f>
        <v>0</v>
      </c>
      <c r="F9696" s="1">
        <v>3.137788778877888</v>
      </c>
      <c r="G9696" s="1">
        <v>3.8038747119051308E-3</v>
      </c>
    </row>
    <row r="9697" spans="1:7">
      <c r="A9697">
        <v>199</v>
      </c>
      <c r="B9697">
        <v>379</v>
      </c>
      <c r="C9697" s="1">
        <f>(Tabela1[[#This Row],[x]]-H$3)*(Tabela1[[#This Row],[x]]-H$3) +(Tabela1[[#This Row],[y]]-H$4)*(Tabela1[[#This Row],[y]]-H$4)</f>
        <v>32042</v>
      </c>
      <c r="D9697" s="1">
        <f>IF(Tabela1[[#This Row],[promien]]&lt;40000,1,0)</f>
        <v>1</v>
      </c>
      <c r="E9697" s="1">
        <f>IF(Tabela1[[#This Row],[promien]]=40000,1,0)</f>
        <v>0</v>
      </c>
      <c r="F9697" s="1">
        <v>3.137877694132206</v>
      </c>
      <c r="G9697" s="1">
        <v>3.7149594575871525E-3</v>
      </c>
    </row>
    <row r="9698" spans="1:7">
      <c r="A9698">
        <v>303</v>
      </c>
      <c r="B9698">
        <v>326</v>
      </c>
      <c r="C9698" s="1">
        <f>(Tabela1[[#This Row],[x]]-H$3)*(Tabela1[[#This Row],[x]]-H$3) +(Tabela1[[#This Row],[y]]-H$4)*(Tabela1[[#This Row],[y]]-H$4)</f>
        <v>26485</v>
      </c>
      <c r="D9698" s="1">
        <f>IF(Tabela1[[#This Row],[promien]]&lt;40000,1,0)</f>
        <v>1</v>
      </c>
      <c r="E9698" s="1">
        <f>IF(Tabela1[[#This Row],[promien]]=40000,1,0)</f>
        <v>0</v>
      </c>
      <c r="F9698" s="1">
        <v>3.1379665910497008</v>
      </c>
      <c r="G9698" s="1">
        <v>3.6260625400923452E-3</v>
      </c>
    </row>
    <row r="9699" spans="1:7">
      <c r="A9699">
        <v>112</v>
      </c>
      <c r="B9699">
        <v>6</v>
      </c>
      <c r="C9699" s="1">
        <f>(Tabela1[[#This Row],[x]]-H$3)*(Tabela1[[#This Row],[x]]-H$3) +(Tabela1[[#This Row],[y]]-H$4)*(Tabela1[[#This Row],[y]]-H$4)</f>
        <v>45380</v>
      </c>
      <c r="D9699" s="1">
        <f>IF(Tabela1[[#This Row],[promien]]&lt;40000,1,0)</f>
        <v>0</v>
      </c>
      <c r="E9699" s="1">
        <f>IF(Tabela1[[#This Row],[promien]]=40000,1,0)</f>
        <v>0</v>
      </c>
      <c r="F9699" s="1">
        <v>3.1376430559851531</v>
      </c>
      <c r="G9699" s="1">
        <v>3.9495976046399761E-3</v>
      </c>
    </row>
    <row r="9700" spans="1:7">
      <c r="A9700">
        <v>92</v>
      </c>
      <c r="B9700">
        <v>310</v>
      </c>
      <c r="C9700" s="1">
        <f>(Tabela1[[#This Row],[x]]-H$3)*(Tabela1[[#This Row],[x]]-H$3) +(Tabela1[[#This Row],[y]]-H$4)*(Tabela1[[#This Row],[y]]-H$4)</f>
        <v>23764</v>
      </c>
      <c r="D9700" s="1">
        <f>IF(Tabela1[[#This Row],[promien]]&lt;40000,1,0)</f>
        <v>1</v>
      </c>
      <c r="E9700" s="1">
        <f>IF(Tabela1[[#This Row],[promien]]=40000,1,0)</f>
        <v>0</v>
      </c>
      <c r="F9700" s="1">
        <v>3.1377319587628865</v>
      </c>
      <c r="G9700" s="1">
        <v>3.8606948269066521E-3</v>
      </c>
    </row>
    <row r="9701" spans="1:7">
      <c r="A9701">
        <v>257</v>
      </c>
      <c r="B9701">
        <v>329</v>
      </c>
      <c r="C9701" s="1">
        <f>(Tabela1[[#This Row],[x]]-H$3)*(Tabela1[[#This Row],[x]]-H$3) +(Tabela1[[#This Row],[y]]-H$4)*(Tabela1[[#This Row],[y]]-H$4)</f>
        <v>19890</v>
      </c>
      <c r="D9701" s="1">
        <f>IF(Tabela1[[#This Row],[promien]]&lt;40000,1,0)</f>
        <v>1</v>
      </c>
      <c r="E9701" s="1">
        <f>IF(Tabela1[[#This Row],[promien]]=40000,1,0)</f>
        <v>0</v>
      </c>
      <c r="F9701" s="1">
        <v>3.1378208432120398</v>
      </c>
      <c r="G9701" s="1">
        <v>3.7718103777533152E-3</v>
      </c>
    </row>
    <row r="9702" spans="1:7">
      <c r="A9702">
        <v>237</v>
      </c>
      <c r="B9702">
        <v>378</v>
      </c>
      <c r="C9702" s="1">
        <f>(Tabela1[[#This Row],[x]]-H$3)*(Tabela1[[#This Row],[x]]-H$3) +(Tabela1[[#This Row],[y]]-H$4)*(Tabela1[[#This Row],[y]]-H$4)</f>
        <v>33053</v>
      </c>
      <c r="D9702" s="1">
        <f>IF(Tabela1[[#This Row],[promien]]&lt;40000,1,0)</f>
        <v>1</v>
      </c>
      <c r="E9702" s="1">
        <f>IF(Tabela1[[#This Row],[promien]]=40000,1,0)</f>
        <v>0</v>
      </c>
      <c r="F9702" s="1">
        <v>3.1379097093382806</v>
      </c>
      <c r="G9702" s="1">
        <v>3.6829442515124988E-3</v>
      </c>
    </row>
    <row r="9703" spans="1:7">
      <c r="A9703">
        <v>201</v>
      </c>
      <c r="B9703">
        <v>24</v>
      </c>
      <c r="C9703" s="1">
        <f>(Tabela1[[#This Row],[x]]-H$3)*(Tabela1[[#This Row],[x]]-H$3) +(Tabela1[[#This Row],[y]]-H$4)*(Tabela1[[#This Row],[y]]-H$4)</f>
        <v>30977</v>
      </c>
      <c r="D9703" s="1">
        <f>IF(Tabela1[[#This Row],[promien]]&lt;40000,1,0)</f>
        <v>1</v>
      </c>
      <c r="E9703" s="1">
        <f>IF(Tabela1[[#This Row],[promien]]=40000,1,0)</f>
        <v>0</v>
      </c>
      <c r="F9703" s="1">
        <v>3.1379985571472742</v>
      </c>
      <c r="G9703" s="1">
        <v>3.594096442518957E-3</v>
      </c>
    </row>
    <row r="9704" spans="1:7">
      <c r="A9704">
        <v>257</v>
      </c>
      <c r="B9704">
        <v>321</v>
      </c>
      <c r="C9704" s="1">
        <f>(Tabela1[[#This Row],[x]]-H$3)*(Tabela1[[#This Row],[x]]-H$3) +(Tabela1[[#This Row],[y]]-H$4)*(Tabela1[[#This Row],[y]]-H$4)</f>
        <v>17890</v>
      </c>
      <c r="D9704" s="1">
        <f>IF(Tabela1[[#This Row],[promien]]&lt;40000,1,0)</f>
        <v>1</v>
      </c>
      <c r="E9704" s="1">
        <f>IF(Tabela1[[#This Row],[promien]]=40000,1,0)</f>
        <v>0</v>
      </c>
      <c r="F9704" s="1">
        <v>3.1380873866446826</v>
      </c>
      <c r="G9704" s="1">
        <v>3.5052669451105523E-3</v>
      </c>
    </row>
    <row r="9705" spans="1:7">
      <c r="A9705">
        <v>222</v>
      </c>
      <c r="B9705">
        <v>44</v>
      </c>
      <c r="C9705" s="1">
        <f>(Tabela1[[#This Row],[x]]-H$3)*(Tabela1[[#This Row],[x]]-H$3) +(Tabela1[[#This Row],[y]]-H$4)*(Tabela1[[#This Row],[y]]-H$4)</f>
        <v>24820</v>
      </c>
      <c r="D9705" s="1">
        <f>IF(Tabela1[[#This Row],[promien]]&lt;40000,1,0)</f>
        <v>1</v>
      </c>
      <c r="E9705" s="1">
        <f>IF(Tabela1[[#This Row],[promien]]=40000,1,0)</f>
        <v>0</v>
      </c>
      <c r="F9705" s="1">
        <v>3.1381761978361671</v>
      </c>
      <c r="G9705" s="1">
        <v>3.4164557536260354E-3</v>
      </c>
    </row>
    <row r="9706" spans="1:7">
      <c r="A9706">
        <v>389</v>
      </c>
      <c r="B9706">
        <v>16</v>
      </c>
      <c r="C9706" s="1">
        <f>(Tabela1[[#This Row],[x]]-H$3)*(Tabela1[[#This Row],[x]]-H$3) +(Tabela1[[#This Row],[y]]-H$4)*(Tabela1[[#This Row],[y]]-H$4)</f>
        <v>69577</v>
      </c>
      <c r="D9706" s="1">
        <f>IF(Tabela1[[#This Row],[promien]]&lt;40000,1,0)</f>
        <v>0</v>
      </c>
      <c r="E9706" s="1">
        <f>IF(Tabela1[[#This Row],[promien]]=40000,1,0)</f>
        <v>0</v>
      </c>
      <c r="F9706" s="1">
        <v>3.137852874510612</v>
      </c>
      <c r="G9706" s="1">
        <v>3.7397790791811047E-3</v>
      </c>
    </row>
    <row r="9707" spans="1:7">
      <c r="A9707">
        <v>40</v>
      </c>
      <c r="B9707">
        <v>146</v>
      </c>
      <c r="C9707" s="1">
        <f>(Tabela1[[#This Row],[x]]-H$3)*(Tabela1[[#This Row],[x]]-H$3) +(Tabela1[[#This Row],[y]]-H$4)*(Tabela1[[#This Row],[y]]-H$4)</f>
        <v>28516</v>
      </c>
      <c r="D9707" s="1">
        <f>IF(Tabela1[[#This Row],[promien]]&lt;40000,1,0)</f>
        <v>1</v>
      </c>
      <c r="E9707" s="1">
        <f>IF(Tabela1[[#This Row],[promien]]=40000,1,0)</f>
        <v>0</v>
      </c>
      <c r="F9707" s="1">
        <v>3.1379416915627898</v>
      </c>
      <c r="G9707" s="1">
        <v>3.6509620270033238E-3</v>
      </c>
    </row>
    <row r="9708" spans="1:7">
      <c r="A9708">
        <v>160</v>
      </c>
      <c r="B9708">
        <v>287</v>
      </c>
      <c r="C9708" s="1">
        <f>(Tabela1[[#This Row],[x]]-H$3)*(Tabela1[[#This Row],[x]]-H$3) +(Tabela1[[#This Row],[y]]-H$4)*(Tabela1[[#This Row],[y]]-H$4)</f>
        <v>9169</v>
      </c>
      <c r="D9708" s="1">
        <f>IF(Tabela1[[#This Row],[promien]]&lt;40000,1,0)</f>
        <v>1</v>
      </c>
      <c r="E9708" s="1">
        <f>IF(Tabela1[[#This Row],[promien]]=40000,1,0)</f>
        <v>0</v>
      </c>
      <c r="F9708" s="1">
        <v>3.1380304903172642</v>
      </c>
      <c r="G9708" s="1">
        <v>3.5621632725288954E-3</v>
      </c>
    </row>
    <row r="9709" spans="1:7">
      <c r="A9709">
        <v>92</v>
      </c>
      <c r="B9709">
        <v>39</v>
      </c>
      <c r="C9709" s="1">
        <f>(Tabela1[[#This Row],[x]]-H$3)*(Tabela1[[#This Row],[x]]-H$3) +(Tabela1[[#This Row],[y]]-H$4)*(Tabela1[[#This Row],[y]]-H$4)</f>
        <v>37585</v>
      </c>
      <c r="D9709" s="1">
        <f>IF(Tabela1[[#This Row],[promien]]&lt;40000,1,0)</f>
        <v>1</v>
      </c>
      <c r="E9709" s="1">
        <f>IF(Tabela1[[#This Row],[promien]]=40000,1,0)</f>
        <v>0</v>
      </c>
      <c r="F9709" s="1">
        <v>3.138119270779689</v>
      </c>
      <c r="G9709" s="1">
        <v>3.4733828101041198E-3</v>
      </c>
    </row>
    <row r="9710" spans="1:7">
      <c r="A9710">
        <v>18</v>
      </c>
      <c r="B9710">
        <v>58</v>
      </c>
      <c r="C9710" s="1">
        <f>(Tabela1[[#This Row],[x]]-H$3)*(Tabela1[[#This Row],[x]]-H$3) +(Tabela1[[#This Row],[y]]-H$4)*(Tabela1[[#This Row],[y]]-H$4)</f>
        <v>53288</v>
      </c>
      <c r="D9710" s="1">
        <f>IF(Tabela1[[#This Row],[promien]]&lt;40000,1,0)</f>
        <v>0</v>
      </c>
      <c r="E9710" s="1">
        <f>IF(Tabela1[[#This Row],[promien]]=40000,1,0)</f>
        <v>0</v>
      </c>
      <c r="F9710" s="1">
        <v>3.1377960865087537</v>
      </c>
      <c r="G9710" s="1">
        <v>3.7965670810393704E-3</v>
      </c>
    </row>
    <row r="9711" spans="1:7">
      <c r="A9711">
        <v>226</v>
      </c>
      <c r="B9711">
        <v>201</v>
      </c>
      <c r="C9711" s="1">
        <f>(Tabela1[[#This Row],[x]]-H$3)*(Tabela1[[#This Row],[x]]-H$3) +(Tabela1[[#This Row],[y]]-H$4)*(Tabela1[[#This Row],[y]]-H$4)</f>
        <v>677</v>
      </c>
      <c r="D9711" s="1">
        <f>IF(Tabela1[[#This Row],[promien]]&lt;40000,1,0)</f>
        <v>1</v>
      </c>
      <c r="E9711" s="1">
        <f>IF(Tabela1[[#This Row],[promien]]=40000,1,0)</f>
        <v>0</v>
      </c>
      <c r="F9711" s="1">
        <v>3.1378848728246318</v>
      </c>
      <c r="G9711" s="1">
        <v>3.707780765161317E-3</v>
      </c>
    </row>
    <row r="9712" spans="1:7">
      <c r="A9712">
        <v>103</v>
      </c>
      <c r="B9712">
        <v>286</v>
      </c>
      <c r="C9712" s="1">
        <f>(Tabela1[[#This Row],[x]]-H$3)*(Tabela1[[#This Row],[x]]-H$3) +(Tabela1[[#This Row],[y]]-H$4)*(Tabela1[[#This Row],[y]]-H$4)</f>
        <v>16805</v>
      </c>
      <c r="D9712" s="1">
        <f>IF(Tabela1[[#This Row],[promien]]&lt;40000,1,0)</f>
        <v>1</v>
      </c>
      <c r="E9712" s="1">
        <f>IF(Tabela1[[#This Row],[promien]]=40000,1,0)</f>
        <v>0</v>
      </c>
      <c r="F9712" s="1">
        <v>3.1379736408566723</v>
      </c>
      <c r="G9712" s="1">
        <v>3.6190127331208188E-3</v>
      </c>
    </row>
    <row r="9713" spans="1:7">
      <c r="A9713">
        <v>260</v>
      </c>
      <c r="B9713">
        <v>100</v>
      </c>
      <c r="C9713" s="1">
        <f>(Tabela1[[#This Row],[x]]-H$3)*(Tabela1[[#This Row],[x]]-H$3) +(Tabela1[[#This Row],[y]]-H$4)*(Tabela1[[#This Row],[y]]-H$4)</f>
        <v>13600</v>
      </c>
      <c r="D9713" s="1">
        <f>IF(Tabela1[[#This Row],[promien]]&lt;40000,1,0)</f>
        <v>1</v>
      </c>
      <c r="E9713" s="1">
        <f>IF(Tabela1[[#This Row],[promien]]=40000,1,0)</f>
        <v>0</v>
      </c>
      <c r="F9713" s="1">
        <v>3.1380623906105218</v>
      </c>
      <c r="G9713" s="1">
        <v>3.5302629792712814E-3</v>
      </c>
    </row>
    <row r="9714" spans="1:7">
      <c r="A9714">
        <v>258</v>
      </c>
      <c r="B9714">
        <v>157</v>
      </c>
      <c r="C9714" s="1">
        <f>(Tabela1[[#This Row],[x]]-H$3)*(Tabela1[[#This Row],[x]]-H$3) +(Tabela1[[#This Row],[y]]-H$4)*(Tabela1[[#This Row],[y]]-H$4)</f>
        <v>5213</v>
      </c>
      <c r="D9714" s="1">
        <f>IF(Tabela1[[#This Row],[promien]]&lt;40000,1,0)</f>
        <v>1</v>
      </c>
      <c r="E9714" s="1">
        <f>IF(Tabela1[[#This Row],[promien]]=40000,1,0)</f>
        <v>0</v>
      </c>
      <c r="F9714" s="1">
        <v>3.1381511220918261</v>
      </c>
      <c r="G9714" s="1">
        <v>3.4415314979669986E-3</v>
      </c>
    </row>
    <row r="9715" spans="1:7">
      <c r="A9715">
        <v>120</v>
      </c>
      <c r="B9715">
        <v>36</v>
      </c>
      <c r="C9715" s="1">
        <f>(Tabela1[[#This Row],[x]]-H$3)*(Tabela1[[#This Row],[x]]-H$3) +(Tabela1[[#This Row],[y]]-H$4)*(Tabela1[[#This Row],[y]]-H$4)</f>
        <v>33296</v>
      </c>
      <c r="D9715" s="1">
        <f>IF(Tabela1[[#This Row],[promien]]&lt;40000,1,0)</f>
        <v>1</v>
      </c>
      <c r="E9715" s="1">
        <f>IF(Tabela1[[#This Row],[promien]]=40000,1,0)</f>
        <v>0</v>
      </c>
      <c r="F9715" s="1">
        <v>3.1382398353062273</v>
      </c>
      <c r="G9715" s="1">
        <v>3.3528182835658171E-3</v>
      </c>
    </row>
    <row r="9716" spans="1:7">
      <c r="A9716">
        <v>335</v>
      </c>
      <c r="B9716">
        <v>341</v>
      </c>
      <c r="C9716" s="1">
        <f>(Tabela1[[#This Row],[x]]-H$3)*(Tabela1[[#This Row],[x]]-H$3) +(Tabela1[[#This Row],[y]]-H$4)*(Tabela1[[#This Row],[y]]-H$4)</f>
        <v>38106</v>
      </c>
      <c r="D9716" s="1">
        <f>IF(Tabela1[[#This Row],[promien]]&lt;40000,1,0)</f>
        <v>1</v>
      </c>
      <c r="E9716" s="1">
        <f>IF(Tabela1[[#This Row],[promien]]=40000,1,0)</f>
        <v>0</v>
      </c>
      <c r="F9716" s="1">
        <v>3.1383285302593662</v>
      </c>
      <c r="G9716" s="1">
        <v>3.2641233304269157E-3</v>
      </c>
    </row>
    <row r="9717" spans="1:7">
      <c r="A9717">
        <v>354</v>
      </c>
      <c r="B9717">
        <v>188</v>
      </c>
      <c r="C9717" s="1">
        <f>(Tabela1[[#This Row],[x]]-H$3)*(Tabela1[[#This Row],[x]]-H$3) +(Tabela1[[#This Row],[y]]-H$4)*(Tabela1[[#This Row],[y]]-H$4)</f>
        <v>23860</v>
      </c>
      <c r="D9717" s="1">
        <f>IF(Tabela1[[#This Row],[promien]]&lt;40000,1,0)</f>
        <v>1</v>
      </c>
      <c r="E9717" s="1">
        <f>IF(Tabela1[[#This Row],[promien]]=40000,1,0)</f>
        <v>0</v>
      </c>
      <c r="F9717" s="1">
        <v>3.1384172069568796</v>
      </c>
      <c r="G9717" s="1">
        <v>3.1754466329134701E-3</v>
      </c>
    </row>
    <row r="9718" spans="1:7">
      <c r="A9718">
        <v>93</v>
      </c>
      <c r="B9718">
        <v>266</v>
      </c>
      <c r="C9718" s="1">
        <f>(Tabela1[[#This Row],[x]]-H$3)*(Tabela1[[#This Row],[x]]-H$3) +(Tabela1[[#This Row],[y]]-H$4)*(Tabela1[[#This Row],[y]]-H$4)</f>
        <v>15805</v>
      </c>
      <c r="D9718" s="1">
        <f>IF(Tabela1[[#This Row],[promien]]&lt;40000,1,0)</f>
        <v>1</v>
      </c>
      <c r="E9718" s="1">
        <f>IF(Tabela1[[#This Row],[promien]]=40000,1,0)</f>
        <v>0</v>
      </c>
      <c r="F9718" s="1">
        <v>3.138505865404404</v>
      </c>
      <c r="G9718" s="1">
        <v>3.0867881853890999E-3</v>
      </c>
    </row>
    <row r="9719" spans="1:7">
      <c r="A9719">
        <v>346</v>
      </c>
      <c r="B9719">
        <v>307</v>
      </c>
      <c r="C9719" s="1">
        <f>(Tabela1[[#This Row],[x]]-H$3)*(Tabela1[[#This Row],[x]]-H$3) +(Tabela1[[#This Row],[y]]-H$4)*(Tabela1[[#This Row],[y]]-H$4)</f>
        <v>32765</v>
      </c>
      <c r="D9719" s="1">
        <f>IF(Tabela1[[#This Row],[promien]]&lt;40000,1,0)</f>
        <v>1</v>
      </c>
      <c r="E9719" s="1">
        <f>IF(Tabela1[[#This Row],[promien]]=40000,1,0)</f>
        <v>0</v>
      </c>
      <c r="F9719" s="1">
        <v>3.1385945056075726</v>
      </c>
      <c r="G9719" s="1">
        <v>2.9981479822205337E-3</v>
      </c>
    </row>
    <row r="9720" spans="1:7">
      <c r="A9720">
        <v>220</v>
      </c>
      <c r="B9720">
        <v>190</v>
      </c>
      <c r="C9720" s="1">
        <f>(Tabela1[[#This Row],[x]]-H$3)*(Tabela1[[#This Row],[x]]-H$3) +(Tabela1[[#This Row],[y]]-H$4)*(Tabela1[[#This Row],[y]]-H$4)</f>
        <v>500</v>
      </c>
      <c r="D9720" s="1">
        <f>IF(Tabela1[[#This Row],[promien]]&lt;40000,1,0)</f>
        <v>1</v>
      </c>
      <c r="E9720" s="1">
        <f>IF(Tabela1[[#This Row],[promien]]=40000,1,0)</f>
        <v>0</v>
      </c>
      <c r="F9720" s="1">
        <v>3.1386831275720164</v>
      </c>
      <c r="G9720" s="1">
        <v>2.9095260177767202E-3</v>
      </c>
    </row>
    <row r="9721" spans="1:7">
      <c r="A9721">
        <v>259</v>
      </c>
      <c r="B9721">
        <v>266</v>
      </c>
      <c r="C9721" s="1">
        <f>(Tabela1[[#This Row],[x]]-H$3)*(Tabela1[[#This Row],[x]]-H$3) +(Tabela1[[#This Row],[y]]-H$4)*(Tabela1[[#This Row],[y]]-H$4)</f>
        <v>7837</v>
      </c>
      <c r="D9721" s="1">
        <f>IF(Tabela1[[#This Row],[promien]]&lt;40000,1,0)</f>
        <v>1</v>
      </c>
      <c r="E9721" s="1">
        <f>IF(Tabela1[[#This Row],[promien]]=40000,1,0)</f>
        <v>0</v>
      </c>
      <c r="F9721" s="1">
        <v>3.1387717313033638</v>
      </c>
      <c r="G9721" s="1">
        <v>2.8209222864292727E-3</v>
      </c>
    </row>
    <row r="9722" spans="1:7">
      <c r="A9722">
        <v>146</v>
      </c>
      <c r="B9722">
        <v>204</v>
      </c>
      <c r="C9722" s="1">
        <f>(Tabela1[[#This Row],[x]]-H$3)*(Tabela1[[#This Row],[x]]-H$3) +(Tabela1[[#This Row],[y]]-H$4)*(Tabela1[[#This Row],[y]]-H$4)</f>
        <v>2932</v>
      </c>
      <c r="D9722" s="1">
        <f>IF(Tabela1[[#This Row],[promien]]&lt;40000,1,0)</f>
        <v>1</v>
      </c>
      <c r="E9722" s="1">
        <f>IF(Tabela1[[#This Row],[promien]]=40000,1,0)</f>
        <v>0</v>
      </c>
      <c r="F9722" s="1">
        <v>3.1388603168072411</v>
      </c>
      <c r="G9722" s="1">
        <v>2.7323367825520251E-3</v>
      </c>
    </row>
    <row r="9723" spans="1:7">
      <c r="A9723">
        <v>332</v>
      </c>
      <c r="B9723">
        <v>316</v>
      </c>
      <c r="C9723" s="1">
        <f>(Tabela1[[#This Row],[x]]-H$3)*(Tabela1[[#This Row],[x]]-H$3) +(Tabela1[[#This Row],[y]]-H$4)*(Tabela1[[#This Row],[y]]-H$4)</f>
        <v>30880</v>
      </c>
      <c r="D9723" s="1">
        <f>IF(Tabela1[[#This Row],[promien]]&lt;40000,1,0)</f>
        <v>1</v>
      </c>
      <c r="E9723" s="1">
        <f>IF(Tabela1[[#This Row],[promien]]=40000,1,0)</f>
        <v>0</v>
      </c>
      <c r="F9723" s="1">
        <v>3.138948884089273</v>
      </c>
      <c r="G9723" s="1">
        <v>2.6437695005201434E-3</v>
      </c>
    </row>
    <row r="9724" spans="1:7">
      <c r="A9724">
        <v>193</v>
      </c>
      <c r="B9724">
        <v>58</v>
      </c>
      <c r="C9724" s="1">
        <f>(Tabela1[[#This Row],[x]]-H$3)*(Tabela1[[#This Row],[x]]-H$3) +(Tabela1[[#This Row],[y]]-H$4)*(Tabela1[[#This Row],[y]]-H$4)</f>
        <v>20213</v>
      </c>
      <c r="D9724" s="1">
        <f>IF(Tabela1[[#This Row],[promien]]&lt;40000,1,0)</f>
        <v>1</v>
      </c>
      <c r="E9724" s="1">
        <f>IF(Tabela1[[#This Row],[promien]]=40000,1,0)</f>
        <v>0</v>
      </c>
      <c r="F9724" s="1">
        <v>3.1390374331550803</v>
      </c>
      <c r="G9724" s="1">
        <v>2.5552204347127905E-3</v>
      </c>
    </row>
    <row r="9725" spans="1:7">
      <c r="A9725">
        <v>157</v>
      </c>
      <c r="B9725">
        <v>67</v>
      </c>
      <c r="C9725" s="1">
        <f>(Tabela1[[#This Row],[x]]-H$3)*(Tabela1[[#This Row],[x]]-H$3) +(Tabela1[[#This Row],[y]]-H$4)*(Tabela1[[#This Row],[y]]-H$4)</f>
        <v>19538</v>
      </c>
      <c r="D9725" s="1">
        <f>IF(Tabela1[[#This Row],[promien]]&lt;40000,1,0)</f>
        <v>1</v>
      </c>
      <c r="E9725" s="1">
        <f>IF(Tabela1[[#This Row],[promien]]=40000,1,0)</f>
        <v>0</v>
      </c>
      <c r="F9725" s="1">
        <v>3.1391259640102827</v>
      </c>
      <c r="G9725" s="1">
        <v>2.4666895795104615E-3</v>
      </c>
    </row>
    <row r="9726" spans="1:7">
      <c r="A9726">
        <v>217</v>
      </c>
      <c r="B9726">
        <v>360</v>
      </c>
      <c r="C9726" s="1">
        <f>(Tabela1[[#This Row],[x]]-H$3)*(Tabela1[[#This Row],[x]]-H$3) +(Tabela1[[#This Row],[y]]-H$4)*(Tabela1[[#This Row],[y]]-H$4)</f>
        <v>25889</v>
      </c>
      <c r="D9726" s="1">
        <f>IF(Tabela1[[#This Row],[promien]]&lt;40000,1,0)</f>
        <v>1</v>
      </c>
      <c r="E9726" s="1">
        <f>IF(Tabela1[[#This Row],[promien]]=40000,1,0)</f>
        <v>0</v>
      </c>
      <c r="F9726" s="1">
        <v>3.1392144766604977</v>
      </c>
      <c r="G9726" s="1">
        <v>2.378176929295428E-3</v>
      </c>
    </row>
    <row r="9727" spans="1:7">
      <c r="A9727">
        <v>346</v>
      </c>
      <c r="B9727">
        <v>12</v>
      </c>
      <c r="C9727" s="1">
        <f>(Tabela1[[#This Row],[x]]-H$3)*(Tabela1[[#This Row],[x]]-H$3) +(Tabela1[[#This Row],[y]]-H$4)*(Tabela1[[#This Row],[y]]-H$4)</f>
        <v>56660</v>
      </c>
      <c r="D9727" s="1">
        <f>IF(Tabela1[[#This Row],[promien]]&lt;40000,1,0)</f>
        <v>0</v>
      </c>
      <c r="E9727" s="1">
        <f>IF(Tabela1[[#This Row],[promien]]=40000,1,0)</f>
        <v>0</v>
      </c>
      <c r="F9727" s="1">
        <v>3.1388917446283542</v>
      </c>
      <c r="G9727" s="1">
        <v>2.7009089614389303E-3</v>
      </c>
    </row>
    <row r="9728" spans="1:7">
      <c r="A9728">
        <v>244</v>
      </c>
      <c r="B9728">
        <v>357</v>
      </c>
      <c r="C9728" s="1">
        <f>(Tabela1[[#This Row],[x]]-H$3)*(Tabela1[[#This Row],[x]]-H$3) +(Tabela1[[#This Row],[y]]-H$4)*(Tabela1[[#This Row],[y]]-H$4)</f>
        <v>26585</v>
      </c>
      <c r="D9728" s="1">
        <f>IF(Tabela1[[#This Row],[promien]]&lt;40000,1,0)</f>
        <v>1</v>
      </c>
      <c r="E9728" s="1">
        <f>IF(Tabela1[[#This Row],[promien]]=40000,1,0)</f>
        <v>0</v>
      </c>
      <c r="F9728" s="1">
        <v>3.1389802631578947</v>
      </c>
      <c r="G9728" s="1">
        <v>2.6123904318984259E-3</v>
      </c>
    </row>
    <row r="9729" spans="1:7">
      <c r="A9729">
        <v>318</v>
      </c>
      <c r="B9729">
        <v>49</v>
      </c>
      <c r="C9729" s="1">
        <f>(Tabela1[[#This Row],[x]]-H$3)*(Tabela1[[#This Row],[x]]-H$3) +(Tabela1[[#This Row],[y]]-H$4)*(Tabela1[[#This Row],[y]]-H$4)</f>
        <v>36725</v>
      </c>
      <c r="D9729" s="1">
        <f>IF(Tabela1[[#This Row],[promien]]&lt;40000,1,0)</f>
        <v>1</v>
      </c>
      <c r="E9729" s="1">
        <f>IF(Tabela1[[#This Row],[promien]]=40000,1,0)</f>
        <v>0</v>
      </c>
      <c r="F9729" s="1">
        <v>3.1390687634905952</v>
      </c>
      <c r="G9729" s="1">
        <v>2.5238900991979563E-3</v>
      </c>
    </row>
    <row r="9730" spans="1:7">
      <c r="A9730">
        <v>287</v>
      </c>
      <c r="B9730">
        <v>16</v>
      </c>
      <c r="C9730" s="1">
        <f>(Tabela1[[#This Row],[x]]-H$3)*(Tabela1[[#This Row],[x]]-H$3) +(Tabela1[[#This Row],[y]]-H$4)*(Tabela1[[#This Row],[y]]-H$4)</f>
        <v>41425</v>
      </c>
      <c r="D9730" s="1">
        <f>IF(Tabela1[[#This Row],[promien]]&lt;40000,1,0)</f>
        <v>0</v>
      </c>
      <c r="E9730" s="1">
        <f>IF(Tabela1[[#This Row],[promien]]=40000,1,0)</f>
        <v>0</v>
      </c>
      <c r="F9730" s="1">
        <v>3.1387461459403907</v>
      </c>
      <c r="G9730" s="1">
        <v>2.8465076494024188E-3</v>
      </c>
    </row>
    <row r="9731" spans="1:7">
      <c r="A9731">
        <v>352</v>
      </c>
      <c r="B9731">
        <v>151</v>
      </c>
      <c r="C9731" s="1">
        <f>(Tabela1[[#This Row],[x]]-H$3)*(Tabela1[[#This Row],[x]]-H$3) +(Tabela1[[#This Row],[y]]-H$4)*(Tabela1[[#This Row],[y]]-H$4)</f>
        <v>25505</v>
      </c>
      <c r="D9731" s="1">
        <f>IF(Tabela1[[#This Row],[promien]]&lt;40000,1,0)</f>
        <v>1</v>
      </c>
      <c r="E9731" s="1">
        <f>IF(Tabela1[[#This Row],[promien]]=40000,1,0)</f>
        <v>0</v>
      </c>
      <c r="F9731" s="1">
        <v>3.1388346521426369</v>
      </c>
      <c r="G9731" s="1">
        <v>2.7580014471562109E-3</v>
      </c>
    </row>
    <row r="9732" spans="1:7">
      <c r="A9732">
        <v>221</v>
      </c>
      <c r="B9732">
        <v>20</v>
      </c>
      <c r="C9732" s="1">
        <f>(Tabela1[[#This Row],[x]]-H$3)*(Tabela1[[#This Row],[x]]-H$3) +(Tabela1[[#This Row],[y]]-H$4)*(Tabela1[[#This Row],[y]]-H$4)</f>
        <v>32841</v>
      </c>
      <c r="D9732" s="1">
        <f>IF(Tabela1[[#This Row],[promien]]&lt;40000,1,0)</f>
        <v>1</v>
      </c>
      <c r="E9732" s="1">
        <f>IF(Tabela1[[#This Row],[promien]]=40000,1,0)</f>
        <v>0</v>
      </c>
      <c r="F9732" s="1">
        <v>3.1389231401561859</v>
      </c>
      <c r="G9732" s="1">
        <v>2.6695134336072179E-3</v>
      </c>
    </row>
    <row r="9733" spans="1:7">
      <c r="A9733">
        <v>385</v>
      </c>
      <c r="B9733">
        <v>14</v>
      </c>
      <c r="C9733" s="1">
        <f>(Tabela1[[#This Row],[x]]-H$3)*(Tabela1[[#This Row],[x]]-H$3) +(Tabela1[[#This Row],[y]]-H$4)*(Tabela1[[#This Row],[y]]-H$4)</f>
        <v>68821</v>
      </c>
      <c r="D9733" s="1">
        <f>IF(Tabela1[[#This Row],[promien]]&lt;40000,1,0)</f>
        <v>0</v>
      </c>
      <c r="E9733" s="1">
        <f>IF(Tabela1[[#This Row],[promien]]=40000,1,0)</f>
        <v>0</v>
      </c>
      <c r="F9733" s="1">
        <v>3.1386006370081168</v>
      </c>
      <c r="G9733" s="1">
        <v>2.99201658167636E-3</v>
      </c>
    </row>
    <row r="9734" spans="1:7">
      <c r="A9734">
        <v>125</v>
      </c>
      <c r="B9734">
        <v>97</v>
      </c>
      <c r="C9734" s="1">
        <f>(Tabela1[[#This Row],[x]]-H$3)*(Tabela1[[#This Row],[x]]-H$3) +(Tabela1[[#This Row],[y]]-H$4)*(Tabela1[[#This Row],[y]]-H$4)</f>
        <v>16234</v>
      </c>
      <c r="D9734" s="1">
        <f>IF(Tabela1[[#This Row],[promien]]&lt;40000,1,0)</f>
        <v>1</v>
      </c>
      <c r="E9734" s="1">
        <f>IF(Tabela1[[#This Row],[promien]]=40000,1,0)</f>
        <v>0</v>
      </c>
      <c r="F9734" s="1">
        <v>3.1386891308814464</v>
      </c>
      <c r="G9734" s="1">
        <v>2.9035227083467063E-3</v>
      </c>
    </row>
    <row r="9735" spans="1:7">
      <c r="A9735">
        <v>100</v>
      </c>
      <c r="B9735">
        <v>60</v>
      </c>
      <c r="C9735" s="1">
        <f>(Tabela1[[#This Row],[x]]-H$3)*(Tabela1[[#This Row],[x]]-H$3) +(Tabela1[[#This Row],[y]]-H$4)*(Tabela1[[#This Row],[y]]-H$4)</f>
        <v>29600</v>
      </c>
      <c r="D9735" s="1">
        <f>IF(Tabela1[[#This Row],[promien]]&lt;40000,1,0)</f>
        <v>1</v>
      </c>
      <c r="E9735" s="1">
        <f>IF(Tabela1[[#This Row],[promien]]=40000,1,0)</f>
        <v>0</v>
      </c>
      <c r="F9735" s="1">
        <v>3.1387776065742168</v>
      </c>
      <c r="G9735" s="1">
        <v>2.815047015576333E-3</v>
      </c>
    </row>
    <row r="9736" spans="1:7">
      <c r="A9736">
        <v>332</v>
      </c>
      <c r="B9736">
        <v>314</v>
      </c>
      <c r="C9736" s="1">
        <f>(Tabela1[[#This Row],[x]]-H$3)*(Tabela1[[#This Row],[x]]-H$3) +(Tabela1[[#This Row],[y]]-H$4)*(Tabela1[[#This Row],[y]]-H$4)</f>
        <v>30420</v>
      </c>
      <c r="D9736" s="1">
        <f>IF(Tabela1[[#This Row],[promien]]&lt;40000,1,0)</f>
        <v>1</v>
      </c>
      <c r="E9736" s="1">
        <f>IF(Tabela1[[#This Row],[promien]]=40000,1,0)</f>
        <v>0</v>
      </c>
      <c r="F9736" s="1">
        <v>3.1388660640920296</v>
      </c>
      <c r="G9736" s="1">
        <v>2.7265894977634986E-3</v>
      </c>
    </row>
    <row r="9737" spans="1:7">
      <c r="A9737">
        <v>157</v>
      </c>
      <c r="B9737">
        <v>360</v>
      </c>
      <c r="C9737" s="1">
        <f>(Tabela1[[#This Row],[x]]-H$3)*(Tabela1[[#This Row],[x]]-H$3) +(Tabela1[[#This Row],[y]]-H$4)*(Tabela1[[#This Row],[y]]-H$4)</f>
        <v>27449</v>
      </c>
      <c r="D9737" s="1">
        <f>IF(Tabela1[[#This Row],[promien]]&lt;40000,1,0)</f>
        <v>1</v>
      </c>
      <c r="E9737" s="1">
        <f>IF(Tabela1[[#This Row],[promien]]=40000,1,0)</f>
        <v>0</v>
      </c>
      <c r="F9737" s="1">
        <v>3.1389545034404849</v>
      </c>
      <c r="G9737" s="1">
        <v>2.6381501493082382E-3</v>
      </c>
    </row>
    <row r="9738" spans="1:7">
      <c r="A9738">
        <v>293</v>
      </c>
      <c r="B9738">
        <v>110</v>
      </c>
      <c r="C9738" s="1">
        <f>(Tabela1[[#This Row],[x]]-H$3)*(Tabela1[[#This Row],[x]]-H$3) +(Tabela1[[#This Row],[y]]-H$4)*(Tabela1[[#This Row],[y]]-H$4)</f>
        <v>16749</v>
      </c>
      <c r="D9738" s="1">
        <f>IF(Tabela1[[#This Row],[promien]]&lt;40000,1,0)</f>
        <v>1</v>
      </c>
      <c r="E9738" s="1">
        <f>IF(Tabela1[[#This Row],[promien]]=40000,1,0)</f>
        <v>0</v>
      </c>
      <c r="F9738" s="1">
        <v>3.1390429246251799</v>
      </c>
      <c r="G9738" s="1">
        <v>2.5497289646132515E-3</v>
      </c>
    </row>
    <row r="9739" spans="1:7">
      <c r="A9739">
        <v>250</v>
      </c>
      <c r="B9739">
        <v>127</v>
      </c>
      <c r="C9739" s="1">
        <f>(Tabela1[[#This Row],[x]]-H$3)*(Tabela1[[#This Row],[x]]-H$3) +(Tabela1[[#This Row],[y]]-H$4)*(Tabela1[[#This Row],[y]]-H$4)</f>
        <v>7829</v>
      </c>
      <c r="D9739" s="1">
        <f>IF(Tabela1[[#This Row],[promien]]&lt;40000,1,0)</f>
        <v>1</v>
      </c>
      <c r="E9739" s="1">
        <f>IF(Tabela1[[#This Row],[promien]]=40000,1,0)</f>
        <v>0</v>
      </c>
      <c r="F9739" s="1">
        <v>3.1391313276517097</v>
      </c>
      <c r="G9739" s="1">
        <v>2.4613259380834585E-3</v>
      </c>
    </row>
    <row r="9740" spans="1:7">
      <c r="A9740">
        <v>231</v>
      </c>
      <c r="B9740">
        <v>144</v>
      </c>
      <c r="C9740" s="1">
        <f>(Tabela1[[#This Row],[x]]-H$3)*(Tabela1[[#This Row],[x]]-H$3) +(Tabela1[[#This Row],[y]]-H$4)*(Tabela1[[#This Row],[y]]-H$4)</f>
        <v>4097</v>
      </c>
      <c r="D9740" s="1">
        <f>IF(Tabela1[[#This Row],[promien]]&lt;40000,1,0)</f>
        <v>1</v>
      </c>
      <c r="E9740" s="1">
        <f>IF(Tabela1[[#This Row],[promien]]=40000,1,0)</f>
        <v>0</v>
      </c>
      <c r="F9740" s="1">
        <v>3.1392197125256676</v>
      </c>
      <c r="G9740" s="1">
        <v>2.3729410641255555E-3</v>
      </c>
    </row>
    <row r="9741" spans="1:7">
      <c r="A9741">
        <v>225</v>
      </c>
      <c r="B9741">
        <v>149</v>
      </c>
      <c r="C9741" s="1">
        <f>(Tabela1[[#This Row],[x]]-H$3)*(Tabela1[[#This Row],[x]]-H$3) +(Tabela1[[#This Row],[y]]-H$4)*(Tabela1[[#This Row],[y]]-H$4)</f>
        <v>3226</v>
      </c>
      <c r="D9741" s="1">
        <f>IF(Tabela1[[#This Row],[promien]]&lt;40000,1,0)</f>
        <v>1</v>
      </c>
      <c r="E9741" s="1">
        <f>IF(Tabela1[[#This Row],[promien]]=40000,1,0)</f>
        <v>0</v>
      </c>
      <c r="F9741" s="1">
        <v>3.1393080792526433</v>
      </c>
      <c r="G9741" s="1">
        <v>2.2845743371497917E-3</v>
      </c>
    </row>
    <row r="9742" spans="1:7">
      <c r="A9742">
        <v>162</v>
      </c>
      <c r="B9742">
        <v>28</v>
      </c>
      <c r="C9742" s="1">
        <f>(Tabela1[[#This Row],[x]]-H$3)*(Tabela1[[#This Row],[x]]-H$3) +(Tabela1[[#This Row],[y]]-H$4)*(Tabela1[[#This Row],[y]]-H$4)</f>
        <v>31028</v>
      </c>
      <c r="D9742" s="1">
        <f>IF(Tabela1[[#This Row],[promien]]&lt;40000,1,0)</f>
        <v>1</v>
      </c>
      <c r="E9742" s="1">
        <f>IF(Tabela1[[#This Row],[promien]]=40000,1,0)</f>
        <v>0</v>
      </c>
      <c r="F9742" s="1">
        <v>3.1393964278382263</v>
      </c>
      <c r="G9742" s="1">
        <v>2.1962257515668604E-3</v>
      </c>
    </row>
    <row r="9743" spans="1:7">
      <c r="A9743">
        <v>153</v>
      </c>
      <c r="B9743">
        <v>395</v>
      </c>
      <c r="C9743" s="1">
        <f>(Tabela1[[#This Row],[x]]-H$3)*(Tabela1[[#This Row],[x]]-H$3) +(Tabela1[[#This Row],[y]]-H$4)*(Tabela1[[#This Row],[y]]-H$4)</f>
        <v>40234</v>
      </c>
      <c r="D9743" s="1">
        <f>IF(Tabela1[[#This Row],[promien]]&lt;40000,1,0)</f>
        <v>0</v>
      </c>
      <c r="E9743" s="1">
        <f>IF(Tabela1[[#This Row],[promien]]=40000,1,0)</f>
        <v>0</v>
      </c>
      <c r="F9743" s="1">
        <v>3.1390742071230626</v>
      </c>
      <c r="G9743" s="1">
        <v>2.5184464667304951E-3</v>
      </c>
    </row>
    <row r="9744" spans="1:7">
      <c r="A9744">
        <v>245</v>
      </c>
      <c r="B9744">
        <v>121</v>
      </c>
      <c r="C9744" s="1">
        <f>(Tabela1[[#This Row],[x]]-H$3)*(Tabela1[[#This Row],[x]]-H$3) +(Tabela1[[#This Row],[y]]-H$4)*(Tabela1[[#This Row],[y]]-H$4)</f>
        <v>8266</v>
      </c>
      <c r="D9744" s="1">
        <f>IF(Tabela1[[#This Row],[promien]]&lt;40000,1,0)</f>
        <v>1</v>
      </c>
      <c r="E9744" s="1">
        <f>IF(Tabela1[[#This Row],[promien]]=40000,1,0)</f>
        <v>0</v>
      </c>
      <c r="F9744" s="1">
        <v>3.1391625615763545</v>
      </c>
      <c r="G9744" s="1">
        <v>2.4300920134385784E-3</v>
      </c>
    </row>
    <row r="9745" spans="1:7">
      <c r="A9745">
        <v>187</v>
      </c>
      <c r="B9745">
        <v>104</v>
      </c>
      <c r="C9745" s="1">
        <f>(Tabela1[[#This Row],[x]]-H$3)*(Tabela1[[#This Row],[x]]-H$3) +(Tabela1[[#This Row],[y]]-H$4)*(Tabela1[[#This Row],[y]]-H$4)</f>
        <v>9385</v>
      </c>
      <c r="D9745" s="1">
        <f>IF(Tabela1[[#This Row],[promien]]&lt;40000,1,0)</f>
        <v>1</v>
      </c>
      <c r="E9745" s="1">
        <f>IF(Tabela1[[#This Row],[promien]]=40000,1,0)</f>
        <v>0</v>
      </c>
      <c r="F9745" s="1">
        <v>3.1392508978963569</v>
      </c>
      <c r="G9745" s="1">
        <v>2.3417556934361983E-3</v>
      </c>
    </row>
    <row r="9746" spans="1:7">
      <c r="A9746">
        <v>170</v>
      </c>
      <c r="B9746">
        <v>200</v>
      </c>
      <c r="C9746" s="1">
        <f>(Tabela1[[#This Row],[x]]-H$3)*(Tabela1[[#This Row],[x]]-H$3) +(Tabela1[[#This Row],[y]]-H$4)*(Tabela1[[#This Row],[y]]-H$4)</f>
        <v>900</v>
      </c>
      <c r="D9746" s="1">
        <f>IF(Tabela1[[#This Row],[promien]]&lt;40000,1,0)</f>
        <v>1</v>
      </c>
      <c r="E9746" s="1">
        <f>IF(Tabela1[[#This Row],[promien]]=40000,1,0)</f>
        <v>0</v>
      </c>
      <c r="F9746" s="1">
        <v>3.139339216088652</v>
      </c>
      <c r="G9746" s="1">
        <v>2.2534375011411534E-3</v>
      </c>
    </row>
    <row r="9747" spans="1:7">
      <c r="A9747">
        <v>59</v>
      </c>
      <c r="B9747">
        <v>267</v>
      </c>
      <c r="C9747" s="1">
        <f>(Tabela1[[#This Row],[x]]-H$3)*(Tabela1[[#This Row],[x]]-H$3) +(Tabela1[[#This Row],[y]]-H$4)*(Tabela1[[#This Row],[y]]-H$4)</f>
        <v>24370</v>
      </c>
      <c r="D9747" s="1">
        <f>IF(Tabela1[[#This Row],[promien]]&lt;40000,1,0)</f>
        <v>1</v>
      </c>
      <c r="E9747" s="1">
        <f>IF(Tabela1[[#This Row],[promien]]=40000,1,0)</f>
        <v>0</v>
      </c>
      <c r="F9747" s="1">
        <v>3.1394275161588179</v>
      </c>
      <c r="G9747" s="1">
        <v>2.1651374309752391E-3</v>
      </c>
    </row>
    <row r="9748" spans="1:7">
      <c r="A9748">
        <v>209</v>
      </c>
      <c r="B9748">
        <v>280</v>
      </c>
      <c r="C9748" s="1">
        <f>(Tabela1[[#This Row],[x]]-H$3)*(Tabela1[[#This Row],[x]]-H$3) +(Tabela1[[#This Row],[y]]-H$4)*(Tabela1[[#This Row],[y]]-H$4)</f>
        <v>6481</v>
      </c>
      <c r="D9748" s="1">
        <f>IF(Tabela1[[#This Row],[promien]]&lt;40000,1,0)</f>
        <v>1</v>
      </c>
      <c r="E9748" s="1">
        <f>IF(Tabela1[[#This Row],[promien]]=40000,1,0)</f>
        <v>0</v>
      </c>
      <c r="F9748" s="1">
        <v>3.1395157981124333</v>
      </c>
      <c r="G9748" s="1">
        <v>2.0768554773598069E-3</v>
      </c>
    </row>
    <row r="9749" spans="1:7">
      <c r="A9749">
        <v>253</v>
      </c>
      <c r="B9749">
        <v>342</v>
      </c>
      <c r="C9749" s="1">
        <f>(Tabela1[[#This Row],[x]]-H$3)*(Tabela1[[#This Row],[x]]-H$3) +(Tabela1[[#This Row],[y]]-H$4)*(Tabela1[[#This Row],[y]]-H$4)</f>
        <v>22973</v>
      </c>
      <c r="D9749" s="1">
        <f>IF(Tabela1[[#This Row],[promien]]&lt;40000,1,0)</f>
        <v>1</v>
      </c>
      <c r="E9749" s="1">
        <f>IF(Tabela1[[#This Row],[promien]]=40000,1,0)</f>
        <v>0</v>
      </c>
      <c r="F9749" s="1">
        <v>3.1396040619550725</v>
      </c>
      <c r="G9749" s="1">
        <v>1.9885916347206489E-3</v>
      </c>
    </row>
    <row r="9750" spans="1:7">
      <c r="A9750">
        <v>43</v>
      </c>
      <c r="B9750">
        <v>217</v>
      </c>
      <c r="C9750" s="1">
        <f>(Tabela1[[#This Row],[x]]-H$3)*(Tabela1[[#This Row],[x]]-H$3) +(Tabela1[[#This Row],[y]]-H$4)*(Tabela1[[#This Row],[y]]-H$4)</f>
        <v>24938</v>
      </c>
      <c r="D9750" s="1">
        <f>IF(Tabela1[[#This Row],[promien]]&lt;40000,1,0)</f>
        <v>1</v>
      </c>
      <c r="E9750" s="1">
        <f>IF(Tabela1[[#This Row],[promien]]=40000,1,0)</f>
        <v>0</v>
      </c>
      <c r="F9750" s="1">
        <v>3.1396923076923078</v>
      </c>
      <c r="G9750" s="1">
        <v>1.9003458974853338E-3</v>
      </c>
    </row>
    <row r="9751" spans="1:7">
      <c r="A9751">
        <v>331</v>
      </c>
      <c r="B9751">
        <v>81</v>
      </c>
      <c r="C9751" s="1">
        <f>(Tabela1[[#This Row],[x]]-H$3)*(Tabela1[[#This Row],[x]]-H$3) +(Tabela1[[#This Row],[y]]-H$4)*(Tabela1[[#This Row],[y]]-H$4)</f>
        <v>31322</v>
      </c>
      <c r="D9751" s="1">
        <f>IF(Tabela1[[#This Row],[promien]]&lt;40000,1,0)</f>
        <v>1</v>
      </c>
      <c r="E9751" s="1">
        <f>IF(Tabela1[[#This Row],[promien]]=40000,1,0)</f>
        <v>0</v>
      </c>
      <c r="F9751" s="1">
        <v>3.1397805353297099</v>
      </c>
      <c r="G9751" s="1">
        <v>1.8121182600832064E-3</v>
      </c>
    </row>
    <row r="9752" spans="1:7">
      <c r="A9752">
        <v>330</v>
      </c>
      <c r="B9752">
        <v>346</v>
      </c>
      <c r="C9752" s="1">
        <f>(Tabela1[[#This Row],[x]]-H$3)*(Tabela1[[#This Row],[x]]-H$3) +(Tabela1[[#This Row],[y]]-H$4)*(Tabela1[[#This Row],[y]]-H$4)</f>
        <v>38216</v>
      </c>
      <c r="D9752" s="1">
        <f>IF(Tabela1[[#This Row],[promien]]&lt;40000,1,0)</f>
        <v>1</v>
      </c>
      <c r="E9752" s="1">
        <f>IF(Tabela1[[#This Row],[promien]]=40000,1,0)</f>
        <v>0</v>
      </c>
      <c r="F9752" s="1">
        <v>3.1398687448728464</v>
      </c>
      <c r="G9752" s="1">
        <v>1.7239087169467204E-3</v>
      </c>
    </row>
    <row r="9753" spans="1:7">
      <c r="A9753">
        <v>298</v>
      </c>
      <c r="B9753">
        <v>46</v>
      </c>
      <c r="C9753" s="1">
        <f>(Tabela1[[#This Row],[x]]-H$3)*(Tabela1[[#This Row],[x]]-H$3) +(Tabela1[[#This Row],[y]]-H$4)*(Tabela1[[#This Row],[y]]-H$4)</f>
        <v>33320</v>
      </c>
      <c r="D9753" s="1">
        <f>IF(Tabela1[[#This Row],[promien]]&lt;40000,1,0)</f>
        <v>1</v>
      </c>
      <c r="E9753" s="1">
        <f>IF(Tabela1[[#This Row],[promien]]=40000,1,0)</f>
        <v>0</v>
      </c>
      <c r="F9753" s="1">
        <v>3.1399569363272839</v>
      </c>
      <c r="G9753" s="1">
        <v>1.6357172625092176E-3</v>
      </c>
    </row>
    <row r="9754" spans="1:7">
      <c r="A9754">
        <v>293</v>
      </c>
      <c r="B9754">
        <v>34</v>
      </c>
      <c r="C9754" s="1">
        <f>(Tabela1[[#This Row],[x]]-H$3)*(Tabela1[[#This Row],[x]]-H$3) +(Tabela1[[#This Row],[y]]-H$4)*(Tabela1[[#This Row],[y]]-H$4)</f>
        <v>36205</v>
      </c>
      <c r="D9754" s="1">
        <f>IF(Tabela1[[#This Row],[promien]]&lt;40000,1,0)</f>
        <v>1</v>
      </c>
      <c r="E9754" s="1">
        <f>IF(Tabela1[[#This Row],[promien]]=40000,1,0)</f>
        <v>0</v>
      </c>
      <c r="F9754" s="1">
        <v>3.1400451096985851</v>
      </c>
      <c r="G9754" s="1">
        <v>1.5475438912080364E-3</v>
      </c>
    </row>
    <row r="9755" spans="1:7">
      <c r="A9755">
        <v>228</v>
      </c>
      <c r="B9755">
        <v>266</v>
      </c>
      <c r="C9755" s="1">
        <f>(Tabela1[[#This Row],[x]]-H$3)*(Tabela1[[#This Row],[x]]-H$3) +(Tabela1[[#This Row],[y]]-H$4)*(Tabela1[[#This Row],[y]]-H$4)</f>
        <v>5140</v>
      </c>
      <c r="D9755" s="1">
        <f>IF(Tabela1[[#This Row],[promien]]&lt;40000,1,0)</f>
        <v>1</v>
      </c>
      <c r="E9755" s="1">
        <f>IF(Tabela1[[#This Row],[promien]]=40000,1,0)</f>
        <v>0</v>
      </c>
      <c r="F9755" s="1">
        <v>3.1401332649923117</v>
      </c>
      <c r="G9755" s="1">
        <v>1.4593885974814036E-3</v>
      </c>
    </row>
    <row r="9756" spans="1:7">
      <c r="A9756">
        <v>201</v>
      </c>
      <c r="B9756">
        <v>224</v>
      </c>
      <c r="C9756" s="1">
        <f>(Tabela1[[#This Row],[x]]-H$3)*(Tabela1[[#This Row],[x]]-H$3) +(Tabela1[[#This Row],[y]]-H$4)*(Tabela1[[#This Row],[y]]-H$4)</f>
        <v>577</v>
      </c>
      <c r="D9756" s="1">
        <f>IF(Tabela1[[#This Row],[promien]]&lt;40000,1,0)</f>
        <v>1</v>
      </c>
      <c r="E9756" s="1">
        <f>IF(Tabela1[[#This Row],[promien]]=40000,1,0)</f>
        <v>0</v>
      </c>
      <c r="F9756" s="1">
        <v>3.140221402214022</v>
      </c>
      <c r="G9756" s="1">
        <v>1.3712513757710987E-3</v>
      </c>
    </row>
    <row r="9757" spans="1:7">
      <c r="A9757">
        <v>78</v>
      </c>
      <c r="B9757">
        <v>26</v>
      </c>
      <c r="C9757" s="1">
        <f>(Tabela1[[#This Row],[x]]-H$3)*(Tabela1[[#This Row],[x]]-H$3) +(Tabela1[[#This Row],[y]]-H$4)*(Tabela1[[#This Row],[y]]-H$4)</f>
        <v>45160</v>
      </c>
      <c r="D9757" s="1">
        <f>IF(Tabela1[[#This Row],[promien]]&lt;40000,1,0)</f>
        <v>0</v>
      </c>
      <c r="E9757" s="1">
        <f>IF(Tabela1[[#This Row],[promien]]=40000,1,0)</f>
        <v>0</v>
      </c>
      <c r="F9757" s="1">
        <v>3.1398995592907655</v>
      </c>
      <c r="G9757" s="1">
        <v>1.6930942990276421E-3</v>
      </c>
    </row>
    <row r="9758" spans="1:7">
      <c r="A9758">
        <v>280</v>
      </c>
      <c r="B9758">
        <v>4</v>
      </c>
      <c r="C9758" s="1">
        <f>(Tabela1[[#This Row],[x]]-H$3)*(Tabela1[[#This Row],[x]]-H$3) +(Tabela1[[#This Row],[y]]-H$4)*(Tabela1[[#This Row],[y]]-H$4)</f>
        <v>44816</v>
      </c>
      <c r="D9758" s="1">
        <f>IF(Tabela1[[#This Row],[promien]]&lt;40000,1,0)</f>
        <v>0</v>
      </c>
      <c r="E9758" s="1">
        <f>IF(Tabela1[[#This Row],[promien]]=40000,1,0)</f>
        <v>0</v>
      </c>
      <c r="F9758" s="1">
        <v>3.1395777823324451</v>
      </c>
      <c r="G9758" s="1">
        <v>2.0148712573480054E-3</v>
      </c>
    </row>
    <row r="9759" spans="1:7">
      <c r="A9759">
        <v>270</v>
      </c>
      <c r="B9759">
        <v>14</v>
      </c>
      <c r="C9759" s="1">
        <f>(Tabela1[[#This Row],[x]]-H$3)*(Tabela1[[#This Row],[x]]-H$3) +(Tabela1[[#This Row],[y]]-H$4)*(Tabela1[[#This Row],[y]]-H$4)</f>
        <v>39496</v>
      </c>
      <c r="D9759" s="1">
        <f>IF(Tabela1[[#This Row],[promien]]&lt;40000,1,0)</f>
        <v>1</v>
      </c>
      <c r="E9759" s="1">
        <f>IF(Tabela1[[#This Row],[promien]]=40000,1,0)</f>
        <v>0</v>
      </c>
      <c r="F9759" s="1">
        <v>3.1396659493800594</v>
      </c>
      <c r="G9759" s="1">
        <v>1.9267042097337317E-3</v>
      </c>
    </row>
    <row r="9760" spans="1:7">
      <c r="A9760">
        <v>233</v>
      </c>
      <c r="B9760">
        <v>105</v>
      </c>
      <c r="C9760" s="1">
        <f>(Tabela1[[#This Row],[x]]-H$3)*(Tabela1[[#This Row],[x]]-H$3) +(Tabela1[[#This Row],[y]]-H$4)*(Tabela1[[#This Row],[y]]-H$4)</f>
        <v>10114</v>
      </c>
      <c r="D9760" s="1">
        <f>IF(Tabela1[[#This Row],[promien]]&lt;40000,1,0)</f>
        <v>1</v>
      </c>
      <c r="E9760" s="1">
        <f>IF(Tabela1[[#This Row],[promien]]=40000,1,0)</f>
        <v>0</v>
      </c>
      <c r="F9760" s="1">
        <v>3.1397540983606556</v>
      </c>
      <c r="G9760" s="1">
        <v>1.8385552291375618E-3</v>
      </c>
    </row>
    <row r="9761" spans="1:7">
      <c r="A9761">
        <v>35</v>
      </c>
      <c r="B9761">
        <v>355</v>
      </c>
      <c r="C9761" s="1">
        <f>(Tabela1[[#This Row],[x]]-H$3)*(Tabela1[[#This Row],[x]]-H$3) +(Tabela1[[#This Row],[y]]-H$4)*(Tabela1[[#This Row],[y]]-H$4)</f>
        <v>51250</v>
      </c>
      <c r="D9761" s="1">
        <f>IF(Tabela1[[#This Row],[promien]]&lt;40000,1,0)</f>
        <v>0</v>
      </c>
      <c r="E9761" s="1">
        <f>IF(Tabela1[[#This Row],[promien]]=40000,1,0)</f>
        <v>0</v>
      </c>
      <c r="F9761" s="1">
        <v>3.1394324352013112</v>
      </c>
      <c r="G9761" s="1">
        <v>2.1602183884819048E-3</v>
      </c>
    </row>
    <row r="9762" spans="1:7">
      <c r="A9762">
        <v>287</v>
      </c>
      <c r="B9762">
        <v>360</v>
      </c>
      <c r="C9762" s="1">
        <f>(Tabela1[[#This Row],[x]]-H$3)*(Tabela1[[#This Row],[x]]-H$3) +(Tabela1[[#This Row],[y]]-H$4)*(Tabela1[[#This Row],[y]]-H$4)</f>
        <v>33169</v>
      </c>
      <c r="D9762" s="1">
        <f>IF(Tabela1[[#This Row],[promien]]&lt;40000,1,0)</f>
        <v>1</v>
      </c>
      <c r="E9762" s="1">
        <f>IF(Tabela1[[#This Row],[promien]]=40000,1,0)</f>
        <v>0</v>
      </c>
      <c r="F9762" s="1">
        <v>3.1395205900430239</v>
      </c>
      <c r="G9762" s="1">
        <v>2.0720635467692539E-3</v>
      </c>
    </row>
    <row r="9763" spans="1:7">
      <c r="A9763">
        <v>394</v>
      </c>
      <c r="B9763">
        <v>193</v>
      </c>
      <c r="C9763" s="1">
        <f>(Tabela1[[#This Row],[x]]-H$3)*(Tabela1[[#This Row],[x]]-H$3) +(Tabela1[[#This Row],[y]]-H$4)*(Tabela1[[#This Row],[y]]-H$4)</f>
        <v>37685</v>
      </c>
      <c r="D9763" s="1">
        <f>IF(Tabela1[[#This Row],[promien]]&lt;40000,1,0)</f>
        <v>1</v>
      </c>
      <c r="E9763" s="1">
        <f>IF(Tabela1[[#This Row],[promien]]=40000,1,0)</f>
        <v>0</v>
      </c>
      <c r="F9763" s="1">
        <v>3.1396087268257706</v>
      </c>
      <c r="G9763" s="1">
        <v>1.9839267640224811E-3</v>
      </c>
    </row>
    <row r="9764" spans="1:7">
      <c r="A9764">
        <v>233</v>
      </c>
      <c r="B9764">
        <v>370</v>
      </c>
      <c r="C9764" s="1">
        <f>(Tabela1[[#This Row],[x]]-H$3)*(Tabela1[[#This Row],[x]]-H$3) +(Tabela1[[#This Row],[y]]-H$4)*(Tabela1[[#This Row],[y]]-H$4)</f>
        <v>29989</v>
      </c>
      <c r="D9764" s="1">
        <f>IF(Tabela1[[#This Row],[promien]]&lt;40000,1,0)</f>
        <v>1</v>
      </c>
      <c r="E9764" s="1">
        <f>IF(Tabela1[[#This Row],[promien]]=40000,1,0)</f>
        <v>0</v>
      </c>
      <c r="F9764" s="1">
        <v>3.1396968455551004</v>
      </c>
      <c r="G9764" s="1">
        <v>1.895808034692692E-3</v>
      </c>
    </row>
    <row r="9765" spans="1:7">
      <c r="A9765">
        <v>28</v>
      </c>
      <c r="B9765">
        <v>183</v>
      </c>
      <c r="C9765" s="1">
        <f>(Tabela1[[#This Row],[x]]-H$3)*(Tabela1[[#This Row],[x]]-H$3) +(Tabela1[[#This Row],[y]]-H$4)*(Tabela1[[#This Row],[y]]-H$4)</f>
        <v>29873</v>
      </c>
      <c r="D9765" s="1">
        <f>IF(Tabela1[[#This Row],[promien]]&lt;40000,1,0)</f>
        <v>1</v>
      </c>
      <c r="E9765" s="1">
        <f>IF(Tabela1[[#This Row],[promien]]=40000,1,0)</f>
        <v>0</v>
      </c>
      <c r="F9765" s="1">
        <v>3.139784946236559</v>
      </c>
      <c r="G9765" s="1">
        <v>1.8077073532341004E-3</v>
      </c>
    </row>
    <row r="9766" spans="1:7">
      <c r="A9766">
        <v>326</v>
      </c>
      <c r="B9766">
        <v>201</v>
      </c>
      <c r="C9766" s="1">
        <f>(Tabela1[[#This Row],[x]]-H$3)*(Tabela1[[#This Row],[x]]-H$3) +(Tabela1[[#This Row],[y]]-H$4)*(Tabela1[[#This Row],[y]]-H$4)</f>
        <v>15877</v>
      </c>
      <c r="D9766" s="1">
        <f>IF(Tabela1[[#This Row],[promien]]&lt;40000,1,0)</f>
        <v>1</v>
      </c>
      <c r="E9766" s="1">
        <f>IF(Tabela1[[#This Row],[promien]]=40000,1,0)</f>
        <v>0</v>
      </c>
      <c r="F9766" s="1">
        <v>3.1398730288756913</v>
      </c>
      <c r="G9766" s="1">
        <v>1.7196247141018084E-3</v>
      </c>
    </row>
    <row r="9767" spans="1:7">
      <c r="A9767">
        <v>8</v>
      </c>
      <c r="B9767">
        <v>141</v>
      </c>
      <c r="C9767" s="1">
        <f>(Tabela1[[#This Row],[x]]-H$3)*(Tabela1[[#This Row],[x]]-H$3) +(Tabela1[[#This Row],[y]]-H$4)*(Tabela1[[#This Row],[y]]-H$4)</f>
        <v>40345</v>
      </c>
      <c r="D9767" s="1">
        <f>IF(Tabela1[[#This Row],[promien]]&lt;40000,1,0)</f>
        <v>0</v>
      </c>
      <c r="E9767" s="1">
        <f>IF(Tabela1[[#This Row],[promien]]=40000,1,0)</f>
        <v>0</v>
      </c>
      <c r="F9767" s="1">
        <v>3.1395515511415995</v>
      </c>
      <c r="G9767" s="1">
        <v>2.0411024481936657E-3</v>
      </c>
    </row>
    <row r="9768" spans="1:7">
      <c r="A9768">
        <v>196</v>
      </c>
      <c r="B9768">
        <v>103</v>
      </c>
      <c r="C9768" s="1">
        <f>(Tabela1[[#This Row],[x]]-H$3)*(Tabela1[[#This Row],[x]]-H$3) +(Tabela1[[#This Row],[y]]-H$4)*(Tabela1[[#This Row],[y]]-H$4)</f>
        <v>9425</v>
      </c>
      <c r="D9768" s="1">
        <f>IF(Tabela1[[#This Row],[promien]]&lt;40000,1,0)</f>
        <v>1</v>
      </c>
      <c r="E9768" s="1">
        <f>IF(Tabela1[[#This Row],[promien]]=40000,1,0)</f>
        <v>0</v>
      </c>
      <c r="F9768" s="1">
        <v>3.1396396396396398</v>
      </c>
      <c r="G9768" s="1">
        <v>1.9530139501533483E-3</v>
      </c>
    </row>
    <row r="9769" spans="1:7">
      <c r="A9769">
        <v>182</v>
      </c>
      <c r="B9769">
        <v>363</v>
      </c>
      <c r="C9769" s="1">
        <f>(Tabela1[[#This Row],[x]]-H$3)*(Tabela1[[#This Row],[x]]-H$3) +(Tabela1[[#This Row],[y]]-H$4)*(Tabela1[[#This Row],[y]]-H$4)</f>
        <v>26893</v>
      </c>
      <c r="D9769" s="1">
        <f>IF(Tabela1[[#This Row],[promien]]&lt;40000,1,0)</f>
        <v>1</v>
      </c>
      <c r="E9769" s="1">
        <f>IF(Tabela1[[#This Row],[promien]]=40000,1,0)</f>
        <v>0</v>
      </c>
      <c r="F9769" s="1">
        <v>3.1397277101033882</v>
      </c>
      <c r="G9769" s="1">
        <v>1.8649434864048686E-3</v>
      </c>
    </row>
    <row r="9770" spans="1:7">
      <c r="A9770">
        <v>167</v>
      </c>
      <c r="B9770">
        <v>250</v>
      </c>
      <c r="C9770" s="1">
        <f>(Tabela1[[#This Row],[x]]-H$3)*(Tabela1[[#This Row],[x]]-H$3) +(Tabela1[[#This Row],[y]]-H$4)*(Tabela1[[#This Row],[y]]-H$4)</f>
        <v>3589</v>
      </c>
      <c r="D9770" s="1">
        <f>IF(Tabela1[[#This Row],[promien]]&lt;40000,1,0)</f>
        <v>1</v>
      </c>
      <c r="E9770" s="1">
        <f>IF(Tabela1[[#This Row],[promien]]=40000,1,0)</f>
        <v>0</v>
      </c>
      <c r="F9770" s="1">
        <v>3.1398157625383827</v>
      </c>
      <c r="G9770" s="1">
        <v>1.7768910514104341E-3</v>
      </c>
    </row>
    <row r="9771" spans="1:7">
      <c r="A9771">
        <v>250</v>
      </c>
      <c r="B9771">
        <v>121</v>
      </c>
      <c r="C9771" s="1">
        <f>(Tabela1[[#This Row],[x]]-H$3)*(Tabela1[[#This Row],[x]]-H$3) +(Tabela1[[#This Row],[y]]-H$4)*(Tabela1[[#This Row],[y]]-H$4)</f>
        <v>8741</v>
      </c>
      <c r="D9771" s="1">
        <f>IF(Tabela1[[#This Row],[promien]]&lt;40000,1,0)</f>
        <v>1</v>
      </c>
      <c r="E9771" s="1">
        <f>IF(Tabela1[[#This Row],[promien]]=40000,1,0)</f>
        <v>0</v>
      </c>
      <c r="F9771" s="1">
        <v>3.1399037969501586</v>
      </c>
      <c r="G9771" s="1">
        <v>1.6888566396344729E-3</v>
      </c>
    </row>
    <row r="9772" spans="1:7">
      <c r="A9772">
        <v>106</v>
      </c>
      <c r="B9772">
        <v>338</v>
      </c>
      <c r="C9772" s="1">
        <f>(Tabela1[[#This Row],[x]]-H$3)*(Tabela1[[#This Row],[x]]-H$3) +(Tabela1[[#This Row],[y]]-H$4)*(Tabela1[[#This Row],[y]]-H$4)</f>
        <v>27880</v>
      </c>
      <c r="D9772" s="1">
        <f>IF(Tabela1[[#This Row],[promien]]&lt;40000,1,0)</f>
        <v>1</v>
      </c>
      <c r="E9772" s="1">
        <f>IF(Tabela1[[#This Row],[promien]]=40000,1,0)</f>
        <v>0</v>
      </c>
      <c r="F9772" s="1">
        <v>3.139991813344249</v>
      </c>
      <c r="G9772" s="1">
        <v>1.6008402455440773E-3</v>
      </c>
    </row>
    <row r="9773" spans="1:7">
      <c r="A9773">
        <v>125</v>
      </c>
      <c r="B9773">
        <v>165</v>
      </c>
      <c r="C9773" s="1">
        <f>(Tabela1[[#This Row],[x]]-H$3)*(Tabela1[[#This Row],[x]]-H$3) +(Tabela1[[#This Row],[y]]-H$4)*(Tabela1[[#This Row],[y]]-H$4)</f>
        <v>6850</v>
      </c>
      <c r="D9773" s="1">
        <f>IF(Tabela1[[#This Row],[promien]]&lt;40000,1,0)</f>
        <v>1</v>
      </c>
      <c r="E9773" s="1">
        <f>IF(Tabela1[[#This Row],[promien]]=40000,1,0)</f>
        <v>0</v>
      </c>
      <c r="F9773" s="1">
        <v>3.1400798117261846</v>
      </c>
      <c r="G9773" s="1">
        <v>1.5128418636085605E-3</v>
      </c>
    </row>
    <row r="9774" spans="1:7">
      <c r="A9774">
        <v>13</v>
      </c>
      <c r="B9774">
        <v>29</v>
      </c>
      <c r="C9774" s="1">
        <f>(Tabela1[[#This Row],[x]]-H$3)*(Tabela1[[#This Row],[x]]-H$3) +(Tabela1[[#This Row],[y]]-H$4)*(Tabela1[[#This Row],[y]]-H$4)</f>
        <v>64210</v>
      </c>
      <c r="D9774" s="1">
        <f>IF(Tabela1[[#This Row],[promien]]&lt;40000,1,0)</f>
        <v>0</v>
      </c>
      <c r="E9774" s="1">
        <f>IF(Tabela1[[#This Row],[promien]]=40000,1,0)</f>
        <v>0</v>
      </c>
      <c r="F9774" s="1">
        <v>3.13975854307346</v>
      </c>
      <c r="G9774" s="1">
        <v>1.8341105163330873E-3</v>
      </c>
    </row>
    <row r="9775" spans="1:7">
      <c r="A9775">
        <v>66</v>
      </c>
      <c r="B9775">
        <v>103</v>
      </c>
      <c r="C9775" s="1">
        <f>(Tabela1[[#This Row],[x]]-H$3)*(Tabela1[[#This Row],[x]]-H$3) +(Tabela1[[#This Row],[y]]-H$4)*(Tabela1[[#This Row],[y]]-H$4)</f>
        <v>27365</v>
      </c>
      <c r="D9775" s="1">
        <f>IF(Tabela1[[#This Row],[promien]]&lt;40000,1,0)</f>
        <v>1</v>
      </c>
      <c r="E9775" s="1">
        <f>IF(Tabela1[[#This Row],[promien]]=40000,1,0)</f>
        <v>0</v>
      </c>
      <c r="F9775" s="1">
        <v>3.139846547314578</v>
      </c>
      <c r="G9775" s="1">
        <v>1.746106275215098E-3</v>
      </c>
    </row>
    <row r="9776" spans="1:7">
      <c r="A9776">
        <v>185</v>
      </c>
      <c r="B9776">
        <v>308</v>
      </c>
      <c r="C9776" s="1">
        <f>(Tabela1[[#This Row],[x]]-H$3)*(Tabela1[[#This Row],[x]]-H$3) +(Tabela1[[#This Row],[y]]-H$4)*(Tabela1[[#This Row],[y]]-H$4)</f>
        <v>11889</v>
      </c>
      <c r="D9776" s="1">
        <f>IF(Tabela1[[#This Row],[promien]]&lt;40000,1,0)</f>
        <v>1</v>
      </c>
      <c r="E9776" s="1">
        <f>IF(Tabela1[[#This Row],[promien]]=40000,1,0)</f>
        <v>0</v>
      </c>
      <c r="F9776" s="1">
        <v>3.1399345335515547</v>
      </c>
      <c r="G9776" s="1">
        <v>1.6581200382383976E-3</v>
      </c>
    </row>
    <row r="9777" spans="1:7">
      <c r="A9777">
        <v>253</v>
      </c>
      <c r="B9777">
        <v>21</v>
      </c>
      <c r="C9777" s="1">
        <f>(Tabela1[[#This Row],[x]]-H$3)*(Tabela1[[#This Row],[x]]-H$3) +(Tabela1[[#This Row],[y]]-H$4)*(Tabela1[[#This Row],[y]]-H$4)</f>
        <v>34850</v>
      </c>
      <c r="D9777" s="1">
        <f>IF(Tabela1[[#This Row],[promien]]&lt;40000,1,0)</f>
        <v>1</v>
      </c>
      <c r="E9777" s="1">
        <f>IF(Tabela1[[#This Row],[promien]]=40000,1,0)</f>
        <v>0</v>
      </c>
      <c r="F9777" s="1">
        <v>3.140022501789915</v>
      </c>
      <c r="G9777" s="1">
        <v>1.5701517998780723E-3</v>
      </c>
    </row>
    <row r="9778" spans="1:7">
      <c r="A9778">
        <v>96</v>
      </c>
      <c r="B9778">
        <v>284</v>
      </c>
      <c r="C9778" s="1">
        <f>(Tabela1[[#This Row],[x]]-H$3)*(Tabela1[[#This Row],[x]]-H$3) +(Tabela1[[#This Row],[y]]-H$4)*(Tabela1[[#This Row],[y]]-H$4)</f>
        <v>17872</v>
      </c>
      <c r="D9778" s="1">
        <f>IF(Tabela1[[#This Row],[promien]]&lt;40000,1,0)</f>
        <v>1</v>
      </c>
      <c r="E9778" s="1">
        <f>IF(Tabela1[[#This Row],[promien]]=40000,1,0)</f>
        <v>0</v>
      </c>
      <c r="F9778" s="1">
        <v>3.1401104520351808</v>
      </c>
      <c r="G9778" s="1">
        <v>1.4822015546123168E-3</v>
      </c>
    </row>
    <row r="9779" spans="1:7">
      <c r="A9779">
        <v>121</v>
      </c>
      <c r="B9779">
        <v>91</v>
      </c>
      <c r="C9779" s="1">
        <f>(Tabela1[[#This Row],[x]]-H$3)*(Tabela1[[#This Row],[x]]-H$3) +(Tabela1[[#This Row],[y]]-H$4)*(Tabela1[[#This Row],[y]]-H$4)</f>
        <v>18122</v>
      </c>
      <c r="D9779" s="1">
        <f>IF(Tabela1[[#This Row],[promien]]&lt;40000,1,0)</f>
        <v>1</v>
      </c>
      <c r="E9779" s="1">
        <f>IF(Tabela1[[#This Row],[promien]]=40000,1,0)</f>
        <v>0</v>
      </c>
      <c r="F9779" s="1">
        <v>3.1401983842928725</v>
      </c>
      <c r="G9779" s="1">
        <v>1.3942692969206583E-3</v>
      </c>
    </row>
    <row r="9780" spans="1:7">
      <c r="A9780">
        <v>332</v>
      </c>
      <c r="B9780">
        <v>346</v>
      </c>
      <c r="C9780" s="1">
        <f>(Tabela1[[#This Row],[x]]-H$3)*(Tabela1[[#This Row],[x]]-H$3) +(Tabela1[[#This Row],[y]]-H$4)*(Tabela1[[#This Row],[y]]-H$4)</f>
        <v>38740</v>
      </c>
      <c r="D9780" s="1">
        <f>IF(Tabela1[[#This Row],[promien]]&lt;40000,1,0)</f>
        <v>1</v>
      </c>
      <c r="E9780" s="1">
        <f>IF(Tabela1[[#This Row],[promien]]=40000,1,0)</f>
        <v>0</v>
      </c>
      <c r="F9780" s="1">
        <v>3.1402862985685069</v>
      </c>
      <c r="G9780" s="1">
        <v>1.3063550212861763E-3</v>
      </c>
    </row>
    <row r="9781" spans="1:7">
      <c r="A9781">
        <v>184</v>
      </c>
      <c r="B9781">
        <v>142</v>
      </c>
      <c r="C9781" s="1">
        <f>(Tabela1[[#This Row],[x]]-H$3)*(Tabela1[[#This Row],[x]]-H$3) +(Tabela1[[#This Row],[y]]-H$4)*(Tabela1[[#This Row],[y]]-H$4)</f>
        <v>3620</v>
      </c>
      <c r="D9781" s="1">
        <f>IF(Tabela1[[#This Row],[promien]]&lt;40000,1,0)</f>
        <v>1</v>
      </c>
      <c r="E9781" s="1">
        <f>IF(Tabela1[[#This Row],[promien]]=40000,1,0)</f>
        <v>0</v>
      </c>
      <c r="F9781" s="1">
        <v>3.1403741948676003</v>
      </c>
      <c r="G9781" s="1">
        <v>1.2184587221928389E-3</v>
      </c>
    </row>
    <row r="9782" spans="1:7">
      <c r="A9782">
        <v>312</v>
      </c>
      <c r="B9782">
        <v>154</v>
      </c>
      <c r="C9782" s="1">
        <f>(Tabela1[[#This Row],[x]]-H$3)*(Tabela1[[#This Row],[x]]-H$3) +(Tabela1[[#This Row],[y]]-H$4)*(Tabela1[[#This Row],[y]]-H$4)</f>
        <v>14660</v>
      </c>
      <c r="D9782" s="1">
        <f>IF(Tabela1[[#This Row],[promien]]&lt;40000,1,0)</f>
        <v>1</v>
      </c>
      <c r="E9782" s="1">
        <f>IF(Tabela1[[#This Row],[promien]]=40000,1,0)</f>
        <v>0</v>
      </c>
      <c r="F9782" s="1">
        <v>3.1404620731956654</v>
      </c>
      <c r="G9782" s="1">
        <v>1.1305803941277226E-3</v>
      </c>
    </row>
    <row r="9783" spans="1:7">
      <c r="A9783">
        <v>84</v>
      </c>
      <c r="B9783">
        <v>359</v>
      </c>
      <c r="C9783" s="1">
        <f>(Tabela1[[#This Row],[x]]-H$3)*(Tabela1[[#This Row],[x]]-H$3) +(Tabela1[[#This Row],[y]]-H$4)*(Tabela1[[#This Row],[y]]-H$4)</f>
        <v>38737</v>
      </c>
      <c r="D9783" s="1">
        <f>IF(Tabela1[[#This Row],[promien]]&lt;40000,1,0)</f>
        <v>1</v>
      </c>
      <c r="E9783" s="1">
        <f>IF(Tabela1[[#This Row],[promien]]=40000,1,0)</f>
        <v>0</v>
      </c>
      <c r="F9783" s="1">
        <v>3.1405499335582134</v>
      </c>
      <c r="G9783" s="1">
        <v>1.0427200315796803E-3</v>
      </c>
    </row>
    <row r="9784" spans="1:7">
      <c r="A9784">
        <v>70</v>
      </c>
      <c r="B9784">
        <v>139</v>
      </c>
      <c r="C9784" s="1">
        <f>(Tabela1[[#This Row],[x]]-H$3)*(Tabela1[[#This Row],[x]]-H$3) +(Tabela1[[#This Row],[y]]-H$4)*(Tabela1[[#This Row],[y]]-H$4)</f>
        <v>20621</v>
      </c>
      <c r="D9784" s="1">
        <f>IF(Tabela1[[#This Row],[promien]]&lt;40000,1,0)</f>
        <v>1</v>
      </c>
      <c r="E9784" s="1">
        <f>IF(Tabela1[[#This Row],[promien]]=40000,1,0)</f>
        <v>0</v>
      </c>
      <c r="F9784" s="1">
        <v>3.1406377759607524</v>
      </c>
      <c r="G9784" s="1">
        <v>9.5487762904067353E-4</v>
      </c>
    </row>
    <row r="9785" spans="1:7">
      <c r="A9785">
        <v>25</v>
      </c>
      <c r="B9785">
        <v>222</v>
      </c>
      <c r="C9785" s="1">
        <f>(Tabela1[[#This Row],[x]]-H$3)*(Tabela1[[#This Row],[x]]-H$3) +(Tabela1[[#This Row],[y]]-H$4)*(Tabela1[[#This Row],[y]]-H$4)</f>
        <v>31109</v>
      </c>
      <c r="D9785" s="1">
        <f>IF(Tabela1[[#This Row],[promien]]&lt;40000,1,0)</f>
        <v>1</v>
      </c>
      <c r="E9785" s="1">
        <f>IF(Tabela1[[#This Row],[promien]]=40000,1,0)</f>
        <v>0</v>
      </c>
      <c r="F9785" s="1">
        <v>3.1407256004087891</v>
      </c>
      <c r="G9785" s="1">
        <v>8.6705318100399609E-4</v>
      </c>
    </row>
    <row r="9786" spans="1:7">
      <c r="A9786">
        <v>281</v>
      </c>
      <c r="B9786">
        <v>209</v>
      </c>
      <c r="C9786" s="1">
        <f>(Tabela1[[#This Row],[x]]-H$3)*(Tabela1[[#This Row],[x]]-H$3) +(Tabela1[[#This Row],[y]]-H$4)*(Tabela1[[#This Row],[y]]-H$4)</f>
        <v>6642</v>
      </c>
      <c r="D9786" s="1">
        <f>IF(Tabela1[[#This Row],[promien]]&lt;40000,1,0)</f>
        <v>1</v>
      </c>
      <c r="E9786" s="1">
        <f>IF(Tabela1[[#This Row],[promien]]=40000,1,0)</f>
        <v>0</v>
      </c>
      <c r="F9786" s="1">
        <v>3.1408134069078275</v>
      </c>
      <c r="G9786" s="1">
        <v>7.7924668196560631E-4</v>
      </c>
    </row>
    <row r="9787" spans="1:7">
      <c r="A9787">
        <v>259</v>
      </c>
      <c r="B9787">
        <v>325</v>
      </c>
      <c r="C9787" s="1">
        <f>(Tabela1[[#This Row],[x]]-H$3)*(Tabela1[[#This Row],[x]]-H$3) +(Tabela1[[#This Row],[y]]-H$4)*(Tabela1[[#This Row],[y]]-H$4)</f>
        <v>19106</v>
      </c>
      <c r="D9787" s="1">
        <f>IF(Tabela1[[#This Row],[promien]]&lt;40000,1,0)</f>
        <v>1</v>
      </c>
      <c r="E9787" s="1">
        <f>IF(Tabela1[[#This Row],[promien]]=40000,1,0)</f>
        <v>0</v>
      </c>
      <c r="F9787" s="1">
        <v>3.1409011954633699</v>
      </c>
      <c r="G9787" s="1">
        <v>6.9145812642323889E-4</v>
      </c>
    </row>
    <row r="9788" spans="1:7">
      <c r="A9788">
        <v>156</v>
      </c>
      <c r="B9788">
        <v>320</v>
      </c>
      <c r="C9788" s="1">
        <f>(Tabela1[[#This Row],[x]]-H$3)*(Tabela1[[#This Row],[x]]-H$3) +(Tabela1[[#This Row],[y]]-H$4)*(Tabela1[[#This Row],[y]]-H$4)</f>
        <v>16336</v>
      </c>
      <c r="D9788" s="1">
        <f>IF(Tabela1[[#This Row],[promien]]&lt;40000,1,0)</f>
        <v>1</v>
      </c>
      <c r="E9788" s="1">
        <f>IF(Tabela1[[#This Row],[promien]]=40000,1,0)</f>
        <v>0</v>
      </c>
      <c r="F9788" s="1">
        <v>3.1409889660809154</v>
      </c>
      <c r="G9788" s="1">
        <v>6.0368750887773714E-4</v>
      </c>
    </row>
    <row r="9789" spans="1:7">
      <c r="A9789">
        <v>8</v>
      </c>
      <c r="B9789">
        <v>373</v>
      </c>
      <c r="C9789" s="1">
        <f>(Tabela1[[#This Row],[x]]-H$3)*(Tabela1[[#This Row],[x]]-H$3) +(Tabela1[[#This Row],[y]]-H$4)*(Tabela1[[#This Row],[y]]-H$4)</f>
        <v>66793</v>
      </c>
      <c r="D9789" s="1">
        <f>IF(Tabela1[[#This Row],[promien]]&lt;40000,1,0)</f>
        <v>0</v>
      </c>
      <c r="E9789" s="1">
        <f>IF(Tabela1[[#This Row],[promien]]=40000,1,0)</f>
        <v>0</v>
      </c>
      <c r="F9789" s="1">
        <v>3.1406680968433958</v>
      </c>
      <c r="G9789" s="1">
        <v>9.2455674639735363E-4</v>
      </c>
    </row>
    <row r="9790" spans="1:7">
      <c r="A9790">
        <v>200</v>
      </c>
      <c r="B9790">
        <v>262</v>
      </c>
      <c r="C9790" s="1">
        <f>(Tabela1[[#This Row],[x]]-H$3)*(Tabela1[[#This Row],[x]]-H$3) +(Tabela1[[#This Row],[y]]-H$4)*(Tabela1[[#This Row],[y]]-H$4)</f>
        <v>3844</v>
      </c>
      <c r="D9790" s="1">
        <f>IF(Tabela1[[#This Row],[promien]]&lt;40000,1,0)</f>
        <v>1</v>
      </c>
      <c r="E9790" s="1">
        <f>IF(Tabela1[[#This Row],[promien]]=40000,1,0)</f>
        <v>0</v>
      </c>
      <c r="F9790" s="1">
        <v>3.1407558733401428</v>
      </c>
      <c r="G9790" s="1">
        <v>8.3678024965028186E-4</v>
      </c>
    </row>
    <row r="9791" spans="1:7">
      <c r="A9791">
        <v>225</v>
      </c>
      <c r="B9791">
        <v>74</v>
      </c>
      <c r="C9791" s="1">
        <f>(Tabela1[[#This Row],[x]]-H$3)*(Tabela1[[#This Row],[x]]-H$3) +(Tabela1[[#This Row],[y]]-H$4)*(Tabela1[[#This Row],[y]]-H$4)</f>
        <v>16501</v>
      </c>
      <c r="D9791" s="1">
        <f>IF(Tabela1[[#This Row],[promien]]&lt;40000,1,0)</f>
        <v>1</v>
      </c>
      <c r="E9791" s="1">
        <f>IF(Tabela1[[#This Row],[promien]]=40000,1,0)</f>
        <v>0</v>
      </c>
      <c r="F9791" s="1">
        <v>3.1408436319068533</v>
      </c>
      <c r="G9791" s="1">
        <v>7.4902168293977667E-4</v>
      </c>
    </row>
    <row r="9792" spans="1:7">
      <c r="A9792">
        <v>330</v>
      </c>
      <c r="B9792">
        <v>306</v>
      </c>
      <c r="C9792" s="1">
        <f>(Tabela1[[#This Row],[x]]-H$3)*(Tabela1[[#This Row],[x]]-H$3) +(Tabela1[[#This Row],[y]]-H$4)*(Tabela1[[#This Row],[y]]-H$4)</f>
        <v>28136</v>
      </c>
      <c r="D9792" s="1">
        <f>IF(Tabela1[[#This Row],[promien]]&lt;40000,1,0)</f>
        <v>1</v>
      </c>
      <c r="E9792" s="1">
        <f>IF(Tabela1[[#This Row],[promien]]=40000,1,0)</f>
        <v>0</v>
      </c>
      <c r="F9792" s="1">
        <v>3.1409313725490198</v>
      </c>
      <c r="G9792" s="1">
        <v>6.6128104077334271E-4</v>
      </c>
    </row>
    <row r="9793" spans="1:7">
      <c r="A9793">
        <v>328</v>
      </c>
      <c r="B9793">
        <v>83</v>
      </c>
      <c r="C9793" s="1">
        <f>(Tabela1[[#This Row],[x]]-H$3)*(Tabela1[[#This Row],[x]]-H$3) +(Tabela1[[#This Row],[y]]-H$4)*(Tabela1[[#This Row],[y]]-H$4)</f>
        <v>30073</v>
      </c>
      <c r="D9793" s="1">
        <f>IF(Tabela1[[#This Row],[promien]]&lt;40000,1,0)</f>
        <v>1</v>
      </c>
      <c r="E9793" s="1">
        <f>IF(Tabela1[[#This Row],[promien]]=40000,1,0)</f>
        <v>0</v>
      </c>
      <c r="F9793" s="1">
        <v>3.1410190952721333</v>
      </c>
      <c r="G9793" s="1">
        <v>5.7355831765981691E-4</v>
      </c>
    </row>
    <row r="9794" spans="1:7">
      <c r="A9794">
        <v>29</v>
      </c>
      <c r="B9794">
        <v>237</v>
      </c>
      <c r="C9794" s="1">
        <f>(Tabela1[[#This Row],[x]]-H$3)*(Tabela1[[#This Row],[x]]-H$3) +(Tabela1[[#This Row],[y]]-H$4)*(Tabela1[[#This Row],[y]]-H$4)</f>
        <v>30610</v>
      </c>
      <c r="D9794" s="1">
        <f>IF(Tabela1[[#This Row],[promien]]&lt;40000,1,0)</f>
        <v>1</v>
      </c>
      <c r="E9794" s="1">
        <f>IF(Tabela1[[#This Row],[promien]]=40000,1,0)</f>
        <v>0</v>
      </c>
      <c r="F9794" s="1">
        <v>3.1411068000816829</v>
      </c>
      <c r="G9794" s="1">
        <v>4.8585350811025663E-4</v>
      </c>
    </row>
    <row r="9795" spans="1:7">
      <c r="A9795">
        <v>314</v>
      </c>
      <c r="B9795">
        <v>113</v>
      </c>
      <c r="C9795" s="1">
        <f>(Tabela1[[#This Row],[x]]-H$3)*(Tabela1[[#This Row],[x]]-H$3) +(Tabela1[[#This Row],[y]]-H$4)*(Tabela1[[#This Row],[y]]-H$4)</f>
        <v>20565</v>
      </c>
      <c r="D9795" s="1">
        <f>IF(Tabela1[[#This Row],[promien]]&lt;40000,1,0)</f>
        <v>1</v>
      </c>
      <c r="E9795" s="1">
        <f>IF(Tabela1[[#This Row],[promien]]=40000,1,0)</f>
        <v>0</v>
      </c>
      <c r="F9795" s="1">
        <v>3.1411944869831547</v>
      </c>
      <c r="G9795" s="1">
        <v>3.9816660663838377E-4</v>
      </c>
    </row>
    <row r="9796" spans="1:7">
      <c r="A9796">
        <v>350</v>
      </c>
      <c r="B9796">
        <v>134</v>
      </c>
      <c r="C9796" s="1">
        <f>(Tabela1[[#This Row],[x]]-H$3)*(Tabela1[[#This Row],[x]]-H$3) +(Tabela1[[#This Row],[y]]-H$4)*(Tabela1[[#This Row],[y]]-H$4)</f>
        <v>26856</v>
      </c>
      <c r="D9796" s="1">
        <f>IF(Tabela1[[#This Row],[promien]]&lt;40000,1,0)</f>
        <v>1</v>
      </c>
      <c r="E9796" s="1">
        <f>IF(Tabela1[[#This Row],[promien]]=40000,1,0)</f>
        <v>0</v>
      </c>
      <c r="F9796" s="1">
        <v>3.1412821559820334</v>
      </c>
      <c r="G9796" s="1">
        <v>3.1049760775969659E-4</v>
      </c>
    </row>
    <row r="9797" spans="1:7">
      <c r="A9797">
        <v>58</v>
      </c>
      <c r="B9797">
        <v>215</v>
      </c>
      <c r="C9797" s="1">
        <f>(Tabela1[[#This Row],[x]]-H$3)*(Tabela1[[#This Row],[x]]-H$3) +(Tabela1[[#This Row],[y]]-H$4)*(Tabela1[[#This Row],[y]]-H$4)</f>
        <v>20389</v>
      </c>
      <c r="D9797" s="1">
        <f>IF(Tabela1[[#This Row],[promien]]&lt;40000,1,0)</f>
        <v>1</v>
      </c>
      <c r="E9797" s="1">
        <f>IF(Tabela1[[#This Row],[promien]]=40000,1,0)</f>
        <v>0</v>
      </c>
      <c r="F9797" s="1">
        <v>3.1413698070838012</v>
      </c>
      <c r="G9797" s="1">
        <v>2.228465059919138E-4</v>
      </c>
    </row>
    <row r="9798" spans="1:7">
      <c r="A9798">
        <v>361</v>
      </c>
      <c r="B9798">
        <v>258</v>
      </c>
      <c r="C9798" s="1">
        <f>(Tabela1[[#This Row],[x]]-H$3)*(Tabela1[[#This Row],[x]]-H$3) +(Tabela1[[#This Row],[y]]-H$4)*(Tabela1[[#This Row],[y]]-H$4)</f>
        <v>29285</v>
      </c>
      <c r="D9798" s="1">
        <f>IF(Tabela1[[#This Row],[promien]]&lt;40000,1,0)</f>
        <v>1</v>
      </c>
      <c r="E9798" s="1">
        <f>IF(Tabela1[[#This Row],[promien]]=40000,1,0)</f>
        <v>0</v>
      </c>
      <c r="F9798" s="1">
        <v>3.1414574402939377</v>
      </c>
      <c r="G9798" s="1">
        <v>1.3521329585541864E-4</v>
      </c>
    </row>
    <row r="9799" spans="1:7">
      <c r="A9799">
        <v>129</v>
      </c>
      <c r="B9799">
        <v>180</v>
      </c>
      <c r="C9799" s="1">
        <f>(Tabela1[[#This Row],[x]]-H$3)*(Tabela1[[#This Row],[x]]-H$3) +(Tabela1[[#This Row],[y]]-H$4)*(Tabela1[[#This Row],[y]]-H$4)</f>
        <v>5441</v>
      </c>
      <c r="D9799" s="1">
        <f>IF(Tabela1[[#This Row],[promien]]&lt;40000,1,0)</f>
        <v>1</v>
      </c>
      <c r="E9799" s="1">
        <f>IF(Tabela1[[#This Row],[promien]]=40000,1,0)</f>
        <v>0</v>
      </c>
      <c r="F9799" s="1">
        <v>3.1415450556179203</v>
      </c>
      <c r="G9799" s="1">
        <v>4.7597971872814782E-5</v>
      </c>
    </row>
    <row r="9800" spans="1:7">
      <c r="A9800">
        <v>361</v>
      </c>
      <c r="B9800">
        <v>327</v>
      </c>
      <c r="C9800" s="1">
        <f>(Tabela1[[#This Row],[x]]-H$3)*(Tabela1[[#This Row],[x]]-H$3) +(Tabela1[[#This Row],[y]]-H$4)*(Tabela1[[#This Row],[y]]-H$4)</f>
        <v>42050</v>
      </c>
      <c r="D9800" s="1">
        <f>IF(Tabela1[[#This Row],[promien]]&lt;40000,1,0)</f>
        <v>0</v>
      </c>
      <c r="E9800" s="1">
        <f>IF(Tabela1[[#This Row],[promien]]=40000,1,0)</f>
        <v>0</v>
      </c>
      <c r="F9800" s="1">
        <v>3.1412244897959183</v>
      </c>
      <c r="G9800" s="1">
        <v>3.6816379387483167E-4</v>
      </c>
    </row>
    <row r="9801" spans="1:7">
      <c r="A9801">
        <v>19</v>
      </c>
      <c r="B9801">
        <v>275</v>
      </c>
      <c r="C9801" s="1">
        <f>(Tabela1[[#This Row],[x]]-H$3)*(Tabela1[[#This Row],[x]]-H$3) +(Tabela1[[#This Row],[y]]-H$4)*(Tabela1[[#This Row],[y]]-H$4)</f>
        <v>38386</v>
      </c>
      <c r="D9801" s="1">
        <f>IF(Tabela1[[#This Row],[promien]]&lt;40000,1,0)</f>
        <v>1</v>
      </c>
      <c r="E9801" s="1">
        <f>IF(Tabela1[[#This Row],[promien]]=40000,1,0)</f>
        <v>0</v>
      </c>
      <c r="F9801" s="1">
        <v>3.1413121110090807</v>
      </c>
      <c r="G9801" s="1">
        <v>2.8054258071241733E-4</v>
      </c>
    </row>
    <row r="9802" spans="1:7">
      <c r="A9802">
        <v>41</v>
      </c>
      <c r="B9802">
        <v>103</v>
      </c>
      <c r="C9802" s="1">
        <f>(Tabela1[[#This Row],[x]]-H$3)*(Tabela1[[#This Row],[x]]-H$3) +(Tabela1[[#This Row],[y]]-H$4)*(Tabela1[[#This Row],[y]]-H$4)</f>
        <v>34690</v>
      </c>
      <c r="D9802" s="1">
        <f>IF(Tabela1[[#This Row],[promien]]&lt;40000,1,0)</f>
        <v>1</v>
      </c>
      <c r="E9802" s="1">
        <f>IF(Tabela1[[#This Row],[promien]]=40000,1,0)</f>
        <v>0</v>
      </c>
      <c r="F9802" s="1">
        <v>3.1413997143440113</v>
      </c>
      <c r="G9802" s="1">
        <v>1.9293924578178689E-4</v>
      </c>
    </row>
    <row r="9803" spans="1:7">
      <c r="A9803">
        <v>142</v>
      </c>
      <c r="B9803">
        <v>189</v>
      </c>
      <c r="C9803" s="1">
        <f>(Tabela1[[#This Row],[x]]-H$3)*(Tabela1[[#This Row],[x]]-H$3) +(Tabela1[[#This Row],[y]]-H$4)*(Tabela1[[#This Row],[y]]-H$4)</f>
        <v>3485</v>
      </c>
      <c r="D9803" s="1">
        <f>IF(Tabela1[[#This Row],[promien]]&lt;40000,1,0)</f>
        <v>1</v>
      </c>
      <c r="E9803" s="1">
        <f>IF(Tabela1[[#This Row],[promien]]=40000,1,0)</f>
        <v>0</v>
      </c>
      <c r="F9803" s="1">
        <v>3.1414872998061818</v>
      </c>
      <c r="G9803" s="1">
        <v>1.053537836113172E-4</v>
      </c>
    </row>
    <row r="9804" spans="1:7">
      <c r="A9804">
        <v>239</v>
      </c>
      <c r="B9804">
        <v>234</v>
      </c>
      <c r="C9804" s="1">
        <f>(Tabela1[[#This Row],[x]]-H$3)*(Tabela1[[#This Row],[x]]-H$3) +(Tabela1[[#This Row],[y]]-H$4)*(Tabela1[[#This Row],[y]]-H$4)</f>
        <v>2677</v>
      </c>
      <c r="D9804" s="1">
        <f>IF(Tabela1[[#This Row],[promien]]&lt;40000,1,0)</f>
        <v>1</v>
      </c>
      <c r="E9804" s="1">
        <f>IF(Tabela1[[#This Row],[promien]]=40000,1,0)</f>
        <v>0</v>
      </c>
      <c r="F9804" s="1">
        <v>3.1415748674010606</v>
      </c>
      <c r="G9804" s="1">
        <v>1.7786188732493713E-5</v>
      </c>
    </row>
    <row r="9805" spans="1:7">
      <c r="A9805">
        <v>132</v>
      </c>
      <c r="B9805">
        <v>142</v>
      </c>
      <c r="C9805" s="1">
        <f>(Tabela1[[#This Row],[x]]-H$3)*(Tabela1[[#This Row],[x]]-H$3) +(Tabela1[[#This Row],[y]]-H$4)*(Tabela1[[#This Row],[y]]-H$4)</f>
        <v>7988</v>
      </c>
      <c r="D9805" s="1">
        <f>IF(Tabela1[[#This Row],[promien]]&lt;40000,1,0)</f>
        <v>1</v>
      </c>
      <c r="E9805" s="1">
        <f>IF(Tabela1[[#This Row],[promien]]=40000,1,0)</f>
        <v>0</v>
      </c>
      <c r="F9805" s="1">
        <v>3.1416624171341154</v>
      </c>
      <c r="G9805" s="1">
        <v>6.9763544322309912E-5</v>
      </c>
    </row>
    <row r="9806" spans="1:7">
      <c r="A9806">
        <v>154</v>
      </c>
      <c r="B9806">
        <v>271</v>
      </c>
      <c r="C9806" s="1">
        <f>(Tabela1[[#This Row],[x]]-H$3)*(Tabela1[[#This Row],[x]]-H$3) +(Tabela1[[#This Row],[y]]-H$4)*(Tabela1[[#This Row],[y]]-H$4)</f>
        <v>7157</v>
      </c>
      <c r="D9806" s="1">
        <f>IF(Tabela1[[#This Row],[promien]]&lt;40000,1,0)</f>
        <v>1</v>
      </c>
      <c r="E9806" s="1">
        <f>IF(Tabela1[[#This Row],[promien]]=40000,1,0)</f>
        <v>0</v>
      </c>
      <c r="F9806" s="1">
        <v>3.1417499490108098</v>
      </c>
      <c r="G9806" s="1">
        <v>1.5729542101672322E-4</v>
      </c>
    </row>
    <row r="9807" spans="1:7">
      <c r="A9807">
        <v>182</v>
      </c>
      <c r="B9807">
        <v>163</v>
      </c>
      <c r="C9807" s="1">
        <f>(Tabela1[[#This Row],[x]]-H$3)*(Tabela1[[#This Row],[x]]-H$3) +(Tabela1[[#This Row],[y]]-H$4)*(Tabela1[[#This Row],[y]]-H$4)</f>
        <v>1693</v>
      </c>
      <c r="D9807" s="1">
        <f>IF(Tabela1[[#This Row],[promien]]&lt;40000,1,0)</f>
        <v>1</v>
      </c>
      <c r="E9807" s="1">
        <f>IF(Tabela1[[#This Row],[promien]]=40000,1,0)</f>
        <v>0</v>
      </c>
      <c r="F9807" s="1">
        <v>3.1418374630366066</v>
      </c>
      <c r="G9807" s="1">
        <v>2.448094468134876E-4</v>
      </c>
    </row>
    <row r="9808" spans="1:7">
      <c r="A9808">
        <v>81</v>
      </c>
      <c r="B9808">
        <v>43</v>
      </c>
      <c r="C9808" s="1">
        <f>(Tabela1[[#This Row],[x]]-H$3)*(Tabela1[[#This Row],[x]]-H$3) +(Tabela1[[#This Row],[y]]-H$4)*(Tabela1[[#This Row],[y]]-H$4)</f>
        <v>38810</v>
      </c>
      <c r="D9808" s="1">
        <f>IF(Tabela1[[#This Row],[promien]]&lt;40000,1,0)</f>
        <v>1</v>
      </c>
      <c r="E9808" s="1">
        <f>IF(Tabela1[[#This Row],[promien]]=40000,1,0)</f>
        <v>0</v>
      </c>
      <c r="F9808" s="1">
        <v>3.1419249592169658</v>
      </c>
      <c r="G9808" s="1">
        <v>3.3230562717267986E-4</v>
      </c>
    </row>
    <row r="9809" spans="1:7">
      <c r="A9809">
        <v>162</v>
      </c>
      <c r="B9809">
        <v>266</v>
      </c>
      <c r="C9809" s="1">
        <f>(Tabela1[[#This Row],[x]]-H$3)*(Tabela1[[#This Row],[x]]-H$3) +(Tabela1[[#This Row],[y]]-H$4)*(Tabela1[[#This Row],[y]]-H$4)</f>
        <v>5800</v>
      </c>
      <c r="D9809" s="1">
        <f>IF(Tabela1[[#This Row],[promien]]&lt;40000,1,0)</f>
        <v>1</v>
      </c>
      <c r="E9809" s="1">
        <f>IF(Tabela1[[#This Row],[promien]]=40000,1,0)</f>
        <v>0</v>
      </c>
      <c r="F9809" s="1">
        <v>3.1420124375573453</v>
      </c>
      <c r="G9809" s="1">
        <v>4.1978396755215641E-4</v>
      </c>
    </row>
    <row r="9810" spans="1:7">
      <c r="A9810">
        <v>387</v>
      </c>
      <c r="B9810">
        <v>268</v>
      </c>
      <c r="C9810" s="1">
        <f>(Tabela1[[#This Row],[x]]-H$3)*(Tabela1[[#This Row],[x]]-H$3) +(Tabela1[[#This Row],[y]]-H$4)*(Tabela1[[#This Row],[y]]-H$4)</f>
        <v>39593</v>
      </c>
      <c r="D9810" s="1">
        <f>IF(Tabela1[[#This Row],[promien]]&lt;40000,1,0)</f>
        <v>1</v>
      </c>
      <c r="E9810" s="1">
        <f>IF(Tabela1[[#This Row],[promien]]=40000,1,0)</f>
        <v>0</v>
      </c>
      <c r="F9810" s="1">
        <v>3.1420998980632007</v>
      </c>
      <c r="G9810" s="1">
        <v>5.0724447340755319E-4</v>
      </c>
    </row>
    <row r="9811" spans="1:7">
      <c r="A9811">
        <v>222</v>
      </c>
      <c r="B9811">
        <v>351</v>
      </c>
      <c r="C9811" s="1">
        <f>(Tabela1[[#This Row],[x]]-H$3)*(Tabela1[[#This Row],[x]]-H$3) +(Tabela1[[#This Row],[y]]-H$4)*(Tabela1[[#This Row],[y]]-H$4)</f>
        <v>23285</v>
      </c>
      <c r="D9811" s="1">
        <f>IF(Tabela1[[#This Row],[promien]]&lt;40000,1,0)</f>
        <v>1</v>
      </c>
      <c r="E9811" s="1">
        <f>IF(Tabela1[[#This Row],[promien]]=40000,1,0)</f>
        <v>0</v>
      </c>
      <c r="F9811" s="1">
        <v>3.1421873407399858</v>
      </c>
      <c r="G9811" s="1">
        <v>5.9468715019272977E-4</v>
      </c>
    </row>
    <row r="9812" spans="1:7">
      <c r="A9812">
        <v>319</v>
      </c>
      <c r="B9812">
        <v>269</v>
      </c>
      <c r="C9812" s="1">
        <f>(Tabela1[[#This Row],[x]]-H$3)*(Tabela1[[#This Row],[x]]-H$3) +(Tabela1[[#This Row],[y]]-H$4)*(Tabela1[[#This Row],[y]]-H$4)</f>
        <v>18922</v>
      </c>
      <c r="D9812" s="1">
        <f>IF(Tabela1[[#This Row],[promien]]&lt;40000,1,0)</f>
        <v>1</v>
      </c>
      <c r="E9812" s="1">
        <f>IF(Tabela1[[#This Row],[promien]]=40000,1,0)</f>
        <v>0</v>
      </c>
      <c r="F9812" s="1">
        <v>3.1422747655931511</v>
      </c>
      <c r="G9812" s="1">
        <v>6.8211200335799305E-4</v>
      </c>
    </row>
    <row r="9813" spans="1:7">
      <c r="A9813">
        <v>34</v>
      </c>
      <c r="B9813">
        <v>338</v>
      </c>
      <c r="C9813" s="1">
        <f>(Tabela1[[#This Row],[x]]-H$3)*(Tabela1[[#This Row],[x]]-H$3) +(Tabela1[[#This Row],[y]]-H$4)*(Tabela1[[#This Row],[y]]-H$4)</f>
        <v>46600</v>
      </c>
      <c r="D9813" s="1">
        <f>IF(Tabela1[[#This Row],[promien]]&lt;40000,1,0)</f>
        <v>0</v>
      </c>
      <c r="E9813" s="1">
        <f>IF(Tabela1[[#This Row],[promien]]=40000,1,0)</f>
        <v>0</v>
      </c>
      <c r="F9813" s="1">
        <v>3.1419545500866199</v>
      </c>
      <c r="G9813" s="1">
        <v>3.6189649682683012E-4</v>
      </c>
    </row>
    <row r="9814" spans="1:7">
      <c r="A9814">
        <v>7</v>
      </c>
      <c r="B9814">
        <v>202</v>
      </c>
      <c r="C9814" s="1">
        <f>(Tabela1[[#This Row],[x]]-H$3)*(Tabela1[[#This Row],[x]]-H$3) +(Tabela1[[#This Row],[y]]-H$4)*(Tabela1[[#This Row],[y]]-H$4)</f>
        <v>37253</v>
      </c>
      <c r="D9814" s="1">
        <f>IF(Tabela1[[#This Row],[promien]]&lt;40000,1,0)</f>
        <v>1</v>
      </c>
      <c r="E9814" s="1">
        <f>IF(Tabela1[[#This Row],[promien]]=40000,1,0)</f>
        <v>0</v>
      </c>
      <c r="F9814" s="1">
        <v>3.1420419808436928</v>
      </c>
      <c r="G9814" s="1">
        <v>4.4932725389967842E-4</v>
      </c>
    </row>
    <row r="9815" spans="1:7">
      <c r="A9815">
        <v>17</v>
      </c>
      <c r="B9815">
        <v>12</v>
      </c>
      <c r="C9815" s="1">
        <f>(Tabela1[[#This Row],[x]]-H$3)*(Tabela1[[#This Row],[x]]-H$3) +(Tabela1[[#This Row],[y]]-H$4)*(Tabela1[[#This Row],[y]]-H$4)</f>
        <v>68833</v>
      </c>
      <c r="D9815" s="1">
        <f>IF(Tabela1[[#This Row],[promien]]&lt;40000,1,0)</f>
        <v>0</v>
      </c>
      <c r="E9815" s="1">
        <f>IF(Tabela1[[#This Row],[promien]]=40000,1,0)</f>
        <v>0</v>
      </c>
      <c r="F9815" s="1">
        <v>3.1417218543046359</v>
      </c>
      <c r="G9815" s="1">
        <v>1.2920071484279205E-4</v>
      </c>
    </row>
    <row r="9816" spans="1:7">
      <c r="A9816">
        <v>367</v>
      </c>
      <c r="B9816">
        <v>50</v>
      </c>
      <c r="C9816" s="1">
        <f>(Tabela1[[#This Row],[x]]-H$3)*(Tabela1[[#This Row],[x]]-H$3) +(Tabela1[[#This Row],[y]]-H$4)*(Tabela1[[#This Row],[y]]-H$4)</f>
        <v>50389</v>
      </c>
      <c r="D9816" s="1">
        <f>IF(Tabela1[[#This Row],[promien]]&lt;40000,1,0)</f>
        <v>0</v>
      </c>
      <c r="E9816" s="1">
        <f>IF(Tabela1[[#This Row],[promien]]=40000,1,0)</f>
        <v>0</v>
      </c>
      <c r="F9816" s="1">
        <v>3.1414017929910352</v>
      </c>
      <c r="G9816" s="1">
        <v>1.9086059875794703E-4</v>
      </c>
    </row>
    <row r="9817" spans="1:7">
      <c r="A9817">
        <v>224</v>
      </c>
      <c r="B9817">
        <v>340</v>
      </c>
      <c r="C9817" s="1">
        <f>(Tabela1[[#This Row],[x]]-H$3)*(Tabela1[[#This Row],[x]]-H$3) +(Tabela1[[#This Row],[y]]-H$4)*(Tabela1[[#This Row],[y]]-H$4)</f>
        <v>20176</v>
      </c>
      <c r="D9817" s="1">
        <f>IF(Tabela1[[#This Row],[promien]]&lt;40000,1,0)</f>
        <v>1</v>
      </c>
      <c r="E9817" s="1">
        <f>IF(Tabela1[[#This Row],[promien]]=40000,1,0)</f>
        <v>0</v>
      </c>
      <c r="F9817" s="1">
        <v>3.1414892533360499</v>
      </c>
      <c r="G9817" s="1">
        <v>1.0340025374322437E-4</v>
      </c>
    </row>
    <row r="9818" spans="1:7">
      <c r="A9818">
        <v>138</v>
      </c>
      <c r="B9818">
        <v>220</v>
      </c>
      <c r="C9818" s="1">
        <f>(Tabela1[[#This Row],[x]]-H$3)*(Tabela1[[#This Row],[x]]-H$3) +(Tabela1[[#This Row],[y]]-H$4)*(Tabela1[[#This Row],[y]]-H$4)</f>
        <v>4244</v>
      </c>
      <c r="D9818" s="1">
        <f>IF(Tabela1[[#This Row],[promien]]&lt;40000,1,0)</f>
        <v>1</v>
      </c>
      <c r="E9818" s="1">
        <f>IF(Tabela1[[#This Row],[promien]]=40000,1,0)</f>
        <v>0</v>
      </c>
      <c r="F9818" s="1">
        <v>3.1415766958647384</v>
      </c>
      <c r="G9818" s="1">
        <v>1.5957725054693839E-5</v>
      </c>
    </row>
    <row r="9819" spans="1:7">
      <c r="A9819">
        <v>184</v>
      </c>
      <c r="B9819">
        <v>323</v>
      </c>
      <c r="C9819" s="1">
        <f>(Tabela1[[#This Row],[x]]-H$3)*(Tabela1[[#This Row],[x]]-H$3) +(Tabela1[[#This Row],[y]]-H$4)*(Tabela1[[#This Row],[y]]-H$4)</f>
        <v>15385</v>
      </c>
      <c r="D9819" s="1">
        <f>IF(Tabela1[[#This Row],[promien]]&lt;40000,1,0)</f>
        <v>1</v>
      </c>
      <c r="E9819" s="1">
        <f>IF(Tabela1[[#This Row],[promien]]=40000,1,0)</f>
        <v>0</v>
      </c>
      <c r="F9819" s="1">
        <v>3.141664120582544</v>
      </c>
      <c r="G9819" s="1">
        <v>7.1466992750846003E-5</v>
      </c>
    </row>
    <row r="9820" spans="1:7">
      <c r="A9820">
        <v>129</v>
      </c>
      <c r="B9820">
        <v>129</v>
      </c>
      <c r="C9820" s="1">
        <f>(Tabela1[[#This Row],[x]]-H$3)*(Tabela1[[#This Row],[x]]-H$3) +(Tabela1[[#This Row],[y]]-H$4)*(Tabela1[[#This Row],[y]]-H$4)</f>
        <v>10082</v>
      </c>
      <c r="D9820" s="1">
        <f>IF(Tabela1[[#This Row],[promien]]&lt;40000,1,0)</f>
        <v>1</v>
      </c>
      <c r="E9820" s="1">
        <f>IF(Tabela1[[#This Row],[promien]]=40000,1,0)</f>
        <v>0</v>
      </c>
      <c r="F9820" s="1">
        <v>3.1417515274949084</v>
      </c>
      <c r="G9820" s="1">
        <v>1.5887390511526434E-4</v>
      </c>
    </row>
    <row r="9821" spans="1:7">
      <c r="A9821">
        <v>334</v>
      </c>
      <c r="B9821">
        <v>279</v>
      </c>
      <c r="C9821" s="1">
        <f>(Tabela1[[#This Row],[x]]-H$3)*(Tabela1[[#This Row],[x]]-H$3) +(Tabela1[[#This Row],[y]]-H$4)*(Tabela1[[#This Row],[y]]-H$4)</f>
        <v>24197</v>
      </c>
      <c r="D9821" s="1">
        <f>IF(Tabela1[[#This Row],[promien]]&lt;40000,1,0)</f>
        <v>1</v>
      </c>
      <c r="E9821" s="1">
        <f>IF(Tabela1[[#This Row],[promien]]=40000,1,0)</f>
        <v>0</v>
      </c>
      <c r="F9821" s="1">
        <v>3.14183891660727</v>
      </c>
      <c r="G9821" s="1">
        <v>2.4626301747687762E-4</v>
      </c>
    </row>
    <row r="9822" spans="1:7">
      <c r="A9822">
        <v>253</v>
      </c>
      <c r="B9822">
        <v>11</v>
      </c>
      <c r="C9822" s="1">
        <f>(Tabela1[[#This Row],[x]]-H$3)*(Tabela1[[#This Row],[x]]-H$3) +(Tabela1[[#This Row],[y]]-H$4)*(Tabela1[[#This Row],[y]]-H$4)</f>
        <v>38530</v>
      </c>
      <c r="D9822" s="1">
        <f>IF(Tabela1[[#This Row],[promien]]&lt;40000,1,0)</f>
        <v>1</v>
      </c>
      <c r="E9822" s="1">
        <f>IF(Tabela1[[#This Row],[promien]]=40000,1,0)</f>
        <v>0</v>
      </c>
      <c r="F9822" s="1">
        <v>3.1419262879250662</v>
      </c>
      <c r="G9822" s="1">
        <v>3.3363433527311415E-4</v>
      </c>
    </row>
    <row r="9823" spans="1:7">
      <c r="A9823">
        <v>57</v>
      </c>
      <c r="B9823">
        <v>144</v>
      </c>
      <c r="C9823" s="1">
        <f>(Tabela1[[#This Row],[x]]-H$3)*(Tabela1[[#This Row],[x]]-H$3) +(Tabela1[[#This Row],[y]]-H$4)*(Tabela1[[#This Row],[y]]-H$4)</f>
        <v>23585</v>
      </c>
      <c r="D9823" s="1">
        <f>IF(Tabela1[[#This Row],[promien]]&lt;40000,1,0)</f>
        <v>1</v>
      </c>
      <c r="E9823" s="1">
        <f>IF(Tabela1[[#This Row],[promien]]=40000,1,0)</f>
        <v>0</v>
      </c>
      <c r="F9823" s="1">
        <v>3.142013641453731</v>
      </c>
      <c r="G9823" s="1">
        <v>4.2098786393784948E-4</v>
      </c>
    </row>
    <row r="9824" spans="1:7">
      <c r="A9824">
        <v>268</v>
      </c>
      <c r="B9824">
        <v>81</v>
      </c>
      <c r="C9824" s="1">
        <f>(Tabela1[[#This Row],[x]]-H$3)*(Tabela1[[#This Row],[x]]-H$3) +(Tabela1[[#This Row],[y]]-H$4)*(Tabela1[[#This Row],[y]]-H$4)</f>
        <v>18785</v>
      </c>
      <c r="D9824" s="1">
        <f>IF(Tabela1[[#This Row],[promien]]&lt;40000,1,0)</f>
        <v>1</v>
      </c>
      <c r="E9824" s="1">
        <f>IF(Tabela1[[#This Row],[promien]]=40000,1,0)</f>
        <v>0</v>
      </c>
      <c r="F9824" s="1">
        <v>3.1421009771986972</v>
      </c>
      <c r="G9824" s="1">
        <v>5.0832360890407102E-4</v>
      </c>
    </row>
    <row r="9825" spans="1:7">
      <c r="A9825">
        <v>197</v>
      </c>
      <c r="B9825">
        <v>135</v>
      </c>
      <c r="C9825" s="1">
        <f>(Tabela1[[#This Row],[x]]-H$3)*(Tabela1[[#This Row],[x]]-H$3) +(Tabela1[[#This Row],[y]]-H$4)*(Tabela1[[#This Row],[y]]-H$4)</f>
        <v>4234</v>
      </c>
      <c r="D9825" s="1">
        <f>IF(Tabela1[[#This Row],[promien]]&lt;40000,1,0)</f>
        <v>1</v>
      </c>
      <c r="E9825" s="1">
        <f>IF(Tabela1[[#This Row],[promien]]=40000,1,0)</f>
        <v>0</v>
      </c>
      <c r="F9825" s="1">
        <v>3.1421882951653943</v>
      </c>
      <c r="G9825" s="1">
        <v>5.9564157560121345E-4</v>
      </c>
    </row>
    <row r="9826" spans="1:7">
      <c r="A9826">
        <v>352</v>
      </c>
      <c r="B9826">
        <v>31</v>
      </c>
      <c r="C9826" s="1">
        <f>(Tabela1[[#This Row],[x]]-H$3)*(Tabela1[[#This Row],[x]]-H$3) +(Tabela1[[#This Row],[y]]-H$4)*(Tabela1[[#This Row],[y]]-H$4)</f>
        <v>51665</v>
      </c>
      <c r="D9826" s="1">
        <f>IF(Tabela1[[#This Row],[promien]]&lt;40000,1,0)</f>
        <v>0</v>
      </c>
      <c r="E9826" s="1">
        <f>IF(Tabela1[[#This Row],[promien]]=40000,1,0)</f>
        <v>0</v>
      </c>
      <c r="F9826" s="1">
        <v>3.1418685121107268</v>
      </c>
      <c r="G9826" s="1">
        <v>2.7585852093370278E-4</v>
      </c>
    </row>
    <row r="9827" spans="1:7">
      <c r="A9827">
        <v>393</v>
      </c>
      <c r="B9827">
        <v>44</v>
      </c>
      <c r="C9827" s="1">
        <f>(Tabela1[[#This Row],[x]]-H$3)*(Tabela1[[#This Row],[x]]-H$3) +(Tabela1[[#This Row],[y]]-H$4)*(Tabela1[[#This Row],[y]]-H$4)</f>
        <v>61585</v>
      </c>
      <c r="D9827" s="1">
        <f>IF(Tabela1[[#This Row],[promien]]&lt;40000,1,0)</f>
        <v>0</v>
      </c>
      <c r="E9827" s="1">
        <f>IF(Tabela1[[#This Row],[promien]]=40000,1,0)</f>
        <v>0</v>
      </c>
      <c r="F9827" s="1">
        <v>3.1415487941385978</v>
      </c>
      <c r="G9827" s="1">
        <v>4.3859451195338295E-5</v>
      </c>
    </row>
    <row r="9828" spans="1:7">
      <c r="A9828">
        <v>111</v>
      </c>
      <c r="B9828">
        <v>19</v>
      </c>
      <c r="C9828" s="1">
        <f>(Tabela1[[#This Row],[x]]-H$3)*(Tabela1[[#This Row],[x]]-H$3) +(Tabela1[[#This Row],[y]]-H$4)*(Tabela1[[#This Row],[y]]-H$4)</f>
        <v>40682</v>
      </c>
      <c r="D9828" s="1">
        <f>IF(Tabela1[[#This Row],[promien]]&lt;40000,1,0)</f>
        <v>0</v>
      </c>
      <c r="E9828" s="1">
        <f>IF(Tabela1[[#This Row],[promien]]=40000,1,0)</f>
        <v>0</v>
      </c>
      <c r="F9828" s="1">
        <v>3.1412291412291413</v>
      </c>
      <c r="G9828" s="1">
        <v>3.6351236065179648E-4</v>
      </c>
    </row>
    <row r="9829" spans="1:7">
      <c r="A9829">
        <v>346</v>
      </c>
      <c r="B9829">
        <v>308</v>
      </c>
      <c r="C9829" s="1">
        <f>(Tabela1[[#This Row],[x]]-H$3)*(Tabela1[[#This Row],[x]]-H$3) +(Tabela1[[#This Row],[y]]-H$4)*(Tabela1[[#This Row],[y]]-H$4)</f>
        <v>32980</v>
      </c>
      <c r="D9829" s="1">
        <f>IF(Tabela1[[#This Row],[promien]]&lt;40000,1,0)</f>
        <v>1</v>
      </c>
      <c r="E9829" s="1">
        <f>IF(Tabela1[[#This Row],[promien]]=40000,1,0)</f>
        <v>0</v>
      </c>
      <c r="F9829" s="1">
        <v>3.1413165123613798</v>
      </c>
      <c r="G9829" s="1">
        <v>2.7614122841335131E-4</v>
      </c>
    </row>
    <row r="9830" spans="1:7">
      <c r="A9830">
        <v>369</v>
      </c>
      <c r="B9830">
        <v>63</v>
      </c>
      <c r="C9830" s="1">
        <f>(Tabela1[[#This Row],[x]]-H$3)*(Tabela1[[#This Row],[x]]-H$3) +(Tabela1[[#This Row],[y]]-H$4)*(Tabela1[[#This Row],[y]]-H$4)</f>
        <v>47330</v>
      </c>
      <c r="D9830" s="1">
        <f>IF(Tabela1[[#This Row],[promien]]&lt;40000,1,0)</f>
        <v>0</v>
      </c>
      <c r="E9830" s="1">
        <f>IF(Tabela1[[#This Row],[promien]]=40000,1,0)</f>
        <v>0</v>
      </c>
      <c r="F9830" s="1">
        <v>3.1409969481180062</v>
      </c>
      <c r="G9830" s="1">
        <v>5.9570547178688926E-4</v>
      </c>
    </row>
    <row r="9831" spans="1:7">
      <c r="A9831">
        <v>309</v>
      </c>
      <c r="B9831">
        <v>214</v>
      </c>
      <c r="C9831" s="1">
        <f>(Tabela1[[#This Row],[x]]-H$3)*(Tabela1[[#This Row],[x]]-H$3) +(Tabela1[[#This Row],[y]]-H$4)*(Tabela1[[#This Row],[y]]-H$4)</f>
        <v>12077</v>
      </c>
      <c r="D9831" s="1">
        <f>IF(Tabela1[[#This Row],[promien]]&lt;40000,1,0)</f>
        <v>1</v>
      </c>
      <c r="E9831" s="1">
        <f>IF(Tabela1[[#This Row],[promien]]=40000,1,0)</f>
        <v>0</v>
      </c>
      <c r="F9831" s="1">
        <v>3.1410843250940901</v>
      </c>
      <c r="G9831" s="1">
        <v>5.0832849570303651E-4</v>
      </c>
    </row>
    <row r="9832" spans="1:7">
      <c r="A9832">
        <v>107</v>
      </c>
      <c r="B9832">
        <v>326</v>
      </c>
      <c r="C9832" s="1">
        <f>(Tabela1[[#This Row],[x]]-H$3)*(Tabela1[[#This Row],[x]]-H$3) +(Tabela1[[#This Row],[y]]-H$4)*(Tabela1[[#This Row],[y]]-H$4)</f>
        <v>24525</v>
      </c>
      <c r="D9832" s="1">
        <f>IF(Tabela1[[#This Row],[promien]]&lt;40000,1,0)</f>
        <v>1</v>
      </c>
      <c r="E9832" s="1">
        <f>IF(Tabela1[[#This Row],[promien]]=40000,1,0)</f>
        <v>0</v>
      </c>
      <c r="F9832" s="1">
        <v>3.1411716842961757</v>
      </c>
      <c r="G9832" s="1">
        <v>4.2096929361745694E-4</v>
      </c>
    </row>
    <row r="9833" spans="1:7">
      <c r="A9833">
        <v>289</v>
      </c>
      <c r="B9833">
        <v>289</v>
      </c>
      <c r="C9833" s="1">
        <f>(Tabela1[[#This Row],[x]]-H$3)*(Tabela1[[#This Row],[x]]-H$3) +(Tabela1[[#This Row],[y]]-H$4)*(Tabela1[[#This Row],[y]]-H$4)</f>
        <v>15842</v>
      </c>
      <c r="D9833" s="1">
        <f>IF(Tabela1[[#This Row],[promien]]&lt;40000,1,0)</f>
        <v>1</v>
      </c>
      <c r="E9833" s="1">
        <f>IF(Tabela1[[#This Row],[promien]]=40000,1,0)</f>
        <v>0</v>
      </c>
      <c r="F9833" s="1">
        <v>3.1412590257296857</v>
      </c>
      <c r="G9833" s="1">
        <v>3.3362786010737722E-4</v>
      </c>
    </row>
    <row r="9834" spans="1:7">
      <c r="A9834">
        <v>282</v>
      </c>
      <c r="B9834">
        <v>225</v>
      </c>
      <c r="C9834" s="1">
        <f>(Tabela1[[#This Row],[x]]-H$3)*(Tabela1[[#This Row],[x]]-H$3) +(Tabela1[[#This Row],[y]]-H$4)*(Tabela1[[#This Row],[y]]-H$4)</f>
        <v>7349</v>
      </c>
      <c r="D9834" s="1">
        <f>IF(Tabela1[[#This Row],[promien]]&lt;40000,1,0)</f>
        <v>1</v>
      </c>
      <c r="E9834" s="1">
        <f>IF(Tabela1[[#This Row],[promien]]=40000,1,0)</f>
        <v>0</v>
      </c>
      <c r="F9834" s="1">
        <v>3.1413463494000409</v>
      </c>
      <c r="G9834" s="1">
        <v>2.4630418975224444E-4</v>
      </c>
    </row>
    <row r="9835" spans="1:7">
      <c r="A9835">
        <v>163</v>
      </c>
      <c r="B9835">
        <v>187</v>
      </c>
      <c r="C9835" s="1">
        <f>(Tabela1[[#This Row],[x]]-H$3)*(Tabela1[[#This Row],[x]]-H$3) +(Tabela1[[#This Row],[y]]-H$4)*(Tabela1[[#This Row],[y]]-H$4)</f>
        <v>1538</v>
      </c>
      <c r="D9835" s="1">
        <f>IF(Tabela1[[#This Row],[promien]]&lt;40000,1,0)</f>
        <v>1</v>
      </c>
      <c r="E9835" s="1">
        <f>IF(Tabela1[[#This Row],[promien]]=40000,1,0)</f>
        <v>0</v>
      </c>
      <c r="F9835" s="1">
        <v>3.1414336553126589</v>
      </c>
      <c r="G9835" s="1">
        <v>1.5899827713417025E-4</v>
      </c>
    </row>
    <row r="9836" spans="1:7">
      <c r="A9836">
        <v>261</v>
      </c>
      <c r="B9836">
        <v>165</v>
      </c>
      <c r="C9836" s="1">
        <f>(Tabela1[[#This Row],[x]]-H$3)*(Tabela1[[#This Row],[x]]-H$3) +(Tabela1[[#This Row],[y]]-H$4)*(Tabela1[[#This Row],[y]]-H$4)</f>
        <v>4946</v>
      </c>
      <c r="D9836" s="1">
        <f>IF(Tabela1[[#This Row],[promien]]&lt;40000,1,0)</f>
        <v>1</v>
      </c>
      <c r="E9836" s="1">
        <f>IF(Tabela1[[#This Row],[promien]]=40000,1,0)</f>
        <v>0</v>
      </c>
      <c r="F9836" s="1">
        <v>3.1415209434729565</v>
      </c>
      <c r="G9836" s="1">
        <v>7.1710116836598559E-5</v>
      </c>
    </row>
    <row r="9837" spans="1:7">
      <c r="A9837">
        <v>74</v>
      </c>
      <c r="B9837">
        <v>12</v>
      </c>
      <c r="C9837" s="1">
        <f>(Tabela1[[#This Row],[x]]-H$3)*(Tabela1[[#This Row],[x]]-H$3) +(Tabela1[[#This Row],[y]]-H$4)*(Tabela1[[#This Row],[y]]-H$4)</f>
        <v>51220</v>
      </c>
      <c r="D9837" s="1">
        <f>IF(Tabela1[[#This Row],[promien]]&lt;40000,1,0)</f>
        <v>0</v>
      </c>
      <c r="E9837" s="1">
        <f>IF(Tabela1[[#This Row],[promien]]=40000,1,0)</f>
        <v>0</v>
      </c>
      <c r="F9837" s="1">
        <v>3.1412015858493443</v>
      </c>
      <c r="G9837" s="1">
        <v>3.9106774044883608E-4</v>
      </c>
    </row>
    <row r="9838" spans="1:7">
      <c r="A9838">
        <v>193</v>
      </c>
      <c r="B9838">
        <v>216</v>
      </c>
      <c r="C9838" s="1">
        <f>(Tabela1[[#This Row],[x]]-H$3)*(Tabela1[[#This Row],[x]]-H$3) +(Tabela1[[#This Row],[y]]-H$4)*(Tabela1[[#This Row],[y]]-H$4)</f>
        <v>305</v>
      </c>
      <c r="D9838" s="1">
        <f>IF(Tabela1[[#This Row],[promien]]&lt;40000,1,0)</f>
        <v>1</v>
      </c>
      <c r="E9838" s="1">
        <f>IF(Tabela1[[#This Row],[promien]]=40000,1,0)</f>
        <v>0</v>
      </c>
      <c r="F9838" s="1">
        <v>3.1412888798536289</v>
      </c>
      <c r="G9838" s="1">
        <v>3.0377373616419234E-4</v>
      </c>
    </row>
    <row r="9839" spans="1:7">
      <c r="A9839">
        <v>244</v>
      </c>
      <c r="B9839">
        <v>149</v>
      </c>
      <c r="C9839" s="1">
        <f>(Tabela1[[#This Row],[x]]-H$3)*(Tabela1[[#This Row],[x]]-H$3) +(Tabela1[[#This Row],[y]]-H$4)*(Tabela1[[#This Row],[y]]-H$4)</f>
        <v>4537</v>
      </c>
      <c r="D9839" s="1">
        <f>IF(Tabela1[[#This Row],[promien]]&lt;40000,1,0)</f>
        <v>1</v>
      </c>
      <c r="E9839" s="1">
        <f>IF(Tabela1[[#This Row],[promien]]=40000,1,0)</f>
        <v>0</v>
      </c>
      <c r="F9839" s="1">
        <v>3.1413761561134264</v>
      </c>
      <c r="G9839" s="1">
        <v>2.1649747636676153E-4</v>
      </c>
    </row>
    <row r="9840" spans="1:7">
      <c r="A9840">
        <v>59</v>
      </c>
      <c r="B9840">
        <v>199</v>
      </c>
      <c r="C9840" s="1">
        <f>(Tabela1[[#This Row],[x]]-H$3)*(Tabela1[[#This Row],[x]]-H$3) +(Tabela1[[#This Row],[y]]-H$4)*(Tabela1[[#This Row],[y]]-H$4)</f>
        <v>19882</v>
      </c>
      <c r="D9840" s="1">
        <f>IF(Tabela1[[#This Row],[promien]]&lt;40000,1,0)</f>
        <v>1</v>
      </c>
      <c r="E9840" s="1">
        <f>IF(Tabela1[[#This Row],[promien]]=40000,1,0)</f>
        <v>0</v>
      </c>
      <c r="F9840" s="1">
        <v>3.1414634146341465</v>
      </c>
      <c r="G9840" s="1">
        <v>1.2923895564664889E-4</v>
      </c>
    </row>
    <row r="9841" spans="1:7">
      <c r="A9841">
        <v>275</v>
      </c>
      <c r="B9841">
        <v>61</v>
      </c>
      <c r="C9841" s="1">
        <f>(Tabela1[[#This Row],[x]]-H$3)*(Tabela1[[#This Row],[x]]-H$3) +(Tabela1[[#This Row],[y]]-H$4)*(Tabela1[[#This Row],[y]]-H$4)</f>
        <v>24946</v>
      </c>
      <c r="D9841" s="1">
        <f>IF(Tabela1[[#This Row],[promien]]&lt;40000,1,0)</f>
        <v>1</v>
      </c>
      <c r="E9841" s="1">
        <f>IF(Tabela1[[#This Row],[promien]]=40000,1,0)</f>
        <v>0</v>
      </c>
      <c r="F9841" s="1">
        <v>3.1415506554211969</v>
      </c>
      <c r="G9841" s="1">
        <v>4.1998168596180108E-5</v>
      </c>
    </row>
    <row r="9842" spans="1:7">
      <c r="A9842">
        <v>213</v>
      </c>
      <c r="B9842">
        <v>57</v>
      </c>
      <c r="C9842" s="1">
        <f>(Tabela1[[#This Row],[x]]-H$3)*(Tabela1[[#This Row],[x]]-H$3) +(Tabela1[[#This Row],[y]]-H$4)*(Tabela1[[#This Row],[y]]-H$4)</f>
        <v>20618</v>
      </c>
      <c r="D9842" s="1">
        <f>IF(Tabela1[[#This Row],[promien]]&lt;40000,1,0)</f>
        <v>1</v>
      </c>
      <c r="E9842" s="1">
        <f>IF(Tabela1[[#This Row],[promien]]=40000,1,0)</f>
        <v>0</v>
      </c>
      <c r="F9842" s="1">
        <v>3.1416378784799837</v>
      </c>
      <c r="G9842" s="1">
        <v>4.5224890190542766E-5</v>
      </c>
    </row>
    <row r="9843" spans="1:7">
      <c r="A9843">
        <v>260</v>
      </c>
      <c r="B9843">
        <v>357</v>
      </c>
      <c r="C9843" s="1">
        <f>(Tabela1[[#This Row],[x]]-H$3)*(Tabela1[[#This Row],[x]]-H$3) +(Tabela1[[#This Row],[y]]-H$4)*(Tabela1[[#This Row],[y]]-H$4)</f>
        <v>28249</v>
      </c>
      <c r="D9843" s="1">
        <f>IF(Tabela1[[#This Row],[promien]]&lt;40000,1,0)</f>
        <v>1</v>
      </c>
      <c r="E9843" s="1">
        <f>IF(Tabela1[[#This Row],[promien]]=40000,1,0)</f>
        <v>0</v>
      </c>
      <c r="F9843" s="1">
        <v>3.1417250838159099</v>
      </c>
      <c r="G9843" s="1">
        <v>1.3243022611675315E-4</v>
      </c>
    </row>
    <row r="9844" spans="1:7">
      <c r="A9844">
        <v>52</v>
      </c>
      <c r="B9844">
        <v>327</v>
      </c>
      <c r="C9844" s="1">
        <f>(Tabela1[[#This Row],[x]]-H$3)*(Tabela1[[#This Row],[x]]-H$3) +(Tabela1[[#This Row],[y]]-H$4)*(Tabela1[[#This Row],[y]]-H$4)</f>
        <v>38033</v>
      </c>
      <c r="D9844" s="1">
        <f>IF(Tabela1[[#This Row],[promien]]&lt;40000,1,0)</f>
        <v>1</v>
      </c>
      <c r="E9844" s="1">
        <f>IF(Tabela1[[#This Row],[promien]]=40000,1,0)</f>
        <v>0</v>
      </c>
      <c r="F9844" s="1">
        <v>3.1418122714343761</v>
      </c>
      <c r="G9844" s="1">
        <v>2.1961784458301992E-4</v>
      </c>
    </row>
    <row r="9845" spans="1:7">
      <c r="A9845">
        <v>324</v>
      </c>
      <c r="B9845">
        <v>131</v>
      </c>
      <c r="C9845" s="1">
        <f>(Tabela1[[#This Row],[x]]-H$3)*(Tabela1[[#This Row],[x]]-H$3) +(Tabela1[[#This Row],[y]]-H$4)*(Tabela1[[#This Row],[y]]-H$4)</f>
        <v>20137</v>
      </c>
      <c r="D9845" s="1">
        <f>IF(Tabela1[[#This Row],[promien]]&lt;40000,1,0)</f>
        <v>1</v>
      </c>
      <c r="E9845" s="1">
        <f>IF(Tabela1[[#This Row],[promien]]=40000,1,0)</f>
        <v>0</v>
      </c>
      <c r="F9845" s="1">
        <v>3.1418994413407821</v>
      </c>
      <c r="G9845" s="1">
        <v>3.0678775098902378E-4</v>
      </c>
    </row>
    <row r="9846" spans="1:7">
      <c r="A9846">
        <v>272</v>
      </c>
      <c r="B9846">
        <v>329</v>
      </c>
      <c r="C9846" s="1">
        <f>(Tabela1[[#This Row],[x]]-H$3)*(Tabela1[[#This Row],[x]]-H$3) +(Tabela1[[#This Row],[y]]-H$4)*(Tabela1[[#This Row],[y]]-H$4)</f>
        <v>21825</v>
      </c>
      <c r="D9846" s="1">
        <f>IF(Tabela1[[#This Row],[promien]]&lt;40000,1,0)</f>
        <v>1</v>
      </c>
      <c r="E9846" s="1">
        <f>IF(Tabela1[[#This Row],[promien]]=40000,1,0)</f>
        <v>0</v>
      </c>
      <c r="F9846" s="1">
        <v>3.141986593540524</v>
      </c>
      <c r="G9846" s="1">
        <v>3.9393995073089272E-4</v>
      </c>
    </row>
    <row r="9847" spans="1:7">
      <c r="A9847">
        <v>22</v>
      </c>
      <c r="B9847">
        <v>357</v>
      </c>
      <c r="C9847" s="1">
        <f>(Tabela1[[#This Row],[x]]-H$3)*(Tabela1[[#This Row],[x]]-H$3) +(Tabela1[[#This Row],[y]]-H$4)*(Tabela1[[#This Row],[y]]-H$4)</f>
        <v>56333</v>
      </c>
      <c r="D9847" s="1">
        <f>IF(Tabela1[[#This Row],[promien]]&lt;40000,1,0)</f>
        <v>0</v>
      </c>
      <c r="E9847" s="1">
        <f>IF(Tabela1[[#This Row],[promien]]=40000,1,0)</f>
        <v>0</v>
      </c>
      <c r="F9847" s="1">
        <v>3.1416675129481062</v>
      </c>
      <c r="G9847" s="1">
        <v>7.4859358313084101E-5</v>
      </c>
    </row>
    <row r="9848" spans="1:7">
      <c r="A9848">
        <v>366</v>
      </c>
      <c r="B9848">
        <v>41</v>
      </c>
      <c r="C9848" s="1">
        <f>(Tabela1[[#This Row],[x]]-H$3)*(Tabela1[[#This Row],[x]]-H$3) +(Tabela1[[#This Row],[y]]-H$4)*(Tabela1[[#This Row],[y]]-H$4)</f>
        <v>52837</v>
      </c>
      <c r="D9848" s="1">
        <f>IF(Tabela1[[#This Row],[promien]]&lt;40000,1,0)</f>
        <v>0</v>
      </c>
      <c r="E9848" s="1">
        <f>IF(Tabela1[[#This Row],[promien]]=40000,1,0)</f>
        <v>0</v>
      </c>
      <c r="F9848" s="1">
        <v>3.1413484971567831</v>
      </c>
      <c r="G9848" s="1">
        <v>2.4415643301001211E-4</v>
      </c>
    </row>
    <row r="9849" spans="1:7">
      <c r="A9849">
        <v>4</v>
      </c>
      <c r="B9849">
        <v>9</v>
      </c>
      <c r="C9849" s="1">
        <f>(Tabela1[[#This Row],[x]]-H$3)*(Tabela1[[#This Row],[x]]-H$3) +(Tabela1[[#This Row],[y]]-H$4)*(Tabela1[[#This Row],[y]]-H$4)</f>
        <v>74897</v>
      </c>
      <c r="D9849" s="1">
        <f>IF(Tabela1[[#This Row],[promien]]&lt;40000,1,0)</f>
        <v>0</v>
      </c>
      <c r="E9849" s="1">
        <f>IF(Tabela1[[#This Row],[promien]]=40000,1,0)</f>
        <v>0</v>
      </c>
      <c r="F9849" s="1">
        <v>3.1410295461468167</v>
      </c>
      <c r="G9849" s="1">
        <v>5.6310744297638493E-4</v>
      </c>
    </row>
    <row r="9850" spans="1:7">
      <c r="A9850">
        <v>290</v>
      </c>
      <c r="B9850">
        <v>86</v>
      </c>
      <c r="C9850" s="1">
        <f>(Tabela1[[#This Row],[x]]-H$3)*(Tabela1[[#This Row],[x]]-H$3) +(Tabela1[[#This Row],[y]]-H$4)*(Tabela1[[#This Row],[y]]-H$4)</f>
        <v>21096</v>
      </c>
      <c r="D9850" s="1">
        <f>IF(Tabela1[[#This Row],[promien]]&lt;40000,1,0)</f>
        <v>1</v>
      </c>
      <c r="E9850" s="1">
        <f>IF(Tabela1[[#This Row],[promien]]=40000,1,0)</f>
        <v>0</v>
      </c>
      <c r="F9850" s="1">
        <v>3.1411167512690357</v>
      </c>
      <c r="G9850" s="1">
        <v>4.7590232075744865E-4</v>
      </c>
    </row>
    <row r="9851" spans="1:7">
      <c r="A9851">
        <v>185</v>
      </c>
      <c r="B9851">
        <v>245</v>
      </c>
      <c r="C9851" s="1">
        <f>(Tabela1[[#This Row],[x]]-H$3)*(Tabela1[[#This Row],[x]]-H$3) +(Tabela1[[#This Row],[y]]-H$4)*(Tabela1[[#This Row],[y]]-H$4)</f>
        <v>2250</v>
      </c>
      <c r="D9851" s="1">
        <f>IF(Tabela1[[#This Row],[promien]]&lt;40000,1,0)</f>
        <v>1</v>
      </c>
      <c r="E9851" s="1">
        <f>IF(Tabela1[[#This Row],[promien]]=40000,1,0)</f>
        <v>0</v>
      </c>
      <c r="F9851" s="1">
        <v>3.1412039386864277</v>
      </c>
      <c r="G9851" s="1">
        <v>3.8871490336545023E-4</v>
      </c>
    </row>
    <row r="9852" spans="1:7">
      <c r="A9852">
        <v>144</v>
      </c>
      <c r="B9852">
        <v>325</v>
      </c>
      <c r="C9852" s="1">
        <f>(Tabela1[[#This Row],[x]]-H$3)*(Tabela1[[#This Row],[x]]-H$3) +(Tabela1[[#This Row],[y]]-H$4)*(Tabela1[[#This Row],[y]]-H$4)</f>
        <v>18761</v>
      </c>
      <c r="D9852" s="1">
        <f>IF(Tabela1[[#This Row],[promien]]&lt;40000,1,0)</f>
        <v>1</v>
      </c>
      <c r="E9852" s="1">
        <f>IF(Tabela1[[#This Row],[promien]]=40000,1,0)</f>
        <v>0</v>
      </c>
      <c r="F9852" s="1">
        <v>3.1412911084043849</v>
      </c>
      <c r="G9852" s="1">
        <v>3.0154518540825848E-4</v>
      </c>
    </row>
    <row r="9853" spans="1:7">
      <c r="A9853">
        <v>303</v>
      </c>
      <c r="B9853">
        <v>325</v>
      </c>
      <c r="C9853" s="1">
        <f>(Tabela1[[#This Row],[x]]-H$3)*(Tabela1[[#This Row],[x]]-H$3) +(Tabela1[[#This Row],[y]]-H$4)*(Tabela1[[#This Row],[y]]-H$4)</f>
        <v>26234</v>
      </c>
      <c r="D9853" s="1">
        <f>IF(Tabela1[[#This Row],[promien]]&lt;40000,1,0)</f>
        <v>1</v>
      </c>
      <c r="E9853" s="1">
        <f>IF(Tabela1[[#This Row],[promien]]=40000,1,0)</f>
        <v>0</v>
      </c>
      <c r="F9853" s="1">
        <v>3.1413782604282958</v>
      </c>
      <c r="G9853" s="1">
        <v>2.1439316149729493E-4</v>
      </c>
    </row>
    <row r="9854" spans="1:7">
      <c r="A9854">
        <v>209</v>
      </c>
      <c r="B9854">
        <v>383</v>
      </c>
      <c r="C9854" s="1">
        <f>(Tabela1[[#This Row],[x]]-H$3)*(Tabela1[[#This Row],[x]]-H$3) +(Tabela1[[#This Row],[y]]-H$4)*(Tabela1[[#This Row],[y]]-H$4)</f>
        <v>33570</v>
      </c>
      <c r="D9854" s="1">
        <f>IF(Tabela1[[#This Row],[promien]]&lt;40000,1,0)</f>
        <v>1</v>
      </c>
      <c r="E9854" s="1">
        <f>IF(Tabela1[[#This Row],[promien]]=40000,1,0)</f>
        <v>0</v>
      </c>
      <c r="F9854" s="1">
        <v>3.1414653947635478</v>
      </c>
      <c r="G9854" s="1">
        <v>1.2725882624531337E-4</v>
      </c>
    </row>
    <row r="9855" spans="1:7">
      <c r="A9855">
        <v>69</v>
      </c>
      <c r="B9855">
        <v>106</v>
      </c>
      <c r="C9855" s="1">
        <f>(Tabela1[[#This Row],[x]]-H$3)*(Tabela1[[#This Row],[x]]-H$3) +(Tabela1[[#This Row],[y]]-H$4)*(Tabela1[[#This Row],[y]]-H$4)</f>
        <v>25997</v>
      </c>
      <c r="D9855" s="1">
        <f>IF(Tabela1[[#This Row],[promien]]&lt;40000,1,0)</f>
        <v>1</v>
      </c>
      <c r="E9855" s="1">
        <f>IF(Tabela1[[#This Row],[promien]]=40000,1,0)</f>
        <v>0</v>
      </c>
      <c r="F9855" s="1">
        <v>3.1415525114155249</v>
      </c>
      <c r="G9855" s="1">
        <v>4.0142174268176234E-5</v>
      </c>
    </row>
    <row r="9856" spans="1:7">
      <c r="A9856">
        <v>27</v>
      </c>
      <c r="B9856">
        <v>369</v>
      </c>
      <c r="C9856" s="1">
        <f>(Tabela1[[#This Row],[x]]-H$3)*(Tabela1[[#This Row],[x]]-H$3) +(Tabela1[[#This Row],[y]]-H$4)*(Tabela1[[#This Row],[y]]-H$4)</f>
        <v>58490</v>
      </c>
      <c r="D9856" s="1">
        <f>IF(Tabela1[[#This Row],[promien]]&lt;40000,1,0)</f>
        <v>0</v>
      </c>
      <c r="E9856" s="1">
        <f>IF(Tabela1[[#This Row],[promien]]=40000,1,0)</f>
        <v>0</v>
      </c>
      <c r="F9856" s="1">
        <v>3.1412337662337664</v>
      </c>
      <c r="G9856" s="1">
        <v>3.5888735602673805E-4</v>
      </c>
    </row>
    <row r="9857" spans="1:7">
      <c r="A9857">
        <v>277</v>
      </c>
      <c r="B9857">
        <v>309</v>
      </c>
      <c r="C9857" s="1">
        <f>(Tabela1[[#This Row],[x]]-H$3)*(Tabela1[[#This Row],[x]]-H$3) +(Tabela1[[#This Row],[y]]-H$4)*(Tabela1[[#This Row],[y]]-H$4)</f>
        <v>17810</v>
      </c>
      <c r="D9857" s="1">
        <f>IF(Tabela1[[#This Row],[promien]]&lt;40000,1,0)</f>
        <v>1</v>
      </c>
      <c r="E9857" s="1">
        <f>IF(Tabela1[[#This Row],[promien]]=40000,1,0)</f>
        <v>0</v>
      </c>
      <c r="F9857" s="1">
        <v>3.141320888708532</v>
      </c>
      <c r="G9857" s="1">
        <v>2.717648812611273E-4</v>
      </c>
    </row>
    <row r="9858" spans="1:7">
      <c r="A9858">
        <v>185</v>
      </c>
      <c r="B9858">
        <v>61</v>
      </c>
      <c r="C9858" s="1">
        <f>(Tabela1[[#This Row],[x]]-H$3)*(Tabela1[[#This Row],[x]]-H$3) +(Tabela1[[#This Row],[y]]-H$4)*(Tabela1[[#This Row],[y]]-H$4)</f>
        <v>19546</v>
      </c>
      <c r="D9858" s="1">
        <f>IF(Tabela1[[#This Row],[promien]]&lt;40000,1,0)</f>
        <v>1</v>
      </c>
      <c r="E9858" s="1">
        <f>IF(Tabela1[[#This Row],[promien]]=40000,1,0)</f>
        <v>0</v>
      </c>
      <c r="F9858" s="1">
        <v>3.1414079935078107</v>
      </c>
      <c r="G9858" s="1">
        <v>1.846600819823685E-4</v>
      </c>
    </row>
    <row r="9859" spans="1:7">
      <c r="A9859">
        <v>373</v>
      </c>
      <c r="B9859">
        <v>75</v>
      </c>
      <c r="C9859" s="1">
        <f>(Tabela1[[#This Row],[x]]-H$3)*(Tabela1[[#This Row],[x]]-H$3) +(Tabela1[[#This Row],[y]]-H$4)*(Tabela1[[#This Row],[y]]-H$4)</f>
        <v>45554</v>
      </c>
      <c r="D9859" s="1">
        <f>IF(Tabela1[[#This Row],[promien]]&lt;40000,1,0)</f>
        <v>0</v>
      </c>
      <c r="E9859" s="1">
        <f>IF(Tabela1[[#This Row],[promien]]=40000,1,0)</f>
        <v>0</v>
      </c>
      <c r="F9859" s="1">
        <v>3.1410893599756569</v>
      </c>
      <c r="G9859" s="1">
        <v>5.0329361413625762E-4</v>
      </c>
    </row>
    <row r="9860" spans="1:7">
      <c r="A9860">
        <v>342</v>
      </c>
      <c r="B9860">
        <v>350</v>
      </c>
      <c r="C9860" s="1">
        <f>(Tabela1[[#This Row],[x]]-H$3)*(Tabela1[[#This Row],[x]]-H$3) +(Tabela1[[#This Row],[y]]-H$4)*(Tabela1[[#This Row],[y]]-H$4)</f>
        <v>42664</v>
      </c>
      <c r="D9860" s="1">
        <f>IF(Tabela1[[#This Row],[promien]]&lt;40000,1,0)</f>
        <v>0</v>
      </c>
      <c r="E9860" s="1">
        <f>IF(Tabela1[[#This Row],[promien]]=40000,1,0)</f>
        <v>0</v>
      </c>
      <c r="F9860" s="1">
        <v>3.1407707910750506</v>
      </c>
      <c r="G9860" s="1">
        <v>8.218625147424774E-4</v>
      </c>
    </row>
    <row r="9861" spans="1:7">
      <c r="A9861">
        <v>208</v>
      </c>
      <c r="B9861">
        <v>166</v>
      </c>
      <c r="C9861" s="1">
        <f>(Tabela1[[#This Row],[x]]-H$3)*(Tabela1[[#This Row],[x]]-H$3) +(Tabela1[[#This Row],[y]]-H$4)*(Tabela1[[#This Row],[y]]-H$4)</f>
        <v>1220</v>
      </c>
      <c r="D9861" s="1">
        <f>IF(Tabela1[[#This Row],[promien]]&lt;40000,1,0)</f>
        <v>1</v>
      </c>
      <c r="E9861" s="1">
        <f>IF(Tabela1[[#This Row],[promien]]=40000,1,0)</f>
        <v>0</v>
      </c>
      <c r="F9861" s="1">
        <v>3.14085792515972</v>
      </c>
      <c r="G9861" s="1">
        <v>7.3472843007316158E-4</v>
      </c>
    </row>
    <row r="9862" spans="1:7">
      <c r="A9862">
        <v>138</v>
      </c>
      <c r="B9862">
        <v>224</v>
      </c>
      <c r="C9862" s="1">
        <f>(Tabela1[[#This Row],[x]]-H$3)*(Tabela1[[#This Row],[x]]-H$3) +(Tabela1[[#This Row],[y]]-H$4)*(Tabela1[[#This Row],[y]]-H$4)</f>
        <v>4420</v>
      </c>
      <c r="D9862" s="1">
        <f>IF(Tabela1[[#This Row],[promien]]&lt;40000,1,0)</f>
        <v>1</v>
      </c>
      <c r="E9862" s="1">
        <f>IF(Tabela1[[#This Row],[promien]]=40000,1,0)</f>
        <v>0</v>
      </c>
      <c r="F9862" s="1">
        <v>3.1409450415737172</v>
      </c>
      <c r="G9862" s="1">
        <v>6.4761201607588248E-4</v>
      </c>
    </row>
    <row r="9863" spans="1:7">
      <c r="A9863">
        <v>20</v>
      </c>
      <c r="B9863">
        <v>315</v>
      </c>
      <c r="C9863" s="1">
        <f>(Tabela1[[#This Row],[x]]-H$3)*(Tabela1[[#This Row],[x]]-H$3) +(Tabela1[[#This Row],[y]]-H$4)*(Tabela1[[#This Row],[y]]-H$4)</f>
        <v>45625</v>
      </c>
      <c r="D9863" s="1">
        <f>IF(Tabela1[[#This Row],[promien]]&lt;40000,1,0)</f>
        <v>0</v>
      </c>
      <c r="E9863" s="1">
        <f>IF(Tabela1[[#This Row],[promien]]=40000,1,0)</f>
        <v>0</v>
      </c>
      <c r="F9863" s="1">
        <v>3.1406265842035892</v>
      </c>
      <c r="G9863" s="1">
        <v>9.6606938620391603E-4</v>
      </c>
    </row>
    <row r="9864" spans="1:7">
      <c r="A9864">
        <v>140</v>
      </c>
      <c r="B9864">
        <v>282</v>
      </c>
      <c r="C9864" s="1">
        <f>(Tabela1[[#This Row],[x]]-H$3)*(Tabela1[[#This Row],[x]]-H$3) +(Tabela1[[#This Row],[y]]-H$4)*(Tabela1[[#This Row],[y]]-H$4)</f>
        <v>10324</v>
      </c>
      <c r="D9864" s="1">
        <f>IF(Tabela1[[#This Row],[promien]]&lt;40000,1,0)</f>
        <v>1</v>
      </c>
      <c r="E9864" s="1">
        <f>IF(Tabela1[[#This Row],[promien]]=40000,1,0)</f>
        <v>0</v>
      </c>
      <c r="F9864" s="1">
        <v>3.1407137064071371</v>
      </c>
      <c r="G9864" s="1">
        <v>8.7894718265602023E-4</v>
      </c>
    </row>
    <row r="9865" spans="1:7">
      <c r="A9865">
        <v>327</v>
      </c>
      <c r="B9865">
        <v>61</v>
      </c>
      <c r="C9865" s="1">
        <f>(Tabela1[[#This Row],[x]]-H$3)*(Tabela1[[#This Row],[x]]-H$3) +(Tabela1[[#This Row],[y]]-H$4)*(Tabela1[[#This Row],[y]]-H$4)</f>
        <v>35450</v>
      </c>
      <c r="D9865" s="1">
        <f>IF(Tabela1[[#This Row],[promien]]&lt;40000,1,0)</f>
        <v>1</v>
      </c>
      <c r="E9865" s="1">
        <f>IF(Tabela1[[#This Row],[promien]]=40000,1,0)</f>
        <v>0</v>
      </c>
      <c r="F9865" s="1">
        <v>3.1408008109477952</v>
      </c>
      <c r="G9865" s="1">
        <v>7.9184264199794185E-4</v>
      </c>
    </row>
    <row r="9866" spans="1:7">
      <c r="A9866">
        <v>376</v>
      </c>
      <c r="B9866">
        <v>232</v>
      </c>
      <c r="C9866" s="1">
        <f>(Tabela1[[#This Row],[x]]-H$3)*(Tabela1[[#This Row],[x]]-H$3) +(Tabela1[[#This Row],[y]]-H$4)*(Tabela1[[#This Row],[y]]-H$4)</f>
        <v>32000</v>
      </c>
      <c r="D9866" s="1">
        <f>IF(Tabela1[[#This Row],[promien]]&lt;40000,1,0)</f>
        <v>1</v>
      </c>
      <c r="E9866" s="1">
        <f>IF(Tabela1[[#This Row],[promien]]=40000,1,0)</f>
        <v>0</v>
      </c>
      <c r="F9866" s="1">
        <v>3.1408878978309347</v>
      </c>
      <c r="G9866" s="1">
        <v>7.047557588584219E-4</v>
      </c>
    </row>
    <row r="9867" spans="1:7">
      <c r="A9867">
        <v>73</v>
      </c>
      <c r="B9867">
        <v>107</v>
      </c>
      <c r="C9867" s="1">
        <f>(Tabela1[[#This Row],[x]]-H$3)*(Tabela1[[#This Row],[x]]-H$3) +(Tabela1[[#This Row],[y]]-H$4)*(Tabela1[[#This Row],[y]]-H$4)</f>
        <v>24778</v>
      </c>
      <c r="D9867" s="1">
        <f>IF(Tabela1[[#This Row],[promien]]&lt;40000,1,0)</f>
        <v>1</v>
      </c>
      <c r="E9867" s="1">
        <f>IF(Tabela1[[#This Row],[promien]]=40000,1,0)</f>
        <v>0</v>
      </c>
      <c r="F9867" s="1">
        <v>3.1409749670619234</v>
      </c>
      <c r="G9867" s="1">
        <v>6.1768652786975409E-4</v>
      </c>
    </row>
    <row r="9868" spans="1:7">
      <c r="A9868">
        <v>263</v>
      </c>
      <c r="B9868">
        <v>351</v>
      </c>
      <c r="C9868" s="1">
        <f>(Tabela1[[#This Row],[x]]-H$3)*(Tabela1[[#This Row],[x]]-H$3) +(Tabela1[[#This Row],[y]]-H$4)*(Tabela1[[#This Row],[y]]-H$4)</f>
        <v>26770</v>
      </c>
      <c r="D9868" s="1">
        <f>IF(Tabela1[[#This Row],[promien]]&lt;40000,1,0)</f>
        <v>1</v>
      </c>
      <c r="E9868" s="1">
        <f>IF(Tabela1[[#This Row],[promien]]=40000,1,0)</f>
        <v>0</v>
      </c>
      <c r="F9868" s="1">
        <v>3.1410620186461289</v>
      </c>
      <c r="G9868" s="1">
        <v>5.3063494366423214E-4</v>
      </c>
    </row>
    <row r="9869" spans="1:7">
      <c r="A9869">
        <v>147</v>
      </c>
      <c r="B9869">
        <v>240</v>
      </c>
      <c r="C9869" s="1">
        <f>(Tabela1[[#This Row],[x]]-H$3)*(Tabela1[[#This Row],[x]]-H$3) +(Tabela1[[#This Row],[y]]-H$4)*(Tabela1[[#This Row],[y]]-H$4)</f>
        <v>4409</v>
      </c>
      <c r="D9869" s="1">
        <f>IF(Tabela1[[#This Row],[promien]]&lt;40000,1,0)</f>
        <v>1</v>
      </c>
      <c r="E9869" s="1">
        <f>IF(Tabela1[[#This Row],[promien]]=40000,1,0)</f>
        <v>0</v>
      </c>
      <c r="F9869" s="1">
        <v>3.141149052588915</v>
      </c>
      <c r="G9869" s="1">
        <v>4.4360100087814658E-4</v>
      </c>
    </row>
    <row r="9870" spans="1:7">
      <c r="A9870">
        <v>264</v>
      </c>
      <c r="B9870">
        <v>243</v>
      </c>
      <c r="C9870" s="1">
        <f>(Tabela1[[#This Row],[x]]-H$3)*(Tabela1[[#This Row],[x]]-H$3) +(Tabela1[[#This Row],[y]]-H$4)*(Tabela1[[#This Row],[y]]-H$4)</f>
        <v>5945</v>
      </c>
      <c r="D9870" s="1">
        <f>IF(Tabela1[[#This Row],[promien]]&lt;40000,1,0)</f>
        <v>1</v>
      </c>
      <c r="E9870" s="1">
        <f>IF(Tabela1[[#This Row],[promien]]=40000,1,0)</f>
        <v>0</v>
      </c>
      <c r="F9870" s="1">
        <v>3.1412360688956436</v>
      </c>
      <c r="G9870" s="1">
        <v>3.5658469414956429E-4</v>
      </c>
    </row>
    <row r="9871" spans="1:7">
      <c r="A9871">
        <v>233</v>
      </c>
      <c r="B9871">
        <v>127</v>
      </c>
      <c r="C9871" s="1">
        <f>(Tabela1[[#This Row],[x]]-H$3)*(Tabela1[[#This Row],[x]]-H$3) +(Tabela1[[#This Row],[y]]-H$4)*(Tabela1[[#This Row],[y]]-H$4)</f>
        <v>6418</v>
      </c>
      <c r="D9871" s="1">
        <f>IF(Tabela1[[#This Row],[promien]]&lt;40000,1,0)</f>
        <v>1</v>
      </c>
      <c r="E9871" s="1">
        <f>IF(Tabela1[[#This Row],[promien]]=40000,1,0)</f>
        <v>0</v>
      </c>
      <c r="F9871" s="1">
        <v>3.1413230675716748</v>
      </c>
      <c r="G9871" s="1">
        <v>2.695860181183285E-4</v>
      </c>
    </row>
    <row r="9872" spans="1:7">
      <c r="A9872">
        <v>170</v>
      </c>
      <c r="B9872">
        <v>6</v>
      </c>
      <c r="C9872" s="1">
        <f>(Tabela1[[#This Row],[x]]-H$3)*(Tabela1[[#This Row],[x]]-H$3) +(Tabela1[[#This Row],[y]]-H$4)*(Tabela1[[#This Row],[y]]-H$4)</f>
        <v>38536</v>
      </c>
      <c r="D9872" s="1">
        <f>IF(Tabela1[[#This Row],[promien]]&lt;40000,1,0)</f>
        <v>1</v>
      </c>
      <c r="E9872" s="1">
        <f>IF(Tabela1[[#This Row],[promien]]=40000,1,0)</f>
        <v>0</v>
      </c>
      <c r="F9872" s="1">
        <v>3.1414100486223662</v>
      </c>
      <c r="G9872" s="1">
        <v>1.8260496742694698E-4</v>
      </c>
    </row>
    <row r="9873" spans="1:7">
      <c r="A9873">
        <v>354</v>
      </c>
      <c r="B9873">
        <v>305</v>
      </c>
      <c r="C9873" s="1">
        <f>(Tabela1[[#This Row],[x]]-H$3)*(Tabela1[[#This Row],[x]]-H$3) +(Tabela1[[#This Row],[y]]-H$4)*(Tabela1[[#This Row],[y]]-H$4)</f>
        <v>34741</v>
      </c>
      <c r="D9873" s="1">
        <f>IF(Tabela1[[#This Row],[promien]]&lt;40000,1,0)</f>
        <v>1</v>
      </c>
      <c r="E9873" s="1">
        <f>IF(Tabela1[[#This Row],[promien]]=40000,1,0)</f>
        <v>0</v>
      </c>
      <c r="F9873" s="1">
        <v>3.1414970120530739</v>
      </c>
      <c r="G9873" s="1">
        <v>9.564153671925979E-5</v>
      </c>
    </row>
    <row r="9874" spans="1:7">
      <c r="A9874">
        <v>199</v>
      </c>
      <c r="B9874">
        <v>113</v>
      </c>
      <c r="C9874" s="1">
        <f>(Tabela1[[#This Row],[x]]-H$3)*(Tabela1[[#This Row],[x]]-H$3) +(Tabela1[[#This Row],[y]]-H$4)*(Tabela1[[#This Row],[y]]-H$4)</f>
        <v>7570</v>
      </c>
      <c r="D9874" s="1">
        <f>IF(Tabela1[[#This Row],[promien]]&lt;40000,1,0)</f>
        <v>1</v>
      </c>
      <c r="E9874" s="1">
        <f>IF(Tabela1[[#This Row],[promien]]=40000,1,0)</f>
        <v>0</v>
      </c>
      <c r="F9874" s="1">
        <v>3.1415839578691513</v>
      </c>
      <c r="G9874" s="1">
        <v>8.6957206417714872E-6</v>
      </c>
    </row>
    <row r="9875" spans="1:7">
      <c r="A9875">
        <v>182</v>
      </c>
      <c r="B9875">
        <v>79</v>
      </c>
      <c r="C9875" s="1">
        <f>(Tabela1[[#This Row],[x]]-H$3)*(Tabela1[[#This Row],[x]]-H$3) +(Tabela1[[#This Row],[y]]-H$4)*(Tabela1[[#This Row],[y]]-H$4)</f>
        <v>14965</v>
      </c>
      <c r="D9875" s="1">
        <f>IF(Tabela1[[#This Row],[promien]]&lt;40000,1,0)</f>
        <v>1</v>
      </c>
      <c r="E9875" s="1">
        <f>IF(Tabela1[[#This Row],[promien]]=40000,1,0)</f>
        <v>0</v>
      </c>
      <c r="F9875" s="1">
        <v>3.1416708860759495</v>
      </c>
      <c r="G9875" s="1">
        <v>7.8232486156348813E-5</v>
      </c>
    </row>
    <row r="9876" spans="1:7">
      <c r="A9876">
        <v>269</v>
      </c>
      <c r="B9876">
        <v>39</v>
      </c>
      <c r="C9876" s="1">
        <f>(Tabela1[[#This Row],[x]]-H$3)*(Tabela1[[#This Row],[x]]-H$3) +(Tabela1[[#This Row],[y]]-H$4)*(Tabela1[[#This Row],[y]]-H$4)</f>
        <v>30682</v>
      </c>
      <c r="D9876" s="1">
        <f>IF(Tabela1[[#This Row],[promien]]&lt;40000,1,0)</f>
        <v>1</v>
      </c>
      <c r="E9876" s="1">
        <f>IF(Tabela1[[#This Row],[promien]]=40000,1,0)</f>
        <v>0</v>
      </c>
      <c r="F9876" s="1">
        <v>3.1417577966788173</v>
      </c>
      <c r="G9876" s="1">
        <v>1.6514308902415564E-4</v>
      </c>
    </row>
    <row r="9877" spans="1:7">
      <c r="A9877">
        <v>89</v>
      </c>
      <c r="B9877">
        <v>249</v>
      </c>
      <c r="C9877" s="1">
        <f>(Tabela1[[#This Row],[x]]-H$3)*(Tabela1[[#This Row],[x]]-H$3) +(Tabela1[[#This Row],[y]]-H$4)*(Tabela1[[#This Row],[y]]-H$4)</f>
        <v>14722</v>
      </c>
      <c r="D9877" s="1">
        <f>IF(Tabela1[[#This Row],[promien]]&lt;40000,1,0)</f>
        <v>1</v>
      </c>
      <c r="E9877" s="1">
        <f>IF(Tabela1[[#This Row],[promien]]=40000,1,0)</f>
        <v>0</v>
      </c>
      <c r="F9877" s="1">
        <v>3.141844689683102</v>
      </c>
      <c r="G9877" s="1">
        <v>2.5203609330892718E-4</v>
      </c>
    </row>
    <row r="9878" spans="1:7">
      <c r="A9878">
        <v>164</v>
      </c>
      <c r="B9878">
        <v>108</v>
      </c>
      <c r="C9878" s="1">
        <f>(Tabela1[[#This Row],[x]]-H$3)*(Tabela1[[#This Row],[x]]-H$3) +(Tabela1[[#This Row],[y]]-H$4)*(Tabela1[[#This Row],[y]]-H$4)</f>
        <v>9760</v>
      </c>
      <c r="D9878" s="1">
        <f>IF(Tabela1[[#This Row],[promien]]&lt;40000,1,0)</f>
        <v>1</v>
      </c>
      <c r="E9878" s="1">
        <f>IF(Tabela1[[#This Row],[promien]]=40000,1,0)</f>
        <v>0</v>
      </c>
      <c r="F9878" s="1">
        <v>3.1419315650941484</v>
      </c>
      <c r="G9878" s="1">
        <v>3.3891150435527706E-4</v>
      </c>
    </row>
    <row r="9879" spans="1:7">
      <c r="A9879">
        <v>377</v>
      </c>
      <c r="B9879">
        <v>382</v>
      </c>
      <c r="C9879" s="1">
        <f>(Tabela1[[#This Row],[x]]-H$3)*(Tabela1[[#This Row],[x]]-H$3) +(Tabela1[[#This Row],[y]]-H$4)*(Tabela1[[#This Row],[y]]-H$4)</f>
        <v>64453</v>
      </c>
      <c r="D9879" s="1">
        <f>IF(Tabela1[[#This Row],[promien]]&lt;40000,1,0)</f>
        <v>0</v>
      </c>
      <c r="E9879" s="1">
        <f>IF(Tabela1[[#This Row],[promien]]=40000,1,0)</f>
        <v>0</v>
      </c>
      <c r="F9879" s="1">
        <v>3.1416135236359954</v>
      </c>
      <c r="G9879" s="1">
        <v>2.0870046202325909E-5</v>
      </c>
    </row>
    <row r="9880" spans="1:7">
      <c r="A9880">
        <v>91</v>
      </c>
      <c r="B9880">
        <v>269</v>
      </c>
      <c r="C9880" s="1">
        <f>(Tabela1[[#This Row],[x]]-H$3)*(Tabela1[[#This Row],[x]]-H$3) +(Tabela1[[#This Row],[y]]-H$4)*(Tabela1[[#This Row],[y]]-H$4)</f>
        <v>16642</v>
      </c>
      <c r="D9880" s="1">
        <f>IF(Tabela1[[#This Row],[promien]]&lt;40000,1,0)</f>
        <v>1</v>
      </c>
      <c r="E9880" s="1">
        <f>IF(Tabela1[[#This Row],[promien]]=40000,1,0)</f>
        <v>0</v>
      </c>
      <c r="F9880" s="1">
        <v>3.1417004048582995</v>
      </c>
      <c r="G9880" s="1">
        <v>1.0775126850637307E-4</v>
      </c>
    </row>
    <row r="9881" spans="1:7">
      <c r="A9881">
        <v>165</v>
      </c>
      <c r="B9881">
        <v>238</v>
      </c>
      <c r="C9881" s="1">
        <f>(Tabela1[[#This Row],[x]]-H$3)*(Tabela1[[#This Row],[x]]-H$3) +(Tabela1[[#This Row],[y]]-H$4)*(Tabela1[[#This Row],[y]]-H$4)</f>
        <v>2669</v>
      </c>
      <c r="D9881" s="1">
        <f>IF(Tabela1[[#This Row],[promien]]&lt;40000,1,0)</f>
        <v>1</v>
      </c>
      <c r="E9881" s="1">
        <f>IF(Tabela1[[#This Row],[promien]]=40000,1,0)</f>
        <v>0</v>
      </c>
      <c r="F9881" s="1">
        <v>3.1417872684950914</v>
      </c>
      <c r="G9881" s="1">
        <v>1.9461490529826264E-4</v>
      </c>
    </row>
    <row r="9882" spans="1:7">
      <c r="A9882">
        <v>130</v>
      </c>
      <c r="B9882">
        <v>101</v>
      </c>
      <c r="C9882" s="1">
        <f>(Tabela1[[#This Row],[x]]-H$3)*(Tabela1[[#This Row],[x]]-H$3) +(Tabela1[[#This Row],[y]]-H$4)*(Tabela1[[#This Row],[y]]-H$4)</f>
        <v>14701</v>
      </c>
      <c r="D9882" s="1">
        <f>IF(Tabela1[[#This Row],[promien]]&lt;40000,1,0)</f>
        <v>1</v>
      </c>
      <c r="E9882" s="1">
        <f>IF(Tabela1[[#This Row],[promien]]=40000,1,0)</f>
        <v>0</v>
      </c>
      <c r="F9882" s="1">
        <v>3.1418741145517104</v>
      </c>
      <c r="G9882" s="1">
        <v>2.8146096191727921E-4</v>
      </c>
    </row>
    <row r="9883" spans="1:7">
      <c r="A9883">
        <v>141</v>
      </c>
      <c r="B9883">
        <v>251</v>
      </c>
      <c r="C9883" s="1">
        <f>(Tabela1[[#This Row],[x]]-H$3)*(Tabela1[[#This Row],[x]]-H$3) +(Tabela1[[#This Row],[y]]-H$4)*(Tabela1[[#This Row],[y]]-H$4)</f>
        <v>6082</v>
      </c>
      <c r="D9883" s="1">
        <f>IF(Tabela1[[#This Row],[promien]]&lt;40000,1,0)</f>
        <v>1</v>
      </c>
      <c r="E9883" s="1">
        <f>IF(Tabela1[[#This Row],[promien]]=40000,1,0)</f>
        <v>0</v>
      </c>
      <c r="F9883" s="1">
        <v>3.1419609430334918</v>
      </c>
      <c r="G9883" s="1">
        <v>3.6828944369871053E-4</v>
      </c>
    </row>
    <row r="9884" spans="1:7">
      <c r="A9884">
        <v>76</v>
      </c>
      <c r="B9884">
        <v>158</v>
      </c>
      <c r="C9884" s="1">
        <f>(Tabela1[[#This Row],[x]]-H$3)*(Tabela1[[#This Row],[x]]-H$3) +(Tabela1[[#This Row],[y]]-H$4)*(Tabela1[[#This Row],[y]]-H$4)</f>
        <v>17140</v>
      </c>
      <c r="D9884" s="1">
        <f>IF(Tabela1[[#This Row],[promien]]&lt;40000,1,0)</f>
        <v>1</v>
      </c>
      <c r="E9884" s="1">
        <f>IF(Tabela1[[#This Row],[promien]]=40000,1,0)</f>
        <v>0</v>
      </c>
      <c r="F9884" s="1">
        <v>3.142047753945771</v>
      </c>
      <c r="G9884" s="1">
        <v>4.5510035597784437E-4</v>
      </c>
    </row>
    <row r="9885" spans="1:7">
      <c r="A9885">
        <v>112</v>
      </c>
      <c r="B9885">
        <v>399</v>
      </c>
      <c r="C9885" s="1">
        <f>(Tabela1[[#This Row],[x]]-H$3)*(Tabela1[[#This Row],[x]]-H$3) +(Tabela1[[#This Row],[y]]-H$4)*(Tabela1[[#This Row],[y]]-H$4)</f>
        <v>47345</v>
      </c>
      <c r="D9885" s="1">
        <f>IF(Tabela1[[#This Row],[promien]]&lt;40000,1,0)</f>
        <v>0</v>
      </c>
      <c r="E9885" s="1">
        <f>IF(Tabela1[[#This Row],[promien]]=40000,1,0)</f>
        <v>0</v>
      </c>
      <c r="F9885" s="1">
        <v>3.1417298937784524</v>
      </c>
      <c r="G9885" s="1">
        <v>1.3724018865923782E-4</v>
      </c>
    </row>
    <row r="9886" spans="1:7">
      <c r="A9886">
        <v>42</v>
      </c>
      <c r="B9886">
        <v>134</v>
      </c>
      <c r="C9886" s="1">
        <f>(Tabela1[[#This Row],[x]]-H$3)*(Tabela1[[#This Row],[x]]-H$3) +(Tabela1[[#This Row],[y]]-H$4)*(Tabela1[[#This Row],[y]]-H$4)</f>
        <v>29320</v>
      </c>
      <c r="D9886" s="1">
        <f>IF(Tabela1[[#This Row],[promien]]&lt;40000,1,0)</f>
        <v>1</v>
      </c>
      <c r="E9886" s="1">
        <f>IF(Tabela1[[#This Row],[promien]]=40000,1,0)</f>
        <v>0</v>
      </c>
      <c r="F9886" s="1">
        <v>3.1418167104996964</v>
      </c>
      <c r="G9886" s="1">
        <v>2.2405690990323635E-4</v>
      </c>
    </row>
    <row r="9887" spans="1:7">
      <c r="A9887">
        <v>354</v>
      </c>
      <c r="B9887">
        <v>222</v>
      </c>
      <c r="C9887" s="1">
        <f>(Tabela1[[#This Row],[x]]-H$3)*(Tabela1[[#This Row],[x]]-H$3) +(Tabela1[[#This Row],[y]]-H$4)*(Tabela1[[#This Row],[y]]-H$4)</f>
        <v>24200</v>
      </c>
      <c r="D9887" s="1">
        <f>IF(Tabela1[[#This Row],[promien]]&lt;40000,1,0)</f>
        <v>1</v>
      </c>
      <c r="E9887" s="1">
        <f>IF(Tabela1[[#This Row],[promien]]=40000,1,0)</f>
        <v>0</v>
      </c>
      <c r="F9887" s="1">
        <v>3.1419035096591483</v>
      </c>
      <c r="G9887" s="1">
        <v>3.1085606935521426E-4</v>
      </c>
    </row>
    <row r="9888" spans="1:7">
      <c r="A9888">
        <v>256</v>
      </c>
      <c r="B9888">
        <v>371</v>
      </c>
      <c r="C9888" s="1">
        <f>(Tabela1[[#This Row],[x]]-H$3)*(Tabela1[[#This Row],[x]]-H$3) +(Tabela1[[#This Row],[y]]-H$4)*(Tabela1[[#This Row],[y]]-H$4)</f>
        <v>32377</v>
      </c>
      <c r="D9888" s="1">
        <f>IF(Tabela1[[#This Row],[promien]]&lt;40000,1,0)</f>
        <v>1</v>
      </c>
      <c r="E9888" s="1">
        <f>IF(Tabela1[[#This Row],[promien]]=40000,1,0)</f>
        <v>0</v>
      </c>
      <c r="F9888" s="1">
        <v>3.141990291262136</v>
      </c>
      <c r="G9888" s="1">
        <v>3.9763767234290981E-4</v>
      </c>
    </row>
    <row r="9889" spans="1:7">
      <c r="A9889">
        <v>259</v>
      </c>
      <c r="B9889">
        <v>81</v>
      </c>
      <c r="C9889" s="1">
        <f>(Tabela1[[#This Row],[x]]-H$3)*(Tabela1[[#This Row],[x]]-H$3) +(Tabela1[[#This Row],[y]]-H$4)*(Tabela1[[#This Row],[y]]-H$4)</f>
        <v>17642</v>
      </c>
      <c r="D9889" s="1">
        <f>IF(Tabela1[[#This Row],[promien]]&lt;40000,1,0)</f>
        <v>1</v>
      </c>
      <c r="E9889" s="1">
        <f>IF(Tabela1[[#This Row],[promien]]=40000,1,0)</f>
        <v>0</v>
      </c>
      <c r="F9889" s="1">
        <v>3.1420770553139854</v>
      </c>
      <c r="G9889" s="1">
        <v>4.8440172419228489E-4</v>
      </c>
    </row>
    <row r="9890" spans="1:7">
      <c r="A9890">
        <v>7</v>
      </c>
      <c r="B9890">
        <v>214</v>
      </c>
      <c r="C9890" s="1">
        <f>(Tabela1[[#This Row],[x]]-H$3)*(Tabela1[[#This Row],[x]]-H$3) +(Tabela1[[#This Row],[y]]-H$4)*(Tabela1[[#This Row],[y]]-H$4)</f>
        <v>37445</v>
      </c>
      <c r="D9890" s="1">
        <f>IF(Tabela1[[#This Row],[promien]]&lt;40000,1,0)</f>
        <v>1</v>
      </c>
      <c r="E9890" s="1">
        <f>IF(Tabela1[[#This Row],[promien]]=40000,1,0)</f>
        <v>0</v>
      </c>
      <c r="F9890" s="1">
        <v>3.1421638018200202</v>
      </c>
      <c r="G9890" s="1">
        <v>5.7114823022708094E-4</v>
      </c>
    </row>
    <row r="9891" spans="1:7">
      <c r="A9891">
        <v>65</v>
      </c>
      <c r="B9891">
        <v>176</v>
      </c>
      <c r="C9891" s="1">
        <f>(Tabela1[[#This Row],[x]]-H$3)*(Tabela1[[#This Row],[x]]-H$3) +(Tabela1[[#This Row],[y]]-H$4)*(Tabela1[[#This Row],[y]]-H$4)</f>
        <v>18801</v>
      </c>
      <c r="D9891" s="1">
        <f>IF(Tabela1[[#This Row],[promien]]&lt;40000,1,0)</f>
        <v>1</v>
      </c>
      <c r="E9891" s="1">
        <f>IF(Tabela1[[#This Row],[promien]]=40000,1,0)</f>
        <v>0</v>
      </c>
      <c r="F9891" s="1">
        <v>3.1422505307855628</v>
      </c>
      <c r="G9891" s="1">
        <v>6.5787719576970716E-4</v>
      </c>
    </row>
    <row r="9892" spans="1:7">
      <c r="A9892">
        <v>327</v>
      </c>
      <c r="B9892">
        <v>369</v>
      </c>
      <c r="C9892" s="1">
        <f>(Tabela1[[#This Row],[x]]-H$3)*(Tabela1[[#This Row],[x]]-H$3) +(Tabela1[[#This Row],[y]]-H$4)*(Tabela1[[#This Row],[y]]-H$4)</f>
        <v>44690</v>
      </c>
      <c r="D9892" s="1">
        <f>IF(Tabela1[[#This Row],[promien]]&lt;40000,1,0)</f>
        <v>0</v>
      </c>
      <c r="E9892" s="1">
        <f>IF(Tabela1[[#This Row],[promien]]=40000,1,0)</f>
        <v>0</v>
      </c>
      <c r="F9892" s="1">
        <v>3.141932875050546</v>
      </c>
      <c r="G9892" s="1">
        <v>3.402214607528542E-4</v>
      </c>
    </row>
    <row r="9893" spans="1:7">
      <c r="A9893">
        <v>137</v>
      </c>
      <c r="B9893">
        <v>189</v>
      </c>
      <c r="C9893" s="1">
        <f>(Tabela1[[#This Row],[x]]-H$3)*(Tabela1[[#This Row],[x]]-H$3) +(Tabela1[[#This Row],[y]]-H$4)*(Tabela1[[#This Row],[y]]-H$4)</f>
        <v>4090</v>
      </c>
      <c r="D9893" s="1">
        <f>IF(Tabela1[[#This Row],[promien]]&lt;40000,1,0)</f>
        <v>1</v>
      </c>
      <c r="E9893" s="1">
        <f>IF(Tabela1[[#This Row],[promien]]=40000,1,0)</f>
        <v>0</v>
      </c>
      <c r="F9893" s="1">
        <v>3.142019609825129</v>
      </c>
      <c r="G9893" s="1">
        <v>4.2695623533584026E-4</v>
      </c>
    </row>
    <row r="9894" spans="1:7">
      <c r="A9894">
        <v>250</v>
      </c>
      <c r="B9894">
        <v>10</v>
      </c>
      <c r="C9894" s="1">
        <f>(Tabela1[[#This Row],[x]]-H$3)*(Tabela1[[#This Row],[x]]-H$3) +(Tabela1[[#This Row],[y]]-H$4)*(Tabela1[[#This Row],[y]]-H$4)</f>
        <v>38600</v>
      </c>
      <c r="D9894" s="1">
        <f>IF(Tabela1[[#This Row],[promien]]&lt;40000,1,0)</f>
        <v>1</v>
      </c>
      <c r="E9894" s="1">
        <f>IF(Tabela1[[#This Row],[promien]]=40000,1,0)</f>
        <v>0</v>
      </c>
      <c r="F9894" s="1">
        <v>3.1421063270669092</v>
      </c>
      <c r="G9894" s="1">
        <v>5.1367347711606115E-4</v>
      </c>
    </row>
    <row r="9895" spans="1:7">
      <c r="A9895">
        <v>76</v>
      </c>
      <c r="B9895">
        <v>64</v>
      </c>
      <c r="C9895" s="1">
        <f>(Tabela1[[#This Row],[x]]-H$3)*(Tabela1[[#This Row],[x]]-H$3) +(Tabela1[[#This Row],[y]]-H$4)*(Tabela1[[#This Row],[y]]-H$4)</f>
        <v>33872</v>
      </c>
      <c r="D9895" s="1">
        <f>IF(Tabela1[[#This Row],[promien]]&lt;40000,1,0)</f>
        <v>1</v>
      </c>
      <c r="E9895" s="1">
        <f>IF(Tabela1[[#This Row],[promien]]=40000,1,0)</f>
        <v>0</v>
      </c>
      <c r="F9895" s="1">
        <v>3.1421930267812028</v>
      </c>
      <c r="G9895" s="1">
        <v>6.003731914097088E-4</v>
      </c>
    </row>
    <row r="9896" spans="1:7">
      <c r="A9896">
        <v>397</v>
      </c>
      <c r="B9896">
        <v>12</v>
      </c>
      <c r="C9896" s="1">
        <f>(Tabela1[[#This Row],[x]]-H$3)*(Tabela1[[#This Row],[x]]-H$3) +(Tabela1[[#This Row],[y]]-H$4)*(Tabela1[[#This Row],[y]]-H$4)</f>
        <v>74153</v>
      </c>
      <c r="D9896" s="1">
        <f>IF(Tabela1[[#This Row],[promien]]&lt;40000,1,0)</f>
        <v>0</v>
      </c>
      <c r="E9896" s="1">
        <f>IF(Tabela1[[#This Row],[promien]]=40000,1,0)</f>
        <v>0</v>
      </c>
      <c r="F9896" s="1">
        <v>3.1418755052546485</v>
      </c>
      <c r="G9896" s="1">
        <v>2.8285166485542135E-4</v>
      </c>
    </row>
    <row r="9897" spans="1:7">
      <c r="A9897">
        <v>15</v>
      </c>
      <c r="B9897">
        <v>228</v>
      </c>
      <c r="C9897" s="1">
        <f>(Tabela1[[#This Row],[x]]-H$3)*(Tabela1[[#This Row],[x]]-H$3) +(Tabela1[[#This Row],[y]]-H$4)*(Tabela1[[#This Row],[y]]-H$4)</f>
        <v>35009</v>
      </c>
      <c r="D9897" s="1">
        <f>IF(Tabela1[[#This Row],[promien]]&lt;40000,1,0)</f>
        <v>1</v>
      </c>
      <c r="E9897" s="1">
        <f>IF(Tabela1[[#This Row],[promien]]=40000,1,0)</f>
        <v>0</v>
      </c>
      <c r="F9897" s="1">
        <v>3.1419622107709406</v>
      </c>
      <c r="G9897" s="1">
        <v>3.6955718114750624E-4</v>
      </c>
    </row>
    <row r="9898" spans="1:7">
      <c r="A9898">
        <v>237</v>
      </c>
      <c r="B9898">
        <v>260</v>
      </c>
      <c r="C9898" s="1">
        <f>(Tabela1[[#This Row],[x]]-H$3)*(Tabela1[[#This Row],[x]]-H$3) +(Tabela1[[#This Row],[y]]-H$4)*(Tabela1[[#This Row],[y]]-H$4)</f>
        <v>4969</v>
      </c>
      <c r="D9898" s="1">
        <f>IF(Tabela1[[#This Row],[promien]]&lt;40000,1,0)</f>
        <v>1</v>
      </c>
      <c r="E9898" s="1">
        <f>IF(Tabela1[[#This Row],[promien]]=40000,1,0)</f>
        <v>0</v>
      </c>
      <c r="F9898" s="1">
        <v>3.1420488987674275</v>
      </c>
      <c r="G9898" s="1">
        <v>4.5624517763442896E-4</v>
      </c>
    </row>
    <row r="9899" spans="1:7">
      <c r="A9899">
        <v>127</v>
      </c>
      <c r="B9899">
        <v>261</v>
      </c>
      <c r="C9899" s="1">
        <f>(Tabela1[[#This Row],[x]]-H$3)*(Tabela1[[#This Row],[x]]-H$3) +(Tabela1[[#This Row],[y]]-H$4)*(Tabela1[[#This Row],[y]]-H$4)</f>
        <v>9050</v>
      </c>
      <c r="D9899" s="1">
        <f>IF(Tabela1[[#This Row],[promien]]&lt;40000,1,0)</f>
        <v>1</v>
      </c>
      <c r="E9899" s="1">
        <f>IF(Tabela1[[#This Row],[promien]]=40000,1,0)</f>
        <v>0</v>
      </c>
      <c r="F9899" s="1">
        <v>3.1421355692494193</v>
      </c>
      <c r="G9899" s="1">
        <v>5.4291565962616417E-4</v>
      </c>
    </row>
    <row r="9900" spans="1:7">
      <c r="A9900">
        <v>93</v>
      </c>
      <c r="B9900">
        <v>152</v>
      </c>
      <c r="C9900" s="1">
        <f>(Tabela1[[#This Row],[x]]-H$3)*(Tabela1[[#This Row],[x]]-H$3) +(Tabela1[[#This Row],[y]]-H$4)*(Tabela1[[#This Row],[y]]-H$4)</f>
        <v>13753</v>
      </c>
      <c r="D9900" s="1">
        <f>IF(Tabela1[[#This Row],[promien]]&lt;40000,1,0)</f>
        <v>1</v>
      </c>
      <c r="E9900" s="1">
        <f>IF(Tabela1[[#This Row],[promien]]=40000,1,0)</f>
        <v>0</v>
      </c>
      <c r="F9900" s="1">
        <v>3.1422222222222222</v>
      </c>
      <c r="G9900" s="1">
        <v>6.2956863242913386E-4</v>
      </c>
    </row>
    <row r="9901" spans="1:7">
      <c r="A9901">
        <v>151</v>
      </c>
      <c r="B9901">
        <v>71</v>
      </c>
      <c r="C9901" s="1">
        <f>(Tabela1[[#This Row],[x]]-H$3)*(Tabela1[[#This Row],[x]]-H$3) +(Tabela1[[#This Row],[y]]-H$4)*(Tabela1[[#This Row],[y]]-H$4)</f>
        <v>19042</v>
      </c>
      <c r="D9901" s="1">
        <f>IF(Tabela1[[#This Row],[promien]]&lt;40000,1,0)</f>
        <v>1</v>
      </c>
      <c r="E9901" s="1">
        <f>IF(Tabela1[[#This Row],[promien]]=40000,1,0)</f>
        <v>0</v>
      </c>
      <c r="F9901" s="1">
        <v>3.1423088576911424</v>
      </c>
      <c r="G9901" s="1">
        <v>7.1620410134931589E-4</v>
      </c>
    </row>
    <row r="9902" spans="1:7">
      <c r="A9902">
        <v>144</v>
      </c>
      <c r="B9902">
        <v>219</v>
      </c>
      <c r="C9902" s="1">
        <f>(Tabela1[[#This Row],[x]]-H$3)*(Tabela1[[#This Row],[x]]-H$3) +(Tabela1[[#This Row],[y]]-H$4)*(Tabela1[[#This Row],[y]]-H$4)</f>
        <v>3497</v>
      </c>
      <c r="D9902" s="1">
        <f>IF(Tabela1[[#This Row],[promien]]&lt;40000,1,0)</f>
        <v>1</v>
      </c>
      <c r="E9902" s="1">
        <f>IF(Tabela1[[#This Row],[promien]]=40000,1,0)</f>
        <v>0</v>
      </c>
      <c r="F9902" s="1">
        <v>3.1423954756614827</v>
      </c>
      <c r="G9902" s="1">
        <v>8.0282207168957953E-4</v>
      </c>
    </row>
    <row r="9903" spans="1:7">
      <c r="A9903">
        <v>166</v>
      </c>
      <c r="B9903">
        <v>231</v>
      </c>
      <c r="C9903" s="1">
        <f>(Tabela1[[#This Row],[x]]-H$3)*(Tabela1[[#This Row],[x]]-H$3) +(Tabela1[[#This Row],[y]]-H$4)*(Tabela1[[#This Row],[y]]-H$4)</f>
        <v>2117</v>
      </c>
      <c r="D9903" s="1">
        <f>IF(Tabela1[[#This Row],[promien]]&lt;40000,1,0)</f>
        <v>1</v>
      </c>
      <c r="E9903" s="1">
        <f>IF(Tabela1[[#This Row],[promien]]=40000,1,0)</f>
        <v>0</v>
      </c>
      <c r="F9903" s="1">
        <v>3.1424820761385437</v>
      </c>
      <c r="G9903" s="1">
        <v>8.8942254875057358E-4</v>
      </c>
    </row>
    <row r="9904" spans="1:7">
      <c r="A9904">
        <v>0</v>
      </c>
      <c r="B9904">
        <v>119</v>
      </c>
      <c r="C9904" s="1">
        <f>(Tabela1[[#This Row],[x]]-H$3)*(Tabela1[[#This Row],[x]]-H$3) +(Tabela1[[#This Row],[y]]-H$4)*(Tabela1[[#This Row],[y]]-H$4)</f>
        <v>46561</v>
      </c>
      <c r="D9904" s="1">
        <f>IF(Tabela1[[#This Row],[promien]]&lt;40000,1,0)</f>
        <v>0</v>
      </c>
      <c r="E9904" s="1">
        <f>IF(Tabela1[[#This Row],[promien]]=40000,1,0)</f>
        <v>0</v>
      </c>
      <c r="F9904" s="1">
        <v>3.1421647819063003</v>
      </c>
      <c r="G9904" s="1">
        <v>5.7212831650721441E-4</v>
      </c>
    </row>
    <row r="9905" spans="1:7">
      <c r="A9905">
        <v>60</v>
      </c>
      <c r="B9905">
        <v>311</v>
      </c>
      <c r="C9905" s="1">
        <f>(Tabela1[[#This Row],[x]]-H$3)*(Tabela1[[#This Row],[x]]-H$3) +(Tabela1[[#This Row],[y]]-H$4)*(Tabela1[[#This Row],[y]]-H$4)</f>
        <v>31921</v>
      </c>
      <c r="D9905" s="1">
        <f>IF(Tabela1[[#This Row],[promien]]&lt;40000,1,0)</f>
        <v>1</v>
      </c>
      <c r="E9905" s="1">
        <f>IF(Tabela1[[#This Row],[promien]]=40000,1,0)</f>
        <v>0</v>
      </c>
      <c r="F9905" s="1">
        <v>3.142251388187784</v>
      </c>
      <c r="G9905" s="1">
        <v>6.5873459799092871E-4</v>
      </c>
    </row>
    <row r="9906" spans="1:7">
      <c r="A9906">
        <v>264</v>
      </c>
      <c r="B9906">
        <v>236</v>
      </c>
      <c r="C9906" s="1">
        <f>(Tabela1[[#This Row],[x]]-H$3)*(Tabela1[[#This Row],[x]]-H$3) +(Tabela1[[#This Row],[y]]-H$4)*(Tabela1[[#This Row],[y]]-H$4)</f>
        <v>5392</v>
      </c>
      <c r="D9906" s="1">
        <f>IF(Tabela1[[#This Row],[promien]]&lt;40000,1,0)</f>
        <v>1</v>
      </c>
      <c r="E9906" s="1">
        <f>IF(Tabela1[[#This Row],[promien]]=40000,1,0)</f>
        <v>0</v>
      </c>
      <c r="F9906" s="1">
        <v>3.1423379769836464</v>
      </c>
      <c r="G9906" s="1">
        <v>7.4532339385324775E-4</v>
      </c>
    </row>
    <row r="9907" spans="1:7">
      <c r="A9907">
        <v>110</v>
      </c>
      <c r="B9907">
        <v>337</v>
      </c>
      <c r="C9907" s="1">
        <f>(Tabela1[[#This Row],[x]]-H$3)*(Tabela1[[#This Row],[x]]-H$3) +(Tabela1[[#This Row],[y]]-H$4)*(Tabela1[[#This Row],[y]]-H$4)</f>
        <v>26869</v>
      </c>
      <c r="D9907" s="1">
        <f>IF(Tabela1[[#This Row],[promien]]&lt;40000,1,0)</f>
        <v>1</v>
      </c>
      <c r="E9907" s="1">
        <f>IF(Tabela1[[#This Row],[promien]]=40000,1,0)</f>
        <v>0</v>
      </c>
      <c r="F9907" s="1">
        <v>3.1424245482991826</v>
      </c>
      <c r="G9907" s="1">
        <v>8.3189470938949128E-4</v>
      </c>
    </row>
    <row r="9908" spans="1:7">
      <c r="A9908">
        <v>240</v>
      </c>
      <c r="B9908">
        <v>333</v>
      </c>
      <c r="C9908" s="1">
        <f>(Tabela1[[#This Row],[x]]-H$3)*(Tabela1[[#This Row],[x]]-H$3) +(Tabela1[[#This Row],[y]]-H$4)*(Tabela1[[#This Row],[y]]-H$4)</f>
        <v>19289</v>
      </c>
      <c r="D9908" s="1">
        <f>IF(Tabela1[[#This Row],[promien]]&lt;40000,1,0)</f>
        <v>1</v>
      </c>
      <c r="E9908" s="1">
        <f>IF(Tabela1[[#This Row],[promien]]=40000,1,0)</f>
        <v>0</v>
      </c>
      <c r="F9908" s="1">
        <v>3.142511102139685</v>
      </c>
      <c r="G9908" s="1">
        <v>9.1844854989187041E-4</v>
      </c>
    </row>
    <row r="9909" spans="1:7">
      <c r="A9909">
        <v>240</v>
      </c>
      <c r="B9909">
        <v>245</v>
      </c>
      <c r="C9909" s="1">
        <f>(Tabela1[[#This Row],[x]]-H$3)*(Tabela1[[#This Row],[x]]-H$3) +(Tabela1[[#This Row],[y]]-H$4)*(Tabela1[[#This Row],[y]]-H$4)</f>
        <v>3625</v>
      </c>
      <c r="D9909" s="1">
        <f>IF(Tabela1[[#This Row],[promien]]&lt;40000,1,0)</f>
        <v>1</v>
      </c>
      <c r="E9909" s="1">
        <f>IF(Tabela1[[#This Row],[promien]]=40000,1,0)</f>
        <v>0</v>
      </c>
      <c r="F9909" s="1">
        <v>3.1425976385104453</v>
      </c>
      <c r="G9909" s="1">
        <v>1.0049849206521522E-3</v>
      </c>
    </row>
    <row r="9910" spans="1:7">
      <c r="A9910">
        <v>399</v>
      </c>
      <c r="B9910">
        <v>43</v>
      </c>
      <c r="C9910" s="1">
        <f>(Tabela1[[#This Row],[x]]-H$3)*(Tabela1[[#This Row],[x]]-H$3) +(Tabela1[[#This Row],[y]]-H$4)*(Tabela1[[#This Row],[y]]-H$4)</f>
        <v>64250</v>
      </c>
      <c r="D9910" s="1">
        <f>IF(Tabela1[[#This Row],[promien]]&lt;40000,1,0)</f>
        <v>0</v>
      </c>
      <c r="E9910" s="1">
        <f>IF(Tabela1[[#This Row],[promien]]=40000,1,0)</f>
        <v>0</v>
      </c>
      <c r="F9910" s="1">
        <v>3.1422805247225027</v>
      </c>
      <c r="G9910" s="1">
        <v>6.8787113270962763E-4</v>
      </c>
    </row>
    <row r="9911" spans="1:7">
      <c r="A9911">
        <v>47</v>
      </c>
      <c r="B9911">
        <v>51</v>
      </c>
      <c r="C9911" s="1">
        <f>(Tabela1[[#This Row],[x]]-H$3)*(Tabela1[[#This Row],[x]]-H$3) +(Tabela1[[#This Row],[y]]-H$4)*(Tabela1[[#This Row],[y]]-H$4)</f>
        <v>45610</v>
      </c>
      <c r="D9911" s="1">
        <f>IF(Tabela1[[#This Row],[promien]]&lt;40000,1,0)</f>
        <v>0</v>
      </c>
      <c r="E9911" s="1">
        <f>IF(Tabela1[[#This Row],[promien]]=40000,1,0)</f>
        <v>0</v>
      </c>
      <c r="F9911" s="1">
        <v>3.141963474926849</v>
      </c>
      <c r="G9911" s="1">
        <v>3.7082133705590437E-4</v>
      </c>
    </row>
    <row r="9912" spans="1:7">
      <c r="A9912">
        <v>273</v>
      </c>
      <c r="B9912">
        <v>220</v>
      </c>
      <c r="C9912" s="1">
        <f>(Tabela1[[#This Row],[x]]-H$3)*(Tabela1[[#This Row],[x]]-H$3) +(Tabela1[[#This Row],[y]]-H$4)*(Tabela1[[#This Row],[y]]-H$4)</f>
        <v>5729</v>
      </c>
      <c r="D9912" s="1">
        <f>IF(Tabela1[[#This Row],[promien]]&lt;40000,1,0)</f>
        <v>1</v>
      </c>
      <c r="E9912" s="1">
        <f>IF(Tabela1[[#This Row],[promien]]=40000,1,0)</f>
        <v>0</v>
      </c>
      <c r="F9912" s="1">
        <v>3.1420500403551253</v>
      </c>
      <c r="G9912" s="1">
        <v>4.5738676533213507E-4</v>
      </c>
    </row>
    <row r="9913" spans="1:7">
      <c r="A9913">
        <v>249</v>
      </c>
      <c r="B9913">
        <v>259</v>
      </c>
      <c r="C9913" s="1">
        <f>(Tabela1[[#This Row],[x]]-H$3)*(Tabela1[[#This Row],[x]]-H$3) +(Tabela1[[#This Row],[y]]-H$4)*(Tabela1[[#This Row],[y]]-H$4)</f>
        <v>5882</v>
      </c>
      <c r="D9913" s="1">
        <f>IF(Tabela1[[#This Row],[promien]]&lt;40000,1,0)</f>
        <v>1</v>
      </c>
      <c r="E9913" s="1">
        <f>IF(Tabela1[[#This Row],[promien]]=40000,1,0)</f>
        <v>0</v>
      </c>
      <c r="F9913" s="1">
        <v>3.1421365883183698</v>
      </c>
      <c r="G9913" s="1">
        <v>5.4393472857672265E-4</v>
      </c>
    </row>
    <row r="9914" spans="1:7">
      <c r="A9914">
        <v>91</v>
      </c>
      <c r="B9914">
        <v>329</v>
      </c>
      <c r="C9914" s="1">
        <f>(Tabela1[[#This Row],[x]]-H$3)*(Tabela1[[#This Row],[x]]-H$3) +(Tabela1[[#This Row],[y]]-H$4)*(Tabela1[[#This Row],[y]]-H$4)</f>
        <v>28522</v>
      </c>
      <c r="D9914" s="1">
        <f>IF(Tabela1[[#This Row],[promien]]&lt;40000,1,0)</f>
        <v>1</v>
      </c>
      <c r="E9914" s="1">
        <f>IF(Tabela1[[#This Row],[promien]]=40000,1,0)</f>
        <v>0</v>
      </c>
      <c r="F9914" s="1">
        <v>3.1422231188218679</v>
      </c>
      <c r="G9914" s="1">
        <v>6.3046523207477279E-4</v>
      </c>
    </row>
    <row r="9915" spans="1:7">
      <c r="A9915">
        <v>219</v>
      </c>
      <c r="B9915">
        <v>76</v>
      </c>
      <c r="C9915" s="1">
        <f>(Tabela1[[#This Row],[x]]-H$3)*(Tabela1[[#This Row],[x]]-H$3) +(Tabela1[[#This Row],[y]]-H$4)*(Tabela1[[#This Row],[y]]-H$4)</f>
        <v>15737</v>
      </c>
      <c r="D9915" s="1">
        <f>IF(Tabela1[[#This Row],[promien]]&lt;40000,1,0)</f>
        <v>1</v>
      </c>
      <c r="E9915" s="1">
        <f>IF(Tabela1[[#This Row],[promien]]=40000,1,0)</f>
        <v>0</v>
      </c>
      <c r="F9915" s="1">
        <v>3.1423096318709027</v>
      </c>
      <c r="G9915" s="1">
        <v>7.1697828110961481E-4</v>
      </c>
    </row>
    <row r="9916" spans="1:7">
      <c r="A9916">
        <v>117</v>
      </c>
      <c r="B9916">
        <v>362</v>
      </c>
      <c r="C9916" s="1">
        <f>(Tabela1[[#This Row],[x]]-H$3)*(Tabela1[[#This Row],[x]]-H$3) +(Tabela1[[#This Row],[y]]-H$4)*(Tabela1[[#This Row],[y]]-H$4)</f>
        <v>33133</v>
      </c>
      <c r="D9916" s="1">
        <f>IF(Tabela1[[#This Row],[promien]]&lt;40000,1,0)</f>
        <v>1</v>
      </c>
      <c r="E9916" s="1">
        <f>IF(Tabela1[[#This Row],[promien]]=40000,1,0)</f>
        <v>0</v>
      </c>
      <c r="F9916" s="1">
        <v>3.1423961274707541</v>
      </c>
      <c r="G9916" s="1">
        <v>8.0347388096102534E-4</v>
      </c>
    </row>
    <row r="9917" spans="1:7">
      <c r="A9917">
        <v>181</v>
      </c>
      <c r="B9917">
        <v>4</v>
      </c>
      <c r="C9917" s="1">
        <f>(Tabela1[[#This Row],[x]]-H$3)*(Tabela1[[#This Row],[x]]-H$3) +(Tabela1[[#This Row],[y]]-H$4)*(Tabela1[[#This Row],[y]]-H$4)</f>
        <v>38777</v>
      </c>
      <c r="D9917" s="1">
        <f>IF(Tabela1[[#This Row],[promien]]&lt;40000,1,0)</f>
        <v>1</v>
      </c>
      <c r="E9917" s="1">
        <f>IF(Tabela1[[#This Row],[promien]]=40000,1,0)</f>
        <v>0</v>
      </c>
      <c r="F9917" s="1">
        <v>3.1424826056267015</v>
      </c>
      <c r="G9917" s="1">
        <v>8.8995203690833691E-4</v>
      </c>
    </row>
    <row r="9918" spans="1:7">
      <c r="A9918">
        <v>217</v>
      </c>
      <c r="B9918">
        <v>259</v>
      </c>
      <c r="C9918" s="1">
        <f>(Tabela1[[#This Row],[x]]-H$3)*(Tabela1[[#This Row],[x]]-H$3) +(Tabela1[[#This Row],[y]]-H$4)*(Tabela1[[#This Row],[y]]-H$4)</f>
        <v>3770</v>
      </c>
      <c r="D9918" s="1">
        <f>IF(Tabela1[[#This Row],[promien]]&lt;40000,1,0)</f>
        <v>1</v>
      </c>
      <c r="E9918" s="1">
        <f>IF(Tabela1[[#This Row],[promien]]=40000,1,0)</f>
        <v>0</v>
      </c>
      <c r="F9918" s="1">
        <v>3.1425690663440209</v>
      </c>
      <c r="G9918" s="1">
        <v>9.7641275422777341E-4</v>
      </c>
    </row>
    <row r="9919" spans="1:7">
      <c r="A9919">
        <v>235</v>
      </c>
      <c r="B9919">
        <v>4</v>
      </c>
      <c r="C9919" s="1">
        <f>(Tabela1[[#This Row],[x]]-H$3)*(Tabela1[[#This Row],[x]]-H$3) +(Tabela1[[#This Row],[y]]-H$4)*(Tabela1[[#This Row],[y]]-H$4)</f>
        <v>39641</v>
      </c>
      <c r="D9919" s="1">
        <f>IF(Tabela1[[#This Row],[promien]]&lt;40000,1,0)</f>
        <v>1</v>
      </c>
      <c r="E9919" s="1">
        <f>IF(Tabela1[[#This Row],[promien]]=40000,1,0)</f>
        <v>0</v>
      </c>
      <c r="F9919" s="1">
        <v>3.1426555096279869</v>
      </c>
      <c r="G9919" s="1">
        <v>1.0628560381937824E-3</v>
      </c>
    </row>
    <row r="9920" spans="1:7">
      <c r="A9920">
        <v>279</v>
      </c>
      <c r="B9920">
        <v>307</v>
      </c>
      <c r="C9920" s="1">
        <f>(Tabela1[[#This Row],[x]]-H$3)*(Tabela1[[#This Row],[x]]-H$3) +(Tabela1[[#This Row],[y]]-H$4)*(Tabela1[[#This Row],[y]]-H$4)</f>
        <v>17690</v>
      </c>
      <c r="D9920" s="1">
        <f>IF(Tabela1[[#This Row],[promien]]&lt;40000,1,0)</f>
        <v>1</v>
      </c>
      <c r="E9920" s="1">
        <f>IF(Tabela1[[#This Row],[promien]]=40000,1,0)</f>
        <v>0</v>
      </c>
      <c r="F9920" s="1">
        <v>3.1427419354838708</v>
      </c>
      <c r="G9920" s="1">
        <v>1.1492818940777028E-3</v>
      </c>
    </row>
    <row r="9921" spans="1:7">
      <c r="A9921">
        <v>293</v>
      </c>
      <c r="B9921">
        <v>124</v>
      </c>
      <c r="C9921" s="1">
        <f>(Tabela1[[#This Row],[x]]-H$3)*(Tabela1[[#This Row],[x]]-H$3) +(Tabela1[[#This Row],[y]]-H$4)*(Tabela1[[#This Row],[y]]-H$4)</f>
        <v>14425</v>
      </c>
      <c r="D9921" s="1">
        <f>IF(Tabela1[[#This Row],[promien]]&lt;40000,1,0)</f>
        <v>1</v>
      </c>
      <c r="E9921" s="1">
        <f>IF(Tabela1[[#This Row],[promien]]=40000,1,0)</f>
        <v>0</v>
      </c>
      <c r="F9921" s="1">
        <v>3.142828343916944</v>
      </c>
      <c r="G9921" s="1">
        <v>1.2356903271508735E-3</v>
      </c>
    </row>
    <row r="9922" spans="1:7">
      <c r="A9922">
        <v>62</v>
      </c>
      <c r="B9922">
        <v>398</v>
      </c>
      <c r="C9922" s="1">
        <f>(Tabela1[[#This Row],[x]]-H$3)*(Tabela1[[#This Row],[x]]-H$3) +(Tabela1[[#This Row],[y]]-H$4)*(Tabela1[[#This Row],[y]]-H$4)</f>
        <v>58248</v>
      </c>
      <c r="D9922" s="1">
        <f>IF(Tabela1[[#This Row],[promien]]&lt;40000,1,0)</f>
        <v>0</v>
      </c>
      <c r="E9922" s="1">
        <f>IF(Tabela1[[#This Row],[promien]]=40000,1,0)</f>
        <v>0</v>
      </c>
      <c r="F9922" s="1">
        <v>3.1425115904051601</v>
      </c>
      <c r="G9922" s="1">
        <v>9.1893681536703298E-4</v>
      </c>
    </row>
    <row r="9923" spans="1:7">
      <c r="A9923">
        <v>357</v>
      </c>
      <c r="B9923">
        <v>262</v>
      </c>
      <c r="C9923" s="1">
        <f>(Tabela1[[#This Row],[x]]-H$3)*(Tabela1[[#This Row],[x]]-H$3) +(Tabela1[[#This Row],[y]]-H$4)*(Tabela1[[#This Row],[y]]-H$4)</f>
        <v>28493</v>
      </c>
      <c r="D9923" s="1">
        <f>IF(Tabela1[[#This Row],[promien]]&lt;40000,1,0)</f>
        <v>1</v>
      </c>
      <c r="E9923" s="1">
        <f>IF(Tabela1[[#This Row],[promien]]=40000,1,0)</f>
        <v>0</v>
      </c>
      <c r="F9923" s="1">
        <v>3.1425980046356949</v>
      </c>
      <c r="G9923" s="1">
        <v>1.0053510459018256E-3</v>
      </c>
    </row>
    <row r="9924" spans="1:7">
      <c r="A9924">
        <v>283</v>
      </c>
      <c r="B9924">
        <v>147</v>
      </c>
      <c r="C9924" s="1">
        <f>(Tabela1[[#This Row],[x]]-H$3)*(Tabela1[[#This Row],[x]]-H$3) +(Tabela1[[#This Row],[y]]-H$4)*(Tabela1[[#This Row],[y]]-H$4)</f>
        <v>9698</v>
      </c>
      <c r="D9924" s="1">
        <f>IF(Tabela1[[#This Row],[promien]]&lt;40000,1,0)</f>
        <v>1</v>
      </c>
      <c r="E9924" s="1">
        <f>IF(Tabela1[[#This Row],[promien]]=40000,1,0)</f>
        <v>0</v>
      </c>
      <c r="F9924" s="1">
        <v>3.142684401451028</v>
      </c>
      <c r="G9924" s="1">
        <v>1.091747861234893E-3</v>
      </c>
    </row>
    <row r="9925" spans="1:7">
      <c r="A9925">
        <v>87</v>
      </c>
      <c r="B9925">
        <v>351</v>
      </c>
      <c r="C9925" s="1">
        <f>(Tabela1[[#This Row],[x]]-H$3)*(Tabela1[[#This Row],[x]]-H$3) +(Tabela1[[#This Row],[y]]-H$4)*(Tabela1[[#This Row],[y]]-H$4)</f>
        <v>35570</v>
      </c>
      <c r="D9925" s="1">
        <f>IF(Tabela1[[#This Row],[promien]]&lt;40000,1,0)</f>
        <v>1</v>
      </c>
      <c r="E9925" s="1">
        <f>IF(Tabela1[[#This Row],[promien]]=40000,1,0)</f>
        <v>0</v>
      </c>
      <c r="F9925" s="1">
        <v>3.1427707808564231</v>
      </c>
      <c r="G9925" s="1">
        <v>1.1781272666300246E-3</v>
      </c>
    </row>
    <row r="9926" spans="1:7">
      <c r="A9926">
        <v>322</v>
      </c>
      <c r="B9926">
        <v>378</v>
      </c>
      <c r="C9926" s="1">
        <f>(Tabela1[[#This Row],[x]]-H$3)*(Tabela1[[#This Row],[x]]-H$3) +(Tabela1[[#This Row],[y]]-H$4)*(Tabela1[[#This Row],[y]]-H$4)</f>
        <v>46568</v>
      </c>
      <c r="D9926" s="1">
        <f>IF(Tabela1[[#This Row],[promien]]&lt;40000,1,0)</f>
        <v>0</v>
      </c>
      <c r="E9926" s="1">
        <f>IF(Tabela1[[#This Row],[promien]]=40000,1,0)</f>
        <v>0</v>
      </c>
      <c r="F9926" s="1">
        <v>3.1424541607898449</v>
      </c>
      <c r="G9926" s="1">
        <v>8.6150720005173653E-4</v>
      </c>
    </row>
    <row r="9927" spans="1:7">
      <c r="A9927">
        <v>72</v>
      </c>
      <c r="B9927">
        <v>372</v>
      </c>
      <c r="C9927" s="1">
        <f>(Tabela1[[#This Row],[x]]-H$3)*(Tabela1[[#This Row],[x]]-H$3) +(Tabela1[[#This Row],[y]]-H$4)*(Tabela1[[#This Row],[y]]-H$4)</f>
        <v>45968</v>
      </c>
      <c r="D9927" s="1">
        <f>IF(Tabela1[[#This Row],[promien]]&lt;40000,1,0)</f>
        <v>0</v>
      </c>
      <c r="E9927" s="1">
        <f>IF(Tabela1[[#This Row],[promien]]=40000,1,0)</f>
        <v>0</v>
      </c>
      <c r="F9927" s="1">
        <v>3.1421376045129445</v>
      </c>
      <c r="G9927" s="1">
        <v>5.4495092315143268E-4</v>
      </c>
    </row>
    <row r="9928" spans="1:7">
      <c r="A9928">
        <v>136</v>
      </c>
      <c r="B9928">
        <v>90</v>
      </c>
      <c r="C9928" s="1">
        <f>(Tabela1[[#This Row],[x]]-H$3)*(Tabela1[[#This Row],[x]]-H$3) +(Tabela1[[#This Row],[y]]-H$4)*(Tabela1[[#This Row],[y]]-H$4)</f>
        <v>16196</v>
      </c>
      <c r="D9928" s="1">
        <f>IF(Tabela1[[#This Row],[promien]]&lt;40000,1,0)</f>
        <v>1</v>
      </c>
      <c r="E9928" s="1">
        <f>IF(Tabela1[[#This Row],[promien]]=40000,1,0)</f>
        <v>0</v>
      </c>
      <c r="F9928" s="1">
        <v>3.1422240128928283</v>
      </c>
      <c r="G9928" s="1">
        <v>6.3135930303515053E-4</v>
      </c>
    </row>
    <row r="9929" spans="1:7">
      <c r="A9929">
        <v>383</v>
      </c>
      <c r="B9929">
        <v>390</v>
      </c>
      <c r="C9929" s="1">
        <f>(Tabela1[[#This Row],[x]]-H$3)*(Tabela1[[#This Row],[x]]-H$3) +(Tabela1[[#This Row],[y]]-H$4)*(Tabela1[[#This Row],[y]]-H$4)</f>
        <v>69589</v>
      </c>
      <c r="D9929" s="1">
        <f>IF(Tabela1[[#This Row],[promien]]&lt;40000,1,0)</f>
        <v>0</v>
      </c>
      <c r="E9929" s="1">
        <f>IF(Tabela1[[#This Row],[promien]]=40000,1,0)</f>
        <v>0</v>
      </c>
      <c r="F9929" s="1">
        <v>3.1419075435592707</v>
      </c>
      <c r="G9929" s="1">
        <v>3.1488996947759418E-4</v>
      </c>
    </row>
    <row r="9930" spans="1:7">
      <c r="A9930">
        <v>76</v>
      </c>
      <c r="B9930">
        <v>14</v>
      </c>
      <c r="C9930" s="1">
        <f>(Tabela1[[#This Row],[x]]-H$3)*(Tabela1[[#This Row],[x]]-H$3) +(Tabela1[[#This Row],[y]]-H$4)*(Tabela1[[#This Row],[y]]-H$4)</f>
        <v>49972</v>
      </c>
      <c r="D9930" s="1">
        <f>IF(Tabela1[[#This Row],[promien]]&lt;40000,1,0)</f>
        <v>0</v>
      </c>
      <c r="E9930" s="1">
        <f>IF(Tabela1[[#This Row],[promien]]=40000,1,0)</f>
        <v>0</v>
      </c>
      <c r="F9930" s="1">
        <v>3.1415911379657602</v>
      </c>
      <c r="G9930" s="1">
        <v>1.5156240329439186E-6</v>
      </c>
    </row>
    <row r="9931" spans="1:7">
      <c r="A9931">
        <v>237</v>
      </c>
      <c r="B9931">
        <v>80</v>
      </c>
      <c r="C9931" s="1">
        <f>(Tabela1[[#This Row],[x]]-H$3)*(Tabela1[[#This Row],[x]]-H$3) +(Tabela1[[#This Row],[y]]-H$4)*(Tabela1[[#This Row],[y]]-H$4)</f>
        <v>15769</v>
      </c>
      <c r="D9931" s="1">
        <f>IF(Tabela1[[#This Row],[promien]]&lt;40000,1,0)</f>
        <v>1</v>
      </c>
      <c r="E9931" s="1">
        <f>IF(Tabela1[[#This Row],[promien]]=40000,1,0)</f>
        <v>0</v>
      </c>
      <c r="F9931" s="1">
        <v>3.1416775752693584</v>
      </c>
      <c r="G9931" s="1">
        <v>8.4921679565308494E-5</v>
      </c>
    </row>
    <row r="9932" spans="1:7">
      <c r="A9932">
        <v>351</v>
      </c>
      <c r="B9932">
        <v>269</v>
      </c>
      <c r="C9932" s="1">
        <f>(Tabela1[[#This Row],[x]]-H$3)*(Tabela1[[#This Row],[x]]-H$3) +(Tabela1[[#This Row],[y]]-H$4)*(Tabela1[[#This Row],[y]]-H$4)</f>
        <v>27562</v>
      </c>
      <c r="D9932" s="1">
        <f>IF(Tabela1[[#This Row],[promien]]&lt;40000,1,0)</f>
        <v>1</v>
      </c>
      <c r="E9932" s="1">
        <f>IF(Tabela1[[#This Row],[promien]]=40000,1,0)</f>
        <v>0</v>
      </c>
      <c r="F9932" s="1">
        <v>3.1417639951671363</v>
      </c>
      <c r="G9932" s="1">
        <v>1.7134157734322031E-4</v>
      </c>
    </row>
    <row r="9933" spans="1:7">
      <c r="A9933">
        <v>389</v>
      </c>
      <c r="B9933">
        <v>41</v>
      </c>
      <c r="C9933" s="1">
        <f>(Tabela1[[#This Row],[x]]-H$3)*(Tabela1[[#This Row],[x]]-H$3) +(Tabela1[[#This Row],[y]]-H$4)*(Tabela1[[#This Row],[y]]-H$4)</f>
        <v>61002</v>
      </c>
      <c r="D9933" s="1">
        <f>IF(Tabela1[[#This Row],[promien]]&lt;40000,1,0)</f>
        <v>0</v>
      </c>
      <c r="E9933" s="1">
        <f>IF(Tabela1[[#This Row],[promien]]=40000,1,0)</f>
        <v>0</v>
      </c>
      <c r="F9933" s="1">
        <v>3.1414476995872347</v>
      </c>
      <c r="G9933" s="1">
        <v>1.4495400255842839E-4</v>
      </c>
    </row>
    <row r="9934" spans="1:7">
      <c r="A9934">
        <v>133</v>
      </c>
      <c r="B9934">
        <v>241</v>
      </c>
      <c r="C9934" s="1">
        <f>(Tabela1[[#This Row],[x]]-H$3)*(Tabela1[[#This Row],[x]]-H$3) +(Tabela1[[#This Row],[y]]-H$4)*(Tabela1[[#This Row],[y]]-H$4)</f>
        <v>6170</v>
      </c>
      <c r="D9934" s="1">
        <f>IF(Tabela1[[#This Row],[promien]]&lt;40000,1,0)</f>
        <v>1</v>
      </c>
      <c r="E9934" s="1">
        <f>IF(Tabela1[[#This Row],[promien]]=40000,1,0)</f>
        <v>0</v>
      </c>
      <c r="F9934" s="1">
        <v>3.141534125226495</v>
      </c>
      <c r="G9934" s="1">
        <v>5.8528363298115949E-5</v>
      </c>
    </row>
    <row r="9935" spans="1:7">
      <c r="A9935">
        <v>58</v>
      </c>
      <c r="B9935">
        <v>246</v>
      </c>
      <c r="C9935" s="1">
        <f>(Tabela1[[#This Row],[x]]-H$3)*(Tabela1[[#This Row],[x]]-H$3) +(Tabela1[[#This Row],[y]]-H$4)*(Tabela1[[#This Row],[y]]-H$4)</f>
        <v>22280</v>
      </c>
      <c r="D9935" s="1">
        <f>IF(Tabela1[[#This Row],[promien]]&lt;40000,1,0)</f>
        <v>1</v>
      </c>
      <c r="E9935" s="1">
        <f>IF(Tabela1[[#This Row],[promien]]=40000,1,0)</f>
        <v>0</v>
      </c>
      <c r="F9935" s="1">
        <v>3.1416205334675391</v>
      </c>
      <c r="G9935" s="1">
        <v>2.7879877745995429E-5</v>
      </c>
    </row>
    <row r="9936" spans="1:7">
      <c r="A9936">
        <v>296</v>
      </c>
      <c r="B9936">
        <v>25</v>
      </c>
      <c r="C9936" s="1">
        <f>(Tabela1[[#This Row],[x]]-H$3)*(Tabela1[[#This Row],[x]]-H$3) +(Tabela1[[#This Row],[y]]-H$4)*(Tabela1[[#This Row],[y]]-H$4)</f>
        <v>39841</v>
      </c>
      <c r="D9936" s="1">
        <f>IF(Tabela1[[#This Row],[promien]]&lt;40000,1,0)</f>
        <v>1</v>
      </c>
      <c r="E9936" s="1">
        <f>IF(Tabela1[[#This Row],[promien]]=40000,1,0)</f>
        <v>0</v>
      </c>
      <c r="F9936" s="1">
        <v>3.1417069243156202</v>
      </c>
      <c r="G9936" s="1">
        <v>1.1427072582703701E-4</v>
      </c>
    </row>
    <row r="9937" spans="1:7">
      <c r="A9937">
        <v>111</v>
      </c>
      <c r="B9937">
        <v>108</v>
      </c>
      <c r="C9937" s="1">
        <f>(Tabela1[[#This Row],[x]]-H$3)*(Tabela1[[#This Row],[x]]-H$3) +(Tabela1[[#This Row],[y]]-H$4)*(Tabela1[[#This Row],[y]]-H$4)</f>
        <v>16385</v>
      </c>
      <c r="D9937" s="1">
        <f>IF(Tabela1[[#This Row],[promien]]&lt;40000,1,0)</f>
        <v>1</v>
      </c>
      <c r="E9937" s="1">
        <f>IF(Tabela1[[#This Row],[promien]]=40000,1,0)</f>
        <v>0</v>
      </c>
      <c r="F9937" s="1">
        <v>3.1417932977759886</v>
      </c>
      <c r="G9937" s="1">
        <v>2.0064418619547553E-4</v>
      </c>
    </row>
    <row r="9938" spans="1:7">
      <c r="A9938">
        <v>193</v>
      </c>
      <c r="B9938">
        <v>133</v>
      </c>
      <c r="C9938" s="1">
        <f>(Tabela1[[#This Row],[x]]-H$3)*(Tabela1[[#This Row],[x]]-H$3) +(Tabela1[[#This Row],[y]]-H$4)*(Tabela1[[#This Row],[y]]-H$4)</f>
        <v>4538</v>
      </c>
      <c r="D9938" s="1">
        <f>IF(Tabela1[[#This Row],[promien]]&lt;40000,1,0)</f>
        <v>1</v>
      </c>
      <c r="E9938" s="1">
        <f>IF(Tabela1[[#This Row],[promien]]=40000,1,0)</f>
        <v>0</v>
      </c>
      <c r="F9938" s="1">
        <v>3.141879653853894</v>
      </c>
      <c r="G9938" s="1">
        <v>2.8700026410088952E-4</v>
      </c>
    </row>
    <row r="9939" spans="1:7">
      <c r="A9939">
        <v>151</v>
      </c>
      <c r="B9939">
        <v>395</v>
      </c>
      <c r="C9939" s="1">
        <f>(Tabela1[[#This Row],[x]]-H$3)*(Tabela1[[#This Row],[x]]-H$3) +(Tabela1[[#This Row],[y]]-H$4)*(Tabela1[[#This Row],[y]]-H$4)</f>
        <v>40426</v>
      </c>
      <c r="D9939" s="1">
        <f>IF(Tabela1[[#This Row],[promien]]&lt;40000,1,0)</f>
        <v>0</v>
      </c>
      <c r="E9939" s="1">
        <f>IF(Tabela1[[#This Row],[promien]]=40000,1,0)</f>
        <v>0</v>
      </c>
      <c r="F9939" s="1">
        <v>3.1415635375792332</v>
      </c>
      <c r="G9939" s="1">
        <v>2.9116010559882E-5</v>
      </c>
    </row>
    <row r="9940" spans="1:7">
      <c r="A9940">
        <v>77</v>
      </c>
      <c r="B9940">
        <v>295</v>
      </c>
      <c r="C9940" s="1">
        <f>(Tabela1[[#This Row],[x]]-H$3)*(Tabela1[[#This Row],[x]]-H$3) +(Tabela1[[#This Row],[y]]-H$4)*(Tabela1[[#This Row],[y]]-H$4)</f>
        <v>24154</v>
      </c>
      <c r="D9940" s="1">
        <f>IF(Tabela1[[#This Row],[promien]]&lt;40000,1,0)</f>
        <v>1</v>
      </c>
      <c r="E9940" s="1">
        <f>IF(Tabela1[[#This Row],[promien]]=40000,1,0)</f>
        <v>0</v>
      </c>
      <c r="F9940" s="1">
        <v>3.1416498993963784</v>
      </c>
      <c r="G9940" s="1">
        <v>5.7245806585282111E-5</v>
      </c>
    </row>
    <row r="9941" spans="1:7">
      <c r="A9941">
        <v>65</v>
      </c>
      <c r="B9941">
        <v>356</v>
      </c>
      <c r="C9941" s="1">
        <f>(Tabela1[[#This Row],[x]]-H$3)*(Tabela1[[#This Row],[x]]-H$3) +(Tabela1[[#This Row],[y]]-H$4)*(Tabela1[[#This Row],[y]]-H$4)</f>
        <v>42561</v>
      </c>
      <c r="D9941" s="1">
        <f>IF(Tabela1[[#This Row],[promien]]&lt;40000,1,0)</f>
        <v>0</v>
      </c>
      <c r="E9941" s="1">
        <f>IF(Tabela1[[#This Row],[promien]]=40000,1,0)</f>
        <v>0</v>
      </c>
      <c r="F9941" s="1">
        <v>3.141333869832009</v>
      </c>
      <c r="G9941" s="1">
        <v>2.587837577840979E-4</v>
      </c>
    </row>
    <row r="9942" spans="1:7">
      <c r="A9942">
        <v>324</v>
      </c>
      <c r="B9942">
        <v>358</v>
      </c>
      <c r="C9942" s="1">
        <f>(Tabela1[[#This Row],[x]]-H$3)*(Tabela1[[#This Row],[x]]-H$3) +(Tabela1[[#This Row],[y]]-H$4)*(Tabela1[[#This Row],[y]]-H$4)</f>
        <v>40340</v>
      </c>
      <c r="D9942" s="1">
        <f>IF(Tabela1[[#This Row],[promien]]&lt;40000,1,0)</f>
        <v>0</v>
      </c>
      <c r="E9942" s="1">
        <f>IF(Tabela1[[#This Row],[promien]]=40000,1,0)</f>
        <v>0</v>
      </c>
      <c r="F9942" s="1">
        <v>3.1410179038422852</v>
      </c>
      <c r="G9942" s="1">
        <v>5.7474974750792995E-4</v>
      </c>
    </row>
    <row r="9943" spans="1:7">
      <c r="A9943">
        <v>255</v>
      </c>
      <c r="B9943">
        <v>295</v>
      </c>
      <c r="C9943" s="1">
        <f>(Tabela1[[#This Row],[x]]-H$3)*(Tabela1[[#This Row],[x]]-H$3) +(Tabela1[[#This Row],[y]]-H$4)*(Tabela1[[#This Row],[y]]-H$4)</f>
        <v>12050</v>
      </c>
      <c r="D9943" s="1">
        <f>IF(Tabela1[[#This Row],[promien]]&lt;40000,1,0)</f>
        <v>1</v>
      </c>
      <c r="E9943" s="1">
        <f>IF(Tabela1[[#This Row],[promien]]=40000,1,0)</f>
        <v>0</v>
      </c>
      <c r="F9943" s="1">
        <v>3.1411042944785277</v>
      </c>
      <c r="G9943" s="1">
        <v>4.8835911126543508E-4</v>
      </c>
    </row>
    <row r="9944" spans="1:7">
      <c r="A9944">
        <v>156</v>
      </c>
      <c r="B9944">
        <v>24</v>
      </c>
      <c r="C9944" s="1">
        <f>(Tabela1[[#This Row],[x]]-H$3)*(Tabela1[[#This Row],[x]]-H$3) +(Tabela1[[#This Row],[y]]-H$4)*(Tabela1[[#This Row],[y]]-H$4)</f>
        <v>32912</v>
      </c>
      <c r="D9944" s="1">
        <f>IF(Tabela1[[#This Row],[promien]]&lt;40000,1,0)</f>
        <v>1</v>
      </c>
      <c r="E9944" s="1">
        <f>IF(Tabela1[[#This Row],[promien]]=40000,1,0)</f>
        <v>0</v>
      </c>
      <c r="F9944" s="1">
        <v>3.1411906677393402</v>
      </c>
      <c r="G9944" s="1">
        <v>4.019858504529239E-4</v>
      </c>
    </row>
    <row r="9945" spans="1:7">
      <c r="A9945">
        <v>302</v>
      </c>
      <c r="B9945">
        <v>4</v>
      </c>
      <c r="C9945" s="1">
        <f>(Tabela1[[#This Row],[x]]-H$3)*(Tabela1[[#This Row],[x]]-H$3) +(Tabela1[[#This Row],[y]]-H$4)*(Tabela1[[#This Row],[y]]-H$4)</f>
        <v>48820</v>
      </c>
      <c r="D9945" s="1">
        <f>IF(Tabela1[[#This Row],[promien]]&lt;40000,1,0)</f>
        <v>0</v>
      </c>
      <c r="E9945" s="1">
        <f>IF(Tabela1[[#This Row],[promien]]=40000,1,0)</f>
        <v>0</v>
      </c>
      <c r="F9945" s="1">
        <v>3.1408748114630467</v>
      </c>
      <c r="G9945" s="1">
        <v>7.1784212674641523E-4</v>
      </c>
    </row>
    <row r="9946" spans="1:7">
      <c r="A9946">
        <v>295</v>
      </c>
      <c r="B9946">
        <v>118</v>
      </c>
      <c r="C9946" s="1">
        <f>(Tabela1[[#This Row],[x]]-H$3)*(Tabela1[[#This Row],[x]]-H$3) +(Tabela1[[#This Row],[y]]-H$4)*(Tabela1[[#This Row],[y]]-H$4)</f>
        <v>15749</v>
      </c>
      <c r="D9946" s="1">
        <f>IF(Tabela1[[#This Row],[promien]]&lt;40000,1,0)</f>
        <v>1</v>
      </c>
      <c r="E9946" s="1">
        <f>IF(Tabela1[[#This Row],[promien]]=40000,1,0)</f>
        <v>0</v>
      </c>
      <c r="F9946" s="1">
        <v>3.140961190428313</v>
      </c>
      <c r="G9946" s="1">
        <v>6.3146316148010584E-4</v>
      </c>
    </row>
    <row r="9947" spans="1:7">
      <c r="A9947">
        <v>180</v>
      </c>
      <c r="B9947">
        <v>269</v>
      </c>
      <c r="C9947" s="1">
        <f>(Tabela1[[#This Row],[x]]-H$3)*(Tabela1[[#This Row],[x]]-H$3) +(Tabela1[[#This Row],[y]]-H$4)*(Tabela1[[#This Row],[y]]-H$4)</f>
        <v>5161</v>
      </c>
      <c r="D9947" s="1">
        <f>IF(Tabela1[[#This Row],[promien]]&lt;40000,1,0)</f>
        <v>1</v>
      </c>
      <c r="E9947" s="1">
        <f>IF(Tabela1[[#This Row],[promien]]=40000,1,0)</f>
        <v>0</v>
      </c>
      <c r="F9947" s="1">
        <v>3.1410475520257366</v>
      </c>
      <c r="G9947" s="1">
        <v>5.45101564056516E-4</v>
      </c>
    </row>
    <row r="9948" spans="1:7">
      <c r="A9948">
        <v>357</v>
      </c>
      <c r="B9948">
        <v>374</v>
      </c>
      <c r="C9948" s="1">
        <f>(Tabela1[[#This Row],[x]]-H$3)*(Tabela1[[#This Row],[x]]-H$3) +(Tabela1[[#This Row],[y]]-H$4)*(Tabela1[[#This Row],[y]]-H$4)</f>
        <v>54925</v>
      </c>
      <c r="D9948" s="1">
        <f>IF(Tabela1[[#This Row],[promien]]&lt;40000,1,0)</f>
        <v>0</v>
      </c>
      <c r="E9948" s="1">
        <f>IF(Tabela1[[#This Row],[promien]]=40000,1,0)</f>
        <v>0</v>
      </c>
      <c r="F9948" s="1">
        <v>3.1407318053880178</v>
      </c>
      <c r="G9948" s="1">
        <v>8.6084820177534382E-4</v>
      </c>
    </row>
    <row r="9949" spans="1:7">
      <c r="A9949">
        <v>299</v>
      </c>
      <c r="B9949">
        <v>172</v>
      </c>
      <c r="C9949" s="1">
        <f>(Tabela1[[#This Row],[x]]-H$3)*(Tabela1[[#This Row],[x]]-H$3) +(Tabela1[[#This Row],[y]]-H$4)*(Tabela1[[#This Row],[y]]-H$4)</f>
        <v>10585</v>
      </c>
      <c r="D9949" s="1">
        <f>IF(Tabela1[[#This Row],[promien]]&lt;40000,1,0)</f>
        <v>1</v>
      </c>
      <c r="E9949" s="1">
        <f>IF(Tabela1[[#This Row],[promien]]=40000,1,0)</f>
        <v>0</v>
      </c>
      <c r="F9949" s="1">
        <v>3.1408181726806714</v>
      </c>
      <c r="G9949" s="1">
        <v>7.7448090912168865E-4</v>
      </c>
    </row>
    <row r="9950" spans="1:7">
      <c r="A9950">
        <v>41</v>
      </c>
      <c r="B9950">
        <v>321</v>
      </c>
      <c r="C9950" s="1">
        <f>(Tabela1[[#This Row],[x]]-H$3)*(Tabela1[[#This Row],[x]]-H$3) +(Tabela1[[#This Row],[y]]-H$4)*(Tabela1[[#This Row],[y]]-H$4)</f>
        <v>39922</v>
      </c>
      <c r="D9950" s="1">
        <f>IF(Tabela1[[#This Row],[promien]]&lt;40000,1,0)</f>
        <v>1</v>
      </c>
      <c r="E9950" s="1">
        <f>IF(Tabela1[[#This Row],[promien]]=40000,1,0)</f>
        <v>0</v>
      </c>
      <c r="F9950" s="1">
        <v>3.1409045226130652</v>
      </c>
      <c r="G9950" s="1">
        <v>6.8813097672792978E-4</v>
      </c>
    </row>
    <row r="9951" spans="1:7">
      <c r="A9951">
        <v>163</v>
      </c>
      <c r="B9951">
        <v>221</v>
      </c>
      <c r="C9951" s="1">
        <f>(Tabela1[[#This Row],[x]]-H$3)*(Tabela1[[#This Row],[x]]-H$3) +(Tabela1[[#This Row],[y]]-H$4)*(Tabela1[[#This Row],[y]]-H$4)</f>
        <v>1810</v>
      </c>
      <c r="D9951" s="1">
        <f>IF(Tabela1[[#This Row],[promien]]&lt;40000,1,0)</f>
        <v>1</v>
      </c>
      <c r="E9951" s="1">
        <f>IF(Tabela1[[#This Row],[promien]]=40000,1,0)</f>
        <v>0</v>
      </c>
      <c r="F9951" s="1">
        <v>3.1409908551904331</v>
      </c>
      <c r="G9951" s="1">
        <v>6.0179839936003177E-4</v>
      </c>
    </row>
    <row r="9952" spans="1:7">
      <c r="A9952">
        <v>330</v>
      </c>
      <c r="B9952">
        <v>389</v>
      </c>
      <c r="C9952" s="1">
        <f>(Tabela1[[#This Row],[x]]-H$3)*(Tabela1[[#This Row],[x]]-H$3) +(Tabela1[[#This Row],[y]]-H$4)*(Tabela1[[#This Row],[y]]-H$4)</f>
        <v>52621</v>
      </c>
      <c r="D9952" s="1">
        <f>IF(Tabela1[[#This Row],[promien]]&lt;40000,1,0)</f>
        <v>0</v>
      </c>
      <c r="E9952" s="1">
        <f>IF(Tabela1[[#This Row],[promien]]=40000,1,0)</f>
        <v>0</v>
      </c>
      <c r="F9952" s="1">
        <v>3.1406752411575565</v>
      </c>
      <c r="G9952" s="1">
        <v>9.1741243223664171E-4</v>
      </c>
    </row>
    <row r="9953" spans="1:7">
      <c r="A9953">
        <v>84</v>
      </c>
      <c r="B9953">
        <v>387</v>
      </c>
      <c r="C9953" s="1">
        <f>(Tabela1[[#This Row],[x]]-H$3)*(Tabela1[[#This Row],[x]]-H$3) +(Tabela1[[#This Row],[y]]-H$4)*(Tabela1[[#This Row],[y]]-H$4)</f>
        <v>48425</v>
      </c>
      <c r="D9953" s="1">
        <f>IF(Tabela1[[#This Row],[promien]]&lt;40000,1,0)</f>
        <v>0</v>
      </c>
      <c r="E9953" s="1">
        <f>IF(Tabela1[[#This Row],[promien]]=40000,1,0)</f>
        <v>0</v>
      </c>
      <c r="F9953" s="1">
        <v>3.140359690545564</v>
      </c>
      <c r="G9953" s="1">
        <v>1.2329630442291517E-3</v>
      </c>
    </row>
    <row r="9954" spans="1:7">
      <c r="A9954">
        <v>189</v>
      </c>
      <c r="B9954">
        <v>14</v>
      </c>
      <c r="C9954" s="1">
        <f>(Tabela1[[#This Row],[x]]-H$3)*(Tabela1[[#This Row],[x]]-H$3) +(Tabela1[[#This Row],[y]]-H$4)*(Tabela1[[#This Row],[y]]-H$4)</f>
        <v>34717</v>
      </c>
      <c r="D9954" s="1">
        <f>IF(Tabela1[[#This Row],[promien]]&lt;40000,1,0)</f>
        <v>1</v>
      </c>
      <c r="E9954" s="1">
        <f>IF(Tabela1[[#This Row],[promien]]=40000,1,0)</f>
        <v>0</v>
      </c>
      <c r="F9954" s="1">
        <v>3.1404460518384569</v>
      </c>
      <c r="G9954" s="1">
        <v>1.1466017513361848E-3</v>
      </c>
    </row>
    <row r="9955" spans="1:7">
      <c r="A9955">
        <v>260</v>
      </c>
      <c r="B9955">
        <v>359</v>
      </c>
      <c r="C9955" s="1">
        <f>(Tabela1[[#This Row],[x]]-H$3)*(Tabela1[[#This Row],[x]]-H$3) +(Tabela1[[#This Row],[y]]-H$4)*(Tabela1[[#This Row],[y]]-H$4)</f>
        <v>28881</v>
      </c>
      <c r="D9955" s="1">
        <f>IF(Tabela1[[#This Row],[promien]]&lt;40000,1,0)</f>
        <v>1</v>
      </c>
      <c r="E9955" s="1">
        <f>IF(Tabela1[[#This Row],[promien]]=40000,1,0)</f>
        <v>0</v>
      </c>
      <c r="F9955" s="1">
        <v>3.1405323957810145</v>
      </c>
      <c r="G9955" s="1">
        <v>1.0602578087786085E-3</v>
      </c>
    </row>
    <row r="9956" spans="1:7">
      <c r="A9956">
        <v>351</v>
      </c>
      <c r="B9956">
        <v>283</v>
      </c>
      <c r="C9956" s="1">
        <f>(Tabela1[[#This Row],[x]]-H$3)*(Tabela1[[#This Row],[x]]-H$3) +(Tabela1[[#This Row],[y]]-H$4)*(Tabela1[[#This Row],[y]]-H$4)</f>
        <v>29690</v>
      </c>
      <c r="D9956" s="1">
        <f>IF(Tabela1[[#This Row],[promien]]&lt;40000,1,0)</f>
        <v>1</v>
      </c>
      <c r="E9956" s="1">
        <f>IF(Tabela1[[#This Row],[promien]]=40000,1,0)</f>
        <v>0</v>
      </c>
      <c r="F9956" s="1">
        <v>3.1406187223784654</v>
      </c>
      <c r="G9956" s="1">
        <v>9.7393121132771654E-4</v>
      </c>
    </row>
    <row r="9957" spans="1:7">
      <c r="A9957">
        <v>131</v>
      </c>
      <c r="B9957">
        <v>248</v>
      </c>
      <c r="C9957" s="1">
        <f>(Tabela1[[#This Row],[x]]-H$3)*(Tabela1[[#This Row],[x]]-H$3) +(Tabela1[[#This Row],[y]]-H$4)*(Tabela1[[#This Row],[y]]-H$4)</f>
        <v>7065</v>
      </c>
      <c r="D9957" s="1">
        <f>IF(Tabela1[[#This Row],[promien]]&lt;40000,1,0)</f>
        <v>1</v>
      </c>
      <c r="E9957" s="1">
        <f>IF(Tabela1[[#This Row],[promien]]=40000,1,0)</f>
        <v>0</v>
      </c>
      <c r="F9957" s="1">
        <v>3.1407050316360348</v>
      </c>
      <c r="G9957" s="1">
        <v>8.8762195375835518E-4</v>
      </c>
    </row>
    <row r="9958" spans="1:7">
      <c r="A9958">
        <v>57</v>
      </c>
      <c r="B9958">
        <v>389</v>
      </c>
      <c r="C9958" s="1">
        <f>(Tabela1[[#This Row],[x]]-H$3)*(Tabela1[[#This Row],[x]]-H$3) +(Tabela1[[#This Row],[y]]-H$4)*(Tabela1[[#This Row],[y]]-H$4)</f>
        <v>56170</v>
      </c>
      <c r="D9958" s="1">
        <f>IF(Tabela1[[#This Row],[promien]]&lt;40000,1,0)</f>
        <v>0</v>
      </c>
      <c r="E9958" s="1">
        <f>IF(Tabela1[[#This Row],[promien]]=40000,1,0)</f>
        <v>0</v>
      </c>
      <c r="F9958" s="1">
        <v>3.1403896364731874</v>
      </c>
      <c r="G9958" s="1">
        <v>1.2030171166057535E-3</v>
      </c>
    </row>
    <row r="9959" spans="1:7">
      <c r="A9959">
        <v>284</v>
      </c>
      <c r="B9959">
        <v>106</v>
      </c>
      <c r="C9959" s="1">
        <f>(Tabela1[[#This Row],[x]]-H$3)*(Tabela1[[#This Row],[x]]-H$3) +(Tabela1[[#This Row],[y]]-H$4)*(Tabela1[[#This Row],[y]]-H$4)</f>
        <v>15892</v>
      </c>
      <c r="D9959" s="1">
        <f>IF(Tabela1[[#This Row],[promien]]&lt;40000,1,0)</f>
        <v>1</v>
      </c>
      <c r="E9959" s="1">
        <f>IF(Tabela1[[#This Row],[promien]]=40000,1,0)</f>
        <v>0</v>
      </c>
      <c r="F9959" s="1">
        <v>3.140475951400743</v>
      </c>
      <c r="G9959" s="1">
        <v>1.1167021890501339E-3</v>
      </c>
    </row>
    <row r="9960" spans="1:7">
      <c r="A9960">
        <v>159</v>
      </c>
      <c r="B9960">
        <v>278</v>
      </c>
      <c r="C9960" s="1">
        <f>(Tabela1[[#This Row],[x]]-H$3)*(Tabela1[[#This Row],[x]]-H$3) +(Tabela1[[#This Row],[y]]-H$4)*(Tabela1[[#This Row],[y]]-H$4)</f>
        <v>7765</v>
      </c>
      <c r="D9960" s="1">
        <f>IF(Tabela1[[#This Row],[promien]]&lt;40000,1,0)</f>
        <v>1</v>
      </c>
      <c r="E9960" s="1">
        <f>IF(Tabela1[[#This Row],[promien]]=40000,1,0)</f>
        <v>0</v>
      </c>
      <c r="F9960" s="1">
        <v>3.1405622489959839</v>
      </c>
      <c r="G9960" s="1">
        <v>1.0304045938092088E-3</v>
      </c>
    </row>
    <row r="9961" spans="1:7">
      <c r="A9961">
        <v>247</v>
      </c>
      <c r="B9961">
        <v>17</v>
      </c>
      <c r="C9961" s="1">
        <f>(Tabela1[[#This Row],[x]]-H$3)*(Tabela1[[#This Row],[x]]-H$3) +(Tabela1[[#This Row],[y]]-H$4)*(Tabela1[[#This Row],[y]]-H$4)</f>
        <v>35698</v>
      </c>
      <c r="D9961" s="1">
        <f>IF(Tabela1[[#This Row],[promien]]&lt;40000,1,0)</f>
        <v>1</v>
      </c>
      <c r="E9961" s="1">
        <f>IF(Tabela1[[#This Row],[promien]]=40000,1,0)</f>
        <v>0</v>
      </c>
      <c r="F9961" s="1">
        <v>3.14064852926413</v>
      </c>
      <c r="G9961" s="1">
        <v>9.4412432566315374E-4</v>
      </c>
    </row>
    <row r="9962" spans="1:7">
      <c r="A9962">
        <v>119</v>
      </c>
      <c r="B9962">
        <v>369</v>
      </c>
      <c r="C9962" s="1">
        <f>(Tabela1[[#This Row],[x]]-H$3)*(Tabela1[[#This Row],[x]]-H$3) +(Tabela1[[#This Row],[y]]-H$4)*(Tabela1[[#This Row],[y]]-H$4)</f>
        <v>35122</v>
      </c>
      <c r="D9962" s="1">
        <f>IF(Tabela1[[#This Row],[promien]]&lt;40000,1,0)</f>
        <v>1</v>
      </c>
      <c r="E9962" s="1">
        <f>IF(Tabela1[[#This Row],[promien]]=40000,1,0)</f>
        <v>0</v>
      </c>
      <c r="F9962" s="1">
        <v>3.1407347922103996</v>
      </c>
      <c r="G9962" s="1">
        <v>8.578613793934764E-4</v>
      </c>
    </row>
    <row r="9963" spans="1:7">
      <c r="A9963">
        <v>25</v>
      </c>
      <c r="B9963">
        <v>286</v>
      </c>
      <c r="C9963" s="1">
        <f>(Tabela1[[#This Row],[x]]-H$3)*(Tabela1[[#This Row],[x]]-H$3) +(Tabela1[[#This Row],[y]]-H$4)*(Tabela1[[#This Row],[y]]-H$4)</f>
        <v>38021</v>
      </c>
      <c r="D9963" s="1">
        <f>IF(Tabela1[[#This Row],[promien]]&lt;40000,1,0)</f>
        <v>1</v>
      </c>
      <c r="E9963" s="1">
        <f>IF(Tabela1[[#This Row],[promien]]=40000,1,0)</f>
        <v>0</v>
      </c>
      <c r="F9963" s="1">
        <v>3.1408210378400079</v>
      </c>
      <c r="G9963" s="1">
        <v>7.7161574978523717E-4</v>
      </c>
    </row>
    <row r="9964" spans="1:7">
      <c r="A9964">
        <v>41</v>
      </c>
      <c r="B9964">
        <v>297</v>
      </c>
      <c r="C9964" s="1">
        <f>(Tabela1[[#This Row],[x]]-H$3)*(Tabela1[[#This Row],[x]]-H$3) +(Tabela1[[#This Row],[y]]-H$4)*(Tabela1[[#This Row],[y]]-H$4)</f>
        <v>34690</v>
      </c>
      <c r="D9964" s="1">
        <f>IF(Tabela1[[#This Row],[promien]]&lt;40000,1,0)</f>
        <v>1</v>
      </c>
      <c r="E9964" s="1">
        <f>IF(Tabela1[[#This Row],[promien]]=40000,1,0)</f>
        <v>0</v>
      </c>
      <c r="F9964" s="1">
        <v>3.1409072661581696</v>
      </c>
      <c r="G9964" s="1">
        <v>6.8538743162349647E-4</v>
      </c>
    </row>
    <row r="9965" spans="1:7">
      <c r="A9965">
        <v>121</v>
      </c>
      <c r="B9965">
        <v>31</v>
      </c>
      <c r="C9965" s="1">
        <f>(Tabela1[[#This Row],[x]]-H$3)*(Tabela1[[#This Row],[x]]-H$3) +(Tabela1[[#This Row],[y]]-H$4)*(Tabela1[[#This Row],[y]]-H$4)</f>
        <v>34802</v>
      </c>
      <c r="D9965" s="1">
        <f>IF(Tabela1[[#This Row],[promien]]&lt;40000,1,0)</f>
        <v>1</v>
      </c>
      <c r="E9965" s="1">
        <f>IF(Tabela1[[#This Row],[promien]]=40000,1,0)</f>
        <v>0</v>
      </c>
      <c r="F9965" s="1">
        <v>3.1409934771700954</v>
      </c>
      <c r="G9965" s="1">
        <v>5.9917641969775559E-4</v>
      </c>
    </row>
    <row r="9966" spans="1:7">
      <c r="A9966">
        <v>3</v>
      </c>
      <c r="B9966">
        <v>70</v>
      </c>
      <c r="C9966" s="1">
        <f>(Tabela1[[#This Row],[x]]-H$3)*(Tabela1[[#This Row],[x]]-H$3) +(Tabela1[[#This Row],[y]]-H$4)*(Tabela1[[#This Row],[y]]-H$4)</f>
        <v>55709</v>
      </c>
      <c r="D9966" s="1">
        <f>IF(Tabela1[[#This Row],[promien]]&lt;40000,1,0)</f>
        <v>0</v>
      </c>
      <c r="E9966" s="1">
        <f>IF(Tabela1[[#This Row],[promien]]=40000,1,0)</f>
        <v>0</v>
      </c>
      <c r="F9966" s="1">
        <v>3.1406783062412202</v>
      </c>
      <c r="G9966" s="1">
        <v>9.1434734857287481E-4</v>
      </c>
    </row>
    <row r="9967" spans="1:7">
      <c r="A9967">
        <v>137</v>
      </c>
      <c r="B9967">
        <v>228</v>
      </c>
      <c r="C9967" s="1">
        <f>(Tabela1[[#This Row],[x]]-H$3)*(Tabela1[[#This Row],[x]]-H$3) +(Tabela1[[#This Row],[y]]-H$4)*(Tabela1[[#This Row],[y]]-H$4)</f>
        <v>4753</v>
      </c>
      <c r="D9967" s="1">
        <f>IF(Tabela1[[#This Row],[promien]]&lt;40000,1,0)</f>
        <v>1</v>
      </c>
      <c r="E9967" s="1">
        <f>IF(Tabela1[[#This Row],[promien]]=40000,1,0)</f>
        <v>0</v>
      </c>
      <c r="F9967" s="1">
        <v>3.1407645229256547</v>
      </c>
      <c r="G9967" s="1">
        <v>8.2813066413844894E-4</v>
      </c>
    </row>
    <row r="9968" spans="1:7">
      <c r="A9968">
        <v>357</v>
      </c>
      <c r="B9968">
        <v>220</v>
      </c>
      <c r="C9968" s="1">
        <f>(Tabela1[[#This Row],[x]]-H$3)*(Tabela1[[#This Row],[x]]-H$3) +(Tabela1[[#This Row],[y]]-H$4)*(Tabela1[[#This Row],[y]]-H$4)</f>
        <v>25049</v>
      </c>
      <c r="D9968" s="1">
        <f>IF(Tabela1[[#This Row],[promien]]&lt;40000,1,0)</f>
        <v>1</v>
      </c>
      <c r="E9968" s="1">
        <f>IF(Tabela1[[#This Row],[promien]]=40000,1,0)</f>
        <v>0</v>
      </c>
      <c r="F9968" s="1">
        <v>3.1408507223113964</v>
      </c>
      <c r="G9968" s="1">
        <v>7.4193127839672357E-4</v>
      </c>
    </row>
    <row r="9969" spans="1:7">
      <c r="A9969">
        <v>203</v>
      </c>
      <c r="B9969">
        <v>59</v>
      </c>
      <c r="C9969" s="1">
        <f>(Tabela1[[#This Row],[x]]-H$3)*(Tabela1[[#This Row],[x]]-H$3) +(Tabela1[[#This Row],[y]]-H$4)*(Tabela1[[#This Row],[y]]-H$4)</f>
        <v>19890</v>
      </c>
      <c r="D9969" s="1">
        <f>IF(Tabela1[[#This Row],[promien]]&lt;40000,1,0)</f>
        <v>1</v>
      </c>
      <c r="E9969" s="1">
        <f>IF(Tabela1[[#This Row],[promien]]=40000,1,0)</f>
        <v>0</v>
      </c>
      <c r="F9969" s="1">
        <v>3.1409369044036515</v>
      </c>
      <c r="G9969" s="1">
        <v>6.5574918614164091E-4</v>
      </c>
    </row>
    <row r="9970" spans="1:7">
      <c r="A9970">
        <v>332</v>
      </c>
      <c r="B9970">
        <v>122</v>
      </c>
      <c r="C9970" s="1">
        <f>(Tabela1[[#This Row],[x]]-H$3)*(Tabela1[[#This Row],[x]]-H$3) +(Tabela1[[#This Row],[y]]-H$4)*(Tabela1[[#This Row],[y]]-H$4)</f>
        <v>23508</v>
      </c>
      <c r="D9970" s="1">
        <f>IF(Tabela1[[#This Row],[promien]]&lt;40000,1,0)</f>
        <v>1</v>
      </c>
      <c r="E9970" s="1">
        <f>IF(Tabela1[[#This Row],[promien]]=40000,1,0)</f>
        <v>0</v>
      </c>
      <c r="F9970" s="1">
        <v>3.1410230692076229</v>
      </c>
      <c r="G9970" s="1">
        <v>5.6958438217025176E-4</v>
      </c>
    </row>
    <row r="9971" spans="1:7">
      <c r="A9971">
        <v>121</v>
      </c>
      <c r="B9971">
        <v>329</v>
      </c>
      <c r="C9971" s="1">
        <f>(Tabela1[[#This Row],[x]]-H$3)*(Tabela1[[#This Row],[x]]-H$3) +(Tabela1[[#This Row],[y]]-H$4)*(Tabela1[[#This Row],[y]]-H$4)</f>
        <v>22882</v>
      </c>
      <c r="D9971" s="1">
        <f>IF(Tabela1[[#This Row],[promien]]&lt;40000,1,0)</f>
        <v>1</v>
      </c>
      <c r="E9971" s="1">
        <f>IF(Tabela1[[#This Row],[promien]]=40000,1,0)</f>
        <v>0</v>
      </c>
      <c r="F9971" s="1">
        <v>3.1411092167285126</v>
      </c>
      <c r="G9971" s="1">
        <v>4.8343686128049512E-4</v>
      </c>
    </row>
    <row r="9972" spans="1:7">
      <c r="A9972">
        <v>169</v>
      </c>
      <c r="B9972">
        <v>150</v>
      </c>
      <c r="C9972" s="1">
        <f>(Tabela1[[#This Row],[x]]-H$3)*(Tabela1[[#This Row],[x]]-H$3) +(Tabela1[[#This Row],[y]]-H$4)*(Tabela1[[#This Row],[y]]-H$4)</f>
        <v>3461</v>
      </c>
      <c r="D9972" s="1">
        <f>IF(Tabela1[[#This Row],[promien]]&lt;40000,1,0)</f>
        <v>1</v>
      </c>
      <c r="E9972" s="1">
        <f>IF(Tabela1[[#This Row],[promien]]=40000,1,0)</f>
        <v>0</v>
      </c>
      <c r="F9972" s="1">
        <v>3.1411953469715201</v>
      </c>
      <c r="G9972" s="1">
        <v>3.9730661827297453E-4</v>
      </c>
    </row>
    <row r="9973" spans="1:7">
      <c r="A9973">
        <v>125</v>
      </c>
      <c r="B9973">
        <v>321</v>
      </c>
      <c r="C9973" s="1">
        <f>(Tabela1[[#This Row],[x]]-H$3)*(Tabela1[[#This Row],[x]]-H$3) +(Tabela1[[#This Row],[y]]-H$4)*(Tabela1[[#This Row],[y]]-H$4)</f>
        <v>20266</v>
      </c>
      <c r="D9973" s="1">
        <f>IF(Tabela1[[#This Row],[promien]]&lt;40000,1,0)</f>
        <v>1</v>
      </c>
      <c r="E9973" s="1">
        <f>IF(Tabela1[[#This Row],[promien]]=40000,1,0)</f>
        <v>0</v>
      </c>
      <c r="F9973" s="1">
        <v>3.141281459941843</v>
      </c>
      <c r="G9973" s="1">
        <v>3.1119364795006987E-4</v>
      </c>
    </row>
    <row r="9974" spans="1:7">
      <c r="A9974">
        <v>398</v>
      </c>
      <c r="B9974">
        <v>164</v>
      </c>
      <c r="C9974" s="1">
        <f>(Tabela1[[#This Row],[x]]-H$3)*(Tabela1[[#This Row],[x]]-H$3) +(Tabela1[[#This Row],[y]]-H$4)*(Tabela1[[#This Row],[y]]-H$4)</f>
        <v>40500</v>
      </c>
      <c r="D9974" s="1">
        <f>IF(Tabela1[[#This Row],[promien]]&lt;40000,1,0)</f>
        <v>0</v>
      </c>
      <c r="E9974" s="1">
        <f>IF(Tabela1[[#This Row],[promien]]=40000,1,0)</f>
        <v>0</v>
      </c>
      <c r="F9974" s="1">
        <v>3.1409665129336273</v>
      </c>
      <c r="G9974" s="1">
        <v>6.2614065616584114E-4</v>
      </c>
    </row>
    <row r="9975" spans="1:7">
      <c r="A9975">
        <v>250</v>
      </c>
      <c r="B9975">
        <v>390</v>
      </c>
      <c r="C9975" s="1">
        <f>(Tabela1[[#This Row],[x]]-H$3)*(Tabela1[[#This Row],[x]]-H$3) +(Tabela1[[#This Row],[y]]-H$4)*(Tabela1[[#This Row],[y]]-H$4)</f>
        <v>38600</v>
      </c>
      <c r="D9975" s="1">
        <f>IF(Tabela1[[#This Row],[promien]]&lt;40000,1,0)</f>
        <v>1</v>
      </c>
      <c r="E9975" s="1">
        <f>IF(Tabela1[[#This Row],[promien]]=40000,1,0)</f>
        <v>0</v>
      </c>
      <c r="F9975" s="1">
        <v>3.1410526315789475</v>
      </c>
      <c r="G9975" s="1">
        <v>5.4002201084557555E-4</v>
      </c>
    </row>
    <row r="9976" spans="1:7">
      <c r="A9976">
        <v>387</v>
      </c>
      <c r="B9976">
        <v>148</v>
      </c>
      <c r="C9976" s="1">
        <f>(Tabela1[[#This Row],[x]]-H$3)*(Tabela1[[#This Row],[x]]-H$3) +(Tabela1[[#This Row],[y]]-H$4)*(Tabela1[[#This Row],[y]]-H$4)</f>
        <v>37673</v>
      </c>
      <c r="D9976" s="1">
        <f>IF(Tabela1[[#This Row],[promien]]&lt;40000,1,0)</f>
        <v>1</v>
      </c>
      <c r="E9976" s="1">
        <f>IF(Tabela1[[#This Row],[promien]]=40000,1,0)</f>
        <v>0</v>
      </c>
      <c r="F9976" s="1">
        <v>3.1411387329591021</v>
      </c>
      <c r="G9976" s="1">
        <v>4.5392063069105149E-4</v>
      </c>
    </row>
    <row r="9977" spans="1:7">
      <c r="A9977">
        <v>396</v>
      </c>
      <c r="B9977">
        <v>175</v>
      </c>
      <c r="C9977" s="1">
        <f>(Tabela1[[#This Row],[x]]-H$3)*(Tabela1[[#This Row],[x]]-H$3) +(Tabela1[[#This Row],[y]]-H$4)*(Tabela1[[#This Row],[y]]-H$4)</f>
        <v>39041</v>
      </c>
      <c r="D9977" s="1">
        <f>IF(Tabela1[[#This Row],[promien]]&lt;40000,1,0)</f>
        <v>1</v>
      </c>
      <c r="E9977" s="1">
        <f>IF(Tabela1[[#This Row],[promien]]=40000,1,0)</f>
        <v>0</v>
      </c>
      <c r="F9977" s="1">
        <v>3.1412248170792822</v>
      </c>
      <c r="G9977" s="1">
        <v>3.6783651051086608E-4</v>
      </c>
    </row>
    <row r="9978" spans="1:7">
      <c r="A9978">
        <v>59</v>
      </c>
      <c r="B9978">
        <v>368</v>
      </c>
      <c r="C9978" s="1">
        <f>(Tabela1[[#This Row],[x]]-H$3)*(Tabela1[[#This Row],[x]]-H$3) +(Tabela1[[#This Row],[y]]-H$4)*(Tabela1[[#This Row],[y]]-H$4)</f>
        <v>48105</v>
      </c>
      <c r="D9978" s="1">
        <f>IF(Tabela1[[#This Row],[promien]]&lt;40000,1,0)</f>
        <v>0</v>
      </c>
      <c r="E9978" s="1">
        <f>IF(Tabela1[[#This Row],[promien]]=40000,1,0)</f>
        <v>0</v>
      </c>
      <c r="F9978" s="1">
        <v>3.1409100020044098</v>
      </c>
      <c r="G9978" s="1">
        <v>6.8265158538327597E-4</v>
      </c>
    </row>
    <row r="9979" spans="1:7">
      <c r="A9979">
        <v>53</v>
      </c>
      <c r="B9979">
        <v>353</v>
      </c>
      <c r="C9979" s="1">
        <f>(Tabela1[[#This Row],[x]]-H$3)*(Tabela1[[#This Row],[x]]-H$3) +(Tabela1[[#This Row],[y]]-H$4)*(Tabela1[[#This Row],[y]]-H$4)</f>
        <v>45018</v>
      </c>
      <c r="D9979" s="1">
        <f>IF(Tabela1[[#This Row],[promien]]&lt;40000,1,0)</f>
        <v>0</v>
      </c>
      <c r="E9979" s="1">
        <f>IF(Tabela1[[#This Row],[promien]]=40000,1,0)</f>
        <v>0</v>
      </c>
      <c r="F9979" s="1">
        <v>3.1405952500250525</v>
      </c>
      <c r="G9979" s="1">
        <v>9.9740356474065095E-4</v>
      </c>
    </row>
    <row r="9980" spans="1:7">
      <c r="A9980">
        <v>125</v>
      </c>
      <c r="B9980">
        <v>370</v>
      </c>
      <c r="C9980" s="1">
        <f>(Tabela1[[#This Row],[x]]-H$3)*(Tabela1[[#This Row],[x]]-H$3) +(Tabela1[[#This Row],[y]]-H$4)*(Tabela1[[#This Row],[y]]-H$4)</f>
        <v>34525</v>
      </c>
      <c r="D9980" s="1">
        <f>IF(Tabela1[[#This Row],[promien]]&lt;40000,1,0)</f>
        <v>1</v>
      </c>
      <c r="E9980" s="1">
        <f>IF(Tabela1[[#This Row],[promien]]=40000,1,0)</f>
        <v>0</v>
      </c>
      <c r="F9980" s="1">
        <v>3.1406813627254508</v>
      </c>
      <c r="G9980" s="1">
        <v>9.1129086434227347E-4</v>
      </c>
    </row>
    <row r="9981" spans="1:7">
      <c r="A9981">
        <v>304</v>
      </c>
      <c r="B9981">
        <v>363</v>
      </c>
      <c r="C9981" s="1">
        <f>(Tabela1[[#This Row],[x]]-H$3)*(Tabela1[[#This Row],[x]]-H$3) +(Tabela1[[#This Row],[y]]-H$4)*(Tabela1[[#This Row],[y]]-H$4)</f>
        <v>37385</v>
      </c>
      <c r="D9981" s="1">
        <f>IF(Tabela1[[#This Row],[promien]]&lt;40000,1,0)</f>
        <v>1</v>
      </c>
      <c r="E9981" s="1">
        <f>IF(Tabela1[[#This Row],[promien]]=40000,1,0)</f>
        <v>0</v>
      </c>
      <c r="F9981" s="1">
        <v>3.1407674581705241</v>
      </c>
      <c r="G9981" s="1">
        <v>8.251954192690647E-4</v>
      </c>
    </row>
    <row r="9982" spans="1:7">
      <c r="A9982">
        <v>296</v>
      </c>
      <c r="B9982">
        <v>83</v>
      </c>
      <c r="C9982" s="1">
        <f>(Tabela1[[#This Row],[x]]-H$3)*(Tabela1[[#This Row],[x]]-H$3) +(Tabela1[[#This Row],[y]]-H$4)*(Tabela1[[#This Row],[y]]-H$4)</f>
        <v>22905</v>
      </c>
      <c r="D9982" s="1">
        <f>IF(Tabela1[[#This Row],[promien]]&lt;40000,1,0)</f>
        <v>1</v>
      </c>
      <c r="E9982" s="1">
        <f>IF(Tabela1[[#This Row],[promien]]=40000,1,0)</f>
        <v>0</v>
      </c>
      <c r="F9982" s="1">
        <v>3.1408535363654577</v>
      </c>
      <c r="G9982" s="1">
        <v>7.3911722433539495E-4</v>
      </c>
    </row>
    <row r="9983" spans="1:7">
      <c r="A9983">
        <v>90</v>
      </c>
      <c r="B9983">
        <v>76</v>
      </c>
      <c r="C9983" s="1">
        <f>(Tabela1[[#This Row],[x]]-H$3)*(Tabela1[[#This Row],[x]]-H$3) +(Tabela1[[#This Row],[y]]-H$4)*(Tabela1[[#This Row],[y]]-H$4)</f>
        <v>27476</v>
      </c>
      <c r="D9983" s="1">
        <f>IF(Tabela1[[#This Row],[promien]]&lt;40000,1,0)</f>
        <v>1</v>
      </c>
      <c r="E9983" s="1">
        <f>IF(Tabela1[[#This Row],[promien]]=40000,1,0)</f>
        <v>0</v>
      </c>
      <c r="F9983" s="1">
        <v>3.1409395973154361</v>
      </c>
      <c r="G9983" s="1">
        <v>6.5305627435696678E-4</v>
      </c>
    </row>
    <row r="9984" spans="1:7">
      <c r="A9984">
        <v>257</v>
      </c>
      <c r="B9984">
        <v>375</v>
      </c>
      <c r="C9984" s="1">
        <f>(Tabela1[[#This Row],[x]]-H$3)*(Tabela1[[#This Row],[x]]-H$3) +(Tabela1[[#This Row],[y]]-H$4)*(Tabela1[[#This Row],[y]]-H$4)</f>
        <v>33874</v>
      </c>
      <c r="D9984" s="1">
        <f>IF(Tabela1[[#This Row],[promien]]&lt;40000,1,0)</f>
        <v>1</v>
      </c>
      <c r="E9984" s="1">
        <f>IF(Tabela1[[#This Row],[promien]]=40000,1,0)</f>
        <v>0</v>
      </c>
      <c r="F9984" s="1">
        <v>3.141025641025641</v>
      </c>
      <c r="G9984" s="1">
        <v>5.6701256415214729E-4</v>
      </c>
    </row>
    <row r="9985" spans="1:7">
      <c r="A9985">
        <v>358</v>
      </c>
      <c r="B9985">
        <v>266</v>
      </c>
      <c r="C9985" s="1">
        <f>(Tabela1[[#This Row],[x]]-H$3)*(Tabela1[[#This Row],[x]]-H$3) +(Tabela1[[#This Row],[y]]-H$4)*(Tabela1[[#This Row],[y]]-H$4)</f>
        <v>29320</v>
      </c>
      <c r="D9985" s="1">
        <f>IF(Tabela1[[#This Row],[promien]]&lt;40000,1,0)</f>
        <v>1</v>
      </c>
      <c r="E9985" s="1">
        <f>IF(Tabela1[[#This Row],[promien]]=40000,1,0)</f>
        <v>0</v>
      </c>
      <c r="F9985" s="1">
        <v>3.141111667501252</v>
      </c>
      <c r="G9985" s="1">
        <v>4.8098608854107994E-4</v>
      </c>
    </row>
    <row r="9986" spans="1:7">
      <c r="A9986">
        <v>121</v>
      </c>
      <c r="B9986">
        <v>121</v>
      </c>
      <c r="C9986" s="1">
        <f>(Tabela1[[#This Row],[x]]-H$3)*(Tabela1[[#This Row],[x]]-H$3) +(Tabela1[[#This Row],[y]]-H$4)*(Tabela1[[#This Row],[y]]-H$4)</f>
        <v>12482</v>
      </c>
      <c r="D9986" s="1">
        <f>IF(Tabela1[[#This Row],[promien]]&lt;40000,1,0)</f>
        <v>1</v>
      </c>
      <c r="E9986" s="1">
        <f>IF(Tabela1[[#This Row],[promien]]=40000,1,0)</f>
        <v>0</v>
      </c>
      <c r="F9986" s="1">
        <v>3.1411976767474465</v>
      </c>
      <c r="G9986" s="1">
        <v>3.9497684234657271E-4</v>
      </c>
    </row>
    <row r="9987" spans="1:7">
      <c r="A9987">
        <v>287</v>
      </c>
      <c r="B9987">
        <v>375</v>
      </c>
      <c r="C9987" s="1">
        <f>(Tabela1[[#This Row],[x]]-H$3)*(Tabela1[[#This Row],[x]]-H$3) +(Tabela1[[#This Row],[y]]-H$4)*(Tabela1[[#This Row],[y]]-H$4)</f>
        <v>38194</v>
      </c>
      <c r="D9987" s="1">
        <f>IF(Tabela1[[#This Row],[promien]]&lt;40000,1,0)</f>
        <v>1</v>
      </c>
      <c r="E9987" s="1">
        <f>IF(Tabela1[[#This Row],[promien]]=40000,1,0)</f>
        <v>0</v>
      </c>
      <c r="F9987" s="1">
        <v>3.1412836687694004</v>
      </c>
      <c r="G9987" s="1">
        <v>3.0898482039276587E-4</v>
      </c>
    </row>
    <row r="9988" spans="1:7">
      <c r="A9988">
        <v>61</v>
      </c>
      <c r="B9988">
        <v>400</v>
      </c>
      <c r="C9988" s="1">
        <f>(Tabela1[[#This Row],[x]]-H$3)*(Tabela1[[#This Row],[x]]-H$3) +(Tabela1[[#This Row],[y]]-H$4)*(Tabela1[[#This Row],[y]]-H$4)</f>
        <v>59321</v>
      </c>
      <c r="D9988" s="1">
        <f>IF(Tabela1[[#This Row],[promien]]&lt;40000,1,0)</f>
        <v>0</v>
      </c>
      <c r="E9988" s="1">
        <f>IF(Tabela1[[#This Row],[promien]]=40000,1,0)</f>
        <v>0</v>
      </c>
      <c r="F9988" s="1">
        <v>3.1409691629955949</v>
      </c>
      <c r="G9988" s="1">
        <v>6.2349059419819497E-4</v>
      </c>
    </row>
    <row r="9989" spans="1:7">
      <c r="A9989">
        <v>243</v>
      </c>
      <c r="B9989">
        <v>28</v>
      </c>
      <c r="C9989" s="1">
        <f>(Tabela1[[#This Row],[x]]-H$3)*(Tabela1[[#This Row],[x]]-H$3) +(Tabela1[[#This Row],[y]]-H$4)*(Tabela1[[#This Row],[y]]-H$4)</f>
        <v>31433</v>
      </c>
      <c r="D9989" s="1">
        <f>IF(Tabela1[[#This Row],[promien]]&lt;40000,1,0)</f>
        <v>1</v>
      </c>
      <c r="E9989" s="1">
        <f>IF(Tabela1[[#This Row],[promien]]=40000,1,0)</f>
        <v>0</v>
      </c>
      <c r="F9989" s="1">
        <v>3.1410551606767445</v>
      </c>
      <c r="G9989" s="1">
        <v>5.3749291304860947E-4</v>
      </c>
    </row>
    <row r="9990" spans="1:7">
      <c r="A9990">
        <v>72</v>
      </c>
      <c r="B9990">
        <v>340</v>
      </c>
      <c r="C9990" s="1">
        <f>(Tabela1[[#This Row],[x]]-H$3)*(Tabela1[[#This Row],[x]]-H$3) +(Tabela1[[#This Row],[y]]-H$4)*(Tabela1[[#This Row],[y]]-H$4)</f>
        <v>35984</v>
      </c>
      <c r="D9990" s="1">
        <f>IF(Tabela1[[#This Row],[promien]]&lt;40000,1,0)</f>
        <v>1</v>
      </c>
      <c r="E9990" s="1">
        <f>IF(Tabela1[[#This Row],[promien]]=40000,1,0)</f>
        <v>0</v>
      </c>
      <c r="F9990" s="1">
        <v>3.1411411411411412</v>
      </c>
      <c r="G9990" s="1">
        <v>4.5151244865193618E-4</v>
      </c>
    </row>
    <row r="9991" spans="1:7">
      <c r="A9991">
        <v>200</v>
      </c>
      <c r="B9991">
        <v>286</v>
      </c>
      <c r="C9991" s="1">
        <f>(Tabela1[[#This Row],[x]]-H$3)*(Tabela1[[#This Row],[x]]-H$3) +(Tabela1[[#This Row],[y]]-H$4)*(Tabela1[[#This Row],[y]]-H$4)</f>
        <v>7396</v>
      </c>
      <c r="D9991" s="1">
        <f>IF(Tabela1[[#This Row],[promien]]&lt;40000,1,0)</f>
        <v>1</v>
      </c>
      <c r="E9991" s="1">
        <f>IF(Tabela1[[#This Row],[promien]]=40000,1,0)</f>
        <v>0</v>
      </c>
      <c r="F9991" s="1">
        <v>3.1412271043939546</v>
      </c>
      <c r="G9991" s="1">
        <v>3.6554919583853263E-4</v>
      </c>
    </row>
    <row r="9992" spans="1:7">
      <c r="A9992">
        <v>343</v>
      </c>
      <c r="B9992">
        <v>169</v>
      </c>
      <c r="C9992" s="1">
        <f>(Tabela1[[#This Row],[x]]-H$3)*(Tabela1[[#This Row],[x]]-H$3) +(Tabela1[[#This Row],[y]]-H$4)*(Tabela1[[#This Row],[y]]-H$4)</f>
        <v>21410</v>
      </c>
      <c r="D9992" s="1">
        <f>IF(Tabela1[[#This Row],[promien]]&lt;40000,1,0)</f>
        <v>1</v>
      </c>
      <c r="E9992" s="1">
        <f>IF(Tabela1[[#This Row],[promien]]=40000,1,0)</f>
        <v>0</v>
      </c>
      <c r="F9992" s="1">
        <v>3.1413130504403521</v>
      </c>
      <c r="G9992" s="1">
        <v>2.7960314944097675E-4</v>
      </c>
    </row>
    <row r="9993" spans="1:7">
      <c r="A9993">
        <v>386</v>
      </c>
      <c r="B9993">
        <v>18</v>
      </c>
      <c r="C9993" s="1">
        <f>(Tabela1[[#This Row],[x]]-H$3)*(Tabela1[[#This Row],[x]]-H$3) +(Tabela1[[#This Row],[y]]-H$4)*(Tabela1[[#This Row],[y]]-H$4)</f>
        <v>67720</v>
      </c>
      <c r="D9993" s="1">
        <f>IF(Tabela1[[#This Row],[promien]]&lt;40000,1,0)</f>
        <v>0</v>
      </c>
      <c r="E9993" s="1">
        <f>IF(Tabela1[[#This Row],[promien]]=40000,1,0)</f>
        <v>0</v>
      </c>
      <c r="F9993" s="1">
        <v>3.1409986990893626</v>
      </c>
      <c r="G9993" s="1">
        <v>5.9395450043053799E-4</v>
      </c>
    </row>
    <row r="9994" spans="1:7">
      <c r="A9994">
        <v>53</v>
      </c>
      <c r="B9994">
        <v>155</v>
      </c>
      <c r="C9994" s="1">
        <f>(Tabela1[[#This Row],[x]]-H$3)*(Tabela1[[#This Row],[x]]-H$3) +(Tabela1[[#This Row],[y]]-H$4)*(Tabela1[[#This Row],[y]]-H$4)</f>
        <v>23634</v>
      </c>
      <c r="D9994" s="1">
        <f>IF(Tabela1[[#This Row],[promien]]&lt;40000,1,0)</f>
        <v>1</v>
      </c>
      <c r="E9994" s="1">
        <f>IF(Tabela1[[#This Row],[promien]]=40000,1,0)</f>
        <v>0</v>
      </c>
      <c r="F9994" s="1">
        <v>3.1410846507904742</v>
      </c>
      <c r="G9994" s="1">
        <v>5.0800279931895176E-4</v>
      </c>
    </row>
    <row r="9995" spans="1:7">
      <c r="A9995">
        <v>379</v>
      </c>
      <c r="B9995">
        <v>126</v>
      </c>
      <c r="C9995" s="1">
        <f>(Tabela1[[#This Row],[x]]-H$3)*(Tabela1[[#This Row],[x]]-H$3) +(Tabela1[[#This Row],[y]]-H$4)*(Tabela1[[#This Row],[y]]-H$4)</f>
        <v>37517</v>
      </c>
      <c r="D9995" s="1">
        <f>IF(Tabela1[[#This Row],[promien]]&lt;40000,1,0)</f>
        <v>1</v>
      </c>
      <c r="E9995" s="1">
        <f>IF(Tabela1[[#This Row],[promien]]=40000,1,0)</f>
        <v>0</v>
      </c>
      <c r="F9995" s="1">
        <v>3.1411705852926461</v>
      </c>
      <c r="G9995" s="1">
        <v>4.2206829714697136E-4</v>
      </c>
    </row>
    <row r="9996" spans="1:7">
      <c r="A9996">
        <v>156</v>
      </c>
      <c r="B9996">
        <v>389</v>
      </c>
      <c r="C9996" s="1">
        <f>(Tabela1[[#This Row],[x]]-H$3)*(Tabela1[[#This Row],[x]]-H$3) +(Tabela1[[#This Row],[y]]-H$4)*(Tabela1[[#This Row],[y]]-H$4)</f>
        <v>37657</v>
      </c>
      <c r="D9996" s="1">
        <f>IF(Tabela1[[#This Row],[promien]]&lt;40000,1,0)</f>
        <v>1</v>
      </c>
      <c r="E9996" s="1">
        <f>IF(Tabela1[[#This Row],[promien]]=40000,1,0)</f>
        <v>0</v>
      </c>
      <c r="F9996" s="1">
        <v>3.1412565026010406</v>
      </c>
      <c r="G9996" s="1">
        <v>3.3615098875250382E-4</v>
      </c>
    </row>
    <row r="9997" spans="1:7">
      <c r="A9997">
        <v>312</v>
      </c>
      <c r="B9997">
        <v>169</v>
      </c>
      <c r="C9997" s="1">
        <f>(Tabela1[[#This Row],[x]]-H$3)*(Tabela1[[#This Row],[x]]-H$3) +(Tabela1[[#This Row],[y]]-H$4)*(Tabela1[[#This Row],[y]]-H$4)</f>
        <v>13505</v>
      </c>
      <c r="D9997" s="1">
        <f>IF(Tabela1[[#This Row],[promien]]&lt;40000,1,0)</f>
        <v>1</v>
      </c>
      <c r="E9997" s="1">
        <f>IF(Tabela1[[#This Row],[promien]]=40000,1,0)</f>
        <v>0</v>
      </c>
      <c r="F9997" s="1">
        <v>3.1413424027208161</v>
      </c>
      <c r="G9997" s="1">
        <v>2.5025086897700888E-4</v>
      </c>
    </row>
    <row r="9998" spans="1:7">
      <c r="A9998">
        <v>116</v>
      </c>
      <c r="B9998">
        <v>11</v>
      </c>
      <c r="C9998" s="1">
        <f>(Tabela1[[#This Row],[x]]-H$3)*(Tabela1[[#This Row],[x]]-H$3) +(Tabela1[[#This Row],[y]]-H$4)*(Tabela1[[#This Row],[y]]-H$4)</f>
        <v>42777</v>
      </c>
      <c r="D9998" s="1">
        <f>IF(Tabela1[[#This Row],[promien]]&lt;40000,1,0)</f>
        <v>0</v>
      </c>
      <c r="E9998" s="1">
        <f>IF(Tabela1[[#This Row],[promien]]=40000,1,0)</f>
        <v>0</v>
      </c>
      <c r="F9998" s="1">
        <v>3.1410282056411281</v>
      </c>
      <c r="G9998" s="1">
        <v>5.6444794866505887E-4</v>
      </c>
    </row>
    <row r="9999" spans="1:7">
      <c r="A9999">
        <v>377</v>
      </c>
      <c r="B9999">
        <v>127</v>
      </c>
      <c r="C9999" s="1">
        <f>(Tabela1[[#This Row],[x]]-H$3)*(Tabela1[[#This Row],[x]]-H$3) +(Tabela1[[#This Row],[y]]-H$4)*(Tabela1[[#This Row],[y]]-H$4)</f>
        <v>36658</v>
      </c>
      <c r="D9999" s="1">
        <f>IF(Tabela1[[#This Row],[promien]]&lt;40000,1,0)</f>
        <v>1</v>
      </c>
      <c r="E9999" s="1">
        <f>IF(Tabela1[[#This Row],[promien]]=40000,1,0)</f>
        <v>0</v>
      </c>
      <c r="F9999" s="1">
        <v>3.1411141114111412</v>
      </c>
      <c r="G9999" s="1">
        <v>4.7854217865195281E-4</v>
      </c>
    </row>
    <row r="10000" spans="1:7">
      <c r="A10000">
        <v>193</v>
      </c>
      <c r="B10000">
        <v>45</v>
      </c>
      <c r="C10000" s="1">
        <f>(Tabela1[[#This Row],[x]]-H$3)*(Tabela1[[#This Row],[x]]-H$3) +(Tabela1[[#This Row],[y]]-H$4)*(Tabela1[[#This Row],[y]]-H$4)</f>
        <v>24074</v>
      </c>
      <c r="D10000" s="1">
        <f>IF(Tabela1[[#This Row],[promien]]&lt;40000,1,0)</f>
        <v>1</v>
      </c>
      <c r="E10000" s="1">
        <f>IF(Tabela1[[#This Row],[promien]]=40000,1,0)</f>
        <v>0</v>
      </c>
      <c r="F10000" s="1">
        <v>3.1412</v>
      </c>
      <c r="G10000" s="1">
        <v>3.9265358979312381E-4</v>
      </c>
    </row>
    <row r="10001" spans="1:7">
      <c r="A10001">
        <v>208</v>
      </c>
      <c r="B10001">
        <v>330</v>
      </c>
      <c r="C10001" s="1">
        <f>(Tabela1[[#This Row],[x]]-H$3)*(Tabela1[[#This Row],[x]]-H$3) +(Tabela1[[#This Row],[y]]-H$4)*(Tabela1[[#This Row],[y]]-H$4)</f>
        <v>16964</v>
      </c>
      <c r="D10001" s="1">
        <f>IF(Tabela1[[#This Row],[promien]]&lt;40000,1,0)</f>
        <v>1</v>
      </c>
      <c r="E10001" s="1">
        <f>IF(Tabela1[[#This Row],[promien]]=40000,1,0)</f>
        <v>0</v>
      </c>
      <c r="F10001" s="1">
        <v>3.1412858714128586</v>
      </c>
      <c r="G10001" s="1">
        <v>3.0678217693447252E-4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A1"/>
  <sheetViews>
    <sheetView workbookViewId="0"/>
  </sheetViews>
  <sheetFormatPr defaultRowHeight="15"/>
  <sheetData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/>
  <dimension ref="A1"/>
  <sheetViews>
    <sheetView workbookViewId="0"/>
  </sheetViews>
  <sheetFormatPr defaultRowHeight="15"/>
  <sheetData/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Arkusz1</vt:lpstr>
      <vt:lpstr>Arkusz2</vt:lpstr>
      <vt:lpstr>Arkusz3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2006-09-22T13:37:51Z</dcterms:created>
  <dcterms:modified xsi:type="dcterms:W3CDTF">2022-04-18T23:08:49Z</dcterms:modified>
</cp:coreProperties>
</file>