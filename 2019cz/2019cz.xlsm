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6" yWindow="96" windowWidth="22008" windowHeight="7392" activeTab="1"/>
  </bookViews>
  <sheets>
    <sheet name="Arkusz1" sheetId="1" r:id="rId1"/>
    <sheet name="Arkusz2" sheetId="2" r:id="rId2"/>
    <sheet name="Arkusz3" sheetId="3" r:id="rId3"/>
  </sheets>
  <calcPr calcId="124519"/>
  <pivotCaches>
    <pivotCache cacheId="17" r:id="rId4"/>
  </pivotCaches>
</workbook>
</file>

<file path=xl/calcChain.xml><?xml version="1.0" encoding="utf-8"?>
<calcChain xmlns="http://schemas.openxmlformats.org/spreadsheetml/2006/main">
  <c r="K2" i="1"/>
  <c r="N5" s="1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M5"/>
  <c r="M7"/>
  <c r="M6"/>
  <c r="J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D2" i="2"/>
</calcChain>
</file>

<file path=xl/sharedStrings.xml><?xml version="1.0" encoding="utf-8"?>
<sst xmlns="http://schemas.openxmlformats.org/spreadsheetml/2006/main" count="17" uniqueCount="17">
  <si>
    <t>temperatura_srednia</t>
  </si>
  <si>
    <t>opady</t>
  </si>
  <si>
    <t>bilans</t>
  </si>
  <si>
    <t>dolewanie</t>
  </si>
  <si>
    <t>odlewanie</t>
  </si>
  <si>
    <t>podlewanie</t>
  </si>
  <si>
    <t>case</t>
  </si>
  <si>
    <t>parowanie</t>
  </si>
  <si>
    <t>data</t>
  </si>
  <si>
    <t>a</t>
  </si>
  <si>
    <t>b</t>
  </si>
  <si>
    <t>Etykiety wierszy</t>
  </si>
  <si>
    <t>Suma końcowa</t>
  </si>
  <si>
    <t>miesiac</t>
  </si>
  <si>
    <t>Suma z dolewanie</t>
  </si>
  <si>
    <t>0.6.05.2015</t>
  </si>
  <si>
    <t>1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</si>
</sst>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7" formatCode="_-* #,##0\ _z_ł_-;\-* #,##0\ _z_ł_-;_-* &quot;-&quot;??\ _z_ł_-;_-@_-"/>
    <numFmt numFmtId="169" formatCode="#,##0.00\ &quot;zł&quot;"/>
  </numFmts>
  <fonts count="2"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/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167" fontId="0" fillId="0" borderId="0" xfId="1" applyNumberFormat="1" applyFont="1"/>
    <xf numFmtId="169" fontId="0" fillId="0" borderId="0" xfId="0" applyNumberFormat="1"/>
    <xf numFmtId="167" fontId="0" fillId="0" borderId="0" xfId="0" applyNumberFormat="1"/>
  </cellXfs>
  <cellStyles count="2">
    <cellStyle name="Dziesiętny" xfId="1" builtinId="3"/>
    <cellStyle name="Normalny" xfId="0" builtinId="0"/>
  </cellStyles>
  <dxfs count="28">
    <dxf>
      <numFmt numFmtId="167" formatCode="_-* #,##0\ _z_ł_-;\-* #,##0\ _z_ł_-;_-* &quot;-&quot;??\ _z_ł_-;_-@_-"/>
    </dxf>
    <dxf>
      <numFmt numFmtId="167" formatCode="_-* #,##0\ _z_ł_-;\-* #,##0\ _z_ł_-;_-* &quot;-&quot;??\ _z_ł_-;_-@_-"/>
    </dxf>
    <dxf>
      <numFmt numFmtId="167" formatCode="_-* #,##0\ _z_ł_-;\-* #,##0\ _z_ł_-;_-* &quot;-&quot;??\ _z_ł_-;_-@_-"/>
    </dxf>
    <dxf>
      <numFmt numFmtId="167" formatCode="_-* #,##0\ _z_ł_-;\-* #,##0\ _z_ł_-;_-* &quot;-&quot;??\ _z_ł_-;_-@_-"/>
    </dxf>
    <dxf>
      <numFmt numFmtId="167" formatCode="_-* #,##0\ _z_ł_-;\-* #,##0\ _z_ł_-;_-* &quot;-&quot;??\ _z_ł_-;_-@_-"/>
    </dxf>
    <dxf>
      <numFmt numFmtId="167" formatCode="_-* #,##0\ _z_ł_-;\-* #,##0\ _z_ł_-;_-* &quot;-&quot;??\ _z_ł_-;_-@_-"/>
    </dxf>
    <dxf>
      <numFmt numFmtId="167" formatCode="_-* #,##0\ _z_ł_-;\-* #,##0\ _z_ł_-;_-* &quot;-&quot;??\ _z_ł_-;_-@_-"/>
    </dxf>
    <dxf>
      <numFmt numFmtId="167" formatCode="_-* #,##0\ _z_ł_-;\-* #,##0\ _z_ł_-;_-* &quot;-&quot;??\ _z_ł_-;_-@_-"/>
    </dxf>
    <dxf>
      <numFmt numFmtId="167" formatCode="_-* #,##0\ _z_ł_-;\-* #,##0\ _z_ł_-;_-* &quot;-&quot;??\ _z_ł_-;_-@_-"/>
    </dxf>
    <dxf>
      <numFmt numFmtId="167" formatCode="_-* #,##0\ _z_ł_-;\-* #,##0\ _z_ł_-;_-* &quot;-&quot;??\ _z_ł_-;_-@_-"/>
    </dxf>
    <dxf>
      <numFmt numFmtId="167" formatCode="_-* #,##0\ _z_ł_-;\-* #,##0\ _z_ł_-;_-* &quot;-&quot;??\ _z_ł_-;_-@_-"/>
    </dxf>
    <dxf>
      <numFmt numFmtId="167" formatCode="_-* #,##0\ _z_ł_-;\-* #,##0\ _z_ł_-;_-* &quot;-&quot;??\ _z_ł_-;_-@_-"/>
    </dxf>
    <dxf>
      <numFmt numFmtId="0" formatCode="General"/>
    </dxf>
    <dxf>
      <numFmt numFmtId="166" formatCode="_-* #,##0.0\ _z_ł_-;\-* #,##0.0\ _z_ł_-;_-* &quot;-&quot;??\ _z_ł_-;_-@_-"/>
    </dxf>
    <dxf>
      <numFmt numFmtId="167" formatCode="_-* #,##0\ _z_ł_-;\-* #,##0\ _z_ł_-;_-* &quot;-&quot;??\ _z_ł_-;_-@_-"/>
    </dxf>
    <dxf>
      <numFmt numFmtId="166" formatCode="_-* #,##0.0\ _z_ł_-;\-* #,##0.0\ _z_ł_-;_-* &quot;-&quot;??\ _z_ł_-;_-@_-"/>
    </dxf>
    <dxf>
      <numFmt numFmtId="167" formatCode="_-* #,##0\ _z_ł_-;\-* #,##0\ _z_ł_-;_-* &quot;-&quot;??\ _z_ł_-;_-@_-"/>
    </dxf>
    <dxf>
      <numFmt numFmtId="166" formatCode="_-* #,##0.0\ _z_ł_-;\-* #,##0.0\ _z_ł_-;_-* &quot;-&quot;??\ _z_ł_-;_-@_-"/>
    </dxf>
    <dxf>
      <numFmt numFmtId="166" formatCode="_-* #,##0.0\ _z_ł_-;\-* #,##0.0\ _z_ł_-;_-* &quot;-&quot;??\ _z_ł_-;_-@_-"/>
    </dxf>
    <dxf>
      <numFmt numFmtId="35" formatCode="_-* #,##0.00\ _z_ł_-;\-* #,##0.00\ _z_ł_-;_-* &quot;-&quot;??\ _z_ł_-;_-@_-"/>
    </dxf>
    <dxf>
      <numFmt numFmtId="35" formatCode="_-* #,##0.00\ _z_ł_-;\-* #,##0.00\ _z_ł_-;_-* &quot;-&quot;??\ _z_ł_-;_-@_-"/>
    </dxf>
    <dxf>
      <numFmt numFmtId="35" formatCode="_-* #,##0.00\ _z_ł_-;\-* #,##0.00\ _z_ł_-;_-* &quot;-&quot;??\ _z_ł_-;_-@_-"/>
    </dxf>
    <dxf>
      <numFmt numFmtId="35" formatCode="_-* #,##0.00\ _z_ł_-;\-* #,##0.00\ _z_ł_-;_-* &quot;-&quot;??\ _z_ł_-;_-@_-"/>
    </dxf>
    <dxf>
      <numFmt numFmtId="165" formatCode="_-* #,##0.000\ _z_ł_-;\-* #,##0.000\ _z_ł_-;_-* &quot;-&quot;??\ _z_ł_-;_-@_-"/>
    </dxf>
    <dxf>
      <numFmt numFmtId="165" formatCode="_-* #,##0.000\ _z_ł_-;\-* #,##0.000\ _z_ł_-;_-* &quot;-&quot;??\ _z_ł_-;_-@_-"/>
    </dxf>
    <dxf>
      <numFmt numFmtId="165" formatCode="_-* #,##0.000\ _z_ł_-;\-* #,##0.000\ _z_ł_-;_-* &quot;-&quot;??\ _z_ł_-;_-@_-"/>
    </dxf>
    <dxf>
      <numFmt numFmtId="165" formatCode="_-* #,##0.000\ _z_ł_-;\-* #,##0.000\ _z_ł_-;_-* &quot;-&quot;??\ _z_ł_-;_-@_-"/>
    </dxf>
    <dxf>
      <numFmt numFmtId="0" formatCode="General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Arkusz1!$C$1</c:f>
              <c:strCache>
                <c:ptCount val="1"/>
                <c:pt idx="0">
                  <c:v>bilans</c:v>
                </c:pt>
              </c:strCache>
            </c:strRef>
          </c:tx>
          <c:marker>
            <c:symbol val="none"/>
          </c:marker>
          <c:dPt>
            <c:idx val="146"/>
            <c:marker>
              <c:symbol val="none"/>
            </c:marker>
          </c:dPt>
          <c:val>
            <c:numRef>
              <c:f>Arkusz1!$C$2:$C$184</c:f>
              <c:numCache>
                <c:formatCode>General</c:formatCode>
                <c:ptCount val="183"/>
                <c:pt idx="0">
                  <c:v>25000</c:v>
                </c:pt>
                <c:pt idx="1">
                  <c:v>25000</c:v>
                </c:pt>
                <c:pt idx="2">
                  <c:v>25000</c:v>
                </c:pt>
                <c:pt idx="3">
                  <c:v>25000</c:v>
                </c:pt>
                <c:pt idx="4">
                  <c:v>24961</c:v>
                </c:pt>
                <c:pt idx="5">
                  <c:v>24901</c:v>
                </c:pt>
                <c:pt idx="6">
                  <c:v>25000</c:v>
                </c:pt>
                <c:pt idx="7">
                  <c:v>25000</c:v>
                </c:pt>
                <c:pt idx="8">
                  <c:v>25000</c:v>
                </c:pt>
                <c:pt idx="9">
                  <c:v>25000</c:v>
                </c:pt>
                <c:pt idx="10">
                  <c:v>25000</c:v>
                </c:pt>
                <c:pt idx="11">
                  <c:v>25000</c:v>
                </c:pt>
                <c:pt idx="12">
                  <c:v>25000</c:v>
                </c:pt>
                <c:pt idx="13">
                  <c:v>24889</c:v>
                </c:pt>
                <c:pt idx="14">
                  <c:v>24497</c:v>
                </c:pt>
                <c:pt idx="15">
                  <c:v>24264</c:v>
                </c:pt>
                <c:pt idx="16">
                  <c:v>24157</c:v>
                </c:pt>
                <c:pt idx="17">
                  <c:v>24099</c:v>
                </c:pt>
                <c:pt idx="18">
                  <c:v>23965</c:v>
                </c:pt>
                <c:pt idx="19">
                  <c:v>24665</c:v>
                </c:pt>
                <c:pt idx="20">
                  <c:v>25000</c:v>
                </c:pt>
                <c:pt idx="21">
                  <c:v>25000</c:v>
                </c:pt>
                <c:pt idx="22">
                  <c:v>25000</c:v>
                </c:pt>
                <c:pt idx="23">
                  <c:v>25000</c:v>
                </c:pt>
                <c:pt idx="24">
                  <c:v>25000</c:v>
                </c:pt>
                <c:pt idx="25">
                  <c:v>12520</c:v>
                </c:pt>
                <c:pt idx="26">
                  <c:v>13220</c:v>
                </c:pt>
                <c:pt idx="27">
                  <c:v>14620</c:v>
                </c:pt>
                <c:pt idx="28">
                  <c:v>14538</c:v>
                </c:pt>
                <c:pt idx="29">
                  <c:v>14400</c:v>
                </c:pt>
                <c:pt idx="30">
                  <c:v>17200</c:v>
                </c:pt>
                <c:pt idx="31">
                  <c:v>20700</c:v>
                </c:pt>
                <c:pt idx="32">
                  <c:v>23500</c:v>
                </c:pt>
                <c:pt idx="33">
                  <c:v>23780</c:v>
                </c:pt>
                <c:pt idx="34">
                  <c:v>12060</c:v>
                </c:pt>
                <c:pt idx="35">
                  <c:v>13000</c:v>
                </c:pt>
                <c:pt idx="36">
                  <c:v>12795</c:v>
                </c:pt>
                <c:pt idx="37">
                  <c:v>12673</c:v>
                </c:pt>
                <c:pt idx="38">
                  <c:v>12883</c:v>
                </c:pt>
                <c:pt idx="39">
                  <c:v>12953</c:v>
                </c:pt>
                <c:pt idx="40">
                  <c:v>12811</c:v>
                </c:pt>
                <c:pt idx="41">
                  <c:v>14911</c:v>
                </c:pt>
                <c:pt idx="42">
                  <c:v>14725</c:v>
                </c:pt>
                <c:pt idx="43">
                  <c:v>14585</c:v>
                </c:pt>
                <c:pt idx="44">
                  <c:v>14403</c:v>
                </c:pt>
                <c:pt idx="45">
                  <c:v>15663</c:v>
                </c:pt>
                <c:pt idx="46">
                  <c:v>17623</c:v>
                </c:pt>
                <c:pt idx="47">
                  <c:v>18953</c:v>
                </c:pt>
                <c:pt idx="48">
                  <c:v>20493</c:v>
                </c:pt>
                <c:pt idx="49">
                  <c:v>22103</c:v>
                </c:pt>
                <c:pt idx="50">
                  <c:v>25000</c:v>
                </c:pt>
                <c:pt idx="51">
                  <c:v>25000</c:v>
                </c:pt>
                <c:pt idx="52">
                  <c:v>25000</c:v>
                </c:pt>
                <c:pt idx="53">
                  <c:v>25000</c:v>
                </c:pt>
                <c:pt idx="54">
                  <c:v>24564</c:v>
                </c:pt>
                <c:pt idx="55">
                  <c:v>24177</c:v>
                </c:pt>
                <c:pt idx="56">
                  <c:v>23947</c:v>
                </c:pt>
                <c:pt idx="57">
                  <c:v>24017</c:v>
                </c:pt>
                <c:pt idx="58">
                  <c:v>23639</c:v>
                </c:pt>
                <c:pt idx="59">
                  <c:v>23306</c:v>
                </c:pt>
                <c:pt idx="60">
                  <c:v>23015</c:v>
                </c:pt>
                <c:pt idx="61">
                  <c:v>25000</c:v>
                </c:pt>
                <c:pt idx="62">
                  <c:v>25000</c:v>
                </c:pt>
                <c:pt idx="63">
                  <c:v>12226</c:v>
                </c:pt>
                <c:pt idx="64">
                  <c:v>12012</c:v>
                </c:pt>
                <c:pt idx="65">
                  <c:v>13000</c:v>
                </c:pt>
                <c:pt idx="66">
                  <c:v>597</c:v>
                </c:pt>
                <c:pt idx="67">
                  <c:v>6197</c:v>
                </c:pt>
                <c:pt idx="68">
                  <c:v>10327</c:v>
                </c:pt>
                <c:pt idx="69">
                  <c:v>13827</c:v>
                </c:pt>
                <c:pt idx="70">
                  <c:v>1561</c:v>
                </c:pt>
                <c:pt idx="71">
                  <c:v>13000</c:v>
                </c:pt>
                <c:pt idx="72">
                  <c:v>16500</c:v>
                </c:pt>
                <c:pt idx="73">
                  <c:v>17200</c:v>
                </c:pt>
                <c:pt idx="74">
                  <c:v>4667</c:v>
                </c:pt>
                <c:pt idx="75">
                  <c:v>13000</c:v>
                </c:pt>
                <c:pt idx="76">
                  <c:v>12837</c:v>
                </c:pt>
                <c:pt idx="77">
                  <c:v>12635</c:v>
                </c:pt>
                <c:pt idx="78">
                  <c:v>845</c:v>
                </c:pt>
                <c:pt idx="79">
                  <c:v>2945</c:v>
                </c:pt>
                <c:pt idx="80">
                  <c:v>4345</c:v>
                </c:pt>
                <c:pt idx="81">
                  <c:v>4290</c:v>
                </c:pt>
                <c:pt idx="82">
                  <c:v>6390</c:v>
                </c:pt>
                <c:pt idx="83">
                  <c:v>8490</c:v>
                </c:pt>
                <c:pt idx="84">
                  <c:v>8384</c:v>
                </c:pt>
                <c:pt idx="85">
                  <c:v>13000</c:v>
                </c:pt>
                <c:pt idx="86">
                  <c:v>17900</c:v>
                </c:pt>
                <c:pt idx="87">
                  <c:v>22100</c:v>
                </c:pt>
                <c:pt idx="88">
                  <c:v>9675</c:v>
                </c:pt>
                <c:pt idx="89">
                  <c:v>13000</c:v>
                </c:pt>
                <c:pt idx="90">
                  <c:v>677</c:v>
                </c:pt>
                <c:pt idx="91">
                  <c:v>13000</c:v>
                </c:pt>
                <c:pt idx="92">
                  <c:v>651</c:v>
                </c:pt>
                <c:pt idx="93">
                  <c:v>13000</c:v>
                </c:pt>
                <c:pt idx="94">
                  <c:v>512</c:v>
                </c:pt>
                <c:pt idx="95">
                  <c:v>13000</c:v>
                </c:pt>
                <c:pt idx="96">
                  <c:v>597</c:v>
                </c:pt>
                <c:pt idx="97">
                  <c:v>13197</c:v>
                </c:pt>
                <c:pt idx="98">
                  <c:v>15297</c:v>
                </c:pt>
                <c:pt idx="99">
                  <c:v>3437</c:v>
                </c:pt>
                <c:pt idx="100">
                  <c:v>11977</c:v>
                </c:pt>
                <c:pt idx="101">
                  <c:v>13000</c:v>
                </c:pt>
                <c:pt idx="102">
                  <c:v>14400</c:v>
                </c:pt>
                <c:pt idx="103">
                  <c:v>22800</c:v>
                </c:pt>
                <c:pt idx="104">
                  <c:v>10277</c:v>
                </c:pt>
                <c:pt idx="105">
                  <c:v>13000</c:v>
                </c:pt>
                <c:pt idx="106">
                  <c:v>750</c:v>
                </c:pt>
                <c:pt idx="107">
                  <c:v>13000</c:v>
                </c:pt>
                <c:pt idx="108">
                  <c:v>482</c:v>
                </c:pt>
                <c:pt idx="109">
                  <c:v>13082</c:v>
                </c:pt>
                <c:pt idx="110">
                  <c:v>756</c:v>
                </c:pt>
                <c:pt idx="111">
                  <c:v>4956</c:v>
                </c:pt>
                <c:pt idx="112">
                  <c:v>13000</c:v>
                </c:pt>
                <c:pt idx="113">
                  <c:v>651</c:v>
                </c:pt>
                <c:pt idx="114">
                  <c:v>13000</c:v>
                </c:pt>
                <c:pt idx="115">
                  <c:v>1070</c:v>
                </c:pt>
                <c:pt idx="116">
                  <c:v>13000</c:v>
                </c:pt>
                <c:pt idx="117">
                  <c:v>1070</c:v>
                </c:pt>
                <c:pt idx="118">
                  <c:v>13000</c:v>
                </c:pt>
                <c:pt idx="119">
                  <c:v>702</c:v>
                </c:pt>
                <c:pt idx="120">
                  <c:v>690</c:v>
                </c:pt>
                <c:pt idx="121">
                  <c:v>679</c:v>
                </c:pt>
                <c:pt idx="122">
                  <c:v>13000</c:v>
                </c:pt>
                <c:pt idx="123">
                  <c:v>597</c:v>
                </c:pt>
                <c:pt idx="124">
                  <c:v>13000</c:v>
                </c:pt>
                <c:pt idx="125">
                  <c:v>512</c:v>
                </c:pt>
                <c:pt idx="126">
                  <c:v>13000</c:v>
                </c:pt>
                <c:pt idx="127">
                  <c:v>541</c:v>
                </c:pt>
                <c:pt idx="128">
                  <c:v>13000</c:v>
                </c:pt>
                <c:pt idx="129">
                  <c:v>422</c:v>
                </c:pt>
                <c:pt idx="130">
                  <c:v>13000</c:v>
                </c:pt>
                <c:pt idx="131">
                  <c:v>541</c:v>
                </c:pt>
                <c:pt idx="132">
                  <c:v>13000</c:v>
                </c:pt>
                <c:pt idx="133">
                  <c:v>13420</c:v>
                </c:pt>
                <c:pt idx="134">
                  <c:v>1000</c:v>
                </c:pt>
                <c:pt idx="135">
                  <c:v>1000</c:v>
                </c:pt>
                <c:pt idx="136">
                  <c:v>9400</c:v>
                </c:pt>
                <c:pt idx="137">
                  <c:v>13000</c:v>
                </c:pt>
                <c:pt idx="138">
                  <c:v>1140</c:v>
                </c:pt>
                <c:pt idx="139">
                  <c:v>13000</c:v>
                </c:pt>
                <c:pt idx="140">
                  <c:v>677</c:v>
                </c:pt>
                <c:pt idx="141">
                  <c:v>13000</c:v>
                </c:pt>
                <c:pt idx="142">
                  <c:v>702</c:v>
                </c:pt>
                <c:pt idx="143">
                  <c:v>13000</c:v>
                </c:pt>
                <c:pt idx="144">
                  <c:v>677</c:v>
                </c:pt>
                <c:pt idx="145">
                  <c:v>4527</c:v>
                </c:pt>
                <c:pt idx="146">
                  <c:v>17127</c:v>
                </c:pt>
                <c:pt idx="147">
                  <c:v>25000</c:v>
                </c:pt>
                <c:pt idx="148">
                  <c:v>12172</c:v>
                </c:pt>
                <c:pt idx="149">
                  <c:v>242</c:v>
                </c:pt>
                <c:pt idx="150">
                  <c:v>10042</c:v>
                </c:pt>
                <c:pt idx="151">
                  <c:v>13000</c:v>
                </c:pt>
                <c:pt idx="152">
                  <c:v>482</c:v>
                </c:pt>
                <c:pt idx="153">
                  <c:v>1882</c:v>
                </c:pt>
                <c:pt idx="154">
                  <c:v>13000</c:v>
                </c:pt>
                <c:pt idx="155">
                  <c:v>726</c:v>
                </c:pt>
                <c:pt idx="156">
                  <c:v>13000</c:v>
                </c:pt>
                <c:pt idx="157">
                  <c:v>12773</c:v>
                </c:pt>
                <c:pt idx="158">
                  <c:v>15573</c:v>
                </c:pt>
                <c:pt idx="159">
                  <c:v>15354</c:v>
                </c:pt>
                <c:pt idx="160">
                  <c:v>18154</c:v>
                </c:pt>
                <c:pt idx="161">
                  <c:v>17955</c:v>
                </c:pt>
                <c:pt idx="162">
                  <c:v>17731</c:v>
                </c:pt>
                <c:pt idx="163">
                  <c:v>5801</c:v>
                </c:pt>
                <c:pt idx="164">
                  <c:v>13000</c:v>
                </c:pt>
                <c:pt idx="165">
                  <c:v>702</c:v>
                </c:pt>
                <c:pt idx="166">
                  <c:v>2802</c:v>
                </c:pt>
                <c:pt idx="167">
                  <c:v>13000</c:v>
                </c:pt>
                <c:pt idx="168">
                  <c:v>702</c:v>
                </c:pt>
                <c:pt idx="169">
                  <c:v>13000</c:v>
                </c:pt>
                <c:pt idx="170">
                  <c:v>750</c:v>
                </c:pt>
                <c:pt idx="171">
                  <c:v>736</c:v>
                </c:pt>
                <c:pt idx="172">
                  <c:v>2136</c:v>
                </c:pt>
                <c:pt idx="173">
                  <c:v>2109</c:v>
                </c:pt>
                <c:pt idx="174">
                  <c:v>2079</c:v>
                </c:pt>
                <c:pt idx="175">
                  <c:v>2042</c:v>
                </c:pt>
                <c:pt idx="176">
                  <c:v>2006</c:v>
                </c:pt>
                <c:pt idx="177">
                  <c:v>1974</c:v>
                </c:pt>
                <c:pt idx="178">
                  <c:v>1949</c:v>
                </c:pt>
                <c:pt idx="179">
                  <c:v>1927</c:v>
                </c:pt>
                <c:pt idx="180">
                  <c:v>1908</c:v>
                </c:pt>
                <c:pt idx="181">
                  <c:v>1889</c:v>
                </c:pt>
                <c:pt idx="182">
                  <c:v>1871</c:v>
                </c:pt>
              </c:numCache>
            </c:numRef>
          </c:val>
        </c:ser>
        <c:dLbls/>
        <c:marker val="1"/>
        <c:axId val="118432896"/>
        <c:axId val="118434432"/>
      </c:lineChart>
      <c:catAx>
        <c:axId val="118432896"/>
        <c:scaling>
          <c:orientation val="minMax"/>
        </c:scaling>
        <c:axPos val="b"/>
        <c:majorTickMark val="none"/>
        <c:tickLblPos val="nextTo"/>
        <c:crossAx val="118434432"/>
        <c:crosses val="autoZero"/>
        <c:auto val="1"/>
        <c:lblAlgn val="ctr"/>
        <c:lblOffset val="100"/>
      </c:catAx>
      <c:valAx>
        <c:axId val="118434432"/>
        <c:scaling>
          <c:orientation val="minMax"/>
        </c:scaling>
        <c:axPos val="l"/>
        <c:majorGridlines/>
        <c:title>
          <c:layout/>
        </c:title>
        <c:numFmt formatCode="General" sourceLinked="1"/>
        <c:majorTickMark val="none"/>
        <c:tickLblPos val="nextTo"/>
        <c:crossAx val="118432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1219307097208202"/>
          <c:y val="0.19392529977870412"/>
          <c:w val="7.6034308779011101E-2"/>
          <c:h val="0.73868110236220474"/>
        </c:manualLayout>
      </c:layout>
      <c:txPr>
        <a:bodyPr/>
        <a:lstStyle/>
        <a:p>
          <a:pPr rtl="0">
            <a:defRPr/>
          </a:pPr>
          <a:endParaRPr lang="pl-PL"/>
        </a:p>
      </c:txPr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198120</xdr:colOff>
      <xdr:row>1</xdr:row>
      <xdr:rowOff>160020</xdr:rowOff>
    </xdr:from>
    <xdr:to>
      <xdr:col>12</xdr:col>
      <xdr:colOff>373380</xdr:colOff>
      <xdr:row>19</xdr:row>
      <xdr:rowOff>114300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Zuzanna Gomuła" refreshedDate="44674.832512847221" createdVersion="3" refreshedVersion="3" minRefreshableVersion="3" recordCount="183">
  <cacheSource type="worksheet">
    <worksheetSource name="Tabela1"/>
  </cacheSource>
  <cacheFields count="11">
    <cacheField name="temperatura_srednia" numFmtId="0">
      <sharedItems containsSemiMixedTypes="0" containsString="0" containsNumber="1" containsInteger="1" minValue="2" maxValue="33"/>
    </cacheField>
    <cacheField name="opady" numFmtId="0">
      <sharedItems containsSemiMixedTypes="0" containsString="0" containsNumber="1" minValue="0" maxValue="18"/>
    </cacheField>
    <cacheField name="bilans" numFmtId="0">
      <sharedItems containsSemiMixedTypes="0" containsString="0" containsNumber="1" containsInteger="1" minValue="242" maxValue="25000"/>
    </cacheField>
    <cacheField name="dolewanie" numFmtId="0">
      <sharedItems containsString="0" containsBlank="1" containsNumber="1" containsInteger="1" minValue="11580" maxValue="24578" count="29">
        <m/>
        <n v="12940"/>
        <n v="12988"/>
        <n v="23439"/>
        <n v="20333"/>
        <n v="16616"/>
        <n v="15325"/>
        <n v="24323"/>
        <n v="24349"/>
        <n v="24488"/>
        <n v="13023"/>
        <n v="14723"/>
        <n v="24250"/>
        <n v="20044"/>
        <n v="23930"/>
        <n v="24321"/>
        <n v="24403"/>
        <n v="24459"/>
        <n v="24578"/>
        <n v="11580"/>
        <n v="24000"/>
        <n v="15600"/>
        <n v="23860"/>
        <n v="24298"/>
        <n v="14958"/>
        <n v="23118"/>
        <n v="24274"/>
        <n v="19199"/>
        <n v="22198"/>
      </sharedItems>
    </cacheField>
    <cacheField name="odlewanie" numFmtId="0">
      <sharedItems containsString="0" containsBlank="1" containsNumber="1" containsInteger="1" minValue="527" maxValue="4200"/>
    </cacheField>
    <cacheField name="podlewanie" numFmtId="0">
      <sharedItems containsString="0" containsBlank="1" containsNumber="1" containsInteger="1" minValue="12000" maxValue="24000"/>
    </cacheField>
    <cacheField name="case" numFmtId="0">
      <sharedItems containsSemiMixedTypes="0" containsString="0" containsNumber="1" containsInteger="1" minValue="1" maxValue="3"/>
    </cacheField>
    <cacheField name="parowanie" numFmtId="0">
      <sharedItems containsString="0" containsBlank="1" containsNumber="1" containsInteger="1" minValue="11" maxValue="828"/>
    </cacheField>
    <cacheField name="data" numFmtId="14">
      <sharedItems containsSemiMixedTypes="0" containsNonDate="0" containsDate="1" containsString="0" minDate="2015-04-01T00:00:00" maxDate="2015-10-01T00:00:00"/>
    </cacheField>
    <cacheField name="miesiac" numFmtId="0">
      <sharedItems containsSemiMixedTypes="0" containsString="0" containsNumber="1" containsInteger="1" minValue="4" maxValue="9" count="6">
        <n v="4"/>
        <n v="5"/>
        <n v="6"/>
        <n v="7"/>
        <n v="8"/>
        <n v="9"/>
      </sharedItems>
    </cacheField>
    <cacheField name="1" numFmtId="0">
      <sharedItems containsSemiMixedTypes="0" containsString="0" containsNumber="1" containsInteger="1" minValue="0" maxValue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3">
  <r>
    <n v="4"/>
    <n v="2"/>
    <n v="25000"/>
    <x v="0"/>
    <n v="1400"/>
    <m/>
    <n v="1"/>
    <m/>
    <d v="2015-04-01T00:00:00"/>
    <x v="0"/>
    <n v="1"/>
  </r>
  <r>
    <n v="2"/>
    <n v="6"/>
    <n v="25000"/>
    <x v="0"/>
    <n v="4200"/>
    <m/>
    <n v="1"/>
    <m/>
    <d v="2015-04-02T00:00:00"/>
    <x v="0"/>
    <n v="1"/>
  </r>
  <r>
    <n v="4"/>
    <n v="1"/>
    <n v="25000"/>
    <x v="0"/>
    <n v="700"/>
    <m/>
    <n v="1"/>
    <m/>
    <d v="2015-04-03T00:00:00"/>
    <x v="0"/>
    <n v="1"/>
  </r>
  <r>
    <n v="4"/>
    <n v="0.8"/>
    <n v="25000"/>
    <x v="0"/>
    <n v="560"/>
    <m/>
    <n v="1"/>
    <m/>
    <d v="2015-04-04T00:00:00"/>
    <x v="0"/>
    <n v="1"/>
  </r>
  <r>
    <n v="3"/>
    <n v="0"/>
    <n v="24961"/>
    <x v="0"/>
    <m/>
    <m/>
    <n v="1"/>
    <n v="39"/>
    <d v="2015-04-05T00:00:00"/>
    <x v="0"/>
    <n v="1"/>
  </r>
  <r>
    <n v="4"/>
    <n v="0"/>
    <n v="24901"/>
    <x v="0"/>
    <m/>
    <m/>
    <n v="1"/>
    <n v="60"/>
    <d v="2015-04-06T00:00:00"/>
    <x v="0"/>
    <n v="1"/>
  </r>
  <r>
    <n v="4"/>
    <n v="1"/>
    <n v="25000"/>
    <x v="0"/>
    <n v="601"/>
    <m/>
    <n v="1"/>
    <m/>
    <d v="2015-04-07T00:00:00"/>
    <x v="0"/>
    <n v="1"/>
  </r>
  <r>
    <n v="8"/>
    <n v="1"/>
    <n v="25000"/>
    <x v="0"/>
    <n v="700"/>
    <m/>
    <n v="1"/>
    <m/>
    <d v="2015-04-08T00:00:00"/>
    <x v="0"/>
    <n v="1"/>
  </r>
  <r>
    <n v="6"/>
    <n v="2"/>
    <n v="25000"/>
    <x v="0"/>
    <n v="1400"/>
    <m/>
    <n v="1"/>
    <m/>
    <d v="2015-04-09T00:00:00"/>
    <x v="0"/>
    <n v="1"/>
  </r>
  <r>
    <n v="9"/>
    <n v="2"/>
    <n v="25000"/>
    <x v="0"/>
    <n v="1400"/>
    <m/>
    <n v="1"/>
    <m/>
    <d v="2015-04-10T00:00:00"/>
    <x v="0"/>
    <n v="1"/>
  </r>
  <r>
    <n v="12"/>
    <n v="3"/>
    <n v="25000"/>
    <x v="0"/>
    <n v="2100"/>
    <m/>
    <n v="1"/>
    <m/>
    <d v="2015-04-11T00:00:00"/>
    <x v="0"/>
    <n v="1"/>
  </r>
  <r>
    <n v="10"/>
    <n v="2"/>
    <n v="25000"/>
    <x v="0"/>
    <n v="1400"/>
    <m/>
    <n v="1"/>
    <m/>
    <d v="2015-04-12T00:00:00"/>
    <x v="0"/>
    <n v="1"/>
  </r>
  <r>
    <n v="8"/>
    <n v="1"/>
    <n v="25000"/>
    <x v="0"/>
    <n v="700"/>
    <m/>
    <n v="1"/>
    <m/>
    <d v="2015-04-13T00:00:00"/>
    <x v="0"/>
    <n v="1"/>
  </r>
  <r>
    <n v="6"/>
    <n v="0"/>
    <n v="24889"/>
    <x v="0"/>
    <m/>
    <m/>
    <n v="1"/>
    <n v="111"/>
    <d v="2015-04-14T00:00:00"/>
    <x v="0"/>
    <n v="1"/>
  </r>
  <r>
    <n v="14"/>
    <n v="0"/>
    <n v="24497"/>
    <x v="0"/>
    <m/>
    <m/>
    <n v="1"/>
    <n v="392"/>
    <d v="2015-04-15T00:00:00"/>
    <x v="0"/>
    <n v="1"/>
  </r>
  <r>
    <n v="10"/>
    <n v="0"/>
    <n v="24264"/>
    <x v="0"/>
    <m/>
    <m/>
    <n v="1"/>
    <n v="233"/>
    <d v="2015-04-16T00:00:00"/>
    <x v="0"/>
    <n v="1"/>
  </r>
  <r>
    <n v="6"/>
    <n v="0"/>
    <n v="24157"/>
    <x v="0"/>
    <m/>
    <m/>
    <n v="1"/>
    <n v="107"/>
    <d v="2015-04-17T00:00:00"/>
    <x v="0"/>
    <n v="1"/>
  </r>
  <r>
    <n v="4"/>
    <n v="0"/>
    <n v="24099"/>
    <x v="0"/>
    <m/>
    <m/>
    <n v="1"/>
    <n v="58"/>
    <d v="2015-04-18T00:00:00"/>
    <x v="0"/>
    <n v="1"/>
  </r>
  <r>
    <n v="7"/>
    <n v="0"/>
    <n v="23965"/>
    <x v="0"/>
    <m/>
    <m/>
    <n v="1"/>
    <n v="134"/>
    <d v="2015-04-19T00:00:00"/>
    <x v="0"/>
    <n v="1"/>
  </r>
  <r>
    <n v="10"/>
    <n v="1"/>
    <n v="24665"/>
    <x v="0"/>
    <m/>
    <m/>
    <n v="1"/>
    <m/>
    <d v="2015-04-20T00:00:00"/>
    <x v="0"/>
    <n v="1"/>
  </r>
  <r>
    <n v="11"/>
    <n v="3.2"/>
    <n v="25000"/>
    <x v="0"/>
    <n v="1905"/>
    <m/>
    <n v="1"/>
    <m/>
    <d v="2015-04-21T00:00:00"/>
    <x v="0"/>
    <n v="1"/>
  </r>
  <r>
    <n v="8"/>
    <n v="2.2000000000000002"/>
    <n v="25000"/>
    <x v="0"/>
    <n v="1540"/>
    <m/>
    <n v="1"/>
    <m/>
    <d v="2015-04-22T00:00:00"/>
    <x v="0"/>
    <n v="1"/>
  </r>
  <r>
    <n v="11"/>
    <n v="1"/>
    <n v="25000"/>
    <x v="0"/>
    <n v="700"/>
    <m/>
    <n v="1"/>
    <m/>
    <d v="2015-04-23T00:00:00"/>
    <x v="0"/>
    <n v="1"/>
  </r>
  <r>
    <n v="12"/>
    <n v="1"/>
    <n v="25000"/>
    <x v="0"/>
    <n v="700"/>
    <m/>
    <n v="1"/>
    <m/>
    <d v="2015-04-24T00:00:00"/>
    <x v="0"/>
    <n v="1"/>
  </r>
  <r>
    <n v="14"/>
    <n v="1"/>
    <n v="25000"/>
    <x v="0"/>
    <n v="700"/>
    <m/>
    <n v="1"/>
    <m/>
    <d v="2015-04-25T00:00:00"/>
    <x v="0"/>
    <n v="1"/>
  </r>
  <r>
    <n v="16"/>
    <n v="0"/>
    <n v="12520"/>
    <x v="0"/>
    <m/>
    <n v="12000"/>
    <n v="2"/>
    <n v="480"/>
    <d v="2015-04-26T00:00:00"/>
    <x v="0"/>
    <n v="0"/>
  </r>
  <r>
    <n v="16"/>
    <n v="1"/>
    <n v="13220"/>
    <x v="0"/>
    <m/>
    <m/>
    <n v="3"/>
    <m/>
    <d v="2015-04-27T00:00:00"/>
    <x v="0"/>
    <n v="0"/>
  </r>
  <r>
    <n v="6"/>
    <n v="2"/>
    <n v="14620"/>
    <x v="0"/>
    <m/>
    <m/>
    <n v="1"/>
    <m/>
    <d v="2015-04-28T00:00:00"/>
    <x v="0"/>
    <n v="1"/>
  </r>
  <r>
    <n v="7"/>
    <n v="0"/>
    <n v="14538"/>
    <x v="0"/>
    <m/>
    <m/>
    <n v="1"/>
    <n v="82"/>
    <d v="2015-04-29T00:00:00"/>
    <x v="0"/>
    <n v="1"/>
  </r>
  <r>
    <n v="10"/>
    <n v="0"/>
    <n v="14400"/>
    <x v="0"/>
    <m/>
    <m/>
    <n v="1"/>
    <n v="138"/>
    <d v="2015-04-30T00:00:00"/>
    <x v="0"/>
    <n v="1"/>
  </r>
  <r>
    <n v="10"/>
    <n v="4"/>
    <n v="17200"/>
    <x v="0"/>
    <m/>
    <m/>
    <n v="1"/>
    <m/>
    <d v="2015-05-01T00:00:00"/>
    <x v="1"/>
    <n v="1"/>
  </r>
  <r>
    <n v="7"/>
    <n v="5"/>
    <n v="20700"/>
    <x v="0"/>
    <m/>
    <m/>
    <n v="1"/>
    <m/>
    <d v="2015-05-02T00:00:00"/>
    <x v="1"/>
    <n v="1"/>
  </r>
  <r>
    <n v="9"/>
    <n v="4"/>
    <n v="23500"/>
    <x v="0"/>
    <m/>
    <m/>
    <n v="1"/>
    <m/>
    <d v="2015-05-03T00:00:00"/>
    <x v="1"/>
    <n v="1"/>
  </r>
  <r>
    <n v="15"/>
    <n v="0.4"/>
    <n v="23780"/>
    <x v="0"/>
    <m/>
    <m/>
    <n v="1"/>
    <m/>
    <d v="2015-05-04T00:00:00"/>
    <x v="1"/>
    <n v="1"/>
  </r>
  <r>
    <n v="18"/>
    <n v="0.4"/>
    <n v="12060"/>
    <x v="0"/>
    <m/>
    <n v="12000"/>
    <n v="2"/>
    <m/>
    <d v="2015-05-05T00:00:00"/>
    <x v="1"/>
    <n v="0"/>
  </r>
  <r>
    <n v="16"/>
    <n v="0"/>
    <n v="13000"/>
    <x v="1"/>
    <m/>
    <n v="12000"/>
    <n v="2"/>
    <n v="232"/>
    <d v="2015-05-06T00:00:00"/>
    <x v="1"/>
    <n v="0"/>
  </r>
  <r>
    <n v="14"/>
    <n v="0"/>
    <n v="12795"/>
    <x v="0"/>
    <m/>
    <m/>
    <n v="1"/>
    <n v="205"/>
    <d v="2015-05-07T00:00:00"/>
    <x v="1"/>
    <n v="1"/>
  </r>
  <r>
    <n v="10"/>
    <n v="0"/>
    <n v="12673"/>
    <x v="0"/>
    <m/>
    <m/>
    <n v="1"/>
    <n v="122"/>
    <d v="2015-05-08T00:00:00"/>
    <x v="1"/>
    <n v="1"/>
  </r>
  <r>
    <n v="14"/>
    <n v="0.3"/>
    <n v="12883"/>
    <x v="0"/>
    <m/>
    <m/>
    <n v="1"/>
    <m/>
    <d v="2015-05-09T00:00:00"/>
    <x v="1"/>
    <n v="1"/>
  </r>
  <r>
    <n v="12"/>
    <n v="0.1"/>
    <n v="12953"/>
    <x v="0"/>
    <m/>
    <m/>
    <n v="1"/>
    <m/>
    <d v="2015-05-10T00:00:00"/>
    <x v="1"/>
    <n v="1"/>
  </r>
  <r>
    <n v="11"/>
    <n v="0"/>
    <n v="12811"/>
    <x v="0"/>
    <m/>
    <m/>
    <n v="1"/>
    <n v="142"/>
    <d v="2015-05-11T00:00:00"/>
    <x v="1"/>
    <n v="1"/>
  </r>
  <r>
    <n v="16"/>
    <n v="3"/>
    <n v="14911"/>
    <x v="0"/>
    <m/>
    <m/>
    <n v="3"/>
    <m/>
    <d v="2015-05-12T00:00:00"/>
    <x v="1"/>
    <n v="0"/>
  </r>
  <r>
    <n v="12"/>
    <n v="0"/>
    <n v="14725"/>
    <x v="0"/>
    <m/>
    <m/>
    <n v="1"/>
    <n v="186"/>
    <d v="2015-05-13T00:00:00"/>
    <x v="1"/>
    <n v="1"/>
  </r>
  <r>
    <n v="10"/>
    <n v="0"/>
    <n v="14585"/>
    <x v="0"/>
    <m/>
    <m/>
    <n v="1"/>
    <n v="140"/>
    <d v="2015-05-14T00:00:00"/>
    <x v="1"/>
    <n v="1"/>
  </r>
  <r>
    <n v="12"/>
    <n v="0"/>
    <n v="14403"/>
    <x v="0"/>
    <m/>
    <m/>
    <n v="1"/>
    <n v="182"/>
    <d v="2015-05-15T00:00:00"/>
    <x v="1"/>
    <n v="1"/>
  </r>
  <r>
    <n v="10"/>
    <n v="1.8"/>
    <n v="15663"/>
    <x v="0"/>
    <m/>
    <m/>
    <n v="1"/>
    <m/>
    <d v="2015-05-16T00:00:00"/>
    <x v="1"/>
    <n v="1"/>
  </r>
  <r>
    <n v="11"/>
    <n v="2.8"/>
    <n v="17623"/>
    <x v="0"/>
    <m/>
    <m/>
    <n v="1"/>
    <m/>
    <d v="2015-05-17T00:00:00"/>
    <x v="1"/>
    <n v="1"/>
  </r>
  <r>
    <n v="12"/>
    <n v="1.9"/>
    <n v="18953"/>
    <x v="0"/>
    <m/>
    <m/>
    <n v="1"/>
    <m/>
    <d v="2015-05-18T00:00:00"/>
    <x v="1"/>
    <n v="1"/>
  </r>
  <r>
    <n v="16"/>
    <n v="2.2000000000000002"/>
    <n v="20493"/>
    <x v="0"/>
    <m/>
    <m/>
    <n v="3"/>
    <m/>
    <d v="2015-05-19T00:00:00"/>
    <x v="1"/>
    <n v="0"/>
  </r>
  <r>
    <n v="13"/>
    <n v="2.2999999999999998"/>
    <n v="22103"/>
    <x v="0"/>
    <m/>
    <m/>
    <n v="1"/>
    <m/>
    <d v="2015-05-20T00:00:00"/>
    <x v="1"/>
    <n v="1"/>
  </r>
  <r>
    <n v="11"/>
    <n v="5.4"/>
    <n v="25000"/>
    <x v="0"/>
    <n v="883"/>
    <m/>
    <n v="1"/>
    <m/>
    <d v="2015-05-21T00:00:00"/>
    <x v="1"/>
    <n v="1"/>
  </r>
  <r>
    <n v="12"/>
    <n v="5.5"/>
    <n v="25000"/>
    <x v="0"/>
    <n v="3850"/>
    <m/>
    <n v="1"/>
    <m/>
    <d v="2015-05-22T00:00:00"/>
    <x v="1"/>
    <n v="1"/>
  </r>
  <r>
    <n v="12"/>
    <n v="5.2"/>
    <n v="25000"/>
    <x v="0"/>
    <n v="3640"/>
    <m/>
    <n v="1"/>
    <m/>
    <d v="2015-05-23T00:00:00"/>
    <x v="1"/>
    <n v="1"/>
  </r>
  <r>
    <n v="14"/>
    <n v="3"/>
    <n v="25000"/>
    <x v="0"/>
    <n v="2100"/>
    <m/>
    <n v="1"/>
    <m/>
    <d v="2015-05-24T00:00:00"/>
    <x v="1"/>
    <n v="1"/>
  </r>
  <r>
    <n v="15"/>
    <n v="0"/>
    <n v="24564"/>
    <x v="0"/>
    <m/>
    <m/>
    <n v="1"/>
    <n v="436"/>
    <d v="2015-05-25T00:00:00"/>
    <x v="1"/>
    <n v="1"/>
  </r>
  <r>
    <n v="14"/>
    <n v="0"/>
    <n v="24177"/>
    <x v="0"/>
    <m/>
    <m/>
    <n v="1"/>
    <n v="387"/>
    <d v="2015-05-26T00:00:00"/>
    <x v="1"/>
    <n v="1"/>
  </r>
  <r>
    <n v="10"/>
    <n v="0"/>
    <n v="23947"/>
    <x v="0"/>
    <m/>
    <m/>
    <n v="1"/>
    <n v="230"/>
    <d v="2015-05-27T00:00:00"/>
    <x v="1"/>
    <n v="1"/>
  </r>
  <r>
    <n v="12"/>
    <n v="0.1"/>
    <n v="24017"/>
    <x v="0"/>
    <m/>
    <m/>
    <n v="1"/>
    <m/>
    <d v="2015-05-28T00:00:00"/>
    <x v="1"/>
    <n v="1"/>
  </r>
  <r>
    <n v="14"/>
    <n v="0"/>
    <n v="23639"/>
    <x v="0"/>
    <m/>
    <m/>
    <n v="1"/>
    <n v="378"/>
    <d v="2015-05-29T00:00:00"/>
    <x v="1"/>
    <n v="1"/>
  </r>
  <r>
    <n v="13"/>
    <n v="0"/>
    <n v="23306"/>
    <x v="0"/>
    <m/>
    <m/>
    <n v="1"/>
    <n v="333"/>
    <d v="2015-05-30T00:00:00"/>
    <x v="1"/>
    <n v="1"/>
  </r>
  <r>
    <n v="12"/>
    <n v="0"/>
    <n v="23015"/>
    <x v="0"/>
    <m/>
    <m/>
    <n v="1"/>
    <n v="291"/>
    <d v="2015-05-31T00:00:00"/>
    <x v="1"/>
    <n v="1"/>
  </r>
  <r>
    <n v="18"/>
    <n v="4"/>
    <n v="25000"/>
    <x v="0"/>
    <n v="815"/>
    <m/>
    <n v="3"/>
    <m/>
    <d v="2015-06-01T00:00:00"/>
    <x v="2"/>
    <n v="0"/>
  </r>
  <r>
    <n v="18"/>
    <n v="3"/>
    <n v="25000"/>
    <x v="0"/>
    <n v="2100"/>
    <m/>
    <n v="3"/>
    <m/>
    <d v="2015-06-02T00:00:00"/>
    <x v="2"/>
    <n v="0"/>
  </r>
  <r>
    <n v="22"/>
    <n v="0"/>
    <n v="12226"/>
    <x v="0"/>
    <m/>
    <n v="12000"/>
    <n v="2"/>
    <n v="774"/>
    <d v="2015-06-03T00:00:00"/>
    <x v="2"/>
    <n v="0"/>
  </r>
  <r>
    <n v="15"/>
    <n v="0"/>
    <n v="12012"/>
    <x v="0"/>
    <m/>
    <m/>
    <n v="1"/>
    <n v="214"/>
    <d v="2015-06-04T00:00:00"/>
    <x v="2"/>
    <n v="1"/>
  </r>
  <r>
    <n v="18"/>
    <n v="0"/>
    <n v="13000"/>
    <x v="2"/>
    <m/>
    <n v="12000"/>
    <n v="2"/>
    <n v="276"/>
    <d v="2015-06-05T00:00:00"/>
    <x v="2"/>
    <n v="0"/>
  </r>
  <r>
    <n v="22"/>
    <n v="0"/>
    <n v="597"/>
    <x v="0"/>
    <m/>
    <n v="12000"/>
    <n v="2"/>
    <n v="403"/>
    <d v="2015-06-06T00:00:00"/>
    <x v="2"/>
    <n v="0"/>
  </r>
  <r>
    <n v="14"/>
    <n v="8"/>
    <n v="6197"/>
    <x v="0"/>
    <m/>
    <m/>
    <n v="1"/>
    <m/>
    <d v="2015-06-07T00:00:00"/>
    <x v="2"/>
    <n v="1"/>
  </r>
  <r>
    <n v="14"/>
    <n v="5.9"/>
    <n v="10327"/>
    <x v="0"/>
    <m/>
    <m/>
    <n v="1"/>
    <m/>
    <d v="2015-06-08T00:00:00"/>
    <x v="2"/>
    <n v="1"/>
  </r>
  <r>
    <n v="12"/>
    <n v="5"/>
    <n v="13827"/>
    <x v="0"/>
    <m/>
    <m/>
    <n v="1"/>
    <m/>
    <d v="2015-06-09T00:00:00"/>
    <x v="2"/>
    <n v="1"/>
  </r>
  <r>
    <n v="16"/>
    <n v="0"/>
    <n v="1561"/>
    <x v="0"/>
    <m/>
    <n v="12000"/>
    <n v="2"/>
    <n v="266"/>
    <d v="2015-06-10T00:00:00"/>
    <x v="2"/>
    <n v="0"/>
  </r>
  <r>
    <n v="16"/>
    <n v="0"/>
    <n v="13000"/>
    <x v="3"/>
    <m/>
    <n v="12000"/>
    <n v="2"/>
    <n v="30"/>
    <d v="2015-06-11T00:00:00"/>
    <x v="2"/>
    <n v="0"/>
  </r>
  <r>
    <n v="18"/>
    <n v="5"/>
    <n v="16500"/>
    <x v="0"/>
    <m/>
    <m/>
    <n v="3"/>
    <m/>
    <d v="2015-06-12T00:00:00"/>
    <x v="2"/>
    <n v="0"/>
  </r>
  <r>
    <n v="19"/>
    <n v="1"/>
    <n v="17200"/>
    <x v="0"/>
    <m/>
    <m/>
    <n v="3"/>
    <m/>
    <d v="2015-06-13T00:00:00"/>
    <x v="2"/>
    <n v="0"/>
  </r>
  <r>
    <n v="22"/>
    <n v="0"/>
    <n v="4667"/>
    <x v="0"/>
    <m/>
    <n v="12000"/>
    <n v="2"/>
    <n v="533"/>
    <d v="2015-06-14T00:00:00"/>
    <x v="2"/>
    <n v="0"/>
  </r>
  <r>
    <n v="16"/>
    <n v="0"/>
    <n v="13000"/>
    <x v="4"/>
    <m/>
    <n v="12000"/>
    <n v="2"/>
    <n v="90"/>
    <d v="2015-06-15T00:00:00"/>
    <x v="2"/>
    <n v="0"/>
  </r>
  <r>
    <n v="12"/>
    <n v="0"/>
    <n v="12837"/>
    <x v="0"/>
    <m/>
    <m/>
    <n v="1"/>
    <n v="163"/>
    <d v="2015-06-16T00:00:00"/>
    <x v="2"/>
    <n v="1"/>
  </r>
  <r>
    <n v="14"/>
    <n v="0"/>
    <n v="12635"/>
    <x v="0"/>
    <m/>
    <m/>
    <n v="1"/>
    <n v="202"/>
    <d v="2015-06-17T00:00:00"/>
    <x v="2"/>
    <n v="1"/>
  </r>
  <r>
    <n v="16"/>
    <n v="0.3"/>
    <n v="845"/>
    <x v="0"/>
    <m/>
    <n v="12000"/>
    <n v="2"/>
    <m/>
    <d v="2015-06-18T00:00:00"/>
    <x v="2"/>
    <n v="0"/>
  </r>
  <r>
    <n v="12"/>
    <n v="3"/>
    <n v="2945"/>
    <x v="0"/>
    <m/>
    <m/>
    <n v="1"/>
    <m/>
    <d v="2015-06-19T00:00:00"/>
    <x v="2"/>
    <n v="1"/>
  </r>
  <r>
    <n v="13"/>
    <n v="2"/>
    <n v="4345"/>
    <x v="0"/>
    <m/>
    <m/>
    <n v="1"/>
    <m/>
    <d v="2015-06-20T00:00:00"/>
    <x v="2"/>
    <n v="1"/>
  </r>
  <r>
    <n v="12"/>
    <n v="0"/>
    <n v="4290"/>
    <x v="0"/>
    <m/>
    <m/>
    <n v="1"/>
    <n v="55"/>
    <d v="2015-06-21T00:00:00"/>
    <x v="2"/>
    <n v="1"/>
  </r>
  <r>
    <n v="12"/>
    <n v="3"/>
    <n v="6390"/>
    <x v="0"/>
    <m/>
    <m/>
    <n v="1"/>
    <m/>
    <d v="2015-06-22T00:00:00"/>
    <x v="2"/>
    <n v="1"/>
  </r>
  <r>
    <n v="13"/>
    <n v="3"/>
    <n v="8490"/>
    <x v="0"/>
    <m/>
    <m/>
    <n v="1"/>
    <m/>
    <d v="2015-06-23T00:00:00"/>
    <x v="2"/>
    <n v="1"/>
  </r>
  <r>
    <n v="12"/>
    <n v="0"/>
    <n v="8384"/>
    <x v="0"/>
    <m/>
    <m/>
    <n v="1"/>
    <n v="106"/>
    <d v="2015-06-24T00:00:00"/>
    <x v="2"/>
    <n v="1"/>
  </r>
  <r>
    <n v="16"/>
    <n v="0"/>
    <n v="13000"/>
    <x v="5"/>
    <m/>
    <n v="12000"/>
    <n v="2"/>
    <n v="161"/>
    <d v="2015-06-25T00:00:00"/>
    <x v="2"/>
    <n v="0"/>
  </r>
  <r>
    <n v="16"/>
    <n v="7"/>
    <n v="17900"/>
    <x v="0"/>
    <m/>
    <m/>
    <n v="3"/>
    <m/>
    <d v="2015-06-26T00:00:00"/>
    <x v="2"/>
    <n v="0"/>
  </r>
  <r>
    <n v="18"/>
    <n v="6"/>
    <n v="22100"/>
    <x v="0"/>
    <m/>
    <m/>
    <n v="3"/>
    <m/>
    <d v="2015-06-27T00:00:00"/>
    <x v="2"/>
    <n v="0"/>
  </r>
  <r>
    <n v="16"/>
    <n v="0"/>
    <n v="9675"/>
    <x v="0"/>
    <m/>
    <n v="12000"/>
    <n v="2"/>
    <n v="425"/>
    <d v="2015-06-28T00:00:00"/>
    <x v="2"/>
    <n v="0"/>
  </r>
  <r>
    <n v="16"/>
    <n v="0"/>
    <n v="13000"/>
    <x v="6"/>
    <m/>
    <n v="12000"/>
    <n v="2"/>
    <n v="186"/>
    <d v="2015-06-29T00:00:00"/>
    <x v="2"/>
    <n v="0"/>
  </r>
  <r>
    <n v="19"/>
    <n v="0"/>
    <n v="677"/>
    <x v="0"/>
    <m/>
    <n v="12000"/>
    <n v="2"/>
    <n v="323"/>
    <d v="2015-06-30T00:00:00"/>
    <x v="2"/>
    <n v="0"/>
  </r>
  <r>
    <n v="18"/>
    <n v="0"/>
    <n v="13000"/>
    <x v="7"/>
    <m/>
    <n v="12000"/>
    <n v="2"/>
    <n v="16"/>
    <d v="2015-07-01T00:00:00"/>
    <x v="3"/>
    <n v="0"/>
  </r>
  <r>
    <n v="20"/>
    <n v="0"/>
    <n v="651"/>
    <x v="0"/>
    <m/>
    <n v="12000"/>
    <n v="2"/>
    <n v="349"/>
    <d v="2015-07-02T00:00:00"/>
    <x v="3"/>
    <n v="0"/>
  </r>
  <r>
    <n v="22"/>
    <n v="0"/>
    <n v="13000"/>
    <x v="8"/>
    <m/>
    <n v="12000"/>
    <n v="2"/>
    <n v="21"/>
    <d v="2015-07-03T00:00:00"/>
    <x v="3"/>
    <n v="0"/>
  </r>
  <r>
    <n v="25"/>
    <n v="0"/>
    <n v="512"/>
    <x v="0"/>
    <m/>
    <n v="12000"/>
    <n v="2"/>
    <n v="488"/>
    <d v="2015-07-04T00:00:00"/>
    <x v="3"/>
    <n v="0"/>
  </r>
  <r>
    <n v="26"/>
    <n v="0"/>
    <n v="13000"/>
    <x v="9"/>
    <m/>
    <n v="12000"/>
    <n v="2"/>
    <n v="21"/>
    <d v="2015-07-05T00:00:00"/>
    <x v="3"/>
    <n v="0"/>
  </r>
  <r>
    <n v="22"/>
    <n v="0"/>
    <n v="597"/>
    <x v="0"/>
    <m/>
    <n v="12000"/>
    <n v="2"/>
    <n v="403"/>
    <d v="2015-07-06T00:00:00"/>
    <x v="3"/>
    <n v="0"/>
  </r>
  <r>
    <n v="22"/>
    <n v="18"/>
    <n v="13197"/>
    <x v="0"/>
    <m/>
    <m/>
    <n v="3"/>
    <m/>
    <d v="2015-07-07T00:00:00"/>
    <x v="3"/>
    <n v="0"/>
  </r>
  <r>
    <n v="20"/>
    <n v="3"/>
    <n v="15297"/>
    <x v="0"/>
    <m/>
    <m/>
    <n v="3"/>
    <m/>
    <d v="2015-07-08T00:00:00"/>
    <x v="3"/>
    <n v="0"/>
  </r>
  <r>
    <n v="16"/>
    <n v="0.2"/>
    <n v="3437"/>
    <x v="0"/>
    <m/>
    <n v="12000"/>
    <n v="2"/>
    <m/>
    <d v="2015-07-09T00:00:00"/>
    <x v="3"/>
    <n v="0"/>
  </r>
  <r>
    <n v="13"/>
    <n v="12.2"/>
    <n v="11977"/>
    <x v="0"/>
    <m/>
    <m/>
    <n v="1"/>
    <m/>
    <d v="2015-07-10T00:00:00"/>
    <x v="3"/>
    <n v="1"/>
  </r>
  <r>
    <n v="16"/>
    <n v="0"/>
    <n v="13000"/>
    <x v="10"/>
    <m/>
    <n v="12000"/>
    <n v="2"/>
    <n v="230"/>
    <d v="2015-07-11T00:00:00"/>
    <x v="3"/>
    <n v="0"/>
  </r>
  <r>
    <n v="18"/>
    <n v="2"/>
    <n v="14400"/>
    <x v="0"/>
    <m/>
    <m/>
    <n v="3"/>
    <m/>
    <d v="2015-07-12T00:00:00"/>
    <x v="3"/>
    <n v="0"/>
  </r>
  <r>
    <n v="18"/>
    <n v="12"/>
    <n v="22800"/>
    <x v="0"/>
    <m/>
    <m/>
    <n v="3"/>
    <m/>
    <d v="2015-07-13T00:00:00"/>
    <x v="3"/>
    <n v="0"/>
  </r>
  <r>
    <n v="18"/>
    <n v="0"/>
    <n v="10277"/>
    <x v="0"/>
    <m/>
    <n v="12000"/>
    <n v="2"/>
    <n v="523"/>
    <d v="2015-07-14T00:00:00"/>
    <x v="3"/>
    <n v="0"/>
  </r>
  <r>
    <n v="18"/>
    <n v="0"/>
    <n v="13000"/>
    <x v="11"/>
    <m/>
    <n v="12000"/>
    <n v="2"/>
    <n v="236"/>
    <d v="2015-07-15T00:00:00"/>
    <x v="3"/>
    <n v="0"/>
  </r>
  <r>
    <n v="16"/>
    <n v="0"/>
    <n v="750"/>
    <x v="0"/>
    <m/>
    <n v="12000"/>
    <n v="2"/>
    <n v="250"/>
    <d v="2015-07-16T00:00:00"/>
    <x v="3"/>
    <n v="0"/>
  </r>
  <r>
    <n v="21"/>
    <n v="0"/>
    <n v="13000"/>
    <x v="12"/>
    <m/>
    <n v="12000"/>
    <n v="2"/>
    <n v="22"/>
    <d v="2015-07-17T00:00:00"/>
    <x v="3"/>
    <n v="0"/>
  </r>
  <r>
    <n v="26"/>
    <n v="0"/>
    <n v="482"/>
    <x v="0"/>
    <m/>
    <n v="12000"/>
    <n v="2"/>
    <n v="518"/>
    <d v="2015-07-18T00:00:00"/>
    <x v="3"/>
    <n v="0"/>
  </r>
  <r>
    <n v="23"/>
    <n v="18"/>
    <n v="13082"/>
    <x v="0"/>
    <m/>
    <m/>
    <n v="3"/>
    <m/>
    <d v="2015-07-19T00:00:00"/>
    <x v="3"/>
    <n v="0"/>
  </r>
  <r>
    <n v="19"/>
    <n v="0"/>
    <n v="756"/>
    <x v="0"/>
    <m/>
    <n v="12000"/>
    <n v="2"/>
    <n v="326"/>
    <d v="2015-07-20T00:00:00"/>
    <x v="3"/>
    <n v="0"/>
  </r>
  <r>
    <n v="20"/>
    <n v="6"/>
    <n v="4956"/>
    <x v="0"/>
    <m/>
    <m/>
    <n v="3"/>
    <m/>
    <d v="2015-07-21T00:00:00"/>
    <x v="3"/>
    <n v="0"/>
  </r>
  <r>
    <n v="22"/>
    <n v="0"/>
    <n v="13000"/>
    <x v="13"/>
    <m/>
    <n v="12000"/>
    <n v="2"/>
    <n v="154"/>
    <d v="2015-07-22T00:00:00"/>
    <x v="3"/>
    <n v="0"/>
  </r>
  <r>
    <n v="20"/>
    <n v="0"/>
    <n v="651"/>
    <x v="0"/>
    <m/>
    <n v="12000"/>
    <n v="2"/>
    <n v="349"/>
    <d v="2015-07-23T00:00:00"/>
    <x v="3"/>
    <n v="0"/>
  </r>
  <r>
    <n v="20"/>
    <n v="0"/>
    <n v="13000"/>
    <x v="8"/>
    <m/>
    <n v="12000"/>
    <n v="2"/>
    <n v="18"/>
    <d v="2015-07-24T00:00:00"/>
    <x v="3"/>
    <n v="0"/>
  </r>
  <r>
    <n v="23"/>
    <n v="0.1"/>
    <n v="1070"/>
    <x v="0"/>
    <m/>
    <n v="12000"/>
    <n v="2"/>
    <m/>
    <d v="2015-07-25T00:00:00"/>
    <x v="3"/>
    <n v="0"/>
  </r>
  <r>
    <n v="16"/>
    <n v="0"/>
    <n v="13000"/>
    <x v="14"/>
    <m/>
    <n v="12000"/>
    <n v="2"/>
    <n v="21"/>
    <d v="2015-07-26T00:00:00"/>
    <x v="3"/>
    <n v="0"/>
  </r>
  <r>
    <n v="16"/>
    <n v="0.1"/>
    <n v="1070"/>
    <x v="0"/>
    <m/>
    <n v="12000"/>
    <n v="2"/>
    <m/>
    <d v="2015-07-27T00:00:00"/>
    <x v="3"/>
    <n v="0"/>
  </r>
  <r>
    <n v="18"/>
    <n v="0.3"/>
    <n v="13000"/>
    <x v="14"/>
    <m/>
    <n v="12000"/>
    <n v="2"/>
    <m/>
    <d v="2015-07-28T00:00:00"/>
    <x v="3"/>
    <n v="0"/>
  </r>
  <r>
    <n v="18"/>
    <n v="0"/>
    <n v="702"/>
    <x v="0"/>
    <m/>
    <n v="12000"/>
    <n v="2"/>
    <n v="298"/>
    <d v="2015-07-29T00:00:00"/>
    <x v="3"/>
    <n v="0"/>
  </r>
  <r>
    <n v="14"/>
    <n v="0"/>
    <n v="690"/>
    <x v="0"/>
    <m/>
    <m/>
    <n v="1"/>
    <n v="12"/>
    <d v="2015-07-30T00:00:00"/>
    <x v="3"/>
    <n v="1"/>
  </r>
  <r>
    <n v="14"/>
    <n v="0"/>
    <n v="679"/>
    <x v="0"/>
    <m/>
    <m/>
    <n v="1"/>
    <n v="11"/>
    <d v="2015-07-31T00:00:00"/>
    <x v="3"/>
    <n v="1"/>
  </r>
  <r>
    <n v="16"/>
    <n v="0"/>
    <n v="13000"/>
    <x v="15"/>
    <m/>
    <n v="12000"/>
    <n v="2"/>
    <n v="14"/>
    <d v="2015-08-01T00:00:00"/>
    <x v="4"/>
    <n v="0"/>
  </r>
  <r>
    <n v="22"/>
    <n v="0"/>
    <n v="597"/>
    <x v="0"/>
    <m/>
    <n v="12000"/>
    <n v="2"/>
    <n v="403"/>
    <d v="2015-08-02T00:00:00"/>
    <x v="4"/>
    <n v="0"/>
  </r>
  <r>
    <n v="22"/>
    <n v="0"/>
    <n v="13000"/>
    <x v="16"/>
    <m/>
    <n v="12000"/>
    <n v="2"/>
    <n v="19"/>
    <d v="2015-08-03T00:00:00"/>
    <x v="4"/>
    <n v="0"/>
  </r>
  <r>
    <n v="25"/>
    <n v="0"/>
    <n v="512"/>
    <x v="0"/>
    <m/>
    <n v="12000"/>
    <n v="2"/>
    <n v="488"/>
    <d v="2015-08-04T00:00:00"/>
    <x v="4"/>
    <n v="0"/>
  </r>
  <r>
    <n v="24"/>
    <n v="0"/>
    <n v="13000"/>
    <x v="9"/>
    <m/>
    <n v="12000"/>
    <n v="2"/>
    <n v="19"/>
    <d v="2015-08-05T00:00:00"/>
    <x v="4"/>
    <n v="0"/>
  </r>
  <r>
    <n v="24"/>
    <n v="0"/>
    <n v="541"/>
    <x v="0"/>
    <m/>
    <n v="12000"/>
    <n v="2"/>
    <n v="459"/>
    <d v="2015-08-06T00:00:00"/>
    <x v="4"/>
    <n v="0"/>
  </r>
  <r>
    <n v="28"/>
    <n v="0"/>
    <n v="13000"/>
    <x v="17"/>
    <m/>
    <n v="12000"/>
    <n v="2"/>
    <n v="25"/>
    <d v="2015-08-07T00:00:00"/>
    <x v="4"/>
    <n v="0"/>
  </r>
  <r>
    <n v="28"/>
    <n v="0"/>
    <n v="422"/>
    <x v="0"/>
    <m/>
    <n v="12000"/>
    <n v="2"/>
    <n v="578"/>
    <d v="2015-08-08T00:00:00"/>
    <x v="4"/>
    <n v="0"/>
  </r>
  <r>
    <n v="24"/>
    <n v="0"/>
    <n v="13000"/>
    <x v="18"/>
    <m/>
    <n v="12000"/>
    <n v="2"/>
    <n v="15"/>
    <d v="2015-08-09T00:00:00"/>
    <x v="4"/>
    <n v="0"/>
  </r>
  <r>
    <n v="24"/>
    <n v="0"/>
    <n v="541"/>
    <x v="0"/>
    <m/>
    <n v="12000"/>
    <n v="2"/>
    <n v="459"/>
    <d v="2015-08-10T00:00:00"/>
    <x v="4"/>
    <n v="0"/>
  </r>
  <r>
    <n v="26"/>
    <n v="0"/>
    <n v="13000"/>
    <x v="17"/>
    <m/>
    <n v="12000"/>
    <n v="2"/>
    <n v="22"/>
    <d v="2015-08-11T00:00:00"/>
    <x v="4"/>
    <n v="0"/>
  </r>
  <r>
    <n v="32"/>
    <n v="0.6"/>
    <n v="13420"/>
    <x v="0"/>
    <m/>
    <m/>
    <n v="3"/>
    <m/>
    <d v="2015-08-12T00:00:00"/>
    <x v="4"/>
    <n v="0"/>
  </r>
  <r>
    <n v="31"/>
    <n v="0.1"/>
    <n v="1000"/>
    <x v="19"/>
    <m/>
    <n v="24000"/>
    <n v="1"/>
    <m/>
    <d v="2015-08-13T00:00:00"/>
    <x v="4"/>
    <n v="0"/>
  </r>
  <r>
    <n v="33"/>
    <n v="0"/>
    <n v="1000"/>
    <x v="20"/>
    <m/>
    <n v="24000"/>
    <n v="1"/>
    <n v="57"/>
    <d v="2015-08-14T00:00:00"/>
    <x v="4"/>
    <n v="0"/>
  </r>
  <r>
    <n v="31"/>
    <n v="12"/>
    <n v="9400"/>
    <x v="0"/>
    <m/>
    <m/>
    <n v="3"/>
    <m/>
    <d v="2015-08-15T00:00:00"/>
    <x v="4"/>
    <n v="0"/>
  </r>
  <r>
    <n v="22"/>
    <n v="0"/>
    <n v="13000"/>
    <x v="21"/>
    <m/>
    <n v="12000"/>
    <n v="2"/>
    <n v="291"/>
    <d v="2015-08-16T00:00:00"/>
    <x v="4"/>
    <n v="0"/>
  </r>
  <r>
    <n v="24"/>
    <n v="0.2"/>
    <n v="1140"/>
    <x v="0"/>
    <m/>
    <n v="12000"/>
    <n v="2"/>
    <m/>
    <d v="2015-08-17T00:00:00"/>
    <x v="4"/>
    <n v="0"/>
  </r>
  <r>
    <n v="22"/>
    <n v="0"/>
    <n v="13000"/>
    <x v="22"/>
    <m/>
    <n v="12000"/>
    <n v="2"/>
    <n v="36"/>
    <d v="2015-08-18T00:00:00"/>
    <x v="4"/>
    <n v="0"/>
  </r>
  <r>
    <n v="19"/>
    <n v="0"/>
    <n v="677"/>
    <x v="0"/>
    <m/>
    <n v="12000"/>
    <n v="2"/>
    <n v="323"/>
    <d v="2015-08-19T00:00:00"/>
    <x v="4"/>
    <n v="0"/>
  </r>
  <r>
    <n v="18"/>
    <n v="0"/>
    <n v="13000"/>
    <x v="7"/>
    <m/>
    <n v="12000"/>
    <n v="2"/>
    <n v="16"/>
    <d v="2015-08-20T00:00:00"/>
    <x v="4"/>
    <n v="0"/>
  </r>
  <r>
    <n v="18"/>
    <n v="0"/>
    <n v="702"/>
    <x v="0"/>
    <m/>
    <n v="12000"/>
    <n v="2"/>
    <n v="298"/>
    <d v="2015-08-21T00:00:00"/>
    <x v="4"/>
    <n v="0"/>
  </r>
  <r>
    <n v="18"/>
    <n v="0"/>
    <n v="13000"/>
    <x v="23"/>
    <m/>
    <n v="12000"/>
    <n v="2"/>
    <n v="17"/>
    <d v="2015-08-22T00:00:00"/>
    <x v="4"/>
    <n v="0"/>
  </r>
  <r>
    <n v="19"/>
    <n v="0"/>
    <n v="677"/>
    <x v="0"/>
    <m/>
    <n v="12000"/>
    <n v="2"/>
    <n v="323"/>
    <d v="2015-08-23T00:00:00"/>
    <x v="4"/>
    <n v="0"/>
  </r>
  <r>
    <n v="21"/>
    <n v="5.5"/>
    <n v="4527"/>
    <x v="0"/>
    <m/>
    <m/>
    <n v="3"/>
    <m/>
    <d v="2015-08-24T00:00:00"/>
    <x v="4"/>
    <n v="0"/>
  </r>
  <r>
    <n v="18"/>
    <n v="18"/>
    <n v="17127"/>
    <x v="0"/>
    <m/>
    <m/>
    <n v="3"/>
    <m/>
    <d v="2015-08-25T00:00:00"/>
    <x v="4"/>
    <n v="0"/>
  </r>
  <r>
    <n v="19"/>
    <n v="12"/>
    <n v="25000"/>
    <x v="0"/>
    <n v="527"/>
    <m/>
    <n v="3"/>
    <m/>
    <d v="2015-08-26T00:00:00"/>
    <x v="4"/>
    <n v="0"/>
  </r>
  <r>
    <n v="23"/>
    <n v="0"/>
    <n v="12172"/>
    <x v="0"/>
    <m/>
    <n v="12000"/>
    <n v="2"/>
    <n v="828"/>
    <d v="2015-08-27T00:00:00"/>
    <x v="4"/>
    <n v="0"/>
  </r>
  <r>
    <n v="17"/>
    <n v="0.1"/>
    <n v="242"/>
    <x v="0"/>
    <m/>
    <n v="12000"/>
    <n v="2"/>
    <m/>
    <d v="2015-08-28T00:00:00"/>
    <x v="4"/>
    <n v="0"/>
  </r>
  <r>
    <n v="16"/>
    <n v="14"/>
    <n v="10042"/>
    <x v="0"/>
    <m/>
    <m/>
    <n v="3"/>
    <m/>
    <d v="2015-08-29T00:00:00"/>
    <x v="4"/>
    <n v="0"/>
  </r>
  <r>
    <n v="22"/>
    <n v="0"/>
    <n v="13000"/>
    <x v="24"/>
    <m/>
    <n v="12000"/>
    <n v="2"/>
    <n v="311"/>
    <d v="2015-08-30T00:00:00"/>
    <x v="4"/>
    <n v="0"/>
  </r>
  <r>
    <n v="26"/>
    <n v="0"/>
    <n v="482"/>
    <x v="0"/>
    <m/>
    <n v="12000"/>
    <n v="2"/>
    <n v="518"/>
    <d v="2015-08-31T00:00:00"/>
    <x v="4"/>
    <n v="0"/>
  </r>
  <r>
    <n v="27"/>
    <n v="2"/>
    <n v="1882"/>
    <x v="0"/>
    <m/>
    <m/>
    <n v="3"/>
    <m/>
    <d v="2015-09-01T00:00:00"/>
    <x v="5"/>
    <n v="0"/>
  </r>
  <r>
    <n v="18"/>
    <n v="0"/>
    <n v="13000"/>
    <x v="25"/>
    <m/>
    <n v="12000"/>
    <n v="2"/>
    <n v="44"/>
    <d v="2015-09-02T00:00:00"/>
    <x v="5"/>
    <n v="0"/>
  </r>
  <r>
    <n v="17"/>
    <n v="0"/>
    <n v="726"/>
    <x v="0"/>
    <m/>
    <n v="12000"/>
    <n v="2"/>
    <n v="274"/>
    <d v="2015-09-03T00:00:00"/>
    <x v="5"/>
    <n v="0"/>
  </r>
  <r>
    <n v="16"/>
    <n v="0.1"/>
    <n v="13000"/>
    <x v="26"/>
    <m/>
    <n v="12000"/>
    <n v="2"/>
    <m/>
    <d v="2015-09-04T00:00:00"/>
    <x v="5"/>
    <n v="0"/>
  </r>
  <r>
    <n v="15"/>
    <n v="0"/>
    <n v="12773"/>
    <x v="0"/>
    <m/>
    <m/>
    <n v="1"/>
    <n v="227"/>
    <d v="2015-09-05T00:00:00"/>
    <x v="5"/>
    <n v="1"/>
  </r>
  <r>
    <n v="12"/>
    <n v="4"/>
    <n v="15573"/>
    <x v="0"/>
    <m/>
    <m/>
    <n v="1"/>
    <m/>
    <d v="2015-09-06T00:00:00"/>
    <x v="5"/>
    <n v="1"/>
  </r>
  <r>
    <n v="13"/>
    <n v="0"/>
    <n v="15354"/>
    <x v="0"/>
    <m/>
    <m/>
    <n v="1"/>
    <n v="219"/>
    <d v="2015-09-07T00:00:00"/>
    <x v="5"/>
    <n v="1"/>
  </r>
  <r>
    <n v="11"/>
    <n v="4"/>
    <n v="18154"/>
    <x v="0"/>
    <m/>
    <m/>
    <n v="1"/>
    <m/>
    <d v="2015-09-08T00:00:00"/>
    <x v="5"/>
    <n v="1"/>
  </r>
  <r>
    <n v="11"/>
    <n v="0"/>
    <n v="17955"/>
    <x v="0"/>
    <m/>
    <m/>
    <n v="1"/>
    <n v="199"/>
    <d v="2015-09-09T00:00:00"/>
    <x v="5"/>
    <n v="1"/>
  </r>
  <r>
    <n v="12"/>
    <n v="0"/>
    <n v="17731"/>
    <x v="0"/>
    <m/>
    <m/>
    <n v="1"/>
    <n v="224"/>
    <d v="2015-09-10T00:00:00"/>
    <x v="5"/>
    <n v="1"/>
  </r>
  <r>
    <n v="16"/>
    <n v="0.1"/>
    <n v="5801"/>
    <x v="0"/>
    <m/>
    <n v="12000"/>
    <n v="2"/>
    <m/>
    <d v="2015-09-11T00:00:00"/>
    <x v="5"/>
    <n v="0"/>
  </r>
  <r>
    <n v="18"/>
    <n v="0"/>
    <n v="13000"/>
    <x v="27"/>
    <m/>
    <n v="12000"/>
    <n v="2"/>
    <n v="133"/>
    <d v="2015-09-12T00:00:00"/>
    <x v="5"/>
    <n v="0"/>
  </r>
  <r>
    <n v="18"/>
    <n v="0"/>
    <n v="702"/>
    <x v="0"/>
    <m/>
    <n v="12000"/>
    <n v="2"/>
    <n v="298"/>
    <d v="2015-09-13T00:00:00"/>
    <x v="5"/>
    <n v="0"/>
  </r>
  <r>
    <n v="19"/>
    <n v="3"/>
    <n v="2802"/>
    <x v="0"/>
    <m/>
    <m/>
    <n v="3"/>
    <m/>
    <d v="2015-09-14T00:00:00"/>
    <x v="5"/>
    <n v="0"/>
  </r>
  <r>
    <n v="16"/>
    <n v="0.1"/>
    <n v="13000"/>
    <x v="28"/>
    <m/>
    <n v="12000"/>
    <n v="2"/>
    <m/>
    <d v="2015-09-15T00:00:00"/>
    <x v="5"/>
    <n v="0"/>
  </r>
  <r>
    <n v="18"/>
    <n v="0"/>
    <n v="702"/>
    <x v="0"/>
    <m/>
    <n v="12000"/>
    <n v="2"/>
    <n v="298"/>
    <d v="2015-09-16T00:00:00"/>
    <x v="5"/>
    <n v="0"/>
  </r>
  <r>
    <n v="22"/>
    <n v="0.5"/>
    <n v="13000"/>
    <x v="23"/>
    <m/>
    <n v="12000"/>
    <n v="2"/>
    <m/>
    <d v="2015-09-17T00:00:00"/>
    <x v="5"/>
    <n v="0"/>
  </r>
  <r>
    <n v="16"/>
    <n v="0"/>
    <n v="750"/>
    <x v="0"/>
    <m/>
    <n v="12000"/>
    <n v="2"/>
    <n v="250"/>
    <d v="2015-09-18T00:00:00"/>
    <x v="5"/>
    <n v="0"/>
  </r>
  <r>
    <n v="15"/>
    <n v="0"/>
    <n v="736"/>
    <x v="0"/>
    <m/>
    <m/>
    <n v="1"/>
    <n v="14"/>
    <d v="2015-09-19T00:00:00"/>
    <x v="5"/>
    <n v="1"/>
  </r>
  <r>
    <n v="14"/>
    <n v="2"/>
    <n v="2136"/>
    <x v="0"/>
    <m/>
    <m/>
    <n v="1"/>
    <m/>
    <d v="2015-09-20T00:00:00"/>
    <x v="5"/>
    <n v="1"/>
  </r>
  <r>
    <n v="12"/>
    <n v="0"/>
    <n v="2109"/>
    <x v="0"/>
    <m/>
    <m/>
    <n v="1"/>
    <n v="27"/>
    <d v="2015-09-21T00:00:00"/>
    <x v="5"/>
    <n v="1"/>
  </r>
  <r>
    <n v="13"/>
    <n v="0"/>
    <n v="2079"/>
    <x v="0"/>
    <m/>
    <m/>
    <n v="1"/>
    <n v="30"/>
    <d v="2015-09-22T00:00:00"/>
    <x v="5"/>
    <n v="1"/>
  </r>
  <r>
    <n v="15"/>
    <n v="0"/>
    <n v="2042"/>
    <x v="0"/>
    <m/>
    <m/>
    <n v="1"/>
    <n v="37"/>
    <d v="2015-09-23T00:00:00"/>
    <x v="5"/>
    <n v="1"/>
  </r>
  <r>
    <n v="15"/>
    <n v="0"/>
    <n v="2006"/>
    <x v="0"/>
    <m/>
    <m/>
    <n v="1"/>
    <n v="36"/>
    <d v="2015-09-24T00:00:00"/>
    <x v="5"/>
    <n v="1"/>
  </r>
  <r>
    <n v="14"/>
    <n v="0"/>
    <n v="1974"/>
    <x v="0"/>
    <m/>
    <m/>
    <n v="1"/>
    <n v="32"/>
    <d v="2015-09-25T00:00:00"/>
    <x v="5"/>
    <n v="1"/>
  </r>
  <r>
    <n v="12"/>
    <n v="0"/>
    <n v="1949"/>
    <x v="0"/>
    <m/>
    <m/>
    <n v="1"/>
    <n v="25"/>
    <d v="2015-09-26T00:00:00"/>
    <x v="5"/>
    <n v="1"/>
  </r>
  <r>
    <n v="11"/>
    <n v="0"/>
    <n v="1927"/>
    <x v="0"/>
    <m/>
    <m/>
    <n v="1"/>
    <n v="22"/>
    <d v="2015-09-27T00:00:00"/>
    <x v="5"/>
    <n v="1"/>
  </r>
  <r>
    <n v="10"/>
    <n v="0"/>
    <n v="1908"/>
    <x v="0"/>
    <m/>
    <m/>
    <n v="1"/>
    <n v="19"/>
    <d v="2015-09-28T00:00:00"/>
    <x v="5"/>
    <n v="1"/>
  </r>
  <r>
    <n v="10"/>
    <n v="0"/>
    <n v="1889"/>
    <x v="0"/>
    <m/>
    <m/>
    <n v="1"/>
    <n v="19"/>
    <d v="2015-09-29T00:00:00"/>
    <x v="5"/>
    <n v="1"/>
  </r>
  <r>
    <n v="10"/>
    <n v="0"/>
    <n v="1871"/>
    <x v="0"/>
    <m/>
    <m/>
    <n v="1"/>
    <n v="18"/>
    <d v="2015-09-30T00:00:00"/>
    <x v="5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przestawna1" cacheId="17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outline="1" outlineData="1" multipleFieldFilters="0">
  <location ref="A1:B8" firstHeaderRow="1" firstDataRow="1" firstDataCol="1"/>
  <pivotFields count="11">
    <pivotField showAll="0"/>
    <pivotField showAll="0"/>
    <pivotField showAll="0"/>
    <pivotField dataField="1" showAll="0" defaultSubtotal="0">
      <items count="29">
        <item x="19"/>
        <item x="1"/>
        <item x="2"/>
        <item x="10"/>
        <item x="11"/>
        <item x="24"/>
        <item x="6"/>
        <item x="21"/>
        <item x="5"/>
        <item x="27"/>
        <item x="13"/>
        <item x="4"/>
        <item x="28"/>
        <item x="25"/>
        <item x="3"/>
        <item x="22"/>
        <item x="14"/>
        <item x="20"/>
        <item x="12"/>
        <item x="26"/>
        <item x="23"/>
        <item x="15"/>
        <item x="7"/>
        <item x="8"/>
        <item x="16"/>
        <item x="17"/>
        <item x="9"/>
        <item x="18"/>
        <item x="0"/>
      </items>
    </pivotField>
    <pivotField showAll="0" defaultSubtotal="0"/>
    <pivotField showAll="0" defaultSubtotal="0"/>
    <pivotField showAll="0" defaultSubtotal="0"/>
    <pivotField showAll="0" defaultSubtotal="0"/>
    <pivotField numFmtId="14" showAll="0"/>
    <pivotField axis="axisRow" showAll="0" defaultSubtotal="0">
      <items count="6">
        <item x="0"/>
        <item x="1"/>
        <item x="2"/>
        <item x="3"/>
        <item x="4"/>
        <item x="5"/>
      </items>
    </pivotField>
    <pivotField showAll="0" defaultSubtotal="0"/>
  </pivotFields>
  <rowFields count="1">
    <field x="9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z dolewanie" fld="3" baseField="0" baseItem="0"/>
  </dataFields>
  <formats count="2">
    <format dxfId="16">
      <pivotArea outline="0" collapsedLevelsAreSubtotals="1" fieldPosition="0"/>
    </format>
    <format dxfId="14">
      <pivotArea dataOnly="0" labelOnly="1" outline="0" axis="axisValues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ela1" displayName="Tabela1" ref="A1:K184" totalsRowShown="0">
  <autoFilter ref="A1:K184">
    <filterColumn colId="2"/>
    <filterColumn colId="3"/>
    <filterColumn colId="4"/>
    <filterColumn colId="5"/>
    <filterColumn colId="6"/>
    <filterColumn colId="7"/>
    <filterColumn colId="8"/>
    <filterColumn colId="9"/>
    <filterColumn colId="10"/>
  </autoFilter>
  <tableColumns count="11">
    <tableColumn id="1" name="temperatura_srednia"/>
    <tableColumn id="2" name="opady"/>
    <tableColumn id="3" name="bilans"/>
    <tableColumn id="4" name="dolewanie"/>
    <tableColumn id="5" name="odlewanie"/>
    <tableColumn id="6" name="podlewanie"/>
    <tableColumn id="7" name="case"/>
    <tableColumn id="8" name="parowanie"/>
    <tableColumn id="9" name="data"/>
    <tableColumn id="10" name="miesiac" dataDxfId="27">
      <calculatedColumnFormula>MONTH(Tabela1[[#This Row],[data]])</calculatedColumnFormula>
    </tableColumn>
    <tableColumn id="11" name="1" dataDxfId="12">
      <calculatedColumnFormula>IF(Tabela1[[#This Row],[temperatura_srednia]]&lt;=15,1,0)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1:N184"/>
  <sheetViews>
    <sheetView workbookViewId="0">
      <selection activeCell="E14" sqref="E14"/>
    </sheetView>
  </sheetViews>
  <sheetFormatPr defaultRowHeight="13.8"/>
  <cols>
    <col min="1" max="1" width="7.5" customWidth="1"/>
    <col min="2" max="2" width="10.296875" customWidth="1"/>
    <col min="5" max="5" width="9.09765625" customWidth="1"/>
    <col min="6" max="6" width="13.296875" customWidth="1"/>
    <col min="9" max="9" width="9.8984375" bestFit="1" customWidth="1"/>
    <col min="10" max="11" width="7.796875" customWidth="1"/>
    <col min="13" max="13" width="9.8984375" bestFit="1" customWidth="1"/>
  </cols>
  <sheetData>
    <row r="1" spans="1:14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13</v>
      </c>
      <c r="K1" t="s">
        <v>16</v>
      </c>
    </row>
    <row r="2" spans="1:14">
      <c r="A2">
        <v>4</v>
      </c>
      <c r="B2">
        <v>2</v>
      </c>
      <c r="C2">
        <v>25000</v>
      </c>
      <c r="E2">
        <v>1400</v>
      </c>
      <c r="G2">
        <v>1</v>
      </c>
      <c r="I2" s="2">
        <v>42095</v>
      </c>
      <c r="J2" s="4">
        <f>MONTH(Tabela1[[#This Row],[data]])</f>
        <v>4</v>
      </c>
      <c r="K2" s="4">
        <f>IF(Tabela1[[#This Row],[temperatura_srednia]]&lt;=15,1,0)</f>
        <v>1</v>
      </c>
      <c r="L2" t="s">
        <v>9</v>
      </c>
      <c r="M2" s="2" t="s">
        <v>15</v>
      </c>
      <c r="N2">
        <v>12940</v>
      </c>
    </row>
    <row r="3" spans="1:14">
      <c r="A3">
        <v>2</v>
      </c>
      <c r="B3">
        <v>6</v>
      </c>
      <c r="C3">
        <v>25000</v>
      </c>
      <c r="E3">
        <v>4200</v>
      </c>
      <c r="G3">
        <v>1</v>
      </c>
      <c r="I3" s="2">
        <v>42096</v>
      </c>
      <c r="J3" s="4">
        <f>MONTH(Tabela1[[#This Row],[data]])</f>
        <v>4</v>
      </c>
      <c r="K3" s="4">
        <f>IF(Tabela1[[#This Row],[temperatura_srednia]]&lt;=15,1,0)</f>
        <v>1</v>
      </c>
      <c r="L3" t="s">
        <v>10</v>
      </c>
    </row>
    <row r="4" spans="1:14">
      <c r="A4">
        <v>4</v>
      </c>
      <c r="B4">
        <v>1</v>
      </c>
      <c r="C4">
        <v>25000</v>
      </c>
      <c r="E4">
        <v>700</v>
      </c>
      <c r="G4">
        <v>1</v>
      </c>
      <c r="I4" s="2">
        <v>42097</v>
      </c>
      <c r="J4" s="4">
        <f>MONTH(Tabela1[[#This Row],[data]])</f>
        <v>4</v>
      </c>
      <c r="K4" s="4">
        <f>IF(Tabela1[[#This Row],[temperatura_srednia]]&lt;=15,1,0)</f>
        <v>1</v>
      </c>
    </row>
    <row r="5" spans="1:14">
      <c r="A5">
        <v>4</v>
      </c>
      <c r="B5">
        <v>0.8</v>
      </c>
      <c r="C5">
        <v>25000</v>
      </c>
      <c r="E5">
        <v>560</v>
      </c>
      <c r="G5">
        <v>1</v>
      </c>
      <c r="I5" s="2">
        <v>42098</v>
      </c>
      <c r="J5" s="4">
        <f>MONTH(Tabela1[[#This Row],[data]])</f>
        <v>4</v>
      </c>
      <c r="K5" s="4">
        <f>IF(Tabela1[[#This Row],[temperatura_srednia]]&lt;=15,1,0)</f>
        <v>1</v>
      </c>
      <c r="M5">
        <f>COUNTIF(Tabela1[case],1)</f>
        <v>90</v>
      </c>
      <c r="N5">
        <f>COUNTIF(Tabela1[1],1)</f>
        <v>88</v>
      </c>
    </row>
    <row r="6" spans="1:14">
      <c r="A6">
        <v>3</v>
      </c>
      <c r="B6">
        <v>0</v>
      </c>
      <c r="C6">
        <v>24961</v>
      </c>
      <c r="G6">
        <v>1</v>
      </c>
      <c r="H6">
        <v>39</v>
      </c>
      <c r="I6" s="2">
        <v>42099</v>
      </c>
      <c r="J6" s="4">
        <f>MONTH(Tabela1[[#This Row],[data]])</f>
        <v>4</v>
      </c>
      <c r="K6" s="4">
        <f>IF(Tabela1[[#This Row],[temperatura_srednia]]&lt;=15,1,0)</f>
        <v>1</v>
      </c>
      <c r="M6">
        <f>COUNTIF(Tabela1[case],2)</f>
        <v>70</v>
      </c>
    </row>
    <row r="7" spans="1:14">
      <c r="A7">
        <v>4</v>
      </c>
      <c r="B7">
        <v>0</v>
      </c>
      <c r="C7">
        <v>24901</v>
      </c>
      <c r="G7">
        <v>1</v>
      </c>
      <c r="H7">
        <v>60</v>
      </c>
      <c r="I7" s="2">
        <v>42100</v>
      </c>
      <c r="J7" s="4">
        <f>MONTH(Tabela1[[#This Row],[data]])</f>
        <v>4</v>
      </c>
      <c r="K7" s="4">
        <f>IF(Tabela1[[#This Row],[temperatura_srednia]]&lt;=15,1,0)</f>
        <v>1</v>
      </c>
      <c r="M7">
        <f>COUNTIF(Tabela1[case],3)</f>
        <v>23</v>
      </c>
    </row>
    <row r="8" spans="1:14">
      <c r="A8">
        <v>4</v>
      </c>
      <c r="B8">
        <v>1</v>
      </c>
      <c r="C8">
        <v>25000</v>
      </c>
      <c r="E8">
        <v>601</v>
      </c>
      <c r="G8">
        <v>1</v>
      </c>
      <c r="I8" s="2">
        <v>42101</v>
      </c>
      <c r="J8" s="4">
        <f>MONTH(Tabela1[[#This Row],[data]])</f>
        <v>4</v>
      </c>
      <c r="K8" s="4">
        <f>IF(Tabela1[[#This Row],[temperatura_srednia]]&lt;=15,1,0)</f>
        <v>1</v>
      </c>
    </row>
    <row r="9" spans="1:14">
      <c r="A9">
        <v>8</v>
      </c>
      <c r="B9">
        <v>1</v>
      </c>
      <c r="C9">
        <v>25000</v>
      </c>
      <c r="E9">
        <v>700</v>
      </c>
      <c r="G9">
        <v>1</v>
      </c>
      <c r="I9" s="2">
        <v>42102</v>
      </c>
      <c r="J9" s="4">
        <f>MONTH(Tabela1[[#This Row],[data]])</f>
        <v>4</v>
      </c>
      <c r="K9" s="4">
        <f>IF(Tabela1[[#This Row],[temperatura_srednia]]&lt;=15,1,0)</f>
        <v>1</v>
      </c>
    </row>
    <row r="10" spans="1:14">
      <c r="A10">
        <v>6</v>
      </c>
      <c r="B10">
        <v>2</v>
      </c>
      <c r="C10">
        <v>25000</v>
      </c>
      <c r="E10">
        <v>1400</v>
      </c>
      <c r="G10">
        <v>1</v>
      </c>
      <c r="I10" s="2">
        <v>42103</v>
      </c>
      <c r="J10" s="4">
        <f>MONTH(Tabela1[[#This Row],[data]])</f>
        <v>4</v>
      </c>
      <c r="K10" s="4">
        <f>IF(Tabela1[[#This Row],[temperatura_srednia]]&lt;=15,1,0)</f>
        <v>1</v>
      </c>
    </row>
    <row r="11" spans="1:14">
      <c r="A11">
        <v>9</v>
      </c>
      <c r="B11">
        <v>2</v>
      </c>
      <c r="C11">
        <v>25000</v>
      </c>
      <c r="E11">
        <v>1400</v>
      </c>
      <c r="G11">
        <v>1</v>
      </c>
      <c r="I11" s="2">
        <v>42104</v>
      </c>
      <c r="J11" s="4">
        <f>MONTH(Tabela1[[#This Row],[data]])</f>
        <v>4</v>
      </c>
      <c r="K11" s="4">
        <f>IF(Tabela1[[#This Row],[temperatura_srednia]]&lt;=15,1,0)</f>
        <v>1</v>
      </c>
    </row>
    <row r="12" spans="1:14">
      <c r="A12">
        <v>12</v>
      </c>
      <c r="B12">
        <v>3</v>
      </c>
      <c r="C12">
        <v>25000</v>
      </c>
      <c r="E12">
        <v>2100</v>
      </c>
      <c r="G12">
        <v>1</v>
      </c>
      <c r="I12" s="2">
        <v>42105</v>
      </c>
      <c r="J12" s="4">
        <f>MONTH(Tabela1[[#This Row],[data]])</f>
        <v>4</v>
      </c>
      <c r="K12" s="4">
        <f>IF(Tabela1[[#This Row],[temperatura_srednia]]&lt;=15,1,0)</f>
        <v>1</v>
      </c>
    </row>
    <row r="13" spans="1:14">
      <c r="A13">
        <v>10</v>
      </c>
      <c r="B13">
        <v>2</v>
      </c>
      <c r="C13">
        <v>25000</v>
      </c>
      <c r="E13">
        <v>1400</v>
      </c>
      <c r="G13">
        <v>1</v>
      </c>
      <c r="I13" s="2">
        <v>42106</v>
      </c>
      <c r="J13" s="4">
        <f>MONTH(Tabela1[[#This Row],[data]])</f>
        <v>4</v>
      </c>
      <c r="K13" s="4">
        <f>IF(Tabela1[[#This Row],[temperatura_srednia]]&lt;=15,1,0)</f>
        <v>1</v>
      </c>
    </row>
    <row r="14" spans="1:14">
      <c r="A14">
        <v>8</v>
      </c>
      <c r="B14">
        <v>1</v>
      </c>
      <c r="C14">
        <v>25000</v>
      </c>
      <c r="E14">
        <v>700</v>
      </c>
      <c r="G14">
        <v>1</v>
      </c>
      <c r="I14" s="2">
        <v>42107</v>
      </c>
      <c r="J14" s="4">
        <f>MONTH(Tabela1[[#This Row],[data]])</f>
        <v>4</v>
      </c>
      <c r="K14" s="4">
        <f>IF(Tabela1[[#This Row],[temperatura_srednia]]&lt;=15,1,0)</f>
        <v>1</v>
      </c>
    </row>
    <row r="15" spans="1:14">
      <c r="A15">
        <v>6</v>
      </c>
      <c r="B15">
        <v>0</v>
      </c>
      <c r="C15">
        <v>24889</v>
      </c>
      <c r="G15">
        <v>1</v>
      </c>
      <c r="H15">
        <v>111</v>
      </c>
      <c r="I15" s="2">
        <v>42108</v>
      </c>
      <c r="J15" s="4">
        <f>MONTH(Tabela1[[#This Row],[data]])</f>
        <v>4</v>
      </c>
      <c r="K15" s="4">
        <f>IF(Tabela1[[#This Row],[temperatura_srednia]]&lt;=15,1,0)</f>
        <v>1</v>
      </c>
    </row>
    <row r="16" spans="1:14">
      <c r="A16">
        <v>14</v>
      </c>
      <c r="B16">
        <v>0</v>
      </c>
      <c r="C16">
        <v>24497</v>
      </c>
      <c r="G16">
        <v>1</v>
      </c>
      <c r="H16">
        <v>392</v>
      </c>
      <c r="I16" s="2">
        <v>42109</v>
      </c>
      <c r="J16" s="4">
        <f>MONTH(Tabela1[[#This Row],[data]])</f>
        <v>4</v>
      </c>
      <c r="K16" s="4">
        <f>IF(Tabela1[[#This Row],[temperatura_srednia]]&lt;=15,1,0)</f>
        <v>1</v>
      </c>
    </row>
    <row r="17" spans="1:11">
      <c r="A17">
        <v>10</v>
      </c>
      <c r="B17">
        <v>0</v>
      </c>
      <c r="C17">
        <v>24264</v>
      </c>
      <c r="G17">
        <v>1</v>
      </c>
      <c r="H17">
        <v>233</v>
      </c>
      <c r="I17" s="2">
        <v>42110</v>
      </c>
      <c r="J17" s="4">
        <f>MONTH(Tabela1[[#This Row],[data]])</f>
        <v>4</v>
      </c>
      <c r="K17" s="4">
        <f>IF(Tabela1[[#This Row],[temperatura_srednia]]&lt;=15,1,0)</f>
        <v>1</v>
      </c>
    </row>
    <row r="18" spans="1:11">
      <c r="A18">
        <v>6</v>
      </c>
      <c r="B18">
        <v>0</v>
      </c>
      <c r="C18">
        <v>24157</v>
      </c>
      <c r="G18">
        <v>1</v>
      </c>
      <c r="H18">
        <v>107</v>
      </c>
      <c r="I18" s="2">
        <v>42111</v>
      </c>
      <c r="J18" s="4">
        <f>MONTH(Tabela1[[#This Row],[data]])</f>
        <v>4</v>
      </c>
      <c r="K18" s="4">
        <f>IF(Tabela1[[#This Row],[temperatura_srednia]]&lt;=15,1,0)</f>
        <v>1</v>
      </c>
    </row>
    <row r="19" spans="1:11">
      <c r="A19">
        <v>4</v>
      </c>
      <c r="B19">
        <v>0</v>
      </c>
      <c r="C19">
        <v>24099</v>
      </c>
      <c r="G19">
        <v>1</v>
      </c>
      <c r="H19">
        <v>58</v>
      </c>
      <c r="I19" s="2">
        <v>42112</v>
      </c>
      <c r="J19" s="4">
        <f>MONTH(Tabela1[[#This Row],[data]])</f>
        <v>4</v>
      </c>
      <c r="K19" s="4">
        <f>IF(Tabela1[[#This Row],[temperatura_srednia]]&lt;=15,1,0)</f>
        <v>1</v>
      </c>
    </row>
    <row r="20" spans="1:11">
      <c r="A20">
        <v>7</v>
      </c>
      <c r="B20">
        <v>0</v>
      </c>
      <c r="C20">
        <v>23965</v>
      </c>
      <c r="G20">
        <v>1</v>
      </c>
      <c r="H20">
        <v>134</v>
      </c>
      <c r="I20" s="2">
        <v>42113</v>
      </c>
      <c r="J20" s="4">
        <f>MONTH(Tabela1[[#This Row],[data]])</f>
        <v>4</v>
      </c>
      <c r="K20" s="4">
        <f>IF(Tabela1[[#This Row],[temperatura_srednia]]&lt;=15,1,0)</f>
        <v>1</v>
      </c>
    </row>
    <row r="21" spans="1:11">
      <c r="A21">
        <v>10</v>
      </c>
      <c r="B21">
        <v>1</v>
      </c>
      <c r="C21">
        <v>24665</v>
      </c>
      <c r="G21">
        <v>1</v>
      </c>
      <c r="I21" s="2">
        <v>42114</v>
      </c>
      <c r="J21" s="4">
        <f>MONTH(Tabela1[[#This Row],[data]])</f>
        <v>4</v>
      </c>
      <c r="K21" s="4">
        <f>IF(Tabela1[[#This Row],[temperatura_srednia]]&lt;=15,1,0)</f>
        <v>1</v>
      </c>
    </row>
    <row r="22" spans="1:11">
      <c r="A22">
        <v>11</v>
      </c>
      <c r="B22">
        <v>3.2</v>
      </c>
      <c r="C22">
        <v>25000</v>
      </c>
      <c r="E22">
        <v>1905</v>
      </c>
      <c r="G22">
        <v>1</v>
      </c>
      <c r="I22" s="2">
        <v>42115</v>
      </c>
      <c r="J22" s="4">
        <f>MONTH(Tabela1[[#This Row],[data]])</f>
        <v>4</v>
      </c>
      <c r="K22" s="4">
        <f>IF(Tabela1[[#This Row],[temperatura_srednia]]&lt;=15,1,0)</f>
        <v>1</v>
      </c>
    </row>
    <row r="23" spans="1:11">
      <c r="A23">
        <v>8</v>
      </c>
      <c r="B23">
        <v>2.2000000000000002</v>
      </c>
      <c r="C23">
        <v>25000</v>
      </c>
      <c r="E23">
        <v>1540</v>
      </c>
      <c r="G23">
        <v>1</v>
      </c>
      <c r="I23" s="2">
        <v>42116</v>
      </c>
      <c r="J23" s="4">
        <f>MONTH(Tabela1[[#This Row],[data]])</f>
        <v>4</v>
      </c>
      <c r="K23" s="4">
        <f>IF(Tabela1[[#This Row],[temperatura_srednia]]&lt;=15,1,0)</f>
        <v>1</v>
      </c>
    </row>
    <row r="24" spans="1:11">
      <c r="A24">
        <v>11</v>
      </c>
      <c r="B24">
        <v>1</v>
      </c>
      <c r="C24">
        <v>25000</v>
      </c>
      <c r="E24">
        <v>700</v>
      </c>
      <c r="G24">
        <v>1</v>
      </c>
      <c r="I24" s="2">
        <v>42117</v>
      </c>
      <c r="J24" s="4">
        <f>MONTH(Tabela1[[#This Row],[data]])</f>
        <v>4</v>
      </c>
      <c r="K24" s="4">
        <f>IF(Tabela1[[#This Row],[temperatura_srednia]]&lt;=15,1,0)</f>
        <v>1</v>
      </c>
    </row>
    <row r="25" spans="1:11">
      <c r="A25">
        <v>12</v>
      </c>
      <c r="B25">
        <v>1</v>
      </c>
      <c r="C25">
        <v>25000</v>
      </c>
      <c r="E25">
        <v>700</v>
      </c>
      <c r="G25">
        <v>1</v>
      </c>
      <c r="I25" s="2">
        <v>42118</v>
      </c>
      <c r="J25" s="4">
        <f>MONTH(Tabela1[[#This Row],[data]])</f>
        <v>4</v>
      </c>
      <c r="K25" s="4">
        <f>IF(Tabela1[[#This Row],[temperatura_srednia]]&lt;=15,1,0)</f>
        <v>1</v>
      </c>
    </row>
    <row r="26" spans="1:11">
      <c r="A26">
        <v>14</v>
      </c>
      <c r="B26">
        <v>1</v>
      </c>
      <c r="C26">
        <v>25000</v>
      </c>
      <c r="E26">
        <v>700</v>
      </c>
      <c r="G26">
        <v>1</v>
      </c>
      <c r="I26" s="2">
        <v>42119</v>
      </c>
      <c r="J26" s="4">
        <f>MONTH(Tabela1[[#This Row],[data]])</f>
        <v>4</v>
      </c>
      <c r="K26" s="4">
        <f>IF(Tabela1[[#This Row],[temperatura_srednia]]&lt;=15,1,0)</f>
        <v>1</v>
      </c>
    </row>
    <row r="27" spans="1:11">
      <c r="A27">
        <v>16</v>
      </c>
      <c r="B27">
        <v>0</v>
      </c>
      <c r="C27">
        <v>12520</v>
      </c>
      <c r="F27">
        <v>12000</v>
      </c>
      <c r="G27">
        <v>2</v>
      </c>
      <c r="H27">
        <v>480</v>
      </c>
      <c r="I27" s="2">
        <v>42120</v>
      </c>
      <c r="J27" s="4">
        <f>MONTH(Tabela1[[#This Row],[data]])</f>
        <v>4</v>
      </c>
      <c r="K27" s="4">
        <f>IF(Tabela1[[#This Row],[temperatura_srednia]]&lt;=15,1,0)</f>
        <v>0</v>
      </c>
    </row>
    <row r="28" spans="1:11">
      <c r="A28">
        <v>16</v>
      </c>
      <c r="B28">
        <v>1</v>
      </c>
      <c r="C28">
        <v>13220</v>
      </c>
      <c r="G28">
        <v>3</v>
      </c>
      <c r="I28" s="2">
        <v>42121</v>
      </c>
      <c r="J28" s="4">
        <f>MONTH(Tabela1[[#This Row],[data]])</f>
        <v>4</v>
      </c>
      <c r="K28" s="4">
        <f>IF(Tabela1[[#This Row],[temperatura_srednia]]&lt;=15,1,0)</f>
        <v>0</v>
      </c>
    </row>
    <row r="29" spans="1:11">
      <c r="A29">
        <v>6</v>
      </c>
      <c r="B29">
        <v>2</v>
      </c>
      <c r="C29">
        <v>14620</v>
      </c>
      <c r="G29">
        <v>1</v>
      </c>
      <c r="I29" s="2">
        <v>42122</v>
      </c>
      <c r="J29" s="4">
        <f>MONTH(Tabela1[[#This Row],[data]])</f>
        <v>4</v>
      </c>
      <c r="K29" s="4">
        <f>IF(Tabela1[[#This Row],[temperatura_srednia]]&lt;=15,1,0)</f>
        <v>1</v>
      </c>
    </row>
    <row r="30" spans="1:11">
      <c r="A30">
        <v>7</v>
      </c>
      <c r="B30">
        <v>0</v>
      </c>
      <c r="C30">
        <v>14538</v>
      </c>
      <c r="G30">
        <v>1</v>
      </c>
      <c r="H30">
        <v>82</v>
      </c>
      <c r="I30" s="2">
        <v>42123</v>
      </c>
      <c r="J30" s="4">
        <f>MONTH(Tabela1[[#This Row],[data]])</f>
        <v>4</v>
      </c>
      <c r="K30" s="4">
        <f>IF(Tabela1[[#This Row],[temperatura_srednia]]&lt;=15,1,0)</f>
        <v>1</v>
      </c>
    </row>
    <row r="31" spans="1:11">
      <c r="A31">
        <v>10</v>
      </c>
      <c r="B31">
        <v>0</v>
      </c>
      <c r="C31">
        <v>14400</v>
      </c>
      <c r="G31">
        <v>1</v>
      </c>
      <c r="H31">
        <v>138</v>
      </c>
      <c r="I31" s="2">
        <v>42124</v>
      </c>
      <c r="J31" s="4">
        <f>MONTH(Tabela1[[#This Row],[data]])</f>
        <v>4</v>
      </c>
      <c r="K31" s="4">
        <f>IF(Tabela1[[#This Row],[temperatura_srednia]]&lt;=15,1,0)</f>
        <v>1</v>
      </c>
    </row>
    <row r="32" spans="1:11">
      <c r="A32">
        <v>10</v>
      </c>
      <c r="B32">
        <v>4</v>
      </c>
      <c r="C32">
        <v>17200</v>
      </c>
      <c r="G32">
        <v>1</v>
      </c>
      <c r="I32" s="2">
        <v>42125</v>
      </c>
      <c r="J32" s="4">
        <f>MONTH(Tabela1[[#This Row],[data]])</f>
        <v>5</v>
      </c>
      <c r="K32" s="4">
        <f>IF(Tabela1[[#This Row],[temperatura_srednia]]&lt;=15,1,0)</f>
        <v>1</v>
      </c>
    </row>
    <row r="33" spans="1:11">
      <c r="A33">
        <v>7</v>
      </c>
      <c r="B33">
        <v>5</v>
      </c>
      <c r="C33">
        <v>20700</v>
      </c>
      <c r="G33">
        <v>1</v>
      </c>
      <c r="I33" s="2">
        <v>42126</v>
      </c>
      <c r="J33" s="4">
        <f>MONTH(Tabela1[[#This Row],[data]])</f>
        <v>5</v>
      </c>
      <c r="K33" s="4">
        <f>IF(Tabela1[[#This Row],[temperatura_srednia]]&lt;=15,1,0)</f>
        <v>1</v>
      </c>
    </row>
    <row r="34" spans="1:11">
      <c r="A34">
        <v>9</v>
      </c>
      <c r="B34">
        <v>4</v>
      </c>
      <c r="C34">
        <v>23500</v>
      </c>
      <c r="G34">
        <v>1</v>
      </c>
      <c r="I34" s="2">
        <v>42127</v>
      </c>
      <c r="J34" s="4">
        <f>MONTH(Tabela1[[#This Row],[data]])</f>
        <v>5</v>
      </c>
      <c r="K34" s="4">
        <f>IF(Tabela1[[#This Row],[temperatura_srednia]]&lt;=15,1,0)</f>
        <v>1</v>
      </c>
    </row>
    <row r="35" spans="1:11">
      <c r="A35">
        <v>15</v>
      </c>
      <c r="B35">
        <v>0.4</v>
      </c>
      <c r="C35">
        <v>23780</v>
      </c>
      <c r="G35">
        <v>1</v>
      </c>
      <c r="I35" s="2">
        <v>42128</v>
      </c>
      <c r="J35" s="4">
        <f>MONTH(Tabela1[[#This Row],[data]])</f>
        <v>5</v>
      </c>
      <c r="K35" s="4">
        <f>IF(Tabela1[[#This Row],[temperatura_srednia]]&lt;=15,1,0)</f>
        <v>1</v>
      </c>
    </row>
    <row r="36" spans="1:11">
      <c r="A36">
        <v>18</v>
      </c>
      <c r="B36">
        <v>0.4</v>
      </c>
      <c r="C36">
        <v>12060</v>
      </c>
      <c r="F36">
        <v>12000</v>
      </c>
      <c r="G36">
        <v>2</v>
      </c>
      <c r="I36" s="2">
        <v>42129</v>
      </c>
      <c r="J36" s="4">
        <f>MONTH(Tabela1[[#This Row],[data]])</f>
        <v>5</v>
      </c>
      <c r="K36" s="4">
        <f>IF(Tabela1[[#This Row],[temperatura_srednia]]&lt;=15,1,0)</f>
        <v>0</v>
      </c>
    </row>
    <row r="37" spans="1:11">
      <c r="A37">
        <v>16</v>
      </c>
      <c r="B37">
        <v>0</v>
      </c>
      <c r="C37">
        <v>13000</v>
      </c>
      <c r="D37">
        <v>12940</v>
      </c>
      <c r="F37">
        <v>12000</v>
      </c>
      <c r="G37">
        <v>2</v>
      </c>
      <c r="H37">
        <v>232</v>
      </c>
      <c r="I37" s="2">
        <v>42130</v>
      </c>
      <c r="J37" s="4">
        <f>MONTH(Tabela1[[#This Row],[data]])</f>
        <v>5</v>
      </c>
      <c r="K37" s="4">
        <f>IF(Tabela1[[#This Row],[temperatura_srednia]]&lt;=15,1,0)</f>
        <v>0</v>
      </c>
    </row>
    <row r="38" spans="1:11">
      <c r="A38">
        <v>14</v>
      </c>
      <c r="B38">
        <v>0</v>
      </c>
      <c r="C38">
        <v>12795</v>
      </c>
      <c r="G38">
        <v>1</v>
      </c>
      <c r="H38">
        <v>205</v>
      </c>
      <c r="I38" s="2">
        <v>42131</v>
      </c>
      <c r="J38" s="4">
        <f>MONTH(Tabela1[[#This Row],[data]])</f>
        <v>5</v>
      </c>
      <c r="K38" s="4">
        <f>IF(Tabela1[[#This Row],[temperatura_srednia]]&lt;=15,1,0)</f>
        <v>1</v>
      </c>
    </row>
    <row r="39" spans="1:11">
      <c r="A39">
        <v>10</v>
      </c>
      <c r="B39">
        <v>0</v>
      </c>
      <c r="C39">
        <v>12673</v>
      </c>
      <c r="G39">
        <v>1</v>
      </c>
      <c r="H39">
        <v>122</v>
      </c>
      <c r="I39" s="2">
        <v>42132</v>
      </c>
      <c r="J39" s="4">
        <f>MONTH(Tabela1[[#This Row],[data]])</f>
        <v>5</v>
      </c>
      <c r="K39" s="4">
        <f>IF(Tabela1[[#This Row],[temperatura_srednia]]&lt;=15,1,0)</f>
        <v>1</v>
      </c>
    </row>
    <row r="40" spans="1:11">
      <c r="A40">
        <v>14</v>
      </c>
      <c r="B40">
        <v>0.3</v>
      </c>
      <c r="C40">
        <v>12883</v>
      </c>
      <c r="G40">
        <v>1</v>
      </c>
      <c r="I40" s="2">
        <v>42133</v>
      </c>
      <c r="J40" s="4">
        <f>MONTH(Tabela1[[#This Row],[data]])</f>
        <v>5</v>
      </c>
      <c r="K40" s="4">
        <f>IF(Tabela1[[#This Row],[temperatura_srednia]]&lt;=15,1,0)</f>
        <v>1</v>
      </c>
    </row>
    <row r="41" spans="1:11">
      <c r="A41">
        <v>12</v>
      </c>
      <c r="B41">
        <v>0.1</v>
      </c>
      <c r="C41">
        <v>12953</v>
      </c>
      <c r="G41">
        <v>1</v>
      </c>
      <c r="I41" s="2">
        <v>42134</v>
      </c>
      <c r="J41" s="4">
        <f>MONTH(Tabela1[[#This Row],[data]])</f>
        <v>5</v>
      </c>
      <c r="K41" s="4">
        <f>IF(Tabela1[[#This Row],[temperatura_srednia]]&lt;=15,1,0)</f>
        <v>1</v>
      </c>
    </row>
    <row r="42" spans="1:11">
      <c r="A42">
        <v>11</v>
      </c>
      <c r="B42">
        <v>0</v>
      </c>
      <c r="C42">
        <v>12811</v>
      </c>
      <c r="G42">
        <v>1</v>
      </c>
      <c r="H42">
        <v>142</v>
      </c>
      <c r="I42" s="2">
        <v>42135</v>
      </c>
      <c r="J42" s="4">
        <f>MONTH(Tabela1[[#This Row],[data]])</f>
        <v>5</v>
      </c>
      <c r="K42" s="4">
        <f>IF(Tabela1[[#This Row],[temperatura_srednia]]&lt;=15,1,0)</f>
        <v>1</v>
      </c>
    </row>
    <row r="43" spans="1:11">
      <c r="A43">
        <v>16</v>
      </c>
      <c r="B43">
        <v>3</v>
      </c>
      <c r="C43">
        <v>14911</v>
      </c>
      <c r="G43">
        <v>3</v>
      </c>
      <c r="I43" s="2">
        <v>42136</v>
      </c>
      <c r="J43" s="4">
        <f>MONTH(Tabela1[[#This Row],[data]])</f>
        <v>5</v>
      </c>
      <c r="K43" s="4">
        <f>IF(Tabela1[[#This Row],[temperatura_srednia]]&lt;=15,1,0)</f>
        <v>0</v>
      </c>
    </row>
    <row r="44" spans="1:11">
      <c r="A44">
        <v>12</v>
      </c>
      <c r="B44">
        <v>0</v>
      </c>
      <c r="C44">
        <v>14725</v>
      </c>
      <c r="G44">
        <v>1</v>
      </c>
      <c r="H44">
        <v>186</v>
      </c>
      <c r="I44" s="2">
        <v>42137</v>
      </c>
      <c r="J44" s="4">
        <f>MONTH(Tabela1[[#This Row],[data]])</f>
        <v>5</v>
      </c>
      <c r="K44" s="4">
        <f>IF(Tabela1[[#This Row],[temperatura_srednia]]&lt;=15,1,0)</f>
        <v>1</v>
      </c>
    </row>
    <row r="45" spans="1:11">
      <c r="A45">
        <v>10</v>
      </c>
      <c r="B45">
        <v>0</v>
      </c>
      <c r="C45">
        <v>14585</v>
      </c>
      <c r="G45">
        <v>1</v>
      </c>
      <c r="H45">
        <v>140</v>
      </c>
      <c r="I45" s="2">
        <v>42138</v>
      </c>
      <c r="J45" s="4">
        <f>MONTH(Tabela1[[#This Row],[data]])</f>
        <v>5</v>
      </c>
      <c r="K45" s="4">
        <f>IF(Tabela1[[#This Row],[temperatura_srednia]]&lt;=15,1,0)</f>
        <v>1</v>
      </c>
    </row>
    <row r="46" spans="1:11">
      <c r="A46">
        <v>12</v>
      </c>
      <c r="B46">
        <v>0</v>
      </c>
      <c r="C46">
        <v>14403</v>
      </c>
      <c r="G46">
        <v>1</v>
      </c>
      <c r="H46">
        <v>182</v>
      </c>
      <c r="I46" s="2">
        <v>42139</v>
      </c>
      <c r="J46" s="4">
        <f>MONTH(Tabela1[[#This Row],[data]])</f>
        <v>5</v>
      </c>
      <c r="K46" s="4">
        <f>IF(Tabela1[[#This Row],[temperatura_srednia]]&lt;=15,1,0)</f>
        <v>1</v>
      </c>
    </row>
    <row r="47" spans="1:11">
      <c r="A47">
        <v>10</v>
      </c>
      <c r="B47">
        <v>1.8</v>
      </c>
      <c r="C47">
        <v>15663</v>
      </c>
      <c r="G47">
        <v>1</v>
      </c>
      <c r="I47" s="2">
        <v>42140</v>
      </c>
      <c r="J47" s="4">
        <f>MONTH(Tabela1[[#This Row],[data]])</f>
        <v>5</v>
      </c>
      <c r="K47" s="4">
        <f>IF(Tabela1[[#This Row],[temperatura_srednia]]&lt;=15,1,0)</f>
        <v>1</v>
      </c>
    </row>
    <row r="48" spans="1:11">
      <c r="A48">
        <v>11</v>
      </c>
      <c r="B48">
        <v>2.8</v>
      </c>
      <c r="C48">
        <v>17623</v>
      </c>
      <c r="G48">
        <v>1</v>
      </c>
      <c r="I48" s="2">
        <v>42141</v>
      </c>
      <c r="J48" s="4">
        <f>MONTH(Tabela1[[#This Row],[data]])</f>
        <v>5</v>
      </c>
      <c r="K48" s="4">
        <f>IF(Tabela1[[#This Row],[temperatura_srednia]]&lt;=15,1,0)</f>
        <v>1</v>
      </c>
    </row>
    <row r="49" spans="1:11">
      <c r="A49">
        <v>12</v>
      </c>
      <c r="B49">
        <v>1.9</v>
      </c>
      <c r="C49">
        <v>18953</v>
      </c>
      <c r="G49">
        <v>1</v>
      </c>
      <c r="I49" s="2">
        <v>42142</v>
      </c>
      <c r="J49" s="4">
        <f>MONTH(Tabela1[[#This Row],[data]])</f>
        <v>5</v>
      </c>
      <c r="K49" s="4">
        <f>IF(Tabela1[[#This Row],[temperatura_srednia]]&lt;=15,1,0)</f>
        <v>1</v>
      </c>
    </row>
    <row r="50" spans="1:11">
      <c r="A50">
        <v>16</v>
      </c>
      <c r="B50">
        <v>2.2000000000000002</v>
      </c>
      <c r="C50">
        <v>20493</v>
      </c>
      <c r="G50">
        <v>3</v>
      </c>
      <c r="I50" s="2">
        <v>42143</v>
      </c>
      <c r="J50" s="4">
        <f>MONTH(Tabela1[[#This Row],[data]])</f>
        <v>5</v>
      </c>
      <c r="K50" s="4">
        <f>IF(Tabela1[[#This Row],[temperatura_srednia]]&lt;=15,1,0)</f>
        <v>0</v>
      </c>
    </row>
    <row r="51" spans="1:11">
      <c r="A51">
        <v>13</v>
      </c>
      <c r="B51">
        <v>2.2999999999999998</v>
      </c>
      <c r="C51">
        <v>22103</v>
      </c>
      <c r="G51">
        <v>1</v>
      </c>
      <c r="I51" s="2">
        <v>42144</v>
      </c>
      <c r="J51" s="4">
        <f>MONTH(Tabela1[[#This Row],[data]])</f>
        <v>5</v>
      </c>
      <c r="K51" s="4">
        <f>IF(Tabela1[[#This Row],[temperatura_srednia]]&lt;=15,1,0)</f>
        <v>1</v>
      </c>
    </row>
    <row r="52" spans="1:11">
      <c r="A52">
        <v>11</v>
      </c>
      <c r="B52">
        <v>5.4</v>
      </c>
      <c r="C52">
        <v>25000</v>
      </c>
      <c r="E52">
        <v>883</v>
      </c>
      <c r="G52">
        <v>1</v>
      </c>
      <c r="I52" s="2">
        <v>42145</v>
      </c>
      <c r="J52" s="4">
        <f>MONTH(Tabela1[[#This Row],[data]])</f>
        <v>5</v>
      </c>
      <c r="K52" s="4">
        <f>IF(Tabela1[[#This Row],[temperatura_srednia]]&lt;=15,1,0)</f>
        <v>1</v>
      </c>
    </row>
    <row r="53" spans="1:11">
      <c r="A53">
        <v>12</v>
      </c>
      <c r="B53">
        <v>5.5</v>
      </c>
      <c r="C53">
        <v>25000</v>
      </c>
      <c r="E53">
        <v>3850</v>
      </c>
      <c r="G53">
        <v>1</v>
      </c>
      <c r="I53" s="2">
        <v>42146</v>
      </c>
      <c r="J53" s="4">
        <f>MONTH(Tabela1[[#This Row],[data]])</f>
        <v>5</v>
      </c>
      <c r="K53" s="4">
        <f>IF(Tabela1[[#This Row],[temperatura_srednia]]&lt;=15,1,0)</f>
        <v>1</v>
      </c>
    </row>
    <row r="54" spans="1:11">
      <c r="A54">
        <v>12</v>
      </c>
      <c r="B54">
        <v>5.2</v>
      </c>
      <c r="C54">
        <v>25000</v>
      </c>
      <c r="E54">
        <v>3640</v>
      </c>
      <c r="G54">
        <v>1</v>
      </c>
      <c r="I54" s="2">
        <v>42147</v>
      </c>
      <c r="J54" s="4">
        <f>MONTH(Tabela1[[#This Row],[data]])</f>
        <v>5</v>
      </c>
      <c r="K54" s="4">
        <f>IF(Tabela1[[#This Row],[temperatura_srednia]]&lt;=15,1,0)</f>
        <v>1</v>
      </c>
    </row>
    <row r="55" spans="1:11">
      <c r="A55">
        <v>14</v>
      </c>
      <c r="B55">
        <v>3</v>
      </c>
      <c r="C55">
        <v>25000</v>
      </c>
      <c r="E55">
        <v>2100</v>
      </c>
      <c r="G55">
        <v>1</v>
      </c>
      <c r="I55" s="2">
        <v>42148</v>
      </c>
      <c r="J55" s="4">
        <f>MONTH(Tabela1[[#This Row],[data]])</f>
        <v>5</v>
      </c>
      <c r="K55" s="4">
        <f>IF(Tabela1[[#This Row],[temperatura_srednia]]&lt;=15,1,0)</f>
        <v>1</v>
      </c>
    </row>
    <row r="56" spans="1:11">
      <c r="A56">
        <v>15</v>
      </c>
      <c r="B56">
        <v>0</v>
      </c>
      <c r="C56">
        <v>24564</v>
      </c>
      <c r="G56">
        <v>1</v>
      </c>
      <c r="H56">
        <v>436</v>
      </c>
      <c r="I56" s="2">
        <v>42149</v>
      </c>
      <c r="J56" s="4">
        <f>MONTH(Tabela1[[#This Row],[data]])</f>
        <v>5</v>
      </c>
      <c r="K56" s="4">
        <f>IF(Tabela1[[#This Row],[temperatura_srednia]]&lt;=15,1,0)</f>
        <v>1</v>
      </c>
    </row>
    <row r="57" spans="1:11">
      <c r="A57">
        <v>14</v>
      </c>
      <c r="B57">
        <v>0</v>
      </c>
      <c r="C57">
        <v>24177</v>
      </c>
      <c r="G57">
        <v>1</v>
      </c>
      <c r="H57">
        <v>387</v>
      </c>
      <c r="I57" s="2">
        <v>42150</v>
      </c>
      <c r="J57" s="4">
        <f>MONTH(Tabela1[[#This Row],[data]])</f>
        <v>5</v>
      </c>
      <c r="K57" s="4">
        <f>IF(Tabela1[[#This Row],[temperatura_srednia]]&lt;=15,1,0)</f>
        <v>1</v>
      </c>
    </row>
    <row r="58" spans="1:11">
      <c r="A58">
        <v>10</v>
      </c>
      <c r="B58">
        <v>0</v>
      </c>
      <c r="C58">
        <v>23947</v>
      </c>
      <c r="G58">
        <v>1</v>
      </c>
      <c r="H58">
        <v>230</v>
      </c>
      <c r="I58" s="2">
        <v>42151</v>
      </c>
      <c r="J58" s="4">
        <f>MONTH(Tabela1[[#This Row],[data]])</f>
        <v>5</v>
      </c>
      <c r="K58" s="4">
        <f>IF(Tabela1[[#This Row],[temperatura_srednia]]&lt;=15,1,0)</f>
        <v>1</v>
      </c>
    </row>
    <row r="59" spans="1:11">
      <c r="A59">
        <v>12</v>
      </c>
      <c r="B59">
        <v>0.1</v>
      </c>
      <c r="C59">
        <v>24017</v>
      </c>
      <c r="G59">
        <v>1</v>
      </c>
      <c r="I59" s="2">
        <v>42152</v>
      </c>
      <c r="J59" s="4">
        <f>MONTH(Tabela1[[#This Row],[data]])</f>
        <v>5</v>
      </c>
      <c r="K59" s="4">
        <f>IF(Tabela1[[#This Row],[temperatura_srednia]]&lt;=15,1,0)</f>
        <v>1</v>
      </c>
    </row>
    <row r="60" spans="1:11">
      <c r="A60">
        <v>14</v>
      </c>
      <c r="B60">
        <v>0</v>
      </c>
      <c r="C60">
        <v>23639</v>
      </c>
      <c r="G60">
        <v>1</v>
      </c>
      <c r="H60">
        <v>378</v>
      </c>
      <c r="I60" s="2">
        <v>42153</v>
      </c>
      <c r="J60" s="4">
        <f>MONTH(Tabela1[[#This Row],[data]])</f>
        <v>5</v>
      </c>
      <c r="K60" s="4">
        <f>IF(Tabela1[[#This Row],[temperatura_srednia]]&lt;=15,1,0)</f>
        <v>1</v>
      </c>
    </row>
    <row r="61" spans="1:11">
      <c r="A61">
        <v>13</v>
      </c>
      <c r="B61">
        <v>0</v>
      </c>
      <c r="C61">
        <v>23306</v>
      </c>
      <c r="G61">
        <v>1</v>
      </c>
      <c r="H61">
        <v>333</v>
      </c>
      <c r="I61" s="2">
        <v>42154</v>
      </c>
      <c r="J61" s="4">
        <f>MONTH(Tabela1[[#This Row],[data]])</f>
        <v>5</v>
      </c>
      <c r="K61" s="4">
        <f>IF(Tabela1[[#This Row],[temperatura_srednia]]&lt;=15,1,0)</f>
        <v>1</v>
      </c>
    </row>
    <row r="62" spans="1:11">
      <c r="A62">
        <v>12</v>
      </c>
      <c r="B62">
        <v>0</v>
      </c>
      <c r="C62">
        <v>23015</v>
      </c>
      <c r="G62">
        <v>1</v>
      </c>
      <c r="H62">
        <v>291</v>
      </c>
      <c r="I62" s="2">
        <v>42155</v>
      </c>
      <c r="J62" s="4">
        <f>MONTH(Tabela1[[#This Row],[data]])</f>
        <v>5</v>
      </c>
      <c r="K62" s="4">
        <f>IF(Tabela1[[#This Row],[temperatura_srednia]]&lt;=15,1,0)</f>
        <v>1</v>
      </c>
    </row>
    <row r="63" spans="1:11">
      <c r="A63">
        <v>18</v>
      </c>
      <c r="B63">
        <v>4</v>
      </c>
      <c r="C63">
        <v>25000</v>
      </c>
      <c r="E63">
        <v>815</v>
      </c>
      <c r="G63">
        <v>3</v>
      </c>
      <c r="I63" s="2">
        <v>42156</v>
      </c>
      <c r="J63" s="4">
        <f>MONTH(Tabela1[[#This Row],[data]])</f>
        <v>6</v>
      </c>
      <c r="K63" s="4">
        <f>IF(Tabela1[[#This Row],[temperatura_srednia]]&lt;=15,1,0)</f>
        <v>0</v>
      </c>
    </row>
    <row r="64" spans="1:11">
      <c r="A64">
        <v>18</v>
      </c>
      <c r="B64">
        <v>3</v>
      </c>
      <c r="C64">
        <v>25000</v>
      </c>
      <c r="E64">
        <v>2100</v>
      </c>
      <c r="G64">
        <v>3</v>
      </c>
      <c r="I64" s="2">
        <v>42157</v>
      </c>
      <c r="J64" s="4">
        <f>MONTH(Tabela1[[#This Row],[data]])</f>
        <v>6</v>
      </c>
      <c r="K64" s="4">
        <f>IF(Tabela1[[#This Row],[temperatura_srednia]]&lt;=15,1,0)</f>
        <v>0</v>
      </c>
    </row>
    <row r="65" spans="1:11">
      <c r="A65">
        <v>22</v>
      </c>
      <c r="B65">
        <v>0</v>
      </c>
      <c r="C65">
        <v>12226</v>
      </c>
      <c r="F65">
        <v>12000</v>
      </c>
      <c r="G65">
        <v>2</v>
      </c>
      <c r="H65">
        <v>774</v>
      </c>
      <c r="I65" s="2">
        <v>42158</v>
      </c>
      <c r="J65" s="4">
        <f>MONTH(Tabela1[[#This Row],[data]])</f>
        <v>6</v>
      </c>
      <c r="K65" s="4">
        <f>IF(Tabela1[[#This Row],[temperatura_srednia]]&lt;=15,1,0)</f>
        <v>0</v>
      </c>
    </row>
    <row r="66" spans="1:11">
      <c r="A66">
        <v>15</v>
      </c>
      <c r="B66">
        <v>0</v>
      </c>
      <c r="C66">
        <v>12012</v>
      </c>
      <c r="G66">
        <v>1</v>
      </c>
      <c r="H66">
        <v>214</v>
      </c>
      <c r="I66" s="2">
        <v>42159</v>
      </c>
      <c r="J66" s="4">
        <f>MONTH(Tabela1[[#This Row],[data]])</f>
        <v>6</v>
      </c>
      <c r="K66" s="4">
        <f>IF(Tabela1[[#This Row],[temperatura_srednia]]&lt;=15,1,0)</f>
        <v>1</v>
      </c>
    </row>
    <row r="67" spans="1:11">
      <c r="A67">
        <v>18</v>
      </c>
      <c r="B67">
        <v>0</v>
      </c>
      <c r="C67">
        <v>13000</v>
      </c>
      <c r="D67">
        <v>12988</v>
      </c>
      <c r="F67">
        <v>12000</v>
      </c>
      <c r="G67">
        <v>2</v>
      </c>
      <c r="H67">
        <v>276</v>
      </c>
      <c r="I67" s="2">
        <v>42160</v>
      </c>
      <c r="J67" s="4">
        <f>MONTH(Tabela1[[#This Row],[data]])</f>
        <v>6</v>
      </c>
      <c r="K67" s="4">
        <f>IF(Tabela1[[#This Row],[temperatura_srednia]]&lt;=15,1,0)</f>
        <v>0</v>
      </c>
    </row>
    <row r="68" spans="1:11">
      <c r="A68">
        <v>22</v>
      </c>
      <c r="B68">
        <v>0</v>
      </c>
      <c r="C68">
        <v>597</v>
      </c>
      <c r="F68">
        <v>12000</v>
      </c>
      <c r="G68">
        <v>2</v>
      </c>
      <c r="H68">
        <v>403</v>
      </c>
      <c r="I68" s="2">
        <v>42161</v>
      </c>
      <c r="J68" s="4">
        <f>MONTH(Tabela1[[#This Row],[data]])</f>
        <v>6</v>
      </c>
      <c r="K68" s="4">
        <f>IF(Tabela1[[#This Row],[temperatura_srednia]]&lt;=15,1,0)</f>
        <v>0</v>
      </c>
    </row>
    <row r="69" spans="1:11">
      <c r="A69">
        <v>14</v>
      </c>
      <c r="B69">
        <v>8</v>
      </c>
      <c r="C69">
        <v>6197</v>
      </c>
      <c r="G69">
        <v>1</v>
      </c>
      <c r="I69" s="2">
        <v>42162</v>
      </c>
      <c r="J69" s="4">
        <f>MONTH(Tabela1[[#This Row],[data]])</f>
        <v>6</v>
      </c>
      <c r="K69" s="4">
        <f>IF(Tabela1[[#This Row],[temperatura_srednia]]&lt;=15,1,0)</f>
        <v>1</v>
      </c>
    </row>
    <row r="70" spans="1:11">
      <c r="A70">
        <v>14</v>
      </c>
      <c r="B70">
        <v>5.9</v>
      </c>
      <c r="C70">
        <v>10327</v>
      </c>
      <c r="G70">
        <v>1</v>
      </c>
      <c r="I70" s="2">
        <v>42163</v>
      </c>
      <c r="J70" s="4">
        <f>MONTH(Tabela1[[#This Row],[data]])</f>
        <v>6</v>
      </c>
      <c r="K70" s="4">
        <f>IF(Tabela1[[#This Row],[temperatura_srednia]]&lt;=15,1,0)</f>
        <v>1</v>
      </c>
    </row>
    <row r="71" spans="1:11">
      <c r="A71">
        <v>12</v>
      </c>
      <c r="B71">
        <v>5</v>
      </c>
      <c r="C71">
        <v>13827</v>
      </c>
      <c r="G71">
        <v>1</v>
      </c>
      <c r="I71" s="2">
        <v>42164</v>
      </c>
      <c r="J71" s="4">
        <f>MONTH(Tabela1[[#This Row],[data]])</f>
        <v>6</v>
      </c>
      <c r="K71" s="4">
        <f>IF(Tabela1[[#This Row],[temperatura_srednia]]&lt;=15,1,0)</f>
        <v>1</v>
      </c>
    </row>
    <row r="72" spans="1:11">
      <c r="A72">
        <v>16</v>
      </c>
      <c r="B72">
        <v>0</v>
      </c>
      <c r="C72">
        <v>1561</v>
      </c>
      <c r="F72">
        <v>12000</v>
      </c>
      <c r="G72">
        <v>2</v>
      </c>
      <c r="H72">
        <v>266</v>
      </c>
      <c r="I72" s="2">
        <v>42165</v>
      </c>
      <c r="J72" s="4">
        <f>MONTH(Tabela1[[#This Row],[data]])</f>
        <v>6</v>
      </c>
      <c r="K72" s="4">
        <f>IF(Tabela1[[#This Row],[temperatura_srednia]]&lt;=15,1,0)</f>
        <v>0</v>
      </c>
    </row>
    <row r="73" spans="1:11">
      <c r="A73">
        <v>16</v>
      </c>
      <c r="B73">
        <v>0</v>
      </c>
      <c r="C73">
        <v>13000</v>
      </c>
      <c r="D73">
        <v>23439</v>
      </c>
      <c r="F73">
        <v>12000</v>
      </c>
      <c r="G73">
        <v>2</v>
      </c>
      <c r="H73">
        <v>30</v>
      </c>
      <c r="I73" s="2">
        <v>42166</v>
      </c>
      <c r="J73" s="4">
        <f>MONTH(Tabela1[[#This Row],[data]])</f>
        <v>6</v>
      </c>
      <c r="K73" s="4">
        <f>IF(Tabela1[[#This Row],[temperatura_srednia]]&lt;=15,1,0)</f>
        <v>0</v>
      </c>
    </row>
    <row r="74" spans="1:11">
      <c r="A74">
        <v>18</v>
      </c>
      <c r="B74">
        <v>5</v>
      </c>
      <c r="C74">
        <v>16500</v>
      </c>
      <c r="G74">
        <v>3</v>
      </c>
      <c r="I74" s="2">
        <v>42167</v>
      </c>
      <c r="J74" s="4">
        <f>MONTH(Tabela1[[#This Row],[data]])</f>
        <v>6</v>
      </c>
      <c r="K74" s="4">
        <f>IF(Tabela1[[#This Row],[temperatura_srednia]]&lt;=15,1,0)</f>
        <v>0</v>
      </c>
    </row>
    <row r="75" spans="1:11">
      <c r="A75">
        <v>19</v>
      </c>
      <c r="B75">
        <v>1</v>
      </c>
      <c r="C75">
        <v>17200</v>
      </c>
      <c r="G75">
        <v>3</v>
      </c>
      <c r="I75" s="2">
        <v>42168</v>
      </c>
      <c r="J75" s="4">
        <f>MONTH(Tabela1[[#This Row],[data]])</f>
        <v>6</v>
      </c>
      <c r="K75" s="4">
        <f>IF(Tabela1[[#This Row],[temperatura_srednia]]&lt;=15,1,0)</f>
        <v>0</v>
      </c>
    </row>
    <row r="76" spans="1:11">
      <c r="A76">
        <v>22</v>
      </c>
      <c r="B76">
        <v>0</v>
      </c>
      <c r="C76">
        <v>4667</v>
      </c>
      <c r="F76">
        <v>12000</v>
      </c>
      <c r="G76">
        <v>2</v>
      </c>
      <c r="H76">
        <v>533</v>
      </c>
      <c r="I76" s="2">
        <v>42169</v>
      </c>
      <c r="J76" s="4">
        <f>MONTH(Tabela1[[#This Row],[data]])</f>
        <v>6</v>
      </c>
      <c r="K76" s="4">
        <f>IF(Tabela1[[#This Row],[temperatura_srednia]]&lt;=15,1,0)</f>
        <v>0</v>
      </c>
    </row>
    <row r="77" spans="1:11">
      <c r="A77">
        <v>16</v>
      </c>
      <c r="B77">
        <v>0</v>
      </c>
      <c r="C77">
        <v>13000</v>
      </c>
      <c r="D77">
        <v>20333</v>
      </c>
      <c r="F77">
        <v>12000</v>
      </c>
      <c r="G77">
        <v>2</v>
      </c>
      <c r="H77">
        <v>90</v>
      </c>
      <c r="I77" s="2">
        <v>42170</v>
      </c>
      <c r="J77" s="4">
        <f>MONTH(Tabela1[[#This Row],[data]])</f>
        <v>6</v>
      </c>
      <c r="K77" s="4">
        <f>IF(Tabela1[[#This Row],[temperatura_srednia]]&lt;=15,1,0)</f>
        <v>0</v>
      </c>
    </row>
    <row r="78" spans="1:11">
      <c r="A78">
        <v>12</v>
      </c>
      <c r="B78">
        <v>0</v>
      </c>
      <c r="C78">
        <v>12837</v>
      </c>
      <c r="G78">
        <v>1</v>
      </c>
      <c r="H78">
        <v>163</v>
      </c>
      <c r="I78" s="2">
        <v>42171</v>
      </c>
      <c r="J78" s="4">
        <f>MONTH(Tabela1[[#This Row],[data]])</f>
        <v>6</v>
      </c>
      <c r="K78" s="4">
        <f>IF(Tabela1[[#This Row],[temperatura_srednia]]&lt;=15,1,0)</f>
        <v>1</v>
      </c>
    </row>
    <row r="79" spans="1:11">
      <c r="A79">
        <v>14</v>
      </c>
      <c r="B79">
        <v>0</v>
      </c>
      <c r="C79">
        <v>12635</v>
      </c>
      <c r="G79">
        <v>1</v>
      </c>
      <c r="H79">
        <v>202</v>
      </c>
      <c r="I79" s="2">
        <v>42172</v>
      </c>
      <c r="J79" s="4">
        <f>MONTH(Tabela1[[#This Row],[data]])</f>
        <v>6</v>
      </c>
      <c r="K79" s="4">
        <f>IF(Tabela1[[#This Row],[temperatura_srednia]]&lt;=15,1,0)</f>
        <v>1</v>
      </c>
    </row>
    <row r="80" spans="1:11">
      <c r="A80">
        <v>16</v>
      </c>
      <c r="B80">
        <v>0.3</v>
      </c>
      <c r="C80">
        <v>845</v>
      </c>
      <c r="F80">
        <v>12000</v>
      </c>
      <c r="G80">
        <v>2</v>
      </c>
      <c r="I80" s="2">
        <v>42173</v>
      </c>
      <c r="J80" s="4">
        <f>MONTH(Tabela1[[#This Row],[data]])</f>
        <v>6</v>
      </c>
      <c r="K80" s="4">
        <f>IF(Tabela1[[#This Row],[temperatura_srednia]]&lt;=15,1,0)</f>
        <v>0</v>
      </c>
    </row>
    <row r="81" spans="1:11">
      <c r="A81">
        <v>12</v>
      </c>
      <c r="B81">
        <v>3</v>
      </c>
      <c r="C81">
        <v>2945</v>
      </c>
      <c r="G81">
        <v>1</v>
      </c>
      <c r="I81" s="2">
        <v>42174</v>
      </c>
      <c r="J81" s="4">
        <f>MONTH(Tabela1[[#This Row],[data]])</f>
        <v>6</v>
      </c>
      <c r="K81" s="4">
        <f>IF(Tabela1[[#This Row],[temperatura_srednia]]&lt;=15,1,0)</f>
        <v>1</v>
      </c>
    </row>
    <row r="82" spans="1:11">
      <c r="A82">
        <v>13</v>
      </c>
      <c r="B82">
        <v>2</v>
      </c>
      <c r="C82">
        <v>4345</v>
      </c>
      <c r="G82">
        <v>1</v>
      </c>
      <c r="I82" s="2">
        <v>42175</v>
      </c>
      <c r="J82" s="4">
        <f>MONTH(Tabela1[[#This Row],[data]])</f>
        <v>6</v>
      </c>
      <c r="K82" s="4">
        <f>IF(Tabela1[[#This Row],[temperatura_srednia]]&lt;=15,1,0)</f>
        <v>1</v>
      </c>
    </row>
    <row r="83" spans="1:11">
      <c r="A83">
        <v>12</v>
      </c>
      <c r="B83">
        <v>0</v>
      </c>
      <c r="C83">
        <v>4290</v>
      </c>
      <c r="G83">
        <v>1</v>
      </c>
      <c r="H83">
        <v>55</v>
      </c>
      <c r="I83" s="2">
        <v>42176</v>
      </c>
      <c r="J83" s="4">
        <f>MONTH(Tabela1[[#This Row],[data]])</f>
        <v>6</v>
      </c>
      <c r="K83" s="4">
        <f>IF(Tabela1[[#This Row],[temperatura_srednia]]&lt;=15,1,0)</f>
        <v>1</v>
      </c>
    </row>
    <row r="84" spans="1:11">
      <c r="A84">
        <v>12</v>
      </c>
      <c r="B84">
        <v>3</v>
      </c>
      <c r="C84">
        <v>6390</v>
      </c>
      <c r="G84">
        <v>1</v>
      </c>
      <c r="I84" s="2">
        <v>42177</v>
      </c>
      <c r="J84" s="4">
        <f>MONTH(Tabela1[[#This Row],[data]])</f>
        <v>6</v>
      </c>
      <c r="K84" s="4">
        <f>IF(Tabela1[[#This Row],[temperatura_srednia]]&lt;=15,1,0)</f>
        <v>1</v>
      </c>
    </row>
    <row r="85" spans="1:11">
      <c r="A85">
        <v>13</v>
      </c>
      <c r="B85">
        <v>3</v>
      </c>
      <c r="C85">
        <v>8490</v>
      </c>
      <c r="G85">
        <v>1</v>
      </c>
      <c r="I85" s="2">
        <v>42178</v>
      </c>
      <c r="J85" s="4">
        <f>MONTH(Tabela1[[#This Row],[data]])</f>
        <v>6</v>
      </c>
      <c r="K85" s="4">
        <f>IF(Tabela1[[#This Row],[temperatura_srednia]]&lt;=15,1,0)</f>
        <v>1</v>
      </c>
    </row>
    <row r="86" spans="1:11">
      <c r="A86">
        <v>12</v>
      </c>
      <c r="B86">
        <v>0</v>
      </c>
      <c r="C86">
        <v>8384</v>
      </c>
      <c r="G86">
        <v>1</v>
      </c>
      <c r="H86">
        <v>106</v>
      </c>
      <c r="I86" s="2">
        <v>42179</v>
      </c>
      <c r="J86" s="4">
        <f>MONTH(Tabela1[[#This Row],[data]])</f>
        <v>6</v>
      </c>
      <c r="K86" s="4">
        <f>IF(Tabela1[[#This Row],[temperatura_srednia]]&lt;=15,1,0)</f>
        <v>1</v>
      </c>
    </row>
    <row r="87" spans="1:11">
      <c r="A87">
        <v>16</v>
      </c>
      <c r="B87">
        <v>0</v>
      </c>
      <c r="C87">
        <v>13000</v>
      </c>
      <c r="D87">
        <v>16616</v>
      </c>
      <c r="F87">
        <v>12000</v>
      </c>
      <c r="G87">
        <v>2</v>
      </c>
      <c r="H87">
        <v>161</v>
      </c>
      <c r="I87" s="2">
        <v>42180</v>
      </c>
      <c r="J87" s="4">
        <f>MONTH(Tabela1[[#This Row],[data]])</f>
        <v>6</v>
      </c>
      <c r="K87" s="4">
        <f>IF(Tabela1[[#This Row],[temperatura_srednia]]&lt;=15,1,0)</f>
        <v>0</v>
      </c>
    </row>
    <row r="88" spans="1:11">
      <c r="A88">
        <v>16</v>
      </c>
      <c r="B88">
        <v>7</v>
      </c>
      <c r="C88">
        <v>17900</v>
      </c>
      <c r="G88">
        <v>3</v>
      </c>
      <c r="I88" s="2">
        <v>42181</v>
      </c>
      <c r="J88" s="4">
        <f>MONTH(Tabela1[[#This Row],[data]])</f>
        <v>6</v>
      </c>
      <c r="K88" s="4">
        <f>IF(Tabela1[[#This Row],[temperatura_srednia]]&lt;=15,1,0)</f>
        <v>0</v>
      </c>
    </row>
    <row r="89" spans="1:11">
      <c r="A89">
        <v>18</v>
      </c>
      <c r="B89">
        <v>6</v>
      </c>
      <c r="C89">
        <v>22100</v>
      </c>
      <c r="G89">
        <v>3</v>
      </c>
      <c r="I89" s="2">
        <v>42182</v>
      </c>
      <c r="J89" s="4">
        <f>MONTH(Tabela1[[#This Row],[data]])</f>
        <v>6</v>
      </c>
      <c r="K89" s="4">
        <f>IF(Tabela1[[#This Row],[temperatura_srednia]]&lt;=15,1,0)</f>
        <v>0</v>
      </c>
    </row>
    <row r="90" spans="1:11">
      <c r="A90">
        <v>16</v>
      </c>
      <c r="B90">
        <v>0</v>
      </c>
      <c r="C90">
        <v>9675</v>
      </c>
      <c r="F90">
        <v>12000</v>
      </c>
      <c r="G90">
        <v>2</v>
      </c>
      <c r="H90">
        <v>425</v>
      </c>
      <c r="I90" s="2">
        <v>42183</v>
      </c>
      <c r="J90" s="4">
        <f>MONTH(Tabela1[[#This Row],[data]])</f>
        <v>6</v>
      </c>
      <c r="K90" s="4">
        <f>IF(Tabela1[[#This Row],[temperatura_srednia]]&lt;=15,1,0)</f>
        <v>0</v>
      </c>
    </row>
    <row r="91" spans="1:11">
      <c r="A91">
        <v>16</v>
      </c>
      <c r="B91">
        <v>0</v>
      </c>
      <c r="C91">
        <v>13000</v>
      </c>
      <c r="D91">
        <v>15325</v>
      </c>
      <c r="F91">
        <v>12000</v>
      </c>
      <c r="G91">
        <v>2</v>
      </c>
      <c r="H91">
        <v>186</v>
      </c>
      <c r="I91" s="2">
        <v>42184</v>
      </c>
      <c r="J91" s="4">
        <f>MONTH(Tabela1[[#This Row],[data]])</f>
        <v>6</v>
      </c>
      <c r="K91" s="4">
        <f>IF(Tabela1[[#This Row],[temperatura_srednia]]&lt;=15,1,0)</f>
        <v>0</v>
      </c>
    </row>
    <row r="92" spans="1:11">
      <c r="A92">
        <v>19</v>
      </c>
      <c r="B92">
        <v>0</v>
      </c>
      <c r="C92">
        <v>677</v>
      </c>
      <c r="F92">
        <v>12000</v>
      </c>
      <c r="G92">
        <v>2</v>
      </c>
      <c r="H92">
        <v>323</v>
      </c>
      <c r="I92" s="2">
        <v>42185</v>
      </c>
      <c r="J92" s="4">
        <f>MONTH(Tabela1[[#This Row],[data]])</f>
        <v>6</v>
      </c>
      <c r="K92" s="4">
        <f>IF(Tabela1[[#This Row],[temperatura_srednia]]&lt;=15,1,0)</f>
        <v>0</v>
      </c>
    </row>
    <row r="93" spans="1:11">
      <c r="A93">
        <v>18</v>
      </c>
      <c r="B93">
        <v>0</v>
      </c>
      <c r="C93">
        <v>13000</v>
      </c>
      <c r="D93">
        <v>24323</v>
      </c>
      <c r="F93">
        <v>12000</v>
      </c>
      <c r="G93">
        <v>2</v>
      </c>
      <c r="H93">
        <v>16</v>
      </c>
      <c r="I93" s="2">
        <v>42186</v>
      </c>
      <c r="J93" s="4">
        <f>MONTH(Tabela1[[#This Row],[data]])</f>
        <v>7</v>
      </c>
      <c r="K93" s="4">
        <f>IF(Tabela1[[#This Row],[temperatura_srednia]]&lt;=15,1,0)</f>
        <v>0</v>
      </c>
    </row>
    <row r="94" spans="1:11">
      <c r="A94">
        <v>20</v>
      </c>
      <c r="B94">
        <v>0</v>
      </c>
      <c r="C94">
        <v>651</v>
      </c>
      <c r="F94">
        <v>12000</v>
      </c>
      <c r="G94">
        <v>2</v>
      </c>
      <c r="H94">
        <v>349</v>
      </c>
      <c r="I94" s="2">
        <v>42187</v>
      </c>
      <c r="J94" s="4">
        <f>MONTH(Tabela1[[#This Row],[data]])</f>
        <v>7</v>
      </c>
      <c r="K94" s="4">
        <f>IF(Tabela1[[#This Row],[temperatura_srednia]]&lt;=15,1,0)</f>
        <v>0</v>
      </c>
    </row>
    <row r="95" spans="1:11">
      <c r="A95">
        <v>22</v>
      </c>
      <c r="B95">
        <v>0</v>
      </c>
      <c r="C95">
        <v>13000</v>
      </c>
      <c r="D95">
        <v>24349</v>
      </c>
      <c r="F95">
        <v>12000</v>
      </c>
      <c r="G95">
        <v>2</v>
      </c>
      <c r="H95">
        <v>21</v>
      </c>
      <c r="I95" s="2">
        <v>42188</v>
      </c>
      <c r="J95" s="4">
        <f>MONTH(Tabela1[[#This Row],[data]])</f>
        <v>7</v>
      </c>
      <c r="K95" s="4">
        <f>IF(Tabela1[[#This Row],[temperatura_srednia]]&lt;=15,1,0)</f>
        <v>0</v>
      </c>
    </row>
    <row r="96" spans="1:11">
      <c r="A96">
        <v>25</v>
      </c>
      <c r="B96">
        <v>0</v>
      </c>
      <c r="C96">
        <v>512</v>
      </c>
      <c r="F96">
        <v>12000</v>
      </c>
      <c r="G96">
        <v>2</v>
      </c>
      <c r="H96">
        <v>488</v>
      </c>
      <c r="I96" s="2">
        <v>42189</v>
      </c>
      <c r="J96" s="4">
        <f>MONTH(Tabela1[[#This Row],[data]])</f>
        <v>7</v>
      </c>
      <c r="K96" s="4">
        <f>IF(Tabela1[[#This Row],[temperatura_srednia]]&lt;=15,1,0)</f>
        <v>0</v>
      </c>
    </row>
    <row r="97" spans="1:11">
      <c r="A97">
        <v>26</v>
      </c>
      <c r="B97">
        <v>0</v>
      </c>
      <c r="C97">
        <v>13000</v>
      </c>
      <c r="D97">
        <v>24488</v>
      </c>
      <c r="F97">
        <v>12000</v>
      </c>
      <c r="G97">
        <v>2</v>
      </c>
      <c r="H97">
        <v>21</v>
      </c>
      <c r="I97" s="2">
        <v>42190</v>
      </c>
      <c r="J97" s="4">
        <f>MONTH(Tabela1[[#This Row],[data]])</f>
        <v>7</v>
      </c>
      <c r="K97" s="4">
        <f>IF(Tabela1[[#This Row],[temperatura_srednia]]&lt;=15,1,0)</f>
        <v>0</v>
      </c>
    </row>
    <row r="98" spans="1:11">
      <c r="A98">
        <v>22</v>
      </c>
      <c r="B98">
        <v>0</v>
      </c>
      <c r="C98">
        <v>597</v>
      </c>
      <c r="F98">
        <v>12000</v>
      </c>
      <c r="G98">
        <v>2</v>
      </c>
      <c r="H98">
        <v>403</v>
      </c>
      <c r="I98" s="2">
        <v>42191</v>
      </c>
      <c r="J98" s="4">
        <f>MONTH(Tabela1[[#This Row],[data]])</f>
        <v>7</v>
      </c>
      <c r="K98" s="4">
        <f>IF(Tabela1[[#This Row],[temperatura_srednia]]&lt;=15,1,0)</f>
        <v>0</v>
      </c>
    </row>
    <row r="99" spans="1:11">
      <c r="A99">
        <v>22</v>
      </c>
      <c r="B99">
        <v>18</v>
      </c>
      <c r="C99">
        <v>13197</v>
      </c>
      <c r="G99">
        <v>3</v>
      </c>
      <c r="I99" s="2">
        <v>42192</v>
      </c>
      <c r="J99" s="4">
        <f>MONTH(Tabela1[[#This Row],[data]])</f>
        <v>7</v>
      </c>
      <c r="K99" s="4">
        <f>IF(Tabela1[[#This Row],[temperatura_srednia]]&lt;=15,1,0)</f>
        <v>0</v>
      </c>
    </row>
    <row r="100" spans="1:11">
      <c r="A100">
        <v>20</v>
      </c>
      <c r="B100">
        <v>3</v>
      </c>
      <c r="C100">
        <v>15297</v>
      </c>
      <c r="G100">
        <v>3</v>
      </c>
      <c r="I100" s="2">
        <v>42193</v>
      </c>
      <c r="J100" s="4">
        <f>MONTH(Tabela1[[#This Row],[data]])</f>
        <v>7</v>
      </c>
      <c r="K100" s="4">
        <f>IF(Tabela1[[#This Row],[temperatura_srednia]]&lt;=15,1,0)</f>
        <v>0</v>
      </c>
    </row>
    <row r="101" spans="1:11">
      <c r="A101">
        <v>16</v>
      </c>
      <c r="B101">
        <v>0.2</v>
      </c>
      <c r="C101">
        <v>3437</v>
      </c>
      <c r="F101">
        <v>12000</v>
      </c>
      <c r="G101">
        <v>2</v>
      </c>
      <c r="I101" s="2">
        <v>42194</v>
      </c>
      <c r="J101" s="4">
        <f>MONTH(Tabela1[[#This Row],[data]])</f>
        <v>7</v>
      </c>
      <c r="K101" s="4">
        <f>IF(Tabela1[[#This Row],[temperatura_srednia]]&lt;=15,1,0)</f>
        <v>0</v>
      </c>
    </row>
    <row r="102" spans="1:11">
      <c r="A102">
        <v>13</v>
      </c>
      <c r="B102">
        <v>12.2</v>
      </c>
      <c r="C102">
        <v>11977</v>
      </c>
      <c r="G102">
        <v>1</v>
      </c>
      <c r="I102" s="2">
        <v>42195</v>
      </c>
      <c r="J102" s="4">
        <f>MONTH(Tabela1[[#This Row],[data]])</f>
        <v>7</v>
      </c>
      <c r="K102" s="4">
        <f>IF(Tabela1[[#This Row],[temperatura_srednia]]&lt;=15,1,0)</f>
        <v>1</v>
      </c>
    </row>
    <row r="103" spans="1:11">
      <c r="A103">
        <v>16</v>
      </c>
      <c r="B103">
        <v>0</v>
      </c>
      <c r="C103">
        <v>13000</v>
      </c>
      <c r="D103">
        <v>13023</v>
      </c>
      <c r="F103">
        <v>12000</v>
      </c>
      <c r="G103">
        <v>2</v>
      </c>
      <c r="H103">
        <v>230</v>
      </c>
      <c r="I103" s="2">
        <v>42196</v>
      </c>
      <c r="J103" s="4">
        <f>MONTH(Tabela1[[#This Row],[data]])</f>
        <v>7</v>
      </c>
      <c r="K103" s="4">
        <f>IF(Tabela1[[#This Row],[temperatura_srednia]]&lt;=15,1,0)</f>
        <v>0</v>
      </c>
    </row>
    <row r="104" spans="1:11">
      <c r="A104">
        <v>18</v>
      </c>
      <c r="B104">
        <v>2</v>
      </c>
      <c r="C104">
        <v>14400</v>
      </c>
      <c r="G104">
        <v>3</v>
      </c>
      <c r="I104" s="2">
        <v>42197</v>
      </c>
      <c r="J104" s="4">
        <f>MONTH(Tabela1[[#This Row],[data]])</f>
        <v>7</v>
      </c>
      <c r="K104" s="4">
        <f>IF(Tabela1[[#This Row],[temperatura_srednia]]&lt;=15,1,0)</f>
        <v>0</v>
      </c>
    </row>
    <row r="105" spans="1:11">
      <c r="A105">
        <v>18</v>
      </c>
      <c r="B105">
        <v>12</v>
      </c>
      <c r="C105">
        <v>22800</v>
      </c>
      <c r="G105">
        <v>3</v>
      </c>
      <c r="I105" s="2">
        <v>42198</v>
      </c>
      <c r="J105" s="4">
        <f>MONTH(Tabela1[[#This Row],[data]])</f>
        <v>7</v>
      </c>
      <c r="K105" s="4">
        <f>IF(Tabela1[[#This Row],[temperatura_srednia]]&lt;=15,1,0)</f>
        <v>0</v>
      </c>
    </row>
    <row r="106" spans="1:11">
      <c r="A106">
        <v>18</v>
      </c>
      <c r="B106">
        <v>0</v>
      </c>
      <c r="C106">
        <v>10277</v>
      </c>
      <c r="F106">
        <v>12000</v>
      </c>
      <c r="G106">
        <v>2</v>
      </c>
      <c r="H106">
        <v>523</v>
      </c>
      <c r="I106" s="2">
        <v>42199</v>
      </c>
      <c r="J106" s="4">
        <f>MONTH(Tabela1[[#This Row],[data]])</f>
        <v>7</v>
      </c>
      <c r="K106" s="4">
        <f>IF(Tabela1[[#This Row],[temperatura_srednia]]&lt;=15,1,0)</f>
        <v>0</v>
      </c>
    </row>
    <row r="107" spans="1:11">
      <c r="A107">
        <v>18</v>
      </c>
      <c r="B107">
        <v>0</v>
      </c>
      <c r="C107">
        <v>13000</v>
      </c>
      <c r="D107">
        <v>14723</v>
      </c>
      <c r="F107">
        <v>12000</v>
      </c>
      <c r="G107">
        <v>2</v>
      </c>
      <c r="H107">
        <v>236</v>
      </c>
      <c r="I107" s="2">
        <v>42200</v>
      </c>
      <c r="J107" s="4">
        <f>MONTH(Tabela1[[#This Row],[data]])</f>
        <v>7</v>
      </c>
      <c r="K107" s="4">
        <f>IF(Tabela1[[#This Row],[temperatura_srednia]]&lt;=15,1,0)</f>
        <v>0</v>
      </c>
    </row>
    <row r="108" spans="1:11">
      <c r="A108">
        <v>16</v>
      </c>
      <c r="B108">
        <v>0</v>
      </c>
      <c r="C108">
        <v>750</v>
      </c>
      <c r="F108">
        <v>12000</v>
      </c>
      <c r="G108">
        <v>2</v>
      </c>
      <c r="H108">
        <v>250</v>
      </c>
      <c r="I108" s="2">
        <v>42201</v>
      </c>
      <c r="J108" s="4">
        <f>MONTH(Tabela1[[#This Row],[data]])</f>
        <v>7</v>
      </c>
      <c r="K108" s="4">
        <f>IF(Tabela1[[#This Row],[temperatura_srednia]]&lt;=15,1,0)</f>
        <v>0</v>
      </c>
    </row>
    <row r="109" spans="1:11">
      <c r="A109">
        <v>21</v>
      </c>
      <c r="B109">
        <v>0</v>
      </c>
      <c r="C109">
        <v>13000</v>
      </c>
      <c r="D109">
        <v>24250</v>
      </c>
      <c r="F109">
        <v>12000</v>
      </c>
      <c r="G109">
        <v>2</v>
      </c>
      <c r="H109">
        <v>22</v>
      </c>
      <c r="I109" s="2">
        <v>42202</v>
      </c>
      <c r="J109" s="4">
        <f>MONTH(Tabela1[[#This Row],[data]])</f>
        <v>7</v>
      </c>
      <c r="K109" s="4">
        <f>IF(Tabela1[[#This Row],[temperatura_srednia]]&lt;=15,1,0)</f>
        <v>0</v>
      </c>
    </row>
    <row r="110" spans="1:11">
      <c r="A110">
        <v>26</v>
      </c>
      <c r="B110">
        <v>0</v>
      </c>
      <c r="C110">
        <v>482</v>
      </c>
      <c r="F110">
        <v>12000</v>
      </c>
      <c r="G110">
        <v>2</v>
      </c>
      <c r="H110">
        <v>518</v>
      </c>
      <c r="I110" s="2">
        <v>42203</v>
      </c>
      <c r="J110" s="4">
        <f>MONTH(Tabela1[[#This Row],[data]])</f>
        <v>7</v>
      </c>
      <c r="K110" s="4">
        <f>IF(Tabela1[[#This Row],[temperatura_srednia]]&lt;=15,1,0)</f>
        <v>0</v>
      </c>
    </row>
    <row r="111" spans="1:11">
      <c r="A111">
        <v>23</v>
      </c>
      <c r="B111">
        <v>18</v>
      </c>
      <c r="C111">
        <v>13082</v>
      </c>
      <c r="G111">
        <v>3</v>
      </c>
      <c r="I111" s="2">
        <v>42204</v>
      </c>
      <c r="J111" s="4">
        <f>MONTH(Tabela1[[#This Row],[data]])</f>
        <v>7</v>
      </c>
      <c r="K111" s="4">
        <f>IF(Tabela1[[#This Row],[temperatura_srednia]]&lt;=15,1,0)</f>
        <v>0</v>
      </c>
    </row>
    <row r="112" spans="1:11">
      <c r="A112">
        <v>19</v>
      </c>
      <c r="B112">
        <v>0</v>
      </c>
      <c r="C112">
        <v>756</v>
      </c>
      <c r="F112">
        <v>12000</v>
      </c>
      <c r="G112">
        <v>2</v>
      </c>
      <c r="H112">
        <v>326</v>
      </c>
      <c r="I112" s="2">
        <v>42205</v>
      </c>
      <c r="J112" s="4">
        <f>MONTH(Tabela1[[#This Row],[data]])</f>
        <v>7</v>
      </c>
      <c r="K112" s="4">
        <f>IF(Tabela1[[#This Row],[temperatura_srednia]]&lt;=15,1,0)</f>
        <v>0</v>
      </c>
    </row>
    <row r="113" spans="1:11">
      <c r="A113">
        <v>20</v>
      </c>
      <c r="B113">
        <v>6</v>
      </c>
      <c r="C113">
        <v>4956</v>
      </c>
      <c r="G113">
        <v>3</v>
      </c>
      <c r="I113" s="2">
        <v>42206</v>
      </c>
      <c r="J113" s="4">
        <f>MONTH(Tabela1[[#This Row],[data]])</f>
        <v>7</v>
      </c>
      <c r="K113" s="4">
        <f>IF(Tabela1[[#This Row],[temperatura_srednia]]&lt;=15,1,0)</f>
        <v>0</v>
      </c>
    </row>
    <row r="114" spans="1:11">
      <c r="A114">
        <v>22</v>
      </c>
      <c r="B114">
        <v>0</v>
      </c>
      <c r="C114">
        <v>13000</v>
      </c>
      <c r="D114">
        <v>20044</v>
      </c>
      <c r="F114">
        <v>12000</v>
      </c>
      <c r="G114">
        <v>2</v>
      </c>
      <c r="H114">
        <v>154</v>
      </c>
      <c r="I114" s="2">
        <v>42207</v>
      </c>
      <c r="J114" s="4">
        <f>MONTH(Tabela1[[#This Row],[data]])</f>
        <v>7</v>
      </c>
      <c r="K114" s="4">
        <f>IF(Tabela1[[#This Row],[temperatura_srednia]]&lt;=15,1,0)</f>
        <v>0</v>
      </c>
    </row>
    <row r="115" spans="1:11">
      <c r="A115">
        <v>20</v>
      </c>
      <c r="B115">
        <v>0</v>
      </c>
      <c r="C115">
        <v>651</v>
      </c>
      <c r="F115">
        <v>12000</v>
      </c>
      <c r="G115">
        <v>2</v>
      </c>
      <c r="H115">
        <v>349</v>
      </c>
      <c r="I115" s="2">
        <v>42208</v>
      </c>
      <c r="J115" s="4">
        <f>MONTH(Tabela1[[#This Row],[data]])</f>
        <v>7</v>
      </c>
      <c r="K115" s="4">
        <f>IF(Tabela1[[#This Row],[temperatura_srednia]]&lt;=15,1,0)</f>
        <v>0</v>
      </c>
    </row>
    <row r="116" spans="1:11">
      <c r="A116">
        <v>20</v>
      </c>
      <c r="B116">
        <v>0</v>
      </c>
      <c r="C116">
        <v>13000</v>
      </c>
      <c r="D116">
        <v>24349</v>
      </c>
      <c r="F116">
        <v>12000</v>
      </c>
      <c r="G116">
        <v>2</v>
      </c>
      <c r="H116">
        <v>18</v>
      </c>
      <c r="I116" s="2">
        <v>42209</v>
      </c>
      <c r="J116" s="4">
        <f>MONTH(Tabela1[[#This Row],[data]])</f>
        <v>7</v>
      </c>
      <c r="K116" s="4">
        <f>IF(Tabela1[[#This Row],[temperatura_srednia]]&lt;=15,1,0)</f>
        <v>0</v>
      </c>
    </row>
    <row r="117" spans="1:11">
      <c r="A117">
        <v>23</v>
      </c>
      <c r="B117">
        <v>0.1</v>
      </c>
      <c r="C117">
        <v>1070</v>
      </c>
      <c r="F117">
        <v>12000</v>
      </c>
      <c r="G117">
        <v>2</v>
      </c>
      <c r="I117" s="2">
        <v>42210</v>
      </c>
      <c r="J117" s="4">
        <f>MONTH(Tabela1[[#This Row],[data]])</f>
        <v>7</v>
      </c>
      <c r="K117" s="4">
        <f>IF(Tabela1[[#This Row],[temperatura_srednia]]&lt;=15,1,0)</f>
        <v>0</v>
      </c>
    </row>
    <row r="118" spans="1:11">
      <c r="A118">
        <v>16</v>
      </c>
      <c r="B118">
        <v>0</v>
      </c>
      <c r="C118">
        <v>13000</v>
      </c>
      <c r="D118">
        <v>23930</v>
      </c>
      <c r="F118">
        <v>12000</v>
      </c>
      <c r="G118">
        <v>2</v>
      </c>
      <c r="H118">
        <v>21</v>
      </c>
      <c r="I118" s="2">
        <v>42211</v>
      </c>
      <c r="J118" s="4">
        <f>MONTH(Tabela1[[#This Row],[data]])</f>
        <v>7</v>
      </c>
      <c r="K118" s="4">
        <f>IF(Tabela1[[#This Row],[temperatura_srednia]]&lt;=15,1,0)</f>
        <v>0</v>
      </c>
    </row>
    <row r="119" spans="1:11">
      <c r="A119">
        <v>16</v>
      </c>
      <c r="B119">
        <v>0.1</v>
      </c>
      <c r="C119">
        <v>1070</v>
      </c>
      <c r="F119">
        <v>12000</v>
      </c>
      <c r="G119">
        <v>2</v>
      </c>
      <c r="I119" s="2">
        <v>42212</v>
      </c>
      <c r="J119" s="4">
        <f>MONTH(Tabela1[[#This Row],[data]])</f>
        <v>7</v>
      </c>
      <c r="K119" s="4">
        <f>IF(Tabela1[[#This Row],[temperatura_srednia]]&lt;=15,1,0)</f>
        <v>0</v>
      </c>
    </row>
    <row r="120" spans="1:11">
      <c r="A120">
        <v>18</v>
      </c>
      <c r="B120">
        <v>0.3</v>
      </c>
      <c r="C120">
        <v>13000</v>
      </c>
      <c r="D120">
        <v>23930</v>
      </c>
      <c r="F120">
        <v>12000</v>
      </c>
      <c r="G120">
        <v>2</v>
      </c>
      <c r="I120" s="2">
        <v>42213</v>
      </c>
      <c r="J120" s="4">
        <f>MONTH(Tabela1[[#This Row],[data]])</f>
        <v>7</v>
      </c>
      <c r="K120" s="4">
        <f>IF(Tabela1[[#This Row],[temperatura_srednia]]&lt;=15,1,0)</f>
        <v>0</v>
      </c>
    </row>
    <row r="121" spans="1:11">
      <c r="A121">
        <v>18</v>
      </c>
      <c r="B121">
        <v>0</v>
      </c>
      <c r="C121">
        <v>702</v>
      </c>
      <c r="F121">
        <v>12000</v>
      </c>
      <c r="G121">
        <v>2</v>
      </c>
      <c r="H121">
        <v>298</v>
      </c>
      <c r="I121" s="2">
        <v>42214</v>
      </c>
      <c r="J121" s="4">
        <f>MONTH(Tabela1[[#This Row],[data]])</f>
        <v>7</v>
      </c>
      <c r="K121" s="4">
        <f>IF(Tabela1[[#This Row],[temperatura_srednia]]&lt;=15,1,0)</f>
        <v>0</v>
      </c>
    </row>
    <row r="122" spans="1:11">
      <c r="A122">
        <v>14</v>
      </c>
      <c r="B122">
        <v>0</v>
      </c>
      <c r="C122">
        <v>690</v>
      </c>
      <c r="G122">
        <v>1</v>
      </c>
      <c r="H122">
        <v>12</v>
      </c>
      <c r="I122" s="2">
        <v>42215</v>
      </c>
      <c r="J122" s="4">
        <f>MONTH(Tabela1[[#This Row],[data]])</f>
        <v>7</v>
      </c>
      <c r="K122" s="4">
        <f>IF(Tabela1[[#This Row],[temperatura_srednia]]&lt;=15,1,0)</f>
        <v>1</v>
      </c>
    </row>
    <row r="123" spans="1:11">
      <c r="A123">
        <v>14</v>
      </c>
      <c r="B123">
        <v>0</v>
      </c>
      <c r="C123">
        <v>679</v>
      </c>
      <c r="G123">
        <v>1</v>
      </c>
      <c r="H123">
        <v>11</v>
      </c>
      <c r="I123" s="2">
        <v>42216</v>
      </c>
      <c r="J123" s="4">
        <f>MONTH(Tabela1[[#This Row],[data]])</f>
        <v>7</v>
      </c>
      <c r="K123" s="4">
        <f>IF(Tabela1[[#This Row],[temperatura_srednia]]&lt;=15,1,0)</f>
        <v>1</v>
      </c>
    </row>
    <row r="124" spans="1:11">
      <c r="A124">
        <v>16</v>
      </c>
      <c r="B124">
        <v>0</v>
      </c>
      <c r="C124">
        <v>13000</v>
      </c>
      <c r="D124">
        <v>24321</v>
      </c>
      <c r="F124">
        <v>12000</v>
      </c>
      <c r="G124">
        <v>2</v>
      </c>
      <c r="H124">
        <v>14</v>
      </c>
      <c r="I124" s="2">
        <v>42217</v>
      </c>
      <c r="J124" s="4">
        <f>MONTH(Tabela1[[#This Row],[data]])</f>
        <v>8</v>
      </c>
      <c r="K124" s="4">
        <f>IF(Tabela1[[#This Row],[temperatura_srednia]]&lt;=15,1,0)</f>
        <v>0</v>
      </c>
    </row>
    <row r="125" spans="1:11">
      <c r="A125">
        <v>22</v>
      </c>
      <c r="B125">
        <v>0</v>
      </c>
      <c r="C125">
        <v>597</v>
      </c>
      <c r="F125">
        <v>12000</v>
      </c>
      <c r="G125">
        <v>2</v>
      </c>
      <c r="H125">
        <v>403</v>
      </c>
      <c r="I125" s="2">
        <v>42218</v>
      </c>
      <c r="J125" s="4">
        <f>MONTH(Tabela1[[#This Row],[data]])</f>
        <v>8</v>
      </c>
      <c r="K125" s="4">
        <f>IF(Tabela1[[#This Row],[temperatura_srednia]]&lt;=15,1,0)</f>
        <v>0</v>
      </c>
    </row>
    <row r="126" spans="1:11">
      <c r="A126">
        <v>22</v>
      </c>
      <c r="B126">
        <v>0</v>
      </c>
      <c r="C126">
        <v>13000</v>
      </c>
      <c r="D126">
        <v>24403</v>
      </c>
      <c r="F126">
        <v>12000</v>
      </c>
      <c r="G126">
        <v>2</v>
      </c>
      <c r="H126">
        <v>19</v>
      </c>
      <c r="I126" s="2">
        <v>42219</v>
      </c>
      <c r="J126" s="4">
        <f>MONTH(Tabela1[[#This Row],[data]])</f>
        <v>8</v>
      </c>
      <c r="K126" s="4">
        <f>IF(Tabela1[[#This Row],[temperatura_srednia]]&lt;=15,1,0)</f>
        <v>0</v>
      </c>
    </row>
    <row r="127" spans="1:11">
      <c r="A127">
        <v>25</v>
      </c>
      <c r="B127">
        <v>0</v>
      </c>
      <c r="C127">
        <v>512</v>
      </c>
      <c r="F127">
        <v>12000</v>
      </c>
      <c r="G127">
        <v>2</v>
      </c>
      <c r="H127">
        <v>488</v>
      </c>
      <c r="I127" s="2">
        <v>42220</v>
      </c>
      <c r="J127" s="4">
        <f>MONTH(Tabela1[[#This Row],[data]])</f>
        <v>8</v>
      </c>
      <c r="K127" s="4">
        <f>IF(Tabela1[[#This Row],[temperatura_srednia]]&lt;=15,1,0)</f>
        <v>0</v>
      </c>
    </row>
    <row r="128" spans="1:11">
      <c r="A128">
        <v>24</v>
      </c>
      <c r="B128">
        <v>0</v>
      </c>
      <c r="C128">
        <v>13000</v>
      </c>
      <c r="D128">
        <v>24488</v>
      </c>
      <c r="F128">
        <v>12000</v>
      </c>
      <c r="G128">
        <v>2</v>
      </c>
      <c r="H128">
        <v>19</v>
      </c>
      <c r="I128" s="2">
        <v>42221</v>
      </c>
      <c r="J128" s="4">
        <f>MONTH(Tabela1[[#This Row],[data]])</f>
        <v>8</v>
      </c>
      <c r="K128" s="4">
        <f>IF(Tabela1[[#This Row],[temperatura_srednia]]&lt;=15,1,0)</f>
        <v>0</v>
      </c>
    </row>
    <row r="129" spans="1:11">
      <c r="A129">
        <v>24</v>
      </c>
      <c r="B129">
        <v>0</v>
      </c>
      <c r="C129">
        <v>541</v>
      </c>
      <c r="F129">
        <v>12000</v>
      </c>
      <c r="G129">
        <v>2</v>
      </c>
      <c r="H129">
        <v>459</v>
      </c>
      <c r="I129" s="2">
        <v>42222</v>
      </c>
      <c r="J129" s="4">
        <f>MONTH(Tabela1[[#This Row],[data]])</f>
        <v>8</v>
      </c>
      <c r="K129" s="4">
        <f>IF(Tabela1[[#This Row],[temperatura_srednia]]&lt;=15,1,0)</f>
        <v>0</v>
      </c>
    </row>
    <row r="130" spans="1:11">
      <c r="A130">
        <v>28</v>
      </c>
      <c r="B130">
        <v>0</v>
      </c>
      <c r="C130">
        <v>13000</v>
      </c>
      <c r="D130">
        <v>24459</v>
      </c>
      <c r="F130">
        <v>12000</v>
      </c>
      <c r="G130">
        <v>2</v>
      </c>
      <c r="H130">
        <v>25</v>
      </c>
      <c r="I130" s="2">
        <v>42223</v>
      </c>
      <c r="J130" s="4">
        <f>MONTH(Tabela1[[#This Row],[data]])</f>
        <v>8</v>
      </c>
      <c r="K130" s="4">
        <f>IF(Tabela1[[#This Row],[temperatura_srednia]]&lt;=15,1,0)</f>
        <v>0</v>
      </c>
    </row>
    <row r="131" spans="1:11">
      <c r="A131">
        <v>28</v>
      </c>
      <c r="B131">
        <v>0</v>
      </c>
      <c r="C131">
        <v>422</v>
      </c>
      <c r="F131">
        <v>12000</v>
      </c>
      <c r="G131">
        <v>2</v>
      </c>
      <c r="H131">
        <v>578</v>
      </c>
      <c r="I131" s="2">
        <v>42224</v>
      </c>
      <c r="J131" s="4">
        <f>MONTH(Tabela1[[#This Row],[data]])</f>
        <v>8</v>
      </c>
      <c r="K131" s="4">
        <f>IF(Tabela1[[#This Row],[temperatura_srednia]]&lt;=15,1,0)</f>
        <v>0</v>
      </c>
    </row>
    <row r="132" spans="1:11">
      <c r="A132">
        <v>24</v>
      </c>
      <c r="B132">
        <v>0</v>
      </c>
      <c r="C132">
        <v>13000</v>
      </c>
      <c r="D132">
        <v>24578</v>
      </c>
      <c r="F132">
        <v>12000</v>
      </c>
      <c r="G132">
        <v>2</v>
      </c>
      <c r="H132">
        <v>15</v>
      </c>
      <c r="I132" s="2">
        <v>42225</v>
      </c>
      <c r="J132" s="4">
        <f>MONTH(Tabela1[[#This Row],[data]])</f>
        <v>8</v>
      </c>
      <c r="K132" s="4">
        <f>IF(Tabela1[[#This Row],[temperatura_srednia]]&lt;=15,1,0)</f>
        <v>0</v>
      </c>
    </row>
    <row r="133" spans="1:11">
      <c r="A133">
        <v>24</v>
      </c>
      <c r="B133">
        <v>0</v>
      </c>
      <c r="C133">
        <v>541</v>
      </c>
      <c r="F133">
        <v>12000</v>
      </c>
      <c r="G133">
        <v>2</v>
      </c>
      <c r="H133">
        <v>459</v>
      </c>
      <c r="I133" s="2">
        <v>42226</v>
      </c>
      <c r="J133" s="4">
        <f>MONTH(Tabela1[[#This Row],[data]])</f>
        <v>8</v>
      </c>
      <c r="K133" s="4">
        <f>IF(Tabela1[[#This Row],[temperatura_srednia]]&lt;=15,1,0)</f>
        <v>0</v>
      </c>
    </row>
    <row r="134" spans="1:11">
      <c r="A134">
        <v>26</v>
      </c>
      <c r="B134">
        <v>0</v>
      </c>
      <c r="C134">
        <v>13000</v>
      </c>
      <c r="D134">
        <v>24459</v>
      </c>
      <c r="F134">
        <v>12000</v>
      </c>
      <c r="G134">
        <v>2</v>
      </c>
      <c r="H134">
        <v>22</v>
      </c>
      <c r="I134" s="2">
        <v>42227</v>
      </c>
      <c r="J134" s="4">
        <f>MONTH(Tabela1[[#This Row],[data]])</f>
        <v>8</v>
      </c>
      <c r="K134" s="4">
        <f>IF(Tabela1[[#This Row],[temperatura_srednia]]&lt;=15,1,0)</f>
        <v>0</v>
      </c>
    </row>
    <row r="135" spans="1:11">
      <c r="A135">
        <v>32</v>
      </c>
      <c r="B135">
        <v>0.6</v>
      </c>
      <c r="C135">
        <v>13420</v>
      </c>
      <c r="G135">
        <v>3</v>
      </c>
      <c r="I135" s="2">
        <v>42228</v>
      </c>
      <c r="J135" s="4">
        <f>MONTH(Tabela1[[#This Row],[data]])</f>
        <v>8</v>
      </c>
      <c r="K135" s="4">
        <f>IF(Tabela1[[#This Row],[temperatura_srednia]]&lt;=15,1,0)</f>
        <v>0</v>
      </c>
    </row>
    <row r="136" spans="1:11">
      <c r="A136">
        <v>31</v>
      </c>
      <c r="B136">
        <v>0.1</v>
      </c>
      <c r="C136">
        <v>1000</v>
      </c>
      <c r="D136">
        <v>11580</v>
      </c>
      <c r="F136">
        <v>24000</v>
      </c>
      <c r="G136">
        <v>1</v>
      </c>
      <c r="I136" s="2">
        <v>42229</v>
      </c>
      <c r="J136" s="4">
        <f>MONTH(Tabela1[[#This Row],[data]])</f>
        <v>8</v>
      </c>
      <c r="K136" s="4">
        <f>IF(Tabela1[[#This Row],[temperatura_srednia]]&lt;=15,1,0)</f>
        <v>0</v>
      </c>
    </row>
    <row r="137" spans="1:11">
      <c r="A137">
        <v>33</v>
      </c>
      <c r="B137">
        <v>0</v>
      </c>
      <c r="C137">
        <v>1000</v>
      </c>
      <c r="D137">
        <v>24000</v>
      </c>
      <c r="F137">
        <v>24000</v>
      </c>
      <c r="G137">
        <v>1</v>
      </c>
      <c r="H137">
        <v>57</v>
      </c>
      <c r="I137" s="2">
        <v>42230</v>
      </c>
      <c r="J137" s="4">
        <f>MONTH(Tabela1[[#This Row],[data]])</f>
        <v>8</v>
      </c>
      <c r="K137" s="4">
        <f>IF(Tabela1[[#This Row],[temperatura_srednia]]&lt;=15,1,0)</f>
        <v>0</v>
      </c>
    </row>
    <row r="138" spans="1:11">
      <c r="A138">
        <v>31</v>
      </c>
      <c r="B138">
        <v>12</v>
      </c>
      <c r="C138">
        <v>9400</v>
      </c>
      <c r="G138">
        <v>3</v>
      </c>
      <c r="I138" s="2">
        <v>42231</v>
      </c>
      <c r="J138" s="4">
        <f>MONTH(Tabela1[[#This Row],[data]])</f>
        <v>8</v>
      </c>
      <c r="K138" s="4">
        <f>IF(Tabela1[[#This Row],[temperatura_srednia]]&lt;=15,1,0)</f>
        <v>0</v>
      </c>
    </row>
    <row r="139" spans="1:11">
      <c r="A139">
        <v>22</v>
      </c>
      <c r="B139">
        <v>0</v>
      </c>
      <c r="C139">
        <v>13000</v>
      </c>
      <c r="D139">
        <v>15600</v>
      </c>
      <c r="F139">
        <v>12000</v>
      </c>
      <c r="G139">
        <v>2</v>
      </c>
      <c r="H139">
        <v>291</v>
      </c>
      <c r="I139" s="2">
        <v>42232</v>
      </c>
      <c r="J139" s="4">
        <f>MONTH(Tabela1[[#This Row],[data]])</f>
        <v>8</v>
      </c>
      <c r="K139" s="4">
        <f>IF(Tabela1[[#This Row],[temperatura_srednia]]&lt;=15,1,0)</f>
        <v>0</v>
      </c>
    </row>
    <row r="140" spans="1:11">
      <c r="A140">
        <v>24</v>
      </c>
      <c r="B140">
        <v>0.2</v>
      </c>
      <c r="C140">
        <v>1140</v>
      </c>
      <c r="F140">
        <v>12000</v>
      </c>
      <c r="G140">
        <v>2</v>
      </c>
      <c r="I140" s="2">
        <v>42233</v>
      </c>
      <c r="J140" s="4">
        <f>MONTH(Tabela1[[#This Row],[data]])</f>
        <v>8</v>
      </c>
      <c r="K140" s="4">
        <f>IF(Tabela1[[#This Row],[temperatura_srednia]]&lt;=15,1,0)</f>
        <v>0</v>
      </c>
    </row>
    <row r="141" spans="1:11">
      <c r="A141">
        <v>22</v>
      </c>
      <c r="B141">
        <v>0</v>
      </c>
      <c r="C141">
        <v>13000</v>
      </c>
      <c r="D141">
        <v>23860</v>
      </c>
      <c r="F141">
        <v>12000</v>
      </c>
      <c r="G141">
        <v>2</v>
      </c>
      <c r="H141">
        <v>36</v>
      </c>
      <c r="I141" s="2">
        <v>42234</v>
      </c>
      <c r="J141" s="4">
        <f>MONTH(Tabela1[[#This Row],[data]])</f>
        <v>8</v>
      </c>
      <c r="K141" s="4">
        <f>IF(Tabela1[[#This Row],[temperatura_srednia]]&lt;=15,1,0)</f>
        <v>0</v>
      </c>
    </row>
    <row r="142" spans="1:11">
      <c r="A142">
        <v>19</v>
      </c>
      <c r="B142">
        <v>0</v>
      </c>
      <c r="C142">
        <v>677</v>
      </c>
      <c r="F142">
        <v>12000</v>
      </c>
      <c r="G142">
        <v>2</v>
      </c>
      <c r="H142">
        <v>323</v>
      </c>
      <c r="I142" s="2">
        <v>42235</v>
      </c>
      <c r="J142" s="4">
        <f>MONTH(Tabela1[[#This Row],[data]])</f>
        <v>8</v>
      </c>
      <c r="K142" s="4">
        <f>IF(Tabela1[[#This Row],[temperatura_srednia]]&lt;=15,1,0)</f>
        <v>0</v>
      </c>
    </row>
    <row r="143" spans="1:11">
      <c r="A143">
        <v>18</v>
      </c>
      <c r="B143">
        <v>0</v>
      </c>
      <c r="C143">
        <v>13000</v>
      </c>
      <c r="D143">
        <v>24323</v>
      </c>
      <c r="F143">
        <v>12000</v>
      </c>
      <c r="G143">
        <v>2</v>
      </c>
      <c r="H143">
        <v>16</v>
      </c>
      <c r="I143" s="2">
        <v>42236</v>
      </c>
      <c r="J143" s="4">
        <f>MONTH(Tabela1[[#This Row],[data]])</f>
        <v>8</v>
      </c>
      <c r="K143" s="4">
        <f>IF(Tabela1[[#This Row],[temperatura_srednia]]&lt;=15,1,0)</f>
        <v>0</v>
      </c>
    </row>
    <row r="144" spans="1:11">
      <c r="A144">
        <v>18</v>
      </c>
      <c r="B144">
        <v>0</v>
      </c>
      <c r="C144">
        <v>702</v>
      </c>
      <c r="F144">
        <v>12000</v>
      </c>
      <c r="G144">
        <v>2</v>
      </c>
      <c r="H144">
        <v>298</v>
      </c>
      <c r="I144" s="2">
        <v>42237</v>
      </c>
      <c r="J144" s="4">
        <f>MONTH(Tabela1[[#This Row],[data]])</f>
        <v>8</v>
      </c>
      <c r="K144" s="4">
        <f>IF(Tabela1[[#This Row],[temperatura_srednia]]&lt;=15,1,0)</f>
        <v>0</v>
      </c>
    </row>
    <row r="145" spans="1:11">
      <c r="A145">
        <v>18</v>
      </c>
      <c r="B145">
        <v>0</v>
      </c>
      <c r="C145">
        <v>13000</v>
      </c>
      <c r="D145">
        <v>24298</v>
      </c>
      <c r="F145">
        <v>12000</v>
      </c>
      <c r="G145">
        <v>2</v>
      </c>
      <c r="H145">
        <v>17</v>
      </c>
      <c r="I145" s="2">
        <v>42238</v>
      </c>
      <c r="J145" s="4">
        <f>MONTH(Tabela1[[#This Row],[data]])</f>
        <v>8</v>
      </c>
      <c r="K145" s="4">
        <f>IF(Tabela1[[#This Row],[temperatura_srednia]]&lt;=15,1,0)</f>
        <v>0</v>
      </c>
    </row>
    <row r="146" spans="1:11">
      <c r="A146">
        <v>19</v>
      </c>
      <c r="B146">
        <v>0</v>
      </c>
      <c r="C146">
        <v>677</v>
      </c>
      <c r="F146">
        <v>12000</v>
      </c>
      <c r="G146">
        <v>2</v>
      </c>
      <c r="H146">
        <v>323</v>
      </c>
      <c r="I146" s="2">
        <v>42239</v>
      </c>
      <c r="J146" s="4">
        <f>MONTH(Tabela1[[#This Row],[data]])</f>
        <v>8</v>
      </c>
      <c r="K146" s="4">
        <f>IF(Tabela1[[#This Row],[temperatura_srednia]]&lt;=15,1,0)</f>
        <v>0</v>
      </c>
    </row>
    <row r="147" spans="1:11">
      <c r="A147">
        <v>21</v>
      </c>
      <c r="B147">
        <v>5.5</v>
      </c>
      <c r="C147">
        <v>4527</v>
      </c>
      <c r="G147">
        <v>3</v>
      </c>
      <c r="I147" s="2">
        <v>42240</v>
      </c>
      <c r="J147" s="4">
        <f>MONTH(Tabela1[[#This Row],[data]])</f>
        <v>8</v>
      </c>
      <c r="K147" s="4">
        <f>IF(Tabela1[[#This Row],[temperatura_srednia]]&lt;=15,1,0)</f>
        <v>0</v>
      </c>
    </row>
    <row r="148" spans="1:11">
      <c r="A148">
        <v>18</v>
      </c>
      <c r="B148">
        <v>18</v>
      </c>
      <c r="C148">
        <v>17127</v>
      </c>
      <c r="G148">
        <v>3</v>
      </c>
      <c r="I148" s="2">
        <v>42241</v>
      </c>
      <c r="J148" s="4">
        <f>MONTH(Tabela1[[#This Row],[data]])</f>
        <v>8</v>
      </c>
      <c r="K148" s="4">
        <f>IF(Tabela1[[#This Row],[temperatura_srednia]]&lt;=15,1,0)</f>
        <v>0</v>
      </c>
    </row>
    <row r="149" spans="1:11">
      <c r="A149">
        <v>19</v>
      </c>
      <c r="B149">
        <v>12</v>
      </c>
      <c r="C149">
        <v>25000</v>
      </c>
      <c r="E149">
        <v>527</v>
      </c>
      <c r="G149">
        <v>3</v>
      </c>
      <c r="I149" s="2">
        <v>42242</v>
      </c>
      <c r="J149" s="4">
        <f>MONTH(Tabela1[[#This Row],[data]])</f>
        <v>8</v>
      </c>
      <c r="K149" s="4">
        <f>IF(Tabela1[[#This Row],[temperatura_srednia]]&lt;=15,1,0)</f>
        <v>0</v>
      </c>
    </row>
    <row r="150" spans="1:11">
      <c r="A150">
        <v>23</v>
      </c>
      <c r="B150">
        <v>0</v>
      </c>
      <c r="C150">
        <v>12172</v>
      </c>
      <c r="F150">
        <v>12000</v>
      </c>
      <c r="G150">
        <v>2</v>
      </c>
      <c r="H150">
        <v>828</v>
      </c>
      <c r="I150" s="2">
        <v>42243</v>
      </c>
      <c r="J150" s="4">
        <f>MONTH(Tabela1[[#This Row],[data]])</f>
        <v>8</v>
      </c>
      <c r="K150" s="4">
        <f>IF(Tabela1[[#This Row],[temperatura_srednia]]&lt;=15,1,0)</f>
        <v>0</v>
      </c>
    </row>
    <row r="151" spans="1:11">
      <c r="A151">
        <v>17</v>
      </c>
      <c r="B151">
        <v>0.1</v>
      </c>
      <c r="C151">
        <v>242</v>
      </c>
      <c r="F151">
        <v>12000</v>
      </c>
      <c r="G151">
        <v>2</v>
      </c>
      <c r="I151" s="2">
        <v>42244</v>
      </c>
      <c r="J151" s="4">
        <f>MONTH(Tabela1[[#This Row],[data]])</f>
        <v>8</v>
      </c>
      <c r="K151" s="4">
        <f>IF(Tabela1[[#This Row],[temperatura_srednia]]&lt;=15,1,0)</f>
        <v>0</v>
      </c>
    </row>
    <row r="152" spans="1:11">
      <c r="A152">
        <v>16</v>
      </c>
      <c r="B152">
        <v>14</v>
      </c>
      <c r="C152">
        <v>10042</v>
      </c>
      <c r="G152">
        <v>3</v>
      </c>
      <c r="I152" s="2">
        <v>42245</v>
      </c>
      <c r="J152" s="4">
        <f>MONTH(Tabela1[[#This Row],[data]])</f>
        <v>8</v>
      </c>
      <c r="K152" s="4">
        <f>IF(Tabela1[[#This Row],[temperatura_srednia]]&lt;=15,1,0)</f>
        <v>0</v>
      </c>
    </row>
    <row r="153" spans="1:11">
      <c r="A153">
        <v>22</v>
      </c>
      <c r="B153">
        <v>0</v>
      </c>
      <c r="C153">
        <v>13000</v>
      </c>
      <c r="D153">
        <v>14958</v>
      </c>
      <c r="F153">
        <v>12000</v>
      </c>
      <c r="G153">
        <v>2</v>
      </c>
      <c r="H153">
        <v>311</v>
      </c>
      <c r="I153" s="2">
        <v>42246</v>
      </c>
      <c r="J153" s="4">
        <f>MONTH(Tabela1[[#This Row],[data]])</f>
        <v>8</v>
      </c>
      <c r="K153" s="4">
        <f>IF(Tabela1[[#This Row],[temperatura_srednia]]&lt;=15,1,0)</f>
        <v>0</v>
      </c>
    </row>
    <row r="154" spans="1:11">
      <c r="A154">
        <v>26</v>
      </c>
      <c r="B154">
        <v>0</v>
      </c>
      <c r="C154">
        <v>482</v>
      </c>
      <c r="F154">
        <v>12000</v>
      </c>
      <c r="G154">
        <v>2</v>
      </c>
      <c r="H154">
        <v>518</v>
      </c>
      <c r="I154" s="2">
        <v>42247</v>
      </c>
      <c r="J154" s="4">
        <f>MONTH(Tabela1[[#This Row],[data]])</f>
        <v>8</v>
      </c>
      <c r="K154" s="4">
        <f>IF(Tabela1[[#This Row],[temperatura_srednia]]&lt;=15,1,0)</f>
        <v>0</v>
      </c>
    </row>
    <row r="155" spans="1:11">
      <c r="A155">
        <v>27</v>
      </c>
      <c r="B155">
        <v>2</v>
      </c>
      <c r="C155">
        <v>1882</v>
      </c>
      <c r="G155">
        <v>3</v>
      </c>
      <c r="I155" s="2">
        <v>42248</v>
      </c>
      <c r="J155" s="4">
        <f>MONTH(Tabela1[[#This Row],[data]])</f>
        <v>9</v>
      </c>
      <c r="K155" s="4">
        <f>IF(Tabela1[[#This Row],[temperatura_srednia]]&lt;=15,1,0)</f>
        <v>0</v>
      </c>
    </row>
    <row r="156" spans="1:11">
      <c r="A156">
        <v>18</v>
      </c>
      <c r="B156">
        <v>0</v>
      </c>
      <c r="C156">
        <v>13000</v>
      </c>
      <c r="D156">
        <v>23118</v>
      </c>
      <c r="F156">
        <v>12000</v>
      </c>
      <c r="G156">
        <v>2</v>
      </c>
      <c r="H156">
        <v>44</v>
      </c>
      <c r="I156" s="2">
        <v>42249</v>
      </c>
      <c r="J156" s="4">
        <f>MONTH(Tabela1[[#This Row],[data]])</f>
        <v>9</v>
      </c>
      <c r="K156" s="4">
        <f>IF(Tabela1[[#This Row],[temperatura_srednia]]&lt;=15,1,0)</f>
        <v>0</v>
      </c>
    </row>
    <row r="157" spans="1:11">
      <c r="A157">
        <v>17</v>
      </c>
      <c r="B157">
        <v>0</v>
      </c>
      <c r="C157">
        <v>726</v>
      </c>
      <c r="F157">
        <v>12000</v>
      </c>
      <c r="G157">
        <v>2</v>
      </c>
      <c r="H157">
        <v>274</v>
      </c>
      <c r="I157" s="2">
        <v>42250</v>
      </c>
      <c r="J157" s="4">
        <f>MONTH(Tabela1[[#This Row],[data]])</f>
        <v>9</v>
      </c>
      <c r="K157" s="4">
        <f>IF(Tabela1[[#This Row],[temperatura_srednia]]&lt;=15,1,0)</f>
        <v>0</v>
      </c>
    </row>
    <row r="158" spans="1:11">
      <c r="A158">
        <v>16</v>
      </c>
      <c r="B158">
        <v>0.1</v>
      </c>
      <c r="C158">
        <v>13000</v>
      </c>
      <c r="D158">
        <v>24274</v>
      </c>
      <c r="F158">
        <v>12000</v>
      </c>
      <c r="G158">
        <v>2</v>
      </c>
      <c r="I158" s="2">
        <v>42251</v>
      </c>
      <c r="J158" s="4">
        <f>MONTH(Tabela1[[#This Row],[data]])</f>
        <v>9</v>
      </c>
      <c r="K158" s="4">
        <f>IF(Tabela1[[#This Row],[temperatura_srednia]]&lt;=15,1,0)</f>
        <v>0</v>
      </c>
    </row>
    <row r="159" spans="1:11">
      <c r="A159">
        <v>15</v>
      </c>
      <c r="B159">
        <v>0</v>
      </c>
      <c r="C159">
        <v>12773</v>
      </c>
      <c r="G159">
        <v>1</v>
      </c>
      <c r="H159">
        <v>227</v>
      </c>
      <c r="I159" s="2">
        <v>42252</v>
      </c>
      <c r="J159" s="4">
        <f>MONTH(Tabela1[[#This Row],[data]])</f>
        <v>9</v>
      </c>
      <c r="K159" s="4">
        <f>IF(Tabela1[[#This Row],[temperatura_srednia]]&lt;=15,1,0)</f>
        <v>1</v>
      </c>
    </row>
    <row r="160" spans="1:11">
      <c r="A160">
        <v>12</v>
      </c>
      <c r="B160">
        <v>4</v>
      </c>
      <c r="C160">
        <v>15573</v>
      </c>
      <c r="G160">
        <v>1</v>
      </c>
      <c r="I160" s="2">
        <v>42253</v>
      </c>
      <c r="J160" s="4">
        <f>MONTH(Tabela1[[#This Row],[data]])</f>
        <v>9</v>
      </c>
      <c r="K160" s="4">
        <f>IF(Tabela1[[#This Row],[temperatura_srednia]]&lt;=15,1,0)</f>
        <v>1</v>
      </c>
    </row>
    <row r="161" spans="1:11">
      <c r="A161">
        <v>13</v>
      </c>
      <c r="B161">
        <v>0</v>
      </c>
      <c r="C161">
        <v>15354</v>
      </c>
      <c r="G161">
        <v>1</v>
      </c>
      <c r="H161">
        <v>219</v>
      </c>
      <c r="I161" s="2">
        <v>42254</v>
      </c>
      <c r="J161" s="4">
        <f>MONTH(Tabela1[[#This Row],[data]])</f>
        <v>9</v>
      </c>
      <c r="K161" s="4">
        <f>IF(Tabela1[[#This Row],[temperatura_srednia]]&lt;=15,1,0)</f>
        <v>1</v>
      </c>
    </row>
    <row r="162" spans="1:11">
      <c r="A162">
        <v>11</v>
      </c>
      <c r="B162">
        <v>4</v>
      </c>
      <c r="C162">
        <v>18154</v>
      </c>
      <c r="G162">
        <v>1</v>
      </c>
      <c r="I162" s="2">
        <v>42255</v>
      </c>
      <c r="J162" s="4">
        <f>MONTH(Tabela1[[#This Row],[data]])</f>
        <v>9</v>
      </c>
      <c r="K162" s="4">
        <f>IF(Tabela1[[#This Row],[temperatura_srednia]]&lt;=15,1,0)</f>
        <v>1</v>
      </c>
    </row>
    <row r="163" spans="1:11">
      <c r="A163">
        <v>11</v>
      </c>
      <c r="B163">
        <v>0</v>
      </c>
      <c r="C163">
        <v>17955</v>
      </c>
      <c r="G163">
        <v>1</v>
      </c>
      <c r="H163">
        <v>199</v>
      </c>
      <c r="I163" s="2">
        <v>42256</v>
      </c>
      <c r="J163" s="4">
        <f>MONTH(Tabela1[[#This Row],[data]])</f>
        <v>9</v>
      </c>
      <c r="K163" s="4">
        <f>IF(Tabela1[[#This Row],[temperatura_srednia]]&lt;=15,1,0)</f>
        <v>1</v>
      </c>
    </row>
    <row r="164" spans="1:11">
      <c r="A164">
        <v>12</v>
      </c>
      <c r="B164">
        <v>0</v>
      </c>
      <c r="C164">
        <v>17731</v>
      </c>
      <c r="G164">
        <v>1</v>
      </c>
      <c r="H164">
        <v>224</v>
      </c>
      <c r="I164" s="2">
        <v>42257</v>
      </c>
      <c r="J164" s="4">
        <f>MONTH(Tabela1[[#This Row],[data]])</f>
        <v>9</v>
      </c>
      <c r="K164" s="4">
        <f>IF(Tabela1[[#This Row],[temperatura_srednia]]&lt;=15,1,0)</f>
        <v>1</v>
      </c>
    </row>
    <row r="165" spans="1:11">
      <c r="A165">
        <v>16</v>
      </c>
      <c r="B165">
        <v>0.1</v>
      </c>
      <c r="C165">
        <v>5801</v>
      </c>
      <c r="F165">
        <v>12000</v>
      </c>
      <c r="G165">
        <v>2</v>
      </c>
      <c r="I165" s="2">
        <v>42258</v>
      </c>
      <c r="J165" s="4">
        <f>MONTH(Tabela1[[#This Row],[data]])</f>
        <v>9</v>
      </c>
      <c r="K165" s="4">
        <f>IF(Tabela1[[#This Row],[temperatura_srednia]]&lt;=15,1,0)</f>
        <v>0</v>
      </c>
    </row>
    <row r="166" spans="1:11">
      <c r="A166">
        <v>18</v>
      </c>
      <c r="B166">
        <v>0</v>
      </c>
      <c r="C166">
        <v>13000</v>
      </c>
      <c r="D166">
        <v>19199</v>
      </c>
      <c r="F166">
        <v>12000</v>
      </c>
      <c r="G166">
        <v>2</v>
      </c>
      <c r="H166">
        <v>133</v>
      </c>
      <c r="I166" s="2">
        <v>42259</v>
      </c>
      <c r="J166" s="4">
        <f>MONTH(Tabela1[[#This Row],[data]])</f>
        <v>9</v>
      </c>
      <c r="K166" s="4">
        <f>IF(Tabela1[[#This Row],[temperatura_srednia]]&lt;=15,1,0)</f>
        <v>0</v>
      </c>
    </row>
    <row r="167" spans="1:11">
      <c r="A167">
        <v>18</v>
      </c>
      <c r="B167">
        <v>0</v>
      </c>
      <c r="C167">
        <v>702</v>
      </c>
      <c r="F167">
        <v>12000</v>
      </c>
      <c r="G167">
        <v>2</v>
      </c>
      <c r="H167">
        <v>298</v>
      </c>
      <c r="I167" s="2">
        <v>42260</v>
      </c>
      <c r="J167" s="4">
        <f>MONTH(Tabela1[[#This Row],[data]])</f>
        <v>9</v>
      </c>
      <c r="K167" s="4">
        <f>IF(Tabela1[[#This Row],[temperatura_srednia]]&lt;=15,1,0)</f>
        <v>0</v>
      </c>
    </row>
    <row r="168" spans="1:11">
      <c r="A168">
        <v>19</v>
      </c>
      <c r="B168">
        <v>3</v>
      </c>
      <c r="C168">
        <v>2802</v>
      </c>
      <c r="G168">
        <v>3</v>
      </c>
      <c r="I168" s="2">
        <v>42261</v>
      </c>
      <c r="J168" s="4">
        <f>MONTH(Tabela1[[#This Row],[data]])</f>
        <v>9</v>
      </c>
      <c r="K168" s="4">
        <f>IF(Tabela1[[#This Row],[temperatura_srednia]]&lt;=15,1,0)</f>
        <v>0</v>
      </c>
    </row>
    <row r="169" spans="1:11">
      <c r="A169">
        <v>16</v>
      </c>
      <c r="B169">
        <v>0.1</v>
      </c>
      <c r="C169">
        <v>13000</v>
      </c>
      <c r="D169">
        <v>22198</v>
      </c>
      <c r="F169">
        <v>12000</v>
      </c>
      <c r="G169">
        <v>2</v>
      </c>
      <c r="I169" s="2">
        <v>42262</v>
      </c>
      <c r="J169" s="4">
        <f>MONTH(Tabela1[[#This Row],[data]])</f>
        <v>9</v>
      </c>
      <c r="K169" s="4">
        <f>IF(Tabela1[[#This Row],[temperatura_srednia]]&lt;=15,1,0)</f>
        <v>0</v>
      </c>
    </row>
    <row r="170" spans="1:11">
      <c r="A170">
        <v>18</v>
      </c>
      <c r="B170">
        <v>0</v>
      </c>
      <c r="C170">
        <v>702</v>
      </c>
      <c r="F170">
        <v>12000</v>
      </c>
      <c r="G170">
        <v>2</v>
      </c>
      <c r="H170">
        <v>298</v>
      </c>
      <c r="I170" s="2">
        <v>42263</v>
      </c>
      <c r="J170" s="4">
        <f>MONTH(Tabela1[[#This Row],[data]])</f>
        <v>9</v>
      </c>
      <c r="K170" s="4">
        <f>IF(Tabela1[[#This Row],[temperatura_srednia]]&lt;=15,1,0)</f>
        <v>0</v>
      </c>
    </row>
    <row r="171" spans="1:11">
      <c r="A171">
        <v>22</v>
      </c>
      <c r="B171">
        <v>0.5</v>
      </c>
      <c r="C171">
        <v>13000</v>
      </c>
      <c r="D171">
        <v>24298</v>
      </c>
      <c r="F171">
        <v>12000</v>
      </c>
      <c r="G171">
        <v>2</v>
      </c>
      <c r="I171" s="2">
        <v>42264</v>
      </c>
      <c r="J171" s="4">
        <f>MONTH(Tabela1[[#This Row],[data]])</f>
        <v>9</v>
      </c>
      <c r="K171" s="4">
        <f>IF(Tabela1[[#This Row],[temperatura_srednia]]&lt;=15,1,0)</f>
        <v>0</v>
      </c>
    </row>
    <row r="172" spans="1:11">
      <c r="A172">
        <v>16</v>
      </c>
      <c r="B172">
        <v>0</v>
      </c>
      <c r="C172">
        <v>750</v>
      </c>
      <c r="F172">
        <v>12000</v>
      </c>
      <c r="G172">
        <v>2</v>
      </c>
      <c r="H172">
        <v>250</v>
      </c>
      <c r="I172" s="2">
        <v>42265</v>
      </c>
      <c r="J172" s="4">
        <f>MONTH(Tabela1[[#This Row],[data]])</f>
        <v>9</v>
      </c>
      <c r="K172" s="4">
        <f>IF(Tabela1[[#This Row],[temperatura_srednia]]&lt;=15,1,0)</f>
        <v>0</v>
      </c>
    </row>
    <row r="173" spans="1:11">
      <c r="A173">
        <v>15</v>
      </c>
      <c r="B173">
        <v>0</v>
      </c>
      <c r="C173">
        <v>736</v>
      </c>
      <c r="G173">
        <v>1</v>
      </c>
      <c r="H173">
        <v>14</v>
      </c>
      <c r="I173" s="2">
        <v>42266</v>
      </c>
      <c r="J173" s="4">
        <f>MONTH(Tabela1[[#This Row],[data]])</f>
        <v>9</v>
      </c>
      <c r="K173" s="4">
        <f>IF(Tabela1[[#This Row],[temperatura_srednia]]&lt;=15,1,0)</f>
        <v>1</v>
      </c>
    </row>
    <row r="174" spans="1:11">
      <c r="A174">
        <v>14</v>
      </c>
      <c r="B174">
        <v>2</v>
      </c>
      <c r="C174">
        <v>2136</v>
      </c>
      <c r="G174">
        <v>1</v>
      </c>
      <c r="I174" s="2">
        <v>42267</v>
      </c>
      <c r="J174" s="4">
        <f>MONTH(Tabela1[[#This Row],[data]])</f>
        <v>9</v>
      </c>
      <c r="K174" s="4">
        <f>IF(Tabela1[[#This Row],[temperatura_srednia]]&lt;=15,1,0)</f>
        <v>1</v>
      </c>
    </row>
    <row r="175" spans="1:11">
      <c r="A175">
        <v>12</v>
      </c>
      <c r="B175">
        <v>0</v>
      </c>
      <c r="C175">
        <v>2109</v>
      </c>
      <c r="G175">
        <v>1</v>
      </c>
      <c r="H175">
        <v>27</v>
      </c>
      <c r="I175" s="2">
        <v>42268</v>
      </c>
      <c r="J175" s="4">
        <f>MONTH(Tabela1[[#This Row],[data]])</f>
        <v>9</v>
      </c>
      <c r="K175" s="4">
        <f>IF(Tabela1[[#This Row],[temperatura_srednia]]&lt;=15,1,0)</f>
        <v>1</v>
      </c>
    </row>
    <row r="176" spans="1:11">
      <c r="A176">
        <v>13</v>
      </c>
      <c r="B176">
        <v>0</v>
      </c>
      <c r="C176">
        <v>2079</v>
      </c>
      <c r="G176">
        <v>1</v>
      </c>
      <c r="H176">
        <v>30</v>
      </c>
      <c r="I176" s="2">
        <v>42269</v>
      </c>
      <c r="J176" s="4">
        <f>MONTH(Tabela1[[#This Row],[data]])</f>
        <v>9</v>
      </c>
      <c r="K176" s="4">
        <f>IF(Tabela1[[#This Row],[temperatura_srednia]]&lt;=15,1,0)</f>
        <v>1</v>
      </c>
    </row>
    <row r="177" spans="1:11">
      <c r="A177">
        <v>15</v>
      </c>
      <c r="B177">
        <v>0</v>
      </c>
      <c r="C177">
        <v>2042</v>
      </c>
      <c r="G177">
        <v>1</v>
      </c>
      <c r="H177">
        <v>37</v>
      </c>
      <c r="I177" s="2">
        <v>42270</v>
      </c>
      <c r="J177" s="4">
        <f>MONTH(Tabela1[[#This Row],[data]])</f>
        <v>9</v>
      </c>
      <c r="K177" s="4">
        <f>IF(Tabela1[[#This Row],[temperatura_srednia]]&lt;=15,1,0)</f>
        <v>1</v>
      </c>
    </row>
    <row r="178" spans="1:11">
      <c r="A178">
        <v>15</v>
      </c>
      <c r="B178">
        <v>0</v>
      </c>
      <c r="C178">
        <v>2006</v>
      </c>
      <c r="G178">
        <v>1</v>
      </c>
      <c r="H178">
        <v>36</v>
      </c>
      <c r="I178" s="2">
        <v>42271</v>
      </c>
      <c r="J178" s="4">
        <f>MONTH(Tabela1[[#This Row],[data]])</f>
        <v>9</v>
      </c>
      <c r="K178" s="4">
        <f>IF(Tabela1[[#This Row],[temperatura_srednia]]&lt;=15,1,0)</f>
        <v>1</v>
      </c>
    </row>
    <row r="179" spans="1:11">
      <c r="A179">
        <v>14</v>
      </c>
      <c r="B179">
        <v>0</v>
      </c>
      <c r="C179">
        <v>1974</v>
      </c>
      <c r="G179">
        <v>1</v>
      </c>
      <c r="H179">
        <v>32</v>
      </c>
      <c r="I179" s="2">
        <v>42272</v>
      </c>
      <c r="J179" s="4">
        <f>MONTH(Tabela1[[#This Row],[data]])</f>
        <v>9</v>
      </c>
      <c r="K179" s="4">
        <f>IF(Tabela1[[#This Row],[temperatura_srednia]]&lt;=15,1,0)</f>
        <v>1</v>
      </c>
    </row>
    <row r="180" spans="1:11">
      <c r="A180">
        <v>12</v>
      </c>
      <c r="B180">
        <v>0</v>
      </c>
      <c r="C180">
        <v>1949</v>
      </c>
      <c r="G180">
        <v>1</v>
      </c>
      <c r="H180">
        <v>25</v>
      </c>
      <c r="I180" s="2">
        <v>42273</v>
      </c>
      <c r="J180" s="4">
        <f>MONTH(Tabela1[[#This Row],[data]])</f>
        <v>9</v>
      </c>
      <c r="K180" s="4">
        <f>IF(Tabela1[[#This Row],[temperatura_srednia]]&lt;=15,1,0)</f>
        <v>1</v>
      </c>
    </row>
    <row r="181" spans="1:11">
      <c r="A181">
        <v>11</v>
      </c>
      <c r="B181">
        <v>0</v>
      </c>
      <c r="C181">
        <v>1927</v>
      </c>
      <c r="G181">
        <v>1</v>
      </c>
      <c r="H181">
        <v>22</v>
      </c>
      <c r="I181" s="2">
        <v>42274</v>
      </c>
      <c r="J181" s="4">
        <f>MONTH(Tabela1[[#This Row],[data]])</f>
        <v>9</v>
      </c>
      <c r="K181" s="4">
        <f>IF(Tabela1[[#This Row],[temperatura_srednia]]&lt;=15,1,0)</f>
        <v>1</v>
      </c>
    </row>
    <row r="182" spans="1:11">
      <c r="A182">
        <v>10</v>
      </c>
      <c r="B182">
        <v>0</v>
      </c>
      <c r="C182">
        <v>1908</v>
      </c>
      <c r="G182">
        <v>1</v>
      </c>
      <c r="H182">
        <v>19</v>
      </c>
      <c r="I182" s="2">
        <v>42275</v>
      </c>
      <c r="J182" s="4">
        <f>MONTH(Tabela1[[#This Row],[data]])</f>
        <v>9</v>
      </c>
      <c r="K182" s="4">
        <f>IF(Tabela1[[#This Row],[temperatura_srednia]]&lt;=15,1,0)</f>
        <v>1</v>
      </c>
    </row>
    <row r="183" spans="1:11">
      <c r="A183">
        <v>10</v>
      </c>
      <c r="B183">
        <v>0</v>
      </c>
      <c r="C183">
        <v>1889</v>
      </c>
      <c r="G183">
        <v>1</v>
      </c>
      <c r="H183">
        <v>19</v>
      </c>
      <c r="I183" s="2">
        <v>42276</v>
      </c>
      <c r="J183" s="4">
        <f>MONTH(Tabela1[[#This Row],[data]])</f>
        <v>9</v>
      </c>
      <c r="K183" s="4">
        <f>IF(Tabela1[[#This Row],[temperatura_srednia]]&lt;=15,1,0)</f>
        <v>1</v>
      </c>
    </row>
    <row r="184" spans="1:11">
      <c r="A184">
        <v>10</v>
      </c>
      <c r="B184">
        <v>0</v>
      </c>
      <c r="C184">
        <v>1871</v>
      </c>
      <c r="G184">
        <v>1</v>
      </c>
      <c r="H184">
        <v>18</v>
      </c>
      <c r="I184" s="2">
        <v>42277</v>
      </c>
      <c r="J184" s="4">
        <f>MONTH(Tabela1[[#This Row],[data]])</f>
        <v>9</v>
      </c>
      <c r="K184" s="4">
        <f>IF(Tabela1[[#This Row],[temperatura_srednia]]&lt;=15,1,0)</f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D8"/>
  <sheetViews>
    <sheetView tabSelected="1" workbookViewId="0">
      <selection activeCell="D2" sqref="D2"/>
    </sheetView>
  </sheetViews>
  <sheetFormatPr defaultRowHeight="13.8"/>
  <cols>
    <col min="1" max="1" width="17.5" customWidth="1"/>
    <col min="2" max="2" width="18.19921875" style="6" customWidth="1"/>
    <col min="4" max="4" width="20.5" customWidth="1"/>
  </cols>
  <sheetData>
    <row r="1" spans="1:4">
      <c r="A1" s="3" t="s">
        <v>11</v>
      </c>
      <c r="B1" s="8" t="s">
        <v>14</v>
      </c>
    </row>
    <row r="2" spans="1:4">
      <c r="A2" s="5">
        <v>4</v>
      </c>
      <c r="B2" s="8"/>
      <c r="D2" s="7">
        <f>GETPIVOTDATA("dolewanie",$A$1)*11.74</f>
        <v>8423027.3599999994</v>
      </c>
    </row>
    <row r="3" spans="1:4">
      <c r="A3" s="5">
        <v>5</v>
      </c>
      <c r="B3" s="8">
        <v>12940</v>
      </c>
    </row>
    <row r="4" spans="1:4">
      <c r="A4" s="5">
        <v>6</v>
      </c>
      <c r="B4" s="8">
        <v>88701</v>
      </c>
    </row>
    <row r="5" spans="1:4">
      <c r="A5" s="5">
        <v>7</v>
      </c>
      <c r="B5" s="8">
        <v>217409</v>
      </c>
    </row>
    <row r="6" spans="1:4">
      <c r="A6" s="5">
        <v>8</v>
      </c>
      <c r="B6" s="8">
        <v>285327</v>
      </c>
    </row>
    <row r="7" spans="1:4">
      <c r="A7" s="5">
        <v>9</v>
      </c>
      <c r="B7" s="8">
        <v>113087</v>
      </c>
    </row>
    <row r="8" spans="1:4">
      <c r="A8" s="5" t="s">
        <v>12</v>
      </c>
      <c r="B8" s="8">
        <v>717464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"/>
  <sheetViews>
    <sheetView workbookViewId="0">
      <selection activeCell="T9" sqref="T9"/>
    </sheetView>
  </sheetViews>
  <sheetFormatPr defaultRowHeight="13.8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Zuzanna Gomuła</dc:creator>
  <cp:lastModifiedBy>Zuzanna Gomuła</cp:lastModifiedBy>
  <dcterms:created xsi:type="dcterms:W3CDTF">2022-04-22T20:35:19Z</dcterms:created>
  <dcterms:modified xsi:type="dcterms:W3CDTF">2022-04-23T17:59:31Z</dcterms:modified>
</cp:coreProperties>
</file>