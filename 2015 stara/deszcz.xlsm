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576" yWindow="72" windowWidth="22008" windowHeight="9504"/>
  </bookViews>
  <sheets>
    <sheet name="Arkusz4" sheetId="4" r:id="rId1"/>
    <sheet name="Arkusz1" sheetId="1" r:id="rId2"/>
  </sheets>
  <calcPr calcId="124519"/>
  <pivotCaches>
    <pivotCache cacheId="21" r:id="rId3"/>
  </pivotCaches>
</workbook>
</file>

<file path=xl/calcChain.xml><?xml version="1.0" encoding="utf-8"?>
<calcChain xmlns="http://schemas.openxmlformats.org/spreadsheetml/2006/main">
  <c r="C2" i="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H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K9"/>
  <c r="K6"/>
  <c r="K4"/>
</calcChain>
</file>

<file path=xl/sharedStrings.xml><?xml version="1.0" encoding="utf-8"?>
<sst xmlns="http://schemas.openxmlformats.org/spreadsheetml/2006/main" count="15" uniqueCount="13">
  <si>
    <t>data</t>
  </si>
  <si>
    <t xml:space="preserve">opady </t>
  </si>
  <si>
    <t>dzien tyg</t>
  </si>
  <si>
    <t>stan zbiornika</t>
  </si>
  <si>
    <t>nadmiar</t>
  </si>
  <si>
    <t>dolewanie</t>
  </si>
  <si>
    <t>Kolumna2</t>
  </si>
  <si>
    <t>rano</t>
  </si>
  <si>
    <t>Etykiety wierszy</t>
  </si>
  <si>
    <t>Suma końcowa</t>
  </si>
  <si>
    <t>Wartości</t>
  </si>
  <si>
    <t>Suma z dolewanie</t>
  </si>
  <si>
    <t>Suma z nadmiar</t>
  </si>
</sst>
</file>

<file path=xl/styles.xml><?xml version="1.0" encoding="utf-8"?>
<styleSheet xmlns="http://schemas.openxmlformats.org/spreadsheetml/2006/main">
  <fonts count="1">
    <font>
      <sz val="11"/>
      <color theme="1"/>
      <name val="Czcionka tekstu podstawowego"/>
      <family val="2"/>
      <charset val="23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applyNumberFormat="1"/>
    <xf numFmtId="14" fontId="0" fillId="0" borderId="1" xfId="0" applyNumberFormat="1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</cellXfs>
  <cellStyles count="1">
    <cellStyle name="Normalny" xfId="0" builtinId="0"/>
  </cellStyles>
  <dxfs count="4">
    <dxf>
      <numFmt numFmtId="0" formatCode="General"/>
    </dxf>
    <dxf>
      <numFmt numFmtId="0" formatCode="General"/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9" formatCode="dd/mm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Zuzanna Gomuła" refreshedDate="44665.776445370371" createdVersion="3" refreshedVersion="3" minRefreshableVersion="3" recordCount="153">
  <cacheSource type="worksheet">
    <worksheetSource name="Tabela1"/>
  </cacheSource>
  <cacheFields count="8">
    <cacheField name="data" numFmtId="14">
      <sharedItems containsSemiMixedTypes="0" containsNonDate="0" containsDate="1" containsString="0" minDate="2014-05-01T00:00:00" maxDate="2014-10-01T00:00:00" count="153"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</sharedItems>
    </cacheField>
    <cacheField name="opady " numFmtId="0">
      <sharedItems containsSemiMixedTypes="0" containsString="0" containsNumber="1" containsInteger="1" minValue="0" maxValue="1"/>
    </cacheField>
    <cacheField name="dzien tyg" numFmtId="0">
      <sharedItems containsSemiMixedTypes="0" containsString="0" containsNumber="1" containsInteger="1" minValue="0" maxValue="7" count="8">
        <n v="4"/>
        <n v="5"/>
        <n v="6"/>
        <n v="0"/>
        <n v="1"/>
        <n v="2"/>
        <n v="3"/>
        <n v="7" u="1"/>
      </sharedItems>
    </cacheField>
    <cacheField name="stan zbiornika" numFmtId="0">
      <sharedItems containsSemiMixedTypes="0" containsString="0" containsNumber="1" minValue="1303938.2584261356" maxValue="2500000"/>
    </cacheField>
    <cacheField name="nadmiar" numFmtId="0">
      <sharedItems containsString="0" containsBlank="1" containsNumber="1" minValue="36041.471044400241" maxValue="75000" count="3">
        <m/>
        <n v="36041.471044400241"/>
        <n v="75000"/>
      </sharedItems>
    </cacheField>
    <cacheField name="dolewanie" numFmtId="0">
      <sharedItems containsString="0" containsBlank="1" containsNumber="1" minValue="0" maxValue="500000" count="12">
        <m/>
        <n v="176192.79999999981"/>
        <n v="0"/>
        <n v="109537.68399999989"/>
        <n v="354117.88408839982"/>
        <n v="500000"/>
        <n v="279402.42897475976"/>
        <n v="368292.39999999991"/>
        <n v="231065.503747385"/>
        <n v="100744.31585604372"/>
        <n v="371054.16137277288"/>
        <n v="298948.3938810518"/>
      </sharedItems>
    </cacheField>
    <cacheField name="rano" numFmtId="0">
      <sharedItems containsSemiMixedTypes="0" containsString="0" containsNumber="1" minValue="1303938.2584261356" maxValue="2500000"/>
    </cacheField>
    <cacheField name="Kolumna2" numFmtId="0">
      <sharedItems containsSemiMixedTypes="0" containsString="0" containsNumber="1" containsInteger="1" minValue="5" maxValue="9" count="5">
        <n v="5"/>
        <n v="6"/>
        <n v="7"/>
        <n v="8"/>
        <n v="9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3">
  <r>
    <x v="0"/>
    <n v="0"/>
    <x v="0"/>
    <n v="2376000"/>
    <x v="0"/>
    <x v="0"/>
    <n v="2500000"/>
    <x v="0"/>
  </r>
  <r>
    <x v="1"/>
    <n v="1"/>
    <x v="1"/>
    <n v="2447280"/>
    <x v="0"/>
    <x v="0"/>
    <n v="2376000"/>
    <x v="0"/>
  </r>
  <r>
    <x v="2"/>
    <n v="0"/>
    <x v="2"/>
    <n v="2500000"/>
    <x v="0"/>
    <x v="1"/>
    <n v="2447280"/>
    <x v="0"/>
  </r>
  <r>
    <x v="3"/>
    <n v="0"/>
    <x v="3"/>
    <n v="2376000"/>
    <x v="0"/>
    <x v="0"/>
    <n v="2500000"/>
    <x v="0"/>
  </r>
  <r>
    <x v="4"/>
    <n v="0"/>
    <x v="4"/>
    <n v="2253240"/>
    <x v="0"/>
    <x v="0"/>
    <n v="2376000"/>
    <x v="0"/>
  </r>
  <r>
    <x v="5"/>
    <n v="1"/>
    <x v="5"/>
    <n v="2320837.2000000002"/>
    <x v="0"/>
    <x v="0"/>
    <n v="2253240"/>
    <x v="0"/>
  </r>
  <r>
    <x v="6"/>
    <n v="1"/>
    <x v="6"/>
    <n v="2390462.3160000001"/>
    <x v="0"/>
    <x v="0"/>
    <n v="2320837.2000000002"/>
    <x v="0"/>
  </r>
  <r>
    <x v="7"/>
    <n v="1"/>
    <x v="0"/>
    <n v="2462176.18548"/>
    <x v="0"/>
    <x v="0"/>
    <n v="2390462.3160000001"/>
    <x v="0"/>
  </r>
  <r>
    <x v="8"/>
    <n v="1"/>
    <x v="1"/>
    <n v="2500000"/>
    <x v="1"/>
    <x v="0"/>
    <n v="2462176.18548"/>
    <x v="0"/>
  </r>
  <r>
    <x v="9"/>
    <n v="1"/>
    <x v="2"/>
    <n v="2500000"/>
    <x v="2"/>
    <x v="2"/>
    <n v="2500000"/>
    <x v="0"/>
  </r>
  <r>
    <x v="10"/>
    <n v="1"/>
    <x v="3"/>
    <n v="2500000"/>
    <x v="2"/>
    <x v="0"/>
    <n v="2500000"/>
    <x v="0"/>
  </r>
  <r>
    <x v="11"/>
    <n v="1"/>
    <x v="4"/>
    <n v="2500000"/>
    <x v="2"/>
    <x v="0"/>
    <n v="2500000"/>
    <x v="0"/>
  </r>
  <r>
    <x v="12"/>
    <n v="1"/>
    <x v="5"/>
    <n v="2500000"/>
    <x v="2"/>
    <x v="0"/>
    <n v="2500000"/>
    <x v="0"/>
  </r>
  <r>
    <x v="13"/>
    <n v="0"/>
    <x v="6"/>
    <n v="2376000"/>
    <x v="0"/>
    <x v="0"/>
    <n v="2500000"/>
    <x v="0"/>
  </r>
  <r>
    <x v="14"/>
    <n v="0"/>
    <x v="0"/>
    <n v="2253240"/>
    <x v="0"/>
    <x v="0"/>
    <n v="2376000"/>
    <x v="0"/>
  </r>
  <r>
    <x v="15"/>
    <n v="1"/>
    <x v="1"/>
    <n v="2320837.2000000002"/>
    <x v="0"/>
    <x v="0"/>
    <n v="2253240"/>
    <x v="0"/>
  </r>
  <r>
    <x v="16"/>
    <n v="1"/>
    <x v="2"/>
    <n v="2500000"/>
    <x v="0"/>
    <x v="3"/>
    <n v="2320837.2000000002"/>
    <x v="0"/>
  </r>
  <r>
    <x v="17"/>
    <n v="1"/>
    <x v="3"/>
    <n v="2500000"/>
    <x v="2"/>
    <x v="0"/>
    <n v="2500000"/>
    <x v="0"/>
  </r>
  <r>
    <x v="18"/>
    <n v="0"/>
    <x v="4"/>
    <n v="2376000"/>
    <x v="0"/>
    <x v="0"/>
    <n v="2500000"/>
    <x v="0"/>
  </r>
  <r>
    <x v="19"/>
    <n v="0"/>
    <x v="5"/>
    <n v="2253240"/>
    <x v="0"/>
    <x v="0"/>
    <n v="2376000"/>
    <x v="0"/>
  </r>
  <r>
    <x v="20"/>
    <n v="1"/>
    <x v="6"/>
    <n v="2320837.2000000002"/>
    <x v="0"/>
    <x v="0"/>
    <n v="2253240"/>
    <x v="0"/>
  </r>
  <r>
    <x v="21"/>
    <n v="1"/>
    <x v="0"/>
    <n v="2390462.3160000001"/>
    <x v="0"/>
    <x v="0"/>
    <n v="2320837.2000000002"/>
    <x v="0"/>
  </r>
  <r>
    <x v="22"/>
    <n v="0"/>
    <x v="1"/>
    <n v="2267557.6928400001"/>
    <x v="0"/>
    <x v="0"/>
    <n v="2390462.3160000001"/>
    <x v="0"/>
  </r>
  <r>
    <x v="23"/>
    <n v="0"/>
    <x v="2"/>
    <n v="2500000"/>
    <x v="0"/>
    <x v="4"/>
    <n v="2267557.6928400001"/>
    <x v="0"/>
  </r>
  <r>
    <x v="24"/>
    <n v="0"/>
    <x v="3"/>
    <n v="2376000"/>
    <x v="0"/>
    <x v="0"/>
    <n v="2500000"/>
    <x v="0"/>
  </r>
  <r>
    <x v="25"/>
    <n v="0"/>
    <x v="4"/>
    <n v="2253240"/>
    <x v="0"/>
    <x v="0"/>
    <n v="2376000"/>
    <x v="0"/>
  </r>
  <r>
    <x v="26"/>
    <n v="0"/>
    <x v="5"/>
    <n v="2131707.6"/>
    <x v="0"/>
    <x v="0"/>
    <n v="2253240"/>
    <x v="0"/>
  </r>
  <r>
    <x v="27"/>
    <n v="1"/>
    <x v="6"/>
    <n v="2195658.8280000002"/>
    <x v="0"/>
    <x v="0"/>
    <n v="2131707.6"/>
    <x v="0"/>
  </r>
  <r>
    <x v="28"/>
    <n v="0"/>
    <x v="0"/>
    <n v="2074702.2397200002"/>
    <x v="0"/>
    <x v="0"/>
    <n v="2195658.8280000002"/>
    <x v="0"/>
  </r>
  <r>
    <x v="29"/>
    <n v="0"/>
    <x v="1"/>
    <n v="1954955.2173228001"/>
    <x v="0"/>
    <x v="0"/>
    <n v="2074702.2397200002"/>
    <x v="0"/>
  </r>
  <r>
    <x v="30"/>
    <n v="0"/>
    <x v="2"/>
    <n v="2336405.6651495723"/>
    <x v="0"/>
    <x v="5"/>
    <n v="1954955.2173228001"/>
    <x v="0"/>
  </r>
  <r>
    <x v="31"/>
    <n v="0"/>
    <x v="3"/>
    <n v="2214041.6084980764"/>
    <x v="0"/>
    <x v="0"/>
    <n v="2336405.6651495723"/>
    <x v="1"/>
  </r>
  <r>
    <x v="32"/>
    <n v="0"/>
    <x v="4"/>
    <n v="2092901.1924130956"/>
    <x v="0"/>
    <x v="0"/>
    <n v="2214041.6084980764"/>
    <x v="1"/>
  </r>
  <r>
    <x v="33"/>
    <n v="0"/>
    <x v="5"/>
    <n v="1972972.1804889645"/>
    <x v="0"/>
    <x v="0"/>
    <n v="2092901.1924130956"/>
    <x v="1"/>
  </r>
  <r>
    <x v="34"/>
    <n v="1"/>
    <x v="6"/>
    <n v="2032161.3459036336"/>
    <x v="0"/>
    <x v="0"/>
    <n v="1972972.1804889645"/>
    <x v="1"/>
  </r>
  <r>
    <x v="35"/>
    <n v="1"/>
    <x v="0"/>
    <n v="2093126.1862807428"/>
    <x v="0"/>
    <x v="0"/>
    <n v="2032161.3459036336"/>
    <x v="1"/>
  </r>
  <r>
    <x v="36"/>
    <n v="1"/>
    <x v="1"/>
    <n v="2155919.9718691651"/>
    <x v="0"/>
    <x v="0"/>
    <n v="2093126.1862807428"/>
    <x v="1"/>
  </r>
  <r>
    <x v="37"/>
    <n v="1"/>
    <x v="2"/>
    <n v="2500000"/>
    <x v="0"/>
    <x v="6"/>
    <n v="2155919.9718691651"/>
    <x v="1"/>
  </r>
  <r>
    <x v="38"/>
    <n v="1"/>
    <x v="3"/>
    <n v="2500000"/>
    <x v="2"/>
    <x v="0"/>
    <n v="2500000"/>
    <x v="1"/>
  </r>
  <r>
    <x v="39"/>
    <n v="1"/>
    <x v="4"/>
    <n v="2500000"/>
    <x v="2"/>
    <x v="0"/>
    <n v="2500000"/>
    <x v="1"/>
  </r>
  <r>
    <x v="40"/>
    <n v="1"/>
    <x v="5"/>
    <n v="2500000"/>
    <x v="2"/>
    <x v="0"/>
    <n v="2500000"/>
    <x v="1"/>
  </r>
  <r>
    <x v="41"/>
    <n v="1"/>
    <x v="6"/>
    <n v="2500000"/>
    <x v="2"/>
    <x v="0"/>
    <n v="2500000"/>
    <x v="1"/>
  </r>
  <r>
    <x v="42"/>
    <n v="0"/>
    <x v="0"/>
    <n v="2376000"/>
    <x v="0"/>
    <x v="0"/>
    <n v="2500000"/>
    <x v="1"/>
  </r>
  <r>
    <x v="43"/>
    <n v="0"/>
    <x v="1"/>
    <n v="2253240"/>
    <x v="0"/>
    <x v="0"/>
    <n v="2376000"/>
    <x v="1"/>
  </r>
  <r>
    <x v="44"/>
    <n v="0"/>
    <x v="2"/>
    <n v="2500000"/>
    <x v="0"/>
    <x v="7"/>
    <n v="2253240"/>
    <x v="1"/>
  </r>
  <r>
    <x v="45"/>
    <n v="0"/>
    <x v="3"/>
    <n v="2376000"/>
    <x v="0"/>
    <x v="0"/>
    <n v="2500000"/>
    <x v="1"/>
  </r>
  <r>
    <x v="46"/>
    <n v="1"/>
    <x v="4"/>
    <n v="2447280"/>
    <x v="0"/>
    <x v="0"/>
    <n v="2376000"/>
    <x v="1"/>
  </r>
  <r>
    <x v="47"/>
    <n v="0"/>
    <x v="5"/>
    <n v="2323807.2000000002"/>
    <x v="0"/>
    <x v="0"/>
    <n v="2447280"/>
    <x v="1"/>
  </r>
  <r>
    <x v="48"/>
    <n v="0"/>
    <x v="6"/>
    <n v="2201569.128"/>
    <x v="0"/>
    <x v="0"/>
    <n v="2323807.2000000002"/>
    <x v="1"/>
  </r>
  <r>
    <x v="49"/>
    <n v="0"/>
    <x v="0"/>
    <n v="2080553.4367200001"/>
    <x v="0"/>
    <x v="0"/>
    <n v="2201569.128"/>
    <x v="1"/>
  </r>
  <r>
    <x v="50"/>
    <n v="0"/>
    <x v="1"/>
    <n v="1960747.9023528001"/>
    <x v="0"/>
    <x v="0"/>
    <n v="2080553.4367200001"/>
    <x v="1"/>
  </r>
  <r>
    <x v="51"/>
    <n v="0"/>
    <x v="2"/>
    <n v="2342140.4233292723"/>
    <x v="0"/>
    <x v="5"/>
    <n v="1960747.9023528001"/>
    <x v="1"/>
  </r>
  <r>
    <x v="52"/>
    <n v="0"/>
    <x v="3"/>
    <n v="2219719.0190959796"/>
    <x v="0"/>
    <x v="0"/>
    <n v="2342140.4233292723"/>
    <x v="1"/>
  </r>
  <r>
    <x v="53"/>
    <n v="0"/>
    <x v="4"/>
    <n v="2098521.8289050199"/>
    <x v="0"/>
    <x v="0"/>
    <n v="2219719.0190959796"/>
    <x v="1"/>
  </r>
  <r>
    <x v="54"/>
    <n v="0"/>
    <x v="5"/>
    <n v="1978536.6106159696"/>
    <x v="0"/>
    <x v="0"/>
    <n v="2098521.8289050199"/>
    <x v="1"/>
  </r>
  <r>
    <x v="55"/>
    <n v="0"/>
    <x v="6"/>
    <n v="1859751.2445098099"/>
    <x v="0"/>
    <x v="0"/>
    <n v="1978536.6106159696"/>
    <x v="1"/>
  </r>
  <r>
    <x v="56"/>
    <n v="1"/>
    <x v="0"/>
    <n v="1915543.7818451042"/>
    <x v="0"/>
    <x v="0"/>
    <n v="1859751.2445098099"/>
    <x v="1"/>
  </r>
  <r>
    <x v="57"/>
    <n v="0"/>
    <x v="1"/>
    <n v="1797388.3440266531"/>
    <x v="0"/>
    <x v="0"/>
    <n v="1915543.7818451042"/>
    <x v="1"/>
  </r>
  <r>
    <x v="58"/>
    <n v="1"/>
    <x v="2"/>
    <n v="2351309.9943474527"/>
    <x v="0"/>
    <x v="5"/>
    <n v="1797388.3440266531"/>
    <x v="1"/>
  </r>
  <r>
    <x v="59"/>
    <n v="0"/>
    <x v="3"/>
    <n v="2228796.8944039783"/>
    <x v="0"/>
    <x v="0"/>
    <n v="2351309.9943474527"/>
    <x v="1"/>
  </r>
  <r>
    <x v="60"/>
    <n v="1"/>
    <x v="4"/>
    <n v="2295660.8012360977"/>
    <x v="0"/>
    <x v="0"/>
    <n v="2228796.8944039783"/>
    <x v="1"/>
  </r>
  <r>
    <x v="61"/>
    <n v="0"/>
    <x v="5"/>
    <n v="2173704.1932237367"/>
    <x v="0"/>
    <x v="0"/>
    <n v="2295660.8012360977"/>
    <x v="2"/>
  </r>
  <r>
    <x v="62"/>
    <n v="0"/>
    <x v="6"/>
    <n v="2052967.1512914994"/>
    <x v="0"/>
    <x v="0"/>
    <n v="2173704.1932237367"/>
    <x v="2"/>
  </r>
  <r>
    <x v="63"/>
    <n v="0"/>
    <x v="0"/>
    <n v="1933437.4797785843"/>
    <x v="0"/>
    <x v="0"/>
    <n v="2052967.1512914994"/>
    <x v="2"/>
  </r>
  <r>
    <x v="64"/>
    <n v="0"/>
    <x v="1"/>
    <n v="1815103.1049807984"/>
    <x v="0"/>
    <x v="0"/>
    <n v="1933437.4797785843"/>
    <x v="2"/>
  </r>
  <r>
    <x v="65"/>
    <n v="0"/>
    <x v="2"/>
    <n v="2197952.0739309904"/>
    <x v="0"/>
    <x v="5"/>
    <n v="1815103.1049807984"/>
    <x v="2"/>
  </r>
  <r>
    <x v="66"/>
    <n v="0"/>
    <x v="3"/>
    <n v="2076972.5531916805"/>
    <x v="0"/>
    <x v="0"/>
    <n v="2197952.0739309904"/>
    <x v="2"/>
  </r>
  <r>
    <x v="67"/>
    <n v="0"/>
    <x v="4"/>
    <n v="1957202.8276597636"/>
    <x v="0"/>
    <x v="0"/>
    <n v="2076972.5531916805"/>
    <x v="2"/>
  </r>
  <r>
    <x v="68"/>
    <n v="1"/>
    <x v="5"/>
    <n v="2015918.9124895565"/>
    <x v="0"/>
    <x v="0"/>
    <n v="1957202.8276597636"/>
    <x v="2"/>
  </r>
  <r>
    <x v="69"/>
    <n v="1"/>
    <x v="6"/>
    <n v="2076396.4798642432"/>
    <x v="0"/>
    <x v="0"/>
    <n v="2015918.9124895565"/>
    <x v="2"/>
  </r>
  <r>
    <x v="70"/>
    <n v="1"/>
    <x v="0"/>
    <n v="2138688.3742601704"/>
    <x v="0"/>
    <x v="0"/>
    <n v="2076396.4798642432"/>
    <x v="2"/>
  </r>
  <r>
    <x v="71"/>
    <n v="1"/>
    <x v="1"/>
    <n v="2202849.0254879757"/>
    <x v="0"/>
    <x v="0"/>
    <n v="2138688.3742601704"/>
    <x v="2"/>
  </r>
  <r>
    <x v="72"/>
    <n v="1"/>
    <x v="2"/>
    <n v="2500000"/>
    <x v="0"/>
    <x v="8"/>
    <n v="2202849.0254879757"/>
    <x v="2"/>
  </r>
  <r>
    <x v="73"/>
    <n v="0"/>
    <x v="3"/>
    <n v="2376000"/>
    <x v="0"/>
    <x v="0"/>
    <n v="2500000"/>
    <x v="2"/>
  </r>
  <r>
    <x v="74"/>
    <n v="0"/>
    <x v="4"/>
    <n v="2253240"/>
    <x v="0"/>
    <x v="0"/>
    <n v="2376000"/>
    <x v="2"/>
  </r>
  <r>
    <x v="75"/>
    <n v="0"/>
    <x v="5"/>
    <n v="2131707.6"/>
    <x v="0"/>
    <x v="0"/>
    <n v="2253240"/>
    <x v="2"/>
  </r>
  <r>
    <x v="76"/>
    <n v="1"/>
    <x v="6"/>
    <n v="2195658.8280000002"/>
    <x v="0"/>
    <x v="0"/>
    <n v="2131707.6"/>
    <x v="2"/>
  </r>
  <r>
    <x v="77"/>
    <n v="1"/>
    <x v="0"/>
    <n v="2261528.5928400001"/>
    <x v="0"/>
    <x v="0"/>
    <n v="2195658.8280000002"/>
    <x v="2"/>
  </r>
  <r>
    <x v="78"/>
    <n v="1"/>
    <x v="1"/>
    <n v="2329374.4506252003"/>
    <x v="0"/>
    <x v="0"/>
    <n v="2261528.5928400001"/>
    <x v="2"/>
  </r>
  <r>
    <x v="79"/>
    <n v="1"/>
    <x v="2"/>
    <n v="2500000"/>
    <x v="0"/>
    <x v="9"/>
    <n v="2329374.4506252003"/>
    <x v="2"/>
  </r>
  <r>
    <x v="80"/>
    <n v="1"/>
    <x v="3"/>
    <n v="2500000"/>
    <x v="2"/>
    <x v="0"/>
    <n v="2500000"/>
    <x v="2"/>
  </r>
  <r>
    <x v="81"/>
    <n v="1"/>
    <x v="4"/>
    <n v="2500000"/>
    <x v="2"/>
    <x v="0"/>
    <n v="2500000"/>
    <x v="2"/>
  </r>
  <r>
    <x v="82"/>
    <n v="0"/>
    <x v="5"/>
    <n v="2376000"/>
    <x v="0"/>
    <x v="0"/>
    <n v="2500000"/>
    <x v="2"/>
  </r>
  <r>
    <x v="83"/>
    <n v="0"/>
    <x v="6"/>
    <n v="2253240"/>
    <x v="0"/>
    <x v="0"/>
    <n v="2376000"/>
    <x v="2"/>
  </r>
  <r>
    <x v="84"/>
    <n v="0"/>
    <x v="0"/>
    <n v="2131707.6"/>
    <x v="0"/>
    <x v="0"/>
    <n v="2253240"/>
    <x v="2"/>
  </r>
  <r>
    <x v="85"/>
    <n v="0"/>
    <x v="1"/>
    <n v="2011390.524"/>
    <x v="0"/>
    <x v="0"/>
    <n v="2131707.6"/>
    <x v="2"/>
  </r>
  <r>
    <x v="86"/>
    <n v="0"/>
    <x v="2"/>
    <n v="2392276.61876"/>
    <x v="0"/>
    <x v="5"/>
    <n v="2011390.524"/>
    <x v="2"/>
  </r>
  <r>
    <x v="87"/>
    <n v="0"/>
    <x v="3"/>
    <n v="2269353.8525724001"/>
    <x v="0"/>
    <x v="0"/>
    <n v="2392276.61876"/>
    <x v="2"/>
  </r>
  <r>
    <x v="88"/>
    <n v="1"/>
    <x v="4"/>
    <n v="2337434.4681495721"/>
    <x v="0"/>
    <x v="0"/>
    <n v="2269353.8525724001"/>
    <x v="2"/>
  </r>
  <r>
    <x v="89"/>
    <n v="1"/>
    <x v="5"/>
    <n v="2407557.5021940595"/>
    <x v="0"/>
    <x v="0"/>
    <n v="2337434.4681495721"/>
    <x v="2"/>
  </r>
  <r>
    <x v="90"/>
    <n v="0"/>
    <x v="6"/>
    <n v="2284481.9271721188"/>
    <x v="0"/>
    <x v="0"/>
    <n v="2407557.5021940595"/>
    <x v="2"/>
  </r>
  <r>
    <x v="91"/>
    <n v="0"/>
    <x v="0"/>
    <n v="2162637.1079003974"/>
    <x v="0"/>
    <x v="0"/>
    <n v="2284481.9271721188"/>
    <x v="2"/>
  </r>
  <r>
    <x v="92"/>
    <n v="0"/>
    <x v="1"/>
    <n v="2042010.7368213935"/>
    <x v="0"/>
    <x v="0"/>
    <n v="2162637.1079003974"/>
    <x v="3"/>
  </r>
  <r>
    <x v="93"/>
    <n v="0"/>
    <x v="2"/>
    <n v="2422590.6294531794"/>
    <x v="0"/>
    <x v="5"/>
    <n v="2042010.7368213935"/>
    <x v="3"/>
  </r>
  <r>
    <x v="94"/>
    <n v="0"/>
    <x v="3"/>
    <n v="2299364.7231586478"/>
    <x v="0"/>
    <x v="0"/>
    <n v="2422590.6294531794"/>
    <x v="3"/>
  </r>
  <r>
    <x v="95"/>
    <n v="0"/>
    <x v="4"/>
    <n v="2177371.0759270615"/>
    <x v="0"/>
    <x v="0"/>
    <n v="2299364.7231586478"/>
    <x v="3"/>
  </r>
  <r>
    <x v="96"/>
    <n v="1"/>
    <x v="5"/>
    <n v="2242692.2082048734"/>
    <x v="0"/>
    <x v="0"/>
    <n v="2177371.0759270615"/>
    <x v="3"/>
  </r>
  <r>
    <x v="97"/>
    <n v="0"/>
    <x v="6"/>
    <n v="2121265.2861228245"/>
    <x v="0"/>
    <x v="0"/>
    <n v="2242692.2082048734"/>
    <x v="3"/>
  </r>
  <r>
    <x v="98"/>
    <n v="1"/>
    <x v="0"/>
    <n v="2184903.2447065092"/>
    <x v="0"/>
    <x v="0"/>
    <n v="2121265.2861228245"/>
    <x v="3"/>
  </r>
  <r>
    <x v="99"/>
    <n v="1"/>
    <x v="1"/>
    <n v="2250450.3420477044"/>
    <x v="0"/>
    <x v="0"/>
    <n v="2184903.2447065092"/>
    <x v="3"/>
  </r>
  <r>
    <x v="100"/>
    <n v="0"/>
    <x v="2"/>
    <n v="2500000"/>
    <x v="0"/>
    <x v="10"/>
    <n v="2250450.3420477044"/>
    <x v="3"/>
  </r>
  <r>
    <x v="101"/>
    <n v="0"/>
    <x v="3"/>
    <n v="2376000"/>
    <x v="0"/>
    <x v="0"/>
    <n v="2500000"/>
    <x v="3"/>
  </r>
  <r>
    <x v="102"/>
    <n v="0"/>
    <x v="4"/>
    <n v="2253240"/>
    <x v="0"/>
    <x v="0"/>
    <n v="2376000"/>
    <x v="3"/>
  </r>
  <r>
    <x v="103"/>
    <n v="0"/>
    <x v="5"/>
    <n v="2131707.6"/>
    <x v="0"/>
    <x v="0"/>
    <n v="2253240"/>
    <x v="3"/>
  </r>
  <r>
    <x v="104"/>
    <n v="1"/>
    <x v="6"/>
    <n v="2195658.8280000002"/>
    <x v="0"/>
    <x v="0"/>
    <n v="2131707.6"/>
    <x v="3"/>
  </r>
  <r>
    <x v="105"/>
    <n v="0"/>
    <x v="0"/>
    <n v="2074702.2397200002"/>
    <x v="0"/>
    <x v="0"/>
    <n v="2195658.8280000002"/>
    <x v="3"/>
  </r>
  <r>
    <x v="106"/>
    <n v="1"/>
    <x v="1"/>
    <n v="2136943.3069116003"/>
    <x v="0"/>
    <x v="0"/>
    <n v="2074702.2397200002"/>
    <x v="3"/>
  </r>
  <r>
    <x v="107"/>
    <n v="1"/>
    <x v="2"/>
    <n v="2500000"/>
    <x v="0"/>
    <x v="11"/>
    <n v="2136943.3069116003"/>
    <x v="3"/>
  </r>
  <r>
    <x v="108"/>
    <n v="1"/>
    <x v="3"/>
    <n v="2500000"/>
    <x v="2"/>
    <x v="0"/>
    <n v="2500000"/>
    <x v="3"/>
  </r>
  <r>
    <x v="109"/>
    <n v="0"/>
    <x v="4"/>
    <n v="2376000"/>
    <x v="0"/>
    <x v="0"/>
    <n v="2500000"/>
    <x v="3"/>
  </r>
  <r>
    <x v="110"/>
    <n v="0"/>
    <x v="5"/>
    <n v="2253240"/>
    <x v="0"/>
    <x v="0"/>
    <n v="2376000"/>
    <x v="3"/>
  </r>
  <r>
    <x v="111"/>
    <n v="0"/>
    <x v="6"/>
    <n v="2131707.6"/>
    <x v="0"/>
    <x v="0"/>
    <n v="2253240"/>
    <x v="3"/>
  </r>
  <r>
    <x v="112"/>
    <n v="0"/>
    <x v="0"/>
    <n v="2011390.524"/>
    <x v="0"/>
    <x v="0"/>
    <n v="2131707.6"/>
    <x v="3"/>
  </r>
  <r>
    <x v="113"/>
    <n v="0"/>
    <x v="1"/>
    <n v="1892276.61876"/>
    <x v="0"/>
    <x v="0"/>
    <n v="2011390.524"/>
    <x v="3"/>
  </r>
  <r>
    <x v="114"/>
    <n v="0"/>
    <x v="2"/>
    <n v="2274353.8525724001"/>
    <x v="0"/>
    <x v="5"/>
    <n v="1892276.61876"/>
    <x v="3"/>
  </r>
  <r>
    <x v="115"/>
    <n v="0"/>
    <x v="3"/>
    <n v="2152610.3140466763"/>
    <x v="0"/>
    <x v="0"/>
    <n v="2274353.8525724001"/>
    <x v="3"/>
  </r>
  <r>
    <x v="116"/>
    <n v="0"/>
    <x v="4"/>
    <n v="2032084.2109062094"/>
    <x v="0"/>
    <x v="0"/>
    <n v="2152610.3140466763"/>
    <x v="3"/>
  </r>
  <r>
    <x v="117"/>
    <n v="0"/>
    <x v="5"/>
    <n v="1912763.3687971474"/>
    <x v="0"/>
    <x v="0"/>
    <n v="2032084.2109062094"/>
    <x v="3"/>
  </r>
  <r>
    <x v="118"/>
    <n v="0"/>
    <x v="6"/>
    <n v="1794635.735109176"/>
    <x v="0"/>
    <x v="0"/>
    <n v="1912763.3687971474"/>
    <x v="3"/>
  </r>
  <r>
    <x v="119"/>
    <n v="1"/>
    <x v="0"/>
    <n v="1848474.8071624513"/>
    <x v="0"/>
    <x v="0"/>
    <n v="1794635.735109176"/>
    <x v="3"/>
  </r>
  <r>
    <x v="120"/>
    <n v="0"/>
    <x v="1"/>
    <n v="1730990.0590908269"/>
    <x v="0"/>
    <x v="0"/>
    <n v="1848474.8071624513"/>
    <x v="3"/>
  </r>
  <r>
    <x v="121"/>
    <n v="0"/>
    <x v="2"/>
    <n v="2114680.1584999189"/>
    <x v="0"/>
    <x v="5"/>
    <n v="1730990.0590908269"/>
    <x v="3"/>
  </r>
  <r>
    <x v="122"/>
    <n v="1"/>
    <x v="3"/>
    <n v="2178120.5632549166"/>
    <x v="0"/>
    <x v="0"/>
    <n v="2114680.1584999189"/>
    <x v="3"/>
  </r>
  <r>
    <x v="123"/>
    <n v="0"/>
    <x v="4"/>
    <n v="2057339.3576223673"/>
    <x v="0"/>
    <x v="0"/>
    <n v="2178120.5632549166"/>
    <x v="4"/>
  </r>
  <r>
    <x v="124"/>
    <n v="0"/>
    <x v="5"/>
    <n v="1937765.9640461437"/>
    <x v="0"/>
    <x v="0"/>
    <n v="2057339.3576223673"/>
    <x v="4"/>
  </r>
  <r>
    <x v="125"/>
    <n v="0"/>
    <x v="6"/>
    <n v="1819388.3044056823"/>
    <x v="0"/>
    <x v="0"/>
    <n v="1937765.9640461437"/>
    <x v="4"/>
  </r>
  <r>
    <x v="126"/>
    <n v="0"/>
    <x v="0"/>
    <n v="1702194.4213616254"/>
    <x v="0"/>
    <x v="0"/>
    <n v="1819388.3044056823"/>
    <x v="4"/>
  </r>
  <r>
    <x v="127"/>
    <n v="0"/>
    <x v="1"/>
    <n v="1586172.4771480092"/>
    <x v="0"/>
    <x v="0"/>
    <n v="1702194.4213616254"/>
    <x v="4"/>
  </r>
  <r>
    <x v="128"/>
    <n v="0"/>
    <x v="2"/>
    <n v="1971310.7523765292"/>
    <x v="0"/>
    <x v="5"/>
    <n v="1586172.4771480092"/>
    <x v="4"/>
  </r>
  <r>
    <x v="129"/>
    <n v="0"/>
    <x v="3"/>
    <n v="1852597.6448527637"/>
    <x v="0"/>
    <x v="0"/>
    <n v="1971310.7523765292"/>
    <x v="4"/>
  </r>
  <r>
    <x v="130"/>
    <n v="1"/>
    <x v="4"/>
    <n v="1908175.5741983468"/>
    <x v="0"/>
    <x v="0"/>
    <n v="1852597.6448527637"/>
    <x v="4"/>
  </r>
  <r>
    <x v="131"/>
    <n v="0"/>
    <x v="5"/>
    <n v="1790093.8184563634"/>
    <x v="0"/>
    <x v="0"/>
    <n v="1908175.5741983468"/>
    <x v="4"/>
  </r>
  <r>
    <x v="132"/>
    <n v="0"/>
    <x v="6"/>
    <n v="1673192.8802717999"/>
    <x v="0"/>
    <x v="0"/>
    <n v="1790093.8184563634"/>
    <x v="4"/>
  </r>
  <r>
    <x v="133"/>
    <n v="0"/>
    <x v="0"/>
    <n v="1557460.9514690819"/>
    <x v="0"/>
    <x v="0"/>
    <n v="1673192.8802717999"/>
    <x v="4"/>
  </r>
  <r>
    <x v="134"/>
    <n v="0"/>
    <x v="1"/>
    <n v="1442886.341954391"/>
    <x v="0"/>
    <x v="0"/>
    <n v="1557460.9514690819"/>
    <x v="4"/>
  </r>
  <r>
    <x v="135"/>
    <n v="0"/>
    <x v="2"/>
    <n v="1829457.478534847"/>
    <x v="0"/>
    <x v="5"/>
    <n v="1442886.341954391"/>
    <x v="4"/>
  </r>
  <r>
    <x v="136"/>
    <n v="0"/>
    <x v="3"/>
    <n v="1712162.9037494985"/>
    <x v="0"/>
    <x v="0"/>
    <n v="1829457.478534847"/>
    <x v="4"/>
  </r>
  <r>
    <x v="137"/>
    <n v="1"/>
    <x v="4"/>
    <n v="1763527.7908619836"/>
    <x v="0"/>
    <x v="0"/>
    <n v="1712162.9037494985"/>
    <x v="4"/>
  </r>
  <r>
    <x v="138"/>
    <n v="0"/>
    <x v="5"/>
    <n v="1646892.5129533636"/>
    <x v="0"/>
    <x v="0"/>
    <n v="1763527.7908619836"/>
    <x v="4"/>
  </r>
  <r>
    <x v="139"/>
    <n v="0"/>
    <x v="6"/>
    <n v="1531423.5878238298"/>
    <x v="0"/>
    <x v="0"/>
    <n v="1646892.5129533636"/>
    <x v="4"/>
  </r>
  <r>
    <x v="140"/>
    <n v="0"/>
    <x v="0"/>
    <n v="1417109.3519455916"/>
    <x v="0"/>
    <x v="0"/>
    <n v="1531423.5878238298"/>
    <x v="4"/>
  </r>
  <r>
    <x v="141"/>
    <n v="0"/>
    <x v="1"/>
    <n v="1303938.2584261356"/>
    <x v="0"/>
    <x v="0"/>
    <n v="1417109.3519455916"/>
    <x v="4"/>
  </r>
  <r>
    <x v="142"/>
    <n v="0"/>
    <x v="2"/>
    <n v="1691898.8758418742"/>
    <x v="0"/>
    <x v="5"/>
    <n v="1303938.2584261356"/>
    <x v="4"/>
  </r>
  <r>
    <x v="143"/>
    <n v="0"/>
    <x v="3"/>
    <n v="1575979.8870834555"/>
    <x v="0"/>
    <x v="0"/>
    <n v="1691898.8758418742"/>
    <x v="4"/>
  </r>
  <r>
    <x v="144"/>
    <n v="0"/>
    <x v="4"/>
    <n v="1461220.0882126209"/>
    <x v="0"/>
    <x v="0"/>
    <n v="1575979.8870834555"/>
    <x v="4"/>
  </r>
  <r>
    <x v="145"/>
    <n v="1"/>
    <x v="5"/>
    <n v="1505056.6908589995"/>
    <x v="0"/>
    <x v="0"/>
    <n v="1461220.0882126209"/>
    <x v="4"/>
  </r>
  <r>
    <x v="146"/>
    <n v="0"/>
    <x v="6"/>
    <n v="1391006.1239504095"/>
    <x v="0"/>
    <x v="0"/>
    <n v="1505056.6908589995"/>
    <x v="4"/>
  </r>
  <r>
    <x v="147"/>
    <n v="1"/>
    <x v="0"/>
    <n v="1432736.3076689218"/>
    <x v="0"/>
    <x v="0"/>
    <n v="1391006.1239504095"/>
    <x v="4"/>
  </r>
  <r>
    <x v="148"/>
    <n v="0"/>
    <x v="1"/>
    <n v="1319408.9445922326"/>
    <x v="0"/>
    <x v="0"/>
    <n v="1432736.3076689218"/>
    <x v="4"/>
  </r>
  <r>
    <x v="149"/>
    <n v="0"/>
    <x v="2"/>
    <n v="1707214.8551463103"/>
    <x v="0"/>
    <x v="5"/>
    <n v="1319408.9445922326"/>
    <x v="4"/>
  </r>
  <r>
    <x v="150"/>
    <n v="0"/>
    <x v="3"/>
    <n v="1591142.7065948471"/>
    <x v="0"/>
    <x v="0"/>
    <n v="1707214.8551463103"/>
    <x v="4"/>
  </r>
  <r>
    <x v="151"/>
    <n v="1"/>
    <x v="4"/>
    <n v="1638876.9877926926"/>
    <x v="0"/>
    <x v="0"/>
    <n v="1591142.7065948471"/>
    <x v="4"/>
  </r>
  <r>
    <x v="152"/>
    <n v="1"/>
    <x v="5"/>
    <n v="1688043.2974264733"/>
    <x v="0"/>
    <x v="0"/>
    <n v="1638876.9877926926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przestawna1" cacheId="21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outline="1" outlineData="1" multipleFieldFilters="0">
  <location ref="A4:C11" firstHeaderRow="1" firstDataRow="2" firstDataCol="1" rowPageCount="2" colPageCount="1"/>
  <pivotFields count="8">
    <pivotField axis="axisRow" numFmtId="14" showAll="0">
      <items count="1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t="default"/>
      </items>
    </pivotField>
    <pivotField showAll="0"/>
    <pivotField axis="axisPage" showAll="0">
      <items count="9">
        <item x="4"/>
        <item x="5"/>
        <item x="6"/>
        <item x="0"/>
        <item x="1"/>
        <item x="2"/>
        <item m="1" x="7"/>
        <item x="3"/>
        <item t="default"/>
      </items>
    </pivotField>
    <pivotField showAll="0"/>
    <pivotField dataField="1" showAll="0" defaultSubtotal="0">
      <items count="3">
        <item x="1"/>
        <item x="2"/>
        <item x="0"/>
      </items>
    </pivotField>
    <pivotField dataField="1" showAll="0" defaultSubtotal="0">
      <items count="12">
        <item x="2"/>
        <item x="9"/>
        <item x="3"/>
        <item x="1"/>
        <item x="8"/>
        <item x="6"/>
        <item x="11"/>
        <item x="4"/>
        <item x="7"/>
        <item x="10"/>
        <item x="5"/>
        <item x="0"/>
      </items>
    </pivotField>
    <pivotField showAll="0"/>
    <pivotField axis="axisPage" multipleItemSelectionAllowed="1" showAll="0">
      <items count="6">
        <item x="0"/>
        <item h="1" x="1"/>
        <item h="1" x="2"/>
        <item h="1" x="3"/>
        <item h="1" x="4"/>
        <item t="default"/>
      </items>
    </pivotField>
  </pivotFields>
  <rowFields count="1">
    <field x="0"/>
  </rowFields>
  <rowItems count="6">
    <i>
      <x v="2"/>
    </i>
    <i>
      <x v="9"/>
    </i>
    <i>
      <x v="16"/>
    </i>
    <i>
      <x v="2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2">
    <pageField fld="7" hier="-1"/>
    <pageField fld="2" item="5" hier="-1"/>
  </pageFields>
  <dataFields count="2">
    <dataField name="Suma z nadmiar" fld="4" baseField="0" baseItem="0"/>
    <dataField name="Suma z dolewanie" fld="5" baseField="0" baseItem="0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ela1" displayName="Tabela1" ref="A1:H154" totalsRowShown="0">
  <autoFilter ref="A1:H154">
    <filterColumn colId="3"/>
    <filterColumn colId="4"/>
    <filterColumn colId="5"/>
    <filterColumn colId="6"/>
    <filterColumn colId="7"/>
  </autoFilter>
  <tableColumns count="8">
    <tableColumn id="1" name="data" dataDxfId="3"/>
    <tableColumn id="2" name="opady "/>
    <tableColumn id="4" name="dzien tyg" dataDxfId="0">
      <calculatedColumnFormula>WEEKDAY(Tabela1[[#This Row],[data]]) -1</calculatedColumnFormula>
    </tableColumn>
    <tableColumn id="5" name="stan zbiornika"/>
    <tableColumn id="6" name="nadmiar"/>
    <tableColumn id="7" name="dolewanie"/>
    <tableColumn id="8" name="rano"/>
    <tableColumn id="9" name="Kolumna2" dataDxfId="1">
      <calculatedColumnFormula>MONTH(Tabela1[[#This Row],[data]])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4"/>
  <dimension ref="A1:C11"/>
  <sheetViews>
    <sheetView tabSelected="1" workbookViewId="0">
      <selection activeCell="B10" sqref="B10"/>
    </sheetView>
  </sheetViews>
  <sheetFormatPr defaultRowHeight="13.8"/>
  <cols>
    <col min="1" max="1" width="17.5" customWidth="1"/>
    <col min="2" max="2" width="15" customWidth="1"/>
    <col min="3" max="3" width="16.8984375" customWidth="1"/>
    <col min="4" max="4" width="8.8984375" customWidth="1"/>
    <col min="5" max="5" width="11.8984375" customWidth="1"/>
    <col min="6" max="6" width="6.8984375" customWidth="1"/>
    <col min="7" max="7" width="14.296875" customWidth="1"/>
    <col min="8" max="8" width="14.296875" bestFit="1" customWidth="1"/>
    <col min="9" max="9" width="18.09765625" bestFit="1" customWidth="1"/>
    <col min="10" max="10" width="8.59765625" customWidth="1"/>
    <col min="11" max="11" width="12.3984375" bestFit="1" customWidth="1"/>
    <col min="12" max="12" width="14.296875" bestFit="1" customWidth="1"/>
  </cols>
  <sheetData>
    <row r="1" spans="1:3">
      <c r="A1" s="4" t="s">
        <v>6</v>
      </c>
      <c r="B1" s="6">
        <v>5</v>
      </c>
    </row>
    <row r="2" spans="1:3">
      <c r="A2" s="4" t="s">
        <v>2</v>
      </c>
      <c r="B2" s="6">
        <v>6</v>
      </c>
    </row>
    <row r="4" spans="1:3">
      <c r="B4" s="4" t="s">
        <v>10</v>
      </c>
    </row>
    <row r="5" spans="1:3">
      <c r="A5" s="4" t="s">
        <v>8</v>
      </c>
      <c r="B5" t="s">
        <v>12</v>
      </c>
      <c r="C5" t="s">
        <v>11</v>
      </c>
    </row>
    <row r="6" spans="1:3">
      <c r="A6" s="5">
        <v>41762</v>
      </c>
      <c r="B6" s="2"/>
      <c r="C6" s="2">
        <v>176192.79999999981</v>
      </c>
    </row>
    <row r="7" spans="1:3">
      <c r="A7" s="5">
        <v>41769</v>
      </c>
      <c r="B7" s="2">
        <v>75000</v>
      </c>
      <c r="C7" s="2">
        <v>0</v>
      </c>
    </row>
    <row r="8" spans="1:3">
      <c r="A8" s="5">
        <v>41776</v>
      </c>
      <c r="B8" s="2"/>
      <c r="C8" s="2">
        <v>109537.68399999989</v>
      </c>
    </row>
    <row r="9" spans="1:3">
      <c r="A9" s="5">
        <v>41783</v>
      </c>
      <c r="B9" s="2"/>
      <c r="C9" s="2">
        <v>354117.88408839982</v>
      </c>
    </row>
    <row r="10" spans="1:3">
      <c r="A10" s="5">
        <v>41790</v>
      </c>
      <c r="B10" s="2"/>
      <c r="C10" s="2">
        <v>500000</v>
      </c>
    </row>
    <row r="11" spans="1:3">
      <c r="A11" s="5" t="s">
        <v>9</v>
      </c>
      <c r="B11" s="2">
        <v>75000</v>
      </c>
      <c r="C11" s="2">
        <v>1139848.3680883995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K154"/>
  <sheetViews>
    <sheetView workbookViewId="0">
      <selection activeCell="L21" sqref="L21"/>
    </sheetView>
  </sheetViews>
  <sheetFormatPr defaultRowHeight="13.8"/>
  <cols>
    <col min="1" max="1" width="9.8984375" bestFit="1" customWidth="1"/>
    <col min="2" max="2" width="8" customWidth="1"/>
    <col min="3" max="3" width="9.69921875" customWidth="1"/>
    <col min="4" max="4" width="9.19921875" customWidth="1"/>
    <col min="10" max="10" width="11.69921875" customWidth="1"/>
    <col min="11" max="11" width="9.199218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</row>
    <row r="2" spans="1:11">
      <c r="A2" s="1">
        <v>41760</v>
      </c>
      <c r="B2">
        <v>0</v>
      </c>
      <c r="C2" s="2">
        <f>WEEKDAY(Tabela1[[#This Row],[data]]) -1</f>
        <v>4</v>
      </c>
      <c r="D2">
        <v>2376000</v>
      </c>
      <c r="G2">
        <v>2500000</v>
      </c>
      <c r="H2" s="2">
        <f>MONTH(Tabela1[[#This Row],[data]])</f>
        <v>5</v>
      </c>
    </row>
    <row r="3" spans="1:11">
      <c r="A3" s="1">
        <v>41761</v>
      </c>
      <c r="B3">
        <v>1</v>
      </c>
      <c r="C3" s="2">
        <f>WEEKDAY(Tabela1[[#This Row],[data]]) -1</f>
        <v>5</v>
      </c>
      <c r="D3">
        <v>2447280</v>
      </c>
      <c r="G3">
        <v>2376000</v>
      </c>
      <c r="H3" s="2">
        <f>MONTH(Tabela1[[#This Row],[data]])</f>
        <v>5</v>
      </c>
    </row>
    <row r="4" spans="1:11">
      <c r="A4" s="1">
        <v>41762</v>
      </c>
      <c r="B4">
        <v>0</v>
      </c>
      <c r="C4" s="2">
        <f>WEEKDAY(Tabela1[[#This Row],[data]]) -1</f>
        <v>6</v>
      </c>
      <c r="D4">
        <v>2500000</v>
      </c>
      <c r="F4">
        <v>176192.79999999981</v>
      </c>
      <c r="G4">
        <v>2447280</v>
      </c>
      <c r="H4" s="2">
        <f>MONTH(Tabela1[[#This Row],[data]])</f>
        <v>5</v>
      </c>
      <c r="K4">
        <f>COUNTIF(Tabela1[nadmiar],"&gt;0")</f>
        <v>13</v>
      </c>
    </row>
    <row r="5" spans="1:11">
      <c r="A5" s="1">
        <v>41763</v>
      </c>
      <c r="B5">
        <v>0</v>
      </c>
      <c r="C5" s="2">
        <f>WEEKDAY(Tabela1[[#This Row],[data]]) -1</f>
        <v>0</v>
      </c>
      <c r="D5">
        <v>2376000</v>
      </c>
      <c r="G5">
        <v>2500000</v>
      </c>
      <c r="H5" s="2">
        <f>MONTH(Tabela1[[#This Row],[data]])</f>
        <v>5</v>
      </c>
    </row>
    <row r="6" spans="1:11">
      <c r="A6" s="1">
        <v>41764</v>
      </c>
      <c r="B6">
        <v>0</v>
      </c>
      <c r="C6" s="2">
        <f>WEEKDAY(Tabela1[[#This Row],[data]]) -1</f>
        <v>1</v>
      </c>
      <c r="D6">
        <v>2253240</v>
      </c>
      <c r="G6">
        <v>2376000</v>
      </c>
      <c r="H6" s="2">
        <f>MONTH(Tabela1[[#This Row],[data]])</f>
        <v>5</v>
      </c>
      <c r="K6">
        <f>SUM(Tabela1[dolewanie])</f>
        <v>8289355.5719204126</v>
      </c>
    </row>
    <row r="7" spans="1:11">
      <c r="A7" s="1">
        <v>41765</v>
      </c>
      <c r="B7">
        <v>1</v>
      </c>
      <c r="C7" s="2">
        <f>WEEKDAY(Tabela1[[#This Row],[data]]) -1</f>
        <v>2</v>
      </c>
      <c r="D7">
        <v>2320837.2000000002</v>
      </c>
      <c r="G7">
        <v>2253240</v>
      </c>
      <c r="H7" s="2">
        <f>MONTH(Tabela1[[#This Row],[data]])</f>
        <v>5</v>
      </c>
    </row>
    <row r="8" spans="1:11">
      <c r="A8" s="1">
        <v>41766</v>
      </c>
      <c r="B8">
        <v>1</v>
      </c>
      <c r="C8" s="2">
        <f>WEEKDAY(Tabela1[[#This Row],[data]]) -1</f>
        <v>3</v>
      </c>
      <c r="D8">
        <v>2390462.3160000001</v>
      </c>
      <c r="G8">
        <v>2320837.2000000002</v>
      </c>
      <c r="H8" s="2">
        <f>MONTH(Tabela1[[#This Row],[data]])</f>
        <v>5</v>
      </c>
    </row>
    <row r="9" spans="1:11">
      <c r="A9" s="1">
        <v>41767</v>
      </c>
      <c r="B9">
        <v>1</v>
      </c>
      <c r="C9" s="2">
        <f>WEEKDAY(Tabela1[[#This Row],[data]]) -1</f>
        <v>4</v>
      </c>
      <c r="D9">
        <v>2462176.18548</v>
      </c>
      <c r="G9">
        <v>2390462.3160000001</v>
      </c>
      <c r="H9" s="2">
        <f>MONTH(Tabela1[[#This Row],[data]])</f>
        <v>5</v>
      </c>
      <c r="J9" s="3">
        <v>41906</v>
      </c>
      <c r="K9">
        <f>MIN(Tabela1[stan zbiornika])</f>
        <v>1303938.2584261356</v>
      </c>
    </row>
    <row r="10" spans="1:11">
      <c r="A10" s="1">
        <v>41768</v>
      </c>
      <c r="B10">
        <v>1</v>
      </c>
      <c r="C10" s="2">
        <f>WEEKDAY(Tabela1[[#This Row],[data]]) -1</f>
        <v>5</v>
      </c>
      <c r="D10">
        <v>2500000</v>
      </c>
      <c r="E10">
        <v>36041.471044400241</v>
      </c>
      <c r="G10">
        <v>2462176.18548</v>
      </c>
      <c r="H10" s="2">
        <f>MONTH(Tabela1[[#This Row],[data]])</f>
        <v>5</v>
      </c>
    </row>
    <row r="11" spans="1:11">
      <c r="A11" s="1">
        <v>41769</v>
      </c>
      <c r="B11">
        <v>1</v>
      </c>
      <c r="C11" s="2">
        <f>WEEKDAY(Tabela1[[#This Row],[data]]) -1</f>
        <v>6</v>
      </c>
      <c r="D11">
        <v>2500000</v>
      </c>
      <c r="E11">
        <v>75000</v>
      </c>
      <c r="F11">
        <v>0</v>
      </c>
      <c r="G11">
        <v>2500000</v>
      </c>
      <c r="H11" s="2">
        <f>MONTH(Tabela1[[#This Row],[data]])</f>
        <v>5</v>
      </c>
    </row>
    <row r="12" spans="1:11">
      <c r="A12" s="1">
        <v>41770</v>
      </c>
      <c r="B12">
        <v>1</v>
      </c>
      <c r="C12" s="2">
        <f>WEEKDAY(Tabela1[[#This Row],[data]]) -1</f>
        <v>0</v>
      </c>
      <c r="D12">
        <v>2500000</v>
      </c>
      <c r="E12">
        <v>75000</v>
      </c>
      <c r="G12">
        <v>2500000</v>
      </c>
      <c r="H12" s="2">
        <f>MONTH(Tabela1[[#This Row],[data]])</f>
        <v>5</v>
      </c>
    </row>
    <row r="13" spans="1:11">
      <c r="A13" s="1">
        <v>41771</v>
      </c>
      <c r="B13">
        <v>1</v>
      </c>
      <c r="C13" s="2">
        <f>WEEKDAY(Tabela1[[#This Row],[data]]) -1</f>
        <v>1</v>
      </c>
      <c r="D13">
        <v>2500000</v>
      </c>
      <c r="E13">
        <v>75000</v>
      </c>
      <c r="G13">
        <v>2500000</v>
      </c>
      <c r="H13" s="2">
        <f>MONTH(Tabela1[[#This Row],[data]])</f>
        <v>5</v>
      </c>
    </row>
    <row r="14" spans="1:11">
      <c r="A14" s="1">
        <v>41772</v>
      </c>
      <c r="B14">
        <v>1</v>
      </c>
      <c r="C14" s="2">
        <f>WEEKDAY(Tabela1[[#This Row],[data]]) -1</f>
        <v>2</v>
      </c>
      <c r="D14">
        <v>2500000</v>
      </c>
      <c r="E14">
        <v>75000</v>
      </c>
      <c r="G14">
        <v>2500000</v>
      </c>
      <c r="H14" s="2">
        <f>MONTH(Tabela1[[#This Row],[data]])</f>
        <v>5</v>
      </c>
    </row>
    <row r="15" spans="1:11">
      <c r="A15" s="1">
        <v>41773</v>
      </c>
      <c r="B15">
        <v>0</v>
      </c>
      <c r="C15" s="2">
        <f>WEEKDAY(Tabela1[[#This Row],[data]]) -1</f>
        <v>3</v>
      </c>
      <c r="D15">
        <v>2376000</v>
      </c>
      <c r="G15">
        <v>2500000</v>
      </c>
      <c r="H15" s="2">
        <f>MONTH(Tabela1[[#This Row],[data]])</f>
        <v>5</v>
      </c>
    </row>
    <row r="16" spans="1:11">
      <c r="A16" s="1">
        <v>41774</v>
      </c>
      <c r="B16">
        <v>0</v>
      </c>
      <c r="C16" s="2">
        <f>WEEKDAY(Tabela1[[#This Row],[data]]) -1</f>
        <v>4</v>
      </c>
      <c r="D16">
        <v>2253240</v>
      </c>
      <c r="G16">
        <v>2376000</v>
      </c>
      <c r="H16" s="2">
        <f>MONTH(Tabela1[[#This Row],[data]])</f>
        <v>5</v>
      </c>
    </row>
    <row r="17" spans="1:8">
      <c r="A17" s="1">
        <v>41775</v>
      </c>
      <c r="B17">
        <v>1</v>
      </c>
      <c r="C17" s="2">
        <f>WEEKDAY(Tabela1[[#This Row],[data]]) -1</f>
        <v>5</v>
      </c>
      <c r="D17">
        <v>2320837.2000000002</v>
      </c>
      <c r="G17">
        <v>2253240</v>
      </c>
      <c r="H17" s="2">
        <f>MONTH(Tabela1[[#This Row],[data]])</f>
        <v>5</v>
      </c>
    </row>
    <row r="18" spans="1:8">
      <c r="A18" s="1">
        <v>41776</v>
      </c>
      <c r="B18">
        <v>1</v>
      </c>
      <c r="C18" s="2">
        <f>WEEKDAY(Tabela1[[#This Row],[data]]) -1</f>
        <v>6</v>
      </c>
      <c r="D18">
        <v>2500000</v>
      </c>
      <c r="F18">
        <v>109537.68399999989</v>
      </c>
      <c r="G18">
        <v>2320837.2000000002</v>
      </c>
      <c r="H18" s="2">
        <f>MONTH(Tabela1[[#This Row],[data]])</f>
        <v>5</v>
      </c>
    </row>
    <row r="19" spans="1:8">
      <c r="A19" s="1">
        <v>41777</v>
      </c>
      <c r="B19">
        <v>1</v>
      </c>
      <c r="C19" s="2">
        <f>WEEKDAY(Tabela1[[#This Row],[data]]) -1</f>
        <v>0</v>
      </c>
      <c r="D19">
        <v>2500000</v>
      </c>
      <c r="E19">
        <v>75000</v>
      </c>
      <c r="G19">
        <v>2500000</v>
      </c>
      <c r="H19" s="2">
        <f>MONTH(Tabela1[[#This Row],[data]])</f>
        <v>5</v>
      </c>
    </row>
    <row r="20" spans="1:8">
      <c r="A20" s="1">
        <v>41778</v>
      </c>
      <c r="B20">
        <v>0</v>
      </c>
      <c r="C20" s="2">
        <f>WEEKDAY(Tabela1[[#This Row],[data]]) -1</f>
        <v>1</v>
      </c>
      <c r="D20">
        <v>2376000</v>
      </c>
      <c r="G20">
        <v>2500000</v>
      </c>
      <c r="H20" s="2">
        <f>MONTH(Tabela1[[#This Row],[data]])</f>
        <v>5</v>
      </c>
    </row>
    <row r="21" spans="1:8">
      <c r="A21" s="1">
        <v>41779</v>
      </c>
      <c r="B21">
        <v>0</v>
      </c>
      <c r="C21" s="2">
        <f>WEEKDAY(Tabela1[[#This Row],[data]]) -1</f>
        <v>2</v>
      </c>
      <c r="D21">
        <v>2253240</v>
      </c>
      <c r="G21">
        <v>2376000</v>
      </c>
      <c r="H21" s="2">
        <f>MONTH(Tabela1[[#This Row],[data]])</f>
        <v>5</v>
      </c>
    </row>
    <row r="22" spans="1:8">
      <c r="A22" s="1">
        <v>41780</v>
      </c>
      <c r="B22">
        <v>1</v>
      </c>
      <c r="C22" s="2">
        <f>WEEKDAY(Tabela1[[#This Row],[data]]) -1</f>
        <v>3</v>
      </c>
      <c r="D22">
        <v>2320837.2000000002</v>
      </c>
      <c r="G22">
        <v>2253240</v>
      </c>
      <c r="H22" s="2">
        <f>MONTH(Tabela1[[#This Row],[data]])</f>
        <v>5</v>
      </c>
    </row>
    <row r="23" spans="1:8">
      <c r="A23" s="1">
        <v>41781</v>
      </c>
      <c r="B23">
        <v>1</v>
      </c>
      <c r="C23" s="2">
        <f>WEEKDAY(Tabela1[[#This Row],[data]]) -1</f>
        <v>4</v>
      </c>
      <c r="D23">
        <v>2390462.3160000001</v>
      </c>
      <c r="G23">
        <v>2320837.2000000002</v>
      </c>
      <c r="H23" s="2">
        <f>MONTH(Tabela1[[#This Row],[data]])</f>
        <v>5</v>
      </c>
    </row>
    <row r="24" spans="1:8">
      <c r="A24" s="1">
        <v>41782</v>
      </c>
      <c r="B24">
        <v>0</v>
      </c>
      <c r="C24" s="2">
        <f>WEEKDAY(Tabela1[[#This Row],[data]]) -1</f>
        <v>5</v>
      </c>
      <c r="D24">
        <v>2267557.6928400001</v>
      </c>
      <c r="G24">
        <v>2390462.3160000001</v>
      </c>
      <c r="H24" s="2">
        <f>MONTH(Tabela1[[#This Row],[data]])</f>
        <v>5</v>
      </c>
    </row>
    <row r="25" spans="1:8">
      <c r="A25" s="1">
        <v>41783</v>
      </c>
      <c r="B25">
        <v>0</v>
      </c>
      <c r="C25" s="2">
        <f>WEEKDAY(Tabela1[[#This Row],[data]]) -1</f>
        <v>6</v>
      </c>
      <c r="D25">
        <v>2500000</v>
      </c>
      <c r="F25">
        <v>354117.88408839982</v>
      </c>
      <c r="G25">
        <v>2267557.6928400001</v>
      </c>
      <c r="H25" s="2">
        <f>MONTH(Tabela1[[#This Row],[data]])</f>
        <v>5</v>
      </c>
    </row>
    <row r="26" spans="1:8">
      <c r="A26" s="1">
        <v>41784</v>
      </c>
      <c r="B26">
        <v>0</v>
      </c>
      <c r="C26" s="2">
        <f>WEEKDAY(Tabela1[[#This Row],[data]]) -1</f>
        <v>0</v>
      </c>
      <c r="D26">
        <v>2376000</v>
      </c>
      <c r="G26">
        <v>2500000</v>
      </c>
      <c r="H26" s="2">
        <f>MONTH(Tabela1[[#This Row],[data]])</f>
        <v>5</v>
      </c>
    </row>
    <row r="27" spans="1:8">
      <c r="A27" s="1">
        <v>41785</v>
      </c>
      <c r="B27">
        <v>0</v>
      </c>
      <c r="C27" s="2">
        <f>WEEKDAY(Tabela1[[#This Row],[data]]) -1</f>
        <v>1</v>
      </c>
      <c r="D27">
        <v>2253240</v>
      </c>
      <c r="G27">
        <v>2376000</v>
      </c>
      <c r="H27" s="2">
        <f>MONTH(Tabela1[[#This Row],[data]])</f>
        <v>5</v>
      </c>
    </row>
    <row r="28" spans="1:8">
      <c r="A28" s="1">
        <v>41786</v>
      </c>
      <c r="B28">
        <v>0</v>
      </c>
      <c r="C28" s="2">
        <f>WEEKDAY(Tabela1[[#This Row],[data]]) -1</f>
        <v>2</v>
      </c>
      <c r="D28">
        <v>2131707.6</v>
      </c>
      <c r="G28">
        <v>2253240</v>
      </c>
      <c r="H28" s="2">
        <f>MONTH(Tabela1[[#This Row],[data]])</f>
        <v>5</v>
      </c>
    </row>
    <row r="29" spans="1:8">
      <c r="A29" s="1">
        <v>41787</v>
      </c>
      <c r="B29">
        <v>1</v>
      </c>
      <c r="C29" s="2">
        <f>WEEKDAY(Tabela1[[#This Row],[data]]) -1</f>
        <v>3</v>
      </c>
      <c r="D29">
        <v>2195658.8280000002</v>
      </c>
      <c r="G29">
        <v>2131707.6</v>
      </c>
      <c r="H29" s="2">
        <f>MONTH(Tabela1[[#This Row],[data]])</f>
        <v>5</v>
      </c>
    </row>
    <row r="30" spans="1:8">
      <c r="A30" s="1">
        <v>41788</v>
      </c>
      <c r="B30">
        <v>0</v>
      </c>
      <c r="C30" s="2">
        <f>WEEKDAY(Tabela1[[#This Row],[data]]) -1</f>
        <v>4</v>
      </c>
      <c r="D30">
        <v>2074702.2397200002</v>
      </c>
      <c r="G30">
        <v>2195658.8280000002</v>
      </c>
      <c r="H30" s="2">
        <f>MONTH(Tabela1[[#This Row],[data]])</f>
        <v>5</v>
      </c>
    </row>
    <row r="31" spans="1:8">
      <c r="A31" s="1">
        <v>41789</v>
      </c>
      <c r="B31">
        <v>0</v>
      </c>
      <c r="C31" s="2">
        <f>WEEKDAY(Tabela1[[#This Row],[data]]) -1</f>
        <v>5</v>
      </c>
      <c r="D31">
        <v>1954955.2173228001</v>
      </c>
      <c r="G31">
        <v>2074702.2397200002</v>
      </c>
      <c r="H31" s="2">
        <f>MONTH(Tabela1[[#This Row],[data]])</f>
        <v>5</v>
      </c>
    </row>
    <row r="32" spans="1:8">
      <c r="A32" s="1">
        <v>41790</v>
      </c>
      <c r="B32">
        <v>0</v>
      </c>
      <c r="C32" s="2">
        <f>WEEKDAY(Tabela1[[#This Row],[data]]) -1</f>
        <v>6</v>
      </c>
      <c r="D32">
        <v>2336405.6651495723</v>
      </c>
      <c r="F32">
        <v>500000</v>
      </c>
      <c r="G32">
        <v>1954955.2173228001</v>
      </c>
      <c r="H32" s="2">
        <f>MONTH(Tabela1[[#This Row],[data]])</f>
        <v>5</v>
      </c>
    </row>
    <row r="33" spans="1:8">
      <c r="A33" s="1">
        <v>41791</v>
      </c>
      <c r="B33">
        <v>0</v>
      </c>
      <c r="C33" s="2">
        <f>WEEKDAY(Tabela1[[#This Row],[data]]) -1</f>
        <v>0</v>
      </c>
      <c r="D33">
        <v>2214041.6084980764</v>
      </c>
      <c r="G33">
        <v>2336405.6651495723</v>
      </c>
      <c r="H33" s="2">
        <f>MONTH(Tabela1[[#This Row],[data]])</f>
        <v>6</v>
      </c>
    </row>
    <row r="34" spans="1:8">
      <c r="A34" s="1">
        <v>41792</v>
      </c>
      <c r="B34">
        <v>0</v>
      </c>
      <c r="C34" s="2">
        <f>WEEKDAY(Tabela1[[#This Row],[data]]) -1</f>
        <v>1</v>
      </c>
      <c r="D34">
        <v>2092901.1924130956</v>
      </c>
      <c r="G34">
        <v>2214041.6084980764</v>
      </c>
      <c r="H34" s="2">
        <f>MONTH(Tabela1[[#This Row],[data]])</f>
        <v>6</v>
      </c>
    </row>
    <row r="35" spans="1:8">
      <c r="A35" s="1">
        <v>41793</v>
      </c>
      <c r="B35">
        <v>0</v>
      </c>
      <c r="C35" s="2">
        <f>WEEKDAY(Tabela1[[#This Row],[data]]) -1</f>
        <v>2</v>
      </c>
      <c r="D35">
        <v>1972972.1804889645</v>
      </c>
      <c r="G35">
        <v>2092901.1924130956</v>
      </c>
      <c r="H35" s="2">
        <f>MONTH(Tabela1[[#This Row],[data]])</f>
        <v>6</v>
      </c>
    </row>
    <row r="36" spans="1:8">
      <c r="A36" s="1">
        <v>41794</v>
      </c>
      <c r="B36">
        <v>1</v>
      </c>
      <c r="C36" s="2">
        <f>WEEKDAY(Tabela1[[#This Row],[data]]) -1</f>
        <v>3</v>
      </c>
      <c r="D36">
        <v>2032161.3459036336</v>
      </c>
      <c r="G36">
        <v>1972972.1804889645</v>
      </c>
      <c r="H36" s="2">
        <f>MONTH(Tabela1[[#This Row],[data]])</f>
        <v>6</v>
      </c>
    </row>
    <row r="37" spans="1:8">
      <c r="A37" s="1">
        <v>41795</v>
      </c>
      <c r="B37">
        <v>1</v>
      </c>
      <c r="C37" s="2">
        <f>WEEKDAY(Tabela1[[#This Row],[data]]) -1</f>
        <v>4</v>
      </c>
      <c r="D37">
        <v>2093126.1862807428</v>
      </c>
      <c r="G37">
        <v>2032161.3459036336</v>
      </c>
      <c r="H37" s="2">
        <f>MONTH(Tabela1[[#This Row],[data]])</f>
        <v>6</v>
      </c>
    </row>
    <row r="38" spans="1:8">
      <c r="A38" s="1">
        <v>41796</v>
      </c>
      <c r="B38">
        <v>1</v>
      </c>
      <c r="C38" s="2">
        <f>WEEKDAY(Tabela1[[#This Row],[data]]) -1</f>
        <v>5</v>
      </c>
      <c r="D38">
        <v>2155919.9718691651</v>
      </c>
      <c r="G38">
        <v>2093126.1862807428</v>
      </c>
      <c r="H38" s="2">
        <f>MONTH(Tabela1[[#This Row],[data]])</f>
        <v>6</v>
      </c>
    </row>
    <row r="39" spans="1:8">
      <c r="A39" s="1">
        <v>41797</v>
      </c>
      <c r="B39">
        <v>1</v>
      </c>
      <c r="C39" s="2">
        <f>WEEKDAY(Tabela1[[#This Row],[data]]) -1</f>
        <v>6</v>
      </c>
      <c r="D39">
        <v>2500000</v>
      </c>
      <c r="F39">
        <v>279402.42897475976</v>
      </c>
      <c r="G39">
        <v>2155919.9718691651</v>
      </c>
      <c r="H39" s="2">
        <f>MONTH(Tabela1[[#This Row],[data]])</f>
        <v>6</v>
      </c>
    </row>
    <row r="40" spans="1:8">
      <c r="A40" s="1">
        <v>41798</v>
      </c>
      <c r="B40">
        <v>1</v>
      </c>
      <c r="C40" s="2">
        <f>WEEKDAY(Tabela1[[#This Row],[data]]) -1</f>
        <v>0</v>
      </c>
      <c r="D40">
        <v>2500000</v>
      </c>
      <c r="E40">
        <v>75000</v>
      </c>
      <c r="G40">
        <v>2500000</v>
      </c>
      <c r="H40" s="2">
        <f>MONTH(Tabela1[[#This Row],[data]])</f>
        <v>6</v>
      </c>
    </row>
    <row r="41" spans="1:8">
      <c r="A41" s="1">
        <v>41799</v>
      </c>
      <c r="B41">
        <v>1</v>
      </c>
      <c r="C41" s="2">
        <f>WEEKDAY(Tabela1[[#This Row],[data]]) -1</f>
        <v>1</v>
      </c>
      <c r="D41">
        <v>2500000</v>
      </c>
      <c r="E41">
        <v>75000</v>
      </c>
      <c r="G41">
        <v>2500000</v>
      </c>
      <c r="H41" s="2">
        <f>MONTH(Tabela1[[#This Row],[data]])</f>
        <v>6</v>
      </c>
    </row>
    <row r="42" spans="1:8">
      <c r="A42" s="1">
        <v>41800</v>
      </c>
      <c r="B42">
        <v>1</v>
      </c>
      <c r="C42" s="2">
        <f>WEEKDAY(Tabela1[[#This Row],[data]]) -1</f>
        <v>2</v>
      </c>
      <c r="D42">
        <v>2500000</v>
      </c>
      <c r="E42">
        <v>75000</v>
      </c>
      <c r="G42">
        <v>2500000</v>
      </c>
      <c r="H42" s="2">
        <f>MONTH(Tabela1[[#This Row],[data]])</f>
        <v>6</v>
      </c>
    </row>
    <row r="43" spans="1:8">
      <c r="A43" s="1">
        <v>41801</v>
      </c>
      <c r="B43">
        <v>1</v>
      </c>
      <c r="C43" s="2">
        <f>WEEKDAY(Tabela1[[#This Row],[data]]) -1</f>
        <v>3</v>
      </c>
      <c r="D43">
        <v>2500000</v>
      </c>
      <c r="E43">
        <v>75000</v>
      </c>
      <c r="G43">
        <v>2500000</v>
      </c>
      <c r="H43" s="2">
        <f>MONTH(Tabela1[[#This Row],[data]])</f>
        <v>6</v>
      </c>
    </row>
    <row r="44" spans="1:8">
      <c r="A44" s="1">
        <v>41802</v>
      </c>
      <c r="B44">
        <v>0</v>
      </c>
      <c r="C44" s="2">
        <f>WEEKDAY(Tabela1[[#This Row],[data]]) -1</f>
        <v>4</v>
      </c>
      <c r="D44">
        <v>2376000</v>
      </c>
      <c r="G44">
        <v>2500000</v>
      </c>
      <c r="H44" s="2">
        <f>MONTH(Tabela1[[#This Row],[data]])</f>
        <v>6</v>
      </c>
    </row>
    <row r="45" spans="1:8">
      <c r="A45" s="1">
        <v>41803</v>
      </c>
      <c r="B45">
        <v>0</v>
      </c>
      <c r="C45" s="2">
        <f>WEEKDAY(Tabela1[[#This Row],[data]]) -1</f>
        <v>5</v>
      </c>
      <c r="D45">
        <v>2253240</v>
      </c>
      <c r="G45">
        <v>2376000</v>
      </c>
      <c r="H45" s="2">
        <f>MONTH(Tabela1[[#This Row],[data]])</f>
        <v>6</v>
      </c>
    </row>
    <row r="46" spans="1:8">
      <c r="A46" s="1">
        <v>41804</v>
      </c>
      <c r="B46">
        <v>0</v>
      </c>
      <c r="C46" s="2">
        <f>WEEKDAY(Tabela1[[#This Row],[data]]) -1</f>
        <v>6</v>
      </c>
      <c r="D46">
        <v>2500000</v>
      </c>
      <c r="F46">
        <v>368292.39999999991</v>
      </c>
      <c r="G46">
        <v>2253240</v>
      </c>
      <c r="H46" s="2">
        <f>MONTH(Tabela1[[#This Row],[data]])</f>
        <v>6</v>
      </c>
    </row>
    <row r="47" spans="1:8">
      <c r="A47" s="1">
        <v>41805</v>
      </c>
      <c r="B47">
        <v>0</v>
      </c>
      <c r="C47" s="2">
        <f>WEEKDAY(Tabela1[[#This Row],[data]]) -1</f>
        <v>0</v>
      </c>
      <c r="D47">
        <v>2376000</v>
      </c>
      <c r="G47">
        <v>2500000</v>
      </c>
      <c r="H47" s="2">
        <f>MONTH(Tabela1[[#This Row],[data]])</f>
        <v>6</v>
      </c>
    </row>
    <row r="48" spans="1:8">
      <c r="A48" s="1">
        <v>41806</v>
      </c>
      <c r="B48">
        <v>1</v>
      </c>
      <c r="C48" s="2">
        <f>WEEKDAY(Tabela1[[#This Row],[data]]) -1</f>
        <v>1</v>
      </c>
      <c r="D48">
        <v>2447280</v>
      </c>
      <c r="G48">
        <v>2376000</v>
      </c>
      <c r="H48" s="2">
        <f>MONTH(Tabela1[[#This Row],[data]])</f>
        <v>6</v>
      </c>
    </row>
    <row r="49" spans="1:8">
      <c r="A49" s="1">
        <v>41807</v>
      </c>
      <c r="B49">
        <v>0</v>
      </c>
      <c r="C49" s="2">
        <f>WEEKDAY(Tabela1[[#This Row],[data]]) -1</f>
        <v>2</v>
      </c>
      <c r="D49">
        <v>2323807.2000000002</v>
      </c>
      <c r="G49">
        <v>2447280</v>
      </c>
      <c r="H49" s="2">
        <f>MONTH(Tabela1[[#This Row],[data]])</f>
        <v>6</v>
      </c>
    </row>
    <row r="50" spans="1:8">
      <c r="A50" s="1">
        <v>41808</v>
      </c>
      <c r="B50">
        <v>0</v>
      </c>
      <c r="C50" s="2">
        <f>WEEKDAY(Tabela1[[#This Row],[data]]) -1</f>
        <v>3</v>
      </c>
      <c r="D50">
        <v>2201569.128</v>
      </c>
      <c r="G50">
        <v>2323807.2000000002</v>
      </c>
      <c r="H50" s="2">
        <f>MONTH(Tabela1[[#This Row],[data]])</f>
        <v>6</v>
      </c>
    </row>
    <row r="51" spans="1:8">
      <c r="A51" s="1">
        <v>41809</v>
      </c>
      <c r="B51">
        <v>0</v>
      </c>
      <c r="C51" s="2">
        <f>WEEKDAY(Tabela1[[#This Row],[data]]) -1</f>
        <v>4</v>
      </c>
      <c r="D51">
        <v>2080553.4367200001</v>
      </c>
      <c r="G51">
        <v>2201569.128</v>
      </c>
      <c r="H51" s="2">
        <f>MONTH(Tabela1[[#This Row],[data]])</f>
        <v>6</v>
      </c>
    </row>
    <row r="52" spans="1:8">
      <c r="A52" s="1">
        <v>41810</v>
      </c>
      <c r="B52">
        <v>0</v>
      </c>
      <c r="C52" s="2">
        <f>WEEKDAY(Tabela1[[#This Row],[data]]) -1</f>
        <v>5</v>
      </c>
      <c r="D52">
        <v>1960747.9023528001</v>
      </c>
      <c r="G52">
        <v>2080553.4367200001</v>
      </c>
      <c r="H52" s="2">
        <f>MONTH(Tabela1[[#This Row],[data]])</f>
        <v>6</v>
      </c>
    </row>
    <row r="53" spans="1:8">
      <c r="A53" s="1">
        <v>41811</v>
      </c>
      <c r="B53">
        <v>0</v>
      </c>
      <c r="C53" s="2">
        <f>WEEKDAY(Tabela1[[#This Row],[data]]) -1</f>
        <v>6</v>
      </c>
      <c r="D53">
        <v>2342140.4233292723</v>
      </c>
      <c r="F53">
        <v>500000</v>
      </c>
      <c r="G53">
        <v>1960747.9023528001</v>
      </c>
      <c r="H53" s="2">
        <f>MONTH(Tabela1[[#This Row],[data]])</f>
        <v>6</v>
      </c>
    </row>
    <row r="54" spans="1:8">
      <c r="A54" s="1">
        <v>41812</v>
      </c>
      <c r="B54">
        <v>0</v>
      </c>
      <c r="C54" s="2">
        <f>WEEKDAY(Tabela1[[#This Row],[data]]) -1</f>
        <v>0</v>
      </c>
      <c r="D54">
        <v>2219719.0190959796</v>
      </c>
      <c r="G54">
        <v>2342140.4233292723</v>
      </c>
      <c r="H54" s="2">
        <f>MONTH(Tabela1[[#This Row],[data]])</f>
        <v>6</v>
      </c>
    </row>
    <row r="55" spans="1:8">
      <c r="A55" s="1">
        <v>41813</v>
      </c>
      <c r="B55">
        <v>0</v>
      </c>
      <c r="C55" s="2">
        <f>WEEKDAY(Tabela1[[#This Row],[data]]) -1</f>
        <v>1</v>
      </c>
      <c r="D55">
        <v>2098521.8289050199</v>
      </c>
      <c r="G55">
        <v>2219719.0190959796</v>
      </c>
      <c r="H55" s="2">
        <f>MONTH(Tabela1[[#This Row],[data]])</f>
        <v>6</v>
      </c>
    </row>
    <row r="56" spans="1:8">
      <c r="A56" s="1">
        <v>41814</v>
      </c>
      <c r="B56">
        <v>0</v>
      </c>
      <c r="C56" s="2">
        <f>WEEKDAY(Tabela1[[#This Row],[data]]) -1</f>
        <v>2</v>
      </c>
      <c r="D56">
        <v>1978536.6106159696</v>
      </c>
      <c r="G56">
        <v>2098521.8289050199</v>
      </c>
      <c r="H56" s="2">
        <f>MONTH(Tabela1[[#This Row],[data]])</f>
        <v>6</v>
      </c>
    </row>
    <row r="57" spans="1:8">
      <c r="A57" s="1">
        <v>41815</v>
      </c>
      <c r="B57">
        <v>0</v>
      </c>
      <c r="C57" s="2">
        <f>WEEKDAY(Tabela1[[#This Row],[data]]) -1</f>
        <v>3</v>
      </c>
      <c r="D57">
        <v>1859751.2445098099</v>
      </c>
      <c r="G57">
        <v>1978536.6106159696</v>
      </c>
      <c r="H57" s="2">
        <f>MONTH(Tabela1[[#This Row],[data]])</f>
        <v>6</v>
      </c>
    </row>
    <row r="58" spans="1:8">
      <c r="A58" s="1">
        <v>41816</v>
      </c>
      <c r="B58">
        <v>1</v>
      </c>
      <c r="C58" s="2">
        <f>WEEKDAY(Tabela1[[#This Row],[data]]) -1</f>
        <v>4</v>
      </c>
      <c r="D58">
        <v>1915543.7818451042</v>
      </c>
      <c r="G58">
        <v>1859751.2445098099</v>
      </c>
      <c r="H58" s="2">
        <f>MONTH(Tabela1[[#This Row],[data]])</f>
        <v>6</v>
      </c>
    </row>
    <row r="59" spans="1:8">
      <c r="A59" s="1">
        <v>41817</v>
      </c>
      <c r="B59">
        <v>0</v>
      </c>
      <c r="C59" s="2">
        <f>WEEKDAY(Tabela1[[#This Row],[data]]) -1</f>
        <v>5</v>
      </c>
      <c r="D59">
        <v>1797388.3440266531</v>
      </c>
      <c r="G59">
        <v>1915543.7818451042</v>
      </c>
      <c r="H59" s="2">
        <f>MONTH(Tabela1[[#This Row],[data]])</f>
        <v>6</v>
      </c>
    </row>
    <row r="60" spans="1:8">
      <c r="A60" s="1">
        <v>41818</v>
      </c>
      <c r="B60">
        <v>1</v>
      </c>
      <c r="C60" s="2">
        <f>WEEKDAY(Tabela1[[#This Row],[data]]) -1</f>
        <v>6</v>
      </c>
      <c r="D60">
        <v>2351309.9943474527</v>
      </c>
      <c r="F60">
        <v>500000</v>
      </c>
      <c r="G60">
        <v>1797388.3440266531</v>
      </c>
      <c r="H60" s="2">
        <f>MONTH(Tabela1[[#This Row],[data]])</f>
        <v>6</v>
      </c>
    </row>
    <row r="61" spans="1:8">
      <c r="A61" s="1">
        <v>41819</v>
      </c>
      <c r="B61">
        <v>0</v>
      </c>
      <c r="C61" s="2">
        <f>WEEKDAY(Tabela1[[#This Row],[data]]) -1</f>
        <v>0</v>
      </c>
      <c r="D61">
        <v>2228796.8944039783</v>
      </c>
      <c r="G61">
        <v>2351309.9943474527</v>
      </c>
      <c r="H61" s="2">
        <f>MONTH(Tabela1[[#This Row],[data]])</f>
        <v>6</v>
      </c>
    </row>
    <row r="62" spans="1:8">
      <c r="A62" s="1">
        <v>41820</v>
      </c>
      <c r="B62">
        <v>1</v>
      </c>
      <c r="C62" s="2">
        <f>WEEKDAY(Tabela1[[#This Row],[data]]) -1</f>
        <v>1</v>
      </c>
      <c r="D62">
        <v>2295660.8012360977</v>
      </c>
      <c r="G62">
        <v>2228796.8944039783</v>
      </c>
      <c r="H62" s="2">
        <f>MONTH(Tabela1[[#This Row],[data]])</f>
        <v>6</v>
      </c>
    </row>
    <row r="63" spans="1:8">
      <c r="A63" s="1">
        <v>41821</v>
      </c>
      <c r="B63">
        <v>0</v>
      </c>
      <c r="C63" s="2">
        <f>WEEKDAY(Tabela1[[#This Row],[data]]) -1</f>
        <v>2</v>
      </c>
      <c r="D63">
        <v>2173704.1932237367</v>
      </c>
      <c r="G63">
        <v>2295660.8012360977</v>
      </c>
      <c r="H63" s="2">
        <f>MONTH(Tabela1[[#This Row],[data]])</f>
        <v>7</v>
      </c>
    </row>
    <row r="64" spans="1:8">
      <c r="A64" s="1">
        <v>41822</v>
      </c>
      <c r="B64">
        <v>0</v>
      </c>
      <c r="C64" s="2">
        <f>WEEKDAY(Tabela1[[#This Row],[data]]) -1</f>
        <v>3</v>
      </c>
      <c r="D64">
        <v>2052967.1512914994</v>
      </c>
      <c r="G64">
        <v>2173704.1932237367</v>
      </c>
      <c r="H64" s="2">
        <f>MONTH(Tabela1[[#This Row],[data]])</f>
        <v>7</v>
      </c>
    </row>
    <row r="65" spans="1:8">
      <c r="A65" s="1">
        <v>41823</v>
      </c>
      <c r="B65">
        <v>0</v>
      </c>
      <c r="C65" s="2">
        <f>WEEKDAY(Tabela1[[#This Row],[data]]) -1</f>
        <v>4</v>
      </c>
      <c r="D65">
        <v>1933437.4797785843</v>
      </c>
      <c r="G65">
        <v>2052967.1512914994</v>
      </c>
      <c r="H65" s="2">
        <f>MONTH(Tabela1[[#This Row],[data]])</f>
        <v>7</v>
      </c>
    </row>
    <row r="66" spans="1:8">
      <c r="A66" s="1">
        <v>41824</v>
      </c>
      <c r="B66">
        <v>0</v>
      </c>
      <c r="C66" s="2">
        <f>WEEKDAY(Tabela1[[#This Row],[data]]) -1</f>
        <v>5</v>
      </c>
      <c r="D66">
        <v>1815103.1049807984</v>
      </c>
      <c r="G66">
        <v>1933437.4797785843</v>
      </c>
      <c r="H66" s="2">
        <f>MONTH(Tabela1[[#This Row],[data]])</f>
        <v>7</v>
      </c>
    </row>
    <row r="67" spans="1:8">
      <c r="A67" s="1">
        <v>41825</v>
      </c>
      <c r="B67">
        <v>0</v>
      </c>
      <c r="C67" s="2">
        <f>WEEKDAY(Tabela1[[#This Row],[data]]) -1</f>
        <v>6</v>
      </c>
      <c r="D67">
        <v>2197952.0739309904</v>
      </c>
      <c r="F67">
        <v>500000</v>
      </c>
      <c r="G67">
        <v>1815103.1049807984</v>
      </c>
      <c r="H67" s="2">
        <f>MONTH(Tabela1[[#This Row],[data]])</f>
        <v>7</v>
      </c>
    </row>
    <row r="68" spans="1:8">
      <c r="A68" s="1">
        <v>41826</v>
      </c>
      <c r="B68">
        <v>0</v>
      </c>
      <c r="C68" s="2">
        <f>WEEKDAY(Tabela1[[#This Row],[data]]) -1</f>
        <v>0</v>
      </c>
      <c r="D68">
        <v>2076972.5531916805</v>
      </c>
      <c r="G68">
        <v>2197952.0739309904</v>
      </c>
      <c r="H68" s="2">
        <f>MONTH(Tabela1[[#This Row],[data]])</f>
        <v>7</v>
      </c>
    </row>
    <row r="69" spans="1:8">
      <c r="A69" s="1">
        <v>41827</v>
      </c>
      <c r="B69">
        <v>0</v>
      </c>
      <c r="C69" s="2">
        <f>WEEKDAY(Tabela1[[#This Row],[data]]) -1</f>
        <v>1</v>
      </c>
      <c r="D69">
        <v>1957202.8276597636</v>
      </c>
      <c r="G69">
        <v>2076972.5531916805</v>
      </c>
      <c r="H69" s="2">
        <f>MONTH(Tabela1[[#This Row],[data]])</f>
        <v>7</v>
      </c>
    </row>
    <row r="70" spans="1:8">
      <c r="A70" s="1">
        <v>41828</v>
      </c>
      <c r="B70">
        <v>1</v>
      </c>
      <c r="C70" s="2">
        <f>WEEKDAY(Tabela1[[#This Row],[data]]) -1</f>
        <v>2</v>
      </c>
      <c r="D70">
        <v>2015918.9124895565</v>
      </c>
      <c r="G70">
        <v>1957202.8276597636</v>
      </c>
      <c r="H70" s="2">
        <f>MONTH(Tabela1[[#This Row],[data]])</f>
        <v>7</v>
      </c>
    </row>
    <row r="71" spans="1:8">
      <c r="A71" s="1">
        <v>41829</v>
      </c>
      <c r="B71">
        <v>1</v>
      </c>
      <c r="C71" s="2">
        <f>WEEKDAY(Tabela1[[#This Row],[data]]) -1</f>
        <v>3</v>
      </c>
      <c r="D71">
        <v>2076396.4798642432</v>
      </c>
      <c r="G71">
        <v>2015918.9124895565</v>
      </c>
      <c r="H71" s="2">
        <f>MONTH(Tabela1[[#This Row],[data]])</f>
        <v>7</v>
      </c>
    </row>
    <row r="72" spans="1:8">
      <c r="A72" s="1">
        <v>41830</v>
      </c>
      <c r="B72">
        <v>1</v>
      </c>
      <c r="C72" s="2">
        <f>WEEKDAY(Tabela1[[#This Row],[data]]) -1</f>
        <v>4</v>
      </c>
      <c r="D72">
        <v>2138688.3742601704</v>
      </c>
      <c r="G72">
        <v>2076396.4798642432</v>
      </c>
      <c r="H72" s="2">
        <f>MONTH(Tabela1[[#This Row],[data]])</f>
        <v>7</v>
      </c>
    </row>
    <row r="73" spans="1:8">
      <c r="A73" s="1">
        <v>41831</v>
      </c>
      <c r="B73">
        <v>1</v>
      </c>
      <c r="C73" s="2">
        <f>WEEKDAY(Tabela1[[#This Row],[data]]) -1</f>
        <v>5</v>
      </c>
      <c r="D73">
        <v>2202849.0254879757</v>
      </c>
      <c r="G73">
        <v>2138688.3742601704</v>
      </c>
      <c r="H73" s="2">
        <f>MONTH(Tabela1[[#This Row],[data]])</f>
        <v>7</v>
      </c>
    </row>
    <row r="74" spans="1:8">
      <c r="A74" s="1">
        <v>41832</v>
      </c>
      <c r="B74">
        <v>1</v>
      </c>
      <c r="C74" s="2">
        <f>WEEKDAY(Tabela1[[#This Row],[data]]) -1</f>
        <v>6</v>
      </c>
      <c r="D74">
        <v>2500000</v>
      </c>
      <c r="F74">
        <v>231065.503747385</v>
      </c>
      <c r="G74">
        <v>2202849.0254879757</v>
      </c>
      <c r="H74" s="2">
        <f>MONTH(Tabela1[[#This Row],[data]])</f>
        <v>7</v>
      </c>
    </row>
    <row r="75" spans="1:8">
      <c r="A75" s="1">
        <v>41833</v>
      </c>
      <c r="B75">
        <v>0</v>
      </c>
      <c r="C75" s="2">
        <f>WEEKDAY(Tabela1[[#This Row],[data]]) -1</f>
        <v>0</v>
      </c>
      <c r="D75">
        <v>2376000</v>
      </c>
      <c r="G75">
        <v>2500000</v>
      </c>
      <c r="H75" s="2">
        <f>MONTH(Tabela1[[#This Row],[data]])</f>
        <v>7</v>
      </c>
    </row>
    <row r="76" spans="1:8">
      <c r="A76" s="1">
        <v>41834</v>
      </c>
      <c r="B76">
        <v>0</v>
      </c>
      <c r="C76" s="2">
        <f>WEEKDAY(Tabela1[[#This Row],[data]]) -1</f>
        <v>1</v>
      </c>
      <c r="D76">
        <v>2253240</v>
      </c>
      <c r="G76">
        <v>2376000</v>
      </c>
      <c r="H76" s="2">
        <f>MONTH(Tabela1[[#This Row],[data]])</f>
        <v>7</v>
      </c>
    </row>
    <row r="77" spans="1:8">
      <c r="A77" s="1">
        <v>41835</v>
      </c>
      <c r="B77">
        <v>0</v>
      </c>
      <c r="C77" s="2">
        <f>WEEKDAY(Tabela1[[#This Row],[data]]) -1</f>
        <v>2</v>
      </c>
      <c r="D77">
        <v>2131707.6</v>
      </c>
      <c r="G77">
        <v>2253240</v>
      </c>
      <c r="H77" s="2">
        <f>MONTH(Tabela1[[#This Row],[data]])</f>
        <v>7</v>
      </c>
    </row>
    <row r="78" spans="1:8">
      <c r="A78" s="1">
        <v>41836</v>
      </c>
      <c r="B78">
        <v>1</v>
      </c>
      <c r="C78" s="2">
        <f>WEEKDAY(Tabela1[[#This Row],[data]]) -1</f>
        <v>3</v>
      </c>
      <c r="D78">
        <v>2195658.8280000002</v>
      </c>
      <c r="G78">
        <v>2131707.6</v>
      </c>
      <c r="H78" s="2">
        <f>MONTH(Tabela1[[#This Row],[data]])</f>
        <v>7</v>
      </c>
    </row>
    <row r="79" spans="1:8">
      <c r="A79" s="1">
        <v>41837</v>
      </c>
      <c r="B79">
        <v>1</v>
      </c>
      <c r="C79" s="2">
        <f>WEEKDAY(Tabela1[[#This Row],[data]]) -1</f>
        <v>4</v>
      </c>
      <c r="D79">
        <v>2261528.5928400001</v>
      </c>
      <c r="G79">
        <v>2195658.8280000002</v>
      </c>
      <c r="H79" s="2">
        <f>MONTH(Tabela1[[#This Row],[data]])</f>
        <v>7</v>
      </c>
    </row>
    <row r="80" spans="1:8">
      <c r="A80" s="1">
        <v>41838</v>
      </c>
      <c r="B80">
        <v>1</v>
      </c>
      <c r="C80" s="2">
        <f>WEEKDAY(Tabela1[[#This Row],[data]]) -1</f>
        <v>5</v>
      </c>
      <c r="D80">
        <v>2329374.4506252003</v>
      </c>
      <c r="G80">
        <v>2261528.5928400001</v>
      </c>
      <c r="H80" s="2">
        <f>MONTH(Tabela1[[#This Row],[data]])</f>
        <v>7</v>
      </c>
    </row>
    <row r="81" spans="1:8">
      <c r="A81" s="1">
        <v>41839</v>
      </c>
      <c r="B81">
        <v>1</v>
      </c>
      <c r="C81" s="2">
        <f>WEEKDAY(Tabela1[[#This Row],[data]]) -1</f>
        <v>6</v>
      </c>
      <c r="D81">
        <v>2500000</v>
      </c>
      <c r="F81">
        <v>100744.31585604372</v>
      </c>
      <c r="G81">
        <v>2329374.4506252003</v>
      </c>
      <c r="H81" s="2">
        <f>MONTH(Tabela1[[#This Row],[data]])</f>
        <v>7</v>
      </c>
    </row>
    <row r="82" spans="1:8">
      <c r="A82" s="1">
        <v>41840</v>
      </c>
      <c r="B82">
        <v>1</v>
      </c>
      <c r="C82" s="2">
        <f>WEEKDAY(Tabela1[[#This Row],[data]]) -1</f>
        <v>0</v>
      </c>
      <c r="D82">
        <v>2500000</v>
      </c>
      <c r="E82">
        <v>75000</v>
      </c>
      <c r="G82">
        <v>2500000</v>
      </c>
      <c r="H82" s="2">
        <f>MONTH(Tabela1[[#This Row],[data]])</f>
        <v>7</v>
      </c>
    </row>
    <row r="83" spans="1:8">
      <c r="A83" s="1">
        <v>41841</v>
      </c>
      <c r="B83">
        <v>1</v>
      </c>
      <c r="C83" s="2">
        <f>WEEKDAY(Tabela1[[#This Row],[data]]) -1</f>
        <v>1</v>
      </c>
      <c r="D83">
        <v>2500000</v>
      </c>
      <c r="E83">
        <v>75000</v>
      </c>
      <c r="G83">
        <v>2500000</v>
      </c>
      <c r="H83" s="2">
        <f>MONTH(Tabela1[[#This Row],[data]])</f>
        <v>7</v>
      </c>
    </row>
    <row r="84" spans="1:8">
      <c r="A84" s="1">
        <v>41842</v>
      </c>
      <c r="B84">
        <v>0</v>
      </c>
      <c r="C84" s="2">
        <f>WEEKDAY(Tabela1[[#This Row],[data]]) -1</f>
        <v>2</v>
      </c>
      <c r="D84">
        <v>2376000</v>
      </c>
      <c r="G84">
        <v>2500000</v>
      </c>
      <c r="H84" s="2">
        <f>MONTH(Tabela1[[#This Row],[data]])</f>
        <v>7</v>
      </c>
    </row>
    <row r="85" spans="1:8">
      <c r="A85" s="1">
        <v>41843</v>
      </c>
      <c r="B85">
        <v>0</v>
      </c>
      <c r="C85" s="2">
        <f>WEEKDAY(Tabela1[[#This Row],[data]]) -1</f>
        <v>3</v>
      </c>
      <c r="D85">
        <v>2253240</v>
      </c>
      <c r="G85">
        <v>2376000</v>
      </c>
      <c r="H85" s="2">
        <f>MONTH(Tabela1[[#This Row],[data]])</f>
        <v>7</v>
      </c>
    </row>
    <row r="86" spans="1:8">
      <c r="A86" s="1">
        <v>41844</v>
      </c>
      <c r="B86">
        <v>0</v>
      </c>
      <c r="C86" s="2">
        <f>WEEKDAY(Tabela1[[#This Row],[data]]) -1</f>
        <v>4</v>
      </c>
      <c r="D86">
        <v>2131707.6</v>
      </c>
      <c r="G86">
        <v>2253240</v>
      </c>
      <c r="H86" s="2">
        <f>MONTH(Tabela1[[#This Row],[data]])</f>
        <v>7</v>
      </c>
    </row>
    <row r="87" spans="1:8">
      <c r="A87" s="1">
        <v>41845</v>
      </c>
      <c r="B87">
        <v>0</v>
      </c>
      <c r="C87" s="2">
        <f>WEEKDAY(Tabela1[[#This Row],[data]]) -1</f>
        <v>5</v>
      </c>
      <c r="D87">
        <v>2011390.524</v>
      </c>
      <c r="G87">
        <v>2131707.6</v>
      </c>
      <c r="H87" s="2">
        <f>MONTH(Tabela1[[#This Row],[data]])</f>
        <v>7</v>
      </c>
    </row>
    <row r="88" spans="1:8">
      <c r="A88" s="1">
        <v>41846</v>
      </c>
      <c r="B88">
        <v>0</v>
      </c>
      <c r="C88" s="2">
        <f>WEEKDAY(Tabela1[[#This Row],[data]]) -1</f>
        <v>6</v>
      </c>
      <c r="D88">
        <v>2392276.61876</v>
      </c>
      <c r="F88">
        <v>500000</v>
      </c>
      <c r="G88">
        <v>2011390.524</v>
      </c>
      <c r="H88" s="2">
        <f>MONTH(Tabela1[[#This Row],[data]])</f>
        <v>7</v>
      </c>
    </row>
    <row r="89" spans="1:8">
      <c r="A89" s="1">
        <v>41847</v>
      </c>
      <c r="B89">
        <v>0</v>
      </c>
      <c r="C89" s="2">
        <f>WEEKDAY(Tabela1[[#This Row],[data]]) -1</f>
        <v>0</v>
      </c>
      <c r="D89">
        <v>2269353.8525724001</v>
      </c>
      <c r="G89">
        <v>2392276.61876</v>
      </c>
      <c r="H89" s="2">
        <f>MONTH(Tabela1[[#This Row],[data]])</f>
        <v>7</v>
      </c>
    </row>
    <row r="90" spans="1:8">
      <c r="A90" s="1">
        <v>41848</v>
      </c>
      <c r="B90">
        <v>1</v>
      </c>
      <c r="C90" s="2">
        <f>WEEKDAY(Tabela1[[#This Row],[data]]) -1</f>
        <v>1</v>
      </c>
      <c r="D90">
        <v>2337434.4681495721</v>
      </c>
      <c r="G90">
        <v>2269353.8525724001</v>
      </c>
      <c r="H90" s="2">
        <f>MONTH(Tabela1[[#This Row],[data]])</f>
        <v>7</v>
      </c>
    </row>
    <row r="91" spans="1:8">
      <c r="A91" s="1">
        <v>41849</v>
      </c>
      <c r="B91">
        <v>1</v>
      </c>
      <c r="C91" s="2">
        <f>WEEKDAY(Tabela1[[#This Row],[data]]) -1</f>
        <v>2</v>
      </c>
      <c r="D91">
        <v>2407557.5021940595</v>
      </c>
      <c r="G91">
        <v>2337434.4681495721</v>
      </c>
      <c r="H91" s="2">
        <f>MONTH(Tabela1[[#This Row],[data]])</f>
        <v>7</v>
      </c>
    </row>
    <row r="92" spans="1:8">
      <c r="A92" s="1">
        <v>41850</v>
      </c>
      <c r="B92">
        <v>0</v>
      </c>
      <c r="C92" s="2">
        <f>WEEKDAY(Tabela1[[#This Row],[data]]) -1</f>
        <v>3</v>
      </c>
      <c r="D92">
        <v>2284481.9271721188</v>
      </c>
      <c r="G92">
        <v>2407557.5021940595</v>
      </c>
      <c r="H92" s="2">
        <f>MONTH(Tabela1[[#This Row],[data]])</f>
        <v>7</v>
      </c>
    </row>
    <row r="93" spans="1:8">
      <c r="A93" s="1">
        <v>41851</v>
      </c>
      <c r="B93">
        <v>0</v>
      </c>
      <c r="C93" s="2">
        <f>WEEKDAY(Tabela1[[#This Row],[data]]) -1</f>
        <v>4</v>
      </c>
      <c r="D93">
        <v>2162637.1079003974</v>
      </c>
      <c r="G93">
        <v>2284481.9271721188</v>
      </c>
      <c r="H93" s="2">
        <f>MONTH(Tabela1[[#This Row],[data]])</f>
        <v>7</v>
      </c>
    </row>
    <row r="94" spans="1:8">
      <c r="A94" s="1">
        <v>41852</v>
      </c>
      <c r="B94">
        <v>0</v>
      </c>
      <c r="C94" s="2">
        <f>WEEKDAY(Tabela1[[#This Row],[data]]) -1</f>
        <v>5</v>
      </c>
      <c r="D94">
        <v>2042010.7368213935</v>
      </c>
      <c r="G94">
        <v>2162637.1079003974</v>
      </c>
      <c r="H94" s="2">
        <f>MONTH(Tabela1[[#This Row],[data]])</f>
        <v>8</v>
      </c>
    </row>
    <row r="95" spans="1:8">
      <c r="A95" s="1">
        <v>41853</v>
      </c>
      <c r="B95">
        <v>0</v>
      </c>
      <c r="C95" s="2">
        <f>WEEKDAY(Tabela1[[#This Row],[data]]) -1</f>
        <v>6</v>
      </c>
      <c r="D95">
        <v>2422590.6294531794</v>
      </c>
      <c r="F95">
        <v>500000</v>
      </c>
      <c r="G95">
        <v>2042010.7368213935</v>
      </c>
      <c r="H95" s="2">
        <f>MONTH(Tabela1[[#This Row],[data]])</f>
        <v>8</v>
      </c>
    </row>
    <row r="96" spans="1:8">
      <c r="A96" s="1">
        <v>41854</v>
      </c>
      <c r="B96">
        <v>0</v>
      </c>
      <c r="C96" s="2">
        <f>WEEKDAY(Tabela1[[#This Row],[data]]) -1</f>
        <v>0</v>
      </c>
      <c r="D96">
        <v>2299364.7231586478</v>
      </c>
      <c r="G96">
        <v>2422590.6294531794</v>
      </c>
      <c r="H96" s="2">
        <f>MONTH(Tabela1[[#This Row],[data]])</f>
        <v>8</v>
      </c>
    </row>
    <row r="97" spans="1:8">
      <c r="A97" s="1">
        <v>41855</v>
      </c>
      <c r="B97">
        <v>0</v>
      </c>
      <c r="C97" s="2">
        <f>WEEKDAY(Tabela1[[#This Row],[data]]) -1</f>
        <v>1</v>
      </c>
      <c r="D97">
        <v>2177371.0759270615</v>
      </c>
      <c r="G97">
        <v>2299364.7231586478</v>
      </c>
      <c r="H97" s="2">
        <f>MONTH(Tabela1[[#This Row],[data]])</f>
        <v>8</v>
      </c>
    </row>
    <row r="98" spans="1:8">
      <c r="A98" s="1">
        <v>41856</v>
      </c>
      <c r="B98">
        <v>1</v>
      </c>
      <c r="C98" s="2">
        <f>WEEKDAY(Tabela1[[#This Row],[data]]) -1</f>
        <v>2</v>
      </c>
      <c r="D98">
        <v>2242692.2082048734</v>
      </c>
      <c r="G98">
        <v>2177371.0759270615</v>
      </c>
      <c r="H98" s="2">
        <f>MONTH(Tabela1[[#This Row],[data]])</f>
        <v>8</v>
      </c>
    </row>
    <row r="99" spans="1:8">
      <c r="A99" s="1">
        <v>41857</v>
      </c>
      <c r="B99">
        <v>0</v>
      </c>
      <c r="C99" s="2">
        <f>WEEKDAY(Tabela1[[#This Row],[data]]) -1</f>
        <v>3</v>
      </c>
      <c r="D99">
        <v>2121265.2861228245</v>
      </c>
      <c r="G99">
        <v>2242692.2082048734</v>
      </c>
      <c r="H99" s="2">
        <f>MONTH(Tabela1[[#This Row],[data]])</f>
        <v>8</v>
      </c>
    </row>
    <row r="100" spans="1:8">
      <c r="A100" s="1">
        <v>41858</v>
      </c>
      <c r="B100">
        <v>1</v>
      </c>
      <c r="C100" s="2">
        <f>WEEKDAY(Tabela1[[#This Row],[data]]) -1</f>
        <v>4</v>
      </c>
      <c r="D100">
        <v>2184903.2447065092</v>
      </c>
      <c r="G100">
        <v>2121265.2861228245</v>
      </c>
      <c r="H100" s="2">
        <f>MONTH(Tabela1[[#This Row],[data]])</f>
        <v>8</v>
      </c>
    </row>
    <row r="101" spans="1:8">
      <c r="A101" s="1">
        <v>41859</v>
      </c>
      <c r="B101">
        <v>1</v>
      </c>
      <c r="C101" s="2">
        <f>WEEKDAY(Tabela1[[#This Row],[data]]) -1</f>
        <v>5</v>
      </c>
      <c r="D101">
        <v>2250450.3420477044</v>
      </c>
      <c r="G101">
        <v>2184903.2447065092</v>
      </c>
      <c r="H101" s="2">
        <f>MONTH(Tabela1[[#This Row],[data]])</f>
        <v>8</v>
      </c>
    </row>
    <row r="102" spans="1:8">
      <c r="A102" s="1">
        <v>41860</v>
      </c>
      <c r="B102">
        <v>0</v>
      </c>
      <c r="C102" s="2">
        <f>WEEKDAY(Tabela1[[#This Row],[data]]) -1</f>
        <v>6</v>
      </c>
      <c r="D102">
        <v>2500000</v>
      </c>
      <c r="F102">
        <v>371054.16137277288</v>
      </c>
      <c r="G102">
        <v>2250450.3420477044</v>
      </c>
      <c r="H102" s="2">
        <f>MONTH(Tabela1[[#This Row],[data]])</f>
        <v>8</v>
      </c>
    </row>
    <row r="103" spans="1:8">
      <c r="A103" s="1">
        <v>41861</v>
      </c>
      <c r="B103">
        <v>0</v>
      </c>
      <c r="C103" s="2">
        <f>WEEKDAY(Tabela1[[#This Row],[data]]) -1</f>
        <v>0</v>
      </c>
      <c r="D103">
        <v>2376000</v>
      </c>
      <c r="G103">
        <v>2500000</v>
      </c>
      <c r="H103" s="2">
        <f>MONTH(Tabela1[[#This Row],[data]])</f>
        <v>8</v>
      </c>
    </row>
    <row r="104" spans="1:8">
      <c r="A104" s="1">
        <v>41862</v>
      </c>
      <c r="B104">
        <v>0</v>
      </c>
      <c r="C104" s="2">
        <f>WEEKDAY(Tabela1[[#This Row],[data]]) -1</f>
        <v>1</v>
      </c>
      <c r="D104">
        <v>2253240</v>
      </c>
      <c r="G104">
        <v>2376000</v>
      </c>
      <c r="H104" s="2">
        <f>MONTH(Tabela1[[#This Row],[data]])</f>
        <v>8</v>
      </c>
    </row>
    <row r="105" spans="1:8">
      <c r="A105" s="1">
        <v>41863</v>
      </c>
      <c r="B105">
        <v>0</v>
      </c>
      <c r="C105" s="2">
        <f>WEEKDAY(Tabela1[[#This Row],[data]]) -1</f>
        <v>2</v>
      </c>
      <c r="D105">
        <v>2131707.6</v>
      </c>
      <c r="G105">
        <v>2253240</v>
      </c>
      <c r="H105" s="2">
        <f>MONTH(Tabela1[[#This Row],[data]])</f>
        <v>8</v>
      </c>
    </row>
    <row r="106" spans="1:8">
      <c r="A106" s="1">
        <v>41864</v>
      </c>
      <c r="B106">
        <v>1</v>
      </c>
      <c r="C106" s="2">
        <f>WEEKDAY(Tabela1[[#This Row],[data]]) -1</f>
        <v>3</v>
      </c>
      <c r="D106">
        <v>2195658.8280000002</v>
      </c>
      <c r="G106">
        <v>2131707.6</v>
      </c>
      <c r="H106" s="2">
        <f>MONTH(Tabela1[[#This Row],[data]])</f>
        <v>8</v>
      </c>
    </row>
    <row r="107" spans="1:8">
      <c r="A107" s="1">
        <v>41865</v>
      </c>
      <c r="B107">
        <v>0</v>
      </c>
      <c r="C107" s="2">
        <f>WEEKDAY(Tabela1[[#This Row],[data]]) -1</f>
        <v>4</v>
      </c>
      <c r="D107">
        <v>2074702.2397200002</v>
      </c>
      <c r="G107">
        <v>2195658.8280000002</v>
      </c>
      <c r="H107" s="2">
        <f>MONTH(Tabela1[[#This Row],[data]])</f>
        <v>8</v>
      </c>
    </row>
    <row r="108" spans="1:8">
      <c r="A108" s="1">
        <v>41866</v>
      </c>
      <c r="B108">
        <v>1</v>
      </c>
      <c r="C108" s="2">
        <f>WEEKDAY(Tabela1[[#This Row],[data]]) -1</f>
        <v>5</v>
      </c>
      <c r="D108">
        <v>2136943.3069116003</v>
      </c>
      <c r="G108">
        <v>2074702.2397200002</v>
      </c>
      <c r="H108" s="2">
        <f>MONTH(Tabela1[[#This Row],[data]])</f>
        <v>8</v>
      </c>
    </row>
    <row r="109" spans="1:8">
      <c r="A109" s="1">
        <v>41867</v>
      </c>
      <c r="B109">
        <v>1</v>
      </c>
      <c r="C109" s="2">
        <f>WEEKDAY(Tabela1[[#This Row],[data]]) -1</f>
        <v>6</v>
      </c>
      <c r="D109">
        <v>2500000</v>
      </c>
      <c r="F109">
        <v>298948.3938810518</v>
      </c>
      <c r="G109">
        <v>2136943.3069116003</v>
      </c>
      <c r="H109" s="2">
        <f>MONTH(Tabela1[[#This Row],[data]])</f>
        <v>8</v>
      </c>
    </row>
    <row r="110" spans="1:8">
      <c r="A110" s="1">
        <v>41868</v>
      </c>
      <c r="B110">
        <v>1</v>
      </c>
      <c r="C110" s="2">
        <f>WEEKDAY(Tabela1[[#This Row],[data]]) -1</f>
        <v>0</v>
      </c>
      <c r="D110">
        <v>2500000</v>
      </c>
      <c r="E110">
        <v>75000</v>
      </c>
      <c r="G110">
        <v>2500000</v>
      </c>
      <c r="H110" s="2">
        <f>MONTH(Tabela1[[#This Row],[data]])</f>
        <v>8</v>
      </c>
    </row>
    <row r="111" spans="1:8">
      <c r="A111" s="1">
        <v>41869</v>
      </c>
      <c r="B111">
        <v>0</v>
      </c>
      <c r="C111" s="2">
        <f>WEEKDAY(Tabela1[[#This Row],[data]]) -1</f>
        <v>1</v>
      </c>
      <c r="D111">
        <v>2376000</v>
      </c>
      <c r="G111">
        <v>2500000</v>
      </c>
      <c r="H111" s="2">
        <f>MONTH(Tabela1[[#This Row],[data]])</f>
        <v>8</v>
      </c>
    </row>
    <row r="112" spans="1:8">
      <c r="A112" s="1">
        <v>41870</v>
      </c>
      <c r="B112">
        <v>0</v>
      </c>
      <c r="C112" s="2">
        <f>WEEKDAY(Tabela1[[#This Row],[data]]) -1</f>
        <v>2</v>
      </c>
      <c r="D112">
        <v>2253240</v>
      </c>
      <c r="G112">
        <v>2376000</v>
      </c>
      <c r="H112" s="2">
        <f>MONTH(Tabela1[[#This Row],[data]])</f>
        <v>8</v>
      </c>
    </row>
    <row r="113" spans="1:8">
      <c r="A113" s="1">
        <v>41871</v>
      </c>
      <c r="B113">
        <v>0</v>
      </c>
      <c r="C113" s="2">
        <f>WEEKDAY(Tabela1[[#This Row],[data]]) -1</f>
        <v>3</v>
      </c>
      <c r="D113">
        <v>2131707.6</v>
      </c>
      <c r="G113">
        <v>2253240</v>
      </c>
      <c r="H113" s="2">
        <f>MONTH(Tabela1[[#This Row],[data]])</f>
        <v>8</v>
      </c>
    </row>
    <row r="114" spans="1:8">
      <c r="A114" s="1">
        <v>41872</v>
      </c>
      <c r="B114">
        <v>0</v>
      </c>
      <c r="C114" s="2">
        <f>WEEKDAY(Tabela1[[#This Row],[data]]) -1</f>
        <v>4</v>
      </c>
      <c r="D114">
        <v>2011390.524</v>
      </c>
      <c r="G114">
        <v>2131707.6</v>
      </c>
      <c r="H114" s="2">
        <f>MONTH(Tabela1[[#This Row],[data]])</f>
        <v>8</v>
      </c>
    </row>
    <row r="115" spans="1:8">
      <c r="A115" s="1">
        <v>41873</v>
      </c>
      <c r="B115">
        <v>0</v>
      </c>
      <c r="C115" s="2">
        <f>WEEKDAY(Tabela1[[#This Row],[data]]) -1</f>
        <v>5</v>
      </c>
      <c r="D115">
        <v>1892276.61876</v>
      </c>
      <c r="G115">
        <v>2011390.524</v>
      </c>
      <c r="H115" s="2">
        <f>MONTH(Tabela1[[#This Row],[data]])</f>
        <v>8</v>
      </c>
    </row>
    <row r="116" spans="1:8">
      <c r="A116" s="1">
        <v>41874</v>
      </c>
      <c r="B116">
        <v>0</v>
      </c>
      <c r="C116" s="2">
        <f>WEEKDAY(Tabela1[[#This Row],[data]]) -1</f>
        <v>6</v>
      </c>
      <c r="D116">
        <v>2274353.8525724001</v>
      </c>
      <c r="F116">
        <v>500000</v>
      </c>
      <c r="G116">
        <v>1892276.61876</v>
      </c>
      <c r="H116" s="2">
        <f>MONTH(Tabela1[[#This Row],[data]])</f>
        <v>8</v>
      </c>
    </row>
    <row r="117" spans="1:8">
      <c r="A117" s="1">
        <v>41875</v>
      </c>
      <c r="B117">
        <v>0</v>
      </c>
      <c r="C117" s="2">
        <f>WEEKDAY(Tabela1[[#This Row],[data]]) -1</f>
        <v>0</v>
      </c>
      <c r="D117">
        <v>2152610.3140466763</v>
      </c>
      <c r="G117">
        <v>2274353.8525724001</v>
      </c>
      <c r="H117" s="2">
        <f>MONTH(Tabela1[[#This Row],[data]])</f>
        <v>8</v>
      </c>
    </row>
    <row r="118" spans="1:8">
      <c r="A118" s="1">
        <v>41876</v>
      </c>
      <c r="B118">
        <v>0</v>
      </c>
      <c r="C118" s="2">
        <f>WEEKDAY(Tabela1[[#This Row],[data]]) -1</f>
        <v>1</v>
      </c>
      <c r="D118">
        <v>2032084.2109062094</v>
      </c>
      <c r="G118">
        <v>2152610.3140466763</v>
      </c>
      <c r="H118" s="2">
        <f>MONTH(Tabela1[[#This Row],[data]])</f>
        <v>8</v>
      </c>
    </row>
    <row r="119" spans="1:8">
      <c r="A119" s="1">
        <v>41877</v>
      </c>
      <c r="B119">
        <v>0</v>
      </c>
      <c r="C119" s="2">
        <f>WEEKDAY(Tabela1[[#This Row],[data]]) -1</f>
        <v>2</v>
      </c>
      <c r="D119">
        <v>1912763.3687971474</v>
      </c>
      <c r="G119">
        <v>2032084.2109062094</v>
      </c>
      <c r="H119" s="2">
        <f>MONTH(Tabela1[[#This Row],[data]])</f>
        <v>8</v>
      </c>
    </row>
    <row r="120" spans="1:8">
      <c r="A120" s="1">
        <v>41878</v>
      </c>
      <c r="B120">
        <v>0</v>
      </c>
      <c r="C120" s="2">
        <f>WEEKDAY(Tabela1[[#This Row],[data]]) -1</f>
        <v>3</v>
      </c>
      <c r="D120">
        <v>1794635.735109176</v>
      </c>
      <c r="G120">
        <v>1912763.3687971474</v>
      </c>
      <c r="H120" s="2">
        <f>MONTH(Tabela1[[#This Row],[data]])</f>
        <v>8</v>
      </c>
    </row>
    <row r="121" spans="1:8">
      <c r="A121" s="1">
        <v>41879</v>
      </c>
      <c r="B121">
        <v>1</v>
      </c>
      <c r="C121" s="2">
        <f>WEEKDAY(Tabela1[[#This Row],[data]]) -1</f>
        <v>4</v>
      </c>
      <c r="D121">
        <v>1848474.8071624513</v>
      </c>
      <c r="G121">
        <v>1794635.735109176</v>
      </c>
      <c r="H121" s="2">
        <f>MONTH(Tabela1[[#This Row],[data]])</f>
        <v>8</v>
      </c>
    </row>
    <row r="122" spans="1:8">
      <c r="A122" s="1">
        <v>41880</v>
      </c>
      <c r="B122">
        <v>0</v>
      </c>
      <c r="C122" s="2">
        <f>WEEKDAY(Tabela1[[#This Row],[data]]) -1</f>
        <v>5</v>
      </c>
      <c r="D122">
        <v>1730990.0590908269</v>
      </c>
      <c r="G122">
        <v>1848474.8071624513</v>
      </c>
      <c r="H122" s="2">
        <f>MONTH(Tabela1[[#This Row],[data]])</f>
        <v>8</v>
      </c>
    </row>
    <row r="123" spans="1:8">
      <c r="A123" s="1">
        <v>41881</v>
      </c>
      <c r="B123">
        <v>0</v>
      </c>
      <c r="C123" s="2">
        <f>WEEKDAY(Tabela1[[#This Row],[data]]) -1</f>
        <v>6</v>
      </c>
      <c r="D123">
        <v>2114680.1584999189</v>
      </c>
      <c r="F123">
        <v>500000</v>
      </c>
      <c r="G123">
        <v>1730990.0590908269</v>
      </c>
      <c r="H123" s="2">
        <f>MONTH(Tabela1[[#This Row],[data]])</f>
        <v>8</v>
      </c>
    </row>
    <row r="124" spans="1:8">
      <c r="A124" s="1">
        <v>41882</v>
      </c>
      <c r="B124">
        <v>1</v>
      </c>
      <c r="C124" s="2">
        <f>WEEKDAY(Tabela1[[#This Row],[data]]) -1</f>
        <v>0</v>
      </c>
      <c r="D124">
        <v>2178120.5632549166</v>
      </c>
      <c r="G124">
        <v>2114680.1584999189</v>
      </c>
      <c r="H124" s="2">
        <f>MONTH(Tabela1[[#This Row],[data]])</f>
        <v>8</v>
      </c>
    </row>
    <row r="125" spans="1:8">
      <c r="A125" s="1">
        <v>41883</v>
      </c>
      <c r="B125">
        <v>0</v>
      </c>
      <c r="C125" s="2">
        <f>WEEKDAY(Tabela1[[#This Row],[data]]) -1</f>
        <v>1</v>
      </c>
      <c r="D125">
        <v>2057339.3576223673</v>
      </c>
      <c r="G125">
        <v>2178120.5632549166</v>
      </c>
      <c r="H125" s="2">
        <f>MONTH(Tabela1[[#This Row],[data]])</f>
        <v>9</v>
      </c>
    </row>
    <row r="126" spans="1:8">
      <c r="A126" s="1">
        <v>41884</v>
      </c>
      <c r="B126">
        <v>0</v>
      </c>
      <c r="C126" s="2">
        <f>WEEKDAY(Tabela1[[#This Row],[data]]) -1</f>
        <v>2</v>
      </c>
      <c r="D126">
        <v>1937765.9640461437</v>
      </c>
      <c r="G126">
        <v>2057339.3576223673</v>
      </c>
      <c r="H126" s="2">
        <f>MONTH(Tabela1[[#This Row],[data]])</f>
        <v>9</v>
      </c>
    </row>
    <row r="127" spans="1:8">
      <c r="A127" s="1">
        <v>41885</v>
      </c>
      <c r="B127">
        <v>0</v>
      </c>
      <c r="C127" s="2">
        <f>WEEKDAY(Tabela1[[#This Row],[data]]) -1</f>
        <v>3</v>
      </c>
      <c r="D127">
        <v>1819388.3044056823</v>
      </c>
      <c r="G127">
        <v>1937765.9640461437</v>
      </c>
      <c r="H127" s="2">
        <f>MONTH(Tabela1[[#This Row],[data]])</f>
        <v>9</v>
      </c>
    </row>
    <row r="128" spans="1:8">
      <c r="A128" s="1">
        <v>41886</v>
      </c>
      <c r="B128">
        <v>0</v>
      </c>
      <c r="C128" s="2">
        <f>WEEKDAY(Tabela1[[#This Row],[data]]) -1</f>
        <v>4</v>
      </c>
      <c r="D128">
        <v>1702194.4213616254</v>
      </c>
      <c r="G128">
        <v>1819388.3044056823</v>
      </c>
      <c r="H128" s="2">
        <f>MONTH(Tabela1[[#This Row],[data]])</f>
        <v>9</v>
      </c>
    </row>
    <row r="129" spans="1:8">
      <c r="A129" s="1">
        <v>41887</v>
      </c>
      <c r="B129">
        <v>0</v>
      </c>
      <c r="C129" s="2">
        <f>WEEKDAY(Tabela1[[#This Row],[data]]) -1</f>
        <v>5</v>
      </c>
      <c r="D129">
        <v>1586172.4771480092</v>
      </c>
      <c r="G129">
        <v>1702194.4213616254</v>
      </c>
      <c r="H129" s="2">
        <f>MONTH(Tabela1[[#This Row],[data]])</f>
        <v>9</v>
      </c>
    </row>
    <row r="130" spans="1:8">
      <c r="A130" s="1">
        <v>41888</v>
      </c>
      <c r="B130">
        <v>0</v>
      </c>
      <c r="C130" s="2">
        <f>WEEKDAY(Tabela1[[#This Row],[data]]) -1</f>
        <v>6</v>
      </c>
      <c r="D130">
        <v>1971310.7523765292</v>
      </c>
      <c r="F130">
        <v>500000</v>
      </c>
      <c r="G130">
        <v>1586172.4771480092</v>
      </c>
      <c r="H130" s="2">
        <f>MONTH(Tabela1[[#This Row],[data]])</f>
        <v>9</v>
      </c>
    </row>
    <row r="131" spans="1:8">
      <c r="A131" s="1">
        <v>41889</v>
      </c>
      <c r="B131">
        <v>0</v>
      </c>
      <c r="C131" s="2">
        <f>WEEKDAY(Tabela1[[#This Row],[data]]) -1</f>
        <v>0</v>
      </c>
      <c r="D131">
        <v>1852597.6448527637</v>
      </c>
      <c r="G131">
        <v>1971310.7523765292</v>
      </c>
      <c r="H131" s="2">
        <f>MONTH(Tabela1[[#This Row],[data]])</f>
        <v>9</v>
      </c>
    </row>
    <row r="132" spans="1:8">
      <c r="A132" s="1">
        <v>41890</v>
      </c>
      <c r="B132">
        <v>1</v>
      </c>
      <c r="C132" s="2">
        <f>WEEKDAY(Tabela1[[#This Row],[data]]) -1</f>
        <v>1</v>
      </c>
      <c r="D132">
        <v>1908175.5741983468</v>
      </c>
      <c r="G132">
        <v>1852597.6448527637</v>
      </c>
      <c r="H132" s="2">
        <f>MONTH(Tabela1[[#This Row],[data]])</f>
        <v>9</v>
      </c>
    </row>
    <row r="133" spans="1:8">
      <c r="A133" s="1">
        <v>41891</v>
      </c>
      <c r="B133">
        <v>0</v>
      </c>
      <c r="C133" s="2">
        <f>WEEKDAY(Tabela1[[#This Row],[data]]) -1</f>
        <v>2</v>
      </c>
      <c r="D133">
        <v>1790093.8184563634</v>
      </c>
      <c r="G133">
        <v>1908175.5741983468</v>
      </c>
      <c r="H133" s="2">
        <f>MONTH(Tabela1[[#This Row],[data]])</f>
        <v>9</v>
      </c>
    </row>
    <row r="134" spans="1:8">
      <c r="A134" s="1">
        <v>41892</v>
      </c>
      <c r="B134">
        <v>0</v>
      </c>
      <c r="C134" s="2">
        <f>WEEKDAY(Tabela1[[#This Row],[data]]) -1</f>
        <v>3</v>
      </c>
      <c r="D134">
        <v>1673192.8802717999</v>
      </c>
      <c r="G134">
        <v>1790093.8184563634</v>
      </c>
      <c r="H134" s="2">
        <f>MONTH(Tabela1[[#This Row],[data]])</f>
        <v>9</v>
      </c>
    </row>
    <row r="135" spans="1:8">
      <c r="A135" s="1">
        <v>41893</v>
      </c>
      <c r="B135">
        <v>0</v>
      </c>
      <c r="C135" s="2">
        <f>WEEKDAY(Tabela1[[#This Row],[data]]) -1</f>
        <v>4</v>
      </c>
      <c r="D135">
        <v>1557460.9514690819</v>
      </c>
      <c r="G135">
        <v>1673192.8802717999</v>
      </c>
      <c r="H135" s="2">
        <f>MONTH(Tabela1[[#This Row],[data]])</f>
        <v>9</v>
      </c>
    </row>
    <row r="136" spans="1:8">
      <c r="A136" s="1">
        <v>41894</v>
      </c>
      <c r="B136">
        <v>0</v>
      </c>
      <c r="C136" s="2">
        <f>WEEKDAY(Tabela1[[#This Row],[data]]) -1</f>
        <v>5</v>
      </c>
      <c r="D136">
        <v>1442886.341954391</v>
      </c>
      <c r="G136">
        <v>1557460.9514690819</v>
      </c>
      <c r="H136" s="2">
        <f>MONTH(Tabela1[[#This Row],[data]])</f>
        <v>9</v>
      </c>
    </row>
    <row r="137" spans="1:8">
      <c r="A137" s="1">
        <v>41895</v>
      </c>
      <c r="B137">
        <v>0</v>
      </c>
      <c r="C137" s="2">
        <f>WEEKDAY(Tabela1[[#This Row],[data]]) -1</f>
        <v>6</v>
      </c>
      <c r="D137">
        <v>1829457.478534847</v>
      </c>
      <c r="F137">
        <v>500000</v>
      </c>
      <c r="G137">
        <v>1442886.341954391</v>
      </c>
      <c r="H137" s="2">
        <f>MONTH(Tabela1[[#This Row],[data]])</f>
        <v>9</v>
      </c>
    </row>
    <row r="138" spans="1:8">
      <c r="A138" s="1">
        <v>41896</v>
      </c>
      <c r="B138">
        <v>0</v>
      </c>
      <c r="C138" s="2">
        <f>WEEKDAY(Tabela1[[#This Row],[data]]) -1</f>
        <v>0</v>
      </c>
      <c r="D138">
        <v>1712162.9037494985</v>
      </c>
      <c r="G138">
        <v>1829457.478534847</v>
      </c>
      <c r="H138" s="2">
        <f>MONTH(Tabela1[[#This Row],[data]])</f>
        <v>9</v>
      </c>
    </row>
    <row r="139" spans="1:8">
      <c r="A139" s="1">
        <v>41897</v>
      </c>
      <c r="B139">
        <v>1</v>
      </c>
      <c r="C139" s="2">
        <f>WEEKDAY(Tabela1[[#This Row],[data]]) -1</f>
        <v>1</v>
      </c>
      <c r="D139">
        <v>1763527.7908619836</v>
      </c>
      <c r="G139">
        <v>1712162.9037494985</v>
      </c>
      <c r="H139" s="2">
        <f>MONTH(Tabela1[[#This Row],[data]])</f>
        <v>9</v>
      </c>
    </row>
    <row r="140" spans="1:8">
      <c r="A140" s="1">
        <v>41898</v>
      </c>
      <c r="B140">
        <v>0</v>
      </c>
      <c r="C140" s="2">
        <f>WEEKDAY(Tabela1[[#This Row],[data]]) -1</f>
        <v>2</v>
      </c>
      <c r="D140">
        <v>1646892.5129533636</v>
      </c>
      <c r="G140">
        <v>1763527.7908619836</v>
      </c>
      <c r="H140" s="2">
        <f>MONTH(Tabela1[[#This Row],[data]])</f>
        <v>9</v>
      </c>
    </row>
    <row r="141" spans="1:8">
      <c r="A141" s="1">
        <v>41899</v>
      </c>
      <c r="B141">
        <v>0</v>
      </c>
      <c r="C141" s="2">
        <f>WEEKDAY(Tabela1[[#This Row],[data]]) -1</f>
        <v>3</v>
      </c>
      <c r="D141">
        <v>1531423.5878238298</v>
      </c>
      <c r="G141">
        <v>1646892.5129533636</v>
      </c>
      <c r="H141" s="2">
        <f>MONTH(Tabela1[[#This Row],[data]])</f>
        <v>9</v>
      </c>
    </row>
    <row r="142" spans="1:8">
      <c r="A142" s="1">
        <v>41900</v>
      </c>
      <c r="B142">
        <v>0</v>
      </c>
      <c r="C142" s="2">
        <f>WEEKDAY(Tabela1[[#This Row],[data]]) -1</f>
        <v>4</v>
      </c>
      <c r="D142">
        <v>1417109.3519455916</v>
      </c>
      <c r="G142">
        <v>1531423.5878238298</v>
      </c>
      <c r="H142" s="2">
        <f>MONTH(Tabela1[[#This Row],[data]])</f>
        <v>9</v>
      </c>
    </row>
    <row r="143" spans="1:8">
      <c r="A143" s="1">
        <v>41901</v>
      </c>
      <c r="B143">
        <v>0</v>
      </c>
      <c r="C143" s="2">
        <f>WEEKDAY(Tabela1[[#This Row],[data]]) -1</f>
        <v>5</v>
      </c>
      <c r="D143">
        <v>1303938.2584261356</v>
      </c>
      <c r="G143">
        <v>1417109.3519455916</v>
      </c>
      <c r="H143" s="2">
        <f>MONTH(Tabela1[[#This Row],[data]])</f>
        <v>9</v>
      </c>
    </row>
    <row r="144" spans="1:8">
      <c r="A144" s="1">
        <v>41902</v>
      </c>
      <c r="B144">
        <v>0</v>
      </c>
      <c r="C144" s="2">
        <f>WEEKDAY(Tabela1[[#This Row],[data]]) -1</f>
        <v>6</v>
      </c>
      <c r="D144">
        <v>1691898.8758418742</v>
      </c>
      <c r="F144">
        <v>500000</v>
      </c>
      <c r="G144">
        <v>1303938.2584261356</v>
      </c>
      <c r="H144" s="2">
        <f>MONTH(Tabela1[[#This Row],[data]])</f>
        <v>9</v>
      </c>
    </row>
    <row r="145" spans="1:8">
      <c r="A145" s="1">
        <v>41903</v>
      </c>
      <c r="B145">
        <v>0</v>
      </c>
      <c r="C145" s="2">
        <f>WEEKDAY(Tabela1[[#This Row],[data]]) -1</f>
        <v>0</v>
      </c>
      <c r="D145">
        <v>1575979.8870834555</v>
      </c>
      <c r="G145">
        <v>1691898.8758418742</v>
      </c>
      <c r="H145" s="2">
        <f>MONTH(Tabela1[[#This Row],[data]])</f>
        <v>9</v>
      </c>
    </row>
    <row r="146" spans="1:8">
      <c r="A146" s="1">
        <v>41904</v>
      </c>
      <c r="B146">
        <v>0</v>
      </c>
      <c r="C146" s="2">
        <f>WEEKDAY(Tabela1[[#This Row],[data]]) -1</f>
        <v>1</v>
      </c>
      <c r="D146">
        <v>1461220.0882126209</v>
      </c>
      <c r="G146">
        <v>1575979.8870834555</v>
      </c>
      <c r="H146" s="2">
        <f>MONTH(Tabela1[[#This Row],[data]])</f>
        <v>9</v>
      </c>
    </row>
    <row r="147" spans="1:8">
      <c r="A147" s="1">
        <v>41905</v>
      </c>
      <c r="B147">
        <v>1</v>
      </c>
      <c r="C147" s="2">
        <f>WEEKDAY(Tabela1[[#This Row],[data]]) -1</f>
        <v>2</v>
      </c>
      <c r="D147">
        <v>1505056.6908589995</v>
      </c>
      <c r="G147">
        <v>1461220.0882126209</v>
      </c>
      <c r="H147" s="2">
        <f>MONTH(Tabela1[[#This Row],[data]])</f>
        <v>9</v>
      </c>
    </row>
    <row r="148" spans="1:8">
      <c r="A148" s="1">
        <v>41906</v>
      </c>
      <c r="B148">
        <v>0</v>
      </c>
      <c r="C148" s="2">
        <f>WEEKDAY(Tabela1[[#This Row],[data]]) -1</f>
        <v>3</v>
      </c>
      <c r="D148">
        <v>1391006.1239504095</v>
      </c>
      <c r="G148">
        <v>1505056.6908589995</v>
      </c>
      <c r="H148" s="2">
        <f>MONTH(Tabela1[[#This Row],[data]])</f>
        <v>9</v>
      </c>
    </row>
    <row r="149" spans="1:8">
      <c r="A149" s="1">
        <v>41907</v>
      </c>
      <c r="B149">
        <v>1</v>
      </c>
      <c r="C149" s="2">
        <f>WEEKDAY(Tabela1[[#This Row],[data]]) -1</f>
        <v>4</v>
      </c>
      <c r="D149">
        <v>1432736.3076689218</v>
      </c>
      <c r="G149">
        <v>1391006.1239504095</v>
      </c>
      <c r="H149" s="2">
        <f>MONTH(Tabela1[[#This Row],[data]])</f>
        <v>9</v>
      </c>
    </row>
    <row r="150" spans="1:8">
      <c r="A150" s="1">
        <v>41908</v>
      </c>
      <c r="B150">
        <v>0</v>
      </c>
      <c r="C150" s="2">
        <f>WEEKDAY(Tabela1[[#This Row],[data]]) -1</f>
        <v>5</v>
      </c>
      <c r="D150">
        <v>1319408.9445922326</v>
      </c>
      <c r="G150">
        <v>1432736.3076689218</v>
      </c>
      <c r="H150" s="2">
        <f>MONTH(Tabela1[[#This Row],[data]])</f>
        <v>9</v>
      </c>
    </row>
    <row r="151" spans="1:8">
      <c r="A151" s="1">
        <v>41909</v>
      </c>
      <c r="B151">
        <v>0</v>
      </c>
      <c r="C151" s="2">
        <f>WEEKDAY(Tabela1[[#This Row],[data]]) -1</f>
        <v>6</v>
      </c>
      <c r="D151">
        <v>1707214.8551463103</v>
      </c>
      <c r="F151">
        <v>500000</v>
      </c>
      <c r="G151">
        <v>1319408.9445922326</v>
      </c>
      <c r="H151" s="2">
        <f>MONTH(Tabela1[[#This Row],[data]])</f>
        <v>9</v>
      </c>
    </row>
    <row r="152" spans="1:8">
      <c r="A152" s="1">
        <v>41910</v>
      </c>
      <c r="B152">
        <v>0</v>
      </c>
      <c r="C152" s="2">
        <f>WEEKDAY(Tabela1[[#This Row],[data]]) -1</f>
        <v>0</v>
      </c>
      <c r="D152">
        <v>1591142.7065948471</v>
      </c>
      <c r="G152">
        <v>1707214.8551463103</v>
      </c>
      <c r="H152" s="2">
        <f>MONTH(Tabela1[[#This Row],[data]])</f>
        <v>9</v>
      </c>
    </row>
    <row r="153" spans="1:8">
      <c r="A153" s="1">
        <v>41911</v>
      </c>
      <c r="B153">
        <v>1</v>
      </c>
      <c r="C153" s="2">
        <f>WEEKDAY(Tabela1[[#This Row],[data]]) -1</f>
        <v>1</v>
      </c>
      <c r="D153">
        <v>1638876.9877926926</v>
      </c>
      <c r="G153">
        <v>1591142.7065948471</v>
      </c>
      <c r="H153" s="2">
        <f>MONTH(Tabela1[[#This Row],[data]])</f>
        <v>9</v>
      </c>
    </row>
    <row r="154" spans="1:8">
      <c r="A154" s="1">
        <v>41912</v>
      </c>
      <c r="B154">
        <v>1</v>
      </c>
      <c r="C154" s="2">
        <f>WEEKDAY(Tabela1[[#This Row],[data]]) -1</f>
        <v>2</v>
      </c>
      <c r="D154">
        <v>1688043.2974264733</v>
      </c>
      <c r="G154">
        <v>1638876.9877926926</v>
      </c>
      <c r="H154" s="2">
        <f>MONTH(Tabela1[[#This Row],[data]])</f>
        <v>9</v>
      </c>
    </row>
  </sheetData>
  <conditionalFormatting sqref="D1:D1048576">
    <cfRule type="cellIs" dxfId="2" priority="1" operator="equal">
      <formula>$K$9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Arkusz4</vt:lpstr>
      <vt:lpstr>Arkusz1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Zuzanna Gomuła</dc:creator>
  <cp:lastModifiedBy>Zuzanna Gomuła</cp:lastModifiedBy>
  <dcterms:created xsi:type="dcterms:W3CDTF">2022-04-14T15:53:18Z</dcterms:created>
  <dcterms:modified xsi:type="dcterms:W3CDTF">2022-04-14T16:39:10Z</dcterms:modified>
</cp:coreProperties>
</file>