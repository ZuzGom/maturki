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360" yWindow="60" windowWidth="11292" windowHeight="5580"/>
  </bookViews>
  <sheets>
    <sheet name="Arkusz1" sheetId="1" r:id="rId1"/>
    <sheet name="Arkusz2" sheetId="2" r:id="rId2"/>
    <sheet name="Arkusz3" sheetId="3" r:id="rId3"/>
  </sheets>
  <calcPr calcId="124519"/>
</workbook>
</file>

<file path=xl/calcChain.xml><?xml version="1.0" encoding="utf-8"?>
<calcChain xmlns="http://schemas.openxmlformats.org/spreadsheetml/2006/main">
  <c r="K7" i="1"/>
  <c r="H2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H161"/>
  <c r="H162"/>
  <c r="H163"/>
  <c r="H164"/>
  <c r="H165"/>
  <c r="H166"/>
  <c r="H167"/>
  <c r="H168"/>
  <c r="H169"/>
  <c r="H170"/>
  <c r="H171"/>
  <c r="H172"/>
  <c r="H173"/>
  <c r="H174"/>
  <c r="H175"/>
  <c r="H176"/>
  <c r="H177"/>
  <c r="H178"/>
  <c r="H179"/>
  <c r="H180"/>
  <c r="H181"/>
  <c r="J5"/>
  <c r="G2"/>
  <c r="G3" s="1"/>
  <c r="G4" s="1"/>
  <c r="G5" s="1"/>
  <c r="G6" s="1"/>
  <c r="G7" s="1"/>
  <c r="G8" s="1"/>
  <c r="G9" s="1"/>
  <c r="G10" s="1"/>
  <c r="G11" s="1"/>
  <c r="G12" s="1"/>
  <c r="G13" s="1"/>
  <c r="G14" s="1"/>
  <c r="G15" s="1"/>
  <c r="G16" s="1"/>
  <c r="G17" s="1"/>
  <c r="G18" s="1"/>
  <c r="G19" s="1"/>
  <c r="G20" s="1"/>
  <c r="G21" s="1"/>
  <c r="G22" s="1"/>
  <c r="G23" s="1"/>
  <c r="G24" s="1"/>
  <c r="G25" s="1"/>
  <c r="G26" s="1"/>
  <c r="G27" s="1"/>
  <c r="G28" s="1"/>
  <c r="G29" s="1"/>
  <c r="G30" s="1"/>
  <c r="G31" s="1"/>
  <c r="G32" s="1"/>
  <c r="G33" s="1"/>
  <c r="G34" s="1"/>
  <c r="G35" s="1"/>
  <c r="G36" s="1"/>
  <c r="G37" s="1"/>
  <c r="G38" s="1"/>
  <c r="G39" s="1"/>
  <c r="G40" s="1"/>
  <c r="G41" s="1"/>
  <c r="G42" s="1"/>
  <c r="G43" s="1"/>
  <c r="G44" s="1"/>
  <c r="G45" s="1"/>
  <c r="G46" s="1"/>
  <c r="G47" s="1"/>
  <c r="G48" s="1"/>
  <c r="G49" s="1"/>
  <c r="G50" s="1"/>
  <c r="G51" s="1"/>
  <c r="G52" s="1"/>
  <c r="G53" s="1"/>
  <c r="G54" s="1"/>
  <c r="G55" s="1"/>
  <c r="G56" s="1"/>
  <c r="G57" s="1"/>
  <c r="G58" s="1"/>
  <c r="G59" s="1"/>
  <c r="G60" s="1"/>
  <c r="G61" s="1"/>
  <c r="G62" s="1"/>
  <c r="G63" s="1"/>
  <c r="G64" s="1"/>
  <c r="G65" s="1"/>
  <c r="G66" s="1"/>
  <c r="G67" s="1"/>
  <c r="G68" s="1"/>
  <c r="G69" s="1"/>
  <c r="G70" s="1"/>
  <c r="G71" s="1"/>
  <c r="G72" s="1"/>
  <c r="G73" s="1"/>
  <c r="G74" s="1"/>
  <c r="G75" s="1"/>
  <c r="G76" s="1"/>
  <c r="G77" s="1"/>
  <c r="G78" s="1"/>
  <c r="G79" s="1"/>
  <c r="G80" s="1"/>
  <c r="G81" s="1"/>
  <c r="G82" s="1"/>
  <c r="G83" s="1"/>
  <c r="G84" s="1"/>
  <c r="G85" s="1"/>
  <c r="G86" s="1"/>
  <c r="G87" s="1"/>
  <c r="G88" s="1"/>
  <c r="G89" s="1"/>
  <c r="G90" s="1"/>
  <c r="G91" s="1"/>
  <c r="G92" s="1"/>
  <c r="G93" s="1"/>
  <c r="G94" s="1"/>
  <c r="G95" s="1"/>
  <c r="G96" s="1"/>
  <c r="G97" s="1"/>
  <c r="G98" s="1"/>
  <c r="G99" s="1"/>
  <c r="G100" s="1"/>
  <c r="G101" s="1"/>
  <c r="G102" s="1"/>
  <c r="G103" s="1"/>
  <c r="G104" s="1"/>
  <c r="G105" s="1"/>
  <c r="G106" s="1"/>
  <c r="G107" s="1"/>
  <c r="G108" s="1"/>
  <c r="G109" s="1"/>
  <c r="G110" s="1"/>
  <c r="G111" s="1"/>
  <c r="G112" s="1"/>
  <c r="G113" s="1"/>
  <c r="G114" s="1"/>
  <c r="G115" s="1"/>
  <c r="G116" s="1"/>
  <c r="G117" s="1"/>
  <c r="G118" s="1"/>
  <c r="G119" s="1"/>
  <c r="G120" s="1"/>
  <c r="G121" s="1"/>
  <c r="G122" s="1"/>
  <c r="G123" s="1"/>
  <c r="G124" s="1"/>
  <c r="G125" s="1"/>
  <c r="G126" s="1"/>
  <c r="G127" s="1"/>
  <c r="G128" s="1"/>
  <c r="G129" s="1"/>
  <c r="G130" s="1"/>
  <c r="G131" s="1"/>
  <c r="G132" s="1"/>
  <c r="G133" s="1"/>
  <c r="G134" s="1"/>
  <c r="G135" s="1"/>
  <c r="G136" s="1"/>
  <c r="G137" s="1"/>
  <c r="G138" s="1"/>
  <c r="G139" s="1"/>
  <c r="G140" s="1"/>
  <c r="G141" s="1"/>
  <c r="G142" s="1"/>
  <c r="G143" s="1"/>
  <c r="G144" s="1"/>
  <c r="G145" s="1"/>
  <c r="G146" s="1"/>
  <c r="G147" s="1"/>
  <c r="G148" s="1"/>
  <c r="G149" s="1"/>
  <c r="G150" s="1"/>
  <c r="G151" s="1"/>
  <c r="G152" s="1"/>
  <c r="G153" s="1"/>
  <c r="G154" s="1"/>
  <c r="G155" s="1"/>
  <c r="G156" s="1"/>
  <c r="G157" s="1"/>
  <c r="G158" s="1"/>
  <c r="G159" s="1"/>
  <c r="G160" s="1"/>
  <c r="G161" s="1"/>
  <c r="G162" s="1"/>
  <c r="G163" s="1"/>
  <c r="G164" s="1"/>
  <c r="G165" s="1"/>
  <c r="G166" s="1"/>
  <c r="G167" s="1"/>
  <c r="G168" s="1"/>
  <c r="G169" s="1"/>
  <c r="G170" s="1"/>
  <c r="G171" s="1"/>
  <c r="G172" s="1"/>
  <c r="G173" s="1"/>
  <c r="G174" s="1"/>
  <c r="G175" s="1"/>
  <c r="G176" s="1"/>
  <c r="G177" s="1"/>
  <c r="G178" s="1"/>
  <c r="G179" s="1"/>
  <c r="G180" s="1"/>
  <c r="G181" s="1"/>
  <c r="B2"/>
  <c r="B3"/>
  <c r="B4"/>
  <c r="B5"/>
  <c r="B6"/>
  <c r="B7"/>
  <c r="B8"/>
  <c r="B9"/>
  <c r="B10"/>
  <c r="B11"/>
  <c r="B12"/>
  <c r="B13"/>
  <c r="B14"/>
  <c r="B15"/>
  <c r="B16"/>
  <c r="B17"/>
  <c r="B18"/>
  <c r="B19"/>
  <c r="B20"/>
  <c r="B21"/>
  <c r="B22"/>
  <c r="B23"/>
  <c r="B24"/>
  <c r="B25"/>
  <c r="B26"/>
  <c r="B27"/>
  <c r="B28"/>
  <c r="B29"/>
  <c r="B30"/>
  <c r="B31"/>
  <c r="B32"/>
  <c r="B33"/>
  <c r="B34"/>
  <c r="B35"/>
  <c r="B36"/>
  <c r="B37"/>
  <c r="B38"/>
  <c r="B39"/>
  <c r="B40"/>
  <c r="B41"/>
  <c r="B42"/>
  <c r="B43"/>
  <c r="B44"/>
  <c r="B45"/>
  <c r="B46"/>
  <c r="B47"/>
  <c r="B48"/>
  <c r="B49"/>
  <c r="B50"/>
  <c r="B51"/>
  <c r="B52"/>
  <c r="B53"/>
  <c r="B54"/>
  <c r="B55"/>
  <c r="B56"/>
  <c r="B57"/>
  <c r="B58"/>
  <c r="B59"/>
  <c r="B60"/>
  <c r="B61"/>
  <c r="B62"/>
  <c r="B63"/>
  <c r="B64"/>
  <c r="B65"/>
  <c r="B66"/>
  <c r="B67"/>
  <c r="B68"/>
  <c r="B69"/>
  <c r="B70"/>
  <c r="B71"/>
  <c r="B72"/>
  <c r="B73"/>
  <c r="B74"/>
  <c r="B75"/>
  <c r="B76"/>
  <c r="B77"/>
  <c r="B78"/>
  <c r="B79"/>
  <c r="B80"/>
  <c r="B81"/>
  <c r="B82"/>
  <c r="B83"/>
  <c r="B84"/>
  <c r="B85"/>
  <c r="B86"/>
  <c r="B87"/>
  <c r="B88"/>
  <c r="B89"/>
  <c r="B90"/>
  <c r="B91"/>
  <c r="B92"/>
  <c r="B93"/>
  <c r="B94"/>
  <c r="B95"/>
  <c r="B96"/>
  <c r="B97"/>
  <c r="B98"/>
  <c r="B99"/>
  <c r="B100"/>
  <c r="B101"/>
  <c r="B102"/>
  <c r="B103"/>
  <c r="B104"/>
  <c r="B105"/>
  <c r="B106"/>
  <c r="B107"/>
  <c r="B108"/>
  <c r="B109"/>
  <c r="B110"/>
  <c r="B111"/>
  <c r="B112"/>
  <c r="B113"/>
  <c r="B114"/>
  <c r="B115"/>
  <c r="B116"/>
  <c r="B117"/>
  <c r="B118"/>
  <c r="B119"/>
  <c r="B120"/>
  <c r="B121"/>
  <c r="B122"/>
  <c r="B123"/>
  <c r="B124"/>
  <c r="B125"/>
  <c r="B126"/>
  <c r="B127"/>
  <c r="B128"/>
  <c r="B129"/>
  <c r="B130"/>
  <c r="B131"/>
  <c r="B132"/>
  <c r="B133"/>
  <c r="B134"/>
  <c r="B135"/>
  <c r="B136"/>
  <c r="B137"/>
  <c r="B138"/>
  <c r="B139"/>
  <c r="B140"/>
  <c r="B141"/>
  <c r="B142"/>
  <c r="B143"/>
  <c r="B144"/>
  <c r="B145"/>
  <c r="B146"/>
  <c r="B147"/>
  <c r="B148"/>
  <c r="B149"/>
  <c r="B150"/>
  <c r="B151"/>
  <c r="B152"/>
  <c r="B153"/>
  <c r="B154"/>
  <c r="B155"/>
  <c r="B156"/>
  <c r="B157"/>
  <c r="B158"/>
  <c r="B159"/>
  <c r="B160"/>
  <c r="B161"/>
  <c r="B162"/>
  <c r="B163"/>
  <c r="B164"/>
  <c r="B165"/>
  <c r="B166"/>
  <c r="B167"/>
  <c r="B168"/>
  <c r="B169"/>
  <c r="B170"/>
  <c r="B171"/>
  <c r="B172"/>
  <c r="B173"/>
  <c r="B174"/>
  <c r="B175"/>
  <c r="B176"/>
  <c r="B177"/>
  <c r="B178"/>
  <c r="B179"/>
  <c r="B180"/>
  <c r="B181"/>
</calcChain>
</file>

<file path=xl/sharedStrings.xml><?xml version="1.0" encoding="utf-8"?>
<sst xmlns="http://schemas.openxmlformats.org/spreadsheetml/2006/main" count="15" uniqueCount="15">
  <si>
    <t>dzien</t>
  </si>
  <si>
    <t>kury</t>
  </si>
  <si>
    <t>koszt kur</t>
  </si>
  <si>
    <t>tygodnia</t>
  </si>
  <si>
    <t>koszt paszy</t>
  </si>
  <si>
    <t>zysk z jaj</t>
  </si>
  <si>
    <t>realny zysk</t>
  </si>
  <si>
    <t>33 dzien</t>
  </si>
  <si>
    <t>wieczorem</t>
  </si>
  <si>
    <t>a</t>
  </si>
  <si>
    <t>b</t>
  </si>
  <si>
    <t>c</t>
  </si>
  <si>
    <t>19 dzień</t>
  </si>
  <si>
    <t>d</t>
  </si>
  <si>
    <t>suma koztów</t>
  </si>
</sst>
</file>

<file path=xl/styles.xml><?xml version="1.0" encoding="utf-8"?>
<styleSheet xmlns="http://schemas.openxmlformats.org/spreadsheetml/2006/main">
  <numFmts count="1">
    <numFmt numFmtId="165" formatCode="#,##0.00\ &quot;zł&quot;"/>
  </numFmts>
  <fonts count="1">
    <font>
      <sz val="11"/>
      <color theme="1"/>
      <name val="Calibri"/>
      <family val="2"/>
      <charset val="23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applyNumberFormat="1"/>
    <xf numFmtId="165" fontId="0" fillId="0" borderId="0" xfId="0" applyNumberFormat="1"/>
  </cellXfs>
  <cellStyles count="1">
    <cellStyle name="Normalny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pl-PL"/>
  <c:chart>
    <c:title>
      <c:layout/>
    </c:title>
    <c:plotArea>
      <c:layout/>
      <c:lineChart>
        <c:grouping val="standard"/>
        <c:ser>
          <c:idx val="2"/>
          <c:order val="2"/>
          <c:tx>
            <c:strRef>
              <c:f>Arkusz1!$D$1</c:f>
              <c:strCache>
                <c:ptCount val="1"/>
                <c:pt idx="0">
                  <c:v>zysk z jaj</c:v>
                </c:pt>
              </c:strCache>
            </c:strRef>
          </c:tx>
          <c:marker>
            <c:symbol val="none"/>
          </c:marker>
          <c:val>
            <c:numRef>
              <c:f>Arkusz1!$D$2:$D$181</c:f>
              <c:numCache>
                <c:formatCode>General</c:formatCode>
                <c:ptCount val="180"/>
                <c:pt idx="0">
                  <c:v>180</c:v>
                </c:pt>
                <c:pt idx="1">
                  <c:v>178.20000000000002</c:v>
                </c:pt>
                <c:pt idx="2">
                  <c:v>178.20000000000002</c:v>
                </c:pt>
                <c:pt idx="3">
                  <c:v>176.4</c:v>
                </c:pt>
                <c:pt idx="4">
                  <c:v>176.4</c:v>
                </c:pt>
                <c:pt idx="5">
                  <c:v>174.6</c:v>
                </c:pt>
                <c:pt idx="6">
                  <c:v>0</c:v>
                </c:pt>
                <c:pt idx="7">
                  <c:v>172.8</c:v>
                </c:pt>
                <c:pt idx="8">
                  <c:v>172.8</c:v>
                </c:pt>
                <c:pt idx="9">
                  <c:v>171</c:v>
                </c:pt>
                <c:pt idx="10">
                  <c:v>171</c:v>
                </c:pt>
                <c:pt idx="11">
                  <c:v>169.20000000000002</c:v>
                </c:pt>
                <c:pt idx="12">
                  <c:v>169.20000000000002</c:v>
                </c:pt>
                <c:pt idx="13">
                  <c:v>0</c:v>
                </c:pt>
                <c:pt idx="14">
                  <c:v>167.4</c:v>
                </c:pt>
                <c:pt idx="15">
                  <c:v>165.6</c:v>
                </c:pt>
                <c:pt idx="16">
                  <c:v>165.6</c:v>
                </c:pt>
                <c:pt idx="17">
                  <c:v>163.80000000000001</c:v>
                </c:pt>
                <c:pt idx="18">
                  <c:v>163.80000000000001</c:v>
                </c:pt>
                <c:pt idx="19">
                  <c:v>162</c:v>
                </c:pt>
                <c:pt idx="20">
                  <c:v>0</c:v>
                </c:pt>
                <c:pt idx="21">
                  <c:v>160.20000000000002</c:v>
                </c:pt>
                <c:pt idx="22">
                  <c:v>160.20000000000002</c:v>
                </c:pt>
                <c:pt idx="23">
                  <c:v>158.4</c:v>
                </c:pt>
                <c:pt idx="24">
                  <c:v>158.4</c:v>
                </c:pt>
                <c:pt idx="25">
                  <c:v>156.6</c:v>
                </c:pt>
                <c:pt idx="26">
                  <c:v>156.6</c:v>
                </c:pt>
                <c:pt idx="27">
                  <c:v>0</c:v>
                </c:pt>
                <c:pt idx="28">
                  <c:v>154.80000000000001</c:v>
                </c:pt>
                <c:pt idx="29">
                  <c:v>183.6</c:v>
                </c:pt>
                <c:pt idx="30">
                  <c:v>183.6</c:v>
                </c:pt>
                <c:pt idx="31">
                  <c:v>181.8</c:v>
                </c:pt>
                <c:pt idx="32">
                  <c:v>181.8</c:v>
                </c:pt>
                <c:pt idx="33">
                  <c:v>180</c:v>
                </c:pt>
                <c:pt idx="34">
                  <c:v>0</c:v>
                </c:pt>
                <c:pt idx="35">
                  <c:v>178.20000000000002</c:v>
                </c:pt>
                <c:pt idx="36">
                  <c:v>178.20000000000002</c:v>
                </c:pt>
                <c:pt idx="37">
                  <c:v>176.4</c:v>
                </c:pt>
                <c:pt idx="38">
                  <c:v>176.4</c:v>
                </c:pt>
                <c:pt idx="39">
                  <c:v>174.6</c:v>
                </c:pt>
                <c:pt idx="40">
                  <c:v>174.6</c:v>
                </c:pt>
                <c:pt idx="41">
                  <c:v>0</c:v>
                </c:pt>
                <c:pt idx="42">
                  <c:v>172.8</c:v>
                </c:pt>
                <c:pt idx="43">
                  <c:v>171</c:v>
                </c:pt>
                <c:pt idx="44">
                  <c:v>171</c:v>
                </c:pt>
                <c:pt idx="45">
                  <c:v>169.20000000000002</c:v>
                </c:pt>
                <c:pt idx="46">
                  <c:v>169.20000000000002</c:v>
                </c:pt>
                <c:pt idx="47">
                  <c:v>167.4</c:v>
                </c:pt>
                <c:pt idx="48">
                  <c:v>0</c:v>
                </c:pt>
                <c:pt idx="49">
                  <c:v>165.6</c:v>
                </c:pt>
                <c:pt idx="50">
                  <c:v>165.6</c:v>
                </c:pt>
                <c:pt idx="51">
                  <c:v>163.80000000000001</c:v>
                </c:pt>
                <c:pt idx="52">
                  <c:v>163.80000000000001</c:v>
                </c:pt>
                <c:pt idx="53">
                  <c:v>162</c:v>
                </c:pt>
                <c:pt idx="54">
                  <c:v>162</c:v>
                </c:pt>
                <c:pt idx="55">
                  <c:v>0</c:v>
                </c:pt>
                <c:pt idx="56">
                  <c:v>160.20000000000002</c:v>
                </c:pt>
                <c:pt idx="57">
                  <c:v>158.4</c:v>
                </c:pt>
                <c:pt idx="58">
                  <c:v>158.4</c:v>
                </c:pt>
                <c:pt idx="59">
                  <c:v>187.20000000000002</c:v>
                </c:pt>
                <c:pt idx="60">
                  <c:v>187.20000000000002</c:v>
                </c:pt>
                <c:pt idx="61">
                  <c:v>185.4</c:v>
                </c:pt>
                <c:pt idx="62">
                  <c:v>0</c:v>
                </c:pt>
                <c:pt idx="63">
                  <c:v>183.6</c:v>
                </c:pt>
                <c:pt idx="64">
                  <c:v>183.6</c:v>
                </c:pt>
                <c:pt idx="65">
                  <c:v>181.8</c:v>
                </c:pt>
                <c:pt idx="66">
                  <c:v>181.8</c:v>
                </c:pt>
                <c:pt idx="67">
                  <c:v>180</c:v>
                </c:pt>
                <c:pt idx="68">
                  <c:v>180</c:v>
                </c:pt>
                <c:pt idx="69">
                  <c:v>0</c:v>
                </c:pt>
                <c:pt idx="70">
                  <c:v>178.20000000000002</c:v>
                </c:pt>
                <c:pt idx="71">
                  <c:v>176.4</c:v>
                </c:pt>
                <c:pt idx="72">
                  <c:v>176.4</c:v>
                </c:pt>
                <c:pt idx="73">
                  <c:v>174.6</c:v>
                </c:pt>
                <c:pt idx="74">
                  <c:v>174.6</c:v>
                </c:pt>
                <c:pt idx="75">
                  <c:v>172.8</c:v>
                </c:pt>
                <c:pt idx="76">
                  <c:v>0</c:v>
                </c:pt>
                <c:pt idx="77">
                  <c:v>171</c:v>
                </c:pt>
                <c:pt idx="78">
                  <c:v>171</c:v>
                </c:pt>
                <c:pt idx="79">
                  <c:v>169.20000000000002</c:v>
                </c:pt>
                <c:pt idx="80">
                  <c:v>169.20000000000002</c:v>
                </c:pt>
                <c:pt idx="81">
                  <c:v>167.4</c:v>
                </c:pt>
                <c:pt idx="82">
                  <c:v>167.4</c:v>
                </c:pt>
                <c:pt idx="83">
                  <c:v>0</c:v>
                </c:pt>
                <c:pt idx="84">
                  <c:v>165.6</c:v>
                </c:pt>
                <c:pt idx="85">
                  <c:v>163.80000000000001</c:v>
                </c:pt>
                <c:pt idx="86">
                  <c:v>163.80000000000001</c:v>
                </c:pt>
                <c:pt idx="87">
                  <c:v>162</c:v>
                </c:pt>
                <c:pt idx="88">
                  <c:v>162</c:v>
                </c:pt>
                <c:pt idx="89">
                  <c:v>191.70000000000002</c:v>
                </c:pt>
                <c:pt idx="90">
                  <c:v>0</c:v>
                </c:pt>
                <c:pt idx="91">
                  <c:v>189.9</c:v>
                </c:pt>
                <c:pt idx="92">
                  <c:v>189.9</c:v>
                </c:pt>
                <c:pt idx="93">
                  <c:v>188.1</c:v>
                </c:pt>
                <c:pt idx="94">
                  <c:v>188.1</c:v>
                </c:pt>
                <c:pt idx="95">
                  <c:v>186.3</c:v>
                </c:pt>
                <c:pt idx="96">
                  <c:v>186.3</c:v>
                </c:pt>
                <c:pt idx="97">
                  <c:v>0</c:v>
                </c:pt>
                <c:pt idx="98">
                  <c:v>184.5</c:v>
                </c:pt>
                <c:pt idx="99">
                  <c:v>182.70000000000002</c:v>
                </c:pt>
                <c:pt idx="100">
                  <c:v>182.70000000000002</c:v>
                </c:pt>
                <c:pt idx="101">
                  <c:v>180.9</c:v>
                </c:pt>
                <c:pt idx="102">
                  <c:v>180.9</c:v>
                </c:pt>
                <c:pt idx="103">
                  <c:v>179.1</c:v>
                </c:pt>
                <c:pt idx="104">
                  <c:v>0</c:v>
                </c:pt>
                <c:pt idx="105">
                  <c:v>177.3</c:v>
                </c:pt>
                <c:pt idx="106">
                  <c:v>177.3</c:v>
                </c:pt>
                <c:pt idx="107">
                  <c:v>175.5</c:v>
                </c:pt>
                <c:pt idx="108">
                  <c:v>175.5</c:v>
                </c:pt>
                <c:pt idx="109">
                  <c:v>173.70000000000002</c:v>
                </c:pt>
                <c:pt idx="110">
                  <c:v>173.70000000000002</c:v>
                </c:pt>
                <c:pt idx="111">
                  <c:v>0</c:v>
                </c:pt>
                <c:pt idx="112">
                  <c:v>171.9</c:v>
                </c:pt>
                <c:pt idx="113">
                  <c:v>170.1</c:v>
                </c:pt>
                <c:pt idx="114">
                  <c:v>170.1</c:v>
                </c:pt>
                <c:pt idx="115">
                  <c:v>168.3</c:v>
                </c:pt>
                <c:pt idx="116">
                  <c:v>168.3</c:v>
                </c:pt>
                <c:pt idx="117">
                  <c:v>166.5</c:v>
                </c:pt>
                <c:pt idx="118">
                  <c:v>0</c:v>
                </c:pt>
                <c:pt idx="119">
                  <c:v>197.1</c:v>
                </c:pt>
                <c:pt idx="120">
                  <c:v>197.1</c:v>
                </c:pt>
                <c:pt idx="121">
                  <c:v>195.3</c:v>
                </c:pt>
                <c:pt idx="122">
                  <c:v>195.3</c:v>
                </c:pt>
                <c:pt idx="123">
                  <c:v>193.5</c:v>
                </c:pt>
                <c:pt idx="124">
                  <c:v>193.5</c:v>
                </c:pt>
                <c:pt idx="125">
                  <c:v>0</c:v>
                </c:pt>
                <c:pt idx="126">
                  <c:v>191.70000000000002</c:v>
                </c:pt>
                <c:pt idx="127">
                  <c:v>189.9</c:v>
                </c:pt>
                <c:pt idx="128">
                  <c:v>189.9</c:v>
                </c:pt>
                <c:pt idx="129">
                  <c:v>188.1</c:v>
                </c:pt>
                <c:pt idx="130">
                  <c:v>188.1</c:v>
                </c:pt>
                <c:pt idx="131">
                  <c:v>186.3</c:v>
                </c:pt>
                <c:pt idx="132">
                  <c:v>0</c:v>
                </c:pt>
                <c:pt idx="133">
                  <c:v>184.5</c:v>
                </c:pt>
                <c:pt idx="134">
                  <c:v>184.5</c:v>
                </c:pt>
                <c:pt idx="135">
                  <c:v>182.70000000000002</c:v>
                </c:pt>
                <c:pt idx="136">
                  <c:v>182.70000000000002</c:v>
                </c:pt>
                <c:pt idx="137">
                  <c:v>180.9</c:v>
                </c:pt>
                <c:pt idx="138">
                  <c:v>180.9</c:v>
                </c:pt>
                <c:pt idx="139">
                  <c:v>0</c:v>
                </c:pt>
                <c:pt idx="140">
                  <c:v>179.1</c:v>
                </c:pt>
                <c:pt idx="141">
                  <c:v>177.3</c:v>
                </c:pt>
                <c:pt idx="142">
                  <c:v>177.3</c:v>
                </c:pt>
                <c:pt idx="143">
                  <c:v>175.5</c:v>
                </c:pt>
                <c:pt idx="144">
                  <c:v>175.5</c:v>
                </c:pt>
                <c:pt idx="145">
                  <c:v>173.70000000000002</c:v>
                </c:pt>
                <c:pt idx="146">
                  <c:v>0</c:v>
                </c:pt>
                <c:pt idx="147">
                  <c:v>171.9</c:v>
                </c:pt>
                <c:pt idx="148">
                  <c:v>171.9</c:v>
                </c:pt>
                <c:pt idx="149">
                  <c:v>203.4</c:v>
                </c:pt>
                <c:pt idx="150">
                  <c:v>203.4</c:v>
                </c:pt>
                <c:pt idx="151">
                  <c:v>201.6</c:v>
                </c:pt>
                <c:pt idx="152">
                  <c:v>201.6</c:v>
                </c:pt>
                <c:pt idx="153">
                  <c:v>0</c:v>
                </c:pt>
                <c:pt idx="154">
                  <c:v>199.8</c:v>
                </c:pt>
                <c:pt idx="155">
                  <c:v>198</c:v>
                </c:pt>
                <c:pt idx="156">
                  <c:v>198</c:v>
                </c:pt>
                <c:pt idx="157">
                  <c:v>196.20000000000002</c:v>
                </c:pt>
                <c:pt idx="158">
                  <c:v>196.20000000000002</c:v>
                </c:pt>
                <c:pt idx="159">
                  <c:v>194.4</c:v>
                </c:pt>
                <c:pt idx="160">
                  <c:v>0</c:v>
                </c:pt>
                <c:pt idx="161">
                  <c:v>192.6</c:v>
                </c:pt>
                <c:pt idx="162">
                  <c:v>192.6</c:v>
                </c:pt>
                <c:pt idx="163">
                  <c:v>190.8</c:v>
                </c:pt>
                <c:pt idx="164">
                  <c:v>190.8</c:v>
                </c:pt>
                <c:pt idx="165">
                  <c:v>189</c:v>
                </c:pt>
                <c:pt idx="166">
                  <c:v>189</c:v>
                </c:pt>
                <c:pt idx="167">
                  <c:v>0</c:v>
                </c:pt>
                <c:pt idx="168">
                  <c:v>187.20000000000002</c:v>
                </c:pt>
                <c:pt idx="169">
                  <c:v>185.4</c:v>
                </c:pt>
                <c:pt idx="170">
                  <c:v>185.4</c:v>
                </c:pt>
                <c:pt idx="171">
                  <c:v>183.6</c:v>
                </c:pt>
                <c:pt idx="172">
                  <c:v>183.6</c:v>
                </c:pt>
                <c:pt idx="173">
                  <c:v>181.8</c:v>
                </c:pt>
                <c:pt idx="174">
                  <c:v>0</c:v>
                </c:pt>
                <c:pt idx="175">
                  <c:v>180</c:v>
                </c:pt>
                <c:pt idx="176">
                  <c:v>180</c:v>
                </c:pt>
                <c:pt idx="177">
                  <c:v>178.20000000000002</c:v>
                </c:pt>
                <c:pt idx="178">
                  <c:v>178.20000000000002</c:v>
                </c:pt>
                <c:pt idx="179">
                  <c:v>211.5</c:v>
                </c:pt>
              </c:numCache>
            </c:numRef>
          </c:val>
        </c:ser>
        <c:ser>
          <c:idx val="3"/>
          <c:order val="3"/>
          <c:tx>
            <c:strRef>
              <c:f>Arkusz1!$H$1</c:f>
              <c:strCache>
                <c:ptCount val="1"/>
                <c:pt idx="0">
                  <c:v>suma koztów</c:v>
                </c:pt>
              </c:strCache>
            </c:strRef>
          </c:tx>
          <c:marker>
            <c:symbol val="none"/>
          </c:marker>
          <c:val>
            <c:numRef>
              <c:f>Arkusz1!$H$2:$H$181</c:f>
              <c:numCache>
                <c:formatCode>General</c:formatCode>
                <c:ptCount val="180"/>
                <c:pt idx="0">
                  <c:v>76</c:v>
                </c:pt>
                <c:pt idx="1">
                  <c:v>75.239999999999995</c:v>
                </c:pt>
                <c:pt idx="2">
                  <c:v>75.239999999999995</c:v>
                </c:pt>
                <c:pt idx="3">
                  <c:v>74.48</c:v>
                </c:pt>
                <c:pt idx="4">
                  <c:v>74.48</c:v>
                </c:pt>
                <c:pt idx="5">
                  <c:v>73.72</c:v>
                </c:pt>
                <c:pt idx="6">
                  <c:v>73.72</c:v>
                </c:pt>
                <c:pt idx="7">
                  <c:v>72.959999999999994</c:v>
                </c:pt>
                <c:pt idx="8">
                  <c:v>72.959999999999994</c:v>
                </c:pt>
                <c:pt idx="9">
                  <c:v>72.2</c:v>
                </c:pt>
                <c:pt idx="10">
                  <c:v>72.2</c:v>
                </c:pt>
                <c:pt idx="11">
                  <c:v>71.44</c:v>
                </c:pt>
                <c:pt idx="12">
                  <c:v>71.44</c:v>
                </c:pt>
                <c:pt idx="13">
                  <c:v>70.680000000000007</c:v>
                </c:pt>
                <c:pt idx="14">
                  <c:v>70.680000000000007</c:v>
                </c:pt>
                <c:pt idx="15">
                  <c:v>69.92</c:v>
                </c:pt>
                <c:pt idx="16">
                  <c:v>69.92</c:v>
                </c:pt>
                <c:pt idx="17">
                  <c:v>69.16</c:v>
                </c:pt>
                <c:pt idx="18">
                  <c:v>69.16</c:v>
                </c:pt>
                <c:pt idx="19">
                  <c:v>68.400000000000006</c:v>
                </c:pt>
                <c:pt idx="20">
                  <c:v>68.400000000000006</c:v>
                </c:pt>
                <c:pt idx="21">
                  <c:v>67.64</c:v>
                </c:pt>
                <c:pt idx="22">
                  <c:v>67.64</c:v>
                </c:pt>
                <c:pt idx="23">
                  <c:v>66.88</c:v>
                </c:pt>
                <c:pt idx="24">
                  <c:v>66.88</c:v>
                </c:pt>
                <c:pt idx="25">
                  <c:v>66.12</c:v>
                </c:pt>
                <c:pt idx="26">
                  <c:v>66.12</c:v>
                </c:pt>
                <c:pt idx="27">
                  <c:v>65.36</c:v>
                </c:pt>
                <c:pt idx="28">
                  <c:v>65.36</c:v>
                </c:pt>
                <c:pt idx="29">
                  <c:v>689.52</c:v>
                </c:pt>
                <c:pt idx="30">
                  <c:v>77.52</c:v>
                </c:pt>
                <c:pt idx="31">
                  <c:v>76.760000000000005</c:v>
                </c:pt>
                <c:pt idx="32">
                  <c:v>76.760000000000005</c:v>
                </c:pt>
                <c:pt idx="33">
                  <c:v>76</c:v>
                </c:pt>
                <c:pt idx="34">
                  <c:v>76</c:v>
                </c:pt>
                <c:pt idx="35">
                  <c:v>75.239999999999995</c:v>
                </c:pt>
                <c:pt idx="36">
                  <c:v>75.239999999999995</c:v>
                </c:pt>
                <c:pt idx="37">
                  <c:v>74.48</c:v>
                </c:pt>
                <c:pt idx="38">
                  <c:v>74.48</c:v>
                </c:pt>
                <c:pt idx="39">
                  <c:v>73.72</c:v>
                </c:pt>
                <c:pt idx="40">
                  <c:v>73.72</c:v>
                </c:pt>
                <c:pt idx="41">
                  <c:v>72.959999999999994</c:v>
                </c:pt>
                <c:pt idx="42">
                  <c:v>72.959999999999994</c:v>
                </c:pt>
                <c:pt idx="43">
                  <c:v>72.2</c:v>
                </c:pt>
                <c:pt idx="44">
                  <c:v>72.2</c:v>
                </c:pt>
                <c:pt idx="45">
                  <c:v>71.44</c:v>
                </c:pt>
                <c:pt idx="46">
                  <c:v>71.44</c:v>
                </c:pt>
                <c:pt idx="47">
                  <c:v>70.680000000000007</c:v>
                </c:pt>
                <c:pt idx="48">
                  <c:v>70.680000000000007</c:v>
                </c:pt>
                <c:pt idx="49">
                  <c:v>69.92</c:v>
                </c:pt>
                <c:pt idx="50">
                  <c:v>69.92</c:v>
                </c:pt>
                <c:pt idx="51">
                  <c:v>69.16</c:v>
                </c:pt>
                <c:pt idx="52">
                  <c:v>69.16</c:v>
                </c:pt>
                <c:pt idx="53">
                  <c:v>68.400000000000006</c:v>
                </c:pt>
                <c:pt idx="54">
                  <c:v>68.400000000000006</c:v>
                </c:pt>
                <c:pt idx="55">
                  <c:v>67.64</c:v>
                </c:pt>
                <c:pt idx="56">
                  <c:v>67.64</c:v>
                </c:pt>
                <c:pt idx="57">
                  <c:v>66.88</c:v>
                </c:pt>
                <c:pt idx="58">
                  <c:v>66.88</c:v>
                </c:pt>
                <c:pt idx="59">
                  <c:v>691.04</c:v>
                </c:pt>
                <c:pt idx="60">
                  <c:v>79.040000000000006</c:v>
                </c:pt>
                <c:pt idx="61">
                  <c:v>78.28</c:v>
                </c:pt>
                <c:pt idx="62">
                  <c:v>78.28</c:v>
                </c:pt>
                <c:pt idx="63">
                  <c:v>77.52</c:v>
                </c:pt>
                <c:pt idx="64">
                  <c:v>77.52</c:v>
                </c:pt>
                <c:pt idx="65">
                  <c:v>76.760000000000005</c:v>
                </c:pt>
                <c:pt idx="66">
                  <c:v>76.760000000000005</c:v>
                </c:pt>
                <c:pt idx="67">
                  <c:v>76</c:v>
                </c:pt>
                <c:pt idx="68">
                  <c:v>76</c:v>
                </c:pt>
                <c:pt idx="69">
                  <c:v>75.239999999999995</c:v>
                </c:pt>
                <c:pt idx="70">
                  <c:v>75.239999999999995</c:v>
                </c:pt>
                <c:pt idx="71">
                  <c:v>74.48</c:v>
                </c:pt>
                <c:pt idx="72">
                  <c:v>74.48</c:v>
                </c:pt>
                <c:pt idx="73">
                  <c:v>73.72</c:v>
                </c:pt>
                <c:pt idx="74">
                  <c:v>73.72</c:v>
                </c:pt>
                <c:pt idx="75">
                  <c:v>72.959999999999994</c:v>
                </c:pt>
                <c:pt idx="76">
                  <c:v>72.959999999999994</c:v>
                </c:pt>
                <c:pt idx="77">
                  <c:v>72.2</c:v>
                </c:pt>
                <c:pt idx="78">
                  <c:v>72.2</c:v>
                </c:pt>
                <c:pt idx="79">
                  <c:v>71.44</c:v>
                </c:pt>
                <c:pt idx="80">
                  <c:v>71.44</c:v>
                </c:pt>
                <c:pt idx="81">
                  <c:v>70.680000000000007</c:v>
                </c:pt>
                <c:pt idx="82">
                  <c:v>70.680000000000007</c:v>
                </c:pt>
                <c:pt idx="83">
                  <c:v>69.92</c:v>
                </c:pt>
                <c:pt idx="84">
                  <c:v>69.92</c:v>
                </c:pt>
                <c:pt idx="85">
                  <c:v>69.16</c:v>
                </c:pt>
                <c:pt idx="86">
                  <c:v>69.16</c:v>
                </c:pt>
                <c:pt idx="87">
                  <c:v>68.400000000000006</c:v>
                </c:pt>
                <c:pt idx="88">
                  <c:v>68.400000000000006</c:v>
                </c:pt>
                <c:pt idx="89">
                  <c:v>710.94</c:v>
                </c:pt>
                <c:pt idx="90">
                  <c:v>80.94</c:v>
                </c:pt>
                <c:pt idx="91">
                  <c:v>80.180000000000007</c:v>
                </c:pt>
                <c:pt idx="92">
                  <c:v>80.180000000000007</c:v>
                </c:pt>
                <c:pt idx="93">
                  <c:v>79.42</c:v>
                </c:pt>
                <c:pt idx="94">
                  <c:v>79.42</c:v>
                </c:pt>
                <c:pt idx="95">
                  <c:v>78.66</c:v>
                </c:pt>
                <c:pt idx="96">
                  <c:v>78.66</c:v>
                </c:pt>
                <c:pt idx="97">
                  <c:v>77.900000000000006</c:v>
                </c:pt>
                <c:pt idx="98">
                  <c:v>77.900000000000006</c:v>
                </c:pt>
                <c:pt idx="99">
                  <c:v>77.14</c:v>
                </c:pt>
                <c:pt idx="100">
                  <c:v>77.14</c:v>
                </c:pt>
                <c:pt idx="101">
                  <c:v>76.38</c:v>
                </c:pt>
                <c:pt idx="102">
                  <c:v>76.38</c:v>
                </c:pt>
                <c:pt idx="103">
                  <c:v>75.62</c:v>
                </c:pt>
                <c:pt idx="104">
                  <c:v>75.62</c:v>
                </c:pt>
                <c:pt idx="105">
                  <c:v>74.86</c:v>
                </c:pt>
                <c:pt idx="106">
                  <c:v>74.86</c:v>
                </c:pt>
                <c:pt idx="107">
                  <c:v>74.099999999999994</c:v>
                </c:pt>
                <c:pt idx="108">
                  <c:v>74.099999999999994</c:v>
                </c:pt>
                <c:pt idx="109">
                  <c:v>73.34</c:v>
                </c:pt>
                <c:pt idx="110">
                  <c:v>73.34</c:v>
                </c:pt>
                <c:pt idx="111">
                  <c:v>72.58</c:v>
                </c:pt>
                <c:pt idx="112">
                  <c:v>72.58</c:v>
                </c:pt>
                <c:pt idx="113">
                  <c:v>71.820000000000007</c:v>
                </c:pt>
                <c:pt idx="114">
                  <c:v>71.820000000000007</c:v>
                </c:pt>
                <c:pt idx="115">
                  <c:v>71.06</c:v>
                </c:pt>
                <c:pt idx="116">
                  <c:v>71.06</c:v>
                </c:pt>
                <c:pt idx="117">
                  <c:v>70.3</c:v>
                </c:pt>
                <c:pt idx="118">
                  <c:v>70.3</c:v>
                </c:pt>
                <c:pt idx="119">
                  <c:v>731.22</c:v>
                </c:pt>
                <c:pt idx="120">
                  <c:v>83.22</c:v>
                </c:pt>
                <c:pt idx="121">
                  <c:v>82.46</c:v>
                </c:pt>
                <c:pt idx="122">
                  <c:v>82.46</c:v>
                </c:pt>
                <c:pt idx="123">
                  <c:v>81.7</c:v>
                </c:pt>
                <c:pt idx="124">
                  <c:v>81.7</c:v>
                </c:pt>
                <c:pt idx="125">
                  <c:v>80.94</c:v>
                </c:pt>
                <c:pt idx="126">
                  <c:v>80.94</c:v>
                </c:pt>
                <c:pt idx="127">
                  <c:v>80.180000000000007</c:v>
                </c:pt>
                <c:pt idx="128">
                  <c:v>80.180000000000007</c:v>
                </c:pt>
                <c:pt idx="129">
                  <c:v>79.42</c:v>
                </c:pt>
                <c:pt idx="130">
                  <c:v>79.42</c:v>
                </c:pt>
                <c:pt idx="131">
                  <c:v>78.66</c:v>
                </c:pt>
                <c:pt idx="132">
                  <c:v>78.66</c:v>
                </c:pt>
                <c:pt idx="133">
                  <c:v>77.900000000000006</c:v>
                </c:pt>
                <c:pt idx="134">
                  <c:v>77.900000000000006</c:v>
                </c:pt>
                <c:pt idx="135">
                  <c:v>77.14</c:v>
                </c:pt>
                <c:pt idx="136">
                  <c:v>77.14</c:v>
                </c:pt>
                <c:pt idx="137">
                  <c:v>76.38</c:v>
                </c:pt>
                <c:pt idx="138">
                  <c:v>76.38</c:v>
                </c:pt>
                <c:pt idx="139">
                  <c:v>75.62</c:v>
                </c:pt>
                <c:pt idx="140">
                  <c:v>75.62</c:v>
                </c:pt>
                <c:pt idx="141">
                  <c:v>74.86</c:v>
                </c:pt>
                <c:pt idx="142">
                  <c:v>74.86</c:v>
                </c:pt>
                <c:pt idx="143">
                  <c:v>74.099999999999994</c:v>
                </c:pt>
                <c:pt idx="144">
                  <c:v>74.099999999999994</c:v>
                </c:pt>
                <c:pt idx="145">
                  <c:v>73.34</c:v>
                </c:pt>
                <c:pt idx="146">
                  <c:v>73.34</c:v>
                </c:pt>
                <c:pt idx="147">
                  <c:v>72.58</c:v>
                </c:pt>
                <c:pt idx="148">
                  <c:v>72.58</c:v>
                </c:pt>
                <c:pt idx="149">
                  <c:v>751.88</c:v>
                </c:pt>
                <c:pt idx="150">
                  <c:v>85.88</c:v>
                </c:pt>
                <c:pt idx="151">
                  <c:v>85.12</c:v>
                </c:pt>
                <c:pt idx="152">
                  <c:v>85.12</c:v>
                </c:pt>
                <c:pt idx="153">
                  <c:v>84.36</c:v>
                </c:pt>
                <c:pt idx="154">
                  <c:v>84.36</c:v>
                </c:pt>
                <c:pt idx="155">
                  <c:v>83.6</c:v>
                </c:pt>
                <c:pt idx="156">
                  <c:v>83.6</c:v>
                </c:pt>
                <c:pt idx="157">
                  <c:v>82.84</c:v>
                </c:pt>
                <c:pt idx="158">
                  <c:v>82.84</c:v>
                </c:pt>
                <c:pt idx="159">
                  <c:v>82.08</c:v>
                </c:pt>
                <c:pt idx="160">
                  <c:v>82.08</c:v>
                </c:pt>
                <c:pt idx="161">
                  <c:v>81.320000000000007</c:v>
                </c:pt>
                <c:pt idx="162">
                  <c:v>81.320000000000007</c:v>
                </c:pt>
                <c:pt idx="163">
                  <c:v>80.56</c:v>
                </c:pt>
                <c:pt idx="164">
                  <c:v>80.56</c:v>
                </c:pt>
                <c:pt idx="165">
                  <c:v>79.8</c:v>
                </c:pt>
                <c:pt idx="166">
                  <c:v>79.8</c:v>
                </c:pt>
                <c:pt idx="167">
                  <c:v>79.040000000000006</c:v>
                </c:pt>
                <c:pt idx="168">
                  <c:v>79.040000000000006</c:v>
                </c:pt>
                <c:pt idx="169">
                  <c:v>78.28</c:v>
                </c:pt>
                <c:pt idx="170">
                  <c:v>78.28</c:v>
                </c:pt>
                <c:pt idx="171">
                  <c:v>77.52</c:v>
                </c:pt>
                <c:pt idx="172">
                  <c:v>77.52</c:v>
                </c:pt>
                <c:pt idx="173">
                  <c:v>76.760000000000005</c:v>
                </c:pt>
                <c:pt idx="174">
                  <c:v>76.760000000000005</c:v>
                </c:pt>
                <c:pt idx="175">
                  <c:v>76</c:v>
                </c:pt>
                <c:pt idx="176">
                  <c:v>76</c:v>
                </c:pt>
                <c:pt idx="177">
                  <c:v>75.239999999999995</c:v>
                </c:pt>
                <c:pt idx="178">
                  <c:v>75.239999999999995</c:v>
                </c:pt>
                <c:pt idx="179">
                  <c:v>791.3</c:v>
                </c:pt>
              </c:numCache>
            </c:numRef>
          </c:val>
        </c:ser>
        <c:ser>
          <c:idx val="0"/>
          <c:order val="0"/>
          <c:tx>
            <c:strRef>
              <c:f>Arkusz1!$D$1</c:f>
              <c:strCache>
                <c:ptCount val="1"/>
                <c:pt idx="0">
                  <c:v>zysk z jaj</c:v>
                </c:pt>
              </c:strCache>
            </c:strRef>
          </c:tx>
          <c:marker>
            <c:symbol val="none"/>
          </c:marker>
          <c:val>
            <c:numRef>
              <c:f>Arkusz1!$D$2:$D$181</c:f>
              <c:numCache>
                <c:formatCode>General</c:formatCode>
                <c:ptCount val="180"/>
                <c:pt idx="0">
                  <c:v>180</c:v>
                </c:pt>
                <c:pt idx="1">
                  <c:v>178.20000000000002</c:v>
                </c:pt>
                <c:pt idx="2">
                  <c:v>178.20000000000002</c:v>
                </c:pt>
                <c:pt idx="3">
                  <c:v>176.4</c:v>
                </c:pt>
                <c:pt idx="4">
                  <c:v>176.4</c:v>
                </c:pt>
                <c:pt idx="5">
                  <c:v>174.6</c:v>
                </c:pt>
                <c:pt idx="6">
                  <c:v>0</c:v>
                </c:pt>
                <c:pt idx="7">
                  <c:v>172.8</c:v>
                </c:pt>
                <c:pt idx="8">
                  <c:v>172.8</c:v>
                </c:pt>
                <c:pt idx="9">
                  <c:v>171</c:v>
                </c:pt>
                <c:pt idx="10">
                  <c:v>171</c:v>
                </c:pt>
                <c:pt idx="11">
                  <c:v>169.20000000000002</c:v>
                </c:pt>
                <c:pt idx="12">
                  <c:v>169.20000000000002</c:v>
                </c:pt>
                <c:pt idx="13">
                  <c:v>0</c:v>
                </c:pt>
                <c:pt idx="14">
                  <c:v>167.4</c:v>
                </c:pt>
                <c:pt idx="15">
                  <c:v>165.6</c:v>
                </c:pt>
                <c:pt idx="16">
                  <c:v>165.6</c:v>
                </c:pt>
                <c:pt idx="17">
                  <c:v>163.80000000000001</c:v>
                </c:pt>
                <c:pt idx="18">
                  <c:v>163.80000000000001</c:v>
                </c:pt>
                <c:pt idx="19">
                  <c:v>162</c:v>
                </c:pt>
                <c:pt idx="20">
                  <c:v>0</c:v>
                </c:pt>
                <c:pt idx="21">
                  <c:v>160.20000000000002</c:v>
                </c:pt>
                <c:pt idx="22">
                  <c:v>160.20000000000002</c:v>
                </c:pt>
                <c:pt idx="23">
                  <c:v>158.4</c:v>
                </c:pt>
                <c:pt idx="24">
                  <c:v>158.4</c:v>
                </c:pt>
                <c:pt idx="25">
                  <c:v>156.6</c:v>
                </c:pt>
                <c:pt idx="26">
                  <c:v>156.6</c:v>
                </c:pt>
                <c:pt idx="27">
                  <c:v>0</c:v>
                </c:pt>
                <c:pt idx="28">
                  <c:v>154.80000000000001</c:v>
                </c:pt>
                <c:pt idx="29">
                  <c:v>183.6</c:v>
                </c:pt>
                <c:pt idx="30">
                  <c:v>183.6</c:v>
                </c:pt>
                <c:pt idx="31">
                  <c:v>181.8</c:v>
                </c:pt>
                <c:pt idx="32">
                  <c:v>181.8</c:v>
                </c:pt>
                <c:pt idx="33">
                  <c:v>180</c:v>
                </c:pt>
                <c:pt idx="34">
                  <c:v>0</c:v>
                </c:pt>
                <c:pt idx="35">
                  <c:v>178.20000000000002</c:v>
                </c:pt>
                <c:pt idx="36">
                  <c:v>178.20000000000002</c:v>
                </c:pt>
                <c:pt idx="37">
                  <c:v>176.4</c:v>
                </c:pt>
                <c:pt idx="38">
                  <c:v>176.4</c:v>
                </c:pt>
                <c:pt idx="39">
                  <c:v>174.6</c:v>
                </c:pt>
                <c:pt idx="40">
                  <c:v>174.6</c:v>
                </c:pt>
                <c:pt idx="41">
                  <c:v>0</c:v>
                </c:pt>
                <c:pt idx="42">
                  <c:v>172.8</c:v>
                </c:pt>
                <c:pt idx="43">
                  <c:v>171</c:v>
                </c:pt>
                <c:pt idx="44">
                  <c:v>171</c:v>
                </c:pt>
                <c:pt idx="45">
                  <c:v>169.20000000000002</c:v>
                </c:pt>
                <c:pt idx="46">
                  <c:v>169.20000000000002</c:v>
                </c:pt>
                <c:pt idx="47">
                  <c:v>167.4</c:v>
                </c:pt>
                <c:pt idx="48">
                  <c:v>0</c:v>
                </c:pt>
                <c:pt idx="49">
                  <c:v>165.6</c:v>
                </c:pt>
                <c:pt idx="50">
                  <c:v>165.6</c:v>
                </c:pt>
                <c:pt idx="51">
                  <c:v>163.80000000000001</c:v>
                </c:pt>
                <c:pt idx="52">
                  <c:v>163.80000000000001</c:v>
                </c:pt>
                <c:pt idx="53">
                  <c:v>162</c:v>
                </c:pt>
                <c:pt idx="54">
                  <c:v>162</c:v>
                </c:pt>
                <c:pt idx="55">
                  <c:v>0</c:v>
                </c:pt>
                <c:pt idx="56">
                  <c:v>160.20000000000002</c:v>
                </c:pt>
                <c:pt idx="57">
                  <c:v>158.4</c:v>
                </c:pt>
                <c:pt idx="58">
                  <c:v>158.4</c:v>
                </c:pt>
                <c:pt idx="59">
                  <c:v>187.20000000000002</c:v>
                </c:pt>
                <c:pt idx="60">
                  <c:v>187.20000000000002</c:v>
                </c:pt>
                <c:pt idx="61">
                  <c:v>185.4</c:v>
                </c:pt>
                <c:pt idx="62">
                  <c:v>0</c:v>
                </c:pt>
                <c:pt idx="63">
                  <c:v>183.6</c:v>
                </c:pt>
                <c:pt idx="64">
                  <c:v>183.6</c:v>
                </c:pt>
                <c:pt idx="65">
                  <c:v>181.8</c:v>
                </c:pt>
                <c:pt idx="66">
                  <c:v>181.8</c:v>
                </c:pt>
                <c:pt idx="67">
                  <c:v>180</c:v>
                </c:pt>
                <c:pt idx="68">
                  <c:v>180</c:v>
                </c:pt>
                <c:pt idx="69">
                  <c:v>0</c:v>
                </c:pt>
                <c:pt idx="70">
                  <c:v>178.20000000000002</c:v>
                </c:pt>
                <c:pt idx="71">
                  <c:v>176.4</c:v>
                </c:pt>
                <c:pt idx="72">
                  <c:v>176.4</c:v>
                </c:pt>
                <c:pt idx="73">
                  <c:v>174.6</c:v>
                </c:pt>
                <c:pt idx="74">
                  <c:v>174.6</c:v>
                </c:pt>
                <c:pt idx="75">
                  <c:v>172.8</c:v>
                </c:pt>
                <c:pt idx="76">
                  <c:v>0</c:v>
                </c:pt>
                <c:pt idx="77">
                  <c:v>171</c:v>
                </c:pt>
                <c:pt idx="78">
                  <c:v>171</c:v>
                </c:pt>
                <c:pt idx="79">
                  <c:v>169.20000000000002</c:v>
                </c:pt>
                <c:pt idx="80">
                  <c:v>169.20000000000002</c:v>
                </c:pt>
                <c:pt idx="81">
                  <c:v>167.4</c:v>
                </c:pt>
                <c:pt idx="82">
                  <c:v>167.4</c:v>
                </c:pt>
                <c:pt idx="83">
                  <c:v>0</c:v>
                </c:pt>
                <c:pt idx="84">
                  <c:v>165.6</c:v>
                </c:pt>
                <c:pt idx="85">
                  <c:v>163.80000000000001</c:v>
                </c:pt>
                <c:pt idx="86">
                  <c:v>163.80000000000001</c:v>
                </c:pt>
                <c:pt idx="87">
                  <c:v>162</c:v>
                </c:pt>
                <c:pt idx="88">
                  <c:v>162</c:v>
                </c:pt>
                <c:pt idx="89">
                  <c:v>191.70000000000002</c:v>
                </c:pt>
                <c:pt idx="90">
                  <c:v>0</c:v>
                </c:pt>
                <c:pt idx="91">
                  <c:v>189.9</c:v>
                </c:pt>
                <c:pt idx="92">
                  <c:v>189.9</c:v>
                </c:pt>
                <c:pt idx="93">
                  <c:v>188.1</c:v>
                </c:pt>
                <c:pt idx="94">
                  <c:v>188.1</c:v>
                </c:pt>
                <c:pt idx="95">
                  <c:v>186.3</c:v>
                </c:pt>
                <c:pt idx="96">
                  <c:v>186.3</c:v>
                </c:pt>
                <c:pt idx="97">
                  <c:v>0</c:v>
                </c:pt>
                <c:pt idx="98">
                  <c:v>184.5</c:v>
                </c:pt>
                <c:pt idx="99">
                  <c:v>182.70000000000002</c:v>
                </c:pt>
                <c:pt idx="100">
                  <c:v>182.70000000000002</c:v>
                </c:pt>
                <c:pt idx="101">
                  <c:v>180.9</c:v>
                </c:pt>
                <c:pt idx="102">
                  <c:v>180.9</c:v>
                </c:pt>
                <c:pt idx="103">
                  <c:v>179.1</c:v>
                </c:pt>
                <c:pt idx="104">
                  <c:v>0</c:v>
                </c:pt>
                <c:pt idx="105">
                  <c:v>177.3</c:v>
                </c:pt>
                <c:pt idx="106">
                  <c:v>177.3</c:v>
                </c:pt>
                <c:pt idx="107">
                  <c:v>175.5</c:v>
                </c:pt>
                <c:pt idx="108">
                  <c:v>175.5</c:v>
                </c:pt>
                <c:pt idx="109">
                  <c:v>173.70000000000002</c:v>
                </c:pt>
                <c:pt idx="110">
                  <c:v>173.70000000000002</c:v>
                </c:pt>
                <c:pt idx="111">
                  <c:v>0</c:v>
                </c:pt>
                <c:pt idx="112">
                  <c:v>171.9</c:v>
                </c:pt>
                <c:pt idx="113">
                  <c:v>170.1</c:v>
                </c:pt>
                <c:pt idx="114">
                  <c:v>170.1</c:v>
                </c:pt>
                <c:pt idx="115">
                  <c:v>168.3</c:v>
                </c:pt>
                <c:pt idx="116">
                  <c:v>168.3</c:v>
                </c:pt>
                <c:pt idx="117">
                  <c:v>166.5</c:v>
                </c:pt>
                <c:pt idx="118">
                  <c:v>0</c:v>
                </c:pt>
                <c:pt idx="119">
                  <c:v>197.1</c:v>
                </c:pt>
                <c:pt idx="120">
                  <c:v>197.1</c:v>
                </c:pt>
                <c:pt idx="121">
                  <c:v>195.3</c:v>
                </c:pt>
                <c:pt idx="122">
                  <c:v>195.3</c:v>
                </c:pt>
                <c:pt idx="123">
                  <c:v>193.5</c:v>
                </c:pt>
                <c:pt idx="124">
                  <c:v>193.5</c:v>
                </c:pt>
                <c:pt idx="125">
                  <c:v>0</c:v>
                </c:pt>
                <c:pt idx="126">
                  <c:v>191.70000000000002</c:v>
                </c:pt>
                <c:pt idx="127">
                  <c:v>189.9</c:v>
                </c:pt>
                <c:pt idx="128">
                  <c:v>189.9</c:v>
                </c:pt>
                <c:pt idx="129">
                  <c:v>188.1</c:v>
                </c:pt>
                <c:pt idx="130">
                  <c:v>188.1</c:v>
                </c:pt>
                <c:pt idx="131">
                  <c:v>186.3</c:v>
                </c:pt>
                <c:pt idx="132">
                  <c:v>0</c:v>
                </c:pt>
                <c:pt idx="133">
                  <c:v>184.5</c:v>
                </c:pt>
                <c:pt idx="134">
                  <c:v>184.5</c:v>
                </c:pt>
                <c:pt idx="135">
                  <c:v>182.70000000000002</c:v>
                </c:pt>
                <c:pt idx="136">
                  <c:v>182.70000000000002</c:v>
                </c:pt>
                <c:pt idx="137">
                  <c:v>180.9</c:v>
                </c:pt>
                <c:pt idx="138">
                  <c:v>180.9</c:v>
                </c:pt>
                <c:pt idx="139">
                  <c:v>0</c:v>
                </c:pt>
                <c:pt idx="140">
                  <c:v>179.1</c:v>
                </c:pt>
                <c:pt idx="141">
                  <c:v>177.3</c:v>
                </c:pt>
                <c:pt idx="142">
                  <c:v>177.3</c:v>
                </c:pt>
                <c:pt idx="143">
                  <c:v>175.5</c:v>
                </c:pt>
                <c:pt idx="144">
                  <c:v>175.5</c:v>
                </c:pt>
                <c:pt idx="145">
                  <c:v>173.70000000000002</c:v>
                </c:pt>
                <c:pt idx="146">
                  <c:v>0</c:v>
                </c:pt>
                <c:pt idx="147">
                  <c:v>171.9</c:v>
                </c:pt>
                <c:pt idx="148">
                  <c:v>171.9</c:v>
                </c:pt>
                <c:pt idx="149">
                  <c:v>203.4</c:v>
                </c:pt>
                <c:pt idx="150">
                  <c:v>203.4</c:v>
                </c:pt>
                <c:pt idx="151">
                  <c:v>201.6</c:v>
                </c:pt>
                <c:pt idx="152">
                  <c:v>201.6</c:v>
                </c:pt>
                <c:pt idx="153">
                  <c:v>0</c:v>
                </c:pt>
                <c:pt idx="154">
                  <c:v>199.8</c:v>
                </c:pt>
                <c:pt idx="155">
                  <c:v>198</c:v>
                </c:pt>
                <c:pt idx="156">
                  <c:v>198</c:v>
                </c:pt>
                <c:pt idx="157">
                  <c:v>196.20000000000002</c:v>
                </c:pt>
                <c:pt idx="158">
                  <c:v>196.20000000000002</c:v>
                </c:pt>
                <c:pt idx="159">
                  <c:v>194.4</c:v>
                </c:pt>
                <c:pt idx="160">
                  <c:v>0</c:v>
                </c:pt>
                <c:pt idx="161">
                  <c:v>192.6</c:v>
                </c:pt>
                <c:pt idx="162">
                  <c:v>192.6</c:v>
                </c:pt>
                <c:pt idx="163">
                  <c:v>190.8</c:v>
                </c:pt>
                <c:pt idx="164">
                  <c:v>190.8</c:v>
                </c:pt>
                <c:pt idx="165">
                  <c:v>189</c:v>
                </c:pt>
                <c:pt idx="166">
                  <c:v>189</c:v>
                </c:pt>
                <c:pt idx="167">
                  <c:v>0</c:v>
                </c:pt>
                <c:pt idx="168">
                  <c:v>187.20000000000002</c:v>
                </c:pt>
                <c:pt idx="169">
                  <c:v>185.4</c:v>
                </c:pt>
                <c:pt idx="170">
                  <c:v>185.4</c:v>
                </c:pt>
                <c:pt idx="171">
                  <c:v>183.6</c:v>
                </c:pt>
                <c:pt idx="172">
                  <c:v>183.6</c:v>
                </c:pt>
                <c:pt idx="173">
                  <c:v>181.8</c:v>
                </c:pt>
                <c:pt idx="174">
                  <c:v>0</c:v>
                </c:pt>
                <c:pt idx="175">
                  <c:v>180</c:v>
                </c:pt>
                <c:pt idx="176">
                  <c:v>180</c:v>
                </c:pt>
                <c:pt idx="177">
                  <c:v>178.20000000000002</c:v>
                </c:pt>
                <c:pt idx="178">
                  <c:v>178.20000000000002</c:v>
                </c:pt>
                <c:pt idx="179">
                  <c:v>211.5</c:v>
                </c:pt>
              </c:numCache>
            </c:numRef>
          </c:val>
        </c:ser>
        <c:ser>
          <c:idx val="1"/>
          <c:order val="1"/>
          <c:tx>
            <c:strRef>
              <c:f>Arkusz1!$H$1</c:f>
              <c:strCache>
                <c:ptCount val="1"/>
                <c:pt idx="0">
                  <c:v>suma koztów</c:v>
                </c:pt>
              </c:strCache>
            </c:strRef>
          </c:tx>
          <c:marker>
            <c:symbol val="none"/>
          </c:marker>
          <c:val>
            <c:numRef>
              <c:f>Arkusz1!$H$2:$H$181</c:f>
              <c:numCache>
                <c:formatCode>General</c:formatCode>
                <c:ptCount val="180"/>
                <c:pt idx="0">
                  <c:v>76</c:v>
                </c:pt>
                <c:pt idx="1">
                  <c:v>75.239999999999995</c:v>
                </c:pt>
                <c:pt idx="2">
                  <c:v>75.239999999999995</c:v>
                </c:pt>
                <c:pt idx="3">
                  <c:v>74.48</c:v>
                </c:pt>
                <c:pt idx="4">
                  <c:v>74.48</c:v>
                </c:pt>
                <c:pt idx="5">
                  <c:v>73.72</c:v>
                </c:pt>
                <c:pt idx="6">
                  <c:v>73.72</c:v>
                </c:pt>
                <c:pt idx="7">
                  <c:v>72.959999999999994</c:v>
                </c:pt>
                <c:pt idx="8">
                  <c:v>72.959999999999994</c:v>
                </c:pt>
                <c:pt idx="9">
                  <c:v>72.2</c:v>
                </c:pt>
                <c:pt idx="10">
                  <c:v>72.2</c:v>
                </c:pt>
                <c:pt idx="11">
                  <c:v>71.44</c:v>
                </c:pt>
                <c:pt idx="12">
                  <c:v>71.44</c:v>
                </c:pt>
                <c:pt idx="13">
                  <c:v>70.680000000000007</c:v>
                </c:pt>
                <c:pt idx="14">
                  <c:v>70.680000000000007</c:v>
                </c:pt>
                <c:pt idx="15">
                  <c:v>69.92</c:v>
                </c:pt>
                <c:pt idx="16">
                  <c:v>69.92</c:v>
                </c:pt>
                <c:pt idx="17">
                  <c:v>69.16</c:v>
                </c:pt>
                <c:pt idx="18">
                  <c:v>69.16</c:v>
                </c:pt>
                <c:pt idx="19">
                  <c:v>68.400000000000006</c:v>
                </c:pt>
                <c:pt idx="20">
                  <c:v>68.400000000000006</c:v>
                </c:pt>
                <c:pt idx="21">
                  <c:v>67.64</c:v>
                </c:pt>
                <c:pt idx="22">
                  <c:v>67.64</c:v>
                </c:pt>
                <c:pt idx="23">
                  <c:v>66.88</c:v>
                </c:pt>
                <c:pt idx="24">
                  <c:v>66.88</c:v>
                </c:pt>
                <c:pt idx="25">
                  <c:v>66.12</c:v>
                </c:pt>
                <c:pt idx="26">
                  <c:v>66.12</c:v>
                </c:pt>
                <c:pt idx="27">
                  <c:v>65.36</c:v>
                </c:pt>
                <c:pt idx="28">
                  <c:v>65.36</c:v>
                </c:pt>
                <c:pt idx="29">
                  <c:v>689.52</c:v>
                </c:pt>
                <c:pt idx="30">
                  <c:v>77.52</c:v>
                </c:pt>
                <c:pt idx="31">
                  <c:v>76.760000000000005</c:v>
                </c:pt>
                <c:pt idx="32">
                  <c:v>76.760000000000005</c:v>
                </c:pt>
                <c:pt idx="33">
                  <c:v>76</c:v>
                </c:pt>
                <c:pt idx="34">
                  <c:v>76</c:v>
                </c:pt>
                <c:pt idx="35">
                  <c:v>75.239999999999995</c:v>
                </c:pt>
                <c:pt idx="36">
                  <c:v>75.239999999999995</c:v>
                </c:pt>
                <c:pt idx="37">
                  <c:v>74.48</c:v>
                </c:pt>
                <c:pt idx="38">
                  <c:v>74.48</c:v>
                </c:pt>
                <c:pt idx="39">
                  <c:v>73.72</c:v>
                </c:pt>
                <c:pt idx="40">
                  <c:v>73.72</c:v>
                </c:pt>
                <c:pt idx="41">
                  <c:v>72.959999999999994</c:v>
                </c:pt>
                <c:pt idx="42">
                  <c:v>72.959999999999994</c:v>
                </c:pt>
                <c:pt idx="43">
                  <c:v>72.2</c:v>
                </c:pt>
                <c:pt idx="44">
                  <c:v>72.2</c:v>
                </c:pt>
                <c:pt idx="45">
                  <c:v>71.44</c:v>
                </c:pt>
                <c:pt idx="46">
                  <c:v>71.44</c:v>
                </c:pt>
                <c:pt idx="47">
                  <c:v>70.680000000000007</c:v>
                </c:pt>
                <c:pt idx="48">
                  <c:v>70.680000000000007</c:v>
                </c:pt>
                <c:pt idx="49">
                  <c:v>69.92</c:v>
                </c:pt>
                <c:pt idx="50">
                  <c:v>69.92</c:v>
                </c:pt>
                <c:pt idx="51">
                  <c:v>69.16</c:v>
                </c:pt>
                <c:pt idx="52">
                  <c:v>69.16</c:v>
                </c:pt>
                <c:pt idx="53">
                  <c:v>68.400000000000006</c:v>
                </c:pt>
                <c:pt idx="54">
                  <c:v>68.400000000000006</c:v>
                </c:pt>
                <c:pt idx="55">
                  <c:v>67.64</c:v>
                </c:pt>
                <c:pt idx="56">
                  <c:v>67.64</c:v>
                </c:pt>
                <c:pt idx="57">
                  <c:v>66.88</c:v>
                </c:pt>
                <c:pt idx="58">
                  <c:v>66.88</c:v>
                </c:pt>
                <c:pt idx="59">
                  <c:v>691.04</c:v>
                </c:pt>
                <c:pt idx="60">
                  <c:v>79.040000000000006</c:v>
                </c:pt>
                <c:pt idx="61">
                  <c:v>78.28</c:v>
                </c:pt>
                <c:pt idx="62">
                  <c:v>78.28</c:v>
                </c:pt>
                <c:pt idx="63">
                  <c:v>77.52</c:v>
                </c:pt>
                <c:pt idx="64">
                  <c:v>77.52</c:v>
                </c:pt>
                <c:pt idx="65">
                  <c:v>76.760000000000005</c:v>
                </c:pt>
                <c:pt idx="66">
                  <c:v>76.760000000000005</c:v>
                </c:pt>
                <c:pt idx="67">
                  <c:v>76</c:v>
                </c:pt>
                <c:pt idx="68">
                  <c:v>76</c:v>
                </c:pt>
                <c:pt idx="69">
                  <c:v>75.239999999999995</c:v>
                </c:pt>
                <c:pt idx="70">
                  <c:v>75.239999999999995</c:v>
                </c:pt>
                <c:pt idx="71">
                  <c:v>74.48</c:v>
                </c:pt>
                <c:pt idx="72">
                  <c:v>74.48</c:v>
                </c:pt>
                <c:pt idx="73">
                  <c:v>73.72</c:v>
                </c:pt>
                <c:pt idx="74">
                  <c:v>73.72</c:v>
                </c:pt>
                <c:pt idx="75">
                  <c:v>72.959999999999994</c:v>
                </c:pt>
                <c:pt idx="76">
                  <c:v>72.959999999999994</c:v>
                </c:pt>
                <c:pt idx="77">
                  <c:v>72.2</c:v>
                </c:pt>
                <c:pt idx="78">
                  <c:v>72.2</c:v>
                </c:pt>
                <c:pt idx="79">
                  <c:v>71.44</c:v>
                </c:pt>
                <c:pt idx="80">
                  <c:v>71.44</c:v>
                </c:pt>
                <c:pt idx="81">
                  <c:v>70.680000000000007</c:v>
                </c:pt>
                <c:pt idx="82">
                  <c:v>70.680000000000007</c:v>
                </c:pt>
                <c:pt idx="83">
                  <c:v>69.92</c:v>
                </c:pt>
                <c:pt idx="84">
                  <c:v>69.92</c:v>
                </c:pt>
                <c:pt idx="85">
                  <c:v>69.16</c:v>
                </c:pt>
                <c:pt idx="86">
                  <c:v>69.16</c:v>
                </c:pt>
                <c:pt idx="87">
                  <c:v>68.400000000000006</c:v>
                </c:pt>
                <c:pt idx="88">
                  <c:v>68.400000000000006</c:v>
                </c:pt>
                <c:pt idx="89">
                  <c:v>710.94</c:v>
                </c:pt>
                <c:pt idx="90">
                  <c:v>80.94</c:v>
                </c:pt>
                <c:pt idx="91">
                  <c:v>80.180000000000007</c:v>
                </c:pt>
                <c:pt idx="92">
                  <c:v>80.180000000000007</c:v>
                </c:pt>
                <c:pt idx="93">
                  <c:v>79.42</c:v>
                </c:pt>
                <c:pt idx="94">
                  <c:v>79.42</c:v>
                </c:pt>
                <c:pt idx="95">
                  <c:v>78.66</c:v>
                </c:pt>
                <c:pt idx="96">
                  <c:v>78.66</c:v>
                </c:pt>
                <c:pt idx="97">
                  <c:v>77.900000000000006</c:v>
                </c:pt>
                <c:pt idx="98">
                  <c:v>77.900000000000006</c:v>
                </c:pt>
                <c:pt idx="99">
                  <c:v>77.14</c:v>
                </c:pt>
                <c:pt idx="100">
                  <c:v>77.14</c:v>
                </c:pt>
                <c:pt idx="101">
                  <c:v>76.38</c:v>
                </c:pt>
                <c:pt idx="102">
                  <c:v>76.38</c:v>
                </c:pt>
                <c:pt idx="103">
                  <c:v>75.62</c:v>
                </c:pt>
                <c:pt idx="104">
                  <c:v>75.62</c:v>
                </c:pt>
                <c:pt idx="105">
                  <c:v>74.86</c:v>
                </c:pt>
                <c:pt idx="106">
                  <c:v>74.86</c:v>
                </c:pt>
                <c:pt idx="107">
                  <c:v>74.099999999999994</c:v>
                </c:pt>
                <c:pt idx="108">
                  <c:v>74.099999999999994</c:v>
                </c:pt>
                <c:pt idx="109">
                  <c:v>73.34</c:v>
                </c:pt>
                <c:pt idx="110">
                  <c:v>73.34</c:v>
                </c:pt>
                <c:pt idx="111">
                  <c:v>72.58</c:v>
                </c:pt>
                <c:pt idx="112">
                  <c:v>72.58</c:v>
                </c:pt>
                <c:pt idx="113">
                  <c:v>71.820000000000007</c:v>
                </c:pt>
                <c:pt idx="114">
                  <c:v>71.820000000000007</c:v>
                </c:pt>
                <c:pt idx="115">
                  <c:v>71.06</c:v>
                </c:pt>
                <c:pt idx="116">
                  <c:v>71.06</c:v>
                </c:pt>
                <c:pt idx="117">
                  <c:v>70.3</c:v>
                </c:pt>
                <c:pt idx="118">
                  <c:v>70.3</c:v>
                </c:pt>
                <c:pt idx="119">
                  <c:v>731.22</c:v>
                </c:pt>
                <c:pt idx="120">
                  <c:v>83.22</c:v>
                </c:pt>
                <c:pt idx="121">
                  <c:v>82.46</c:v>
                </c:pt>
                <c:pt idx="122">
                  <c:v>82.46</c:v>
                </c:pt>
                <c:pt idx="123">
                  <c:v>81.7</c:v>
                </c:pt>
                <c:pt idx="124">
                  <c:v>81.7</c:v>
                </c:pt>
                <c:pt idx="125">
                  <c:v>80.94</c:v>
                </c:pt>
                <c:pt idx="126">
                  <c:v>80.94</c:v>
                </c:pt>
                <c:pt idx="127">
                  <c:v>80.180000000000007</c:v>
                </c:pt>
                <c:pt idx="128">
                  <c:v>80.180000000000007</c:v>
                </c:pt>
                <c:pt idx="129">
                  <c:v>79.42</c:v>
                </c:pt>
                <c:pt idx="130">
                  <c:v>79.42</c:v>
                </c:pt>
                <c:pt idx="131">
                  <c:v>78.66</c:v>
                </c:pt>
                <c:pt idx="132">
                  <c:v>78.66</c:v>
                </c:pt>
                <c:pt idx="133">
                  <c:v>77.900000000000006</c:v>
                </c:pt>
                <c:pt idx="134">
                  <c:v>77.900000000000006</c:v>
                </c:pt>
                <c:pt idx="135">
                  <c:v>77.14</c:v>
                </c:pt>
                <c:pt idx="136">
                  <c:v>77.14</c:v>
                </c:pt>
                <c:pt idx="137">
                  <c:v>76.38</c:v>
                </c:pt>
                <c:pt idx="138">
                  <c:v>76.38</c:v>
                </c:pt>
                <c:pt idx="139">
                  <c:v>75.62</c:v>
                </c:pt>
                <c:pt idx="140">
                  <c:v>75.62</c:v>
                </c:pt>
                <c:pt idx="141">
                  <c:v>74.86</c:v>
                </c:pt>
                <c:pt idx="142">
                  <c:v>74.86</c:v>
                </c:pt>
                <c:pt idx="143">
                  <c:v>74.099999999999994</c:v>
                </c:pt>
                <c:pt idx="144">
                  <c:v>74.099999999999994</c:v>
                </c:pt>
                <c:pt idx="145">
                  <c:v>73.34</c:v>
                </c:pt>
                <c:pt idx="146">
                  <c:v>73.34</c:v>
                </c:pt>
                <c:pt idx="147">
                  <c:v>72.58</c:v>
                </c:pt>
                <c:pt idx="148">
                  <c:v>72.58</c:v>
                </c:pt>
                <c:pt idx="149">
                  <c:v>751.88</c:v>
                </c:pt>
                <c:pt idx="150">
                  <c:v>85.88</c:v>
                </c:pt>
                <c:pt idx="151">
                  <c:v>85.12</c:v>
                </c:pt>
                <c:pt idx="152">
                  <c:v>85.12</c:v>
                </c:pt>
                <c:pt idx="153">
                  <c:v>84.36</c:v>
                </c:pt>
                <c:pt idx="154">
                  <c:v>84.36</c:v>
                </c:pt>
                <c:pt idx="155">
                  <c:v>83.6</c:v>
                </c:pt>
                <c:pt idx="156">
                  <c:v>83.6</c:v>
                </c:pt>
                <c:pt idx="157">
                  <c:v>82.84</c:v>
                </c:pt>
                <c:pt idx="158">
                  <c:v>82.84</c:v>
                </c:pt>
                <c:pt idx="159">
                  <c:v>82.08</c:v>
                </c:pt>
                <c:pt idx="160">
                  <c:v>82.08</c:v>
                </c:pt>
                <c:pt idx="161">
                  <c:v>81.320000000000007</c:v>
                </c:pt>
                <c:pt idx="162">
                  <c:v>81.320000000000007</c:v>
                </c:pt>
                <c:pt idx="163">
                  <c:v>80.56</c:v>
                </c:pt>
                <c:pt idx="164">
                  <c:v>80.56</c:v>
                </c:pt>
                <c:pt idx="165">
                  <c:v>79.8</c:v>
                </c:pt>
                <c:pt idx="166">
                  <c:v>79.8</c:v>
                </c:pt>
                <c:pt idx="167">
                  <c:v>79.040000000000006</c:v>
                </c:pt>
                <c:pt idx="168">
                  <c:v>79.040000000000006</c:v>
                </c:pt>
                <c:pt idx="169">
                  <c:v>78.28</c:v>
                </c:pt>
                <c:pt idx="170">
                  <c:v>78.28</c:v>
                </c:pt>
                <c:pt idx="171">
                  <c:v>77.52</c:v>
                </c:pt>
                <c:pt idx="172">
                  <c:v>77.52</c:v>
                </c:pt>
                <c:pt idx="173">
                  <c:v>76.760000000000005</c:v>
                </c:pt>
                <c:pt idx="174">
                  <c:v>76.760000000000005</c:v>
                </c:pt>
                <c:pt idx="175">
                  <c:v>76</c:v>
                </c:pt>
                <c:pt idx="176">
                  <c:v>76</c:v>
                </c:pt>
                <c:pt idx="177">
                  <c:v>75.239999999999995</c:v>
                </c:pt>
                <c:pt idx="178">
                  <c:v>75.239999999999995</c:v>
                </c:pt>
                <c:pt idx="179">
                  <c:v>791.3</c:v>
                </c:pt>
              </c:numCache>
            </c:numRef>
          </c:val>
        </c:ser>
        <c:dLbls/>
        <c:hiLowLines/>
        <c:marker val="1"/>
        <c:axId val="221176960"/>
        <c:axId val="221178880"/>
      </c:lineChart>
      <c:dateAx>
        <c:axId val="221176960"/>
        <c:scaling>
          <c:orientation val="minMax"/>
        </c:scaling>
        <c:axPos val="b"/>
        <c:title>
          <c:layout/>
        </c:title>
        <c:majorTickMark val="none"/>
        <c:tickLblPos val="nextTo"/>
        <c:crossAx val="221178880"/>
        <c:crosses val="autoZero"/>
        <c:lblOffset val="100"/>
        <c:baseTimeUnit val="days"/>
        <c:majorUnit val="19"/>
      </c:dateAx>
      <c:valAx>
        <c:axId val="221178880"/>
        <c:scaling>
          <c:orientation val="minMax"/>
        </c:scaling>
        <c:axPos val="l"/>
        <c:majorGridlines/>
        <c:title>
          <c:layout/>
        </c:title>
        <c:numFmt formatCode="General" sourceLinked="1"/>
        <c:tickLblPos val="nextTo"/>
        <c:crossAx val="221176960"/>
        <c:crosses val="autoZero"/>
        <c:crossBetween val="between"/>
      </c:valAx>
    </c:plotArea>
    <c:legend>
      <c:legendPos val="r"/>
      <c:legendEntry>
        <c:idx val="0"/>
        <c:delete val="1"/>
      </c:legendEntry>
      <c:legendEntry>
        <c:idx val="1"/>
        <c:delete val="1"/>
      </c:legendEntry>
      <c:layout/>
    </c:legend>
    <c:plotVisOnly val="1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45720</xdr:rowOff>
    </xdr:from>
    <xdr:to>
      <xdr:col>21</xdr:col>
      <xdr:colOff>45720</xdr:colOff>
      <xdr:row>29</xdr:row>
      <xdr:rowOff>68580</xdr:rowOff>
    </xdr:to>
    <xdr:graphicFrame macro="">
      <xdr:nvGraphicFramePr>
        <xdr:cNvPr id="2" name="Wykres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kury" displayName="kury" ref="A1:H181" totalsRowShown="0">
  <autoFilter ref="A1:H181">
    <filterColumn colId="5"/>
    <filterColumn colId="6"/>
    <filterColumn colId="7"/>
  </autoFilter>
  <tableColumns count="8">
    <tableColumn id="1" name="dzien"/>
    <tableColumn id="2" name="tygodnia" dataDxfId="2">
      <calculatedColumnFormula>MOD(kury[[#This Row],[dzien]]-1,7)+1</calculatedColumnFormula>
    </tableColumn>
    <tableColumn id="3" name="kury"/>
    <tableColumn id="4" name="zysk z jaj"/>
    <tableColumn id="6" name="koszt kur"/>
    <tableColumn id="7" name="koszt paszy"/>
    <tableColumn id="9" name="realny zysk" dataDxfId="1">
      <calculatedColumnFormula>D2-E2-F2+G1</calculatedColumnFormula>
    </tableColumn>
    <tableColumn id="10" name="suma koztów" dataDxfId="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Arkusz1"/>
  <dimension ref="A1:K181"/>
  <sheetViews>
    <sheetView tabSelected="1" workbookViewId="0">
      <selection activeCell="T7" sqref="T7"/>
    </sheetView>
  </sheetViews>
  <sheetFormatPr defaultRowHeight="14.4"/>
  <cols>
    <col min="2" max="2" width="9.88671875" customWidth="1"/>
    <col min="5" max="5" width="10.109375" customWidth="1"/>
    <col min="7" max="7" width="13" customWidth="1"/>
    <col min="10" max="10" width="10.5546875" bestFit="1" customWidth="1"/>
    <col min="11" max="11" width="10.88671875" customWidth="1"/>
  </cols>
  <sheetData>
    <row r="1" spans="1:11">
      <c r="A1" t="s">
        <v>0</v>
      </c>
      <c r="B1" t="s">
        <v>3</v>
      </c>
      <c r="C1" t="s">
        <v>1</v>
      </c>
      <c r="D1" t="s">
        <v>5</v>
      </c>
      <c r="E1" t="s">
        <v>2</v>
      </c>
      <c r="F1" t="s">
        <v>4</v>
      </c>
      <c r="G1" t="s">
        <v>6</v>
      </c>
      <c r="H1" t="s">
        <v>14</v>
      </c>
    </row>
    <row r="2" spans="1:11">
      <c r="A2">
        <v>1</v>
      </c>
      <c r="B2" s="1">
        <f>MOD(kury[[#This Row],[dzien]]-1,7)+1</f>
        <v>1</v>
      </c>
      <c r="C2">
        <v>198</v>
      </c>
      <c r="D2">
        <v>180</v>
      </c>
      <c r="F2">
        <v>76</v>
      </c>
      <c r="G2" s="1">
        <f>D2-E2-F2</f>
        <v>104</v>
      </c>
      <c r="H2" s="1">
        <f>kury[[#This Row],[koszt kur]]+kury[[#This Row],[koszt paszy]]</f>
        <v>76</v>
      </c>
      <c r="I2" s="1"/>
      <c r="J2" t="s">
        <v>9</v>
      </c>
    </row>
    <row r="3" spans="1:11">
      <c r="A3">
        <v>2</v>
      </c>
      <c r="B3" s="1">
        <f>MOD(kury[[#This Row],[dzien]]-1,7)+1</f>
        <v>2</v>
      </c>
      <c r="C3">
        <v>198</v>
      </c>
      <c r="D3">
        <v>178.20000000000002</v>
      </c>
      <c r="F3">
        <v>75.239999999999995</v>
      </c>
      <c r="G3" s="1">
        <f>D3-E3-F3+G2</f>
        <v>206.96000000000004</v>
      </c>
      <c r="H3" s="1">
        <f>kury[[#This Row],[koszt kur]]+kury[[#This Row],[koszt paszy]]</f>
        <v>75.239999999999995</v>
      </c>
      <c r="I3" s="1"/>
      <c r="J3" t="s">
        <v>7</v>
      </c>
      <c r="K3" t="s">
        <v>8</v>
      </c>
    </row>
    <row r="4" spans="1:11">
      <c r="A4">
        <v>3</v>
      </c>
      <c r="B4" s="1">
        <f>MOD(kury[[#This Row],[dzien]]-1,7)+1</f>
        <v>3</v>
      </c>
      <c r="C4">
        <v>196</v>
      </c>
      <c r="D4">
        <v>178.20000000000002</v>
      </c>
      <c r="F4">
        <v>75.239999999999995</v>
      </c>
      <c r="G4" s="1">
        <f>D4-E4-F4+G3</f>
        <v>309.92000000000007</v>
      </c>
      <c r="H4" s="1">
        <f>kury[[#This Row],[koszt kur]]+kury[[#This Row],[koszt paszy]]</f>
        <v>75.239999999999995</v>
      </c>
      <c r="I4" s="1"/>
      <c r="J4" t="s">
        <v>10</v>
      </c>
    </row>
    <row r="5" spans="1:11">
      <c r="A5">
        <v>4</v>
      </c>
      <c r="B5" s="1">
        <f>MOD(kury[[#This Row],[dzien]]-1,7)+1</f>
        <v>4</v>
      </c>
      <c r="C5">
        <v>196</v>
      </c>
      <c r="D5">
        <v>176.4</v>
      </c>
      <c r="F5">
        <v>74.48</v>
      </c>
      <c r="G5" s="1">
        <f>D5-E5-F5+G4</f>
        <v>411.84000000000009</v>
      </c>
      <c r="H5" s="1">
        <f>kury[[#This Row],[koszt kur]]+kury[[#This Row],[koszt paszy]]</f>
        <v>74.48</v>
      </c>
      <c r="I5" s="1"/>
      <c r="J5" s="2">
        <f>SUM(kury[koszt paszy])</f>
        <v>13533.699999999997</v>
      </c>
    </row>
    <row r="6" spans="1:11">
      <c r="A6">
        <v>5</v>
      </c>
      <c r="B6" s="1">
        <f>MOD(kury[[#This Row],[dzien]]-1,7)+1</f>
        <v>5</v>
      </c>
      <c r="C6">
        <v>194</v>
      </c>
      <c r="D6">
        <v>176.4</v>
      </c>
      <c r="F6">
        <v>74.48</v>
      </c>
      <c r="G6" s="1">
        <f>D6-E6-F6+G5</f>
        <v>513.7600000000001</v>
      </c>
      <c r="H6" s="1">
        <f>kury[[#This Row],[koszt kur]]+kury[[#This Row],[koszt paszy]]</f>
        <v>74.48</v>
      </c>
      <c r="I6" s="1"/>
      <c r="J6" t="s">
        <v>11</v>
      </c>
    </row>
    <row r="7" spans="1:11">
      <c r="A7">
        <v>6</v>
      </c>
      <c r="B7" s="1">
        <f>MOD(kury[[#This Row],[dzien]]-1,7)+1</f>
        <v>6</v>
      </c>
      <c r="C7">
        <v>194</v>
      </c>
      <c r="D7">
        <v>174.6</v>
      </c>
      <c r="F7">
        <v>73.72</v>
      </c>
      <c r="G7" s="1">
        <f>D7-E7-F7+G6</f>
        <v>614.6400000000001</v>
      </c>
      <c r="H7" s="1">
        <f>kury[[#This Row],[koszt kur]]+kury[[#This Row],[koszt paszy]]</f>
        <v>73.72</v>
      </c>
      <c r="I7" s="1"/>
      <c r="J7" t="s">
        <v>12</v>
      </c>
      <c r="K7" s="2">
        <f>G181</f>
        <v>10220.900000000012</v>
      </c>
    </row>
    <row r="8" spans="1:11">
      <c r="A8">
        <v>7</v>
      </c>
      <c r="B8" s="1">
        <f>MOD(kury[[#This Row],[dzien]]-1,7)+1</f>
        <v>7</v>
      </c>
      <c r="C8">
        <v>192</v>
      </c>
      <c r="D8">
        <v>0</v>
      </c>
      <c r="F8">
        <v>73.72</v>
      </c>
      <c r="G8" s="1">
        <f>D8-E8-F8+G7</f>
        <v>540.92000000000007</v>
      </c>
      <c r="H8" s="1">
        <f>kury[[#This Row],[koszt kur]]+kury[[#This Row],[koszt paszy]]</f>
        <v>73.72</v>
      </c>
      <c r="I8" s="1"/>
      <c r="J8" t="s">
        <v>13</v>
      </c>
    </row>
    <row r="9" spans="1:11">
      <c r="A9">
        <v>8</v>
      </c>
      <c r="B9" s="1">
        <f>MOD(kury[[#This Row],[dzien]]-1,7)+1</f>
        <v>1</v>
      </c>
      <c r="C9">
        <v>192</v>
      </c>
      <c r="D9">
        <v>172.8</v>
      </c>
      <c r="F9">
        <v>72.959999999999994</v>
      </c>
      <c r="G9" s="1">
        <f>D9-E9-F9+G8</f>
        <v>640.7600000000001</v>
      </c>
      <c r="H9" s="1">
        <f>kury[[#This Row],[koszt kur]]+kury[[#This Row],[koszt paszy]]</f>
        <v>72.959999999999994</v>
      </c>
      <c r="I9" s="1"/>
    </row>
    <row r="10" spans="1:11">
      <c r="A10">
        <v>9</v>
      </c>
      <c r="B10" s="1">
        <f>MOD(kury[[#This Row],[dzien]]-1,7)+1</f>
        <v>2</v>
      </c>
      <c r="C10">
        <v>190</v>
      </c>
      <c r="D10">
        <v>172.8</v>
      </c>
      <c r="F10">
        <v>72.959999999999994</v>
      </c>
      <c r="G10" s="1">
        <f>D10-E10-F10+G9</f>
        <v>740.60000000000014</v>
      </c>
      <c r="H10" s="1">
        <f>kury[[#This Row],[koszt kur]]+kury[[#This Row],[koszt paszy]]</f>
        <v>72.959999999999994</v>
      </c>
      <c r="I10" s="1"/>
    </row>
    <row r="11" spans="1:11">
      <c r="A11">
        <v>10</v>
      </c>
      <c r="B11" s="1">
        <f>MOD(kury[[#This Row],[dzien]]-1,7)+1</f>
        <v>3</v>
      </c>
      <c r="C11">
        <v>190</v>
      </c>
      <c r="D11">
        <v>171</v>
      </c>
      <c r="F11">
        <v>72.2</v>
      </c>
      <c r="G11" s="1">
        <f>D11-E11-F11+G10</f>
        <v>839.40000000000009</v>
      </c>
      <c r="H11" s="1">
        <f>kury[[#This Row],[koszt kur]]+kury[[#This Row],[koszt paszy]]</f>
        <v>72.2</v>
      </c>
      <c r="I11" s="1"/>
    </row>
    <row r="12" spans="1:11">
      <c r="A12">
        <v>11</v>
      </c>
      <c r="B12" s="1">
        <f>MOD(kury[[#This Row],[dzien]]-1,7)+1</f>
        <v>4</v>
      </c>
      <c r="C12">
        <v>188</v>
      </c>
      <c r="D12">
        <v>171</v>
      </c>
      <c r="F12">
        <v>72.2</v>
      </c>
      <c r="G12" s="1">
        <f>D12-E12-F12+G11</f>
        <v>938.2</v>
      </c>
      <c r="H12" s="1">
        <f>kury[[#This Row],[koszt kur]]+kury[[#This Row],[koszt paszy]]</f>
        <v>72.2</v>
      </c>
      <c r="I12" s="1"/>
    </row>
    <row r="13" spans="1:11">
      <c r="A13">
        <v>12</v>
      </c>
      <c r="B13" s="1">
        <f>MOD(kury[[#This Row],[dzien]]-1,7)+1</f>
        <v>5</v>
      </c>
      <c r="C13">
        <v>188</v>
      </c>
      <c r="D13">
        <v>169.20000000000002</v>
      </c>
      <c r="F13">
        <v>71.44</v>
      </c>
      <c r="G13" s="1">
        <f>D13-E13-F13+G12</f>
        <v>1035.96</v>
      </c>
      <c r="H13" s="1">
        <f>kury[[#This Row],[koszt kur]]+kury[[#This Row],[koszt paszy]]</f>
        <v>71.44</v>
      </c>
      <c r="I13" s="1"/>
    </row>
    <row r="14" spans="1:11">
      <c r="A14">
        <v>13</v>
      </c>
      <c r="B14" s="1">
        <f>MOD(kury[[#This Row],[dzien]]-1,7)+1</f>
        <v>6</v>
      </c>
      <c r="C14">
        <v>186</v>
      </c>
      <c r="D14">
        <v>169.20000000000002</v>
      </c>
      <c r="F14">
        <v>71.44</v>
      </c>
      <c r="G14" s="1">
        <f>D14-E14-F14+G13</f>
        <v>1133.72</v>
      </c>
      <c r="H14" s="1">
        <f>kury[[#This Row],[koszt kur]]+kury[[#This Row],[koszt paszy]]</f>
        <v>71.44</v>
      </c>
      <c r="I14" s="1"/>
    </row>
    <row r="15" spans="1:11">
      <c r="A15">
        <v>14</v>
      </c>
      <c r="B15" s="1">
        <f>MOD(kury[[#This Row],[dzien]]-1,7)+1</f>
        <v>7</v>
      </c>
      <c r="C15">
        <v>186</v>
      </c>
      <c r="D15">
        <v>0</v>
      </c>
      <c r="F15">
        <v>70.680000000000007</v>
      </c>
      <c r="G15" s="1">
        <f>D15-E15-F15+G14</f>
        <v>1063.04</v>
      </c>
      <c r="H15" s="1">
        <f>kury[[#This Row],[koszt kur]]+kury[[#This Row],[koszt paszy]]</f>
        <v>70.680000000000007</v>
      </c>
      <c r="I15" s="1"/>
    </row>
    <row r="16" spans="1:11">
      <c r="A16">
        <v>15</v>
      </c>
      <c r="B16" s="1">
        <f>MOD(kury[[#This Row],[dzien]]-1,7)+1</f>
        <v>1</v>
      </c>
      <c r="C16">
        <v>184</v>
      </c>
      <c r="D16">
        <v>167.4</v>
      </c>
      <c r="F16">
        <v>70.680000000000007</v>
      </c>
      <c r="G16" s="1">
        <f>D16-E16-F16+G15</f>
        <v>1159.76</v>
      </c>
      <c r="H16" s="1">
        <f>kury[[#This Row],[koszt kur]]+kury[[#This Row],[koszt paszy]]</f>
        <v>70.680000000000007</v>
      </c>
      <c r="I16" s="1"/>
    </row>
    <row r="17" spans="1:9">
      <c r="A17">
        <v>16</v>
      </c>
      <c r="B17" s="1">
        <f>MOD(kury[[#This Row],[dzien]]-1,7)+1</f>
        <v>2</v>
      </c>
      <c r="C17">
        <v>184</v>
      </c>
      <c r="D17">
        <v>165.6</v>
      </c>
      <c r="F17">
        <v>69.92</v>
      </c>
      <c r="G17" s="1">
        <f>D17-E17-F17+G16</f>
        <v>1255.44</v>
      </c>
      <c r="H17" s="1">
        <f>kury[[#This Row],[koszt kur]]+kury[[#This Row],[koszt paszy]]</f>
        <v>69.92</v>
      </c>
      <c r="I17" s="1"/>
    </row>
    <row r="18" spans="1:9">
      <c r="A18">
        <v>17</v>
      </c>
      <c r="B18" s="1">
        <f>MOD(kury[[#This Row],[dzien]]-1,7)+1</f>
        <v>3</v>
      </c>
      <c r="C18">
        <v>182</v>
      </c>
      <c r="D18">
        <v>165.6</v>
      </c>
      <c r="F18">
        <v>69.92</v>
      </c>
      <c r="G18" s="1">
        <f>D18-E18-F18+G17</f>
        <v>1351.1200000000001</v>
      </c>
      <c r="H18" s="1">
        <f>kury[[#This Row],[koszt kur]]+kury[[#This Row],[koszt paszy]]</f>
        <v>69.92</v>
      </c>
      <c r="I18" s="1"/>
    </row>
    <row r="19" spans="1:9">
      <c r="A19">
        <v>18</v>
      </c>
      <c r="B19" s="1">
        <f>MOD(kury[[#This Row],[dzien]]-1,7)+1</f>
        <v>4</v>
      </c>
      <c r="C19">
        <v>182</v>
      </c>
      <c r="D19">
        <v>163.80000000000001</v>
      </c>
      <c r="F19">
        <v>69.16</v>
      </c>
      <c r="G19" s="1">
        <f>D19-E19-F19+G18</f>
        <v>1445.7600000000002</v>
      </c>
      <c r="H19" s="1">
        <f>kury[[#This Row],[koszt kur]]+kury[[#This Row],[koszt paszy]]</f>
        <v>69.16</v>
      </c>
      <c r="I19" s="1"/>
    </row>
    <row r="20" spans="1:9">
      <c r="A20">
        <v>19</v>
      </c>
      <c r="B20" s="1">
        <f>MOD(kury[[#This Row],[dzien]]-1,7)+1</f>
        <v>5</v>
      </c>
      <c r="C20">
        <v>180</v>
      </c>
      <c r="D20">
        <v>163.80000000000001</v>
      </c>
      <c r="F20">
        <v>69.16</v>
      </c>
      <c r="G20" s="1">
        <f>D20-E20-F20+G19</f>
        <v>1540.4000000000003</v>
      </c>
      <c r="H20" s="1">
        <f>kury[[#This Row],[koszt kur]]+kury[[#This Row],[koszt paszy]]</f>
        <v>69.16</v>
      </c>
      <c r="I20" s="1"/>
    </row>
    <row r="21" spans="1:9">
      <c r="A21">
        <v>20</v>
      </c>
      <c r="B21" s="1">
        <f>MOD(kury[[#This Row],[dzien]]-1,7)+1</f>
        <v>6</v>
      </c>
      <c r="C21">
        <v>180</v>
      </c>
      <c r="D21">
        <v>162</v>
      </c>
      <c r="F21">
        <v>68.400000000000006</v>
      </c>
      <c r="G21" s="1">
        <f>D21-E21-F21+G20</f>
        <v>1634.0000000000002</v>
      </c>
      <c r="H21" s="1">
        <f>kury[[#This Row],[koszt kur]]+kury[[#This Row],[koszt paszy]]</f>
        <v>68.400000000000006</v>
      </c>
      <c r="I21" s="1"/>
    </row>
    <row r="22" spans="1:9">
      <c r="A22">
        <v>21</v>
      </c>
      <c r="B22" s="1">
        <f>MOD(kury[[#This Row],[dzien]]-1,7)+1</f>
        <v>7</v>
      </c>
      <c r="C22">
        <v>178</v>
      </c>
      <c r="D22">
        <v>0</v>
      </c>
      <c r="F22">
        <v>68.400000000000006</v>
      </c>
      <c r="G22" s="1">
        <f>D22-E22-F22+G21</f>
        <v>1565.6000000000001</v>
      </c>
      <c r="H22" s="1">
        <f>kury[[#This Row],[koszt kur]]+kury[[#This Row],[koszt paszy]]</f>
        <v>68.400000000000006</v>
      </c>
      <c r="I22" s="1"/>
    </row>
    <row r="23" spans="1:9">
      <c r="A23">
        <v>22</v>
      </c>
      <c r="B23" s="1">
        <f>MOD(kury[[#This Row],[dzien]]-1,7)+1</f>
        <v>1</v>
      </c>
      <c r="C23">
        <v>178</v>
      </c>
      <c r="D23">
        <v>160.20000000000002</v>
      </c>
      <c r="F23">
        <v>67.64</v>
      </c>
      <c r="G23" s="1">
        <f>D23-E23-F23+G22</f>
        <v>1658.16</v>
      </c>
      <c r="H23" s="1">
        <f>kury[[#This Row],[koszt kur]]+kury[[#This Row],[koszt paszy]]</f>
        <v>67.64</v>
      </c>
      <c r="I23" s="1"/>
    </row>
    <row r="24" spans="1:9">
      <c r="A24">
        <v>23</v>
      </c>
      <c r="B24" s="1">
        <f>MOD(kury[[#This Row],[dzien]]-1,7)+1</f>
        <v>2</v>
      </c>
      <c r="C24">
        <v>176</v>
      </c>
      <c r="D24">
        <v>160.20000000000002</v>
      </c>
      <c r="F24">
        <v>67.64</v>
      </c>
      <c r="G24" s="1">
        <f>D24-E24-F24+G23</f>
        <v>1750.72</v>
      </c>
      <c r="H24" s="1">
        <f>kury[[#This Row],[koszt kur]]+kury[[#This Row],[koszt paszy]]</f>
        <v>67.64</v>
      </c>
      <c r="I24" s="1"/>
    </row>
    <row r="25" spans="1:9">
      <c r="A25">
        <v>24</v>
      </c>
      <c r="B25" s="1">
        <f>MOD(kury[[#This Row],[dzien]]-1,7)+1</f>
        <v>3</v>
      </c>
      <c r="C25">
        <v>176</v>
      </c>
      <c r="D25">
        <v>158.4</v>
      </c>
      <c r="F25">
        <v>66.88</v>
      </c>
      <c r="G25" s="1">
        <f>D25-E25-F25+G24</f>
        <v>1842.24</v>
      </c>
      <c r="H25" s="1">
        <f>kury[[#This Row],[koszt kur]]+kury[[#This Row],[koszt paszy]]</f>
        <v>66.88</v>
      </c>
      <c r="I25" s="1"/>
    </row>
    <row r="26" spans="1:9">
      <c r="A26">
        <v>25</v>
      </c>
      <c r="B26" s="1">
        <f>MOD(kury[[#This Row],[dzien]]-1,7)+1</f>
        <v>4</v>
      </c>
      <c r="C26">
        <v>174</v>
      </c>
      <c r="D26">
        <v>158.4</v>
      </c>
      <c r="F26">
        <v>66.88</v>
      </c>
      <c r="G26" s="1">
        <f>D26-E26-F26+G25</f>
        <v>1933.76</v>
      </c>
      <c r="H26" s="1">
        <f>kury[[#This Row],[koszt kur]]+kury[[#This Row],[koszt paszy]]</f>
        <v>66.88</v>
      </c>
      <c r="I26" s="1"/>
    </row>
    <row r="27" spans="1:9">
      <c r="A27">
        <v>26</v>
      </c>
      <c r="B27" s="1">
        <f>MOD(kury[[#This Row],[dzien]]-1,7)+1</f>
        <v>5</v>
      </c>
      <c r="C27">
        <v>174</v>
      </c>
      <c r="D27">
        <v>156.6</v>
      </c>
      <c r="F27">
        <v>66.12</v>
      </c>
      <c r="G27" s="1">
        <f>D27-E27-F27+G26</f>
        <v>2024.24</v>
      </c>
      <c r="H27" s="1">
        <f>kury[[#This Row],[koszt kur]]+kury[[#This Row],[koszt paszy]]</f>
        <v>66.12</v>
      </c>
      <c r="I27" s="1"/>
    </row>
    <row r="28" spans="1:9">
      <c r="A28">
        <v>27</v>
      </c>
      <c r="B28" s="1">
        <f>MOD(kury[[#This Row],[dzien]]-1,7)+1</f>
        <v>6</v>
      </c>
      <c r="C28">
        <v>172</v>
      </c>
      <c r="D28">
        <v>156.6</v>
      </c>
      <c r="F28">
        <v>66.12</v>
      </c>
      <c r="G28" s="1">
        <f>D28-E28-F28+G27</f>
        <v>2114.7199999999998</v>
      </c>
      <c r="H28" s="1">
        <f>kury[[#This Row],[koszt kur]]+kury[[#This Row],[koszt paszy]]</f>
        <v>66.12</v>
      </c>
      <c r="I28" s="1"/>
    </row>
    <row r="29" spans="1:9">
      <c r="A29">
        <v>28</v>
      </c>
      <c r="B29" s="1">
        <f>MOD(kury[[#This Row],[dzien]]-1,7)+1</f>
        <v>7</v>
      </c>
      <c r="C29">
        <v>172</v>
      </c>
      <c r="D29">
        <v>0</v>
      </c>
      <c r="F29">
        <v>65.36</v>
      </c>
      <c r="G29" s="1">
        <f>D29-E29-F29+G28</f>
        <v>2049.3599999999997</v>
      </c>
      <c r="H29" s="1">
        <f>kury[[#This Row],[koszt kur]]+kury[[#This Row],[koszt paszy]]</f>
        <v>65.36</v>
      </c>
      <c r="I29" s="1"/>
    </row>
    <row r="30" spans="1:9">
      <c r="A30">
        <v>29</v>
      </c>
      <c r="B30" s="1">
        <f>MOD(kury[[#This Row],[dzien]]-1,7)+1</f>
        <v>1</v>
      </c>
      <c r="C30">
        <v>170</v>
      </c>
      <c r="D30">
        <v>154.80000000000001</v>
      </c>
      <c r="F30">
        <v>65.36</v>
      </c>
      <c r="G30" s="1">
        <f>D30-E30-F30+G29</f>
        <v>2138.7999999999997</v>
      </c>
      <c r="H30" s="1">
        <f>kury[[#This Row],[koszt kur]]+kury[[#This Row],[koszt paszy]]</f>
        <v>65.36</v>
      </c>
      <c r="I30" s="1"/>
    </row>
    <row r="31" spans="1:9">
      <c r="A31">
        <v>30</v>
      </c>
      <c r="B31" s="1">
        <f>MOD(kury[[#This Row],[dzien]]-1,7)+1</f>
        <v>2</v>
      </c>
      <c r="C31">
        <v>204</v>
      </c>
      <c r="D31">
        <v>183.6</v>
      </c>
      <c r="E31">
        <v>612</v>
      </c>
      <c r="F31">
        <v>77.52</v>
      </c>
      <c r="G31" s="1">
        <f>D31-E31-F31+G30</f>
        <v>1632.8799999999997</v>
      </c>
      <c r="H31" s="1">
        <f>kury[[#This Row],[koszt kur]]+kury[[#This Row],[koszt paszy]]</f>
        <v>689.52</v>
      </c>
      <c r="I31" s="1"/>
    </row>
    <row r="32" spans="1:9">
      <c r="A32">
        <v>31</v>
      </c>
      <c r="B32" s="1">
        <f>MOD(kury[[#This Row],[dzien]]-1,7)+1</f>
        <v>3</v>
      </c>
      <c r="C32">
        <v>202</v>
      </c>
      <c r="D32">
        <v>183.6</v>
      </c>
      <c r="F32">
        <v>77.52</v>
      </c>
      <c r="G32" s="1">
        <f>D32-E32-F32+G31</f>
        <v>1738.9599999999996</v>
      </c>
      <c r="H32" s="1">
        <f>kury[[#This Row],[koszt kur]]+kury[[#This Row],[koszt paszy]]</f>
        <v>77.52</v>
      </c>
      <c r="I32" s="1"/>
    </row>
    <row r="33" spans="1:9">
      <c r="A33">
        <v>32</v>
      </c>
      <c r="B33" s="1">
        <f>MOD(kury[[#This Row],[dzien]]-1,7)+1</f>
        <v>4</v>
      </c>
      <c r="C33">
        <v>202</v>
      </c>
      <c r="D33">
        <v>181.8</v>
      </c>
      <c r="F33">
        <v>76.760000000000005</v>
      </c>
      <c r="G33" s="1">
        <f>D33-E33-F33+G32</f>
        <v>1843.9999999999995</v>
      </c>
      <c r="H33" s="1">
        <f>kury[[#This Row],[koszt kur]]+kury[[#This Row],[koszt paszy]]</f>
        <v>76.760000000000005</v>
      </c>
      <c r="I33" s="1"/>
    </row>
    <row r="34" spans="1:9">
      <c r="A34">
        <v>33</v>
      </c>
      <c r="B34" s="1">
        <f>MOD(kury[[#This Row],[dzien]]-1,7)+1</f>
        <v>5</v>
      </c>
      <c r="C34">
        <v>200</v>
      </c>
      <c r="D34">
        <v>181.8</v>
      </c>
      <c r="F34">
        <v>76.760000000000005</v>
      </c>
      <c r="G34" s="1">
        <f>D34-E34-F34+G33</f>
        <v>1949.0399999999995</v>
      </c>
      <c r="H34" s="1">
        <f>kury[[#This Row],[koszt kur]]+kury[[#This Row],[koszt paszy]]</f>
        <v>76.760000000000005</v>
      </c>
      <c r="I34" s="1"/>
    </row>
    <row r="35" spans="1:9">
      <c r="A35">
        <v>34</v>
      </c>
      <c r="B35" s="1">
        <f>MOD(kury[[#This Row],[dzien]]-1,7)+1</f>
        <v>6</v>
      </c>
      <c r="C35">
        <v>200</v>
      </c>
      <c r="D35">
        <v>180</v>
      </c>
      <c r="F35">
        <v>76</v>
      </c>
      <c r="G35" s="1">
        <f>D35-E35-F35+G34</f>
        <v>2053.0399999999995</v>
      </c>
      <c r="H35" s="1">
        <f>kury[[#This Row],[koszt kur]]+kury[[#This Row],[koszt paszy]]</f>
        <v>76</v>
      </c>
      <c r="I35" s="1"/>
    </row>
    <row r="36" spans="1:9">
      <c r="A36">
        <v>35</v>
      </c>
      <c r="B36" s="1">
        <f>MOD(kury[[#This Row],[dzien]]-1,7)+1</f>
        <v>7</v>
      </c>
      <c r="C36">
        <v>198</v>
      </c>
      <c r="D36">
        <v>0</v>
      </c>
      <c r="F36">
        <v>76</v>
      </c>
      <c r="G36" s="1">
        <f>D36-E36-F36+G35</f>
        <v>1977.0399999999995</v>
      </c>
      <c r="H36" s="1">
        <f>kury[[#This Row],[koszt kur]]+kury[[#This Row],[koszt paszy]]</f>
        <v>76</v>
      </c>
      <c r="I36" s="1"/>
    </row>
    <row r="37" spans="1:9">
      <c r="A37">
        <v>36</v>
      </c>
      <c r="B37" s="1">
        <f>MOD(kury[[#This Row],[dzien]]-1,7)+1</f>
        <v>1</v>
      </c>
      <c r="C37">
        <v>198</v>
      </c>
      <c r="D37">
        <v>178.20000000000002</v>
      </c>
      <c r="F37">
        <v>75.239999999999995</v>
      </c>
      <c r="G37" s="1">
        <f>D37-E37-F37+G36</f>
        <v>2079.9999999999995</v>
      </c>
      <c r="H37" s="1">
        <f>kury[[#This Row],[koszt kur]]+kury[[#This Row],[koszt paszy]]</f>
        <v>75.239999999999995</v>
      </c>
      <c r="I37" s="1"/>
    </row>
    <row r="38" spans="1:9">
      <c r="A38">
        <v>37</v>
      </c>
      <c r="B38" s="1">
        <f>MOD(kury[[#This Row],[dzien]]-1,7)+1</f>
        <v>2</v>
      </c>
      <c r="C38">
        <v>196</v>
      </c>
      <c r="D38">
        <v>178.20000000000002</v>
      </c>
      <c r="F38">
        <v>75.239999999999995</v>
      </c>
      <c r="G38" s="1">
        <f>D38-E38-F38+G37</f>
        <v>2182.9599999999996</v>
      </c>
      <c r="H38" s="1">
        <f>kury[[#This Row],[koszt kur]]+kury[[#This Row],[koszt paszy]]</f>
        <v>75.239999999999995</v>
      </c>
      <c r="I38" s="1"/>
    </row>
    <row r="39" spans="1:9">
      <c r="A39">
        <v>38</v>
      </c>
      <c r="B39" s="1">
        <f>MOD(kury[[#This Row],[dzien]]-1,7)+1</f>
        <v>3</v>
      </c>
      <c r="C39">
        <v>196</v>
      </c>
      <c r="D39">
        <v>176.4</v>
      </c>
      <c r="F39">
        <v>74.48</v>
      </c>
      <c r="G39" s="1">
        <f>D39-E39-F39+G38</f>
        <v>2284.8799999999997</v>
      </c>
      <c r="H39" s="1">
        <f>kury[[#This Row],[koszt kur]]+kury[[#This Row],[koszt paszy]]</f>
        <v>74.48</v>
      </c>
      <c r="I39" s="1"/>
    </row>
    <row r="40" spans="1:9">
      <c r="A40">
        <v>39</v>
      </c>
      <c r="B40" s="1">
        <f>MOD(kury[[#This Row],[dzien]]-1,7)+1</f>
        <v>4</v>
      </c>
      <c r="C40">
        <v>194</v>
      </c>
      <c r="D40">
        <v>176.4</v>
      </c>
      <c r="F40">
        <v>74.48</v>
      </c>
      <c r="G40" s="1">
        <f>D40-E40-F40+G39</f>
        <v>2386.7999999999997</v>
      </c>
      <c r="H40" s="1">
        <f>kury[[#This Row],[koszt kur]]+kury[[#This Row],[koszt paszy]]</f>
        <v>74.48</v>
      </c>
      <c r="I40" s="1"/>
    </row>
    <row r="41" spans="1:9">
      <c r="A41">
        <v>40</v>
      </c>
      <c r="B41" s="1">
        <f>MOD(kury[[#This Row],[dzien]]-1,7)+1</f>
        <v>5</v>
      </c>
      <c r="C41">
        <v>194</v>
      </c>
      <c r="D41">
        <v>174.6</v>
      </c>
      <c r="F41">
        <v>73.72</v>
      </c>
      <c r="G41" s="1">
        <f>D41-E41-F41+G40</f>
        <v>2487.6799999999998</v>
      </c>
      <c r="H41" s="1">
        <f>kury[[#This Row],[koszt kur]]+kury[[#This Row],[koszt paszy]]</f>
        <v>73.72</v>
      </c>
      <c r="I41" s="1"/>
    </row>
    <row r="42" spans="1:9">
      <c r="A42">
        <v>41</v>
      </c>
      <c r="B42" s="1">
        <f>MOD(kury[[#This Row],[dzien]]-1,7)+1</f>
        <v>6</v>
      </c>
      <c r="C42">
        <v>192</v>
      </c>
      <c r="D42">
        <v>174.6</v>
      </c>
      <c r="F42">
        <v>73.72</v>
      </c>
      <c r="G42" s="1">
        <f>D42-E42-F42+G41</f>
        <v>2588.56</v>
      </c>
      <c r="H42" s="1">
        <f>kury[[#This Row],[koszt kur]]+kury[[#This Row],[koszt paszy]]</f>
        <v>73.72</v>
      </c>
      <c r="I42" s="1"/>
    </row>
    <row r="43" spans="1:9">
      <c r="A43">
        <v>42</v>
      </c>
      <c r="B43" s="1">
        <f>MOD(kury[[#This Row],[dzien]]-1,7)+1</f>
        <v>7</v>
      </c>
      <c r="C43">
        <v>192</v>
      </c>
      <c r="D43">
        <v>0</v>
      </c>
      <c r="F43">
        <v>72.959999999999994</v>
      </c>
      <c r="G43" s="1">
        <f>D43-E43-F43+G42</f>
        <v>2515.6</v>
      </c>
      <c r="H43" s="1">
        <f>kury[[#This Row],[koszt kur]]+kury[[#This Row],[koszt paszy]]</f>
        <v>72.959999999999994</v>
      </c>
      <c r="I43" s="1"/>
    </row>
    <row r="44" spans="1:9">
      <c r="A44">
        <v>43</v>
      </c>
      <c r="B44" s="1">
        <f>MOD(kury[[#This Row],[dzien]]-1,7)+1</f>
        <v>1</v>
      </c>
      <c r="C44">
        <v>190</v>
      </c>
      <c r="D44">
        <v>172.8</v>
      </c>
      <c r="F44">
        <v>72.959999999999994</v>
      </c>
      <c r="G44" s="1">
        <f>D44-E44-F44+G43</f>
        <v>2615.44</v>
      </c>
      <c r="H44" s="1">
        <f>kury[[#This Row],[koszt kur]]+kury[[#This Row],[koszt paszy]]</f>
        <v>72.959999999999994</v>
      </c>
      <c r="I44" s="1"/>
    </row>
    <row r="45" spans="1:9">
      <c r="A45">
        <v>44</v>
      </c>
      <c r="B45" s="1">
        <f>MOD(kury[[#This Row],[dzien]]-1,7)+1</f>
        <v>2</v>
      </c>
      <c r="C45">
        <v>190</v>
      </c>
      <c r="D45">
        <v>171</v>
      </c>
      <c r="F45">
        <v>72.2</v>
      </c>
      <c r="G45" s="1">
        <f>D45-E45-F45+G44</f>
        <v>2714.2400000000002</v>
      </c>
      <c r="H45" s="1">
        <f>kury[[#This Row],[koszt kur]]+kury[[#This Row],[koszt paszy]]</f>
        <v>72.2</v>
      </c>
      <c r="I45" s="1"/>
    </row>
    <row r="46" spans="1:9">
      <c r="A46">
        <v>45</v>
      </c>
      <c r="B46" s="1">
        <f>MOD(kury[[#This Row],[dzien]]-1,7)+1</f>
        <v>3</v>
      </c>
      <c r="C46">
        <v>188</v>
      </c>
      <c r="D46">
        <v>171</v>
      </c>
      <c r="F46">
        <v>72.2</v>
      </c>
      <c r="G46" s="1">
        <f>D46-E46-F46+G45</f>
        <v>2813.0400000000004</v>
      </c>
      <c r="H46" s="1">
        <f>kury[[#This Row],[koszt kur]]+kury[[#This Row],[koszt paszy]]</f>
        <v>72.2</v>
      </c>
      <c r="I46" s="1"/>
    </row>
    <row r="47" spans="1:9">
      <c r="A47">
        <v>46</v>
      </c>
      <c r="B47" s="1">
        <f>MOD(kury[[#This Row],[dzien]]-1,7)+1</f>
        <v>4</v>
      </c>
      <c r="C47">
        <v>188</v>
      </c>
      <c r="D47">
        <v>169.20000000000002</v>
      </c>
      <c r="F47">
        <v>71.44</v>
      </c>
      <c r="G47" s="1">
        <f>D47-E47-F47+G46</f>
        <v>2910.8000000000006</v>
      </c>
      <c r="H47" s="1">
        <f>kury[[#This Row],[koszt kur]]+kury[[#This Row],[koszt paszy]]</f>
        <v>71.44</v>
      </c>
      <c r="I47" s="1"/>
    </row>
    <row r="48" spans="1:9">
      <c r="A48">
        <v>47</v>
      </c>
      <c r="B48" s="1">
        <f>MOD(kury[[#This Row],[dzien]]-1,7)+1</f>
        <v>5</v>
      </c>
      <c r="C48">
        <v>186</v>
      </c>
      <c r="D48">
        <v>169.20000000000002</v>
      </c>
      <c r="F48">
        <v>71.44</v>
      </c>
      <c r="G48" s="1">
        <f>D48-E48-F48+G47</f>
        <v>3008.5600000000009</v>
      </c>
      <c r="H48" s="1">
        <f>kury[[#This Row],[koszt kur]]+kury[[#This Row],[koszt paszy]]</f>
        <v>71.44</v>
      </c>
      <c r="I48" s="1"/>
    </row>
    <row r="49" spans="1:9">
      <c r="A49">
        <v>48</v>
      </c>
      <c r="B49" s="1">
        <f>MOD(kury[[#This Row],[dzien]]-1,7)+1</f>
        <v>6</v>
      </c>
      <c r="C49">
        <v>186</v>
      </c>
      <c r="D49">
        <v>167.4</v>
      </c>
      <c r="F49">
        <v>70.680000000000007</v>
      </c>
      <c r="G49" s="1">
        <f>D49-E49-F49+G48</f>
        <v>3105.2800000000007</v>
      </c>
      <c r="H49" s="1">
        <f>kury[[#This Row],[koszt kur]]+kury[[#This Row],[koszt paszy]]</f>
        <v>70.680000000000007</v>
      </c>
      <c r="I49" s="1"/>
    </row>
    <row r="50" spans="1:9">
      <c r="A50">
        <v>49</v>
      </c>
      <c r="B50" s="1">
        <f>MOD(kury[[#This Row],[dzien]]-1,7)+1</f>
        <v>7</v>
      </c>
      <c r="C50">
        <v>184</v>
      </c>
      <c r="D50">
        <v>0</v>
      </c>
      <c r="F50">
        <v>70.680000000000007</v>
      </c>
      <c r="G50" s="1">
        <f>D50-E50-F50+G49</f>
        <v>3034.6000000000008</v>
      </c>
      <c r="H50" s="1">
        <f>kury[[#This Row],[koszt kur]]+kury[[#This Row],[koszt paszy]]</f>
        <v>70.680000000000007</v>
      </c>
      <c r="I50" s="1"/>
    </row>
    <row r="51" spans="1:9">
      <c r="A51">
        <v>50</v>
      </c>
      <c r="B51" s="1">
        <f>MOD(kury[[#This Row],[dzien]]-1,7)+1</f>
        <v>1</v>
      </c>
      <c r="C51">
        <v>184</v>
      </c>
      <c r="D51">
        <v>165.6</v>
      </c>
      <c r="F51">
        <v>69.92</v>
      </c>
      <c r="G51" s="1">
        <f>D51-E51-F51+G50</f>
        <v>3130.2800000000007</v>
      </c>
      <c r="H51" s="1">
        <f>kury[[#This Row],[koszt kur]]+kury[[#This Row],[koszt paszy]]</f>
        <v>69.92</v>
      </c>
      <c r="I51" s="1"/>
    </row>
    <row r="52" spans="1:9">
      <c r="A52">
        <v>51</v>
      </c>
      <c r="B52" s="1">
        <f>MOD(kury[[#This Row],[dzien]]-1,7)+1</f>
        <v>2</v>
      </c>
      <c r="C52">
        <v>182</v>
      </c>
      <c r="D52">
        <v>165.6</v>
      </c>
      <c r="F52">
        <v>69.92</v>
      </c>
      <c r="G52" s="1">
        <f>D52-E52-F52+G51</f>
        <v>3225.9600000000005</v>
      </c>
      <c r="H52" s="1">
        <f>kury[[#This Row],[koszt kur]]+kury[[#This Row],[koszt paszy]]</f>
        <v>69.92</v>
      </c>
      <c r="I52" s="1"/>
    </row>
    <row r="53" spans="1:9">
      <c r="A53">
        <v>52</v>
      </c>
      <c r="B53" s="1">
        <f>MOD(kury[[#This Row],[dzien]]-1,7)+1</f>
        <v>3</v>
      </c>
      <c r="C53">
        <v>182</v>
      </c>
      <c r="D53">
        <v>163.80000000000001</v>
      </c>
      <c r="F53">
        <v>69.16</v>
      </c>
      <c r="G53" s="1">
        <f>D53-E53-F53+G52</f>
        <v>3320.6000000000004</v>
      </c>
      <c r="H53" s="1">
        <f>kury[[#This Row],[koszt kur]]+kury[[#This Row],[koszt paszy]]</f>
        <v>69.16</v>
      </c>
      <c r="I53" s="1"/>
    </row>
    <row r="54" spans="1:9">
      <c r="A54">
        <v>53</v>
      </c>
      <c r="B54" s="1">
        <f>MOD(kury[[#This Row],[dzien]]-1,7)+1</f>
        <v>4</v>
      </c>
      <c r="C54">
        <v>180</v>
      </c>
      <c r="D54">
        <v>163.80000000000001</v>
      </c>
      <c r="F54">
        <v>69.16</v>
      </c>
      <c r="G54" s="1">
        <f>D54-E54-F54+G53</f>
        <v>3415.2400000000002</v>
      </c>
      <c r="H54" s="1">
        <f>kury[[#This Row],[koszt kur]]+kury[[#This Row],[koszt paszy]]</f>
        <v>69.16</v>
      </c>
      <c r="I54" s="1"/>
    </row>
    <row r="55" spans="1:9">
      <c r="A55">
        <v>54</v>
      </c>
      <c r="B55" s="1">
        <f>MOD(kury[[#This Row],[dzien]]-1,7)+1</f>
        <v>5</v>
      </c>
      <c r="C55">
        <v>180</v>
      </c>
      <c r="D55">
        <v>162</v>
      </c>
      <c r="F55">
        <v>68.400000000000006</v>
      </c>
      <c r="G55" s="1">
        <f>D55-E55-F55+G54</f>
        <v>3508.84</v>
      </c>
      <c r="H55" s="1">
        <f>kury[[#This Row],[koszt kur]]+kury[[#This Row],[koszt paszy]]</f>
        <v>68.400000000000006</v>
      </c>
      <c r="I55" s="1"/>
    </row>
    <row r="56" spans="1:9">
      <c r="A56">
        <v>55</v>
      </c>
      <c r="B56" s="1">
        <f>MOD(kury[[#This Row],[dzien]]-1,7)+1</f>
        <v>6</v>
      </c>
      <c r="C56">
        <v>178</v>
      </c>
      <c r="D56">
        <v>162</v>
      </c>
      <c r="F56">
        <v>68.400000000000006</v>
      </c>
      <c r="G56" s="1">
        <f>D56-E56-F56+G55</f>
        <v>3602.44</v>
      </c>
      <c r="H56" s="1">
        <f>kury[[#This Row],[koszt kur]]+kury[[#This Row],[koszt paszy]]</f>
        <v>68.400000000000006</v>
      </c>
      <c r="I56" s="1"/>
    </row>
    <row r="57" spans="1:9">
      <c r="A57">
        <v>56</v>
      </c>
      <c r="B57" s="1">
        <f>MOD(kury[[#This Row],[dzien]]-1,7)+1</f>
        <v>7</v>
      </c>
      <c r="C57">
        <v>178</v>
      </c>
      <c r="D57">
        <v>0</v>
      </c>
      <c r="F57">
        <v>67.64</v>
      </c>
      <c r="G57" s="1">
        <f>D57-E57-F57+G56</f>
        <v>3534.8</v>
      </c>
      <c r="H57" s="1">
        <f>kury[[#This Row],[koszt kur]]+kury[[#This Row],[koszt paszy]]</f>
        <v>67.64</v>
      </c>
      <c r="I57" s="1"/>
    </row>
    <row r="58" spans="1:9">
      <c r="A58">
        <v>57</v>
      </c>
      <c r="B58" s="1">
        <f>MOD(kury[[#This Row],[dzien]]-1,7)+1</f>
        <v>1</v>
      </c>
      <c r="C58">
        <v>176</v>
      </c>
      <c r="D58">
        <v>160.20000000000002</v>
      </c>
      <c r="F58">
        <v>67.64</v>
      </c>
      <c r="G58" s="1">
        <f>D58-E58-F58+G57</f>
        <v>3627.36</v>
      </c>
      <c r="H58" s="1">
        <f>kury[[#This Row],[koszt kur]]+kury[[#This Row],[koszt paszy]]</f>
        <v>67.64</v>
      </c>
      <c r="I58" s="1"/>
    </row>
    <row r="59" spans="1:9">
      <c r="A59">
        <v>58</v>
      </c>
      <c r="B59" s="1">
        <f>MOD(kury[[#This Row],[dzien]]-1,7)+1</f>
        <v>2</v>
      </c>
      <c r="C59">
        <v>176</v>
      </c>
      <c r="D59">
        <v>158.4</v>
      </c>
      <c r="F59">
        <v>66.88</v>
      </c>
      <c r="G59" s="1">
        <f>D59-E59-F59+G58</f>
        <v>3718.88</v>
      </c>
      <c r="H59" s="1">
        <f>kury[[#This Row],[koszt kur]]+kury[[#This Row],[koszt paszy]]</f>
        <v>66.88</v>
      </c>
      <c r="I59" s="1"/>
    </row>
    <row r="60" spans="1:9">
      <c r="A60">
        <v>59</v>
      </c>
      <c r="B60" s="1">
        <f>MOD(kury[[#This Row],[dzien]]-1,7)+1</f>
        <v>3</v>
      </c>
      <c r="C60">
        <v>174</v>
      </c>
      <c r="D60">
        <v>158.4</v>
      </c>
      <c r="F60">
        <v>66.88</v>
      </c>
      <c r="G60" s="1">
        <f>D60-E60-F60+G59</f>
        <v>3810.4</v>
      </c>
      <c r="H60" s="1">
        <f>kury[[#This Row],[koszt kur]]+kury[[#This Row],[koszt paszy]]</f>
        <v>66.88</v>
      </c>
      <c r="I60" s="1"/>
    </row>
    <row r="61" spans="1:9">
      <c r="A61">
        <v>60</v>
      </c>
      <c r="B61" s="1">
        <f>MOD(kury[[#This Row],[dzien]]-1,7)+1</f>
        <v>4</v>
      </c>
      <c r="C61">
        <v>208</v>
      </c>
      <c r="D61">
        <v>187.20000000000002</v>
      </c>
      <c r="E61">
        <v>612</v>
      </c>
      <c r="F61">
        <v>79.040000000000006</v>
      </c>
      <c r="G61" s="1">
        <f>D61-E61-F61+G60</f>
        <v>3306.56</v>
      </c>
      <c r="H61" s="1">
        <f>kury[[#This Row],[koszt kur]]+kury[[#This Row],[koszt paszy]]</f>
        <v>691.04</v>
      </c>
      <c r="I61" s="1"/>
    </row>
    <row r="62" spans="1:9">
      <c r="A62">
        <v>61</v>
      </c>
      <c r="B62" s="1">
        <f>MOD(kury[[#This Row],[dzien]]-1,7)+1</f>
        <v>5</v>
      </c>
      <c r="C62">
        <v>206</v>
      </c>
      <c r="D62">
        <v>187.20000000000002</v>
      </c>
      <c r="F62">
        <v>79.040000000000006</v>
      </c>
      <c r="G62" s="1">
        <f>D62-E62-F62+G61</f>
        <v>3414.72</v>
      </c>
      <c r="H62" s="1">
        <f>kury[[#This Row],[koszt kur]]+kury[[#This Row],[koszt paszy]]</f>
        <v>79.040000000000006</v>
      </c>
      <c r="I62" s="1"/>
    </row>
    <row r="63" spans="1:9">
      <c r="A63">
        <v>62</v>
      </c>
      <c r="B63" s="1">
        <f>MOD(kury[[#This Row],[dzien]]-1,7)+1</f>
        <v>6</v>
      </c>
      <c r="C63">
        <v>206</v>
      </c>
      <c r="D63">
        <v>185.4</v>
      </c>
      <c r="F63">
        <v>78.28</v>
      </c>
      <c r="G63" s="1">
        <f>D63-E63-F63+G62</f>
        <v>3521.8399999999997</v>
      </c>
      <c r="H63" s="1">
        <f>kury[[#This Row],[koszt kur]]+kury[[#This Row],[koszt paszy]]</f>
        <v>78.28</v>
      </c>
      <c r="I63" s="1"/>
    </row>
    <row r="64" spans="1:9">
      <c r="A64">
        <v>63</v>
      </c>
      <c r="B64" s="1">
        <f>MOD(kury[[#This Row],[dzien]]-1,7)+1</f>
        <v>7</v>
      </c>
      <c r="C64">
        <v>204</v>
      </c>
      <c r="D64">
        <v>0</v>
      </c>
      <c r="F64">
        <v>78.28</v>
      </c>
      <c r="G64" s="1">
        <f>D64-E64-F64+G63</f>
        <v>3443.5599999999995</v>
      </c>
      <c r="H64" s="1">
        <f>kury[[#This Row],[koszt kur]]+kury[[#This Row],[koszt paszy]]</f>
        <v>78.28</v>
      </c>
      <c r="I64" s="1"/>
    </row>
    <row r="65" spans="1:9">
      <c r="A65">
        <v>64</v>
      </c>
      <c r="B65" s="1">
        <f>MOD(kury[[#This Row],[dzien]]-1,7)+1</f>
        <v>1</v>
      </c>
      <c r="C65">
        <v>204</v>
      </c>
      <c r="D65">
        <v>183.6</v>
      </c>
      <c r="F65">
        <v>77.52</v>
      </c>
      <c r="G65" s="1">
        <f>D65-E65-F65+G64</f>
        <v>3549.6399999999994</v>
      </c>
      <c r="H65" s="1">
        <f>kury[[#This Row],[koszt kur]]+kury[[#This Row],[koszt paszy]]</f>
        <v>77.52</v>
      </c>
      <c r="I65" s="1"/>
    </row>
    <row r="66" spans="1:9">
      <c r="A66">
        <v>65</v>
      </c>
      <c r="B66" s="1">
        <f>MOD(kury[[#This Row],[dzien]]-1,7)+1</f>
        <v>2</v>
      </c>
      <c r="C66">
        <v>202</v>
      </c>
      <c r="D66">
        <v>183.6</v>
      </c>
      <c r="F66">
        <v>77.52</v>
      </c>
      <c r="G66" s="1">
        <f>D66-E66-F66+G65</f>
        <v>3655.7199999999993</v>
      </c>
      <c r="H66" s="1">
        <f>kury[[#This Row],[koszt kur]]+kury[[#This Row],[koszt paszy]]</f>
        <v>77.52</v>
      </c>
      <c r="I66" s="1"/>
    </row>
    <row r="67" spans="1:9">
      <c r="A67">
        <v>66</v>
      </c>
      <c r="B67" s="1">
        <f>MOD(kury[[#This Row],[dzien]]-1,7)+1</f>
        <v>3</v>
      </c>
      <c r="C67">
        <v>202</v>
      </c>
      <c r="D67">
        <v>181.8</v>
      </c>
      <c r="F67">
        <v>76.760000000000005</v>
      </c>
      <c r="G67" s="1">
        <f>D67-E67-F67+G66</f>
        <v>3760.7599999999993</v>
      </c>
      <c r="H67" s="1">
        <f>kury[[#This Row],[koszt kur]]+kury[[#This Row],[koszt paszy]]</f>
        <v>76.760000000000005</v>
      </c>
      <c r="I67" s="1"/>
    </row>
    <row r="68" spans="1:9">
      <c r="A68">
        <v>67</v>
      </c>
      <c r="B68" s="1">
        <f>MOD(kury[[#This Row],[dzien]]-1,7)+1</f>
        <v>4</v>
      </c>
      <c r="C68">
        <v>200</v>
      </c>
      <c r="D68">
        <v>181.8</v>
      </c>
      <c r="F68">
        <v>76.760000000000005</v>
      </c>
      <c r="G68" s="1">
        <f>D68-E68-F68+G67</f>
        <v>3865.7999999999993</v>
      </c>
      <c r="H68" s="1">
        <f>kury[[#This Row],[koszt kur]]+kury[[#This Row],[koszt paszy]]</f>
        <v>76.760000000000005</v>
      </c>
      <c r="I68" s="1"/>
    </row>
    <row r="69" spans="1:9">
      <c r="A69">
        <v>68</v>
      </c>
      <c r="B69" s="1">
        <f>MOD(kury[[#This Row],[dzien]]-1,7)+1</f>
        <v>5</v>
      </c>
      <c r="C69">
        <v>200</v>
      </c>
      <c r="D69">
        <v>180</v>
      </c>
      <c r="F69">
        <v>76</v>
      </c>
      <c r="G69" s="1">
        <f>D69-E69-F69+G68</f>
        <v>3969.7999999999993</v>
      </c>
      <c r="H69" s="1">
        <f>kury[[#This Row],[koszt kur]]+kury[[#This Row],[koszt paszy]]</f>
        <v>76</v>
      </c>
      <c r="I69" s="1"/>
    </row>
    <row r="70" spans="1:9">
      <c r="A70">
        <v>69</v>
      </c>
      <c r="B70" s="1">
        <f>MOD(kury[[#This Row],[dzien]]-1,7)+1</f>
        <v>6</v>
      </c>
      <c r="C70">
        <v>198</v>
      </c>
      <c r="D70">
        <v>180</v>
      </c>
      <c r="F70">
        <v>76</v>
      </c>
      <c r="G70" s="1">
        <f>D70-E70-F70+G69</f>
        <v>4073.7999999999993</v>
      </c>
      <c r="H70" s="1">
        <f>kury[[#This Row],[koszt kur]]+kury[[#This Row],[koszt paszy]]</f>
        <v>76</v>
      </c>
      <c r="I70" s="1"/>
    </row>
    <row r="71" spans="1:9">
      <c r="A71">
        <v>70</v>
      </c>
      <c r="B71" s="1">
        <f>MOD(kury[[#This Row],[dzien]]-1,7)+1</f>
        <v>7</v>
      </c>
      <c r="C71">
        <v>198</v>
      </c>
      <c r="D71">
        <v>0</v>
      </c>
      <c r="F71">
        <v>75.239999999999995</v>
      </c>
      <c r="G71" s="1">
        <f>D71-E71-F71+G70</f>
        <v>3998.5599999999995</v>
      </c>
      <c r="H71" s="1">
        <f>kury[[#This Row],[koszt kur]]+kury[[#This Row],[koszt paszy]]</f>
        <v>75.239999999999995</v>
      </c>
      <c r="I71" s="1"/>
    </row>
    <row r="72" spans="1:9">
      <c r="A72">
        <v>71</v>
      </c>
      <c r="B72" s="1">
        <f>MOD(kury[[#This Row],[dzien]]-1,7)+1</f>
        <v>1</v>
      </c>
      <c r="C72">
        <v>196</v>
      </c>
      <c r="D72">
        <v>178.20000000000002</v>
      </c>
      <c r="F72">
        <v>75.239999999999995</v>
      </c>
      <c r="G72" s="1">
        <f>D72-E72-F72+G71</f>
        <v>4101.5199999999995</v>
      </c>
      <c r="H72" s="1">
        <f>kury[[#This Row],[koszt kur]]+kury[[#This Row],[koszt paszy]]</f>
        <v>75.239999999999995</v>
      </c>
      <c r="I72" s="1"/>
    </row>
    <row r="73" spans="1:9">
      <c r="A73">
        <v>72</v>
      </c>
      <c r="B73" s="1">
        <f>MOD(kury[[#This Row],[dzien]]-1,7)+1</f>
        <v>2</v>
      </c>
      <c r="C73">
        <v>196</v>
      </c>
      <c r="D73">
        <v>176.4</v>
      </c>
      <c r="F73">
        <v>74.48</v>
      </c>
      <c r="G73" s="1">
        <f>D73-E73-F73+G72</f>
        <v>4203.4399999999996</v>
      </c>
      <c r="H73" s="1">
        <f>kury[[#This Row],[koszt kur]]+kury[[#This Row],[koszt paszy]]</f>
        <v>74.48</v>
      </c>
      <c r="I73" s="1"/>
    </row>
    <row r="74" spans="1:9">
      <c r="A74">
        <v>73</v>
      </c>
      <c r="B74" s="1">
        <f>MOD(kury[[#This Row],[dzien]]-1,7)+1</f>
        <v>3</v>
      </c>
      <c r="C74">
        <v>194</v>
      </c>
      <c r="D74">
        <v>176.4</v>
      </c>
      <c r="F74">
        <v>74.48</v>
      </c>
      <c r="G74" s="1">
        <f>D74-E74-F74+G73</f>
        <v>4305.3599999999997</v>
      </c>
      <c r="H74" s="1">
        <f>kury[[#This Row],[koszt kur]]+kury[[#This Row],[koszt paszy]]</f>
        <v>74.48</v>
      </c>
      <c r="I74" s="1"/>
    </row>
    <row r="75" spans="1:9">
      <c r="A75">
        <v>74</v>
      </c>
      <c r="B75" s="1">
        <f>MOD(kury[[#This Row],[dzien]]-1,7)+1</f>
        <v>4</v>
      </c>
      <c r="C75">
        <v>194</v>
      </c>
      <c r="D75">
        <v>174.6</v>
      </c>
      <c r="F75">
        <v>73.72</v>
      </c>
      <c r="G75" s="1">
        <f>D75-E75-F75+G74</f>
        <v>4406.24</v>
      </c>
      <c r="H75" s="1">
        <f>kury[[#This Row],[koszt kur]]+kury[[#This Row],[koszt paszy]]</f>
        <v>73.72</v>
      </c>
      <c r="I75" s="1"/>
    </row>
    <row r="76" spans="1:9">
      <c r="A76">
        <v>75</v>
      </c>
      <c r="B76" s="1">
        <f>MOD(kury[[#This Row],[dzien]]-1,7)+1</f>
        <v>5</v>
      </c>
      <c r="C76">
        <v>192</v>
      </c>
      <c r="D76">
        <v>174.6</v>
      </c>
      <c r="F76">
        <v>73.72</v>
      </c>
      <c r="G76" s="1">
        <f>D76-E76-F76+G75</f>
        <v>4507.12</v>
      </c>
      <c r="H76" s="1">
        <f>kury[[#This Row],[koszt kur]]+kury[[#This Row],[koszt paszy]]</f>
        <v>73.72</v>
      </c>
      <c r="I76" s="1"/>
    </row>
    <row r="77" spans="1:9">
      <c r="A77">
        <v>76</v>
      </c>
      <c r="B77" s="1">
        <f>MOD(kury[[#This Row],[dzien]]-1,7)+1</f>
        <v>6</v>
      </c>
      <c r="C77">
        <v>192</v>
      </c>
      <c r="D77">
        <v>172.8</v>
      </c>
      <c r="F77">
        <v>72.959999999999994</v>
      </c>
      <c r="G77" s="1">
        <f>D77-E77-F77+G76</f>
        <v>4606.96</v>
      </c>
      <c r="H77" s="1">
        <f>kury[[#This Row],[koszt kur]]+kury[[#This Row],[koszt paszy]]</f>
        <v>72.959999999999994</v>
      </c>
      <c r="I77" s="1"/>
    </row>
    <row r="78" spans="1:9">
      <c r="A78">
        <v>77</v>
      </c>
      <c r="B78" s="1">
        <f>MOD(kury[[#This Row],[dzien]]-1,7)+1</f>
        <v>7</v>
      </c>
      <c r="C78">
        <v>190</v>
      </c>
      <c r="D78">
        <v>0</v>
      </c>
      <c r="F78">
        <v>72.959999999999994</v>
      </c>
      <c r="G78" s="1">
        <f>D78-E78-F78+G77</f>
        <v>4534</v>
      </c>
      <c r="H78" s="1">
        <f>kury[[#This Row],[koszt kur]]+kury[[#This Row],[koszt paszy]]</f>
        <v>72.959999999999994</v>
      </c>
      <c r="I78" s="1"/>
    </row>
    <row r="79" spans="1:9">
      <c r="A79">
        <v>78</v>
      </c>
      <c r="B79" s="1">
        <f>MOD(kury[[#This Row],[dzien]]-1,7)+1</f>
        <v>1</v>
      </c>
      <c r="C79">
        <v>190</v>
      </c>
      <c r="D79">
        <v>171</v>
      </c>
      <c r="F79">
        <v>72.2</v>
      </c>
      <c r="G79" s="1">
        <f>D79-E79-F79+G78</f>
        <v>4632.8</v>
      </c>
      <c r="H79" s="1">
        <f>kury[[#This Row],[koszt kur]]+kury[[#This Row],[koszt paszy]]</f>
        <v>72.2</v>
      </c>
      <c r="I79" s="1"/>
    </row>
    <row r="80" spans="1:9">
      <c r="A80">
        <v>79</v>
      </c>
      <c r="B80" s="1">
        <f>MOD(kury[[#This Row],[dzien]]-1,7)+1</f>
        <v>2</v>
      </c>
      <c r="C80">
        <v>188</v>
      </c>
      <c r="D80">
        <v>171</v>
      </c>
      <c r="F80">
        <v>72.2</v>
      </c>
      <c r="G80" s="1">
        <f>D80-E80-F80+G79</f>
        <v>4731.6000000000004</v>
      </c>
      <c r="H80" s="1">
        <f>kury[[#This Row],[koszt kur]]+kury[[#This Row],[koszt paszy]]</f>
        <v>72.2</v>
      </c>
      <c r="I80" s="1"/>
    </row>
    <row r="81" spans="1:9">
      <c r="A81">
        <v>80</v>
      </c>
      <c r="B81" s="1">
        <f>MOD(kury[[#This Row],[dzien]]-1,7)+1</f>
        <v>3</v>
      </c>
      <c r="C81">
        <v>188</v>
      </c>
      <c r="D81">
        <v>169.20000000000002</v>
      </c>
      <c r="F81">
        <v>71.44</v>
      </c>
      <c r="G81" s="1">
        <f>D81-E81-F81+G80</f>
        <v>4829.3600000000006</v>
      </c>
      <c r="H81" s="1">
        <f>kury[[#This Row],[koszt kur]]+kury[[#This Row],[koszt paszy]]</f>
        <v>71.44</v>
      </c>
      <c r="I81" s="1"/>
    </row>
    <row r="82" spans="1:9">
      <c r="A82">
        <v>81</v>
      </c>
      <c r="B82" s="1">
        <f>MOD(kury[[#This Row],[dzien]]-1,7)+1</f>
        <v>4</v>
      </c>
      <c r="C82">
        <v>186</v>
      </c>
      <c r="D82">
        <v>169.20000000000002</v>
      </c>
      <c r="F82">
        <v>71.44</v>
      </c>
      <c r="G82" s="1">
        <f>D82-E82-F82+G81</f>
        <v>4927.1200000000008</v>
      </c>
      <c r="H82" s="1">
        <f>kury[[#This Row],[koszt kur]]+kury[[#This Row],[koszt paszy]]</f>
        <v>71.44</v>
      </c>
      <c r="I82" s="1"/>
    </row>
    <row r="83" spans="1:9">
      <c r="A83">
        <v>82</v>
      </c>
      <c r="B83" s="1">
        <f>MOD(kury[[#This Row],[dzien]]-1,7)+1</f>
        <v>5</v>
      </c>
      <c r="C83">
        <v>186</v>
      </c>
      <c r="D83">
        <v>167.4</v>
      </c>
      <c r="F83">
        <v>70.680000000000007</v>
      </c>
      <c r="G83" s="1">
        <f>D83-E83-F83+G82</f>
        <v>5023.8400000000011</v>
      </c>
      <c r="H83" s="1">
        <f>kury[[#This Row],[koszt kur]]+kury[[#This Row],[koszt paszy]]</f>
        <v>70.680000000000007</v>
      </c>
      <c r="I83" s="1"/>
    </row>
    <row r="84" spans="1:9">
      <c r="A84">
        <v>83</v>
      </c>
      <c r="B84" s="1">
        <f>MOD(kury[[#This Row],[dzien]]-1,7)+1</f>
        <v>6</v>
      </c>
      <c r="C84">
        <v>184</v>
      </c>
      <c r="D84">
        <v>167.4</v>
      </c>
      <c r="F84">
        <v>70.680000000000007</v>
      </c>
      <c r="G84" s="1">
        <f>D84-E84-F84+G83</f>
        <v>5120.5600000000013</v>
      </c>
      <c r="H84" s="1">
        <f>kury[[#This Row],[koszt kur]]+kury[[#This Row],[koszt paszy]]</f>
        <v>70.680000000000007</v>
      </c>
      <c r="I84" s="1"/>
    </row>
    <row r="85" spans="1:9">
      <c r="A85">
        <v>84</v>
      </c>
      <c r="B85" s="1">
        <f>MOD(kury[[#This Row],[dzien]]-1,7)+1</f>
        <v>7</v>
      </c>
      <c r="C85">
        <v>184</v>
      </c>
      <c r="D85">
        <v>0</v>
      </c>
      <c r="F85">
        <v>69.92</v>
      </c>
      <c r="G85" s="1">
        <f>D85-E85-F85+G84</f>
        <v>5050.6400000000012</v>
      </c>
      <c r="H85" s="1">
        <f>kury[[#This Row],[koszt kur]]+kury[[#This Row],[koszt paszy]]</f>
        <v>69.92</v>
      </c>
      <c r="I85" s="1"/>
    </row>
    <row r="86" spans="1:9">
      <c r="A86">
        <v>85</v>
      </c>
      <c r="B86" s="1">
        <f>MOD(kury[[#This Row],[dzien]]-1,7)+1</f>
        <v>1</v>
      </c>
      <c r="C86">
        <v>182</v>
      </c>
      <c r="D86">
        <v>165.6</v>
      </c>
      <c r="F86">
        <v>69.92</v>
      </c>
      <c r="G86" s="1">
        <f>D86-E86-F86+G85</f>
        <v>5146.3200000000015</v>
      </c>
      <c r="H86" s="1">
        <f>kury[[#This Row],[koszt kur]]+kury[[#This Row],[koszt paszy]]</f>
        <v>69.92</v>
      </c>
      <c r="I86" s="1"/>
    </row>
    <row r="87" spans="1:9">
      <c r="A87">
        <v>86</v>
      </c>
      <c r="B87" s="1">
        <f>MOD(kury[[#This Row],[dzien]]-1,7)+1</f>
        <v>2</v>
      </c>
      <c r="C87">
        <v>182</v>
      </c>
      <c r="D87">
        <v>163.80000000000001</v>
      </c>
      <c r="F87">
        <v>69.16</v>
      </c>
      <c r="G87" s="1">
        <f>D87-E87-F87+G86</f>
        <v>5240.9600000000019</v>
      </c>
      <c r="H87" s="1">
        <f>kury[[#This Row],[koszt kur]]+kury[[#This Row],[koszt paszy]]</f>
        <v>69.16</v>
      </c>
      <c r="I87" s="1"/>
    </row>
    <row r="88" spans="1:9">
      <c r="A88">
        <v>87</v>
      </c>
      <c r="B88" s="1">
        <f>MOD(kury[[#This Row],[dzien]]-1,7)+1</f>
        <v>3</v>
      </c>
      <c r="C88">
        <v>180</v>
      </c>
      <c r="D88">
        <v>163.80000000000001</v>
      </c>
      <c r="F88">
        <v>69.16</v>
      </c>
      <c r="G88" s="1">
        <f>D88-E88-F88+G87</f>
        <v>5335.6000000000022</v>
      </c>
      <c r="H88" s="1">
        <f>kury[[#This Row],[koszt kur]]+kury[[#This Row],[koszt paszy]]</f>
        <v>69.16</v>
      </c>
      <c r="I88" s="1"/>
    </row>
    <row r="89" spans="1:9">
      <c r="A89">
        <v>88</v>
      </c>
      <c r="B89" s="1">
        <f>MOD(kury[[#This Row],[dzien]]-1,7)+1</f>
        <v>4</v>
      </c>
      <c r="C89">
        <v>180</v>
      </c>
      <c r="D89">
        <v>162</v>
      </c>
      <c r="F89">
        <v>68.400000000000006</v>
      </c>
      <c r="G89" s="1">
        <f>D89-E89-F89+G88</f>
        <v>5429.2000000000025</v>
      </c>
      <c r="H89" s="1">
        <f>kury[[#This Row],[koszt kur]]+kury[[#This Row],[koszt paszy]]</f>
        <v>68.400000000000006</v>
      </c>
      <c r="I89" s="1"/>
    </row>
    <row r="90" spans="1:9">
      <c r="A90">
        <v>89</v>
      </c>
      <c r="B90" s="1">
        <f>MOD(kury[[#This Row],[dzien]]-1,7)+1</f>
        <v>5</v>
      </c>
      <c r="C90">
        <v>178</v>
      </c>
      <c r="D90">
        <v>162</v>
      </c>
      <c r="F90">
        <v>68.400000000000006</v>
      </c>
      <c r="G90" s="1">
        <f>D90-E90-F90+G89</f>
        <v>5522.8000000000029</v>
      </c>
      <c r="H90" s="1">
        <f>kury[[#This Row],[koszt kur]]+kury[[#This Row],[koszt paszy]]</f>
        <v>68.400000000000006</v>
      </c>
      <c r="I90" s="1"/>
    </row>
    <row r="91" spans="1:9">
      <c r="A91">
        <v>90</v>
      </c>
      <c r="B91" s="1">
        <f>MOD(kury[[#This Row],[dzien]]-1,7)+1</f>
        <v>6</v>
      </c>
      <c r="C91">
        <v>213</v>
      </c>
      <c r="D91">
        <v>191.70000000000002</v>
      </c>
      <c r="E91">
        <v>630</v>
      </c>
      <c r="F91">
        <v>80.94</v>
      </c>
      <c r="G91" s="1">
        <f>D91-E91-F91+G90</f>
        <v>5003.5600000000031</v>
      </c>
      <c r="H91" s="1">
        <f>kury[[#This Row],[koszt kur]]+kury[[#This Row],[koszt paszy]]</f>
        <v>710.94</v>
      </c>
      <c r="I91" s="1"/>
    </row>
    <row r="92" spans="1:9">
      <c r="A92">
        <v>91</v>
      </c>
      <c r="B92" s="1">
        <f>MOD(kury[[#This Row],[dzien]]-1,7)+1</f>
        <v>7</v>
      </c>
      <c r="C92">
        <v>211</v>
      </c>
      <c r="D92">
        <v>0</v>
      </c>
      <c r="F92">
        <v>80.94</v>
      </c>
      <c r="G92" s="1">
        <f>D92-E92-F92+G91</f>
        <v>4922.6200000000035</v>
      </c>
      <c r="H92" s="1">
        <f>kury[[#This Row],[koszt kur]]+kury[[#This Row],[koszt paszy]]</f>
        <v>80.94</v>
      </c>
      <c r="I92" s="1"/>
    </row>
    <row r="93" spans="1:9">
      <c r="A93">
        <v>92</v>
      </c>
      <c r="B93" s="1">
        <f>MOD(kury[[#This Row],[dzien]]-1,7)+1</f>
        <v>1</v>
      </c>
      <c r="C93">
        <v>211</v>
      </c>
      <c r="D93">
        <v>189.9</v>
      </c>
      <c r="F93">
        <v>80.180000000000007</v>
      </c>
      <c r="G93" s="1">
        <f>D93-E93-F93+G92</f>
        <v>5032.3400000000038</v>
      </c>
      <c r="H93" s="1">
        <f>kury[[#This Row],[koszt kur]]+kury[[#This Row],[koszt paszy]]</f>
        <v>80.180000000000007</v>
      </c>
      <c r="I93" s="1"/>
    </row>
    <row r="94" spans="1:9">
      <c r="A94">
        <v>93</v>
      </c>
      <c r="B94" s="1">
        <f>MOD(kury[[#This Row],[dzien]]-1,7)+1</f>
        <v>2</v>
      </c>
      <c r="C94">
        <v>209</v>
      </c>
      <c r="D94">
        <v>189.9</v>
      </c>
      <c r="F94">
        <v>80.180000000000007</v>
      </c>
      <c r="G94" s="1">
        <f>D94-E94-F94+G93</f>
        <v>5142.060000000004</v>
      </c>
      <c r="H94" s="1">
        <f>kury[[#This Row],[koszt kur]]+kury[[#This Row],[koszt paszy]]</f>
        <v>80.180000000000007</v>
      </c>
      <c r="I94" s="1"/>
    </row>
    <row r="95" spans="1:9">
      <c r="A95">
        <v>94</v>
      </c>
      <c r="B95" s="1">
        <f>MOD(kury[[#This Row],[dzien]]-1,7)+1</f>
        <v>3</v>
      </c>
      <c r="C95">
        <v>209</v>
      </c>
      <c r="D95">
        <v>188.1</v>
      </c>
      <c r="F95">
        <v>79.42</v>
      </c>
      <c r="G95" s="1">
        <f>D95-E95-F95+G94</f>
        <v>5250.7400000000043</v>
      </c>
      <c r="H95" s="1">
        <f>kury[[#This Row],[koszt kur]]+kury[[#This Row],[koszt paszy]]</f>
        <v>79.42</v>
      </c>
      <c r="I95" s="1"/>
    </row>
    <row r="96" spans="1:9">
      <c r="A96">
        <v>95</v>
      </c>
      <c r="B96" s="1">
        <f>MOD(kury[[#This Row],[dzien]]-1,7)+1</f>
        <v>4</v>
      </c>
      <c r="C96">
        <v>207</v>
      </c>
      <c r="D96">
        <v>188.1</v>
      </c>
      <c r="F96">
        <v>79.42</v>
      </c>
      <c r="G96" s="1">
        <f>D96-E96-F96+G95</f>
        <v>5359.4200000000046</v>
      </c>
      <c r="H96" s="1">
        <f>kury[[#This Row],[koszt kur]]+kury[[#This Row],[koszt paszy]]</f>
        <v>79.42</v>
      </c>
      <c r="I96" s="1"/>
    </row>
    <row r="97" spans="1:9">
      <c r="A97">
        <v>96</v>
      </c>
      <c r="B97" s="1">
        <f>MOD(kury[[#This Row],[dzien]]-1,7)+1</f>
        <v>5</v>
      </c>
      <c r="C97">
        <v>207</v>
      </c>
      <c r="D97">
        <v>186.3</v>
      </c>
      <c r="F97">
        <v>78.66</v>
      </c>
      <c r="G97" s="1">
        <f>D97-E97-F97+G96</f>
        <v>5467.0600000000049</v>
      </c>
      <c r="H97" s="1">
        <f>kury[[#This Row],[koszt kur]]+kury[[#This Row],[koszt paszy]]</f>
        <v>78.66</v>
      </c>
      <c r="I97" s="1"/>
    </row>
    <row r="98" spans="1:9">
      <c r="A98">
        <v>97</v>
      </c>
      <c r="B98" s="1">
        <f>MOD(kury[[#This Row],[dzien]]-1,7)+1</f>
        <v>6</v>
      </c>
      <c r="C98">
        <v>205</v>
      </c>
      <c r="D98">
        <v>186.3</v>
      </c>
      <c r="F98">
        <v>78.66</v>
      </c>
      <c r="G98" s="1">
        <f>D98-E98-F98+G97</f>
        <v>5574.7000000000053</v>
      </c>
      <c r="H98" s="1">
        <f>kury[[#This Row],[koszt kur]]+kury[[#This Row],[koszt paszy]]</f>
        <v>78.66</v>
      </c>
      <c r="I98" s="1"/>
    </row>
    <row r="99" spans="1:9">
      <c r="A99">
        <v>98</v>
      </c>
      <c r="B99" s="1">
        <f>MOD(kury[[#This Row],[dzien]]-1,7)+1</f>
        <v>7</v>
      </c>
      <c r="C99">
        <v>205</v>
      </c>
      <c r="D99">
        <v>0</v>
      </c>
      <c r="F99">
        <v>77.900000000000006</v>
      </c>
      <c r="G99" s="1">
        <f>D99-E99-F99+G98</f>
        <v>5496.8000000000056</v>
      </c>
      <c r="H99" s="1">
        <f>kury[[#This Row],[koszt kur]]+kury[[#This Row],[koszt paszy]]</f>
        <v>77.900000000000006</v>
      </c>
      <c r="I99" s="1"/>
    </row>
    <row r="100" spans="1:9">
      <c r="A100">
        <v>99</v>
      </c>
      <c r="B100" s="1">
        <f>MOD(kury[[#This Row],[dzien]]-1,7)+1</f>
        <v>1</v>
      </c>
      <c r="C100">
        <v>203</v>
      </c>
      <c r="D100">
        <v>184.5</v>
      </c>
      <c r="F100">
        <v>77.900000000000006</v>
      </c>
      <c r="G100" s="1">
        <f>D100-E100-F100+G99</f>
        <v>5603.400000000006</v>
      </c>
      <c r="H100" s="1">
        <f>kury[[#This Row],[koszt kur]]+kury[[#This Row],[koszt paszy]]</f>
        <v>77.900000000000006</v>
      </c>
      <c r="I100" s="1"/>
    </row>
    <row r="101" spans="1:9">
      <c r="A101">
        <v>100</v>
      </c>
      <c r="B101" s="1">
        <f>MOD(kury[[#This Row],[dzien]]-1,7)+1</f>
        <v>2</v>
      </c>
      <c r="C101">
        <v>203</v>
      </c>
      <c r="D101">
        <v>182.70000000000002</v>
      </c>
      <c r="F101">
        <v>77.14</v>
      </c>
      <c r="G101" s="1">
        <f>D101-E101-F101+G100</f>
        <v>5708.9600000000064</v>
      </c>
      <c r="H101" s="1">
        <f>kury[[#This Row],[koszt kur]]+kury[[#This Row],[koszt paszy]]</f>
        <v>77.14</v>
      </c>
      <c r="I101" s="1"/>
    </row>
    <row r="102" spans="1:9">
      <c r="A102">
        <v>101</v>
      </c>
      <c r="B102" s="1">
        <f>MOD(kury[[#This Row],[dzien]]-1,7)+1</f>
        <v>3</v>
      </c>
      <c r="C102">
        <v>201</v>
      </c>
      <c r="D102">
        <v>182.70000000000002</v>
      </c>
      <c r="F102">
        <v>77.14</v>
      </c>
      <c r="G102" s="1">
        <f>D102-E102-F102+G101</f>
        <v>5814.5200000000068</v>
      </c>
      <c r="H102" s="1">
        <f>kury[[#This Row],[koszt kur]]+kury[[#This Row],[koszt paszy]]</f>
        <v>77.14</v>
      </c>
      <c r="I102" s="1"/>
    </row>
    <row r="103" spans="1:9">
      <c r="A103">
        <v>102</v>
      </c>
      <c r="B103" s="1">
        <f>MOD(kury[[#This Row],[dzien]]-1,7)+1</f>
        <v>4</v>
      </c>
      <c r="C103">
        <v>201</v>
      </c>
      <c r="D103">
        <v>180.9</v>
      </c>
      <c r="F103">
        <v>76.38</v>
      </c>
      <c r="G103" s="1">
        <f>D103-E103-F103+G102</f>
        <v>5919.0400000000072</v>
      </c>
      <c r="H103" s="1">
        <f>kury[[#This Row],[koszt kur]]+kury[[#This Row],[koszt paszy]]</f>
        <v>76.38</v>
      </c>
      <c r="I103" s="1"/>
    </row>
    <row r="104" spans="1:9">
      <c r="A104">
        <v>103</v>
      </c>
      <c r="B104" s="1">
        <f>MOD(kury[[#This Row],[dzien]]-1,7)+1</f>
        <v>5</v>
      </c>
      <c r="C104">
        <v>199</v>
      </c>
      <c r="D104">
        <v>180.9</v>
      </c>
      <c r="F104">
        <v>76.38</v>
      </c>
      <c r="G104" s="1">
        <f>D104-E104-F104+G103</f>
        <v>6023.5600000000077</v>
      </c>
      <c r="H104" s="1">
        <f>kury[[#This Row],[koszt kur]]+kury[[#This Row],[koszt paszy]]</f>
        <v>76.38</v>
      </c>
      <c r="I104" s="1"/>
    </row>
    <row r="105" spans="1:9">
      <c r="A105">
        <v>104</v>
      </c>
      <c r="B105" s="1">
        <f>MOD(kury[[#This Row],[dzien]]-1,7)+1</f>
        <v>6</v>
      </c>
      <c r="C105">
        <v>199</v>
      </c>
      <c r="D105">
        <v>179.1</v>
      </c>
      <c r="F105">
        <v>75.62</v>
      </c>
      <c r="G105" s="1">
        <f>D105-E105-F105+G104</f>
        <v>6127.0400000000072</v>
      </c>
      <c r="H105" s="1">
        <f>kury[[#This Row],[koszt kur]]+kury[[#This Row],[koszt paszy]]</f>
        <v>75.62</v>
      </c>
      <c r="I105" s="1"/>
    </row>
    <row r="106" spans="1:9">
      <c r="A106">
        <v>105</v>
      </c>
      <c r="B106" s="1">
        <f>MOD(kury[[#This Row],[dzien]]-1,7)+1</f>
        <v>7</v>
      </c>
      <c r="C106">
        <v>197</v>
      </c>
      <c r="D106">
        <v>0</v>
      </c>
      <c r="F106">
        <v>75.62</v>
      </c>
      <c r="G106" s="1">
        <f>D106-E106-F106+G105</f>
        <v>6051.4200000000073</v>
      </c>
      <c r="H106" s="1">
        <f>kury[[#This Row],[koszt kur]]+kury[[#This Row],[koszt paszy]]</f>
        <v>75.62</v>
      </c>
      <c r="I106" s="1"/>
    </row>
    <row r="107" spans="1:9">
      <c r="A107">
        <v>106</v>
      </c>
      <c r="B107" s="1">
        <f>MOD(kury[[#This Row],[dzien]]-1,7)+1</f>
        <v>1</v>
      </c>
      <c r="C107">
        <v>197</v>
      </c>
      <c r="D107">
        <v>177.3</v>
      </c>
      <c r="F107">
        <v>74.86</v>
      </c>
      <c r="G107" s="1">
        <f>D107-E107-F107+G106</f>
        <v>6153.8600000000069</v>
      </c>
      <c r="H107" s="1">
        <f>kury[[#This Row],[koszt kur]]+kury[[#This Row],[koszt paszy]]</f>
        <v>74.86</v>
      </c>
      <c r="I107" s="1"/>
    </row>
    <row r="108" spans="1:9">
      <c r="A108">
        <v>107</v>
      </c>
      <c r="B108" s="1">
        <f>MOD(kury[[#This Row],[dzien]]-1,7)+1</f>
        <v>2</v>
      </c>
      <c r="C108">
        <v>195</v>
      </c>
      <c r="D108">
        <v>177.3</v>
      </c>
      <c r="F108">
        <v>74.86</v>
      </c>
      <c r="G108" s="1">
        <f>D108-E108-F108+G107</f>
        <v>6256.3000000000065</v>
      </c>
      <c r="H108" s="1">
        <f>kury[[#This Row],[koszt kur]]+kury[[#This Row],[koszt paszy]]</f>
        <v>74.86</v>
      </c>
      <c r="I108" s="1"/>
    </row>
    <row r="109" spans="1:9">
      <c r="A109">
        <v>108</v>
      </c>
      <c r="B109" s="1">
        <f>MOD(kury[[#This Row],[dzien]]-1,7)+1</f>
        <v>3</v>
      </c>
      <c r="C109">
        <v>195</v>
      </c>
      <c r="D109">
        <v>175.5</v>
      </c>
      <c r="F109">
        <v>74.099999999999994</v>
      </c>
      <c r="G109" s="1">
        <f>D109-E109-F109+G108</f>
        <v>6357.7000000000062</v>
      </c>
      <c r="H109" s="1">
        <f>kury[[#This Row],[koszt kur]]+kury[[#This Row],[koszt paszy]]</f>
        <v>74.099999999999994</v>
      </c>
      <c r="I109" s="1"/>
    </row>
    <row r="110" spans="1:9">
      <c r="A110">
        <v>109</v>
      </c>
      <c r="B110" s="1">
        <f>MOD(kury[[#This Row],[dzien]]-1,7)+1</f>
        <v>4</v>
      </c>
      <c r="C110">
        <v>193</v>
      </c>
      <c r="D110">
        <v>175.5</v>
      </c>
      <c r="F110">
        <v>74.099999999999994</v>
      </c>
      <c r="G110" s="1">
        <f>D110-E110-F110+G109</f>
        <v>6459.1000000000058</v>
      </c>
      <c r="H110" s="1">
        <f>kury[[#This Row],[koszt kur]]+kury[[#This Row],[koszt paszy]]</f>
        <v>74.099999999999994</v>
      </c>
      <c r="I110" s="1"/>
    </row>
    <row r="111" spans="1:9">
      <c r="A111">
        <v>110</v>
      </c>
      <c r="B111" s="1">
        <f>MOD(kury[[#This Row],[dzien]]-1,7)+1</f>
        <v>5</v>
      </c>
      <c r="C111">
        <v>193</v>
      </c>
      <c r="D111">
        <v>173.70000000000002</v>
      </c>
      <c r="F111">
        <v>73.34</v>
      </c>
      <c r="G111" s="1">
        <f>D111-E111-F111+G110</f>
        <v>6559.4600000000055</v>
      </c>
      <c r="H111" s="1">
        <f>kury[[#This Row],[koszt kur]]+kury[[#This Row],[koszt paszy]]</f>
        <v>73.34</v>
      </c>
      <c r="I111" s="1"/>
    </row>
    <row r="112" spans="1:9">
      <c r="A112">
        <v>111</v>
      </c>
      <c r="B112" s="1">
        <f>MOD(kury[[#This Row],[dzien]]-1,7)+1</f>
        <v>6</v>
      </c>
      <c r="C112">
        <v>191</v>
      </c>
      <c r="D112">
        <v>173.70000000000002</v>
      </c>
      <c r="F112">
        <v>73.34</v>
      </c>
      <c r="G112" s="1">
        <f>D112-E112-F112+G111</f>
        <v>6659.8200000000052</v>
      </c>
      <c r="H112" s="1">
        <f>kury[[#This Row],[koszt kur]]+kury[[#This Row],[koszt paszy]]</f>
        <v>73.34</v>
      </c>
      <c r="I112" s="1"/>
    </row>
    <row r="113" spans="1:9">
      <c r="A113">
        <v>112</v>
      </c>
      <c r="B113" s="1">
        <f>MOD(kury[[#This Row],[dzien]]-1,7)+1</f>
        <v>7</v>
      </c>
      <c r="C113">
        <v>191</v>
      </c>
      <c r="D113">
        <v>0</v>
      </c>
      <c r="F113">
        <v>72.58</v>
      </c>
      <c r="G113" s="1">
        <f>D113-E113-F113+G112</f>
        <v>6587.2400000000052</v>
      </c>
      <c r="H113" s="1">
        <f>kury[[#This Row],[koszt kur]]+kury[[#This Row],[koszt paszy]]</f>
        <v>72.58</v>
      </c>
      <c r="I113" s="1"/>
    </row>
    <row r="114" spans="1:9">
      <c r="A114">
        <v>113</v>
      </c>
      <c r="B114" s="1">
        <f>MOD(kury[[#This Row],[dzien]]-1,7)+1</f>
        <v>1</v>
      </c>
      <c r="C114">
        <v>189</v>
      </c>
      <c r="D114">
        <v>171.9</v>
      </c>
      <c r="F114">
        <v>72.58</v>
      </c>
      <c r="G114" s="1">
        <f>D114-E114-F114+G113</f>
        <v>6686.5600000000049</v>
      </c>
      <c r="H114" s="1">
        <f>kury[[#This Row],[koszt kur]]+kury[[#This Row],[koszt paszy]]</f>
        <v>72.58</v>
      </c>
      <c r="I114" s="1"/>
    </row>
    <row r="115" spans="1:9">
      <c r="A115">
        <v>114</v>
      </c>
      <c r="B115" s="1">
        <f>MOD(kury[[#This Row],[dzien]]-1,7)+1</f>
        <v>2</v>
      </c>
      <c r="C115">
        <v>189</v>
      </c>
      <c r="D115">
        <v>170.1</v>
      </c>
      <c r="F115">
        <v>71.820000000000007</v>
      </c>
      <c r="G115" s="1">
        <f>D115-E115-F115+G114</f>
        <v>6784.8400000000047</v>
      </c>
      <c r="H115" s="1">
        <f>kury[[#This Row],[koszt kur]]+kury[[#This Row],[koszt paszy]]</f>
        <v>71.820000000000007</v>
      </c>
      <c r="I115" s="1"/>
    </row>
    <row r="116" spans="1:9">
      <c r="A116">
        <v>115</v>
      </c>
      <c r="B116" s="1">
        <f>MOD(kury[[#This Row],[dzien]]-1,7)+1</f>
        <v>3</v>
      </c>
      <c r="C116">
        <v>187</v>
      </c>
      <c r="D116">
        <v>170.1</v>
      </c>
      <c r="F116">
        <v>71.820000000000007</v>
      </c>
      <c r="G116" s="1">
        <f>D116-E116-F116+G115</f>
        <v>6883.1200000000044</v>
      </c>
      <c r="H116" s="1">
        <f>kury[[#This Row],[koszt kur]]+kury[[#This Row],[koszt paszy]]</f>
        <v>71.820000000000007</v>
      </c>
      <c r="I116" s="1"/>
    </row>
    <row r="117" spans="1:9">
      <c r="A117">
        <v>116</v>
      </c>
      <c r="B117" s="1">
        <f>MOD(kury[[#This Row],[dzien]]-1,7)+1</f>
        <v>4</v>
      </c>
      <c r="C117">
        <v>187</v>
      </c>
      <c r="D117">
        <v>168.3</v>
      </c>
      <c r="F117">
        <v>71.06</v>
      </c>
      <c r="G117" s="1">
        <f>D117-E117-F117+G116</f>
        <v>6980.3600000000042</v>
      </c>
      <c r="H117" s="1">
        <f>kury[[#This Row],[koszt kur]]+kury[[#This Row],[koszt paszy]]</f>
        <v>71.06</v>
      </c>
      <c r="I117" s="1"/>
    </row>
    <row r="118" spans="1:9">
      <c r="A118">
        <v>117</v>
      </c>
      <c r="B118" s="1">
        <f>MOD(kury[[#This Row],[dzien]]-1,7)+1</f>
        <v>5</v>
      </c>
      <c r="C118">
        <v>185</v>
      </c>
      <c r="D118">
        <v>168.3</v>
      </c>
      <c r="F118">
        <v>71.06</v>
      </c>
      <c r="G118" s="1">
        <f>D118-E118-F118+G117</f>
        <v>7077.600000000004</v>
      </c>
      <c r="H118" s="1">
        <f>kury[[#This Row],[koszt kur]]+kury[[#This Row],[koszt paszy]]</f>
        <v>71.06</v>
      </c>
      <c r="I118" s="1"/>
    </row>
    <row r="119" spans="1:9">
      <c r="A119">
        <v>118</v>
      </c>
      <c r="B119" s="1">
        <f>MOD(kury[[#This Row],[dzien]]-1,7)+1</f>
        <v>6</v>
      </c>
      <c r="C119">
        <v>185</v>
      </c>
      <c r="D119">
        <v>166.5</v>
      </c>
      <c r="F119">
        <v>70.3</v>
      </c>
      <c r="G119" s="1">
        <f>D119-E119-F119+G118</f>
        <v>7173.8000000000038</v>
      </c>
      <c r="H119" s="1">
        <f>kury[[#This Row],[koszt kur]]+kury[[#This Row],[koszt paszy]]</f>
        <v>70.3</v>
      </c>
      <c r="I119" s="1"/>
    </row>
    <row r="120" spans="1:9">
      <c r="A120">
        <v>119</v>
      </c>
      <c r="B120" s="1">
        <f>MOD(kury[[#This Row],[dzien]]-1,7)+1</f>
        <v>7</v>
      </c>
      <c r="C120">
        <v>183</v>
      </c>
      <c r="D120">
        <v>0</v>
      </c>
      <c r="F120">
        <v>70.3</v>
      </c>
      <c r="G120" s="1">
        <f>D120-E120-F120+G119</f>
        <v>7103.5000000000036</v>
      </c>
      <c r="H120" s="1">
        <f>kury[[#This Row],[koszt kur]]+kury[[#This Row],[koszt paszy]]</f>
        <v>70.3</v>
      </c>
      <c r="I120" s="1"/>
    </row>
    <row r="121" spans="1:9">
      <c r="A121">
        <v>120</v>
      </c>
      <c r="B121" s="1">
        <f>MOD(kury[[#This Row],[dzien]]-1,7)+1</f>
        <v>1</v>
      </c>
      <c r="C121">
        <v>219</v>
      </c>
      <c r="D121">
        <v>197.1</v>
      </c>
      <c r="E121">
        <v>648</v>
      </c>
      <c r="F121">
        <v>83.22</v>
      </c>
      <c r="G121" s="1">
        <f>D121-E121-F121+G120</f>
        <v>6569.3800000000037</v>
      </c>
      <c r="H121" s="1">
        <f>kury[[#This Row],[koszt kur]]+kury[[#This Row],[koszt paszy]]</f>
        <v>731.22</v>
      </c>
      <c r="I121" s="1"/>
    </row>
    <row r="122" spans="1:9">
      <c r="A122">
        <v>121</v>
      </c>
      <c r="B122" s="1">
        <f>MOD(kury[[#This Row],[dzien]]-1,7)+1</f>
        <v>2</v>
      </c>
      <c r="C122">
        <v>217</v>
      </c>
      <c r="D122">
        <v>197.1</v>
      </c>
      <c r="F122">
        <v>83.22</v>
      </c>
      <c r="G122" s="1">
        <f>D122-E122-F122+G121</f>
        <v>6683.2600000000039</v>
      </c>
      <c r="H122" s="1">
        <f>kury[[#This Row],[koszt kur]]+kury[[#This Row],[koszt paszy]]</f>
        <v>83.22</v>
      </c>
      <c r="I122" s="1"/>
    </row>
    <row r="123" spans="1:9">
      <c r="A123">
        <v>122</v>
      </c>
      <c r="B123" s="1">
        <f>MOD(kury[[#This Row],[dzien]]-1,7)+1</f>
        <v>3</v>
      </c>
      <c r="C123">
        <v>217</v>
      </c>
      <c r="D123">
        <v>195.3</v>
      </c>
      <c r="F123">
        <v>82.46</v>
      </c>
      <c r="G123" s="1">
        <f>D123-E123-F123+G122</f>
        <v>6796.100000000004</v>
      </c>
      <c r="H123" s="1">
        <f>kury[[#This Row],[koszt kur]]+kury[[#This Row],[koszt paszy]]</f>
        <v>82.46</v>
      </c>
      <c r="I123" s="1"/>
    </row>
    <row r="124" spans="1:9">
      <c r="A124">
        <v>123</v>
      </c>
      <c r="B124" s="1">
        <f>MOD(kury[[#This Row],[dzien]]-1,7)+1</f>
        <v>4</v>
      </c>
      <c r="C124">
        <v>215</v>
      </c>
      <c r="D124">
        <v>195.3</v>
      </c>
      <c r="F124">
        <v>82.46</v>
      </c>
      <c r="G124" s="1">
        <f>D124-E124-F124+G123</f>
        <v>6908.9400000000041</v>
      </c>
      <c r="H124" s="1">
        <f>kury[[#This Row],[koszt kur]]+kury[[#This Row],[koszt paszy]]</f>
        <v>82.46</v>
      </c>
      <c r="I124" s="1"/>
    </row>
    <row r="125" spans="1:9">
      <c r="A125">
        <v>124</v>
      </c>
      <c r="B125" s="1">
        <f>MOD(kury[[#This Row],[dzien]]-1,7)+1</f>
        <v>5</v>
      </c>
      <c r="C125">
        <v>215</v>
      </c>
      <c r="D125">
        <v>193.5</v>
      </c>
      <c r="F125">
        <v>81.7</v>
      </c>
      <c r="G125" s="1">
        <f>D125-E125-F125+G124</f>
        <v>7020.7400000000043</v>
      </c>
      <c r="H125" s="1">
        <f>kury[[#This Row],[koszt kur]]+kury[[#This Row],[koszt paszy]]</f>
        <v>81.7</v>
      </c>
      <c r="I125" s="1"/>
    </row>
    <row r="126" spans="1:9">
      <c r="A126">
        <v>125</v>
      </c>
      <c r="B126" s="1">
        <f>MOD(kury[[#This Row],[dzien]]-1,7)+1</f>
        <v>6</v>
      </c>
      <c r="C126">
        <v>213</v>
      </c>
      <c r="D126">
        <v>193.5</v>
      </c>
      <c r="F126">
        <v>81.7</v>
      </c>
      <c r="G126" s="1">
        <f>D126-E126-F126+G125</f>
        <v>7132.5400000000045</v>
      </c>
      <c r="H126" s="1">
        <f>kury[[#This Row],[koszt kur]]+kury[[#This Row],[koszt paszy]]</f>
        <v>81.7</v>
      </c>
      <c r="I126" s="1"/>
    </row>
    <row r="127" spans="1:9">
      <c r="A127">
        <v>126</v>
      </c>
      <c r="B127" s="1">
        <f>MOD(kury[[#This Row],[dzien]]-1,7)+1</f>
        <v>7</v>
      </c>
      <c r="C127">
        <v>213</v>
      </c>
      <c r="D127">
        <v>0</v>
      </c>
      <c r="F127">
        <v>80.94</v>
      </c>
      <c r="G127" s="1">
        <f>D127-E127-F127+G126</f>
        <v>7051.6000000000049</v>
      </c>
      <c r="H127" s="1">
        <f>kury[[#This Row],[koszt kur]]+kury[[#This Row],[koszt paszy]]</f>
        <v>80.94</v>
      </c>
      <c r="I127" s="1"/>
    </row>
    <row r="128" spans="1:9">
      <c r="A128">
        <v>127</v>
      </c>
      <c r="B128" s="1">
        <f>MOD(kury[[#This Row],[dzien]]-1,7)+1</f>
        <v>1</v>
      </c>
      <c r="C128">
        <v>211</v>
      </c>
      <c r="D128">
        <v>191.70000000000002</v>
      </c>
      <c r="F128">
        <v>80.94</v>
      </c>
      <c r="G128" s="1">
        <f>D128-E128-F128+G127</f>
        <v>7162.3600000000051</v>
      </c>
      <c r="H128" s="1">
        <f>kury[[#This Row],[koszt kur]]+kury[[#This Row],[koszt paszy]]</f>
        <v>80.94</v>
      </c>
      <c r="I128" s="1"/>
    </row>
    <row r="129" spans="1:9">
      <c r="A129">
        <v>128</v>
      </c>
      <c r="B129" s="1">
        <f>MOD(kury[[#This Row],[dzien]]-1,7)+1</f>
        <v>2</v>
      </c>
      <c r="C129">
        <v>211</v>
      </c>
      <c r="D129">
        <v>189.9</v>
      </c>
      <c r="F129">
        <v>80.180000000000007</v>
      </c>
      <c r="G129" s="1">
        <f>D129-E129-F129+G128</f>
        <v>7272.0800000000054</v>
      </c>
      <c r="H129" s="1">
        <f>kury[[#This Row],[koszt kur]]+kury[[#This Row],[koszt paszy]]</f>
        <v>80.180000000000007</v>
      </c>
      <c r="I129" s="1"/>
    </row>
    <row r="130" spans="1:9">
      <c r="A130">
        <v>129</v>
      </c>
      <c r="B130" s="1">
        <f>MOD(kury[[#This Row],[dzien]]-1,7)+1</f>
        <v>3</v>
      </c>
      <c r="C130">
        <v>209</v>
      </c>
      <c r="D130">
        <v>189.9</v>
      </c>
      <c r="F130">
        <v>80.180000000000007</v>
      </c>
      <c r="G130" s="1">
        <f>D130-E130-F130+G129</f>
        <v>7381.8000000000056</v>
      </c>
      <c r="H130" s="1">
        <f>kury[[#This Row],[koszt kur]]+kury[[#This Row],[koszt paszy]]</f>
        <v>80.180000000000007</v>
      </c>
      <c r="I130" s="1"/>
    </row>
    <row r="131" spans="1:9">
      <c r="A131">
        <v>130</v>
      </c>
      <c r="B131" s="1">
        <f>MOD(kury[[#This Row],[dzien]]-1,7)+1</f>
        <v>4</v>
      </c>
      <c r="C131">
        <v>209</v>
      </c>
      <c r="D131">
        <v>188.1</v>
      </c>
      <c r="F131">
        <v>79.42</v>
      </c>
      <c r="G131" s="1">
        <f>D131-E131-F131+G130</f>
        <v>7490.4800000000059</v>
      </c>
      <c r="H131" s="1">
        <f>kury[[#This Row],[koszt kur]]+kury[[#This Row],[koszt paszy]]</f>
        <v>79.42</v>
      </c>
      <c r="I131" s="1"/>
    </row>
    <row r="132" spans="1:9">
      <c r="A132">
        <v>131</v>
      </c>
      <c r="B132" s="1">
        <f>MOD(kury[[#This Row],[dzien]]-1,7)+1</f>
        <v>5</v>
      </c>
      <c r="C132">
        <v>207</v>
      </c>
      <c r="D132">
        <v>188.1</v>
      </c>
      <c r="F132">
        <v>79.42</v>
      </c>
      <c r="G132" s="1">
        <f>D132-E132-F132+G131</f>
        <v>7599.1600000000062</v>
      </c>
      <c r="H132" s="1">
        <f>kury[[#This Row],[koszt kur]]+kury[[#This Row],[koszt paszy]]</f>
        <v>79.42</v>
      </c>
      <c r="I132" s="1"/>
    </row>
    <row r="133" spans="1:9">
      <c r="A133">
        <v>132</v>
      </c>
      <c r="B133" s="1">
        <f>MOD(kury[[#This Row],[dzien]]-1,7)+1</f>
        <v>6</v>
      </c>
      <c r="C133">
        <v>207</v>
      </c>
      <c r="D133">
        <v>186.3</v>
      </c>
      <c r="F133">
        <v>78.66</v>
      </c>
      <c r="G133" s="1">
        <f>D133-E133-F133+G132</f>
        <v>7706.8000000000065</v>
      </c>
      <c r="H133" s="1">
        <f>kury[[#This Row],[koszt kur]]+kury[[#This Row],[koszt paszy]]</f>
        <v>78.66</v>
      </c>
      <c r="I133" s="1"/>
    </row>
    <row r="134" spans="1:9">
      <c r="A134">
        <v>133</v>
      </c>
      <c r="B134" s="1">
        <f>MOD(kury[[#This Row],[dzien]]-1,7)+1</f>
        <v>7</v>
      </c>
      <c r="C134">
        <v>205</v>
      </c>
      <c r="D134">
        <v>0</v>
      </c>
      <c r="F134">
        <v>78.66</v>
      </c>
      <c r="G134" s="1">
        <f>D134-E134-F134+G133</f>
        <v>7628.1400000000067</v>
      </c>
      <c r="H134" s="1">
        <f>kury[[#This Row],[koszt kur]]+kury[[#This Row],[koszt paszy]]</f>
        <v>78.66</v>
      </c>
      <c r="I134" s="1"/>
    </row>
    <row r="135" spans="1:9">
      <c r="A135">
        <v>134</v>
      </c>
      <c r="B135" s="1">
        <f>MOD(kury[[#This Row],[dzien]]-1,7)+1</f>
        <v>1</v>
      </c>
      <c r="C135">
        <v>205</v>
      </c>
      <c r="D135">
        <v>184.5</v>
      </c>
      <c r="F135">
        <v>77.900000000000006</v>
      </c>
      <c r="G135" s="1">
        <f>D135-E135-F135+G134</f>
        <v>7734.7400000000071</v>
      </c>
      <c r="H135" s="1">
        <f>kury[[#This Row],[koszt kur]]+kury[[#This Row],[koszt paszy]]</f>
        <v>77.900000000000006</v>
      </c>
      <c r="I135" s="1"/>
    </row>
    <row r="136" spans="1:9">
      <c r="A136">
        <v>135</v>
      </c>
      <c r="B136" s="1">
        <f>MOD(kury[[#This Row],[dzien]]-1,7)+1</f>
        <v>2</v>
      </c>
      <c r="C136">
        <v>203</v>
      </c>
      <c r="D136">
        <v>184.5</v>
      </c>
      <c r="F136">
        <v>77.900000000000006</v>
      </c>
      <c r="G136" s="1">
        <f>D136-E136-F136+G135</f>
        <v>7841.3400000000074</v>
      </c>
      <c r="H136" s="1">
        <f>kury[[#This Row],[koszt kur]]+kury[[#This Row],[koszt paszy]]</f>
        <v>77.900000000000006</v>
      </c>
      <c r="I136" s="1"/>
    </row>
    <row r="137" spans="1:9">
      <c r="A137">
        <v>136</v>
      </c>
      <c r="B137" s="1">
        <f>MOD(kury[[#This Row],[dzien]]-1,7)+1</f>
        <v>3</v>
      </c>
      <c r="C137">
        <v>203</v>
      </c>
      <c r="D137">
        <v>182.70000000000002</v>
      </c>
      <c r="F137">
        <v>77.14</v>
      </c>
      <c r="G137" s="1">
        <f>D137-E137-F137+G136</f>
        <v>7946.9000000000078</v>
      </c>
      <c r="H137" s="1">
        <f>kury[[#This Row],[koszt kur]]+kury[[#This Row],[koszt paszy]]</f>
        <v>77.14</v>
      </c>
      <c r="I137" s="1"/>
    </row>
    <row r="138" spans="1:9">
      <c r="A138">
        <v>137</v>
      </c>
      <c r="B138" s="1">
        <f>MOD(kury[[#This Row],[dzien]]-1,7)+1</f>
        <v>4</v>
      </c>
      <c r="C138">
        <v>201</v>
      </c>
      <c r="D138">
        <v>182.70000000000002</v>
      </c>
      <c r="F138">
        <v>77.14</v>
      </c>
      <c r="G138" s="1">
        <f>D138-E138-F138+G137</f>
        <v>8052.4600000000082</v>
      </c>
      <c r="H138" s="1">
        <f>kury[[#This Row],[koszt kur]]+kury[[#This Row],[koszt paszy]]</f>
        <v>77.14</v>
      </c>
      <c r="I138" s="1"/>
    </row>
    <row r="139" spans="1:9">
      <c r="A139">
        <v>138</v>
      </c>
      <c r="B139" s="1">
        <f>MOD(kury[[#This Row],[dzien]]-1,7)+1</f>
        <v>5</v>
      </c>
      <c r="C139">
        <v>201</v>
      </c>
      <c r="D139">
        <v>180.9</v>
      </c>
      <c r="F139">
        <v>76.38</v>
      </c>
      <c r="G139" s="1">
        <f>D139-E139-F139+G138</f>
        <v>8156.9800000000087</v>
      </c>
      <c r="H139" s="1">
        <f>kury[[#This Row],[koszt kur]]+kury[[#This Row],[koszt paszy]]</f>
        <v>76.38</v>
      </c>
      <c r="I139" s="1"/>
    </row>
    <row r="140" spans="1:9">
      <c r="A140">
        <v>139</v>
      </c>
      <c r="B140" s="1">
        <f>MOD(kury[[#This Row],[dzien]]-1,7)+1</f>
        <v>6</v>
      </c>
      <c r="C140">
        <v>199</v>
      </c>
      <c r="D140">
        <v>180.9</v>
      </c>
      <c r="F140">
        <v>76.38</v>
      </c>
      <c r="G140" s="1">
        <f>D140-E140-F140+G139</f>
        <v>8261.5000000000091</v>
      </c>
      <c r="H140" s="1">
        <f>kury[[#This Row],[koszt kur]]+kury[[#This Row],[koszt paszy]]</f>
        <v>76.38</v>
      </c>
      <c r="I140" s="1"/>
    </row>
    <row r="141" spans="1:9">
      <c r="A141">
        <v>140</v>
      </c>
      <c r="B141" s="1">
        <f>MOD(kury[[#This Row],[dzien]]-1,7)+1</f>
        <v>7</v>
      </c>
      <c r="C141">
        <v>199</v>
      </c>
      <c r="D141">
        <v>0</v>
      </c>
      <c r="F141">
        <v>75.62</v>
      </c>
      <c r="G141" s="1">
        <f>D141-E141-F141+G140</f>
        <v>8185.8800000000092</v>
      </c>
      <c r="H141" s="1">
        <f>kury[[#This Row],[koszt kur]]+kury[[#This Row],[koszt paszy]]</f>
        <v>75.62</v>
      </c>
      <c r="I141" s="1"/>
    </row>
    <row r="142" spans="1:9">
      <c r="A142">
        <v>141</v>
      </c>
      <c r="B142" s="1">
        <f>MOD(kury[[#This Row],[dzien]]-1,7)+1</f>
        <v>1</v>
      </c>
      <c r="C142">
        <v>197</v>
      </c>
      <c r="D142">
        <v>179.1</v>
      </c>
      <c r="F142">
        <v>75.62</v>
      </c>
      <c r="G142" s="1">
        <f>D142-E142-F142+G141</f>
        <v>8289.3600000000097</v>
      </c>
      <c r="H142" s="1">
        <f>kury[[#This Row],[koszt kur]]+kury[[#This Row],[koszt paszy]]</f>
        <v>75.62</v>
      </c>
      <c r="I142" s="1"/>
    </row>
    <row r="143" spans="1:9">
      <c r="A143">
        <v>142</v>
      </c>
      <c r="B143" s="1">
        <f>MOD(kury[[#This Row],[dzien]]-1,7)+1</f>
        <v>2</v>
      </c>
      <c r="C143">
        <v>197</v>
      </c>
      <c r="D143">
        <v>177.3</v>
      </c>
      <c r="F143">
        <v>74.86</v>
      </c>
      <c r="G143" s="1">
        <f>D143-E143-F143+G142</f>
        <v>8391.8000000000102</v>
      </c>
      <c r="H143" s="1">
        <f>kury[[#This Row],[koszt kur]]+kury[[#This Row],[koszt paszy]]</f>
        <v>74.86</v>
      </c>
      <c r="I143" s="1"/>
    </row>
    <row r="144" spans="1:9">
      <c r="A144">
        <v>143</v>
      </c>
      <c r="B144" s="1">
        <f>MOD(kury[[#This Row],[dzien]]-1,7)+1</f>
        <v>3</v>
      </c>
      <c r="C144">
        <v>195</v>
      </c>
      <c r="D144">
        <v>177.3</v>
      </c>
      <c r="F144">
        <v>74.86</v>
      </c>
      <c r="G144" s="1">
        <f>D144-E144-F144+G143</f>
        <v>8494.2400000000107</v>
      </c>
      <c r="H144" s="1">
        <f>kury[[#This Row],[koszt kur]]+kury[[#This Row],[koszt paszy]]</f>
        <v>74.86</v>
      </c>
      <c r="I144" s="1"/>
    </row>
    <row r="145" spans="1:9">
      <c r="A145">
        <v>144</v>
      </c>
      <c r="B145" s="1">
        <f>MOD(kury[[#This Row],[dzien]]-1,7)+1</f>
        <v>4</v>
      </c>
      <c r="C145">
        <v>195</v>
      </c>
      <c r="D145">
        <v>175.5</v>
      </c>
      <c r="F145">
        <v>74.099999999999994</v>
      </c>
      <c r="G145" s="1">
        <f>D145-E145-F145+G144</f>
        <v>8595.6400000000103</v>
      </c>
      <c r="H145" s="1">
        <f>kury[[#This Row],[koszt kur]]+kury[[#This Row],[koszt paszy]]</f>
        <v>74.099999999999994</v>
      </c>
      <c r="I145" s="1"/>
    </row>
    <row r="146" spans="1:9">
      <c r="A146">
        <v>145</v>
      </c>
      <c r="B146" s="1">
        <f>MOD(kury[[#This Row],[dzien]]-1,7)+1</f>
        <v>5</v>
      </c>
      <c r="C146">
        <v>193</v>
      </c>
      <c r="D146">
        <v>175.5</v>
      </c>
      <c r="F146">
        <v>74.099999999999994</v>
      </c>
      <c r="G146" s="1">
        <f>D146-E146-F146+G145</f>
        <v>8697.04000000001</v>
      </c>
      <c r="H146" s="1">
        <f>kury[[#This Row],[koszt kur]]+kury[[#This Row],[koszt paszy]]</f>
        <v>74.099999999999994</v>
      </c>
      <c r="I146" s="1"/>
    </row>
    <row r="147" spans="1:9">
      <c r="A147">
        <v>146</v>
      </c>
      <c r="B147" s="1">
        <f>MOD(kury[[#This Row],[dzien]]-1,7)+1</f>
        <v>6</v>
      </c>
      <c r="C147">
        <v>193</v>
      </c>
      <c r="D147">
        <v>173.70000000000002</v>
      </c>
      <c r="F147">
        <v>73.34</v>
      </c>
      <c r="G147" s="1">
        <f>D147-E147-F147+G146</f>
        <v>8797.4000000000106</v>
      </c>
      <c r="H147" s="1">
        <f>kury[[#This Row],[koszt kur]]+kury[[#This Row],[koszt paszy]]</f>
        <v>73.34</v>
      </c>
      <c r="I147" s="1"/>
    </row>
    <row r="148" spans="1:9">
      <c r="A148">
        <v>147</v>
      </c>
      <c r="B148" s="1">
        <f>MOD(kury[[#This Row],[dzien]]-1,7)+1</f>
        <v>7</v>
      </c>
      <c r="C148">
        <v>191</v>
      </c>
      <c r="D148">
        <v>0</v>
      </c>
      <c r="F148">
        <v>73.34</v>
      </c>
      <c r="G148" s="1">
        <f>D148-E148-F148+G147</f>
        <v>8724.0600000000104</v>
      </c>
      <c r="H148" s="1">
        <f>kury[[#This Row],[koszt kur]]+kury[[#This Row],[koszt paszy]]</f>
        <v>73.34</v>
      </c>
      <c r="I148" s="1"/>
    </row>
    <row r="149" spans="1:9">
      <c r="A149">
        <v>148</v>
      </c>
      <c r="B149" s="1">
        <f>MOD(kury[[#This Row],[dzien]]-1,7)+1</f>
        <v>1</v>
      </c>
      <c r="C149">
        <v>191</v>
      </c>
      <c r="D149">
        <v>171.9</v>
      </c>
      <c r="F149">
        <v>72.58</v>
      </c>
      <c r="G149" s="1">
        <f>D149-E149-F149+G148</f>
        <v>8823.3800000000101</v>
      </c>
      <c r="H149" s="1">
        <f>kury[[#This Row],[koszt kur]]+kury[[#This Row],[koszt paszy]]</f>
        <v>72.58</v>
      </c>
      <c r="I149" s="1"/>
    </row>
    <row r="150" spans="1:9">
      <c r="A150">
        <v>149</v>
      </c>
      <c r="B150" s="1">
        <f>MOD(kury[[#This Row],[dzien]]-1,7)+1</f>
        <v>2</v>
      </c>
      <c r="C150">
        <v>189</v>
      </c>
      <c r="D150">
        <v>171.9</v>
      </c>
      <c r="F150">
        <v>72.58</v>
      </c>
      <c r="G150" s="1">
        <f>D150-E150-F150+G149</f>
        <v>8922.7000000000098</v>
      </c>
      <c r="H150" s="1">
        <f>kury[[#This Row],[koszt kur]]+kury[[#This Row],[koszt paszy]]</f>
        <v>72.58</v>
      </c>
      <c r="I150" s="1"/>
    </row>
    <row r="151" spans="1:9">
      <c r="A151">
        <v>150</v>
      </c>
      <c r="B151" s="1">
        <f>MOD(kury[[#This Row],[dzien]]-1,7)+1</f>
        <v>3</v>
      </c>
      <c r="C151">
        <v>226</v>
      </c>
      <c r="D151">
        <v>203.4</v>
      </c>
      <c r="E151">
        <v>666</v>
      </c>
      <c r="F151">
        <v>85.88</v>
      </c>
      <c r="G151" s="1">
        <f>D151-E151-F151+G150</f>
        <v>8374.2200000000103</v>
      </c>
      <c r="H151" s="1">
        <f>kury[[#This Row],[koszt kur]]+kury[[#This Row],[koszt paszy]]</f>
        <v>751.88</v>
      </c>
      <c r="I151" s="1"/>
    </row>
    <row r="152" spans="1:9">
      <c r="A152">
        <v>151</v>
      </c>
      <c r="B152" s="1">
        <f>MOD(kury[[#This Row],[dzien]]-1,7)+1</f>
        <v>4</v>
      </c>
      <c r="C152">
        <v>224</v>
      </c>
      <c r="D152">
        <v>203.4</v>
      </c>
      <c r="F152">
        <v>85.88</v>
      </c>
      <c r="G152" s="1">
        <f>D152-E152-F152+G151</f>
        <v>8491.7400000000107</v>
      </c>
      <c r="H152" s="1">
        <f>kury[[#This Row],[koszt kur]]+kury[[#This Row],[koszt paszy]]</f>
        <v>85.88</v>
      </c>
      <c r="I152" s="1"/>
    </row>
    <row r="153" spans="1:9">
      <c r="A153">
        <v>152</v>
      </c>
      <c r="B153" s="1">
        <f>MOD(kury[[#This Row],[dzien]]-1,7)+1</f>
        <v>5</v>
      </c>
      <c r="C153">
        <v>224</v>
      </c>
      <c r="D153">
        <v>201.6</v>
      </c>
      <c r="F153">
        <v>85.12</v>
      </c>
      <c r="G153" s="1">
        <f>D153-E153-F153+G152</f>
        <v>8608.2200000000103</v>
      </c>
      <c r="H153" s="1">
        <f>kury[[#This Row],[koszt kur]]+kury[[#This Row],[koszt paszy]]</f>
        <v>85.12</v>
      </c>
      <c r="I153" s="1"/>
    </row>
    <row r="154" spans="1:9">
      <c r="A154">
        <v>153</v>
      </c>
      <c r="B154" s="1">
        <f>MOD(kury[[#This Row],[dzien]]-1,7)+1</f>
        <v>6</v>
      </c>
      <c r="C154">
        <v>222</v>
      </c>
      <c r="D154">
        <v>201.6</v>
      </c>
      <c r="F154">
        <v>85.12</v>
      </c>
      <c r="G154" s="1">
        <f>D154-E154-F154+G153</f>
        <v>8724.7000000000098</v>
      </c>
      <c r="H154" s="1">
        <f>kury[[#This Row],[koszt kur]]+kury[[#This Row],[koszt paszy]]</f>
        <v>85.12</v>
      </c>
      <c r="I154" s="1"/>
    </row>
    <row r="155" spans="1:9">
      <c r="A155">
        <v>154</v>
      </c>
      <c r="B155" s="1">
        <f>MOD(kury[[#This Row],[dzien]]-1,7)+1</f>
        <v>7</v>
      </c>
      <c r="C155">
        <v>222</v>
      </c>
      <c r="D155">
        <v>0</v>
      </c>
      <c r="F155">
        <v>84.36</v>
      </c>
      <c r="G155" s="1">
        <f>D155-E155-F155+G154</f>
        <v>8640.3400000000092</v>
      </c>
      <c r="H155" s="1">
        <f>kury[[#This Row],[koszt kur]]+kury[[#This Row],[koszt paszy]]</f>
        <v>84.36</v>
      </c>
      <c r="I155" s="1"/>
    </row>
    <row r="156" spans="1:9">
      <c r="A156">
        <v>155</v>
      </c>
      <c r="B156" s="1">
        <f>MOD(kury[[#This Row],[dzien]]-1,7)+1</f>
        <v>1</v>
      </c>
      <c r="C156">
        <v>220</v>
      </c>
      <c r="D156">
        <v>199.8</v>
      </c>
      <c r="F156">
        <v>84.36</v>
      </c>
      <c r="G156" s="1">
        <f>D156-E156-F156+G155</f>
        <v>8755.7800000000097</v>
      </c>
      <c r="H156" s="1">
        <f>kury[[#This Row],[koszt kur]]+kury[[#This Row],[koszt paszy]]</f>
        <v>84.36</v>
      </c>
      <c r="I156" s="1"/>
    </row>
    <row r="157" spans="1:9">
      <c r="A157">
        <v>156</v>
      </c>
      <c r="B157" s="1">
        <f>MOD(kury[[#This Row],[dzien]]-1,7)+1</f>
        <v>2</v>
      </c>
      <c r="C157">
        <v>220</v>
      </c>
      <c r="D157">
        <v>198</v>
      </c>
      <c r="F157">
        <v>83.6</v>
      </c>
      <c r="G157" s="1">
        <f>D157-E157-F157+G156</f>
        <v>8870.1800000000094</v>
      </c>
      <c r="H157" s="1">
        <f>kury[[#This Row],[koszt kur]]+kury[[#This Row],[koszt paszy]]</f>
        <v>83.6</v>
      </c>
      <c r="I157" s="1"/>
    </row>
    <row r="158" spans="1:9">
      <c r="A158">
        <v>157</v>
      </c>
      <c r="B158" s="1">
        <f>MOD(kury[[#This Row],[dzien]]-1,7)+1</f>
        <v>3</v>
      </c>
      <c r="C158">
        <v>218</v>
      </c>
      <c r="D158">
        <v>198</v>
      </c>
      <c r="F158">
        <v>83.6</v>
      </c>
      <c r="G158" s="1">
        <f>D158-E158-F158+G157</f>
        <v>8984.580000000009</v>
      </c>
      <c r="H158" s="1">
        <f>kury[[#This Row],[koszt kur]]+kury[[#This Row],[koszt paszy]]</f>
        <v>83.6</v>
      </c>
      <c r="I158" s="1"/>
    </row>
    <row r="159" spans="1:9">
      <c r="A159">
        <v>158</v>
      </c>
      <c r="B159" s="1">
        <f>MOD(kury[[#This Row],[dzien]]-1,7)+1</f>
        <v>4</v>
      </c>
      <c r="C159">
        <v>218</v>
      </c>
      <c r="D159">
        <v>196.20000000000002</v>
      </c>
      <c r="F159">
        <v>82.84</v>
      </c>
      <c r="G159" s="1">
        <f>D159-E159-F159+G158</f>
        <v>9097.9400000000096</v>
      </c>
      <c r="H159" s="1">
        <f>kury[[#This Row],[koszt kur]]+kury[[#This Row],[koszt paszy]]</f>
        <v>82.84</v>
      </c>
      <c r="I159" s="1"/>
    </row>
    <row r="160" spans="1:9">
      <c r="A160">
        <v>159</v>
      </c>
      <c r="B160" s="1">
        <f>MOD(kury[[#This Row],[dzien]]-1,7)+1</f>
        <v>5</v>
      </c>
      <c r="C160">
        <v>216</v>
      </c>
      <c r="D160">
        <v>196.20000000000002</v>
      </c>
      <c r="F160">
        <v>82.84</v>
      </c>
      <c r="G160" s="1">
        <f>D160-E160-F160+G159</f>
        <v>9211.3000000000102</v>
      </c>
      <c r="H160" s="1">
        <f>kury[[#This Row],[koszt kur]]+kury[[#This Row],[koszt paszy]]</f>
        <v>82.84</v>
      </c>
      <c r="I160" s="1"/>
    </row>
    <row r="161" spans="1:9">
      <c r="A161">
        <v>160</v>
      </c>
      <c r="B161" s="1">
        <f>MOD(kury[[#This Row],[dzien]]-1,7)+1</f>
        <v>6</v>
      </c>
      <c r="C161">
        <v>216</v>
      </c>
      <c r="D161">
        <v>194.4</v>
      </c>
      <c r="F161">
        <v>82.08</v>
      </c>
      <c r="G161" s="1">
        <f>D161-E161-F161+G160</f>
        <v>9323.6200000000099</v>
      </c>
      <c r="H161" s="1">
        <f>kury[[#This Row],[koszt kur]]+kury[[#This Row],[koszt paszy]]</f>
        <v>82.08</v>
      </c>
      <c r="I161" s="1"/>
    </row>
    <row r="162" spans="1:9">
      <c r="A162">
        <v>161</v>
      </c>
      <c r="B162" s="1">
        <f>MOD(kury[[#This Row],[dzien]]-1,7)+1</f>
        <v>7</v>
      </c>
      <c r="C162">
        <v>214</v>
      </c>
      <c r="D162">
        <v>0</v>
      </c>
      <c r="F162">
        <v>82.08</v>
      </c>
      <c r="G162" s="1">
        <f>D162-E162-F162+G161</f>
        <v>9241.54000000001</v>
      </c>
      <c r="H162" s="1">
        <f>kury[[#This Row],[koszt kur]]+kury[[#This Row],[koszt paszy]]</f>
        <v>82.08</v>
      </c>
      <c r="I162" s="1"/>
    </row>
    <row r="163" spans="1:9">
      <c r="A163">
        <v>162</v>
      </c>
      <c r="B163" s="1">
        <f>MOD(kury[[#This Row],[dzien]]-1,7)+1</f>
        <v>1</v>
      </c>
      <c r="C163">
        <v>214</v>
      </c>
      <c r="D163">
        <v>192.6</v>
      </c>
      <c r="F163">
        <v>81.320000000000007</v>
      </c>
      <c r="G163" s="1">
        <f>D163-E163-F163+G162</f>
        <v>9352.8200000000106</v>
      </c>
      <c r="H163" s="1">
        <f>kury[[#This Row],[koszt kur]]+kury[[#This Row],[koszt paszy]]</f>
        <v>81.320000000000007</v>
      </c>
      <c r="I163" s="1"/>
    </row>
    <row r="164" spans="1:9">
      <c r="A164">
        <v>163</v>
      </c>
      <c r="B164" s="1">
        <f>MOD(kury[[#This Row],[dzien]]-1,7)+1</f>
        <v>2</v>
      </c>
      <c r="C164">
        <v>212</v>
      </c>
      <c r="D164">
        <v>192.6</v>
      </c>
      <c r="F164">
        <v>81.320000000000007</v>
      </c>
      <c r="G164" s="1">
        <f>D164-E164-F164+G163</f>
        <v>9464.1000000000113</v>
      </c>
      <c r="H164" s="1">
        <f>kury[[#This Row],[koszt kur]]+kury[[#This Row],[koszt paszy]]</f>
        <v>81.320000000000007</v>
      </c>
      <c r="I164" s="1"/>
    </row>
    <row r="165" spans="1:9">
      <c r="A165">
        <v>164</v>
      </c>
      <c r="B165" s="1">
        <f>MOD(kury[[#This Row],[dzien]]-1,7)+1</f>
        <v>3</v>
      </c>
      <c r="C165">
        <v>212</v>
      </c>
      <c r="D165">
        <v>190.8</v>
      </c>
      <c r="F165">
        <v>80.56</v>
      </c>
      <c r="G165" s="1">
        <f>D165-E165-F165+G164</f>
        <v>9574.3400000000111</v>
      </c>
      <c r="H165" s="1">
        <f>kury[[#This Row],[koszt kur]]+kury[[#This Row],[koszt paszy]]</f>
        <v>80.56</v>
      </c>
      <c r="I165" s="1"/>
    </row>
    <row r="166" spans="1:9">
      <c r="A166">
        <v>165</v>
      </c>
      <c r="B166" s="1">
        <f>MOD(kury[[#This Row],[dzien]]-1,7)+1</f>
        <v>4</v>
      </c>
      <c r="C166">
        <v>210</v>
      </c>
      <c r="D166">
        <v>190.8</v>
      </c>
      <c r="F166">
        <v>80.56</v>
      </c>
      <c r="G166" s="1">
        <f>D166-E166-F166+G165</f>
        <v>9684.5800000000108</v>
      </c>
      <c r="H166" s="1">
        <f>kury[[#This Row],[koszt kur]]+kury[[#This Row],[koszt paszy]]</f>
        <v>80.56</v>
      </c>
      <c r="I166" s="1"/>
    </row>
    <row r="167" spans="1:9">
      <c r="A167">
        <v>166</v>
      </c>
      <c r="B167" s="1">
        <f>MOD(kury[[#This Row],[dzien]]-1,7)+1</f>
        <v>5</v>
      </c>
      <c r="C167">
        <v>210</v>
      </c>
      <c r="D167">
        <v>189</v>
      </c>
      <c r="F167">
        <v>79.8</v>
      </c>
      <c r="G167" s="1">
        <f>D167-E167-F167+G166</f>
        <v>9793.7800000000116</v>
      </c>
      <c r="H167" s="1">
        <f>kury[[#This Row],[koszt kur]]+kury[[#This Row],[koszt paszy]]</f>
        <v>79.8</v>
      </c>
      <c r="I167" s="1"/>
    </row>
    <row r="168" spans="1:9">
      <c r="A168">
        <v>167</v>
      </c>
      <c r="B168" s="1">
        <f>MOD(kury[[#This Row],[dzien]]-1,7)+1</f>
        <v>6</v>
      </c>
      <c r="C168">
        <v>208</v>
      </c>
      <c r="D168">
        <v>189</v>
      </c>
      <c r="F168">
        <v>79.8</v>
      </c>
      <c r="G168" s="1">
        <f>D168-E168-F168+G167</f>
        <v>9902.9800000000123</v>
      </c>
      <c r="H168" s="1">
        <f>kury[[#This Row],[koszt kur]]+kury[[#This Row],[koszt paszy]]</f>
        <v>79.8</v>
      </c>
      <c r="I168" s="1"/>
    </row>
    <row r="169" spans="1:9">
      <c r="A169">
        <v>168</v>
      </c>
      <c r="B169" s="1">
        <f>MOD(kury[[#This Row],[dzien]]-1,7)+1</f>
        <v>7</v>
      </c>
      <c r="C169">
        <v>208</v>
      </c>
      <c r="D169">
        <v>0</v>
      </c>
      <c r="F169">
        <v>79.040000000000006</v>
      </c>
      <c r="G169" s="1">
        <f>D169-E169-F169+G168</f>
        <v>9823.9400000000114</v>
      </c>
      <c r="H169" s="1">
        <f>kury[[#This Row],[koszt kur]]+kury[[#This Row],[koszt paszy]]</f>
        <v>79.040000000000006</v>
      </c>
      <c r="I169" s="1"/>
    </row>
    <row r="170" spans="1:9">
      <c r="A170">
        <v>169</v>
      </c>
      <c r="B170" s="1">
        <f>MOD(kury[[#This Row],[dzien]]-1,7)+1</f>
        <v>1</v>
      </c>
      <c r="C170">
        <v>206</v>
      </c>
      <c r="D170">
        <v>187.20000000000002</v>
      </c>
      <c r="F170">
        <v>79.040000000000006</v>
      </c>
      <c r="G170" s="1">
        <f>D170-E170-F170+G169</f>
        <v>9932.1000000000113</v>
      </c>
      <c r="H170" s="1">
        <f>kury[[#This Row],[koszt kur]]+kury[[#This Row],[koszt paszy]]</f>
        <v>79.040000000000006</v>
      </c>
      <c r="I170" s="1"/>
    </row>
    <row r="171" spans="1:9">
      <c r="A171">
        <v>170</v>
      </c>
      <c r="B171" s="1">
        <f>MOD(kury[[#This Row],[dzien]]-1,7)+1</f>
        <v>2</v>
      </c>
      <c r="C171">
        <v>206</v>
      </c>
      <c r="D171">
        <v>185.4</v>
      </c>
      <c r="F171">
        <v>78.28</v>
      </c>
      <c r="G171" s="1">
        <f>D171-E171-F171+G170</f>
        <v>10039.220000000012</v>
      </c>
      <c r="H171" s="1">
        <f>kury[[#This Row],[koszt kur]]+kury[[#This Row],[koszt paszy]]</f>
        <v>78.28</v>
      </c>
      <c r="I171" s="1"/>
    </row>
    <row r="172" spans="1:9">
      <c r="A172">
        <v>171</v>
      </c>
      <c r="B172" s="1">
        <f>MOD(kury[[#This Row],[dzien]]-1,7)+1</f>
        <v>3</v>
      </c>
      <c r="C172">
        <v>204</v>
      </c>
      <c r="D172">
        <v>185.4</v>
      </c>
      <c r="F172">
        <v>78.28</v>
      </c>
      <c r="G172" s="1">
        <f>D172-E172-F172+G171</f>
        <v>10146.340000000013</v>
      </c>
      <c r="H172" s="1">
        <f>kury[[#This Row],[koszt kur]]+kury[[#This Row],[koszt paszy]]</f>
        <v>78.28</v>
      </c>
      <c r="I172" s="1"/>
    </row>
    <row r="173" spans="1:9">
      <c r="A173">
        <v>172</v>
      </c>
      <c r="B173" s="1">
        <f>MOD(kury[[#This Row],[dzien]]-1,7)+1</f>
        <v>4</v>
      </c>
      <c r="C173">
        <v>204</v>
      </c>
      <c r="D173">
        <v>183.6</v>
      </c>
      <c r="F173">
        <v>77.52</v>
      </c>
      <c r="G173" s="1">
        <f>D173-E173-F173+G172</f>
        <v>10252.420000000013</v>
      </c>
      <c r="H173" s="1">
        <f>kury[[#This Row],[koszt kur]]+kury[[#This Row],[koszt paszy]]</f>
        <v>77.52</v>
      </c>
      <c r="I173" s="1"/>
    </row>
    <row r="174" spans="1:9">
      <c r="A174">
        <v>173</v>
      </c>
      <c r="B174" s="1">
        <f>MOD(kury[[#This Row],[dzien]]-1,7)+1</f>
        <v>5</v>
      </c>
      <c r="C174">
        <v>202</v>
      </c>
      <c r="D174">
        <v>183.6</v>
      </c>
      <c r="F174">
        <v>77.52</v>
      </c>
      <c r="G174" s="1">
        <f>D174-E174-F174+G173</f>
        <v>10358.500000000013</v>
      </c>
      <c r="H174" s="1">
        <f>kury[[#This Row],[koszt kur]]+kury[[#This Row],[koszt paszy]]</f>
        <v>77.52</v>
      </c>
      <c r="I174" s="1"/>
    </row>
    <row r="175" spans="1:9">
      <c r="A175">
        <v>174</v>
      </c>
      <c r="B175" s="1">
        <f>MOD(kury[[#This Row],[dzien]]-1,7)+1</f>
        <v>6</v>
      </c>
      <c r="C175">
        <v>202</v>
      </c>
      <c r="D175">
        <v>181.8</v>
      </c>
      <c r="F175">
        <v>76.760000000000005</v>
      </c>
      <c r="G175" s="1">
        <f>D175-E175-F175+G174</f>
        <v>10463.540000000014</v>
      </c>
      <c r="H175" s="1">
        <f>kury[[#This Row],[koszt kur]]+kury[[#This Row],[koszt paszy]]</f>
        <v>76.760000000000005</v>
      </c>
      <c r="I175" s="1"/>
    </row>
    <row r="176" spans="1:9">
      <c r="A176">
        <v>175</v>
      </c>
      <c r="B176" s="1">
        <f>MOD(kury[[#This Row],[dzien]]-1,7)+1</f>
        <v>7</v>
      </c>
      <c r="C176">
        <v>200</v>
      </c>
      <c r="D176">
        <v>0</v>
      </c>
      <c r="F176">
        <v>76.760000000000005</v>
      </c>
      <c r="G176" s="1">
        <f>D176-E176-F176+G175</f>
        <v>10386.780000000013</v>
      </c>
      <c r="H176" s="1">
        <f>kury[[#This Row],[koszt kur]]+kury[[#This Row],[koszt paszy]]</f>
        <v>76.760000000000005</v>
      </c>
      <c r="I176" s="1"/>
    </row>
    <row r="177" spans="1:9">
      <c r="A177">
        <v>176</v>
      </c>
      <c r="B177" s="1">
        <f>MOD(kury[[#This Row],[dzien]]-1,7)+1</f>
        <v>1</v>
      </c>
      <c r="C177">
        <v>200</v>
      </c>
      <c r="D177">
        <v>180</v>
      </c>
      <c r="F177">
        <v>76</v>
      </c>
      <c r="G177" s="1">
        <f>D177-E177-F177+G176</f>
        <v>10490.780000000013</v>
      </c>
      <c r="H177" s="1">
        <f>kury[[#This Row],[koszt kur]]+kury[[#This Row],[koszt paszy]]</f>
        <v>76</v>
      </c>
      <c r="I177" s="1"/>
    </row>
    <row r="178" spans="1:9">
      <c r="A178">
        <v>177</v>
      </c>
      <c r="B178" s="1">
        <f>MOD(kury[[#This Row],[dzien]]-1,7)+1</f>
        <v>2</v>
      </c>
      <c r="C178">
        <v>198</v>
      </c>
      <c r="D178">
        <v>180</v>
      </c>
      <c r="F178">
        <v>76</v>
      </c>
      <c r="G178" s="1">
        <f>D178-E178-F178+G177</f>
        <v>10594.780000000013</v>
      </c>
      <c r="H178" s="1">
        <f>kury[[#This Row],[koszt kur]]+kury[[#This Row],[koszt paszy]]</f>
        <v>76</v>
      </c>
      <c r="I178" s="1"/>
    </row>
    <row r="179" spans="1:9">
      <c r="A179">
        <v>178</v>
      </c>
      <c r="B179" s="1">
        <f>MOD(kury[[#This Row],[dzien]]-1,7)+1</f>
        <v>3</v>
      </c>
      <c r="C179">
        <v>198</v>
      </c>
      <c r="D179">
        <v>178.20000000000002</v>
      </c>
      <c r="F179">
        <v>75.239999999999995</v>
      </c>
      <c r="G179" s="1">
        <f>D179-E179-F179+G178</f>
        <v>10697.740000000013</v>
      </c>
      <c r="H179" s="1">
        <f>kury[[#This Row],[koszt kur]]+kury[[#This Row],[koszt paszy]]</f>
        <v>75.239999999999995</v>
      </c>
      <c r="I179" s="1"/>
    </row>
    <row r="180" spans="1:9">
      <c r="A180">
        <v>179</v>
      </c>
      <c r="B180" s="1">
        <f>MOD(kury[[#This Row],[dzien]]-1,7)+1</f>
        <v>4</v>
      </c>
      <c r="C180">
        <v>196</v>
      </c>
      <c r="D180">
        <v>178.20000000000002</v>
      </c>
      <c r="F180">
        <v>75.239999999999995</v>
      </c>
      <c r="G180" s="1">
        <f>D180-E180-F180+G179</f>
        <v>10800.700000000012</v>
      </c>
      <c r="H180" s="1">
        <f>kury[[#This Row],[koszt kur]]+kury[[#This Row],[koszt paszy]]</f>
        <v>75.239999999999995</v>
      </c>
      <c r="I180" s="1"/>
    </row>
    <row r="181" spans="1:9">
      <c r="A181">
        <v>180</v>
      </c>
      <c r="B181" s="1">
        <f>MOD(kury[[#This Row],[dzien]]-1,7)+1</f>
        <v>5</v>
      </c>
      <c r="C181">
        <v>235</v>
      </c>
      <c r="D181">
        <v>211.5</v>
      </c>
      <c r="E181">
        <v>702</v>
      </c>
      <c r="F181">
        <v>89.3</v>
      </c>
      <c r="G181" s="1">
        <f>D181-E181-F181+G180</f>
        <v>10220.900000000012</v>
      </c>
      <c r="H181" s="1">
        <f>kury[[#This Row],[koszt kur]]+kury[[#This Row],[koszt paszy]]</f>
        <v>791.3</v>
      </c>
      <c r="I181" s="1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Arkusz2"/>
  <dimension ref="A1"/>
  <sheetViews>
    <sheetView workbookViewId="0"/>
  </sheetViews>
  <sheetFormatPr defaultRowHeight="14.4"/>
  <sheetData/>
  <pageMargins left="0.7" right="0.7" top="0.75" bottom="0.75" header="0.3" footer="0.3"/>
  <pageSetup paperSize="0" orientation="portrait" horizontalDpi="0" verticalDpi="0" copie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Arkusz3"/>
  <dimension ref="A1"/>
  <sheetViews>
    <sheetView workbookViewId="0"/>
  </sheetViews>
  <sheetFormatPr defaultRowHeight="14.4"/>
  <sheetData/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3</vt:i4>
      </vt:variant>
    </vt:vector>
  </HeadingPairs>
  <TitlesOfParts>
    <vt:vector size="3" baseType="lpstr">
      <vt:lpstr>Arkusz1</vt:lpstr>
      <vt:lpstr>Arkusz2</vt:lpstr>
      <vt:lpstr>Arkusz3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2006-09-22T13:37:51Z</dcterms:created>
  <dcterms:modified xsi:type="dcterms:W3CDTF">2022-04-09T17:29:15Z</dcterms:modified>
</cp:coreProperties>
</file>