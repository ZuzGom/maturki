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en_skoroszyt"/>
  <mc:AlternateContent xmlns:mc="http://schemas.openxmlformats.org/markup-compatibility/2006">
    <mc:Choice Requires="x15">
      <x15ac:absPath xmlns:x15ac="http://schemas.microsoft.com/office/spreadsheetml/2010/11/ac" url="D:\Projekty\do-szkoly\maturki\2019\"/>
    </mc:Choice>
  </mc:AlternateContent>
  <xr:revisionPtr revIDLastSave="0" documentId="8_{46CF7C5F-332E-42B9-9DF9-793D39B41FC3}" xr6:coauthVersionLast="47" xr6:coauthVersionMax="47" xr10:uidLastSave="{00000000-0000-0000-0000-000000000000}"/>
  <bookViews>
    <workbookView xWindow="-96" yWindow="-96" windowWidth="23232" windowHeight="12552" activeTab="2" xr2:uid="{00000000-000D-0000-FFFF-FFFF00000000}"/>
  </bookViews>
  <sheets>
    <sheet name="c" sheetId="4" r:id="rId1"/>
    <sheet name="Arkusz4" sheetId="6" r:id="rId2"/>
    <sheet name="pogoda" sheetId="5" r:id="rId3"/>
    <sheet name="Arkusz1" sheetId="1" r:id="rId4"/>
  </sheets>
  <definedNames>
    <definedName name="DaneZewnętrzne_2" localSheetId="2" hidden="1">pogoda!$A$1:$E$501</definedName>
  </definedNames>
  <calcPr calcId="191029"/>
  <pivotCaches>
    <pivotCache cacheId="8" r:id="rId5"/>
    <pivotCache cacheId="12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501" i="5" l="1"/>
  <c r="J501" i="5"/>
  <c r="I501" i="5"/>
  <c r="L500" i="5"/>
  <c r="J500" i="5"/>
  <c r="I500" i="5"/>
  <c r="L499" i="5"/>
  <c r="J499" i="5"/>
  <c r="I499" i="5"/>
  <c r="L498" i="5"/>
  <c r="J498" i="5"/>
  <c r="I498" i="5"/>
  <c r="L497" i="5"/>
  <c r="J497" i="5"/>
  <c r="I497" i="5"/>
  <c r="L496" i="5"/>
  <c r="J496" i="5"/>
  <c r="I496" i="5"/>
  <c r="L495" i="5"/>
  <c r="J495" i="5"/>
  <c r="I495" i="5"/>
  <c r="L494" i="5"/>
  <c r="J494" i="5"/>
  <c r="I494" i="5"/>
  <c r="L493" i="5"/>
  <c r="J493" i="5"/>
  <c r="I493" i="5"/>
  <c r="L492" i="5"/>
  <c r="J492" i="5"/>
  <c r="I492" i="5"/>
  <c r="L491" i="5"/>
  <c r="J491" i="5"/>
  <c r="I491" i="5"/>
  <c r="L490" i="5"/>
  <c r="J490" i="5"/>
  <c r="I490" i="5"/>
  <c r="L489" i="5"/>
  <c r="J489" i="5"/>
  <c r="I489" i="5"/>
  <c r="L488" i="5"/>
  <c r="J488" i="5"/>
  <c r="I488" i="5"/>
  <c r="L487" i="5"/>
  <c r="J487" i="5"/>
  <c r="I487" i="5"/>
  <c r="L486" i="5"/>
  <c r="J486" i="5"/>
  <c r="I486" i="5"/>
  <c r="L485" i="5"/>
  <c r="J485" i="5"/>
  <c r="I485" i="5"/>
  <c r="L484" i="5"/>
  <c r="J484" i="5"/>
  <c r="I484" i="5"/>
  <c r="L483" i="5"/>
  <c r="J483" i="5"/>
  <c r="I483" i="5"/>
  <c r="L482" i="5"/>
  <c r="J482" i="5"/>
  <c r="I482" i="5"/>
  <c r="L481" i="5"/>
  <c r="J481" i="5"/>
  <c r="I481" i="5"/>
  <c r="L480" i="5"/>
  <c r="J480" i="5"/>
  <c r="I480" i="5"/>
  <c r="L479" i="5"/>
  <c r="J479" i="5"/>
  <c r="I479" i="5"/>
  <c r="L478" i="5"/>
  <c r="J478" i="5"/>
  <c r="I478" i="5"/>
  <c r="L477" i="5"/>
  <c r="J477" i="5"/>
  <c r="I477" i="5"/>
  <c r="L476" i="5"/>
  <c r="J476" i="5"/>
  <c r="I476" i="5"/>
  <c r="L475" i="5"/>
  <c r="J475" i="5"/>
  <c r="I475" i="5"/>
  <c r="L474" i="5"/>
  <c r="J474" i="5"/>
  <c r="I474" i="5"/>
  <c r="L473" i="5"/>
  <c r="J473" i="5"/>
  <c r="I473" i="5"/>
  <c r="L472" i="5"/>
  <c r="J472" i="5"/>
  <c r="I472" i="5"/>
  <c r="L471" i="5"/>
  <c r="J471" i="5"/>
  <c r="I471" i="5"/>
  <c r="L470" i="5"/>
  <c r="J470" i="5"/>
  <c r="I470" i="5"/>
  <c r="L469" i="5"/>
  <c r="J469" i="5"/>
  <c r="I469" i="5"/>
  <c r="L468" i="5"/>
  <c r="J468" i="5"/>
  <c r="I468" i="5"/>
  <c r="L467" i="5"/>
  <c r="J467" i="5"/>
  <c r="I467" i="5"/>
  <c r="L466" i="5"/>
  <c r="J466" i="5"/>
  <c r="I466" i="5"/>
  <c r="L465" i="5"/>
  <c r="J465" i="5"/>
  <c r="I465" i="5"/>
  <c r="L464" i="5"/>
  <c r="J464" i="5"/>
  <c r="I464" i="5"/>
  <c r="L463" i="5"/>
  <c r="J463" i="5"/>
  <c r="I463" i="5"/>
  <c r="L462" i="5"/>
  <c r="J462" i="5"/>
  <c r="I462" i="5"/>
  <c r="L461" i="5"/>
  <c r="J461" i="5"/>
  <c r="I461" i="5"/>
  <c r="L460" i="5"/>
  <c r="J460" i="5"/>
  <c r="I460" i="5"/>
  <c r="L459" i="5"/>
  <c r="J459" i="5"/>
  <c r="I459" i="5"/>
  <c r="L458" i="5"/>
  <c r="J458" i="5"/>
  <c r="I458" i="5"/>
  <c r="L457" i="5"/>
  <c r="J457" i="5"/>
  <c r="I457" i="5"/>
  <c r="L456" i="5"/>
  <c r="J456" i="5"/>
  <c r="I456" i="5"/>
  <c r="L455" i="5"/>
  <c r="J455" i="5"/>
  <c r="I455" i="5"/>
  <c r="L454" i="5"/>
  <c r="J454" i="5"/>
  <c r="I454" i="5"/>
  <c r="L453" i="5"/>
  <c r="J453" i="5"/>
  <c r="I453" i="5"/>
  <c r="L452" i="5"/>
  <c r="J452" i="5"/>
  <c r="I452" i="5"/>
  <c r="L451" i="5"/>
  <c r="J451" i="5"/>
  <c r="I451" i="5"/>
  <c r="L450" i="5"/>
  <c r="J450" i="5"/>
  <c r="I450" i="5"/>
  <c r="L449" i="5"/>
  <c r="J449" i="5"/>
  <c r="I449" i="5"/>
  <c r="L448" i="5"/>
  <c r="J448" i="5"/>
  <c r="I448" i="5"/>
  <c r="L447" i="5"/>
  <c r="J447" i="5"/>
  <c r="I447" i="5"/>
  <c r="L446" i="5"/>
  <c r="J446" i="5"/>
  <c r="I446" i="5"/>
  <c r="L445" i="5"/>
  <c r="J445" i="5"/>
  <c r="I445" i="5"/>
  <c r="L444" i="5"/>
  <c r="J444" i="5"/>
  <c r="I444" i="5"/>
  <c r="L443" i="5"/>
  <c r="J443" i="5"/>
  <c r="I443" i="5"/>
  <c r="L442" i="5"/>
  <c r="J442" i="5"/>
  <c r="I442" i="5"/>
  <c r="L441" i="5"/>
  <c r="J441" i="5"/>
  <c r="I441" i="5"/>
  <c r="L440" i="5"/>
  <c r="J440" i="5"/>
  <c r="I440" i="5"/>
  <c r="L439" i="5"/>
  <c r="J439" i="5"/>
  <c r="I439" i="5"/>
  <c r="L438" i="5"/>
  <c r="J438" i="5"/>
  <c r="I438" i="5"/>
  <c r="L437" i="5"/>
  <c r="J437" i="5"/>
  <c r="I437" i="5"/>
  <c r="L436" i="5"/>
  <c r="J436" i="5"/>
  <c r="I436" i="5"/>
  <c r="L435" i="5"/>
  <c r="J435" i="5"/>
  <c r="I435" i="5"/>
  <c r="L434" i="5"/>
  <c r="J434" i="5"/>
  <c r="I434" i="5"/>
  <c r="L433" i="5"/>
  <c r="J433" i="5"/>
  <c r="I433" i="5"/>
  <c r="L432" i="5"/>
  <c r="J432" i="5"/>
  <c r="I432" i="5"/>
  <c r="L431" i="5"/>
  <c r="J431" i="5"/>
  <c r="I431" i="5"/>
  <c r="L430" i="5"/>
  <c r="J430" i="5"/>
  <c r="I430" i="5"/>
  <c r="L429" i="5"/>
  <c r="J429" i="5"/>
  <c r="I429" i="5"/>
  <c r="L428" i="5"/>
  <c r="J428" i="5"/>
  <c r="I428" i="5"/>
  <c r="L427" i="5"/>
  <c r="J427" i="5"/>
  <c r="I427" i="5"/>
  <c r="L426" i="5"/>
  <c r="J426" i="5"/>
  <c r="I426" i="5"/>
  <c r="L425" i="5"/>
  <c r="J425" i="5"/>
  <c r="I425" i="5"/>
  <c r="L424" i="5"/>
  <c r="J424" i="5"/>
  <c r="I424" i="5"/>
  <c r="L423" i="5"/>
  <c r="J423" i="5"/>
  <c r="I423" i="5"/>
  <c r="L422" i="5"/>
  <c r="J422" i="5"/>
  <c r="I422" i="5"/>
  <c r="L421" i="5"/>
  <c r="J421" i="5"/>
  <c r="I421" i="5"/>
  <c r="L420" i="5"/>
  <c r="J420" i="5"/>
  <c r="I420" i="5"/>
  <c r="L419" i="5"/>
  <c r="J419" i="5"/>
  <c r="I419" i="5"/>
  <c r="L418" i="5"/>
  <c r="J418" i="5"/>
  <c r="I418" i="5"/>
  <c r="L417" i="5"/>
  <c r="J417" i="5"/>
  <c r="I417" i="5"/>
  <c r="L416" i="5"/>
  <c r="J416" i="5"/>
  <c r="I416" i="5"/>
  <c r="L415" i="5"/>
  <c r="J415" i="5"/>
  <c r="I415" i="5"/>
  <c r="L414" i="5"/>
  <c r="J414" i="5"/>
  <c r="I414" i="5"/>
  <c r="L413" i="5"/>
  <c r="J413" i="5"/>
  <c r="I413" i="5"/>
  <c r="L412" i="5"/>
  <c r="J412" i="5"/>
  <c r="I412" i="5"/>
  <c r="L411" i="5"/>
  <c r="J411" i="5"/>
  <c r="I411" i="5"/>
  <c r="L410" i="5"/>
  <c r="J410" i="5"/>
  <c r="I410" i="5"/>
  <c r="L409" i="5"/>
  <c r="J409" i="5"/>
  <c r="I409" i="5"/>
  <c r="L408" i="5"/>
  <c r="J408" i="5"/>
  <c r="I408" i="5"/>
  <c r="L407" i="5"/>
  <c r="J407" i="5"/>
  <c r="I407" i="5"/>
  <c r="L406" i="5"/>
  <c r="J406" i="5"/>
  <c r="I406" i="5"/>
  <c r="L405" i="5"/>
  <c r="J405" i="5"/>
  <c r="I405" i="5"/>
  <c r="L404" i="5"/>
  <c r="J404" i="5"/>
  <c r="I404" i="5"/>
  <c r="L403" i="5"/>
  <c r="J403" i="5"/>
  <c r="I403" i="5"/>
  <c r="L402" i="5"/>
  <c r="J402" i="5"/>
  <c r="I402" i="5"/>
  <c r="L401" i="5"/>
  <c r="J401" i="5"/>
  <c r="I401" i="5"/>
  <c r="L400" i="5"/>
  <c r="J400" i="5"/>
  <c r="I400" i="5"/>
  <c r="L399" i="5"/>
  <c r="J399" i="5"/>
  <c r="I399" i="5"/>
  <c r="L398" i="5"/>
  <c r="J398" i="5"/>
  <c r="I398" i="5"/>
  <c r="L397" i="5"/>
  <c r="J397" i="5"/>
  <c r="I397" i="5"/>
  <c r="L396" i="5"/>
  <c r="J396" i="5"/>
  <c r="I396" i="5"/>
  <c r="L395" i="5"/>
  <c r="J395" i="5"/>
  <c r="I395" i="5"/>
  <c r="L394" i="5"/>
  <c r="J394" i="5"/>
  <c r="I394" i="5"/>
  <c r="L393" i="5"/>
  <c r="J393" i="5"/>
  <c r="I393" i="5"/>
  <c r="L392" i="5"/>
  <c r="J392" i="5"/>
  <c r="I392" i="5"/>
  <c r="L391" i="5"/>
  <c r="J391" i="5"/>
  <c r="I391" i="5"/>
  <c r="L390" i="5"/>
  <c r="J390" i="5"/>
  <c r="I390" i="5"/>
  <c r="L389" i="5"/>
  <c r="J389" i="5"/>
  <c r="I389" i="5"/>
  <c r="L388" i="5"/>
  <c r="J388" i="5"/>
  <c r="I388" i="5"/>
  <c r="L387" i="5"/>
  <c r="J387" i="5"/>
  <c r="I387" i="5"/>
  <c r="L386" i="5"/>
  <c r="J386" i="5"/>
  <c r="I386" i="5"/>
  <c r="L385" i="5"/>
  <c r="J385" i="5"/>
  <c r="I385" i="5"/>
  <c r="L384" i="5"/>
  <c r="J384" i="5"/>
  <c r="I384" i="5"/>
  <c r="L383" i="5"/>
  <c r="J383" i="5"/>
  <c r="I383" i="5"/>
  <c r="L382" i="5"/>
  <c r="J382" i="5"/>
  <c r="I382" i="5"/>
  <c r="L381" i="5"/>
  <c r="J381" i="5"/>
  <c r="I381" i="5"/>
  <c r="L380" i="5"/>
  <c r="J380" i="5"/>
  <c r="I380" i="5"/>
  <c r="L379" i="5"/>
  <c r="J379" i="5"/>
  <c r="I379" i="5"/>
  <c r="L378" i="5"/>
  <c r="J378" i="5"/>
  <c r="I378" i="5"/>
  <c r="L377" i="5"/>
  <c r="J377" i="5"/>
  <c r="I377" i="5"/>
  <c r="L376" i="5"/>
  <c r="J376" i="5"/>
  <c r="I376" i="5"/>
  <c r="L375" i="5"/>
  <c r="J375" i="5"/>
  <c r="I375" i="5"/>
  <c r="L374" i="5"/>
  <c r="J374" i="5"/>
  <c r="I374" i="5"/>
  <c r="L373" i="5"/>
  <c r="J373" i="5"/>
  <c r="I373" i="5"/>
  <c r="L372" i="5"/>
  <c r="J372" i="5"/>
  <c r="I372" i="5"/>
  <c r="L371" i="5"/>
  <c r="J371" i="5"/>
  <c r="I371" i="5"/>
  <c r="L370" i="5"/>
  <c r="J370" i="5"/>
  <c r="I370" i="5"/>
  <c r="L369" i="5"/>
  <c r="J369" i="5"/>
  <c r="I369" i="5"/>
  <c r="L368" i="5"/>
  <c r="J368" i="5"/>
  <c r="I368" i="5"/>
  <c r="L367" i="5"/>
  <c r="J367" i="5"/>
  <c r="I367" i="5"/>
  <c r="L366" i="5"/>
  <c r="J366" i="5"/>
  <c r="I366" i="5"/>
  <c r="L365" i="5"/>
  <c r="J365" i="5"/>
  <c r="I365" i="5"/>
  <c r="L364" i="5"/>
  <c r="J364" i="5"/>
  <c r="I364" i="5"/>
  <c r="L363" i="5"/>
  <c r="J363" i="5"/>
  <c r="I363" i="5"/>
  <c r="L362" i="5"/>
  <c r="J362" i="5"/>
  <c r="I362" i="5"/>
  <c r="L361" i="5"/>
  <c r="J361" i="5"/>
  <c r="I361" i="5"/>
  <c r="L360" i="5"/>
  <c r="J360" i="5"/>
  <c r="I360" i="5"/>
  <c r="L359" i="5"/>
  <c r="J359" i="5"/>
  <c r="I359" i="5"/>
  <c r="L358" i="5"/>
  <c r="J358" i="5"/>
  <c r="I358" i="5"/>
  <c r="L357" i="5"/>
  <c r="J357" i="5"/>
  <c r="I357" i="5"/>
  <c r="L356" i="5"/>
  <c r="J356" i="5"/>
  <c r="I356" i="5"/>
  <c r="L355" i="5"/>
  <c r="J355" i="5"/>
  <c r="I355" i="5"/>
  <c r="L354" i="5"/>
  <c r="J354" i="5"/>
  <c r="I354" i="5"/>
  <c r="L353" i="5"/>
  <c r="J353" i="5"/>
  <c r="I353" i="5"/>
  <c r="L352" i="5"/>
  <c r="J352" i="5"/>
  <c r="I352" i="5"/>
  <c r="L351" i="5"/>
  <c r="J351" i="5"/>
  <c r="I351" i="5"/>
  <c r="L350" i="5"/>
  <c r="J350" i="5"/>
  <c r="I350" i="5"/>
  <c r="L349" i="5"/>
  <c r="J349" i="5"/>
  <c r="I349" i="5"/>
  <c r="L348" i="5"/>
  <c r="J348" i="5"/>
  <c r="I348" i="5"/>
  <c r="L347" i="5"/>
  <c r="J347" i="5"/>
  <c r="I347" i="5"/>
  <c r="L346" i="5"/>
  <c r="J346" i="5"/>
  <c r="I346" i="5"/>
  <c r="L345" i="5"/>
  <c r="J345" i="5"/>
  <c r="I345" i="5"/>
  <c r="L344" i="5"/>
  <c r="J344" i="5"/>
  <c r="I344" i="5"/>
  <c r="L343" i="5"/>
  <c r="J343" i="5"/>
  <c r="I343" i="5"/>
  <c r="L342" i="5"/>
  <c r="J342" i="5"/>
  <c r="I342" i="5"/>
  <c r="L341" i="5"/>
  <c r="J341" i="5"/>
  <c r="I341" i="5"/>
  <c r="L340" i="5"/>
  <c r="J340" i="5"/>
  <c r="I340" i="5"/>
  <c r="L339" i="5"/>
  <c r="J339" i="5"/>
  <c r="I339" i="5"/>
  <c r="L338" i="5"/>
  <c r="J338" i="5"/>
  <c r="I338" i="5"/>
  <c r="L337" i="5"/>
  <c r="J337" i="5"/>
  <c r="I337" i="5"/>
  <c r="L336" i="5"/>
  <c r="J336" i="5"/>
  <c r="I336" i="5"/>
  <c r="L335" i="5"/>
  <c r="J335" i="5"/>
  <c r="I335" i="5"/>
  <c r="L334" i="5"/>
  <c r="J334" i="5"/>
  <c r="I334" i="5"/>
  <c r="L333" i="5"/>
  <c r="J333" i="5"/>
  <c r="I333" i="5"/>
  <c r="L332" i="5"/>
  <c r="J332" i="5"/>
  <c r="I332" i="5"/>
  <c r="L331" i="5"/>
  <c r="J331" i="5"/>
  <c r="I331" i="5"/>
  <c r="L330" i="5"/>
  <c r="J330" i="5"/>
  <c r="I330" i="5"/>
  <c r="L329" i="5"/>
  <c r="J329" i="5"/>
  <c r="I329" i="5"/>
  <c r="L328" i="5"/>
  <c r="J328" i="5"/>
  <c r="I328" i="5"/>
  <c r="L327" i="5"/>
  <c r="J327" i="5"/>
  <c r="I327" i="5"/>
  <c r="L326" i="5"/>
  <c r="J326" i="5"/>
  <c r="I326" i="5"/>
  <c r="L325" i="5"/>
  <c r="J325" i="5"/>
  <c r="I325" i="5"/>
  <c r="L324" i="5"/>
  <c r="J324" i="5"/>
  <c r="I324" i="5"/>
  <c r="L323" i="5"/>
  <c r="J323" i="5"/>
  <c r="I323" i="5"/>
  <c r="L322" i="5"/>
  <c r="J322" i="5"/>
  <c r="I322" i="5"/>
  <c r="L321" i="5"/>
  <c r="J321" i="5"/>
  <c r="I321" i="5"/>
  <c r="L320" i="5"/>
  <c r="J320" i="5"/>
  <c r="I320" i="5"/>
  <c r="L319" i="5"/>
  <c r="J319" i="5"/>
  <c r="I319" i="5"/>
  <c r="L318" i="5"/>
  <c r="J318" i="5"/>
  <c r="I318" i="5"/>
  <c r="L317" i="5"/>
  <c r="J317" i="5"/>
  <c r="I317" i="5"/>
  <c r="L316" i="5"/>
  <c r="J316" i="5"/>
  <c r="I316" i="5"/>
  <c r="L315" i="5"/>
  <c r="J315" i="5"/>
  <c r="I315" i="5"/>
  <c r="L314" i="5"/>
  <c r="J314" i="5"/>
  <c r="I314" i="5"/>
  <c r="L313" i="5"/>
  <c r="J313" i="5"/>
  <c r="I313" i="5"/>
  <c r="L312" i="5"/>
  <c r="J312" i="5"/>
  <c r="I312" i="5"/>
  <c r="L311" i="5"/>
  <c r="J311" i="5"/>
  <c r="I311" i="5"/>
  <c r="L310" i="5"/>
  <c r="J310" i="5"/>
  <c r="I310" i="5"/>
  <c r="L309" i="5"/>
  <c r="J309" i="5"/>
  <c r="I309" i="5"/>
  <c r="L308" i="5"/>
  <c r="J308" i="5"/>
  <c r="I308" i="5"/>
  <c r="L307" i="5"/>
  <c r="J307" i="5"/>
  <c r="I307" i="5"/>
  <c r="L306" i="5"/>
  <c r="J306" i="5"/>
  <c r="I306" i="5"/>
  <c r="L305" i="5"/>
  <c r="J305" i="5"/>
  <c r="I305" i="5"/>
  <c r="L304" i="5"/>
  <c r="J304" i="5"/>
  <c r="I304" i="5"/>
  <c r="L303" i="5"/>
  <c r="J303" i="5"/>
  <c r="I303" i="5"/>
  <c r="L302" i="5"/>
  <c r="J302" i="5"/>
  <c r="I302" i="5"/>
  <c r="L301" i="5"/>
  <c r="J301" i="5"/>
  <c r="I301" i="5"/>
  <c r="L300" i="5"/>
  <c r="J300" i="5"/>
  <c r="I300" i="5"/>
  <c r="L299" i="5"/>
  <c r="J299" i="5"/>
  <c r="I299" i="5"/>
  <c r="L298" i="5"/>
  <c r="J298" i="5"/>
  <c r="I298" i="5"/>
  <c r="L297" i="5"/>
  <c r="J297" i="5"/>
  <c r="I297" i="5"/>
  <c r="L296" i="5"/>
  <c r="J296" i="5"/>
  <c r="I296" i="5"/>
  <c r="L295" i="5"/>
  <c r="J295" i="5"/>
  <c r="I295" i="5"/>
  <c r="L294" i="5"/>
  <c r="J294" i="5"/>
  <c r="I294" i="5"/>
  <c r="L293" i="5"/>
  <c r="J293" i="5"/>
  <c r="I293" i="5"/>
  <c r="L292" i="5"/>
  <c r="J292" i="5"/>
  <c r="I292" i="5"/>
  <c r="L291" i="5"/>
  <c r="J291" i="5"/>
  <c r="I291" i="5"/>
  <c r="L290" i="5"/>
  <c r="J290" i="5"/>
  <c r="I290" i="5"/>
  <c r="L289" i="5"/>
  <c r="J289" i="5"/>
  <c r="I289" i="5"/>
  <c r="L288" i="5"/>
  <c r="J288" i="5"/>
  <c r="I288" i="5"/>
  <c r="L287" i="5"/>
  <c r="J287" i="5"/>
  <c r="I287" i="5"/>
  <c r="L286" i="5"/>
  <c r="J286" i="5"/>
  <c r="I286" i="5"/>
  <c r="L285" i="5"/>
  <c r="J285" i="5"/>
  <c r="I285" i="5"/>
  <c r="L284" i="5"/>
  <c r="J284" i="5"/>
  <c r="I284" i="5"/>
  <c r="L283" i="5"/>
  <c r="J283" i="5"/>
  <c r="I283" i="5"/>
  <c r="L282" i="5"/>
  <c r="J282" i="5"/>
  <c r="I282" i="5"/>
  <c r="L281" i="5"/>
  <c r="J281" i="5"/>
  <c r="I281" i="5"/>
  <c r="L280" i="5"/>
  <c r="J280" i="5"/>
  <c r="I280" i="5"/>
  <c r="L279" i="5"/>
  <c r="J279" i="5"/>
  <c r="I279" i="5"/>
  <c r="L278" i="5"/>
  <c r="J278" i="5"/>
  <c r="I278" i="5"/>
  <c r="L277" i="5"/>
  <c r="J277" i="5"/>
  <c r="I277" i="5"/>
  <c r="L276" i="5"/>
  <c r="J276" i="5"/>
  <c r="I276" i="5"/>
  <c r="L275" i="5"/>
  <c r="J275" i="5"/>
  <c r="I275" i="5"/>
  <c r="L274" i="5"/>
  <c r="J274" i="5"/>
  <c r="I274" i="5"/>
  <c r="L273" i="5"/>
  <c r="J273" i="5"/>
  <c r="I273" i="5"/>
  <c r="L272" i="5"/>
  <c r="J272" i="5"/>
  <c r="I272" i="5"/>
  <c r="L271" i="5"/>
  <c r="J271" i="5"/>
  <c r="I271" i="5"/>
  <c r="L270" i="5"/>
  <c r="J270" i="5"/>
  <c r="I270" i="5"/>
  <c r="L269" i="5"/>
  <c r="J269" i="5"/>
  <c r="I269" i="5"/>
  <c r="L268" i="5"/>
  <c r="J268" i="5"/>
  <c r="I268" i="5"/>
  <c r="L267" i="5"/>
  <c r="J267" i="5"/>
  <c r="I267" i="5"/>
  <c r="L266" i="5"/>
  <c r="J266" i="5"/>
  <c r="I266" i="5"/>
  <c r="L265" i="5"/>
  <c r="J265" i="5"/>
  <c r="I265" i="5"/>
  <c r="L264" i="5"/>
  <c r="J264" i="5"/>
  <c r="I264" i="5"/>
  <c r="L263" i="5"/>
  <c r="J263" i="5"/>
  <c r="I263" i="5"/>
  <c r="L262" i="5"/>
  <c r="J262" i="5"/>
  <c r="I262" i="5"/>
  <c r="L261" i="5"/>
  <c r="J261" i="5"/>
  <c r="I261" i="5"/>
  <c r="L260" i="5"/>
  <c r="J260" i="5"/>
  <c r="I260" i="5"/>
  <c r="L259" i="5"/>
  <c r="J259" i="5"/>
  <c r="I259" i="5"/>
  <c r="L258" i="5"/>
  <c r="J258" i="5"/>
  <c r="I258" i="5"/>
  <c r="L257" i="5"/>
  <c r="J257" i="5"/>
  <c r="I257" i="5"/>
  <c r="L256" i="5"/>
  <c r="J256" i="5"/>
  <c r="I256" i="5"/>
  <c r="L255" i="5"/>
  <c r="J255" i="5"/>
  <c r="I255" i="5"/>
  <c r="L254" i="5"/>
  <c r="J254" i="5"/>
  <c r="I254" i="5"/>
  <c r="L253" i="5"/>
  <c r="J253" i="5"/>
  <c r="I253" i="5"/>
  <c r="L252" i="5"/>
  <c r="J252" i="5"/>
  <c r="I252" i="5"/>
  <c r="L251" i="5"/>
  <c r="J251" i="5"/>
  <c r="I251" i="5"/>
  <c r="L250" i="5"/>
  <c r="J250" i="5"/>
  <c r="I250" i="5"/>
  <c r="L249" i="5"/>
  <c r="J249" i="5"/>
  <c r="I249" i="5"/>
  <c r="L248" i="5"/>
  <c r="J248" i="5"/>
  <c r="I248" i="5"/>
  <c r="L247" i="5"/>
  <c r="J247" i="5"/>
  <c r="I247" i="5"/>
  <c r="L246" i="5"/>
  <c r="J246" i="5"/>
  <c r="I246" i="5"/>
  <c r="L245" i="5"/>
  <c r="J245" i="5"/>
  <c r="I245" i="5"/>
  <c r="L244" i="5"/>
  <c r="J244" i="5"/>
  <c r="I244" i="5"/>
  <c r="L243" i="5"/>
  <c r="J243" i="5"/>
  <c r="I243" i="5"/>
  <c r="L242" i="5"/>
  <c r="J242" i="5"/>
  <c r="I242" i="5"/>
  <c r="L241" i="5"/>
  <c r="J241" i="5"/>
  <c r="I241" i="5"/>
  <c r="L240" i="5"/>
  <c r="J240" i="5"/>
  <c r="I240" i="5"/>
  <c r="L239" i="5"/>
  <c r="J239" i="5"/>
  <c r="I239" i="5"/>
  <c r="L238" i="5"/>
  <c r="J238" i="5"/>
  <c r="I238" i="5"/>
  <c r="L237" i="5"/>
  <c r="J237" i="5"/>
  <c r="I237" i="5"/>
  <c r="L236" i="5"/>
  <c r="J236" i="5"/>
  <c r="I236" i="5"/>
  <c r="L235" i="5"/>
  <c r="J235" i="5"/>
  <c r="I235" i="5"/>
  <c r="L234" i="5"/>
  <c r="J234" i="5"/>
  <c r="I234" i="5"/>
  <c r="L233" i="5"/>
  <c r="J233" i="5"/>
  <c r="I233" i="5"/>
  <c r="L232" i="5"/>
  <c r="J232" i="5"/>
  <c r="I232" i="5"/>
  <c r="L231" i="5"/>
  <c r="J231" i="5"/>
  <c r="I231" i="5"/>
  <c r="L230" i="5"/>
  <c r="J230" i="5"/>
  <c r="I230" i="5"/>
  <c r="L229" i="5"/>
  <c r="J229" i="5"/>
  <c r="I229" i="5"/>
  <c r="L228" i="5"/>
  <c r="J228" i="5"/>
  <c r="I228" i="5"/>
  <c r="L227" i="5"/>
  <c r="J227" i="5"/>
  <c r="I227" i="5"/>
  <c r="L226" i="5"/>
  <c r="J226" i="5"/>
  <c r="I226" i="5"/>
  <c r="L225" i="5"/>
  <c r="J225" i="5"/>
  <c r="I225" i="5"/>
  <c r="L224" i="5"/>
  <c r="J224" i="5"/>
  <c r="I224" i="5"/>
  <c r="L223" i="5"/>
  <c r="J223" i="5"/>
  <c r="I223" i="5"/>
  <c r="L222" i="5"/>
  <c r="J222" i="5"/>
  <c r="I222" i="5"/>
  <c r="L221" i="5"/>
  <c r="J221" i="5"/>
  <c r="I221" i="5"/>
  <c r="L220" i="5"/>
  <c r="J220" i="5"/>
  <c r="I220" i="5"/>
  <c r="L219" i="5"/>
  <c r="J219" i="5"/>
  <c r="I219" i="5"/>
  <c r="L218" i="5"/>
  <c r="J218" i="5"/>
  <c r="I218" i="5"/>
  <c r="L217" i="5"/>
  <c r="J217" i="5"/>
  <c r="I217" i="5"/>
  <c r="L216" i="5"/>
  <c r="J216" i="5"/>
  <c r="I216" i="5"/>
  <c r="L215" i="5"/>
  <c r="J215" i="5"/>
  <c r="I215" i="5"/>
  <c r="L214" i="5"/>
  <c r="J214" i="5"/>
  <c r="I214" i="5"/>
  <c r="L213" i="5"/>
  <c r="J213" i="5"/>
  <c r="I213" i="5"/>
  <c r="L212" i="5"/>
  <c r="J212" i="5"/>
  <c r="I212" i="5"/>
  <c r="L211" i="5"/>
  <c r="J211" i="5"/>
  <c r="I211" i="5"/>
  <c r="L210" i="5"/>
  <c r="J210" i="5"/>
  <c r="I210" i="5"/>
  <c r="L209" i="5"/>
  <c r="J209" i="5"/>
  <c r="I209" i="5"/>
  <c r="L208" i="5"/>
  <c r="J208" i="5"/>
  <c r="I208" i="5"/>
  <c r="L207" i="5"/>
  <c r="J207" i="5"/>
  <c r="I207" i="5"/>
  <c r="L206" i="5"/>
  <c r="J206" i="5"/>
  <c r="I206" i="5"/>
  <c r="L205" i="5"/>
  <c r="J205" i="5"/>
  <c r="I205" i="5"/>
  <c r="L204" i="5"/>
  <c r="J204" i="5"/>
  <c r="I204" i="5"/>
  <c r="L203" i="5"/>
  <c r="J203" i="5"/>
  <c r="I203" i="5"/>
  <c r="L202" i="5"/>
  <c r="J202" i="5"/>
  <c r="I202" i="5"/>
  <c r="L201" i="5"/>
  <c r="J201" i="5"/>
  <c r="I201" i="5"/>
  <c r="L200" i="5"/>
  <c r="J200" i="5"/>
  <c r="I200" i="5"/>
  <c r="L199" i="5"/>
  <c r="J199" i="5"/>
  <c r="I199" i="5"/>
  <c r="L198" i="5"/>
  <c r="J198" i="5"/>
  <c r="I198" i="5"/>
  <c r="L197" i="5"/>
  <c r="J197" i="5"/>
  <c r="I197" i="5"/>
  <c r="L196" i="5"/>
  <c r="J196" i="5"/>
  <c r="I196" i="5"/>
  <c r="L195" i="5"/>
  <c r="J195" i="5"/>
  <c r="I195" i="5"/>
  <c r="L194" i="5"/>
  <c r="J194" i="5"/>
  <c r="I194" i="5"/>
  <c r="L193" i="5"/>
  <c r="J193" i="5"/>
  <c r="I193" i="5"/>
  <c r="L192" i="5"/>
  <c r="J192" i="5"/>
  <c r="I192" i="5"/>
  <c r="L191" i="5"/>
  <c r="J191" i="5"/>
  <c r="I191" i="5"/>
  <c r="L190" i="5"/>
  <c r="J190" i="5"/>
  <c r="I190" i="5"/>
  <c r="L189" i="5"/>
  <c r="J189" i="5"/>
  <c r="I189" i="5"/>
  <c r="L188" i="5"/>
  <c r="J188" i="5"/>
  <c r="I188" i="5"/>
  <c r="L187" i="5"/>
  <c r="J187" i="5"/>
  <c r="I187" i="5"/>
  <c r="L186" i="5"/>
  <c r="J186" i="5"/>
  <c r="I186" i="5"/>
  <c r="L185" i="5"/>
  <c r="J185" i="5"/>
  <c r="I185" i="5"/>
  <c r="L184" i="5"/>
  <c r="J184" i="5"/>
  <c r="I184" i="5"/>
  <c r="L183" i="5"/>
  <c r="J183" i="5"/>
  <c r="I183" i="5"/>
  <c r="L182" i="5"/>
  <c r="J182" i="5"/>
  <c r="I182" i="5"/>
  <c r="L181" i="5"/>
  <c r="J181" i="5"/>
  <c r="I181" i="5"/>
  <c r="L180" i="5"/>
  <c r="J180" i="5"/>
  <c r="I180" i="5"/>
  <c r="L179" i="5"/>
  <c r="J179" i="5"/>
  <c r="I179" i="5"/>
  <c r="L178" i="5"/>
  <c r="J178" i="5"/>
  <c r="I178" i="5"/>
  <c r="L177" i="5"/>
  <c r="J177" i="5"/>
  <c r="I177" i="5"/>
  <c r="L176" i="5"/>
  <c r="J176" i="5"/>
  <c r="I176" i="5"/>
  <c r="L175" i="5"/>
  <c r="J175" i="5"/>
  <c r="I175" i="5"/>
  <c r="L174" i="5"/>
  <c r="J174" i="5"/>
  <c r="I174" i="5"/>
  <c r="L173" i="5"/>
  <c r="J173" i="5"/>
  <c r="I173" i="5"/>
  <c r="L172" i="5"/>
  <c r="J172" i="5"/>
  <c r="I172" i="5"/>
  <c r="L171" i="5"/>
  <c r="J171" i="5"/>
  <c r="I171" i="5"/>
  <c r="L170" i="5"/>
  <c r="J170" i="5"/>
  <c r="I170" i="5"/>
  <c r="L169" i="5"/>
  <c r="J169" i="5"/>
  <c r="I169" i="5"/>
  <c r="L168" i="5"/>
  <c r="J168" i="5"/>
  <c r="I168" i="5"/>
  <c r="L167" i="5"/>
  <c r="J167" i="5"/>
  <c r="I167" i="5"/>
  <c r="L166" i="5"/>
  <c r="J166" i="5"/>
  <c r="I166" i="5"/>
  <c r="L165" i="5"/>
  <c r="J165" i="5"/>
  <c r="I165" i="5"/>
  <c r="L164" i="5"/>
  <c r="J164" i="5"/>
  <c r="I164" i="5"/>
  <c r="L163" i="5"/>
  <c r="J163" i="5"/>
  <c r="I163" i="5"/>
  <c r="L162" i="5"/>
  <c r="J162" i="5"/>
  <c r="I162" i="5"/>
  <c r="L161" i="5"/>
  <c r="J161" i="5"/>
  <c r="I161" i="5"/>
  <c r="L160" i="5"/>
  <c r="J160" i="5"/>
  <c r="I160" i="5"/>
  <c r="L159" i="5"/>
  <c r="J159" i="5"/>
  <c r="I159" i="5"/>
  <c r="L158" i="5"/>
  <c r="J158" i="5"/>
  <c r="I158" i="5"/>
  <c r="L157" i="5"/>
  <c r="J157" i="5"/>
  <c r="I157" i="5"/>
  <c r="L156" i="5"/>
  <c r="J156" i="5"/>
  <c r="I156" i="5"/>
  <c r="L155" i="5"/>
  <c r="J155" i="5"/>
  <c r="I155" i="5"/>
  <c r="L154" i="5"/>
  <c r="J154" i="5"/>
  <c r="I154" i="5"/>
  <c r="L153" i="5"/>
  <c r="J153" i="5"/>
  <c r="I153" i="5"/>
  <c r="L152" i="5"/>
  <c r="J152" i="5"/>
  <c r="I152" i="5"/>
  <c r="L151" i="5"/>
  <c r="J151" i="5"/>
  <c r="I151" i="5"/>
  <c r="L150" i="5"/>
  <c r="J150" i="5"/>
  <c r="I150" i="5"/>
  <c r="L149" i="5"/>
  <c r="J149" i="5"/>
  <c r="I149" i="5"/>
  <c r="L148" i="5"/>
  <c r="J148" i="5"/>
  <c r="I148" i="5"/>
  <c r="L147" i="5"/>
  <c r="J147" i="5"/>
  <c r="I147" i="5"/>
  <c r="L146" i="5"/>
  <c r="J146" i="5"/>
  <c r="I146" i="5"/>
  <c r="L145" i="5"/>
  <c r="J145" i="5"/>
  <c r="I145" i="5"/>
  <c r="L144" i="5"/>
  <c r="J144" i="5"/>
  <c r="I144" i="5"/>
  <c r="L143" i="5"/>
  <c r="J143" i="5"/>
  <c r="I143" i="5"/>
  <c r="L142" i="5"/>
  <c r="J142" i="5"/>
  <c r="I142" i="5"/>
  <c r="L141" i="5"/>
  <c r="J141" i="5"/>
  <c r="I141" i="5"/>
  <c r="L140" i="5"/>
  <c r="J140" i="5"/>
  <c r="I140" i="5"/>
  <c r="L139" i="5"/>
  <c r="J139" i="5"/>
  <c r="I139" i="5"/>
  <c r="L138" i="5"/>
  <c r="J138" i="5"/>
  <c r="I138" i="5"/>
  <c r="L137" i="5"/>
  <c r="J137" i="5"/>
  <c r="I137" i="5"/>
  <c r="L136" i="5"/>
  <c r="J136" i="5"/>
  <c r="I136" i="5"/>
  <c r="L135" i="5"/>
  <c r="J135" i="5"/>
  <c r="I135" i="5"/>
  <c r="L134" i="5"/>
  <c r="J134" i="5"/>
  <c r="I134" i="5"/>
  <c r="L133" i="5"/>
  <c r="J133" i="5"/>
  <c r="I133" i="5"/>
  <c r="L132" i="5"/>
  <c r="J132" i="5"/>
  <c r="I132" i="5"/>
  <c r="L131" i="5"/>
  <c r="J131" i="5"/>
  <c r="I131" i="5"/>
  <c r="L130" i="5"/>
  <c r="J130" i="5"/>
  <c r="I130" i="5"/>
  <c r="L129" i="5"/>
  <c r="J129" i="5"/>
  <c r="I129" i="5"/>
  <c r="L128" i="5"/>
  <c r="J128" i="5"/>
  <c r="I128" i="5"/>
  <c r="L127" i="5"/>
  <c r="J127" i="5"/>
  <c r="I127" i="5"/>
  <c r="L126" i="5"/>
  <c r="J126" i="5"/>
  <c r="I126" i="5"/>
  <c r="L125" i="5"/>
  <c r="J125" i="5"/>
  <c r="I125" i="5"/>
  <c r="L124" i="5"/>
  <c r="J124" i="5"/>
  <c r="I124" i="5"/>
  <c r="L123" i="5"/>
  <c r="J123" i="5"/>
  <c r="I123" i="5"/>
  <c r="L122" i="5"/>
  <c r="J122" i="5"/>
  <c r="I122" i="5"/>
  <c r="L121" i="5"/>
  <c r="J121" i="5"/>
  <c r="I121" i="5"/>
  <c r="L120" i="5"/>
  <c r="J120" i="5"/>
  <c r="I120" i="5"/>
  <c r="L119" i="5"/>
  <c r="J119" i="5"/>
  <c r="I119" i="5"/>
  <c r="L118" i="5"/>
  <c r="J118" i="5"/>
  <c r="I118" i="5"/>
  <c r="L117" i="5"/>
  <c r="J117" i="5"/>
  <c r="I117" i="5"/>
  <c r="L116" i="5"/>
  <c r="J116" i="5"/>
  <c r="I116" i="5"/>
  <c r="L115" i="5"/>
  <c r="J115" i="5"/>
  <c r="I115" i="5"/>
  <c r="L114" i="5"/>
  <c r="J114" i="5"/>
  <c r="I114" i="5"/>
  <c r="L113" i="5"/>
  <c r="J113" i="5"/>
  <c r="I113" i="5"/>
  <c r="L112" i="5"/>
  <c r="J112" i="5"/>
  <c r="I112" i="5"/>
  <c r="L111" i="5"/>
  <c r="J111" i="5"/>
  <c r="I111" i="5"/>
  <c r="L110" i="5"/>
  <c r="J110" i="5"/>
  <c r="I110" i="5"/>
  <c r="L109" i="5"/>
  <c r="J109" i="5"/>
  <c r="I109" i="5"/>
  <c r="L108" i="5"/>
  <c r="J108" i="5"/>
  <c r="I108" i="5"/>
  <c r="L107" i="5"/>
  <c r="J107" i="5"/>
  <c r="I107" i="5"/>
  <c r="L106" i="5"/>
  <c r="J106" i="5"/>
  <c r="I106" i="5"/>
  <c r="L105" i="5"/>
  <c r="J105" i="5"/>
  <c r="I105" i="5"/>
  <c r="L104" i="5"/>
  <c r="J104" i="5"/>
  <c r="I104" i="5"/>
  <c r="L103" i="5"/>
  <c r="J103" i="5"/>
  <c r="I103" i="5"/>
  <c r="L102" i="5"/>
  <c r="J102" i="5"/>
  <c r="I102" i="5"/>
  <c r="L101" i="5"/>
  <c r="J101" i="5"/>
  <c r="I101" i="5"/>
  <c r="L100" i="5"/>
  <c r="J100" i="5"/>
  <c r="I100" i="5"/>
  <c r="L99" i="5"/>
  <c r="J99" i="5"/>
  <c r="I99" i="5"/>
  <c r="L98" i="5"/>
  <c r="J98" i="5"/>
  <c r="I98" i="5"/>
  <c r="L97" i="5"/>
  <c r="J97" i="5"/>
  <c r="I97" i="5"/>
  <c r="L96" i="5"/>
  <c r="J96" i="5"/>
  <c r="I96" i="5"/>
  <c r="L95" i="5"/>
  <c r="J95" i="5"/>
  <c r="I95" i="5"/>
  <c r="L94" i="5"/>
  <c r="J94" i="5"/>
  <c r="I94" i="5"/>
  <c r="L93" i="5"/>
  <c r="J93" i="5"/>
  <c r="I93" i="5"/>
  <c r="L92" i="5"/>
  <c r="J92" i="5"/>
  <c r="I92" i="5"/>
  <c r="L91" i="5"/>
  <c r="J91" i="5"/>
  <c r="I91" i="5"/>
  <c r="L90" i="5"/>
  <c r="J90" i="5"/>
  <c r="I90" i="5"/>
  <c r="L89" i="5"/>
  <c r="J89" i="5"/>
  <c r="I89" i="5"/>
  <c r="L88" i="5"/>
  <c r="J88" i="5"/>
  <c r="I88" i="5"/>
  <c r="L87" i="5"/>
  <c r="J87" i="5"/>
  <c r="I87" i="5"/>
  <c r="L86" i="5"/>
  <c r="J86" i="5"/>
  <c r="I86" i="5"/>
  <c r="L85" i="5"/>
  <c r="J85" i="5"/>
  <c r="I85" i="5"/>
  <c r="L84" i="5"/>
  <c r="J84" i="5"/>
  <c r="I84" i="5"/>
  <c r="L83" i="5"/>
  <c r="J83" i="5"/>
  <c r="I83" i="5"/>
  <c r="L82" i="5"/>
  <c r="J82" i="5"/>
  <c r="I82" i="5"/>
  <c r="L81" i="5"/>
  <c r="J81" i="5"/>
  <c r="I81" i="5"/>
  <c r="L80" i="5"/>
  <c r="J80" i="5"/>
  <c r="I80" i="5"/>
  <c r="L79" i="5"/>
  <c r="J79" i="5"/>
  <c r="I79" i="5"/>
  <c r="L78" i="5"/>
  <c r="J78" i="5"/>
  <c r="I78" i="5"/>
  <c r="L77" i="5"/>
  <c r="J77" i="5"/>
  <c r="I77" i="5"/>
  <c r="L76" i="5"/>
  <c r="J76" i="5"/>
  <c r="I76" i="5"/>
  <c r="L75" i="5"/>
  <c r="J75" i="5"/>
  <c r="I75" i="5"/>
  <c r="L74" i="5"/>
  <c r="J74" i="5"/>
  <c r="I74" i="5"/>
  <c r="L73" i="5"/>
  <c r="J73" i="5"/>
  <c r="I73" i="5"/>
  <c r="L72" i="5"/>
  <c r="J72" i="5"/>
  <c r="I72" i="5"/>
  <c r="L71" i="5"/>
  <c r="J71" i="5"/>
  <c r="I71" i="5"/>
  <c r="L70" i="5"/>
  <c r="J70" i="5"/>
  <c r="I70" i="5"/>
  <c r="L69" i="5"/>
  <c r="J69" i="5"/>
  <c r="I69" i="5"/>
  <c r="L68" i="5"/>
  <c r="J68" i="5"/>
  <c r="I68" i="5"/>
  <c r="L67" i="5"/>
  <c r="J67" i="5"/>
  <c r="I67" i="5"/>
  <c r="L66" i="5"/>
  <c r="J66" i="5"/>
  <c r="I66" i="5"/>
  <c r="L65" i="5"/>
  <c r="J65" i="5"/>
  <c r="I65" i="5"/>
  <c r="L64" i="5"/>
  <c r="J64" i="5"/>
  <c r="I64" i="5"/>
  <c r="L63" i="5"/>
  <c r="J63" i="5"/>
  <c r="I63" i="5"/>
  <c r="L62" i="5"/>
  <c r="J62" i="5"/>
  <c r="I62" i="5"/>
  <c r="L61" i="5"/>
  <c r="J61" i="5"/>
  <c r="I61" i="5"/>
  <c r="L60" i="5"/>
  <c r="J60" i="5"/>
  <c r="I60" i="5"/>
  <c r="L59" i="5"/>
  <c r="J59" i="5"/>
  <c r="I59" i="5"/>
  <c r="L58" i="5"/>
  <c r="J58" i="5"/>
  <c r="I58" i="5"/>
  <c r="L57" i="5"/>
  <c r="J57" i="5"/>
  <c r="I57" i="5"/>
  <c r="L56" i="5"/>
  <c r="J56" i="5"/>
  <c r="I56" i="5"/>
  <c r="L55" i="5"/>
  <c r="J55" i="5"/>
  <c r="I55" i="5"/>
  <c r="L54" i="5"/>
  <c r="J54" i="5"/>
  <c r="I54" i="5"/>
  <c r="L53" i="5"/>
  <c r="J53" i="5"/>
  <c r="I53" i="5"/>
  <c r="L52" i="5"/>
  <c r="J52" i="5"/>
  <c r="I52" i="5"/>
  <c r="L51" i="5"/>
  <c r="J51" i="5"/>
  <c r="I51" i="5"/>
  <c r="L50" i="5"/>
  <c r="J50" i="5"/>
  <c r="I50" i="5"/>
  <c r="L49" i="5"/>
  <c r="J49" i="5"/>
  <c r="I49" i="5"/>
  <c r="L48" i="5"/>
  <c r="J48" i="5"/>
  <c r="I48" i="5"/>
  <c r="L47" i="5"/>
  <c r="J47" i="5"/>
  <c r="I47" i="5"/>
  <c r="L46" i="5"/>
  <c r="J46" i="5"/>
  <c r="I46" i="5"/>
  <c r="L45" i="5"/>
  <c r="J45" i="5"/>
  <c r="I45" i="5"/>
  <c r="L44" i="5"/>
  <c r="J44" i="5"/>
  <c r="I44" i="5"/>
  <c r="L43" i="5"/>
  <c r="J43" i="5"/>
  <c r="I43" i="5"/>
  <c r="L42" i="5"/>
  <c r="J42" i="5"/>
  <c r="I42" i="5"/>
  <c r="L41" i="5"/>
  <c r="J41" i="5"/>
  <c r="I41" i="5"/>
  <c r="L40" i="5"/>
  <c r="J40" i="5"/>
  <c r="I40" i="5"/>
  <c r="L39" i="5"/>
  <c r="J39" i="5"/>
  <c r="I39" i="5"/>
  <c r="L38" i="5"/>
  <c r="J38" i="5"/>
  <c r="I38" i="5"/>
  <c r="L37" i="5"/>
  <c r="J37" i="5"/>
  <c r="I37" i="5"/>
  <c r="L36" i="5"/>
  <c r="J36" i="5"/>
  <c r="I36" i="5"/>
  <c r="L35" i="5"/>
  <c r="J35" i="5"/>
  <c r="I35" i="5"/>
  <c r="L34" i="5"/>
  <c r="J34" i="5"/>
  <c r="I34" i="5"/>
  <c r="L33" i="5"/>
  <c r="J33" i="5"/>
  <c r="I33" i="5"/>
  <c r="L32" i="5"/>
  <c r="J32" i="5"/>
  <c r="I32" i="5"/>
  <c r="L31" i="5"/>
  <c r="J31" i="5"/>
  <c r="I31" i="5"/>
  <c r="L30" i="5"/>
  <c r="J30" i="5"/>
  <c r="I30" i="5"/>
  <c r="L29" i="5"/>
  <c r="J29" i="5"/>
  <c r="I29" i="5"/>
  <c r="L28" i="5"/>
  <c r="J28" i="5"/>
  <c r="I28" i="5"/>
  <c r="L27" i="5"/>
  <c r="J27" i="5"/>
  <c r="I27" i="5"/>
  <c r="L26" i="5"/>
  <c r="J26" i="5"/>
  <c r="I26" i="5"/>
  <c r="L25" i="5"/>
  <c r="J25" i="5"/>
  <c r="I25" i="5"/>
  <c r="L24" i="5"/>
  <c r="J24" i="5"/>
  <c r="I24" i="5"/>
  <c r="L23" i="5"/>
  <c r="J23" i="5"/>
  <c r="I23" i="5"/>
  <c r="L22" i="5"/>
  <c r="J22" i="5"/>
  <c r="I22" i="5"/>
  <c r="L21" i="5"/>
  <c r="J21" i="5"/>
  <c r="I21" i="5"/>
  <c r="L20" i="5"/>
  <c r="J20" i="5"/>
  <c r="I20" i="5"/>
  <c r="L19" i="5"/>
  <c r="J19" i="5"/>
  <c r="I19" i="5"/>
  <c r="L18" i="5"/>
  <c r="J18" i="5"/>
  <c r="I18" i="5"/>
  <c r="L17" i="5"/>
  <c r="J17" i="5"/>
  <c r="I17" i="5"/>
  <c r="L16" i="5"/>
  <c r="J16" i="5"/>
  <c r="I16" i="5"/>
  <c r="L15" i="5"/>
  <c r="J15" i="5"/>
  <c r="I15" i="5"/>
  <c r="L14" i="5"/>
  <c r="J14" i="5"/>
  <c r="I14" i="5"/>
  <c r="L13" i="5"/>
  <c r="J13" i="5"/>
  <c r="I13" i="5"/>
  <c r="L12" i="5"/>
  <c r="J12" i="5"/>
  <c r="I12" i="5"/>
  <c r="L11" i="5"/>
  <c r="J11" i="5"/>
  <c r="I11" i="5"/>
  <c r="L10" i="5"/>
  <c r="J10" i="5"/>
  <c r="I10" i="5"/>
  <c r="L9" i="5"/>
  <c r="J9" i="5"/>
  <c r="I9" i="5"/>
  <c r="L8" i="5"/>
  <c r="J8" i="5"/>
  <c r="I8" i="5"/>
  <c r="L7" i="5"/>
  <c r="J7" i="5"/>
  <c r="I7" i="5"/>
  <c r="L6" i="5"/>
  <c r="J6" i="5"/>
  <c r="I6" i="5"/>
  <c r="L5" i="5"/>
  <c r="J5" i="5"/>
  <c r="I5" i="5"/>
  <c r="L4" i="5"/>
  <c r="J4" i="5"/>
  <c r="I4" i="5"/>
  <c r="L3" i="5"/>
  <c r="J3" i="5"/>
  <c r="I3" i="5"/>
  <c r="L2" i="5"/>
  <c r="J2" i="5"/>
  <c r="Q5" i="5" s="1"/>
  <c r="I2" i="5"/>
  <c r="P5" i="5" s="1"/>
  <c r="Q3" i="5"/>
  <c r="P2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490294-4D61-429D-90FF-23C03955F2D0}" keepAlive="1" name="Zapytanie — pogoda" description="Połączenie z zapytaniem „pogoda” w skoroszycie." type="5" refreshedVersion="0" background="1">
    <dbPr connection="Provider=Microsoft.Mashup.OleDb.1;Data Source=$Workbook$;Location=pogoda;Extended Properties=&quot;&quot;" command="SELECT * FROM [pogoda]"/>
  </connection>
  <connection id="2" xr16:uid="{28104F7E-0661-49D7-B113-89B0AF230DB6}" keepAlive="1" name="Zapytanie — pogoda (2)" description="Połączenie z zapytaniem „pogoda (2)” w skoroszycie." type="5" refreshedVersion="7" background="1" saveData="1">
    <dbPr connection="Provider=Microsoft.Mashup.OleDb.1;Data Source=$Workbook$;Location=&quot;pogoda (2)&quot;;Extended Properties=&quot;&quot;" command="SELECT * FROM [pogoda (2)]"/>
  </connection>
</connections>
</file>

<file path=xl/sharedStrings.xml><?xml version="1.0" encoding="utf-8"?>
<sst xmlns="http://schemas.openxmlformats.org/spreadsheetml/2006/main" count="776" uniqueCount="24">
  <si>
    <t>Dzien</t>
  </si>
  <si>
    <t>Temperatura</t>
  </si>
  <si>
    <t>Opad</t>
  </si>
  <si>
    <t>Kategoria_chmur</t>
  </si>
  <si>
    <t>Wielkosc_chmur</t>
  </si>
  <si>
    <t>C</t>
  </si>
  <si>
    <t>S</t>
  </si>
  <si>
    <t>a</t>
  </si>
  <si>
    <t>b</t>
  </si>
  <si>
    <t>448 - 455</t>
  </si>
  <si>
    <t>Etykiety wierszy</t>
  </si>
  <si>
    <t>Suma końcowa</t>
  </si>
  <si>
    <t>rodzaj chmur</t>
  </si>
  <si>
    <t>Średnia opadów</t>
  </si>
  <si>
    <t>nubis K</t>
  </si>
  <si>
    <t>nubis W</t>
  </si>
  <si>
    <t>Kolumna1</t>
  </si>
  <si>
    <t>Kolumna2</t>
  </si>
  <si>
    <t>Kolumna3</t>
  </si>
  <si>
    <t>K</t>
  </si>
  <si>
    <t>W</t>
  </si>
  <si>
    <t>d</t>
  </si>
  <si>
    <t>Liczba z Dzien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</si>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</sst>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2" fontId="0" fillId="0" borderId="0" xfId="0" applyNumberFormat="1"/>
    <xf numFmtId="49" fontId="0" fillId="0" borderId="0" xfId="0" applyNumberFormat="1"/>
  </cellXfs>
  <cellStyles count="1">
    <cellStyle name="Normalny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[chmury.xlsm]c!Tabela przestawna2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średnia opadów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'c'!$B$3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'c'!$A$4:$A$16</c:f>
              <c:multiLvlStrCache>
                <c:ptCount val="1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1</c:v>
                  </c:pt>
                  <c:pt idx="6">
                    <c:v>2</c:v>
                  </c:pt>
                  <c:pt idx="7">
                    <c:v>3</c:v>
                  </c:pt>
                  <c:pt idx="8">
                    <c:v>4</c:v>
                  </c:pt>
                  <c:pt idx="9">
                    <c:v>5</c:v>
                  </c:pt>
                </c:lvl>
                <c:lvl>
                  <c:pt idx="0">
                    <c:v>C</c:v>
                  </c:pt>
                  <c:pt idx="5">
                    <c:v>S</c:v>
                  </c:pt>
                </c:lvl>
              </c:multiLvlStrCache>
            </c:multiLvlStrRef>
          </c:cat>
          <c:val>
            <c:numRef>
              <c:f>'c'!$B$4:$B$16</c:f>
              <c:numCache>
                <c:formatCode>0.00</c:formatCode>
                <c:ptCount val="10"/>
                <c:pt idx="0">
                  <c:v>3.45</c:v>
                </c:pt>
                <c:pt idx="1">
                  <c:v>7.2820512820512819</c:v>
                </c:pt>
                <c:pt idx="2">
                  <c:v>9.0512820512820511</c:v>
                </c:pt>
                <c:pt idx="3">
                  <c:v>11.578947368421053</c:v>
                </c:pt>
                <c:pt idx="4">
                  <c:v>19.399999999999999</c:v>
                </c:pt>
                <c:pt idx="5">
                  <c:v>3.7272727272727271</c:v>
                </c:pt>
                <c:pt idx="6">
                  <c:v>6.5238095238095237</c:v>
                </c:pt>
                <c:pt idx="7">
                  <c:v>10.285714285714286</c:v>
                </c:pt>
                <c:pt idx="8">
                  <c:v>15</c:v>
                </c:pt>
                <c:pt idx="9">
                  <c:v>19.642857142857142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F-4260-B998-64B8C7A38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948152"/>
        <c:axId val="970958816"/>
      </c:barChart>
      <c:catAx>
        <c:axId val="982948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70958816"/>
        <c:crosses val="autoZero"/>
        <c:auto val="1"/>
        <c:lblAlgn val="ctr"/>
        <c:lblOffset val="100"/>
        <c:noMultiLvlLbl val="0"/>
      </c:catAx>
      <c:valAx>
        <c:axId val="97095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8294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780097</xdr:colOff>
      <xdr:row>2</xdr:row>
      <xdr:rowOff>45720</xdr:rowOff>
    </xdr:from>
    <xdr:to>
      <xdr:col>10</xdr:col>
      <xdr:colOff>269557</xdr:colOff>
      <xdr:row>17</xdr:row>
      <xdr:rowOff>76200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33562EC3-EC6D-4339-94D7-D84D624F9B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uzanna Gomuła" refreshedDate="44646.767307175927" createdVersion="7" refreshedVersion="7" minRefreshableVersion="3" recordCount="300" xr:uid="{6F7AEDB8-BC69-47D6-B2CD-79B754EB6B17}">
  <cacheSource type="worksheet">
    <worksheetSource ref="A1:M301" sheet="pogoda"/>
  </cacheSource>
  <cacheFields count="7">
    <cacheField name="Dzien" numFmtId="0">
      <sharedItems containsSemiMixedTypes="0" containsString="0" containsNumber="1" containsInteger="1" minValue="1" maxValue="300"/>
    </cacheField>
    <cacheField name="Temperatura" numFmtId="0">
      <sharedItems containsSemiMixedTypes="0" containsString="0" containsNumber="1" minValue="0.2" maxValue="29.9"/>
    </cacheField>
    <cacheField name="Opad" numFmtId="0">
      <sharedItems containsSemiMixedTypes="0" containsString="0" containsNumber="1" containsInteger="1" minValue="0" maxValue="29"/>
    </cacheField>
    <cacheField name="Kategoria_chmur" numFmtId="0">
      <sharedItems count="3">
        <s v="0"/>
        <s v="C"/>
        <s v="S"/>
      </sharedItems>
    </cacheField>
    <cacheField name="Wielkosc_chmur" numFmtId="0">
      <sharedItems containsSemiMixedTypes="0" containsString="0" containsNumber="1" containsInteger="1" minValue="0" maxValue="5" count="6">
        <n v="0"/>
        <n v="1"/>
        <n v="2"/>
        <n v="3"/>
        <n v="4"/>
        <n v="5"/>
      </sharedItems>
    </cacheField>
    <cacheField name="a" numFmtId="0">
      <sharedItems containsSemiMixedTypes="0" containsString="0" containsNumber="1" containsInteger="1" minValue="0" maxValue="1"/>
    </cacheField>
    <cacheField name="b" numFmtId="0">
      <sharedItems containsSemiMixedTypes="0" containsString="0" containsNumber="1" containsInteger="1" minValue="0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uzanna Gomuła" refreshedDate="44646.80142314815" createdVersion="7" refreshedVersion="7" minRefreshableVersion="3" recordCount="500" xr:uid="{21547302-E88F-4261-B5EC-C39AB27D238E}">
  <cacheSource type="worksheet">
    <worksheetSource name="pogoda__2"/>
  </cacheSource>
  <cacheFields count="14">
    <cacheField name="Dzien" numFmtId="0">
      <sharedItems containsSemiMixedTypes="0" containsString="0" containsNumber="1" containsInteger="1" minValue="1" maxValue="500"/>
    </cacheField>
    <cacheField name="Temperatura" numFmtId="0">
      <sharedItems containsSemiMixedTypes="0" containsString="0" containsNumber="1" minValue="0.1" maxValue="29.9"/>
    </cacheField>
    <cacheField name="Opad" numFmtId="0">
      <sharedItems containsSemiMixedTypes="0" containsString="0" containsNumber="1" containsInteger="1" minValue="0" maxValue="29"/>
    </cacheField>
    <cacheField name="Kategoria_chmur" numFmtId="49">
      <sharedItems containsMixedTypes="1" containsNumber="1" containsInteger="1" minValue="0" maxValue="0"/>
    </cacheField>
    <cacheField name="Wielkosc_chmur" numFmtId="0">
      <sharedItems containsSemiMixedTypes="0" containsString="0" containsNumber="1" containsInteger="1" minValue="0" maxValue="5"/>
    </cacheField>
    <cacheField name="nubis K" numFmtId="49">
      <sharedItems containsMixedTypes="1" containsNumber="1" containsInteger="1" minValue="0" maxValue="0" count="3">
        <n v="0"/>
        <s v="C"/>
        <s v="S"/>
      </sharedItems>
    </cacheField>
    <cacheField name="nubis W" numFmtId="0">
      <sharedItems containsSemiMixedTypes="0" containsString="0" containsNumber="1" containsInteger="1" minValue="0" maxValue="5" count="6">
        <n v="0"/>
        <n v="1"/>
        <n v="2"/>
        <n v="3"/>
        <n v="4"/>
        <n v="5"/>
      </sharedItems>
    </cacheField>
    <cacheField name="Kolumna1" numFmtId="0">
      <sharedItems containsNonDate="0" containsString="0" containsBlank="1"/>
    </cacheField>
    <cacheField name="K" numFmtId="0">
      <sharedItems containsSemiMixedTypes="0" containsString="0" containsNumber="1" containsInteger="1" minValue="0" maxValue="1"/>
    </cacheField>
    <cacheField name="W" numFmtId="0">
      <sharedItems containsSemiMixedTypes="0" containsString="0" containsNumber="1" containsInteger="1" minValue="0" maxValue="1"/>
    </cacheField>
    <cacheField name="Kolumna2" numFmtId="0">
      <sharedItems containsNonDate="0" containsString="0" containsBlank="1"/>
    </cacheField>
    <cacheField name="a" numFmtId="0">
      <sharedItems containsSemiMixedTypes="0" containsString="0" containsNumber="1" containsInteger="1" minValue="0" maxValue="1"/>
    </cacheField>
    <cacheField name="b" numFmtId="0">
      <sharedItems containsSemiMixedTypes="0" containsString="0" containsNumber="1" containsInteger="1" minValue="0" maxValue="8"/>
    </cacheField>
    <cacheField name="lp" numFmtId="0">
      <sharedItems containsSemiMixedTypes="0" containsString="0" containsNumber="1" containsInteger="1" minValue="1" maxValue="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n v="1"/>
    <n v="19"/>
    <n v="0"/>
    <x v="0"/>
    <x v="0"/>
    <n v="0"/>
    <n v="0"/>
  </r>
  <r>
    <n v="2"/>
    <n v="22"/>
    <n v="1"/>
    <x v="1"/>
    <x v="1"/>
    <n v="1"/>
    <n v="1"/>
  </r>
  <r>
    <n v="3"/>
    <n v="23.6"/>
    <n v="4"/>
    <x v="1"/>
    <x v="1"/>
    <n v="1"/>
    <n v="2"/>
  </r>
  <r>
    <n v="4"/>
    <n v="23.6"/>
    <n v="4"/>
    <x v="1"/>
    <x v="1"/>
    <n v="1"/>
    <n v="0"/>
  </r>
  <r>
    <n v="5"/>
    <n v="22.3"/>
    <n v="10"/>
    <x v="1"/>
    <x v="2"/>
    <n v="0"/>
    <n v="0"/>
  </r>
  <r>
    <n v="6"/>
    <n v="20.399999999999999"/>
    <n v="8"/>
    <x v="1"/>
    <x v="2"/>
    <n v="0"/>
    <n v="0"/>
  </r>
  <r>
    <n v="7"/>
    <n v="18.899999999999999"/>
    <n v="10"/>
    <x v="1"/>
    <x v="2"/>
    <n v="0"/>
    <n v="0"/>
  </r>
  <r>
    <n v="8"/>
    <n v="18.5"/>
    <n v="11"/>
    <x v="1"/>
    <x v="3"/>
    <n v="0"/>
    <n v="0"/>
  </r>
  <r>
    <n v="9"/>
    <n v="19.5"/>
    <n v="14"/>
    <x v="1"/>
    <x v="3"/>
    <n v="0"/>
    <n v="1"/>
  </r>
  <r>
    <n v="10"/>
    <n v="21.8"/>
    <n v="15"/>
    <x v="1"/>
    <x v="3"/>
    <n v="0"/>
    <n v="2"/>
  </r>
  <r>
    <n v="11"/>
    <n v="24.8"/>
    <n v="3"/>
    <x v="1"/>
    <x v="4"/>
    <n v="1"/>
    <n v="3"/>
  </r>
  <r>
    <n v="12"/>
    <n v="27.7"/>
    <n v="23"/>
    <x v="1"/>
    <x v="4"/>
    <n v="0"/>
    <n v="4"/>
  </r>
  <r>
    <n v="13"/>
    <n v="29.5"/>
    <n v="17"/>
    <x v="1"/>
    <x v="4"/>
    <n v="0"/>
    <n v="5"/>
  </r>
  <r>
    <n v="14"/>
    <n v="29.8"/>
    <n v="15"/>
    <x v="1"/>
    <x v="5"/>
    <n v="0"/>
    <n v="6"/>
  </r>
  <r>
    <n v="15"/>
    <n v="28.3"/>
    <n v="22"/>
    <x v="1"/>
    <x v="5"/>
    <n v="0"/>
    <n v="0"/>
  </r>
  <r>
    <n v="16"/>
    <n v="25.5"/>
    <n v="0"/>
    <x v="0"/>
    <x v="0"/>
    <n v="1"/>
    <n v="0"/>
  </r>
  <r>
    <n v="17"/>
    <n v="22"/>
    <n v="2"/>
    <x v="1"/>
    <x v="1"/>
    <n v="1"/>
    <n v="0"/>
  </r>
  <r>
    <n v="18"/>
    <n v="18.899999999999999"/>
    <n v="1"/>
    <x v="1"/>
    <x v="1"/>
    <n v="0"/>
    <n v="0"/>
  </r>
  <r>
    <n v="19"/>
    <n v="16.899999999999999"/>
    <n v="1"/>
    <x v="1"/>
    <x v="1"/>
    <n v="0"/>
    <n v="0"/>
  </r>
  <r>
    <n v="20"/>
    <n v="16.3"/>
    <n v="12"/>
    <x v="1"/>
    <x v="2"/>
    <n v="0"/>
    <n v="0"/>
  </r>
  <r>
    <n v="21"/>
    <n v="17.100000000000001"/>
    <n v="11"/>
    <x v="1"/>
    <x v="2"/>
    <n v="0"/>
    <n v="1"/>
  </r>
  <r>
    <n v="22"/>
    <n v="18.7"/>
    <n v="6"/>
    <x v="1"/>
    <x v="2"/>
    <n v="0"/>
    <n v="2"/>
  </r>
  <r>
    <n v="23"/>
    <n v="20.2"/>
    <n v="18"/>
    <x v="1"/>
    <x v="2"/>
    <n v="0"/>
    <n v="3"/>
  </r>
  <r>
    <n v="24"/>
    <n v="20.8"/>
    <n v="15"/>
    <x v="1"/>
    <x v="3"/>
    <n v="0"/>
    <n v="4"/>
  </r>
  <r>
    <n v="25"/>
    <n v="19.899999999999999"/>
    <n v="5"/>
    <x v="1"/>
    <x v="3"/>
    <n v="0"/>
    <n v="0"/>
  </r>
  <r>
    <n v="26"/>
    <n v="17.5"/>
    <n v="19"/>
    <x v="1"/>
    <x v="4"/>
    <n v="0"/>
    <n v="0"/>
  </r>
  <r>
    <n v="27"/>
    <n v="13.9"/>
    <n v="18"/>
    <x v="1"/>
    <x v="4"/>
    <n v="0"/>
    <n v="0"/>
  </r>
  <r>
    <n v="28"/>
    <n v="9.9"/>
    <n v="4"/>
    <x v="1"/>
    <x v="4"/>
    <n v="0"/>
    <n v="0"/>
  </r>
  <r>
    <n v="29"/>
    <n v="6.4"/>
    <n v="17"/>
    <x v="1"/>
    <x v="5"/>
    <n v="0"/>
    <n v="0"/>
  </r>
  <r>
    <n v="30"/>
    <n v="4.2"/>
    <n v="14"/>
    <x v="1"/>
    <x v="5"/>
    <n v="0"/>
    <n v="0"/>
  </r>
  <r>
    <n v="31"/>
    <n v="3.6"/>
    <n v="12"/>
    <x v="1"/>
    <x v="5"/>
    <n v="0"/>
    <n v="0"/>
  </r>
  <r>
    <n v="32"/>
    <n v="4.5999999999999996"/>
    <n v="11"/>
    <x v="1"/>
    <x v="5"/>
    <n v="0"/>
    <n v="1"/>
  </r>
  <r>
    <n v="33"/>
    <n v="6.6"/>
    <n v="17"/>
    <x v="1"/>
    <x v="5"/>
    <n v="0"/>
    <n v="2"/>
  </r>
  <r>
    <n v="34"/>
    <n v="8.6999999999999993"/>
    <n v="26"/>
    <x v="1"/>
    <x v="5"/>
    <n v="0"/>
    <n v="3"/>
  </r>
  <r>
    <n v="35"/>
    <n v="10"/>
    <n v="0"/>
    <x v="0"/>
    <x v="0"/>
    <n v="0"/>
    <n v="4"/>
  </r>
  <r>
    <n v="36"/>
    <n v="10.1"/>
    <n v="3"/>
    <x v="1"/>
    <x v="1"/>
    <n v="0"/>
    <n v="5"/>
  </r>
  <r>
    <n v="37"/>
    <n v="8.8000000000000007"/>
    <n v="3"/>
    <x v="1"/>
    <x v="1"/>
    <n v="0"/>
    <n v="0"/>
  </r>
  <r>
    <n v="38"/>
    <n v="6.4"/>
    <n v="5"/>
    <x v="1"/>
    <x v="1"/>
    <n v="0"/>
    <n v="0"/>
  </r>
  <r>
    <n v="39"/>
    <n v="3.8"/>
    <n v="11"/>
    <x v="1"/>
    <x v="2"/>
    <n v="0"/>
    <n v="0"/>
  </r>
  <r>
    <n v="40"/>
    <n v="1.7"/>
    <n v="6"/>
    <x v="1"/>
    <x v="2"/>
    <n v="0"/>
    <n v="0"/>
  </r>
  <r>
    <n v="41"/>
    <n v="1"/>
    <n v="3"/>
    <x v="1"/>
    <x v="2"/>
    <n v="0"/>
    <n v="0"/>
  </r>
  <r>
    <n v="42"/>
    <n v="2"/>
    <n v="17"/>
    <x v="1"/>
    <x v="3"/>
    <n v="0"/>
    <n v="1"/>
  </r>
  <r>
    <n v="43"/>
    <n v="4.5999999999999996"/>
    <n v="5"/>
    <x v="1"/>
    <x v="3"/>
    <n v="0"/>
    <n v="2"/>
  </r>
  <r>
    <n v="44"/>
    <n v="8.1999999999999993"/>
    <n v="8"/>
    <x v="1"/>
    <x v="3"/>
    <n v="0"/>
    <n v="3"/>
  </r>
  <r>
    <n v="45"/>
    <n v="11.8"/>
    <n v="2"/>
    <x v="1"/>
    <x v="4"/>
    <n v="0"/>
    <n v="4"/>
  </r>
  <r>
    <n v="46"/>
    <n v="14.7"/>
    <n v="1"/>
    <x v="1"/>
    <x v="4"/>
    <n v="0"/>
    <n v="5"/>
  </r>
  <r>
    <n v="47"/>
    <n v="16.3"/>
    <n v="11"/>
    <x v="1"/>
    <x v="4"/>
    <n v="0"/>
    <n v="6"/>
  </r>
  <r>
    <n v="48"/>
    <n v="16.3"/>
    <n v="25"/>
    <x v="1"/>
    <x v="5"/>
    <n v="0"/>
    <n v="0"/>
  </r>
  <r>
    <n v="49"/>
    <n v="15.2"/>
    <n v="0"/>
    <x v="0"/>
    <x v="0"/>
    <n v="0"/>
    <n v="0"/>
  </r>
  <r>
    <n v="50"/>
    <n v="13.6"/>
    <n v="2"/>
    <x v="1"/>
    <x v="1"/>
    <n v="0"/>
    <n v="0"/>
  </r>
  <r>
    <n v="51"/>
    <n v="12.5"/>
    <n v="3"/>
    <x v="1"/>
    <x v="1"/>
    <n v="0"/>
    <n v="0"/>
  </r>
  <r>
    <n v="52"/>
    <n v="12.5"/>
    <n v="2"/>
    <x v="1"/>
    <x v="1"/>
    <n v="0"/>
    <n v="0"/>
  </r>
  <r>
    <n v="53"/>
    <n v="14.1"/>
    <n v="4"/>
    <x v="1"/>
    <x v="2"/>
    <n v="0"/>
    <n v="1"/>
  </r>
  <r>
    <n v="54"/>
    <n v="17.100000000000001"/>
    <n v="5"/>
    <x v="1"/>
    <x v="2"/>
    <n v="0"/>
    <n v="2"/>
  </r>
  <r>
    <n v="55"/>
    <n v="20.9"/>
    <n v="9"/>
    <x v="1"/>
    <x v="2"/>
    <n v="0"/>
    <n v="3"/>
  </r>
  <r>
    <n v="56"/>
    <n v="24.5"/>
    <n v="2"/>
    <x v="1"/>
    <x v="3"/>
    <n v="1"/>
    <n v="4"/>
  </r>
  <r>
    <n v="57"/>
    <n v="27.3"/>
    <n v="16"/>
    <x v="1"/>
    <x v="3"/>
    <n v="0"/>
    <n v="5"/>
  </r>
  <r>
    <n v="58"/>
    <n v="28.4"/>
    <n v="14"/>
    <x v="1"/>
    <x v="3"/>
    <n v="0"/>
    <n v="6"/>
  </r>
  <r>
    <n v="59"/>
    <n v="27.8"/>
    <n v="14"/>
    <x v="1"/>
    <x v="3"/>
    <n v="0"/>
    <n v="0"/>
  </r>
  <r>
    <n v="60"/>
    <n v="25.9"/>
    <n v="6"/>
    <x v="1"/>
    <x v="4"/>
    <n v="0"/>
    <n v="0"/>
  </r>
  <r>
    <n v="61"/>
    <n v="23.4"/>
    <n v="21"/>
    <x v="1"/>
    <x v="4"/>
    <n v="0"/>
    <n v="0"/>
  </r>
  <r>
    <n v="62"/>
    <n v="21.2"/>
    <n v="21"/>
    <x v="1"/>
    <x v="5"/>
    <n v="0"/>
    <n v="0"/>
  </r>
  <r>
    <n v="63"/>
    <n v="20"/>
    <n v="0"/>
    <x v="0"/>
    <x v="0"/>
    <n v="1"/>
    <n v="0"/>
  </r>
  <r>
    <n v="64"/>
    <n v="20.3"/>
    <n v="4"/>
    <x v="1"/>
    <x v="1"/>
    <n v="1"/>
    <n v="1"/>
  </r>
  <r>
    <n v="65"/>
    <n v="21.8"/>
    <n v="6"/>
    <x v="1"/>
    <x v="1"/>
    <n v="0"/>
    <n v="2"/>
  </r>
  <r>
    <n v="66"/>
    <n v="24"/>
    <n v="3"/>
    <x v="1"/>
    <x v="1"/>
    <n v="1"/>
    <n v="3"/>
  </r>
  <r>
    <n v="67"/>
    <n v="26.1"/>
    <n v="7"/>
    <x v="1"/>
    <x v="2"/>
    <n v="0"/>
    <n v="4"/>
  </r>
  <r>
    <n v="68"/>
    <n v="27.3"/>
    <n v="6"/>
    <x v="1"/>
    <x v="2"/>
    <n v="0"/>
    <n v="5"/>
  </r>
  <r>
    <n v="69"/>
    <n v="26.8"/>
    <n v="8"/>
    <x v="1"/>
    <x v="2"/>
    <n v="0"/>
    <n v="0"/>
  </r>
  <r>
    <n v="70"/>
    <n v="24.7"/>
    <n v="3"/>
    <x v="1"/>
    <x v="3"/>
    <n v="1"/>
    <n v="0"/>
  </r>
  <r>
    <n v="71"/>
    <n v="21.2"/>
    <n v="16"/>
    <x v="1"/>
    <x v="3"/>
    <n v="0"/>
    <n v="0"/>
  </r>
  <r>
    <n v="72"/>
    <n v="17.3"/>
    <n v="8"/>
    <x v="1"/>
    <x v="3"/>
    <n v="0"/>
    <n v="0"/>
  </r>
  <r>
    <n v="73"/>
    <n v="13.7"/>
    <n v="19"/>
    <x v="1"/>
    <x v="4"/>
    <n v="0"/>
    <n v="0"/>
  </r>
  <r>
    <n v="74"/>
    <n v="11.3"/>
    <n v="5"/>
    <x v="1"/>
    <x v="4"/>
    <n v="0"/>
    <n v="0"/>
  </r>
  <r>
    <n v="75"/>
    <n v="10.5"/>
    <n v="2"/>
    <x v="1"/>
    <x v="4"/>
    <n v="0"/>
    <n v="0"/>
  </r>
  <r>
    <n v="76"/>
    <n v="11"/>
    <n v="22"/>
    <x v="1"/>
    <x v="5"/>
    <n v="0"/>
    <n v="1"/>
  </r>
  <r>
    <n v="77"/>
    <n v="12.5"/>
    <n v="0"/>
    <x v="0"/>
    <x v="0"/>
    <n v="0"/>
    <n v="2"/>
  </r>
  <r>
    <n v="78"/>
    <n v="14"/>
    <n v="2"/>
    <x v="1"/>
    <x v="1"/>
    <n v="0"/>
    <n v="3"/>
  </r>
  <r>
    <n v="79"/>
    <n v="14.7"/>
    <n v="4"/>
    <x v="1"/>
    <x v="1"/>
    <n v="0"/>
    <n v="4"/>
  </r>
  <r>
    <n v="80"/>
    <n v="14.1"/>
    <n v="5"/>
    <x v="2"/>
    <x v="1"/>
    <n v="0"/>
    <n v="0"/>
  </r>
  <r>
    <n v="81"/>
    <n v="11.9"/>
    <n v="8"/>
    <x v="1"/>
    <x v="2"/>
    <n v="0"/>
    <n v="0"/>
  </r>
  <r>
    <n v="82"/>
    <n v="8.6999999999999993"/>
    <n v="6"/>
    <x v="1"/>
    <x v="2"/>
    <n v="0"/>
    <n v="0"/>
  </r>
  <r>
    <n v="83"/>
    <n v="5.0999999999999996"/>
    <n v="3"/>
    <x v="1"/>
    <x v="2"/>
    <n v="0"/>
    <n v="0"/>
  </r>
  <r>
    <n v="84"/>
    <n v="2.2000000000000002"/>
    <n v="1"/>
    <x v="1"/>
    <x v="3"/>
    <n v="0"/>
    <n v="0"/>
  </r>
  <r>
    <n v="85"/>
    <n v="0.5"/>
    <n v="5"/>
    <x v="1"/>
    <x v="3"/>
    <n v="0"/>
    <n v="0"/>
  </r>
  <r>
    <n v="86"/>
    <n v="0.6"/>
    <n v="13"/>
    <x v="1"/>
    <x v="3"/>
    <n v="0"/>
    <n v="1"/>
  </r>
  <r>
    <n v="87"/>
    <n v="2.2999999999999998"/>
    <n v="4"/>
    <x v="1"/>
    <x v="4"/>
    <n v="0"/>
    <n v="2"/>
  </r>
  <r>
    <n v="88"/>
    <n v="5"/>
    <n v="9"/>
    <x v="1"/>
    <x v="4"/>
    <n v="0"/>
    <n v="3"/>
  </r>
  <r>
    <n v="89"/>
    <n v="7.9"/>
    <n v="24"/>
    <x v="1"/>
    <x v="4"/>
    <n v="0"/>
    <n v="4"/>
  </r>
  <r>
    <n v="90"/>
    <n v="10"/>
    <n v="15"/>
    <x v="1"/>
    <x v="5"/>
    <n v="0"/>
    <n v="5"/>
  </r>
  <r>
    <n v="91"/>
    <n v="10.9"/>
    <n v="29"/>
    <x v="1"/>
    <x v="5"/>
    <n v="0"/>
    <n v="6"/>
  </r>
  <r>
    <n v="92"/>
    <n v="10.3"/>
    <n v="0"/>
    <x v="0"/>
    <x v="0"/>
    <n v="0"/>
    <n v="0"/>
  </r>
  <r>
    <n v="93"/>
    <n v="8.6999999999999993"/>
    <n v="1"/>
    <x v="2"/>
    <x v="1"/>
    <n v="0"/>
    <n v="0"/>
  </r>
  <r>
    <n v="94"/>
    <n v="6.7"/>
    <n v="3"/>
    <x v="2"/>
    <x v="1"/>
    <n v="0"/>
    <n v="0"/>
  </r>
  <r>
    <n v="95"/>
    <n v="5.3"/>
    <n v="6"/>
    <x v="2"/>
    <x v="1"/>
    <n v="0"/>
    <n v="0"/>
  </r>
  <r>
    <n v="96"/>
    <n v="5.2"/>
    <n v="3"/>
    <x v="2"/>
    <x v="2"/>
    <n v="0"/>
    <n v="0"/>
  </r>
  <r>
    <n v="97"/>
    <n v="6.8"/>
    <n v="2"/>
    <x v="2"/>
    <x v="2"/>
    <n v="0"/>
    <n v="1"/>
  </r>
  <r>
    <n v="98"/>
    <n v="9.8000000000000007"/>
    <n v="11"/>
    <x v="2"/>
    <x v="2"/>
    <n v="0"/>
    <n v="2"/>
  </r>
  <r>
    <n v="99"/>
    <n v="13.7"/>
    <n v="8"/>
    <x v="2"/>
    <x v="3"/>
    <n v="0"/>
    <n v="3"/>
  </r>
  <r>
    <n v="100"/>
    <n v="17.7"/>
    <n v="6"/>
    <x v="2"/>
    <x v="3"/>
    <n v="0"/>
    <n v="4"/>
  </r>
  <r>
    <n v="101"/>
    <n v="20.8"/>
    <n v="5"/>
    <x v="2"/>
    <x v="3"/>
    <n v="1"/>
    <n v="5"/>
  </r>
  <r>
    <n v="102"/>
    <n v="22.4"/>
    <n v="20"/>
    <x v="2"/>
    <x v="4"/>
    <n v="0"/>
    <n v="6"/>
  </r>
  <r>
    <n v="103"/>
    <n v="22.5"/>
    <n v="17"/>
    <x v="2"/>
    <x v="4"/>
    <n v="0"/>
    <n v="7"/>
  </r>
  <r>
    <n v="104"/>
    <n v="21.2"/>
    <n v="11"/>
    <x v="2"/>
    <x v="4"/>
    <n v="0"/>
    <n v="0"/>
  </r>
  <r>
    <n v="105"/>
    <n v="19.5"/>
    <n v="27"/>
    <x v="2"/>
    <x v="5"/>
    <n v="0"/>
    <n v="0"/>
  </r>
  <r>
    <n v="106"/>
    <n v="18.100000000000001"/>
    <n v="0"/>
    <x v="0"/>
    <x v="0"/>
    <n v="0"/>
    <n v="0"/>
  </r>
  <r>
    <n v="107"/>
    <n v="17.8"/>
    <n v="5"/>
    <x v="1"/>
    <x v="1"/>
    <n v="0"/>
    <n v="0"/>
  </r>
  <r>
    <n v="108"/>
    <n v="18.899999999999999"/>
    <n v="3"/>
    <x v="1"/>
    <x v="1"/>
    <n v="0"/>
    <n v="1"/>
  </r>
  <r>
    <n v="109"/>
    <n v="21.3"/>
    <n v="1"/>
    <x v="1"/>
    <x v="1"/>
    <n v="1"/>
    <n v="2"/>
  </r>
  <r>
    <n v="110"/>
    <n v="24.5"/>
    <n v="7"/>
    <x v="1"/>
    <x v="2"/>
    <n v="0"/>
    <n v="3"/>
  </r>
  <r>
    <n v="111"/>
    <n v="27.5"/>
    <n v="12"/>
    <x v="1"/>
    <x v="2"/>
    <n v="0"/>
    <n v="4"/>
  </r>
  <r>
    <n v="112"/>
    <n v="29.5"/>
    <n v="6"/>
    <x v="1"/>
    <x v="2"/>
    <n v="0"/>
    <n v="5"/>
  </r>
  <r>
    <n v="113"/>
    <n v="29.9"/>
    <n v="5"/>
    <x v="1"/>
    <x v="3"/>
    <n v="1"/>
    <n v="6"/>
  </r>
  <r>
    <n v="114"/>
    <n v="28.6"/>
    <n v="6"/>
    <x v="1"/>
    <x v="3"/>
    <n v="0"/>
    <n v="0"/>
  </r>
  <r>
    <n v="115"/>
    <n v="25.9"/>
    <n v="6"/>
    <x v="1"/>
    <x v="3"/>
    <n v="0"/>
    <n v="0"/>
  </r>
  <r>
    <n v="116"/>
    <n v="22.6"/>
    <n v="23"/>
    <x v="1"/>
    <x v="4"/>
    <n v="0"/>
    <n v="0"/>
  </r>
  <r>
    <n v="117"/>
    <n v="19.7"/>
    <n v="16"/>
    <x v="1"/>
    <x v="4"/>
    <n v="0"/>
    <n v="0"/>
  </r>
  <r>
    <n v="118"/>
    <n v="17.8"/>
    <n v="1"/>
    <x v="1"/>
    <x v="4"/>
    <n v="0"/>
    <n v="0"/>
  </r>
  <r>
    <n v="119"/>
    <n v="17.3"/>
    <n v="27"/>
    <x v="1"/>
    <x v="5"/>
    <n v="0"/>
    <n v="0"/>
  </r>
  <r>
    <n v="120"/>
    <n v="18.2"/>
    <n v="0"/>
    <x v="0"/>
    <x v="0"/>
    <n v="0"/>
    <n v="1"/>
  </r>
  <r>
    <n v="121"/>
    <n v="19.8"/>
    <n v="1"/>
    <x v="1"/>
    <x v="1"/>
    <n v="0"/>
    <n v="2"/>
  </r>
  <r>
    <n v="122"/>
    <n v="21.4"/>
    <n v="1"/>
    <x v="1"/>
    <x v="1"/>
    <n v="1"/>
    <n v="3"/>
  </r>
  <r>
    <n v="123"/>
    <n v="22"/>
    <n v="6"/>
    <x v="1"/>
    <x v="1"/>
    <n v="0"/>
    <n v="4"/>
  </r>
  <r>
    <n v="124"/>
    <n v="21.2"/>
    <n v="9"/>
    <x v="1"/>
    <x v="2"/>
    <n v="0"/>
    <n v="0"/>
  </r>
  <r>
    <n v="125"/>
    <n v="18.8"/>
    <n v="7"/>
    <x v="1"/>
    <x v="2"/>
    <n v="0"/>
    <n v="0"/>
  </r>
  <r>
    <n v="126"/>
    <n v="15.2"/>
    <n v="12"/>
    <x v="1"/>
    <x v="2"/>
    <n v="0"/>
    <n v="0"/>
  </r>
  <r>
    <n v="127"/>
    <n v="11.1"/>
    <n v="15"/>
    <x v="1"/>
    <x v="3"/>
    <n v="0"/>
    <n v="0"/>
  </r>
  <r>
    <n v="128"/>
    <n v="7.5"/>
    <n v="10"/>
    <x v="1"/>
    <x v="3"/>
    <n v="0"/>
    <n v="0"/>
  </r>
  <r>
    <n v="129"/>
    <n v="5.2"/>
    <n v="5"/>
    <x v="1"/>
    <x v="3"/>
    <n v="0"/>
    <n v="0"/>
  </r>
  <r>
    <n v="130"/>
    <n v="4.5999999999999996"/>
    <n v="23"/>
    <x v="1"/>
    <x v="4"/>
    <n v="0"/>
    <n v="0"/>
  </r>
  <r>
    <n v="131"/>
    <n v="5.5"/>
    <n v="11"/>
    <x v="1"/>
    <x v="4"/>
    <n v="0"/>
    <n v="1"/>
  </r>
  <r>
    <n v="132"/>
    <n v="7.3"/>
    <n v="23"/>
    <x v="1"/>
    <x v="4"/>
    <n v="0"/>
    <n v="2"/>
  </r>
  <r>
    <n v="133"/>
    <n v="9.3000000000000007"/>
    <n v="16"/>
    <x v="1"/>
    <x v="5"/>
    <n v="0"/>
    <n v="3"/>
  </r>
  <r>
    <n v="134"/>
    <n v="10.5"/>
    <n v="21"/>
    <x v="1"/>
    <x v="5"/>
    <n v="0"/>
    <n v="4"/>
  </r>
  <r>
    <n v="135"/>
    <n v="10.4"/>
    <n v="0"/>
    <x v="0"/>
    <x v="0"/>
    <n v="0"/>
    <n v="0"/>
  </r>
  <r>
    <n v="136"/>
    <n v="9"/>
    <n v="4"/>
    <x v="2"/>
    <x v="1"/>
    <n v="0"/>
    <n v="0"/>
  </r>
  <r>
    <n v="137"/>
    <n v="6.4"/>
    <n v="3"/>
    <x v="2"/>
    <x v="1"/>
    <n v="0"/>
    <n v="0"/>
  </r>
  <r>
    <n v="138"/>
    <n v="3.6"/>
    <n v="3"/>
    <x v="2"/>
    <x v="1"/>
    <n v="0"/>
    <n v="0"/>
  </r>
  <r>
    <n v="139"/>
    <n v="1.4"/>
    <n v="4"/>
    <x v="2"/>
    <x v="2"/>
    <n v="0"/>
    <n v="0"/>
  </r>
  <r>
    <n v="140"/>
    <n v="0.5"/>
    <n v="5"/>
    <x v="2"/>
    <x v="2"/>
    <n v="0"/>
    <n v="0"/>
  </r>
  <r>
    <n v="141"/>
    <n v="1.4"/>
    <n v="1"/>
    <x v="2"/>
    <x v="2"/>
    <n v="0"/>
    <n v="1"/>
  </r>
  <r>
    <n v="142"/>
    <n v="3.9"/>
    <n v="3"/>
    <x v="2"/>
    <x v="3"/>
    <n v="0"/>
    <n v="2"/>
  </r>
  <r>
    <n v="143"/>
    <n v="7.3"/>
    <n v="13"/>
    <x v="2"/>
    <x v="3"/>
    <n v="0"/>
    <n v="3"/>
  </r>
  <r>
    <n v="144"/>
    <n v="10.9"/>
    <n v="12"/>
    <x v="2"/>
    <x v="3"/>
    <n v="0"/>
    <n v="4"/>
  </r>
  <r>
    <n v="145"/>
    <n v="13.7"/>
    <n v="9"/>
    <x v="2"/>
    <x v="4"/>
    <n v="0"/>
    <n v="5"/>
  </r>
  <r>
    <n v="146"/>
    <n v="15.1"/>
    <n v="21"/>
    <x v="2"/>
    <x v="4"/>
    <n v="0"/>
    <n v="6"/>
  </r>
  <r>
    <n v="147"/>
    <n v="15.1"/>
    <n v="14"/>
    <x v="2"/>
    <x v="4"/>
    <n v="0"/>
    <n v="0"/>
  </r>
  <r>
    <n v="148"/>
    <n v="13.9"/>
    <n v="11"/>
    <x v="2"/>
    <x v="5"/>
    <n v="0"/>
    <n v="0"/>
  </r>
  <r>
    <n v="149"/>
    <n v="12.3"/>
    <n v="20"/>
    <x v="2"/>
    <x v="5"/>
    <n v="0"/>
    <n v="0"/>
  </r>
  <r>
    <n v="150"/>
    <n v="11.2"/>
    <n v="0"/>
    <x v="0"/>
    <x v="0"/>
    <n v="0"/>
    <n v="0"/>
  </r>
  <r>
    <n v="151"/>
    <n v="11.3"/>
    <n v="6"/>
    <x v="1"/>
    <x v="1"/>
    <n v="0"/>
    <n v="1"/>
  </r>
  <r>
    <n v="152"/>
    <n v="12.9"/>
    <n v="3"/>
    <x v="1"/>
    <x v="1"/>
    <n v="0"/>
    <n v="2"/>
  </r>
  <r>
    <n v="153"/>
    <n v="16"/>
    <n v="6"/>
    <x v="1"/>
    <x v="1"/>
    <n v="0"/>
    <n v="3"/>
  </r>
  <r>
    <n v="154"/>
    <n v="19.8"/>
    <n v="2"/>
    <x v="1"/>
    <x v="2"/>
    <n v="0"/>
    <n v="4"/>
  </r>
  <r>
    <n v="155"/>
    <n v="23.6"/>
    <n v="11"/>
    <x v="1"/>
    <x v="2"/>
    <n v="0"/>
    <n v="5"/>
  </r>
  <r>
    <n v="156"/>
    <n v="26.4"/>
    <n v="11"/>
    <x v="1"/>
    <x v="2"/>
    <n v="0"/>
    <n v="6"/>
  </r>
  <r>
    <n v="157"/>
    <n v="27.7"/>
    <n v="5"/>
    <x v="1"/>
    <x v="3"/>
    <n v="1"/>
    <n v="7"/>
  </r>
  <r>
    <n v="158"/>
    <n v="27.2"/>
    <n v="18"/>
    <x v="1"/>
    <x v="3"/>
    <n v="0"/>
    <n v="0"/>
  </r>
  <r>
    <n v="159"/>
    <n v="25.5"/>
    <n v="5"/>
    <x v="1"/>
    <x v="3"/>
    <n v="1"/>
    <n v="0"/>
  </r>
  <r>
    <n v="160"/>
    <n v="23.1"/>
    <n v="8"/>
    <x v="1"/>
    <x v="4"/>
    <n v="0"/>
    <n v="0"/>
  </r>
  <r>
    <n v="161"/>
    <n v="21"/>
    <n v="22"/>
    <x v="1"/>
    <x v="4"/>
    <n v="0"/>
    <n v="0"/>
  </r>
  <r>
    <n v="162"/>
    <n v="20"/>
    <n v="19"/>
    <x v="1"/>
    <x v="4"/>
    <n v="0"/>
    <n v="0"/>
  </r>
  <r>
    <n v="163"/>
    <n v="20.399999999999999"/>
    <n v="23"/>
    <x v="1"/>
    <x v="5"/>
    <n v="0"/>
    <n v="1"/>
  </r>
  <r>
    <n v="164"/>
    <n v="22.1"/>
    <n v="0"/>
    <x v="0"/>
    <x v="0"/>
    <n v="1"/>
    <n v="2"/>
  </r>
  <r>
    <n v="165"/>
    <n v="24.5"/>
    <n v="1"/>
    <x v="2"/>
    <x v="1"/>
    <n v="1"/>
    <n v="3"/>
  </r>
  <r>
    <n v="166"/>
    <n v="26.8"/>
    <n v="2"/>
    <x v="2"/>
    <x v="1"/>
    <n v="1"/>
    <n v="4"/>
  </r>
  <r>
    <n v="167"/>
    <n v="28"/>
    <n v="4"/>
    <x v="2"/>
    <x v="1"/>
    <n v="1"/>
    <n v="5"/>
  </r>
  <r>
    <n v="168"/>
    <n v="27.7"/>
    <n v="8"/>
    <x v="2"/>
    <x v="2"/>
    <n v="0"/>
    <n v="0"/>
  </r>
  <r>
    <n v="169"/>
    <n v="25.6"/>
    <n v="4"/>
    <x v="2"/>
    <x v="2"/>
    <n v="1"/>
    <n v="0"/>
  </r>
  <r>
    <n v="170"/>
    <n v="22.3"/>
    <n v="7"/>
    <x v="2"/>
    <x v="2"/>
    <n v="0"/>
    <n v="0"/>
  </r>
  <r>
    <n v="171"/>
    <n v="18.399999999999999"/>
    <n v="6"/>
    <x v="2"/>
    <x v="3"/>
    <n v="0"/>
    <n v="0"/>
  </r>
  <r>
    <n v="172"/>
    <n v="14.9"/>
    <n v="18"/>
    <x v="2"/>
    <x v="3"/>
    <n v="0"/>
    <n v="0"/>
  </r>
  <r>
    <n v="173"/>
    <n v="12.5"/>
    <n v="6"/>
    <x v="2"/>
    <x v="3"/>
    <n v="0"/>
    <n v="0"/>
  </r>
  <r>
    <n v="174"/>
    <n v="11.7"/>
    <n v="20"/>
    <x v="2"/>
    <x v="4"/>
    <n v="0"/>
    <n v="0"/>
  </r>
  <r>
    <n v="175"/>
    <n v="12.3"/>
    <n v="14"/>
    <x v="2"/>
    <x v="4"/>
    <n v="0"/>
    <n v="1"/>
  </r>
  <r>
    <n v="176"/>
    <n v="13.7"/>
    <n v="22"/>
    <x v="2"/>
    <x v="4"/>
    <n v="0"/>
    <n v="2"/>
  </r>
  <r>
    <n v="177"/>
    <n v="15.2"/>
    <n v="23"/>
    <x v="2"/>
    <x v="5"/>
    <n v="0"/>
    <n v="3"/>
  </r>
  <r>
    <n v="178"/>
    <n v="15.9"/>
    <n v="0"/>
    <x v="0"/>
    <x v="0"/>
    <n v="0"/>
    <n v="4"/>
  </r>
  <r>
    <n v="179"/>
    <n v="15.1"/>
    <n v="1"/>
    <x v="1"/>
    <x v="1"/>
    <n v="0"/>
    <n v="0"/>
  </r>
  <r>
    <n v="180"/>
    <n v="12.9"/>
    <n v="1"/>
    <x v="1"/>
    <x v="1"/>
    <n v="0"/>
    <n v="0"/>
  </r>
  <r>
    <n v="181"/>
    <n v="9.6"/>
    <n v="1"/>
    <x v="1"/>
    <x v="1"/>
    <n v="0"/>
    <n v="0"/>
  </r>
  <r>
    <n v="182"/>
    <n v="5.9"/>
    <n v="2"/>
    <x v="1"/>
    <x v="2"/>
    <n v="0"/>
    <n v="0"/>
  </r>
  <r>
    <n v="183"/>
    <n v="2.8"/>
    <n v="6"/>
    <x v="1"/>
    <x v="2"/>
    <n v="0"/>
    <n v="0"/>
  </r>
  <r>
    <n v="184"/>
    <n v="1"/>
    <n v="9"/>
    <x v="1"/>
    <x v="2"/>
    <n v="0"/>
    <n v="0"/>
  </r>
  <r>
    <n v="185"/>
    <n v="0.9"/>
    <n v="6"/>
    <x v="1"/>
    <x v="3"/>
    <n v="0"/>
    <n v="0"/>
  </r>
  <r>
    <n v="186"/>
    <n v="2.5"/>
    <n v="1"/>
    <x v="1"/>
    <x v="3"/>
    <n v="0"/>
    <n v="1"/>
  </r>
  <r>
    <n v="187"/>
    <n v="5"/>
    <n v="3"/>
    <x v="1"/>
    <x v="3"/>
    <n v="0"/>
    <n v="2"/>
  </r>
  <r>
    <n v="188"/>
    <n v="7.7"/>
    <n v="7"/>
    <x v="1"/>
    <x v="4"/>
    <n v="0"/>
    <n v="3"/>
  </r>
  <r>
    <n v="189"/>
    <n v="9.6999999999999993"/>
    <n v="6"/>
    <x v="1"/>
    <x v="4"/>
    <n v="0"/>
    <n v="4"/>
  </r>
  <r>
    <n v="190"/>
    <n v="10.4"/>
    <n v="3"/>
    <x v="1"/>
    <x v="4"/>
    <n v="0"/>
    <n v="5"/>
  </r>
  <r>
    <n v="191"/>
    <n v="9.6999999999999993"/>
    <n v="22"/>
    <x v="1"/>
    <x v="5"/>
    <n v="0"/>
    <n v="0"/>
  </r>
  <r>
    <n v="192"/>
    <n v="8"/>
    <n v="0"/>
    <x v="0"/>
    <x v="0"/>
    <n v="0"/>
    <n v="0"/>
  </r>
  <r>
    <n v="193"/>
    <n v="5.9"/>
    <n v="3"/>
    <x v="2"/>
    <x v="1"/>
    <n v="0"/>
    <n v="0"/>
  </r>
  <r>
    <n v="194"/>
    <n v="4.4000000000000004"/>
    <n v="4"/>
    <x v="2"/>
    <x v="1"/>
    <n v="0"/>
    <n v="0"/>
  </r>
  <r>
    <n v="195"/>
    <n v="4.2"/>
    <n v="6"/>
    <x v="2"/>
    <x v="1"/>
    <n v="0"/>
    <n v="0"/>
  </r>
  <r>
    <n v="196"/>
    <n v="5.6"/>
    <n v="8"/>
    <x v="2"/>
    <x v="2"/>
    <n v="0"/>
    <n v="1"/>
  </r>
  <r>
    <n v="197"/>
    <n v="8.6"/>
    <n v="12"/>
    <x v="2"/>
    <x v="2"/>
    <n v="0"/>
    <n v="2"/>
  </r>
  <r>
    <n v="198"/>
    <n v="12.5"/>
    <n v="9"/>
    <x v="2"/>
    <x v="2"/>
    <n v="0"/>
    <n v="3"/>
  </r>
  <r>
    <n v="199"/>
    <n v="16.399999999999999"/>
    <n v="14"/>
    <x v="2"/>
    <x v="3"/>
    <n v="0"/>
    <n v="4"/>
  </r>
  <r>
    <n v="200"/>
    <n v="19.5"/>
    <n v="12"/>
    <x v="2"/>
    <x v="3"/>
    <n v="0"/>
    <n v="5"/>
  </r>
  <r>
    <n v="201"/>
    <n v="21.2"/>
    <n v="1"/>
    <x v="2"/>
    <x v="3"/>
    <n v="1"/>
    <n v="6"/>
  </r>
  <r>
    <n v="202"/>
    <n v="21.3"/>
    <n v="11"/>
    <x v="2"/>
    <x v="4"/>
    <n v="0"/>
    <n v="7"/>
  </r>
  <r>
    <n v="203"/>
    <n v="20.100000000000001"/>
    <n v="6"/>
    <x v="2"/>
    <x v="4"/>
    <n v="0"/>
    <n v="0"/>
  </r>
  <r>
    <n v="204"/>
    <n v="18.399999999999999"/>
    <n v="3"/>
    <x v="2"/>
    <x v="4"/>
    <n v="0"/>
    <n v="0"/>
  </r>
  <r>
    <n v="205"/>
    <n v="17.100000000000001"/>
    <n v="15"/>
    <x v="2"/>
    <x v="5"/>
    <n v="0"/>
    <n v="0"/>
  </r>
  <r>
    <n v="206"/>
    <n v="16.899999999999999"/>
    <n v="16"/>
    <x v="2"/>
    <x v="5"/>
    <n v="0"/>
    <n v="0"/>
  </r>
  <r>
    <n v="207"/>
    <n v="18.2"/>
    <n v="17"/>
    <x v="2"/>
    <x v="5"/>
    <n v="0"/>
    <n v="1"/>
  </r>
  <r>
    <n v="208"/>
    <n v="20.7"/>
    <n v="18"/>
    <x v="2"/>
    <x v="5"/>
    <n v="0"/>
    <n v="2"/>
  </r>
  <r>
    <n v="209"/>
    <n v="24"/>
    <n v="13"/>
    <x v="2"/>
    <x v="5"/>
    <n v="0"/>
    <n v="3"/>
  </r>
  <r>
    <n v="210"/>
    <n v="27.2"/>
    <n v="27"/>
    <x v="2"/>
    <x v="5"/>
    <n v="0"/>
    <n v="4"/>
  </r>
  <r>
    <n v="211"/>
    <n v="29.4"/>
    <n v="0"/>
    <x v="0"/>
    <x v="0"/>
    <n v="1"/>
    <n v="5"/>
  </r>
  <r>
    <n v="212"/>
    <n v="29.9"/>
    <n v="2"/>
    <x v="1"/>
    <x v="1"/>
    <n v="1"/>
    <n v="6"/>
  </r>
  <r>
    <n v="213"/>
    <n v="28.8"/>
    <n v="4"/>
    <x v="1"/>
    <x v="1"/>
    <n v="1"/>
    <n v="0"/>
  </r>
  <r>
    <n v="214"/>
    <n v="26.2"/>
    <n v="2"/>
    <x v="1"/>
    <x v="1"/>
    <n v="1"/>
    <n v="0"/>
  </r>
  <r>
    <n v="215"/>
    <n v="23.1"/>
    <n v="11"/>
    <x v="1"/>
    <x v="1"/>
    <n v="0"/>
    <n v="0"/>
  </r>
  <r>
    <n v="216"/>
    <n v="20.3"/>
    <n v="1"/>
    <x v="1"/>
    <x v="2"/>
    <n v="1"/>
    <n v="0"/>
  </r>
  <r>
    <n v="217"/>
    <n v="18.5"/>
    <n v="7"/>
    <x v="1"/>
    <x v="2"/>
    <n v="0"/>
    <n v="0"/>
  </r>
  <r>
    <n v="218"/>
    <n v="18.2"/>
    <n v="10"/>
    <x v="1"/>
    <x v="3"/>
    <n v="0"/>
    <n v="0"/>
  </r>
  <r>
    <n v="219"/>
    <n v="19.100000000000001"/>
    <n v="10"/>
    <x v="1"/>
    <x v="3"/>
    <n v="0"/>
    <n v="1"/>
  </r>
  <r>
    <n v="220"/>
    <n v="20.9"/>
    <n v="1"/>
    <x v="1"/>
    <x v="3"/>
    <n v="1"/>
    <n v="2"/>
  </r>
  <r>
    <n v="221"/>
    <n v="22.5"/>
    <n v="4"/>
    <x v="1"/>
    <x v="4"/>
    <n v="1"/>
    <n v="3"/>
  </r>
  <r>
    <n v="222"/>
    <n v="23.2"/>
    <n v="12"/>
    <x v="1"/>
    <x v="4"/>
    <n v="0"/>
    <n v="4"/>
  </r>
  <r>
    <n v="223"/>
    <n v="22.4"/>
    <n v="7"/>
    <x v="1"/>
    <x v="4"/>
    <n v="0"/>
    <n v="0"/>
  </r>
  <r>
    <n v="224"/>
    <n v="20"/>
    <n v="16"/>
    <x v="1"/>
    <x v="5"/>
    <n v="0"/>
    <n v="0"/>
  </r>
  <r>
    <n v="225"/>
    <n v="16.399999999999999"/>
    <n v="24"/>
    <x v="1"/>
    <x v="5"/>
    <n v="0"/>
    <n v="0"/>
  </r>
  <r>
    <n v="226"/>
    <n v="12.3"/>
    <n v="0"/>
    <x v="0"/>
    <x v="0"/>
    <n v="0"/>
    <n v="0"/>
  </r>
  <r>
    <n v="227"/>
    <n v="8.6999999999999993"/>
    <n v="5"/>
    <x v="2"/>
    <x v="1"/>
    <n v="0"/>
    <n v="0"/>
  </r>
  <r>
    <n v="228"/>
    <n v="6.4"/>
    <n v="1"/>
    <x v="2"/>
    <x v="1"/>
    <n v="0"/>
    <n v="0"/>
  </r>
  <r>
    <n v="229"/>
    <n v="5.6"/>
    <n v="6"/>
    <x v="2"/>
    <x v="1"/>
    <n v="0"/>
    <n v="0"/>
  </r>
  <r>
    <n v="230"/>
    <n v="6.4"/>
    <n v="12"/>
    <x v="2"/>
    <x v="2"/>
    <n v="0"/>
    <n v="1"/>
  </r>
  <r>
    <n v="231"/>
    <n v="8.1999999999999993"/>
    <n v="3"/>
    <x v="2"/>
    <x v="2"/>
    <n v="0"/>
    <n v="2"/>
  </r>
  <r>
    <n v="232"/>
    <n v="10"/>
    <n v="12"/>
    <x v="2"/>
    <x v="2"/>
    <n v="0"/>
    <n v="3"/>
  </r>
  <r>
    <n v="233"/>
    <n v="11.1"/>
    <n v="17"/>
    <x v="2"/>
    <x v="3"/>
    <n v="0"/>
    <n v="4"/>
  </r>
  <r>
    <n v="234"/>
    <n v="10.9"/>
    <n v="16"/>
    <x v="2"/>
    <x v="3"/>
    <n v="0"/>
    <n v="0"/>
  </r>
  <r>
    <n v="235"/>
    <n v="9.3000000000000007"/>
    <n v="3"/>
    <x v="2"/>
    <x v="3"/>
    <n v="0"/>
    <n v="0"/>
  </r>
  <r>
    <n v="236"/>
    <n v="6.6"/>
    <n v="21"/>
    <x v="2"/>
    <x v="4"/>
    <n v="0"/>
    <n v="0"/>
  </r>
  <r>
    <n v="237"/>
    <n v="3.6"/>
    <n v="18"/>
    <x v="2"/>
    <x v="4"/>
    <n v="0"/>
    <n v="0"/>
  </r>
  <r>
    <n v="238"/>
    <n v="1.2"/>
    <n v="13"/>
    <x v="2"/>
    <x v="4"/>
    <n v="0"/>
    <n v="0"/>
  </r>
  <r>
    <n v="239"/>
    <n v="0.2"/>
    <n v="29"/>
    <x v="2"/>
    <x v="5"/>
    <n v="0"/>
    <n v="0"/>
  </r>
  <r>
    <n v="240"/>
    <n v="0.9"/>
    <n v="0"/>
    <x v="0"/>
    <x v="0"/>
    <n v="0"/>
    <n v="1"/>
  </r>
  <r>
    <n v="241"/>
    <n v="3.2"/>
    <n v="6"/>
    <x v="2"/>
    <x v="1"/>
    <n v="0"/>
    <n v="2"/>
  </r>
  <r>
    <n v="242"/>
    <n v="6.6"/>
    <n v="5"/>
    <x v="2"/>
    <x v="1"/>
    <n v="0"/>
    <n v="3"/>
  </r>
  <r>
    <n v="243"/>
    <n v="10"/>
    <n v="2"/>
    <x v="2"/>
    <x v="1"/>
    <n v="0"/>
    <n v="4"/>
  </r>
  <r>
    <n v="244"/>
    <n v="12.7"/>
    <n v="8"/>
    <x v="2"/>
    <x v="2"/>
    <n v="0"/>
    <n v="5"/>
  </r>
  <r>
    <n v="245"/>
    <n v="14.1"/>
    <n v="1"/>
    <x v="2"/>
    <x v="2"/>
    <n v="0"/>
    <n v="6"/>
  </r>
  <r>
    <n v="246"/>
    <n v="14"/>
    <n v="11"/>
    <x v="2"/>
    <x v="2"/>
    <n v="0"/>
    <n v="0"/>
  </r>
  <r>
    <n v="247"/>
    <n v="12.7"/>
    <n v="13"/>
    <x v="2"/>
    <x v="3"/>
    <n v="0"/>
    <n v="0"/>
  </r>
  <r>
    <n v="248"/>
    <n v="11.1"/>
    <n v="18"/>
    <x v="2"/>
    <x v="3"/>
    <n v="0"/>
    <n v="0"/>
  </r>
  <r>
    <n v="249"/>
    <n v="10"/>
    <n v="15"/>
    <x v="2"/>
    <x v="3"/>
    <n v="0"/>
    <n v="0"/>
  </r>
  <r>
    <n v="250"/>
    <n v="10.1"/>
    <n v="12"/>
    <x v="2"/>
    <x v="4"/>
    <n v="0"/>
    <n v="1"/>
  </r>
  <r>
    <n v="251"/>
    <n v="11.7"/>
    <n v="2"/>
    <x v="2"/>
    <x v="4"/>
    <n v="0"/>
    <n v="2"/>
  </r>
  <r>
    <n v="252"/>
    <n v="14.8"/>
    <n v="21"/>
    <x v="2"/>
    <x v="4"/>
    <n v="0"/>
    <n v="3"/>
  </r>
  <r>
    <n v="253"/>
    <n v="18.7"/>
    <n v="28"/>
    <x v="2"/>
    <x v="5"/>
    <n v="0"/>
    <n v="4"/>
  </r>
  <r>
    <n v="254"/>
    <n v="22.5"/>
    <n v="0"/>
    <x v="0"/>
    <x v="0"/>
    <n v="1"/>
    <n v="5"/>
  </r>
  <r>
    <n v="255"/>
    <n v="25.4"/>
    <n v="3"/>
    <x v="1"/>
    <x v="1"/>
    <n v="1"/>
    <n v="6"/>
  </r>
  <r>
    <n v="256"/>
    <n v="26.8"/>
    <n v="5"/>
    <x v="1"/>
    <x v="1"/>
    <n v="1"/>
    <n v="7"/>
  </r>
  <r>
    <n v="257"/>
    <n v="26.5"/>
    <n v="5"/>
    <x v="1"/>
    <x v="1"/>
    <n v="1"/>
    <n v="0"/>
  </r>
  <r>
    <n v="258"/>
    <n v="24.9"/>
    <n v="7"/>
    <x v="1"/>
    <x v="2"/>
    <n v="0"/>
    <n v="0"/>
  </r>
  <r>
    <n v="259"/>
    <n v="22.6"/>
    <n v="1"/>
    <x v="1"/>
    <x v="2"/>
    <n v="1"/>
    <n v="0"/>
  </r>
  <r>
    <n v="260"/>
    <n v="20.7"/>
    <n v="6"/>
    <x v="1"/>
    <x v="2"/>
    <n v="0"/>
    <n v="0"/>
  </r>
  <r>
    <n v="261"/>
    <n v="19.899999999999999"/>
    <n v="6"/>
    <x v="1"/>
    <x v="3"/>
    <n v="0"/>
    <n v="0"/>
  </r>
  <r>
    <n v="262"/>
    <n v="20.399999999999999"/>
    <n v="10"/>
    <x v="1"/>
    <x v="3"/>
    <n v="0"/>
    <n v="1"/>
  </r>
  <r>
    <n v="263"/>
    <n v="22.3"/>
    <n v="16"/>
    <x v="1"/>
    <x v="3"/>
    <n v="0"/>
    <n v="2"/>
  </r>
  <r>
    <n v="264"/>
    <n v="24.8"/>
    <n v="9"/>
    <x v="1"/>
    <x v="4"/>
    <n v="0"/>
    <n v="3"/>
  </r>
  <r>
    <n v="265"/>
    <n v="27.2"/>
    <n v="18"/>
    <x v="1"/>
    <x v="4"/>
    <n v="0"/>
    <n v="4"/>
  </r>
  <r>
    <n v="266"/>
    <n v="28.6"/>
    <n v="4"/>
    <x v="1"/>
    <x v="4"/>
    <n v="1"/>
    <n v="5"/>
  </r>
  <r>
    <n v="267"/>
    <n v="28.4"/>
    <n v="22"/>
    <x v="1"/>
    <x v="5"/>
    <n v="0"/>
    <n v="0"/>
  </r>
  <r>
    <n v="268"/>
    <n v="26.5"/>
    <n v="0"/>
    <x v="0"/>
    <x v="0"/>
    <n v="1"/>
    <n v="0"/>
  </r>
  <r>
    <n v="269"/>
    <n v="23.3"/>
    <n v="4"/>
    <x v="1"/>
    <x v="1"/>
    <n v="1"/>
    <n v="0"/>
  </r>
  <r>
    <n v="270"/>
    <n v="19.5"/>
    <n v="6"/>
    <x v="1"/>
    <x v="1"/>
    <n v="0"/>
    <n v="0"/>
  </r>
  <r>
    <n v="271"/>
    <n v="16"/>
    <n v="6"/>
    <x v="1"/>
    <x v="1"/>
    <n v="0"/>
    <n v="0"/>
  </r>
  <r>
    <n v="272"/>
    <n v="13.7"/>
    <n v="9"/>
    <x v="1"/>
    <x v="2"/>
    <n v="0"/>
    <n v="0"/>
  </r>
  <r>
    <n v="273"/>
    <n v="12.9"/>
    <n v="7"/>
    <x v="1"/>
    <x v="2"/>
    <n v="0"/>
    <n v="0"/>
  </r>
  <r>
    <n v="274"/>
    <n v="13.5"/>
    <n v="1"/>
    <x v="1"/>
    <x v="2"/>
    <n v="0"/>
    <n v="1"/>
  </r>
  <r>
    <n v="275"/>
    <n v="15"/>
    <n v="18"/>
    <x v="1"/>
    <x v="3"/>
    <n v="0"/>
    <n v="2"/>
  </r>
  <r>
    <n v="276"/>
    <n v="16.399999999999999"/>
    <n v="13"/>
    <x v="1"/>
    <x v="3"/>
    <n v="0"/>
    <n v="3"/>
  </r>
  <r>
    <n v="277"/>
    <n v="17.100000000000001"/>
    <n v="2"/>
    <x v="1"/>
    <x v="3"/>
    <n v="0"/>
    <n v="4"/>
  </r>
  <r>
    <n v="278"/>
    <n v="16.3"/>
    <n v="10"/>
    <x v="1"/>
    <x v="4"/>
    <n v="0"/>
    <n v="0"/>
  </r>
  <r>
    <n v="279"/>
    <n v="14"/>
    <n v="6"/>
    <x v="1"/>
    <x v="4"/>
    <n v="0"/>
    <n v="0"/>
  </r>
  <r>
    <n v="280"/>
    <n v="10.5"/>
    <n v="20"/>
    <x v="1"/>
    <x v="4"/>
    <n v="0"/>
    <n v="0"/>
  </r>
  <r>
    <n v="281"/>
    <n v="6.7"/>
    <n v="17"/>
    <x v="1"/>
    <x v="5"/>
    <n v="0"/>
    <n v="0"/>
  </r>
  <r>
    <n v="282"/>
    <n v="3.5"/>
    <n v="13"/>
    <x v="1"/>
    <x v="5"/>
    <n v="0"/>
    <n v="0"/>
  </r>
  <r>
    <n v="283"/>
    <n v="1.6"/>
    <n v="18"/>
    <x v="1"/>
    <x v="5"/>
    <n v="0"/>
    <n v="0"/>
  </r>
  <r>
    <n v="284"/>
    <n v="1.4"/>
    <n v="20"/>
    <x v="1"/>
    <x v="5"/>
    <n v="0"/>
    <n v="0"/>
  </r>
  <r>
    <n v="285"/>
    <n v="2.8"/>
    <n v="0"/>
    <x v="0"/>
    <x v="0"/>
    <n v="0"/>
    <n v="1"/>
  </r>
  <r>
    <n v="286"/>
    <n v="5.2"/>
    <n v="6"/>
    <x v="2"/>
    <x v="1"/>
    <n v="0"/>
    <n v="2"/>
  </r>
  <r>
    <n v="287"/>
    <n v="7.7"/>
    <n v="5"/>
    <x v="2"/>
    <x v="1"/>
    <n v="0"/>
    <n v="3"/>
  </r>
  <r>
    <n v="288"/>
    <n v="9.6"/>
    <n v="1"/>
    <x v="2"/>
    <x v="1"/>
    <n v="0"/>
    <n v="4"/>
  </r>
  <r>
    <n v="289"/>
    <n v="10.1"/>
    <n v="8"/>
    <x v="2"/>
    <x v="2"/>
    <n v="0"/>
    <n v="5"/>
  </r>
  <r>
    <n v="290"/>
    <n v="9.3000000000000007"/>
    <n v="3"/>
    <x v="2"/>
    <x v="2"/>
    <n v="0"/>
    <n v="0"/>
  </r>
  <r>
    <n v="291"/>
    <n v="7.4"/>
    <n v="5"/>
    <x v="2"/>
    <x v="2"/>
    <n v="0"/>
    <n v="0"/>
  </r>
  <r>
    <n v="292"/>
    <n v="5.0999999999999996"/>
    <n v="17"/>
    <x v="2"/>
    <x v="3"/>
    <n v="0"/>
    <n v="0"/>
  </r>
  <r>
    <n v="293"/>
    <n v="3.5"/>
    <n v="9"/>
    <x v="2"/>
    <x v="3"/>
    <n v="0"/>
    <n v="0"/>
  </r>
  <r>
    <n v="294"/>
    <n v="3.2"/>
    <n v="4"/>
    <x v="2"/>
    <x v="3"/>
    <n v="0"/>
    <n v="0"/>
  </r>
  <r>
    <n v="295"/>
    <n v="4.5999999999999996"/>
    <n v="24"/>
    <x v="2"/>
    <x v="4"/>
    <n v="0"/>
    <n v="1"/>
  </r>
  <r>
    <n v="296"/>
    <n v="7.5"/>
    <n v="21"/>
    <x v="2"/>
    <x v="4"/>
    <n v="0"/>
    <n v="2"/>
  </r>
  <r>
    <n v="297"/>
    <n v="11.3"/>
    <n v="8"/>
    <x v="2"/>
    <x v="5"/>
    <n v="0"/>
    <n v="3"/>
  </r>
  <r>
    <n v="298"/>
    <n v="15.2"/>
    <n v="23"/>
    <x v="2"/>
    <x v="5"/>
    <n v="0"/>
    <n v="4"/>
  </r>
  <r>
    <n v="299"/>
    <n v="18.3"/>
    <n v="0"/>
    <x v="0"/>
    <x v="0"/>
    <n v="0"/>
    <n v="5"/>
  </r>
  <r>
    <n v="300"/>
    <n v="19.899999999999999"/>
    <n v="5"/>
    <x v="1"/>
    <x v="1"/>
    <n v="0"/>
    <n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"/>
    <n v="19"/>
    <n v="0"/>
    <n v="0"/>
    <n v="0"/>
    <x v="0"/>
    <x v="0"/>
    <m/>
    <n v="1"/>
    <n v="1"/>
    <m/>
    <n v="0"/>
    <n v="0"/>
    <n v="1"/>
  </r>
  <r>
    <n v="2"/>
    <n v="22"/>
    <n v="1"/>
    <s v="C"/>
    <n v="1"/>
    <x v="1"/>
    <x v="1"/>
    <m/>
    <n v="1"/>
    <n v="1"/>
    <m/>
    <n v="1"/>
    <n v="1"/>
    <n v="2"/>
  </r>
  <r>
    <n v="3"/>
    <n v="23.6"/>
    <n v="4"/>
    <s v="C"/>
    <n v="1"/>
    <x v="1"/>
    <x v="1"/>
    <m/>
    <n v="1"/>
    <n v="1"/>
    <m/>
    <n v="1"/>
    <n v="2"/>
    <n v="3"/>
  </r>
  <r>
    <n v="4"/>
    <n v="23.6"/>
    <n v="4"/>
    <s v="C"/>
    <n v="1"/>
    <x v="1"/>
    <x v="1"/>
    <m/>
    <n v="1"/>
    <n v="1"/>
    <m/>
    <n v="1"/>
    <n v="0"/>
    <n v="4"/>
  </r>
  <r>
    <n v="5"/>
    <n v="22.3"/>
    <n v="10"/>
    <s v="C"/>
    <n v="2"/>
    <x v="1"/>
    <x v="2"/>
    <m/>
    <n v="1"/>
    <n v="1"/>
    <m/>
    <n v="0"/>
    <n v="0"/>
    <n v="5"/>
  </r>
  <r>
    <n v="6"/>
    <n v="20.399999999999999"/>
    <n v="8"/>
    <s v="C"/>
    <n v="2"/>
    <x v="1"/>
    <x v="2"/>
    <m/>
    <n v="1"/>
    <n v="1"/>
    <m/>
    <n v="0"/>
    <n v="0"/>
    <n v="6"/>
  </r>
  <r>
    <n v="7"/>
    <n v="18.899999999999999"/>
    <n v="10"/>
    <s v="C"/>
    <n v="2"/>
    <x v="1"/>
    <x v="2"/>
    <m/>
    <n v="1"/>
    <n v="1"/>
    <m/>
    <n v="0"/>
    <n v="0"/>
    <n v="7"/>
  </r>
  <r>
    <n v="8"/>
    <n v="18.5"/>
    <n v="11"/>
    <s v="C"/>
    <n v="3"/>
    <x v="1"/>
    <x v="3"/>
    <m/>
    <n v="1"/>
    <n v="1"/>
    <m/>
    <n v="0"/>
    <n v="0"/>
    <n v="8"/>
  </r>
  <r>
    <n v="9"/>
    <n v="19.5"/>
    <n v="14"/>
    <s v="C"/>
    <n v="3"/>
    <x v="1"/>
    <x v="3"/>
    <m/>
    <n v="1"/>
    <n v="1"/>
    <m/>
    <n v="0"/>
    <n v="1"/>
    <n v="9"/>
  </r>
  <r>
    <n v="10"/>
    <n v="21.8"/>
    <n v="15"/>
    <s v="C"/>
    <n v="3"/>
    <x v="1"/>
    <x v="3"/>
    <m/>
    <n v="1"/>
    <n v="1"/>
    <m/>
    <n v="0"/>
    <n v="2"/>
    <n v="10"/>
  </r>
  <r>
    <n v="11"/>
    <n v="24.8"/>
    <n v="3"/>
    <s v="C"/>
    <n v="4"/>
    <x v="1"/>
    <x v="4"/>
    <m/>
    <n v="1"/>
    <n v="1"/>
    <m/>
    <n v="1"/>
    <n v="3"/>
    <n v="11"/>
  </r>
  <r>
    <n v="12"/>
    <n v="27.7"/>
    <n v="23"/>
    <s v="C"/>
    <n v="4"/>
    <x v="1"/>
    <x v="4"/>
    <m/>
    <n v="1"/>
    <n v="1"/>
    <m/>
    <n v="0"/>
    <n v="4"/>
    <n v="12"/>
  </r>
  <r>
    <n v="13"/>
    <n v="29.5"/>
    <n v="17"/>
    <s v="C"/>
    <n v="4"/>
    <x v="1"/>
    <x v="4"/>
    <m/>
    <n v="1"/>
    <n v="1"/>
    <m/>
    <n v="0"/>
    <n v="5"/>
    <n v="13"/>
  </r>
  <r>
    <n v="14"/>
    <n v="29.8"/>
    <n v="15"/>
    <s v="C"/>
    <n v="5"/>
    <x v="1"/>
    <x v="5"/>
    <m/>
    <n v="1"/>
    <n v="1"/>
    <m/>
    <n v="0"/>
    <n v="6"/>
    <n v="14"/>
  </r>
  <r>
    <n v="15"/>
    <n v="28.3"/>
    <n v="22"/>
    <s v="C"/>
    <n v="5"/>
    <x v="1"/>
    <x v="5"/>
    <m/>
    <n v="1"/>
    <n v="1"/>
    <m/>
    <n v="0"/>
    <n v="0"/>
    <n v="15"/>
  </r>
  <r>
    <n v="16"/>
    <n v="25.5"/>
    <n v="0"/>
    <n v="0"/>
    <n v="0"/>
    <x v="0"/>
    <x v="0"/>
    <m/>
    <n v="1"/>
    <n v="1"/>
    <m/>
    <n v="1"/>
    <n v="0"/>
    <n v="16"/>
  </r>
  <r>
    <n v="17"/>
    <n v="22"/>
    <n v="2"/>
    <s v="C"/>
    <n v="1"/>
    <x v="1"/>
    <x v="1"/>
    <m/>
    <n v="1"/>
    <n v="1"/>
    <m/>
    <n v="1"/>
    <n v="0"/>
    <n v="17"/>
  </r>
  <r>
    <n v="18"/>
    <n v="18.899999999999999"/>
    <n v="1"/>
    <s v="C"/>
    <n v="1"/>
    <x v="1"/>
    <x v="1"/>
    <m/>
    <n v="1"/>
    <n v="1"/>
    <m/>
    <n v="0"/>
    <n v="0"/>
    <n v="18"/>
  </r>
  <r>
    <n v="19"/>
    <n v="16.899999999999999"/>
    <n v="1"/>
    <s v="C"/>
    <n v="1"/>
    <x v="1"/>
    <x v="1"/>
    <m/>
    <n v="1"/>
    <n v="1"/>
    <m/>
    <n v="0"/>
    <n v="0"/>
    <n v="19"/>
  </r>
  <r>
    <n v="20"/>
    <n v="16.3"/>
    <n v="12"/>
    <s v="C"/>
    <n v="2"/>
    <x v="1"/>
    <x v="2"/>
    <m/>
    <n v="1"/>
    <n v="1"/>
    <m/>
    <n v="0"/>
    <n v="0"/>
    <n v="20"/>
  </r>
  <r>
    <n v="21"/>
    <n v="17.100000000000001"/>
    <n v="11"/>
    <s v="C"/>
    <n v="2"/>
    <x v="1"/>
    <x v="2"/>
    <m/>
    <n v="1"/>
    <n v="1"/>
    <m/>
    <n v="0"/>
    <n v="1"/>
    <n v="21"/>
  </r>
  <r>
    <n v="22"/>
    <n v="18.7"/>
    <n v="6"/>
    <s v="C"/>
    <n v="2"/>
    <x v="1"/>
    <x v="2"/>
    <m/>
    <n v="1"/>
    <n v="1"/>
    <m/>
    <n v="0"/>
    <n v="2"/>
    <n v="22"/>
  </r>
  <r>
    <n v="23"/>
    <n v="20.2"/>
    <n v="18"/>
    <s v="C"/>
    <n v="2"/>
    <x v="1"/>
    <x v="3"/>
    <m/>
    <n v="1"/>
    <n v="0"/>
    <m/>
    <n v="0"/>
    <n v="3"/>
    <n v="23"/>
  </r>
  <r>
    <n v="24"/>
    <n v="20.8"/>
    <n v="15"/>
    <s v="C"/>
    <n v="3"/>
    <x v="1"/>
    <x v="3"/>
    <m/>
    <n v="1"/>
    <n v="1"/>
    <m/>
    <n v="0"/>
    <n v="4"/>
    <n v="24"/>
  </r>
  <r>
    <n v="25"/>
    <n v="19.899999999999999"/>
    <n v="5"/>
    <s v="C"/>
    <n v="3"/>
    <x v="1"/>
    <x v="3"/>
    <m/>
    <n v="1"/>
    <n v="1"/>
    <m/>
    <n v="0"/>
    <n v="0"/>
    <n v="25"/>
  </r>
  <r>
    <n v="26"/>
    <n v="17.5"/>
    <n v="19"/>
    <s v="C"/>
    <n v="4"/>
    <x v="1"/>
    <x v="4"/>
    <m/>
    <n v="1"/>
    <n v="1"/>
    <m/>
    <n v="0"/>
    <n v="0"/>
    <n v="26"/>
  </r>
  <r>
    <n v="27"/>
    <n v="13.9"/>
    <n v="18"/>
    <s v="C"/>
    <n v="4"/>
    <x v="1"/>
    <x v="4"/>
    <m/>
    <n v="1"/>
    <n v="1"/>
    <m/>
    <n v="0"/>
    <n v="0"/>
    <n v="27"/>
  </r>
  <r>
    <n v="28"/>
    <n v="9.9"/>
    <n v="4"/>
    <s v="C"/>
    <n v="4"/>
    <x v="1"/>
    <x v="4"/>
    <m/>
    <n v="1"/>
    <n v="1"/>
    <m/>
    <n v="0"/>
    <n v="0"/>
    <n v="28"/>
  </r>
  <r>
    <n v="29"/>
    <n v="6.4"/>
    <n v="17"/>
    <s v="C"/>
    <n v="5"/>
    <x v="1"/>
    <x v="5"/>
    <m/>
    <n v="1"/>
    <n v="1"/>
    <m/>
    <n v="0"/>
    <n v="0"/>
    <n v="29"/>
  </r>
  <r>
    <n v="30"/>
    <n v="4.2"/>
    <n v="14"/>
    <s v="C"/>
    <n v="5"/>
    <x v="1"/>
    <x v="5"/>
    <m/>
    <n v="1"/>
    <n v="1"/>
    <m/>
    <n v="0"/>
    <n v="0"/>
    <n v="30"/>
  </r>
  <r>
    <n v="31"/>
    <n v="3.6"/>
    <n v="12"/>
    <s v="C"/>
    <n v="5"/>
    <x v="1"/>
    <x v="5"/>
    <m/>
    <n v="1"/>
    <n v="1"/>
    <m/>
    <n v="0"/>
    <n v="0"/>
    <n v="31"/>
  </r>
  <r>
    <n v="32"/>
    <n v="4.5999999999999996"/>
    <n v="11"/>
    <s v="C"/>
    <n v="5"/>
    <x v="1"/>
    <x v="5"/>
    <m/>
    <n v="1"/>
    <n v="1"/>
    <m/>
    <n v="0"/>
    <n v="1"/>
    <n v="32"/>
  </r>
  <r>
    <n v="33"/>
    <n v="6.6"/>
    <n v="17"/>
    <s v="C"/>
    <n v="5"/>
    <x v="1"/>
    <x v="5"/>
    <m/>
    <n v="1"/>
    <n v="1"/>
    <m/>
    <n v="0"/>
    <n v="2"/>
    <n v="33"/>
  </r>
  <r>
    <n v="34"/>
    <n v="8.6999999999999993"/>
    <n v="26"/>
    <s v="C"/>
    <n v="5"/>
    <x v="1"/>
    <x v="5"/>
    <m/>
    <n v="1"/>
    <n v="1"/>
    <m/>
    <n v="0"/>
    <n v="3"/>
    <n v="34"/>
  </r>
  <r>
    <n v="35"/>
    <n v="10"/>
    <n v="0"/>
    <n v="0"/>
    <n v="0"/>
    <x v="0"/>
    <x v="0"/>
    <m/>
    <n v="1"/>
    <n v="1"/>
    <m/>
    <n v="0"/>
    <n v="4"/>
    <n v="35"/>
  </r>
  <r>
    <n v="36"/>
    <n v="10.1"/>
    <n v="3"/>
    <s v="C"/>
    <n v="1"/>
    <x v="1"/>
    <x v="1"/>
    <m/>
    <n v="1"/>
    <n v="1"/>
    <m/>
    <n v="0"/>
    <n v="5"/>
    <n v="36"/>
  </r>
  <r>
    <n v="37"/>
    <n v="8.8000000000000007"/>
    <n v="3"/>
    <s v="C"/>
    <n v="1"/>
    <x v="1"/>
    <x v="1"/>
    <m/>
    <n v="1"/>
    <n v="1"/>
    <m/>
    <n v="0"/>
    <n v="0"/>
    <n v="37"/>
  </r>
  <r>
    <n v="38"/>
    <n v="6.4"/>
    <n v="5"/>
    <s v="C"/>
    <n v="1"/>
    <x v="1"/>
    <x v="1"/>
    <m/>
    <n v="1"/>
    <n v="1"/>
    <m/>
    <n v="0"/>
    <n v="0"/>
    <n v="38"/>
  </r>
  <r>
    <n v="39"/>
    <n v="3.8"/>
    <n v="11"/>
    <s v="C"/>
    <n v="2"/>
    <x v="1"/>
    <x v="2"/>
    <m/>
    <n v="1"/>
    <n v="1"/>
    <m/>
    <n v="0"/>
    <n v="0"/>
    <n v="39"/>
  </r>
  <r>
    <n v="40"/>
    <n v="1.7"/>
    <n v="6"/>
    <s v="C"/>
    <n v="2"/>
    <x v="1"/>
    <x v="2"/>
    <m/>
    <n v="1"/>
    <n v="1"/>
    <m/>
    <n v="0"/>
    <n v="0"/>
    <n v="40"/>
  </r>
  <r>
    <n v="41"/>
    <n v="1"/>
    <n v="3"/>
    <s v="C"/>
    <n v="2"/>
    <x v="1"/>
    <x v="2"/>
    <m/>
    <n v="1"/>
    <n v="1"/>
    <m/>
    <n v="0"/>
    <n v="0"/>
    <n v="41"/>
  </r>
  <r>
    <n v="42"/>
    <n v="2"/>
    <n v="17"/>
    <s v="C"/>
    <n v="3"/>
    <x v="1"/>
    <x v="3"/>
    <m/>
    <n v="1"/>
    <n v="1"/>
    <m/>
    <n v="0"/>
    <n v="1"/>
    <n v="42"/>
  </r>
  <r>
    <n v="43"/>
    <n v="4.5999999999999996"/>
    <n v="5"/>
    <s v="C"/>
    <n v="3"/>
    <x v="1"/>
    <x v="3"/>
    <m/>
    <n v="1"/>
    <n v="1"/>
    <m/>
    <n v="0"/>
    <n v="2"/>
    <n v="43"/>
  </r>
  <r>
    <n v="44"/>
    <n v="8.1999999999999993"/>
    <n v="8"/>
    <s v="C"/>
    <n v="3"/>
    <x v="1"/>
    <x v="3"/>
    <m/>
    <n v="1"/>
    <n v="1"/>
    <m/>
    <n v="0"/>
    <n v="3"/>
    <n v="44"/>
  </r>
  <r>
    <n v="45"/>
    <n v="11.8"/>
    <n v="2"/>
    <s v="C"/>
    <n v="4"/>
    <x v="1"/>
    <x v="4"/>
    <m/>
    <n v="1"/>
    <n v="1"/>
    <m/>
    <n v="0"/>
    <n v="4"/>
    <n v="45"/>
  </r>
  <r>
    <n v="46"/>
    <n v="14.7"/>
    <n v="1"/>
    <s v="C"/>
    <n v="4"/>
    <x v="1"/>
    <x v="4"/>
    <m/>
    <n v="1"/>
    <n v="1"/>
    <m/>
    <n v="0"/>
    <n v="5"/>
    <n v="46"/>
  </r>
  <r>
    <n v="47"/>
    <n v="16.3"/>
    <n v="11"/>
    <s v="C"/>
    <n v="4"/>
    <x v="1"/>
    <x v="4"/>
    <m/>
    <n v="1"/>
    <n v="1"/>
    <m/>
    <n v="0"/>
    <n v="6"/>
    <n v="47"/>
  </r>
  <r>
    <n v="48"/>
    <n v="16.3"/>
    <n v="25"/>
    <s v="C"/>
    <n v="5"/>
    <x v="1"/>
    <x v="5"/>
    <m/>
    <n v="1"/>
    <n v="1"/>
    <m/>
    <n v="0"/>
    <n v="0"/>
    <n v="48"/>
  </r>
  <r>
    <n v="49"/>
    <n v="15.2"/>
    <n v="0"/>
    <n v="0"/>
    <n v="0"/>
    <x v="0"/>
    <x v="0"/>
    <m/>
    <n v="1"/>
    <n v="1"/>
    <m/>
    <n v="0"/>
    <n v="0"/>
    <n v="49"/>
  </r>
  <r>
    <n v="50"/>
    <n v="13.6"/>
    <n v="2"/>
    <s v="C"/>
    <n v="1"/>
    <x v="1"/>
    <x v="1"/>
    <m/>
    <n v="1"/>
    <n v="1"/>
    <m/>
    <n v="0"/>
    <n v="0"/>
    <n v="50"/>
  </r>
  <r>
    <n v="51"/>
    <n v="12.5"/>
    <n v="3"/>
    <s v="C"/>
    <n v="1"/>
    <x v="1"/>
    <x v="1"/>
    <m/>
    <n v="1"/>
    <n v="1"/>
    <m/>
    <n v="0"/>
    <n v="0"/>
    <n v="51"/>
  </r>
  <r>
    <n v="52"/>
    <n v="12.5"/>
    <n v="2"/>
    <s v="C"/>
    <n v="1"/>
    <x v="1"/>
    <x v="1"/>
    <m/>
    <n v="1"/>
    <n v="1"/>
    <m/>
    <n v="0"/>
    <n v="0"/>
    <n v="52"/>
  </r>
  <r>
    <n v="53"/>
    <n v="14.1"/>
    <n v="4"/>
    <s v="C"/>
    <n v="2"/>
    <x v="1"/>
    <x v="2"/>
    <m/>
    <n v="1"/>
    <n v="1"/>
    <m/>
    <n v="0"/>
    <n v="1"/>
    <n v="53"/>
  </r>
  <r>
    <n v="54"/>
    <n v="17.100000000000001"/>
    <n v="5"/>
    <s v="C"/>
    <n v="2"/>
    <x v="1"/>
    <x v="2"/>
    <m/>
    <n v="1"/>
    <n v="1"/>
    <m/>
    <n v="0"/>
    <n v="2"/>
    <n v="54"/>
  </r>
  <r>
    <n v="55"/>
    <n v="20.9"/>
    <n v="9"/>
    <s v="C"/>
    <n v="2"/>
    <x v="1"/>
    <x v="2"/>
    <m/>
    <n v="1"/>
    <n v="1"/>
    <m/>
    <n v="0"/>
    <n v="3"/>
    <n v="55"/>
  </r>
  <r>
    <n v="56"/>
    <n v="24.5"/>
    <n v="2"/>
    <s v="C"/>
    <n v="3"/>
    <x v="1"/>
    <x v="3"/>
    <m/>
    <n v="1"/>
    <n v="1"/>
    <m/>
    <n v="1"/>
    <n v="4"/>
    <n v="56"/>
  </r>
  <r>
    <n v="57"/>
    <n v="27.3"/>
    <n v="16"/>
    <s v="C"/>
    <n v="3"/>
    <x v="1"/>
    <x v="3"/>
    <m/>
    <n v="1"/>
    <n v="1"/>
    <m/>
    <n v="0"/>
    <n v="5"/>
    <n v="57"/>
  </r>
  <r>
    <n v="58"/>
    <n v="28.4"/>
    <n v="14"/>
    <s v="C"/>
    <n v="3"/>
    <x v="1"/>
    <x v="3"/>
    <m/>
    <n v="1"/>
    <n v="1"/>
    <m/>
    <n v="0"/>
    <n v="6"/>
    <n v="58"/>
  </r>
  <r>
    <n v="59"/>
    <n v="27.8"/>
    <n v="14"/>
    <s v="C"/>
    <n v="3"/>
    <x v="1"/>
    <x v="4"/>
    <m/>
    <n v="1"/>
    <n v="0"/>
    <m/>
    <n v="0"/>
    <n v="0"/>
    <n v="59"/>
  </r>
  <r>
    <n v="60"/>
    <n v="25.9"/>
    <n v="6"/>
    <s v="C"/>
    <n v="4"/>
    <x v="1"/>
    <x v="4"/>
    <m/>
    <n v="1"/>
    <n v="1"/>
    <m/>
    <n v="0"/>
    <n v="0"/>
    <n v="60"/>
  </r>
  <r>
    <n v="61"/>
    <n v="23.4"/>
    <n v="21"/>
    <s v="C"/>
    <n v="4"/>
    <x v="1"/>
    <x v="4"/>
    <m/>
    <n v="1"/>
    <n v="1"/>
    <m/>
    <n v="0"/>
    <n v="0"/>
    <n v="61"/>
  </r>
  <r>
    <n v="62"/>
    <n v="21.2"/>
    <n v="21"/>
    <s v="C"/>
    <n v="5"/>
    <x v="1"/>
    <x v="5"/>
    <m/>
    <n v="1"/>
    <n v="1"/>
    <m/>
    <n v="0"/>
    <n v="0"/>
    <n v="62"/>
  </r>
  <r>
    <n v="63"/>
    <n v="20"/>
    <n v="0"/>
    <n v="0"/>
    <n v="0"/>
    <x v="0"/>
    <x v="0"/>
    <m/>
    <n v="1"/>
    <n v="1"/>
    <m/>
    <n v="1"/>
    <n v="0"/>
    <n v="63"/>
  </r>
  <r>
    <n v="64"/>
    <n v="20.3"/>
    <n v="4"/>
    <s v="C"/>
    <n v="1"/>
    <x v="1"/>
    <x v="1"/>
    <m/>
    <n v="1"/>
    <n v="1"/>
    <m/>
    <n v="1"/>
    <n v="1"/>
    <n v="64"/>
  </r>
  <r>
    <n v="65"/>
    <n v="21.8"/>
    <n v="6"/>
    <s v="C"/>
    <n v="1"/>
    <x v="1"/>
    <x v="1"/>
    <m/>
    <n v="1"/>
    <n v="1"/>
    <m/>
    <n v="0"/>
    <n v="2"/>
    <n v="65"/>
  </r>
  <r>
    <n v="66"/>
    <n v="24"/>
    <n v="3"/>
    <s v="C"/>
    <n v="1"/>
    <x v="1"/>
    <x v="1"/>
    <m/>
    <n v="1"/>
    <n v="1"/>
    <m/>
    <n v="1"/>
    <n v="3"/>
    <n v="66"/>
  </r>
  <r>
    <n v="67"/>
    <n v="26.1"/>
    <n v="7"/>
    <s v="C"/>
    <n v="2"/>
    <x v="1"/>
    <x v="2"/>
    <m/>
    <n v="1"/>
    <n v="1"/>
    <m/>
    <n v="0"/>
    <n v="4"/>
    <n v="67"/>
  </r>
  <r>
    <n v="68"/>
    <n v="27.3"/>
    <n v="6"/>
    <s v="C"/>
    <n v="2"/>
    <x v="1"/>
    <x v="2"/>
    <m/>
    <n v="1"/>
    <n v="1"/>
    <m/>
    <n v="0"/>
    <n v="5"/>
    <n v="68"/>
  </r>
  <r>
    <n v="69"/>
    <n v="26.8"/>
    <n v="8"/>
    <s v="C"/>
    <n v="2"/>
    <x v="1"/>
    <x v="2"/>
    <m/>
    <n v="1"/>
    <n v="1"/>
    <m/>
    <n v="0"/>
    <n v="0"/>
    <n v="69"/>
  </r>
  <r>
    <n v="70"/>
    <n v="24.7"/>
    <n v="3"/>
    <s v="C"/>
    <n v="3"/>
    <x v="1"/>
    <x v="3"/>
    <m/>
    <n v="1"/>
    <n v="1"/>
    <m/>
    <n v="1"/>
    <n v="0"/>
    <n v="70"/>
  </r>
  <r>
    <n v="71"/>
    <n v="21.2"/>
    <n v="16"/>
    <s v="C"/>
    <n v="3"/>
    <x v="1"/>
    <x v="3"/>
    <m/>
    <n v="1"/>
    <n v="1"/>
    <m/>
    <n v="0"/>
    <n v="0"/>
    <n v="71"/>
  </r>
  <r>
    <n v="72"/>
    <n v="17.3"/>
    <n v="8"/>
    <s v="C"/>
    <n v="3"/>
    <x v="1"/>
    <x v="3"/>
    <m/>
    <n v="1"/>
    <n v="1"/>
    <m/>
    <n v="0"/>
    <n v="0"/>
    <n v="72"/>
  </r>
  <r>
    <n v="73"/>
    <n v="13.7"/>
    <n v="19"/>
    <s v="C"/>
    <n v="4"/>
    <x v="1"/>
    <x v="4"/>
    <m/>
    <n v="1"/>
    <n v="1"/>
    <m/>
    <n v="0"/>
    <n v="0"/>
    <n v="73"/>
  </r>
  <r>
    <n v="74"/>
    <n v="11.3"/>
    <n v="5"/>
    <s v="C"/>
    <n v="4"/>
    <x v="1"/>
    <x v="4"/>
    <m/>
    <n v="1"/>
    <n v="1"/>
    <m/>
    <n v="0"/>
    <n v="0"/>
    <n v="74"/>
  </r>
  <r>
    <n v="75"/>
    <n v="10.5"/>
    <n v="2"/>
    <s v="C"/>
    <n v="4"/>
    <x v="1"/>
    <x v="4"/>
    <m/>
    <n v="1"/>
    <n v="1"/>
    <m/>
    <n v="0"/>
    <n v="0"/>
    <n v="75"/>
  </r>
  <r>
    <n v="76"/>
    <n v="11"/>
    <n v="22"/>
    <s v="C"/>
    <n v="5"/>
    <x v="1"/>
    <x v="5"/>
    <m/>
    <n v="1"/>
    <n v="1"/>
    <m/>
    <n v="0"/>
    <n v="1"/>
    <n v="76"/>
  </r>
  <r>
    <n v="77"/>
    <n v="12.5"/>
    <n v="0"/>
    <n v="0"/>
    <n v="0"/>
    <x v="0"/>
    <x v="0"/>
    <m/>
    <n v="1"/>
    <n v="1"/>
    <m/>
    <n v="0"/>
    <n v="2"/>
    <n v="77"/>
  </r>
  <r>
    <n v="78"/>
    <n v="14"/>
    <n v="2"/>
    <s v="C"/>
    <n v="1"/>
    <x v="1"/>
    <x v="1"/>
    <m/>
    <n v="1"/>
    <n v="1"/>
    <m/>
    <n v="0"/>
    <n v="3"/>
    <n v="78"/>
  </r>
  <r>
    <n v="79"/>
    <n v="14.7"/>
    <n v="4"/>
    <s v="C"/>
    <n v="1"/>
    <x v="1"/>
    <x v="1"/>
    <m/>
    <n v="1"/>
    <n v="1"/>
    <m/>
    <n v="0"/>
    <n v="4"/>
    <n v="79"/>
  </r>
  <r>
    <n v="80"/>
    <n v="14.1"/>
    <n v="5"/>
    <s v="S"/>
    <n v="1"/>
    <x v="1"/>
    <x v="1"/>
    <m/>
    <n v="0"/>
    <n v="1"/>
    <m/>
    <n v="0"/>
    <n v="0"/>
    <n v="80"/>
  </r>
  <r>
    <n v="81"/>
    <n v="11.9"/>
    <n v="8"/>
    <s v="C"/>
    <n v="2"/>
    <x v="1"/>
    <x v="2"/>
    <m/>
    <n v="1"/>
    <n v="1"/>
    <m/>
    <n v="0"/>
    <n v="0"/>
    <n v="81"/>
  </r>
  <r>
    <n v="82"/>
    <n v="8.6999999999999993"/>
    <n v="6"/>
    <s v="C"/>
    <n v="2"/>
    <x v="1"/>
    <x v="2"/>
    <m/>
    <n v="1"/>
    <n v="1"/>
    <m/>
    <n v="0"/>
    <n v="0"/>
    <n v="82"/>
  </r>
  <r>
    <n v="83"/>
    <n v="5.0999999999999996"/>
    <n v="3"/>
    <s v="C"/>
    <n v="2"/>
    <x v="1"/>
    <x v="2"/>
    <m/>
    <n v="1"/>
    <n v="1"/>
    <m/>
    <n v="0"/>
    <n v="0"/>
    <n v="83"/>
  </r>
  <r>
    <n v="84"/>
    <n v="2.2000000000000002"/>
    <n v="1"/>
    <s v="C"/>
    <n v="3"/>
    <x v="1"/>
    <x v="3"/>
    <m/>
    <n v="1"/>
    <n v="1"/>
    <m/>
    <n v="0"/>
    <n v="0"/>
    <n v="84"/>
  </r>
  <r>
    <n v="85"/>
    <n v="0.5"/>
    <n v="5"/>
    <s v="C"/>
    <n v="3"/>
    <x v="1"/>
    <x v="3"/>
    <m/>
    <n v="1"/>
    <n v="1"/>
    <m/>
    <n v="0"/>
    <n v="0"/>
    <n v="85"/>
  </r>
  <r>
    <n v="86"/>
    <n v="0.6"/>
    <n v="13"/>
    <s v="C"/>
    <n v="3"/>
    <x v="1"/>
    <x v="3"/>
    <m/>
    <n v="1"/>
    <n v="1"/>
    <m/>
    <n v="0"/>
    <n v="1"/>
    <n v="86"/>
  </r>
  <r>
    <n v="87"/>
    <n v="2.2999999999999998"/>
    <n v="4"/>
    <s v="C"/>
    <n v="4"/>
    <x v="1"/>
    <x v="4"/>
    <m/>
    <n v="1"/>
    <n v="1"/>
    <m/>
    <n v="0"/>
    <n v="2"/>
    <n v="87"/>
  </r>
  <r>
    <n v="88"/>
    <n v="5"/>
    <n v="9"/>
    <s v="C"/>
    <n v="4"/>
    <x v="1"/>
    <x v="4"/>
    <m/>
    <n v="1"/>
    <n v="1"/>
    <m/>
    <n v="0"/>
    <n v="3"/>
    <n v="88"/>
  </r>
  <r>
    <n v="89"/>
    <n v="7.9"/>
    <n v="24"/>
    <s v="C"/>
    <n v="4"/>
    <x v="1"/>
    <x v="4"/>
    <m/>
    <n v="1"/>
    <n v="1"/>
    <m/>
    <n v="0"/>
    <n v="4"/>
    <n v="89"/>
  </r>
  <r>
    <n v="90"/>
    <n v="10"/>
    <n v="15"/>
    <s v="C"/>
    <n v="5"/>
    <x v="1"/>
    <x v="5"/>
    <m/>
    <n v="1"/>
    <n v="1"/>
    <m/>
    <n v="0"/>
    <n v="5"/>
    <n v="90"/>
  </r>
  <r>
    <n v="91"/>
    <n v="10.9"/>
    <n v="29"/>
    <s v="C"/>
    <n v="5"/>
    <x v="1"/>
    <x v="5"/>
    <m/>
    <n v="1"/>
    <n v="1"/>
    <m/>
    <n v="0"/>
    <n v="6"/>
    <n v="91"/>
  </r>
  <r>
    <n v="92"/>
    <n v="10.3"/>
    <n v="0"/>
    <n v="0"/>
    <n v="0"/>
    <x v="0"/>
    <x v="0"/>
    <m/>
    <n v="1"/>
    <n v="1"/>
    <m/>
    <n v="0"/>
    <n v="0"/>
    <n v="92"/>
  </r>
  <r>
    <n v="93"/>
    <n v="8.6999999999999993"/>
    <n v="1"/>
    <s v="S"/>
    <n v="1"/>
    <x v="2"/>
    <x v="1"/>
    <m/>
    <n v="1"/>
    <n v="1"/>
    <m/>
    <n v="0"/>
    <n v="0"/>
    <n v="93"/>
  </r>
  <r>
    <n v="94"/>
    <n v="6.7"/>
    <n v="3"/>
    <s v="S"/>
    <n v="1"/>
    <x v="2"/>
    <x v="1"/>
    <m/>
    <n v="1"/>
    <n v="1"/>
    <m/>
    <n v="0"/>
    <n v="0"/>
    <n v="94"/>
  </r>
  <r>
    <n v="95"/>
    <n v="5.3"/>
    <n v="6"/>
    <s v="S"/>
    <n v="1"/>
    <x v="2"/>
    <x v="1"/>
    <m/>
    <n v="1"/>
    <n v="1"/>
    <m/>
    <n v="0"/>
    <n v="0"/>
    <n v="95"/>
  </r>
  <r>
    <n v="96"/>
    <n v="5.2"/>
    <n v="3"/>
    <s v="S"/>
    <n v="2"/>
    <x v="2"/>
    <x v="2"/>
    <m/>
    <n v="1"/>
    <n v="1"/>
    <m/>
    <n v="0"/>
    <n v="0"/>
    <n v="96"/>
  </r>
  <r>
    <n v="97"/>
    <n v="6.8"/>
    <n v="2"/>
    <s v="S"/>
    <n v="2"/>
    <x v="2"/>
    <x v="2"/>
    <m/>
    <n v="1"/>
    <n v="1"/>
    <m/>
    <n v="0"/>
    <n v="1"/>
    <n v="97"/>
  </r>
  <r>
    <n v="98"/>
    <n v="9.8000000000000007"/>
    <n v="11"/>
    <s v="S"/>
    <n v="2"/>
    <x v="2"/>
    <x v="2"/>
    <m/>
    <n v="1"/>
    <n v="1"/>
    <m/>
    <n v="0"/>
    <n v="2"/>
    <n v="98"/>
  </r>
  <r>
    <n v="99"/>
    <n v="13.7"/>
    <n v="8"/>
    <s v="S"/>
    <n v="3"/>
    <x v="2"/>
    <x v="3"/>
    <m/>
    <n v="1"/>
    <n v="1"/>
    <m/>
    <n v="0"/>
    <n v="3"/>
    <n v="99"/>
  </r>
  <r>
    <n v="100"/>
    <n v="17.7"/>
    <n v="6"/>
    <s v="S"/>
    <n v="3"/>
    <x v="2"/>
    <x v="3"/>
    <m/>
    <n v="1"/>
    <n v="1"/>
    <m/>
    <n v="0"/>
    <n v="4"/>
    <n v="100"/>
  </r>
  <r>
    <n v="101"/>
    <n v="20.8"/>
    <n v="5"/>
    <s v="S"/>
    <n v="3"/>
    <x v="2"/>
    <x v="3"/>
    <m/>
    <n v="1"/>
    <n v="1"/>
    <m/>
    <n v="1"/>
    <n v="5"/>
    <n v="101"/>
  </r>
  <r>
    <n v="102"/>
    <n v="22.4"/>
    <n v="20"/>
    <s v="S"/>
    <n v="4"/>
    <x v="2"/>
    <x v="4"/>
    <m/>
    <n v="1"/>
    <n v="1"/>
    <m/>
    <n v="0"/>
    <n v="6"/>
    <n v="102"/>
  </r>
  <r>
    <n v="103"/>
    <n v="22.5"/>
    <n v="17"/>
    <s v="S"/>
    <n v="4"/>
    <x v="2"/>
    <x v="4"/>
    <m/>
    <n v="1"/>
    <n v="1"/>
    <m/>
    <n v="0"/>
    <n v="7"/>
    <n v="103"/>
  </r>
  <r>
    <n v="104"/>
    <n v="21.2"/>
    <n v="11"/>
    <s v="S"/>
    <n v="4"/>
    <x v="2"/>
    <x v="4"/>
    <m/>
    <n v="1"/>
    <n v="1"/>
    <m/>
    <n v="0"/>
    <n v="0"/>
    <n v="104"/>
  </r>
  <r>
    <n v="105"/>
    <n v="19.5"/>
    <n v="27"/>
    <s v="S"/>
    <n v="5"/>
    <x v="2"/>
    <x v="5"/>
    <m/>
    <n v="1"/>
    <n v="1"/>
    <m/>
    <n v="0"/>
    <n v="0"/>
    <n v="105"/>
  </r>
  <r>
    <n v="106"/>
    <n v="18.100000000000001"/>
    <n v="0"/>
    <n v="0"/>
    <n v="0"/>
    <x v="0"/>
    <x v="0"/>
    <m/>
    <n v="1"/>
    <n v="1"/>
    <m/>
    <n v="0"/>
    <n v="0"/>
    <n v="106"/>
  </r>
  <r>
    <n v="107"/>
    <n v="17.8"/>
    <n v="5"/>
    <s v="C"/>
    <n v="1"/>
    <x v="1"/>
    <x v="1"/>
    <m/>
    <n v="1"/>
    <n v="1"/>
    <m/>
    <n v="0"/>
    <n v="0"/>
    <n v="107"/>
  </r>
  <r>
    <n v="108"/>
    <n v="18.899999999999999"/>
    <n v="3"/>
    <s v="C"/>
    <n v="1"/>
    <x v="1"/>
    <x v="1"/>
    <m/>
    <n v="1"/>
    <n v="1"/>
    <m/>
    <n v="0"/>
    <n v="1"/>
    <n v="108"/>
  </r>
  <r>
    <n v="109"/>
    <n v="21.3"/>
    <n v="1"/>
    <s v="C"/>
    <n v="1"/>
    <x v="1"/>
    <x v="1"/>
    <m/>
    <n v="1"/>
    <n v="1"/>
    <m/>
    <n v="1"/>
    <n v="2"/>
    <n v="109"/>
  </r>
  <r>
    <n v="110"/>
    <n v="24.5"/>
    <n v="7"/>
    <s v="C"/>
    <n v="2"/>
    <x v="1"/>
    <x v="2"/>
    <m/>
    <n v="1"/>
    <n v="1"/>
    <m/>
    <n v="0"/>
    <n v="3"/>
    <n v="110"/>
  </r>
  <r>
    <n v="111"/>
    <n v="27.5"/>
    <n v="12"/>
    <s v="C"/>
    <n v="2"/>
    <x v="1"/>
    <x v="2"/>
    <m/>
    <n v="1"/>
    <n v="1"/>
    <m/>
    <n v="0"/>
    <n v="4"/>
    <n v="111"/>
  </r>
  <r>
    <n v="112"/>
    <n v="29.5"/>
    <n v="6"/>
    <s v="C"/>
    <n v="2"/>
    <x v="1"/>
    <x v="2"/>
    <m/>
    <n v="1"/>
    <n v="1"/>
    <m/>
    <n v="0"/>
    <n v="5"/>
    <n v="112"/>
  </r>
  <r>
    <n v="113"/>
    <n v="29.9"/>
    <n v="5"/>
    <s v="C"/>
    <n v="3"/>
    <x v="1"/>
    <x v="3"/>
    <m/>
    <n v="1"/>
    <n v="1"/>
    <m/>
    <n v="1"/>
    <n v="6"/>
    <n v="113"/>
  </r>
  <r>
    <n v="114"/>
    <n v="28.6"/>
    <n v="6"/>
    <s v="C"/>
    <n v="3"/>
    <x v="1"/>
    <x v="3"/>
    <m/>
    <n v="1"/>
    <n v="1"/>
    <m/>
    <n v="0"/>
    <n v="0"/>
    <n v="114"/>
  </r>
  <r>
    <n v="115"/>
    <n v="25.9"/>
    <n v="6"/>
    <s v="C"/>
    <n v="3"/>
    <x v="1"/>
    <x v="3"/>
    <m/>
    <n v="1"/>
    <n v="1"/>
    <m/>
    <n v="0"/>
    <n v="0"/>
    <n v="115"/>
  </r>
  <r>
    <n v="116"/>
    <n v="22.6"/>
    <n v="23"/>
    <s v="C"/>
    <n v="4"/>
    <x v="1"/>
    <x v="4"/>
    <m/>
    <n v="1"/>
    <n v="1"/>
    <m/>
    <n v="0"/>
    <n v="0"/>
    <n v="116"/>
  </r>
  <r>
    <n v="117"/>
    <n v="19.7"/>
    <n v="16"/>
    <s v="C"/>
    <n v="4"/>
    <x v="1"/>
    <x v="4"/>
    <m/>
    <n v="1"/>
    <n v="1"/>
    <m/>
    <n v="0"/>
    <n v="0"/>
    <n v="117"/>
  </r>
  <r>
    <n v="118"/>
    <n v="17.8"/>
    <n v="1"/>
    <s v="C"/>
    <n v="4"/>
    <x v="1"/>
    <x v="4"/>
    <m/>
    <n v="1"/>
    <n v="1"/>
    <m/>
    <n v="0"/>
    <n v="0"/>
    <n v="118"/>
  </r>
  <r>
    <n v="119"/>
    <n v="17.3"/>
    <n v="27"/>
    <s v="C"/>
    <n v="5"/>
    <x v="1"/>
    <x v="5"/>
    <m/>
    <n v="1"/>
    <n v="1"/>
    <m/>
    <n v="0"/>
    <n v="0"/>
    <n v="119"/>
  </r>
  <r>
    <n v="120"/>
    <n v="18.2"/>
    <n v="0"/>
    <n v="0"/>
    <n v="0"/>
    <x v="0"/>
    <x v="0"/>
    <m/>
    <n v="1"/>
    <n v="1"/>
    <m/>
    <n v="0"/>
    <n v="1"/>
    <n v="120"/>
  </r>
  <r>
    <n v="121"/>
    <n v="19.8"/>
    <n v="1"/>
    <s v="C"/>
    <n v="1"/>
    <x v="1"/>
    <x v="1"/>
    <m/>
    <n v="1"/>
    <n v="1"/>
    <m/>
    <n v="0"/>
    <n v="2"/>
    <n v="121"/>
  </r>
  <r>
    <n v="122"/>
    <n v="21.4"/>
    <n v="1"/>
    <s v="C"/>
    <n v="1"/>
    <x v="1"/>
    <x v="1"/>
    <m/>
    <n v="1"/>
    <n v="1"/>
    <m/>
    <n v="1"/>
    <n v="3"/>
    <n v="122"/>
  </r>
  <r>
    <n v="123"/>
    <n v="22"/>
    <n v="6"/>
    <s v="C"/>
    <n v="1"/>
    <x v="1"/>
    <x v="1"/>
    <m/>
    <n v="1"/>
    <n v="1"/>
    <m/>
    <n v="0"/>
    <n v="4"/>
    <n v="123"/>
  </r>
  <r>
    <n v="124"/>
    <n v="21.2"/>
    <n v="9"/>
    <s v="C"/>
    <n v="2"/>
    <x v="1"/>
    <x v="2"/>
    <m/>
    <n v="1"/>
    <n v="1"/>
    <m/>
    <n v="0"/>
    <n v="0"/>
    <n v="124"/>
  </r>
  <r>
    <n v="125"/>
    <n v="18.8"/>
    <n v="7"/>
    <s v="C"/>
    <n v="2"/>
    <x v="1"/>
    <x v="2"/>
    <m/>
    <n v="1"/>
    <n v="1"/>
    <m/>
    <n v="0"/>
    <n v="0"/>
    <n v="125"/>
  </r>
  <r>
    <n v="126"/>
    <n v="15.2"/>
    <n v="12"/>
    <s v="C"/>
    <n v="2"/>
    <x v="1"/>
    <x v="2"/>
    <m/>
    <n v="1"/>
    <n v="1"/>
    <m/>
    <n v="0"/>
    <n v="0"/>
    <n v="126"/>
  </r>
  <r>
    <n v="127"/>
    <n v="11.1"/>
    <n v="15"/>
    <s v="C"/>
    <n v="3"/>
    <x v="1"/>
    <x v="3"/>
    <m/>
    <n v="1"/>
    <n v="1"/>
    <m/>
    <n v="0"/>
    <n v="0"/>
    <n v="127"/>
  </r>
  <r>
    <n v="128"/>
    <n v="7.5"/>
    <n v="10"/>
    <s v="C"/>
    <n v="3"/>
    <x v="1"/>
    <x v="3"/>
    <m/>
    <n v="1"/>
    <n v="1"/>
    <m/>
    <n v="0"/>
    <n v="0"/>
    <n v="128"/>
  </r>
  <r>
    <n v="129"/>
    <n v="5.2"/>
    <n v="5"/>
    <s v="C"/>
    <n v="3"/>
    <x v="1"/>
    <x v="3"/>
    <m/>
    <n v="1"/>
    <n v="1"/>
    <m/>
    <n v="0"/>
    <n v="0"/>
    <n v="129"/>
  </r>
  <r>
    <n v="130"/>
    <n v="4.5999999999999996"/>
    <n v="23"/>
    <s v="C"/>
    <n v="4"/>
    <x v="1"/>
    <x v="4"/>
    <m/>
    <n v="1"/>
    <n v="1"/>
    <m/>
    <n v="0"/>
    <n v="0"/>
    <n v="130"/>
  </r>
  <r>
    <n v="131"/>
    <n v="5.5"/>
    <n v="11"/>
    <s v="C"/>
    <n v="4"/>
    <x v="1"/>
    <x v="4"/>
    <m/>
    <n v="1"/>
    <n v="1"/>
    <m/>
    <n v="0"/>
    <n v="1"/>
    <n v="131"/>
  </r>
  <r>
    <n v="132"/>
    <n v="7.3"/>
    <n v="23"/>
    <s v="C"/>
    <n v="4"/>
    <x v="1"/>
    <x v="4"/>
    <m/>
    <n v="1"/>
    <n v="1"/>
    <m/>
    <n v="0"/>
    <n v="2"/>
    <n v="132"/>
  </r>
  <r>
    <n v="133"/>
    <n v="9.3000000000000007"/>
    <n v="16"/>
    <s v="C"/>
    <n v="5"/>
    <x v="1"/>
    <x v="5"/>
    <m/>
    <n v="1"/>
    <n v="1"/>
    <m/>
    <n v="0"/>
    <n v="3"/>
    <n v="133"/>
  </r>
  <r>
    <n v="134"/>
    <n v="10.5"/>
    <n v="21"/>
    <s v="C"/>
    <n v="5"/>
    <x v="1"/>
    <x v="5"/>
    <m/>
    <n v="1"/>
    <n v="1"/>
    <m/>
    <n v="0"/>
    <n v="4"/>
    <n v="134"/>
  </r>
  <r>
    <n v="135"/>
    <n v="10.4"/>
    <n v="0"/>
    <n v="0"/>
    <n v="0"/>
    <x v="0"/>
    <x v="0"/>
    <m/>
    <n v="1"/>
    <n v="1"/>
    <m/>
    <n v="0"/>
    <n v="0"/>
    <n v="135"/>
  </r>
  <r>
    <n v="136"/>
    <n v="9"/>
    <n v="4"/>
    <s v="S"/>
    <n v="1"/>
    <x v="2"/>
    <x v="1"/>
    <m/>
    <n v="1"/>
    <n v="1"/>
    <m/>
    <n v="0"/>
    <n v="0"/>
    <n v="136"/>
  </r>
  <r>
    <n v="137"/>
    <n v="6.4"/>
    <n v="3"/>
    <s v="S"/>
    <n v="1"/>
    <x v="2"/>
    <x v="1"/>
    <m/>
    <n v="1"/>
    <n v="1"/>
    <m/>
    <n v="0"/>
    <n v="0"/>
    <n v="137"/>
  </r>
  <r>
    <n v="138"/>
    <n v="3.6"/>
    <n v="3"/>
    <s v="S"/>
    <n v="1"/>
    <x v="2"/>
    <x v="1"/>
    <m/>
    <n v="1"/>
    <n v="1"/>
    <m/>
    <n v="0"/>
    <n v="0"/>
    <n v="138"/>
  </r>
  <r>
    <n v="139"/>
    <n v="1.4"/>
    <n v="4"/>
    <s v="S"/>
    <n v="2"/>
    <x v="2"/>
    <x v="2"/>
    <m/>
    <n v="1"/>
    <n v="1"/>
    <m/>
    <n v="0"/>
    <n v="0"/>
    <n v="139"/>
  </r>
  <r>
    <n v="140"/>
    <n v="0.5"/>
    <n v="5"/>
    <s v="S"/>
    <n v="2"/>
    <x v="2"/>
    <x v="2"/>
    <m/>
    <n v="1"/>
    <n v="1"/>
    <m/>
    <n v="0"/>
    <n v="0"/>
    <n v="140"/>
  </r>
  <r>
    <n v="141"/>
    <n v="1.4"/>
    <n v="1"/>
    <s v="S"/>
    <n v="2"/>
    <x v="2"/>
    <x v="2"/>
    <m/>
    <n v="1"/>
    <n v="1"/>
    <m/>
    <n v="0"/>
    <n v="1"/>
    <n v="141"/>
  </r>
  <r>
    <n v="142"/>
    <n v="3.9"/>
    <n v="3"/>
    <s v="S"/>
    <n v="3"/>
    <x v="2"/>
    <x v="3"/>
    <m/>
    <n v="1"/>
    <n v="1"/>
    <m/>
    <n v="0"/>
    <n v="2"/>
    <n v="142"/>
  </r>
  <r>
    <n v="143"/>
    <n v="7.3"/>
    <n v="13"/>
    <s v="S"/>
    <n v="3"/>
    <x v="2"/>
    <x v="3"/>
    <m/>
    <n v="1"/>
    <n v="1"/>
    <m/>
    <n v="0"/>
    <n v="3"/>
    <n v="143"/>
  </r>
  <r>
    <n v="144"/>
    <n v="10.9"/>
    <n v="12"/>
    <s v="S"/>
    <n v="3"/>
    <x v="2"/>
    <x v="3"/>
    <m/>
    <n v="1"/>
    <n v="1"/>
    <m/>
    <n v="0"/>
    <n v="4"/>
    <n v="144"/>
  </r>
  <r>
    <n v="145"/>
    <n v="13.7"/>
    <n v="9"/>
    <s v="S"/>
    <n v="4"/>
    <x v="2"/>
    <x v="4"/>
    <m/>
    <n v="1"/>
    <n v="1"/>
    <m/>
    <n v="0"/>
    <n v="5"/>
    <n v="145"/>
  </r>
  <r>
    <n v="146"/>
    <n v="15.1"/>
    <n v="21"/>
    <s v="S"/>
    <n v="4"/>
    <x v="2"/>
    <x v="4"/>
    <m/>
    <n v="1"/>
    <n v="1"/>
    <m/>
    <n v="0"/>
    <n v="6"/>
    <n v="146"/>
  </r>
  <r>
    <n v="147"/>
    <n v="15.1"/>
    <n v="14"/>
    <s v="S"/>
    <n v="4"/>
    <x v="2"/>
    <x v="4"/>
    <m/>
    <n v="1"/>
    <n v="1"/>
    <m/>
    <n v="0"/>
    <n v="0"/>
    <n v="147"/>
  </r>
  <r>
    <n v="148"/>
    <n v="13.9"/>
    <n v="11"/>
    <s v="S"/>
    <n v="5"/>
    <x v="2"/>
    <x v="5"/>
    <m/>
    <n v="1"/>
    <n v="1"/>
    <m/>
    <n v="0"/>
    <n v="0"/>
    <n v="148"/>
  </r>
  <r>
    <n v="149"/>
    <n v="12.3"/>
    <n v="20"/>
    <s v="S"/>
    <n v="5"/>
    <x v="2"/>
    <x v="5"/>
    <m/>
    <n v="1"/>
    <n v="1"/>
    <m/>
    <n v="0"/>
    <n v="0"/>
    <n v="149"/>
  </r>
  <r>
    <n v="150"/>
    <n v="11.2"/>
    <n v="0"/>
    <n v="0"/>
    <n v="0"/>
    <x v="0"/>
    <x v="0"/>
    <m/>
    <n v="1"/>
    <n v="1"/>
    <m/>
    <n v="0"/>
    <n v="0"/>
    <n v="150"/>
  </r>
  <r>
    <n v="151"/>
    <n v="11.3"/>
    <n v="6"/>
    <s v="C"/>
    <n v="1"/>
    <x v="1"/>
    <x v="1"/>
    <m/>
    <n v="1"/>
    <n v="1"/>
    <m/>
    <n v="0"/>
    <n v="1"/>
    <n v="151"/>
  </r>
  <r>
    <n v="152"/>
    <n v="12.9"/>
    <n v="3"/>
    <s v="C"/>
    <n v="1"/>
    <x v="1"/>
    <x v="1"/>
    <m/>
    <n v="1"/>
    <n v="1"/>
    <m/>
    <n v="0"/>
    <n v="2"/>
    <n v="152"/>
  </r>
  <r>
    <n v="153"/>
    <n v="16"/>
    <n v="6"/>
    <s v="C"/>
    <n v="1"/>
    <x v="1"/>
    <x v="1"/>
    <m/>
    <n v="1"/>
    <n v="1"/>
    <m/>
    <n v="0"/>
    <n v="3"/>
    <n v="153"/>
  </r>
  <r>
    <n v="154"/>
    <n v="19.8"/>
    <n v="2"/>
    <s v="C"/>
    <n v="2"/>
    <x v="1"/>
    <x v="2"/>
    <m/>
    <n v="1"/>
    <n v="1"/>
    <m/>
    <n v="0"/>
    <n v="4"/>
    <n v="154"/>
  </r>
  <r>
    <n v="155"/>
    <n v="23.6"/>
    <n v="11"/>
    <s v="C"/>
    <n v="2"/>
    <x v="1"/>
    <x v="2"/>
    <m/>
    <n v="1"/>
    <n v="1"/>
    <m/>
    <n v="0"/>
    <n v="5"/>
    <n v="155"/>
  </r>
  <r>
    <n v="156"/>
    <n v="26.4"/>
    <n v="11"/>
    <s v="C"/>
    <n v="2"/>
    <x v="1"/>
    <x v="2"/>
    <m/>
    <n v="1"/>
    <n v="1"/>
    <m/>
    <n v="0"/>
    <n v="6"/>
    <n v="156"/>
  </r>
  <r>
    <n v="157"/>
    <n v="27.7"/>
    <n v="5"/>
    <s v="C"/>
    <n v="3"/>
    <x v="1"/>
    <x v="3"/>
    <m/>
    <n v="1"/>
    <n v="1"/>
    <m/>
    <n v="1"/>
    <n v="7"/>
    <n v="157"/>
  </r>
  <r>
    <n v="158"/>
    <n v="27.2"/>
    <n v="18"/>
    <s v="C"/>
    <n v="3"/>
    <x v="1"/>
    <x v="3"/>
    <m/>
    <n v="1"/>
    <n v="1"/>
    <m/>
    <n v="0"/>
    <n v="0"/>
    <n v="158"/>
  </r>
  <r>
    <n v="159"/>
    <n v="25.5"/>
    <n v="5"/>
    <s v="C"/>
    <n v="3"/>
    <x v="1"/>
    <x v="3"/>
    <m/>
    <n v="1"/>
    <n v="1"/>
    <m/>
    <n v="1"/>
    <n v="0"/>
    <n v="159"/>
  </r>
  <r>
    <n v="160"/>
    <n v="23.1"/>
    <n v="8"/>
    <s v="C"/>
    <n v="4"/>
    <x v="1"/>
    <x v="4"/>
    <m/>
    <n v="1"/>
    <n v="1"/>
    <m/>
    <n v="0"/>
    <n v="0"/>
    <n v="160"/>
  </r>
  <r>
    <n v="161"/>
    <n v="21"/>
    <n v="22"/>
    <s v="C"/>
    <n v="4"/>
    <x v="1"/>
    <x v="4"/>
    <m/>
    <n v="1"/>
    <n v="1"/>
    <m/>
    <n v="0"/>
    <n v="0"/>
    <n v="161"/>
  </r>
  <r>
    <n v="162"/>
    <n v="20"/>
    <n v="19"/>
    <s v="C"/>
    <n v="4"/>
    <x v="1"/>
    <x v="4"/>
    <m/>
    <n v="1"/>
    <n v="1"/>
    <m/>
    <n v="0"/>
    <n v="0"/>
    <n v="162"/>
  </r>
  <r>
    <n v="163"/>
    <n v="20.399999999999999"/>
    <n v="23"/>
    <s v="C"/>
    <n v="5"/>
    <x v="1"/>
    <x v="5"/>
    <m/>
    <n v="1"/>
    <n v="1"/>
    <m/>
    <n v="0"/>
    <n v="1"/>
    <n v="163"/>
  </r>
  <r>
    <n v="164"/>
    <n v="22.1"/>
    <n v="0"/>
    <n v="0"/>
    <n v="0"/>
    <x v="0"/>
    <x v="0"/>
    <m/>
    <n v="1"/>
    <n v="1"/>
    <m/>
    <n v="1"/>
    <n v="2"/>
    <n v="164"/>
  </r>
  <r>
    <n v="165"/>
    <n v="24.5"/>
    <n v="1"/>
    <s v="S"/>
    <n v="1"/>
    <x v="1"/>
    <x v="1"/>
    <m/>
    <n v="0"/>
    <n v="1"/>
    <m/>
    <n v="1"/>
    <n v="3"/>
    <n v="165"/>
  </r>
  <r>
    <n v="166"/>
    <n v="26.8"/>
    <n v="2"/>
    <s v="S"/>
    <n v="1"/>
    <x v="1"/>
    <x v="1"/>
    <m/>
    <n v="0"/>
    <n v="1"/>
    <m/>
    <n v="1"/>
    <n v="4"/>
    <n v="166"/>
  </r>
  <r>
    <n v="167"/>
    <n v="28"/>
    <n v="4"/>
    <s v="S"/>
    <n v="1"/>
    <x v="1"/>
    <x v="1"/>
    <m/>
    <n v="0"/>
    <n v="1"/>
    <m/>
    <n v="1"/>
    <n v="5"/>
    <n v="167"/>
  </r>
  <r>
    <n v="168"/>
    <n v="27.7"/>
    <n v="8"/>
    <s v="S"/>
    <n v="2"/>
    <x v="1"/>
    <x v="2"/>
    <m/>
    <n v="0"/>
    <n v="1"/>
    <m/>
    <n v="0"/>
    <n v="0"/>
    <n v="168"/>
  </r>
  <r>
    <n v="169"/>
    <n v="25.6"/>
    <n v="4"/>
    <s v="S"/>
    <n v="2"/>
    <x v="1"/>
    <x v="2"/>
    <m/>
    <n v="0"/>
    <n v="1"/>
    <m/>
    <n v="1"/>
    <n v="0"/>
    <n v="169"/>
  </r>
  <r>
    <n v="170"/>
    <n v="22.3"/>
    <n v="7"/>
    <s v="S"/>
    <n v="2"/>
    <x v="1"/>
    <x v="2"/>
    <m/>
    <n v="0"/>
    <n v="1"/>
    <m/>
    <n v="0"/>
    <n v="0"/>
    <n v="170"/>
  </r>
  <r>
    <n v="171"/>
    <n v="18.399999999999999"/>
    <n v="6"/>
    <s v="S"/>
    <n v="3"/>
    <x v="1"/>
    <x v="3"/>
    <m/>
    <n v="0"/>
    <n v="1"/>
    <m/>
    <n v="0"/>
    <n v="0"/>
    <n v="171"/>
  </r>
  <r>
    <n v="172"/>
    <n v="14.9"/>
    <n v="18"/>
    <s v="S"/>
    <n v="3"/>
    <x v="1"/>
    <x v="3"/>
    <m/>
    <n v="0"/>
    <n v="1"/>
    <m/>
    <n v="0"/>
    <n v="0"/>
    <n v="172"/>
  </r>
  <r>
    <n v="173"/>
    <n v="12.5"/>
    <n v="6"/>
    <s v="S"/>
    <n v="3"/>
    <x v="1"/>
    <x v="3"/>
    <m/>
    <n v="0"/>
    <n v="1"/>
    <m/>
    <n v="0"/>
    <n v="0"/>
    <n v="173"/>
  </r>
  <r>
    <n v="174"/>
    <n v="11.7"/>
    <n v="20"/>
    <s v="S"/>
    <n v="4"/>
    <x v="1"/>
    <x v="4"/>
    <m/>
    <n v="0"/>
    <n v="1"/>
    <m/>
    <n v="0"/>
    <n v="0"/>
    <n v="174"/>
  </r>
  <r>
    <n v="175"/>
    <n v="12.3"/>
    <n v="14"/>
    <s v="S"/>
    <n v="4"/>
    <x v="1"/>
    <x v="4"/>
    <m/>
    <n v="0"/>
    <n v="1"/>
    <m/>
    <n v="0"/>
    <n v="1"/>
    <n v="175"/>
  </r>
  <r>
    <n v="176"/>
    <n v="13.7"/>
    <n v="22"/>
    <s v="S"/>
    <n v="4"/>
    <x v="1"/>
    <x v="4"/>
    <m/>
    <n v="0"/>
    <n v="1"/>
    <m/>
    <n v="0"/>
    <n v="2"/>
    <n v="176"/>
  </r>
  <r>
    <n v="177"/>
    <n v="15.2"/>
    <n v="23"/>
    <s v="S"/>
    <n v="5"/>
    <x v="1"/>
    <x v="5"/>
    <m/>
    <n v="0"/>
    <n v="1"/>
    <m/>
    <n v="0"/>
    <n v="3"/>
    <n v="177"/>
  </r>
  <r>
    <n v="178"/>
    <n v="15.9"/>
    <n v="0"/>
    <n v="0"/>
    <n v="0"/>
    <x v="0"/>
    <x v="0"/>
    <m/>
    <n v="1"/>
    <n v="1"/>
    <m/>
    <n v="0"/>
    <n v="4"/>
    <n v="178"/>
  </r>
  <r>
    <n v="179"/>
    <n v="15.1"/>
    <n v="1"/>
    <s v="C"/>
    <n v="1"/>
    <x v="1"/>
    <x v="1"/>
    <m/>
    <n v="1"/>
    <n v="1"/>
    <m/>
    <n v="0"/>
    <n v="0"/>
    <n v="179"/>
  </r>
  <r>
    <n v="180"/>
    <n v="12.9"/>
    <n v="1"/>
    <s v="C"/>
    <n v="1"/>
    <x v="1"/>
    <x v="1"/>
    <m/>
    <n v="1"/>
    <n v="1"/>
    <m/>
    <n v="0"/>
    <n v="0"/>
    <n v="180"/>
  </r>
  <r>
    <n v="181"/>
    <n v="9.6"/>
    <n v="1"/>
    <s v="C"/>
    <n v="1"/>
    <x v="1"/>
    <x v="1"/>
    <m/>
    <n v="1"/>
    <n v="1"/>
    <m/>
    <n v="0"/>
    <n v="0"/>
    <n v="181"/>
  </r>
  <r>
    <n v="182"/>
    <n v="5.9"/>
    <n v="2"/>
    <s v="C"/>
    <n v="2"/>
    <x v="1"/>
    <x v="2"/>
    <m/>
    <n v="1"/>
    <n v="1"/>
    <m/>
    <n v="0"/>
    <n v="0"/>
    <n v="182"/>
  </r>
  <r>
    <n v="183"/>
    <n v="2.8"/>
    <n v="6"/>
    <s v="C"/>
    <n v="2"/>
    <x v="1"/>
    <x v="2"/>
    <m/>
    <n v="1"/>
    <n v="1"/>
    <m/>
    <n v="0"/>
    <n v="0"/>
    <n v="183"/>
  </r>
  <r>
    <n v="184"/>
    <n v="1"/>
    <n v="9"/>
    <s v="C"/>
    <n v="2"/>
    <x v="1"/>
    <x v="2"/>
    <m/>
    <n v="1"/>
    <n v="1"/>
    <m/>
    <n v="0"/>
    <n v="0"/>
    <n v="184"/>
  </r>
  <r>
    <n v="185"/>
    <n v="0.9"/>
    <n v="6"/>
    <s v="C"/>
    <n v="3"/>
    <x v="1"/>
    <x v="3"/>
    <m/>
    <n v="1"/>
    <n v="1"/>
    <m/>
    <n v="0"/>
    <n v="0"/>
    <n v="185"/>
  </r>
  <r>
    <n v="186"/>
    <n v="2.5"/>
    <n v="1"/>
    <s v="C"/>
    <n v="3"/>
    <x v="1"/>
    <x v="3"/>
    <m/>
    <n v="1"/>
    <n v="1"/>
    <m/>
    <n v="0"/>
    <n v="1"/>
    <n v="186"/>
  </r>
  <r>
    <n v="187"/>
    <n v="5"/>
    <n v="3"/>
    <s v="C"/>
    <n v="3"/>
    <x v="1"/>
    <x v="3"/>
    <m/>
    <n v="1"/>
    <n v="1"/>
    <m/>
    <n v="0"/>
    <n v="2"/>
    <n v="187"/>
  </r>
  <r>
    <n v="188"/>
    <n v="7.7"/>
    <n v="7"/>
    <s v="C"/>
    <n v="4"/>
    <x v="1"/>
    <x v="4"/>
    <m/>
    <n v="1"/>
    <n v="1"/>
    <m/>
    <n v="0"/>
    <n v="3"/>
    <n v="188"/>
  </r>
  <r>
    <n v="189"/>
    <n v="9.6999999999999993"/>
    <n v="6"/>
    <s v="C"/>
    <n v="4"/>
    <x v="1"/>
    <x v="4"/>
    <m/>
    <n v="1"/>
    <n v="1"/>
    <m/>
    <n v="0"/>
    <n v="4"/>
    <n v="189"/>
  </r>
  <r>
    <n v="190"/>
    <n v="10.4"/>
    <n v="3"/>
    <s v="C"/>
    <n v="4"/>
    <x v="1"/>
    <x v="4"/>
    <m/>
    <n v="1"/>
    <n v="1"/>
    <m/>
    <n v="0"/>
    <n v="5"/>
    <n v="190"/>
  </r>
  <r>
    <n v="191"/>
    <n v="9.6999999999999993"/>
    <n v="22"/>
    <s v="C"/>
    <n v="5"/>
    <x v="1"/>
    <x v="5"/>
    <m/>
    <n v="1"/>
    <n v="1"/>
    <m/>
    <n v="0"/>
    <n v="0"/>
    <n v="191"/>
  </r>
  <r>
    <n v="192"/>
    <n v="8"/>
    <n v="0"/>
    <n v="0"/>
    <n v="0"/>
    <x v="0"/>
    <x v="0"/>
    <m/>
    <n v="1"/>
    <n v="1"/>
    <m/>
    <n v="0"/>
    <n v="0"/>
    <n v="192"/>
  </r>
  <r>
    <n v="193"/>
    <n v="5.9"/>
    <n v="3"/>
    <s v="S"/>
    <n v="1"/>
    <x v="2"/>
    <x v="1"/>
    <m/>
    <n v="1"/>
    <n v="1"/>
    <m/>
    <n v="0"/>
    <n v="0"/>
    <n v="193"/>
  </r>
  <r>
    <n v="194"/>
    <n v="4.4000000000000004"/>
    <n v="4"/>
    <s v="S"/>
    <n v="1"/>
    <x v="2"/>
    <x v="1"/>
    <m/>
    <n v="1"/>
    <n v="1"/>
    <m/>
    <n v="0"/>
    <n v="0"/>
    <n v="194"/>
  </r>
  <r>
    <n v="195"/>
    <n v="4.2"/>
    <n v="6"/>
    <s v="S"/>
    <n v="1"/>
    <x v="2"/>
    <x v="1"/>
    <m/>
    <n v="1"/>
    <n v="1"/>
    <m/>
    <n v="0"/>
    <n v="0"/>
    <n v="195"/>
  </r>
  <r>
    <n v="196"/>
    <n v="5.6"/>
    <n v="8"/>
    <s v="S"/>
    <n v="2"/>
    <x v="2"/>
    <x v="2"/>
    <m/>
    <n v="1"/>
    <n v="1"/>
    <m/>
    <n v="0"/>
    <n v="1"/>
    <n v="196"/>
  </r>
  <r>
    <n v="197"/>
    <n v="8.6"/>
    <n v="12"/>
    <s v="S"/>
    <n v="2"/>
    <x v="2"/>
    <x v="2"/>
    <m/>
    <n v="1"/>
    <n v="1"/>
    <m/>
    <n v="0"/>
    <n v="2"/>
    <n v="197"/>
  </r>
  <r>
    <n v="198"/>
    <n v="12.5"/>
    <n v="9"/>
    <s v="S"/>
    <n v="2"/>
    <x v="2"/>
    <x v="2"/>
    <m/>
    <n v="1"/>
    <n v="1"/>
    <m/>
    <n v="0"/>
    <n v="3"/>
    <n v="198"/>
  </r>
  <r>
    <n v="199"/>
    <n v="16.399999999999999"/>
    <n v="14"/>
    <s v="S"/>
    <n v="3"/>
    <x v="2"/>
    <x v="3"/>
    <m/>
    <n v="1"/>
    <n v="1"/>
    <m/>
    <n v="0"/>
    <n v="4"/>
    <n v="199"/>
  </r>
  <r>
    <n v="200"/>
    <n v="19.5"/>
    <n v="12"/>
    <s v="S"/>
    <n v="3"/>
    <x v="2"/>
    <x v="3"/>
    <m/>
    <n v="1"/>
    <n v="1"/>
    <m/>
    <n v="0"/>
    <n v="5"/>
    <n v="200"/>
  </r>
  <r>
    <n v="201"/>
    <n v="21.2"/>
    <n v="1"/>
    <s v="S"/>
    <n v="3"/>
    <x v="2"/>
    <x v="3"/>
    <m/>
    <n v="1"/>
    <n v="1"/>
    <m/>
    <n v="1"/>
    <n v="6"/>
    <n v="201"/>
  </r>
  <r>
    <n v="202"/>
    <n v="21.3"/>
    <n v="11"/>
    <s v="S"/>
    <n v="4"/>
    <x v="2"/>
    <x v="4"/>
    <m/>
    <n v="1"/>
    <n v="1"/>
    <m/>
    <n v="0"/>
    <n v="7"/>
    <n v="202"/>
  </r>
  <r>
    <n v="203"/>
    <n v="20.100000000000001"/>
    <n v="6"/>
    <s v="S"/>
    <n v="4"/>
    <x v="2"/>
    <x v="4"/>
    <m/>
    <n v="1"/>
    <n v="1"/>
    <m/>
    <n v="0"/>
    <n v="0"/>
    <n v="203"/>
  </r>
  <r>
    <n v="204"/>
    <n v="18.399999999999999"/>
    <n v="3"/>
    <s v="S"/>
    <n v="4"/>
    <x v="2"/>
    <x v="4"/>
    <m/>
    <n v="1"/>
    <n v="1"/>
    <m/>
    <n v="0"/>
    <n v="0"/>
    <n v="204"/>
  </r>
  <r>
    <n v="205"/>
    <n v="17.100000000000001"/>
    <n v="15"/>
    <s v="S"/>
    <n v="5"/>
    <x v="2"/>
    <x v="5"/>
    <m/>
    <n v="1"/>
    <n v="1"/>
    <m/>
    <n v="0"/>
    <n v="0"/>
    <n v="205"/>
  </r>
  <r>
    <n v="206"/>
    <n v="16.899999999999999"/>
    <n v="16"/>
    <s v="S"/>
    <n v="5"/>
    <x v="2"/>
    <x v="5"/>
    <m/>
    <n v="1"/>
    <n v="1"/>
    <m/>
    <n v="0"/>
    <n v="0"/>
    <n v="206"/>
  </r>
  <r>
    <n v="207"/>
    <n v="18.2"/>
    <n v="17"/>
    <s v="S"/>
    <n v="5"/>
    <x v="2"/>
    <x v="5"/>
    <m/>
    <n v="1"/>
    <n v="1"/>
    <m/>
    <n v="0"/>
    <n v="1"/>
    <n v="207"/>
  </r>
  <r>
    <n v="208"/>
    <n v="20.7"/>
    <n v="18"/>
    <s v="S"/>
    <n v="5"/>
    <x v="2"/>
    <x v="5"/>
    <m/>
    <n v="1"/>
    <n v="1"/>
    <m/>
    <n v="0"/>
    <n v="2"/>
    <n v="208"/>
  </r>
  <r>
    <n v="209"/>
    <n v="24"/>
    <n v="13"/>
    <s v="S"/>
    <n v="5"/>
    <x v="2"/>
    <x v="5"/>
    <m/>
    <n v="1"/>
    <n v="1"/>
    <m/>
    <n v="0"/>
    <n v="3"/>
    <n v="209"/>
  </r>
  <r>
    <n v="210"/>
    <n v="27.2"/>
    <n v="27"/>
    <s v="S"/>
    <n v="5"/>
    <x v="2"/>
    <x v="5"/>
    <m/>
    <n v="1"/>
    <n v="1"/>
    <m/>
    <n v="0"/>
    <n v="4"/>
    <n v="210"/>
  </r>
  <r>
    <n v="211"/>
    <n v="29.4"/>
    <n v="0"/>
    <n v="0"/>
    <n v="0"/>
    <x v="0"/>
    <x v="0"/>
    <m/>
    <n v="1"/>
    <n v="1"/>
    <m/>
    <n v="1"/>
    <n v="5"/>
    <n v="211"/>
  </r>
  <r>
    <n v="212"/>
    <n v="29.9"/>
    <n v="2"/>
    <s v="C"/>
    <n v="1"/>
    <x v="1"/>
    <x v="1"/>
    <m/>
    <n v="1"/>
    <n v="1"/>
    <m/>
    <n v="1"/>
    <n v="6"/>
    <n v="212"/>
  </r>
  <r>
    <n v="213"/>
    <n v="28.8"/>
    <n v="4"/>
    <s v="C"/>
    <n v="1"/>
    <x v="1"/>
    <x v="1"/>
    <m/>
    <n v="1"/>
    <n v="1"/>
    <m/>
    <n v="1"/>
    <n v="0"/>
    <n v="213"/>
  </r>
  <r>
    <n v="214"/>
    <n v="26.2"/>
    <n v="2"/>
    <s v="C"/>
    <n v="1"/>
    <x v="1"/>
    <x v="1"/>
    <m/>
    <n v="1"/>
    <n v="1"/>
    <m/>
    <n v="1"/>
    <n v="0"/>
    <n v="214"/>
  </r>
  <r>
    <n v="215"/>
    <n v="23.1"/>
    <n v="11"/>
    <s v="C"/>
    <n v="1"/>
    <x v="1"/>
    <x v="2"/>
    <m/>
    <n v="1"/>
    <n v="0"/>
    <m/>
    <n v="0"/>
    <n v="0"/>
    <n v="215"/>
  </r>
  <r>
    <n v="216"/>
    <n v="20.3"/>
    <n v="1"/>
    <s v="C"/>
    <n v="2"/>
    <x v="1"/>
    <x v="2"/>
    <m/>
    <n v="1"/>
    <n v="1"/>
    <m/>
    <n v="1"/>
    <n v="0"/>
    <n v="216"/>
  </r>
  <r>
    <n v="217"/>
    <n v="18.5"/>
    <n v="7"/>
    <s v="C"/>
    <n v="2"/>
    <x v="1"/>
    <x v="2"/>
    <m/>
    <n v="1"/>
    <n v="1"/>
    <m/>
    <n v="0"/>
    <n v="0"/>
    <n v="217"/>
  </r>
  <r>
    <n v="218"/>
    <n v="18.2"/>
    <n v="10"/>
    <s v="C"/>
    <n v="3"/>
    <x v="1"/>
    <x v="3"/>
    <m/>
    <n v="1"/>
    <n v="1"/>
    <m/>
    <n v="0"/>
    <n v="0"/>
    <n v="218"/>
  </r>
  <r>
    <n v="219"/>
    <n v="19.100000000000001"/>
    <n v="10"/>
    <s v="C"/>
    <n v="3"/>
    <x v="1"/>
    <x v="3"/>
    <m/>
    <n v="1"/>
    <n v="1"/>
    <m/>
    <n v="0"/>
    <n v="1"/>
    <n v="219"/>
  </r>
  <r>
    <n v="220"/>
    <n v="20.9"/>
    <n v="1"/>
    <s v="C"/>
    <n v="3"/>
    <x v="1"/>
    <x v="3"/>
    <m/>
    <n v="1"/>
    <n v="1"/>
    <m/>
    <n v="1"/>
    <n v="2"/>
    <n v="220"/>
  </r>
  <r>
    <n v="221"/>
    <n v="22.5"/>
    <n v="4"/>
    <s v="C"/>
    <n v="4"/>
    <x v="1"/>
    <x v="4"/>
    <m/>
    <n v="1"/>
    <n v="1"/>
    <m/>
    <n v="1"/>
    <n v="3"/>
    <n v="221"/>
  </r>
  <r>
    <n v="222"/>
    <n v="23.2"/>
    <n v="12"/>
    <s v="C"/>
    <n v="4"/>
    <x v="1"/>
    <x v="4"/>
    <m/>
    <n v="1"/>
    <n v="1"/>
    <m/>
    <n v="0"/>
    <n v="4"/>
    <n v="222"/>
  </r>
  <r>
    <n v="223"/>
    <n v="22.4"/>
    <n v="7"/>
    <s v="C"/>
    <n v="4"/>
    <x v="1"/>
    <x v="4"/>
    <m/>
    <n v="1"/>
    <n v="1"/>
    <m/>
    <n v="0"/>
    <n v="0"/>
    <n v="223"/>
  </r>
  <r>
    <n v="224"/>
    <n v="20"/>
    <n v="16"/>
    <s v="C"/>
    <n v="5"/>
    <x v="1"/>
    <x v="5"/>
    <m/>
    <n v="1"/>
    <n v="1"/>
    <m/>
    <n v="0"/>
    <n v="0"/>
    <n v="224"/>
  </r>
  <r>
    <n v="225"/>
    <n v="16.399999999999999"/>
    <n v="24"/>
    <s v="C"/>
    <n v="5"/>
    <x v="1"/>
    <x v="5"/>
    <m/>
    <n v="1"/>
    <n v="1"/>
    <m/>
    <n v="0"/>
    <n v="0"/>
    <n v="225"/>
  </r>
  <r>
    <n v="226"/>
    <n v="12.3"/>
    <n v="0"/>
    <n v="0"/>
    <n v="0"/>
    <x v="0"/>
    <x v="0"/>
    <m/>
    <n v="1"/>
    <n v="1"/>
    <m/>
    <n v="0"/>
    <n v="0"/>
    <n v="226"/>
  </r>
  <r>
    <n v="227"/>
    <n v="8.6999999999999993"/>
    <n v="5"/>
    <s v="S"/>
    <n v="1"/>
    <x v="2"/>
    <x v="1"/>
    <m/>
    <n v="1"/>
    <n v="1"/>
    <m/>
    <n v="0"/>
    <n v="0"/>
    <n v="227"/>
  </r>
  <r>
    <n v="228"/>
    <n v="6.4"/>
    <n v="1"/>
    <s v="S"/>
    <n v="1"/>
    <x v="2"/>
    <x v="1"/>
    <m/>
    <n v="1"/>
    <n v="1"/>
    <m/>
    <n v="0"/>
    <n v="0"/>
    <n v="228"/>
  </r>
  <r>
    <n v="229"/>
    <n v="5.6"/>
    <n v="6"/>
    <s v="S"/>
    <n v="1"/>
    <x v="2"/>
    <x v="1"/>
    <m/>
    <n v="1"/>
    <n v="1"/>
    <m/>
    <n v="0"/>
    <n v="0"/>
    <n v="229"/>
  </r>
  <r>
    <n v="230"/>
    <n v="6.4"/>
    <n v="12"/>
    <s v="S"/>
    <n v="2"/>
    <x v="2"/>
    <x v="2"/>
    <m/>
    <n v="1"/>
    <n v="1"/>
    <m/>
    <n v="0"/>
    <n v="1"/>
    <n v="230"/>
  </r>
  <r>
    <n v="231"/>
    <n v="8.1999999999999993"/>
    <n v="3"/>
    <s v="S"/>
    <n v="2"/>
    <x v="2"/>
    <x v="2"/>
    <m/>
    <n v="1"/>
    <n v="1"/>
    <m/>
    <n v="0"/>
    <n v="2"/>
    <n v="231"/>
  </r>
  <r>
    <n v="232"/>
    <n v="10"/>
    <n v="12"/>
    <s v="S"/>
    <n v="2"/>
    <x v="2"/>
    <x v="2"/>
    <m/>
    <n v="1"/>
    <n v="1"/>
    <m/>
    <n v="0"/>
    <n v="3"/>
    <n v="232"/>
  </r>
  <r>
    <n v="233"/>
    <n v="11.1"/>
    <n v="17"/>
    <s v="S"/>
    <n v="3"/>
    <x v="2"/>
    <x v="3"/>
    <m/>
    <n v="1"/>
    <n v="1"/>
    <m/>
    <n v="0"/>
    <n v="4"/>
    <n v="233"/>
  </r>
  <r>
    <n v="234"/>
    <n v="10.9"/>
    <n v="16"/>
    <s v="S"/>
    <n v="3"/>
    <x v="2"/>
    <x v="3"/>
    <m/>
    <n v="1"/>
    <n v="1"/>
    <m/>
    <n v="0"/>
    <n v="0"/>
    <n v="234"/>
  </r>
  <r>
    <n v="235"/>
    <n v="9.3000000000000007"/>
    <n v="3"/>
    <s v="S"/>
    <n v="3"/>
    <x v="2"/>
    <x v="3"/>
    <m/>
    <n v="1"/>
    <n v="1"/>
    <m/>
    <n v="0"/>
    <n v="0"/>
    <n v="235"/>
  </r>
  <r>
    <n v="236"/>
    <n v="6.6"/>
    <n v="21"/>
    <s v="S"/>
    <n v="4"/>
    <x v="2"/>
    <x v="4"/>
    <m/>
    <n v="1"/>
    <n v="1"/>
    <m/>
    <n v="0"/>
    <n v="0"/>
    <n v="236"/>
  </r>
  <r>
    <n v="237"/>
    <n v="3.6"/>
    <n v="18"/>
    <s v="S"/>
    <n v="4"/>
    <x v="2"/>
    <x v="4"/>
    <m/>
    <n v="1"/>
    <n v="1"/>
    <m/>
    <n v="0"/>
    <n v="0"/>
    <n v="237"/>
  </r>
  <r>
    <n v="238"/>
    <n v="1.2"/>
    <n v="13"/>
    <s v="S"/>
    <n v="4"/>
    <x v="2"/>
    <x v="4"/>
    <m/>
    <n v="1"/>
    <n v="1"/>
    <m/>
    <n v="0"/>
    <n v="0"/>
    <n v="238"/>
  </r>
  <r>
    <n v="239"/>
    <n v="0.2"/>
    <n v="29"/>
    <s v="S"/>
    <n v="5"/>
    <x v="2"/>
    <x v="5"/>
    <m/>
    <n v="1"/>
    <n v="1"/>
    <m/>
    <n v="0"/>
    <n v="0"/>
    <n v="239"/>
  </r>
  <r>
    <n v="240"/>
    <n v="0.9"/>
    <n v="0"/>
    <n v="0"/>
    <n v="0"/>
    <x v="0"/>
    <x v="0"/>
    <m/>
    <n v="1"/>
    <n v="1"/>
    <m/>
    <n v="0"/>
    <n v="1"/>
    <n v="240"/>
  </r>
  <r>
    <n v="241"/>
    <n v="3.2"/>
    <n v="6"/>
    <s v="S"/>
    <n v="1"/>
    <x v="2"/>
    <x v="1"/>
    <m/>
    <n v="1"/>
    <n v="1"/>
    <m/>
    <n v="0"/>
    <n v="2"/>
    <n v="241"/>
  </r>
  <r>
    <n v="242"/>
    <n v="6.6"/>
    <n v="5"/>
    <s v="S"/>
    <n v="1"/>
    <x v="2"/>
    <x v="1"/>
    <m/>
    <n v="1"/>
    <n v="1"/>
    <m/>
    <n v="0"/>
    <n v="3"/>
    <n v="242"/>
  </r>
  <r>
    <n v="243"/>
    <n v="10"/>
    <n v="2"/>
    <s v="S"/>
    <n v="1"/>
    <x v="2"/>
    <x v="1"/>
    <m/>
    <n v="1"/>
    <n v="1"/>
    <m/>
    <n v="0"/>
    <n v="4"/>
    <n v="243"/>
  </r>
  <r>
    <n v="244"/>
    <n v="12.7"/>
    <n v="8"/>
    <s v="S"/>
    <n v="2"/>
    <x v="2"/>
    <x v="2"/>
    <m/>
    <n v="1"/>
    <n v="1"/>
    <m/>
    <n v="0"/>
    <n v="5"/>
    <n v="244"/>
  </r>
  <r>
    <n v="245"/>
    <n v="14.1"/>
    <n v="1"/>
    <s v="S"/>
    <n v="2"/>
    <x v="2"/>
    <x v="2"/>
    <m/>
    <n v="1"/>
    <n v="1"/>
    <m/>
    <n v="0"/>
    <n v="6"/>
    <n v="245"/>
  </r>
  <r>
    <n v="246"/>
    <n v="14"/>
    <n v="11"/>
    <s v="S"/>
    <n v="2"/>
    <x v="2"/>
    <x v="2"/>
    <m/>
    <n v="1"/>
    <n v="1"/>
    <m/>
    <n v="0"/>
    <n v="0"/>
    <n v="246"/>
  </r>
  <r>
    <n v="247"/>
    <n v="12.7"/>
    <n v="13"/>
    <s v="S"/>
    <n v="3"/>
    <x v="2"/>
    <x v="3"/>
    <m/>
    <n v="1"/>
    <n v="1"/>
    <m/>
    <n v="0"/>
    <n v="0"/>
    <n v="247"/>
  </r>
  <r>
    <n v="248"/>
    <n v="11.1"/>
    <n v="18"/>
    <s v="S"/>
    <n v="3"/>
    <x v="2"/>
    <x v="3"/>
    <m/>
    <n v="1"/>
    <n v="1"/>
    <m/>
    <n v="0"/>
    <n v="0"/>
    <n v="248"/>
  </r>
  <r>
    <n v="249"/>
    <n v="10"/>
    <n v="15"/>
    <s v="S"/>
    <n v="3"/>
    <x v="2"/>
    <x v="3"/>
    <m/>
    <n v="1"/>
    <n v="1"/>
    <m/>
    <n v="0"/>
    <n v="0"/>
    <n v="249"/>
  </r>
  <r>
    <n v="250"/>
    <n v="10.1"/>
    <n v="12"/>
    <s v="S"/>
    <n v="4"/>
    <x v="2"/>
    <x v="4"/>
    <m/>
    <n v="1"/>
    <n v="1"/>
    <m/>
    <n v="0"/>
    <n v="1"/>
    <n v="250"/>
  </r>
  <r>
    <n v="251"/>
    <n v="11.7"/>
    <n v="2"/>
    <s v="S"/>
    <n v="4"/>
    <x v="2"/>
    <x v="4"/>
    <m/>
    <n v="1"/>
    <n v="1"/>
    <m/>
    <n v="0"/>
    <n v="2"/>
    <n v="251"/>
  </r>
  <r>
    <n v="252"/>
    <n v="14.8"/>
    <n v="21"/>
    <s v="S"/>
    <n v="4"/>
    <x v="2"/>
    <x v="4"/>
    <m/>
    <n v="1"/>
    <n v="1"/>
    <m/>
    <n v="0"/>
    <n v="3"/>
    <n v="252"/>
  </r>
  <r>
    <n v="253"/>
    <n v="18.7"/>
    <n v="28"/>
    <s v="S"/>
    <n v="5"/>
    <x v="2"/>
    <x v="5"/>
    <m/>
    <n v="1"/>
    <n v="1"/>
    <m/>
    <n v="0"/>
    <n v="4"/>
    <n v="253"/>
  </r>
  <r>
    <n v="254"/>
    <n v="22.5"/>
    <n v="0"/>
    <n v="0"/>
    <n v="0"/>
    <x v="0"/>
    <x v="0"/>
    <m/>
    <n v="1"/>
    <n v="1"/>
    <m/>
    <n v="1"/>
    <n v="5"/>
    <n v="254"/>
  </r>
  <r>
    <n v="255"/>
    <n v="25.4"/>
    <n v="3"/>
    <s v="C"/>
    <n v="1"/>
    <x v="1"/>
    <x v="1"/>
    <m/>
    <n v="1"/>
    <n v="1"/>
    <m/>
    <n v="1"/>
    <n v="6"/>
    <n v="255"/>
  </r>
  <r>
    <n v="256"/>
    <n v="26.8"/>
    <n v="5"/>
    <s v="C"/>
    <n v="1"/>
    <x v="1"/>
    <x v="1"/>
    <m/>
    <n v="1"/>
    <n v="1"/>
    <m/>
    <n v="1"/>
    <n v="7"/>
    <n v="256"/>
  </r>
  <r>
    <n v="257"/>
    <n v="26.5"/>
    <n v="5"/>
    <s v="C"/>
    <n v="1"/>
    <x v="1"/>
    <x v="1"/>
    <m/>
    <n v="1"/>
    <n v="1"/>
    <m/>
    <n v="1"/>
    <n v="0"/>
    <n v="257"/>
  </r>
  <r>
    <n v="258"/>
    <n v="24.9"/>
    <n v="7"/>
    <s v="C"/>
    <n v="2"/>
    <x v="1"/>
    <x v="2"/>
    <m/>
    <n v="1"/>
    <n v="1"/>
    <m/>
    <n v="0"/>
    <n v="0"/>
    <n v="258"/>
  </r>
  <r>
    <n v="259"/>
    <n v="22.6"/>
    <n v="1"/>
    <s v="C"/>
    <n v="2"/>
    <x v="1"/>
    <x v="2"/>
    <m/>
    <n v="1"/>
    <n v="1"/>
    <m/>
    <n v="1"/>
    <n v="0"/>
    <n v="259"/>
  </r>
  <r>
    <n v="260"/>
    <n v="20.7"/>
    <n v="6"/>
    <s v="C"/>
    <n v="2"/>
    <x v="1"/>
    <x v="2"/>
    <m/>
    <n v="1"/>
    <n v="1"/>
    <m/>
    <n v="0"/>
    <n v="0"/>
    <n v="260"/>
  </r>
  <r>
    <n v="261"/>
    <n v="19.899999999999999"/>
    <n v="6"/>
    <s v="C"/>
    <n v="3"/>
    <x v="1"/>
    <x v="3"/>
    <m/>
    <n v="1"/>
    <n v="1"/>
    <m/>
    <n v="0"/>
    <n v="0"/>
    <n v="261"/>
  </r>
  <r>
    <n v="262"/>
    <n v="20.399999999999999"/>
    <n v="10"/>
    <s v="C"/>
    <n v="3"/>
    <x v="1"/>
    <x v="3"/>
    <m/>
    <n v="1"/>
    <n v="1"/>
    <m/>
    <n v="0"/>
    <n v="1"/>
    <n v="262"/>
  </r>
  <r>
    <n v="263"/>
    <n v="22.3"/>
    <n v="16"/>
    <s v="C"/>
    <n v="3"/>
    <x v="1"/>
    <x v="3"/>
    <m/>
    <n v="1"/>
    <n v="1"/>
    <m/>
    <n v="0"/>
    <n v="2"/>
    <n v="263"/>
  </r>
  <r>
    <n v="264"/>
    <n v="24.8"/>
    <n v="9"/>
    <s v="C"/>
    <n v="4"/>
    <x v="1"/>
    <x v="4"/>
    <m/>
    <n v="1"/>
    <n v="1"/>
    <m/>
    <n v="0"/>
    <n v="3"/>
    <n v="264"/>
  </r>
  <r>
    <n v="265"/>
    <n v="27.2"/>
    <n v="18"/>
    <s v="C"/>
    <n v="4"/>
    <x v="1"/>
    <x v="4"/>
    <m/>
    <n v="1"/>
    <n v="1"/>
    <m/>
    <n v="0"/>
    <n v="4"/>
    <n v="265"/>
  </r>
  <r>
    <n v="266"/>
    <n v="28.6"/>
    <n v="4"/>
    <s v="C"/>
    <n v="4"/>
    <x v="1"/>
    <x v="4"/>
    <m/>
    <n v="1"/>
    <n v="1"/>
    <m/>
    <n v="1"/>
    <n v="5"/>
    <n v="266"/>
  </r>
  <r>
    <n v="267"/>
    <n v="28.4"/>
    <n v="22"/>
    <s v="C"/>
    <n v="5"/>
    <x v="1"/>
    <x v="5"/>
    <m/>
    <n v="1"/>
    <n v="1"/>
    <m/>
    <n v="0"/>
    <n v="0"/>
    <n v="267"/>
  </r>
  <r>
    <n v="268"/>
    <n v="26.5"/>
    <n v="0"/>
    <n v="0"/>
    <n v="0"/>
    <x v="0"/>
    <x v="0"/>
    <m/>
    <n v="1"/>
    <n v="1"/>
    <m/>
    <n v="1"/>
    <n v="0"/>
    <n v="268"/>
  </r>
  <r>
    <n v="269"/>
    <n v="23.3"/>
    <n v="4"/>
    <s v="C"/>
    <n v="1"/>
    <x v="1"/>
    <x v="1"/>
    <m/>
    <n v="1"/>
    <n v="1"/>
    <m/>
    <n v="1"/>
    <n v="0"/>
    <n v="269"/>
  </r>
  <r>
    <n v="270"/>
    <n v="19.5"/>
    <n v="6"/>
    <s v="C"/>
    <n v="1"/>
    <x v="1"/>
    <x v="1"/>
    <m/>
    <n v="1"/>
    <n v="1"/>
    <m/>
    <n v="0"/>
    <n v="0"/>
    <n v="270"/>
  </r>
  <r>
    <n v="271"/>
    <n v="16"/>
    <n v="6"/>
    <s v="C"/>
    <n v="1"/>
    <x v="1"/>
    <x v="1"/>
    <m/>
    <n v="1"/>
    <n v="1"/>
    <m/>
    <n v="0"/>
    <n v="0"/>
    <n v="271"/>
  </r>
  <r>
    <n v="272"/>
    <n v="13.7"/>
    <n v="9"/>
    <s v="C"/>
    <n v="2"/>
    <x v="1"/>
    <x v="2"/>
    <m/>
    <n v="1"/>
    <n v="1"/>
    <m/>
    <n v="0"/>
    <n v="0"/>
    <n v="272"/>
  </r>
  <r>
    <n v="273"/>
    <n v="12.9"/>
    <n v="7"/>
    <s v="C"/>
    <n v="2"/>
    <x v="1"/>
    <x v="2"/>
    <m/>
    <n v="1"/>
    <n v="1"/>
    <m/>
    <n v="0"/>
    <n v="0"/>
    <n v="273"/>
  </r>
  <r>
    <n v="274"/>
    <n v="13.5"/>
    <n v="1"/>
    <s v="C"/>
    <n v="2"/>
    <x v="1"/>
    <x v="2"/>
    <m/>
    <n v="1"/>
    <n v="1"/>
    <m/>
    <n v="0"/>
    <n v="1"/>
    <n v="274"/>
  </r>
  <r>
    <n v="275"/>
    <n v="15"/>
    <n v="18"/>
    <s v="C"/>
    <n v="3"/>
    <x v="1"/>
    <x v="3"/>
    <m/>
    <n v="1"/>
    <n v="1"/>
    <m/>
    <n v="0"/>
    <n v="2"/>
    <n v="275"/>
  </r>
  <r>
    <n v="276"/>
    <n v="16.399999999999999"/>
    <n v="13"/>
    <s v="C"/>
    <n v="3"/>
    <x v="1"/>
    <x v="3"/>
    <m/>
    <n v="1"/>
    <n v="1"/>
    <m/>
    <n v="0"/>
    <n v="3"/>
    <n v="276"/>
  </r>
  <r>
    <n v="277"/>
    <n v="17.100000000000001"/>
    <n v="2"/>
    <s v="C"/>
    <n v="3"/>
    <x v="1"/>
    <x v="3"/>
    <m/>
    <n v="1"/>
    <n v="1"/>
    <m/>
    <n v="0"/>
    <n v="4"/>
    <n v="277"/>
  </r>
  <r>
    <n v="278"/>
    <n v="16.3"/>
    <n v="10"/>
    <s v="C"/>
    <n v="4"/>
    <x v="1"/>
    <x v="4"/>
    <m/>
    <n v="1"/>
    <n v="1"/>
    <m/>
    <n v="0"/>
    <n v="0"/>
    <n v="278"/>
  </r>
  <r>
    <n v="279"/>
    <n v="14"/>
    <n v="6"/>
    <s v="C"/>
    <n v="4"/>
    <x v="1"/>
    <x v="4"/>
    <m/>
    <n v="1"/>
    <n v="1"/>
    <m/>
    <n v="0"/>
    <n v="0"/>
    <n v="279"/>
  </r>
  <r>
    <n v="280"/>
    <n v="10.5"/>
    <n v="20"/>
    <s v="C"/>
    <n v="4"/>
    <x v="1"/>
    <x v="4"/>
    <m/>
    <n v="1"/>
    <n v="1"/>
    <m/>
    <n v="0"/>
    <n v="0"/>
    <n v="280"/>
  </r>
  <r>
    <n v="281"/>
    <n v="6.7"/>
    <n v="17"/>
    <s v="C"/>
    <n v="5"/>
    <x v="1"/>
    <x v="5"/>
    <m/>
    <n v="1"/>
    <n v="1"/>
    <m/>
    <n v="0"/>
    <n v="0"/>
    <n v="281"/>
  </r>
  <r>
    <n v="282"/>
    <n v="3.5"/>
    <n v="13"/>
    <s v="C"/>
    <n v="5"/>
    <x v="1"/>
    <x v="5"/>
    <m/>
    <n v="1"/>
    <n v="1"/>
    <m/>
    <n v="0"/>
    <n v="0"/>
    <n v="282"/>
  </r>
  <r>
    <n v="283"/>
    <n v="1.6"/>
    <n v="18"/>
    <s v="C"/>
    <n v="5"/>
    <x v="1"/>
    <x v="5"/>
    <m/>
    <n v="1"/>
    <n v="1"/>
    <m/>
    <n v="0"/>
    <n v="0"/>
    <n v="283"/>
  </r>
  <r>
    <n v="284"/>
    <n v="1.4"/>
    <n v="20"/>
    <s v="C"/>
    <n v="5"/>
    <x v="1"/>
    <x v="5"/>
    <m/>
    <n v="1"/>
    <n v="1"/>
    <m/>
    <n v="0"/>
    <n v="0"/>
    <n v="284"/>
  </r>
  <r>
    <n v="285"/>
    <n v="2.8"/>
    <n v="0"/>
    <n v="0"/>
    <n v="0"/>
    <x v="0"/>
    <x v="0"/>
    <m/>
    <n v="1"/>
    <n v="1"/>
    <m/>
    <n v="0"/>
    <n v="1"/>
    <n v="285"/>
  </r>
  <r>
    <n v="286"/>
    <n v="5.2"/>
    <n v="6"/>
    <s v="S"/>
    <n v="1"/>
    <x v="2"/>
    <x v="1"/>
    <m/>
    <n v="1"/>
    <n v="1"/>
    <m/>
    <n v="0"/>
    <n v="2"/>
    <n v="286"/>
  </r>
  <r>
    <n v="287"/>
    <n v="7.7"/>
    <n v="5"/>
    <s v="S"/>
    <n v="1"/>
    <x v="2"/>
    <x v="1"/>
    <m/>
    <n v="1"/>
    <n v="1"/>
    <m/>
    <n v="0"/>
    <n v="3"/>
    <n v="287"/>
  </r>
  <r>
    <n v="288"/>
    <n v="9.6"/>
    <n v="1"/>
    <s v="S"/>
    <n v="1"/>
    <x v="2"/>
    <x v="1"/>
    <m/>
    <n v="1"/>
    <n v="1"/>
    <m/>
    <n v="0"/>
    <n v="4"/>
    <n v="288"/>
  </r>
  <r>
    <n v="289"/>
    <n v="10.1"/>
    <n v="8"/>
    <s v="S"/>
    <n v="2"/>
    <x v="2"/>
    <x v="2"/>
    <m/>
    <n v="1"/>
    <n v="1"/>
    <m/>
    <n v="0"/>
    <n v="5"/>
    <n v="289"/>
  </r>
  <r>
    <n v="290"/>
    <n v="9.3000000000000007"/>
    <n v="3"/>
    <s v="S"/>
    <n v="2"/>
    <x v="2"/>
    <x v="2"/>
    <m/>
    <n v="1"/>
    <n v="1"/>
    <m/>
    <n v="0"/>
    <n v="0"/>
    <n v="290"/>
  </r>
  <r>
    <n v="291"/>
    <n v="7.4"/>
    <n v="5"/>
    <s v="S"/>
    <n v="2"/>
    <x v="2"/>
    <x v="2"/>
    <m/>
    <n v="1"/>
    <n v="1"/>
    <m/>
    <n v="0"/>
    <n v="0"/>
    <n v="291"/>
  </r>
  <r>
    <n v="292"/>
    <n v="5.0999999999999996"/>
    <n v="17"/>
    <s v="S"/>
    <n v="3"/>
    <x v="2"/>
    <x v="3"/>
    <m/>
    <n v="1"/>
    <n v="1"/>
    <m/>
    <n v="0"/>
    <n v="0"/>
    <n v="292"/>
  </r>
  <r>
    <n v="293"/>
    <n v="3.5"/>
    <n v="9"/>
    <s v="S"/>
    <n v="3"/>
    <x v="2"/>
    <x v="3"/>
    <m/>
    <n v="1"/>
    <n v="1"/>
    <m/>
    <n v="0"/>
    <n v="0"/>
    <n v="293"/>
  </r>
  <r>
    <n v="294"/>
    <n v="3.2"/>
    <n v="4"/>
    <s v="S"/>
    <n v="3"/>
    <x v="2"/>
    <x v="3"/>
    <m/>
    <n v="1"/>
    <n v="1"/>
    <m/>
    <n v="0"/>
    <n v="0"/>
    <n v="294"/>
  </r>
  <r>
    <n v="295"/>
    <n v="4.5999999999999996"/>
    <n v="24"/>
    <s v="S"/>
    <n v="4"/>
    <x v="2"/>
    <x v="4"/>
    <m/>
    <n v="1"/>
    <n v="1"/>
    <m/>
    <n v="0"/>
    <n v="1"/>
    <n v="295"/>
  </r>
  <r>
    <n v="296"/>
    <n v="7.5"/>
    <n v="21"/>
    <s v="S"/>
    <n v="4"/>
    <x v="2"/>
    <x v="4"/>
    <m/>
    <n v="1"/>
    <n v="1"/>
    <m/>
    <n v="0"/>
    <n v="2"/>
    <n v="296"/>
  </r>
  <r>
    <n v="297"/>
    <n v="11.3"/>
    <n v="8"/>
    <s v="S"/>
    <n v="5"/>
    <x v="2"/>
    <x v="4"/>
    <m/>
    <n v="1"/>
    <n v="0"/>
    <m/>
    <n v="0"/>
    <n v="3"/>
    <n v="297"/>
  </r>
  <r>
    <n v="298"/>
    <n v="15.2"/>
    <n v="23"/>
    <s v="S"/>
    <n v="5"/>
    <x v="2"/>
    <x v="5"/>
    <m/>
    <n v="1"/>
    <n v="1"/>
    <m/>
    <n v="0"/>
    <n v="4"/>
    <n v="298"/>
  </r>
  <r>
    <n v="299"/>
    <n v="18.3"/>
    <n v="0"/>
    <n v="0"/>
    <n v="0"/>
    <x v="0"/>
    <x v="0"/>
    <m/>
    <n v="1"/>
    <n v="1"/>
    <m/>
    <n v="0"/>
    <n v="5"/>
    <n v="299"/>
  </r>
  <r>
    <n v="300"/>
    <n v="19.899999999999999"/>
    <n v="5"/>
    <s v="C"/>
    <n v="1"/>
    <x v="1"/>
    <x v="1"/>
    <m/>
    <n v="1"/>
    <n v="1"/>
    <m/>
    <n v="0"/>
    <n v="6"/>
    <n v="300"/>
  </r>
  <r>
    <n v="301"/>
    <n v="20"/>
    <n v="4"/>
    <n v="0"/>
    <n v="0"/>
    <x v="1"/>
    <x v="1"/>
    <m/>
    <n v="0"/>
    <n v="0"/>
    <m/>
    <n v="1"/>
    <n v="7"/>
    <n v="301"/>
  </r>
  <r>
    <n v="302"/>
    <n v="18.899999999999999"/>
    <n v="5"/>
    <n v="0"/>
    <n v="0"/>
    <x v="1"/>
    <x v="1"/>
    <m/>
    <n v="0"/>
    <n v="0"/>
    <m/>
    <n v="0"/>
    <n v="0"/>
    <n v="302"/>
  </r>
  <r>
    <n v="303"/>
    <n v="17.3"/>
    <n v="2"/>
    <n v="0"/>
    <n v="0"/>
    <x v="1"/>
    <x v="2"/>
    <m/>
    <n v="0"/>
    <n v="0"/>
    <m/>
    <n v="0"/>
    <n v="0"/>
    <n v="303"/>
  </r>
  <r>
    <n v="304"/>
    <n v="16"/>
    <n v="7"/>
    <n v="0"/>
    <n v="0"/>
    <x v="1"/>
    <x v="2"/>
    <m/>
    <n v="0"/>
    <n v="0"/>
    <m/>
    <n v="0"/>
    <n v="0"/>
    <n v="304"/>
  </r>
  <r>
    <n v="305"/>
    <n v="15.9"/>
    <n v="4"/>
    <n v="0"/>
    <n v="0"/>
    <x v="1"/>
    <x v="2"/>
    <m/>
    <n v="0"/>
    <n v="0"/>
    <m/>
    <n v="0"/>
    <n v="0"/>
    <n v="305"/>
  </r>
  <r>
    <n v="306"/>
    <n v="17.3"/>
    <n v="17"/>
    <n v="0"/>
    <n v="0"/>
    <x v="1"/>
    <x v="3"/>
    <m/>
    <n v="0"/>
    <n v="0"/>
    <m/>
    <n v="0"/>
    <n v="1"/>
    <n v="306"/>
  </r>
  <r>
    <n v="307"/>
    <n v="20"/>
    <n v="14"/>
    <n v="0"/>
    <n v="0"/>
    <x v="1"/>
    <x v="3"/>
    <m/>
    <n v="0"/>
    <n v="0"/>
    <m/>
    <n v="0"/>
    <n v="2"/>
    <n v="307"/>
  </r>
  <r>
    <n v="308"/>
    <n v="23.4"/>
    <n v="9"/>
    <n v="0"/>
    <n v="0"/>
    <x v="1"/>
    <x v="3"/>
    <m/>
    <n v="0"/>
    <n v="0"/>
    <m/>
    <n v="0"/>
    <n v="3"/>
    <n v="308"/>
  </r>
  <r>
    <n v="309"/>
    <n v="26.8"/>
    <n v="6"/>
    <n v="0"/>
    <n v="0"/>
    <x v="1"/>
    <x v="4"/>
    <m/>
    <n v="0"/>
    <n v="0"/>
    <m/>
    <n v="0"/>
    <n v="4"/>
    <n v="309"/>
  </r>
  <r>
    <n v="310"/>
    <n v="29.1"/>
    <n v="16"/>
    <n v="0"/>
    <n v="0"/>
    <x v="1"/>
    <x v="4"/>
    <m/>
    <n v="0"/>
    <n v="0"/>
    <m/>
    <n v="0"/>
    <n v="5"/>
    <n v="310"/>
  </r>
  <r>
    <n v="311"/>
    <n v="29.8"/>
    <n v="2"/>
    <n v="0"/>
    <n v="0"/>
    <x v="1"/>
    <x v="4"/>
    <m/>
    <n v="0"/>
    <n v="0"/>
    <m/>
    <n v="1"/>
    <n v="6"/>
    <n v="311"/>
  </r>
  <r>
    <n v="312"/>
    <n v="28.8"/>
    <n v="25"/>
    <n v="0"/>
    <n v="0"/>
    <x v="1"/>
    <x v="5"/>
    <m/>
    <n v="0"/>
    <n v="0"/>
    <m/>
    <n v="0"/>
    <n v="0"/>
    <n v="312"/>
  </r>
  <r>
    <n v="313"/>
    <n v="26.4"/>
    <n v="0"/>
    <n v="0"/>
    <n v="0"/>
    <x v="0"/>
    <x v="0"/>
    <m/>
    <n v="1"/>
    <n v="1"/>
    <m/>
    <n v="1"/>
    <n v="0"/>
    <n v="313"/>
  </r>
  <r>
    <n v="314"/>
    <n v="23.4"/>
    <n v="3"/>
    <n v="0"/>
    <n v="0"/>
    <x v="1"/>
    <x v="1"/>
    <m/>
    <n v="0"/>
    <n v="0"/>
    <m/>
    <n v="1"/>
    <n v="0"/>
    <n v="314"/>
  </r>
  <r>
    <n v="315"/>
    <n v="20.7"/>
    <n v="4"/>
    <n v="0"/>
    <n v="0"/>
    <x v="1"/>
    <x v="1"/>
    <m/>
    <n v="0"/>
    <n v="0"/>
    <m/>
    <n v="1"/>
    <n v="0"/>
    <n v="315"/>
  </r>
  <r>
    <n v="316"/>
    <n v="19.100000000000001"/>
    <n v="6"/>
    <n v="0"/>
    <n v="0"/>
    <x v="1"/>
    <x v="1"/>
    <m/>
    <n v="0"/>
    <n v="0"/>
    <m/>
    <n v="0"/>
    <n v="0"/>
    <n v="316"/>
  </r>
  <r>
    <n v="317"/>
    <n v="18.899999999999999"/>
    <n v="6"/>
    <n v="0"/>
    <n v="0"/>
    <x v="1"/>
    <x v="2"/>
    <m/>
    <n v="0"/>
    <n v="0"/>
    <m/>
    <n v="0"/>
    <n v="0"/>
    <n v="317"/>
  </r>
  <r>
    <n v="318"/>
    <n v="20"/>
    <n v="5"/>
    <n v="0"/>
    <n v="0"/>
    <x v="1"/>
    <x v="2"/>
    <m/>
    <n v="0"/>
    <n v="0"/>
    <m/>
    <n v="1"/>
    <n v="1"/>
    <n v="318"/>
  </r>
  <r>
    <n v="319"/>
    <n v="21.8"/>
    <n v="4"/>
    <n v="0"/>
    <n v="0"/>
    <x v="1"/>
    <x v="2"/>
    <m/>
    <n v="0"/>
    <n v="0"/>
    <m/>
    <n v="1"/>
    <n v="2"/>
    <n v="319"/>
  </r>
  <r>
    <n v="320"/>
    <n v="23.6"/>
    <n v="7"/>
    <n v="0"/>
    <n v="0"/>
    <x v="1"/>
    <x v="3"/>
    <m/>
    <n v="0"/>
    <n v="0"/>
    <m/>
    <n v="0"/>
    <n v="3"/>
    <n v="320"/>
  </r>
  <r>
    <n v="321"/>
    <n v="24.4"/>
    <n v="12"/>
    <n v="0"/>
    <n v="0"/>
    <x v="1"/>
    <x v="3"/>
    <m/>
    <n v="0"/>
    <n v="0"/>
    <m/>
    <n v="0"/>
    <n v="4"/>
    <n v="321"/>
  </r>
  <r>
    <n v="322"/>
    <n v="23.6"/>
    <n v="5"/>
    <n v="0"/>
    <n v="0"/>
    <x v="1"/>
    <x v="3"/>
    <m/>
    <n v="0"/>
    <n v="0"/>
    <m/>
    <n v="1"/>
    <n v="0"/>
    <n v="322"/>
  </r>
  <r>
    <n v="323"/>
    <n v="21.3"/>
    <n v="3"/>
    <n v="0"/>
    <n v="0"/>
    <x v="1"/>
    <x v="4"/>
    <m/>
    <n v="0"/>
    <n v="0"/>
    <m/>
    <n v="1"/>
    <n v="0"/>
    <n v="323"/>
  </r>
  <r>
    <n v="324"/>
    <n v="17.7"/>
    <n v="21"/>
    <n v="0"/>
    <n v="0"/>
    <x v="1"/>
    <x v="4"/>
    <m/>
    <n v="0"/>
    <n v="0"/>
    <m/>
    <n v="0"/>
    <n v="0"/>
    <n v="324"/>
  </r>
  <r>
    <n v="325"/>
    <n v="13.6"/>
    <n v="18"/>
    <n v="0"/>
    <n v="0"/>
    <x v="1"/>
    <x v="4"/>
    <m/>
    <n v="0"/>
    <n v="0"/>
    <m/>
    <n v="0"/>
    <n v="0"/>
    <n v="325"/>
  </r>
  <r>
    <n v="326"/>
    <n v="10"/>
    <n v="13"/>
    <n v="0"/>
    <n v="0"/>
    <x v="1"/>
    <x v="5"/>
    <m/>
    <n v="0"/>
    <n v="0"/>
    <m/>
    <n v="0"/>
    <n v="0"/>
    <n v="326"/>
  </r>
  <r>
    <n v="327"/>
    <n v="7.6"/>
    <n v="28"/>
    <n v="0"/>
    <n v="0"/>
    <x v="1"/>
    <x v="5"/>
    <m/>
    <n v="0"/>
    <n v="0"/>
    <m/>
    <n v="0"/>
    <n v="0"/>
    <n v="327"/>
  </r>
  <r>
    <n v="328"/>
    <n v="6.8"/>
    <n v="0"/>
    <n v="0"/>
    <n v="0"/>
    <x v="0"/>
    <x v="0"/>
    <m/>
    <n v="1"/>
    <n v="1"/>
    <m/>
    <n v="0"/>
    <n v="0"/>
    <n v="328"/>
  </r>
  <r>
    <n v="329"/>
    <n v="7.5"/>
    <n v="2"/>
    <n v="0"/>
    <n v="0"/>
    <x v="2"/>
    <x v="1"/>
    <m/>
    <n v="0"/>
    <n v="0"/>
    <m/>
    <n v="0"/>
    <n v="1"/>
    <n v="329"/>
  </r>
  <r>
    <n v="330"/>
    <n v="9.1"/>
    <n v="2"/>
    <n v="0"/>
    <n v="0"/>
    <x v="2"/>
    <x v="1"/>
    <m/>
    <n v="0"/>
    <n v="0"/>
    <m/>
    <n v="0"/>
    <n v="2"/>
    <n v="330"/>
  </r>
  <r>
    <n v="331"/>
    <n v="10.9"/>
    <n v="6"/>
    <n v="0"/>
    <n v="0"/>
    <x v="2"/>
    <x v="1"/>
    <m/>
    <n v="0"/>
    <n v="0"/>
    <m/>
    <n v="0"/>
    <n v="3"/>
    <n v="331"/>
  </r>
  <r>
    <n v="332"/>
    <n v="11.8"/>
    <n v="11"/>
    <n v="0"/>
    <n v="0"/>
    <x v="2"/>
    <x v="2"/>
    <m/>
    <n v="0"/>
    <n v="0"/>
    <m/>
    <n v="0"/>
    <n v="4"/>
    <n v="332"/>
  </r>
  <r>
    <n v="333"/>
    <n v="11.5"/>
    <n v="9"/>
    <n v="0"/>
    <n v="0"/>
    <x v="2"/>
    <x v="2"/>
    <m/>
    <n v="0"/>
    <n v="0"/>
    <m/>
    <n v="0"/>
    <n v="0"/>
    <n v="333"/>
  </r>
  <r>
    <n v="334"/>
    <n v="9.6999999999999993"/>
    <n v="7"/>
    <n v="0"/>
    <n v="0"/>
    <x v="2"/>
    <x v="2"/>
    <m/>
    <n v="0"/>
    <n v="0"/>
    <m/>
    <n v="0"/>
    <n v="0"/>
    <n v="334"/>
  </r>
  <r>
    <n v="335"/>
    <n v="6.9"/>
    <n v="17"/>
    <n v="0"/>
    <n v="0"/>
    <x v="2"/>
    <x v="3"/>
    <m/>
    <n v="0"/>
    <n v="0"/>
    <m/>
    <n v="0"/>
    <n v="0"/>
    <n v="335"/>
  </r>
  <r>
    <n v="336"/>
    <n v="3.8"/>
    <n v="1"/>
    <n v="0"/>
    <n v="0"/>
    <x v="2"/>
    <x v="3"/>
    <m/>
    <n v="0"/>
    <n v="0"/>
    <m/>
    <n v="0"/>
    <n v="0"/>
    <n v="336"/>
  </r>
  <r>
    <n v="337"/>
    <n v="1.2"/>
    <n v="2"/>
    <n v="0"/>
    <n v="0"/>
    <x v="2"/>
    <x v="3"/>
    <m/>
    <n v="0"/>
    <n v="0"/>
    <m/>
    <n v="0"/>
    <n v="0"/>
    <n v="337"/>
  </r>
  <r>
    <n v="338"/>
    <n v="0.1"/>
    <n v="15"/>
    <n v="0"/>
    <n v="0"/>
    <x v="2"/>
    <x v="4"/>
    <m/>
    <n v="0"/>
    <n v="0"/>
    <m/>
    <n v="0"/>
    <n v="0"/>
    <n v="338"/>
  </r>
  <r>
    <n v="339"/>
    <n v="0.6"/>
    <n v="21"/>
    <n v="0"/>
    <n v="0"/>
    <x v="2"/>
    <x v="4"/>
    <m/>
    <n v="0"/>
    <n v="0"/>
    <m/>
    <n v="0"/>
    <n v="1"/>
    <n v="339"/>
  </r>
  <r>
    <n v="340"/>
    <n v="2.8"/>
    <n v="8"/>
    <n v="0"/>
    <n v="0"/>
    <x v="2"/>
    <x v="4"/>
    <m/>
    <n v="0"/>
    <n v="0"/>
    <m/>
    <n v="0"/>
    <n v="2"/>
    <n v="340"/>
  </r>
  <r>
    <n v="341"/>
    <n v="6"/>
    <n v="27"/>
    <n v="0"/>
    <n v="0"/>
    <x v="2"/>
    <x v="5"/>
    <m/>
    <n v="0"/>
    <n v="0"/>
    <m/>
    <n v="0"/>
    <n v="3"/>
    <n v="341"/>
  </r>
  <r>
    <n v="342"/>
    <n v="9.3000000000000007"/>
    <n v="0"/>
    <n v="0"/>
    <n v="0"/>
    <x v="0"/>
    <x v="0"/>
    <m/>
    <n v="1"/>
    <n v="1"/>
    <m/>
    <n v="0"/>
    <n v="4"/>
    <n v="342"/>
  </r>
  <r>
    <n v="343"/>
    <n v="11.8"/>
    <n v="1"/>
    <n v="0"/>
    <n v="0"/>
    <x v="1"/>
    <x v="1"/>
    <m/>
    <n v="0"/>
    <n v="0"/>
    <m/>
    <n v="0"/>
    <n v="5"/>
    <n v="343"/>
  </r>
  <r>
    <n v="344"/>
    <n v="13.1"/>
    <n v="4"/>
    <n v="0"/>
    <n v="0"/>
    <x v="1"/>
    <x v="1"/>
    <m/>
    <n v="0"/>
    <n v="0"/>
    <m/>
    <n v="0"/>
    <n v="6"/>
    <n v="344"/>
  </r>
  <r>
    <n v="345"/>
    <n v="12.9"/>
    <n v="1"/>
    <n v="0"/>
    <n v="0"/>
    <x v="1"/>
    <x v="1"/>
    <m/>
    <n v="0"/>
    <n v="0"/>
    <m/>
    <n v="0"/>
    <n v="0"/>
    <n v="345"/>
  </r>
  <r>
    <n v="346"/>
    <n v="11.6"/>
    <n v="2"/>
    <n v="0"/>
    <n v="0"/>
    <x v="1"/>
    <x v="2"/>
    <m/>
    <n v="0"/>
    <n v="0"/>
    <m/>
    <n v="0"/>
    <n v="0"/>
    <n v="346"/>
  </r>
  <r>
    <n v="347"/>
    <n v="9.9"/>
    <n v="3"/>
    <n v="0"/>
    <n v="0"/>
    <x v="1"/>
    <x v="2"/>
    <m/>
    <n v="0"/>
    <n v="0"/>
    <m/>
    <n v="0"/>
    <n v="0"/>
    <n v="347"/>
  </r>
  <r>
    <n v="348"/>
    <n v="8.6999999999999993"/>
    <n v="8"/>
    <n v="0"/>
    <n v="0"/>
    <x v="1"/>
    <x v="2"/>
    <m/>
    <n v="0"/>
    <n v="0"/>
    <m/>
    <n v="0"/>
    <n v="0"/>
    <n v="348"/>
  </r>
  <r>
    <n v="349"/>
    <n v="8.8000000000000007"/>
    <n v="18"/>
    <n v="0"/>
    <n v="0"/>
    <x v="1"/>
    <x v="3"/>
    <m/>
    <n v="0"/>
    <n v="0"/>
    <m/>
    <n v="0"/>
    <n v="1"/>
    <n v="349"/>
  </r>
  <r>
    <n v="350"/>
    <n v="10.5"/>
    <n v="15"/>
    <n v="0"/>
    <n v="0"/>
    <x v="1"/>
    <x v="3"/>
    <m/>
    <n v="0"/>
    <n v="0"/>
    <m/>
    <n v="0"/>
    <n v="2"/>
    <n v="350"/>
  </r>
  <r>
    <n v="351"/>
    <n v="13.5"/>
    <n v="1"/>
    <n v="0"/>
    <n v="0"/>
    <x v="1"/>
    <x v="3"/>
    <m/>
    <n v="0"/>
    <n v="0"/>
    <m/>
    <n v="0"/>
    <n v="3"/>
    <n v="351"/>
  </r>
  <r>
    <n v="352"/>
    <n v="17.5"/>
    <n v="22"/>
    <n v="0"/>
    <n v="0"/>
    <x v="1"/>
    <x v="4"/>
    <m/>
    <n v="0"/>
    <n v="0"/>
    <m/>
    <n v="0"/>
    <n v="4"/>
    <n v="352"/>
  </r>
  <r>
    <n v="353"/>
    <n v="21.4"/>
    <n v="4"/>
    <n v="0"/>
    <n v="0"/>
    <x v="1"/>
    <x v="4"/>
    <m/>
    <n v="0"/>
    <n v="0"/>
    <m/>
    <n v="1"/>
    <n v="5"/>
    <n v="353"/>
  </r>
  <r>
    <n v="354"/>
    <n v="24.4"/>
    <n v="4"/>
    <n v="0"/>
    <n v="0"/>
    <x v="1"/>
    <x v="4"/>
    <m/>
    <n v="0"/>
    <n v="0"/>
    <m/>
    <n v="1"/>
    <n v="6"/>
    <n v="354"/>
  </r>
  <r>
    <n v="355"/>
    <n v="25.8"/>
    <n v="11"/>
    <n v="0"/>
    <n v="0"/>
    <x v="1"/>
    <x v="5"/>
    <m/>
    <n v="0"/>
    <n v="0"/>
    <m/>
    <n v="0"/>
    <n v="7"/>
    <n v="355"/>
  </r>
  <r>
    <n v="356"/>
    <n v="25.6"/>
    <n v="25"/>
    <n v="0"/>
    <n v="0"/>
    <x v="1"/>
    <x v="5"/>
    <m/>
    <n v="0"/>
    <n v="0"/>
    <m/>
    <n v="0"/>
    <n v="0"/>
    <n v="356"/>
  </r>
  <r>
    <n v="357"/>
    <n v="24.1"/>
    <n v="0"/>
    <n v="0"/>
    <n v="0"/>
    <x v="0"/>
    <x v="0"/>
    <m/>
    <n v="1"/>
    <n v="1"/>
    <m/>
    <n v="1"/>
    <n v="0"/>
    <n v="357"/>
  </r>
  <r>
    <n v="358"/>
    <n v="22"/>
    <n v="4"/>
    <n v="0"/>
    <n v="0"/>
    <x v="1"/>
    <x v="1"/>
    <m/>
    <n v="0"/>
    <n v="0"/>
    <m/>
    <n v="1"/>
    <n v="0"/>
    <n v="358"/>
  </r>
  <r>
    <n v="359"/>
    <n v="20.3"/>
    <n v="4"/>
    <n v="0"/>
    <n v="0"/>
    <x v="1"/>
    <x v="1"/>
    <m/>
    <n v="0"/>
    <n v="0"/>
    <m/>
    <n v="1"/>
    <n v="0"/>
    <n v="359"/>
  </r>
  <r>
    <n v="360"/>
    <n v="19.600000000000001"/>
    <n v="1"/>
    <n v="0"/>
    <n v="0"/>
    <x v="1"/>
    <x v="1"/>
    <m/>
    <n v="0"/>
    <n v="0"/>
    <m/>
    <n v="0"/>
    <n v="0"/>
    <n v="360"/>
  </r>
  <r>
    <n v="361"/>
    <n v="20.3"/>
    <n v="11"/>
    <n v="0"/>
    <n v="0"/>
    <x v="1"/>
    <x v="2"/>
    <m/>
    <n v="0"/>
    <n v="0"/>
    <m/>
    <n v="0"/>
    <n v="1"/>
    <n v="361"/>
  </r>
  <r>
    <n v="362"/>
    <n v="22.3"/>
    <n v="12"/>
    <n v="0"/>
    <n v="0"/>
    <x v="1"/>
    <x v="2"/>
    <m/>
    <n v="0"/>
    <n v="0"/>
    <m/>
    <n v="0"/>
    <n v="2"/>
    <n v="362"/>
  </r>
  <r>
    <n v="363"/>
    <n v="25"/>
    <n v="2"/>
    <n v="0"/>
    <n v="0"/>
    <x v="1"/>
    <x v="2"/>
    <m/>
    <n v="0"/>
    <n v="0"/>
    <m/>
    <n v="1"/>
    <n v="3"/>
    <n v="363"/>
  </r>
  <r>
    <n v="364"/>
    <n v="27.5"/>
    <n v="4"/>
    <n v="0"/>
    <n v="0"/>
    <x v="1"/>
    <x v="3"/>
    <m/>
    <n v="0"/>
    <n v="0"/>
    <m/>
    <n v="1"/>
    <n v="4"/>
    <n v="364"/>
  </r>
  <r>
    <n v="365"/>
    <n v="29.1"/>
    <n v="18"/>
    <n v="0"/>
    <n v="0"/>
    <x v="1"/>
    <x v="3"/>
    <m/>
    <n v="0"/>
    <n v="0"/>
    <m/>
    <n v="0"/>
    <n v="5"/>
    <n v="365"/>
  </r>
  <r>
    <n v="366"/>
    <n v="29"/>
    <n v="2"/>
    <n v="0"/>
    <n v="0"/>
    <x v="1"/>
    <x v="3"/>
    <m/>
    <n v="0"/>
    <n v="0"/>
    <m/>
    <n v="1"/>
    <n v="0"/>
    <n v="366"/>
  </r>
  <r>
    <n v="367"/>
    <n v="27.2"/>
    <n v="19"/>
    <n v="0"/>
    <n v="0"/>
    <x v="1"/>
    <x v="4"/>
    <m/>
    <n v="0"/>
    <n v="0"/>
    <m/>
    <n v="0"/>
    <n v="0"/>
    <n v="367"/>
  </r>
  <r>
    <n v="368"/>
    <n v="24.1"/>
    <n v="16"/>
    <n v="0"/>
    <n v="0"/>
    <x v="1"/>
    <x v="4"/>
    <m/>
    <n v="0"/>
    <n v="0"/>
    <m/>
    <n v="0"/>
    <n v="0"/>
    <n v="368"/>
  </r>
  <r>
    <n v="369"/>
    <n v="20.399999999999999"/>
    <n v="24"/>
    <n v="0"/>
    <n v="0"/>
    <x v="1"/>
    <x v="4"/>
    <m/>
    <n v="0"/>
    <n v="0"/>
    <m/>
    <n v="0"/>
    <n v="0"/>
    <n v="369"/>
  </r>
  <r>
    <n v="370"/>
    <n v="17.100000000000001"/>
    <n v="24"/>
    <n v="0"/>
    <n v="0"/>
    <x v="1"/>
    <x v="5"/>
    <m/>
    <n v="0"/>
    <n v="0"/>
    <m/>
    <n v="0"/>
    <n v="0"/>
    <n v="370"/>
  </r>
  <r>
    <n v="371"/>
    <n v="14.9"/>
    <n v="0"/>
    <n v="0"/>
    <n v="0"/>
    <x v="0"/>
    <x v="0"/>
    <m/>
    <n v="1"/>
    <n v="1"/>
    <m/>
    <n v="0"/>
    <n v="0"/>
    <n v="371"/>
  </r>
  <r>
    <n v="372"/>
    <n v="14.1"/>
    <n v="3"/>
    <n v="0"/>
    <n v="0"/>
    <x v="1"/>
    <x v="1"/>
    <m/>
    <n v="0"/>
    <n v="0"/>
    <m/>
    <n v="0"/>
    <n v="0"/>
    <n v="372"/>
  </r>
  <r>
    <n v="373"/>
    <n v="14.8"/>
    <n v="6"/>
    <n v="0"/>
    <n v="0"/>
    <x v="1"/>
    <x v="1"/>
    <m/>
    <n v="0"/>
    <n v="0"/>
    <m/>
    <n v="0"/>
    <n v="1"/>
    <n v="373"/>
  </r>
  <r>
    <n v="374"/>
    <n v="16.3"/>
    <n v="6"/>
    <n v="0"/>
    <n v="0"/>
    <x v="1"/>
    <x v="1"/>
    <m/>
    <n v="0"/>
    <n v="0"/>
    <m/>
    <n v="0"/>
    <n v="2"/>
    <n v="374"/>
  </r>
  <r>
    <n v="375"/>
    <n v="17.7"/>
    <n v="8"/>
    <n v="0"/>
    <n v="0"/>
    <x v="1"/>
    <x v="2"/>
    <m/>
    <n v="0"/>
    <n v="0"/>
    <m/>
    <n v="0"/>
    <n v="3"/>
    <n v="375"/>
  </r>
  <r>
    <n v="376"/>
    <n v="18.3"/>
    <n v="3"/>
    <n v="0"/>
    <n v="0"/>
    <x v="1"/>
    <x v="2"/>
    <m/>
    <n v="0"/>
    <n v="0"/>
    <m/>
    <n v="0"/>
    <n v="4"/>
    <n v="376"/>
  </r>
  <r>
    <n v="377"/>
    <n v="17.5"/>
    <n v="6"/>
    <n v="0"/>
    <n v="0"/>
    <x v="1"/>
    <x v="2"/>
    <m/>
    <n v="0"/>
    <n v="0"/>
    <m/>
    <n v="0"/>
    <n v="0"/>
    <n v="377"/>
  </r>
  <r>
    <n v="378"/>
    <n v="15.1"/>
    <n v="7"/>
    <n v="0"/>
    <n v="0"/>
    <x v="1"/>
    <x v="3"/>
    <m/>
    <n v="0"/>
    <n v="0"/>
    <m/>
    <n v="0"/>
    <n v="0"/>
    <n v="378"/>
  </r>
  <r>
    <n v="379"/>
    <n v="11.6"/>
    <n v="11"/>
    <n v="0"/>
    <n v="0"/>
    <x v="1"/>
    <x v="3"/>
    <m/>
    <n v="0"/>
    <n v="0"/>
    <m/>
    <n v="0"/>
    <n v="0"/>
    <n v="379"/>
  </r>
  <r>
    <n v="380"/>
    <n v="7.7"/>
    <n v="10"/>
    <n v="0"/>
    <n v="0"/>
    <x v="1"/>
    <x v="3"/>
    <m/>
    <n v="0"/>
    <n v="0"/>
    <m/>
    <n v="0"/>
    <n v="0"/>
    <n v="380"/>
  </r>
  <r>
    <n v="381"/>
    <n v="4.4000000000000004"/>
    <n v="21"/>
    <n v="0"/>
    <n v="0"/>
    <x v="1"/>
    <x v="4"/>
    <m/>
    <n v="0"/>
    <n v="0"/>
    <m/>
    <n v="0"/>
    <n v="0"/>
    <n v="381"/>
  </r>
  <r>
    <n v="382"/>
    <n v="2.2999999999999998"/>
    <n v="22"/>
    <n v="0"/>
    <n v="0"/>
    <x v="1"/>
    <x v="4"/>
    <m/>
    <n v="0"/>
    <n v="0"/>
    <m/>
    <n v="0"/>
    <n v="0"/>
    <n v="382"/>
  </r>
  <r>
    <n v="383"/>
    <n v="2"/>
    <n v="22"/>
    <n v="0"/>
    <n v="0"/>
    <x v="1"/>
    <x v="4"/>
    <m/>
    <n v="0"/>
    <n v="0"/>
    <m/>
    <n v="0"/>
    <n v="0"/>
    <n v="383"/>
  </r>
  <r>
    <n v="384"/>
    <n v="3.2"/>
    <n v="29"/>
    <n v="0"/>
    <n v="0"/>
    <x v="1"/>
    <x v="5"/>
    <m/>
    <n v="0"/>
    <n v="0"/>
    <m/>
    <n v="0"/>
    <n v="1"/>
    <n v="384"/>
  </r>
  <r>
    <n v="385"/>
    <n v="5.5"/>
    <n v="0"/>
    <n v="0"/>
    <n v="0"/>
    <x v="0"/>
    <x v="0"/>
    <m/>
    <n v="1"/>
    <n v="1"/>
    <m/>
    <n v="0"/>
    <n v="2"/>
    <n v="385"/>
  </r>
  <r>
    <n v="386"/>
    <n v="7.9"/>
    <n v="1"/>
    <n v="0"/>
    <n v="0"/>
    <x v="2"/>
    <x v="1"/>
    <m/>
    <n v="0"/>
    <n v="0"/>
    <m/>
    <n v="0"/>
    <n v="3"/>
    <n v="386"/>
  </r>
  <r>
    <n v="387"/>
    <n v="9.6"/>
    <n v="2"/>
    <n v="0"/>
    <n v="0"/>
    <x v="2"/>
    <x v="1"/>
    <m/>
    <n v="0"/>
    <n v="0"/>
    <m/>
    <n v="0"/>
    <n v="4"/>
    <n v="387"/>
  </r>
  <r>
    <n v="388"/>
    <n v="10"/>
    <n v="3"/>
    <n v="0"/>
    <n v="0"/>
    <x v="2"/>
    <x v="1"/>
    <m/>
    <n v="0"/>
    <n v="0"/>
    <m/>
    <n v="0"/>
    <n v="5"/>
    <n v="388"/>
  </r>
  <r>
    <n v="389"/>
    <n v="9"/>
    <n v="2"/>
    <n v="0"/>
    <n v="0"/>
    <x v="2"/>
    <x v="2"/>
    <m/>
    <n v="0"/>
    <n v="0"/>
    <m/>
    <n v="0"/>
    <n v="0"/>
    <n v="389"/>
  </r>
  <r>
    <n v="390"/>
    <n v="6.9"/>
    <n v="10"/>
    <n v="0"/>
    <n v="0"/>
    <x v="2"/>
    <x v="2"/>
    <m/>
    <n v="0"/>
    <n v="0"/>
    <m/>
    <n v="0"/>
    <n v="0"/>
    <n v="390"/>
  </r>
  <r>
    <n v="391"/>
    <n v="4.5"/>
    <n v="3"/>
    <n v="0"/>
    <n v="0"/>
    <x v="2"/>
    <x v="2"/>
    <m/>
    <n v="0"/>
    <n v="0"/>
    <m/>
    <n v="0"/>
    <n v="0"/>
    <n v="391"/>
  </r>
  <r>
    <n v="392"/>
    <n v="2.8"/>
    <n v="11"/>
    <n v="0"/>
    <n v="0"/>
    <x v="2"/>
    <x v="3"/>
    <m/>
    <n v="0"/>
    <n v="0"/>
    <m/>
    <n v="0"/>
    <n v="0"/>
    <n v="392"/>
  </r>
  <r>
    <n v="393"/>
    <n v="2.2999999999999998"/>
    <n v="17"/>
    <n v="0"/>
    <n v="0"/>
    <x v="2"/>
    <x v="3"/>
    <m/>
    <n v="0"/>
    <n v="0"/>
    <m/>
    <n v="0"/>
    <n v="0"/>
    <n v="393"/>
  </r>
  <r>
    <n v="394"/>
    <n v="3.6"/>
    <n v="1"/>
    <n v="0"/>
    <n v="0"/>
    <x v="2"/>
    <x v="3"/>
    <m/>
    <n v="0"/>
    <n v="0"/>
    <m/>
    <n v="0"/>
    <n v="1"/>
    <n v="394"/>
  </r>
  <r>
    <n v="395"/>
    <n v="6.4"/>
    <n v="8"/>
    <n v="0"/>
    <n v="0"/>
    <x v="2"/>
    <x v="4"/>
    <m/>
    <n v="0"/>
    <n v="0"/>
    <m/>
    <n v="0"/>
    <n v="2"/>
    <n v="395"/>
  </r>
  <r>
    <n v="396"/>
    <n v="10.199999999999999"/>
    <n v="11"/>
    <n v="0"/>
    <n v="0"/>
    <x v="2"/>
    <x v="4"/>
    <m/>
    <n v="0"/>
    <n v="0"/>
    <m/>
    <n v="0"/>
    <n v="3"/>
    <n v="396"/>
  </r>
  <r>
    <n v="397"/>
    <n v="14"/>
    <n v="23"/>
    <n v="0"/>
    <n v="0"/>
    <x v="2"/>
    <x v="4"/>
    <m/>
    <n v="0"/>
    <n v="0"/>
    <m/>
    <n v="0"/>
    <n v="4"/>
    <n v="397"/>
  </r>
  <r>
    <n v="398"/>
    <n v="17.100000000000001"/>
    <n v="29"/>
    <n v="0"/>
    <n v="0"/>
    <x v="2"/>
    <x v="5"/>
    <m/>
    <n v="0"/>
    <n v="0"/>
    <m/>
    <n v="0"/>
    <n v="5"/>
    <n v="398"/>
  </r>
  <r>
    <n v="399"/>
    <n v="18.7"/>
    <n v="0"/>
    <n v="0"/>
    <n v="0"/>
    <x v="0"/>
    <x v="0"/>
    <m/>
    <n v="1"/>
    <n v="1"/>
    <m/>
    <n v="0"/>
    <n v="6"/>
    <n v="399"/>
  </r>
  <r>
    <n v="400"/>
    <n v="18.8"/>
    <n v="5"/>
    <n v="0"/>
    <n v="0"/>
    <x v="1"/>
    <x v="1"/>
    <m/>
    <n v="0"/>
    <n v="0"/>
    <m/>
    <n v="0"/>
    <n v="7"/>
    <n v="400"/>
  </r>
  <r>
    <n v="401"/>
    <n v="17.7"/>
    <n v="2"/>
    <n v="0"/>
    <n v="0"/>
    <x v="1"/>
    <x v="1"/>
    <m/>
    <n v="0"/>
    <n v="0"/>
    <m/>
    <n v="0"/>
    <n v="0"/>
    <n v="401"/>
  </r>
  <r>
    <n v="402"/>
    <n v="16.100000000000001"/>
    <n v="2"/>
    <n v="0"/>
    <n v="0"/>
    <x v="1"/>
    <x v="1"/>
    <m/>
    <n v="0"/>
    <n v="0"/>
    <m/>
    <n v="0"/>
    <n v="0"/>
    <n v="402"/>
  </r>
  <r>
    <n v="403"/>
    <n v="14.9"/>
    <n v="7"/>
    <n v="0"/>
    <n v="0"/>
    <x v="1"/>
    <x v="2"/>
    <m/>
    <n v="0"/>
    <n v="0"/>
    <m/>
    <n v="0"/>
    <n v="0"/>
    <n v="403"/>
  </r>
  <r>
    <n v="404"/>
    <n v="14.9"/>
    <n v="2"/>
    <n v="0"/>
    <n v="0"/>
    <x v="1"/>
    <x v="2"/>
    <m/>
    <n v="0"/>
    <n v="0"/>
    <m/>
    <n v="0"/>
    <n v="0"/>
    <n v="404"/>
  </r>
  <r>
    <n v="405"/>
    <n v="16.3"/>
    <n v="3"/>
    <n v="0"/>
    <n v="0"/>
    <x v="1"/>
    <x v="2"/>
    <m/>
    <n v="0"/>
    <n v="0"/>
    <m/>
    <n v="0"/>
    <n v="1"/>
    <n v="405"/>
  </r>
  <r>
    <n v="406"/>
    <n v="19.100000000000001"/>
    <n v="14"/>
    <n v="0"/>
    <n v="0"/>
    <x v="1"/>
    <x v="3"/>
    <m/>
    <n v="0"/>
    <n v="0"/>
    <m/>
    <n v="0"/>
    <n v="2"/>
    <n v="406"/>
  </r>
  <r>
    <n v="407"/>
    <n v="22.7"/>
    <n v="12"/>
    <n v="0"/>
    <n v="0"/>
    <x v="1"/>
    <x v="3"/>
    <m/>
    <n v="0"/>
    <n v="0"/>
    <m/>
    <n v="0"/>
    <n v="3"/>
    <n v="407"/>
  </r>
  <r>
    <n v="408"/>
    <n v="26.1"/>
    <n v="9"/>
    <n v="0"/>
    <n v="0"/>
    <x v="1"/>
    <x v="3"/>
    <m/>
    <n v="0"/>
    <n v="0"/>
    <m/>
    <n v="0"/>
    <n v="4"/>
    <n v="408"/>
  </r>
  <r>
    <n v="409"/>
    <n v="28.6"/>
    <n v="14"/>
    <n v="0"/>
    <n v="0"/>
    <x v="1"/>
    <x v="4"/>
    <m/>
    <n v="0"/>
    <n v="0"/>
    <m/>
    <n v="0"/>
    <n v="5"/>
    <n v="409"/>
  </r>
  <r>
    <n v="410"/>
    <n v="29.5"/>
    <n v="17"/>
    <n v="0"/>
    <n v="0"/>
    <x v="1"/>
    <x v="4"/>
    <m/>
    <n v="0"/>
    <n v="0"/>
    <m/>
    <n v="0"/>
    <n v="6"/>
    <n v="410"/>
  </r>
  <r>
    <n v="411"/>
    <n v="28.6"/>
    <n v="9"/>
    <n v="0"/>
    <n v="0"/>
    <x v="1"/>
    <x v="4"/>
    <m/>
    <n v="0"/>
    <n v="0"/>
    <m/>
    <n v="0"/>
    <n v="0"/>
    <n v="411"/>
  </r>
  <r>
    <n v="412"/>
    <n v="26.4"/>
    <n v="28"/>
    <n v="0"/>
    <n v="0"/>
    <x v="1"/>
    <x v="5"/>
    <m/>
    <n v="0"/>
    <n v="0"/>
    <m/>
    <n v="0"/>
    <n v="0"/>
    <n v="412"/>
  </r>
  <r>
    <n v="413"/>
    <n v="23.6"/>
    <n v="0"/>
    <n v="0"/>
    <n v="0"/>
    <x v="0"/>
    <x v="0"/>
    <m/>
    <n v="1"/>
    <n v="1"/>
    <m/>
    <n v="1"/>
    <n v="0"/>
    <n v="413"/>
  </r>
  <r>
    <n v="414"/>
    <n v="21"/>
    <n v="1"/>
    <n v="0"/>
    <n v="0"/>
    <x v="1"/>
    <x v="1"/>
    <m/>
    <n v="0"/>
    <n v="0"/>
    <m/>
    <n v="1"/>
    <n v="0"/>
    <n v="414"/>
  </r>
  <r>
    <n v="415"/>
    <n v="19.600000000000001"/>
    <n v="6"/>
    <n v="0"/>
    <n v="0"/>
    <x v="1"/>
    <x v="1"/>
    <m/>
    <n v="0"/>
    <n v="0"/>
    <m/>
    <n v="0"/>
    <n v="0"/>
    <n v="415"/>
  </r>
  <r>
    <n v="416"/>
    <n v="19.5"/>
    <n v="4"/>
    <n v="0"/>
    <n v="0"/>
    <x v="1"/>
    <x v="1"/>
    <m/>
    <n v="0"/>
    <n v="0"/>
    <m/>
    <n v="0"/>
    <n v="0"/>
    <n v="416"/>
  </r>
  <r>
    <n v="417"/>
    <n v="20.7"/>
    <n v="10"/>
    <n v="0"/>
    <n v="0"/>
    <x v="1"/>
    <x v="2"/>
    <m/>
    <n v="0"/>
    <n v="0"/>
    <m/>
    <n v="0"/>
    <n v="1"/>
    <n v="417"/>
  </r>
  <r>
    <n v="418"/>
    <n v="22.7"/>
    <n v="4"/>
    <n v="0"/>
    <n v="0"/>
    <x v="1"/>
    <x v="2"/>
    <m/>
    <n v="0"/>
    <n v="0"/>
    <m/>
    <n v="1"/>
    <n v="2"/>
    <n v="418"/>
  </r>
  <r>
    <n v="419"/>
    <n v="24.5"/>
    <n v="5"/>
    <n v="0"/>
    <n v="0"/>
    <x v="1"/>
    <x v="2"/>
    <m/>
    <n v="0"/>
    <n v="0"/>
    <m/>
    <n v="1"/>
    <n v="3"/>
    <n v="419"/>
  </r>
  <r>
    <n v="420"/>
    <n v="25.4"/>
    <n v="8"/>
    <n v="0"/>
    <n v="0"/>
    <x v="1"/>
    <x v="3"/>
    <m/>
    <n v="0"/>
    <n v="0"/>
    <m/>
    <n v="0"/>
    <n v="4"/>
    <n v="420"/>
  </r>
  <r>
    <n v="421"/>
    <n v="24.8"/>
    <n v="12"/>
    <n v="0"/>
    <n v="0"/>
    <x v="1"/>
    <x v="3"/>
    <m/>
    <n v="0"/>
    <n v="0"/>
    <m/>
    <n v="0"/>
    <n v="0"/>
    <n v="421"/>
  </r>
  <r>
    <n v="422"/>
    <n v="22.5"/>
    <n v="8"/>
    <n v="0"/>
    <n v="0"/>
    <x v="1"/>
    <x v="3"/>
    <m/>
    <n v="0"/>
    <n v="0"/>
    <m/>
    <n v="0"/>
    <n v="0"/>
    <n v="422"/>
  </r>
  <r>
    <n v="423"/>
    <n v="18.899999999999999"/>
    <n v="7"/>
    <n v="0"/>
    <n v="0"/>
    <x v="1"/>
    <x v="4"/>
    <m/>
    <n v="0"/>
    <n v="0"/>
    <m/>
    <n v="0"/>
    <n v="0"/>
    <n v="423"/>
  </r>
  <r>
    <n v="424"/>
    <n v="14.8"/>
    <n v="8"/>
    <n v="0"/>
    <n v="0"/>
    <x v="1"/>
    <x v="4"/>
    <m/>
    <n v="0"/>
    <n v="0"/>
    <m/>
    <n v="0"/>
    <n v="0"/>
    <n v="424"/>
  </r>
  <r>
    <n v="425"/>
    <n v="11.2"/>
    <n v="7"/>
    <n v="0"/>
    <n v="0"/>
    <x v="1"/>
    <x v="4"/>
    <m/>
    <n v="0"/>
    <n v="0"/>
    <m/>
    <n v="0"/>
    <n v="0"/>
    <n v="425"/>
  </r>
  <r>
    <n v="426"/>
    <n v="8.8000000000000007"/>
    <n v="23"/>
    <n v="0"/>
    <n v="0"/>
    <x v="1"/>
    <x v="5"/>
    <m/>
    <n v="0"/>
    <n v="0"/>
    <m/>
    <n v="0"/>
    <n v="0"/>
    <n v="426"/>
  </r>
  <r>
    <n v="427"/>
    <n v="8"/>
    <n v="0"/>
    <n v="0"/>
    <n v="0"/>
    <x v="0"/>
    <x v="0"/>
    <m/>
    <n v="1"/>
    <n v="1"/>
    <m/>
    <n v="0"/>
    <n v="0"/>
    <n v="427"/>
  </r>
  <r>
    <n v="428"/>
    <n v="8.6"/>
    <n v="2"/>
    <n v="0"/>
    <n v="0"/>
    <x v="2"/>
    <x v="1"/>
    <m/>
    <n v="0"/>
    <n v="0"/>
    <m/>
    <n v="0"/>
    <n v="1"/>
    <n v="428"/>
  </r>
  <r>
    <n v="429"/>
    <n v="10.199999999999999"/>
    <n v="5"/>
    <n v="0"/>
    <n v="0"/>
    <x v="2"/>
    <x v="1"/>
    <m/>
    <n v="0"/>
    <n v="0"/>
    <m/>
    <n v="0"/>
    <n v="2"/>
    <n v="429"/>
  </r>
  <r>
    <n v="430"/>
    <n v="11.8"/>
    <n v="5"/>
    <n v="0"/>
    <n v="0"/>
    <x v="2"/>
    <x v="1"/>
    <m/>
    <n v="0"/>
    <n v="0"/>
    <m/>
    <n v="0"/>
    <n v="3"/>
    <n v="430"/>
  </r>
  <r>
    <n v="431"/>
    <n v="12.7"/>
    <n v="8"/>
    <n v="0"/>
    <n v="0"/>
    <x v="2"/>
    <x v="2"/>
    <m/>
    <n v="0"/>
    <n v="0"/>
    <m/>
    <n v="0"/>
    <n v="4"/>
    <n v="431"/>
  </r>
  <r>
    <n v="432"/>
    <n v="12.2"/>
    <n v="6"/>
    <n v="0"/>
    <n v="0"/>
    <x v="2"/>
    <x v="2"/>
    <m/>
    <n v="0"/>
    <n v="0"/>
    <m/>
    <n v="0"/>
    <n v="0"/>
    <n v="432"/>
  </r>
  <r>
    <n v="433"/>
    <n v="10.3"/>
    <n v="9"/>
    <n v="0"/>
    <n v="0"/>
    <x v="2"/>
    <x v="2"/>
    <m/>
    <n v="0"/>
    <n v="0"/>
    <m/>
    <n v="0"/>
    <n v="0"/>
    <n v="433"/>
  </r>
  <r>
    <n v="434"/>
    <n v="7.4"/>
    <n v="17"/>
    <n v="0"/>
    <n v="0"/>
    <x v="2"/>
    <x v="3"/>
    <m/>
    <n v="0"/>
    <n v="0"/>
    <m/>
    <n v="0"/>
    <n v="0"/>
    <n v="434"/>
  </r>
  <r>
    <n v="435"/>
    <n v="4.0999999999999996"/>
    <n v="17"/>
    <n v="0"/>
    <n v="0"/>
    <x v="2"/>
    <x v="3"/>
    <m/>
    <n v="0"/>
    <n v="0"/>
    <m/>
    <n v="0"/>
    <n v="0"/>
    <n v="435"/>
  </r>
  <r>
    <n v="436"/>
    <n v="1.4"/>
    <n v="7"/>
    <n v="0"/>
    <n v="0"/>
    <x v="2"/>
    <x v="3"/>
    <m/>
    <n v="0"/>
    <n v="0"/>
    <m/>
    <n v="0"/>
    <n v="0"/>
    <n v="436"/>
  </r>
  <r>
    <n v="437"/>
    <n v="0.1"/>
    <n v="24"/>
    <n v="0"/>
    <n v="0"/>
    <x v="2"/>
    <x v="4"/>
    <m/>
    <n v="0"/>
    <n v="0"/>
    <m/>
    <n v="0"/>
    <n v="0"/>
    <n v="437"/>
  </r>
  <r>
    <n v="438"/>
    <n v="0.5"/>
    <n v="16"/>
    <n v="0"/>
    <n v="0"/>
    <x v="2"/>
    <x v="4"/>
    <m/>
    <n v="0"/>
    <n v="0"/>
    <m/>
    <n v="0"/>
    <n v="1"/>
    <n v="438"/>
  </r>
  <r>
    <n v="439"/>
    <n v="2.5"/>
    <n v="2"/>
    <n v="0"/>
    <n v="0"/>
    <x v="2"/>
    <x v="4"/>
    <m/>
    <n v="0"/>
    <n v="0"/>
    <m/>
    <n v="0"/>
    <n v="2"/>
    <n v="439"/>
  </r>
  <r>
    <n v="440"/>
    <n v="5.5"/>
    <n v="17"/>
    <n v="0"/>
    <n v="0"/>
    <x v="2"/>
    <x v="5"/>
    <m/>
    <n v="0"/>
    <n v="0"/>
    <m/>
    <n v="0"/>
    <n v="3"/>
    <n v="440"/>
  </r>
  <r>
    <n v="441"/>
    <n v="8.6999999999999993"/>
    <n v="23"/>
    <n v="0"/>
    <n v="0"/>
    <x v="2"/>
    <x v="5"/>
    <m/>
    <n v="0"/>
    <n v="0"/>
    <m/>
    <n v="0"/>
    <n v="4"/>
    <n v="441"/>
  </r>
  <r>
    <n v="442"/>
    <n v="11.1"/>
    <n v="0"/>
    <n v="0"/>
    <n v="0"/>
    <x v="0"/>
    <x v="0"/>
    <m/>
    <n v="1"/>
    <n v="1"/>
    <m/>
    <n v="0"/>
    <n v="5"/>
    <n v="442"/>
  </r>
  <r>
    <n v="443"/>
    <n v="12.2"/>
    <n v="4"/>
    <n v="0"/>
    <n v="0"/>
    <x v="1"/>
    <x v="1"/>
    <m/>
    <n v="0"/>
    <n v="0"/>
    <m/>
    <n v="0"/>
    <n v="6"/>
    <n v="443"/>
  </r>
  <r>
    <n v="444"/>
    <n v="11.9"/>
    <n v="1"/>
    <n v="0"/>
    <n v="0"/>
    <x v="1"/>
    <x v="1"/>
    <m/>
    <n v="0"/>
    <n v="0"/>
    <m/>
    <n v="0"/>
    <n v="0"/>
    <n v="444"/>
  </r>
  <r>
    <n v="445"/>
    <n v="10.5"/>
    <n v="1"/>
    <n v="0"/>
    <n v="0"/>
    <x v="1"/>
    <x v="1"/>
    <m/>
    <n v="0"/>
    <n v="0"/>
    <m/>
    <n v="0"/>
    <n v="0"/>
    <n v="445"/>
  </r>
  <r>
    <n v="446"/>
    <n v="8.8000000000000007"/>
    <n v="6"/>
    <n v="0"/>
    <n v="0"/>
    <x v="1"/>
    <x v="2"/>
    <m/>
    <n v="0"/>
    <n v="0"/>
    <m/>
    <n v="0"/>
    <n v="0"/>
    <n v="446"/>
  </r>
  <r>
    <n v="447"/>
    <n v="7.5"/>
    <n v="10"/>
    <n v="0"/>
    <n v="0"/>
    <x v="1"/>
    <x v="2"/>
    <m/>
    <n v="0"/>
    <n v="0"/>
    <m/>
    <n v="0"/>
    <n v="0"/>
    <n v="447"/>
  </r>
  <r>
    <n v="448"/>
    <n v="7.6"/>
    <n v="10"/>
    <n v="0"/>
    <n v="0"/>
    <x v="1"/>
    <x v="2"/>
    <m/>
    <n v="0"/>
    <n v="0"/>
    <m/>
    <n v="0"/>
    <n v="1"/>
    <n v="448"/>
  </r>
  <r>
    <n v="449"/>
    <n v="9.1999999999999993"/>
    <n v="2"/>
    <n v="0"/>
    <n v="0"/>
    <x v="1"/>
    <x v="3"/>
    <m/>
    <n v="0"/>
    <n v="0"/>
    <m/>
    <n v="0"/>
    <n v="2"/>
    <n v="449"/>
  </r>
  <r>
    <n v="450"/>
    <n v="12.3"/>
    <n v="7"/>
    <n v="0"/>
    <n v="0"/>
    <x v="1"/>
    <x v="3"/>
    <m/>
    <n v="0"/>
    <n v="0"/>
    <m/>
    <n v="0"/>
    <n v="3"/>
    <n v="450"/>
  </r>
  <r>
    <n v="451"/>
    <n v="16.3"/>
    <n v="18"/>
    <n v="0"/>
    <n v="0"/>
    <x v="1"/>
    <x v="3"/>
    <m/>
    <n v="0"/>
    <n v="0"/>
    <m/>
    <n v="0"/>
    <n v="4"/>
    <n v="451"/>
  </r>
  <r>
    <n v="452"/>
    <n v="20.2"/>
    <n v="23"/>
    <n v="0"/>
    <n v="0"/>
    <x v="1"/>
    <x v="4"/>
    <m/>
    <n v="0"/>
    <n v="0"/>
    <m/>
    <n v="0"/>
    <n v="5"/>
    <n v="452"/>
  </r>
  <r>
    <n v="453"/>
    <n v="23.2"/>
    <n v="7"/>
    <n v="0"/>
    <n v="0"/>
    <x v="1"/>
    <x v="4"/>
    <m/>
    <n v="0"/>
    <n v="0"/>
    <m/>
    <n v="0"/>
    <n v="6"/>
    <n v="453"/>
  </r>
  <r>
    <n v="454"/>
    <n v="24.8"/>
    <n v="20"/>
    <n v="0"/>
    <n v="0"/>
    <x v="1"/>
    <x v="4"/>
    <m/>
    <n v="0"/>
    <n v="0"/>
    <m/>
    <n v="0"/>
    <n v="7"/>
    <n v="454"/>
  </r>
  <r>
    <n v="455"/>
    <n v="24.9"/>
    <n v="14"/>
    <n v="0"/>
    <n v="0"/>
    <x v="1"/>
    <x v="5"/>
    <m/>
    <n v="0"/>
    <n v="0"/>
    <m/>
    <n v="0"/>
    <n v="8"/>
    <n v="455"/>
  </r>
  <r>
    <n v="456"/>
    <n v="23.3"/>
    <n v="11"/>
    <n v="0"/>
    <n v="0"/>
    <x v="1"/>
    <x v="5"/>
    <m/>
    <n v="0"/>
    <n v="0"/>
    <m/>
    <n v="0"/>
    <n v="0"/>
    <n v="456"/>
  </r>
  <r>
    <n v="457"/>
    <n v="21.3"/>
    <n v="10"/>
    <n v="0"/>
    <n v="0"/>
    <x v="1"/>
    <x v="5"/>
    <m/>
    <n v="0"/>
    <n v="0"/>
    <m/>
    <n v="0"/>
    <n v="0"/>
    <n v="457"/>
  </r>
  <r>
    <n v="458"/>
    <n v="19.7"/>
    <n v="13"/>
    <n v="0"/>
    <n v="0"/>
    <x v="1"/>
    <x v="5"/>
    <m/>
    <n v="0"/>
    <n v="0"/>
    <m/>
    <n v="0"/>
    <n v="0"/>
    <n v="458"/>
  </r>
  <r>
    <n v="459"/>
    <n v="19.100000000000001"/>
    <n v="24"/>
    <n v="0"/>
    <n v="0"/>
    <x v="1"/>
    <x v="5"/>
    <m/>
    <n v="0"/>
    <n v="0"/>
    <m/>
    <n v="0"/>
    <n v="0"/>
    <n v="459"/>
  </r>
  <r>
    <n v="460"/>
    <n v="20"/>
    <n v="0"/>
    <n v="0"/>
    <n v="0"/>
    <x v="0"/>
    <x v="0"/>
    <m/>
    <n v="1"/>
    <n v="1"/>
    <m/>
    <n v="1"/>
    <n v="1"/>
    <n v="460"/>
  </r>
  <r>
    <n v="461"/>
    <n v="22.1"/>
    <n v="1"/>
    <n v="0"/>
    <n v="0"/>
    <x v="1"/>
    <x v="1"/>
    <m/>
    <n v="0"/>
    <n v="0"/>
    <m/>
    <n v="1"/>
    <n v="2"/>
    <n v="461"/>
  </r>
  <r>
    <n v="462"/>
    <n v="25"/>
    <n v="4"/>
    <n v="0"/>
    <n v="0"/>
    <x v="1"/>
    <x v="1"/>
    <m/>
    <n v="0"/>
    <n v="0"/>
    <m/>
    <n v="1"/>
    <n v="3"/>
    <n v="462"/>
  </r>
  <r>
    <n v="463"/>
    <n v="27.7"/>
    <n v="1"/>
    <n v="0"/>
    <n v="0"/>
    <x v="1"/>
    <x v="1"/>
    <m/>
    <n v="0"/>
    <n v="0"/>
    <m/>
    <n v="1"/>
    <n v="4"/>
    <n v="463"/>
  </r>
  <r>
    <n v="464"/>
    <n v="29.4"/>
    <n v="12"/>
    <n v="0"/>
    <n v="0"/>
    <x v="1"/>
    <x v="2"/>
    <m/>
    <n v="0"/>
    <n v="0"/>
    <m/>
    <n v="0"/>
    <n v="5"/>
    <n v="464"/>
  </r>
  <r>
    <n v="465"/>
    <n v="29.5"/>
    <n v="12"/>
    <n v="0"/>
    <n v="0"/>
    <x v="1"/>
    <x v="2"/>
    <m/>
    <n v="0"/>
    <n v="0"/>
    <m/>
    <n v="0"/>
    <n v="6"/>
    <n v="465"/>
  </r>
  <r>
    <n v="466"/>
    <n v="27.8"/>
    <n v="8"/>
    <n v="0"/>
    <n v="0"/>
    <x v="1"/>
    <x v="2"/>
    <m/>
    <n v="0"/>
    <n v="0"/>
    <m/>
    <n v="0"/>
    <n v="0"/>
    <n v="466"/>
  </r>
  <r>
    <n v="467"/>
    <n v="24.9"/>
    <n v="13"/>
    <n v="0"/>
    <n v="0"/>
    <x v="1"/>
    <x v="3"/>
    <m/>
    <n v="0"/>
    <n v="0"/>
    <m/>
    <n v="0"/>
    <n v="0"/>
    <n v="467"/>
  </r>
  <r>
    <n v="468"/>
    <n v="21.3"/>
    <n v="18"/>
    <n v="0"/>
    <n v="0"/>
    <x v="1"/>
    <x v="3"/>
    <m/>
    <n v="0"/>
    <n v="0"/>
    <m/>
    <n v="0"/>
    <n v="0"/>
    <n v="468"/>
  </r>
  <r>
    <n v="469"/>
    <n v="18.100000000000001"/>
    <n v="15"/>
    <n v="0"/>
    <n v="0"/>
    <x v="1"/>
    <x v="3"/>
    <m/>
    <n v="0"/>
    <n v="0"/>
    <m/>
    <n v="0"/>
    <n v="0"/>
    <n v="469"/>
  </r>
  <r>
    <n v="470"/>
    <n v="15.9"/>
    <n v="10"/>
    <n v="0"/>
    <n v="0"/>
    <x v="1"/>
    <x v="4"/>
    <m/>
    <n v="0"/>
    <n v="0"/>
    <m/>
    <n v="0"/>
    <n v="0"/>
    <n v="470"/>
  </r>
  <r>
    <n v="471"/>
    <n v="15.3"/>
    <n v="7"/>
    <n v="0"/>
    <n v="0"/>
    <x v="1"/>
    <x v="4"/>
    <m/>
    <n v="0"/>
    <n v="0"/>
    <m/>
    <n v="0"/>
    <n v="0"/>
    <n v="471"/>
  </r>
  <r>
    <n v="472"/>
    <n v="16"/>
    <n v="5"/>
    <n v="0"/>
    <n v="0"/>
    <x v="1"/>
    <x v="4"/>
    <m/>
    <n v="0"/>
    <n v="0"/>
    <m/>
    <n v="0"/>
    <n v="1"/>
    <n v="472"/>
  </r>
  <r>
    <n v="473"/>
    <n v="17.5"/>
    <n v="26"/>
    <n v="0"/>
    <n v="0"/>
    <x v="1"/>
    <x v="5"/>
    <m/>
    <n v="0"/>
    <n v="0"/>
    <m/>
    <n v="0"/>
    <n v="2"/>
    <n v="473"/>
  </r>
  <r>
    <n v="474"/>
    <n v="19"/>
    <n v="0"/>
    <n v="0"/>
    <n v="0"/>
    <x v="0"/>
    <x v="0"/>
    <m/>
    <n v="1"/>
    <n v="1"/>
    <m/>
    <n v="0"/>
    <n v="3"/>
    <n v="474"/>
  </r>
  <r>
    <n v="475"/>
    <n v="19.5"/>
    <n v="2"/>
    <n v="0"/>
    <n v="0"/>
    <x v="1"/>
    <x v="1"/>
    <m/>
    <n v="0"/>
    <n v="0"/>
    <m/>
    <n v="0"/>
    <n v="4"/>
    <n v="475"/>
  </r>
  <r>
    <n v="476"/>
    <n v="18.7"/>
    <n v="6"/>
    <n v="0"/>
    <n v="0"/>
    <x v="1"/>
    <x v="1"/>
    <m/>
    <n v="0"/>
    <n v="0"/>
    <m/>
    <n v="0"/>
    <n v="0"/>
    <n v="476"/>
  </r>
  <r>
    <n v="477"/>
    <n v="16.3"/>
    <n v="5"/>
    <n v="0"/>
    <n v="0"/>
    <x v="1"/>
    <x v="1"/>
    <m/>
    <n v="0"/>
    <n v="0"/>
    <m/>
    <n v="0"/>
    <n v="0"/>
    <n v="477"/>
  </r>
  <r>
    <n v="478"/>
    <n v="12.7"/>
    <n v="6"/>
    <n v="0"/>
    <n v="0"/>
    <x v="1"/>
    <x v="2"/>
    <m/>
    <n v="0"/>
    <n v="0"/>
    <m/>
    <n v="0"/>
    <n v="0"/>
    <n v="478"/>
  </r>
  <r>
    <n v="479"/>
    <n v="8.8000000000000007"/>
    <n v="7"/>
    <n v="0"/>
    <n v="0"/>
    <x v="1"/>
    <x v="2"/>
    <m/>
    <n v="0"/>
    <n v="0"/>
    <m/>
    <n v="0"/>
    <n v="0"/>
    <n v="479"/>
  </r>
  <r>
    <n v="480"/>
    <n v="5.3"/>
    <n v="2"/>
    <n v="0"/>
    <n v="0"/>
    <x v="1"/>
    <x v="2"/>
    <m/>
    <n v="0"/>
    <n v="0"/>
    <m/>
    <n v="0"/>
    <n v="0"/>
    <n v="480"/>
  </r>
  <r>
    <n v="481"/>
    <n v="3.2"/>
    <n v="7"/>
    <n v="0"/>
    <n v="0"/>
    <x v="1"/>
    <x v="3"/>
    <m/>
    <n v="0"/>
    <n v="0"/>
    <m/>
    <n v="0"/>
    <n v="0"/>
    <n v="481"/>
  </r>
  <r>
    <n v="482"/>
    <n v="2.7"/>
    <n v="7"/>
    <n v="0"/>
    <n v="0"/>
    <x v="1"/>
    <x v="3"/>
    <m/>
    <n v="0"/>
    <n v="0"/>
    <m/>
    <n v="0"/>
    <n v="0"/>
    <n v="482"/>
  </r>
  <r>
    <n v="483"/>
    <n v="3.9"/>
    <n v="8"/>
    <n v="0"/>
    <n v="0"/>
    <x v="1"/>
    <x v="3"/>
    <m/>
    <n v="0"/>
    <n v="0"/>
    <m/>
    <n v="0"/>
    <n v="1"/>
    <n v="483"/>
  </r>
  <r>
    <n v="484"/>
    <n v="6"/>
    <n v="18"/>
    <n v="0"/>
    <n v="0"/>
    <x v="1"/>
    <x v="4"/>
    <m/>
    <n v="0"/>
    <n v="0"/>
    <m/>
    <n v="0"/>
    <n v="2"/>
    <n v="484"/>
  </r>
  <r>
    <n v="485"/>
    <n v="8.1999999999999993"/>
    <n v="23"/>
    <n v="0"/>
    <n v="0"/>
    <x v="1"/>
    <x v="4"/>
    <m/>
    <n v="0"/>
    <n v="0"/>
    <m/>
    <n v="0"/>
    <n v="3"/>
    <n v="485"/>
  </r>
  <r>
    <n v="486"/>
    <n v="9.6999999999999993"/>
    <n v="23"/>
    <n v="0"/>
    <n v="0"/>
    <x v="1"/>
    <x v="4"/>
    <m/>
    <n v="0"/>
    <n v="0"/>
    <m/>
    <n v="0"/>
    <n v="4"/>
    <n v="486"/>
  </r>
  <r>
    <n v="487"/>
    <n v="10"/>
    <n v="11"/>
    <n v="0"/>
    <n v="0"/>
    <x v="1"/>
    <x v="5"/>
    <m/>
    <n v="0"/>
    <n v="0"/>
    <m/>
    <n v="0"/>
    <n v="5"/>
    <n v="487"/>
  </r>
  <r>
    <n v="488"/>
    <n v="8.8000000000000007"/>
    <n v="16"/>
    <n v="0"/>
    <n v="0"/>
    <x v="1"/>
    <x v="5"/>
    <m/>
    <n v="0"/>
    <n v="0"/>
    <m/>
    <n v="0"/>
    <n v="0"/>
    <n v="488"/>
  </r>
  <r>
    <n v="489"/>
    <n v="6.6"/>
    <n v="22"/>
    <n v="0"/>
    <n v="0"/>
    <x v="1"/>
    <x v="5"/>
    <m/>
    <n v="0"/>
    <n v="0"/>
    <m/>
    <n v="0"/>
    <n v="0"/>
    <n v="489"/>
  </r>
  <r>
    <n v="490"/>
    <n v="4.0999999999999996"/>
    <n v="0"/>
    <n v="0"/>
    <n v="0"/>
    <x v="0"/>
    <x v="0"/>
    <m/>
    <n v="1"/>
    <n v="1"/>
    <m/>
    <n v="0"/>
    <n v="0"/>
    <n v="490"/>
  </r>
  <r>
    <n v="491"/>
    <n v="2.2000000000000002"/>
    <n v="1"/>
    <n v="0"/>
    <n v="0"/>
    <x v="2"/>
    <x v="1"/>
    <m/>
    <n v="0"/>
    <n v="0"/>
    <m/>
    <n v="0"/>
    <n v="0"/>
    <n v="491"/>
  </r>
  <r>
    <n v="492"/>
    <n v="1.6"/>
    <n v="4"/>
    <n v="0"/>
    <n v="0"/>
    <x v="2"/>
    <x v="1"/>
    <m/>
    <n v="0"/>
    <n v="0"/>
    <m/>
    <n v="0"/>
    <n v="0"/>
    <n v="492"/>
  </r>
  <r>
    <n v="493"/>
    <n v="2.7"/>
    <n v="1"/>
    <n v="0"/>
    <n v="0"/>
    <x v="2"/>
    <x v="1"/>
    <m/>
    <n v="0"/>
    <n v="0"/>
    <m/>
    <n v="0"/>
    <n v="1"/>
    <n v="493"/>
  </r>
  <r>
    <n v="494"/>
    <n v="5.4"/>
    <n v="9"/>
    <n v="0"/>
    <n v="0"/>
    <x v="2"/>
    <x v="2"/>
    <m/>
    <n v="0"/>
    <n v="0"/>
    <m/>
    <n v="0"/>
    <n v="2"/>
    <n v="494"/>
  </r>
  <r>
    <n v="495"/>
    <n v="9.1"/>
    <n v="11"/>
    <n v="0"/>
    <n v="0"/>
    <x v="2"/>
    <x v="2"/>
    <m/>
    <n v="0"/>
    <n v="0"/>
    <m/>
    <n v="0"/>
    <n v="3"/>
    <n v="495"/>
  </r>
  <r>
    <n v="496"/>
    <n v="12.9"/>
    <n v="8"/>
    <n v="0"/>
    <n v="0"/>
    <x v="2"/>
    <x v="2"/>
    <m/>
    <n v="0"/>
    <n v="0"/>
    <m/>
    <n v="0"/>
    <n v="4"/>
    <n v="496"/>
  </r>
  <r>
    <n v="497"/>
    <n v="15.9"/>
    <n v="16"/>
    <n v="0"/>
    <n v="0"/>
    <x v="2"/>
    <x v="3"/>
    <m/>
    <n v="0"/>
    <n v="0"/>
    <m/>
    <n v="0"/>
    <n v="5"/>
    <n v="497"/>
  </r>
  <r>
    <n v="498"/>
    <n v="17.5"/>
    <n v="15"/>
    <n v="0"/>
    <n v="0"/>
    <x v="2"/>
    <x v="3"/>
    <m/>
    <n v="0"/>
    <n v="0"/>
    <m/>
    <n v="0"/>
    <n v="6"/>
    <n v="498"/>
  </r>
  <r>
    <n v="499"/>
    <n v="17.5"/>
    <n v="8"/>
    <n v="0"/>
    <n v="0"/>
    <x v="2"/>
    <x v="3"/>
    <m/>
    <n v="0"/>
    <n v="0"/>
    <m/>
    <n v="0"/>
    <n v="0"/>
    <n v="499"/>
  </r>
  <r>
    <n v="500"/>
    <n v="16.399999999999999"/>
    <n v="14"/>
    <n v="0"/>
    <n v="0"/>
    <x v="2"/>
    <x v="4"/>
    <m/>
    <n v="0"/>
    <n v="0"/>
    <m/>
    <n v="0"/>
    <n v="0"/>
    <n v="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474850-BAA9-4B2D-96FF-7885C42A72A3}" name="Tabela przestawna2" cacheId="8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 chartFormat="2" rowHeaderCaption="rodzaj chmur">
  <location ref="A3:B16" firstHeaderRow="1" firstDataRow="1" firstDataCol="1"/>
  <pivotFields count="7">
    <pivotField showAll="0"/>
    <pivotField showAll="0"/>
    <pivotField dataField="1" showAll="0"/>
    <pivotField axis="axisRow" showAll="0">
      <items count="4">
        <item h="1" x="0"/>
        <item x="1"/>
        <item x="2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</pivotFields>
  <rowFields count="2">
    <field x="3"/>
    <field x="4"/>
  </rowFields>
  <rowItems count="13">
    <i>
      <x v="1"/>
    </i>
    <i r="1">
      <x v="1"/>
    </i>
    <i r="1">
      <x v="2"/>
    </i>
    <i r="1">
      <x v="3"/>
    </i>
    <i r="1">
      <x v="4"/>
    </i>
    <i r="1">
      <x v="5"/>
    </i>
    <i>
      <x v="2"/>
    </i>
    <i r="1">
      <x v="1"/>
    </i>
    <i r="1">
      <x v="2"/>
    </i>
    <i r="1">
      <x v="3"/>
    </i>
    <i r="1">
      <x v="4"/>
    </i>
    <i r="1">
      <x v="5"/>
    </i>
    <i t="grand">
      <x/>
    </i>
  </rowItems>
  <colItems count="1">
    <i/>
  </colItems>
  <dataFields count="1">
    <dataField name="Średnia opadów" fld="2" subtotal="average" baseField="3" baseItem="1" numFmtId="2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9C6FAD-7270-4717-8723-AAF515DD2EC8}" name="Tabela przestawna3" cacheId="12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>
  <location ref="A3:B10" firstHeaderRow="1" firstDataRow="1" firstDataCol="1"/>
  <pivotFields count="14">
    <pivotField dataField="1"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Liczba z Dzien" fld="0" subtotal="count" baseField="0" baseItem="5697476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2" connectionId="2" xr16:uid="{697ECD7D-1A18-4384-967E-A2A9D9E166EF}" autoFormatId="16" applyNumberFormats="0" applyBorderFormats="0" applyFontFormats="0" applyPatternFormats="0" applyAlignmentFormats="0" applyWidthHeightFormats="0">
  <queryTableRefresh nextId="23" unboundColumnsRight="9">
    <queryTableFields count="14">
      <queryTableField id="1" name="Dzien" tableColumnId="1"/>
      <queryTableField id="2" name="Temperatura" tableColumnId="2"/>
      <queryTableField id="3" name="Opad" tableColumnId="3"/>
      <queryTableField id="4" name="Kategoria_chmur" tableColumnId="4"/>
      <queryTableField id="5" name="Wielkosc_chmur" tableColumnId="5"/>
      <queryTableField id="8" dataBound="0" tableColumnId="8"/>
      <queryTableField id="9" dataBound="0" tableColumnId="9"/>
      <queryTableField id="20" dataBound="0" tableColumnId="18"/>
      <queryTableField id="16" dataBound="0" tableColumnId="16"/>
      <queryTableField id="17" dataBound="0" tableColumnId="17"/>
      <queryTableField id="21" dataBound="0" tableColumnId="19"/>
      <queryTableField id="6" dataBound="0" tableColumnId="6"/>
      <queryTableField id="7" dataBound="0" tableColumnId="7"/>
      <queryTableField id="22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D8ACE6-9CFD-473F-A211-538E2AC30A22}" name="pogoda__2" displayName="pogoda__2" ref="A1:N501" tableType="queryTable" totalsRowShown="0">
  <autoFilter ref="A1:N501" xr:uid="{B6D8ACE6-9CFD-473F-A211-538E2AC30A22}"/>
  <tableColumns count="14">
    <tableColumn id="1" xr3:uid="{A4482EE4-E1B6-443B-9654-9708088163F9}" uniqueName="1" name="Dzien" queryTableFieldId="1"/>
    <tableColumn id="2" xr3:uid="{13BEBC39-7B08-4DCE-A80A-2D461A962379}" uniqueName="2" name="Temperatura" queryTableFieldId="2"/>
    <tableColumn id="3" xr3:uid="{0C77F10C-7E32-4AB2-9553-C2009087CC20}" uniqueName="3" name="Opad" queryTableFieldId="3"/>
    <tableColumn id="4" xr3:uid="{FD59FF63-4236-4904-9BFA-B36EDD4C94FD}" uniqueName="4" name="Kategoria_chmur" queryTableFieldId="4" dataDxfId="3"/>
    <tableColumn id="5" xr3:uid="{4CF70C66-E66F-4814-8871-C71BB99F6A7A}" uniqueName="5" name="Wielkosc_chmur" queryTableFieldId="5"/>
    <tableColumn id="8" xr3:uid="{C6F8B7DB-7ED6-4C86-A708-64D07D692A57}" uniqueName="8" name="nubis K" queryTableFieldId="8" dataDxfId="4"/>
    <tableColumn id="9" xr3:uid="{5954BAAD-BBF3-47F6-AE44-E9FF5E35A27B}" uniqueName="9" name="nubis W" queryTableFieldId="9"/>
    <tableColumn id="18" xr3:uid="{D911376F-DBB2-46DD-8AEE-11EF3E427B2C}" uniqueName="18" name="Kolumna1" queryTableFieldId="20"/>
    <tableColumn id="16" xr3:uid="{92BE19D9-A4F2-4B00-82BD-02A8252EF3E1}" uniqueName="16" name="K" queryTableFieldId="16" dataDxfId="5">
      <calculatedColumnFormula>IF(pogoda__2[[#This Row],[Kategoria_chmur]]=pogoda__2[[#This Row],[nubis K]],1,0)</calculatedColumnFormula>
    </tableColumn>
    <tableColumn id="17" xr3:uid="{BBD804E8-F951-4A3A-A69F-40F95B9398A1}" uniqueName="17" name="W" queryTableFieldId="17"/>
    <tableColumn id="19" xr3:uid="{4B0AECC5-1C60-4041-A24C-3F7BFA1D6879}" uniqueName="19" name="Kolumna2" queryTableFieldId="21"/>
    <tableColumn id="6" xr3:uid="{214EBC41-279D-4F23-BCF6-932CB608F1D5}" uniqueName="6" name="a" queryTableFieldId="6" dataDxfId="2">
      <calculatedColumnFormula>IF(AND(pogoda__2[[#This Row],[Temperatura]]&gt;=20,pogoda__2[[#This Row],[Opad]]&lt;=5),1,0)</calculatedColumnFormula>
    </tableColumn>
    <tableColumn id="7" xr3:uid="{AA612AC2-213B-4E4F-9B10-0119C9E3BDB0}" uniqueName="7" name="b" queryTableFieldId="7"/>
    <tableColumn id="20" xr3:uid="{7E551721-1ED1-41D1-80F1-860B2A087B24}" uniqueName="20" name="Kolumna3" queryTableFieldId="2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CA87E-B16B-4EF8-90A9-0D3141A2C3C3}">
  <sheetPr codeName="Arkusz4"/>
  <dimension ref="A3:L16"/>
  <sheetViews>
    <sheetView workbookViewId="0">
      <selection activeCell="L14" sqref="L14"/>
    </sheetView>
  </sheetViews>
  <sheetFormatPr defaultRowHeight="14.4" x14ac:dyDescent="0.3"/>
  <cols>
    <col min="1" max="1" width="14.33203125" bestFit="1" customWidth="1"/>
    <col min="2" max="2" width="13.88671875" style="5" bestFit="1" customWidth="1"/>
    <col min="3" max="3" width="12" bestFit="1" customWidth="1"/>
  </cols>
  <sheetData>
    <row r="3" spans="1:12" x14ac:dyDescent="0.3">
      <c r="A3" s="2" t="s">
        <v>12</v>
      </c>
      <c r="B3" s="5" t="s">
        <v>13</v>
      </c>
    </row>
    <row r="4" spans="1:12" x14ac:dyDescent="0.3">
      <c r="A4" s="3" t="s">
        <v>5</v>
      </c>
      <c r="B4" s="5">
        <v>9.3922651933701662</v>
      </c>
    </row>
    <row r="5" spans="1:12" x14ac:dyDescent="0.3">
      <c r="A5" s="4">
        <v>1</v>
      </c>
      <c r="B5" s="5">
        <v>3.45</v>
      </c>
    </row>
    <row r="6" spans="1:12" x14ac:dyDescent="0.3">
      <c r="A6" s="4">
        <v>2</v>
      </c>
      <c r="B6" s="5">
        <v>7.2820512820512819</v>
      </c>
    </row>
    <row r="7" spans="1:12" x14ac:dyDescent="0.3">
      <c r="A7" s="4">
        <v>3</v>
      </c>
      <c r="B7" s="5">
        <v>9.0512820512820511</v>
      </c>
    </row>
    <row r="8" spans="1:12" x14ac:dyDescent="0.3">
      <c r="A8" s="4">
        <v>4</v>
      </c>
      <c r="B8" s="5">
        <v>11.578947368421053</v>
      </c>
    </row>
    <row r="9" spans="1:12" x14ac:dyDescent="0.3">
      <c r="A9" s="4">
        <v>5</v>
      </c>
      <c r="B9" s="5">
        <v>19.399999999999999</v>
      </c>
    </row>
    <row r="10" spans="1:12" x14ac:dyDescent="0.3">
      <c r="A10" s="3" t="s">
        <v>6</v>
      </c>
      <c r="B10" s="5">
        <v>10.306122448979592</v>
      </c>
    </row>
    <row r="11" spans="1:12" x14ac:dyDescent="0.3">
      <c r="A11" s="4">
        <v>1</v>
      </c>
      <c r="B11" s="5">
        <v>3.7272727272727271</v>
      </c>
    </row>
    <row r="12" spans="1:12" x14ac:dyDescent="0.3">
      <c r="A12" s="4">
        <v>2</v>
      </c>
      <c r="B12" s="5">
        <v>6.5238095238095237</v>
      </c>
    </row>
    <row r="13" spans="1:12" x14ac:dyDescent="0.3">
      <c r="A13" s="4">
        <v>3</v>
      </c>
      <c r="B13" s="5">
        <v>10.285714285714286</v>
      </c>
    </row>
    <row r="14" spans="1:12" x14ac:dyDescent="0.3">
      <c r="A14" s="4">
        <v>4</v>
      </c>
      <c r="B14" s="5">
        <v>15</v>
      </c>
      <c r="L14" t="s">
        <v>23</v>
      </c>
    </row>
    <row r="15" spans="1:12" x14ac:dyDescent="0.3">
      <c r="A15" s="4">
        <v>5</v>
      </c>
      <c r="B15" s="5">
        <v>19.642857142857142</v>
      </c>
    </row>
    <row r="16" spans="1:12" x14ac:dyDescent="0.3">
      <c r="A16" s="3" t="s">
        <v>11</v>
      </c>
      <c r="B16" s="5">
        <v>9.7132616487455206</v>
      </c>
    </row>
  </sheetData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F9482-A95D-415A-B608-93546063E4C0}">
  <sheetPr codeName="Arkusz6"/>
  <dimension ref="A3:D10"/>
  <sheetViews>
    <sheetView workbookViewId="0">
      <selection activeCell="D6" sqref="D6"/>
    </sheetView>
  </sheetViews>
  <sheetFormatPr defaultRowHeight="14.4" x14ac:dyDescent="0.3"/>
  <cols>
    <col min="1" max="1" width="17.21875" bestFit="1" customWidth="1"/>
    <col min="2" max="2" width="12.77734375" bestFit="1" customWidth="1"/>
    <col min="3" max="3" width="14.5546875" bestFit="1" customWidth="1"/>
  </cols>
  <sheetData>
    <row r="3" spans="1:4" x14ac:dyDescent="0.3">
      <c r="A3" s="2" t="s">
        <v>10</v>
      </c>
      <c r="B3" t="s">
        <v>22</v>
      </c>
    </row>
    <row r="4" spans="1:4" x14ac:dyDescent="0.3">
      <c r="A4" s="3">
        <v>0</v>
      </c>
      <c r="B4" s="1">
        <v>34</v>
      </c>
    </row>
    <row r="5" spans="1:4" x14ac:dyDescent="0.3">
      <c r="A5" s="3">
        <v>1</v>
      </c>
      <c r="B5" s="1">
        <v>102</v>
      </c>
    </row>
    <row r="6" spans="1:4" x14ac:dyDescent="0.3">
      <c r="A6" s="3">
        <v>2</v>
      </c>
      <c r="B6" s="1">
        <v>102</v>
      </c>
      <c r="D6" t="s">
        <v>23</v>
      </c>
    </row>
    <row r="7" spans="1:4" x14ac:dyDescent="0.3">
      <c r="A7" s="3">
        <v>3</v>
      </c>
      <c r="B7" s="1">
        <v>102</v>
      </c>
    </row>
    <row r="8" spans="1:4" x14ac:dyDescent="0.3">
      <c r="A8" s="3">
        <v>4</v>
      </c>
      <c r="B8" s="1">
        <v>100</v>
      </c>
    </row>
    <row r="9" spans="1:4" x14ac:dyDescent="0.3">
      <c r="A9" s="3">
        <v>5</v>
      </c>
      <c r="B9" s="1">
        <v>60</v>
      </c>
    </row>
    <row r="10" spans="1:4" x14ac:dyDescent="0.3">
      <c r="A10" s="3" t="s">
        <v>11</v>
      </c>
      <c r="B10" s="1">
        <v>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8EB28-EF1E-4038-B54D-234E8CFE3F0A}">
  <sheetPr codeName="Arkusz5"/>
  <dimension ref="A1:R1005"/>
  <sheetViews>
    <sheetView tabSelected="1" workbookViewId="0">
      <selection activeCell="Q13" sqref="Q13"/>
    </sheetView>
  </sheetViews>
  <sheetFormatPr defaultRowHeight="14.4" x14ac:dyDescent="0.3"/>
  <cols>
    <col min="1" max="1" width="8" bestFit="1" customWidth="1"/>
    <col min="2" max="2" width="15.109375" customWidth="1"/>
    <col min="3" max="3" width="7.77734375" bestFit="1" customWidth="1"/>
    <col min="4" max="4" width="5.33203125" style="6" customWidth="1"/>
    <col min="5" max="5" width="6.88671875" customWidth="1"/>
    <col min="6" max="6" width="8.44140625" customWidth="1"/>
    <col min="7" max="7" width="5" customWidth="1"/>
    <col min="8" max="8" width="7.33203125" customWidth="1"/>
    <col min="9" max="9" width="7.109375" style="6" customWidth="1"/>
    <col min="10" max="10" width="4.44140625" customWidth="1"/>
    <col min="11" max="11" width="2.6640625" customWidth="1"/>
    <col min="12" max="12" width="3.88671875" customWidth="1"/>
    <col min="13" max="14" width="6.21875" customWidth="1"/>
    <col min="16" max="16" width="16.21875" customWidth="1"/>
  </cols>
  <sheetData>
    <row r="1" spans="1:18" x14ac:dyDescent="0.3">
      <c r="A1" t="s">
        <v>0</v>
      </c>
      <c r="B1" t="s">
        <v>1</v>
      </c>
      <c r="C1" t="s">
        <v>2</v>
      </c>
      <c r="D1" s="6" t="s">
        <v>3</v>
      </c>
      <c r="E1" t="s">
        <v>4</v>
      </c>
      <c r="F1" s="6" t="s">
        <v>14</v>
      </c>
      <c r="G1" t="s">
        <v>15</v>
      </c>
      <c r="H1" t="s">
        <v>16</v>
      </c>
      <c r="I1" t="s">
        <v>19</v>
      </c>
      <c r="J1" t="s">
        <v>20</v>
      </c>
      <c r="K1" t="s">
        <v>17</v>
      </c>
      <c r="L1" t="s">
        <v>7</v>
      </c>
      <c r="M1" t="s">
        <v>8</v>
      </c>
      <c r="N1" t="s">
        <v>18</v>
      </c>
    </row>
    <row r="2" spans="1:18" x14ac:dyDescent="0.3">
      <c r="A2">
        <v>1</v>
      </c>
      <c r="B2">
        <v>19</v>
      </c>
      <c r="C2">
        <v>0</v>
      </c>
      <c r="D2" s="6">
        <v>0</v>
      </c>
      <c r="E2">
        <v>0</v>
      </c>
      <c r="F2" s="6">
        <v>0</v>
      </c>
      <c r="G2">
        <v>0</v>
      </c>
      <c r="I2">
        <f>IF(pogoda__2[[#This Row],[Kategoria_chmur]]=pogoda__2[[#This Row],[nubis K]],1,0)</f>
        <v>1</v>
      </c>
      <c r="J2">
        <f>IF(pogoda__2[[#This Row],[Wielkosc_chmur]]=pogoda__2[[#This Row],[nubis W]],1,0)</f>
        <v>1</v>
      </c>
      <c r="L2">
        <f>IF(AND(pogoda__2[[#This Row],[Temperatura]]&gt;=20,pogoda__2[[#This Row],[Opad]]&lt;=5),1,0)</f>
        <v>0</v>
      </c>
      <c r="M2">
        <v>0</v>
      </c>
      <c r="O2" t="s">
        <v>7</v>
      </c>
      <c r="P2">
        <f>COUNTIF(L:L,1)</f>
        <v>63</v>
      </c>
      <c r="R2" t="s">
        <v>23</v>
      </c>
    </row>
    <row r="3" spans="1:18" x14ac:dyDescent="0.3">
      <c r="A3">
        <v>2</v>
      </c>
      <c r="B3">
        <v>22</v>
      </c>
      <c r="C3">
        <v>1</v>
      </c>
      <c r="D3" s="6" t="s">
        <v>5</v>
      </c>
      <c r="E3">
        <v>1</v>
      </c>
      <c r="F3" s="6" t="s">
        <v>5</v>
      </c>
      <c r="G3">
        <v>1</v>
      </c>
      <c r="I3">
        <f>IF(pogoda__2[[#This Row],[Kategoria_chmur]]=pogoda__2[[#This Row],[nubis K]],1,0)</f>
        <v>1</v>
      </c>
      <c r="J3">
        <f>IF(pogoda__2[[#This Row],[Wielkosc_chmur]]=pogoda__2[[#This Row],[nubis W]],1,0)</f>
        <v>1</v>
      </c>
      <c r="L3">
        <f>IF(AND(pogoda__2[[#This Row],[Temperatura]]&gt;=20,pogoda__2[[#This Row],[Opad]]&lt;=5),1,0)</f>
        <v>1</v>
      </c>
      <c r="M3">
        <v>1</v>
      </c>
      <c r="O3" t="s">
        <v>8</v>
      </c>
      <c r="P3" t="s">
        <v>9</v>
      </c>
      <c r="Q3">
        <f>MAX(M:M)</f>
        <v>8</v>
      </c>
      <c r="R3" t="s">
        <v>23</v>
      </c>
    </row>
    <row r="4" spans="1:18" x14ac:dyDescent="0.3">
      <c r="A4">
        <v>3</v>
      </c>
      <c r="B4">
        <v>23.6</v>
      </c>
      <c r="C4">
        <v>4</v>
      </c>
      <c r="D4" s="6" t="s">
        <v>5</v>
      </c>
      <c r="E4">
        <v>1</v>
      </c>
      <c r="F4" s="6" t="s">
        <v>5</v>
      </c>
      <c r="G4">
        <v>1</v>
      </c>
      <c r="I4">
        <f>IF(pogoda__2[[#This Row],[Kategoria_chmur]]=pogoda__2[[#This Row],[nubis K]],1,0)</f>
        <v>1</v>
      </c>
      <c r="J4">
        <f>IF(pogoda__2[[#This Row],[Wielkosc_chmur]]=pogoda__2[[#This Row],[nubis W]],1,0)</f>
        <v>1</v>
      </c>
      <c r="L4">
        <f>IF(AND(pogoda__2[[#This Row],[Temperatura]]&gt;=20,pogoda__2[[#This Row],[Opad]]&lt;=5),1,0)</f>
        <v>1</v>
      </c>
      <c r="M4">
        <v>2</v>
      </c>
    </row>
    <row r="5" spans="1:18" x14ac:dyDescent="0.3">
      <c r="A5">
        <v>4</v>
      </c>
      <c r="B5">
        <v>23.6</v>
      </c>
      <c r="C5">
        <v>4</v>
      </c>
      <c r="D5" s="6" t="s">
        <v>5</v>
      </c>
      <c r="E5">
        <v>1</v>
      </c>
      <c r="F5" s="6" t="s">
        <v>5</v>
      </c>
      <c r="G5">
        <v>1</v>
      </c>
      <c r="I5">
        <f>IF(pogoda__2[[#This Row],[Kategoria_chmur]]=pogoda__2[[#This Row],[nubis K]],1,0)</f>
        <v>1</v>
      </c>
      <c r="J5">
        <f>IF(pogoda__2[[#This Row],[Wielkosc_chmur]]=pogoda__2[[#This Row],[nubis W]],1,0)</f>
        <v>1</v>
      </c>
      <c r="L5">
        <f>IF(AND(pogoda__2[[#This Row],[Temperatura]]&gt;=20,pogoda__2[[#This Row],[Opad]]&lt;=5),1,0)</f>
        <v>1</v>
      </c>
      <c r="M5">
        <v>0</v>
      </c>
      <c r="O5" t="s">
        <v>21</v>
      </c>
      <c r="P5">
        <f>COUNTIF(I2:I301,1)</f>
        <v>286</v>
      </c>
      <c r="Q5">
        <f>COUNTIF(J2:J301,1)</f>
        <v>296</v>
      </c>
      <c r="R5" t="s">
        <v>23</v>
      </c>
    </row>
    <row r="6" spans="1:18" x14ac:dyDescent="0.3">
      <c r="A6">
        <v>5</v>
      </c>
      <c r="B6">
        <v>22.3</v>
      </c>
      <c r="C6">
        <v>10</v>
      </c>
      <c r="D6" s="6" t="s">
        <v>5</v>
      </c>
      <c r="E6">
        <v>2</v>
      </c>
      <c r="F6" s="6" t="s">
        <v>5</v>
      </c>
      <c r="G6">
        <v>2</v>
      </c>
      <c r="I6">
        <f>IF(pogoda__2[[#This Row],[Kategoria_chmur]]=pogoda__2[[#This Row],[nubis K]],1,0)</f>
        <v>1</v>
      </c>
      <c r="J6">
        <f>IF(pogoda__2[[#This Row],[Wielkosc_chmur]]=pogoda__2[[#This Row],[nubis W]],1,0)</f>
        <v>1</v>
      </c>
      <c r="L6">
        <f>IF(AND(pogoda__2[[#This Row],[Temperatura]]&gt;=20,pogoda__2[[#This Row],[Opad]]&lt;=5),1,0)</f>
        <v>0</v>
      </c>
      <c r="M6">
        <v>0</v>
      </c>
    </row>
    <row r="7" spans="1:18" x14ac:dyDescent="0.3">
      <c r="A7">
        <v>6</v>
      </c>
      <c r="B7">
        <v>20.399999999999999</v>
      </c>
      <c r="C7">
        <v>8</v>
      </c>
      <c r="D7" s="6" t="s">
        <v>5</v>
      </c>
      <c r="E7">
        <v>2</v>
      </c>
      <c r="F7" s="6" t="s">
        <v>5</v>
      </c>
      <c r="G7">
        <v>2</v>
      </c>
      <c r="I7">
        <f>IF(pogoda__2[[#This Row],[Kategoria_chmur]]=pogoda__2[[#This Row],[nubis K]],1,0)</f>
        <v>1</v>
      </c>
      <c r="J7">
        <f>IF(pogoda__2[[#This Row],[Wielkosc_chmur]]=pogoda__2[[#This Row],[nubis W]],1,0)</f>
        <v>1</v>
      </c>
      <c r="L7">
        <f>IF(AND(pogoda__2[[#This Row],[Temperatura]]&gt;=20,pogoda__2[[#This Row],[Opad]]&lt;=5),1,0)</f>
        <v>0</v>
      </c>
      <c r="M7">
        <v>0</v>
      </c>
    </row>
    <row r="8" spans="1:18" x14ac:dyDescent="0.3">
      <c r="A8">
        <v>7</v>
      </c>
      <c r="B8">
        <v>18.899999999999999</v>
      </c>
      <c r="C8">
        <v>10</v>
      </c>
      <c r="D8" s="6" t="s">
        <v>5</v>
      </c>
      <c r="E8">
        <v>2</v>
      </c>
      <c r="F8" s="6" t="s">
        <v>5</v>
      </c>
      <c r="G8">
        <v>2</v>
      </c>
      <c r="I8">
        <f>IF(pogoda__2[[#This Row],[Kategoria_chmur]]=pogoda__2[[#This Row],[nubis K]],1,0)</f>
        <v>1</v>
      </c>
      <c r="J8">
        <f>IF(pogoda__2[[#This Row],[Wielkosc_chmur]]=pogoda__2[[#This Row],[nubis W]],1,0)</f>
        <v>1</v>
      </c>
      <c r="L8">
        <f>IF(AND(pogoda__2[[#This Row],[Temperatura]]&gt;=20,pogoda__2[[#This Row],[Opad]]&lt;=5),1,0)</f>
        <v>0</v>
      </c>
      <c r="M8">
        <v>0</v>
      </c>
    </row>
    <row r="9" spans="1:18" x14ac:dyDescent="0.3">
      <c r="A9">
        <v>8</v>
      </c>
      <c r="B9">
        <v>18.5</v>
      </c>
      <c r="C9">
        <v>11</v>
      </c>
      <c r="D9" s="6" t="s">
        <v>5</v>
      </c>
      <c r="E9">
        <v>3</v>
      </c>
      <c r="F9" s="6" t="s">
        <v>5</v>
      </c>
      <c r="G9">
        <v>3</v>
      </c>
      <c r="I9">
        <f>IF(pogoda__2[[#This Row],[Kategoria_chmur]]=pogoda__2[[#This Row],[nubis K]],1,0)</f>
        <v>1</v>
      </c>
      <c r="J9">
        <f>IF(pogoda__2[[#This Row],[Wielkosc_chmur]]=pogoda__2[[#This Row],[nubis W]],1,0)</f>
        <v>1</v>
      </c>
      <c r="L9">
        <f>IF(AND(pogoda__2[[#This Row],[Temperatura]]&gt;=20,pogoda__2[[#This Row],[Opad]]&lt;=5),1,0)</f>
        <v>0</v>
      </c>
      <c r="M9">
        <v>0</v>
      </c>
    </row>
    <row r="10" spans="1:18" x14ac:dyDescent="0.3">
      <c r="A10">
        <v>9</v>
      </c>
      <c r="B10">
        <v>19.5</v>
      </c>
      <c r="C10">
        <v>14</v>
      </c>
      <c r="D10" s="6" t="s">
        <v>5</v>
      </c>
      <c r="E10">
        <v>3</v>
      </c>
      <c r="F10" s="6" t="s">
        <v>5</v>
      </c>
      <c r="G10">
        <v>3</v>
      </c>
      <c r="I10">
        <f>IF(pogoda__2[[#This Row],[Kategoria_chmur]]=pogoda__2[[#This Row],[nubis K]],1,0)</f>
        <v>1</v>
      </c>
      <c r="J10">
        <f>IF(pogoda__2[[#This Row],[Wielkosc_chmur]]=pogoda__2[[#This Row],[nubis W]],1,0)</f>
        <v>1</v>
      </c>
      <c r="L10">
        <f>IF(AND(pogoda__2[[#This Row],[Temperatura]]&gt;=20,pogoda__2[[#This Row],[Opad]]&lt;=5),1,0)</f>
        <v>0</v>
      </c>
      <c r="M10">
        <v>1</v>
      </c>
    </row>
    <row r="11" spans="1:18" x14ac:dyDescent="0.3">
      <c r="A11">
        <v>10</v>
      </c>
      <c r="B11">
        <v>21.8</v>
      </c>
      <c r="C11">
        <v>15</v>
      </c>
      <c r="D11" s="6" t="s">
        <v>5</v>
      </c>
      <c r="E11">
        <v>3</v>
      </c>
      <c r="F11" s="6" t="s">
        <v>5</v>
      </c>
      <c r="G11">
        <v>3</v>
      </c>
      <c r="I11">
        <f>IF(pogoda__2[[#This Row],[Kategoria_chmur]]=pogoda__2[[#This Row],[nubis K]],1,0)</f>
        <v>1</v>
      </c>
      <c r="J11">
        <f>IF(pogoda__2[[#This Row],[Wielkosc_chmur]]=pogoda__2[[#This Row],[nubis W]],1,0)</f>
        <v>1</v>
      </c>
      <c r="L11">
        <f>IF(AND(pogoda__2[[#This Row],[Temperatura]]&gt;=20,pogoda__2[[#This Row],[Opad]]&lt;=5),1,0)</f>
        <v>0</v>
      </c>
      <c r="M11">
        <v>2</v>
      </c>
    </row>
    <row r="12" spans="1:18" x14ac:dyDescent="0.3">
      <c r="A12">
        <v>11</v>
      </c>
      <c r="B12">
        <v>24.8</v>
      </c>
      <c r="C12">
        <v>3</v>
      </c>
      <c r="D12" s="6" t="s">
        <v>5</v>
      </c>
      <c r="E12">
        <v>4</v>
      </c>
      <c r="F12" s="6" t="s">
        <v>5</v>
      </c>
      <c r="G12">
        <v>4</v>
      </c>
      <c r="I12">
        <f>IF(pogoda__2[[#This Row],[Kategoria_chmur]]=pogoda__2[[#This Row],[nubis K]],1,0)</f>
        <v>1</v>
      </c>
      <c r="J12">
        <f>IF(pogoda__2[[#This Row],[Wielkosc_chmur]]=pogoda__2[[#This Row],[nubis W]],1,0)</f>
        <v>1</v>
      </c>
      <c r="L12">
        <f>IF(AND(pogoda__2[[#This Row],[Temperatura]]&gt;=20,pogoda__2[[#This Row],[Opad]]&lt;=5),1,0)</f>
        <v>1</v>
      </c>
      <c r="M12">
        <v>3</v>
      </c>
    </row>
    <row r="13" spans="1:18" x14ac:dyDescent="0.3">
      <c r="A13">
        <v>12</v>
      </c>
      <c r="B13">
        <v>27.7</v>
      </c>
      <c r="C13">
        <v>23</v>
      </c>
      <c r="D13" s="6" t="s">
        <v>5</v>
      </c>
      <c r="E13">
        <v>4</v>
      </c>
      <c r="F13" s="6" t="s">
        <v>5</v>
      </c>
      <c r="G13">
        <v>4</v>
      </c>
      <c r="I13">
        <f>IF(pogoda__2[[#This Row],[Kategoria_chmur]]=pogoda__2[[#This Row],[nubis K]],1,0)</f>
        <v>1</v>
      </c>
      <c r="J13">
        <f>IF(pogoda__2[[#This Row],[Wielkosc_chmur]]=pogoda__2[[#This Row],[nubis W]],1,0)</f>
        <v>1</v>
      </c>
      <c r="L13">
        <f>IF(AND(pogoda__2[[#This Row],[Temperatura]]&gt;=20,pogoda__2[[#This Row],[Opad]]&lt;=5),1,0)</f>
        <v>0</v>
      </c>
      <c r="M13">
        <v>4</v>
      </c>
    </row>
    <row r="14" spans="1:18" x14ac:dyDescent="0.3">
      <c r="A14">
        <v>13</v>
      </c>
      <c r="B14">
        <v>29.5</v>
      </c>
      <c r="C14">
        <v>17</v>
      </c>
      <c r="D14" s="6" t="s">
        <v>5</v>
      </c>
      <c r="E14">
        <v>4</v>
      </c>
      <c r="F14" s="6" t="s">
        <v>5</v>
      </c>
      <c r="G14">
        <v>4</v>
      </c>
      <c r="I14">
        <f>IF(pogoda__2[[#This Row],[Kategoria_chmur]]=pogoda__2[[#This Row],[nubis K]],1,0)</f>
        <v>1</v>
      </c>
      <c r="J14">
        <f>IF(pogoda__2[[#This Row],[Wielkosc_chmur]]=pogoda__2[[#This Row],[nubis W]],1,0)</f>
        <v>1</v>
      </c>
      <c r="L14">
        <f>IF(AND(pogoda__2[[#This Row],[Temperatura]]&gt;=20,pogoda__2[[#This Row],[Opad]]&lt;=5),1,0)</f>
        <v>0</v>
      </c>
      <c r="M14">
        <v>5</v>
      </c>
    </row>
    <row r="15" spans="1:18" x14ac:dyDescent="0.3">
      <c r="A15">
        <v>14</v>
      </c>
      <c r="B15">
        <v>29.8</v>
      </c>
      <c r="C15">
        <v>15</v>
      </c>
      <c r="D15" s="6" t="s">
        <v>5</v>
      </c>
      <c r="E15">
        <v>5</v>
      </c>
      <c r="F15" s="6" t="s">
        <v>5</v>
      </c>
      <c r="G15">
        <v>5</v>
      </c>
      <c r="I15">
        <f>IF(pogoda__2[[#This Row],[Kategoria_chmur]]=pogoda__2[[#This Row],[nubis K]],1,0)</f>
        <v>1</v>
      </c>
      <c r="J15">
        <f>IF(pogoda__2[[#This Row],[Wielkosc_chmur]]=pogoda__2[[#This Row],[nubis W]],1,0)</f>
        <v>1</v>
      </c>
      <c r="L15">
        <f>IF(AND(pogoda__2[[#This Row],[Temperatura]]&gt;=20,pogoda__2[[#This Row],[Opad]]&lt;=5),1,0)</f>
        <v>0</v>
      </c>
      <c r="M15">
        <v>6</v>
      </c>
    </row>
    <row r="16" spans="1:18" x14ac:dyDescent="0.3">
      <c r="A16">
        <v>15</v>
      </c>
      <c r="B16">
        <v>28.3</v>
      </c>
      <c r="C16">
        <v>22</v>
      </c>
      <c r="D16" s="6" t="s">
        <v>5</v>
      </c>
      <c r="E16">
        <v>5</v>
      </c>
      <c r="F16" s="6" t="s">
        <v>5</v>
      </c>
      <c r="G16">
        <v>5</v>
      </c>
      <c r="I16">
        <f>IF(pogoda__2[[#This Row],[Kategoria_chmur]]=pogoda__2[[#This Row],[nubis K]],1,0)</f>
        <v>1</v>
      </c>
      <c r="J16">
        <f>IF(pogoda__2[[#This Row],[Wielkosc_chmur]]=pogoda__2[[#This Row],[nubis W]],1,0)</f>
        <v>1</v>
      </c>
      <c r="L16">
        <f>IF(AND(pogoda__2[[#This Row],[Temperatura]]&gt;=20,pogoda__2[[#This Row],[Opad]]&lt;=5),1,0)</f>
        <v>0</v>
      </c>
      <c r="M16">
        <v>0</v>
      </c>
    </row>
    <row r="17" spans="1:13" x14ac:dyDescent="0.3">
      <c r="A17">
        <v>16</v>
      </c>
      <c r="B17">
        <v>25.5</v>
      </c>
      <c r="C17">
        <v>0</v>
      </c>
      <c r="D17" s="6">
        <v>0</v>
      </c>
      <c r="E17">
        <v>0</v>
      </c>
      <c r="F17" s="6">
        <v>0</v>
      </c>
      <c r="G17">
        <v>0</v>
      </c>
      <c r="I17">
        <f>IF(pogoda__2[[#This Row],[Kategoria_chmur]]=pogoda__2[[#This Row],[nubis K]],1,0)</f>
        <v>1</v>
      </c>
      <c r="J17">
        <f>IF(pogoda__2[[#This Row],[Wielkosc_chmur]]=pogoda__2[[#This Row],[nubis W]],1,0)</f>
        <v>1</v>
      </c>
      <c r="L17">
        <f>IF(AND(pogoda__2[[#This Row],[Temperatura]]&gt;=20,pogoda__2[[#This Row],[Opad]]&lt;=5),1,0)</f>
        <v>1</v>
      </c>
      <c r="M17">
        <v>0</v>
      </c>
    </row>
    <row r="18" spans="1:13" x14ac:dyDescent="0.3">
      <c r="A18">
        <v>17</v>
      </c>
      <c r="B18">
        <v>22</v>
      </c>
      <c r="C18">
        <v>2</v>
      </c>
      <c r="D18" s="6" t="s">
        <v>5</v>
      </c>
      <c r="E18">
        <v>1</v>
      </c>
      <c r="F18" s="6" t="s">
        <v>5</v>
      </c>
      <c r="G18">
        <v>1</v>
      </c>
      <c r="I18">
        <f>IF(pogoda__2[[#This Row],[Kategoria_chmur]]=pogoda__2[[#This Row],[nubis K]],1,0)</f>
        <v>1</v>
      </c>
      <c r="J18">
        <f>IF(pogoda__2[[#This Row],[Wielkosc_chmur]]=pogoda__2[[#This Row],[nubis W]],1,0)</f>
        <v>1</v>
      </c>
      <c r="L18">
        <f>IF(AND(pogoda__2[[#This Row],[Temperatura]]&gt;=20,pogoda__2[[#This Row],[Opad]]&lt;=5),1,0)</f>
        <v>1</v>
      </c>
      <c r="M18">
        <v>0</v>
      </c>
    </row>
    <row r="19" spans="1:13" x14ac:dyDescent="0.3">
      <c r="A19">
        <v>18</v>
      </c>
      <c r="B19">
        <v>18.899999999999999</v>
      </c>
      <c r="C19">
        <v>1</v>
      </c>
      <c r="D19" s="6" t="s">
        <v>5</v>
      </c>
      <c r="E19">
        <v>1</v>
      </c>
      <c r="F19" s="6" t="s">
        <v>5</v>
      </c>
      <c r="G19">
        <v>1</v>
      </c>
      <c r="I19">
        <f>IF(pogoda__2[[#This Row],[Kategoria_chmur]]=pogoda__2[[#This Row],[nubis K]],1,0)</f>
        <v>1</v>
      </c>
      <c r="J19">
        <f>IF(pogoda__2[[#This Row],[Wielkosc_chmur]]=pogoda__2[[#This Row],[nubis W]],1,0)</f>
        <v>1</v>
      </c>
      <c r="L19">
        <f>IF(AND(pogoda__2[[#This Row],[Temperatura]]&gt;=20,pogoda__2[[#This Row],[Opad]]&lt;=5),1,0)</f>
        <v>0</v>
      </c>
      <c r="M19">
        <v>0</v>
      </c>
    </row>
    <row r="20" spans="1:13" x14ac:dyDescent="0.3">
      <c r="A20">
        <v>19</v>
      </c>
      <c r="B20">
        <v>16.899999999999999</v>
      </c>
      <c r="C20">
        <v>1</v>
      </c>
      <c r="D20" s="6" t="s">
        <v>5</v>
      </c>
      <c r="E20">
        <v>1</v>
      </c>
      <c r="F20" s="6" t="s">
        <v>5</v>
      </c>
      <c r="G20">
        <v>1</v>
      </c>
      <c r="I20">
        <f>IF(pogoda__2[[#This Row],[Kategoria_chmur]]=pogoda__2[[#This Row],[nubis K]],1,0)</f>
        <v>1</v>
      </c>
      <c r="J20">
        <f>IF(pogoda__2[[#This Row],[Wielkosc_chmur]]=pogoda__2[[#This Row],[nubis W]],1,0)</f>
        <v>1</v>
      </c>
      <c r="L20">
        <f>IF(AND(pogoda__2[[#This Row],[Temperatura]]&gt;=20,pogoda__2[[#This Row],[Opad]]&lt;=5),1,0)</f>
        <v>0</v>
      </c>
      <c r="M20">
        <v>0</v>
      </c>
    </row>
    <row r="21" spans="1:13" x14ac:dyDescent="0.3">
      <c r="A21">
        <v>20</v>
      </c>
      <c r="B21">
        <v>16.3</v>
      </c>
      <c r="C21">
        <v>12</v>
      </c>
      <c r="D21" s="6" t="s">
        <v>5</v>
      </c>
      <c r="E21">
        <v>2</v>
      </c>
      <c r="F21" s="6" t="s">
        <v>5</v>
      </c>
      <c r="G21">
        <v>2</v>
      </c>
      <c r="I21">
        <f>IF(pogoda__2[[#This Row],[Kategoria_chmur]]=pogoda__2[[#This Row],[nubis K]],1,0)</f>
        <v>1</v>
      </c>
      <c r="J21">
        <f>IF(pogoda__2[[#This Row],[Wielkosc_chmur]]=pogoda__2[[#This Row],[nubis W]],1,0)</f>
        <v>1</v>
      </c>
      <c r="L21">
        <f>IF(AND(pogoda__2[[#This Row],[Temperatura]]&gt;=20,pogoda__2[[#This Row],[Opad]]&lt;=5),1,0)</f>
        <v>0</v>
      </c>
      <c r="M21">
        <v>0</v>
      </c>
    </row>
    <row r="22" spans="1:13" x14ac:dyDescent="0.3">
      <c r="A22">
        <v>21</v>
      </c>
      <c r="B22">
        <v>17.100000000000001</v>
      </c>
      <c r="C22">
        <v>11</v>
      </c>
      <c r="D22" s="6" t="s">
        <v>5</v>
      </c>
      <c r="E22">
        <v>2</v>
      </c>
      <c r="F22" s="6" t="s">
        <v>5</v>
      </c>
      <c r="G22">
        <v>2</v>
      </c>
      <c r="I22">
        <f>IF(pogoda__2[[#This Row],[Kategoria_chmur]]=pogoda__2[[#This Row],[nubis K]],1,0)</f>
        <v>1</v>
      </c>
      <c r="J22">
        <f>IF(pogoda__2[[#This Row],[Wielkosc_chmur]]=pogoda__2[[#This Row],[nubis W]],1,0)</f>
        <v>1</v>
      </c>
      <c r="L22">
        <f>IF(AND(pogoda__2[[#This Row],[Temperatura]]&gt;=20,pogoda__2[[#This Row],[Opad]]&lt;=5),1,0)</f>
        <v>0</v>
      </c>
      <c r="M22">
        <v>1</v>
      </c>
    </row>
    <row r="23" spans="1:13" x14ac:dyDescent="0.3">
      <c r="A23">
        <v>22</v>
      </c>
      <c r="B23">
        <v>18.7</v>
      </c>
      <c r="C23">
        <v>6</v>
      </c>
      <c r="D23" s="6" t="s">
        <v>5</v>
      </c>
      <c r="E23">
        <v>2</v>
      </c>
      <c r="F23" s="6" t="s">
        <v>5</v>
      </c>
      <c r="G23">
        <v>2</v>
      </c>
      <c r="I23">
        <f>IF(pogoda__2[[#This Row],[Kategoria_chmur]]=pogoda__2[[#This Row],[nubis K]],1,0)</f>
        <v>1</v>
      </c>
      <c r="J23">
        <f>IF(pogoda__2[[#This Row],[Wielkosc_chmur]]=pogoda__2[[#This Row],[nubis W]],1,0)</f>
        <v>1</v>
      </c>
      <c r="L23">
        <f>IF(AND(pogoda__2[[#This Row],[Temperatura]]&gt;=20,pogoda__2[[#This Row],[Opad]]&lt;=5),1,0)</f>
        <v>0</v>
      </c>
      <c r="M23">
        <v>2</v>
      </c>
    </row>
    <row r="24" spans="1:13" x14ac:dyDescent="0.3">
      <c r="A24">
        <v>23</v>
      </c>
      <c r="B24">
        <v>20.2</v>
      </c>
      <c r="C24">
        <v>18</v>
      </c>
      <c r="D24" s="6" t="s">
        <v>5</v>
      </c>
      <c r="E24">
        <v>2</v>
      </c>
      <c r="F24" s="6" t="s">
        <v>5</v>
      </c>
      <c r="G24">
        <v>3</v>
      </c>
      <c r="I24">
        <f>IF(pogoda__2[[#This Row],[Kategoria_chmur]]=pogoda__2[[#This Row],[nubis K]],1,0)</f>
        <v>1</v>
      </c>
      <c r="J24">
        <f>IF(pogoda__2[[#This Row],[Wielkosc_chmur]]=pogoda__2[[#This Row],[nubis W]],1,0)</f>
        <v>0</v>
      </c>
      <c r="L24">
        <f>IF(AND(pogoda__2[[#This Row],[Temperatura]]&gt;=20,pogoda__2[[#This Row],[Opad]]&lt;=5),1,0)</f>
        <v>0</v>
      </c>
      <c r="M24">
        <v>3</v>
      </c>
    </row>
    <row r="25" spans="1:13" x14ac:dyDescent="0.3">
      <c r="A25">
        <v>24</v>
      </c>
      <c r="B25">
        <v>20.8</v>
      </c>
      <c r="C25">
        <v>15</v>
      </c>
      <c r="D25" s="6" t="s">
        <v>5</v>
      </c>
      <c r="E25">
        <v>3</v>
      </c>
      <c r="F25" s="6" t="s">
        <v>5</v>
      </c>
      <c r="G25">
        <v>3</v>
      </c>
      <c r="I25">
        <f>IF(pogoda__2[[#This Row],[Kategoria_chmur]]=pogoda__2[[#This Row],[nubis K]],1,0)</f>
        <v>1</v>
      </c>
      <c r="J25">
        <f>IF(pogoda__2[[#This Row],[Wielkosc_chmur]]=pogoda__2[[#This Row],[nubis W]],1,0)</f>
        <v>1</v>
      </c>
      <c r="L25">
        <f>IF(AND(pogoda__2[[#This Row],[Temperatura]]&gt;=20,pogoda__2[[#This Row],[Opad]]&lt;=5),1,0)</f>
        <v>0</v>
      </c>
      <c r="M25">
        <v>4</v>
      </c>
    </row>
    <row r="26" spans="1:13" x14ac:dyDescent="0.3">
      <c r="A26">
        <v>25</v>
      </c>
      <c r="B26">
        <v>19.899999999999999</v>
      </c>
      <c r="C26">
        <v>5</v>
      </c>
      <c r="D26" s="6" t="s">
        <v>5</v>
      </c>
      <c r="E26">
        <v>3</v>
      </c>
      <c r="F26" s="6" t="s">
        <v>5</v>
      </c>
      <c r="G26">
        <v>3</v>
      </c>
      <c r="I26">
        <f>IF(pogoda__2[[#This Row],[Kategoria_chmur]]=pogoda__2[[#This Row],[nubis K]],1,0)</f>
        <v>1</v>
      </c>
      <c r="J26">
        <f>IF(pogoda__2[[#This Row],[Wielkosc_chmur]]=pogoda__2[[#This Row],[nubis W]],1,0)</f>
        <v>1</v>
      </c>
      <c r="L26">
        <f>IF(AND(pogoda__2[[#This Row],[Temperatura]]&gt;=20,pogoda__2[[#This Row],[Opad]]&lt;=5),1,0)</f>
        <v>0</v>
      </c>
      <c r="M26">
        <v>0</v>
      </c>
    </row>
    <row r="27" spans="1:13" x14ac:dyDescent="0.3">
      <c r="A27">
        <v>26</v>
      </c>
      <c r="B27">
        <v>17.5</v>
      </c>
      <c r="C27">
        <v>19</v>
      </c>
      <c r="D27" s="6" t="s">
        <v>5</v>
      </c>
      <c r="E27">
        <v>4</v>
      </c>
      <c r="F27" s="6" t="s">
        <v>5</v>
      </c>
      <c r="G27">
        <v>4</v>
      </c>
      <c r="I27">
        <f>IF(pogoda__2[[#This Row],[Kategoria_chmur]]=pogoda__2[[#This Row],[nubis K]],1,0)</f>
        <v>1</v>
      </c>
      <c r="J27">
        <f>IF(pogoda__2[[#This Row],[Wielkosc_chmur]]=pogoda__2[[#This Row],[nubis W]],1,0)</f>
        <v>1</v>
      </c>
      <c r="L27">
        <f>IF(AND(pogoda__2[[#This Row],[Temperatura]]&gt;=20,pogoda__2[[#This Row],[Opad]]&lt;=5),1,0)</f>
        <v>0</v>
      </c>
      <c r="M27">
        <v>0</v>
      </c>
    </row>
    <row r="28" spans="1:13" x14ac:dyDescent="0.3">
      <c r="A28">
        <v>27</v>
      </c>
      <c r="B28">
        <v>13.9</v>
      </c>
      <c r="C28">
        <v>18</v>
      </c>
      <c r="D28" s="6" t="s">
        <v>5</v>
      </c>
      <c r="E28">
        <v>4</v>
      </c>
      <c r="F28" s="6" t="s">
        <v>5</v>
      </c>
      <c r="G28">
        <v>4</v>
      </c>
      <c r="I28">
        <f>IF(pogoda__2[[#This Row],[Kategoria_chmur]]=pogoda__2[[#This Row],[nubis K]],1,0)</f>
        <v>1</v>
      </c>
      <c r="J28">
        <f>IF(pogoda__2[[#This Row],[Wielkosc_chmur]]=pogoda__2[[#This Row],[nubis W]],1,0)</f>
        <v>1</v>
      </c>
      <c r="L28">
        <f>IF(AND(pogoda__2[[#This Row],[Temperatura]]&gt;=20,pogoda__2[[#This Row],[Opad]]&lt;=5),1,0)</f>
        <v>0</v>
      </c>
      <c r="M28">
        <v>0</v>
      </c>
    </row>
    <row r="29" spans="1:13" x14ac:dyDescent="0.3">
      <c r="A29">
        <v>28</v>
      </c>
      <c r="B29">
        <v>9.9</v>
      </c>
      <c r="C29">
        <v>4</v>
      </c>
      <c r="D29" s="6" t="s">
        <v>5</v>
      </c>
      <c r="E29">
        <v>4</v>
      </c>
      <c r="F29" s="6" t="s">
        <v>5</v>
      </c>
      <c r="G29">
        <v>4</v>
      </c>
      <c r="I29">
        <f>IF(pogoda__2[[#This Row],[Kategoria_chmur]]=pogoda__2[[#This Row],[nubis K]],1,0)</f>
        <v>1</v>
      </c>
      <c r="J29">
        <f>IF(pogoda__2[[#This Row],[Wielkosc_chmur]]=pogoda__2[[#This Row],[nubis W]],1,0)</f>
        <v>1</v>
      </c>
      <c r="L29">
        <f>IF(AND(pogoda__2[[#This Row],[Temperatura]]&gt;=20,pogoda__2[[#This Row],[Opad]]&lt;=5),1,0)</f>
        <v>0</v>
      </c>
      <c r="M29">
        <v>0</v>
      </c>
    </row>
    <row r="30" spans="1:13" x14ac:dyDescent="0.3">
      <c r="A30">
        <v>29</v>
      </c>
      <c r="B30">
        <v>6.4</v>
      </c>
      <c r="C30">
        <v>17</v>
      </c>
      <c r="D30" s="6" t="s">
        <v>5</v>
      </c>
      <c r="E30">
        <v>5</v>
      </c>
      <c r="F30" s="6" t="s">
        <v>5</v>
      </c>
      <c r="G30">
        <v>5</v>
      </c>
      <c r="I30">
        <f>IF(pogoda__2[[#This Row],[Kategoria_chmur]]=pogoda__2[[#This Row],[nubis K]],1,0)</f>
        <v>1</v>
      </c>
      <c r="J30">
        <f>IF(pogoda__2[[#This Row],[Wielkosc_chmur]]=pogoda__2[[#This Row],[nubis W]],1,0)</f>
        <v>1</v>
      </c>
      <c r="L30">
        <f>IF(AND(pogoda__2[[#This Row],[Temperatura]]&gt;=20,pogoda__2[[#This Row],[Opad]]&lt;=5),1,0)</f>
        <v>0</v>
      </c>
      <c r="M30">
        <v>0</v>
      </c>
    </row>
    <row r="31" spans="1:13" x14ac:dyDescent="0.3">
      <c r="A31">
        <v>30</v>
      </c>
      <c r="B31">
        <v>4.2</v>
      </c>
      <c r="C31">
        <v>14</v>
      </c>
      <c r="D31" s="6" t="s">
        <v>5</v>
      </c>
      <c r="E31">
        <v>5</v>
      </c>
      <c r="F31" s="6" t="s">
        <v>5</v>
      </c>
      <c r="G31">
        <v>5</v>
      </c>
      <c r="I31">
        <f>IF(pogoda__2[[#This Row],[Kategoria_chmur]]=pogoda__2[[#This Row],[nubis K]],1,0)</f>
        <v>1</v>
      </c>
      <c r="J31">
        <f>IF(pogoda__2[[#This Row],[Wielkosc_chmur]]=pogoda__2[[#This Row],[nubis W]],1,0)</f>
        <v>1</v>
      </c>
      <c r="L31">
        <f>IF(AND(pogoda__2[[#This Row],[Temperatura]]&gt;=20,pogoda__2[[#This Row],[Opad]]&lt;=5),1,0)</f>
        <v>0</v>
      </c>
      <c r="M31">
        <v>0</v>
      </c>
    </row>
    <row r="32" spans="1:13" x14ac:dyDescent="0.3">
      <c r="A32">
        <v>31</v>
      </c>
      <c r="B32">
        <v>3.6</v>
      </c>
      <c r="C32">
        <v>12</v>
      </c>
      <c r="D32" s="6" t="s">
        <v>5</v>
      </c>
      <c r="E32">
        <v>5</v>
      </c>
      <c r="F32" s="6" t="s">
        <v>5</v>
      </c>
      <c r="G32">
        <v>5</v>
      </c>
      <c r="I32">
        <f>IF(pogoda__2[[#This Row],[Kategoria_chmur]]=pogoda__2[[#This Row],[nubis K]],1,0)</f>
        <v>1</v>
      </c>
      <c r="J32">
        <f>IF(pogoda__2[[#This Row],[Wielkosc_chmur]]=pogoda__2[[#This Row],[nubis W]],1,0)</f>
        <v>1</v>
      </c>
      <c r="L32">
        <f>IF(AND(pogoda__2[[#This Row],[Temperatura]]&gt;=20,pogoda__2[[#This Row],[Opad]]&lt;=5),1,0)</f>
        <v>0</v>
      </c>
      <c r="M32">
        <v>0</v>
      </c>
    </row>
    <row r="33" spans="1:13" x14ac:dyDescent="0.3">
      <c r="A33">
        <v>32</v>
      </c>
      <c r="B33">
        <v>4.5999999999999996</v>
      </c>
      <c r="C33">
        <v>11</v>
      </c>
      <c r="D33" s="6" t="s">
        <v>5</v>
      </c>
      <c r="E33">
        <v>5</v>
      </c>
      <c r="F33" s="6" t="s">
        <v>5</v>
      </c>
      <c r="G33">
        <v>5</v>
      </c>
      <c r="I33">
        <f>IF(pogoda__2[[#This Row],[Kategoria_chmur]]=pogoda__2[[#This Row],[nubis K]],1,0)</f>
        <v>1</v>
      </c>
      <c r="J33">
        <f>IF(pogoda__2[[#This Row],[Wielkosc_chmur]]=pogoda__2[[#This Row],[nubis W]],1,0)</f>
        <v>1</v>
      </c>
      <c r="L33">
        <f>IF(AND(pogoda__2[[#This Row],[Temperatura]]&gt;=20,pogoda__2[[#This Row],[Opad]]&lt;=5),1,0)</f>
        <v>0</v>
      </c>
      <c r="M33">
        <v>1</v>
      </c>
    </row>
    <row r="34" spans="1:13" x14ac:dyDescent="0.3">
      <c r="A34">
        <v>33</v>
      </c>
      <c r="B34">
        <v>6.6</v>
      </c>
      <c r="C34">
        <v>17</v>
      </c>
      <c r="D34" s="6" t="s">
        <v>5</v>
      </c>
      <c r="E34">
        <v>5</v>
      </c>
      <c r="F34" s="6" t="s">
        <v>5</v>
      </c>
      <c r="G34">
        <v>5</v>
      </c>
      <c r="I34">
        <f>IF(pogoda__2[[#This Row],[Kategoria_chmur]]=pogoda__2[[#This Row],[nubis K]],1,0)</f>
        <v>1</v>
      </c>
      <c r="J34">
        <f>IF(pogoda__2[[#This Row],[Wielkosc_chmur]]=pogoda__2[[#This Row],[nubis W]],1,0)</f>
        <v>1</v>
      </c>
      <c r="L34">
        <f>IF(AND(pogoda__2[[#This Row],[Temperatura]]&gt;=20,pogoda__2[[#This Row],[Opad]]&lt;=5),1,0)</f>
        <v>0</v>
      </c>
      <c r="M34">
        <v>2</v>
      </c>
    </row>
    <row r="35" spans="1:13" x14ac:dyDescent="0.3">
      <c r="A35">
        <v>34</v>
      </c>
      <c r="B35">
        <v>8.6999999999999993</v>
      </c>
      <c r="C35">
        <v>26</v>
      </c>
      <c r="D35" s="6" t="s">
        <v>5</v>
      </c>
      <c r="E35">
        <v>5</v>
      </c>
      <c r="F35" s="6" t="s">
        <v>5</v>
      </c>
      <c r="G35">
        <v>5</v>
      </c>
      <c r="I35">
        <f>IF(pogoda__2[[#This Row],[Kategoria_chmur]]=pogoda__2[[#This Row],[nubis K]],1,0)</f>
        <v>1</v>
      </c>
      <c r="J35">
        <f>IF(pogoda__2[[#This Row],[Wielkosc_chmur]]=pogoda__2[[#This Row],[nubis W]],1,0)</f>
        <v>1</v>
      </c>
      <c r="L35">
        <f>IF(AND(pogoda__2[[#This Row],[Temperatura]]&gt;=20,pogoda__2[[#This Row],[Opad]]&lt;=5),1,0)</f>
        <v>0</v>
      </c>
      <c r="M35">
        <v>3</v>
      </c>
    </row>
    <row r="36" spans="1:13" x14ac:dyDescent="0.3">
      <c r="A36">
        <v>35</v>
      </c>
      <c r="B36">
        <v>10</v>
      </c>
      <c r="C36">
        <v>0</v>
      </c>
      <c r="D36" s="6">
        <v>0</v>
      </c>
      <c r="E36">
        <v>0</v>
      </c>
      <c r="F36" s="6">
        <v>0</v>
      </c>
      <c r="G36">
        <v>0</v>
      </c>
      <c r="I36">
        <f>IF(pogoda__2[[#This Row],[Kategoria_chmur]]=pogoda__2[[#This Row],[nubis K]],1,0)</f>
        <v>1</v>
      </c>
      <c r="J36">
        <f>IF(pogoda__2[[#This Row],[Wielkosc_chmur]]=pogoda__2[[#This Row],[nubis W]],1,0)</f>
        <v>1</v>
      </c>
      <c r="L36">
        <f>IF(AND(pogoda__2[[#This Row],[Temperatura]]&gt;=20,pogoda__2[[#This Row],[Opad]]&lt;=5),1,0)</f>
        <v>0</v>
      </c>
      <c r="M36">
        <v>4</v>
      </c>
    </row>
    <row r="37" spans="1:13" x14ac:dyDescent="0.3">
      <c r="A37">
        <v>36</v>
      </c>
      <c r="B37">
        <v>10.1</v>
      </c>
      <c r="C37">
        <v>3</v>
      </c>
      <c r="D37" s="6" t="s">
        <v>5</v>
      </c>
      <c r="E37">
        <v>1</v>
      </c>
      <c r="F37" s="6" t="s">
        <v>5</v>
      </c>
      <c r="G37">
        <v>1</v>
      </c>
      <c r="I37">
        <f>IF(pogoda__2[[#This Row],[Kategoria_chmur]]=pogoda__2[[#This Row],[nubis K]],1,0)</f>
        <v>1</v>
      </c>
      <c r="J37">
        <f>IF(pogoda__2[[#This Row],[Wielkosc_chmur]]=pogoda__2[[#This Row],[nubis W]],1,0)</f>
        <v>1</v>
      </c>
      <c r="L37">
        <f>IF(AND(pogoda__2[[#This Row],[Temperatura]]&gt;=20,pogoda__2[[#This Row],[Opad]]&lt;=5),1,0)</f>
        <v>0</v>
      </c>
      <c r="M37">
        <v>5</v>
      </c>
    </row>
    <row r="38" spans="1:13" x14ac:dyDescent="0.3">
      <c r="A38">
        <v>37</v>
      </c>
      <c r="B38">
        <v>8.8000000000000007</v>
      </c>
      <c r="C38">
        <v>3</v>
      </c>
      <c r="D38" s="6" t="s">
        <v>5</v>
      </c>
      <c r="E38">
        <v>1</v>
      </c>
      <c r="F38" s="6" t="s">
        <v>5</v>
      </c>
      <c r="G38">
        <v>1</v>
      </c>
      <c r="I38">
        <f>IF(pogoda__2[[#This Row],[Kategoria_chmur]]=pogoda__2[[#This Row],[nubis K]],1,0)</f>
        <v>1</v>
      </c>
      <c r="J38">
        <f>IF(pogoda__2[[#This Row],[Wielkosc_chmur]]=pogoda__2[[#This Row],[nubis W]],1,0)</f>
        <v>1</v>
      </c>
      <c r="L38">
        <f>IF(AND(pogoda__2[[#This Row],[Temperatura]]&gt;=20,pogoda__2[[#This Row],[Opad]]&lt;=5),1,0)</f>
        <v>0</v>
      </c>
      <c r="M38">
        <v>0</v>
      </c>
    </row>
    <row r="39" spans="1:13" x14ac:dyDescent="0.3">
      <c r="A39">
        <v>38</v>
      </c>
      <c r="B39">
        <v>6.4</v>
      </c>
      <c r="C39">
        <v>5</v>
      </c>
      <c r="D39" s="6" t="s">
        <v>5</v>
      </c>
      <c r="E39">
        <v>1</v>
      </c>
      <c r="F39" s="6" t="s">
        <v>5</v>
      </c>
      <c r="G39">
        <v>1</v>
      </c>
      <c r="I39">
        <f>IF(pogoda__2[[#This Row],[Kategoria_chmur]]=pogoda__2[[#This Row],[nubis K]],1,0)</f>
        <v>1</v>
      </c>
      <c r="J39">
        <f>IF(pogoda__2[[#This Row],[Wielkosc_chmur]]=pogoda__2[[#This Row],[nubis W]],1,0)</f>
        <v>1</v>
      </c>
      <c r="L39">
        <f>IF(AND(pogoda__2[[#This Row],[Temperatura]]&gt;=20,pogoda__2[[#This Row],[Opad]]&lt;=5),1,0)</f>
        <v>0</v>
      </c>
      <c r="M39">
        <v>0</v>
      </c>
    </row>
    <row r="40" spans="1:13" x14ac:dyDescent="0.3">
      <c r="A40">
        <v>39</v>
      </c>
      <c r="B40">
        <v>3.8</v>
      </c>
      <c r="C40">
        <v>11</v>
      </c>
      <c r="D40" s="6" t="s">
        <v>5</v>
      </c>
      <c r="E40">
        <v>2</v>
      </c>
      <c r="F40" s="6" t="s">
        <v>5</v>
      </c>
      <c r="G40">
        <v>2</v>
      </c>
      <c r="I40">
        <f>IF(pogoda__2[[#This Row],[Kategoria_chmur]]=pogoda__2[[#This Row],[nubis K]],1,0)</f>
        <v>1</v>
      </c>
      <c r="J40">
        <f>IF(pogoda__2[[#This Row],[Wielkosc_chmur]]=pogoda__2[[#This Row],[nubis W]],1,0)</f>
        <v>1</v>
      </c>
      <c r="L40">
        <f>IF(AND(pogoda__2[[#This Row],[Temperatura]]&gt;=20,pogoda__2[[#This Row],[Opad]]&lt;=5),1,0)</f>
        <v>0</v>
      </c>
      <c r="M40">
        <v>0</v>
      </c>
    </row>
    <row r="41" spans="1:13" x14ac:dyDescent="0.3">
      <c r="A41">
        <v>40</v>
      </c>
      <c r="B41">
        <v>1.7</v>
      </c>
      <c r="C41">
        <v>6</v>
      </c>
      <c r="D41" s="6" t="s">
        <v>5</v>
      </c>
      <c r="E41">
        <v>2</v>
      </c>
      <c r="F41" s="6" t="s">
        <v>5</v>
      </c>
      <c r="G41">
        <v>2</v>
      </c>
      <c r="I41">
        <f>IF(pogoda__2[[#This Row],[Kategoria_chmur]]=pogoda__2[[#This Row],[nubis K]],1,0)</f>
        <v>1</v>
      </c>
      <c r="J41">
        <f>IF(pogoda__2[[#This Row],[Wielkosc_chmur]]=pogoda__2[[#This Row],[nubis W]],1,0)</f>
        <v>1</v>
      </c>
      <c r="L41">
        <f>IF(AND(pogoda__2[[#This Row],[Temperatura]]&gt;=20,pogoda__2[[#This Row],[Opad]]&lt;=5),1,0)</f>
        <v>0</v>
      </c>
      <c r="M41">
        <v>0</v>
      </c>
    </row>
    <row r="42" spans="1:13" x14ac:dyDescent="0.3">
      <c r="A42">
        <v>41</v>
      </c>
      <c r="B42">
        <v>1</v>
      </c>
      <c r="C42">
        <v>3</v>
      </c>
      <c r="D42" s="6" t="s">
        <v>5</v>
      </c>
      <c r="E42">
        <v>2</v>
      </c>
      <c r="F42" s="6" t="s">
        <v>5</v>
      </c>
      <c r="G42">
        <v>2</v>
      </c>
      <c r="I42">
        <f>IF(pogoda__2[[#This Row],[Kategoria_chmur]]=pogoda__2[[#This Row],[nubis K]],1,0)</f>
        <v>1</v>
      </c>
      <c r="J42">
        <f>IF(pogoda__2[[#This Row],[Wielkosc_chmur]]=pogoda__2[[#This Row],[nubis W]],1,0)</f>
        <v>1</v>
      </c>
      <c r="L42">
        <f>IF(AND(pogoda__2[[#This Row],[Temperatura]]&gt;=20,pogoda__2[[#This Row],[Opad]]&lt;=5),1,0)</f>
        <v>0</v>
      </c>
      <c r="M42">
        <v>0</v>
      </c>
    </row>
    <row r="43" spans="1:13" x14ac:dyDescent="0.3">
      <c r="A43">
        <v>42</v>
      </c>
      <c r="B43">
        <v>2</v>
      </c>
      <c r="C43">
        <v>17</v>
      </c>
      <c r="D43" s="6" t="s">
        <v>5</v>
      </c>
      <c r="E43">
        <v>3</v>
      </c>
      <c r="F43" s="6" t="s">
        <v>5</v>
      </c>
      <c r="G43">
        <v>3</v>
      </c>
      <c r="I43">
        <f>IF(pogoda__2[[#This Row],[Kategoria_chmur]]=pogoda__2[[#This Row],[nubis K]],1,0)</f>
        <v>1</v>
      </c>
      <c r="J43">
        <f>IF(pogoda__2[[#This Row],[Wielkosc_chmur]]=pogoda__2[[#This Row],[nubis W]],1,0)</f>
        <v>1</v>
      </c>
      <c r="L43">
        <f>IF(AND(pogoda__2[[#This Row],[Temperatura]]&gt;=20,pogoda__2[[#This Row],[Opad]]&lt;=5),1,0)</f>
        <v>0</v>
      </c>
      <c r="M43">
        <v>1</v>
      </c>
    </row>
    <row r="44" spans="1:13" x14ac:dyDescent="0.3">
      <c r="A44">
        <v>43</v>
      </c>
      <c r="B44">
        <v>4.5999999999999996</v>
      </c>
      <c r="C44">
        <v>5</v>
      </c>
      <c r="D44" s="6" t="s">
        <v>5</v>
      </c>
      <c r="E44">
        <v>3</v>
      </c>
      <c r="F44" s="6" t="s">
        <v>5</v>
      </c>
      <c r="G44">
        <v>3</v>
      </c>
      <c r="I44">
        <f>IF(pogoda__2[[#This Row],[Kategoria_chmur]]=pogoda__2[[#This Row],[nubis K]],1,0)</f>
        <v>1</v>
      </c>
      <c r="J44">
        <f>IF(pogoda__2[[#This Row],[Wielkosc_chmur]]=pogoda__2[[#This Row],[nubis W]],1,0)</f>
        <v>1</v>
      </c>
      <c r="L44">
        <f>IF(AND(pogoda__2[[#This Row],[Temperatura]]&gt;=20,pogoda__2[[#This Row],[Opad]]&lt;=5),1,0)</f>
        <v>0</v>
      </c>
      <c r="M44">
        <v>2</v>
      </c>
    </row>
    <row r="45" spans="1:13" x14ac:dyDescent="0.3">
      <c r="A45">
        <v>44</v>
      </c>
      <c r="B45">
        <v>8.1999999999999993</v>
      </c>
      <c r="C45">
        <v>8</v>
      </c>
      <c r="D45" s="6" t="s">
        <v>5</v>
      </c>
      <c r="E45">
        <v>3</v>
      </c>
      <c r="F45" s="6" t="s">
        <v>5</v>
      </c>
      <c r="G45">
        <v>3</v>
      </c>
      <c r="I45">
        <f>IF(pogoda__2[[#This Row],[Kategoria_chmur]]=pogoda__2[[#This Row],[nubis K]],1,0)</f>
        <v>1</v>
      </c>
      <c r="J45">
        <f>IF(pogoda__2[[#This Row],[Wielkosc_chmur]]=pogoda__2[[#This Row],[nubis W]],1,0)</f>
        <v>1</v>
      </c>
      <c r="L45">
        <f>IF(AND(pogoda__2[[#This Row],[Temperatura]]&gt;=20,pogoda__2[[#This Row],[Opad]]&lt;=5),1,0)</f>
        <v>0</v>
      </c>
      <c r="M45">
        <v>3</v>
      </c>
    </row>
    <row r="46" spans="1:13" x14ac:dyDescent="0.3">
      <c r="A46">
        <v>45</v>
      </c>
      <c r="B46">
        <v>11.8</v>
      </c>
      <c r="C46">
        <v>2</v>
      </c>
      <c r="D46" s="6" t="s">
        <v>5</v>
      </c>
      <c r="E46">
        <v>4</v>
      </c>
      <c r="F46" s="6" t="s">
        <v>5</v>
      </c>
      <c r="G46">
        <v>4</v>
      </c>
      <c r="I46">
        <f>IF(pogoda__2[[#This Row],[Kategoria_chmur]]=pogoda__2[[#This Row],[nubis K]],1,0)</f>
        <v>1</v>
      </c>
      <c r="J46">
        <f>IF(pogoda__2[[#This Row],[Wielkosc_chmur]]=pogoda__2[[#This Row],[nubis W]],1,0)</f>
        <v>1</v>
      </c>
      <c r="L46">
        <f>IF(AND(pogoda__2[[#This Row],[Temperatura]]&gt;=20,pogoda__2[[#This Row],[Opad]]&lt;=5),1,0)</f>
        <v>0</v>
      </c>
      <c r="M46">
        <v>4</v>
      </c>
    </row>
    <row r="47" spans="1:13" x14ac:dyDescent="0.3">
      <c r="A47">
        <v>46</v>
      </c>
      <c r="B47">
        <v>14.7</v>
      </c>
      <c r="C47">
        <v>1</v>
      </c>
      <c r="D47" s="6" t="s">
        <v>5</v>
      </c>
      <c r="E47">
        <v>4</v>
      </c>
      <c r="F47" s="6" t="s">
        <v>5</v>
      </c>
      <c r="G47">
        <v>4</v>
      </c>
      <c r="I47">
        <f>IF(pogoda__2[[#This Row],[Kategoria_chmur]]=pogoda__2[[#This Row],[nubis K]],1,0)</f>
        <v>1</v>
      </c>
      <c r="J47">
        <f>IF(pogoda__2[[#This Row],[Wielkosc_chmur]]=pogoda__2[[#This Row],[nubis W]],1,0)</f>
        <v>1</v>
      </c>
      <c r="L47">
        <f>IF(AND(pogoda__2[[#This Row],[Temperatura]]&gt;=20,pogoda__2[[#This Row],[Opad]]&lt;=5),1,0)</f>
        <v>0</v>
      </c>
      <c r="M47">
        <v>5</v>
      </c>
    </row>
    <row r="48" spans="1:13" x14ac:dyDescent="0.3">
      <c r="A48">
        <v>47</v>
      </c>
      <c r="B48">
        <v>16.3</v>
      </c>
      <c r="C48">
        <v>11</v>
      </c>
      <c r="D48" s="6" t="s">
        <v>5</v>
      </c>
      <c r="E48">
        <v>4</v>
      </c>
      <c r="F48" s="6" t="s">
        <v>5</v>
      </c>
      <c r="G48">
        <v>4</v>
      </c>
      <c r="I48">
        <f>IF(pogoda__2[[#This Row],[Kategoria_chmur]]=pogoda__2[[#This Row],[nubis K]],1,0)</f>
        <v>1</v>
      </c>
      <c r="J48">
        <f>IF(pogoda__2[[#This Row],[Wielkosc_chmur]]=pogoda__2[[#This Row],[nubis W]],1,0)</f>
        <v>1</v>
      </c>
      <c r="L48">
        <f>IF(AND(pogoda__2[[#This Row],[Temperatura]]&gt;=20,pogoda__2[[#This Row],[Opad]]&lt;=5),1,0)</f>
        <v>0</v>
      </c>
      <c r="M48">
        <v>6</v>
      </c>
    </row>
    <row r="49" spans="1:13" x14ac:dyDescent="0.3">
      <c r="A49">
        <v>48</v>
      </c>
      <c r="B49">
        <v>16.3</v>
      </c>
      <c r="C49">
        <v>25</v>
      </c>
      <c r="D49" s="6" t="s">
        <v>5</v>
      </c>
      <c r="E49">
        <v>5</v>
      </c>
      <c r="F49" s="6" t="s">
        <v>5</v>
      </c>
      <c r="G49">
        <v>5</v>
      </c>
      <c r="I49">
        <f>IF(pogoda__2[[#This Row],[Kategoria_chmur]]=pogoda__2[[#This Row],[nubis K]],1,0)</f>
        <v>1</v>
      </c>
      <c r="J49">
        <f>IF(pogoda__2[[#This Row],[Wielkosc_chmur]]=pogoda__2[[#This Row],[nubis W]],1,0)</f>
        <v>1</v>
      </c>
      <c r="L49">
        <f>IF(AND(pogoda__2[[#This Row],[Temperatura]]&gt;=20,pogoda__2[[#This Row],[Opad]]&lt;=5),1,0)</f>
        <v>0</v>
      </c>
      <c r="M49">
        <v>0</v>
      </c>
    </row>
    <row r="50" spans="1:13" x14ac:dyDescent="0.3">
      <c r="A50">
        <v>49</v>
      </c>
      <c r="B50">
        <v>15.2</v>
      </c>
      <c r="C50">
        <v>0</v>
      </c>
      <c r="D50" s="6">
        <v>0</v>
      </c>
      <c r="E50">
        <v>0</v>
      </c>
      <c r="F50" s="6">
        <v>0</v>
      </c>
      <c r="G50">
        <v>0</v>
      </c>
      <c r="I50">
        <f>IF(pogoda__2[[#This Row],[Kategoria_chmur]]=pogoda__2[[#This Row],[nubis K]],1,0)</f>
        <v>1</v>
      </c>
      <c r="J50">
        <f>IF(pogoda__2[[#This Row],[Wielkosc_chmur]]=pogoda__2[[#This Row],[nubis W]],1,0)</f>
        <v>1</v>
      </c>
      <c r="L50">
        <f>IF(AND(pogoda__2[[#This Row],[Temperatura]]&gt;=20,pogoda__2[[#This Row],[Opad]]&lt;=5),1,0)</f>
        <v>0</v>
      </c>
      <c r="M50">
        <v>0</v>
      </c>
    </row>
    <row r="51" spans="1:13" x14ac:dyDescent="0.3">
      <c r="A51">
        <v>50</v>
      </c>
      <c r="B51">
        <v>13.6</v>
      </c>
      <c r="C51">
        <v>2</v>
      </c>
      <c r="D51" s="6" t="s">
        <v>5</v>
      </c>
      <c r="E51">
        <v>1</v>
      </c>
      <c r="F51" s="6" t="s">
        <v>5</v>
      </c>
      <c r="G51">
        <v>1</v>
      </c>
      <c r="I51">
        <f>IF(pogoda__2[[#This Row],[Kategoria_chmur]]=pogoda__2[[#This Row],[nubis K]],1,0)</f>
        <v>1</v>
      </c>
      <c r="J51">
        <f>IF(pogoda__2[[#This Row],[Wielkosc_chmur]]=pogoda__2[[#This Row],[nubis W]],1,0)</f>
        <v>1</v>
      </c>
      <c r="L51">
        <f>IF(AND(pogoda__2[[#This Row],[Temperatura]]&gt;=20,pogoda__2[[#This Row],[Opad]]&lt;=5),1,0)</f>
        <v>0</v>
      </c>
      <c r="M51">
        <v>0</v>
      </c>
    </row>
    <row r="52" spans="1:13" x14ac:dyDescent="0.3">
      <c r="A52">
        <v>51</v>
      </c>
      <c r="B52">
        <v>12.5</v>
      </c>
      <c r="C52">
        <v>3</v>
      </c>
      <c r="D52" s="6" t="s">
        <v>5</v>
      </c>
      <c r="E52">
        <v>1</v>
      </c>
      <c r="F52" s="6" t="s">
        <v>5</v>
      </c>
      <c r="G52">
        <v>1</v>
      </c>
      <c r="I52">
        <f>IF(pogoda__2[[#This Row],[Kategoria_chmur]]=pogoda__2[[#This Row],[nubis K]],1,0)</f>
        <v>1</v>
      </c>
      <c r="J52">
        <f>IF(pogoda__2[[#This Row],[Wielkosc_chmur]]=pogoda__2[[#This Row],[nubis W]],1,0)</f>
        <v>1</v>
      </c>
      <c r="L52">
        <f>IF(AND(pogoda__2[[#This Row],[Temperatura]]&gt;=20,pogoda__2[[#This Row],[Opad]]&lt;=5),1,0)</f>
        <v>0</v>
      </c>
      <c r="M52">
        <v>0</v>
      </c>
    </row>
    <row r="53" spans="1:13" x14ac:dyDescent="0.3">
      <c r="A53">
        <v>52</v>
      </c>
      <c r="B53">
        <v>12.5</v>
      </c>
      <c r="C53">
        <v>2</v>
      </c>
      <c r="D53" s="6" t="s">
        <v>5</v>
      </c>
      <c r="E53">
        <v>1</v>
      </c>
      <c r="F53" s="6" t="s">
        <v>5</v>
      </c>
      <c r="G53">
        <v>1</v>
      </c>
      <c r="I53">
        <f>IF(pogoda__2[[#This Row],[Kategoria_chmur]]=pogoda__2[[#This Row],[nubis K]],1,0)</f>
        <v>1</v>
      </c>
      <c r="J53">
        <f>IF(pogoda__2[[#This Row],[Wielkosc_chmur]]=pogoda__2[[#This Row],[nubis W]],1,0)</f>
        <v>1</v>
      </c>
      <c r="L53">
        <f>IF(AND(pogoda__2[[#This Row],[Temperatura]]&gt;=20,pogoda__2[[#This Row],[Opad]]&lt;=5),1,0)</f>
        <v>0</v>
      </c>
      <c r="M53">
        <v>0</v>
      </c>
    </row>
    <row r="54" spans="1:13" x14ac:dyDescent="0.3">
      <c r="A54">
        <v>53</v>
      </c>
      <c r="B54">
        <v>14.1</v>
      </c>
      <c r="C54">
        <v>4</v>
      </c>
      <c r="D54" s="6" t="s">
        <v>5</v>
      </c>
      <c r="E54">
        <v>2</v>
      </c>
      <c r="F54" s="6" t="s">
        <v>5</v>
      </c>
      <c r="G54">
        <v>2</v>
      </c>
      <c r="I54">
        <f>IF(pogoda__2[[#This Row],[Kategoria_chmur]]=pogoda__2[[#This Row],[nubis K]],1,0)</f>
        <v>1</v>
      </c>
      <c r="J54">
        <f>IF(pogoda__2[[#This Row],[Wielkosc_chmur]]=pogoda__2[[#This Row],[nubis W]],1,0)</f>
        <v>1</v>
      </c>
      <c r="L54">
        <f>IF(AND(pogoda__2[[#This Row],[Temperatura]]&gt;=20,pogoda__2[[#This Row],[Opad]]&lt;=5),1,0)</f>
        <v>0</v>
      </c>
      <c r="M54">
        <v>1</v>
      </c>
    </row>
    <row r="55" spans="1:13" x14ac:dyDescent="0.3">
      <c r="A55">
        <v>54</v>
      </c>
      <c r="B55">
        <v>17.100000000000001</v>
      </c>
      <c r="C55">
        <v>5</v>
      </c>
      <c r="D55" s="6" t="s">
        <v>5</v>
      </c>
      <c r="E55">
        <v>2</v>
      </c>
      <c r="F55" s="6" t="s">
        <v>5</v>
      </c>
      <c r="G55">
        <v>2</v>
      </c>
      <c r="I55">
        <f>IF(pogoda__2[[#This Row],[Kategoria_chmur]]=pogoda__2[[#This Row],[nubis K]],1,0)</f>
        <v>1</v>
      </c>
      <c r="J55">
        <f>IF(pogoda__2[[#This Row],[Wielkosc_chmur]]=pogoda__2[[#This Row],[nubis W]],1,0)</f>
        <v>1</v>
      </c>
      <c r="L55">
        <f>IF(AND(pogoda__2[[#This Row],[Temperatura]]&gt;=20,pogoda__2[[#This Row],[Opad]]&lt;=5),1,0)</f>
        <v>0</v>
      </c>
      <c r="M55">
        <v>2</v>
      </c>
    </row>
    <row r="56" spans="1:13" x14ac:dyDescent="0.3">
      <c r="A56">
        <v>55</v>
      </c>
      <c r="B56">
        <v>20.9</v>
      </c>
      <c r="C56">
        <v>9</v>
      </c>
      <c r="D56" s="6" t="s">
        <v>5</v>
      </c>
      <c r="E56">
        <v>2</v>
      </c>
      <c r="F56" s="6" t="s">
        <v>5</v>
      </c>
      <c r="G56">
        <v>2</v>
      </c>
      <c r="I56">
        <f>IF(pogoda__2[[#This Row],[Kategoria_chmur]]=pogoda__2[[#This Row],[nubis K]],1,0)</f>
        <v>1</v>
      </c>
      <c r="J56">
        <f>IF(pogoda__2[[#This Row],[Wielkosc_chmur]]=pogoda__2[[#This Row],[nubis W]],1,0)</f>
        <v>1</v>
      </c>
      <c r="L56">
        <f>IF(AND(pogoda__2[[#This Row],[Temperatura]]&gt;=20,pogoda__2[[#This Row],[Opad]]&lt;=5),1,0)</f>
        <v>0</v>
      </c>
      <c r="M56">
        <v>3</v>
      </c>
    </row>
    <row r="57" spans="1:13" x14ac:dyDescent="0.3">
      <c r="A57">
        <v>56</v>
      </c>
      <c r="B57">
        <v>24.5</v>
      </c>
      <c r="C57">
        <v>2</v>
      </c>
      <c r="D57" s="6" t="s">
        <v>5</v>
      </c>
      <c r="E57">
        <v>3</v>
      </c>
      <c r="F57" s="6" t="s">
        <v>5</v>
      </c>
      <c r="G57">
        <v>3</v>
      </c>
      <c r="I57">
        <f>IF(pogoda__2[[#This Row],[Kategoria_chmur]]=pogoda__2[[#This Row],[nubis K]],1,0)</f>
        <v>1</v>
      </c>
      <c r="J57">
        <f>IF(pogoda__2[[#This Row],[Wielkosc_chmur]]=pogoda__2[[#This Row],[nubis W]],1,0)</f>
        <v>1</v>
      </c>
      <c r="L57">
        <f>IF(AND(pogoda__2[[#This Row],[Temperatura]]&gt;=20,pogoda__2[[#This Row],[Opad]]&lt;=5),1,0)</f>
        <v>1</v>
      </c>
      <c r="M57">
        <v>4</v>
      </c>
    </row>
    <row r="58" spans="1:13" x14ac:dyDescent="0.3">
      <c r="A58">
        <v>57</v>
      </c>
      <c r="B58">
        <v>27.3</v>
      </c>
      <c r="C58">
        <v>16</v>
      </c>
      <c r="D58" s="6" t="s">
        <v>5</v>
      </c>
      <c r="E58">
        <v>3</v>
      </c>
      <c r="F58" s="6" t="s">
        <v>5</v>
      </c>
      <c r="G58">
        <v>3</v>
      </c>
      <c r="I58">
        <f>IF(pogoda__2[[#This Row],[Kategoria_chmur]]=pogoda__2[[#This Row],[nubis K]],1,0)</f>
        <v>1</v>
      </c>
      <c r="J58">
        <f>IF(pogoda__2[[#This Row],[Wielkosc_chmur]]=pogoda__2[[#This Row],[nubis W]],1,0)</f>
        <v>1</v>
      </c>
      <c r="L58">
        <f>IF(AND(pogoda__2[[#This Row],[Temperatura]]&gt;=20,pogoda__2[[#This Row],[Opad]]&lt;=5),1,0)</f>
        <v>0</v>
      </c>
      <c r="M58">
        <v>5</v>
      </c>
    </row>
    <row r="59" spans="1:13" x14ac:dyDescent="0.3">
      <c r="A59">
        <v>58</v>
      </c>
      <c r="B59">
        <v>28.4</v>
      </c>
      <c r="C59">
        <v>14</v>
      </c>
      <c r="D59" s="6" t="s">
        <v>5</v>
      </c>
      <c r="E59">
        <v>3</v>
      </c>
      <c r="F59" s="6" t="s">
        <v>5</v>
      </c>
      <c r="G59">
        <v>3</v>
      </c>
      <c r="I59">
        <f>IF(pogoda__2[[#This Row],[Kategoria_chmur]]=pogoda__2[[#This Row],[nubis K]],1,0)</f>
        <v>1</v>
      </c>
      <c r="J59">
        <f>IF(pogoda__2[[#This Row],[Wielkosc_chmur]]=pogoda__2[[#This Row],[nubis W]],1,0)</f>
        <v>1</v>
      </c>
      <c r="L59">
        <f>IF(AND(pogoda__2[[#This Row],[Temperatura]]&gt;=20,pogoda__2[[#This Row],[Opad]]&lt;=5),1,0)</f>
        <v>0</v>
      </c>
      <c r="M59">
        <v>6</v>
      </c>
    </row>
    <row r="60" spans="1:13" x14ac:dyDescent="0.3">
      <c r="A60">
        <v>59</v>
      </c>
      <c r="B60">
        <v>27.8</v>
      </c>
      <c r="C60">
        <v>14</v>
      </c>
      <c r="D60" s="6" t="s">
        <v>5</v>
      </c>
      <c r="E60">
        <v>3</v>
      </c>
      <c r="F60" s="6" t="s">
        <v>5</v>
      </c>
      <c r="G60">
        <v>4</v>
      </c>
      <c r="I60">
        <f>IF(pogoda__2[[#This Row],[Kategoria_chmur]]=pogoda__2[[#This Row],[nubis K]],1,0)</f>
        <v>1</v>
      </c>
      <c r="J60">
        <f>IF(pogoda__2[[#This Row],[Wielkosc_chmur]]=pogoda__2[[#This Row],[nubis W]],1,0)</f>
        <v>0</v>
      </c>
      <c r="L60">
        <f>IF(AND(pogoda__2[[#This Row],[Temperatura]]&gt;=20,pogoda__2[[#This Row],[Opad]]&lt;=5),1,0)</f>
        <v>0</v>
      </c>
      <c r="M60">
        <v>0</v>
      </c>
    </row>
    <row r="61" spans="1:13" x14ac:dyDescent="0.3">
      <c r="A61">
        <v>60</v>
      </c>
      <c r="B61">
        <v>25.9</v>
      </c>
      <c r="C61">
        <v>6</v>
      </c>
      <c r="D61" s="6" t="s">
        <v>5</v>
      </c>
      <c r="E61">
        <v>4</v>
      </c>
      <c r="F61" s="6" t="s">
        <v>5</v>
      </c>
      <c r="G61">
        <v>4</v>
      </c>
      <c r="I61">
        <f>IF(pogoda__2[[#This Row],[Kategoria_chmur]]=pogoda__2[[#This Row],[nubis K]],1,0)</f>
        <v>1</v>
      </c>
      <c r="J61">
        <f>IF(pogoda__2[[#This Row],[Wielkosc_chmur]]=pogoda__2[[#This Row],[nubis W]],1,0)</f>
        <v>1</v>
      </c>
      <c r="L61">
        <f>IF(AND(pogoda__2[[#This Row],[Temperatura]]&gt;=20,pogoda__2[[#This Row],[Opad]]&lt;=5),1,0)</f>
        <v>0</v>
      </c>
      <c r="M61">
        <v>0</v>
      </c>
    </row>
    <row r="62" spans="1:13" x14ac:dyDescent="0.3">
      <c r="A62">
        <v>61</v>
      </c>
      <c r="B62">
        <v>23.4</v>
      </c>
      <c r="C62">
        <v>21</v>
      </c>
      <c r="D62" s="6" t="s">
        <v>5</v>
      </c>
      <c r="E62">
        <v>4</v>
      </c>
      <c r="F62" s="6" t="s">
        <v>5</v>
      </c>
      <c r="G62">
        <v>4</v>
      </c>
      <c r="I62">
        <f>IF(pogoda__2[[#This Row],[Kategoria_chmur]]=pogoda__2[[#This Row],[nubis K]],1,0)</f>
        <v>1</v>
      </c>
      <c r="J62">
        <f>IF(pogoda__2[[#This Row],[Wielkosc_chmur]]=pogoda__2[[#This Row],[nubis W]],1,0)</f>
        <v>1</v>
      </c>
      <c r="L62">
        <f>IF(AND(pogoda__2[[#This Row],[Temperatura]]&gt;=20,pogoda__2[[#This Row],[Opad]]&lt;=5),1,0)</f>
        <v>0</v>
      </c>
      <c r="M62">
        <v>0</v>
      </c>
    </row>
    <row r="63" spans="1:13" x14ac:dyDescent="0.3">
      <c r="A63">
        <v>62</v>
      </c>
      <c r="B63">
        <v>21.2</v>
      </c>
      <c r="C63">
        <v>21</v>
      </c>
      <c r="D63" s="6" t="s">
        <v>5</v>
      </c>
      <c r="E63">
        <v>5</v>
      </c>
      <c r="F63" s="6" t="s">
        <v>5</v>
      </c>
      <c r="G63">
        <v>5</v>
      </c>
      <c r="I63">
        <f>IF(pogoda__2[[#This Row],[Kategoria_chmur]]=pogoda__2[[#This Row],[nubis K]],1,0)</f>
        <v>1</v>
      </c>
      <c r="J63">
        <f>IF(pogoda__2[[#This Row],[Wielkosc_chmur]]=pogoda__2[[#This Row],[nubis W]],1,0)</f>
        <v>1</v>
      </c>
      <c r="L63">
        <f>IF(AND(pogoda__2[[#This Row],[Temperatura]]&gt;=20,pogoda__2[[#This Row],[Opad]]&lt;=5),1,0)</f>
        <v>0</v>
      </c>
      <c r="M63">
        <v>0</v>
      </c>
    </row>
    <row r="64" spans="1:13" x14ac:dyDescent="0.3">
      <c r="A64">
        <v>63</v>
      </c>
      <c r="B64">
        <v>20</v>
      </c>
      <c r="C64">
        <v>0</v>
      </c>
      <c r="D64" s="6">
        <v>0</v>
      </c>
      <c r="E64">
        <v>0</v>
      </c>
      <c r="F64" s="6">
        <v>0</v>
      </c>
      <c r="G64">
        <v>0</v>
      </c>
      <c r="I64">
        <f>IF(pogoda__2[[#This Row],[Kategoria_chmur]]=pogoda__2[[#This Row],[nubis K]],1,0)</f>
        <v>1</v>
      </c>
      <c r="J64">
        <f>IF(pogoda__2[[#This Row],[Wielkosc_chmur]]=pogoda__2[[#This Row],[nubis W]],1,0)</f>
        <v>1</v>
      </c>
      <c r="L64">
        <f>IF(AND(pogoda__2[[#This Row],[Temperatura]]&gt;=20,pogoda__2[[#This Row],[Opad]]&lt;=5),1,0)</f>
        <v>1</v>
      </c>
      <c r="M64">
        <v>0</v>
      </c>
    </row>
    <row r="65" spans="1:13" x14ac:dyDescent="0.3">
      <c r="A65">
        <v>64</v>
      </c>
      <c r="B65">
        <v>20.3</v>
      </c>
      <c r="C65">
        <v>4</v>
      </c>
      <c r="D65" s="6" t="s">
        <v>5</v>
      </c>
      <c r="E65">
        <v>1</v>
      </c>
      <c r="F65" s="6" t="s">
        <v>5</v>
      </c>
      <c r="G65">
        <v>1</v>
      </c>
      <c r="I65">
        <f>IF(pogoda__2[[#This Row],[Kategoria_chmur]]=pogoda__2[[#This Row],[nubis K]],1,0)</f>
        <v>1</v>
      </c>
      <c r="J65">
        <f>IF(pogoda__2[[#This Row],[Wielkosc_chmur]]=pogoda__2[[#This Row],[nubis W]],1,0)</f>
        <v>1</v>
      </c>
      <c r="L65">
        <f>IF(AND(pogoda__2[[#This Row],[Temperatura]]&gt;=20,pogoda__2[[#This Row],[Opad]]&lt;=5),1,0)</f>
        <v>1</v>
      </c>
      <c r="M65">
        <v>1</v>
      </c>
    </row>
    <row r="66" spans="1:13" x14ac:dyDescent="0.3">
      <c r="A66">
        <v>65</v>
      </c>
      <c r="B66">
        <v>21.8</v>
      </c>
      <c r="C66">
        <v>6</v>
      </c>
      <c r="D66" s="6" t="s">
        <v>5</v>
      </c>
      <c r="E66">
        <v>1</v>
      </c>
      <c r="F66" s="6" t="s">
        <v>5</v>
      </c>
      <c r="G66">
        <v>1</v>
      </c>
      <c r="I66">
        <f>IF(pogoda__2[[#This Row],[Kategoria_chmur]]=pogoda__2[[#This Row],[nubis K]],1,0)</f>
        <v>1</v>
      </c>
      <c r="J66">
        <f>IF(pogoda__2[[#This Row],[Wielkosc_chmur]]=pogoda__2[[#This Row],[nubis W]],1,0)</f>
        <v>1</v>
      </c>
      <c r="L66">
        <f>IF(AND(pogoda__2[[#This Row],[Temperatura]]&gt;=20,pogoda__2[[#This Row],[Opad]]&lt;=5),1,0)</f>
        <v>0</v>
      </c>
      <c r="M66">
        <v>2</v>
      </c>
    </row>
    <row r="67" spans="1:13" x14ac:dyDescent="0.3">
      <c r="A67">
        <v>66</v>
      </c>
      <c r="B67">
        <v>24</v>
      </c>
      <c r="C67">
        <v>3</v>
      </c>
      <c r="D67" s="6" t="s">
        <v>5</v>
      </c>
      <c r="E67">
        <v>1</v>
      </c>
      <c r="F67" s="6" t="s">
        <v>5</v>
      </c>
      <c r="G67">
        <v>1</v>
      </c>
      <c r="I67">
        <f>IF(pogoda__2[[#This Row],[Kategoria_chmur]]=pogoda__2[[#This Row],[nubis K]],1,0)</f>
        <v>1</v>
      </c>
      <c r="J67">
        <f>IF(pogoda__2[[#This Row],[Wielkosc_chmur]]=pogoda__2[[#This Row],[nubis W]],1,0)</f>
        <v>1</v>
      </c>
      <c r="L67">
        <f>IF(AND(pogoda__2[[#This Row],[Temperatura]]&gt;=20,pogoda__2[[#This Row],[Opad]]&lt;=5),1,0)</f>
        <v>1</v>
      </c>
      <c r="M67">
        <v>3</v>
      </c>
    </row>
    <row r="68" spans="1:13" x14ac:dyDescent="0.3">
      <c r="A68">
        <v>67</v>
      </c>
      <c r="B68">
        <v>26.1</v>
      </c>
      <c r="C68">
        <v>7</v>
      </c>
      <c r="D68" s="6" t="s">
        <v>5</v>
      </c>
      <c r="E68">
        <v>2</v>
      </c>
      <c r="F68" s="6" t="s">
        <v>5</v>
      </c>
      <c r="G68">
        <v>2</v>
      </c>
      <c r="I68">
        <f>IF(pogoda__2[[#This Row],[Kategoria_chmur]]=pogoda__2[[#This Row],[nubis K]],1,0)</f>
        <v>1</v>
      </c>
      <c r="J68">
        <f>IF(pogoda__2[[#This Row],[Wielkosc_chmur]]=pogoda__2[[#This Row],[nubis W]],1,0)</f>
        <v>1</v>
      </c>
      <c r="L68">
        <f>IF(AND(pogoda__2[[#This Row],[Temperatura]]&gt;=20,pogoda__2[[#This Row],[Opad]]&lt;=5),1,0)</f>
        <v>0</v>
      </c>
      <c r="M68">
        <v>4</v>
      </c>
    </row>
    <row r="69" spans="1:13" x14ac:dyDescent="0.3">
      <c r="A69">
        <v>68</v>
      </c>
      <c r="B69">
        <v>27.3</v>
      </c>
      <c r="C69">
        <v>6</v>
      </c>
      <c r="D69" s="6" t="s">
        <v>5</v>
      </c>
      <c r="E69">
        <v>2</v>
      </c>
      <c r="F69" s="6" t="s">
        <v>5</v>
      </c>
      <c r="G69">
        <v>2</v>
      </c>
      <c r="I69">
        <f>IF(pogoda__2[[#This Row],[Kategoria_chmur]]=pogoda__2[[#This Row],[nubis K]],1,0)</f>
        <v>1</v>
      </c>
      <c r="J69">
        <f>IF(pogoda__2[[#This Row],[Wielkosc_chmur]]=pogoda__2[[#This Row],[nubis W]],1,0)</f>
        <v>1</v>
      </c>
      <c r="L69">
        <f>IF(AND(pogoda__2[[#This Row],[Temperatura]]&gt;=20,pogoda__2[[#This Row],[Opad]]&lt;=5),1,0)</f>
        <v>0</v>
      </c>
      <c r="M69">
        <v>5</v>
      </c>
    </row>
    <row r="70" spans="1:13" x14ac:dyDescent="0.3">
      <c r="A70">
        <v>69</v>
      </c>
      <c r="B70">
        <v>26.8</v>
      </c>
      <c r="C70">
        <v>8</v>
      </c>
      <c r="D70" s="6" t="s">
        <v>5</v>
      </c>
      <c r="E70">
        <v>2</v>
      </c>
      <c r="F70" s="6" t="s">
        <v>5</v>
      </c>
      <c r="G70">
        <v>2</v>
      </c>
      <c r="I70">
        <f>IF(pogoda__2[[#This Row],[Kategoria_chmur]]=pogoda__2[[#This Row],[nubis K]],1,0)</f>
        <v>1</v>
      </c>
      <c r="J70">
        <f>IF(pogoda__2[[#This Row],[Wielkosc_chmur]]=pogoda__2[[#This Row],[nubis W]],1,0)</f>
        <v>1</v>
      </c>
      <c r="L70">
        <f>IF(AND(pogoda__2[[#This Row],[Temperatura]]&gt;=20,pogoda__2[[#This Row],[Opad]]&lt;=5),1,0)</f>
        <v>0</v>
      </c>
      <c r="M70">
        <v>0</v>
      </c>
    </row>
    <row r="71" spans="1:13" x14ac:dyDescent="0.3">
      <c r="A71">
        <v>70</v>
      </c>
      <c r="B71">
        <v>24.7</v>
      </c>
      <c r="C71">
        <v>3</v>
      </c>
      <c r="D71" s="6" t="s">
        <v>5</v>
      </c>
      <c r="E71">
        <v>3</v>
      </c>
      <c r="F71" s="6" t="s">
        <v>5</v>
      </c>
      <c r="G71">
        <v>3</v>
      </c>
      <c r="I71">
        <f>IF(pogoda__2[[#This Row],[Kategoria_chmur]]=pogoda__2[[#This Row],[nubis K]],1,0)</f>
        <v>1</v>
      </c>
      <c r="J71">
        <f>IF(pogoda__2[[#This Row],[Wielkosc_chmur]]=pogoda__2[[#This Row],[nubis W]],1,0)</f>
        <v>1</v>
      </c>
      <c r="L71">
        <f>IF(AND(pogoda__2[[#This Row],[Temperatura]]&gt;=20,pogoda__2[[#This Row],[Opad]]&lt;=5),1,0)</f>
        <v>1</v>
      </c>
      <c r="M71">
        <v>0</v>
      </c>
    </row>
    <row r="72" spans="1:13" x14ac:dyDescent="0.3">
      <c r="A72">
        <v>71</v>
      </c>
      <c r="B72">
        <v>21.2</v>
      </c>
      <c r="C72">
        <v>16</v>
      </c>
      <c r="D72" s="6" t="s">
        <v>5</v>
      </c>
      <c r="E72">
        <v>3</v>
      </c>
      <c r="F72" s="6" t="s">
        <v>5</v>
      </c>
      <c r="G72">
        <v>3</v>
      </c>
      <c r="I72">
        <f>IF(pogoda__2[[#This Row],[Kategoria_chmur]]=pogoda__2[[#This Row],[nubis K]],1,0)</f>
        <v>1</v>
      </c>
      <c r="J72">
        <f>IF(pogoda__2[[#This Row],[Wielkosc_chmur]]=pogoda__2[[#This Row],[nubis W]],1,0)</f>
        <v>1</v>
      </c>
      <c r="L72">
        <f>IF(AND(pogoda__2[[#This Row],[Temperatura]]&gt;=20,pogoda__2[[#This Row],[Opad]]&lt;=5),1,0)</f>
        <v>0</v>
      </c>
      <c r="M72">
        <v>0</v>
      </c>
    </row>
    <row r="73" spans="1:13" x14ac:dyDescent="0.3">
      <c r="A73">
        <v>72</v>
      </c>
      <c r="B73">
        <v>17.3</v>
      </c>
      <c r="C73">
        <v>8</v>
      </c>
      <c r="D73" s="6" t="s">
        <v>5</v>
      </c>
      <c r="E73">
        <v>3</v>
      </c>
      <c r="F73" s="6" t="s">
        <v>5</v>
      </c>
      <c r="G73">
        <v>3</v>
      </c>
      <c r="I73">
        <f>IF(pogoda__2[[#This Row],[Kategoria_chmur]]=pogoda__2[[#This Row],[nubis K]],1,0)</f>
        <v>1</v>
      </c>
      <c r="J73">
        <f>IF(pogoda__2[[#This Row],[Wielkosc_chmur]]=pogoda__2[[#This Row],[nubis W]],1,0)</f>
        <v>1</v>
      </c>
      <c r="L73">
        <f>IF(AND(pogoda__2[[#This Row],[Temperatura]]&gt;=20,pogoda__2[[#This Row],[Opad]]&lt;=5),1,0)</f>
        <v>0</v>
      </c>
      <c r="M73">
        <v>0</v>
      </c>
    </row>
    <row r="74" spans="1:13" x14ac:dyDescent="0.3">
      <c r="A74">
        <v>73</v>
      </c>
      <c r="B74">
        <v>13.7</v>
      </c>
      <c r="C74">
        <v>19</v>
      </c>
      <c r="D74" s="6" t="s">
        <v>5</v>
      </c>
      <c r="E74">
        <v>4</v>
      </c>
      <c r="F74" s="6" t="s">
        <v>5</v>
      </c>
      <c r="G74">
        <v>4</v>
      </c>
      <c r="I74">
        <f>IF(pogoda__2[[#This Row],[Kategoria_chmur]]=pogoda__2[[#This Row],[nubis K]],1,0)</f>
        <v>1</v>
      </c>
      <c r="J74">
        <f>IF(pogoda__2[[#This Row],[Wielkosc_chmur]]=pogoda__2[[#This Row],[nubis W]],1,0)</f>
        <v>1</v>
      </c>
      <c r="L74">
        <f>IF(AND(pogoda__2[[#This Row],[Temperatura]]&gt;=20,pogoda__2[[#This Row],[Opad]]&lt;=5),1,0)</f>
        <v>0</v>
      </c>
      <c r="M74">
        <v>0</v>
      </c>
    </row>
    <row r="75" spans="1:13" x14ac:dyDescent="0.3">
      <c r="A75">
        <v>74</v>
      </c>
      <c r="B75">
        <v>11.3</v>
      </c>
      <c r="C75">
        <v>5</v>
      </c>
      <c r="D75" s="6" t="s">
        <v>5</v>
      </c>
      <c r="E75">
        <v>4</v>
      </c>
      <c r="F75" s="6" t="s">
        <v>5</v>
      </c>
      <c r="G75">
        <v>4</v>
      </c>
      <c r="I75">
        <f>IF(pogoda__2[[#This Row],[Kategoria_chmur]]=pogoda__2[[#This Row],[nubis K]],1,0)</f>
        <v>1</v>
      </c>
      <c r="J75">
        <f>IF(pogoda__2[[#This Row],[Wielkosc_chmur]]=pogoda__2[[#This Row],[nubis W]],1,0)</f>
        <v>1</v>
      </c>
      <c r="L75">
        <f>IF(AND(pogoda__2[[#This Row],[Temperatura]]&gt;=20,pogoda__2[[#This Row],[Opad]]&lt;=5),1,0)</f>
        <v>0</v>
      </c>
      <c r="M75">
        <v>0</v>
      </c>
    </row>
    <row r="76" spans="1:13" x14ac:dyDescent="0.3">
      <c r="A76">
        <v>75</v>
      </c>
      <c r="B76">
        <v>10.5</v>
      </c>
      <c r="C76">
        <v>2</v>
      </c>
      <c r="D76" s="6" t="s">
        <v>5</v>
      </c>
      <c r="E76">
        <v>4</v>
      </c>
      <c r="F76" s="6" t="s">
        <v>5</v>
      </c>
      <c r="G76">
        <v>4</v>
      </c>
      <c r="I76">
        <f>IF(pogoda__2[[#This Row],[Kategoria_chmur]]=pogoda__2[[#This Row],[nubis K]],1,0)</f>
        <v>1</v>
      </c>
      <c r="J76">
        <f>IF(pogoda__2[[#This Row],[Wielkosc_chmur]]=pogoda__2[[#This Row],[nubis W]],1,0)</f>
        <v>1</v>
      </c>
      <c r="L76">
        <f>IF(AND(pogoda__2[[#This Row],[Temperatura]]&gt;=20,pogoda__2[[#This Row],[Opad]]&lt;=5),1,0)</f>
        <v>0</v>
      </c>
      <c r="M76">
        <v>0</v>
      </c>
    </row>
    <row r="77" spans="1:13" x14ac:dyDescent="0.3">
      <c r="A77">
        <v>76</v>
      </c>
      <c r="B77">
        <v>11</v>
      </c>
      <c r="C77">
        <v>22</v>
      </c>
      <c r="D77" s="6" t="s">
        <v>5</v>
      </c>
      <c r="E77">
        <v>5</v>
      </c>
      <c r="F77" s="6" t="s">
        <v>5</v>
      </c>
      <c r="G77">
        <v>5</v>
      </c>
      <c r="I77">
        <f>IF(pogoda__2[[#This Row],[Kategoria_chmur]]=pogoda__2[[#This Row],[nubis K]],1,0)</f>
        <v>1</v>
      </c>
      <c r="J77">
        <f>IF(pogoda__2[[#This Row],[Wielkosc_chmur]]=pogoda__2[[#This Row],[nubis W]],1,0)</f>
        <v>1</v>
      </c>
      <c r="L77">
        <f>IF(AND(pogoda__2[[#This Row],[Temperatura]]&gt;=20,pogoda__2[[#This Row],[Opad]]&lt;=5),1,0)</f>
        <v>0</v>
      </c>
      <c r="M77">
        <v>1</v>
      </c>
    </row>
    <row r="78" spans="1:13" x14ac:dyDescent="0.3">
      <c r="A78">
        <v>77</v>
      </c>
      <c r="B78">
        <v>12.5</v>
      </c>
      <c r="C78">
        <v>0</v>
      </c>
      <c r="D78" s="6">
        <v>0</v>
      </c>
      <c r="E78">
        <v>0</v>
      </c>
      <c r="F78" s="6">
        <v>0</v>
      </c>
      <c r="G78">
        <v>0</v>
      </c>
      <c r="I78">
        <f>IF(pogoda__2[[#This Row],[Kategoria_chmur]]=pogoda__2[[#This Row],[nubis K]],1,0)</f>
        <v>1</v>
      </c>
      <c r="J78">
        <f>IF(pogoda__2[[#This Row],[Wielkosc_chmur]]=pogoda__2[[#This Row],[nubis W]],1,0)</f>
        <v>1</v>
      </c>
      <c r="L78">
        <f>IF(AND(pogoda__2[[#This Row],[Temperatura]]&gt;=20,pogoda__2[[#This Row],[Opad]]&lt;=5),1,0)</f>
        <v>0</v>
      </c>
      <c r="M78">
        <v>2</v>
      </c>
    </row>
    <row r="79" spans="1:13" x14ac:dyDescent="0.3">
      <c r="A79">
        <v>78</v>
      </c>
      <c r="B79">
        <v>14</v>
      </c>
      <c r="C79">
        <v>2</v>
      </c>
      <c r="D79" s="6" t="s">
        <v>5</v>
      </c>
      <c r="E79">
        <v>1</v>
      </c>
      <c r="F79" s="6" t="s">
        <v>5</v>
      </c>
      <c r="G79">
        <v>1</v>
      </c>
      <c r="I79">
        <f>IF(pogoda__2[[#This Row],[Kategoria_chmur]]=pogoda__2[[#This Row],[nubis K]],1,0)</f>
        <v>1</v>
      </c>
      <c r="J79">
        <f>IF(pogoda__2[[#This Row],[Wielkosc_chmur]]=pogoda__2[[#This Row],[nubis W]],1,0)</f>
        <v>1</v>
      </c>
      <c r="L79">
        <f>IF(AND(pogoda__2[[#This Row],[Temperatura]]&gt;=20,pogoda__2[[#This Row],[Opad]]&lt;=5),1,0)</f>
        <v>0</v>
      </c>
      <c r="M79">
        <v>3</v>
      </c>
    </row>
    <row r="80" spans="1:13" x14ac:dyDescent="0.3">
      <c r="A80">
        <v>79</v>
      </c>
      <c r="B80">
        <v>14.7</v>
      </c>
      <c r="C80">
        <v>4</v>
      </c>
      <c r="D80" s="6" t="s">
        <v>5</v>
      </c>
      <c r="E80">
        <v>1</v>
      </c>
      <c r="F80" s="6" t="s">
        <v>5</v>
      </c>
      <c r="G80">
        <v>1</v>
      </c>
      <c r="I80">
        <f>IF(pogoda__2[[#This Row],[Kategoria_chmur]]=pogoda__2[[#This Row],[nubis K]],1,0)</f>
        <v>1</v>
      </c>
      <c r="J80">
        <f>IF(pogoda__2[[#This Row],[Wielkosc_chmur]]=pogoda__2[[#This Row],[nubis W]],1,0)</f>
        <v>1</v>
      </c>
      <c r="L80">
        <f>IF(AND(pogoda__2[[#This Row],[Temperatura]]&gt;=20,pogoda__2[[#This Row],[Opad]]&lt;=5),1,0)</f>
        <v>0</v>
      </c>
      <c r="M80">
        <v>4</v>
      </c>
    </row>
    <row r="81" spans="1:13" x14ac:dyDescent="0.3">
      <c r="A81">
        <v>80</v>
      </c>
      <c r="B81">
        <v>14.1</v>
      </c>
      <c r="C81">
        <v>5</v>
      </c>
      <c r="D81" s="6" t="s">
        <v>6</v>
      </c>
      <c r="E81">
        <v>1</v>
      </c>
      <c r="F81" s="6" t="s">
        <v>5</v>
      </c>
      <c r="G81">
        <v>1</v>
      </c>
      <c r="I81">
        <f>IF(pogoda__2[[#This Row],[Kategoria_chmur]]=pogoda__2[[#This Row],[nubis K]],1,0)</f>
        <v>0</v>
      </c>
      <c r="J81">
        <f>IF(pogoda__2[[#This Row],[Wielkosc_chmur]]=pogoda__2[[#This Row],[nubis W]],1,0)</f>
        <v>1</v>
      </c>
      <c r="L81">
        <f>IF(AND(pogoda__2[[#This Row],[Temperatura]]&gt;=20,pogoda__2[[#This Row],[Opad]]&lt;=5),1,0)</f>
        <v>0</v>
      </c>
      <c r="M81">
        <v>0</v>
      </c>
    </row>
    <row r="82" spans="1:13" x14ac:dyDescent="0.3">
      <c r="A82">
        <v>81</v>
      </c>
      <c r="B82">
        <v>11.9</v>
      </c>
      <c r="C82">
        <v>8</v>
      </c>
      <c r="D82" s="6" t="s">
        <v>5</v>
      </c>
      <c r="E82">
        <v>2</v>
      </c>
      <c r="F82" s="6" t="s">
        <v>5</v>
      </c>
      <c r="G82">
        <v>2</v>
      </c>
      <c r="I82">
        <f>IF(pogoda__2[[#This Row],[Kategoria_chmur]]=pogoda__2[[#This Row],[nubis K]],1,0)</f>
        <v>1</v>
      </c>
      <c r="J82">
        <f>IF(pogoda__2[[#This Row],[Wielkosc_chmur]]=pogoda__2[[#This Row],[nubis W]],1,0)</f>
        <v>1</v>
      </c>
      <c r="L82">
        <f>IF(AND(pogoda__2[[#This Row],[Temperatura]]&gt;=20,pogoda__2[[#This Row],[Opad]]&lt;=5),1,0)</f>
        <v>0</v>
      </c>
      <c r="M82">
        <v>0</v>
      </c>
    </row>
    <row r="83" spans="1:13" x14ac:dyDescent="0.3">
      <c r="A83">
        <v>82</v>
      </c>
      <c r="B83">
        <v>8.6999999999999993</v>
      </c>
      <c r="C83">
        <v>6</v>
      </c>
      <c r="D83" s="6" t="s">
        <v>5</v>
      </c>
      <c r="E83">
        <v>2</v>
      </c>
      <c r="F83" s="6" t="s">
        <v>5</v>
      </c>
      <c r="G83">
        <v>2</v>
      </c>
      <c r="I83">
        <f>IF(pogoda__2[[#This Row],[Kategoria_chmur]]=pogoda__2[[#This Row],[nubis K]],1,0)</f>
        <v>1</v>
      </c>
      <c r="J83">
        <f>IF(pogoda__2[[#This Row],[Wielkosc_chmur]]=pogoda__2[[#This Row],[nubis W]],1,0)</f>
        <v>1</v>
      </c>
      <c r="L83">
        <f>IF(AND(pogoda__2[[#This Row],[Temperatura]]&gt;=20,pogoda__2[[#This Row],[Opad]]&lt;=5),1,0)</f>
        <v>0</v>
      </c>
      <c r="M83">
        <v>0</v>
      </c>
    </row>
    <row r="84" spans="1:13" x14ac:dyDescent="0.3">
      <c r="A84">
        <v>83</v>
      </c>
      <c r="B84">
        <v>5.0999999999999996</v>
      </c>
      <c r="C84">
        <v>3</v>
      </c>
      <c r="D84" s="6" t="s">
        <v>5</v>
      </c>
      <c r="E84">
        <v>2</v>
      </c>
      <c r="F84" s="6" t="s">
        <v>5</v>
      </c>
      <c r="G84">
        <v>2</v>
      </c>
      <c r="I84">
        <f>IF(pogoda__2[[#This Row],[Kategoria_chmur]]=pogoda__2[[#This Row],[nubis K]],1,0)</f>
        <v>1</v>
      </c>
      <c r="J84">
        <f>IF(pogoda__2[[#This Row],[Wielkosc_chmur]]=pogoda__2[[#This Row],[nubis W]],1,0)</f>
        <v>1</v>
      </c>
      <c r="L84">
        <f>IF(AND(pogoda__2[[#This Row],[Temperatura]]&gt;=20,pogoda__2[[#This Row],[Opad]]&lt;=5),1,0)</f>
        <v>0</v>
      </c>
      <c r="M84">
        <v>0</v>
      </c>
    </row>
    <row r="85" spans="1:13" x14ac:dyDescent="0.3">
      <c r="A85">
        <v>84</v>
      </c>
      <c r="B85">
        <v>2.2000000000000002</v>
      </c>
      <c r="C85">
        <v>1</v>
      </c>
      <c r="D85" s="6" t="s">
        <v>5</v>
      </c>
      <c r="E85">
        <v>3</v>
      </c>
      <c r="F85" s="6" t="s">
        <v>5</v>
      </c>
      <c r="G85">
        <v>3</v>
      </c>
      <c r="I85">
        <f>IF(pogoda__2[[#This Row],[Kategoria_chmur]]=pogoda__2[[#This Row],[nubis K]],1,0)</f>
        <v>1</v>
      </c>
      <c r="J85">
        <f>IF(pogoda__2[[#This Row],[Wielkosc_chmur]]=pogoda__2[[#This Row],[nubis W]],1,0)</f>
        <v>1</v>
      </c>
      <c r="L85">
        <f>IF(AND(pogoda__2[[#This Row],[Temperatura]]&gt;=20,pogoda__2[[#This Row],[Opad]]&lt;=5),1,0)</f>
        <v>0</v>
      </c>
      <c r="M85">
        <v>0</v>
      </c>
    </row>
    <row r="86" spans="1:13" x14ac:dyDescent="0.3">
      <c r="A86">
        <v>85</v>
      </c>
      <c r="B86">
        <v>0.5</v>
      </c>
      <c r="C86">
        <v>5</v>
      </c>
      <c r="D86" s="6" t="s">
        <v>5</v>
      </c>
      <c r="E86">
        <v>3</v>
      </c>
      <c r="F86" s="6" t="s">
        <v>5</v>
      </c>
      <c r="G86">
        <v>3</v>
      </c>
      <c r="I86">
        <f>IF(pogoda__2[[#This Row],[Kategoria_chmur]]=pogoda__2[[#This Row],[nubis K]],1,0)</f>
        <v>1</v>
      </c>
      <c r="J86">
        <f>IF(pogoda__2[[#This Row],[Wielkosc_chmur]]=pogoda__2[[#This Row],[nubis W]],1,0)</f>
        <v>1</v>
      </c>
      <c r="L86">
        <f>IF(AND(pogoda__2[[#This Row],[Temperatura]]&gt;=20,pogoda__2[[#This Row],[Opad]]&lt;=5),1,0)</f>
        <v>0</v>
      </c>
      <c r="M86">
        <v>0</v>
      </c>
    </row>
    <row r="87" spans="1:13" x14ac:dyDescent="0.3">
      <c r="A87">
        <v>86</v>
      </c>
      <c r="B87">
        <v>0.6</v>
      </c>
      <c r="C87">
        <v>13</v>
      </c>
      <c r="D87" s="6" t="s">
        <v>5</v>
      </c>
      <c r="E87">
        <v>3</v>
      </c>
      <c r="F87" s="6" t="s">
        <v>5</v>
      </c>
      <c r="G87">
        <v>3</v>
      </c>
      <c r="I87">
        <f>IF(pogoda__2[[#This Row],[Kategoria_chmur]]=pogoda__2[[#This Row],[nubis K]],1,0)</f>
        <v>1</v>
      </c>
      <c r="J87">
        <f>IF(pogoda__2[[#This Row],[Wielkosc_chmur]]=pogoda__2[[#This Row],[nubis W]],1,0)</f>
        <v>1</v>
      </c>
      <c r="L87">
        <f>IF(AND(pogoda__2[[#This Row],[Temperatura]]&gt;=20,pogoda__2[[#This Row],[Opad]]&lt;=5),1,0)</f>
        <v>0</v>
      </c>
      <c r="M87">
        <v>1</v>
      </c>
    </row>
    <row r="88" spans="1:13" x14ac:dyDescent="0.3">
      <c r="A88">
        <v>87</v>
      </c>
      <c r="B88">
        <v>2.2999999999999998</v>
      </c>
      <c r="C88">
        <v>4</v>
      </c>
      <c r="D88" s="6" t="s">
        <v>5</v>
      </c>
      <c r="E88">
        <v>4</v>
      </c>
      <c r="F88" s="6" t="s">
        <v>5</v>
      </c>
      <c r="G88">
        <v>4</v>
      </c>
      <c r="I88">
        <f>IF(pogoda__2[[#This Row],[Kategoria_chmur]]=pogoda__2[[#This Row],[nubis K]],1,0)</f>
        <v>1</v>
      </c>
      <c r="J88">
        <f>IF(pogoda__2[[#This Row],[Wielkosc_chmur]]=pogoda__2[[#This Row],[nubis W]],1,0)</f>
        <v>1</v>
      </c>
      <c r="L88">
        <f>IF(AND(pogoda__2[[#This Row],[Temperatura]]&gt;=20,pogoda__2[[#This Row],[Opad]]&lt;=5),1,0)</f>
        <v>0</v>
      </c>
      <c r="M88">
        <v>2</v>
      </c>
    </row>
    <row r="89" spans="1:13" x14ac:dyDescent="0.3">
      <c r="A89">
        <v>88</v>
      </c>
      <c r="B89">
        <v>5</v>
      </c>
      <c r="C89">
        <v>9</v>
      </c>
      <c r="D89" s="6" t="s">
        <v>5</v>
      </c>
      <c r="E89">
        <v>4</v>
      </c>
      <c r="F89" s="6" t="s">
        <v>5</v>
      </c>
      <c r="G89">
        <v>4</v>
      </c>
      <c r="I89">
        <f>IF(pogoda__2[[#This Row],[Kategoria_chmur]]=pogoda__2[[#This Row],[nubis K]],1,0)</f>
        <v>1</v>
      </c>
      <c r="J89">
        <f>IF(pogoda__2[[#This Row],[Wielkosc_chmur]]=pogoda__2[[#This Row],[nubis W]],1,0)</f>
        <v>1</v>
      </c>
      <c r="L89">
        <f>IF(AND(pogoda__2[[#This Row],[Temperatura]]&gt;=20,pogoda__2[[#This Row],[Opad]]&lt;=5),1,0)</f>
        <v>0</v>
      </c>
      <c r="M89">
        <v>3</v>
      </c>
    </row>
    <row r="90" spans="1:13" x14ac:dyDescent="0.3">
      <c r="A90">
        <v>89</v>
      </c>
      <c r="B90">
        <v>7.9</v>
      </c>
      <c r="C90">
        <v>24</v>
      </c>
      <c r="D90" s="6" t="s">
        <v>5</v>
      </c>
      <c r="E90">
        <v>4</v>
      </c>
      <c r="F90" s="6" t="s">
        <v>5</v>
      </c>
      <c r="G90">
        <v>4</v>
      </c>
      <c r="I90">
        <f>IF(pogoda__2[[#This Row],[Kategoria_chmur]]=pogoda__2[[#This Row],[nubis K]],1,0)</f>
        <v>1</v>
      </c>
      <c r="J90">
        <f>IF(pogoda__2[[#This Row],[Wielkosc_chmur]]=pogoda__2[[#This Row],[nubis W]],1,0)</f>
        <v>1</v>
      </c>
      <c r="L90">
        <f>IF(AND(pogoda__2[[#This Row],[Temperatura]]&gt;=20,pogoda__2[[#This Row],[Opad]]&lt;=5),1,0)</f>
        <v>0</v>
      </c>
      <c r="M90">
        <v>4</v>
      </c>
    </row>
    <row r="91" spans="1:13" x14ac:dyDescent="0.3">
      <c r="A91">
        <v>90</v>
      </c>
      <c r="B91">
        <v>10</v>
      </c>
      <c r="C91">
        <v>15</v>
      </c>
      <c r="D91" s="6" t="s">
        <v>5</v>
      </c>
      <c r="E91">
        <v>5</v>
      </c>
      <c r="F91" s="6" t="s">
        <v>5</v>
      </c>
      <c r="G91">
        <v>5</v>
      </c>
      <c r="I91">
        <f>IF(pogoda__2[[#This Row],[Kategoria_chmur]]=pogoda__2[[#This Row],[nubis K]],1,0)</f>
        <v>1</v>
      </c>
      <c r="J91">
        <f>IF(pogoda__2[[#This Row],[Wielkosc_chmur]]=pogoda__2[[#This Row],[nubis W]],1,0)</f>
        <v>1</v>
      </c>
      <c r="L91">
        <f>IF(AND(pogoda__2[[#This Row],[Temperatura]]&gt;=20,pogoda__2[[#This Row],[Opad]]&lt;=5),1,0)</f>
        <v>0</v>
      </c>
      <c r="M91">
        <v>5</v>
      </c>
    </row>
    <row r="92" spans="1:13" x14ac:dyDescent="0.3">
      <c r="A92">
        <v>91</v>
      </c>
      <c r="B92">
        <v>10.9</v>
      </c>
      <c r="C92">
        <v>29</v>
      </c>
      <c r="D92" s="6" t="s">
        <v>5</v>
      </c>
      <c r="E92">
        <v>5</v>
      </c>
      <c r="F92" s="6" t="s">
        <v>5</v>
      </c>
      <c r="G92">
        <v>5</v>
      </c>
      <c r="I92">
        <f>IF(pogoda__2[[#This Row],[Kategoria_chmur]]=pogoda__2[[#This Row],[nubis K]],1,0)</f>
        <v>1</v>
      </c>
      <c r="J92">
        <f>IF(pogoda__2[[#This Row],[Wielkosc_chmur]]=pogoda__2[[#This Row],[nubis W]],1,0)</f>
        <v>1</v>
      </c>
      <c r="L92">
        <f>IF(AND(pogoda__2[[#This Row],[Temperatura]]&gt;=20,pogoda__2[[#This Row],[Opad]]&lt;=5),1,0)</f>
        <v>0</v>
      </c>
      <c r="M92">
        <v>6</v>
      </c>
    </row>
    <row r="93" spans="1:13" x14ac:dyDescent="0.3">
      <c r="A93">
        <v>92</v>
      </c>
      <c r="B93">
        <v>10.3</v>
      </c>
      <c r="C93">
        <v>0</v>
      </c>
      <c r="D93" s="6">
        <v>0</v>
      </c>
      <c r="E93">
        <v>0</v>
      </c>
      <c r="F93" s="6">
        <v>0</v>
      </c>
      <c r="G93">
        <v>0</v>
      </c>
      <c r="I93">
        <f>IF(pogoda__2[[#This Row],[Kategoria_chmur]]=pogoda__2[[#This Row],[nubis K]],1,0)</f>
        <v>1</v>
      </c>
      <c r="J93">
        <f>IF(pogoda__2[[#This Row],[Wielkosc_chmur]]=pogoda__2[[#This Row],[nubis W]],1,0)</f>
        <v>1</v>
      </c>
      <c r="L93">
        <f>IF(AND(pogoda__2[[#This Row],[Temperatura]]&gt;=20,pogoda__2[[#This Row],[Opad]]&lt;=5),1,0)</f>
        <v>0</v>
      </c>
      <c r="M93">
        <v>0</v>
      </c>
    </row>
    <row r="94" spans="1:13" x14ac:dyDescent="0.3">
      <c r="A94">
        <v>93</v>
      </c>
      <c r="B94">
        <v>8.6999999999999993</v>
      </c>
      <c r="C94">
        <v>1</v>
      </c>
      <c r="D94" s="6" t="s">
        <v>6</v>
      </c>
      <c r="E94">
        <v>1</v>
      </c>
      <c r="F94" s="6" t="s">
        <v>6</v>
      </c>
      <c r="G94">
        <v>1</v>
      </c>
      <c r="I94">
        <f>IF(pogoda__2[[#This Row],[Kategoria_chmur]]=pogoda__2[[#This Row],[nubis K]],1,0)</f>
        <v>1</v>
      </c>
      <c r="J94">
        <f>IF(pogoda__2[[#This Row],[Wielkosc_chmur]]=pogoda__2[[#This Row],[nubis W]],1,0)</f>
        <v>1</v>
      </c>
      <c r="L94">
        <f>IF(AND(pogoda__2[[#This Row],[Temperatura]]&gt;=20,pogoda__2[[#This Row],[Opad]]&lt;=5),1,0)</f>
        <v>0</v>
      </c>
      <c r="M94">
        <v>0</v>
      </c>
    </row>
    <row r="95" spans="1:13" x14ac:dyDescent="0.3">
      <c r="A95">
        <v>94</v>
      </c>
      <c r="B95">
        <v>6.7</v>
      </c>
      <c r="C95">
        <v>3</v>
      </c>
      <c r="D95" s="6" t="s">
        <v>6</v>
      </c>
      <c r="E95">
        <v>1</v>
      </c>
      <c r="F95" s="6" t="s">
        <v>6</v>
      </c>
      <c r="G95">
        <v>1</v>
      </c>
      <c r="I95">
        <f>IF(pogoda__2[[#This Row],[Kategoria_chmur]]=pogoda__2[[#This Row],[nubis K]],1,0)</f>
        <v>1</v>
      </c>
      <c r="J95">
        <f>IF(pogoda__2[[#This Row],[Wielkosc_chmur]]=pogoda__2[[#This Row],[nubis W]],1,0)</f>
        <v>1</v>
      </c>
      <c r="L95">
        <f>IF(AND(pogoda__2[[#This Row],[Temperatura]]&gt;=20,pogoda__2[[#This Row],[Opad]]&lt;=5),1,0)</f>
        <v>0</v>
      </c>
      <c r="M95">
        <v>0</v>
      </c>
    </row>
    <row r="96" spans="1:13" x14ac:dyDescent="0.3">
      <c r="A96">
        <v>95</v>
      </c>
      <c r="B96">
        <v>5.3</v>
      </c>
      <c r="C96">
        <v>6</v>
      </c>
      <c r="D96" s="6" t="s">
        <v>6</v>
      </c>
      <c r="E96">
        <v>1</v>
      </c>
      <c r="F96" s="6" t="s">
        <v>6</v>
      </c>
      <c r="G96">
        <v>1</v>
      </c>
      <c r="I96">
        <f>IF(pogoda__2[[#This Row],[Kategoria_chmur]]=pogoda__2[[#This Row],[nubis K]],1,0)</f>
        <v>1</v>
      </c>
      <c r="J96">
        <f>IF(pogoda__2[[#This Row],[Wielkosc_chmur]]=pogoda__2[[#This Row],[nubis W]],1,0)</f>
        <v>1</v>
      </c>
      <c r="L96">
        <f>IF(AND(pogoda__2[[#This Row],[Temperatura]]&gt;=20,pogoda__2[[#This Row],[Opad]]&lt;=5),1,0)</f>
        <v>0</v>
      </c>
      <c r="M96">
        <v>0</v>
      </c>
    </row>
    <row r="97" spans="1:13" x14ac:dyDescent="0.3">
      <c r="A97">
        <v>96</v>
      </c>
      <c r="B97">
        <v>5.2</v>
      </c>
      <c r="C97">
        <v>3</v>
      </c>
      <c r="D97" s="6" t="s">
        <v>6</v>
      </c>
      <c r="E97">
        <v>2</v>
      </c>
      <c r="F97" s="6" t="s">
        <v>6</v>
      </c>
      <c r="G97">
        <v>2</v>
      </c>
      <c r="I97">
        <f>IF(pogoda__2[[#This Row],[Kategoria_chmur]]=pogoda__2[[#This Row],[nubis K]],1,0)</f>
        <v>1</v>
      </c>
      <c r="J97">
        <f>IF(pogoda__2[[#This Row],[Wielkosc_chmur]]=pogoda__2[[#This Row],[nubis W]],1,0)</f>
        <v>1</v>
      </c>
      <c r="L97">
        <f>IF(AND(pogoda__2[[#This Row],[Temperatura]]&gt;=20,pogoda__2[[#This Row],[Opad]]&lt;=5),1,0)</f>
        <v>0</v>
      </c>
      <c r="M97">
        <v>0</v>
      </c>
    </row>
    <row r="98" spans="1:13" x14ac:dyDescent="0.3">
      <c r="A98">
        <v>97</v>
      </c>
      <c r="B98">
        <v>6.8</v>
      </c>
      <c r="C98">
        <v>2</v>
      </c>
      <c r="D98" s="6" t="s">
        <v>6</v>
      </c>
      <c r="E98">
        <v>2</v>
      </c>
      <c r="F98" s="6" t="s">
        <v>6</v>
      </c>
      <c r="G98">
        <v>2</v>
      </c>
      <c r="I98">
        <f>IF(pogoda__2[[#This Row],[Kategoria_chmur]]=pogoda__2[[#This Row],[nubis K]],1,0)</f>
        <v>1</v>
      </c>
      <c r="J98">
        <f>IF(pogoda__2[[#This Row],[Wielkosc_chmur]]=pogoda__2[[#This Row],[nubis W]],1,0)</f>
        <v>1</v>
      </c>
      <c r="L98">
        <f>IF(AND(pogoda__2[[#This Row],[Temperatura]]&gt;=20,pogoda__2[[#This Row],[Opad]]&lt;=5),1,0)</f>
        <v>0</v>
      </c>
      <c r="M98">
        <v>1</v>
      </c>
    </row>
    <row r="99" spans="1:13" x14ac:dyDescent="0.3">
      <c r="A99">
        <v>98</v>
      </c>
      <c r="B99">
        <v>9.8000000000000007</v>
      </c>
      <c r="C99">
        <v>11</v>
      </c>
      <c r="D99" s="6" t="s">
        <v>6</v>
      </c>
      <c r="E99">
        <v>2</v>
      </c>
      <c r="F99" s="6" t="s">
        <v>6</v>
      </c>
      <c r="G99">
        <v>2</v>
      </c>
      <c r="I99">
        <f>IF(pogoda__2[[#This Row],[Kategoria_chmur]]=pogoda__2[[#This Row],[nubis K]],1,0)</f>
        <v>1</v>
      </c>
      <c r="J99">
        <f>IF(pogoda__2[[#This Row],[Wielkosc_chmur]]=pogoda__2[[#This Row],[nubis W]],1,0)</f>
        <v>1</v>
      </c>
      <c r="L99">
        <f>IF(AND(pogoda__2[[#This Row],[Temperatura]]&gt;=20,pogoda__2[[#This Row],[Opad]]&lt;=5),1,0)</f>
        <v>0</v>
      </c>
      <c r="M99">
        <v>2</v>
      </c>
    </row>
    <row r="100" spans="1:13" x14ac:dyDescent="0.3">
      <c r="A100">
        <v>99</v>
      </c>
      <c r="B100">
        <v>13.7</v>
      </c>
      <c r="C100">
        <v>8</v>
      </c>
      <c r="D100" s="6" t="s">
        <v>6</v>
      </c>
      <c r="E100">
        <v>3</v>
      </c>
      <c r="F100" s="6" t="s">
        <v>6</v>
      </c>
      <c r="G100">
        <v>3</v>
      </c>
      <c r="I100">
        <f>IF(pogoda__2[[#This Row],[Kategoria_chmur]]=pogoda__2[[#This Row],[nubis K]],1,0)</f>
        <v>1</v>
      </c>
      <c r="J100">
        <f>IF(pogoda__2[[#This Row],[Wielkosc_chmur]]=pogoda__2[[#This Row],[nubis W]],1,0)</f>
        <v>1</v>
      </c>
      <c r="L100">
        <f>IF(AND(pogoda__2[[#This Row],[Temperatura]]&gt;=20,pogoda__2[[#This Row],[Opad]]&lt;=5),1,0)</f>
        <v>0</v>
      </c>
      <c r="M100">
        <v>3</v>
      </c>
    </row>
    <row r="101" spans="1:13" x14ac:dyDescent="0.3">
      <c r="A101">
        <v>100</v>
      </c>
      <c r="B101">
        <v>17.7</v>
      </c>
      <c r="C101">
        <v>6</v>
      </c>
      <c r="D101" s="6" t="s">
        <v>6</v>
      </c>
      <c r="E101">
        <v>3</v>
      </c>
      <c r="F101" s="6" t="s">
        <v>6</v>
      </c>
      <c r="G101">
        <v>3</v>
      </c>
      <c r="I101">
        <f>IF(pogoda__2[[#This Row],[Kategoria_chmur]]=pogoda__2[[#This Row],[nubis K]],1,0)</f>
        <v>1</v>
      </c>
      <c r="J101">
        <f>IF(pogoda__2[[#This Row],[Wielkosc_chmur]]=pogoda__2[[#This Row],[nubis W]],1,0)</f>
        <v>1</v>
      </c>
      <c r="L101">
        <f>IF(AND(pogoda__2[[#This Row],[Temperatura]]&gt;=20,pogoda__2[[#This Row],[Opad]]&lt;=5),1,0)</f>
        <v>0</v>
      </c>
      <c r="M101">
        <v>4</v>
      </c>
    </row>
    <row r="102" spans="1:13" x14ac:dyDescent="0.3">
      <c r="A102">
        <v>101</v>
      </c>
      <c r="B102">
        <v>20.8</v>
      </c>
      <c r="C102">
        <v>5</v>
      </c>
      <c r="D102" s="6" t="s">
        <v>6</v>
      </c>
      <c r="E102">
        <v>3</v>
      </c>
      <c r="F102" s="6" t="s">
        <v>6</v>
      </c>
      <c r="G102">
        <v>3</v>
      </c>
      <c r="I102">
        <f>IF(pogoda__2[[#This Row],[Kategoria_chmur]]=pogoda__2[[#This Row],[nubis K]],1,0)</f>
        <v>1</v>
      </c>
      <c r="J102">
        <f>IF(pogoda__2[[#This Row],[Wielkosc_chmur]]=pogoda__2[[#This Row],[nubis W]],1,0)</f>
        <v>1</v>
      </c>
      <c r="L102">
        <f>IF(AND(pogoda__2[[#This Row],[Temperatura]]&gt;=20,pogoda__2[[#This Row],[Opad]]&lt;=5),1,0)</f>
        <v>1</v>
      </c>
      <c r="M102">
        <v>5</v>
      </c>
    </row>
    <row r="103" spans="1:13" x14ac:dyDescent="0.3">
      <c r="A103">
        <v>102</v>
      </c>
      <c r="B103">
        <v>22.4</v>
      </c>
      <c r="C103">
        <v>20</v>
      </c>
      <c r="D103" s="6" t="s">
        <v>6</v>
      </c>
      <c r="E103">
        <v>4</v>
      </c>
      <c r="F103" s="6" t="s">
        <v>6</v>
      </c>
      <c r="G103">
        <v>4</v>
      </c>
      <c r="I103">
        <f>IF(pogoda__2[[#This Row],[Kategoria_chmur]]=pogoda__2[[#This Row],[nubis K]],1,0)</f>
        <v>1</v>
      </c>
      <c r="J103">
        <f>IF(pogoda__2[[#This Row],[Wielkosc_chmur]]=pogoda__2[[#This Row],[nubis W]],1,0)</f>
        <v>1</v>
      </c>
      <c r="L103">
        <f>IF(AND(pogoda__2[[#This Row],[Temperatura]]&gt;=20,pogoda__2[[#This Row],[Opad]]&lt;=5),1,0)</f>
        <v>0</v>
      </c>
      <c r="M103">
        <v>6</v>
      </c>
    </row>
    <row r="104" spans="1:13" x14ac:dyDescent="0.3">
      <c r="A104">
        <v>103</v>
      </c>
      <c r="B104">
        <v>22.5</v>
      </c>
      <c r="C104">
        <v>17</v>
      </c>
      <c r="D104" s="6" t="s">
        <v>6</v>
      </c>
      <c r="E104">
        <v>4</v>
      </c>
      <c r="F104" s="6" t="s">
        <v>6</v>
      </c>
      <c r="G104">
        <v>4</v>
      </c>
      <c r="I104">
        <f>IF(pogoda__2[[#This Row],[Kategoria_chmur]]=pogoda__2[[#This Row],[nubis K]],1,0)</f>
        <v>1</v>
      </c>
      <c r="J104">
        <f>IF(pogoda__2[[#This Row],[Wielkosc_chmur]]=pogoda__2[[#This Row],[nubis W]],1,0)</f>
        <v>1</v>
      </c>
      <c r="L104">
        <f>IF(AND(pogoda__2[[#This Row],[Temperatura]]&gt;=20,pogoda__2[[#This Row],[Opad]]&lt;=5),1,0)</f>
        <v>0</v>
      </c>
      <c r="M104">
        <v>7</v>
      </c>
    </row>
    <row r="105" spans="1:13" x14ac:dyDescent="0.3">
      <c r="A105">
        <v>104</v>
      </c>
      <c r="B105">
        <v>21.2</v>
      </c>
      <c r="C105">
        <v>11</v>
      </c>
      <c r="D105" s="6" t="s">
        <v>6</v>
      </c>
      <c r="E105">
        <v>4</v>
      </c>
      <c r="F105" s="6" t="s">
        <v>6</v>
      </c>
      <c r="G105">
        <v>4</v>
      </c>
      <c r="I105">
        <f>IF(pogoda__2[[#This Row],[Kategoria_chmur]]=pogoda__2[[#This Row],[nubis K]],1,0)</f>
        <v>1</v>
      </c>
      <c r="J105">
        <f>IF(pogoda__2[[#This Row],[Wielkosc_chmur]]=pogoda__2[[#This Row],[nubis W]],1,0)</f>
        <v>1</v>
      </c>
      <c r="L105">
        <f>IF(AND(pogoda__2[[#This Row],[Temperatura]]&gt;=20,pogoda__2[[#This Row],[Opad]]&lt;=5),1,0)</f>
        <v>0</v>
      </c>
      <c r="M105">
        <v>0</v>
      </c>
    </row>
    <row r="106" spans="1:13" x14ac:dyDescent="0.3">
      <c r="A106">
        <v>105</v>
      </c>
      <c r="B106">
        <v>19.5</v>
      </c>
      <c r="C106">
        <v>27</v>
      </c>
      <c r="D106" s="6" t="s">
        <v>6</v>
      </c>
      <c r="E106">
        <v>5</v>
      </c>
      <c r="F106" s="6" t="s">
        <v>6</v>
      </c>
      <c r="G106">
        <v>5</v>
      </c>
      <c r="I106">
        <f>IF(pogoda__2[[#This Row],[Kategoria_chmur]]=pogoda__2[[#This Row],[nubis K]],1,0)</f>
        <v>1</v>
      </c>
      <c r="J106">
        <f>IF(pogoda__2[[#This Row],[Wielkosc_chmur]]=pogoda__2[[#This Row],[nubis W]],1,0)</f>
        <v>1</v>
      </c>
      <c r="L106">
        <f>IF(AND(pogoda__2[[#This Row],[Temperatura]]&gt;=20,pogoda__2[[#This Row],[Opad]]&lt;=5),1,0)</f>
        <v>0</v>
      </c>
      <c r="M106">
        <v>0</v>
      </c>
    </row>
    <row r="107" spans="1:13" x14ac:dyDescent="0.3">
      <c r="A107">
        <v>106</v>
      </c>
      <c r="B107">
        <v>18.100000000000001</v>
      </c>
      <c r="C107">
        <v>0</v>
      </c>
      <c r="D107" s="6">
        <v>0</v>
      </c>
      <c r="E107">
        <v>0</v>
      </c>
      <c r="F107" s="6">
        <v>0</v>
      </c>
      <c r="G107">
        <v>0</v>
      </c>
      <c r="I107">
        <f>IF(pogoda__2[[#This Row],[Kategoria_chmur]]=pogoda__2[[#This Row],[nubis K]],1,0)</f>
        <v>1</v>
      </c>
      <c r="J107">
        <f>IF(pogoda__2[[#This Row],[Wielkosc_chmur]]=pogoda__2[[#This Row],[nubis W]],1,0)</f>
        <v>1</v>
      </c>
      <c r="L107">
        <f>IF(AND(pogoda__2[[#This Row],[Temperatura]]&gt;=20,pogoda__2[[#This Row],[Opad]]&lt;=5),1,0)</f>
        <v>0</v>
      </c>
      <c r="M107">
        <v>0</v>
      </c>
    </row>
    <row r="108" spans="1:13" x14ac:dyDescent="0.3">
      <c r="A108">
        <v>107</v>
      </c>
      <c r="B108">
        <v>17.8</v>
      </c>
      <c r="C108">
        <v>5</v>
      </c>
      <c r="D108" s="6" t="s">
        <v>5</v>
      </c>
      <c r="E108">
        <v>1</v>
      </c>
      <c r="F108" s="6" t="s">
        <v>5</v>
      </c>
      <c r="G108">
        <v>1</v>
      </c>
      <c r="I108">
        <f>IF(pogoda__2[[#This Row],[Kategoria_chmur]]=pogoda__2[[#This Row],[nubis K]],1,0)</f>
        <v>1</v>
      </c>
      <c r="J108">
        <f>IF(pogoda__2[[#This Row],[Wielkosc_chmur]]=pogoda__2[[#This Row],[nubis W]],1,0)</f>
        <v>1</v>
      </c>
      <c r="L108">
        <f>IF(AND(pogoda__2[[#This Row],[Temperatura]]&gt;=20,pogoda__2[[#This Row],[Opad]]&lt;=5),1,0)</f>
        <v>0</v>
      </c>
      <c r="M108">
        <v>0</v>
      </c>
    </row>
    <row r="109" spans="1:13" x14ac:dyDescent="0.3">
      <c r="A109">
        <v>108</v>
      </c>
      <c r="B109">
        <v>18.899999999999999</v>
      </c>
      <c r="C109">
        <v>3</v>
      </c>
      <c r="D109" s="6" t="s">
        <v>5</v>
      </c>
      <c r="E109">
        <v>1</v>
      </c>
      <c r="F109" s="6" t="s">
        <v>5</v>
      </c>
      <c r="G109">
        <v>1</v>
      </c>
      <c r="I109">
        <f>IF(pogoda__2[[#This Row],[Kategoria_chmur]]=pogoda__2[[#This Row],[nubis K]],1,0)</f>
        <v>1</v>
      </c>
      <c r="J109">
        <f>IF(pogoda__2[[#This Row],[Wielkosc_chmur]]=pogoda__2[[#This Row],[nubis W]],1,0)</f>
        <v>1</v>
      </c>
      <c r="L109">
        <f>IF(AND(pogoda__2[[#This Row],[Temperatura]]&gt;=20,pogoda__2[[#This Row],[Opad]]&lt;=5),1,0)</f>
        <v>0</v>
      </c>
      <c r="M109">
        <v>1</v>
      </c>
    </row>
    <row r="110" spans="1:13" x14ac:dyDescent="0.3">
      <c r="A110">
        <v>109</v>
      </c>
      <c r="B110">
        <v>21.3</v>
      </c>
      <c r="C110">
        <v>1</v>
      </c>
      <c r="D110" s="6" t="s">
        <v>5</v>
      </c>
      <c r="E110">
        <v>1</v>
      </c>
      <c r="F110" s="6" t="s">
        <v>5</v>
      </c>
      <c r="G110">
        <v>1</v>
      </c>
      <c r="I110">
        <f>IF(pogoda__2[[#This Row],[Kategoria_chmur]]=pogoda__2[[#This Row],[nubis K]],1,0)</f>
        <v>1</v>
      </c>
      <c r="J110">
        <f>IF(pogoda__2[[#This Row],[Wielkosc_chmur]]=pogoda__2[[#This Row],[nubis W]],1,0)</f>
        <v>1</v>
      </c>
      <c r="L110">
        <f>IF(AND(pogoda__2[[#This Row],[Temperatura]]&gt;=20,pogoda__2[[#This Row],[Opad]]&lt;=5),1,0)</f>
        <v>1</v>
      </c>
      <c r="M110">
        <v>2</v>
      </c>
    </row>
    <row r="111" spans="1:13" x14ac:dyDescent="0.3">
      <c r="A111">
        <v>110</v>
      </c>
      <c r="B111">
        <v>24.5</v>
      </c>
      <c r="C111">
        <v>7</v>
      </c>
      <c r="D111" s="6" t="s">
        <v>5</v>
      </c>
      <c r="E111">
        <v>2</v>
      </c>
      <c r="F111" s="6" t="s">
        <v>5</v>
      </c>
      <c r="G111">
        <v>2</v>
      </c>
      <c r="I111">
        <f>IF(pogoda__2[[#This Row],[Kategoria_chmur]]=pogoda__2[[#This Row],[nubis K]],1,0)</f>
        <v>1</v>
      </c>
      <c r="J111">
        <f>IF(pogoda__2[[#This Row],[Wielkosc_chmur]]=pogoda__2[[#This Row],[nubis W]],1,0)</f>
        <v>1</v>
      </c>
      <c r="L111">
        <f>IF(AND(pogoda__2[[#This Row],[Temperatura]]&gt;=20,pogoda__2[[#This Row],[Opad]]&lt;=5),1,0)</f>
        <v>0</v>
      </c>
      <c r="M111">
        <v>3</v>
      </c>
    </row>
    <row r="112" spans="1:13" x14ac:dyDescent="0.3">
      <c r="A112">
        <v>111</v>
      </c>
      <c r="B112">
        <v>27.5</v>
      </c>
      <c r="C112">
        <v>12</v>
      </c>
      <c r="D112" s="6" t="s">
        <v>5</v>
      </c>
      <c r="E112">
        <v>2</v>
      </c>
      <c r="F112" s="6" t="s">
        <v>5</v>
      </c>
      <c r="G112">
        <v>2</v>
      </c>
      <c r="I112">
        <f>IF(pogoda__2[[#This Row],[Kategoria_chmur]]=pogoda__2[[#This Row],[nubis K]],1,0)</f>
        <v>1</v>
      </c>
      <c r="J112">
        <f>IF(pogoda__2[[#This Row],[Wielkosc_chmur]]=pogoda__2[[#This Row],[nubis W]],1,0)</f>
        <v>1</v>
      </c>
      <c r="L112">
        <f>IF(AND(pogoda__2[[#This Row],[Temperatura]]&gt;=20,pogoda__2[[#This Row],[Opad]]&lt;=5),1,0)</f>
        <v>0</v>
      </c>
      <c r="M112">
        <v>4</v>
      </c>
    </row>
    <row r="113" spans="1:13" x14ac:dyDescent="0.3">
      <c r="A113">
        <v>112</v>
      </c>
      <c r="B113">
        <v>29.5</v>
      </c>
      <c r="C113">
        <v>6</v>
      </c>
      <c r="D113" s="6" t="s">
        <v>5</v>
      </c>
      <c r="E113">
        <v>2</v>
      </c>
      <c r="F113" s="6" t="s">
        <v>5</v>
      </c>
      <c r="G113">
        <v>2</v>
      </c>
      <c r="I113">
        <f>IF(pogoda__2[[#This Row],[Kategoria_chmur]]=pogoda__2[[#This Row],[nubis K]],1,0)</f>
        <v>1</v>
      </c>
      <c r="J113">
        <f>IF(pogoda__2[[#This Row],[Wielkosc_chmur]]=pogoda__2[[#This Row],[nubis W]],1,0)</f>
        <v>1</v>
      </c>
      <c r="L113">
        <f>IF(AND(pogoda__2[[#This Row],[Temperatura]]&gt;=20,pogoda__2[[#This Row],[Opad]]&lt;=5),1,0)</f>
        <v>0</v>
      </c>
      <c r="M113">
        <v>5</v>
      </c>
    </row>
    <row r="114" spans="1:13" x14ac:dyDescent="0.3">
      <c r="A114">
        <v>113</v>
      </c>
      <c r="B114">
        <v>29.9</v>
      </c>
      <c r="C114">
        <v>5</v>
      </c>
      <c r="D114" s="6" t="s">
        <v>5</v>
      </c>
      <c r="E114">
        <v>3</v>
      </c>
      <c r="F114" s="6" t="s">
        <v>5</v>
      </c>
      <c r="G114">
        <v>3</v>
      </c>
      <c r="I114">
        <f>IF(pogoda__2[[#This Row],[Kategoria_chmur]]=pogoda__2[[#This Row],[nubis K]],1,0)</f>
        <v>1</v>
      </c>
      <c r="J114">
        <f>IF(pogoda__2[[#This Row],[Wielkosc_chmur]]=pogoda__2[[#This Row],[nubis W]],1,0)</f>
        <v>1</v>
      </c>
      <c r="L114">
        <f>IF(AND(pogoda__2[[#This Row],[Temperatura]]&gt;=20,pogoda__2[[#This Row],[Opad]]&lt;=5),1,0)</f>
        <v>1</v>
      </c>
      <c r="M114">
        <v>6</v>
      </c>
    </row>
    <row r="115" spans="1:13" x14ac:dyDescent="0.3">
      <c r="A115">
        <v>114</v>
      </c>
      <c r="B115">
        <v>28.6</v>
      </c>
      <c r="C115">
        <v>6</v>
      </c>
      <c r="D115" s="6" t="s">
        <v>5</v>
      </c>
      <c r="E115">
        <v>3</v>
      </c>
      <c r="F115" s="6" t="s">
        <v>5</v>
      </c>
      <c r="G115">
        <v>3</v>
      </c>
      <c r="I115">
        <f>IF(pogoda__2[[#This Row],[Kategoria_chmur]]=pogoda__2[[#This Row],[nubis K]],1,0)</f>
        <v>1</v>
      </c>
      <c r="J115">
        <f>IF(pogoda__2[[#This Row],[Wielkosc_chmur]]=pogoda__2[[#This Row],[nubis W]],1,0)</f>
        <v>1</v>
      </c>
      <c r="L115">
        <f>IF(AND(pogoda__2[[#This Row],[Temperatura]]&gt;=20,pogoda__2[[#This Row],[Opad]]&lt;=5),1,0)</f>
        <v>0</v>
      </c>
      <c r="M115">
        <v>0</v>
      </c>
    </row>
    <row r="116" spans="1:13" x14ac:dyDescent="0.3">
      <c r="A116">
        <v>115</v>
      </c>
      <c r="B116">
        <v>25.9</v>
      </c>
      <c r="C116">
        <v>6</v>
      </c>
      <c r="D116" s="6" t="s">
        <v>5</v>
      </c>
      <c r="E116">
        <v>3</v>
      </c>
      <c r="F116" s="6" t="s">
        <v>5</v>
      </c>
      <c r="G116">
        <v>3</v>
      </c>
      <c r="I116">
        <f>IF(pogoda__2[[#This Row],[Kategoria_chmur]]=pogoda__2[[#This Row],[nubis K]],1,0)</f>
        <v>1</v>
      </c>
      <c r="J116">
        <f>IF(pogoda__2[[#This Row],[Wielkosc_chmur]]=pogoda__2[[#This Row],[nubis W]],1,0)</f>
        <v>1</v>
      </c>
      <c r="L116">
        <f>IF(AND(pogoda__2[[#This Row],[Temperatura]]&gt;=20,pogoda__2[[#This Row],[Opad]]&lt;=5),1,0)</f>
        <v>0</v>
      </c>
      <c r="M116">
        <v>0</v>
      </c>
    </row>
    <row r="117" spans="1:13" x14ac:dyDescent="0.3">
      <c r="A117">
        <v>116</v>
      </c>
      <c r="B117">
        <v>22.6</v>
      </c>
      <c r="C117">
        <v>23</v>
      </c>
      <c r="D117" s="6" t="s">
        <v>5</v>
      </c>
      <c r="E117">
        <v>4</v>
      </c>
      <c r="F117" s="6" t="s">
        <v>5</v>
      </c>
      <c r="G117">
        <v>4</v>
      </c>
      <c r="I117">
        <f>IF(pogoda__2[[#This Row],[Kategoria_chmur]]=pogoda__2[[#This Row],[nubis K]],1,0)</f>
        <v>1</v>
      </c>
      <c r="J117">
        <f>IF(pogoda__2[[#This Row],[Wielkosc_chmur]]=pogoda__2[[#This Row],[nubis W]],1,0)</f>
        <v>1</v>
      </c>
      <c r="L117">
        <f>IF(AND(pogoda__2[[#This Row],[Temperatura]]&gt;=20,pogoda__2[[#This Row],[Opad]]&lt;=5),1,0)</f>
        <v>0</v>
      </c>
      <c r="M117">
        <v>0</v>
      </c>
    </row>
    <row r="118" spans="1:13" x14ac:dyDescent="0.3">
      <c r="A118">
        <v>117</v>
      </c>
      <c r="B118">
        <v>19.7</v>
      </c>
      <c r="C118">
        <v>16</v>
      </c>
      <c r="D118" s="6" t="s">
        <v>5</v>
      </c>
      <c r="E118">
        <v>4</v>
      </c>
      <c r="F118" s="6" t="s">
        <v>5</v>
      </c>
      <c r="G118">
        <v>4</v>
      </c>
      <c r="I118">
        <f>IF(pogoda__2[[#This Row],[Kategoria_chmur]]=pogoda__2[[#This Row],[nubis K]],1,0)</f>
        <v>1</v>
      </c>
      <c r="J118">
        <f>IF(pogoda__2[[#This Row],[Wielkosc_chmur]]=pogoda__2[[#This Row],[nubis W]],1,0)</f>
        <v>1</v>
      </c>
      <c r="L118">
        <f>IF(AND(pogoda__2[[#This Row],[Temperatura]]&gt;=20,pogoda__2[[#This Row],[Opad]]&lt;=5),1,0)</f>
        <v>0</v>
      </c>
      <c r="M118">
        <v>0</v>
      </c>
    </row>
    <row r="119" spans="1:13" x14ac:dyDescent="0.3">
      <c r="A119">
        <v>118</v>
      </c>
      <c r="B119">
        <v>17.8</v>
      </c>
      <c r="C119">
        <v>1</v>
      </c>
      <c r="D119" s="6" t="s">
        <v>5</v>
      </c>
      <c r="E119">
        <v>4</v>
      </c>
      <c r="F119" s="6" t="s">
        <v>5</v>
      </c>
      <c r="G119">
        <v>4</v>
      </c>
      <c r="I119">
        <f>IF(pogoda__2[[#This Row],[Kategoria_chmur]]=pogoda__2[[#This Row],[nubis K]],1,0)</f>
        <v>1</v>
      </c>
      <c r="J119">
        <f>IF(pogoda__2[[#This Row],[Wielkosc_chmur]]=pogoda__2[[#This Row],[nubis W]],1,0)</f>
        <v>1</v>
      </c>
      <c r="L119">
        <f>IF(AND(pogoda__2[[#This Row],[Temperatura]]&gt;=20,pogoda__2[[#This Row],[Opad]]&lt;=5),1,0)</f>
        <v>0</v>
      </c>
      <c r="M119">
        <v>0</v>
      </c>
    </row>
    <row r="120" spans="1:13" x14ac:dyDescent="0.3">
      <c r="A120">
        <v>119</v>
      </c>
      <c r="B120">
        <v>17.3</v>
      </c>
      <c r="C120">
        <v>27</v>
      </c>
      <c r="D120" s="6" t="s">
        <v>5</v>
      </c>
      <c r="E120">
        <v>5</v>
      </c>
      <c r="F120" s="6" t="s">
        <v>5</v>
      </c>
      <c r="G120">
        <v>5</v>
      </c>
      <c r="I120">
        <f>IF(pogoda__2[[#This Row],[Kategoria_chmur]]=pogoda__2[[#This Row],[nubis K]],1,0)</f>
        <v>1</v>
      </c>
      <c r="J120">
        <f>IF(pogoda__2[[#This Row],[Wielkosc_chmur]]=pogoda__2[[#This Row],[nubis W]],1,0)</f>
        <v>1</v>
      </c>
      <c r="L120">
        <f>IF(AND(pogoda__2[[#This Row],[Temperatura]]&gt;=20,pogoda__2[[#This Row],[Opad]]&lt;=5),1,0)</f>
        <v>0</v>
      </c>
      <c r="M120">
        <v>0</v>
      </c>
    </row>
    <row r="121" spans="1:13" x14ac:dyDescent="0.3">
      <c r="A121">
        <v>120</v>
      </c>
      <c r="B121">
        <v>18.2</v>
      </c>
      <c r="C121">
        <v>0</v>
      </c>
      <c r="D121" s="6">
        <v>0</v>
      </c>
      <c r="E121">
        <v>0</v>
      </c>
      <c r="F121" s="6">
        <v>0</v>
      </c>
      <c r="G121">
        <v>0</v>
      </c>
      <c r="I121">
        <f>IF(pogoda__2[[#This Row],[Kategoria_chmur]]=pogoda__2[[#This Row],[nubis K]],1,0)</f>
        <v>1</v>
      </c>
      <c r="J121">
        <f>IF(pogoda__2[[#This Row],[Wielkosc_chmur]]=pogoda__2[[#This Row],[nubis W]],1,0)</f>
        <v>1</v>
      </c>
      <c r="L121">
        <f>IF(AND(pogoda__2[[#This Row],[Temperatura]]&gt;=20,pogoda__2[[#This Row],[Opad]]&lt;=5),1,0)</f>
        <v>0</v>
      </c>
      <c r="M121">
        <v>1</v>
      </c>
    </row>
    <row r="122" spans="1:13" x14ac:dyDescent="0.3">
      <c r="A122">
        <v>121</v>
      </c>
      <c r="B122">
        <v>19.8</v>
      </c>
      <c r="C122">
        <v>1</v>
      </c>
      <c r="D122" s="6" t="s">
        <v>5</v>
      </c>
      <c r="E122">
        <v>1</v>
      </c>
      <c r="F122" s="6" t="s">
        <v>5</v>
      </c>
      <c r="G122">
        <v>1</v>
      </c>
      <c r="I122">
        <f>IF(pogoda__2[[#This Row],[Kategoria_chmur]]=pogoda__2[[#This Row],[nubis K]],1,0)</f>
        <v>1</v>
      </c>
      <c r="J122">
        <f>IF(pogoda__2[[#This Row],[Wielkosc_chmur]]=pogoda__2[[#This Row],[nubis W]],1,0)</f>
        <v>1</v>
      </c>
      <c r="L122">
        <f>IF(AND(pogoda__2[[#This Row],[Temperatura]]&gt;=20,pogoda__2[[#This Row],[Opad]]&lt;=5),1,0)</f>
        <v>0</v>
      </c>
      <c r="M122">
        <v>2</v>
      </c>
    </row>
    <row r="123" spans="1:13" x14ac:dyDescent="0.3">
      <c r="A123">
        <v>122</v>
      </c>
      <c r="B123">
        <v>21.4</v>
      </c>
      <c r="C123">
        <v>1</v>
      </c>
      <c r="D123" s="6" t="s">
        <v>5</v>
      </c>
      <c r="E123">
        <v>1</v>
      </c>
      <c r="F123" s="6" t="s">
        <v>5</v>
      </c>
      <c r="G123">
        <v>1</v>
      </c>
      <c r="I123">
        <f>IF(pogoda__2[[#This Row],[Kategoria_chmur]]=pogoda__2[[#This Row],[nubis K]],1,0)</f>
        <v>1</v>
      </c>
      <c r="J123">
        <f>IF(pogoda__2[[#This Row],[Wielkosc_chmur]]=pogoda__2[[#This Row],[nubis W]],1,0)</f>
        <v>1</v>
      </c>
      <c r="L123">
        <f>IF(AND(pogoda__2[[#This Row],[Temperatura]]&gt;=20,pogoda__2[[#This Row],[Opad]]&lt;=5),1,0)</f>
        <v>1</v>
      </c>
      <c r="M123">
        <v>3</v>
      </c>
    </row>
    <row r="124" spans="1:13" x14ac:dyDescent="0.3">
      <c r="A124">
        <v>123</v>
      </c>
      <c r="B124">
        <v>22</v>
      </c>
      <c r="C124">
        <v>6</v>
      </c>
      <c r="D124" s="6" t="s">
        <v>5</v>
      </c>
      <c r="E124">
        <v>1</v>
      </c>
      <c r="F124" s="6" t="s">
        <v>5</v>
      </c>
      <c r="G124">
        <v>1</v>
      </c>
      <c r="I124">
        <f>IF(pogoda__2[[#This Row],[Kategoria_chmur]]=pogoda__2[[#This Row],[nubis K]],1,0)</f>
        <v>1</v>
      </c>
      <c r="J124">
        <f>IF(pogoda__2[[#This Row],[Wielkosc_chmur]]=pogoda__2[[#This Row],[nubis W]],1,0)</f>
        <v>1</v>
      </c>
      <c r="L124">
        <f>IF(AND(pogoda__2[[#This Row],[Temperatura]]&gt;=20,pogoda__2[[#This Row],[Opad]]&lt;=5),1,0)</f>
        <v>0</v>
      </c>
      <c r="M124">
        <v>4</v>
      </c>
    </row>
    <row r="125" spans="1:13" x14ac:dyDescent="0.3">
      <c r="A125">
        <v>124</v>
      </c>
      <c r="B125">
        <v>21.2</v>
      </c>
      <c r="C125">
        <v>9</v>
      </c>
      <c r="D125" s="6" t="s">
        <v>5</v>
      </c>
      <c r="E125">
        <v>2</v>
      </c>
      <c r="F125" s="6" t="s">
        <v>5</v>
      </c>
      <c r="G125">
        <v>2</v>
      </c>
      <c r="I125">
        <f>IF(pogoda__2[[#This Row],[Kategoria_chmur]]=pogoda__2[[#This Row],[nubis K]],1,0)</f>
        <v>1</v>
      </c>
      <c r="J125">
        <f>IF(pogoda__2[[#This Row],[Wielkosc_chmur]]=pogoda__2[[#This Row],[nubis W]],1,0)</f>
        <v>1</v>
      </c>
      <c r="L125">
        <f>IF(AND(pogoda__2[[#This Row],[Temperatura]]&gt;=20,pogoda__2[[#This Row],[Opad]]&lt;=5),1,0)</f>
        <v>0</v>
      </c>
      <c r="M125">
        <v>0</v>
      </c>
    </row>
    <row r="126" spans="1:13" x14ac:dyDescent="0.3">
      <c r="A126">
        <v>125</v>
      </c>
      <c r="B126">
        <v>18.8</v>
      </c>
      <c r="C126">
        <v>7</v>
      </c>
      <c r="D126" s="6" t="s">
        <v>5</v>
      </c>
      <c r="E126">
        <v>2</v>
      </c>
      <c r="F126" s="6" t="s">
        <v>5</v>
      </c>
      <c r="G126">
        <v>2</v>
      </c>
      <c r="I126">
        <f>IF(pogoda__2[[#This Row],[Kategoria_chmur]]=pogoda__2[[#This Row],[nubis K]],1,0)</f>
        <v>1</v>
      </c>
      <c r="J126">
        <f>IF(pogoda__2[[#This Row],[Wielkosc_chmur]]=pogoda__2[[#This Row],[nubis W]],1,0)</f>
        <v>1</v>
      </c>
      <c r="L126">
        <f>IF(AND(pogoda__2[[#This Row],[Temperatura]]&gt;=20,pogoda__2[[#This Row],[Opad]]&lt;=5),1,0)</f>
        <v>0</v>
      </c>
      <c r="M126">
        <v>0</v>
      </c>
    </row>
    <row r="127" spans="1:13" x14ac:dyDescent="0.3">
      <c r="A127">
        <v>126</v>
      </c>
      <c r="B127">
        <v>15.2</v>
      </c>
      <c r="C127">
        <v>12</v>
      </c>
      <c r="D127" s="6" t="s">
        <v>5</v>
      </c>
      <c r="E127">
        <v>2</v>
      </c>
      <c r="F127" s="6" t="s">
        <v>5</v>
      </c>
      <c r="G127">
        <v>2</v>
      </c>
      <c r="I127">
        <f>IF(pogoda__2[[#This Row],[Kategoria_chmur]]=pogoda__2[[#This Row],[nubis K]],1,0)</f>
        <v>1</v>
      </c>
      <c r="J127">
        <f>IF(pogoda__2[[#This Row],[Wielkosc_chmur]]=pogoda__2[[#This Row],[nubis W]],1,0)</f>
        <v>1</v>
      </c>
      <c r="L127">
        <f>IF(AND(pogoda__2[[#This Row],[Temperatura]]&gt;=20,pogoda__2[[#This Row],[Opad]]&lt;=5),1,0)</f>
        <v>0</v>
      </c>
      <c r="M127">
        <v>0</v>
      </c>
    </row>
    <row r="128" spans="1:13" x14ac:dyDescent="0.3">
      <c r="A128">
        <v>127</v>
      </c>
      <c r="B128">
        <v>11.1</v>
      </c>
      <c r="C128">
        <v>15</v>
      </c>
      <c r="D128" s="6" t="s">
        <v>5</v>
      </c>
      <c r="E128">
        <v>3</v>
      </c>
      <c r="F128" s="6" t="s">
        <v>5</v>
      </c>
      <c r="G128">
        <v>3</v>
      </c>
      <c r="I128">
        <f>IF(pogoda__2[[#This Row],[Kategoria_chmur]]=pogoda__2[[#This Row],[nubis K]],1,0)</f>
        <v>1</v>
      </c>
      <c r="J128">
        <f>IF(pogoda__2[[#This Row],[Wielkosc_chmur]]=pogoda__2[[#This Row],[nubis W]],1,0)</f>
        <v>1</v>
      </c>
      <c r="L128">
        <f>IF(AND(pogoda__2[[#This Row],[Temperatura]]&gt;=20,pogoda__2[[#This Row],[Opad]]&lt;=5),1,0)</f>
        <v>0</v>
      </c>
      <c r="M128">
        <v>0</v>
      </c>
    </row>
    <row r="129" spans="1:13" x14ac:dyDescent="0.3">
      <c r="A129">
        <v>128</v>
      </c>
      <c r="B129">
        <v>7.5</v>
      </c>
      <c r="C129">
        <v>10</v>
      </c>
      <c r="D129" s="6" t="s">
        <v>5</v>
      </c>
      <c r="E129">
        <v>3</v>
      </c>
      <c r="F129" s="6" t="s">
        <v>5</v>
      </c>
      <c r="G129">
        <v>3</v>
      </c>
      <c r="I129">
        <f>IF(pogoda__2[[#This Row],[Kategoria_chmur]]=pogoda__2[[#This Row],[nubis K]],1,0)</f>
        <v>1</v>
      </c>
      <c r="J129">
        <f>IF(pogoda__2[[#This Row],[Wielkosc_chmur]]=pogoda__2[[#This Row],[nubis W]],1,0)</f>
        <v>1</v>
      </c>
      <c r="L129">
        <f>IF(AND(pogoda__2[[#This Row],[Temperatura]]&gt;=20,pogoda__2[[#This Row],[Opad]]&lt;=5),1,0)</f>
        <v>0</v>
      </c>
      <c r="M129">
        <v>0</v>
      </c>
    </row>
    <row r="130" spans="1:13" x14ac:dyDescent="0.3">
      <c r="A130">
        <v>129</v>
      </c>
      <c r="B130">
        <v>5.2</v>
      </c>
      <c r="C130">
        <v>5</v>
      </c>
      <c r="D130" s="6" t="s">
        <v>5</v>
      </c>
      <c r="E130">
        <v>3</v>
      </c>
      <c r="F130" s="6" t="s">
        <v>5</v>
      </c>
      <c r="G130">
        <v>3</v>
      </c>
      <c r="I130">
        <f>IF(pogoda__2[[#This Row],[Kategoria_chmur]]=pogoda__2[[#This Row],[nubis K]],1,0)</f>
        <v>1</v>
      </c>
      <c r="J130">
        <f>IF(pogoda__2[[#This Row],[Wielkosc_chmur]]=pogoda__2[[#This Row],[nubis W]],1,0)</f>
        <v>1</v>
      </c>
      <c r="L130">
        <f>IF(AND(pogoda__2[[#This Row],[Temperatura]]&gt;=20,pogoda__2[[#This Row],[Opad]]&lt;=5),1,0)</f>
        <v>0</v>
      </c>
      <c r="M130">
        <v>0</v>
      </c>
    </row>
    <row r="131" spans="1:13" x14ac:dyDescent="0.3">
      <c r="A131">
        <v>130</v>
      </c>
      <c r="B131">
        <v>4.5999999999999996</v>
      </c>
      <c r="C131">
        <v>23</v>
      </c>
      <c r="D131" s="6" t="s">
        <v>5</v>
      </c>
      <c r="E131">
        <v>4</v>
      </c>
      <c r="F131" s="6" t="s">
        <v>5</v>
      </c>
      <c r="G131">
        <v>4</v>
      </c>
      <c r="I131">
        <f>IF(pogoda__2[[#This Row],[Kategoria_chmur]]=pogoda__2[[#This Row],[nubis K]],1,0)</f>
        <v>1</v>
      </c>
      <c r="J131">
        <f>IF(pogoda__2[[#This Row],[Wielkosc_chmur]]=pogoda__2[[#This Row],[nubis W]],1,0)</f>
        <v>1</v>
      </c>
      <c r="L131">
        <f>IF(AND(pogoda__2[[#This Row],[Temperatura]]&gt;=20,pogoda__2[[#This Row],[Opad]]&lt;=5),1,0)</f>
        <v>0</v>
      </c>
      <c r="M131">
        <v>0</v>
      </c>
    </row>
    <row r="132" spans="1:13" x14ac:dyDescent="0.3">
      <c r="A132">
        <v>131</v>
      </c>
      <c r="B132">
        <v>5.5</v>
      </c>
      <c r="C132">
        <v>11</v>
      </c>
      <c r="D132" s="6" t="s">
        <v>5</v>
      </c>
      <c r="E132">
        <v>4</v>
      </c>
      <c r="F132" s="6" t="s">
        <v>5</v>
      </c>
      <c r="G132">
        <v>4</v>
      </c>
      <c r="I132">
        <f>IF(pogoda__2[[#This Row],[Kategoria_chmur]]=pogoda__2[[#This Row],[nubis K]],1,0)</f>
        <v>1</v>
      </c>
      <c r="J132">
        <f>IF(pogoda__2[[#This Row],[Wielkosc_chmur]]=pogoda__2[[#This Row],[nubis W]],1,0)</f>
        <v>1</v>
      </c>
      <c r="L132">
        <f>IF(AND(pogoda__2[[#This Row],[Temperatura]]&gt;=20,pogoda__2[[#This Row],[Opad]]&lt;=5),1,0)</f>
        <v>0</v>
      </c>
      <c r="M132">
        <v>1</v>
      </c>
    </row>
    <row r="133" spans="1:13" x14ac:dyDescent="0.3">
      <c r="A133">
        <v>132</v>
      </c>
      <c r="B133">
        <v>7.3</v>
      </c>
      <c r="C133">
        <v>23</v>
      </c>
      <c r="D133" s="6" t="s">
        <v>5</v>
      </c>
      <c r="E133">
        <v>4</v>
      </c>
      <c r="F133" s="6" t="s">
        <v>5</v>
      </c>
      <c r="G133">
        <v>4</v>
      </c>
      <c r="I133">
        <f>IF(pogoda__2[[#This Row],[Kategoria_chmur]]=pogoda__2[[#This Row],[nubis K]],1,0)</f>
        <v>1</v>
      </c>
      <c r="J133">
        <f>IF(pogoda__2[[#This Row],[Wielkosc_chmur]]=pogoda__2[[#This Row],[nubis W]],1,0)</f>
        <v>1</v>
      </c>
      <c r="L133">
        <f>IF(AND(pogoda__2[[#This Row],[Temperatura]]&gt;=20,pogoda__2[[#This Row],[Opad]]&lt;=5),1,0)</f>
        <v>0</v>
      </c>
      <c r="M133">
        <v>2</v>
      </c>
    </row>
    <row r="134" spans="1:13" x14ac:dyDescent="0.3">
      <c r="A134">
        <v>133</v>
      </c>
      <c r="B134">
        <v>9.3000000000000007</v>
      </c>
      <c r="C134">
        <v>16</v>
      </c>
      <c r="D134" s="6" t="s">
        <v>5</v>
      </c>
      <c r="E134">
        <v>5</v>
      </c>
      <c r="F134" s="6" t="s">
        <v>5</v>
      </c>
      <c r="G134">
        <v>5</v>
      </c>
      <c r="I134">
        <f>IF(pogoda__2[[#This Row],[Kategoria_chmur]]=pogoda__2[[#This Row],[nubis K]],1,0)</f>
        <v>1</v>
      </c>
      <c r="J134">
        <f>IF(pogoda__2[[#This Row],[Wielkosc_chmur]]=pogoda__2[[#This Row],[nubis W]],1,0)</f>
        <v>1</v>
      </c>
      <c r="L134">
        <f>IF(AND(pogoda__2[[#This Row],[Temperatura]]&gt;=20,pogoda__2[[#This Row],[Opad]]&lt;=5),1,0)</f>
        <v>0</v>
      </c>
      <c r="M134">
        <v>3</v>
      </c>
    </row>
    <row r="135" spans="1:13" x14ac:dyDescent="0.3">
      <c r="A135">
        <v>134</v>
      </c>
      <c r="B135">
        <v>10.5</v>
      </c>
      <c r="C135">
        <v>21</v>
      </c>
      <c r="D135" s="6" t="s">
        <v>5</v>
      </c>
      <c r="E135">
        <v>5</v>
      </c>
      <c r="F135" s="6" t="s">
        <v>5</v>
      </c>
      <c r="G135">
        <v>5</v>
      </c>
      <c r="I135">
        <f>IF(pogoda__2[[#This Row],[Kategoria_chmur]]=pogoda__2[[#This Row],[nubis K]],1,0)</f>
        <v>1</v>
      </c>
      <c r="J135">
        <f>IF(pogoda__2[[#This Row],[Wielkosc_chmur]]=pogoda__2[[#This Row],[nubis W]],1,0)</f>
        <v>1</v>
      </c>
      <c r="L135">
        <f>IF(AND(pogoda__2[[#This Row],[Temperatura]]&gt;=20,pogoda__2[[#This Row],[Opad]]&lt;=5),1,0)</f>
        <v>0</v>
      </c>
      <c r="M135">
        <v>4</v>
      </c>
    </row>
    <row r="136" spans="1:13" x14ac:dyDescent="0.3">
      <c r="A136">
        <v>135</v>
      </c>
      <c r="B136">
        <v>10.4</v>
      </c>
      <c r="C136">
        <v>0</v>
      </c>
      <c r="D136" s="6">
        <v>0</v>
      </c>
      <c r="E136">
        <v>0</v>
      </c>
      <c r="F136" s="6">
        <v>0</v>
      </c>
      <c r="G136">
        <v>0</v>
      </c>
      <c r="I136">
        <f>IF(pogoda__2[[#This Row],[Kategoria_chmur]]=pogoda__2[[#This Row],[nubis K]],1,0)</f>
        <v>1</v>
      </c>
      <c r="J136">
        <f>IF(pogoda__2[[#This Row],[Wielkosc_chmur]]=pogoda__2[[#This Row],[nubis W]],1,0)</f>
        <v>1</v>
      </c>
      <c r="L136">
        <f>IF(AND(pogoda__2[[#This Row],[Temperatura]]&gt;=20,pogoda__2[[#This Row],[Opad]]&lt;=5),1,0)</f>
        <v>0</v>
      </c>
      <c r="M136">
        <v>0</v>
      </c>
    </row>
    <row r="137" spans="1:13" x14ac:dyDescent="0.3">
      <c r="A137">
        <v>136</v>
      </c>
      <c r="B137">
        <v>9</v>
      </c>
      <c r="C137">
        <v>4</v>
      </c>
      <c r="D137" s="6" t="s">
        <v>6</v>
      </c>
      <c r="E137">
        <v>1</v>
      </c>
      <c r="F137" s="6" t="s">
        <v>6</v>
      </c>
      <c r="G137">
        <v>1</v>
      </c>
      <c r="I137">
        <f>IF(pogoda__2[[#This Row],[Kategoria_chmur]]=pogoda__2[[#This Row],[nubis K]],1,0)</f>
        <v>1</v>
      </c>
      <c r="J137">
        <f>IF(pogoda__2[[#This Row],[Wielkosc_chmur]]=pogoda__2[[#This Row],[nubis W]],1,0)</f>
        <v>1</v>
      </c>
      <c r="L137">
        <f>IF(AND(pogoda__2[[#This Row],[Temperatura]]&gt;=20,pogoda__2[[#This Row],[Opad]]&lt;=5),1,0)</f>
        <v>0</v>
      </c>
      <c r="M137">
        <v>0</v>
      </c>
    </row>
    <row r="138" spans="1:13" x14ac:dyDescent="0.3">
      <c r="A138">
        <v>137</v>
      </c>
      <c r="B138">
        <v>6.4</v>
      </c>
      <c r="C138">
        <v>3</v>
      </c>
      <c r="D138" s="6" t="s">
        <v>6</v>
      </c>
      <c r="E138">
        <v>1</v>
      </c>
      <c r="F138" s="6" t="s">
        <v>6</v>
      </c>
      <c r="G138">
        <v>1</v>
      </c>
      <c r="I138">
        <f>IF(pogoda__2[[#This Row],[Kategoria_chmur]]=pogoda__2[[#This Row],[nubis K]],1,0)</f>
        <v>1</v>
      </c>
      <c r="J138">
        <f>IF(pogoda__2[[#This Row],[Wielkosc_chmur]]=pogoda__2[[#This Row],[nubis W]],1,0)</f>
        <v>1</v>
      </c>
      <c r="L138">
        <f>IF(AND(pogoda__2[[#This Row],[Temperatura]]&gt;=20,pogoda__2[[#This Row],[Opad]]&lt;=5),1,0)</f>
        <v>0</v>
      </c>
      <c r="M138">
        <v>0</v>
      </c>
    </row>
    <row r="139" spans="1:13" x14ac:dyDescent="0.3">
      <c r="A139">
        <v>138</v>
      </c>
      <c r="B139">
        <v>3.6</v>
      </c>
      <c r="C139">
        <v>3</v>
      </c>
      <c r="D139" s="6" t="s">
        <v>6</v>
      </c>
      <c r="E139">
        <v>1</v>
      </c>
      <c r="F139" s="6" t="s">
        <v>6</v>
      </c>
      <c r="G139">
        <v>1</v>
      </c>
      <c r="I139">
        <f>IF(pogoda__2[[#This Row],[Kategoria_chmur]]=pogoda__2[[#This Row],[nubis K]],1,0)</f>
        <v>1</v>
      </c>
      <c r="J139">
        <f>IF(pogoda__2[[#This Row],[Wielkosc_chmur]]=pogoda__2[[#This Row],[nubis W]],1,0)</f>
        <v>1</v>
      </c>
      <c r="L139">
        <f>IF(AND(pogoda__2[[#This Row],[Temperatura]]&gt;=20,pogoda__2[[#This Row],[Opad]]&lt;=5),1,0)</f>
        <v>0</v>
      </c>
      <c r="M139">
        <v>0</v>
      </c>
    </row>
    <row r="140" spans="1:13" x14ac:dyDescent="0.3">
      <c r="A140">
        <v>139</v>
      </c>
      <c r="B140">
        <v>1.4</v>
      </c>
      <c r="C140">
        <v>4</v>
      </c>
      <c r="D140" s="6" t="s">
        <v>6</v>
      </c>
      <c r="E140">
        <v>2</v>
      </c>
      <c r="F140" s="6" t="s">
        <v>6</v>
      </c>
      <c r="G140">
        <v>2</v>
      </c>
      <c r="I140">
        <f>IF(pogoda__2[[#This Row],[Kategoria_chmur]]=pogoda__2[[#This Row],[nubis K]],1,0)</f>
        <v>1</v>
      </c>
      <c r="J140">
        <f>IF(pogoda__2[[#This Row],[Wielkosc_chmur]]=pogoda__2[[#This Row],[nubis W]],1,0)</f>
        <v>1</v>
      </c>
      <c r="L140">
        <f>IF(AND(pogoda__2[[#This Row],[Temperatura]]&gt;=20,pogoda__2[[#This Row],[Opad]]&lt;=5),1,0)</f>
        <v>0</v>
      </c>
      <c r="M140">
        <v>0</v>
      </c>
    </row>
    <row r="141" spans="1:13" x14ac:dyDescent="0.3">
      <c r="A141">
        <v>140</v>
      </c>
      <c r="B141">
        <v>0.5</v>
      </c>
      <c r="C141">
        <v>5</v>
      </c>
      <c r="D141" s="6" t="s">
        <v>6</v>
      </c>
      <c r="E141">
        <v>2</v>
      </c>
      <c r="F141" s="6" t="s">
        <v>6</v>
      </c>
      <c r="G141">
        <v>2</v>
      </c>
      <c r="I141">
        <f>IF(pogoda__2[[#This Row],[Kategoria_chmur]]=pogoda__2[[#This Row],[nubis K]],1,0)</f>
        <v>1</v>
      </c>
      <c r="J141">
        <f>IF(pogoda__2[[#This Row],[Wielkosc_chmur]]=pogoda__2[[#This Row],[nubis W]],1,0)</f>
        <v>1</v>
      </c>
      <c r="L141">
        <f>IF(AND(pogoda__2[[#This Row],[Temperatura]]&gt;=20,pogoda__2[[#This Row],[Opad]]&lt;=5),1,0)</f>
        <v>0</v>
      </c>
      <c r="M141">
        <v>0</v>
      </c>
    </row>
    <row r="142" spans="1:13" x14ac:dyDescent="0.3">
      <c r="A142">
        <v>141</v>
      </c>
      <c r="B142">
        <v>1.4</v>
      </c>
      <c r="C142">
        <v>1</v>
      </c>
      <c r="D142" s="6" t="s">
        <v>6</v>
      </c>
      <c r="E142">
        <v>2</v>
      </c>
      <c r="F142" s="6" t="s">
        <v>6</v>
      </c>
      <c r="G142">
        <v>2</v>
      </c>
      <c r="I142">
        <f>IF(pogoda__2[[#This Row],[Kategoria_chmur]]=pogoda__2[[#This Row],[nubis K]],1,0)</f>
        <v>1</v>
      </c>
      <c r="J142">
        <f>IF(pogoda__2[[#This Row],[Wielkosc_chmur]]=pogoda__2[[#This Row],[nubis W]],1,0)</f>
        <v>1</v>
      </c>
      <c r="L142">
        <f>IF(AND(pogoda__2[[#This Row],[Temperatura]]&gt;=20,pogoda__2[[#This Row],[Opad]]&lt;=5),1,0)</f>
        <v>0</v>
      </c>
      <c r="M142">
        <v>1</v>
      </c>
    </row>
    <row r="143" spans="1:13" x14ac:dyDescent="0.3">
      <c r="A143">
        <v>142</v>
      </c>
      <c r="B143">
        <v>3.9</v>
      </c>
      <c r="C143">
        <v>3</v>
      </c>
      <c r="D143" s="6" t="s">
        <v>6</v>
      </c>
      <c r="E143">
        <v>3</v>
      </c>
      <c r="F143" s="6" t="s">
        <v>6</v>
      </c>
      <c r="G143">
        <v>3</v>
      </c>
      <c r="I143">
        <f>IF(pogoda__2[[#This Row],[Kategoria_chmur]]=pogoda__2[[#This Row],[nubis K]],1,0)</f>
        <v>1</v>
      </c>
      <c r="J143">
        <f>IF(pogoda__2[[#This Row],[Wielkosc_chmur]]=pogoda__2[[#This Row],[nubis W]],1,0)</f>
        <v>1</v>
      </c>
      <c r="L143">
        <f>IF(AND(pogoda__2[[#This Row],[Temperatura]]&gt;=20,pogoda__2[[#This Row],[Opad]]&lt;=5),1,0)</f>
        <v>0</v>
      </c>
      <c r="M143">
        <v>2</v>
      </c>
    </row>
    <row r="144" spans="1:13" x14ac:dyDescent="0.3">
      <c r="A144">
        <v>143</v>
      </c>
      <c r="B144">
        <v>7.3</v>
      </c>
      <c r="C144">
        <v>13</v>
      </c>
      <c r="D144" s="6" t="s">
        <v>6</v>
      </c>
      <c r="E144">
        <v>3</v>
      </c>
      <c r="F144" s="6" t="s">
        <v>6</v>
      </c>
      <c r="G144">
        <v>3</v>
      </c>
      <c r="I144">
        <f>IF(pogoda__2[[#This Row],[Kategoria_chmur]]=pogoda__2[[#This Row],[nubis K]],1,0)</f>
        <v>1</v>
      </c>
      <c r="J144">
        <f>IF(pogoda__2[[#This Row],[Wielkosc_chmur]]=pogoda__2[[#This Row],[nubis W]],1,0)</f>
        <v>1</v>
      </c>
      <c r="L144">
        <f>IF(AND(pogoda__2[[#This Row],[Temperatura]]&gt;=20,pogoda__2[[#This Row],[Opad]]&lt;=5),1,0)</f>
        <v>0</v>
      </c>
      <c r="M144">
        <v>3</v>
      </c>
    </row>
    <row r="145" spans="1:13" x14ac:dyDescent="0.3">
      <c r="A145">
        <v>144</v>
      </c>
      <c r="B145">
        <v>10.9</v>
      </c>
      <c r="C145">
        <v>12</v>
      </c>
      <c r="D145" s="6" t="s">
        <v>6</v>
      </c>
      <c r="E145">
        <v>3</v>
      </c>
      <c r="F145" s="6" t="s">
        <v>6</v>
      </c>
      <c r="G145">
        <v>3</v>
      </c>
      <c r="I145">
        <f>IF(pogoda__2[[#This Row],[Kategoria_chmur]]=pogoda__2[[#This Row],[nubis K]],1,0)</f>
        <v>1</v>
      </c>
      <c r="J145">
        <f>IF(pogoda__2[[#This Row],[Wielkosc_chmur]]=pogoda__2[[#This Row],[nubis W]],1,0)</f>
        <v>1</v>
      </c>
      <c r="L145">
        <f>IF(AND(pogoda__2[[#This Row],[Temperatura]]&gt;=20,pogoda__2[[#This Row],[Opad]]&lt;=5),1,0)</f>
        <v>0</v>
      </c>
      <c r="M145">
        <v>4</v>
      </c>
    </row>
    <row r="146" spans="1:13" x14ac:dyDescent="0.3">
      <c r="A146">
        <v>145</v>
      </c>
      <c r="B146">
        <v>13.7</v>
      </c>
      <c r="C146">
        <v>9</v>
      </c>
      <c r="D146" s="6" t="s">
        <v>6</v>
      </c>
      <c r="E146">
        <v>4</v>
      </c>
      <c r="F146" s="6" t="s">
        <v>6</v>
      </c>
      <c r="G146">
        <v>4</v>
      </c>
      <c r="I146">
        <f>IF(pogoda__2[[#This Row],[Kategoria_chmur]]=pogoda__2[[#This Row],[nubis K]],1,0)</f>
        <v>1</v>
      </c>
      <c r="J146">
        <f>IF(pogoda__2[[#This Row],[Wielkosc_chmur]]=pogoda__2[[#This Row],[nubis W]],1,0)</f>
        <v>1</v>
      </c>
      <c r="L146">
        <f>IF(AND(pogoda__2[[#This Row],[Temperatura]]&gt;=20,pogoda__2[[#This Row],[Opad]]&lt;=5),1,0)</f>
        <v>0</v>
      </c>
      <c r="M146">
        <v>5</v>
      </c>
    </row>
    <row r="147" spans="1:13" x14ac:dyDescent="0.3">
      <c r="A147">
        <v>146</v>
      </c>
      <c r="B147">
        <v>15.1</v>
      </c>
      <c r="C147">
        <v>21</v>
      </c>
      <c r="D147" s="6" t="s">
        <v>6</v>
      </c>
      <c r="E147">
        <v>4</v>
      </c>
      <c r="F147" s="6" t="s">
        <v>6</v>
      </c>
      <c r="G147">
        <v>4</v>
      </c>
      <c r="I147">
        <f>IF(pogoda__2[[#This Row],[Kategoria_chmur]]=pogoda__2[[#This Row],[nubis K]],1,0)</f>
        <v>1</v>
      </c>
      <c r="J147">
        <f>IF(pogoda__2[[#This Row],[Wielkosc_chmur]]=pogoda__2[[#This Row],[nubis W]],1,0)</f>
        <v>1</v>
      </c>
      <c r="L147">
        <f>IF(AND(pogoda__2[[#This Row],[Temperatura]]&gt;=20,pogoda__2[[#This Row],[Opad]]&lt;=5),1,0)</f>
        <v>0</v>
      </c>
      <c r="M147">
        <v>6</v>
      </c>
    </row>
    <row r="148" spans="1:13" x14ac:dyDescent="0.3">
      <c r="A148">
        <v>147</v>
      </c>
      <c r="B148">
        <v>15.1</v>
      </c>
      <c r="C148">
        <v>14</v>
      </c>
      <c r="D148" s="6" t="s">
        <v>6</v>
      </c>
      <c r="E148">
        <v>4</v>
      </c>
      <c r="F148" s="6" t="s">
        <v>6</v>
      </c>
      <c r="G148">
        <v>4</v>
      </c>
      <c r="I148">
        <f>IF(pogoda__2[[#This Row],[Kategoria_chmur]]=pogoda__2[[#This Row],[nubis K]],1,0)</f>
        <v>1</v>
      </c>
      <c r="J148">
        <f>IF(pogoda__2[[#This Row],[Wielkosc_chmur]]=pogoda__2[[#This Row],[nubis W]],1,0)</f>
        <v>1</v>
      </c>
      <c r="L148">
        <f>IF(AND(pogoda__2[[#This Row],[Temperatura]]&gt;=20,pogoda__2[[#This Row],[Opad]]&lt;=5),1,0)</f>
        <v>0</v>
      </c>
      <c r="M148">
        <v>0</v>
      </c>
    </row>
    <row r="149" spans="1:13" x14ac:dyDescent="0.3">
      <c r="A149">
        <v>148</v>
      </c>
      <c r="B149">
        <v>13.9</v>
      </c>
      <c r="C149">
        <v>11</v>
      </c>
      <c r="D149" s="6" t="s">
        <v>6</v>
      </c>
      <c r="E149">
        <v>5</v>
      </c>
      <c r="F149" s="6" t="s">
        <v>6</v>
      </c>
      <c r="G149">
        <v>5</v>
      </c>
      <c r="I149">
        <f>IF(pogoda__2[[#This Row],[Kategoria_chmur]]=pogoda__2[[#This Row],[nubis K]],1,0)</f>
        <v>1</v>
      </c>
      <c r="J149">
        <f>IF(pogoda__2[[#This Row],[Wielkosc_chmur]]=pogoda__2[[#This Row],[nubis W]],1,0)</f>
        <v>1</v>
      </c>
      <c r="L149">
        <f>IF(AND(pogoda__2[[#This Row],[Temperatura]]&gt;=20,pogoda__2[[#This Row],[Opad]]&lt;=5),1,0)</f>
        <v>0</v>
      </c>
      <c r="M149">
        <v>0</v>
      </c>
    </row>
    <row r="150" spans="1:13" x14ac:dyDescent="0.3">
      <c r="A150">
        <v>149</v>
      </c>
      <c r="B150">
        <v>12.3</v>
      </c>
      <c r="C150">
        <v>20</v>
      </c>
      <c r="D150" s="6" t="s">
        <v>6</v>
      </c>
      <c r="E150">
        <v>5</v>
      </c>
      <c r="F150" s="6" t="s">
        <v>6</v>
      </c>
      <c r="G150">
        <v>5</v>
      </c>
      <c r="I150">
        <f>IF(pogoda__2[[#This Row],[Kategoria_chmur]]=pogoda__2[[#This Row],[nubis K]],1,0)</f>
        <v>1</v>
      </c>
      <c r="J150">
        <f>IF(pogoda__2[[#This Row],[Wielkosc_chmur]]=pogoda__2[[#This Row],[nubis W]],1,0)</f>
        <v>1</v>
      </c>
      <c r="L150">
        <f>IF(AND(pogoda__2[[#This Row],[Temperatura]]&gt;=20,pogoda__2[[#This Row],[Opad]]&lt;=5),1,0)</f>
        <v>0</v>
      </c>
      <c r="M150">
        <v>0</v>
      </c>
    </row>
    <row r="151" spans="1:13" x14ac:dyDescent="0.3">
      <c r="A151">
        <v>150</v>
      </c>
      <c r="B151">
        <v>11.2</v>
      </c>
      <c r="C151">
        <v>0</v>
      </c>
      <c r="D151" s="6">
        <v>0</v>
      </c>
      <c r="E151">
        <v>0</v>
      </c>
      <c r="F151" s="6">
        <v>0</v>
      </c>
      <c r="G151">
        <v>0</v>
      </c>
      <c r="I151">
        <f>IF(pogoda__2[[#This Row],[Kategoria_chmur]]=pogoda__2[[#This Row],[nubis K]],1,0)</f>
        <v>1</v>
      </c>
      <c r="J151">
        <f>IF(pogoda__2[[#This Row],[Wielkosc_chmur]]=pogoda__2[[#This Row],[nubis W]],1,0)</f>
        <v>1</v>
      </c>
      <c r="L151">
        <f>IF(AND(pogoda__2[[#This Row],[Temperatura]]&gt;=20,pogoda__2[[#This Row],[Opad]]&lt;=5),1,0)</f>
        <v>0</v>
      </c>
      <c r="M151">
        <v>0</v>
      </c>
    </row>
    <row r="152" spans="1:13" x14ac:dyDescent="0.3">
      <c r="A152">
        <v>151</v>
      </c>
      <c r="B152">
        <v>11.3</v>
      </c>
      <c r="C152">
        <v>6</v>
      </c>
      <c r="D152" s="6" t="s">
        <v>5</v>
      </c>
      <c r="E152">
        <v>1</v>
      </c>
      <c r="F152" s="6" t="s">
        <v>5</v>
      </c>
      <c r="G152">
        <v>1</v>
      </c>
      <c r="I152">
        <f>IF(pogoda__2[[#This Row],[Kategoria_chmur]]=pogoda__2[[#This Row],[nubis K]],1,0)</f>
        <v>1</v>
      </c>
      <c r="J152">
        <f>IF(pogoda__2[[#This Row],[Wielkosc_chmur]]=pogoda__2[[#This Row],[nubis W]],1,0)</f>
        <v>1</v>
      </c>
      <c r="L152">
        <f>IF(AND(pogoda__2[[#This Row],[Temperatura]]&gt;=20,pogoda__2[[#This Row],[Opad]]&lt;=5),1,0)</f>
        <v>0</v>
      </c>
      <c r="M152">
        <v>1</v>
      </c>
    </row>
    <row r="153" spans="1:13" x14ac:dyDescent="0.3">
      <c r="A153">
        <v>152</v>
      </c>
      <c r="B153">
        <v>12.9</v>
      </c>
      <c r="C153">
        <v>3</v>
      </c>
      <c r="D153" s="6" t="s">
        <v>5</v>
      </c>
      <c r="E153">
        <v>1</v>
      </c>
      <c r="F153" s="6" t="s">
        <v>5</v>
      </c>
      <c r="G153">
        <v>1</v>
      </c>
      <c r="I153">
        <f>IF(pogoda__2[[#This Row],[Kategoria_chmur]]=pogoda__2[[#This Row],[nubis K]],1,0)</f>
        <v>1</v>
      </c>
      <c r="J153">
        <f>IF(pogoda__2[[#This Row],[Wielkosc_chmur]]=pogoda__2[[#This Row],[nubis W]],1,0)</f>
        <v>1</v>
      </c>
      <c r="L153">
        <f>IF(AND(pogoda__2[[#This Row],[Temperatura]]&gt;=20,pogoda__2[[#This Row],[Opad]]&lt;=5),1,0)</f>
        <v>0</v>
      </c>
      <c r="M153">
        <v>2</v>
      </c>
    </row>
    <row r="154" spans="1:13" x14ac:dyDescent="0.3">
      <c r="A154">
        <v>153</v>
      </c>
      <c r="B154">
        <v>16</v>
      </c>
      <c r="C154">
        <v>6</v>
      </c>
      <c r="D154" s="6" t="s">
        <v>5</v>
      </c>
      <c r="E154">
        <v>1</v>
      </c>
      <c r="F154" s="6" t="s">
        <v>5</v>
      </c>
      <c r="G154">
        <v>1</v>
      </c>
      <c r="I154">
        <f>IF(pogoda__2[[#This Row],[Kategoria_chmur]]=pogoda__2[[#This Row],[nubis K]],1,0)</f>
        <v>1</v>
      </c>
      <c r="J154">
        <f>IF(pogoda__2[[#This Row],[Wielkosc_chmur]]=pogoda__2[[#This Row],[nubis W]],1,0)</f>
        <v>1</v>
      </c>
      <c r="L154">
        <f>IF(AND(pogoda__2[[#This Row],[Temperatura]]&gt;=20,pogoda__2[[#This Row],[Opad]]&lt;=5),1,0)</f>
        <v>0</v>
      </c>
      <c r="M154">
        <v>3</v>
      </c>
    </row>
    <row r="155" spans="1:13" x14ac:dyDescent="0.3">
      <c r="A155">
        <v>154</v>
      </c>
      <c r="B155">
        <v>19.8</v>
      </c>
      <c r="C155">
        <v>2</v>
      </c>
      <c r="D155" s="6" t="s">
        <v>5</v>
      </c>
      <c r="E155">
        <v>2</v>
      </c>
      <c r="F155" s="6" t="s">
        <v>5</v>
      </c>
      <c r="G155">
        <v>2</v>
      </c>
      <c r="I155">
        <f>IF(pogoda__2[[#This Row],[Kategoria_chmur]]=pogoda__2[[#This Row],[nubis K]],1,0)</f>
        <v>1</v>
      </c>
      <c r="J155">
        <f>IF(pogoda__2[[#This Row],[Wielkosc_chmur]]=pogoda__2[[#This Row],[nubis W]],1,0)</f>
        <v>1</v>
      </c>
      <c r="L155">
        <f>IF(AND(pogoda__2[[#This Row],[Temperatura]]&gt;=20,pogoda__2[[#This Row],[Opad]]&lt;=5),1,0)</f>
        <v>0</v>
      </c>
      <c r="M155">
        <v>4</v>
      </c>
    </row>
    <row r="156" spans="1:13" x14ac:dyDescent="0.3">
      <c r="A156">
        <v>155</v>
      </c>
      <c r="B156">
        <v>23.6</v>
      </c>
      <c r="C156">
        <v>11</v>
      </c>
      <c r="D156" s="6" t="s">
        <v>5</v>
      </c>
      <c r="E156">
        <v>2</v>
      </c>
      <c r="F156" s="6" t="s">
        <v>5</v>
      </c>
      <c r="G156">
        <v>2</v>
      </c>
      <c r="I156">
        <f>IF(pogoda__2[[#This Row],[Kategoria_chmur]]=pogoda__2[[#This Row],[nubis K]],1,0)</f>
        <v>1</v>
      </c>
      <c r="J156">
        <f>IF(pogoda__2[[#This Row],[Wielkosc_chmur]]=pogoda__2[[#This Row],[nubis W]],1,0)</f>
        <v>1</v>
      </c>
      <c r="L156">
        <f>IF(AND(pogoda__2[[#This Row],[Temperatura]]&gt;=20,pogoda__2[[#This Row],[Opad]]&lt;=5),1,0)</f>
        <v>0</v>
      </c>
      <c r="M156">
        <v>5</v>
      </c>
    </row>
    <row r="157" spans="1:13" x14ac:dyDescent="0.3">
      <c r="A157">
        <v>156</v>
      </c>
      <c r="B157">
        <v>26.4</v>
      </c>
      <c r="C157">
        <v>11</v>
      </c>
      <c r="D157" s="6" t="s">
        <v>5</v>
      </c>
      <c r="E157">
        <v>2</v>
      </c>
      <c r="F157" s="6" t="s">
        <v>5</v>
      </c>
      <c r="G157">
        <v>2</v>
      </c>
      <c r="I157">
        <f>IF(pogoda__2[[#This Row],[Kategoria_chmur]]=pogoda__2[[#This Row],[nubis K]],1,0)</f>
        <v>1</v>
      </c>
      <c r="J157">
        <f>IF(pogoda__2[[#This Row],[Wielkosc_chmur]]=pogoda__2[[#This Row],[nubis W]],1,0)</f>
        <v>1</v>
      </c>
      <c r="L157">
        <f>IF(AND(pogoda__2[[#This Row],[Temperatura]]&gt;=20,pogoda__2[[#This Row],[Opad]]&lt;=5),1,0)</f>
        <v>0</v>
      </c>
      <c r="M157">
        <v>6</v>
      </c>
    </row>
    <row r="158" spans="1:13" x14ac:dyDescent="0.3">
      <c r="A158">
        <v>157</v>
      </c>
      <c r="B158">
        <v>27.7</v>
      </c>
      <c r="C158">
        <v>5</v>
      </c>
      <c r="D158" s="6" t="s">
        <v>5</v>
      </c>
      <c r="E158">
        <v>3</v>
      </c>
      <c r="F158" s="6" t="s">
        <v>5</v>
      </c>
      <c r="G158">
        <v>3</v>
      </c>
      <c r="I158">
        <f>IF(pogoda__2[[#This Row],[Kategoria_chmur]]=pogoda__2[[#This Row],[nubis K]],1,0)</f>
        <v>1</v>
      </c>
      <c r="J158">
        <f>IF(pogoda__2[[#This Row],[Wielkosc_chmur]]=pogoda__2[[#This Row],[nubis W]],1,0)</f>
        <v>1</v>
      </c>
      <c r="L158">
        <f>IF(AND(pogoda__2[[#This Row],[Temperatura]]&gt;=20,pogoda__2[[#This Row],[Opad]]&lt;=5),1,0)</f>
        <v>1</v>
      </c>
      <c r="M158">
        <v>7</v>
      </c>
    </row>
    <row r="159" spans="1:13" x14ac:dyDescent="0.3">
      <c r="A159">
        <v>158</v>
      </c>
      <c r="B159">
        <v>27.2</v>
      </c>
      <c r="C159">
        <v>18</v>
      </c>
      <c r="D159" s="6" t="s">
        <v>5</v>
      </c>
      <c r="E159">
        <v>3</v>
      </c>
      <c r="F159" s="6" t="s">
        <v>5</v>
      </c>
      <c r="G159">
        <v>3</v>
      </c>
      <c r="I159">
        <f>IF(pogoda__2[[#This Row],[Kategoria_chmur]]=pogoda__2[[#This Row],[nubis K]],1,0)</f>
        <v>1</v>
      </c>
      <c r="J159">
        <f>IF(pogoda__2[[#This Row],[Wielkosc_chmur]]=pogoda__2[[#This Row],[nubis W]],1,0)</f>
        <v>1</v>
      </c>
      <c r="L159">
        <f>IF(AND(pogoda__2[[#This Row],[Temperatura]]&gt;=20,pogoda__2[[#This Row],[Opad]]&lt;=5),1,0)</f>
        <v>0</v>
      </c>
      <c r="M159">
        <v>0</v>
      </c>
    </row>
    <row r="160" spans="1:13" x14ac:dyDescent="0.3">
      <c r="A160">
        <v>159</v>
      </c>
      <c r="B160">
        <v>25.5</v>
      </c>
      <c r="C160">
        <v>5</v>
      </c>
      <c r="D160" s="6" t="s">
        <v>5</v>
      </c>
      <c r="E160">
        <v>3</v>
      </c>
      <c r="F160" s="6" t="s">
        <v>5</v>
      </c>
      <c r="G160">
        <v>3</v>
      </c>
      <c r="I160">
        <f>IF(pogoda__2[[#This Row],[Kategoria_chmur]]=pogoda__2[[#This Row],[nubis K]],1,0)</f>
        <v>1</v>
      </c>
      <c r="J160">
        <f>IF(pogoda__2[[#This Row],[Wielkosc_chmur]]=pogoda__2[[#This Row],[nubis W]],1,0)</f>
        <v>1</v>
      </c>
      <c r="L160">
        <f>IF(AND(pogoda__2[[#This Row],[Temperatura]]&gt;=20,pogoda__2[[#This Row],[Opad]]&lt;=5),1,0)</f>
        <v>1</v>
      </c>
      <c r="M160">
        <v>0</v>
      </c>
    </row>
    <row r="161" spans="1:13" x14ac:dyDescent="0.3">
      <c r="A161">
        <v>160</v>
      </c>
      <c r="B161">
        <v>23.1</v>
      </c>
      <c r="C161">
        <v>8</v>
      </c>
      <c r="D161" s="6" t="s">
        <v>5</v>
      </c>
      <c r="E161">
        <v>4</v>
      </c>
      <c r="F161" s="6" t="s">
        <v>5</v>
      </c>
      <c r="G161">
        <v>4</v>
      </c>
      <c r="I161">
        <f>IF(pogoda__2[[#This Row],[Kategoria_chmur]]=pogoda__2[[#This Row],[nubis K]],1,0)</f>
        <v>1</v>
      </c>
      <c r="J161">
        <f>IF(pogoda__2[[#This Row],[Wielkosc_chmur]]=pogoda__2[[#This Row],[nubis W]],1,0)</f>
        <v>1</v>
      </c>
      <c r="L161">
        <f>IF(AND(pogoda__2[[#This Row],[Temperatura]]&gt;=20,pogoda__2[[#This Row],[Opad]]&lt;=5),1,0)</f>
        <v>0</v>
      </c>
      <c r="M161">
        <v>0</v>
      </c>
    </row>
    <row r="162" spans="1:13" x14ac:dyDescent="0.3">
      <c r="A162">
        <v>161</v>
      </c>
      <c r="B162">
        <v>21</v>
      </c>
      <c r="C162">
        <v>22</v>
      </c>
      <c r="D162" s="6" t="s">
        <v>5</v>
      </c>
      <c r="E162">
        <v>4</v>
      </c>
      <c r="F162" s="6" t="s">
        <v>5</v>
      </c>
      <c r="G162">
        <v>4</v>
      </c>
      <c r="I162">
        <f>IF(pogoda__2[[#This Row],[Kategoria_chmur]]=pogoda__2[[#This Row],[nubis K]],1,0)</f>
        <v>1</v>
      </c>
      <c r="J162">
        <f>IF(pogoda__2[[#This Row],[Wielkosc_chmur]]=pogoda__2[[#This Row],[nubis W]],1,0)</f>
        <v>1</v>
      </c>
      <c r="L162">
        <f>IF(AND(pogoda__2[[#This Row],[Temperatura]]&gt;=20,pogoda__2[[#This Row],[Opad]]&lt;=5),1,0)</f>
        <v>0</v>
      </c>
      <c r="M162">
        <v>0</v>
      </c>
    </row>
    <row r="163" spans="1:13" x14ac:dyDescent="0.3">
      <c r="A163">
        <v>162</v>
      </c>
      <c r="B163">
        <v>20</v>
      </c>
      <c r="C163">
        <v>19</v>
      </c>
      <c r="D163" s="6" t="s">
        <v>5</v>
      </c>
      <c r="E163">
        <v>4</v>
      </c>
      <c r="F163" s="6" t="s">
        <v>5</v>
      </c>
      <c r="G163">
        <v>4</v>
      </c>
      <c r="I163">
        <f>IF(pogoda__2[[#This Row],[Kategoria_chmur]]=pogoda__2[[#This Row],[nubis K]],1,0)</f>
        <v>1</v>
      </c>
      <c r="J163">
        <f>IF(pogoda__2[[#This Row],[Wielkosc_chmur]]=pogoda__2[[#This Row],[nubis W]],1,0)</f>
        <v>1</v>
      </c>
      <c r="L163">
        <f>IF(AND(pogoda__2[[#This Row],[Temperatura]]&gt;=20,pogoda__2[[#This Row],[Opad]]&lt;=5),1,0)</f>
        <v>0</v>
      </c>
      <c r="M163">
        <v>0</v>
      </c>
    </row>
    <row r="164" spans="1:13" x14ac:dyDescent="0.3">
      <c r="A164">
        <v>163</v>
      </c>
      <c r="B164">
        <v>20.399999999999999</v>
      </c>
      <c r="C164">
        <v>23</v>
      </c>
      <c r="D164" s="6" t="s">
        <v>5</v>
      </c>
      <c r="E164">
        <v>5</v>
      </c>
      <c r="F164" s="6" t="s">
        <v>5</v>
      </c>
      <c r="G164">
        <v>5</v>
      </c>
      <c r="I164">
        <f>IF(pogoda__2[[#This Row],[Kategoria_chmur]]=pogoda__2[[#This Row],[nubis K]],1,0)</f>
        <v>1</v>
      </c>
      <c r="J164">
        <f>IF(pogoda__2[[#This Row],[Wielkosc_chmur]]=pogoda__2[[#This Row],[nubis W]],1,0)</f>
        <v>1</v>
      </c>
      <c r="L164">
        <f>IF(AND(pogoda__2[[#This Row],[Temperatura]]&gt;=20,pogoda__2[[#This Row],[Opad]]&lt;=5),1,0)</f>
        <v>0</v>
      </c>
      <c r="M164">
        <v>1</v>
      </c>
    </row>
    <row r="165" spans="1:13" x14ac:dyDescent="0.3">
      <c r="A165">
        <v>164</v>
      </c>
      <c r="B165">
        <v>22.1</v>
      </c>
      <c r="C165">
        <v>0</v>
      </c>
      <c r="D165" s="6">
        <v>0</v>
      </c>
      <c r="E165">
        <v>0</v>
      </c>
      <c r="F165" s="6">
        <v>0</v>
      </c>
      <c r="G165">
        <v>0</v>
      </c>
      <c r="I165">
        <f>IF(pogoda__2[[#This Row],[Kategoria_chmur]]=pogoda__2[[#This Row],[nubis K]],1,0)</f>
        <v>1</v>
      </c>
      <c r="J165">
        <f>IF(pogoda__2[[#This Row],[Wielkosc_chmur]]=pogoda__2[[#This Row],[nubis W]],1,0)</f>
        <v>1</v>
      </c>
      <c r="L165">
        <f>IF(AND(pogoda__2[[#This Row],[Temperatura]]&gt;=20,pogoda__2[[#This Row],[Opad]]&lt;=5),1,0)</f>
        <v>1</v>
      </c>
      <c r="M165">
        <v>2</v>
      </c>
    </row>
    <row r="166" spans="1:13" x14ac:dyDescent="0.3">
      <c r="A166">
        <v>165</v>
      </c>
      <c r="B166">
        <v>24.5</v>
      </c>
      <c r="C166">
        <v>1</v>
      </c>
      <c r="D166" s="6" t="s">
        <v>6</v>
      </c>
      <c r="E166">
        <v>1</v>
      </c>
      <c r="F166" s="6" t="s">
        <v>5</v>
      </c>
      <c r="G166">
        <v>1</v>
      </c>
      <c r="I166">
        <f>IF(pogoda__2[[#This Row],[Kategoria_chmur]]=pogoda__2[[#This Row],[nubis K]],1,0)</f>
        <v>0</v>
      </c>
      <c r="J166">
        <f>IF(pogoda__2[[#This Row],[Wielkosc_chmur]]=pogoda__2[[#This Row],[nubis W]],1,0)</f>
        <v>1</v>
      </c>
      <c r="L166">
        <f>IF(AND(pogoda__2[[#This Row],[Temperatura]]&gt;=20,pogoda__2[[#This Row],[Opad]]&lt;=5),1,0)</f>
        <v>1</v>
      </c>
      <c r="M166">
        <v>3</v>
      </c>
    </row>
    <row r="167" spans="1:13" x14ac:dyDescent="0.3">
      <c r="A167">
        <v>166</v>
      </c>
      <c r="B167">
        <v>26.8</v>
      </c>
      <c r="C167">
        <v>2</v>
      </c>
      <c r="D167" s="6" t="s">
        <v>6</v>
      </c>
      <c r="E167">
        <v>1</v>
      </c>
      <c r="F167" s="6" t="s">
        <v>5</v>
      </c>
      <c r="G167">
        <v>1</v>
      </c>
      <c r="I167">
        <f>IF(pogoda__2[[#This Row],[Kategoria_chmur]]=pogoda__2[[#This Row],[nubis K]],1,0)</f>
        <v>0</v>
      </c>
      <c r="J167">
        <f>IF(pogoda__2[[#This Row],[Wielkosc_chmur]]=pogoda__2[[#This Row],[nubis W]],1,0)</f>
        <v>1</v>
      </c>
      <c r="L167">
        <f>IF(AND(pogoda__2[[#This Row],[Temperatura]]&gt;=20,pogoda__2[[#This Row],[Opad]]&lt;=5),1,0)</f>
        <v>1</v>
      </c>
      <c r="M167">
        <v>4</v>
      </c>
    </row>
    <row r="168" spans="1:13" x14ac:dyDescent="0.3">
      <c r="A168">
        <v>167</v>
      </c>
      <c r="B168">
        <v>28</v>
      </c>
      <c r="C168">
        <v>4</v>
      </c>
      <c r="D168" s="6" t="s">
        <v>6</v>
      </c>
      <c r="E168">
        <v>1</v>
      </c>
      <c r="F168" s="6" t="s">
        <v>5</v>
      </c>
      <c r="G168">
        <v>1</v>
      </c>
      <c r="I168">
        <f>IF(pogoda__2[[#This Row],[Kategoria_chmur]]=pogoda__2[[#This Row],[nubis K]],1,0)</f>
        <v>0</v>
      </c>
      <c r="J168">
        <f>IF(pogoda__2[[#This Row],[Wielkosc_chmur]]=pogoda__2[[#This Row],[nubis W]],1,0)</f>
        <v>1</v>
      </c>
      <c r="L168">
        <f>IF(AND(pogoda__2[[#This Row],[Temperatura]]&gt;=20,pogoda__2[[#This Row],[Opad]]&lt;=5),1,0)</f>
        <v>1</v>
      </c>
      <c r="M168">
        <v>5</v>
      </c>
    </row>
    <row r="169" spans="1:13" x14ac:dyDescent="0.3">
      <c r="A169">
        <v>168</v>
      </c>
      <c r="B169">
        <v>27.7</v>
      </c>
      <c r="C169">
        <v>8</v>
      </c>
      <c r="D169" s="6" t="s">
        <v>6</v>
      </c>
      <c r="E169">
        <v>2</v>
      </c>
      <c r="F169" s="6" t="s">
        <v>5</v>
      </c>
      <c r="G169">
        <v>2</v>
      </c>
      <c r="I169">
        <f>IF(pogoda__2[[#This Row],[Kategoria_chmur]]=pogoda__2[[#This Row],[nubis K]],1,0)</f>
        <v>0</v>
      </c>
      <c r="J169">
        <f>IF(pogoda__2[[#This Row],[Wielkosc_chmur]]=pogoda__2[[#This Row],[nubis W]],1,0)</f>
        <v>1</v>
      </c>
      <c r="L169">
        <f>IF(AND(pogoda__2[[#This Row],[Temperatura]]&gt;=20,pogoda__2[[#This Row],[Opad]]&lt;=5),1,0)</f>
        <v>0</v>
      </c>
      <c r="M169">
        <v>0</v>
      </c>
    </row>
    <row r="170" spans="1:13" x14ac:dyDescent="0.3">
      <c r="A170">
        <v>169</v>
      </c>
      <c r="B170">
        <v>25.6</v>
      </c>
      <c r="C170">
        <v>4</v>
      </c>
      <c r="D170" s="6" t="s">
        <v>6</v>
      </c>
      <c r="E170">
        <v>2</v>
      </c>
      <c r="F170" s="6" t="s">
        <v>5</v>
      </c>
      <c r="G170">
        <v>2</v>
      </c>
      <c r="I170">
        <f>IF(pogoda__2[[#This Row],[Kategoria_chmur]]=pogoda__2[[#This Row],[nubis K]],1,0)</f>
        <v>0</v>
      </c>
      <c r="J170">
        <f>IF(pogoda__2[[#This Row],[Wielkosc_chmur]]=pogoda__2[[#This Row],[nubis W]],1,0)</f>
        <v>1</v>
      </c>
      <c r="L170">
        <f>IF(AND(pogoda__2[[#This Row],[Temperatura]]&gt;=20,pogoda__2[[#This Row],[Opad]]&lt;=5),1,0)</f>
        <v>1</v>
      </c>
      <c r="M170">
        <v>0</v>
      </c>
    </row>
    <row r="171" spans="1:13" x14ac:dyDescent="0.3">
      <c r="A171">
        <v>170</v>
      </c>
      <c r="B171">
        <v>22.3</v>
      </c>
      <c r="C171">
        <v>7</v>
      </c>
      <c r="D171" s="6" t="s">
        <v>6</v>
      </c>
      <c r="E171">
        <v>2</v>
      </c>
      <c r="F171" s="6" t="s">
        <v>5</v>
      </c>
      <c r="G171">
        <v>2</v>
      </c>
      <c r="I171">
        <f>IF(pogoda__2[[#This Row],[Kategoria_chmur]]=pogoda__2[[#This Row],[nubis K]],1,0)</f>
        <v>0</v>
      </c>
      <c r="J171">
        <f>IF(pogoda__2[[#This Row],[Wielkosc_chmur]]=pogoda__2[[#This Row],[nubis W]],1,0)</f>
        <v>1</v>
      </c>
      <c r="L171">
        <f>IF(AND(pogoda__2[[#This Row],[Temperatura]]&gt;=20,pogoda__2[[#This Row],[Opad]]&lt;=5),1,0)</f>
        <v>0</v>
      </c>
      <c r="M171">
        <v>0</v>
      </c>
    </row>
    <row r="172" spans="1:13" x14ac:dyDescent="0.3">
      <c r="A172">
        <v>171</v>
      </c>
      <c r="B172">
        <v>18.399999999999999</v>
      </c>
      <c r="C172">
        <v>6</v>
      </c>
      <c r="D172" s="6" t="s">
        <v>6</v>
      </c>
      <c r="E172">
        <v>3</v>
      </c>
      <c r="F172" s="6" t="s">
        <v>5</v>
      </c>
      <c r="G172">
        <v>3</v>
      </c>
      <c r="I172">
        <f>IF(pogoda__2[[#This Row],[Kategoria_chmur]]=pogoda__2[[#This Row],[nubis K]],1,0)</f>
        <v>0</v>
      </c>
      <c r="J172">
        <f>IF(pogoda__2[[#This Row],[Wielkosc_chmur]]=pogoda__2[[#This Row],[nubis W]],1,0)</f>
        <v>1</v>
      </c>
      <c r="L172">
        <f>IF(AND(pogoda__2[[#This Row],[Temperatura]]&gt;=20,pogoda__2[[#This Row],[Opad]]&lt;=5),1,0)</f>
        <v>0</v>
      </c>
      <c r="M172">
        <v>0</v>
      </c>
    </row>
    <row r="173" spans="1:13" x14ac:dyDescent="0.3">
      <c r="A173">
        <v>172</v>
      </c>
      <c r="B173">
        <v>14.9</v>
      </c>
      <c r="C173">
        <v>18</v>
      </c>
      <c r="D173" s="6" t="s">
        <v>6</v>
      </c>
      <c r="E173">
        <v>3</v>
      </c>
      <c r="F173" s="6" t="s">
        <v>5</v>
      </c>
      <c r="G173">
        <v>3</v>
      </c>
      <c r="I173">
        <f>IF(pogoda__2[[#This Row],[Kategoria_chmur]]=pogoda__2[[#This Row],[nubis K]],1,0)</f>
        <v>0</v>
      </c>
      <c r="J173">
        <f>IF(pogoda__2[[#This Row],[Wielkosc_chmur]]=pogoda__2[[#This Row],[nubis W]],1,0)</f>
        <v>1</v>
      </c>
      <c r="L173">
        <f>IF(AND(pogoda__2[[#This Row],[Temperatura]]&gt;=20,pogoda__2[[#This Row],[Opad]]&lt;=5),1,0)</f>
        <v>0</v>
      </c>
      <c r="M173">
        <v>0</v>
      </c>
    </row>
    <row r="174" spans="1:13" x14ac:dyDescent="0.3">
      <c r="A174">
        <v>173</v>
      </c>
      <c r="B174">
        <v>12.5</v>
      </c>
      <c r="C174">
        <v>6</v>
      </c>
      <c r="D174" s="6" t="s">
        <v>6</v>
      </c>
      <c r="E174">
        <v>3</v>
      </c>
      <c r="F174" s="6" t="s">
        <v>5</v>
      </c>
      <c r="G174">
        <v>3</v>
      </c>
      <c r="I174">
        <f>IF(pogoda__2[[#This Row],[Kategoria_chmur]]=pogoda__2[[#This Row],[nubis K]],1,0)</f>
        <v>0</v>
      </c>
      <c r="J174">
        <f>IF(pogoda__2[[#This Row],[Wielkosc_chmur]]=pogoda__2[[#This Row],[nubis W]],1,0)</f>
        <v>1</v>
      </c>
      <c r="L174">
        <f>IF(AND(pogoda__2[[#This Row],[Temperatura]]&gt;=20,pogoda__2[[#This Row],[Opad]]&lt;=5),1,0)</f>
        <v>0</v>
      </c>
      <c r="M174">
        <v>0</v>
      </c>
    </row>
    <row r="175" spans="1:13" x14ac:dyDescent="0.3">
      <c r="A175">
        <v>174</v>
      </c>
      <c r="B175">
        <v>11.7</v>
      </c>
      <c r="C175">
        <v>20</v>
      </c>
      <c r="D175" s="6" t="s">
        <v>6</v>
      </c>
      <c r="E175">
        <v>4</v>
      </c>
      <c r="F175" s="6" t="s">
        <v>5</v>
      </c>
      <c r="G175">
        <v>4</v>
      </c>
      <c r="I175">
        <f>IF(pogoda__2[[#This Row],[Kategoria_chmur]]=pogoda__2[[#This Row],[nubis K]],1,0)</f>
        <v>0</v>
      </c>
      <c r="J175">
        <f>IF(pogoda__2[[#This Row],[Wielkosc_chmur]]=pogoda__2[[#This Row],[nubis W]],1,0)</f>
        <v>1</v>
      </c>
      <c r="L175">
        <f>IF(AND(pogoda__2[[#This Row],[Temperatura]]&gt;=20,pogoda__2[[#This Row],[Opad]]&lt;=5),1,0)</f>
        <v>0</v>
      </c>
      <c r="M175">
        <v>0</v>
      </c>
    </row>
    <row r="176" spans="1:13" x14ac:dyDescent="0.3">
      <c r="A176">
        <v>175</v>
      </c>
      <c r="B176">
        <v>12.3</v>
      </c>
      <c r="C176">
        <v>14</v>
      </c>
      <c r="D176" s="6" t="s">
        <v>6</v>
      </c>
      <c r="E176">
        <v>4</v>
      </c>
      <c r="F176" s="6" t="s">
        <v>5</v>
      </c>
      <c r="G176">
        <v>4</v>
      </c>
      <c r="I176">
        <f>IF(pogoda__2[[#This Row],[Kategoria_chmur]]=pogoda__2[[#This Row],[nubis K]],1,0)</f>
        <v>0</v>
      </c>
      <c r="J176">
        <f>IF(pogoda__2[[#This Row],[Wielkosc_chmur]]=pogoda__2[[#This Row],[nubis W]],1,0)</f>
        <v>1</v>
      </c>
      <c r="L176">
        <f>IF(AND(pogoda__2[[#This Row],[Temperatura]]&gt;=20,pogoda__2[[#This Row],[Opad]]&lt;=5),1,0)</f>
        <v>0</v>
      </c>
      <c r="M176">
        <v>1</v>
      </c>
    </row>
    <row r="177" spans="1:13" x14ac:dyDescent="0.3">
      <c r="A177">
        <v>176</v>
      </c>
      <c r="B177">
        <v>13.7</v>
      </c>
      <c r="C177">
        <v>22</v>
      </c>
      <c r="D177" s="6" t="s">
        <v>6</v>
      </c>
      <c r="E177">
        <v>4</v>
      </c>
      <c r="F177" s="6" t="s">
        <v>5</v>
      </c>
      <c r="G177">
        <v>4</v>
      </c>
      <c r="I177">
        <f>IF(pogoda__2[[#This Row],[Kategoria_chmur]]=pogoda__2[[#This Row],[nubis K]],1,0)</f>
        <v>0</v>
      </c>
      <c r="J177">
        <f>IF(pogoda__2[[#This Row],[Wielkosc_chmur]]=pogoda__2[[#This Row],[nubis W]],1,0)</f>
        <v>1</v>
      </c>
      <c r="L177">
        <f>IF(AND(pogoda__2[[#This Row],[Temperatura]]&gt;=20,pogoda__2[[#This Row],[Opad]]&lt;=5),1,0)</f>
        <v>0</v>
      </c>
      <c r="M177">
        <v>2</v>
      </c>
    </row>
    <row r="178" spans="1:13" x14ac:dyDescent="0.3">
      <c r="A178">
        <v>177</v>
      </c>
      <c r="B178">
        <v>15.2</v>
      </c>
      <c r="C178">
        <v>23</v>
      </c>
      <c r="D178" s="6" t="s">
        <v>6</v>
      </c>
      <c r="E178">
        <v>5</v>
      </c>
      <c r="F178" s="6" t="s">
        <v>5</v>
      </c>
      <c r="G178">
        <v>5</v>
      </c>
      <c r="I178">
        <f>IF(pogoda__2[[#This Row],[Kategoria_chmur]]=pogoda__2[[#This Row],[nubis K]],1,0)</f>
        <v>0</v>
      </c>
      <c r="J178">
        <f>IF(pogoda__2[[#This Row],[Wielkosc_chmur]]=pogoda__2[[#This Row],[nubis W]],1,0)</f>
        <v>1</v>
      </c>
      <c r="L178">
        <f>IF(AND(pogoda__2[[#This Row],[Temperatura]]&gt;=20,pogoda__2[[#This Row],[Opad]]&lt;=5),1,0)</f>
        <v>0</v>
      </c>
      <c r="M178">
        <v>3</v>
      </c>
    </row>
    <row r="179" spans="1:13" x14ac:dyDescent="0.3">
      <c r="A179">
        <v>178</v>
      </c>
      <c r="B179">
        <v>15.9</v>
      </c>
      <c r="C179">
        <v>0</v>
      </c>
      <c r="D179" s="6">
        <v>0</v>
      </c>
      <c r="E179">
        <v>0</v>
      </c>
      <c r="F179" s="6">
        <v>0</v>
      </c>
      <c r="G179">
        <v>0</v>
      </c>
      <c r="I179">
        <f>IF(pogoda__2[[#This Row],[Kategoria_chmur]]=pogoda__2[[#This Row],[nubis K]],1,0)</f>
        <v>1</v>
      </c>
      <c r="J179">
        <f>IF(pogoda__2[[#This Row],[Wielkosc_chmur]]=pogoda__2[[#This Row],[nubis W]],1,0)</f>
        <v>1</v>
      </c>
      <c r="L179">
        <f>IF(AND(pogoda__2[[#This Row],[Temperatura]]&gt;=20,pogoda__2[[#This Row],[Opad]]&lt;=5),1,0)</f>
        <v>0</v>
      </c>
      <c r="M179">
        <v>4</v>
      </c>
    </row>
    <row r="180" spans="1:13" x14ac:dyDescent="0.3">
      <c r="A180">
        <v>179</v>
      </c>
      <c r="B180">
        <v>15.1</v>
      </c>
      <c r="C180">
        <v>1</v>
      </c>
      <c r="D180" s="6" t="s">
        <v>5</v>
      </c>
      <c r="E180">
        <v>1</v>
      </c>
      <c r="F180" s="6" t="s">
        <v>5</v>
      </c>
      <c r="G180">
        <v>1</v>
      </c>
      <c r="I180">
        <f>IF(pogoda__2[[#This Row],[Kategoria_chmur]]=pogoda__2[[#This Row],[nubis K]],1,0)</f>
        <v>1</v>
      </c>
      <c r="J180">
        <f>IF(pogoda__2[[#This Row],[Wielkosc_chmur]]=pogoda__2[[#This Row],[nubis W]],1,0)</f>
        <v>1</v>
      </c>
      <c r="L180">
        <f>IF(AND(pogoda__2[[#This Row],[Temperatura]]&gt;=20,pogoda__2[[#This Row],[Opad]]&lt;=5),1,0)</f>
        <v>0</v>
      </c>
      <c r="M180">
        <v>0</v>
      </c>
    </row>
    <row r="181" spans="1:13" x14ac:dyDescent="0.3">
      <c r="A181">
        <v>180</v>
      </c>
      <c r="B181">
        <v>12.9</v>
      </c>
      <c r="C181">
        <v>1</v>
      </c>
      <c r="D181" s="6" t="s">
        <v>5</v>
      </c>
      <c r="E181">
        <v>1</v>
      </c>
      <c r="F181" s="6" t="s">
        <v>5</v>
      </c>
      <c r="G181">
        <v>1</v>
      </c>
      <c r="I181">
        <f>IF(pogoda__2[[#This Row],[Kategoria_chmur]]=pogoda__2[[#This Row],[nubis K]],1,0)</f>
        <v>1</v>
      </c>
      <c r="J181">
        <f>IF(pogoda__2[[#This Row],[Wielkosc_chmur]]=pogoda__2[[#This Row],[nubis W]],1,0)</f>
        <v>1</v>
      </c>
      <c r="L181">
        <f>IF(AND(pogoda__2[[#This Row],[Temperatura]]&gt;=20,pogoda__2[[#This Row],[Opad]]&lt;=5),1,0)</f>
        <v>0</v>
      </c>
      <c r="M181">
        <v>0</v>
      </c>
    </row>
    <row r="182" spans="1:13" x14ac:dyDescent="0.3">
      <c r="A182">
        <v>181</v>
      </c>
      <c r="B182">
        <v>9.6</v>
      </c>
      <c r="C182">
        <v>1</v>
      </c>
      <c r="D182" s="6" t="s">
        <v>5</v>
      </c>
      <c r="E182">
        <v>1</v>
      </c>
      <c r="F182" s="6" t="s">
        <v>5</v>
      </c>
      <c r="G182">
        <v>1</v>
      </c>
      <c r="I182">
        <f>IF(pogoda__2[[#This Row],[Kategoria_chmur]]=pogoda__2[[#This Row],[nubis K]],1,0)</f>
        <v>1</v>
      </c>
      <c r="J182">
        <f>IF(pogoda__2[[#This Row],[Wielkosc_chmur]]=pogoda__2[[#This Row],[nubis W]],1,0)</f>
        <v>1</v>
      </c>
      <c r="L182">
        <f>IF(AND(pogoda__2[[#This Row],[Temperatura]]&gt;=20,pogoda__2[[#This Row],[Opad]]&lt;=5),1,0)</f>
        <v>0</v>
      </c>
      <c r="M182">
        <v>0</v>
      </c>
    </row>
    <row r="183" spans="1:13" x14ac:dyDescent="0.3">
      <c r="A183">
        <v>182</v>
      </c>
      <c r="B183">
        <v>5.9</v>
      </c>
      <c r="C183">
        <v>2</v>
      </c>
      <c r="D183" s="6" t="s">
        <v>5</v>
      </c>
      <c r="E183">
        <v>2</v>
      </c>
      <c r="F183" s="6" t="s">
        <v>5</v>
      </c>
      <c r="G183">
        <v>2</v>
      </c>
      <c r="I183">
        <f>IF(pogoda__2[[#This Row],[Kategoria_chmur]]=pogoda__2[[#This Row],[nubis K]],1,0)</f>
        <v>1</v>
      </c>
      <c r="J183">
        <f>IF(pogoda__2[[#This Row],[Wielkosc_chmur]]=pogoda__2[[#This Row],[nubis W]],1,0)</f>
        <v>1</v>
      </c>
      <c r="L183">
        <f>IF(AND(pogoda__2[[#This Row],[Temperatura]]&gt;=20,pogoda__2[[#This Row],[Opad]]&lt;=5),1,0)</f>
        <v>0</v>
      </c>
      <c r="M183">
        <v>0</v>
      </c>
    </row>
    <row r="184" spans="1:13" x14ac:dyDescent="0.3">
      <c r="A184">
        <v>183</v>
      </c>
      <c r="B184">
        <v>2.8</v>
      </c>
      <c r="C184">
        <v>6</v>
      </c>
      <c r="D184" s="6" t="s">
        <v>5</v>
      </c>
      <c r="E184">
        <v>2</v>
      </c>
      <c r="F184" s="6" t="s">
        <v>5</v>
      </c>
      <c r="G184">
        <v>2</v>
      </c>
      <c r="I184">
        <f>IF(pogoda__2[[#This Row],[Kategoria_chmur]]=pogoda__2[[#This Row],[nubis K]],1,0)</f>
        <v>1</v>
      </c>
      <c r="J184">
        <f>IF(pogoda__2[[#This Row],[Wielkosc_chmur]]=pogoda__2[[#This Row],[nubis W]],1,0)</f>
        <v>1</v>
      </c>
      <c r="L184">
        <f>IF(AND(pogoda__2[[#This Row],[Temperatura]]&gt;=20,pogoda__2[[#This Row],[Opad]]&lt;=5),1,0)</f>
        <v>0</v>
      </c>
      <c r="M184">
        <v>0</v>
      </c>
    </row>
    <row r="185" spans="1:13" x14ac:dyDescent="0.3">
      <c r="A185">
        <v>184</v>
      </c>
      <c r="B185">
        <v>1</v>
      </c>
      <c r="C185">
        <v>9</v>
      </c>
      <c r="D185" s="6" t="s">
        <v>5</v>
      </c>
      <c r="E185">
        <v>2</v>
      </c>
      <c r="F185" s="6" t="s">
        <v>5</v>
      </c>
      <c r="G185">
        <v>2</v>
      </c>
      <c r="I185">
        <f>IF(pogoda__2[[#This Row],[Kategoria_chmur]]=pogoda__2[[#This Row],[nubis K]],1,0)</f>
        <v>1</v>
      </c>
      <c r="J185">
        <f>IF(pogoda__2[[#This Row],[Wielkosc_chmur]]=pogoda__2[[#This Row],[nubis W]],1,0)</f>
        <v>1</v>
      </c>
      <c r="L185">
        <f>IF(AND(pogoda__2[[#This Row],[Temperatura]]&gt;=20,pogoda__2[[#This Row],[Opad]]&lt;=5),1,0)</f>
        <v>0</v>
      </c>
      <c r="M185">
        <v>0</v>
      </c>
    </row>
    <row r="186" spans="1:13" x14ac:dyDescent="0.3">
      <c r="A186">
        <v>185</v>
      </c>
      <c r="B186">
        <v>0.9</v>
      </c>
      <c r="C186">
        <v>6</v>
      </c>
      <c r="D186" s="6" t="s">
        <v>5</v>
      </c>
      <c r="E186">
        <v>3</v>
      </c>
      <c r="F186" s="6" t="s">
        <v>5</v>
      </c>
      <c r="G186">
        <v>3</v>
      </c>
      <c r="I186">
        <f>IF(pogoda__2[[#This Row],[Kategoria_chmur]]=pogoda__2[[#This Row],[nubis K]],1,0)</f>
        <v>1</v>
      </c>
      <c r="J186">
        <f>IF(pogoda__2[[#This Row],[Wielkosc_chmur]]=pogoda__2[[#This Row],[nubis W]],1,0)</f>
        <v>1</v>
      </c>
      <c r="L186">
        <f>IF(AND(pogoda__2[[#This Row],[Temperatura]]&gt;=20,pogoda__2[[#This Row],[Opad]]&lt;=5),1,0)</f>
        <v>0</v>
      </c>
      <c r="M186">
        <v>0</v>
      </c>
    </row>
    <row r="187" spans="1:13" x14ac:dyDescent="0.3">
      <c r="A187">
        <v>186</v>
      </c>
      <c r="B187">
        <v>2.5</v>
      </c>
      <c r="C187">
        <v>1</v>
      </c>
      <c r="D187" s="6" t="s">
        <v>5</v>
      </c>
      <c r="E187">
        <v>3</v>
      </c>
      <c r="F187" s="6" t="s">
        <v>5</v>
      </c>
      <c r="G187">
        <v>3</v>
      </c>
      <c r="I187">
        <f>IF(pogoda__2[[#This Row],[Kategoria_chmur]]=pogoda__2[[#This Row],[nubis K]],1,0)</f>
        <v>1</v>
      </c>
      <c r="J187">
        <f>IF(pogoda__2[[#This Row],[Wielkosc_chmur]]=pogoda__2[[#This Row],[nubis W]],1,0)</f>
        <v>1</v>
      </c>
      <c r="L187">
        <f>IF(AND(pogoda__2[[#This Row],[Temperatura]]&gt;=20,pogoda__2[[#This Row],[Opad]]&lt;=5),1,0)</f>
        <v>0</v>
      </c>
      <c r="M187">
        <v>1</v>
      </c>
    </row>
    <row r="188" spans="1:13" x14ac:dyDescent="0.3">
      <c r="A188">
        <v>187</v>
      </c>
      <c r="B188">
        <v>5</v>
      </c>
      <c r="C188">
        <v>3</v>
      </c>
      <c r="D188" s="6" t="s">
        <v>5</v>
      </c>
      <c r="E188">
        <v>3</v>
      </c>
      <c r="F188" s="6" t="s">
        <v>5</v>
      </c>
      <c r="G188">
        <v>3</v>
      </c>
      <c r="I188">
        <f>IF(pogoda__2[[#This Row],[Kategoria_chmur]]=pogoda__2[[#This Row],[nubis K]],1,0)</f>
        <v>1</v>
      </c>
      <c r="J188">
        <f>IF(pogoda__2[[#This Row],[Wielkosc_chmur]]=pogoda__2[[#This Row],[nubis W]],1,0)</f>
        <v>1</v>
      </c>
      <c r="L188">
        <f>IF(AND(pogoda__2[[#This Row],[Temperatura]]&gt;=20,pogoda__2[[#This Row],[Opad]]&lt;=5),1,0)</f>
        <v>0</v>
      </c>
      <c r="M188">
        <v>2</v>
      </c>
    </row>
    <row r="189" spans="1:13" x14ac:dyDescent="0.3">
      <c r="A189">
        <v>188</v>
      </c>
      <c r="B189">
        <v>7.7</v>
      </c>
      <c r="C189">
        <v>7</v>
      </c>
      <c r="D189" s="6" t="s">
        <v>5</v>
      </c>
      <c r="E189">
        <v>4</v>
      </c>
      <c r="F189" s="6" t="s">
        <v>5</v>
      </c>
      <c r="G189">
        <v>4</v>
      </c>
      <c r="I189">
        <f>IF(pogoda__2[[#This Row],[Kategoria_chmur]]=pogoda__2[[#This Row],[nubis K]],1,0)</f>
        <v>1</v>
      </c>
      <c r="J189">
        <f>IF(pogoda__2[[#This Row],[Wielkosc_chmur]]=pogoda__2[[#This Row],[nubis W]],1,0)</f>
        <v>1</v>
      </c>
      <c r="L189">
        <f>IF(AND(pogoda__2[[#This Row],[Temperatura]]&gt;=20,pogoda__2[[#This Row],[Opad]]&lt;=5),1,0)</f>
        <v>0</v>
      </c>
      <c r="M189">
        <v>3</v>
      </c>
    </row>
    <row r="190" spans="1:13" x14ac:dyDescent="0.3">
      <c r="A190">
        <v>189</v>
      </c>
      <c r="B190">
        <v>9.6999999999999993</v>
      </c>
      <c r="C190">
        <v>6</v>
      </c>
      <c r="D190" s="6" t="s">
        <v>5</v>
      </c>
      <c r="E190">
        <v>4</v>
      </c>
      <c r="F190" s="6" t="s">
        <v>5</v>
      </c>
      <c r="G190">
        <v>4</v>
      </c>
      <c r="I190">
        <f>IF(pogoda__2[[#This Row],[Kategoria_chmur]]=pogoda__2[[#This Row],[nubis K]],1,0)</f>
        <v>1</v>
      </c>
      <c r="J190">
        <f>IF(pogoda__2[[#This Row],[Wielkosc_chmur]]=pogoda__2[[#This Row],[nubis W]],1,0)</f>
        <v>1</v>
      </c>
      <c r="L190">
        <f>IF(AND(pogoda__2[[#This Row],[Temperatura]]&gt;=20,pogoda__2[[#This Row],[Opad]]&lt;=5),1,0)</f>
        <v>0</v>
      </c>
      <c r="M190">
        <v>4</v>
      </c>
    </row>
    <row r="191" spans="1:13" x14ac:dyDescent="0.3">
      <c r="A191">
        <v>190</v>
      </c>
      <c r="B191">
        <v>10.4</v>
      </c>
      <c r="C191">
        <v>3</v>
      </c>
      <c r="D191" s="6" t="s">
        <v>5</v>
      </c>
      <c r="E191">
        <v>4</v>
      </c>
      <c r="F191" s="6" t="s">
        <v>5</v>
      </c>
      <c r="G191">
        <v>4</v>
      </c>
      <c r="I191">
        <f>IF(pogoda__2[[#This Row],[Kategoria_chmur]]=pogoda__2[[#This Row],[nubis K]],1,0)</f>
        <v>1</v>
      </c>
      <c r="J191">
        <f>IF(pogoda__2[[#This Row],[Wielkosc_chmur]]=pogoda__2[[#This Row],[nubis W]],1,0)</f>
        <v>1</v>
      </c>
      <c r="L191">
        <f>IF(AND(pogoda__2[[#This Row],[Temperatura]]&gt;=20,pogoda__2[[#This Row],[Opad]]&lt;=5),1,0)</f>
        <v>0</v>
      </c>
      <c r="M191">
        <v>5</v>
      </c>
    </row>
    <row r="192" spans="1:13" x14ac:dyDescent="0.3">
      <c r="A192">
        <v>191</v>
      </c>
      <c r="B192">
        <v>9.6999999999999993</v>
      </c>
      <c r="C192">
        <v>22</v>
      </c>
      <c r="D192" s="6" t="s">
        <v>5</v>
      </c>
      <c r="E192">
        <v>5</v>
      </c>
      <c r="F192" s="6" t="s">
        <v>5</v>
      </c>
      <c r="G192">
        <v>5</v>
      </c>
      <c r="I192">
        <f>IF(pogoda__2[[#This Row],[Kategoria_chmur]]=pogoda__2[[#This Row],[nubis K]],1,0)</f>
        <v>1</v>
      </c>
      <c r="J192">
        <f>IF(pogoda__2[[#This Row],[Wielkosc_chmur]]=pogoda__2[[#This Row],[nubis W]],1,0)</f>
        <v>1</v>
      </c>
      <c r="L192">
        <f>IF(AND(pogoda__2[[#This Row],[Temperatura]]&gt;=20,pogoda__2[[#This Row],[Opad]]&lt;=5),1,0)</f>
        <v>0</v>
      </c>
      <c r="M192">
        <v>0</v>
      </c>
    </row>
    <row r="193" spans="1:13" x14ac:dyDescent="0.3">
      <c r="A193">
        <v>192</v>
      </c>
      <c r="B193">
        <v>8</v>
      </c>
      <c r="C193">
        <v>0</v>
      </c>
      <c r="D193" s="6">
        <v>0</v>
      </c>
      <c r="E193">
        <v>0</v>
      </c>
      <c r="F193" s="6">
        <v>0</v>
      </c>
      <c r="G193">
        <v>0</v>
      </c>
      <c r="I193">
        <f>IF(pogoda__2[[#This Row],[Kategoria_chmur]]=pogoda__2[[#This Row],[nubis K]],1,0)</f>
        <v>1</v>
      </c>
      <c r="J193">
        <f>IF(pogoda__2[[#This Row],[Wielkosc_chmur]]=pogoda__2[[#This Row],[nubis W]],1,0)</f>
        <v>1</v>
      </c>
      <c r="L193">
        <f>IF(AND(pogoda__2[[#This Row],[Temperatura]]&gt;=20,pogoda__2[[#This Row],[Opad]]&lt;=5),1,0)</f>
        <v>0</v>
      </c>
      <c r="M193">
        <v>0</v>
      </c>
    </row>
    <row r="194" spans="1:13" x14ac:dyDescent="0.3">
      <c r="A194">
        <v>193</v>
      </c>
      <c r="B194">
        <v>5.9</v>
      </c>
      <c r="C194">
        <v>3</v>
      </c>
      <c r="D194" s="6" t="s">
        <v>6</v>
      </c>
      <c r="E194">
        <v>1</v>
      </c>
      <c r="F194" s="6" t="s">
        <v>6</v>
      </c>
      <c r="G194">
        <v>1</v>
      </c>
      <c r="I194">
        <f>IF(pogoda__2[[#This Row],[Kategoria_chmur]]=pogoda__2[[#This Row],[nubis K]],1,0)</f>
        <v>1</v>
      </c>
      <c r="J194">
        <f>IF(pogoda__2[[#This Row],[Wielkosc_chmur]]=pogoda__2[[#This Row],[nubis W]],1,0)</f>
        <v>1</v>
      </c>
      <c r="L194">
        <f>IF(AND(pogoda__2[[#This Row],[Temperatura]]&gt;=20,pogoda__2[[#This Row],[Opad]]&lt;=5),1,0)</f>
        <v>0</v>
      </c>
      <c r="M194">
        <v>0</v>
      </c>
    </row>
    <row r="195" spans="1:13" x14ac:dyDescent="0.3">
      <c r="A195">
        <v>194</v>
      </c>
      <c r="B195">
        <v>4.4000000000000004</v>
      </c>
      <c r="C195">
        <v>4</v>
      </c>
      <c r="D195" s="6" t="s">
        <v>6</v>
      </c>
      <c r="E195">
        <v>1</v>
      </c>
      <c r="F195" s="6" t="s">
        <v>6</v>
      </c>
      <c r="G195">
        <v>1</v>
      </c>
      <c r="I195">
        <f>IF(pogoda__2[[#This Row],[Kategoria_chmur]]=pogoda__2[[#This Row],[nubis K]],1,0)</f>
        <v>1</v>
      </c>
      <c r="J195">
        <f>IF(pogoda__2[[#This Row],[Wielkosc_chmur]]=pogoda__2[[#This Row],[nubis W]],1,0)</f>
        <v>1</v>
      </c>
      <c r="L195">
        <f>IF(AND(pogoda__2[[#This Row],[Temperatura]]&gt;=20,pogoda__2[[#This Row],[Opad]]&lt;=5),1,0)</f>
        <v>0</v>
      </c>
      <c r="M195">
        <v>0</v>
      </c>
    </row>
    <row r="196" spans="1:13" x14ac:dyDescent="0.3">
      <c r="A196">
        <v>195</v>
      </c>
      <c r="B196">
        <v>4.2</v>
      </c>
      <c r="C196">
        <v>6</v>
      </c>
      <c r="D196" s="6" t="s">
        <v>6</v>
      </c>
      <c r="E196">
        <v>1</v>
      </c>
      <c r="F196" s="6" t="s">
        <v>6</v>
      </c>
      <c r="G196">
        <v>1</v>
      </c>
      <c r="I196">
        <f>IF(pogoda__2[[#This Row],[Kategoria_chmur]]=pogoda__2[[#This Row],[nubis K]],1,0)</f>
        <v>1</v>
      </c>
      <c r="J196">
        <f>IF(pogoda__2[[#This Row],[Wielkosc_chmur]]=pogoda__2[[#This Row],[nubis W]],1,0)</f>
        <v>1</v>
      </c>
      <c r="L196">
        <f>IF(AND(pogoda__2[[#This Row],[Temperatura]]&gt;=20,pogoda__2[[#This Row],[Opad]]&lt;=5),1,0)</f>
        <v>0</v>
      </c>
      <c r="M196">
        <v>0</v>
      </c>
    </row>
    <row r="197" spans="1:13" x14ac:dyDescent="0.3">
      <c r="A197">
        <v>196</v>
      </c>
      <c r="B197">
        <v>5.6</v>
      </c>
      <c r="C197">
        <v>8</v>
      </c>
      <c r="D197" s="6" t="s">
        <v>6</v>
      </c>
      <c r="E197">
        <v>2</v>
      </c>
      <c r="F197" s="6" t="s">
        <v>6</v>
      </c>
      <c r="G197">
        <v>2</v>
      </c>
      <c r="I197">
        <f>IF(pogoda__2[[#This Row],[Kategoria_chmur]]=pogoda__2[[#This Row],[nubis K]],1,0)</f>
        <v>1</v>
      </c>
      <c r="J197">
        <f>IF(pogoda__2[[#This Row],[Wielkosc_chmur]]=pogoda__2[[#This Row],[nubis W]],1,0)</f>
        <v>1</v>
      </c>
      <c r="L197">
        <f>IF(AND(pogoda__2[[#This Row],[Temperatura]]&gt;=20,pogoda__2[[#This Row],[Opad]]&lt;=5),1,0)</f>
        <v>0</v>
      </c>
      <c r="M197">
        <v>1</v>
      </c>
    </row>
    <row r="198" spans="1:13" x14ac:dyDescent="0.3">
      <c r="A198">
        <v>197</v>
      </c>
      <c r="B198">
        <v>8.6</v>
      </c>
      <c r="C198">
        <v>12</v>
      </c>
      <c r="D198" s="6" t="s">
        <v>6</v>
      </c>
      <c r="E198">
        <v>2</v>
      </c>
      <c r="F198" s="6" t="s">
        <v>6</v>
      </c>
      <c r="G198">
        <v>2</v>
      </c>
      <c r="I198">
        <f>IF(pogoda__2[[#This Row],[Kategoria_chmur]]=pogoda__2[[#This Row],[nubis K]],1,0)</f>
        <v>1</v>
      </c>
      <c r="J198">
        <f>IF(pogoda__2[[#This Row],[Wielkosc_chmur]]=pogoda__2[[#This Row],[nubis W]],1,0)</f>
        <v>1</v>
      </c>
      <c r="L198">
        <f>IF(AND(pogoda__2[[#This Row],[Temperatura]]&gt;=20,pogoda__2[[#This Row],[Opad]]&lt;=5),1,0)</f>
        <v>0</v>
      </c>
      <c r="M198">
        <v>2</v>
      </c>
    </row>
    <row r="199" spans="1:13" x14ac:dyDescent="0.3">
      <c r="A199">
        <v>198</v>
      </c>
      <c r="B199">
        <v>12.5</v>
      </c>
      <c r="C199">
        <v>9</v>
      </c>
      <c r="D199" s="6" t="s">
        <v>6</v>
      </c>
      <c r="E199">
        <v>2</v>
      </c>
      <c r="F199" s="6" t="s">
        <v>6</v>
      </c>
      <c r="G199">
        <v>2</v>
      </c>
      <c r="I199">
        <f>IF(pogoda__2[[#This Row],[Kategoria_chmur]]=pogoda__2[[#This Row],[nubis K]],1,0)</f>
        <v>1</v>
      </c>
      <c r="J199">
        <f>IF(pogoda__2[[#This Row],[Wielkosc_chmur]]=pogoda__2[[#This Row],[nubis W]],1,0)</f>
        <v>1</v>
      </c>
      <c r="L199">
        <f>IF(AND(pogoda__2[[#This Row],[Temperatura]]&gt;=20,pogoda__2[[#This Row],[Opad]]&lt;=5),1,0)</f>
        <v>0</v>
      </c>
      <c r="M199">
        <v>3</v>
      </c>
    </row>
    <row r="200" spans="1:13" x14ac:dyDescent="0.3">
      <c r="A200">
        <v>199</v>
      </c>
      <c r="B200">
        <v>16.399999999999999</v>
      </c>
      <c r="C200">
        <v>14</v>
      </c>
      <c r="D200" s="6" t="s">
        <v>6</v>
      </c>
      <c r="E200">
        <v>3</v>
      </c>
      <c r="F200" s="6" t="s">
        <v>6</v>
      </c>
      <c r="G200">
        <v>3</v>
      </c>
      <c r="I200">
        <f>IF(pogoda__2[[#This Row],[Kategoria_chmur]]=pogoda__2[[#This Row],[nubis K]],1,0)</f>
        <v>1</v>
      </c>
      <c r="J200">
        <f>IF(pogoda__2[[#This Row],[Wielkosc_chmur]]=pogoda__2[[#This Row],[nubis W]],1,0)</f>
        <v>1</v>
      </c>
      <c r="L200">
        <f>IF(AND(pogoda__2[[#This Row],[Temperatura]]&gt;=20,pogoda__2[[#This Row],[Opad]]&lt;=5),1,0)</f>
        <v>0</v>
      </c>
      <c r="M200">
        <v>4</v>
      </c>
    </row>
    <row r="201" spans="1:13" x14ac:dyDescent="0.3">
      <c r="A201">
        <v>200</v>
      </c>
      <c r="B201">
        <v>19.5</v>
      </c>
      <c r="C201">
        <v>12</v>
      </c>
      <c r="D201" s="6" t="s">
        <v>6</v>
      </c>
      <c r="E201">
        <v>3</v>
      </c>
      <c r="F201" s="6" t="s">
        <v>6</v>
      </c>
      <c r="G201">
        <v>3</v>
      </c>
      <c r="I201">
        <f>IF(pogoda__2[[#This Row],[Kategoria_chmur]]=pogoda__2[[#This Row],[nubis K]],1,0)</f>
        <v>1</v>
      </c>
      <c r="J201">
        <f>IF(pogoda__2[[#This Row],[Wielkosc_chmur]]=pogoda__2[[#This Row],[nubis W]],1,0)</f>
        <v>1</v>
      </c>
      <c r="L201">
        <f>IF(AND(pogoda__2[[#This Row],[Temperatura]]&gt;=20,pogoda__2[[#This Row],[Opad]]&lt;=5),1,0)</f>
        <v>0</v>
      </c>
      <c r="M201">
        <v>5</v>
      </c>
    </row>
    <row r="202" spans="1:13" x14ac:dyDescent="0.3">
      <c r="A202">
        <v>201</v>
      </c>
      <c r="B202">
        <v>21.2</v>
      </c>
      <c r="C202">
        <v>1</v>
      </c>
      <c r="D202" s="6" t="s">
        <v>6</v>
      </c>
      <c r="E202">
        <v>3</v>
      </c>
      <c r="F202" s="6" t="s">
        <v>6</v>
      </c>
      <c r="G202">
        <v>3</v>
      </c>
      <c r="I202">
        <f>IF(pogoda__2[[#This Row],[Kategoria_chmur]]=pogoda__2[[#This Row],[nubis K]],1,0)</f>
        <v>1</v>
      </c>
      <c r="J202">
        <f>IF(pogoda__2[[#This Row],[Wielkosc_chmur]]=pogoda__2[[#This Row],[nubis W]],1,0)</f>
        <v>1</v>
      </c>
      <c r="L202">
        <f>IF(AND(pogoda__2[[#This Row],[Temperatura]]&gt;=20,pogoda__2[[#This Row],[Opad]]&lt;=5),1,0)</f>
        <v>1</v>
      </c>
      <c r="M202">
        <v>6</v>
      </c>
    </row>
    <row r="203" spans="1:13" x14ac:dyDescent="0.3">
      <c r="A203">
        <v>202</v>
      </c>
      <c r="B203">
        <v>21.3</v>
      </c>
      <c r="C203">
        <v>11</v>
      </c>
      <c r="D203" s="6" t="s">
        <v>6</v>
      </c>
      <c r="E203">
        <v>4</v>
      </c>
      <c r="F203" s="6" t="s">
        <v>6</v>
      </c>
      <c r="G203">
        <v>4</v>
      </c>
      <c r="I203">
        <f>IF(pogoda__2[[#This Row],[Kategoria_chmur]]=pogoda__2[[#This Row],[nubis K]],1,0)</f>
        <v>1</v>
      </c>
      <c r="J203">
        <f>IF(pogoda__2[[#This Row],[Wielkosc_chmur]]=pogoda__2[[#This Row],[nubis W]],1,0)</f>
        <v>1</v>
      </c>
      <c r="L203">
        <f>IF(AND(pogoda__2[[#This Row],[Temperatura]]&gt;=20,pogoda__2[[#This Row],[Opad]]&lt;=5),1,0)</f>
        <v>0</v>
      </c>
      <c r="M203">
        <v>7</v>
      </c>
    </row>
    <row r="204" spans="1:13" x14ac:dyDescent="0.3">
      <c r="A204">
        <v>203</v>
      </c>
      <c r="B204">
        <v>20.100000000000001</v>
      </c>
      <c r="C204">
        <v>6</v>
      </c>
      <c r="D204" s="6" t="s">
        <v>6</v>
      </c>
      <c r="E204">
        <v>4</v>
      </c>
      <c r="F204" s="6" t="s">
        <v>6</v>
      </c>
      <c r="G204">
        <v>4</v>
      </c>
      <c r="I204">
        <f>IF(pogoda__2[[#This Row],[Kategoria_chmur]]=pogoda__2[[#This Row],[nubis K]],1,0)</f>
        <v>1</v>
      </c>
      <c r="J204">
        <f>IF(pogoda__2[[#This Row],[Wielkosc_chmur]]=pogoda__2[[#This Row],[nubis W]],1,0)</f>
        <v>1</v>
      </c>
      <c r="L204">
        <f>IF(AND(pogoda__2[[#This Row],[Temperatura]]&gt;=20,pogoda__2[[#This Row],[Opad]]&lt;=5),1,0)</f>
        <v>0</v>
      </c>
      <c r="M204">
        <v>0</v>
      </c>
    </row>
    <row r="205" spans="1:13" x14ac:dyDescent="0.3">
      <c r="A205">
        <v>204</v>
      </c>
      <c r="B205">
        <v>18.399999999999999</v>
      </c>
      <c r="C205">
        <v>3</v>
      </c>
      <c r="D205" s="6" t="s">
        <v>6</v>
      </c>
      <c r="E205">
        <v>4</v>
      </c>
      <c r="F205" s="6" t="s">
        <v>6</v>
      </c>
      <c r="G205">
        <v>4</v>
      </c>
      <c r="I205">
        <f>IF(pogoda__2[[#This Row],[Kategoria_chmur]]=pogoda__2[[#This Row],[nubis K]],1,0)</f>
        <v>1</v>
      </c>
      <c r="J205">
        <f>IF(pogoda__2[[#This Row],[Wielkosc_chmur]]=pogoda__2[[#This Row],[nubis W]],1,0)</f>
        <v>1</v>
      </c>
      <c r="L205">
        <f>IF(AND(pogoda__2[[#This Row],[Temperatura]]&gt;=20,pogoda__2[[#This Row],[Opad]]&lt;=5),1,0)</f>
        <v>0</v>
      </c>
      <c r="M205">
        <v>0</v>
      </c>
    </row>
    <row r="206" spans="1:13" x14ac:dyDescent="0.3">
      <c r="A206">
        <v>205</v>
      </c>
      <c r="B206">
        <v>17.100000000000001</v>
      </c>
      <c r="C206">
        <v>15</v>
      </c>
      <c r="D206" s="6" t="s">
        <v>6</v>
      </c>
      <c r="E206">
        <v>5</v>
      </c>
      <c r="F206" s="6" t="s">
        <v>6</v>
      </c>
      <c r="G206">
        <v>5</v>
      </c>
      <c r="I206">
        <f>IF(pogoda__2[[#This Row],[Kategoria_chmur]]=pogoda__2[[#This Row],[nubis K]],1,0)</f>
        <v>1</v>
      </c>
      <c r="J206">
        <f>IF(pogoda__2[[#This Row],[Wielkosc_chmur]]=pogoda__2[[#This Row],[nubis W]],1,0)</f>
        <v>1</v>
      </c>
      <c r="L206">
        <f>IF(AND(pogoda__2[[#This Row],[Temperatura]]&gt;=20,pogoda__2[[#This Row],[Opad]]&lt;=5),1,0)</f>
        <v>0</v>
      </c>
      <c r="M206">
        <v>0</v>
      </c>
    </row>
    <row r="207" spans="1:13" x14ac:dyDescent="0.3">
      <c r="A207">
        <v>206</v>
      </c>
      <c r="B207">
        <v>16.899999999999999</v>
      </c>
      <c r="C207">
        <v>16</v>
      </c>
      <c r="D207" s="6" t="s">
        <v>6</v>
      </c>
      <c r="E207">
        <v>5</v>
      </c>
      <c r="F207" s="6" t="s">
        <v>6</v>
      </c>
      <c r="G207">
        <v>5</v>
      </c>
      <c r="I207">
        <f>IF(pogoda__2[[#This Row],[Kategoria_chmur]]=pogoda__2[[#This Row],[nubis K]],1,0)</f>
        <v>1</v>
      </c>
      <c r="J207">
        <f>IF(pogoda__2[[#This Row],[Wielkosc_chmur]]=pogoda__2[[#This Row],[nubis W]],1,0)</f>
        <v>1</v>
      </c>
      <c r="L207">
        <f>IF(AND(pogoda__2[[#This Row],[Temperatura]]&gt;=20,pogoda__2[[#This Row],[Opad]]&lt;=5),1,0)</f>
        <v>0</v>
      </c>
      <c r="M207">
        <v>0</v>
      </c>
    </row>
    <row r="208" spans="1:13" x14ac:dyDescent="0.3">
      <c r="A208">
        <v>207</v>
      </c>
      <c r="B208">
        <v>18.2</v>
      </c>
      <c r="C208">
        <v>17</v>
      </c>
      <c r="D208" s="6" t="s">
        <v>6</v>
      </c>
      <c r="E208">
        <v>5</v>
      </c>
      <c r="F208" s="6" t="s">
        <v>6</v>
      </c>
      <c r="G208">
        <v>5</v>
      </c>
      <c r="I208">
        <f>IF(pogoda__2[[#This Row],[Kategoria_chmur]]=pogoda__2[[#This Row],[nubis K]],1,0)</f>
        <v>1</v>
      </c>
      <c r="J208">
        <f>IF(pogoda__2[[#This Row],[Wielkosc_chmur]]=pogoda__2[[#This Row],[nubis W]],1,0)</f>
        <v>1</v>
      </c>
      <c r="L208">
        <f>IF(AND(pogoda__2[[#This Row],[Temperatura]]&gt;=20,pogoda__2[[#This Row],[Opad]]&lt;=5),1,0)</f>
        <v>0</v>
      </c>
      <c r="M208">
        <v>1</v>
      </c>
    </row>
    <row r="209" spans="1:13" x14ac:dyDescent="0.3">
      <c r="A209">
        <v>208</v>
      </c>
      <c r="B209">
        <v>20.7</v>
      </c>
      <c r="C209">
        <v>18</v>
      </c>
      <c r="D209" s="6" t="s">
        <v>6</v>
      </c>
      <c r="E209">
        <v>5</v>
      </c>
      <c r="F209" s="6" t="s">
        <v>6</v>
      </c>
      <c r="G209">
        <v>5</v>
      </c>
      <c r="I209">
        <f>IF(pogoda__2[[#This Row],[Kategoria_chmur]]=pogoda__2[[#This Row],[nubis K]],1,0)</f>
        <v>1</v>
      </c>
      <c r="J209">
        <f>IF(pogoda__2[[#This Row],[Wielkosc_chmur]]=pogoda__2[[#This Row],[nubis W]],1,0)</f>
        <v>1</v>
      </c>
      <c r="L209">
        <f>IF(AND(pogoda__2[[#This Row],[Temperatura]]&gt;=20,pogoda__2[[#This Row],[Opad]]&lt;=5),1,0)</f>
        <v>0</v>
      </c>
      <c r="M209">
        <v>2</v>
      </c>
    </row>
    <row r="210" spans="1:13" x14ac:dyDescent="0.3">
      <c r="A210">
        <v>209</v>
      </c>
      <c r="B210">
        <v>24</v>
      </c>
      <c r="C210">
        <v>13</v>
      </c>
      <c r="D210" s="6" t="s">
        <v>6</v>
      </c>
      <c r="E210">
        <v>5</v>
      </c>
      <c r="F210" s="6" t="s">
        <v>6</v>
      </c>
      <c r="G210">
        <v>5</v>
      </c>
      <c r="I210">
        <f>IF(pogoda__2[[#This Row],[Kategoria_chmur]]=pogoda__2[[#This Row],[nubis K]],1,0)</f>
        <v>1</v>
      </c>
      <c r="J210">
        <f>IF(pogoda__2[[#This Row],[Wielkosc_chmur]]=pogoda__2[[#This Row],[nubis W]],1,0)</f>
        <v>1</v>
      </c>
      <c r="L210">
        <f>IF(AND(pogoda__2[[#This Row],[Temperatura]]&gt;=20,pogoda__2[[#This Row],[Opad]]&lt;=5),1,0)</f>
        <v>0</v>
      </c>
      <c r="M210">
        <v>3</v>
      </c>
    </row>
    <row r="211" spans="1:13" x14ac:dyDescent="0.3">
      <c r="A211">
        <v>210</v>
      </c>
      <c r="B211">
        <v>27.2</v>
      </c>
      <c r="C211">
        <v>27</v>
      </c>
      <c r="D211" s="6" t="s">
        <v>6</v>
      </c>
      <c r="E211">
        <v>5</v>
      </c>
      <c r="F211" s="6" t="s">
        <v>6</v>
      </c>
      <c r="G211">
        <v>5</v>
      </c>
      <c r="I211">
        <f>IF(pogoda__2[[#This Row],[Kategoria_chmur]]=pogoda__2[[#This Row],[nubis K]],1,0)</f>
        <v>1</v>
      </c>
      <c r="J211">
        <f>IF(pogoda__2[[#This Row],[Wielkosc_chmur]]=pogoda__2[[#This Row],[nubis W]],1,0)</f>
        <v>1</v>
      </c>
      <c r="L211">
        <f>IF(AND(pogoda__2[[#This Row],[Temperatura]]&gt;=20,pogoda__2[[#This Row],[Opad]]&lt;=5),1,0)</f>
        <v>0</v>
      </c>
      <c r="M211">
        <v>4</v>
      </c>
    </row>
    <row r="212" spans="1:13" x14ac:dyDescent="0.3">
      <c r="A212">
        <v>211</v>
      </c>
      <c r="B212">
        <v>29.4</v>
      </c>
      <c r="C212">
        <v>0</v>
      </c>
      <c r="D212" s="6">
        <v>0</v>
      </c>
      <c r="E212">
        <v>0</v>
      </c>
      <c r="F212" s="6">
        <v>0</v>
      </c>
      <c r="G212">
        <v>0</v>
      </c>
      <c r="I212">
        <f>IF(pogoda__2[[#This Row],[Kategoria_chmur]]=pogoda__2[[#This Row],[nubis K]],1,0)</f>
        <v>1</v>
      </c>
      <c r="J212">
        <f>IF(pogoda__2[[#This Row],[Wielkosc_chmur]]=pogoda__2[[#This Row],[nubis W]],1,0)</f>
        <v>1</v>
      </c>
      <c r="L212">
        <f>IF(AND(pogoda__2[[#This Row],[Temperatura]]&gt;=20,pogoda__2[[#This Row],[Opad]]&lt;=5),1,0)</f>
        <v>1</v>
      </c>
      <c r="M212">
        <v>5</v>
      </c>
    </row>
    <row r="213" spans="1:13" x14ac:dyDescent="0.3">
      <c r="A213">
        <v>212</v>
      </c>
      <c r="B213">
        <v>29.9</v>
      </c>
      <c r="C213">
        <v>2</v>
      </c>
      <c r="D213" s="6" t="s">
        <v>5</v>
      </c>
      <c r="E213">
        <v>1</v>
      </c>
      <c r="F213" s="6" t="s">
        <v>5</v>
      </c>
      <c r="G213">
        <v>1</v>
      </c>
      <c r="I213">
        <f>IF(pogoda__2[[#This Row],[Kategoria_chmur]]=pogoda__2[[#This Row],[nubis K]],1,0)</f>
        <v>1</v>
      </c>
      <c r="J213">
        <f>IF(pogoda__2[[#This Row],[Wielkosc_chmur]]=pogoda__2[[#This Row],[nubis W]],1,0)</f>
        <v>1</v>
      </c>
      <c r="L213">
        <f>IF(AND(pogoda__2[[#This Row],[Temperatura]]&gt;=20,pogoda__2[[#This Row],[Opad]]&lt;=5),1,0)</f>
        <v>1</v>
      </c>
      <c r="M213">
        <v>6</v>
      </c>
    </row>
    <row r="214" spans="1:13" x14ac:dyDescent="0.3">
      <c r="A214">
        <v>213</v>
      </c>
      <c r="B214">
        <v>28.8</v>
      </c>
      <c r="C214">
        <v>4</v>
      </c>
      <c r="D214" s="6" t="s">
        <v>5</v>
      </c>
      <c r="E214">
        <v>1</v>
      </c>
      <c r="F214" s="6" t="s">
        <v>5</v>
      </c>
      <c r="G214">
        <v>1</v>
      </c>
      <c r="I214">
        <f>IF(pogoda__2[[#This Row],[Kategoria_chmur]]=pogoda__2[[#This Row],[nubis K]],1,0)</f>
        <v>1</v>
      </c>
      <c r="J214">
        <f>IF(pogoda__2[[#This Row],[Wielkosc_chmur]]=pogoda__2[[#This Row],[nubis W]],1,0)</f>
        <v>1</v>
      </c>
      <c r="L214">
        <f>IF(AND(pogoda__2[[#This Row],[Temperatura]]&gt;=20,pogoda__2[[#This Row],[Opad]]&lt;=5),1,0)</f>
        <v>1</v>
      </c>
      <c r="M214">
        <v>0</v>
      </c>
    </row>
    <row r="215" spans="1:13" x14ac:dyDescent="0.3">
      <c r="A215">
        <v>214</v>
      </c>
      <c r="B215">
        <v>26.2</v>
      </c>
      <c r="C215">
        <v>2</v>
      </c>
      <c r="D215" s="6" t="s">
        <v>5</v>
      </c>
      <c r="E215">
        <v>1</v>
      </c>
      <c r="F215" s="6" t="s">
        <v>5</v>
      </c>
      <c r="G215">
        <v>1</v>
      </c>
      <c r="I215">
        <f>IF(pogoda__2[[#This Row],[Kategoria_chmur]]=pogoda__2[[#This Row],[nubis K]],1,0)</f>
        <v>1</v>
      </c>
      <c r="J215">
        <f>IF(pogoda__2[[#This Row],[Wielkosc_chmur]]=pogoda__2[[#This Row],[nubis W]],1,0)</f>
        <v>1</v>
      </c>
      <c r="L215">
        <f>IF(AND(pogoda__2[[#This Row],[Temperatura]]&gt;=20,pogoda__2[[#This Row],[Opad]]&lt;=5),1,0)</f>
        <v>1</v>
      </c>
      <c r="M215">
        <v>0</v>
      </c>
    </row>
    <row r="216" spans="1:13" x14ac:dyDescent="0.3">
      <c r="A216">
        <v>215</v>
      </c>
      <c r="B216">
        <v>23.1</v>
      </c>
      <c r="C216">
        <v>11</v>
      </c>
      <c r="D216" s="6" t="s">
        <v>5</v>
      </c>
      <c r="E216">
        <v>1</v>
      </c>
      <c r="F216" s="6" t="s">
        <v>5</v>
      </c>
      <c r="G216">
        <v>2</v>
      </c>
      <c r="I216">
        <f>IF(pogoda__2[[#This Row],[Kategoria_chmur]]=pogoda__2[[#This Row],[nubis K]],1,0)</f>
        <v>1</v>
      </c>
      <c r="J216">
        <f>IF(pogoda__2[[#This Row],[Wielkosc_chmur]]=pogoda__2[[#This Row],[nubis W]],1,0)</f>
        <v>0</v>
      </c>
      <c r="L216">
        <f>IF(AND(pogoda__2[[#This Row],[Temperatura]]&gt;=20,pogoda__2[[#This Row],[Opad]]&lt;=5),1,0)</f>
        <v>0</v>
      </c>
      <c r="M216">
        <v>0</v>
      </c>
    </row>
    <row r="217" spans="1:13" x14ac:dyDescent="0.3">
      <c r="A217">
        <v>216</v>
      </c>
      <c r="B217">
        <v>20.3</v>
      </c>
      <c r="C217">
        <v>1</v>
      </c>
      <c r="D217" s="6" t="s">
        <v>5</v>
      </c>
      <c r="E217">
        <v>2</v>
      </c>
      <c r="F217" s="6" t="s">
        <v>5</v>
      </c>
      <c r="G217">
        <v>2</v>
      </c>
      <c r="I217">
        <f>IF(pogoda__2[[#This Row],[Kategoria_chmur]]=pogoda__2[[#This Row],[nubis K]],1,0)</f>
        <v>1</v>
      </c>
      <c r="J217">
        <f>IF(pogoda__2[[#This Row],[Wielkosc_chmur]]=pogoda__2[[#This Row],[nubis W]],1,0)</f>
        <v>1</v>
      </c>
      <c r="L217">
        <f>IF(AND(pogoda__2[[#This Row],[Temperatura]]&gt;=20,pogoda__2[[#This Row],[Opad]]&lt;=5),1,0)</f>
        <v>1</v>
      </c>
      <c r="M217">
        <v>0</v>
      </c>
    </row>
    <row r="218" spans="1:13" x14ac:dyDescent="0.3">
      <c r="A218">
        <v>217</v>
      </c>
      <c r="B218">
        <v>18.5</v>
      </c>
      <c r="C218">
        <v>7</v>
      </c>
      <c r="D218" s="6" t="s">
        <v>5</v>
      </c>
      <c r="E218">
        <v>2</v>
      </c>
      <c r="F218" s="6" t="s">
        <v>5</v>
      </c>
      <c r="G218">
        <v>2</v>
      </c>
      <c r="I218">
        <f>IF(pogoda__2[[#This Row],[Kategoria_chmur]]=pogoda__2[[#This Row],[nubis K]],1,0)</f>
        <v>1</v>
      </c>
      <c r="J218">
        <f>IF(pogoda__2[[#This Row],[Wielkosc_chmur]]=pogoda__2[[#This Row],[nubis W]],1,0)</f>
        <v>1</v>
      </c>
      <c r="L218">
        <f>IF(AND(pogoda__2[[#This Row],[Temperatura]]&gt;=20,pogoda__2[[#This Row],[Opad]]&lt;=5),1,0)</f>
        <v>0</v>
      </c>
      <c r="M218">
        <v>0</v>
      </c>
    </row>
    <row r="219" spans="1:13" x14ac:dyDescent="0.3">
      <c r="A219">
        <v>218</v>
      </c>
      <c r="B219">
        <v>18.2</v>
      </c>
      <c r="C219">
        <v>10</v>
      </c>
      <c r="D219" s="6" t="s">
        <v>5</v>
      </c>
      <c r="E219">
        <v>3</v>
      </c>
      <c r="F219" s="6" t="s">
        <v>5</v>
      </c>
      <c r="G219">
        <v>3</v>
      </c>
      <c r="I219">
        <f>IF(pogoda__2[[#This Row],[Kategoria_chmur]]=pogoda__2[[#This Row],[nubis K]],1,0)</f>
        <v>1</v>
      </c>
      <c r="J219">
        <f>IF(pogoda__2[[#This Row],[Wielkosc_chmur]]=pogoda__2[[#This Row],[nubis W]],1,0)</f>
        <v>1</v>
      </c>
      <c r="L219">
        <f>IF(AND(pogoda__2[[#This Row],[Temperatura]]&gt;=20,pogoda__2[[#This Row],[Opad]]&lt;=5),1,0)</f>
        <v>0</v>
      </c>
      <c r="M219">
        <v>0</v>
      </c>
    </row>
    <row r="220" spans="1:13" x14ac:dyDescent="0.3">
      <c r="A220">
        <v>219</v>
      </c>
      <c r="B220">
        <v>19.100000000000001</v>
      </c>
      <c r="C220">
        <v>10</v>
      </c>
      <c r="D220" s="6" t="s">
        <v>5</v>
      </c>
      <c r="E220">
        <v>3</v>
      </c>
      <c r="F220" s="6" t="s">
        <v>5</v>
      </c>
      <c r="G220">
        <v>3</v>
      </c>
      <c r="I220">
        <f>IF(pogoda__2[[#This Row],[Kategoria_chmur]]=pogoda__2[[#This Row],[nubis K]],1,0)</f>
        <v>1</v>
      </c>
      <c r="J220">
        <f>IF(pogoda__2[[#This Row],[Wielkosc_chmur]]=pogoda__2[[#This Row],[nubis W]],1,0)</f>
        <v>1</v>
      </c>
      <c r="L220">
        <f>IF(AND(pogoda__2[[#This Row],[Temperatura]]&gt;=20,pogoda__2[[#This Row],[Opad]]&lt;=5),1,0)</f>
        <v>0</v>
      </c>
      <c r="M220">
        <v>1</v>
      </c>
    </row>
    <row r="221" spans="1:13" x14ac:dyDescent="0.3">
      <c r="A221">
        <v>220</v>
      </c>
      <c r="B221">
        <v>20.9</v>
      </c>
      <c r="C221">
        <v>1</v>
      </c>
      <c r="D221" s="6" t="s">
        <v>5</v>
      </c>
      <c r="E221">
        <v>3</v>
      </c>
      <c r="F221" s="6" t="s">
        <v>5</v>
      </c>
      <c r="G221">
        <v>3</v>
      </c>
      <c r="I221">
        <f>IF(pogoda__2[[#This Row],[Kategoria_chmur]]=pogoda__2[[#This Row],[nubis K]],1,0)</f>
        <v>1</v>
      </c>
      <c r="J221">
        <f>IF(pogoda__2[[#This Row],[Wielkosc_chmur]]=pogoda__2[[#This Row],[nubis W]],1,0)</f>
        <v>1</v>
      </c>
      <c r="L221">
        <f>IF(AND(pogoda__2[[#This Row],[Temperatura]]&gt;=20,pogoda__2[[#This Row],[Opad]]&lt;=5),1,0)</f>
        <v>1</v>
      </c>
      <c r="M221">
        <v>2</v>
      </c>
    </row>
    <row r="222" spans="1:13" x14ac:dyDescent="0.3">
      <c r="A222">
        <v>221</v>
      </c>
      <c r="B222">
        <v>22.5</v>
      </c>
      <c r="C222">
        <v>4</v>
      </c>
      <c r="D222" s="6" t="s">
        <v>5</v>
      </c>
      <c r="E222">
        <v>4</v>
      </c>
      <c r="F222" s="6" t="s">
        <v>5</v>
      </c>
      <c r="G222">
        <v>4</v>
      </c>
      <c r="I222">
        <f>IF(pogoda__2[[#This Row],[Kategoria_chmur]]=pogoda__2[[#This Row],[nubis K]],1,0)</f>
        <v>1</v>
      </c>
      <c r="J222">
        <f>IF(pogoda__2[[#This Row],[Wielkosc_chmur]]=pogoda__2[[#This Row],[nubis W]],1,0)</f>
        <v>1</v>
      </c>
      <c r="L222">
        <f>IF(AND(pogoda__2[[#This Row],[Temperatura]]&gt;=20,pogoda__2[[#This Row],[Opad]]&lt;=5),1,0)</f>
        <v>1</v>
      </c>
      <c r="M222">
        <v>3</v>
      </c>
    </row>
    <row r="223" spans="1:13" x14ac:dyDescent="0.3">
      <c r="A223">
        <v>222</v>
      </c>
      <c r="B223">
        <v>23.2</v>
      </c>
      <c r="C223">
        <v>12</v>
      </c>
      <c r="D223" s="6" t="s">
        <v>5</v>
      </c>
      <c r="E223">
        <v>4</v>
      </c>
      <c r="F223" s="6" t="s">
        <v>5</v>
      </c>
      <c r="G223">
        <v>4</v>
      </c>
      <c r="I223">
        <f>IF(pogoda__2[[#This Row],[Kategoria_chmur]]=pogoda__2[[#This Row],[nubis K]],1,0)</f>
        <v>1</v>
      </c>
      <c r="J223">
        <f>IF(pogoda__2[[#This Row],[Wielkosc_chmur]]=pogoda__2[[#This Row],[nubis W]],1,0)</f>
        <v>1</v>
      </c>
      <c r="L223">
        <f>IF(AND(pogoda__2[[#This Row],[Temperatura]]&gt;=20,pogoda__2[[#This Row],[Opad]]&lt;=5),1,0)</f>
        <v>0</v>
      </c>
      <c r="M223">
        <v>4</v>
      </c>
    </row>
    <row r="224" spans="1:13" x14ac:dyDescent="0.3">
      <c r="A224">
        <v>223</v>
      </c>
      <c r="B224">
        <v>22.4</v>
      </c>
      <c r="C224">
        <v>7</v>
      </c>
      <c r="D224" s="6" t="s">
        <v>5</v>
      </c>
      <c r="E224">
        <v>4</v>
      </c>
      <c r="F224" s="6" t="s">
        <v>5</v>
      </c>
      <c r="G224">
        <v>4</v>
      </c>
      <c r="I224">
        <f>IF(pogoda__2[[#This Row],[Kategoria_chmur]]=pogoda__2[[#This Row],[nubis K]],1,0)</f>
        <v>1</v>
      </c>
      <c r="J224">
        <f>IF(pogoda__2[[#This Row],[Wielkosc_chmur]]=pogoda__2[[#This Row],[nubis W]],1,0)</f>
        <v>1</v>
      </c>
      <c r="L224">
        <f>IF(AND(pogoda__2[[#This Row],[Temperatura]]&gt;=20,pogoda__2[[#This Row],[Opad]]&lt;=5),1,0)</f>
        <v>0</v>
      </c>
      <c r="M224">
        <v>0</v>
      </c>
    </row>
    <row r="225" spans="1:13" x14ac:dyDescent="0.3">
      <c r="A225">
        <v>224</v>
      </c>
      <c r="B225">
        <v>20</v>
      </c>
      <c r="C225">
        <v>16</v>
      </c>
      <c r="D225" s="6" t="s">
        <v>5</v>
      </c>
      <c r="E225">
        <v>5</v>
      </c>
      <c r="F225" s="6" t="s">
        <v>5</v>
      </c>
      <c r="G225">
        <v>5</v>
      </c>
      <c r="I225">
        <f>IF(pogoda__2[[#This Row],[Kategoria_chmur]]=pogoda__2[[#This Row],[nubis K]],1,0)</f>
        <v>1</v>
      </c>
      <c r="J225">
        <f>IF(pogoda__2[[#This Row],[Wielkosc_chmur]]=pogoda__2[[#This Row],[nubis W]],1,0)</f>
        <v>1</v>
      </c>
      <c r="L225">
        <f>IF(AND(pogoda__2[[#This Row],[Temperatura]]&gt;=20,pogoda__2[[#This Row],[Opad]]&lt;=5),1,0)</f>
        <v>0</v>
      </c>
      <c r="M225">
        <v>0</v>
      </c>
    </row>
    <row r="226" spans="1:13" x14ac:dyDescent="0.3">
      <c r="A226">
        <v>225</v>
      </c>
      <c r="B226">
        <v>16.399999999999999</v>
      </c>
      <c r="C226">
        <v>24</v>
      </c>
      <c r="D226" s="6" t="s">
        <v>5</v>
      </c>
      <c r="E226">
        <v>5</v>
      </c>
      <c r="F226" s="6" t="s">
        <v>5</v>
      </c>
      <c r="G226">
        <v>5</v>
      </c>
      <c r="I226">
        <f>IF(pogoda__2[[#This Row],[Kategoria_chmur]]=pogoda__2[[#This Row],[nubis K]],1,0)</f>
        <v>1</v>
      </c>
      <c r="J226">
        <f>IF(pogoda__2[[#This Row],[Wielkosc_chmur]]=pogoda__2[[#This Row],[nubis W]],1,0)</f>
        <v>1</v>
      </c>
      <c r="L226">
        <f>IF(AND(pogoda__2[[#This Row],[Temperatura]]&gt;=20,pogoda__2[[#This Row],[Opad]]&lt;=5),1,0)</f>
        <v>0</v>
      </c>
      <c r="M226">
        <v>0</v>
      </c>
    </row>
    <row r="227" spans="1:13" x14ac:dyDescent="0.3">
      <c r="A227">
        <v>226</v>
      </c>
      <c r="B227">
        <v>12.3</v>
      </c>
      <c r="C227">
        <v>0</v>
      </c>
      <c r="D227" s="6">
        <v>0</v>
      </c>
      <c r="E227">
        <v>0</v>
      </c>
      <c r="F227" s="6">
        <v>0</v>
      </c>
      <c r="G227">
        <v>0</v>
      </c>
      <c r="I227">
        <f>IF(pogoda__2[[#This Row],[Kategoria_chmur]]=pogoda__2[[#This Row],[nubis K]],1,0)</f>
        <v>1</v>
      </c>
      <c r="J227">
        <f>IF(pogoda__2[[#This Row],[Wielkosc_chmur]]=pogoda__2[[#This Row],[nubis W]],1,0)</f>
        <v>1</v>
      </c>
      <c r="L227">
        <f>IF(AND(pogoda__2[[#This Row],[Temperatura]]&gt;=20,pogoda__2[[#This Row],[Opad]]&lt;=5),1,0)</f>
        <v>0</v>
      </c>
      <c r="M227">
        <v>0</v>
      </c>
    </row>
    <row r="228" spans="1:13" x14ac:dyDescent="0.3">
      <c r="A228">
        <v>227</v>
      </c>
      <c r="B228">
        <v>8.6999999999999993</v>
      </c>
      <c r="C228">
        <v>5</v>
      </c>
      <c r="D228" s="6" t="s">
        <v>6</v>
      </c>
      <c r="E228">
        <v>1</v>
      </c>
      <c r="F228" s="6" t="s">
        <v>6</v>
      </c>
      <c r="G228">
        <v>1</v>
      </c>
      <c r="I228">
        <f>IF(pogoda__2[[#This Row],[Kategoria_chmur]]=pogoda__2[[#This Row],[nubis K]],1,0)</f>
        <v>1</v>
      </c>
      <c r="J228">
        <f>IF(pogoda__2[[#This Row],[Wielkosc_chmur]]=pogoda__2[[#This Row],[nubis W]],1,0)</f>
        <v>1</v>
      </c>
      <c r="L228">
        <f>IF(AND(pogoda__2[[#This Row],[Temperatura]]&gt;=20,pogoda__2[[#This Row],[Opad]]&lt;=5),1,0)</f>
        <v>0</v>
      </c>
      <c r="M228">
        <v>0</v>
      </c>
    </row>
    <row r="229" spans="1:13" x14ac:dyDescent="0.3">
      <c r="A229">
        <v>228</v>
      </c>
      <c r="B229">
        <v>6.4</v>
      </c>
      <c r="C229">
        <v>1</v>
      </c>
      <c r="D229" s="6" t="s">
        <v>6</v>
      </c>
      <c r="E229">
        <v>1</v>
      </c>
      <c r="F229" s="6" t="s">
        <v>6</v>
      </c>
      <c r="G229">
        <v>1</v>
      </c>
      <c r="I229">
        <f>IF(pogoda__2[[#This Row],[Kategoria_chmur]]=pogoda__2[[#This Row],[nubis K]],1,0)</f>
        <v>1</v>
      </c>
      <c r="J229">
        <f>IF(pogoda__2[[#This Row],[Wielkosc_chmur]]=pogoda__2[[#This Row],[nubis W]],1,0)</f>
        <v>1</v>
      </c>
      <c r="L229">
        <f>IF(AND(pogoda__2[[#This Row],[Temperatura]]&gt;=20,pogoda__2[[#This Row],[Opad]]&lt;=5),1,0)</f>
        <v>0</v>
      </c>
      <c r="M229">
        <v>0</v>
      </c>
    </row>
    <row r="230" spans="1:13" x14ac:dyDescent="0.3">
      <c r="A230">
        <v>229</v>
      </c>
      <c r="B230">
        <v>5.6</v>
      </c>
      <c r="C230">
        <v>6</v>
      </c>
      <c r="D230" s="6" t="s">
        <v>6</v>
      </c>
      <c r="E230">
        <v>1</v>
      </c>
      <c r="F230" s="6" t="s">
        <v>6</v>
      </c>
      <c r="G230">
        <v>1</v>
      </c>
      <c r="I230">
        <f>IF(pogoda__2[[#This Row],[Kategoria_chmur]]=pogoda__2[[#This Row],[nubis K]],1,0)</f>
        <v>1</v>
      </c>
      <c r="J230">
        <f>IF(pogoda__2[[#This Row],[Wielkosc_chmur]]=pogoda__2[[#This Row],[nubis W]],1,0)</f>
        <v>1</v>
      </c>
      <c r="L230">
        <f>IF(AND(pogoda__2[[#This Row],[Temperatura]]&gt;=20,pogoda__2[[#This Row],[Opad]]&lt;=5),1,0)</f>
        <v>0</v>
      </c>
      <c r="M230">
        <v>0</v>
      </c>
    </row>
    <row r="231" spans="1:13" x14ac:dyDescent="0.3">
      <c r="A231">
        <v>230</v>
      </c>
      <c r="B231">
        <v>6.4</v>
      </c>
      <c r="C231">
        <v>12</v>
      </c>
      <c r="D231" s="6" t="s">
        <v>6</v>
      </c>
      <c r="E231">
        <v>2</v>
      </c>
      <c r="F231" s="6" t="s">
        <v>6</v>
      </c>
      <c r="G231">
        <v>2</v>
      </c>
      <c r="I231">
        <f>IF(pogoda__2[[#This Row],[Kategoria_chmur]]=pogoda__2[[#This Row],[nubis K]],1,0)</f>
        <v>1</v>
      </c>
      <c r="J231">
        <f>IF(pogoda__2[[#This Row],[Wielkosc_chmur]]=pogoda__2[[#This Row],[nubis W]],1,0)</f>
        <v>1</v>
      </c>
      <c r="L231">
        <f>IF(AND(pogoda__2[[#This Row],[Temperatura]]&gt;=20,pogoda__2[[#This Row],[Opad]]&lt;=5),1,0)</f>
        <v>0</v>
      </c>
      <c r="M231">
        <v>1</v>
      </c>
    </row>
    <row r="232" spans="1:13" x14ac:dyDescent="0.3">
      <c r="A232">
        <v>231</v>
      </c>
      <c r="B232">
        <v>8.1999999999999993</v>
      </c>
      <c r="C232">
        <v>3</v>
      </c>
      <c r="D232" s="6" t="s">
        <v>6</v>
      </c>
      <c r="E232">
        <v>2</v>
      </c>
      <c r="F232" s="6" t="s">
        <v>6</v>
      </c>
      <c r="G232">
        <v>2</v>
      </c>
      <c r="I232">
        <f>IF(pogoda__2[[#This Row],[Kategoria_chmur]]=pogoda__2[[#This Row],[nubis K]],1,0)</f>
        <v>1</v>
      </c>
      <c r="J232">
        <f>IF(pogoda__2[[#This Row],[Wielkosc_chmur]]=pogoda__2[[#This Row],[nubis W]],1,0)</f>
        <v>1</v>
      </c>
      <c r="L232">
        <f>IF(AND(pogoda__2[[#This Row],[Temperatura]]&gt;=20,pogoda__2[[#This Row],[Opad]]&lt;=5),1,0)</f>
        <v>0</v>
      </c>
      <c r="M232">
        <v>2</v>
      </c>
    </row>
    <row r="233" spans="1:13" x14ac:dyDescent="0.3">
      <c r="A233">
        <v>232</v>
      </c>
      <c r="B233">
        <v>10</v>
      </c>
      <c r="C233">
        <v>12</v>
      </c>
      <c r="D233" s="6" t="s">
        <v>6</v>
      </c>
      <c r="E233">
        <v>2</v>
      </c>
      <c r="F233" s="6" t="s">
        <v>6</v>
      </c>
      <c r="G233">
        <v>2</v>
      </c>
      <c r="I233">
        <f>IF(pogoda__2[[#This Row],[Kategoria_chmur]]=pogoda__2[[#This Row],[nubis K]],1,0)</f>
        <v>1</v>
      </c>
      <c r="J233">
        <f>IF(pogoda__2[[#This Row],[Wielkosc_chmur]]=pogoda__2[[#This Row],[nubis W]],1,0)</f>
        <v>1</v>
      </c>
      <c r="L233">
        <f>IF(AND(pogoda__2[[#This Row],[Temperatura]]&gt;=20,pogoda__2[[#This Row],[Opad]]&lt;=5),1,0)</f>
        <v>0</v>
      </c>
      <c r="M233">
        <v>3</v>
      </c>
    </row>
    <row r="234" spans="1:13" x14ac:dyDescent="0.3">
      <c r="A234">
        <v>233</v>
      </c>
      <c r="B234">
        <v>11.1</v>
      </c>
      <c r="C234">
        <v>17</v>
      </c>
      <c r="D234" s="6" t="s">
        <v>6</v>
      </c>
      <c r="E234">
        <v>3</v>
      </c>
      <c r="F234" s="6" t="s">
        <v>6</v>
      </c>
      <c r="G234">
        <v>3</v>
      </c>
      <c r="I234">
        <f>IF(pogoda__2[[#This Row],[Kategoria_chmur]]=pogoda__2[[#This Row],[nubis K]],1,0)</f>
        <v>1</v>
      </c>
      <c r="J234">
        <f>IF(pogoda__2[[#This Row],[Wielkosc_chmur]]=pogoda__2[[#This Row],[nubis W]],1,0)</f>
        <v>1</v>
      </c>
      <c r="L234">
        <f>IF(AND(pogoda__2[[#This Row],[Temperatura]]&gt;=20,pogoda__2[[#This Row],[Opad]]&lt;=5),1,0)</f>
        <v>0</v>
      </c>
      <c r="M234">
        <v>4</v>
      </c>
    </row>
    <row r="235" spans="1:13" x14ac:dyDescent="0.3">
      <c r="A235">
        <v>234</v>
      </c>
      <c r="B235">
        <v>10.9</v>
      </c>
      <c r="C235">
        <v>16</v>
      </c>
      <c r="D235" s="6" t="s">
        <v>6</v>
      </c>
      <c r="E235">
        <v>3</v>
      </c>
      <c r="F235" s="6" t="s">
        <v>6</v>
      </c>
      <c r="G235">
        <v>3</v>
      </c>
      <c r="I235">
        <f>IF(pogoda__2[[#This Row],[Kategoria_chmur]]=pogoda__2[[#This Row],[nubis K]],1,0)</f>
        <v>1</v>
      </c>
      <c r="J235">
        <f>IF(pogoda__2[[#This Row],[Wielkosc_chmur]]=pogoda__2[[#This Row],[nubis W]],1,0)</f>
        <v>1</v>
      </c>
      <c r="L235">
        <f>IF(AND(pogoda__2[[#This Row],[Temperatura]]&gt;=20,pogoda__2[[#This Row],[Opad]]&lt;=5),1,0)</f>
        <v>0</v>
      </c>
      <c r="M235">
        <v>0</v>
      </c>
    </row>
    <row r="236" spans="1:13" x14ac:dyDescent="0.3">
      <c r="A236">
        <v>235</v>
      </c>
      <c r="B236">
        <v>9.3000000000000007</v>
      </c>
      <c r="C236">
        <v>3</v>
      </c>
      <c r="D236" s="6" t="s">
        <v>6</v>
      </c>
      <c r="E236">
        <v>3</v>
      </c>
      <c r="F236" s="6" t="s">
        <v>6</v>
      </c>
      <c r="G236">
        <v>3</v>
      </c>
      <c r="I236">
        <f>IF(pogoda__2[[#This Row],[Kategoria_chmur]]=pogoda__2[[#This Row],[nubis K]],1,0)</f>
        <v>1</v>
      </c>
      <c r="J236">
        <f>IF(pogoda__2[[#This Row],[Wielkosc_chmur]]=pogoda__2[[#This Row],[nubis W]],1,0)</f>
        <v>1</v>
      </c>
      <c r="L236">
        <f>IF(AND(pogoda__2[[#This Row],[Temperatura]]&gt;=20,pogoda__2[[#This Row],[Opad]]&lt;=5),1,0)</f>
        <v>0</v>
      </c>
      <c r="M236">
        <v>0</v>
      </c>
    </row>
    <row r="237" spans="1:13" x14ac:dyDescent="0.3">
      <c r="A237">
        <v>236</v>
      </c>
      <c r="B237">
        <v>6.6</v>
      </c>
      <c r="C237">
        <v>21</v>
      </c>
      <c r="D237" s="6" t="s">
        <v>6</v>
      </c>
      <c r="E237">
        <v>4</v>
      </c>
      <c r="F237" s="6" t="s">
        <v>6</v>
      </c>
      <c r="G237">
        <v>4</v>
      </c>
      <c r="I237">
        <f>IF(pogoda__2[[#This Row],[Kategoria_chmur]]=pogoda__2[[#This Row],[nubis K]],1,0)</f>
        <v>1</v>
      </c>
      <c r="J237">
        <f>IF(pogoda__2[[#This Row],[Wielkosc_chmur]]=pogoda__2[[#This Row],[nubis W]],1,0)</f>
        <v>1</v>
      </c>
      <c r="L237">
        <f>IF(AND(pogoda__2[[#This Row],[Temperatura]]&gt;=20,pogoda__2[[#This Row],[Opad]]&lt;=5),1,0)</f>
        <v>0</v>
      </c>
      <c r="M237">
        <v>0</v>
      </c>
    </row>
    <row r="238" spans="1:13" x14ac:dyDescent="0.3">
      <c r="A238">
        <v>237</v>
      </c>
      <c r="B238">
        <v>3.6</v>
      </c>
      <c r="C238">
        <v>18</v>
      </c>
      <c r="D238" s="6" t="s">
        <v>6</v>
      </c>
      <c r="E238">
        <v>4</v>
      </c>
      <c r="F238" s="6" t="s">
        <v>6</v>
      </c>
      <c r="G238">
        <v>4</v>
      </c>
      <c r="I238">
        <f>IF(pogoda__2[[#This Row],[Kategoria_chmur]]=pogoda__2[[#This Row],[nubis K]],1,0)</f>
        <v>1</v>
      </c>
      <c r="J238">
        <f>IF(pogoda__2[[#This Row],[Wielkosc_chmur]]=pogoda__2[[#This Row],[nubis W]],1,0)</f>
        <v>1</v>
      </c>
      <c r="L238">
        <f>IF(AND(pogoda__2[[#This Row],[Temperatura]]&gt;=20,pogoda__2[[#This Row],[Opad]]&lt;=5),1,0)</f>
        <v>0</v>
      </c>
      <c r="M238">
        <v>0</v>
      </c>
    </row>
    <row r="239" spans="1:13" x14ac:dyDescent="0.3">
      <c r="A239">
        <v>238</v>
      </c>
      <c r="B239">
        <v>1.2</v>
      </c>
      <c r="C239">
        <v>13</v>
      </c>
      <c r="D239" s="6" t="s">
        <v>6</v>
      </c>
      <c r="E239">
        <v>4</v>
      </c>
      <c r="F239" s="6" t="s">
        <v>6</v>
      </c>
      <c r="G239">
        <v>4</v>
      </c>
      <c r="I239">
        <f>IF(pogoda__2[[#This Row],[Kategoria_chmur]]=pogoda__2[[#This Row],[nubis K]],1,0)</f>
        <v>1</v>
      </c>
      <c r="J239">
        <f>IF(pogoda__2[[#This Row],[Wielkosc_chmur]]=pogoda__2[[#This Row],[nubis W]],1,0)</f>
        <v>1</v>
      </c>
      <c r="L239">
        <f>IF(AND(pogoda__2[[#This Row],[Temperatura]]&gt;=20,pogoda__2[[#This Row],[Opad]]&lt;=5),1,0)</f>
        <v>0</v>
      </c>
      <c r="M239">
        <v>0</v>
      </c>
    </row>
    <row r="240" spans="1:13" x14ac:dyDescent="0.3">
      <c r="A240">
        <v>239</v>
      </c>
      <c r="B240">
        <v>0.2</v>
      </c>
      <c r="C240">
        <v>29</v>
      </c>
      <c r="D240" s="6" t="s">
        <v>6</v>
      </c>
      <c r="E240">
        <v>5</v>
      </c>
      <c r="F240" s="6" t="s">
        <v>6</v>
      </c>
      <c r="G240">
        <v>5</v>
      </c>
      <c r="I240">
        <f>IF(pogoda__2[[#This Row],[Kategoria_chmur]]=pogoda__2[[#This Row],[nubis K]],1,0)</f>
        <v>1</v>
      </c>
      <c r="J240">
        <f>IF(pogoda__2[[#This Row],[Wielkosc_chmur]]=pogoda__2[[#This Row],[nubis W]],1,0)</f>
        <v>1</v>
      </c>
      <c r="L240">
        <f>IF(AND(pogoda__2[[#This Row],[Temperatura]]&gt;=20,pogoda__2[[#This Row],[Opad]]&lt;=5),1,0)</f>
        <v>0</v>
      </c>
      <c r="M240">
        <v>0</v>
      </c>
    </row>
    <row r="241" spans="1:13" x14ac:dyDescent="0.3">
      <c r="A241">
        <v>240</v>
      </c>
      <c r="B241">
        <v>0.9</v>
      </c>
      <c r="C241">
        <v>0</v>
      </c>
      <c r="D241" s="6">
        <v>0</v>
      </c>
      <c r="E241">
        <v>0</v>
      </c>
      <c r="F241" s="6">
        <v>0</v>
      </c>
      <c r="G241">
        <v>0</v>
      </c>
      <c r="I241">
        <f>IF(pogoda__2[[#This Row],[Kategoria_chmur]]=pogoda__2[[#This Row],[nubis K]],1,0)</f>
        <v>1</v>
      </c>
      <c r="J241">
        <f>IF(pogoda__2[[#This Row],[Wielkosc_chmur]]=pogoda__2[[#This Row],[nubis W]],1,0)</f>
        <v>1</v>
      </c>
      <c r="L241">
        <f>IF(AND(pogoda__2[[#This Row],[Temperatura]]&gt;=20,pogoda__2[[#This Row],[Opad]]&lt;=5),1,0)</f>
        <v>0</v>
      </c>
      <c r="M241">
        <v>1</v>
      </c>
    </row>
    <row r="242" spans="1:13" x14ac:dyDescent="0.3">
      <c r="A242">
        <v>241</v>
      </c>
      <c r="B242">
        <v>3.2</v>
      </c>
      <c r="C242">
        <v>6</v>
      </c>
      <c r="D242" s="6" t="s">
        <v>6</v>
      </c>
      <c r="E242">
        <v>1</v>
      </c>
      <c r="F242" s="6" t="s">
        <v>6</v>
      </c>
      <c r="G242">
        <v>1</v>
      </c>
      <c r="I242">
        <f>IF(pogoda__2[[#This Row],[Kategoria_chmur]]=pogoda__2[[#This Row],[nubis K]],1,0)</f>
        <v>1</v>
      </c>
      <c r="J242">
        <f>IF(pogoda__2[[#This Row],[Wielkosc_chmur]]=pogoda__2[[#This Row],[nubis W]],1,0)</f>
        <v>1</v>
      </c>
      <c r="L242">
        <f>IF(AND(pogoda__2[[#This Row],[Temperatura]]&gt;=20,pogoda__2[[#This Row],[Opad]]&lt;=5),1,0)</f>
        <v>0</v>
      </c>
      <c r="M242">
        <v>2</v>
      </c>
    </row>
    <row r="243" spans="1:13" x14ac:dyDescent="0.3">
      <c r="A243">
        <v>242</v>
      </c>
      <c r="B243">
        <v>6.6</v>
      </c>
      <c r="C243">
        <v>5</v>
      </c>
      <c r="D243" s="6" t="s">
        <v>6</v>
      </c>
      <c r="E243">
        <v>1</v>
      </c>
      <c r="F243" s="6" t="s">
        <v>6</v>
      </c>
      <c r="G243">
        <v>1</v>
      </c>
      <c r="I243">
        <f>IF(pogoda__2[[#This Row],[Kategoria_chmur]]=pogoda__2[[#This Row],[nubis K]],1,0)</f>
        <v>1</v>
      </c>
      <c r="J243">
        <f>IF(pogoda__2[[#This Row],[Wielkosc_chmur]]=pogoda__2[[#This Row],[nubis W]],1,0)</f>
        <v>1</v>
      </c>
      <c r="L243">
        <f>IF(AND(pogoda__2[[#This Row],[Temperatura]]&gt;=20,pogoda__2[[#This Row],[Opad]]&lt;=5),1,0)</f>
        <v>0</v>
      </c>
      <c r="M243">
        <v>3</v>
      </c>
    </row>
    <row r="244" spans="1:13" x14ac:dyDescent="0.3">
      <c r="A244">
        <v>243</v>
      </c>
      <c r="B244">
        <v>10</v>
      </c>
      <c r="C244">
        <v>2</v>
      </c>
      <c r="D244" s="6" t="s">
        <v>6</v>
      </c>
      <c r="E244">
        <v>1</v>
      </c>
      <c r="F244" s="6" t="s">
        <v>6</v>
      </c>
      <c r="G244">
        <v>1</v>
      </c>
      <c r="I244">
        <f>IF(pogoda__2[[#This Row],[Kategoria_chmur]]=pogoda__2[[#This Row],[nubis K]],1,0)</f>
        <v>1</v>
      </c>
      <c r="J244">
        <f>IF(pogoda__2[[#This Row],[Wielkosc_chmur]]=pogoda__2[[#This Row],[nubis W]],1,0)</f>
        <v>1</v>
      </c>
      <c r="L244">
        <f>IF(AND(pogoda__2[[#This Row],[Temperatura]]&gt;=20,pogoda__2[[#This Row],[Opad]]&lt;=5),1,0)</f>
        <v>0</v>
      </c>
      <c r="M244">
        <v>4</v>
      </c>
    </row>
    <row r="245" spans="1:13" x14ac:dyDescent="0.3">
      <c r="A245">
        <v>244</v>
      </c>
      <c r="B245">
        <v>12.7</v>
      </c>
      <c r="C245">
        <v>8</v>
      </c>
      <c r="D245" s="6" t="s">
        <v>6</v>
      </c>
      <c r="E245">
        <v>2</v>
      </c>
      <c r="F245" s="6" t="s">
        <v>6</v>
      </c>
      <c r="G245">
        <v>2</v>
      </c>
      <c r="I245">
        <f>IF(pogoda__2[[#This Row],[Kategoria_chmur]]=pogoda__2[[#This Row],[nubis K]],1,0)</f>
        <v>1</v>
      </c>
      <c r="J245">
        <f>IF(pogoda__2[[#This Row],[Wielkosc_chmur]]=pogoda__2[[#This Row],[nubis W]],1,0)</f>
        <v>1</v>
      </c>
      <c r="L245">
        <f>IF(AND(pogoda__2[[#This Row],[Temperatura]]&gt;=20,pogoda__2[[#This Row],[Opad]]&lt;=5),1,0)</f>
        <v>0</v>
      </c>
      <c r="M245">
        <v>5</v>
      </c>
    </row>
    <row r="246" spans="1:13" x14ac:dyDescent="0.3">
      <c r="A246">
        <v>245</v>
      </c>
      <c r="B246">
        <v>14.1</v>
      </c>
      <c r="C246">
        <v>1</v>
      </c>
      <c r="D246" s="6" t="s">
        <v>6</v>
      </c>
      <c r="E246">
        <v>2</v>
      </c>
      <c r="F246" s="6" t="s">
        <v>6</v>
      </c>
      <c r="G246">
        <v>2</v>
      </c>
      <c r="I246">
        <f>IF(pogoda__2[[#This Row],[Kategoria_chmur]]=pogoda__2[[#This Row],[nubis K]],1,0)</f>
        <v>1</v>
      </c>
      <c r="J246">
        <f>IF(pogoda__2[[#This Row],[Wielkosc_chmur]]=pogoda__2[[#This Row],[nubis W]],1,0)</f>
        <v>1</v>
      </c>
      <c r="L246">
        <f>IF(AND(pogoda__2[[#This Row],[Temperatura]]&gt;=20,pogoda__2[[#This Row],[Opad]]&lt;=5),1,0)</f>
        <v>0</v>
      </c>
      <c r="M246">
        <v>6</v>
      </c>
    </row>
    <row r="247" spans="1:13" x14ac:dyDescent="0.3">
      <c r="A247">
        <v>246</v>
      </c>
      <c r="B247">
        <v>14</v>
      </c>
      <c r="C247">
        <v>11</v>
      </c>
      <c r="D247" s="6" t="s">
        <v>6</v>
      </c>
      <c r="E247">
        <v>2</v>
      </c>
      <c r="F247" s="6" t="s">
        <v>6</v>
      </c>
      <c r="G247">
        <v>2</v>
      </c>
      <c r="I247">
        <f>IF(pogoda__2[[#This Row],[Kategoria_chmur]]=pogoda__2[[#This Row],[nubis K]],1,0)</f>
        <v>1</v>
      </c>
      <c r="J247">
        <f>IF(pogoda__2[[#This Row],[Wielkosc_chmur]]=pogoda__2[[#This Row],[nubis W]],1,0)</f>
        <v>1</v>
      </c>
      <c r="L247">
        <f>IF(AND(pogoda__2[[#This Row],[Temperatura]]&gt;=20,pogoda__2[[#This Row],[Opad]]&lt;=5),1,0)</f>
        <v>0</v>
      </c>
      <c r="M247">
        <v>0</v>
      </c>
    </row>
    <row r="248" spans="1:13" x14ac:dyDescent="0.3">
      <c r="A248">
        <v>247</v>
      </c>
      <c r="B248">
        <v>12.7</v>
      </c>
      <c r="C248">
        <v>13</v>
      </c>
      <c r="D248" s="6" t="s">
        <v>6</v>
      </c>
      <c r="E248">
        <v>3</v>
      </c>
      <c r="F248" s="6" t="s">
        <v>6</v>
      </c>
      <c r="G248">
        <v>3</v>
      </c>
      <c r="I248">
        <f>IF(pogoda__2[[#This Row],[Kategoria_chmur]]=pogoda__2[[#This Row],[nubis K]],1,0)</f>
        <v>1</v>
      </c>
      <c r="J248">
        <f>IF(pogoda__2[[#This Row],[Wielkosc_chmur]]=pogoda__2[[#This Row],[nubis W]],1,0)</f>
        <v>1</v>
      </c>
      <c r="L248">
        <f>IF(AND(pogoda__2[[#This Row],[Temperatura]]&gt;=20,pogoda__2[[#This Row],[Opad]]&lt;=5),1,0)</f>
        <v>0</v>
      </c>
      <c r="M248">
        <v>0</v>
      </c>
    </row>
    <row r="249" spans="1:13" x14ac:dyDescent="0.3">
      <c r="A249">
        <v>248</v>
      </c>
      <c r="B249">
        <v>11.1</v>
      </c>
      <c r="C249">
        <v>18</v>
      </c>
      <c r="D249" s="6" t="s">
        <v>6</v>
      </c>
      <c r="E249">
        <v>3</v>
      </c>
      <c r="F249" s="6" t="s">
        <v>6</v>
      </c>
      <c r="G249">
        <v>3</v>
      </c>
      <c r="I249">
        <f>IF(pogoda__2[[#This Row],[Kategoria_chmur]]=pogoda__2[[#This Row],[nubis K]],1,0)</f>
        <v>1</v>
      </c>
      <c r="J249">
        <f>IF(pogoda__2[[#This Row],[Wielkosc_chmur]]=pogoda__2[[#This Row],[nubis W]],1,0)</f>
        <v>1</v>
      </c>
      <c r="L249">
        <f>IF(AND(pogoda__2[[#This Row],[Temperatura]]&gt;=20,pogoda__2[[#This Row],[Opad]]&lt;=5),1,0)</f>
        <v>0</v>
      </c>
      <c r="M249">
        <v>0</v>
      </c>
    </row>
    <row r="250" spans="1:13" x14ac:dyDescent="0.3">
      <c r="A250">
        <v>249</v>
      </c>
      <c r="B250">
        <v>10</v>
      </c>
      <c r="C250">
        <v>15</v>
      </c>
      <c r="D250" s="6" t="s">
        <v>6</v>
      </c>
      <c r="E250">
        <v>3</v>
      </c>
      <c r="F250" s="6" t="s">
        <v>6</v>
      </c>
      <c r="G250">
        <v>3</v>
      </c>
      <c r="I250">
        <f>IF(pogoda__2[[#This Row],[Kategoria_chmur]]=pogoda__2[[#This Row],[nubis K]],1,0)</f>
        <v>1</v>
      </c>
      <c r="J250">
        <f>IF(pogoda__2[[#This Row],[Wielkosc_chmur]]=pogoda__2[[#This Row],[nubis W]],1,0)</f>
        <v>1</v>
      </c>
      <c r="L250">
        <f>IF(AND(pogoda__2[[#This Row],[Temperatura]]&gt;=20,pogoda__2[[#This Row],[Opad]]&lt;=5),1,0)</f>
        <v>0</v>
      </c>
      <c r="M250">
        <v>0</v>
      </c>
    </row>
    <row r="251" spans="1:13" x14ac:dyDescent="0.3">
      <c r="A251">
        <v>250</v>
      </c>
      <c r="B251">
        <v>10.1</v>
      </c>
      <c r="C251">
        <v>12</v>
      </c>
      <c r="D251" s="6" t="s">
        <v>6</v>
      </c>
      <c r="E251">
        <v>4</v>
      </c>
      <c r="F251" s="6" t="s">
        <v>6</v>
      </c>
      <c r="G251">
        <v>4</v>
      </c>
      <c r="I251">
        <f>IF(pogoda__2[[#This Row],[Kategoria_chmur]]=pogoda__2[[#This Row],[nubis K]],1,0)</f>
        <v>1</v>
      </c>
      <c r="J251">
        <f>IF(pogoda__2[[#This Row],[Wielkosc_chmur]]=pogoda__2[[#This Row],[nubis W]],1,0)</f>
        <v>1</v>
      </c>
      <c r="L251">
        <f>IF(AND(pogoda__2[[#This Row],[Temperatura]]&gt;=20,pogoda__2[[#This Row],[Opad]]&lt;=5),1,0)</f>
        <v>0</v>
      </c>
      <c r="M251">
        <v>1</v>
      </c>
    </row>
    <row r="252" spans="1:13" x14ac:dyDescent="0.3">
      <c r="A252">
        <v>251</v>
      </c>
      <c r="B252">
        <v>11.7</v>
      </c>
      <c r="C252">
        <v>2</v>
      </c>
      <c r="D252" s="6" t="s">
        <v>6</v>
      </c>
      <c r="E252">
        <v>4</v>
      </c>
      <c r="F252" s="6" t="s">
        <v>6</v>
      </c>
      <c r="G252">
        <v>4</v>
      </c>
      <c r="I252">
        <f>IF(pogoda__2[[#This Row],[Kategoria_chmur]]=pogoda__2[[#This Row],[nubis K]],1,0)</f>
        <v>1</v>
      </c>
      <c r="J252">
        <f>IF(pogoda__2[[#This Row],[Wielkosc_chmur]]=pogoda__2[[#This Row],[nubis W]],1,0)</f>
        <v>1</v>
      </c>
      <c r="L252">
        <f>IF(AND(pogoda__2[[#This Row],[Temperatura]]&gt;=20,pogoda__2[[#This Row],[Opad]]&lt;=5),1,0)</f>
        <v>0</v>
      </c>
      <c r="M252">
        <v>2</v>
      </c>
    </row>
    <row r="253" spans="1:13" x14ac:dyDescent="0.3">
      <c r="A253">
        <v>252</v>
      </c>
      <c r="B253">
        <v>14.8</v>
      </c>
      <c r="C253">
        <v>21</v>
      </c>
      <c r="D253" s="6" t="s">
        <v>6</v>
      </c>
      <c r="E253">
        <v>4</v>
      </c>
      <c r="F253" s="6" t="s">
        <v>6</v>
      </c>
      <c r="G253">
        <v>4</v>
      </c>
      <c r="I253">
        <f>IF(pogoda__2[[#This Row],[Kategoria_chmur]]=pogoda__2[[#This Row],[nubis K]],1,0)</f>
        <v>1</v>
      </c>
      <c r="J253">
        <f>IF(pogoda__2[[#This Row],[Wielkosc_chmur]]=pogoda__2[[#This Row],[nubis W]],1,0)</f>
        <v>1</v>
      </c>
      <c r="L253">
        <f>IF(AND(pogoda__2[[#This Row],[Temperatura]]&gt;=20,pogoda__2[[#This Row],[Opad]]&lt;=5),1,0)</f>
        <v>0</v>
      </c>
      <c r="M253">
        <v>3</v>
      </c>
    </row>
    <row r="254" spans="1:13" x14ac:dyDescent="0.3">
      <c r="A254">
        <v>253</v>
      </c>
      <c r="B254">
        <v>18.7</v>
      </c>
      <c r="C254">
        <v>28</v>
      </c>
      <c r="D254" s="6" t="s">
        <v>6</v>
      </c>
      <c r="E254">
        <v>5</v>
      </c>
      <c r="F254" s="6" t="s">
        <v>6</v>
      </c>
      <c r="G254">
        <v>5</v>
      </c>
      <c r="I254">
        <f>IF(pogoda__2[[#This Row],[Kategoria_chmur]]=pogoda__2[[#This Row],[nubis K]],1,0)</f>
        <v>1</v>
      </c>
      <c r="J254">
        <f>IF(pogoda__2[[#This Row],[Wielkosc_chmur]]=pogoda__2[[#This Row],[nubis W]],1,0)</f>
        <v>1</v>
      </c>
      <c r="L254">
        <f>IF(AND(pogoda__2[[#This Row],[Temperatura]]&gt;=20,pogoda__2[[#This Row],[Opad]]&lt;=5),1,0)</f>
        <v>0</v>
      </c>
      <c r="M254">
        <v>4</v>
      </c>
    </row>
    <row r="255" spans="1:13" x14ac:dyDescent="0.3">
      <c r="A255">
        <v>254</v>
      </c>
      <c r="B255">
        <v>22.5</v>
      </c>
      <c r="C255">
        <v>0</v>
      </c>
      <c r="D255" s="6">
        <v>0</v>
      </c>
      <c r="E255">
        <v>0</v>
      </c>
      <c r="F255" s="6">
        <v>0</v>
      </c>
      <c r="G255">
        <v>0</v>
      </c>
      <c r="I255">
        <f>IF(pogoda__2[[#This Row],[Kategoria_chmur]]=pogoda__2[[#This Row],[nubis K]],1,0)</f>
        <v>1</v>
      </c>
      <c r="J255">
        <f>IF(pogoda__2[[#This Row],[Wielkosc_chmur]]=pogoda__2[[#This Row],[nubis W]],1,0)</f>
        <v>1</v>
      </c>
      <c r="L255">
        <f>IF(AND(pogoda__2[[#This Row],[Temperatura]]&gt;=20,pogoda__2[[#This Row],[Opad]]&lt;=5),1,0)</f>
        <v>1</v>
      </c>
      <c r="M255">
        <v>5</v>
      </c>
    </row>
    <row r="256" spans="1:13" x14ac:dyDescent="0.3">
      <c r="A256">
        <v>255</v>
      </c>
      <c r="B256">
        <v>25.4</v>
      </c>
      <c r="C256">
        <v>3</v>
      </c>
      <c r="D256" s="6" t="s">
        <v>5</v>
      </c>
      <c r="E256">
        <v>1</v>
      </c>
      <c r="F256" s="6" t="s">
        <v>5</v>
      </c>
      <c r="G256">
        <v>1</v>
      </c>
      <c r="I256">
        <f>IF(pogoda__2[[#This Row],[Kategoria_chmur]]=pogoda__2[[#This Row],[nubis K]],1,0)</f>
        <v>1</v>
      </c>
      <c r="J256">
        <f>IF(pogoda__2[[#This Row],[Wielkosc_chmur]]=pogoda__2[[#This Row],[nubis W]],1,0)</f>
        <v>1</v>
      </c>
      <c r="L256">
        <f>IF(AND(pogoda__2[[#This Row],[Temperatura]]&gt;=20,pogoda__2[[#This Row],[Opad]]&lt;=5),1,0)</f>
        <v>1</v>
      </c>
      <c r="M256">
        <v>6</v>
      </c>
    </row>
    <row r="257" spans="1:13" x14ac:dyDescent="0.3">
      <c r="A257">
        <v>256</v>
      </c>
      <c r="B257">
        <v>26.8</v>
      </c>
      <c r="C257">
        <v>5</v>
      </c>
      <c r="D257" s="6" t="s">
        <v>5</v>
      </c>
      <c r="E257">
        <v>1</v>
      </c>
      <c r="F257" s="6" t="s">
        <v>5</v>
      </c>
      <c r="G257">
        <v>1</v>
      </c>
      <c r="I257">
        <f>IF(pogoda__2[[#This Row],[Kategoria_chmur]]=pogoda__2[[#This Row],[nubis K]],1,0)</f>
        <v>1</v>
      </c>
      <c r="J257">
        <f>IF(pogoda__2[[#This Row],[Wielkosc_chmur]]=pogoda__2[[#This Row],[nubis W]],1,0)</f>
        <v>1</v>
      </c>
      <c r="L257">
        <f>IF(AND(pogoda__2[[#This Row],[Temperatura]]&gt;=20,pogoda__2[[#This Row],[Opad]]&lt;=5),1,0)</f>
        <v>1</v>
      </c>
      <c r="M257">
        <v>7</v>
      </c>
    </row>
    <row r="258" spans="1:13" x14ac:dyDescent="0.3">
      <c r="A258">
        <v>257</v>
      </c>
      <c r="B258">
        <v>26.5</v>
      </c>
      <c r="C258">
        <v>5</v>
      </c>
      <c r="D258" s="6" t="s">
        <v>5</v>
      </c>
      <c r="E258">
        <v>1</v>
      </c>
      <c r="F258" s="6" t="s">
        <v>5</v>
      </c>
      <c r="G258">
        <v>1</v>
      </c>
      <c r="I258">
        <f>IF(pogoda__2[[#This Row],[Kategoria_chmur]]=pogoda__2[[#This Row],[nubis K]],1,0)</f>
        <v>1</v>
      </c>
      <c r="J258">
        <f>IF(pogoda__2[[#This Row],[Wielkosc_chmur]]=pogoda__2[[#This Row],[nubis W]],1,0)</f>
        <v>1</v>
      </c>
      <c r="L258">
        <f>IF(AND(pogoda__2[[#This Row],[Temperatura]]&gt;=20,pogoda__2[[#This Row],[Opad]]&lt;=5),1,0)</f>
        <v>1</v>
      </c>
      <c r="M258">
        <v>0</v>
      </c>
    </row>
    <row r="259" spans="1:13" x14ac:dyDescent="0.3">
      <c r="A259">
        <v>258</v>
      </c>
      <c r="B259">
        <v>24.9</v>
      </c>
      <c r="C259">
        <v>7</v>
      </c>
      <c r="D259" s="6" t="s">
        <v>5</v>
      </c>
      <c r="E259">
        <v>2</v>
      </c>
      <c r="F259" s="6" t="s">
        <v>5</v>
      </c>
      <c r="G259">
        <v>2</v>
      </c>
      <c r="I259">
        <f>IF(pogoda__2[[#This Row],[Kategoria_chmur]]=pogoda__2[[#This Row],[nubis K]],1,0)</f>
        <v>1</v>
      </c>
      <c r="J259">
        <f>IF(pogoda__2[[#This Row],[Wielkosc_chmur]]=pogoda__2[[#This Row],[nubis W]],1,0)</f>
        <v>1</v>
      </c>
      <c r="L259">
        <f>IF(AND(pogoda__2[[#This Row],[Temperatura]]&gt;=20,pogoda__2[[#This Row],[Opad]]&lt;=5),1,0)</f>
        <v>0</v>
      </c>
      <c r="M259">
        <v>0</v>
      </c>
    </row>
    <row r="260" spans="1:13" x14ac:dyDescent="0.3">
      <c r="A260">
        <v>259</v>
      </c>
      <c r="B260">
        <v>22.6</v>
      </c>
      <c r="C260">
        <v>1</v>
      </c>
      <c r="D260" s="6" t="s">
        <v>5</v>
      </c>
      <c r="E260">
        <v>2</v>
      </c>
      <c r="F260" s="6" t="s">
        <v>5</v>
      </c>
      <c r="G260">
        <v>2</v>
      </c>
      <c r="I260">
        <f>IF(pogoda__2[[#This Row],[Kategoria_chmur]]=pogoda__2[[#This Row],[nubis K]],1,0)</f>
        <v>1</v>
      </c>
      <c r="J260">
        <f>IF(pogoda__2[[#This Row],[Wielkosc_chmur]]=pogoda__2[[#This Row],[nubis W]],1,0)</f>
        <v>1</v>
      </c>
      <c r="L260">
        <f>IF(AND(pogoda__2[[#This Row],[Temperatura]]&gt;=20,pogoda__2[[#This Row],[Opad]]&lt;=5),1,0)</f>
        <v>1</v>
      </c>
      <c r="M260">
        <v>0</v>
      </c>
    </row>
    <row r="261" spans="1:13" x14ac:dyDescent="0.3">
      <c r="A261">
        <v>260</v>
      </c>
      <c r="B261">
        <v>20.7</v>
      </c>
      <c r="C261">
        <v>6</v>
      </c>
      <c r="D261" s="6" t="s">
        <v>5</v>
      </c>
      <c r="E261">
        <v>2</v>
      </c>
      <c r="F261" s="6" t="s">
        <v>5</v>
      </c>
      <c r="G261">
        <v>2</v>
      </c>
      <c r="I261">
        <f>IF(pogoda__2[[#This Row],[Kategoria_chmur]]=pogoda__2[[#This Row],[nubis K]],1,0)</f>
        <v>1</v>
      </c>
      <c r="J261">
        <f>IF(pogoda__2[[#This Row],[Wielkosc_chmur]]=pogoda__2[[#This Row],[nubis W]],1,0)</f>
        <v>1</v>
      </c>
      <c r="L261">
        <f>IF(AND(pogoda__2[[#This Row],[Temperatura]]&gt;=20,pogoda__2[[#This Row],[Opad]]&lt;=5),1,0)</f>
        <v>0</v>
      </c>
      <c r="M261">
        <v>0</v>
      </c>
    </row>
    <row r="262" spans="1:13" x14ac:dyDescent="0.3">
      <c r="A262">
        <v>261</v>
      </c>
      <c r="B262">
        <v>19.899999999999999</v>
      </c>
      <c r="C262">
        <v>6</v>
      </c>
      <c r="D262" s="6" t="s">
        <v>5</v>
      </c>
      <c r="E262">
        <v>3</v>
      </c>
      <c r="F262" s="6" t="s">
        <v>5</v>
      </c>
      <c r="G262">
        <v>3</v>
      </c>
      <c r="I262">
        <f>IF(pogoda__2[[#This Row],[Kategoria_chmur]]=pogoda__2[[#This Row],[nubis K]],1,0)</f>
        <v>1</v>
      </c>
      <c r="J262">
        <f>IF(pogoda__2[[#This Row],[Wielkosc_chmur]]=pogoda__2[[#This Row],[nubis W]],1,0)</f>
        <v>1</v>
      </c>
      <c r="L262">
        <f>IF(AND(pogoda__2[[#This Row],[Temperatura]]&gt;=20,pogoda__2[[#This Row],[Opad]]&lt;=5),1,0)</f>
        <v>0</v>
      </c>
      <c r="M262">
        <v>0</v>
      </c>
    </row>
    <row r="263" spans="1:13" x14ac:dyDescent="0.3">
      <c r="A263">
        <v>262</v>
      </c>
      <c r="B263">
        <v>20.399999999999999</v>
      </c>
      <c r="C263">
        <v>10</v>
      </c>
      <c r="D263" s="6" t="s">
        <v>5</v>
      </c>
      <c r="E263">
        <v>3</v>
      </c>
      <c r="F263" s="6" t="s">
        <v>5</v>
      </c>
      <c r="G263">
        <v>3</v>
      </c>
      <c r="I263">
        <f>IF(pogoda__2[[#This Row],[Kategoria_chmur]]=pogoda__2[[#This Row],[nubis K]],1,0)</f>
        <v>1</v>
      </c>
      <c r="J263">
        <f>IF(pogoda__2[[#This Row],[Wielkosc_chmur]]=pogoda__2[[#This Row],[nubis W]],1,0)</f>
        <v>1</v>
      </c>
      <c r="L263">
        <f>IF(AND(pogoda__2[[#This Row],[Temperatura]]&gt;=20,pogoda__2[[#This Row],[Opad]]&lt;=5),1,0)</f>
        <v>0</v>
      </c>
      <c r="M263">
        <v>1</v>
      </c>
    </row>
    <row r="264" spans="1:13" x14ac:dyDescent="0.3">
      <c r="A264">
        <v>263</v>
      </c>
      <c r="B264">
        <v>22.3</v>
      </c>
      <c r="C264">
        <v>16</v>
      </c>
      <c r="D264" s="6" t="s">
        <v>5</v>
      </c>
      <c r="E264">
        <v>3</v>
      </c>
      <c r="F264" s="6" t="s">
        <v>5</v>
      </c>
      <c r="G264">
        <v>3</v>
      </c>
      <c r="I264">
        <f>IF(pogoda__2[[#This Row],[Kategoria_chmur]]=pogoda__2[[#This Row],[nubis K]],1,0)</f>
        <v>1</v>
      </c>
      <c r="J264">
        <f>IF(pogoda__2[[#This Row],[Wielkosc_chmur]]=pogoda__2[[#This Row],[nubis W]],1,0)</f>
        <v>1</v>
      </c>
      <c r="L264">
        <f>IF(AND(pogoda__2[[#This Row],[Temperatura]]&gt;=20,pogoda__2[[#This Row],[Opad]]&lt;=5),1,0)</f>
        <v>0</v>
      </c>
      <c r="M264">
        <v>2</v>
      </c>
    </row>
    <row r="265" spans="1:13" x14ac:dyDescent="0.3">
      <c r="A265">
        <v>264</v>
      </c>
      <c r="B265">
        <v>24.8</v>
      </c>
      <c r="C265">
        <v>9</v>
      </c>
      <c r="D265" s="6" t="s">
        <v>5</v>
      </c>
      <c r="E265">
        <v>4</v>
      </c>
      <c r="F265" s="6" t="s">
        <v>5</v>
      </c>
      <c r="G265">
        <v>4</v>
      </c>
      <c r="I265">
        <f>IF(pogoda__2[[#This Row],[Kategoria_chmur]]=pogoda__2[[#This Row],[nubis K]],1,0)</f>
        <v>1</v>
      </c>
      <c r="J265">
        <f>IF(pogoda__2[[#This Row],[Wielkosc_chmur]]=pogoda__2[[#This Row],[nubis W]],1,0)</f>
        <v>1</v>
      </c>
      <c r="L265">
        <f>IF(AND(pogoda__2[[#This Row],[Temperatura]]&gt;=20,pogoda__2[[#This Row],[Opad]]&lt;=5),1,0)</f>
        <v>0</v>
      </c>
      <c r="M265">
        <v>3</v>
      </c>
    </row>
    <row r="266" spans="1:13" x14ac:dyDescent="0.3">
      <c r="A266">
        <v>265</v>
      </c>
      <c r="B266">
        <v>27.2</v>
      </c>
      <c r="C266">
        <v>18</v>
      </c>
      <c r="D266" s="6" t="s">
        <v>5</v>
      </c>
      <c r="E266">
        <v>4</v>
      </c>
      <c r="F266" s="6" t="s">
        <v>5</v>
      </c>
      <c r="G266">
        <v>4</v>
      </c>
      <c r="I266">
        <f>IF(pogoda__2[[#This Row],[Kategoria_chmur]]=pogoda__2[[#This Row],[nubis K]],1,0)</f>
        <v>1</v>
      </c>
      <c r="J266">
        <f>IF(pogoda__2[[#This Row],[Wielkosc_chmur]]=pogoda__2[[#This Row],[nubis W]],1,0)</f>
        <v>1</v>
      </c>
      <c r="L266">
        <f>IF(AND(pogoda__2[[#This Row],[Temperatura]]&gt;=20,pogoda__2[[#This Row],[Opad]]&lt;=5),1,0)</f>
        <v>0</v>
      </c>
      <c r="M266">
        <v>4</v>
      </c>
    </row>
    <row r="267" spans="1:13" x14ac:dyDescent="0.3">
      <c r="A267">
        <v>266</v>
      </c>
      <c r="B267">
        <v>28.6</v>
      </c>
      <c r="C267">
        <v>4</v>
      </c>
      <c r="D267" s="6" t="s">
        <v>5</v>
      </c>
      <c r="E267">
        <v>4</v>
      </c>
      <c r="F267" s="6" t="s">
        <v>5</v>
      </c>
      <c r="G267">
        <v>4</v>
      </c>
      <c r="I267">
        <f>IF(pogoda__2[[#This Row],[Kategoria_chmur]]=pogoda__2[[#This Row],[nubis K]],1,0)</f>
        <v>1</v>
      </c>
      <c r="J267">
        <f>IF(pogoda__2[[#This Row],[Wielkosc_chmur]]=pogoda__2[[#This Row],[nubis W]],1,0)</f>
        <v>1</v>
      </c>
      <c r="L267">
        <f>IF(AND(pogoda__2[[#This Row],[Temperatura]]&gt;=20,pogoda__2[[#This Row],[Opad]]&lt;=5),1,0)</f>
        <v>1</v>
      </c>
      <c r="M267">
        <v>5</v>
      </c>
    </row>
    <row r="268" spans="1:13" x14ac:dyDescent="0.3">
      <c r="A268">
        <v>267</v>
      </c>
      <c r="B268">
        <v>28.4</v>
      </c>
      <c r="C268">
        <v>22</v>
      </c>
      <c r="D268" s="6" t="s">
        <v>5</v>
      </c>
      <c r="E268">
        <v>5</v>
      </c>
      <c r="F268" s="6" t="s">
        <v>5</v>
      </c>
      <c r="G268">
        <v>5</v>
      </c>
      <c r="I268">
        <f>IF(pogoda__2[[#This Row],[Kategoria_chmur]]=pogoda__2[[#This Row],[nubis K]],1,0)</f>
        <v>1</v>
      </c>
      <c r="J268">
        <f>IF(pogoda__2[[#This Row],[Wielkosc_chmur]]=pogoda__2[[#This Row],[nubis W]],1,0)</f>
        <v>1</v>
      </c>
      <c r="L268">
        <f>IF(AND(pogoda__2[[#This Row],[Temperatura]]&gt;=20,pogoda__2[[#This Row],[Opad]]&lt;=5),1,0)</f>
        <v>0</v>
      </c>
      <c r="M268">
        <v>0</v>
      </c>
    </row>
    <row r="269" spans="1:13" x14ac:dyDescent="0.3">
      <c r="A269">
        <v>268</v>
      </c>
      <c r="B269">
        <v>26.5</v>
      </c>
      <c r="C269">
        <v>0</v>
      </c>
      <c r="D269" s="6">
        <v>0</v>
      </c>
      <c r="E269">
        <v>0</v>
      </c>
      <c r="F269" s="6">
        <v>0</v>
      </c>
      <c r="G269">
        <v>0</v>
      </c>
      <c r="I269">
        <f>IF(pogoda__2[[#This Row],[Kategoria_chmur]]=pogoda__2[[#This Row],[nubis K]],1,0)</f>
        <v>1</v>
      </c>
      <c r="J269">
        <f>IF(pogoda__2[[#This Row],[Wielkosc_chmur]]=pogoda__2[[#This Row],[nubis W]],1,0)</f>
        <v>1</v>
      </c>
      <c r="L269">
        <f>IF(AND(pogoda__2[[#This Row],[Temperatura]]&gt;=20,pogoda__2[[#This Row],[Opad]]&lt;=5),1,0)</f>
        <v>1</v>
      </c>
      <c r="M269">
        <v>0</v>
      </c>
    </row>
    <row r="270" spans="1:13" x14ac:dyDescent="0.3">
      <c r="A270">
        <v>269</v>
      </c>
      <c r="B270">
        <v>23.3</v>
      </c>
      <c r="C270">
        <v>4</v>
      </c>
      <c r="D270" s="6" t="s">
        <v>5</v>
      </c>
      <c r="E270">
        <v>1</v>
      </c>
      <c r="F270" s="6" t="s">
        <v>5</v>
      </c>
      <c r="G270">
        <v>1</v>
      </c>
      <c r="I270">
        <f>IF(pogoda__2[[#This Row],[Kategoria_chmur]]=pogoda__2[[#This Row],[nubis K]],1,0)</f>
        <v>1</v>
      </c>
      <c r="J270">
        <f>IF(pogoda__2[[#This Row],[Wielkosc_chmur]]=pogoda__2[[#This Row],[nubis W]],1,0)</f>
        <v>1</v>
      </c>
      <c r="L270">
        <f>IF(AND(pogoda__2[[#This Row],[Temperatura]]&gt;=20,pogoda__2[[#This Row],[Opad]]&lt;=5),1,0)</f>
        <v>1</v>
      </c>
      <c r="M270">
        <v>0</v>
      </c>
    </row>
    <row r="271" spans="1:13" x14ac:dyDescent="0.3">
      <c r="A271">
        <v>270</v>
      </c>
      <c r="B271">
        <v>19.5</v>
      </c>
      <c r="C271">
        <v>6</v>
      </c>
      <c r="D271" s="6" t="s">
        <v>5</v>
      </c>
      <c r="E271">
        <v>1</v>
      </c>
      <c r="F271" s="6" t="s">
        <v>5</v>
      </c>
      <c r="G271">
        <v>1</v>
      </c>
      <c r="I271">
        <f>IF(pogoda__2[[#This Row],[Kategoria_chmur]]=pogoda__2[[#This Row],[nubis K]],1,0)</f>
        <v>1</v>
      </c>
      <c r="J271">
        <f>IF(pogoda__2[[#This Row],[Wielkosc_chmur]]=pogoda__2[[#This Row],[nubis W]],1,0)</f>
        <v>1</v>
      </c>
      <c r="L271">
        <f>IF(AND(pogoda__2[[#This Row],[Temperatura]]&gt;=20,pogoda__2[[#This Row],[Opad]]&lt;=5),1,0)</f>
        <v>0</v>
      </c>
      <c r="M271">
        <v>0</v>
      </c>
    </row>
    <row r="272" spans="1:13" x14ac:dyDescent="0.3">
      <c r="A272">
        <v>271</v>
      </c>
      <c r="B272">
        <v>16</v>
      </c>
      <c r="C272">
        <v>6</v>
      </c>
      <c r="D272" s="6" t="s">
        <v>5</v>
      </c>
      <c r="E272">
        <v>1</v>
      </c>
      <c r="F272" s="6" t="s">
        <v>5</v>
      </c>
      <c r="G272">
        <v>1</v>
      </c>
      <c r="I272">
        <f>IF(pogoda__2[[#This Row],[Kategoria_chmur]]=pogoda__2[[#This Row],[nubis K]],1,0)</f>
        <v>1</v>
      </c>
      <c r="J272">
        <f>IF(pogoda__2[[#This Row],[Wielkosc_chmur]]=pogoda__2[[#This Row],[nubis W]],1,0)</f>
        <v>1</v>
      </c>
      <c r="L272">
        <f>IF(AND(pogoda__2[[#This Row],[Temperatura]]&gt;=20,pogoda__2[[#This Row],[Opad]]&lt;=5),1,0)</f>
        <v>0</v>
      </c>
      <c r="M272">
        <v>0</v>
      </c>
    </row>
    <row r="273" spans="1:13" x14ac:dyDescent="0.3">
      <c r="A273">
        <v>272</v>
      </c>
      <c r="B273">
        <v>13.7</v>
      </c>
      <c r="C273">
        <v>9</v>
      </c>
      <c r="D273" s="6" t="s">
        <v>5</v>
      </c>
      <c r="E273">
        <v>2</v>
      </c>
      <c r="F273" s="6" t="s">
        <v>5</v>
      </c>
      <c r="G273">
        <v>2</v>
      </c>
      <c r="I273">
        <f>IF(pogoda__2[[#This Row],[Kategoria_chmur]]=pogoda__2[[#This Row],[nubis K]],1,0)</f>
        <v>1</v>
      </c>
      <c r="J273">
        <f>IF(pogoda__2[[#This Row],[Wielkosc_chmur]]=pogoda__2[[#This Row],[nubis W]],1,0)</f>
        <v>1</v>
      </c>
      <c r="L273">
        <f>IF(AND(pogoda__2[[#This Row],[Temperatura]]&gt;=20,pogoda__2[[#This Row],[Opad]]&lt;=5),1,0)</f>
        <v>0</v>
      </c>
      <c r="M273">
        <v>0</v>
      </c>
    </row>
    <row r="274" spans="1:13" x14ac:dyDescent="0.3">
      <c r="A274">
        <v>273</v>
      </c>
      <c r="B274">
        <v>12.9</v>
      </c>
      <c r="C274">
        <v>7</v>
      </c>
      <c r="D274" s="6" t="s">
        <v>5</v>
      </c>
      <c r="E274">
        <v>2</v>
      </c>
      <c r="F274" s="6" t="s">
        <v>5</v>
      </c>
      <c r="G274">
        <v>2</v>
      </c>
      <c r="I274">
        <f>IF(pogoda__2[[#This Row],[Kategoria_chmur]]=pogoda__2[[#This Row],[nubis K]],1,0)</f>
        <v>1</v>
      </c>
      <c r="J274">
        <f>IF(pogoda__2[[#This Row],[Wielkosc_chmur]]=pogoda__2[[#This Row],[nubis W]],1,0)</f>
        <v>1</v>
      </c>
      <c r="L274">
        <f>IF(AND(pogoda__2[[#This Row],[Temperatura]]&gt;=20,pogoda__2[[#This Row],[Opad]]&lt;=5),1,0)</f>
        <v>0</v>
      </c>
      <c r="M274">
        <v>0</v>
      </c>
    </row>
    <row r="275" spans="1:13" x14ac:dyDescent="0.3">
      <c r="A275">
        <v>274</v>
      </c>
      <c r="B275">
        <v>13.5</v>
      </c>
      <c r="C275">
        <v>1</v>
      </c>
      <c r="D275" s="6" t="s">
        <v>5</v>
      </c>
      <c r="E275">
        <v>2</v>
      </c>
      <c r="F275" s="6" t="s">
        <v>5</v>
      </c>
      <c r="G275">
        <v>2</v>
      </c>
      <c r="I275">
        <f>IF(pogoda__2[[#This Row],[Kategoria_chmur]]=pogoda__2[[#This Row],[nubis K]],1,0)</f>
        <v>1</v>
      </c>
      <c r="J275">
        <f>IF(pogoda__2[[#This Row],[Wielkosc_chmur]]=pogoda__2[[#This Row],[nubis W]],1,0)</f>
        <v>1</v>
      </c>
      <c r="L275">
        <f>IF(AND(pogoda__2[[#This Row],[Temperatura]]&gt;=20,pogoda__2[[#This Row],[Opad]]&lt;=5),1,0)</f>
        <v>0</v>
      </c>
      <c r="M275">
        <v>1</v>
      </c>
    </row>
    <row r="276" spans="1:13" x14ac:dyDescent="0.3">
      <c r="A276">
        <v>275</v>
      </c>
      <c r="B276">
        <v>15</v>
      </c>
      <c r="C276">
        <v>18</v>
      </c>
      <c r="D276" s="6" t="s">
        <v>5</v>
      </c>
      <c r="E276">
        <v>3</v>
      </c>
      <c r="F276" s="6" t="s">
        <v>5</v>
      </c>
      <c r="G276">
        <v>3</v>
      </c>
      <c r="I276">
        <f>IF(pogoda__2[[#This Row],[Kategoria_chmur]]=pogoda__2[[#This Row],[nubis K]],1,0)</f>
        <v>1</v>
      </c>
      <c r="J276">
        <f>IF(pogoda__2[[#This Row],[Wielkosc_chmur]]=pogoda__2[[#This Row],[nubis W]],1,0)</f>
        <v>1</v>
      </c>
      <c r="L276">
        <f>IF(AND(pogoda__2[[#This Row],[Temperatura]]&gt;=20,pogoda__2[[#This Row],[Opad]]&lt;=5),1,0)</f>
        <v>0</v>
      </c>
      <c r="M276">
        <v>2</v>
      </c>
    </row>
    <row r="277" spans="1:13" x14ac:dyDescent="0.3">
      <c r="A277">
        <v>276</v>
      </c>
      <c r="B277">
        <v>16.399999999999999</v>
      </c>
      <c r="C277">
        <v>13</v>
      </c>
      <c r="D277" s="6" t="s">
        <v>5</v>
      </c>
      <c r="E277">
        <v>3</v>
      </c>
      <c r="F277" s="6" t="s">
        <v>5</v>
      </c>
      <c r="G277">
        <v>3</v>
      </c>
      <c r="I277">
        <f>IF(pogoda__2[[#This Row],[Kategoria_chmur]]=pogoda__2[[#This Row],[nubis K]],1,0)</f>
        <v>1</v>
      </c>
      <c r="J277">
        <f>IF(pogoda__2[[#This Row],[Wielkosc_chmur]]=pogoda__2[[#This Row],[nubis W]],1,0)</f>
        <v>1</v>
      </c>
      <c r="L277">
        <f>IF(AND(pogoda__2[[#This Row],[Temperatura]]&gt;=20,pogoda__2[[#This Row],[Opad]]&lt;=5),1,0)</f>
        <v>0</v>
      </c>
      <c r="M277">
        <v>3</v>
      </c>
    </row>
    <row r="278" spans="1:13" x14ac:dyDescent="0.3">
      <c r="A278">
        <v>277</v>
      </c>
      <c r="B278">
        <v>17.100000000000001</v>
      </c>
      <c r="C278">
        <v>2</v>
      </c>
      <c r="D278" s="6" t="s">
        <v>5</v>
      </c>
      <c r="E278">
        <v>3</v>
      </c>
      <c r="F278" s="6" t="s">
        <v>5</v>
      </c>
      <c r="G278">
        <v>3</v>
      </c>
      <c r="I278">
        <f>IF(pogoda__2[[#This Row],[Kategoria_chmur]]=pogoda__2[[#This Row],[nubis K]],1,0)</f>
        <v>1</v>
      </c>
      <c r="J278">
        <f>IF(pogoda__2[[#This Row],[Wielkosc_chmur]]=pogoda__2[[#This Row],[nubis W]],1,0)</f>
        <v>1</v>
      </c>
      <c r="L278">
        <f>IF(AND(pogoda__2[[#This Row],[Temperatura]]&gt;=20,pogoda__2[[#This Row],[Opad]]&lt;=5),1,0)</f>
        <v>0</v>
      </c>
      <c r="M278">
        <v>4</v>
      </c>
    </row>
    <row r="279" spans="1:13" x14ac:dyDescent="0.3">
      <c r="A279">
        <v>278</v>
      </c>
      <c r="B279">
        <v>16.3</v>
      </c>
      <c r="C279">
        <v>10</v>
      </c>
      <c r="D279" s="6" t="s">
        <v>5</v>
      </c>
      <c r="E279">
        <v>4</v>
      </c>
      <c r="F279" s="6" t="s">
        <v>5</v>
      </c>
      <c r="G279">
        <v>4</v>
      </c>
      <c r="I279">
        <f>IF(pogoda__2[[#This Row],[Kategoria_chmur]]=pogoda__2[[#This Row],[nubis K]],1,0)</f>
        <v>1</v>
      </c>
      <c r="J279">
        <f>IF(pogoda__2[[#This Row],[Wielkosc_chmur]]=pogoda__2[[#This Row],[nubis W]],1,0)</f>
        <v>1</v>
      </c>
      <c r="L279">
        <f>IF(AND(pogoda__2[[#This Row],[Temperatura]]&gt;=20,pogoda__2[[#This Row],[Opad]]&lt;=5),1,0)</f>
        <v>0</v>
      </c>
      <c r="M279">
        <v>0</v>
      </c>
    </row>
    <row r="280" spans="1:13" x14ac:dyDescent="0.3">
      <c r="A280">
        <v>279</v>
      </c>
      <c r="B280">
        <v>14</v>
      </c>
      <c r="C280">
        <v>6</v>
      </c>
      <c r="D280" s="6" t="s">
        <v>5</v>
      </c>
      <c r="E280">
        <v>4</v>
      </c>
      <c r="F280" s="6" t="s">
        <v>5</v>
      </c>
      <c r="G280">
        <v>4</v>
      </c>
      <c r="I280">
        <f>IF(pogoda__2[[#This Row],[Kategoria_chmur]]=pogoda__2[[#This Row],[nubis K]],1,0)</f>
        <v>1</v>
      </c>
      <c r="J280">
        <f>IF(pogoda__2[[#This Row],[Wielkosc_chmur]]=pogoda__2[[#This Row],[nubis W]],1,0)</f>
        <v>1</v>
      </c>
      <c r="L280">
        <f>IF(AND(pogoda__2[[#This Row],[Temperatura]]&gt;=20,pogoda__2[[#This Row],[Opad]]&lt;=5),1,0)</f>
        <v>0</v>
      </c>
      <c r="M280">
        <v>0</v>
      </c>
    </row>
    <row r="281" spans="1:13" x14ac:dyDescent="0.3">
      <c r="A281">
        <v>280</v>
      </c>
      <c r="B281">
        <v>10.5</v>
      </c>
      <c r="C281">
        <v>20</v>
      </c>
      <c r="D281" s="6" t="s">
        <v>5</v>
      </c>
      <c r="E281">
        <v>4</v>
      </c>
      <c r="F281" s="6" t="s">
        <v>5</v>
      </c>
      <c r="G281">
        <v>4</v>
      </c>
      <c r="I281">
        <f>IF(pogoda__2[[#This Row],[Kategoria_chmur]]=pogoda__2[[#This Row],[nubis K]],1,0)</f>
        <v>1</v>
      </c>
      <c r="J281">
        <f>IF(pogoda__2[[#This Row],[Wielkosc_chmur]]=pogoda__2[[#This Row],[nubis W]],1,0)</f>
        <v>1</v>
      </c>
      <c r="L281">
        <f>IF(AND(pogoda__2[[#This Row],[Temperatura]]&gt;=20,pogoda__2[[#This Row],[Opad]]&lt;=5),1,0)</f>
        <v>0</v>
      </c>
      <c r="M281">
        <v>0</v>
      </c>
    </row>
    <row r="282" spans="1:13" x14ac:dyDescent="0.3">
      <c r="A282">
        <v>281</v>
      </c>
      <c r="B282">
        <v>6.7</v>
      </c>
      <c r="C282">
        <v>17</v>
      </c>
      <c r="D282" s="6" t="s">
        <v>5</v>
      </c>
      <c r="E282">
        <v>5</v>
      </c>
      <c r="F282" s="6" t="s">
        <v>5</v>
      </c>
      <c r="G282">
        <v>5</v>
      </c>
      <c r="I282">
        <f>IF(pogoda__2[[#This Row],[Kategoria_chmur]]=pogoda__2[[#This Row],[nubis K]],1,0)</f>
        <v>1</v>
      </c>
      <c r="J282">
        <f>IF(pogoda__2[[#This Row],[Wielkosc_chmur]]=pogoda__2[[#This Row],[nubis W]],1,0)</f>
        <v>1</v>
      </c>
      <c r="L282">
        <f>IF(AND(pogoda__2[[#This Row],[Temperatura]]&gt;=20,pogoda__2[[#This Row],[Opad]]&lt;=5),1,0)</f>
        <v>0</v>
      </c>
      <c r="M282">
        <v>0</v>
      </c>
    </row>
    <row r="283" spans="1:13" x14ac:dyDescent="0.3">
      <c r="A283">
        <v>282</v>
      </c>
      <c r="B283">
        <v>3.5</v>
      </c>
      <c r="C283">
        <v>13</v>
      </c>
      <c r="D283" s="6" t="s">
        <v>5</v>
      </c>
      <c r="E283">
        <v>5</v>
      </c>
      <c r="F283" s="6" t="s">
        <v>5</v>
      </c>
      <c r="G283">
        <v>5</v>
      </c>
      <c r="I283">
        <f>IF(pogoda__2[[#This Row],[Kategoria_chmur]]=pogoda__2[[#This Row],[nubis K]],1,0)</f>
        <v>1</v>
      </c>
      <c r="J283">
        <f>IF(pogoda__2[[#This Row],[Wielkosc_chmur]]=pogoda__2[[#This Row],[nubis W]],1,0)</f>
        <v>1</v>
      </c>
      <c r="L283">
        <f>IF(AND(pogoda__2[[#This Row],[Temperatura]]&gt;=20,pogoda__2[[#This Row],[Opad]]&lt;=5),1,0)</f>
        <v>0</v>
      </c>
      <c r="M283">
        <v>0</v>
      </c>
    </row>
    <row r="284" spans="1:13" x14ac:dyDescent="0.3">
      <c r="A284">
        <v>283</v>
      </c>
      <c r="B284">
        <v>1.6</v>
      </c>
      <c r="C284">
        <v>18</v>
      </c>
      <c r="D284" s="6" t="s">
        <v>5</v>
      </c>
      <c r="E284">
        <v>5</v>
      </c>
      <c r="F284" s="6" t="s">
        <v>5</v>
      </c>
      <c r="G284">
        <v>5</v>
      </c>
      <c r="I284">
        <f>IF(pogoda__2[[#This Row],[Kategoria_chmur]]=pogoda__2[[#This Row],[nubis K]],1,0)</f>
        <v>1</v>
      </c>
      <c r="J284">
        <f>IF(pogoda__2[[#This Row],[Wielkosc_chmur]]=pogoda__2[[#This Row],[nubis W]],1,0)</f>
        <v>1</v>
      </c>
      <c r="L284">
        <f>IF(AND(pogoda__2[[#This Row],[Temperatura]]&gt;=20,pogoda__2[[#This Row],[Opad]]&lt;=5),1,0)</f>
        <v>0</v>
      </c>
      <c r="M284">
        <v>0</v>
      </c>
    </row>
    <row r="285" spans="1:13" x14ac:dyDescent="0.3">
      <c r="A285">
        <v>284</v>
      </c>
      <c r="B285">
        <v>1.4</v>
      </c>
      <c r="C285">
        <v>20</v>
      </c>
      <c r="D285" s="6" t="s">
        <v>5</v>
      </c>
      <c r="E285">
        <v>5</v>
      </c>
      <c r="F285" s="6" t="s">
        <v>5</v>
      </c>
      <c r="G285">
        <v>5</v>
      </c>
      <c r="I285">
        <f>IF(pogoda__2[[#This Row],[Kategoria_chmur]]=pogoda__2[[#This Row],[nubis K]],1,0)</f>
        <v>1</v>
      </c>
      <c r="J285">
        <f>IF(pogoda__2[[#This Row],[Wielkosc_chmur]]=pogoda__2[[#This Row],[nubis W]],1,0)</f>
        <v>1</v>
      </c>
      <c r="L285">
        <f>IF(AND(pogoda__2[[#This Row],[Temperatura]]&gt;=20,pogoda__2[[#This Row],[Opad]]&lt;=5),1,0)</f>
        <v>0</v>
      </c>
      <c r="M285">
        <v>0</v>
      </c>
    </row>
    <row r="286" spans="1:13" x14ac:dyDescent="0.3">
      <c r="A286">
        <v>285</v>
      </c>
      <c r="B286">
        <v>2.8</v>
      </c>
      <c r="C286">
        <v>0</v>
      </c>
      <c r="D286" s="6">
        <v>0</v>
      </c>
      <c r="E286">
        <v>0</v>
      </c>
      <c r="F286" s="6">
        <v>0</v>
      </c>
      <c r="G286">
        <v>0</v>
      </c>
      <c r="I286">
        <f>IF(pogoda__2[[#This Row],[Kategoria_chmur]]=pogoda__2[[#This Row],[nubis K]],1,0)</f>
        <v>1</v>
      </c>
      <c r="J286">
        <f>IF(pogoda__2[[#This Row],[Wielkosc_chmur]]=pogoda__2[[#This Row],[nubis W]],1,0)</f>
        <v>1</v>
      </c>
      <c r="L286">
        <f>IF(AND(pogoda__2[[#This Row],[Temperatura]]&gt;=20,pogoda__2[[#This Row],[Opad]]&lt;=5),1,0)</f>
        <v>0</v>
      </c>
      <c r="M286">
        <v>1</v>
      </c>
    </row>
    <row r="287" spans="1:13" x14ac:dyDescent="0.3">
      <c r="A287">
        <v>286</v>
      </c>
      <c r="B287">
        <v>5.2</v>
      </c>
      <c r="C287">
        <v>6</v>
      </c>
      <c r="D287" s="6" t="s">
        <v>6</v>
      </c>
      <c r="E287">
        <v>1</v>
      </c>
      <c r="F287" s="6" t="s">
        <v>6</v>
      </c>
      <c r="G287">
        <v>1</v>
      </c>
      <c r="I287">
        <f>IF(pogoda__2[[#This Row],[Kategoria_chmur]]=pogoda__2[[#This Row],[nubis K]],1,0)</f>
        <v>1</v>
      </c>
      <c r="J287">
        <f>IF(pogoda__2[[#This Row],[Wielkosc_chmur]]=pogoda__2[[#This Row],[nubis W]],1,0)</f>
        <v>1</v>
      </c>
      <c r="L287">
        <f>IF(AND(pogoda__2[[#This Row],[Temperatura]]&gt;=20,pogoda__2[[#This Row],[Opad]]&lt;=5),1,0)</f>
        <v>0</v>
      </c>
      <c r="M287">
        <v>2</v>
      </c>
    </row>
    <row r="288" spans="1:13" x14ac:dyDescent="0.3">
      <c r="A288">
        <v>287</v>
      </c>
      <c r="B288">
        <v>7.7</v>
      </c>
      <c r="C288">
        <v>5</v>
      </c>
      <c r="D288" s="6" t="s">
        <v>6</v>
      </c>
      <c r="E288">
        <v>1</v>
      </c>
      <c r="F288" s="6" t="s">
        <v>6</v>
      </c>
      <c r="G288">
        <v>1</v>
      </c>
      <c r="I288">
        <f>IF(pogoda__2[[#This Row],[Kategoria_chmur]]=pogoda__2[[#This Row],[nubis K]],1,0)</f>
        <v>1</v>
      </c>
      <c r="J288">
        <f>IF(pogoda__2[[#This Row],[Wielkosc_chmur]]=pogoda__2[[#This Row],[nubis W]],1,0)</f>
        <v>1</v>
      </c>
      <c r="L288">
        <f>IF(AND(pogoda__2[[#This Row],[Temperatura]]&gt;=20,pogoda__2[[#This Row],[Opad]]&lt;=5),1,0)</f>
        <v>0</v>
      </c>
      <c r="M288">
        <v>3</v>
      </c>
    </row>
    <row r="289" spans="1:13" x14ac:dyDescent="0.3">
      <c r="A289">
        <v>288</v>
      </c>
      <c r="B289">
        <v>9.6</v>
      </c>
      <c r="C289">
        <v>1</v>
      </c>
      <c r="D289" s="6" t="s">
        <v>6</v>
      </c>
      <c r="E289">
        <v>1</v>
      </c>
      <c r="F289" s="6" t="s">
        <v>6</v>
      </c>
      <c r="G289">
        <v>1</v>
      </c>
      <c r="I289">
        <f>IF(pogoda__2[[#This Row],[Kategoria_chmur]]=pogoda__2[[#This Row],[nubis K]],1,0)</f>
        <v>1</v>
      </c>
      <c r="J289">
        <f>IF(pogoda__2[[#This Row],[Wielkosc_chmur]]=pogoda__2[[#This Row],[nubis W]],1,0)</f>
        <v>1</v>
      </c>
      <c r="L289">
        <f>IF(AND(pogoda__2[[#This Row],[Temperatura]]&gt;=20,pogoda__2[[#This Row],[Opad]]&lt;=5),1,0)</f>
        <v>0</v>
      </c>
      <c r="M289">
        <v>4</v>
      </c>
    </row>
    <row r="290" spans="1:13" x14ac:dyDescent="0.3">
      <c r="A290">
        <v>289</v>
      </c>
      <c r="B290">
        <v>10.1</v>
      </c>
      <c r="C290">
        <v>8</v>
      </c>
      <c r="D290" s="6" t="s">
        <v>6</v>
      </c>
      <c r="E290">
        <v>2</v>
      </c>
      <c r="F290" s="6" t="s">
        <v>6</v>
      </c>
      <c r="G290">
        <v>2</v>
      </c>
      <c r="I290">
        <f>IF(pogoda__2[[#This Row],[Kategoria_chmur]]=pogoda__2[[#This Row],[nubis K]],1,0)</f>
        <v>1</v>
      </c>
      <c r="J290">
        <f>IF(pogoda__2[[#This Row],[Wielkosc_chmur]]=pogoda__2[[#This Row],[nubis W]],1,0)</f>
        <v>1</v>
      </c>
      <c r="L290">
        <f>IF(AND(pogoda__2[[#This Row],[Temperatura]]&gt;=20,pogoda__2[[#This Row],[Opad]]&lt;=5),1,0)</f>
        <v>0</v>
      </c>
      <c r="M290">
        <v>5</v>
      </c>
    </row>
    <row r="291" spans="1:13" x14ac:dyDescent="0.3">
      <c r="A291">
        <v>290</v>
      </c>
      <c r="B291">
        <v>9.3000000000000007</v>
      </c>
      <c r="C291">
        <v>3</v>
      </c>
      <c r="D291" s="6" t="s">
        <v>6</v>
      </c>
      <c r="E291">
        <v>2</v>
      </c>
      <c r="F291" s="6" t="s">
        <v>6</v>
      </c>
      <c r="G291">
        <v>2</v>
      </c>
      <c r="I291">
        <f>IF(pogoda__2[[#This Row],[Kategoria_chmur]]=pogoda__2[[#This Row],[nubis K]],1,0)</f>
        <v>1</v>
      </c>
      <c r="J291">
        <f>IF(pogoda__2[[#This Row],[Wielkosc_chmur]]=pogoda__2[[#This Row],[nubis W]],1,0)</f>
        <v>1</v>
      </c>
      <c r="L291">
        <f>IF(AND(pogoda__2[[#This Row],[Temperatura]]&gt;=20,pogoda__2[[#This Row],[Opad]]&lt;=5),1,0)</f>
        <v>0</v>
      </c>
      <c r="M291">
        <v>0</v>
      </c>
    </row>
    <row r="292" spans="1:13" x14ac:dyDescent="0.3">
      <c r="A292">
        <v>291</v>
      </c>
      <c r="B292">
        <v>7.4</v>
      </c>
      <c r="C292">
        <v>5</v>
      </c>
      <c r="D292" s="6" t="s">
        <v>6</v>
      </c>
      <c r="E292">
        <v>2</v>
      </c>
      <c r="F292" s="6" t="s">
        <v>6</v>
      </c>
      <c r="G292">
        <v>2</v>
      </c>
      <c r="I292">
        <f>IF(pogoda__2[[#This Row],[Kategoria_chmur]]=pogoda__2[[#This Row],[nubis K]],1,0)</f>
        <v>1</v>
      </c>
      <c r="J292">
        <f>IF(pogoda__2[[#This Row],[Wielkosc_chmur]]=pogoda__2[[#This Row],[nubis W]],1,0)</f>
        <v>1</v>
      </c>
      <c r="L292">
        <f>IF(AND(pogoda__2[[#This Row],[Temperatura]]&gt;=20,pogoda__2[[#This Row],[Opad]]&lt;=5),1,0)</f>
        <v>0</v>
      </c>
      <c r="M292">
        <v>0</v>
      </c>
    </row>
    <row r="293" spans="1:13" x14ac:dyDescent="0.3">
      <c r="A293">
        <v>292</v>
      </c>
      <c r="B293">
        <v>5.0999999999999996</v>
      </c>
      <c r="C293">
        <v>17</v>
      </c>
      <c r="D293" s="6" t="s">
        <v>6</v>
      </c>
      <c r="E293">
        <v>3</v>
      </c>
      <c r="F293" s="6" t="s">
        <v>6</v>
      </c>
      <c r="G293">
        <v>3</v>
      </c>
      <c r="I293">
        <f>IF(pogoda__2[[#This Row],[Kategoria_chmur]]=pogoda__2[[#This Row],[nubis K]],1,0)</f>
        <v>1</v>
      </c>
      <c r="J293">
        <f>IF(pogoda__2[[#This Row],[Wielkosc_chmur]]=pogoda__2[[#This Row],[nubis W]],1,0)</f>
        <v>1</v>
      </c>
      <c r="L293">
        <f>IF(AND(pogoda__2[[#This Row],[Temperatura]]&gt;=20,pogoda__2[[#This Row],[Opad]]&lt;=5),1,0)</f>
        <v>0</v>
      </c>
      <c r="M293">
        <v>0</v>
      </c>
    </row>
    <row r="294" spans="1:13" x14ac:dyDescent="0.3">
      <c r="A294">
        <v>293</v>
      </c>
      <c r="B294">
        <v>3.5</v>
      </c>
      <c r="C294">
        <v>9</v>
      </c>
      <c r="D294" s="6" t="s">
        <v>6</v>
      </c>
      <c r="E294">
        <v>3</v>
      </c>
      <c r="F294" s="6" t="s">
        <v>6</v>
      </c>
      <c r="G294">
        <v>3</v>
      </c>
      <c r="I294">
        <f>IF(pogoda__2[[#This Row],[Kategoria_chmur]]=pogoda__2[[#This Row],[nubis K]],1,0)</f>
        <v>1</v>
      </c>
      <c r="J294">
        <f>IF(pogoda__2[[#This Row],[Wielkosc_chmur]]=pogoda__2[[#This Row],[nubis W]],1,0)</f>
        <v>1</v>
      </c>
      <c r="L294">
        <f>IF(AND(pogoda__2[[#This Row],[Temperatura]]&gt;=20,pogoda__2[[#This Row],[Opad]]&lt;=5),1,0)</f>
        <v>0</v>
      </c>
      <c r="M294">
        <v>0</v>
      </c>
    </row>
    <row r="295" spans="1:13" x14ac:dyDescent="0.3">
      <c r="A295">
        <v>294</v>
      </c>
      <c r="B295">
        <v>3.2</v>
      </c>
      <c r="C295">
        <v>4</v>
      </c>
      <c r="D295" s="6" t="s">
        <v>6</v>
      </c>
      <c r="E295">
        <v>3</v>
      </c>
      <c r="F295" s="6" t="s">
        <v>6</v>
      </c>
      <c r="G295">
        <v>3</v>
      </c>
      <c r="I295">
        <f>IF(pogoda__2[[#This Row],[Kategoria_chmur]]=pogoda__2[[#This Row],[nubis K]],1,0)</f>
        <v>1</v>
      </c>
      <c r="J295">
        <f>IF(pogoda__2[[#This Row],[Wielkosc_chmur]]=pogoda__2[[#This Row],[nubis W]],1,0)</f>
        <v>1</v>
      </c>
      <c r="L295">
        <f>IF(AND(pogoda__2[[#This Row],[Temperatura]]&gt;=20,pogoda__2[[#This Row],[Opad]]&lt;=5),1,0)</f>
        <v>0</v>
      </c>
      <c r="M295">
        <v>0</v>
      </c>
    </row>
    <row r="296" spans="1:13" x14ac:dyDescent="0.3">
      <c r="A296">
        <v>295</v>
      </c>
      <c r="B296">
        <v>4.5999999999999996</v>
      </c>
      <c r="C296">
        <v>24</v>
      </c>
      <c r="D296" s="6" t="s">
        <v>6</v>
      </c>
      <c r="E296">
        <v>4</v>
      </c>
      <c r="F296" s="6" t="s">
        <v>6</v>
      </c>
      <c r="G296">
        <v>4</v>
      </c>
      <c r="I296">
        <f>IF(pogoda__2[[#This Row],[Kategoria_chmur]]=pogoda__2[[#This Row],[nubis K]],1,0)</f>
        <v>1</v>
      </c>
      <c r="J296">
        <f>IF(pogoda__2[[#This Row],[Wielkosc_chmur]]=pogoda__2[[#This Row],[nubis W]],1,0)</f>
        <v>1</v>
      </c>
      <c r="L296">
        <f>IF(AND(pogoda__2[[#This Row],[Temperatura]]&gt;=20,pogoda__2[[#This Row],[Opad]]&lt;=5),1,0)</f>
        <v>0</v>
      </c>
      <c r="M296">
        <v>1</v>
      </c>
    </row>
    <row r="297" spans="1:13" x14ac:dyDescent="0.3">
      <c r="A297">
        <v>296</v>
      </c>
      <c r="B297">
        <v>7.5</v>
      </c>
      <c r="C297">
        <v>21</v>
      </c>
      <c r="D297" s="6" t="s">
        <v>6</v>
      </c>
      <c r="E297">
        <v>4</v>
      </c>
      <c r="F297" s="6" t="s">
        <v>6</v>
      </c>
      <c r="G297">
        <v>4</v>
      </c>
      <c r="I297">
        <f>IF(pogoda__2[[#This Row],[Kategoria_chmur]]=pogoda__2[[#This Row],[nubis K]],1,0)</f>
        <v>1</v>
      </c>
      <c r="J297">
        <f>IF(pogoda__2[[#This Row],[Wielkosc_chmur]]=pogoda__2[[#This Row],[nubis W]],1,0)</f>
        <v>1</v>
      </c>
      <c r="L297">
        <f>IF(AND(pogoda__2[[#This Row],[Temperatura]]&gt;=20,pogoda__2[[#This Row],[Opad]]&lt;=5),1,0)</f>
        <v>0</v>
      </c>
      <c r="M297">
        <v>2</v>
      </c>
    </row>
    <row r="298" spans="1:13" x14ac:dyDescent="0.3">
      <c r="A298">
        <v>297</v>
      </c>
      <c r="B298">
        <v>11.3</v>
      </c>
      <c r="C298">
        <v>8</v>
      </c>
      <c r="D298" s="6" t="s">
        <v>6</v>
      </c>
      <c r="E298">
        <v>5</v>
      </c>
      <c r="F298" s="6" t="s">
        <v>6</v>
      </c>
      <c r="G298">
        <v>4</v>
      </c>
      <c r="I298">
        <f>IF(pogoda__2[[#This Row],[Kategoria_chmur]]=pogoda__2[[#This Row],[nubis K]],1,0)</f>
        <v>1</v>
      </c>
      <c r="J298">
        <f>IF(pogoda__2[[#This Row],[Wielkosc_chmur]]=pogoda__2[[#This Row],[nubis W]],1,0)</f>
        <v>0</v>
      </c>
      <c r="L298">
        <f>IF(AND(pogoda__2[[#This Row],[Temperatura]]&gt;=20,pogoda__2[[#This Row],[Opad]]&lt;=5),1,0)</f>
        <v>0</v>
      </c>
      <c r="M298">
        <v>3</v>
      </c>
    </row>
    <row r="299" spans="1:13" x14ac:dyDescent="0.3">
      <c r="A299">
        <v>298</v>
      </c>
      <c r="B299">
        <v>15.2</v>
      </c>
      <c r="C299">
        <v>23</v>
      </c>
      <c r="D299" s="6" t="s">
        <v>6</v>
      </c>
      <c r="E299">
        <v>5</v>
      </c>
      <c r="F299" s="6" t="s">
        <v>6</v>
      </c>
      <c r="G299">
        <v>5</v>
      </c>
      <c r="I299">
        <f>IF(pogoda__2[[#This Row],[Kategoria_chmur]]=pogoda__2[[#This Row],[nubis K]],1,0)</f>
        <v>1</v>
      </c>
      <c r="J299">
        <f>IF(pogoda__2[[#This Row],[Wielkosc_chmur]]=pogoda__2[[#This Row],[nubis W]],1,0)</f>
        <v>1</v>
      </c>
      <c r="L299">
        <f>IF(AND(pogoda__2[[#This Row],[Temperatura]]&gt;=20,pogoda__2[[#This Row],[Opad]]&lt;=5),1,0)</f>
        <v>0</v>
      </c>
      <c r="M299">
        <v>4</v>
      </c>
    </row>
    <row r="300" spans="1:13" x14ac:dyDescent="0.3">
      <c r="A300">
        <v>299</v>
      </c>
      <c r="B300">
        <v>18.3</v>
      </c>
      <c r="C300">
        <v>0</v>
      </c>
      <c r="D300" s="6">
        <v>0</v>
      </c>
      <c r="E300">
        <v>0</v>
      </c>
      <c r="F300" s="6">
        <v>0</v>
      </c>
      <c r="G300">
        <v>0</v>
      </c>
      <c r="I300">
        <f>IF(pogoda__2[[#This Row],[Kategoria_chmur]]=pogoda__2[[#This Row],[nubis K]],1,0)</f>
        <v>1</v>
      </c>
      <c r="J300">
        <f>IF(pogoda__2[[#This Row],[Wielkosc_chmur]]=pogoda__2[[#This Row],[nubis W]],1,0)</f>
        <v>1</v>
      </c>
      <c r="L300">
        <f>IF(AND(pogoda__2[[#This Row],[Temperatura]]&gt;=20,pogoda__2[[#This Row],[Opad]]&lt;=5),1,0)</f>
        <v>0</v>
      </c>
      <c r="M300">
        <v>5</v>
      </c>
    </row>
    <row r="301" spans="1:13" x14ac:dyDescent="0.3">
      <c r="A301">
        <v>300</v>
      </c>
      <c r="B301">
        <v>19.899999999999999</v>
      </c>
      <c r="C301">
        <v>5</v>
      </c>
      <c r="D301" s="6" t="s">
        <v>5</v>
      </c>
      <c r="E301">
        <v>1</v>
      </c>
      <c r="F301" s="6" t="s">
        <v>5</v>
      </c>
      <c r="G301">
        <v>1</v>
      </c>
      <c r="I301">
        <f>IF(pogoda__2[[#This Row],[Kategoria_chmur]]=pogoda__2[[#This Row],[nubis K]],1,0)</f>
        <v>1</v>
      </c>
      <c r="J301">
        <f>IF(pogoda__2[[#This Row],[Wielkosc_chmur]]=pogoda__2[[#This Row],[nubis W]],1,0)</f>
        <v>1</v>
      </c>
      <c r="L301">
        <f>IF(AND(pogoda__2[[#This Row],[Temperatura]]&gt;=20,pogoda__2[[#This Row],[Opad]]&lt;=5),1,0)</f>
        <v>0</v>
      </c>
      <c r="M301">
        <v>6</v>
      </c>
    </row>
    <row r="302" spans="1:13" x14ac:dyDescent="0.3">
      <c r="A302">
        <v>301</v>
      </c>
      <c r="B302">
        <v>20</v>
      </c>
      <c r="C302">
        <v>4</v>
      </c>
      <c r="D302" s="6">
        <v>0</v>
      </c>
      <c r="E302">
        <v>0</v>
      </c>
      <c r="F302" s="6" t="s">
        <v>5</v>
      </c>
      <c r="G302">
        <v>1</v>
      </c>
      <c r="I302">
        <f>IF(pogoda__2[[#This Row],[Kategoria_chmur]]=pogoda__2[[#This Row],[nubis K]],1,0)</f>
        <v>0</v>
      </c>
      <c r="J302">
        <f>IF(pogoda__2[[#This Row],[Wielkosc_chmur]]=pogoda__2[[#This Row],[nubis W]],1,0)</f>
        <v>0</v>
      </c>
      <c r="L302">
        <f>IF(AND(pogoda__2[[#This Row],[Temperatura]]&gt;=20,pogoda__2[[#This Row],[Opad]]&lt;=5),1,0)</f>
        <v>1</v>
      </c>
      <c r="M302">
        <v>7</v>
      </c>
    </row>
    <row r="303" spans="1:13" x14ac:dyDescent="0.3">
      <c r="A303">
        <v>302</v>
      </c>
      <c r="B303">
        <v>18.899999999999999</v>
      </c>
      <c r="C303">
        <v>5</v>
      </c>
      <c r="D303" s="6">
        <v>0</v>
      </c>
      <c r="E303">
        <v>0</v>
      </c>
      <c r="F303" s="6" t="s">
        <v>5</v>
      </c>
      <c r="G303">
        <v>1</v>
      </c>
      <c r="I303">
        <f>IF(pogoda__2[[#This Row],[Kategoria_chmur]]=pogoda__2[[#This Row],[nubis K]],1,0)</f>
        <v>0</v>
      </c>
      <c r="J303">
        <f>IF(pogoda__2[[#This Row],[Wielkosc_chmur]]=pogoda__2[[#This Row],[nubis W]],1,0)</f>
        <v>0</v>
      </c>
      <c r="L303">
        <f>IF(AND(pogoda__2[[#This Row],[Temperatura]]&gt;=20,pogoda__2[[#This Row],[Opad]]&lt;=5),1,0)</f>
        <v>0</v>
      </c>
      <c r="M303">
        <v>0</v>
      </c>
    </row>
    <row r="304" spans="1:13" x14ac:dyDescent="0.3">
      <c r="A304">
        <v>303</v>
      </c>
      <c r="B304">
        <v>17.3</v>
      </c>
      <c r="C304">
        <v>2</v>
      </c>
      <c r="D304" s="6">
        <v>0</v>
      </c>
      <c r="E304">
        <v>0</v>
      </c>
      <c r="F304" s="6" t="s">
        <v>5</v>
      </c>
      <c r="G304">
        <v>2</v>
      </c>
      <c r="I304">
        <f>IF(pogoda__2[[#This Row],[Kategoria_chmur]]=pogoda__2[[#This Row],[nubis K]],1,0)</f>
        <v>0</v>
      </c>
      <c r="J304">
        <f>IF(pogoda__2[[#This Row],[Wielkosc_chmur]]=pogoda__2[[#This Row],[nubis W]],1,0)</f>
        <v>0</v>
      </c>
      <c r="L304">
        <f>IF(AND(pogoda__2[[#This Row],[Temperatura]]&gt;=20,pogoda__2[[#This Row],[Opad]]&lt;=5),1,0)</f>
        <v>0</v>
      </c>
      <c r="M304">
        <v>0</v>
      </c>
    </row>
    <row r="305" spans="1:13" x14ac:dyDescent="0.3">
      <c r="A305">
        <v>304</v>
      </c>
      <c r="B305">
        <v>16</v>
      </c>
      <c r="C305">
        <v>7</v>
      </c>
      <c r="D305" s="6">
        <v>0</v>
      </c>
      <c r="E305">
        <v>0</v>
      </c>
      <c r="F305" s="6" t="s">
        <v>5</v>
      </c>
      <c r="G305">
        <v>2</v>
      </c>
      <c r="I305">
        <f>IF(pogoda__2[[#This Row],[Kategoria_chmur]]=pogoda__2[[#This Row],[nubis K]],1,0)</f>
        <v>0</v>
      </c>
      <c r="J305">
        <f>IF(pogoda__2[[#This Row],[Wielkosc_chmur]]=pogoda__2[[#This Row],[nubis W]],1,0)</f>
        <v>0</v>
      </c>
      <c r="L305">
        <f>IF(AND(pogoda__2[[#This Row],[Temperatura]]&gt;=20,pogoda__2[[#This Row],[Opad]]&lt;=5),1,0)</f>
        <v>0</v>
      </c>
      <c r="M305">
        <v>0</v>
      </c>
    </row>
    <row r="306" spans="1:13" x14ac:dyDescent="0.3">
      <c r="A306">
        <v>305</v>
      </c>
      <c r="B306">
        <v>15.9</v>
      </c>
      <c r="C306">
        <v>4</v>
      </c>
      <c r="D306" s="6">
        <v>0</v>
      </c>
      <c r="E306">
        <v>0</v>
      </c>
      <c r="F306" s="6" t="s">
        <v>5</v>
      </c>
      <c r="G306">
        <v>2</v>
      </c>
      <c r="I306">
        <f>IF(pogoda__2[[#This Row],[Kategoria_chmur]]=pogoda__2[[#This Row],[nubis K]],1,0)</f>
        <v>0</v>
      </c>
      <c r="J306">
        <f>IF(pogoda__2[[#This Row],[Wielkosc_chmur]]=pogoda__2[[#This Row],[nubis W]],1,0)</f>
        <v>0</v>
      </c>
      <c r="L306">
        <f>IF(AND(pogoda__2[[#This Row],[Temperatura]]&gt;=20,pogoda__2[[#This Row],[Opad]]&lt;=5),1,0)</f>
        <v>0</v>
      </c>
      <c r="M306">
        <v>0</v>
      </c>
    </row>
    <row r="307" spans="1:13" x14ac:dyDescent="0.3">
      <c r="A307">
        <v>306</v>
      </c>
      <c r="B307">
        <v>17.3</v>
      </c>
      <c r="C307">
        <v>17</v>
      </c>
      <c r="D307" s="6">
        <v>0</v>
      </c>
      <c r="E307">
        <v>0</v>
      </c>
      <c r="F307" s="6" t="s">
        <v>5</v>
      </c>
      <c r="G307">
        <v>3</v>
      </c>
      <c r="I307">
        <f>IF(pogoda__2[[#This Row],[Kategoria_chmur]]=pogoda__2[[#This Row],[nubis K]],1,0)</f>
        <v>0</v>
      </c>
      <c r="J307">
        <f>IF(pogoda__2[[#This Row],[Wielkosc_chmur]]=pogoda__2[[#This Row],[nubis W]],1,0)</f>
        <v>0</v>
      </c>
      <c r="L307">
        <f>IF(AND(pogoda__2[[#This Row],[Temperatura]]&gt;=20,pogoda__2[[#This Row],[Opad]]&lt;=5),1,0)</f>
        <v>0</v>
      </c>
      <c r="M307">
        <v>1</v>
      </c>
    </row>
    <row r="308" spans="1:13" x14ac:dyDescent="0.3">
      <c r="A308">
        <v>307</v>
      </c>
      <c r="B308">
        <v>20</v>
      </c>
      <c r="C308">
        <v>14</v>
      </c>
      <c r="D308" s="6">
        <v>0</v>
      </c>
      <c r="E308">
        <v>0</v>
      </c>
      <c r="F308" s="6" t="s">
        <v>5</v>
      </c>
      <c r="G308">
        <v>3</v>
      </c>
      <c r="I308">
        <f>IF(pogoda__2[[#This Row],[Kategoria_chmur]]=pogoda__2[[#This Row],[nubis K]],1,0)</f>
        <v>0</v>
      </c>
      <c r="J308">
        <f>IF(pogoda__2[[#This Row],[Wielkosc_chmur]]=pogoda__2[[#This Row],[nubis W]],1,0)</f>
        <v>0</v>
      </c>
      <c r="L308">
        <f>IF(AND(pogoda__2[[#This Row],[Temperatura]]&gt;=20,pogoda__2[[#This Row],[Opad]]&lt;=5),1,0)</f>
        <v>0</v>
      </c>
      <c r="M308">
        <v>2</v>
      </c>
    </row>
    <row r="309" spans="1:13" x14ac:dyDescent="0.3">
      <c r="A309">
        <v>308</v>
      </c>
      <c r="B309">
        <v>23.4</v>
      </c>
      <c r="C309">
        <v>9</v>
      </c>
      <c r="D309" s="6">
        <v>0</v>
      </c>
      <c r="E309">
        <v>0</v>
      </c>
      <c r="F309" s="6" t="s">
        <v>5</v>
      </c>
      <c r="G309">
        <v>3</v>
      </c>
      <c r="I309">
        <f>IF(pogoda__2[[#This Row],[Kategoria_chmur]]=pogoda__2[[#This Row],[nubis K]],1,0)</f>
        <v>0</v>
      </c>
      <c r="J309">
        <f>IF(pogoda__2[[#This Row],[Wielkosc_chmur]]=pogoda__2[[#This Row],[nubis W]],1,0)</f>
        <v>0</v>
      </c>
      <c r="L309">
        <f>IF(AND(pogoda__2[[#This Row],[Temperatura]]&gt;=20,pogoda__2[[#This Row],[Opad]]&lt;=5),1,0)</f>
        <v>0</v>
      </c>
      <c r="M309">
        <v>3</v>
      </c>
    </row>
    <row r="310" spans="1:13" x14ac:dyDescent="0.3">
      <c r="A310">
        <v>309</v>
      </c>
      <c r="B310">
        <v>26.8</v>
      </c>
      <c r="C310">
        <v>6</v>
      </c>
      <c r="D310" s="6">
        <v>0</v>
      </c>
      <c r="E310">
        <v>0</v>
      </c>
      <c r="F310" s="6" t="s">
        <v>5</v>
      </c>
      <c r="G310">
        <v>4</v>
      </c>
      <c r="I310">
        <f>IF(pogoda__2[[#This Row],[Kategoria_chmur]]=pogoda__2[[#This Row],[nubis K]],1,0)</f>
        <v>0</v>
      </c>
      <c r="J310">
        <f>IF(pogoda__2[[#This Row],[Wielkosc_chmur]]=pogoda__2[[#This Row],[nubis W]],1,0)</f>
        <v>0</v>
      </c>
      <c r="L310">
        <f>IF(AND(pogoda__2[[#This Row],[Temperatura]]&gt;=20,pogoda__2[[#This Row],[Opad]]&lt;=5),1,0)</f>
        <v>0</v>
      </c>
      <c r="M310">
        <v>4</v>
      </c>
    </row>
    <row r="311" spans="1:13" x14ac:dyDescent="0.3">
      <c r="A311">
        <v>310</v>
      </c>
      <c r="B311">
        <v>29.1</v>
      </c>
      <c r="C311">
        <v>16</v>
      </c>
      <c r="D311" s="6">
        <v>0</v>
      </c>
      <c r="E311">
        <v>0</v>
      </c>
      <c r="F311" s="6" t="s">
        <v>5</v>
      </c>
      <c r="G311">
        <v>4</v>
      </c>
      <c r="I311">
        <f>IF(pogoda__2[[#This Row],[Kategoria_chmur]]=pogoda__2[[#This Row],[nubis K]],1,0)</f>
        <v>0</v>
      </c>
      <c r="J311">
        <f>IF(pogoda__2[[#This Row],[Wielkosc_chmur]]=pogoda__2[[#This Row],[nubis W]],1,0)</f>
        <v>0</v>
      </c>
      <c r="L311">
        <f>IF(AND(pogoda__2[[#This Row],[Temperatura]]&gt;=20,pogoda__2[[#This Row],[Opad]]&lt;=5),1,0)</f>
        <v>0</v>
      </c>
      <c r="M311">
        <v>5</v>
      </c>
    </row>
    <row r="312" spans="1:13" x14ac:dyDescent="0.3">
      <c r="A312">
        <v>311</v>
      </c>
      <c r="B312">
        <v>29.8</v>
      </c>
      <c r="C312">
        <v>2</v>
      </c>
      <c r="D312" s="6">
        <v>0</v>
      </c>
      <c r="E312">
        <v>0</v>
      </c>
      <c r="F312" s="6" t="s">
        <v>5</v>
      </c>
      <c r="G312">
        <v>4</v>
      </c>
      <c r="I312">
        <f>IF(pogoda__2[[#This Row],[Kategoria_chmur]]=pogoda__2[[#This Row],[nubis K]],1,0)</f>
        <v>0</v>
      </c>
      <c r="J312">
        <f>IF(pogoda__2[[#This Row],[Wielkosc_chmur]]=pogoda__2[[#This Row],[nubis W]],1,0)</f>
        <v>0</v>
      </c>
      <c r="L312">
        <f>IF(AND(pogoda__2[[#This Row],[Temperatura]]&gt;=20,pogoda__2[[#This Row],[Opad]]&lt;=5),1,0)</f>
        <v>1</v>
      </c>
      <c r="M312">
        <v>6</v>
      </c>
    </row>
    <row r="313" spans="1:13" x14ac:dyDescent="0.3">
      <c r="A313">
        <v>312</v>
      </c>
      <c r="B313">
        <v>28.8</v>
      </c>
      <c r="C313">
        <v>25</v>
      </c>
      <c r="D313" s="6">
        <v>0</v>
      </c>
      <c r="E313">
        <v>0</v>
      </c>
      <c r="F313" s="6" t="s">
        <v>5</v>
      </c>
      <c r="G313">
        <v>5</v>
      </c>
      <c r="I313">
        <f>IF(pogoda__2[[#This Row],[Kategoria_chmur]]=pogoda__2[[#This Row],[nubis K]],1,0)</f>
        <v>0</v>
      </c>
      <c r="J313">
        <f>IF(pogoda__2[[#This Row],[Wielkosc_chmur]]=pogoda__2[[#This Row],[nubis W]],1,0)</f>
        <v>0</v>
      </c>
      <c r="L313">
        <f>IF(AND(pogoda__2[[#This Row],[Temperatura]]&gt;=20,pogoda__2[[#This Row],[Opad]]&lt;=5),1,0)</f>
        <v>0</v>
      </c>
      <c r="M313">
        <v>0</v>
      </c>
    </row>
    <row r="314" spans="1:13" x14ac:dyDescent="0.3">
      <c r="A314">
        <v>313</v>
      </c>
      <c r="B314">
        <v>26.4</v>
      </c>
      <c r="C314">
        <v>0</v>
      </c>
      <c r="D314" s="6">
        <v>0</v>
      </c>
      <c r="E314">
        <v>0</v>
      </c>
      <c r="F314" s="6">
        <v>0</v>
      </c>
      <c r="G314">
        <v>0</v>
      </c>
      <c r="I314">
        <f>IF(pogoda__2[[#This Row],[Kategoria_chmur]]=pogoda__2[[#This Row],[nubis K]],1,0)</f>
        <v>1</v>
      </c>
      <c r="J314">
        <f>IF(pogoda__2[[#This Row],[Wielkosc_chmur]]=pogoda__2[[#This Row],[nubis W]],1,0)</f>
        <v>1</v>
      </c>
      <c r="L314">
        <f>IF(AND(pogoda__2[[#This Row],[Temperatura]]&gt;=20,pogoda__2[[#This Row],[Opad]]&lt;=5),1,0)</f>
        <v>1</v>
      </c>
      <c r="M314">
        <v>0</v>
      </c>
    </row>
    <row r="315" spans="1:13" x14ac:dyDescent="0.3">
      <c r="A315">
        <v>314</v>
      </c>
      <c r="B315">
        <v>23.4</v>
      </c>
      <c r="C315">
        <v>3</v>
      </c>
      <c r="D315" s="6">
        <v>0</v>
      </c>
      <c r="E315">
        <v>0</v>
      </c>
      <c r="F315" s="6" t="s">
        <v>5</v>
      </c>
      <c r="G315">
        <v>1</v>
      </c>
      <c r="I315">
        <f>IF(pogoda__2[[#This Row],[Kategoria_chmur]]=pogoda__2[[#This Row],[nubis K]],1,0)</f>
        <v>0</v>
      </c>
      <c r="J315">
        <f>IF(pogoda__2[[#This Row],[Wielkosc_chmur]]=pogoda__2[[#This Row],[nubis W]],1,0)</f>
        <v>0</v>
      </c>
      <c r="L315">
        <f>IF(AND(pogoda__2[[#This Row],[Temperatura]]&gt;=20,pogoda__2[[#This Row],[Opad]]&lt;=5),1,0)</f>
        <v>1</v>
      </c>
      <c r="M315">
        <v>0</v>
      </c>
    </row>
    <row r="316" spans="1:13" x14ac:dyDescent="0.3">
      <c r="A316">
        <v>315</v>
      </c>
      <c r="B316">
        <v>20.7</v>
      </c>
      <c r="C316">
        <v>4</v>
      </c>
      <c r="D316" s="6">
        <v>0</v>
      </c>
      <c r="E316">
        <v>0</v>
      </c>
      <c r="F316" s="6" t="s">
        <v>5</v>
      </c>
      <c r="G316">
        <v>1</v>
      </c>
      <c r="I316">
        <f>IF(pogoda__2[[#This Row],[Kategoria_chmur]]=pogoda__2[[#This Row],[nubis K]],1,0)</f>
        <v>0</v>
      </c>
      <c r="J316">
        <f>IF(pogoda__2[[#This Row],[Wielkosc_chmur]]=pogoda__2[[#This Row],[nubis W]],1,0)</f>
        <v>0</v>
      </c>
      <c r="L316">
        <f>IF(AND(pogoda__2[[#This Row],[Temperatura]]&gt;=20,pogoda__2[[#This Row],[Opad]]&lt;=5),1,0)</f>
        <v>1</v>
      </c>
      <c r="M316">
        <v>0</v>
      </c>
    </row>
    <row r="317" spans="1:13" x14ac:dyDescent="0.3">
      <c r="A317">
        <v>316</v>
      </c>
      <c r="B317">
        <v>19.100000000000001</v>
      </c>
      <c r="C317">
        <v>6</v>
      </c>
      <c r="D317" s="6">
        <v>0</v>
      </c>
      <c r="E317">
        <v>0</v>
      </c>
      <c r="F317" s="6" t="s">
        <v>5</v>
      </c>
      <c r="G317">
        <v>1</v>
      </c>
      <c r="I317">
        <f>IF(pogoda__2[[#This Row],[Kategoria_chmur]]=pogoda__2[[#This Row],[nubis K]],1,0)</f>
        <v>0</v>
      </c>
      <c r="J317">
        <f>IF(pogoda__2[[#This Row],[Wielkosc_chmur]]=pogoda__2[[#This Row],[nubis W]],1,0)</f>
        <v>0</v>
      </c>
      <c r="L317">
        <f>IF(AND(pogoda__2[[#This Row],[Temperatura]]&gt;=20,pogoda__2[[#This Row],[Opad]]&lt;=5),1,0)</f>
        <v>0</v>
      </c>
      <c r="M317">
        <v>0</v>
      </c>
    </row>
    <row r="318" spans="1:13" x14ac:dyDescent="0.3">
      <c r="A318">
        <v>317</v>
      </c>
      <c r="B318">
        <v>18.899999999999999</v>
      </c>
      <c r="C318">
        <v>6</v>
      </c>
      <c r="D318" s="6">
        <v>0</v>
      </c>
      <c r="E318">
        <v>0</v>
      </c>
      <c r="F318" s="6" t="s">
        <v>5</v>
      </c>
      <c r="G318">
        <v>2</v>
      </c>
      <c r="I318">
        <f>IF(pogoda__2[[#This Row],[Kategoria_chmur]]=pogoda__2[[#This Row],[nubis K]],1,0)</f>
        <v>0</v>
      </c>
      <c r="J318">
        <f>IF(pogoda__2[[#This Row],[Wielkosc_chmur]]=pogoda__2[[#This Row],[nubis W]],1,0)</f>
        <v>0</v>
      </c>
      <c r="L318">
        <f>IF(AND(pogoda__2[[#This Row],[Temperatura]]&gt;=20,pogoda__2[[#This Row],[Opad]]&lt;=5),1,0)</f>
        <v>0</v>
      </c>
      <c r="M318">
        <v>0</v>
      </c>
    </row>
    <row r="319" spans="1:13" x14ac:dyDescent="0.3">
      <c r="A319">
        <v>318</v>
      </c>
      <c r="B319">
        <v>20</v>
      </c>
      <c r="C319">
        <v>5</v>
      </c>
      <c r="D319" s="6">
        <v>0</v>
      </c>
      <c r="E319">
        <v>0</v>
      </c>
      <c r="F319" s="6" t="s">
        <v>5</v>
      </c>
      <c r="G319">
        <v>2</v>
      </c>
      <c r="I319">
        <f>IF(pogoda__2[[#This Row],[Kategoria_chmur]]=pogoda__2[[#This Row],[nubis K]],1,0)</f>
        <v>0</v>
      </c>
      <c r="J319">
        <f>IF(pogoda__2[[#This Row],[Wielkosc_chmur]]=pogoda__2[[#This Row],[nubis W]],1,0)</f>
        <v>0</v>
      </c>
      <c r="L319">
        <f>IF(AND(pogoda__2[[#This Row],[Temperatura]]&gt;=20,pogoda__2[[#This Row],[Opad]]&lt;=5),1,0)</f>
        <v>1</v>
      </c>
      <c r="M319">
        <v>1</v>
      </c>
    </row>
    <row r="320" spans="1:13" x14ac:dyDescent="0.3">
      <c r="A320">
        <v>319</v>
      </c>
      <c r="B320">
        <v>21.8</v>
      </c>
      <c r="C320">
        <v>4</v>
      </c>
      <c r="D320" s="6">
        <v>0</v>
      </c>
      <c r="E320">
        <v>0</v>
      </c>
      <c r="F320" s="6" t="s">
        <v>5</v>
      </c>
      <c r="G320">
        <v>2</v>
      </c>
      <c r="I320">
        <f>IF(pogoda__2[[#This Row],[Kategoria_chmur]]=pogoda__2[[#This Row],[nubis K]],1,0)</f>
        <v>0</v>
      </c>
      <c r="J320">
        <f>IF(pogoda__2[[#This Row],[Wielkosc_chmur]]=pogoda__2[[#This Row],[nubis W]],1,0)</f>
        <v>0</v>
      </c>
      <c r="L320">
        <f>IF(AND(pogoda__2[[#This Row],[Temperatura]]&gt;=20,pogoda__2[[#This Row],[Opad]]&lt;=5),1,0)</f>
        <v>1</v>
      </c>
      <c r="M320">
        <v>2</v>
      </c>
    </row>
    <row r="321" spans="1:13" x14ac:dyDescent="0.3">
      <c r="A321">
        <v>320</v>
      </c>
      <c r="B321">
        <v>23.6</v>
      </c>
      <c r="C321">
        <v>7</v>
      </c>
      <c r="D321" s="6">
        <v>0</v>
      </c>
      <c r="E321">
        <v>0</v>
      </c>
      <c r="F321" s="6" t="s">
        <v>5</v>
      </c>
      <c r="G321">
        <v>3</v>
      </c>
      <c r="I321">
        <f>IF(pogoda__2[[#This Row],[Kategoria_chmur]]=pogoda__2[[#This Row],[nubis K]],1,0)</f>
        <v>0</v>
      </c>
      <c r="J321">
        <f>IF(pogoda__2[[#This Row],[Wielkosc_chmur]]=pogoda__2[[#This Row],[nubis W]],1,0)</f>
        <v>0</v>
      </c>
      <c r="L321">
        <f>IF(AND(pogoda__2[[#This Row],[Temperatura]]&gt;=20,pogoda__2[[#This Row],[Opad]]&lt;=5),1,0)</f>
        <v>0</v>
      </c>
      <c r="M321">
        <v>3</v>
      </c>
    </row>
    <row r="322" spans="1:13" x14ac:dyDescent="0.3">
      <c r="A322">
        <v>321</v>
      </c>
      <c r="B322">
        <v>24.4</v>
      </c>
      <c r="C322">
        <v>12</v>
      </c>
      <c r="D322" s="6">
        <v>0</v>
      </c>
      <c r="E322">
        <v>0</v>
      </c>
      <c r="F322" s="6" t="s">
        <v>5</v>
      </c>
      <c r="G322">
        <v>3</v>
      </c>
      <c r="I322">
        <f>IF(pogoda__2[[#This Row],[Kategoria_chmur]]=pogoda__2[[#This Row],[nubis K]],1,0)</f>
        <v>0</v>
      </c>
      <c r="J322">
        <f>IF(pogoda__2[[#This Row],[Wielkosc_chmur]]=pogoda__2[[#This Row],[nubis W]],1,0)</f>
        <v>0</v>
      </c>
      <c r="L322">
        <f>IF(AND(pogoda__2[[#This Row],[Temperatura]]&gt;=20,pogoda__2[[#This Row],[Opad]]&lt;=5),1,0)</f>
        <v>0</v>
      </c>
      <c r="M322">
        <v>4</v>
      </c>
    </row>
    <row r="323" spans="1:13" x14ac:dyDescent="0.3">
      <c r="A323">
        <v>322</v>
      </c>
      <c r="B323">
        <v>23.6</v>
      </c>
      <c r="C323">
        <v>5</v>
      </c>
      <c r="D323" s="6">
        <v>0</v>
      </c>
      <c r="E323">
        <v>0</v>
      </c>
      <c r="F323" s="6" t="s">
        <v>5</v>
      </c>
      <c r="G323">
        <v>3</v>
      </c>
      <c r="I323">
        <f>IF(pogoda__2[[#This Row],[Kategoria_chmur]]=pogoda__2[[#This Row],[nubis K]],1,0)</f>
        <v>0</v>
      </c>
      <c r="J323">
        <f>IF(pogoda__2[[#This Row],[Wielkosc_chmur]]=pogoda__2[[#This Row],[nubis W]],1,0)</f>
        <v>0</v>
      </c>
      <c r="L323">
        <f>IF(AND(pogoda__2[[#This Row],[Temperatura]]&gt;=20,pogoda__2[[#This Row],[Opad]]&lt;=5),1,0)</f>
        <v>1</v>
      </c>
      <c r="M323">
        <v>0</v>
      </c>
    </row>
    <row r="324" spans="1:13" x14ac:dyDescent="0.3">
      <c r="A324">
        <v>323</v>
      </c>
      <c r="B324">
        <v>21.3</v>
      </c>
      <c r="C324">
        <v>3</v>
      </c>
      <c r="D324" s="6">
        <v>0</v>
      </c>
      <c r="E324">
        <v>0</v>
      </c>
      <c r="F324" s="6" t="s">
        <v>5</v>
      </c>
      <c r="G324">
        <v>4</v>
      </c>
      <c r="I324">
        <f>IF(pogoda__2[[#This Row],[Kategoria_chmur]]=pogoda__2[[#This Row],[nubis K]],1,0)</f>
        <v>0</v>
      </c>
      <c r="J324">
        <f>IF(pogoda__2[[#This Row],[Wielkosc_chmur]]=pogoda__2[[#This Row],[nubis W]],1,0)</f>
        <v>0</v>
      </c>
      <c r="L324">
        <f>IF(AND(pogoda__2[[#This Row],[Temperatura]]&gt;=20,pogoda__2[[#This Row],[Opad]]&lt;=5),1,0)</f>
        <v>1</v>
      </c>
      <c r="M324">
        <v>0</v>
      </c>
    </row>
    <row r="325" spans="1:13" x14ac:dyDescent="0.3">
      <c r="A325">
        <v>324</v>
      </c>
      <c r="B325">
        <v>17.7</v>
      </c>
      <c r="C325">
        <v>21</v>
      </c>
      <c r="D325" s="6">
        <v>0</v>
      </c>
      <c r="E325">
        <v>0</v>
      </c>
      <c r="F325" s="6" t="s">
        <v>5</v>
      </c>
      <c r="G325">
        <v>4</v>
      </c>
      <c r="I325">
        <f>IF(pogoda__2[[#This Row],[Kategoria_chmur]]=pogoda__2[[#This Row],[nubis K]],1,0)</f>
        <v>0</v>
      </c>
      <c r="J325">
        <f>IF(pogoda__2[[#This Row],[Wielkosc_chmur]]=pogoda__2[[#This Row],[nubis W]],1,0)</f>
        <v>0</v>
      </c>
      <c r="L325">
        <f>IF(AND(pogoda__2[[#This Row],[Temperatura]]&gt;=20,pogoda__2[[#This Row],[Opad]]&lt;=5),1,0)</f>
        <v>0</v>
      </c>
      <c r="M325">
        <v>0</v>
      </c>
    </row>
    <row r="326" spans="1:13" x14ac:dyDescent="0.3">
      <c r="A326">
        <v>325</v>
      </c>
      <c r="B326">
        <v>13.6</v>
      </c>
      <c r="C326">
        <v>18</v>
      </c>
      <c r="D326" s="6">
        <v>0</v>
      </c>
      <c r="E326">
        <v>0</v>
      </c>
      <c r="F326" s="6" t="s">
        <v>5</v>
      </c>
      <c r="G326">
        <v>4</v>
      </c>
      <c r="I326">
        <f>IF(pogoda__2[[#This Row],[Kategoria_chmur]]=pogoda__2[[#This Row],[nubis K]],1,0)</f>
        <v>0</v>
      </c>
      <c r="J326">
        <f>IF(pogoda__2[[#This Row],[Wielkosc_chmur]]=pogoda__2[[#This Row],[nubis W]],1,0)</f>
        <v>0</v>
      </c>
      <c r="L326">
        <f>IF(AND(pogoda__2[[#This Row],[Temperatura]]&gt;=20,pogoda__2[[#This Row],[Opad]]&lt;=5),1,0)</f>
        <v>0</v>
      </c>
      <c r="M326">
        <v>0</v>
      </c>
    </row>
    <row r="327" spans="1:13" x14ac:dyDescent="0.3">
      <c r="A327">
        <v>326</v>
      </c>
      <c r="B327">
        <v>10</v>
      </c>
      <c r="C327">
        <v>13</v>
      </c>
      <c r="D327" s="6">
        <v>0</v>
      </c>
      <c r="E327">
        <v>0</v>
      </c>
      <c r="F327" s="6" t="s">
        <v>5</v>
      </c>
      <c r="G327">
        <v>5</v>
      </c>
      <c r="I327">
        <f>IF(pogoda__2[[#This Row],[Kategoria_chmur]]=pogoda__2[[#This Row],[nubis K]],1,0)</f>
        <v>0</v>
      </c>
      <c r="J327">
        <f>IF(pogoda__2[[#This Row],[Wielkosc_chmur]]=pogoda__2[[#This Row],[nubis W]],1,0)</f>
        <v>0</v>
      </c>
      <c r="L327">
        <f>IF(AND(pogoda__2[[#This Row],[Temperatura]]&gt;=20,pogoda__2[[#This Row],[Opad]]&lt;=5),1,0)</f>
        <v>0</v>
      </c>
      <c r="M327">
        <v>0</v>
      </c>
    </row>
    <row r="328" spans="1:13" x14ac:dyDescent="0.3">
      <c r="A328">
        <v>327</v>
      </c>
      <c r="B328">
        <v>7.6</v>
      </c>
      <c r="C328">
        <v>28</v>
      </c>
      <c r="D328" s="6">
        <v>0</v>
      </c>
      <c r="E328">
        <v>0</v>
      </c>
      <c r="F328" s="6" t="s">
        <v>5</v>
      </c>
      <c r="G328">
        <v>5</v>
      </c>
      <c r="I328">
        <f>IF(pogoda__2[[#This Row],[Kategoria_chmur]]=pogoda__2[[#This Row],[nubis K]],1,0)</f>
        <v>0</v>
      </c>
      <c r="J328">
        <f>IF(pogoda__2[[#This Row],[Wielkosc_chmur]]=pogoda__2[[#This Row],[nubis W]],1,0)</f>
        <v>0</v>
      </c>
      <c r="L328">
        <f>IF(AND(pogoda__2[[#This Row],[Temperatura]]&gt;=20,pogoda__2[[#This Row],[Opad]]&lt;=5),1,0)</f>
        <v>0</v>
      </c>
      <c r="M328">
        <v>0</v>
      </c>
    </row>
    <row r="329" spans="1:13" x14ac:dyDescent="0.3">
      <c r="A329">
        <v>328</v>
      </c>
      <c r="B329">
        <v>6.8</v>
      </c>
      <c r="C329">
        <v>0</v>
      </c>
      <c r="D329" s="6">
        <v>0</v>
      </c>
      <c r="E329">
        <v>0</v>
      </c>
      <c r="F329" s="6">
        <v>0</v>
      </c>
      <c r="G329">
        <v>0</v>
      </c>
      <c r="I329">
        <f>IF(pogoda__2[[#This Row],[Kategoria_chmur]]=pogoda__2[[#This Row],[nubis K]],1,0)</f>
        <v>1</v>
      </c>
      <c r="J329">
        <f>IF(pogoda__2[[#This Row],[Wielkosc_chmur]]=pogoda__2[[#This Row],[nubis W]],1,0)</f>
        <v>1</v>
      </c>
      <c r="L329">
        <f>IF(AND(pogoda__2[[#This Row],[Temperatura]]&gt;=20,pogoda__2[[#This Row],[Opad]]&lt;=5),1,0)</f>
        <v>0</v>
      </c>
      <c r="M329">
        <v>0</v>
      </c>
    </row>
    <row r="330" spans="1:13" x14ac:dyDescent="0.3">
      <c r="A330">
        <v>329</v>
      </c>
      <c r="B330">
        <v>7.5</v>
      </c>
      <c r="C330">
        <v>2</v>
      </c>
      <c r="D330" s="6">
        <v>0</v>
      </c>
      <c r="E330">
        <v>0</v>
      </c>
      <c r="F330" s="6" t="s">
        <v>6</v>
      </c>
      <c r="G330">
        <v>1</v>
      </c>
      <c r="I330">
        <f>IF(pogoda__2[[#This Row],[Kategoria_chmur]]=pogoda__2[[#This Row],[nubis K]],1,0)</f>
        <v>0</v>
      </c>
      <c r="J330">
        <f>IF(pogoda__2[[#This Row],[Wielkosc_chmur]]=pogoda__2[[#This Row],[nubis W]],1,0)</f>
        <v>0</v>
      </c>
      <c r="L330">
        <f>IF(AND(pogoda__2[[#This Row],[Temperatura]]&gt;=20,pogoda__2[[#This Row],[Opad]]&lt;=5),1,0)</f>
        <v>0</v>
      </c>
      <c r="M330">
        <v>1</v>
      </c>
    </row>
    <row r="331" spans="1:13" x14ac:dyDescent="0.3">
      <c r="A331">
        <v>330</v>
      </c>
      <c r="B331">
        <v>9.1</v>
      </c>
      <c r="C331">
        <v>2</v>
      </c>
      <c r="D331" s="6">
        <v>0</v>
      </c>
      <c r="E331">
        <v>0</v>
      </c>
      <c r="F331" s="6" t="s">
        <v>6</v>
      </c>
      <c r="G331">
        <v>1</v>
      </c>
      <c r="I331">
        <f>IF(pogoda__2[[#This Row],[Kategoria_chmur]]=pogoda__2[[#This Row],[nubis K]],1,0)</f>
        <v>0</v>
      </c>
      <c r="J331">
        <f>IF(pogoda__2[[#This Row],[Wielkosc_chmur]]=pogoda__2[[#This Row],[nubis W]],1,0)</f>
        <v>0</v>
      </c>
      <c r="L331">
        <f>IF(AND(pogoda__2[[#This Row],[Temperatura]]&gt;=20,pogoda__2[[#This Row],[Opad]]&lt;=5),1,0)</f>
        <v>0</v>
      </c>
      <c r="M331">
        <v>2</v>
      </c>
    </row>
    <row r="332" spans="1:13" x14ac:dyDescent="0.3">
      <c r="A332">
        <v>331</v>
      </c>
      <c r="B332">
        <v>10.9</v>
      </c>
      <c r="C332">
        <v>6</v>
      </c>
      <c r="D332" s="6">
        <v>0</v>
      </c>
      <c r="E332">
        <v>0</v>
      </c>
      <c r="F332" s="6" t="s">
        <v>6</v>
      </c>
      <c r="G332">
        <v>1</v>
      </c>
      <c r="I332">
        <f>IF(pogoda__2[[#This Row],[Kategoria_chmur]]=pogoda__2[[#This Row],[nubis K]],1,0)</f>
        <v>0</v>
      </c>
      <c r="J332">
        <f>IF(pogoda__2[[#This Row],[Wielkosc_chmur]]=pogoda__2[[#This Row],[nubis W]],1,0)</f>
        <v>0</v>
      </c>
      <c r="L332">
        <f>IF(AND(pogoda__2[[#This Row],[Temperatura]]&gt;=20,pogoda__2[[#This Row],[Opad]]&lt;=5),1,0)</f>
        <v>0</v>
      </c>
      <c r="M332">
        <v>3</v>
      </c>
    </row>
    <row r="333" spans="1:13" x14ac:dyDescent="0.3">
      <c r="A333">
        <v>332</v>
      </c>
      <c r="B333">
        <v>11.8</v>
      </c>
      <c r="C333">
        <v>11</v>
      </c>
      <c r="D333" s="6">
        <v>0</v>
      </c>
      <c r="E333">
        <v>0</v>
      </c>
      <c r="F333" s="6" t="s">
        <v>6</v>
      </c>
      <c r="G333">
        <v>2</v>
      </c>
      <c r="I333">
        <f>IF(pogoda__2[[#This Row],[Kategoria_chmur]]=pogoda__2[[#This Row],[nubis K]],1,0)</f>
        <v>0</v>
      </c>
      <c r="J333">
        <f>IF(pogoda__2[[#This Row],[Wielkosc_chmur]]=pogoda__2[[#This Row],[nubis W]],1,0)</f>
        <v>0</v>
      </c>
      <c r="L333">
        <f>IF(AND(pogoda__2[[#This Row],[Temperatura]]&gt;=20,pogoda__2[[#This Row],[Opad]]&lt;=5),1,0)</f>
        <v>0</v>
      </c>
      <c r="M333">
        <v>4</v>
      </c>
    </row>
    <row r="334" spans="1:13" x14ac:dyDescent="0.3">
      <c r="A334">
        <v>333</v>
      </c>
      <c r="B334">
        <v>11.5</v>
      </c>
      <c r="C334">
        <v>9</v>
      </c>
      <c r="D334" s="6">
        <v>0</v>
      </c>
      <c r="E334">
        <v>0</v>
      </c>
      <c r="F334" s="6" t="s">
        <v>6</v>
      </c>
      <c r="G334">
        <v>2</v>
      </c>
      <c r="I334">
        <f>IF(pogoda__2[[#This Row],[Kategoria_chmur]]=pogoda__2[[#This Row],[nubis K]],1,0)</f>
        <v>0</v>
      </c>
      <c r="J334">
        <f>IF(pogoda__2[[#This Row],[Wielkosc_chmur]]=pogoda__2[[#This Row],[nubis W]],1,0)</f>
        <v>0</v>
      </c>
      <c r="L334">
        <f>IF(AND(pogoda__2[[#This Row],[Temperatura]]&gt;=20,pogoda__2[[#This Row],[Opad]]&lt;=5),1,0)</f>
        <v>0</v>
      </c>
      <c r="M334">
        <v>0</v>
      </c>
    </row>
    <row r="335" spans="1:13" x14ac:dyDescent="0.3">
      <c r="A335">
        <v>334</v>
      </c>
      <c r="B335">
        <v>9.6999999999999993</v>
      </c>
      <c r="C335">
        <v>7</v>
      </c>
      <c r="D335" s="6">
        <v>0</v>
      </c>
      <c r="E335">
        <v>0</v>
      </c>
      <c r="F335" s="6" t="s">
        <v>6</v>
      </c>
      <c r="G335">
        <v>2</v>
      </c>
      <c r="I335">
        <f>IF(pogoda__2[[#This Row],[Kategoria_chmur]]=pogoda__2[[#This Row],[nubis K]],1,0)</f>
        <v>0</v>
      </c>
      <c r="J335">
        <f>IF(pogoda__2[[#This Row],[Wielkosc_chmur]]=pogoda__2[[#This Row],[nubis W]],1,0)</f>
        <v>0</v>
      </c>
      <c r="L335">
        <f>IF(AND(pogoda__2[[#This Row],[Temperatura]]&gt;=20,pogoda__2[[#This Row],[Opad]]&lt;=5),1,0)</f>
        <v>0</v>
      </c>
      <c r="M335">
        <v>0</v>
      </c>
    </row>
    <row r="336" spans="1:13" x14ac:dyDescent="0.3">
      <c r="A336">
        <v>335</v>
      </c>
      <c r="B336">
        <v>6.9</v>
      </c>
      <c r="C336">
        <v>17</v>
      </c>
      <c r="D336" s="6">
        <v>0</v>
      </c>
      <c r="E336">
        <v>0</v>
      </c>
      <c r="F336" s="6" t="s">
        <v>6</v>
      </c>
      <c r="G336">
        <v>3</v>
      </c>
      <c r="I336">
        <f>IF(pogoda__2[[#This Row],[Kategoria_chmur]]=pogoda__2[[#This Row],[nubis K]],1,0)</f>
        <v>0</v>
      </c>
      <c r="J336">
        <f>IF(pogoda__2[[#This Row],[Wielkosc_chmur]]=pogoda__2[[#This Row],[nubis W]],1,0)</f>
        <v>0</v>
      </c>
      <c r="L336">
        <f>IF(AND(pogoda__2[[#This Row],[Temperatura]]&gt;=20,pogoda__2[[#This Row],[Opad]]&lt;=5),1,0)</f>
        <v>0</v>
      </c>
      <c r="M336">
        <v>0</v>
      </c>
    </row>
    <row r="337" spans="1:13" x14ac:dyDescent="0.3">
      <c r="A337">
        <v>336</v>
      </c>
      <c r="B337">
        <v>3.8</v>
      </c>
      <c r="C337">
        <v>1</v>
      </c>
      <c r="D337" s="6">
        <v>0</v>
      </c>
      <c r="E337">
        <v>0</v>
      </c>
      <c r="F337" s="6" t="s">
        <v>6</v>
      </c>
      <c r="G337">
        <v>3</v>
      </c>
      <c r="I337">
        <f>IF(pogoda__2[[#This Row],[Kategoria_chmur]]=pogoda__2[[#This Row],[nubis K]],1,0)</f>
        <v>0</v>
      </c>
      <c r="J337">
        <f>IF(pogoda__2[[#This Row],[Wielkosc_chmur]]=pogoda__2[[#This Row],[nubis W]],1,0)</f>
        <v>0</v>
      </c>
      <c r="L337">
        <f>IF(AND(pogoda__2[[#This Row],[Temperatura]]&gt;=20,pogoda__2[[#This Row],[Opad]]&lt;=5),1,0)</f>
        <v>0</v>
      </c>
      <c r="M337">
        <v>0</v>
      </c>
    </row>
    <row r="338" spans="1:13" x14ac:dyDescent="0.3">
      <c r="A338">
        <v>337</v>
      </c>
      <c r="B338">
        <v>1.2</v>
      </c>
      <c r="C338">
        <v>2</v>
      </c>
      <c r="D338" s="6">
        <v>0</v>
      </c>
      <c r="E338">
        <v>0</v>
      </c>
      <c r="F338" s="6" t="s">
        <v>6</v>
      </c>
      <c r="G338">
        <v>3</v>
      </c>
      <c r="I338">
        <f>IF(pogoda__2[[#This Row],[Kategoria_chmur]]=pogoda__2[[#This Row],[nubis K]],1,0)</f>
        <v>0</v>
      </c>
      <c r="J338">
        <f>IF(pogoda__2[[#This Row],[Wielkosc_chmur]]=pogoda__2[[#This Row],[nubis W]],1,0)</f>
        <v>0</v>
      </c>
      <c r="L338">
        <f>IF(AND(pogoda__2[[#This Row],[Temperatura]]&gt;=20,pogoda__2[[#This Row],[Opad]]&lt;=5),1,0)</f>
        <v>0</v>
      </c>
      <c r="M338">
        <v>0</v>
      </c>
    </row>
    <row r="339" spans="1:13" x14ac:dyDescent="0.3">
      <c r="A339">
        <v>338</v>
      </c>
      <c r="B339">
        <v>0.1</v>
      </c>
      <c r="C339">
        <v>15</v>
      </c>
      <c r="D339" s="6">
        <v>0</v>
      </c>
      <c r="E339">
        <v>0</v>
      </c>
      <c r="F339" s="6" t="s">
        <v>6</v>
      </c>
      <c r="G339">
        <v>4</v>
      </c>
      <c r="I339">
        <f>IF(pogoda__2[[#This Row],[Kategoria_chmur]]=pogoda__2[[#This Row],[nubis K]],1,0)</f>
        <v>0</v>
      </c>
      <c r="J339">
        <f>IF(pogoda__2[[#This Row],[Wielkosc_chmur]]=pogoda__2[[#This Row],[nubis W]],1,0)</f>
        <v>0</v>
      </c>
      <c r="L339">
        <f>IF(AND(pogoda__2[[#This Row],[Temperatura]]&gt;=20,pogoda__2[[#This Row],[Opad]]&lt;=5),1,0)</f>
        <v>0</v>
      </c>
      <c r="M339">
        <v>0</v>
      </c>
    </row>
    <row r="340" spans="1:13" x14ac:dyDescent="0.3">
      <c r="A340">
        <v>339</v>
      </c>
      <c r="B340">
        <v>0.6</v>
      </c>
      <c r="C340">
        <v>21</v>
      </c>
      <c r="D340" s="6">
        <v>0</v>
      </c>
      <c r="E340">
        <v>0</v>
      </c>
      <c r="F340" s="6" t="s">
        <v>6</v>
      </c>
      <c r="G340">
        <v>4</v>
      </c>
      <c r="I340">
        <f>IF(pogoda__2[[#This Row],[Kategoria_chmur]]=pogoda__2[[#This Row],[nubis K]],1,0)</f>
        <v>0</v>
      </c>
      <c r="J340">
        <f>IF(pogoda__2[[#This Row],[Wielkosc_chmur]]=pogoda__2[[#This Row],[nubis W]],1,0)</f>
        <v>0</v>
      </c>
      <c r="L340">
        <f>IF(AND(pogoda__2[[#This Row],[Temperatura]]&gt;=20,pogoda__2[[#This Row],[Opad]]&lt;=5),1,0)</f>
        <v>0</v>
      </c>
      <c r="M340">
        <v>1</v>
      </c>
    </row>
    <row r="341" spans="1:13" x14ac:dyDescent="0.3">
      <c r="A341">
        <v>340</v>
      </c>
      <c r="B341">
        <v>2.8</v>
      </c>
      <c r="C341">
        <v>8</v>
      </c>
      <c r="D341" s="6">
        <v>0</v>
      </c>
      <c r="E341">
        <v>0</v>
      </c>
      <c r="F341" s="6" t="s">
        <v>6</v>
      </c>
      <c r="G341">
        <v>4</v>
      </c>
      <c r="I341">
        <f>IF(pogoda__2[[#This Row],[Kategoria_chmur]]=pogoda__2[[#This Row],[nubis K]],1,0)</f>
        <v>0</v>
      </c>
      <c r="J341">
        <f>IF(pogoda__2[[#This Row],[Wielkosc_chmur]]=pogoda__2[[#This Row],[nubis W]],1,0)</f>
        <v>0</v>
      </c>
      <c r="L341">
        <f>IF(AND(pogoda__2[[#This Row],[Temperatura]]&gt;=20,pogoda__2[[#This Row],[Opad]]&lt;=5),1,0)</f>
        <v>0</v>
      </c>
      <c r="M341">
        <v>2</v>
      </c>
    </row>
    <row r="342" spans="1:13" x14ac:dyDescent="0.3">
      <c r="A342">
        <v>341</v>
      </c>
      <c r="B342">
        <v>6</v>
      </c>
      <c r="C342">
        <v>27</v>
      </c>
      <c r="D342" s="6">
        <v>0</v>
      </c>
      <c r="E342">
        <v>0</v>
      </c>
      <c r="F342" s="6" t="s">
        <v>6</v>
      </c>
      <c r="G342">
        <v>5</v>
      </c>
      <c r="I342">
        <f>IF(pogoda__2[[#This Row],[Kategoria_chmur]]=pogoda__2[[#This Row],[nubis K]],1,0)</f>
        <v>0</v>
      </c>
      <c r="J342">
        <f>IF(pogoda__2[[#This Row],[Wielkosc_chmur]]=pogoda__2[[#This Row],[nubis W]],1,0)</f>
        <v>0</v>
      </c>
      <c r="L342">
        <f>IF(AND(pogoda__2[[#This Row],[Temperatura]]&gt;=20,pogoda__2[[#This Row],[Opad]]&lt;=5),1,0)</f>
        <v>0</v>
      </c>
      <c r="M342">
        <v>3</v>
      </c>
    </row>
    <row r="343" spans="1:13" x14ac:dyDescent="0.3">
      <c r="A343">
        <v>342</v>
      </c>
      <c r="B343">
        <v>9.3000000000000007</v>
      </c>
      <c r="C343">
        <v>0</v>
      </c>
      <c r="D343" s="6">
        <v>0</v>
      </c>
      <c r="E343">
        <v>0</v>
      </c>
      <c r="F343" s="6">
        <v>0</v>
      </c>
      <c r="G343">
        <v>0</v>
      </c>
      <c r="I343">
        <f>IF(pogoda__2[[#This Row],[Kategoria_chmur]]=pogoda__2[[#This Row],[nubis K]],1,0)</f>
        <v>1</v>
      </c>
      <c r="J343">
        <f>IF(pogoda__2[[#This Row],[Wielkosc_chmur]]=pogoda__2[[#This Row],[nubis W]],1,0)</f>
        <v>1</v>
      </c>
      <c r="L343">
        <f>IF(AND(pogoda__2[[#This Row],[Temperatura]]&gt;=20,pogoda__2[[#This Row],[Opad]]&lt;=5),1,0)</f>
        <v>0</v>
      </c>
      <c r="M343">
        <v>4</v>
      </c>
    </row>
    <row r="344" spans="1:13" x14ac:dyDescent="0.3">
      <c r="A344">
        <v>343</v>
      </c>
      <c r="B344">
        <v>11.8</v>
      </c>
      <c r="C344">
        <v>1</v>
      </c>
      <c r="D344" s="6">
        <v>0</v>
      </c>
      <c r="E344">
        <v>0</v>
      </c>
      <c r="F344" s="6" t="s">
        <v>5</v>
      </c>
      <c r="G344">
        <v>1</v>
      </c>
      <c r="I344">
        <f>IF(pogoda__2[[#This Row],[Kategoria_chmur]]=pogoda__2[[#This Row],[nubis K]],1,0)</f>
        <v>0</v>
      </c>
      <c r="J344">
        <f>IF(pogoda__2[[#This Row],[Wielkosc_chmur]]=pogoda__2[[#This Row],[nubis W]],1,0)</f>
        <v>0</v>
      </c>
      <c r="L344">
        <f>IF(AND(pogoda__2[[#This Row],[Temperatura]]&gt;=20,pogoda__2[[#This Row],[Opad]]&lt;=5),1,0)</f>
        <v>0</v>
      </c>
      <c r="M344">
        <v>5</v>
      </c>
    </row>
    <row r="345" spans="1:13" x14ac:dyDescent="0.3">
      <c r="A345">
        <v>344</v>
      </c>
      <c r="B345">
        <v>13.1</v>
      </c>
      <c r="C345">
        <v>4</v>
      </c>
      <c r="D345" s="6">
        <v>0</v>
      </c>
      <c r="E345">
        <v>0</v>
      </c>
      <c r="F345" s="6" t="s">
        <v>5</v>
      </c>
      <c r="G345">
        <v>1</v>
      </c>
      <c r="I345">
        <f>IF(pogoda__2[[#This Row],[Kategoria_chmur]]=pogoda__2[[#This Row],[nubis K]],1,0)</f>
        <v>0</v>
      </c>
      <c r="J345">
        <f>IF(pogoda__2[[#This Row],[Wielkosc_chmur]]=pogoda__2[[#This Row],[nubis W]],1,0)</f>
        <v>0</v>
      </c>
      <c r="L345">
        <f>IF(AND(pogoda__2[[#This Row],[Temperatura]]&gt;=20,pogoda__2[[#This Row],[Opad]]&lt;=5),1,0)</f>
        <v>0</v>
      </c>
      <c r="M345">
        <v>6</v>
      </c>
    </row>
    <row r="346" spans="1:13" x14ac:dyDescent="0.3">
      <c r="A346">
        <v>345</v>
      </c>
      <c r="B346">
        <v>12.9</v>
      </c>
      <c r="C346">
        <v>1</v>
      </c>
      <c r="D346" s="6">
        <v>0</v>
      </c>
      <c r="E346">
        <v>0</v>
      </c>
      <c r="F346" s="6" t="s">
        <v>5</v>
      </c>
      <c r="G346">
        <v>1</v>
      </c>
      <c r="I346">
        <f>IF(pogoda__2[[#This Row],[Kategoria_chmur]]=pogoda__2[[#This Row],[nubis K]],1,0)</f>
        <v>0</v>
      </c>
      <c r="J346">
        <f>IF(pogoda__2[[#This Row],[Wielkosc_chmur]]=pogoda__2[[#This Row],[nubis W]],1,0)</f>
        <v>0</v>
      </c>
      <c r="L346">
        <f>IF(AND(pogoda__2[[#This Row],[Temperatura]]&gt;=20,pogoda__2[[#This Row],[Opad]]&lt;=5),1,0)</f>
        <v>0</v>
      </c>
      <c r="M346">
        <v>0</v>
      </c>
    </row>
    <row r="347" spans="1:13" x14ac:dyDescent="0.3">
      <c r="A347">
        <v>346</v>
      </c>
      <c r="B347">
        <v>11.6</v>
      </c>
      <c r="C347">
        <v>2</v>
      </c>
      <c r="D347" s="6">
        <v>0</v>
      </c>
      <c r="E347">
        <v>0</v>
      </c>
      <c r="F347" s="6" t="s">
        <v>5</v>
      </c>
      <c r="G347">
        <v>2</v>
      </c>
      <c r="I347">
        <f>IF(pogoda__2[[#This Row],[Kategoria_chmur]]=pogoda__2[[#This Row],[nubis K]],1,0)</f>
        <v>0</v>
      </c>
      <c r="J347">
        <f>IF(pogoda__2[[#This Row],[Wielkosc_chmur]]=pogoda__2[[#This Row],[nubis W]],1,0)</f>
        <v>0</v>
      </c>
      <c r="L347">
        <f>IF(AND(pogoda__2[[#This Row],[Temperatura]]&gt;=20,pogoda__2[[#This Row],[Opad]]&lt;=5),1,0)</f>
        <v>0</v>
      </c>
      <c r="M347">
        <v>0</v>
      </c>
    </row>
    <row r="348" spans="1:13" x14ac:dyDescent="0.3">
      <c r="A348">
        <v>347</v>
      </c>
      <c r="B348">
        <v>9.9</v>
      </c>
      <c r="C348">
        <v>3</v>
      </c>
      <c r="D348" s="6">
        <v>0</v>
      </c>
      <c r="E348">
        <v>0</v>
      </c>
      <c r="F348" s="6" t="s">
        <v>5</v>
      </c>
      <c r="G348">
        <v>2</v>
      </c>
      <c r="I348">
        <f>IF(pogoda__2[[#This Row],[Kategoria_chmur]]=pogoda__2[[#This Row],[nubis K]],1,0)</f>
        <v>0</v>
      </c>
      <c r="J348">
        <f>IF(pogoda__2[[#This Row],[Wielkosc_chmur]]=pogoda__2[[#This Row],[nubis W]],1,0)</f>
        <v>0</v>
      </c>
      <c r="L348">
        <f>IF(AND(pogoda__2[[#This Row],[Temperatura]]&gt;=20,pogoda__2[[#This Row],[Opad]]&lt;=5),1,0)</f>
        <v>0</v>
      </c>
      <c r="M348">
        <v>0</v>
      </c>
    </row>
    <row r="349" spans="1:13" x14ac:dyDescent="0.3">
      <c r="A349">
        <v>348</v>
      </c>
      <c r="B349">
        <v>8.6999999999999993</v>
      </c>
      <c r="C349">
        <v>8</v>
      </c>
      <c r="D349" s="6">
        <v>0</v>
      </c>
      <c r="E349">
        <v>0</v>
      </c>
      <c r="F349" s="6" t="s">
        <v>5</v>
      </c>
      <c r="G349">
        <v>2</v>
      </c>
      <c r="I349">
        <f>IF(pogoda__2[[#This Row],[Kategoria_chmur]]=pogoda__2[[#This Row],[nubis K]],1,0)</f>
        <v>0</v>
      </c>
      <c r="J349">
        <f>IF(pogoda__2[[#This Row],[Wielkosc_chmur]]=pogoda__2[[#This Row],[nubis W]],1,0)</f>
        <v>0</v>
      </c>
      <c r="L349">
        <f>IF(AND(pogoda__2[[#This Row],[Temperatura]]&gt;=20,pogoda__2[[#This Row],[Opad]]&lt;=5),1,0)</f>
        <v>0</v>
      </c>
      <c r="M349">
        <v>0</v>
      </c>
    </row>
    <row r="350" spans="1:13" x14ac:dyDescent="0.3">
      <c r="A350">
        <v>349</v>
      </c>
      <c r="B350">
        <v>8.8000000000000007</v>
      </c>
      <c r="C350">
        <v>18</v>
      </c>
      <c r="D350" s="6">
        <v>0</v>
      </c>
      <c r="E350">
        <v>0</v>
      </c>
      <c r="F350" s="6" t="s">
        <v>5</v>
      </c>
      <c r="G350">
        <v>3</v>
      </c>
      <c r="I350">
        <f>IF(pogoda__2[[#This Row],[Kategoria_chmur]]=pogoda__2[[#This Row],[nubis K]],1,0)</f>
        <v>0</v>
      </c>
      <c r="J350">
        <f>IF(pogoda__2[[#This Row],[Wielkosc_chmur]]=pogoda__2[[#This Row],[nubis W]],1,0)</f>
        <v>0</v>
      </c>
      <c r="L350">
        <f>IF(AND(pogoda__2[[#This Row],[Temperatura]]&gt;=20,pogoda__2[[#This Row],[Opad]]&lt;=5),1,0)</f>
        <v>0</v>
      </c>
      <c r="M350">
        <v>1</v>
      </c>
    </row>
    <row r="351" spans="1:13" x14ac:dyDescent="0.3">
      <c r="A351">
        <v>350</v>
      </c>
      <c r="B351">
        <v>10.5</v>
      </c>
      <c r="C351">
        <v>15</v>
      </c>
      <c r="D351" s="6">
        <v>0</v>
      </c>
      <c r="E351">
        <v>0</v>
      </c>
      <c r="F351" s="6" t="s">
        <v>5</v>
      </c>
      <c r="G351">
        <v>3</v>
      </c>
      <c r="I351">
        <f>IF(pogoda__2[[#This Row],[Kategoria_chmur]]=pogoda__2[[#This Row],[nubis K]],1,0)</f>
        <v>0</v>
      </c>
      <c r="J351">
        <f>IF(pogoda__2[[#This Row],[Wielkosc_chmur]]=pogoda__2[[#This Row],[nubis W]],1,0)</f>
        <v>0</v>
      </c>
      <c r="L351">
        <f>IF(AND(pogoda__2[[#This Row],[Temperatura]]&gt;=20,pogoda__2[[#This Row],[Opad]]&lt;=5),1,0)</f>
        <v>0</v>
      </c>
      <c r="M351">
        <v>2</v>
      </c>
    </row>
    <row r="352" spans="1:13" x14ac:dyDescent="0.3">
      <c r="A352">
        <v>351</v>
      </c>
      <c r="B352">
        <v>13.5</v>
      </c>
      <c r="C352">
        <v>1</v>
      </c>
      <c r="D352" s="6">
        <v>0</v>
      </c>
      <c r="E352">
        <v>0</v>
      </c>
      <c r="F352" s="6" t="s">
        <v>5</v>
      </c>
      <c r="G352">
        <v>3</v>
      </c>
      <c r="I352">
        <f>IF(pogoda__2[[#This Row],[Kategoria_chmur]]=pogoda__2[[#This Row],[nubis K]],1,0)</f>
        <v>0</v>
      </c>
      <c r="J352">
        <f>IF(pogoda__2[[#This Row],[Wielkosc_chmur]]=pogoda__2[[#This Row],[nubis W]],1,0)</f>
        <v>0</v>
      </c>
      <c r="L352">
        <f>IF(AND(pogoda__2[[#This Row],[Temperatura]]&gt;=20,pogoda__2[[#This Row],[Opad]]&lt;=5),1,0)</f>
        <v>0</v>
      </c>
      <c r="M352">
        <v>3</v>
      </c>
    </row>
    <row r="353" spans="1:13" x14ac:dyDescent="0.3">
      <c r="A353">
        <v>352</v>
      </c>
      <c r="B353">
        <v>17.5</v>
      </c>
      <c r="C353">
        <v>22</v>
      </c>
      <c r="D353" s="6">
        <v>0</v>
      </c>
      <c r="E353">
        <v>0</v>
      </c>
      <c r="F353" s="6" t="s">
        <v>5</v>
      </c>
      <c r="G353">
        <v>4</v>
      </c>
      <c r="I353">
        <f>IF(pogoda__2[[#This Row],[Kategoria_chmur]]=pogoda__2[[#This Row],[nubis K]],1,0)</f>
        <v>0</v>
      </c>
      <c r="J353">
        <f>IF(pogoda__2[[#This Row],[Wielkosc_chmur]]=pogoda__2[[#This Row],[nubis W]],1,0)</f>
        <v>0</v>
      </c>
      <c r="L353">
        <f>IF(AND(pogoda__2[[#This Row],[Temperatura]]&gt;=20,pogoda__2[[#This Row],[Opad]]&lt;=5),1,0)</f>
        <v>0</v>
      </c>
      <c r="M353">
        <v>4</v>
      </c>
    </row>
    <row r="354" spans="1:13" x14ac:dyDescent="0.3">
      <c r="A354">
        <v>353</v>
      </c>
      <c r="B354">
        <v>21.4</v>
      </c>
      <c r="C354">
        <v>4</v>
      </c>
      <c r="D354" s="6">
        <v>0</v>
      </c>
      <c r="E354">
        <v>0</v>
      </c>
      <c r="F354" s="6" t="s">
        <v>5</v>
      </c>
      <c r="G354">
        <v>4</v>
      </c>
      <c r="I354">
        <f>IF(pogoda__2[[#This Row],[Kategoria_chmur]]=pogoda__2[[#This Row],[nubis K]],1,0)</f>
        <v>0</v>
      </c>
      <c r="J354">
        <f>IF(pogoda__2[[#This Row],[Wielkosc_chmur]]=pogoda__2[[#This Row],[nubis W]],1,0)</f>
        <v>0</v>
      </c>
      <c r="L354">
        <f>IF(AND(pogoda__2[[#This Row],[Temperatura]]&gt;=20,pogoda__2[[#This Row],[Opad]]&lt;=5),1,0)</f>
        <v>1</v>
      </c>
      <c r="M354">
        <v>5</v>
      </c>
    </row>
    <row r="355" spans="1:13" x14ac:dyDescent="0.3">
      <c r="A355">
        <v>354</v>
      </c>
      <c r="B355">
        <v>24.4</v>
      </c>
      <c r="C355">
        <v>4</v>
      </c>
      <c r="D355" s="6">
        <v>0</v>
      </c>
      <c r="E355">
        <v>0</v>
      </c>
      <c r="F355" s="6" t="s">
        <v>5</v>
      </c>
      <c r="G355">
        <v>4</v>
      </c>
      <c r="I355">
        <f>IF(pogoda__2[[#This Row],[Kategoria_chmur]]=pogoda__2[[#This Row],[nubis K]],1,0)</f>
        <v>0</v>
      </c>
      <c r="J355">
        <f>IF(pogoda__2[[#This Row],[Wielkosc_chmur]]=pogoda__2[[#This Row],[nubis W]],1,0)</f>
        <v>0</v>
      </c>
      <c r="L355">
        <f>IF(AND(pogoda__2[[#This Row],[Temperatura]]&gt;=20,pogoda__2[[#This Row],[Opad]]&lt;=5),1,0)</f>
        <v>1</v>
      </c>
      <c r="M355">
        <v>6</v>
      </c>
    </row>
    <row r="356" spans="1:13" x14ac:dyDescent="0.3">
      <c r="A356">
        <v>355</v>
      </c>
      <c r="B356">
        <v>25.8</v>
      </c>
      <c r="C356">
        <v>11</v>
      </c>
      <c r="D356" s="6">
        <v>0</v>
      </c>
      <c r="E356">
        <v>0</v>
      </c>
      <c r="F356" s="6" t="s">
        <v>5</v>
      </c>
      <c r="G356">
        <v>5</v>
      </c>
      <c r="I356">
        <f>IF(pogoda__2[[#This Row],[Kategoria_chmur]]=pogoda__2[[#This Row],[nubis K]],1,0)</f>
        <v>0</v>
      </c>
      <c r="J356">
        <f>IF(pogoda__2[[#This Row],[Wielkosc_chmur]]=pogoda__2[[#This Row],[nubis W]],1,0)</f>
        <v>0</v>
      </c>
      <c r="L356">
        <f>IF(AND(pogoda__2[[#This Row],[Temperatura]]&gt;=20,pogoda__2[[#This Row],[Opad]]&lt;=5),1,0)</f>
        <v>0</v>
      </c>
      <c r="M356">
        <v>7</v>
      </c>
    </row>
    <row r="357" spans="1:13" x14ac:dyDescent="0.3">
      <c r="A357">
        <v>356</v>
      </c>
      <c r="B357">
        <v>25.6</v>
      </c>
      <c r="C357">
        <v>25</v>
      </c>
      <c r="D357" s="6">
        <v>0</v>
      </c>
      <c r="E357">
        <v>0</v>
      </c>
      <c r="F357" s="6" t="s">
        <v>5</v>
      </c>
      <c r="G357">
        <v>5</v>
      </c>
      <c r="I357">
        <f>IF(pogoda__2[[#This Row],[Kategoria_chmur]]=pogoda__2[[#This Row],[nubis K]],1,0)</f>
        <v>0</v>
      </c>
      <c r="J357">
        <f>IF(pogoda__2[[#This Row],[Wielkosc_chmur]]=pogoda__2[[#This Row],[nubis W]],1,0)</f>
        <v>0</v>
      </c>
      <c r="L357">
        <f>IF(AND(pogoda__2[[#This Row],[Temperatura]]&gt;=20,pogoda__2[[#This Row],[Opad]]&lt;=5),1,0)</f>
        <v>0</v>
      </c>
      <c r="M357">
        <v>0</v>
      </c>
    </row>
    <row r="358" spans="1:13" x14ac:dyDescent="0.3">
      <c r="A358">
        <v>357</v>
      </c>
      <c r="B358">
        <v>24.1</v>
      </c>
      <c r="C358">
        <v>0</v>
      </c>
      <c r="D358" s="6">
        <v>0</v>
      </c>
      <c r="E358">
        <v>0</v>
      </c>
      <c r="F358" s="6">
        <v>0</v>
      </c>
      <c r="G358">
        <v>0</v>
      </c>
      <c r="I358">
        <f>IF(pogoda__2[[#This Row],[Kategoria_chmur]]=pogoda__2[[#This Row],[nubis K]],1,0)</f>
        <v>1</v>
      </c>
      <c r="J358">
        <f>IF(pogoda__2[[#This Row],[Wielkosc_chmur]]=pogoda__2[[#This Row],[nubis W]],1,0)</f>
        <v>1</v>
      </c>
      <c r="L358">
        <f>IF(AND(pogoda__2[[#This Row],[Temperatura]]&gt;=20,pogoda__2[[#This Row],[Opad]]&lt;=5),1,0)</f>
        <v>1</v>
      </c>
      <c r="M358">
        <v>0</v>
      </c>
    </row>
    <row r="359" spans="1:13" x14ac:dyDescent="0.3">
      <c r="A359">
        <v>358</v>
      </c>
      <c r="B359">
        <v>22</v>
      </c>
      <c r="C359">
        <v>4</v>
      </c>
      <c r="D359" s="6">
        <v>0</v>
      </c>
      <c r="E359">
        <v>0</v>
      </c>
      <c r="F359" s="6" t="s">
        <v>5</v>
      </c>
      <c r="G359">
        <v>1</v>
      </c>
      <c r="I359">
        <f>IF(pogoda__2[[#This Row],[Kategoria_chmur]]=pogoda__2[[#This Row],[nubis K]],1,0)</f>
        <v>0</v>
      </c>
      <c r="J359">
        <f>IF(pogoda__2[[#This Row],[Wielkosc_chmur]]=pogoda__2[[#This Row],[nubis W]],1,0)</f>
        <v>0</v>
      </c>
      <c r="L359">
        <f>IF(AND(pogoda__2[[#This Row],[Temperatura]]&gt;=20,pogoda__2[[#This Row],[Opad]]&lt;=5),1,0)</f>
        <v>1</v>
      </c>
      <c r="M359">
        <v>0</v>
      </c>
    </row>
    <row r="360" spans="1:13" x14ac:dyDescent="0.3">
      <c r="A360">
        <v>359</v>
      </c>
      <c r="B360">
        <v>20.3</v>
      </c>
      <c r="C360">
        <v>4</v>
      </c>
      <c r="D360" s="6">
        <v>0</v>
      </c>
      <c r="E360">
        <v>0</v>
      </c>
      <c r="F360" s="6" t="s">
        <v>5</v>
      </c>
      <c r="G360">
        <v>1</v>
      </c>
      <c r="I360">
        <f>IF(pogoda__2[[#This Row],[Kategoria_chmur]]=pogoda__2[[#This Row],[nubis K]],1,0)</f>
        <v>0</v>
      </c>
      <c r="J360">
        <f>IF(pogoda__2[[#This Row],[Wielkosc_chmur]]=pogoda__2[[#This Row],[nubis W]],1,0)</f>
        <v>0</v>
      </c>
      <c r="L360">
        <f>IF(AND(pogoda__2[[#This Row],[Temperatura]]&gt;=20,pogoda__2[[#This Row],[Opad]]&lt;=5),1,0)</f>
        <v>1</v>
      </c>
      <c r="M360">
        <v>0</v>
      </c>
    </row>
    <row r="361" spans="1:13" x14ac:dyDescent="0.3">
      <c r="A361">
        <v>360</v>
      </c>
      <c r="B361">
        <v>19.600000000000001</v>
      </c>
      <c r="C361">
        <v>1</v>
      </c>
      <c r="D361" s="6">
        <v>0</v>
      </c>
      <c r="E361">
        <v>0</v>
      </c>
      <c r="F361" s="6" t="s">
        <v>5</v>
      </c>
      <c r="G361">
        <v>1</v>
      </c>
      <c r="I361">
        <f>IF(pogoda__2[[#This Row],[Kategoria_chmur]]=pogoda__2[[#This Row],[nubis K]],1,0)</f>
        <v>0</v>
      </c>
      <c r="J361">
        <f>IF(pogoda__2[[#This Row],[Wielkosc_chmur]]=pogoda__2[[#This Row],[nubis W]],1,0)</f>
        <v>0</v>
      </c>
      <c r="L361">
        <f>IF(AND(pogoda__2[[#This Row],[Temperatura]]&gt;=20,pogoda__2[[#This Row],[Opad]]&lt;=5),1,0)</f>
        <v>0</v>
      </c>
      <c r="M361">
        <v>0</v>
      </c>
    </row>
    <row r="362" spans="1:13" x14ac:dyDescent="0.3">
      <c r="A362">
        <v>361</v>
      </c>
      <c r="B362">
        <v>20.3</v>
      </c>
      <c r="C362">
        <v>11</v>
      </c>
      <c r="D362" s="6">
        <v>0</v>
      </c>
      <c r="E362">
        <v>0</v>
      </c>
      <c r="F362" s="6" t="s">
        <v>5</v>
      </c>
      <c r="G362">
        <v>2</v>
      </c>
      <c r="I362">
        <f>IF(pogoda__2[[#This Row],[Kategoria_chmur]]=pogoda__2[[#This Row],[nubis K]],1,0)</f>
        <v>0</v>
      </c>
      <c r="J362">
        <f>IF(pogoda__2[[#This Row],[Wielkosc_chmur]]=pogoda__2[[#This Row],[nubis W]],1,0)</f>
        <v>0</v>
      </c>
      <c r="L362">
        <f>IF(AND(pogoda__2[[#This Row],[Temperatura]]&gt;=20,pogoda__2[[#This Row],[Opad]]&lt;=5),1,0)</f>
        <v>0</v>
      </c>
      <c r="M362">
        <v>1</v>
      </c>
    </row>
    <row r="363" spans="1:13" x14ac:dyDescent="0.3">
      <c r="A363">
        <v>362</v>
      </c>
      <c r="B363">
        <v>22.3</v>
      </c>
      <c r="C363">
        <v>12</v>
      </c>
      <c r="D363" s="6">
        <v>0</v>
      </c>
      <c r="E363">
        <v>0</v>
      </c>
      <c r="F363" s="6" t="s">
        <v>5</v>
      </c>
      <c r="G363">
        <v>2</v>
      </c>
      <c r="I363">
        <f>IF(pogoda__2[[#This Row],[Kategoria_chmur]]=pogoda__2[[#This Row],[nubis K]],1,0)</f>
        <v>0</v>
      </c>
      <c r="J363">
        <f>IF(pogoda__2[[#This Row],[Wielkosc_chmur]]=pogoda__2[[#This Row],[nubis W]],1,0)</f>
        <v>0</v>
      </c>
      <c r="L363">
        <f>IF(AND(pogoda__2[[#This Row],[Temperatura]]&gt;=20,pogoda__2[[#This Row],[Opad]]&lt;=5),1,0)</f>
        <v>0</v>
      </c>
      <c r="M363">
        <v>2</v>
      </c>
    </row>
    <row r="364" spans="1:13" x14ac:dyDescent="0.3">
      <c r="A364">
        <v>363</v>
      </c>
      <c r="B364">
        <v>25</v>
      </c>
      <c r="C364">
        <v>2</v>
      </c>
      <c r="D364" s="6">
        <v>0</v>
      </c>
      <c r="E364">
        <v>0</v>
      </c>
      <c r="F364" s="6" t="s">
        <v>5</v>
      </c>
      <c r="G364">
        <v>2</v>
      </c>
      <c r="I364">
        <f>IF(pogoda__2[[#This Row],[Kategoria_chmur]]=pogoda__2[[#This Row],[nubis K]],1,0)</f>
        <v>0</v>
      </c>
      <c r="J364">
        <f>IF(pogoda__2[[#This Row],[Wielkosc_chmur]]=pogoda__2[[#This Row],[nubis W]],1,0)</f>
        <v>0</v>
      </c>
      <c r="L364">
        <f>IF(AND(pogoda__2[[#This Row],[Temperatura]]&gt;=20,pogoda__2[[#This Row],[Opad]]&lt;=5),1,0)</f>
        <v>1</v>
      </c>
      <c r="M364">
        <v>3</v>
      </c>
    </row>
    <row r="365" spans="1:13" x14ac:dyDescent="0.3">
      <c r="A365">
        <v>364</v>
      </c>
      <c r="B365">
        <v>27.5</v>
      </c>
      <c r="C365">
        <v>4</v>
      </c>
      <c r="D365" s="6">
        <v>0</v>
      </c>
      <c r="E365">
        <v>0</v>
      </c>
      <c r="F365" s="6" t="s">
        <v>5</v>
      </c>
      <c r="G365">
        <v>3</v>
      </c>
      <c r="I365">
        <f>IF(pogoda__2[[#This Row],[Kategoria_chmur]]=pogoda__2[[#This Row],[nubis K]],1,0)</f>
        <v>0</v>
      </c>
      <c r="J365">
        <f>IF(pogoda__2[[#This Row],[Wielkosc_chmur]]=pogoda__2[[#This Row],[nubis W]],1,0)</f>
        <v>0</v>
      </c>
      <c r="L365">
        <f>IF(AND(pogoda__2[[#This Row],[Temperatura]]&gt;=20,pogoda__2[[#This Row],[Opad]]&lt;=5),1,0)</f>
        <v>1</v>
      </c>
      <c r="M365">
        <v>4</v>
      </c>
    </row>
    <row r="366" spans="1:13" x14ac:dyDescent="0.3">
      <c r="A366">
        <v>365</v>
      </c>
      <c r="B366">
        <v>29.1</v>
      </c>
      <c r="C366">
        <v>18</v>
      </c>
      <c r="D366" s="6">
        <v>0</v>
      </c>
      <c r="E366">
        <v>0</v>
      </c>
      <c r="F366" s="6" t="s">
        <v>5</v>
      </c>
      <c r="G366">
        <v>3</v>
      </c>
      <c r="I366">
        <f>IF(pogoda__2[[#This Row],[Kategoria_chmur]]=pogoda__2[[#This Row],[nubis K]],1,0)</f>
        <v>0</v>
      </c>
      <c r="J366">
        <f>IF(pogoda__2[[#This Row],[Wielkosc_chmur]]=pogoda__2[[#This Row],[nubis W]],1,0)</f>
        <v>0</v>
      </c>
      <c r="L366">
        <f>IF(AND(pogoda__2[[#This Row],[Temperatura]]&gt;=20,pogoda__2[[#This Row],[Opad]]&lt;=5),1,0)</f>
        <v>0</v>
      </c>
      <c r="M366">
        <v>5</v>
      </c>
    </row>
    <row r="367" spans="1:13" x14ac:dyDescent="0.3">
      <c r="A367">
        <v>366</v>
      </c>
      <c r="B367">
        <v>29</v>
      </c>
      <c r="C367">
        <v>2</v>
      </c>
      <c r="D367" s="6">
        <v>0</v>
      </c>
      <c r="E367">
        <v>0</v>
      </c>
      <c r="F367" s="6" t="s">
        <v>5</v>
      </c>
      <c r="G367">
        <v>3</v>
      </c>
      <c r="I367">
        <f>IF(pogoda__2[[#This Row],[Kategoria_chmur]]=pogoda__2[[#This Row],[nubis K]],1,0)</f>
        <v>0</v>
      </c>
      <c r="J367">
        <f>IF(pogoda__2[[#This Row],[Wielkosc_chmur]]=pogoda__2[[#This Row],[nubis W]],1,0)</f>
        <v>0</v>
      </c>
      <c r="L367">
        <f>IF(AND(pogoda__2[[#This Row],[Temperatura]]&gt;=20,pogoda__2[[#This Row],[Opad]]&lt;=5),1,0)</f>
        <v>1</v>
      </c>
      <c r="M367">
        <v>0</v>
      </c>
    </row>
    <row r="368" spans="1:13" x14ac:dyDescent="0.3">
      <c r="A368">
        <v>367</v>
      </c>
      <c r="B368">
        <v>27.2</v>
      </c>
      <c r="C368">
        <v>19</v>
      </c>
      <c r="D368" s="6">
        <v>0</v>
      </c>
      <c r="E368">
        <v>0</v>
      </c>
      <c r="F368" s="6" t="s">
        <v>5</v>
      </c>
      <c r="G368">
        <v>4</v>
      </c>
      <c r="I368">
        <f>IF(pogoda__2[[#This Row],[Kategoria_chmur]]=pogoda__2[[#This Row],[nubis K]],1,0)</f>
        <v>0</v>
      </c>
      <c r="J368">
        <f>IF(pogoda__2[[#This Row],[Wielkosc_chmur]]=pogoda__2[[#This Row],[nubis W]],1,0)</f>
        <v>0</v>
      </c>
      <c r="L368">
        <f>IF(AND(pogoda__2[[#This Row],[Temperatura]]&gt;=20,pogoda__2[[#This Row],[Opad]]&lt;=5),1,0)</f>
        <v>0</v>
      </c>
      <c r="M368">
        <v>0</v>
      </c>
    </row>
    <row r="369" spans="1:13" x14ac:dyDescent="0.3">
      <c r="A369">
        <v>368</v>
      </c>
      <c r="B369">
        <v>24.1</v>
      </c>
      <c r="C369">
        <v>16</v>
      </c>
      <c r="D369" s="6">
        <v>0</v>
      </c>
      <c r="E369">
        <v>0</v>
      </c>
      <c r="F369" s="6" t="s">
        <v>5</v>
      </c>
      <c r="G369">
        <v>4</v>
      </c>
      <c r="I369">
        <f>IF(pogoda__2[[#This Row],[Kategoria_chmur]]=pogoda__2[[#This Row],[nubis K]],1,0)</f>
        <v>0</v>
      </c>
      <c r="J369">
        <f>IF(pogoda__2[[#This Row],[Wielkosc_chmur]]=pogoda__2[[#This Row],[nubis W]],1,0)</f>
        <v>0</v>
      </c>
      <c r="L369">
        <f>IF(AND(pogoda__2[[#This Row],[Temperatura]]&gt;=20,pogoda__2[[#This Row],[Opad]]&lt;=5),1,0)</f>
        <v>0</v>
      </c>
      <c r="M369">
        <v>0</v>
      </c>
    </row>
    <row r="370" spans="1:13" x14ac:dyDescent="0.3">
      <c r="A370">
        <v>369</v>
      </c>
      <c r="B370">
        <v>20.399999999999999</v>
      </c>
      <c r="C370">
        <v>24</v>
      </c>
      <c r="D370" s="6">
        <v>0</v>
      </c>
      <c r="E370">
        <v>0</v>
      </c>
      <c r="F370" s="6" t="s">
        <v>5</v>
      </c>
      <c r="G370">
        <v>4</v>
      </c>
      <c r="I370">
        <f>IF(pogoda__2[[#This Row],[Kategoria_chmur]]=pogoda__2[[#This Row],[nubis K]],1,0)</f>
        <v>0</v>
      </c>
      <c r="J370">
        <f>IF(pogoda__2[[#This Row],[Wielkosc_chmur]]=pogoda__2[[#This Row],[nubis W]],1,0)</f>
        <v>0</v>
      </c>
      <c r="L370">
        <f>IF(AND(pogoda__2[[#This Row],[Temperatura]]&gt;=20,pogoda__2[[#This Row],[Opad]]&lt;=5),1,0)</f>
        <v>0</v>
      </c>
      <c r="M370">
        <v>0</v>
      </c>
    </row>
    <row r="371" spans="1:13" x14ac:dyDescent="0.3">
      <c r="A371">
        <v>370</v>
      </c>
      <c r="B371">
        <v>17.100000000000001</v>
      </c>
      <c r="C371">
        <v>24</v>
      </c>
      <c r="D371" s="6">
        <v>0</v>
      </c>
      <c r="E371">
        <v>0</v>
      </c>
      <c r="F371" s="6" t="s">
        <v>5</v>
      </c>
      <c r="G371">
        <v>5</v>
      </c>
      <c r="I371">
        <f>IF(pogoda__2[[#This Row],[Kategoria_chmur]]=pogoda__2[[#This Row],[nubis K]],1,0)</f>
        <v>0</v>
      </c>
      <c r="J371">
        <f>IF(pogoda__2[[#This Row],[Wielkosc_chmur]]=pogoda__2[[#This Row],[nubis W]],1,0)</f>
        <v>0</v>
      </c>
      <c r="L371">
        <f>IF(AND(pogoda__2[[#This Row],[Temperatura]]&gt;=20,pogoda__2[[#This Row],[Opad]]&lt;=5),1,0)</f>
        <v>0</v>
      </c>
      <c r="M371">
        <v>0</v>
      </c>
    </row>
    <row r="372" spans="1:13" x14ac:dyDescent="0.3">
      <c r="A372">
        <v>371</v>
      </c>
      <c r="B372">
        <v>14.9</v>
      </c>
      <c r="C372">
        <v>0</v>
      </c>
      <c r="D372" s="6">
        <v>0</v>
      </c>
      <c r="E372">
        <v>0</v>
      </c>
      <c r="F372" s="6">
        <v>0</v>
      </c>
      <c r="G372">
        <v>0</v>
      </c>
      <c r="I372">
        <f>IF(pogoda__2[[#This Row],[Kategoria_chmur]]=pogoda__2[[#This Row],[nubis K]],1,0)</f>
        <v>1</v>
      </c>
      <c r="J372">
        <f>IF(pogoda__2[[#This Row],[Wielkosc_chmur]]=pogoda__2[[#This Row],[nubis W]],1,0)</f>
        <v>1</v>
      </c>
      <c r="L372">
        <f>IF(AND(pogoda__2[[#This Row],[Temperatura]]&gt;=20,pogoda__2[[#This Row],[Opad]]&lt;=5),1,0)</f>
        <v>0</v>
      </c>
      <c r="M372">
        <v>0</v>
      </c>
    </row>
    <row r="373" spans="1:13" x14ac:dyDescent="0.3">
      <c r="A373">
        <v>372</v>
      </c>
      <c r="B373">
        <v>14.1</v>
      </c>
      <c r="C373">
        <v>3</v>
      </c>
      <c r="D373" s="6">
        <v>0</v>
      </c>
      <c r="E373">
        <v>0</v>
      </c>
      <c r="F373" s="6" t="s">
        <v>5</v>
      </c>
      <c r="G373">
        <v>1</v>
      </c>
      <c r="I373">
        <f>IF(pogoda__2[[#This Row],[Kategoria_chmur]]=pogoda__2[[#This Row],[nubis K]],1,0)</f>
        <v>0</v>
      </c>
      <c r="J373">
        <f>IF(pogoda__2[[#This Row],[Wielkosc_chmur]]=pogoda__2[[#This Row],[nubis W]],1,0)</f>
        <v>0</v>
      </c>
      <c r="L373">
        <f>IF(AND(pogoda__2[[#This Row],[Temperatura]]&gt;=20,pogoda__2[[#This Row],[Opad]]&lt;=5),1,0)</f>
        <v>0</v>
      </c>
      <c r="M373">
        <v>0</v>
      </c>
    </row>
    <row r="374" spans="1:13" x14ac:dyDescent="0.3">
      <c r="A374">
        <v>373</v>
      </c>
      <c r="B374">
        <v>14.8</v>
      </c>
      <c r="C374">
        <v>6</v>
      </c>
      <c r="D374" s="6">
        <v>0</v>
      </c>
      <c r="E374">
        <v>0</v>
      </c>
      <c r="F374" s="6" t="s">
        <v>5</v>
      </c>
      <c r="G374">
        <v>1</v>
      </c>
      <c r="I374">
        <f>IF(pogoda__2[[#This Row],[Kategoria_chmur]]=pogoda__2[[#This Row],[nubis K]],1,0)</f>
        <v>0</v>
      </c>
      <c r="J374">
        <f>IF(pogoda__2[[#This Row],[Wielkosc_chmur]]=pogoda__2[[#This Row],[nubis W]],1,0)</f>
        <v>0</v>
      </c>
      <c r="L374">
        <f>IF(AND(pogoda__2[[#This Row],[Temperatura]]&gt;=20,pogoda__2[[#This Row],[Opad]]&lt;=5),1,0)</f>
        <v>0</v>
      </c>
      <c r="M374">
        <v>1</v>
      </c>
    </row>
    <row r="375" spans="1:13" x14ac:dyDescent="0.3">
      <c r="A375">
        <v>374</v>
      </c>
      <c r="B375">
        <v>16.3</v>
      </c>
      <c r="C375">
        <v>6</v>
      </c>
      <c r="D375" s="6">
        <v>0</v>
      </c>
      <c r="E375">
        <v>0</v>
      </c>
      <c r="F375" s="6" t="s">
        <v>5</v>
      </c>
      <c r="G375">
        <v>1</v>
      </c>
      <c r="I375">
        <f>IF(pogoda__2[[#This Row],[Kategoria_chmur]]=pogoda__2[[#This Row],[nubis K]],1,0)</f>
        <v>0</v>
      </c>
      <c r="J375">
        <f>IF(pogoda__2[[#This Row],[Wielkosc_chmur]]=pogoda__2[[#This Row],[nubis W]],1,0)</f>
        <v>0</v>
      </c>
      <c r="L375">
        <f>IF(AND(pogoda__2[[#This Row],[Temperatura]]&gt;=20,pogoda__2[[#This Row],[Opad]]&lt;=5),1,0)</f>
        <v>0</v>
      </c>
      <c r="M375">
        <v>2</v>
      </c>
    </row>
    <row r="376" spans="1:13" x14ac:dyDescent="0.3">
      <c r="A376">
        <v>375</v>
      </c>
      <c r="B376">
        <v>17.7</v>
      </c>
      <c r="C376">
        <v>8</v>
      </c>
      <c r="D376" s="6">
        <v>0</v>
      </c>
      <c r="E376">
        <v>0</v>
      </c>
      <c r="F376" s="6" t="s">
        <v>5</v>
      </c>
      <c r="G376">
        <v>2</v>
      </c>
      <c r="I376">
        <f>IF(pogoda__2[[#This Row],[Kategoria_chmur]]=pogoda__2[[#This Row],[nubis K]],1,0)</f>
        <v>0</v>
      </c>
      <c r="J376">
        <f>IF(pogoda__2[[#This Row],[Wielkosc_chmur]]=pogoda__2[[#This Row],[nubis W]],1,0)</f>
        <v>0</v>
      </c>
      <c r="L376">
        <f>IF(AND(pogoda__2[[#This Row],[Temperatura]]&gt;=20,pogoda__2[[#This Row],[Opad]]&lt;=5),1,0)</f>
        <v>0</v>
      </c>
      <c r="M376">
        <v>3</v>
      </c>
    </row>
    <row r="377" spans="1:13" x14ac:dyDescent="0.3">
      <c r="A377">
        <v>376</v>
      </c>
      <c r="B377">
        <v>18.3</v>
      </c>
      <c r="C377">
        <v>3</v>
      </c>
      <c r="D377" s="6">
        <v>0</v>
      </c>
      <c r="E377">
        <v>0</v>
      </c>
      <c r="F377" s="6" t="s">
        <v>5</v>
      </c>
      <c r="G377">
        <v>2</v>
      </c>
      <c r="I377">
        <f>IF(pogoda__2[[#This Row],[Kategoria_chmur]]=pogoda__2[[#This Row],[nubis K]],1,0)</f>
        <v>0</v>
      </c>
      <c r="J377">
        <f>IF(pogoda__2[[#This Row],[Wielkosc_chmur]]=pogoda__2[[#This Row],[nubis W]],1,0)</f>
        <v>0</v>
      </c>
      <c r="L377">
        <f>IF(AND(pogoda__2[[#This Row],[Temperatura]]&gt;=20,pogoda__2[[#This Row],[Opad]]&lt;=5),1,0)</f>
        <v>0</v>
      </c>
      <c r="M377">
        <v>4</v>
      </c>
    </row>
    <row r="378" spans="1:13" x14ac:dyDescent="0.3">
      <c r="A378">
        <v>377</v>
      </c>
      <c r="B378">
        <v>17.5</v>
      </c>
      <c r="C378">
        <v>6</v>
      </c>
      <c r="D378" s="6">
        <v>0</v>
      </c>
      <c r="E378">
        <v>0</v>
      </c>
      <c r="F378" s="6" t="s">
        <v>5</v>
      </c>
      <c r="G378">
        <v>2</v>
      </c>
      <c r="I378">
        <f>IF(pogoda__2[[#This Row],[Kategoria_chmur]]=pogoda__2[[#This Row],[nubis K]],1,0)</f>
        <v>0</v>
      </c>
      <c r="J378">
        <f>IF(pogoda__2[[#This Row],[Wielkosc_chmur]]=pogoda__2[[#This Row],[nubis W]],1,0)</f>
        <v>0</v>
      </c>
      <c r="L378">
        <f>IF(AND(pogoda__2[[#This Row],[Temperatura]]&gt;=20,pogoda__2[[#This Row],[Opad]]&lt;=5),1,0)</f>
        <v>0</v>
      </c>
      <c r="M378">
        <v>0</v>
      </c>
    </row>
    <row r="379" spans="1:13" x14ac:dyDescent="0.3">
      <c r="A379">
        <v>378</v>
      </c>
      <c r="B379">
        <v>15.1</v>
      </c>
      <c r="C379">
        <v>7</v>
      </c>
      <c r="D379" s="6">
        <v>0</v>
      </c>
      <c r="E379">
        <v>0</v>
      </c>
      <c r="F379" s="6" t="s">
        <v>5</v>
      </c>
      <c r="G379">
        <v>3</v>
      </c>
      <c r="I379">
        <f>IF(pogoda__2[[#This Row],[Kategoria_chmur]]=pogoda__2[[#This Row],[nubis K]],1,0)</f>
        <v>0</v>
      </c>
      <c r="J379">
        <f>IF(pogoda__2[[#This Row],[Wielkosc_chmur]]=pogoda__2[[#This Row],[nubis W]],1,0)</f>
        <v>0</v>
      </c>
      <c r="L379">
        <f>IF(AND(pogoda__2[[#This Row],[Temperatura]]&gt;=20,pogoda__2[[#This Row],[Opad]]&lt;=5),1,0)</f>
        <v>0</v>
      </c>
      <c r="M379">
        <v>0</v>
      </c>
    </row>
    <row r="380" spans="1:13" x14ac:dyDescent="0.3">
      <c r="A380">
        <v>379</v>
      </c>
      <c r="B380">
        <v>11.6</v>
      </c>
      <c r="C380">
        <v>11</v>
      </c>
      <c r="D380" s="6">
        <v>0</v>
      </c>
      <c r="E380">
        <v>0</v>
      </c>
      <c r="F380" s="6" t="s">
        <v>5</v>
      </c>
      <c r="G380">
        <v>3</v>
      </c>
      <c r="I380">
        <f>IF(pogoda__2[[#This Row],[Kategoria_chmur]]=pogoda__2[[#This Row],[nubis K]],1,0)</f>
        <v>0</v>
      </c>
      <c r="J380">
        <f>IF(pogoda__2[[#This Row],[Wielkosc_chmur]]=pogoda__2[[#This Row],[nubis W]],1,0)</f>
        <v>0</v>
      </c>
      <c r="L380">
        <f>IF(AND(pogoda__2[[#This Row],[Temperatura]]&gt;=20,pogoda__2[[#This Row],[Opad]]&lt;=5),1,0)</f>
        <v>0</v>
      </c>
      <c r="M380">
        <v>0</v>
      </c>
    </row>
    <row r="381" spans="1:13" x14ac:dyDescent="0.3">
      <c r="A381">
        <v>380</v>
      </c>
      <c r="B381">
        <v>7.7</v>
      </c>
      <c r="C381">
        <v>10</v>
      </c>
      <c r="D381" s="6">
        <v>0</v>
      </c>
      <c r="E381">
        <v>0</v>
      </c>
      <c r="F381" s="6" t="s">
        <v>5</v>
      </c>
      <c r="G381">
        <v>3</v>
      </c>
      <c r="I381">
        <f>IF(pogoda__2[[#This Row],[Kategoria_chmur]]=pogoda__2[[#This Row],[nubis K]],1,0)</f>
        <v>0</v>
      </c>
      <c r="J381">
        <f>IF(pogoda__2[[#This Row],[Wielkosc_chmur]]=pogoda__2[[#This Row],[nubis W]],1,0)</f>
        <v>0</v>
      </c>
      <c r="L381">
        <f>IF(AND(pogoda__2[[#This Row],[Temperatura]]&gt;=20,pogoda__2[[#This Row],[Opad]]&lt;=5),1,0)</f>
        <v>0</v>
      </c>
      <c r="M381">
        <v>0</v>
      </c>
    </row>
    <row r="382" spans="1:13" x14ac:dyDescent="0.3">
      <c r="A382">
        <v>381</v>
      </c>
      <c r="B382">
        <v>4.4000000000000004</v>
      </c>
      <c r="C382">
        <v>21</v>
      </c>
      <c r="D382" s="6">
        <v>0</v>
      </c>
      <c r="E382">
        <v>0</v>
      </c>
      <c r="F382" s="6" t="s">
        <v>5</v>
      </c>
      <c r="G382">
        <v>4</v>
      </c>
      <c r="I382">
        <f>IF(pogoda__2[[#This Row],[Kategoria_chmur]]=pogoda__2[[#This Row],[nubis K]],1,0)</f>
        <v>0</v>
      </c>
      <c r="J382">
        <f>IF(pogoda__2[[#This Row],[Wielkosc_chmur]]=pogoda__2[[#This Row],[nubis W]],1,0)</f>
        <v>0</v>
      </c>
      <c r="L382">
        <f>IF(AND(pogoda__2[[#This Row],[Temperatura]]&gt;=20,pogoda__2[[#This Row],[Opad]]&lt;=5),1,0)</f>
        <v>0</v>
      </c>
      <c r="M382">
        <v>0</v>
      </c>
    </row>
    <row r="383" spans="1:13" x14ac:dyDescent="0.3">
      <c r="A383">
        <v>382</v>
      </c>
      <c r="B383">
        <v>2.2999999999999998</v>
      </c>
      <c r="C383">
        <v>22</v>
      </c>
      <c r="D383" s="6">
        <v>0</v>
      </c>
      <c r="E383">
        <v>0</v>
      </c>
      <c r="F383" s="6" t="s">
        <v>5</v>
      </c>
      <c r="G383">
        <v>4</v>
      </c>
      <c r="I383">
        <f>IF(pogoda__2[[#This Row],[Kategoria_chmur]]=pogoda__2[[#This Row],[nubis K]],1,0)</f>
        <v>0</v>
      </c>
      <c r="J383">
        <f>IF(pogoda__2[[#This Row],[Wielkosc_chmur]]=pogoda__2[[#This Row],[nubis W]],1,0)</f>
        <v>0</v>
      </c>
      <c r="L383">
        <f>IF(AND(pogoda__2[[#This Row],[Temperatura]]&gt;=20,pogoda__2[[#This Row],[Opad]]&lt;=5),1,0)</f>
        <v>0</v>
      </c>
      <c r="M383">
        <v>0</v>
      </c>
    </row>
    <row r="384" spans="1:13" x14ac:dyDescent="0.3">
      <c r="A384">
        <v>383</v>
      </c>
      <c r="B384">
        <v>2</v>
      </c>
      <c r="C384">
        <v>22</v>
      </c>
      <c r="D384" s="6">
        <v>0</v>
      </c>
      <c r="E384">
        <v>0</v>
      </c>
      <c r="F384" s="6" t="s">
        <v>5</v>
      </c>
      <c r="G384">
        <v>4</v>
      </c>
      <c r="I384">
        <f>IF(pogoda__2[[#This Row],[Kategoria_chmur]]=pogoda__2[[#This Row],[nubis K]],1,0)</f>
        <v>0</v>
      </c>
      <c r="J384">
        <f>IF(pogoda__2[[#This Row],[Wielkosc_chmur]]=pogoda__2[[#This Row],[nubis W]],1,0)</f>
        <v>0</v>
      </c>
      <c r="L384">
        <f>IF(AND(pogoda__2[[#This Row],[Temperatura]]&gt;=20,pogoda__2[[#This Row],[Opad]]&lt;=5),1,0)</f>
        <v>0</v>
      </c>
      <c r="M384">
        <v>0</v>
      </c>
    </row>
    <row r="385" spans="1:13" x14ac:dyDescent="0.3">
      <c r="A385">
        <v>384</v>
      </c>
      <c r="B385">
        <v>3.2</v>
      </c>
      <c r="C385">
        <v>29</v>
      </c>
      <c r="D385" s="6">
        <v>0</v>
      </c>
      <c r="E385">
        <v>0</v>
      </c>
      <c r="F385" s="6" t="s">
        <v>5</v>
      </c>
      <c r="G385">
        <v>5</v>
      </c>
      <c r="I385">
        <f>IF(pogoda__2[[#This Row],[Kategoria_chmur]]=pogoda__2[[#This Row],[nubis K]],1,0)</f>
        <v>0</v>
      </c>
      <c r="J385">
        <f>IF(pogoda__2[[#This Row],[Wielkosc_chmur]]=pogoda__2[[#This Row],[nubis W]],1,0)</f>
        <v>0</v>
      </c>
      <c r="L385">
        <f>IF(AND(pogoda__2[[#This Row],[Temperatura]]&gt;=20,pogoda__2[[#This Row],[Opad]]&lt;=5),1,0)</f>
        <v>0</v>
      </c>
      <c r="M385">
        <v>1</v>
      </c>
    </row>
    <row r="386" spans="1:13" x14ac:dyDescent="0.3">
      <c r="A386">
        <v>385</v>
      </c>
      <c r="B386">
        <v>5.5</v>
      </c>
      <c r="C386">
        <v>0</v>
      </c>
      <c r="D386" s="6">
        <v>0</v>
      </c>
      <c r="E386">
        <v>0</v>
      </c>
      <c r="F386" s="6">
        <v>0</v>
      </c>
      <c r="G386">
        <v>0</v>
      </c>
      <c r="I386">
        <f>IF(pogoda__2[[#This Row],[Kategoria_chmur]]=pogoda__2[[#This Row],[nubis K]],1,0)</f>
        <v>1</v>
      </c>
      <c r="J386">
        <f>IF(pogoda__2[[#This Row],[Wielkosc_chmur]]=pogoda__2[[#This Row],[nubis W]],1,0)</f>
        <v>1</v>
      </c>
      <c r="L386">
        <f>IF(AND(pogoda__2[[#This Row],[Temperatura]]&gt;=20,pogoda__2[[#This Row],[Opad]]&lt;=5),1,0)</f>
        <v>0</v>
      </c>
      <c r="M386">
        <v>2</v>
      </c>
    </row>
    <row r="387" spans="1:13" x14ac:dyDescent="0.3">
      <c r="A387">
        <v>386</v>
      </c>
      <c r="B387">
        <v>7.9</v>
      </c>
      <c r="C387">
        <v>1</v>
      </c>
      <c r="D387" s="6">
        <v>0</v>
      </c>
      <c r="E387">
        <v>0</v>
      </c>
      <c r="F387" s="6" t="s">
        <v>6</v>
      </c>
      <c r="G387">
        <v>1</v>
      </c>
      <c r="I387">
        <f>IF(pogoda__2[[#This Row],[Kategoria_chmur]]=pogoda__2[[#This Row],[nubis K]],1,0)</f>
        <v>0</v>
      </c>
      <c r="J387">
        <f>IF(pogoda__2[[#This Row],[Wielkosc_chmur]]=pogoda__2[[#This Row],[nubis W]],1,0)</f>
        <v>0</v>
      </c>
      <c r="L387">
        <f>IF(AND(pogoda__2[[#This Row],[Temperatura]]&gt;=20,pogoda__2[[#This Row],[Opad]]&lt;=5),1,0)</f>
        <v>0</v>
      </c>
      <c r="M387">
        <v>3</v>
      </c>
    </row>
    <row r="388" spans="1:13" x14ac:dyDescent="0.3">
      <c r="A388">
        <v>387</v>
      </c>
      <c r="B388">
        <v>9.6</v>
      </c>
      <c r="C388">
        <v>2</v>
      </c>
      <c r="D388" s="6">
        <v>0</v>
      </c>
      <c r="E388">
        <v>0</v>
      </c>
      <c r="F388" s="6" t="s">
        <v>6</v>
      </c>
      <c r="G388">
        <v>1</v>
      </c>
      <c r="I388">
        <f>IF(pogoda__2[[#This Row],[Kategoria_chmur]]=pogoda__2[[#This Row],[nubis K]],1,0)</f>
        <v>0</v>
      </c>
      <c r="J388">
        <f>IF(pogoda__2[[#This Row],[Wielkosc_chmur]]=pogoda__2[[#This Row],[nubis W]],1,0)</f>
        <v>0</v>
      </c>
      <c r="L388">
        <f>IF(AND(pogoda__2[[#This Row],[Temperatura]]&gt;=20,pogoda__2[[#This Row],[Opad]]&lt;=5),1,0)</f>
        <v>0</v>
      </c>
      <c r="M388">
        <v>4</v>
      </c>
    </row>
    <row r="389" spans="1:13" x14ac:dyDescent="0.3">
      <c r="A389">
        <v>388</v>
      </c>
      <c r="B389">
        <v>10</v>
      </c>
      <c r="C389">
        <v>3</v>
      </c>
      <c r="D389" s="6">
        <v>0</v>
      </c>
      <c r="E389">
        <v>0</v>
      </c>
      <c r="F389" s="6" t="s">
        <v>6</v>
      </c>
      <c r="G389">
        <v>1</v>
      </c>
      <c r="I389">
        <f>IF(pogoda__2[[#This Row],[Kategoria_chmur]]=pogoda__2[[#This Row],[nubis K]],1,0)</f>
        <v>0</v>
      </c>
      <c r="J389">
        <f>IF(pogoda__2[[#This Row],[Wielkosc_chmur]]=pogoda__2[[#This Row],[nubis W]],1,0)</f>
        <v>0</v>
      </c>
      <c r="L389">
        <f>IF(AND(pogoda__2[[#This Row],[Temperatura]]&gt;=20,pogoda__2[[#This Row],[Opad]]&lt;=5),1,0)</f>
        <v>0</v>
      </c>
      <c r="M389">
        <v>5</v>
      </c>
    </row>
    <row r="390" spans="1:13" x14ac:dyDescent="0.3">
      <c r="A390">
        <v>389</v>
      </c>
      <c r="B390">
        <v>9</v>
      </c>
      <c r="C390">
        <v>2</v>
      </c>
      <c r="D390" s="6">
        <v>0</v>
      </c>
      <c r="E390">
        <v>0</v>
      </c>
      <c r="F390" s="6" t="s">
        <v>6</v>
      </c>
      <c r="G390">
        <v>2</v>
      </c>
      <c r="I390">
        <f>IF(pogoda__2[[#This Row],[Kategoria_chmur]]=pogoda__2[[#This Row],[nubis K]],1,0)</f>
        <v>0</v>
      </c>
      <c r="J390">
        <f>IF(pogoda__2[[#This Row],[Wielkosc_chmur]]=pogoda__2[[#This Row],[nubis W]],1,0)</f>
        <v>0</v>
      </c>
      <c r="L390">
        <f>IF(AND(pogoda__2[[#This Row],[Temperatura]]&gt;=20,pogoda__2[[#This Row],[Opad]]&lt;=5),1,0)</f>
        <v>0</v>
      </c>
      <c r="M390">
        <v>0</v>
      </c>
    </row>
    <row r="391" spans="1:13" x14ac:dyDescent="0.3">
      <c r="A391">
        <v>390</v>
      </c>
      <c r="B391">
        <v>6.9</v>
      </c>
      <c r="C391">
        <v>10</v>
      </c>
      <c r="D391" s="6">
        <v>0</v>
      </c>
      <c r="E391">
        <v>0</v>
      </c>
      <c r="F391" s="6" t="s">
        <v>6</v>
      </c>
      <c r="G391">
        <v>2</v>
      </c>
      <c r="I391">
        <f>IF(pogoda__2[[#This Row],[Kategoria_chmur]]=pogoda__2[[#This Row],[nubis K]],1,0)</f>
        <v>0</v>
      </c>
      <c r="J391">
        <f>IF(pogoda__2[[#This Row],[Wielkosc_chmur]]=pogoda__2[[#This Row],[nubis W]],1,0)</f>
        <v>0</v>
      </c>
      <c r="L391">
        <f>IF(AND(pogoda__2[[#This Row],[Temperatura]]&gt;=20,pogoda__2[[#This Row],[Opad]]&lt;=5),1,0)</f>
        <v>0</v>
      </c>
      <c r="M391">
        <v>0</v>
      </c>
    </row>
    <row r="392" spans="1:13" x14ac:dyDescent="0.3">
      <c r="A392">
        <v>391</v>
      </c>
      <c r="B392">
        <v>4.5</v>
      </c>
      <c r="C392">
        <v>3</v>
      </c>
      <c r="D392" s="6">
        <v>0</v>
      </c>
      <c r="E392">
        <v>0</v>
      </c>
      <c r="F392" s="6" t="s">
        <v>6</v>
      </c>
      <c r="G392">
        <v>2</v>
      </c>
      <c r="I392">
        <f>IF(pogoda__2[[#This Row],[Kategoria_chmur]]=pogoda__2[[#This Row],[nubis K]],1,0)</f>
        <v>0</v>
      </c>
      <c r="J392">
        <f>IF(pogoda__2[[#This Row],[Wielkosc_chmur]]=pogoda__2[[#This Row],[nubis W]],1,0)</f>
        <v>0</v>
      </c>
      <c r="L392">
        <f>IF(AND(pogoda__2[[#This Row],[Temperatura]]&gt;=20,pogoda__2[[#This Row],[Opad]]&lt;=5),1,0)</f>
        <v>0</v>
      </c>
      <c r="M392">
        <v>0</v>
      </c>
    </row>
    <row r="393" spans="1:13" x14ac:dyDescent="0.3">
      <c r="A393">
        <v>392</v>
      </c>
      <c r="B393">
        <v>2.8</v>
      </c>
      <c r="C393">
        <v>11</v>
      </c>
      <c r="D393" s="6">
        <v>0</v>
      </c>
      <c r="E393">
        <v>0</v>
      </c>
      <c r="F393" s="6" t="s">
        <v>6</v>
      </c>
      <c r="G393">
        <v>3</v>
      </c>
      <c r="I393">
        <f>IF(pogoda__2[[#This Row],[Kategoria_chmur]]=pogoda__2[[#This Row],[nubis K]],1,0)</f>
        <v>0</v>
      </c>
      <c r="J393">
        <f>IF(pogoda__2[[#This Row],[Wielkosc_chmur]]=pogoda__2[[#This Row],[nubis W]],1,0)</f>
        <v>0</v>
      </c>
      <c r="L393">
        <f>IF(AND(pogoda__2[[#This Row],[Temperatura]]&gt;=20,pogoda__2[[#This Row],[Opad]]&lt;=5),1,0)</f>
        <v>0</v>
      </c>
      <c r="M393">
        <v>0</v>
      </c>
    </row>
    <row r="394" spans="1:13" x14ac:dyDescent="0.3">
      <c r="A394">
        <v>393</v>
      </c>
      <c r="B394">
        <v>2.2999999999999998</v>
      </c>
      <c r="C394">
        <v>17</v>
      </c>
      <c r="D394" s="6">
        <v>0</v>
      </c>
      <c r="E394">
        <v>0</v>
      </c>
      <c r="F394" s="6" t="s">
        <v>6</v>
      </c>
      <c r="G394">
        <v>3</v>
      </c>
      <c r="I394">
        <f>IF(pogoda__2[[#This Row],[Kategoria_chmur]]=pogoda__2[[#This Row],[nubis K]],1,0)</f>
        <v>0</v>
      </c>
      <c r="J394">
        <f>IF(pogoda__2[[#This Row],[Wielkosc_chmur]]=pogoda__2[[#This Row],[nubis W]],1,0)</f>
        <v>0</v>
      </c>
      <c r="L394">
        <f>IF(AND(pogoda__2[[#This Row],[Temperatura]]&gt;=20,pogoda__2[[#This Row],[Opad]]&lt;=5),1,0)</f>
        <v>0</v>
      </c>
      <c r="M394">
        <v>0</v>
      </c>
    </row>
    <row r="395" spans="1:13" x14ac:dyDescent="0.3">
      <c r="A395">
        <v>394</v>
      </c>
      <c r="B395">
        <v>3.6</v>
      </c>
      <c r="C395">
        <v>1</v>
      </c>
      <c r="D395" s="6">
        <v>0</v>
      </c>
      <c r="E395">
        <v>0</v>
      </c>
      <c r="F395" s="6" t="s">
        <v>6</v>
      </c>
      <c r="G395">
        <v>3</v>
      </c>
      <c r="I395">
        <f>IF(pogoda__2[[#This Row],[Kategoria_chmur]]=pogoda__2[[#This Row],[nubis K]],1,0)</f>
        <v>0</v>
      </c>
      <c r="J395">
        <f>IF(pogoda__2[[#This Row],[Wielkosc_chmur]]=pogoda__2[[#This Row],[nubis W]],1,0)</f>
        <v>0</v>
      </c>
      <c r="L395">
        <f>IF(AND(pogoda__2[[#This Row],[Temperatura]]&gt;=20,pogoda__2[[#This Row],[Opad]]&lt;=5),1,0)</f>
        <v>0</v>
      </c>
      <c r="M395">
        <v>1</v>
      </c>
    </row>
    <row r="396" spans="1:13" x14ac:dyDescent="0.3">
      <c r="A396">
        <v>395</v>
      </c>
      <c r="B396">
        <v>6.4</v>
      </c>
      <c r="C396">
        <v>8</v>
      </c>
      <c r="D396" s="6">
        <v>0</v>
      </c>
      <c r="E396">
        <v>0</v>
      </c>
      <c r="F396" s="6" t="s">
        <v>6</v>
      </c>
      <c r="G396">
        <v>4</v>
      </c>
      <c r="I396">
        <f>IF(pogoda__2[[#This Row],[Kategoria_chmur]]=pogoda__2[[#This Row],[nubis K]],1,0)</f>
        <v>0</v>
      </c>
      <c r="J396">
        <f>IF(pogoda__2[[#This Row],[Wielkosc_chmur]]=pogoda__2[[#This Row],[nubis W]],1,0)</f>
        <v>0</v>
      </c>
      <c r="L396">
        <f>IF(AND(pogoda__2[[#This Row],[Temperatura]]&gt;=20,pogoda__2[[#This Row],[Opad]]&lt;=5),1,0)</f>
        <v>0</v>
      </c>
      <c r="M396">
        <v>2</v>
      </c>
    </row>
    <row r="397" spans="1:13" x14ac:dyDescent="0.3">
      <c r="A397">
        <v>396</v>
      </c>
      <c r="B397">
        <v>10.199999999999999</v>
      </c>
      <c r="C397">
        <v>11</v>
      </c>
      <c r="D397" s="6">
        <v>0</v>
      </c>
      <c r="E397">
        <v>0</v>
      </c>
      <c r="F397" s="6" t="s">
        <v>6</v>
      </c>
      <c r="G397">
        <v>4</v>
      </c>
      <c r="I397">
        <f>IF(pogoda__2[[#This Row],[Kategoria_chmur]]=pogoda__2[[#This Row],[nubis K]],1,0)</f>
        <v>0</v>
      </c>
      <c r="J397">
        <f>IF(pogoda__2[[#This Row],[Wielkosc_chmur]]=pogoda__2[[#This Row],[nubis W]],1,0)</f>
        <v>0</v>
      </c>
      <c r="L397">
        <f>IF(AND(pogoda__2[[#This Row],[Temperatura]]&gt;=20,pogoda__2[[#This Row],[Opad]]&lt;=5),1,0)</f>
        <v>0</v>
      </c>
      <c r="M397">
        <v>3</v>
      </c>
    </row>
    <row r="398" spans="1:13" x14ac:dyDescent="0.3">
      <c r="A398">
        <v>397</v>
      </c>
      <c r="B398">
        <v>14</v>
      </c>
      <c r="C398">
        <v>23</v>
      </c>
      <c r="D398" s="6">
        <v>0</v>
      </c>
      <c r="E398">
        <v>0</v>
      </c>
      <c r="F398" s="6" t="s">
        <v>6</v>
      </c>
      <c r="G398">
        <v>4</v>
      </c>
      <c r="I398">
        <f>IF(pogoda__2[[#This Row],[Kategoria_chmur]]=pogoda__2[[#This Row],[nubis K]],1,0)</f>
        <v>0</v>
      </c>
      <c r="J398">
        <f>IF(pogoda__2[[#This Row],[Wielkosc_chmur]]=pogoda__2[[#This Row],[nubis W]],1,0)</f>
        <v>0</v>
      </c>
      <c r="L398">
        <f>IF(AND(pogoda__2[[#This Row],[Temperatura]]&gt;=20,pogoda__2[[#This Row],[Opad]]&lt;=5),1,0)</f>
        <v>0</v>
      </c>
      <c r="M398">
        <v>4</v>
      </c>
    </row>
    <row r="399" spans="1:13" x14ac:dyDescent="0.3">
      <c r="A399">
        <v>398</v>
      </c>
      <c r="B399">
        <v>17.100000000000001</v>
      </c>
      <c r="C399">
        <v>29</v>
      </c>
      <c r="D399" s="6">
        <v>0</v>
      </c>
      <c r="E399">
        <v>0</v>
      </c>
      <c r="F399" s="6" t="s">
        <v>6</v>
      </c>
      <c r="G399">
        <v>5</v>
      </c>
      <c r="I399">
        <f>IF(pogoda__2[[#This Row],[Kategoria_chmur]]=pogoda__2[[#This Row],[nubis K]],1,0)</f>
        <v>0</v>
      </c>
      <c r="J399">
        <f>IF(pogoda__2[[#This Row],[Wielkosc_chmur]]=pogoda__2[[#This Row],[nubis W]],1,0)</f>
        <v>0</v>
      </c>
      <c r="L399">
        <f>IF(AND(pogoda__2[[#This Row],[Temperatura]]&gt;=20,pogoda__2[[#This Row],[Opad]]&lt;=5),1,0)</f>
        <v>0</v>
      </c>
      <c r="M399">
        <v>5</v>
      </c>
    </row>
    <row r="400" spans="1:13" x14ac:dyDescent="0.3">
      <c r="A400">
        <v>399</v>
      </c>
      <c r="B400">
        <v>18.7</v>
      </c>
      <c r="C400">
        <v>0</v>
      </c>
      <c r="D400" s="6">
        <v>0</v>
      </c>
      <c r="E400">
        <v>0</v>
      </c>
      <c r="F400" s="6">
        <v>0</v>
      </c>
      <c r="G400">
        <v>0</v>
      </c>
      <c r="I400">
        <f>IF(pogoda__2[[#This Row],[Kategoria_chmur]]=pogoda__2[[#This Row],[nubis K]],1,0)</f>
        <v>1</v>
      </c>
      <c r="J400">
        <f>IF(pogoda__2[[#This Row],[Wielkosc_chmur]]=pogoda__2[[#This Row],[nubis W]],1,0)</f>
        <v>1</v>
      </c>
      <c r="L400">
        <f>IF(AND(pogoda__2[[#This Row],[Temperatura]]&gt;=20,pogoda__2[[#This Row],[Opad]]&lt;=5),1,0)</f>
        <v>0</v>
      </c>
      <c r="M400">
        <v>6</v>
      </c>
    </row>
    <row r="401" spans="1:13" x14ac:dyDescent="0.3">
      <c r="A401">
        <v>400</v>
      </c>
      <c r="B401">
        <v>18.8</v>
      </c>
      <c r="C401">
        <v>5</v>
      </c>
      <c r="D401" s="6">
        <v>0</v>
      </c>
      <c r="E401">
        <v>0</v>
      </c>
      <c r="F401" s="6" t="s">
        <v>5</v>
      </c>
      <c r="G401">
        <v>1</v>
      </c>
      <c r="I401">
        <f>IF(pogoda__2[[#This Row],[Kategoria_chmur]]=pogoda__2[[#This Row],[nubis K]],1,0)</f>
        <v>0</v>
      </c>
      <c r="J401">
        <f>IF(pogoda__2[[#This Row],[Wielkosc_chmur]]=pogoda__2[[#This Row],[nubis W]],1,0)</f>
        <v>0</v>
      </c>
      <c r="L401">
        <f>IF(AND(pogoda__2[[#This Row],[Temperatura]]&gt;=20,pogoda__2[[#This Row],[Opad]]&lt;=5),1,0)</f>
        <v>0</v>
      </c>
      <c r="M401">
        <v>7</v>
      </c>
    </row>
    <row r="402" spans="1:13" x14ac:dyDescent="0.3">
      <c r="A402">
        <v>401</v>
      </c>
      <c r="B402">
        <v>17.7</v>
      </c>
      <c r="C402">
        <v>2</v>
      </c>
      <c r="D402" s="6">
        <v>0</v>
      </c>
      <c r="E402">
        <v>0</v>
      </c>
      <c r="F402" s="6" t="s">
        <v>5</v>
      </c>
      <c r="G402">
        <v>1</v>
      </c>
      <c r="I402">
        <f>IF(pogoda__2[[#This Row],[Kategoria_chmur]]=pogoda__2[[#This Row],[nubis K]],1,0)</f>
        <v>0</v>
      </c>
      <c r="J402">
        <f>IF(pogoda__2[[#This Row],[Wielkosc_chmur]]=pogoda__2[[#This Row],[nubis W]],1,0)</f>
        <v>0</v>
      </c>
      <c r="L402">
        <f>IF(AND(pogoda__2[[#This Row],[Temperatura]]&gt;=20,pogoda__2[[#This Row],[Opad]]&lt;=5),1,0)</f>
        <v>0</v>
      </c>
      <c r="M402">
        <v>0</v>
      </c>
    </row>
    <row r="403" spans="1:13" x14ac:dyDescent="0.3">
      <c r="A403">
        <v>402</v>
      </c>
      <c r="B403">
        <v>16.100000000000001</v>
      </c>
      <c r="C403">
        <v>2</v>
      </c>
      <c r="D403" s="6">
        <v>0</v>
      </c>
      <c r="E403">
        <v>0</v>
      </c>
      <c r="F403" s="6" t="s">
        <v>5</v>
      </c>
      <c r="G403">
        <v>1</v>
      </c>
      <c r="I403">
        <f>IF(pogoda__2[[#This Row],[Kategoria_chmur]]=pogoda__2[[#This Row],[nubis K]],1,0)</f>
        <v>0</v>
      </c>
      <c r="J403">
        <f>IF(pogoda__2[[#This Row],[Wielkosc_chmur]]=pogoda__2[[#This Row],[nubis W]],1,0)</f>
        <v>0</v>
      </c>
      <c r="L403">
        <f>IF(AND(pogoda__2[[#This Row],[Temperatura]]&gt;=20,pogoda__2[[#This Row],[Opad]]&lt;=5),1,0)</f>
        <v>0</v>
      </c>
      <c r="M403">
        <v>0</v>
      </c>
    </row>
    <row r="404" spans="1:13" x14ac:dyDescent="0.3">
      <c r="A404">
        <v>403</v>
      </c>
      <c r="B404">
        <v>14.9</v>
      </c>
      <c r="C404">
        <v>7</v>
      </c>
      <c r="D404" s="6">
        <v>0</v>
      </c>
      <c r="E404">
        <v>0</v>
      </c>
      <c r="F404" s="6" t="s">
        <v>5</v>
      </c>
      <c r="G404">
        <v>2</v>
      </c>
      <c r="I404">
        <f>IF(pogoda__2[[#This Row],[Kategoria_chmur]]=pogoda__2[[#This Row],[nubis K]],1,0)</f>
        <v>0</v>
      </c>
      <c r="J404">
        <f>IF(pogoda__2[[#This Row],[Wielkosc_chmur]]=pogoda__2[[#This Row],[nubis W]],1,0)</f>
        <v>0</v>
      </c>
      <c r="L404">
        <f>IF(AND(pogoda__2[[#This Row],[Temperatura]]&gt;=20,pogoda__2[[#This Row],[Opad]]&lt;=5),1,0)</f>
        <v>0</v>
      </c>
      <c r="M404">
        <v>0</v>
      </c>
    </row>
    <row r="405" spans="1:13" x14ac:dyDescent="0.3">
      <c r="A405">
        <v>404</v>
      </c>
      <c r="B405">
        <v>14.9</v>
      </c>
      <c r="C405">
        <v>2</v>
      </c>
      <c r="D405" s="6">
        <v>0</v>
      </c>
      <c r="E405">
        <v>0</v>
      </c>
      <c r="F405" s="6" t="s">
        <v>5</v>
      </c>
      <c r="G405">
        <v>2</v>
      </c>
      <c r="I405">
        <f>IF(pogoda__2[[#This Row],[Kategoria_chmur]]=pogoda__2[[#This Row],[nubis K]],1,0)</f>
        <v>0</v>
      </c>
      <c r="J405">
        <f>IF(pogoda__2[[#This Row],[Wielkosc_chmur]]=pogoda__2[[#This Row],[nubis W]],1,0)</f>
        <v>0</v>
      </c>
      <c r="L405">
        <f>IF(AND(pogoda__2[[#This Row],[Temperatura]]&gt;=20,pogoda__2[[#This Row],[Opad]]&lt;=5),1,0)</f>
        <v>0</v>
      </c>
      <c r="M405">
        <v>0</v>
      </c>
    </row>
    <row r="406" spans="1:13" x14ac:dyDescent="0.3">
      <c r="A406">
        <v>405</v>
      </c>
      <c r="B406">
        <v>16.3</v>
      </c>
      <c r="C406">
        <v>3</v>
      </c>
      <c r="D406" s="6">
        <v>0</v>
      </c>
      <c r="E406">
        <v>0</v>
      </c>
      <c r="F406" s="6" t="s">
        <v>5</v>
      </c>
      <c r="G406">
        <v>2</v>
      </c>
      <c r="I406">
        <f>IF(pogoda__2[[#This Row],[Kategoria_chmur]]=pogoda__2[[#This Row],[nubis K]],1,0)</f>
        <v>0</v>
      </c>
      <c r="J406">
        <f>IF(pogoda__2[[#This Row],[Wielkosc_chmur]]=pogoda__2[[#This Row],[nubis W]],1,0)</f>
        <v>0</v>
      </c>
      <c r="L406">
        <f>IF(AND(pogoda__2[[#This Row],[Temperatura]]&gt;=20,pogoda__2[[#This Row],[Opad]]&lt;=5),1,0)</f>
        <v>0</v>
      </c>
      <c r="M406">
        <v>1</v>
      </c>
    </row>
    <row r="407" spans="1:13" x14ac:dyDescent="0.3">
      <c r="A407">
        <v>406</v>
      </c>
      <c r="B407">
        <v>19.100000000000001</v>
      </c>
      <c r="C407">
        <v>14</v>
      </c>
      <c r="D407" s="6">
        <v>0</v>
      </c>
      <c r="E407">
        <v>0</v>
      </c>
      <c r="F407" s="6" t="s">
        <v>5</v>
      </c>
      <c r="G407">
        <v>3</v>
      </c>
      <c r="I407">
        <f>IF(pogoda__2[[#This Row],[Kategoria_chmur]]=pogoda__2[[#This Row],[nubis K]],1,0)</f>
        <v>0</v>
      </c>
      <c r="J407">
        <f>IF(pogoda__2[[#This Row],[Wielkosc_chmur]]=pogoda__2[[#This Row],[nubis W]],1,0)</f>
        <v>0</v>
      </c>
      <c r="L407">
        <f>IF(AND(pogoda__2[[#This Row],[Temperatura]]&gt;=20,pogoda__2[[#This Row],[Opad]]&lt;=5),1,0)</f>
        <v>0</v>
      </c>
      <c r="M407">
        <v>2</v>
      </c>
    </row>
    <row r="408" spans="1:13" x14ac:dyDescent="0.3">
      <c r="A408">
        <v>407</v>
      </c>
      <c r="B408">
        <v>22.7</v>
      </c>
      <c r="C408">
        <v>12</v>
      </c>
      <c r="D408" s="6">
        <v>0</v>
      </c>
      <c r="E408">
        <v>0</v>
      </c>
      <c r="F408" s="6" t="s">
        <v>5</v>
      </c>
      <c r="G408">
        <v>3</v>
      </c>
      <c r="I408">
        <f>IF(pogoda__2[[#This Row],[Kategoria_chmur]]=pogoda__2[[#This Row],[nubis K]],1,0)</f>
        <v>0</v>
      </c>
      <c r="J408">
        <f>IF(pogoda__2[[#This Row],[Wielkosc_chmur]]=pogoda__2[[#This Row],[nubis W]],1,0)</f>
        <v>0</v>
      </c>
      <c r="L408">
        <f>IF(AND(pogoda__2[[#This Row],[Temperatura]]&gt;=20,pogoda__2[[#This Row],[Opad]]&lt;=5),1,0)</f>
        <v>0</v>
      </c>
      <c r="M408">
        <v>3</v>
      </c>
    </row>
    <row r="409" spans="1:13" x14ac:dyDescent="0.3">
      <c r="A409">
        <v>408</v>
      </c>
      <c r="B409">
        <v>26.1</v>
      </c>
      <c r="C409">
        <v>9</v>
      </c>
      <c r="D409" s="6">
        <v>0</v>
      </c>
      <c r="E409">
        <v>0</v>
      </c>
      <c r="F409" s="6" t="s">
        <v>5</v>
      </c>
      <c r="G409">
        <v>3</v>
      </c>
      <c r="I409">
        <f>IF(pogoda__2[[#This Row],[Kategoria_chmur]]=pogoda__2[[#This Row],[nubis K]],1,0)</f>
        <v>0</v>
      </c>
      <c r="J409">
        <f>IF(pogoda__2[[#This Row],[Wielkosc_chmur]]=pogoda__2[[#This Row],[nubis W]],1,0)</f>
        <v>0</v>
      </c>
      <c r="L409">
        <f>IF(AND(pogoda__2[[#This Row],[Temperatura]]&gt;=20,pogoda__2[[#This Row],[Opad]]&lt;=5),1,0)</f>
        <v>0</v>
      </c>
      <c r="M409">
        <v>4</v>
      </c>
    </row>
    <row r="410" spans="1:13" x14ac:dyDescent="0.3">
      <c r="A410">
        <v>409</v>
      </c>
      <c r="B410">
        <v>28.6</v>
      </c>
      <c r="C410">
        <v>14</v>
      </c>
      <c r="D410" s="6">
        <v>0</v>
      </c>
      <c r="E410">
        <v>0</v>
      </c>
      <c r="F410" s="6" t="s">
        <v>5</v>
      </c>
      <c r="G410">
        <v>4</v>
      </c>
      <c r="I410">
        <f>IF(pogoda__2[[#This Row],[Kategoria_chmur]]=pogoda__2[[#This Row],[nubis K]],1,0)</f>
        <v>0</v>
      </c>
      <c r="J410">
        <f>IF(pogoda__2[[#This Row],[Wielkosc_chmur]]=pogoda__2[[#This Row],[nubis W]],1,0)</f>
        <v>0</v>
      </c>
      <c r="L410">
        <f>IF(AND(pogoda__2[[#This Row],[Temperatura]]&gt;=20,pogoda__2[[#This Row],[Opad]]&lt;=5),1,0)</f>
        <v>0</v>
      </c>
      <c r="M410">
        <v>5</v>
      </c>
    </row>
    <row r="411" spans="1:13" x14ac:dyDescent="0.3">
      <c r="A411">
        <v>410</v>
      </c>
      <c r="B411">
        <v>29.5</v>
      </c>
      <c r="C411">
        <v>17</v>
      </c>
      <c r="D411" s="6">
        <v>0</v>
      </c>
      <c r="E411">
        <v>0</v>
      </c>
      <c r="F411" s="6" t="s">
        <v>5</v>
      </c>
      <c r="G411">
        <v>4</v>
      </c>
      <c r="I411">
        <f>IF(pogoda__2[[#This Row],[Kategoria_chmur]]=pogoda__2[[#This Row],[nubis K]],1,0)</f>
        <v>0</v>
      </c>
      <c r="J411">
        <f>IF(pogoda__2[[#This Row],[Wielkosc_chmur]]=pogoda__2[[#This Row],[nubis W]],1,0)</f>
        <v>0</v>
      </c>
      <c r="L411">
        <f>IF(AND(pogoda__2[[#This Row],[Temperatura]]&gt;=20,pogoda__2[[#This Row],[Opad]]&lt;=5),1,0)</f>
        <v>0</v>
      </c>
      <c r="M411">
        <v>6</v>
      </c>
    </row>
    <row r="412" spans="1:13" x14ac:dyDescent="0.3">
      <c r="A412">
        <v>411</v>
      </c>
      <c r="B412">
        <v>28.6</v>
      </c>
      <c r="C412">
        <v>9</v>
      </c>
      <c r="D412" s="6">
        <v>0</v>
      </c>
      <c r="E412">
        <v>0</v>
      </c>
      <c r="F412" s="6" t="s">
        <v>5</v>
      </c>
      <c r="G412">
        <v>4</v>
      </c>
      <c r="I412">
        <f>IF(pogoda__2[[#This Row],[Kategoria_chmur]]=pogoda__2[[#This Row],[nubis K]],1,0)</f>
        <v>0</v>
      </c>
      <c r="J412">
        <f>IF(pogoda__2[[#This Row],[Wielkosc_chmur]]=pogoda__2[[#This Row],[nubis W]],1,0)</f>
        <v>0</v>
      </c>
      <c r="L412">
        <f>IF(AND(pogoda__2[[#This Row],[Temperatura]]&gt;=20,pogoda__2[[#This Row],[Opad]]&lt;=5),1,0)</f>
        <v>0</v>
      </c>
      <c r="M412">
        <v>0</v>
      </c>
    </row>
    <row r="413" spans="1:13" x14ac:dyDescent="0.3">
      <c r="A413">
        <v>412</v>
      </c>
      <c r="B413">
        <v>26.4</v>
      </c>
      <c r="C413">
        <v>28</v>
      </c>
      <c r="D413" s="6">
        <v>0</v>
      </c>
      <c r="E413">
        <v>0</v>
      </c>
      <c r="F413" s="6" t="s">
        <v>5</v>
      </c>
      <c r="G413">
        <v>5</v>
      </c>
      <c r="I413">
        <f>IF(pogoda__2[[#This Row],[Kategoria_chmur]]=pogoda__2[[#This Row],[nubis K]],1,0)</f>
        <v>0</v>
      </c>
      <c r="J413">
        <f>IF(pogoda__2[[#This Row],[Wielkosc_chmur]]=pogoda__2[[#This Row],[nubis W]],1,0)</f>
        <v>0</v>
      </c>
      <c r="L413">
        <f>IF(AND(pogoda__2[[#This Row],[Temperatura]]&gt;=20,pogoda__2[[#This Row],[Opad]]&lt;=5),1,0)</f>
        <v>0</v>
      </c>
      <c r="M413">
        <v>0</v>
      </c>
    </row>
    <row r="414" spans="1:13" x14ac:dyDescent="0.3">
      <c r="A414">
        <v>413</v>
      </c>
      <c r="B414">
        <v>23.6</v>
      </c>
      <c r="C414">
        <v>0</v>
      </c>
      <c r="D414" s="6">
        <v>0</v>
      </c>
      <c r="E414">
        <v>0</v>
      </c>
      <c r="F414" s="6">
        <v>0</v>
      </c>
      <c r="G414">
        <v>0</v>
      </c>
      <c r="I414">
        <f>IF(pogoda__2[[#This Row],[Kategoria_chmur]]=pogoda__2[[#This Row],[nubis K]],1,0)</f>
        <v>1</v>
      </c>
      <c r="J414">
        <f>IF(pogoda__2[[#This Row],[Wielkosc_chmur]]=pogoda__2[[#This Row],[nubis W]],1,0)</f>
        <v>1</v>
      </c>
      <c r="L414">
        <f>IF(AND(pogoda__2[[#This Row],[Temperatura]]&gt;=20,pogoda__2[[#This Row],[Opad]]&lt;=5),1,0)</f>
        <v>1</v>
      </c>
      <c r="M414">
        <v>0</v>
      </c>
    </row>
    <row r="415" spans="1:13" x14ac:dyDescent="0.3">
      <c r="A415">
        <v>414</v>
      </c>
      <c r="B415">
        <v>21</v>
      </c>
      <c r="C415">
        <v>1</v>
      </c>
      <c r="D415" s="6">
        <v>0</v>
      </c>
      <c r="E415">
        <v>0</v>
      </c>
      <c r="F415" s="6" t="s">
        <v>5</v>
      </c>
      <c r="G415">
        <v>1</v>
      </c>
      <c r="I415">
        <f>IF(pogoda__2[[#This Row],[Kategoria_chmur]]=pogoda__2[[#This Row],[nubis K]],1,0)</f>
        <v>0</v>
      </c>
      <c r="J415">
        <f>IF(pogoda__2[[#This Row],[Wielkosc_chmur]]=pogoda__2[[#This Row],[nubis W]],1,0)</f>
        <v>0</v>
      </c>
      <c r="L415">
        <f>IF(AND(pogoda__2[[#This Row],[Temperatura]]&gt;=20,pogoda__2[[#This Row],[Opad]]&lt;=5),1,0)</f>
        <v>1</v>
      </c>
      <c r="M415">
        <v>0</v>
      </c>
    </row>
    <row r="416" spans="1:13" x14ac:dyDescent="0.3">
      <c r="A416">
        <v>415</v>
      </c>
      <c r="B416">
        <v>19.600000000000001</v>
      </c>
      <c r="C416">
        <v>6</v>
      </c>
      <c r="D416" s="6">
        <v>0</v>
      </c>
      <c r="E416">
        <v>0</v>
      </c>
      <c r="F416" s="6" t="s">
        <v>5</v>
      </c>
      <c r="G416">
        <v>1</v>
      </c>
      <c r="I416">
        <f>IF(pogoda__2[[#This Row],[Kategoria_chmur]]=pogoda__2[[#This Row],[nubis K]],1,0)</f>
        <v>0</v>
      </c>
      <c r="J416">
        <f>IF(pogoda__2[[#This Row],[Wielkosc_chmur]]=pogoda__2[[#This Row],[nubis W]],1,0)</f>
        <v>0</v>
      </c>
      <c r="L416">
        <f>IF(AND(pogoda__2[[#This Row],[Temperatura]]&gt;=20,pogoda__2[[#This Row],[Opad]]&lt;=5),1,0)</f>
        <v>0</v>
      </c>
      <c r="M416">
        <v>0</v>
      </c>
    </row>
    <row r="417" spans="1:13" x14ac:dyDescent="0.3">
      <c r="A417">
        <v>416</v>
      </c>
      <c r="B417">
        <v>19.5</v>
      </c>
      <c r="C417">
        <v>4</v>
      </c>
      <c r="D417" s="6">
        <v>0</v>
      </c>
      <c r="E417">
        <v>0</v>
      </c>
      <c r="F417" s="6" t="s">
        <v>5</v>
      </c>
      <c r="G417">
        <v>1</v>
      </c>
      <c r="I417">
        <f>IF(pogoda__2[[#This Row],[Kategoria_chmur]]=pogoda__2[[#This Row],[nubis K]],1,0)</f>
        <v>0</v>
      </c>
      <c r="J417">
        <f>IF(pogoda__2[[#This Row],[Wielkosc_chmur]]=pogoda__2[[#This Row],[nubis W]],1,0)</f>
        <v>0</v>
      </c>
      <c r="L417">
        <f>IF(AND(pogoda__2[[#This Row],[Temperatura]]&gt;=20,pogoda__2[[#This Row],[Opad]]&lt;=5),1,0)</f>
        <v>0</v>
      </c>
      <c r="M417">
        <v>0</v>
      </c>
    </row>
    <row r="418" spans="1:13" x14ac:dyDescent="0.3">
      <c r="A418">
        <v>417</v>
      </c>
      <c r="B418">
        <v>20.7</v>
      </c>
      <c r="C418">
        <v>10</v>
      </c>
      <c r="D418" s="6">
        <v>0</v>
      </c>
      <c r="E418">
        <v>0</v>
      </c>
      <c r="F418" s="6" t="s">
        <v>5</v>
      </c>
      <c r="G418">
        <v>2</v>
      </c>
      <c r="I418">
        <f>IF(pogoda__2[[#This Row],[Kategoria_chmur]]=pogoda__2[[#This Row],[nubis K]],1,0)</f>
        <v>0</v>
      </c>
      <c r="J418">
        <f>IF(pogoda__2[[#This Row],[Wielkosc_chmur]]=pogoda__2[[#This Row],[nubis W]],1,0)</f>
        <v>0</v>
      </c>
      <c r="L418">
        <f>IF(AND(pogoda__2[[#This Row],[Temperatura]]&gt;=20,pogoda__2[[#This Row],[Opad]]&lt;=5),1,0)</f>
        <v>0</v>
      </c>
      <c r="M418">
        <v>1</v>
      </c>
    </row>
    <row r="419" spans="1:13" x14ac:dyDescent="0.3">
      <c r="A419">
        <v>418</v>
      </c>
      <c r="B419">
        <v>22.7</v>
      </c>
      <c r="C419">
        <v>4</v>
      </c>
      <c r="D419" s="6">
        <v>0</v>
      </c>
      <c r="E419">
        <v>0</v>
      </c>
      <c r="F419" s="6" t="s">
        <v>5</v>
      </c>
      <c r="G419">
        <v>2</v>
      </c>
      <c r="I419">
        <f>IF(pogoda__2[[#This Row],[Kategoria_chmur]]=pogoda__2[[#This Row],[nubis K]],1,0)</f>
        <v>0</v>
      </c>
      <c r="J419">
        <f>IF(pogoda__2[[#This Row],[Wielkosc_chmur]]=pogoda__2[[#This Row],[nubis W]],1,0)</f>
        <v>0</v>
      </c>
      <c r="L419">
        <f>IF(AND(pogoda__2[[#This Row],[Temperatura]]&gt;=20,pogoda__2[[#This Row],[Opad]]&lt;=5),1,0)</f>
        <v>1</v>
      </c>
      <c r="M419">
        <v>2</v>
      </c>
    </row>
    <row r="420" spans="1:13" x14ac:dyDescent="0.3">
      <c r="A420">
        <v>419</v>
      </c>
      <c r="B420">
        <v>24.5</v>
      </c>
      <c r="C420">
        <v>5</v>
      </c>
      <c r="D420" s="6">
        <v>0</v>
      </c>
      <c r="E420">
        <v>0</v>
      </c>
      <c r="F420" s="6" t="s">
        <v>5</v>
      </c>
      <c r="G420">
        <v>2</v>
      </c>
      <c r="I420">
        <f>IF(pogoda__2[[#This Row],[Kategoria_chmur]]=pogoda__2[[#This Row],[nubis K]],1,0)</f>
        <v>0</v>
      </c>
      <c r="J420">
        <f>IF(pogoda__2[[#This Row],[Wielkosc_chmur]]=pogoda__2[[#This Row],[nubis W]],1,0)</f>
        <v>0</v>
      </c>
      <c r="L420">
        <f>IF(AND(pogoda__2[[#This Row],[Temperatura]]&gt;=20,pogoda__2[[#This Row],[Opad]]&lt;=5),1,0)</f>
        <v>1</v>
      </c>
      <c r="M420">
        <v>3</v>
      </c>
    </row>
    <row r="421" spans="1:13" x14ac:dyDescent="0.3">
      <c r="A421">
        <v>420</v>
      </c>
      <c r="B421">
        <v>25.4</v>
      </c>
      <c r="C421">
        <v>8</v>
      </c>
      <c r="D421" s="6">
        <v>0</v>
      </c>
      <c r="E421">
        <v>0</v>
      </c>
      <c r="F421" s="6" t="s">
        <v>5</v>
      </c>
      <c r="G421">
        <v>3</v>
      </c>
      <c r="I421">
        <f>IF(pogoda__2[[#This Row],[Kategoria_chmur]]=pogoda__2[[#This Row],[nubis K]],1,0)</f>
        <v>0</v>
      </c>
      <c r="J421">
        <f>IF(pogoda__2[[#This Row],[Wielkosc_chmur]]=pogoda__2[[#This Row],[nubis W]],1,0)</f>
        <v>0</v>
      </c>
      <c r="L421">
        <f>IF(AND(pogoda__2[[#This Row],[Temperatura]]&gt;=20,pogoda__2[[#This Row],[Opad]]&lt;=5),1,0)</f>
        <v>0</v>
      </c>
      <c r="M421">
        <v>4</v>
      </c>
    </row>
    <row r="422" spans="1:13" x14ac:dyDescent="0.3">
      <c r="A422">
        <v>421</v>
      </c>
      <c r="B422">
        <v>24.8</v>
      </c>
      <c r="C422">
        <v>12</v>
      </c>
      <c r="D422" s="6">
        <v>0</v>
      </c>
      <c r="E422">
        <v>0</v>
      </c>
      <c r="F422" s="6" t="s">
        <v>5</v>
      </c>
      <c r="G422">
        <v>3</v>
      </c>
      <c r="I422">
        <f>IF(pogoda__2[[#This Row],[Kategoria_chmur]]=pogoda__2[[#This Row],[nubis K]],1,0)</f>
        <v>0</v>
      </c>
      <c r="J422">
        <f>IF(pogoda__2[[#This Row],[Wielkosc_chmur]]=pogoda__2[[#This Row],[nubis W]],1,0)</f>
        <v>0</v>
      </c>
      <c r="L422">
        <f>IF(AND(pogoda__2[[#This Row],[Temperatura]]&gt;=20,pogoda__2[[#This Row],[Opad]]&lt;=5),1,0)</f>
        <v>0</v>
      </c>
      <c r="M422">
        <v>0</v>
      </c>
    </row>
    <row r="423" spans="1:13" x14ac:dyDescent="0.3">
      <c r="A423">
        <v>422</v>
      </c>
      <c r="B423">
        <v>22.5</v>
      </c>
      <c r="C423">
        <v>8</v>
      </c>
      <c r="D423" s="6">
        <v>0</v>
      </c>
      <c r="E423">
        <v>0</v>
      </c>
      <c r="F423" s="6" t="s">
        <v>5</v>
      </c>
      <c r="G423">
        <v>3</v>
      </c>
      <c r="I423">
        <f>IF(pogoda__2[[#This Row],[Kategoria_chmur]]=pogoda__2[[#This Row],[nubis K]],1,0)</f>
        <v>0</v>
      </c>
      <c r="J423">
        <f>IF(pogoda__2[[#This Row],[Wielkosc_chmur]]=pogoda__2[[#This Row],[nubis W]],1,0)</f>
        <v>0</v>
      </c>
      <c r="L423">
        <f>IF(AND(pogoda__2[[#This Row],[Temperatura]]&gt;=20,pogoda__2[[#This Row],[Opad]]&lt;=5),1,0)</f>
        <v>0</v>
      </c>
      <c r="M423">
        <v>0</v>
      </c>
    </row>
    <row r="424" spans="1:13" x14ac:dyDescent="0.3">
      <c r="A424">
        <v>423</v>
      </c>
      <c r="B424">
        <v>18.899999999999999</v>
      </c>
      <c r="C424">
        <v>7</v>
      </c>
      <c r="D424" s="6">
        <v>0</v>
      </c>
      <c r="E424">
        <v>0</v>
      </c>
      <c r="F424" s="6" t="s">
        <v>5</v>
      </c>
      <c r="G424">
        <v>4</v>
      </c>
      <c r="I424">
        <f>IF(pogoda__2[[#This Row],[Kategoria_chmur]]=pogoda__2[[#This Row],[nubis K]],1,0)</f>
        <v>0</v>
      </c>
      <c r="J424">
        <f>IF(pogoda__2[[#This Row],[Wielkosc_chmur]]=pogoda__2[[#This Row],[nubis W]],1,0)</f>
        <v>0</v>
      </c>
      <c r="L424">
        <f>IF(AND(pogoda__2[[#This Row],[Temperatura]]&gt;=20,pogoda__2[[#This Row],[Opad]]&lt;=5),1,0)</f>
        <v>0</v>
      </c>
      <c r="M424">
        <v>0</v>
      </c>
    </row>
    <row r="425" spans="1:13" x14ac:dyDescent="0.3">
      <c r="A425">
        <v>424</v>
      </c>
      <c r="B425">
        <v>14.8</v>
      </c>
      <c r="C425">
        <v>8</v>
      </c>
      <c r="D425" s="6">
        <v>0</v>
      </c>
      <c r="E425">
        <v>0</v>
      </c>
      <c r="F425" s="6" t="s">
        <v>5</v>
      </c>
      <c r="G425">
        <v>4</v>
      </c>
      <c r="I425">
        <f>IF(pogoda__2[[#This Row],[Kategoria_chmur]]=pogoda__2[[#This Row],[nubis K]],1,0)</f>
        <v>0</v>
      </c>
      <c r="J425">
        <f>IF(pogoda__2[[#This Row],[Wielkosc_chmur]]=pogoda__2[[#This Row],[nubis W]],1,0)</f>
        <v>0</v>
      </c>
      <c r="L425">
        <f>IF(AND(pogoda__2[[#This Row],[Temperatura]]&gt;=20,pogoda__2[[#This Row],[Opad]]&lt;=5),1,0)</f>
        <v>0</v>
      </c>
      <c r="M425">
        <v>0</v>
      </c>
    </row>
    <row r="426" spans="1:13" x14ac:dyDescent="0.3">
      <c r="A426">
        <v>425</v>
      </c>
      <c r="B426">
        <v>11.2</v>
      </c>
      <c r="C426">
        <v>7</v>
      </c>
      <c r="D426" s="6">
        <v>0</v>
      </c>
      <c r="E426">
        <v>0</v>
      </c>
      <c r="F426" s="6" t="s">
        <v>5</v>
      </c>
      <c r="G426">
        <v>4</v>
      </c>
      <c r="I426">
        <f>IF(pogoda__2[[#This Row],[Kategoria_chmur]]=pogoda__2[[#This Row],[nubis K]],1,0)</f>
        <v>0</v>
      </c>
      <c r="J426">
        <f>IF(pogoda__2[[#This Row],[Wielkosc_chmur]]=pogoda__2[[#This Row],[nubis W]],1,0)</f>
        <v>0</v>
      </c>
      <c r="L426">
        <f>IF(AND(pogoda__2[[#This Row],[Temperatura]]&gt;=20,pogoda__2[[#This Row],[Opad]]&lt;=5),1,0)</f>
        <v>0</v>
      </c>
      <c r="M426">
        <v>0</v>
      </c>
    </row>
    <row r="427" spans="1:13" x14ac:dyDescent="0.3">
      <c r="A427">
        <v>426</v>
      </c>
      <c r="B427">
        <v>8.8000000000000007</v>
      </c>
      <c r="C427">
        <v>23</v>
      </c>
      <c r="D427" s="6">
        <v>0</v>
      </c>
      <c r="E427">
        <v>0</v>
      </c>
      <c r="F427" s="6" t="s">
        <v>5</v>
      </c>
      <c r="G427">
        <v>5</v>
      </c>
      <c r="I427">
        <f>IF(pogoda__2[[#This Row],[Kategoria_chmur]]=pogoda__2[[#This Row],[nubis K]],1,0)</f>
        <v>0</v>
      </c>
      <c r="J427">
        <f>IF(pogoda__2[[#This Row],[Wielkosc_chmur]]=pogoda__2[[#This Row],[nubis W]],1,0)</f>
        <v>0</v>
      </c>
      <c r="L427">
        <f>IF(AND(pogoda__2[[#This Row],[Temperatura]]&gt;=20,pogoda__2[[#This Row],[Opad]]&lt;=5),1,0)</f>
        <v>0</v>
      </c>
      <c r="M427">
        <v>0</v>
      </c>
    </row>
    <row r="428" spans="1:13" x14ac:dyDescent="0.3">
      <c r="A428">
        <v>427</v>
      </c>
      <c r="B428">
        <v>8</v>
      </c>
      <c r="C428">
        <v>0</v>
      </c>
      <c r="D428" s="6">
        <v>0</v>
      </c>
      <c r="E428">
        <v>0</v>
      </c>
      <c r="F428" s="6">
        <v>0</v>
      </c>
      <c r="G428">
        <v>0</v>
      </c>
      <c r="I428">
        <f>IF(pogoda__2[[#This Row],[Kategoria_chmur]]=pogoda__2[[#This Row],[nubis K]],1,0)</f>
        <v>1</v>
      </c>
      <c r="J428">
        <f>IF(pogoda__2[[#This Row],[Wielkosc_chmur]]=pogoda__2[[#This Row],[nubis W]],1,0)</f>
        <v>1</v>
      </c>
      <c r="L428">
        <f>IF(AND(pogoda__2[[#This Row],[Temperatura]]&gt;=20,pogoda__2[[#This Row],[Opad]]&lt;=5),1,0)</f>
        <v>0</v>
      </c>
      <c r="M428">
        <v>0</v>
      </c>
    </row>
    <row r="429" spans="1:13" x14ac:dyDescent="0.3">
      <c r="A429">
        <v>428</v>
      </c>
      <c r="B429">
        <v>8.6</v>
      </c>
      <c r="C429">
        <v>2</v>
      </c>
      <c r="D429" s="6">
        <v>0</v>
      </c>
      <c r="E429">
        <v>0</v>
      </c>
      <c r="F429" s="6" t="s">
        <v>6</v>
      </c>
      <c r="G429">
        <v>1</v>
      </c>
      <c r="I429">
        <f>IF(pogoda__2[[#This Row],[Kategoria_chmur]]=pogoda__2[[#This Row],[nubis K]],1,0)</f>
        <v>0</v>
      </c>
      <c r="J429">
        <f>IF(pogoda__2[[#This Row],[Wielkosc_chmur]]=pogoda__2[[#This Row],[nubis W]],1,0)</f>
        <v>0</v>
      </c>
      <c r="L429">
        <f>IF(AND(pogoda__2[[#This Row],[Temperatura]]&gt;=20,pogoda__2[[#This Row],[Opad]]&lt;=5),1,0)</f>
        <v>0</v>
      </c>
      <c r="M429">
        <v>1</v>
      </c>
    </row>
    <row r="430" spans="1:13" x14ac:dyDescent="0.3">
      <c r="A430">
        <v>429</v>
      </c>
      <c r="B430">
        <v>10.199999999999999</v>
      </c>
      <c r="C430">
        <v>5</v>
      </c>
      <c r="D430" s="6">
        <v>0</v>
      </c>
      <c r="E430">
        <v>0</v>
      </c>
      <c r="F430" s="6" t="s">
        <v>6</v>
      </c>
      <c r="G430">
        <v>1</v>
      </c>
      <c r="I430">
        <f>IF(pogoda__2[[#This Row],[Kategoria_chmur]]=pogoda__2[[#This Row],[nubis K]],1,0)</f>
        <v>0</v>
      </c>
      <c r="J430">
        <f>IF(pogoda__2[[#This Row],[Wielkosc_chmur]]=pogoda__2[[#This Row],[nubis W]],1,0)</f>
        <v>0</v>
      </c>
      <c r="L430">
        <f>IF(AND(pogoda__2[[#This Row],[Temperatura]]&gt;=20,pogoda__2[[#This Row],[Opad]]&lt;=5),1,0)</f>
        <v>0</v>
      </c>
      <c r="M430">
        <v>2</v>
      </c>
    </row>
    <row r="431" spans="1:13" x14ac:dyDescent="0.3">
      <c r="A431">
        <v>430</v>
      </c>
      <c r="B431">
        <v>11.8</v>
      </c>
      <c r="C431">
        <v>5</v>
      </c>
      <c r="D431" s="6">
        <v>0</v>
      </c>
      <c r="E431">
        <v>0</v>
      </c>
      <c r="F431" s="6" t="s">
        <v>6</v>
      </c>
      <c r="G431">
        <v>1</v>
      </c>
      <c r="I431">
        <f>IF(pogoda__2[[#This Row],[Kategoria_chmur]]=pogoda__2[[#This Row],[nubis K]],1,0)</f>
        <v>0</v>
      </c>
      <c r="J431">
        <f>IF(pogoda__2[[#This Row],[Wielkosc_chmur]]=pogoda__2[[#This Row],[nubis W]],1,0)</f>
        <v>0</v>
      </c>
      <c r="L431">
        <f>IF(AND(pogoda__2[[#This Row],[Temperatura]]&gt;=20,pogoda__2[[#This Row],[Opad]]&lt;=5),1,0)</f>
        <v>0</v>
      </c>
      <c r="M431">
        <v>3</v>
      </c>
    </row>
    <row r="432" spans="1:13" x14ac:dyDescent="0.3">
      <c r="A432">
        <v>431</v>
      </c>
      <c r="B432">
        <v>12.7</v>
      </c>
      <c r="C432">
        <v>8</v>
      </c>
      <c r="D432" s="6">
        <v>0</v>
      </c>
      <c r="E432">
        <v>0</v>
      </c>
      <c r="F432" s="6" t="s">
        <v>6</v>
      </c>
      <c r="G432">
        <v>2</v>
      </c>
      <c r="I432">
        <f>IF(pogoda__2[[#This Row],[Kategoria_chmur]]=pogoda__2[[#This Row],[nubis K]],1,0)</f>
        <v>0</v>
      </c>
      <c r="J432">
        <f>IF(pogoda__2[[#This Row],[Wielkosc_chmur]]=pogoda__2[[#This Row],[nubis W]],1,0)</f>
        <v>0</v>
      </c>
      <c r="L432">
        <f>IF(AND(pogoda__2[[#This Row],[Temperatura]]&gt;=20,pogoda__2[[#This Row],[Opad]]&lt;=5),1,0)</f>
        <v>0</v>
      </c>
      <c r="M432">
        <v>4</v>
      </c>
    </row>
    <row r="433" spans="1:13" x14ac:dyDescent="0.3">
      <c r="A433">
        <v>432</v>
      </c>
      <c r="B433">
        <v>12.2</v>
      </c>
      <c r="C433">
        <v>6</v>
      </c>
      <c r="D433" s="6">
        <v>0</v>
      </c>
      <c r="E433">
        <v>0</v>
      </c>
      <c r="F433" s="6" t="s">
        <v>6</v>
      </c>
      <c r="G433">
        <v>2</v>
      </c>
      <c r="I433">
        <f>IF(pogoda__2[[#This Row],[Kategoria_chmur]]=pogoda__2[[#This Row],[nubis K]],1,0)</f>
        <v>0</v>
      </c>
      <c r="J433">
        <f>IF(pogoda__2[[#This Row],[Wielkosc_chmur]]=pogoda__2[[#This Row],[nubis W]],1,0)</f>
        <v>0</v>
      </c>
      <c r="L433">
        <f>IF(AND(pogoda__2[[#This Row],[Temperatura]]&gt;=20,pogoda__2[[#This Row],[Opad]]&lt;=5),1,0)</f>
        <v>0</v>
      </c>
      <c r="M433">
        <v>0</v>
      </c>
    </row>
    <row r="434" spans="1:13" x14ac:dyDescent="0.3">
      <c r="A434">
        <v>433</v>
      </c>
      <c r="B434">
        <v>10.3</v>
      </c>
      <c r="C434">
        <v>9</v>
      </c>
      <c r="D434" s="6">
        <v>0</v>
      </c>
      <c r="E434">
        <v>0</v>
      </c>
      <c r="F434" s="6" t="s">
        <v>6</v>
      </c>
      <c r="G434">
        <v>2</v>
      </c>
      <c r="I434">
        <f>IF(pogoda__2[[#This Row],[Kategoria_chmur]]=pogoda__2[[#This Row],[nubis K]],1,0)</f>
        <v>0</v>
      </c>
      <c r="J434">
        <f>IF(pogoda__2[[#This Row],[Wielkosc_chmur]]=pogoda__2[[#This Row],[nubis W]],1,0)</f>
        <v>0</v>
      </c>
      <c r="L434">
        <f>IF(AND(pogoda__2[[#This Row],[Temperatura]]&gt;=20,pogoda__2[[#This Row],[Opad]]&lt;=5),1,0)</f>
        <v>0</v>
      </c>
      <c r="M434">
        <v>0</v>
      </c>
    </row>
    <row r="435" spans="1:13" x14ac:dyDescent="0.3">
      <c r="A435">
        <v>434</v>
      </c>
      <c r="B435">
        <v>7.4</v>
      </c>
      <c r="C435">
        <v>17</v>
      </c>
      <c r="D435" s="6">
        <v>0</v>
      </c>
      <c r="E435">
        <v>0</v>
      </c>
      <c r="F435" s="6" t="s">
        <v>6</v>
      </c>
      <c r="G435">
        <v>3</v>
      </c>
      <c r="I435">
        <f>IF(pogoda__2[[#This Row],[Kategoria_chmur]]=pogoda__2[[#This Row],[nubis K]],1,0)</f>
        <v>0</v>
      </c>
      <c r="J435">
        <f>IF(pogoda__2[[#This Row],[Wielkosc_chmur]]=pogoda__2[[#This Row],[nubis W]],1,0)</f>
        <v>0</v>
      </c>
      <c r="L435">
        <f>IF(AND(pogoda__2[[#This Row],[Temperatura]]&gt;=20,pogoda__2[[#This Row],[Opad]]&lt;=5),1,0)</f>
        <v>0</v>
      </c>
      <c r="M435">
        <v>0</v>
      </c>
    </row>
    <row r="436" spans="1:13" x14ac:dyDescent="0.3">
      <c r="A436">
        <v>435</v>
      </c>
      <c r="B436">
        <v>4.0999999999999996</v>
      </c>
      <c r="C436">
        <v>17</v>
      </c>
      <c r="D436" s="6">
        <v>0</v>
      </c>
      <c r="E436">
        <v>0</v>
      </c>
      <c r="F436" s="6" t="s">
        <v>6</v>
      </c>
      <c r="G436">
        <v>3</v>
      </c>
      <c r="I436">
        <f>IF(pogoda__2[[#This Row],[Kategoria_chmur]]=pogoda__2[[#This Row],[nubis K]],1,0)</f>
        <v>0</v>
      </c>
      <c r="J436">
        <f>IF(pogoda__2[[#This Row],[Wielkosc_chmur]]=pogoda__2[[#This Row],[nubis W]],1,0)</f>
        <v>0</v>
      </c>
      <c r="L436">
        <f>IF(AND(pogoda__2[[#This Row],[Temperatura]]&gt;=20,pogoda__2[[#This Row],[Opad]]&lt;=5),1,0)</f>
        <v>0</v>
      </c>
      <c r="M436">
        <v>0</v>
      </c>
    </row>
    <row r="437" spans="1:13" x14ac:dyDescent="0.3">
      <c r="A437">
        <v>436</v>
      </c>
      <c r="B437">
        <v>1.4</v>
      </c>
      <c r="C437">
        <v>7</v>
      </c>
      <c r="D437" s="6">
        <v>0</v>
      </c>
      <c r="E437">
        <v>0</v>
      </c>
      <c r="F437" s="6" t="s">
        <v>6</v>
      </c>
      <c r="G437">
        <v>3</v>
      </c>
      <c r="I437">
        <f>IF(pogoda__2[[#This Row],[Kategoria_chmur]]=pogoda__2[[#This Row],[nubis K]],1,0)</f>
        <v>0</v>
      </c>
      <c r="J437">
        <f>IF(pogoda__2[[#This Row],[Wielkosc_chmur]]=pogoda__2[[#This Row],[nubis W]],1,0)</f>
        <v>0</v>
      </c>
      <c r="L437">
        <f>IF(AND(pogoda__2[[#This Row],[Temperatura]]&gt;=20,pogoda__2[[#This Row],[Opad]]&lt;=5),1,0)</f>
        <v>0</v>
      </c>
      <c r="M437">
        <v>0</v>
      </c>
    </row>
    <row r="438" spans="1:13" x14ac:dyDescent="0.3">
      <c r="A438">
        <v>437</v>
      </c>
      <c r="B438">
        <v>0.1</v>
      </c>
      <c r="C438">
        <v>24</v>
      </c>
      <c r="D438" s="6">
        <v>0</v>
      </c>
      <c r="E438">
        <v>0</v>
      </c>
      <c r="F438" s="6" t="s">
        <v>6</v>
      </c>
      <c r="G438">
        <v>4</v>
      </c>
      <c r="I438">
        <f>IF(pogoda__2[[#This Row],[Kategoria_chmur]]=pogoda__2[[#This Row],[nubis K]],1,0)</f>
        <v>0</v>
      </c>
      <c r="J438">
        <f>IF(pogoda__2[[#This Row],[Wielkosc_chmur]]=pogoda__2[[#This Row],[nubis W]],1,0)</f>
        <v>0</v>
      </c>
      <c r="L438">
        <f>IF(AND(pogoda__2[[#This Row],[Temperatura]]&gt;=20,pogoda__2[[#This Row],[Opad]]&lt;=5),1,0)</f>
        <v>0</v>
      </c>
      <c r="M438">
        <v>0</v>
      </c>
    </row>
    <row r="439" spans="1:13" x14ac:dyDescent="0.3">
      <c r="A439">
        <v>438</v>
      </c>
      <c r="B439">
        <v>0.5</v>
      </c>
      <c r="C439">
        <v>16</v>
      </c>
      <c r="D439" s="6">
        <v>0</v>
      </c>
      <c r="E439">
        <v>0</v>
      </c>
      <c r="F439" s="6" t="s">
        <v>6</v>
      </c>
      <c r="G439">
        <v>4</v>
      </c>
      <c r="I439">
        <f>IF(pogoda__2[[#This Row],[Kategoria_chmur]]=pogoda__2[[#This Row],[nubis K]],1,0)</f>
        <v>0</v>
      </c>
      <c r="J439">
        <f>IF(pogoda__2[[#This Row],[Wielkosc_chmur]]=pogoda__2[[#This Row],[nubis W]],1,0)</f>
        <v>0</v>
      </c>
      <c r="L439">
        <f>IF(AND(pogoda__2[[#This Row],[Temperatura]]&gt;=20,pogoda__2[[#This Row],[Opad]]&lt;=5),1,0)</f>
        <v>0</v>
      </c>
      <c r="M439">
        <v>1</v>
      </c>
    </row>
    <row r="440" spans="1:13" x14ac:dyDescent="0.3">
      <c r="A440">
        <v>439</v>
      </c>
      <c r="B440">
        <v>2.5</v>
      </c>
      <c r="C440">
        <v>2</v>
      </c>
      <c r="D440" s="6">
        <v>0</v>
      </c>
      <c r="E440">
        <v>0</v>
      </c>
      <c r="F440" s="6" t="s">
        <v>6</v>
      </c>
      <c r="G440">
        <v>4</v>
      </c>
      <c r="I440">
        <f>IF(pogoda__2[[#This Row],[Kategoria_chmur]]=pogoda__2[[#This Row],[nubis K]],1,0)</f>
        <v>0</v>
      </c>
      <c r="J440">
        <f>IF(pogoda__2[[#This Row],[Wielkosc_chmur]]=pogoda__2[[#This Row],[nubis W]],1,0)</f>
        <v>0</v>
      </c>
      <c r="L440">
        <f>IF(AND(pogoda__2[[#This Row],[Temperatura]]&gt;=20,pogoda__2[[#This Row],[Opad]]&lt;=5),1,0)</f>
        <v>0</v>
      </c>
      <c r="M440">
        <v>2</v>
      </c>
    </row>
    <row r="441" spans="1:13" x14ac:dyDescent="0.3">
      <c r="A441">
        <v>440</v>
      </c>
      <c r="B441">
        <v>5.5</v>
      </c>
      <c r="C441">
        <v>17</v>
      </c>
      <c r="D441" s="6">
        <v>0</v>
      </c>
      <c r="E441">
        <v>0</v>
      </c>
      <c r="F441" s="6" t="s">
        <v>6</v>
      </c>
      <c r="G441">
        <v>5</v>
      </c>
      <c r="I441">
        <f>IF(pogoda__2[[#This Row],[Kategoria_chmur]]=pogoda__2[[#This Row],[nubis K]],1,0)</f>
        <v>0</v>
      </c>
      <c r="J441">
        <f>IF(pogoda__2[[#This Row],[Wielkosc_chmur]]=pogoda__2[[#This Row],[nubis W]],1,0)</f>
        <v>0</v>
      </c>
      <c r="L441">
        <f>IF(AND(pogoda__2[[#This Row],[Temperatura]]&gt;=20,pogoda__2[[#This Row],[Opad]]&lt;=5),1,0)</f>
        <v>0</v>
      </c>
      <c r="M441">
        <v>3</v>
      </c>
    </row>
    <row r="442" spans="1:13" x14ac:dyDescent="0.3">
      <c r="A442">
        <v>441</v>
      </c>
      <c r="B442">
        <v>8.6999999999999993</v>
      </c>
      <c r="C442">
        <v>23</v>
      </c>
      <c r="D442" s="6">
        <v>0</v>
      </c>
      <c r="E442">
        <v>0</v>
      </c>
      <c r="F442" s="6" t="s">
        <v>6</v>
      </c>
      <c r="G442">
        <v>5</v>
      </c>
      <c r="I442">
        <f>IF(pogoda__2[[#This Row],[Kategoria_chmur]]=pogoda__2[[#This Row],[nubis K]],1,0)</f>
        <v>0</v>
      </c>
      <c r="J442">
        <f>IF(pogoda__2[[#This Row],[Wielkosc_chmur]]=pogoda__2[[#This Row],[nubis W]],1,0)</f>
        <v>0</v>
      </c>
      <c r="L442">
        <f>IF(AND(pogoda__2[[#This Row],[Temperatura]]&gt;=20,pogoda__2[[#This Row],[Opad]]&lt;=5),1,0)</f>
        <v>0</v>
      </c>
      <c r="M442">
        <v>4</v>
      </c>
    </row>
    <row r="443" spans="1:13" x14ac:dyDescent="0.3">
      <c r="A443">
        <v>442</v>
      </c>
      <c r="B443">
        <v>11.1</v>
      </c>
      <c r="C443">
        <v>0</v>
      </c>
      <c r="D443" s="6">
        <v>0</v>
      </c>
      <c r="E443">
        <v>0</v>
      </c>
      <c r="F443" s="6">
        <v>0</v>
      </c>
      <c r="G443">
        <v>0</v>
      </c>
      <c r="I443">
        <f>IF(pogoda__2[[#This Row],[Kategoria_chmur]]=pogoda__2[[#This Row],[nubis K]],1,0)</f>
        <v>1</v>
      </c>
      <c r="J443">
        <f>IF(pogoda__2[[#This Row],[Wielkosc_chmur]]=pogoda__2[[#This Row],[nubis W]],1,0)</f>
        <v>1</v>
      </c>
      <c r="L443">
        <f>IF(AND(pogoda__2[[#This Row],[Temperatura]]&gt;=20,pogoda__2[[#This Row],[Opad]]&lt;=5),1,0)</f>
        <v>0</v>
      </c>
      <c r="M443">
        <v>5</v>
      </c>
    </row>
    <row r="444" spans="1:13" x14ac:dyDescent="0.3">
      <c r="A444">
        <v>443</v>
      </c>
      <c r="B444">
        <v>12.2</v>
      </c>
      <c r="C444">
        <v>4</v>
      </c>
      <c r="D444" s="6">
        <v>0</v>
      </c>
      <c r="E444">
        <v>0</v>
      </c>
      <c r="F444" s="6" t="s">
        <v>5</v>
      </c>
      <c r="G444">
        <v>1</v>
      </c>
      <c r="I444">
        <f>IF(pogoda__2[[#This Row],[Kategoria_chmur]]=pogoda__2[[#This Row],[nubis K]],1,0)</f>
        <v>0</v>
      </c>
      <c r="J444">
        <f>IF(pogoda__2[[#This Row],[Wielkosc_chmur]]=pogoda__2[[#This Row],[nubis W]],1,0)</f>
        <v>0</v>
      </c>
      <c r="L444">
        <f>IF(AND(pogoda__2[[#This Row],[Temperatura]]&gt;=20,pogoda__2[[#This Row],[Opad]]&lt;=5),1,0)</f>
        <v>0</v>
      </c>
      <c r="M444">
        <v>6</v>
      </c>
    </row>
    <row r="445" spans="1:13" x14ac:dyDescent="0.3">
      <c r="A445">
        <v>444</v>
      </c>
      <c r="B445">
        <v>11.9</v>
      </c>
      <c r="C445">
        <v>1</v>
      </c>
      <c r="D445" s="6">
        <v>0</v>
      </c>
      <c r="E445">
        <v>0</v>
      </c>
      <c r="F445" s="6" t="s">
        <v>5</v>
      </c>
      <c r="G445">
        <v>1</v>
      </c>
      <c r="I445">
        <f>IF(pogoda__2[[#This Row],[Kategoria_chmur]]=pogoda__2[[#This Row],[nubis K]],1,0)</f>
        <v>0</v>
      </c>
      <c r="J445">
        <f>IF(pogoda__2[[#This Row],[Wielkosc_chmur]]=pogoda__2[[#This Row],[nubis W]],1,0)</f>
        <v>0</v>
      </c>
      <c r="L445">
        <f>IF(AND(pogoda__2[[#This Row],[Temperatura]]&gt;=20,pogoda__2[[#This Row],[Opad]]&lt;=5),1,0)</f>
        <v>0</v>
      </c>
      <c r="M445">
        <v>0</v>
      </c>
    </row>
    <row r="446" spans="1:13" x14ac:dyDescent="0.3">
      <c r="A446">
        <v>445</v>
      </c>
      <c r="B446">
        <v>10.5</v>
      </c>
      <c r="C446">
        <v>1</v>
      </c>
      <c r="D446" s="6">
        <v>0</v>
      </c>
      <c r="E446">
        <v>0</v>
      </c>
      <c r="F446" s="6" t="s">
        <v>5</v>
      </c>
      <c r="G446">
        <v>1</v>
      </c>
      <c r="I446">
        <f>IF(pogoda__2[[#This Row],[Kategoria_chmur]]=pogoda__2[[#This Row],[nubis K]],1,0)</f>
        <v>0</v>
      </c>
      <c r="J446">
        <f>IF(pogoda__2[[#This Row],[Wielkosc_chmur]]=pogoda__2[[#This Row],[nubis W]],1,0)</f>
        <v>0</v>
      </c>
      <c r="L446">
        <f>IF(AND(pogoda__2[[#This Row],[Temperatura]]&gt;=20,pogoda__2[[#This Row],[Opad]]&lt;=5),1,0)</f>
        <v>0</v>
      </c>
      <c r="M446">
        <v>0</v>
      </c>
    </row>
    <row r="447" spans="1:13" x14ac:dyDescent="0.3">
      <c r="A447">
        <v>446</v>
      </c>
      <c r="B447">
        <v>8.8000000000000007</v>
      </c>
      <c r="C447">
        <v>6</v>
      </c>
      <c r="D447" s="6">
        <v>0</v>
      </c>
      <c r="E447">
        <v>0</v>
      </c>
      <c r="F447" s="6" t="s">
        <v>5</v>
      </c>
      <c r="G447">
        <v>2</v>
      </c>
      <c r="I447">
        <f>IF(pogoda__2[[#This Row],[Kategoria_chmur]]=pogoda__2[[#This Row],[nubis K]],1,0)</f>
        <v>0</v>
      </c>
      <c r="J447">
        <f>IF(pogoda__2[[#This Row],[Wielkosc_chmur]]=pogoda__2[[#This Row],[nubis W]],1,0)</f>
        <v>0</v>
      </c>
      <c r="L447">
        <f>IF(AND(pogoda__2[[#This Row],[Temperatura]]&gt;=20,pogoda__2[[#This Row],[Opad]]&lt;=5),1,0)</f>
        <v>0</v>
      </c>
      <c r="M447">
        <v>0</v>
      </c>
    </row>
    <row r="448" spans="1:13" x14ac:dyDescent="0.3">
      <c r="A448">
        <v>447</v>
      </c>
      <c r="B448">
        <v>7.5</v>
      </c>
      <c r="C448">
        <v>10</v>
      </c>
      <c r="D448" s="6">
        <v>0</v>
      </c>
      <c r="E448">
        <v>0</v>
      </c>
      <c r="F448" s="6" t="s">
        <v>5</v>
      </c>
      <c r="G448">
        <v>2</v>
      </c>
      <c r="I448">
        <f>IF(pogoda__2[[#This Row],[Kategoria_chmur]]=pogoda__2[[#This Row],[nubis K]],1,0)</f>
        <v>0</v>
      </c>
      <c r="J448">
        <f>IF(pogoda__2[[#This Row],[Wielkosc_chmur]]=pogoda__2[[#This Row],[nubis W]],1,0)</f>
        <v>0</v>
      </c>
      <c r="L448">
        <f>IF(AND(pogoda__2[[#This Row],[Temperatura]]&gt;=20,pogoda__2[[#This Row],[Opad]]&lt;=5),1,0)</f>
        <v>0</v>
      </c>
      <c r="M448">
        <v>0</v>
      </c>
    </row>
    <row r="449" spans="1:13" x14ac:dyDescent="0.3">
      <c r="A449">
        <v>448</v>
      </c>
      <c r="B449">
        <v>7.6</v>
      </c>
      <c r="C449">
        <v>10</v>
      </c>
      <c r="D449" s="6">
        <v>0</v>
      </c>
      <c r="E449">
        <v>0</v>
      </c>
      <c r="F449" s="6" t="s">
        <v>5</v>
      </c>
      <c r="G449">
        <v>2</v>
      </c>
      <c r="I449">
        <f>IF(pogoda__2[[#This Row],[Kategoria_chmur]]=pogoda__2[[#This Row],[nubis K]],1,0)</f>
        <v>0</v>
      </c>
      <c r="J449">
        <f>IF(pogoda__2[[#This Row],[Wielkosc_chmur]]=pogoda__2[[#This Row],[nubis W]],1,0)</f>
        <v>0</v>
      </c>
      <c r="L449">
        <f>IF(AND(pogoda__2[[#This Row],[Temperatura]]&gt;=20,pogoda__2[[#This Row],[Opad]]&lt;=5),1,0)</f>
        <v>0</v>
      </c>
      <c r="M449">
        <v>1</v>
      </c>
    </row>
    <row r="450" spans="1:13" x14ac:dyDescent="0.3">
      <c r="A450">
        <v>449</v>
      </c>
      <c r="B450">
        <v>9.1999999999999993</v>
      </c>
      <c r="C450">
        <v>2</v>
      </c>
      <c r="D450" s="6">
        <v>0</v>
      </c>
      <c r="E450">
        <v>0</v>
      </c>
      <c r="F450" s="6" t="s">
        <v>5</v>
      </c>
      <c r="G450">
        <v>3</v>
      </c>
      <c r="I450">
        <f>IF(pogoda__2[[#This Row],[Kategoria_chmur]]=pogoda__2[[#This Row],[nubis K]],1,0)</f>
        <v>0</v>
      </c>
      <c r="J450">
        <f>IF(pogoda__2[[#This Row],[Wielkosc_chmur]]=pogoda__2[[#This Row],[nubis W]],1,0)</f>
        <v>0</v>
      </c>
      <c r="L450">
        <f>IF(AND(pogoda__2[[#This Row],[Temperatura]]&gt;=20,pogoda__2[[#This Row],[Opad]]&lt;=5),1,0)</f>
        <v>0</v>
      </c>
      <c r="M450">
        <v>2</v>
      </c>
    </row>
    <row r="451" spans="1:13" x14ac:dyDescent="0.3">
      <c r="A451">
        <v>450</v>
      </c>
      <c r="B451">
        <v>12.3</v>
      </c>
      <c r="C451">
        <v>7</v>
      </c>
      <c r="D451" s="6">
        <v>0</v>
      </c>
      <c r="E451">
        <v>0</v>
      </c>
      <c r="F451" s="6" t="s">
        <v>5</v>
      </c>
      <c r="G451">
        <v>3</v>
      </c>
      <c r="I451">
        <f>IF(pogoda__2[[#This Row],[Kategoria_chmur]]=pogoda__2[[#This Row],[nubis K]],1,0)</f>
        <v>0</v>
      </c>
      <c r="J451">
        <f>IF(pogoda__2[[#This Row],[Wielkosc_chmur]]=pogoda__2[[#This Row],[nubis W]],1,0)</f>
        <v>0</v>
      </c>
      <c r="L451">
        <f>IF(AND(pogoda__2[[#This Row],[Temperatura]]&gt;=20,pogoda__2[[#This Row],[Opad]]&lt;=5),1,0)</f>
        <v>0</v>
      </c>
      <c r="M451">
        <v>3</v>
      </c>
    </row>
    <row r="452" spans="1:13" x14ac:dyDescent="0.3">
      <c r="A452">
        <v>451</v>
      </c>
      <c r="B452">
        <v>16.3</v>
      </c>
      <c r="C452">
        <v>18</v>
      </c>
      <c r="D452" s="6">
        <v>0</v>
      </c>
      <c r="E452">
        <v>0</v>
      </c>
      <c r="F452" s="6" t="s">
        <v>5</v>
      </c>
      <c r="G452">
        <v>3</v>
      </c>
      <c r="I452">
        <f>IF(pogoda__2[[#This Row],[Kategoria_chmur]]=pogoda__2[[#This Row],[nubis K]],1,0)</f>
        <v>0</v>
      </c>
      <c r="J452">
        <f>IF(pogoda__2[[#This Row],[Wielkosc_chmur]]=pogoda__2[[#This Row],[nubis W]],1,0)</f>
        <v>0</v>
      </c>
      <c r="L452">
        <f>IF(AND(pogoda__2[[#This Row],[Temperatura]]&gt;=20,pogoda__2[[#This Row],[Opad]]&lt;=5),1,0)</f>
        <v>0</v>
      </c>
      <c r="M452">
        <v>4</v>
      </c>
    </row>
    <row r="453" spans="1:13" x14ac:dyDescent="0.3">
      <c r="A453">
        <v>452</v>
      </c>
      <c r="B453">
        <v>20.2</v>
      </c>
      <c r="C453">
        <v>23</v>
      </c>
      <c r="D453" s="6">
        <v>0</v>
      </c>
      <c r="E453">
        <v>0</v>
      </c>
      <c r="F453" s="6" t="s">
        <v>5</v>
      </c>
      <c r="G453">
        <v>4</v>
      </c>
      <c r="I453">
        <f>IF(pogoda__2[[#This Row],[Kategoria_chmur]]=pogoda__2[[#This Row],[nubis K]],1,0)</f>
        <v>0</v>
      </c>
      <c r="J453">
        <f>IF(pogoda__2[[#This Row],[Wielkosc_chmur]]=pogoda__2[[#This Row],[nubis W]],1,0)</f>
        <v>0</v>
      </c>
      <c r="L453">
        <f>IF(AND(pogoda__2[[#This Row],[Temperatura]]&gt;=20,pogoda__2[[#This Row],[Opad]]&lt;=5),1,0)</f>
        <v>0</v>
      </c>
      <c r="M453">
        <v>5</v>
      </c>
    </row>
    <row r="454" spans="1:13" x14ac:dyDescent="0.3">
      <c r="A454">
        <v>453</v>
      </c>
      <c r="B454">
        <v>23.2</v>
      </c>
      <c r="C454">
        <v>7</v>
      </c>
      <c r="D454" s="6">
        <v>0</v>
      </c>
      <c r="E454">
        <v>0</v>
      </c>
      <c r="F454" s="6" t="s">
        <v>5</v>
      </c>
      <c r="G454">
        <v>4</v>
      </c>
      <c r="I454">
        <f>IF(pogoda__2[[#This Row],[Kategoria_chmur]]=pogoda__2[[#This Row],[nubis K]],1,0)</f>
        <v>0</v>
      </c>
      <c r="J454">
        <f>IF(pogoda__2[[#This Row],[Wielkosc_chmur]]=pogoda__2[[#This Row],[nubis W]],1,0)</f>
        <v>0</v>
      </c>
      <c r="L454">
        <f>IF(AND(pogoda__2[[#This Row],[Temperatura]]&gt;=20,pogoda__2[[#This Row],[Opad]]&lt;=5),1,0)</f>
        <v>0</v>
      </c>
      <c r="M454">
        <v>6</v>
      </c>
    </row>
    <row r="455" spans="1:13" x14ac:dyDescent="0.3">
      <c r="A455">
        <v>454</v>
      </c>
      <c r="B455">
        <v>24.8</v>
      </c>
      <c r="C455">
        <v>20</v>
      </c>
      <c r="D455" s="6">
        <v>0</v>
      </c>
      <c r="E455">
        <v>0</v>
      </c>
      <c r="F455" s="6" t="s">
        <v>5</v>
      </c>
      <c r="G455">
        <v>4</v>
      </c>
      <c r="I455">
        <f>IF(pogoda__2[[#This Row],[Kategoria_chmur]]=pogoda__2[[#This Row],[nubis K]],1,0)</f>
        <v>0</v>
      </c>
      <c r="J455">
        <f>IF(pogoda__2[[#This Row],[Wielkosc_chmur]]=pogoda__2[[#This Row],[nubis W]],1,0)</f>
        <v>0</v>
      </c>
      <c r="L455">
        <f>IF(AND(pogoda__2[[#This Row],[Temperatura]]&gt;=20,pogoda__2[[#This Row],[Opad]]&lt;=5),1,0)</f>
        <v>0</v>
      </c>
      <c r="M455">
        <v>7</v>
      </c>
    </row>
    <row r="456" spans="1:13" x14ac:dyDescent="0.3">
      <c r="A456">
        <v>455</v>
      </c>
      <c r="B456">
        <v>24.9</v>
      </c>
      <c r="C456">
        <v>14</v>
      </c>
      <c r="D456" s="6">
        <v>0</v>
      </c>
      <c r="E456">
        <v>0</v>
      </c>
      <c r="F456" s="6" t="s">
        <v>5</v>
      </c>
      <c r="G456">
        <v>5</v>
      </c>
      <c r="I456">
        <f>IF(pogoda__2[[#This Row],[Kategoria_chmur]]=pogoda__2[[#This Row],[nubis K]],1,0)</f>
        <v>0</v>
      </c>
      <c r="J456">
        <f>IF(pogoda__2[[#This Row],[Wielkosc_chmur]]=pogoda__2[[#This Row],[nubis W]],1,0)</f>
        <v>0</v>
      </c>
      <c r="L456">
        <f>IF(AND(pogoda__2[[#This Row],[Temperatura]]&gt;=20,pogoda__2[[#This Row],[Opad]]&lt;=5),1,0)</f>
        <v>0</v>
      </c>
      <c r="M456">
        <v>8</v>
      </c>
    </row>
    <row r="457" spans="1:13" x14ac:dyDescent="0.3">
      <c r="A457">
        <v>456</v>
      </c>
      <c r="B457">
        <v>23.3</v>
      </c>
      <c r="C457">
        <v>11</v>
      </c>
      <c r="D457" s="6">
        <v>0</v>
      </c>
      <c r="E457">
        <v>0</v>
      </c>
      <c r="F457" s="6" t="s">
        <v>5</v>
      </c>
      <c r="G457">
        <v>5</v>
      </c>
      <c r="I457">
        <f>IF(pogoda__2[[#This Row],[Kategoria_chmur]]=pogoda__2[[#This Row],[nubis K]],1,0)</f>
        <v>0</v>
      </c>
      <c r="J457">
        <f>IF(pogoda__2[[#This Row],[Wielkosc_chmur]]=pogoda__2[[#This Row],[nubis W]],1,0)</f>
        <v>0</v>
      </c>
      <c r="L457">
        <f>IF(AND(pogoda__2[[#This Row],[Temperatura]]&gt;=20,pogoda__2[[#This Row],[Opad]]&lt;=5),1,0)</f>
        <v>0</v>
      </c>
      <c r="M457">
        <v>0</v>
      </c>
    </row>
    <row r="458" spans="1:13" x14ac:dyDescent="0.3">
      <c r="A458">
        <v>457</v>
      </c>
      <c r="B458">
        <v>21.3</v>
      </c>
      <c r="C458">
        <v>10</v>
      </c>
      <c r="D458" s="6">
        <v>0</v>
      </c>
      <c r="E458">
        <v>0</v>
      </c>
      <c r="F458" s="6" t="s">
        <v>5</v>
      </c>
      <c r="G458">
        <v>5</v>
      </c>
      <c r="I458">
        <f>IF(pogoda__2[[#This Row],[Kategoria_chmur]]=pogoda__2[[#This Row],[nubis K]],1,0)</f>
        <v>0</v>
      </c>
      <c r="J458">
        <f>IF(pogoda__2[[#This Row],[Wielkosc_chmur]]=pogoda__2[[#This Row],[nubis W]],1,0)</f>
        <v>0</v>
      </c>
      <c r="L458">
        <f>IF(AND(pogoda__2[[#This Row],[Temperatura]]&gt;=20,pogoda__2[[#This Row],[Opad]]&lt;=5),1,0)</f>
        <v>0</v>
      </c>
      <c r="M458">
        <v>0</v>
      </c>
    </row>
    <row r="459" spans="1:13" x14ac:dyDescent="0.3">
      <c r="A459">
        <v>458</v>
      </c>
      <c r="B459">
        <v>19.7</v>
      </c>
      <c r="C459">
        <v>13</v>
      </c>
      <c r="D459" s="6">
        <v>0</v>
      </c>
      <c r="E459">
        <v>0</v>
      </c>
      <c r="F459" s="6" t="s">
        <v>5</v>
      </c>
      <c r="G459">
        <v>5</v>
      </c>
      <c r="I459">
        <f>IF(pogoda__2[[#This Row],[Kategoria_chmur]]=pogoda__2[[#This Row],[nubis K]],1,0)</f>
        <v>0</v>
      </c>
      <c r="J459">
        <f>IF(pogoda__2[[#This Row],[Wielkosc_chmur]]=pogoda__2[[#This Row],[nubis W]],1,0)</f>
        <v>0</v>
      </c>
      <c r="L459">
        <f>IF(AND(pogoda__2[[#This Row],[Temperatura]]&gt;=20,pogoda__2[[#This Row],[Opad]]&lt;=5),1,0)</f>
        <v>0</v>
      </c>
      <c r="M459">
        <v>0</v>
      </c>
    </row>
    <row r="460" spans="1:13" x14ac:dyDescent="0.3">
      <c r="A460">
        <v>459</v>
      </c>
      <c r="B460">
        <v>19.100000000000001</v>
      </c>
      <c r="C460">
        <v>24</v>
      </c>
      <c r="D460" s="6">
        <v>0</v>
      </c>
      <c r="E460">
        <v>0</v>
      </c>
      <c r="F460" s="6" t="s">
        <v>5</v>
      </c>
      <c r="G460">
        <v>5</v>
      </c>
      <c r="I460">
        <f>IF(pogoda__2[[#This Row],[Kategoria_chmur]]=pogoda__2[[#This Row],[nubis K]],1,0)</f>
        <v>0</v>
      </c>
      <c r="J460">
        <f>IF(pogoda__2[[#This Row],[Wielkosc_chmur]]=pogoda__2[[#This Row],[nubis W]],1,0)</f>
        <v>0</v>
      </c>
      <c r="L460">
        <f>IF(AND(pogoda__2[[#This Row],[Temperatura]]&gt;=20,pogoda__2[[#This Row],[Opad]]&lt;=5),1,0)</f>
        <v>0</v>
      </c>
      <c r="M460">
        <v>0</v>
      </c>
    </row>
    <row r="461" spans="1:13" x14ac:dyDescent="0.3">
      <c r="A461">
        <v>460</v>
      </c>
      <c r="B461">
        <v>20</v>
      </c>
      <c r="C461">
        <v>0</v>
      </c>
      <c r="D461" s="6">
        <v>0</v>
      </c>
      <c r="E461">
        <v>0</v>
      </c>
      <c r="F461" s="6">
        <v>0</v>
      </c>
      <c r="G461">
        <v>0</v>
      </c>
      <c r="I461">
        <f>IF(pogoda__2[[#This Row],[Kategoria_chmur]]=pogoda__2[[#This Row],[nubis K]],1,0)</f>
        <v>1</v>
      </c>
      <c r="J461">
        <f>IF(pogoda__2[[#This Row],[Wielkosc_chmur]]=pogoda__2[[#This Row],[nubis W]],1,0)</f>
        <v>1</v>
      </c>
      <c r="L461">
        <f>IF(AND(pogoda__2[[#This Row],[Temperatura]]&gt;=20,pogoda__2[[#This Row],[Opad]]&lt;=5),1,0)</f>
        <v>1</v>
      </c>
      <c r="M461">
        <v>1</v>
      </c>
    </row>
    <row r="462" spans="1:13" x14ac:dyDescent="0.3">
      <c r="A462">
        <v>461</v>
      </c>
      <c r="B462">
        <v>22.1</v>
      </c>
      <c r="C462">
        <v>1</v>
      </c>
      <c r="D462" s="6">
        <v>0</v>
      </c>
      <c r="E462">
        <v>0</v>
      </c>
      <c r="F462" s="6" t="s">
        <v>5</v>
      </c>
      <c r="G462">
        <v>1</v>
      </c>
      <c r="I462">
        <f>IF(pogoda__2[[#This Row],[Kategoria_chmur]]=pogoda__2[[#This Row],[nubis K]],1,0)</f>
        <v>0</v>
      </c>
      <c r="J462">
        <f>IF(pogoda__2[[#This Row],[Wielkosc_chmur]]=pogoda__2[[#This Row],[nubis W]],1,0)</f>
        <v>0</v>
      </c>
      <c r="L462">
        <f>IF(AND(pogoda__2[[#This Row],[Temperatura]]&gt;=20,pogoda__2[[#This Row],[Opad]]&lt;=5),1,0)</f>
        <v>1</v>
      </c>
      <c r="M462">
        <v>2</v>
      </c>
    </row>
    <row r="463" spans="1:13" x14ac:dyDescent="0.3">
      <c r="A463">
        <v>462</v>
      </c>
      <c r="B463">
        <v>25</v>
      </c>
      <c r="C463">
        <v>4</v>
      </c>
      <c r="D463" s="6">
        <v>0</v>
      </c>
      <c r="E463">
        <v>0</v>
      </c>
      <c r="F463" s="6" t="s">
        <v>5</v>
      </c>
      <c r="G463">
        <v>1</v>
      </c>
      <c r="I463">
        <f>IF(pogoda__2[[#This Row],[Kategoria_chmur]]=pogoda__2[[#This Row],[nubis K]],1,0)</f>
        <v>0</v>
      </c>
      <c r="J463">
        <f>IF(pogoda__2[[#This Row],[Wielkosc_chmur]]=pogoda__2[[#This Row],[nubis W]],1,0)</f>
        <v>0</v>
      </c>
      <c r="L463">
        <f>IF(AND(pogoda__2[[#This Row],[Temperatura]]&gt;=20,pogoda__2[[#This Row],[Opad]]&lt;=5),1,0)</f>
        <v>1</v>
      </c>
      <c r="M463">
        <v>3</v>
      </c>
    </row>
    <row r="464" spans="1:13" x14ac:dyDescent="0.3">
      <c r="A464">
        <v>463</v>
      </c>
      <c r="B464">
        <v>27.7</v>
      </c>
      <c r="C464">
        <v>1</v>
      </c>
      <c r="D464" s="6">
        <v>0</v>
      </c>
      <c r="E464">
        <v>0</v>
      </c>
      <c r="F464" s="6" t="s">
        <v>5</v>
      </c>
      <c r="G464">
        <v>1</v>
      </c>
      <c r="I464">
        <f>IF(pogoda__2[[#This Row],[Kategoria_chmur]]=pogoda__2[[#This Row],[nubis K]],1,0)</f>
        <v>0</v>
      </c>
      <c r="J464">
        <f>IF(pogoda__2[[#This Row],[Wielkosc_chmur]]=pogoda__2[[#This Row],[nubis W]],1,0)</f>
        <v>0</v>
      </c>
      <c r="L464">
        <f>IF(AND(pogoda__2[[#This Row],[Temperatura]]&gt;=20,pogoda__2[[#This Row],[Opad]]&lt;=5),1,0)</f>
        <v>1</v>
      </c>
      <c r="M464">
        <v>4</v>
      </c>
    </row>
    <row r="465" spans="1:13" x14ac:dyDescent="0.3">
      <c r="A465">
        <v>464</v>
      </c>
      <c r="B465">
        <v>29.4</v>
      </c>
      <c r="C465">
        <v>12</v>
      </c>
      <c r="D465" s="6">
        <v>0</v>
      </c>
      <c r="E465">
        <v>0</v>
      </c>
      <c r="F465" s="6" t="s">
        <v>5</v>
      </c>
      <c r="G465">
        <v>2</v>
      </c>
      <c r="I465">
        <f>IF(pogoda__2[[#This Row],[Kategoria_chmur]]=pogoda__2[[#This Row],[nubis K]],1,0)</f>
        <v>0</v>
      </c>
      <c r="J465">
        <f>IF(pogoda__2[[#This Row],[Wielkosc_chmur]]=pogoda__2[[#This Row],[nubis W]],1,0)</f>
        <v>0</v>
      </c>
      <c r="L465">
        <f>IF(AND(pogoda__2[[#This Row],[Temperatura]]&gt;=20,pogoda__2[[#This Row],[Opad]]&lt;=5),1,0)</f>
        <v>0</v>
      </c>
      <c r="M465">
        <v>5</v>
      </c>
    </row>
    <row r="466" spans="1:13" x14ac:dyDescent="0.3">
      <c r="A466">
        <v>465</v>
      </c>
      <c r="B466">
        <v>29.5</v>
      </c>
      <c r="C466">
        <v>12</v>
      </c>
      <c r="D466" s="6">
        <v>0</v>
      </c>
      <c r="E466">
        <v>0</v>
      </c>
      <c r="F466" s="6" t="s">
        <v>5</v>
      </c>
      <c r="G466">
        <v>2</v>
      </c>
      <c r="I466">
        <f>IF(pogoda__2[[#This Row],[Kategoria_chmur]]=pogoda__2[[#This Row],[nubis K]],1,0)</f>
        <v>0</v>
      </c>
      <c r="J466">
        <f>IF(pogoda__2[[#This Row],[Wielkosc_chmur]]=pogoda__2[[#This Row],[nubis W]],1,0)</f>
        <v>0</v>
      </c>
      <c r="L466">
        <f>IF(AND(pogoda__2[[#This Row],[Temperatura]]&gt;=20,pogoda__2[[#This Row],[Opad]]&lt;=5),1,0)</f>
        <v>0</v>
      </c>
      <c r="M466">
        <v>6</v>
      </c>
    </row>
    <row r="467" spans="1:13" x14ac:dyDescent="0.3">
      <c r="A467">
        <v>466</v>
      </c>
      <c r="B467">
        <v>27.8</v>
      </c>
      <c r="C467">
        <v>8</v>
      </c>
      <c r="D467" s="6">
        <v>0</v>
      </c>
      <c r="E467">
        <v>0</v>
      </c>
      <c r="F467" s="6" t="s">
        <v>5</v>
      </c>
      <c r="G467">
        <v>2</v>
      </c>
      <c r="I467">
        <f>IF(pogoda__2[[#This Row],[Kategoria_chmur]]=pogoda__2[[#This Row],[nubis K]],1,0)</f>
        <v>0</v>
      </c>
      <c r="J467">
        <f>IF(pogoda__2[[#This Row],[Wielkosc_chmur]]=pogoda__2[[#This Row],[nubis W]],1,0)</f>
        <v>0</v>
      </c>
      <c r="L467">
        <f>IF(AND(pogoda__2[[#This Row],[Temperatura]]&gt;=20,pogoda__2[[#This Row],[Opad]]&lt;=5),1,0)</f>
        <v>0</v>
      </c>
      <c r="M467">
        <v>0</v>
      </c>
    </row>
    <row r="468" spans="1:13" x14ac:dyDescent="0.3">
      <c r="A468">
        <v>467</v>
      </c>
      <c r="B468">
        <v>24.9</v>
      </c>
      <c r="C468">
        <v>13</v>
      </c>
      <c r="D468" s="6">
        <v>0</v>
      </c>
      <c r="E468">
        <v>0</v>
      </c>
      <c r="F468" s="6" t="s">
        <v>5</v>
      </c>
      <c r="G468">
        <v>3</v>
      </c>
      <c r="I468">
        <f>IF(pogoda__2[[#This Row],[Kategoria_chmur]]=pogoda__2[[#This Row],[nubis K]],1,0)</f>
        <v>0</v>
      </c>
      <c r="J468">
        <f>IF(pogoda__2[[#This Row],[Wielkosc_chmur]]=pogoda__2[[#This Row],[nubis W]],1,0)</f>
        <v>0</v>
      </c>
      <c r="L468">
        <f>IF(AND(pogoda__2[[#This Row],[Temperatura]]&gt;=20,pogoda__2[[#This Row],[Opad]]&lt;=5),1,0)</f>
        <v>0</v>
      </c>
      <c r="M468">
        <v>0</v>
      </c>
    </row>
    <row r="469" spans="1:13" x14ac:dyDescent="0.3">
      <c r="A469">
        <v>468</v>
      </c>
      <c r="B469">
        <v>21.3</v>
      </c>
      <c r="C469">
        <v>18</v>
      </c>
      <c r="D469" s="6">
        <v>0</v>
      </c>
      <c r="E469">
        <v>0</v>
      </c>
      <c r="F469" s="6" t="s">
        <v>5</v>
      </c>
      <c r="G469">
        <v>3</v>
      </c>
      <c r="I469">
        <f>IF(pogoda__2[[#This Row],[Kategoria_chmur]]=pogoda__2[[#This Row],[nubis K]],1,0)</f>
        <v>0</v>
      </c>
      <c r="J469">
        <f>IF(pogoda__2[[#This Row],[Wielkosc_chmur]]=pogoda__2[[#This Row],[nubis W]],1,0)</f>
        <v>0</v>
      </c>
      <c r="L469">
        <f>IF(AND(pogoda__2[[#This Row],[Temperatura]]&gt;=20,pogoda__2[[#This Row],[Opad]]&lt;=5),1,0)</f>
        <v>0</v>
      </c>
      <c r="M469">
        <v>0</v>
      </c>
    </row>
    <row r="470" spans="1:13" x14ac:dyDescent="0.3">
      <c r="A470">
        <v>469</v>
      </c>
      <c r="B470">
        <v>18.100000000000001</v>
      </c>
      <c r="C470">
        <v>15</v>
      </c>
      <c r="D470" s="6">
        <v>0</v>
      </c>
      <c r="E470">
        <v>0</v>
      </c>
      <c r="F470" s="6" t="s">
        <v>5</v>
      </c>
      <c r="G470">
        <v>3</v>
      </c>
      <c r="I470">
        <f>IF(pogoda__2[[#This Row],[Kategoria_chmur]]=pogoda__2[[#This Row],[nubis K]],1,0)</f>
        <v>0</v>
      </c>
      <c r="J470">
        <f>IF(pogoda__2[[#This Row],[Wielkosc_chmur]]=pogoda__2[[#This Row],[nubis W]],1,0)</f>
        <v>0</v>
      </c>
      <c r="L470">
        <f>IF(AND(pogoda__2[[#This Row],[Temperatura]]&gt;=20,pogoda__2[[#This Row],[Opad]]&lt;=5),1,0)</f>
        <v>0</v>
      </c>
      <c r="M470">
        <v>0</v>
      </c>
    </row>
    <row r="471" spans="1:13" x14ac:dyDescent="0.3">
      <c r="A471">
        <v>470</v>
      </c>
      <c r="B471">
        <v>15.9</v>
      </c>
      <c r="C471">
        <v>10</v>
      </c>
      <c r="D471" s="6">
        <v>0</v>
      </c>
      <c r="E471">
        <v>0</v>
      </c>
      <c r="F471" s="6" t="s">
        <v>5</v>
      </c>
      <c r="G471">
        <v>4</v>
      </c>
      <c r="I471">
        <f>IF(pogoda__2[[#This Row],[Kategoria_chmur]]=pogoda__2[[#This Row],[nubis K]],1,0)</f>
        <v>0</v>
      </c>
      <c r="J471">
        <f>IF(pogoda__2[[#This Row],[Wielkosc_chmur]]=pogoda__2[[#This Row],[nubis W]],1,0)</f>
        <v>0</v>
      </c>
      <c r="L471">
        <f>IF(AND(pogoda__2[[#This Row],[Temperatura]]&gt;=20,pogoda__2[[#This Row],[Opad]]&lt;=5),1,0)</f>
        <v>0</v>
      </c>
      <c r="M471">
        <v>0</v>
      </c>
    </row>
    <row r="472" spans="1:13" x14ac:dyDescent="0.3">
      <c r="A472">
        <v>471</v>
      </c>
      <c r="B472">
        <v>15.3</v>
      </c>
      <c r="C472">
        <v>7</v>
      </c>
      <c r="D472" s="6">
        <v>0</v>
      </c>
      <c r="E472">
        <v>0</v>
      </c>
      <c r="F472" s="6" t="s">
        <v>5</v>
      </c>
      <c r="G472">
        <v>4</v>
      </c>
      <c r="I472">
        <f>IF(pogoda__2[[#This Row],[Kategoria_chmur]]=pogoda__2[[#This Row],[nubis K]],1,0)</f>
        <v>0</v>
      </c>
      <c r="J472">
        <f>IF(pogoda__2[[#This Row],[Wielkosc_chmur]]=pogoda__2[[#This Row],[nubis W]],1,0)</f>
        <v>0</v>
      </c>
      <c r="L472">
        <f>IF(AND(pogoda__2[[#This Row],[Temperatura]]&gt;=20,pogoda__2[[#This Row],[Opad]]&lt;=5),1,0)</f>
        <v>0</v>
      </c>
      <c r="M472">
        <v>0</v>
      </c>
    </row>
    <row r="473" spans="1:13" x14ac:dyDescent="0.3">
      <c r="A473">
        <v>472</v>
      </c>
      <c r="B473">
        <v>16</v>
      </c>
      <c r="C473">
        <v>5</v>
      </c>
      <c r="D473" s="6">
        <v>0</v>
      </c>
      <c r="E473">
        <v>0</v>
      </c>
      <c r="F473" s="6" t="s">
        <v>5</v>
      </c>
      <c r="G473">
        <v>4</v>
      </c>
      <c r="I473">
        <f>IF(pogoda__2[[#This Row],[Kategoria_chmur]]=pogoda__2[[#This Row],[nubis K]],1,0)</f>
        <v>0</v>
      </c>
      <c r="J473">
        <f>IF(pogoda__2[[#This Row],[Wielkosc_chmur]]=pogoda__2[[#This Row],[nubis W]],1,0)</f>
        <v>0</v>
      </c>
      <c r="L473">
        <f>IF(AND(pogoda__2[[#This Row],[Temperatura]]&gt;=20,pogoda__2[[#This Row],[Opad]]&lt;=5),1,0)</f>
        <v>0</v>
      </c>
      <c r="M473">
        <v>1</v>
      </c>
    </row>
    <row r="474" spans="1:13" x14ac:dyDescent="0.3">
      <c r="A474">
        <v>473</v>
      </c>
      <c r="B474">
        <v>17.5</v>
      </c>
      <c r="C474">
        <v>26</v>
      </c>
      <c r="D474" s="6">
        <v>0</v>
      </c>
      <c r="E474">
        <v>0</v>
      </c>
      <c r="F474" s="6" t="s">
        <v>5</v>
      </c>
      <c r="G474">
        <v>5</v>
      </c>
      <c r="I474">
        <f>IF(pogoda__2[[#This Row],[Kategoria_chmur]]=pogoda__2[[#This Row],[nubis K]],1,0)</f>
        <v>0</v>
      </c>
      <c r="J474">
        <f>IF(pogoda__2[[#This Row],[Wielkosc_chmur]]=pogoda__2[[#This Row],[nubis W]],1,0)</f>
        <v>0</v>
      </c>
      <c r="L474">
        <f>IF(AND(pogoda__2[[#This Row],[Temperatura]]&gt;=20,pogoda__2[[#This Row],[Opad]]&lt;=5),1,0)</f>
        <v>0</v>
      </c>
      <c r="M474">
        <v>2</v>
      </c>
    </row>
    <row r="475" spans="1:13" x14ac:dyDescent="0.3">
      <c r="A475">
        <v>474</v>
      </c>
      <c r="B475">
        <v>19</v>
      </c>
      <c r="C475">
        <v>0</v>
      </c>
      <c r="D475" s="6">
        <v>0</v>
      </c>
      <c r="E475">
        <v>0</v>
      </c>
      <c r="F475" s="6">
        <v>0</v>
      </c>
      <c r="G475">
        <v>0</v>
      </c>
      <c r="I475">
        <f>IF(pogoda__2[[#This Row],[Kategoria_chmur]]=pogoda__2[[#This Row],[nubis K]],1,0)</f>
        <v>1</v>
      </c>
      <c r="J475">
        <f>IF(pogoda__2[[#This Row],[Wielkosc_chmur]]=pogoda__2[[#This Row],[nubis W]],1,0)</f>
        <v>1</v>
      </c>
      <c r="L475">
        <f>IF(AND(pogoda__2[[#This Row],[Temperatura]]&gt;=20,pogoda__2[[#This Row],[Opad]]&lt;=5),1,0)</f>
        <v>0</v>
      </c>
      <c r="M475">
        <v>3</v>
      </c>
    </row>
    <row r="476" spans="1:13" x14ac:dyDescent="0.3">
      <c r="A476">
        <v>475</v>
      </c>
      <c r="B476">
        <v>19.5</v>
      </c>
      <c r="C476">
        <v>2</v>
      </c>
      <c r="D476" s="6">
        <v>0</v>
      </c>
      <c r="E476">
        <v>0</v>
      </c>
      <c r="F476" s="6" t="s">
        <v>5</v>
      </c>
      <c r="G476">
        <v>1</v>
      </c>
      <c r="I476">
        <f>IF(pogoda__2[[#This Row],[Kategoria_chmur]]=pogoda__2[[#This Row],[nubis K]],1,0)</f>
        <v>0</v>
      </c>
      <c r="J476">
        <f>IF(pogoda__2[[#This Row],[Wielkosc_chmur]]=pogoda__2[[#This Row],[nubis W]],1,0)</f>
        <v>0</v>
      </c>
      <c r="L476">
        <f>IF(AND(pogoda__2[[#This Row],[Temperatura]]&gt;=20,pogoda__2[[#This Row],[Opad]]&lt;=5),1,0)</f>
        <v>0</v>
      </c>
      <c r="M476">
        <v>4</v>
      </c>
    </row>
    <row r="477" spans="1:13" x14ac:dyDescent="0.3">
      <c r="A477">
        <v>476</v>
      </c>
      <c r="B477">
        <v>18.7</v>
      </c>
      <c r="C477">
        <v>6</v>
      </c>
      <c r="D477" s="6">
        <v>0</v>
      </c>
      <c r="E477">
        <v>0</v>
      </c>
      <c r="F477" s="6" t="s">
        <v>5</v>
      </c>
      <c r="G477">
        <v>1</v>
      </c>
      <c r="I477">
        <f>IF(pogoda__2[[#This Row],[Kategoria_chmur]]=pogoda__2[[#This Row],[nubis K]],1,0)</f>
        <v>0</v>
      </c>
      <c r="J477">
        <f>IF(pogoda__2[[#This Row],[Wielkosc_chmur]]=pogoda__2[[#This Row],[nubis W]],1,0)</f>
        <v>0</v>
      </c>
      <c r="L477">
        <f>IF(AND(pogoda__2[[#This Row],[Temperatura]]&gt;=20,pogoda__2[[#This Row],[Opad]]&lt;=5),1,0)</f>
        <v>0</v>
      </c>
      <c r="M477">
        <v>0</v>
      </c>
    </row>
    <row r="478" spans="1:13" x14ac:dyDescent="0.3">
      <c r="A478">
        <v>477</v>
      </c>
      <c r="B478">
        <v>16.3</v>
      </c>
      <c r="C478">
        <v>5</v>
      </c>
      <c r="D478" s="6">
        <v>0</v>
      </c>
      <c r="E478">
        <v>0</v>
      </c>
      <c r="F478" s="6" t="s">
        <v>5</v>
      </c>
      <c r="G478">
        <v>1</v>
      </c>
      <c r="I478">
        <f>IF(pogoda__2[[#This Row],[Kategoria_chmur]]=pogoda__2[[#This Row],[nubis K]],1,0)</f>
        <v>0</v>
      </c>
      <c r="J478">
        <f>IF(pogoda__2[[#This Row],[Wielkosc_chmur]]=pogoda__2[[#This Row],[nubis W]],1,0)</f>
        <v>0</v>
      </c>
      <c r="L478">
        <f>IF(AND(pogoda__2[[#This Row],[Temperatura]]&gt;=20,pogoda__2[[#This Row],[Opad]]&lt;=5),1,0)</f>
        <v>0</v>
      </c>
      <c r="M478">
        <v>0</v>
      </c>
    </row>
    <row r="479" spans="1:13" x14ac:dyDescent="0.3">
      <c r="A479">
        <v>478</v>
      </c>
      <c r="B479">
        <v>12.7</v>
      </c>
      <c r="C479">
        <v>6</v>
      </c>
      <c r="D479" s="6">
        <v>0</v>
      </c>
      <c r="E479">
        <v>0</v>
      </c>
      <c r="F479" s="6" t="s">
        <v>5</v>
      </c>
      <c r="G479">
        <v>2</v>
      </c>
      <c r="I479">
        <f>IF(pogoda__2[[#This Row],[Kategoria_chmur]]=pogoda__2[[#This Row],[nubis K]],1,0)</f>
        <v>0</v>
      </c>
      <c r="J479">
        <f>IF(pogoda__2[[#This Row],[Wielkosc_chmur]]=pogoda__2[[#This Row],[nubis W]],1,0)</f>
        <v>0</v>
      </c>
      <c r="L479">
        <f>IF(AND(pogoda__2[[#This Row],[Temperatura]]&gt;=20,pogoda__2[[#This Row],[Opad]]&lt;=5),1,0)</f>
        <v>0</v>
      </c>
      <c r="M479">
        <v>0</v>
      </c>
    </row>
    <row r="480" spans="1:13" x14ac:dyDescent="0.3">
      <c r="A480">
        <v>479</v>
      </c>
      <c r="B480">
        <v>8.8000000000000007</v>
      </c>
      <c r="C480">
        <v>7</v>
      </c>
      <c r="D480" s="6">
        <v>0</v>
      </c>
      <c r="E480">
        <v>0</v>
      </c>
      <c r="F480" s="6" t="s">
        <v>5</v>
      </c>
      <c r="G480">
        <v>2</v>
      </c>
      <c r="I480">
        <f>IF(pogoda__2[[#This Row],[Kategoria_chmur]]=pogoda__2[[#This Row],[nubis K]],1,0)</f>
        <v>0</v>
      </c>
      <c r="J480">
        <f>IF(pogoda__2[[#This Row],[Wielkosc_chmur]]=pogoda__2[[#This Row],[nubis W]],1,0)</f>
        <v>0</v>
      </c>
      <c r="L480">
        <f>IF(AND(pogoda__2[[#This Row],[Temperatura]]&gt;=20,pogoda__2[[#This Row],[Opad]]&lt;=5),1,0)</f>
        <v>0</v>
      </c>
      <c r="M480">
        <v>0</v>
      </c>
    </row>
    <row r="481" spans="1:13" x14ac:dyDescent="0.3">
      <c r="A481">
        <v>480</v>
      </c>
      <c r="B481">
        <v>5.3</v>
      </c>
      <c r="C481">
        <v>2</v>
      </c>
      <c r="D481" s="6">
        <v>0</v>
      </c>
      <c r="E481">
        <v>0</v>
      </c>
      <c r="F481" s="6" t="s">
        <v>5</v>
      </c>
      <c r="G481">
        <v>2</v>
      </c>
      <c r="I481">
        <f>IF(pogoda__2[[#This Row],[Kategoria_chmur]]=pogoda__2[[#This Row],[nubis K]],1,0)</f>
        <v>0</v>
      </c>
      <c r="J481">
        <f>IF(pogoda__2[[#This Row],[Wielkosc_chmur]]=pogoda__2[[#This Row],[nubis W]],1,0)</f>
        <v>0</v>
      </c>
      <c r="L481">
        <f>IF(AND(pogoda__2[[#This Row],[Temperatura]]&gt;=20,pogoda__2[[#This Row],[Opad]]&lt;=5),1,0)</f>
        <v>0</v>
      </c>
      <c r="M481">
        <v>0</v>
      </c>
    </row>
    <row r="482" spans="1:13" x14ac:dyDescent="0.3">
      <c r="A482">
        <v>481</v>
      </c>
      <c r="B482">
        <v>3.2</v>
      </c>
      <c r="C482">
        <v>7</v>
      </c>
      <c r="D482" s="6">
        <v>0</v>
      </c>
      <c r="E482">
        <v>0</v>
      </c>
      <c r="F482" s="6" t="s">
        <v>5</v>
      </c>
      <c r="G482">
        <v>3</v>
      </c>
      <c r="I482">
        <f>IF(pogoda__2[[#This Row],[Kategoria_chmur]]=pogoda__2[[#This Row],[nubis K]],1,0)</f>
        <v>0</v>
      </c>
      <c r="J482">
        <f>IF(pogoda__2[[#This Row],[Wielkosc_chmur]]=pogoda__2[[#This Row],[nubis W]],1,0)</f>
        <v>0</v>
      </c>
      <c r="L482">
        <f>IF(AND(pogoda__2[[#This Row],[Temperatura]]&gt;=20,pogoda__2[[#This Row],[Opad]]&lt;=5),1,0)</f>
        <v>0</v>
      </c>
      <c r="M482">
        <v>0</v>
      </c>
    </row>
    <row r="483" spans="1:13" x14ac:dyDescent="0.3">
      <c r="A483">
        <v>482</v>
      </c>
      <c r="B483">
        <v>2.7</v>
      </c>
      <c r="C483">
        <v>7</v>
      </c>
      <c r="D483" s="6">
        <v>0</v>
      </c>
      <c r="E483">
        <v>0</v>
      </c>
      <c r="F483" s="6" t="s">
        <v>5</v>
      </c>
      <c r="G483">
        <v>3</v>
      </c>
      <c r="I483">
        <f>IF(pogoda__2[[#This Row],[Kategoria_chmur]]=pogoda__2[[#This Row],[nubis K]],1,0)</f>
        <v>0</v>
      </c>
      <c r="J483">
        <f>IF(pogoda__2[[#This Row],[Wielkosc_chmur]]=pogoda__2[[#This Row],[nubis W]],1,0)</f>
        <v>0</v>
      </c>
      <c r="L483">
        <f>IF(AND(pogoda__2[[#This Row],[Temperatura]]&gt;=20,pogoda__2[[#This Row],[Opad]]&lt;=5),1,0)</f>
        <v>0</v>
      </c>
      <c r="M483">
        <v>0</v>
      </c>
    </row>
    <row r="484" spans="1:13" x14ac:dyDescent="0.3">
      <c r="A484">
        <v>483</v>
      </c>
      <c r="B484">
        <v>3.9</v>
      </c>
      <c r="C484">
        <v>8</v>
      </c>
      <c r="D484" s="6">
        <v>0</v>
      </c>
      <c r="E484">
        <v>0</v>
      </c>
      <c r="F484" s="6" t="s">
        <v>5</v>
      </c>
      <c r="G484">
        <v>3</v>
      </c>
      <c r="I484">
        <f>IF(pogoda__2[[#This Row],[Kategoria_chmur]]=pogoda__2[[#This Row],[nubis K]],1,0)</f>
        <v>0</v>
      </c>
      <c r="J484">
        <f>IF(pogoda__2[[#This Row],[Wielkosc_chmur]]=pogoda__2[[#This Row],[nubis W]],1,0)</f>
        <v>0</v>
      </c>
      <c r="L484">
        <f>IF(AND(pogoda__2[[#This Row],[Temperatura]]&gt;=20,pogoda__2[[#This Row],[Opad]]&lt;=5),1,0)</f>
        <v>0</v>
      </c>
      <c r="M484">
        <v>1</v>
      </c>
    </row>
    <row r="485" spans="1:13" x14ac:dyDescent="0.3">
      <c r="A485">
        <v>484</v>
      </c>
      <c r="B485">
        <v>6</v>
      </c>
      <c r="C485">
        <v>18</v>
      </c>
      <c r="D485" s="6">
        <v>0</v>
      </c>
      <c r="E485">
        <v>0</v>
      </c>
      <c r="F485" s="6" t="s">
        <v>5</v>
      </c>
      <c r="G485">
        <v>4</v>
      </c>
      <c r="I485">
        <f>IF(pogoda__2[[#This Row],[Kategoria_chmur]]=pogoda__2[[#This Row],[nubis K]],1,0)</f>
        <v>0</v>
      </c>
      <c r="J485">
        <f>IF(pogoda__2[[#This Row],[Wielkosc_chmur]]=pogoda__2[[#This Row],[nubis W]],1,0)</f>
        <v>0</v>
      </c>
      <c r="L485">
        <f>IF(AND(pogoda__2[[#This Row],[Temperatura]]&gt;=20,pogoda__2[[#This Row],[Opad]]&lt;=5),1,0)</f>
        <v>0</v>
      </c>
      <c r="M485">
        <v>2</v>
      </c>
    </row>
    <row r="486" spans="1:13" x14ac:dyDescent="0.3">
      <c r="A486">
        <v>485</v>
      </c>
      <c r="B486">
        <v>8.1999999999999993</v>
      </c>
      <c r="C486">
        <v>23</v>
      </c>
      <c r="D486" s="6">
        <v>0</v>
      </c>
      <c r="E486">
        <v>0</v>
      </c>
      <c r="F486" s="6" t="s">
        <v>5</v>
      </c>
      <c r="G486">
        <v>4</v>
      </c>
      <c r="I486">
        <f>IF(pogoda__2[[#This Row],[Kategoria_chmur]]=pogoda__2[[#This Row],[nubis K]],1,0)</f>
        <v>0</v>
      </c>
      <c r="J486">
        <f>IF(pogoda__2[[#This Row],[Wielkosc_chmur]]=pogoda__2[[#This Row],[nubis W]],1,0)</f>
        <v>0</v>
      </c>
      <c r="L486">
        <f>IF(AND(pogoda__2[[#This Row],[Temperatura]]&gt;=20,pogoda__2[[#This Row],[Opad]]&lt;=5),1,0)</f>
        <v>0</v>
      </c>
      <c r="M486">
        <v>3</v>
      </c>
    </row>
    <row r="487" spans="1:13" x14ac:dyDescent="0.3">
      <c r="A487">
        <v>486</v>
      </c>
      <c r="B487">
        <v>9.6999999999999993</v>
      </c>
      <c r="C487">
        <v>23</v>
      </c>
      <c r="D487" s="6">
        <v>0</v>
      </c>
      <c r="E487">
        <v>0</v>
      </c>
      <c r="F487" s="6" t="s">
        <v>5</v>
      </c>
      <c r="G487">
        <v>4</v>
      </c>
      <c r="I487">
        <f>IF(pogoda__2[[#This Row],[Kategoria_chmur]]=pogoda__2[[#This Row],[nubis K]],1,0)</f>
        <v>0</v>
      </c>
      <c r="J487">
        <f>IF(pogoda__2[[#This Row],[Wielkosc_chmur]]=pogoda__2[[#This Row],[nubis W]],1,0)</f>
        <v>0</v>
      </c>
      <c r="L487">
        <f>IF(AND(pogoda__2[[#This Row],[Temperatura]]&gt;=20,pogoda__2[[#This Row],[Opad]]&lt;=5),1,0)</f>
        <v>0</v>
      </c>
      <c r="M487">
        <v>4</v>
      </c>
    </row>
    <row r="488" spans="1:13" x14ac:dyDescent="0.3">
      <c r="A488">
        <v>487</v>
      </c>
      <c r="B488">
        <v>10</v>
      </c>
      <c r="C488">
        <v>11</v>
      </c>
      <c r="D488" s="6">
        <v>0</v>
      </c>
      <c r="E488">
        <v>0</v>
      </c>
      <c r="F488" s="6" t="s">
        <v>5</v>
      </c>
      <c r="G488">
        <v>5</v>
      </c>
      <c r="I488">
        <f>IF(pogoda__2[[#This Row],[Kategoria_chmur]]=pogoda__2[[#This Row],[nubis K]],1,0)</f>
        <v>0</v>
      </c>
      <c r="J488">
        <f>IF(pogoda__2[[#This Row],[Wielkosc_chmur]]=pogoda__2[[#This Row],[nubis W]],1,0)</f>
        <v>0</v>
      </c>
      <c r="L488">
        <f>IF(AND(pogoda__2[[#This Row],[Temperatura]]&gt;=20,pogoda__2[[#This Row],[Opad]]&lt;=5),1,0)</f>
        <v>0</v>
      </c>
      <c r="M488">
        <v>5</v>
      </c>
    </row>
    <row r="489" spans="1:13" x14ac:dyDescent="0.3">
      <c r="A489">
        <v>488</v>
      </c>
      <c r="B489">
        <v>8.8000000000000007</v>
      </c>
      <c r="C489">
        <v>16</v>
      </c>
      <c r="D489" s="6">
        <v>0</v>
      </c>
      <c r="E489">
        <v>0</v>
      </c>
      <c r="F489" s="6" t="s">
        <v>5</v>
      </c>
      <c r="G489">
        <v>5</v>
      </c>
      <c r="I489">
        <f>IF(pogoda__2[[#This Row],[Kategoria_chmur]]=pogoda__2[[#This Row],[nubis K]],1,0)</f>
        <v>0</v>
      </c>
      <c r="J489">
        <f>IF(pogoda__2[[#This Row],[Wielkosc_chmur]]=pogoda__2[[#This Row],[nubis W]],1,0)</f>
        <v>0</v>
      </c>
      <c r="L489">
        <f>IF(AND(pogoda__2[[#This Row],[Temperatura]]&gt;=20,pogoda__2[[#This Row],[Opad]]&lt;=5),1,0)</f>
        <v>0</v>
      </c>
      <c r="M489">
        <v>0</v>
      </c>
    </row>
    <row r="490" spans="1:13" x14ac:dyDescent="0.3">
      <c r="A490">
        <v>489</v>
      </c>
      <c r="B490">
        <v>6.6</v>
      </c>
      <c r="C490">
        <v>22</v>
      </c>
      <c r="D490" s="6">
        <v>0</v>
      </c>
      <c r="E490">
        <v>0</v>
      </c>
      <c r="F490" s="6" t="s">
        <v>5</v>
      </c>
      <c r="G490">
        <v>5</v>
      </c>
      <c r="I490">
        <f>IF(pogoda__2[[#This Row],[Kategoria_chmur]]=pogoda__2[[#This Row],[nubis K]],1,0)</f>
        <v>0</v>
      </c>
      <c r="J490">
        <f>IF(pogoda__2[[#This Row],[Wielkosc_chmur]]=pogoda__2[[#This Row],[nubis W]],1,0)</f>
        <v>0</v>
      </c>
      <c r="L490">
        <f>IF(AND(pogoda__2[[#This Row],[Temperatura]]&gt;=20,pogoda__2[[#This Row],[Opad]]&lt;=5),1,0)</f>
        <v>0</v>
      </c>
      <c r="M490">
        <v>0</v>
      </c>
    </row>
    <row r="491" spans="1:13" x14ac:dyDescent="0.3">
      <c r="A491">
        <v>490</v>
      </c>
      <c r="B491">
        <v>4.0999999999999996</v>
      </c>
      <c r="C491">
        <v>0</v>
      </c>
      <c r="D491" s="6">
        <v>0</v>
      </c>
      <c r="E491">
        <v>0</v>
      </c>
      <c r="F491" s="6">
        <v>0</v>
      </c>
      <c r="G491">
        <v>0</v>
      </c>
      <c r="I491">
        <f>IF(pogoda__2[[#This Row],[Kategoria_chmur]]=pogoda__2[[#This Row],[nubis K]],1,0)</f>
        <v>1</v>
      </c>
      <c r="J491">
        <f>IF(pogoda__2[[#This Row],[Wielkosc_chmur]]=pogoda__2[[#This Row],[nubis W]],1,0)</f>
        <v>1</v>
      </c>
      <c r="L491">
        <f>IF(AND(pogoda__2[[#This Row],[Temperatura]]&gt;=20,pogoda__2[[#This Row],[Opad]]&lt;=5),1,0)</f>
        <v>0</v>
      </c>
      <c r="M491">
        <v>0</v>
      </c>
    </row>
    <row r="492" spans="1:13" x14ac:dyDescent="0.3">
      <c r="A492">
        <v>491</v>
      </c>
      <c r="B492">
        <v>2.2000000000000002</v>
      </c>
      <c r="C492">
        <v>1</v>
      </c>
      <c r="D492" s="6">
        <v>0</v>
      </c>
      <c r="E492">
        <v>0</v>
      </c>
      <c r="F492" s="6" t="s">
        <v>6</v>
      </c>
      <c r="G492">
        <v>1</v>
      </c>
      <c r="I492">
        <f>IF(pogoda__2[[#This Row],[Kategoria_chmur]]=pogoda__2[[#This Row],[nubis K]],1,0)</f>
        <v>0</v>
      </c>
      <c r="J492">
        <f>IF(pogoda__2[[#This Row],[Wielkosc_chmur]]=pogoda__2[[#This Row],[nubis W]],1,0)</f>
        <v>0</v>
      </c>
      <c r="L492">
        <f>IF(AND(pogoda__2[[#This Row],[Temperatura]]&gt;=20,pogoda__2[[#This Row],[Opad]]&lt;=5),1,0)</f>
        <v>0</v>
      </c>
      <c r="M492">
        <v>0</v>
      </c>
    </row>
    <row r="493" spans="1:13" x14ac:dyDescent="0.3">
      <c r="A493">
        <v>492</v>
      </c>
      <c r="B493">
        <v>1.6</v>
      </c>
      <c r="C493">
        <v>4</v>
      </c>
      <c r="D493" s="6">
        <v>0</v>
      </c>
      <c r="E493">
        <v>0</v>
      </c>
      <c r="F493" s="6" t="s">
        <v>6</v>
      </c>
      <c r="G493">
        <v>1</v>
      </c>
      <c r="I493">
        <f>IF(pogoda__2[[#This Row],[Kategoria_chmur]]=pogoda__2[[#This Row],[nubis K]],1,0)</f>
        <v>0</v>
      </c>
      <c r="J493">
        <f>IF(pogoda__2[[#This Row],[Wielkosc_chmur]]=pogoda__2[[#This Row],[nubis W]],1,0)</f>
        <v>0</v>
      </c>
      <c r="L493">
        <f>IF(AND(pogoda__2[[#This Row],[Temperatura]]&gt;=20,pogoda__2[[#This Row],[Opad]]&lt;=5),1,0)</f>
        <v>0</v>
      </c>
      <c r="M493">
        <v>0</v>
      </c>
    </row>
    <row r="494" spans="1:13" x14ac:dyDescent="0.3">
      <c r="A494">
        <v>493</v>
      </c>
      <c r="B494">
        <v>2.7</v>
      </c>
      <c r="C494">
        <v>1</v>
      </c>
      <c r="D494" s="6">
        <v>0</v>
      </c>
      <c r="E494">
        <v>0</v>
      </c>
      <c r="F494" s="6" t="s">
        <v>6</v>
      </c>
      <c r="G494">
        <v>1</v>
      </c>
      <c r="I494">
        <f>IF(pogoda__2[[#This Row],[Kategoria_chmur]]=pogoda__2[[#This Row],[nubis K]],1,0)</f>
        <v>0</v>
      </c>
      <c r="J494">
        <f>IF(pogoda__2[[#This Row],[Wielkosc_chmur]]=pogoda__2[[#This Row],[nubis W]],1,0)</f>
        <v>0</v>
      </c>
      <c r="L494">
        <f>IF(AND(pogoda__2[[#This Row],[Temperatura]]&gt;=20,pogoda__2[[#This Row],[Opad]]&lt;=5),1,0)</f>
        <v>0</v>
      </c>
      <c r="M494">
        <v>1</v>
      </c>
    </row>
    <row r="495" spans="1:13" x14ac:dyDescent="0.3">
      <c r="A495">
        <v>494</v>
      </c>
      <c r="B495">
        <v>5.4</v>
      </c>
      <c r="C495">
        <v>9</v>
      </c>
      <c r="D495" s="6">
        <v>0</v>
      </c>
      <c r="E495">
        <v>0</v>
      </c>
      <c r="F495" s="6" t="s">
        <v>6</v>
      </c>
      <c r="G495">
        <v>2</v>
      </c>
      <c r="I495">
        <f>IF(pogoda__2[[#This Row],[Kategoria_chmur]]=pogoda__2[[#This Row],[nubis K]],1,0)</f>
        <v>0</v>
      </c>
      <c r="J495">
        <f>IF(pogoda__2[[#This Row],[Wielkosc_chmur]]=pogoda__2[[#This Row],[nubis W]],1,0)</f>
        <v>0</v>
      </c>
      <c r="L495">
        <f>IF(AND(pogoda__2[[#This Row],[Temperatura]]&gt;=20,pogoda__2[[#This Row],[Opad]]&lt;=5),1,0)</f>
        <v>0</v>
      </c>
      <c r="M495">
        <v>2</v>
      </c>
    </row>
    <row r="496" spans="1:13" x14ac:dyDescent="0.3">
      <c r="A496">
        <v>495</v>
      </c>
      <c r="B496">
        <v>9.1</v>
      </c>
      <c r="C496">
        <v>11</v>
      </c>
      <c r="D496" s="6">
        <v>0</v>
      </c>
      <c r="E496">
        <v>0</v>
      </c>
      <c r="F496" s="6" t="s">
        <v>6</v>
      </c>
      <c r="G496">
        <v>2</v>
      </c>
      <c r="I496">
        <f>IF(pogoda__2[[#This Row],[Kategoria_chmur]]=pogoda__2[[#This Row],[nubis K]],1,0)</f>
        <v>0</v>
      </c>
      <c r="J496">
        <f>IF(pogoda__2[[#This Row],[Wielkosc_chmur]]=pogoda__2[[#This Row],[nubis W]],1,0)</f>
        <v>0</v>
      </c>
      <c r="L496">
        <f>IF(AND(pogoda__2[[#This Row],[Temperatura]]&gt;=20,pogoda__2[[#This Row],[Opad]]&lt;=5),1,0)</f>
        <v>0</v>
      </c>
      <c r="M496">
        <v>3</v>
      </c>
    </row>
    <row r="497" spans="1:13" x14ac:dyDescent="0.3">
      <c r="A497">
        <v>496</v>
      </c>
      <c r="B497">
        <v>12.9</v>
      </c>
      <c r="C497">
        <v>8</v>
      </c>
      <c r="D497" s="6">
        <v>0</v>
      </c>
      <c r="E497">
        <v>0</v>
      </c>
      <c r="F497" s="6" t="s">
        <v>6</v>
      </c>
      <c r="G497">
        <v>2</v>
      </c>
      <c r="I497">
        <f>IF(pogoda__2[[#This Row],[Kategoria_chmur]]=pogoda__2[[#This Row],[nubis K]],1,0)</f>
        <v>0</v>
      </c>
      <c r="J497">
        <f>IF(pogoda__2[[#This Row],[Wielkosc_chmur]]=pogoda__2[[#This Row],[nubis W]],1,0)</f>
        <v>0</v>
      </c>
      <c r="L497">
        <f>IF(AND(pogoda__2[[#This Row],[Temperatura]]&gt;=20,pogoda__2[[#This Row],[Opad]]&lt;=5),1,0)</f>
        <v>0</v>
      </c>
      <c r="M497">
        <v>4</v>
      </c>
    </row>
    <row r="498" spans="1:13" x14ac:dyDescent="0.3">
      <c r="A498">
        <v>497</v>
      </c>
      <c r="B498">
        <v>15.9</v>
      </c>
      <c r="C498">
        <v>16</v>
      </c>
      <c r="D498" s="6">
        <v>0</v>
      </c>
      <c r="E498">
        <v>0</v>
      </c>
      <c r="F498" s="6" t="s">
        <v>6</v>
      </c>
      <c r="G498">
        <v>3</v>
      </c>
      <c r="I498">
        <f>IF(pogoda__2[[#This Row],[Kategoria_chmur]]=pogoda__2[[#This Row],[nubis K]],1,0)</f>
        <v>0</v>
      </c>
      <c r="J498">
        <f>IF(pogoda__2[[#This Row],[Wielkosc_chmur]]=pogoda__2[[#This Row],[nubis W]],1,0)</f>
        <v>0</v>
      </c>
      <c r="L498">
        <f>IF(AND(pogoda__2[[#This Row],[Temperatura]]&gt;=20,pogoda__2[[#This Row],[Opad]]&lt;=5),1,0)</f>
        <v>0</v>
      </c>
      <c r="M498">
        <v>5</v>
      </c>
    </row>
    <row r="499" spans="1:13" x14ac:dyDescent="0.3">
      <c r="A499">
        <v>498</v>
      </c>
      <c r="B499">
        <v>17.5</v>
      </c>
      <c r="C499">
        <v>15</v>
      </c>
      <c r="D499" s="6">
        <v>0</v>
      </c>
      <c r="E499">
        <v>0</v>
      </c>
      <c r="F499" s="6" t="s">
        <v>6</v>
      </c>
      <c r="G499">
        <v>3</v>
      </c>
      <c r="I499">
        <f>IF(pogoda__2[[#This Row],[Kategoria_chmur]]=pogoda__2[[#This Row],[nubis K]],1,0)</f>
        <v>0</v>
      </c>
      <c r="J499">
        <f>IF(pogoda__2[[#This Row],[Wielkosc_chmur]]=pogoda__2[[#This Row],[nubis W]],1,0)</f>
        <v>0</v>
      </c>
      <c r="L499">
        <f>IF(AND(pogoda__2[[#This Row],[Temperatura]]&gt;=20,pogoda__2[[#This Row],[Opad]]&lt;=5),1,0)</f>
        <v>0</v>
      </c>
      <c r="M499">
        <v>6</v>
      </c>
    </row>
    <row r="500" spans="1:13" x14ac:dyDescent="0.3">
      <c r="A500">
        <v>499</v>
      </c>
      <c r="B500">
        <v>17.5</v>
      </c>
      <c r="C500">
        <v>8</v>
      </c>
      <c r="D500" s="6">
        <v>0</v>
      </c>
      <c r="E500">
        <v>0</v>
      </c>
      <c r="F500" s="6" t="s">
        <v>6</v>
      </c>
      <c r="G500">
        <v>3</v>
      </c>
      <c r="I500">
        <f>IF(pogoda__2[[#This Row],[Kategoria_chmur]]=pogoda__2[[#This Row],[nubis K]],1,0)</f>
        <v>0</v>
      </c>
      <c r="J500">
        <f>IF(pogoda__2[[#This Row],[Wielkosc_chmur]]=pogoda__2[[#This Row],[nubis W]],1,0)</f>
        <v>0</v>
      </c>
      <c r="L500">
        <f>IF(AND(pogoda__2[[#This Row],[Temperatura]]&gt;=20,pogoda__2[[#This Row],[Opad]]&lt;=5),1,0)</f>
        <v>0</v>
      </c>
      <c r="M500">
        <v>0</v>
      </c>
    </row>
    <row r="501" spans="1:13" x14ac:dyDescent="0.3">
      <c r="A501">
        <v>500</v>
      </c>
      <c r="B501">
        <v>16.399999999999999</v>
      </c>
      <c r="C501">
        <v>14</v>
      </c>
      <c r="D501" s="6">
        <v>0</v>
      </c>
      <c r="E501">
        <v>0</v>
      </c>
      <c r="F501" s="6" t="s">
        <v>6</v>
      </c>
      <c r="G501">
        <v>4</v>
      </c>
      <c r="I501">
        <f>IF(pogoda__2[[#This Row],[Kategoria_chmur]]=pogoda__2[[#This Row],[nubis K]],1,0)</f>
        <v>0</v>
      </c>
      <c r="J501">
        <f>IF(pogoda__2[[#This Row],[Wielkosc_chmur]]=pogoda__2[[#This Row],[nubis W]],1,0)</f>
        <v>0</v>
      </c>
      <c r="L501">
        <f>IF(AND(pogoda__2[[#This Row],[Temperatura]]&gt;=20,pogoda__2[[#This Row],[Opad]]&lt;=5),1,0)</f>
        <v>0</v>
      </c>
      <c r="M501">
        <v>0</v>
      </c>
    </row>
    <row r="502" spans="1:13" x14ac:dyDescent="0.3">
      <c r="D502"/>
      <c r="I502"/>
    </row>
    <row r="503" spans="1:13" x14ac:dyDescent="0.3">
      <c r="D503"/>
      <c r="I503"/>
    </row>
    <row r="504" spans="1:13" x14ac:dyDescent="0.3">
      <c r="D504"/>
      <c r="I504"/>
    </row>
    <row r="505" spans="1:13" x14ac:dyDescent="0.3">
      <c r="D505"/>
      <c r="I505"/>
    </row>
    <row r="506" spans="1:13" x14ac:dyDescent="0.3">
      <c r="D506"/>
      <c r="I506"/>
    </row>
    <row r="507" spans="1:13" x14ac:dyDescent="0.3">
      <c r="D507"/>
      <c r="I507"/>
    </row>
    <row r="508" spans="1:13" x14ac:dyDescent="0.3">
      <c r="D508"/>
      <c r="I508"/>
    </row>
    <row r="509" spans="1:13" x14ac:dyDescent="0.3">
      <c r="D509"/>
      <c r="I509"/>
    </row>
    <row r="510" spans="1:13" x14ac:dyDescent="0.3">
      <c r="D510"/>
      <c r="I510"/>
    </row>
    <row r="511" spans="1:13" x14ac:dyDescent="0.3">
      <c r="D511"/>
      <c r="I511"/>
    </row>
    <row r="512" spans="1:13" x14ac:dyDescent="0.3">
      <c r="D512"/>
      <c r="I512"/>
    </row>
    <row r="513" spans="4:16" x14ac:dyDescent="0.3">
      <c r="D513"/>
      <c r="I513"/>
    </row>
    <row r="514" spans="4:16" x14ac:dyDescent="0.3">
      <c r="D514"/>
      <c r="I514"/>
    </row>
    <row r="515" spans="4:16" x14ac:dyDescent="0.3">
      <c r="D515"/>
      <c r="I515"/>
    </row>
    <row r="516" spans="4:16" x14ac:dyDescent="0.3">
      <c r="D516"/>
      <c r="I516"/>
    </row>
    <row r="517" spans="4:16" x14ac:dyDescent="0.3">
      <c r="D517"/>
      <c r="I517"/>
    </row>
    <row r="518" spans="4:16" x14ac:dyDescent="0.3">
      <c r="P518" s="1"/>
    </row>
    <row r="519" spans="4:16" x14ac:dyDescent="0.3">
      <c r="P519" s="1"/>
    </row>
    <row r="520" spans="4:16" x14ac:dyDescent="0.3">
      <c r="P520" s="1"/>
    </row>
    <row r="521" spans="4:16" x14ac:dyDescent="0.3">
      <c r="P521" s="1"/>
    </row>
    <row r="522" spans="4:16" x14ac:dyDescent="0.3">
      <c r="P522" s="1"/>
    </row>
    <row r="523" spans="4:16" x14ac:dyDescent="0.3">
      <c r="P523" s="1"/>
    </row>
    <row r="524" spans="4:16" x14ac:dyDescent="0.3">
      <c r="P524" s="1"/>
    </row>
    <row r="525" spans="4:16" x14ac:dyDescent="0.3">
      <c r="P525" s="1"/>
    </row>
    <row r="526" spans="4:16" x14ac:dyDescent="0.3">
      <c r="P526" s="1"/>
    </row>
    <row r="527" spans="4:16" x14ac:dyDescent="0.3">
      <c r="P527" s="1"/>
    </row>
    <row r="528" spans="4:16" x14ac:dyDescent="0.3">
      <c r="P528" s="1"/>
    </row>
    <row r="529" spans="16:16" x14ac:dyDescent="0.3">
      <c r="P529" s="1"/>
    </row>
    <row r="530" spans="16:16" x14ac:dyDescent="0.3">
      <c r="P530" s="1"/>
    </row>
    <row r="531" spans="16:16" x14ac:dyDescent="0.3">
      <c r="P531" s="1"/>
    </row>
    <row r="532" spans="16:16" x14ac:dyDescent="0.3">
      <c r="P532" s="1"/>
    </row>
    <row r="533" spans="16:16" x14ac:dyDescent="0.3">
      <c r="P533" s="1"/>
    </row>
    <row r="534" spans="16:16" x14ac:dyDescent="0.3">
      <c r="P534" s="1"/>
    </row>
    <row r="535" spans="16:16" x14ac:dyDescent="0.3">
      <c r="P535" s="1"/>
    </row>
    <row r="536" spans="16:16" x14ac:dyDescent="0.3">
      <c r="P536" s="1"/>
    </row>
    <row r="537" spans="16:16" x14ac:dyDescent="0.3">
      <c r="P537" s="1"/>
    </row>
    <row r="538" spans="16:16" x14ac:dyDescent="0.3">
      <c r="P538" s="1"/>
    </row>
    <row r="539" spans="16:16" x14ac:dyDescent="0.3">
      <c r="P539" s="1"/>
    </row>
    <row r="540" spans="16:16" x14ac:dyDescent="0.3">
      <c r="P540" s="1"/>
    </row>
    <row r="541" spans="16:16" x14ac:dyDescent="0.3">
      <c r="P541" s="1"/>
    </row>
    <row r="542" spans="16:16" x14ac:dyDescent="0.3">
      <c r="P542" s="1"/>
    </row>
    <row r="543" spans="16:16" x14ac:dyDescent="0.3">
      <c r="P543" s="1"/>
    </row>
    <row r="544" spans="16:16" x14ac:dyDescent="0.3">
      <c r="P544" s="1"/>
    </row>
    <row r="545" spans="16:16" x14ac:dyDescent="0.3">
      <c r="P545" s="1"/>
    </row>
    <row r="546" spans="16:16" x14ac:dyDescent="0.3">
      <c r="P546" s="1"/>
    </row>
    <row r="547" spans="16:16" x14ac:dyDescent="0.3">
      <c r="P547" s="1"/>
    </row>
    <row r="548" spans="16:16" x14ac:dyDescent="0.3">
      <c r="P548" s="1"/>
    </row>
    <row r="549" spans="16:16" x14ac:dyDescent="0.3">
      <c r="P549" s="1"/>
    </row>
    <row r="550" spans="16:16" x14ac:dyDescent="0.3">
      <c r="P550" s="1"/>
    </row>
    <row r="551" spans="16:16" x14ac:dyDescent="0.3">
      <c r="P551" s="1"/>
    </row>
    <row r="552" spans="16:16" x14ac:dyDescent="0.3">
      <c r="P552" s="1"/>
    </row>
    <row r="553" spans="16:16" x14ac:dyDescent="0.3">
      <c r="P553" s="1"/>
    </row>
    <row r="554" spans="16:16" x14ac:dyDescent="0.3">
      <c r="P554" s="1"/>
    </row>
    <row r="555" spans="16:16" x14ac:dyDescent="0.3">
      <c r="P555" s="1"/>
    </row>
    <row r="556" spans="16:16" x14ac:dyDescent="0.3">
      <c r="P556" s="1"/>
    </row>
    <row r="557" spans="16:16" x14ac:dyDescent="0.3">
      <c r="P557" s="1"/>
    </row>
    <row r="558" spans="16:16" x14ac:dyDescent="0.3">
      <c r="P558" s="1"/>
    </row>
    <row r="559" spans="16:16" x14ac:dyDescent="0.3">
      <c r="P559" s="1"/>
    </row>
    <row r="560" spans="16:16" x14ac:dyDescent="0.3">
      <c r="P560" s="1"/>
    </row>
    <row r="561" spans="16:16" x14ac:dyDescent="0.3">
      <c r="P561" s="1"/>
    </row>
    <row r="562" spans="16:16" x14ac:dyDescent="0.3">
      <c r="P562" s="1"/>
    </row>
    <row r="563" spans="16:16" x14ac:dyDescent="0.3">
      <c r="P563" s="1"/>
    </row>
    <row r="564" spans="16:16" x14ac:dyDescent="0.3">
      <c r="P564" s="1"/>
    </row>
    <row r="565" spans="16:16" x14ac:dyDescent="0.3">
      <c r="P565" s="1"/>
    </row>
    <row r="566" spans="16:16" x14ac:dyDescent="0.3">
      <c r="P566" s="1"/>
    </row>
    <row r="567" spans="16:16" x14ac:dyDescent="0.3">
      <c r="P567" s="1"/>
    </row>
    <row r="568" spans="16:16" x14ac:dyDescent="0.3">
      <c r="P568" s="1"/>
    </row>
    <row r="569" spans="16:16" x14ac:dyDescent="0.3">
      <c r="P569" s="1"/>
    </row>
    <row r="570" spans="16:16" x14ac:dyDescent="0.3">
      <c r="P570" s="1"/>
    </row>
    <row r="571" spans="16:16" x14ac:dyDescent="0.3">
      <c r="P571" s="1"/>
    </row>
    <row r="572" spans="16:16" x14ac:dyDescent="0.3">
      <c r="P572" s="1"/>
    </row>
    <row r="573" spans="16:16" x14ac:dyDescent="0.3">
      <c r="P573" s="1"/>
    </row>
    <row r="574" spans="16:16" x14ac:dyDescent="0.3">
      <c r="P574" s="1"/>
    </row>
    <row r="575" spans="16:16" x14ac:dyDescent="0.3">
      <c r="P575" s="1"/>
    </row>
    <row r="576" spans="16:16" x14ac:dyDescent="0.3">
      <c r="P576" s="1"/>
    </row>
    <row r="577" spans="16:16" x14ac:dyDescent="0.3">
      <c r="P577" s="1"/>
    </row>
    <row r="578" spans="16:16" x14ac:dyDescent="0.3">
      <c r="P578" s="1"/>
    </row>
    <row r="579" spans="16:16" x14ac:dyDescent="0.3">
      <c r="P579" s="1"/>
    </row>
    <row r="580" spans="16:16" x14ac:dyDescent="0.3">
      <c r="P580" s="1"/>
    </row>
    <row r="581" spans="16:16" x14ac:dyDescent="0.3">
      <c r="P581" s="1"/>
    </row>
    <row r="582" spans="16:16" x14ac:dyDescent="0.3">
      <c r="P582" s="1"/>
    </row>
    <row r="583" spans="16:16" x14ac:dyDescent="0.3">
      <c r="P583" s="1"/>
    </row>
    <row r="584" spans="16:16" x14ac:dyDescent="0.3">
      <c r="P584" s="1"/>
    </row>
    <row r="585" spans="16:16" x14ac:dyDescent="0.3">
      <c r="P585" s="1"/>
    </row>
    <row r="586" spans="16:16" x14ac:dyDescent="0.3">
      <c r="P586" s="1"/>
    </row>
    <row r="587" spans="16:16" x14ac:dyDescent="0.3">
      <c r="P587" s="1"/>
    </row>
    <row r="588" spans="16:16" x14ac:dyDescent="0.3">
      <c r="P588" s="1"/>
    </row>
    <row r="589" spans="16:16" x14ac:dyDescent="0.3">
      <c r="P589" s="1"/>
    </row>
    <row r="590" spans="16:16" x14ac:dyDescent="0.3">
      <c r="P590" s="1"/>
    </row>
    <row r="591" spans="16:16" x14ac:dyDescent="0.3">
      <c r="P591" s="1"/>
    </row>
    <row r="592" spans="16:16" x14ac:dyDescent="0.3">
      <c r="P592" s="1"/>
    </row>
    <row r="593" spans="16:16" x14ac:dyDescent="0.3">
      <c r="P593" s="1"/>
    </row>
    <row r="594" spans="16:16" x14ac:dyDescent="0.3">
      <c r="P594" s="1"/>
    </row>
    <row r="595" spans="16:16" x14ac:dyDescent="0.3">
      <c r="P595" s="1"/>
    </row>
    <row r="596" spans="16:16" x14ac:dyDescent="0.3">
      <c r="P596" s="1"/>
    </row>
    <row r="597" spans="16:16" x14ac:dyDescent="0.3">
      <c r="P597" s="1"/>
    </row>
    <row r="598" spans="16:16" x14ac:dyDescent="0.3">
      <c r="P598" s="1"/>
    </row>
    <row r="599" spans="16:16" x14ac:dyDescent="0.3">
      <c r="P599" s="1"/>
    </row>
    <row r="600" spans="16:16" x14ac:dyDescent="0.3">
      <c r="P600" s="1"/>
    </row>
    <row r="601" spans="16:16" x14ac:dyDescent="0.3">
      <c r="P601" s="1"/>
    </row>
    <row r="602" spans="16:16" x14ac:dyDescent="0.3">
      <c r="P602" s="1"/>
    </row>
    <row r="603" spans="16:16" x14ac:dyDescent="0.3">
      <c r="P603" s="1"/>
    </row>
    <row r="604" spans="16:16" x14ac:dyDescent="0.3">
      <c r="P604" s="1"/>
    </row>
    <row r="605" spans="16:16" x14ac:dyDescent="0.3">
      <c r="P605" s="1"/>
    </row>
    <row r="606" spans="16:16" x14ac:dyDescent="0.3">
      <c r="P606" s="1"/>
    </row>
    <row r="607" spans="16:16" x14ac:dyDescent="0.3">
      <c r="P607" s="1"/>
    </row>
    <row r="608" spans="16:16" x14ac:dyDescent="0.3">
      <c r="P608" s="1"/>
    </row>
    <row r="609" spans="16:16" x14ac:dyDescent="0.3">
      <c r="P609" s="1"/>
    </row>
    <row r="610" spans="16:16" x14ac:dyDescent="0.3">
      <c r="P610" s="1"/>
    </row>
    <row r="611" spans="16:16" x14ac:dyDescent="0.3">
      <c r="P611" s="1"/>
    </row>
    <row r="612" spans="16:16" x14ac:dyDescent="0.3">
      <c r="P612" s="1"/>
    </row>
    <row r="613" spans="16:16" x14ac:dyDescent="0.3">
      <c r="P613" s="1"/>
    </row>
    <row r="614" spans="16:16" x14ac:dyDescent="0.3">
      <c r="P614" s="1"/>
    </row>
    <row r="615" spans="16:16" x14ac:dyDescent="0.3">
      <c r="P615" s="1"/>
    </row>
    <row r="616" spans="16:16" x14ac:dyDescent="0.3">
      <c r="P616" s="1"/>
    </row>
    <row r="617" spans="16:16" x14ac:dyDescent="0.3">
      <c r="P617" s="1"/>
    </row>
    <row r="618" spans="16:16" x14ac:dyDescent="0.3">
      <c r="P618" s="1"/>
    </row>
    <row r="619" spans="16:16" x14ac:dyDescent="0.3">
      <c r="P619" s="1"/>
    </row>
    <row r="620" spans="16:16" x14ac:dyDescent="0.3">
      <c r="P620" s="1"/>
    </row>
    <row r="621" spans="16:16" x14ac:dyDescent="0.3">
      <c r="P621" s="1"/>
    </row>
    <row r="622" spans="16:16" x14ac:dyDescent="0.3">
      <c r="P622" s="1"/>
    </row>
    <row r="623" spans="16:16" x14ac:dyDescent="0.3">
      <c r="P623" s="1"/>
    </row>
    <row r="624" spans="16:16" x14ac:dyDescent="0.3">
      <c r="P624" s="1"/>
    </row>
    <row r="625" spans="16:16" x14ac:dyDescent="0.3">
      <c r="P625" s="1"/>
    </row>
    <row r="626" spans="16:16" x14ac:dyDescent="0.3">
      <c r="P626" s="1"/>
    </row>
    <row r="627" spans="16:16" x14ac:dyDescent="0.3">
      <c r="P627" s="1"/>
    </row>
    <row r="628" spans="16:16" x14ac:dyDescent="0.3">
      <c r="P628" s="1"/>
    </row>
    <row r="629" spans="16:16" x14ac:dyDescent="0.3">
      <c r="P629" s="1"/>
    </row>
    <row r="630" spans="16:16" x14ac:dyDescent="0.3">
      <c r="P630" s="1"/>
    </row>
    <row r="631" spans="16:16" x14ac:dyDescent="0.3">
      <c r="P631" s="1"/>
    </row>
    <row r="632" spans="16:16" x14ac:dyDescent="0.3">
      <c r="P632" s="1"/>
    </row>
    <row r="633" spans="16:16" x14ac:dyDescent="0.3">
      <c r="P633" s="1"/>
    </row>
    <row r="634" spans="16:16" x14ac:dyDescent="0.3">
      <c r="P634" s="1"/>
    </row>
    <row r="635" spans="16:16" x14ac:dyDescent="0.3">
      <c r="P635" s="1"/>
    </row>
    <row r="636" spans="16:16" x14ac:dyDescent="0.3">
      <c r="P636" s="1"/>
    </row>
    <row r="637" spans="16:16" x14ac:dyDescent="0.3">
      <c r="P637" s="1"/>
    </row>
    <row r="638" spans="16:16" x14ac:dyDescent="0.3">
      <c r="P638" s="1"/>
    </row>
    <row r="639" spans="16:16" x14ac:dyDescent="0.3">
      <c r="P639" s="1"/>
    </row>
    <row r="640" spans="16:16" x14ac:dyDescent="0.3">
      <c r="P640" s="1"/>
    </row>
    <row r="641" spans="16:16" x14ac:dyDescent="0.3">
      <c r="P641" s="1"/>
    </row>
    <row r="642" spans="16:16" x14ac:dyDescent="0.3">
      <c r="P642" s="1"/>
    </row>
    <row r="643" spans="16:16" x14ac:dyDescent="0.3">
      <c r="P643" s="1"/>
    </row>
    <row r="644" spans="16:16" x14ac:dyDescent="0.3">
      <c r="P644" s="1"/>
    </row>
    <row r="645" spans="16:16" x14ac:dyDescent="0.3">
      <c r="P645" s="1"/>
    </row>
    <row r="646" spans="16:16" x14ac:dyDescent="0.3">
      <c r="P646" s="1"/>
    </row>
    <row r="647" spans="16:16" x14ac:dyDescent="0.3">
      <c r="P647" s="1"/>
    </row>
    <row r="648" spans="16:16" x14ac:dyDescent="0.3">
      <c r="P648" s="1"/>
    </row>
    <row r="649" spans="16:16" x14ac:dyDescent="0.3">
      <c r="P649" s="1"/>
    </row>
    <row r="650" spans="16:16" x14ac:dyDescent="0.3">
      <c r="P650" s="1"/>
    </row>
    <row r="651" spans="16:16" x14ac:dyDescent="0.3">
      <c r="P651" s="1"/>
    </row>
    <row r="652" spans="16:16" x14ac:dyDescent="0.3">
      <c r="P652" s="1"/>
    </row>
    <row r="653" spans="16:16" x14ac:dyDescent="0.3">
      <c r="P653" s="1"/>
    </row>
    <row r="654" spans="16:16" x14ac:dyDescent="0.3">
      <c r="P654" s="1"/>
    </row>
    <row r="655" spans="16:16" x14ac:dyDescent="0.3">
      <c r="P655" s="1"/>
    </row>
    <row r="656" spans="16:16" x14ac:dyDescent="0.3">
      <c r="P656" s="1"/>
    </row>
    <row r="657" spans="16:16" x14ac:dyDescent="0.3">
      <c r="P657" s="1"/>
    </row>
    <row r="658" spans="16:16" x14ac:dyDescent="0.3">
      <c r="P658" s="1"/>
    </row>
    <row r="659" spans="16:16" x14ac:dyDescent="0.3">
      <c r="P659" s="1"/>
    </row>
    <row r="660" spans="16:16" x14ac:dyDescent="0.3">
      <c r="P660" s="1"/>
    </row>
    <row r="661" spans="16:16" x14ac:dyDescent="0.3">
      <c r="P661" s="1"/>
    </row>
    <row r="662" spans="16:16" x14ac:dyDescent="0.3">
      <c r="P662" s="1"/>
    </row>
    <row r="663" spans="16:16" x14ac:dyDescent="0.3">
      <c r="P663" s="1"/>
    </row>
    <row r="664" spans="16:16" x14ac:dyDescent="0.3">
      <c r="P664" s="1"/>
    </row>
    <row r="665" spans="16:16" x14ac:dyDescent="0.3">
      <c r="P665" s="1"/>
    </row>
    <row r="666" spans="16:16" x14ac:dyDescent="0.3">
      <c r="P666" s="1"/>
    </row>
    <row r="667" spans="16:16" x14ac:dyDescent="0.3">
      <c r="P667" s="1"/>
    </row>
    <row r="668" spans="16:16" x14ac:dyDescent="0.3">
      <c r="P668" s="1"/>
    </row>
    <row r="669" spans="16:16" x14ac:dyDescent="0.3">
      <c r="P669" s="1"/>
    </row>
    <row r="670" spans="16:16" x14ac:dyDescent="0.3">
      <c r="P670" s="1"/>
    </row>
    <row r="671" spans="16:16" x14ac:dyDescent="0.3">
      <c r="P671" s="1"/>
    </row>
    <row r="672" spans="16:16" x14ac:dyDescent="0.3">
      <c r="P672" s="1"/>
    </row>
    <row r="673" spans="16:16" x14ac:dyDescent="0.3">
      <c r="P673" s="1"/>
    </row>
    <row r="674" spans="16:16" x14ac:dyDescent="0.3">
      <c r="P674" s="1"/>
    </row>
    <row r="675" spans="16:16" x14ac:dyDescent="0.3">
      <c r="P675" s="1"/>
    </row>
    <row r="676" spans="16:16" x14ac:dyDescent="0.3">
      <c r="P676" s="1"/>
    </row>
    <row r="677" spans="16:16" x14ac:dyDescent="0.3">
      <c r="P677" s="1"/>
    </row>
    <row r="678" spans="16:16" x14ac:dyDescent="0.3">
      <c r="P678" s="1"/>
    </row>
    <row r="679" spans="16:16" x14ac:dyDescent="0.3">
      <c r="P679" s="1"/>
    </row>
    <row r="680" spans="16:16" x14ac:dyDescent="0.3">
      <c r="P680" s="1"/>
    </row>
    <row r="681" spans="16:16" x14ac:dyDescent="0.3">
      <c r="P681" s="1"/>
    </row>
    <row r="682" spans="16:16" x14ac:dyDescent="0.3">
      <c r="P682" s="1"/>
    </row>
    <row r="683" spans="16:16" x14ac:dyDescent="0.3">
      <c r="P683" s="1"/>
    </row>
    <row r="684" spans="16:16" x14ac:dyDescent="0.3">
      <c r="P684" s="1"/>
    </row>
    <row r="685" spans="16:16" x14ac:dyDescent="0.3">
      <c r="P685" s="1"/>
    </row>
    <row r="686" spans="16:16" x14ac:dyDescent="0.3">
      <c r="P686" s="1"/>
    </row>
    <row r="687" spans="16:16" x14ac:dyDescent="0.3">
      <c r="P687" s="1"/>
    </row>
    <row r="688" spans="16:16" x14ac:dyDescent="0.3">
      <c r="P688" s="1"/>
    </row>
    <row r="689" spans="16:16" x14ac:dyDescent="0.3">
      <c r="P689" s="1"/>
    </row>
    <row r="690" spans="16:16" x14ac:dyDescent="0.3">
      <c r="P690" s="1"/>
    </row>
    <row r="691" spans="16:16" x14ac:dyDescent="0.3">
      <c r="P691" s="1"/>
    </row>
    <row r="692" spans="16:16" x14ac:dyDescent="0.3">
      <c r="P692" s="1"/>
    </row>
    <row r="693" spans="16:16" x14ac:dyDescent="0.3">
      <c r="P693" s="1"/>
    </row>
    <row r="694" spans="16:16" x14ac:dyDescent="0.3">
      <c r="P694" s="1"/>
    </row>
    <row r="695" spans="16:16" x14ac:dyDescent="0.3">
      <c r="P695" s="1"/>
    </row>
    <row r="696" spans="16:16" x14ac:dyDescent="0.3">
      <c r="P696" s="1"/>
    </row>
    <row r="697" spans="16:16" x14ac:dyDescent="0.3">
      <c r="P697" s="1"/>
    </row>
    <row r="698" spans="16:16" x14ac:dyDescent="0.3">
      <c r="P698" s="1"/>
    </row>
    <row r="699" spans="16:16" x14ac:dyDescent="0.3">
      <c r="P699" s="1"/>
    </row>
    <row r="700" spans="16:16" x14ac:dyDescent="0.3">
      <c r="P700" s="1"/>
    </row>
    <row r="701" spans="16:16" x14ac:dyDescent="0.3">
      <c r="P701" s="1"/>
    </row>
    <row r="702" spans="16:16" x14ac:dyDescent="0.3">
      <c r="P702" s="1"/>
    </row>
    <row r="703" spans="16:16" x14ac:dyDescent="0.3">
      <c r="P703" s="1"/>
    </row>
    <row r="704" spans="16:16" x14ac:dyDescent="0.3">
      <c r="P704" s="1"/>
    </row>
    <row r="705" spans="16:16" x14ac:dyDescent="0.3">
      <c r="P705" s="1"/>
    </row>
    <row r="706" spans="16:16" x14ac:dyDescent="0.3">
      <c r="P706" s="1"/>
    </row>
    <row r="707" spans="16:16" x14ac:dyDescent="0.3">
      <c r="P707" s="1"/>
    </row>
    <row r="708" spans="16:16" x14ac:dyDescent="0.3">
      <c r="P708" s="1"/>
    </row>
    <row r="709" spans="16:16" x14ac:dyDescent="0.3">
      <c r="P709" s="1"/>
    </row>
    <row r="710" spans="16:16" x14ac:dyDescent="0.3">
      <c r="P710" s="1"/>
    </row>
    <row r="711" spans="16:16" x14ac:dyDescent="0.3">
      <c r="P711" s="1"/>
    </row>
    <row r="712" spans="16:16" x14ac:dyDescent="0.3">
      <c r="P712" s="1"/>
    </row>
    <row r="713" spans="16:16" x14ac:dyDescent="0.3">
      <c r="P713" s="1"/>
    </row>
    <row r="714" spans="16:16" x14ac:dyDescent="0.3">
      <c r="P714" s="1"/>
    </row>
    <row r="715" spans="16:16" x14ac:dyDescent="0.3">
      <c r="P715" s="1"/>
    </row>
    <row r="716" spans="16:16" x14ac:dyDescent="0.3">
      <c r="P716" s="1"/>
    </row>
    <row r="717" spans="16:16" x14ac:dyDescent="0.3">
      <c r="P717" s="1"/>
    </row>
    <row r="718" spans="16:16" x14ac:dyDescent="0.3">
      <c r="P718" s="1"/>
    </row>
    <row r="719" spans="16:16" x14ac:dyDescent="0.3">
      <c r="P719" s="1"/>
    </row>
    <row r="720" spans="16:16" x14ac:dyDescent="0.3">
      <c r="P720" s="1"/>
    </row>
    <row r="721" spans="16:16" x14ac:dyDescent="0.3">
      <c r="P721" s="1"/>
    </row>
    <row r="722" spans="16:16" x14ac:dyDescent="0.3">
      <c r="P722" s="1"/>
    </row>
    <row r="723" spans="16:16" x14ac:dyDescent="0.3">
      <c r="P723" s="1"/>
    </row>
    <row r="724" spans="16:16" x14ac:dyDescent="0.3">
      <c r="P724" s="1"/>
    </row>
    <row r="725" spans="16:16" x14ac:dyDescent="0.3">
      <c r="P725" s="1"/>
    </row>
    <row r="726" spans="16:16" x14ac:dyDescent="0.3">
      <c r="P726" s="1"/>
    </row>
    <row r="727" spans="16:16" x14ac:dyDescent="0.3">
      <c r="P727" s="1"/>
    </row>
    <row r="728" spans="16:16" x14ac:dyDescent="0.3">
      <c r="P728" s="1"/>
    </row>
    <row r="729" spans="16:16" x14ac:dyDescent="0.3">
      <c r="P729" s="1"/>
    </row>
    <row r="730" spans="16:16" x14ac:dyDescent="0.3">
      <c r="P730" s="1"/>
    </row>
    <row r="731" spans="16:16" x14ac:dyDescent="0.3">
      <c r="P731" s="1"/>
    </row>
    <row r="732" spans="16:16" x14ac:dyDescent="0.3">
      <c r="P732" s="1"/>
    </row>
    <row r="733" spans="16:16" x14ac:dyDescent="0.3">
      <c r="P733" s="1"/>
    </row>
    <row r="734" spans="16:16" x14ac:dyDescent="0.3">
      <c r="P734" s="1"/>
    </row>
    <row r="735" spans="16:16" x14ac:dyDescent="0.3">
      <c r="P735" s="1"/>
    </row>
    <row r="736" spans="16:16" x14ac:dyDescent="0.3">
      <c r="P736" s="1"/>
    </row>
    <row r="737" spans="16:16" x14ac:dyDescent="0.3">
      <c r="P737" s="1"/>
    </row>
    <row r="738" spans="16:16" x14ac:dyDescent="0.3">
      <c r="P738" s="1"/>
    </row>
    <row r="739" spans="16:16" x14ac:dyDescent="0.3">
      <c r="P739" s="1"/>
    </row>
    <row r="740" spans="16:16" x14ac:dyDescent="0.3">
      <c r="P740" s="1"/>
    </row>
    <row r="741" spans="16:16" x14ac:dyDescent="0.3">
      <c r="P741" s="1"/>
    </row>
    <row r="742" spans="16:16" x14ac:dyDescent="0.3">
      <c r="P742" s="1"/>
    </row>
    <row r="743" spans="16:16" x14ac:dyDescent="0.3">
      <c r="P743" s="1"/>
    </row>
    <row r="744" spans="16:16" x14ac:dyDescent="0.3">
      <c r="P744" s="1"/>
    </row>
    <row r="745" spans="16:16" x14ac:dyDescent="0.3">
      <c r="P745" s="1"/>
    </row>
    <row r="746" spans="16:16" x14ac:dyDescent="0.3">
      <c r="P746" s="1"/>
    </row>
    <row r="747" spans="16:16" x14ac:dyDescent="0.3">
      <c r="P747" s="1"/>
    </row>
    <row r="748" spans="16:16" x14ac:dyDescent="0.3">
      <c r="P748" s="1"/>
    </row>
    <row r="749" spans="16:16" x14ac:dyDescent="0.3">
      <c r="P749" s="1"/>
    </row>
    <row r="750" spans="16:16" x14ac:dyDescent="0.3">
      <c r="P750" s="1"/>
    </row>
    <row r="751" spans="16:16" x14ac:dyDescent="0.3">
      <c r="P751" s="1"/>
    </row>
    <row r="752" spans="16:16" x14ac:dyDescent="0.3">
      <c r="P752" s="1"/>
    </row>
    <row r="753" spans="16:16" x14ac:dyDescent="0.3">
      <c r="P753" s="1"/>
    </row>
    <row r="754" spans="16:16" x14ac:dyDescent="0.3">
      <c r="P754" s="1"/>
    </row>
    <row r="755" spans="16:16" x14ac:dyDescent="0.3">
      <c r="P755" s="1"/>
    </row>
    <row r="756" spans="16:16" x14ac:dyDescent="0.3">
      <c r="P756" s="1"/>
    </row>
    <row r="757" spans="16:16" x14ac:dyDescent="0.3">
      <c r="P757" s="1"/>
    </row>
    <row r="758" spans="16:16" x14ac:dyDescent="0.3">
      <c r="P758" s="1"/>
    </row>
    <row r="759" spans="16:16" x14ac:dyDescent="0.3">
      <c r="P759" s="1"/>
    </row>
    <row r="760" spans="16:16" x14ac:dyDescent="0.3">
      <c r="P760" s="1"/>
    </row>
    <row r="761" spans="16:16" x14ac:dyDescent="0.3">
      <c r="P761" s="1"/>
    </row>
    <row r="762" spans="16:16" x14ac:dyDescent="0.3">
      <c r="P762" s="1"/>
    </row>
    <row r="763" spans="16:16" x14ac:dyDescent="0.3">
      <c r="P763" s="1"/>
    </row>
    <row r="764" spans="16:16" x14ac:dyDescent="0.3">
      <c r="P764" s="1"/>
    </row>
    <row r="765" spans="16:16" x14ac:dyDescent="0.3">
      <c r="P765" s="1"/>
    </row>
    <row r="766" spans="16:16" x14ac:dyDescent="0.3">
      <c r="P766" s="1"/>
    </row>
    <row r="767" spans="16:16" x14ac:dyDescent="0.3">
      <c r="P767" s="1"/>
    </row>
    <row r="768" spans="16:16" x14ac:dyDescent="0.3">
      <c r="P768" s="1"/>
    </row>
    <row r="769" spans="16:16" x14ac:dyDescent="0.3">
      <c r="P769" s="1"/>
    </row>
    <row r="770" spans="16:16" x14ac:dyDescent="0.3">
      <c r="P770" s="1"/>
    </row>
    <row r="771" spans="16:16" x14ac:dyDescent="0.3">
      <c r="P771" s="1"/>
    </row>
    <row r="772" spans="16:16" x14ac:dyDescent="0.3">
      <c r="P772" s="1"/>
    </row>
    <row r="773" spans="16:16" x14ac:dyDescent="0.3">
      <c r="P773" s="1"/>
    </row>
    <row r="774" spans="16:16" x14ac:dyDescent="0.3">
      <c r="P774" s="1"/>
    </row>
    <row r="775" spans="16:16" x14ac:dyDescent="0.3">
      <c r="P775" s="1"/>
    </row>
    <row r="776" spans="16:16" x14ac:dyDescent="0.3">
      <c r="P776" s="1"/>
    </row>
    <row r="777" spans="16:16" x14ac:dyDescent="0.3">
      <c r="P777" s="1"/>
    </row>
    <row r="778" spans="16:16" x14ac:dyDescent="0.3">
      <c r="P778" s="1"/>
    </row>
    <row r="779" spans="16:16" x14ac:dyDescent="0.3">
      <c r="P779" s="1"/>
    </row>
    <row r="780" spans="16:16" x14ac:dyDescent="0.3">
      <c r="P780" s="1"/>
    </row>
    <row r="781" spans="16:16" x14ac:dyDescent="0.3">
      <c r="P781" s="1"/>
    </row>
    <row r="782" spans="16:16" x14ac:dyDescent="0.3">
      <c r="P782" s="1"/>
    </row>
    <row r="783" spans="16:16" x14ac:dyDescent="0.3">
      <c r="P783" s="1"/>
    </row>
    <row r="784" spans="16:16" x14ac:dyDescent="0.3">
      <c r="P784" s="1"/>
    </row>
    <row r="785" spans="16:16" x14ac:dyDescent="0.3">
      <c r="P785" s="1"/>
    </row>
    <row r="786" spans="16:16" x14ac:dyDescent="0.3">
      <c r="P786" s="1"/>
    </row>
    <row r="787" spans="16:16" x14ac:dyDescent="0.3">
      <c r="P787" s="1"/>
    </row>
    <row r="788" spans="16:16" x14ac:dyDescent="0.3">
      <c r="P788" s="1"/>
    </row>
    <row r="789" spans="16:16" x14ac:dyDescent="0.3">
      <c r="P789" s="1"/>
    </row>
    <row r="790" spans="16:16" x14ac:dyDescent="0.3">
      <c r="P790" s="1"/>
    </row>
    <row r="791" spans="16:16" x14ac:dyDescent="0.3">
      <c r="P791" s="1"/>
    </row>
    <row r="792" spans="16:16" x14ac:dyDescent="0.3">
      <c r="P792" s="1"/>
    </row>
    <row r="793" spans="16:16" x14ac:dyDescent="0.3">
      <c r="P793" s="1"/>
    </row>
    <row r="794" spans="16:16" x14ac:dyDescent="0.3">
      <c r="P794" s="1"/>
    </row>
    <row r="795" spans="16:16" x14ac:dyDescent="0.3">
      <c r="P795" s="1"/>
    </row>
    <row r="796" spans="16:16" x14ac:dyDescent="0.3">
      <c r="P796" s="1"/>
    </row>
    <row r="797" spans="16:16" x14ac:dyDescent="0.3">
      <c r="P797" s="1"/>
    </row>
    <row r="798" spans="16:16" x14ac:dyDescent="0.3">
      <c r="P798" s="1"/>
    </row>
    <row r="799" spans="16:16" x14ac:dyDescent="0.3">
      <c r="P799" s="1"/>
    </row>
    <row r="800" spans="16:16" x14ac:dyDescent="0.3">
      <c r="P800" s="1"/>
    </row>
    <row r="801" spans="16:16" x14ac:dyDescent="0.3">
      <c r="P801" s="1"/>
    </row>
    <row r="802" spans="16:16" x14ac:dyDescent="0.3">
      <c r="P802" s="1"/>
    </row>
    <row r="803" spans="16:16" x14ac:dyDescent="0.3">
      <c r="P803" s="1"/>
    </row>
    <row r="804" spans="16:16" x14ac:dyDescent="0.3">
      <c r="P804" s="1"/>
    </row>
    <row r="805" spans="16:16" x14ac:dyDescent="0.3">
      <c r="P805" s="1"/>
    </row>
    <row r="806" spans="16:16" x14ac:dyDescent="0.3">
      <c r="P806" s="1"/>
    </row>
    <row r="807" spans="16:16" x14ac:dyDescent="0.3">
      <c r="P807" s="1"/>
    </row>
    <row r="808" spans="16:16" x14ac:dyDescent="0.3">
      <c r="P808" s="1"/>
    </row>
    <row r="809" spans="16:16" x14ac:dyDescent="0.3">
      <c r="P809" s="1"/>
    </row>
    <row r="810" spans="16:16" x14ac:dyDescent="0.3">
      <c r="P810" s="1"/>
    </row>
    <row r="811" spans="16:16" x14ac:dyDescent="0.3">
      <c r="P811" s="1"/>
    </row>
    <row r="812" spans="16:16" x14ac:dyDescent="0.3">
      <c r="P812" s="1"/>
    </row>
    <row r="813" spans="16:16" x14ac:dyDescent="0.3">
      <c r="P813" s="1"/>
    </row>
    <row r="814" spans="16:16" x14ac:dyDescent="0.3">
      <c r="P814" s="1"/>
    </row>
    <row r="815" spans="16:16" x14ac:dyDescent="0.3">
      <c r="P815" s="1"/>
    </row>
    <row r="816" spans="16:16" x14ac:dyDescent="0.3">
      <c r="P816" s="1"/>
    </row>
    <row r="817" spans="16:16" x14ac:dyDescent="0.3">
      <c r="P817" s="1"/>
    </row>
    <row r="818" spans="16:16" x14ac:dyDescent="0.3">
      <c r="P818" s="1"/>
    </row>
    <row r="819" spans="16:16" x14ac:dyDescent="0.3">
      <c r="P819" s="1"/>
    </row>
    <row r="820" spans="16:16" x14ac:dyDescent="0.3">
      <c r="P820" s="1"/>
    </row>
    <row r="821" spans="16:16" x14ac:dyDescent="0.3">
      <c r="P821" s="1"/>
    </row>
    <row r="822" spans="16:16" x14ac:dyDescent="0.3">
      <c r="P822" s="1"/>
    </row>
    <row r="823" spans="16:16" x14ac:dyDescent="0.3">
      <c r="P823" s="1"/>
    </row>
    <row r="824" spans="16:16" x14ac:dyDescent="0.3">
      <c r="P824" s="1"/>
    </row>
    <row r="825" spans="16:16" x14ac:dyDescent="0.3">
      <c r="P825" s="1"/>
    </row>
    <row r="826" spans="16:16" x14ac:dyDescent="0.3">
      <c r="P826" s="1"/>
    </row>
    <row r="827" spans="16:16" x14ac:dyDescent="0.3">
      <c r="P827" s="1"/>
    </row>
    <row r="828" spans="16:16" x14ac:dyDescent="0.3">
      <c r="P828" s="1"/>
    </row>
    <row r="829" spans="16:16" x14ac:dyDescent="0.3">
      <c r="P829" s="1"/>
    </row>
    <row r="830" spans="16:16" x14ac:dyDescent="0.3">
      <c r="P830" s="1"/>
    </row>
    <row r="831" spans="16:16" x14ac:dyDescent="0.3">
      <c r="P831" s="1"/>
    </row>
    <row r="832" spans="16:16" x14ac:dyDescent="0.3">
      <c r="P832" s="1"/>
    </row>
    <row r="833" spans="16:16" x14ac:dyDescent="0.3">
      <c r="P833" s="1"/>
    </row>
    <row r="834" spans="16:16" x14ac:dyDescent="0.3">
      <c r="P834" s="1"/>
    </row>
    <row r="835" spans="16:16" x14ac:dyDescent="0.3">
      <c r="P835" s="1"/>
    </row>
    <row r="836" spans="16:16" x14ac:dyDescent="0.3">
      <c r="P836" s="1"/>
    </row>
    <row r="837" spans="16:16" x14ac:dyDescent="0.3">
      <c r="P837" s="1"/>
    </row>
    <row r="838" spans="16:16" x14ac:dyDescent="0.3">
      <c r="P838" s="1"/>
    </row>
    <row r="839" spans="16:16" x14ac:dyDescent="0.3">
      <c r="P839" s="1"/>
    </row>
    <row r="840" spans="16:16" x14ac:dyDescent="0.3">
      <c r="P840" s="1"/>
    </row>
    <row r="841" spans="16:16" x14ac:dyDescent="0.3">
      <c r="P841" s="1"/>
    </row>
    <row r="842" spans="16:16" x14ac:dyDescent="0.3">
      <c r="P842" s="1"/>
    </row>
    <row r="843" spans="16:16" x14ac:dyDescent="0.3">
      <c r="P843" s="1"/>
    </row>
    <row r="844" spans="16:16" x14ac:dyDescent="0.3">
      <c r="P844" s="1"/>
    </row>
    <row r="845" spans="16:16" x14ac:dyDescent="0.3">
      <c r="P845" s="1"/>
    </row>
    <row r="846" spans="16:16" x14ac:dyDescent="0.3">
      <c r="P846" s="1"/>
    </row>
    <row r="847" spans="16:16" x14ac:dyDescent="0.3">
      <c r="P847" s="1"/>
    </row>
    <row r="848" spans="16:16" x14ac:dyDescent="0.3">
      <c r="P848" s="1"/>
    </row>
    <row r="849" spans="16:16" x14ac:dyDescent="0.3">
      <c r="P849" s="1"/>
    </row>
    <row r="850" spans="16:16" x14ac:dyDescent="0.3">
      <c r="P850" s="1"/>
    </row>
    <row r="851" spans="16:16" x14ac:dyDescent="0.3">
      <c r="P851" s="1"/>
    </row>
    <row r="852" spans="16:16" x14ac:dyDescent="0.3">
      <c r="P852" s="1"/>
    </row>
    <row r="853" spans="16:16" x14ac:dyDescent="0.3">
      <c r="P853" s="1"/>
    </row>
    <row r="854" spans="16:16" x14ac:dyDescent="0.3">
      <c r="P854" s="1"/>
    </row>
    <row r="855" spans="16:16" x14ac:dyDescent="0.3">
      <c r="P855" s="1"/>
    </row>
    <row r="856" spans="16:16" x14ac:dyDescent="0.3">
      <c r="P856" s="1"/>
    </row>
    <row r="857" spans="16:16" x14ac:dyDescent="0.3">
      <c r="P857" s="1"/>
    </row>
    <row r="858" spans="16:16" x14ac:dyDescent="0.3">
      <c r="P858" s="1"/>
    </row>
    <row r="859" spans="16:16" x14ac:dyDescent="0.3">
      <c r="P859" s="1"/>
    </row>
    <row r="860" spans="16:16" x14ac:dyDescent="0.3">
      <c r="P860" s="1"/>
    </row>
    <row r="861" spans="16:16" x14ac:dyDescent="0.3">
      <c r="P861" s="1"/>
    </row>
    <row r="862" spans="16:16" x14ac:dyDescent="0.3">
      <c r="P862" s="1"/>
    </row>
    <row r="863" spans="16:16" x14ac:dyDescent="0.3">
      <c r="P863" s="1"/>
    </row>
    <row r="864" spans="16:16" x14ac:dyDescent="0.3">
      <c r="P864" s="1"/>
    </row>
    <row r="865" spans="16:16" x14ac:dyDescent="0.3">
      <c r="P865" s="1"/>
    </row>
    <row r="866" spans="16:16" x14ac:dyDescent="0.3">
      <c r="P866" s="1"/>
    </row>
    <row r="867" spans="16:16" x14ac:dyDescent="0.3">
      <c r="P867" s="1"/>
    </row>
    <row r="868" spans="16:16" x14ac:dyDescent="0.3">
      <c r="P868" s="1"/>
    </row>
    <row r="869" spans="16:16" x14ac:dyDescent="0.3">
      <c r="P869" s="1"/>
    </row>
    <row r="870" spans="16:16" x14ac:dyDescent="0.3">
      <c r="P870" s="1"/>
    </row>
    <row r="871" spans="16:16" x14ac:dyDescent="0.3">
      <c r="P871" s="1"/>
    </row>
    <row r="872" spans="16:16" x14ac:dyDescent="0.3">
      <c r="P872" s="1"/>
    </row>
    <row r="873" spans="16:16" x14ac:dyDescent="0.3">
      <c r="P873" s="1"/>
    </row>
    <row r="874" spans="16:16" x14ac:dyDescent="0.3">
      <c r="P874" s="1"/>
    </row>
    <row r="875" spans="16:16" x14ac:dyDescent="0.3">
      <c r="P875" s="1"/>
    </row>
    <row r="876" spans="16:16" x14ac:dyDescent="0.3">
      <c r="P876" s="1"/>
    </row>
    <row r="877" spans="16:16" x14ac:dyDescent="0.3">
      <c r="P877" s="1"/>
    </row>
    <row r="878" spans="16:16" x14ac:dyDescent="0.3">
      <c r="P878" s="1"/>
    </row>
    <row r="879" spans="16:16" x14ac:dyDescent="0.3">
      <c r="P879" s="1"/>
    </row>
    <row r="880" spans="16:16" x14ac:dyDescent="0.3">
      <c r="P880" s="1"/>
    </row>
    <row r="881" spans="16:16" x14ac:dyDescent="0.3">
      <c r="P881" s="1"/>
    </row>
    <row r="882" spans="16:16" x14ac:dyDescent="0.3">
      <c r="P882" s="1"/>
    </row>
    <row r="883" spans="16:16" x14ac:dyDescent="0.3">
      <c r="P883" s="1"/>
    </row>
    <row r="884" spans="16:16" x14ac:dyDescent="0.3">
      <c r="P884" s="1"/>
    </row>
    <row r="885" spans="16:16" x14ac:dyDescent="0.3">
      <c r="P885" s="1"/>
    </row>
    <row r="886" spans="16:16" x14ac:dyDescent="0.3">
      <c r="P886" s="1"/>
    </row>
    <row r="887" spans="16:16" x14ac:dyDescent="0.3">
      <c r="P887" s="1"/>
    </row>
    <row r="888" spans="16:16" x14ac:dyDescent="0.3">
      <c r="P888" s="1"/>
    </row>
    <row r="889" spans="16:16" x14ac:dyDescent="0.3">
      <c r="P889" s="1"/>
    </row>
    <row r="890" spans="16:16" x14ac:dyDescent="0.3">
      <c r="P890" s="1"/>
    </row>
    <row r="891" spans="16:16" x14ac:dyDescent="0.3">
      <c r="P891" s="1"/>
    </row>
    <row r="892" spans="16:16" x14ac:dyDescent="0.3">
      <c r="P892" s="1"/>
    </row>
    <row r="893" spans="16:16" x14ac:dyDescent="0.3">
      <c r="P893" s="1"/>
    </row>
    <row r="894" spans="16:16" x14ac:dyDescent="0.3">
      <c r="P894" s="1"/>
    </row>
    <row r="895" spans="16:16" x14ac:dyDescent="0.3">
      <c r="P895" s="1"/>
    </row>
    <row r="896" spans="16:16" x14ac:dyDescent="0.3">
      <c r="P896" s="1"/>
    </row>
    <row r="897" spans="16:16" x14ac:dyDescent="0.3">
      <c r="P897" s="1"/>
    </row>
    <row r="898" spans="16:16" x14ac:dyDescent="0.3">
      <c r="P898" s="1"/>
    </row>
    <row r="899" spans="16:16" x14ac:dyDescent="0.3">
      <c r="P899" s="1"/>
    </row>
    <row r="900" spans="16:16" x14ac:dyDescent="0.3">
      <c r="P900" s="1"/>
    </row>
    <row r="901" spans="16:16" x14ac:dyDescent="0.3">
      <c r="P901" s="1"/>
    </row>
    <row r="902" spans="16:16" x14ac:dyDescent="0.3">
      <c r="P902" s="1"/>
    </row>
    <row r="903" spans="16:16" x14ac:dyDescent="0.3">
      <c r="P903" s="1"/>
    </row>
    <row r="904" spans="16:16" x14ac:dyDescent="0.3">
      <c r="P904" s="1"/>
    </row>
    <row r="905" spans="16:16" x14ac:dyDescent="0.3">
      <c r="P905" s="1"/>
    </row>
    <row r="906" spans="16:16" x14ac:dyDescent="0.3">
      <c r="P906" s="1"/>
    </row>
    <row r="907" spans="16:16" x14ac:dyDescent="0.3">
      <c r="P907" s="1"/>
    </row>
    <row r="908" spans="16:16" x14ac:dyDescent="0.3">
      <c r="P908" s="1"/>
    </row>
    <row r="909" spans="16:16" x14ac:dyDescent="0.3">
      <c r="P909" s="1"/>
    </row>
    <row r="910" spans="16:16" x14ac:dyDescent="0.3">
      <c r="P910" s="1"/>
    </row>
    <row r="911" spans="16:16" x14ac:dyDescent="0.3">
      <c r="P911" s="1"/>
    </row>
    <row r="912" spans="16:16" x14ac:dyDescent="0.3">
      <c r="P912" s="1"/>
    </row>
    <row r="913" spans="16:16" x14ac:dyDescent="0.3">
      <c r="P913" s="1"/>
    </row>
    <row r="914" spans="16:16" x14ac:dyDescent="0.3">
      <c r="P914" s="1"/>
    </row>
    <row r="915" spans="16:16" x14ac:dyDescent="0.3">
      <c r="P915" s="1"/>
    </row>
    <row r="916" spans="16:16" x14ac:dyDescent="0.3">
      <c r="P916" s="1"/>
    </row>
    <row r="917" spans="16:16" x14ac:dyDescent="0.3">
      <c r="P917" s="1"/>
    </row>
    <row r="918" spans="16:16" x14ac:dyDescent="0.3">
      <c r="P918" s="1"/>
    </row>
    <row r="919" spans="16:16" x14ac:dyDescent="0.3">
      <c r="P919" s="1"/>
    </row>
    <row r="920" spans="16:16" x14ac:dyDescent="0.3">
      <c r="P920" s="1"/>
    </row>
    <row r="921" spans="16:16" x14ac:dyDescent="0.3">
      <c r="P921" s="1"/>
    </row>
    <row r="922" spans="16:16" x14ac:dyDescent="0.3">
      <c r="P922" s="1"/>
    </row>
    <row r="923" spans="16:16" x14ac:dyDescent="0.3">
      <c r="P923" s="1"/>
    </row>
    <row r="924" spans="16:16" x14ac:dyDescent="0.3">
      <c r="P924" s="1"/>
    </row>
    <row r="925" spans="16:16" x14ac:dyDescent="0.3">
      <c r="P925" s="1"/>
    </row>
    <row r="926" spans="16:16" x14ac:dyDescent="0.3">
      <c r="P926" s="1"/>
    </row>
    <row r="927" spans="16:16" x14ac:dyDescent="0.3">
      <c r="P927" s="1"/>
    </row>
    <row r="928" spans="16:16" x14ac:dyDescent="0.3">
      <c r="P928" s="1"/>
    </row>
    <row r="929" spans="16:16" x14ac:dyDescent="0.3">
      <c r="P929" s="1"/>
    </row>
    <row r="930" spans="16:16" x14ac:dyDescent="0.3">
      <c r="P930" s="1"/>
    </row>
    <row r="931" spans="16:16" x14ac:dyDescent="0.3">
      <c r="P931" s="1"/>
    </row>
    <row r="932" spans="16:16" x14ac:dyDescent="0.3">
      <c r="P932" s="1"/>
    </row>
    <row r="933" spans="16:16" x14ac:dyDescent="0.3">
      <c r="P933" s="1"/>
    </row>
    <row r="934" spans="16:16" x14ac:dyDescent="0.3">
      <c r="P934" s="1"/>
    </row>
    <row r="935" spans="16:16" x14ac:dyDescent="0.3">
      <c r="P935" s="1"/>
    </row>
    <row r="936" spans="16:16" x14ac:dyDescent="0.3">
      <c r="P936" s="1"/>
    </row>
    <row r="937" spans="16:16" x14ac:dyDescent="0.3">
      <c r="P937" s="1"/>
    </row>
    <row r="938" spans="16:16" x14ac:dyDescent="0.3">
      <c r="P938" s="1"/>
    </row>
    <row r="939" spans="16:16" x14ac:dyDescent="0.3">
      <c r="P939" s="1"/>
    </row>
    <row r="940" spans="16:16" x14ac:dyDescent="0.3">
      <c r="P940" s="1"/>
    </row>
    <row r="941" spans="16:16" x14ac:dyDescent="0.3">
      <c r="P941" s="1"/>
    </row>
    <row r="942" spans="16:16" x14ac:dyDescent="0.3">
      <c r="P942" s="1"/>
    </row>
    <row r="943" spans="16:16" x14ac:dyDescent="0.3">
      <c r="P943" s="1"/>
    </row>
    <row r="944" spans="16:16" x14ac:dyDescent="0.3">
      <c r="P944" s="1"/>
    </row>
    <row r="945" spans="16:16" x14ac:dyDescent="0.3">
      <c r="P945" s="1"/>
    </row>
    <row r="946" spans="16:16" x14ac:dyDescent="0.3">
      <c r="P946" s="1"/>
    </row>
    <row r="947" spans="16:16" x14ac:dyDescent="0.3">
      <c r="P947" s="1"/>
    </row>
    <row r="948" spans="16:16" x14ac:dyDescent="0.3">
      <c r="P948" s="1"/>
    </row>
    <row r="949" spans="16:16" x14ac:dyDescent="0.3">
      <c r="P949" s="1"/>
    </row>
    <row r="950" spans="16:16" x14ac:dyDescent="0.3">
      <c r="P950" s="1"/>
    </row>
    <row r="951" spans="16:16" x14ac:dyDescent="0.3">
      <c r="P951" s="1"/>
    </row>
    <row r="952" spans="16:16" x14ac:dyDescent="0.3">
      <c r="P952" s="1"/>
    </row>
    <row r="953" spans="16:16" x14ac:dyDescent="0.3">
      <c r="P953" s="1"/>
    </row>
    <row r="954" spans="16:16" x14ac:dyDescent="0.3">
      <c r="P954" s="1"/>
    </row>
    <row r="955" spans="16:16" x14ac:dyDescent="0.3">
      <c r="P955" s="1"/>
    </row>
    <row r="956" spans="16:16" x14ac:dyDescent="0.3">
      <c r="P956" s="1"/>
    </row>
    <row r="957" spans="16:16" x14ac:dyDescent="0.3">
      <c r="P957" s="1"/>
    </row>
    <row r="958" spans="16:16" x14ac:dyDescent="0.3">
      <c r="P958" s="1"/>
    </row>
    <row r="959" spans="16:16" x14ac:dyDescent="0.3">
      <c r="P959" s="1"/>
    </row>
    <row r="960" spans="16:16" x14ac:dyDescent="0.3">
      <c r="P960" s="1"/>
    </row>
    <row r="961" spans="16:16" x14ac:dyDescent="0.3">
      <c r="P961" s="1"/>
    </row>
    <row r="962" spans="16:16" x14ac:dyDescent="0.3">
      <c r="P962" s="1"/>
    </row>
    <row r="963" spans="16:16" x14ac:dyDescent="0.3">
      <c r="P963" s="1"/>
    </row>
    <row r="964" spans="16:16" x14ac:dyDescent="0.3">
      <c r="P964" s="1"/>
    </row>
    <row r="965" spans="16:16" x14ac:dyDescent="0.3">
      <c r="P965" s="1"/>
    </row>
    <row r="966" spans="16:16" x14ac:dyDescent="0.3">
      <c r="P966" s="1"/>
    </row>
    <row r="967" spans="16:16" x14ac:dyDescent="0.3">
      <c r="P967" s="1"/>
    </row>
    <row r="968" spans="16:16" x14ac:dyDescent="0.3">
      <c r="P968" s="1"/>
    </row>
    <row r="969" spans="16:16" x14ac:dyDescent="0.3">
      <c r="P969" s="1"/>
    </row>
    <row r="970" spans="16:16" x14ac:dyDescent="0.3">
      <c r="P970" s="1"/>
    </row>
    <row r="971" spans="16:16" x14ac:dyDescent="0.3">
      <c r="P971" s="1"/>
    </row>
    <row r="972" spans="16:16" x14ac:dyDescent="0.3">
      <c r="P972" s="1"/>
    </row>
    <row r="973" spans="16:16" x14ac:dyDescent="0.3">
      <c r="P973" s="1"/>
    </row>
    <row r="974" spans="16:16" x14ac:dyDescent="0.3">
      <c r="P974" s="1"/>
    </row>
    <row r="975" spans="16:16" x14ac:dyDescent="0.3">
      <c r="P975" s="1"/>
    </row>
    <row r="976" spans="16:16" x14ac:dyDescent="0.3">
      <c r="P976" s="1"/>
    </row>
    <row r="977" spans="16:16" x14ac:dyDescent="0.3">
      <c r="P977" s="1"/>
    </row>
    <row r="978" spans="16:16" x14ac:dyDescent="0.3">
      <c r="P978" s="1"/>
    </row>
    <row r="979" spans="16:16" x14ac:dyDescent="0.3">
      <c r="P979" s="1"/>
    </row>
    <row r="980" spans="16:16" x14ac:dyDescent="0.3">
      <c r="P980" s="1"/>
    </row>
    <row r="981" spans="16:16" x14ac:dyDescent="0.3">
      <c r="P981" s="1"/>
    </row>
    <row r="982" spans="16:16" x14ac:dyDescent="0.3">
      <c r="P982" s="1"/>
    </row>
    <row r="983" spans="16:16" x14ac:dyDescent="0.3">
      <c r="P983" s="1"/>
    </row>
    <row r="984" spans="16:16" x14ac:dyDescent="0.3">
      <c r="P984" s="1"/>
    </row>
    <row r="985" spans="16:16" x14ac:dyDescent="0.3">
      <c r="P985" s="1"/>
    </row>
    <row r="986" spans="16:16" x14ac:dyDescent="0.3">
      <c r="P986" s="1"/>
    </row>
    <row r="987" spans="16:16" x14ac:dyDescent="0.3">
      <c r="P987" s="1"/>
    </row>
    <row r="988" spans="16:16" x14ac:dyDescent="0.3">
      <c r="P988" s="1"/>
    </row>
    <row r="989" spans="16:16" x14ac:dyDescent="0.3">
      <c r="P989" s="1"/>
    </row>
    <row r="990" spans="16:16" x14ac:dyDescent="0.3">
      <c r="P990" s="1"/>
    </row>
    <row r="991" spans="16:16" x14ac:dyDescent="0.3">
      <c r="P991" s="1"/>
    </row>
    <row r="992" spans="16:16" x14ac:dyDescent="0.3">
      <c r="P992" s="1"/>
    </row>
    <row r="993" spans="16:16" x14ac:dyDescent="0.3">
      <c r="P993" s="1"/>
    </row>
    <row r="994" spans="16:16" x14ac:dyDescent="0.3">
      <c r="P994" s="1"/>
    </row>
    <row r="995" spans="16:16" x14ac:dyDescent="0.3">
      <c r="P995" s="1"/>
    </row>
    <row r="996" spans="16:16" x14ac:dyDescent="0.3">
      <c r="P996" s="1"/>
    </row>
    <row r="997" spans="16:16" x14ac:dyDescent="0.3">
      <c r="P997" s="1"/>
    </row>
    <row r="998" spans="16:16" x14ac:dyDescent="0.3">
      <c r="P998" s="1"/>
    </row>
    <row r="999" spans="16:16" x14ac:dyDescent="0.3">
      <c r="P999" s="1"/>
    </row>
    <row r="1000" spans="16:16" x14ac:dyDescent="0.3">
      <c r="P1000" s="1"/>
    </row>
    <row r="1001" spans="16:16" x14ac:dyDescent="0.3">
      <c r="P1001" s="1"/>
    </row>
    <row r="1002" spans="16:16" x14ac:dyDescent="0.3">
      <c r="P1002" s="1"/>
    </row>
    <row r="1003" spans="16:16" x14ac:dyDescent="0.3">
      <c r="P1003" s="1"/>
    </row>
    <row r="1004" spans="16:16" x14ac:dyDescent="0.3">
      <c r="P1004" s="1"/>
    </row>
    <row r="1005" spans="16:16" x14ac:dyDescent="0.3">
      <c r="P1005" s="1"/>
    </row>
  </sheetData>
  <phoneticPr fontId="1" type="noConversion"/>
  <conditionalFormatting sqref="M1:M501">
    <cfRule type="cellIs" dxfId="1" priority="1" operator="equal">
      <formula>8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4D993B-9AD3-468A-B49C-5FDB6A4525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c</vt:lpstr>
      <vt:lpstr>Arkusz4</vt:lpstr>
      <vt:lpstr>pogoda</vt:lpstr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Zuzanna Gomuła</dc:creator>
  <cp:lastModifiedBy>Zuzanna Gomuła</cp:lastModifiedBy>
  <dcterms:created xsi:type="dcterms:W3CDTF">2015-06-05T18:19:34Z</dcterms:created>
  <dcterms:modified xsi:type="dcterms:W3CDTF">2022-03-26T22:15:12Z</dcterms:modified>
</cp:coreProperties>
</file>